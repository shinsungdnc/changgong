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공장창고매물" sheetId="1" state="visible" r:id="rId1"/>
    <sheet name="주택매물" sheetId="2" state="visible" r:id="rId2"/>
    <sheet name="토지매물" sheetId="3" state="visible" r:id="rId3"/>
    <sheet name="국토부_실거래원본" sheetId="4" state="visible" r:id="rId4"/>
  </sheets>
  <definedNames>
    <definedName name="_xlnm._FilterDatabase" localSheetId="0" hidden="1">'공장창고매물'!$A$1:$AD$488</definedName>
    <definedName name="_xlnm._FilterDatabase" localSheetId="1" hidden="1">'주택매물'!$A$1:$AA$586</definedName>
    <definedName name="_xlnm._FilterDatabase" localSheetId="2" hidden="1">'토지매물'!$A$1:$V$1674</definedName>
    <definedName name="_xlnm._FilterDatabase" localSheetId="3" hidden="1">'국토부_실거래원본'!$A$1:$J$6440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_("/>
    <numFmt numFmtId="165" formatCode="#,##0.0_("/>
  </numFmts>
  <fonts count="5">
    <font>
      <name val="Calibri"/>
      <family val="2"/>
      <color theme="1"/>
      <sz val="11"/>
      <scheme val="minor"/>
    </font>
    <font>
      <b val="1"/>
    </font>
    <font>
      <name val="Malgun Gothic"/>
      <color rgb="00000000"/>
      <sz val="10"/>
    </font>
    <font>
      <name val="Malgun Gothic"/>
      <sz val="10"/>
    </font>
    <font>
      <name val="Malgun Gothic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8"/>
  <sheetViews>
    <sheetView topLeftCell="A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3" customWidth="1" min="16" max="16"/>
  </cols>
  <sheetData>
    <row r="1">
      <c r="A1" s="2" t="inlineStr">
        <is>
          <t>지번주소</t>
        </is>
      </c>
      <c r="B1" s="2" t="inlineStr">
        <is>
          <t>용도지역명1</t>
        </is>
      </c>
      <c r="C1" s="2" t="inlineStr">
        <is>
          <t>지목</t>
        </is>
      </c>
      <c r="D1" s="2" t="inlineStr">
        <is>
          <t>매물상세</t>
        </is>
      </c>
      <c r="E1" s="2" t="inlineStr">
        <is>
          <t>구분</t>
        </is>
      </c>
      <c r="F1" s="2" t="inlineStr">
        <is>
          <t>가격</t>
        </is>
      </c>
      <c r="G1" s="2" t="inlineStr">
        <is>
          <t>월세</t>
        </is>
      </c>
      <c r="H1" s="2" t="inlineStr">
        <is>
          <t>대지면적</t>
        </is>
      </c>
      <c r="I1" s="2" t="inlineStr">
        <is>
          <t>대지평</t>
        </is>
      </c>
      <c r="J1" s="2" t="inlineStr">
        <is>
          <t>평당가</t>
        </is>
      </c>
      <c r="K1" s="2" t="inlineStr">
        <is>
          <t>연면적</t>
        </is>
      </c>
      <c r="L1" s="2" t="inlineStr">
        <is>
          <t>연평</t>
        </is>
      </c>
      <c r="M1" s="2" t="inlineStr">
        <is>
          <t>연평당가</t>
        </is>
      </c>
      <c r="N1" s="2" t="inlineStr">
        <is>
          <t>지상층</t>
        </is>
      </c>
      <c r="O1" s="2" t="inlineStr">
        <is>
          <t>지하층</t>
        </is>
      </c>
      <c r="P1" s="2" t="inlineStr">
        <is>
          <t>매물특징</t>
        </is>
      </c>
      <c r="Q1" s="2" t="inlineStr">
        <is>
          <t>매물보기</t>
        </is>
      </c>
      <c r="R1" s="2" t="inlineStr">
        <is>
          <t>지도보기</t>
        </is>
      </c>
      <c r="S1" s="2" t="inlineStr">
        <is>
          <t>토지이용계획</t>
        </is>
      </c>
      <c r="T1" s="2" t="inlineStr">
        <is>
          <t>업소</t>
        </is>
      </c>
      <c r="U1" s="2" t="inlineStr">
        <is>
          <t>중개사</t>
        </is>
      </c>
      <c r="V1" s="2" t="inlineStr">
        <is>
          <t>평공시가</t>
        </is>
      </c>
      <c r="W1" s="2" t="inlineStr">
        <is>
          <t>토지면적</t>
        </is>
      </c>
      <c r="X1" s="2" t="inlineStr">
        <is>
          <t>동명</t>
        </is>
      </c>
      <c r="Y1" s="2" t="inlineStr">
        <is>
          <t>지상층수</t>
        </is>
      </c>
      <c r="Z1" s="2" t="inlineStr">
        <is>
          <t>구조</t>
        </is>
      </c>
      <c r="AA1" s="2" t="inlineStr">
        <is>
          <t>주용도</t>
        </is>
      </c>
      <c r="AB1" s="2" t="inlineStr">
        <is>
          <t>높이</t>
        </is>
      </c>
      <c r="AC1" s="2" t="inlineStr">
        <is>
          <t>사용승인</t>
        </is>
      </c>
      <c r="AD1" s="2" t="inlineStr">
        <is>
          <t>도로접면</t>
        </is>
      </c>
    </row>
    <row r="2">
      <c r="A2" s="3" t="inlineStr">
        <is>
          <t>강내면 궁현리 253</t>
        </is>
      </c>
      <c r="B2" s="3" t="inlineStr">
        <is>
          <t>계획관리지역</t>
        </is>
      </c>
      <c r="C2" s="3" t="inlineStr">
        <is>
          <t>답</t>
        </is>
      </c>
      <c r="D2" s="3" t="inlineStr">
        <is>
          <t>공장</t>
        </is>
      </c>
      <c r="E2" s="3" t="inlineStr">
        <is>
          <t>월세</t>
        </is>
      </c>
      <c r="F2" s="4" t="n">
        <v>10000</v>
      </c>
      <c r="G2" s="4" t="n">
        <v>950</v>
      </c>
      <c r="H2" s="4" t="n">
        <v>3411</v>
      </c>
      <c r="I2" s="4" t="n">
        <v>1032</v>
      </c>
      <c r="J2" s="5" t="n">
        <v>0.9</v>
      </c>
      <c r="K2" s="4" t="n">
        <v>1358</v>
      </c>
      <c r="L2" s="4" t="n">
        <v>411</v>
      </c>
      <c r="M2" s="5" t="n">
        <v>2.3</v>
      </c>
      <c r="N2" s="3" t="inlineStr">
        <is>
          <t>1</t>
        </is>
      </c>
      <c r="O2" s="3" t="inlineStr">
        <is>
          <t>-</t>
        </is>
      </c>
      <c r="P2" s="3" t="inlineStr">
        <is>
          <t>강내면 단독  1동 신축공장  마당 넓어 야적장 사용하시기 좋음</t>
        </is>
      </c>
      <c r="Q2" s="6">
        <f>HYPERLINK("https://fin.land.naver.com/articles/2651750005", "매물Link")</f>
        <v/>
      </c>
      <c r="R2" s="6">
        <f>HYPERLINK("https://map.naver.com/p/search/강내면 궁현리 253", "지도Link")</f>
        <v/>
      </c>
      <c r="S2" s="6">
        <f>HYPERLINK("http://www.eum.go.kr/web/ar/lu/luLandDet.jsp?pnu=4311331022102530000&amp;isNoScr=script&amp;mode=search", "토지이음")</f>
        <v/>
      </c>
      <c r="T2" s="3" t="inlineStr">
        <is>
          <t>더원</t>
        </is>
      </c>
      <c r="U2" s="4" t="n">
        <v>2</v>
      </c>
      <c r="V2" s="5" t="n">
        <v>20.2</v>
      </c>
      <c r="W2" s="4" t="n">
        <v>3411</v>
      </c>
      <c r="X2" s="3" t="inlineStr">
        <is>
          <t>미표기</t>
        </is>
      </c>
      <c r="Y2" s="7" t="inlineStr">
        <is>
          <t>1층</t>
        </is>
      </c>
      <c r="Z2" s="3" t="inlineStr">
        <is>
          <t>일반철골구조</t>
        </is>
      </c>
      <c r="AA2" s="3" t="inlineStr">
        <is>
          <t>공장</t>
        </is>
      </c>
      <c r="AB2" s="3" t="inlineStr">
        <is>
          <t>10.5m</t>
        </is>
      </c>
      <c r="AC2" s="3" t="inlineStr">
        <is>
          <t>2026-02</t>
        </is>
      </c>
      <c r="AD2" s="3" t="inlineStr">
        <is>
          <t>맹지</t>
        </is>
      </c>
    </row>
    <row r="3">
      <c r="A3" s="3" t="inlineStr">
        <is>
          <t>강내면 궁현리 253</t>
        </is>
      </c>
      <c r="B3" s="3" t="inlineStr">
        <is>
          <t>계획관리지역</t>
        </is>
      </c>
      <c r="C3" s="3" t="inlineStr">
        <is>
          <t>답</t>
        </is>
      </c>
      <c r="D3" s="3" t="inlineStr">
        <is>
          <t>공장</t>
        </is>
      </c>
      <c r="E3" s="3" t="inlineStr">
        <is>
          <t>월세</t>
        </is>
      </c>
      <c r="F3" s="4" t="n">
        <v>10000</v>
      </c>
      <c r="G3" s="4" t="n">
        <v>950</v>
      </c>
      <c r="H3" s="4" t="n">
        <v>3411</v>
      </c>
      <c r="I3" s="4" t="n">
        <v>1032</v>
      </c>
      <c r="J3" s="5" t="n">
        <v>0.9</v>
      </c>
      <c r="K3" s="4" t="n">
        <v>1358</v>
      </c>
      <c r="L3" s="4" t="n">
        <v>411</v>
      </c>
      <c r="M3" s="5" t="n">
        <v>2.3</v>
      </c>
      <c r="N3" s="3" t="inlineStr">
        <is>
          <t>1</t>
        </is>
      </c>
      <c r="O3" s="3" t="inlineStr">
        <is>
          <t>-</t>
        </is>
      </c>
      <c r="P3" s="3" t="inlineStr">
        <is>
          <t>nan</t>
        </is>
      </c>
      <c r="Q3" s="6">
        <f>HYPERLINK("https://fin.land.naver.com/articles/2654155377", "매물Link")</f>
        <v/>
      </c>
      <c r="R3" s="6">
        <f>HYPERLINK("https://map.naver.com/p/search/강내면 궁현리 253", "지도Link")</f>
        <v/>
      </c>
      <c r="S3" s="6">
        <f>HYPERLINK("http://www.eum.go.kr/web/ar/lu/luLandDet.jsp?pnu=4311331022102530000&amp;isNoScr=script&amp;mode=search", "토지이음")</f>
        <v/>
      </c>
      <c r="T3" s="3" t="inlineStr">
        <is>
          <t>위더스</t>
        </is>
      </c>
      <c r="U3" s="4" t="n">
        <v>1</v>
      </c>
      <c r="V3" s="5" t="n">
        <v>20.2</v>
      </c>
      <c r="W3" s="4" t="n">
        <v>3411</v>
      </c>
      <c r="X3" s="3" t="inlineStr">
        <is>
          <t>미표기</t>
        </is>
      </c>
      <c r="Y3" s="7" t="inlineStr">
        <is>
          <t>1층</t>
        </is>
      </c>
      <c r="Z3" s="3" t="inlineStr">
        <is>
          <t>일반철골구조</t>
        </is>
      </c>
      <c r="AA3" s="3" t="inlineStr">
        <is>
          <t>공장</t>
        </is>
      </c>
      <c r="AB3" s="3" t="inlineStr">
        <is>
          <t>10.5m</t>
        </is>
      </c>
      <c r="AC3" s="3" t="inlineStr">
        <is>
          <t>2026-02</t>
        </is>
      </c>
      <c r="AD3" s="3" t="inlineStr">
        <is>
          <t>맹지</t>
        </is>
      </c>
    </row>
    <row r="4">
      <c r="A4" s="3" t="inlineStr">
        <is>
          <t>강내면 궁현리 253</t>
        </is>
      </c>
      <c r="B4" s="3" t="inlineStr">
        <is>
          <t>계획관리지역</t>
        </is>
      </c>
      <c r="C4" s="3" t="inlineStr">
        <is>
          <t>답</t>
        </is>
      </c>
      <c r="D4" s="3" t="inlineStr">
        <is>
          <t>창고</t>
        </is>
      </c>
      <c r="E4" s="3" t="inlineStr">
        <is>
          <t>월세</t>
        </is>
      </c>
      <c r="F4" s="4" t="n">
        <v>10000</v>
      </c>
      <c r="G4" s="4" t="n">
        <v>950</v>
      </c>
      <c r="H4" s="4" t="n">
        <v>3305</v>
      </c>
      <c r="I4" s="4" t="n">
        <v>1000</v>
      </c>
      <c r="J4" s="5" t="n">
        <v>0.9</v>
      </c>
      <c r="K4" s="4" t="n">
        <v>1358</v>
      </c>
      <c r="L4" s="4" t="n">
        <v>411</v>
      </c>
      <c r="M4" s="5" t="n">
        <v>2.3</v>
      </c>
      <c r="N4" s="3" t="inlineStr">
        <is>
          <t>1</t>
        </is>
      </c>
      <c r="O4" s="3" t="inlineStr">
        <is>
          <t>-</t>
        </is>
      </c>
      <c r="P4" s="3" t="inlineStr">
        <is>
          <t>준공예정인 신축창고 임대 진출입용이</t>
        </is>
      </c>
      <c r="Q4" s="6">
        <f>HYPERLINK("https://fin.land.naver.com/articles/2649683486", "매물Link")</f>
        <v/>
      </c>
      <c r="R4" s="6">
        <f>HYPERLINK("https://map.naver.com/p/search/강내면 궁현리 253", "지도Link")</f>
        <v/>
      </c>
      <c r="S4" s="6">
        <f>HYPERLINK("http://www.eum.go.kr/web/ar/lu/luLandDet.jsp?pnu=4311331022102530000&amp;isNoScr=script&amp;mode=search", "토지이음")</f>
        <v/>
      </c>
      <c r="T4" s="3" t="inlineStr">
        <is>
          <t>태광</t>
        </is>
      </c>
      <c r="U4" s="4" t="n">
        <v>1</v>
      </c>
      <c r="V4" s="5" t="n">
        <v>20.2</v>
      </c>
      <c r="W4" s="4" t="n">
        <v>3411</v>
      </c>
      <c r="X4" s="3" t="inlineStr">
        <is>
          <t>미표기</t>
        </is>
      </c>
      <c r="Y4" s="7" t="inlineStr">
        <is>
          <t>1층</t>
        </is>
      </c>
      <c r="Z4" s="3" t="inlineStr">
        <is>
          <t>일반철골구조</t>
        </is>
      </c>
      <c r="AA4" s="3" t="inlineStr">
        <is>
          <t>공장</t>
        </is>
      </c>
      <c r="AB4" s="3" t="inlineStr">
        <is>
          <t>10.5m</t>
        </is>
      </c>
      <c r="AC4" s="3" t="inlineStr">
        <is>
          <t>2026-02</t>
        </is>
      </c>
      <c r="AD4" s="3" t="inlineStr">
        <is>
          <t>맹지</t>
        </is>
      </c>
    </row>
    <row r="5">
      <c r="A5" s="3" t="inlineStr">
        <is>
          <t>강내면 궁현리 272-1</t>
        </is>
      </c>
      <c r="B5" s="3" t="inlineStr">
        <is>
          <t>계획관리지역</t>
        </is>
      </c>
      <c r="C5" s="3" t="inlineStr">
        <is>
          <t>공장용지</t>
        </is>
      </c>
      <c r="D5" s="3" t="inlineStr">
        <is>
          <t>공장</t>
        </is>
      </c>
      <c r="E5" s="3" t="inlineStr">
        <is>
          <t>월세</t>
        </is>
      </c>
      <c r="F5" s="4" t="n">
        <v>5000</v>
      </c>
      <c r="G5" s="4" t="n">
        <v>510</v>
      </c>
      <c r="H5" s="4" t="n">
        <v>2048</v>
      </c>
      <c r="I5" s="4" t="n">
        <v>620</v>
      </c>
      <c r="J5" s="5" t="n">
        <v>0.8</v>
      </c>
      <c r="K5" s="4" t="n">
        <v>725</v>
      </c>
      <c r="L5" s="4" t="n">
        <v>219</v>
      </c>
      <c r="M5" s="5" t="n">
        <v>2.3</v>
      </c>
      <c r="N5" s="3" t="inlineStr">
        <is>
          <t>1</t>
        </is>
      </c>
      <c r="O5" s="3" t="inlineStr">
        <is>
          <t>-</t>
        </is>
      </c>
      <c r="P5" s="3" t="inlineStr">
        <is>
          <t>건물 220형 대지620형 공장등록가능</t>
        </is>
      </c>
      <c r="Q5" s="6">
        <f>HYPERLINK("https://fin.land.naver.com/articles/2654155267", "매물Link")</f>
        <v/>
      </c>
      <c r="R5" s="6">
        <f>HYPERLINK("https://map.naver.com/p/search/강내면 궁현리 272-1", "지도Link")</f>
        <v/>
      </c>
      <c r="S5" s="6">
        <f>HYPERLINK("http://www.eum.go.kr/web/ar/lu/luLandDet.jsp?pnu=4311331022102720001&amp;isNoScr=script&amp;mode=search", "토지이음")</f>
        <v/>
      </c>
      <c r="T5" s="3" t="inlineStr">
        <is>
          <t>위더스</t>
        </is>
      </c>
      <c r="U5" s="4" t="n">
        <v>1</v>
      </c>
      <c r="V5" s="5" t="n">
        <v>51.6</v>
      </c>
      <c r="W5" s="4" t="n">
        <v>377</v>
      </c>
      <c r="X5" s="3" t="inlineStr">
        <is>
          <t>주건축물제1동</t>
        </is>
      </c>
      <c r="Y5" s="7" t="inlineStr">
        <is>
          <t>1층</t>
        </is>
      </c>
      <c r="Z5" s="3" t="inlineStr">
        <is>
          <t>일반철골구조</t>
        </is>
      </c>
      <c r="AA5" s="3" t="inlineStr">
        <is>
          <t>공장</t>
        </is>
      </c>
      <c r="AB5" s="3" t="inlineStr">
        <is>
          <t>10.2m</t>
        </is>
      </c>
      <c r="AC5" s="3" t="inlineStr">
        <is>
          <t>2019-04</t>
        </is>
      </c>
      <c r="AD5" s="3" t="inlineStr">
        <is>
          <t>세로한면(가)</t>
        </is>
      </c>
    </row>
    <row r="6">
      <c r="A6" s="3" t="inlineStr">
        <is>
          <t>강내면 궁현리 272-1</t>
        </is>
      </c>
      <c r="B6" s="3" t="inlineStr">
        <is>
          <t>계획관리지역</t>
        </is>
      </c>
      <c r="C6" s="3" t="inlineStr">
        <is>
          <t>공장용지</t>
        </is>
      </c>
      <c r="D6" s="3" t="inlineStr">
        <is>
          <t>공장</t>
        </is>
      </c>
      <c r="E6" s="3" t="inlineStr">
        <is>
          <t>월세</t>
        </is>
      </c>
      <c r="F6" s="4" t="n">
        <v>5000</v>
      </c>
      <c r="G6" s="4" t="n">
        <v>510</v>
      </c>
      <c r="H6" s="4" t="n">
        <v>2048</v>
      </c>
      <c r="I6" s="4" t="n">
        <v>620</v>
      </c>
      <c r="J6" s="5" t="n">
        <v>0.8</v>
      </c>
      <c r="K6" s="4" t="n">
        <v>725</v>
      </c>
      <c r="L6" s="4" t="n">
        <v>219</v>
      </c>
      <c r="M6" s="5" t="n">
        <v>2.3</v>
      </c>
      <c r="N6" s="3" t="inlineStr">
        <is>
          <t>1</t>
        </is>
      </c>
      <c r="O6" s="3" t="inlineStr">
        <is>
          <t>-</t>
        </is>
      </c>
      <c r="P6" s="3" t="inlineStr">
        <is>
          <t>대로변에 접하여 접근성 매우 용이</t>
        </is>
      </c>
      <c r="Q6" s="6">
        <f>HYPERLINK("https://fin.land.naver.com/articles/2652788960", "매물Link")</f>
        <v/>
      </c>
      <c r="R6" s="6">
        <f>HYPERLINK("https://map.naver.com/p/search/강내면 궁현리 272-1", "지도Link")</f>
        <v/>
      </c>
      <c r="S6" s="6">
        <f>HYPERLINK("http://www.eum.go.kr/web/ar/lu/luLandDet.jsp?pnu=4311331022102720001&amp;isNoScr=script&amp;mode=search", "토지이음")</f>
        <v/>
      </c>
      <c r="T6" s="3" t="inlineStr">
        <is>
          <t>태광</t>
        </is>
      </c>
      <c r="U6" s="4" t="n">
        <v>1</v>
      </c>
      <c r="V6" s="5" t="n">
        <v>51.6</v>
      </c>
      <c r="W6" s="4" t="n">
        <v>377</v>
      </c>
      <c r="X6" s="3" t="inlineStr">
        <is>
          <t>주건축물제1동</t>
        </is>
      </c>
      <c r="Y6" s="7" t="inlineStr">
        <is>
          <t>1층</t>
        </is>
      </c>
      <c r="Z6" s="3" t="inlineStr">
        <is>
          <t>일반철골구조</t>
        </is>
      </c>
      <c r="AA6" s="3" t="inlineStr">
        <is>
          <t>공장</t>
        </is>
      </c>
      <c r="AB6" s="3" t="inlineStr">
        <is>
          <t>10.2m</t>
        </is>
      </c>
      <c r="AC6" s="3" t="inlineStr">
        <is>
          <t>2019-04</t>
        </is>
      </c>
      <c r="AD6" s="3" t="inlineStr">
        <is>
          <t>세로한면(가)</t>
        </is>
      </c>
    </row>
    <row r="7">
      <c r="A7" s="3" t="inlineStr">
        <is>
          <t>강내면 궁현리 31-1</t>
        </is>
      </c>
      <c r="B7" s="3" t="inlineStr">
        <is>
          <t>계획관리지역</t>
        </is>
      </c>
      <c r="C7" s="3" t="inlineStr">
        <is>
          <t>공장용지</t>
        </is>
      </c>
      <c r="D7" s="3" t="inlineStr">
        <is>
          <t>공장</t>
        </is>
      </c>
      <c r="E7" s="3" t="inlineStr">
        <is>
          <t>매매</t>
        </is>
      </c>
      <c r="F7" s="4" t="n">
        <v>360000</v>
      </c>
      <c r="G7" s="4" t="n">
        <v>0</v>
      </c>
      <c r="H7" s="4" t="n">
        <v>3622</v>
      </c>
      <c r="I7" s="4" t="n">
        <v>1096</v>
      </c>
      <c r="J7" s="5" t="n">
        <v>328.5</v>
      </c>
      <c r="K7" s="4" t="n">
        <v>1658</v>
      </c>
      <c r="L7" s="4" t="n">
        <v>502</v>
      </c>
      <c r="M7" s="5" t="n">
        <v>717.1</v>
      </c>
      <c r="N7" s="3" t="inlineStr">
        <is>
          <t>2</t>
        </is>
      </c>
      <c r="O7" s="3" t="inlineStr">
        <is>
          <t>-</t>
        </is>
      </c>
      <c r="P7" s="3" t="inlineStr">
        <is>
          <t>청주하이테크산업단지인근 대형차진출입이 편리한 관리잘된 신축급 공장매매</t>
        </is>
      </c>
      <c r="Q7" s="6">
        <f>HYPERLINK("https://fin.land.naver.com/articles/2653576472", "매물Link")</f>
        <v/>
      </c>
      <c r="R7" s="6">
        <f>HYPERLINK("https://map.naver.com/p/search/강내면 궁현리 31-1", "지도Link")</f>
        <v/>
      </c>
      <c r="S7" s="6">
        <f>HYPERLINK("http://www.eum.go.kr/web/ar/lu/luLandDet.jsp?pnu=4311331022100310001&amp;isNoScr=script&amp;mode=search", "토지이음")</f>
        <v/>
      </c>
      <c r="T7" s="3" t="inlineStr">
        <is>
          <t>(주)미르</t>
        </is>
      </c>
      <c r="U7" s="4" t="n">
        <v>1</v>
      </c>
      <c r="V7" s="5" t="n">
        <v>51.7</v>
      </c>
      <c r="W7" s="4" t="n">
        <v>3622</v>
      </c>
      <c r="X7" s="3" t="inlineStr">
        <is>
          <t>주건축물제1동</t>
        </is>
      </c>
      <c r="Y7" s="7" t="inlineStr">
        <is>
          <t>1층</t>
        </is>
      </c>
      <c r="Z7" s="3" t="inlineStr">
        <is>
          <t>일반철골구조</t>
        </is>
      </c>
      <c r="AA7" s="3" t="inlineStr">
        <is>
          <t>공장</t>
        </is>
      </c>
      <c r="AB7" s="3" t="inlineStr">
        <is>
          <t>8.7m</t>
        </is>
      </c>
      <c r="AC7" s="3" t="inlineStr">
        <is>
          <t>2020-09</t>
        </is>
      </c>
      <c r="AD7" s="3" t="inlineStr">
        <is>
          <t>세로한면(가)</t>
        </is>
      </c>
    </row>
    <row r="8">
      <c r="A8" s="3" t="inlineStr">
        <is>
          <t>강내면 궁현리 31-1</t>
        </is>
      </c>
      <c r="B8" s="3" t="inlineStr">
        <is>
          <t>계획관리지역</t>
        </is>
      </c>
      <c r="C8" s="3" t="inlineStr">
        <is>
          <t>공장용지</t>
        </is>
      </c>
      <c r="D8" s="3" t="inlineStr">
        <is>
          <t>공장</t>
        </is>
      </c>
      <c r="E8" s="3" t="inlineStr">
        <is>
          <t>매매</t>
        </is>
      </c>
      <c r="F8" s="4" t="n">
        <v>360000</v>
      </c>
      <c r="G8" s="4" t="n">
        <v>0</v>
      </c>
      <c r="H8" s="4" t="n">
        <v>3622</v>
      </c>
      <c r="I8" s="4" t="n">
        <v>1096</v>
      </c>
      <c r="J8" s="5" t="n">
        <v>328.5</v>
      </c>
      <c r="K8" s="4" t="n">
        <v>1658</v>
      </c>
      <c r="L8" s="4" t="n">
        <v>502</v>
      </c>
      <c r="M8" s="5" t="n">
        <v>717.1</v>
      </c>
      <c r="N8" s="3" t="inlineStr">
        <is>
          <t>2</t>
        </is>
      </c>
      <c r="O8" s="3" t="inlineStr">
        <is>
          <t>-</t>
        </is>
      </c>
      <c r="P8" s="3" t="inlineStr">
        <is>
          <t>연정교차로 신축급공장 전자부품 화학 약품 화장품등</t>
        </is>
      </c>
      <c r="Q8" s="6">
        <f>HYPERLINK("https://fin.land.naver.com/articles/2652729646", "매물Link")</f>
        <v/>
      </c>
      <c r="R8" s="6">
        <f>HYPERLINK("https://map.naver.com/p/search/강내면 궁현리 31-1", "지도Link")</f>
        <v/>
      </c>
      <c r="S8" s="6">
        <f>HYPERLINK("http://www.eum.go.kr/web/ar/lu/luLandDet.jsp?pnu=4311331022100310001&amp;isNoScr=script&amp;mode=search", "토지이음")</f>
        <v/>
      </c>
      <c r="T8" s="3" t="inlineStr">
        <is>
          <t>청주푸르지오</t>
        </is>
      </c>
      <c r="U8" s="4" t="n">
        <v>1</v>
      </c>
      <c r="V8" s="5" t="n">
        <v>51.7</v>
      </c>
      <c r="W8" s="4" t="n">
        <v>3622</v>
      </c>
      <c r="X8" s="3" t="inlineStr">
        <is>
          <t>주건축물제1동</t>
        </is>
      </c>
      <c r="Y8" s="7" t="inlineStr">
        <is>
          <t>1층</t>
        </is>
      </c>
      <c r="Z8" s="3" t="inlineStr">
        <is>
          <t>일반철골구조</t>
        </is>
      </c>
      <c r="AA8" s="3" t="inlineStr">
        <is>
          <t>공장</t>
        </is>
      </c>
      <c r="AB8" s="3" t="inlineStr">
        <is>
          <t>8.7m</t>
        </is>
      </c>
      <c r="AC8" s="3" t="inlineStr">
        <is>
          <t>2020-09</t>
        </is>
      </c>
      <c r="AD8" s="3" t="inlineStr">
        <is>
          <t>세로한면(가)</t>
        </is>
      </c>
    </row>
    <row r="9">
      <c r="A9" s="3" t="inlineStr">
        <is>
          <t>강내면 다락리 110-37</t>
        </is>
      </c>
      <c r="B9" s="3" t="inlineStr">
        <is>
          <t>계획관리지역</t>
        </is>
      </c>
      <c r="C9" s="3" t="inlineStr">
        <is>
          <t>공장용지</t>
        </is>
      </c>
      <c r="D9" s="3" t="inlineStr">
        <is>
          <t>공장</t>
        </is>
      </c>
      <c r="E9" s="3" t="inlineStr">
        <is>
          <t>매매</t>
        </is>
      </c>
      <c r="F9" s="4" t="n">
        <v>600000</v>
      </c>
      <c r="G9" s="4" t="n">
        <v>0</v>
      </c>
      <c r="H9" s="4" t="n">
        <v>9467</v>
      </c>
      <c r="I9" s="4" t="n">
        <v>2864</v>
      </c>
      <c r="J9" s="5" t="n">
        <v>209.5</v>
      </c>
      <c r="K9" s="4" t="n">
        <v>4026</v>
      </c>
      <c r="L9" s="4" t="n">
        <v>1218</v>
      </c>
      <c r="M9" s="5" t="n">
        <v>492.6</v>
      </c>
      <c r="N9" s="3" t="inlineStr">
        <is>
          <t>1</t>
        </is>
      </c>
      <c r="O9" s="3" t="inlineStr">
        <is>
          <t>-</t>
        </is>
      </c>
      <c r="P9" s="3" t="inlineStr">
        <is>
          <t>도장시설 허가득한 대형공장,현재 제조공장 성업중,전력500kw</t>
        </is>
      </c>
      <c r="Q9" s="6">
        <f>HYPERLINK("https://fin.land.naver.com/articles/2653681023", "매물Link")</f>
        <v/>
      </c>
      <c r="R9" s="6">
        <f>HYPERLINK("https://map.naver.com/p/search/강내면 다락리 110-37", "지도Link")</f>
        <v/>
      </c>
      <c r="S9" s="6">
        <f>HYPERLINK("http://www.eum.go.kr/web/ar/lu/luLandDet.jsp?pnu=4311331026101100037&amp;isNoScr=script&amp;mode=search", "토지이음")</f>
        <v/>
      </c>
      <c r="T9" s="3" t="inlineStr">
        <is>
          <t>금화랜드</t>
        </is>
      </c>
      <c r="U9" s="4" t="n">
        <v>1</v>
      </c>
      <c r="V9" s="5" t="n">
        <v>67</v>
      </c>
      <c r="W9" s="4" t="n">
        <v>3220</v>
      </c>
      <c r="X9" s="3" t="inlineStr">
        <is>
          <t>대장없음</t>
        </is>
      </c>
      <c r="Y9" s="7" t="inlineStr">
        <is>
          <t>대장없음</t>
        </is>
      </c>
      <c r="Z9" s="3" t="inlineStr">
        <is>
          <t>대장없음</t>
        </is>
      </c>
      <c r="AA9" s="3" t="inlineStr">
        <is>
          <t>대장없음</t>
        </is>
      </c>
      <c r="AB9" s="3" t="inlineStr">
        <is>
          <t>대장없음</t>
        </is>
      </c>
      <c r="AC9" s="3" t="inlineStr">
        <is>
          <t>대장없음</t>
        </is>
      </c>
      <c r="AD9" s="3" t="inlineStr">
        <is>
          <t>세로한면(가)</t>
        </is>
      </c>
    </row>
    <row r="10">
      <c r="A10" s="3" t="inlineStr">
        <is>
          <t>강내면 다락리 110-4</t>
        </is>
      </c>
      <c r="B10" s="3" t="inlineStr">
        <is>
          <t>계획관리지역</t>
        </is>
      </c>
      <c r="C10" s="3" t="inlineStr">
        <is>
          <t>공장용지</t>
        </is>
      </c>
      <c r="D10" s="3" t="inlineStr">
        <is>
          <t>공장</t>
        </is>
      </c>
      <c r="E10" s="3" t="inlineStr">
        <is>
          <t>월세</t>
        </is>
      </c>
      <c r="F10" s="4" t="n">
        <v>3000</v>
      </c>
      <c r="G10" s="4" t="n">
        <v>250</v>
      </c>
      <c r="H10" s="4" t="n">
        <v>5870</v>
      </c>
      <c r="I10" s="4" t="n">
        <v>1776</v>
      </c>
      <c r="J10" s="5" t="n">
        <v>0.1</v>
      </c>
      <c r="K10" s="4" t="n">
        <v>480</v>
      </c>
      <c r="L10" s="4" t="n">
        <v>145</v>
      </c>
      <c r="M10" s="5" t="n">
        <v>1.7</v>
      </c>
      <c r="N10" s="3" t="inlineStr">
        <is>
          <t>1</t>
        </is>
      </c>
      <c r="O10" s="3" t="inlineStr">
        <is>
          <t>-</t>
        </is>
      </c>
      <c r="P10" s="3" t="inlineStr">
        <is>
          <t>저렴한 공장임대 사용전력300kw이상가능,즉시입주</t>
        </is>
      </c>
      <c r="Q10" s="6">
        <f>HYPERLINK("https://fin.land.naver.com/articles/2651378745", "매물Link")</f>
        <v/>
      </c>
      <c r="R10" s="6">
        <f>HYPERLINK("https://map.naver.com/p/search/강내면 다락리 110-4", "지도Link")</f>
        <v/>
      </c>
      <c r="S10" s="6">
        <f>HYPERLINK("http://www.eum.go.kr/web/ar/lu/luLandDet.jsp?pnu=4311331026101100004&amp;isNoScr=script&amp;mode=search", "토지이음")</f>
        <v/>
      </c>
      <c r="T10" s="3" t="inlineStr">
        <is>
          <t>오송올래</t>
        </is>
      </c>
      <c r="U10" s="4" t="n">
        <v>1</v>
      </c>
      <c r="V10" s="5" t="n">
        <v>68.40000000000001</v>
      </c>
      <c r="W10" s="4" t="n">
        <v>231</v>
      </c>
      <c r="X10" s="3" t="inlineStr">
        <is>
          <t>미표기</t>
        </is>
      </c>
      <c r="Y10" s="7" t="inlineStr">
        <is>
          <t>1층</t>
        </is>
      </c>
      <c r="Z10" s="3" t="inlineStr">
        <is>
          <t>일반철골구조</t>
        </is>
      </c>
      <c r="AA10" s="3" t="inlineStr">
        <is>
          <t>공장</t>
        </is>
      </c>
      <c r="AB10" s="3" t="inlineStr">
        <is>
          <t>-</t>
        </is>
      </c>
      <c r="AC10" s="3" t="inlineStr">
        <is>
          <t>2002-12</t>
        </is>
      </c>
      <c r="AD10" s="3" t="inlineStr">
        <is>
          <t>세로한면(가)</t>
        </is>
      </c>
    </row>
    <row r="11">
      <c r="A11" s="3" t="inlineStr">
        <is>
          <t>강내면 다락리 110-9</t>
        </is>
      </c>
      <c r="B11" s="3" t="inlineStr">
        <is>
          <t>계획관리지역</t>
        </is>
      </c>
      <c r="C11" s="3" t="inlineStr">
        <is>
          <t>공장용지</t>
        </is>
      </c>
      <c r="D11" s="3" t="inlineStr">
        <is>
          <t>공장</t>
        </is>
      </c>
      <c r="E11" s="3" t="inlineStr">
        <is>
          <t>월세</t>
        </is>
      </c>
      <c r="F11" s="4" t="n">
        <v>3000</v>
      </c>
      <c r="G11" s="4" t="n">
        <v>200</v>
      </c>
      <c r="H11" s="4" t="n">
        <v>5870</v>
      </c>
      <c r="I11" s="4" t="n">
        <v>1776</v>
      </c>
      <c r="J11" s="5" t="n">
        <v>0.1</v>
      </c>
      <c r="K11" s="4" t="n">
        <v>980</v>
      </c>
      <c r="L11" s="4" t="n">
        <v>296</v>
      </c>
      <c r="M11" s="5" t="n">
        <v>0.7</v>
      </c>
      <c r="N11" s="3" t="inlineStr">
        <is>
          <t>2</t>
        </is>
      </c>
      <c r="O11" s="3" t="inlineStr">
        <is>
          <t>-</t>
        </is>
      </c>
      <c r="P11" s="3" t="inlineStr">
        <is>
          <t>월세저렴, 하이테크밸리 인접, 5미터 도로에 접함, 대형차량 진출입 용이</t>
        </is>
      </c>
      <c r="Q11" s="6">
        <f>HYPERLINK("https://fin.land.naver.com/articles/2650915582", "매물Link")</f>
        <v/>
      </c>
      <c r="R11" s="6">
        <f>HYPERLINK("https://map.naver.com/p/search/강내면 다락리 110-9", "지도Link")</f>
        <v/>
      </c>
      <c r="S11" s="6">
        <f>HYPERLINK("http://www.eum.go.kr/web/ar/lu/luLandDet.jsp?pnu=4311331026101100009&amp;isNoScr=script&amp;mode=search", "토지이음")</f>
        <v/>
      </c>
      <c r="T11" s="3" t="inlineStr">
        <is>
          <t>제이</t>
        </is>
      </c>
      <c r="U11" s="4" t="n">
        <v>1</v>
      </c>
      <c r="V11" s="5" t="n">
        <v>67</v>
      </c>
      <c r="W11" s="4" t="n">
        <v>2740</v>
      </c>
      <c r="X11" s="3" t="inlineStr">
        <is>
          <t>미표기</t>
        </is>
      </c>
      <c r="Y11" s="7" t="inlineStr">
        <is>
          <t>2층</t>
        </is>
      </c>
      <c r="Z11" s="3" t="inlineStr">
        <is>
          <t>일반철골구조</t>
        </is>
      </c>
      <c r="AA11" s="3" t="inlineStr">
        <is>
          <t>공장</t>
        </is>
      </c>
      <c r="AB11" s="3" t="inlineStr">
        <is>
          <t>9.9m</t>
        </is>
      </c>
      <c r="AC11" s="3" t="inlineStr">
        <is>
          <t>2008-08</t>
        </is>
      </c>
      <c r="AD11" s="3" t="inlineStr">
        <is>
          <t>세로한면(가)</t>
        </is>
      </c>
    </row>
    <row r="12">
      <c r="A12" s="3" t="inlineStr">
        <is>
          <t>강내면 다락리 110-9</t>
        </is>
      </c>
      <c r="B12" s="3" t="inlineStr">
        <is>
          <t>계획관리지역</t>
        </is>
      </c>
      <c r="C12" s="3" t="inlineStr">
        <is>
          <t>공장용지</t>
        </is>
      </c>
      <c r="D12" s="3" t="inlineStr">
        <is>
          <t>공장</t>
        </is>
      </c>
      <c r="E12" s="3" t="inlineStr">
        <is>
          <t>월세</t>
        </is>
      </c>
      <c r="F12" s="4" t="n">
        <v>3000</v>
      </c>
      <c r="G12" s="4" t="n">
        <v>200</v>
      </c>
      <c r="H12" s="4" t="n">
        <v>5870</v>
      </c>
      <c r="I12" s="4" t="n">
        <v>1776</v>
      </c>
      <c r="J12" s="5" t="n">
        <v>0.1</v>
      </c>
      <c r="K12" s="4" t="n">
        <v>490</v>
      </c>
      <c r="L12" s="4" t="n">
        <v>148</v>
      </c>
      <c r="M12" s="5" t="n">
        <v>1.4</v>
      </c>
      <c r="N12" s="3" t="inlineStr">
        <is>
          <t>2</t>
        </is>
      </c>
      <c r="O12" s="3" t="inlineStr">
        <is>
          <t>-</t>
        </is>
      </c>
      <c r="P12" s="3" t="inlineStr">
        <is>
          <t>세종,오송,조치원,청주 접근성과 컨디션 좋은 저렴한 창고</t>
        </is>
      </c>
      <c r="Q12" s="6">
        <f>HYPERLINK("https://fin.land.naver.com/articles/2651531591", "매물Link")</f>
        <v/>
      </c>
      <c r="R12" s="6">
        <f>HYPERLINK("https://map.naver.com/p/search/강내면 다락리 110-9", "지도Link")</f>
        <v/>
      </c>
      <c r="S12" s="6">
        <f>HYPERLINK("http://www.eum.go.kr/web/ar/lu/luLandDet.jsp?pnu=4311331026101100009&amp;isNoScr=script&amp;mode=search", "토지이음")</f>
        <v/>
      </c>
      <c r="T12" s="3" t="inlineStr">
        <is>
          <t>더오름</t>
        </is>
      </c>
      <c r="U12" s="4" t="n">
        <v>2</v>
      </c>
      <c r="V12" s="5" t="n">
        <v>67</v>
      </c>
      <c r="W12" s="4" t="n">
        <v>2740</v>
      </c>
      <c r="X12" s="3" t="inlineStr">
        <is>
          <t>미표기</t>
        </is>
      </c>
      <c r="Y12" s="7" t="inlineStr">
        <is>
          <t>1층</t>
        </is>
      </c>
      <c r="Z12" s="3" t="inlineStr">
        <is>
          <t>철근콘크리트구조</t>
        </is>
      </c>
      <c r="AA12" s="3" t="inlineStr">
        <is>
          <t>공장</t>
        </is>
      </c>
      <c r="AB12" s="3" t="inlineStr">
        <is>
          <t>-</t>
        </is>
      </c>
      <c r="AC12" s="3" t="inlineStr"/>
      <c r="AD12" s="3" t="inlineStr">
        <is>
          <t>세로한면(가)</t>
        </is>
      </c>
    </row>
    <row r="13">
      <c r="A13" s="3" t="inlineStr">
        <is>
          <t>강내면 다락리 110-9</t>
        </is>
      </c>
      <c r="B13" s="3" t="inlineStr">
        <is>
          <t>계획관리지역</t>
        </is>
      </c>
      <c r="C13" s="3" t="inlineStr">
        <is>
          <t>공장용지</t>
        </is>
      </c>
      <c r="D13" s="3" t="inlineStr">
        <is>
          <t>공장</t>
        </is>
      </c>
      <c r="E13" s="3" t="inlineStr">
        <is>
          <t>월세</t>
        </is>
      </c>
      <c r="F13" s="4" t="n">
        <v>3000</v>
      </c>
      <c r="G13" s="4" t="n">
        <v>250</v>
      </c>
      <c r="H13" s="4" t="n">
        <v>5870</v>
      </c>
      <c r="I13" s="4" t="n">
        <v>1776</v>
      </c>
      <c r="J13" s="5" t="n">
        <v>0.1</v>
      </c>
      <c r="K13" s="4" t="n">
        <v>480</v>
      </c>
      <c r="L13" s="4" t="n">
        <v>145</v>
      </c>
      <c r="M13" s="5" t="n">
        <v>1.7</v>
      </c>
      <c r="N13" s="3" t="inlineStr">
        <is>
          <t>1</t>
        </is>
      </c>
      <c r="O13" s="3" t="inlineStr">
        <is>
          <t>-</t>
        </is>
      </c>
      <c r="P13" s="3" t="inlineStr">
        <is>
          <t>nan</t>
        </is>
      </c>
      <c r="Q13" s="6">
        <f>HYPERLINK("https://fin.land.naver.com/articles/2650916208", "매물Link")</f>
        <v/>
      </c>
      <c r="R13" s="6">
        <f>HYPERLINK("https://map.naver.com/p/search/강내면 다락리 110-9", "지도Link")</f>
        <v/>
      </c>
      <c r="S13" s="6">
        <f>HYPERLINK("http://www.eum.go.kr/web/ar/lu/luLandDet.jsp?pnu=4311331026101100009&amp;isNoScr=script&amp;mode=search", "토지이음")</f>
        <v/>
      </c>
      <c r="T13" s="3" t="inlineStr">
        <is>
          <t>제이</t>
        </is>
      </c>
      <c r="U13" s="4" t="n">
        <v>1</v>
      </c>
      <c r="V13" s="5" t="n">
        <v>67</v>
      </c>
      <c r="W13" s="4" t="n">
        <v>2740</v>
      </c>
      <c r="X13" s="3" t="inlineStr">
        <is>
          <t>미표기</t>
        </is>
      </c>
      <c r="Y13" s="7" t="inlineStr">
        <is>
          <t>1층</t>
        </is>
      </c>
      <c r="Z13" s="3" t="inlineStr">
        <is>
          <t>철근콘크리트구조</t>
        </is>
      </c>
      <c r="AA13" s="3" t="inlineStr">
        <is>
          <t>공장</t>
        </is>
      </c>
      <c r="AB13" s="3" t="inlineStr">
        <is>
          <t>-</t>
        </is>
      </c>
      <c r="AC13" s="3" t="inlineStr"/>
      <c r="AD13" s="3" t="inlineStr">
        <is>
          <t>세로한면(가)</t>
        </is>
      </c>
    </row>
    <row r="14">
      <c r="A14" s="3" t="inlineStr">
        <is>
          <t>강내면 다락리 110-9</t>
        </is>
      </c>
      <c r="B14" s="3" t="inlineStr">
        <is>
          <t>계획관리지역</t>
        </is>
      </c>
      <c r="C14" s="3" t="inlineStr">
        <is>
          <t>공장용지</t>
        </is>
      </c>
      <c r="D14" s="3" t="inlineStr">
        <is>
          <t>공장</t>
        </is>
      </c>
      <c r="E14" s="3" t="inlineStr">
        <is>
          <t>매매</t>
        </is>
      </c>
      <c r="F14" s="4" t="n">
        <v>600000</v>
      </c>
      <c r="G14" s="4" t="n">
        <v>0</v>
      </c>
      <c r="H14" s="4" t="n">
        <v>9467</v>
      </c>
      <c r="I14" s="4" t="n">
        <v>2864</v>
      </c>
      <c r="J14" s="5" t="n">
        <v>209.5</v>
      </c>
      <c r="K14" s="4" t="n">
        <v>4026</v>
      </c>
      <c r="L14" s="4" t="n">
        <v>1218</v>
      </c>
      <c r="M14" s="5" t="n">
        <v>492.6</v>
      </c>
      <c r="N14" s="3" t="inlineStr">
        <is>
          <t>3</t>
        </is>
      </c>
      <c r="O14" s="3" t="inlineStr">
        <is>
          <t>-</t>
        </is>
      </c>
      <c r="P14" s="3" t="inlineStr">
        <is>
          <t>하이테크밸리 인근에 위치, 대로 개통 예정으로 대형차 진출입 용이</t>
        </is>
      </c>
      <c r="Q14" s="6">
        <f>HYPERLINK("https://fin.land.naver.com/articles/2650626599", "매물Link")</f>
        <v/>
      </c>
      <c r="R14" s="6">
        <f>HYPERLINK("https://map.naver.com/p/search/강내면 다락리 110-9", "지도Link")</f>
        <v/>
      </c>
      <c r="S14" s="6">
        <f>HYPERLINK("http://www.eum.go.kr/web/ar/lu/luLandDet.jsp?pnu=4311331026101100009&amp;isNoScr=script&amp;mode=search", "토지이음")</f>
        <v/>
      </c>
      <c r="T14" s="3" t="inlineStr">
        <is>
          <t>(주)미르</t>
        </is>
      </c>
      <c r="U14" s="4" t="n">
        <v>1</v>
      </c>
      <c r="V14" s="5" t="n">
        <v>67</v>
      </c>
      <c r="W14" s="4" t="n">
        <v>2740</v>
      </c>
      <c r="X14" s="3" t="inlineStr">
        <is>
          <t>미표기</t>
        </is>
      </c>
      <c r="Y14" s="7" t="inlineStr">
        <is>
          <t>1층</t>
        </is>
      </c>
      <c r="Z14" s="3" t="inlineStr">
        <is>
          <t>철골콘크리트구조</t>
        </is>
      </c>
      <c r="AA14" s="3" t="inlineStr">
        <is>
          <t>공장</t>
        </is>
      </c>
      <c r="AB14" s="3" t="inlineStr">
        <is>
          <t>11.5m</t>
        </is>
      </c>
      <c r="AC14" s="3" t="inlineStr">
        <is>
          <t>2002-01</t>
        </is>
      </c>
      <c r="AD14" s="3" t="inlineStr">
        <is>
          <t>세로한면(가)</t>
        </is>
      </c>
    </row>
    <row r="15">
      <c r="A15" s="3" t="inlineStr">
        <is>
          <t>강내면 다락리 110-9</t>
        </is>
      </c>
      <c r="B15" s="3" t="inlineStr">
        <is>
          <t>계획관리지역</t>
        </is>
      </c>
      <c r="C15" s="3" t="inlineStr">
        <is>
          <t>공장용지</t>
        </is>
      </c>
      <c r="D15" s="3" t="inlineStr">
        <is>
          <t>공장</t>
        </is>
      </c>
      <c r="E15" s="3" t="inlineStr">
        <is>
          <t>매매</t>
        </is>
      </c>
      <c r="F15" s="4" t="n">
        <v>600000</v>
      </c>
      <c r="G15" s="4" t="n">
        <v>0</v>
      </c>
      <c r="H15" s="4" t="n">
        <v>9467</v>
      </c>
      <c r="I15" s="4" t="n">
        <v>2864</v>
      </c>
      <c r="J15" s="5" t="n">
        <v>209.5</v>
      </c>
      <c r="K15" s="4" t="n">
        <v>4026</v>
      </c>
      <c r="L15" s="4" t="n">
        <v>1218</v>
      </c>
      <c r="M15" s="5" t="n">
        <v>492.6</v>
      </c>
      <c r="N15" s="3" t="inlineStr">
        <is>
          <t>3</t>
        </is>
      </c>
      <c r="O15" s="3" t="inlineStr">
        <is>
          <t>-</t>
        </is>
      </c>
      <c r="P15" s="3" t="inlineStr">
        <is>
          <t>4차선접한 강내 하이테크밸리 인접한 공장  대형차진출입용이</t>
        </is>
      </c>
      <c r="Q15" s="6">
        <f>HYPERLINK("https://fin.land.naver.com/articles/2652625588", "매물Link")</f>
        <v/>
      </c>
      <c r="R15" s="6">
        <f>HYPERLINK("https://map.naver.com/p/search/강내면 다락리 110-9", "지도Link")</f>
        <v/>
      </c>
      <c r="S15" s="6">
        <f>HYPERLINK("http://www.eum.go.kr/web/ar/lu/luLandDet.jsp?pnu=4311331026101100009&amp;isNoScr=script&amp;mode=search", "토지이음")</f>
        <v/>
      </c>
      <c r="T15" s="3" t="inlineStr">
        <is>
          <t>더원</t>
        </is>
      </c>
      <c r="U15" s="4" t="n">
        <v>1</v>
      </c>
      <c r="V15" s="5" t="n">
        <v>67</v>
      </c>
      <c r="W15" s="4" t="n">
        <v>2740</v>
      </c>
      <c r="X15" s="3" t="inlineStr">
        <is>
          <t>미표기</t>
        </is>
      </c>
      <c r="Y15" s="7" t="inlineStr">
        <is>
          <t>1층</t>
        </is>
      </c>
      <c r="Z15" s="3" t="inlineStr">
        <is>
          <t>철골콘크리트구조</t>
        </is>
      </c>
      <c r="AA15" s="3" t="inlineStr">
        <is>
          <t>공장</t>
        </is>
      </c>
      <c r="AB15" s="3" t="inlineStr">
        <is>
          <t>11.5m</t>
        </is>
      </c>
      <c r="AC15" s="3" t="inlineStr">
        <is>
          <t>2002-01</t>
        </is>
      </c>
      <c r="AD15" s="3" t="inlineStr">
        <is>
          <t>세로한면(가)</t>
        </is>
      </c>
    </row>
    <row r="16">
      <c r="A16" s="3" t="inlineStr">
        <is>
          <t>강내면 당곡리 153</t>
        </is>
      </c>
      <c r="B16" s="3" t="inlineStr">
        <is>
          <t>계획관리지역</t>
        </is>
      </c>
      <c r="C16" s="3" t="inlineStr">
        <is>
          <t>창고용지</t>
        </is>
      </c>
      <c r="D16" s="3" t="inlineStr">
        <is>
          <t>창고</t>
        </is>
      </c>
      <c r="E16" s="3" t="inlineStr">
        <is>
          <t>월세</t>
        </is>
      </c>
      <c r="F16" s="4" t="n">
        <v>3000</v>
      </c>
      <c r="G16" s="4" t="n">
        <v>350</v>
      </c>
      <c r="H16" s="4" t="n">
        <v>2086</v>
      </c>
      <c r="I16" s="4" t="n">
        <v>631</v>
      </c>
      <c r="J16" s="5" t="n">
        <v>0.6</v>
      </c>
      <c r="K16" s="4" t="n">
        <v>573</v>
      </c>
      <c r="L16" s="4" t="n">
        <v>173</v>
      </c>
      <c r="M16" s="5" t="n">
        <v>2</v>
      </c>
      <c r="N16" s="3" t="inlineStr">
        <is>
          <t>1</t>
        </is>
      </c>
      <c r="O16" s="3" t="inlineStr">
        <is>
          <t>-</t>
        </is>
      </c>
      <c r="P16" s="3" t="inlineStr">
        <is>
          <t>세종 청주로 인접 세종, 오송, 청주도심 접근성 좋은 창고 임대</t>
        </is>
      </c>
      <c r="Q16" s="6">
        <f>HYPERLINK("https://fin.land.naver.com/articles/2654186765", "매물Link")</f>
        <v/>
      </c>
      <c r="R16" s="6">
        <f>HYPERLINK("https://map.naver.com/p/search/강내면 당곡리 153", "지도Link")</f>
        <v/>
      </c>
      <c r="S16" s="6">
        <f>HYPERLINK("http://www.eum.go.kr/web/ar/lu/luLandDet.jsp?pnu=4311331024101530000&amp;isNoScr=script&amp;mode=search", "토지이음")</f>
        <v/>
      </c>
      <c r="T16" s="3" t="inlineStr">
        <is>
          <t>더원</t>
        </is>
      </c>
      <c r="U16" s="4" t="n">
        <v>1</v>
      </c>
      <c r="V16" s="5" t="n">
        <v>39.7</v>
      </c>
      <c r="W16" s="4" t="n">
        <v>1749</v>
      </c>
      <c r="X16" s="3" t="inlineStr">
        <is>
          <t>1동</t>
        </is>
      </c>
      <c r="Y16" s="7" t="inlineStr">
        <is>
          <t>1층</t>
        </is>
      </c>
      <c r="Z16" s="3" t="inlineStr">
        <is>
          <t>일반철골구조</t>
        </is>
      </c>
      <c r="AA16" s="3" t="inlineStr">
        <is>
          <t>창고시설</t>
        </is>
      </c>
      <c r="AB16" s="3" t="inlineStr">
        <is>
          <t>10.0m</t>
        </is>
      </c>
      <c r="AC16" s="3" t="inlineStr">
        <is>
          <t>2007-02</t>
        </is>
      </c>
      <c r="AD16" s="3" t="inlineStr">
        <is>
          <t>세로한면(가)</t>
        </is>
      </c>
    </row>
    <row r="17">
      <c r="A17" s="3" t="inlineStr">
        <is>
          <t>강내면 당곡리 154</t>
        </is>
      </c>
      <c r="B17" s="3" t="inlineStr">
        <is>
          <t>계획관리지역</t>
        </is>
      </c>
      <c r="C17" s="3" t="inlineStr">
        <is>
          <t>공장용지</t>
        </is>
      </c>
      <c r="D17" s="3" t="inlineStr">
        <is>
          <t>공장</t>
        </is>
      </c>
      <c r="E17" s="3" t="inlineStr">
        <is>
          <t>월세</t>
        </is>
      </c>
      <c r="F17" s="4" t="n">
        <v>3000</v>
      </c>
      <c r="G17" s="4" t="n">
        <v>300</v>
      </c>
      <c r="H17" s="4" t="n">
        <v>2000</v>
      </c>
      <c r="I17" s="4" t="n">
        <v>605</v>
      </c>
      <c r="J17" s="5" t="n">
        <v>0.5</v>
      </c>
      <c r="K17" s="4" t="n">
        <v>472</v>
      </c>
      <c r="L17" s="4" t="n">
        <v>143</v>
      </c>
      <c r="M17" s="5" t="n">
        <v>2.1</v>
      </c>
      <c r="N17" s="3" t="inlineStr">
        <is>
          <t>1</t>
        </is>
      </c>
      <c r="O17" s="3" t="inlineStr">
        <is>
          <t>-</t>
        </is>
      </c>
      <c r="P17" s="3" t="inlineStr">
        <is>
          <t>세종청주로 인접한 위치의 층고 높고 민원 소지 없는 공장</t>
        </is>
      </c>
      <c r="Q17" s="6">
        <f>HYPERLINK("https://fin.land.naver.com/articles/2654186583", "매물Link")</f>
        <v/>
      </c>
      <c r="R17" s="6">
        <f>HYPERLINK("https://map.naver.com/p/search/강내면 당곡리 154", "지도Link")</f>
        <v/>
      </c>
      <c r="S17" s="6">
        <f>HYPERLINK("http://www.eum.go.kr/web/ar/lu/luLandDet.jsp?pnu=4311331024101540000&amp;isNoScr=script&amp;mode=search", "토지이음")</f>
        <v/>
      </c>
      <c r="T17" s="3" t="inlineStr">
        <is>
          <t>더원</t>
        </is>
      </c>
      <c r="U17" s="4" t="n">
        <v>1</v>
      </c>
      <c r="V17" s="5" t="n">
        <v>39.7</v>
      </c>
      <c r="W17" s="4" t="n">
        <v>4661</v>
      </c>
      <c r="X17" s="3" t="inlineStr">
        <is>
          <t>주건축물제1동</t>
        </is>
      </c>
      <c r="Y17" s="7" t="inlineStr">
        <is>
          <t>1층</t>
        </is>
      </c>
      <c r="Z17" s="3" t="inlineStr">
        <is>
          <t>일반철골구조</t>
        </is>
      </c>
      <c r="AA17" s="3" t="inlineStr">
        <is>
          <t>공장</t>
        </is>
      </c>
      <c r="AB17" s="3" t="inlineStr">
        <is>
          <t>10.65m</t>
        </is>
      </c>
      <c r="AC17" s="3" t="inlineStr">
        <is>
          <t>2013-06</t>
        </is>
      </c>
      <c r="AD17" s="3" t="inlineStr">
        <is>
          <t>세로한면(가)</t>
        </is>
      </c>
    </row>
    <row r="18">
      <c r="A18" s="3" t="inlineStr">
        <is>
          <t>강내면 당곡리 154</t>
        </is>
      </c>
      <c r="B18" s="3" t="inlineStr">
        <is>
          <t>계획관리지역</t>
        </is>
      </c>
      <c r="C18" s="3" t="inlineStr">
        <is>
          <t>공장용지</t>
        </is>
      </c>
      <c r="D18" s="3" t="inlineStr">
        <is>
          <t>공장</t>
        </is>
      </c>
      <c r="E18" s="3" t="inlineStr">
        <is>
          <t>월세</t>
        </is>
      </c>
      <c r="F18" s="4" t="n">
        <v>3000</v>
      </c>
      <c r="G18" s="4" t="n">
        <v>290</v>
      </c>
      <c r="H18" s="4" t="n">
        <v>4661</v>
      </c>
      <c r="I18" s="4" t="n">
        <v>1410</v>
      </c>
      <c r="J18" s="5" t="n">
        <v>0.2</v>
      </c>
      <c r="K18" s="4" t="n">
        <v>472</v>
      </c>
      <c r="L18" s="4" t="n">
        <v>143</v>
      </c>
      <c r="M18" s="5" t="n">
        <v>2</v>
      </c>
      <c r="N18" s="3" t="inlineStr">
        <is>
          <t>1</t>
        </is>
      </c>
      <c r="O18" s="3" t="inlineStr">
        <is>
          <t>-</t>
        </is>
      </c>
      <c r="P18" s="3" t="inlineStr">
        <is>
          <t>명학산단 및 응암산단 가까운 접근성 편리한곳</t>
        </is>
      </c>
      <c r="Q18" s="6">
        <f>HYPERLINK("https://fin.land.naver.com/articles/2653397395", "매물Link")</f>
        <v/>
      </c>
      <c r="R18" s="6">
        <f>HYPERLINK("https://map.naver.com/p/search/강내면 당곡리 154", "지도Link")</f>
        <v/>
      </c>
      <c r="S18" s="6">
        <f>HYPERLINK("http://www.eum.go.kr/web/ar/lu/luLandDet.jsp?pnu=4311331024101540000&amp;isNoScr=script&amp;mode=search", "토지이음")</f>
        <v/>
      </c>
      <c r="T18" s="3" t="inlineStr">
        <is>
          <t>대박</t>
        </is>
      </c>
      <c r="U18" s="4" t="n">
        <v>1</v>
      </c>
      <c r="V18" s="5" t="n">
        <v>39.7</v>
      </c>
      <c r="W18" s="4" t="n">
        <v>4661</v>
      </c>
      <c r="X18" s="3" t="inlineStr">
        <is>
          <t>주건축물제1동</t>
        </is>
      </c>
      <c r="Y18" s="7" t="inlineStr">
        <is>
          <t>1층</t>
        </is>
      </c>
      <c r="Z18" s="3" t="inlineStr">
        <is>
          <t>일반철골구조</t>
        </is>
      </c>
      <c r="AA18" s="3" t="inlineStr">
        <is>
          <t>공장</t>
        </is>
      </c>
      <c r="AB18" s="3" t="inlineStr">
        <is>
          <t>10.65m</t>
        </is>
      </c>
      <c r="AC18" s="3" t="inlineStr">
        <is>
          <t>2013-06</t>
        </is>
      </c>
      <c r="AD18" s="3" t="inlineStr">
        <is>
          <t>세로한면(가)</t>
        </is>
      </c>
    </row>
    <row r="19">
      <c r="A19" s="3" t="inlineStr">
        <is>
          <t>강내면 사곡리 359</t>
        </is>
      </c>
      <c r="B19" s="3" t="inlineStr">
        <is>
          <t>계획관리지역</t>
        </is>
      </c>
      <c r="C19" s="3" t="inlineStr">
        <is>
          <t>공장용지</t>
        </is>
      </c>
      <c r="D19" s="3" t="inlineStr">
        <is>
          <t>공장</t>
        </is>
      </c>
      <c r="E19" s="3" t="inlineStr">
        <is>
          <t>월세</t>
        </is>
      </c>
      <c r="F19" s="4" t="n">
        <v>4000</v>
      </c>
      <c r="G19" s="4" t="n">
        <v>390</v>
      </c>
      <c r="H19" s="4" t="n">
        <v>5466</v>
      </c>
      <c r="I19" s="4" t="n">
        <v>1653</v>
      </c>
      <c r="J19" s="5" t="n">
        <v>0.2</v>
      </c>
      <c r="K19" s="4" t="n">
        <v>562</v>
      </c>
      <c r="L19" s="4" t="n">
        <v>170</v>
      </c>
      <c r="M19" s="5" t="n">
        <v>2.3</v>
      </c>
      <c r="N19" s="3" t="inlineStr">
        <is>
          <t>1</t>
        </is>
      </c>
      <c r="O19" s="3" t="inlineStr">
        <is>
          <t>-</t>
        </is>
      </c>
      <c r="P19" s="3" t="inlineStr">
        <is>
          <t>사진有 공장 임대</t>
        </is>
      </c>
      <c r="Q19" s="6">
        <f>HYPERLINK("https://fin.land.naver.com/articles/2652988625", "매물Link")</f>
        <v/>
      </c>
      <c r="R19" s="6">
        <f>HYPERLINK("https://map.naver.com/p/search/강내면 사곡리 359", "지도Link")</f>
        <v/>
      </c>
      <c r="S19" s="6">
        <f>HYPERLINK("http://www.eum.go.kr/web/ar/lu/luLandDet.jsp?pnu=4311331028103590000&amp;isNoScr=script&amp;mode=search", "토지이음")</f>
        <v/>
      </c>
      <c r="T19" s="3" t="inlineStr">
        <is>
          <t>월드</t>
        </is>
      </c>
      <c r="U19" s="4" t="n">
        <v>3</v>
      </c>
      <c r="V19" s="5" t="n">
        <v>58.8</v>
      </c>
      <c r="W19" s="4" t="n">
        <v>5466.8</v>
      </c>
      <c r="X19" s="3" t="inlineStr">
        <is>
          <t>주건축물제3동</t>
        </is>
      </c>
      <c r="Y19" s="7" t="inlineStr">
        <is>
          <t>1층</t>
        </is>
      </c>
      <c r="Z19" s="3" t="inlineStr">
        <is>
          <t>일반철골구조</t>
        </is>
      </c>
      <c r="AA19" s="3" t="inlineStr">
        <is>
          <t>공장</t>
        </is>
      </c>
      <c r="AB19" s="3" t="inlineStr">
        <is>
          <t>10.15m</t>
        </is>
      </c>
      <c r="AC19" s="3" t="inlineStr">
        <is>
          <t>2023-10</t>
        </is>
      </c>
      <c r="AD19" s="3" t="inlineStr">
        <is>
          <t>소로한면</t>
        </is>
      </c>
    </row>
    <row r="20">
      <c r="A20" s="3" t="inlineStr">
        <is>
          <t>강내면 사곡리 359</t>
        </is>
      </c>
      <c r="B20" s="3" t="inlineStr">
        <is>
          <t>계획관리지역</t>
        </is>
      </c>
      <c r="C20" s="3" t="inlineStr">
        <is>
          <t>공장용지</t>
        </is>
      </c>
      <c r="D20" s="3" t="inlineStr">
        <is>
          <t>공장</t>
        </is>
      </c>
      <c r="E20" s="3" t="inlineStr">
        <is>
          <t>월세</t>
        </is>
      </c>
      <c r="F20" s="4" t="n">
        <v>4000</v>
      </c>
      <c r="G20" s="4" t="n">
        <v>360</v>
      </c>
      <c r="H20" s="4" t="n">
        <v>5389</v>
      </c>
      <c r="I20" s="4" t="n">
        <v>1630</v>
      </c>
      <c r="J20" s="5" t="n">
        <v>0.2</v>
      </c>
      <c r="K20" s="4" t="n">
        <v>562</v>
      </c>
      <c r="L20" s="4" t="n">
        <v>170</v>
      </c>
      <c r="M20" s="5" t="n">
        <v>2.1</v>
      </c>
      <c r="N20" s="3" t="inlineStr">
        <is>
          <t>1</t>
        </is>
      </c>
      <c r="O20" s="3" t="inlineStr">
        <is>
          <t>-</t>
        </is>
      </c>
      <c r="P20" s="3" t="inlineStr">
        <is>
          <t>강내면 위치한 신축 공장창고 길가에 바로 위치하여 출입 편리함</t>
        </is>
      </c>
      <c r="Q20" s="6">
        <f>HYPERLINK("https://fin.land.naver.com/articles/2649686035", "매물Link")</f>
        <v/>
      </c>
      <c r="R20" s="6">
        <f>HYPERLINK("https://map.naver.com/p/search/강내면 사곡리 359", "지도Link")</f>
        <v/>
      </c>
      <c r="S20" s="6">
        <f>HYPERLINK("http://www.eum.go.kr/web/ar/lu/luLandDet.jsp?pnu=4311331028103590000&amp;isNoScr=script&amp;mode=search", "토지이음")</f>
        <v/>
      </c>
      <c r="T20" s="3" t="inlineStr">
        <is>
          <t>태광</t>
        </is>
      </c>
      <c r="U20" s="4" t="n">
        <v>1</v>
      </c>
      <c r="V20" s="5" t="n">
        <v>58.8</v>
      </c>
      <c r="W20" s="4" t="n">
        <v>5466.8</v>
      </c>
      <c r="X20" s="3" t="inlineStr">
        <is>
          <t>주건축물제3동</t>
        </is>
      </c>
      <c r="Y20" s="7" t="inlineStr">
        <is>
          <t>1층</t>
        </is>
      </c>
      <c r="Z20" s="3" t="inlineStr">
        <is>
          <t>일반철골구조</t>
        </is>
      </c>
      <c r="AA20" s="3" t="inlineStr">
        <is>
          <t>공장</t>
        </is>
      </c>
      <c r="AB20" s="3" t="inlineStr">
        <is>
          <t>10.15m</t>
        </is>
      </c>
      <c r="AC20" s="3" t="inlineStr">
        <is>
          <t>2023-10</t>
        </is>
      </c>
      <c r="AD20" s="3" t="inlineStr">
        <is>
          <t>소로한면</t>
        </is>
      </c>
    </row>
    <row r="21">
      <c r="A21" s="3" t="inlineStr">
        <is>
          <t>강내면 사곡리 359</t>
        </is>
      </c>
      <c r="B21" s="3" t="inlineStr">
        <is>
          <t>계획관리지역</t>
        </is>
      </c>
      <c r="C21" s="3" t="inlineStr">
        <is>
          <t>공장용지</t>
        </is>
      </c>
      <c r="D21" s="3" t="inlineStr">
        <is>
          <t>공장</t>
        </is>
      </c>
      <c r="E21" s="3" t="inlineStr">
        <is>
          <t>월세</t>
        </is>
      </c>
      <c r="F21" s="4" t="n">
        <v>6200</v>
      </c>
      <c r="G21" s="4" t="n">
        <v>620</v>
      </c>
      <c r="H21" s="4" t="n">
        <v>5466</v>
      </c>
      <c r="I21" s="4" t="n">
        <v>1653</v>
      </c>
      <c r="J21" s="5" t="n">
        <v>0.4</v>
      </c>
      <c r="K21" s="4" t="n">
        <v>919</v>
      </c>
      <c r="L21" s="4" t="n">
        <v>278</v>
      </c>
      <c r="M21" s="5" t="n">
        <v>2.2</v>
      </c>
      <c r="N21" s="3" t="inlineStr">
        <is>
          <t>1</t>
        </is>
      </c>
      <c r="O21" s="3" t="inlineStr">
        <is>
          <t>-</t>
        </is>
      </c>
      <c r="P21" s="3" t="inlineStr">
        <is>
          <t>사진有 공장 임대</t>
        </is>
      </c>
      <c r="Q21" s="6">
        <f>HYPERLINK("https://fin.land.naver.com/articles/2653025267", "매물Link")</f>
        <v/>
      </c>
      <c r="R21" s="6">
        <f>HYPERLINK("https://map.naver.com/p/search/강내면 사곡리 359", "지도Link")</f>
        <v/>
      </c>
      <c r="S21" s="6">
        <f>HYPERLINK("http://www.eum.go.kr/web/ar/lu/luLandDet.jsp?pnu=4311331028103590000&amp;isNoScr=script&amp;mode=search", "토지이음")</f>
        <v/>
      </c>
      <c r="T21" s="3" t="inlineStr">
        <is>
          <t>월드</t>
        </is>
      </c>
      <c r="U21" s="4" t="n">
        <v>5</v>
      </c>
      <c r="V21" s="5" t="n">
        <v>58.8</v>
      </c>
      <c r="W21" s="4" t="n">
        <v>5466.8</v>
      </c>
      <c r="X21" s="3" t="inlineStr">
        <is>
          <t>주건축물제1동</t>
        </is>
      </c>
      <c r="Y21" s="7" t="inlineStr">
        <is>
          <t>1층</t>
        </is>
      </c>
      <c r="Z21" s="3" t="inlineStr">
        <is>
          <t>일반철골구조</t>
        </is>
      </c>
      <c r="AA21" s="3" t="inlineStr">
        <is>
          <t>공장</t>
        </is>
      </c>
      <c r="AB21" s="3" t="inlineStr">
        <is>
          <t>10.45m</t>
        </is>
      </c>
      <c r="AC21" s="3" t="inlineStr">
        <is>
          <t>2018-05</t>
        </is>
      </c>
      <c r="AD21" s="3" t="inlineStr">
        <is>
          <t>소로한면</t>
        </is>
      </c>
    </row>
    <row r="22">
      <c r="A22" s="3" t="inlineStr">
        <is>
          <t>강내면 사곡리 359</t>
        </is>
      </c>
      <c r="B22" s="3" t="inlineStr">
        <is>
          <t>계획관리지역</t>
        </is>
      </c>
      <c r="C22" s="3" t="inlineStr">
        <is>
          <t>공장용지</t>
        </is>
      </c>
      <c r="D22" s="3" t="inlineStr">
        <is>
          <t>공장</t>
        </is>
      </c>
      <c r="E22" s="3" t="inlineStr">
        <is>
          <t>매매</t>
        </is>
      </c>
      <c r="F22" s="4" t="n">
        <v>416000</v>
      </c>
      <c r="G22" s="4" t="n">
        <v>0</v>
      </c>
      <c r="H22" s="4" t="n">
        <v>5466</v>
      </c>
      <c r="I22" s="4" t="n">
        <v>1653</v>
      </c>
      <c r="J22" s="5" t="n">
        <v>251.7</v>
      </c>
      <c r="K22" s="4" t="n">
        <v>2176</v>
      </c>
      <c r="L22" s="4" t="n">
        <v>658</v>
      </c>
      <c r="M22" s="5" t="n">
        <v>632.2</v>
      </c>
      <c r="N22" s="3" t="inlineStr">
        <is>
          <t>1</t>
        </is>
      </c>
      <c r="O22" s="3" t="inlineStr">
        <is>
          <t>-</t>
        </is>
      </c>
      <c r="P22" s="3" t="inlineStr">
        <is>
          <t>2차선에 접한 공장매매입니다</t>
        </is>
      </c>
      <c r="Q22" s="6">
        <f>HYPERLINK("https://fin.land.naver.com/articles/2649394377", "매물Link")</f>
        <v/>
      </c>
      <c r="R22" s="6">
        <f>HYPERLINK("https://map.naver.com/p/search/강내면 사곡리 359", "지도Link")</f>
        <v/>
      </c>
      <c r="S22" s="6">
        <f>HYPERLINK("http://www.eum.go.kr/web/ar/lu/luLandDet.jsp?pnu=4311331028103590000&amp;isNoScr=script&amp;mode=search", "토지이음")</f>
        <v/>
      </c>
      <c r="T22" s="3" t="inlineStr">
        <is>
          <t>복댕이</t>
        </is>
      </c>
      <c r="U22" s="4" t="n">
        <v>1</v>
      </c>
      <c r="V22" s="5" t="n">
        <v>58.8</v>
      </c>
      <c r="W22" s="4" t="n">
        <v>5466.8</v>
      </c>
      <c r="X22" s="3" t="inlineStr">
        <is>
          <t>주건축물제1동</t>
        </is>
      </c>
      <c r="Y22" s="7" t="inlineStr">
        <is>
          <t>1층</t>
        </is>
      </c>
      <c r="Z22" s="3" t="inlineStr">
        <is>
          <t>일반철골구조</t>
        </is>
      </c>
      <c r="AA22" s="3" t="inlineStr">
        <is>
          <t>공장</t>
        </is>
      </c>
      <c r="AB22" s="3" t="inlineStr">
        <is>
          <t>10.45m</t>
        </is>
      </c>
      <c r="AC22" s="3" t="inlineStr">
        <is>
          <t>2018-05</t>
        </is>
      </c>
      <c r="AD22" s="3" t="inlineStr">
        <is>
          <t>소로한면</t>
        </is>
      </c>
    </row>
    <row r="23">
      <c r="A23" s="3" t="inlineStr">
        <is>
          <t>강내면 사곡리 359</t>
        </is>
      </c>
      <c r="B23" s="3" t="inlineStr">
        <is>
          <t>계획관리지역</t>
        </is>
      </c>
      <c r="C23" s="3" t="inlineStr">
        <is>
          <t>공장용지</t>
        </is>
      </c>
      <c r="D23" s="3" t="inlineStr">
        <is>
          <t>공장</t>
        </is>
      </c>
      <c r="E23" s="3" t="inlineStr">
        <is>
          <t>월세</t>
        </is>
      </c>
      <c r="F23" s="4" t="n">
        <v>4000</v>
      </c>
      <c r="G23" s="4" t="n">
        <v>340</v>
      </c>
      <c r="H23" s="4" t="n">
        <v>5466</v>
      </c>
      <c r="I23" s="4" t="n">
        <v>1653</v>
      </c>
      <c r="J23" s="5" t="n">
        <v>0.2</v>
      </c>
      <c r="K23" s="4" t="n">
        <v>562</v>
      </c>
      <c r="L23" s="4" t="n">
        <v>170</v>
      </c>
      <c r="M23" s="5" t="n">
        <v>2</v>
      </c>
      <c r="N23" s="3" t="inlineStr">
        <is>
          <t>1</t>
        </is>
      </c>
      <c r="O23" s="3" t="inlineStr">
        <is>
          <t>-</t>
        </is>
      </c>
      <c r="P23" s="3" t="inlineStr">
        <is>
          <t>차량 진출입이 편리하고 2차선 도로와 접한 층고 높은 신축공장</t>
        </is>
      </c>
      <c r="Q23" s="6">
        <f>HYPERLINK("https://fin.land.naver.com/articles/2651574473", "매물Link")</f>
        <v/>
      </c>
      <c r="R23" s="6">
        <f>HYPERLINK("https://map.naver.com/p/search/강내면 사곡리 359", "지도Link")</f>
        <v/>
      </c>
      <c r="S23" s="6">
        <f>HYPERLINK("http://www.eum.go.kr/web/ar/lu/luLandDet.jsp?pnu=4311331028103590000&amp;isNoScr=script&amp;mode=search", "토지이음")</f>
        <v/>
      </c>
      <c r="T23" s="3" t="inlineStr">
        <is>
          <t>(주)미르</t>
        </is>
      </c>
      <c r="U23" s="4" t="n">
        <v>1</v>
      </c>
      <c r="V23" s="5" t="n">
        <v>58.8</v>
      </c>
      <c r="W23" s="4" t="n">
        <v>5466.8</v>
      </c>
      <c r="X23" s="3" t="inlineStr">
        <is>
          <t>주건축물제3동</t>
        </is>
      </c>
      <c r="Y23" s="7" t="inlineStr">
        <is>
          <t>1층</t>
        </is>
      </c>
      <c r="Z23" s="3" t="inlineStr">
        <is>
          <t>일반철골구조</t>
        </is>
      </c>
      <c r="AA23" s="3" t="inlineStr">
        <is>
          <t>공장</t>
        </is>
      </c>
      <c r="AB23" s="3" t="inlineStr">
        <is>
          <t>10.15m</t>
        </is>
      </c>
      <c r="AC23" s="3" t="inlineStr">
        <is>
          <t>2023-10</t>
        </is>
      </c>
      <c r="AD23" s="3" t="inlineStr">
        <is>
          <t>소로한면</t>
        </is>
      </c>
    </row>
    <row r="24">
      <c r="A24" s="3" t="inlineStr">
        <is>
          <t>강내면 산단리 109</t>
        </is>
      </c>
      <c r="B24" s="3" t="inlineStr">
        <is>
          <t>계획관리지역</t>
        </is>
      </c>
      <c r="C24" s="3" t="inlineStr">
        <is>
          <t>공장용지</t>
        </is>
      </c>
      <c r="D24" s="3" t="inlineStr">
        <is>
          <t>공장</t>
        </is>
      </c>
      <c r="E24" s="3" t="inlineStr">
        <is>
          <t>매매</t>
        </is>
      </c>
      <c r="F24" s="4" t="n">
        <v>250000</v>
      </c>
      <c r="G24" s="4" t="n">
        <v>0</v>
      </c>
      <c r="H24" s="4" t="n">
        <v>5299</v>
      </c>
      <c r="I24" s="4" t="n">
        <v>1603</v>
      </c>
      <c r="J24" s="5" t="n">
        <v>156</v>
      </c>
      <c r="K24" s="4" t="n">
        <v>2148</v>
      </c>
      <c r="L24" s="4" t="n">
        <v>650</v>
      </c>
      <c r="M24" s="5" t="n">
        <v>384.6</v>
      </c>
      <c r="N24" s="3" t="inlineStr">
        <is>
          <t>2</t>
        </is>
      </c>
      <c r="O24" s="3" t="inlineStr">
        <is>
          <t>-</t>
        </is>
      </c>
      <c r="P24" s="3" t="inlineStr">
        <is>
          <t>강내 일반 산업단지 인근에 위치하여 접근성 양호,계획관리지역</t>
        </is>
      </c>
      <c r="Q24" s="6">
        <f>HYPERLINK("https://fin.land.naver.com/articles/2653576415", "매물Link")</f>
        <v/>
      </c>
      <c r="R24" s="6">
        <f>HYPERLINK("https://map.naver.com/p/search/강내면 산단리 109", "지도Link")</f>
        <v/>
      </c>
      <c r="S24" s="6">
        <f>HYPERLINK("http://www.eum.go.kr/web/ar/lu/luLandDet.jsp?pnu=4311331025101090000&amp;isNoScr=script&amp;mode=search", "토지이음")</f>
        <v/>
      </c>
      <c r="T24" s="3" t="inlineStr">
        <is>
          <t>(주)미르</t>
        </is>
      </c>
      <c r="U24" s="4" t="n">
        <v>2</v>
      </c>
      <c r="V24" s="5" t="n">
        <v>77.3</v>
      </c>
      <c r="W24" s="4" t="n">
        <v>2984</v>
      </c>
      <c r="X24" s="3" t="inlineStr">
        <is>
          <t>미표기</t>
        </is>
      </c>
      <c r="Y24" s="7" t="inlineStr">
        <is>
          <t>2층</t>
        </is>
      </c>
      <c r="Z24" s="3" t="inlineStr">
        <is>
          <t>일반철골구조</t>
        </is>
      </c>
      <c r="AA24" s="3" t="inlineStr">
        <is>
          <t>공장</t>
        </is>
      </c>
      <c r="AB24" s="3" t="inlineStr">
        <is>
          <t>8.65m</t>
        </is>
      </c>
      <c r="AC24" s="3" t="inlineStr">
        <is>
          <t>2003-03</t>
        </is>
      </c>
      <c r="AD24" s="3" t="inlineStr">
        <is>
          <t>세로한면(가)</t>
        </is>
      </c>
    </row>
    <row r="25">
      <c r="A25" s="3" t="inlineStr">
        <is>
          <t>강내면 산단리 109</t>
        </is>
      </c>
      <c r="B25" s="3" t="inlineStr">
        <is>
          <t>계획관리지역</t>
        </is>
      </c>
      <c r="C25" s="3" t="inlineStr">
        <is>
          <t>공장용지</t>
        </is>
      </c>
      <c r="D25" s="3" t="inlineStr">
        <is>
          <t>공장</t>
        </is>
      </c>
      <c r="E25" s="3" t="inlineStr">
        <is>
          <t>매매</t>
        </is>
      </c>
      <c r="F25" s="4" t="n">
        <v>250000</v>
      </c>
      <c r="G25" s="4" t="n">
        <v>0</v>
      </c>
      <c r="H25" s="4" t="n">
        <v>5299</v>
      </c>
      <c r="I25" s="4" t="n">
        <v>1603</v>
      </c>
      <c r="J25" s="5" t="n">
        <v>156</v>
      </c>
      <c r="K25" s="4" t="n">
        <v>2148</v>
      </c>
      <c r="L25" s="4" t="n">
        <v>650</v>
      </c>
      <c r="M25" s="5" t="n">
        <v>384.6</v>
      </c>
      <c r="N25" s="3" t="inlineStr">
        <is>
          <t>2</t>
        </is>
      </c>
      <c r="O25" s="3" t="inlineStr">
        <is>
          <t>-</t>
        </is>
      </c>
      <c r="P25" s="3" t="inlineStr">
        <is>
          <t>청주,남청주ic 약15분정도 접근성 우수한 공장입니다</t>
        </is>
      </c>
      <c r="Q25" s="6">
        <f>HYPERLINK("https://fin.land.naver.com/articles/2653095633", "매물Link")</f>
        <v/>
      </c>
      <c r="R25" s="6">
        <f>HYPERLINK("https://map.naver.com/p/search/강내면 산단리 109", "지도Link")</f>
        <v/>
      </c>
      <c r="S25" s="6">
        <f>HYPERLINK("http://www.eum.go.kr/web/ar/lu/luLandDet.jsp?pnu=4311331025101090000&amp;isNoScr=script&amp;mode=search", "토지이음")</f>
        <v/>
      </c>
      <c r="T25" s="3" t="inlineStr">
        <is>
          <t>복댕이</t>
        </is>
      </c>
      <c r="U25" s="4" t="n">
        <v>1</v>
      </c>
      <c r="V25" s="5" t="n">
        <v>77.3</v>
      </c>
      <c r="W25" s="4" t="n">
        <v>2984</v>
      </c>
      <c r="X25" s="3" t="inlineStr">
        <is>
          <t>미표기</t>
        </is>
      </c>
      <c r="Y25" s="7" t="inlineStr">
        <is>
          <t>2층</t>
        </is>
      </c>
      <c r="Z25" s="3" t="inlineStr">
        <is>
          <t>일반철골구조</t>
        </is>
      </c>
      <c r="AA25" s="3" t="inlineStr">
        <is>
          <t>공장</t>
        </is>
      </c>
      <c r="AB25" s="3" t="inlineStr">
        <is>
          <t>8.65m</t>
        </is>
      </c>
      <c r="AC25" s="3" t="inlineStr">
        <is>
          <t>2003-03</t>
        </is>
      </c>
      <c r="AD25" s="3" t="inlineStr">
        <is>
          <t>세로한면(가)</t>
        </is>
      </c>
    </row>
    <row r="26">
      <c r="A26" s="3" t="inlineStr">
        <is>
          <t>강내면 산단리 109</t>
        </is>
      </c>
      <c r="B26" s="3" t="inlineStr">
        <is>
          <t>계획관리지역</t>
        </is>
      </c>
      <c r="C26" s="3" t="inlineStr">
        <is>
          <t>공장용지</t>
        </is>
      </c>
      <c r="D26" s="3" t="inlineStr">
        <is>
          <t>공장</t>
        </is>
      </c>
      <c r="E26" s="3" t="inlineStr">
        <is>
          <t>매매</t>
        </is>
      </c>
      <c r="F26" s="4" t="n">
        <v>250000</v>
      </c>
      <c r="G26" s="4" t="n">
        <v>0</v>
      </c>
      <c r="H26" s="4" t="n">
        <v>5299</v>
      </c>
      <c r="I26" s="4" t="n">
        <v>1603</v>
      </c>
      <c r="J26" s="5" t="n">
        <v>156</v>
      </c>
      <c r="K26" s="4" t="n">
        <v>2148</v>
      </c>
      <c r="L26" s="4" t="n">
        <v>650</v>
      </c>
      <c r="M26" s="5" t="n">
        <v>384.6</v>
      </c>
      <c r="N26" s="3" t="inlineStr">
        <is>
          <t>2</t>
        </is>
      </c>
      <c r="O26" s="3" t="inlineStr">
        <is>
          <t>-</t>
        </is>
      </c>
      <c r="P26" s="3" t="inlineStr">
        <is>
          <t>청주하이테크밸리 인근 공장 밀집지 민원 소지없는 위치</t>
        </is>
      </c>
      <c r="Q26" s="6">
        <f>HYPERLINK("https://fin.land.naver.com/articles/2651673597", "매물Link")</f>
        <v/>
      </c>
      <c r="R26" s="6">
        <f>HYPERLINK("https://map.naver.com/p/search/강내면 산단리 109", "지도Link")</f>
        <v/>
      </c>
      <c r="S26" s="6">
        <f>HYPERLINK("http://www.eum.go.kr/web/ar/lu/luLandDet.jsp?pnu=4311331025101090000&amp;isNoScr=script&amp;mode=search", "토지이음")</f>
        <v/>
      </c>
      <c r="T26" s="3" t="inlineStr">
        <is>
          <t>더원</t>
        </is>
      </c>
      <c r="U26" s="4" t="n">
        <v>1</v>
      </c>
      <c r="V26" s="5" t="n">
        <v>77.3</v>
      </c>
      <c r="W26" s="4" t="n">
        <v>2984</v>
      </c>
      <c r="X26" s="3" t="inlineStr">
        <is>
          <t>미표기</t>
        </is>
      </c>
      <c r="Y26" s="7" t="inlineStr">
        <is>
          <t>2층</t>
        </is>
      </c>
      <c r="Z26" s="3" t="inlineStr">
        <is>
          <t>일반철골구조</t>
        </is>
      </c>
      <c r="AA26" s="3" t="inlineStr">
        <is>
          <t>공장</t>
        </is>
      </c>
      <c r="AB26" s="3" t="inlineStr">
        <is>
          <t>8.65m</t>
        </is>
      </c>
      <c r="AC26" s="3" t="inlineStr">
        <is>
          <t>2003-03</t>
        </is>
      </c>
      <c r="AD26" s="3" t="inlineStr">
        <is>
          <t>세로한면(가)</t>
        </is>
      </c>
    </row>
    <row r="27">
      <c r="A27" s="3" t="inlineStr">
        <is>
          <t>강내면 산단리 116-2</t>
        </is>
      </c>
      <c r="B27" s="3" t="inlineStr">
        <is>
          <t>계획관리지역</t>
        </is>
      </c>
      <c r="C27" s="3" t="inlineStr">
        <is>
          <t>공장용지</t>
        </is>
      </c>
      <c r="D27" s="3" t="inlineStr">
        <is>
          <t>공장</t>
        </is>
      </c>
      <c r="E27" s="3" t="inlineStr">
        <is>
          <t>매매</t>
        </is>
      </c>
      <c r="F27" s="4" t="n">
        <v>120000</v>
      </c>
      <c r="G27" s="4" t="n">
        <v>0</v>
      </c>
      <c r="H27" s="4" t="n">
        <v>1723</v>
      </c>
      <c r="I27" s="4" t="n">
        <v>521</v>
      </c>
      <c r="J27" s="5" t="n">
        <v>230.3</v>
      </c>
      <c r="K27" s="4" t="n">
        <v>1224</v>
      </c>
      <c r="L27" s="4" t="n">
        <v>370</v>
      </c>
      <c r="M27" s="5" t="n">
        <v>324.3</v>
      </c>
      <c r="N27" s="3" t="inlineStr">
        <is>
          <t>3</t>
        </is>
      </c>
      <c r="O27" s="3" t="inlineStr">
        <is>
          <t>-</t>
        </is>
      </c>
      <c r="P27" s="3" t="inlineStr">
        <is>
          <t>사진有 육가공공장, 도로접근성좋음, 민원발생없음, 가치상승효과좋음</t>
        </is>
      </c>
      <c r="Q27" s="6">
        <f>HYPERLINK("https://fin.land.naver.com/articles/2650474190", "매물Link")</f>
        <v/>
      </c>
      <c r="R27" s="6">
        <f>HYPERLINK("https://map.naver.com/p/search/강내면 산단리 116-2", "지도Link")</f>
        <v/>
      </c>
      <c r="S27" s="6">
        <f>HYPERLINK("http://www.eum.go.kr/web/ar/lu/luLandDet.jsp?pnu=4311331025101160002&amp;isNoScr=script&amp;mode=search", "토지이음")</f>
        <v/>
      </c>
      <c r="T27" s="3" t="inlineStr">
        <is>
          <t>한아름</t>
        </is>
      </c>
      <c r="U27" s="4" t="n">
        <v>1</v>
      </c>
      <c r="V27" s="5" t="n">
        <v>77.3</v>
      </c>
      <c r="W27" s="4" t="n">
        <v>1723</v>
      </c>
      <c r="X27" s="3" t="inlineStr">
        <is>
          <t>미표기</t>
        </is>
      </c>
      <c r="Y27" s="7" t="inlineStr">
        <is>
          <t>3층</t>
        </is>
      </c>
      <c r="Z27" s="3" t="inlineStr">
        <is>
          <t>철골콘크리트구조</t>
        </is>
      </c>
      <c r="AA27" s="3" t="inlineStr">
        <is>
          <t>공장</t>
        </is>
      </c>
      <c r="AB27" s="3" t="inlineStr">
        <is>
          <t>10.9m</t>
        </is>
      </c>
      <c r="AC27" s="3" t="inlineStr">
        <is>
          <t>1992-08</t>
        </is>
      </c>
      <c r="AD27" s="3" t="inlineStr">
        <is>
          <t>세로한면(가)</t>
        </is>
      </c>
    </row>
    <row r="28">
      <c r="A28" s="3" t="inlineStr">
        <is>
          <t>강내면 산단리 135-6</t>
        </is>
      </c>
      <c r="B28" s="3" t="inlineStr">
        <is>
          <t>계획관리지역</t>
        </is>
      </c>
      <c r="C28" s="3" t="inlineStr">
        <is>
          <t>공장용지</t>
        </is>
      </c>
      <c r="D28" s="3" t="inlineStr">
        <is>
          <t>공장</t>
        </is>
      </c>
      <c r="E28" s="3" t="inlineStr">
        <is>
          <t>월세</t>
        </is>
      </c>
      <c r="F28" s="4" t="n">
        <v>4000</v>
      </c>
      <c r="G28" s="4" t="n">
        <v>360</v>
      </c>
      <c r="H28" s="4" t="n">
        <v>1808</v>
      </c>
      <c r="I28" s="4" t="n">
        <v>547</v>
      </c>
      <c r="J28" s="5" t="n">
        <v>0.7</v>
      </c>
      <c r="K28" s="4" t="n">
        <v>396</v>
      </c>
      <c r="L28" s="4" t="n">
        <v>120</v>
      </c>
      <c r="M28" s="5" t="n">
        <v>3</v>
      </c>
      <c r="N28" s="3" t="inlineStr">
        <is>
          <t>1</t>
        </is>
      </c>
      <c r="O28" s="3" t="inlineStr">
        <is>
          <t>-</t>
        </is>
      </c>
      <c r="P28" s="3" t="inlineStr">
        <is>
          <t>청주 공장 임대 오송,세종,옥산 인근 제조업 가능</t>
        </is>
      </c>
      <c r="Q28" s="6">
        <f>HYPERLINK("https://fin.land.naver.com/articles/2651622751", "매물Link")</f>
        <v/>
      </c>
      <c r="R28" s="6">
        <f>HYPERLINK("https://map.naver.com/p/search/강내면 산단리 135-6", "지도Link")</f>
        <v/>
      </c>
      <c r="S28" s="6">
        <f>HYPERLINK("http://www.eum.go.kr/web/ar/lu/luLandDet.jsp?pnu=4311331025101350006&amp;isNoScr=script&amp;mode=search", "토지이음")</f>
        <v/>
      </c>
      <c r="T28" s="3" t="inlineStr">
        <is>
          <t>새로이</t>
        </is>
      </c>
      <c r="U28" s="4" t="n">
        <v>1</v>
      </c>
      <c r="V28" s="5" t="n">
        <v>68.40000000000001</v>
      </c>
      <c r="W28" s="4" t="n">
        <v>1808</v>
      </c>
      <c r="X28" s="3" t="inlineStr">
        <is>
          <t>부속건축물 제1동</t>
        </is>
      </c>
      <c r="Y28" s="7" t="inlineStr">
        <is>
          <t>2층</t>
        </is>
      </c>
      <c r="Z28" s="3" t="inlineStr">
        <is>
          <t>일반철골구조</t>
        </is>
      </c>
      <c r="AA28" s="3" t="inlineStr">
        <is>
          <t>공장</t>
        </is>
      </c>
      <c r="AB28" s="3" t="inlineStr">
        <is>
          <t>8.4m</t>
        </is>
      </c>
      <c r="AC28" s="3" t="inlineStr">
        <is>
          <t>2024-07</t>
        </is>
      </c>
      <c r="AD28" s="3" t="inlineStr">
        <is>
          <t>세로한면(가)</t>
        </is>
      </c>
    </row>
    <row r="29">
      <c r="A29" s="3" t="inlineStr">
        <is>
          <t>강내면 산단리 135-6</t>
        </is>
      </c>
      <c r="B29" s="3" t="inlineStr">
        <is>
          <t>계획관리지역</t>
        </is>
      </c>
      <c r="C29" s="3" t="inlineStr">
        <is>
          <t>공장용지</t>
        </is>
      </c>
      <c r="D29" s="3" t="inlineStr">
        <is>
          <t>공장</t>
        </is>
      </c>
      <c r="E29" s="3" t="inlineStr">
        <is>
          <t>월세</t>
        </is>
      </c>
      <c r="F29" s="4" t="n">
        <v>7000</v>
      </c>
      <c r="G29" s="4" t="n">
        <v>550</v>
      </c>
      <c r="H29" s="4" t="n">
        <v>2238</v>
      </c>
      <c r="I29" s="4" t="n">
        <v>677</v>
      </c>
      <c r="J29" s="5" t="n">
        <v>0.8</v>
      </c>
      <c r="K29" s="4" t="n">
        <v>604</v>
      </c>
      <c r="L29" s="4" t="n">
        <v>183</v>
      </c>
      <c r="M29" s="5" t="n">
        <v>3</v>
      </c>
      <c r="N29" s="3" t="inlineStr">
        <is>
          <t>1</t>
        </is>
      </c>
      <c r="O29" s="3" t="inlineStr">
        <is>
          <t>-</t>
        </is>
      </c>
      <c r="P29" s="3" t="inlineStr">
        <is>
          <t>nan</t>
        </is>
      </c>
      <c r="Q29" s="6">
        <f>HYPERLINK("https://fin.land.naver.com/articles/2651365317", "매물Link")</f>
        <v/>
      </c>
      <c r="R29" s="6">
        <f>HYPERLINK("https://map.naver.com/p/search/강내면 산단리 135-6", "지도Link")</f>
        <v/>
      </c>
      <c r="S29" s="6">
        <f>HYPERLINK("http://www.eum.go.kr/web/ar/lu/luLandDet.jsp?pnu=4311331025101350006&amp;isNoScr=script&amp;mode=search", "토지이음")</f>
        <v/>
      </c>
      <c r="T29" s="3" t="inlineStr">
        <is>
          <t>새로이</t>
        </is>
      </c>
      <c r="U29" s="4" t="n">
        <v>1</v>
      </c>
      <c r="V29" s="5" t="n">
        <v>68.40000000000001</v>
      </c>
      <c r="W29" s="4" t="n">
        <v>1808</v>
      </c>
      <c r="X29" s="3" t="inlineStr">
        <is>
          <t>주건축물 제1동</t>
        </is>
      </c>
      <c r="Y29" s="7" t="inlineStr">
        <is>
          <t>1층</t>
        </is>
      </c>
      <c r="Z29" s="3" t="inlineStr">
        <is>
          <t>일반철골구조</t>
        </is>
      </c>
      <c r="AA29" s="3" t="inlineStr">
        <is>
          <t>공장</t>
        </is>
      </c>
      <c r="AB29" s="3" t="inlineStr">
        <is>
          <t>10.2m</t>
        </is>
      </c>
      <c r="AC29" s="3" t="inlineStr">
        <is>
          <t>2024-07</t>
        </is>
      </c>
      <c r="AD29" s="3" t="inlineStr">
        <is>
          <t>세로한면(가)</t>
        </is>
      </c>
    </row>
    <row r="30">
      <c r="A30" s="3" t="inlineStr">
        <is>
          <t>강내면 산단리 226-1</t>
        </is>
      </c>
      <c r="B30" s="3" t="inlineStr">
        <is>
          <t>계획관리지역</t>
        </is>
      </c>
      <c r="C30" s="3" t="inlineStr">
        <is>
          <t>공장용지</t>
        </is>
      </c>
      <c r="D30" s="3" t="inlineStr">
        <is>
          <t>공장</t>
        </is>
      </c>
      <c r="E30" s="3" t="inlineStr">
        <is>
          <t>매매</t>
        </is>
      </c>
      <c r="F30" s="4" t="n">
        <v>2000000</v>
      </c>
      <c r="G30" s="4" t="n">
        <v>0</v>
      </c>
      <c r="H30" s="4" t="n">
        <v>30332</v>
      </c>
      <c r="I30" s="4" t="n">
        <v>9175</v>
      </c>
      <c r="J30" s="5" t="n">
        <v>218</v>
      </c>
      <c r="K30" s="4" t="n">
        <v>19784</v>
      </c>
      <c r="L30" s="4" t="n">
        <v>5985</v>
      </c>
      <c r="M30" s="5" t="n">
        <v>334.2</v>
      </c>
      <c r="N30" s="3" t="inlineStr">
        <is>
          <t>3</t>
        </is>
      </c>
      <c r="O30" s="3" t="inlineStr">
        <is>
          <t>-</t>
        </is>
      </c>
      <c r="P30" s="3" t="inlineStr">
        <is>
          <t>강내일반산업단지 인근 대형물류센터 및 대형공장 강력추천 매매물건</t>
        </is>
      </c>
      <c r="Q30" s="6">
        <f>HYPERLINK("https://fin.land.naver.com/articles/2651989648", "매물Link")</f>
        <v/>
      </c>
      <c r="R30" s="6">
        <f>HYPERLINK("https://map.naver.com/p/search/강내면 산단리 226-1", "지도Link")</f>
        <v/>
      </c>
      <c r="S30" s="6">
        <f>HYPERLINK("http://www.eum.go.kr/web/ar/lu/luLandDet.jsp?pnu=4311331025102260001&amp;isNoScr=script&amp;mode=search", "토지이음")</f>
        <v/>
      </c>
      <c r="T30" s="3" t="inlineStr">
        <is>
          <t>태광</t>
        </is>
      </c>
      <c r="U30" s="4" t="n">
        <v>1</v>
      </c>
      <c r="V30" s="5" t="n">
        <v>69.09999999999999</v>
      </c>
      <c r="W30" s="4" t="n">
        <v>21743</v>
      </c>
      <c r="X30" s="3" t="inlineStr">
        <is>
          <t>1동</t>
        </is>
      </c>
      <c r="Y30" s="7" t="inlineStr">
        <is>
          <t>3층</t>
        </is>
      </c>
      <c r="Z30" s="3" t="inlineStr">
        <is>
          <t>일반철골구조</t>
        </is>
      </c>
      <c r="AA30" s="3" t="inlineStr">
        <is>
          <t>공장</t>
        </is>
      </c>
      <c r="AB30" s="3" t="inlineStr">
        <is>
          <t>20.0m</t>
        </is>
      </c>
      <c r="AC30" s="3" t="inlineStr">
        <is>
          <t>2005-07</t>
        </is>
      </c>
      <c r="AD30" s="3" t="inlineStr">
        <is>
          <t>세로한면(가)</t>
        </is>
      </c>
    </row>
    <row r="31">
      <c r="A31" s="3" t="inlineStr">
        <is>
          <t>강내면 산단리 226-1</t>
        </is>
      </c>
      <c r="B31" s="3" t="inlineStr">
        <is>
          <t>계획관리지역</t>
        </is>
      </c>
      <c r="C31" s="3" t="inlineStr">
        <is>
          <t>공장용지</t>
        </is>
      </c>
      <c r="D31" s="3" t="inlineStr">
        <is>
          <t>공장</t>
        </is>
      </c>
      <c r="E31" s="3" t="inlineStr">
        <is>
          <t>월세</t>
        </is>
      </c>
      <c r="F31" s="4" t="n">
        <v>150000</v>
      </c>
      <c r="G31" s="4" t="n">
        <v>15000</v>
      </c>
      <c r="H31" s="4" t="n">
        <v>48084</v>
      </c>
      <c r="I31" s="4" t="n">
        <v>14545</v>
      </c>
      <c r="J31" s="5" t="n">
        <v>1</v>
      </c>
      <c r="K31" s="4" t="n">
        <v>19784</v>
      </c>
      <c r="L31" s="4" t="n">
        <v>5985</v>
      </c>
      <c r="M31" s="5" t="n">
        <v>2.5</v>
      </c>
      <c r="N31" s="3" t="inlineStr">
        <is>
          <t>3</t>
        </is>
      </c>
      <c r="O31" s="3" t="inlineStr">
        <is>
          <t>-</t>
        </is>
      </c>
      <c r="P31" s="3" t="inlineStr">
        <is>
          <t>남청주ic 접근성 좋고대형차진출입용이한대형공장및물류창고</t>
        </is>
      </c>
      <c r="Q31" s="6">
        <f>HYPERLINK("https://fin.land.naver.com/articles/2652625541", "매물Link")</f>
        <v/>
      </c>
      <c r="R31" s="6">
        <f>HYPERLINK("https://map.naver.com/p/search/강내면 산단리 226-1", "지도Link")</f>
        <v/>
      </c>
      <c r="S31" s="6">
        <f>HYPERLINK("http://www.eum.go.kr/web/ar/lu/luLandDet.jsp?pnu=4311331025102260001&amp;isNoScr=script&amp;mode=search", "토지이음")</f>
        <v/>
      </c>
      <c r="T31" s="3" t="inlineStr">
        <is>
          <t>더원</t>
        </is>
      </c>
      <c r="U31" s="4" t="n">
        <v>1</v>
      </c>
      <c r="V31" s="5" t="n">
        <v>69.09999999999999</v>
      </c>
      <c r="W31" s="4" t="n">
        <v>21743</v>
      </c>
      <c r="X31" s="3" t="inlineStr">
        <is>
          <t>1동</t>
        </is>
      </c>
      <c r="Y31" s="7" t="inlineStr">
        <is>
          <t>3층</t>
        </is>
      </c>
      <c r="Z31" s="3" t="inlineStr">
        <is>
          <t>일반철골구조</t>
        </is>
      </c>
      <c r="AA31" s="3" t="inlineStr">
        <is>
          <t>공장</t>
        </is>
      </c>
      <c r="AB31" s="3" t="inlineStr">
        <is>
          <t>20.0m</t>
        </is>
      </c>
      <c r="AC31" s="3" t="inlineStr">
        <is>
          <t>2005-07</t>
        </is>
      </c>
      <c r="AD31" s="3" t="inlineStr">
        <is>
          <t>세로한면(가)</t>
        </is>
      </c>
    </row>
    <row r="32">
      <c r="A32" s="3" t="inlineStr">
        <is>
          <t>강내면 산단리 89-3</t>
        </is>
      </c>
      <c r="B32" s="3" t="inlineStr">
        <is>
          <t>계획관리지역</t>
        </is>
      </c>
      <c r="C32" s="3" t="inlineStr">
        <is>
          <t>전</t>
        </is>
      </c>
      <c r="D32" s="3" t="inlineStr">
        <is>
          <t>창고</t>
        </is>
      </c>
      <c r="E32" s="3" t="inlineStr">
        <is>
          <t>월세</t>
        </is>
      </c>
      <c r="F32" s="4" t="n">
        <v>3000</v>
      </c>
      <c r="G32" s="4" t="n">
        <v>150</v>
      </c>
      <c r="H32" s="4" t="n">
        <v>1715</v>
      </c>
      <c r="I32" s="4" t="n">
        <v>519</v>
      </c>
      <c r="J32" s="5" t="n">
        <v>0.3</v>
      </c>
      <c r="K32" s="4" t="n">
        <v>198</v>
      </c>
      <c r="L32" s="4" t="n">
        <v>60</v>
      </c>
      <c r="M32" s="5" t="n">
        <v>2.5</v>
      </c>
      <c r="N32" s="3" t="inlineStr">
        <is>
          <t>1</t>
        </is>
      </c>
      <c r="O32" s="3" t="inlineStr">
        <is>
          <t>-</t>
        </is>
      </c>
      <c r="P32" s="3" t="inlineStr">
        <is>
          <t>강내면 산단인근 2차선변 소형창고</t>
        </is>
      </c>
      <c r="Q32" s="6">
        <f>HYPERLINK("https://fin.land.naver.com/articles/2651926960", "매물Link")</f>
        <v/>
      </c>
      <c r="R32" s="6">
        <f>HYPERLINK("https://map.naver.com/p/search/강내면 산단리 89-3", "지도Link")</f>
        <v/>
      </c>
      <c r="S32" s="6">
        <f>HYPERLINK("http://www.eum.go.kr/web/ar/lu/luLandDet.jsp?pnu=4311331025100890003&amp;isNoScr=script&amp;mode=search", "토지이음")</f>
        <v/>
      </c>
      <c r="T32" s="3" t="inlineStr">
        <is>
          <t>창고의여왕</t>
        </is>
      </c>
      <c r="U32" s="4" t="n">
        <v>1</v>
      </c>
      <c r="V32" s="5" t="n">
        <v>40</v>
      </c>
      <c r="W32" s="4" t="n">
        <v>1715</v>
      </c>
      <c r="X32" s="3" t="inlineStr">
        <is>
          <t>대장없음</t>
        </is>
      </c>
      <c r="Y32" s="7" t="inlineStr">
        <is>
          <t>대장없음</t>
        </is>
      </c>
      <c r="Z32" s="3" t="inlineStr">
        <is>
          <t>대장없음</t>
        </is>
      </c>
      <c r="AA32" s="3" t="inlineStr">
        <is>
          <t>대장없음</t>
        </is>
      </c>
      <c r="AB32" s="3" t="inlineStr">
        <is>
          <t>대장없음</t>
        </is>
      </c>
      <c r="AC32" s="3" t="inlineStr">
        <is>
          <t>대장없음</t>
        </is>
      </c>
      <c r="AD32" s="3" t="inlineStr">
        <is>
          <t>소로한면</t>
        </is>
      </c>
    </row>
    <row r="33">
      <c r="A33" s="3" t="inlineStr">
        <is>
          <t>강내면 산단리 94</t>
        </is>
      </c>
      <c r="B33" s="3" t="inlineStr">
        <is>
          <t>계획관리지역</t>
        </is>
      </c>
      <c r="C33" s="3" t="inlineStr">
        <is>
          <t>대</t>
        </is>
      </c>
      <c r="D33" s="3" t="inlineStr">
        <is>
          <t>창고</t>
        </is>
      </c>
      <c r="E33" s="3" t="inlineStr">
        <is>
          <t>월세</t>
        </is>
      </c>
      <c r="F33" s="4" t="n">
        <v>3000</v>
      </c>
      <c r="G33" s="4" t="n">
        <v>130</v>
      </c>
      <c r="H33" s="4" t="n">
        <v>2284</v>
      </c>
      <c r="I33" s="4" t="n">
        <v>691</v>
      </c>
      <c r="J33" s="5" t="n">
        <v>0.2</v>
      </c>
      <c r="K33" s="4" t="n">
        <v>165</v>
      </c>
      <c r="L33" s="4" t="n">
        <v>50</v>
      </c>
      <c r="M33" s="5" t="n">
        <v>2.6</v>
      </c>
      <c r="N33" s="3" t="inlineStr">
        <is>
          <t>1</t>
        </is>
      </c>
      <c r="O33" s="3" t="inlineStr">
        <is>
          <t>-</t>
        </is>
      </c>
      <c r="P33" s="3" t="inlineStr">
        <is>
          <t>사진 有, 청주IC 12분, 2차선 도로접, 강내산업단지 인근 신축</t>
        </is>
      </c>
      <c r="Q33" s="6">
        <f>HYPERLINK("https://fin.land.naver.com/articles/2654417797", "매물Link")</f>
        <v/>
      </c>
      <c r="R33" s="6">
        <f>HYPERLINK("https://map.naver.com/p/search/강내면 산단리 94", "지도Link")</f>
        <v/>
      </c>
      <c r="S33" s="6">
        <f>HYPERLINK("http://www.eum.go.kr/web/ar/lu/luLandDet.jsp?pnu=4311331025100940000&amp;isNoScr=script&amp;mode=search", "토지이음")</f>
        <v/>
      </c>
      <c r="T33" s="3" t="inlineStr">
        <is>
          <t>나는</t>
        </is>
      </c>
      <c r="U33" s="4" t="n">
        <v>2</v>
      </c>
      <c r="V33" s="5" t="n">
        <v>58.7</v>
      </c>
      <c r="W33" s="4" t="n">
        <v>2277</v>
      </c>
      <c r="X33" s="3" t="inlineStr">
        <is>
          <t>주건축물제3동</t>
        </is>
      </c>
      <c r="Y33" s="7" t="inlineStr">
        <is>
          <t>1층</t>
        </is>
      </c>
      <c r="Z33" s="3" t="inlineStr">
        <is>
          <t>경량철골구조</t>
        </is>
      </c>
      <c r="AA33" s="3" t="inlineStr">
        <is>
          <t>제2종근생</t>
        </is>
      </c>
      <c r="AB33" s="3" t="inlineStr">
        <is>
          <t>8.1m</t>
        </is>
      </c>
      <c r="AC33" s="3" t="inlineStr">
        <is>
          <t>2026-04</t>
        </is>
      </c>
      <c r="AD33" s="3" t="inlineStr">
        <is>
          <t>세로한면(가)</t>
        </is>
      </c>
    </row>
    <row r="34">
      <c r="A34" s="3" t="inlineStr">
        <is>
          <t>강내면 산단리 94</t>
        </is>
      </c>
      <c r="B34" s="3" t="inlineStr">
        <is>
          <t>계획관리지역</t>
        </is>
      </c>
      <c r="C34" s="3" t="inlineStr">
        <is>
          <t>대</t>
        </is>
      </c>
      <c r="D34" s="3" t="inlineStr">
        <is>
          <t>공장</t>
        </is>
      </c>
      <c r="E34" s="3" t="inlineStr">
        <is>
          <t>월세</t>
        </is>
      </c>
      <c r="F34" s="4" t="n">
        <v>3000</v>
      </c>
      <c r="G34" s="4" t="n">
        <v>150</v>
      </c>
      <c r="H34" s="4" t="n">
        <v>2284</v>
      </c>
      <c r="I34" s="4" t="n">
        <v>691</v>
      </c>
      <c r="J34" s="5" t="n">
        <v>0.2</v>
      </c>
      <c r="K34" s="4" t="n">
        <v>199</v>
      </c>
      <c r="L34" s="4" t="n">
        <v>60</v>
      </c>
      <c r="M34" s="5" t="n">
        <v>2.5</v>
      </c>
      <c r="N34" s="3" t="inlineStr">
        <is>
          <t>1</t>
        </is>
      </c>
      <c r="O34" s="3" t="inlineStr">
        <is>
          <t>-</t>
        </is>
      </c>
      <c r="P34" s="3" t="inlineStr">
        <is>
          <t>사진 有, 청주IC 12분, 2차선 도로접, 강내산업단지 인근 신축 60</t>
        </is>
      </c>
      <c r="Q34" s="6">
        <f>HYPERLINK("https://fin.land.naver.com/articles/2654428605", "매물Link")</f>
        <v/>
      </c>
      <c r="R34" s="6">
        <f>HYPERLINK("https://map.naver.com/p/search/강내면 산단리 94", "지도Link")</f>
        <v/>
      </c>
      <c r="S34" s="6">
        <f>HYPERLINK("http://www.eum.go.kr/web/ar/lu/luLandDet.jsp?pnu=4311331025100940000&amp;isNoScr=script&amp;mode=search", "토지이음")</f>
        <v/>
      </c>
      <c r="T34" s="3" t="inlineStr">
        <is>
          <t>나는</t>
        </is>
      </c>
      <c r="U34" s="4" t="n">
        <v>3</v>
      </c>
      <c r="V34" s="5" t="n">
        <v>58.7</v>
      </c>
      <c r="W34" s="4" t="n">
        <v>2277</v>
      </c>
      <c r="X34" s="3" t="inlineStr">
        <is>
          <t>주건축물제2동</t>
        </is>
      </c>
      <c r="Y34" s="7" t="inlineStr">
        <is>
          <t>1층</t>
        </is>
      </c>
      <c r="Z34" s="3" t="inlineStr">
        <is>
          <t>경량철골구조</t>
        </is>
      </c>
      <c r="AA34" s="3" t="inlineStr">
        <is>
          <t>제2종근생</t>
        </is>
      </c>
      <c r="AB34" s="3" t="inlineStr">
        <is>
          <t>8.1m</t>
        </is>
      </c>
      <c r="AC34" s="3" t="inlineStr">
        <is>
          <t>2026-04</t>
        </is>
      </c>
      <c r="AD34" s="3" t="inlineStr">
        <is>
          <t>세로한면(가)</t>
        </is>
      </c>
    </row>
    <row r="35">
      <c r="A35" s="3" t="inlineStr">
        <is>
          <t>강내면 산단리 94</t>
        </is>
      </c>
      <c r="B35" s="3" t="inlineStr">
        <is>
          <t>계획관리지역</t>
        </is>
      </c>
      <c r="C35" s="3" t="inlineStr">
        <is>
          <t>대</t>
        </is>
      </c>
      <c r="D35" s="3" t="inlineStr">
        <is>
          <t>창고</t>
        </is>
      </c>
      <c r="E35" s="3" t="inlineStr">
        <is>
          <t>월세</t>
        </is>
      </c>
      <c r="F35" s="4" t="n">
        <v>3000</v>
      </c>
      <c r="G35" s="4" t="n">
        <v>150</v>
      </c>
      <c r="H35" s="4" t="n">
        <v>2284</v>
      </c>
      <c r="I35" s="4" t="n">
        <v>691</v>
      </c>
      <c r="J35" s="5" t="n">
        <v>0.2</v>
      </c>
      <c r="K35" s="4" t="n">
        <v>199</v>
      </c>
      <c r="L35" s="4" t="n">
        <v>60</v>
      </c>
      <c r="M35" s="5" t="n">
        <v>2.5</v>
      </c>
      <c r="N35" s="3" t="inlineStr">
        <is>
          <t>1</t>
        </is>
      </c>
      <c r="O35" s="3" t="inlineStr">
        <is>
          <t>-</t>
        </is>
      </c>
      <c r="P35" s="3" t="inlineStr">
        <is>
          <t>청주 흥덕구 강내면 산단리 창고 월세</t>
        </is>
      </c>
      <c r="Q35" s="6">
        <f>HYPERLINK("https://fin.land.naver.com/articles/2654536778", "매물Link")</f>
        <v/>
      </c>
      <c r="R35" s="6">
        <f>HYPERLINK("https://map.naver.com/p/search/강내면 산단리 94", "지도Link")</f>
        <v/>
      </c>
      <c r="S35" s="6">
        <f>HYPERLINK("http://www.eum.go.kr/web/ar/lu/luLandDet.jsp?pnu=4311331025100940000&amp;isNoScr=script&amp;mode=search", "토지이음")</f>
        <v/>
      </c>
      <c r="T35" s="3" t="inlineStr">
        <is>
          <t>일등무소</t>
        </is>
      </c>
      <c r="U35" s="4" t="n">
        <v>1</v>
      </c>
      <c r="V35" s="5" t="n">
        <v>58.7</v>
      </c>
      <c r="W35" s="4" t="n">
        <v>2277</v>
      </c>
      <c r="X35" s="3" t="inlineStr">
        <is>
          <t>주건축물제2동</t>
        </is>
      </c>
      <c r="Y35" s="7" t="inlineStr">
        <is>
          <t>1층</t>
        </is>
      </c>
      <c r="Z35" s="3" t="inlineStr">
        <is>
          <t>경량철골구조</t>
        </is>
      </c>
      <c r="AA35" s="3" t="inlineStr">
        <is>
          <t>제2종근생</t>
        </is>
      </c>
      <c r="AB35" s="3" t="inlineStr">
        <is>
          <t>8.1m</t>
        </is>
      </c>
      <c r="AC35" s="3" t="inlineStr">
        <is>
          <t>2026-04</t>
        </is>
      </c>
      <c r="AD35" s="3" t="inlineStr">
        <is>
          <t>세로한면(가)</t>
        </is>
      </c>
    </row>
    <row r="36">
      <c r="A36" s="3" t="inlineStr">
        <is>
          <t>강내면 산단리 94</t>
        </is>
      </c>
      <c r="B36" s="3" t="inlineStr">
        <is>
          <t>계획관리지역</t>
        </is>
      </c>
      <c r="C36" s="3" t="inlineStr">
        <is>
          <t>대</t>
        </is>
      </c>
      <c r="D36" s="3" t="inlineStr">
        <is>
          <t>창고</t>
        </is>
      </c>
      <c r="E36" s="3" t="inlineStr">
        <is>
          <t>월세</t>
        </is>
      </c>
      <c r="F36" s="4" t="n">
        <v>10000</v>
      </c>
      <c r="G36" s="4" t="n">
        <v>550</v>
      </c>
      <c r="H36" s="4" t="n">
        <v>2284</v>
      </c>
      <c r="I36" s="4" t="n">
        <v>691</v>
      </c>
      <c r="J36" s="5" t="n">
        <v>0.8</v>
      </c>
      <c r="K36" s="4" t="n">
        <v>729</v>
      </c>
      <c r="L36" s="4" t="n">
        <v>221</v>
      </c>
      <c r="M36" s="5" t="n">
        <v>2.5</v>
      </c>
      <c r="N36" s="3" t="inlineStr">
        <is>
          <t>1</t>
        </is>
      </c>
      <c r="O36" s="3" t="inlineStr">
        <is>
          <t>-</t>
        </is>
      </c>
      <c r="P36" s="3" t="inlineStr">
        <is>
          <t>준공완료  2종근생 제조업소 및 창고 입니다.</t>
        </is>
      </c>
      <c r="Q36" s="6">
        <f>HYPERLINK("https://fin.land.naver.com/articles/2651733895", "매물Link")</f>
        <v/>
      </c>
      <c r="R36" s="6">
        <f>HYPERLINK("https://map.naver.com/p/search/강내면 산단리 94", "지도Link")</f>
        <v/>
      </c>
      <c r="S36" s="6">
        <f>HYPERLINK("http://www.eum.go.kr/web/ar/lu/luLandDet.jsp?pnu=4311331025100940000&amp;isNoScr=script&amp;mode=search", "토지이음")</f>
        <v/>
      </c>
      <c r="T36" s="3" t="inlineStr">
        <is>
          <t>타임합동사무소</t>
        </is>
      </c>
      <c r="U36" s="4" t="n">
        <v>1</v>
      </c>
      <c r="V36" s="5" t="n">
        <v>58.7</v>
      </c>
      <c r="W36" s="4" t="n">
        <v>2277</v>
      </c>
      <c r="X36" s="3" t="inlineStr">
        <is>
          <t>주건축물제1동</t>
        </is>
      </c>
      <c r="Y36" s="7" t="inlineStr">
        <is>
          <t>1층</t>
        </is>
      </c>
      <c r="Z36" s="3" t="inlineStr">
        <is>
          <t>경량철골구조</t>
        </is>
      </c>
      <c r="AA36" s="3" t="inlineStr">
        <is>
          <t>제2종근생</t>
        </is>
      </c>
      <c r="AB36" s="3" t="inlineStr">
        <is>
          <t>7.79m</t>
        </is>
      </c>
      <c r="AC36" s="3" t="inlineStr">
        <is>
          <t>2026-04</t>
        </is>
      </c>
      <c r="AD36" s="3" t="inlineStr">
        <is>
          <t>세로한면(가)</t>
        </is>
      </c>
    </row>
    <row r="37">
      <c r="A37" s="3" t="inlineStr">
        <is>
          <t>강내면 산단리 94</t>
        </is>
      </c>
      <c r="B37" s="3" t="inlineStr">
        <is>
          <t>계획관리지역</t>
        </is>
      </c>
      <c r="C37" s="3" t="inlineStr">
        <is>
          <t>대</t>
        </is>
      </c>
      <c r="D37" s="3" t="inlineStr">
        <is>
          <t>창고</t>
        </is>
      </c>
      <c r="E37" s="3" t="inlineStr">
        <is>
          <t>월세</t>
        </is>
      </c>
      <c r="F37" s="4" t="n">
        <v>3000</v>
      </c>
      <c r="G37" s="4" t="n">
        <v>150</v>
      </c>
      <c r="H37" s="4" t="n">
        <v>2284</v>
      </c>
      <c r="I37" s="4" t="n">
        <v>691</v>
      </c>
      <c r="J37" s="5" t="n">
        <v>0.2</v>
      </c>
      <c r="K37" s="4" t="n">
        <v>729</v>
      </c>
      <c r="L37" s="4" t="n">
        <v>221</v>
      </c>
      <c r="M37" s="5" t="n">
        <v>0.7</v>
      </c>
      <c r="N37" s="3" t="inlineStr">
        <is>
          <t>1</t>
        </is>
      </c>
      <c r="O37" s="3" t="inlineStr">
        <is>
          <t>-</t>
        </is>
      </c>
      <c r="P37" s="3" t="inlineStr">
        <is>
          <t>준공완료  2종근생 제조업소 및 창고 입니다.</t>
        </is>
      </c>
      <c r="Q37" s="6">
        <f>HYPERLINK("https://fin.land.naver.com/articles/2651733991", "매물Link")</f>
        <v/>
      </c>
      <c r="R37" s="6">
        <f>HYPERLINK("https://map.naver.com/p/search/강내면 산단리 94", "지도Link")</f>
        <v/>
      </c>
      <c r="S37" s="6">
        <f>HYPERLINK("http://www.eum.go.kr/web/ar/lu/luLandDet.jsp?pnu=4311331025100940000&amp;isNoScr=script&amp;mode=search", "토지이음")</f>
        <v/>
      </c>
      <c r="T37" s="3" t="inlineStr">
        <is>
          <t>타임합동사무소</t>
        </is>
      </c>
      <c r="U37" s="4" t="n">
        <v>1</v>
      </c>
      <c r="V37" s="5" t="n">
        <v>58.7</v>
      </c>
      <c r="W37" s="4" t="n">
        <v>2277</v>
      </c>
      <c r="X37" s="3" t="inlineStr">
        <is>
          <t>주건축물제1동</t>
        </is>
      </c>
      <c r="Y37" s="7" t="inlineStr">
        <is>
          <t>1층</t>
        </is>
      </c>
      <c r="Z37" s="3" t="inlineStr">
        <is>
          <t>경량철골구조</t>
        </is>
      </c>
      <c r="AA37" s="3" t="inlineStr">
        <is>
          <t>제2종근생</t>
        </is>
      </c>
      <c r="AB37" s="3" t="inlineStr">
        <is>
          <t>7.79m</t>
        </is>
      </c>
      <c r="AC37" s="3" t="inlineStr">
        <is>
          <t>2026-04</t>
        </is>
      </c>
      <c r="AD37" s="3" t="inlineStr">
        <is>
          <t>세로한면(가)</t>
        </is>
      </c>
    </row>
    <row r="38">
      <c r="A38" s="3" t="inlineStr">
        <is>
          <t>강내면 산단리 94</t>
        </is>
      </c>
      <c r="B38" s="3" t="inlineStr">
        <is>
          <t>계획관리지역</t>
        </is>
      </c>
      <c r="C38" s="3" t="inlineStr">
        <is>
          <t>대</t>
        </is>
      </c>
      <c r="D38" s="3" t="inlineStr">
        <is>
          <t>창고</t>
        </is>
      </c>
      <c r="E38" s="3" t="inlineStr">
        <is>
          <t>월세</t>
        </is>
      </c>
      <c r="F38" s="4" t="n">
        <v>3000</v>
      </c>
      <c r="G38" s="4" t="n">
        <v>130</v>
      </c>
      <c r="H38" s="4" t="n">
        <v>2284</v>
      </c>
      <c r="I38" s="4" t="n">
        <v>691</v>
      </c>
      <c r="J38" s="5" t="n">
        <v>0.2</v>
      </c>
      <c r="K38" s="4" t="n">
        <v>165</v>
      </c>
      <c r="L38" s="4" t="n">
        <v>50</v>
      </c>
      <c r="M38" s="5" t="n">
        <v>2.6</v>
      </c>
      <c r="N38" s="3" t="inlineStr">
        <is>
          <t>1</t>
        </is>
      </c>
      <c r="O38" s="3" t="inlineStr">
        <is>
          <t>-</t>
        </is>
      </c>
      <c r="P38" s="3" t="inlineStr">
        <is>
          <t>사진 有, 강내일반산업단지 인근, 690형 대지, 대형차량 진출입좋음</t>
        </is>
      </c>
      <c r="Q38" s="6">
        <f>HYPERLINK("https://fin.land.naver.com/articles/2652595159", "매물Link")</f>
        <v/>
      </c>
      <c r="R38" s="6">
        <f>HYPERLINK("https://map.naver.com/p/search/강내면 산단리 94", "지도Link")</f>
        <v/>
      </c>
      <c r="S38" s="6">
        <f>HYPERLINK("http://www.eum.go.kr/web/ar/lu/luLandDet.jsp?pnu=4311331025100940000&amp;isNoScr=script&amp;mode=search", "토지이음")</f>
        <v/>
      </c>
      <c r="T38" s="3" t="inlineStr">
        <is>
          <t>태성</t>
        </is>
      </c>
      <c r="U38" s="4" t="n">
        <v>2</v>
      </c>
      <c r="V38" s="5" t="n">
        <v>58.7</v>
      </c>
      <c r="W38" s="4" t="n">
        <v>2277</v>
      </c>
      <c r="X38" s="3" t="inlineStr">
        <is>
          <t>주건축물제3동</t>
        </is>
      </c>
      <c r="Y38" s="7" t="inlineStr">
        <is>
          <t>1층</t>
        </is>
      </c>
      <c r="Z38" s="3" t="inlineStr">
        <is>
          <t>경량철골구조</t>
        </is>
      </c>
      <c r="AA38" s="3" t="inlineStr">
        <is>
          <t>제2종근생</t>
        </is>
      </c>
      <c r="AB38" s="3" t="inlineStr">
        <is>
          <t>8.1m</t>
        </is>
      </c>
      <c r="AC38" s="3" t="inlineStr">
        <is>
          <t>2026-04</t>
        </is>
      </c>
      <c r="AD38" s="3" t="inlineStr">
        <is>
          <t>세로한면(가)</t>
        </is>
      </c>
    </row>
    <row r="39">
      <c r="A39" s="3" t="inlineStr">
        <is>
          <t>강내면 석화리 23</t>
        </is>
      </c>
      <c r="B39" s="3" t="inlineStr">
        <is>
          <t>자연녹지지역</t>
        </is>
      </c>
      <c r="C39" s="3" t="inlineStr">
        <is>
          <t>공장용지</t>
        </is>
      </c>
      <c r="D39" s="3" t="inlineStr">
        <is>
          <t>공장</t>
        </is>
      </c>
      <c r="E39" s="3" t="inlineStr">
        <is>
          <t>매매</t>
        </is>
      </c>
      <c r="F39" s="4" t="n">
        <v>209600</v>
      </c>
      <c r="G39" s="4" t="n">
        <v>0</v>
      </c>
      <c r="H39" s="4" t="n">
        <v>3466</v>
      </c>
      <c r="I39" s="4" t="n">
        <v>1048</v>
      </c>
      <c r="J39" s="5" t="n">
        <v>200</v>
      </c>
      <c r="K39" s="4" t="n">
        <v>494</v>
      </c>
      <c r="L39" s="4" t="n">
        <v>149</v>
      </c>
      <c r="M39" s="5" t="n">
        <v>1406.7</v>
      </c>
      <c r="N39" s="3" t="inlineStr">
        <is>
          <t>2</t>
        </is>
      </c>
      <c r="O39" s="3" t="inlineStr">
        <is>
          <t>-</t>
        </is>
      </c>
      <c r="P39" s="3" t="inlineStr">
        <is>
          <t>흥덕구청 인근 개발압력 높은 자연녹지 토지 매매,투자용 추천</t>
        </is>
      </c>
      <c r="Q39" s="6">
        <f>HYPERLINK("https://fin.land.naver.com/articles/2649865759", "매물Link")</f>
        <v/>
      </c>
      <c r="R39" s="6">
        <f>HYPERLINK("https://map.naver.com/p/search/강내면 석화리 23", "지도Link")</f>
        <v/>
      </c>
      <c r="S39" s="6">
        <f>HYPERLINK("http://www.eum.go.kr/web/ar/lu/luLandDet.jsp?pnu=4311331032100230000&amp;isNoScr=script&amp;mode=search", "토지이음")</f>
        <v/>
      </c>
      <c r="T39" s="3" t="inlineStr">
        <is>
          <t>토담</t>
        </is>
      </c>
      <c r="U39" s="4" t="n">
        <v>1</v>
      </c>
      <c r="V39" s="5" t="n">
        <v>58</v>
      </c>
      <c r="W39" s="4" t="n">
        <v>2821</v>
      </c>
      <c r="X39" s="3" t="inlineStr">
        <is>
          <t>미표기</t>
        </is>
      </c>
      <c r="Y39" s="7" t="inlineStr">
        <is>
          <t>2층</t>
        </is>
      </c>
      <c r="Z39" s="3" t="inlineStr">
        <is>
          <t>경량철골구조</t>
        </is>
      </c>
      <c r="AA39" s="3" t="inlineStr">
        <is>
          <t>제2종근생</t>
        </is>
      </c>
      <c r="AB39" s="3" t="inlineStr">
        <is>
          <t>10.0m</t>
        </is>
      </c>
      <c r="AC39" s="3" t="inlineStr">
        <is>
          <t>1989-04</t>
        </is>
      </c>
      <c r="AD39" s="3" t="inlineStr">
        <is>
          <t>세로한면(가)</t>
        </is>
      </c>
    </row>
    <row r="40">
      <c r="A40" s="3" t="inlineStr">
        <is>
          <t>강내면 연정리 192-1</t>
        </is>
      </c>
      <c r="B40" s="3" t="inlineStr">
        <is>
          <t>계획관리지역</t>
        </is>
      </c>
      <c r="C40" s="3" t="inlineStr">
        <is>
          <t>공장용지</t>
        </is>
      </c>
      <c r="D40" s="3" t="inlineStr">
        <is>
          <t>공장</t>
        </is>
      </c>
      <c r="E40" s="3" t="inlineStr">
        <is>
          <t>월세</t>
        </is>
      </c>
      <c r="F40" s="4" t="n">
        <v>23000</v>
      </c>
      <c r="G40" s="4" t="n">
        <v>2300</v>
      </c>
      <c r="H40" s="4" t="n">
        <v>8383</v>
      </c>
      <c r="I40" s="4" t="n">
        <v>2536</v>
      </c>
      <c r="J40" s="5" t="n">
        <v>0.9</v>
      </c>
      <c r="K40" s="4" t="n">
        <v>3333</v>
      </c>
      <c r="L40" s="4" t="n">
        <v>1008</v>
      </c>
      <c r="M40" s="5" t="n">
        <v>2.3</v>
      </c>
      <c r="N40" s="3" t="inlineStr">
        <is>
          <t>1</t>
        </is>
      </c>
      <c r="O40" s="3" t="inlineStr">
        <is>
          <t>-</t>
        </is>
      </c>
      <c r="P40" s="3" t="inlineStr">
        <is>
          <t>단독사용 창고공장임대 진출입 매우편리 전용마당구비</t>
        </is>
      </c>
      <c r="Q40" s="6">
        <f>HYPERLINK("https://fin.land.naver.com/articles/2650610429", "매물Link")</f>
        <v/>
      </c>
      <c r="R40" s="6">
        <f>HYPERLINK("https://map.naver.com/p/search/강내면 연정리 192-1", "지도Link")</f>
        <v/>
      </c>
      <c r="S40" s="6">
        <f>HYPERLINK("http://www.eum.go.kr/web/ar/lu/luLandDet.jsp?pnu=4311331021101920001&amp;isNoScr=script&amp;mode=search", "토지이음")</f>
        <v/>
      </c>
      <c r="T40" s="3" t="inlineStr">
        <is>
          <t>태광</t>
        </is>
      </c>
      <c r="U40" s="4" t="n">
        <v>1</v>
      </c>
      <c r="V40" s="5" t="n">
        <v>37.7</v>
      </c>
      <c r="W40" s="4" t="n">
        <v>3149</v>
      </c>
      <c r="X40" s="3" t="inlineStr">
        <is>
          <t>대장없음</t>
        </is>
      </c>
      <c r="Y40" s="7" t="inlineStr">
        <is>
          <t>대장없음</t>
        </is>
      </c>
      <c r="Z40" s="3" t="inlineStr">
        <is>
          <t>대장없음</t>
        </is>
      </c>
      <c r="AA40" s="3" t="inlineStr">
        <is>
          <t>대장없음</t>
        </is>
      </c>
      <c r="AB40" s="3" t="inlineStr">
        <is>
          <t>대장없음</t>
        </is>
      </c>
      <c r="AC40" s="3" t="inlineStr">
        <is>
          <t>대장없음</t>
        </is>
      </c>
      <c r="AD40" s="3" t="inlineStr">
        <is>
          <t>세로한면(가)</t>
        </is>
      </c>
    </row>
    <row r="41">
      <c r="A41" s="3" t="inlineStr">
        <is>
          <t>강내면 연정리 192-1</t>
        </is>
      </c>
      <c r="B41" s="3" t="inlineStr">
        <is>
          <t>계획관리지역</t>
        </is>
      </c>
      <c r="C41" s="3" t="inlineStr">
        <is>
          <t>공장용지</t>
        </is>
      </c>
      <c r="D41" s="3" t="inlineStr">
        <is>
          <t>공장</t>
        </is>
      </c>
      <c r="E41" s="3" t="inlineStr">
        <is>
          <t>월세</t>
        </is>
      </c>
      <c r="F41" s="4" t="n">
        <v>23000</v>
      </c>
      <c r="G41" s="4" t="n">
        <v>2300</v>
      </c>
      <c r="H41" s="4" t="n">
        <v>8364</v>
      </c>
      <c r="I41" s="4" t="n">
        <v>2530</v>
      </c>
      <c r="J41" s="5" t="n">
        <v>0.9</v>
      </c>
      <c r="K41" s="4" t="n">
        <v>3333</v>
      </c>
      <c r="L41" s="4" t="n">
        <v>1008</v>
      </c>
      <c r="M41" s="5" t="n">
        <v>2.3</v>
      </c>
      <c r="N41" s="3" t="inlineStr">
        <is>
          <t>1</t>
        </is>
      </c>
      <c r="O41" s="3" t="inlineStr">
        <is>
          <t>-</t>
        </is>
      </c>
      <c r="P41" s="3" t="inlineStr">
        <is>
          <t>강내면  층고 높은 신축급공장, 넓은 마당이 있어 활용도 좋음</t>
        </is>
      </c>
      <c r="Q41" s="6">
        <f>HYPERLINK("https://fin.land.naver.com/articles/2653660114", "매물Link")</f>
        <v/>
      </c>
      <c r="R41" s="6">
        <f>HYPERLINK("https://map.naver.com/p/search/강내면 연정리 192-1", "지도Link")</f>
        <v/>
      </c>
      <c r="S41" s="6">
        <f>HYPERLINK("http://www.eum.go.kr/web/ar/lu/luLandDet.jsp?pnu=4311331021101920001&amp;isNoScr=script&amp;mode=search", "토지이음")</f>
        <v/>
      </c>
      <c r="T41" s="3" t="inlineStr">
        <is>
          <t>(주)미르</t>
        </is>
      </c>
      <c r="U41" s="4" t="n">
        <v>3</v>
      </c>
      <c r="V41" s="5" t="n">
        <v>37.7</v>
      </c>
      <c r="W41" s="4" t="n">
        <v>3149</v>
      </c>
      <c r="X41" s="3" t="inlineStr">
        <is>
          <t>대장없음</t>
        </is>
      </c>
      <c r="Y41" s="7" t="inlineStr">
        <is>
          <t>대장없음</t>
        </is>
      </c>
      <c r="Z41" s="3" t="inlineStr">
        <is>
          <t>대장없음</t>
        </is>
      </c>
      <c r="AA41" s="3" t="inlineStr">
        <is>
          <t>대장없음</t>
        </is>
      </c>
      <c r="AB41" s="3" t="inlineStr">
        <is>
          <t>대장없음</t>
        </is>
      </c>
      <c r="AC41" s="3" t="inlineStr">
        <is>
          <t>대장없음</t>
        </is>
      </c>
      <c r="AD41" s="3" t="inlineStr">
        <is>
          <t>세로한면(가)</t>
        </is>
      </c>
    </row>
    <row r="42">
      <c r="A42" s="3" t="inlineStr">
        <is>
          <t>강내면 연정리 54-3</t>
        </is>
      </c>
      <c r="B42" s="3" t="inlineStr">
        <is>
          <t>계획관리지역</t>
        </is>
      </c>
      <c r="C42" s="3" t="inlineStr">
        <is>
          <t>공장용지</t>
        </is>
      </c>
      <c r="D42" s="3" t="inlineStr">
        <is>
          <t>공장</t>
        </is>
      </c>
      <c r="E42" s="3" t="inlineStr">
        <is>
          <t>매매</t>
        </is>
      </c>
      <c r="F42" s="4" t="n">
        <v>590000</v>
      </c>
      <c r="G42" s="4" t="n">
        <v>0</v>
      </c>
      <c r="H42" s="4" t="n">
        <v>8383</v>
      </c>
      <c r="I42" s="4" t="n">
        <v>2536</v>
      </c>
      <c r="J42" s="5" t="n">
        <v>232.6</v>
      </c>
      <c r="K42" s="4" t="n">
        <v>3333</v>
      </c>
      <c r="L42" s="4" t="n">
        <v>1008</v>
      </c>
      <c r="M42" s="5" t="n">
        <v>585.3</v>
      </c>
      <c r="N42" s="3" t="inlineStr">
        <is>
          <t>1</t>
        </is>
      </c>
      <c r="O42" s="3" t="inlineStr">
        <is>
          <t>-</t>
        </is>
      </c>
      <c r="P42" s="3" t="inlineStr">
        <is>
          <t>nan</t>
        </is>
      </c>
      <c r="Q42" s="6">
        <f>HYPERLINK("https://fin.land.naver.com/articles/2649888598", "매물Link")</f>
        <v/>
      </c>
      <c r="R42" s="6">
        <f>HYPERLINK("https://map.naver.com/p/search/강내면 연정리 54-3", "지도Link")</f>
        <v/>
      </c>
      <c r="S42" s="6">
        <f>HYPERLINK("http://www.eum.go.kr/web/ar/lu/luLandDet.jsp?pnu=4311331021100540003&amp;isNoScr=script&amp;mode=search", "토지이음")</f>
        <v/>
      </c>
      <c r="T42" s="3" t="inlineStr">
        <is>
          <t>복댕이</t>
        </is>
      </c>
      <c r="U42" s="4" t="n">
        <v>1</v>
      </c>
      <c r="V42" s="5" t="n">
        <v>39.3</v>
      </c>
      <c r="W42" s="4" t="n">
        <v>2990</v>
      </c>
      <c r="X42" s="3" t="inlineStr">
        <is>
          <t>대장없음</t>
        </is>
      </c>
      <c r="Y42" s="7" t="inlineStr">
        <is>
          <t>대장없음</t>
        </is>
      </c>
      <c r="Z42" s="3" t="inlineStr">
        <is>
          <t>대장없음</t>
        </is>
      </c>
      <c r="AA42" s="3" t="inlineStr">
        <is>
          <t>대장없음</t>
        </is>
      </c>
      <c r="AB42" s="3" t="inlineStr">
        <is>
          <t>대장없음</t>
        </is>
      </c>
      <c r="AC42" s="3" t="inlineStr">
        <is>
          <t>대장없음</t>
        </is>
      </c>
      <c r="AD42" s="3" t="inlineStr">
        <is>
          <t>세로한면(가)</t>
        </is>
      </c>
    </row>
    <row r="43">
      <c r="A43" s="3" t="inlineStr">
        <is>
          <t>강내면 연정리 54-3</t>
        </is>
      </c>
      <c r="B43" s="3" t="inlineStr">
        <is>
          <t>계획관리지역</t>
        </is>
      </c>
      <c r="C43" s="3" t="inlineStr">
        <is>
          <t>공장용지</t>
        </is>
      </c>
      <c r="D43" s="3" t="inlineStr">
        <is>
          <t>공장</t>
        </is>
      </c>
      <c r="E43" s="3" t="inlineStr">
        <is>
          <t>월세</t>
        </is>
      </c>
      <c r="F43" s="4" t="n">
        <v>23000</v>
      </c>
      <c r="G43" s="4" t="n">
        <v>2300</v>
      </c>
      <c r="H43" s="4" t="n">
        <v>8383</v>
      </c>
      <c r="I43" s="4" t="n">
        <v>2536</v>
      </c>
      <c r="J43" s="5" t="n">
        <v>0.9</v>
      </c>
      <c r="K43" s="4" t="n">
        <v>3333</v>
      </c>
      <c r="L43" s="4" t="n">
        <v>1008</v>
      </c>
      <c r="M43" s="5" t="n">
        <v>2.3</v>
      </c>
      <c r="N43" s="3" t="inlineStr">
        <is>
          <t>1</t>
        </is>
      </c>
      <c r="O43" s="3" t="inlineStr">
        <is>
          <t>-</t>
        </is>
      </c>
      <c r="P43" s="3" t="inlineStr">
        <is>
          <t>2차선 도로접, 대형차진입가능, 시내 접근성좋음</t>
        </is>
      </c>
      <c r="Q43" s="6">
        <f>HYPERLINK("https://fin.land.naver.com/articles/2651060954", "매물Link")</f>
        <v/>
      </c>
      <c r="R43" s="6">
        <f>HYPERLINK("https://map.naver.com/p/search/강내면 연정리 54-3", "지도Link")</f>
        <v/>
      </c>
      <c r="S43" s="6">
        <f>HYPERLINK("http://www.eum.go.kr/web/ar/lu/luLandDet.jsp?pnu=4311331021100540003&amp;isNoScr=script&amp;mode=search", "토지이음")</f>
        <v/>
      </c>
      <c r="T43" s="3" t="inlineStr">
        <is>
          <t>플러스자이합동</t>
        </is>
      </c>
      <c r="U43" s="4" t="n">
        <v>1</v>
      </c>
      <c r="V43" s="5" t="n">
        <v>39.3</v>
      </c>
      <c r="W43" s="4" t="n">
        <v>2990</v>
      </c>
      <c r="X43" s="3" t="inlineStr">
        <is>
          <t>대장없음</t>
        </is>
      </c>
      <c r="Y43" s="7" t="inlineStr">
        <is>
          <t>대장없음</t>
        </is>
      </c>
      <c r="Z43" s="3" t="inlineStr">
        <is>
          <t>대장없음</t>
        </is>
      </c>
      <c r="AA43" s="3" t="inlineStr">
        <is>
          <t>대장없음</t>
        </is>
      </c>
      <c r="AB43" s="3" t="inlineStr">
        <is>
          <t>대장없음</t>
        </is>
      </c>
      <c r="AC43" s="3" t="inlineStr">
        <is>
          <t>대장없음</t>
        </is>
      </c>
      <c r="AD43" s="3" t="inlineStr">
        <is>
          <t>세로한면(가)</t>
        </is>
      </c>
    </row>
    <row r="44">
      <c r="A44" s="3" t="inlineStr">
        <is>
          <t>강내면 연정리 54-3</t>
        </is>
      </c>
      <c r="B44" s="3" t="inlineStr">
        <is>
          <t>계획관리지역</t>
        </is>
      </c>
      <c r="C44" s="3" t="inlineStr">
        <is>
          <t>공장용지</t>
        </is>
      </c>
      <c r="D44" s="3" t="inlineStr">
        <is>
          <t>공장</t>
        </is>
      </c>
      <c r="E44" s="3" t="inlineStr">
        <is>
          <t>월세</t>
        </is>
      </c>
      <c r="F44" s="4" t="n">
        <v>23000</v>
      </c>
      <c r="G44" s="4" t="n">
        <v>2300</v>
      </c>
      <c r="H44" s="4" t="n">
        <v>8383</v>
      </c>
      <c r="I44" s="4" t="n">
        <v>2536</v>
      </c>
      <c r="J44" s="5" t="n">
        <v>0.9</v>
      </c>
      <c r="K44" s="4" t="n">
        <v>3333</v>
      </c>
      <c r="L44" s="4" t="n">
        <v>1008</v>
      </c>
      <c r="M44" s="5" t="n">
        <v>2.3</v>
      </c>
      <c r="N44" s="3" t="inlineStr">
        <is>
          <t>1</t>
        </is>
      </c>
      <c r="O44" s="3" t="inlineStr">
        <is>
          <t>-</t>
        </is>
      </c>
      <c r="P44" s="3" t="inlineStr">
        <is>
          <t>사진有,2차선 대로에서 바로 진입, 마당 넓음, 1008형 일괄 임대</t>
        </is>
      </c>
      <c r="Q44" s="6">
        <f>HYPERLINK("https://fin.land.naver.com/articles/2653838996", "매물Link")</f>
        <v/>
      </c>
      <c r="R44" s="6">
        <f>HYPERLINK("https://map.naver.com/p/search/강내면 연정리 54-3", "지도Link")</f>
        <v/>
      </c>
      <c r="S44" s="6">
        <f>HYPERLINK("http://www.eum.go.kr/web/ar/lu/luLandDet.jsp?pnu=4311331021100540003&amp;isNoScr=script&amp;mode=search", "토지이음")</f>
        <v/>
      </c>
      <c r="T44" s="3" t="inlineStr">
        <is>
          <t>태성</t>
        </is>
      </c>
      <c r="U44" s="4" t="n">
        <v>1</v>
      </c>
      <c r="V44" s="5" t="n">
        <v>39.3</v>
      </c>
      <c r="W44" s="4" t="n">
        <v>2990</v>
      </c>
      <c r="X44" s="3" t="inlineStr">
        <is>
          <t>대장없음</t>
        </is>
      </c>
      <c r="Y44" s="7" t="inlineStr">
        <is>
          <t>대장없음</t>
        </is>
      </c>
      <c r="Z44" s="3" t="inlineStr">
        <is>
          <t>대장없음</t>
        </is>
      </c>
      <c r="AA44" s="3" t="inlineStr">
        <is>
          <t>대장없음</t>
        </is>
      </c>
      <c r="AB44" s="3" t="inlineStr">
        <is>
          <t>대장없음</t>
        </is>
      </c>
      <c r="AC44" s="3" t="inlineStr">
        <is>
          <t>대장없음</t>
        </is>
      </c>
      <c r="AD44" s="3" t="inlineStr">
        <is>
          <t>세로한면(가)</t>
        </is>
      </c>
    </row>
    <row r="45">
      <c r="A45" s="3" t="inlineStr">
        <is>
          <t>강내면 연정리 73-9</t>
        </is>
      </c>
      <c r="B45" s="3" t="inlineStr">
        <is>
          <t>보전관리지역</t>
        </is>
      </c>
      <c r="C45" s="3" t="inlineStr">
        <is>
          <t>대</t>
        </is>
      </c>
      <c r="D45" s="3" t="inlineStr">
        <is>
          <t>창고</t>
        </is>
      </c>
      <c r="E45" s="3" t="inlineStr">
        <is>
          <t>월세</t>
        </is>
      </c>
      <c r="F45" s="4" t="n">
        <v>2500</v>
      </c>
      <c r="G45" s="4" t="n">
        <v>220</v>
      </c>
      <c r="H45" s="4" t="n">
        <v>1775</v>
      </c>
      <c r="I45" s="4" t="n">
        <v>537</v>
      </c>
      <c r="J45" s="5" t="n">
        <v>0.4</v>
      </c>
      <c r="K45" s="4" t="n">
        <v>292</v>
      </c>
      <c r="L45" s="4" t="n">
        <v>88</v>
      </c>
      <c r="M45" s="5" t="n">
        <v>2.5</v>
      </c>
      <c r="N45" s="3" t="inlineStr">
        <is>
          <t>2</t>
        </is>
      </c>
      <c r="O45" s="3" t="inlineStr">
        <is>
          <t>-</t>
        </is>
      </c>
      <c r="P45" s="3" t="inlineStr">
        <is>
          <t>사진 有, 일반적인 2층과 달리 마당쪽에서 1층 처럼 바로 진입</t>
        </is>
      </c>
      <c r="Q45" s="6">
        <f>HYPERLINK("https://fin.land.naver.com/articles/2653836477", "매물Link")</f>
        <v/>
      </c>
      <c r="R45" s="6">
        <f>HYPERLINK("https://map.naver.com/p/search/강내면 연정리 73-9", "지도Link")</f>
        <v/>
      </c>
      <c r="S45" s="6">
        <f>HYPERLINK("http://www.eum.go.kr/web/ar/lu/luLandDet.jsp?pnu=4311331021100730009&amp;isNoScr=script&amp;mode=search", "토지이음")</f>
        <v/>
      </c>
      <c r="T45" s="3" t="inlineStr">
        <is>
          <t>태성</t>
        </is>
      </c>
      <c r="U45" s="4" t="n">
        <v>1</v>
      </c>
      <c r="V45" s="5" t="n">
        <v>36.4</v>
      </c>
      <c r="W45" s="4" t="n">
        <v>1775</v>
      </c>
      <c r="X45" s="3" t="inlineStr">
        <is>
          <t>미표기</t>
        </is>
      </c>
      <c r="Y45" s="7" t="inlineStr">
        <is>
          <t>3층</t>
        </is>
      </c>
      <c r="Z45" s="3" t="inlineStr">
        <is>
          <t>일반철골구조</t>
        </is>
      </c>
      <c r="AA45" s="3" t="inlineStr">
        <is>
          <t>제2종근생</t>
        </is>
      </c>
      <c r="AB45" s="3" t="inlineStr">
        <is>
          <t>15.0m</t>
        </is>
      </c>
      <c r="AC45" s="3" t="inlineStr">
        <is>
          <t>2021-04</t>
        </is>
      </c>
      <c r="AD45" s="3" t="inlineStr">
        <is>
          <t>세로한면(가)</t>
        </is>
      </c>
    </row>
    <row r="46">
      <c r="A46" s="3" t="inlineStr">
        <is>
          <t>강내면 저산리 107-2</t>
        </is>
      </c>
      <c r="B46" s="3" t="inlineStr">
        <is>
          <t>계획관리지역</t>
        </is>
      </c>
      <c r="C46" s="3" t="inlineStr">
        <is>
          <t>공장용지</t>
        </is>
      </c>
      <c r="D46" s="3" t="inlineStr">
        <is>
          <t>창고</t>
        </is>
      </c>
      <c r="E46" s="3" t="inlineStr">
        <is>
          <t>월세</t>
        </is>
      </c>
      <c r="F46" s="4" t="n">
        <v>3000</v>
      </c>
      <c r="G46" s="4" t="n">
        <v>250</v>
      </c>
      <c r="H46" s="4" t="n">
        <v>1740</v>
      </c>
      <c r="I46" s="4" t="n">
        <v>526</v>
      </c>
      <c r="J46" s="5" t="n">
        <v>0.5</v>
      </c>
      <c r="K46" s="4" t="n">
        <v>482</v>
      </c>
      <c r="L46" s="4" t="n">
        <v>146</v>
      </c>
      <c r="M46" s="5" t="n">
        <v>1.7</v>
      </c>
      <c r="N46" s="3" t="inlineStr">
        <is>
          <t>2</t>
        </is>
      </c>
      <c r="O46" s="3" t="inlineStr">
        <is>
          <t>-</t>
        </is>
      </c>
      <c r="P46" s="3" t="inlineStr">
        <is>
          <t>강내면 저산리 창고임대 주차여유 진입로포장</t>
        </is>
      </c>
      <c r="Q46" s="6">
        <f>HYPERLINK("https://fin.land.naver.com/articles/2653718630", "매물Link")</f>
        <v/>
      </c>
      <c r="R46" s="6">
        <f>HYPERLINK("https://map.naver.com/p/search/강내면 저산리 107-2", "지도Link")</f>
        <v/>
      </c>
      <c r="S46" s="6">
        <f>HYPERLINK("http://www.eum.go.kr/web/ar/lu/luLandDet.jsp?pnu=4311331023101070002&amp;isNoScr=script&amp;mode=search", "토지이음")</f>
        <v/>
      </c>
      <c r="T46" s="3" t="inlineStr">
        <is>
          <t>탄탄</t>
        </is>
      </c>
      <c r="U46" s="4" t="n">
        <v>1</v>
      </c>
      <c r="V46" s="5" t="n">
        <v>41.7</v>
      </c>
      <c r="W46" s="4" t="n">
        <v>3394</v>
      </c>
      <c r="X46" s="3" t="inlineStr">
        <is>
          <t>주건축물제1동</t>
        </is>
      </c>
      <c r="Y46" s="7" t="inlineStr">
        <is>
          <t>2층</t>
        </is>
      </c>
      <c r="Z46" s="3" t="inlineStr">
        <is>
          <t>일반철골구조</t>
        </is>
      </c>
      <c r="AA46" s="3" t="inlineStr">
        <is>
          <t>제2종근생</t>
        </is>
      </c>
      <c r="AB46" s="3" t="inlineStr">
        <is>
          <t>11.1m</t>
        </is>
      </c>
      <c r="AC46" s="3" t="inlineStr">
        <is>
          <t>2020-03</t>
        </is>
      </c>
      <c r="AD46" s="3" t="inlineStr">
        <is>
          <t>세로한면(가)</t>
        </is>
      </c>
    </row>
    <row r="47">
      <c r="A47" s="3" t="inlineStr">
        <is>
          <t>강내면 저산리 186</t>
        </is>
      </c>
      <c r="B47" s="3" t="inlineStr">
        <is>
          <t>계획관리지역</t>
        </is>
      </c>
      <c r="C47" s="3" t="inlineStr">
        <is>
          <t>공장용지</t>
        </is>
      </c>
      <c r="D47" s="3" t="inlineStr">
        <is>
          <t>공장</t>
        </is>
      </c>
      <c r="E47" s="3" t="inlineStr">
        <is>
          <t>월세</t>
        </is>
      </c>
      <c r="F47" s="4" t="n">
        <v>3000</v>
      </c>
      <c r="G47" s="4" t="n">
        <v>250</v>
      </c>
      <c r="H47" s="4" t="n">
        <v>946</v>
      </c>
      <c r="I47" s="4" t="n">
        <v>286</v>
      </c>
      <c r="J47" s="5" t="n">
        <v>0.9</v>
      </c>
      <c r="K47" s="4" t="n">
        <v>376</v>
      </c>
      <c r="L47" s="4" t="n">
        <v>114</v>
      </c>
      <c r="M47" s="5" t="n">
        <v>2.2</v>
      </c>
      <c r="N47" s="3" t="inlineStr">
        <is>
          <t>1</t>
        </is>
      </c>
      <c r="O47" s="3" t="inlineStr">
        <is>
          <t>-</t>
        </is>
      </c>
      <c r="P47" s="3" t="inlineStr">
        <is>
          <t>민원 걱정없는 위치의 공장 창고임대 저렴한 임대가 사무실있음</t>
        </is>
      </c>
      <c r="Q47" s="6">
        <f>HYPERLINK("https://fin.land.naver.com/articles/2649679629", "매물Link")</f>
        <v/>
      </c>
      <c r="R47" s="6">
        <f>HYPERLINK("https://map.naver.com/p/search/강내면 저산리 186", "지도Link")</f>
        <v/>
      </c>
      <c r="S47" s="6">
        <f>HYPERLINK("http://www.eum.go.kr/web/ar/lu/luLandDet.jsp?pnu=4311331023101860000&amp;isNoScr=script&amp;mode=search", "토지이음")</f>
        <v/>
      </c>
      <c r="T47" s="3" t="inlineStr">
        <is>
          <t>더원</t>
        </is>
      </c>
      <c r="U47" s="4" t="n">
        <v>1</v>
      </c>
      <c r="V47" s="5" t="n">
        <v>45.3</v>
      </c>
      <c r="W47" s="4" t="n">
        <v>946</v>
      </c>
      <c r="X47" s="3" t="inlineStr">
        <is>
          <t>미표기</t>
        </is>
      </c>
      <c r="Y47" s="7" t="inlineStr">
        <is>
          <t>1층</t>
        </is>
      </c>
      <c r="Z47" s="3" t="inlineStr">
        <is>
          <t>일반철골구조</t>
        </is>
      </c>
      <c r="AA47" s="3" t="inlineStr">
        <is>
          <t>제2종근생</t>
        </is>
      </c>
      <c r="AB47" s="3" t="inlineStr">
        <is>
          <t>10.15m</t>
        </is>
      </c>
      <c r="AC47" s="3" t="inlineStr">
        <is>
          <t>2017-07</t>
        </is>
      </c>
      <c r="AD47" s="3" t="inlineStr">
        <is>
          <t>세로한면(가)</t>
        </is>
      </c>
    </row>
    <row r="48">
      <c r="A48" s="3" t="inlineStr">
        <is>
          <t>강내면 저산리 234</t>
        </is>
      </c>
      <c r="B48" s="3" t="inlineStr">
        <is>
          <t>계획관리지역</t>
        </is>
      </c>
      <c r="C48" s="3" t="inlineStr">
        <is>
          <t>대</t>
        </is>
      </c>
      <c r="D48" s="3" t="inlineStr">
        <is>
          <t>창고</t>
        </is>
      </c>
      <c r="E48" s="3" t="inlineStr">
        <is>
          <t>월세</t>
        </is>
      </c>
      <c r="F48" s="4" t="n">
        <v>2000</v>
      </c>
      <c r="G48" s="4" t="n">
        <v>150</v>
      </c>
      <c r="H48" s="4" t="n">
        <v>998</v>
      </c>
      <c r="I48" s="4" t="n">
        <v>302</v>
      </c>
      <c r="J48" s="5" t="n">
        <v>0.5</v>
      </c>
      <c r="K48" s="4" t="n">
        <v>199</v>
      </c>
      <c r="L48" s="4" t="n">
        <v>60</v>
      </c>
      <c r="M48" s="5" t="n">
        <v>2.5</v>
      </c>
      <c r="N48" s="3" t="inlineStr">
        <is>
          <t>1</t>
        </is>
      </c>
      <c r="O48" s="3" t="inlineStr">
        <is>
          <t>-</t>
        </is>
      </c>
      <c r="P48" s="3" t="inlineStr">
        <is>
          <t>강내면 대형차 진출입 및 회차 편리한 소형 창고</t>
        </is>
      </c>
      <c r="Q48" s="6">
        <f>HYPERLINK("https://fin.land.naver.com/articles/2654245790", "매물Link")</f>
        <v/>
      </c>
      <c r="R48" s="6">
        <f>HYPERLINK("https://map.naver.com/p/search/강내면 저산리 234", "지도Link")</f>
        <v/>
      </c>
      <c r="S48" s="6">
        <f>HYPERLINK("http://www.eum.go.kr/web/ar/lu/luLandDet.jsp?pnu=4311331023102340000&amp;isNoScr=script&amp;mode=search", "토지이음")</f>
        <v/>
      </c>
      <c r="T48" s="3" t="inlineStr">
        <is>
          <t>더원</t>
        </is>
      </c>
      <c r="U48" s="4" t="n">
        <v>3</v>
      </c>
      <c r="V48" s="5" t="n">
        <v>35.2</v>
      </c>
      <c r="W48" s="4" t="n">
        <v>998</v>
      </c>
      <c r="X48" s="3" t="inlineStr">
        <is>
          <t>주건축물제2동</t>
        </is>
      </c>
      <c r="Y48" s="7" t="inlineStr">
        <is>
          <t>1층</t>
        </is>
      </c>
      <c r="Z48" s="3" t="inlineStr">
        <is>
          <t>경량철골구조</t>
        </is>
      </c>
      <c r="AA48" s="3" t="inlineStr">
        <is>
          <t>제1종근생</t>
        </is>
      </c>
      <c r="AB48" s="3" t="inlineStr">
        <is>
          <t>8.41m</t>
        </is>
      </c>
      <c r="AC48" s="3" t="inlineStr">
        <is>
          <t>2022-11</t>
        </is>
      </c>
      <c r="AD48" s="3" t="inlineStr">
        <is>
          <t>세로한면(가)</t>
        </is>
      </c>
    </row>
    <row r="49">
      <c r="A49" s="3" t="inlineStr">
        <is>
          <t>강내면 저산리 236</t>
        </is>
      </c>
      <c r="B49" s="3" t="inlineStr">
        <is>
          <t>계획관리지역</t>
        </is>
      </c>
      <c r="C49" s="3" t="inlineStr">
        <is>
          <t>대</t>
        </is>
      </c>
      <c r="D49" s="3" t="inlineStr">
        <is>
          <t>공장</t>
        </is>
      </c>
      <c r="E49" s="3" t="inlineStr">
        <is>
          <t>월세</t>
        </is>
      </c>
      <c r="F49" s="4" t="n">
        <v>800</v>
      </c>
      <c r="G49" s="4" t="n">
        <v>80</v>
      </c>
      <c r="H49" s="4" t="n">
        <v>260</v>
      </c>
      <c r="I49" s="4" t="n">
        <v>79</v>
      </c>
      <c r="J49" s="5" t="n">
        <v>1</v>
      </c>
      <c r="K49" s="4" t="n">
        <v>103</v>
      </c>
      <c r="L49" s="4" t="n">
        <v>31</v>
      </c>
      <c r="M49" s="5" t="n">
        <v>2.6</v>
      </c>
      <c r="N49" s="3" t="inlineStr">
        <is>
          <t>1</t>
        </is>
      </c>
      <c r="O49" s="3" t="inlineStr">
        <is>
          <t>-</t>
        </is>
      </c>
      <c r="P49" s="3" t="inlineStr">
        <is>
          <t>사진有 창고 임대</t>
        </is>
      </c>
      <c r="Q49" s="6">
        <f>HYPERLINK("https://fin.land.naver.com/articles/2652988462", "매물Link")</f>
        <v/>
      </c>
      <c r="R49" s="6">
        <f>HYPERLINK("https://map.naver.com/p/search/강내면 저산리 236", "지도Link")</f>
        <v/>
      </c>
      <c r="S49" s="6">
        <f>HYPERLINK("http://www.eum.go.kr/web/ar/lu/luLandDet.jsp?pnu=4311331023102360000&amp;isNoScr=script&amp;mode=search", "토지이음")</f>
        <v/>
      </c>
      <c r="T49" s="3" t="inlineStr">
        <is>
          <t>월드</t>
        </is>
      </c>
      <c r="U49" s="4" t="n">
        <v>1</v>
      </c>
      <c r="V49" s="5" t="n">
        <v>39.7</v>
      </c>
      <c r="W49" s="4" t="n">
        <v>260</v>
      </c>
      <c r="X49" s="3" t="inlineStr">
        <is>
          <t>미표기</t>
        </is>
      </c>
      <c r="Y49" s="7" t="inlineStr">
        <is>
          <t>1층</t>
        </is>
      </c>
      <c r="Z49" s="3" t="inlineStr">
        <is>
          <t>일반철골구조</t>
        </is>
      </c>
      <c r="AA49" s="3" t="inlineStr">
        <is>
          <t>제2종근생</t>
        </is>
      </c>
      <c r="AB49" s="3" t="inlineStr">
        <is>
          <t>8.86m</t>
        </is>
      </c>
      <c r="AC49" s="3" t="inlineStr">
        <is>
          <t>2024-09</t>
        </is>
      </c>
      <c r="AD49" s="3" t="inlineStr">
        <is>
          <t>세로한면(가)</t>
        </is>
      </c>
    </row>
    <row r="50">
      <c r="A50" s="3" t="inlineStr">
        <is>
          <t>강내면 저산리 247</t>
        </is>
      </c>
      <c r="B50" s="3" t="inlineStr">
        <is>
          <t>보전관리지역</t>
        </is>
      </c>
      <c r="C50" s="3" t="inlineStr">
        <is>
          <t>대</t>
        </is>
      </c>
      <c r="D50" s="3" t="inlineStr">
        <is>
          <t>창고</t>
        </is>
      </c>
      <c r="E50" s="3" t="inlineStr">
        <is>
          <t>월세</t>
        </is>
      </c>
      <c r="F50" s="4" t="n">
        <v>7000</v>
      </c>
      <c r="G50" s="4" t="n">
        <v>600</v>
      </c>
      <c r="H50" s="4" t="n">
        <v>3370</v>
      </c>
      <c r="I50" s="4" t="n">
        <v>1019</v>
      </c>
      <c r="J50" s="5" t="n">
        <v>0.6</v>
      </c>
      <c r="K50" s="4" t="n">
        <v>741</v>
      </c>
      <c r="L50" s="4" t="n">
        <v>224</v>
      </c>
      <c r="M50" s="5" t="n">
        <v>2.7</v>
      </c>
      <c r="N50" s="3" t="inlineStr">
        <is>
          <t>1</t>
        </is>
      </c>
      <c r="O50" s="3" t="inlineStr">
        <is>
          <t>-</t>
        </is>
      </c>
      <c r="P50" s="3" t="inlineStr">
        <is>
          <t>단독으로 넓은 마당 사용 가능한 창고</t>
        </is>
      </c>
      <c r="Q50" s="6">
        <f>HYPERLINK("https://fin.land.naver.com/articles/2654258717", "매물Link")</f>
        <v/>
      </c>
      <c r="R50" s="6">
        <f>HYPERLINK("https://map.naver.com/p/search/강내면 저산리 247", "지도Link")</f>
        <v/>
      </c>
      <c r="S50" s="6">
        <f>HYPERLINK("http://www.eum.go.kr/web/ar/lu/luLandDet.jsp?pnu=4311331023102470000&amp;isNoScr=script&amp;mode=search", "토지이음")</f>
        <v/>
      </c>
      <c r="T50" s="3" t="inlineStr">
        <is>
          <t>더원</t>
        </is>
      </c>
      <c r="U50" s="4" t="n">
        <v>1</v>
      </c>
      <c r="V50" s="5" t="n">
        <v>29.9</v>
      </c>
      <c r="W50" s="4" t="n">
        <v>3370</v>
      </c>
      <c r="X50" s="3" t="inlineStr">
        <is>
          <t>주건축물제1동</t>
        </is>
      </c>
      <c r="Y50" s="7" t="inlineStr">
        <is>
          <t>1층</t>
        </is>
      </c>
      <c r="Z50" s="3" t="inlineStr">
        <is>
          <t>일반철골구조</t>
        </is>
      </c>
      <c r="AA50" s="3" t="inlineStr">
        <is>
          <t>제1종근생</t>
        </is>
      </c>
      <c r="AB50" s="3" t="inlineStr">
        <is>
          <t>10.15m</t>
        </is>
      </c>
      <c r="AC50" s="3" t="inlineStr">
        <is>
          <t>2024-10</t>
        </is>
      </c>
      <c r="AD50" s="3" t="inlineStr">
        <is>
          <t>세로한면(가)</t>
        </is>
      </c>
    </row>
    <row r="51">
      <c r="A51" s="3" t="inlineStr">
        <is>
          <t>강내면 저산리 247</t>
        </is>
      </c>
      <c r="B51" s="3" t="inlineStr">
        <is>
          <t>보전관리지역</t>
        </is>
      </c>
      <c r="C51" s="3" t="inlineStr">
        <is>
          <t>대</t>
        </is>
      </c>
      <c r="D51" s="3" t="inlineStr">
        <is>
          <t>창고</t>
        </is>
      </c>
      <c r="E51" s="3" t="inlineStr">
        <is>
          <t>월세</t>
        </is>
      </c>
      <c r="F51" s="4" t="n">
        <v>7000</v>
      </c>
      <c r="G51" s="4" t="n">
        <v>600</v>
      </c>
      <c r="H51" s="4" t="n">
        <v>3370</v>
      </c>
      <c r="I51" s="4" t="n">
        <v>1019</v>
      </c>
      <c r="J51" s="5" t="n">
        <v>0.6</v>
      </c>
      <c r="K51" s="4" t="n">
        <v>741</v>
      </c>
      <c r="L51" s="4" t="n">
        <v>224</v>
      </c>
      <c r="M51" s="5" t="n">
        <v>2.7</v>
      </c>
      <c r="N51" s="3" t="inlineStr">
        <is>
          <t>1</t>
        </is>
      </c>
      <c r="O51" s="3" t="inlineStr">
        <is>
          <t>-</t>
        </is>
      </c>
      <c r="P51" s="3" t="inlineStr">
        <is>
          <t>개인 전용마당 매우 넓은 귀한 창고임대 1종근생</t>
        </is>
      </c>
      <c r="Q51" s="6">
        <f>HYPERLINK("https://fin.land.naver.com/articles/2652795998", "매물Link")</f>
        <v/>
      </c>
      <c r="R51" s="6">
        <f>HYPERLINK("https://map.naver.com/p/search/강내면 저산리 247", "지도Link")</f>
        <v/>
      </c>
      <c r="S51" s="6">
        <f>HYPERLINK("http://www.eum.go.kr/web/ar/lu/luLandDet.jsp?pnu=4311331023102470000&amp;isNoScr=script&amp;mode=search", "토지이음")</f>
        <v/>
      </c>
      <c r="T51" s="3" t="inlineStr">
        <is>
          <t>태광</t>
        </is>
      </c>
      <c r="U51" s="4" t="n">
        <v>1</v>
      </c>
      <c r="V51" s="5" t="n">
        <v>29.9</v>
      </c>
      <c r="W51" s="4" t="n">
        <v>3370</v>
      </c>
      <c r="X51" s="3" t="inlineStr">
        <is>
          <t>주건축물제1동</t>
        </is>
      </c>
      <c r="Y51" s="7" t="inlineStr">
        <is>
          <t>1층</t>
        </is>
      </c>
      <c r="Z51" s="3" t="inlineStr">
        <is>
          <t>일반철골구조</t>
        </is>
      </c>
      <c r="AA51" s="3" t="inlineStr">
        <is>
          <t>제1종근생</t>
        </is>
      </c>
      <c r="AB51" s="3" t="inlineStr">
        <is>
          <t>10.15m</t>
        </is>
      </c>
      <c r="AC51" s="3" t="inlineStr">
        <is>
          <t>2024-10</t>
        </is>
      </c>
      <c r="AD51" s="3" t="inlineStr">
        <is>
          <t>세로한면(가)</t>
        </is>
      </c>
    </row>
    <row r="52">
      <c r="A52" s="3" t="inlineStr">
        <is>
          <t>강내면 저산리 247</t>
        </is>
      </c>
      <c r="B52" s="3" t="inlineStr">
        <is>
          <t>보전관리지역</t>
        </is>
      </c>
      <c r="C52" s="3" t="inlineStr">
        <is>
          <t>대</t>
        </is>
      </c>
      <c r="D52" s="3" t="inlineStr">
        <is>
          <t>창고</t>
        </is>
      </c>
      <c r="E52" s="3" t="inlineStr">
        <is>
          <t>월세</t>
        </is>
      </c>
      <c r="F52" s="4" t="n">
        <v>7000</v>
      </c>
      <c r="G52" s="4" t="n">
        <v>600</v>
      </c>
      <c r="H52" s="4" t="n">
        <v>3438</v>
      </c>
      <c r="I52" s="4" t="n">
        <v>1040</v>
      </c>
      <c r="J52" s="5" t="n">
        <v>0.6</v>
      </c>
      <c r="K52" s="4" t="n">
        <v>741</v>
      </c>
      <c r="L52" s="4" t="n">
        <v>224</v>
      </c>
      <c r="M52" s="5" t="n">
        <v>2.7</v>
      </c>
      <c r="N52" s="3" t="inlineStr">
        <is>
          <t>1</t>
        </is>
      </c>
      <c r="O52" s="3" t="inlineStr">
        <is>
          <t>-</t>
        </is>
      </c>
      <c r="P52" s="3" t="inlineStr">
        <is>
          <t>nan</t>
        </is>
      </c>
      <c r="Q52" s="6">
        <f>HYPERLINK("https://fin.land.naver.com/articles/2649754645", "매물Link")</f>
        <v/>
      </c>
      <c r="R52" s="6">
        <f>HYPERLINK("https://map.naver.com/p/search/강내면 저산리 247", "지도Link")</f>
        <v/>
      </c>
      <c r="S52" s="6">
        <f>HYPERLINK("http://www.eum.go.kr/web/ar/lu/luLandDet.jsp?pnu=4311331023102470000&amp;isNoScr=script&amp;mode=search", "토지이음")</f>
        <v/>
      </c>
      <c r="T52" s="3" t="inlineStr">
        <is>
          <t>창고의여왕</t>
        </is>
      </c>
      <c r="U52" s="4" t="n">
        <v>1</v>
      </c>
      <c r="V52" s="5" t="n">
        <v>29.9</v>
      </c>
      <c r="W52" s="4" t="n">
        <v>3370</v>
      </c>
      <c r="X52" s="3" t="inlineStr">
        <is>
          <t>주건축물제1동</t>
        </is>
      </c>
      <c r="Y52" s="7" t="inlineStr">
        <is>
          <t>1층</t>
        </is>
      </c>
      <c r="Z52" s="3" t="inlineStr">
        <is>
          <t>일반철골구조</t>
        </is>
      </c>
      <c r="AA52" s="3" t="inlineStr">
        <is>
          <t>제1종근생</t>
        </is>
      </c>
      <c r="AB52" s="3" t="inlineStr">
        <is>
          <t>10.15m</t>
        </is>
      </c>
      <c r="AC52" s="3" t="inlineStr">
        <is>
          <t>2024-10</t>
        </is>
      </c>
      <c r="AD52" s="3" t="inlineStr">
        <is>
          <t>세로한면(가)</t>
        </is>
      </c>
    </row>
    <row r="53">
      <c r="A53" s="3" t="inlineStr">
        <is>
          <t>강내면 저산리 247-3</t>
        </is>
      </c>
      <c r="B53" s="3" t="inlineStr">
        <is>
          <t>계획관리지역</t>
        </is>
      </c>
      <c r="C53" s="3" t="inlineStr">
        <is>
          <t>대</t>
        </is>
      </c>
      <c r="D53" s="3" t="inlineStr">
        <is>
          <t>창고</t>
        </is>
      </c>
      <c r="E53" s="3" t="inlineStr">
        <is>
          <t>월세</t>
        </is>
      </c>
      <c r="F53" s="4" t="n">
        <v>1500</v>
      </c>
      <c r="G53" s="4" t="n">
        <v>110</v>
      </c>
      <c r="H53" s="4" t="n">
        <v>629</v>
      </c>
      <c r="I53" s="4" t="n">
        <v>190</v>
      </c>
      <c r="J53" s="5" t="n">
        <v>0.6</v>
      </c>
      <c r="K53" s="4" t="n">
        <v>149</v>
      </c>
      <c r="L53" s="4" t="n">
        <v>45</v>
      </c>
      <c r="M53" s="5" t="n">
        <v>2.4</v>
      </c>
      <c r="N53" s="3" t="inlineStr">
        <is>
          <t>1</t>
        </is>
      </c>
      <c r="O53" s="3" t="inlineStr">
        <is>
          <t>-</t>
        </is>
      </c>
      <c r="P53" s="3" t="inlineStr">
        <is>
          <t>사진有 창고 임대</t>
        </is>
      </c>
      <c r="Q53" s="6">
        <f>HYPERLINK("https://fin.land.naver.com/articles/2652988597", "매물Link")</f>
        <v/>
      </c>
      <c r="R53" s="6">
        <f>HYPERLINK("https://map.naver.com/p/search/강내면 저산리 247-3", "지도Link")</f>
        <v/>
      </c>
      <c r="S53" s="6">
        <f>HYPERLINK("http://www.eum.go.kr/web/ar/lu/luLandDet.jsp?pnu=4311331023102470003&amp;isNoScr=script&amp;mode=search", "토지이음")</f>
        <v/>
      </c>
      <c r="T53" s="3" t="inlineStr">
        <is>
          <t>월드</t>
        </is>
      </c>
      <c r="U53" s="4" t="n">
        <v>1</v>
      </c>
      <c r="V53" s="5" t="n">
        <v>35.2</v>
      </c>
      <c r="W53" s="4" t="n">
        <v>629</v>
      </c>
      <c r="X53" s="3" t="inlineStr">
        <is>
          <t>주건축물제1동</t>
        </is>
      </c>
      <c r="Y53" s="7" t="inlineStr">
        <is>
          <t>1층</t>
        </is>
      </c>
      <c r="Z53" s="3" t="inlineStr">
        <is>
          <t>일반철골구조</t>
        </is>
      </c>
      <c r="AA53" s="3" t="inlineStr">
        <is>
          <t>제1종근생</t>
        </is>
      </c>
      <c r="AB53" s="3" t="inlineStr">
        <is>
          <t>8.61m</t>
        </is>
      </c>
      <c r="AC53" s="3" t="inlineStr">
        <is>
          <t>2024-03</t>
        </is>
      </c>
      <c r="AD53" s="3" t="inlineStr">
        <is>
          <t>세로한면(가)</t>
        </is>
      </c>
    </row>
    <row r="54">
      <c r="A54" s="3" t="inlineStr">
        <is>
          <t>강내면 탑연리 295-5</t>
        </is>
      </c>
      <c r="B54" s="3" t="inlineStr">
        <is>
          <t>계획관리지역</t>
        </is>
      </c>
      <c r="C54" s="3" t="inlineStr">
        <is>
          <t>목장용지</t>
        </is>
      </c>
      <c r="D54" s="3" t="inlineStr">
        <is>
          <t>창고</t>
        </is>
      </c>
      <c r="E54" s="3" t="inlineStr">
        <is>
          <t>월세</t>
        </is>
      </c>
      <c r="F54" s="4" t="n">
        <v>1000</v>
      </c>
      <c r="G54" s="4" t="n">
        <v>80</v>
      </c>
      <c r="H54" s="4" t="n">
        <v>1116</v>
      </c>
      <c r="I54" s="4" t="n">
        <v>338</v>
      </c>
      <c r="J54" s="5" t="n">
        <v>0.2</v>
      </c>
      <c r="K54" s="4" t="n">
        <v>277</v>
      </c>
      <c r="L54" s="4" t="n">
        <v>84</v>
      </c>
      <c r="M54" s="5" t="n">
        <v>1</v>
      </c>
      <c r="N54" s="3" t="inlineStr">
        <is>
          <t>1</t>
        </is>
      </c>
      <c r="O54" s="3" t="inlineStr">
        <is>
          <t>-</t>
        </is>
      </c>
      <c r="P54" s="3" t="inlineStr">
        <is>
          <t>nan</t>
        </is>
      </c>
      <c r="Q54" s="6">
        <f>HYPERLINK("https://fin.land.naver.com/articles/2652009809", "매물Link")</f>
        <v/>
      </c>
      <c r="R54" s="6">
        <f>HYPERLINK("https://map.naver.com/p/search/강내면 탑연리 295-5", "지도Link")</f>
        <v/>
      </c>
      <c r="S54" s="6">
        <f>HYPERLINK("http://www.eum.go.kr/web/ar/lu/luLandDet.jsp?pnu=4311331031102950005&amp;isNoScr=script&amp;mode=search", "토지이음")</f>
        <v/>
      </c>
      <c r="T54" s="3" t="inlineStr">
        <is>
          <t>오너스</t>
        </is>
      </c>
      <c r="U54" s="4" t="n">
        <v>1</v>
      </c>
      <c r="V54" s="5" t="n">
        <v>49.6</v>
      </c>
      <c r="W54" s="4" t="n">
        <v>1116</v>
      </c>
      <c r="X54" s="3" t="inlineStr">
        <is>
          <t>미표기</t>
        </is>
      </c>
      <c r="Y54" s="7" t="inlineStr">
        <is>
          <t>1층</t>
        </is>
      </c>
      <c r="Z54" s="3" t="inlineStr">
        <is>
          <t>블록구조</t>
        </is>
      </c>
      <c r="AA54" s="3" t="inlineStr">
        <is>
          <t>동물및식물관련시설</t>
        </is>
      </c>
      <c r="AB54" s="3" t="inlineStr">
        <is>
          <t>5.6m</t>
        </is>
      </c>
      <c r="AC54" s="3" t="inlineStr">
        <is>
          <t>1997-05</t>
        </is>
      </c>
      <c r="AD54" s="3" t="inlineStr">
        <is>
          <t>맹지</t>
        </is>
      </c>
    </row>
    <row r="55">
      <c r="A55" s="3" t="inlineStr">
        <is>
          <t>강내면 탑연리 330-9</t>
        </is>
      </c>
      <c r="B55" s="3" t="inlineStr">
        <is>
          <t>계획관리지역</t>
        </is>
      </c>
      <c r="C55" s="3" t="inlineStr">
        <is>
          <t>대</t>
        </is>
      </c>
      <c r="D55" s="3" t="inlineStr">
        <is>
          <t>공장</t>
        </is>
      </c>
      <c r="E55" s="3" t="inlineStr">
        <is>
          <t>매매</t>
        </is>
      </c>
      <c r="F55" s="4" t="n">
        <v>1200000</v>
      </c>
      <c r="G55" s="4" t="n">
        <v>0</v>
      </c>
      <c r="H55" s="4" t="n">
        <v>9564</v>
      </c>
      <c r="I55" s="4" t="n">
        <v>2893</v>
      </c>
      <c r="J55" s="5" t="n">
        <v>414.8</v>
      </c>
      <c r="K55" s="4" t="n">
        <v>1204</v>
      </c>
      <c r="L55" s="4" t="n">
        <v>364</v>
      </c>
      <c r="M55" s="5" t="n">
        <v>3296.7</v>
      </c>
      <c r="N55" s="3" t="inlineStr">
        <is>
          <t>3</t>
        </is>
      </c>
      <c r="O55" s="3" t="inlineStr">
        <is>
          <t>-</t>
        </is>
      </c>
      <c r="P55" s="3" t="inlineStr">
        <is>
          <t>nan</t>
        </is>
      </c>
      <c r="Q55" s="6">
        <f>HYPERLINK("https://fin.land.naver.com/articles/2652510659", "매물Link")</f>
        <v/>
      </c>
      <c r="R55" s="6">
        <f>HYPERLINK("https://map.naver.com/p/search/강내면 탑연리 330-9", "지도Link")</f>
        <v/>
      </c>
      <c r="S55" s="6">
        <f>HYPERLINK("http://www.eum.go.kr/web/ar/lu/luLandDet.jsp?pnu=4311331031103300009&amp;isNoScr=script&amp;mode=search", "토지이음")</f>
        <v/>
      </c>
      <c r="T55" s="3" t="inlineStr">
        <is>
          <t>365</t>
        </is>
      </c>
      <c r="U55" s="4" t="n">
        <v>4</v>
      </c>
      <c r="V55" s="5" t="n">
        <v>147.8</v>
      </c>
      <c r="W55" s="4" t="n">
        <v>1590</v>
      </c>
      <c r="X55" s="3" t="inlineStr">
        <is>
          <t>1동</t>
        </is>
      </c>
      <c r="Y55" s="7" t="inlineStr">
        <is>
          <t>3층</t>
        </is>
      </c>
      <c r="Z55" s="3" t="inlineStr">
        <is>
          <t>철근콘크리트구조</t>
        </is>
      </c>
      <c r="AA55" s="3" t="inlineStr">
        <is>
          <t>공장</t>
        </is>
      </c>
      <c r="AB55" s="3" t="inlineStr">
        <is>
          <t>14.0m</t>
        </is>
      </c>
      <c r="AC55" s="3" t="inlineStr">
        <is>
          <t>2006-01</t>
        </is>
      </c>
      <c r="AD55" s="3" t="inlineStr">
        <is>
          <t>중로한면</t>
        </is>
      </c>
    </row>
    <row r="56">
      <c r="A56" s="3" t="inlineStr">
        <is>
          <t>강내면 탑연리 330-9</t>
        </is>
      </c>
      <c r="B56" s="3" t="inlineStr">
        <is>
          <t>계획관리지역</t>
        </is>
      </c>
      <c r="C56" s="3" t="inlineStr">
        <is>
          <t>대</t>
        </is>
      </c>
      <c r="D56" s="3" t="inlineStr">
        <is>
          <t>공장</t>
        </is>
      </c>
      <c r="E56" s="3" t="inlineStr">
        <is>
          <t>매매</t>
        </is>
      </c>
      <c r="F56" s="4" t="n">
        <v>800000</v>
      </c>
      <c r="G56" s="4" t="n">
        <v>0</v>
      </c>
      <c r="H56" s="4" t="n">
        <v>1590</v>
      </c>
      <c r="I56" s="4" t="n">
        <v>481</v>
      </c>
      <c r="J56" s="5" t="n">
        <v>1663.2</v>
      </c>
      <c r="K56" s="4" t="n">
        <v>938</v>
      </c>
      <c r="L56" s="4" t="n">
        <v>284</v>
      </c>
      <c r="M56" s="5" t="n">
        <v>2816.9</v>
      </c>
      <c r="N56" s="3" t="inlineStr">
        <is>
          <t>3</t>
        </is>
      </c>
      <c r="O56" s="3" t="inlineStr">
        <is>
          <t>-</t>
        </is>
      </c>
      <c r="P56" s="3" t="inlineStr">
        <is>
          <t>M 해당토지외 6필지 포함. 접근성 좋은 공장 및 토지 매매 M</t>
        </is>
      </c>
      <c r="Q56" s="6">
        <f>HYPERLINK("https://fin.land.naver.com/articles/2650409598", "매물Link")</f>
        <v/>
      </c>
      <c r="R56" s="6">
        <f>HYPERLINK("https://map.naver.com/p/search/강내면 탑연리 330-9", "지도Link")</f>
        <v/>
      </c>
      <c r="S56" s="6">
        <f>HYPERLINK("http://www.eum.go.kr/web/ar/lu/luLandDet.jsp?pnu=4311331031103300009&amp;isNoScr=script&amp;mode=search", "토지이음")</f>
        <v/>
      </c>
      <c r="T56" s="3" t="inlineStr">
        <is>
          <t>채움</t>
        </is>
      </c>
      <c r="U56" s="4" t="n">
        <v>1</v>
      </c>
      <c r="V56" s="5" t="n">
        <v>147.8</v>
      </c>
      <c r="W56" s="4" t="n">
        <v>1590</v>
      </c>
      <c r="X56" s="3" t="inlineStr">
        <is>
          <t>1동</t>
        </is>
      </c>
      <c r="Y56" s="7" t="inlineStr">
        <is>
          <t>3층</t>
        </is>
      </c>
      <c r="Z56" s="3" t="inlineStr">
        <is>
          <t>철근콘크리트구조</t>
        </is>
      </c>
      <c r="AA56" s="3" t="inlineStr">
        <is>
          <t>공장</t>
        </is>
      </c>
      <c r="AB56" s="3" t="inlineStr">
        <is>
          <t>14.0m</t>
        </is>
      </c>
      <c r="AC56" s="3" t="inlineStr">
        <is>
          <t>2006-01</t>
        </is>
      </c>
      <c r="AD56" s="3" t="inlineStr">
        <is>
          <t>중로한면</t>
        </is>
      </c>
    </row>
    <row r="57">
      <c r="A57" s="3" t="inlineStr">
        <is>
          <t>강내면 탑연리 330-9</t>
        </is>
      </c>
      <c r="B57" s="3" t="inlineStr">
        <is>
          <t>계획관리지역</t>
        </is>
      </c>
      <c r="C57" s="3" t="inlineStr">
        <is>
          <t>대</t>
        </is>
      </c>
      <c r="D57" s="3" t="inlineStr">
        <is>
          <t>공장</t>
        </is>
      </c>
      <c r="E57" s="3" t="inlineStr">
        <is>
          <t>매매</t>
        </is>
      </c>
      <c r="F57" s="4" t="n">
        <v>1200000</v>
      </c>
      <c r="G57" s="4" t="n">
        <v>0</v>
      </c>
      <c r="H57" s="4" t="n">
        <v>9564</v>
      </c>
      <c r="I57" s="4" t="n">
        <v>2893</v>
      </c>
      <c r="J57" s="5" t="n">
        <v>414.8</v>
      </c>
      <c r="K57" s="4" t="n">
        <v>1204</v>
      </c>
      <c r="L57" s="4" t="n">
        <v>364</v>
      </c>
      <c r="M57" s="5" t="n">
        <v>3296.7</v>
      </c>
      <c r="N57" s="3" t="inlineStr">
        <is>
          <t>4</t>
        </is>
      </c>
      <c r="O57" s="3" t="inlineStr">
        <is>
          <t>-</t>
        </is>
      </c>
      <c r="P57" s="3" t="inlineStr">
        <is>
          <t>오송역ktx 청주ic 약10분거리 4차선대로변 위치좋은 공장</t>
        </is>
      </c>
      <c r="Q57" s="6">
        <f>HYPERLINK("https://fin.land.naver.com/articles/2650873405", "매물Link")</f>
        <v/>
      </c>
      <c r="R57" s="6">
        <f>HYPERLINK("https://map.naver.com/p/search/강내면 탑연리 330-9", "지도Link")</f>
        <v/>
      </c>
      <c r="S57" s="6">
        <f>HYPERLINK("http://www.eum.go.kr/web/ar/lu/luLandDet.jsp?pnu=4311331031103300009&amp;isNoScr=script&amp;mode=search", "토지이음")</f>
        <v/>
      </c>
      <c r="T57" s="3" t="inlineStr">
        <is>
          <t>더원</t>
        </is>
      </c>
      <c r="U57" s="4" t="n">
        <v>1</v>
      </c>
      <c r="V57" s="5" t="n">
        <v>147.8</v>
      </c>
      <c r="W57" s="4" t="n">
        <v>1590</v>
      </c>
      <c r="X57" s="3" t="inlineStr">
        <is>
          <t>1동</t>
        </is>
      </c>
      <c r="Y57" s="7" t="inlineStr">
        <is>
          <t>3층</t>
        </is>
      </c>
      <c r="Z57" s="3" t="inlineStr">
        <is>
          <t>철근콘크리트구조</t>
        </is>
      </c>
      <c r="AA57" s="3" t="inlineStr">
        <is>
          <t>공장</t>
        </is>
      </c>
      <c r="AB57" s="3" t="inlineStr">
        <is>
          <t>14.0m</t>
        </is>
      </c>
      <c r="AC57" s="3" t="inlineStr">
        <is>
          <t>2006-01</t>
        </is>
      </c>
      <c r="AD57" s="3" t="inlineStr">
        <is>
          <t>중로한면</t>
        </is>
      </c>
    </row>
    <row r="58">
      <c r="A58" s="3" t="inlineStr">
        <is>
          <t>강내면 태성리 117-11</t>
        </is>
      </c>
      <c r="B58" s="3" t="inlineStr">
        <is>
          <t>계획관리지역</t>
        </is>
      </c>
      <c r="C58" s="3" t="inlineStr">
        <is>
          <t>공장용지</t>
        </is>
      </c>
      <c r="D58" s="3" t="inlineStr">
        <is>
          <t>공장</t>
        </is>
      </c>
      <c r="E58" s="3" t="inlineStr">
        <is>
          <t>매매</t>
        </is>
      </c>
      <c r="F58" s="4" t="n">
        <v>620000</v>
      </c>
      <c r="G58" s="4" t="n">
        <v>0</v>
      </c>
      <c r="H58" s="4" t="n">
        <v>140034</v>
      </c>
      <c r="I58" s="4" t="n">
        <v>42360</v>
      </c>
      <c r="J58" s="5" t="n">
        <v>14.6</v>
      </c>
      <c r="K58" s="4" t="n">
        <v>42360</v>
      </c>
      <c r="L58" s="4" t="n">
        <v>12814</v>
      </c>
      <c r="M58" s="5" t="n">
        <v>48.4</v>
      </c>
      <c r="N58" s="3" t="inlineStr">
        <is>
          <t>2</t>
        </is>
      </c>
      <c r="O58" s="3" t="inlineStr">
        <is>
          <t>-</t>
        </is>
      </c>
      <c r="P58" s="3" t="inlineStr">
        <is>
          <t>2차선 도로변의 공장으로 접근성 양호, 청주IC, 오송역과 가까움</t>
        </is>
      </c>
      <c r="Q58" s="6">
        <f>HYPERLINK("https://fin.land.naver.com/articles/2652356650", "매물Link")</f>
        <v/>
      </c>
      <c r="R58" s="6">
        <f>HYPERLINK("https://map.naver.com/p/search/강내면 태성리 117-11", "지도Link")</f>
        <v/>
      </c>
      <c r="S58" s="6">
        <f>HYPERLINK("http://www.eum.go.kr/web/ar/lu/luLandDet.jsp?pnu=4311331027101170011&amp;isNoScr=script&amp;mode=search", "토지이음")</f>
        <v/>
      </c>
      <c r="T58" s="3" t="inlineStr">
        <is>
          <t>(주)미르</t>
        </is>
      </c>
      <c r="U58" s="4" t="n">
        <v>1</v>
      </c>
      <c r="V58" s="5" t="n">
        <v>76</v>
      </c>
      <c r="W58" s="4" t="n">
        <v>12543</v>
      </c>
      <c r="X58" s="3" t="inlineStr">
        <is>
          <t>미표기</t>
        </is>
      </c>
      <c r="Y58" s="7" t="inlineStr">
        <is>
          <t>2층</t>
        </is>
      </c>
      <c r="Z58" s="3" t="inlineStr">
        <is>
          <t>철근콘크리트구조</t>
        </is>
      </c>
      <c r="AA58" s="3" t="inlineStr">
        <is>
          <t>공장</t>
        </is>
      </c>
      <c r="AB58" s="3" t="inlineStr">
        <is>
          <t>4.85m</t>
        </is>
      </c>
      <c r="AC58" s="3" t="inlineStr">
        <is>
          <t>1992-12</t>
        </is>
      </c>
      <c r="AD58" s="3" t="inlineStr">
        <is>
          <t>소로한면</t>
        </is>
      </c>
    </row>
    <row r="59">
      <c r="A59" s="3" t="inlineStr">
        <is>
          <t>강내면 태성리 142-2</t>
        </is>
      </c>
      <c r="B59" s="3" t="inlineStr">
        <is>
          <t>계획관리지역</t>
        </is>
      </c>
      <c r="C59" s="3" t="inlineStr">
        <is>
          <t>공장용지</t>
        </is>
      </c>
      <c r="D59" s="3" t="inlineStr">
        <is>
          <t>공장</t>
        </is>
      </c>
      <c r="E59" s="3" t="inlineStr">
        <is>
          <t>매매</t>
        </is>
      </c>
      <c r="F59" s="4" t="n">
        <v>80000</v>
      </c>
      <c r="G59" s="4" t="n">
        <v>0</v>
      </c>
      <c r="H59" s="4" t="n">
        <v>1325</v>
      </c>
      <c r="I59" s="4" t="n">
        <v>401</v>
      </c>
      <c r="J59" s="5" t="n">
        <v>199.5</v>
      </c>
      <c r="K59" s="4" t="n">
        <v>707</v>
      </c>
      <c r="L59" s="4" t="n">
        <v>214</v>
      </c>
      <c r="M59" s="5" t="n">
        <v>373.8</v>
      </c>
      <c r="N59" s="3" t="inlineStr">
        <is>
          <t>1</t>
        </is>
      </c>
      <c r="O59" s="3" t="inlineStr">
        <is>
          <t>-</t>
        </is>
      </c>
      <c r="P59" s="3" t="inlineStr">
        <is>
          <t>하이테크밸리 산업단지 연접 공장부지, 진출입 매우 용이, 투자가치 높음</t>
        </is>
      </c>
      <c r="Q59" s="6">
        <f>HYPERLINK("https://fin.land.naver.com/articles/2651483405", "매물Link")</f>
        <v/>
      </c>
      <c r="R59" s="6">
        <f>HYPERLINK("https://map.naver.com/p/search/강내면 태성리 142-2", "지도Link")</f>
        <v/>
      </c>
      <c r="S59" s="6">
        <f>HYPERLINK("http://www.eum.go.kr/web/ar/lu/luLandDet.jsp?pnu=4311331027101420002&amp;isNoScr=script&amp;mode=search", "토지이음")</f>
        <v/>
      </c>
      <c r="T59" s="3" t="inlineStr">
        <is>
          <t>제이</t>
        </is>
      </c>
      <c r="U59" s="4" t="n">
        <v>2</v>
      </c>
      <c r="V59" s="5" t="n">
        <v>67</v>
      </c>
      <c r="W59" s="4" t="n">
        <v>1325</v>
      </c>
      <c r="X59" s="3" t="inlineStr">
        <is>
          <t>미표기</t>
        </is>
      </c>
      <c r="Y59" s="7" t="inlineStr">
        <is>
          <t>1층</t>
        </is>
      </c>
      <c r="Z59" s="3" t="inlineStr">
        <is>
          <t>경량철골구조</t>
        </is>
      </c>
      <c r="AA59" s="3" t="inlineStr">
        <is>
          <t>공장</t>
        </is>
      </c>
      <c r="AB59" s="3" t="inlineStr">
        <is>
          <t>-</t>
        </is>
      </c>
      <c r="AC59" s="3" t="inlineStr">
        <is>
          <t>1991-11</t>
        </is>
      </c>
      <c r="AD59" s="3" t="inlineStr">
        <is>
          <t>세로한면(가)</t>
        </is>
      </c>
    </row>
    <row r="60">
      <c r="A60" s="3" t="inlineStr">
        <is>
          <t>강내면 태성리 144-1</t>
        </is>
      </c>
      <c r="B60" s="3" t="inlineStr">
        <is>
          <t>계획관리지역</t>
        </is>
      </c>
      <c r="C60" s="3" t="inlineStr">
        <is>
          <t>공장용지</t>
        </is>
      </c>
      <c r="D60" s="3" t="inlineStr">
        <is>
          <t>공장</t>
        </is>
      </c>
      <c r="E60" s="3" t="inlineStr">
        <is>
          <t>매매</t>
        </is>
      </c>
      <c r="F60" s="4" t="n">
        <v>280000</v>
      </c>
      <c r="G60" s="4" t="n">
        <v>0</v>
      </c>
      <c r="H60" s="4" t="n">
        <v>2940</v>
      </c>
      <c r="I60" s="4" t="n">
        <v>889</v>
      </c>
      <c r="J60" s="5" t="n">
        <v>315</v>
      </c>
      <c r="K60" s="4" t="n">
        <v>597</v>
      </c>
      <c r="L60" s="4" t="n">
        <v>181</v>
      </c>
      <c r="M60" s="5" t="n">
        <v>1547</v>
      </c>
      <c r="N60" s="3" t="inlineStr">
        <is>
          <t>1</t>
        </is>
      </c>
      <c r="O60" s="3" t="inlineStr">
        <is>
          <t>-</t>
        </is>
      </c>
      <c r="P60" s="3" t="inlineStr">
        <is>
          <t>2차선 도로변 접함,입출구 편리, 트레일러 턴 가능, 오폐수 정화조 설치</t>
        </is>
      </c>
      <c r="Q60" s="6">
        <f>HYPERLINK("https://fin.land.naver.com/articles/2651662949", "매물Link")</f>
        <v/>
      </c>
      <c r="R60" s="6">
        <f>HYPERLINK("https://map.naver.com/p/search/강내면 태성리 144-1", "지도Link")</f>
        <v/>
      </c>
      <c r="S60" s="6">
        <f>HYPERLINK("http://www.eum.go.kr/web/ar/lu/luLandDet.jsp?pnu=4311331027101440001&amp;isNoScr=script&amp;mode=search", "토지이음")</f>
        <v/>
      </c>
      <c r="T60" s="3" t="inlineStr">
        <is>
          <t>테크노비타사사무소</t>
        </is>
      </c>
      <c r="U60" s="4" t="n">
        <v>1</v>
      </c>
      <c r="V60" s="5" t="n">
        <v>87.59999999999999</v>
      </c>
      <c r="W60" s="4" t="n">
        <v>2940</v>
      </c>
      <c r="X60" s="3" t="inlineStr">
        <is>
          <t>미표기</t>
        </is>
      </c>
      <c r="Y60" s="7" t="inlineStr">
        <is>
          <t>1층</t>
        </is>
      </c>
      <c r="Z60" s="3" t="inlineStr">
        <is>
          <t>일반철골구조</t>
        </is>
      </c>
      <c r="AA60" s="3" t="inlineStr">
        <is>
          <t>공장</t>
        </is>
      </c>
      <c r="AB60" s="3" t="inlineStr">
        <is>
          <t>10.4m</t>
        </is>
      </c>
      <c r="AC60" s="3" t="inlineStr">
        <is>
          <t>2021-11</t>
        </is>
      </c>
      <c r="AD60" s="3" t="inlineStr">
        <is>
          <t>소로한면</t>
        </is>
      </c>
    </row>
    <row r="61">
      <c r="A61" s="3" t="inlineStr">
        <is>
          <t>강내면 태성리 144-1</t>
        </is>
      </c>
      <c r="B61" s="3" t="inlineStr">
        <is>
          <t>계획관리지역</t>
        </is>
      </c>
      <c r="C61" s="3" t="inlineStr">
        <is>
          <t>공장용지</t>
        </is>
      </c>
      <c r="D61" s="3" t="inlineStr">
        <is>
          <t>공장</t>
        </is>
      </c>
      <c r="E61" s="3" t="inlineStr">
        <is>
          <t>매매</t>
        </is>
      </c>
      <c r="F61" s="4" t="n">
        <v>280000</v>
      </c>
      <c r="G61" s="4" t="n">
        <v>0</v>
      </c>
      <c r="H61" s="4" t="n">
        <v>2940</v>
      </c>
      <c r="I61" s="4" t="n">
        <v>889</v>
      </c>
      <c r="J61" s="5" t="n">
        <v>315</v>
      </c>
      <c r="K61" s="4" t="n">
        <v>597</v>
      </c>
      <c r="L61" s="4" t="n">
        <v>181</v>
      </c>
      <c r="M61" s="5" t="n">
        <v>1547</v>
      </c>
      <c r="N61" s="3" t="inlineStr">
        <is>
          <t>1</t>
        </is>
      </c>
      <c r="O61" s="3" t="inlineStr">
        <is>
          <t>-</t>
        </is>
      </c>
      <c r="P61" s="3" t="inlineStr">
        <is>
          <t>청주,세종으로 접근성 좋은,호이스트3톤,마당넓은 야적하기 좋은 공장</t>
        </is>
      </c>
      <c r="Q61" s="6">
        <f>HYPERLINK("https://fin.land.naver.com/articles/2650346158", "매물Link")</f>
        <v/>
      </c>
      <c r="R61" s="6">
        <f>HYPERLINK("https://map.naver.com/p/search/강내면 태성리 144-1", "지도Link")</f>
        <v/>
      </c>
      <c r="S61" s="6">
        <f>HYPERLINK("http://www.eum.go.kr/web/ar/lu/luLandDet.jsp?pnu=4311331027101440001&amp;isNoScr=script&amp;mode=search", "토지이음")</f>
        <v/>
      </c>
      <c r="T61" s="3" t="inlineStr">
        <is>
          <t>(주)미르</t>
        </is>
      </c>
      <c r="U61" s="4" t="n">
        <v>1</v>
      </c>
      <c r="V61" s="5" t="n">
        <v>87.59999999999999</v>
      </c>
      <c r="W61" s="4" t="n">
        <v>2940</v>
      </c>
      <c r="X61" s="3" t="inlineStr">
        <is>
          <t>미표기</t>
        </is>
      </c>
      <c r="Y61" s="7" t="inlineStr">
        <is>
          <t>1층</t>
        </is>
      </c>
      <c r="Z61" s="3" t="inlineStr">
        <is>
          <t>일반철골구조</t>
        </is>
      </c>
      <c r="AA61" s="3" t="inlineStr">
        <is>
          <t>공장</t>
        </is>
      </c>
      <c r="AB61" s="3" t="inlineStr">
        <is>
          <t>10.4m</t>
        </is>
      </c>
      <c r="AC61" s="3" t="inlineStr">
        <is>
          <t>2021-11</t>
        </is>
      </c>
      <c r="AD61" s="3" t="inlineStr">
        <is>
          <t>소로한면</t>
        </is>
      </c>
    </row>
    <row r="62">
      <c r="A62" s="3" t="inlineStr">
        <is>
          <t>강내면 태성리 144-1</t>
        </is>
      </c>
      <c r="B62" s="3" t="inlineStr">
        <is>
          <t>계획관리지역</t>
        </is>
      </c>
      <c r="C62" s="3" t="inlineStr">
        <is>
          <t>공장용지</t>
        </is>
      </c>
      <c r="D62" s="3" t="inlineStr">
        <is>
          <t>공장</t>
        </is>
      </c>
      <c r="E62" s="3" t="inlineStr">
        <is>
          <t>매매</t>
        </is>
      </c>
      <c r="F62" s="4" t="n">
        <v>280000</v>
      </c>
      <c r="G62" s="4" t="n">
        <v>0</v>
      </c>
      <c r="H62" s="4" t="n">
        <v>2940</v>
      </c>
      <c r="I62" s="4" t="n">
        <v>889</v>
      </c>
      <c r="J62" s="5" t="n">
        <v>315</v>
      </c>
      <c r="K62" s="4" t="n">
        <v>597</v>
      </c>
      <c r="L62" s="4" t="n">
        <v>181</v>
      </c>
      <c r="M62" s="5" t="n">
        <v>1547</v>
      </c>
      <c r="N62" s="3" t="inlineStr">
        <is>
          <t>1</t>
        </is>
      </c>
      <c r="O62" s="3" t="inlineStr">
        <is>
          <t>-</t>
        </is>
      </c>
      <c r="P62" s="3" t="inlineStr">
        <is>
          <t>대로변 준신축 공장 호이스트 3ton</t>
        </is>
      </c>
      <c r="Q62" s="6">
        <f>HYPERLINK("https://fin.land.naver.com/articles/2654091247", "매물Link")</f>
        <v/>
      </c>
      <c r="R62" s="6">
        <f>HYPERLINK("https://map.naver.com/p/search/강내면 태성리 144-1", "지도Link")</f>
        <v/>
      </c>
      <c r="S62" s="6">
        <f>HYPERLINK("http://www.eum.go.kr/web/ar/lu/luLandDet.jsp?pnu=4311331027101440001&amp;isNoScr=script&amp;mode=search", "토지이음")</f>
        <v/>
      </c>
      <c r="T62" s="3" t="inlineStr">
        <is>
          <t>수풀림</t>
        </is>
      </c>
      <c r="U62" s="4" t="n">
        <v>2</v>
      </c>
      <c r="V62" s="5" t="n">
        <v>87.59999999999999</v>
      </c>
      <c r="W62" s="4" t="n">
        <v>2940</v>
      </c>
      <c r="X62" s="3" t="inlineStr">
        <is>
          <t>미표기</t>
        </is>
      </c>
      <c r="Y62" s="7" t="inlineStr">
        <is>
          <t>1층</t>
        </is>
      </c>
      <c r="Z62" s="3" t="inlineStr">
        <is>
          <t>일반철골구조</t>
        </is>
      </c>
      <c r="AA62" s="3" t="inlineStr">
        <is>
          <t>공장</t>
        </is>
      </c>
      <c r="AB62" s="3" t="inlineStr">
        <is>
          <t>10.4m</t>
        </is>
      </c>
      <c r="AC62" s="3" t="inlineStr">
        <is>
          <t>2021-11</t>
        </is>
      </c>
      <c r="AD62" s="3" t="inlineStr">
        <is>
          <t>소로한면</t>
        </is>
      </c>
    </row>
    <row r="63">
      <c r="A63" s="3" t="inlineStr">
        <is>
          <t>강내면 태성리 147-1</t>
        </is>
      </c>
      <c r="B63" s="3" t="inlineStr">
        <is>
          <t>계획관리지역</t>
        </is>
      </c>
      <c r="C63" s="3" t="inlineStr">
        <is>
          <t>창고용지</t>
        </is>
      </c>
      <c r="D63" s="3" t="inlineStr">
        <is>
          <t>창고</t>
        </is>
      </c>
      <c r="E63" s="3" t="inlineStr">
        <is>
          <t>매매</t>
        </is>
      </c>
      <c r="F63" s="4" t="n">
        <v>230000</v>
      </c>
      <c r="G63" s="4" t="n">
        <v>0</v>
      </c>
      <c r="H63" s="4" t="n">
        <v>1983</v>
      </c>
      <c r="I63" s="4" t="n">
        <v>600</v>
      </c>
      <c r="J63" s="5" t="n">
        <v>383.3</v>
      </c>
      <c r="K63" s="4" t="n">
        <v>801</v>
      </c>
      <c r="L63" s="4" t="n">
        <v>242</v>
      </c>
      <c r="M63" s="5" t="n">
        <v>950.4</v>
      </c>
      <c r="N63" s="3" t="inlineStr">
        <is>
          <t>2</t>
        </is>
      </c>
      <c r="O63" s="3" t="inlineStr">
        <is>
          <t>-</t>
        </is>
      </c>
      <c r="P63" s="3" t="inlineStr">
        <is>
          <t>강내면 청주하이테크밸리 산업단지 주변 창고 매매</t>
        </is>
      </c>
      <c r="Q63" s="6">
        <f>HYPERLINK("https://fin.land.naver.com/articles/2653394029", "매물Link")</f>
        <v/>
      </c>
      <c r="R63" s="6">
        <f>HYPERLINK("https://map.naver.com/p/search/강내면 태성리 147-1", "지도Link")</f>
        <v/>
      </c>
      <c r="S63" s="6">
        <f>HYPERLINK("http://www.eum.go.kr/web/ar/lu/luLandDet.jsp?pnu=4311331027101470001&amp;isNoScr=script&amp;mode=search", "토지이음")</f>
        <v/>
      </c>
      <c r="T63" s="3" t="inlineStr">
        <is>
          <t>대지</t>
        </is>
      </c>
      <c r="U63" s="4" t="n">
        <v>1</v>
      </c>
      <c r="V63" s="5" t="n">
        <v>87.59999999999999</v>
      </c>
      <c r="W63" s="4" t="n">
        <v>1883</v>
      </c>
      <c r="X63" s="3" t="inlineStr">
        <is>
          <t>미표기</t>
        </is>
      </c>
      <c r="Y63" s="7" t="inlineStr">
        <is>
          <t>2층</t>
        </is>
      </c>
      <c r="Z63" s="3" t="inlineStr">
        <is>
          <t>일반철골구조</t>
        </is>
      </c>
      <c r="AA63" s="3" t="inlineStr">
        <is>
          <t>창고시설</t>
        </is>
      </c>
      <c r="AB63" s="3" t="inlineStr">
        <is>
          <t>9.75m</t>
        </is>
      </c>
      <c r="AC63" s="3" t="inlineStr">
        <is>
          <t>2018-02</t>
        </is>
      </c>
      <c r="AD63" s="3" t="inlineStr">
        <is>
          <t>소로한면</t>
        </is>
      </c>
    </row>
    <row r="64">
      <c r="A64" s="3" t="inlineStr">
        <is>
          <t>강내면 태성리 147-3</t>
        </is>
      </c>
      <c r="B64" s="3" t="inlineStr">
        <is>
          <t>계획관리지역</t>
        </is>
      </c>
      <c r="C64" s="3" t="inlineStr">
        <is>
          <t>공장용지</t>
        </is>
      </c>
      <c r="D64" s="3" t="inlineStr">
        <is>
          <t>공장</t>
        </is>
      </c>
      <c r="E64" s="3" t="inlineStr">
        <is>
          <t>월세</t>
        </is>
      </c>
      <c r="F64" s="4" t="n">
        <v>4000</v>
      </c>
      <c r="G64" s="4" t="n">
        <v>400</v>
      </c>
      <c r="H64" s="4" t="n">
        <v>1798</v>
      </c>
      <c r="I64" s="4" t="n">
        <v>544</v>
      </c>
      <c r="J64" s="5" t="n">
        <v>0.7</v>
      </c>
      <c r="K64" s="4" t="n">
        <v>860</v>
      </c>
      <c r="L64" s="4" t="n">
        <v>260</v>
      </c>
      <c r="M64" s="5" t="n">
        <v>1.5</v>
      </c>
      <c r="N64" s="3" t="inlineStr">
        <is>
          <t>2</t>
        </is>
      </c>
      <c r="O64" s="3" t="inlineStr">
        <is>
          <t>-</t>
        </is>
      </c>
      <c r="P64" s="3" t="inlineStr">
        <is>
          <t>식품공장 육가공 임대  냉동 냉장창고 임대</t>
        </is>
      </c>
      <c r="Q64" s="6">
        <f>HYPERLINK("https://fin.land.naver.com/articles/2652232542", "매물Link")</f>
        <v/>
      </c>
      <c r="R64" s="6">
        <f>HYPERLINK("https://map.naver.com/p/search/강내면 태성리 147-3", "지도Link")</f>
        <v/>
      </c>
      <c r="S64" s="6">
        <f>HYPERLINK("http://www.eum.go.kr/web/ar/lu/luLandDet.jsp?pnu=4311331027101470003&amp;isNoScr=script&amp;mode=search", "토지이음")</f>
        <v/>
      </c>
      <c r="T64" s="3" t="inlineStr">
        <is>
          <t>김창수</t>
        </is>
      </c>
      <c r="U64" s="4" t="n">
        <v>1</v>
      </c>
      <c r="V64" s="5" t="n">
        <v>87.59999999999999</v>
      </c>
      <c r="W64" s="4" t="n">
        <v>1799</v>
      </c>
      <c r="X64" s="3" t="inlineStr">
        <is>
          <t>미표기</t>
        </is>
      </c>
      <c r="Y64" s="7" t="inlineStr">
        <is>
          <t>2층</t>
        </is>
      </c>
      <c r="Z64" s="3" t="inlineStr">
        <is>
          <t>철근콘크리트구조</t>
        </is>
      </c>
      <c r="AA64" s="3" t="inlineStr">
        <is>
          <t>공장</t>
        </is>
      </c>
      <c r="AB64" s="3" t="inlineStr">
        <is>
          <t>5.6m</t>
        </is>
      </c>
      <c r="AC64" s="3" t="inlineStr">
        <is>
          <t>1998-09</t>
        </is>
      </c>
      <c r="AD64" s="3" t="inlineStr">
        <is>
          <t>소로한면</t>
        </is>
      </c>
    </row>
    <row r="65">
      <c r="A65" s="3" t="inlineStr">
        <is>
          <t>강내면 태성리 230</t>
        </is>
      </c>
      <c r="B65" s="3" t="inlineStr">
        <is>
          <t>계획관리지역</t>
        </is>
      </c>
      <c r="C65" s="3" t="inlineStr">
        <is>
          <t>공장용지</t>
        </is>
      </c>
      <c r="D65" s="3" t="inlineStr">
        <is>
          <t>공장</t>
        </is>
      </c>
      <c r="E65" s="3" t="inlineStr">
        <is>
          <t>매매</t>
        </is>
      </c>
      <c r="F65" s="4" t="n">
        <v>600000</v>
      </c>
      <c r="G65" s="4" t="n">
        <v>0</v>
      </c>
      <c r="H65" s="4" t="n">
        <v>12350</v>
      </c>
      <c r="I65" s="4" t="n">
        <v>3736</v>
      </c>
      <c r="J65" s="5" t="n">
        <v>160.6</v>
      </c>
      <c r="K65" s="4" t="n">
        <v>4649</v>
      </c>
      <c r="L65" s="4" t="n">
        <v>1406</v>
      </c>
      <c r="M65" s="5" t="n">
        <v>426.7</v>
      </c>
      <c r="N65" s="3" t="inlineStr">
        <is>
          <t>3</t>
        </is>
      </c>
      <c r="O65" s="3" t="inlineStr">
        <is>
          <t>-</t>
        </is>
      </c>
      <c r="P65" s="3" t="inlineStr">
        <is>
          <t>층고7m 전력50kw 청주IC 강내IC 강내일반산업단지인근 넓은야드 공장</t>
        </is>
      </c>
      <c r="Q65" s="6">
        <f>HYPERLINK("https://fin.land.naver.com/articles/2653347409", "매물Link")</f>
        <v/>
      </c>
      <c r="R65" s="6">
        <f>HYPERLINK("https://map.naver.com/p/search/강내면 태성리 230", "지도Link")</f>
        <v/>
      </c>
      <c r="S65" s="6">
        <f>HYPERLINK("http://www.eum.go.kr/web/ar/lu/luLandDet.jsp?pnu=4311331027102300000&amp;isNoScr=script&amp;mode=search", "토지이음")</f>
        <v/>
      </c>
      <c r="T65" s="3" t="inlineStr">
        <is>
          <t>에이피엔주식회사</t>
        </is>
      </c>
      <c r="U65" s="4" t="n">
        <v>1</v>
      </c>
      <c r="V65" s="5" t="n">
        <v>58.5</v>
      </c>
      <c r="W65" s="4" t="n">
        <v>12350</v>
      </c>
      <c r="X65" s="3" t="inlineStr">
        <is>
          <t>미표기</t>
        </is>
      </c>
      <c r="Y65" s="7" t="inlineStr">
        <is>
          <t>3층</t>
        </is>
      </c>
      <c r="Z65" s="3" t="inlineStr">
        <is>
          <t>일반철골구조</t>
        </is>
      </c>
      <c r="AA65" s="3" t="inlineStr">
        <is>
          <t>공장</t>
        </is>
      </c>
      <c r="AB65" s="3" t="inlineStr">
        <is>
          <t>8.85m</t>
        </is>
      </c>
      <c r="AC65" s="3" t="inlineStr">
        <is>
          <t>1995-11</t>
        </is>
      </c>
      <c r="AD65" s="3" t="inlineStr">
        <is>
          <t>세로한면(가)</t>
        </is>
      </c>
    </row>
    <row r="66">
      <c r="A66" s="3" t="inlineStr">
        <is>
          <t>강내면 태성리 230</t>
        </is>
      </c>
      <c r="B66" s="3" t="inlineStr">
        <is>
          <t>계획관리지역</t>
        </is>
      </c>
      <c r="C66" s="3" t="inlineStr">
        <is>
          <t>공장용지</t>
        </is>
      </c>
      <c r="D66" s="3" t="inlineStr">
        <is>
          <t>공장</t>
        </is>
      </c>
      <c r="E66" s="3" t="inlineStr">
        <is>
          <t>매매</t>
        </is>
      </c>
      <c r="F66" s="4" t="n">
        <v>600000</v>
      </c>
      <c r="G66" s="4" t="n">
        <v>0</v>
      </c>
      <c r="H66" s="4" t="n">
        <v>12350</v>
      </c>
      <c r="I66" s="4" t="n">
        <v>3736</v>
      </c>
      <c r="J66" s="5" t="n">
        <v>160.6</v>
      </c>
      <c r="K66" s="4" t="n">
        <v>4649</v>
      </c>
      <c r="L66" s="4" t="n">
        <v>1406</v>
      </c>
      <c r="M66" s="5" t="n">
        <v>426.7</v>
      </c>
      <c r="N66" s="3" t="inlineStr">
        <is>
          <t>1</t>
        </is>
      </c>
      <c r="O66" s="3" t="inlineStr">
        <is>
          <t>-</t>
        </is>
      </c>
      <c r="P66" s="3" t="inlineStr">
        <is>
          <t>대형차진입가능. 청주ic 강내산업단지인근 오송산업단지인근</t>
        </is>
      </c>
      <c r="Q66" s="6">
        <f>HYPERLINK("https://fin.land.naver.com/articles/2652759281", "매물Link")</f>
        <v/>
      </c>
      <c r="R66" s="6">
        <f>HYPERLINK("https://map.naver.com/p/search/강내면 태성리 230", "지도Link")</f>
        <v/>
      </c>
      <c r="S66" s="6">
        <f>HYPERLINK("http://www.eum.go.kr/web/ar/lu/luLandDet.jsp?pnu=4311331027102300000&amp;isNoScr=script&amp;mode=search", "토지이음")</f>
        <v/>
      </c>
      <c r="T66" s="3" t="inlineStr">
        <is>
          <t>세종로또</t>
        </is>
      </c>
      <c r="U66" s="4" t="n">
        <v>1</v>
      </c>
      <c r="V66" s="5" t="n">
        <v>58.5</v>
      </c>
      <c r="W66" s="4" t="n">
        <v>12350</v>
      </c>
      <c r="X66" s="3" t="inlineStr">
        <is>
          <t>미표기</t>
        </is>
      </c>
      <c r="Y66" s="7" t="inlineStr">
        <is>
          <t>3층</t>
        </is>
      </c>
      <c r="Z66" s="3" t="inlineStr">
        <is>
          <t>일반철골구조</t>
        </is>
      </c>
      <c r="AA66" s="3" t="inlineStr">
        <is>
          <t>공장</t>
        </is>
      </c>
      <c r="AB66" s="3" t="inlineStr">
        <is>
          <t>8.85m</t>
        </is>
      </c>
      <c r="AC66" s="3" t="inlineStr">
        <is>
          <t>1995-11</t>
        </is>
      </c>
      <c r="AD66" s="3" t="inlineStr">
        <is>
          <t>세로한면(가)</t>
        </is>
      </c>
    </row>
    <row r="67">
      <c r="A67" s="3" t="inlineStr">
        <is>
          <t>강내면 태성리 230</t>
        </is>
      </c>
      <c r="B67" s="3" t="inlineStr">
        <is>
          <t>계획관리지역</t>
        </is>
      </c>
      <c r="C67" s="3" t="inlineStr">
        <is>
          <t>공장용지</t>
        </is>
      </c>
      <c r="D67" s="3" t="inlineStr">
        <is>
          <t>공장</t>
        </is>
      </c>
      <c r="E67" s="3" t="inlineStr">
        <is>
          <t>매매</t>
        </is>
      </c>
      <c r="F67" s="4" t="n">
        <v>600000</v>
      </c>
      <c r="G67" s="4" t="n">
        <v>0</v>
      </c>
      <c r="H67" s="4" t="n">
        <v>12638</v>
      </c>
      <c r="I67" s="4" t="n">
        <v>3823</v>
      </c>
      <c r="J67" s="5" t="n">
        <v>156.9</v>
      </c>
      <c r="K67" s="4" t="n">
        <v>4844</v>
      </c>
      <c r="L67" s="4" t="n">
        <v>1465</v>
      </c>
      <c r="M67" s="5" t="n">
        <v>409.6</v>
      </c>
      <c r="N67" s="3" t="inlineStr">
        <is>
          <t>1</t>
        </is>
      </c>
      <c r="O67" s="3" t="inlineStr">
        <is>
          <t>-</t>
        </is>
      </c>
      <c r="P67" s="3" t="inlineStr">
        <is>
          <t>청주ic및 강내ic 예정지역인근으로 대형차 진출입용이 민원소지없음</t>
        </is>
      </c>
      <c r="Q67" s="6">
        <f>HYPERLINK("https://fin.land.naver.com/articles/2652625582", "매물Link")</f>
        <v/>
      </c>
      <c r="R67" s="6">
        <f>HYPERLINK("https://map.naver.com/p/search/강내면 태성리 230", "지도Link")</f>
        <v/>
      </c>
      <c r="S67" s="6">
        <f>HYPERLINK("http://www.eum.go.kr/web/ar/lu/luLandDet.jsp?pnu=4311331027102300000&amp;isNoScr=script&amp;mode=search", "토지이음")</f>
        <v/>
      </c>
      <c r="T67" s="3" t="inlineStr">
        <is>
          <t>더원</t>
        </is>
      </c>
      <c r="U67" s="4" t="n">
        <v>1</v>
      </c>
      <c r="V67" s="5" t="n">
        <v>58.5</v>
      </c>
      <c r="W67" s="4" t="n">
        <v>12350</v>
      </c>
      <c r="X67" s="3" t="inlineStr">
        <is>
          <t>미표기</t>
        </is>
      </c>
      <c r="Y67" s="7" t="inlineStr">
        <is>
          <t>3층</t>
        </is>
      </c>
      <c r="Z67" s="3" t="inlineStr">
        <is>
          <t>일반철골구조</t>
        </is>
      </c>
      <c r="AA67" s="3" t="inlineStr">
        <is>
          <t>공장</t>
        </is>
      </c>
      <c r="AB67" s="3" t="inlineStr">
        <is>
          <t>8.85m</t>
        </is>
      </c>
      <c r="AC67" s="3" t="inlineStr">
        <is>
          <t>1995-11</t>
        </is>
      </c>
      <c r="AD67" s="3" t="inlineStr">
        <is>
          <t>세로한면(가)</t>
        </is>
      </c>
    </row>
    <row r="68">
      <c r="A68" s="3" t="inlineStr">
        <is>
          <t>강내면 태성리 230</t>
        </is>
      </c>
      <c r="B68" s="3" t="inlineStr">
        <is>
          <t>계획관리지역</t>
        </is>
      </c>
      <c r="C68" s="3" t="inlineStr">
        <is>
          <t>공장용지</t>
        </is>
      </c>
      <c r="D68" s="3" t="inlineStr">
        <is>
          <t>공장</t>
        </is>
      </c>
      <c r="E68" s="3" t="inlineStr">
        <is>
          <t>월세</t>
        </is>
      </c>
      <c r="F68" s="4" t="n">
        <v>20000</v>
      </c>
      <c r="G68" s="4" t="n">
        <v>2200</v>
      </c>
      <c r="H68" s="4" t="n">
        <v>12350</v>
      </c>
      <c r="I68" s="4" t="n">
        <v>3736</v>
      </c>
      <c r="J68" s="5" t="n">
        <v>0.6</v>
      </c>
      <c r="K68" s="4" t="n">
        <v>4649</v>
      </c>
      <c r="L68" s="4" t="n">
        <v>1406</v>
      </c>
      <c r="M68" s="5" t="n">
        <v>1.6</v>
      </c>
      <c r="N68" s="3" t="inlineStr">
        <is>
          <t>2</t>
        </is>
      </c>
      <c r="O68" s="3" t="inlineStr">
        <is>
          <t>B2</t>
        </is>
      </c>
      <c r="P68" s="3" t="inlineStr">
        <is>
          <t>현재공실, 대형차진입가능. 청주ic 강내산업단지인근 오송산업단지인근</t>
        </is>
      </c>
      <c r="Q68" s="6">
        <f>HYPERLINK("https://fin.land.naver.com/articles/2654375140", "매물Link")</f>
        <v/>
      </c>
      <c r="R68" s="6">
        <f>HYPERLINK("https://map.naver.com/p/search/강내면 태성리 230", "지도Link")</f>
        <v/>
      </c>
      <c r="S68" s="6">
        <f>HYPERLINK("http://www.eum.go.kr/web/ar/lu/luLandDet.jsp?pnu=4311331027102300000&amp;isNoScr=script&amp;mode=search", "토지이음")</f>
        <v/>
      </c>
      <c r="T68" s="3" t="inlineStr">
        <is>
          <t>세종로또</t>
        </is>
      </c>
      <c r="U68" s="4" t="n">
        <v>1</v>
      </c>
      <c r="V68" s="5" t="n">
        <v>58.5</v>
      </c>
      <c r="W68" s="4" t="n">
        <v>12350</v>
      </c>
      <c r="X68" s="3" t="inlineStr">
        <is>
          <t>미표기</t>
        </is>
      </c>
      <c r="Y68" s="7" t="inlineStr">
        <is>
          <t>3층</t>
        </is>
      </c>
      <c r="Z68" s="3" t="inlineStr">
        <is>
          <t>일반철골구조</t>
        </is>
      </c>
      <c r="AA68" s="3" t="inlineStr">
        <is>
          <t>공장</t>
        </is>
      </c>
      <c r="AB68" s="3" t="inlineStr">
        <is>
          <t>8.85m</t>
        </is>
      </c>
      <c r="AC68" s="3" t="inlineStr">
        <is>
          <t>1995-11</t>
        </is>
      </c>
      <c r="AD68" s="3" t="inlineStr">
        <is>
          <t>세로한면(가)</t>
        </is>
      </c>
    </row>
    <row r="69">
      <c r="A69" s="3" t="inlineStr">
        <is>
          <t>강내면 태성리 230</t>
        </is>
      </c>
      <c r="B69" s="3" t="inlineStr">
        <is>
          <t>계획관리지역</t>
        </is>
      </c>
      <c r="C69" s="3" t="inlineStr">
        <is>
          <t>공장용지</t>
        </is>
      </c>
      <c r="D69" s="3" t="inlineStr">
        <is>
          <t>공장</t>
        </is>
      </c>
      <c r="E69" s="3" t="inlineStr">
        <is>
          <t>월세</t>
        </is>
      </c>
      <c r="F69" s="4" t="n">
        <v>20000</v>
      </c>
      <c r="G69" s="4" t="n">
        <v>2200</v>
      </c>
      <c r="H69" s="4" t="n">
        <v>12350</v>
      </c>
      <c r="I69" s="4" t="n">
        <v>3736</v>
      </c>
      <c r="J69" s="5" t="n">
        <v>0.6</v>
      </c>
      <c r="K69" s="4" t="n">
        <v>4649</v>
      </c>
      <c r="L69" s="4" t="n">
        <v>1406</v>
      </c>
      <c r="M69" s="5" t="n">
        <v>1.6</v>
      </c>
      <c r="N69" s="3" t="inlineStr">
        <is>
          <t>3</t>
        </is>
      </c>
      <c r="O69" s="3" t="inlineStr">
        <is>
          <t>-</t>
        </is>
      </c>
      <c r="P69" s="3" t="inlineStr">
        <is>
          <t>마당넓고 대형차 진입과 회차가 편리, 대형물류센터 추천</t>
        </is>
      </c>
      <c r="Q69" s="6">
        <f>HYPERLINK("https://fin.land.naver.com/articles/2653391220", "매물Link")</f>
        <v/>
      </c>
      <c r="R69" s="6">
        <f>HYPERLINK("https://map.naver.com/p/search/강내면 태성리 230", "지도Link")</f>
        <v/>
      </c>
      <c r="S69" s="6">
        <f>HYPERLINK("http://www.eum.go.kr/web/ar/lu/luLandDet.jsp?pnu=4311331027102300000&amp;isNoScr=script&amp;mode=search", "토지이음")</f>
        <v/>
      </c>
      <c r="T69" s="3" t="inlineStr">
        <is>
          <t>창고의여왕</t>
        </is>
      </c>
      <c r="U69" s="4" t="n">
        <v>3</v>
      </c>
      <c r="V69" s="5" t="n">
        <v>58.5</v>
      </c>
      <c r="W69" s="4" t="n">
        <v>12350</v>
      </c>
      <c r="X69" s="3" t="inlineStr">
        <is>
          <t>미표기</t>
        </is>
      </c>
      <c r="Y69" s="7" t="inlineStr">
        <is>
          <t>3층</t>
        </is>
      </c>
      <c r="Z69" s="3" t="inlineStr">
        <is>
          <t>일반철골구조</t>
        </is>
      </c>
      <c r="AA69" s="3" t="inlineStr">
        <is>
          <t>공장</t>
        </is>
      </c>
      <c r="AB69" s="3" t="inlineStr">
        <is>
          <t>8.85m</t>
        </is>
      </c>
      <c r="AC69" s="3" t="inlineStr">
        <is>
          <t>1995-11</t>
        </is>
      </c>
      <c r="AD69" s="3" t="inlineStr">
        <is>
          <t>세로한면(가)</t>
        </is>
      </c>
    </row>
    <row r="70">
      <c r="A70" s="3" t="inlineStr">
        <is>
          <t>강내면 태성리 230</t>
        </is>
      </c>
      <c r="B70" s="3" t="inlineStr">
        <is>
          <t>계획관리지역</t>
        </is>
      </c>
      <c r="C70" s="3" t="inlineStr">
        <is>
          <t>공장용지</t>
        </is>
      </c>
      <c r="D70" s="3" t="inlineStr">
        <is>
          <t>공장</t>
        </is>
      </c>
      <c r="E70" s="3" t="inlineStr">
        <is>
          <t>월세</t>
        </is>
      </c>
      <c r="F70" s="4" t="n">
        <v>20000</v>
      </c>
      <c r="G70" s="4" t="n">
        <v>2200</v>
      </c>
      <c r="H70" s="4" t="n">
        <v>12350</v>
      </c>
      <c r="I70" s="4" t="n">
        <v>3736</v>
      </c>
      <c r="J70" s="5" t="n">
        <v>0.6</v>
      </c>
      <c r="K70" s="4" t="n">
        <v>4649</v>
      </c>
      <c r="L70" s="4" t="n">
        <v>1406</v>
      </c>
      <c r="M70" s="5" t="n">
        <v>1.6</v>
      </c>
      <c r="N70" s="3" t="inlineStr">
        <is>
          <t>1</t>
        </is>
      </c>
      <c r="O70" s="3" t="inlineStr">
        <is>
          <t>-</t>
        </is>
      </c>
      <c r="P70" s="3" t="inlineStr">
        <is>
          <t>강내일반산업단지 인근 저렴한 임대료 2차선도로 진입 대형 공장</t>
        </is>
      </c>
      <c r="Q70" s="6">
        <f>HYPERLINK("https://fin.land.naver.com/articles/2649682675", "매물Link")</f>
        <v/>
      </c>
      <c r="R70" s="6">
        <f>HYPERLINK("https://map.naver.com/p/search/강내면 태성리 230", "지도Link")</f>
        <v/>
      </c>
      <c r="S70" s="6">
        <f>HYPERLINK("http://www.eum.go.kr/web/ar/lu/luLandDet.jsp?pnu=4311331027102300000&amp;isNoScr=script&amp;mode=search", "토지이음")</f>
        <v/>
      </c>
      <c r="T70" s="3" t="inlineStr">
        <is>
          <t>더원</t>
        </is>
      </c>
      <c r="U70" s="4" t="n">
        <v>1</v>
      </c>
      <c r="V70" s="5" t="n">
        <v>58.5</v>
      </c>
      <c r="W70" s="4" t="n">
        <v>12350</v>
      </c>
      <c r="X70" s="3" t="inlineStr">
        <is>
          <t>미표기</t>
        </is>
      </c>
      <c r="Y70" s="7" t="inlineStr">
        <is>
          <t>3층</t>
        </is>
      </c>
      <c r="Z70" s="3" t="inlineStr">
        <is>
          <t>일반철골구조</t>
        </is>
      </c>
      <c r="AA70" s="3" t="inlineStr">
        <is>
          <t>공장</t>
        </is>
      </c>
      <c r="AB70" s="3" t="inlineStr">
        <is>
          <t>8.85m</t>
        </is>
      </c>
      <c r="AC70" s="3" t="inlineStr">
        <is>
          <t>1995-11</t>
        </is>
      </c>
      <c r="AD70" s="3" t="inlineStr">
        <is>
          <t>세로한면(가)</t>
        </is>
      </c>
    </row>
    <row r="71">
      <c r="A71" s="3" t="inlineStr">
        <is>
          <t>강내면 태성리 230</t>
        </is>
      </c>
      <c r="B71" s="3" t="inlineStr">
        <is>
          <t>계획관리지역</t>
        </is>
      </c>
      <c r="C71" s="3" t="inlineStr">
        <is>
          <t>공장용지</t>
        </is>
      </c>
      <c r="D71" s="3" t="inlineStr">
        <is>
          <t>공장</t>
        </is>
      </c>
      <c r="E71" s="3" t="inlineStr">
        <is>
          <t>매매</t>
        </is>
      </c>
      <c r="F71" s="4" t="n">
        <v>600000</v>
      </c>
      <c r="G71" s="4" t="n">
        <v>0</v>
      </c>
      <c r="H71" s="4" t="n">
        <v>12350</v>
      </c>
      <c r="I71" s="4" t="n">
        <v>3736</v>
      </c>
      <c r="J71" s="5" t="n">
        <v>160.6</v>
      </c>
      <c r="K71" s="4" t="n">
        <v>4649</v>
      </c>
      <c r="L71" s="4" t="n">
        <v>1406</v>
      </c>
      <c r="M71" s="5" t="n">
        <v>426.7</v>
      </c>
      <c r="N71" s="3" t="inlineStr">
        <is>
          <t>3</t>
        </is>
      </c>
      <c r="O71" s="3" t="inlineStr">
        <is>
          <t>-</t>
        </is>
      </c>
      <c r="P71" s="3" t="inlineStr">
        <is>
          <t>대로변에서 접근 좋고 현재 공실로 빠른 입주가능하며 야드 넓어 활용도 큼</t>
        </is>
      </c>
      <c r="Q71" s="6">
        <f>HYPERLINK("https://fin.land.naver.com/articles/2653681507", "매물Link")</f>
        <v/>
      </c>
      <c r="R71" s="6">
        <f>HYPERLINK("https://map.naver.com/p/search/강내면 태성리 230", "지도Link")</f>
        <v/>
      </c>
      <c r="S71" s="6">
        <f>HYPERLINK("http://www.eum.go.kr/web/ar/lu/luLandDet.jsp?pnu=4311331027102300000&amp;isNoScr=script&amp;mode=search", "토지이음")</f>
        <v/>
      </c>
      <c r="T71" s="3" t="inlineStr">
        <is>
          <t>금화랜드</t>
        </is>
      </c>
      <c r="U71" s="4" t="n">
        <v>2</v>
      </c>
      <c r="V71" s="5" t="n">
        <v>58.5</v>
      </c>
      <c r="W71" s="4" t="n">
        <v>12350</v>
      </c>
      <c r="X71" s="3" t="inlineStr">
        <is>
          <t>미표기</t>
        </is>
      </c>
      <c r="Y71" s="7" t="inlineStr">
        <is>
          <t>3층</t>
        </is>
      </c>
      <c r="Z71" s="3" t="inlineStr">
        <is>
          <t>일반철골구조</t>
        </is>
      </c>
      <c r="AA71" s="3" t="inlineStr">
        <is>
          <t>공장</t>
        </is>
      </c>
      <c r="AB71" s="3" t="inlineStr">
        <is>
          <t>8.85m</t>
        </is>
      </c>
      <c r="AC71" s="3" t="inlineStr">
        <is>
          <t>1995-11</t>
        </is>
      </c>
      <c r="AD71" s="3" t="inlineStr">
        <is>
          <t>세로한면(가)</t>
        </is>
      </c>
    </row>
    <row r="72">
      <c r="A72" s="3" t="inlineStr">
        <is>
          <t>강내면 태성리 233</t>
        </is>
      </c>
      <c r="B72" s="3" t="inlineStr">
        <is>
          <t>계획관리지역</t>
        </is>
      </c>
      <c r="C72" s="3" t="inlineStr">
        <is>
          <t>공장용지</t>
        </is>
      </c>
      <c r="D72" s="3" t="inlineStr">
        <is>
          <t>공장</t>
        </is>
      </c>
      <c r="E72" s="3" t="inlineStr">
        <is>
          <t>월세</t>
        </is>
      </c>
      <c r="F72" s="4" t="n">
        <v>39000</v>
      </c>
      <c r="G72" s="4" t="n">
        <v>3900</v>
      </c>
      <c r="H72" s="4" t="n">
        <v>32274</v>
      </c>
      <c r="I72" s="4" t="n">
        <v>9763</v>
      </c>
      <c r="J72" s="5" t="n">
        <v>0.4</v>
      </c>
      <c r="K72" s="4" t="n">
        <v>5223</v>
      </c>
      <c r="L72" s="4" t="n">
        <v>1580</v>
      </c>
      <c r="M72" s="5" t="n">
        <v>2.5</v>
      </c>
      <c r="N72" s="3" t="inlineStr">
        <is>
          <t>1</t>
        </is>
      </c>
      <c r="O72" s="3" t="inlineStr">
        <is>
          <t>-</t>
        </is>
      </c>
      <c r="P72" s="3" t="inlineStr">
        <is>
          <t>대형창고 공장임대 즉시입주가 추가면적가능</t>
        </is>
      </c>
      <c r="Q72" s="6">
        <f>HYPERLINK("https://fin.land.naver.com/articles/2650873431", "매물Link")</f>
        <v/>
      </c>
      <c r="R72" s="6">
        <f>HYPERLINK("https://map.naver.com/p/search/강내면 태성리 233", "지도Link")</f>
        <v/>
      </c>
      <c r="S72" s="6">
        <f>HYPERLINK("http://www.eum.go.kr/web/ar/lu/luLandDet.jsp?pnu=4311331027102330000&amp;isNoScr=script&amp;mode=search", "토지이음")</f>
        <v/>
      </c>
      <c r="T72" s="3" t="inlineStr">
        <is>
          <t>더원</t>
        </is>
      </c>
      <c r="U72" s="4" t="n">
        <v>1</v>
      </c>
      <c r="V72" s="5" t="n">
        <v>62.4</v>
      </c>
      <c r="W72" s="4" t="n">
        <v>209096</v>
      </c>
      <c r="X72" s="3" t="inlineStr">
        <is>
          <t>주3동</t>
        </is>
      </c>
      <c r="Y72" s="7" t="inlineStr">
        <is>
          <t>1층</t>
        </is>
      </c>
      <c r="Z72" s="3" t="inlineStr">
        <is>
          <t>일반철골구조</t>
        </is>
      </c>
      <c r="AA72" s="3" t="inlineStr">
        <is>
          <t>공장</t>
        </is>
      </c>
      <c r="AB72" s="3" t="inlineStr">
        <is>
          <t>13.0m</t>
        </is>
      </c>
      <c r="AC72" s="3" t="inlineStr">
        <is>
          <t>2011-09</t>
        </is>
      </c>
      <c r="AD72" s="3" t="inlineStr">
        <is>
          <t>소로한면</t>
        </is>
      </c>
    </row>
    <row r="73">
      <c r="A73" s="3" t="inlineStr">
        <is>
          <t>강내면 태성리 233</t>
        </is>
      </c>
      <c r="B73" s="3" t="inlineStr">
        <is>
          <t>계획관리지역</t>
        </is>
      </c>
      <c r="C73" s="3" t="inlineStr">
        <is>
          <t>공장용지</t>
        </is>
      </c>
      <c r="D73" s="3" t="inlineStr">
        <is>
          <t>공장</t>
        </is>
      </c>
      <c r="E73" s="3" t="inlineStr">
        <is>
          <t>월세</t>
        </is>
      </c>
      <c r="F73" s="4" t="n">
        <v>39500</v>
      </c>
      <c r="G73" s="4" t="n">
        <v>3950</v>
      </c>
      <c r="H73" s="4" t="n">
        <v>209096</v>
      </c>
      <c r="I73" s="4" t="n">
        <v>63252</v>
      </c>
      <c r="J73" s="5" t="n">
        <v>0.1</v>
      </c>
      <c r="K73" s="4" t="n">
        <v>5224</v>
      </c>
      <c r="L73" s="4" t="n">
        <v>1580</v>
      </c>
      <c r="M73" s="5" t="n">
        <v>2.5</v>
      </c>
      <c r="N73" s="3" t="inlineStr">
        <is>
          <t>1</t>
        </is>
      </c>
      <c r="O73" s="3" t="inlineStr">
        <is>
          <t>-</t>
        </is>
      </c>
      <c r="P73" s="3" t="inlineStr">
        <is>
          <t>사진有 창고 임대</t>
        </is>
      </c>
      <c r="Q73" s="6">
        <f>HYPERLINK("https://fin.land.naver.com/articles/2652988504", "매물Link")</f>
        <v/>
      </c>
      <c r="R73" s="6">
        <f>HYPERLINK("https://map.naver.com/p/search/강내면 태성리 233", "지도Link")</f>
        <v/>
      </c>
      <c r="S73" s="6">
        <f>HYPERLINK("http://www.eum.go.kr/web/ar/lu/luLandDet.jsp?pnu=4311331027102330000&amp;isNoScr=script&amp;mode=search", "토지이음")</f>
        <v/>
      </c>
      <c r="T73" s="3" t="inlineStr">
        <is>
          <t>월드</t>
        </is>
      </c>
      <c r="U73" s="4" t="n">
        <v>1</v>
      </c>
      <c r="V73" s="5" t="n">
        <v>62.4</v>
      </c>
      <c r="W73" s="4" t="n">
        <v>209096</v>
      </c>
      <c r="X73" s="3" t="inlineStr">
        <is>
          <t>주3동</t>
        </is>
      </c>
      <c r="Y73" s="7" t="inlineStr">
        <is>
          <t>1층</t>
        </is>
      </c>
      <c r="Z73" s="3" t="inlineStr">
        <is>
          <t>일반철골구조</t>
        </is>
      </c>
      <c r="AA73" s="3" t="inlineStr">
        <is>
          <t>공장</t>
        </is>
      </c>
      <c r="AB73" s="3" t="inlineStr">
        <is>
          <t>13.0m</t>
        </is>
      </c>
      <c r="AC73" s="3" t="inlineStr">
        <is>
          <t>2011-09</t>
        </is>
      </c>
      <c r="AD73" s="3" t="inlineStr">
        <is>
          <t>소로한면</t>
        </is>
      </c>
    </row>
    <row r="74">
      <c r="A74" s="3" t="inlineStr">
        <is>
          <t>강내면 태성리 233</t>
        </is>
      </c>
      <c r="B74" s="3" t="inlineStr">
        <is>
          <t>계획관리지역</t>
        </is>
      </c>
      <c r="C74" s="3" t="inlineStr">
        <is>
          <t>공장용지</t>
        </is>
      </c>
      <c r="D74" s="3" t="inlineStr">
        <is>
          <t>공장</t>
        </is>
      </c>
      <c r="E74" s="3" t="inlineStr">
        <is>
          <t>월세</t>
        </is>
      </c>
      <c r="F74" s="4" t="n">
        <v>17500</v>
      </c>
      <c r="G74" s="4" t="n">
        <v>1750</v>
      </c>
      <c r="H74" s="4" t="n">
        <v>209096</v>
      </c>
      <c r="I74" s="4" t="n">
        <v>63252</v>
      </c>
      <c r="J74" s="5" t="n">
        <v>0</v>
      </c>
      <c r="K74" s="4" t="n">
        <v>2291</v>
      </c>
      <c r="L74" s="4" t="n">
        <v>693</v>
      </c>
      <c r="M74" s="5" t="n">
        <v>2.5</v>
      </c>
      <c r="N74" s="3" t="inlineStr">
        <is>
          <t>1</t>
        </is>
      </c>
      <c r="O74" s="3" t="inlineStr">
        <is>
          <t>-</t>
        </is>
      </c>
      <c r="P74" s="3" t="inlineStr">
        <is>
          <t>사진有 창고 임대</t>
        </is>
      </c>
      <c r="Q74" s="6">
        <f>HYPERLINK("https://fin.land.naver.com/articles/2652988487", "매물Link")</f>
        <v/>
      </c>
      <c r="R74" s="6">
        <f>HYPERLINK("https://map.naver.com/p/search/강내면 태성리 233", "지도Link")</f>
        <v/>
      </c>
      <c r="S74" s="6">
        <f>HYPERLINK("http://www.eum.go.kr/web/ar/lu/luLandDet.jsp?pnu=4311331027102330000&amp;isNoScr=script&amp;mode=search", "토지이음")</f>
        <v/>
      </c>
      <c r="T74" s="3" t="inlineStr">
        <is>
          <t>월드</t>
        </is>
      </c>
      <c r="U74" s="4" t="n">
        <v>1</v>
      </c>
      <c r="V74" s="5" t="n">
        <v>62.4</v>
      </c>
      <c r="W74" s="4" t="n">
        <v>209096</v>
      </c>
      <c r="X74" s="3" t="inlineStr">
        <is>
          <t>주건축물제16동</t>
        </is>
      </c>
      <c r="Y74" s="7" t="inlineStr">
        <is>
          <t>1층</t>
        </is>
      </c>
      <c r="Z74" s="3" t="inlineStr">
        <is>
          <t>일반철골구조</t>
        </is>
      </c>
      <c r="AA74" s="3" t="inlineStr">
        <is>
          <t>공장</t>
        </is>
      </c>
      <c r="AB74" s="3" t="inlineStr">
        <is>
          <t>8.75m</t>
        </is>
      </c>
      <c r="AC74" s="3" t="inlineStr">
        <is>
          <t>2014-04</t>
        </is>
      </c>
      <c r="AD74" s="3" t="inlineStr">
        <is>
          <t>소로한면</t>
        </is>
      </c>
    </row>
    <row r="75">
      <c r="A75" s="3" t="inlineStr">
        <is>
          <t>강내면 태성리 233</t>
        </is>
      </c>
      <c r="B75" s="3" t="inlineStr">
        <is>
          <t>계획관리지역</t>
        </is>
      </c>
      <c r="C75" s="3" t="inlineStr">
        <is>
          <t>공장용지</t>
        </is>
      </c>
      <c r="D75" s="3" t="inlineStr">
        <is>
          <t>공장</t>
        </is>
      </c>
      <c r="E75" s="3" t="inlineStr">
        <is>
          <t>월세</t>
        </is>
      </c>
      <c r="F75" s="4" t="n">
        <v>73500</v>
      </c>
      <c r="G75" s="4" t="n">
        <v>7350</v>
      </c>
      <c r="H75" s="4" t="n">
        <v>209096</v>
      </c>
      <c r="I75" s="4" t="n">
        <v>63252</v>
      </c>
      <c r="J75" s="5" t="n">
        <v>0.1</v>
      </c>
      <c r="K75" s="4" t="n">
        <v>9733</v>
      </c>
      <c r="L75" s="4" t="n">
        <v>2944</v>
      </c>
      <c r="M75" s="5" t="n">
        <v>2.5</v>
      </c>
      <c r="N75" s="3" t="inlineStr">
        <is>
          <t>1</t>
        </is>
      </c>
      <c r="O75" s="3" t="inlineStr">
        <is>
          <t>-</t>
        </is>
      </c>
      <c r="P75" s="3" t="inlineStr">
        <is>
          <t>강내일반산업단지 인근 2차선대로변 대형공장이나 창고가능</t>
        </is>
      </c>
      <c r="Q75" s="6">
        <f>HYPERLINK("https://fin.land.naver.com/articles/2649681628", "매물Link")</f>
        <v/>
      </c>
      <c r="R75" s="6">
        <f>HYPERLINK("https://map.naver.com/p/search/강내면 태성리 233", "지도Link")</f>
        <v/>
      </c>
      <c r="S75" s="6">
        <f>HYPERLINK("http://www.eum.go.kr/web/ar/lu/luLandDet.jsp?pnu=4311331027102330000&amp;isNoScr=script&amp;mode=search", "토지이음")</f>
        <v/>
      </c>
      <c r="T75" s="3" t="inlineStr">
        <is>
          <t>더원</t>
        </is>
      </c>
      <c r="U75" s="4" t="n">
        <v>1</v>
      </c>
      <c r="V75" s="5" t="n">
        <v>62.4</v>
      </c>
      <c r="W75" s="4" t="n">
        <v>209096</v>
      </c>
      <c r="X75" s="3" t="inlineStr">
        <is>
          <t>주3동</t>
        </is>
      </c>
      <c r="Y75" s="7" t="inlineStr">
        <is>
          <t>1층</t>
        </is>
      </c>
      <c r="Z75" s="3" t="inlineStr">
        <is>
          <t>일반철골구조</t>
        </is>
      </c>
      <c r="AA75" s="3" t="inlineStr">
        <is>
          <t>공장</t>
        </is>
      </c>
      <c r="AB75" s="3" t="inlineStr">
        <is>
          <t>13.0m</t>
        </is>
      </c>
      <c r="AC75" s="3" t="inlineStr">
        <is>
          <t>2011-09</t>
        </is>
      </c>
      <c r="AD75" s="3" t="inlineStr">
        <is>
          <t>소로한면</t>
        </is>
      </c>
    </row>
    <row r="76">
      <c r="A76" s="3" t="inlineStr">
        <is>
          <t>강내면 태성리 233</t>
        </is>
      </c>
      <c r="B76" s="3" t="inlineStr">
        <is>
          <t>계획관리지역</t>
        </is>
      </c>
      <c r="C76" s="3" t="inlineStr">
        <is>
          <t>공장용지</t>
        </is>
      </c>
      <c r="D76" s="3" t="inlineStr">
        <is>
          <t>공장</t>
        </is>
      </c>
      <c r="E76" s="3" t="inlineStr">
        <is>
          <t>월세</t>
        </is>
      </c>
      <c r="F76" s="4" t="n">
        <v>73500</v>
      </c>
      <c r="G76" s="4" t="n">
        <v>7350</v>
      </c>
      <c r="H76" s="4" t="n">
        <v>209096</v>
      </c>
      <c r="I76" s="4" t="n">
        <v>63252</v>
      </c>
      <c r="J76" s="5" t="n">
        <v>0.1</v>
      </c>
      <c r="K76" s="4" t="n">
        <v>9733</v>
      </c>
      <c r="L76" s="4" t="n">
        <v>2944</v>
      </c>
      <c r="M76" s="5" t="n">
        <v>2.5</v>
      </c>
      <c r="N76" s="3" t="inlineStr">
        <is>
          <t>1</t>
        </is>
      </c>
      <c r="O76" s="3" t="inlineStr">
        <is>
          <t>-</t>
        </is>
      </c>
      <c r="P76" s="3" t="inlineStr">
        <is>
          <t>부분임대가능 ,청주IC 인근으로 관리와 교통이 편리한 물류창고 임대</t>
        </is>
      </c>
      <c r="Q76" s="6">
        <f>HYPERLINK("https://fin.land.naver.com/articles/2651298342", "매물Link")</f>
        <v/>
      </c>
      <c r="R76" s="6">
        <f>HYPERLINK("https://map.naver.com/p/search/강내면 태성리 233", "지도Link")</f>
        <v/>
      </c>
      <c r="S76" s="6">
        <f>HYPERLINK("http://www.eum.go.kr/web/ar/lu/luLandDet.jsp?pnu=4311331027102330000&amp;isNoScr=script&amp;mode=search", "토지이음")</f>
        <v/>
      </c>
      <c r="T76" s="3" t="inlineStr">
        <is>
          <t>(주)미르</t>
        </is>
      </c>
      <c r="U76" s="4" t="n">
        <v>1</v>
      </c>
      <c r="V76" s="5" t="n">
        <v>62.4</v>
      </c>
      <c r="W76" s="4" t="n">
        <v>209096</v>
      </c>
      <c r="X76" s="3" t="inlineStr">
        <is>
          <t>주3동</t>
        </is>
      </c>
      <c r="Y76" s="7" t="inlineStr">
        <is>
          <t>1층</t>
        </is>
      </c>
      <c r="Z76" s="3" t="inlineStr">
        <is>
          <t>일반철골구조</t>
        </is>
      </c>
      <c r="AA76" s="3" t="inlineStr">
        <is>
          <t>공장</t>
        </is>
      </c>
      <c r="AB76" s="3" t="inlineStr">
        <is>
          <t>13.0m</t>
        </is>
      </c>
      <c r="AC76" s="3" t="inlineStr">
        <is>
          <t>2011-09</t>
        </is>
      </c>
      <c r="AD76" s="3" t="inlineStr">
        <is>
          <t>소로한면</t>
        </is>
      </c>
    </row>
    <row r="77">
      <c r="A77" s="3" t="inlineStr">
        <is>
          <t>강내면 태성리 233</t>
        </is>
      </c>
      <c r="B77" s="3" t="inlineStr">
        <is>
          <t>계획관리지역</t>
        </is>
      </c>
      <c r="C77" s="3" t="inlineStr">
        <is>
          <t>공장용지</t>
        </is>
      </c>
      <c r="D77" s="3" t="inlineStr">
        <is>
          <t>공장</t>
        </is>
      </c>
      <c r="E77" s="3" t="inlineStr">
        <is>
          <t>월세</t>
        </is>
      </c>
      <c r="F77" s="4" t="n">
        <v>20000</v>
      </c>
      <c r="G77" s="4" t="n">
        <v>1730</v>
      </c>
      <c r="H77" s="4" t="n">
        <v>9917</v>
      </c>
      <c r="I77" s="4" t="n">
        <v>3000</v>
      </c>
      <c r="J77" s="5" t="n">
        <v>0.6</v>
      </c>
      <c r="K77" s="4" t="n">
        <v>2291</v>
      </c>
      <c r="L77" s="4" t="n">
        <v>693</v>
      </c>
      <c r="M77" s="5" t="n">
        <v>2.5</v>
      </c>
      <c r="N77" s="3" t="inlineStr">
        <is>
          <t>1</t>
        </is>
      </c>
      <c r="O77" s="3" t="inlineStr">
        <is>
          <t>-</t>
        </is>
      </c>
      <c r="P77" s="3" t="inlineStr">
        <is>
          <t>2차선도로 진입으로 대형차진출입용이 추가면적가능</t>
        </is>
      </c>
      <c r="Q77" s="6">
        <f>HYPERLINK("https://fin.land.naver.com/articles/2652625602", "매물Link")</f>
        <v/>
      </c>
      <c r="R77" s="6">
        <f>HYPERLINK("https://map.naver.com/p/search/강내면 태성리 233", "지도Link")</f>
        <v/>
      </c>
      <c r="S77" s="6">
        <f>HYPERLINK("http://www.eum.go.kr/web/ar/lu/luLandDet.jsp?pnu=4311331027102330000&amp;isNoScr=script&amp;mode=search", "토지이음")</f>
        <v/>
      </c>
      <c r="T77" s="3" t="inlineStr">
        <is>
          <t>더원</t>
        </is>
      </c>
      <c r="U77" s="4" t="n">
        <v>1</v>
      </c>
      <c r="V77" s="5" t="n">
        <v>62.4</v>
      </c>
      <c r="W77" s="4" t="n">
        <v>209096</v>
      </c>
      <c r="X77" s="3" t="inlineStr">
        <is>
          <t>주건축물제16동</t>
        </is>
      </c>
      <c r="Y77" s="7" t="inlineStr">
        <is>
          <t>1층</t>
        </is>
      </c>
      <c r="Z77" s="3" t="inlineStr">
        <is>
          <t>일반철골구조</t>
        </is>
      </c>
      <c r="AA77" s="3" t="inlineStr">
        <is>
          <t>공장</t>
        </is>
      </c>
      <c r="AB77" s="3" t="inlineStr">
        <is>
          <t>8.75m</t>
        </is>
      </c>
      <c r="AC77" s="3" t="inlineStr">
        <is>
          <t>2014-04</t>
        </is>
      </c>
      <c r="AD77" s="3" t="inlineStr">
        <is>
          <t>소로한면</t>
        </is>
      </c>
    </row>
    <row r="78">
      <c r="A78" s="3" t="inlineStr">
        <is>
          <t>강내면 태성리 233</t>
        </is>
      </c>
      <c r="B78" s="3" t="inlineStr">
        <is>
          <t>계획관리지역</t>
        </is>
      </c>
      <c r="C78" s="3" t="inlineStr">
        <is>
          <t>공장용지</t>
        </is>
      </c>
      <c r="D78" s="3" t="inlineStr">
        <is>
          <t>공장</t>
        </is>
      </c>
      <c r="E78" s="3" t="inlineStr">
        <is>
          <t>월세</t>
        </is>
      </c>
      <c r="F78" s="4" t="n">
        <v>15000</v>
      </c>
      <c r="G78" s="4" t="n">
        <v>1500</v>
      </c>
      <c r="H78" s="4" t="n">
        <v>9917</v>
      </c>
      <c r="I78" s="4" t="n">
        <v>3000</v>
      </c>
      <c r="J78" s="5" t="n">
        <v>0.5</v>
      </c>
      <c r="K78" s="4" t="n">
        <v>1980</v>
      </c>
      <c r="L78" s="4" t="n">
        <v>599</v>
      </c>
      <c r="M78" s="5" t="n">
        <v>2.5</v>
      </c>
      <c r="N78" s="3" t="inlineStr">
        <is>
          <t>1</t>
        </is>
      </c>
      <c r="O78" s="3" t="inlineStr">
        <is>
          <t>-</t>
        </is>
      </c>
      <c r="P78" s="3" t="inlineStr">
        <is>
          <t>2차선대로 강내하이테크밸리 산업단지접근성좋으며 단독사용가능한 넓은마당</t>
        </is>
      </c>
      <c r="Q78" s="6">
        <f>HYPERLINK("https://fin.land.naver.com/articles/2654182425", "매물Link")</f>
        <v/>
      </c>
      <c r="R78" s="6">
        <f>HYPERLINK("https://map.naver.com/p/search/강내면 태성리 233", "지도Link")</f>
        <v/>
      </c>
      <c r="S78" s="6">
        <f>HYPERLINK("http://www.eum.go.kr/web/ar/lu/luLandDet.jsp?pnu=4311331027102330000&amp;isNoScr=script&amp;mode=search", "토지이음")</f>
        <v/>
      </c>
      <c r="T78" s="3" t="inlineStr">
        <is>
          <t>더원</t>
        </is>
      </c>
      <c r="U78" s="4" t="n">
        <v>2</v>
      </c>
      <c r="V78" s="5" t="n">
        <v>62.4</v>
      </c>
      <c r="W78" s="4" t="n">
        <v>209096</v>
      </c>
      <c r="X78" s="3" t="inlineStr">
        <is>
          <t>주6동</t>
        </is>
      </c>
      <c r="Y78" s="7" t="inlineStr">
        <is>
          <t>1층</t>
        </is>
      </c>
      <c r="Z78" s="3" t="inlineStr">
        <is>
          <t>일반철골구조</t>
        </is>
      </c>
      <c r="AA78" s="3" t="inlineStr">
        <is>
          <t>공장</t>
        </is>
      </c>
      <c r="AB78" s="3" t="inlineStr">
        <is>
          <t>7.15m</t>
        </is>
      </c>
      <c r="AC78" s="3" t="inlineStr">
        <is>
          <t>2011-09</t>
        </is>
      </c>
      <c r="AD78" s="3" t="inlineStr">
        <is>
          <t>소로한면</t>
        </is>
      </c>
    </row>
    <row r="79">
      <c r="A79" s="3" t="inlineStr">
        <is>
          <t>강내면 태성리 233</t>
        </is>
      </c>
      <c r="B79" s="3" t="inlineStr">
        <is>
          <t>계획관리지역</t>
        </is>
      </c>
      <c r="C79" s="3" t="inlineStr">
        <is>
          <t>공장용지</t>
        </is>
      </c>
      <c r="D79" s="3" t="inlineStr">
        <is>
          <t>공장</t>
        </is>
      </c>
      <c r="E79" s="3" t="inlineStr">
        <is>
          <t>월세</t>
        </is>
      </c>
      <c r="F79" s="4" t="n">
        <v>18000</v>
      </c>
      <c r="G79" s="4" t="n">
        <v>1750</v>
      </c>
      <c r="H79" s="4" t="n">
        <v>9200</v>
      </c>
      <c r="I79" s="4" t="n">
        <v>2783</v>
      </c>
      <c r="J79" s="5" t="n">
        <v>0.6</v>
      </c>
      <c r="K79" s="4" t="n">
        <v>2217</v>
      </c>
      <c r="L79" s="4" t="n">
        <v>671</v>
      </c>
      <c r="M79" s="5" t="n">
        <v>2.6</v>
      </c>
      <c r="N79" s="3" t="inlineStr">
        <is>
          <t>1</t>
        </is>
      </c>
      <c r="O79" s="3" t="inlineStr">
        <is>
          <t>-</t>
        </is>
      </c>
      <c r="P79" s="3" t="inlineStr">
        <is>
          <t>2차선진입대형차 진출입용이 사무실 갖추어진 공장 넓은 마당사용</t>
        </is>
      </c>
      <c r="Q79" s="6">
        <f>HYPERLINK("https://fin.land.naver.com/articles/2652625511", "매물Link")</f>
        <v/>
      </c>
      <c r="R79" s="6">
        <f>HYPERLINK("https://map.naver.com/p/search/강내면 태성리 233", "지도Link")</f>
        <v/>
      </c>
      <c r="S79" s="6">
        <f>HYPERLINK("http://www.eum.go.kr/web/ar/lu/luLandDet.jsp?pnu=4311331027102330000&amp;isNoScr=script&amp;mode=search", "토지이음")</f>
        <v/>
      </c>
      <c r="T79" s="3" t="inlineStr">
        <is>
          <t>더원</t>
        </is>
      </c>
      <c r="U79" s="4" t="n">
        <v>1</v>
      </c>
      <c r="V79" s="5" t="n">
        <v>62.4</v>
      </c>
      <c r="W79" s="4" t="n">
        <v>209096</v>
      </c>
      <c r="X79" s="3" t="inlineStr">
        <is>
          <t>주건축물제16동</t>
        </is>
      </c>
      <c r="Y79" s="7" t="inlineStr">
        <is>
          <t>1층</t>
        </is>
      </c>
      <c r="Z79" s="3" t="inlineStr">
        <is>
          <t>일반철골구조</t>
        </is>
      </c>
      <c r="AA79" s="3" t="inlineStr">
        <is>
          <t>공장</t>
        </is>
      </c>
      <c r="AB79" s="3" t="inlineStr">
        <is>
          <t>8.75m</t>
        </is>
      </c>
      <c r="AC79" s="3" t="inlineStr">
        <is>
          <t>2014-04</t>
        </is>
      </c>
      <c r="AD79" s="3" t="inlineStr">
        <is>
          <t>소로한면</t>
        </is>
      </c>
    </row>
    <row r="80">
      <c r="A80" s="3" t="inlineStr">
        <is>
          <t>강내면 태성리 233</t>
        </is>
      </c>
      <c r="B80" s="3" t="inlineStr">
        <is>
          <t>계획관리지역</t>
        </is>
      </c>
      <c r="C80" s="3" t="inlineStr">
        <is>
          <t>공장용지</t>
        </is>
      </c>
      <c r="D80" s="3" t="inlineStr">
        <is>
          <t>공장</t>
        </is>
      </c>
      <c r="E80" s="3" t="inlineStr">
        <is>
          <t>월세</t>
        </is>
      </c>
      <c r="F80" s="4" t="n">
        <v>24000</v>
      </c>
      <c r="G80" s="4" t="n">
        <v>2400</v>
      </c>
      <c r="H80" s="4" t="n">
        <v>9917</v>
      </c>
      <c r="I80" s="4" t="n">
        <v>3000</v>
      </c>
      <c r="J80" s="5" t="n">
        <v>0.8</v>
      </c>
      <c r="K80" s="4" t="n">
        <v>3765</v>
      </c>
      <c r="L80" s="4" t="n">
        <v>1139</v>
      </c>
      <c r="M80" s="5" t="n">
        <v>2.1</v>
      </c>
      <c r="N80" s="3" t="inlineStr">
        <is>
          <t>1</t>
        </is>
      </c>
      <c r="O80" s="3" t="inlineStr">
        <is>
          <t>-</t>
        </is>
      </c>
      <c r="P80" s="3" t="inlineStr">
        <is>
          <t>2차선진입대형차진출입용이 공장및 창고적합  야드면적 별도임대가능</t>
        </is>
      </c>
      <c r="Q80" s="6">
        <f>HYPERLINK("https://fin.land.naver.com/articles/2652625260", "매물Link")</f>
        <v/>
      </c>
      <c r="R80" s="6">
        <f>HYPERLINK("https://map.naver.com/p/search/강내면 태성리 233", "지도Link")</f>
        <v/>
      </c>
      <c r="S80" s="6">
        <f>HYPERLINK("http://www.eum.go.kr/web/ar/lu/luLandDet.jsp?pnu=4311331027102330000&amp;isNoScr=script&amp;mode=search", "토지이음")</f>
        <v/>
      </c>
      <c r="T80" s="3" t="inlineStr">
        <is>
          <t>더원</t>
        </is>
      </c>
      <c r="U80" s="4" t="n">
        <v>1</v>
      </c>
      <c r="V80" s="5" t="n">
        <v>62.4</v>
      </c>
      <c r="W80" s="4" t="n">
        <v>209096</v>
      </c>
      <c r="X80" s="3" t="inlineStr">
        <is>
          <t>주2동</t>
        </is>
      </c>
      <c r="Y80" s="7" t="inlineStr">
        <is>
          <t>1층</t>
        </is>
      </c>
      <c r="Z80" s="3" t="inlineStr">
        <is>
          <t>일반철골구조</t>
        </is>
      </c>
      <c r="AA80" s="3" t="inlineStr">
        <is>
          <t>공장</t>
        </is>
      </c>
      <c r="AB80" s="3" t="inlineStr">
        <is>
          <t>8.3m</t>
        </is>
      </c>
      <c r="AC80" s="3" t="inlineStr">
        <is>
          <t>2011-09</t>
        </is>
      </c>
      <c r="AD80" s="3" t="inlineStr">
        <is>
          <t>소로한면</t>
        </is>
      </c>
    </row>
    <row r="81">
      <c r="A81" s="3" t="inlineStr">
        <is>
          <t>강내면 태성리 233</t>
        </is>
      </c>
      <c r="B81" s="3" t="inlineStr">
        <is>
          <t>계획관리지역</t>
        </is>
      </c>
      <c r="C81" s="3" t="inlineStr">
        <is>
          <t>공장용지</t>
        </is>
      </c>
      <c r="D81" s="3" t="inlineStr">
        <is>
          <t>공장</t>
        </is>
      </c>
      <c r="E81" s="3" t="inlineStr">
        <is>
          <t>월세</t>
        </is>
      </c>
      <c r="F81" s="4" t="n">
        <v>24000</v>
      </c>
      <c r="G81" s="4" t="n">
        <v>2400</v>
      </c>
      <c r="H81" s="4" t="n">
        <v>3801</v>
      </c>
      <c r="I81" s="4" t="n">
        <v>1150</v>
      </c>
      <c r="J81" s="5" t="n">
        <v>2.1</v>
      </c>
      <c r="K81" s="4" t="n">
        <v>3801</v>
      </c>
      <c r="L81" s="4" t="n">
        <v>1150</v>
      </c>
      <c r="M81" s="5" t="n">
        <v>2.1</v>
      </c>
      <c r="N81" s="3" t="inlineStr">
        <is>
          <t>1</t>
        </is>
      </c>
      <c r="O81" s="3" t="inlineStr">
        <is>
          <t>-</t>
        </is>
      </c>
      <c r="P81" s="3" t="inlineStr">
        <is>
          <t>태성리 일반창고구조와 튼튼한 가설건축물로 이루어진 저렴한 대형창고임대</t>
        </is>
      </c>
      <c r="Q81" s="6">
        <f>HYPERLINK("https://fin.land.naver.com/articles/2651985983", "매물Link")</f>
        <v/>
      </c>
      <c r="R81" s="6">
        <f>HYPERLINK("https://map.naver.com/p/search/강내면 태성리 233", "지도Link")</f>
        <v/>
      </c>
      <c r="S81" s="6">
        <f>HYPERLINK("http://www.eum.go.kr/web/ar/lu/luLandDet.jsp?pnu=4311331027102330000&amp;isNoScr=script&amp;mode=search", "토지이음")</f>
        <v/>
      </c>
      <c r="T81" s="3" t="inlineStr">
        <is>
          <t>태광</t>
        </is>
      </c>
      <c r="U81" s="4" t="n">
        <v>1</v>
      </c>
      <c r="V81" s="5" t="n">
        <v>62.4</v>
      </c>
      <c r="W81" s="4" t="n">
        <v>209096</v>
      </c>
      <c r="X81" s="3" t="inlineStr">
        <is>
          <t>주2동</t>
        </is>
      </c>
      <c r="Y81" s="7" t="inlineStr">
        <is>
          <t>1층</t>
        </is>
      </c>
      <c r="Z81" s="3" t="inlineStr">
        <is>
          <t>일반철골구조</t>
        </is>
      </c>
      <c r="AA81" s="3" t="inlineStr">
        <is>
          <t>공장</t>
        </is>
      </c>
      <c r="AB81" s="3" t="inlineStr">
        <is>
          <t>8.3m</t>
        </is>
      </c>
      <c r="AC81" s="3" t="inlineStr">
        <is>
          <t>2011-09</t>
        </is>
      </c>
      <c r="AD81" s="3" t="inlineStr">
        <is>
          <t>소로한면</t>
        </is>
      </c>
    </row>
    <row r="82">
      <c r="A82" s="3" t="inlineStr">
        <is>
          <t>강내면 태성리 233</t>
        </is>
      </c>
      <c r="B82" s="3" t="inlineStr">
        <is>
          <t>계획관리지역</t>
        </is>
      </c>
      <c r="C82" s="3" t="inlineStr">
        <is>
          <t>공장용지</t>
        </is>
      </c>
      <c r="D82" s="3" t="inlineStr">
        <is>
          <t>창고</t>
        </is>
      </c>
      <c r="E82" s="3" t="inlineStr">
        <is>
          <t>월세</t>
        </is>
      </c>
      <c r="F82" s="4" t="n">
        <v>39000</v>
      </c>
      <c r="G82" s="4" t="n">
        <v>3900</v>
      </c>
      <c r="H82" s="4" t="n">
        <v>9579</v>
      </c>
      <c r="I82" s="4" t="n">
        <v>2898</v>
      </c>
      <c r="J82" s="5" t="n">
        <v>1.3</v>
      </c>
      <c r="K82" s="4" t="n">
        <v>5224</v>
      </c>
      <c r="L82" s="4" t="n">
        <v>1580</v>
      </c>
      <c r="M82" s="5" t="n">
        <v>2.5</v>
      </c>
      <c r="N82" s="3" t="inlineStr">
        <is>
          <t>1</t>
        </is>
      </c>
      <c r="O82" s="3" t="inlineStr">
        <is>
          <t>-</t>
        </is>
      </c>
      <c r="P82" s="3" t="inlineStr">
        <is>
          <t>태성리 강내산업단지 인근 대형창고임대 대형차진출입용이 자세한내용 아래참조</t>
        </is>
      </c>
      <c r="Q82" s="6">
        <f>HYPERLINK("https://fin.land.naver.com/articles/2651984566", "매물Link")</f>
        <v/>
      </c>
      <c r="R82" s="6">
        <f>HYPERLINK("https://map.naver.com/p/search/강내면 태성리 233", "지도Link")</f>
        <v/>
      </c>
      <c r="S82" s="6">
        <f>HYPERLINK("http://www.eum.go.kr/web/ar/lu/luLandDet.jsp?pnu=4311331027102330000&amp;isNoScr=script&amp;mode=search", "토지이음")</f>
        <v/>
      </c>
      <c r="T82" s="3" t="inlineStr">
        <is>
          <t>태광</t>
        </is>
      </c>
      <c r="U82" s="4" t="n">
        <v>1</v>
      </c>
      <c r="V82" s="5" t="n">
        <v>62.4</v>
      </c>
      <c r="W82" s="4" t="n">
        <v>209096</v>
      </c>
      <c r="X82" s="3" t="inlineStr">
        <is>
          <t>주3동</t>
        </is>
      </c>
      <c r="Y82" s="7" t="inlineStr">
        <is>
          <t>1층</t>
        </is>
      </c>
      <c r="Z82" s="3" t="inlineStr">
        <is>
          <t>일반철골구조</t>
        </is>
      </c>
      <c r="AA82" s="3" t="inlineStr">
        <is>
          <t>공장</t>
        </is>
      </c>
      <c r="AB82" s="3" t="inlineStr">
        <is>
          <t>13.0m</t>
        </is>
      </c>
      <c r="AC82" s="3" t="inlineStr">
        <is>
          <t>2011-09</t>
        </is>
      </c>
      <c r="AD82" s="3" t="inlineStr">
        <is>
          <t>소로한면</t>
        </is>
      </c>
    </row>
    <row r="83">
      <c r="A83" s="3" t="inlineStr">
        <is>
          <t>강내면 태성리 257-16</t>
        </is>
      </c>
      <c r="B83" s="3" t="inlineStr">
        <is>
          <t>계획관리지역</t>
        </is>
      </c>
      <c r="C83" s="3" t="inlineStr">
        <is>
          <t>대</t>
        </is>
      </c>
      <c r="D83" s="3" t="inlineStr">
        <is>
          <t>공장</t>
        </is>
      </c>
      <c r="E83" s="3" t="inlineStr">
        <is>
          <t>매매</t>
        </is>
      </c>
      <c r="F83" s="4" t="n">
        <v>87000</v>
      </c>
      <c r="G83" s="4" t="n">
        <v>0</v>
      </c>
      <c r="H83" s="4" t="n">
        <v>840</v>
      </c>
      <c r="I83" s="4" t="n">
        <v>254</v>
      </c>
      <c r="J83" s="5" t="n">
        <v>342.5</v>
      </c>
      <c r="K83" s="4" t="n">
        <v>327</v>
      </c>
      <c r="L83" s="4" t="n">
        <v>99</v>
      </c>
      <c r="M83" s="5" t="n">
        <v>878.8</v>
      </c>
      <c r="N83" s="3" t="inlineStr">
        <is>
          <t>1</t>
        </is>
      </c>
      <c r="O83" s="3" t="inlineStr">
        <is>
          <t>-</t>
        </is>
      </c>
      <c r="P83" s="3" t="inlineStr">
        <is>
          <t>2차선접</t>
        </is>
      </c>
      <c r="Q83" s="6">
        <f>HYPERLINK("https://fin.land.naver.com/articles/2653319438", "매물Link")</f>
        <v/>
      </c>
      <c r="R83" s="6">
        <f>HYPERLINK("https://map.naver.com/p/search/강내면 태성리 257-16", "지도Link")</f>
        <v/>
      </c>
      <c r="S83" s="6">
        <f>HYPERLINK("http://www.eum.go.kr/web/ar/lu/luLandDet.jsp?pnu=4311331027102570016&amp;isNoScr=script&amp;mode=search", "토지이음")</f>
        <v/>
      </c>
      <c r="T83" s="3" t="inlineStr">
        <is>
          <t>청주합동</t>
        </is>
      </c>
      <c r="U83" s="4" t="n">
        <v>1</v>
      </c>
      <c r="V83" s="5" t="n">
        <v>58.4</v>
      </c>
      <c r="W83" s="4" t="n">
        <v>836</v>
      </c>
      <c r="X83" s="3" t="inlineStr">
        <is>
          <t>주건축물제1동</t>
        </is>
      </c>
      <c r="Y83" s="7" t="inlineStr">
        <is>
          <t>1층</t>
        </is>
      </c>
      <c r="Z83" s="3" t="inlineStr">
        <is>
          <t>일반철골구조</t>
        </is>
      </c>
      <c r="AA83" s="3" t="inlineStr">
        <is>
          <t>제2종근생</t>
        </is>
      </c>
      <c r="AB83" s="3" t="inlineStr">
        <is>
          <t>10.55m</t>
        </is>
      </c>
      <c r="AC83" s="3" t="inlineStr">
        <is>
          <t>2023-06</t>
        </is>
      </c>
      <c r="AD83" s="3" t="inlineStr">
        <is>
          <t>세로한면(가)</t>
        </is>
      </c>
    </row>
    <row r="84">
      <c r="A84" s="3" t="inlineStr">
        <is>
          <t>강내면 태성리 257-16</t>
        </is>
      </c>
      <c r="B84" s="3" t="inlineStr">
        <is>
          <t>계획관리지역</t>
        </is>
      </c>
      <c r="C84" s="3" t="inlineStr">
        <is>
          <t>대</t>
        </is>
      </c>
      <c r="D84" s="3" t="inlineStr">
        <is>
          <t>공장</t>
        </is>
      </c>
      <c r="E84" s="3" t="inlineStr">
        <is>
          <t>매매</t>
        </is>
      </c>
      <c r="F84" s="4" t="n">
        <v>85000</v>
      </c>
      <c r="G84" s="4" t="n">
        <v>0</v>
      </c>
      <c r="H84" s="4" t="n">
        <v>840</v>
      </c>
      <c r="I84" s="4" t="n">
        <v>254</v>
      </c>
      <c r="J84" s="5" t="n">
        <v>334.6</v>
      </c>
      <c r="K84" s="4" t="n">
        <v>327</v>
      </c>
      <c r="L84" s="4" t="n">
        <v>99</v>
      </c>
      <c r="M84" s="5" t="n">
        <v>858.6</v>
      </c>
      <c r="N84" s="3" t="inlineStr">
        <is>
          <t>1</t>
        </is>
      </c>
      <c r="O84" s="3" t="inlineStr">
        <is>
          <t>-</t>
        </is>
      </c>
      <c r="P84" s="3" t="inlineStr">
        <is>
          <t>2종근생제조업이나 물류창고로 사용가능   처마고8m이상</t>
        </is>
      </c>
      <c r="Q84" s="6">
        <f>HYPERLINK("https://fin.land.naver.com/articles/2652625483", "매물Link")</f>
        <v/>
      </c>
      <c r="R84" s="6">
        <f>HYPERLINK("https://map.naver.com/p/search/강내면 태성리 257-16", "지도Link")</f>
        <v/>
      </c>
      <c r="S84" s="6">
        <f>HYPERLINK("http://www.eum.go.kr/web/ar/lu/luLandDet.jsp?pnu=4311331027102570016&amp;isNoScr=script&amp;mode=search", "토지이음")</f>
        <v/>
      </c>
      <c r="T84" s="3" t="inlineStr">
        <is>
          <t>더원</t>
        </is>
      </c>
      <c r="U84" s="4" t="n">
        <v>1</v>
      </c>
      <c r="V84" s="5" t="n">
        <v>58.4</v>
      </c>
      <c r="W84" s="4" t="n">
        <v>836</v>
      </c>
      <c r="X84" s="3" t="inlineStr">
        <is>
          <t>주건축물제1동</t>
        </is>
      </c>
      <c r="Y84" s="7" t="inlineStr">
        <is>
          <t>1층</t>
        </is>
      </c>
      <c r="Z84" s="3" t="inlineStr">
        <is>
          <t>일반철골구조</t>
        </is>
      </c>
      <c r="AA84" s="3" t="inlineStr">
        <is>
          <t>제2종근생</t>
        </is>
      </c>
      <c r="AB84" s="3" t="inlineStr">
        <is>
          <t>10.55m</t>
        </is>
      </c>
      <c r="AC84" s="3" t="inlineStr">
        <is>
          <t>2023-06</t>
        </is>
      </c>
      <c r="AD84" s="3" t="inlineStr">
        <is>
          <t>세로한면(가)</t>
        </is>
      </c>
    </row>
    <row r="85">
      <c r="A85" s="3" t="inlineStr">
        <is>
          <t>강내면 태성리 257-16</t>
        </is>
      </c>
      <c r="B85" s="3" t="inlineStr">
        <is>
          <t>계획관리지역</t>
        </is>
      </c>
      <c r="C85" s="3" t="inlineStr">
        <is>
          <t>대</t>
        </is>
      </c>
      <c r="D85" s="3" t="inlineStr">
        <is>
          <t>공장</t>
        </is>
      </c>
      <c r="E85" s="3" t="inlineStr">
        <is>
          <t>매매</t>
        </is>
      </c>
      <c r="F85" s="4" t="n">
        <v>85000</v>
      </c>
      <c r="G85" s="4" t="n">
        <v>0</v>
      </c>
      <c r="H85" s="4" t="n">
        <v>836</v>
      </c>
      <c r="I85" s="4" t="n">
        <v>253</v>
      </c>
      <c r="J85" s="5" t="n">
        <v>336</v>
      </c>
      <c r="K85" s="4" t="n">
        <v>327</v>
      </c>
      <c r="L85" s="4" t="n">
        <v>99</v>
      </c>
      <c r="M85" s="5" t="n">
        <v>858.6</v>
      </c>
      <c r="N85" s="3" t="inlineStr">
        <is>
          <t>1</t>
        </is>
      </c>
      <c r="O85" s="3" t="inlineStr">
        <is>
          <t>-</t>
        </is>
      </c>
      <c r="P85" s="3" t="inlineStr">
        <is>
          <t>청주IC 10분거리에  강내면공장</t>
        </is>
      </c>
      <c r="Q85" s="6">
        <f>HYPERLINK("https://fin.land.naver.com/articles/2650484489", "매물Link")</f>
        <v/>
      </c>
      <c r="R85" s="6">
        <f>HYPERLINK("https://map.naver.com/p/search/강내면 태성리 257-16", "지도Link")</f>
        <v/>
      </c>
      <c r="S85" s="6">
        <f>HYPERLINK("http://www.eum.go.kr/web/ar/lu/luLandDet.jsp?pnu=4311331027102570016&amp;isNoScr=script&amp;mode=search", "토지이음")</f>
        <v/>
      </c>
      <c r="T85" s="3" t="inlineStr">
        <is>
          <t>창고의여왕</t>
        </is>
      </c>
      <c r="U85" s="4" t="n">
        <v>1</v>
      </c>
      <c r="V85" s="5" t="n">
        <v>58.4</v>
      </c>
      <c r="W85" s="4" t="n">
        <v>836</v>
      </c>
      <c r="X85" s="3" t="inlineStr">
        <is>
          <t>주건축물제1동</t>
        </is>
      </c>
      <c r="Y85" s="7" t="inlineStr">
        <is>
          <t>1층</t>
        </is>
      </c>
      <c r="Z85" s="3" t="inlineStr">
        <is>
          <t>일반철골구조</t>
        </is>
      </c>
      <c r="AA85" s="3" t="inlineStr">
        <is>
          <t>제2종근생</t>
        </is>
      </c>
      <c r="AB85" s="3" t="inlineStr">
        <is>
          <t>10.55m</t>
        </is>
      </c>
      <c r="AC85" s="3" t="inlineStr">
        <is>
          <t>2023-06</t>
        </is>
      </c>
      <c r="AD85" s="3" t="inlineStr">
        <is>
          <t>세로한면(가)</t>
        </is>
      </c>
    </row>
    <row r="86">
      <c r="A86" s="3" t="inlineStr">
        <is>
          <t>강내면 태성리 257-16</t>
        </is>
      </c>
      <c r="B86" s="3" t="inlineStr">
        <is>
          <t>계획관리지역</t>
        </is>
      </c>
      <c r="C86" s="3" t="inlineStr">
        <is>
          <t>대</t>
        </is>
      </c>
      <c r="D86" s="3" t="inlineStr">
        <is>
          <t>공장</t>
        </is>
      </c>
      <c r="E86" s="3" t="inlineStr">
        <is>
          <t>월세</t>
        </is>
      </c>
      <c r="F86" s="4" t="n">
        <v>3000</v>
      </c>
      <c r="G86" s="4" t="n">
        <v>230</v>
      </c>
      <c r="H86" s="4" t="n">
        <v>836</v>
      </c>
      <c r="I86" s="4" t="n">
        <v>253</v>
      </c>
      <c r="J86" s="5" t="n">
        <v>0.9</v>
      </c>
      <c r="K86" s="4" t="n">
        <v>327</v>
      </c>
      <c r="L86" s="4" t="n">
        <v>99</v>
      </c>
      <c r="M86" s="5" t="n">
        <v>2.3</v>
      </c>
      <c r="N86" s="3" t="inlineStr">
        <is>
          <t>1</t>
        </is>
      </c>
      <c r="O86" s="3" t="inlineStr">
        <is>
          <t>-</t>
        </is>
      </c>
      <c r="P86" s="3" t="inlineStr">
        <is>
          <t>사진 有, 청주IC 10분, 2차선 도로접, 강내산업단지 인근 신축급</t>
        </is>
      </c>
      <c r="Q86" s="6">
        <f>HYPERLINK("https://fin.land.naver.com/articles/2654107061", "매물Link")</f>
        <v/>
      </c>
      <c r="R86" s="6">
        <f>HYPERLINK("https://map.naver.com/p/search/강내면 태성리 257-16", "지도Link")</f>
        <v/>
      </c>
      <c r="S86" s="6">
        <f>HYPERLINK("http://www.eum.go.kr/web/ar/lu/luLandDet.jsp?pnu=4311331027102570016&amp;isNoScr=script&amp;mode=search", "토지이음")</f>
        <v/>
      </c>
      <c r="T86" s="3" t="inlineStr">
        <is>
          <t>나는</t>
        </is>
      </c>
      <c r="U86" s="4" t="n">
        <v>3</v>
      </c>
      <c r="V86" s="5" t="n">
        <v>58.4</v>
      </c>
      <c r="W86" s="4" t="n">
        <v>836</v>
      </c>
      <c r="X86" s="3" t="inlineStr">
        <is>
          <t>주건축물제1동</t>
        </is>
      </c>
      <c r="Y86" s="7" t="inlineStr">
        <is>
          <t>1층</t>
        </is>
      </c>
      <c r="Z86" s="3" t="inlineStr">
        <is>
          <t>일반철골구조</t>
        </is>
      </c>
      <c r="AA86" s="3" t="inlineStr">
        <is>
          <t>제2종근생</t>
        </is>
      </c>
      <c r="AB86" s="3" t="inlineStr">
        <is>
          <t>10.55m</t>
        </is>
      </c>
      <c r="AC86" s="3" t="inlineStr">
        <is>
          <t>2023-06</t>
        </is>
      </c>
      <c r="AD86" s="3" t="inlineStr">
        <is>
          <t>세로한면(가)</t>
        </is>
      </c>
    </row>
    <row r="87">
      <c r="A87" s="3" t="inlineStr">
        <is>
          <t>강내면 태성리 257-16</t>
        </is>
      </c>
      <c r="B87" s="3" t="inlineStr">
        <is>
          <t>계획관리지역</t>
        </is>
      </c>
      <c r="C87" s="3" t="inlineStr">
        <is>
          <t>대</t>
        </is>
      </c>
      <c r="D87" s="3" t="inlineStr">
        <is>
          <t>공장</t>
        </is>
      </c>
      <c r="E87" s="3" t="inlineStr">
        <is>
          <t>월세</t>
        </is>
      </c>
      <c r="F87" s="4" t="n">
        <v>3000</v>
      </c>
      <c r="G87" s="4" t="n">
        <v>250</v>
      </c>
      <c r="H87" s="4" t="n">
        <v>836</v>
      </c>
      <c r="I87" s="4" t="n">
        <v>253</v>
      </c>
      <c r="J87" s="5" t="n">
        <v>1</v>
      </c>
      <c r="K87" s="4" t="n">
        <v>327</v>
      </c>
      <c r="L87" s="4" t="n">
        <v>99</v>
      </c>
      <c r="M87" s="5" t="n">
        <v>2.5</v>
      </c>
      <c r="N87" s="3" t="inlineStr">
        <is>
          <t>1</t>
        </is>
      </c>
      <c r="O87" s="3" t="inlineStr">
        <is>
          <t>-</t>
        </is>
      </c>
      <c r="P87" s="3" t="inlineStr">
        <is>
          <t>nan</t>
        </is>
      </c>
      <c r="Q87" s="6">
        <f>HYPERLINK("https://fin.land.naver.com/articles/2649458983", "매물Link")</f>
        <v/>
      </c>
      <c r="R87" s="6">
        <f>HYPERLINK("https://map.naver.com/p/search/강내면 태성리 257-16", "지도Link")</f>
        <v/>
      </c>
      <c r="S87" s="6">
        <f>HYPERLINK("http://www.eum.go.kr/web/ar/lu/luLandDet.jsp?pnu=4311331027102570016&amp;isNoScr=script&amp;mode=search", "토지이음")</f>
        <v/>
      </c>
      <c r="T87" s="3" t="inlineStr">
        <is>
          <t>청주합동</t>
        </is>
      </c>
      <c r="U87" s="4" t="n">
        <v>1</v>
      </c>
      <c r="V87" s="5" t="n">
        <v>58.4</v>
      </c>
      <c r="W87" s="4" t="n">
        <v>836</v>
      </c>
      <c r="X87" s="3" t="inlineStr">
        <is>
          <t>주건축물제1동</t>
        </is>
      </c>
      <c r="Y87" s="7" t="inlineStr">
        <is>
          <t>1층</t>
        </is>
      </c>
      <c r="Z87" s="3" t="inlineStr">
        <is>
          <t>일반철골구조</t>
        </is>
      </c>
      <c r="AA87" s="3" t="inlineStr">
        <is>
          <t>제2종근생</t>
        </is>
      </c>
      <c r="AB87" s="3" t="inlineStr">
        <is>
          <t>10.55m</t>
        </is>
      </c>
      <c r="AC87" s="3" t="inlineStr">
        <is>
          <t>2023-06</t>
        </is>
      </c>
      <c r="AD87" s="3" t="inlineStr">
        <is>
          <t>세로한면(가)</t>
        </is>
      </c>
    </row>
    <row r="88">
      <c r="A88" s="3" t="inlineStr">
        <is>
          <t>강내면 태성리 262</t>
        </is>
      </c>
      <c r="B88" s="3" t="inlineStr">
        <is>
          <t>계획관리지역</t>
        </is>
      </c>
      <c r="C88" s="3" t="inlineStr">
        <is>
          <t>대</t>
        </is>
      </c>
      <c r="D88" s="3" t="inlineStr">
        <is>
          <t>공장</t>
        </is>
      </c>
      <c r="E88" s="3" t="inlineStr">
        <is>
          <t>매매</t>
        </is>
      </c>
      <c r="F88" s="4" t="n">
        <v>200000</v>
      </c>
      <c r="G88" s="4" t="n">
        <v>0</v>
      </c>
      <c r="H88" s="4" t="n">
        <v>2167</v>
      </c>
      <c r="I88" s="4" t="n">
        <v>656</v>
      </c>
      <c r="J88" s="5" t="n">
        <v>304.9</v>
      </c>
      <c r="K88" s="4" t="n">
        <v>707</v>
      </c>
      <c r="L88" s="4" t="n">
        <v>214</v>
      </c>
      <c r="M88" s="5" t="n">
        <v>934.6</v>
      </c>
      <c r="N88" s="3" t="inlineStr">
        <is>
          <t>1</t>
        </is>
      </c>
      <c r="O88" s="3" t="inlineStr">
        <is>
          <t>-</t>
        </is>
      </c>
      <c r="P88" s="3" t="inlineStr">
        <is>
          <t>nan</t>
        </is>
      </c>
      <c r="Q88" s="6">
        <f>HYPERLINK("https://fin.land.naver.com/articles/2654630654", "매물Link")</f>
        <v/>
      </c>
      <c r="R88" s="6">
        <f>HYPERLINK("https://map.naver.com/p/search/강내면 태성리 262", "지도Link")</f>
        <v/>
      </c>
      <c r="S88" s="6">
        <f>HYPERLINK("http://www.eum.go.kr/web/ar/lu/luLandDet.jsp?pnu=4311331027102620000&amp;isNoScr=script&amp;mode=search", "토지이음")</f>
        <v/>
      </c>
      <c r="T88" s="3" t="inlineStr">
        <is>
          <t>청주모충주공사모1·2재개발명성</t>
        </is>
      </c>
      <c r="U88" s="4" t="n">
        <v>1</v>
      </c>
      <c r="V88" s="5" t="n">
        <v>55</v>
      </c>
      <c r="W88" s="4" t="n">
        <v>2167</v>
      </c>
      <c r="X88" s="3" t="inlineStr">
        <is>
          <t>주건축물제1동</t>
        </is>
      </c>
      <c r="Y88" s="7" t="inlineStr">
        <is>
          <t>1층</t>
        </is>
      </c>
      <c r="Z88" s="3" t="inlineStr">
        <is>
          <t>일반철골구조</t>
        </is>
      </c>
      <c r="AA88" s="3" t="inlineStr">
        <is>
          <t>교육연구시설</t>
        </is>
      </c>
      <c r="AB88" s="3" t="inlineStr">
        <is>
          <t>6.2m</t>
        </is>
      </c>
      <c r="AC88" s="3" t="inlineStr">
        <is>
          <t>2019-08</t>
        </is>
      </c>
      <c r="AD88" s="3" t="inlineStr">
        <is>
          <t>세로한면(가)</t>
        </is>
      </c>
    </row>
    <row r="89">
      <c r="A89" s="3" t="inlineStr">
        <is>
          <t>강내면 태성리 310-4</t>
        </is>
      </c>
      <c r="B89" s="3" t="inlineStr">
        <is>
          <t>계획관리지역</t>
        </is>
      </c>
      <c r="C89" s="3" t="inlineStr">
        <is>
          <t>공장용지</t>
        </is>
      </c>
      <c r="D89" s="3" t="inlineStr">
        <is>
          <t>공장</t>
        </is>
      </c>
      <c r="E89" s="3" t="inlineStr">
        <is>
          <t>월세</t>
        </is>
      </c>
      <c r="F89" s="4" t="n">
        <v>12000</v>
      </c>
      <c r="G89" s="4" t="n">
        <v>1200</v>
      </c>
      <c r="H89" s="4" t="n">
        <v>10508</v>
      </c>
      <c r="I89" s="4" t="n">
        <v>3179</v>
      </c>
      <c r="J89" s="5" t="n">
        <v>0.4</v>
      </c>
      <c r="K89" s="4" t="n">
        <v>1444</v>
      </c>
      <c r="L89" s="4" t="n">
        <v>437</v>
      </c>
      <c r="M89" s="5" t="n">
        <v>2.7</v>
      </c>
      <c r="N89" s="3" t="inlineStr">
        <is>
          <t>2</t>
        </is>
      </c>
      <c r="O89" s="3" t="inlineStr">
        <is>
          <t>-</t>
        </is>
      </c>
      <c r="P89" s="3" t="inlineStr">
        <is>
          <t>청주ic 13분 마당 넓은 단독 공장 임대 호이스트 3톤 전력160kw</t>
        </is>
      </c>
      <c r="Q89" s="6">
        <f>HYPERLINK("https://fin.land.naver.com/articles/2653351728", "매물Link")</f>
        <v/>
      </c>
      <c r="R89" s="6">
        <f>HYPERLINK("https://map.naver.com/p/search/강내면 태성리 310-4", "지도Link")</f>
        <v/>
      </c>
      <c r="S89" s="6">
        <f>HYPERLINK("http://www.eum.go.kr/web/ar/lu/luLandDet.jsp?pnu=4311331027103100004&amp;isNoScr=script&amp;mode=search", "토지이음")</f>
        <v/>
      </c>
      <c r="T89" s="3" t="inlineStr">
        <is>
          <t>더원</t>
        </is>
      </c>
      <c r="U89" s="4" t="n">
        <v>1</v>
      </c>
      <c r="V89" s="5" t="n">
        <v>67</v>
      </c>
      <c r="W89" s="4" t="n">
        <v>10508</v>
      </c>
      <c r="X89" s="3" t="inlineStr">
        <is>
          <t>주건축물제1동</t>
        </is>
      </c>
      <c r="Y89" s="7" t="inlineStr">
        <is>
          <t>2층</t>
        </is>
      </c>
      <c r="Z89" s="3" t="inlineStr">
        <is>
          <t>일반철골구조</t>
        </is>
      </c>
      <c r="AA89" s="3" t="inlineStr">
        <is>
          <t>공장</t>
        </is>
      </c>
      <c r="AB89" s="3" t="inlineStr">
        <is>
          <t>10.15m</t>
        </is>
      </c>
      <c r="AC89" s="3" t="inlineStr">
        <is>
          <t>2021-12</t>
        </is>
      </c>
      <c r="AD89" s="3" t="inlineStr">
        <is>
          <t>세로한면(가)</t>
        </is>
      </c>
    </row>
    <row r="90">
      <c r="A90" s="3" t="inlineStr">
        <is>
          <t>강내면 태성리 310-4</t>
        </is>
      </c>
      <c r="B90" s="3" t="inlineStr">
        <is>
          <t>계획관리지역</t>
        </is>
      </c>
      <c r="C90" s="3" t="inlineStr">
        <is>
          <t>공장용지</t>
        </is>
      </c>
      <c r="D90" s="3" t="inlineStr">
        <is>
          <t>공장</t>
        </is>
      </c>
      <c r="E90" s="3" t="inlineStr">
        <is>
          <t>월세</t>
        </is>
      </c>
      <c r="F90" s="4" t="n">
        <v>12000</v>
      </c>
      <c r="G90" s="4" t="n">
        <v>1200</v>
      </c>
      <c r="H90" s="4" t="n">
        <v>10508</v>
      </c>
      <c r="I90" s="4" t="n">
        <v>3179</v>
      </c>
      <c r="J90" s="5" t="n">
        <v>0.4</v>
      </c>
      <c r="K90" s="4" t="n">
        <v>1444</v>
      </c>
      <c r="L90" s="4" t="n">
        <v>437</v>
      </c>
      <c r="M90" s="5" t="n">
        <v>2.7</v>
      </c>
      <c r="N90" s="3" t="inlineStr">
        <is>
          <t>2</t>
        </is>
      </c>
      <c r="O90" s="3" t="inlineStr">
        <is>
          <t>-</t>
        </is>
      </c>
      <c r="P90" s="3" t="inlineStr">
        <is>
          <t>nan</t>
        </is>
      </c>
      <c r="Q90" s="6">
        <f>HYPERLINK("https://fin.land.naver.com/articles/2652569002", "매물Link")</f>
        <v/>
      </c>
      <c r="R90" s="6">
        <f>HYPERLINK("https://map.naver.com/p/search/강내면 태성리 310-4", "지도Link")</f>
        <v/>
      </c>
      <c r="S90" s="6">
        <f>HYPERLINK("http://www.eum.go.kr/web/ar/lu/luLandDet.jsp?pnu=4311331027103100004&amp;isNoScr=script&amp;mode=search", "토지이음")</f>
        <v/>
      </c>
      <c r="T90" s="3" t="inlineStr">
        <is>
          <t>창고의여왕</t>
        </is>
      </c>
      <c r="U90" s="4" t="n">
        <v>1</v>
      </c>
      <c r="V90" s="5" t="n">
        <v>67</v>
      </c>
      <c r="W90" s="4" t="n">
        <v>10508</v>
      </c>
      <c r="X90" s="3" t="inlineStr">
        <is>
          <t>주건축물제1동</t>
        </is>
      </c>
      <c r="Y90" s="7" t="inlineStr">
        <is>
          <t>2층</t>
        </is>
      </c>
      <c r="Z90" s="3" t="inlineStr">
        <is>
          <t>일반철골구조</t>
        </is>
      </c>
      <c r="AA90" s="3" t="inlineStr">
        <is>
          <t>공장</t>
        </is>
      </c>
      <c r="AB90" s="3" t="inlineStr">
        <is>
          <t>10.15m</t>
        </is>
      </c>
      <c r="AC90" s="3" t="inlineStr">
        <is>
          <t>2021-12</t>
        </is>
      </c>
      <c r="AD90" s="3" t="inlineStr">
        <is>
          <t>세로한면(가)</t>
        </is>
      </c>
    </row>
    <row r="91">
      <c r="A91" s="3" t="inlineStr">
        <is>
          <t>강내면 태성리 310-4</t>
        </is>
      </c>
      <c r="B91" s="3" t="inlineStr">
        <is>
          <t>계획관리지역</t>
        </is>
      </c>
      <c r="C91" s="3" t="inlineStr">
        <is>
          <t>공장용지</t>
        </is>
      </c>
      <c r="D91" s="3" t="inlineStr">
        <is>
          <t>공장</t>
        </is>
      </c>
      <c r="E91" s="3" t="inlineStr">
        <is>
          <t>월세</t>
        </is>
      </c>
      <c r="F91" s="4" t="n">
        <v>12000</v>
      </c>
      <c r="G91" s="4" t="n">
        <v>1200</v>
      </c>
      <c r="H91" s="4" t="n">
        <v>10508</v>
      </c>
      <c r="I91" s="4" t="n">
        <v>3179</v>
      </c>
      <c r="J91" s="5" t="n">
        <v>0.4</v>
      </c>
      <c r="K91" s="4" t="n">
        <v>1444</v>
      </c>
      <c r="L91" s="4" t="n">
        <v>437</v>
      </c>
      <c r="M91" s="5" t="n">
        <v>2.7</v>
      </c>
      <c r="N91" s="3" t="inlineStr">
        <is>
          <t>2</t>
        </is>
      </c>
      <c r="O91" s="3" t="inlineStr">
        <is>
          <t>-</t>
        </is>
      </c>
      <c r="P91" s="3" t="inlineStr">
        <is>
          <t>개인전용마당 넓은 공장임대 총 두개동 사무실구비 호이스트 설치</t>
        </is>
      </c>
      <c r="Q91" s="6">
        <f>HYPERLINK("https://fin.land.naver.com/articles/2650610205", "매물Link")</f>
        <v/>
      </c>
      <c r="R91" s="6">
        <f>HYPERLINK("https://map.naver.com/p/search/강내면 태성리 310-4", "지도Link")</f>
        <v/>
      </c>
      <c r="S91" s="6">
        <f>HYPERLINK("http://www.eum.go.kr/web/ar/lu/luLandDet.jsp?pnu=4311331027103100004&amp;isNoScr=script&amp;mode=search", "토지이음")</f>
        <v/>
      </c>
      <c r="T91" s="3" t="inlineStr">
        <is>
          <t>태광</t>
        </is>
      </c>
      <c r="U91" s="4" t="n">
        <v>1</v>
      </c>
      <c r="V91" s="5" t="n">
        <v>67</v>
      </c>
      <c r="W91" s="4" t="n">
        <v>10508</v>
      </c>
      <c r="X91" s="3" t="inlineStr">
        <is>
          <t>주건축물제1동</t>
        </is>
      </c>
      <c r="Y91" s="7" t="inlineStr">
        <is>
          <t>2층</t>
        </is>
      </c>
      <c r="Z91" s="3" t="inlineStr">
        <is>
          <t>일반철골구조</t>
        </is>
      </c>
      <c r="AA91" s="3" t="inlineStr">
        <is>
          <t>공장</t>
        </is>
      </c>
      <c r="AB91" s="3" t="inlineStr">
        <is>
          <t>10.15m</t>
        </is>
      </c>
      <c r="AC91" s="3" t="inlineStr">
        <is>
          <t>2021-12</t>
        </is>
      </c>
      <c r="AD91" s="3" t="inlineStr">
        <is>
          <t>세로한면(가)</t>
        </is>
      </c>
    </row>
    <row r="92">
      <c r="A92" s="3" t="inlineStr">
        <is>
          <t>강내면 태성리 310-4</t>
        </is>
      </c>
      <c r="B92" s="3" t="inlineStr">
        <is>
          <t>계획관리지역</t>
        </is>
      </c>
      <c r="C92" s="3" t="inlineStr">
        <is>
          <t>공장용지</t>
        </is>
      </c>
      <c r="D92" s="3" t="inlineStr">
        <is>
          <t>공장</t>
        </is>
      </c>
      <c r="E92" s="3" t="inlineStr">
        <is>
          <t>월세</t>
        </is>
      </c>
      <c r="F92" s="4" t="n">
        <v>12000</v>
      </c>
      <c r="G92" s="4" t="n">
        <v>1200</v>
      </c>
      <c r="H92" s="4" t="n">
        <v>10508</v>
      </c>
      <c r="I92" s="4" t="n">
        <v>3179</v>
      </c>
      <c r="J92" s="5" t="n">
        <v>0.4</v>
      </c>
      <c r="K92" s="4" t="n">
        <v>1444</v>
      </c>
      <c r="L92" s="4" t="n">
        <v>437</v>
      </c>
      <c r="M92" s="5" t="n">
        <v>2.7</v>
      </c>
      <c r="N92" s="3" t="inlineStr">
        <is>
          <t>2</t>
        </is>
      </c>
      <c r="O92" s="3" t="inlineStr">
        <is>
          <t>-</t>
        </is>
      </c>
      <c r="P92" s="3" t="inlineStr">
        <is>
          <t>청주,오송, 세종등  산업단지 접근성 우수, 청주 I.C 약 15분거리</t>
        </is>
      </c>
      <c r="Q92" s="6">
        <f>HYPERLINK("https://fin.land.naver.com/articles/2652874170", "매물Link")</f>
        <v/>
      </c>
      <c r="R92" s="6">
        <f>HYPERLINK("https://map.naver.com/p/search/강내면 태성리 310-4", "지도Link")</f>
        <v/>
      </c>
      <c r="S92" s="6">
        <f>HYPERLINK("http://www.eum.go.kr/web/ar/lu/luLandDet.jsp?pnu=4311331027103100004&amp;isNoScr=script&amp;mode=search", "토지이음")</f>
        <v/>
      </c>
      <c r="T92" s="3" t="inlineStr">
        <is>
          <t>플러스자이합동</t>
        </is>
      </c>
      <c r="U92" s="4" t="n">
        <v>1</v>
      </c>
      <c r="V92" s="5" t="n">
        <v>67</v>
      </c>
      <c r="W92" s="4" t="n">
        <v>10508</v>
      </c>
      <c r="X92" s="3" t="inlineStr">
        <is>
          <t>주건축물제1동</t>
        </is>
      </c>
      <c r="Y92" s="7" t="inlineStr">
        <is>
          <t>2층</t>
        </is>
      </c>
      <c r="Z92" s="3" t="inlineStr">
        <is>
          <t>일반철골구조</t>
        </is>
      </c>
      <c r="AA92" s="3" t="inlineStr">
        <is>
          <t>공장</t>
        </is>
      </c>
      <c r="AB92" s="3" t="inlineStr">
        <is>
          <t>10.15m</t>
        </is>
      </c>
      <c r="AC92" s="3" t="inlineStr">
        <is>
          <t>2021-12</t>
        </is>
      </c>
      <c r="AD92" s="3" t="inlineStr">
        <is>
          <t>세로한면(가)</t>
        </is>
      </c>
    </row>
    <row r="93">
      <c r="A93" s="3" t="inlineStr">
        <is>
          <t>강내면 태성리 335-3</t>
        </is>
      </c>
      <c r="B93" s="3" t="inlineStr">
        <is>
          <t>계획관리지역</t>
        </is>
      </c>
      <c r="C93" s="3" t="inlineStr">
        <is>
          <t>공장용지</t>
        </is>
      </c>
      <c r="D93" s="3" t="inlineStr">
        <is>
          <t>공장</t>
        </is>
      </c>
      <c r="E93" s="3" t="inlineStr">
        <is>
          <t>월세</t>
        </is>
      </c>
      <c r="F93" s="4" t="n">
        <v>6000</v>
      </c>
      <c r="G93" s="4" t="n">
        <v>590</v>
      </c>
      <c r="H93" s="4" t="n">
        <v>2459</v>
      </c>
      <c r="I93" s="4" t="n">
        <v>744</v>
      </c>
      <c r="J93" s="5" t="n">
        <v>0.8</v>
      </c>
      <c r="K93" s="4" t="n">
        <v>970</v>
      </c>
      <c r="L93" s="4" t="n">
        <v>293</v>
      </c>
      <c r="M93" s="5" t="n">
        <v>2</v>
      </c>
      <c r="N93" s="3" t="inlineStr">
        <is>
          <t>1</t>
        </is>
      </c>
      <c r="O93" s="3" t="inlineStr">
        <is>
          <t>-</t>
        </is>
      </c>
      <c r="P93" s="3" t="inlineStr">
        <is>
          <t>사진有,오송세종청주를 잇는 최적의 입지와 접근성을 모두 갖춘 위치</t>
        </is>
      </c>
      <c r="Q93" s="6">
        <f>HYPERLINK("https://fin.land.naver.com/articles/2654495474", "매물Link")</f>
        <v/>
      </c>
      <c r="R93" s="6">
        <f>HYPERLINK("https://map.naver.com/p/search/강내면 태성리 335-3", "지도Link")</f>
        <v/>
      </c>
      <c r="S93" s="6">
        <f>HYPERLINK("http://www.eum.go.kr/web/ar/lu/luLandDet.jsp?pnu=4311331027103350003&amp;isNoScr=script&amp;mode=search", "토지이음")</f>
        <v/>
      </c>
      <c r="T93" s="3" t="inlineStr">
        <is>
          <t>태성</t>
        </is>
      </c>
      <c r="U93" s="4" t="n">
        <v>2</v>
      </c>
      <c r="V93" s="5" t="n">
        <v>53.2</v>
      </c>
      <c r="W93" s="4" t="n">
        <v>2459</v>
      </c>
      <c r="X93" s="3" t="inlineStr">
        <is>
          <t>주건축물제1동</t>
        </is>
      </c>
      <c r="Y93" s="7" t="inlineStr">
        <is>
          <t>1층</t>
        </is>
      </c>
      <c r="Z93" s="3" t="inlineStr">
        <is>
          <t>일반철골구조</t>
        </is>
      </c>
      <c r="AA93" s="3" t="inlineStr">
        <is>
          <t>공장</t>
        </is>
      </c>
      <c r="AB93" s="3" t="inlineStr">
        <is>
          <t>11.37m</t>
        </is>
      </c>
      <c r="AC93" s="3" t="inlineStr">
        <is>
          <t>2020-07</t>
        </is>
      </c>
      <c r="AD93" s="3" t="inlineStr">
        <is>
          <t>세로한면(가)</t>
        </is>
      </c>
    </row>
    <row r="94">
      <c r="A94" s="3" t="inlineStr">
        <is>
          <t>강내면 태성리 335-3</t>
        </is>
      </c>
      <c r="B94" s="3" t="inlineStr">
        <is>
          <t>계획관리지역</t>
        </is>
      </c>
      <c r="C94" s="3" t="inlineStr">
        <is>
          <t>공장용지</t>
        </is>
      </c>
      <c r="D94" s="3" t="inlineStr">
        <is>
          <t>공장</t>
        </is>
      </c>
      <c r="E94" s="3" t="inlineStr">
        <is>
          <t>월세</t>
        </is>
      </c>
      <c r="F94" s="4" t="n">
        <v>6000</v>
      </c>
      <c r="G94" s="4" t="n">
        <v>590</v>
      </c>
      <c r="H94" s="4" t="n">
        <v>2459</v>
      </c>
      <c r="I94" s="4" t="n">
        <v>744</v>
      </c>
      <c r="J94" s="5" t="n">
        <v>0.8</v>
      </c>
      <c r="K94" s="4" t="n">
        <v>970</v>
      </c>
      <c r="L94" s="4" t="n">
        <v>293</v>
      </c>
      <c r="M94" s="5" t="n">
        <v>2</v>
      </c>
      <c r="N94" s="3" t="inlineStr">
        <is>
          <t>1</t>
        </is>
      </c>
      <c r="O94" s="3" t="inlineStr">
        <is>
          <t>-</t>
        </is>
      </c>
      <c r="P94" s="3" t="inlineStr">
        <is>
          <t>대형차 진출입 매우 편리 임대료 좋은 깔끔한 대형창고공장 임대</t>
        </is>
      </c>
      <c r="Q94" s="6">
        <f>HYPERLINK("https://fin.land.naver.com/articles/2651036703", "매물Link")</f>
        <v/>
      </c>
      <c r="R94" s="6">
        <f>HYPERLINK("https://map.naver.com/p/search/강내면 태성리 335-3", "지도Link")</f>
        <v/>
      </c>
      <c r="S94" s="6">
        <f>HYPERLINK("http://www.eum.go.kr/web/ar/lu/luLandDet.jsp?pnu=4311331027103350003&amp;isNoScr=script&amp;mode=search", "토지이음")</f>
        <v/>
      </c>
      <c r="T94" s="3" t="inlineStr">
        <is>
          <t>태광</t>
        </is>
      </c>
      <c r="U94" s="4" t="n">
        <v>1</v>
      </c>
      <c r="V94" s="5" t="n">
        <v>53.2</v>
      </c>
      <c r="W94" s="4" t="n">
        <v>2459</v>
      </c>
      <c r="X94" s="3" t="inlineStr">
        <is>
          <t>주건축물제1동</t>
        </is>
      </c>
      <c r="Y94" s="7" t="inlineStr">
        <is>
          <t>1층</t>
        </is>
      </c>
      <c r="Z94" s="3" t="inlineStr">
        <is>
          <t>일반철골구조</t>
        </is>
      </c>
      <c r="AA94" s="3" t="inlineStr">
        <is>
          <t>공장</t>
        </is>
      </c>
      <c r="AB94" s="3" t="inlineStr">
        <is>
          <t>11.37m</t>
        </is>
      </c>
      <c r="AC94" s="3" t="inlineStr">
        <is>
          <t>2020-07</t>
        </is>
      </c>
      <c r="AD94" s="3" t="inlineStr">
        <is>
          <t>세로한면(가)</t>
        </is>
      </c>
    </row>
    <row r="95">
      <c r="A95" s="3" t="inlineStr">
        <is>
          <t>강내면 태성리 335-3</t>
        </is>
      </c>
      <c r="B95" s="3" t="inlineStr">
        <is>
          <t>계획관리지역</t>
        </is>
      </c>
      <c r="C95" s="3" t="inlineStr">
        <is>
          <t>공장용지</t>
        </is>
      </c>
      <c r="D95" s="3" t="inlineStr">
        <is>
          <t>공장</t>
        </is>
      </c>
      <c r="E95" s="3" t="inlineStr">
        <is>
          <t>월세</t>
        </is>
      </c>
      <c r="F95" s="4" t="n">
        <v>8000</v>
      </c>
      <c r="G95" s="4" t="n">
        <v>690</v>
      </c>
      <c r="H95" s="4" t="n">
        <v>2459</v>
      </c>
      <c r="I95" s="4" t="n">
        <v>744</v>
      </c>
      <c r="J95" s="5" t="n">
        <v>0.9</v>
      </c>
      <c r="K95" s="4" t="n">
        <v>970</v>
      </c>
      <c r="L95" s="4" t="n">
        <v>293</v>
      </c>
      <c r="M95" s="5" t="n">
        <v>2.4</v>
      </c>
      <c r="N95" s="3" t="inlineStr">
        <is>
          <t>1</t>
        </is>
      </c>
      <c r="O95" s="3" t="inlineStr">
        <is>
          <t>-</t>
        </is>
      </c>
      <c r="P95" s="3" t="inlineStr">
        <is>
          <t>진입로 좋은 공장임대입니다</t>
        </is>
      </c>
      <c r="Q95" s="6">
        <f>HYPERLINK("https://fin.land.naver.com/articles/2654187499", "매물Link")</f>
        <v/>
      </c>
      <c r="R95" s="6">
        <f>HYPERLINK("https://map.naver.com/p/search/강내면 태성리 335-3", "지도Link")</f>
        <v/>
      </c>
      <c r="S95" s="6">
        <f>HYPERLINK("http://www.eum.go.kr/web/ar/lu/luLandDet.jsp?pnu=4311331027103350003&amp;isNoScr=script&amp;mode=search", "토지이음")</f>
        <v/>
      </c>
      <c r="T95" s="3" t="inlineStr">
        <is>
          <t>복댕이</t>
        </is>
      </c>
      <c r="U95" s="4" t="n">
        <v>1</v>
      </c>
      <c r="V95" s="5" t="n">
        <v>53.2</v>
      </c>
      <c r="W95" s="4" t="n">
        <v>2459</v>
      </c>
      <c r="X95" s="3" t="inlineStr">
        <is>
          <t>주건축물제1동</t>
        </is>
      </c>
      <c r="Y95" s="7" t="inlineStr">
        <is>
          <t>1층</t>
        </is>
      </c>
      <c r="Z95" s="3" t="inlineStr">
        <is>
          <t>일반철골구조</t>
        </is>
      </c>
      <c r="AA95" s="3" t="inlineStr">
        <is>
          <t>공장</t>
        </is>
      </c>
      <c r="AB95" s="3" t="inlineStr">
        <is>
          <t>11.37m</t>
        </is>
      </c>
      <c r="AC95" s="3" t="inlineStr">
        <is>
          <t>2020-07</t>
        </is>
      </c>
      <c r="AD95" s="3" t="inlineStr">
        <is>
          <t>세로한면(가)</t>
        </is>
      </c>
    </row>
    <row r="96">
      <c r="A96" s="3" t="inlineStr">
        <is>
          <t>강내면 태성리 335-3</t>
        </is>
      </c>
      <c r="B96" s="3" t="inlineStr">
        <is>
          <t>계획관리지역</t>
        </is>
      </c>
      <c r="C96" s="3" t="inlineStr">
        <is>
          <t>공장용지</t>
        </is>
      </c>
      <c r="D96" s="3" t="inlineStr">
        <is>
          <t>공장</t>
        </is>
      </c>
      <c r="E96" s="3" t="inlineStr">
        <is>
          <t>월세</t>
        </is>
      </c>
      <c r="F96" s="4" t="n">
        <v>6000</v>
      </c>
      <c r="G96" s="4" t="n">
        <v>590</v>
      </c>
      <c r="H96" s="4" t="n">
        <v>2459</v>
      </c>
      <c r="I96" s="4" t="n">
        <v>744</v>
      </c>
      <c r="J96" s="5" t="n">
        <v>0.8</v>
      </c>
      <c r="K96" s="4" t="n">
        <v>970</v>
      </c>
      <c r="L96" s="4" t="n">
        <v>293</v>
      </c>
      <c r="M96" s="5" t="n">
        <v>2</v>
      </c>
      <c r="N96" s="3" t="inlineStr">
        <is>
          <t>1</t>
        </is>
      </c>
      <c r="O96" s="3" t="inlineStr">
        <is>
          <t>-</t>
        </is>
      </c>
      <c r="P96" s="3" t="inlineStr">
        <is>
          <t>청주ic 12 분 대형차 진출입 물류이동 편리</t>
        </is>
      </c>
      <c r="Q96" s="6">
        <f>HYPERLINK("https://fin.land.naver.com/articles/2651673536", "매물Link")</f>
        <v/>
      </c>
      <c r="R96" s="6">
        <f>HYPERLINK("https://map.naver.com/p/search/강내면 태성리 335-3", "지도Link")</f>
        <v/>
      </c>
      <c r="S96" s="6">
        <f>HYPERLINK("http://www.eum.go.kr/web/ar/lu/luLandDet.jsp?pnu=4311331027103350003&amp;isNoScr=script&amp;mode=search", "토지이음")</f>
        <v/>
      </c>
      <c r="T96" s="3" t="inlineStr">
        <is>
          <t>더원</t>
        </is>
      </c>
      <c r="U96" s="4" t="n">
        <v>1</v>
      </c>
      <c r="V96" s="5" t="n">
        <v>53.2</v>
      </c>
      <c r="W96" s="4" t="n">
        <v>2459</v>
      </c>
      <c r="X96" s="3" t="inlineStr">
        <is>
          <t>주건축물제1동</t>
        </is>
      </c>
      <c r="Y96" s="7" t="inlineStr">
        <is>
          <t>1층</t>
        </is>
      </c>
      <c r="Z96" s="3" t="inlineStr">
        <is>
          <t>일반철골구조</t>
        </is>
      </c>
      <c r="AA96" s="3" t="inlineStr">
        <is>
          <t>공장</t>
        </is>
      </c>
      <c r="AB96" s="3" t="inlineStr">
        <is>
          <t>11.37m</t>
        </is>
      </c>
      <c r="AC96" s="3" t="inlineStr">
        <is>
          <t>2020-07</t>
        </is>
      </c>
      <c r="AD96" s="3" t="inlineStr">
        <is>
          <t>세로한면(가)</t>
        </is>
      </c>
    </row>
    <row r="97">
      <c r="A97" s="3" t="inlineStr">
        <is>
          <t>강내면 태성리 335-4</t>
        </is>
      </c>
      <c r="B97" s="3" t="inlineStr">
        <is>
          <t>계획관리지역</t>
        </is>
      </c>
      <c r="C97" s="3" t="inlineStr">
        <is>
          <t>공장용지</t>
        </is>
      </c>
      <c r="D97" s="3" t="inlineStr">
        <is>
          <t>공장</t>
        </is>
      </c>
      <c r="E97" s="3" t="inlineStr">
        <is>
          <t>월세</t>
        </is>
      </c>
      <c r="F97" s="4" t="n">
        <v>6000</v>
      </c>
      <c r="G97" s="4" t="n">
        <v>590</v>
      </c>
      <c r="H97" s="4" t="n">
        <v>2497</v>
      </c>
      <c r="I97" s="4" t="n">
        <v>755</v>
      </c>
      <c r="J97" s="5" t="n">
        <v>0.8</v>
      </c>
      <c r="K97" s="4" t="n">
        <v>976</v>
      </c>
      <c r="L97" s="4" t="n">
        <v>295</v>
      </c>
      <c r="M97" s="5" t="n">
        <v>2</v>
      </c>
      <c r="N97" s="3" t="inlineStr">
        <is>
          <t>1</t>
        </is>
      </c>
      <c r="O97" s="3" t="inlineStr">
        <is>
          <t>-</t>
        </is>
      </c>
      <c r="P97" s="3" t="inlineStr">
        <is>
          <t>사진 有, 대형차량 진출입 편리, 청주ic 12분</t>
        </is>
      </c>
      <c r="Q97" s="6">
        <f>HYPERLINK("https://fin.land.naver.com/articles/2651941693", "매물Link")</f>
        <v/>
      </c>
      <c r="R97" s="6">
        <f>HYPERLINK("https://map.naver.com/p/search/강내면 태성리 335-4", "지도Link")</f>
        <v/>
      </c>
      <c r="S97" s="6">
        <f>HYPERLINK("http://www.eum.go.kr/web/ar/lu/luLandDet.jsp?pnu=4311331027103350004&amp;isNoScr=script&amp;mode=search", "토지이음")</f>
        <v/>
      </c>
      <c r="T97" s="3" t="inlineStr">
        <is>
          <t>나는</t>
        </is>
      </c>
      <c r="U97" s="4" t="n">
        <v>2</v>
      </c>
      <c r="V97" s="5" t="n">
        <v>53.2</v>
      </c>
      <c r="W97" s="4" t="n">
        <v>2497</v>
      </c>
      <c r="X97" s="3" t="inlineStr">
        <is>
          <t>대장없음</t>
        </is>
      </c>
      <c r="Y97" s="7" t="inlineStr">
        <is>
          <t>대장없음</t>
        </is>
      </c>
      <c r="Z97" s="3" t="inlineStr">
        <is>
          <t>대장없음</t>
        </is>
      </c>
      <c r="AA97" s="3" t="inlineStr">
        <is>
          <t>대장없음</t>
        </is>
      </c>
      <c r="AB97" s="3" t="inlineStr">
        <is>
          <t>대장없음</t>
        </is>
      </c>
      <c r="AC97" s="3" t="inlineStr">
        <is>
          <t>대장없음</t>
        </is>
      </c>
      <c r="AD97" s="3" t="inlineStr">
        <is>
          <t>세로한면(가)</t>
        </is>
      </c>
    </row>
    <row r="98">
      <c r="A98" s="3" t="inlineStr">
        <is>
          <t>강내면 태성리 351</t>
        </is>
      </c>
      <c r="B98" s="3" t="inlineStr">
        <is>
          <t>계획관리지역</t>
        </is>
      </c>
      <c r="C98" s="3" t="inlineStr">
        <is>
          <t>공장용지</t>
        </is>
      </c>
      <c r="D98" s="3" t="inlineStr">
        <is>
          <t>공장</t>
        </is>
      </c>
      <c r="E98" s="3" t="inlineStr">
        <is>
          <t>월세</t>
        </is>
      </c>
      <c r="F98" s="4" t="n">
        <v>5000</v>
      </c>
      <c r="G98" s="4" t="n">
        <v>950</v>
      </c>
      <c r="H98" s="4" t="n">
        <v>3500</v>
      </c>
      <c r="I98" s="4" t="n">
        <v>1059</v>
      </c>
      <c r="J98" s="5" t="n">
        <v>0.9</v>
      </c>
      <c r="K98" s="4" t="n">
        <v>1392</v>
      </c>
      <c r="L98" s="4" t="n">
        <v>421</v>
      </c>
      <c r="M98" s="5" t="n">
        <v>2.3</v>
      </c>
      <c r="N98" s="3" t="inlineStr">
        <is>
          <t>1</t>
        </is>
      </c>
      <c r="O98" s="3" t="inlineStr">
        <is>
          <t>-</t>
        </is>
      </c>
      <c r="P98" s="3" t="inlineStr">
        <is>
          <t>총3필지이며 대형차량 진출입용이합니다</t>
        </is>
      </c>
      <c r="Q98" s="6">
        <f>HYPERLINK("https://fin.land.naver.com/articles/2654200532", "매물Link")</f>
        <v/>
      </c>
      <c r="R98" s="6">
        <f>HYPERLINK("https://map.naver.com/p/search/강내면 태성리 351", "지도Link")</f>
        <v/>
      </c>
      <c r="S98" s="6">
        <f>HYPERLINK("http://www.eum.go.kr/web/ar/lu/luLandDet.jsp?pnu=4311331027103510000&amp;isNoScr=script&amp;mode=search", "토지이음")</f>
        <v/>
      </c>
      <c r="T98" s="3" t="inlineStr">
        <is>
          <t>복댕이</t>
        </is>
      </c>
      <c r="U98" s="4" t="n">
        <v>2</v>
      </c>
      <c r="V98" s="5" t="n">
        <v>40.8</v>
      </c>
      <c r="W98" s="4" t="n">
        <v>704</v>
      </c>
      <c r="X98" s="3" t="inlineStr">
        <is>
          <t>미표기</t>
        </is>
      </c>
      <c r="Y98" s="7" t="inlineStr">
        <is>
          <t>1층</t>
        </is>
      </c>
      <c r="Z98" s="3" t="inlineStr">
        <is>
          <t>일반철골구조</t>
        </is>
      </c>
      <c r="AA98" s="3" t="inlineStr">
        <is>
          <t>공장</t>
        </is>
      </c>
      <c r="AB98" s="3" t="inlineStr">
        <is>
          <t>11.2m</t>
        </is>
      </c>
      <c r="AC98" s="3" t="inlineStr">
        <is>
          <t>2021-09</t>
        </is>
      </c>
      <c r="AD98" s="3" t="inlineStr">
        <is>
          <t>세로한면(불)</t>
        </is>
      </c>
    </row>
    <row r="99">
      <c r="A99" s="3" t="inlineStr">
        <is>
          <t>강내면 태성리 351</t>
        </is>
      </c>
      <c r="B99" s="3" t="inlineStr">
        <is>
          <t>계획관리지역</t>
        </is>
      </c>
      <c r="C99" s="3" t="inlineStr">
        <is>
          <t>공장용지</t>
        </is>
      </c>
      <c r="D99" s="3" t="inlineStr">
        <is>
          <t>공장</t>
        </is>
      </c>
      <c r="E99" s="3" t="inlineStr">
        <is>
          <t>월세</t>
        </is>
      </c>
      <c r="F99" s="4" t="n">
        <v>10000</v>
      </c>
      <c r="G99" s="4" t="n">
        <v>970</v>
      </c>
      <c r="H99" s="4" t="n">
        <v>3500</v>
      </c>
      <c r="I99" s="4" t="n">
        <v>1059</v>
      </c>
      <c r="J99" s="5" t="n">
        <v>0.9</v>
      </c>
      <c r="K99" s="4" t="n">
        <v>1392</v>
      </c>
      <c r="L99" s="4" t="n">
        <v>421</v>
      </c>
      <c r="M99" s="5" t="n">
        <v>2.3</v>
      </c>
      <c r="N99" s="3" t="inlineStr">
        <is>
          <t>1</t>
        </is>
      </c>
      <c r="O99" s="3" t="inlineStr">
        <is>
          <t>-</t>
        </is>
      </c>
      <c r="P99" s="3" t="inlineStr">
        <is>
          <t>nan</t>
        </is>
      </c>
      <c r="Q99" s="6">
        <f>HYPERLINK("https://fin.land.naver.com/articles/2649942545", "매물Link")</f>
        <v/>
      </c>
      <c r="R99" s="6">
        <f>HYPERLINK("https://map.naver.com/p/search/강내면 태성리 351", "지도Link")</f>
        <v/>
      </c>
      <c r="S99" s="6">
        <f>HYPERLINK("http://www.eum.go.kr/web/ar/lu/luLandDet.jsp?pnu=4311331027103510000&amp;isNoScr=script&amp;mode=search", "토지이음")</f>
        <v/>
      </c>
      <c r="T99" s="3" t="inlineStr">
        <is>
          <t>달인무소</t>
        </is>
      </c>
      <c r="U99" s="4" t="n">
        <v>1</v>
      </c>
      <c r="V99" s="5" t="n">
        <v>40.8</v>
      </c>
      <c r="W99" s="4" t="n">
        <v>704</v>
      </c>
      <c r="X99" s="3" t="inlineStr">
        <is>
          <t>미표기</t>
        </is>
      </c>
      <c r="Y99" s="7" t="inlineStr">
        <is>
          <t>1층</t>
        </is>
      </c>
      <c r="Z99" s="3" t="inlineStr">
        <is>
          <t>일반철골구조</t>
        </is>
      </c>
      <c r="AA99" s="3" t="inlineStr">
        <is>
          <t>공장</t>
        </is>
      </c>
      <c r="AB99" s="3" t="inlineStr">
        <is>
          <t>11.2m</t>
        </is>
      </c>
      <c r="AC99" s="3" t="inlineStr">
        <is>
          <t>2021-09</t>
        </is>
      </c>
      <c r="AD99" s="3" t="inlineStr">
        <is>
          <t>세로한면(불)</t>
        </is>
      </c>
    </row>
    <row r="100">
      <c r="A100" s="3" t="inlineStr">
        <is>
          <t>강내면 태성리 351</t>
        </is>
      </c>
      <c r="B100" s="3" t="inlineStr">
        <is>
          <t>계획관리지역</t>
        </is>
      </c>
      <c r="C100" s="3" t="inlineStr">
        <is>
          <t>공장용지</t>
        </is>
      </c>
      <c r="D100" s="3" t="inlineStr">
        <is>
          <t>공장</t>
        </is>
      </c>
      <c r="E100" s="3" t="inlineStr">
        <is>
          <t>월세</t>
        </is>
      </c>
      <c r="F100" s="4" t="n">
        <v>4500</v>
      </c>
      <c r="G100" s="4" t="n">
        <v>410</v>
      </c>
      <c r="H100" s="4" t="n">
        <v>3500</v>
      </c>
      <c r="I100" s="4" t="n">
        <v>1059</v>
      </c>
      <c r="J100" s="5" t="n">
        <v>0.4</v>
      </c>
      <c r="K100" s="4" t="n">
        <v>671</v>
      </c>
      <c r="L100" s="4" t="n">
        <v>203</v>
      </c>
      <c r="M100" s="5" t="n">
        <v>2</v>
      </c>
      <c r="N100" s="3" t="inlineStr">
        <is>
          <t>1</t>
        </is>
      </c>
      <c r="O100" s="3" t="inlineStr">
        <is>
          <t>-</t>
        </is>
      </c>
      <c r="P100" s="3" t="inlineStr">
        <is>
          <t>대형차량 진출입 편리, 청주ic 13분</t>
        </is>
      </c>
      <c r="Q100" s="6">
        <f>HYPERLINK("https://fin.land.naver.com/articles/2651943229", "매물Link")</f>
        <v/>
      </c>
      <c r="R100" s="6">
        <f>HYPERLINK("https://map.naver.com/p/search/강내면 태성리 351", "지도Link")</f>
        <v/>
      </c>
      <c r="S100" s="6">
        <f>HYPERLINK("http://www.eum.go.kr/web/ar/lu/luLandDet.jsp?pnu=4311331027103510000&amp;isNoScr=script&amp;mode=search", "토지이음")</f>
        <v/>
      </c>
      <c r="T100" s="3" t="inlineStr">
        <is>
          <t>나는</t>
        </is>
      </c>
      <c r="U100" s="4" t="n">
        <v>1</v>
      </c>
      <c r="V100" s="5" t="n">
        <v>40.8</v>
      </c>
      <c r="W100" s="4" t="n">
        <v>704</v>
      </c>
      <c r="X100" s="3" t="inlineStr">
        <is>
          <t>미표기</t>
        </is>
      </c>
      <c r="Y100" s="7" t="inlineStr">
        <is>
          <t>1층</t>
        </is>
      </c>
      <c r="Z100" s="3" t="inlineStr">
        <is>
          <t>일반철골구조</t>
        </is>
      </c>
      <c r="AA100" s="3" t="inlineStr">
        <is>
          <t>공장</t>
        </is>
      </c>
      <c r="AB100" s="3" t="inlineStr">
        <is>
          <t>11.2m</t>
        </is>
      </c>
      <c r="AC100" s="3" t="inlineStr">
        <is>
          <t>2021-09</t>
        </is>
      </c>
      <c r="AD100" s="3" t="inlineStr">
        <is>
          <t>세로한면(불)</t>
        </is>
      </c>
    </row>
    <row r="101">
      <c r="A101" s="3" t="inlineStr">
        <is>
          <t>강내면 태성리 351</t>
        </is>
      </c>
      <c r="B101" s="3" t="inlineStr">
        <is>
          <t>계획관리지역</t>
        </is>
      </c>
      <c r="C101" s="3" t="inlineStr">
        <is>
          <t>공장용지</t>
        </is>
      </c>
      <c r="D101" s="3" t="inlineStr">
        <is>
          <t>공장</t>
        </is>
      </c>
      <c r="E101" s="3" t="inlineStr">
        <is>
          <t>월세</t>
        </is>
      </c>
      <c r="F101" s="4" t="n">
        <v>9000</v>
      </c>
      <c r="G101" s="4" t="n">
        <v>850</v>
      </c>
      <c r="H101" s="4" t="n">
        <v>3500</v>
      </c>
      <c r="I101" s="4" t="n">
        <v>1059</v>
      </c>
      <c r="J101" s="5" t="n">
        <v>0.8</v>
      </c>
      <c r="K101" s="4" t="n">
        <v>1392</v>
      </c>
      <c r="L101" s="4" t="n">
        <v>421</v>
      </c>
      <c r="M101" s="5" t="n">
        <v>2</v>
      </c>
      <c r="N101" s="3" t="inlineStr">
        <is>
          <t>1</t>
        </is>
      </c>
      <c r="O101" s="3" t="inlineStr">
        <is>
          <t>-</t>
        </is>
      </c>
      <c r="P101" s="3" t="inlineStr">
        <is>
          <t>대형차량 진출입 편리, 청주ic 13분</t>
        </is>
      </c>
      <c r="Q101" s="6">
        <f>HYPERLINK("https://fin.land.naver.com/articles/2652690596", "매물Link")</f>
        <v/>
      </c>
      <c r="R101" s="6">
        <f>HYPERLINK("https://map.naver.com/p/search/강내면 태성리 351", "지도Link")</f>
        <v/>
      </c>
      <c r="S101" s="6">
        <f>HYPERLINK("http://www.eum.go.kr/web/ar/lu/luLandDet.jsp?pnu=4311331027103510000&amp;isNoScr=script&amp;mode=search", "토지이음")</f>
        <v/>
      </c>
      <c r="T101" s="3" t="inlineStr">
        <is>
          <t>나는</t>
        </is>
      </c>
      <c r="U101" s="4" t="n">
        <v>2</v>
      </c>
      <c r="V101" s="5" t="n">
        <v>40.8</v>
      </c>
      <c r="W101" s="4" t="n">
        <v>704</v>
      </c>
      <c r="X101" s="3" t="inlineStr">
        <is>
          <t>미표기</t>
        </is>
      </c>
      <c r="Y101" s="7" t="inlineStr">
        <is>
          <t>1층</t>
        </is>
      </c>
      <c r="Z101" s="3" t="inlineStr">
        <is>
          <t>일반철골구조</t>
        </is>
      </c>
      <c r="AA101" s="3" t="inlineStr">
        <is>
          <t>공장</t>
        </is>
      </c>
      <c r="AB101" s="3" t="inlineStr">
        <is>
          <t>11.2m</t>
        </is>
      </c>
      <c r="AC101" s="3" t="inlineStr">
        <is>
          <t>2021-09</t>
        </is>
      </c>
      <c r="AD101" s="3" t="inlineStr">
        <is>
          <t>세로한면(불)</t>
        </is>
      </c>
    </row>
    <row r="102">
      <c r="A102" s="3" t="inlineStr">
        <is>
          <t>강내면 태성리 351</t>
        </is>
      </c>
      <c r="B102" s="3" t="inlineStr">
        <is>
          <t>계획관리지역</t>
        </is>
      </c>
      <c r="C102" s="3" t="inlineStr">
        <is>
          <t>공장용지</t>
        </is>
      </c>
      <c r="D102" s="3" t="inlineStr">
        <is>
          <t>공장</t>
        </is>
      </c>
      <c r="E102" s="3" t="inlineStr">
        <is>
          <t>월세</t>
        </is>
      </c>
      <c r="F102" s="4" t="n">
        <v>9000</v>
      </c>
      <c r="G102" s="4" t="n">
        <v>850</v>
      </c>
      <c r="H102" s="4" t="n">
        <v>3500</v>
      </c>
      <c r="I102" s="4" t="n">
        <v>1059</v>
      </c>
      <c r="J102" s="5" t="n">
        <v>0.8</v>
      </c>
      <c r="K102" s="4" t="n">
        <v>1392</v>
      </c>
      <c r="L102" s="4" t="n">
        <v>421</v>
      </c>
      <c r="M102" s="5" t="n">
        <v>2</v>
      </c>
      <c r="N102" s="3" t="inlineStr">
        <is>
          <t>1</t>
        </is>
      </c>
      <c r="O102" s="3" t="inlineStr">
        <is>
          <t>-</t>
        </is>
      </c>
      <c r="P102" s="3" t="inlineStr">
        <is>
          <t>nan</t>
        </is>
      </c>
      <c r="Q102" s="6">
        <f>HYPERLINK("https://fin.land.naver.com/articles/2654519146", "매물Link")</f>
        <v/>
      </c>
      <c r="R102" s="6">
        <f>HYPERLINK("https://map.naver.com/p/search/강내면 태성리 351", "지도Link")</f>
        <v/>
      </c>
      <c r="S102" s="6">
        <f>HYPERLINK("http://www.eum.go.kr/web/ar/lu/luLandDet.jsp?pnu=4311331027103510000&amp;isNoScr=script&amp;mode=search", "토지이음")</f>
        <v/>
      </c>
      <c r="T102" s="3" t="inlineStr">
        <is>
          <t>태성</t>
        </is>
      </c>
      <c r="U102" s="4" t="n">
        <v>1</v>
      </c>
      <c r="V102" s="5" t="n">
        <v>40.8</v>
      </c>
      <c r="W102" s="4" t="n">
        <v>704</v>
      </c>
      <c r="X102" s="3" t="inlineStr">
        <is>
          <t>미표기</t>
        </is>
      </c>
      <c r="Y102" s="7" t="inlineStr">
        <is>
          <t>1층</t>
        </is>
      </c>
      <c r="Z102" s="3" t="inlineStr">
        <is>
          <t>일반철골구조</t>
        </is>
      </c>
      <c r="AA102" s="3" t="inlineStr">
        <is>
          <t>공장</t>
        </is>
      </c>
      <c r="AB102" s="3" t="inlineStr">
        <is>
          <t>11.2m</t>
        </is>
      </c>
      <c r="AC102" s="3" t="inlineStr">
        <is>
          <t>2021-09</t>
        </is>
      </c>
      <c r="AD102" s="3" t="inlineStr">
        <is>
          <t>세로한면(불)</t>
        </is>
      </c>
    </row>
    <row r="103">
      <c r="A103" s="3" t="inlineStr">
        <is>
          <t>강내면 태성리 351</t>
        </is>
      </c>
      <c r="B103" s="3" t="inlineStr">
        <is>
          <t>계획관리지역</t>
        </is>
      </c>
      <c r="C103" s="3" t="inlineStr">
        <is>
          <t>공장용지</t>
        </is>
      </c>
      <c r="D103" s="3" t="inlineStr">
        <is>
          <t>공장</t>
        </is>
      </c>
      <c r="E103" s="3" t="inlineStr">
        <is>
          <t>월세</t>
        </is>
      </c>
      <c r="F103" s="4" t="n">
        <v>4500</v>
      </c>
      <c r="G103" s="4" t="n">
        <v>410</v>
      </c>
      <c r="H103" s="4" t="n">
        <v>3500</v>
      </c>
      <c r="I103" s="4" t="n">
        <v>1059</v>
      </c>
      <c r="J103" s="5" t="n">
        <v>0.4</v>
      </c>
      <c r="K103" s="4" t="n">
        <v>671</v>
      </c>
      <c r="L103" s="4" t="n">
        <v>203</v>
      </c>
      <c r="M103" s="5" t="n">
        <v>2</v>
      </c>
      <c r="N103" s="3" t="inlineStr">
        <is>
          <t>1</t>
        </is>
      </c>
      <c r="O103" s="3" t="inlineStr">
        <is>
          <t>-</t>
        </is>
      </c>
      <c r="P103" s="3" t="inlineStr">
        <is>
          <t>nan</t>
        </is>
      </c>
      <c r="Q103" s="6">
        <f>HYPERLINK("https://fin.land.naver.com/articles/2651673508", "매물Link")</f>
        <v/>
      </c>
      <c r="R103" s="6">
        <f>HYPERLINK("https://map.naver.com/p/search/강내면 태성리 351", "지도Link")</f>
        <v/>
      </c>
      <c r="S103" s="6">
        <f>HYPERLINK("http://www.eum.go.kr/web/ar/lu/luLandDet.jsp?pnu=4311331027103510000&amp;isNoScr=script&amp;mode=search", "토지이음")</f>
        <v/>
      </c>
      <c r="T103" s="3" t="inlineStr">
        <is>
          <t>더원</t>
        </is>
      </c>
      <c r="U103" s="4" t="n">
        <v>1</v>
      </c>
      <c r="V103" s="5" t="n">
        <v>40.8</v>
      </c>
      <c r="W103" s="4" t="n">
        <v>704</v>
      </c>
      <c r="X103" s="3" t="inlineStr">
        <is>
          <t>미표기</t>
        </is>
      </c>
      <c r="Y103" s="7" t="inlineStr">
        <is>
          <t>1층</t>
        </is>
      </c>
      <c r="Z103" s="3" t="inlineStr">
        <is>
          <t>일반철골구조</t>
        </is>
      </c>
      <c r="AA103" s="3" t="inlineStr">
        <is>
          <t>공장</t>
        </is>
      </c>
      <c r="AB103" s="3" t="inlineStr">
        <is>
          <t>11.2m</t>
        </is>
      </c>
      <c r="AC103" s="3" t="inlineStr">
        <is>
          <t>2021-09</t>
        </is>
      </c>
      <c r="AD103" s="3" t="inlineStr">
        <is>
          <t>세로한면(불)</t>
        </is>
      </c>
    </row>
    <row r="104">
      <c r="A104" s="3" t="inlineStr">
        <is>
          <t>강내면 태성리 351</t>
        </is>
      </c>
      <c r="B104" s="3" t="inlineStr">
        <is>
          <t>계획관리지역</t>
        </is>
      </c>
      <c r="C104" s="3" t="inlineStr">
        <is>
          <t>공장용지</t>
        </is>
      </c>
      <c r="D104" s="3" t="inlineStr">
        <is>
          <t>공장</t>
        </is>
      </c>
      <c r="E104" s="3" t="inlineStr">
        <is>
          <t>월세</t>
        </is>
      </c>
      <c r="F104" s="4" t="n">
        <v>4500</v>
      </c>
      <c r="G104" s="4" t="n">
        <v>440</v>
      </c>
      <c r="H104" s="4" t="n">
        <v>3500</v>
      </c>
      <c r="I104" s="4" t="n">
        <v>1059</v>
      </c>
      <c r="J104" s="5" t="n">
        <v>0.4</v>
      </c>
      <c r="K104" s="4" t="n">
        <v>720</v>
      </c>
      <c r="L104" s="4" t="n">
        <v>218</v>
      </c>
      <c r="M104" s="5" t="n">
        <v>2</v>
      </c>
      <c r="N104" s="3" t="inlineStr">
        <is>
          <t>1</t>
        </is>
      </c>
      <c r="O104" s="3" t="inlineStr">
        <is>
          <t>-</t>
        </is>
      </c>
      <c r="P104" s="3" t="inlineStr">
        <is>
          <t>오송세종청주를 잇는 최적의 산업 입지와 접근성을 모두 갖춘 위치</t>
        </is>
      </c>
      <c r="Q104" s="6">
        <f>HYPERLINK("https://fin.land.naver.com/articles/2653371456", "매물Link")</f>
        <v/>
      </c>
      <c r="R104" s="6">
        <f>HYPERLINK("https://map.naver.com/p/search/강내면 태성리 351", "지도Link")</f>
        <v/>
      </c>
      <c r="S104" s="6">
        <f>HYPERLINK("http://www.eum.go.kr/web/ar/lu/luLandDet.jsp?pnu=4311331027103510000&amp;isNoScr=script&amp;mode=search", "토지이음")</f>
        <v/>
      </c>
      <c r="T104" s="3" t="inlineStr">
        <is>
          <t>태성</t>
        </is>
      </c>
      <c r="U104" s="4" t="n">
        <v>1</v>
      </c>
      <c r="V104" s="5" t="n">
        <v>40.8</v>
      </c>
      <c r="W104" s="4" t="n">
        <v>704</v>
      </c>
      <c r="X104" s="3" t="inlineStr">
        <is>
          <t>미표기</t>
        </is>
      </c>
      <c r="Y104" s="7" t="inlineStr">
        <is>
          <t>1층</t>
        </is>
      </c>
      <c r="Z104" s="3" t="inlineStr">
        <is>
          <t>일반철골구조</t>
        </is>
      </c>
      <c r="AA104" s="3" t="inlineStr">
        <is>
          <t>공장</t>
        </is>
      </c>
      <c r="AB104" s="3" t="inlineStr">
        <is>
          <t>11.2m</t>
        </is>
      </c>
      <c r="AC104" s="3" t="inlineStr">
        <is>
          <t>2021-09</t>
        </is>
      </c>
      <c r="AD104" s="3" t="inlineStr">
        <is>
          <t>세로한면(불)</t>
        </is>
      </c>
    </row>
    <row r="105">
      <c r="A105" s="3" t="inlineStr">
        <is>
          <t>강내면 태성리 351</t>
        </is>
      </c>
      <c r="B105" s="3" t="inlineStr">
        <is>
          <t>계획관리지역</t>
        </is>
      </c>
      <c r="C105" s="3" t="inlineStr">
        <is>
          <t>공장용지</t>
        </is>
      </c>
      <c r="D105" s="3" t="inlineStr">
        <is>
          <t>공장</t>
        </is>
      </c>
      <c r="E105" s="3" t="inlineStr">
        <is>
          <t>월세</t>
        </is>
      </c>
      <c r="F105" s="4" t="n">
        <v>9000</v>
      </c>
      <c r="G105" s="4" t="n">
        <v>850</v>
      </c>
      <c r="H105" s="4" t="n">
        <v>3500</v>
      </c>
      <c r="I105" s="4" t="n">
        <v>1059</v>
      </c>
      <c r="J105" s="5" t="n">
        <v>0.8</v>
      </c>
      <c r="K105" s="4" t="n">
        <v>1392</v>
      </c>
      <c r="L105" s="4" t="n">
        <v>421</v>
      </c>
      <c r="M105" s="5" t="n">
        <v>2</v>
      </c>
      <c r="N105" s="3" t="inlineStr">
        <is>
          <t>1</t>
        </is>
      </c>
      <c r="O105" s="3" t="inlineStr">
        <is>
          <t>-</t>
        </is>
      </c>
      <c r="P105" s="3" t="inlineStr">
        <is>
          <t>임대료 너무 좋은 대형평수 넓은 마당확보</t>
        </is>
      </c>
      <c r="Q105" s="6">
        <f>HYPERLINK("https://fin.land.naver.com/articles/2652787152", "매물Link")</f>
        <v/>
      </c>
      <c r="R105" s="6">
        <f>HYPERLINK("https://map.naver.com/p/search/강내면 태성리 351", "지도Link")</f>
        <v/>
      </c>
      <c r="S105" s="6">
        <f>HYPERLINK("http://www.eum.go.kr/web/ar/lu/luLandDet.jsp?pnu=4311331027103510000&amp;isNoScr=script&amp;mode=search", "토지이음")</f>
        <v/>
      </c>
      <c r="T105" s="3" t="inlineStr">
        <is>
          <t>태광</t>
        </is>
      </c>
      <c r="U105" s="4" t="n">
        <v>1</v>
      </c>
      <c r="V105" s="5" t="n">
        <v>40.8</v>
      </c>
      <c r="W105" s="4" t="n">
        <v>704</v>
      </c>
      <c r="X105" s="3" t="inlineStr">
        <is>
          <t>미표기</t>
        </is>
      </c>
      <c r="Y105" s="7" t="inlineStr">
        <is>
          <t>1층</t>
        </is>
      </c>
      <c r="Z105" s="3" t="inlineStr">
        <is>
          <t>일반철골구조</t>
        </is>
      </c>
      <c r="AA105" s="3" t="inlineStr">
        <is>
          <t>공장</t>
        </is>
      </c>
      <c r="AB105" s="3" t="inlineStr">
        <is>
          <t>11.2m</t>
        </is>
      </c>
      <c r="AC105" s="3" t="inlineStr">
        <is>
          <t>2021-09</t>
        </is>
      </c>
      <c r="AD105" s="3" t="inlineStr">
        <is>
          <t>세로한면(불)</t>
        </is>
      </c>
    </row>
    <row r="106">
      <c r="A106" s="3" t="inlineStr">
        <is>
          <t>강내면 태성리 351</t>
        </is>
      </c>
      <c r="B106" s="3" t="inlineStr">
        <is>
          <t>계획관리지역</t>
        </is>
      </c>
      <c r="C106" s="3" t="inlineStr">
        <is>
          <t>공장용지</t>
        </is>
      </c>
      <c r="D106" s="3" t="inlineStr">
        <is>
          <t>공장</t>
        </is>
      </c>
      <c r="E106" s="3" t="inlineStr">
        <is>
          <t>월세</t>
        </is>
      </c>
      <c r="F106" s="4" t="n">
        <v>4500</v>
      </c>
      <c r="G106" s="4" t="n">
        <v>440</v>
      </c>
      <c r="H106" s="4" t="n">
        <v>3500</v>
      </c>
      <c r="I106" s="4" t="n">
        <v>1059</v>
      </c>
      <c r="J106" s="5" t="n">
        <v>0.4</v>
      </c>
      <c r="K106" s="4" t="n">
        <v>720</v>
      </c>
      <c r="L106" s="4" t="n">
        <v>218</v>
      </c>
      <c r="M106" s="5" t="n">
        <v>2</v>
      </c>
      <c r="N106" s="3" t="inlineStr">
        <is>
          <t>1</t>
        </is>
      </c>
      <c r="O106" s="3" t="inlineStr">
        <is>
          <t>-</t>
        </is>
      </c>
      <c r="P106" s="3" t="inlineStr">
        <is>
          <t>청주 ic 12분 대형차 진출입, 물류이동 공장,물류창고가능</t>
        </is>
      </c>
      <c r="Q106" s="6">
        <f>HYPERLINK("https://fin.land.naver.com/articles/2651673688", "매물Link")</f>
        <v/>
      </c>
      <c r="R106" s="6">
        <f>HYPERLINK("https://map.naver.com/p/search/강내면 태성리 351", "지도Link")</f>
        <v/>
      </c>
      <c r="S106" s="6">
        <f>HYPERLINK("http://www.eum.go.kr/web/ar/lu/luLandDet.jsp?pnu=4311331027103510000&amp;isNoScr=script&amp;mode=search", "토지이음")</f>
        <v/>
      </c>
      <c r="T106" s="3" t="inlineStr">
        <is>
          <t>더원</t>
        </is>
      </c>
      <c r="U106" s="4" t="n">
        <v>1</v>
      </c>
      <c r="V106" s="5" t="n">
        <v>40.8</v>
      </c>
      <c r="W106" s="4" t="n">
        <v>704</v>
      </c>
      <c r="X106" s="3" t="inlineStr">
        <is>
          <t>미표기</t>
        </is>
      </c>
      <c r="Y106" s="7" t="inlineStr">
        <is>
          <t>1층</t>
        </is>
      </c>
      <c r="Z106" s="3" t="inlineStr">
        <is>
          <t>일반철골구조</t>
        </is>
      </c>
      <c r="AA106" s="3" t="inlineStr">
        <is>
          <t>공장</t>
        </is>
      </c>
      <c r="AB106" s="3" t="inlineStr">
        <is>
          <t>11.2m</t>
        </is>
      </c>
      <c r="AC106" s="3" t="inlineStr">
        <is>
          <t>2021-09</t>
        </is>
      </c>
      <c r="AD106" s="3" t="inlineStr">
        <is>
          <t>세로한면(불)</t>
        </is>
      </c>
    </row>
    <row r="107">
      <c r="A107" s="3" t="inlineStr">
        <is>
          <t>강내면 태성리 392</t>
        </is>
      </c>
      <c r="B107" s="3" t="inlineStr">
        <is>
          <t>계획관리지역</t>
        </is>
      </c>
      <c r="C107" s="3" t="inlineStr">
        <is>
          <t>공장용지</t>
        </is>
      </c>
      <c r="D107" s="3" t="inlineStr">
        <is>
          <t>창고</t>
        </is>
      </c>
      <c r="E107" s="3" t="inlineStr">
        <is>
          <t>월세</t>
        </is>
      </c>
      <c r="F107" s="4" t="n">
        <v>2000</v>
      </c>
      <c r="G107" s="4" t="n">
        <v>130</v>
      </c>
      <c r="H107" s="4" t="n">
        <v>1434</v>
      </c>
      <c r="I107" s="4" t="n">
        <v>434</v>
      </c>
      <c r="J107" s="5" t="n">
        <v>0.3</v>
      </c>
      <c r="K107" s="4" t="n">
        <v>192</v>
      </c>
      <c r="L107" s="4" t="n">
        <v>58</v>
      </c>
      <c r="M107" s="5" t="n">
        <v>2.2</v>
      </c>
      <c r="N107" s="3" t="inlineStr">
        <is>
          <t>1</t>
        </is>
      </c>
      <c r="O107" s="3" t="inlineStr">
        <is>
          <t>-</t>
        </is>
      </c>
      <c r="P107" s="3" t="inlineStr">
        <is>
          <t>2차선 도로에 접해 접근성 용이, 창고 및 소형근생용도추천</t>
        </is>
      </c>
      <c r="Q107" s="6">
        <f>HYPERLINK("https://fin.land.naver.com/articles/2652902132", "매물Link")</f>
        <v/>
      </c>
      <c r="R107" s="6">
        <f>HYPERLINK("https://map.naver.com/p/search/강내면 태성리 392", "지도Link")</f>
        <v/>
      </c>
      <c r="S107" s="6">
        <f>HYPERLINK("http://www.eum.go.kr/web/ar/lu/luLandDet.jsp?pnu=4311331027103920000&amp;isNoScr=script&amp;mode=search", "토지이음")</f>
        <v/>
      </c>
      <c r="T107" s="3" t="inlineStr">
        <is>
          <t>창고의여왕</t>
        </is>
      </c>
      <c r="U107" s="4" t="n">
        <v>2</v>
      </c>
      <c r="V107" s="5" t="n">
        <v>61.1</v>
      </c>
      <c r="W107" s="4" t="n">
        <v>1434</v>
      </c>
      <c r="X107" s="3" t="inlineStr">
        <is>
          <t>주건축물제2동</t>
        </is>
      </c>
      <c r="Y107" s="7" t="inlineStr">
        <is>
          <t>1층</t>
        </is>
      </c>
      <c r="Z107" s="3" t="inlineStr">
        <is>
          <t>일반철골구조</t>
        </is>
      </c>
      <c r="AA107" s="3" t="inlineStr">
        <is>
          <t>제2종근생</t>
        </is>
      </c>
      <c r="AB107" s="3" t="inlineStr">
        <is>
          <t>8.87m</t>
        </is>
      </c>
      <c r="AC107" s="3" t="inlineStr">
        <is>
          <t>2021-07</t>
        </is>
      </c>
      <c r="AD107" s="3" t="inlineStr">
        <is>
          <t>소로한면</t>
        </is>
      </c>
    </row>
    <row r="108">
      <c r="A108" s="3" t="inlineStr">
        <is>
          <t>강내면 태성리 46-1</t>
        </is>
      </c>
      <c r="B108" s="3" t="inlineStr">
        <is>
          <t>계획관리지역</t>
        </is>
      </c>
      <c r="C108" s="3" t="inlineStr">
        <is>
          <t>공장용지</t>
        </is>
      </c>
      <c r="D108" s="3" t="inlineStr">
        <is>
          <t>공장</t>
        </is>
      </c>
      <c r="E108" s="3" t="inlineStr">
        <is>
          <t>매매</t>
        </is>
      </c>
      <c r="F108" s="4" t="n">
        <v>350000</v>
      </c>
      <c r="G108" s="4" t="n">
        <v>0</v>
      </c>
      <c r="H108" s="4" t="n">
        <v>5837</v>
      </c>
      <c r="I108" s="4" t="n">
        <v>1766</v>
      </c>
      <c r="J108" s="5" t="n">
        <v>198.2</v>
      </c>
      <c r="K108" s="4" t="n">
        <v>2682</v>
      </c>
      <c r="L108" s="4" t="n">
        <v>811</v>
      </c>
      <c r="M108" s="5" t="n">
        <v>431.6</v>
      </c>
      <c r="N108" s="3" t="inlineStr">
        <is>
          <t>2</t>
        </is>
      </c>
      <c r="O108" s="3" t="inlineStr">
        <is>
          <t>-</t>
        </is>
      </c>
      <c r="P108" s="3" t="inlineStr">
        <is>
          <t>청주하이테크밸리산업단지 바로 옆 층고높은 신축공장,대형차 진출입 용이</t>
        </is>
      </c>
      <c r="Q108" s="6">
        <f>HYPERLINK("https://fin.land.naver.com/articles/2652114572", "매물Link")</f>
        <v/>
      </c>
      <c r="R108" s="6">
        <f>HYPERLINK("https://map.naver.com/p/search/강내면 태성리 46-1", "지도Link")</f>
        <v/>
      </c>
      <c r="S108" s="6">
        <f>HYPERLINK("http://www.eum.go.kr/web/ar/lu/luLandDet.jsp?pnu=4311331027100460001&amp;isNoScr=script&amp;mode=search", "토지이음")</f>
        <v/>
      </c>
      <c r="T108" s="3" t="inlineStr">
        <is>
          <t>(주)미르</t>
        </is>
      </c>
      <c r="U108" s="4" t="n">
        <v>1</v>
      </c>
      <c r="V108" s="5" t="n">
        <v>48.7</v>
      </c>
      <c r="W108" s="4" t="n">
        <v>5837</v>
      </c>
      <c r="X108" s="3" t="inlineStr">
        <is>
          <t>주건축물 제2동</t>
        </is>
      </c>
      <c r="Y108" s="7" t="inlineStr">
        <is>
          <t>1층</t>
        </is>
      </c>
      <c r="Z108" s="3" t="inlineStr">
        <is>
          <t>일반철골구조</t>
        </is>
      </c>
      <c r="AA108" s="3" t="inlineStr">
        <is>
          <t>공장</t>
        </is>
      </c>
      <c r="AB108" s="3" t="inlineStr">
        <is>
          <t>10.15m</t>
        </is>
      </c>
      <c r="AC108" s="3" t="inlineStr">
        <is>
          <t>2020-11</t>
        </is>
      </c>
      <c r="AD108" s="3" t="inlineStr">
        <is>
          <t>세로한면(가)</t>
        </is>
      </c>
    </row>
    <row r="109">
      <c r="A109" s="3" t="inlineStr">
        <is>
          <t>강내면 태성리 46-1</t>
        </is>
      </c>
      <c r="B109" s="3" t="inlineStr">
        <is>
          <t>계획관리지역</t>
        </is>
      </c>
      <c r="C109" s="3" t="inlineStr">
        <is>
          <t>공장용지</t>
        </is>
      </c>
      <c r="D109" s="3" t="inlineStr">
        <is>
          <t>공장</t>
        </is>
      </c>
      <c r="E109" s="3" t="inlineStr">
        <is>
          <t>매매</t>
        </is>
      </c>
      <c r="F109" s="4" t="n">
        <v>350000</v>
      </c>
      <c r="G109" s="4" t="n">
        <v>0</v>
      </c>
      <c r="H109" s="4" t="n">
        <v>5837</v>
      </c>
      <c r="I109" s="4" t="n">
        <v>1766</v>
      </c>
      <c r="J109" s="5" t="n">
        <v>198.2</v>
      </c>
      <c r="K109" s="4" t="n">
        <v>2082</v>
      </c>
      <c r="L109" s="4" t="n">
        <v>630</v>
      </c>
      <c r="M109" s="5" t="n">
        <v>555.6</v>
      </c>
      <c r="N109" s="3" t="inlineStr">
        <is>
          <t>1</t>
        </is>
      </c>
      <c r="O109" s="3" t="inlineStr">
        <is>
          <t>-</t>
        </is>
      </c>
      <c r="P109" s="3" t="inlineStr">
        <is>
          <t>강내 하이테크밸리산업단지 인근 신축급공장매매 층고높음</t>
        </is>
      </c>
      <c r="Q109" s="6">
        <f>HYPERLINK("https://fin.land.naver.com/articles/2652625238", "매물Link")</f>
        <v/>
      </c>
      <c r="R109" s="6">
        <f>HYPERLINK("https://map.naver.com/p/search/강내면 태성리 46-1", "지도Link")</f>
        <v/>
      </c>
      <c r="S109" s="6">
        <f>HYPERLINK("http://www.eum.go.kr/web/ar/lu/luLandDet.jsp?pnu=4311331027100460001&amp;isNoScr=script&amp;mode=search", "토지이음")</f>
        <v/>
      </c>
      <c r="T109" s="3" t="inlineStr">
        <is>
          <t>더원</t>
        </is>
      </c>
      <c r="U109" s="4" t="n">
        <v>1</v>
      </c>
      <c r="V109" s="5" t="n">
        <v>48.7</v>
      </c>
      <c r="W109" s="4" t="n">
        <v>5837</v>
      </c>
      <c r="X109" s="3" t="inlineStr">
        <is>
          <t>주건축물 제2동</t>
        </is>
      </c>
      <c r="Y109" s="7" t="inlineStr">
        <is>
          <t>1층</t>
        </is>
      </c>
      <c r="Z109" s="3" t="inlineStr">
        <is>
          <t>일반철골구조</t>
        </is>
      </c>
      <c r="AA109" s="3" t="inlineStr">
        <is>
          <t>공장</t>
        </is>
      </c>
      <c r="AB109" s="3" t="inlineStr">
        <is>
          <t>10.15m</t>
        </is>
      </c>
      <c r="AC109" s="3" t="inlineStr">
        <is>
          <t>2020-11</t>
        </is>
      </c>
      <c r="AD109" s="3" t="inlineStr">
        <is>
          <t>세로한면(가)</t>
        </is>
      </c>
    </row>
    <row r="110">
      <c r="A110" s="3" t="inlineStr">
        <is>
          <t>강내면 태성리 46-1</t>
        </is>
      </c>
      <c r="B110" s="3" t="inlineStr">
        <is>
          <t>계획관리지역</t>
        </is>
      </c>
      <c r="C110" s="3" t="inlineStr">
        <is>
          <t>공장용지</t>
        </is>
      </c>
      <c r="D110" s="3" t="inlineStr">
        <is>
          <t>공장</t>
        </is>
      </c>
      <c r="E110" s="3" t="inlineStr">
        <is>
          <t>매매</t>
        </is>
      </c>
      <c r="F110" s="4" t="n">
        <v>350000</v>
      </c>
      <c r="G110" s="4" t="n">
        <v>0</v>
      </c>
      <c r="H110" s="4" t="n">
        <v>5837</v>
      </c>
      <c r="I110" s="4" t="n">
        <v>1766</v>
      </c>
      <c r="J110" s="5" t="n">
        <v>198.2</v>
      </c>
      <c r="K110" s="4" t="n">
        <v>2082</v>
      </c>
      <c r="L110" s="4" t="n">
        <v>630</v>
      </c>
      <c r="M110" s="5" t="n">
        <v>555.6</v>
      </c>
      <c r="N110" s="3" t="inlineStr">
        <is>
          <t>2</t>
        </is>
      </c>
      <c r="O110" s="3" t="inlineStr">
        <is>
          <t>-</t>
        </is>
      </c>
      <c r="P110" s="3" t="inlineStr">
        <is>
          <t>태성리 공장 매매 3개동 매매</t>
        </is>
      </c>
      <c r="Q110" s="6">
        <f>HYPERLINK("https://fin.land.naver.com/articles/2651352884", "매물Link")</f>
        <v/>
      </c>
      <c r="R110" s="6">
        <f>HYPERLINK("https://map.naver.com/p/search/강내면 태성리 46-1", "지도Link")</f>
        <v/>
      </c>
      <c r="S110" s="6">
        <f>HYPERLINK("http://www.eum.go.kr/web/ar/lu/luLandDet.jsp?pnu=4311331027100460001&amp;isNoScr=script&amp;mode=search", "토지이음")</f>
        <v/>
      </c>
      <c r="T110" s="3" t="inlineStr">
        <is>
          <t>금호사랑</t>
        </is>
      </c>
      <c r="U110" s="4" t="n">
        <v>1</v>
      </c>
      <c r="V110" s="5" t="n">
        <v>48.7</v>
      </c>
      <c r="W110" s="4" t="n">
        <v>5837</v>
      </c>
      <c r="X110" s="3" t="inlineStr">
        <is>
          <t>주건축물 제2동</t>
        </is>
      </c>
      <c r="Y110" s="7" t="inlineStr">
        <is>
          <t>1층</t>
        </is>
      </c>
      <c r="Z110" s="3" t="inlineStr">
        <is>
          <t>일반철골구조</t>
        </is>
      </c>
      <c r="AA110" s="3" t="inlineStr">
        <is>
          <t>공장</t>
        </is>
      </c>
      <c r="AB110" s="3" t="inlineStr">
        <is>
          <t>10.15m</t>
        </is>
      </c>
      <c r="AC110" s="3" t="inlineStr">
        <is>
          <t>2020-11</t>
        </is>
      </c>
      <c r="AD110" s="3" t="inlineStr">
        <is>
          <t>세로한면(가)</t>
        </is>
      </c>
    </row>
    <row r="111">
      <c r="A111" s="3" t="inlineStr">
        <is>
          <t>강내면 학천리 225-11</t>
        </is>
      </c>
      <c r="B111" s="3" t="inlineStr">
        <is>
          <t>자연녹지지역</t>
        </is>
      </c>
      <c r="C111" s="3" t="inlineStr">
        <is>
          <t>대</t>
        </is>
      </c>
      <c r="D111" s="3" t="inlineStr">
        <is>
          <t>기타</t>
        </is>
      </c>
      <c r="E111" s="3" t="inlineStr">
        <is>
          <t>매매</t>
        </is>
      </c>
      <c r="F111" s="4" t="n">
        <v>49000</v>
      </c>
      <c r="G111" s="4" t="n">
        <v>0</v>
      </c>
      <c r="H111" s="4" t="n">
        <v>440</v>
      </c>
      <c r="I111" s="4" t="n">
        <v>133</v>
      </c>
      <c r="J111" s="5" t="n">
        <v>368.4</v>
      </c>
      <c r="K111" s="4" t="n">
        <v>256</v>
      </c>
      <c r="L111" s="4" t="n">
        <v>77</v>
      </c>
      <c r="M111" s="5" t="n">
        <v>636.4</v>
      </c>
      <c r="N111" s="3" t="inlineStr">
        <is>
          <t>1</t>
        </is>
      </c>
      <c r="O111" s="3" t="inlineStr">
        <is>
          <t>-</t>
        </is>
      </c>
      <c r="P111" s="3" t="inlineStr">
        <is>
          <t>상가 창고 근린생활시설 IC 가깝고 진출입 용이함</t>
        </is>
      </c>
      <c r="Q111" s="6">
        <f>HYPERLINK("https://fin.land.naver.com/articles/2653611498", "매물Link")</f>
        <v/>
      </c>
      <c r="R111" s="6">
        <f>HYPERLINK("https://map.naver.com/p/search/강내면 학천리 225-11", "지도Link")</f>
        <v/>
      </c>
      <c r="S111" s="6">
        <f>HYPERLINK("http://www.eum.go.kr/web/ar/lu/luLandDet.jsp?pnu=4311331035102250011&amp;isNoScr=script&amp;mode=search", "토지이음")</f>
        <v/>
      </c>
      <c r="T111" s="3" t="inlineStr">
        <is>
          <t>반석</t>
        </is>
      </c>
      <c r="U111" s="4" t="n">
        <v>1</v>
      </c>
      <c r="V111" s="5" t="n">
        <v>86.7</v>
      </c>
      <c r="W111" s="4" t="n">
        <v>440</v>
      </c>
      <c r="X111" s="3" t="inlineStr">
        <is>
          <t>미표기</t>
        </is>
      </c>
      <c r="Y111" s="7" t="inlineStr">
        <is>
          <t>1층</t>
        </is>
      </c>
      <c r="Z111" s="3" t="inlineStr">
        <is>
          <t>일반철골구조</t>
        </is>
      </c>
      <c r="AA111" s="3" t="inlineStr">
        <is>
          <t>제1종근생</t>
        </is>
      </c>
      <c r="AB111" s="3" t="inlineStr">
        <is>
          <t>7.8m</t>
        </is>
      </c>
      <c r="AC111" s="3" t="inlineStr">
        <is>
          <t>2013-09</t>
        </is>
      </c>
      <c r="AD111" s="3" t="inlineStr">
        <is>
          <t>소로한면</t>
        </is>
      </c>
    </row>
    <row r="112">
      <c r="A112" s="3" t="inlineStr">
        <is>
          <t>강내면 황탄리 154</t>
        </is>
      </c>
      <c r="B112" s="3" t="inlineStr">
        <is>
          <t>계획관리지역</t>
        </is>
      </c>
      <c r="C112" s="3" t="inlineStr">
        <is>
          <t>공장용지</t>
        </is>
      </c>
      <c r="D112" s="3" t="inlineStr">
        <is>
          <t>공장</t>
        </is>
      </c>
      <c r="E112" s="3" t="inlineStr">
        <is>
          <t>매매</t>
        </is>
      </c>
      <c r="F112" s="4" t="n">
        <v>220000</v>
      </c>
      <c r="G112" s="4" t="n">
        <v>0</v>
      </c>
      <c r="H112" s="4" t="n">
        <v>2136</v>
      </c>
      <c r="I112" s="4" t="n">
        <v>646</v>
      </c>
      <c r="J112" s="5" t="n">
        <v>340.6</v>
      </c>
      <c r="K112" s="4" t="n">
        <v>700</v>
      </c>
      <c r="L112" s="4" t="n">
        <v>212</v>
      </c>
      <c r="M112" s="5" t="n">
        <v>1037.7</v>
      </c>
      <c r="N112" s="3" t="inlineStr">
        <is>
          <t>1</t>
        </is>
      </c>
      <c r="O112" s="3" t="inlineStr">
        <is>
          <t>-</t>
        </is>
      </c>
      <c r="P112" s="3" t="inlineStr">
        <is>
          <t>청주IC인근이며 관리 잘 된 신축급 공장 , 2차선 도로접함</t>
        </is>
      </c>
      <c r="Q112" s="6">
        <f>HYPERLINK("https://fin.land.naver.com/articles/2651582772", "매물Link")</f>
        <v/>
      </c>
      <c r="R112" s="6">
        <f>HYPERLINK("https://map.naver.com/p/search/강내면 황탄리 154", "지도Link")</f>
        <v/>
      </c>
      <c r="S112" s="6">
        <f>HYPERLINK("http://www.eum.go.kr/web/ar/lu/luLandDet.jsp?pnu=4311331029101540000&amp;isNoScr=script&amp;mode=search", "토지이음")</f>
        <v/>
      </c>
      <c r="T112" s="3" t="inlineStr">
        <is>
          <t>(주)미르</t>
        </is>
      </c>
      <c r="U112" s="4" t="n">
        <v>1</v>
      </c>
      <c r="V112" s="5" t="n">
        <v>61</v>
      </c>
      <c r="W112" s="4" t="n">
        <v>2136</v>
      </c>
      <c r="X112" s="3" t="inlineStr">
        <is>
          <t>주건축물 제1동</t>
        </is>
      </c>
      <c r="Y112" s="7" t="inlineStr">
        <is>
          <t>1층</t>
        </is>
      </c>
      <c r="Z112" s="3" t="inlineStr">
        <is>
          <t>일반철골구조</t>
        </is>
      </c>
      <c r="AA112" s="3" t="inlineStr">
        <is>
          <t>공장</t>
        </is>
      </c>
      <c r="AB112" s="3" t="inlineStr">
        <is>
          <t>9.04m</t>
        </is>
      </c>
      <c r="AC112" s="3" t="inlineStr">
        <is>
          <t>2021-06</t>
        </is>
      </c>
      <c r="AD112" s="3" t="inlineStr">
        <is>
          <t>소로한면</t>
        </is>
      </c>
    </row>
    <row r="113">
      <c r="A113" s="3" t="inlineStr">
        <is>
          <t>강내면 황탄리 154</t>
        </is>
      </c>
      <c r="B113" s="3" t="inlineStr">
        <is>
          <t>계획관리지역</t>
        </is>
      </c>
      <c r="C113" s="3" t="inlineStr">
        <is>
          <t>공장용지</t>
        </is>
      </c>
      <c r="D113" s="3" t="inlineStr">
        <is>
          <t>공장</t>
        </is>
      </c>
      <c r="E113" s="3" t="inlineStr">
        <is>
          <t>매매</t>
        </is>
      </c>
      <c r="F113" s="4" t="n">
        <v>220000</v>
      </c>
      <c r="G113" s="4" t="n">
        <v>0</v>
      </c>
      <c r="H113" s="4" t="n">
        <v>2136</v>
      </c>
      <c r="I113" s="4" t="n">
        <v>646</v>
      </c>
      <c r="J113" s="5" t="n">
        <v>340.6</v>
      </c>
      <c r="K113" s="4" t="n">
        <v>700</v>
      </c>
      <c r="L113" s="4" t="n">
        <v>212</v>
      </c>
      <c r="M113" s="5" t="n">
        <v>1037.7</v>
      </c>
      <c r="N113" s="3" t="inlineStr">
        <is>
          <t>1</t>
        </is>
      </c>
      <c r="O113" s="3" t="inlineStr">
        <is>
          <t>-</t>
        </is>
      </c>
      <c r="P113" s="3" t="inlineStr">
        <is>
          <t>청주IC10분 2차선도로변 공장 사무실있음 현임대중</t>
        </is>
      </c>
      <c r="Q113" s="6">
        <f>HYPERLINK("https://fin.land.naver.com/articles/2650954653", "매물Link")</f>
        <v/>
      </c>
      <c r="R113" s="6">
        <f>HYPERLINK("https://map.naver.com/p/search/강내면 황탄리 154", "지도Link")</f>
        <v/>
      </c>
      <c r="S113" s="6">
        <f>HYPERLINK("http://www.eum.go.kr/web/ar/lu/luLandDet.jsp?pnu=4311331029101540000&amp;isNoScr=script&amp;mode=search", "토지이음")</f>
        <v/>
      </c>
      <c r="T113" s="3" t="inlineStr">
        <is>
          <t>더원</t>
        </is>
      </c>
      <c r="U113" s="4" t="n">
        <v>1</v>
      </c>
      <c r="V113" s="5" t="n">
        <v>61</v>
      </c>
      <c r="W113" s="4" t="n">
        <v>2136</v>
      </c>
      <c r="X113" s="3" t="inlineStr">
        <is>
          <t>주건축물 제1동</t>
        </is>
      </c>
      <c r="Y113" s="7" t="inlineStr">
        <is>
          <t>1층</t>
        </is>
      </c>
      <c r="Z113" s="3" t="inlineStr">
        <is>
          <t>일반철골구조</t>
        </is>
      </c>
      <c r="AA113" s="3" t="inlineStr">
        <is>
          <t>공장</t>
        </is>
      </c>
      <c r="AB113" s="3" t="inlineStr">
        <is>
          <t>9.04m</t>
        </is>
      </c>
      <c r="AC113" s="3" t="inlineStr">
        <is>
          <t>2021-06</t>
        </is>
      </c>
      <c r="AD113" s="3" t="inlineStr">
        <is>
          <t>소로한면</t>
        </is>
      </c>
    </row>
    <row r="114">
      <c r="A114" s="3" t="inlineStr">
        <is>
          <t>강내면 황탄리 154</t>
        </is>
      </c>
      <c r="B114" s="3" t="inlineStr">
        <is>
          <t>계획관리지역</t>
        </is>
      </c>
      <c r="C114" s="3" t="inlineStr">
        <is>
          <t>공장용지</t>
        </is>
      </c>
      <c r="D114" s="3" t="inlineStr">
        <is>
          <t>창고</t>
        </is>
      </c>
      <c r="E114" s="3" t="inlineStr">
        <is>
          <t>매매</t>
        </is>
      </c>
      <c r="F114" s="4" t="n">
        <v>220000</v>
      </c>
      <c r="G114" s="4" t="n">
        <v>0</v>
      </c>
      <c r="H114" s="4" t="n">
        <v>2136</v>
      </c>
      <c r="I114" s="4" t="n">
        <v>646</v>
      </c>
      <c r="J114" s="5" t="n">
        <v>340.6</v>
      </c>
      <c r="K114" s="4" t="n">
        <v>700</v>
      </c>
      <c r="L114" s="4" t="n">
        <v>212</v>
      </c>
      <c r="M114" s="5" t="n">
        <v>1037.7</v>
      </c>
      <c r="N114" s="3" t="inlineStr">
        <is>
          <t>1</t>
        </is>
      </c>
      <c r="O114" s="3" t="inlineStr">
        <is>
          <t>-</t>
        </is>
      </c>
      <c r="P114" s="3" t="inlineStr">
        <is>
          <t>nan</t>
        </is>
      </c>
      <c r="Q114" s="6">
        <f>HYPERLINK("https://fin.land.naver.com/articles/2650549059", "매물Link")</f>
        <v/>
      </c>
      <c r="R114" s="6">
        <f>HYPERLINK("https://map.naver.com/p/search/강내면 황탄리 154", "지도Link")</f>
        <v/>
      </c>
      <c r="S114" s="6">
        <f>HYPERLINK("http://www.eum.go.kr/web/ar/lu/luLandDet.jsp?pnu=4311331029101540000&amp;isNoScr=script&amp;mode=search", "토지이음")</f>
        <v/>
      </c>
      <c r="T114" s="3" t="inlineStr">
        <is>
          <t>오송k랜드</t>
        </is>
      </c>
      <c r="U114" s="4" t="n">
        <v>1</v>
      </c>
      <c r="V114" s="5" t="n">
        <v>61</v>
      </c>
      <c r="W114" s="4" t="n">
        <v>2136</v>
      </c>
      <c r="X114" s="3" t="inlineStr">
        <is>
          <t>주건축물 제1동</t>
        </is>
      </c>
      <c r="Y114" s="7" t="inlineStr">
        <is>
          <t>1층</t>
        </is>
      </c>
      <c r="Z114" s="3" t="inlineStr">
        <is>
          <t>일반철골구조</t>
        </is>
      </c>
      <c r="AA114" s="3" t="inlineStr">
        <is>
          <t>공장</t>
        </is>
      </c>
      <c r="AB114" s="3" t="inlineStr">
        <is>
          <t>9.04m</t>
        </is>
      </c>
      <c r="AC114" s="3" t="inlineStr">
        <is>
          <t>2021-06</t>
        </is>
      </c>
      <c r="AD114" s="3" t="inlineStr">
        <is>
          <t>소로한면</t>
        </is>
      </c>
    </row>
    <row r="115">
      <c r="A115" s="3" t="inlineStr">
        <is>
          <t>강내면 황탄리 272-7</t>
        </is>
      </c>
      <c r="B115" s="3" t="inlineStr">
        <is>
          <t>계획관리지역</t>
        </is>
      </c>
      <c r="C115" s="3" t="inlineStr">
        <is>
          <t>공장용지</t>
        </is>
      </c>
      <c r="D115" s="3" t="inlineStr">
        <is>
          <t>공장</t>
        </is>
      </c>
      <c r="E115" s="3" t="inlineStr">
        <is>
          <t>매매</t>
        </is>
      </c>
      <c r="F115" s="4" t="n">
        <v>850000</v>
      </c>
      <c r="G115" s="4" t="n">
        <v>0</v>
      </c>
      <c r="H115" s="4" t="n">
        <v>16546</v>
      </c>
      <c r="I115" s="4" t="n">
        <v>5005</v>
      </c>
      <c r="J115" s="5" t="n">
        <v>169.8</v>
      </c>
      <c r="K115" s="4" t="n">
        <v>5728</v>
      </c>
      <c r="L115" s="4" t="n">
        <v>1733</v>
      </c>
      <c r="M115" s="5" t="n">
        <v>490.5</v>
      </c>
      <c r="N115" s="3" t="inlineStr">
        <is>
          <t>1</t>
        </is>
      </c>
      <c r="O115" s="3" t="inlineStr">
        <is>
          <t>-</t>
        </is>
      </c>
      <c r="P115" s="3" t="inlineStr">
        <is>
          <t>총8동으로 전체임대중 입니다</t>
        </is>
      </c>
      <c r="Q115" s="6">
        <f>HYPERLINK("https://fin.land.naver.com/articles/2649923305", "매물Link")</f>
        <v/>
      </c>
      <c r="R115" s="6">
        <f>HYPERLINK("https://map.naver.com/p/search/강내면 황탄리 272-7", "지도Link")</f>
        <v/>
      </c>
      <c r="S115" s="6">
        <f>HYPERLINK("http://www.eum.go.kr/web/ar/lu/luLandDet.jsp?pnu=4311331029102720007&amp;isNoScr=script&amp;mode=search", "토지이음")</f>
        <v/>
      </c>
      <c r="T115" s="3" t="inlineStr">
        <is>
          <t>복댕이</t>
        </is>
      </c>
      <c r="U115" s="4" t="n">
        <v>1</v>
      </c>
      <c r="V115" s="5" t="n">
        <v>60.5</v>
      </c>
      <c r="W115" s="4" t="n">
        <v>15316</v>
      </c>
      <c r="X115" s="3" t="inlineStr">
        <is>
          <t>1동</t>
        </is>
      </c>
      <c r="Y115" s="7" t="inlineStr">
        <is>
          <t>1층</t>
        </is>
      </c>
      <c r="Z115" s="3" t="inlineStr">
        <is>
          <t>일반철골구조</t>
        </is>
      </c>
      <c r="AA115" s="3" t="inlineStr">
        <is>
          <t>공장</t>
        </is>
      </c>
      <c r="AB115" s="3" t="inlineStr">
        <is>
          <t>9.0m</t>
        </is>
      </c>
      <c r="AC115" s="3" t="inlineStr">
        <is>
          <t>2007-12</t>
        </is>
      </c>
      <c r="AD115" s="3" t="inlineStr">
        <is>
          <t>소로한면</t>
        </is>
      </c>
    </row>
    <row r="116">
      <c r="A116" s="3" t="inlineStr">
        <is>
          <t>강내면 황탄리 272-7</t>
        </is>
      </c>
      <c r="B116" s="3" t="inlineStr">
        <is>
          <t>계획관리지역</t>
        </is>
      </c>
      <c r="C116" s="3" t="inlineStr">
        <is>
          <t>공장용지</t>
        </is>
      </c>
      <c r="D116" s="3" t="inlineStr">
        <is>
          <t>공장</t>
        </is>
      </c>
      <c r="E116" s="3" t="inlineStr">
        <is>
          <t>월세</t>
        </is>
      </c>
      <c r="F116" s="4" t="n">
        <v>2000</v>
      </c>
      <c r="G116" s="4" t="n">
        <v>200</v>
      </c>
      <c r="H116" s="4" t="n">
        <v>16546</v>
      </c>
      <c r="I116" s="4" t="n">
        <v>5005</v>
      </c>
      <c r="J116" s="5" t="n">
        <v>0</v>
      </c>
      <c r="K116" s="4" t="n">
        <v>996</v>
      </c>
      <c r="L116" s="4" t="n">
        <v>301</v>
      </c>
      <c r="M116" s="5" t="n">
        <v>0.7</v>
      </c>
      <c r="N116" s="3" t="inlineStr">
        <is>
          <t>1</t>
        </is>
      </c>
      <c r="O116" s="3" t="inlineStr">
        <is>
          <t>-</t>
        </is>
      </c>
      <c r="P116" s="3" t="inlineStr">
        <is>
          <t>현재 건축물8동중 7개동 임대중이며 1동만 임대합니다</t>
        </is>
      </c>
      <c r="Q116" s="6">
        <f>HYPERLINK("https://fin.land.naver.com/articles/2654170858", "매물Link")</f>
        <v/>
      </c>
      <c r="R116" s="6">
        <f>HYPERLINK("https://map.naver.com/p/search/강내면 황탄리 272-7", "지도Link")</f>
        <v/>
      </c>
      <c r="S116" s="6">
        <f>HYPERLINK("http://www.eum.go.kr/web/ar/lu/luLandDet.jsp?pnu=4311331029102720007&amp;isNoScr=script&amp;mode=search", "토지이음")</f>
        <v/>
      </c>
      <c r="T116" s="3" t="inlineStr">
        <is>
          <t>복댕이</t>
        </is>
      </c>
      <c r="U116" s="4" t="n">
        <v>1</v>
      </c>
      <c r="V116" s="5" t="n">
        <v>60.5</v>
      </c>
      <c r="W116" s="4" t="n">
        <v>15316</v>
      </c>
      <c r="X116" s="3" t="inlineStr">
        <is>
          <t>1동</t>
        </is>
      </c>
      <c r="Y116" s="7" t="inlineStr">
        <is>
          <t>1층</t>
        </is>
      </c>
      <c r="Z116" s="3" t="inlineStr">
        <is>
          <t>일반철골구조</t>
        </is>
      </c>
      <c r="AA116" s="3" t="inlineStr">
        <is>
          <t>공장</t>
        </is>
      </c>
      <c r="AB116" s="3" t="inlineStr">
        <is>
          <t>9.0m</t>
        </is>
      </c>
      <c r="AC116" s="3" t="inlineStr">
        <is>
          <t>2007-12</t>
        </is>
      </c>
      <c r="AD116" s="3" t="inlineStr">
        <is>
          <t>소로한면</t>
        </is>
      </c>
    </row>
    <row r="117">
      <c r="A117" s="3" t="inlineStr">
        <is>
          <t>강내면 황탄리 272-7</t>
        </is>
      </c>
      <c r="B117" s="3" t="inlineStr">
        <is>
          <t>계획관리지역</t>
        </is>
      </c>
      <c r="C117" s="3" t="inlineStr">
        <is>
          <t>공장용지</t>
        </is>
      </c>
      <c r="D117" s="3" t="inlineStr">
        <is>
          <t>공장</t>
        </is>
      </c>
      <c r="E117" s="3" t="inlineStr">
        <is>
          <t>매매</t>
        </is>
      </c>
      <c r="F117" s="4" t="n">
        <v>850000</v>
      </c>
      <c r="G117" s="4" t="n">
        <v>0</v>
      </c>
      <c r="H117" s="4" t="n">
        <v>16546</v>
      </c>
      <c r="I117" s="4" t="n">
        <v>5005</v>
      </c>
      <c r="J117" s="5" t="n">
        <v>169.8</v>
      </c>
      <c r="K117" s="4" t="n">
        <v>5728</v>
      </c>
      <c r="L117" s="4" t="n">
        <v>1733</v>
      </c>
      <c r="M117" s="5" t="n">
        <v>490.5</v>
      </c>
      <c r="N117" s="3" t="inlineStr">
        <is>
          <t>1</t>
        </is>
      </c>
      <c r="O117" s="3" t="inlineStr">
        <is>
          <t>-</t>
        </is>
      </c>
      <c r="P117" s="3" t="inlineStr">
        <is>
          <t>건축물 전체임대중입니다 입주는 협의하시면됩니다</t>
        </is>
      </c>
      <c r="Q117" s="6">
        <f>HYPERLINK("https://fin.land.naver.com/articles/2649724567", "매물Link")</f>
        <v/>
      </c>
      <c r="R117" s="6">
        <f>HYPERLINK("https://map.naver.com/p/search/강내면 황탄리 272-7", "지도Link")</f>
        <v/>
      </c>
      <c r="S117" s="6">
        <f>HYPERLINK("http://www.eum.go.kr/web/ar/lu/luLandDet.jsp?pnu=4311331029102720007&amp;isNoScr=script&amp;mode=search", "토지이음")</f>
        <v/>
      </c>
      <c r="T117" s="3" t="inlineStr">
        <is>
          <t>복댕이</t>
        </is>
      </c>
      <c r="U117" s="4" t="n">
        <v>1</v>
      </c>
      <c r="V117" s="5" t="n">
        <v>60.5</v>
      </c>
      <c r="W117" s="4" t="n">
        <v>15316</v>
      </c>
      <c r="X117" s="3" t="inlineStr">
        <is>
          <t>1동</t>
        </is>
      </c>
      <c r="Y117" s="7" t="inlineStr">
        <is>
          <t>1층</t>
        </is>
      </c>
      <c r="Z117" s="3" t="inlineStr">
        <is>
          <t>일반철골구조</t>
        </is>
      </c>
      <c r="AA117" s="3" t="inlineStr">
        <is>
          <t>공장</t>
        </is>
      </c>
      <c r="AB117" s="3" t="inlineStr">
        <is>
          <t>9.0m</t>
        </is>
      </c>
      <c r="AC117" s="3" t="inlineStr">
        <is>
          <t>2007-12</t>
        </is>
      </c>
      <c r="AD117" s="3" t="inlineStr">
        <is>
          <t>소로한면</t>
        </is>
      </c>
    </row>
    <row r="118">
      <c r="A118" s="3" t="inlineStr">
        <is>
          <t>강내면 황탄리 272-7</t>
        </is>
      </c>
      <c r="B118" s="3" t="inlineStr">
        <is>
          <t>계획관리지역</t>
        </is>
      </c>
      <c r="C118" s="3" t="inlineStr">
        <is>
          <t>공장용지</t>
        </is>
      </c>
      <c r="D118" s="3" t="inlineStr">
        <is>
          <t>공장</t>
        </is>
      </c>
      <c r="E118" s="3" t="inlineStr">
        <is>
          <t>월세</t>
        </is>
      </c>
      <c r="F118" s="4" t="n">
        <v>3000</v>
      </c>
      <c r="G118" s="4" t="n">
        <v>300</v>
      </c>
      <c r="H118" s="4" t="n">
        <v>5005</v>
      </c>
      <c r="I118" s="4" t="n">
        <v>1514</v>
      </c>
      <c r="J118" s="5" t="n">
        <v>0.2</v>
      </c>
      <c r="K118" s="4" t="n">
        <v>495</v>
      </c>
      <c r="L118" s="4" t="n">
        <v>150</v>
      </c>
      <c r="M118" s="5" t="n">
        <v>2</v>
      </c>
      <c r="N118" s="3" t="inlineStr">
        <is>
          <t>1</t>
        </is>
      </c>
      <c r="O118" s="3" t="inlineStr">
        <is>
          <t>-</t>
        </is>
      </c>
      <c r="P118" s="3" t="inlineStr">
        <is>
          <t>nan</t>
        </is>
      </c>
      <c r="Q118" s="6">
        <f>HYPERLINK("https://fin.land.naver.com/articles/2652988446", "매물Link")</f>
        <v/>
      </c>
      <c r="R118" s="6">
        <f>HYPERLINK("https://map.naver.com/p/search/강내면 황탄리 272-7", "지도Link")</f>
        <v/>
      </c>
      <c r="S118" s="6">
        <f>HYPERLINK("http://www.eum.go.kr/web/ar/lu/luLandDet.jsp?pnu=4311331029102720007&amp;isNoScr=script&amp;mode=search", "토지이음")</f>
        <v/>
      </c>
      <c r="T118" s="3" t="inlineStr">
        <is>
          <t>월드</t>
        </is>
      </c>
      <c r="U118" s="4" t="n">
        <v>1</v>
      </c>
      <c r="V118" s="5" t="n">
        <v>60.5</v>
      </c>
      <c r="W118" s="4" t="n">
        <v>15316</v>
      </c>
      <c r="X118" s="3" t="inlineStr">
        <is>
          <t>8동</t>
        </is>
      </c>
      <c r="Y118" s="7" t="inlineStr">
        <is>
          <t>1층</t>
        </is>
      </c>
      <c r="Z118" s="3" t="inlineStr">
        <is>
          <t>일반철골구조</t>
        </is>
      </c>
      <c r="AA118" s="3" t="inlineStr">
        <is>
          <t>공장</t>
        </is>
      </c>
      <c r="AB118" s="3" t="inlineStr">
        <is>
          <t>9.3m</t>
        </is>
      </c>
      <c r="AC118" s="3" t="inlineStr">
        <is>
          <t>2013-02</t>
        </is>
      </c>
      <c r="AD118" s="3" t="inlineStr">
        <is>
          <t>소로한면</t>
        </is>
      </c>
    </row>
    <row r="119">
      <c r="A119" s="3" t="inlineStr">
        <is>
          <t>강내면 황탄리 52-7</t>
        </is>
      </c>
      <c r="B119" s="3" t="inlineStr">
        <is>
          <t>계획관리지역</t>
        </is>
      </c>
      <c r="C119" s="3" t="inlineStr">
        <is>
          <t>공장용지</t>
        </is>
      </c>
      <c r="D119" s="3" t="inlineStr">
        <is>
          <t>공장</t>
        </is>
      </c>
      <c r="E119" s="3" t="inlineStr">
        <is>
          <t>월세</t>
        </is>
      </c>
      <c r="F119" s="4" t="n">
        <v>20000</v>
      </c>
      <c r="G119" s="4" t="n">
        <v>2000</v>
      </c>
      <c r="H119" s="4" t="n">
        <v>8030</v>
      </c>
      <c r="I119" s="4" t="n">
        <v>2429</v>
      </c>
      <c r="J119" s="5" t="n">
        <v>0.8</v>
      </c>
      <c r="K119" s="4" t="n">
        <v>3206</v>
      </c>
      <c r="L119" s="4" t="n">
        <v>970</v>
      </c>
      <c r="M119" s="5" t="n">
        <v>2.1</v>
      </c>
      <c r="N119" s="3" t="inlineStr">
        <is>
          <t>1</t>
        </is>
      </c>
      <c r="O119" s="3" t="inlineStr">
        <is>
          <t>-</t>
        </is>
      </c>
      <c r="P119" s="3" t="inlineStr">
        <is>
          <t>청주ic 10분  대형차 진출입 편리 마당 넓어 야적 가능 공장 물류창고</t>
        </is>
      </c>
      <c r="Q119" s="6">
        <f>HYPERLINK("https://fin.land.naver.com/articles/2651673529", "매물Link")</f>
        <v/>
      </c>
      <c r="R119" s="6">
        <f>HYPERLINK("https://map.naver.com/p/search/강내면 황탄리 52-7", "지도Link")</f>
        <v/>
      </c>
      <c r="S119" s="6">
        <f>HYPERLINK("http://www.eum.go.kr/web/ar/lu/luLandDet.jsp?pnu=4311331029100520007&amp;isNoScr=script&amp;mode=search", "토지이음")</f>
        <v/>
      </c>
      <c r="T119" s="3" t="inlineStr">
        <is>
          <t>더원</t>
        </is>
      </c>
      <c r="U119" s="4" t="n">
        <v>1</v>
      </c>
      <c r="V119" s="5" t="n">
        <v>50.7</v>
      </c>
      <c r="W119" s="4" t="n">
        <v>222</v>
      </c>
      <c r="X119" s="3" t="inlineStr">
        <is>
          <t>주건축물제1동</t>
        </is>
      </c>
      <c r="Y119" s="7" t="inlineStr">
        <is>
          <t>1층</t>
        </is>
      </c>
      <c r="Z119" s="3" t="inlineStr">
        <is>
          <t>일반철골구조</t>
        </is>
      </c>
      <c r="AA119" s="3" t="inlineStr">
        <is>
          <t>공장</t>
        </is>
      </c>
      <c r="AB119" s="3" t="inlineStr">
        <is>
          <t>11.55m</t>
        </is>
      </c>
      <c r="AC119" s="3" t="inlineStr">
        <is>
          <t>2021-03</t>
        </is>
      </c>
      <c r="AD119" s="3" t="inlineStr">
        <is>
          <t>소로한면</t>
        </is>
      </c>
    </row>
    <row r="120">
      <c r="A120" s="3" t="inlineStr">
        <is>
          <t>강내면 황탄리 55-7</t>
        </is>
      </c>
      <c r="B120" s="3" t="inlineStr">
        <is>
          <t>계획관리지역</t>
        </is>
      </c>
      <c r="C120" s="3" t="inlineStr">
        <is>
          <t>공장용지</t>
        </is>
      </c>
      <c r="D120" s="3" t="inlineStr">
        <is>
          <t>공장</t>
        </is>
      </c>
      <c r="E120" s="3" t="inlineStr">
        <is>
          <t>월세</t>
        </is>
      </c>
      <c r="F120" s="4" t="n">
        <v>20000</v>
      </c>
      <c r="G120" s="4" t="n">
        <v>2000</v>
      </c>
      <c r="H120" s="4" t="n">
        <v>8027</v>
      </c>
      <c r="I120" s="4" t="n">
        <v>2428</v>
      </c>
      <c r="J120" s="5" t="n">
        <v>0.8</v>
      </c>
      <c r="K120" s="4" t="n">
        <v>3206</v>
      </c>
      <c r="L120" s="4" t="n">
        <v>970</v>
      </c>
      <c r="M120" s="5" t="n">
        <v>2.1</v>
      </c>
      <c r="N120" s="3" t="inlineStr">
        <is>
          <t>2</t>
        </is>
      </c>
      <c r="O120" s="3" t="inlineStr">
        <is>
          <t>-</t>
        </is>
      </c>
      <c r="P120" s="3" t="inlineStr">
        <is>
          <t>층고 높고 관리 잘 된 신축급 공장, 활용도 좋은 포장된 넓은 마당</t>
        </is>
      </c>
      <c r="Q120" s="6">
        <f>HYPERLINK("https://fin.land.naver.com/articles/2652234361", "매물Link")</f>
        <v/>
      </c>
      <c r="R120" s="6">
        <f>HYPERLINK("https://map.naver.com/p/search/강내면 황탄리 55-7", "지도Link")</f>
        <v/>
      </c>
      <c r="S120" s="6">
        <f>HYPERLINK("http://www.eum.go.kr/web/ar/lu/luLandDet.jsp?pnu=4311331029100550007&amp;isNoScr=script&amp;mode=search", "토지이음")</f>
        <v/>
      </c>
      <c r="T120" s="3" t="inlineStr">
        <is>
          <t>(주)미르</t>
        </is>
      </c>
      <c r="U120" s="4" t="n">
        <v>1</v>
      </c>
      <c r="V120" s="5" t="n">
        <v>50.7</v>
      </c>
      <c r="W120" s="4" t="n">
        <v>7805</v>
      </c>
      <c r="X120" s="3" t="inlineStr">
        <is>
          <t>대장없음</t>
        </is>
      </c>
      <c r="Y120" s="7" t="inlineStr">
        <is>
          <t>대장없음</t>
        </is>
      </c>
      <c r="Z120" s="3" t="inlineStr">
        <is>
          <t>대장없음</t>
        </is>
      </c>
      <c r="AA120" s="3" t="inlineStr">
        <is>
          <t>대장없음</t>
        </is>
      </c>
      <c r="AB120" s="3" t="inlineStr">
        <is>
          <t>대장없음</t>
        </is>
      </c>
      <c r="AC120" s="3" t="inlineStr">
        <is>
          <t>대장없음</t>
        </is>
      </c>
      <c r="AD120" s="3" t="inlineStr">
        <is>
          <t>소로한면</t>
        </is>
      </c>
    </row>
    <row r="121">
      <c r="A121" s="3" t="inlineStr">
        <is>
          <t>강내면 황탄리 55-7</t>
        </is>
      </c>
      <c r="B121" s="3" t="inlineStr">
        <is>
          <t>계획관리지역</t>
        </is>
      </c>
      <c r="C121" s="3" t="inlineStr">
        <is>
          <t>공장용지</t>
        </is>
      </c>
      <c r="D121" s="3" t="inlineStr">
        <is>
          <t>공장</t>
        </is>
      </c>
      <c r="E121" s="3" t="inlineStr">
        <is>
          <t>월세</t>
        </is>
      </c>
      <c r="F121" s="4" t="n">
        <v>22000</v>
      </c>
      <c r="G121" s="4" t="n">
        <v>2200</v>
      </c>
      <c r="H121" s="4" t="n">
        <v>8027</v>
      </c>
      <c r="I121" s="4" t="n">
        <v>2428</v>
      </c>
      <c r="J121" s="5" t="n">
        <v>0.9</v>
      </c>
      <c r="K121" s="4" t="n">
        <v>3206</v>
      </c>
      <c r="L121" s="4" t="n">
        <v>970</v>
      </c>
      <c r="M121" s="5" t="n">
        <v>2.3</v>
      </c>
      <c r="N121" s="3" t="inlineStr">
        <is>
          <t>1</t>
        </is>
      </c>
      <c r="O121" s="3" t="inlineStr">
        <is>
          <t>-</t>
        </is>
      </c>
      <c r="P121" s="3" t="inlineStr">
        <is>
          <t>사진有 공장 임대</t>
        </is>
      </c>
      <c r="Q121" s="6">
        <f>HYPERLINK("https://fin.land.naver.com/articles/2652988417", "매물Link")</f>
        <v/>
      </c>
      <c r="R121" s="6">
        <f>HYPERLINK("https://map.naver.com/p/search/강내면 황탄리 55-7", "지도Link")</f>
        <v/>
      </c>
      <c r="S121" s="6">
        <f>HYPERLINK("http://www.eum.go.kr/web/ar/lu/luLandDet.jsp?pnu=4311331029100550007&amp;isNoScr=script&amp;mode=search", "토지이음")</f>
        <v/>
      </c>
      <c r="T121" s="3" t="inlineStr">
        <is>
          <t>월드</t>
        </is>
      </c>
      <c r="U121" s="4" t="n">
        <v>1</v>
      </c>
      <c r="V121" s="5" t="n">
        <v>50.7</v>
      </c>
      <c r="W121" s="4" t="n">
        <v>7805</v>
      </c>
      <c r="X121" s="3" t="inlineStr">
        <is>
          <t>대장없음</t>
        </is>
      </c>
      <c r="Y121" s="7" t="inlineStr">
        <is>
          <t>대장없음</t>
        </is>
      </c>
      <c r="Z121" s="3" t="inlineStr">
        <is>
          <t>대장없음</t>
        </is>
      </c>
      <c r="AA121" s="3" t="inlineStr">
        <is>
          <t>대장없음</t>
        </is>
      </c>
      <c r="AB121" s="3" t="inlineStr">
        <is>
          <t>대장없음</t>
        </is>
      </c>
      <c r="AC121" s="3" t="inlineStr">
        <is>
          <t>대장없음</t>
        </is>
      </c>
      <c r="AD121" s="3" t="inlineStr">
        <is>
          <t>소로한면</t>
        </is>
      </c>
    </row>
    <row r="122">
      <c r="A122" s="3" t="inlineStr">
        <is>
          <t>강내면 황탄리 70-10</t>
        </is>
      </c>
      <c r="B122" s="3" t="inlineStr">
        <is>
          <t>계획관리지역</t>
        </is>
      </c>
      <c r="C122" s="3" t="inlineStr">
        <is>
          <t>공장용지</t>
        </is>
      </c>
      <c r="D122" s="3" t="inlineStr">
        <is>
          <t>공장</t>
        </is>
      </c>
      <c r="E122" s="3" t="inlineStr">
        <is>
          <t>매매</t>
        </is>
      </c>
      <c r="F122" s="4" t="n">
        <v>280000</v>
      </c>
      <c r="G122" s="4" t="n">
        <v>0</v>
      </c>
      <c r="H122" s="4" t="n">
        <v>5013</v>
      </c>
      <c r="I122" s="4" t="n">
        <v>1516</v>
      </c>
      <c r="J122" s="5" t="n">
        <v>184.7</v>
      </c>
      <c r="K122" s="4" t="n">
        <v>1535</v>
      </c>
      <c r="L122" s="4" t="n">
        <v>464</v>
      </c>
      <c r="M122" s="5" t="n">
        <v>603.4</v>
      </c>
      <c r="N122" s="3" t="inlineStr">
        <is>
          <t>2</t>
        </is>
      </c>
      <c r="O122" s="3" t="inlineStr">
        <is>
          <t>-</t>
        </is>
      </c>
      <c r="P122" s="3" t="inlineStr">
        <is>
          <t>황탄리 관리 잘 된 공장 대형차 진출입 용이, 청주IC인근</t>
        </is>
      </c>
      <c r="Q122" s="6">
        <f>HYPERLINK("https://fin.land.naver.com/articles/2654296458", "매물Link")</f>
        <v/>
      </c>
      <c r="R122" s="6">
        <f>HYPERLINK("https://map.naver.com/p/search/강내면 황탄리 70-10", "지도Link")</f>
        <v/>
      </c>
      <c r="S122" s="6">
        <f>HYPERLINK("http://www.eum.go.kr/web/ar/lu/luLandDet.jsp?pnu=4311331029100700010&amp;isNoScr=script&amp;mode=search", "토지이음")</f>
        <v/>
      </c>
      <c r="T122" s="3" t="inlineStr">
        <is>
          <t>(주)미르</t>
        </is>
      </c>
      <c r="U122" s="4" t="n">
        <v>1</v>
      </c>
      <c r="V122" s="5" t="n">
        <v>47.8</v>
      </c>
      <c r="W122" s="4" t="n">
        <v>1107</v>
      </c>
      <c r="X122" s="3" t="inlineStr">
        <is>
          <t>주건축물제1동</t>
        </is>
      </c>
      <c r="Y122" s="7" t="inlineStr">
        <is>
          <t>1층</t>
        </is>
      </c>
      <c r="Z122" s="3" t="inlineStr">
        <is>
          <t>일반철골구조</t>
        </is>
      </c>
      <c r="AA122" s="3" t="inlineStr">
        <is>
          <t>공장</t>
        </is>
      </c>
      <c r="AB122" s="3" t="inlineStr">
        <is>
          <t>8.85m</t>
        </is>
      </c>
      <c r="AC122" s="3" t="inlineStr">
        <is>
          <t>2014-05</t>
        </is>
      </c>
      <c r="AD122" s="3" t="inlineStr">
        <is>
          <t>세로한면(가)</t>
        </is>
      </c>
    </row>
    <row r="123">
      <c r="A123" s="3" t="inlineStr">
        <is>
          <t>강내면 황탄리 70-10</t>
        </is>
      </c>
      <c r="B123" s="3" t="inlineStr">
        <is>
          <t>계획관리지역</t>
        </is>
      </c>
      <c r="C123" s="3" t="inlineStr">
        <is>
          <t>공장용지</t>
        </is>
      </c>
      <c r="D123" s="3" t="inlineStr">
        <is>
          <t>공장</t>
        </is>
      </c>
      <c r="E123" s="3" t="inlineStr">
        <is>
          <t>월세</t>
        </is>
      </c>
      <c r="F123" s="4" t="n">
        <v>8000</v>
      </c>
      <c r="G123" s="4" t="n">
        <v>800</v>
      </c>
      <c r="H123" s="4" t="n">
        <v>5013</v>
      </c>
      <c r="I123" s="4" t="n">
        <v>1516</v>
      </c>
      <c r="J123" s="5" t="n">
        <v>0.5</v>
      </c>
      <c r="K123" s="4" t="n">
        <v>1535</v>
      </c>
      <c r="L123" s="4" t="n">
        <v>464</v>
      </c>
      <c r="M123" s="5" t="n">
        <v>1.7</v>
      </c>
      <c r="N123" s="3" t="inlineStr">
        <is>
          <t>2</t>
        </is>
      </c>
      <c r="O123" s="3" t="inlineStr">
        <is>
          <t>-</t>
        </is>
      </c>
      <c r="P123" s="3" t="inlineStr">
        <is>
          <t>황탄리 관리 잘 된 공장 대형차 진출입 용이, 청주IC인근</t>
        </is>
      </c>
      <c r="Q123" s="6">
        <f>HYPERLINK("https://fin.land.naver.com/articles/2649991282", "매물Link")</f>
        <v/>
      </c>
      <c r="R123" s="6">
        <f>HYPERLINK("https://map.naver.com/p/search/강내면 황탄리 70-10", "지도Link")</f>
        <v/>
      </c>
      <c r="S123" s="6">
        <f>HYPERLINK("http://www.eum.go.kr/web/ar/lu/luLandDet.jsp?pnu=4311331029100700010&amp;isNoScr=script&amp;mode=search", "토지이음")</f>
        <v/>
      </c>
      <c r="T123" s="3" t="inlineStr">
        <is>
          <t>(주)미르</t>
        </is>
      </c>
      <c r="U123" s="4" t="n">
        <v>1</v>
      </c>
      <c r="V123" s="5" t="n">
        <v>47.8</v>
      </c>
      <c r="W123" s="4" t="n">
        <v>1107</v>
      </c>
      <c r="X123" s="3" t="inlineStr">
        <is>
          <t>주건축물제1동</t>
        </is>
      </c>
      <c r="Y123" s="7" t="inlineStr">
        <is>
          <t>1층</t>
        </is>
      </c>
      <c r="Z123" s="3" t="inlineStr">
        <is>
          <t>일반철골구조</t>
        </is>
      </c>
      <c r="AA123" s="3" t="inlineStr">
        <is>
          <t>공장</t>
        </is>
      </c>
      <c r="AB123" s="3" t="inlineStr">
        <is>
          <t>8.85m</t>
        </is>
      </c>
      <c r="AC123" s="3" t="inlineStr">
        <is>
          <t>2014-05</t>
        </is>
      </c>
      <c r="AD123" s="3" t="inlineStr">
        <is>
          <t>세로한면(가)</t>
        </is>
      </c>
    </row>
    <row r="124">
      <c r="A124" s="3" t="inlineStr">
        <is>
          <t>강내면 황탄리 70-10</t>
        </is>
      </c>
      <c r="B124" s="3" t="inlineStr">
        <is>
          <t>계획관리지역</t>
        </is>
      </c>
      <c r="C124" s="3" t="inlineStr">
        <is>
          <t>공장용지</t>
        </is>
      </c>
      <c r="D124" s="3" t="inlineStr">
        <is>
          <t>공장</t>
        </is>
      </c>
      <c r="E124" s="3" t="inlineStr">
        <is>
          <t>매매</t>
        </is>
      </c>
      <c r="F124" s="4" t="n">
        <v>280000</v>
      </c>
      <c r="G124" s="4" t="n">
        <v>0</v>
      </c>
      <c r="H124" s="4" t="n">
        <v>5013</v>
      </c>
      <c r="I124" s="4" t="n">
        <v>1516</v>
      </c>
      <c r="J124" s="5" t="n">
        <v>184.7</v>
      </c>
      <c r="K124" s="4" t="n">
        <v>1535</v>
      </c>
      <c r="L124" s="4" t="n">
        <v>464</v>
      </c>
      <c r="M124" s="5" t="n">
        <v>603.4</v>
      </c>
      <c r="N124" s="3" t="inlineStr">
        <is>
          <t>1</t>
        </is>
      </c>
      <c r="O124" s="3" t="inlineStr">
        <is>
          <t>-</t>
        </is>
      </c>
      <c r="P124" s="3" t="inlineStr">
        <is>
          <t>대형차량진입가능, 즉시입주가능</t>
        </is>
      </c>
      <c r="Q124" s="6">
        <f>HYPERLINK("https://fin.land.naver.com/articles/2650172307", "매물Link")</f>
        <v/>
      </c>
      <c r="R124" s="6">
        <f>HYPERLINK("https://map.naver.com/p/search/강내면 황탄리 70-10", "지도Link")</f>
        <v/>
      </c>
      <c r="S124" s="6">
        <f>HYPERLINK("http://www.eum.go.kr/web/ar/lu/luLandDet.jsp?pnu=4311331029100700010&amp;isNoScr=script&amp;mode=search", "토지이음")</f>
        <v/>
      </c>
      <c r="T124" s="3" t="inlineStr">
        <is>
          <t>세종로또</t>
        </is>
      </c>
      <c r="U124" s="4" t="n">
        <v>1</v>
      </c>
      <c r="V124" s="5" t="n">
        <v>47.8</v>
      </c>
      <c r="W124" s="4" t="n">
        <v>1107</v>
      </c>
      <c r="X124" s="3" t="inlineStr">
        <is>
          <t>주건축물제1동</t>
        </is>
      </c>
      <c r="Y124" s="7" t="inlineStr">
        <is>
          <t>1층</t>
        </is>
      </c>
      <c r="Z124" s="3" t="inlineStr">
        <is>
          <t>일반철골구조</t>
        </is>
      </c>
      <c r="AA124" s="3" t="inlineStr">
        <is>
          <t>공장</t>
        </is>
      </c>
      <c r="AB124" s="3" t="inlineStr">
        <is>
          <t>8.85m</t>
        </is>
      </c>
      <c r="AC124" s="3" t="inlineStr">
        <is>
          <t>2014-05</t>
        </is>
      </c>
      <c r="AD124" s="3" t="inlineStr">
        <is>
          <t>세로한면(가)</t>
        </is>
      </c>
    </row>
    <row r="125">
      <c r="A125" s="3" t="inlineStr">
        <is>
          <t>강내면 황탄리 71-10</t>
        </is>
      </c>
      <c r="B125" s="3" t="inlineStr">
        <is>
          <t>계획관리지역</t>
        </is>
      </c>
      <c r="C125" s="3" t="inlineStr">
        <is>
          <t>공장용지</t>
        </is>
      </c>
      <c r="D125" s="3" t="inlineStr">
        <is>
          <t>공장</t>
        </is>
      </c>
      <c r="E125" s="3" t="inlineStr">
        <is>
          <t>매매</t>
        </is>
      </c>
      <c r="F125" s="4" t="n">
        <v>500000</v>
      </c>
      <c r="G125" s="4" t="n">
        <v>0</v>
      </c>
      <c r="H125" s="4" t="n">
        <v>5517</v>
      </c>
      <c r="I125" s="4" t="n">
        <v>1669</v>
      </c>
      <c r="J125" s="5" t="n">
        <v>299.6</v>
      </c>
      <c r="K125" s="4" t="n">
        <v>2217</v>
      </c>
      <c r="L125" s="4" t="n">
        <v>671</v>
      </c>
      <c r="M125" s="5" t="n">
        <v>745.2</v>
      </c>
      <c r="N125" s="3" t="inlineStr">
        <is>
          <t>1</t>
        </is>
      </c>
      <c r="O125" s="3" t="inlineStr">
        <is>
          <t>-</t>
        </is>
      </c>
      <c r="P125" s="3" t="inlineStr">
        <is>
          <t>황탄리공장 계획관리 일괄매매 태양광관련매매대금별도있어요</t>
        </is>
      </c>
      <c r="Q125" s="6">
        <f>HYPERLINK("https://fin.land.naver.com/articles/2649783185", "매물Link")</f>
        <v/>
      </c>
      <c r="R125" s="6">
        <f>HYPERLINK("https://map.naver.com/p/search/강내면 황탄리 71-10", "지도Link")</f>
        <v/>
      </c>
      <c r="S125" s="6">
        <f>HYPERLINK("http://www.eum.go.kr/web/ar/lu/luLandDet.jsp?pnu=4311331029100710010&amp;isNoScr=script&amp;mode=search", "토지이음")</f>
        <v/>
      </c>
      <c r="T125" s="3" t="inlineStr">
        <is>
          <t>오송휴먼캐슬</t>
        </is>
      </c>
      <c r="U125" s="4" t="n">
        <v>1</v>
      </c>
      <c r="V125" s="5" t="n">
        <v>54.3</v>
      </c>
      <c r="W125" s="4" t="n">
        <v>3440</v>
      </c>
      <c r="X125" s="3" t="inlineStr">
        <is>
          <t>미표기</t>
        </is>
      </c>
      <c r="Y125" s="7" t="inlineStr">
        <is>
          <t>2층</t>
        </is>
      </c>
      <c r="Z125" s="3" t="inlineStr">
        <is>
          <t>일반철골구조</t>
        </is>
      </c>
      <c r="AA125" s="3" t="inlineStr">
        <is>
          <t>공장</t>
        </is>
      </c>
      <c r="AB125" s="3" t="inlineStr">
        <is>
          <t>8.0m</t>
        </is>
      </c>
      <c r="AC125" s="3" t="inlineStr">
        <is>
          <t>2001-09</t>
        </is>
      </c>
      <c r="AD125" s="3" t="inlineStr">
        <is>
          <t>세로한면(가)</t>
        </is>
      </c>
    </row>
    <row r="126">
      <c r="A126" s="3" t="inlineStr">
        <is>
          <t>강내면 황탄리 71-10</t>
        </is>
      </c>
      <c r="B126" s="3" t="inlineStr">
        <is>
          <t>계획관리지역</t>
        </is>
      </c>
      <c r="C126" s="3" t="inlineStr">
        <is>
          <t>공장용지</t>
        </is>
      </c>
      <c r="D126" s="3" t="inlineStr">
        <is>
          <t>공장</t>
        </is>
      </c>
      <c r="E126" s="3" t="inlineStr">
        <is>
          <t>매매</t>
        </is>
      </c>
      <c r="F126" s="4" t="n">
        <v>500000</v>
      </c>
      <c r="G126" s="4" t="n">
        <v>0</v>
      </c>
      <c r="H126" s="4" t="n">
        <v>5517</v>
      </c>
      <c r="I126" s="4" t="n">
        <v>1669</v>
      </c>
      <c r="J126" s="5" t="n">
        <v>299.6</v>
      </c>
      <c r="K126" s="4" t="n">
        <v>2217</v>
      </c>
      <c r="L126" s="4" t="n">
        <v>671</v>
      </c>
      <c r="M126" s="5" t="n">
        <v>745.2</v>
      </c>
      <c r="N126" s="3" t="inlineStr">
        <is>
          <t>1</t>
        </is>
      </c>
      <c r="O126" s="3" t="inlineStr">
        <is>
          <t>B1</t>
        </is>
      </c>
      <c r="P126" s="3" t="inlineStr">
        <is>
          <t>공장 4개동 일괄매매, 계획관리 2차선 진입가능</t>
        </is>
      </c>
      <c r="Q126" s="6">
        <f>HYPERLINK("https://fin.land.naver.com/articles/2653325611", "매물Link")</f>
        <v/>
      </c>
      <c r="R126" s="6">
        <f>HYPERLINK("https://map.naver.com/p/search/강내면 황탄리 71-10", "지도Link")</f>
        <v/>
      </c>
      <c r="S126" s="6">
        <f>HYPERLINK("http://www.eum.go.kr/web/ar/lu/luLandDet.jsp?pnu=4311331029100710010&amp;isNoScr=script&amp;mode=search", "토지이음")</f>
        <v/>
      </c>
      <c r="T126" s="3" t="inlineStr">
        <is>
          <t>세종로또</t>
        </is>
      </c>
      <c r="U126" s="4" t="n">
        <v>1</v>
      </c>
      <c r="V126" s="5" t="n">
        <v>54.3</v>
      </c>
      <c r="W126" s="4" t="n">
        <v>3440</v>
      </c>
      <c r="X126" s="3" t="inlineStr">
        <is>
          <t>미표기</t>
        </is>
      </c>
      <c r="Y126" s="7" t="inlineStr">
        <is>
          <t>2층</t>
        </is>
      </c>
      <c r="Z126" s="3" t="inlineStr">
        <is>
          <t>일반철골구조</t>
        </is>
      </c>
      <c r="AA126" s="3" t="inlineStr">
        <is>
          <t>공장</t>
        </is>
      </c>
      <c r="AB126" s="3" t="inlineStr">
        <is>
          <t>8.0m</t>
        </is>
      </c>
      <c r="AC126" s="3" t="inlineStr">
        <is>
          <t>2001-09</t>
        </is>
      </c>
      <c r="AD126" s="3" t="inlineStr">
        <is>
          <t>세로한면(가)</t>
        </is>
      </c>
    </row>
    <row r="127">
      <c r="A127" s="3" t="inlineStr">
        <is>
          <t>강내면 황탄리 71-10</t>
        </is>
      </c>
      <c r="B127" s="3" t="inlineStr">
        <is>
          <t>계획관리지역</t>
        </is>
      </c>
      <c r="C127" s="3" t="inlineStr">
        <is>
          <t>공장용지</t>
        </is>
      </c>
      <c r="D127" s="3" t="inlineStr">
        <is>
          <t>공장</t>
        </is>
      </c>
      <c r="E127" s="3" t="inlineStr">
        <is>
          <t>매매</t>
        </is>
      </c>
      <c r="F127" s="4" t="n">
        <v>500000</v>
      </c>
      <c r="G127" s="4" t="n">
        <v>0</v>
      </c>
      <c r="H127" s="4" t="n">
        <v>5517</v>
      </c>
      <c r="I127" s="4" t="n">
        <v>1669</v>
      </c>
      <c r="J127" s="5" t="n">
        <v>299.6</v>
      </c>
      <c r="K127" s="4" t="n">
        <v>2667</v>
      </c>
      <c r="L127" s="4" t="n">
        <v>807</v>
      </c>
      <c r="M127" s="5" t="n">
        <v>619.6</v>
      </c>
      <c r="N127" s="3" t="inlineStr">
        <is>
          <t>1</t>
        </is>
      </c>
      <c r="O127" s="3" t="inlineStr">
        <is>
          <t>-</t>
        </is>
      </c>
      <c r="P127" s="3" t="inlineStr">
        <is>
          <t>강내면 황탄리 공장 매매 건물4개동</t>
        </is>
      </c>
      <c r="Q127" s="6">
        <f>HYPERLINK("https://fin.land.naver.com/articles/2652578352", "매물Link")</f>
        <v/>
      </c>
      <c r="R127" s="6">
        <f>HYPERLINK("https://map.naver.com/p/search/강내면 황탄리 71-10", "지도Link")</f>
        <v/>
      </c>
      <c r="S127" s="6">
        <f>HYPERLINK("http://www.eum.go.kr/web/ar/lu/luLandDet.jsp?pnu=4311331029100710010&amp;isNoScr=script&amp;mode=search", "토지이음")</f>
        <v/>
      </c>
      <c r="T127" s="3" t="inlineStr">
        <is>
          <t>금호사랑</t>
        </is>
      </c>
      <c r="U127" s="4" t="n">
        <v>1</v>
      </c>
      <c r="V127" s="5" t="n">
        <v>54.3</v>
      </c>
      <c r="W127" s="4" t="n">
        <v>3440</v>
      </c>
      <c r="X127" s="3" t="inlineStr">
        <is>
          <t>미표기</t>
        </is>
      </c>
      <c r="Y127" s="7" t="inlineStr">
        <is>
          <t>2층</t>
        </is>
      </c>
      <c r="Z127" s="3" t="inlineStr">
        <is>
          <t>일반철골구조</t>
        </is>
      </c>
      <c r="AA127" s="3" t="inlineStr">
        <is>
          <t>공장</t>
        </is>
      </c>
      <c r="AB127" s="3" t="inlineStr">
        <is>
          <t>8.0m</t>
        </is>
      </c>
      <c r="AC127" s="3" t="inlineStr">
        <is>
          <t>2001-09</t>
        </is>
      </c>
      <c r="AD127" s="3" t="inlineStr">
        <is>
          <t>세로한면(가)</t>
        </is>
      </c>
    </row>
    <row r="128">
      <c r="A128" s="3" t="inlineStr">
        <is>
          <t>남이면 가마리 160</t>
        </is>
      </c>
      <c r="B128" s="3" t="inlineStr">
        <is>
          <t>자연녹지지역</t>
        </is>
      </c>
      <c r="C128" s="3" t="inlineStr">
        <is>
          <t>답</t>
        </is>
      </c>
      <c r="D128" s="3" t="inlineStr">
        <is>
          <t>창고</t>
        </is>
      </c>
      <c r="E128" s="3" t="inlineStr">
        <is>
          <t>월세</t>
        </is>
      </c>
      <c r="F128" s="4" t="n">
        <v>4000</v>
      </c>
      <c r="G128" s="4" t="n">
        <v>300</v>
      </c>
      <c r="H128" s="4" t="n">
        <v>1815</v>
      </c>
      <c r="I128" s="4" t="n">
        <v>549</v>
      </c>
      <c r="J128" s="5" t="n">
        <v>0.5</v>
      </c>
      <c r="K128" s="4" t="n">
        <v>340</v>
      </c>
      <c r="L128" s="4" t="n">
        <v>103</v>
      </c>
      <c r="M128" s="5" t="n">
        <v>2.9</v>
      </c>
      <c r="N128" s="3" t="inlineStr">
        <is>
          <t>1</t>
        </is>
      </c>
      <c r="O128" s="3" t="inlineStr">
        <is>
          <t>-</t>
        </is>
      </c>
      <c r="P128" s="3" t="inlineStr">
        <is>
          <t>2순환로 가까운 신축창고 주차하기 편하고 야적 가능, 매매가능</t>
        </is>
      </c>
      <c r="Q128" s="6">
        <f>HYPERLINK("https://fin.land.naver.com/articles/2651818728", "매물Link")</f>
        <v/>
      </c>
      <c r="R128" s="6">
        <f>HYPERLINK("https://map.naver.com/p/search/남이면 가마리 160", "지도Link")</f>
        <v/>
      </c>
      <c r="S128" s="6">
        <f>HYPERLINK("http://www.eum.go.kr/web/ar/lu/luLandDet.jsp?pnu=4311231038101600000&amp;isNoScr=script&amp;mode=search", "토지이음")</f>
        <v/>
      </c>
      <c r="T128" s="3" t="inlineStr">
        <is>
          <t>미래n</t>
        </is>
      </c>
      <c r="U128" s="4" t="n">
        <v>1</v>
      </c>
      <c r="V128" s="5" t="n">
        <v>58.5</v>
      </c>
      <c r="W128" s="4" t="n">
        <v>2787</v>
      </c>
      <c r="X128" s="3" t="inlineStr">
        <is>
          <t>대장없음</t>
        </is>
      </c>
      <c r="Y128" s="7" t="inlineStr">
        <is>
          <t>대장없음</t>
        </is>
      </c>
      <c r="Z128" s="3" t="inlineStr">
        <is>
          <t>대장없음</t>
        </is>
      </c>
      <c r="AA128" s="3" t="inlineStr">
        <is>
          <t>대장없음</t>
        </is>
      </c>
      <c r="AB128" s="3" t="inlineStr">
        <is>
          <t>대장없음</t>
        </is>
      </c>
      <c r="AC128" s="3" t="inlineStr">
        <is>
          <t>대장없음</t>
        </is>
      </c>
      <c r="AD128" s="3" t="inlineStr">
        <is>
          <t>세로한면(가)</t>
        </is>
      </c>
    </row>
    <row r="129">
      <c r="A129" s="3" t="inlineStr">
        <is>
          <t>남이면 가마리 160</t>
        </is>
      </c>
      <c r="B129" s="3" t="inlineStr">
        <is>
          <t>자연녹지지역</t>
        </is>
      </c>
      <c r="C129" s="3" t="inlineStr">
        <is>
          <t>답</t>
        </is>
      </c>
      <c r="D129" s="3" t="inlineStr">
        <is>
          <t>창고</t>
        </is>
      </c>
      <c r="E129" s="3" t="inlineStr">
        <is>
          <t>월세</t>
        </is>
      </c>
      <c r="F129" s="4" t="n">
        <v>4000</v>
      </c>
      <c r="G129" s="4" t="n">
        <v>300</v>
      </c>
      <c r="H129" s="4" t="n">
        <v>1487</v>
      </c>
      <c r="I129" s="4" t="n">
        <v>450</v>
      </c>
      <c r="J129" s="5" t="n">
        <v>0.7</v>
      </c>
      <c r="K129" s="4" t="n">
        <v>340</v>
      </c>
      <c r="L129" s="4" t="n">
        <v>103</v>
      </c>
      <c r="M129" s="5" t="n">
        <v>2.9</v>
      </c>
      <c r="N129" s="3" t="inlineStr">
        <is>
          <t>1</t>
        </is>
      </c>
      <c r="O129" s="3" t="inlineStr">
        <is>
          <t>-</t>
        </is>
      </c>
      <c r="P129" s="3" t="inlineStr">
        <is>
          <t>청주시내에서 가까운 전용마당 넓은 신축 창고 임대</t>
        </is>
      </c>
      <c r="Q129" s="6">
        <f>HYPERLINK("https://fin.land.naver.com/articles/2651969565", "매물Link")</f>
        <v/>
      </c>
      <c r="R129" s="6">
        <f>HYPERLINK("https://map.naver.com/p/search/남이면 가마리 160", "지도Link")</f>
        <v/>
      </c>
      <c r="S129" s="6">
        <f>HYPERLINK("http://www.eum.go.kr/web/ar/lu/luLandDet.jsp?pnu=4311231038101600000&amp;isNoScr=script&amp;mode=search", "토지이음")</f>
        <v/>
      </c>
      <c r="T129" s="3" t="inlineStr">
        <is>
          <t>태광</t>
        </is>
      </c>
      <c r="U129" s="4" t="n">
        <v>1</v>
      </c>
      <c r="V129" s="5" t="n">
        <v>58.5</v>
      </c>
      <c r="W129" s="4" t="n">
        <v>2787</v>
      </c>
      <c r="X129" s="3" t="inlineStr">
        <is>
          <t>대장없음</t>
        </is>
      </c>
      <c r="Y129" s="7" t="inlineStr">
        <is>
          <t>대장없음</t>
        </is>
      </c>
      <c r="Z129" s="3" t="inlineStr">
        <is>
          <t>대장없음</t>
        </is>
      </c>
      <c r="AA129" s="3" t="inlineStr">
        <is>
          <t>대장없음</t>
        </is>
      </c>
      <c r="AB129" s="3" t="inlineStr">
        <is>
          <t>대장없음</t>
        </is>
      </c>
      <c r="AC129" s="3" t="inlineStr">
        <is>
          <t>대장없음</t>
        </is>
      </c>
      <c r="AD129" s="3" t="inlineStr">
        <is>
          <t>세로한면(가)</t>
        </is>
      </c>
    </row>
    <row r="130">
      <c r="A130" s="3" t="inlineStr">
        <is>
          <t>남이면 가마리 160</t>
        </is>
      </c>
      <c r="B130" s="3" t="inlineStr">
        <is>
          <t>자연녹지지역</t>
        </is>
      </c>
      <c r="C130" s="3" t="inlineStr">
        <is>
          <t>답</t>
        </is>
      </c>
      <c r="D130" s="3" t="inlineStr">
        <is>
          <t>창고</t>
        </is>
      </c>
      <c r="E130" s="3" t="inlineStr">
        <is>
          <t>매매</t>
        </is>
      </c>
      <c r="F130" s="4" t="n">
        <v>148000</v>
      </c>
      <c r="G130" s="4" t="n">
        <v>0</v>
      </c>
      <c r="H130" s="4" t="n">
        <v>1851</v>
      </c>
      <c r="I130" s="4" t="n">
        <v>560</v>
      </c>
      <c r="J130" s="5" t="n">
        <v>264.3</v>
      </c>
      <c r="K130" s="4" t="n">
        <v>1123</v>
      </c>
      <c r="L130" s="4" t="n">
        <v>340</v>
      </c>
      <c r="M130" s="5" t="n">
        <v>435.3</v>
      </c>
      <c r="N130" s="3" t="inlineStr">
        <is>
          <t>1</t>
        </is>
      </c>
      <c r="O130" s="3" t="inlineStr">
        <is>
          <t>-</t>
        </is>
      </c>
      <c r="P130" s="3" t="inlineStr">
        <is>
          <t>nan</t>
        </is>
      </c>
      <c r="Q130" s="6">
        <f>HYPERLINK("https://fin.land.naver.com/articles/2650023956", "매물Link")</f>
        <v/>
      </c>
      <c r="R130" s="6">
        <f>HYPERLINK("https://map.naver.com/p/search/남이면 가마리 160", "지도Link")</f>
        <v/>
      </c>
      <c r="S130" s="6">
        <f>HYPERLINK("http://www.eum.go.kr/web/ar/lu/luLandDet.jsp?pnu=4311231038101600000&amp;isNoScr=script&amp;mode=search", "토지이음")</f>
        <v/>
      </c>
      <c r="T130" s="3" t="inlineStr">
        <is>
          <t>골든타임</t>
        </is>
      </c>
      <c r="U130" s="4" t="n">
        <v>1</v>
      </c>
      <c r="V130" s="5" t="n">
        <v>58.5</v>
      </c>
      <c r="W130" s="4" t="n">
        <v>2787</v>
      </c>
      <c r="X130" s="3" t="inlineStr">
        <is>
          <t>대장없음</t>
        </is>
      </c>
      <c r="Y130" s="7" t="inlineStr">
        <is>
          <t>대장없음</t>
        </is>
      </c>
      <c r="Z130" s="3" t="inlineStr">
        <is>
          <t>대장없음</t>
        </is>
      </c>
      <c r="AA130" s="3" t="inlineStr">
        <is>
          <t>대장없음</t>
        </is>
      </c>
      <c r="AB130" s="3" t="inlineStr">
        <is>
          <t>대장없음</t>
        </is>
      </c>
      <c r="AC130" s="3" t="inlineStr">
        <is>
          <t>대장없음</t>
        </is>
      </c>
      <c r="AD130" s="3" t="inlineStr">
        <is>
          <t>세로한면(가)</t>
        </is>
      </c>
    </row>
    <row r="131">
      <c r="A131" s="3" t="inlineStr">
        <is>
          <t>남이면 가마리 160</t>
        </is>
      </c>
      <c r="B131" s="3" t="inlineStr">
        <is>
          <t>자연녹지지역</t>
        </is>
      </c>
      <c r="C131" s="3" t="inlineStr">
        <is>
          <t>답</t>
        </is>
      </c>
      <c r="D131" s="3" t="inlineStr">
        <is>
          <t>공장</t>
        </is>
      </c>
      <c r="E131" s="3" t="inlineStr">
        <is>
          <t>매매</t>
        </is>
      </c>
      <c r="F131" s="4" t="n">
        <v>148000</v>
      </c>
      <c r="G131" s="4" t="n">
        <v>0</v>
      </c>
      <c r="H131" s="4" t="n">
        <v>1847</v>
      </c>
      <c r="I131" s="4" t="n">
        <v>559</v>
      </c>
      <c r="J131" s="5" t="n">
        <v>264.8</v>
      </c>
      <c r="K131" s="4" t="n">
        <v>340</v>
      </c>
      <c r="L131" s="4" t="n">
        <v>103</v>
      </c>
      <c r="M131" s="5" t="n">
        <v>1436.9</v>
      </c>
      <c r="N131" s="3" t="inlineStr">
        <is>
          <t>1</t>
        </is>
      </c>
      <c r="O131" s="3" t="inlineStr">
        <is>
          <t>-</t>
        </is>
      </c>
      <c r="P131" s="3" t="inlineStr">
        <is>
          <t>사진 有, 2순환 인접, 559형의 넉넉한 부지, 103형 신축 공장</t>
        </is>
      </c>
      <c r="Q131" s="6">
        <f>HYPERLINK("https://fin.land.naver.com/articles/2651815614", "매물Link")</f>
        <v/>
      </c>
      <c r="R131" s="6">
        <f>HYPERLINK("https://map.naver.com/p/search/남이면 가마리 160", "지도Link")</f>
        <v/>
      </c>
      <c r="S131" s="6">
        <f>HYPERLINK("http://www.eum.go.kr/web/ar/lu/luLandDet.jsp?pnu=4311231038101600000&amp;isNoScr=script&amp;mode=search", "토지이음")</f>
        <v/>
      </c>
      <c r="T131" s="3" t="inlineStr">
        <is>
          <t>태성</t>
        </is>
      </c>
      <c r="U131" s="4" t="n">
        <v>1</v>
      </c>
      <c r="V131" s="5" t="n">
        <v>58.5</v>
      </c>
      <c r="W131" s="4" t="n">
        <v>2787</v>
      </c>
      <c r="X131" s="3" t="inlineStr">
        <is>
          <t>대장없음</t>
        </is>
      </c>
      <c r="Y131" s="7" t="inlineStr">
        <is>
          <t>대장없음</t>
        </is>
      </c>
      <c r="Z131" s="3" t="inlineStr">
        <is>
          <t>대장없음</t>
        </is>
      </c>
      <c r="AA131" s="3" t="inlineStr">
        <is>
          <t>대장없음</t>
        </is>
      </c>
      <c r="AB131" s="3" t="inlineStr">
        <is>
          <t>대장없음</t>
        </is>
      </c>
      <c r="AC131" s="3" t="inlineStr">
        <is>
          <t>대장없음</t>
        </is>
      </c>
      <c r="AD131" s="3" t="inlineStr">
        <is>
          <t>세로한면(가)</t>
        </is>
      </c>
    </row>
    <row r="132">
      <c r="A132" s="3" t="inlineStr">
        <is>
          <t>남이면 가마리 160</t>
        </is>
      </c>
      <c r="B132" s="3" t="inlineStr">
        <is>
          <t>자연녹지지역</t>
        </is>
      </c>
      <c r="C132" s="3" t="inlineStr">
        <is>
          <t>답</t>
        </is>
      </c>
      <c r="D132" s="3" t="inlineStr">
        <is>
          <t>공장</t>
        </is>
      </c>
      <c r="E132" s="3" t="inlineStr">
        <is>
          <t>월세</t>
        </is>
      </c>
      <c r="F132" s="4" t="n">
        <v>4000</v>
      </c>
      <c r="G132" s="4" t="n">
        <v>300</v>
      </c>
      <c r="H132" s="4" t="n">
        <v>2178</v>
      </c>
      <c r="I132" s="4" t="n">
        <v>659</v>
      </c>
      <c r="J132" s="5" t="n">
        <v>0.5</v>
      </c>
      <c r="K132" s="4" t="n">
        <v>338</v>
      </c>
      <c r="L132" s="4" t="n">
        <v>102</v>
      </c>
      <c r="M132" s="5" t="n">
        <v>2.9</v>
      </c>
      <c r="N132" s="3" t="inlineStr">
        <is>
          <t>1</t>
        </is>
      </c>
      <c r="O132" s="3" t="inlineStr">
        <is>
          <t>B1</t>
        </is>
      </c>
      <c r="P132" s="3" t="inlineStr">
        <is>
          <t>남이면 신축102형, 제2종근생, 제조업 창고, 매매 가능, 부지 넓음</t>
        </is>
      </c>
      <c r="Q132" s="6">
        <f>HYPERLINK("https://fin.land.naver.com/articles/2652072234", "매물Link")</f>
        <v/>
      </c>
      <c r="R132" s="6">
        <f>HYPERLINK("https://map.naver.com/p/search/남이면 가마리 160", "지도Link")</f>
        <v/>
      </c>
      <c r="S132" s="6">
        <f>HYPERLINK("http://www.eum.go.kr/web/ar/lu/luLandDet.jsp?pnu=4311231038101600000&amp;isNoScr=script&amp;mode=search", "토지이음")</f>
        <v/>
      </c>
      <c r="T132" s="3" t="inlineStr">
        <is>
          <t>라인</t>
        </is>
      </c>
      <c r="U132" s="4" t="n">
        <v>1</v>
      </c>
      <c r="V132" s="5" t="n">
        <v>58.5</v>
      </c>
      <c r="W132" s="4" t="n">
        <v>2787</v>
      </c>
      <c r="X132" s="3" t="inlineStr">
        <is>
          <t>대장없음</t>
        </is>
      </c>
      <c r="Y132" s="7" t="inlineStr">
        <is>
          <t>대장없음</t>
        </is>
      </c>
      <c r="Z132" s="3" t="inlineStr">
        <is>
          <t>대장없음</t>
        </is>
      </c>
      <c r="AA132" s="3" t="inlineStr">
        <is>
          <t>대장없음</t>
        </is>
      </c>
      <c r="AB132" s="3" t="inlineStr">
        <is>
          <t>대장없음</t>
        </is>
      </c>
      <c r="AC132" s="3" t="inlineStr">
        <is>
          <t>대장없음</t>
        </is>
      </c>
      <c r="AD132" s="3" t="inlineStr">
        <is>
          <t>세로한면(가)</t>
        </is>
      </c>
    </row>
    <row r="133">
      <c r="A133" s="3" t="inlineStr">
        <is>
          <t>남이면 가마리 160</t>
        </is>
      </c>
      <c r="B133" s="3" t="inlineStr">
        <is>
          <t>자연녹지지역</t>
        </is>
      </c>
      <c r="C133" s="3" t="inlineStr">
        <is>
          <t>답</t>
        </is>
      </c>
      <c r="D133" s="3" t="inlineStr">
        <is>
          <t>창고</t>
        </is>
      </c>
      <c r="E133" s="3" t="inlineStr">
        <is>
          <t>월세</t>
        </is>
      </c>
      <c r="F133" s="4" t="n">
        <v>4000</v>
      </c>
      <c r="G133" s="4" t="n">
        <v>300</v>
      </c>
      <c r="H133" s="4" t="n">
        <v>2787</v>
      </c>
      <c r="I133" s="4" t="n">
        <v>843</v>
      </c>
      <c r="J133" s="5" t="n">
        <v>0.4</v>
      </c>
      <c r="K133" s="4" t="n">
        <v>340</v>
      </c>
      <c r="L133" s="4" t="n">
        <v>103</v>
      </c>
      <c r="M133" s="5" t="n">
        <v>2.9</v>
      </c>
      <c r="N133" s="3" t="inlineStr">
        <is>
          <t>1</t>
        </is>
      </c>
      <c r="O133" s="3" t="inlineStr">
        <is>
          <t>-</t>
        </is>
      </c>
      <c r="P133" s="3" t="inlineStr">
        <is>
          <t>건물103형 대지850형 2종근생제조</t>
        </is>
      </c>
      <c r="Q133" s="6">
        <f>HYPERLINK("https://fin.land.naver.com/articles/2649565704", "매물Link")</f>
        <v/>
      </c>
      <c r="R133" s="6">
        <f>HYPERLINK("https://map.naver.com/p/search/남이면 가마리 160", "지도Link")</f>
        <v/>
      </c>
      <c r="S133" s="6">
        <f>HYPERLINK("http://www.eum.go.kr/web/ar/lu/luLandDet.jsp?pnu=4311231038101600000&amp;isNoScr=script&amp;mode=search", "토지이음")</f>
        <v/>
      </c>
      <c r="T133" s="3" t="inlineStr">
        <is>
          <t>위더스</t>
        </is>
      </c>
      <c r="U133" s="4" t="n">
        <v>1</v>
      </c>
      <c r="V133" s="5" t="n">
        <v>58.5</v>
      </c>
      <c r="W133" s="4" t="n">
        <v>2787</v>
      </c>
      <c r="X133" s="3" t="inlineStr">
        <is>
          <t>대장없음</t>
        </is>
      </c>
      <c r="Y133" s="7" t="inlineStr">
        <is>
          <t>대장없음</t>
        </is>
      </c>
      <c r="Z133" s="3" t="inlineStr">
        <is>
          <t>대장없음</t>
        </is>
      </c>
      <c r="AA133" s="3" t="inlineStr">
        <is>
          <t>대장없음</t>
        </is>
      </c>
      <c r="AB133" s="3" t="inlineStr">
        <is>
          <t>대장없음</t>
        </is>
      </c>
      <c r="AC133" s="3" t="inlineStr">
        <is>
          <t>대장없음</t>
        </is>
      </c>
      <c r="AD133" s="3" t="inlineStr">
        <is>
          <t>세로한면(가)</t>
        </is>
      </c>
    </row>
    <row r="134">
      <c r="A134" s="3" t="inlineStr">
        <is>
          <t>남이면 가마리 293-1</t>
        </is>
      </c>
      <c r="B134" s="3" t="inlineStr">
        <is>
          <t>자연녹지지역</t>
        </is>
      </c>
      <c r="C134" s="3" t="inlineStr">
        <is>
          <t>대</t>
        </is>
      </c>
      <c r="D134" s="3" t="inlineStr">
        <is>
          <t>창고</t>
        </is>
      </c>
      <c r="E134" s="3" t="inlineStr">
        <is>
          <t>월세</t>
        </is>
      </c>
      <c r="F134" s="4" t="n">
        <v>1000</v>
      </c>
      <c r="G134" s="4" t="n">
        <v>65</v>
      </c>
      <c r="H134" s="4" t="n">
        <v>465</v>
      </c>
      <c r="I134" s="4" t="n">
        <v>141</v>
      </c>
      <c r="J134" s="5" t="n">
        <v>0.5</v>
      </c>
      <c r="K134" s="4" t="n">
        <v>275</v>
      </c>
      <c r="L134" s="4" t="n">
        <v>83</v>
      </c>
      <c r="M134" s="5" t="n">
        <v>0.8</v>
      </c>
      <c r="N134" s="3" t="inlineStr">
        <is>
          <t>2</t>
        </is>
      </c>
      <c r="O134" s="3" t="inlineStr">
        <is>
          <t>-</t>
        </is>
      </c>
      <c r="P134" s="3" t="inlineStr">
        <is>
          <t>가마리 세광고 인근 1층 창고 사무실</t>
        </is>
      </c>
      <c r="Q134" s="6">
        <f>HYPERLINK("https://fin.land.naver.com/articles/2650134957", "매물Link")</f>
        <v/>
      </c>
      <c r="R134" s="6">
        <f>HYPERLINK("https://map.naver.com/p/search/남이면 가마리 293-1", "지도Link")</f>
        <v/>
      </c>
      <c r="S134" s="6">
        <f>HYPERLINK("http://www.eum.go.kr/web/ar/lu/luLandDet.jsp?pnu=4311231038102930001&amp;isNoScr=script&amp;mode=search", "토지이음")</f>
        <v/>
      </c>
      <c r="T134" s="3" t="inlineStr">
        <is>
          <t>지구</t>
        </is>
      </c>
      <c r="U134" s="4" t="n">
        <v>1</v>
      </c>
      <c r="V134" s="5" t="n">
        <v>98.90000000000001</v>
      </c>
      <c r="W134" s="4" t="n">
        <v>416</v>
      </c>
      <c r="X134" s="3" t="inlineStr">
        <is>
          <t>대장없음</t>
        </is>
      </c>
      <c r="Y134" s="7" t="inlineStr">
        <is>
          <t>대장없음</t>
        </is>
      </c>
      <c r="Z134" s="3" t="inlineStr">
        <is>
          <t>대장없음</t>
        </is>
      </c>
      <c r="AA134" s="3" t="inlineStr">
        <is>
          <t>대장없음</t>
        </is>
      </c>
      <c r="AB134" s="3" t="inlineStr">
        <is>
          <t>대장없음</t>
        </is>
      </c>
      <c r="AC134" s="3" t="inlineStr">
        <is>
          <t>대장없음</t>
        </is>
      </c>
      <c r="AD134" s="3" t="inlineStr">
        <is>
          <t>세로한면(가)</t>
        </is>
      </c>
    </row>
    <row r="135">
      <c r="A135" s="3" t="inlineStr">
        <is>
          <t>남이면 가마리 293-1</t>
        </is>
      </c>
      <c r="B135" s="3" t="inlineStr">
        <is>
          <t>자연녹지지역</t>
        </is>
      </c>
      <c r="C135" s="3" t="inlineStr">
        <is>
          <t>대</t>
        </is>
      </c>
      <c r="D135" s="3" t="inlineStr">
        <is>
          <t>창고</t>
        </is>
      </c>
      <c r="E135" s="3" t="inlineStr">
        <is>
          <t>월세</t>
        </is>
      </c>
      <c r="F135" s="4" t="n">
        <v>1000</v>
      </c>
      <c r="G135" s="4" t="n">
        <v>70</v>
      </c>
      <c r="H135" s="4" t="n">
        <v>465</v>
      </c>
      <c r="I135" s="4" t="n">
        <v>141</v>
      </c>
      <c r="J135" s="5" t="n">
        <v>0.5</v>
      </c>
      <c r="K135" s="4" t="n">
        <v>275</v>
      </c>
      <c r="L135" s="4" t="n">
        <v>83</v>
      </c>
      <c r="M135" s="5" t="n">
        <v>0.8</v>
      </c>
      <c r="N135" s="3" t="inlineStr">
        <is>
          <t>2</t>
        </is>
      </c>
      <c r="O135" s="3" t="inlineStr">
        <is>
          <t>-</t>
        </is>
      </c>
      <c r="P135" s="3" t="inlineStr">
        <is>
          <t>창고또는 조용히 사용할수있는 용도로 사용하기 좋음.</t>
        </is>
      </c>
      <c r="Q135" s="6">
        <f>HYPERLINK("https://fin.land.naver.com/articles/2652446684", "매물Link")</f>
        <v/>
      </c>
      <c r="R135" s="6">
        <f>HYPERLINK("https://map.naver.com/p/search/남이면 가마리 293-1", "지도Link")</f>
        <v/>
      </c>
      <c r="S135" s="6">
        <f>HYPERLINK("http://www.eum.go.kr/web/ar/lu/luLandDet.jsp?pnu=4311231038102930001&amp;isNoScr=script&amp;mode=search", "토지이음")</f>
        <v/>
      </c>
      <c r="T135" s="3" t="inlineStr">
        <is>
          <t>청주해솔</t>
        </is>
      </c>
      <c r="U135" s="4" t="n">
        <v>1</v>
      </c>
      <c r="V135" s="5" t="n">
        <v>98.90000000000001</v>
      </c>
      <c r="W135" s="4" t="n">
        <v>416</v>
      </c>
      <c r="X135" s="3" t="inlineStr">
        <is>
          <t>대장없음</t>
        </is>
      </c>
      <c r="Y135" s="7" t="inlineStr">
        <is>
          <t>대장없음</t>
        </is>
      </c>
      <c r="Z135" s="3" t="inlineStr">
        <is>
          <t>대장없음</t>
        </is>
      </c>
      <c r="AA135" s="3" t="inlineStr">
        <is>
          <t>대장없음</t>
        </is>
      </c>
      <c r="AB135" s="3" t="inlineStr">
        <is>
          <t>대장없음</t>
        </is>
      </c>
      <c r="AC135" s="3" t="inlineStr">
        <is>
          <t>대장없음</t>
        </is>
      </c>
      <c r="AD135" s="3" t="inlineStr">
        <is>
          <t>세로한면(가)</t>
        </is>
      </c>
    </row>
    <row r="136">
      <c r="A136" s="3" t="inlineStr">
        <is>
          <t>남이면 가마리 293-1</t>
        </is>
      </c>
      <c r="B136" s="3" t="inlineStr">
        <is>
          <t>자연녹지지역</t>
        </is>
      </c>
      <c r="C136" s="3" t="inlineStr">
        <is>
          <t>대</t>
        </is>
      </c>
      <c r="D136" s="3" t="inlineStr">
        <is>
          <t>창고</t>
        </is>
      </c>
      <c r="E136" s="3" t="inlineStr">
        <is>
          <t>월세</t>
        </is>
      </c>
      <c r="F136" s="4" t="n">
        <v>1000</v>
      </c>
      <c r="G136" s="4" t="n">
        <v>70</v>
      </c>
      <c r="H136" s="4" t="n">
        <v>416</v>
      </c>
      <c r="I136" s="4" t="n">
        <v>126</v>
      </c>
      <c r="J136" s="5" t="n">
        <v>0.6</v>
      </c>
      <c r="K136" s="4" t="n">
        <v>275</v>
      </c>
      <c r="L136" s="4" t="n">
        <v>83</v>
      </c>
      <c r="M136" s="5" t="n">
        <v>0.8</v>
      </c>
      <c r="N136" s="3" t="inlineStr">
        <is>
          <t>1</t>
        </is>
      </c>
      <c r="O136" s="3" t="inlineStr">
        <is>
          <t>-</t>
        </is>
      </c>
      <c r="P136" s="3" t="inlineStr">
        <is>
          <t>소형 창고 추천, 즉시입주 가능</t>
        </is>
      </c>
      <c r="Q136" s="6">
        <f>HYPERLINK("https://fin.land.naver.com/articles/2650388132", "매물Link")</f>
        <v/>
      </c>
      <c r="R136" s="6">
        <f>HYPERLINK("https://map.naver.com/p/search/남이면 가마리 293-1", "지도Link")</f>
        <v/>
      </c>
      <c r="S136" s="6">
        <f>HYPERLINK("http://www.eum.go.kr/web/ar/lu/luLandDet.jsp?pnu=4311231038102930001&amp;isNoScr=script&amp;mode=search", "토지이음")</f>
        <v/>
      </c>
      <c r="T136" s="3" t="inlineStr">
        <is>
          <t>산남태강</t>
        </is>
      </c>
      <c r="U136" s="4" t="n">
        <v>1</v>
      </c>
      <c r="V136" s="5" t="n">
        <v>98.90000000000001</v>
      </c>
      <c r="W136" s="4" t="n">
        <v>416</v>
      </c>
      <c r="X136" s="3" t="inlineStr">
        <is>
          <t>대장없음</t>
        </is>
      </c>
      <c r="Y136" s="7" t="inlineStr">
        <is>
          <t>대장없음</t>
        </is>
      </c>
      <c r="Z136" s="3" t="inlineStr">
        <is>
          <t>대장없음</t>
        </is>
      </c>
      <c r="AA136" s="3" t="inlineStr">
        <is>
          <t>대장없음</t>
        </is>
      </c>
      <c r="AB136" s="3" t="inlineStr">
        <is>
          <t>대장없음</t>
        </is>
      </c>
      <c r="AC136" s="3" t="inlineStr">
        <is>
          <t>대장없음</t>
        </is>
      </c>
      <c r="AD136" s="3" t="inlineStr">
        <is>
          <t>세로한면(가)</t>
        </is>
      </c>
    </row>
    <row r="137">
      <c r="A137" s="3" t="inlineStr">
        <is>
          <t>남이면 가마리 293-1</t>
        </is>
      </c>
      <c r="B137" s="3" t="inlineStr">
        <is>
          <t>자연녹지지역</t>
        </is>
      </c>
      <c r="C137" s="3" t="inlineStr">
        <is>
          <t>대</t>
        </is>
      </c>
      <c r="D137" s="3" t="inlineStr">
        <is>
          <t>창고</t>
        </is>
      </c>
      <c r="E137" s="3" t="inlineStr">
        <is>
          <t>월세</t>
        </is>
      </c>
      <c r="F137" s="4" t="n">
        <v>1000</v>
      </c>
      <c r="G137" s="4" t="n">
        <v>65</v>
      </c>
      <c r="H137" s="4" t="n">
        <v>465</v>
      </c>
      <c r="I137" s="4" t="n">
        <v>141</v>
      </c>
      <c r="J137" s="5" t="n">
        <v>0.5</v>
      </c>
      <c r="K137" s="4" t="n">
        <v>190</v>
      </c>
      <c r="L137" s="4" t="n">
        <v>57</v>
      </c>
      <c r="M137" s="5" t="n">
        <v>1.1</v>
      </c>
      <c r="N137" s="3" t="inlineStr">
        <is>
          <t>2</t>
        </is>
      </c>
      <c r="O137" s="3" t="inlineStr">
        <is>
          <t>-</t>
        </is>
      </c>
      <c r="P137" s="3" t="inlineStr">
        <is>
          <t>1층 60형만 임대 창고로 활용</t>
        </is>
      </c>
      <c r="Q137" s="6">
        <f>HYPERLINK("https://fin.land.naver.com/articles/2652958822", "매물Link")</f>
        <v/>
      </c>
      <c r="R137" s="6">
        <f>HYPERLINK("https://map.naver.com/p/search/남이면 가마리 293-1", "지도Link")</f>
        <v/>
      </c>
      <c r="S137" s="6">
        <f>HYPERLINK("http://www.eum.go.kr/web/ar/lu/luLandDet.jsp?pnu=4311231038102930001&amp;isNoScr=script&amp;mode=search", "토지이음")</f>
        <v/>
      </c>
      <c r="T137" s="3" t="inlineStr">
        <is>
          <t>위더스</t>
        </is>
      </c>
      <c r="U137" s="4" t="n">
        <v>1</v>
      </c>
      <c r="V137" s="5" t="n">
        <v>98.90000000000001</v>
      </c>
      <c r="W137" s="4" t="n">
        <v>416</v>
      </c>
      <c r="X137" s="3" t="inlineStr">
        <is>
          <t>대장없음</t>
        </is>
      </c>
      <c r="Y137" s="7" t="inlineStr">
        <is>
          <t>대장없음</t>
        </is>
      </c>
      <c r="Z137" s="3" t="inlineStr">
        <is>
          <t>대장없음</t>
        </is>
      </c>
      <c r="AA137" s="3" t="inlineStr">
        <is>
          <t>대장없음</t>
        </is>
      </c>
      <c r="AB137" s="3" t="inlineStr">
        <is>
          <t>대장없음</t>
        </is>
      </c>
      <c r="AC137" s="3" t="inlineStr">
        <is>
          <t>대장없음</t>
        </is>
      </c>
      <c r="AD137" s="3" t="inlineStr">
        <is>
          <t>세로한면(가)</t>
        </is>
      </c>
    </row>
    <row r="138">
      <c r="A138" s="3" t="inlineStr">
        <is>
          <t>남이면 가마리 77</t>
        </is>
      </c>
      <c r="B138" s="3" t="inlineStr">
        <is>
          <t>자연녹지지역</t>
        </is>
      </c>
      <c r="C138" s="3" t="inlineStr">
        <is>
          <t>대</t>
        </is>
      </c>
      <c r="D138" s="3" t="inlineStr">
        <is>
          <t>공장</t>
        </is>
      </c>
      <c r="E138" s="3" t="inlineStr">
        <is>
          <t>월세</t>
        </is>
      </c>
      <c r="F138" s="4" t="n">
        <v>10000</v>
      </c>
      <c r="G138" s="4" t="n">
        <v>540</v>
      </c>
      <c r="H138" s="4" t="n">
        <v>2390</v>
      </c>
      <c r="I138" s="4" t="n">
        <v>723</v>
      </c>
      <c r="J138" s="5" t="n">
        <v>0.7</v>
      </c>
      <c r="K138" s="4" t="n">
        <v>305</v>
      </c>
      <c r="L138" s="4" t="n">
        <v>92</v>
      </c>
      <c r="M138" s="5" t="n">
        <v>5.9</v>
      </c>
      <c r="N138" s="3" t="inlineStr">
        <is>
          <t>1</t>
        </is>
      </c>
      <c r="O138" s="3" t="inlineStr">
        <is>
          <t>-</t>
        </is>
      </c>
      <c r="P138" s="3" t="inlineStr">
        <is>
          <t>신축.주차장넓고 카페.음식점.공업사.리퍼브매장등</t>
        </is>
      </c>
      <c r="Q138" s="6">
        <f>HYPERLINK("https://fin.land.naver.com/articles/2653097318", "매물Link")</f>
        <v/>
      </c>
      <c r="R138" s="6">
        <f>HYPERLINK("https://map.naver.com/p/search/남이면 가마리 77", "지도Link")</f>
        <v/>
      </c>
      <c r="S138" s="6">
        <f>HYPERLINK("http://www.eum.go.kr/web/ar/lu/luLandDet.jsp?pnu=4311231038100770000&amp;isNoScr=script&amp;mode=search", "토지이음")</f>
        <v/>
      </c>
      <c r="T138" s="3" t="inlineStr">
        <is>
          <t>자연</t>
        </is>
      </c>
      <c r="U138" s="4" t="n">
        <v>1</v>
      </c>
      <c r="V138" s="5" t="n">
        <v>96.59999999999999</v>
      </c>
      <c r="W138" s="4" t="n">
        <v>2390</v>
      </c>
      <c r="X138" s="3" t="inlineStr">
        <is>
          <t>대장없음</t>
        </is>
      </c>
      <c r="Y138" s="7" t="inlineStr">
        <is>
          <t>대장없음</t>
        </is>
      </c>
      <c r="Z138" s="3" t="inlineStr">
        <is>
          <t>대장없음</t>
        </is>
      </c>
      <c r="AA138" s="3" t="inlineStr">
        <is>
          <t>대장없음</t>
        </is>
      </c>
      <c r="AB138" s="3" t="inlineStr">
        <is>
          <t>대장없음</t>
        </is>
      </c>
      <c r="AC138" s="3" t="inlineStr">
        <is>
          <t>대장없음</t>
        </is>
      </c>
      <c r="AD138" s="3" t="inlineStr">
        <is>
          <t>세로한면(가)</t>
        </is>
      </c>
    </row>
    <row r="139">
      <c r="A139" s="3" t="inlineStr">
        <is>
          <t>남이면 가좌리 123-4</t>
        </is>
      </c>
      <c r="B139" s="3" t="inlineStr">
        <is>
          <t>자연녹지지역</t>
        </is>
      </c>
      <c r="C139" s="3" t="inlineStr">
        <is>
          <t>대</t>
        </is>
      </c>
      <c r="D139" s="3" t="inlineStr">
        <is>
          <t>창고</t>
        </is>
      </c>
      <c r="E139" s="3" t="inlineStr">
        <is>
          <t>매매</t>
        </is>
      </c>
      <c r="F139" s="4" t="n">
        <v>91000</v>
      </c>
      <c r="G139" s="4" t="n">
        <v>0</v>
      </c>
      <c r="H139" s="4" t="n">
        <v>1946</v>
      </c>
      <c r="I139" s="4" t="n">
        <v>589</v>
      </c>
      <c r="J139" s="5" t="n">
        <v>154.5</v>
      </c>
      <c r="K139" s="4" t="n">
        <v>179</v>
      </c>
      <c r="L139" s="4" t="n">
        <v>54</v>
      </c>
      <c r="M139" s="5" t="n">
        <v>1685.2</v>
      </c>
      <c r="N139" s="3" t="inlineStr">
        <is>
          <t>1</t>
        </is>
      </c>
      <c r="O139" s="3" t="inlineStr">
        <is>
          <t>-</t>
        </is>
      </c>
      <c r="P139" s="3" t="inlineStr">
        <is>
          <t>사진 有, 남이면 가좌삼거리 인근  2종근생 제조업소 매매</t>
        </is>
      </c>
      <c r="Q139" s="6">
        <f>HYPERLINK("https://fin.land.naver.com/articles/2654069673", "매물Link")</f>
        <v/>
      </c>
      <c r="R139" s="6">
        <f>HYPERLINK("https://map.naver.com/p/search/남이면 가좌리 123-4", "지도Link")</f>
        <v/>
      </c>
      <c r="S139" s="6">
        <f>HYPERLINK("http://www.eum.go.kr/web/ar/lu/luLandDet.jsp?pnu=4311231036101230004&amp;isNoScr=script&amp;mode=search", "토지이음")</f>
        <v/>
      </c>
      <c r="T139" s="3" t="inlineStr">
        <is>
          <t>태성</t>
        </is>
      </c>
      <c r="U139" s="4" t="n">
        <v>1</v>
      </c>
      <c r="V139" s="5" t="n">
        <v>66.8</v>
      </c>
      <c r="W139" s="4" t="n">
        <v>1652</v>
      </c>
      <c r="X139" s="3" t="inlineStr">
        <is>
          <t>대장없음</t>
        </is>
      </c>
      <c r="Y139" s="7" t="inlineStr">
        <is>
          <t>대장없음</t>
        </is>
      </c>
      <c r="Z139" s="3" t="inlineStr">
        <is>
          <t>대장없음</t>
        </is>
      </c>
      <c r="AA139" s="3" t="inlineStr">
        <is>
          <t>대장없음</t>
        </is>
      </c>
      <c r="AB139" s="3" t="inlineStr">
        <is>
          <t>대장없음</t>
        </is>
      </c>
      <c r="AC139" s="3" t="inlineStr">
        <is>
          <t>대장없음</t>
        </is>
      </c>
      <c r="AD139" s="3" t="inlineStr">
        <is>
          <t>세로한면(가)</t>
        </is>
      </c>
    </row>
    <row r="140">
      <c r="A140" s="3" t="inlineStr">
        <is>
          <t>남이면 가좌리 146</t>
        </is>
      </c>
      <c r="B140" s="3" t="inlineStr">
        <is>
          <t>자연녹지지역</t>
        </is>
      </c>
      <c r="C140" s="3" t="inlineStr">
        <is>
          <t>공장용지</t>
        </is>
      </c>
      <c r="D140" s="3" t="inlineStr">
        <is>
          <t>공장</t>
        </is>
      </c>
      <c r="E140" s="3" t="inlineStr">
        <is>
          <t>월세</t>
        </is>
      </c>
      <c r="F140" s="4" t="n">
        <v>12500</v>
      </c>
      <c r="G140" s="4" t="n">
        <v>1250</v>
      </c>
      <c r="H140" s="4" t="n">
        <v>8811</v>
      </c>
      <c r="I140" s="4" t="n">
        <v>2665</v>
      </c>
      <c r="J140" s="5" t="n">
        <v>0.5</v>
      </c>
      <c r="K140" s="4" t="n">
        <v>3360</v>
      </c>
      <c r="L140" s="4" t="n">
        <v>1016</v>
      </c>
      <c r="M140" s="5" t="n">
        <v>1.2</v>
      </c>
      <c r="N140" s="3" t="inlineStr">
        <is>
          <t>2</t>
        </is>
      </c>
      <c r="O140" s="3" t="inlineStr">
        <is>
          <t>-</t>
        </is>
      </c>
      <c r="P140" s="3" t="inlineStr">
        <is>
          <t>수도권 및 전국 물류 이동이 편리한 최적의 물류 입지.공장.창고</t>
        </is>
      </c>
      <c r="Q140" s="6">
        <f>HYPERLINK("https://fin.land.naver.com/articles/2649799972", "매물Link")</f>
        <v/>
      </c>
      <c r="R140" s="6">
        <f>HYPERLINK("https://map.naver.com/p/search/남이면 가좌리 146", "지도Link")</f>
        <v/>
      </c>
      <c r="S140" s="6">
        <f>HYPERLINK("http://www.eum.go.kr/web/ar/lu/luLandDet.jsp?pnu=4311231036101460000&amp;isNoScr=script&amp;mode=search", "토지이음")</f>
        <v/>
      </c>
      <c r="T140" s="3" t="inlineStr">
        <is>
          <t>재일</t>
        </is>
      </c>
      <c r="U140" s="4" t="n">
        <v>2</v>
      </c>
      <c r="V140" s="5" t="n">
        <v>65.40000000000001</v>
      </c>
      <c r="W140" s="4" t="n">
        <v>8811</v>
      </c>
      <c r="X140" s="3" t="inlineStr">
        <is>
          <t>대장없음</t>
        </is>
      </c>
      <c r="Y140" s="7" t="inlineStr">
        <is>
          <t>대장없음</t>
        </is>
      </c>
      <c r="Z140" s="3" t="inlineStr">
        <is>
          <t>대장없음</t>
        </is>
      </c>
      <c r="AA140" s="3" t="inlineStr">
        <is>
          <t>대장없음</t>
        </is>
      </c>
      <c r="AB140" s="3" t="inlineStr">
        <is>
          <t>대장없음</t>
        </is>
      </c>
      <c r="AC140" s="3" t="inlineStr">
        <is>
          <t>대장없음</t>
        </is>
      </c>
      <c r="AD140" s="3" t="inlineStr">
        <is>
          <t>세로한면(가)</t>
        </is>
      </c>
    </row>
    <row r="141">
      <c r="A141" s="3" t="inlineStr">
        <is>
          <t>남이면 가좌리 146</t>
        </is>
      </c>
      <c r="B141" s="3" t="inlineStr">
        <is>
          <t>자연녹지지역</t>
        </is>
      </c>
      <c r="C141" s="3" t="inlineStr">
        <is>
          <t>공장용지</t>
        </is>
      </c>
      <c r="D141" s="3" t="inlineStr">
        <is>
          <t>공장</t>
        </is>
      </c>
      <c r="E141" s="3" t="inlineStr">
        <is>
          <t>월세</t>
        </is>
      </c>
      <c r="F141" s="4" t="n">
        <v>12500</v>
      </c>
      <c r="G141" s="4" t="n">
        <v>1250</v>
      </c>
      <c r="H141" s="4" t="n">
        <v>8811</v>
      </c>
      <c r="I141" s="4" t="n">
        <v>2665</v>
      </c>
      <c r="J141" s="5" t="n">
        <v>0.5</v>
      </c>
      <c r="K141" s="4" t="n">
        <v>1680</v>
      </c>
      <c r="L141" s="4" t="n">
        <v>508</v>
      </c>
      <c r="M141" s="5" t="n">
        <v>2.5</v>
      </c>
      <c r="N141" s="3" t="inlineStr">
        <is>
          <t>2</t>
        </is>
      </c>
      <c r="O141" s="3" t="inlineStr">
        <is>
          <t>-</t>
        </is>
      </c>
      <c r="P141" s="3" t="inlineStr">
        <is>
          <t>대형차량 진출입 편리 도크시설완비 넓은 야적장</t>
        </is>
      </c>
      <c r="Q141" s="6">
        <f>HYPERLINK("https://fin.land.naver.com/articles/2650648946", "매물Link")</f>
        <v/>
      </c>
      <c r="R141" s="6">
        <f>HYPERLINK("https://map.naver.com/p/search/남이면 가좌리 146", "지도Link")</f>
        <v/>
      </c>
      <c r="S141" s="6">
        <f>HYPERLINK("http://www.eum.go.kr/web/ar/lu/luLandDet.jsp?pnu=4311231036101460000&amp;isNoScr=script&amp;mode=search", "토지이음")</f>
        <v/>
      </c>
      <c r="T141" s="3" t="inlineStr">
        <is>
          <t>재일합동사무소</t>
        </is>
      </c>
      <c r="U141" s="4" t="n">
        <v>1</v>
      </c>
      <c r="V141" s="5" t="n">
        <v>65.40000000000001</v>
      </c>
      <c r="W141" s="4" t="n">
        <v>8811</v>
      </c>
      <c r="X141" s="3" t="inlineStr">
        <is>
          <t>대장없음</t>
        </is>
      </c>
      <c r="Y141" s="7" t="inlineStr">
        <is>
          <t>대장없음</t>
        </is>
      </c>
      <c r="Z141" s="3" t="inlineStr">
        <is>
          <t>대장없음</t>
        </is>
      </c>
      <c r="AA141" s="3" t="inlineStr">
        <is>
          <t>대장없음</t>
        </is>
      </c>
      <c r="AB141" s="3" t="inlineStr">
        <is>
          <t>대장없음</t>
        </is>
      </c>
      <c r="AC141" s="3" t="inlineStr">
        <is>
          <t>대장없음</t>
        </is>
      </c>
      <c r="AD141" s="3" t="inlineStr">
        <is>
          <t>세로한면(가)</t>
        </is>
      </c>
    </row>
    <row r="142">
      <c r="A142" s="3" t="inlineStr">
        <is>
          <t>남이면 가좌리 146</t>
        </is>
      </c>
      <c r="B142" s="3" t="inlineStr">
        <is>
          <t>자연녹지지역</t>
        </is>
      </c>
      <c r="C142" s="3" t="inlineStr">
        <is>
          <t>공장용지</t>
        </is>
      </c>
      <c r="D142" s="3" t="inlineStr">
        <is>
          <t>공장</t>
        </is>
      </c>
      <c r="E142" s="3" t="inlineStr">
        <is>
          <t>월세</t>
        </is>
      </c>
      <c r="F142" s="4" t="n">
        <v>12500</v>
      </c>
      <c r="G142" s="4" t="n">
        <v>1250</v>
      </c>
      <c r="H142" s="4" t="n">
        <v>8811</v>
      </c>
      <c r="I142" s="4" t="n">
        <v>2665</v>
      </c>
      <c r="J142" s="5" t="n">
        <v>0.5</v>
      </c>
      <c r="K142" s="4" t="n">
        <v>1680</v>
      </c>
      <c r="L142" s="4" t="n">
        <v>508</v>
      </c>
      <c r="M142" s="5" t="n">
        <v>2.5</v>
      </c>
      <c r="N142" s="3" t="inlineStr">
        <is>
          <t>2</t>
        </is>
      </c>
      <c r="O142" s="3" t="inlineStr">
        <is>
          <t>-</t>
        </is>
      </c>
      <c r="P142" s="3" t="inlineStr">
        <is>
          <t>건물 1층 단독사용, 1층 앞 마당 약 1500형 단독사용, 도크 有</t>
        </is>
      </c>
      <c r="Q142" s="6">
        <f>HYPERLINK("https://fin.land.naver.com/articles/2650262891", "매물Link")</f>
        <v/>
      </c>
      <c r="R142" s="6">
        <f>HYPERLINK("https://map.naver.com/p/search/남이면 가좌리 146", "지도Link")</f>
        <v/>
      </c>
      <c r="S142" s="6">
        <f>HYPERLINK("http://www.eum.go.kr/web/ar/lu/luLandDet.jsp?pnu=4311231036101460000&amp;isNoScr=script&amp;mode=search", "토지이음")</f>
        <v/>
      </c>
      <c r="T142" s="3" t="inlineStr">
        <is>
          <t>태성</t>
        </is>
      </c>
      <c r="U142" s="4" t="n">
        <v>1</v>
      </c>
      <c r="V142" s="5" t="n">
        <v>65.40000000000001</v>
      </c>
      <c r="W142" s="4" t="n">
        <v>8811</v>
      </c>
      <c r="X142" s="3" t="inlineStr">
        <is>
          <t>대장없음</t>
        </is>
      </c>
      <c r="Y142" s="7" t="inlineStr">
        <is>
          <t>대장없음</t>
        </is>
      </c>
      <c r="Z142" s="3" t="inlineStr">
        <is>
          <t>대장없음</t>
        </is>
      </c>
      <c r="AA142" s="3" t="inlineStr">
        <is>
          <t>대장없음</t>
        </is>
      </c>
      <c r="AB142" s="3" t="inlineStr">
        <is>
          <t>대장없음</t>
        </is>
      </c>
      <c r="AC142" s="3" t="inlineStr">
        <is>
          <t>대장없음</t>
        </is>
      </c>
      <c r="AD142" s="3" t="inlineStr">
        <is>
          <t>세로한면(가)</t>
        </is>
      </c>
    </row>
    <row r="143">
      <c r="A143" s="3" t="inlineStr">
        <is>
          <t>남이면 가좌리 146</t>
        </is>
      </c>
      <c r="B143" s="3" t="inlineStr">
        <is>
          <t>자연녹지지역</t>
        </is>
      </c>
      <c r="C143" s="3" t="inlineStr">
        <is>
          <t>공장용지</t>
        </is>
      </c>
      <c r="D143" s="3" t="inlineStr">
        <is>
          <t>공장</t>
        </is>
      </c>
      <c r="E143" s="3" t="inlineStr">
        <is>
          <t>월세</t>
        </is>
      </c>
      <c r="F143" s="4" t="n">
        <v>12500</v>
      </c>
      <c r="G143" s="4" t="n">
        <v>1250</v>
      </c>
      <c r="H143" s="4" t="n">
        <v>8811</v>
      </c>
      <c r="I143" s="4" t="n">
        <v>2665</v>
      </c>
      <c r="J143" s="5" t="n">
        <v>0.5</v>
      </c>
      <c r="K143" s="4" t="n">
        <v>1680</v>
      </c>
      <c r="L143" s="4" t="n">
        <v>508</v>
      </c>
      <c r="M143" s="5" t="n">
        <v>2.5</v>
      </c>
      <c r="N143" s="3" t="inlineStr">
        <is>
          <t>1</t>
        </is>
      </c>
      <c r="O143" s="3" t="inlineStr">
        <is>
          <t>-</t>
        </is>
      </c>
      <c r="P143" s="3" t="inlineStr">
        <is>
          <t>남청주ic, 강서하이패스ic15분 민원 걱정없는 대형공장이나 물류창고</t>
        </is>
      </c>
      <c r="Q143" s="6">
        <f>HYPERLINK("https://fin.land.naver.com/articles/2651673588", "매물Link")</f>
        <v/>
      </c>
      <c r="R143" s="6">
        <f>HYPERLINK("https://map.naver.com/p/search/남이면 가좌리 146", "지도Link")</f>
        <v/>
      </c>
      <c r="S143" s="6">
        <f>HYPERLINK("http://www.eum.go.kr/web/ar/lu/luLandDet.jsp?pnu=4311231036101460000&amp;isNoScr=script&amp;mode=search", "토지이음")</f>
        <v/>
      </c>
      <c r="T143" s="3" t="inlineStr">
        <is>
          <t>더원</t>
        </is>
      </c>
      <c r="U143" s="4" t="n">
        <v>1</v>
      </c>
      <c r="V143" s="5" t="n">
        <v>65.40000000000001</v>
      </c>
      <c r="W143" s="4" t="n">
        <v>8811</v>
      </c>
      <c r="X143" s="3" t="inlineStr">
        <is>
          <t>대장없음</t>
        </is>
      </c>
      <c r="Y143" s="7" t="inlineStr">
        <is>
          <t>대장없음</t>
        </is>
      </c>
      <c r="Z143" s="3" t="inlineStr">
        <is>
          <t>대장없음</t>
        </is>
      </c>
      <c r="AA143" s="3" t="inlineStr">
        <is>
          <t>대장없음</t>
        </is>
      </c>
      <c r="AB143" s="3" t="inlineStr">
        <is>
          <t>대장없음</t>
        </is>
      </c>
      <c r="AC143" s="3" t="inlineStr">
        <is>
          <t>대장없음</t>
        </is>
      </c>
      <c r="AD143" s="3" t="inlineStr">
        <is>
          <t>세로한면(가)</t>
        </is>
      </c>
    </row>
    <row r="144">
      <c r="A144" s="3" t="inlineStr">
        <is>
          <t>남이면 가좌리 156-13</t>
        </is>
      </c>
      <c r="B144" s="3" t="inlineStr">
        <is>
          <t>보전녹지지역</t>
        </is>
      </c>
      <c r="C144" s="3" t="inlineStr">
        <is>
          <t>대</t>
        </is>
      </c>
      <c r="D144" s="3" t="inlineStr">
        <is>
          <t>창고</t>
        </is>
      </c>
      <c r="E144" s="3" t="inlineStr">
        <is>
          <t>매매</t>
        </is>
      </c>
      <c r="F144" s="4" t="n">
        <v>110000</v>
      </c>
      <c r="G144" s="4" t="n">
        <v>0</v>
      </c>
      <c r="H144" s="4" t="n">
        <v>2851</v>
      </c>
      <c r="I144" s="4" t="n">
        <v>862</v>
      </c>
      <c r="J144" s="5" t="n">
        <v>127.6</v>
      </c>
      <c r="K144" s="4" t="n">
        <v>495</v>
      </c>
      <c r="L144" s="4" t="n">
        <v>150</v>
      </c>
      <c r="M144" s="5" t="n">
        <v>733.3</v>
      </c>
      <c r="N144" s="3" t="inlineStr">
        <is>
          <t>1</t>
        </is>
      </c>
      <c r="O144" s="3" t="inlineStr">
        <is>
          <t>-</t>
        </is>
      </c>
      <c r="P144" s="3" t="inlineStr">
        <is>
          <t>남청주ic 10분거리이며 청주시내권 근접한 위치의 창고로 소매점 가능</t>
        </is>
      </c>
      <c r="Q144" s="6">
        <f>HYPERLINK("https://fin.land.naver.com/articles/2652625375", "매물Link")</f>
        <v/>
      </c>
      <c r="R144" s="6">
        <f>HYPERLINK("https://map.naver.com/p/search/남이면 가좌리 156-13", "지도Link")</f>
        <v/>
      </c>
      <c r="S144" s="6">
        <f>HYPERLINK("http://www.eum.go.kr/web/ar/lu/luLandDet.jsp?pnu=4311231036101560013&amp;isNoScr=script&amp;mode=search", "토지이음")</f>
        <v/>
      </c>
      <c r="T144" s="3" t="inlineStr">
        <is>
          <t>더원</t>
        </is>
      </c>
      <c r="U144" s="4" t="n">
        <v>1</v>
      </c>
      <c r="V144" s="5" t="n">
        <v>65.5</v>
      </c>
      <c r="W144" s="4" t="n">
        <v>2851</v>
      </c>
      <c r="X144" s="3" t="inlineStr">
        <is>
          <t>대장없음</t>
        </is>
      </c>
      <c r="Y144" s="7" t="inlineStr">
        <is>
          <t>대장없음</t>
        </is>
      </c>
      <c r="Z144" s="3" t="inlineStr">
        <is>
          <t>대장없음</t>
        </is>
      </c>
      <c r="AA144" s="3" t="inlineStr">
        <is>
          <t>대장없음</t>
        </is>
      </c>
      <c r="AB144" s="3" t="inlineStr">
        <is>
          <t>대장없음</t>
        </is>
      </c>
      <c r="AC144" s="3" t="inlineStr">
        <is>
          <t>대장없음</t>
        </is>
      </c>
      <c r="AD144" s="3" t="inlineStr">
        <is>
          <t>세로한면(가)</t>
        </is>
      </c>
    </row>
    <row r="145">
      <c r="A145" s="3" t="inlineStr">
        <is>
          <t>남이면 가좌리 156-13</t>
        </is>
      </c>
      <c r="B145" s="3" t="inlineStr">
        <is>
          <t>보전녹지지역</t>
        </is>
      </c>
      <c r="C145" s="3" t="inlineStr">
        <is>
          <t>대</t>
        </is>
      </c>
      <c r="D145" s="3" t="inlineStr">
        <is>
          <t>창고</t>
        </is>
      </c>
      <c r="E145" s="3" t="inlineStr">
        <is>
          <t>월세</t>
        </is>
      </c>
      <c r="F145" s="4" t="n">
        <v>3500</v>
      </c>
      <c r="G145" s="4" t="n">
        <v>375</v>
      </c>
      <c r="H145" s="4" t="n">
        <v>2851</v>
      </c>
      <c r="I145" s="4" t="n">
        <v>862</v>
      </c>
      <c r="J145" s="5" t="n">
        <v>0.4</v>
      </c>
      <c r="K145" s="4" t="n">
        <v>495</v>
      </c>
      <c r="L145" s="4" t="n">
        <v>150</v>
      </c>
      <c r="M145" s="5" t="n">
        <v>2.5</v>
      </c>
      <c r="N145" s="3" t="inlineStr">
        <is>
          <t>1</t>
        </is>
      </c>
      <c r="O145" s="3" t="inlineStr">
        <is>
          <t>-</t>
        </is>
      </c>
      <c r="P145" s="3" t="inlineStr">
        <is>
          <t>넓은 개인 전용마당 확보 신축급 깔끔한 창고임대</t>
        </is>
      </c>
      <c r="Q145" s="6">
        <f>HYPERLINK("https://fin.land.naver.com/articles/2652803675", "매물Link")</f>
        <v/>
      </c>
      <c r="R145" s="6">
        <f>HYPERLINK("https://map.naver.com/p/search/남이면 가좌리 156-13", "지도Link")</f>
        <v/>
      </c>
      <c r="S145" s="6">
        <f>HYPERLINK("http://www.eum.go.kr/web/ar/lu/luLandDet.jsp?pnu=4311231036101560013&amp;isNoScr=script&amp;mode=search", "토지이음")</f>
        <v/>
      </c>
      <c r="T145" s="3" t="inlineStr">
        <is>
          <t>태광</t>
        </is>
      </c>
      <c r="U145" s="4" t="n">
        <v>2</v>
      </c>
      <c r="V145" s="5" t="n">
        <v>65.5</v>
      </c>
      <c r="W145" s="4" t="n">
        <v>2851</v>
      </c>
      <c r="X145" s="3" t="inlineStr">
        <is>
          <t>대장없음</t>
        </is>
      </c>
      <c r="Y145" s="7" t="inlineStr">
        <is>
          <t>대장없음</t>
        </is>
      </c>
      <c r="Z145" s="3" t="inlineStr">
        <is>
          <t>대장없음</t>
        </is>
      </c>
      <c r="AA145" s="3" t="inlineStr">
        <is>
          <t>대장없음</t>
        </is>
      </c>
      <c r="AB145" s="3" t="inlineStr">
        <is>
          <t>대장없음</t>
        </is>
      </c>
      <c r="AC145" s="3" t="inlineStr">
        <is>
          <t>대장없음</t>
        </is>
      </c>
      <c r="AD145" s="3" t="inlineStr">
        <is>
          <t>세로한면(가)</t>
        </is>
      </c>
    </row>
    <row r="146">
      <c r="A146" s="3" t="inlineStr">
        <is>
          <t>남이면 가좌리 156-13</t>
        </is>
      </c>
      <c r="B146" s="3" t="inlineStr">
        <is>
          <t>보전녹지지역</t>
        </is>
      </c>
      <c r="C146" s="3" t="inlineStr">
        <is>
          <t>대</t>
        </is>
      </c>
      <c r="D146" s="3" t="inlineStr">
        <is>
          <t>창고</t>
        </is>
      </c>
      <c r="E146" s="3" t="inlineStr">
        <is>
          <t>매매</t>
        </is>
      </c>
      <c r="F146" s="4" t="n">
        <v>110000</v>
      </c>
      <c r="G146" s="4" t="n">
        <v>0</v>
      </c>
      <c r="H146" s="4" t="n">
        <v>2851</v>
      </c>
      <c r="I146" s="4" t="n">
        <v>862</v>
      </c>
      <c r="J146" s="5" t="n">
        <v>127.6</v>
      </c>
      <c r="K146" s="4" t="n">
        <v>495</v>
      </c>
      <c r="L146" s="4" t="n">
        <v>150</v>
      </c>
      <c r="M146" s="5" t="n">
        <v>733.3</v>
      </c>
      <c r="N146" s="3" t="inlineStr">
        <is>
          <t>1</t>
        </is>
      </c>
      <c r="O146" s="3" t="inlineStr">
        <is>
          <t>-</t>
        </is>
      </c>
      <c r="P146" s="3" t="inlineStr">
        <is>
          <t>남청주 ic10분 교통 편리한 공장,창고</t>
        </is>
      </c>
      <c r="Q146" s="6">
        <f>HYPERLINK("https://fin.land.naver.com/articles/2653222289", "매물Link")</f>
        <v/>
      </c>
      <c r="R146" s="6">
        <f>HYPERLINK("https://map.naver.com/p/search/남이면 가좌리 156-13", "지도Link")</f>
        <v/>
      </c>
      <c r="S146" s="6">
        <f>HYPERLINK("http://www.eum.go.kr/web/ar/lu/luLandDet.jsp?pnu=4311231036101560013&amp;isNoScr=script&amp;mode=search", "토지이음")</f>
        <v/>
      </c>
      <c r="T146" s="3" t="inlineStr">
        <is>
          <t>토담</t>
        </is>
      </c>
      <c r="U146" s="4" t="n">
        <v>1</v>
      </c>
      <c r="V146" s="5" t="n">
        <v>65.5</v>
      </c>
      <c r="W146" s="4" t="n">
        <v>2851</v>
      </c>
      <c r="X146" s="3" t="inlineStr">
        <is>
          <t>대장없음</t>
        </is>
      </c>
      <c r="Y146" s="7" t="inlineStr">
        <is>
          <t>대장없음</t>
        </is>
      </c>
      <c r="Z146" s="3" t="inlineStr">
        <is>
          <t>대장없음</t>
        </is>
      </c>
      <c r="AA146" s="3" t="inlineStr">
        <is>
          <t>대장없음</t>
        </is>
      </c>
      <c r="AB146" s="3" t="inlineStr">
        <is>
          <t>대장없음</t>
        </is>
      </c>
      <c r="AC146" s="3" t="inlineStr">
        <is>
          <t>대장없음</t>
        </is>
      </c>
      <c r="AD146" s="3" t="inlineStr">
        <is>
          <t>세로한면(가)</t>
        </is>
      </c>
    </row>
    <row r="147">
      <c r="A147" s="3" t="inlineStr">
        <is>
          <t>남이면 가좌리 156-17</t>
        </is>
      </c>
      <c r="B147" s="3" t="inlineStr">
        <is>
          <t>보전녹지지역</t>
        </is>
      </c>
      <c r="C147" s="3" t="inlineStr">
        <is>
          <t>대</t>
        </is>
      </c>
      <c r="D147" s="3" t="inlineStr">
        <is>
          <t>창고</t>
        </is>
      </c>
      <c r="E147" s="3" t="inlineStr">
        <is>
          <t>월세</t>
        </is>
      </c>
      <c r="F147" s="4" t="n">
        <v>3500</v>
      </c>
      <c r="G147" s="4" t="n">
        <v>350</v>
      </c>
      <c r="H147" s="4" t="n">
        <v>2467</v>
      </c>
      <c r="I147" s="4" t="n">
        <v>746</v>
      </c>
      <c r="J147" s="5" t="n">
        <v>0.5</v>
      </c>
      <c r="K147" s="4" t="n">
        <v>480</v>
      </c>
      <c r="L147" s="4" t="n">
        <v>145</v>
      </c>
      <c r="M147" s="5" t="n">
        <v>2.4</v>
      </c>
      <c r="N147" s="3" t="inlineStr">
        <is>
          <t>1</t>
        </is>
      </c>
      <c r="O147" s="3" t="inlineStr">
        <is>
          <t>-</t>
        </is>
      </c>
      <c r="P147" s="3" t="inlineStr">
        <is>
          <t>남청주ic 10분거리 단독 마당넓은 신축창고 즉시입주가능</t>
        </is>
      </c>
      <c r="Q147" s="6">
        <f>HYPERLINK("https://fin.land.naver.com/articles/2652625233", "매물Link")</f>
        <v/>
      </c>
      <c r="R147" s="6">
        <f>HYPERLINK("https://map.naver.com/p/search/남이면 가좌리 156-17", "지도Link")</f>
        <v/>
      </c>
      <c r="S147" s="6">
        <f>HYPERLINK("http://www.eum.go.kr/web/ar/lu/luLandDet.jsp?pnu=4311231036101560017&amp;isNoScr=script&amp;mode=search", "토지이음")</f>
        <v/>
      </c>
      <c r="T147" s="3" t="inlineStr">
        <is>
          <t>더원</t>
        </is>
      </c>
      <c r="U147" s="4" t="n">
        <v>1</v>
      </c>
      <c r="V147" s="5" t="n">
        <v>66.8</v>
      </c>
      <c r="W147" s="4" t="n">
        <v>2467</v>
      </c>
      <c r="X147" s="3" t="inlineStr">
        <is>
          <t>대장없음</t>
        </is>
      </c>
      <c r="Y147" s="7" t="inlineStr">
        <is>
          <t>대장없음</t>
        </is>
      </c>
      <c r="Z147" s="3" t="inlineStr">
        <is>
          <t>대장없음</t>
        </is>
      </c>
      <c r="AA147" s="3" t="inlineStr">
        <is>
          <t>대장없음</t>
        </is>
      </c>
      <c r="AB147" s="3" t="inlineStr">
        <is>
          <t>대장없음</t>
        </is>
      </c>
      <c r="AC147" s="3" t="inlineStr">
        <is>
          <t>대장없음</t>
        </is>
      </c>
      <c r="AD147" s="3" t="inlineStr">
        <is>
          <t>세로한면(가)</t>
        </is>
      </c>
    </row>
    <row r="148">
      <c r="A148" s="3" t="inlineStr">
        <is>
          <t>남이면 가좌리 156-18</t>
        </is>
      </c>
      <c r="B148" s="3" t="inlineStr">
        <is>
          <t>보전녹지지역</t>
        </is>
      </c>
      <c r="C148" s="3" t="inlineStr">
        <is>
          <t>대</t>
        </is>
      </c>
      <c r="D148" s="3" t="inlineStr">
        <is>
          <t>기타</t>
        </is>
      </c>
      <c r="E148" s="3" t="inlineStr">
        <is>
          <t>월세</t>
        </is>
      </c>
      <c r="F148" s="4" t="n">
        <v>3500</v>
      </c>
      <c r="G148" s="4" t="n">
        <v>375</v>
      </c>
      <c r="H148" s="4" t="n">
        <v>2476</v>
      </c>
      <c r="I148" s="4" t="n">
        <v>749</v>
      </c>
      <c r="J148" s="5" t="n">
        <v>0.5</v>
      </c>
      <c r="K148" s="4" t="n">
        <v>495</v>
      </c>
      <c r="L148" s="4" t="n">
        <v>150</v>
      </c>
      <c r="M148" s="5" t="n">
        <v>2.5</v>
      </c>
      <c r="N148" s="3" t="inlineStr">
        <is>
          <t>1</t>
        </is>
      </c>
      <c r="O148" s="3" t="inlineStr">
        <is>
          <t>-</t>
        </is>
      </c>
      <c r="P148" s="3" t="inlineStr">
        <is>
          <t>남이면 상가창고임대 마당넓고 단독사용 층고높은 귀한매물</t>
        </is>
      </c>
      <c r="Q148" s="6">
        <f>HYPERLINK("https://fin.land.naver.com/articles/2653207257", "매물Link")</f>
        <v/>
      </c>
      <c r="R148" s="6">
        <f>HYPERLINK("https://map.naver.com/p/search/남이면 가좌리 156-18", "지도Link")</f>
        <v/>
      </c>
      <c r="S148" s="6">
        <f>HYPERLINK("http://www.eum.go.kr/web/ar/lu/luLandDet.jsp?pnu=4311231036101560018&amp;isNoScr=script&amp;mode=search", "토지이음")</f>
        <v/>
      </c>
      <c r="T148" s="3" t="inlineStr">
        <is>
          <t>대박</t>
        </is>
      </c>
      <c r="U148" s="4" t="n">
        <v>1</v>
      </c>
      <c r="V148" s="5" t="n">
        <v>66.09999999999999</v>
      </c>
      <c r="W148" s="4" t="n">
        <v>2476</v>
      </c>
      <c r="X148" s="3" t="inlineStr">
        <is>
          <t>대장없음</t>
        </is>
      </c>
      <c r="Y148" s="7" t="inlineStr">
        <is>
          <t>대장없음</t>
        </is>
      </c>
      <c r="Z148" s="3" t="inlineStr">
        <is>
          <t>대장없음</t>
        </is>
      </c>
      <c r="AA148" s="3" t="inlineStr">
        <is>
          <t>대장없음</t>
        </is>
      </c>
      <c r="AB148" s="3" t="inlineStr">
        <is>
          <t>대장없음</t>
        </is>
      </c>
      <c r="AC148" s="3" t="inlineStr">
        <is>
          <t>대장없음</t>
        </is>
      </c>
      <c r="AD148" s="3" t="inlineStr">
        <is>
          <t>세로한면(가)</t>
        </is>
      </c>
    </row>
    <row r="149">
      <c r="A149" s="3" t="inlineStr">
        <is>
          <t>남이면 가좌리 166-3</t>
        </is>
      </c>
      <c r="B149" s="3" t="inlineStr">
        <is>
          <t>자연녹지지역</t>
        </is>
      </c>
      <c r="C149" s="3" t="inlineStr">
        <is>
          <t>공장용지</t>
        </is>
      </c>
      <c r="D149" s="3" t="inlineStr">
        <is>
          <t>공장</t>
        </is>
      </c>
      <c r="E149" s="3" t="inlineStr">
        <is>
          <t>매매</t>
        </is>
      </c>
      <c r="F149" s="4" t="n">
        <v>230000</v>
      </c>
      <c r="G149" s="4" t="n">
        <v>0</v>
      </c>
      <c r="H149" s="4" t="n">
        <v>4514</v>
      </c>
      <c r="I149" s="4" t="n">
        <v>1365</v>
      </c>
      <c r="J149" s="5" t="n">
        <v>168.5</v>
      </c>
      <c r="K149" s="4" t="n">
        <v>890</v>
      </c>
      <c r="L149" s="4" t="n">
        <v>269</v>
      </c>
      <c r="M149" s="5" t="n">
        <v>855</v>
      </c>
      <c r="N149" s="3" t="inlineStr">
        <is>
          <t>1</t>
        </is>
      </c>
      <c r="O149" s="3" t="inlineStr">
        <is>
          <t>-</t>
        </is>
      </c>
      <c r="P149" s="3" t="inlineStr">
        <is>
          <t>nan</t>
        </is>
      </c>
      <c r="Q149" s="6">
        <f>HYPERLINK("https://fin.land.naver.com/articles/2654422989", "매물Link")</f>
        <v/>
      </c>
      <c r="R149" s="6">
        <f>HYPERLINK("https://map.naver.com/p/search/남이면 가좌리 166-3", "지도Link")</f>
        <v/>
      </c>
      <c r="S149" s="6">
        <f>HYPERLINK("http://www.eum.go.kr/web/ar/lu/luLandDet.jsp?pnu=4311231036101660003&amp;isNoScr=script&amp;mode=search", "토지이음")</f>
        <v/>
      </c>
      <c r="T149" s="3" t="inlineStr">
        <is>
          <t>초정</t>
        </is>
      </c>
      <c r="U149" s="4" t="n">
        <v>1</v>
      </c>
      <c r="V149" s="5" t="n">
        <v>65.40000000000001</v>
      </c>
      <c r="W149" s="4" t="n">
        <v>1140</v>
      </c>
      <c r="X149" s="3" t="inlineStr">
        <is>
          <t>대장없음</t>
        </is>
      </c>
      <c r="Y149" s="7" t="inlineStr">
        <is>
          <t>대장없음</t>
        </is>
      </c>
      <c r="Z149" s="3" t="inlineStr">
        <is>
          <t>대장없음</t>
        </is>
      </c>
      <c r="AA149" s="3" t="inlineStr">
        <is>
          <t>대장없음</t>
        </is>
      </c>
      <c r="AB149" s="3" t="inlineStr">
        <is>
          <t>대장없음</t>
        </is>
      </c>
      <c r="AC149" s="3" t="inlineStr">
        <is>
          <t>대장없음</t>
        </is>
      </c>
      <c r="AD149" s="3" t="inlineStr">
        <is>
          <t>세로한면(가)</t>
        </is>
      </c>
    </row>
    <row r="150">
      <c r="A150" s="3" t="inlineStr">
        <is>
          <t>남이면 가좌리 176-2</t>
        </is>
      </c>
      <c r="B150" s="3" t="inlineStr">
        <is>
          <t>자연녹지지역</t>
        </is>
      </c>
      <c r="C150" s="3" t="inlineStr">
        <is>
          <t>대</t>
        </is>
      </c>
      <c r="D150" s="3" t="inlineStr">
        <is>
          <t>창고</t>
        </is>
      </c>
      <c r="E150" s="3" t="inlineStr">
        <is>
          <t>월세</t>
        </is>
      </c>
      <c r="F150" s="4" t="n">
        <v>1500</v>
      </c>
      <c r="G150" s="4" t="n">
        <v>100</v>
      </c>
      <c r="H150" s="4" t="n">
        <v>1322</v>
      </c>
      <c r="I150" s="4" t="n">
        <v>400</v>
      </c>
      <c r="J150" s="5" t="n">
        <v>0.2</v>
      </c>
      <c r="K150" s="4" t="n">
        <v>132</v>
      </c>
      <c r="L150" s="4" t="n">
        <v>40</v>
      </c>
      <c r="M150" s="5" t="n">
        <v>2.5</v>
      </c>
      <c r="N150" s="3" t="inlineStr">
        <is>
          <t>1</t>
        </is>
      </c>
      <c r="O150" s="3" t="inlineStr">
        <is>
          <t>-</t>
        </is>
      </c>
      <c r="P150" s="3" t="inlineStr">
        <is>
          <t>2차선접  대형차 진출입 편리 소형창고 임대 전력10kw</t>
        </is>
      </c>
      <c r="Q150" s="6">
        <f>HYPERLINK("https://fin.land.naver.com/articles/2651673705", "매물Link")</f>
        <v/>
      </c>
      <c r="R150" s="6">
        <f>HYPERLINK("https://map.naver.com/p/search/남이면 가좌리 176-2", "지도Link")</f>
        <v/>
      </c>
      <c r="S150" s="6">
        <f>HYPERLINK("http://www.eum.go.kr/web/ar/lu/luLandDet.jsp?pnu=4311231036101760002&amp;isNoScr=script&amp;mode=search", "토지이음")</f>
        <v/>
      </c>
      <c r="T150" s="3" t="inlineStr">
        <is>
          <t>더원</t>
        </is>
      </c>
      <c r="U150" s="4" t="n">
        <v>1</v>
      </c>
      <c r="V150" s="5" t="n">
        <v>66.8</v>
      </c>
      <c r="W150" s="4" t="n">
        <v>1322</v>
      </c>
      <c r="X150" s="3" t="inlineStr">
        <is>
          <t>대장없음</t>
        </is>
      </c>
      <c r="Y150" s="7" t="inlineStr">
        <is>
          <t>대장없음</t>
        </is>
      </c>
      <c r="Z150" s="3" t="inlineStr">
        <is>
          <t>대장없음</t>
        </is>
      </c>
      <c r="AA150" s="3" t="inlineStr">
        <is>
          <t>대장없음</t>
        </is>
      </c>
      <c r="AB150" s="3" t="inlineStr">
        <is>
          <t>대장없음</t>
        </is>
      </c>
      <c r="AC150" s="3" t="inlineStr">
        <is>
          <t>대장없음</t>
        </is>
      </c>
      <c r="AD150" s="3" t="inlineStr">
        <is>
          <t>세로한면(가)</t>
        </is>
      </c>
    </row>
    <row r="151">
      <c r="A151" s="3" t="inlineStr">
        <is>
          <t>남이면 가좌리 22-3</t>
        </is>
      </c>
      <c r="B151" s="3" t="inlineStr">
        <is>
          <t>자연녹지지역</t>
        </is>
      </c>
      <c r="C151" s="3" t="inlineStr">
        <is>
          <t>대</t>
        </is>
      </c>
      <c r="D151" s="3" t="inlineStr">
        <is>
          <t>공장</t>
        </is>
      </c>
      <c r="E151" s="3" t="inlineStr">
        <is>
          <t>매매</t>
        </is>
      </c>
      <c r="F151" s="4" t="n">
        <v>79000</v>
      </c>
      <c r="G151" s="4" t="n">
        <v>0</v>
      </c>
      <c r="H151" s="4" t="n">
        <v>1322</v>
      </c>
      <c r="I151" s="4" t="n">
        <v>400</v>
      </c>
      <c r="J151" s="5" t="n">
        <v>197.5</v>
      </c>
      <c r="K151" s="4" t="n">
        <v>237</v>
      </c>
      <c r="L151" s="4" t="n">
        <v>72</v>
      </c>
      <c r="M151" s="5" t="n">
        <v>1097.2</v>
      </c>
      <c r="N151" s="3" t="inlineStr">
        <is>
          <t>2</t>
        </is>
      </c>
      <c r="O151" s="3" t="inlineStr">
        <is>
          <t>-</t>
        </is>
      </c>
      <c r="P151" s="3" t="inlineStr">
        <is>
          <t>접근성좋고 주차장넓은 공장,창고건물로상수도사용하며2층주거도가능함</t>
        </is>
      </c>
      <c r="Q151" s="6">
        <f>HYPERLINK("https://fin.land.naver.com/articles/2650178837", "매물Link")</f>
        <v/>
      </c>
      <c r="R151" s="6">
        <f>HYPERLINK("https://map.naver.com/p/search/남이면 가좌리 22-3", "지도Link")</f>
        <v/>
      </c>
      <c r="S151" s="6">
        <f>HYPERLINK("http://www.eum.go.kr/web/ar/lu/luLandDet.jsp?pnu=4311231036100220003&amp;isNoScr=script&amp;mode=search", "토지이음")</f>
        <v/>
      </c>
      <c r="T151" s="3" t="inlineStr">
        <is>
          <t>매일</t>
        </is>
      </c>
      <c r="U151" s="4" t="n">
        <v>1</v>
      </c>
      <c r="V151" s="5" t="n">
        <v>66.8</v>
      </c>
      <c r="W151" s="4" t="n">
        <v>1197.5</v>
      </c>
      <c r="X151" s="3" t="inlineStr">
        <is>
          <t>대장없음</t>
        </is>
      </c>
      <c r="Y151" s="7" t="inlineStr">
        <is>
          <t>대장없음</t>
        </is>
      </c>
      <c r="Z151" s="3" t="inlineStr">
        <is>
          <t>대장없음</t>
        </is>
      </c>
      <c r="AA151" s="3" t="inlineStr">
        <is>
          <t>대장없음</t>
        </is>
      </c>
      <c r="AB151" s="3" t="inlineStr">
        <is>
          <t>대장없음</t>
        </is>
      </c>
      <c r="AC151" s="3" t="inlineStr">
        <is>
          <t>대장없음</t>
        </is>
      </c>
      <c r="AD151" s="3" t="inlineStr">
        <is>
          <t>세로한면(가)</t>
        </is>
      </c>
    </row>
    <row r="152">
      <c r="A152" s="3" t="inlineStr">
        <is>
          <t>남이면 가좌리 232</t>
        </is>
      </c>
      <c r="B152" s="3" t="inlineStr">
        <is>
          <t>자연녹지지역</t>
        </is>
      </c>
      <c r="C152" s="3" t="inlineStr">
        <is>
          <t>대</t>
        </is>
      </c>
      <c r="D152" s="3" t="inlineStr">
        <is>
          <t>창고</t>
        </is>
      </c>
      <c r="E152" s="3" t="inlineStr">
        <is>
          <t>매매</t>
        </is>
      </c>
      <c r="F152" s="4" t="n">
        <v>93000</v>
      </c>
      <c r="G152" s="4" t="n">
        <v>0</v>
      </c>
      <c r="H152" s="4" t="n">
        <v>1984</v>
      </c>
      <c r="I152" s="4" t="n">
        <v>600</v>
      </c>
      <c r="J152" s="5" t="n">
        <v>155</v>
      </c>
      <c r="K152" s="4" t="n">
        <v>396</v>
      </c>
      <c r="L152" s="4" t="n">
        <v>120</v>
      </c>
      <c r="M152" s="5" t="n">
        <v>775</v>
      </c>
      <c r="N152" s="3" t="inlineStr">
        <is>
          <t>1</t>
        </is>
      </c>
      <c r="O152" s="3" t="inlineStr">
        <is>
          <t>-</t>
        </is>
      </c>
      <c r="P152" s="3" t="inlineStr">
        <is>
          <t>남이초등학교 근처 위치좋음 층고 높음 땅모양 좋음</t>
        </is>
      </c>
      <c r="Q152" s="6">
        <f>HYPERLINK("https://fin.land.naver.com/articles/2651195617", "매물Link")</f>
        <v/>
      </c>
      <c r="R152" s="6">
        <f>HYPERLINK("https://map.naver.com/p/search/남이면 가좌리 232", "지도Link")</f>
        <v/>
      </c>
      <c r="S152" s="6">
        <f>HYPERLINK("http://www.eum.go.kr/web/ar/lu/luLandDet.jsp?pnu=4311231036102320000&amp;isNoScr=script&amp;mode=search", "토지이음")</f>
        <v/>
      </c>
      <c r="T152" s="3" t="inlineStr">
        <is>
          <t>명품 사무소</t>
        </is>
      </c>
      <c r="U152" s="4" t="n">
        <v>1</v>
      </c>
      <c r="V152" s="5" t="n">
        <v>65.40000000000001</v>
      </c>
      <c r="W152" s="4" t="n">
        <v>1984</v>
      </c>
      <c r="X152" s="3" t="inlineStr">
        <is>
          <t>대장없음</t>
        </is>
      </c>
      <c r="Y152" s="7" t="inlineStr">
        <is>
          <t>대장없음</t>
        </is>
      </c>
      <c r="Z152" s="3" t="inlineStr">
        <is>
          <t>대장없음</t>
        </is>
      </c>
      <c r="AA152" s="3" t="inlineStr">
        <is>
          <t>대장없음</t>
        </is>
      </c>
      <c r="AB152" s="3" t="inlineStr">
        <is>
          <t>대장없음</t>
        </is>
      </c>
      <c r="AC152" s="3" t="inlineStr">
        <is>
          <t>대장없음</t>
        </is>
      </c>
      <c r="AD152" s="3" t="inlineStr">
        <is>
          <t>세로한면(가)</t>
        </is>
      </c>
    </row>
    <row r="153">
      <c r="A153" s="3" t="inlineStr">
        <is>
          <t>남이면 갈원리 117-5</t>
        </is>
      </c>
      <c r="B153" s="3" t="inlineStr">
        <is>
          <t>자연녹지지역</t>
        </is>
      </c>
      <c r="C153" s="3" t="inlineStr">
        <is>
          <t>공장용지</t>
        </is>
      </c>
      <c r="D153" s="3" t="inlineStr">
        <is>
          <t>공장</t>
        </is>
      </c>
      <c r="E153" s="3" t="inlineStr">
        <is>
          <t>매매</t>
        </is>
      </c>
      <c r="F153" s="4" t="n">
        <v>117000</v>
      </c>
      <c r="G153" s="4" t="n">
        <v>0</v>
      </c>
      <c r="H153" s="4" t="n">
        <v>2421</v>
      </c>
      <c r="I153" s="4" t="n">
        <v>732</v>
      </c>
      <c r="J153" s="5" t="n">
        <v>159.8</v>
      </c>
      <c r="K153" s="4" t="n">
        <v>467</v>
      </c>
      <c r="L153" s="4" t="n">
        <v>141</v>
      </c>
      <c r="M153" s="5" t="n">
        <v>829.8</v>
      </c>
      <c r="N153" s="3" t="inlineStr">
        <is>
          <t>1</t>
        </is>
      </c>
      <c r="O153" s="3" t="inlineStr">
        <is>
          <t>-</t>
        </is>
      </c>
      <c r="P153" s="3" t="inlineStr">
        <is>
          <t>석곡사거리 약 12분 거리이며  2차선도로 접하여 대형차 진출입 편리</t>
        </is>
      </c>
      <c r="Q153" s="6">
        <f>HYPERLINK("https://fin.land.naver.com/articles/2651673733", "매물Link")</f>
        <v/>
      </c>
      <c r="R153" s="6">
        <f>HYPERLINK("https://map.naver.com/p/search/남이면 갈원리 117-5", "지도Link")</f>
        <v/>
      </c>
      <c r="S153" s="6">
        <f>HYPERLINK("http://www.eum.go.kr/web/ar/lu/luLandDet.jsp?pnu=4311231029101170005&amp;isNoScr=script&amp;mode=search", "토지이음")</f>
        <v/>
      </c>
      <c r="T153" s="3" t="inlineStr">
        <is>
          <t>더원</t>
        </is>
      </c>
      <c r="U153" s="4" t="n">
        <v>2</v>
      </c>
      <c r="V153" s="5" t="n">
        <v>46.7</v>
      </c>
      <c r="W153" s="4" t="n">
        <v>2421</v>
      </c>
      <c r="X153" s="3" t="inlineStr">
        <is>
          <t>대장없음</t>
        </is>
      </c>
      <c r="Y153" s="7" t="inlineStr">
        <is>
          <t>대장없음</t>
        </is>
      </c>
      <c r="Z153" s="3" t="inlineStr">
        <is>
          <t>대장없음</t>
        </is>
      </c>
      <c r="AA153" s="3" t="inlineStr">
        <is>
          <t>대장없음</t>
        </is>
      </c>
      <c r="AB153" s="3" t="inlineStr">
        <is>
          <t>대장없음</t>
        </is>
      </c>
      <c r="AC153" s="3" t="inlineStr">
        <is>
          <t>대장없음</t>
        </is>
      </c>
      <c r="AD153" s="3" t="inlineStr">
        <is>
          <t>세로한면(가)</t>
        </is>
      </c>
    </row>
    <row r="154">
      <c r="A154" s="3" t="inlineStr">
        <is>
          <t>남이면 갈원리 142-2</t>
        </is>
      </c>
      <c r="B154" s="3" t="inlineStr">
        <is>
          <t>계획관리지역</t>
        </is>
      </c>
      <c r="C154" s="3" t="inlineStr">
        <is>
          <t>대</t>
        </is>
      </c>
      <c r="D154" s="3" t="inlineStr">
        <is>
          <t>공장</t>
        </is>
      </c>
      <c r="E154" s="3" t="inlineStr">
        <is>
          <t>월세</t>
        </is>
      </c>
      <c r="F154" s="4" t="n">
        <v>2200</v>
      </c>
      <c r="G154" s="4" t="n">
        <v>220</v>
      </c>
      <c r="H154" s="4" t="n">
        <v>812</v>
      </c>
      <c r="I154" s="4" t="n">
        <v>246</v>
      </c>
      <c r="J154" s="5" t="n">
        <v>0.9</v>
      </c>
      <c r="K154" s="4" t="n">
        <v>321</v>
      </c>
      <c r="L154" s="4" t="n">
        <v>97</v>
      </c>
      <c r="M154" s="5" t="n">
        <v>2.3</v>
      </c>
      <c r="N154" s="3" t="inlineStr">
        <is>
          <t>1</t>
        </is>
      </c>
      <c r="O154" s="3" t="inlineStr">
        <is>
          <t>-</t>
        </is>
      </c>
      <c r="P154" s="3" t="inlineStr">
        <is>
          <t>남청주ic 15분 세종청주로 인근으로 세종 , 청주도심 접근성 좋음</t>
        </is>
      </c>
      <c r="Q154" s="6">
        <f>HYPERLINK("https://fin.land.naver.com/articles/2651793645", "매물Link")</f>
        <v/>
      </c>
      <c r="R154" s="6">
        <f>HYPERLINK("https://map.naver.com/p/search/남이면 갈원리 142-2", "지도Link")</f>
        <v/>
      </c>
      <c r="S154" s="6">
        <f>HYPERLINK("http://www.eum.go.kr/web/ar/lu/luLandDet.jsp?pnu=4311231029101420002&amp;isNoScr=script&amp;mode=search", "토지이음")</f>
        <v/>
      </c>
      <c r="T154" s="3" t="inlineStr">
        <is>
          <t>더원</t>
        </is>
      </c>
      <c r="U154" s="4" t="n">
        <v>1</v>
      </c>
      <c r="V154" s="5" t="n">
        <v>41.4</v>
      </c>
      <c r="W154" s="4" t="n">
        <v>812</v>
      </c>
      <c r="X154" s="3" t="inlineStr">
        <is>
          <t>대장없음</t>
        </is>
      </c>
      <c r="Y154" s="7" t="inlineStr">
        <is>
          <t>대장없음</t>
        </is>
      </c>
      <c r="Z154" s="3" t="inlineStr">
        <is>
          <t>대장없음</t>
        </is>
      </c>
      <c r="AA154" s="3" t="inlineStr">
        <is>
          <t>대장없음</t>
        </is>
      </c>
      <c r="AB154" s="3" t="inlineStr">
        <is>
          <t>대장없음</t>
        </is>
      </c>
      <c r="AC154" s="3" t="inlineStr">
        <is>
          <t>대장없음</t>
        </is>
      </c>
      <c r="AD154" s="3" t="inlineStr">
        <is>
          <t>세로한면(가)</t>
        </is>
      </c>
    </row>
    <row r="155">
      <c r="A155" s="3" t="inlineStr">
        <is>
          <t>남이면 갈원리 268-4</t>
        </is>
      </c>
      <c r="B155" s="3" t="inlineStr">
        <is>
          <t>계획관리지역</t>
        </is>
      </c>
      <c r="C155" s="3" t="inlineStr">
        <is>
          <t>공장용지</t>
        </is>
      </c>
      <c r="D155" s="3" t="inlineStr">
        <is>
          <t>공장</t>
        </is>
      </c>
      <c r="E155" s="3" t="inlineStr">
        <is>
          <t>매매</t>
        </is>
      </c>
      <c r="F155" s="4" t="n">
        <v>160000</v>
      </c>
      <c r="G155" s="4" t="n">
        <v>0</v>
      </c>
      <c r="H155" s="4" t="n">
        <v>5395</v>
      </c>
      <c r="I155" s="4" t="n">
        <v>1632</v>
      </c>
      <c r="J155" s="5" t="n">
        <v>98</v>
      </c>
      <c r="K155" s="4" t="n">
        <v>443</v>
      </c>
      <c r="L155" s="4" t="n">
        <v>134</v>
      </c>
      <c r="M155" s="5" t="n">
        <v>1194</v>
      </c>
      <c r="N155" s="3" t="inlineStr">
        <is>
          <t>1</t>
        </is>
      </c>
      <c r="O155" s="3" t="inlineStr">
        <is>
          <t>-</t>
        </is>
      </c>
      <c r="P155" s="3" t="inlineStr">
        <is>
          <t>세종시와 인접한 위치의 공장으로 주변시세보다 저렴 대형차진출입용이</t>
        </is>
      </c>
      <c r="Q155" s="6">
        <f>HYPERLINK("https://fin.land.naver.com/articles/2652625519", "매물Link")</f>
        <v/>
      </c>
      <c r="R155" s="6">
        <f>HYPERLINK("https://map.naver.com/p/search/남이면 갈원리 268-4", "지도Link")</f>
        <v/>
      </c>
      <c r="S155" s="6">
        <f>HYPERLINK("http://www.eum.go.kr/web/ar/lu/luLandDet.jsp?pnu=4311231029102680004&amp;isNoScr=script&amp;mode=search", "토지이음")</f>
        <v/>
      </c>
      <c r="T155" s="3" t="inlineStr">
        <is>
          <t>더원</t>
        </is>
      </c>
      <c r="U155" s="4" t="n">
        <v>1</v>
      </c>
      <c r="V155" s="5" t="n">
        <v>38</v>
      </c>
      <c r="W155" s="4" t="n">
        <v>5395</v>
      </c>
      <c r="X155" s="3" t="inlineStr">
        <is>
          <t>대장없음</t>
        </is>
      </c>
      <c r="Y155" s="7" t="inlineStr">
        <is>
          <t>대장없음</t>
        </is>
      </c>
      <c r="Z155" s="3" t="inlineStr">
        <is>
          <t>대장없음</t>
        </is>
      </c>
      <c r="AA155" s="3" t="inlineStr">
        <is>
          <t>대장없음</t>
        </is>
      </c>
      <c r="AB155" s="3" t="inlineStr">
        <is>
          <t>대장없음</t>
        </is>
      </c>
      <c r="AC155" s="3" t="inlineStr">
        <is>
          <t>대장없음</t>
        </is>
      </c>
      <c r="AD155" s="3" t="inlineStr">
        <is>
          <t>세로한면(가)</t>
        </is>
      </c>
    </row>
    <row r="156">
      <c r="A156" s="3" t="inlineStr">
        <is>
          <t>남이면 갈원리 79-4</t>
        </is>
      </c>
      <c r="B156" s="3" t="inlineStr">
        <is>
          <t>계획관리지역</t>
        </is>
      </c>
      <c r="C156" s="3" t="inlineStr">
        <is>
          <t>대</t>
        </is>
      </c>
      <c r="D156" s="3" t="inlineStr">
        <is>
          <t>공장</t>
        </is>
      </c>
      <c r="E156" s="3" t="inlineStr">
        <is>
          <t>월세</t>
        </is>
      </c>
      <c r="F156" s="4" t="n">
        <v>1800</v>
      </c>
      <c r="G156" s="4" t="n">
        <v>170</v>
      </c>
      <c r="H156" s="4" t="n">
        <v>631</v>
      </c>
      <c r="I156" s="4" t="n">
        <v>191</v>
      </c>
      <c r="J156" s="5" t="n">
        <v>0.9</v>
      </c>
      <c r="K156" s="4" t="n">
        <v>250</v>
      </c>
      <c r="L156" s="4" t="n">
        <v>76</v>
      </c>
      <c r="M156" s="5" t="n">
        <v>2.2</v>
      </c>
      <c r="N156" s="3" t="inlineStr">
        <is>
          <t>1</t>
        </is>
      </c>
      <c r="O156" s="3" t="inlineStr">
        <is>
          <t>-</t>
        </is>
      </c>
      <c r="P156" s="3" t="inlineStr">
        <is>
          <t>2차선도로변 신축급 2종근생 제조업이나 창고가능 층고 10m</t>
        </is>
      </c>
      <c r="Q156" s="6">
        <f>HYPERLINK("https://fin.land.naver.com/articles/2651793090", "매물Link")</f>
        <v/>
      </c>
      <c r="R156" s="6">
        <f>HYPERLINK("https://map.naver.com/p/search/남이면 갈원리 79-4", "지도Link")</f>
        <v/>
      </c>
      <c r="S156" s="6">
        <f>HYPERLINK("http://www.eum.go.kr/web/ar/lu/luLandDet.jsp?pnu=4311231029100790004&amp;isNoScr=script&amp;mode=search", "토지이음")</f>
        <v/>
      </c>
      <c r="T156" s="3" t="inlineStr">
        <is>
          <t>더원</t>
        </is>
      </c>
      <c r="U156" s="4" t="n">
        <v>1</v>
      </c>
      <c r="V156" s="5" t="n">
        <v>48.5</v>
      </c>
      <c r="W156" s="4" t="n">
        <v>631</v>
      </c>
      <c r="X156" s="3" t="inlineStr">
        <is>
          <t>대장없음</t>
        </is>
      </c>
      <c r="Y156" s="7" t="inlineStr">
        <is>
          <t>대장없음</t>
        </is>
      </c>
      <c r="Z156" s="3" t="inlineStr">
        <is>
          <t>대장없음</t>
        </is>
      </c>
      <c r="AA156" s="3" t="inlineStr">
        <is>
          <t>대장없음</t>
        </is>
      </c>
      <c r="AB156" s="3" t="inlineStr">
        <is>
          <t>대장없음</t>
        </is>
      </c>
      <c r="AC156" s="3" t="inlineStr">
        <is>
          <t>대장없음</t>
        </is>
      </c>
      <c r="AD156" s="3" t="inlineStr">
        <is>
          <t>소로한면</t>
        </is>
      </c>
    </row>
    <row r="157">
      <c r="A157" s="3" t="inlineStr">
        <is>
          <t>남이면 갈원리 8</t>
        </is>
      </c>
      <c r="B157" s="3" t="inlineStr">
        <is>
          <t>계획관리지역</t>
        </is>
      </c>
      <c r="C157" s="3" t="inlineStr">
        <is>
          <t>공장용지</t>
        </is>
      </c>
      <c r="D157" s="3" t="inlineStr">
        <is>
          <t>공장</t>
        </is>
      </c>
      <c r="E157" s="3" t="inlineStr">
        <is>
          <t>월세</t>
        </is>
      </c>
      <c r="F157" s="4" t="n">
        <v>3000</v>
      </c>
      <c r="G157" s="4" t="n">
        <v>300</v>
      </c>
      <c r="H157" s="4" t="n">
        <v>1157</v>
      </c>
      <c r="I157" s="4" t="n">
        <v>350</v>
      </c>
      <c r="J157" s="5" t="n">
        <v>0.9</v>
      </c>
      <c r="K157" s="4" t="n">
        <v>492</v>
      </c>
      <c r="L157" s="4" t="n">
        <v>149</v>
      </c>
      <c r="M157" s="5" t="n">
        <v>2</v>
      </c>
      <c r="N157" s="3" t="inlineStr">
        <is>
          <t>1</t>
        </is>
      </c>
      <c r="O157" s="3" t="inlineStr">
        <is>
          <t>-</t>
        </is>
      </c>
      <c r="P157" s="3" t="inlineStr">
        <is>
          <t>호이스트 설치된 저렴한 공장임대 진출입 매우 편리</t>
        </is>
      </c>
      <c r="Q157" s="6">
        <f>HYPERLINK("https://fin.land.naver.com/articles/2654141849", "매물Link")</f>
        <v/>
      </c>
      <c r="R157" s="6">
        <f>HYPERLINK("https://map.naver.com/p/search/남이면 갈원리 8", "지도Link")</f>
        <v/>
      </c>
      <c r="S157" s="6">
        <f>HYPERLINK("http://www.eum.go.kr/web/ar/lu/luLandDet.jsp?pnu=4311231029100080000&amp;isNoScr=script&amp;mode=search", "토지이음")</f>
        <v/>
      </c>
      <c r="T157" s="3" t="inlineStr">
        <is>
          <t>태광</t>
        </is>
      </c>
      <c r="U157" s="4" t="n">
        <v>4</v>
      </c>
      <c r="V157" s="5" t="n">
        <v>44.9</v>
      </c>
      <c r="W157" s="4" t="n">
        <v>2579</v>
      </c>
      <c r="X157" s="3" t="inlineStr">
        <is>
          <t>대장없음</t>
        </is>
      </c>
      <c r="Y157" s="7" t="inlineStr">
        <is>
          <t>대장없음</t>
        </is>
      </c>
      <c r="Z157" s="3" t="inlineStr">
        <is>
          <t>대장없음</t>
        </is>
      </c>
      <c r="AA157" s="3" t="inlineStr">
        <is>
          <t>대장없음</t>
        </is>
      </c>
      <c r="AB157" s="3" t="inlineStr">
        <is>
          <t>대장없음</t>
        </is>
      </c>
      <c r="AC157" s="3" t="inlineStr">
        <is>
          <t>대장없음</t>
        </is>
      </c>
      <c r="AD157" s="3" t="inlineStr">
        <is>
          <t>소로한면</t>
        </is>
      </c>
    </row>
    <row r="158">
      <c r="A158" s="3" t="inlineStr">
        <is>
          <t>남이면 갈원리 8</t>
        </is>
      </c>
      <c r="B158" s="3" t="inlineStr">
        <is>
          <t>계획관리지역</t>
        </is>
      </c>
      <c r="C158" s="3" t="inlineStr">
        <is>
          <t>공장용지</t>
        </is>
      </c>
      <c r="D158" s="3" t="inlineStr">
        <is>
          <t>공장</t>
        </is>
      </c>
      <c r="E158" s="3" t="inlineStr">
        <is>
          <t>월세</t>
        </is>
      </c>
      <c r="F158" s="4" t="n">
        <v>5200</v>
      </c>
      <c r="G158" s="4" t="n">
        <v>520</v>
      </c>
      <c r="H158" s="4" t="n">
        <v>5147</v>
      </c>
      <c r="I158" s="4" t="n">
        <v>1557</v>
      </c>
      <c r="J158" s="5" t="n">
        <v>0.3</v>
      </c>
      <c r="K158" s="4" t="n">
        <v>745</v>
      </c>
      <c r="L158" s="4" t="n">
        <v>225</v>
      </c>
      <c r="M158" s="5" t="n">
        <v>2.3</v>
      </c>
      <c r="N158" s="3" t="inlineStr">
        <is>
          <t>1</t>
        </is>
      </c>
      <c r="O158" s="3" t="inlineStr">
        <is>
          <t>-</t>
        </is>
      </c>
      <c r="P158" s="3" t="inlineStr">
        <is>
          <t>사진有 공장 임대</t>
        </is>
      </c>
      <c r="Q158" s="6">
        <f>HYPERLINK("https://fin.land.naver.com/articles/2653030443", "매물Link")</f>
        <v/>
      </c>
      <c r="R158" s="6">
        <f>HYPERLINK("https://map.naver.com/p/search/남이면 갈원리 8", "지도Link")</f>
        <v/>
      </c>
      <c r="S158" s="6">
        <f>HYPERLINK("http://www.eum.go.kr/web/ar/lu/luLandDet.jsp?pnu=4311231029100080000&amp;isNoScr=script&amp;mode=search", "토지이음")</f>
        <v/>
      </c>
      <c r="T158" s="3" t="inlineStr">
        <is>
          <t>월드</t>
        </is>
      </c>
      <c r="U158" s="4" t="n">
        <v>1</v>
      </c>
      <c r="V158" s="5" t="n">
        <v>44.9</v>
      </c>
      <c r="W158" s="4" t="n">
        <v>2579</v>
      </c>
      <c r="X158" s="3" t="inlineStr">
        <is>
          <t>대장없음</t>
        </is>
      </c>
      <c r="Y158" s="7" t="inlineStr">
        <is>
          <t>대장없음</t>
        </is>
      </c>
      <c r="Z158" s="3" t="inlineStr">
        <is>
          <t>대장없음</t>
        </is>
      </c>
      <c r="AA158" s="3" t="inlineStr">
        <is>
          <t>대장없음</t>
        </is>
      </c>
      <c r="AB158" s="3" t="inlineStr">
        <is>
          <t>대장없음</t>
        </is>
      </c>
      <c r="AC158" s="3" t="inlineStr">
        <is>
          <t>대장없음</t>
        </is>
      </c>
      <c r="AD158" s="3" t="inlineStr">
        <is>
          <t>소로한면</t>
        </is>
      </c>
    </row>
    <row r="159">
      <c r="A159" s="3" t="inlineStr">
        <is>
          <t>남이면 갈원리 8</t>
        </is>
      </c>
      <c r="B159" s="3" t="inlineStr">
        <is>
          <t>계획관리지역</t>
        </is>
      </c>
      <c r="C159" s="3" t="inlineStr">
        <is>
          <t>공장용지</t>
        </is>
      </c>
      <c r="D159" s="3" t="inlineStr">
        <is>
          <t>공장</t>
        </is>
      </c>
      <c r="E159" s="3" t="inlineStr">
        <is>
          <t>월세</t>
        </is>
      </c>
      <c r="F159" s="4" t="n">
        <v>3000</v>
      </c>
      <c r="G159" s="4" t="n">
        <v>290</v>
      </c>
      <c r="H159" s="4" t="n">
        <v>2579</v>
      </c>
      <c r="I159" s="4" t="n">
        <v>780</v>
      </c>
      <c r="J159" s="5" t="n">
        <v>0.4</v>
      </c>
      <c r="K159" s="4" t="n">
        <v>2579</v>
      </c>
      <c r="L159" s="4" t="n">
        <v>780</v>
      </c>
      <c r="M159" s="5" t="n">
        <v>0.4</v>
      </c>
      <c r="N159" s="3" t="inlineStr">
        <is>
          <t>1</t>
        </is>
      </c>
      <c r="O159" s="3" t="inlineStr">
        <is>
          <t>-</t>
        </is>
      </c>
      <c r="P159" s="3" t="inlineStr">
        <is>
          <t>2차선에서 바로 진출입 가능한 공장입니다</t>
        </is>
      </c>
      <c r="Q159" s="6">
        <f>HYPERLINK("https://fin.land.naver.com/articles/2653100457", "매물Link")</f>
        <v/>
      </c>
      <c r="R159" s="6">
        <f>HYPERLINK("https://map.naver.com/p/search/남이면 갈원리 8", "지도Link")</f>
        <v/>
      </c>
      <c r="S159" s="6">
        <f>HYPERLINK("http://www.eum.go.kr/web/ar/lu/luLandDet.jsp?pnu=4311231029100080000&amp;isNoScr=script&amp;mode=search", "토지이음")</f>
        <v/>
      </c>
      <c r="T159" s="3" t="inlineStr">
        <is>
          <t>복댕이</t>
        </is>
      </c>
      <c r="U159" s="4" t="n">
        <v>1</v>
      </c>
      <c r="V159" s="5" t="n">
        <v>44.9</v>
      </c>
      <c r="W159" s="4" t="n">
        <v>2579</v>
      </c>
      <c r="X159" s="3" t="inlineStr">
        <is>
          <t>대장없음</t>
        </is>
      </c>
      <c r="Y159" s="7" t="inlineStr">
        <is>
          <t>대장없음</t>
        </is>
      </c>
      <c r="Z159" s="3" t="inlineStr">
        <is>
          <t>대장없음</t>
        </is>
      </c>
      <c r="AA159" s="3" t="inlineStr">
        <is>
          <t>대장없음</t>
        </is>
      </c>
      <c r="AB159" s="3" t="inlineStr">
        <is>
          <t>대장없음</t>
        </is>
      </c>
      <c r="AC159" s="3" t="inlineStr">
        <is>
          <t>대장없음</t>
        </is>
      </c>
      <c r="AD159" s="3" t="inlineStr">
        <is>
          <t>소로한면</t>
        </is>
      </c>
    </row>
    <row r="160">
      <c r="A160" s="3" t="inlineStr">
        <is>
          <t>남이면 갈원리 8</t>
        </is>
      </c>
      <c r="B160" s="3" t="inlineStr">
        <is>
          <t>계획관리지역</t>
        </is>
      </c>
      <c r="C160" s="3" t="inlineStr">
        <is>
          <t>공장용지</t>
        </is>
      </c>
      <c r="D160" s="3" t="inlineStr">
        <is>
          <t>공장</t>
        </is>
      </c>
      <c r="E160" s="3" t="inlineStr">
        <is>
          <t>월세</t>
        </is>
      </c>
      <c r="F160" s="4" t="n">
        <v>3000</v>
      </c>
      <c r="G160" s="4" t="n">
        <v>300</v>
      </c>
      <c r="H160" s="4" t="n">
        <v>2579</v>
      </c>
      <c r="I160" s="4" t="n">
        <v>780</v>
      </c>
      <c r="J160" s="5" t="n">
        <v>0.4</v>
      </c>
      <c r="K160" s="4" t="n">
        <v>492</v>
      </c>
      <c r="L160" s="4" t="n">
        <v>149</v>
      </c>
      <c r="M160" s="5" t="n">
        <v>2</v>
      </c>
      <c r="N160" s="3" t="inlineStr">
        <is>
          <t>1</t>
        </is>
      </c>
      <c r="O160" s="3" t="inlineStr">
        <is>
          <t>-</t>
        </is>
      </c>
      <c r="P160" s="3" t="inlineStr">
        <is>
          <t>남청주 ic 15분 2차선도로 호이스트2.8톤 설치 공장등록가능</t>
        </is>
      </c>
      <c r="Q160" s="6">
        <f>HYPERLINK("https://fin.land.naver.com/articles/2651749996", "매물Link")</f>
        <v/>
      </c>
      <c r="R160" s="6">
        <f>HYPERLINK("https://map.naver.com/p/search/남이면 갈원리 8", "지도Link")</f>
        <v/>
      </c>
      <c r="S160" s="6">
        <f>HYPERLINK("http://www.eum.go.kr/web/ar/lu/luLandDet.jsp?pnu=4311231029100080000&amp;isNoScr=script&amp;mode=search", "토지이음")</f>
        <v/>
      </c>
      <c r="T160" s="3" t="inlineStr">
        <is>
          <t>더원</t>
        </is>
      </c>
      <c r="U160" s="4" t="n">
        <v>1</v>
      </c>
      <c r="V160" s="5" t="n">
        <v>44.9</v>
      </c>
      <c r="W160" s="4" t="n">
        <v>2579</v>
      </c>
      <c r="X160" s="3" t="inlineStr">
        <is>
          <t>대장없음</t>
        </is>
      </c>
      <c r="Y160" s="7" t="inlineStr">
        <is>
          <t>대장없음</t>
        </is>
      </c>
      <c r="Z160" s="3" t="inlineStr">
        <is>
          <t>대장없음</t>
        </is>
      </c>
      <c r="AA160" s="3" t="inlineStr">
        <is>
          <t>대장없음</t>
        </is>
      </c>
      <c r="AB160" s="3" t="inlineStr">
        <is>
          <t>대장없음</t>
        </is>
      </c>
      <c r="AC160" s="3" t="inlineStr">
        <is>
          <t>대장없음</t>
        </is>
      </c>
      <c r="AD160" s="3" t="inlineStr">
        <is>
          <t>소로한면</t>
        </is>
      </c>
    </row>
    <row r="161">
      <c r="A161" s="3" t="inlineStr">
        <is>
          <t>남이면 갈원리 8</t>
        </is>
      </c>
      <c r="B161" s="3" t="inlineStr">
        <is>
          <t>계획관리지역</t>
        </is>
      </c>
      <c r="C161" s="3" t="inlineStr">
        <is>
          <t>공장용지</t>
        </is>
      </c>
      <c r="D161" s="3" t="inlineStr">
        <is>
          <t>공장</t>
        </is>
      </c>
      <c r="E161" s="3" t="inlineStr">
        <is>
          <t>월세</t>
        </is>
      </c>
      <c r="F161" s="4" t="n">
        <v>3000</v>
      </c>
      <c r="G161" s="4" t="n">
        <v>300</v>
      </c>
      <c r="H161" s="4" t="n">
        <v>2579</v>
      </c>
      <c r="I161" s="4" t="n">
        <v>780</v>
      </c>
      <c r="J161" s="5" t="n">
        <v>0.4</v>
      </c>
      <c r="K161" s="4" t="n">
        <v>492</v>
      </c>
      <c r="L161" s="4" t="n">
        <v>149</v>
      </c>
      <c r="M161" s="5" t="n">
        <v>2</v>
      </c>
      <c r="N161" s="3" t="inlineStr">
        <is>
          <t>1</t>
        </is>
      </c>
      <c r="O161" s="3" t="inlineStr">
        <is>
          <t>-</t>
        </is>
      </c>
      <c r="P161" s="3" t="inlineStr">
        <is>
          <t>2차선 도로 접,민원 소지 없는 위치,호이스트 있음,대형차량 진출입 편함</t>
        </is>
      </c>
      <c r="Q161" s="6">
        <f>HYPERLINK("https://fin.land.naver.com/articles/2653871755", "매물Link")</f>
        <v/>
      </c>
      <c r="R161" s="6">
        <f>HYPERLINK("https://map.naver.com/p/search/남이면 갈원리 8", "지도Link")</f>
        <v/>
      </c>
      <c r="S161" s="6">
        <f>HYPERLINK("http://www.eum.go.kr/web/ar/lu/luLandDet.jsp?pnu=4311231029100080000&amp;isNoScr=script&amp;mode=search", "토지이음")</f>
        <v/>
      </c>
      <c r="T161" s="3" t="inlineStr">
        <is>
          <t>나는</t>
        </is>
      </c>
      <c r="U161" s="4" t="n">
        <v>1</v>
      </c>
      <c r="V161" s="5" t="n">
        <v>44.9</v>
      </c>
      <c r="W161" s="4" t="n">
        <v>2579</v>
      </c>
      <c r="X161" s="3" t="inlineStr">
        <is>
          <t>대장없음</t>
        </is>
      </c>
      <c r="Y161" s="7" t="inlineStr">
        <is>
          <t>대장없음</t>
        </is>
      </c>
      <c r="Z161" s="3" t="inlineStr">
        <is>
          <t>대장없음</t>
        </is>
      </c>
      <c r="AA161" s="3" t="inlineStr">
        <is>
          <t>대장없음</t>
        </is>
      </c>
      <c r="AB161" s="3" t="inlineStr">
        <is>
          <t>대장없음</t>
        </is>
      </c>
      <c r="AC161" s="3" t="inlineStr">
        <is>
          <t>대장없음</t>
        </is>
      </c>
      <c r="AD161" s="3" t="inlineStr">
        <is>
          <t>소로한면</t>
        </is>
      </c>
    </row>
    <row r="162">
      <c r="A162" s="3" t="inlineStr">
        <is>
          <t>남이면 갈원리 8-1</t>
        </is>
      </c>
      <c r="B162" s="3" t="inlineStr">
        <is>
          <t>자연녹지지역</t>
        </is>
      </c>
      <c r="C162" s="3" t="inlineStr">
        <is>
          <t>공장용지</t>
        </is>
      </c>
      <c r="D162" s="3" t="inlineStr">
        <is>
          <t>공장</t>
        </is>
      </c>
      <c r="E162" s="3" t="inlineStr">
        <is>
          <t>월세</t>
        </is>
      </c>
      <c r="F162" s="4" t="n">
        <v>2000</v>
      </c>
      <c r="G162" s="4" t="n">
        <v>180</v>
      </c>
      <c r="H162" s="4" t="n">
        <v>1279</v>
      </c>
      <c r="I162" s="4" t="n">
        <v>387</v>
      </c>
      <c r="J162" s="5" t="n">
        <v>0.5</v>
      </c>
      <c r="K162" s="4" t="n">
        <v>253</v>
      </c>
      <c r="L162" s="4" t="n">
        <v>77</v>
      </c>
      <c r="M162" s="5" t="n">
        <v>2.3</v>
      </c>
      <c r="N162" s="3" t="inlineStr">
        <is>
          <t>1</t>
        </is>
      </c>
      <c r="O162" s="3" t="inlineStr">
        <is>
          <t>-</t>
        </is>
      </c>
      <c r="P162" s="3" t="inlineStr">
        <is>
          <t>2차선 마당넓은 단독공장 호이스트2.8톤 전력20kw</t>
        </is>
      </c>
      <c r="Q162" s="6">
        <f>HYPERLINK("https://fin.land.naver.com/articles/2650873433", "매물Link")</f>
        <v/>
      </c>
      <c r="R162" s="6">
        <f>HYPERLINK("https://map.naver.com/p/search/남이면 갈원리 8-1", "지도Link")</f>
        <v/>
      </c>
      <c r="S162" s="6">
        <f>HYPERLINK("http://www.eum.go.kr/web/ar/lu/luLandDet.jsp?pnu=4311231029100080001&amp;isNoScr=script&amp;mode=search", "토지이음")</f>
        <v/>
      </c>
      <c r="T162" s="3" t="inlineStr">
        <is>
          <t>더원</t>
        </is>
      </c>
      <c r="U162" s="4" t="n">
        <v>1</v>
      </c>
      <c r="V162" s="5" t="n">
        <v>44.6</v>
      </c>
      <c r="W162" s="4" t="n">
        <v>1279</v>
      </c>
      <c r="X162" s="3" t="inlineStr">
        <is>
          <t>대장없음</t>
        </is>
      </c>
      <c r="Y162" s="7" t="inlineStr">
        <is>
          <t>대장없음</t>
        </is>
      </c>
      <c r="Z162" s="3" t="inlineStr">
        <is>
          <t>대장없음</t>
        </is>
      </c>
      <c r="AA162" s="3" t="inlineStr">
        <is>
          <t>대장없음</t>
        </is>
      </c>
      <c r="AB162" s="3" t="inlineStr">
        <is>
          <t>대장없음</t>
        </is>
      </c>
      <c r="AC162" s="3" t="inlineStr">
        <is>
          <t>대장없음</t>
        </is>
      </c>
      <c r="AD162" s="3" t="inlineStr">
        <is>
          <t>세로한면(가)</t>
        </is>
      </c>
    </row>
    <row r="163">
      <c r="A163" s="3" t="inlineStr">
        <is>
          <t>남이면 구미리 1</t>
        </is>
      </c>
      <c r="B163" s="3" t="inlineStr">
        <is>
          <t>계획관리지역</t>
        </is>
      </c>
      <c r="C163" s="3" t="inlineStr">
        <is>
          <t>공장용지</t>
        </is>
      </c>
      <c r="D163" s="3" t="inlineStr">
        <is>
          <t>공장</t>
        </is>
      </c>
      <c r="E163" s="3" t="inlineStr">
        <is>
          <t>월세</t>
        </is>
      </c>
      <c r="F163" s="4" t="n">
        <v>6500</v>
      </c>
      <c r="G163" s="4" t="n">
        <v>650</v>
      </c>
      <c r="H163" s="4" t="n">
        <v>2361</v>
      </c>
      <c r="I163" s="4" t="n">
        <v>714</v>
      </c>
      <c r="J163" s="5" t="n">
        <v>0.9</v>
      </c>
      <c r="K163" s="4" t="n">
        <v>940</v>
      </c>
      <c r="L163" s="4" t="n">
        <v>284</v>
      </c>
      <c r="M163" s="5" t="n">
        <v>2.3</v>
      </c>
      <c r="N163" s="3" t="inlineStr">
        <is>
          <t>1</t>
        </is>
      </c>
      <c r="O163" s="3" t="inlineStr">
        <is>
          <t>-</t>
        </is>
      </c>
      <c r="P163" s="3" t="inlineStr">
        <is>
          <t>대형차량 진출입 용이, 사무동 있음, 남청주ic 14분</t>
        </is>
      </c>
      <c r="Q163" s="6">
        <f>HYPERLINK("https://fin.land.naver.com/articles/2654492865", "매물Link")</f>
        <v/>
      </c>
      <c r="R163" s="6">
        <f>HYPERLINK("https://map.naver.com/p/search/남이면 구미리 1", "지도Link")</f>
        <v/>
      </c>
      <c r="S163" s="6">
        <f>HYPERLINK("http://www.eum.go.kr/web/ar/lu/luLandDet.jsp?pnu=4311231027100010000&amp;isNoScr=script&amp;mode=search", "토지이음")</f>
        <v/>
      </c>
      <c r="T163" s="3" t="inlineStr">
        <is>
          <t>나는</t>
        </is>
      </c>
      <c r="U163" s="4" t="n">
        <v>5</v>
      </c>
      <c r="V163" s="5" t="n">
        <v>42.8</v>
      </c>
      <c r="W163" s="4" t="n">
        <v>2361</v>
      </c>
      <c r="X163" s="3" t="inlineStr">
        <is>
          <t>대장없음</t>
        </is>
      </c>
      <c r="Y163" s="7" t="inlineStr">
        <is>
          <t>대장없음</t>
        </is>
      </c>
      <c r="Z163" s="3" t="inlineStr">
        <is>
          <t>대장없음</t>
        </is>
      </c>
      <c r="AA163" s="3" t="inlineStr">
        <is>
          <t>대장없음</t>
        </is>
      </c>
      <c r="AB163" s="3" t="inlineStr">
        <is>
          <t>대장없음</t>
        </is>
      </c>
      <c r="AC163" s="3" t="inlineStr">
        <is>
          <t>대장없음</t>
        </is>
      </c>
      <c r="AD163" s="3" t="inlineStr">
        <is>
          <t>세로한면(가)</t>
        </is>
      </c>
    </row>
    <row r="164">
      <c r="A164" s="3" t="inlineStr">
        <is>
          <t>남이면 구미리 1</t>
        </is>
      </c>
      <c r="B164" s="3" t="inlineStr">
        <is>
          <t>계획관리지역</t>
        </is>
      </c>
      <c r="C164" s="3" t="inlineStr">
        <is>
          <t>공장용지</t>
        </is>
      </c>
      <c r="D164" s="3" t="inlineStr">
        <is>
          <t>공장</t>
        </is>
      </c>
      <c r="E164" s="3" t="inlineStr">
        <is>
          <t>월세</t>
        </is>
      </c>
      <c r="F164" s="4" t="n">
        <v>6500</v>
      </c>
      <c r="G164" s="4" t="n">
        <v>650</v>
      </c>
      <c r="H164" s="4" t="n">
        <v>2361</v>
      </c>
      <c r="I164" s="4" t="n">
        <v>714</v>
      </c>
      <c r="J164" s="5" t="n">
        <v>0.9</v>
      </c>
      <c r="K164" s="4" t="n">
        <v>940</v>
      </c>
      <c r="L164" s="4" t="n">
        <v>284</v>
      </c>
      <c r="M164" s="5" t="n">
        <v>2.3</v>
      </c>
      <c r="N164" s="3" t="inlineStr">
        <is>
          <t>1</t>
        </is>
      </c>
      <c r="O164" s="3" t="inlineStr">
        <is>
          <t>-</t>
        </is>
      </c>
      <c r="P164" s="3" t="inlineStr">
        <is>
          <t>2차선에서 진출입 용이, 모든 대형 차량 출입 가능, 층고 11.5미터</t>
        </is>
      </c>
      <c r="Q164" s="6">
        <f>HYPERLINK("https://fin.land.naver.com/articles/2653396864", "매물Link")</f>
        <v/>
      </c>
      <c r="R164" s="6">
        <f>HYPERLINK("https://map.naver.com/p/search/남이면 구미리 1", "지도Link")</f>
        <v/>
      </c>
      <c r="S164" s="6">
        <f>HYPERLINK("http://www.eum.go.kr/web/ar/lu/luLandDet.jsp?pnu=4311231027100010000&amp;isNoScr=script&amp;mode=search", "토지이음")</f>
        <v/>
      </c>
      <c r="T164" s="3" t="inlineStr">
        <is>
          <t>제이</t>
        </is>
      </c>
      <c r="U164" s="4" t="n">
        <v>1</v>
      </c>
      <c r="V164" s="5" t="n">
        <v>42.8</v>
      </c>
      <c r="W164" s="4" t="n">
        <v>2361</v>
      </c>
      <c r="X164" s="3" t="inlineStr">
        <is>
          <t>대장없음</t>
        </is>
      </c>
      <c r="Y164" s="7" t="inlineStr">
        <is>
          <t>대장없음</t>
        </is>
      </c>
      <c r="Z164" s="3" t="inlineStr">
        <is>
          <t>대장없음</t>
        </is>
      </c>
      <c r="AA164" s="3" t="inlineStr">
        <is>
          <t>대장없음</t>
        </is>
      </c>
      <c r="AB164" s="3" t="inlineStr">
        <is>
          <t>대장없음</t>
        </is>
      </c>
      <c r="AC164" s="3" t="inlineStr">
        <is>
          <t>대장없음</t>
        </is>
      </c>
      <c r="AD164" s="3" t="inlineStr">
        <is>
          <t>세로한면(가)</t>
        </is>
      </c>
    </row>
    <row r="165">
      <c r="A165" s="3" t="inlineStr">
        <is>
          <t>남이면 구미리 150-11</t>
        </is>
      </c>
      <c r="B165" s="3" t="inlineStr">
        <is>
          <t>보전관리지역</t>
        </is>
      </c>
      <c r="C165" s="3" t="inlineStr">
        <is>
          <t>대</t>
        </is>
      </c>
      <c r="D165" s="3" t="inlineStr">
        <is>
          <t>공장</t>
        </is>
      </c>
      <c r="E165" s="3" t="inlineStr">
        <is>
          <t>월세</t>
        </is>
      </c>
      <c r="F165" s="4" t="n">
        <v>6500</v>
      </c>
      <c r="G165" s="4" t="n">
        <v>650</v>
      </c>
      <c r="H165" s="4" t="n">
        <v>2314</v>
      </c>
      <c r="I165" s="4" t="n">
        <v>700</v>
      </c>
      <c r="J165" s="5" t="n">
        <v>0.9</v>
      </c>
      <c r="K165" s="4" t="n">
        <v>891</v>
      </c>
      <c r="L165" s="4" t="n">
        <v>270</v>
      </c>
      <c r="M165" s="5" t="n">
        <v>2.4</v>
      </c>
      <c r="N165" s="3" t="inlineStr">
        <is>
          <t>1</t>
        </is>
      </c>
      <c r="O165" s="3" t="inlineStr">
        <is>
          <t>-</t>
        </is>
      </c>
      <c r="P165" s="3" t="inlineStr">
        <is>
          <t>전용마당 넓은 깔끔한 창고공장 임대</t>
        </is>
      </c>
      <c r="Q165" s="6">
        <f>HYPERLINK("https://fin.land.naver.com/articles/2652788629", "매물Link")</f>
        <v/>
      </c>
      <c r="R165" s="6">
        <f>HYPERLINK("https://map.naver.com/p/search/남이면 구미리 150-11", "지도Link")</f>
        <v/>
      </c>
      <c r="S165" s="6">
        <f>HYPERLINK("http://www.eum.go.kr/web/ar/lu/luLandDet.jsp?pnu=4311231027101500011&amp;isNoScr=script&amp;mode=search", "토지이음")</f>
        <v/>
      </c>
      <c r="T165" s="3" t="inlineStr">
        <is>
          <t>태광</t>
        </is>
      </c>
      <c r="U165" s="4" t="n">
        <v>1</v>
      </c>
      <c r="V165" s="5" t="n">
        <v>29.8</v>
      </c>
      <c r="W165" s="4" t="n">
        <v>4491</v>
      </c>
      <c r="X165" s="3" t="inlineStr">
        <is>
          <t>대장없음</t>
        </is>
      </c>
      <c r="Y165" s="7" t="inlineStr">
        <is>
          <t>대장없음</t>
        </is>
      </c>
      <c r="Z165" s="3" t="inlineStr">
        <is>
          <t>대장없음</t>
        </is>
      </c>
      <c r="AA165" s="3" t="inlineStr">
        <is>
          <t>대장없음</t>
        </is>
      </c>
      <c r="AB165" s="3" t="inlineStr">
        <is>
          <t>대장없음</t>
        </is>
      </c>
      <c r="AC165" s="3" t="inlineStr">
        <is>
          <t>대장없음</t>
        </is>
      </c>
      <c r="AD165" s="3" t="inlineStr">
        <is>
          <t>세로한면(가)</t>
        </is>
      </c>
    </row>
    <row r="166">
      <c r="A166" s="3" t="inlineStr">
        <is>
          <t>남이면 구미리 150-11</t>
        </is>
      </c>
      <c r="B166" s="3" t="inlineStr">
        <is>
          <t>보전관리지역</t>
        </is>
      </c>
      <c r="C166" s="3" t="inlineStr">
        <is>
          <t>대</t>
        </is>
      </c>
      <c r="D166" s="3" t="inlineStr">
        <is>
          <t>창고</t>
        </is>
      </c>
      <c r="E166" s="3" t="inlineStr">
        <is>
          <t>월세</t>
        </is>
      </c>
      <c r="F166" s="4" t="n">
        <v>6500</v>
      </c>
      <c r="G166" s="4" t="n">
        <v>650</v>
      </c>
      <c r="H166" s="4" t="n">
        <v>4491</v>
      </c>
      <c r="I166" s="4" t="n">
        <v>1359</v>
      </c>
      <c r="J166" s="5" t="n">
        <v>0.5</v>
      </c>
      <c r="K166" s="4" t="n">
        <v>891</v>
      </c>
      <c r="L166" s="4" t="n">
        <v>270</v>
      </c>
      <c r="M166" s="5" t="n">
        <v>2.4</v>
      </c>
      <c r="N166" s="3" t="inlineStr">
        <is>
          <t>1</t>
        </is>
      </c>
      <c r="O166" s="3" t="inlineStr">
        <is>
          <t>-</t>
        </is>
      </c>
      <c r="P166" s="3" t="inlineStr">
        <is>
          <t>청주ic, 남청주ic 15분 야드 넓어 야적장 필요한 업체추천</t>
        </is>
      </c>
      <c r="Q166" s="6">
        <f>HYPERLINK("https://fin.land.naver.com/articles/2649681124", "매물Link")</f>
        <v/>
      </c>
      <c r="R166" s="6">
        <f>HYPERLINK("https://map.naver.com/p/search/남이면 구미리 150-11", "지도Link")</f>
        <v/>
      </c>
      <c r="S166" s="6">
        <f>HYPERLINK("http://www.eum.go.kr/web/ar/lu/luLandDet.jsp?pnu=4311231027101500011&amp;isNoScr=script&amp;mode=search", "토지이음")</f>
        <v/>
      </c>
      <c r="T166" s="3" t="inlineStr">
        <is>
          <t>더원</t>
        </is>
      </c>
      <c r="U166" s="4" t="n">
        <v>1</v>
      </c>
      <c r="V166" s="5" t="n">
        <v>29.8</v>
      </c>
      <c r="W166" s="4" t="n">
        <v>4491</v>
      </c>
      <c r="X166" s="3" t="inlineStr">
        <is>
          <t>대장없음</t>
        </is>
      </c>
      <c r="Y166" s="7" t="inlineStr">
        <is>
          <t>대장없음</t>
        </is>
      </c>
      <c r="Z166" s="3" t="inlineStr">
        <is>
          <t>대장없음</t>
        </is>
      </c>
      <c r="AA166" s="3" t="inlineStr">
        <is>
          <t>대장없음</t>
        </is>
      </c>
      <c r="AB166" s="3" t="inlineStr">
        <is>
          <t>대장없음</t>
        </is>
      </c>
      <c r="AC166" s="3" t="inlineStr">
        <is>
          <t>대장없음</t>
        </is>
      </c>
      <c r="AD166" s="3" t="inlineStr">
        <is>
          <t>세로한면(가)</t>
        </is>
      </c>
    </row>
    <row r="167">
      <c r="A167" s="3" t="inlineStr">
        <is>
          <t>남이면 구미리 195-30</t>
        </is>
      </c>
      <c r="B167" s="3" t="inlineStr">
        <is>
          <t>계획관리지역</t>
        </is>
      </c>
      <c r="C167" s="3" t="inlineStr">
        <is>
          <t>공장용지</t>
        </is>
      </c>
      <c r="D167" s="3" t="inlineStr">
        <is>
          <t>공장</t>
        </is>
      </c>
      <c r="E167" s="3" t="inlineStr">
        <is>
          <t>월세</t>
        </is>
      </c>
      <c r="F167" s="4" t="n">
        <v>2000</v>
      </c>
      <c r="G167" s="4" t="n">
        <v>630</v>
      </c>
      <c r="H167" s="4" t="n">
        <v>4997</v>
      </c>
      <c r="I167" s="4" t="n">
        <v>1512</v>
      </c>
      <c r="J167" s="5" t="n">
        <v>0.4</v>
      </c>
      <c r="K167" s="4" t="n">
        <v>992</v>
      </c>
      <c r="L167" s="4" t="n">
        <v>300</v>
      </c>
      <c r="M167" s="5" t="n">
        <v>2.1</v>
      </c>
      <c r="N167" s="3" t="inlineStr">
        <is>
          <t>1</t>
        </is>
      </c>
      <c r="O167" s="3" t="inlineStr">
        <is>
          <t>-</t>
        </is>
      </c>
      <c r="P167" s="3" t="inlineStr">
        <is>
          <t>한적한 위치에 신축 공장입니다</t>
        </is>
      </c>
      <c r="Q167" s="6">
        <f>HYPERLINK("https://fin.land.naver.com/articles/2649723975", "매물Link")</f>
        <v/>
      </c>
      <c r="R167" s="6">
        <f>HYPERLINK("https://map.naver.com/p/search/남이면 구미리 195-30", "지도Link")</f>
        <v/>
      </c>
      <c r="S167" s="6">
        <f>HYPERLINK("http://www.eum.go.kr/web/ar/lu/luLandDet.jsp?pnu=4311231027101950030&amp;isNoScr=script&amp;mode=search", "토지이음")</f>
        <v/>
      </c>
      <c r="T167" s="3" t="inlineStr">
        <is>
          <t>복댕이</t>
        </is>
      </c>
      <c r="U167" s="4" t="n">
        <v>1</v>
      </c>
      <c r="V167" s="5" t="n">
        <v>38</v>
      </c>
      <c r="W167" s="4" t="n">
        <v>4997</v>
      </c>
      <c r="X167" s="3" t="inlineStr">
        <is>
          <t>대장없음</t>
        </is>
      </c>
      <c r="Y167" s="7" t="inlineStr">
        <is>
          <t>대장없음</t>
        </is>
      </c>
      <c r="Z167" s="3" t="inlineStr">
        <is>
          <t>대장없음</t>
        </is>
      </c>
      <c r="AA167" s="3" t="inlineStr">
        <is>
          <t>대장없음</t>
        </is>
      </c>
      <c r="AB167" s="3" t="inlineStr">
        <is>
          <t>대장없음</t>
        </is>
      </c>
      <c r="AC167" s="3" t="inlineStr">
        <is>
          <t>대장없음</t>
        </is>
      </c>
      <c r="AD167" s="3" t="inlineStr">
        <is>
          <t>세로한면(가)</t>
        </is>
      </c>
    </row>
    <row r="168">
      <c r="A168" s="3" t="inlineStr">
        <is>
          <t>남이면 구미리 195-30</t>
        </is>
      </c>
      <c r="B168" s="3" t="inlineStr">
        <is>
          <t>계획관리지역</t>
        </is>
      </c>
      <c r="C168" s="3" t="inlineStr">
        <is>
          <t>공장용지</t>
        </is>
      </c>
      <c r="D168" s="3" t="inlineStr">
        <is>
          <t>공장</t>
        </is>
      </c>
      <c r="E168" s="3" t="inlineStr">
        <is>
          <t>월세</t>
        </is>
      </c>
      <c r="F168" s="4" t="n">
        <v>7000</v>
      </c>
      <c r="G168" s="4" t="n">
        <v>690</v>
      </c>
      <c r="H168" s="4" t="n">
        <v>4997</v>
      </c>
      <c r="I168" s="4" t="n">
        <v>1512</v>
      </c>
      <c r="J168" s="5" t="n">
        <v>0.5</v>
      </c>
      <c r="K168" s="4" t="n">
        <v>992</v>
      </c>
      <c r="L168" s="4" t="n">
        <v>300</v>
      </c>
      <c r="M168" s="5" t="n">
        <v>2.3</v>
      </c>
      <c r="N168" s="3" t="inlineStr">
        <is>
          <t>1</t>
        </is>
      </c>
      <c r="O168" s="3" t="inlineStr">
        <is>
          <t>-</t>
        </is>
      </c>
      <c r="P168" s="3" t="inlineStr">
        <is>
          <t>세종청주 접근성좋은 위치 단독공장 즉시입주가능</t>
        </is>
      </c>
      <c r="Q168" s="6">
        <f>HYPERLINK("https://fin.land.naver.com/articles/2654142418", "매물Link")</f>
        <v/>
      </c>
      <c r="R168" s="6">
        <f>HYPERLINK("https://map.naver.com/p/search/남이면 구미리 195-30", "지도Link")</f>
        <v/>
      </c>
      <c r="S168" s="6">
        <f>HYPERLINK("http://www.eum.go.kr/web/ar/lu/luLandDet.jsp?pnu=4311231027101950030&amp;isNoScr=script&amp;mode=search", "토지이음")</f>
        <v/>
      </c>
      <c r="T168" s="3" t="inlineStr">
        <is>
          <t>더원</t>
        </is>
      </c>
      <c r="U168" s="4" t="n">
        <v>1</v>
      </c>
      <c r="V168" s="5" t="n">
        <v>38</v>
      </c>
      <c r="W168" s="4" t="n">
        <v>4997</v>
      </c>
      <c r="X168" s="3" t="inlineStr">
        <is>
          <t>대장없음</t>
        </is>
      </c>
      <c r="Y168" s="7" t="inlineStr">
        <is>
          <t>대장없음</t>
        </is>
      </c>
      <c r="Z168" s="3" t="inlineStr">
        <is>
          <t>대장없음</t>
        </is>
      </c>
      <c r="AA168" s="3" t="inlineStr">
        <is>
          <t>대장없음</t>
        </is>
      </c>
      <c r="AB168" s="3" t="inlineStr">
        <is>
          <t>대장없음</t>
        </is>
      </c>
      <c r="AC168" s="3" t="inlineStr">
        <is>
          <t>대장없음</t>
        </is>
      </c>
      <c r="AD168" s="3" t="inlineStr">
        <is>
          <t>세로한면(가)</t>
        </is>
      </c>
    </row>
    <row r="169">
      <c r="A169" s="3" t="inlineStr">
        <is>
          <t>남이면 구미리 195-30</t>
        </is>
      </c>
      <c r="B169" s="3" t="inlineStr">
        <is>
          <t>계획관리지역</t>
        </is>
      </c>
      <c r="C169" s="3" t="inlineStr">
        <is>
          <t>공장용지</t>
        </is>
      </c>
      <c r="D169" s="3" t="inlineStr">
        <is>
          <t>공장</t>
        </is>
      </c>
      <c r="E169" s="3" t="inlineStr">
        <is>
          <t>월세</t>
        </is>
      </c>
      <c r="F169" s="4" t="n">
        <v>7000</v>
      </c>
      <c r="G169" s="4" t="n">
        <v>690</v>
      </c>
      <c r="H169" s="4" t="n">
        <v>4997</v>
      </c>
      <c r="I169" s="4" t="n">
        <v>1512</v>
      </c>
      <c r="J169" s="5" t="n">
        <v>0.5</v>
      </c>
      <c r="K169" s="4" t="n">
        <v>992</v>
      </c>
      <c r="L169" s="4" t="n">
        <v>300</v>
      </c>
      <c r="M169" s="5" t="n">
        <v>2.3</v>
      </c>
      <c r="N169" s="3" t="inlineStr">
        <is>
          <t>1</t>
        </is>
      </c>
      <c r="O169" s="3" t="inlineStr">
        <is>
          <t>-</t>
        </is>
      </c>
      <c r="P169" s="3" t="inlineStr">
        <is>
          <t>즉시입주가능한 접근성좋은 창고</t>
        </is>
      </c>
      <c r="Q169" s="6">
        <f>HYPERLINK("https://fin.land.naver.com/articles/2650481082", "매물Link")</f>
        <v/>
      </c>
      <c r="R169" s="6">
        <f>HYPERLINK("https://map.naver.com/p/search/남이면 구미리 195-30", "지도Link")</f>
        <v/>
      </c>
      <c r="S169" s="6">
        <f>HYPERLINK("http://www.eum.go.kr/web/ar/lu/luLandDet.jsp?pnu=4311231027101950030&amp;isNoScr=script&amp;mode=search", "토지이음")</f>
        <v/>
      </c>
      <c r="T169" s="3" t="inlineStr">
        <is>
          <t>창고의여왕</t>
        </is>
      </c>
      <c r="U169" s="4" t="n">
        <v>2</v>
      </c>
      <c r="V169" s="5" t="n">
        <v>38</v>
      </c>
      <c r="W169" s="4" t="n">
        <v>4997</v>
      </c>
      <c r="X169" s="3" t="inlineStr">
        <is>
          <t>대장없음</t>
        </is>
      </c>
      <c r="Y169" s="7" t="inlineStr">
        <is>
          <t>대장없음</t>
        </is>
      </c>
      <c r="Z169" s="3" t="inlineStr">
        <is>
          <t>대장없음</t>
        </is>
      </c>
      <c r="AA169" s="3" t="inlineStr">
        <is>
          <t>대장없음</t>
        </is>
      </c>
      <c r="AB169" s="3" t="inlineStr">
        <is>
          <t>대장없음</t>
        </is>
      </c>
      <c r="AC169" s="3" t="inlineStr">
        <is>
          <t>대장없음</t>
        </is>
      </c>
      <c r="AD169" s="3" t="inlineStr">
        <is>
          <t>세로한면(가)</t>
        </is>
      </c>
    </row>
    <row r="170">
      <c r="A170" s="3" t="inlineStr">
        <is>
          <t>남이면 구미리 195-30</t>
        </is>
      </c>
      <c r="B170" s="3" t="inlineStr">
        <is>
          <t>계획관리지역</t>
        </is>
      </c>
      <c r="C170" s="3" t="inlineStr">
        <is>
          <t>공장용지</t>
        </is>
      </c>
      <c r="D170" s="3" t="inlineStr">
        <is>
          <t>공장</t>
        </is>
      </c>
      <c r="E170" s="3" t="inlineStr">
        <is>
          <t>매매</t>
        </is>
      </c>
      <c r="F170" s="4" t="n">
        <v>350000</v>
      </c>
      <c r="G170" s="4" t="n">
        <v>0</v>
      </c>
      <c r="H170" s="4" t="n">
        <v>4997</v>
      </c>
      <c r="I170" s="4" t="n">
        <v>1512</v>
      </c>
      <c r="J170" s="5" t="n">
        <v>231.5</v>
      </c>
      <c r="K170" s="4" t="n">
        <v>1988</v>
      </c>
      <c r="L170" s="4" t="n">
        <v>601</v>
      </c>
      <c r="M170" s="5" t="n">
        <v>582.4</v>
      </c>
      <c r="N170" s="3" t="inlineStr">
        <is>
          <t>1</t>
        </is>
      </c>
      <c r="O170" s="3" t="inlineStr">
        <is>
          <t>-</t>
        </is>
      </c>
      <c r="P170" s="3" t="inlineStr">
        <is>
          <t>산밑 한적한 위치에  공장입니다</t>
        </is>
      </c>
      <c r="Q170" s="6">
        <f>HYPERLINK("https://fin.land.naver.com/articles/2653097944", "매물Link")</f>
        <v/>
      </c>
      <c r="R170" s="6">
        <f>HYPERLINK("https://map.naver.com/p/search/남이면 구미리 195-30", "지도Link")</f>
        <v/>
      </c>
      <c r="S170" s="6">
        <f>HYPERLINK("http://www.eum.go.kr/web/ar/lu/luLandDet.jsp?pnu=4311231027101950030&amp;isNoScr=script&amp;mode=search", "토지이음")</f>
        <v/>
      </c>
      <c r="T170" s="3" t="inlineStr">
        <is>
          <t>복댕이</t>
        </is>
      </c>
      <c r="U170" s="4" t="n">
        <v>1</v>
      </c>
      <c r="V170" s="5" t="n">
        <v>38</v>
      </c>
      <c r="W170" s="4" t="n">
        <v>4997</v>
      </c>
      <c r="X170" s="3" t="inlineStr">
        <is>
          <t>대장없음</t>
        </is>
      </c>
      <c r="Y170" s="7" t="inlineStr">
        <is>
          <t>대장없음</t>
        </is>
      </c>
      <c r="Z170" s="3" t="inlineStr">
        <is>
          <t>대장없음</t>
        </is>
      </c>
      <c r="AA170" s="3" t="inlineStr">
        <is>
          <t>대장없음</t>
        </is>
      </c>
      <c r="AB170" s="3" t="inlineStr">
        <is>
          <t>대장없음</t>
        </is>
      </c>
      <c r="AC170" s="3" t="inlineStr">
        <is>
          <t>대장없음</t>
        </is>
      </c>
      <c r="AD170" s="3" t="inlineStr">
        <is>
          <t>세로한면(가)</t>
        </is>
      </c>
    </row>
    <row r="171">
      <c r="A171" s="3" t="inlineStr">
        <is>
          <t>남이면 구미리 195-30</t>
        </is>
      </c>
      <c r="B171" s="3" t="inlineStr">
        <is>
          <t>계획관리지역</t>
        </is>
      </c>
      <c r="C171" s="3" t="inlineStr">
        <is>
          <t>공장용지</t>
        </is>
      </c>
      <c r="D171" s="3" t="inlineStr">
        <is>
          <t>창고</t>
        </is>
      </c>
      <c r="E171" s="3" t="inlineStr">
        <is>
          <t>월세</t>
        </is>
      </c>
      <c r="F171" s="4" t="n">
        <v>7000</v>
      </c>
      <c r="G171" s="4" t="n">
        <v>690</v>
      </c>
      <c r="H171" s="4" t="n">
        <v>4997</v>
      </c>
      <c r="I171" s="4" t="n">
        <v>1512</v>
      </c>
      <c r="J171" s="5" t="n">
        <v>0.5</v>
      </c>
      <c r="K171" s="4" t="n">
        <v>996</v>
      </c>
      <c r="L171" s="4" t="n">
        <v>301</v>
      </c>
      <c r="M171" s="5" t="n">
        <v>2.3</v>
      </c>
      <c r="N171" s="3" t="inlineStr">
        <is>
          <t>1</t>
        </is>
      </c>
      <c r="O171" s="3" t="inlineStr">
        <is>
          <t>-</t>
        </is>
      </c>
      <c r="P171" s="3" t="inlineStr">
        <is>
          <t>신축대형창고 진출입 매우 편리</t>
        </is>
      </c>
      <c r="Q171" s="6">
        <f>HYPERLINK("https://fin.land.naver.com/articles/2651995817", "매물Link")</f>
        <v/>
      </c>
      <c r="R171" s="6">
        <f>HYPERLINK("https://map.naver.com/p/search/남이면 구미리 195-30", "지도Link")</f>
        <v/>
      </c>
      <c r="S171" s="6">
        <f>HYPERLINK("http://www.eum.go.kr/web/ar/lu/luLandDet.jsp?pnu=4311231027101950030&amp;isNoScr=script&amp;mode=search", "토지이음")</f>
        <v/>
      </c>
      <c r="T171" s="3" t="inlineStr">
        <is>
          <t>태광</t>
        </is>
      </c>
      <c r="U171" s="4" t="n">
        <v>1</v>
      </c>
      <c r="V171" s="5" t="n">
        <v>38</v>
      </c>
      <c r="W171" s="4" t="n">
        <v>4997</v>
      </c>
      <c r="X171" s="3" t="inlineStr">
        <is>
          <t>대장없음</t>
        </is>
      </c>
      <c r="Y171" s="7" t="inlineStr">
        <is>
          <t>대장없음</t>
        </is>
      </c>
      <c r="Z171" s="3" t="inlineStr">
        <is>
          <t>대장없음</t>
        </is>
      </c>
      <c r="AA171" s="3" t="inlineStr">
        <is>
          <t>대장없음</t>
        </is>
      </c>
      <c r="AB171" s="3" t="inlineStr">
        <is>
          <t>대장없음</t>
        </is>
      </c>
      <c r="AC171" s="3" t="inlineStr">
        <is>
          <t>대장없음</t>
        </is>
      </c>
      <c r="AD171" s="3" t="inlineStr">
        <is>
          <t>세로한면(가)</t>
        </is>
      </c>
    </row>
    <row r="172">
      <c r="A172" s="3" t="inlineStr">
        <is>
          <t>남이면 구미리 202-1</t>
        </is>
      </c>
      <c r="B172" s="3" t="inlineStr">
        <is>
          <t>계획관리지역</t>
        </is>
      </c>
      <c r="C172" s="3" t="inlineStr">
        <is>
          <t>창고용지</t>
        </is>
      </c>
      <c r="D172" s="3" t="inlineStr">
        <is>
          <t>창고</t>
        </is>
      </c>
      <c r="E172" s="3" t="inlineStr">
        <is>
          <t>월세</t>
        </is>
      </c>
      <c r="F172" s="4" t="n">
        <v>50000</v>
      </c>
      <c r="G172" s="4" t="n">
        <v>5000</v>
      </c>
      <c r="H172" s="4" t="n">
        <v>17187</v>
      </c>
      <c r="I172" s="4" t="n">
        <v>5199</v>
      </c>
      <c r="J172" s="5" t="n">
        <v>1</v>
      </c>
      <c r="K172" s="4" t="n">
        <v>6701</v>
      </c>
      <c r="L172" s="4" t="n">
        <v>2027</v>
      </c>
      <c r="M172" s="5" t="n">
        <v>2.5</v>
      </c>
      <c r="N172" s="3" t="inlineStr">
        <is>
          <t>1</t>
        </is>
      </c>
      <c r="O172" s="3" t="inlineStr">
        <is>
          <t>-</t>
        </is>
      </c>
      <c r="P172" s="3" t="inlineStr">
        <is>
          <t>소음걱정 없는 대형 물류창고 임대 대형차 진출입 용이 도크설치 완료</t>
        </is>
      </c>
      <c r="Q172" s="6">
        <f>HYPERLINK("https://fin.land.naver.com/articles/2649685752", "매물Link")</f>
        <v/>
      </c>
      <c r="R172" s="6">
        <f>HYPERLINK("https://map.naver.com/p/search/남이면 구미리 202-1", "지도Link")</f>
        <v/>
      </c>
      <c r="S172" s="6">
        <f>HYPERLINK("http://www.eum.go.kr/web/ar/lu/luLandDet.jsp?pnu=4311231027102020001&amp;isNoScr=script&amp;mode=search", "토지이음")</f>
        <v/>
      </c>
      <c r="T172" s="3" t="inlineStr">
        <is>
          <t>태광</t>
        </is>
      </c>
      <c r="U172" s="4" t="n">
        <v>1</v>
      </c>
      <c r="V172" s="5" t="n">
        <v>37.2</v>
      </c>
      <c r="W172" s="4" t="n">
        <v>17187</v>
      </c>
      <c r="X172" s="3" t="inlineStr">
        <is>
          <t>대장없음</t>
        </is>
      </c>
      <c r="Y172" s="7" t="inlineStr">
        <is>
          <t>대장없음</t>
        </is>
      </c>
      <c r="Z172" s="3" t="inlineStr">
        <is>
          <t>대장없음</t>
        </is>
      </c>
      <c r="AA172" s="3" t="inlineStr">
        <is>
          <t>대장없음</t>
        </is>
      </c>
      <c r="AB172" s="3" t="inlineStr">
        <is>
          <t>대장없음</t>
        </is>
      </c>
      <c r="AC172" s="3" t="inlineStr">
        <is>
          <t>대장없음</t>
        </is>
      </c>
      <c r="AD172" s="3" t="inlineStr">
        <is>
          <t>세로한면(가)</t>
        </is>
      </c>
    </row>
    <row r="173">
      <c r="A173" s="3" t="inlineStr">
        <is>
          <t>남이면 구미리 202-1</t>
        </is>
      </c>
      <c r="B173" s="3" t="inlineStr">
        <is>
          <t>계획관리지역</t>
        </is>
      </c>
      <c r="C173" s="3" t="inlineStr">
        <is>
          <t>창고용지</t>
        </is>
      </c>
      <c r="D173" s="3" t="inlineStr">
        <is>
          <t>창고</t>
        </is>
      </c>
      <c r="E173" s="3" t="inlineStr">
        <is>
          <t>월세</t>
        </is>
      </c>
      <c r="F173" s="4" t="n">
        <v>50000</v>
      </c>
      <c r="G173" s="4" t="n">
        <v>5000</v>
      </c>
      <c r="H173" s="4" t="n">
        <v>45034</v>
      </c>
      <c r="I173" s="4" t="n">
        <v>13623</v>
      </c>
      <c r="J173" s="5" t="n">
        <v>0.4</v>
      </c>
      <c r="K173" s="4" t="n">
        <v>6701</v>
      </c>
      <c r="L173" s="4" t="n">
        <v>2027</v>
      </c>
      <c r="M173" s="5" t="n">
        <v>2.5</v>
      </c>
      <c r="N173" s="3" t="inlineStr">
        <is>
          <t>1</t>
        </is>
      </c>
      <c r="O173" s="3" t="inlineStr">
        <is>
          <t>-</t>
        </is>
      </c>
      <c r="P173" s="3" t="inlineStr">
        <is>
          <t>사진有 물류창고 임대</t>
        </is>
      </c>
      <c r="Q173" s="6">
        <f>HYPERLINK("https://fin.land.naver.com/articles/2652355624", "매물Link")</f>
        <v/>
      </c>
      <c r="R173" s="6">
        <f>HYPERLINK("https://map.naver.com/p/search/남이면 구미리 202-1", "지도Link")</f>
        <v/>
      </c>
      <c r="S173" s="6">
        <f>HYPERLINK("http://www.eum.go.kr/web/ar/lu/luLandDet.jsp?pnu=4311231027102020001&amp;isNoScr=script&amp;mode=search", "토지이음")</f>
        <v/>
      </c>
      <c r="T173" s="3" t="inlineStr">
        <is>
          <t>월드</t>
        </is>
      </c>
      <c r="U173" s="4" t="n">
        <v>1</v>
      </c>
      <c r="V173" s="5" t="n">
        <v>37.2</v>
      </c>
      <c r="W173" s="4" t="n">
        <v>17187</v>
      </c>
      <c r="X173" s="3" t="inlineStr">
        <is>
          <t>대장없음</t>
        </is>
      </c>
      <c r="Y173" s="7" t="inlineStr">
        <is>
          <t>대장없음</t>
        </is>
      </c>
      <c r="Z173" s="3" t="inlineStr">
        <is>
          <t>대장없음</t>
        </is>
      </c>
      <c r="AA173" s="3" t="inlineStr">
        <is>
          <t>대장없음</t>
        </is>
      </c>
      <c r="AB173" s="3" t="inlineStr">
        <is>
          <t>대장없음</t>
        </is>
      </c>
      <c r="AC173" s="3" t="inlineStr">
        <is>
          <t>대장없음</t>
        </is>
      </c>
      <c r="AD173" s="3" t="inlineStr">
        <is>
          <t>세로한면(가)</t>
        </is>
      </c>
    </row>
    <row r="174">
      <c r="A174" s="3" t="inlineStr">
        <is>
          <t>남이면 구미리 202-1</t>
        </is>
      </c>
      <c r="B174" s="3" t="inlineStr">
        <is>
          <t>계획관리지역</t>
        </is>
      </c>
      <c r="C174" s="3" t="inlineStr">
        <is>
          <t>창고용지</t>
        </is>
      </c>
      <c r="D174" s="3" t="inlineStr">
        <is>
          <t>창고</t>
        </is>
      </c>
      <c r="E174" s="3" t="inlineStr">
        <is>
          <t>월세</t>
        </is>
      </c>
      <c r="F174" s="4" t="n">
        <v>50000</v>
      </c>
      <c r="G174" s="4" t="n">
        <v>5000</v>
      </c>
      <c r="H174" s="4" t="n">
        <v>17187</v>
      </c>
      <c r="I174" s="4" t="n">
        <v>5199</v>
      </c>
      <c r="J174" s="5" t="n">
        <v>1</v>
      </c>
      <c r="K174" s="4" t="n">
        <v>6600</v>
      </c>
      <c r="L174" s="4" t="n">
        <v>1996</v>
      </c>
      <c r="M174" s="5" t="n">
        <v>2.5</v>
      </c>
      <c r="N174" s="3" t="inlineStr">
        <is>
          <t>1</t>
        </is>
      </c>
      <c r="O174" s="3" t="inlineStr">
        <is>
          <t>-</t>
        </is>
      </c>
      <c r="P174" s="3" t="inlineStr">
        <is>
          <t>사진有 남청주ic 인근 대형물류창고</t>
        </is>
      </c>
      <c r="Q174" s="6">
        <f>HYPERLINK("https://fin.land.naver.com/articles/2653890560", "매물Link")</f>
        <v/>
      </c>
      <c r="R174" s="6">
        <f>HYPERLINK("https://map.naver.com/p/search/남이면 구미리 202-1", "지도Link")</f>
        <v/>
      </c>
      <c r="S174" s="6">
        <f>HYPERLINK("http://www.eum.go.kr/web/ar/lu/luLandDet.jsp?pnu=4311231027102020001&amp;isNoScr=script&amp;mode=search", "토지이음")</f>
        <v/>
      </c>
      <c r="T174" s="3" t="inlineStr">
        <is>
          <t>KS</t>
        </is>
      </c>
      <c r="U174" s="4" t="n">
        <v>2</v>
      </c>
      <c r="V174" s="5" t="n">
        <v>37.2</v>
      </c>
      <c r="W174" s="4" t="n">
        <v>17187</v>
      </c>
      <c r="X174" s="3" t="inlineStr">
        <is>
          <t>대장없음</t>
        </is>
      </c>
      <c r="Y174" s="7" t="inlineStr">
        <is>
          <t>대장없음</t>
        </is>
      </c>
      <c r="Z174" s="3" t="inlineStr">
        <is>
          <t>대장없음</t>
        </is>
      </c>
      <c r="AA174" s="3" t="inlineStr">
        <is>
          <t>대장없음</t>
        </is>
      </c>
      <c r="AB174" s="3" t="inlineStr">
        <is>
          <t>대장없음</t>
        </is>
      </c>
      <c r="AC174" s="3" t="inlineStr">
        <is>
          <t>대장없음</t>
        </is>
      </c>
      <c r="AD174" s="3" t="inlineStr">
        <is>
          <t>세로한면(가)</t>
        </is>
      </c>
    </row>
    <row r="175">
      <c r="A175" s="3" t="inlineStr">
        <is>
          <t>남이면 구미리 231-8</t>
        </is>
      </c>
      <c r="B175" s="3" t="inlineStr">
        <is>
          <t>계획관리지역</t>
        </is>
      </c>
      <c r="C175" s="3" t="inlineStr">
        <is>
          <t>공장용지</t>
        </is>
      </c>
      <c r="D175" s="3" t="inlineStr">
        <is>
          <t>공장</t>
        </is>
      </c>
      <c r="E175" s="3" t="inlineStr">
        <is>
          <t>월세</t>
        </is>
      </c>
      <c r="F175" s="4" t="n">
        <v>4000</v>
      </c>
      <c r="G175" s="4" t="n">
        <v>300</v>
      </c>
      <c r="H175" s="4" t="n">
        <v>1417</v>
      </c>
      <c r="I175" s="4" t="n">
        <v>429</v>
      </c>
      <c r="J175" s="5" t="n">
        <v>0.7</v>
      </c>
      <c r="K175" s="4" t="n">
        <v>494</v>
      </c>
      <c r="L175" s="4" t="n">
        <v>149</v>
      </c>
      <c r="M175" s="5" t="n">
        <v>2</v>
      </c>
      <c r="N175" s="3" t="inlineStr">
        <is>
          <t>1</t>
        </is>
      </c>
      <c r="O175" s="3" t="inlineStr">
        <is>
          <t>-</t>
        </is>
      </c>
      <c r="P175" s="3" t="inlineStr">
        <is>
          <t>세종청주로 석곡사거리 인접한 위치의 공장 창고임대 즉시입주가능</t>
        </is>
      </c>
      <c r="Q175" s="6">
        <f>HYPERLINK("https://fin.land.naver.com/articles/2649685084", "매물Link")</f>
        <v/>
      </c>
      <c r="R175" s="6">
        <f>HYPERLINK("https://map.naver.com/p/search/남이면 구미리 231-8", "지도Link")</f>
        <v/>
      </c>
      <c r="S175" s="6">
        <f>HYPERLINK("http://www.eum.go.kr/web/ar/lu/luLandDet.jsp?pnu=4311231027102310008&amp;isNoScr=script&amp;mode=search", "토지이음")</f>
        <v/>
      </c>
      <c r="T175" s="3" t="inlineStr">
        <is>
          <t>더원</t>
        </is>
      </c>
      <c r="U175" s="4" t="n">
        <v>1</v>
      </c>
      <c r="V175" s="5" t="n">
        <v>36.4</v>
      </c>
      <c r="W175" s="4" t="n">
        <v>1417</v>
      </c>
      <c r="X175" s="3" t="inlineStr">
        <is>
          <t>대장없음</t>
        </is>
      </c>
      <c r="Y175" s="7" t="inlineStr">
        <is>
          <t>대장없음</t>
        </is>
      </c>
      <c r="Z175" s="3" t="inlineStr">
        <is>
          <t>대장없음</t>
        </is>
      </c>
      <c r="AA175" s="3" t="inlineStr">
        <is>
          <t>대장없음</t>
        </is>
      </c>
      <c r="AB175" s="3" t="inlineStr">
        <is>
          <t>대장없음</t>
        </is>
      </c>
      <c r="AC175" s="3" t="inlineStr">
        <is>
          <t>대장없음</t>
        </is>
      </c>
      <c r="AD175" s="3" t="inlineStr">
        <is>
          <t>세로한면(가)</t>
        </is>
      </c>
    </row>
    <row r="176">
      <c r="A176" s="3" t="inlineStr">
        <is>
          <t>남이면 구미리 235-24</t>
        </is>
      </c>
      <c r="B176" s="3" t="inlineStr">
        <is>
          <t>계획관리지역</t>
        </is>
      </c>
      <c r="C176" s="3" t="inlineStr">
        <is>
          <t>공장용지</t>
        </is>
      </c>
      <c r="D176" s="3" t="inlineStr">
        <is>
          <t>창고</t>
        </is>
      </c>
      <c r="E176" s="3" t="inlineStr">
        <is>
          <t>월세</t>
        </is>
      </c>
      <c r="F176" s="4" t="n">
        <v>2000</v>
      </c>
      <c r="G176" s="4" t="n">
        <v>150</v>
      </c>
      <c r="H176" s="4" t="n">
        <v>1808</v>
      </c>
      <c r="I176" s="4" t="n">
        <v>547</v>
      </c>
      <c r="J176" s="5" t="n">
        <v>0.3</v>
      </c>
      <c r="K176" s="4" t="n">
        <v>186</v>
      </c>
      <c r="L176" s="4" t="n">
        <v>56</v>
      </c>
      <c r="M176" s="5" t="n">
        <v>2.7</v>
      </c>
      <c r="N176" s="3" t="inlineStr">
        <is>
          <t>1</t>
        </is>
      </c>
      <c r="O176" s="3" t="inlineStr">
        <is>
          <t>-</t>
        </is>
      </c>
      <c r="P176" s="3" t="inlineStr">
        <is>
          <t>건물 56형 현재 공실 2종근생 제조업</t>
        </is>
      </c>
      <c r="Q176" s="6">
        <f>HYPERLINK("https://fin.land.naver.com/articles/2654155033", "매물Link")</f>
        <v/>
      </c>
      <c r="R176" s="6">
        <f>HYPERLINK("https://map.naver.com/p/search/남이면 구미리 235-24", "지도Link")</f>
        <v/>
      </c>
      <c r="S176" s="6">
        <f>HYPERLINK("http://www.eum.go.kr/web/ar/lu/luLandDet.jsp?pnu=4311231027102350024&amp;isNoScr=script&amp;mode=search", "토지이음")</f>
        <v/>
      </c>
      <c r="T176" s="3" t="inlineStr">
        <is>
          <t>위더스</t>
        </is>
      </c>
      <c r="U176" s="4" t="n">
        <v>1</v>
      </c>
      <c r="V176" s="5" t="n">
        <v>39.2</v>
      </c>
      <c r="W176" s="4" t="n">
        <v>1808</v>
      </c>
      <c r="X176" s="3" t="inlineStr">
        <is>
          <t>대장없음</t>
        </is>
      </c>
      <c r="Y176" s="7" t="inlineStr">
        <is>
          <t>대장없음</t>
        </is>
      </c>
      <c r="Z176" s="3" t="inlineStr">
        <is>
          <t>대장없음</t>
        </is>
      </c>
      <c r="AA176" s="3" t="inlineStr">
        <is>
          <t>대장없음</t>
        </is>
      </c>
      <c r="AB176" s="3" t="inlineStr">
        <is>
          <t>대장없음</t>
        </is>
      </c>
      <c r="AC176" s="3" t="inlineStr">
        <is>
          <t>대장없음</t>
        </is>
      </c>
      <c r="AD176" s="3" t="inlineStr">
        <is>
          <t>세로한면(가)</t>
        </is>
      </c>
    </row>
    <row r="177">
      <c r="A177" s="3" t="inlineStr">
        <is>
          <t>남이면 구미리 235-24</t>
        </is>
      </c>
      <c r="B177" s="3" t="inlineStr">
        <is>
          <t>계획관리지역</t>
        </is>
      </c>
      <c r="C177" s="3" t="inlineStr">
        <is>
          <t>공장용지</t>
        </is>
      </c>
      <c r="D177" s="3" t="inlineStr">
        <is>
          <t>공장</t>
        </is>
      </c>
      <c r="E177" s="3" t="inlineStr">
        <is>
          <t>월세</t>
        </is>
      </c>
      <c r="F177" s="4" t="n">
        <v>2000</v>
      </c>
      <c r="G177" s="4" t="n">
        <v>150</v>
      </c>
      <c r="H177" s="4" t="n">
        <v>1808</v>
      </c>
      <c r="I177" s="4" t="n">
        <v>547</v>
      </c>
      <c r="J177" s="5" t="n">
        <v>0.3</v>
      </c>
      <c r="K177" s="4" t="n">
        <v>196</v>
      </c>
      <c r="L177" s="4" t="n">
        <v>59</v>
      </c>
      <c r="M177" s="5" t="n">
        <v>2.5</v>
      </c>
      <c r="N177" s="3" t="inlineStr">
        <is>
          <t>1</t>
        </is>
      </c>
      <c r="O177" s="3" t="inlineStr">
        <is>
          <t>-</t>
        </is>
      </c>
      <c r="P177" s="3" t="inlineStr">
        <is>
          <t>즉시입주가능, 민원소지없는 2종근생제조업, 준식축급공장</t>
        </is>
      </c>
      <c r="Q177" s="6">
        <f>HYPERLINK("https://fin.land.naver.com/articles/2652908776", "매물Link")</f>
        <v/>
      </c>
      <c r="R177" s="6">
        <f>HYPERLINK("https://map.naver.com/p/search/남이면 구미리 235-24", "지도Link")</f>
        <v/>
      </c>
      <c r="S177" s="6">
        <f>HYPERLINK("http://www.eum.go.kr/web/ar/lu/luLandDet.jsp?pnu=4311231027102350024&amp;isNoScr=script&amp;mode=search", "토지이음")</f>
        <v/>
      </c>
      <c r="T177" s="3" t="inlineStr">
        <is>
          <t>세종복댕이</t>
        </is>
      </c>
      <c r="U177" s="4" t="n">
        <v>1</v>
      </c>
      <c r="V177" s="5" t="n">
        <v>39.2</v>
      </c>
      <c r="W177" s="4" t="n">
        <v>1808</v>
      </c>
      <c r="X177" s="3" t="inlineStr">
        <is>
          <t>대장없음</t>
        </is>
      </c>
      <c r="Y177" s="7" t="inlineStr">
        <is>
          <t>대장없음</t>
        </is>
      </c>
      <c r="Z177" s="3" t="inlineStr">
        <is>
          <t>대장없음</t>
        </is>
      </c>
      <c r="AA177" s="3" t="inlineStr">
        <is>
          <t>대장없음</t>
        </is>
      </c>
      <c r="AB177" s="3" t="inlineStr">
        <is>
          <t>대장없음</t>
        </is>
      </c>
      <c r="AC177" s="3" t="inlineStr">
        <is>
          <t>대장없음</t>
        </is>
      </c>
      <c r="AD177" s="3" t="inlineStr">
        <is>
          <t>세로한면(가)</t>
        </is>
      </c>
    </row>
    <row r="178">
      <c r="A178" s="3" t="inlineStr">
        <is>
          <t>남이면 구미리 259-7</t>
        </is>
      </c>
      <c r="B178" s="3" t="inlineStr">
        <is>
          <t>계획관리지역</t>
        </is>
      </c>
      <c r="C178" s="3" t="inlineStr">
        <is>
          <t>임야</t>
        </is>
      </c>
      <c r="D178" s="3" t="inlineStr">
        <is>
          <t>공장</t>
        </is>
      </c>
      <c r="E178" s="3" t="inlineStr">
        <is>
          <t>월세</t>
        </is>
      </c>
      <c r="F178" s="4" t="n">
        <v>7000</v>
      </c>
      <c r="G178" s="4" t="n">
        <v>690</v>
      </c>
      <c r="H178" s="4" t="n">
        <v>4470</v>
      </c>
      <c r="I178" s="4" t="n">
        <v>1352</v>
      </c>
      <c r="J178" s="5" t="n">
        <v>0.5</v>
      </c>
      <c r="K178" s="4" t="n">
        <v>992</v>
      </c>
      <c r="L178" s="4" t="n">
        <v>300</v>
      </c>
      <c r="M178" s="5" t="n">
        <v>2.3</v>
      </c>
      <c r="N178" s="3" t="inlineStr">
        <is>
          <t>1</t>
        </is>
      </c>
      <c r="O178" s="3" t="inlineStr">
        <is>
          <t>-</t>
        </is>
      </c>
      <c r="P178" s="3" t="inlineStr">
        <is>
          <t>사진 有, 신축 중인 1개동에 300형씩 임대, 2개동 사용 가능</t>
        </is>
      </c>
      <c r="Q178" s="6">
        <f>HYPERLINK("https://fin.land.naver.com/articles/2651592763", "매물Link")</f>
        <v/>
      </c>
      <c r="R178" s="6">
        <f>HYPERLINK("https://map.naver.com/p/search/남이면 구미리 259-7", "지도Link")</f>
        <v/>
      </c>
      <c r="S178" s="6">
        <f>HYPERLINK("http://www.eum.go.kr/web/ar/lu/luLandDet.jsp?pnu=4311231027102590007&amp;isNoScr=script&amp;mode=search", "토지이음")</f>
        <v/>
      </c>
      <c r="T178" s="3" t="inlineStr">
        <is>
          <t>태성</t>
        </is>
      </c>
      <c r="U178" s="4" t="n">
        <v>2</v>
      </c>
      <c r="V178" s="5" t="n">
        <v>4.8</v>
      </c>
      <c r="W178" s="4" t="n">
        <v>4470</v>
      </c>
      <c r="X178" s="3" t="inlineStr">
        <is>
          <t>대장없음</t>
        </is>
      </c>
      <c r="Y178" s="7" t="inlineStr">
        <is>
          <t>대장없음</t>
        </is>
      </c>
      <c r="Z178" s="3" t="inlineStr">
        <is>
          <t>대장없음</t>
        </is>
      </c>
      <c r="AA178" s="3" t="inlineStr">
        <is>
          <t>대장없음</t>
        </is>
      </c>
      <c r="AB178" s="3" t="inlineStr">
        <is>
          <t>대장없음</t>
        </is>
      </c>
      <c r="AC178" s="3" t="inlineStr">
        <is>
          <t>대장없음</t>
        </is>
      </c>
      <c r="AD178" s="3" t="inlineStr">
        <is>
          <t>맹지</t>
        </is>
      </c>
    </row>
    <row r="179">
      <c r="A179" s="3" t="inlineStr">
        <is>
          <t>남이면 구미리 259-7</t>
        </is>
      </c>
      <c r="B179" s="3" t="inlineStr">
        <is>
          <t>계획관리지역</t>
        </is>
      </c>
      <c r="C179" s="3" t="inlineStr">
        <is>
          <t>임야</t>
        </is>
      </c>
      <c r="D179" s="3" t="inlineStr">
        <is>
          <t>공장</t>
        </is>
      </c>
      <c r="E179" s="3" t="inlineStr">
        <is>
          <t>월세</t>
        </is>
      </c>
      <c r="F179" s="4" t="n">
        <v>7000</v>
      </c>
      <c r="G179" s="4" t="n">
        <v>690</v>
      </c>
      <c r="H179" s="4" t="n">
        <v>4470</v>
      </c>
      <c r="I179" s="4" t="n">
        <v>1352</v>
      </c>
      <c r="J179" s="5" t="n">
        <v>0.5</v>
      </c>
      <c r="K179" s="4" t="n">
        <v>1983</v>
      </c>
      <c r="L179" s="4" t="n">
        <v>600</v>
      </c>
      <c r="M179" s="5" t="n">
        <v>1.1</v>
      </c>
      <c r="N179" s="3" t="inlineStr">
        <is>
          <t>1</t>
        </is>
      </c>
      <c r="O179" s="3" t="inlineStr">
        <is>
          <t>-</t>
        </is>
      </c>
      <c r="P179" s="3" t="inlineStr">
        <is>
          <t>준공예정인 신축창고공장 임대. 총 600형 2개동으로 사용가능</t>
        </is>
      </c>
      <c r="Q179" s="6">
        <f>HYPERLINK("https://fin.land.naver.com/articles/2654143060", "매물Link")</f>
        <v/>
      </c>
      <c r="R179" s="6">
        <f>HYPERLINK("https://map.naver.com/p/search/남이면 구미리 259-7", "지도Link")</f>
        <v/>
      </c>
      <c r="S179" s="6">
        <f>HYPERLINK("http://www.eum.go.kr/web/ar/lu/luLandDet.jsp?pnu=4311231027102590007&amp;isNoScr=script&amp;mode=search", "토지이음")</f>
        <v/>
      </c>
      <c r="T179" s="3" t="inlineStr">
        <is>
          <t>태광</t>
        </is>
      </c>
      <c r="U179" s="4" t="n">
        <v>1</v>
      </c>
      <c r="V179" s="5" t="n">
        <v>4.8</v>
      </c>
      <c r="W179" s="4" t="n">
        <v>4470</v>
      </c>
      <c r="X179" s="3" t="inlineStr">
        <is>
          <t>대장없음</t>
        </is>
      </c>
      <c r="Y179" s="7" t="inlineStr">
        <is>
          <t>대장없음</t>
        </is>
      </c>
      <c r="Z179" s="3" t="inlineStr">
        <is>
          <t>대장없음</t>
        </is>
      </c>
      <c r="AA179" s="3" t="inlineStr">
        <is>
          <t>대장없음</t>
        </is>
      </c>
      <c r="AB179" s="3" t="inlineStr">
        <is>
          <t>대장없음</t>
        </is>
      </c>
      <c r="AC179" s="3" t="inlineStr">
        <is>
          <t>대장없음</t>
        </is>
      </c>
      <c r="AD179" s="3" t="inlineStr">
        <is>
          <t>맹지</t>
        </is>
      </c>
    </row>
    <row r="180">
      <c r="A180" s="3" t="inlineStr">
        <is>
          <t>남이면 구미리 259-7</t>
        </is>
      </c>
      <c r="B180" s="3" t="inlineStr">
        <is>
          <t>계획관리지역</t>
        </is>
      </c>
      <c r="C180" s="3" t="inlineStr">
        <is>
          <t>임야</t>
        </is>
      </c>
      <c r="D180" s="3" t="inlineStr">
        <is>
          <t>공장</t>
        </is>
      </c>
      <c r="E180" s="3" t="inlineStr">
        <is>
          <t>매매</t>
        </is>
      </c>
      <c r="F180" s="4" t="n">
        <v>280000</v>
      </c>
      <c r="G180" s="4" t="n">
        <v>0</v>
      </c>
      <c r="H180" s="4" t="n">
        <v>5897</v>
      </c>
      <c r="I180" s="4" t="n">
        <v>1784</v>
      </c>
      <c r="J180" s="5" t="n">
        <v>157</v>
      </c>
      <c r="K180" s="4" t="n">
        <v>1920</v>
      </c>
      <c r="L180" s="4" t="n">
        <v>581</v>
      </c>
      <c r="M180" s="5" t="n">
        <v>481.9</v>
      </c>
      <c r="N180" s="3" t="inlineStr">
        <is>
          <t>1</t>
        </is>
      </c>
      <c r="O180" s="3" t="inlineStr">
        <is>
          <t>-</t>
        </is>
      </c>
      <c r="P180" s="3" t="inlineStr">
        <is>
          <t>사진有 공장 매매</t>
        </is>
      </c>
      <c r="Q180" s="6">
        <f>HYPERLINK("https://fin.land.naver.com/articles/2652007789", "매물Link")</f>
        <v/>
      </c>
      <c r="R180" s="6">
        <f>HYPERLINK("https://map.naver.com/p/search/남이면 구미리 259-7", "지도Link")</f>
        <v/>
      </c>
      <c r="S180" s="6">
        <f>HYPERLINK("http://www.eum.go.kr/web/ar/lu/luLandDet.jsp?pnu=4311231027102590007&amp;isNoScr=script&amp;mode=search", "토지이음")</f>
        <v/>
      </c>
      <c r="T180" s="3" t="inlineStr">
        <is>
          <t>월드</t>
        </is>
      </c>
      <c r="U180" s="4" t="n">
        <v>1</v>
      </c>
      <c r="V180" s="5" t="n">
        <v>4.8</v>
      </c>
      <c r="W180" s="4" t="n">
        <v>4470</v>
      </c>
      <c r="X180" s="3" t="inlineStr">
        <is>
          <t>대장없음</t>
        </is>
      </c>
      <c r="Y180" s="7" t="inlineStr">
        <is>
          <t>대장없음</t>
        </is>
      </c>
      <c r="Z180" s="3" t="inlineStr">
        <is>
          <t>대장없음</t>
        </is>
      </c>
      <c r="AA180" s="3" t="inlineStr">
        <is>
          <t>대장없음</t>
        </is>
      </c>
      <c r="AB180" s="3" t="inlineStr">
        <is>
          <t>대장없음</t>
        </is>
      </c>
      <c r="AC180" s="3" t="inlineStr">
        <is>
          <t>대장없음</t>
        </is>
      </c>
      <c r="AD180" s="3" t="inlineStr">
        <is>
          <t>맹지</t>
        </is>
      </c>
    </row>
    <row r="181">
      <c r="A181" s="3" t="inlineStr">
        <is>
          <t>남이면 구미리 259-7</t>
        </is>
      </c>
      <c r="B181" s="3" t="inlineStr">
        <is>
          <t>계획관리지역</t>
        </is>
      </c>
      <c r="C181" s="3" t="inlineStr">
        <is>
          <t>임야</t>
        </is>
      </c>
      <c r="D181" s="3" t="inlineStr">
        <is>
          <t>공장</t>
        </is>
      </c>
      <c r="E181" s="3" t="inlineStr">
        <is>
          <t>월세</t>
        </is>
      </c>
      <c r="F181" s="4" t="n">
        <v>7000</v>
      </c>
      <c r="G181" s="4" t="n">
        <v>690</v>
      </c>
      <c r="H181" s="4" t="n">
        <v>2948</v>
      </c>
      <c r="I181" s="4" t="n">
        <v>892</v>
      </c>
      <c r="J181" s="5" t="n">
        <v>0.8</v>
      </c>
      <c r="K181" s="4" t="n">
        <v>998</v>
      </c>
      <c r="L181" s="4" t="n">
        <v>302</v>
      </c>
      <c r="M181" s="5" t="n">
        <v>2.3</v>
      </c>
      <c r="N181" s="3" t="inlineStr">
        <is>
          <t>1</t>
        </is>
      </c>
      <c r="O181" s="3" t="inlineStr">
        <is>
          <t>-</t>
        </is>
      </c>
      <c r="P181" s="3" t="inlineStr">
        <is>
          <t>신축단독공장,2차선인접,민원소지적고 대형차 진출입용이</t>
        </is>
      </c>
      <c r="Q181" s="6">
        <f>HYPERLINK("https://fin.land.naver.com/articles/2649545059", "매물Link")</f>
        <v/>
      </c>
      <c r="R181" s="6">
        <f>HYPERLINK("https://map.naver.com/p/search/남이면 구미리 259-7", "지도Link")</f>
        <v/>
      </c>
      <c r="S181" s="6">
        <f>HYPERLINK("http://www.eum.go.kr/web/ar/lu/luLandDet.jsp?pnu=4311231027102590007&amp;isNoScr=script&amp;mode=search", "토지이음")</f>
        <v/>
      </c>
      <c r="T181" s="3" t="inlineStr">
        <is>
          <t>세종복댕이</t>
        </is>
      </c>
      <c r="U181" s="4" t="n">
        <v>1</v>
      </c>
      <c r="V181" s="5" t="n">
        <v>4.8</v>
      </c>
      <c r="W181" s="4" t="n">
        <v>4470</v>
      </c>
      <c r="X181" s="3" t="inlineStr">
        <is>
          <t>대장없음</t>
        </is>
      </c>
      <c r="Y181" s="7" t="inlineStr">
        <is>
          <t>대장없음</t>
        </is>
      </c>
      <c r="Z181" s="3" t="inlineStr">
        <is>
          <t>대장없음</t>
        </is>
      </c>
      <c r="AA181" s="3" t="inlineStr">
        <is>
          <t>대장없음</t>
        </is>
      </c>
      <c r="AB181" s="3" t="inlineStr">
        <is>
          <t>대장없음</t>
        </is>
      </c>
      <c r="AC181" s="3" t="inlineStr">
        <is>
          <t>대장없음</t>
        </is>
      </c>
      <c r="AD181" s="3" t="inlineStr">
        <is>
          <t>맹지</t>
        </is>
      </c>
    </row>
    <row r="182">
      <c r="A182" s="3" t="inlineStr">
        <is>
          <t>남이면 구미리 259-7</t>
        </is>
      </c>
      <c r="B182" s="3" t="inlineStr">
        <is>
          <t>계획관리지역</t>
        </is>
      </c>
      <c r="C182" s="3" t="inlineStr">
        <is>
          <t>임야</t>
        </is>
      </c>
      <c r="D182" s="3" t="inlineStr">
        <is>
          <t>공장</t>
        </is>
      </c>
      <c r="E182" s="3" t="inlineStr">
        <is>
          <t>매매</t>
        </is>
      </c>
      <c r="F182" s="4" t="n">
        <v>140000</v>
      </c>
      <c r="G182" s="4" t="n">
        <v>0</v>
      </c>
      <c r="H182" s="4" t="n">
        <v>2948</v>
      </c>
      <c r="I182" s="4" t="n">
        <v>892</v>
      </c>
      <c r="J182" s="5" t="n">
        <v>157</v>
      </c>
      <c r="K182" s="4" t="n">
        <v>998</v>
      </c>
      <c r="L182" s="4" t="n">
        <v>302</v>
      </c>
      <c r="M182" s="5" t="n">
        <v>463.6</v>
      </c>
      <c r="N182" s="3" t="inlineStr">
        <is>
          <t>1</t>
        </is>
      </c>
      <c r="O182" s="3" t="inlineStr">
        <is>
          <t>-</t>
        </is>
      </c>
      <c r="P182" s="3" t="inlineStr">
        <is>
          <t>신축단독공장,2차선인접,민원소지적고 대형차 진출입용이</t>
        </is>
      </c>
      <c r="Q182" s="6">
        <f>HYPERLINK("https://fin.land.naver.com/articles/2649544266", "매물Link")</f>
        <v/>
      </c>
      <c r="R182" s="6">
        <f>HYPERLINK("https://map.naver.com/p/search/남이면 구미리 259-7", "지도Link")</f>
        <v/>
      </c>
      <c r="S182" s="6">
        <f>HYPERLINK("http://www.eum.go.kr/web/ar/lu/luLandDet.jsp?pnu=4311231027102590007&amp;isNoScr=script&amp;mode=search", "토지이음")</f>
        <v/>
      </c>
      <c r="T182" s="3" t="inlineStr">
        <is>
          <t>세종복댕이</t>
        </is>
      </c>
      <c r="U182" s="4" t="n">
        <v>1</v>
      </c>
      <c r="V182" s="5" t="n">
        <v>4.8</v>
      </c>
      <c r="W182" s="4" t="n">
        <v>4470</v>
      </c>
      <c r="X182" s="3" t="inlineStr">
        <is>
          <t>대장없음</t>
        </is>
      </c>
      <c r="Y182" s="7" t="inlineStr">
        <is>
          <t>대장없음</t>
        </is>
      </c>
      <c r="Z182" s="3" t="inlineStr">
        <is>
          <t>대장없음</t>
        </is>
      </c>
      <c r="AA182" s="3" t="inlineStr">
        <is>
          <t>대장없음</t>
        </is>
      </c>
      <c r="AB182" s="3" t="inlineStr">
        <is>
          <t>대장없음</t>
        </is>
      </c>
      <c r="AC182" s="3" t="inlineStr">
        <is>
          <t>대장없음</t>
        </is>
      </c>
      <c r="AD182" s="3" t="inlineStr">
        <is>
          <t>맹지</t>
        </is>
      </c>
    </row>
    <row r="183">
      <c r="A183" s="3" t="inlineStr">
        <is>
          <t>남이면 구미리 259-7</t>
        </is>
      </c>
      <c r="B183" s="3" t="inlineStr">
        <is>
          <t>계획관리지역</t>
        </is>
      </c>
      <c r="C183" s="3" t="inlineStr">
        <is>
          <t>임야</t>
        </is>
      </c>
      <c r="D183" s="3" t="inlineStr">
        <is>
          <t>공장</t>
        </is>
      </c>
      <c r="E183" s="3" t="inlineStr">
        <is>
          <t>매매</t>
        </is>
      </c>
      <c r="F183" s="4" t="n">
        <v>270000</v>
      </c>
      <c r="G183" s="4" t="n">
        <v>0</v>
      </c>
      <c r="H183" s="4" t="n">
        <v>5897</v>
      </c>
      <c r="I183" s="4" t="n">
        <v>1784</v>
      </c>
      <c r="J183" s="5" t="n">
        <v>151.3</v>
      </c>
      <c r="K183" s="4" t="n">
        <v>1920</v>
      </c>
      <c r="L183" s="4" t="n">
        <v>581</v>
      </c>
      <c r="M183" s="5" t="n">
        <v>464.7</v>
      </c>
      <c r="N183" s="3" t="inlineStr">
        <is>
          <t>1</t>
        </is>
      </c>
      <c r="O183" s="3" t="inlineStr">
        <is>
          <t>-</t>
        </is>
      </c>
      <c r="P183" s="3" t="inlineStr">
        <is>
          <t>신축공장 매매,청주 I.C 11분, 남청주 I.C 14분 거리 대형차진출</t>
        </is>
      </c>
      <c r="Q183" s="6">
        <f>HYPERLINK("https://fin.land.naver.com/articles/2649396587", "매물Link")</f>
        <v/>
      </c>
      <c r="R183" s="6">
        <f>HYPERLINK("https://map.naver.com/p/search/남이면 구미리 259-7", "지도Link")</f>
        <v/>
      </c>
      <c r="S183" s="6">
        <f>HYPERLINK("http://www.eum.go.kr/web/ar/lu/luLandDet.jsp?pnu=4311231027102590007&amp;isNoScr=script&amp;mode=search", "토지이음")</f>
        <v/>
      </c>
      <c r="T183" s="3" t="inlineStr">
        <is>
          <t>플러스자이합동</t>
        </is>
      </c>
      <c r="U183" s="4" t="n">
        <v>1</v>
      </c>
      <c r="V183" s="5" t="n">
        <v>4.8</v>
      </c>
      <c r="W183" s="4" t="n">
        <v>4470</v>
      </c>
      <c r="X183" s="3" t="inlineStr">
        <is>
          <t>대장없음</t>
        </is>
      </c>
      <c r="Y183" s="7" t="inlineStr">
        <is>
          <t>대장없음</t>
        </is>
      </c>
      <c r="Z183" s="3" t="inlineStr">
        <is>
          <t>대장없음</t>
        </is>
      </c>
      <c r="AA183" s="3" t="inlineStr">
        <is>
          <t>대장없음</t>
        </is>
      </c>
      <c r="AB183" s="3" t="inlineStr">
        <is>
          <t>대장없음</t>
        </is>
      </c>
      <c r="AC183" s="3" t="inlineStr">
        <is>
          <t>대장없음</t>
        </is>
      </c>
      <c r="AD183" s="3" t="inlineStr">
        <is>
          <t>맹지</t>
        </is>
      </c>
    </row>
    <row r="184">
      <c r="A184" s="3" t="inlineStr">
        <is>
          <t>남이면 구미리 259-8</t>
        </is>
      </c>
      <c r="B184" s="3" t="inlineStr">
        <is>
          <t>계획관리지역</t>
        </is>
      </c>
      <c r="C184" s="3" t="inlineStr">
        <is>
          <t>임야</t>
        </is>
      </c>
      <c r="D184" s="3" t="inlineStr">
        <is>
          <t>공장</t>
        </is>
      </c>
      <c r="E184" s="3" t="inlineStr">
        <is>
          <t>월세</t>
        </is>
      </c>
      <c r="F184" s="4" t="n">
        <v>7000</v>
      </c>
      <c r="G184" s="4" t="n">
        <v>690</v>
      </c>
      <c r="H184" s="4" t="n">
        <v>2720</v>
      </c>
      <c r="I184" s="4" t="n">
        <v>823</v>
      </c>
      <c r="J184" s="5" t="n">
        <v>0.8</v>
      </c>
      <c r="K184" s="4" t="n">
        <v>998</v>
      </c>
      <c r="L184" s="4" t="n">
        <v>302</v>
      </c>
      <c r="M184" s="5" t="n">
        <v>2.3</v>
      </c>
      <c r="N184" s="3" t="inlineStr">
        <is>
          <t>1</t>
        </is>
      </c>
      <c r="O184" s="3" t="inlineStr">
        <is>
          <t>-</t>
        </is>
      </c>
      <c r="P184" s="3" t="inlineStr">
        <is>
          <t>사진有 공장 임대</t>
        </is>
      </c>
      <c r="Q184" s="6">
        <f>HYPERLINK("https://fin.land.naver.com/articles/2653030214", "매물Link")</f>
        <v/>
      </c>
      <c r="R184" s="6">
        <f>HYPERLINK("https://map.naver.com/p/search/남이면 구미리 259-8", "지도Link")</f>
        <v/>
      </c>
      <c r="S184" s="6">
        <f>HYPERLINK("http://www.eum.go.kr/web/ar/lu/luLandDet.jsp?pnu=4311231027102590008&amp;isNoScr=script&amp;mode=search", "토지이음")</f>
        <v/>
      </c>
      <c r="T184" s="3" t="inlineStr">
        <is>
          <t>월드</t>
        </is>
      </c>
      <c r="U184" s="4" t="n">
        <v>1</v>
      </c>
      <c r="V184" s="5" t="n">
        <v>4.4</v>
      </c>
      <c r="W184" s="4" t="n">
        <v>1427</v>
      </c>
      <c r="X184" s="3" t="inlineStr">
        <is>
          <t>대장없음</t>
        </is>
      </c>
      <c r="Y184" s="7" t="inlineStr">
        <is>
          <t>대장없음</t>
        </is>
      </c>
      <c r="Z184" s="3" t="inlineStr">
        <is>
          <t>대장없음</t>
        </is>
      </c>
      <c r="AA184" s="3" t="inlineStr">
        <is>
          <t>대장없음</t>
        </is>
      </c>
      <c r="AB184" s="3" t="inlineStr">
        <is>
          <t>대장없음</t>
        </is>
      </c>
      <c r="AC184" s="3" t="inlineStr">
        <is>
          <t>대장없음</t>
        </is>
      </c>
      <c r="AD184" s="3" t="inlineStr">
        <is>
          <t>맹지</t>
        </is>
      </c>
    </row>
    <row r="185">
      <c r="A185" s="3" t="inlineStr">
        <is>
          <t>남이면 구미리 260-1</t>
        </is>
      </c>
      <c r="B185" s="3" t="inlineStr">
        <is>
          <t>계획관리지역</t>
        </is>
      </c>
      <c r="C185" s="3" t="inlineStr">
        <is>
          <t>전</t>
        </is>
      </c>
      <c r="D185" s="3" t="inlineStr">
        <is>
          <t>창고</t>
        </is>
      </c>
      <c r="E185" s="3" t="inlineStr">
        <is>
          <t>월세</t>
        </is>
      </c>
      <c r="F185" s="4" t="n">
        <v>14000</v>
      </c>
      <c r="G185" s="4" t="n">
        <v>1400</v>
      </c>
      <c r="H185" s="4" t="n">
        <v>4958</v>
      </c>
      <c r="I185" s="4" t="n">
        <v>1500</v>
      </c>
      <c r="J185" s="5" t="n">
        <v>0.9</v>
      </c>
      <c r="K185" s="4" t="n">
        <v>1983</v>
      </c>
      <c r="L185" s="4" t="n">
        <v>600</v>
      </c>
      <c r="M185" s="5" t="n">
        <v>2.3</v>
      </c>
      <c r="N185" s="3" t="inlineStr">
        <is>
          <t>1</t>
        </is>
      </c>
      <c r="O185" s="3" t="inlineStr">
        <is>
          <t>-</t>
        </is>
      </c>
      <c r="P185" s="3" t="inlineStr">
        <is>
          <t>신축 예정인 창고 임대</t>
        </is>
      </c>
      <c r="Q185" s="6">
        <f>HYPERLINK("https://fin.land.naver.com/articles/2649684395", "매물Link")</f>
        <v/>
      </c>
      <c r="R185" s="6">
        <f>HYPERLINK("https://map.naver.com/p/search/남이면 구미리 260-1", "지도Link")</f>
        <v/>
      </c>
      <c r="S185" s="6">
        <f>HYPERLINK("http://www.eum.go.kr/web/ar/lu/luLandDet.jsp?pnu=4311231027102600001&amp;isNoScr=script&amp;mode=search", "토지이음")</f>
        <v/>
      </c>
      <c r="T185" s="3" t="inlineStr">
        <is>
          <t>태광</t>
        </is>
      </c>
      <c r="U185" s="4" t="n">
        <v>1</v>
      </c>
      <c r="V185" s="5" t="n">
        <v>16.9</v>
      </c>
      <c r="W185" s="4" t="n">
        <v>1623</v>
      </c>
      <c r="X185" s="3" t="inlineStr">
        <is>
          <t>대장없음</t>
        </is>
      </c>
      <c r="Y185" s="7" t="inlineStr">
        <is>
          <t>대장없음</t>
        </is>
      </c>
      <c r="Z185" s="3" t="inlineStr">
        <is>
          <t>대장없음</t>
        </is>
      </c>
      <c r="AA185" s="3" t="inlineStr">
        <is>
          <t>대장없음</t>
        </is>
      </c>
      <c r="AB185" s="3" t="inlineStr">
        <is>
          <t>대장없음</t>
        </is>
      </c>
      <c r="AC185" s="3" t="inlineStr">
        <is>
          <t>대장없음</t>
        </is>
      </c>
      <c r="AD185" s="3" t="inlineStr">
        <is>
          <t>맹지</t>
        </is>
      </c>
    </row>
    <row r="186">
      <c r="A186" s="3" t="inlineStr">
        <is>
          <t>남이면 구미리 277</t>
        </is>
      </c>
      <c r="B186" s="3" t="inlineStr">
        <is>
          <t>계획관리지역</t>
        </is>
      </c>
      <c r="C186" s="3" t="inlineStr">
        <is>
          <t>창고용지</t>
        </is>
      </c>
      <c r="D186" s="3" t="inlineStr">
        <is>
          <t>창고</t>
        </is>
      </c>
      <c r="E186" s="3" t="inlineStr">
        <is>
          <t>월세</t>
        </is>
      </c>
      <c r="F186" s="4" t="n">
        <v>80000</v>
      </c>
      <c r="G186" s="4" t="n">
        <v>8000</v>
      </c>
      <c r="H186" s="4" t="n">
        <v>24837</v>
      </c>
      <c r="I186" s="4" t="n">
        <v>7513</v>
      </c>
      <c r="J186" s="5" t="n">
        <v>1.1</v>
      </c>
      <c r="K186" s="4" t="n">
        <v>9878</v>
      </c>
      <c r="L186" s="4" t="n">
        <v>2988</v>
      </c>
      <c r="M186" s="5" t="n">
        <v>2.7</v>
      </c>
      <c r="N186" s="3" t="inlineStr">
        <is>
          <t>1</t>
        </is>
      </c>
      <c r="O186" s="3" t="inlineStr">
        <is>
          <t>-</t>
        </is>
      </c>
      <c r="P186" s="3" t="inlineStr">
        <is>
          <t>남청주IC 10km  약 10분 소요거리 대형 물류창고 입니다</t>
        </is>
      </c>
      <c r="Q186" s="6">
        <f>HYPERLINK("https://fin.land.naver.com/articles/2654290867", "매물Link")</f>
        <v/>
      </c>
      <c r="R186" s="6">
        <f>HYPERLINK("https://map.naver.com/p/search/남이면 구미리 277", "지도Link")</f>
        <v/>
      </c>
      <c r="S186" s="6">
        <f>HYPERLINK("http://www.eum.go.kr/web/ar/lu/luLandDet.jsp?pnu=4311231027102770000&amp;isNoScr=script&amp;mode=search", "토지이음")</f>
        <v/>
      </c>
      <c r="T186" s="3" t="inlineStr">
        <is>
          <t>더행복</t>
        </is>
      </c>
      <c r="U186" s="4" t="n">
        <v>2</v>
      </c>
      <c r="V186" s="5" t="n">
        <v>43.5</v>
      </c>
      <c r="W186" s="4" t="n">
        <v>24837</v>
      </c>
      <c r="X186" s="3" t="inlineStr">
        <is>
          <t>대장없음</t>
        </is>
      </c>
      <c r="Y186" s="7" t="inlineStr">
        <is>
          <t>대장없음</t>
        </is>
      </c>
      <c r="Z186" s="3" t="inlineStr">
        <is>
          <t>대장없음</t>
        </is>
      </c>
      <c r="AA186" s="3" t="inlineStr">
        <is>
          <t>대장없음</t>
        </is>
      </c>
      <c r="AB186" s="3" t="inlineStr">
        <is>
          <t>대장없음</t>
        </is>
      </c>
      <c r="AC186" s="3" t="inlineStr">
        <is>
          <t>대장없음</t>
        </is>
      </c>
      <c r="AD186" s="3" t="inlineStr">
        <is>
          <t>소로한면</t>
        </is>
      </c>
    </row>
    <row r="187">
      <c r="A187" s="3" t="inlineStr">
        <is>
          <t>남이면 구미리 277</t>
        </is>
      </c>
      <c r="B187" s="3" t="inlineStr">
        <is>
          <t>계획관리지역</t>
        </is>
      </c>
      <c r="C187" s="3" t="inlineStr">
        <is>
          <t>창고용지</t>
        </is>
      </c>
      <c r="D187" s="3" t="inlineStr">
        <is>
          <t>창고</t>
        </is>
      </c>
      <c r="E187" s="3" t="inlineStr">
        <is>
          <t>월세</t>
        </is>
      </c>
      <c r="F187" s="4" t="n">
        <v>80000</v>
      </c>
      <c r="G187" s="4" t="n">
        <v>8000</v>
      </c>
      <c r="H187" s="4" t="n">
        <v>24837</v>
      </c>
      <c r="I187" s="4" t="n">
        <v>7513</v>
      </c>
      <c r="J187" s="5" t="n">
        <v>1.1</v>
      </c>
      <c r="K187" s="4" t="n">
        <v>9878</v>
      </c>
      <c r="L187" s="4" t="n">
        <v>2988</v>
      </c>
      <c r="M187" s="5" t="n">
        <v>2.7</v>
      </c>
      <c r="N187" s="3" t="inlineStr">
        <is>
          <t>1</t>
        </is>
      </c>
      <c r="O187" s="3" t="inlineStr">
        <is>
          <t>-</t>
        </is>
      </c>
      <c r="P187" s="3" t="inlineStr">
        <is>
          <t>사진有 대형창고 임대</t>
        </is>
      </c>
      <c r="Q187" s="6">
        <f>HYPERLINK("https://fin.land.naver.com/articles/2652355457", "매물Link")</f>
        <v/>
      </c>
      <c r="R187" s="6">
        <f>HYPERLINK("https://map.naver.com/p/search/남이면 구미리 277", "지도Link")</f>
        <v/>
      </c>
      <c r="S187" s="6">
        <f>HYPERLINK("http://www.eum.go.kr/web/ar/lu/luLandDet.jsp?pnu=4311231027102770000&amp;isNoScr=script&amp;mode=search", "토지이음")</f>
        <v/>
      </c>
      <c r="T187" s="3" t="inlineStr">
        <is>
          <t>월드</t>
        </is>
      </c>
      <c r="U187" s="4" t="n">
        <v>1</v>
      </c>
      <c r="V187" s="5" t="n">
        <v>43.5</v>
      </c>
      <c r="W187" s="4" t="n">
        <v>24837</v>
      </c>
      <c r="X187" s="3" t="inlineStr">
        <is>
          <t>대장없음</t>
        </is>
      </c>
      <c r="Y187" s="7" t="inlineStr">
        <is>
          <t>대장없음</t>
        </is>
      </c>
      <c r="Z187" s="3" t="inlineStr">
        <is>
          <t>대장없음</t>
        </is>
      </c>
      <c r="AA187" s="3" t="inlineStr">
        <is>
          <t>대장없음</t>
        </is>
      </c>
      <c r="AB187" s="3" t="inlineStr">
        <is>
          <t>대장없음</t>
        </is>
      </c>
      <c r="AC187" s="3" t="inlineStr">
        <is>
          <t>대장없음</t>
        </is>
      </c>
      <c r="AD187" s="3" t="inlineStr">
        <is>
          <t>소로한면</t>
        </is>
      </c>
    </row>
    <row r="188">
      <c r="A188" s="3" t="inlineStr">
        <is>
          <t>남이면 구미리 277</t>
        </is>
      </c>
      <c r="B188" s="3" t="inlineStr">
        <is>
          <t>계획관리지역</t>
        </is>
      </c>
      <c r="C188" s="3" t="inlineStr">
        <is>
          <t>창고용지</t>
        </is>
      </c>
      <c r="D188" s="3" t="inlineStr">
        <is>
          <t>창고</t>
        </is>
      </c>
      <c r="E188" s="3" t="inlineStr">
        <is>
          <t>월세</t>
        </is>
      </c>
      <c r="F188" s="4" t="n">
        <v>80000</v>
      </c>
      <c r="G188" s="4" t="n">
        <v>8000</v>
      </c>
      <c r="H188" s="4" t="n">
        <v>24837</v>
      </c>
      <c r="I188" s="4" t="n">
        <v>7513</v>
      </c>
      <c r="J188" s="5" t="n">
        <v>1.1</v>
      </c>
      <c r="K188" s="4" t="n">
        <v>9878</v>
      </c>
      <c r="L188" s="4" t="n">
        <v>2988</v>
      </c>
      <c r="M188" s="5" t="n">
        <v>2.7</v>
      </c>
      <c r="N188" s="3" t="inlineStr">
        <is>
          <t>1</t>
        </is>
      </c>
      <c r="O188" s="3" t="inlineStr">
        <is>
          <t>-</t>
        </is>
      </c>
      <c r="P188" s="3" t="inlineStr">
        <is>
          <t>즉시입주가능한 야드넓은 물류창고</t>
        </is>
      </c>
      <c r="Q188" s="6">
        <f>HYPERLINK("https://fin.land.naver.com/articles/2653116908", "매물Link")</f>
        <v/>
      </c>
      <c r="R188" s="6">
        <f>HYPERLINK("https://map.naver.com/p/search/남이면 구미리 277", "지도Link")</f>
        <v/>
      </c>
      <c r="S188" s="6">
        <f>HYPERLINK("http://www.eum.go.kr/web/ar/lu/luLandDet.jsp?pnu=4311231027102770000&amp;isNoScr=script&amp;mode=search", "토지이음")</f>
        <v/>
      </c>
      <c r="T188" s="3" t="inlineStr">
        <is>
          <t>창고의여왕</t>
        </is>
      </c>
      <c r="U188" s="4" t="n">
        <v>4</v>
      </c>
      <c r="V188" s="5" t="n">
        <v>43.5</v>
      </c>
      <c r="W188" s="4" t="n">
        <v>24837</v>
      </c>
      <c r="X188" s="3" t="inlineStr">
        <is>
          <t>대장없음</t>
        </is>
      </c>
      <c r="Y188" s="7" t="inlineStr">
        <is>
          <t>대장없음</t>
        </is>
      </c>
      <c r="Z188" s="3" t="inlineStr">
        <is>
          <t>대장없음</t>
        </is>
      </c>
      <c r="AA188" s="3" t="inlineStr">
        <is>
          <t>대장없음</t>
        </is>
      </c>
      <c r="AB188" s="3" t="inlineStr">
        <is>
          <t>대장없음</t>
        </is>
      </c>
      <c r="AC188" s="3" t="inlineStr">
        <is>
          <t>대장없음</t>
        </is>
      </c>
      <c r="AD188" s="3" t="inlineStr">
        <is>
          <t>소로한면</t>
        </is>
      </c>
    </row>
    <row r="189">
      <c r="A189" s="3" t="inlineStr">
        <is>
          <t>남이면 구미리 277-2</t>
        </is>
      </c>
      <c r="B189" s="3" t="inlineStr">
        <is>
          <t>계획관리지역</t>
        </is>
      </c>
      <c r="C189" s="3" t="inlineStr">
        <is>
          <t>창고용지</t>
        </is>
      </c>
      <c r="D189" s="3" t="inlineStr">
        <is>
          <t>창고</t>
        </is>
      </c>
      <c r="E189" s="3" t="inlineStr">
        <is>
          <t>월세</t>
        </is>
      </c>
      <c r="F189" s="4" t="n">
        <v>80000</v>
      </c>
      <c r="G189" s="4" t="n">
        <v>8100</v>
      </c>
      <c r="H189" s="4" t="n">
        <v>16565</v>
      </c>
      <c r="I189" s="4" t="n">
        <v>5011</v>
      </c>
      <c r="J189" s="5" t="n">
        <v>1.6</v>
      </c>
      <c r="K189" s="4" t="n">
        <v>9900</v>
      </c>
      <c r="L189" s="4" t="n">
        <v>2995</v>
      </c>
      <c r="M189" s="5" t="n">
        <v>2.7</v>
      </c>
      <c r="N189" s="3" t="inlineStr">
        <is>
          <t>1</t>
        </is>
      </c>
      <c r="O189" s="3" t="inlineStr">
        <is>
          <t>-</t>
        </is>
      </c>
      <c r="P189" s="3" t="inlineStr">
        <is>
          <t>nan</t>
        </is>
      </c>
      <c r="Q189" s="6">
        <f>HYPERLINK("https://fin.land.naver.com/articles/2649719038", "매물Link")</f>
        <v/>
      </c>
      <c r="R189" s="6">
        <f>HYPERLINK("https://map.naver.com/p/search/남이면 구미리 277-2", "지도Link")</f>
        <v/>
      </c>
      <c r="S189" s="6">
        <f>HYPERLINK("http://www.eum.go.kr/web/ar/lu/luLandDet.jsp?pnu=4311231027102770002&amp;isNoScr=script&amp;mode=search", "토지이음")</f>
        <v/>
      </c>
      <c r="T189" s="3" t="inlineStr">
        <is>
          <t>더행복</t>
        </is>
      </c>
      <c r="U189" s="4" t="n">
        <v>1</v>
      </c>
      <c r="V189" s="5" t="n">
        <v>43</v>
      </c>
      <c r="W189" s="4" t="n">
        <v>16565</v>
      </c>
      <c r="X189" s="3" t="inlineStr">
        <is>
          <t>대장없음</t>
        </is>
      </c>
      <c r="Y189" s="7" t="inlineStr">
        <is>
          <t>대장없음</t>
        </is>
      </c>
      <c r="Z189" s="3" t="inlineStr">
        <is>
          <t>대장없음</t>
        </is>
      </c>
      <c r="AA189" s="3" t="inlineStr">
        <is>
          <t>대장없음</t>
        </is>
      </c>
      <c r="AB189" s="3" t="inlineStr">
        <is>
          <t>대장없음</t>
        </is>
      </c>
      <c r="AC189" s="3" t="inlineStr">
        <is>
          <t>대장없음</t>
        </is>
      </c>
      <c r="AD189" s="3" t="inlineStr">
        <is>
          <t>소로한면</t>
        </is>
      </c>
    </row>
    <row r="190">
      <c r="A190" s="3" t="inlineStr">
        <is>
          <t>남이면 구미리 28-5</t>
        </is>
      </c>
      <c r="B190" s="3" t="inlineStr">
        <is>
          <t>계획관리지역</t>
        </is>
      </c>
      <c r="C190" s="3" t="inlineStr">
        <is>
          <t>공장용지</t>
        </is>
      </c>
      <c r="D190" s="3" t="inlineStr">
        <is>
          <t>공장</t>
        </is>
      </c>
      <c r="E190" s="3" t="inlineStr">
        <is>
          <t>매매</t>
        </is>
      </c>
      <c r="F190" s="4" t="n">
        <v>450000</v>
      </c>
      <c r="G190" s="4" t="n">
        <v>0</v>
      </c>
      <c r="H190" s="4" t="n">
        <v>14324</v>
      </c>
      <c r="I190" s="4" t="n">
        <v>4333</v>
      </c>
      <c r="J190" s="5" t="n">
        <v>103.9</v>
      </c>
      <c r="K190" s="4" t="n">
        <v>864</v>
      </c>
      <c r="L190" s="4" t="n">
        <v>261</v>
      </c>
      <c r="M190" s="5" t="n">
        <v>1724.1</v>
      </c>
      <c r="N190" s="3" t="inlineStr">
        <is>
          <t>1</t>
        </is>
      </c>
      <c r="O190" s="3" t="inlineStr">
        <is>
          <t>-</t>
        </is>
      </c>
      <c r="P190" s="3" t="inlineStr">
        <is>
          <t>주요도시로 진출입 및 이동이 편리한 위치, 활용도 좋은 넓은 토지</t>
        </is>
      </c>
      <c r="Q190" s="6">
        <f>HYPERLINK("https://fin.land.naver.com/articles/2651587386", "매물Link")</f>
        <v/>
      </c>
      <c r="R190" s="6">
        <f>HYPERLINK("https://map.naver.com/p/search/남이면 구미리 28-5", "지도Link")</f>
        <v/>
      </c>
      <c r="S190" s="6">
        <f>HYPERLINK("http://www.eum.go.kr/web/ar/lu/luLandDet.jsp?pnu=4311231027100280005&amp;isNoScr=script&amp;mode=search", "토지이음")</f>
        <v/>
      </c>
      <c r="T190" s="3" t="inlineStr">
        <is>
          <t>(주)미르</t>
        </is>
      </c>
      <c r="U190" s="4" t="n">
        <v>1</v>
      </c>
      <c r="V190" s="5" t="n">
        <v>44.6</v>
      </c>
      <c r="W190" s="4" t="n">
        <v>5540</v>
      </c>
      <c r="X190" s="3" t="inlineStr">
        <is>
          <t>대장없음</t>
        </is>
      </c>
      <c r="Y190" s="7" t="inlineStr">
        <is>
          <t>대장없음</t>
        </is>
      </c>
      <c r="Z190" s="3" t="inlineStr">
        <is>
          <t>대장없음</t>
        </is>
      </c>
      <c r="AA190" s="3" t="inlineStr">
        <is>
          <t>대장없음</t>
        </is>
      </c>
      <c r="AB190" s="3" t="inlineStr">
        <is>
          <t>대장없음</t>
        </is>
      </c>
      <c r="AC190" s="3" t="inlineStr">
        <is>
          <t>대장없음</t>
        </is>
      </c>
      <c r="AD190" s="3" t="inlineStr">
        <is>
          <t>세로한면(가)</t>
        </is>
      </c>
    </row>
    <row r="191">
      <c r="A191" s="3" t="inlineStr">
        <is>
          <t>남이면 구미리 281-16</t>
        </is>
      </c>
      <c r="B191" s="3" t="inlineStr">
        <is>
          <t>계획관리지역</t>
        </is>
      </c>
      <c r="C191" s="3" t="inlineStr">
        <is>
          <t>공장용지</t>
        </is>
      </c>
      <c r="D191" s="3" t="inlineStr">
        <is>
          <t>공장</t>
        </is>
      </c>
      <c r="E191" s="3" t="inlineStr">
        <is>
          <t>월세</t>
        </is>
      </c>
      <c r="F191" s="4" t="n">
        <v>4500</v>
      </c>
      <c r="G191" s="4" t="n">
        <v>450</v>
      </c>
      <c r="H191" s="4" t="n">
        <v>3779</v>
      </c>
      <c r="I191" s="4" t="n">
        <v>1143</v>
      </c>
      <c r="J191" s="5" t="n">
        <v>0.4</v>
      </c>
      <c r="K191" s="4" t="n">
        <v>1392</v>
      </c>
      <c r="L191" s="4" t="n">
        <v>421</v>
      </c>
      <c r="M191" s="5" t="n">
        <v>1.1</v>
      </c>
      <c r="N191" s="3" t="inlineStr">
        <is>
          <t>1</t>
        </is>
      </c>
      <c r="O191" s="3" t="inlineStr">
        <is>
          <t>-</t>
        </is>
      </c>
      <c r="P191" s="3" t="inlineStr">
        <is>
          <t>청주공장임대 600제곱미터 보증금4500만원 월450만원 부가세 별도</t>
        </is>
      </c>
      <c r="Q191" s="6">
        <f>HYPERLINK("https://fin.land.naver.com/articles/2650552499", "매물Link")</f>
        <v/>
      </c>
      <c r="R191" s="6">
        <f>HYPERLINK("https://map.naver.com/p/search/남이면 구미리 281-16", "지도Link")</f>
        <v/>
      </c>
      <c r="S191" s="6">
        <f>HYPERLINK("http://www.eum.go.kr/web/ar/lu/luLandDet.jsp?pnu=4311231027102810016&amp;isNoScr=script&amp;mode=search", "토지이음")</f>
        <v/>
      </c>
      <c r="T191" s="3" t="inlineStr">
        <is>
          <t>대박</t>
        </is>
      </c>
      <c r="U191" s="4" t="n">
        <v>1</v>
      </c>
      <c r="V191" s="5" t="n">
        <v>43.1</v>
      </c>
      <c r="W191" s="4" t="n">
        <v>3779</v>
      </c>
      <c r="X191" s="3" t="inlineStr">
        <is>
          <t>대장없음</t>
        </is>
      </c>
      <c r="Y191" s="7" t="inlineStr">
        <is>
          <t>대장없음</t>
        </is>
      </c>
      <c r="Z191" s="3" t="inlineStr">
        <is>
          <t>대장없음</t>
        </is>
      </c>
      <c r="AA191" s="3" t="inlineStr">
        <is>
          <t>대장없음</t>
        </is>
      </c>
      <c r="AB191" s="3" t="inlineStr">
        <is>
          <t>대장없음</t>
        </is>
      </c>
      <c r="AC191" s="3" t="inlineStr">
        <is>
          <t>대장없음</t>
        </is>
      </c>
      <c r="AD191" s="3" t="inlineStr">
        <is>
          <t>소로한면</t>
        </is>
      </c>
    </row>
    <row r="192">
      <c r="A192" s="3" t="inlineStr">
        <is>
          <t>남이면 구미리 281-16</t>
        </is>
      </c>
      <c r="B192" s="3" t="inlineStr">
        <is>
          <t>계획관리지역</t>
        </is>
      </c>
      <c r="C192" s="3" t="inlineStr">
        <is>
          <t>공장용지</t>
        </is>
      </c>
      <c r="D192" s="3" t="inlineStr">
        <is>
          <t>창고</t>
        </is>
      </c>
      <c r="E192" s="3" t="inlineStr">
        <is>
          <t>월세</t>
        </is>
      </c>
      <c r="F192" s="4" t="n">
        <v>4500</v>
      </c>
      <c r="G192" s="4" t="n">
        <v>450</v>
      </c>
      <c r="H192" s="4" t="n">
        <v>3779</v>
      </c>
      <c r="I192" s="4" t="n">
        <v>1143</v>
      </c>
      <c r="J192" s="5" t="n">
        <v>0.4</v>
      </c>
      <c r="K192" s="4" t="n">
        <v>600</v>
      </c>
      <c r="L192" s="4" t="n">
        <v>182</v>
      </c>
      <c r="M192" s="5" t="n">
        <v>2.5</v>
      </c>
      <c r="N192" s="3" t="inlineStr">
        <is>
          <t>1</t>
        </is>
      </c>
      <c r="O192" s="3" t="inlineStr">
        <is>
          <t>-</t>
        </is>
      </c>
      <c r="P192" s="3" t="inlineStr">
        <is>
          <t>층고가 높아 3단 적재도 충분한 창고</t>
        </is>
      </c>
      <c r="Q192" s="6">
        <f>HYPERLINK("https://fin.land.naver.com/articles/2652900624", "매물Link")</f>
        <v/>
      </c>
      <c r="R192" s="6">
        <f>HYPERLINK("https://map.naver.com/p/search/남이면 구미리 281-16", "지도Link")</f>
        <v/>
      </c>
      <c r="S192" s="6">
        <f>HYPERLINK("http://www.eum.go.kr/web/ar/lu/luLandDet.jsp?pnu=4311231027102810016&amp;isNoScr=script&amp;mode=search", "토지이음")</f>
        <v/>
      </c>
      <c r="T192" s="3" t="inlineStr">
        <is>
          <t>창고의여왕</t>
        </is>
      </c>
      <c r="U192" s="4" t="n">
        <v>1</v>
      </c>
      <c r="V192" s="5" t="n">
        <v>43.1</v>
      </c>
      <c r="W192" s="4" t="n">
        <v>3779</v>
      </c>
      <c r="X192" s="3" t="inlineStr">
        <is>
          <t>대장없음</t>
        </is>
      </c>
      <c r="Y192" s="7" t="inlineStr">
        <is>
          <t>대장없음</t>
        </is>
      </c>
      <c r="Z192" s="3" t="inlineStr">
        <is>
          <t>대장없음</t>
        </is>
      </c>
      <c r="AA192" s="3" t="inlineStr">
        <is>
          <t>대장없음</t>
        </is>
      </c>
      <c r="AB192" s="3" t="inlineStr">
        <is>
          <t>대장없음</t>
        </is>
      </c>
      <c r="AC192" s="3" t="inlineStr">
        <is>
          <t>대장없음</t>
        </is>
      </c>
      <c r="AD192" s="3" t="inlineStr">
        <is>
          <t>소로한면</t>
        </is>
      </c>
    </row>
    <row r="193">
      <c r="A193" s="3" t="inlineStr">
        <is>
          <t>남이면 대련리 270-1</t>
        </is>
      </c>
      <c r="B193" s="3" t="inlineStr">
        <is>
          <t>자연녹지지역</t>
        </is>
      </c>
      <c r="C193" s="3" t="inlineStr">
        <is>
          <t>잡종지</t>
        </is>
      </c>
      <c r="D193" s="3" t="inlineStr">
        <is>
          <t>창고</t>
        </is>
      </c>
      <c r="E193" s="3" t="inlineStr">
        <is>
          <t>매매</t>
        </is>
      </c>
      <c r="F193" s="4" t="n">
        <v>260000</v>
      </c>
      <c r="G193" s="4" t="n">
        <v>0</v>
      </c>
      <c r="H193" s="4" t="n">
        <v>2066</v>
      </c>
      <c r="I193" s="4" t="n">
        <v>625</v>
      </c>
      <c r="J193" s="5" t="n">
        <v>416</v>
      </c>
      <c r="K193" s="4" t="n">
        <v>494</v>
      </c>
      <c r="L193" s="4" t="n">
        <v>149</v>
      </c>
      <c r="M193" s="5" t="n">
        <v>1745</v>
      </c>
      <c r="N193" s="3" t="inlineStr">
        <is>
          <t>1</t>
        </is>
      </c>
      <c r="O193" s="3" t="inlineStr">
        <is>
          <t>-</t>
        </is>
      </c>
      <c r="P193" s="3" t="inlineStr">
        <is>
          <t>사진有 창고 매매</t>
        </is>
      </c>
      <c r="Q193" s="6">
        <f>HYPERLINK("https://fin.land.naver.com/articles/2650521790", "매물Link")</f>
        <v/>
      </c>
      <c r="R193" s="6">
        <f>HYPERLINK("https://map.naver.com/p/search/남이면 대련리 270-1", "지도Link")</f>
        <v/>
      </c>
      <c r="S193" s="6">
        <f>HYPERLINK("http://www.eum.go.kr/web/ar/lu/luLandDet.jsp?pnu=4311231035102700001&amp;isNoScr=script&amp;mode=search", "토지이음")</f>
        <v/>
      </c>
      <c r="T193" s="3" t="inlineStr">
        <is>
          <t>월드</t>
        </is>
      </c>
      <c r="U193" s="4" t="n">
        <v>1</v>
      </c>
      <c r="V193" s="5" t="n">
        <v>86</v>
      </c>
      <c r="W193" s="4" t="n">
        <v>987</v>
      </c>
      <c r="X193" s="3" t="inlineStr">
        <is>
          <t>대장없음</t>
        </is>
      </c>
      <c r="Y193" s="7" t="inlineStr">
        <is>
          <t>대장없음</t>
        </is>
      </c>
      <c r="Z193" s="3" t="inlineStr">
        <is>
          <t>대장없음</t>
        </is>
      </c>
      <c r="AA193" s="3" t="inlineStr">
        <is>
          <t>대장없음</t>
        </is>
      </c>
      <c r="AB193" s="3" t="inlineStr">
        <is>
          <t>대장없음</t>
        </is>
      </c>
      <c r="AC193" s="3" t="inlineStr">
        <is>
          <t>대장없음</t>
        </is>
      </c>
      <c r="AD193" s="3" t="inlineStr">
        <is>
          <t>중로한면</t>
        </is>
      </c>
    </row>
    <row r="194">
      <c r="A194" s="3" t="inlineStr">
        <is>
          <t>남이면 대련리 57-1</t>
        </is>
      </c>
      <c r="B194" s="3" t="inlineStr">
        <is>
          <t>자연녹지지역</t>
        </is>
      </c>
      <c r="C194" s="3" t="inlineStr">
        <is>
          <t>대</t>
        </is>
      </c>
      <c r="D194" s="3" t="inlineStr">
        <is>
          <t>공장</t>
        </is>
      </c>
      <c r="E194" s="3" t="inlineStr">
        <is>
          <t>월세</t>
        </is>
      </c>
      <c r="F194" s="4" t="n">
        <v>4000</v>
      </c>
      <c r="G194" s="4" t="n">
        <v>420</v>
      </c>
      <c r="H194" s="4" t="n">
        <v>2415</v>
      </c>
      <c r="I194" s="4" t="n">
        <v>731</v>
      </c>
      <c r="J194" s="5" t="n">
        <v>0.6</v>
      </c>
      <c r="K194" s="4" t="n">
        <v>534</v>
      </c>
      <c r="L194" s="4" t="n">
        <v>162</v>
      </c>
      <c r="M194" s="5" t="n">
        <v>2.6</v>
      </c>
      <c r="N194" s="3" t="inlineStr">
        <is>
          <t>2</t>
        </is>
      </c>
      <c r="O194" s="3" t="inlineStr">
        <is>
          <t>-</t>
        </is>
      </c>
      <c r="P194" s="3" t="inlineStr">
        <is>
          <t>사진有 공장 임대</t>
        </is>
      </c>
      <c r="Q194" s="6">
        <f>HYPERLINK("https://fin.land.naver.com/articles/2653028674", "매물Link")</f>
        <v/>
      </c>
      <c r="R194" s="6">
        <f>HYPERLINK("https://map.naver.com/p/search/남이면 대련리 57-1", "지도Link")</f>
        <v/>
      </c>
      <c r="S194" s="6">
        <f>HYPERLINK("http://www.eum.go.kr/web/ar/lu/luLandDet.jsp?pnu=4311231035100570001&amp;isNoScr=script&amp;mode=search", "토지이음")</f>
        <v/>
      </c>
      <c r="T194" s="3" t="inlineStr">
        <is>
          <t>월드</t>
        </is>
      </c>
      <c r="U194" s="4" t="n">
        <v>1</v>
      </c>
      <c r="V194" s="5" t="n">
        <v>87.59999999999999</v>
      </c>
      <c r="W194" s="4" t="n">
        <v>2687</v>
      </c>
      <c r="X194" s="3" t="inlineStr">
        <is>
          <t>대장없음</t>
        </is>
      </c>
      <c r="Y194" s="7" t="inlineStr">
        <is>
          <t>대장없음</t>
        </is>
      </c>
      <c r="Z194" s="3" t="inlineStr">
        <is>
          <t>대장없음</t>
        </is>
      </c>
      <c r="AA194" s="3" t="inlineStr">
        <is>
          <t>대장없음</t>
        </is>
      </c>
      <c r="AB194" s="3" t="inlineStr">
        <is>
          <t>대장없음</t>
        </is>
      </c>
      <c r="AC194" s="3" t="inlineStr">
        <is>
          <t>대장없음</t>
        </is>
      </c>
      <c r="AD194" s="3" t="inlineStr">
        <is>
          <t>세로한면(가)</t>
        </is>
      </c>
    </row>
    <row r="195">
      <c r="A195" s="3" t="inlineStr">
        <is>
          <t>남이면 대련리 57-4</t>
        </is>
      </c>
      <c r="B195" s="3" t="inlineStr">
        <is>
          <t>자연녹지지역</t>
        </is>
      </c>
      <c r="C195" s="3" t="inlineStr">
        <is>
          <t>공장용지</t>
        </is>
      </c>
      <c r="D195" s="3" t="inlineStr">
        <is>
          <t>공장</t>
        </is>
      </c>
      <c r="E195" s="3" t="inlineStr">
        <is>
          <t>매매</t>
        </is>
      </c>
      <c r="F195" s="4" t="n">
        <v>530000</v>
      </c>
      <c r="G195" s="4" t="n">
        <v>0</v>
      </c>
      <c r="H195" s="4" t="n">
        <v>9275</v>
      </c>
      <c r="I195" s="4" t="n">
        <v>2806</v>
      </c>
      <c r="J195" s="5" t="n">
        <v>188.9</v>
      </c>
      <c r="K195" s="4" t="n">
        <v>1488</v>
      </c>
      <c r="L195" s="4" t="n">
        <v>450</v>
      </c>
      <c r="M195" s="5" t="n">
        <v>1177.8</v>
      </c>
      <c r="N195" s="3" t="inlineStr">
        <is>
          <t>2</t>
        </is>
      </c>
      <c r="O195" s="3" t="inlineStr">
        <is>
          <t>-</t>
        </is>
      </c>
      <c r="P195" s="3" t="inlineStr">
        <is>
          <t>청주JC인근, 대형차 진출입 양호, 층고 8.5m의 공장과 근생건물</t>
        </is>
      </c>
      <c r="Q195" s="6">
        <f>HYPERLINK("https://fin.land.naver.com/articles/2650621151", "매물Link")</f>
        <v/>
      </c>
      <c r="R195" s="6">
        <f>HYPERLINK("https://map.naver.com/p/search/남이면 대련리 57-4", "지도Link")</f>
        <v/>
      </c>
      <c r="S195" s="6">
        <f>HYPERLINK("http://www.eum.go.kr/web/ar/lu/luLandDet.jsp?pnu=4311231035100570004&amp;isNoScr=script&amp;mode=search", "토지이음")</f>
        <v/>
      </c>
      <c r="T195" s="3" t="inlineStr">
        <is>
          <t>(주)미르</t>
        </is>
      </c>
      <c r="U195" s="4" t="n">
        <v>1</v>
      </c>
      <c r="V195" s="5" t="n">
        <v>76.09999999999999</v>
      </c>
      <c r="W195" s="4" t="n">
        <v>2454</v>
      </c>
      <c r="X195" s="3" t="inlineStr">
        <is>
          <t>대장없음</t>
        </is>
      </c>
      <c r="Y195" s="7" t="inlineStr">
        <is>
          <t>대장없음</t>
        </is>
      </c>
      <c r="Z195" s="3" t="inlineStr">
        <is>
          <t>대장없음</t>
        </is>
      </c>
      <c r="AA195" s="3" t="inlineStr">
        <is>
          <t>대장없음</t>
        </is>
      </c>
      <c r="AB195" s="3" t="inlineStr">
        <is>
          <t>대장없음</t>
        </is>
      </c>
      <c r="AC195" s="3" t="inlineStr">
        <is>
          <t>대장없음</t>
        </is>
      </c>
      <c r="AD195" s="3" t="inlineStr">
        <is>
          <t>소로한면</t>
        </is>
      </c>
    </row>
    <row r="196">
      <c r="A196" s="3" t="inlineStr">
        <is>
          <t>남이면 대련리 57-4</t>
        </is>
      </c>
      <c r="B196" s="3" t="inlineStr">
        <is>
          <t>자연녹지지역</t>
        </is>
      </c>
      <c r="C196" s="3" t="inlineStr">
        <is>
          <t>공장용지</t>
        </is>
      </c>
      <c r="D196" s="3" t="inlineStr">
        <is>
          <t>공장</t>
        </is>
      </c>
      <c r="E196" s="3" t="inlineStr">
        <is>
          <t>매매</t>
        </is>
      </c>
      <c r="F196" s="4" t="n">
        <v>530000</v>
      </c>
      <c r="G196" s="4" t="n">
        <v>0</v>
      </c>
      <c r="H196" s="4" t="n">
        <v>7706</v>
      </c>
      <c r="I196" s="4" t="n">
        <v>2331</v>
      </c>
      <c r="J196" s="5" t="n">
        <v>227.4</v>
      </c>
      <c r="K196" s="4" t="n">
        <v>1489</v>
      </c>
      <c r="L196" s="4" t="n">
        <v>450</v>
      </c>
      <c r="M196" s="5" t="n">
        <v>1177.8</v>
      </c>
      <c r="N196" s="3" t="inlineStr">
        <is>
          <t>2</t>
        </is>
      </c>
      <c r="O196" s="3" t="inlineStr">
        <is>
          <t>-</t>
        </is>
      </c>
      <c r="P196" s="3" t="inlineStr">
        <is>
          <t>사진有 공장 매매</t>
        </is>
      </c>
      <c r="Q196" s="6">
        <f>HYPERLINK("https://fin.land.naver.com/articles/2650518771", "매물Link")</f>
        <v/>
      </c>
      <c r="R196" s="6">
        <f>HYPERLINK("https://map.naver.com/p/search/남이면 대련리 57-4", "지도Link")</f>
        <v/>
      </c>
      <c r="S196" s="6">
        <f>HYPERLINK("http://www.eum.go.kr/web/ar/lu/luLandDet.jsp?pnu=4311231035100570004&amp;isNoScr=script&amp;mode=search", "토지이음")</f>
        <v/>
      </c>
      <c r="T196" s="3" t="inlineStr">
        <is>
          <t>월드</t>
        </is>
      </c>
      <c r="U196" s="4" t="n">
        <v>1</v>
      </c>
      <c r="V196" s="5" t="n">
        <v>76.09999999999999</v>
      </c>
      <c r="W196" s="4" t="n">
        <v>2454</v>
      </c>
      <c r="X196" s="3" t="inlineStr">
        <is>
          <t>대장없음</t>
        </is>
      </c>
      <c r="Y196" s="7" t="inlineStr">
        <is>
          <t>대장없음</t>
        </is>
      </c>
      <c r="Z196" s="3" t="inlineStr">
        <is>
          <t>대장없음</t>
        </is>
      </c>
      <c r="AA196" s="3" t="inlineStr">
        <is>
          <t>대장없음</t>
        </is>
      </c>
      <c r="AB196" s="3" t="inlineStr">
        <is>
          <t>대장없음</t>
        </is>
      </c>
      <c r="AC196" s="3" t="inlineStr">
        <is>
          <t>대장없음</t>
        </is>
      </c>
      <c r="AD196" s="3" t="inlineStr">
        <is>
          <t>소로한면</t>
        </is>
      </c>
    </row>
    <row r="197">
      <c r="A197" s="3" t="inlineStr">
        <is>
          <t>남이면 대련리 57-8</t>
        </is>
      </c>
      <c r="B197" s="3" t="inlineStr">
        <is>
          <t>자연녹지지역</t>
        </is>
      </c>
      <c r="C197" s="3" t="inlineStr">
        <is>
          <t>공장용지</t>
        </is>
      </c>
      <c r="D197" s="3" t="inlineStr">
        <is>
          <t>공장</t>
        </is>
      </c>
      <c r="E197" s="3" t="inlineStr">
        <is>
          <t>매매</t>
        </is>
      </c>
      <c r="F197" s="4" t="n">
        <v>530000</v>
      </c>
      <c r="G197" s="4" t="n">
        <v>0</v>
      </c>
      <c r="H197" s="4" t="n">
        <v>7870</v>
      </c>
      <c r="I197" s="4" t="n">
        <v>2381</v>
      </c>
      <c r="J197" s="5" t="n">
        <v>222.6</v>
      </c>
      <c r="K197" s="4" t="n">
        <v>1489</v>
      </c>
      <c r="L197" s="4" t="n">
        <v>450</v>
      </c>
      <c r="M197" s="5" t="n">
        <v>1177.8</v>
      </c>
      <c r="N197" s="3" t="inlineStr">
        <is>
          <t>2</t>
        </is>
      </c>
      <c r="O197" s="3" t="inlineStr">
        <is>
          <t>-</t>
        </is>
      </c>
      <c r="P197" s="3" t="inlineStr">
        <is>
          <t>공장 4개동으로 구성, 대형차량 진출입 편리한 공장 매매</t>
        </is>
      </c>
      <c r="Q197" s="6">
        <f>HYPERLINK("https://fin.land.naver.com/articles/2651026028", "매물Link")</f>
        <v/>
      </c>
      <c r="R197" s="6">
        <f>HYPERLINK("https://map.naver.com/p/search/남이면 대련리 57-8", "지도Link")</f>
        <v/>
      </c>
      <c r="S197" s="6">
        <f>HYPERLINK("http://www.eum.go.kr/web/ar/lu/luLandDet.jsp?pnu=4311231035100570008&amp;isNoScr=script&amp;mode=search", "토지이음")</f>
        <v/>
      </c>
      <c r="T197" s="3" t="inlineStr">
        <is>
          <t>금화랜드</t>
        </is>
      </c>
      <c r="U197" s="4" t="n">
        <v>1</v>
      </c>
      <c r="V197" s="5" t="n">
        <v>72.3</v>
      </c>
      <c r="W197" s="4" t="n">
        <v>722.5</v>
      </c>
      <c r="X197" s="3" t="inlineStr">
        <is>
          <t>대장없음</t>
        </is>
      </c>
      <c r="Y197" s="7" t="inlineStr">
        <is>
          <t>대장없음</t>
        </is>
      </c>
      <c r="Z197" s="3" t="inlineStr">
        <is>
          <t>대장없음</t>
        </is>
      </c>
      <c r="AA197" s="3" t="inlineStr">
        <is>
          <t>대장없음</t>
        </is>
      </c>
      <c r="AB197" s="3" t="inlineStr">
        <is>
          <t>대장없음</t>
        </is>
      </c>
      <c r="AC197" s="3" t="inlineStr">
        <is>
          <t>대장없음</t>
        </is>
      </c>
      <c r="AD197" s="3" t="inlineStr">
        <is>
          <t>세로한면(가)</t>
        </is>
      </c>
    </row>
    <row r="198">
      <c r="A198" s="3" t="inlineStr">
        <is>
          <t>남이면 대련리 86-1</t>
        </is>
      </c>
      <c r="B198" s="3" t="inlineStr">
        <is>
          <t>자연녹지지역</t>
        </is>
      </c>
      <c r="C198" s="3" t="inlineStr">
        <is>
          <t>공장용지</t>
        </is>
      </c>
      <c r="D198" s="3" t="inlineStr">
        <is>
          <t>창고</t>
        </is>
      </c>
      <c r="E198" s="3" t="inlineStr">
        <is>
          <t>매매</t>
        </is>
      </c>
      <c r="F198" s="4" t="n">
        <v>165000</v>
      </c>
      <c r="G198" s="4" t="n">
        <v>0</v>
      </c>
      <c r="H198" s="4" t="n">
        <v>2139</v>
      </c>
      <c r="I198" s="4" t="n">
        <v>647</v>
      </c>
      <c r="J198" s="5" t="n">
        <v>255</v>
      </c>
      <c r="K198" s="4" t="n">
        <v>494</v>
      </c>
      <c r="L198" s="4" t="n">
        <v>149</v>
      </c>
      <c r="M198" s="5" t="n">
        <v>1107.4</v>
      </c>
      <c r="N198" s="3" t="inlineStr">
        <is>
          <t>2</t>
        </is>
      </c>
      <c r="O198" s="3" t="inlineStr">
        <is>
          <t>-</t>
        </is>
      </c>
      <c r="P198" s="3" t="inlineStr">
        <is>
          <t>사진有, 1층 3톤 호이스트, 2층 사무실 큰 대로변에서 바로 진입</t>
        </is>
      </c>
      <c r="Q198" s="6">
        <f>HYPERLINK("https://fin.land.naver.com/articles/2649553554", "매물Link")</f>
        <v/>
      </c>
      <c r="R198" s="6">
        <f>HYPERLINK("https://map.naver.com/p/search/남이면 대련리 86-1", "지도Link")</f>
        <v/>
      </c>
      <c r="S198" s="6">
        <f>HYPERLINK("http://www.eum.go.kr/web/ar/lu/luLandDet.jsp?pnu=4311231035100860001&amp;isNoScr=script&amp;mode=search", "토지이음")</f>
        <v/>
      </c>
      <c r="T198" s="3" t="inlineStr">
        <is>
          <t>태성</t>
        </is>
      </c>
      <c r="U198" s="4" t="n">
        <v>1</v>
      </c>
      <c r="V198" s="5" t="n">
        <v>71.8</v>
      </c>
      <c r="W198" s="4" t="n">
        <v>1842</v>
      </c>
      <c r="X198" s="3" t="inlineStr">
        <is>
          <t>대장없음</t>
        </is>
      </c>
      <c r="Y198" s="7" t="inlineStr">
        <is>
          <t>대장없음</t>
        </is>
      </c>
      <c r="Z198" s="3" t="inlineStr">
        <is>
          <t>대장없음</t>
        </is>
      </c>
      <c r="AA198" s="3" t="inlineStr">
        <is>
          <t>대장없음</t>
        </is>
      </c>
      <c r="AB198" s="3" t="inlineStr">
        <is>
          <t>대장없음</t>
        </is>
      </c>
      <c r="AC198" s="3" t="inlineStr">
        <is>
          <t>대장없음</t>
        </is>
      </c>
      <c r="AD198" s="3" t="inlineStr">
        <is>
          <t>소로한면</t>
        </is>
      </c>
    </row>
    <row r="199">
      <c r="A199" s="3" t="inlineStr">
        <is>
          <t>남이면 대련리 86-1</t>
        </is>
      </c>
      <c r="B199" s="3" t="inlineStr">
        <is>
          <t>자연녹지지역</t>
        </is>
      </c>
      <c r="C199" s="3" t="inlineStr">
        <is>
          <t>공장용지</t>
        </is>
      </c>
      <c r="D199" s="3" t="inlineStr">
        <is>
          <t>공장</t>
        </is>
      </c>
      <c r="E199" s="3" t="inlineStr">
        <is>
          <t>월세</t>
        </is>
      </c>
      <c r="F199" s="4" t="n">
        <v>2500</v>
      </c>
      <c r="G199" s="4" t="n">
        <v>230</v>
      </c>
      <c r="H199" s="4" t="n">
        <v>1842</v>
      </c>
      <c r="I199" s="4" t="n">
        <v>557</v>
      </c>
      <c r="J199" s="5" t="n">
        <v>0.4</v>
      </c>
      <c r="K199" s="4" t="n">
        <v>494</v>
      </c>
      <c r="L199" s="4" t="n">
        <v>149</v>
      </c>
      <c r="M199" s="5" t="n">
        <v>1.5</v>
      </c>
      <c r="N199" s="3" t="inlineStr">
        <is>
          <t>2</t>
        </is>
      </c>
      <c r="O199" s="3" t="inlineStr">
        <is>
          <t>-</t>
        </is>
      </c>
      <c r="P199" s="3" t="inlineStr">
        <is>
          <t>1층 100형 마당400형</t>
        </is>
      </c>
      <c r="Q199" s="6">
        <f>HYPERLINK("https://fin.land.naver.com/articles/2650897432", "매물Link")</f>
        <v/>
      </c>
      <c r="R199" s="6">
        <f>HYPERLINK("https://map.naver.com/p/search/남이면 대련리 86-1", "지도Link")</f>
        <v/>
      </c>
      <c r="S199" s="6">
        <f>HYPERLINK("http://www.eum.go.kr/web/ar/lu/luLandDet.jsp?pnu=4311231035100860001&amp;isNoScr=script&amp;mode=search", "토지이음")</f>
        <v/>
      </c>
      <c r="T199" s="3" t="inlineStr">
        <is>
          <t>위더스</t>
        </is>
      </c>
      <c r="U199" s="4" t="n">
        <v>1</v>
      </c>
      <c r="V199" s="5" t="n">
        <v>71.8</v>
      </c>
      <c r="W199" s="4" t="n">
        <v>1842</v>
      </c>
      <c r="X199" s="3" t="inlineStr">
        <is>
          <t>대장없음</t>
        </is>
      </c>
      <c r="Y199" s="7" t="inlineStr">
        <is>
          <t>대장없음</t>
        </is>
      </c>
      <c r="Z199" s="3" t="inlineStr">
        <is>
          <t>대장없음</t>
        </is>
      </c>
      <c r="AA199" s="3" t="inlineStr">
        <is>
          <t>대장없음</t>
        </is>
      </c>
      <c r="AB199" s="3" t="inlineStr">
        <is>
          <t>대장없음</t>
        </is>
      </c>
      <c r="AC199" s="3" t="inlineStr">
        <is>
          <t>대장없음</t>
        </is>
      </c>
      <c r="AD199" s="3" t="inlineStr">
        <is>
          <t>소로한면</t>
        </is>
      </c>
    </row>
    <row r="200">
      <c r="A200" s="3" t="inlineStr">
        <is>
          <t>남이면 부용외천리 528-2</t>
        </is>
      </c>
      <c r="B200" s="3" t="inlineStr">
        <is>
          <t>계획관리지역</t>
        </is>
      </c>
      <c r="C200" s="3" t="inlineStr">
        <is>
          <t>대</t>
        </is>
      </c>
      <c r="D200" s="3" t="inlineStr">
        <is>
          <t>공장</t>
        </is>
      </c>
      <c r="E200" s="3" t="inlineStr">
        <is>
          <t>매매</t>
        </is>
      </c>
      <c r="F200" s="4" t="n">
        <v>252000</v>
      </c>
      <c r="G200" s="4" t="n">
        <v>0</v>
      </c>
      <c r="H200" s="4" t="n">
        <v>2312</v>
      </c>
      <c r="I200" s="4" t="n">
        <v>699</v>
      </c>
      <c r="J200" s="5" t="n">
        <v>360.5</v>
      </c>
      <c r="K200" s="4" t="n">
        <v>1000</v>
      </c>
      <c r="L200" s="4" t="n">
        <v>302</v>
      </c>
      <c r="M200" s="5" t="n">
        <v>834.4</v>
      </c>
      <c r="N200" s="3" t="inlineStr">
        <is>
          <t>2</t>
        </is>
      </c>
      <c r="O200" s="3" t="inlineStr">
        <is>
          <t>-</t>
        </is>
      </c>
      <c r="P200" s="3" t="inlineStr">
        <is>
          <t>남청주ic 2분 거리, 사무실 신축 급 리모델링 완료</t>
        </is>
      </c>
      <c r="Q200" s="6">
        <f>HYPERLINK("https://fin.land.naver.com/articles/2653823626", "매물Link")</f>
        <v/>
      </c>
      <c r="R200" s="6">
        <f>HYPERLINK("https://map.naver.com/p/search/남이면 부용외천리 528-2", "지도Link")</f>
        <v/>
      </c>
      <c r="S200" s="6">
        <f>HYPERLINK("http://www.eum.go.kr/web/ar/lu/luLandDet.jsp?pnu=4311231040105280002&amp;isNoScr=script&amp;mode=search", "토지이음")</f>
        <v/>
      </c>
      <c r="T200" s="3" t="inlineStr">
        <is>
          <t>SK2</t>
        </is>
      </c>
      <c r="U200" s="4" t="n">
        <v>1</v>
      </c>
      <c r="V200" s="5" t="n">
        <v>79.7</v>
      </c>
      <c r="W200" s="4" t="n">
        <v>2312</v>
      </c>
      <c r="X200" s="3" t="inlineStr">
        <is>
          <t>대장없음</t>
        </is>
      </c>
      <c r="Y200" s="7" t="inlineStr">
        <is>
          <t>대장없음</t>
        </is>
      </c>
      <c r="Z200" s="3" t="inlineStr">
        <is>
          <t>대장없음</t>
        </is>
      </c>
      <c r="AA200" s="3" t="inlineStr">
        <is>
          <t>대장없음</t>
        </is>
      </c>
      <c r="AB200" s="3" t="inlineStr">
        <is>
          <t>대장없음</t>
        </is>
      </c>
      <c r="AC200" s="3" t="inlineStr">
        <is>
          <t>대장없음</t>
        </is>
      </c>
      <c r="AD200" s="3" t="inlineStr">
        <is>
          <t>세로한면(가)</t>
        </is>
      </c>
    </row>
    <row r="201">
      <c r="A201" s="3" t="inlineStr">
        <is>
          <t>남이면 부용외천리 796-1</t>
        </is>
      </c>
      <c r="B201" s="3" t="inlineStr">
        <is>
          <t>계획관리지역</t>
        </is>
      </c>
      <c r="C201" s="3" t="inlineStr">
        <is>
          <t>공장용지</t>
        </is>
      </c>
      <c r="D201" s="3" t="inlineStr">
        <is>
          <t>공장</t>
        </is>
      </c>
      <c r="E201" s="3" t="inlineStr">
        <is>
          <t>월세</t>
        </is>
      </c>
      <c r="F201" s="4" t="n">
        <v>15000</v>
      </c>
      <c r="G201" s="4" t="n">
        <v>1340</v>
      </c>
      <c r="H201" s="4" t="n">
        <v>6011</v>
      </c>
      <c r="I201" s="4" t="n">
        <v>1818</v>
      </c>
      <c r="J201" s="5" t="n">
        <v>0.7</v>
      </c>
      <c r="K201" s="4" t="n">
        <v>2119</v>
      </c>
      <c r="L201" s="4" t="n">
        <v>641</v>
      </c>
      <c r="M201" s="5" t="n">
        <v>2.1</v>
      </c>
      <c r="N201" s="3" t="inlineStr">
        <is>
          <t>2</t>
        </is>
      </c>
      <c r="O201" s="3" t="inlineStr">
        <is>
          <t>-</t>
        </is>
      </c>
      <c r="P201" s="3" t="inlineStr">
        <is>
          <t>사진有 공장 임대</t>
        </is>
      </c>
      <c r="Q201" s="6">
        <f>HYPERLINK("https://fin.land.naver.com/articles/2653027548", "매물Link")</f>
        <v/>
      </c>
      <c r="R201" s="6">
        <f>HYPERLINK("https://map.naver.com/p/search/남이면 부용외천리 796-1", "지도Link")</f>
        <v/>
      </c>
      <c r="S201" s="6">
        <f>HYPERLINK("http://www.eum.go.kr/web/ar/lu/luLandDet.jsp?pnu=4311231040107960001&amp;isNoScr=script&amp;mode=search", "토지이음")</f>
        <v/>
      </c>
      <c r="T201" s="3" t="inlineStr">
        <is>
          <t>월드</t>
        </is>
      </c>
      <c r="U201" s="4" t="n">
        <v>1</v>
      </c>
      <c r="V201" s="5" t="n">
        <v>56.6</v>
      </c>
      <c r="W201" s="4" t="n">
        <v>1782</v>
      </c>
      <c r="X201" s="3" t="inlineStr">
        <is>
          <t>대장없음</t>
        </is>
      </c>
      <c r="Y201" s="7" t="inlineStr">
        <is>
          <t>대장없음</t>
        </is>
      </c>
      <c r="Z201" s="3" t="inlineStr">
        <is>
          <t>대장없음</t>
        </is>
      </c>
      <c r="AA201" s="3" t="inlineStr">
        <is>
          <t>대장없음</t>
        </is>
      </c>
      <c r="AB201" s="3" t="inlineStr">
        <is>
          <t>대장없음</t>
        </is>
      </c>
      <c r="AC201" s="3" t="inlineStr">
        <is>
          <t>대장없음</t>
        </is>
      </c>
      <c r="AD201" s="3" t="inlineStr">
        <is>
          <t>세로한면(가)</t>
        </is>
      </c>
    </row>
    <row r="202">
      <c r="A202" s="3" t="inlineStr">
        <is>
          <t>남이면 부용외천리 860</t>
        </is>
      </c>
      <c r="B202" s="3" t="inlineStr">
        <is>
          <t>계획관리지역</t>
        </is>
      </c>
      <c r="C202" s="3" t="inlineStr">
        <is>
          <t>대</t>
        </is>
      </c>
      <c r="D202" s="3" t="inlineStr">
        <is>
          <t>공장</t>
        </is>
      </c>
      <c r="E202" s="3" t="inlineStr">
        <is>
          <t>매매</t>
        </is>
      </c>
      <c r="F202" s="4" t="n">
        <v>130000</v>
      </c>
      <c r="G202" s="4" t="n">
        <v>0</v>
      </c>
      <c r="H202" s="4" t="n">
        <v>1513</v>
      </c>
      <c r="I202" s="4" t="n">
        <v>458</v>
      </c>
      <c r="J202" s="5" t="n">
        <v>283.8</v>
      </c>
      <c r="K202" s="4" t="n">
        <v>281</v>
      </c>
      <c r="L202" s="4" t="n">
        <v>85</v>
      </c>
      <c r="M202" s="5" t="n">
        <v>1529.4</v>
      </c>
      <c r="N202" s="3" t="inlineStr">
        <is>
          <t>2</t>
        </is>
      </c>
      <c r="O202" s="3" t="inlineStr">
        <is>
          <t>-</t>
        </is>
      </c>
      <c r="P202" s="3" t="inlineStr">
        <is>
          <t>남청주IC 인근, 광고효과좋은 공장 매매</t>
        </is>
      </c>
      <c r="Q202" s="6">
        <f>HYPERLINK("https://fin.land.naver.com/articles/2649505420", "매물Link")</f>
        <v/>
      </c>
      <c r="R202" s="6">
        <f>HYPERLINK("https://map.naver.com/p/search/남이면 부용외천리 860", "지도Link")</f>
        <v/>
      </c>
      <c r="S202" s="6">
        <f>HYPERLINK("http://www.eum.go.kr/web/ar/lu/luLandDet.jsp?pnu=4311231040108600000&amp;isNoScr=script&amp;mode=search", "토지이음")</f>
        <v/>
      </c>
      <c r="T202" s="3" t="inlineStr">
        <is>
          <t>금화랜드</t>
        </is>
      </c>
      <c r="U202" s="4" t="n">
        <v>1</v>
      </c>
      <c r="V202" s="5" t="n">
        <v>73.40000000000001</v>
      </c>
      <c r="W202" s="4" t="n">
        <v>252</v>
      </c>
      <c r="X202" s="3" t="inlineStr">
        <is>
          <t>대장없음</t>
        </is>
      </c>
      <c r="Y202" s="7" t="inlineStr">
        <is>
          <t>대장없음</t>
        </is>
      </c>
      <c r="Z202" s="3" t="inlineStr">
        <is>
          <t>대장없음</t>
        </is>
      </c>
      <c r="AA202" s="3" t="inlineStr">
        <is>
          <t>대장없음</t>
        </is>
      </c>
      <c r="AB202" s="3" t="inlineStr">
        <is>
          <t>대장없음</t>
        </is>
      </c>
      <c r="AC202" s="3" t="inlineStr">
        <is>
          <t>대장없음</t>
        </is>
      </c>
      <c r="AD202" s="3" t="inlineStr">
        <is>
          <t>세로각지(가)</t>
        </is>
      </c>
    </row>
    <row r="203">
      <c r="A203" s="3" t="inlineStr">
        <is>
          <t>남이면 부용외천리 860</t>
        </is>
      </c>
      <c r="B203" s="3" t="inlineStr">
        <is>
          <t>계획관리지역</t>
        </is>
      </c>
      <c r="C203" s="3" t="inlineStr">
        <is>
          <t>대</t>
        </is>
      </c>
      <c r="D203" s="3" t="inlineStr">
        <is>
          <t>창고</t>
        </is>
      </c>
      <c r="E203" s="3" t="inlineStr">
        <is>
          <t>매매</t>
        </is>
      </c>
      <c r="F203" s="4" t="n">
        <v>130000</v>
      </c>
      <c r="G203" s="4" t="n">
        <v>0</v>
      </c>
      <c r="H203" s="4" t="n">
        <v>1513</v>
      </c>
      <c r="I203" s="4" t="n">
        <v>458</v>
      </c>
      <c r="J203" s="5" t="n">
        <v>283.8</v>
      </c>
      <c r="K203" s="4" t="n">
        <v>281</v>
      </c>
      <c r="L203" s="4" t="n">
        <v>85</v>
      </c>
      <c r="M203" s="5" t="n">
        <v>1529.4</v>
      </c>
      <c r="N203" s="3" t="inlineStr">
        <is>
          <t>2</t>
        </is>
      </c>
      <c r="O203" s="3" t="inlineStr">
        <is>
          <t>-</t>
        </is>
      </c>
      <c r="P203" s="3" t="inlineStr">
        <is>
          <t>남청주ic 인접 광고효과 가시성 최상인 위치  증축가능</t>
        </is>
      </c>
      <c r="Q203" s="6">
        <f>HYPERLINK("https://fin.land.naver.com/articles/2650936981", "매물Link")</f>
        <v/>
      </c>
      <c r="R203" s="6">
        <f>HYPERLINK("https://map.naver.com/p/search/남이면 부용외천리 860", "지도Link")</f>
        <v/>
      </c>
      <c r="S203" s="6">
        <f>HYPERLINK("http://www.eum.go.kr/web/ar/lu/luLandDet.jsp?pnu=4311231040108600000&amp;isNoScr=script&amp;mode=search", "토지이음")</f>
        <v/>
      </c>
      <c r="T203" s="3" t="inlineStr">
        <is>
          <t>더원</t>
        </is>
      </c>
      <c r="U203" s="4" t="n">
        <v>1</v>
      </c>
      <c r="V203" s="5" t="n">
        <v>73.40000000000001</v>
      </c>
      <c r="W203" s="4" t="n">
        <v>252</v>
      </c>
      <c r="X203" s="3" t="inlineStr">
        <is>
          <t>대장없음</t>
        </is>
      </c>
      <c r="Y203" s="7" t="inlineStr">
        <is>
          <t>대장없음</t>
        </is>
      </c>
      <c r="Z203" s="3" t="inlineStr">
        <is>
          <t>대장없음</t>
        </is>
      </c>
      <c r="AA203" s="3" t="inlineStr">
        <is>
          <t>대장없음</t>
        </is>
      </c>
      <c r="AB203" s="3" t="inlineStr">
        <is>
          <t>대장없음</t>
        </is>
      </c>
      <c r="AC203" s="3" t="inlineStr">
        <is>
          <t>대장없음</t>
        </is>
      </c>
      <c r="AD203" s="3" t="inlineStr">
        <is>
          <t>세로각지(가)</t>
        </is>
      </c>
    </row>
    <row r="204">
      <c r="A204" s="3" t="inlineStr">
        <is>
          <t>남이면 부용외천리 862</t>
        </is>
      </c>
      <c r="B204" s="3" t="inlineStr">
        <is>
          <t>계획관리지역</t>
        </is>
      </c>
      <c r="C204" s="3" t="inlineStr">
        <is>
          <t>대</t>
        </is>
      </c>
      <c r="D204" s="3" t="inlineStr">
        <is>
          <t>창고</t>
        </is>
      </c>
      <c r="E204" s="3" t="inlineStr">
        <is>
          <t>매매</t>
        </is>
      </c>
      <c r="F204" s="4" t="n">
        <v>130000</v>
      </c>
      <c r="G204" s="4" t="n">
        <v>0</v>
      </c>
      <c r="H204" s="4" t="n">
        <v>1513</v>
      </c>
      <c r="I204" s="4" t="n">
        <v>458</v>
      </c>
      <c r="J204" s="5" t="n">
        <v>283.8</v>
      </c>
      <c r="K204" s="4" t="n">
        <v>281</v>
      </c>
      <c r="L204" s="4" t="n">
        <v>85</v>
      </c>
      <c r="M204" s="5" t="n">
        <v>1529.4</v>
      </c>
      <c r="N204" s="3" t="inlineStr">
        <is>
          <t>2</t>
        </is>
      </c>
      <c r="O204" s="3" t="inlineStr">
        <is>
          <t>-</t>
        </is>
      </c>
      <c r="P204" s="3" t="inlineStr">
        <is>
          <t>남청주IC 부근으로 대형차 진출입이 용이한 곳, 가시성이 뛰어난 곳</t>
        </is>
      </c>
      <c r="Q204" s="6">
        <f>HYPERLINK("https://fin.land.naver.com/articles/2651585740", "매물Link")</f>
        <v/>
      </c>
      <c r="R204" s="6">
        <f>HYPERLINK("https://map.naver.com/p/search/남이면 부용외천리 862", "지도Link")</f>
        <v/>
      </c>
      <c r="S204" s="6">
        <f>HYPERLINK("http://www.eum.go.kr/web/ar/lu/luLandDet.jsp?pnu=4311231040108620000&amp;isNoScr=script&amp;mode=search", "토지이음")</f>
        <v/>
      </c>
      <c r="T204" s="3" t="inlineStr">
        <is>
          <t>(주)미르</t>
        </is>
      </c>
      <c r="U204" s="4" t="n">
        <v>1</v>
      </c>
      <c r="V204" s="5" t="n">
        <v>73.40000000000001</v>
      </c>
      <c r="W204" s="4" t="n">
        <v>1261</v>
      </c>
      <c r="X204" s="3" t="inlineStr">
        <is>
          <t>대장없음</t>
        </is>
      </c>
      <c r="Y204" s="7" t="inlineStr">
        <is>
          <t>대장없음</t>
        </is>
      </c>
      <c r="Z204" s="3" t="inlineStr">
        <is>
          <t>대장없음</t>
        </is>
      </c>
      <c r="AA204" s="3" t="inlineStr">
        <is>
          <t>대장없음</t>
        </is>
      </c>
      <c r="AB204" s="3" t="inlineStr">
        <is>
          <t>대장없음</t>
        </is>
      </c>
      <c r="AC204" s="3" t="inlineStr">
        <is>
          <t>대장없음</t>
        </is>
      </c>
      <c r="AD204" s="3" t="inlineStr">
        <is>
          <t>세로각지(가)</t>
        </is>
      </c>
    </row>
    <row r="205">
      <c r="A205" s="3" t="inlineStr">
        <is>
          <t>남이면 부용외천리 864-1</t>
        </is>
      </c>
      <c r="B205" s="3" t="inlineStr">
        <is>
          <t>계획관리지역</t>
        </is>
      </c>
      <c r="C205" s="3" t="inlineStr">
        <is>
          <t>공장용지</t>
        </is>
      </c>
      <c r="D205" s="3" t="inlineStr">
        <is>
          <t>공장</t>
        </is>
      </c>
      <c r="E205" s="3" t="inlineStr">
        <is>
          <t>월세</t>
        </is>
      </c>
      <c r="F205" s="4" t="n">
        <v>3000</v>
      </c>
      <c r="G205" s="4" t="n">
        <v>300</v>
      </c>
      <c r="H205" s="4" t="n">
        <v>3684</v>
      </c>
      <c r="I205" s="4" t="n">
        <v>1114</v>
      </c>
      <c r="J205" s="5" t="n">
        <v>0.3</v>
      </c>
      <c r="K205" s="4" t="n">
        <v>408</v>
      </c>
      <c r="L205" s="4" t="n">
        <v>123</v>
      </c>
      <c r="M205" s="5" t="n">
        <v>2.4</v>
      </c>
      <c r="N205" s="3" t="inlineStr">
        <is>
          <t>1</t>
        </is>
      </c>
      <c r="O205" s="3" t="inlineStr">
        <is>
          <t>-</t>
        </is>
      </c>
      <c r="P205" s="3" t="inlineStr">
        <is>
          <t>남청주 톨게이트 인근, 접근성 용이한 공장 및 창고 임대</t>
        </is>
      </c>
      <c r="Q205" s="6">
        <f>HYPERLINK("https://fin.land.naver.com/articles/2649944451", "매물Link")</f>
        <v/>
      </c>
      <c r="R205" s="6">
        <f>HYPERLINK("https://map.naver.com/p/search/남이면 부용외천리 864-1", "지도Link")</f>
        <v/>
      </c>
      <c r="S205" s="6">
        <f>HYPERLINK("http://www.eum.go.kr/web/ar/lu/luLandDet.jsp?pnu=4311231040108640001&amp;isNoScr=script&amp;mode=search", "토지이음")</f>
        <v/>
      </c>
      <c r="T205" s="3" t="inlineStr">
        <is>
          <t>신탄진다온</t>
        </is>
      </c>
      <c r="U205" s="4" t="n">
        <v>1</v>
      </c>
      <c r="V205" s="5" t="n">
        <v>72</v>
      </c>
      <c r="W205" s="4" t="n">
        <v>3684</v>
      </c>
      <c r="X205" s="3" t="inlineStr">
        <is>
          <t>대장없음</t>
        </is>
      </c>
      <c r="Y205" s="7" t="inlineStr">
        <is>
          <t>대장없음</t>
        </is>
      </c>
      <c r="Z205" s="3" t="inlineStr">
        <is>
          <t>대장없음</t>
        </is>
      </c>
      <c r="AA205" s="3" t="inlineStr">
        <is>
          <t>대장없음</t>
        </is>
      </c>
      <c r="AB205" s="3" t="inlineStr">
        <is>
          <t>대장없음</t>
        </is>
      </c>
      <c r="AC205" s="3" t="inlineStr">
        <is>
          <t>대장없음</t>
        </is>
      </c>
      <c r="AD205" s="3" t="inlineStr">
        <is>
          <t>세로한면(가)</t>
        </is>
      </c>
    </row>
    <row r="206">
      <c r="A206" s="3" t="inlineStr">
        <is>
          <t>남이면 부용외천리 870</t>
        </is>
      </c>
      <c r="B206" s="3" t="inlineStr">
        <is>
          <t>계획관리지역</t>
        </is>
      </c>
      <c r="C206" s="3" t="inlineStr">
        <is>
          <t>공장용지</t>
        </is>
      </c>
      <c r="D206" s="3" t="inlineStr">
        <is>
          <t>공장</t>
        </is>
      </c>
      <c r="E206" s="3" t="inlineStr">
        <is>
          <t>매매</t>
        </is>
      </c>
      <c r="F206" s="4" t="n">
        <v>300000</v>
      </c>
      <c r="G206" s="4" t="n">
        <v>0</v>
      </c>
      <c r="H206" s="4" t="n">
        <v>4210</v>
      </c>
      <c r="I206" s="4" t="n">
        <v>1274</v>
      </c>
      <c r="J206" s="5" t="n">
        <v>235.5</v>
      </c>
      <c r="K206" s="4" t="n">
        <v>1264</v>
      </c>
      <c r="L206" s="4" t="n">
        <v>382</v>
      </c>
      <c r="M206" s="5" t="n">
        <v>785.3</v>
      </c>
      <c r="N206" s="3" t="inlineStr">
        <is>
          <t>2</t>
        </is>
      </c>
      <c r="O206" s="3" t="inlineStr">
        <is>
          <t>-</t>
        </is>
      </c>
      <c r="P206" s="3" t="inlineStr">
        <is>
          <t>즉시 사용가능 남청주 IC 인근, 호이스트 6개 층고 10M 전력300K</t>
        </is>
      </c>
      <c r="Q206" s="6">
        <f>HYPERLINK("https://fin.land.naver.com/articles/2649563368", "매물Link")</f>
        <v/>
      </c>
      <c r="R206" s="6">
        <f>HYPERLINK("https://map.naver.com/p/search/남이면 부용외천리 870", "지도Link")</f>
        <v/>
      </c>
      <c r="S206" s="6">
        <f>HYPERLINK("http://www.eum.go.kr/web/ar/lu/luLandDet.jsp?pnu=4311231040108700000&amp;isNoScr=script&amp;mode=search", "토지이음")</f>
        <v/>
      </c>
      <c r="T206" s="3" t="inlineStr">
        <is>
          <t>대전토지로무소</t>
        </is>
      </c>
      <c r="U206" s="4" t="n">
        <v>1</v>
      </c>
      <c r="V206" s="5" t="n">
        <v>75.09999999999999</v>
      </c>
      <c r="W206" s="4" t="n">
        <v>4210</v>
      </c>
      <c r="X206" s="3" t="inlineStr">
        <is>
          <t>대장없음</t>
        </is>
      </c>
      <c r="Y206" s="7" t="inlineStr">
        <is>
          <t>대장없음</t>
        </is>
      </c>
      <c r="Z206" s="3" t="inlineStr">
        <is>
          <t>대장없음</t>
        </is>
      </c>
      <c r="AA206" s="3" t="inlineStr">
        <is>
          <t>대장없음</t>
        </is>
      </c>
      <c r="AB206" s="3" t="inlineStr">
        <is>
          <t>대장없음</t>
        </is>
      </c>
      <c r="AC206" s="3" t="inlineStr">
        <is>
          <t>대장없음</t>
        </is>
      </c>
      <c r="AD206" s="3" t="inlineStr">
        <is>
          <t>세로한면(가)</t>
        </is>
      </c>
    </row>
    <row r="207">
      <c r="A207" s="3" t="inlineStr">
        <is>
          <t>남이면 부용외천리 870</t>
        </is>
      </c>
      <c r="B207" s="3" t="inlineStr">
        <is>
          <t>계획관리지역</t>
        </is>
      </c>
      <c r="C207" s="3" t="inlineStr">
        <is>
          <t>공장용지</t>
        </is>
      </c>
      <c r="D207" s="3" t="inlineStr">
        <is>
          <t>공장</t>
        </is>
      </c>
      <c r="E207" s="3" t="inlineStr">
        <is>
          <t>매매</t>
        </is>
      </c>
      <c r="F207" s="4" t="n">
        <v>300000</v>
      </c>
      <c r="G207" s="4" t="n">
        <v>0</v>
      </c>
      <c r="H207" s="4" t="n">
        <v>4210</v>
      </c>
      <c r="I207" s="4" t="n">
        <v>1274</v>
      </c>
      <c r="J207" s="5" t="n">
        <v>235.5</v>
      </c>
      <c r="K207" s="4" t="n">
        <v>1179</v>
      </c>
      <c r="L207" s="4" t="n">
        <v>357</v>
      </c>
      <c r="M207" s="5" t="n">
        <v>840.3</v>
      </c>
      <c r="N207" s="3" t="inlineStr">
        <is>
          <t>1</t>
        </is>
      </c>
      <c r="O207" s="3" t="inlineStr">
        <is>
          <t>-</t>
        </is>
      </c>
      <c r="P207" s="3" t="inlineStr">
        <is>
          <t>남청주 ic 5분 거리 ,호이스트 2.8톤 6기 ,동력300kw</t>
        </is>
      </c>
      <c r="Q207" s="6">
        <f>HYPERLINK("https://fin.land.naver.com/articles/2650785016", "매물Link")</f>
        <v/>
      </c>
      <c r="R207" s="6">
        <f>HYPERLINK("https://map.naver.com/p/search/남이면 부용외천리 870", "지도Link")</f>
        <v/>
      </c>
      <c r="S207" s="6">
        <f>HYPERLINK("http://www.eum.go.kr/web/ar/lu/luLandDet.jsp?pnu=4311231040108700000&amp;isNoScr=script&amp;mode=search", "토지이음")</f>
        <v/>
      </c>
      <c r="T207" s="3" t="inlineStr">
        <is>
          <t>대성오투그란데</t>
        </is>
      </c>
      <c r="U207" s="4" t="n">
        <v>1</v>
      </c>
      <c r="V207" s="5" t="n">
        <v>75.09999999999999</v>
      </c>
      <c r="W207" s="4" t="n">
        <v>4210</v>
      </c>
      <c r="X207" s="3" t="inlineStr">
        <is>
          <t>대장없음</t>
        </is>
      </c>
      <c r="Y207" s="7" t="inlineStr">
        <is>
          <t>대장없음</t>
        </is>
      </c>
      <c r="Z207" s="3" t="inlineStr">
        <is>
          <t>대장없음</t>
        </is>
      </c>
      <c r="AA207" s="3" t="inlineStr">
        <is>
          <t>대장없음</t>
        </is>
      </c>
      <c r="AB207" s="3" t="inlineStr">
        <is>
          <t>대장없음</t>
        </is>
      </c>
      <c r="AC207" s="3" t="inlineStr">
        <is>
          <t>대장없음</t>
        </is>
      </c>
      <c r="AD207" s="3" t="inlineStr">
        <is>
          <t>세로한면(가)</t>
        </is>
      </c>
    </row>
    <row r="208">
      <c r="A208" s="3" t="inlineStr">
        <is>
          <t>남이면 부용외천리 91-1</t>
        </is>
      </c>
      <c r="B208" s="3" t="inlineStr">
        <is>
          <t>계획관리지역</t>
        </is>
      </c>
      <c r="C208" s="3" t="inlineStr">
        <is>
          <t>공장용지</t>
        </is>
      </c>
      <c r="D208" s="3" t="inlineStr">
        <is>
          <t>공장</t>
        </is>
      </c>
      <c r="E208" s="3" t="inlineStr">
        <is>
          <t>매매</t>
        </is>
      </c>
      <c r="F208" s="4" t="n">
        <v>50000</v>
      </c>
      <c r="G208" s="4" t="n">
        <v>0</v>
      </c>
      <c r="H208" s="4" t="n">
        <v>2334</v>
      </c>
      <c r="I208" s="4" t="n">
        <v>706</v>
      </c>
      <c r="J208" s="5" t="n">
        <v>70.8</v>
      </c>
      <c r="K208" s="4" t="n">
        <v>469</v>
      </c>
      <c r="L208" s="4" t="n">
        <v>142</v>
      </c>
      <c r="M208" s="5" t="n">
        <v>352.1</v>
      </c>
      <c r="N208" s="3" t="inlineStr">
        <is>
          <t>1</t>
        </is>
      </c>
      <c r="O208" s="3" t="inlineStr">
        <is>
          <t>B1</t>
        </is>
      </c>
      <c r="P208" s="3" t="inlineStr">
        <is>
          <t>가격조정 가능, 성장관리구역으로 지정된 지역으로 투자가치 높음</t>
        </is>
      </c>
      <c r="Q208" s="6">
        <f>HYPERLINK("https://fin.land.naver.com/articles/2653049407", "매물Link")</f>
        <v/>
      </c>
      <c r="R208" s="6">
        <f>HYPERLINK("https://map.naver.com/p/search/남이면 부용외천리 91-1", "지도Link")</f>
        <v/>
      </c>
      <c r="S208" s="6">
        <f>HYPERLINK("http://www.eum.go.kr/web/ar/lu/luLandDet.jsp?pnu=4311231040100910001&amp;isNoScr=script&amp;mode=search", "토지이음")</f>
        <v/>
      </c>
      <c r="T208" s="3" t="inlineStr">
        <is>
          <t>하경</t>
        </is>
      </c>
      <c r="U208" s="4" t="n">
        <v>1</v>
      </c>
      <c r="V208" s="5" t="n">
        <v>37</v>
      </c>
      <c r="W208" s="4" t="n">
        <v>1736</v>
      </c>
      <c r="X208" s="3" t="inlineStr">
        <is>
          <t>대장없음</t>
        </is>
      </c>
      <c r="Y208" s="7" t="inlineStr">
        <is>
          <t>대장없음</t>
        </is>
      </c>
      <c r="Z208" s="3" t="inlineStr">
        <is>
          <t>대장없음</t>
        </is>
      </c>
      <c r="AA208" s="3" t="inlineStr">
        <is>
          <t>대장없음</t>
        </is>
      </c>
      <c r="AB208" s="3" t="inlineStr">
        <is>
          <t>대장없음</t>
        </is>
      </c>
      <c r="AC208" s="3" t="inlineStr">
        <is>
          <t>대장없음</t>
        </is>
      </c>
      <c r="AD208" s="3" t="inlineStr">
        <is>
          <t>세로한면(가)</t>
        </is>
      </c>
    </row>
    <row r="209">
      <c r="A209" s="3" t="inlineStr">
        <is>
          <t>남이면 부용외천리 91-1</t>
        </is>
      </c>
      <c r="B209" s="3" t="inlineStr">
        <is>
          <t>계획관리지역</t>
        </is>
      </c>
      <c r="C209" s="3" t="inlineStr">
        <is>
          <t>공장용지</t>
        </is>
      </c>
      <c r="D209" s="3" t="inlineStr">
        <is>
          <t>공장</t>
        </is>
      </c>
      <c r="E209" s="3" t="inlineStr">
        <is>
          <t>매매</t>
        </is>
      </c>
      <c r="F209" s="4" t="n">
        <v>56500</v>
      </c>
      <c r="G209" s="4" t="n">
        <v>0</v>
      </c>
      <c r="H209" s="4" t="n">
        <v>2334</v>
      </c>
      <c r="I209" s="4" t="n">
        <v>706</v>
      </c>
      <c r="J209" s="5" t="n">
        <v>80</v>
      </c>
      <c r="K209" s="4" t="n">
        <v>469</v>
      </c>
      <c r="L209" s="4" t="n">
        <v>142</v>
      </c>
      <c r="M209" s="5" t="n">
        <v>397.9</v>
      </c>
      <c r="N209" s="3" t="inlineStr">
        <is>
          <t>1</t>
        </is>
      </c>
      <c r="O209" s="3" t="inlineStr">
        <is>
          <t>-</t>
        </is>
      </c>
      <c r="P209" s="3" t="inlineStr">
        <is>
          <t>남이면 부용외천리 평단가 80만원 파격적인 매매금액</t>
        </is>
      </c>
      <c r="Q209" s="6">
        <f>HYPERLINK("https://fin.land.naver.com/articles/2652920027", "매물Link")</f>
        <v/>
      </c>
      <c r="R209" s="6">
        <f>HYPERLINK("https://map.naver.com/p/search/남이면 부용외천리 91-1", "지도Link")</f>
        <v/>
      </c>
      <c r="S209" s="6">
        <f>HYPERLINK("http://www.eum.go.kr/web/ar/lu/luLandDet.jsp?pnu=4311231040100910001&amp;isNoScr=script&amp;mode=search", "토지이음")</f>
        <v/>
      </c>
      <c r="T209" s="3" t="inlineStr">
        <is>
          <t>왕중왕기업</t>
        </is>
      </c>
      <c r="U209" s="4" t="n">
        <v>1</v>
      </c>
      <c r="V209" s="5" t="n">
        <v>37</v>
      </c>
      <c r="W209" s="4" t="n">
        <v>1736</v>
      </c>
      <c r="X209" s="3" t="inlineStr">
        <is>
          <t>대장없음</t>
        </is>
      </c>
      <c r="Y209" s="7" t="inlineStr">
        <is>
          <t>대장없음</t>
        </is>
      </c>
      <c r="Z209" s="3" t="inlineStr">
        <is>
          <t>대장없음</t>
        </is>
      </c>
      <c r="AA209" s="3" t="inlineStr">
        <is>
          <t>대장없음</t>
        </is>
      </c>
      <c r="AB209" s="3" t="inlineStr">
        <is>
          <t>대장없음</t>
        </is>
      </c>
      <c r="AC209" s="3" t="inlineStr">
        <is>
          <t>대장없음</t>
        </is>
      </c>
      <c r="AD209" s="3" t="inlineStr">
        <is>
          <t>세로한면(가)</t>
        </is>
      </c>
    </row>
    <row r="210">
      <c r="A210" s="3" t="inlineStr">
        <is>
          <t>남이면 비룡리 334-9</t>
        </is>
      </c>
      <c r="B210" s="3" t="inlineStr">
        <is>
          <t>계획관리지역</t>
        </is>
      </c>
      <c r="C210" s="3" t="inlineStr">
        <is>
          <t>공장용지</t>
        </is>
      </c>
      <c r="D210" s="3" t="inlineStr">
        <is>
          <t>공장</t>
        </is>
      </c>
      <c r="E210" s="3" t="inlineStr">
        <is>
          <t>월세</t>
        </is>
      </c>
      <c r="F210" s="4" t="n">
        <v>7000</v>
      </c>
      <c r="G210" s="4" t="n">
        <v>500</v>
      </c>
      <c r="H210" s="4" t="n">
        <v>3452</v>
      </c>
      <c r="I210" s="4" t="n">
        <v>1044</v>
      </c>
      <c r="J210" s="5" t="n">
        <v>0.5</v>
      </c>
      <c r="K210" s="4" t="n">
        <v>494</v>
      </c>
      <c r="L210" s="4" t="n">
        <v>149</v>
      </c>
      <c r="M210" s="5" t="n">
        <v>3.4</v>
      </c>
      <c r="N210" s="3" t="inlineStr">
        <is>
          <t>1</t>
        </is>
      </c>
      <c r="O210" s="3" t="inlineStr">
        <is>
          <t>-</t>
        </is>
      </c>
      <c r="P210" s="3" t="inlineStr">
        <is>
          <t>사진有. 5t호이스트, 금속가공업 등. 민원없는지역</t>
        </is>
      </c>
      <c r="Q210" s="6">
        <f>HYPERLINK("https://fin.land.naver.com/articles/2652010760", "매물Link")</f>
        <v/>
      </c>
      <c r="R210" s="6">
        <f>HYPERLINK("https://map.naver.com/p/search/남이면 비룡리 334-9", "지도Link")</f>
        <v/>
      </c>
      <c r="S210" s="6">
        <f>HYPERLINK("http://www.eum.go.kr/web/ar/lu/luLandDet.jsp?pnu=4311231026103340009&amp;isNoScr=script&amp;mode=search", "토지이음")</f>
        <v/>
      </c>
      <c r="T210" s="3" t="inlineStr">
        <is>
          <t>오너스</t>
        </is>
      </c>
      <c r="U210" s="4" t="n">
        <v>2</v>
      </c>
      <c r="V210" s="5" t="n">
        <v>37.5</v>
      </c>
      <c r="W210" s="4" t="n">
        <v>3452</v>
      </c>
      <c r="X210" s="3" t="inlineStr">
        <is>
          <t>대장없음</t>
        </is>
      </c>
      <c r="Y210" s="7" t="inlineStr">
        <is>
          <t>대장없음</t>
        </is>
      </c>
      <c r="Z210" s="3" t="inlineStr">
        <is>
          <t>대장없음</t>
        </is>
      </c>
      <c r="AA210" s="3" t="inlineStr">
        <is>
          <t>대장없음</t>
        </is>
      </c>
      <c r="AB210" s="3" t="inlineStr">
        <is>
          <t>대장없음</t>
        </is>
      </c>
      <c r="AC210" s="3" t="inlineStr">
        <is>
          <t>대장없음</t>
        </is>
      </c>
      <c r="AD210" s="3" t="inlineStr">
        <is>
          <t>세로한면(가)</t>
        </is>
      </c>
    </row>
    <row r="211">
      <c r="A211" s="3" t="inlineStr">
        <is>
          <t>남이면 비룡리 334-9</t>
        </is>
      </c>
      <c r="B211" s="3" t="inlineStr">
        <is>
          <t>계획관리지역</t>
        </is>
      </c>
      <c r="C211" s="3" t="inlineStr">
        <is>
          <t>공장용지</t>
        </is>
      </c>
      <c r="D211" s="3" t="inlineStr">
        <is>
          <t>공장</t>
        </is>
      </c>
      <c r="E211" s="3" t="inlineStr">
        <is>
          <t>월세</t>
        </is>
      </c>
      <c r="F211" s="4" t="n">
        <v>5000</v>
      </c>
      <c r="G211" s="4" t="n">
        <v>500</v>
      </c>
      <c r="H211" s="4" t="n">
        <v>3452</v>
      </c>
      <c r="I211" s="4" t="n">
        <v>1044</v>
      </c>
      <c r="J211" s="5" t="n">
        <v>0.5</v>
      </c>
      <c r="K211" s="4" t="n">
        <v>494</v>
      </c>
      <c r="L211" s="4" t="n">
        <v>149</v>
      </c>
      <c r="M211" s="5" t="n">
        <v>3.4</v>
      </c>
      <c r="N211" s="3" t="inlineStr">
        <is>
          <t>1</t>
        </is>
      </c>
      <c r="O211" s="3" t="inlineStr">
        <is>
          <t>-</t>
        </is>
      </c>
      <c r="P211" s="3" t="inlineStr">
        <is>
          <t>남청주 ic 13분 오송청주 세종 등 접근성 우수 호이스트 5톤 설치</t>
        </is>
      </c>
      <c r="Q211" s="6">
        <f>HYPERLINK("https://fin.land.naver.com/articles/2652344609", "매물Link")</f>
        <v/>
      </c>
      <c r="R211" s="6">
        <f>HYPERLINK("https://map.naver.com/p/search/남이면 비룡리 334-9", "지도Link")</f>
        <v/>
      </c>
      <c r="S211" s="6">
        <f>HYPERLINK("http://www.eum.go.kr/web/ar/lu/luLandDet.jsp?pnu=4311231026103340009&amp;isNoScr=script&amp;mode=search", "토지이음")</f>
        <v/>
      </c>
      <c r="T211" s="3" t="inlineStr">
        <is>
          <t>더원</t>
        </is>
      </c>
      <c r="U211" s="4" t="n">
        <v>1</v>
      </c>
      <c r="V211" s="5" t="n">
        <v>37.5</v>
      </c>
      <c r="W211" s="4" t="n">
        <v>3452</v>
      </c>
      <c r="X211" s="3" t="inlineStr">
        <is>
          <t>대장없음</t>
        </is>
      </c>
      <c r="Y211" s="7" t="inlineStr">
        <is>
          <t>대장없음</t>
        </is>
      </c>
      <c r="Z211" s="3" t="inlineStr">
        <is>
          <t>대장없음</t>
        </is>
      </c>
      <c r="AA211" s="3" t="inlineStr">
        <is>
          <t>대장없음</t>
        </is>
      </c>
      <c r="AB211" s="3" t="inlineStr">
        <is>
          <t>대장없음</t>
        </is>
      </c>
      <c r="AC211" s="3" t="inlineStr">
        <is>
          <t>대장없음</t>
        </is>
      </c>
      <c r="AD211" s="3" t="inlineStr">
        <is>
          <t>세로한면(가)</t>
        </is>
      </c>
    </row>
    <row r="212">
      <c r="A212" s="3" t="inlineStr">
        <is>
          <t>남이면 비룡리 336-14</t>
        </is>
      </c>
      <c r="B212" s="3" t="inlineStr">
        <is>
          <t>보전관리지역</t>
        </is>
      </c>
      <c r="C212" s="3" t="inlineStr">
        <is>
          <t>대</t>
        </is>
      </c>
      <c r="D212" s="3" t="inlineStr">
        <is>
          <t>창고</t>
        </is>
      </c>
      <c r="E212" s="3" t="inlineStr">
        <is>
          <t>월세</t>
        </is>
      </c>
      <c r="F212" s="4" t="n">
        <v>7500</v>
      </c>
      <c r="G212" s="4" t="n">
        <v>750</v>
      </c>
      <c r="H212" s="4" t="n">
        <v>4985</v>
      </c>
      <c r="I212" s="4" t="n">
        <v>1508</v>
      </c>
      <c r="J212" s="5" t="n">
        <v>0.5</v>
      </c>
      <c r="K212" s="4" t="n">
        <v>990</v>
      </c>
      <c r="L212" s="4" t="n">
        <v>299</v>
      </c>
      <c r="M212" s="5" t="n">
        <v>2.5</v>
      </c>
      <c r="N212" s="3" t="inlineStr">
        <is>
          <t>1</t>
        </is>
      </c>
      <c r="O212" s="3" t="inlineStr">
        <is>
          <t>-</t>
        </is>
      </c>
      <c r="P212" s="3" t="inlineStr">
        <is>
          <t>대형차량 진출입 매우 편리 넓은 단독마당 확보</t>
        </is>
      </c>
      <c r="Q212" s="6">
        <f>HYPERLINK("https://fin.land.naver.com/articles/2652789950", "매물Link")</f>
        <v/>
      </c>
      <c r="R212" s="6">
        <f>HYPERLINK("https://map.naver.com/p/search/남이면 비룡리 336-14", "지도Link")</f>
        <v/>
      </c>
      <c r="S212" s="6">
        <f>HYPERLINK("http://www.eum.go.kr/web/ar/lu/luLandDet.jsp?pnu=4311231026103360014&amp;isNoScr=script&amp;mode=search", "토지이음")</f>
        <v/>
      </c>
      <c r="T212" s="3" t="inlineStr">
        <is>
          <t>태광</t>
        </is>
      </c>
      <c r="U212" s="4" t="n">
        <v>2</v>
      </c>
      <c r="V212" s="5" t="n">
        <v>34.2</v>
      </c>
      <c r="W212" s="4" t="n">
        <v>4543</v>
      </c>
      <c r="X212" s="3" t="inlineStr">
        <is>
          <t>대장없음</t>
        </is>
      </c>
      <c r="Y212" s="7" t="inlineStr">
        <is>
          <t>대장없음</t>
        </is>
      </c>
      <c r="Z212" s="3" t="inlineStr">
        <is>
          <t>대장없음</t>
        </is>
      </c>
      <c r="AA212" s="3" t="inlineStr">
        <is>
          <t>대장없음</t>
        </is>
      </c>
      <c r="AB212" s="3" t="inlineStr">
        <is>
          <t>대장없음</t>
        </is>
      </c>
      <c r="AC212" s="3" t="inlineStr">
        <is>
          <t>대장없음</t>
        </is>
      </c>
      <c r="AD212" s="3" t="inlineStr">
        <is>
          <t>소로한면</t>
        </is>
      </c>
    </row>
    <row r="213">
      <c r="A213" s="3" t="inlineStr">
        <is>
          <t>남이면 비룡리 336-18</t>
        </is>
      </c>
      <c r="B213" s="3" t="inlineStr">
        <is>
          <t>보전관리지역</t>
        </is>
      </c>
      <c r="C213" s="3" t="inlineStr">
        <is>
          <t>대</t>
        </is>
      </c>
      <c r="D213" s="3" t="inlineStr">
        <is>
          <t>공장</t>
        </is>
      </c>
      <c r="E213" s="3" t="inlineStr">
        <is>
          <t>월세</t>
        </is>
      </c>
      <c r="F213" s="4" t="n">
        <v>7500</v>
      </c>
      <c r="G213" s="4" t="n">
        <v>750</v>
      </c>
      <c r="H213" s="4" t="n">
        <v>4960</v>
      </c>
      <c r="I213" s="4" t="n">
        <v>1500</v>
      </c>
      <c r="J213" s="5" t="n">
        <v>0.5</v>
      </c>
      <c r="K213" s="4" t="n">
        <v>990</v>
      </c>
      <c r="L213" s="4" t="n">
        <v>299</v>
      </c>
      <c r="M213" s="5" t="n">
        <v>2.5</v>
      </c>
      <c r="N213" s="3" t="inlineStr">
        <is>
          <t>1</t>
        </is>
      </c>
      <c r="O213" s="3" t="inlineStr">
        <is>
          <t>-</t>
        </is>
      </c>
      <c r="P213" s="3" t="inlineStr">
        <is>
          <t>넓은 전용마당 확보된 근생창고공장 임대</t>
        </is>
      </c>
      <c r="Q213" s="6">
        <f>HYPERLINK("https://fin.land.naver.com/articles/2652786122", "매물Link")</f>
        <v/>
      </c>
      <c r="R213" s="6">
        <f>HYPERLINK("https://map.naver.com/p/search/남이면 비룡리 336-18", "지도Link")</f>
        <v/>
      </c>
      <c r="S213" s="6">
        <f>HYPERLINK("http://www.eum.go.kr/web/ar/lu/luLandDet.jsp?pnu=4311231026103360018&amp;isNoScr=script&amp;mode=search", "토지이음")</f>
        <v/>
      </c>
      <c r="T213" s="3" t="inlineStr">
        <is>
          <t>태광</t>
        </is>
      </c>
      <c r="U213" s="4" t="n">
        <v>1</v>
      </c>
      <c r="V213" s="5" t="n">
        <v>28.8</v>
      </c>
      <c r="W213" s="4" t="n">
        <v>4960</v>
      </c>
      <c r="X213" s="3" t="inlineStr">
        <is>
          <t>대장없음</t>
        </is>
      </c>
      <c r="Y213" s="7" t="inlineStr">
        <is>
          <t>대장없음</t>
        </is>
      </c>
      <c r="Z213" s="3" t="inlineStr">
        <is>
          <t>대장없음</t>
        </is>
      </c>
      <c r="AA213" s="3" t="inlineStr">
        <is>
          <t>대장없음</t>
        </is>
      </c>
      <c r="AB213" s="3" t="inlineStr">
        <is>
          <t>대장없음</t>
        </is>
      </c>
      <c r="AC213" s="3" t="inlineStr">
        <is>
          <t>대장없음</t>
        </is>
      </c>
      <c r="AD213" s="3" t="inlineStr">
        <is>
          <t>세로한면(가)</t>
        </is>
      </c>
    </row>
    <row r="214">
      <c r="A214" s="3" t="inlineStr">
        <is>
          <t>남이면 상발리 144-2</t>
        </is>
      </c>
      <c r="B214" s="3" t="inlineStr">
        <is>
          <t>보전녹지지역</t>
        </is>
      </c>
      <c r="C214" s="3" t="inlineStr">
        <is>
          <t>대</t>
        </is>
      </c>
      <c r="D214" s="3" t="inlineStr">
        <is>
          <t>창고</t>
        </is>
      </c>
      <c r="E214" s="3" t="inlineStr">
        <is>
          <t>월세</t>
        </is>
      </c>
      <c r="F214" s="4" t="n">
        <v>2000</v>
      </c>
      <c r="G214" s="4" t="n">
        <v>150</v>
      </c>
      <c r="H214" s="4" t="n">
        <v>1133</v>
      </c>
      <c r="I214" s="4" t="n">
        <v>343</v>
      </c>
      <c r="J214" s="5" t="n">
        <v>0.4</v>
      </c>
      <c r="K214" s="4" t="n">
        <v>182</v>
      </c>
      <c r="L214" s="4" t="n">
        <v>55</v>
      </c>
      <c r="M214" s="5" t="n">
        <v>2.7</v>
      </c>
      <c r="N214" s="3" t="inlineStr">
        <is>
          <t>1</t>
        </is>
      </c>
      <c r="O214" s="3" t="inlineStr">
        <is>
          <t>-</t>
        </is>
      </c>
      <c r="P214" s="3" t="inlineStr">
        <is>
          <t>2차선 도로에 접함, 마당 넓고 단독마당 가능, 컨디션 좋음</t>
        </is>
      </c>
      <c r="Q214" s="6">
        <f>HYPERLINK("https://fin.land.naver.com/articles/2652200633", "매물Link")</f>
        <v/>
      </c>
      <c r="R214" s="6">
        <f>HYPERLINK("https://map.naver.com/p/search/남이면 상발리 144-2", "지도Link")</f>
        <v/>
      </c>
      <c r="S214" s="6">
        <f>HYPERLINK("http://www.eum.go.kr/web/ar/lu/luLandDet.jsp?pnu=4311231031101440002&amp;isNoScr=script&amp;mode=search", "토지이음")</f>
        <v/>
      </c>
      <c r="T214" s="3" t="inlineStr">
        <is>
          <t>제이</t>
        </is>
      </c>
      <c r="U214" s="4" t="n">
        <v>1</v>
      </c>
      <c r="V214" s="5" t="n">
        <v>54.4</v>
      </c>
      <c r="W214" s="4" t="n">
        <v>1133</v>
      </c>
      <c r="X214" s="3" t="inlineStr">
        <is>
          <t>대장없음</t>
        </is>
      </c>
      <c r="Y214" s="7" t="inlineStr">
        <is>
          <t>대장없음</t>
        </is>
      </c>
      <c r="Z214" s="3" t="inlineStr">
        <is>
          <t>대장없음</t>
        </is>
      </c>
      <c r="AA214" s="3" t="inlineStr">
        <is>
          <t>대장없음</t>
        </is>
      </c>
      <c r="AB214" s="3" t="inlineStr">
        <is>
          <t>대장없음</t>
        </is>
      </c>
      <c r="AC214" s="3" t="inlineStr">
        <is>
          <t>대장없음</t>
        </is>
      </c>
      <c r="AD214" s="3" t="inlineStr">
        <is>
          <t>세로한면(가)</t>
        </is>
      </c>
    </row>
    <row r="215">
      <c r="A215" s="3" t="inlineStr">
        <is>
          <t>남이면 상발리 144-2</t>
        </is>
      </c>
      <c r="B215" s="3" t="inlineStr">
        <is>
          <t>보전녹지지역</t>
        </is>
      </c>
      <c r="C215" s="3" t="inlineStr">
        <is>
          <t>대</t>
        </is>
      </c>
      <c r="D215" s="3" t="inlineStr">
        <is>
          <t>창고</t>
        </is>
      </c>
      <c r="E215" s="3" t="inlineStr">
        <is>
          <t>월세</t>
        </is>
      </c>
      <c r="F215" s="4" t="n">
        <v>2000</v>
      </c>
      <c r="G215" s="4" t="n">
        <v>150</v>
      </c>
      <c r="H215" s="4" t="n">
        <v>1133</v>
      </c>
      <c r="I215" s="4" t="n">
        <v>343</v>
      </c>
      <c r="J215" s="5" t="n">
        <v>0.4</v>
      </c>
      <c r="K215" s="4" t="n">
        <v>182</v>
      </c>
      <c r="L215" s="4" t="n">
        <v>55</v>
      </c>
      <c r="M215" s="5" t="n">
        <v>2.7</v>
      </c>
      <c r="N215" s="3" t="inlineStr">
        <is>
          <t>1</t>
        </is>
      </c>
      <c r="O215" s="3" t="inlineStr">
        <is>
          <t>-</t>
        </is>
      </c>
      <c r="P215" s="3" t="inlineStr">
        <is>
          <t>신축건물로 주차공간 넓음</t>
        </is>
      </c>
      <c r="Q215" s="6">
        <f>HYPERLINK("https://fin.land.naver.com/articles/2653383986", "매물Link")</f>
        <v/>
      </c>
      <c r="R215" s="6">
        <f>HYPERLINK("https://map.naver.com/p/search/남이면 상발리 144-2", "지도Link")</f>
        <v/>
      </c>
      <c r="S215" s="6">
        <f>HYPERLINK("http://www.eum.go.kr/web/ar/lu/luLandDet.jsp?pnu=4311231031101440002&amp;isNoScr=script&amp;mode=search", "토지이음")</f>
        <v/>
      </c>
      <c r="T215" s="3" t="inlineStr">
        <is>
          <t>길마루</t>
        </is>
      </c>
      <c r="U215" s="4" t="n">
        <v>1</v>
      </c>
      <c r="V215" s="5" t="n">
        <v>54.4</v>
      </c>
      <c r="W215" s="4" t="n">
        <v>1133</v>
      </c>
      <c r="X215" s="3" t="inlineStr">
        <is>
          <t>대장없음</t>
        </is>
      </c>
      <c r="Y215" s="7" t="inlineStr">
        <is>
          <t>대장없음</t>
        </is>
      </c>
      <c r="Z215" s="3" t="inlineStr">
        <is>
          <t>대장없음</t>
        </is>
      </c>
      <c r="AA215" s="3" t="inlineStr">
        <is>
          <t>대장없음</t>
        </is>
      </c>
      <c r="AB215" s="3" t="inlineStr">
        <is>
          <t>대장없음</t>
        </is>
      </c>
      <c r="AC215" s="3" t="inlineStr">
        <is>
          <t>대장없음</t>
        </is>
      </c>
      <c r="AD215" s="3" t="inlineStr">
        <is>
          <t>세로한면(가)</t>
        </is>
      </c>
    </row>
    <row r="216">
      <c r="A216" s="3" t="inlineStr">
        <is>
          <t>남이면 상발리 144-2</t>
        </is>
      </c>
      <c r="B216" s="3" t="inlineStr">
        <is>
          <t>보전녹지지역</t>
        </is>
      </c>
      <c r="C216" s="3" t="inlineStr">
        <is>
          <t>대</t>
        </is>
      </c>
      <c r="D216" s="3" t="inlineStr">
        <is>
          <t>창고</t>
        </is>
      </c>
      <c r="E216" s="3" t="inlineStr">
        <is>
          <t>월세</t>
        </is>
      </c>
      <c r="F216" s="4" t="n">
        <v>2000</v>
      </c>
      <c r="G216" s="4" t="n">
        <v>150</v>
      </c>
      <c r="H216" s="4" t="n">
        <v>1133</v>
      </c>
      <c r="I216" s="4" t="n">
        <v>343</v>
      </c>
      <c r="J216" s="5" t="n">
        <v>0.4</v>
      </c>
      <c r="K216" s="4" t="n">
        <v>182</v>
      </c>
      <c r="L216" s="4" t="n">
        <v>55</v>
      </c>
      <c r="M216" s="5" t="n">
        <v>2.7</v>
      </c>
      <c r="N216" s="3" t="inlineStr">
        <is>
          <t>1</t>
        </is>
      </c>
      <c r="O216" s="3" t="inlineStr">
        <is>
          <t>-</t>
        </is>
      </c>
      <c r="P216" s="3" t="inlineStr">
        <is>
          <t>건물55형 대지340형</t>
        </is>
      </c>
      <c r="Q216" s="6">
        <f>HYPERLINK("https://fin.land.naver.com/articles/2649566183", "매물Link")</f>
        <v/>
      </c>
      <c r="R216" s="6">
        <f>HYPERLINK("https://map.naver.com/p/search/남이면 상발리 144-2", "지도Link")</f>
        <v/>
      </c>
      <c r="S216" s="6">
        <f>HYPERLINK("http://www.eum.go.kr/web/ar/lu/luLandDet.jsp?pnu=4311231031101440002&amp;isNoScr=script&amp;mode=search", "토지이음")</f>
        <v/>
      </c>
      <c r="T216" s="3" t="inlineStr">
        <is>
          <t>위더스</t>
        </is>
      </c>
      <c r="U216" s="4" t="n">
        <v>1</v>
      </c>
      <c r="V216" s="5" t="n">
        <v>54.4</v>
      </c>
      <c r="W216" s="4" t="n">
        <v>1133</v>
      </c>
      <c r="X216" s="3" t="inlineStr">
        <is>
          <t>대장없음</t>
        </is>
      </c>
      <c r="Y216" s="7" t="inlineStr">
        <is>
          <t>대장없음</t>
        </is>
      </c>
      <c r="Z216" s="3" t="inlineStr">
        <is>
          <t>대장없음</t>
        </is>
      </c>
      <c r="AA216" s="3" t="inlineStr">
        <is>
          <t>대장없음</t>
        </is>
      </c>
      <c r="AB216" s="3" t="inlineStr">
        <is>
          <t>대장없음</t>
        </is>
      </c>
      <c r="AC216" s="3" t="inlineStr">
        <is>
          <t>대장없음</t>
        </is>
      </c>
      <c r="AD216" s="3" t="inlineStr">
        <is>
          <t>세로한면(가)</t>
        </is>
      </c>
    </row>
    <row r="217">
      <c r="A217" s="3" t="inlineStr">
        <is>
          <t>남이면 상발리 52-1</t>
        </is>
      </c>
      <c r="B217" s="3" t="inlineStr">
        <is>
          <t>자연녹지지역</t>
        </is>
      </c>
      <c r="C217" s="3" t="inlineStr">
        <is>
          <t>대</t>
        </is>
      </c>
      <c r="D217" s="3" t="inlineStr">
        <is>
          <t>창고</t>
        </is>
      </c>
      <c r="E217" s="3" t="inlineStr">
        <is>
          <t>월세</t>
        </is>
      </c>
      <c r="F217" s="4" t="n">
        <v>2000</v>
      </c>
      <c r="G217" s="4" t="n">
        <v>170</v>
      </c>
      <c r="H217" s="4" t="n">
        <v>495</v>
      </c>
      <c r="I217" s="4" t="n">
        <v>150</v>
      </c>
      <c r="J217" s="5" t="n">
        <v>1.1</v>
      </c>
      <c r="K217" s="4" t="n">
        <v>198</v>
      </c>
      <c r="L217" s="4" t="n">
        <v>60</v>
      </c>
      <c r="M217" s="5" t="n">
        <v>2.8</v>
      </c>
      <c r="N217" s="3" t="inlineStr">
        <is>
          <t>1</t>
        </is>
      </c>
      <c r="O217" s="3" t="inlineStr">
        <is>
          <t>-</t>
        </is>
      </c>
      <c r="P217" s="3" t="inlineStr">
        <is>
          <t>신축급 소형창고공장 임대 진출입편리 깔끔한 내외부</t>
        </is>
      </c>
      <c r="Q217" s="6">
        <f>HYPERLINK("https://fin.land.naver.com/articles/2654143544", "매물Link")</f>
        <v/>
      </c>
      <c r="R217" s="6">
        <f>HYPERLINK("https://map.naver.com/p/search/남이면 상발리 52-1", "지도Link")</f>
        <v/>
      </c>
      <c r="S217" s="6">
        <f>HYPERLINK("http://www.eum.go.kr/web/ar/lu/luLandDet.jsp?pnu=4311231031100520001&amp;isNoScr=script&amp;mode=search", "토지이음")</f>
        <v/>
      </c>
      <c r="T217" s="3" t="inlineStr">
        <is>
          <t>태광</t>
        </is>
      </c>
      <c r="U217" s="4" t="n">
        <v>3</v>
      </c>
      <c r="V217" s="5" t="n">
        <v>61.7</v>
      </c>
      <c r="W217" s="4" t="n">
        <v>4177</v>
      </c>
      <c r="X217" s="3" t="inlineStr">
        <is>
          <t>대장없음</t>
        </is>
      </c>
      <c r="Y217" s="7" t="inlineStr">
        <is>
          <t>대장없음</t>
        </is>
      </c>
      <c r="Z217" s="3" t="inlineStr">
        <is>
          <t>대장없음</t>
        </is>
      </c>
      <c r="AA217" s="3" t="inlineStr">
        <is>
          <t>대장없음</t>
        </is>
      </c>
      <c r="AB217" s="3" t="inlineStr">
        <is>
          <t>대장없음</t>
        </is>
      </c>
      <c r="AC217" s="3" t="inlineStr">
        <is>
          <t>대장없음</t>
        </is>
      </c>
      <c r="AD217" s="3" t="inlineStr">
        <is>
          <t>소로한면</t>
        </is>
      </c>
    </row>
    <row r="218">
      <c r="A218" s="3" t="inlineStr">
        <is>
          <t>남이면 상발리 52-1</t>
        </is>
      </c>
      <c r="B218" s="3" t="inlineStr">
        <is>
          <t>자연녹지지역</t>
        </is>
      </c>
      <c r="C218" s="3" t="inlineStr">
        <is>
          <t>대</t>
        </is>
      </c>
      <c r="D218" s="3" t="inlineStr">
        <is>
          <t>공장</t>
        </is>
      </c>
      <c r="E218" s="3" t="inlineStr">
        <is>
          <t>월세</t>
        </is>
      </c>
      <c r="F218" s="4" t="n">
        <v>2000</v>
      </c>
      <c r="G218" s="4" t="n">
        <v>170</v>
      </c>
      <c r="H218" s="4" t="n">
        <v>4177</v>
      </c>
      <c r="I218" s="4" t="n">
        <v>1264</v>
      </c>
      <c r="J218" s="5" t="n">
        <v>0.1</v>
      </c>
      <c r="K218" s="4" t="n">
        <v>198</v>
      </c>
      <c r="L218" s="4" t="n">
        <v>60</v>
      </c>
      <c r="M218" s="5" t="n">
        <v>2.8</v>
      </c>
      <c r="N218" s="3" t="inlineStr">
        <is>
          <t>1</t>
        </is>
      </c>
      <c r="O218" s="3" t="inlineStr">
        <is>
          <t>-</t>
        </is>
      </c>
      <c r="P218" s="3" t="inlineStr">
        <is>
          <t>60형 신축 공장 창고 제2종근생</t>
        </is>
      </c>
      <c r="Q218" s="6">
        <f>HYPERLINK("https://fin.land.naver.com/articles/2651814834", "매물Link")</f>
        <v/>
      </c>
      <c r="R218" s="6">
        <f>HYPERLINK("https://map.naver.com/p/search/남이면 상발리 52-1", "지도Link")</f>
        <v/>
      </c>
      <c r="S218" s="6">
        <f>HYPERLINK("http://www.eum.go.kr/web/ar/lu/luLandDet.jsp?pnu=4311231031100520001&amp;isNoScr=script&amp;mode=search", "토지이음")</f>
        <v/>
      </c>
      <c r="T218" s="3" t="inlineStr">
        <is>
          <t>위더스</t>
        </is>
      </c>
      <c r="U218" s="4" t="n">
        <v>1</v>
      </c>
      <c r="V218" s="5" t="n">
        <v>61.7</v>
      </c>
      <c r="W218" s="4" t="n">
        <v>4177</v>
      </c>
      <c r="X218" s="3" t="inlineStr">
        <is>
          <t>대장없음</t>
        </is>
      </c>
      <c r="Y218" s="7" t="inlineStr">
        <is>
          <t>대장없음</t>
        </is>
      </c>
      <c r="Z218" s="3" t="inlineStr">
        <is>
          <t>대장없음</t>
        </is>
      </c>
      <c r="AA218" s="3" t="inlineStr">
        <is>
          <t>대장없음</t>
        </is>
      </c>
      <c r="AB218" s="3" t="inlineStr">
        <is>
          <t>대장없음</t>
        </is>
      </c>
      <c r="AC218" s="3" t="inlineStr">
        <is>
          <t>대장없음</t>
        </is>
      </c>
      <c r="AD218" s="3" t="inlineStr">
        <is>
          <t>소로한면</t>
        </is>
      </c>
    </row>
    <row r="219">
      <c r="A219" s="3" t="inlineStr">
        <is>
          <t>남이면 상발리 52-1</t>
        </is>
      </c>
      <c r="B219" s="3" t="inlineStr">
        <is>
          <t>자연녹지지역</t>
        </is>
      </c>
      <c r="C219" s="3" t="inlineStr">
        <is>
          <t>대</t>
        </is>
      </c>
      <c r="D219" s="3" t="inlineStr">
        <is>
          <t>창고</t>
        </is>
      </c>
      <c r="E219" s="3" t="inlineStr">
        <is>
          <t>월세</t>
        </is>
      </c>
      <c r="F219" s="4" t="n">
        <v>2000</v>
      </c>
      <c r="G219" s="4" t="n">
        <v>170</v>
      </c>
      <c r="H219" s="4" t="n">
        <v>4177</v>
      </c>
      <c r="I219" s="4" t="n">
        <v>1264</v>
      </c>
      <c r="J219" s="5" t="n">
        <v>0.1</v>
      </c>
      <c r="K219" s="4" t="n">
        <v>198</v>
      </c>
      <c r="L219" s="4" t="n">
        <v>60</v>
      </c>
      <c r="M219" s="5" t="n">
        <v>2.8</v>
      </c>
      <c r="N219" s="3" t="inlineStr">
        <is>
          <t>1</t>
        </is>
      </c>
      <c r="O219" s="3" t="inlineStr">
        <is>
          <t>B1</t>
        </is>
      </c>
      <c r="P219" s="3" t="inlineStr">
        <is>
          <t>청주 남이 상발삼거리, 신축급 제2종근생, 도로변, 넓은 대지</t>
        </is>
      </c>
      <c r="Q219" s="6">
        <f>HYPERLINK("https://fin.land.naver.com/articles/2653740974", "매물Link")</f>
        <v/>
      </c>
      <c r="R219" s="6">
        <f>HYPERLINK("https://map.naver.com/p/search/남이면 상발리 52-1", "지도Link")</f>
        <v/>
      </c>
      <c r="S219" s="6">
        <f>HYPERLINK("http://www.eum.go.kr/web/ar/lu/luLandDet.jsp?pnu=4311231031100520001&amp;isNoScr=script&amp;mode=search", "토지이음")</f>
        <v/>
      </c>
      <c r="T219" s="3" t="inlineStr">
        <is>
          <t>라인</t>
        </is>
      </c>
      <c r="U219" s="4" t="n">
        <v>2</v>
      </c>
      <c r="V219" s="5" t="n">
        <v>61.7</v>
      </c>
      <c r="W219" s="4" t="n">
        <v>4177</v>
      </c>
      <c r="X219" s="3" t="inlineStr">
        <is>
          <t>대장없음</t>
        </is>
      </c>
      <c r="Y219" s="7" t="inlineStr">
        <is>
          <t>대장없음</t>
        </is>
      </c>
      <c r="Z219" s="3" t="inlineStr">
        <is>
          <t>대장없음</t>
        </is>
      </c>
      <c r="AA219" s="3" t="inlineStr">
        <is>
          <t>대장없음</t>
        </is>
      </c>
      <c r="AB219" s="3" t="inlineStr">
        <is>
          <t>대장없음</t>
        </is>
      </c>
      <c r="AC219" s="3" t="inlineStr">
        <is>
          <t>대장없음</t>
        </is>
      </c>
      <c r="AD219" s="3" t="inlineStr">
        <is>
          <t>소로한면</t>
        </is>
      </c>
    </row>
    <row r="220">
      <c r="A220" s="3" t="inlineStr">
        <is>
          <t>남이면 상발리 52-1</t>
        </is>
      </c>
      <c r="B220" s="3" t="inlineStr">
        <is>
          <t>자연녹지지역</t>
        </is>
      </c>
      <c r="C220" s="3" t="inlineStr">
        <is>
          <t>대</t>
        </is>
      </c>
      <c r="D220" s="3" t="inlineStr">
        <is>
          <t>공장</t>
        </is>
      </c>
      <c r="E220" s="3" t="inlineStr">
        <is>
          <t>월세</t>
        </is>
      </c>
      <c r="F220" s="4" t="n">
        <v>2000</v>
      </c>
      <c r="G220" s="4" t="n">
        <v>170</v>
      </c>
      <c r="H220" s="4" t="n">
        <v>4177</v>
      </c>
      <c r="I220" s="4" t="n">
        <v>1264</v>
      </c>
      <c r="J220" s="5" t="n">
        <v>0.1</v>
      </c>
      <c r="K220" s="4" t="n">
        <v>198</v>
      </c>
      <c r="L220" s="4" t="n">
        <v>60</v>
      </c>
      <c r="M220" s="5" t="n">
        <v>2.8</v>
      </c>
      <c r="N220" s="3" t="inlineStr">
        <is>
          <t>1</t>
        </is>
      </c>
      <c r="O220" s="3" t="inlineStr">
        <is>
          <t>-</t>
        </is>
      </c>
      <c r="P220" s="3" t="inlineStr">
        <is>
          <t>신축급 창고, 진입로 좋음, 제2종근생 제조업소</t>
        </is>
      </c>
      <c r="Q220" s="6">
        <f>HYPERLINK("https://fin.land.naver.com/articles/2652724308", "매물Link")</f>
        <v/>
      </c>
      <c r="R220" s="6">
        <f>HYPERLINK("https://map.naver.com/p/search/남이면 상발리 52-1", "지도Link")</f>
        <v/>
      </c>
      <c r="S220" s="6">
        <f>HYPERLINK("http://www.eum.go.kr/web/ar/lu/luLandDet.jsp?pnu=4311231031100520001&amp;isNoScr=script&amp;mode=search", "토지이음")</f>
        <v/>
      </c>
      <c r="T220" s="3" t="inlineStr">
        <is>
          <t>나는</t>
        </is>
      </c>
      <c r="U220" s="4" t="n">
        <v>1</v>
      </c>
      <c r="V220" s="5" t="n">
        <v>61.7</v>
      </c>
      <c r="W220" s="4" t="n">
        <v>4177</v>
      </c>
      <c r="X220" s="3" t="inlineStr">
        <is>
          <t>대장없음</t>
        </is>
      </c>
      <c r="Y220" s="7" t="inlineStr">
        <is>
          <t>대장없음</t>
        </is>
      </c>
      <c r="Z220" s="3" t="inlineStr">
        <is>
          <t>대장없음</t>
        </is>
      </c>
      <c r="AA220" s="3" t="inlineStr">
        <is>
          <t>대장없음</t>
        </is>
      </c>
      <c r="AB220" s="3" t="inlineStr">
        <is>
          <t>대장없음</t>
        </is>
      </c>
      <c r="AC220" s="3" t="inlineStr">
        <is>
          <t>대장없음</t>
        </is>
      </c>
      <c r="AD220" s="3" t="inlineStr">
        <is>
          <t>소로한면</t>
        </is>
      </c>
    </row>
    <row r="221">
      <c r="A221" s="3" t="inlineStr">
        <is>
          <t>남이면 상발리 87</t>
        </is>
      </c>
      <c r="B221" s="3" t="inlineStr">
        <is>
          <t>자연녹지지역</t>
        </is>
      </c>
      <c r="C221" s="3" t="inlineStr">
        <is>
          <t>공장용지</t>
        </is>
      </c>
      <c r="D221" s="3" t="inlineStr">
        <is>
          <t>공장</t>
        </is>
      </c>
      <c r="E221" s="3" t="inlineStr">
        <is>
          <t>매매</t>
        </is>
      </c>
      <c r="F221" s="4" t="n">
        <v>150000</v>
      </c>
      <c r="G221" s="4" t="n">
        <v>0</v>
      </c>
      <c r="H221" s="4" t="n">
        <v>2271</v>
      </c>
      <c r="I221" s="4" t="n">
        <v>687</v>
      </c>
      <c r="J221" s="5" t="n">
        <v>218.3</v>
      </c>
      <c r="K221" s="4" t="n">
        <v>432</v>
      </c>
      <c r="L221" s="4" t="n">
        <v>131</v>
      </c>
      <c r="M221" s="5" t="n">
        <v>1145</v>
      </c>
      <c r="N221" s="3" t="inlineStr">
        <is>
          <t>1</t>
        </is>
      </c>
      <c r="O221" s="3" t="inlineStr">
        <is>
          <t>B1</t>
        </is>
      </c>
      <c r="P221" s="3" t="inlineStr">
        <is>
          <t>공장 일괄매매가능  분할매매 가능</t>
        </is>
      </c>
      <c r="Q221" s="6">
        <f>HYPERLINK("https://fin.land.naver.com/articles/2650660589", "매물Link")</f>
        <v/>
      </c>
      <c r="R221" s="6">
        <f>HYPERLINK("https://map.naver.com/p/search/남이면 상발리 87", "지도Link")</f>
        <v/>
      </c>
      <c r="S221" s="6">
        <f>HYPERLINK("http://www.eum.go.kr/web/ar/lu/luLandDet.jsp?pnu=4311231031100870000&amp;isNoScr=script&amp;mode=search", "토지이음")</f>
        <v/>
      </c>
      <c r="T221" s="3" t="inlineStr">
        <is>
          <t>세종로또</t>
        </is>
      </c>
      <c r="U221" s="4" t="n">
        <v>1</v>
      </c>
      <c r="V221" s="5" t="n">
        <v>61.7</v>
      </c>
      <c r="W221" s="4" t="n">
        <v>2271</v>
      </c>
      <c r="X221" s="3" t="inlineStr">
        <is>
          <t>대장없음</t>
        </is>
      </c>
      <c r="Y221" s="7" t="inlineStr">
        <is>
          <t>대장없음</t>
        </is>
      </c>
      <c r="Z221" s="3" t="inlineStr">
        <is>
          <t>대장없음</t>
        </is>
      </c>
      <c r="AA221" s="3" t="inlineStr">
        <is>
          <t>대장없음</t>
        </is>
      </c>
      <c r="AB221" s="3" t="inlineStr">
        <is>
          <t>대장없음</t>
        </is>
      </c>
      <c r="AC221" s="3" t="inlineStr">
        <is>
          <t>대장없음</t>
        </is>
      </c>
      <c r="AD221" s="3" t="inlineStr">
        <is>
          <t>소로한면</t>
        </is>
      </c>
    </row>
    <row r="222">
      <c r="A222" s="3" t="inlineStr">
        <is>
          <t>남이면 석실리 125</t>
        </is>
      </c>
      <c r="B222" s="3" t="inlineStr">
        <is>
          <t>자연녹지지역</t>
        </is>
      </c>
      <c r="C222" s="3" t="inlineStr">
        <is>
          <t>대</t>
        </is>
      </c>
      <c r="D222" s="3" t="inlineStr">
        <is>
          <t>공장</t>
        </is>
      </c>
      <c r="E222" s="3" t="inlineStr">
        <is>
          <t>월세</t>
        </is>
      </c>
      <c r="F222" s="4" t="n">
        <v>2000</v>
      </c>
      <c r="G222" s="4" t="n">
        <v>150</v>
      </c>
      <c r="H222" s="4" t="n">
        <v>2357</v>
      </c>
      <c r="I222" s="4" t="n">
        <v>713</v>
      </c>
      <c r="J222" s="5" t="n">
        <v>0.2</v>
      </c>
      <c r="K222" s="4" t="n">
        <v>198</v>
      </c>
      <c r="L222" s="4" t="n">
        <v>60</v>
      </c>
      <c r="M222" s="5" t="n">
        <v>2.5</v>
      </c>
      <c r="N222" s="3" t="inlineStr">
        <is>
          <t>1</t>
        </is>
      </c>
      <c r="O222" s="3" t="inlineStr">
        <is>
          <t>-</t>
        </is>
      </c>
      <c r="P222" s="3" t="inlineStr">
        <is>
          <t>실사진. 신축급 ic가까운 2종근생제조업소, 대형차량진출입용이</t>
        </is>
      </c>
      <c r="Q222" s="6">
        <f>HYPERLINK("https://fin.land.naver.com/articles/2652302730", "매물Link")</f>
        <v/>
      </c>
      <c r="R222" s="6">
        <f>HYPERLINK("https://map.naver.com/p/search/남이면 석실리 125", "지도Link")</f>
        <v/>
      </c>
      <c r="S222" s="6">
        <f>HYPERLINK("http://www.eum.go.kr/web/ar/lu/luLandDet.jsp?pnu=4311231033101250000&amp;isNoScr=script&amp;mode=search", "토지이음")</f>
        <v/>
      </c>
      <c r="T222" s="3" t="inlineStr">
        <is>
          <t>한아름</t>
        </is>
      </c>
      <c r="U222" s="4" t="n">
        <v>1</v>
      </c>
      <c r="V222" s="5" t="n">
        <v>72.40000000000001</v>
      </c>
      <c r="W222" s="4" t="n">
        <v>2357</v>
      </c>
      <c r="X222" s="3" t="inlineStr">
        <is>
          <t>대장없음</t>
        </is>
      </c>
      <c r="Y222" s="7" t="inlineStr">
        <is>
          <t>대장없음</t>
        </is>
      </c>
      <c r="Z222" s="3" t="inlineStr">
        <is>
          <t>대장없음</t>
        </is>
      </c>
      <c r="AA222" s="3" t="inlineStr">
        <is>
          <t>대장없음</t>
        </is>
      </c>
      <c r="AB222" s="3" t="inlineStr">
        <is>
          <t>대장없음</t>
        </is>
      </c>
      <c r="AC222" s="3" t="inlineStr">
        <is>
          <t>대장없음</t>
        </is>
      </c>
      <c r="AD222" s="3" t="inlineStr">
        <is>
          <t>중로한면</t>
        </is>
      </c>
    </row>
    <row r="223">
      <c r="A223" s="3" t="inlineStr">
        <is>
          <t>남이면 석실리 125</t>
        </is>
      </c>
      <c r="B223" s="3" t="inlineStr">
        <is>
          <t>자연녹지지역</t>
        </is>
      </c>
      <c r="C223" s="3" t="inlineStr">
        <is>
          <t>대</t>
        </is>
      </c>
      <c r="D223" s="3" t="inlineStr">
        <is>
          <t>공장</t>
        </is>
      </c>
      <c r="E223" s="3" t="inlineStr">
        <is>
          <t>월세</t>
        </is>
      </c>
      <c r="F223" s="4" t="n">
        <v>2000</v>
      </c>
      <c r="G223" s="4" t="n">
        <v>150</v>
      </c>
      <c r="H223" s="4" t="n">
        <v>2357</v>
      </c>
      <c r="I223" s="4" t="n">
        <v>713</v>
      </c>
      <c r="J223" s="5" t="n">
        <v>0.2</v>
      </c>
      <c r="K223" s="4" t="n">
        <v>198</v>
      </c>
      <c r="L223" s="4" t="n">
        <v>60</v>
      </c>
      <c r="M223" s="5" t="n">
        <v>2.5</v>
      </c>
      <c r="N223" s="3" t="inlineStr">
        <is>
          <t>1</t>
        </is>
      </c>
      <c r="O223" s="3" t="inlineStr">
        <is>
          <t>-</t>
        </is>
      </c>
      <c r="P223" s="3" t="inlineStr">
        <is>
          <t>건물60형 마당 크게 사용가능 2종근생제조</t>
        </is>
      </c>
      <c r="Q223" s="6">
        <f>HYPERLINK("https://fin.land.naver.com/articles/2652834931", "매물Link")</f>
        <v/>
      </c>
      <c r="R223" s="6">
        <f>HYPERLINK("https://map.naver.com/p/search/남이면 석실리 125", "지도Link")</f>
        <v/>
      </c>
      <c r="S223" s="6">
        <f>HYPERLINK("http://www.eum.go.kr/web/ar/lu/luLandDet.jsp?pnu=4311231033101250000&amp;isNoScr=script&amp;mode=search", "토지이음")</f>
        <v/>
      </c>
      <c r="T223" s="3" t="inlineStr">
        <is>
          <t>위더스</t>
        </is>
      </c>
      <c r="U223" s="4" t="n">
        <v>1</v>
      </c>
      <c r="V223" s="5" t="n">
        <v>72.40000000000001</v>
      </c>
      <c r="W223" s="4" t="n">
        <v>2357</v>
      </c>
      <c r="X223" s="3" t="inlineStr">
        <is>
          <t>대장없음</t>
        </is>
      </c>
      <c r="Y223" s="7" t="inlineStr">
        <is>
          <t>대장없음</t>
        </is>
      </c>
      <c r="Z223" s="3" t="inlineStr">
        <is>
          <t>대장없음</t>
        </is>
      </c>
      <c r="AA223" s="3" t="inlineStr">
        <is>
          <t>대장없음</t>
        </is>
      </c>
      <c r="AB223" s="3" t="inlineStr">
        <is>
          <t>대장없음</t>
        </is>
      </c>
      <c r="AC223" s="3" t="inlineStr">
        <is>
          <t>대장없음</t>
        </is>
      </c>
      <c r="AD223" s="3" t="inlineStr">
        <is>
          <t>중로한면</t>
        </is>
      </c>
    </row>
    <row r="224">
      <c r="A224" s="3" t="inlineStr">
        <is>
          <t>남이면 석실리 265</t>
        </is>
      </c>
      <c r="B224" s="3" t="inlineStr">
        <is>
          <t>자연녹지지역</t>
        </is>
      </c>
      <c r="C224" s="3" t="inlineStr">
        <is>
          <t>공장용지</t>
        </is>
      </c>
      <c r="D224" s="3" t="inlineStr">
        <is>
          <t>공장</t>
        </is>
      </c>
      <c r="E224" s="3" t="inlineStr">
        <is>
          <t>월세</t>
        </is>
      </c>
      <c r="F224" s="4" t="n">
        <v>3000</v>
      </c>
      <c r="G224" s="4" t="n">
        <v>350</v>
      </c>
      <c r="H224" s="4" t="n">
        <v>935</v>
      </c>
      <c r="I224" s="4" t="n">
        <v>283</v>
      </c>
      <c r="J224" s="5" t="n">
        <v>1.2</v>
      </c>
      <c r="K224" s="4" t="n">
        <v>360</v>
      </c>
      <c r="L224" s="4" t="n">
        <v>109</v>
      </c>
      <c r="M224" s="5" t="n">
        <v>3.2</v>
      </c>
      <c r="N224" s="3" t="inlineStr">
        <is>
          <t>2</t>
        </is>
      </c>
      <c r="O224" s="3" t="inlineStr">
        <is>
          <t>-</t>
        </is>
      </c>
      <c r="P224" s="3" t="inlineStr">
        <is>
          <t>nan</t>
        </is>
      </c>
      <c r="Q224" s="6">
        <f>HYPERLINK("https://fin.land.naver.com/articles/2652010478", "매물Link")</f>
        <v/>
      </c>
      <c r="R224" s="6">
        <f>HYPERLINK("https://map.naver.com/p/search/남이면 석실리 265", "지도Link")</f>
        <v/>
      </c>
      <c r="S224" s="6">
        <f>HYPERLINK("http://www.eum.go.kr/web/ar/lu/luLandDet.jsp?pnu=4311231033102650000&amp;isNoScr=script&amp;mode=search", "토지이음")</f>
        <v/>
      </c>
      <c r="T224" s="3" t="inlineStr">
        <is>
          <t>오너스</t>
        </is>
      </c>
      <c r="U224" s="4" t="n">
        <v>1</v>
      </c>
      <c r="V224" s="5" t="n">
        <v>95.90000000000001</v>
      </c>
      <c r="W224" s="4" t="n">
        <v>935</v>
      </c>
      <c r="X224" s="3" t="inlineStr">
        <is>
          <t>대장없음</t>
        </is>
      </c>
      <c r="Y224" s="7" t="inlineStr">
        <is>
          <t>대장없음</t>
        </is>
      </c>
      <c r="Z224" s="3" t="inlineStr">
        <is>
          <t>대장없음</t>
        </is>
      </c>
      <c r="AA224" s="3" t="inlineStr">
        <is>
          <t>대장없음</t>
        </is>
      </c>
      <c r="AB224" s="3" t="inlineStr">
        <is>
          <t>대장없음</t>
        </is>
      </c>
      <c r="AC224" s="3" t="inlineStr">
        <is>
          <t>대장없음</t>
        </is>
      </c>
      <c r="AD224" s="3" t="inlineStr">
        <is>
          <t>소로한면</t>
        </is>
      </c>
    </row>
    <row r="225">
      <c r="A225" s="3" t="inlineStr">
        <is>
          <t>남이면 석실리 265</t>
        </is>
      </c>
      <c r="B225" s="3" t="inlineStr">
        <is>
          <t>자연녹지지역</t>
        </is>
      </c>
      <c r="C225" s="3" t="inlineStr">
        <is>
          <t>공장용지</t>
        </is>
      </c>
      <c r="D225" s="3" t="inlineStr">
        <is>
          <t>창고</t>
        </is>
      </c>
      <c r="E225" s="3" t="inlineStr">
        <is>
          <t>월세</t>
        </is>
      </c>
      <c r="F225" s="4" t="n">
        <v>3000</v>
      </c>
      <c r="G225" s="4" t="n">
        <v>350</v>
      </c>
      <c r="H225" s="4" t="n">
        <v>935</v>
      </c>
      <c r="I225" s="4" t="n">
        <v>283</v>
      </c>
      <c r="J225" s="5" t="n">
        <v>1.2</v>
      </c>
      <c r="K225" s="4" t="n">
        <v>360</v>
      </c>
      <c r="L225" s="4" t="n">
        <v>109</v>
      </c>
      <c r="M225" s="5" t="n">
        <v>3.2</v>
      </c>
      <c r="N225" s="3" t="inlineStr">
        <is>
          <t>2</t>
        </is>
      </c>
      <c r="O225" s="3" t="inlineStr">
        <is>
          <t>-</t>
        </is>
      </c>
      <c r="P225" s="3" t="inlineStr">
        <is>
          <t>사진有, 주차 편리, 1층 제조업소 및 창고사용, 2층 사무실 용도</t>
        </is>
      </c>
      <c r="Q225" s="6">
        <f>HYPERLINK("https://fin.land.naver.com/articles/2650485839", "매물Link")</f>
        <v/>
      </c>
      <c r="R225" s="6">
        <f>HYPERLINK("https://map.naver.com/p/search/남이면 석실리 265", "지도Link")</f>
        <v/>
      </c>
      <c r="S225" s="6">
        <f>HYPERLINK("http://www.eum.go.kr/web/ar/lu/luLandDet.jsp?pnu=4311231033102650000&amp;isNoScr=script&amp;mode=search", "토지이음")</f>
        <v/>
      </c>
      <c r="T225" s="3" t="inlineStr">
        <is>
          <t>태성</t>
        </is>
      </c>
      <c r="U225" s="4" t="n">
        <v>1</v>
      </c>
      <c r="V225" s="5" t="n">
        <v>95.90000000000001</v>
      </c>
      <c r="W225" s="4" t="n">
        <v>935</v>
      </c>
      <c r="X225" s="3" t="inlineStr">
        <is>
          <t>대장없음</t>
        </is>
      </c>
      <c r="Y225" s="7" t="inlineStr">
        <is>
          <t>대장없음</t>
        </is>
      </c>
      <c r="Z225" s="3" t="inlineStr">
        <is>
          <t>대장없음</t>
        </is>
      </c>
      <c r="AA225" s="3" t="inlineStr">
        <is>
          <t>대장없음</t>
        </is>
      </c>
      <c r="AB225" s="3" t="inlineStr">
        <is>
          <t>대장없음</t>
        </is>
      </c>
      <c r="AC225" s="3" t="inlineStr">
        <is>
          <t>대장없음</t>
        </is>
      </c>
      <c r="AD225" s="3" t="inlineStr">
        <is>
          <t>소로한면</t>
        </is>
      </c>
    </row>
    <row r="226">
      <c r="A226" s="3" t="inlineStr">
        <is>
          <t>남이면 석실리 265</t>
        </is>
      </c>
      <c r="B226" s="3" t="inlineStr">
        <is>
          <t>자연녹지지역</t>
        </is>
      </c>
      <c r="C226" s="3" t="inlineStr">
        <is>
          <t>공장용지</t>
        </is>
      </c>
      <c r="D226" s="3" t="inlineStr">
        <is>
          <t>창고</t>
        </is>
      </c>
      <c r="E226" s="3" t="inlineStr">
        <is>
          <t>월세</t>
        </is>
      </c>
      <c r="F226" s="4" t="n">
        <v>2000</v>
      </c>
      <c r="G226" s="4" t="n">
        <v>120</v>
      </c>
      <c r="H226" s="4" t="n">
        <v>935</v>
      </c>
      <c r="I226" s="4" t="n">
        <v>283</v>
      </c>
      <c r="J226" s="5" t="n">
        <v>0.4</v>
      </c>
      <c r="K226" s="4" t="n">
        <v>360</v>
      </c>
      <c r="L226" s="4" t="n">
        <v>109</v>
      </c>
      <c r="M226" s="5" t="n">
        <v>1.1</v>
      </c>
      <c r="N226" s="3" t="inlineStr">
        <is>
          <t>2</t>
        </is>
      </c>
      <c r="O226" s="3" t="inlineStr">
        <is>
          <t>B2</t>
        </is>
      </c>
      <c r="P226" s="3" t="inlineStr">
        <is>
          <t>대형차량 진출입 용이, 주차 완전 편리,완전 깨끗한 2종근생 제조업소</t>
        </is>
      </c>
      <c r="Q226" s="6">
        <f>HYPERLINK("https://fin.land.naver.com/articles/2653555067", "매물Link")</f>
        <v/>
      </c>
      <c r="R226" s="6">
        <f>HYPERLINK("https://map.naver.com/p/search/남이면 석실리 265", "지도Link")</f>
        <v/>
      </c>
      <c r="S226" s="6">
        <f>HYPERLINK("http://www.eum.go.kr/web/ar/lu/luLandDet.jsp?pnu=4311231033102650000&amp;isNoScr=script&amp;mode=search", "토지이음")</f>
        <v/>
      </c>
      <c r="T226" s="3" t="inlineStr">
        <is>
          <t>나는</t>
        </is>
      </c>
      <c r="U226" s="4" t="n">
        <v>1</v>
      </c>
      <c r="V226" s="5" t="n">
        <v>95.90000000000001</v>
      </c>
      <c r="W226" s="4" t="n">
        <v>935</v>
      </c>
      <c r="X226" s="3" t="inlineStr">
        <is>
          <t>대장없음</t>
        </is>
      </c>
      <c r="Y226" s="7" t="inlineStr">
        <is>
          <t>대장없음</t>
        </is>
      </c>
      <c r="Z226" s="3" t="inlineStr">
        <is>
          <t>대장없음</t>
        </is>
      </c>
      <c r="AA226" s="3" t="inlineStr">
        <is>
          <t>대장없음</t>
        </is>
      </c>
      <c r="AB226" s="3" t="inlineStr">
        <is>
          <t>대장없음</t>
        </is>
      </c>
      <c r="AC226" s="3" t="inlineStr">
        <is>
          <t>대장없음</t>
        </is>
      </c>
      <c r="AD226" s="3" t="inlineStr">
        <is>
          <t>소로한면</t>
        </is>
      </c>
    </row>
    <row r="227">
      <c r="A227" s="3" t="inlineStr">
        <is>
          <t>남이면 석실리 339-2</t>
        </is>
      </c>
      <c r="B227" s="3" t="inlineStr">
        <is>
          <t>자연녹지지역</t>
        </is>
      </c>
      <c r="C227" s="3" t="inlineStr">
        <is>
          <t>대</t>
        </is>
      </c>
      <c r="D227" s="3" t="inlineStr">
        <is>
          <t>창고</t>
        </is>
      </c>
      <c r="E227" s="3" t="inlineStr">
        <is>
          <t>매매</t>
        </is>
      </c>
      <c r="F227" s="4" t="n">
        <v>61200</v>
      </c>
      <c r="G227" s="4" t="n">
        <v>0</v>
      </c>
      <c r="H227" s="4" t="n">
        <v>873</v>
      </c>
      <c r="I227" s="4" t="n">
        <v>264</v>
      </c>
      <c r="J227" s="5" t="n">
        <v>231.8</v>
      </c>
      <c r="K227" s="4" t="n">
        <v>99</v>
      </c>
      <c r="L227" s="4" t="n">
        <v>30</v>
      </c>
      <c r="M227" s="5" t="n">
        <v>2040</v>
      </c>
      <c r="N227" s="3" t="inlineStr">
        <is>
          <t>1</t>
        </is>
      </c>
      <c r="O227" s="3" t="inlineStr">
        <is>
          <t>-</t>
        </is>
      </c>
      <c r="P227" s="3" t="inlineStr">
        <is>
          <t>2차선 접,시내 인근 투자</t>
        </is>
      </c>
      <c r="Q227" s="6">
        <f>HYPERLINK("https://fin.land.naver.com/articles/2650592765", "매물Link")</f>
        <v/>
      </c>
      <c r="R227" s="6">
        <f>HYPERLINK("https://map.naver.com/p/search/남이면 석실리 339-2", "지도Link")</f>
        <v/>
      </c>
      <c r="S227" s="6">
        <f>HYPERLINK("http://www.eum.go.kr/web/ar/lu/luLandDet.jsp?pnu=4311231033103390002&amp;isNoScr=script&amp;mode=search", "토지이음")</f>
        <v/>
      </c>
      <c r="T227" s="3" t="inlineStr">
        <is>
          <t>부광</t>
        </is>
      </c>
      <c r="U227" s="4" t="n">
        <v>1</v>
      </c>
      <c r="V227" s="5" t="n">
        <v>101.7</v>
      </c>
      <c r="W227" s="4" t="n">
        <v>873</v>
      </c>
      <c r="X227" s="3" t="inlineStr">
        <is>
          <t>대장없음</t>
        </is>
      </c>
      <c r="Y227" s="7" t="inlineStr">
        <is>
          <t>대장없음</t>
        </is>
      </c>
      <c r="Z227" s="3" t="inlineStr">
        <is>
          <t>대장없음</t>
        </is>
      </c>
      <c r="AA227" s="3" t="inlineStr">
        <is>
          <t>대장없음</t>
        </is>
      </c>
      <c r="AB227" s="3" t="inlineStr">
        <is>
          <t>대장없음</t>
        </is>
      </c>
      <c r="AC227" s="3" t="inlineStr">
        <is>
          <t>대장없음</t>
        </is>
      </c>
      <c r="AD227" s="3" t="inlineStr">
        <is>
          <t>소로한면</t>
        </is>
      </c>
    </row>
    <row r="228">
      <c r="A228" s="3" t="inlineStr">
        <is>
          <t>남이면 석실리 339-4</t>
        </is>
      </c>
      <c r="B228" s="3" t="inlineStr">
        <is>
          <t>자연녹지지역</t>
        </is>
      </c>
      <c r="C228" s="3" t="inlineStr">
        <is>
          <t>대</t>
        </is>
      </c>
      <c r="D228" s="3" t="inlineStr">
        <is>
          <t>창고</t>
        </is>
      </c>
      <c r="E228" s="3" t="inlineStr">
        <is>
          <t>월세</t>
        </is>
      </c>
      <c r="F228" s="4" t="n">
        <v>3000</v>
      </c>
      <c r="G228" s="4" t="n">
        <v>250</v>
      </c>
      <c r="H228" s="4" t="n">
        <v>1747</v>
      </c>
      <c r="I228" s="4" t="n">
        <v>528</v>
      </c>
      <c r="J228" s="5" t="n">
        <v>0.5</v>
      </c>
      <c r="K228" s="4" t="n">
        <v>238</v>
      </c>
      <c r="L228" s="4" t="n">
        <v>72</v>
      </c>
      <c r="M228" s="5" t="n">
        <v>3.5</v>
      </c>
      <c r="N228" s="3" t="inlineStr">
        <is>
          <t>1</t>
        </is>
      </c>
      <c r="O228" s="3" t="inlineStr">
        <is>
          <t>-</t>
        </is>
      </c>
      <c r="P228" s="3" t="inlineStr">
        <is>
          <t>2차선 대로에 접, 청주 도심 접근성과 남이IC 인접성 동시 갖춘입지</t>
        </is>
      </c>
      <c r="Q228" s="6">
        <f>HYPERLINK("https://fin.land.naver.com/articles/2650488511", "매물Link")</f>
        <v/>
      </c>
      <c r="R228" s="6">
        <f>HYPERLINK("https://map.naver.com/p/search/남이면 석실리 339-4", "지도Link")</f>
        <v/>
      </c>
      <c r="S228" s="6">
        <f>HYPERLINK("http://www.eum.go.kr/web/ar/lu/luLandDet.jsp?pnu=4311231033103390004&amp;isNoScr=script&amp;mode=search", "토지이음")</f>
        <v/>
      </c>
      <c r="T228" s="3" t="inlineStr">
        <is>
          <t>태성</t>
        </is>
      </c>
      <c r="U228" s="4" t="n">
        <v>1</v>
      </c>
      <c r="V228" s="5" t="n">
        <v>101.7</v>
      </c>
      <c r="W228" s="4" t="n">
        <v>1747</v>
      </c>
      <c r="X228" s="3" t="inlineStr">
        <is>
          <t>대장없음</t>
        </is>
      </c>
      <c r="Y228" s="7" t="inlineStr">
        <is>
          <t>대장없음</t>
        </is>
      </c>
      <c r="Z228" s="3" t="inlineStr">
        <is>
          <t>대장없음</t>
        </is>
      </c>
      <c r="AA228" s="3" t="inlineStr">
        <is>
          <t>대장없음</t>
        </is>
      </c>
      <c r="AB228" s="3" t="inlineStr">
        <is>
          <t>대장없음</t>
        </is>
      </c>
      <c r="AC228" s="3" t="inlineStr">
        <is>
          <t>대장없음</t>
        </is>
      </c>
      <c r="AD228" s="3" t="inlineStr">
        <is>
          <t>소로한면</t>
        </is>
      </c>
    </row>
    <row r="229">
      <c r="A229" s="3" t="inlineStr">
        <is>
          <t>남이면 석실리 354-4</t>
        </is>
      </c>
      <c r="B229" s="3" t="inlineStr">
        <is>
          <t>자연녹지지역</t>
        </is>
      </c>
      <c r="C229" s="3" t="inlineStr">
        <is>
          <t>공장용지</t>
        </is>
      </c>
      <c r="D229" s="3" t="inlineStr">
        <is>
          <t>공장</t>
        </is>
      </c>
      <c r="E229" s="3" t="inlineStr">
        <is>
          <t>매매</t>
        </is>
      </c>
      <c r="F229" s="4" t="n">
        <v>130000</v>
      </c>
      <c r="G229" s="4" t="n">
        <v>0</v>
      </c>
      <c r="H229" s="4" t="n">
        <v>1283</v>
      </c>
      <c r="I229" s="4" t="n">
        <v>388</v>
      </c>
      <c r="J229" s="5" t="n">
        <v>335.1</v>
      </c>
      <c r="K229" s="4" t="n">
        <v>747</v>
      </c>
      <c r="L229" s="4" t="n">
        <v>226</v>
      </c>
      <c r="M229" s="5" t="n">
        <v>575.2</v>
      </c>
      <c r="N229" s="3" t="inlineStr">
        <is>
          <t>3</t>
        </is>
      </c>
      <c r="O229" s="3" t="inlineStr">
        <is>
          <t>-</t>
        </is>
      </c>
      <c r="P229" s="3" t="inlineStr">
        <is>
          <t>프라임공인 석실리 공장 창고 물류센터사용 도로망좋음 엘리베이터</t>
        </is>
      </c>
      <c r="Q229" s="6">
        <f>HYPERLINK("https://fin.land.naver.com/articles/2651210377", "매물Link")</f>
        <v/>
      </c>
      <c r="R229" s="6">
        <f>HYPERLINK("https://map.naver.com/p/search/남이면 석실리 354-4", "지도Link")</f>
        <v/>
      </c>
      <c r="S229" s="6">
        <f>HYPERLINK("http://www.eum.go.kr/web/ar/lu/luLandDet.jsp?pnu=4311231033103540004&amp;isNoScr=script&amp;mode=search", "토지이음")</f>
        <v/>
      </c>
      <c r="T229" s="3" t="inlineStr">
        <is>
          <t>프라임</t>
        </is>
      </c>
      <c r="U229" s="4" t="n">
        <v>2</v>
      </c>
      <c r="V229" s="5" t="n">
        <v>101.7</v>
      </c>
      <c r="W229" s="4" t="n">
        <v>1283</v>
      </c>
      <c r="X229" s="3" t="inlineStr">
        <is>
          <t>대장없음</t>
        </is>
      </c>
      <c r="Y229" s="7" t="inlineStr">
        <is>
          <t>대장없음</t>
        </is>
      </c>
      <c r="Z229" s="3" t="inlineStr">
        <is>
          <t>대장없음</t>
        </is>
      </c>
      <c r="AA229" s="3" t="inlineStr">
        <is>
          <t>대장없음</t>
        </is>
      </c>
      <c r="AB229" s="3" t="inlineStr">
        <is>
          <t>대장없음</t>
        </is>
      </c>
      <c r="AC229" s="3" t="inlineStr">
        <is>
          <t>대장없음</t>
        </is>
      </c>
      <c r="AD229" s="3" t="inlineStr">
        <is>
          <t>소로한면</t>
        </is>
      </c>
    </row>
    <row r="230">
      <c r="A230" s="3" t="inlineStr">
        <is>
          <t>남이면 석실리 470</t>
        </is>
      </c>
      <c r="B230" s="3" t="inlineStr">
        <is>
          <t>자연녹지지역</t>
        </is>
      </c>
      <c r="C230" s="3" t="inlineStr">
        <is>
          <t>전</t>
        </is>
      </c>
      <c r="D230" s="3" t="inlineStr">
        <is>
          <t>창고</t>
        </is>
      </c>
      <c r="E230" s="3" t="inlineStr">
        <is>
          <t>월세</t>
        </is>
      </c>
      <c r="F230" s="4" t="n">
        <v>3000</v>
      </c>
      <c r="G230" s="4" t="n">
        <v>192</v>
      </c>
      <c r="H230" s="4" t="n">
        <v>1010</v>
      </c>
      <c r="I230" s="4" t="n">
        <v>306</v>
      </c>
      <c r="J230" s="5" t="n">
        <v>0.6</v>
      </c>
      <c r="K230" s="4" t="n">
        <v>192</v>
      </c>
      <c r="L230" s="4" t="n">
        <v>58</v>
      </c>
      <c r="M230" s="5" t="n">
        <v>3.3</v>
      </c>
      <c r="N230" s="3" t="inlineStr">
        <is>
          <t>1</t>
        </is>
      </c>
      <c r="O230" s="3" t="inlineStr">
        <is>
          <t>-</t>
        </is>
      </c>
      <c r="P230" s="3" t="inlineStr">
        <is>
          <t>시내에서 접근성좋은 마당넓은 근생창고</t>
        </is>
      </c>
      <c r="Q230" s="6">
        <f>HYPERLINK("https://fin.land.naver.com/articles/2651890540", "매물Link")</f>
        <v/>
      </c>
      <c r="R230" s="6">
        <f>HYPERLINK("https://map.naver.com/p/search/남이면 석실리 470", "지도Link")</f>
        <v/>
      </c>
      <c r="S230" s="6">
        <f>HYPERLINK("http://www.eum.go.kr/web/ar/lu/luLandDet.jsp?pnu=4311231033104700000&amp;isNoScr=script&amp;mode=search", "토지이음")</f>
        <v/>
      </c>
      <c r="T230" s="3" t="inlineStr">
        <is>
          <t>창고의여왕</t>
        </is>
      </c>
      <c r="U230" s="4" t="n">
        <v>1</v>
      </c>
      <c r="V230" s="5" t="n">
        <v>42.8</v>
      </c>
      <c r="W230" s="4" t="n">
        <v>720</v>
      </c>
      <c r="X230" s="3" t="inlineStr">
        <is>
          <t>대장없음</t>
        </is>
      </c>
      <c r="Y230" s="7" t="inlineStr">
        <is>
          <t>대장없음</t>
        </is>
      </c>
      <c r="Z230" s="3" t="inlineStr">
        <is>
          <t>대장없음</t>
        </is>
      </c>
      <c r="AA230" s="3" t="inlineStr">
        <is>
          <t>대장없음</t>
        </is>
      </c>
      <c r="AB230" s="3" t="inlineStr">
        <is>
          <t>대장없음</t>
        </is>
      </c>
      <c r="AC230" s="3" t="inlineStr">
        <is>
          <t>대장없음</t>
        </is>
      </c>
      <c r="AD230" s="3" t="inlineStr">
        <is>
          <t>소로한면</t>
        </is>
      </c>
    </row>
    <row r="231">
      <c r="A231" s="3" t="inlineStr">
        <is>
          <t>남이면 석실리 470-6</t>
        </is>
      </c>
      <c r="B231" s="3" t="inlineStr">
        <is>
          <t>자연녹지지역</t>
        </is>
      </c>
      <c r="C231" s="3" t="inlineStr">
        <is>
          <t>잡종지</t>
        </is>
      </c>
      <c r="D231" s="3" t="inlineStr">
        <is>
          <t>창고</t>
        </is>
      </c>
      <c r="E231" s="3" t="inlineStr">
        <is>
          <t>월세</t>
        </is>
      </c>
      <c r="F231" s="4" t="n">
        <v>3000</v>
      </c>
      <c r="G231" s="4" t="n">
        <v>175</v>
      </c>
      <c r="H231" s="4" t="n">
        <v>1753</v>
      </c>
      <c r="I231" s="4" t="n">
        <v>530</v>
      </c>
      <c r="J231" s="5" t="n">
        <v>0.3</v>
      </c>
      <c r="K231" s="4" t="n">
        <v>165</v>
      </c>
      <c r="L231" s="4" t="n">
        <v>50</v>
      </c>
      <c r="M231" s="5" t="n">
        <v>3.5</v>
      </c>
      <c r="N231" s="3" t="inlineStr">
        <is>
          <t>1</t>
        </is>
      </c>
      <c r="O231" s="3" t="inlineStr">
        <is>
          <t>-</t>
        </is>
      </c>
      <c r="P231" s="3" t="inlineStr">
        <is>
          <t>A특급A 도로변 신축 매물, 주차공간 넉넉하게 단독 사용가능</t>
        </is>
      </c>
      <c r="Q231" s="6">
        <f>HYPERLINK("https://fin.land.naver.com/articles/2650192508", "매물Link")</f>
        <v/>
      </c>
      <c r="R231" s="6">
        <f>HYPERLINK("https://map.naver.com/p/search/남이면 석실리 470-6", "지도Link")</f>
        <v/>
      </c>
      <c r="S231" s="6">
        <f>HYPERLINK("http://www.eum.go.kr/web/ar/lu/luLandDet.jsp?pnu=4311231033104700006&amp;isNoScr=script&amp;mode=search", "토지이음")</f>
        <v/>
      </c>
      <c r="T231" s="3" t="inlineStr">
        <is>
          <t>골든타임</t>
        </is>
      </c>
      <c r="U231" s="4" t="n">
        <v>1</v>
      </c>
      <c r="V231" s="5" t="n">
        <v>61.9</v>
      </c>
      <c r="W231" s="4" t="n">
        <v>724</v>
      </c>
      <c r="X231" s="3" t="inlineStr">
        <is>
          <t>대장없음</t>
        </is>
      </c>
      <c r="Y231" s="7" t="inlineStr">
        <is>
          <t>대장없음</t>
        </is>
      </c>
      <c r="Z231" s="3" t="inlineStr">
        <is>
          <t>대장없음</t>
        </is>
      </c>
      <c r="AA231" s="3" t="inlineStr">
        <is>
          <t>대장없음</t>
        </is>
      </c>
      <c r="AB231" s="3" t="inlineStr">
        <is>
          <t>대장없음</t>
        </is>
      </c>
      <c r="AC231" s="3" t="inlineStr">
        <is>
          <t>대장없음</t>
        </is>
      </c>
      <c r="AD231" s="3" t="inlineStr">
        <is>
          <t>소로한면</t>
        </is>
      </c>
    </row>
    <row r="232">
      <c r="A232" s="3" t="inlineStr">
        <is>
          <t>남이면 석실리 470-6</t>
        </is>
      </c>
      <c r="B232" s="3" t="inlineStr">
        <is>
          <t>자연녹지지역</t>
        </is>
      </c>
      <c r="C232" s="3" t="inlineStr">
        <is>
          <t>잡종지</t>
        </is>
      </c>
      <c r="D232" s="3" t="inlineStr">
        <is>
          <t>공장</t>
        </is>
      </c>
      <c r="E232" s="3" t="inlineStr">
        <is>
          <t>월세</t>
        </is>
      </c>
      <c r="F232" s="4" t="n">
        <v>3000</v>
      </c>
      <c r="G232" s="4" t="n">
        <v>192</v>
      </c>
      <c r="H232" s="4" t="n">
        <v>1753</v>
      </c>
      <c r="I232" s="4" t="n">
        <v>530</v>
      </c>
      <c r="J232" s="5" t="n">
        <v>0.4</v>
      </c>
      <c r="K232" s="4" t="n">
        <v>183</v>
      </c>
      <c r="L232" s="4" t="n">
        <v>55</v>
      </c>
      <c r="M232" s="5" t="n">
        <v>3.5</v>
      </c>
      <c r="N232" s="3" t="inlineStr">
        <is>
          <t>1</t>
        </is>
      </c>
      <c r="O232" s="3" t="inlineStr">
        <is>
          <t>-</t>
        </is>
      </c>
      <c r="P232" s="3" t="inlineStr">
        <is>
          <t>야적공간 충분한 마당넓은 소형근생창고</t>
        </is>
      </c>
      <c r="Q232" s="6">
        <f>HYPERLINK("https://fin.land.naver.com/articles/2652023570", "매물Link")</f>
        <v/>
      </c>
      <c r="R232" s="6">
        <f>HYPERLINK("https://map.naver.com/p/search/남이면 석실리 470-6", "지도Link")</f>
        <v/>
      </c>
      <c r="S232" s="6">
        <f>HYPERLINK("http://www.eum.go.kr/web/ar/lu/luLandDet.jsp?pnu=4311231033104700006&amp;isNoScr=script&amp;mode=search", "토지이음")</f>
        <v/>
      </c>
      <c r="T232" s="3" t="inlineStr">
        <is>
          <t>창고의여왕</t>
        </is>
      </c>
      <c r="U232" s="4" t="n">
        <v>1</v>
      </c>
      <c r="V232" s="5" t="n">
        <v>61.9</v>
      </c>
      <c r="W232" s="4" t="n">
        <v>724</v>
      </c>
      <c r="X232" s="3" t="inlineStr">
        <is>
          <t>대장없음</t>
        </is>
      </c>
      <c r="Y232" s="7" t="inlineStr">
        <is>
          <t>대장없음</t>
        </is>
      </c>
      <c r="Z232" s="3" t="inlineStr">
        <is>
          <t>대장없음</t>
        </is>
      </c>
      <c r="AA232" s="3" t="inlineStr">
        <is>
          <t>대장없음</t>
        </is>
      </c>
      <c r="AB232" s="3" t="inlineStr">
        <is>
          <t>대장없음</t>
        </is>
      </c>
      <c r="AC232" s="3" t="inlineStr">
        <is>
          <t>대장없음</t>
        </is>
      </c>
      <c r="AD232" s="3" t="inlineStr">
        <is>
          <t>소로한면</t>
        </is>
      </c>
    </row>
    <row r="233">
      <c r="A233" s="3" t="inlineStr">
        <is>
          <t>남이면 석실리 470-6</t>
        </is>
      </c>
      <c r="B233" s="3" t="inlineStr">
        <is>
          <t>자연녹지지역</t>
        </is>
      </c>
      <c r="C233" s="3" t="inlineStr">
        <is>
          <t>잡종지</t>
        </is>
      </c>
      <c r="D233" s="3" t="inlineStr">
        <is>
          <t>창고</t>
        </is>
      </c>
      <c r="E233" s="3" t="inlineStr">
        <is>
          <t>월세</t>
        </is>
      </c>
      <c r="F233" s="4" t="n">
        <v>2000</v>
      </c>
      <c r="G233" s="4" t="n">
        <v>175</v>
      </c>
      <c r="H233" s="4" t="n">
        <v>1753</v>
      </c>
      <c r="I233" s="4" t="n">
        <v>530</v>
      </c>
      <c r="J233" s="5" t="n">
        <v>0.3</v>
      </c>
      <c r="K233" s="4" t="n">
        <v>165</v>
      </c>
      <c r="L233" s="4" t="n">
        <v>50</v>
      </c>
      <c r="M233" s="5" t="n">
        <v>3.5</v>
      </c>
      <c r="N233" s="3" t="inlineStr">
        <is>
          <t>1</t>
        </is>
      </c>
      <c r="O233" s="3" t="inlineStr">
        <is>
          <t>-</t>
        </is>
      </c>
      <c r="P233" s="3" t="inlineStr">
        <is>
          <t>건물 50형 대지230형</t>
        </is>
      </c>
      <c r="Q233" s="6">
        <f>HYPERLINK("https://fin.land.naver.com/articles/2654155444", "매물Link")</f>
        <v/>
      </c>
      <c r="R233" s="6">
        <f>HYPERLINK("https://map.naver.com/p/search/남이면 석실리 470-6", "지도Link")</f>
        <v/>
      </c>
      <c r="S233" s="6">
        <f>HYPERLINK("http://www.eum.go.kr/web/ar/lu/luLandDet.jsp?pnu=4311231033104700006&amp;isNoScr=script&amp;mode=search", "토지이음")</f>
        <v/>
      </c>
      <c r="T233" s="3" t="inlineStr">
        <is>
          <t>위더스</t>
        </is>
      </c>
      <c r="U233" s="4" t="n">
        <v>1</v>
      </c>
      <c r="V233" s="5" t="n">
        <v>61.9</v>
      </c>
      <c r="W233" s="4" t="n">
        <v>724</v>
      </c>
      <c r="X233" s="3" t="inlineStr">
        <is>
          <t>대장없음</t>
        </is>
      </c>
      <c r="Y233" s="7" t="inlineStr">
        <is>
          <t>대장없음</t>
        </is>
      </c>
      <c r="Z233" s="3" t="inlineStr">
        <is>
          <t>대장없음</t>
        </is>
      </c>
      <c r="AA233" s="3" t="inlineStr">
        <is>
          <t>대장없음</t>
        </is>
      </c>
      <c r="AB233" s="3" t="inlineStr">
        <is>
          <t>대장없음</t>
        </is>
      </c>
      <c r="AC233" s="3" t="inlineStr">
        <is>
          <t>대장없음</t>
        </is>
      </c>
      <c r="AD233" s="3" t="inlineStr">
        <is>
          <t>소로한면</t>
        </is>
      </c>
    </row>
    <row r="234">
      <c r="A234" s="3" t="inlineStr">
        <is>
          <t>남이면 석실리 470-6</t>
        </is>
      </c>
      <c r="B234" s="3" t="inlineStr">
        <is>
          <t>자연녹지지역</t>
        </is>
      </c>
      <c r="C234" s="3" t="inlineStr">
        <is>
          <t>잡종지</t>
        </is>
      </c>
      <c r="D234" s="3" t="inlineStr">
        <is>
          <t>공장</t>
        </is>
      </c>
      <c r="E234" s="3" t="inlineStr">
        <is>
          <t>월세</t>
        </is>
      </c>
      <c r="F234" s="4" t="n">
        <v>2000</v>
      </c>
      <c r="G234" s="4" t="n">
        <v>175</v>
      </c>
      <c r="H234" s="4" t="n">
        <v>724</v>
      </c>
      <c r="I234" s="4" t="n">
        <v>219</v>
      </c>
      <c r="J234" s="5" t="n">
        <v>0.8</v>
      </c>
      <c r="K234" s="4" t="n">
        <v>165</v>
      </c>
      <c r="L234" s="4" t="n">
        <v>50</v>
      </c>
      <c r="M234" s="5" t="n">
        <v>3.5</v>
      </c>
      <c r="N234" s="3" t="inlineStr">
        <is>
          <t>1</t>
        </is>
      </c>
      <c r="O234" s="3" t="inlineStr">
        <is>
          <t>-</t>
        </is>
      </c>
      <c r="P234" s="3" t="inlineStr">
        <is>
          <t>석실리 2차선도로 단독소형 신축공장.창고임대 대형차 진출입가능</t>
        </is>
      </c>
      <c r="Q234" s="6">
        <f>HYPERLINK("https://fin.land.naver.com/articles/2649672723", "매물Link")</f>
        <v/>
      </c>
      <c r="R234" s="6">
        <f>HYPERLINK("https://map.naver.com/p/search/남이면 석실리 470-6", "지도Link")</f>
        <v/>
      </c>
      <c r="S234" s="6">
        <f>HYPERLINK("http://www.eum.go.kr/web/ar/lu/luLandDet.jsp?pnu=4311231033104700006&amp;isNoScr=script&amp;mode=search", "토지이음")</f>
        <v/>
      </c>
      <c r="T234" s="3" t="inlineStr">
        <is>
          <t>더원</t>
        </is>
      </c>
      <c r="U234" s="4" t="n">
        <v>1</v>
      </c>
      <c r="V234" s="5" t="n">
        <v>61.9</v>
      </c>
      <c r="W234" s="4" t="n">
        <v>724</v>
      </c>
      <c r="X234" s="3" t="inlineStr">
        <is>
          <t>대장없음</t>
        </is>
      </c>
      <c r="Y234" s="7" t="inlineStr">
        <is>
          <t>대장없음</t>
        </is>
      </c>
      <c r="Z234" s="3" t="inlineStr">
        <is>
          <t>대장없음</t>
        </is>
      </c>
      <c r="AA234" s="3" t="inlineStr">
        <is>
          <t>대장없음</t>
        </is>
      </c>
      <c r="AB234" s="3" t="inlineStr">
        <is>
          <t>대장없음</t>
        </is>
      </c>
      <c r="AC234" s="3" t="inlineStr">
        <is>
          <t>대장없음</t>
        </is>
      </c>
      <c r="AD234" s="3" t="inlineStr">
        <is>
          <t>소로한면</t>
        </is>
      </c>
    </row>
    <row r="235">
      <c r="A235" s="3" t="inlineStr">
        <is>
          <t>남이면 석실리 470-6</t>
        </is>
      </c>
      <c r="B235" s="3" t="inlineStr">
        <is>
          <t>자연녹지지역</t>
        </is>
      </c>
      <c r="C235" s="3" t="inlineStr">
        <is>
          <t>잡종지</t>
        </is>
      </c>
      <c r="D235" s="3" t="inlineStr">
        <is>
          <t>공장</t>
        </is>
      </c>
      <c r="E235" s="3" t="inlineStr">
        <is>
          <t>월세</t>
        </is>
      </c>
      <c r="F235" s="4" t="n">
        <v>3000</v>
      </c>
      <c r="G235" s="4" t="n">
        <v>192</v>
      </c>
      <c r="H235" s="4" t="n">
        <v>724</v>
      </c>
      <c r="I235" s="4" t="n">
        <v>219</v>
      </c>
      <c r="J235" s="5" t="n">
        <v>0.9</v>
      </c>
      <c r="K235" s="4" t="n">
        <v>183</v>
      </c>
      <c r="L235" s="4" t="n">
        <v>55</v>
      </c>
      <c r="M235" s="5" t="n">
        <v>3.5</v>
      </c>
      <c r="N235" s="3" t="inlineStr">
        <is>
          <t>1</t>
        </is>
      </c>
      <c r="O235" s="3" t="inlineStr">
        <is>
          <t>-</t>
        </is>
      </c>
      <c r="P235" s="3" t="inlineStr">
        <is>
          <t>단독 소형공장. 창고임대 2차선도로 대형차 진출입 가능</t>
        </is>
      </c>
      <c r="Q235" s="6">
        <f>HYPERLINK("https://fin.land.naver.com/articles/2649677035", "매물Link")</f>
        <v/>
      </c>
      <c r="R235" s="6">
        <f>HYPERLINK("https://map.naver.com/p/search/남이면 석실리 470-6", "지도Link")</f>
        <v/>
      </c>
      <c r="S235" s="6">
        <f>HYPERLINK("http://www.eum.go.kr/web/ar/lu/luLandDet.jsp?pnu=4311231033104700006&amp;isNoScr=script&amp;mode=search", "토지이음")</f>
        <v/>
      </c>
      <c r="T235" s="3" t="inlineStr">
        <is>
          <t>더원</t>
        </is>
      </c>
      <c r="U235" s="4" t="n">
        <v>1</v>
      </c>
      <c r="V235" s="5" t="n">
        <v>61.9</v>
      </c>
      <c r="W235" s="4" t="n">
        <v>724</v>
      </c>
      <c r="X235" s="3" t="inlineStr">
        <is>
          <t>대장없음</t>
        </is>
      </c>
      <c r="Y235" s="7" t="inlineStr">
        <is>
          <t>대장없음</t>
        </is>
      </c>
      <c r="Z235" s="3" t="inlineStr">
        <is>
          <t>대장없음</t>
        </is>
      </c>
      <c r="AA235" s="3" t="inlineStr">
        <is>
          <t>대장없음</t>
        </is>
      </c>
      <c r="AB235" s="3" t="inlineStr">
        <is>
          <t>대장없음</t>
        </is>
      </c>
      <c r="AC235" s="3" t="inlineStr">
        <is>
          <t>대장없음</t>
        </is>
      </c>
      <c r="AD235" s="3" t="inlineStr">
        <is>
          <t>소로한면</t>
        </is>
      </c>
    </row>
    <row r="236">
      <c r="A236" s="3" t="inlineStr">
        <is>
          <t>남이면 석실리 470-6</t>
        </is>
      </c>
      <c r="B236" s="3" t="inlineStr">
        <is>
          <t>자연녹지지역</t>
        </is>
      </c>
      <c r="C236" s="3" t="inlineStr">
        <is>
          <t>잡종지</t>
        </is>
      </c>
      <c r="D236" s="3" t="inlineStr">
        <is>
          <t>창고</t>
        </is>
      </c>
      <c r="E236" s="3" t="inlineStr">
        <is>
          <t>월세</t>
        </is>
      </c>
      <c r="F236" s="4" t="n">
        <v>3000</v>
      </c>
      <c r="G236" s="4" t="n">
        <v>175</v>
      </c>
      <c r="H236" s="4" t="n">
        <v>1753</v>
      </c>
      <c r="I236" s="4" t="n">
        <v>530</v>
      </c>
      <c r="J236" s="5" t="n">
        <v>0.3</v>
      </c>
      <c r="K236" s="4" t="n">
        <v>165</v>
      </c>
      <c r="L236" s="4" t="n">
        <v>50</v>
      </c>
      <c r="M236" s="5" t="n">
        <v>3.5</v>
      </c>
      <c r="N236" s="3" t="inlineStr">
        <is>
          <t>1</t>
        </is>
      </c>
      <c r="O236" s="3" t="inlineStr">
        <is>
          <t>-</t>
        </is>
      </c>
      <c r="P236" s="3" t="inlineStr">
        <is>
          <t>사진 有, 2차선대로변 접한 신축 창고 임대</t>
        </is>
      </c>
      <c r="Q236" s="6">
        <f>HYPERLINK("https://fin.land.naver.com/articles/2653837384", "매물Link")</f>
        <v/>
      </c>
      <c r="R236" s="6">
        <f>HYPERLINK("https://map.naver.com/p/search/남이면 석실리 470-6", "지도Link")</f>
        <v/>
      </c>
      <c r="S236" s="6">
        <f>HYPERLINK("http://www.eum.go.kr/web/ar/lu/luLandDet.jsp?pnu=4311231033104700006&amp;isNoScr=script&amp;mode=search", "토지이음")</f>
        <v/>
      </c>
      <c r="T236" s="3" t="inlineStr">
        <is>
          <t>태성</t>
        </is>
      </c>
      <c r="U236" s="4" t="n">
        <v>1</v>
      </c>
      <c r="V236" s="5" t="n">
        <v>61.9</v>
      </c>
      <c r="W236" s="4" t="n">
        <v>724</v>
      </c>
      <c r="X236" s="3" t="inlineStr">
        <is>
          <t>대장없음</t>
        </is>
      </c>
      <c r="Y236" s="7" t="inlineStr">
        <is>
          <t>대장없음</t>
        </is>
      </c>
      <c r="Z236" s="3" t="inlineStr">
        <is>
          <t>대장없음</t>
        </is>
      </c>
      <c r="AA236" s="3" t="inlineStr">
        <is>
          <t>대장없음</t>
        </is>
      </c>
      <c r="AB236" s="3" t="inlineStr">
        <is>
          <t>대장없음</t>
        </is>
      </c>
      <c r="AC236" s="3" t="inlineStr">
        <is>
          <t>대장없음</t>
        </is>
      </c>
      <c r="AD236" s="3" t="inlineStr">
        <is>
          <t>소로한면</t>
        </is>
      </c>
    </row>
    <row r="237">
      <c r="A237" s="3" t="inlineStr">
        <is>
          <t>남이면 석실리 470-6</t>
        </is>
      </c>
      <c r="B237" s="3" t="inlineStr">
        <is>
          <t>자연녹지지역</t>
        </is>
      </c>
      <c r="C237" s="3" t="inlineStr">
        <is>
          <t>잡종지</t>
        </is>
      </c>
      <c r="D237" s="3" t="inlineStr">
        <is>
          <t>공장</t>
        </is>
      </c>
      <c r="E237" s="3" t="inlineStr">
        <is>
          <t>월세</t>
        </is>
      </c>
      <c r="F237" s="4" t="n">
        <v>3000</v>
      </c>
      <c r="G237" s="4" t="n">
        <v>175</v>
      </c>
      <c r="H237" s="4" t="n">
        <v>724</v>
      </c>
      <c r="I237" s="4" t="n">
        <v>219</v>
      </c>
      <c r="J237" s="5" t="n">
        <v>0.8</v>
      </c>
      <c r="K237" s="4" t="n">
        <v>165</v>
      </c>
      <c r="L237" s="4" t="n">
        <v>50</v>
      </c>
      <c r="M237" s="5" t="n">
        <v>3.5</v>
      </c>
      <c r="N237" s="3" t="inlineStr">
        <is>
          <t>1</t>
        </is>
      </c>
      <c r="O237" s="3" t="inlineStr">
        <is>
          <t>-</t>
        </is>
      </c>
      <c r="P237" s="3" t="inlineStr">
        <is>
          <t>신축 창고, 2차선 도로 접, 대형차량 진출입 용이, 접근성 좋음</t>
        </is>
      </c>
      <c r="Q237" s="6">
        <f>HYPERLINK("https://fin.land.naver.com/articles/2650247827", "매물Link")</f>
        <v/>
      </c>
      <c r="R237" s="6">
        <f>HYPERLINK("https://map.naver.com/p/search/남이면 석실리 470-6", "지도Link")</f>
        <v/>
      </c>
      <c r="S237" s="6">
        <f>HYPERLINK("http://www.eum.go.kr/web/ar/lu/luLandDet.jsp?pnu=4311231033104700006&amp;isNoScr=script&amp;mode=search", "토지이음")</f>
        <v/>
      </c>
      <c r="T237" s="3" t="inlineStr">
        <is>
          <t>나는</t>
        </is>
      </c>
      <c r="U237" s="4" t="n">
        <v>1</v>
      </c>
      <c r="V237" s="5" t="n">
        <v>61.9</v>
      </c>
      <c r="W237" s="4" t="n">
        <v>724</v>
      </c>
      <c r="X237" s="3" t="inlineStr">
        <is>
          <t>대장없음</t>
        </is>
      </c>
      <c r="Y237" s="7" t="inlineStr">
        <is>
          <t>대장없음</t>
        </is>
      </c>
      <c r="Z237" s="3" t="inlineStr">
        <is>
          <t>대장없음</t>
        </is>
      </c>
      <c r="AA237" s="3" t="inlineStr">
        <is>
          <t>대장없음</t>
        </is>
      </c>
      <c r="AB237" s="3" t="inlineStr">
        <is>
          <t>대장없음</t>
        </is>
      </c>
      <c r="AC237" s="3" t="inlineStr">
        <is>
          <t>대장없음</t>
        </is>
      </c>
      <c r="AD237" s="3" t="inlineStr">
        <is>
          <t>소로한면</t>
        </is>
      </c>
    </row>
    <row r="238">
      <c r="A238" s="3" t="inlineStr">
        <is>
          <t>남이면 석실리 470-6</t>
        </is>
      </c>
      <c r="B238" s="3" t="inlineStr">
        <is>
          <t>자연녹지지역</t>
        </is>
      </c>
      <c r="C238" s="3" t="inlineStr">
        <is>
          <t>잡종지</t>
        </is>
      </c>
      <c r="D238" s="3" t="inlineStr">
        <is>
          <t>창고</t>
        </is>
      </c>
      <c r="E238" s="3" t="inlineStr">
        <is>
          <t>월세</t>
        </is>
      </c>
      <c r="F238" s="4" t="n">
        <v>3000</v>
      </c>
      <c r="G238" s="4" t="n">
        <v>175</v>
      </c>
      <c r="H238" s="4" t="n">
        <v>1010</v>
      </c>
      <c r="I238" s="4" t="n">
        <v>306</v>
      </c>
      <c r="J238" s="5" t="n">
        <v>0.6</v>
      </c>
      <c r="K238" s="4" t="n">
        <v>182</v>
      </c>
      <c r="L238" s="4" t="n">
        <v>55</v>
      </c>
      <c r="M238" s="5" t="n">
        <v>3.2</v>
      </c>
      <c r="N238" s="3" t="inlineStr">
        <is>
          <t>1</t>
        </is>
      </c>
      <c r="O238" s="3" t="inlineStr">
        <is>
          <t>-</t>
        </is>
      </c>
      <c r="P238" s="3" t="inlineStr">
        <is>
          <t>2차선변에 위치한 소규모창고시설</t>
        </is>
      </c>
      <c r="Q238" s="6">
        <f>HYPERLINK("https://fin.land.naver.com/articles/2651890982", "매물Link")</f>
        <v/>
      </c>
      <c r="R238" s="6">
        <f>HYPERLINK("https://map.naver.com/p/search/남이면 석실리 470-6", "지도Link")</f>
        <v/>
      </c>
      <c r="S238" s="6">
        <f>HYPERLINK("http://www.eum.go.kr/web/ar/lu/luLandDet.jsp?pnu=4311231033104700006&amp;isNoScr=script&amp;mode=search", "토지이음")</f>
        <v/>
      </c>
      <c r="T238" s="3" t="inlineStr">
        <is>
          <t>창고의여왕</t>
        </is>
      </c>
      <c r="U238" s="4" t="n">
        <v>1</v>
      </c>
      <c r="V238" s="5" t="n">
        <v>61.9</v>
      </c>
      <c r="W238" s="4" t="n">
        <v>724</v>
      </c>
      <c r="X238" s="3" t="inlineStr">
        <is>
          <t>대장없음</t>
        </is>
      </c>
      <c r="Y238" s="7" t="inlineStr">
        <is>
          <t>대장없음</t>
        </is>
      </c>
      <c r="Z238" s="3" t="inlineStr">
        <is>
          <t>대장없음</t>
        </is>
      </c>
      <c r="AA238" s="3" t="inlineStr">
        <is>
          <t>대장없음</t>
        </is>
      </c>
      <c r="AB238" s="3" t="inlineStr">
        <is>
          <t>대장없음</t>
        </is>
      </c>
      <c r="AC238" s="3" t="inlineStr">
        <is>
          <t>대장없음</t>
        </is>
      </c>
      <c r="AD238" s="3" t="inlineStr">
        <is>
          <t>소로한면</t>
        </is>
      </c>
    </row>
    <row r="239">
      <c r="A239" s="3" t="inlineStr">
        <is>
          <t>남이면 석실리 7-4</t>
        </is>
      </c>
      <c r="B239" s="3" t="inlineStr">
        <is>
          <t>자연녹지지역</t>
        </is>
      </c>
      <c r="C239" s="3" t="inlineStr">
        <is>
          <t>공장용지</t>
        </is>
      </c>
      <c r="D239" s="3" t="inlineStr">
        <is>
          <t>공장</t>
        </is>
      </c>
      <c r="E239" s="3" t="inlineStr">
        <is>
          <t>월세</t>
        </is>
      </c>
      <c r="F239" s="4" t="n">
        <v>5000</v>
      </c>
      <c r="G239" s="4" t="n">
        <v>300</v>
      </c>
      <c r="H239" s="4" t="n">
        <v>2386</v>
      </c>
      <c r="I239" s="4" t="n">
        <v>722</v>
      </c>
      <c r="J239" s="5" t="n">
        <v>0.4</v>
      </c>
      <c r="K239" s="4" t="n">
        <v>392</v>
      </c>
      <c r="L239" s="4" t="n">
        <v>119</v>
      </c>
      <c r="M239" s="5" t="n">
        <v>2.5</v>
      </c>
      <c r="N239" s="3" t="inlineStr">
        <is>
          <t>1</t>
        </is>
      </c>
      <c r="O239" s="3" t="inlineStr">
        <is>
          <t>-</t>
        </is>
      </c>
      <c r="P239" s="3" t="inlineStr">
        <is>
          <t>석곡사거리 인근, 대형차량진출입 용이, 단층 60형 2개동, 넓은 마당</t>
        </is>
      </c>
      <c r="Q239" s="6">
        <f>HYPERLINK("https://fin.land.naver.com/articles/2653743649", "매물Link")</f>
        <v/>
      </c>
      <c r="R239" s="6">
        <f>HYPERLINK("https://map.naver.com/p/search/남이면 석실리 7-4", "지도Link")</f>
        <v/>
      </c>
      <c r="S239" s="6">
        <f>HYPERLINK("http://www.eum.go.kr/web/ar/lu/luLandDet.jsp?pnu=4311231033100070004&amp;isNoScr=script&amp;mode=search", "토지이음")</f>
        <v/>
      </c>
      <c r="T239" s="3" t="inlineStr">
        <is>
          <t>라인</t>
        </is>
      </c>
      <c r="U239" s="4" t="n">
        <v>1</v>
      </c>
      <c r="V239" s="5" t="n">
        <v>100.5</v>
      </c>
      <c r="W239" s="4" t="n">
        <v>2386</v>
      </c>
      <c r="X239" s="3" t="inlineStr">
        <is>
          <t>대장없음</t>
        </is>
      </c>
      <c r="Y239" s="7" t="inlineStr">
        <is>
          <t>대장없음</t>
        </is>
      </c>
      <c r="Z239" s="3" t="inlineStr">
        <is>
          <t>대장없음</t>
        </is>
      </c>
      <c r="AA239" s="3" t="inlineStr">
        <is>
          <t>대장없음</t>
        </is>
      </c>
      <c r="AB239" s="3" t="inlineStr">
        <is>
          <t>대장없음</t>
        </is>
      </c>
      <c r="AC239" s="3" t="inlineStr">
        <is>
          <t>대장없음</t>
        </is>
      </c>
      <c r="AD239" s="3" t="inlineStr">
        <is>
          <t>소로한면</t>
        </is>
      </c>
    </row>
    <row r="240">
      <c r="A240" s="3" t="inlineStr">
        <is>
          <t>남이면 석실리 7-4</t>
        </is>
      </c>
      <c r="B240" s="3" t="inlineStr">
        <is>
          <t>자연녹지지역</t>
        </is>
      </c>
      <c r="C240" s="3" t="inlineStr">
        <is>
          <t>공장용지</t>
        </is>
      </c>
      <c r="D240" s="3" t="inlineStr">
        <is>
          <t>창고</t>
        </is>
      </c>
      <c r="E240" s="3" t="inlineStr">
        <is>
          <t>월세</t>
        </is>
      </c>
      <c r="F240" s="4" t="n">
        <v>5000</v>
      </c>
      <c r="G240" s="4" t="n">
        <v>300</v>
      </c>
      <c r="H240" s="4" t="n">
        <v>2386</v>
      </c>
      <c r="I240" s="4" t="n">
        <v>722</v>
      </c>
      <c r="J240" s="5" t="n">
        <v>0.4</v>
      </c>
      <c r="K240" s="4" t="n">
        <v>392</v>
      </c>
      <c r="L240" s="4" t="n">
        <v>119</v>
      </c>
      <c r="M240" s="5" t="n">
        <v>2.5</v>
      </c>
      <c r="N240" s="3" t="inlineStr">
        <is>
          <t>1</t>
        </is>
      </c>
      <c r="O240" s="3" t="inlineStr">
        <is>
          <t>-</t>
        </is>
      </c>
      <c r="P240" s="3" t="inlineStr">
        <is>
          <t>대형 차량 진출입 용이, 단층 60형 2개동 연결된 구조로 120형 사용</t>
        </is>
      </c>
      <c r="Q240" s="6">
        <f>HYPERLINK("https://fin.land.naver.com/articles/2653852370", "매물Link")</f>
        <v/>
      </c>
      <c r="R240" s="6">
        <f>HYPERLINK("https://map.naver.com/p/search/남이면 석실리 7-4", "지도Link")</f>
        <v/>
      </c>
      <c r="S240" s="6">
        <f>HYPERLINK("http://www.eum.go.kr/web/ar/lu/luLandDet.jsp?pnu=4311231033100070004&amp;isNoScr=script&amp;mode=search", "토지이음")</f>
        <v/>
      </c>
      <c r="T240" s="3" t="inlineStr">
        <is>
          <t>나는</t>
        </is>
      </c>
      <c r="U240" s="4" t="n">
        <v>1</v>
      </c>
      <c r="V240" s="5" t="n">
        <v>100.5</v>
      </c>
      <c r="W240" s="4" t="n">
        <v>2386</v>
      </c>
      <c r="X240" s="3" t="inlineStr">
        <is>
          <t>대장없음</t>
        </is>
      </c>
      <c r="Y240" s="7" t="inlineStr">
        <is>
          <t>대장없음</t>
        </is>
      </c>
      <c r="Z240" s="3" t="inlineStr">
        <is>
          <t>대장없음</t>
        </is>
      </c>
      <c r="AA240" s="3" t="inlineStr">
        <is>
          <t>대장없음</t>
        </is>
      </c>
      <c r="AB240" s="3" t="inlineStr">
        <is>
          <t>대장없음</t>
        </is>
      </c>
      <c r="AC240" s="3" t="inlineStr">
        <is>
          <t>대장없음</t>
        </is>
      </c>
      <c r="AD240" s="3" t="inlineStr">
        <is>
          <t>소로한면</t>
        </is>
      </c>
    </row>
    <row r="241">
      <c r="A241" s="3" t="inlineStr">
        <is>
          <t>남이면 석실리 7-4</t>
        </is>
      </c>
      <c r="B241" s="3" t="inlineStr">
        <is>
          <t>자연녹지지역</t>
        </is>
      </c>
      <c r="C241" s="3" t="inlineStr">
        <is>
          <t>공장용지</t>
        </is>
      </c>
      <c r="D241" s="3" t="inlineStr">
        <is>
          <t>공장</t>
        </is>
      </c>
      <c r="E241" s="3" t="inlineStr">
        <is>
          <t>월세</t>
        </is>
      </c>
      <c r="F241" s="4" t="n">
        <v>5000</v>
      </c>
      <c r="G241" s="4" t="n">
        <v>300</v>
      </c>
      <c r="H241" s="4" t="n">
        <v>2386</v>
      </c>
      <c r="I241" s="4" t="n">
        <v>722</v>
      </c>
      <c r="J241" s="5" t="n">
        <v>0.4</v>
      </c>
      <c r="K241" s="4" t="n">
        <v>392</v>
      </c>
      <c r="L241" s="4" t="n">
        <v>119</v>
      </c>
      <c r="M241" s="5" t="n">
        <v>2.5</v>
      </c>
      <c r="N241" s="3" t="inlineStr">
        <is>
          <t>1</t>
        </is>
      </c>
      <c r="O241" s="3" t="inlineStr">
        <is>
          <t>-</t>
        </is>
      </c>
      <c r="P241" s="3" t="inlineStr">
        <is>
          <t>석곡회전교차로 가까운 위치, 대형 차량 진출입 용이, 120형 임대</t>
        </is>
      </c>
      <c r="Q241" s="6">
        <f>HYPERLINK("https://fin.land.naver.com/articles/2651805707", "매물Link")</f>
        <v/>
      </c>
      <c r="R241" s="6">
        <f>HYPERLINK("https://map.naver.com/p/search/남이면 석실리 7-4", "지도Link")</f>
        <v/>
      </c>
      <c r="S241" s="6">
        <f>HYPERLINK("http://www.eum.go.kr/web/ar/lu/luLandDet.jsp?pnu=4311231033100070004&amp;isNoScr=script&amp;mode=search", "토지이음")</f>
        <v/>
      </c>
      <c r="T241" s="3" t="inlineStr">
        <is>
          <t>태성</t>
        </is>
      </c>
      <c r="U241" s="4" t="n">
        <v>1</v>
      </c>
      <c r="V241" s="5" t="n">
        <v>100.5</v>
      </c>
      <c r="W241" s="4" t="n">
        <v>2386</v>
      </c>
      <c r="X241" s="3" t="inlineStr">
        <is>
          <t>대장없음</t>
        </is>
      </c>
      <c r="Y241" s="7" t="inlineStr">
        <is>
          <t>대장없음</t>
        </is>
      </c>
      <c r="Z241" s="3" t="inlineStr">
        <is>
          <t>대장없음</t>
        </is>
      </c>
      <c r="AA241" s="3" t="inlineStr">
        <is>
          <t>대장없음</t>
        </is>
      </c>
      <c r="AB241" s="3" t="inlineStr">
        <is>
          <t>대장없음</t>
        </is>
      </c>
      <c r="AC241" s="3" t="inlineStr">
        <is>
          <t>대장없음</t>
        </is>
      </c>
      <c r="AD241" s="3" t="inlineStr">
        <is>
          <t>소로한면</t>
        </is>
      </c>
    </row>
    <row r="242">
      <c r="A242" s="3" t="inlineStr">
        <is>
          <t>남이면 석판리 131-3</t>
        </is>
      </c>
      <c r="B242" s="3" t="inlineStr">
        <is>
          <t>자연녹지지역</t>
        </is>
      </c>
      <c r="C242" s="3" t="inlineStr">
        <is>
          <t>잡종지</t>
        </is>
      </c>
      <c r="D242" s="3" t="inlineStr">
        <is>
          <t>기타</t>
        </is>
      </c>
      <c r="E242" s="3" t="inlineStr">
        <is>
          <t>매매</t>
        </is>
      </c>
      <c r="F242" s="4" t="n">
        <v>280000</v>
      </c>
      <c r="G242" s="4" t="n">
        <v>0</v>
      </c>
      <c r="H242" s="4" t="n">
        <v>2725</v>
      </c>
      <c r="I242" s="4" t="n">
        <v>824</v>
      </c>
      <c r="J242" s="5" t="n">
        <v>339.8</v>
      </c>
      <c r="K242" s="4" t="n">
        <v>350</v>
      </c>
      <c r="L242" s="4" t="n">
        <v>106</v>
      </c>
      <c r="M242" s="5" t="n">
        <v>2641.5</v>
      </c>
      <c r="N242" s="3" t="inlineStr">
        <is>
          <t>1</t>
        </is>
      </c>
      <c r="O242" s="3" t="inlineStr">
        <is>
          <t>B1</t>
        </is>
      </c>
      <c r="P242" s="3" t="inlineStr">
        <is>
          <t>2차선 도로접, 시내접근성 우수, 4차선도로완공시 지가상승 기대</t>
        </is>
      </c>
      <c r="Q242" s="6">
        <f>HYPERLINK("https://fin.land.naver.com/articles/2649886887", "매물Link")</f>
        <v/>
      </c>
      <c r="R242" s="6">
        <f>HYPERLINK("https://map.naver.com/p/search/남이면 석판리 131-3", "지도Link")</f>
        <v/>
      </c>
      <c r="S242" s="6">
        <f>HYPERLINK("http://www.eum.go.kr/web/ar/lu/luLandDet.jsp?pnu=4311231034101310003&amp;isNoScr=script&amp;mode=search", "토지이음")</f>
        <v/>
      </c>
      <c r="T242" s="3" t="inlineStr">
        <is>
          <t>플러스자이합동</t>
        </is>
      </c>
      <c r="U242" s="4" t="n">
        <v>1</v>
      </c>
      <c r="V242" s="5" t="n">
        <v>105.8</v>
      </c>
      <c r="W242" s="4" t="n">
        <v>2223</v>
      </c>
      <c r="X242" s="3" t="inlineStr">
        <is>
          <t>대장없음</t>
        </is>
      </c>
      <c r="Y242" s="7" t="inlineStr">
        <is>
          <t>대장없음</t>
        </is>
      </c>
      <c r="Z242" s="3" t="inlineStr">
        <is>
          <t>대장없음</t>
        </is>
      </c>
      <c r="AA242" s="3" t="inlineStr">
        <is>
          <t>대장없음</t>
        </is>
      </c>
      <c r="AB242" s="3" t="inlineStr">
        <is>
          <t>대장없음</t>
        </is>
      </c>
      <c r="AC242" s="3" t="inlineStr">
        <is>
          <t>대장없음</t>
        </is>
      </c>
      <c r="AD242" s="3" t="inlineStr">
        <is>
          <t>세로한면(가)</t>
        </is>
      </c>
    </row>
    <row r="243">
      <c r="A243" s="3" t="inlineStr">
        <is>
          <t>남이면 석판리 36</t>
        </is>
      </c>
      <c r="B243" s="3" t="inlineStr">
        <is>
          <t>자연녹지지역</t>
        </is>
      </c>
      <c r="C243" s="3" t="inlineStr">
        <is>
          <t>대</t>
        </is>
      </c>
      <c r="D243" s="3" t="inlineStr">
        <is>
          <t>창고</t>
        </is>
      </c>
      <c r="E243" s="3" t="inlineStr">
        <is>
          <t>월세</t>
        </is>
      </c>
      <c r="F243" s="4" t="n">
        <v>3000</v>
      </c>
      <c r="G243" s="4" t="n">
        <v>200</v>
      </c>
      <c r="H243" s="4" t="n">
        <v>2953</v>
      </c>
      <c r="I243" s="4" t="n">
        <v>893</v>
      </c>
      <c r="J243" s="5" t="n">
        <v>0.2</v>
      </c>
      <c r="K243" s="4" t="n">
        <v>264</v>
      </c>
      <c r="L243" s="4" t="n">
        <v>80</v>
      </c>
      <c r="M243" s="5" t="n">
        <v>2.5</v>
      </c>
      <c r="N243" s="3" t="inlineStr">
        <is>
          <t>1</t>
        </is>
      </c>
      <c r="O243" s="3" t="inlineStr">
        <is>
          <t>-</t>
        </is>
      </c>
      <c r="P243" s="3" t="inlineStr">
        <is>
          <t>건물 80형 공장 창고 건물</t>
        </is>
      </c>
      <c r="Q243" s="6">
        <f>HYPERLINK("https://fin.land.naver.com/articles/2650897401", "매물Link")</f>
        <v/>
      </c>
      <c r="R243" s="6">
        <f>HYPERLINK("https://map.naver.com/p/search/남이면 석판리 36", "지도Link")</f>
        <v/>
      </c>
      <c r="S243" s="6">
        <f>HYPERLINK("http://www.eum.go.kr/web/ar/lu/luLandDet.jsp?pnu=4311231034100360000&amp;isNoScr=script&amp;mode=search", "토지이음")</f>
        <v/>
      </c>
      <c r="T243" s="3" t="inlineStr">
        <is>
          <t>위더스</t>
        </is>
      </c>
      <c r="U243" s="4" t="n">
        <v>1</v>
      </c>
      <c r="V243" s="5" t="n">
        <v>120.8</v>
      </c>
      <c r="W243" s="4" t="n">
        <v>2813</v>
      </c>
      <c r="X243" s="3" t="inlineStr">
        <is>
          <t>대장없음</t>
        </is>
      </c>
      <c r="Y243" s="7" t="inlineStr">
        <is>
          <t>대장없음</t>
        </is>
      </c>
      <c r="Z243" s="3" t="inlineStr">
        <is>
          <t>대장없음</t>
        </is>
      </c>
      <c r="AA243" s="3" t="inlineStr">
        <is>
          <t>대장없음</t>
        </is>
      </c>
      <c r="AB243" s="3" t="inlineStr">
        <is>
          <t>대장없음</t>
        </is>
      </c>
      <c r="AC243" s="3" t="inlineStr">
        <is>
          <t>대장없음</t>
        </is>
      </c>
      <c r="AD243" s="3" t="inlineStr">
        <is>
          <t>세로한면(가)</t>
        </is>
      </c>
    </row>
    <row r="244">
      <c r="A244" s="3" t="inlineStr">
        <is>
          <t>남이면 석판리 36</t>
        </is>
      </c>
      <c r="B244" s="3" t="inlineStr">
        <is>
          <t>자연녹지지역</t>
        </is>
      </c>
      <c r="C244" s="3" t="inlineStr">
        <is>
          <t>대</t>
        </is>
      </c>
      <c r="D244" s="3" t="inlineStr">
        <is>
          <t>창고</t>
        </is>
      </c>
      <c r="E244" s="3" t="inlineStr">
        <is>
          <t>월세</t>
        </is>
      </c>
      <c r="F244" s="4" t="n">
        <v>3000</v>
      </c>
      <c r="G244" s="4" t="n">
        <v>200</v>
      </c>
      <c r="H244" s="4" t="n">
        <v>2953</v>
      </c>
      <c r="I244" s="4" t="n">
        <v>893</v>
      </c>
      <c r="J244" s="5" t="n">
        <v>0.2</v>
      </c>
      <c r="K244" s="4" t="n">
        <v>264</v>
      </c>
      <c r="L244" s="4" t="n">
        <v>80</v>
      </c>
      <c r="M244" s="5" t="n">
        <v>2.5</v>
      </c>
      <c r="N244" s="3" t="inlineStr">
        <is>
          <t>1</t>
        </is>
      </c>
      <c r="O244" s="3" t="inlineStr">
        <is>
          <t>-</t>
        </is>
      </c>
      <c r="P244" s="3" t="inlineStr">
        <is>
          <t>외부사진 有, 석판분기점 인근으로 3순환로 이용 편함, 마당 넓음</t>
        </is>
      </c>
      <c r="Q244" s="6">
        <f>HYPERLINK("https://fin.land.naver.com/articles/2650896451", "매물Link")</f>
        <v/>
      </c>
      <c r="R244" s="6">
        <f>HYPERLINK("https://map.naver.com/p/search/남이면 석판리 36", "지도Link")</f>
        <v/>
      </c>
      <c r="S244" s="6">
        <f>HYPERLINK("http://www.eum.go.kr/web/ar/lu/luLandDet.jsp?pnu=4311231034100360000&amp;isNoScr=script&amp;mode=search", "토지이음")</f>
        <v/>
      </c>
      <c r="T244" s="3" t="inlineStr">
        <is>
          <t>태성</t>
        </is>
      </c>
      <c r="U244" s="4" t="n">
        <v>1</v>
      </c>
      <c r="V244" s="5" t="n">
        <v>120.8</v>
      </c>
      <c r="W244" s="4" t="n">
        <v>2813</v>
      </c>
      <c r="X244" s="3" t="inlineStr">
        <is>
          <t>대장없음</t>
        </is>
      </c>
      <c r="Y244" s="7" t="inlineStr">
        <is>
          <t>대장없음</t>
        </is>
      </c>
      <c r="Z244" s="3" t="inlineStr">
        <is>
          <t>대장없음</t>
        </is>
      </c>
      <c r="AA244" s="3" t="inlineStr">
        <is>
          <t>대장없음</t>
        </is>
      </c>
      <c r="AB244" s="3" t="inlineStr">
        <is>
          <t>대장없음</t>
        </is>
      </c>
      <c r="AC244" s="3" t="inlineStr">
        <is>
          <t>대장없음</t>
        </is>
      </c>
      <c r="AD244" s="3" t="inlineStr">
        <is>
          <t>세로한면(가)</t>
        </is>
      </c>
    </row>
    <row r="245">
      <c r="A245" s="3" t="inlineStr">
        <is>
          <t>남이면 석판리 36-2</t>
        </is>
      </c>
      <c r="B245" s="3" t="inlineStr">
        <is>
          <t>자연녹지지역</t>
        </is>
      </c>
      <c r="C245" s="3" t="inlineStr">
        <is>
          <t>대</t>
        </is>
      </c>
      <c r="D245" s="3" t="inlineStr">
        <is>
          <t>공장</t>
        </is>
      </c>
      <c r="E245" s="3" t="inlineStr">
        <is>
          <t>월세</t>
        </is>
      </c>
      <c r="F245" s="4" t="n">
        <v>3000</v>
      </c>
      <c r="G245" s="4" t="n">
        <v>190</v>
      </c>
      <c r="H245" s="4" t="n">
        <v>4934</v>
      </c>
      <c r="I245" s="4" t="n">
        <v>1493</v>
      </c>
      <c r="J245" s="5" t="n">
        <v>0.1</v>
      </c>
      <c r="K245" s="4" t="n">
        <v>242</v>
      </c>
      <c r="L245" s="4" t="n">
        <v>73</v>
      </c>
      <c r="M245" s="5" t="n">
        <v>2.6</v>
      </c>
      <c r="N245" s="3" t="inlineStr">
        <is>
          <t>1</t>
        </is>
      </c>
      <c r="O245" s="3" t="inlineStr">
        <is>
          <t>-</t>
        </is>
      </c>
      <c r="P245" s="3" t="inlineStr">
        <is>
          <t>사진有 공장 임대</t>
        </is>
      </c>
      <c r="Q245" s="6">
        <f>HYPERLINK("https://fin.land.naver.com/articles/2653028230", "매물Link")</f>
        <v/>
      </c>
      <c r="R245" s="6">
        <f>HYPERLINK("https://map.naver.com/p/search/남이면 석판리 36-2", "지도Link")</f>
        <v/>
      </c>
      <c r="S245" s="6">
        <f>HYPERLINK("http://www.eum.go.kr/web/ar/lu/luLandDet.jsp?pnu=4311231034100360002&amp;isNoScr=script&amp;mode=search", "토지이음")</f>
        <v/>
      </c>
      <c r="T245" s="3" t="inlineStr">
        <is>
          <t>월드</t>
        </is>
      </c>
      <c r="U245" s="4" t="n">
        <v>1</v>
      </c>
      <c r="V245" s="5" t="n">
        <v>92.7</v>
      </c>
      <c r="W245" s="4" t="n">
        <v>4618</v>
      </c>
      <c r="X245" s="3" t="inlineStr">
        <is>
          <t>대장없음</t>
        </is>
      </c>
      <c r="Y245" s="7" t="inlineStr">
        <is>
          <t>대장없음</t>
        </is>
      </c>
      <c r="Z245" s="3" t="inlineStr">
        <is>
          <t>대장없음</t>
        </is>
      </c>
      <c r="AA245" s="3" t="inlineStr">
        <is>
          <t>대장없음</t>
        </is>
      </c>
      <c r="AB245" s="3" t="inlineStr">
        <is>
          <t>대장없음</t>
        </is>
      </c>
      <c r="AC245" s="3" t="inlineStr">
        <is>
          <t>대장없음</t>
        </is>
      </c>
      <c r="AD245" s="3" t="inlineStr">
        <is>
          <t>세로한면(가)</t>
        </is>
      </c>
    </row>
    <row r="246">
      <c r="A246" s="3" t="inlineStr">
        <is>
          <t>남이면 양촌리 123-1</t>
        </is>
      </c>
      <c r="B246" s="3" t="inlineStr">
        <is>
          <t>자연녹지지역</t>
        </is>
      </c>
      <c r="C246" s="3" t="inlineStr">
        <is>
          <t>대</t>
        </is>
      </c>
      <c r="D246" s="3" t="inlineStr">
        <is>
          <t>공장</t>
        </is>
      </c>
      <c r="E246" s="3" t="inlineStr">
        <is>
          <t>월세</t>
        </is>
      </c>
      <c r="F246" s="4" t="n">
        <v>2000</v>
      </c>
      <c r="G246" s="4" t="n">
        <v>200</v>
      </c>
      <c r="H246" s="4" t="n">
        <v>2026</v>
      </c>
      <c r="I246" s="4" t="n">
        <v>613</v>
      </c>
      <c r="J246" s="5" t="n">
        <v>0.3</v>
      </c>
      <c r="K246" s="4" t="n">
        <v>190</v>
      </c>
      <c r="L246" s="4" t="n">
        <v>57</v>
      </c>
      <c r="M246" s="5" t="n">
        <v>3.5</v>
      </c>
      <c r="N246" s="3" t="inlineStr">
        <is>
          <t>1</t>
        </is>
      </c>
      <c r="O246" s="3" t="inlineStr">
        <is>
          <t>-</t>
        </is>
      </c>
      <c r="P246" s="3" t="inlineStr">
        <is>
          <t>사진有 공장 임대</t>
        </is>
      </c>
      <c r="Q246" s="6">
        <f>HYPERLINK("https://fin.land.naver.com/articles/2653027917", "매물Link")</f>
        <v/>
      </c>
      <c r="R246" s="6">
        <f>HYPERLINK("https://map.naver.com/p/search/남이면 양촌리 123-1", "지도Link")</f>
        <v/>
      </c>
      <c r="S246" s="6">
        <f>HYPERLINK("http://www.eum.go.kr/web/ar/lu/luLandDet.jsp?pnu=4311231037101230001&amp;isNoScr=script&amp;mode=search", "토지이음")</f>
        <v/>
      </c>
      <c r="T246" s="3" t="inlineStr">
        <is>
          <t>월드</t>
        </is>
      </c>
      <c r="U246" s="4" t="n">
        <v>1</v>
      </c>
      <c r="V246" s="5" t="n">
        <v>84.8</v>
      </c>
      <c r="W246" s="4" t="n">
        <v>2026</v>
      </c>
      <c r="X246" s="3" t="inlineStr">
        <is>
          <t>대장없음</t>
        </is>
      </c>
      <c r="Y246" s="7" t="inlineStr">
        <is>
          <t>대장없음</t>
        </is>
      </c>
      <c r="Z246" s="3" t="inlineStr">
        <is>
          <t>대장없음</t>
        </is>
      </c>
      <c r="AA246" s="3" t="inlineStr">
        <is>
          <t>대장없음</t>
        </is>
      </c>
      <c r="AB246" s="3" t="inlineStr">
        <is>
          <t>대장없음</t>
        </is>
      </c>
      <c r="AC246" s="3" t="inlineStr">
        <is>
          <t>대장없음</t>
        </is>
      </c>
      <c r="AD246" s="3" t="inlineStr">
        <is>
          <t>세로한면(가)</t>
        </is>
      </c>
    </row>
    <row r="247">
      <c r="A247" s="3" t="inlineStr">
        <is>
          <t>남이면 양촌리 271</t>
        </is>
      </c>
      <c r="B247" s="3" t="inlineStr">
        <is>
          <t>자연녹지지역</t>
        </is>
      </c>
      <c r="C247" s="3" t="inlineStr">
        <is>
          <t>창고용지</t>
        </is>
      </c>
      <c r="D247" s="3" t="inlineStr">
        <is>
          <t>창고</t>
        </is>
      </c>
      <c r="E247" s="3" t="inlineStr">
        <is>
          <t>월세</t>
        </is>
      </c>
      <c r="F247" s="4" t="n">
        <v>1500</v>
      </c>
      <c r="G247" s="4" t="n">
        <v>80</v>
      </c>
      <c r="H247" s="4" t="n">
        <v>2190</v>
      </c>
      <c r="I247" s="4" t="n">
        <v>662</v>
      </c>
      <c r="J247" s="5" t="n">
        <v>0.1</v>
      </c>
      <c r="K247" s="4" t="n">
        <v>100</v>
      </c>
      <c r="L247" s="4" t="n">
        <v>30</v>
      </c>
      <c r="M247" s="5" t="n">
        <v>2.7</v>
      </c>
      <c r="N247" s="3" t="inlineStr">
        <is>
          <t>1</t>
        </is>
      </c>
      <c r="O247" s="3" t="inlineStr">
        <is>
          <t>B1</t>
        </is>
      </c>
      <c r="P247" s="3" t="inlineStr">
        <is>
          <t>양촌리창고임대입주빠름</t>
        </is>
      </c>
      <c r="Q247" s="6">
        <f>HYPERLINK("https://fin.land.naver.com/articles/2653086432", "매물Link")</f>
        <v/>
      </c>
      <c r="R247" s="6">
        <f>HYPERLINK("https://map.naver.com/p/search/남이면 양촌리 271", "지도Link")</f>
        <v/>
      </c>
      <c r="S247" s="6">
        <f>HYPERLINK("http://www.eum.go.kr/web/ar/lu/luLandDet.jsp?pnu=4311231037102710000&amp;isNoScr=script&amp;mode=search", "토지이음")</f>
        <v/>
      </c>
      <c r="T247" s="3" t="inlineStr">
        <is>
          <t>더큰</t>
        </is>
      </c>
      <c r="U247" s="4" t="n">
        <v>1</v>
      </c>
      <c r="V247" s="5" t="n">
        <v>98.7</v>
      </c>
      <c r="W247" s="4" t="n">
        <v>2190</v>
      </c>
      <c r="X247" s="3" t="inlineStr">
        <is>
          <t>대장없음</t>
        </is>
      </c>
      <c r="Y247" s="7" t="inlineStr">
        <is>
          <t>대장없음</t>
        </is>
      </c>
      <c r="Z247" s="3" t="inlineStr">
        <is>
          <t>대장없음</t>
        </is>
      </c>
      <c r="AA247" s="3" t="inlineStr">
        <is>
          <t>대장없음</t>
        </is>
      </c>
      <c r="AB247" s="3" t="inlineStr">
        <is>
          <t>대장없음</t>
        </is>
      </c>
      <c r="AC247" s="3" t="inlineStr">
        <is>
          <t>대장없음</t>
        </is>
      </c>
      <c r="AD247" s="3" t="inlineStr">
        <is>
          <t>세로한면(가)</t>
        </is>
      </c>
    </row>
    <row r="248">
      <c r="A248" s="3" t="inlineStr">
        <is>
          <t>남이면 외천리 127</t>
        </is>
      </c>
      <c r="B248" s="3" t="inlineStr">
        <is>
          <t>계획관리지역</t>
        </is>
      </c>
      <c r="C248" s="3" t="inlineStr">
        <is>
          <t>공장용지</t>
        </is>
      </c>
      <c r="D248" s="3" t="inlineStr">
        <is>
          <t>공장</t>
        </is>
      </c>
      <c r="E248" s="3" t="inlineStr">
        <is>
          <t>월세</t>
        </is>
      </c>
      <c r="F248" s="4" t="n">
        <v>17000</v>
      </c>
      <c r="G248" s="4" t="n">
        <v>1720</v>
      </c>
      <c r="H248" s="4" t="n">
        <v>4155</v>
      </c>
      <c r="I248" s="4" t="n">
        <v>1257</v>
      </c>
      <c r="J248" s="5" t="n">
        <v>1.4</v>
      </c>
      <c r="K248" s="4" t="n">
        <v>2148</v>
      </c>
      <c r="L248" s="4" t="n">
        <v>650</v>
      </c>
      <c r="M248" s="5" t="n">
        <v>2.6</v>
      </c>
      <c r="N248" s="3" t="inlineStr">
        <is>
          <t>2</t>
        </is>
      </c>
      <c r="O248" s="3" t="inlineStr">
        <is>
          <t>B1</t>
        </is>
      </c>
      <c r="P248" s="3" t="inlineStr">
        <is>
          <t>사진有 저온창고 임대</t>
        </is>
      </c>
      <c r="Q248" s="6">
        <f>HYPERLINK("https://fin.land.naver.com/articles/2653029028", "매물Link")</f>
        <v/>
      </c>
      <c r="R248" s="6">
        <f>HYPERLINK("https://map.naver.com/p/search/남이면 외천리 127", "지도Link")</f>
        <v/>
      </c>
      <c r="S248" s="6">
        <f>HYPERLINK("http://www.eum.go.kr/web/ar/lu/luLandDet.jsp?pnu=4311231022101270000&amp;isNoScr=script&amp;mode=search", "토지이음")</f>
        <v/>
      </c>
      <c r="T248" s="3" t="inlineStr">
        <is>
          <t>월드</t>
        </is>
      </c>
      <c r="U248" s="4" t="n">
        <v>1</v>
      </c>
      <c r="V248" s="5" t="n">
        <v>102.5</v>
      </c>
      <c r="W248" s="4" t="n">
        <v>1088</v>
      </c>
      <c r="X248" s="3" t="inlineStr">
        <is>
          <t>대장없음</t>
        </is>
      </c>
      <c r="Y248" s="7" t="inlineStr">
        <is>
          <t>대장없음</t>
        </is>
      </c>
      <c r="Z248" s="3" t="inlineStr">
        <is>
          <t>대장없음</t>
        </is>
      </c>
      <c r="AA248" s="3" t="inlineStr">
        <is>
          <t>대장없음</t>
        </is>
      </c>
      <c r="AB248" s="3" t="inlineStr">
        <is>
          <t>대장없음</t>
        </is>
      </c>
      <c r="AC248" s="3" t="inlineStr">
        <is>
          <t>대장없음</t>
        </is>
      </c>
      <c r="AD248" s="3" t="inlineStr">
        <is>
          <t>소로한면</t>
        </is>
      </c>
    </row>
    <row r="249">
      <c r="A249" s="3" t="inlineStr">
        <is>
          <t>남이면 외천리 127</t>
        </is>
      </c>
      <c r="B249" s="3" t="inlineStr">
        <is>
          <t>계획관리지역</t>
        </is>
      </c>
      <c r="C249" s="3" t="inlineStr">
        <is>
          <t>공장용지</t>
        </is>
      </c>
      <c r="D249" s="3" t="inlineStr">
        <is>
          <t>공장</t>
        </is>
      </c>
      <c r="E249" s="3" t="inlineStr">
        <is>
          <t>월세</t>
        </is>
      </c>
      <c r="F249" s="4" t="n">
        <v>17000</v>
      </c>
      <c r="G249" s="4" t="n">
        <v>1720</v>
      </c>
      <c r="H249" s="4" t="n">
        <v>4155</v>
      </c>
      <c r="I249" s="4" t="n">
        <v>1257</v>
      </c>
      <c r="J249" s="5" t="n">
        <v>1.4</v>
      </c>
      <c r="K249" s="4" t="n">
        <v>2148</v>
      </c>
      <c r="L249" s="4" t="n">
        <v>650</v>
      </c>
      <c r="M249" s="5" t="n">
        <v>2.6</v>
      </c>
      <c r="N249" s="3" t="inlineStr">
        <is>
          <t>2</t>
        </is>
      </c>
      <c r="O249" s="3" t="inlineStr">
        <is>
          <t>B1</t>
        </is>
      </c>
      <c r="P249" s="3" t="inlineStr">
        <is>
          <t>남청주IC인근 냉장냉동 시설완비된 물류창고임대 대로변에 접함 진출입용이</t>
        </is>
      </c>
      <c r="Q249" s="6">
        <f>HYPERLINK("https://fin.land.naver.com/articles/2651986329", "매물Link")</f>
        <v/>
      </c>
      <c r="R249" s="6">
        <f>HYPERLINK("https://map.naver.com/p/search/남이면 외천리 127", "지도Link")</f>
        <v/>
      </c>
      <c r="S249" s="6">
        <f>HYPERLINK("http://www.eum.go.kr/web/ar/lu/luLandDet.jsp?pnu=4311231022101270000&amp;isNoScr=script&amp;mode=search", "토지이음")</f>
        <v/>
      </c>
      <c r="T249" s="3" t="inlineStr">
        <is>
          <t>태광</t>
        </is>
      </c>
      <c r="U249" s="4" t="n">
        <v>1</v>
      </c>
      <c r="V249" s="5" t="n">
        <v>102.5</v>
      </c>
      <c r="W249" s="4" t="n">
        <v>1088</v>
      </c>
      <c r="X249" s="3" t="inlineStr">
        <is>
          <t>대장없음</t>
        </is>
      </c>
      <c r="Y249" s="7" t="inlineStr">
        <is>
          <t>대장없음</t>
        </is>
      </c>
      <c r="Z249" s="3" t="inlineStr">
        <is>
          <t>대장없음</t>
        </is>
      </c>
      <c r="AA249" s="3" t="inlineStr">
        <is>
          <t>대장없음</t>
        </is>
      </c>
      <c r="AB249" s="3" t="inlineStr">
        <is>
          <t>대장없음</t>
        </is>
      </c>
      <c r="AC249" s="3" t="inlineStr">
        <is>
          <t>대장없음</t>
        </is>
      </c>
      <c r="AD249" s="3" t="inlineStr">
        <is>
          <t>소로한면</t>
        </is>
      </c>
    </row>
    <row r="250">
      <c r="A250" s="3" t="inlineStr">
        <is>
          <t>남이면 외천리 127</t>
        </is>
      </c>
      <c r="B250" s="3" t="inlineStr">
        <is>
          <t>계획관리지역</t>
        </is>
      </c>
      <c r="C250" s="3" t="inlineStr">
        <is>
          <t>공장용지</t>
        </is>
      </c>
      <c r="D250" s="3" t="inlineStr">
        <is>
          <t>공장</t>
        </is>
      </c>
      <c r="E250" s="3" t="inlineStr">
        <is>
          <t>매매</t>
        </is>
      </c>
      <c r="F250" s="4" t="n">
        <v>350000</v>
      </c>
      <c r="G250" s="4" t="n">
        <v>0</v>
      </c>
      <c r="H250" s="4" t="n">
        <v>4155</v>
      </c>
      <c r="I250" s="4" t="n">
        <v>1257</v>
      </c>
      <c r="J250" s="5" t="n">
        <v>278.4</v>
      </c>
      <c r="K250" s="4" t="n">
        <v>2148</v>
      </c>
      <c r="L250" s="4" t="n">
        <v>650</v>
      </c>
      <c r="M250" s="5" t="n">
        <v>538.5</v>
      </c>
      <c r="N250" s="3" t="inlineStr">
        <is>
          <t>2</t>
        </is>
      </c>
      <c r="O250" s="3" t="inlineStr">
        <is>
          <t>B1</t>
        </is>
      </c>
      <c r="P250" s="3" t="inlineStr">
        <is>
          <t>남청주IC 5분 공장용도 현 물류창고로 사용중 입주협의</t>
        </is>
      </c>
      <c r="Q250" s="6">
        <f>HYPERLINK("https://fin.land.naver.com/articles/2650949814", "매물Link")</f>
        <v/>
      </c>
      <c r="R250" s="6">
        <f>HYPERLINK("https://map.naver.com/p/search/남이면 외천리 127", "지도Link")</f>
        <v/>
      </c>
      <c r="S250" s="6">
        <f>HYPERLINK("http://www.eum.go.kr/web/ar/lu/luLandDet.jsp?pnu=4311231022101270000&amp;isNoScr=script&amp;mode=search", "토지이음")</f>
        <v/>
      </c>
      <c r="T250" s="3" t="inlineStr">
        <is>
          <t>더원</t>
        </is>
      </c>
      <c r="U250" s="4" t="n">
        <v>1</v>
      </c>
      <c r="V250" s="5" t="n">
        <v>102.5</v>
      </c>
      <c r="W250" s="4" t="n">
        <v>1088</v>
      </c>
      <c r="X250" s="3" t="inlineStr">
        <is>
          <t>대장없음</t>
        </is>
      </c>
      <c r="Y250" s="7" t="inlineStr">
        <is>
          <t>대장없음</t>
        </is>
      </c>
      <c r="Z250" s="3" t="inlineStr">
        <is>
          <t>대장없음</t>
        </is>
      </c>
      <c r="AA250" s="3" t="inlineStr">
        <is>
          <t>대장없음</t>
        </is>
      </c>
      <c r="AB250" s="3" t="inlineStr">
        <is>
          <t>대장없음</t>
        </is>
      </c>
      <c r="AC250" s="3" t="inlineStr">
        <is>
          <t>대장없음</t>
        </is>
      </c>
      <c r="AD250" s="3" t="inlineStr">
        <is>
          <t>소로한면</t>
        </is>
      </c>
    </row>
    <row r="251">
      <c r="A251" s="3" t="inlineStr">
        <is>
          <t>남이면 외천리 128-2</t>
        </is>
      </c>
      <c r="B251" s="3" t="inlineStr">
        <is>
          <t>계획관리지역</t>
        </is>
      </c>
      <c r="C251" s="3" t="inlineStr">
        <is>
          <t>공장용지</t>
        </is>
      </c>
      <c r="D251" s="3" t="inlineStr">
        <is>
          <t>공장</t>
        </is>
      </c>
      <c r="E251" s="3" t="inlineStr">
        <is>
          <t>월세</t>
        </is>
      </c>
      <c r="F251" s="4" t="n">
        <v>17000</v>
      </c>
      <c r="G251" s="4" t="n">
        <v>1720</v>
      </c>
      <c r="H251" s="4" t="n">
        <v>4155</v>
      </c>
      <c r="I251" s="4" t="n">
        <v>1257</v>
      </c>
      <c r="J251" s="5" t="n">
        <v>1.4</v>
      </c>
      <c r="K251" s="4" t="n">
        <v>2148</v>
      </c>
      <c r="L251" s="4" t="n">
        <v>650</v>
      </c>
      <c r="M251" s="5" t="n">
        <v>2.6</v>
      </c>
      <c r="N251" s="3" t="inlineStr">
        <is>
          <t>2</t>
        </is>
      </c>
      <c r="O251" s="3" t="inlineStr">
        <is>
          <t>B1</t>
        </is>
      </c>
      <c r="P251" s="3" t="inlineStr">
        <is>
          <t>도크시설과 냉동,냉장 설비 갖춘 대형물류창고 임대,대형차량 진출입 편리</t>
        </is>
      </c>
      <c r="Q251" s="6">
        <f>HYPERLINK("https://fin.land.naver.com/articles/2650942641", "매물Link")</f>
        <v/>
      </c>
      <c r="R251" s="6">
        <f>HYPERLINK("https://map.naver.com/p/search/남이면 외천리 128-2", "지도Link")</f>
        <v/>
      </c>
      <c r="S251" s="6">
        <f>HYPERLINK("http://www.eum.go.kr/web/ar/lu/luLandDet.jsp?pnu=4311231022101280002&amp;isNoScr=script&amp;mode=search", "토지이음")</f>
        <v/>
      </c>
      <c r="T251" s="3" t="inlineStr">
        <is>
          <t>금화랜드</t>
        </is>
      </c>
      <c r="U251" s="4" t="n">
        <v>1</v>
      </c>
      <c r="V251" s="5" t="n">
        <v>102.5</v>
      </c>
      <c r="W251" s="4" t="n">
        <v>725</v>
      </c>
      <c r="X251" s="3" t="inlineStr">
        <is>
          <t>대장없음</t>
        </is>
      </c>
      <c r="Y251" s="7" t="inlineStr">
        <is>
          <t>대장없음</t>
        </is>
      </c>
      <c r="Z251" s="3" t="inlineStr">
        <is>
          <t>대장없음</t>
        </is>
      </c>
      <c r="AA251" s="3" t="inlineStr">
        <is>
          <t>대장없음</t>
        </is>
      </c>
      <c r="AB251" s="3" t="inlineStr">
        <is>
          <t>대장없음</t>
        </is>
      </c>
      <c r="AC251" s="3" t="inlineStr">
        <is>
          <t>대장없음</t>
        </is>
      </c>
      <c r="AD251" s="3" t="inlineStr">
        <is>
          <t>소로한면</t>
        </is>
      </c>
    </row>
    <row r="252">
      <c r="A252" s="3" t="inlineStr">
        <is>
          <t>남이면 외천리 128-2</t>
        </is>
      </c>
      <c r="B252" s="3" t="inlineStr">
        <is>
          <t>계획관리지역</t>
        </is>
      </c>
      <c r="C252" s="3" t="inlineStr">
        <is>
          <t>공장용지</t>
        </is>
      </c>
      <c r="D252" s="3" t="inlineStr">
        <is>
          <t>공장</t>
        </is>
      </c>
      <c r="E252" s="3" t="inlineStr">
        <is>
          <t>매매</t>
        </is>
      </c>
      <c r="F252" s="4" t="n">
        <v>350000</v>
      </c>
      <c r="G252" s="4" t="n">
        <v>0</v>
      </c>
      <c r="H252" s="4" t="n">
        <v>4155</v>
      </c>
      <c r="I252" s="4" t="n">
        <v>1257</v>
      </c>
      <c r="J252" s="5" t="n">
        <v>278.4</v>
      </c>
      <c r="K252" s="4" t="n">
        <v>2148</v>
      </c>
      <c r="L252" s="4" t="n">
        <v>650</v>
      </c>
      <c r="M252" s="5" t="n">
        <v>538.5</v>
      </c>
      <c r="N252" s="3" t="inlineStr">
        <is>
          <t>2</t>
        </is>
      </c>
      <c r="O252" s="3" t="inlineStr">
        <is>
          <t>B1</t>
        </is>
      </c>
      <c r="P252" s="3" t="inlineStr">
        <is>
          <t>4차선 도로접하고 도크시설 완비된 층고 높은공장,  냉동,냉장창고</t>
        </is>
      </c>
      <c r="Q252" s="6">
        <f>HYPERLINK("https://fin.land.naver.com/articles/2653660401", "매물Link")</f>
        <v/>
      </c>
      <c r="R252" s="6">
        <f>HYPERLINK("https://map.naver.com/p/search/남이면 외천리 128-2", "지도Link")</f>
        <v/>
      </c>
      <c r="S252" s="6">
        <f>HYPERLINK("http://www.eum.go.kr/web/ar/lu/luLandDet.jsp?pnu=4311231022101280002&amp;isNoScr=script&amp;mode=search", "토지이음")</f>
        <v/>
      </c>
      <c r="T252" s="3" t="inlineStr">
        <is>
          <t>(주)미르</t>
        </is>
      </c>
      <c r="U252" s="4" t="n">
        <v>2</v>
      </c>
      <c r="V252" s="5" t="n">
        <v>102.5</v>
      </c>
      <c r="W252" s="4" t="n">
        <v>725</v>
      </c>
      <c r="X252" s="3" t="inlineStr">
        <is>
          <t>대장없음</t>
        </is>
      </c>
      <c r="Y252" s="7" t="inlineStr">
        <is>
          <t>대장없음</t>
        </is>
      </c>
      <c r="Z252" s="3" t="inlineStr">
        <is>
          <t>대장없음</t>
        </is>
      </c>
      <c r="AA252" s="3" t="inlineStr">
        <is>
          <t>대장없음</t>
        </is>
      </c>
      <c r="AB252" s="3" t="inlineStr">
        <is>
          <t>대장없음</t>
        </is>
      </c>
      <c r="AC252" s="3" t="inlineStr">
        <is>
          <t>대장없음</t>
        </is>
      </c>
      <c r="AD252" s="3" t="inlineStr">
        <is>
          <t>소로한면</t>
        </is>
      </c>
    </row>
    <row r="253">
      <c r="A253" s="3" t="inlineStr">
        <is>
          <t>남이면 외천리 171-1</t>
        </is>
      </c>
      <c r="B253" s="3" t="inlineStr">
        <is>
          <t>계획관리지역</t>
        </is>
      </c>
      <c r="C253" s="3" t="inlineStr">
        <is>
          <t>대</t>
        </is>
      </c>
      <c r="D253" s="3" t="inlineStr">
        <is>
          <t>공장</t>
        </is>
      </c>
      <c r="E253" s="3" t="inlineStr">
        <is>
          <t>월세</t>
        </is>
      </c>
      <c r="F253" s="4" t="n">
        <v>1000</v>
      </c>
      <c r="G253" s="4" t="n">
        <v>250</v>
      </c>
      <c r="H253" s="4" t="n">
        <v>433</v>
      </c>
      <c r="I253" s="4" t="n">
        <v>131</v>
      </c>
      <c r="J253" s="5" t="n">
        <v>1.9</v>
      </c>
      <c r="K253" s="4" t="n">
        <v>433</v>
      </c>
      <c r="L253" s="4" t="n">
        <v>131</v>
      </c>
      <c r="M253" s="5" t="n">
        <v>1.9</v>
      </c>
      <c r="N253" s="3" t="inlineStr">
        <is>
          <t>2</t>
        </is>
      </c>
      <c r="O253" s="3" t="inlineStr">
        <is>
          <t>-</t>
        </is>
      </c>
      <c r="P253" s="3" t="inlineStr">
        <is>
          <t>가구점  물류창고 최적지  남이면 외천리 상가 월세 매물</t>
        </is>
      </c>
      <c r="Q253" s="6">
        <f>HYPERLINK("https://fin.land.naver.com/articles/2650110955", "매물Link")</f>
        <v/>
      </c>
      <c r="R253" s="6">
        <f>HYPERLINK("https://map.naver.com/p/search/남이면 외천리 171-1", "지도Link")</f>
        <v/>
      </c>
      <c r="S253" s="6">
        <f>HYPERLINK("http://www.eum.go.kr/web/ar/lu/luLandDet.jsp?pnu=4311231022101710001&amp;isNoScr=script&amp;mode=search", "토지이음")</f>
        <v/>
      </c>
      <c r="T253" s="3" t="inlineStr">
        <is>
          <t>엔터</t>
        </is>
      </c>
      <c r="U253" s="4" t="n">
        <v>1</v>
      </c>
      <c r="V253" s="5" t="n">
        <v>122.7</v>
      </c>
      <c r="W253" s="4" t="n">
        <v>836</v>
      </c>
      <c r="X253" s="3" t="inlineStr">
        <is>
          <t>대장없음</t>
        </is>
      </c>
      <c r="Y253" s="7" t="inlineStr">
        <is>
          <t>대장없음</t>
        </is>
      </c>
      <c r="Z253" s="3" t="inlineStr">
        <is>
          <t>대장없음</t>
        </is>
      </c>
      <c r="AA253" s="3" t="inlineStr">
        <is>
          <t>대장없음</t>
        </is>
      </c>
      <c r="AB253" s="3" t="inlineStr">
        <is>
          <t>대장없음</t>
        </is>
      </c>
      <c r="AC253" s="3" t="inlineStr">
        <is>
          <t>대장없음</t>
        </is>
      </c>
      <c r="AD253" s="3" t="inlineStr">
        <is>
          <t>소로한면</t>
        </is>
      </c>
    </row>
    <row r="254">
      <c r="A254" s="3" t="inlineStr">
        <is>
          <t>남이면 외천리 249</t>
        </is>
      </c>
      <c r="B254" s="3" t="inlineStr">
        <is>
          <t>계획관리지역</t>
        </is>
      </c>
      <c r="C254" s="3" t="inlineStr">
        <is>
          <t>공장용지</t>
        </is>
      </c>
      <c r="D254" s="3" t="inlineStr">
        <is>
          <t>공장</t>
        </is>
      </c>
      <c r="E254" s="3" t="inlineStr">
        <is>
          <t>월세</t>
        </is>
      </c>
      <c r="F254" s="4" t="n">
        <v>5000</v>
      </c>
      <c r="G254" s="4" t="n">
        <v>350</v>
      </c>
      <c r="H254" s="4" t="n">
        <v>1891</v>
      </c>
      <c r="I254" s="4" t="n">
        <v>572</v>
      </c>
      <c r="J254" s="5" t="n">
        <v>0.6</v>
      </c>
      <c r="K254" s="4" t="n">
        <v>750</v>
      </c>
      <c r="L254" s="4" t="n">
        <v>227</v>
      </c>
      <c r="M254" s="5" t="n">
        <v>1.5</v>
      </c>
      <c r="N254" s="3" t="inlineStr">
        <is>
          <t>1</t>
        </is>
      </c>
      <c r="O254" s="3" t="inlineStr">
        <is>
          <t>-</t>
        </is>
      </c>
      <c r="P254" s="3" t="inlineStr">
        <is>
          <t>가동 150형 나동 78형 일괄임대 대지 580형</t>
        </is>
      </c>
      <c r="Q254" s="6">
        <f>HYPERLINK("https://fin.land.naver.com/articles/2652949824", "매물Link")</f>
        <v/>
      </c>
      <c r="R254" s="6">
        <f>HYPERLINK("https://map.naver.com/p/search/남이면 외천리 249", "지도Link")</f>
        <v/>
      </c>
      <c r="S254" s="6">
        <f>HYPERLINK("http://www.eum.go.kr/web/ar/lu/luLandDet.jsp?pnu=4311231022102490000&amp;isNoScr=script&amp;mode=search", "토지이음")</f>
        <v/>
      </c>
      <c r="T254" s="3" t="inlineStr">
        <is>
          <t>위더스</t>
        </is>
      </c>
      <c r="U254" s="4" t="n">
        <v>1</v>
      </c>
      <c r="V254" s="5" t="n">
        <v>60.7</v>
      </c>
      <c r="W254" s="4" t="n">
        <v>1879</v>
      </c>
      <c r="X254" s="3" t="inlineStr">
        <is>
          <t>대장없음</t>
        </is>
      </c>
      <c r="Y254" s="7" t="inlineStr">
        <is>
          <t>대장없음</t>
        </is>
      </c>
      <c r="Z254" s="3" t="inlineStr">
        <is>
          <t>대장없음</t>
        </is>
      </c>
      <c r="AA254" s="3" t="inlineStr">
        <is>
          <t>대장없음</t>
        </is>
      </c>
      <c r="AB254" s="3" t="inlineStr">
        <is>
          <t>대장없음</t>
        </is>
      </c>
      <c r="AC254" s="3" t="inlineStr">
        <is>
          <t>대장없음</t>
        </is>
      </c>
      <c r="AD254" s="3" t="inlineStr">
        <is>
          <t>세로한면(가)</t>
        </is>
      </c>
    </row>
    <row r="255">
      <c r="A255" s="3" t="inlineStr">
        <is>
          <t>남이면 외천리 258</t>
        </is>
      </c>
      <c r="B255" s="3" t="inlineStr">
        <is>
          <t>계획관리지역</t>
        </is>
      </c>
      <c r="C255" s="3" t="inlineStr">
        <is>
          <t>공장용지</t>
        </is>
      </c>
      <c r="D255" s="3" t="inlineStr">
        <is>
          <t>창고</t>
        </is>
      </c>
      <c r="E255" s="3" t="inlineStr">
        <is>
          <t>매매</t>
        </is>
      </c>
      <c r="F255" s="4" t="n">
        <v>40000</v>
      </c>
      <c r="G255" s="4" t="n">
        <v>0</v>
      </c>
      <c r="H255" s="4" t="n">
        <v>652</v>
      </c>
      <c r="I255" s="4" t="n">
        <v>197</v>
      </c>
      <c r="J255" s="5" t="n">
        <v>203</v>
      </c>
      <c r="K255" s="4" t="n">
        <v>356</v>
      </c>
      <c r="L255" s="4" t="n">
        <v>108</v>
      </c>
      <c r="M255" s="5" t="n">
        <v>370.4</v>
      </c>
      <c r="N255" s="3" t="inlineStr">
        <is>
          <t>2</t>
        </is>
      </c>
      <c r="O255" s="3" t="inlineStr">
        <is>
          <t>-</t>
        </is>
      </c>
      <c r="P255" s="3" t="inlineStr">
        <is>
          <t>nan</t>
        </is>
      </c>
      <c r="Q255" s="6">
        <f>HYPERLINK("https://fin.land.naver.com/articles/2649461339", "매물Link")</f>
        <v/>
      </c>
      <c r="R255" s="6">
        <f>HYPERLINK("https://map.naver.com/p/search/남이면 외천리 258", "지도Link")</f>
        <v/>
      </c>
      <c r="S255" s="6">
        <f>HYPERLINK("http://www.eum.go.kr/web/ar/lu/luLandDet.jsp?pnu=4311231022102580000&amp;isNoScr=script&amp;mode=search", "토지이음")</f>
        <v/>
      </c>
      <c r="T255" s="3" t="inlineStr">
        <is>
          <t>청주합동</t>
        </is>
      </c>
      <c r="U255" s="4" t="n">
        <v>1</v>
      </c>
      <c r="V255" s="5" t="n">
        <v>64.59999999999999</v>
      </c>
      <c r="W255" s="4" t="n">
        <v>698</v>
      </c>
      <c r="X255" s="3" t="inlineStr">
        <is>
          <t>대장없음</t>
        </is>
      </c>
      <c r="Y255" s="7" t="inlineStr">
        <is>
          <t>대장없음</t>
        </is>
      </c>
      <c r="Z255" s="3" t="inlineStr">
        <is>
          <t>대장없음</t>
        </is>
      </c>
      <c r="AA255" s="3" t="inlineStr">
        <is>
          <t>대장없음</t>
        </is>
      </c>
      <c r="AB255" s="3" t="inlineStr">
        <is>
          <t>대장없음</t>
        </is>
      </c>
      <c r="AC255" s="3" t="inlineStr">
        <is>
          <t>대장없음</t>
        </is>
      </c>
      <c r="AD255" s="3" t="inlineStr">
        <is>
          <t>세로한면(가)</t>
        </is>
      </c>
    </row>
    <row r="256">
      <c r="A256" s="3" t="inlineStr">
        <is>
          <t>남이면 외천리 264-4</t>
        </is>
      </c>
      <c r="B256" s="3" t="inlineStr">
        <is>
          <t>계획관리지역</t>
        </is>
      </c>
      <c r="C256" s="3" t="inlineStr">
        <is>
          <t>공장용지</t>
        </is>
      </c>
      <c r="D256" s="3" t="inlineStr">
        <is>
          <t>공장</t>
        </is>
      </c>
      <c r="E256" s="3" t="inlineStr">
        <is>
          <t>매매</t>
        </is>
      </c>
      <c r="F256" s="4" t="n">
        <v>320000</v>
      </c>
      <c r="G256" s="4" t="n">
        <v>0</v>
      </c>
      <c r="H256" s="4" t="n">
        <v>2081</v>
      </c>
      <c r="I256" s="4" t="n">
        <v>630</v>
      </c>
      <c r="J256" s="5" t="n">
        <v>507.9</v>
      </c>
      <c r="K256" s="4" t="n">
        <v>1489</v>
      </c>
      <c r="L256" s="4" t="n">
        <v>450</v>
      </c>
      <c r="M256" s="5" t="n">
        <v>711.1</v>
      </c>
      <c r="N256" s="3" t="inlineStr">
        <is>
          <t>3</t>
        </is>
      </c>
      <c r="O256" s="3" t="inlineStr">
        <is>
          <t>-</t>
        </is>
      </c>
      <c r="P256" s="3" t="inlineStr">
        <is>
          <t>남청주ic 5분거리이며 대로변 접근성 좋은 사옥형 공장으로  최적</t>
        </is>
      </c>
      <c r="Q256" s="6">
        <f>HYPERLINK("https://fin.land.naver.com/articles/2652625202", "매물Link")</f>
        <v/>
      </c>
      <c r="R256" s="6">
        <f>HYPERLINK("https://map.naver.com/p/search/남이면 외천리 264-4", "지도Link")</f>
        <v/>
      </c>
      <c r="S256" s="6">
        <f>HYPERLINK("http://www.eum.go.kr/web/ar/lu/luLandDet.jsp?pnu=4311231022102640004&amp;isNoScr=script&amp;mode=search", "토지이음")</f>
        <v/>
      </c>
      <c r="T256" s="3" t="inlineStr">
        <is>
          <t>더원</t>
        </is>
      </c>
      <c r="U256" s="4" t="n">
        <v>1</v>
      </c>
      <c r="V256" s="5" t="n">
        <v>62.1</v>
      </c>
      <c r="W256" s="4" t="n">
        <v>1954</v>
      </c>
      <c r="X256" s="3" t="inlineStr">
        <is>
          <t>대장없음</t>
        </is>
      </c>
      <c r="Y256" s="7" t="inlineStr">
        <is>
          <t>대장없음</t>
        </is>
      </c>
      <c r="Z256" s="3" t="inlineStr">
        <is>
          <t>대장없음</t>
        </is>
      </c>
      <c r="AA256" s="3" t="inlineStr">
        <is>
          <t>대장없음</t>
        </is>
      </c>
      <c r="AB256" s="3" t="inlineStr">
        <is>
          <t>대장없음</t>
        </is>
      </c>
      <c r="AC256" s="3" t="inlineStr">
        <is>
          <t>대장없음</t>
        </is>
      </c>
      <c r="AD256" s="3" t="inlineStr">
        <is>
          <t>세로한면(가)</t>
        </is>
      </c>
    </row>
    <row r="257">
      <c r="A257" s="3" t="inlineStr">
        <is>
          <t>남이면 외천리 264-4</t>
        </is>
      </c>
      <c r="B257" s="3" t="inlineStr">
        <is>
          <t>계획관리지역</t>
        </is>
      </c>
      <c r="C257" s="3" t="inlineStr">
        <is>
          <t>공장용지</t>
        </is>
      </c>
      <c r="D257" s="3" t="inlineStr">
        <is>
          <t>공장</t>
        </is>
      </c>
      <c r="E257" s="3" t="inlineStr">
        <is>
          <t>매매</t>
        </is>
      </c>
      <c r="F257" s="4" t="n">
        <v>320000</v>
      </c>
      <c r="G257" s="4" t="n">
        <v>0</v>
      </c>
      <c r="H257" s="4" t="n">
        <v>2081</v>
      </c>
      <c r="I257" s="4" t="n">
        <v>630</v>
      </c>
      <c r="J257" s="5" t="n">
        <v>507.9</v>
      </c>
      <c r="K257" s="4" t="n">
        <v>1489</v>
      </c>
      <c r="L257" s="4" t="n">
        <v>450</v>
      </c>
      <c r="M257" s="5" t="n">
        <v>711.1</v>
      </c>
      <c r="N257" s="3" t="inlineStr">
        <is>
          <t>3</t>
        </is>
      </c>
      <c r="O257" s="3" t="inlineStr">
        <is>
          <t>-</t>
        </is>
      </c>
      <c r="P257" s="3" t="inlineStr">
        <is>
          <t>남청주IC와 가까워 진출입이 용이하며, 1층 공장,연구실 3층 사무실</t>
        </is>
      </c>
      <c r="Q257" s="6">
        <f>HYPERLINK("https://fin.land.naver.com/articles/2649988952", "매물Link")</f>
        <v/>
      </c>
      <c r="R257" s="6">
        <f>HYPERLINK("https://map.naver.com/p/search/남이면 외천리 264-4", "지도Link")</f>
        <v/>
      </c>
      <c r="S257" s="6">
        <f>HYPERLINK("http://www.eum.go.kr/web/ar/lu/luLandDet.jsp?pnu=4311231022102640004&amp;isNoScr=script&amp;mode=search", "토지이음")</f>
        <v/>
      </c>
      <c r="T257" s="3" t="inlineStr">
        <is>
          <t>(주)미르</t>
        </is>
      </c>
      <c r="U257" s="4" t="n">
        <v>1</v>
      </c>
      <c r="V257" s="5" t="n">
        <v>62.1</v>
      </c>
      <c r="W257" s="4" t="n">
        <v>1954</v>
      </c>
      <c r="X257" s="3" t="inlineStr">
        <is>
          <t>대장없음</t>
        </is>
      </c>
      <c r="Y257" s="7" t="inlineStr">
        <is>
          <t>대장없음</t>
        </is>
      </c>
      <c r="Z257" s="3" t="inlineStr">
        <is>
          <t>대장없음</t>
        </is>
      </c>
      <c r="AA257" s="3" t="inlineStr">
        <is>
          <t>대장없음</t>
        </is>
      </c>
      <c r="AB257" s="3" t="inlineStr">
        <is>
          <t>대장없음</t>
        </is>
      </c>
      <c r="AC257" s="3" t="inlineStr">
        <is>
          <t>대장없음</t>
        </is>
      </c>
      <c r="AD257" s="3" t="inlineStr">
        <is>
          <t>세로한면(가)</t>
        </is>
      </c>
    </row>
    <row r="258">
      <c r="A258" s="3" t="inlineStr">
        <is>
          <t>남이면 외천리 264-4</t>
        </is>
      </c>
      <c r="B258" s="3" t="inlineStr">
        <is>
          <t>계획관리지역</t>
        </is>
      </c>
      <c r="C258" s="3" t="inlineStr">
        <is>
          <t>공장용지</t>
        </is>
      </c>
      <c r="D258" s="3" t="inlineStr">
        <is>
          <t>공장</t>
        </is>
      </c>
      <c r="E258" s="3" t="inlineStr">
        <is>
          <t>매매</t>
        </is>
      </c>
      <c r="F258" s="4" t="n">
        <v>320000</v>
      </c>
      <c r="G258" s="4" t="n">
        <v>0</v>
      </c>
      <c r="H258" s="4" t="n">
        <v>2081</v>
      </c>
      <c r="I258" s="4" t="n">
        <v>630</v>
      </c>
      <c r="J258" s="5" t="n">
        <v>507.9</v>
      </c>
      <c r="K258" s="4" t="n">
        <v>1489</v>
      </c>
      <c r="L258" s="4" t="n">
        <v>450</v>
      </c>
      <c r="M258" s="5" t="n">
        <v>711.1</v>
      </c>
      <c r="N258" s="3" t="inlineStr">
        <is>
          <t>3</t>
        </is>
      </c>
      <c r="O258" s="3" t="inlineStr">
        <is>
          <t>-</t>
        </is>
      </c>
      <c r="P258" s="3" t="inlineStr">
        <is>
          <t>남청주IC 인근으로 진출입이 원할한곳,급매로 저렴,깨끗한 공장</t>
        </is>
      </c>
      <c r="Q258" s="6">
        <f>HYPERLINK("https://fin.land.naver.com/articles/2653676617", "매물Link")</f>
        <v/>
      </c>
      <c r="R258" s="6">
        <f>HYPERLINK("https://map.naver.com/p/search/남이면 외천리 264-4", "지도Link")</f>
        <v/>
      </c>
      <c r="S258" s="6">
        <f>HYPERLINK("http://www.eum.go.kr/web/ar/lu/luLandDet.jsp?pnu=4311231022102640004&amp;isNoScr=script&amp;mode=search", "토지이음")</f>
        <v/>
      </c>
      <c r="T258" s="3" t="inlineStr">
        <is>
          <t>금화랜드</t>
        </is>
      </c>
      <c r="U258" s="4" t="n">
        <v>1</v>
      </c>
      <c r="V258" s="5" t="n">
        <v>62.1</v>
      </c>
      <c r="W258" s="4" t="n">
        <v>1954</v>
      </c>
      <c r="X258" s="3" t="inlineStr">
        <is>
          <t>대장없음</t>
        </is>
      </c>
      <c r="Y258" s="7" t="inlineStr">
        <is>
          <t>대장없음</t>
        </is>
      </c>
      <c r="Z258" s="3" t="inlineStr">
        <is>
          <t>대장없음</t>
        </is>
      </c>
      <c r="AA258" s="3" t="inlineStr">
        <is>
          <t>대장없음</t>
        </is>
      </c>
      <c r="AB258" s="3" t="inlineStr">
        <is>
          <t>대장없음</t>
        </is>
      </c>
      <c r="AC258" s="3" t="inlineStr">
        <is>
          <t>대장없음</t>
        </is>
      </c>
      <c r="AD258" s="3" t="inlineStr">
        <is>
          <t>세로한면(가)</t>
        </is>
      </c>
    </row>
    <row r="259">
      <c r="A259" s="3" t="inlineStr">
        <is>
          <t>남이면 외천리 264-5</t>
        </is>
      </c>
      <c r="B259" s="3" t="inlineStr">
        <is>
          <t>계획관리지역</t>
        </is>
      </c>
      <c r="C259" s="3" t="inlineStr">
        <is>
          <t>공장용지</t>
        </is>
      </c>
      <c r="D259" s="3" t="inlineStr">
        <is>
          <t>공장</t>
        </is>
      </c>
      <c r="E259" s="3" t="inlineStr">
        <is>
          <t>매매</t>
        </is>
      </c>
      <c r="F259" s="4" t="n">
        <v>100000</v>
      </c>
      <c r="G259" s="4" t="n">
        <v>0</v>
      </c>
      <c r="H259" s="4" t="n">
        <v>1358</v>
      </c>
      <c r="I259" s="4" t="n">
        <v>411</v>
      </c>
      <c r="J259" s="5" t="n">
        <v>243.3</v>
      </c>
      <c r="K259" s="4" t="n">
        <v>537</v>
      </c>
      <c r="L259" s="4" t="n">
        <v>162</v>
      </c>
      <c r="M259" s="5" t="n">
        <v>617.3</v>
      </c>
      <c r="N259" s="3" t="inlineStr">
        <is>
          <t>2</t>
        </is>
      </c>
      <c r="O259" s="3" t="inlineStr">
        <is>
          <t>-</t>
        </is>
      </c>
      <c r="P259" s="3" t="inlineStr">
        <is>
          <t>남청주ic 접근성 좋은 위치 공장 기숙사 전력200kw 호이스트설치</t>
        </is>
      </c>
      <c r="Q259" s="6">
        <f>HYPERLINK("https://fin.land.naver.com/articles/2652625373", "매물Link")</f>
        <v/>
      </c>
      <c r="R259" s="6">
        <f>HYPERLINK("https://map.naver.com/p/search/남이면 외천리 264-5", "지도Link")</f>
        <v/>
      </c>
      <c r="S259" s="6">
        <f>HYPERLINK("http://www.eum.go.kr/web/ar/lu/luLandDet.jsp?pnu=4311231022102640005&amp;isNoScr=script&amp;mode=search", "토지이음")</f>
        <v/>
      </c>
      <c r="T259" s="3" t="inlineStr">
        <is>
          <t>더원</t>
        </is>
      </c>
      <c r="U259" s="4" t="n">
        <v>1</v>
      </c>
      <c r="V259" s="5" t="n">
        <v>62.1</v>
      </c>
      <c r="W259" s="4" t="n">
        <v>1358</v>
      </c>
      <c r="X259" s="3" t="inlineStr">
        <is>
          <t>대장없음</t>
        </is>
      </c>
      <c r="Y259" s="7" t="inlineStr">
        <is>
          <t>대장없음</t>
        </is>
      </c>
      <c r="Z259" s="3" t="inlineStr">
        <is>
          <t>대장없음</t>
        </is>
      </c>
      <c r="AA259" s="3" t="inlineStr">
        <is>
          <t>대장없음</t>
        </is>
      </c>
      <c r="AB259" s="3" t="inlineStr">
        <is>
          <t>대장없음</t>
        </is>
      </c>
      <c r="AC259" s="3" t="inlineStr">
        <is>
          <t>대장없음</t>
        </is>
      </c>
      <c r="AD259" s="3" t="inlineStr">
        <is>
          <t>세로한면(가)</t>
        </is>
      </c>
    </row>
    <row r="260">
      <c r="A260" s="3" t="inlineStr">
        <is>
          <t>남이면 외천리 264-5</t>
        </is>
      </c>
      <c r="B260" s="3" t="inlineStr">
        <is>
          <t>계획관리지역</t>
        </is>
      </c>
      <c r="C260" s="3" t="inlineStr">
        <is>
          <t>공장용지</t>
        </is>
      </c>
      <c r="D260" s="3" t="inlineStr">
        <is>
          <t>공장</t>
        </is>
      </c>
      <c r="E260" s="3" t="inlineStr">
        <is>
          <t>매매</t>
        </is>
      </c>
      <c r="F260" s="4" t="n">
        <v>100000</v>
      </c>
      <c r="G260" s="4" t="n">
        <v>0</v>
      </c>
      <c r="H260" s="4" t="n">
        <v>1358</v>
      </c>
      <c r="I260" s="4" t="n">
        <v>411</v>
      </c>
      <c r="J260" s="5" t="n">
        <v>243.3</v>
      </c>
      <c r="K260" s="4" t="n">
        <v>537</v>
      </c>
      <c r="L260" s="4" t="n">
        <v>162</v>
      </c>
      <c r="M260" s="5" t="n">
        <v>617.3</v>
      </c>
      <c r="N260" s="3" t="inlineStr">
        <is>
          <t>2</t>
        </is>
      </c>
      <c r="O260" s="3" t="inlineStr">
        <is>
          <t>-</t>
        </is>
      </c>
      <c r="P260" s="3" t="inlineStr">
        <is>
          <t>호이스트2.8톤,층고7,5m,남청주IC 근접, 대형차량 진출입 용이</t>
        </is>
      </c>
      <c r="Q260" s="6">
        <f>HYPERLINK("https://fin.land.naver.com/articles/2652762894", "매물Link")</f>
        <v/>
      </c>
      <c r="R260" s="6">
        <f>HYPERLINK("https://map.naver.com/p/search/남이면 외천리 264-5", "지도Link")</f>
        <v/>
      </c>
      <c r="S260" s="6">
        <f>HYPERLINK("http://www.eum.go.kr/web/ar/lu/luLandDet.jsp?pnu=4311231022102640005&amp;isNoScr=script&amp;mode=search", "토지이음")</f>
        <v/>
      </c>
      <c r="T260" s="3" t="inlineStr">
        <is>
          <t>금화랜드</t>
        </is>
      </c>
      <c r="U260" s="4" t="n">
        <v>1</v>
      </c>
      <c r="V260" s="5" t="n">
        <v>62.1</v>
      </c>
      <c r="W260" s="4" t="n">
        <v>1358</v>
      </c>
      <c r="X260" s="3" t="inlineStr">
        <is>
          <t>대장없음</t>
        </is>
      </c>
      <c r="Y260" s="7" t="inlineStr">
        <is>
          <t>대장없음</t>
        </is>
      </c>
      <c r="Z260" s="3" t="inlineStr">
        <is>
          <t>대장없음</t>
        </is>
      </c>
      <c r="AA260" s="3" t="inlineStr">
        <is>
          <t>대장없음</t>
        </is>
      </c>
      <c r="AB260" s="3" t="inlineStr">
        <is>
          <t>대장없음</t>
        </is>
      </c>
      <c r="AC260" s="3" t="inlineStr">
        <is>
          <t>대장없음</t>
        </is>
      </c>
      <c r="AD260" s="3" t="inlineStr">
        <is>
          <t>세로한면(가)</t>
        </is>
      </c>
    </row>
    <row r="261">
      <c r="A261" s="3" t="inlineStr">
        <is>
          <t>남이면 외천리 264-5</t>
        </is>
      </c>
      <c r="B261" s="3" t="inlineStr">
        <is>
          <t>계획관리지역</t>
        </is>
      </c>
      <c r="C261" s="3" t="inlineStr">
        <is>
          <t>공장용지</t>
        </is>
      </c>
      <c r="D261" s="3" t="inlineStr">
        <is>
          <t>공장</t>
        </is>
      </c>
      <c r="E261" s="3" t="inlineStr">
        <is>
          <t>매매</t>
        </is>
      </c>
      <c r="F261" s="4" t="n">
        <v>100000</v>
      </c>
      <c r="G261" s="4" t="n">
        <v>0</v>
      </c>
      <c r="H261" s="4" t="n">
        <v>1358</v>
      </c>
      <c r="I261" s="4" t="n">
        <v>411</v>
      </c>
      <c r="J261" s="5" t="n">
        <v>243.3</v>
      </c>
      <c r="K261" s="4" t="n">
        <v>537</v>
      </c>
      <c r="L261" s="4" t="n">
        <v>162</v>
      </c>
      <c r="M261" s="5" t="n">
        <v>617.3</v>
      </c>
      <c r="N261" s="3" t="inlineStr">
        <is>
          <t>2</t>
        </is>
      </c>
      <c r="O261" s="3" t="inlineStr">
        <is>
          <t>-</t>
        </is>
      </c>
      <c r="P261" s="3" t="inlineStr">
        <is>
          <t>남청주IC와 가까워 진출입이 용이한 곳,계획관리지역,호이스트2.8톤</t>
        </is>
      </c>
      <c r="Q261" s="6">
        <f>HYPERLINK("https://fin.land.naver.com/articles/2654300748", "매물Link")</f>
        <v/>
      </c>
      <c r="R261" s="6">
        <f>HYPERLINK("https://map.naver.com/p/search/남이면 외천리 264-5", "지도Link")</f>
        <v/>
      </c>
      <c r="S261" s="6">
        <f>HYPERLINK("http://www.eum.go.kr/web/ar/lu/luLandDet.jsp?pnu=4311231022102640005&amp;isNoScr=script&amp;mode=search", "토지이음")</f>
        <v/>
      </c>
      <c r="T261" s="3" t="inlineStr">
        <is>
          <t>(주)미르</t>
        </is>
      </c>
      <c r="U261" s="4" t="n">
        <v>1</v>
      </c>
      <c r="V261" s="5" t="n">
        <v>62.1</v>
      </c>
      <c r="W261" s="4" t="n">
        <v>1358</v>
      </c>
      <c r="X261" s="3" t="inlineStr">
        <is>
          <t>대장없음</t>
        </is>
      </c>
      <c r="Y261" s="7" t="inlineStr">
        <is>
          <t>대장없음</t>
        </is>
      </c>
      <c r="Z261" s="3" t="inlineStr">
        <is>
          <t>대장없음</t>
        </is>
      </c>
      <c r="AA261" s="3" t="inlineStr">
        <is>
          <t>대장없음</t>
        </is>
      </c>
      <c r="AB261" s="3" t="inlineStr">
        <is>
          <t>대장없음</t>
        </is>
      </c>
      <c r="AC261" s="3" t="inlineStr">
        <is>
          <t>대장없음</t>
        </is>
      </c>
      <c r="AD261" s="3" t="inlineStr">
        <is>
          <t>세로한면(가)</t>
        </is>
      </c>
    </row>
    <row r="262">
      <c r="A262" s="3" t="inlineStr">
        <is>
          <t>남이면 외천리 355-2</t>
        </is>
      </c>
      <c r="B262" s="3" t="inlineStr">
        <is>
          <t>계획관리지역</t>
        </is>
      </c>
      <c r="C262" s="3" t="inlineStr">
        <is>
          <t>공장용지</t>
        </is>
      </c>
      <c r="D262" s="3" t="inlineStr">
        <is>
          <t>공장</t>
        </is>
      </c>
      <c r="E262" s="3" t="inlineStr">
        <is>
          <t>월세</t>
        </is>
      </c>
      <c r="F262" s="4" t="n">
        <v>15000</v>
      </c>
      <c r="G262" s="4" t="n">
        <v>1750</v>
      </c>
      <c r="H262" s="4" t="n">
        <v>10680</v>
      </c>
      <c r="I262" s="4" t="n">
        <v>3231</v>
      </c>
      <c r="J262" s="5" t="n">
        <v>0.5</v>
      </c>
      <c r="K262" s="4" t="n">
        <v>4244</v>
      </c>
      <c r="L262" s="4" t="n">
        <v>1284</v>
      </c>
      <c r="M262" s="5" t="n">
        <v>1.4</v>
      </c>
      <c r="N262" s="3" t="inlineStr">
        <is>
          <t>3</t>
        </is>
      </c>
      <c r="O262" s="3" t="inlineStr">
        <is>
          <t>-</t>
        </is>
      </c>
      <c r="P262" s="3" t="inlineStr">
        <is>
          <t>남청주 IC가 가까워 대형차 진출입이 편리한곳으로 물류창고로 추천</t>
        </is>
      </c>
      <c r="Q262" s="6">
        <f>HYPERLINK("https://fin.land.naver.com/articles/2654296445", "매물Link")</f>
        <v/>
      </c>
      <c r="R262" s="6">
        <f>HYPERLINK("https://map.naver.com/p/search/남이면 외천리 355-2", "지도Link")</f>
        <v/>
      </c>
      <c r="S262" s="6">
        <f>HYPERLINK("http://www.eum.go.kr/web/ar/lu/luLandDet.jsp?pnu=4311231022103550002&amp;isNoScr=script&amp;mode=search", "토지이음")</f>
        <v/>
      </c>
      <c r="T262" s="3" t="inlineStr">
        <is>
          <t>(주)미르</t>
        </is>
      </c>
      <c r="U262" s="4" t="n">
        <v>1</v>
      </c>
      <c r="V262" s="5" t="n">
        <v>58</v>
      </c>
      <c r="W262" s="4" t="n">
        <v>10680</v>
      </c>
      <c r="X262" s="3" t="inlineStr">
        <is>
          <t>대장없음</t>
        </is>
      </c>
      <c r="Y262" s="7" t="inlineStr">
        <is>
          <t>대장없음</t>
        </is>
      </c>
      <c r="Z262" s="3" t="inlineStr">
        <is>
          <t>대장없음</t>
        </is>
      </c>
      <c r="AA262" s="3" t="inlineStr">
        <is>
          <t>대장없음</t>
        </is>
      </c>
      <c r="AB262" s="3" t="inlineStr">
        <is>
          <t>대장없음</t>
        </is>
      </c>
      <c r="AC262" s="3" t="inlineStr">
        <is>
          <t>대장없음</t>
        </is>
      </c>
      <c r="AD262" s="3" t="inlineStr">
        <is>
          <t>세로한면(가)</t>
        </is>
      </c>
    </row>
    <row r="263">
      <c r="A263" s="3" t="inlineStr">
        <is>
          <t>남이면 외천리 355-2</t>
        </is>
      </c>
      <c r="B263" s="3" t="inlineStr">
        <is>
          <t>계획관리지역</t>
        </is>
      </c>
      <c r="C263" s="3" t="inlineStr">
        <is>
          <t>공장용지</t>
        </is>
      </c>
      <c r="D263" s="3" t="inlineStr">
        <is>
          <t>공장</t>
        </is>
      </c>
      <c r="E263" s="3" t="inlineStr">
        <is>
          <t>월세</t>
        </is>
      </c>
      <c r="F263" s="4" t="n">
        <v>15000</v>
      </c>
      <c r="G263" s="4" t="n">
        <v>1750</v>
      </c>
      <c r="H263" s="4" t="n">
        <v>10680</v>
      </c>
      <c r="I263" s="4" t="n">
        <v>3231</v>
      </c>
      <c r="J263" s="5" t="n">
        <v>0.5</v>
      </c>
      <c r="K263" s="4" t="n">
        <v>4244</v>
      </c>
      <c r="L263" s="4" t="n">
        <v>1284</v>
      </c>
      <c r="M263" s="5" t="n">
        <v>1.4</v>
      </c>
      <c r="N263" s="3" t="inlineStr">
        <is>
          <t>1</t>
        </is>
      </c>
      <c r="O263" s="3" t="inlineStr">
        <is>
          <t>-</t>
        </is>
      </c>
      <c r="P263" s="3" t="inlineStr">
        <is>
          <t>남청주ic 8분거리로 타지역으로 물류이동시최적 호이스트 설치</t>
        </is>
      </c>
      <c r="Q263" s="6">
        <f>HYPERLINK("https://fin.land.naver.com/articles/2654176997", "매물Link")</f>
        <v/>
      </c>
      <c r="R263" s="6">
        <f>HYPERLINK("https://map.naver.com/p/search/남이면 외천리 355-2", "지도Link")</f>
        <v/>
      </c>
      <c r="S263" s="6">
        <f>HYPERLINK("http://www.eum.go.kr/web/ar/lu/luLandDet.jsp?pnu=4311231022103550002&amp;isNoScr=script&amp;mode=search", "토지이음")</f>
        <v/>
      </c>
      <c r="T263" s="3" t="inlineStr">
        <is>
          <t>더원</t>
        </is>
      </c>
      <c r="U263" s="4" t="n">
        <v>1</v>
      </c>
      <c r="V263" s="5" t="n">
        <v>58</v>
      </c>
      <c r="W263" s="4" t="n">
        <v>10680</v>
      </c>
      <c r="X263" s="3" t="inlineStr">
        <is>
          <t>대장없음</t>
        </is>
      </c>
      <c r="Y263" s="7" t="inlineStr">
        <is>
          <t>대장없음</t>
        </is>
      </c>
      <c r="Z263" s="3" t="inlineStr">
        <is>
          <t>대장없음</t>
        </is>
      </c>
      <c r="AA263" s="3" t="inlineStr">
        <is>
          <t>대장없음</t>
        </is>
      </c>
      <c r="AB263" s="3" t="inlineStr">
        <is>
          <t>대장없음</t>
        </is>
      </c>
      <c r="AC263" s="3" t="inlineStr">
        <is>
          <t>대장없음</t>
        </is>
      </c>
      <c r="AD263" s="3" t="inlineStr">
        <is>
          <t>세로한면(가)</t>
        </is>
      </c>
    </row>
    <row r="264">
      <c r="A264" s="3" t="inlineStr">
        <is>
          <t>남이면 외천리 379-1</t>
        </is>
      </c>
      <c r="B264" s="3" t="inlineStr">
        <is>
          <t>계획관리지역</t>
        </is>
      </c>
      <c r="C264" s="3" t="inlineStr">
        <is>
          <t>공장용지</t>
        </is>
      </c>
      <c r="D264" s="3" t="inlineStr">
        <is>
          <t>공장</t>
        </is>
      </c>
      <c r="E264" s="3" t="inlineStr">
        <is>
          <t>월세</t>
        </is>
      </c>
      <c r="F264" s="4" t="n">
        <v>10000</v>
      </c>
      <c r="G264" s="4" t="n">
        <v>1000</v>
      </c>
      <c r="H264" s="4" t="n">
        <v>6600</v>
      </c>
      <c r="I264" s="4" t="n">
        <v>1996</v>
      </c>
      <c r="J264" s="5" t="n">
        <v>0.5</v>
      </c>
      <c r="K264" s="4" t="n">
        <v>1454</v>
      </c>
      <c r="L264" s="4" t="n">
        <v>440</v>
      </c>
      <c r="M264" s="5" t="n">
        <v>2.3</v>
      </c>
      <c r="N264" s="3" t="inlineStr">
        <is>
          <t>1</t>
        </is>
      </c>
      <c r="O264" s="3" t="inlineStr">
        <is>
          <t>B1</t>
        </is>
      </c>
      <c r="P264" s="3" t="inlineStr">
        <is>
          <t>사진O 남청주 IC 인근 신축 깨끗한 공장 창고 분할임대 가능</t>
        </is>
      </c>
      <c r="Q264" s="6">
        <f>HYPERLINK("https://fin.land.naver.com/articles/2651775083", "매물Link")</f>
        <v/>
      </c>
      <c r="R264" s="6">
        <f>HYPERLINK("https://map.naver.com/p/search/남이면 외천리 379-1", "지도Link")</f>
        <v/>
      </c>
      <c r="S264" s="6">
        <f>HYPERLINK("http://www.eum.go.kr/web/ar/lu/luLandDet.jsp?pnu=4311231022103790001&amp;isNoScr=script&amp;mode=search", "토지이음")</f>
        <v/>
      </c>
      <c r="T264" s="3" t="inlineStr">
        <is>
          <t>미래n</t>
        </is>
      </c>
      <c r="U264" s="4" t="n">
        <v>1</v>
      </c>
      <c r="V264" s="5" t="n">
        <v>58</v>
      </c>
      <c r="W264" s="4" t="n">
        <v>3498</v>
      </c>
      <c r="X264" s="3" t="inlineStr">
        <is>
          <t>대장없음</t>
        </is>
      </c>
      <c r="Y264" s="7" t="inlineStr">
        <is>
          <t>대장없음</t>
        </is>
      </c>
      <c r="Z264" s="3" t="inlineStr">
        <is>
          <t>대장없음</t>
        </is>
      </c>
      <c r="AA264" s="3" t="inlineStr">
        <is>
          <t>대장없음</t>
        </is>
      </c>
      <c r="AB264" s="3" t="inlineStr">
        <is>
          <t>대장없음</t>
        </is>
      </c>
      <c r="AC264" s="3" t="inlineStr">
        <is>
          <t>대장없음</t>
        </is>
      </c>
      <c r="AD264" s="3" t="inlineStr">
        <is>
          <t>세로한면(가)</t>
        </is>
      </c>
    </row>
    <row r="265">
      <c r="A265" s="3" t="inlineStr">
        <is>
          <t>남이면 외천리 379-1</t>
        </is>
      </c>
      <c r="B265" s="3" t="inlineStr">
        <is>
          <t>계획관리지역</t>
        </is>
      </c>
      <c r="C265" s="3" t="inlineStr">
        <is>
          <t>공장용지</t>
        </is>
      </c>
      <c r="D265" s="3" t="inlineStr">
        <is>
          <t>공장</t>
        </is>
      </c>
      <c r="E265" s="3" t="inlineStr">
        <is>
          <t>월세</t>
        </is>
      </c>
      <c r="F265" s="4" t="n">
        <v>12000</v>
      </c>
      <c r="G265" s="4" t="n">
        <v>1200</v>
      </c>
      <c r="H265" s="4" t="n">
        <v>6600</v>
      </c>
      <c r="I265" s="4" t="n">
        <v>1996</v>
      </c>
      <c r="J265" s="5" t="n">
        <v>0.6</v>
      </c>
      <c r="K265" s="4" t="n">
        <v>1451</v>
      </c>
      <c r="L265" s="4" t="n">
        <v>439</v>
      </c>
      <c r="M265" s="5" t="n">
        <v>2.7</v>
      </c>
      <c r="N265" s="3" t="inlineStr">
        <is>
          <t>1</t>
        </is>
      </c>
      <c r="O265" s="3" t="inlineStr">
        <is>
          <t>-</t>
        </is>
      </c>
      <c r="P265" s="3" t="inlineStr">
        <is>
          <t>사진有 공장 임대</t>
        </is>
      </c>
      <c r="Q265" s="6">
        <f>HYPERLINK("https://fin.land.naver.com/articles/2653029386", "매물Link")</f>
        <v/>
      </c>
      <c r="R265" s="6">
        <f>HYPERLINK("https://map.naver.com/p/search/남이면 외천리 379-1", "지도Link")</f>
        <v/>
      </c>
      <c r="S265" s="6">
        <f>HYPERLINK("http://www.eum.go.kr/web/ar/lu/luLandDet.jsp?pnu=4311231022103790001&amp;isNoScr=script&amp;mode=search", "토지이음")</f>
        <v/>
      </c>
      <c r="T265" s="3" t="inlineStr">
        <is>
          <t>월드</t>
        </is>
      </c>
      <c r="U265" s="4" t="n">
        <v>1</v>
      </c>
      <c r="V265" s="5" t="n">
        <v>58</v>
      </c>
      <c r="W265" s="4" t="n">
        <v>3498</v>
      </c>
      <c r="X265" s="3" t="inlineStr">
        <is>
          <t>대장없음</t>
        </is>
      </c>
      <c r="Y265" s="7" t="inlineStr">
        <is>
          <t>대장없음</t>
        </is>
      </c>
      <c r="Z265" s="3" t="inlineStr">
        <is>
          <t>대장없음</t>
        </is>
      </c>
      <c r="AA265" s="3" t="inlineStr">
        <is>
          <t>대장없음</t>
        </is>
      </c>
      <c r="AB265" s="3" t="inlineStr">
        <is>
          <t>대장없음</t>
        </is>
      </c>
      <c r="AC265" s="3" t="inlineStr">
        <is>
          <t>대장없음</t>
        </is>
      </c>
      <c r="AD265" s="3" t="inlineStr">
        <is>
          <t>세로한면(가)</t>
        </is>
      </c>
    </row>
    <row r="266">
      <c r="A266" s="3" t="inlineStr">
        <is>
          <t>남이면 외천리 379-1</t>
        </is>
      </c>
      <c r="B266" s="3" t="inlineStr">
        <is>
          <t>계획관리지역</t>
        </is>
      </c>
      <c r="C266" s="3" t="inlineStr">
        <is>
          <t>공장용지</t>
        </is>
      </c>
      <c r="D266" s="3" t="inlineStr">
        <is>
          <t>공장</t>
        </is>
      </c>
      <c r="E266" s="3" t="inlineStr">
        <is>
          <t>매매</t>
        </is>
      </c>
      <c r="F266" s="4" t="n">
        <v>400000</v>
      </c>
      <c r="G266" s="4" t="n">
        <v>0</v>
      </c>
      <c r="H266" s="4" t="n">
        <v>6600</v>
      </c>
      <c r="I266" s="4" t="n">
        <v>1996</v>
      </c>
      <c r="J266" s="5" t="n">
        <v>200.4</v>
      </c>
      <c r="K266" s="4" t="n">
        <v>1517</v>
      </c>
      <c r="L266" s="4" t="n">
        <v>459</v>
      </c>
      <c r="M266" s="5" t="n">
        <v>871.5</v>
      </c>
      <c r="N266" s="3" t="inlineStr">
        <is>
          <t>1</t>
        </is>
      </c>
      <c r="O266" s="3" t="inlineStr">
        <is>
          <t>-</t>
        </is>
      </c>
      <c r="P266" s="3" t="inlineStr">
        <is>
          <t>남청주IC인근 신축대형창고공장 임대 층고높음 깔끔한 사무실겸 숙소완비</t>
        </is>
      </c>
      <c r="Q266" s="6">
        <f>HYPERLINK("https://fin.land.naver.com/articles/2651975021", "매물Link")</f>
        <v/>
      </c>
      <c r="R266" s="6">
        <f>HYPERLINK("https://map.naver.com/p/search/남이면 외천리 379-1", "지도Link")</f>
        <v/>
      </c>
      <c r="S266" s="6">
        <f>HYPERLINK("http://www.eum.go.kr/web/ar/lu/luLandDet.jsp?pnu=4311231022103790001&amp;isNoScr=script&amp;mode=search", "토지이음")</f>
        <v/>
      </c>
      <c r="T266" s="3" t="inlineStr">
        <is>
          <t>태광</t>
        </is>
      </c>
      <c r="U266" s="4" t="n">
        <v>1</v>
      </c>
      <c r="V266" s="5" t="n">
        <v>58</v>
      </c>
      <c r="W266" s="4" t="n">
        <v>3498</v>
      </c>
      <c r="X266" s="3" t="inlineStr">
        <is>
          <t>대장없음</t>
        </is>
      </c>
      <c r="Y266" s="7" t="inlineStr">
        <is>
          <t>대장없음</t>
        </is>
      </c>
      <c r="Z266" s="3" t="inlineStr">
        <is>
          <t>대장없음</t>
        </is>
      </c>
      <c r="AA266" s="3" t="inlineStr">
        <is>
          <t>대장없음</t>
        </is>
      </c>
      <c r="AB266" s="3" t="inlineStr">
        <is>
          <t>대장없음</t>
        </is>
      </c>
      <c r="AC266" s="3" t="inlineStr">
        <is>
          <t>대장없음</t>
        </is>
      </c>
      <c r="AD266" s="3" t="inlineStr">
        <is>
          <t>세로한면(가)</t>
        </is>
      </c>
    </row>
    <row r="267">
      <c r="A267" s="3" t="inlineStr">
        <is>
          <t>남이면 외천리 379-1</t>
        </is>
      </c>
      <c r="B267" s="3" t="inlineStr">
        <is>
          <t>계획관리지역</t>
        </is>
      </c>
      <c r="C267" s="3" t="inlineStr">
        <is>
          <t>공장용지</t>
        </is>
      </c>
      <c r="D267" s="3" t="inlineStr">
        <is>
          <t>공장</t>
        </is>
      </c>
      <c r="E267" s="3" t="inlineStr">
        <is>
          <t>월세</t>
        </is>
      </c>
      <c r="F267" s="4" t="n">
        <v>5000</v>
      </c>
      <c r="G267" s="4" t="n">
        <v>500</v>
      </c>
      <c r="H267" s="4" t="n">
        <v>6600</v>
      </c>
      <c r="I267" s="4" t="n">
        <v>1996</v>
      </c>
      <c r="J267" s="5" t="n">
        <v>0.3</v>
      </c>
      <c r="K267" s="4" t="n">
        <v>725</v>
      </c>
      <c r="L267" s="4" t="n">
        <v>219</v>
      </c>
      <c r="M267" s="5" t="n">
        <v>2.3</v>
      </c>
      <c r="N267" s="3" t="inlineStr">
        <is>
          <t>1</t>
        </is>
      </c>
      <c r="O267" s="3" t="inlineStr">
        <is>
          <t>-</t>
        </is>
      </c>
      <c r="P267" s="3" t="inlineStr">
        <is>
          <t>남청주IC인근 신축대형창고공장 임대 층고높음</t>
        </is>
      </c>
      <c r="Q267" s="6">
        <f>HYPERLINK("https://fin.land.naver.com/articles/2651974388", "매물Link")</f>
        <v/>
      </c>
      <c r="R267" s="6">
        <f>HYPERLINK("https://map.naver.com/p/search/남이면 외천리 379-1", "지도Link")</f>
        <v/>
      </c>
      <c r="S267" s="6">
        <f>HYPERLINK("http://www.eum.go.kr/web/ar/lu/luLandDet.jsp?pnu=4311231022103790001&amp;isNoScr=script&amp;mode=search", "토지이음")</f>
        <v/>
      </c>
      <c r="T267" s="3" t="inlineStr">
        <is>
          <t>태광</t>
        </is>
      </c>
      <c r="U267" s="4" t="n">
        <v>2</v>
      </c>
      <c r="V267" s="5" t="n">
        <v>58</v>
      </c>
      <c r="W267" s="4" t="n">
        <v>3498</v>
      </c>
      <c r="X267" s="3" t="inlineStr">
        <is>
          <t>대장없음</t>
        </is>
      </c>
      <c r="Y267" s="7" t="inlineStr">
        <is>
          <t>대장없음</t>
        </is>
      </c>
      <c r="Z267" s="3" t="inlineStr">
        <is>
          <t>대장없음</t>
        </is>
      </c>
      <c r="AA267" s="3" t="inlineStr">
        <is>
          <t>대장없음</t>
        </is>
      </c>
      <c r="AB267" s="3" t="inlineStr">
        <is>
          <t>대장없음</t>
        </is>
      </c>
      <c r="AC267" s="3" t="inlineStr">
        <is>
          <t>대장없음</t>
        </is>
      </c>
      <c r="AD267" s="3" t="inlineStr">
        <is>
          <t>세로한면(가)</t>
        </is>
      </c>
    </row>
    <row r="268">
      <c r="A268" s="3" t="inlineStr">
        <is>
          <t>남이면 외천리 379-1</t>
        </is>
      </c>
      <c r="B268" s="3" t="inlineStr">
        <is>
          <t>계획관리지역</t>
        </is>
      </c>
      <c r="C268" s="3" t="inlineStr">
        <is>
          <t>공장용지</t>
        </is>
      </c>
      <c r="D268" s="3" t="inlineStr">
        <is>
          <t>공장</t>
        </is>
      </c>
      <c r="E268" s="3" t="inlineStr">
        <is>
          <t>월세</t>
        </is>
      </c>
      <c r="F268" s="4" t="n">
        <v>10000</v>
      </c>
      <c r="G268" s="4" t="n">
        <v>1000</v>
      </c>
      <c r="H268" s="4" t="n">
        <v>5967</v>
      </c>
      <c r="I268" s="4" t="n">
        <v>1805</v>
      </c>
      <c r="J268" s="5" t="n">
        <v>0.6</v>
      </c>
      <c r="K268" s="4" t="n">
        <v>1541</v>
      </c>
      <c r="L268" s="4" t="n">
        <v>466</v>
      </c>
      <c r="M268" s="5" t="n">
        <v>2.1</v>
      </c>
      <c r="N268" s="3" t="inlineStr">
        <is>
          <t>1</t>
        </is>
      </c>
      <c r="O268" s="3" t="inlineStr">
        <is>
          <t>-</t>
        </is>
      </c>
      <c r="P268" s="3" t="inlineStr">
        <is>
          <t>남청주IC에서 5분거리 신축공장</t>
        </is>
      </c>
      <c r="Q268" s="6">
        <f>HYPERLINK("https://fin.land.naver.com/articles/2651889673", "매물Link")</f>
        <v/>
      </c>
      <c r="R268" s="6">
        <f>HYPERLINK("https://map.naver.com/p/search/남이면 외천리 379-1", "지도Link")</f>
        <v/>
      </c>
      <c r="S268" s="6">
        <f>HYPERLINK("http://www.eum.go.kr/web/ar/lu/luLandDet.jsp?pnu=4311231022103790001&amp;isNoScr=script&amp;mode=search", "토지이음")</f>
        <v/>
      </c>
      <c r="T268" s="3" t="inlineStr">
        <is>
          <t>창고의여왕</t>
        </is>
      </c>
      <c r="U268" s="4" t="n">
        <v>1</v>
      </c>
      <c r="V268" s="5" t="n">
        <v>58</v>
      </c>
      <c r="W268" s="4" t="n">
        <v>3498</v>
      </c>
      <c r="X268" s="3" t="inlineStr">
        <is>
          <t>대장없음</t>
        </is>
      </c>
      <c r="Y268" s="7" t="inlineStr">
        <is>
          <t>대장없음</t>
        </is>
      </c>
      <c r="Z268" s="3" t="inlineStr">
        <is>
          <t>대장없음</t>
        </is>
      </c>
      <c r="AA268" s="3" t="inlineStr">
        <is>
          <t>대장없음</t>
        </is>
      </c>
      <c r="AB268" s="3" t="inlineStr">
        <is>
          <t>대장없음</t>
        </is>
      </c>
      <c r="AC268" s="3" t="inlineStr">
        <is>
          <t>대장없음</t>
        </is>
      </c>
      <c r="AD268" s="3" t="inlineStr">
        <is>
          <t>세로한면(가)</t>
        </is>
      </c>
    </row>
    <row r="269">
      <c r="A269" s="3" t="inlineStr">
        <is>
          <t>남이면 외천리 379-1</t>
        </is>
      </c>
      <c r="B269" s="3" t="inlineStr">
        <is>
          <t>계획관리지역</t>
        </is>
      </c>
      <c r="C269" s="3" t="inlineStr">
        <is>
          <t>공장용지</t>
        </is>
      </c>
      <c r="D269" s="3" t="inlineStr">
        <is>
          <t>공장</t>
        </is>
      </c>
      <c r="E269" s="3" t="inlineStr">
        <is>
          <t>월세</t>
        </is>
      </c>
      <c r="F269" s="4" t="n">
        <v>5000</v>
      </c>
      <c r="G269" s="4" t="n">
        <v>550</v>
      </c>
      <c r="H269" s="4" t="n">
        <v>6600</v>
      </c>
      <c r="I269" s="4" t="n">
        <v>1996</v>
      </c>
      <c r="J269" s="5" t="n">
        <v>0.3</v>
      </c>
      <c r="K269" s="4" t="n">
        <v>725</v>
      </c>
      <c r="L269" s="4" t="n">
        <v>219</v>
      </c>
      <c r="M269" s="5" t="n">
        <v>2.5</v>
      </c>
      <c r="N269" s="3" t="inlineStr">
        <is>
          <t>1</t>
        </is>
      </c>
      <c r="O269" s="3" t="inlineStr">
        <is>
          <t>B1</t>
        </is>
      </c>
      <c r="P269" s="3" t="inlineStr">
        <is>
          <t>사진O 남청주 IC 인근 신축 깨끗한 공장 창고</t>
        </is>
      </c>
      <c r="Q269" s="6">
        <f>HYPERLINK("https://fin.land.naver.com/articles/2651773919", "매물Link")</f>
        <v/>
      </c>
      <c r="R269" s="6">
        <f>HYPERLINK("https://map.naver.com/p/search/남이면 외천리 379-1", "지도Link")</f>
        <v/>
      </c>
      <c r="S269" s="6">
        <f>HYPERLINK("http://www.eum.go.kr/web/ar/lu/luLandDet.jsp?pnu=4311231022103790001&amp;isNoScr=script&amp;mode=search", "토지이음")</f>
        <v/>
      </c>
      <c r="T269" s="3" t="inlineStr">
        <is>
          <t>미래n</t>
        </is>
      </c>
      <c r="U269" s="4" t="n">
        <v>1</v>
      </c>
      <c r="V269" s="5" t="n">
        <v>58</v>
      </c>
      <c r="W269" s="4" t="n">
        <v>3498</v>
      </c>
      <c r="X269" s="3" t="inlineStr">
        <is>
          <t>대장없음</t>
        </is>
      </c>
      <c r="Y269" s="7" t="inlineStr">
        <is>
          <t>대장없음</t>
        </is>
      </c>
      <c r="Z269" s="3" t="inlineStr">
        <is>
          <t>대장없음</t>
        </is>
      </c>
      <c r="AA269" s="3" t="inlineStr">
        <is>
          <t>대장없음</t>
        </is>
      </c>
      <c r="AB269" s="3" t="inlineStr">
        <is>
          <t>대장없음</t>
        </is>
      </c>
      <c r="AC269" s="3" t="inlineStr">
        <is>
          <t>대장없음</t>
        </is>
      </c>
      <c r="AD269" s="3" t="inlineStr">
        <is>
          <t>세로한면(가)</t>
        </is>
      </c>
    </row>
    <row r="270">
      <c r="A270" s="3" t="inlineStr">
        <is>
          <t>남이면 외천리 379-1</t>
        </is>
      </c>
      <c r="B270" s="3" t="inlineStr">
        <is>
          <t>계획관리지역</t>
        </is>
      </c>
      <c r="C270" s="3" t="inlineStr">
        <is>
          <t>공장용지</t>
        </is>
      </c>
      <c r="D270" s="3" t="inlineStr">
        <is>
          <t>공장</t>
        </is>
      </c>
      <c r="E270" s="3" t="inlineStr">
        <is>
          <t>월세</t>
        </is>
      </c>
      <c r="F270" s="4" t="n">
        <v>5500</v>
      </c>
      <c r="G270" s="4" t="n">
        <v>550</v>
      </c>
      <c r="H270" s="4" t="n">
        <v>6600</v>
      </c>
      <c r="I270" s="4" t="n">
        <v>1996</v>
      </c>
      <c r="J270" s="5" t="n">
        <v>0.3</v>
      </c>
      <c r="K270" s="4" t="n">
        <v>725</v>
      </c>
      <c r="L270" s="4" t="n">
        <v>219</v>
      </c>
      <c r="M270" s="5" t="n">
        <v>2.5</v>
      </c>
      <c r="N270" s="3" t="inlineStr">
        <is>
          <t>1</t>
        </is>
      </c>
      <c r="O270" s="3" t="inlineStr">
        <is>
          <t>-</t>
        </is>
      </c>
      <c r="P270" s="3" t="inlineStr">
        <is>
          <t>사진 有, 신축 첫입주, 남청주IC 및 청남가구단지 인근</t>
        </is>
      </c>
      <c r="Q270" s="6">
        <f>HYPERLINK("https://fin.land.naver.com/articles/2650262549", "매물Link")</f>
        <v/>
      </c>
      <c r="R270" s="6">
        <f>HYPERLINK("https://map.naver.com/p/search/남이면 외천리 379-1", "지도Link")</f>
        <v/>
      </c>
      <c r="S270" s="6">
        <f>HYPERLINK("http://www.eum.go.kr/web/ar/lu/luLandDet.jsp?pnu=4311231022103790001&amp;isNoScr=script&amp;mode=search", "토지이음")</f>
        <v/>
      </c>
      <c r="T270" s="3" t="inlineStr">
        <is>
          <t>태성</t>
        </is>
      </c>
      <c r="U270" s="4" t="n">
        <v>1</v>
      </c>
      <c r="V270" s="5" t="n">
        <v>58</v>
      </c>
      <c r="W270" s="4" t="n">
        <v>3498</v>
      </c>
      <c r="X270" s="3" t="inlineStr">
        <is>
          <t>대장없음</t>
        </is>
      </c>
      <c r="Y270" s="7" t="inlineStr">
        <is>
          <t>대장없음</t>
        </is>
      </c>
      <c r="Z270" s="3" t="inlineStr">
        <is>
          <t>대장없음</t>
        </is>
      </c>
      <c r="AA270" s="3" t="inlineStr">
        <is>
          <t>대장없음</t>
        </is>
      </c>
      <c r="AB270" s="3" t="inlineStr">
        <is>
          <t>대장없음</t>
        </is>
      </c>
      <c r="AC270" s="3" t="inlineStr">
        <is>
          <t>대장없음</t>
        </is>
      </c>
      <c r="AD270" s="3" t="inlineStr">
        <is>
          <t>세로한면(가)</t>
        </is>
      </c>
    </row>
    <row r="271">
      <c r="A271" s="3" t="inlineStr">
        <is>
          <t>남이면 외천리 379-5</t>
        </is>
      </c>
      <c r="B271" s="3" t="inlineStr">
        <is>
          <t>계획관리지역</t>
        </is>
      </c>
      <c r="C271" s="3" t="inlineStr">
        <is>
          <t>공장용지</t>
        </is>
      </c>
      <c r="D271" s="3" t="inlineStr">
        <is>
          <t>공장</t>
        </is>
      </c>
      <c r="E271" s="3" t="inlineStr">
        <is>
          <t>월세</t>
        </is>
      </c>
      <c r="F271" s="4" t="n">
        <v>5500</v>
      </c>
      <c r="G271" s="4" t="n">
        <v>550</v>
      </c>
      <c r="H271" s="4" t="n">
        <v>6600</v>
      </c>
      <c r="I271" s="4" t="n">
        <v>1996</v>
      </c>
      <c r="J271" s="5" t="n">
        <v>0.3</v>
      </c>
      <c r="K271" s="4" t="n">
        <v>725</v>
      </c>
      <c r="L271" s="4" t="n">
        <v>219</v>
      </c>
      <c r="M271" s="5" t="n">
        <v>2.5</v>
      </c>
      <c r="N271" s="3" t="inlineStr">
        <is>
          <t>1</t>
        </is>
      </c>
      <c r="O271" s="3" t="inlineStr">
        <is>
          <t>-</t>
        </is>
      </c>
      <c r="P271" s="3" t="inlineStr">
        <is>
          <t>남청주ic 근접 공장 물류전문 창고로 추천드립니다</t>
        </is>
      </c>
      <c r="Q271" s="6">
        <f>HYPERLINK("https://fin.land.naver.com/articles/2651777434", "매물Link")</f>
        <v/>
      </c>
      <c r="R271" s="6">
        <f>HYPERLINK("https://map.naver.com/p/search/남이면 외천리 379-5", "지도Link")</f>
        <v/>
      </c>
      <c r="S271" s="6">
        <f>HYPERLINK("http://www.eum.go.kr/web/ar/lu/luLandDet.jsp?pnu=4311231022103790005&amp;isNoScr=script&amp;mode=search", "토지이음")</f>
        <v/>
      </c>
      <c r="T271" s="3" t="inlineStr">
        <is>
          <t>대박</t>
        </is>
      </c>
      <c r="U271" s="4" t="n">
        <v>1</v>
      </c>
      <c r="V271" s="5" t="n">
        <v>58</v>
      </c>
      <c r="W271" s="4" t="n">
        <v>1906</v>
      </c>
      <c r="X271" s="3" t="inlineStr">
        <is>
          <t>대장없음</t>
        </is>
      </c>
      <c r="Y271" s="7" t="inlineStr">
        <is>
          <t>대장없음</t>
        </is>
      </c>
      <c r="Z271" s="3" t="inlineStr">
        <is>
          <t>대장없음</t>
        </is>
      </c>
      <c r="AA271" s="3" t="inlineStr">
        <is>
          <t>대장없음</t>
        </is>
      </c>
      <c r="AB271" s="3" t="inlineStr">
        <is>
          <t>대장없음</t>
        </is>
      </c>
      <c r="AC271" s="3" t="inlineStr">
        <is>
          <t>대장없음</t>
        </is>
      </c>
      <c r="AD271" s="3" t="inlineStr">
        <is>
          <t>세로한면(가)</t>
        </is>
      </c>
    </row>
    <row r="272">
      <c r="A272" s="3" t="inlineStr">
        <is>
          <t>남이면 외천리 393</t>
        </is>
      </c>
      <c r="B272" s="3" t="inlineStr">
        <is>
          <t>계획관리지역</t>
        </is>
      </c>
      <c r="C272" s="3" t="inlineStr">
        <is>
          <t>창고용지</t>
        </is>
      </c>
      <c r="D272" s="3" t="inlineStr">
        <is>
          <t>창고</t>
        </is>
      </c>
      <c r="E272" s="3" t="inlineStr">
        <is>
          <t>월세</t>
        </is>
      </c>
      <c r="F272" s="4" t="n">
        <v>4000</v>
      </c>
      <c r="G272" s="4" t="n">
        <v>400</v>
      </c>
      <c r="H272" s="4" t="n">
        <v>2198</v>
      </c>
      <c r="I272" s="4" t="n">
        <v>665</v>
      </c>
      <c r="J272" s="5" t="n">
        <v>0.6</v>
      </c>
      <c r="K272" s="4" t="n">
        <v>987</v>
      </c>
      <c r="L272" s="4" t="n">
        <v>299</v>
      </c>
      <c r="M272" s="5" t="n">
        <v>1.3</v>
      </c>
      <c r="N272" s="3" t="inlineStr">
        <is>
          <t>2</t>
        </is>
      </c>
      <c r="O272" s="3" t="inlineStr">
        <is>
          <t>-</t>
        </is>
      </c>
      <c r="P272" s="3" t="inlineStr">
        <is>
          <t>사진有 창고 임대</t>
        </is>
      </c>
      <c r="Q272" s="6">
        <f>HYPERLINK("https://fin.land.naver.com/articles/2653026797", "매물Link")</f>
        <v/>
      </c>
      <c r="R272" s="6">
        <f>HYPERLINK("https://map.naver.com/p/search/남이면 외천리 393", "지도Link")</f>
        <v/>
      </c>
      <c r="S272" s="6">
        <f>HYPERLINK("http://www.eum.go.kr/web/ar/lu/luLandDet.jsp?pnu=4311231022103930000&amp;isNoScr=script&amp;mode=search", "토지이음")</f>
        <v/>
      </c>
      <c r="T272" s="3" t="inlineStr">
        <is>
          <t>월드</t>
        </is>
      </c>
      <c r="U272" s="4" t="n">
        <v>1</v>
      </c>
      <c r="V272" s="5" t="n">
        <v>35</v>
      </c>
      <c r="W272" s="4" t="n">
        <v>2198</v>
      </c>
      <c r="X272" s="3" t="inlineStr">
        <is>
          <t>대장없음</t>
        </is>
      </c>
      <c r="Y272" s="7" t="inlineStr">
        <is>
          <t>대장없음</t>
        </is>
      </c>
      <c r="Z272" s="3" t="inlineStr">
        <is>
          <t>대장없음</t>
        </is>
      </c>
      <c r="AA272" s="3" t="inlineStr">
        <is>
          <t>대장없음</t>
        </is>
      </c>
      <c r="AB272" s="3" t="inlineStr">
        <is>
          <t>대장없음</t>
        </is>
      </c>
      <c r="AC272" s="3" t="inlineStr">
        <is>
          <t>대장없음</t>
        </is>
      </c>
      <c r="AD272" s="3" t="inlineStr">
        <is>
          <t>세로한면(가)</t>
        </is>
      </c>
    </row>
    <row r="273">
      <c r="A273" s="3" t="inlineStr">
        <is>
          <t>남이면 외천리 423</t>
        </is>
      </c>
      <c r="B273" s="3" t="inlineStr">
        <is>
          <t>계획관리지역</t>
        </is>
      </c>
      <c r="C273" s="3" t="inlineStr">
        <is>
          <t>공장용지</t>
        </is>
      </c>
      <c r="D273" s="3" t="inlineStr">
        <is>
          <t>공장</t>
        </is>
      </c>
      <c r="E273" s="3" t="inlineStr">
        <is>
          <t>매매</t>
        </is>
      </c>
      <c r="F273" s="4" t="n">
        <v>340000</v>
      </c>
      <c r="G273" s="4" t="n">
        <v>0</v>
      </c>
      <c r="H273" s="4" t="n">
        <v>3723</v>
      </c>
      <c r="I273" s="4" t="n">
        <v>1126</v>
      </c>
      <c r="J273" s="5" t="n">
        <v>302</v>
      </c>
      <c r="K273" s="4" t="n">
        <v>498</v>
      </c>
      <c r="L273" s="4" t="n">
        <v>151</v>
      </c>
      <c r="M273" s="5" t="n">
        <v>2251.7</v>
      </c>
      <c r="N273" s="3" t="inlineStr">
        <is>
          <t>1</t>
        </is>
      </c>
      <c r="O273" s="3" t="inlineStr">
        <is>
          <t>B2</t>
        </is>
      </c>
      <c r="P273" s="3" t="inlineStr">
        <is>
          <t>남청주 IC인근에 위치  2차선 도로 근접</t>
        </is>
      </c>
      <c r="Q273" s="6">
        <f>HYPERLINK("https://fin.land.naver.com/articles/2650550799", "매물Link")</f>
        <v/>
      </c>
      <c r="R273" s="6">
        <f>HYPERLINK("https://map.naver.com/p/search/남이면 외천리 423", "지도Link")</f>
        <v/>
      </c>
      <c r="S273" s="6">
        <f>HYPERLINK("http://www.eum.go.kr/web/ar/lu/luLandDet.jsp?pnu=4311231022104230000&amp;isNoScr=script&amp;mode=search", "토지이음")</f>
        <v/>
      </c>
      <c r="T273" s="3" t="inlineStr">
        <is>
          <t>트리풀신화</t>
        </is>
      </c>
      <c r="U273" s="4" t="n">
        <v>1</v>
      </c>
      <c r="V273" s="5" t="n">
        <v>69.09999999999999</v>
      </c>
      <c r="W273" s="4" t="n">
        <v>3723</v>
      </c>
      <c r="X273" s="3" t="inlineStr">
        <is>
          <t>대장없음</t>
        </is>
      </c>
      <c r="Y273" s="7" t="inlineStr">
        <is>
          <t>대장없음</t>
        </is>
      </c>
      <c r="Z273" s="3" t="inlineStr">
        <is>
          <t>대장없음</t>
        </is>
      </c>
      <c r="AA273" s="3" t="inlineStr">
        <is>
          <t>대장없음</t>
        </is>
      </c>
      <c r="AB273" s="3" t="inlineStr">
        <is>
          <t>대장없음</t>
        </is>
      </c>
      <c r="AC273" s="3" t="inlineStr">
        <is>
          <t>대장없음</t>
        </is>
      </c>
      <c r="AD273" s="3" t="inlineStr">
        <is>
          <t>세로한면(가)</t>
        </is>
      </c>
    </row>
    <row r="274">
      <c r="A274" s="3" t="inlineStr">
        <is>
          <t>남이면 외천리 423</t>
        </is>
      </c>
      <c r="B274" s="3" t="inlineStr">
        <is>
          <t>계획관리지역</t>
        </is>
      </c>
      <c r="C274" s="3" t="inlineStr">
        <is>
          <t>공장용지</t>
        </is>
      </c>
      <c r="D274" s="3" t="inlineStr">
        <is>
          <t>공장</t>
        </is>
      </c>
      <c r="E274" s="3" t="inlineStr">
        <is>
          <t>매매</t>
        </is>
      </c>
      <c r="F274" s="4" t="n">
        <v>350000</v>
      </c>
      <c r="G274" s="4" t="n">
        <v>0</v>
      </c>
      <c r="H274" s="4" t="n">
        <v>3723</v>
      </c>
      <c r="I274" s="4" t="n">
        <v>1126</v>
      </c>
      <c r="J274" s="5" t="n">
        <v>310.8</v>
      </c>
      <c r="K274" s="4" t="n">
        <v>498</v>
      </c>
      <c r="L274" s="4" t="n">
        <v>151</v>
      </c>
      <c r="M274" s="5" t="n">
        <v>2317.9</v>
      </c>
      <c r="N274" s="3" t="inlineStr">
        <is>
          <t>2</t>
        </is>
      </c>
      <c r="O274" s="3" t="inlineStr">
        <is>
          <t>-</t>
        </is>
      </c>
      <c r="P274" s="3" t="inlineStr">
        <is>
          <t>nan</t>
        </is>
      </c>
      <c r="Q274" s="6">
        <f>HYPERLINK("https://fin.land.naver.com/articles/2652938811", "매물Link")</f>
        <v/>
      </c>
      <c r="R274" s="6">
        <f>HYPERLINK("https://map.naver.com/p/search/남이면 외천리 423", "지도Link")</f>
        <v/>
      </c>
      <c r="S274" s="6">
        <f>HYPERLINK("http://www.eum.go.kr/web/ar/lu/luLandDet.jsp?pnu=4311231022104230000&amp;isNoScr=script&amp;mode=search", "토지이음")</f>
        <v/>
      </c>
      <c r="T274" s="3" t="inlineStr">
        <is>
          <t>이계형</t>
        </is>
      </c>
      <c r="U274" s="4" t="n">
        <v>1</v>
      </c>
      <c r="V274" s="5" t="n">
        <v>69.09999999999999</v>
      </c>
      <c r="W274" s="4" t="n">
        <v>3723</v>
      </c>
      <c r="X274" s="3" t="inlineStr">
        <is>
          <t>대장없음</t>
        </is>
      </c>
      <c r="Y274" s="7" t="inlineStr">
        <is>
          <t>대장없음</t>
        </is>
      </c>
      <c r="Z274" s="3" t="inlineStr">
        <is>
          <t>대장없음</t>
        </is>
      </c>
      <c r="AA274" s="3" t="inlineStr">
        <is>
          <t>대장없음</t>
        </is>
      </c>
      <c r="AB274" s="3" t="inlineStr">
        <is>
          <t>대장없음</t>
        </is>
      </c>
      <c r="AC274" s="3" t="inlineStr">
        <is>
          <t>대장없음</t>
        </is>
      </c>
      <c r="AD274" s="3" t="inlineStr">
        <is>
          <t>세로한면(가)</t>
        </is>
      </c>
    </row>
    <row r="275">
      <c r="A275" s="3" t="inlineStr">
        <is>
          <t>남이면 외천리 577</t>
        </is>
      </c>
      <c r="B275" s="3" t="inlineStr">
        <is>
          <t>계획관리지역</t>
        </is>
      </c>
      <c r="C275" s="3" t="inlineStr">
        <is>
          <t>대</t>
        </is>
      </c>
      <c r="D275" s="3" t="inlineStr">
        <is>
          <t>창고</t>
        </is>
      </c>
      <c r="E275" s="3" t="inlineStr">
        <is>
          <t>월세</t>
        </is>
      </c>
      <c r="F275" s="4" t="n">
        <v>2000</v>
      </c>
      <c r="G275" s="4" t="n">
        <v>150</v>
      </c>
      <c r="H275" s="4" t="n">
        <v>1682</v>
      </c>
      <c r="I275" s="4" t="n">
        <v>509</v>
      </c>
      <c r="J275" s="5" t="n">
        <v>0.3</v>
      </c>
      <c r="K275" s="4" t="n">
        <v>240</v>
      </c>
      <c r="L275" s="4" t="n">
        <v>73</v>
      </c>
      <c r="M275" s="5" t="n">
        <v>2.1</v>
      </c>
      <c r="N275" s="3" t="inlineStr">
        <is>
          <t>1</t>
        </is>
      </c>
      <c r="O275" s="3" t="inlineStr">
        <is>
          <t>-</t>
        </is>
      </c>
      <c r="P275" s="3" t="inlineStr">
        <is>
          <t>사진有 창고 임대</t>
        </is>
      </c>
      <c r="Q275" s="6">
        <f>HYPERLINK("https://fin.land.naver.com/articles/2653026538", "매물Link")</f>
        <v/>
      </c>
      <c r="R275" s="6">
        <f>HYPERLINK("https://map.naver.com/p/search/남이면 외천리 577", "지도Link")</f>
        <v/>
      </c>
      <c r="S275" s="6">
        <f>HYPERLINK("http://www.eum.go.kr/web/ar/lu/luLandDet.jsp?pnu=4311231022105770000&amp;isNoScr=script&amp;mode=search", "토지이음")</f>
        <v/>
      </c>
      <c r="T275" s="3" t="inlineStr">
        <is>
          <t>월드</t>
        </is>
      </c>
      <c r="U275" s="4" t="n">
        <v>1</v>
      </c>
      <c r="V275" s="5" t="n">
        <v>66.09999999999999</v>
      </c>
      <c r="W275" s="4" t="n">
        <v>1260</v>
      </c>
      <c r="X275" s="3" t="inlineStr">
        <is>
          <t>대장없음</t>
        </is>
      </c>
      <c r="Y275" s="7" t="inlineStr">
        <is>
          <t>대장없음</t>
        </is>
      </c>
      <c r="Z275" s="3" t="inlineStr">
        <is>
          <t>대장없음</t>
        </is>
      </c>
      <c r="AA275" s="3" t="inlineStr">
        <is>
          <t>대장없음</t>
        </is>
      </c>
      <c r="AB275" s="3" t="inlineStr">
        <is>
          <t>대장없음</t>
        </is>
      </c>
      <c r="AC275" s="3" t="inlineStr">
        <is>
          <t>대장없음</t>
        </is>
      </c>
      <c r="AD275" s="3" t="inlineStr">
        <is>
          <t>세로한면(가)</t>
        </is>
      </c>
    </row>
    <row r="276">
      <c r="A276" s="3" t="inlineStr">
        <is>
          <t>남이면 외천리 94</t>
        </is>
      </c>
      <c r="B276" s="3" t="inlineStr">
        <is>
          <t>계획관리지역</t>
        </is>
      </c>
      <c r="C276" s="3" t="inlineStr">
        <is>
          <t>공장용지</t>
        </is>
      </c>
      <c r="D276" s="3" t="inlineStr">
        <is>
          <t>공장</t>
        </is>
      </c>
      <c r="E276" s="3" t="inlineStr">
        <is>
          <t>매매</t>
        </is>
      </c>
      <c r="F276" s="4" t="n">
        <v>300000</v>
      </c>
      <c r="G276" s="4" t="n">
        <v>0</v>
      </c>
      <c r="H276" s="4" t="n">
        <v>5120</v>
      </c>
      <c r="I276" s="4" t="n">
        <v>1549</v>
      </c>
      <c r="J276" s="5" t="n">
        <v>193.7</v>
      </c>
      <c r="K276" s="4" t="n">
        <v>2124</v>
      </c>
      <c r="L276" s="4" t="n">
        <v>643</v>
      </c>
      <c r="M276" s="5" t="n">
        <v>466.6</v>
      </c>
      <c r="N276" s="3" t="inlineStr">
        <is>
          <t>2</t>
        </is>
      </c>
      <c r="O276" s="3" t="inlineStr">
        <is>
          <t>-</t>
        </is>
      </c>
      <c r="P276" s="3" t="inlineStr">
        <is>
          <t>남청주ic 5분거리 신탄진 대전등 접근성 좋고 전력300kw 호이스트설치</t>
        </is>
      </c>
      <c r="Q276" s="6">
        <f>HYPERLINK("https://fin.land.naver.com/articles/2654178695", "매물Link")</f>
        <v/>
      </c>
      <c r="R276" s="6">
        <f>HYPERLINK("https://map.naver.com/p/search/남이면 외천리 94", "지도Link")</f>
        <v/>
      </c>
      <c r="S276" s="6">
        <f>HYPERLINK("http://www.eum.go.kr/web/ar/lu/luLandDet.jsp?pnu=4311231022100940000&amp;isNoScr=script&amp;mode=search", "토지이음")</f>
        <v/>
      </c>
      <c r="T276" s="3" t="inlineStr">
        <is>
          <t>더원</t>
        </is>
      </c>
      <c r="U276" s="4" t="n">
        <v>1</v>
      </c>
      <c r="V276" s="5" t="n">
        <v>63.4</v>
      </c>
      <c r="W276" s="4" t="n">
        <v>5120</v>
      </c>
      <c r="X276" s="3" t="inlineStr">
        <is>
          <t>대장없음</t>
        </is>
      </c>
      <c r="Y276" s="7" t="inlineStr">
        <is>
          <t>대장없음</t>
        </is>
      </c>
      <c r="Z276" s="3" t="inlineStr">
        <is>
          <t>대장없음</t>
        </is>
      </c>
      <c r="AA276" s="3" t="inlineStr">
        <is>
          <t>대장없음</t>
        </is>
      </c>
      <c r="AB276" s="3" t="inlineStr">
        <is>
          <t>대장없음</t>
        </is>
      </c>
      <c r="AC276" s="3" t="inlineStr">
        <is>
          <t>대장없음</t>
        </is>
      </c>
      <c r="AD276" s="3" t="inlineStr">
        <is>
          <t>세로한면(가)</t>
        </is>
      </c>
    </row>
    <row r="277">
      <c r="A277" s="3" t="inlineStr">
        <is>
          <t>남이면 외천리 94</t>
        </is>
      </c>
      <c r="B277" s="3" t="inlineStr">
        <is>
          <t>계획관리지역</t>
        </is>
      </c>
      <c r="C277" s="3" t="inlineStr">
        <is>
          <t>공장용지</t>
        </is>
      </c>
      <c r="D277" s="3" t="inlineStr">
        <is>
          <t>공장</t>
        </is>
      </c>
      <c r="E277" s="3" t="inlineStr">
        <is>
          <t>월세</t>
        </is>
      </c>
      <c r="F277" s="4" t="n">
        <v>7000</v>
      </c>
      <c r="G277" s="4" t="n">
        <v>650</v>
      </c>
      <c r="H277" s="4" t="n">
        <v>5120</v>
      </c>
      <c r="I277" s="4" t="n">
        <v>1549</v>
      </c>
      <c r="J277" s="5" t="n">
        <v>0.4</v>
      </c>
      <c r="K277" s="4" t="n">
        <v>1019</v>
      </c>
      <c r="L277" s="4" t="n">
        <v>308</v>
      </c>
      <c r="M277" s="5" t="n">
        <v>2.1</v>
      </c>
      <c r="N277" s="3" t="inlineStr">
        <is>
          <t>2</t>
        </is>
      </c>
      <c r="O277" s="3" t="inlineStr">
        <is>
          <t>-</t>
        </is>
      </c>
      <c r="P277" s="3" t="inlineStr">
        <is>
          <t>남청주ic 5분거리 전력300kw 호이스트 설치된 공장 사무실 있음</t>
        </is>
      </c>
      <c r="Q277" s="6">
        <f>HYPERLINK("https://fin.land.naver.com/articles/2650946942", "매물Link")</f>
        <v/>
      </c>
      <c r="R277" s="6">
        <f>HYPERLINK("https://map.naver.com/p/search/남이면 외천리 94", "지도Link")</f>
        <v/>
      </c>
      <c r="S277" s="6">
        <f>HYPERLINK("http://www.eum.go.kr/web/ar/lu/luLandDet.jsp?pnu=4311231022100940000&amp;isNoScr=script&amp;mode=search", "토지이음")</f>
        <v/>
      </c>
      <c r="T277" s="3" t="inlineStr">
        <is>
          <t>더원</t>
        </is>
      </c>
      <c r="U277" s="4" t="n">
        <v>1</v>
      </c>
      <c r="V277" s="5" t="n">
        <v>63.4</v>
      </c>
      <c r="W277" s="4" t="n">
        <v>5120</v>
      </c>
      <c r="X277" s="3" t="inlineStr">
        <is>
          <t>대장없음</t>
        </is>
      </c>
      <c r="Y277" s="7" t="inlineStr">
        <is>
          <t>대장없음</t>
        </is>
      </c>
      <c r="Z277" s="3" t="inlineStr">
        <is>
          <t>대장없음</t>
        </is>
      </c>
      <c r="AA277" s="3" t="inlineStr">
        <is>
          <t>대장없음</t>
        </is>
      </c>
      <c r="AB277" s="3" t="inlineStr">
        <is>
          <t>대장없음</t>
        </is>
      </c>
      <c r="AC277" s="3" t="inlineStr">
        <is>
          <t>대장없음</t>
        </is>
      </c>
      <c r="AD277" s="3" t="inlineStr">
        <is>
          <t>세로한면(가)</t>
        </is>
      </c>
    </row>
    <row r="278">
      <c r="A278" s="3" t="inlineStr">
        <is>
          <t>남이면 척북리 35-6</t>
        </is>
      </c>
      <c r="B278" s="3" t="inlineStr">
        <is>
          <t>자연녹지지역</t>
        </is>
      </c>
      <c r="C278" s="3" t="inlineStr">
        <is>
          <t>대</t>
        </is>
      </c>
      <c r="D278" s="3" t="inlineStr">
        <is>
          <t>창고</t>
        </is>
      </c>
      <c r="E278" s="3" t="inlineStr">
        <is>
          <t>월세</t>
        </is>
      </c>
      <c r="F278" s="4" t="n">
        <v>2000</v>
      </c>
      <c r="G278" s="4" t="n">
        <v>120</v>
      </c>
      <c r="H278" s="4" t="n">
        <v>1587</v>
      </c>
      <c r="I278" s="4" t="n">
        <v>480</v>
      </c>
      <c r="J278" s="5" t="n">
        <v>0.2</v>
      </c>
      <c r="K278" s="4" t="n">
        <v>138</v>
      </c>
      <c r="L278" s="4" t="n">
        <v>42</v>
      </c>
      <c r="M278" s="5" t="n">
        <v>2.9</v>
      </c>
      <c r="N278" s="3" t="inlineStr">
        <is>
          <t>1</t>
        </is>
      </c>
      <c r="O278" s="3" t="inlineStr">
        <is>
          <t>-</t>
        </is>
      </c>
      <c r="P278" s="3" t="inlineStr">
        <is>
          <t>2차선도로접하고 마당넓은 신축소형창고 임대</t>
        </is>
      </c>
      <c r="Q278" s="6">
        <f>HYPERLINK("https://fin.land.naver.com/articles/2649683920", "매물Link")</f>
        <v/>
      </c>
      <c r="R278" s="6">
        <f>HYPERLINK("https://map.naver.com/p/search/남이면 척북리 35-6", "지도Link")</f>
        <v/>
      </c>
      <c r="S278" s="6">
        <f>HYPERLINK("http://www.eum.go.kr/web/ar/lu/luLandDet.jsp?pnu=4311231024100350006&amp;isNoScr=script&amp;mode=search", "토지이음")</f>
        <v/>
      </c>
      <c r="T278" s="3" t="inlineStr">
        <is>
          <t>더원</t>
        </is>
      </c>
      <c r="U278" s="4" t="n">
        <v>1</v>
      </c>
      <c r="V278" s="5" t="n">
        <v>60.8</v>
      </c>
      <c r="W278" s="4" t="n">
        <v>1587</v>
      </c>
      <c r="X278" s="3" t="inlineStr">
        <is>
          <t>대장없음</t>
        </is>
      </c>
      <c r="Y278" s="7" t="inlineStr">
        <is>
          <t>대장없음</t>
        </is>
      </c>
      <c r="Z278" s="3" t="inlineStr">
        <is>
          <t>대장없음</t>
        </is>
      </c>
      <c r="AA278" s="3" t="inlineStr">
        <is>
          <t>대장없음</t>
        </is>
      </c>
      <c r="AB278" s="3" t="inlineStr">
        <is>
          <t>대장없음</t>
        </is>
      </c>
      <c r="AC278" s="3" t="inlineStr">
        <is>
          <t>대장없음</t>
        </is>
      </c>
      <c r="AD278" s="3" t="inlineStr">
        <is>
          <t>소로한면</t>
        </is>
      </c>
    </row>
    <row r="279">
      <c r="A279" s="3" t="inlineStr">
        <is>
          <t>남이면 척북리 75</t>
        </is>
      </c>
      <c r="B279" s="3" t="inlineStr">
        <is>
          <t>계획관리지역</t>
        </is>
      </c>
      <c r="C279" s="3" t="inlineStr">
        <is>
          <t>공장용지</t>
        </is>
      </c>
      <c r="D279" s="3" t="inlineStr">
        <is>
          <t>공장</t>
        </is>
      </c>
      <c r="E279" s="3" t="inlineStr">
        <is>
          <t>월세</t>
        </is>
      </c>
      <c r="F279" s="4" t="n">
        <v>4900</v>
      </c>
      <c r="G279" s="4" t="n">
        <v>490</v>
      </c>
      <c r="H279" s="4" t="n">
        <v>1777</v>
      </c>
      <c r="I279" s="4" t="n">
        <v>538</v>
      </c>
      <c r="J279" s="5" t="n">
        <v>0.9</v>
      </c>
      <c r="K279" s="4" t="n">
        <v>704</v>
      </c>
      <c r="L279" s="4" t="n">
        <v>213</v>
      </c>
      <c r="M279" s="5" t="n">
        <v>2.3</v>
      </c>
      <c r="N279" s="3" t="inlineStr">
        <is>
          <t>1</t>
        </is>
      </c>
      <c r="O279" s="3" t="inlineStr">
        <is>
          <t>-</t>
        </is>
      </c>
      <c r="P279" s="3" t="inlineStr">
        <is>
          <t>진출입 매우 편리한 창고공장 임대 넓은 마당 확보. 넓은 면적가능</t>
        </is>
      </c>
      <c r="Q279" s="6">
        <f>HYPERLINK("https://fin.land.naver.com/articles/2650609474", "매물Link")</f>
        <v/>
      </c>
      <c r="R279" s="6">
        <f>HYPERLINK("https://map.naver.com/p/search/남이면 척북리 75", "지도Link")</f>
        <v/>
      </c>
      <c r="S279" s="6">
        <f>HYPERLINK("http://www.eum.go.kr/web/ar/lu/luLandDet.jsp?pnu=4311231024100750000&amp;isNoScr=script&amp;mode=search", "토지이음")</f>
        <v/>
      </c>
      <c r="T279" s="3" t="inlineStr">
        <is>
          <t>태광</t>
        </is>
      </c>
      <c r="U279" s="4" t="n">
        <v>2</v>
      </c>
      <c r="V279" s="5" t="n">
        <v>54</v>
      </c>
      <c r="W279" s="4" t="n">
        <v>1777</v>
      </c>
      <c r="X279" s="3" t="inlineStr">
        <is>
          <t>대장없음</t>
        </is>
      </c>
      <c r="Y279" s="7" t="inlineStr">
        <is>
          <t>대장없음</t>
        </is>
      </c>
      <c r="Z279" s="3" t="inlineStr">
        <is>
          <t>대장없음</t>
        </is>
      </c>
      <c r="AA279" s="3" t="inlineStr">
        <is>
          <t>대장없음</t>
        </is>
      </c>
      <c r="AB279" s="3" t="inlineStr">
        <is>
          <t>대장없음</t>
        </is>
      </c>
      <c r="AC279" s="3" t="inlineStr">
        <is>
          <t>대장없음</t>
        </is>
      </c>
      <c r="AD279" s="3" t="inlineStr">
        <is>
          <t>소로한면</t>
        </is>
      </c>
    </row>
    <row r="280">
      <c r="A280" s="3" t="inlineStr">
        <is>
          <t>남이면 척북리 75</t>
        </is>
      </c>
      <c r="B280" s="3" t="inlineStr">
        <is>
          <t>계획관리지역</t>
        </is>
      </c>
      <c r="C280" s="3" t="inlineStr">
        <is>
          <t>공장용지</t>
        </is>
      </c>
      <c r="D280" s="3" t="inlineStr">
        <is>
          <t>공장</t>
        </is>
      </c>
      <c r="E280" s="3" t="inlineStr">
        <is>
          <t>월세</t>
        </is>
      </c>
      <c r="F280" s="4" t="n">
        <v>4900</v>
      </c>
      <c r="G280" s="4" t="n">
        <v>490</v>
      </c>
      <c r="H280" s="4" t="n">
        <v>1777</v>
      </c>
      <c r="I280" s="4" t="n">
        <v>538</v>
      </c>
      <c r="J280" s="5" t="n">
        <v>0.9</v>
      </c>
      <c r="K280" s="4" t="n">
        <v>704</v>
      </c>
      <c r="L280" s="4" t="n">
        <v>213</v>
      </c>
      <c r="M280" s="5" t="n">
        <v>2.3</v>
      </c>
      <c r="N280" s="3" t="inlineStr">
        <is>
          <t>1</t>
        </is>
      </c>
      <c r="O280" s="3" t="inlineStr">
        <is>
          <t>-</t>
        </is>
      </c>
      <c r="P280" s="3" t="inlineStr">
        <is>
          <t>사진 有, 척북삼거리 인근 2차선대로변에서 바로 진입가능</t>
        </is>
      </c>
      <c r="Q280" s="6">
        <f>HYPERLINK("https://fin.land.naver.com/articles/2649845646", "매물Link")</f>
        <v/>
      </c>
      <c r="R280" s="6">
        <f>HYPERLINK("https://map.naver.com/p/search/남이면 척북리 75", "지도Link")</f>
        <v/>
      </c>
      <c r="S280" s="6">
        <f>HYPERLINK("http://www.eum.go.kr/web/ar/lu/luLandDet.jsp?pnu=4311231024100750000&amp;isNoScr=script&amp;mode=search", "토지이음")</f>
        <v/>
      </c>
      <c r="T280" s="3" t="inlineStr">
        <is>
          <t>태성</t>
        </is>
      </c>
      <c r="U280" s="4" t="n">
        <v>1</v>
      </c>
      <c r="V280" s="5" t="n">
        <v>54</v>
      </c>
      <c r="W280" s="4" t="n">
        <v>1777</v>
      </c>
      <c r="X280" s="3" t="inlineStr">
        <is>
          <t>대장없음</t>
        </is>
      </c>
      <c r="Y280" s="7" t="inlineStr">
        <is>
          <t>대장없음</t>
        </is>
      </c>
      <c r="Z280" s="3" t="inlineStr">
        <is>
          <t>대장없음</t>
        </is>
      </c>
      <c r="AA280" s="3" t="inlineStr">
        <is>
          <t>대장없음</t>
        </is>
      </c>
      <c r="AB280" s="3" t="inlineStr">
        <is>
          <t>대장없음</t>
        </is>
      </c>
      <c r="AC280" s="3" t="inlineStr">
        <is>
          <t>대장없음</t>
        </is>
      </c>
      <c r="AD280" s="3" t="inlineStr">
        <is>
          <t>소로한면</t>
        </is>
      </c>
    </row>
    <row r="281">
      <c r="A281" s="3" t="inlineStr">
        <is>
          <t>남이면 척북리 75-8</t>
        </is>
      </c>
      <c r="B281" s="3" t="inlineStr">
        <is>
          <t>계획관리지역</t>
        </is>
      </c>
      <c r="C281" s="3" t="inlineStr">
        <is>
          <t>공장용지</t>
        </is>
      </c>
      <c r="D281" s="3" t="inlineStr">
        <is>
          <t>공장</t>
        </is>
      </c>
      <c r="E281" s="3" t="inlineStr">
        <is>
          <t>월세</t>
        </is>
      </c>
      <c r="F281" s="4" t="n">
        <v>7000</v>
      </c>
      <c r="G281" s="4" t="n">
        <v>680</v>
      </c>
      <c r="H281" s="4" t="n">
        <v>2473</v>
      </c>
      <c r="I281" s="4" t="n">
        <v>748</v>
      </c>
      <c r="J281" s="5" t="n">
        <v>0.9</v>
      </c>
      <c r="K281" s="4" t="n">
        <v>987</v>
      </c>
      <c r="L281" s="4" t="n">
        <v>299</v>
      </c>
      <c r="M281" s="5" t="n">
        <v>2.3</v>
      </c>
      <c r="N281" s="3" t="inlineStr">
        <is>
          <t>1</t>
        </is>
      </c>
      <c r="O281" s="3" t="inlineStr">
        <is>
          <t>-</t>
        </is>
      </c>
      <c r="P281" s="3" t="inlineStr">
        <is>
          <t>남청주ic 9분 청주도심권 2차선도로 접 식품업종 가능</t>
        </is>
      </c>
      <c r="Q281" s="6">
        <f>HYPERLINK("https://fin.land.naver.com/articles/2651673647", "매물Link")</f>
        <v/>
      </c>
      <c r="R281" s="6">
        <f>HYPERLINK("https://map.naver.com/p/search/남이면 척북리 75-8", "지도Link")</f>
        <v/>
      </c>
      <c r="S281" s="6">
        <f>HYPERLINK("http://www.eum.go.kr/web/ar/lu/luLandDet.jsp?pnu=4311231024100750008&amp;isNoScr=script&amp;mode=search", "토지이음")</f>
        <v/>
      </c>
      <c r="T281" s="3" t="inlineStr">
        <is>
          <t>더원</t>
        </is>
      </c>
      <c r="U281" s="4" t="n">
        <v>4</v>
      </c>
      <c r="V281" s="5" t="n">
        <v>54</v>
      </c>
      <c r="W281" s="4" t="n">
        <v>2473</v>
      </c>
      <c r="X281" s="3" t="inlineStr">
        <is>
          <t>대장없음</t>
        </is>
      </c>
      <c r="Y281" s="7" t="inlineStr">
        <is>
          <t>대장없음</t>
        </is>
      </c>
      <c r="Z281" s="3" t="inlineStr">
        <is>
          <t>대장없음</t>
        </is>
      </c>
      <c r="AA281" s="3" t="inlineStr">
        <is>
          <t>대장없음</t>
        </is>
      </c>
      <c r="AB281" s="3" t="inlineStr">
        <is>
          <t>대장없음</t>
        </is>
      </c>
      <c r="AC281" s="3" t="inlineStr">
        <is>
          <t>대장없음</t>
        </is>
      </c>
      <c r="AD281" s="3" t="inlineStr">
        <is>
          <t>소로한면</t>
        </is>
      </c>
    </row>
    <row r="282">
      <c r="A282" s="3" t="inlineStr">
        <is>
          <t>남이면 척북리 75-8</t>
        </is>
      </c>
      <c r="B282" s="3" t="inlineStr">
        <is>
          <t>계획관리지역</t>
        </is>
      </c>
      <c r="C282" s="3" t="inlineStr">
        <is>
          <t>공장용지</t>
        </is>
      </c>
      <c r="D282" s="3" t="inlineStr">
        <is>
          <t>공장</t>
        </is>
      </c>
      <c r="E282" s="3" t="inlineStr">
        <is>
          <t>월세</t>
        </is>
      </c>
      <c r="F282" s="4" t="n">
        <v>11770</v>
      </c>
      <c r="G282" s="4" t="n">
        <v>1177</v>
      </c>
      <c r="H282" s="4" t="n">
        <v>4250</v>
      </c>
      <c r="I282" s="4" t="n">
        <v>1286</v>
      </c>
      <c r="J282" s="5" t="n">
        <v>0.9</v>
      </c>
      <c r="K282" s="4" t="n">
        <v>1691</v>
      </c>
      <c r="L282" s="4" t="n">
        <v>512</v>
      </c>
      <c r="M282" s="5" t="n">
        <v>2.3</v>
      </c>
      <c r="N282" s="3" t="inlineStr">
        <is>
          <t>1</t>
        </is>
      </c>
      <c r="O282" s="3" t="inlineStr">
        <is>
          <t>-</t>
        </is>
      </c>
      <c r="P282" s="3" t="inlineStr">
        <is>
          <t>사진 有, 척북삼거리 인근 2차선대로변에서 바로 진입가능</t>
        </is>
      </c>
      <c r="Q282" s="6">
        <f>HYPERLINK("https://fin.land.naver.com/articles/2651592951", "매물Link")</f>
        <v/>
      </c>
      <c r="R282" s="6">
        <f>HYPERLINK("https://map.naver.com/p/search/남이면 척북리 75-8", "지도Link")</f>
        <v/>
      </c>
      <c r="S282" s="6">
        <f>HYPERLINK("http://www.eum.go.kr/web/ar/lu/luLandDet.jsp?pnu=4311231024100750008&amp;isNoScr=script&amp;mode=search", "토지이음")</f>
        <v/>
      </c>
      <c r="T282" s="3" t="inlineStr">
        <is>
          <t>태성</t>
        </is>
      </c>
      <c r="U282" s="4" t="n">
        <v>1</v>
      </c>
      <c r="V282" s="5" t="n">
        <v>54</v>
      </c>
      <c r="W282" s="4" t="n">
        <v>2473</v>
      </c>
      <c r="X282" s="3" t="inlineStr">
        <is>
          <t>대장없음</t>
        </is>
      </c>
      <c r="Y282" s="7" t="inlineStr">
        <is>
          <t>대장없음</t>
        </is>
      </c>
      <c r="Z282" s="3" t="inlineStr">
        <is>
          <t>대장없음</t>
        </is>
      </c>
      <c r="AA282" s="3" t="inlineStr">
        <is>
          <t>대장없음</t>
        </is>
      </c>
      <c r="AB282" s="3" t="inlineStr">
        <is>
          <t>대장없음</t>
        </is>
      </c>
      <c r="AC282" s="3" t="inlineStr">
        <is>
          <t>대장없음</t>
        </is>
      </c>
      <c r="AD282" s="3" t="inlineStr">
        <is>
          <t>소로한면</t>
        </is>
      </c>
    </row>
    <row r="283">
      <c r="A283" s="3" t="inlineStr">
        <is>
          <t>남이면 척북리 75-8</t>
        </is>
      </c>
      <c r="B283" s="3" t="inlineStr">
        <is>
          <t>계획관리지역</t>
        </is>
      </c>
      <c r="C283" s="3" t="inlineStr">
        <is>
          <t>공장용지</t>
        </is>
      </c>
      <c r="D283" s="3" t="inlineStr">
        <is>
          <t>공장</t>
        </is>
      </c>
      <c r="E283" s="3" t="inlineStr">
        <is>
          <t>월세</t>
        </is>
      </c>
      <c r="F283" s="4" t="n">
        <v>6800</v>
      </c>
      <c r="G283" s="4" t="n">
        <v>680</v>
      </c>
      <c r="H283" s="4" t="n">
        <v>2473</v>
      </c>
      <c r="I283" s="4" t="n">
        <v>748</v>
      </c>
      <c r="J283" s="5" t="n">
        <v>0.9</v>
      </c>
      <c r="K283" s="4" t="n">
        <v>987</v>
      </c>
      <c r="L283" s="4" t="n">
        <v>299</v>
      </c>
      <c r="M283" s="5" t="n">
        <v>2.3</v>
      </c>
      <c r="N283" s="3" t="inlineStr">
        <is>
          <t>1</t>
        </is>
      </c>
      <c r="O283" s="3" t="inlineStr">
        <is>
          <t>-</t>
        </is>
      </c>
      <c r="P283" s="3" t="inlineStr">
        <is>
          <t>진출입 매우 편리한 창고공장 임대 더 넓은 면적 가능 상세정보 확인요망</t>
        </is>
      </c>
      <c r="Q283" s="6">
        <f>HYPERLINK("https://fin.land.naver.com/articles/2650611002", "매물Link")</f>
        <v/>
      </c>
      <c r="R283" s="6">
        <f>HYPERLINK("https://map.naver.com/p/search/남이면 척북리 75-8", "지도Link")</f>
        <v/>
      </c>
      <c r="S283" s="6">
        <f>HYPERLINK("http://www.eum.go.kr/web/ar/lu/luLandDet.jsp?pnu=4311231024100750008&amp;isNoScr=script&amp;mode=search", "토지이음")</f>
        <v/>
      </c>
      <c r="T283" s="3" t="inlineStr">
        <is>
          <t>태광</t>
        </is>
      </c>
      <c r="U283" s="4" t="n">
        <v>1</v>
      </c>
      <c r="V283" s="5" t="n">
        <v>54</v>
      </c>
      <c r="W283" s="4" t="n">
        <v>2473</v>
      </c>
      <c r="X283" s="3" t="inlineStr">
        <is>
          <t>대장없음</t>
        </is>
      </c>
      <c r="Y283" s="7" t="inlineStr">
        <is>
          <t>대장없음</t>
        </is>
      </c>
      <c r="Z283" s="3" t="inlineStr">
        <is>
          <t>대장없음</t>
        </is>
      </c>
      <c r="AA283" s="3" t="inlineStr">
        <is>
          <t>대장없음</t>
        </is>
      </c>
      <c r="AB283" s="3" t="inlineStr">
        <is>
          <t>대장없음</t>
        </is>
      </c>
      <c r="AC283" s="3" t="inlineStr">
        <is>
          <t>대장없음</t>
        </is>
      </c>
      <c r="AD283" s="3" t="inlineStr">
        <is>
          <t>소로한면</t>
        </is>
      </c>
    </row>
    <row r="284">
      <c r="A284" s="3" t="inlineStr">
        <is>
          <t>남이면 척북리 75-8</t>
        </is>
      </c>
      <c r="B284" s="3" t="inlineStr">
        <is>
          <t>계획관리지역</t>
        </is>
      </c>
      <c r="C284" s="3" t="inlineStr">
        <is>
          <t>공장용지</t>
        </is>
      </c>
      <c r="D284" s="3" t="inlineStr">
        <is>
          <t>공장</t>
        </is>
      </c>
      <c r="E284" s="3" t="inlineStr">
        <is>
          <t>월세</t>
        </is>
      </c>
      <c r="F284" s="4" t="n">
        <v>11700</v>
      </c>
      <c r="G284" s="4" t="n">
        <v>1170</v>
      </c>
      <c r="H284" s="4" t="n">
        <v>4250</v>
      </c>
      <c r="I284" s="4" t="n">
        <v>1286</v>
      </c>
      <c r="J284" s="5" t="n">
        <v>0.9</v>
      </c>
      <c r="K284" s="4" t="n">
        <v>1691</v>
      </c>
      <c r="L284" s="4" t="n">
        <v>512</v>
      </c>
      <c r="M284" s="5" t="n">
        <v>2.3</v>
      </c>
      <c r="N284" s="3" t="inlineStr">
        <is>
          <t>1</t>
        </is>
      </c>
      <c r="O284" s="3" t="inlineStr">
        <is>
          <t>-</t>
        </is>
      </c>
      <c r="P284" s="3" t="inlineStr">
        <is>
          <t>인접한 두개 동 모두 임대조건 넓은 개인전용마당 확보 진출입 매우 용이</t>
        </is>
      </c>
      <c r="Q284" s="6">
        <f>HYPERLINK("https://fin.land.naver.com/articles/2650609224", "매물Link")</f>
        <v/>
      </c>
      <c r="R284" s="6">
        <f>HYPERLINK("https://map.naver.com/p/search/남이면 척북리 75-8", "지도Link")</f>
        <v/>
      </c>
      <c r="S284" s="6">
        <f>HYPERLINK("http://www.eum.go.kr/web/ar/lu/luLandDet.jsp?pnu=4311231024100750008&amp;isNoScr=script&amp;mode=search", "토지이음")</f>
        <v/>
      </c>
      <c r="T284" s="3" t="inlineStr">
        <is>
          <t>태광</t>
        </is>
      </c>
      <c r="U284" s="4" t="n">
        <v>1</v>
      </c>
      <c r="V284" s="5" t="n">
        <v>54</v>
      </c>
      <c r="W284" s="4" t="n">
        <v>2473</v>
      </c>
      <c r="X284" s="3" t="inlineStr">
        <is>
          <t>대장없음</t>
        </is>
      </c>
      <c r="Y284" s="7" t="inlineStr">
        <is>
          <t>대장없음</t>
        </is>
      </c>
      <c r="Z284" s="3" t="inlineStr">
        <is>
          <t>대장없음</t>
        </is>
      </c>
      <c r="AA284" s="3" t="inlineStr">
        <is>
          <t>대장없음</t>
        </is>
      </c>
      <c r="AB284" s="3" t="inlineStr">
        <is>
          <t>대장없음</t>
        </is>
      </c>
      <c r="AC284" s="3" t="inlineStr">
        <is>
          <t>대장없음</t>
        </is>
      </c>
      <c r="AD284" s="3" t="inlineStr">
        <is>
          <t>소로한면</t>
        </is>
      </c>
    </row>
    <row r="285">
      <c r="A285" s="3" t="inlineStr">
        <is>
          <t>남이면 척산리 113-3</t>
        </is>
      </c>
      <c r="B285" s="3" t="inlineStr">
        <is>
          <t>생산관리지역</t>
        </is>
      </c>
      <c r="C285" s="3" t="inlineStr">
        <is>
          <t>공장용지</t>
        </is>
      </c>
      <c r="D285" s="3" t="inlineStr">
        <is>
          <t>공장</t>
        </is>
      </c>
      <c r="E285" s="3" t="inlineStr">
        <is>
          <t>매매</t>
        </is>
      </c>
      <c r="F285" s="4" t="n">
        <v>78000</v>
      </c>
      <c r="G285" s="4" t="n">
        <v>0</v>
      </c>
      <c r="H285" s="4" t="n">
        <v>2494</v>
      </c>
      <c r="I285" s="4" t="n">
        <v>754</v>
      </c>
      <c r="J285" s="5" t="n">
        <v>103.4</v>
      </c>
      <c r="K285" s="4" t="n">
        <v>475</v>
      </c>
      <c r="L285" s="4" t="n">
        <v>144</v>
      </c>
      <c r="M285" s="5" t="n">
        <v>541.7</v>
      </c>
      <c r="N285" s="3" t="inlineStr">
        <is>
          <t>2</t>
        </is>
      </c>
      <c r="O285" s="3" t="inlineStr">
        <is>
          <t>-</t>
        </is>
      </c>
      <c r="P285" s="3" t="inlineStr">
        <is>
          <t>제조 공장 부지.협의가능.</t>
        </is>
      </c>
      <c r="Q285" s="6">
        <f>HYPERLINK("https://fin.land.naver.com/articles/2652910166", "매물Link")</f>
        <v/>
      </c>
      <c r="R285" s="6">
        <f>HYPERLINK("https://map.naver.com/p/search/남이면 척산리 113-3", "지도Link")</f>
        <v/>
      </c>
      <c r="S285" s="6">
        <f>HYPERLINK("http://www.eum.go.kr/web/ar/lu/luLandDet.jsp?pnu=4311231021101130003&amp;isNoScr=script&amp;mode=search", "토지이음")</f>
        <v/>
      </c>
      <c r="T285" s="3" t="inlineStr">
        <is>
          <t>호반</t>
        </is>
      </c>
      <c r="U285" s="4" t="n">
        <v>1</v>
      </c>
      <c r="V285" s="5" t="n">
        <v>47.6</v>
      </c>
      <c r="W285" s="4" t="n">
        <v>2494</v>
      </c>
      <c r="X285" s="3" t="inlineStr">
        <is>
          <t>대장없음</t>
        </is>
      </c>
      <c r="Y285" s="7" t="inlineStr">
        <is>
          <t>대장없음</t>
        </is>
      </c>
      <c r="Z285" s="3" t="inlineStr">
        <is>
          <t>대장없음</t>
        </is>
      </c>
      <c r="AA285" s="3" t="inlineStr">
        <is>
          <t>대장없음</t>
        </is>
      </c>
      <c r="AB285" s="3" t="inlineStr">
        <is>
          <t>대장없음</t>
        </is>
      </c>
      <c r="AC285" s="3" t="inlineStr">
        <is>
          <t>대장없음</t>
        </is>
      </c>
      <c r="AD285" s="3" t="inlineStr">
        <is>
          <t>세로한면(가)</t>
        </is>
      </c>
    </row>
    <row r="286">
      <c r="A286" s="3" t="inlineStr">
        <is>
          <t>남이면 척산리 113-3</t>
        </is>
      </c>
      <c r="B286" s="3" t="inlineStr">
        <is>
          <t>생산관리지역</t>
        </is>
      </c>
      <c r="C286" s="3" t="inlineStr">
        <is>
          <t>공장용지</t>
        </is>
      </c>
      <c r="D286" s="3" t="inlineStr">
        <is>
          <t>공장</t>
        </is>
      </c>
      <c r="E286" s="3" t="inlineStr">
        <is>
          <t>매매</t>
        </is>
      </c>
      <c r="F286" s="4" t="n">
        <v>78000</v>
      </c>
      <c r="G286" s="4" t="n">
        <v>0</v>
      </c>
      <c r="H286" s="4" t="n">
        <v>2494</v>
      </c>
      <c r="I286" s="4" t="n">
        <v>754</v>
      </c>
      <c r="J286" s="5" t="n">
        <v>103.4</v>
      </c>
      <c r="K286" s="4" t="n">
        <v>475</v>
      </c>
      <c r="L286" s="4" t="n">
        <v>144</v>
      </c>
      <c r="M286" s="5" t="n">
        <v>541.7</v>
      </c>
      <c r="N286" s="3" t="inlineStr">
        <is>
          <t>2</t>
        </is>
      </c>
      <c r="O286" s="3" t="inlineStr">
        <is>
          <t>-</t>
        </is>
      </c>
      <c r="P286" s="3" t="inlineStr">
        <is>
          <t>남청주ic 10분거리이며 민가없어 소음업종가능</t>
        </is>
      </c>
      <c r="Q286" s="6">
        <f>HYPERLINK("https://fin.land.naver.com/articles/2652964886", "매물Link")</f>
        <v/>
      </c>
      <c r="R286" s="6">
        <f>HYPERLINK("https://map.naver.com/p/search/남이면 척산리 113-3", "지도Link")</f>
        <v/>
      </c>
      <c r="S286" s="6">
        <f>HYPERLINK("http://www.eum.go.kr/web/ar/lu/luLandDet.jsp?pnu=4311231021101130003&amp;isNoScr=script&amp;mode=search", "토지이음")</f>
        <v/>
      </c>
      <c r="T286" s="3" t="inlineStr">
        <is>
          <t>더원</t>
        </is>
      </c>
      <c r="U286" s="4" t="n">
        <v>1</v>
      </c>
      <c r="V286" s="5" t="n">
        <v>47.6</v>
      </c>
      <c r="W286" s="4" t="n">
        <v>2494</v>
      </c>
      <c r="X286" s="3" t="inlineStr">
        <is>
          <t>대장없음</t>
        </is>
      </c>
      <c r="Y286" s="7" t="inlineStr">
        <is>
          <t>대장없음</t>
        </is>
      </c>
      <c r="Z286" s="3" t="inlineStr">
        <is>
          <t>대장없음</t>
        </is>
      </c>
      <c r="AA286" s="3" t="inlineStr">
        <is>
          <t>대장없음</t>
        </is>
      </c>
      <c r="AB286" s="3" t="inlineStr">
        <is>
          <t>대장없음</t>
        </is>
      </c>
      <c r="AC286" s="3" t="inlineStr">
        <is>
          <t>대장없음</t>
        </is>
      </c>
      <c r="AD286" s="3" t="inlineStr">
        <is>
          <t>세로한면(가)</t>
        </is>
      </c>
    </row>
    <row r="287">
      <c r="A287" s="3" t="inlineStr">
        <is>
          <t>남이면 척산리 129-5</t>
        </is>
      </c>
      <c r="B287" s="3" t="inlineStr">
        <is>
          <t>보전녹지지역</t>
        </is>
      </c>
      <c r="C287" s="3" t="inlineStr">
        <is>
          <t>대</t>
        </is>
      </c>
      <c r="D287" s="3" t="inlineStr">
        <is>
          <t>창고</t>
        </is>
      </c>
      <c r="E287" s="3" t="inlineStr">
        <is>
          <t>월세</t>
        </is>
      </c>
      <c r="F287" s="4" t="n">
        <v>2000</v>
      </c>
      <c r="G287" s="4" t="n">
        <v>130</v>
      </c>
      <c r="H287" s="4" t="n">
        <v>2109</v>
      </c>
      <c r="I287" s="4" t="n">
        <v>638</v>
      </c>
      <c r="J287" s="5" t="n">
        <v>0.2</v>
      </c>
      <c r="K287" s="4" t="n">
        <v>180</v>
      </c>
      <c r="L287" s="4" t="n">
        <v>54</v>
      </c>
      <c r="M287" s="5" t="n">
        <v>2.4</v>
      </c>
      <c r="N287" s="3" t="inlineStr">
        <is>
          <t>1</t>
        </is>
      </c>
      <c r="O287" s="3" t="inlineStr">
        <is>
          <t>-</t>
        </is>
      </c>
      <c r="P287" s="3" t="inlineStr">
        <is>
          <t>척산삼거리 인근, 도로변, 55형, 창고, 2개동사용가능, 넓은 마당</t>
        </is>
      </c>
      <c r="Q287" s="6">
        <f>HYPERLINK("https://fin.land.naver.com/articles/2650094061", "매물Link")</f>
        <v/>
      </c>
      <c r="R287" s="6">
        <f>HYPERLINK("https://map.naver.com/p/search/남이면 척산리 129-5", "지도Link")</f>
        <v/>
      </c>
      <c r="S287" s="6">
        <f>HYPERLINK("http://www.eum.go.kr/web/ar/lu/luLandDet.jsp?pnu=4311231021101290005&amp;isNoScr=script&amp;mode=search", "토지이음")</f>
        <v/>
      </c>
      <c r="T287" s="3" t="inlineStr">
        <is>
          <t>라인</t>
        </is>
      </c>
      <c r="U287" s="4" t="n">
        <v>1</v>
      </c>
      <c r="V287" s="5" t="n">
        <v>62.5</v>
      </c>
      <c r="W287" s="4" t="n">
        <v>2109</v>
      </c>
      <c r="X287" s="3" t="inlineStr">
        <is>
          <t>대장없음</t>
        </is>
      </c>
      <c r="Y287" s="7" t="inlineStr">
        <is>
          <t>대장없음</t>
        </is>
      </c>
      <c r="Z287" s="3" t="inlineStr">
        <is>
          <t>대장없음</t>
        </is>
      </c>
      <c r="AA287" s="3" t="inlineStr">
        <is>
          <t>대장없음</t>
        </is>
      </c>
      <c r="AB287" s="3" t="inlineStr">
        <is>
          <t>대장없음</t>
        </is>
      </c>
      <c r="AC287" s="3" t="inlineStr">
        <is>
          <t>대장없음</t>
        </is>
      </c>
      <c r="AD287" s="3" t="inlineStr">
        <is>
          <t>세로한면(가)</t>
        </is>
      </c>
    </row>
    <row r="288">
      <c r="A288" s="3" t="inlineStr">
        <is>
          <t>남이면 척산리 129-5</t>
        </is>
      </c>
      <c r="B288" s="3" t="inlineStr">
        <is>
          <t>보전녹지지역</t>
        </is>
      </c>
      <c r="C288" s="3" t="inlineStr">
        <is>
          <t>대</t>
        </is>
      </c>
      <c r="D288" s="3" t="inlineStr">
        <is>
          <t>창고</t>
        </is>
      </c>
      <c r="E288" s="3" t="inlineStr">
        <is>
          <t>월세</t>
        </is>
      </c>
      <c r="F288" s="4" t="n">
        <v>2000</v>
      </c>
      <c r="G288" s="4" t="n">
        <v>130</v>
      </c>
      <c r="H288" s="4" t="n">
        <v>2109</v>
      </c>
      <c r="I288" s="4" t="n">
        <v>638</v>
      </c>
      <c r="J288" s="5" t="n">
        <v>0.2</v>
      </c>
      <c r="K288" s="4" t="n">
        <v>180</v>
      </c>
      <c r="L288" s="4" t="n">
        <v>54</v>
      </c>
      <c r="M288" s="5" t="n">
        <v>2.4</v>
      </c>
      <c r="N288" s="3" t="inlineStr">
        <is>
          <t>1</t>
        </is>
      </c>
      <c r="O288" s="3" t="inlineStr">
        <is>
          <t>-</t>
        </is>
      </c>
      <c r="P288" s="3" t="inlineStr">
        <is>
          <t>건물 55형 대지 200형 사용</t>
        </is>
      </c>
      <c r="Q288" s="6">
        <f>HYPERLINK("https://fin.land.naver.com/articles/2649851752", "매물Link")</f>
        <v/>
      </c>
      <c r="R288" s="6">
        <f>HYPERLINK("https://map.naver.com/p/search/남이면 척산리 129-5", "지도Link")</f>
        <v/>
      </c>
      <c r="S288" s="6">
        <f>HYPERLINK("http://www.eum.go.kr/web/ar/lu/luLandDet.jsp?pnu=4311231021101290005&amp;isNoScr=script&amp;mode=search", "토지이음")</f>
        <v/>
      </c>
      <c r="T288" s="3" t="inlineStr">
        <is>
          <t>위더스</t>
        </is>
      </c>
      <c r="U288" s="4" t="n">
        <v>1</v>
      </c>
      <c r="V288" s="5" t="n">
        <v>62.5</v>
      </c>
      <c r="W288" s="4" t="n">
        <v>2109</v>
      </c>
      <c r="X288" s="3" t="inlineStr">
        <is>
          <t>대장없음</t>
        </is>
      </c>
      <c r="Y288" s="7" t="inlineStr">
        <is>
          <t>대장없음</t>
        </is>
      </c>
      <c r="Z288" s="3" t="inlineStr">
        <is>
          <t>대장없음</t>
        </is>
      </c>
      <c r="AA288" s="3" t="inlineStr">
        <is>
          <t>대장없음</t>
        </is>
      </c>
      <c r="AB288" s="3" t="inlineStr">
        <is>
          <t>대장없음</t>
        </is>
      </c>
      <c r="AC288" s="3" t="inlineStr">
        <is>
          <t>대장없음</t>
        </is>
      </c>
      <c r="AD288" s="3" t="inlineStr">
        <is>
          <t>세로한면(가)</t>
        </is>
      </c>
    </row>
    <row r="289">
      <c r="A289" s="3" t="inlineStr">
        <is>
          <t>남이면 척산리 129-5</t>
        </is>
      </c>
      <c r="B289" s="3" t="inlineStr">
        <is>
          <t>보전녹지지역</t>
        </is>
      </c>
      <c r="C289" s="3" t="inlineStr">
        <is>
          <t>대</t>
        </is>
      </c>
      <c r="D289" s="3" t="inlineStr">
        <is>
          <t>창고</t>
        </is>
      </c>
      <c r="E289" s="3" t="inlineStr">
        <is>
          <t>월세</t>
        </is>
      </c>
      <c r="F289" s="4" t="n">
        <v>2000</v>
      </c>
      <c r="G289" s="4" t="n">
        <v>130</v>
      </c>
      <c r="H289" s="4" t="n">
        <v>2109</v>
      </c>
      <c r="I289" s="4" t="n">
        <v>638</v>
      </c>
      <c r="J289" s="5" t="n">
        <v>0.2</v>
      </c>
      <c r="K289" s="4" t="n">
        <v>180</v>
      </c>
      <c r="L289" s="4" t="n">
        <v>54</v>
      </c>
      <c r="M289" s="5" t="n">
        <v>2.4</v>
      </c>
      <c r="N289" s="3" t="inlineStr">
        <is>
          <t>1</t>
        </is>
      </c>
      <c r="O289" s="3" t="inlineStr">
        <is>
          <t>-</t>
        </is>
      </c>
      <c r="P289" s="3" t="inlineStr">
        <is>
          <t>사진 有, 척산삼거리 인근 마당 넓음, 2차선 대로변에서 진입</t>
        </is>
      </c>
      <c r="Q289" s="6">
        <f>HYPERLINK("https://fin.land.naver.com/articles/2649846117", "매물Link")</f>
        <v/>
      </c>
      <c r="R289" s="6">
        <f>HYPERLINK("https://map.naver.com/p/search/남이면 척산리 129-5", "지도Link")</f>
        <v/>
      </c>
      <c r="S289" s="6">
        <f>HYPERLINK("http://www.eum.go.kr/web/ar/lu/luLandDet.jsp?pnu=4311231021101290005&amp;isNoScr=script&amp;mode=search", "토지이음")</f>
        <v/>
      </c>
      <c r="T289" s="3" t="inlineStr">
        <is>
          <t>태성</t>
        </is>
      </c>
      <c r="U289" s="4" t="n">
        <v>1</v>
      </c>
      <c r="V289" s="5" t="n">
        <v>62.5</v>
      </c>
      <c r="W289" s="4" t="n">
        <v>2109</v>
      </c>
      <c r="X289" s="3" t="inlineStr">
        <is>
          <t>대장없음</t>
        </is>
      </c>
      <c r="Y289" s="7" t="inlineStr">
        <is>
          <t>대장없음</t>
        </is>
      </c>
      <c r="Z289" s="3" t="inlineStr">
        <is>
          <t>대장없음</t>
        </is>
      </c>
      <c r="AA289" s="3" t="inlineStr">
        <is>
          <t>대장없음</t>
        </is>
      </c>
      <c r="AB289" s="3" t="inlineStr">
        <is>
          <t>대장없음</t>
        </is>
      </c>
      <c r="AC289" s="3" t="inlineStr">
        <is>
          <t>대장없음</t>
        </is>
      </c>
      <c r="AD289" s="3" t="inlineStr">
        <is>
          <t>세로한면(가)</t>
        </is>
      </c>
    </row>
    <row r="290">
      <c r="A290" s="3" t="inlineStr">
        <is>
          <t>남이면 척산리 129-5</t>
        </is>
      </c>
      <c r="B290" s="3" t="inlineStr">
        <is>
          <t>보전녹지지역</t>
        </is>
      </c>
      <c r="C290" s="3" t="inlineStr">
        <is>
          <t>대</t>
        </is>
      </c>
      <c r="D290" s="3" t="inlineStr">
        <is>
          <t>창고</t>
        </is>
      </c>
      <c r="E290" s="3" t="inlineStr">
        <is>
          <t>월세</t>
        </is>
      </c>
      <c r="F290" s="4" t="n">
        <v>2000</v>
      </c>
      <c r="G290" s="4" t="n">
        <v>130</v>
      </c>
      <c r="H290" s="4" t="n">
        <v>1055</v>
      </c>
      <c r="I290" s="4" t="n">
        <v>319</v>
      </c>
      <c r="J290" s="5" t="n">
        <v>0.4</v>
      </c>
      <c r="K290" s="4" t="n">
        <v>180</v>
      </c>
      <c r="L290" s="4" t="n">
        <v>54</v>
      </c>
      <c r="M290" s="5" t="n">
        <v>2.4</v>
      </c>
      <c r="N290" s="3" t="inlineStr">
        <is>
          <t>1</t>
        </is>
      </c>
      <c r="O290" s="3" t="inlineStr">
        <is>
          <t>-</t>
        </is>
      </c>
      <c r="P290" s="3" t="inlineStr">
        <is>
          <t>nan</t>
        </is>
      </c>
      <c r="Q290" s="6">
        <f>HYPERLINK("https://fin.land.naver.com/articles/2653266534", "매물Link")</f>
        <v/>
      </c>
      <c r="R290" s="6">
        <f>HYPERLINK("https://map.naver.com/p/search/남이면 척산리 129-5", "지도Link")</f>
        <v/>
      </c>
      <c r="S290" s="6">
        <f>HYPERLINK("http://www.eum.go.kr/web/ar/lu/luLandDet.jsp?pnu=4311231021101290005&amp;isNoScr=script&amp;mode=search", "토지이음")</f>
        <v/>
      </c>
      <c r="T290" s="3" t="inlineStr">
        <is>
          <t>청주원</t>
        </is>
      </c>
      <c r="U290" s="4" t="n">
        <v>1</v>
      </c>
      <c r="V290" s="5" t="n">
        <v>62.5</v>
      </c>
      <c r="W290" s="4" t="n">
        <v>2109</v>
      </c>
      <c r="X290" s="3" t="inlineStr">
        <is>
          <t>대장없음</t>
        </is>
      </c>
      <c r="Y290" s="7" t="inlineStr">
        <is>
          <t>대장없음</t>
        </is>
      </c>
      <c r="Z290" s="3" t="inlineStr">
        <is>
          <t>대장없음</t>
        </is>
      </c>
      <c r="AA290" s="3" t="inlineStr">
        <is>
          <t>대장없음</t>
        </is>
      </c>
      <c r="AB290" s="3" t="inlineStr">
        <is>
          <t>대장없음</t>
        </is>
      </c>
      <c r="AC290" s="3" t="inlineStr">
        <is>
          <t>대장없음</t>
        </is>
      </c>
      <c r="AD290" s="3" t="inlineStr">
        <is>
          <t>세로한면(가)</t>
        </is>
      </c>
    </row>
    <row r="291">
      <c r="A291" s="3" t="inlineStr">
        <is>
          <t>남이면 척산리 129-5</t>
        </is>
      </c>
      <c r="B291" s="3" t="inlineStr">
        <is>
          <t>보전녹지지역</t>
        </is>
      </c>
      <c r="C291" s="3" t="inlineStr">
        <is>
          <t>대</t>
        </is>
      </c>
      <c r="D291" s="3" t="inlineStr">
        <is>
          <t>창고</t>
        </is>
      </c>
      <c r="E291" s="3" t="inlineStr">
        <is>
          <t>월세</t>
        </is>
      </c>
      <c r="F291" s="4" t="n">
        <v>2000</v>
      </c>
      <c r="G291" s="4" t="n">
        <v>130</v>
      </c>
      <c r="H291" s="4" t="n">
        <v>2109</v>
      </c>
      <c r="I291" s="4" t="n">
        <v>638</v>
      </c>
      <c r="J291" s="5" t="n">
        <v>0.2</v>
      </c>
      <c r="K291" s="4" t="n">
        <v>180</v>
      </c>
      <c r="L291" s="4" t="n">
        <v>54</v>
      </c>
      <c r="M291" s="5" t="n">
        <v>2.4</v>
      </c>
      <c r="N291" s="3" t="inlineStr">
        <is>
          <t>1</t>
        </is>
      </c>
      <c r="O291" s="3" t="inlineStr">
        <is>
          <t>-</t>
        </is>
      </c>
      <c r="P291" s="3" t="inlineStr">
        <is>
          <t>사진 有 척산리 준 신축 창고 입니다 1동2동 둘다 사용가능</t>
        </is>
      </c>
      <c r="Q291" s="6">
        <f>HYPERLINK("https://fin.land.naver.com/articles/2649339849", "매물Link")</f>
        <v/>
      </c>
      <c r="R291" s="6">
        <f>HYPERLINK("https://map.naver.com/p/search/남이면 척산리 129-5", "지도Link")</f>
        <v/>
      </c>
      <c r="S291" s="6">
        <f>HYPERLINK("http://www.eum.go.kr/web/ar/lu/luLandDet.jsp?pnu=4311231021101290005&amp;isNoScr=script&amp;mode=search", "토지이음")</f>
        <v/>
      </c>
      <c r="T291" s="3" t="inlineStr">
        <is>
          <t>청주대장</t>
        </is>
      </c>
      <c r="U291" s="4" t="n">
        <v>1</v>
      </c>
      <c r="V291" s="5" t="n">
        <v>62.5</v>
      </c>
      <c r="W291" s="4" t="n">
        <v>2109</v>
      </c>
      <c r="X291" s="3" t="inlineStr">
        <is>
          <t>대장없음</t>
        </is>
      </c>
      <c r="Y291" s="7" t="inlineStr">
        <is>
          <t>대장없음</t>
        </is>
      </c>
      <c r="Z291" s="3" t="inlineStr">
        <is>
          <t>대장없음</t>
        </is>
      </c>
      <c r="AA291" s="3" t="inlineStr">
        <is>
          <t>대장없음</t>
        </is>
      </c>
      <c r="AB291" s="3" t="inlineStr">
        <is>
          <t>대장없음</t>
        </is>
      </c>
      <c r="AC291" s="3" t="inlineStr">
        <is>
          <t>대장없음</t>
        </is>
      </c>
      <c r="AD291" s="3" t="inlineStr">
        <is>
          <t>세로한면(가)</t>
        </is>
      </c>
    </row>
    <row r="292">
      <c r="A292" s="3" t="inlineStr">
        <is>
          <t>남이면 척산리 136-1</t>
        </is>
      </c>
      <c r="B292" s="3" t="inlineStr">
        <is>
          <t>계획관리지역</t>
        </is>
      </c>
      <c r="C292" s="3" t="inlineStr">
        <is>
          <t>공장용지</t>
        </is>
      </c>
      <c r="D292" s="3" t="inlineStr">
        <is>
          <t>공장</t>
        </is>
      </c>
      <c r="E292" s="3" t="inlineStr">
        <is>
          <t>월세</t>
        </is>
      </c>
      <c r="F292" s="4" t="n">
        <v>3000</v>
      </c>
      <c r="G292" s="4" t="n">
        <v>250</v>
      </c>
      <c r="H292" s="4" t="n">
        <v>2121</v>
      </c>
      <c r="I292" s="4" t="n">
        <v>642</v>
      </c>
      <c r="J292" s="5" t="n">
        <v>0.4</v>
      </c>
      <c r="K292" s="4" t="n">
        <v>495</v>
      </c>
      <c r="L292" s="4" t="n">
        <v>150</v>
      </c>
      <c r="M292" s="5" t="n">
        <v>1.7</v>
      </c>
      <c r="N292" s="3" t="inlineStr">
        <is>
          <t>1</t>
        </is>
      </c>
      <c r="O292" s="3" t="inlineStr">
        <is>
          <t>-</t>
        </is>
      </c>
      <c r="P292" s="3" t="inlineStr">
        <is>
          <t>150형 공장등록 호이스트 2.8톤</t>
        </is>
      </c>
      <c r="Q292" s="6">
        <f>HYPERLINK("https://fin.land.naver.com/articles/2651815067", "매물Link")</f>
        <v/>
      </c>
      <c r="R292" s="6">
        <f>HYPERLINK("https://map.naver.com/p/search/남이면 척산리 136-1", "지도Link")</f>
        <v/>
      </c>
      <c r="S292" s="6">
        <f>HYPERLINK("http://www.eum.go.kr/web/ar/lu/luLandDet.jsp?pnu=4311231021101360001&amp;isNoScr=script&amp;mode=search", "토지이음")</f>
        <v/>
      </c>
      <c r="T292" s="3" t="inlineStr">
        <is>
          <t>위더스</t>
        </is>
      </c>
      <c r="U292" s="4" t="n">
        <v>1</v>
      </c>
      <c r="V292" s="5" t="n">
        <v>59.2</v>
      </c>
      <c r="W292" s="4" t="n">
        <v>1470</v>
      </c>
      <c r="X292" s="3" t="inlineStr">
        <is>
          <t>대장없음</t>
        </is>
      </c>
      <c r="Y292" s="7" t="inlineStr">
        <is>
          <t>대장없음</t>
        </is>
      </c>
      <c r="Z292" s="3" t="inlineStr">
        <is>
          <t>대장없음</t>
        </is>
      </c>
      <c r="AA292" s="3" t="inlineStr">
        <is>
          <t>대장없음</t>
        </is>
      </c>
      <c r="AB292" s="3" t="inlineStr">
        <is>
          <t>대장없음</t>
        </is>
      </c>
      <c r="AC292" s="3" t="inlineStr">
        <is>
          <t>대장없음</t>
        </is>
      </c>
      <c r="AD292" s="3" t="inlineStr">
        <is>
          <t>세로한면(가)</t>
        </is>
      </c>
    </row>
    <row r="293">
      <c r="A293" s="3" t="inlineStr">
        <is>
          <t>남이면 척산리 157</t>
        </is>
      </c>
      <c r="B293" s="3" t="inlineStr">
        <is>
          <t>자연녹지지역</t>
        </is>
      </c>
      <c r="C293" s="3" t="inlineStr">
        <is>
          <t>대</t>
        </is>
      </c>
      <c r="D293" s="3" t="inlineStr">
        <is>
          <t>공장</t>
        </is>
      </c>
      <c r="E293" s="3" t="inlineStr">
        <is>
          <t>매매</t>
        </is>
      </c>
      <c r="F293" s="4" t="n">
        <v>240000</v>
      </c>
      <c r="G293" s="4" t="n">
        <v>0</v>
      </c>
      <c r="H293" s="4" t="n">
        <v>1462</v>
      </c>
      <c r="I293" s="4" t="n">
        <v>442</v>
      </c>
      <c r="J293" s="5" t="n">
        <v>543</v>
      </c>
      <c r="K293" s="4" t="n">
        <v>291</v>
      </c>
      <c r="L293" s="4" t="n">
        <v>88</v>
      </c>
      <c r="M293" s="5" t="n">
        <v>2727.3</v>
      </c>
      <c r="N293" s="3" t="inlineStr">
        <is>
          <t>1</t>
        </is>
      </c>
      <c r="O293" s="3" t="inlineStr">
        <is>
          <t>B1</t>
        </is>
      </c>
      <c r="P293" s="3" t="inlineStr">
        <is>
          <t>남청주 ic 5분거리 인접, 접근성 뛰어난 신축 공장 매매</t>
        </is>
      </c>
      <c r="Q293" s="6">
        <f>HYPERLINK("https://fin.land.naver.com/articles/2650533629", "매물Link")</f>
        <v/>
      </c>
      <c r="R293" s="6">
        <f>HYPERLINK("https://map.naver.com/p/search/남이면 척산리 157", "지도Link")</f>
        <v/>
      </c>
      <c r="S293" s="6">
        <f>HYPERLINK("http://www.eum.go.kr/web/ar/lu/luLandDet.jsp?pnu=4311231021101570000&amp;isNoScr=script&amp;mode=search", "토지이음")</f>
        <v/>
      </c>
      <c r="T293" s="3" t="inlineStr">
        <is>
          <t>청주 합동</t>
        </is>
      </c>
      <c r="U293" s="4" t="n">
        <v>2</v>
      </c>
      <c r="V293" s="5" t="n">
        <v>65</v>
      </c>
      <c r="W293" s="4" t="n">
        <v>1462</v>
      </c>
      <c r="X293" s="3" t="inlineStr">
        <is>
          <t>대장없음</t>
        </is>
      </c>
      <c r="Y293" s="7" t="inlineStr">
        <is>
          <t>대장없음</t>
        </is>
      </c>
      <c r="Z293" s="3" t="inlineStr">
        <is>
          <t>대장없음</t>
        </is>
      </c>
      <c r="AA293" s="3" t="inlineStr">
        <is>
          <t>대장없음</t>
        </is>
      </c>
      <c r="AB293" s="3" t="inlineStr">
        <is>
          <t>대장없음</t>
        </is>
      </c>
      <c r="AC293" s="3" t="inlineStr">
        <is>
          <t>대장없음</t>
        </is>
      </c>
      <c r="AD293" s="3" t="inlineStr">
        <is>
          <t>세로한면(가)</t>
        </is>
      </c>
    </row>
    <row r="294">
      <c r="A294" s="3" t="inlineStr">
        <is>
          <t>남이면 척산리 158</t>
        </is>
      </c>
      <c r="B294" s="3" t="inlineStr">
        <is>
          <t>자연녹지지역</t>
        </is>
      </c>
      <c r="C294" s="3" t="inlineStr">
        <is>
          <t>대</t>
        </is>
      </c>
      <c r="D294" s="3" t="inlineStr">
        <is>
          <t>창고</t>
        </is>
      </c>
      <c r="E294" s="3" t="inlineStr">
        <is>
          <t>매매</t>
        </is>
      </c>
      <c r="F294" s="4" t="n">
        <v>80000</v>
      </c>
      <c r="G294" s="4" t="n">
        <v>0</v>
      </c>
      <c r="H294" s="4" t="n">
        <v>1436</v>
      </c>
      <c r="I294" s="4" t="n">
        <v>434</v>
      </c>
      <c r="J294" s="5" t="n">
        <v>184.3</v>
      </c>
      <c r="K294" s="4" t="n">
        <v>276</v>
      </c>
      <c r="L294" s="4" t="n">
        <v>83</v>
      </c>
      <c r="M294" s="5" t="n">
        <v>963.9</v>
      </c>
      <c r="N294" s="3" t="inlineStr">
        <is>
          <t>1</t>
        </is>
      </c>
      <c r="O294" s="3" t="inlineStr">
        <is>
          <t>-</t>
        </is>
      </c>
      <c r="P294" s="3" t="inlineStr">
        <is>
          <t>사진有, 척산삼거리인근, 신축 2종근생제조업소, 대형차량진입용이</t>
        </is>
      </c>
      <c r="Q294" s="6">
        <f>HYPERLINK("https://fin.land.naver.com/articles/2650897636", "매물Link")</f>
        <v/>
      </c>
      <c r="R294" s="6">
        <f>HYPERLINK("https://map.naver.com/p/search/남이면 척산리 158", "지도Link")</f>
        <v/>
      </c>
      <c r="S294" s="6">
        <f>HYPERLINK("http://www.eum.go.kr/web/ar/lu/luLandDet.jsp?pnu=4311231021101580000&amp;isNoScr=script&amp;mode=search", "토지이음")</f>
        <v/>
      </c>
      <c r="T294" s="3" t="inlineStr">
        <is>
          <t>태성</t>
        </is>
      </c>
      <c r="U294" s="4" t="n">
        <v>1</v>
      </c>
      <c r="V294" s="5" t="n">
        <v>64.90000000000001</v>
      </c>
      <c r="W294" s="4" t="n">
        <v>1436</v>
      </c>
      <c r="X294" s="3" t="inlineStr">
        <is>
          <t>대장없음</t>
        </is>
      </c>
      <c r="Y294" s="7" t="inlineStr">
        <is>
          <t>대장없음</t>
        </is>
      </c>
      <c r="Z294" s="3" t="inlineStr">
        <is>
          <t>대장없음</t>
        </is>
      </c>
      <c r="AA294" s="3" t="inlineStr">
        <is>
          <t>대장없음</t>
        </is>
      </c>
      <c r="AB294" s="3" t="inlineStr">
        <is>
          <t>대장없음</t>
        </is>
      </c>
      <c r="AC294" s="3" t="inlineStr">
        <is>
          <t>대장없음</t>
        </is>
      </c>
      <c r="AD294" s="3" t="inlineStr">
        <is>
          <t>세로한면(가)</t>
        </is>
      </c>
    </row>
    <row r="295">
      <c r="A295" s="3" t="inlineStr">
        <is>
          <t>남이면 척산리 232</t>
        </is>
      </c>
      <c r="B295" s="3" t="inlineStr">
        <is>
          <t>계획관리지역</t>
        </is>
      </c>
      <c r="C295" s="3" t="inlineStr">
        <is>
          <t>잡종지</t>
        </is>
      </c>
      <c r="D295" s="3" t="inlineStr">
        <is>
          <t>공장</t>
        </is>
      </c>
      <c r="E295" s="3" t="inlineStr">
        <is>
          <t>월세</t>
        </is>
      </c>
      <c r="F295" s="4" t="n">
        <v>10000</v>
      </c>
      <c r="G295" s="4" t="n">
        <v>1000</v>
      </c>
      <c r="H295" s="4" t="n">
        <v>7264</v>
      </c>
      <c r="I295" s="4" t="n">
        <v>2197</v>
      </c>
      <c r="J295" s="5" t="n">
        <v>0.5</v>
      </c>
      <c r="K295" s="4" t="n">
        <v>1337</v>
      </c>
      <c r="L295" s="4" t="n">
        <v>404</v>
      </c>
      <c r="M295" s="5" t="n">
        <v>2.5</v>
      </c>
      <c r="N295" s="3" t="inlineStr">
        <is>
          <t>2</t>
        </is>
      </c>
      <c r="O295" s="3" t="inlineStr">
        <is>
          <t>-</t>
        </is>
      </c>
      <c r="P295" s="3" t="inlineStr">
        <is>
          <t>남청주 IC 5.3km ,넓은 야적장,  공장 창고 물류,</t>
        </is>
      </c>
      <c r="Q295" s="6">
        <f>HYPERLINK("https://fin.land.naver.com/articles/2649746971", "매물Link")</f>
        <v/>
      </c>
      <c r="R295" s="6">
        <f>HYPERLINK("https://map.naver.com/p/search/남이면 척산리 232", "지도Link")</f>
        <v/>
      </c>
      <c r="S295" s="6">
        <f>HYPERLINK("http://www.eum.go.kr/web/ar/lu/luLandDet.jsp?pnu=4311231021102320000&amp;isNoScr=script&amp;mode=search", "토지이음")</f>
        <v/>
      </c>
      <c r="T295" s="3" t="inlineStr">
        <is>
          <t>(주)이알에이코리아</t>
        </is>
      </c>
      <c r="U295" s="4" t="n">
        <v>1</v>
      </c>
      <c r="V295" s="5" t="n">
        <v>65.09999999999999</v>
      </c>
      <c r="W295" s="4" t="n">
        <v>7000</v>
      </c>
      <c r="X295" s="3" t="inlineStr">
        <is>
          <t>대장없음</t>
        </is>
      </c>
      <c r="Y295" s="7" t="inlineStr">
        <is>
          <t>대장없음</t>
        </is>
      </c>
      <c r="Z295" s="3" t="inlineStr">
        <is>
          <t>대장없음</t>
        </is>
      </c>
      <c r="AA295" s="3" t="inlineStr">
        <is>
          <t>대장없음</t>
        </is>
      </c>
      <c r="AB295" s="3" t="inlineStr">
        <is>
          <t>대장없음</t>
        </is>
      </c>
      <c r="AC295" s="3" t="inlineStr">
        <is>
          <t>대장없음</t>
        </is>
      </c>
      <c r="AD295" s="3" t="inlineStr">
        <is>
          <t>세로한면(가)</t>
        </is>
      </c>
    </row>
    <row r="296">
      <c r="A296" s="3" t="inlineStr">
        <is>
          <t>남이면 척산리 232</t>
        </is>
      </c>
      <c r="B296" s="3" t="inlineStr">
        <is>
          <t>계획관리지역</t>
        </is>
      </c>
      <c r="C296" s="3" t="inlineStr">
        <is>
          <t>잡종지</t>
        </is>
      </c>
      <c r="D296" s="3" t="inlineStr">
        <is>
          <t>공장</t>
        </is>
      </c>
      <c r="E296" s="3" t="inlineStr">
        <is>
          <t>매매</t>
        </is>
      </c>
      <c r="F296" s="4" t="n">
        <v>400000</v>
      </c>
      <c r="G296" s="4" t="n">
        <v>0</v>
      </c>
      <c r="H296" s="4" t="n">
        <v>7264</v>
      </c>
      <c r="I296" s="4" t="n">
        <v>2197</v>
      </c>
      <c r="J296" s="5" t="n">
        <v>182.1</v>
      </c>
      <c r="K296" s="4" t="n">
        <v>1337</v>
      </c>
      <c r="L296" s="4" t="n">
        <v>404</v>
      </c>
      <c r="M296" s="5" t="n">
        <v>990.1</v>
      </c>
      <c r="N296" s="3" t="inlineStr">
        <is>
          <t>2</t>
        </is>
      </c>
      <c r="O296" s="3" t="inlineStr">
        <is>
          <t>-</t>
        </is>
      </c>
      <c r="P296" s="3" t="inlineStr">
        <is>
          <t>공장용도</t>
        </is>
      </c>
      <c r="Q296" s="6">
        <f>HYPERLINK("https://fin.land.naver.com/articles/2650638871", "매물Link")</f>
        <v/>
      </c>
      <c r="R296" s="6">
        <f>HYPERLINK("https://map.naver.com/p/search/남이면 척산리 232", "지도Link")</f>
        <v/>
      </c>
      <c r="S296" s="6">
        <f>HYPERLINK("http://www.eum.go.kr/web/ar/lu/luLandDet.jsp?pnu=4311231021102320000&amp;isNoScr=script&amp;mode=search", "토지이음")</f>
        <v/>
      </c>
      <c r="T296" s="3" t="inlineStr">
        <is>
          <t>(주)이알에이코리아</t>
        </is>
      </c>
      <c r="U296" s="4" t="n">
        <v>1</v>
      </c>
      <c r="V296" s="5" t="n">
        <v>65.09999999999999</v>
      </c>
      <c r="W296" s="4" t="n">
        <v>7000</v>
      </c>
      <c r="X296" s="3" t="inlineStr">
        <is>
          <t>대장없음</t>
        </is>
      </c>
      <c r="Y296" s="7" t="inlineStr">
        <is>
          <t>대장없음</t>
        </is>
      </c>
      <c r="Z296" s="3" t="inlineStr">
        <is>
          <t>대장없음</t>
        </is>
      </c>
      <c r="AA296" s="3" t="inlineStr">
        <is>
          <t>대장없음</t>
        </is>
      </c>
      <c r="AB296" s="3" t="inlineStr">
        <is>
          <t>대장없음</t>
        </is>
      </c>
      <c r="AC296" s="3" t="inlineStr">
        <is>
          <t>대장없음</t>
        </is>
      </c>
      <c r="AD296" s="3" t="inlineStr">
        <is>
          <t>세로한면(가)</t>
        </is>
      </c>
    </row>
    <row r="297">
      <c r="A297" s="3" t="inlineStr">
        <is>
          <t>남이면 척산리 232-6</t>
        </is>
      </c>
      <c r="B297" s="3" t="inlineStr">
        <is>
          <t>계획관리지역</t>
        </is>
      </c>
      <c r="C297" s="3" t="inlineStr">
        <is>
          <t>공장용지</t>
        </is>
      </c>
      <c r="D297" s="3" t="inlineStr">
        <is>
          <t>공장</t>
        </is>
      </c>
      <c r="E297" s="3" t="inlineStr">
        <is>
          <t>월세</t>
        </is>
      </c>
      <c r="F297" s="4" t="n">
        <v>12000</v>
      </c>
      <c r="G297" s="4" t="n">
        <v>1200</v>
      </c>
      <c r="H297" s="4" t="n">
        <v>10144</v>
      </c>
      <c r="I297" s="4" t="n">
        <v>3069</v>
      </c>
      <c r="J297" s="5" t="n">
        <v>0.4</v>
      </c>
      <c r="K297" s="4" t="n">
        <v>1808</v>
      </c>
      <c r="L297" s="4" t="n">
        <v>547</v>
      </c>
      <c r="M297" s="5" t="n">
        <v>2.2</v>
      </c>
      <c r="N297" s="3" t="inlineStr">
        <is>
          <t>3</t>
        </is>
      </c>
      <c r="O297" s="3" t="inlineStr">
        <is>
          <t>-</t>
        </is>
      </c>
      <c r="P297" s="3" t="inlineStr">
        <is>
          <t>남청주IC인근,관리잘된 대형공장, 화물용 엘리베이터, 대형차 진입용이</t>
        </is>
      </c>
      <c r="Q297" s="6">
        <f>HYPERLINK("https://fin.land.naver.com/articles/2652109467", "매물Link")</f>
        <v/>
      </c>
      <c r="R297" s="6">
        <f>HYPERLINK("https://map.naver.com/p/search/남이면 척산리 232-6", "지도Link")</f>
        <v/>
      </c>
      <c r="S297" s="6">
        <f>HYPERLINK("http://www.eum.go.kr/web/ar/lu/luLandDet.jsp?pnu=4311231021102320006&amp;isNoScr=script&amp;mode=search", "토지이음")</f>
        <v/>
      </c>
      <c r="T297" s="3" t="inlineStr">
        <is>
          <t>(주)미르</t>
        </is>
      </c>
      <c r="U297" s="4" t="n">
        <v>1</v>
      </c>
      <c r="V297" s="5" t="n">
        <v>69</v>
      </c>
      <c r="W297" s="4" t="n">
        <v>10144</v>
      </c>
      <c r="X297" s="3" t="inlineStr">
        <is>
          <t>대장없음</t>
        </is>
      </c>
      <c r="Y297" s="7" t="inlineStr">
        <is>
          <t>대장없음</t>
        </is>
      </c>
      <c r="Z297" s="3" t="inlineStr">
        <is>
          <t>대장없음</t>
        </is>
      </c>
      <c r="AA297" s="3" t="inlineStr">
        <is>
          <t>대장없음</t>
        </is>
      </c>
      <c r="AB297" s="3" t="inlineStr">
        <is>
          <t>대장없음</t>
        </is>
      </c>
      <c r="AC297" s="3" t="inlineStr">
        <is>
          <t>대장없음</t>
        </is>
      </c>
      <c r="AD297" s="3" t="inlineStr">
        <is>
          <t>세로한면(가)</t>
        </is>
      </c>
    </row>
    <row r="298">
      <c r="A298" s="3" t="inlineStr">
        <is>
          <t>남이면 척산리 232-6</t>
        </is>
      </c>
      <c r="B298" s="3" t="inlineStr">
        <is>
          <t>계획관리지역</t>
        </is>
      </c>
      <c r="C298" s="3" t="inlineStr">
        <is>
          <t>공장용지</t>
        </is>
      </c>
      <c r="D298" s="3" t="inlineStr">
        <is>
          <t>공장</t>
        </is>
      </c>
      <c r="E298" s="3" t="inlineStr">
        <is>
          <t>매매</t>
        </is>
      </c>
      <c r="F298" s="4" t="n">
        <v>1100000</v>
      </c>
      <c r="G298" s="4" t="n">
        <v>0</v>
      </c>
      <c r="H298" s="4" t="n">
        <v>10144</v>
      </c>
      <c r="I298" s="4" t="n">
        <v>3069</v>
      </c>
      <c r="J298" s="5" t="n">
        <v>358.4</v>
      </c>
      <c r="K298" s="4" t="n">
        <v>9117</v>
      </c>
      <c r="L298" s="4" t="n">
        <v>2758</v>
      </c>
      <c r="M298" s="5" t="n">
        <v>398.8</v>
      </c>
      <c r="N298" s="3" t="inlineStr">
        <is>
          <t>3</t>
        </is>
      </c>
      <c r="O298" s="3" t="inlineStr">
        <is>
          <t>B1</t>
        </is>
      </c>
      <c r="P298" s="3" t="inlineStr">
        <is>
          <t>남청주ic 9분거리로 고속도로 접근성 좋아 타지역으로 물류이동이 편리함</t>
        </is>
      </c>
      <c r="Q298" s="6">
        <f>HYPERLINK("https://fin.land.naver.com/articles/2652625185", "매물Link")</f>
        <v/>
      </c>
      <c r="R298" s="6">
        <f>HYPERLINK("https://map.naver.com/p/search/남이면 척산리 232-6", "지도Link")</f>
        <v/>
      </c>
      <c r="S298" s="6">
        <f>HYPERLINK("http://www.eum.go.kr/web/ar/lu/luLandDet.jsp?pnu=4311231021102320006&amp;isNoScr=script&amp;mode=search", "토지이음")</f>
        <v/>
      </c>
      <c r="T298" s="3" t="inlineStr">
        <is>
          <t>더원</t>
        </is>
      </c>
      <c r="U298" s="4" t="n">
        <v>1</v>
      </c>
      <c r="V298" s="5" t="n">
        <v>69</v>
      </c>
      <c r="W298" s="4" t="n">
        <v>10144</v>
      </c>
      <c r="X298" s="3" t="inlineStr">
        <is>
          <t>대장없음</t>
        </is>
      </c>
      <c r="Y298" s="7" t="inlineStr">
        <is>
          <t>대장없음</t>
        </is>
      </c>
      <c r="Z298" s="3" t="inlineStr">
        <is>
          <t>대장없음</t>
        </is>
      </c>
      <c r="AA298" s="3" t="inlineStr">
        <is>
          <t>대장없음</t>
        </is>
      </c>
      <c r="AB298" s="3" t="inlineStr">
        <is>
          <t>대장없음</t>
        </is>
      </c>
      <c r="AC298" s="3" t="inlineStr">
        <is>
          <t>대장없음</t>
        </is>
      </c>
      <c r="AD298" s="3" t="inlineStr">
        <is>
          <t>세로한면(가)</t>
        </is>
      </c>
    </row>
    <row r="299">
      <c r="A299" s="3" t="inlineStr">
        <is>
          <t>남이면 척산리 232-6</t>
        </is>
      </c>
      <c r="B299" s="3" t="inlineStr">
        <is>
          <t>계획관리지역</t>
        </is>
      </c>
      <c r="C299" s="3" t="inlineStr">
        <is>
          <t>공장용지</t>
        </is>
      </c>
      <c r="D299" s="3" t="inlineStr">
        <is>
          <t>공장</t>
        </is>
      </c>
      <c r="E299" s="3" t="inlineStr">
        <is>
          <t>매매</t>
        </is>
      </c>
      <c r="F299" s="4" t="n">
        <v>1100000</v>
      </c>
      <c r="G299" s="4" t="n">
        <v>0</v>
      </c>
      <c r="H299" s="4" t="n">
        <v>10144</v>
      </c>
      <c r="I299" s="4" t="n">
        <v>3069</v>
      </c>
      <c r="J299" s="5" t="n">
        <v>358.4</v>
      </c>
      <c r="K299" s="4" t="n">
        <v>9117</v>
      </c>
      <c r="L299" s="4" t="n">
        <v>2758</v>
      </c>
      <c r="M299" s="5" t="n">
        <v>398.8</v>
      </c>
      <c r="N299" s="3" t="inlineStr">
        <is>
          <t>3</t>
        </is>
      </c>
      <c r="O299" s="3" t="inlineStr">
        <is>
          <t>-</t>
        </is>
      </c>
      <c r="P299" s="3" t="inlineStr">
        <is>
          <t>남청주IC인근 대형차 진출입 용이한 관리 잘 된 대형공장, 창고</t>
        </is>
      </c>
      <c r="Q299" s="6">
        <f>HYPERLINK("https://fin.land.naver.com/articles/2652105829", "매물Link")</f>
        <v/>
      </c>
      <c r="R299" s="6">
        <f>HYPERLINK("https://map.naver.com/p/search/남이면 척산리 232-6", "지도Link")</f>
        <v/>
      </c>
      <c r="S299" s="6">
        <f>HYPERLINK("http://www.eum.go.kr/web/ar/lu/luLandDet.jsp?pnu=4311231021102320006&amp;isNoScr=script&amp;mode=search", "토지이음")</f>
        <v/>
      </c>
      <c r="T299" s="3" t="inlineStr">
        <is>
          <t>(주)미르</t>
        </is>
      </c>
      <c r="U299" s="4" t="n">
        <v>1</v>
      </c>
      <c r="V299" s="5" t="n">
        <v>69</v>
      </c>
      <c r="W299" s="4" t="n">
        <v>10144</v>
      </c>
      <c r="X299" s="3" t="inlineStr">
        <is>
          <t>대장없음</t>
        </is>
      </c>
      <c r="Y299" s="7" t="inlineStr">
        <is>
          <t>대장없음</t>
        </is>
      </c>
      <c r="Z299" s="3" t="inlineStr">
        <is>
          <t>대장없음</t>
        </is>
      </c>
      <c r="AA299" s="3" t="inlineStr">
        <is>
          <t>대장없음</t>
        </is>
      </c>
      <c r="AB299" s="3" t="inlineStr">
        <is>
          <t>대장없음</t>
        </is>
      </c>
      <c r="AC299" s="3" t="inlineStr">
        <is>
          <t>대장없음</t>
        </is>
      </c>
      <c r="AD299" s="3" t="inlineStr">
        <is>
          <t>세로한면(가)</t>
        </is>
      </c>
    </row>
    <row r="300">
      <c r="A300" s="3" t="inlineStr">
        <is>
          <t>남이면 척산리 232-6</t>
        </is>
      </c>
      <c r="B300" s="3" t="inlineStr">
        <is>
          <t>계획관리지역</t>
        </is>
      </c>
      <c r="C300" s="3" t="inlineStr">
        <is>
          <t>공장용지</t>
        </is>
      </c>
      <c r="D300" s="3" t="inlineStr">
        <is>
          <t>공장</t>
        </is>
      </c>
      <c r="E300" s="3" t="inlineStr">
        <is>
          <t>월세</t>
        </is>
      </c>
      <c r="F300" s="4" t="n">
        <v>12000</v>
      </c>
      <c r="G300" s="4" t="n">
        <v>1200</v>
      </c>
      <c r="H300" s="4" t="n">
        <v>10144</v>
      </c>
      <c r="I300" s="4" t="n">
        <v>3069</v>
      </c>
      <c r="J300" s="5" t="n">
        <v>0.4</v>
      </c>
      <c r="K300" s="4" t="n">
        <v>1812</v>
      </c>
      <c r="L300" s="4" t="n">
        <v>548</v>
      </c>
      <c r="M300" s="5" t="n">
        <v>2.2</v>
      </c>
      <c r="N300" s="3" t="inlineStr">
        <is>
          <t>3</t>
        </is>
      </c>
      <c r="O300" s="3" t="inlineStr">
        <is>
          <t>B1</t>
        </is>
      </c>
      <c r="P300" s="3" t="inlineStr">
        <is>
          <t>사진有 공장 임대</t>
        </is>
      </c>
      <c r="Q300" s="6">
        <f>HYPERLINK("https://fin.land.naver.com/articles/2653027070", "매물Link")</f>
        <v/>
      </c>
      <c r="R300" s="6">
        <f>HYPERLINK("https://map.naver.com/p/search/남이면 척산리 232-6", "지도Link")</f>
        <v/>
      </c>
      <c r="S300" s="6">
        <f>HYPERLINK("http://www.eum.go.kr/web/ar/lu/luLandDet.jsp?pnu=4311231021102320006&amp;isNoScr=script&amp;mode=search", "토지이음")</f>
        <v/>
      </c>
      <c r="T300" s="3" t="inlineStr">
        <is>
          <t>월드</t>
        </is>
      </c>
      <c r="U300" s="4" t="n">
        <v>1</v>
      </c>
      <c r="V300" s="5" t="n">
        <v>69</v>
      </c>
      <c r="W300" s="4" t="n">
        <v>10144</v>
      </c>
      <c r="X300" s="3" t="inlineStr">
        <is>
          <t>대장없음</t>
        </is>
      </c>
      <c r="Y300" s="7" t="inlineStr">
        <is>
          <t>대장없음</t>
        </is>
      </c>
      <c r="Z300" s="3" t="inlineStr">
        <is>
          <t>대장없음</t>
        </is>
      </c>
      <c r="AA300" s="3" t="inlineStr">
        <is>
          <t>대장없음</t>
        </is>
      </c>
      <c r="AB300" s="3" t="inlineStr">
        <is>
          <t>대장없음</t>
        </is>
      </c>
      <c r="AC300" s="3" t="inlineStr">
        <is>
          <t>대장없음</t>
        </is>
      </c>
      <c r="AD300" s="3" t="inlineStr">
        <is>
          <t>세로한면(가)</t>
        </is>
      </c>
    </row>
    <row r="301">
      <c r="A301" s="3" t="inlineStr">
        <is>
          <t>남이면 척산리 232-6</t>
        </is>
      </c>
      <c r="B301" s="3" t="inlineStr">
        <is>
          <t>계획관리지역</t>
        </is>
      </c>
      <c r="C301" s="3" t="inlineStr">
        <is>
          <t>공장용지</t>
        </is>
      </c>
      <c r="D301" s="3" t="inlineStr">
        <is>
          <t>공장</t>
        </is>
      </c>
      <c r="E301" s="3" t="inlineStr">
        <is>
          <t>매매</t>
        </is>
      </c>
      <c r="F301" s="4" t="n">
        <v>1200000</v>
      </c>
      <c r="G301" s="4" t="n">
        <v>0</v>
      </c>
      <c r="H301" s="4" t="n">
        <v>3068</v>
      </c>
      <c r="I301" s="4" t="n">
        <v>928</v>
      </c>
      <c r="J301" s="5" t="n">
        <v>1293.1</v>
      </c>
      <c r="K301" s="4" t="n">
        <v>2757</v>
      </c>
      <c r="L301" s="4" t="n">
        <v>834</v>
      </c>
      <c r="M301" s="5" t="n">
        <v>1438.8</v>
      </c>
      <c r="N301" s="3" t="inlineStr">
        <is>
          <t>3</t>
        </is>
      </c>
      <c r="O301" s="3" t="inlineStr">
        <is>
          <t>B1</t>
        </is>
      </c>
      <c r="P301" s="3" t="inlineStr">
        <is>
          <t>사진有 공장 매매</t>
        </is>
      </c>
      <c r="Q301" s="6">
        <f>HYPERLINK("https://fin.land.naver.com/articles/2650520423", "매물Link")</f>
        <v/>
      </c>
      <c r="R301" s="6">
        <f>HYPERLINK("https://map.naver.com/p/search/남이면 척산리 232-6", "지도Link")</f>
        <v/>
      </c>
      <c r="S301" s="6">
        <f>HYPERLINK("http://www.eum.go.kr/web/ar/lu/luLandDet.jsp?pnu=4311231021102320006&amp;isNoScr=script&amp;mode=search", "토지이음")</f>
        <v/>
      </c>
      <c r="T301" s="3" t="inlineStr">
        <is>
          <t>월드</t>
        </is>
      </c>
      <c r="U301" s="4" t="n">
        <v>1</v>
      </c>
      <c r="V301" s="5" t="n">
        <v>69</v>
      </c>
      <c r="W301" s="4" t="n">
        <v>10144</v>
      </c>
      <c r="X301" s="3" t="inlineStr">
        <is>
          <t>대장없음</t>
        </is>
      </c>
      <c r="Y301" s="7" t="inlineStr">
        <is>
          <t>대장없음</t>
        </is>
      </c>
      <c r="Z301" s="3" t="inlineStr">
        <is>
          <t>대장없음</t>
        </is>
      </c>
      <c r="AA301" s="3" t="inlineStr">
        <is>
          <t>대장없음</t>
        </is>
      </c>
      <c r="AB301" s="3" t="inlineStr">
        <is>
          <t>대장없음</t>
        </is>
      </c>
      <c r="AC301" s="3" t="inlineStr">
        <is>
          <t>대장없음</t>
        </is>
      </c>
      <c r="AD301" s="3" t="inlineStr">
        <is>
          <t>세로한면(가)</t>
        </is>
      </c>
    </row>
    <row r="302">
      <c r="A302" s="3" t="inlineStr">
        <is>
          <t>남이면 척산리 327-1</t>
        </is>
      </c>
      <c r="B302" s="3" t="inlineStr">
        <is>
          <t>계획관리지역</t>
        </is>
      </c>
      <c r="C302" s="3" t="inlineStr">
        <is>
          <t>공장용지</t>
        </is>
      </c>
      <c r="D302" s="3" t="inlineStr">
        <is>
          <t>공장</t>
        </is>
      </c>
      <c r="E302" s="3" t="inlineStr">
        <is>
          <t>월세</t>
        </is>
      </c>
      <c r="F302" s="4" t="n">
        <v>2000</v>
      </c>
      <c r="G302" s="4" t="n">
        <v>160</v>
      </c>
      <c r="H302" s="4" t="n">
        <v>1249</v>
      </c>
      <c r="I302" s="4" t="n">
        <v>378</v>
      </c>
      <c r="J302" s="5" t="n">
        <v>0.4</v>
      </c>
      <c r="K302" s="4" t="n">
        <v>296</v>
      </c>
      <c r="L302" s="4" t="n">
        <v>90</v>
      </c>
      <c r="M302" s="5" t="n">
        <v>1.8</v>
      </c>
      <c r="N302" s="3" t="inlineStr">
        <is>
          <t>1</t>
        </is>
      </c>
      <c r="O302" s="3" t="inlineStr">
        <is>
          <t>-</t>
        </is>
      </c>
      <c r="P302" s="3" t="inlineStr">
        <is>
          <t>건물 90형 마당크게 사용가능</t>
        </is>
      </c>
      <c r="Q302" s="6">
        <f>HYPERLINK("https://fin.land.naver.com/articles/2652969989", "매물Link")</f>
        <v/>
      </c>
      <c r="R302" s="6">
        <f>HYPERLINK("https://map.naver.com/p/search/남이면 척산리 327-1", "지도Link")</f>
        <v/>
      </c>
      <c r="S302" s="6">
        <f>HYPERLINK("http://www.eum.go.kr/web/ar/lu/luLandDet.jsp?pnu=4311231021103270001&amp;isNoScr=script&amp;mode=search", "토지이음")</f>
        <v/>
      </c>
      <c r="T302" s="3" t="inlineStr">
        <is>
          <t>위더스</t>
        </is>
      </c>
      <c r="U302" s="4" t="n">
        <v>1</v>
      </c>
      <c r="V302" s="5" t="n">
        <v>65.09999999999999</v>
      </c>
      <c r="W302" s="4" t="n">
        <v>1249</v>
      </c>
      <c r="X302" s="3" t="inlineStr">
        <is>
          <t>대장없음</t>
        </is>
      </c>
      <c r="Y302" s="7" t="inlineStr">
        <is>
          <t>대장없음</t>
        </is>
      </c>
      <c r="Z302" s="3" t="inlineStr">
        <is>
          <t>대장없음</t>
        </is>
      </c>
      <c r="AA302" s="3" t="inlineStr">
        <is>
          <t>대장없음</t>
        </is>
      </c>
      <c r="AB302" s="3" t="inlineStr">
        <is>
          <t>대장없음</t>
        </is>
      </c>
      <c r="AC302" s="3" t="inlineStr">
        <is>
          <t>대장없음</t>
        </is>
      </c>
      <c r="AD302" s="3" t="inlineStr">
        <is>
          <t>세로한면(가)</t>
        </is>
      </c>
    </row>
    <row r="303">
      <c r="A303" s="3" t="inlineStr">
        <is>
          <t>남이면 척산리 343</t>
        </is>
      </c>
      <c r="B303" s="3" t="inlineStr">
        <is>
          <t>계획관리지역</t>
        </is>
      </c>
      <c r="C303" s="3" t="inlineStr">
        <is>
          <t>대</t>
        </is>
      </c>
      <c r="D303" s="3" t="inlineStr">
        <is>
          <t>창고</t>
        </is>
      </c>
      <c r="E303" s="3" t="inlineStr">
        <is>
          <t>월세</t>
        </is>
      </c>
      <c r="F303" s="4" t="n">
        <v>1000</v>
      </c>
      <c r="G303" s="4" t="n">
        <v>140</v>
      </c>
      <c r="H303" s="4" t="n">
        <v>886</v>
      </c>
      <c r="I303" s="4" t="n">
        <v>268</v>
      </c>
      <c r="J303" s="5" t="n">
        <v>0.5</v>
      </c>
      <c r="K303" s="4" t="n">
        <v>196</v>
      </c>
      <c r="L303" s="4" t="n">
        <v>59</v>
      </c>
      <c r="M303" s="5" t="n">
        <v>2.4</v>
      </c>
      <c r="N303" s="3" t="inlineStr">
        <is>
          <t>1</t>
        </is>
      </c>
      <c r="O303" s="3" t="inlineStr">
        <is>
          <t>-</t>
        </is>
      </c>
      <c r="P303" s="3" t="inlineStr">
        <is>
          <t>사진 有,남청주ic 차량7분,대형차량 진출입 용이,신축급 저렴한 창고</t>
        </is>
      </c>
      <c r="Q303" s="6">
        <f>HYPERLINK("https://fin.land.naver.com/articles/2651860914", "매물Link")</f>
        <v/>
      </c>
      <c r="R303" s="6">
        <f>HYPERLINK("https://map.naver.com/p/search/남이면 척산리 343", "지도Link")</f>
        <v/>
      </c>
      <c r="S303" s="6">
        <f>HYPERLINK("http://www.eum.go.kr/web/ar/lu/luLandDet.jsp?pnu=4311231021103430000&amp;isNoScr=script&amp;mode=search", "토지이음")</f>
        <v/>
      </c>
      <c r="T303" s="3" t="inlineStr">
        <is>
          <t>나는</t>
        </is>
      </c>
      <c r="U303" s="4" t="n">
        <v>2</v>
      </c>
      <c r="V303" s="5" t="n">
        <v>50.8</v>
      </c>
      <c r="W303" s="4" t="n">
        <v>886</v>
      </c>
      <c r="X303" s="3" t="inlineStr">
        <is>
          <t>대장없음</t>
        </is>
      </c>
      <c r="Y303" s="7" t="inlineStr">
        <is>
          <t>대장없음</t>
        </is>
      </c>
      <c r="Z303" s="3" t="inlineStr">
        <is>
          <t>대장없음</t>
        </is>
      </c>
      <c r="AA303" s="3" t="inlineStr">
        <is>
          <t>대장없음</t>
        </is>
      </c>
      <c r="AB303" s="3" t="inlineStr">
        <is>
          <t>대장없음</t>
        </is>
      </c>
      <c r="AC303" s="3" t="inlineStr">
        <is>
          <t>대장없음</t>
        </is>
      </c>
      <c r="AD303" s="3" t="inlineStr">
        <is>
          <t>세로한면(가)</t>
        </is>
      </c>
    </row>
    <row r="304">
      <c r="A304" s="3" t="inlineStr">
        <is>
          <t>남이면 척산리 366-9</t>
        </is>
      </c>
      <c r="B304" s="3" t="inlineStr">
        <is>
          <t>계획관리지역</t>
        </is>
      </c>
      <c r="C304" s="3" t="inlineStr">
        <is>
          <t>창고용지</t>
        </is>
      </c>
      <c r="D304" s="3" t="inlineStr">
        <is>
          <t>창고</t>
        </is>
      </c>
      <c r="E304" s="3" t="inlineStr">
        <is>
          <t>매매</t>
        </is>
      </c>
      <c r="F304" s="4" t="n">
        <v>190000</v>
      </c>
      <c r="G304" s="4" t="n">
        <v>0</v>
      </c>
      <c r="H304" s="4" t="n">
        <v>2671</v>
      </c>
      <c r="I304" s="4" t="n">
        <v>808</v>
      </c>
      <c r="J304" s="5" t="n">
        <v>235.1</v>
      </c>
      <c r="K304" s="4" t="n">
        <v>1360</v>
      </c>
      <c r="L304" s="4" t="n">
        <v>411</v>
      </c>
      <c r="M304" s="5" t="n">
        <v>462.3</v>
      </c>
      <c r="N304" s="3" t="inlineStr">
        <is>
          <t>1</t>
        </is>
      </c>
      <c r="O304" s="3" t="inlineStr">
        <is>
          <t>-</t>
        </is>
      </c>
      <c r="P304" s="3" t="inlineStr">
        <is>
          <t>남이면 계획관리지역,성장관리구역의 대형 창고시설 임대 및 매매</t>
        </is>
      </c>
      <c r="Q304" s="6">
        <f>HYPERLINK("https://fin.land.naver.com/articles/2650156131", "매물Link")</f>
        <v/>
      </c>
      <c r="R304" s="6">
        <f>HYPERLINK("https://map.naver.com/p/search/남이면 척산리 366-9", "지도Link")</f>
        <v/>
      </c>
      <c r="S304" s="6">
        <f>HYPERLINK("http://www.eum.go.kr/web/ar/lu/luLandDet.jsp?pnu=4311231021103660009&amp;isNoScr=script&amp;mode=search", "토지이음")</f>
        <v/>
      </c>
      <c r="T304" s="3" t="inlineStr">
        <is>
          <t>e교차로합동</t>
        </is>
      </c>
      <c r="U304" s="4" t="n">
        <v>1</v>
      </c>
      <c r="V304" s="5" t="n">
        <v>83.2</v>
      </c>
      <c r="W304" s="4" t="n">
        <v>2671</v>
      </c>
      <c r="X304" s="3" t="inlineStr">
        <is>
          <t>대장없음</t>
        </is>
      </c>
      <c r="Y304" s="7" t="inlineStr">
        <is>
          <t>대장없음</t>
        </is>
      </c>
      <c r="Z304" s="3" t="inlineStr">
        <is>
          <t>대장없음</t>
        </is>
      </c>
      <c r="AA304" s="3" t="inlineStr">
        <is>
          <t>대장없음</t>
        </is>
      </c>
      <c r="AB304" s="3" t="inlineStr">
        <is>
          <t>대장없음</t>
        </is>
      </c>
      <c r="AC304" s="3" t="inlineStr">
        <is>
          <t>대장없음</t>
        </is>
      </c>
      <c r="AD304" s="3" t="inlineStr">
        <is>
          <t>세로한면(가)</t>
        </is>
      </c>
    </row>
    <row r="305">
      <c r="A305" s="3" t="inlineStr">
        <is>
          <t>남이면 척산리 366-9</t>
        </is>
      </c>
      <c r="B305" s="3" t="inlineStr">
        <is>
          <t>계획관리지역</t>
        </is>
      </c>
      <c r="C305" s="3" t="inlineStr">
        <is>
          <t>창고용지</t>
        </is>
      </c>
      <c r="D305" s="3" t="inlineStr">
        <is>
          <t>창고</t>
        </is>
      </c>
      <c r="E305" s="3" t="inlineStr">
        <is>
          <t>매매</t>
        </is>
      </c>
      <c r="F305" s="4" t="n">
        <v>190000</v>
      </c>
      <c r="G305" s="4" t="n">
        <v>0</v>
      </c>
      <c r="H305" s="4" t="n">
        <v>2671</v>
      </c>
      <c r="I305" s="4" t="n">
        <v>808</v>
      </c>
      <c r="J305" s="5" t="n">
        <v>235.1</v>
      </c>
      <c r="K305" s="4" t="n">
        <v>1025</v>
      </c>
      <c r="L305" s="4" t="n">
        <v>310</v>
      </c>
      <c r="M305" s="5" t="n">
        <v>612.9</v>
      </c>
      <c r="N305" s="3" t="inlineStr">
        <is>
          <t>1</t>
        </is>
      </c>
      <c r="O305" s="3" t="inlineStr">
        <is>
          <t>-</t>
        </is>
      </c>
      <c r="P305" s="3" t="inlineStr">
        <is>
          <t>남청주ic 8분 경부 당진영덕고속도로  접근성 좋은 소형창고매매</t>
        </is>
      </c>
      <c r="Q305" s="6">
        <f>HYPERLINK("https://fin.land.naver.com/articles/2651673718", "매물Link")</f>
        <v/>
      </c>
      <c r="R305" s="6">
        <f>HYPERLINK("https://map.naver.com/p/search/남이면 척산리 366-9", "지도Link")</f>
        <v/>
      </c>
      <c r="S305" s="6">
        <f>HYPERLINK("http://www.eum.go.kr/web/ar/lu/luLandDet.jsp?pnu=4311231021103660009&amp;isNoScr=script&amp;mode=search", "토지이음")</f>
        <v/>
      </c>
      <c r="T305" s="3" t="inlineStr">
        <is>
          <t>더원</t>
        </is>
      </c>
      <c r="U305" s="4" t="n">
        <v>1</v>
      </c>
      <c r="V305" s="5" t="n">
        <v>83.2</v>
      </c>
      <c r="W305" s="4" t="n">
        <v>2671</v>
      </c>
      <c r="X305" s="3" t="inlineStr">
        <is>
          <t>대장없음</t>
        </is>
      </c>
      <c r="Y305" s="7" t="inlineStr">
        <is>
          <t>대장없음</t>
        </is>
      </c>
      <c r="Z305" s="3" t="inlineStr">
        <is>
          <t>대장없음</t>
        </is>
      </c>
      <c r="AA305" s="3" t="inlineStr">
        <is>
          <t>대장없음</t>
        </is>
      </c>
      <c r="AB305" s="3" t="inlineStr">
        <is>
          <t>대장없음</t>
        </is>
      </c>
      <c r="AC305" s="3" t="inlineStr">
        <is>
          <t>대장없음</t>
        </is>
      </c>
      <c r="AD305" s="3" t="inlineStr">
        <is>
          <t>세로한면(가)</t>
        </is>
      </c>
    </row>
    <row r="306">
      <c r="A306" s="3" t="inlineStr">
        <is>
          <t>남이면 척산리 369-15</t>
        </is>
      </c>
      <c r="B306" s="3" t="inlineStr">
        <is>
          <t>계획관리지역</t>
        </is>
      </c>
      <c r="C306" s="3" t="inlineStr">
        <is>
          <t>창고용지</t>
        </is>
      </c>
      <c r="D306" s="3" t="inlineStr">
        <is>
          <t>창고</t>
        </is>
      </c>
      <c r="E306" s="3" t="inlineStr">
        <is>
          <t>매매</t>
        </is>
      </c>
      <c r="F306" s="4" t="n">
        <v>130000</v>
      </c>
      <c r="G306" s="4" t="n">
        <v>0</v>
      </c>
      <c r="H306" s="4" t="n">
        <v>1340</v>
      </c>
      <c r="I306" s="4" t="n">
        <v>405</v>
      </c>
      <c r="J306" s="5" t="n">
        <v>321</v>
      </c>
      <c r="K306" s="4" t="n">
        <v>317</v>
      </c>
      <c r="L306" s="4" t="n">
        <v>96</v>
      </c>
      <c r="M306" s="5" t="n">
        <v>1354.2</v>
      </c>
      <c r="N306" s="3" t="inlineStr">
        <is>
          <t>1</t>
        </is>
      </c>
      <c r="O306" s="3" t="inlineStr">
        <is>
          <t>-</t>
        </is>
      </c>
      <c r="P306" s="3" t="inlineStr">
        <is>
          <t>4차로변 광고효과가 매우 좋은 위치입니다.</t>
        </is>
      </c>
      <c r="Q306" s="6">
        <f>HYPERLINK("https://fin.land.naver.com/articles/2650137544", "매물Link")</f>
        <v/>
      </c>
      <c r="R306" s="6">
        <f>HYPERLINK("https://map.naver.com/p/search/남이면 척산리 369-15", "지도Link")</f>
        <v/>
      </c>
      <c r="S306" s="6">
        <f>HYPERLINK("http://www.eum.go.kr/web/ar/lu/luLandDet.jsp?pnu=4311231021103690015&amp;isNoScr=script&amp;mode=search", "토지이음")</f>
        <v/>
      </c>
      <c r="T306" s="3" t="inlineStr">
        <is>
          <t>정민</t>
        </is>
      </c>
      <c r="U306" s="4" t="n">
        <v>1</v>
      </c>
      <c r="V306" s="5" t="n">
        <v>110</v>
      </c>
      <c r="W306" s="4" t="n">
        <v>1340</v>
      </c>
      <c r="X306" s="3" t="inlineStr">
        <is>
          <t>대장없음</t>
        </is>
      </c>
      <c r="Y306" s="7" t="inlineStr">
        <is>
          <t>대장없음</t>
        </is>
      </c>
      <c r="Z306" s="3" t="inlineStr">
        <is>
          <t>대장없음</t>
        </is>
      </c>
      <c r="AA306" s="3" t="inlineStr">
        <is>
          <t>대장없음</t>
        </is>
      </c>
      <c r="AB306" s="3" t="inlineStr">
        <is>
          <t>대장없음</t>
        </is>
      </c>
      <c r="AC306" s="3" t="inlineStr">
        <is>
          <t>대장없음</t>
        </is>
      </c>
      <c r="AD306" s="3" t="inlineStr">
        <is>
          <t>중로한면</t>
        </is>
      </c>
    </row>
    <row r="307">
      <c r="A307" s="3" t="inlineStr">
        <is>
          <t>남이면 척산리 382-1</t>
        </is>
      </c>
      <c r="B307" s="3" t="inlineStr">
        <is>
          <t>계획관리지역</t>
        </is>
      </c>
      <c r="C307" s="3" t="inlineStr">
        <is>
          <t>대</t>
        </is>
      </c>
      <c r="D307" s="3" t="inlineStr">
        <is>
          <t>창고</t>
        </is>
      </c>
      <c r="E307" s="3" t="inlineStr">
        <is>
          <t>매매</t>
        </is>
      </c>
      <c r="F307" s="4" t="n">
        <v>110000</v>
      </c>
      <c r="G307" s="4" t="n">
        <v>0</v>
      </c>
      <c r="H307" s="4" t="n">
        <v>1749</v>
      </c>
      <c r="I307" s="4" t="n">
        <v>529</v>
      </c>
      <c r="J307" s="5" t="n">
        <v>207.9</v>
      </c>
      <c r="K307" s="4" t="n">
        <v>678</v>
      </c>
      <c r="L307" s="4" t="n">
        <v>205</v>
      </c>
      <c r="M307" s="5" t="n">
        <v>536.6</v>
      </c>
      <c r="N307" s="3" t="inlineStr">
        <is>
          <t>1</t>
        </is>
      </c>
      <c r="O307" s="3" t="inlineStr">
        <is>
          <t>-</t>
        </is>
      </c>
      <c r="P307" s="3" t="inlineStr">
        <is>
          <t>nan</t>
        </is>
      </c>
      <c r="Q307" s="6">
        <f>HYPERLINK("https://fin.land.naver.com/articles/2654501796", "매물Link")</f>
        <v/>
      </c>
      <c r="R307" s="6">
        <f>HYPERLINK("https://map.naver.com/p/search/남이면 척산리 382-1", "지도Link")</f>
        <v/>
      </c>
      <c r="S307" s="6">
        <f>HYPERLINK("http://www.eum.go.kr/web/ar/lu/luLandDet.jsp?pnu=4311231021103820001&amp;isNoScr=script&amp;mode=search", "토지이음")</f>
        <v/>
      </c>
      <c r="T307" s="3" t="inlineStr">
        <is>
          <t>수풀림</t>
        </is>
      </c>
      <c r="U307" s="4" t="n">
        <v>1</v>
      </c>
      <c r="V307" s="5" t="n">
        <v>98.2</v>
      </c>
      <c r="W307" s="4" t="n">
        <v>236</v>
      </c>
      <c r="X307" s="3" t="inlineStr">
        <is>
          <t>대장없음</t>
        </is>
      </c>
      <c r="Y307" s="7" t="inlineStr">
        <is>
          <t>대장없음</t>
        </is>
      </c>
      <c r="Z307" s="3" t="inlineStr">
        <is>
          <t>대장없음</t>
        </is>
      </c>
      <c r="AA307" s="3" t="inlineStr">
        <is>
          <t>대장없음</t>
        </is>
      </c>
      <c r="AB307" s="3" t="inlineStr">
        <is>
          <t>대장없음</t>
        </is>
      </c>
      <c r="AC307" s="3" t="inlineStr">
        <is>
          <t>대장없음</t>
        </is>
      </c>
      <c r="AD307" s="3" t="inlineStr">
        <is>
          <t>세로한면(가)</t>
        </is>
      </c>
    </row>
    <row r="308">
      <c r="A308" s="3" t="inlineStr">
        <is>
          <t>남이면 척산리 382-5</t>
        </is>
      </c>
      <c r="B308" s="3" t="inlineStr">
        <is>
          <t>계획관리지역</t>
        </is>
      </c>
      <c r="C308" s="3" t="inlineStr">
        <is>
          <t>대</t>
        </is>
      </c>
      <c r="D308" s="3" t="inlineStr">
        <is>
          <t>공장</t>
        </is>
      </c>
      <c r="E308" s="3" t="inlineStr">
        <is>
          <t>매매</t>
        </is>
      </c>
      <c r="F308" s="4" t="n">
        <v>110000</v>
      </c>
      <c r="G308" s="4" t="n">
        <v>0</v>
      </c>
      <c r="H308" s="4" t="n">
        <v>1749</v>
      </c>
      <c r="I308" s="4" t="n">
        <v>529</v>
      </c>
      <c r="J308" s="5" t="n">
        <v>207.9</v>
      </c>
      <c r="K308" s="4" t="n">
        <v>678</v>
      </c>
      <c r="L308" s="4" t="n">
        <v>205</v>
      </c>
      <c r="M308" s="5" t="n">
        <v>536.6</v>
      </c>
      <c r="N308" s="3" t="inlineStr">
        <is>
          <t>1</t>
        </is>
      </c>
      <c r="O308" s="3" t="inlineStr">
        <is>
          <t>-</t>
        </is>
      </c>
      <c r="P308" s="3" t="inlineStr">
        <is>
          <t>nan</t>
        </is>
      </c>
      <c r="Q308" s="6">
        <f>HYPERLINK("https://fin.land.naver.com/articles/2649486296", "매물Link")</f>
        <v/>
      </c>
      <c r="R308" s="6">
        <f>HYPERLINK("https://map.naver.com/p/search/남이면 척산리 382-5", "지도Link")</f>
        <v/>
      </c>
      <c r="S308" s="6">
        <f>HYPERLINK("http://www.eum.go.kr/web/ar/lu/luLandDet.jsp?pnu=4311231021103820005&amp;isNoScr=script&amp;mode=search", "토지이음")</f>
        <v/>
      </c>
      <c r="T308" s="3" t="inlineStr">
        <is>
          <t>금맥</t>
        </is>
      </c>
      <c r="U308" s="4" t="n">
        <v>1</v>
      </c>
      <c r="V308" s="5" t="n">
        <v>98.2</v>
      </c>
      <c r="W308" s="4" t="n">
        <v>915</v>
      </c>
      <c r="X308" s="3" t="inlineStr">
        <is>
          <t>대장없음</t>
        </is>
      </c>
      <c r="Y308" s="7" t="inlineStr">
        <is>
          <t>대장없음</t>
        </is>
      </c>
      <c r="Z308" s="3" t="inlineStr">
        <is>
          <t>대장없음</t>
        </is>
      </c>
      <c r="AA308" s="3" t="inlineStr">
        <is>
          <t>대장없음</t>
        </is>
      </c>
      <c r="AB308" s="3" t="inlineStr">
        <is>
          <t>대장없음</t>
        </is>
      </c>
      <c r="AC308" s="3" t="inlineStr">
        <is>
          <t>대장없음</t>
        </is>
      </c>
      <c r="AD308" s="3" t="inlineStr">
        <is>
          <t>세로한면(가)</t>
        </is>
      </c>
    </row>
    <row r="309">
      <c r="A309" s="3" t="inlineStr">
        <is>
          <t>남이면 척산리 382-5</t>
        </is>
      </c>
      <c r="B309" s="3" t="inlineStr">
        <is>
          <t>계획관리지역</t>
        </is>
      </c>
      <c r="C309" s="3" t="inlineStr">
        <is>
          <t>대</t>
        </is>
      </c>
      <c r="D309" s="3" t="inlineStr">
        <is>
          <t>창고</t>
        </is>
      </c>
      <c r="E309" s="3" t="inlineStr">
        <is>
          <t>월세</t>
        </is>
      </c>
      <c r="F309" s="4" t="n">
        <v>4000</v>
      </c>
      <c r="G309" s="4" t="n">
        <v>400</v>
      </c>
      <c r="H309" s="4" t="n">
        <v>1749</v>
      </c>
      <c r="I309" s="4" t="n">
        <v>529</v>
      </c>
      <c r="J309" s="5" t="n">
        <v>0.8</v>
      </c>
      <c r="K309" s="4" t="n">
        <v>678</v>
      </c>
      <c r="L309" s="4" t="n">
        <v>205</v>
      </c>
      <c r="M309" s="5" t="n">
        <v>2</v>
      </c>
      <c r="N309" s="3" t="inlineStr">
        <is>
          <t>1</t>
        </is>
      </c>
      <c r="O309" s="3" t="inlineStr">
        <is>
          <t>-</t>
        </is>
      </c>
      <c r="P309" s="3" t="inlineStr">
        <is>
          <t>즉시 입주 가능,주차 공간 넓어 대형차량 진출입,회전 편리</t>
        </is>
      </c>
      <c r="Q309" s="6">
        <f>HYPERLINK("https://fin.land.naver.com/articles/2650939836", "매물Link")</f>
        <v/>
      </c>
      <c r="R309" s="6">
        <f>HYPERLINK("https://map.naver.com/p/search/남이면 척산리 382-5", "지도Link")</f>
        <v/>
      </c>
      <c r="S309" s="6">
        <f>HYPERLINK("http://www.eum.go.kr/web/ar/lu/luLandDet.jsp?pnu=4311231021103820005&amp;isNoScr=script&amp;mode=search", "토지이음")</f>
        <v/>
      </c>
      <c r="T309" s="3" t="inlineStr">
        <is>
          <t>금화랜드</t>
        </is>
      </c>
      <c r="U309" s="4" t="n">
        <v>1</v>
      </c>
      <c r="V309" s="5" t="n">
        <v>98.2</v>
      </c>
      <c r="W309" s="4" t="n">
        <v>915</v>
      </c>
      <c r="X309" s="3" t="inlineStr">
        <is>
          <t>대장없음</t>
        </is>
      </c>
      <c r="Y309" s="7" t="inlineStr">
        <is>
          <t>대장없음</t>
        </is>
      </c>
      <c r="Z309" s="3" t="inlineStr">
        <is>
          <t>대장없음</t>
        </is>
      </c>
      <c r="AA309" s="3" t="inlineStr">
        <is>
          <t>대장없음</t>
        </is>
      </c>
      <c r="AB309" s="3" t="inlineStr">
        <is>
          <t>대장없음</t>
        </is>
      </c>
      <c r="AC309" s="3" t="inlineStr">
        <is>
          <t>대장없음</t>
        </is>
      </c>
      <c r="AD309" s="3" t="inlineStr">
        <is>
          <t>세로한면(가)</t>
        </is>
      </c>
    </row>
    <row r="310">
      <c r="A310" s="3" t="inlineStr">
        <is>
          <t>남이면 척산리 382-5</t>
        </is>
      </c>
      <c r="B310" s="3" t="inlineStr">
        <is>
          <t>계획관리지역</t>
        </is>
      </c>
      <c r="C310" s="3" t="inlineStr">
        <is>
          <t>대</t>
        </is>
      </c>
      <c r="D310" s="3" t="inlineStr">
        <is>
          <t>창고</t>
        </is>
      </c>
      <c r="E310" s="3" t="inlineStr">
        <is>
          <t>매매</t>
        </is>
      </c>
      <c r="F310" s="4" t="n">
        <v>110000</v>
      </c>
      <c r="G310" s="4" t="n">
        <v>0</v>
      </c>
      <c r="H310" s="4" t="n">
        <v>1749</v>
      </c>
      <c r="I310" s="4" t="n">
        <v>529</v>
      </c>
      <c r="J310" s="5" t="n">
        <v>207.9</v>
      </c>
      <c r="K310" s="4" t="n">
        <v>341</v>
      </c>
      <c r="L310" s="4" t="n">
        <v>103</v>
      </c>
      <c r="M310" s="5" t="n">
        <v>1068</v>
      </c>
      <c r="N310" s="3" t="inlineStr">
        <is>
          <t>1</t>
        </is>
      </c>
      <c r="O310" s="3" t="inlineStr">
        <is>
          <t>-</t>
        </is>
      </c>
      <c r="P310" s="3" t="inlineStr">
        <is>
          <t>남청주ic까지 6차선확장예정.진입로25t가능.남청줏ic5분거리</t>
        </is>
      </c>
      <c r="Q310" s="6">
        <f>HYPERLINK("https://fin.land.naver.com/articles/2653147017", "매물Link")</f>
        <v/>
      </c>
      <c r="R310" s="6">
        <f>HYPERLINK("https://map.naver.com/p/search/남이면 척산리 382-5", "지도Link")</f>
        <v/>
      </c>
      <c r="S310" s="6">
        <f>HYPERLINK("http://www.eum.go.kr/web/ar/lu/luLandDet.jsp?pnu=4311231021103820005&amp;isNoScr=script&amp;mode=search", "토지이음")</f>
        <v/>
      </c>
      <c r="T310" s="3" t="inlineStr">
        <is>
          <t>옥산제일사무소</t>
        </is>
      </c>
      <c r="U310" s="4" t="n">
        <v>1</v>
      </c>
      <c r="V310" s="5" t="n">
        <v>98.2</v>
      </c>
      <c r="W310" s="4" t="n">
        <v>915</v>
      </c>
      <c r="X310" s="3" t="inlineStr">
        <is>
          <t>대장없음</t>
        </is>
      </c>
      <c r="Y310" s="7" t="inlineStr">
        <is>
          <t>대장없음</t>
        </is>
      </c>
      <c r="Z310" s="3" t="inlineStr">
        <is>
          <t>대장없음</t>
        </is>
      </c>
      <c r="AA310" s="3" t="inlineStr">
        <is>
          <t>대장없음</t>
        </is>
      </c>
      <c r="AB310" s="3" t="inlineStr">
        <is>
          <t>대장없음</t>
        </is>
      </c>
      <c r="AC310" s="3" t="inlineStr">
        <is>
          <t>대장없음</t>
        </is>
      </c>
      <c r="AD310" s="3" t="inlineStr">
        <is>
          <t>세로한면(가)</t>
        </is>
      </c>
    </row>
    <row r="311">
      <c r="A311" s="3" t="inlineStr">
        <is>
          <t>남이면 척산리 382-5</t>
        </is>
      </c>
      <c r="B311" s="3" t="inlineStr">
        <is>
          <t>계획관리지역</t>
        </is>
      </c>
      <c r="C311" s="3" t="inlineStr">
        <is>
          <t>대</t>
        </is>
      </c>
      <c r="D311" s="3" t="inlineStr">
        <is>
          <t>공장</t>
        </is>
      </c>
      <c r="E311" s="3" t="inlineStr">
        <is>
          <t>매매</t>
        </is>
      </c>
      <c r="F311" s="4" t="n">
        <v>120000</v>
      </c>
      <c r="G311" s="4" t="n">
        <v>0</v>
      </c>
      <c r="H311" s="4" t="n">
        <v>1749</v>
      </c>
      <c r="I311" s="4" t="n">
        <v>529</v>
      </c>
      <c r="J311" s="5" t="n">
        <v>226.8</v>
      </c>
      <c r="K311" s="4" t="n">
        <v>678</v>
      </c>
      <c r="L311" s="4" t="n">
        <v>205</v>
      </c>
      <c r="M311" s="5" t="n">
        <v>585.4</v>
      </c>
      <c r="N311" s="3" t="inlineStr">
        <is>
          <t>1</t>
        </is>
      </c>
      <c r="O311" s="3" t="inlineStr">
        <is>
          <t>-</t>
        </is>
      </c>
      <c r="P311" s="3" t="inlineStr">
        <is>
          <t>남청주IC근처  척산리 공장 매매.대형차량진입가능.</t>
        </is>
      </c>
      <c r="Q311" s="6">
        <f>HYPERLINK("https://fin.land.naver.com/articles/2650966213", "매물Link")</f>
        <v/>
      </c>
      <c r="R311" s="6">
        <f>HYPERLINK("https://map.naver.com/p/search/남이면 척산리 382-5", "지도Link")</f>
        <v/>
      </c>
      <c r="S311" s="6">
        <f>HYPERLINK("http://www.eum.go.kr/web/ar/lu/luLandDet.jsp?pnu=4311231021103820005&amp;isNoScr=script&amp;mode=search", "토지이음")</f>
        <v/>
      </c>
      <c r="T311" s="3" t="inlineStr">
        <is>
          <t>방서에이스</t>
        </is>
      </c>
      <c r="U311" s="4" t="n">
        <v>1</v>
      </c>
      <c r="V311" s="5" t="n">
        <v>98.2</v>
      </c>
      <c r="W311" s="4" t="n">
        <v>915</v>
      </c>
      <c r="X311" s="3" t="inlineStr">
        <is>
          <t>대장없음</t>
        </is>
      </c>
      <c r="Y311" s="7" t="inlineStr">
        <is>
          <t>대장없음</t>
        </is>
      </c>
      <c r="Z311" s="3" t="inlineStr">
        <is>
          <t>대장없음</t>
        </is>
      </c>
      <c r="AA311" s="3" t="inlineStr">
        <is>
          <t>대장없음</t>
        </is>
      </c>
      <c r="AB311" s="3" t="inlineStr">
        <is>
          <t>대장없음</t>
        </is>
      </c>
      <c r="AC311" s="3" t="inlineStr">
        <is>
          <t>대장없음</t>
        </is>
      </c>
      <c r="AD311" s="3" t="inlineStr">
        <is>
          <t>세로한면(가)</t>
        </is>
      </c>
    </row>
    <row r="312">
      <c r="A312" s="3" t="inlineStr">
        <is>
          <t>남이면 척산리 382-5</t>
        </is>
      </c>
      <c r="B312" s="3" t="inlineStr">
        <is>
          <t>계획관리지역</t>
        </is>
      </c>
      <c r="C312" s="3" t="inlineStr">
        <is>
          <t>대</t>
        </is>
      </c>
      <c r="D312" s="3" t="inlineStr">
        <is>
          <t>창고</t>
        </is>
      </c>
      <c r="E312" s="3" t="inlineStr">
        <is>
          <t>월세</t>
        </is>
      </c>
      <c r="F312" s="4" t="n">
        <v>4000</v>
      </c>
      <c r="G312" s="4" t="n">
        <v>400</v>
      </c>
      <c r="H312" s="4" t="n">
        <v>1749</v>
      </c>
      <c r="I312" s="4" t="n">
        <v>529</v>
      </c>
      <c r="J312" s="5" t="n">
        <v>0.8</v>
      </c>
      <c r="K312" s="4" t="n">
        <v>678</v>
      </c>
      <c r="L312" s="4" t="n">
        <v>205</v>
      </c>
      <c r="M312" s="5" t="n">
        <v>2</v>
      </c>
      <c r="N312" s="3" t="inlineStr">
        <is>
          <t>1</t>
        </is>
      </c>
      <c r="O312" s="3" t="inlineStr">
        <is>
          <t>-</t>
        </is>
      </c>
      <c r="P312" s="3" t="inlineStr">
        <is>
          <t>남이면 척산리 창고 월세,  마당 넓어요, 즉시입주 가능</t>
        </is>
      </c>
      <c r="Q312" s="6">
        <f>HYPERLINK("https://fin.land.naver.com/articles/2652902119", "매물Link")</f>
        <v/>
      </c>
      <c r="R312" s="6">
        <f>HYPERLINK("https://map.naver.com/p/search/남이면 척산리 382-5", "지도Link")</f>
        <v/>
      </c>
      <c r="S312" s="6">
        <f>HYPERLINK("http://www.eum.go.kr/web/ar/lu/luLandDet.jsp?pnu=4311231021103820005&amp;isNoScr=script&amp;mode=search", "토지이음")</f>
        <v/>
      </c>
      <c r="T312" s="3" t="inlineStr">
        <is>
          <t>산남태강</t>
        </is>
      </c>
      <c r="U312" s="4" t="n">
        <v>1</v>
      </c>
      <c r="V312" s="5" t="n">
        <v>98.2</v>
      </c>
      <c r="W312" s="4" t="n">
        <v>915</v>
      </c>
      <c r="X312" s="3" t="inlineStr">
        <is>
          <t>대장없음</t>
        </is>
      </c>
      <c r="Y312" s="7" t="inlineStr">
        <is>
          <t>대장없음</t>
        </is>
      </c>
      <c r="Z312" s="3" t="inlineStr">
        <is>
          <t>대장없음</t>
        </is>
      </c>
      <c r="AA312" s="3" t="inlineStr">
        <is>
          <t>대장없음</t>
        </is>
      </c>
      <c r="AB312" s="3" t="inlineStr">
        <is>
          <t>대장없음</t>
        </is>
      </c>
      <c r="AC312" s="3" t="inlineStr">
        <is>
          <t>대장없음</t>
        </is>
      </c>
      <c r="AD312" s="3" t="inlineStr">
        <is>
          <t>세로한면(가)</t>
        </is>
      </c>
    </row>
    <row r="313">
      <c r="A313" s="3" t="inlineStr">
        <is>
          <t>남이면 척산리 382-5</t>
        </is>
      </c>
      <c r="B313" s="3" t="inlineStr">
        <is>
          <t>계획관리지역</t>
        </is>
      </c>
      <c r="C313" s="3" t="inlineStr">
        <is>
          <t>대</t>
        </is>
      </c>
      <c r="D313" s="3" t="inlineStr">
        <is>
          <t>공장</t>
        </is>
      </c>
      <c r="E313" s="3" t="inlineStr">
        <is>
          <t>월세</t>
        </is>
      </c>
      <c r="F313" s="4" t="n">
        <v>4000</v>
      </c>
      <c r="G313" s="4" t="n">
        <v>400</v>
      </c>
      <c r="H313" s="4" t="n">
        <v>1749</v>
      </c>
      <c r="I313" s="4" t="n">
        <v>529</v>
      </c>
      <c r="J313" s="5" t="n">
        <v>0.8</v>
      </c>
      <c r="K313" s="4" t="n">
        <v>341</v>
      </c>
      <c r="L313" s="4" t="n">
        <v>103</v>
      </c>
      <c r="M313" s="5" t="n">
        <v>3.9</v>
      </c>
      <c r="N313" s="3" t="inlineStr">
        <is>
          <t>1</t>
        </is>
      </c>
      <c r="O313" s="3" t="inlineStr">
        <is>
          <t>-</t>
        </is>
      </c>
      <c r="P313" s="3" t="inlineStr">
        <is>
          <t>남청주IC근처  척산리 공장 임대.대형차량진입가능.</t>
        </is>
      </c>
      <c r="Q313" s="6">
        <f>HYPERLINK("https://fin.land.naver.com/articles/2651304270", "매물Link")</f>
        <v/>
      </c>
      <c r="R313" s="6">
        <f>HYPERLINK("https://map.naver.com/p/search/남이면 척산리 382-5", "지도Link")</f>
        <v/>
      </c>
      <c r="S313" s="6">
        <f>HYPERLINK("http://www.eum.go.kr/web/ar/lu/luLandDet.jsp?pnu=4311231021103820005&amp;isNoScr=script&amp;mode=search", "토지이음")</f>
        <v/>
      </c>
      <c r="T313" s="3" t="inlineStr">
        <is>
          <t>방서에이스</t>
        </is>
      </c>
      <c r="U313" s="4" t="n">
        <v>1</v>
      </c>
      <c r="V313" s="5" t="n">
        <v>98.2</v>
      </c>
      <c r="W313" s="4" t="n">
        <v>915</v>
      </c>
      <c r="X313" s="3" t="inlineStr">
        <is>
          <t>대장없음</t>
        </is>
      </c>
      <c r="Y313" s="7" t="inlineStr">
        <is>
          <t>대장없음</t>
        </is>
      </c>
      <c r="Z313" s="3" t="inlineStr">
        <is>
          <t>대장없음</t>
        </is>
      </c>
      <c r="AA313" s="3" t="inlineStr">
        <is>
          <t>대장없음</t>
        </is>
      </c>
      <c r="AB313" s="3" t="inlineStr">
        <is>
          <t>대장없음</t>
        </is>
      </c>
      <c r="AC313" s="3" t="inlineStr">
        <is>
          <t>대장없음</t>
        </is>
      </c>
      <c r="AD313" s="3" t="inlineStr">
        <is>
          <t>세로한면(가)</t>
        </is>
      </c>
    </row>
    <row r="314">
      <c r="A314" s="3" t="inlineStr">
        <is>
          <t>남이면 척산리 382-5</t>
        </is>
      </c>
      <c r="B314" s="3" t="inlineStr">
        <is>
          <t>계획관리지역</t>
        </is>
      </c>
      <c r="C314" s="3" t="inlineStr">
        <is>
          <t>대</t>
        </is>
      </c>
      <c r="D314" s="3" t="inlineStr">
        <is>
          <t>창고</t>
        </is>
      </c>
      <c r="E314" s="3" t="inlineStr">
        <is>
          <t>매매</t>
        </is>
      </c>
      <c r="F314" s="4" t="n">
        <v>110000</v>
      </c>
      <c r="G314" s="4" t="n">
        <v>0</v>
      </c>
      <c r="H314" s="4" t="n">
        <v>1749</v>
      </c>
      <c r="I314" s="4" t="n">
        <v>529</v>
      </c>
      <c r="J314" s="5" t="n">
        <v>207.9</v>
      </c>
      <c r="K314" s="4" t="n">
        <v>678</v>
      </c>
      <c r="L314" s="4" t="n">
        <v>205</v>
      </c>
      <c r="M314" s="5" t="n">
        <v>536.6</v>
      </c>
      <c r="N314" s="3" t="inlineStr">
        <is>
          <t>1</t>
        </is>
      </c>
      <c r="O314" s="3" t="inlineStr">
        <is>
          <t>-</t>
        </is>
      </c>
      <c r="P314" s="3" t="inlineStr">
        <is>
          <t>남이면  척산리 창고 매매, 남청주ic 인접, 마당 넓음, 유통물류 추천</t>
        </is>
      </c>
      <c r="Q314" s="6">
        <f>HYPERLINK("https://fin.land.naver.com/articles/2652903126", "매물Link")</f>
        <v/>
      </c>
      <c r="R314" s="6">
        <f>HYPERLINK("https://map.naver.com/p/search/남이면 척산리 382-5", "지도Link")</f>
        <v/>
      </c>
      <c r="S314" s="6">
        <f>HYPERLINK("http://www.eum.go.kr/web/ar/lu/luLandDet.jsp?pnu=4311231021103820005&amp;isNoScr=script&amp;mode=search", "토지이음")</f>
        <v/>
      </c>
      <c r="T314" s="3" t="inlineStr">
        <is>
          <t>산남태강</t>
        </is>
      </c>
      <c r="U314" s="4" t="n">
        <v>1</v>
      </c>
      <c r="V314" s="5" t="n">
        <v>98.2</v>
      </c>
      <c r="W314" s="4" t="n">
        <v>915</v>
      </c>
      <c r="X314" s="3" t="inlineStr">
        <is>
          <t>대장없음</t>
        </is>
      </c>
      <c r="Y314" s="7" t="inlineStr">
        <is>
          <t>대장없음</t>
        </is>
      </c>
      <c r="Z314" s="3" t="inlineStr">
        <is>
          <t>대장없음</t>
        </is>
      </c>
      <c r="AA314" s="3" t="inlineStr">
        <is>
          <t>대장없음</t>
        </is>
      </c>
      <c r="AB314" s="3" t="inlineStr">
        <is>
          <t>대장없음</t>
        </is>
      </c>
      <c r="AC314" s="3" t="inlineStr">
        <is>
          <t>대장없음</t>
        </is>
      </c>
      <c r="AD314" s="3" t="inlineStr">
        <is>
          <t>세로한면(가)</t>
        </is>
      </c>
    </row>
    <row r="315">
      <c r="A315" s="3" t="inlineStr">
        <is>
          <t>남이면 척산리 382-5</t>
        </is>
      </c>
      <c r="B315" s="3" t="inlineStr">
        <is>
          <t>계획관리지역</t>
        </is>
      </c>
      <c r="C315" s="3" t="inlineStr">
        <is>
          <t>대</t>
        </is>
      </c>
      <c r="D315" s="3" t="inlineStr">
        <is>
          <t>공장</t>
        </is>
      </c>
      <c r="E315" s="3" t="inlineStr">
        <is>
          <t>매매</t>
        </is>
      </c>
      <c r="F315" s="4" t="n">
        <v>110000</v>
      </c>
      <c r="G315" s="4" t="n">
        <v>0</v>
      </c>
      <c r="H315" s="4" t="n">
        <v>1749</v>
      </c>
      <c r="I315" s="4" t="n">
        <v>529</v>
      </c>
      <c r="J315" s="5" t="n">
        <v>207.9</v>
      </c>
      <c r="K315" s="4" t="n">
        <v>678</v>
      </c>
      <c r="L315" s="4" t="n">
        <v>205</v>
      </c>
      <c r="M315" s="5" t="n">
        <v>536.6</v>
      </c>
      <c r="N315" s="3" t="inlineStr">
        <is>
          <t>1</t>
        </is>
      </c>
      <c r="O315" s="3" t="inlineStr">
        <is>
          <t>-</t>
        </is>
      </c>
      <c r="P315" s="3" t="inlineStr">
        <is>
          <t>빠른입주 가능,남청주IC 인근위치, 야드 넓어 대형차량 회전 용이</t>
        </is>
      </c>
      <c r="Q315" s="6">
        <f>HYPERLINK("https://fin.land.naver.com/articles/2649445104", "매물Link")</f>
        <v/>
      </c>
      <c r="R315" s="6">
        <f>HYPERLINK("https://map.naver.com/p/search/남이면 척산리 382-5", "지도Link")</f>
        <v/>
      </c>
      <c r="S315" s="6">
        <f>HYPERLINK("http://www.eum.go.kr/web/ar/lu/luLandDet.jsp?pnu=4311231021103820005&amp;isNoScr=script&amp;mode=search", "토지이음")</f>
        <v/>
      </c>
      <c r="T315" s="3" t="inlineStr">
        <is>
          <t>금화랜드</t>
        </is>
      </c>
      <c r="U315" s="4" t="n">
        <v>1</v>
      </c>
      <c r="V315" s="5" t="n">
        <v>98.2</v>
      </c>
      <c r="W315" s="4" t="n">
        <v>915</v>
      </c>
      <c r="X315" s="3" t="inlineStr">
        <is>
          <t>대장없음</t>
        </is>
      </c>
      <c r="Y315" s="7" t="inlineStr">
        <is>
          <t>대장없음</t>
        </is>
      </c>
      <c r="Z315" s="3" t="inlineStr">
        <is>
          <t>대장없음</t>
        </is>
      </c>
      <c r="AA315" s="3" t="inlineStr">
        <is>
          <t>대장없음</t>
        </is>
      </c>
      <c r="AB315" s="3" t="inlineStr">
        <is>
          <t>대장없음</t>
        </is>
      </c>
      <c r="AC315" s="3" t="inlineStr">
        <is>
          <t>대장없음</t>
        </is>
      </c>
      <c r="AD315" s="3" t="inlineStr">
        <is>
          <t>세로한면(가)</t>
        </is>
      </c>
    </row>
    <row r="316">
      <c r="A316" s="3" t="inlineStr">
        <is>
          <t>남이면 척산리 392</t>
        </is>
      </c>
      <c r="B316" s="3" t="inlineStr">
        <is>
          <t>계획관리지역</t>
        </is>
      </c>
      <c r="C316" s="3" t="inlineStr">
        <is>
          <t>공장용지</t>
        </is>
      </c>
      <c r="D316" s="3" t="inlineStr">
        <is>
          <t>공장</t>
        </is>
      </c>
      <c r="E316" s="3" t="inlineStr">
        <is>
          <t>월세</t>
        </is>
      </c>
      <c r="F316" s="4" t="n">
        <v>10000</v>
      </c>
      <c r="G316" s="4" t="n">
        <v>700</v>
      </c>
      <c r="H316" s="4" t="n">
        <v>5582</v>
      </c>
      <c r="I316" s="4" t="n">
        <v>1689</v>
      </c>
      <c r="J316" s="5" t="n">
        <v>0.4</v>
      </c>
      <c r="K316" s="4" t="n">
        <v>2126</v>
      </c>
      <c r="L316" s="4" t="n">
        <v>643</v>
      </c>
      <c r="M316" s="5" t="n">
        <v>1.1</v>
      </c>
      <c r="N316" s="3" t="inlineStr">
        <is>
          <t>1</t>
        </is>
      </c>
      <c r="O316" s="3" t="inlineStr">
        <is>
          <t>-</t>
        </is>
      </c>
      <c r="P316" s="3" t="inlineStr">
        <is>
          <t>남청주 IC 5km 거리. 공장. 창고.</t>
        </is>
      </c>
      <c r="Q316" s="6">
        <f>HYPERLINK("https://fin.land.naver.com/articles/2649746738", "매물Link")</f>
        <v/>
      </c>
      <c r="R316" s="6">
        <f>HYPERLINK("https://map.naver.com/p/search/남이면 척산리 392", "지도Link")</f>
        <v/>
      </c>
      <c r="S316" s="6">
        <f>HYPERLINK("http://www.eum.go.kr/web/ar/lu/luLandDet.jsp?pnu=4311231021103920000&amp;isNoScr=script&amp;mode=search", "토지이음")</f>
        <v/>
      </c>
      <c r="T316" s="3" t="inlineStr">
        <is>
          <t>(주)이알에이코리아</t>
        </is>
      </c>
      <c r="U316" s="4" t="n">
        <v>1</v>
      </c>
      <c r="V316" s="5" t="n">
        <v>65.5</v>
      </c>
      <c r="W316" s="4" t="n">
        <v>4961.4</v>
      </c>
      <c r="X316" s="3" t="inlineStr">
        <is>
          <t>대장없음</t>
        </is>
      </c>
      <c r="Y316" s="7" t="inlineStr">
        <is>
          <t>대장없음</t>
        </is>
      </c>
      <c r="Z316" s="3" t="inlineStr">
        <is>
          <t>대장없음</t>
        </is>
      </c>
      <c r="AA316" s="3" t="inlineStr">
        <is>
          <t>대장없음</t>
        </is>
      </c>
      <c r="AB316" s="3" t="inlineStr">
        <is>
          <t>대장없음</t>
        </is>
      </c>
      <c r="AC316" s="3" t="inlineStr">
        <is>
          <t>대장없음</t>
        </is>
      </c>
      <c r="AD316" s="3" t="inlineStr">
        <is>
          <t>세로한면(가)</t>
        </is>
      </c>
    </row>
    <row r="317">
      <c r="A317" s="3" t="inlineStr">
        <is>
          <t>남이면 척산리 392</t>
        </is>
      </c>
      <c r="B317" s="3" t="inlineStr">
        <is>
          <t>계획관리지역</t>
        </is>
      </c>
      <c r="C317" s="3" t="inlineStr">
        <is>
          <t>공장용지</t>
        </is>
      </c>
      <c r="D317" s="3" t="inlineStr">
        <is>
          <t>공장</t>
        </is>
      </c>
      <c r="E317" s="3" t="inlineStr">
        <is>
          <t>매매</t>
        </is>
      </c>
      <c r="F317" s="4" t="n">
        <v>290000</v>
      </c>
      <c r="G317" s="4" t="n">
        <v>0</v>
      </c>
      <c r="H317" s="4" t="n">
        <v>5582</v>
      </c>
      <c r="I317" s="4" t="n">
        <v>1689</v>
      </c>
      <c r="J317" s="5" t="n">
        <v>171.7</v>
      </c>
      <c r="K317" s="4" t="n">
        <v>2126</v>
      </c>
      <c r="L317" s="4" t="n">
        <v>643</v>
      </c>
      <c r="M317" s="5" t="n">
        <v>451</v>
      </c>
      <c r="N317" s="3" t="inlineStr">
        <is>
          <t>1</t>
        </is>
      </c>
      <c r="O317" s="3" t="inlineStr">
        <is>
          <t>-</t>
        </is>
      </c>
      <c r="P317" s="3" t="inlineStr">
        <is>
          <t>공장용도</t>
        </is>
      </c>
      <c r="Q317" s="6">
        <f>HYPERLINK("https://fin.land.naver.com/articles/2650638941", "매물Link")</f>
        <v/>
      </c>
      <c r="R317" s="6">
        <f>HYPERLINK("https://map.naver.com/p/search/남이면 척산리 392", "지도Link")</f>
        <v/>
      </c>
      <c r="S317" s="6">
        <f>HYPERLINK("http://www.eum.go.kr/web/ar/lu/luLandDet.jsp?pnu=4311231021103920000&amp;isNoScr=script&amp;mode=search", "토지이음")</f>
        <v/>
      </c>
      <c r="T317" s="3" t="inlineStr">
        <is>
          <t>(주)이알에이코리아</t>
        </is>
      </c>
      <c r="U317" s="4" t="n">
        <v>1</v>
      </c>
      <c r="V317" s="5" t="n">
        <v>65.5</v>
      </c>
      <c r="W317" s="4" t="n">
        <v>4961.4</v>
      </c>
      <c r="X317" s="3" t="inlineStr">
        <is>
          <t>대장없음</t>
        </is>
      </c>
      <c r="Y317" s="7" t="inlineStr">
        <is>
          <t>대장없음</t>
        </is>
      </c>
      <c r="Z317" s="3" t="inlineStr">
        <is>
          <t>대장없음</t>
        </is>
      </c>
      <c r="AA317" s="3" t="inlineStr">
        <is>
          <t>대장없음</t>
        </is>
      </c>
      <c r="AB317" s="3" t="inlineStr">
        <is>
          <t>대장없음</t>
        </is>
      </c>
      <c r="AC317" s="3" t="inlineStr">
        <is>
          <t>대장없음</t>
        </is>
      </c>
      <c r="AD317" s="3" t="inlineStr">
        <is>
          <t>세로한면(가)</t>
        </is>
      </c>
    </row>
    <row r="318">
      <c r="A318" s="3" t="inlineStr">
        <is>
          <t>남이면 척산리 395</t>
        </is>
      </c>
      <c r="B318" s="3" t="inlineStr">
        <is>
          <t>자연녹지지역</t>
        </is>
      </c>
      <c r="C318" s="3" t="inlineStr">
        <is>
          <t>대</t>
        </is>
      </c>
      <c r="D318" s="3" t="inlineStr">
        <is>
          <t>창고</t>
        </is>
      </c>
      <c r="E318" s="3" t="inlineStr">
        <is>
          <t>월세</t>
        </is>
      </c>
      <c r="F318" s="4" t="n">
        <v>1000</v>
      </c>
      <c r="G318" s="4" t="n">
        <v>180</v>
      </c>
      <c r="H318" s="4" t="n">
        <v>1823</v>
      </c>
      <c r="I318" s="4" t="n">
        <v>551</v>
      </c>
      <c r="J318" s="5" t="n">
        <v>0.3</v>
      </c>
      <c r="K318" s="4" t="n">
        <v>263</v>
      </c>
      <c r="L318" s="4" t="n">
        <v>80</v>
      </c>
      <c r="M318" s="5" t="n">
        <v>2.2</v>
      </c>
      <c r="N318" s="3" t="inlineStr">
        <is>
          <t>1</t>
        </is>
      </c>
      <c r="O318" s="3" t="inlineStr">
        <is>
          <t>-</t>
        </is>
      </c>
      <c r="P318" s="3" t="inlineStr">
        <is>
          <t>건물 80형 공장 창고</t>
        </is>
      </c>
      <c r="Q318" s="6">
        <f>HYPERLINK("https://fin.land.naver.com/articles/2649851627", "매물Link")</f>
        <v/>
      </c>
      <c r="R318" s="6">
        <f>HYPERLINK("https://map.naver.com/p/search/남이면 척산리 395", "지도Link")</f>
        <v/>
      </c>
      <c r="S318" s="6">
        <f>HYPERLINK("http://www.eum.go.kr/web/ar/lu/luLandDet.jsp?pnu=4311231021103950000&amp;isNoScr=script&amp;mode=search", "토지이음")</f>
        <v/>
      </c>
      <c r="T318" s="3" t="inlineStr">
        <is>
          <t>위더스</t>
        </is>
      </c>
      <c r="U318" s="4" t="n">
        <v>1</v>
      </c>
      <c r="V318" s="5" t="n">
        <v>59.8</v>
      </c>
      <c r="W318" s="4" t="n">
        <v>1823</v>
      </c>
      <c r="X318" s="3" t="inlineStr">
        <is>
          <t>대장없음</t>
        </is>
      </c>
      <c r="Y318" s="7" t="inlineStr">
        <is>
          <t>대장없음</t>
        </is>
      </c>
      <c r="Z318" s="3" t="inlineStr">
        <is>
          <t>대장없음</t>
        </is>
      </c>
      <c r="AA318" s="3" t="inlineStr">
        <is>
          <t>대장없음</t>
        </is>
      </c>
      <c r="AB318" s="3" t="inlineStr">
        <is>
          <t>대장없음</t>
        </is>
      </c>
      <c r="AC318" s="3" t="inlineStr">
        <is>
          <t>대장없음</t>
        </is>
      </c>
      <c r="AD318" s="3" t="inlineStr">
        <is>
          <t>세로한면(가)</t>
        </is>
      </c>
    </row>
    <row r="319">
      <c r="A319" s="3" t="inlineStr">
        <is>
          <t>남이면 척산리 395</t>
        </is>
      </c>
      <c r="B319" s="3" t="inlineStr">
        <is>
          <t>자연녹지지역</t>
        </is>
      </c>
      <c r="C319" s="3" t="inlineStr">
        <is>
          <t>대</t>
        </is>
      </c>
      <c r="D319" s="3" t="inlineStr">
        <is>
          <t>공장</t>
        </is>
      </c>
      <c r="E319" s="3" t="inlineStr">
        <is>
          <t>월세</t>
        </is>
      </c>
      <c r="F319" s="4" t="n">
        <v>1000</v>
      </c>
      <c r="G319" s="4" t="n">
        <v>180</v>
      </c>
      <c r="H319" s="4" t="n">
        <v>1823</v>
      </c>
      <c r="I319" s="4" t="n">
        <v>551</v>
      </c>
      <c r="J319" s="5" t="n">
        <v>0.3</v>
      </c>
      <c r="K319" s="4" t="n">
        <v>263</v>
      </c>
      <c r="L319" s="4" t="n">
        <v>80</v>
      </c>
      <c r="M319" s="5" t="n">
        <v>2.2</v>
      </c>
      <c r="N319" s="3" t="inlineStr">
        <is>
          <t>1</t>
        </is>
      </c>
      <c r="O319" s="3" t="inlineStr">
        <is>
          <t>-</t>
        </is>
      </c>
      <c r="P319" s="3" t="inlineStr">
        <is>
          <t>진출입 용이, 소형 창고용도로 추천 드림, 사무실 및 화장실 있음</t>
        </is>
      </c>
      <c r="Q319" s="6">
        <f>HYPERLINK("https://fin.land.naver.com/articles/2652675497", "매물Link")</f>
        <v/>
      </c>
      <c r="R319" s="6">
        <f>HYPERLINK("https://map.naver.com/p/search/남이면 척산리 395", "지도Link")</f>
        <v/>
      </c>
      <c r="S319" s="6">
        <f>HYPERLINK("http://www.eum.go.kr/web/ar/lu/luLandDet.jsp?pnu=4311231021103950000&amp;isNoScr=script&amp;mode=search", "토지이음")</f>
        <v/>
      </c>
      <c r="T319" s="3" t="inlineStr">
        <is>
          <t>제이</t>
        </is>
      </c>
      <c r="U319" s="4" t="n">
        <v>1</v>
      </c>
      <c r="V319" s="5" t="n">
        <v>59.8</v>
      </c>
      <c r="W319" s="4" t="n">
        <v>1823</v>
      </c>
      <c r="X319" s="3" t="inlineStr">
        <is>
          <t>대장없음</t>
        </is>
      </c>
      <c r="Y319" s="7" t="inlineStr">
        <is>
          <t>대장없음</t>
        </is>
      </c>
      <c r="Z319" s="3" t="inlineStr">
        <is>
          <t>대장없음</t>
        </is>
      </c>
      <c r="AA319" s="3" t="inlineStr">
        <is>
          <t>대장없음</t>
        </is>
      </c>
      <c r="AB319" s="3" t="inlineStr">
        <is>
          <t>대장없음</t>
        </is>
      </c>
      <c r="AC319" s="3" t="inlineStr">
        <is>
          <t>대장없음</t>
        </is>
      </c>
      <c r="AD319" s="3" t="inlineStr">
        <is>
          <t>세로한면(가)</t>
        </is>
      </c>
    </row>
    <row r="320">
      <c r="A320" s="3" t="inlineStr">
        <is>
          <t>남이면 척산리 395</t>
        </is>
      </c>
      <c r="B320" s="3" t="inlineStr">
        <is>
          <t>자연녹지지역</t>
        </is>
      </c>
      <c r="C320" s="3" t="inlineStr">
        <is>
          <t>대</t>
        </is>
      </c>
      <c r="D320" s="3" t="inlineStr">
        <is>
          <t>창고</t>
        </is>
      </c>
      <c r="E320" s="3" t="inlineStr">
        <is>
          <t>월세</t>
        </is>
      </c>
      <c r="F320" s="4" t="n">
        <v>1000</v>
      </c>
      <c r="G320" s="4" t="n">
        <v>180</v>
      </c>
      <c r="H320" s="4" t="n">
        <v>1823</v>
      </c>
      <c r="I320" s="4" t="n">
        <v>551</v>
      </c>
      <c r="J320" s="5" t="n">
        <v>0.3</v>
      </c>
      <c r="K320" s="4" t="n">
        <v>263</v>
      </c>
      <c r="L320" s="4" t="n">
        <v>80</v>
      </c>
      <c r="M320" s="5" t="n">
        <v>2.2</v>
      </c>
      <c r="N320" s="3" t="inlineStr">
        <is>
          <t>1</t>
        </is>
      </c>
      <c r="O320" s="3" t="inlineStr">
        <is>
          <t>-</t>
        </is>
      </c>
      <c r="P320" s="3" t="inlineStr">
        <is>
          <t>남이면 소형창고 사무실 있음 창고나 소매점가능</t>
        </is>
      </c>
      <c r="Q320" s="6">
        <f>HYPERLINK("https://fin.land.naver.com/articles/2650955465", "매물Link")</f>
        <v/>
      </c>
      <c r="R320" s="6">
        <f>HYPERLINK("https://map.naver.com/p/search/남이면 척산리 395", "지도Link")</f>
        <v/>
      </c>
      <c r="S320" s="6">
        <f>HYPERLINK("http://www.eum.go.kr/web/ar/lu/luLandDet.jsp?pnu=4311231021103950000&amp;isNoScr=script&amp;mode=search", "토지이음")</f>
        <v/>
      </c>
      <c r="T320" s="3" t="inlineStr">
        <is>
          <t>더원</t>
        </is>
      </c>
      <c r="U320" s="4" t="n">
        <v>1</v>
      </c>
      <c r="V320" s="5" t="n">
        <v>59.8</v>
      </c>
      <c r="W320" s="4" t="n">
        <v>1823</v>
      </c>
      <c r="X320" s="3" t="inlineStr">
        <is>
          <t>대장없음</t>
        </is>
      </c>
      <c r="Y320" s="7" t="inlineStr">
        <is>
          <t>대장없음</t>
        </is>
      </c>
      <c r="Z320" s="3" t="inlineStr">
        <is>
          <t>대장없음</t>
        </is>
      </c>
      <c r="AA320" s="3" t="inlineStr">
        <is>
          <t>대장없음</t>
        </is>
      </c>
      <c r="AB320" s="3" t="inlineStr">
        <is>
          <t>대장없음</t>
        </is>
      </c>
      <c r="AC320" s="3" t="inlineStr">
        <is>
          <t>대장없음</t>
        </is>
      </c>
      <c r="AD320" s="3" t="inlineStr">
        <is>
          <t>세로한면(가)</t>
        </is>
      </c>
    </row>
    <row r="321">
      <c r="A321" s="3" t="inlineStr">
        <is>
          <t>남이면 척산리 592-1</t>
        </is>
      </c>
      <c r="B321" s="3" t="inlineStr">
        <is>
          <t>계획관리지역</t>
        </is>
      </c>
      <c r="C321" s="3" t="inlineStr">
        <is>
          <t>대</t>
        </is>
      </c>
      <c r="D321" s="3" t="inlineStr">
        <is>
          <t>공장</t>
        </is>
      </c>
      <c r="E321" s="3" t="inlineStr">
        <is>
          <t>매매</t>
        </is>
      </c>
      <c r="F321" s="4" t="n">
        <v>135000</v>
      </c>
      <c r="G321" s="4" t="n">
        <v>0</v>
      </c>
      <c r="H321" s="4" t="n">
        <v>1038</v>
      </c>
      <c r="I321" s="4" t="n">
        <v>314</v>
      </c>
      <c r="J321" s="5" t="n">
        <v>429.9</v>
      </c>
      <c r="K321" s="4" t="n">
        <v>884</v>
      </c>
      <c r="L321" s="4" t="n">
        <v>267</v>
      </c>
      <c r="M321" s="5" t="n">
        <v>505.6</v>
      </c>
      <c r="N321" s="3" t="inlineStr">
        <is>
          <t>2</t>
        </is>
      </c>
      <c r="O321" s="3" t="inlineStr">
        <is>
          <t>-</t>
        </is>
      </c>
      <c r="P321" s="3" t="inlineStr">
        <is>
          <t>식품 프랜차이즈 본사형 제조공장 매매, 수산센터 및 수산물가공공장 가능</t>
        </is>
      </c>
      <c r="Q321" s="6">
        <f>HYPERLINK("https://fin.land.naver.com/articles/2651998080", "매물Link")</f>
        <v/>
      </c>
      <c r="R321" s="6">
        <f>HYPERLINK("https://map.naver.com/p/search/남이면 척산리 592-1", "지도Link")</f>
        <v/>
      </c>
      <c r="S321" s="6">
        <f>HYPERLINK("http://www.eum.go.kr/web/ar/lu/luLandDet.jsp?pnu=4311231021105920001&amp;isNoScr=script&amp;mode=search", "토지이음")</f>
        <v/>
      </c>
      <c r="T321" s="3" t="inlineStr">
        <is>
          <t>충대</t>
        </is>
      </c>
      <c r="U321" s="4" t="n">
        <v>1</v>
      </c>
      <c r="V321" s="5" t="n">
        <v>144.9</v>
      </c>
      <c r="W321" s="4" t="n">
        <v>1021</v>
      </c>
      <c r="X321" s="3" t="inlineStr">
        <is>
          <t>대장없음</t>
        </is>
      </c>
      <c r="Y321" s="7" t="inlineStr">
        <is>
          <t>대장없음</t>
        </is>
      </c>
      <c r="Z321" s="3" t="inlineStr">
        <is>
          <t>대장없음</t>
        </is>
      </c>
      <c r="AA321" s="3" t="inlineStr">
        <is>
          <t>대장없음</t>
        </is>
      </c>
      <c r="AB321" s="3" t="inlineStr">
        <is>
          <t>대장없음</t>
        </is>
      </c>
      <c r="AC321" s="3" t="inlineStr">
        <is>
          <t>대장없음</t>
        </is>
      </c>
      <c r="AD321" s="3" t="inlineStr">
        <is>
          <t>세로각지(가)</t>
        </is>
      </c>
    </row>
    <row r="322">
      <c r="A322" s="3" t="inlineStr">
        <is>
          <t>남이면 척산리 644-2</t>
        </is>
      </c>
      <c r="B322" s="3" t="inlineStr">
        <is>
          <t>계획관리지역</t>
        </is>
      </c>
      <c r="C322" s="3" t="inlineStr">
        <is>
          <t>공장용지</t>
        </is>
      </c>
      <c r="D322" s="3" t="inlineStr">
        <is>
          <t>공장</t>
        </is>
      </c>
      <c r="E322" s="3" t="inlineStr">
        <is>
          <t>월세</t>
        </is>
      </c>
      <c r="F322" s="4" t="n">
        <v>3000</v>
      </c>
      <c r="G322" s="4" t="n">
        <v>200</v>
      </c>
      <c r="H322" s="4" t="n">
        <v>839</v>
      </c>
      <c r="I322" s="4" t="n">
        <v>254</v>
      </c>
      <c r="J322" s="5" t="n">
        <v>0.8</v>
      </c>
      <c r="K322" s="4" t="n">
        <v>325</v>
      </c>
      <c r="L322" s="4" t="n">
        <v>98</v>
      </c>
      <c r="M322" s="5" t="n">
        <v>2</v>
      </c>
      <c r="N322" s="3" t="inlineStr">
        <is>
          <t>2</t>
        </is>
      </c>
      <c r="O322" s="3" t="inlineStr">
        <is>
          <t>-</t>
        </is>
      </c>
      <c r="P322" s="3" t="inlineStr">
        <is>
          <t>남청주 IC 5분거리 대형차량 진입 가능 제조업소 가능</t>
        </is>
      </c>
      <c r="Q322" s="6">
        <f>HYPERLINK("https://fin.land.naver.com/articles/2652470388", "매물Link")</f>
        <v/>
      </c>
      <c r="R322" s="6">
        <f>HYPERLINK("https://map.naver.com/p/search/남이면 척산리 644-2", "지도Link")</f>
        <v/>
      </c>
      <c r="S322" s="6">
        <f>HYPERLINK("http://www.eum.go.kr/web/ar/lu/luLandDet.jsp?pnu=4311231021106440002&amp;isNoScr=script&amp;mode=search", "토지이음")</f>
        <v/>
      </c>
      <c r="T322" s="3" t="inlineStr">
        <is>
          <t>미래n</t>
        </is>
      </c>
      <c r="U322" s="4" t="n">
        <v>1</v>
      </c>
      <c r="V322" s="5" t="n">
        <v>68.90000000000001</v>
      </c>
      <c r="W322" s="4" t="n">
        <v>839</v>
      </c>
      <c r="X322" s="3" t="inlineStr">
        <is>
          <t>대장없음</t>
        </is>
      </c>
      <c r="Y322" s="7" t="inlineStr">
        <is>
          <t>대장없음</t>
        </is>
      </c>
      <c r="Z322" s="3" t="inlineStr">
        <is>
          <t>대장없음</t>
        </is>
      </c>
      <c r="AA322" s="3" t="inlineStr">
        <is>
          <t>대장없음</t>
        </is>
      </c>
      <c r="AB322" s="3" t="inlineStr">
        <is>
          <t>대장없음</t>
        </is>
      </c>
      <c r="AC322" s="3" t="inlineStr">
        <is>
          <t>대장없음</t>
        </is>
      </c>
      <c r="AD322" s="3" t="inlineStr">
        <is>
          <t>세로한면(가)</t>
        </is>
      </c>
    </row>
    <row r="323">
      <c r="A323" s="3" t="inlineStr">
        <is>
          <t>남이면 척산리 644-2</t>
        </is>
      </c>
      <c r="B323" s="3" t="inlineStr">
        <is>
          <t>계획관리지역</t>
        </is>
      </c>
      <c r="C323" s="3" t="inlineStr">
        <is>
          <t>공장용지</t>
        </is>
      </c>
      <c r="D323" s="3" t="inlineStr">
        <is>
          <t>공장</t>
        </is>
      </c>
      <c r="E323" s="3" t="inlineStr">
        <is>
          <t>월세</t>
        </is>
      </c>
      <c r="F323" s="4" t="n">
        <v>3000</v>
      </c>
      <c r="G323" s="4" t="n">
        <v>200</v>
      </c>
      <c r="H323" s="4" t="n">
        <v>839</v>
      </c>
      <c r="I323" s="4" t="n">
        <v>254</v>
      </c>
      <c r="J323" s="5" t="n">
        <v>0.8</v>
      </c>
      <c r="K323" s="4" t="n">
        <v>325</v>
      </c>
      <c r="L323" s="4" t="n">
        <v>98</v>
      </c>
      <c r="M323" s="5" t="n">
        <v>2</v>
      </c>
      <c r="N323" s="3" t="inlineStr">
        <is>
          <t>2</t>
        </is>
      </c>
      <c r="O323" s="3" t="inlineStr">
        <is>
          <t>-</t>
        </is>
      </c>
      <c r="P323" s="3" t="inlineStr">
        <is>
          <t>건물100형 현재공실 즉시입주</t>
        </is>
      </c>
      <c r="Q323" s="6">
        <f>HYPERLINK("https://fin.land.naver.com/articles/2652949716", "매물Link")</f>
        <v/>
      </c>
      <c r="R323" s="6">
        <f>HYPERLINK("https://map.naver.com/p/search/남이면 척산리 644-2", "지도Link")</f>
        <v/>
      </c>
      <c r="S323" s="6">
        <f>HYPERLINK("http://www.eum.go.kr/web/ar/lu/luLandDet.jsp?pnu=4311231021106440002&amp;isNoScr=script&amp;mode=search", "토지이음")</f>
        <v/>
      </c>
      <c r="T323" s="3" t="inlineStr">
        <is>
          <t>위더스</t>
        </is>
      </c>
      <c r="U323" s="4" t="n">
        <v>1</v>
      </c>
      <c r="V323" s="5" t="n">
        <v>68.90000000000001</v>
      </c>
      <c r="W323" s="4" t="n">
        <v>839</v>
      </c>
      <c r="X323" s="3" t="inlineStr">
        <is>
          <t>대장없음</t>
        </is>
      </c>
      <c r="Y323" s="7" t="inlineStr">
        <is>
          <t>대장없음</t>
        </is>
      </c>
      <c r="Z323" s="3" t="inlineStr">
        <is>
          <t>대장없음</t>
        </is>
      </c>
      <c r="AA323" s="3" t="inlineStr">
        <is>
          <t>대장없음</t>
        </is>
      </c>
      <c r="AB323" s="3" t="inlineStr">
        <is>
          <t>대장없음</t>
        </is>
      </c>
      <c r="AC323" s="3" t="inlineStr">
        <is>
          <t>대장없음</t>
        </is>
      </c>
      <c r="AD323" s="3" t="inlineStr">
        <is>
          <t>세로한면(가)</t>
        </is>
      </c>
    </row>
    <row r="324">
      <c r="A324" s="3" t="inlineStr">
        <is>
          <t>남이면 척산리 644-2</t>
        </is>
      </c>
      <c r="B324" s="3" t="inlineStr">
        <is>
          <t>계획관리지역</t>
        </is>
      </c>
      <c r="C324" s="3" t="inlineStr">
        <is>
          <t>공장용지</t>
        </is>
      </c>
      <c r="D324" s="3" t="inlineStr">
        <is>
          <t>공장</t>
        </is>
      </c>
      <c r="E324" s="3" t="inlineStr">
        <is>
          <t>월세</t>
        </is>
      </c>
      <c r="F324" s="4" t="n">
        <v>3000</v>
      </c>
      <c r="G324" s="4" t="n">
        <v>200</v>
      </c>
      <c r="H324" s="4" t="n">
        <v>839</v>
      </c>
      <c r="I324" s="4" t="n">
        <v>254</v>
      </c>
      <c r="J324" s="5" t="n">
        <v>0.8</v>
      </c>
      <c r="K324" s="4" t="n">
        <v>325</v>
      </c>
      <c r="L324" s="4" t="n">
        <v>98</v>
      </c>
      <c r="M324" s="5" t="n">
        <v>2</v>
      </c>
      <c r="N324" s="3" t="inlineStr">
        <is>
          <t>1</t>
        </is>
      </c>
      <c r="O324" s="3" t="inlineStr">
        <is>
          <t>-</t>
        </is>
      </c>
      <c r="P324" s="3" t="inlineStr">
        <is>
          <t>남청주ic 8분 시내권 접근성 좋은 위치 제조나 창고 가능</t>
        </is>
      </c>
      <c r="Q324" s="6">
        <f>HYPERLINK("https://fin.land.naver.com/articles/2652265474", "매물Link")</f>
        <v/>
      </c>
      <c r="R324" s="6">
        <f>HYPERLINK("https://map.naver.com/p/search/남이면 척산리 644-2", "지도Link")</f>
        <v/>
      </c>
      <c r="S324" s="6">
        <f>HYPERLINK("http://www.eum.go.kr/web/ar/lu/luLandDet.jsp?pnu=4311231021106440002&amp;isNoScr=script&amp;mode=search", "토지이음")</f>
        <v/>
      </c>
      <c r="T324" s="3" t="inlineStr">
        <is>
          <t>더원</t>
        </is>
      </c>
      <c r="U324" s="4" t="n">
        <v>1</v>
      </c>
      <c r="V324" s="5" t="n">
        <v>68.90000000000001</v>
      </c>
      <c r="W324" s="4" t="n">
        <v>839</v>
      </c>
      <c r="X324" s="3" t="inlineStr">
        <is>
          <t>대장없음</t>
        </is>
      </c>
      <c r="Y324" s="7" t="inlineStr">
        <is>
          <t>대장없음</t>
        </is>
      </c>
      <c r="Z324" s="3" t="inlineStr">
        <is>
          <t>대장없음</t>
        </is>
      </c>
      <c r="AA324" s="3" t="inlineStr">
        <is>
          <t>대장없음</t>
        </is>
      </c>
      <c r="AB324" s="3" t="inlineStr">
        <is>
          <t>대장없음</t>
        </is>
      </c>
      <c r="AC324" s="3" t="inlineStr">
        <is>
          <t>대장없음</t>
        </is>
      </c>
      <c r="AD324" s="3" t="inlineStr">
        <is>
          <t>세로한면(가)</t>
        </is>
      </c>
    </row>
    <row r="325">
      <c r="A325" s="3" t="inlineStr">
        <is>
          <t>남이면 척산리 665-4</t>
        </is>
      </c>
      <c r="B325" s="3" t="inlineStr">
        <is>
          <t>계획관리지역</t>
        </is>
      </c>
      <c r="C325" s="3" t="inlineStr">
        <is>
          <t>대</t>
        </is>
      </c>
      <c r="D325" s="3" t="inlineStr">
        <is>
          <t>창고</t>
        </is>
      </c>
      <c r="E325" s="3" t="inlineStr">
        <is>
          <t>월세</t>
        </is>
      </c>
      <c r="F325" s="4" t="n">
        <v>500</v>
      </c>
      <c r="G325" s="4" t="n">
        <v>65</v>
      </c>
      <c r="H325" s="4" t="n">
        <v>1057</v>
      </c>
      <c r="I325" s="4" t="n">
        <v>320</v>
      </c>
      <c r="J325" s="5" t="n">
        <v>0.2</v>
      </c>
      <c r="K325" s="4" t="n">
        <v>111</v>
      </c>
      <c r="L325" s="4" t="n">
        <v>34</v>
      </c>
      <c r="M325" s="5" t="n">
        <v>1.9</v>
      </c>
      <c r="N325" s="3" t="inlineStr">
        <is>
          <t>1</t>
        </is>
      </c>
      <c r="O325" s="3" t="inlineStr">
        <is>
          <t>-</t>
        </is>
      </c>
      <c r="P325" s="3" t="inlineStr">
        <is>
          <t>부담없는 임대료로 사용 가능한 실용적인 창고입니다.</t>
        </is>
      </c>
      <c r="Q325" s="6">
        <f>HYPERLINK("https://fin.land.naver.com/articles/2653037551", "매물Link")</f>
        <v/>
      </c>
      <c r="R325" s="6">
        <f>HYPERLINK("https://map.naver.com/p/search/남이면 척산리 665-4", "지도Link")</f>
        <v/>
      </c>
      <c r="S325" s="6">
        <f>HYPERLINK("http://www.eum.go.kr/web/ar/lu/luLandDet.jsp?pnu=4311231021106650004&amp;isNoScr=script&amp;mode=search", "토지이음")</f>
        <v/>
      </c>
      <c r="T325" s="3" t="inlineStr">
        <is>
          <t>진천금손</t>
        </is>
      </c>
      <c r="U325" s="4" t="n">
        <v>1</v>
      </c>
      <c r="V325" s="5" t="n">
        <v>61</v>
      </c>
      <c r="W325" s="4" t="n">
        <v>893</v>
      </c>
      <c r="X325" s="3" t="inlineStr">
        <is>
          <t>대장없음</t>
        </is>
      </c>
      <c r="Y325" s="7" t="inlineStr">
        <is>
          <t>대장없음</t>
        </is>
      </c>
      <c r="Z325" s="3" t="inlineStr">
        <is>
          <t>대장없음</t>
        </is>
      </c>
      <c r="AA325" s="3" t="inlineStr">
        <is>
          <t>대장없음</t>
        </is>
      </c>
      <c r="AB325" s="3" t="inlineStr">
        <is>
          <t>대장없음</t>
        </is>
      </c>
      <c r="AC325" s="3" t="inlineStr">
        <is>
          <t>대장없음</t>
        </is>
      </c>
      <c r="AD325" s="3" t="inlineStr">
        <is>
          <t>세로한면(가)</t>
        </is>
      </c>
    </row>
    <row r="326">
      <c r="A326" s="3" t="inlineStr">
        <is>
          <t>남이면 척산리 665-4</t>
        </is>
      </c>
      <c r="B326" s="3" t="inlineStr">
        <is>
          <t>계획관리지역</t>
        </is>
      </c>
      <c r="C326" s="3" t="inlineStr">
        <is>
          <t>대</t>
        </is>
      </c>
      <c r="D326" s="3" t="inlineStr">
        <is>
          <t>창고</t>
        </is>
      </c>
      <c r="E326" s="3" t="inlineStr">
        <is>
          <t>월세</t>
        </is>
      </c>
      <c r="F326" s="4" t="n">
        <v>1000</v>
      </c>
      <c r="G326" s="4" t="n">
        <v>110</v>
      </c>
      <c r="H326" s="4" t="n">
        <v>1058</v>
      </c>
      <c r="I326" s="4" t="n">
        <v>320</v>
      </c>
      <c r="J326" s="5" t="n">
        <v>0.3</v>
      </c>
      <c r="K326" s="4" t="n">
        <v>189</v>
      </c>
      <c r="L326" s="4" t="n">
        <v>57</v>
      </c>
      <c r="M326" s="5" t="n">
        <v>1.9</v>
      </c>
      <c r="N326" s="3" t="inlineStr">
        <is>
          <t>1</t>
        </is>
      </c>
      <c r="O326" s="3" t="inlineStr">
        <is>
          <t>-</t>
        </is>
      </c>
      <c r="P326" s="3" t="inlineStr">
        <is>
          <t>건물 55형 일반창고 35형 사무실도 있음</t>
        </is>
      </c>
      <c r="Q326" s="6">
        <f>HYPERLINK("https://fin.land.naver.com/articles/2652949730", "매물Link")</f>
        <v/>
      </c>
      <c r="R326" s="6">
        <f>HYPERLINK("https://map.naver.com/p/search/남이면 척산리 665-4", "지도Link")</f>
        <v/>
      </c>
      <c r="S326" s="6">
        <f>HYPERLINK("http://www.eum.go.kr/web/ar/lu/luLandDet.jsp?pnu=4311231021106650004&amp;isNoScr=script&amp;mode=search", "토지이음")</f>
        <v/>
      </c>
      <c r="T326" s="3" t="inlineStr">
        <is>
          <t>위더스</t>
        </is>
      </c>
      <c r="U326" s="4" t="n">
        <v>1</v>
      </c>
      <c r="V326" s="5" t="n">
        <v>61</v>
      </c>
      <c r="W326" s="4" t="n">
        <v>893</v>
      </c>
      <c r="X326" s="3" t="inlineStr">
        <is>
          <t>대장없음</t>
        </is>
      </c>
      <c r="Y326" s="7" t="inlineStr">
        <is>
          <t>대장없음</t>
        </is>
      </c>
      <c r="Z326" s="3" t="inlineStr">
        <is>
          <t>대장없음</t>
        </is>
      </c>
      <c r="AA326" s="3" t="inlineStr">
        <is>
          <t>대장없음</t>
        </is>
      </c>
      <c r="AB326" s="3" t="inlineStr">
        <is>
          <t>대장없음</t>
        </is>
      </c>
      <c r="AC326" s="3" t="inlineStr">
        <is>
          <t>대장없음</t>
        </is>
      </c>
      <c r="AD326" s="3" t="inlineStr">
        <is>
          <t>세로한면(가)</t>
        </is>
      </c>
    </row>
    <row r="327">
      <c r="A327" s="3" t="inlineStr">
        <is>
          <t>남이면 척산리 760-7</t>
        </is>
      </c>
      <c r="B327" s="3" t="inlineStr">
        <is>
          <t>계획관리지역</t>
        </is>
      </c>
      <c r="C327" s="3" t="inlineStr">
        <is>
          <t>대</t>
        </is>
      </c>
      <c r="D327" s="3" t="inlineStr">
        <is>
          <t>공장</t>
        </is>
      </c>
      <c r="E327" s="3" t="inlineStr">
        <is>
          <t>월세</t>
        </is>
      </c>
      <c r="F327" s="4" t="n">
        <v>3000</v>
      </c>
      <c r="G327" s="4" t="n">
        <v>350</v>
      </c>
      <c r="H327" s="4" t="n">
        <v>1357</v>
      </c>
      <c r="I327" s="4" t="n">
        <v>410</v>
      </c>
      <c r="J327" s="5" t="n">
        <v>0.9</v>
      </c>
      <c r="K327" s="4" t="n">
        <v>492</v>
      </c>
      <c r="L327" s="4" t="n">
        <v>149</v>
      </c>
      <c r="M327" s="5" t="n">
        <v>2.3</v>
      </c>
      <c r="N327" s="3" t="inlineStr">
        <is>
          <t>1</t>
        </is>
      </c>
      <c r="O327" s="3" t="inlineStr">
        <is>
          <t>-</t>
        </is>
      </c>
      <c r="P327" s="3" t="inlineStr">
        <is>
          <t>사진 有, 남청주IC 5분거리, 대형차 진입 가능, 내부사무실있음</t>
        </is>
      </c>
      <c r="Q327" s="6">
        <f>HYPERLINK("https://fin.land.naver.com/articles/2651038278", "매물Link")</f>
        <v/>
      </c>
      <c r="R327" s="6">
        <f>HYPERLINK("https://map.naver.com/p/search/남이면 척산리 760-7", "지도Link")</f>
        <v/>
      </c>
      <c r="S327" s="6">
        <f>HYPERLINK("http://www.eum.go.kr/web/ar/lu/luLandDet.jsp?pnu=4311231021107600007&amp;isNoScr=script&amp;mode=search", "토지이음")</f>
        <v/>
      </c>
      <c r="T327" s="3" t="inlineStr">
        <is>
          <t>태성</t>
        </is>
      </c>
      <c r="U327" s="4" t="n">
        <v>3</v>
      </c>
      <c r="V327" s="5" t="n">
        <v>70.8</v>
      </c>
      <c r="W327" s="4" t="n">
        <v>1357</v>
      </c>
      <c r="X327" s="3" t="inlineStr">
        <is>
          <t>대장없음</t>
        </is>
      </c>
      <c r="Y327" s="7" t="inlineStr">
        <is>
          <t>대장없음</t>
        </is>
      </c>
      <c r="Z327" s="3" t="inlineStr">
        <is>
          <t>대장없음</t>
        </is>
      </c>
      <c r="AA327" s="3" t="inlineStr">
        <is>
          <t>대장없음</t>
        </is>
      </c>
      <c r="AB327" s="3" t="inlineStr">
        <is>
          <t>대장없음</t>
        </is>
      </c>
      <c r="AC327" s="3" t="inlineStr">
        <is>
          <t>대장없음</t>
        </is>
      </c>
      <c r="AD327" s="3" t="inlineStr">
        <is>
          <t>세로한면(가)</t>
        </is>
      </c>
    </row>
    <row r="328">
      <c r="A328" s="3" t="inlineStr">
        <is>
          <t>남이면 척산리 760-7</t>
        </is>
      </c>
      <c r="B328" s="3" t="inlineStr">
        <is>
          <t>계획관리지역</t>
        </is>
      </c>
      <c r="C328" s="3" t="inlineStr">
        <is>
          <t>대</t>
        </is>
      </c>
      <c r="D328" s="3" t="inlineStr">
        <is>
          <t>공장</t>
        </is>
      </c>
      <c r="E328" s="3" t="inlineStr">
        <is>
          <t>월세</t>
        </is>
      </c>
      <c r="F328" s="4" t="n">
        <v>3000</v>
      </c>
      <c r="G328" s="4" t="n">
        <v>350</v>
      </c>
      <c r="H328" s="4" t="n">
        <v>1357</v>
      </c>
      <c r="I328" s="4" t="n">
        <v>410</v>
      </c>
      <c r="J328" s="5" t="n">
        <v>0.9</v>
      </c>
      <c r="K328" s="4" t="n">
        <v>492</v>
      </c>
      <c r="L328" s="4" t="n">
        <v>149</v>
      </c>
      <c r="M328" s="5" t="n">
        <v>2.3</v>
      </c>
      <c r="N328" s="3" t="inlineStr">
        <is>
          <t>1</t>
        </is>
      </c>
      <c r="O328" s="3" t="inlineStr">
        <is>
          <t>-</t>
        </is>
      </c>
      <c r="P328" s="3" t="inlineStr">
        <is>
          <t>사진有 2종근생 제조업소 임대</t>
        </is>
      </c>
      <c r="Q328" s="6">
        <f>HYPERLINK("https://fin.land.naver.com/articles/2653029834", "매물Link")</f>
        <v/>
      </c>
      <c r="R328" s="6">
        <f>HYPERLINK("https://map.naver.com/p/search/남이면 척산리 760-7", "지도Link")</f>
        <v/>
      </c>
      <c r="S328" s="6">
        <f>HYPERLINK("http://www.eum.go.kr/web/ar/lu/luLandDet.jsp?pnu=4311231021107600007&amp;isNoScr=script&amp;mode=search", "토지이음")</f>
        <v/>
      </c>
      <c r="T328" s="3" t="inlineStr">
        <is>
          <t>월드</t>
        </is>
      </c>
      <c r="U328" s="4" t="n">
        <v>2</v>
      </c>
      <c r="V328" s="5" t="n">
        <v>70.8</v>
      </c>
      <c r="W328" s="4" t="n">
        <v>1357</v>
      </c>
      <c r="X328" s="3" t="inlineStr">
        <is>
          <t>대장없음</t>
        </is>
      </c>
      <c r="Y328" s="7" t="inlineStr">
        <is>
          <t>대장없음</t>
        </is>
      </c>
      <c r="Z328" s="3" t="inlineStr">
        <is>
          <t>대장없음</t>
        </is>
      </c>
      <c r="AA328" s="3" t="inlineStr">
        <is>
          <t>대장없음</t>
        </is>
      </c>
      <c r="AB328" s="3" t="inlineStr">
        <is>
          <t>대장없음</t>
        </is>
      </c>
      <c r="AC328" s="3" t="inlineStr">
        <is>
          <t>대장없음</t>
        </is>
      </c>
      <c r="AD328" s="3" t="inlineStr">
        <is>
          <t>세로한면(가)</t>
        </is>
      </c>
    </row>
    <row r="329">
      <c r="A329" s="3" t="inlineStr">
        <is>
          <t>남이면 척산리 760-7</t>
        </is>
      </c>
      <c r="B329" s="3" t="inlineStr">
        <is>
          <t>계획관리지역</t>
        </is>
      </c>
      <c r="C329" s="3" t="inlineStr">
        <is>
          <t>대</t>
        </is>
      </c>
      <c r="D329" s="3" t="inlineStr">
        <is>
          <t>창고</t>
        </is>
      </c>
      <c r="E329" s="3" t="inlineStr">
        <is>
          <t>월세</t>
        </is>
      </c>
      <c r="F329" s="4" t="n">
        <v>3000</v>
      </c>
      <c r="G329" s="4" t="n">
        <v>330</v>
      </c>
      <c r="H329" s="4" t="n">
        <v>1357</v>
      </c>
      <c r="I329" s="4" t="n">
        <v>410</v>
      </c>
      <c r="J329" s="5" t="n">
        <v>0.8</v>
      </c>
      <c r="K329" s="4" t="n">
        <v>492</v>
      </c>
      <c r="L329" s="4" t="n">
        <v>149</v>
      </c>
      <c r="M329" s="5" t="n">
        <v>2.2</v>
      </c>
      <c r="N329" s="3" t="inlineStr">
        <is>
          <t>1</t>
        </is>
      </c>
      <c r="O329" s="3" t="inlineStr">
        <is>
          <t>-</t>
        </is>
      </c>
      <c r="P329" s="3" t="inlineStr">
        <is>
          <t>남청주 IC 10분안쪽 물류창고 추천</t>
        </is>
      </c>
      <c r="Q329" s="6">
        <f>HYPERLINK("https://fin.land.naver.com/articles/2651018449", "매물Link")</f>
        <v/>
      </c>
      <c r="R329" s="6">
        <f>HYPERLINK("https://map.naver.com/p/search/남이면 척산리 760-7", "지도Link")</f>
        <v/>
      </c>
      <c r="S329" s="6">
        <f>HYPERLINK("http://www.eum.go.kr/web/ar/lu/luLandDet.jsp?pnu=4311231021107600007&amp;isNoScr=script&amp;mode=search", "토지이음")</f>
        <v/>
      </c>
      <c r="T329" s="3" t="inlineStr">
        <is>
          <t>진성</t>
        </is>
      </c>
      <c r="U329" s="4" t="n">
        <v>2</v>
      </c>
      <c r="V329" s="5" t="n">
        <v>70.8</v>
      </c>
      <c r="W329" s="4" t="n">
        <v>1357</v>
      </c>
      <c r="X329" s="3" t="inlineStr">
        <is>
          <t>대장없음</t>
        </is>
      </c>
      <c r="Y329" s="7" t="inlineStr">
        <is>
          <t>대장없음</t>
        </is>
      </c>
      <c r="Z329" s="3" t="inlineStr">
        <is>
          <t>대장없음</t>
        </is>
      </c>
      <c r="AA329" s="3" t="inlineStr">
        <is>
          <t>대장없음</t>
        </is>
      </c>
      <c r="AB329" s="3" t="inlineStr">
        <is>
          <t>대장없음</t>
        </is>
      </c>
      <c r="AC329" s="3" t="inlineStr">
        <is>
          <t>대장없음</t>
        </is>
      </c>
      <c r="AD329" s="3" t="inlineStr">
        <is>
          <t>세로한면(가)</t>
        </is>
      </c>
    </row>
    <row r="330">
      <c r="A330" s="3" t="inlineStr">
        <is>
          <t>남이면 척산리 760-7</t>
        </is>
      </c>
      <c r="B330" s="3" t="inlineStr">
        <is>
          <t>계획관리지역</t>
        </is>
      </c>
      <c r="C330" s="3" t="inlineStr">
        <is>
          <t>대</t>
        </is>
      </c>
      <c r="D330" s="3" t="inlineStr">
        <is>
          <t>창고</t>
        </is>
      </c>
      <c r="E330" s="3" t="inlineStr">
        <is>
          <t>월세</t>
        </is>
      </c>
      <c r="F330" s="4" t="n">
        <v>3000</v>
      </c>
      <c r="G330" s="4" t="n">
        <v>350</v>
      </c>
      <c r="H330" s="4" t="n">
        <v>1357</v>
      </c>
      <c r="I330" s="4" t="n">
        <v>410</v>
      </c>
      <c r="J330" s="5" t="n">
        <v>0.9</v>
      </c>
      <c r="K330" s="4" t="n">
        <v>492</v>
      </c>
      <c r="L330" s="4" t="n">
        <v>149</v>
      </c>
      <c r="M330" s="5" t="n">
        <v>2.3</v>
      </c>
      <c r="N330" s="3" t="inlineStr">
        <is>
          <t>1</t>
        </is>
      </c>
      <c r="O330" s="3" t="inlineStr">
        <is>
          <t>-</t>
        </is>
      </c>
      <c r="P330" s="3" t="inlineStr">
        <is>
          <t>남청주 IC 7분거리 2종근생 창고 대형차량 진입 편리</t>
        </is>
      </c>
      <c r="Q330" s="6">
        <f>HYPERLINK("https://fin.land.naver.com/articles/2650684873", "매물Link")</f>
        <v/>
      </c>
      <c r="R330" s="6">
        <f>HYPERLINK("https://map.naver.com/p/search/남이면 척산리 760-7", "지도Link")</f>
        <v/>
      </c>
      <c r="S330" s="6">
        <f>HYPERLINK("http://www.eum.go.kr/web/ar/lu/luLandDet.jsp?pnu=4311231021107600007&amp;isNoScr=script&amp;mode=search", "토지이음")</f>
        <v/>
      </c>
      <c r="T330" s="3" t="inlineStr">
        <is>
          <t>미래n</t>
        </is>
      </c>
      <c r="U330" s="4" t="n">
        <v>1</v>
      </c>
      <c r="V330" s="5" t="n">
        <v>70.8</v>
      </c>
      <c r="W330" s="4" t="n">
        <v>1357</v>
      </c>
      <c r="X330" s="3" t="inlineStr">
        <is>
          <t>대장없음</t>
        </is>
      </c>
      <c r="Y330" s="7" t="inlineStr">
        <is>
          <t>대장없음</t>
        </is>
      </c>
      <c r="Z330" s="3" t="inlineStr">
        <is>
          <t>대장없음</t>
        </is>
      </c>
      <c r="AA330" s="3" t="inlineStr">
        <is>
          <t>대장없음</t>
        </is>
      </c>
      <c r="AB330" s="3" t="inlineStr">
        <is>
          <t>대장없음</t>
        </is>
      </c>
      <c r="AC330" s="3" t="inlineStr">
        <is>
          <t>대장없음</t>
        </is>
      </c>
      <c r="AD330" s="3" t="inlineStr">
        <is>
          <t>세로한면(가)</t>
        </is>
      </c>
    </row>
    <row r="331">
      <c r="A331" s="3" t="inlineStr">
        <is>
          <t>남이면 척산리 760-7</t>
        </is>
      </c>
      <c r="B331" s="3" t="inlineStr">
        <is>
          <t>계획관리지역</t>
        </is>
      </c>
      <c r="C331" s="3" t="inlineStr">
        <is>
          <t>대</t>
        </is>
      </c>
      <c r="D331" s="3" t="inlineStr">
        <is>
          <t>창고</t>
        </is>
      </c>
      <c r="E331" s="3" t="inlineStr">
        <is>
          <t>월세</t>
        </is>
      </c>
      <c r="F331" s="4" t="n">
        <v>3000</v>
      </c>
      <c r="G331" s="4" t="n">
        <v>350</v>
      </c>
      <c r="H331" s="4" t="n">
        <v>1357</v>
      </c>
      <c r="I331" s="4" t="n">
        <v>410</v>
      </c>
      <c r="J331" s="5" t="n">
        <v>0.9</v>
      </c>
      <c r="K331" s="4" t="n">
        <v>492</v>
      </c>
      <c r="L331" s="4" t="n">
        <v>149</v>
      </c>
      <c r="M331" s="5" t="n">
        <v>2.3</v>
      </c>
      <c r="N331" s="3" t="inlineStr">
        <is>
          <t>1</t>
        </is>
      </c>
      <c r="O331" s="3" t="inlineStr">
        <is>
          <t>-</t>
        </is>
      </c>
      <c r="P331" s="3" t="inlineStr">
        <is>
          <t>남청주IC 인근 척산리, 공장 창고, 넓은마당, 임대료 조절, 즉시입주</t>
        </is>
      </c>
      <c r="Q331" s="6">
        <f>HYPERLINK("https://fin.land.naver.com/articles/2651938990", "매물Link")</f>
        <v/>
      </c>
      <c r="R331" s="6">
        <f>HYPERLINK("https://map.naver.com/p/search/남이면 척산리 760-7", "지도Link")</f>
        <v/>
      </c>
      <c r="S331" s="6">
        <f>HYPERLINK("http://www.eum.go.kr/web/ar/lu/luLandDet.jsp?pnu=4311231021107600007&amp;isNoScr=script&amp;mode=search", "토지이음")</f>
        <v/>
      </c>
      <c r="T331" s="3" t="inlineStr">
        <is>
          <t>라인</t>
        </is>
      </c>
      <c r="U331" s="4" t="n">
        <v>1</v>
      </c>
      <c r="V331" s="5" t="n">
        <v>70.8</v>
      </c>
      <c r="W331" s="4" t="n">
        <v>1357</v>
      </c>
      <c r="X331" s="3" t="inlineStr">
        <is>
          <t>대장없음</t>
        </is>
      </c>
      <c r="Y331" s="7" t="inlineStr">
        <is>
          <t>대장없음</t>
        </is>
      </c>
      <c r="Z331" s="3" t="inlineStr">
        <is>
          <t>대장없음</t>
        </is>
      </c>
      <c r="AA331" s="3" t="inlineStr">
        <is>
          <t>대장없음</t>
        </is>
      </c>
      <c r="AB331" s="3" t="inlineStr">
        <is>
          <t>대장없음</t>
        </is>
      </c>
      <c r="AC331" s="3" t="inlineStr">
        <is>
          <t>대장없음</t>
        </is>
      </c>
      <c r="AD331" s="3" t="inlineStr">
        <is>
          <t>세로한면(가)</t>
        </is>
      </c>
    </row>
    <row r="332">
      <c r="A332" s="3" t="inlineStr">
        <is>
          <t>남이면 척산리 760-7</t>
        </is>
      </c>
      <c r="B332" s="3" t="inlineStr">
        <is>
          <t>계획관리지역</t>
        </is>
      </c>
      <c r="C332" s="3" t="inlineStr">
        <is>
          <t>대</t>
        </is>
      </c>
      <c r="D332" s="3" t="inlineStr">
        <is>
          <t>창고</t>
        </is>
      </c>
      <c r="E332" s="3" t="inlineStr">
        <is>
          <t>월세</t>
        </is>
      </c>
      <c r="F332" s="4" t="n">
        <v>3000</v>
      </c>
      <c r="G332" s="4" t="n">
        <v>330</v>
      </c>
      <c r="H332" s="4" t="n">
        <v>1357</v>
      </c>
      <c r="I332" s="4" t="n">
        <v>410</v>
      </c>
      <c r="J332" s="5" t="n">
        <v>0.8</v>
      </c>
      <c r="K332" s="4" t="n">
        <v>492</v>
      </c>
      <c r="L332" s="4" t="n">
        <v>149</v>
      </c>
      <c r="M332" s="5" t="n">
        <v>2.2</v>
      </c>
      <c r="N332" s="3" t="inlineStr">
        <is>
          <t>1</t>
        </is>
      </c>
      <c r="O332" s="3" t="inlineStr">
        <is>
          <t>-</t>
        </is>
      </c>
      <c r="P332" s="3" t="inlineStr">
        <is>
          <t>건물150형 대지 410형 2종근생제조</t>
        </is>
      </c>
      <c r="Q332" s="6">
        <f>HYPERLINK("https://fin.land.naver.com/articles/2649343433", "매물Link")</f>
        <v/>
      </c>
      <c r="R332" s="6">
        <f>HYPERLINK("https://map.naver.com/p/search/남이면 척산리 760-7", "지도Link")</f>
        <v/>
      </c>
      <c r="S332" s="6">
        <f>HYPERLINK("http://www.eum.go.kr/web/ar/lu/luLandDet.jsp?pnu=4311231021107600007&amp;isNoScr=script&amp;mode=search", "토지이음")</f>
        <v/>
      </c>
      <c r="T332" s="3" t="inlineStr">
        <is>
          <t>위더스</t>
        </is>
      </c>
      <c r="U332" s="4" t="n">
        <v>1</v>
      </c>
      <c r="V332" s="5" t="n">
        <v>70.8</v>
      </c>
      <c r="W332" s="4" t="n">
        <v>1357</v>
      </c>
      <c r="X332" s="3" t="inlineStr">
        <is>
          <t>대장없음</t>
        </is>
      </c>
      <c r="Y332" s="7" t="inlineStr">
        <is>
          <t>대장없음</t>
        </is>
      </c>
      <c r="Z332" s="3" t="inlineStr">
        <is>
          <t>대장없음</t>
        </is>
      </c>
      <c r="AA332" s="3" t="inlineStr">
        <is>
          <t>대장없음</t>
        </is>
      </c>
      <c r="AB332" s="3" t="inlineStr">
        <is>
          <t>대장없음</t>
        </is>
      </c>
      <c r="AC332" s="3" t="inlineStr">
        <is>
          <t>대장없음</t>
        </is>
      </c>
      <c r="AD332" s="3" t="inlineStr">
        <is>
          <t>세로한면(가)</t>
        </is>
      </c>
    </row>
    <row r="333">
      <c r="A333" s="3" t="inlineStr">
        <is>
          <t>남이면 척산리 761</t>
        </is>
      </c>
      <c r="B333" s="3" t="inlineStr">
        <is>
          <t>계획관리지역</t>
        </is>
      </c>
      <c r="C333" s="3" t="inlineStr">
        <is>
          <t>대</t>
        </is>
      </c>
      <c r="D333" s="3" t="inlineStr">
        <is>
          <t>창고</t>
        </is>
      </c>
      <c r="E333" s="3" t="inlineStr">
        <is>
          <t>월세</t>
        </is>
      </c>
      <c r="F333" s="4" t="n">
        <v>2000</v>
      </c>
      <c r="G333" s="4" t="n">
        <v>180</v>
      </c>
      <c r="H333" s="4" t="n">
        <v>1028</v>
      </c>
      <c r="I333" s="4" t="n">
        <v>311</v>
      </c>
      <c r="J333" s="5" t="n">
        <v>0.6</v>
      </c>
      <c r="K333" s="4" t="n">
        <v>330</v>
      </c>
      <c r="L333" s="4" t="n">
        <v>100</v>
      </c>
      <c r="M333" s="5" t="n">
        <v>1.8</v>
      </c>
      <c r="N333" s="3" t="inlineStr">
        <is>
          <t>1</t>
        </is>
      </c>
      <c r="O333" s="3" t="inlineStr">
        <is>
          <t>-</t>
        </is>
      </c>
      <c r="P333" s="3" t="inlineStr">
        <is>
          <t>도로에 접하는 물류이동이 좋은 위치의 창고용도의 임대 물건이예요</t>
        </is>
      </c>
      <c r="Q333" s="6">
        <f>HYPERLINK("https://fin.land.naver.com/articles/2649400817", "매물Link")</f>
        <v/>
      </c>
      <c r="R333" s="6">
        <f>HYPERLINK("https://map.naver.com/p/search/남이면 척산리 761", "지도Link")</f>
        <v/>
      </c>
      <c r="S333" s="6">
        <f>HYPERLINK("http://www.eum.go.kr/web/ar/lu/luLandDet.jsp?pnu=4311231021107610000&amp;isNoScr=script&amp;mode=search", "토지이음")</f>
        <v/>
      </c>
      <c r="T333" s="3" t="inlineStr">
        <is>
          <t>4989명품</t>
        </is>
      </c>
      <c r="U333" s="4" t="n">
        <v>1</v>
      </c>
      <c r="V333" s="5" t="n">
        <v>67.5</v>
      </c>
      <c r="W333" s="4" t="n">
        <v>1286</v>
      </c>
      <c r="X333" s="3" t="inlineStr">
        <is>
          <t>대장없음</t>
        </is>
      </c>
      <c r="Y333" s="7" t="inlineStr">
        <is>
          <t>대장없음</t>
        </is>
      </c>
      <c r="Z333" s="3" t="inlineStr">
        <is>
          <t>대장없음</t>
        </is>
      </c>
      <c r="AA333" s="3" t="inlineStr">
        <is>
          <t>대장없음</t>
        </is>
      </c>
      <c r="AB333" s="3" t="inlineStr">
        <is>
          <t>대장없음</t>
        </is>
      </c>
      <c r="AC333" s="3" t="inlineStr">
        <is>
          <t>대장없음</t>
        </is>
      </c>
      <c r="AD333" s="3" t="inlineStr">
        <is>
          <t>세로한면(가)</t>
        </is>
      </c>
    </row>
    <row r="334">
      <c r="A334" s="3" t="inlineStr">
        <is>
          <t>남이면 척산리 761</t>
        </is>
      </c>
      <c r="B334" s="3" t="inlineStr">
        <is>
          <t>계획관리지역</t>
        </is>
      </c>
      <c r="C334" s="3" t="inlineStr">
        <is>
          <t>대</t>
        </is>
      </c>
      <c r="D334" s="3" t="inlineStr">
        <is>
          <t>창고</t>
        </is>
      </c>
      <c r="E334" s="3" t="inlineStr">
        <is>
          <t>월세</t>
        </is>
      </c>
      <c r="F334" s="4" t="n">
        <v>2000</v>
      </c>
      <c r="G334" s="4" t="n">
        <v>180</v>
      </c>
      <c r="H334" s="4" t="n">
        <v>1286</v>
      </c>
      <c r="I334" s="4" t="n">
        <v>389</v>
      </c>
      <c r="J334" s="5" t="n">
        <v>0.5</v>
      </c>
      <c r="K334" s="4" t="n">
        <v>330</v>
      </c>
      <c r="L334" s="4" t="n">
        <v>100</v>
      </c>
      <c r="M334" s="5" t="n">
        <v>1.8</v>
      </c>
      <c r="N334" s="3" t="inlineStr">
        <is>
          <t>1</t>
        </is>
      </c>
      <c r="O334" s="3" t="inlineStr">
        <is>
          <t>-</t>
        </is>
      </c>
      <c r="P334" s="3" t="inlineStr">
        <is>
          <t>1층 100형 2종근생제조업</t>
        </is>
      </c>
      <c r="Q334" s="6">
        <f>HYPERLINK("https://fin.land.naver.com/articles/2649343458", "매물Link")</f>
        <v/>
      </c>
      <c r="R334" s="6">
        <f>HYPERLINK("https://map.naver.com/p/search/남이면 척산리 761", "지도Link")</f>
        <v/>
      </c>
      <c r="S334" s="6">
        <f>HYPERLINK("http://www.eum.go.kr/web/ar/lu/luLandDet.jsp?pnu=4311231021107610000&amp;isNoScr=script&amp;mode=search", "토지이음")</f>
        <v/>
      </c>
      <c r="T334" s="3" t="inlineStr">
        <is>
          <t>위더스</t>
        </is>
      </c>
      <c r="U334" s="4" t="n">
        <v>1</v>
      </c>
      <c r="V334" s="5" t="n">
        <v>67.5</v>
      </c>
      <c r="W334" s="4" t="n">
        <v>1286</v>
      </c>
      <c r="X334" s="3" t="inlineStr">
        <is>
          <t>대장없음</t>
        </is>
      </c>
      <c r="Y334" s="7" t="inlineStr">
        <is>
          <t>대장없음</t>
        </is>
      </c>
      <c r="Z334" s="3" t="inlineStr">
        <is>
          <t>대장없음</t>
        </is>
      </c>
      <c r="AA334" s="3" t="inlineStr">
        <is>
          <t>대장없음</t>
        </is>
      </c>
      <c r="AB334" s="3" t="inlineStr">
        <is>
          <t>대장없음</t>
        </is>
      </c>
      <c r="AC334" s="3" t="inlineStr">
        <is>
          <t>대장없음</t>
        </is>
      </c>
      <c r="AD334" s="3" t="inlineStr">
        <is>
          <t>세로한면(가)</t>
        </is>
      </c>
    </row>
    <row r="335">
      <c r="A335" s="3" t="inlineStr">
        <is>
          <t>남이면 척산리 765</t>
        </is>
      </c>
      <c r="B335" s="3" t="inlineStr">
        <is>
          <t>계획관리지역</t>
        </is>
      </c>
      <c r="C335" s="3" t="inlineStr">
        <is>
          <t>공장용지</t>
        </is>
      </c>
      <c r="D335" s="3" t="inlineStr">
        <is>
          <t>공장</t>
        </is>
      </c>
      <c r="E335" s="3" t="inlineStr">
        <is>
          <t>월세</t>
        </is>
      </c>
      <c r="F335" s="4" t="n">
        <v>3000</v>
      </c>
      <c r="G335" s="4" t="n">
        <v>200</v>
      </c>
      <c r="H335" s="4" t="n">
        <v>1563</v>
      </c>
      <c r="I335" s="4" t="n">
        <v>473</v>
      </c>
      <c r="J335" s="5" t="n">
        <v>0.4</v>
      </c>
      <c r="K335" s="4" t="n">
        <v>887</v>
      </c>
      <c r="L335" s="4" t="n">
        <v>268</v>
      </c>
      <c r="M335" s="5" t="n">
        <v>0.7</v>
      </c>
      <c r="N335" s="3" t="inlineStr">
        <is>
          <t>1</t>
        </is>
      </c>
      <c r="O335" s="3" t="inlineStr">
        <is>
          <t>-</t>
        </is>
      </c>
      <c r="P335" s="3" t="inlineStr">
        <is>
          <t>면적은 넓게. 임대료는 최저.</t>
        </is>
      </c>
      <c r="Q335" s="6">
        <f>HYPERLINK("https://fin.land.naver.com/articles/2652636082", "매물Link")</f>
        <v/>
      </c>
      <c r="R335" s="6">
        <f>HYPERLINK("https://map.naver.com/p/search/남이면 척산리 765", "지도Link")</f>
        <v/>
      </c>
      <c r="S335" s="6">
        <f>HYPERLINK("http://www.eum.go.kr/web/ar/lu/luLandDet.jsp?pnu=4311231021107650000&amp;isNoScr=script&amp;mode=search", "토지이음")</f>
        <v/>
      </c>
      <c r="T335" s="3" t="inlineStr">
        <is>
          <t>바른</t>
        </is>
      </c>
      <c r="U335" s="4" t="n">
        <v>1</v>
      </c>
      <c r="V335" s="5" t="n">
        <v>62.5</v>
      </c>
      <c r="W335" s="4" t="n">
        <v>1489</v>
      </c>
      <c r="X335" s="3" t="inlineStr">
        <is>
          <t>대장없음</t>
        </is>
      </c>
      <c r="Y335" s="7" t="inlineStr">
        <is>
          <t>대장없음</t>
        </is>
      </c>
      <c r="Z335" s="3" t="inlineStr">
        <is>
          <t>대장없음</t>
        </is>
      </c>
      <c r="AA335" s="3" t="inlineStr">
        <is>
          <t>대장없음</t>
        </is>
      </c>
      <c r="AB335" s="3" t="inlineStr">
        <is>
          <t>대장없음</t>
        </is>
      </c>
      <c r="AC335" s="3" t="inlineStr">
        <is>
          <t>대장없음</t>
        </is>
      </c>
      <c r="AD335" s="3" t="inlineStr">
        <is>
          <t>세로한면(가)</t>
        </is>
      </c>
    </row>
    <row r="336">
      <c r="A336" s="3" t="inlineStr">
        <is>
          <t>부강면 갈산리 402</t>
        </is>
      </c>
      <c r="B336" s="3" t="inlineStr">
        <is>
          <t>계획관리지역</t>
        </is>
      </c>
      <c r="C336" s="3" t="inlineStr">
        <is>
          <t>공장용지</t>
        </is>
      </c>
      <c r="D336" s="3" t="inlineStr">
        <is>
          <t>공장</t>
        </is>
      </c>
      <c r="E336" s="3" t="inlineStr">
        <is>
          <t>월세</t>
        </is>
      </c>
      <c r="F336" s="4" t="n">
        <v>4000</v>
      </c>
      <c r="G336" s="4" t="n">
        <v>440</v>
      </c>
      <c r="H336" s="4" t="n">
        <v>1786</v>
      </c>
      <c r="I336" s="4" t="n">
        <v>540</v>
      </c>
      <c r="J336" s="5" t="n">
        <v>0.8</v>
      </c>
      <c r="K336" s="4" t="n">
        <v>758</v>
      </c>
      <c r="L336" s="4" t="n">
        <v>229</v>
      </c>
      <c r="M336" s="5" t="n">
        <v>1.9</v>
      </c>
      <c r="N336" s="3" t="inlineStr">
        <is>
          <t>2</t>
        </is>
      </c>
      <c r="O336" s="3" t="inlineStr">
        <is>
          <t>-</t>
        </is>
      </c>
      <c r="P336" s="3" t="inlineStr">
        <is>
          <t>접근성좋은 소형공장, 2차선변위치</t>
        </is>
      </c>
      <c r="Q336" s="6">
        <f>HYPERLINK("https://fin.land.naver.com/articles/2649707505", "매물Link")</f>
        <v/>
      </c>
      <c r="R336" s="6">
        <f>HYPERLINK("https://map.naver.com/p/search/부강면 갈산리 402", "지도Link")</f>
        <v/>
      </c>
      <c r="S336" s="6">
        <f>HYPERLINK("http://www.eum.go.kr/web/ar/lu/luLandDet.jsp?pnu=3611033024104020000&amp;isNoScr=script&amp;mode=search", "토지이음")</f>
        <v/>
      </c>
      <c r="T336" s="3" t="inlineStr">
        <is>
          <t>창고의여왕</t>
        </is>
      </c>
      <c r="U336" s="4" t="n">
        <v>1</v>
      </c>
      <c r="V336" s="5" t="n">
        <v>85.09999999999999</v>
      </c>
      <c r="W336" s="4" t="n">
        <v>1786</v>
      </c>
      <c r="X336" s="3" t="inlineStr">
        <is>
          <t>A동</t>
        </is>
      </c>
      <c r="Y336" s="7" t="inlineStr">
        <is>
          <t>2층</t>
        </is>
      </c>
      <c r="Z336" s="3" t="inlineStr">
        <is>
          <t>일반철골구조</t>
        </is>
      </c>
      <c r="AA336" s="3" t="inlineStr">
        <is>
          <t>제2종근생</t>
        </is>
      </c>
      <c r="AB336" s="3" t="inlineStr">
        <is>
          <t>8.45m</t>
        </is>
      </c>
      <c r="AC336" s="3" t="inlineStr">
        <is>
          <t>2016-04</t>
        </is>
      </c>
      <c r="AD336" s="3" t="inlineStr">
        <is>
          <t>소로각지</t>
        </is>
      </c>
    </row>
    <row r="337">
      <c r="A337" s="3" t="inlineStr">
        <is>
          <t>부강면 갈산리 402</t>
        </is>
      </c>
      <c r="B337" s="3" t="inlineStr">
        <is>
          <t>계획관리지역</t>
        </is>
      </c>
      <c r="C337" s="3" t="inlineStr">
        <is>
          <t>공장용지</t>
        </is>
      </c>
      <c r="D337" s="3" t="inlineStr">
        <is>
          <t>공장</t>
        </is>
      </c>
      <c r="E337" s="3" t="inlineStr">
        <is>
          <t>월세</t>
        </is>
      </c>
      <c r="F337" s="4" t="n">
        <v>4000</v>
      </c>
      <c r="G337" s="4" t="n">
        <v>440</v>
      </c>
      <c r="H337" s="4" t="n">
        <v>1786</v>
      </c>
      <c r="I337" s="4" t="n">
        <v>540</v>
      </c>
      <c r="J337" s="5" t="n">
        <v>0.8</v>
      </c>
      <c r="K337" s="4" t="n">
        <v>758</v>
      </c>
      <c r="L337" s="4" t="n">
        <v>229</v>
      </c>
      <c r="M337" s="5" t="n">
        <v>1.9</v>
      </c>
      <c r="N337" s="3" t="inlineStr">
        <is>
          <t>2</t>
        </is>
      </c>
      <c r="O337" s="3" t="inlineStr">
        <is>
          <t>-</t>
        </is>
      </c>
      <c r="P337" s="3" t="inlineStr">
        <is>
          <t>교통편리한 부강교차로 옆 저렴한 공장창고 임대</t>
        </is>
      </c>
      <c r="Q337" s="6">
        <f>HYPERLINK("https://fin.land.naver.com/articles/2653276554", "매물Link")</f>
        <v/>
      </c>
      <c r="R337" s="6">
        <f>HYPERLINK("https://map.naver.com/p/search/부강면 갈산리 402", "지도Link")</f>
        <v/>
      </c>
      <c r="S337" s="6">
        <f>HYPERLINK("http://www.eum.go.kr/web/ar/lu/luLandDet.jsp?pnu=3611033024104020000&amp;isNoScr=script&amp;mode=search", "토지이음")</f>
        <v/>
      </c>
      <c r="T337" s="3" t="inlineStr">
        <is>
          <t>세종행복한</t>
        </is>
      </c>
      <c r="U337" s="4" t="n">
        <v>1</v>
      </c>
      <c r="V337" s="5" t="n">
        <v>85.09999999999999</v>
      </c>
      <c r="W337" s="4" t="n">
        <v>1786</v>
      </c>
      <c r="X337" s="3" t="inlineStr">
        <is>
          <t>A동</t>
        </is>
      </c>
      <c r="Y337" s="7" t="inlineStr">
        <is>
          <t>2층</t>
        </is>
      </c>
      <c r="Z337" s="3" t="inlineStr">
        <is>
          <t>일반철골구조</t>
        </is>
      </c>
      <c r="AA337" s="3" t="inlineStr">
        <is>
          <t>제2종근생</t>
        </is>
      </c>
      <c r="AB337" s="3" t="inlineStr">
        <is>
          <t>8.45m</t>
        </is>
      </c>
      <c r="AC337" s="3" t="inlineStr">
        <is>
          <t>2016-04</t>
        </is>
      </c>
      <c r="AD337" s="3" t="inlineStr">
        <is>
          <t>소로각지</t>
        </is>
      </c>
    </row>
    <row r="338">
      <c r="A338" s="3" t="inlineStr">
        <is>
          <t>부강면 갈산리 402</t>
        </is>
      </c>
      <c r="B338" s="3" t="inlineStr">
        <is>
          <t>계획관리지역</t>
        </is>
      </c>
      <c r="C338" s="3" t="inlineStr">
        <is>
          <t>공장용지</t>
        </is>
      </c>
      <c r="D338" s="3" t="inlineStr">
        <is>
          <t>공장</t>
        </is>
      </c>
      <c r="E338" s="3" t="inlineStr">
        <is>
          <t>월세</t>
        </is>
      </c>
      <c r="F338" s="4" t="n">
        <v>4000</v>
      </c>
      <c r="G338" s="4" t="n">
        <v>440</v>
      </c>
      <c r="H338" s="4" t="n">
        <v>1786</v>
      </c>
      <c r="I338" s="4" t="n">
        <v>540</v>
      </c>
      <c r="J338" s="5" t="n">
        <v>0.8</v>
      </c>
      <c r="K338" s="4" t="n">
        <v>758</v>
      </c>
      <c r="L338" s="4" t="n">
        <v>229</v>
      </c>
      <c r="M338" s="5" t="n">
        <v>1.9</v>
      </c>
      <c r="N338" s="3" t="inlineStr">
        <is>
          <t>2</t>
        </is>
      </c>
      <c r="O338" s="3" t="inlineStr">
        <is>
          <t>-</t>
        </is>
      </c>
      <c r="P338" s="3" t="inlineStr">
        <is>
          <t>접근성 편리한 부강면 공장창고임대, 대형차 출입용이</t>
        </is>
      </c>
      <c r="Q338" s="6">
        <f>HYPERLINK("https://fin.land.naver.com/articles/2650629262", "매물Link")</f>
        <v/>
      </c>
      <c r="R338" s="6">
        <f>HYPERLINK("https://map.naver.com/p/search/부강면 갈산리 402", "지도Link")</f>
        <v/>
      </c>
      <c r="S338" s="6">
        <f>HYPERLINK("http://www.eum.go.kr/web/ar/lu/luLandDet.jsp?pnu=3611033024104020000&amp;isNoScr=script&amp;mode=search", "토지이음")</f>
        <v/>
      </c>
      <c r="T338" s="3" t="inlineStr">
        <is>
          <t>신탄진다온</t>
        </is>
      </c>
      <c r="U338" s="4" t="n">
        <v>1</v>
      </c>
      <c r="V338" s="5" t="n">
        <v>85.09999999999999</v>
      </c>
      <c r="W338" s="4" t="n">
        <v>1786</v>
      </c>
      <c r="X338" s="3" t="inlineStr">
        <is>
          <t>A동</t>
        </is>
      </c>
      <c r="Y338" s="7" t="inlineStr">
        <is>
          <t>2층</t>
        </is>
      </c>
      <c r="Z338" s="3" t="inlineStr">
        <is>
          <t>일반철골구조</t>
        </is>
      </c>
      <c r="AA338" s="3" t="inlineStr">
        <is>
          <t>제2종근생</t>
        </is>
      </c>
      <c r="AB338" s="3" t="inlineStr">
        <is>
          <t>8.45m</t>
        </is>
      </c>
      <c r="AC338" s="3" t="inlineStr">
        <is>
          <t>2016-04</t>
        </is>
      </c>
      <c r="AD338" s="3" t="inlineStr">
        <is>
          <t>소로각지</t>
        </is>
      </c>
    </row>
    <row r="339">
      <c r="A339" s="3" t="inlineStr">
        <is>
          <t>부강면 갈산리 408</t>
        </is>
      </c>
      <c r="B339" s="3" t="inlineStr">
        <is>
          <t>계획관리지역</t>
        </is>
      </c>
      <c r="C339" s="3" t="inlineStr">
        <is>
          <t>공장용지</t>
        </is>
      </c>
      <c r="D339" s="3" t="inlineStr">
        <is>
          <t>공장</t>
        </is>
      </c>
      <c r="E339" s="3" t="inlineStr">
        <is>
          <t>월세</t>
        </is>
      </c>
      <c r="F339" s="4" t="n">
        <v>2000</v>
      </c>
      <c r="G339" s="4" t="n">
        <v>200</v>
      </c>
      <c r="H339" s="4" t="n">
        <v>3938</v>
      </c>
      <c r="I339" s="4" t="n">
        <v>1191</v>
      </c>
      <c r="J339" s="5" t="n">
        <v>0.2</v>
      </c>
      <c r="K339" s="4" t="n">
        <v>330</v>
      </c>
      <c r="L339" s="4" t="n">
        <v>100</v>
      </c>
      <c r="M339" s="5" t="n">
        <v>2</v>
      </c>
      <c r="N339" s="3" t="inlineStr">
        <is>
          <t>1</t>
        </is>
      </c>
      <c r="O339" s="3" t="inlineStr">
        <is>
          <t>-</t>
        </is>
      </c>
      <c r="P339" s="3" t="inlineStr">
        <is>
          <t>nan</t>
        </is>
      </c>
      <c r="Q339" s="6">
        <f>HYPERLINK("https://fin.land.naver.com/articles/2653489408", "매물Link")</f>
        <v/>
      </c>
      <c r="R339" s="6">
        <f>HYPERLINK("https://map.naver.com/p/search/부강면 갈산리 408", "지도Link")</f>
        <v/>
      </c>
      <c r="S339" s="6">
        <f>HYPERLINK("http://www.eum.go.kr/web/ar/lu/luLandDet.jsp?pnu=3611033024104080000&amp;isNoScr=script&amp;mode=search", "토지이음")</f>
        <v/>
      </c>
      <c r="T339" s="3" t="inlineStr">
        <is>
          <t>창고의여왕</t>
        </is>
      </c>
      <c r="U339" s="4" t="n">
        <v>1</v>
      </c>
      <c r="V339" s="5" t="n">
        <v>80.3</v>
      </c>
      <c r="W339" s="4" t="n">
        <v>3938</v>
      </c>
      <c r="X339" s="3" t="inlineStr">
        <is>
          <t>주1동</t>
        </is>
      </c>
      <c r="Y339" s="7" t="inlineStr">
        <is>
          <t>1층</t>
        </is>
      </c>
      <c r="Z339" s="3" t="inlineStr">
        <is>
          <t>일반철골구조</t>
        </is>
      </c>
      <c r="AA339" s="3" t="inlineStr">
        <is>
          <t>공장</t>
        </is>
      </c>
      <c r="AB339" s="3" t="inlineStr">
        <is>
          <t>10.0m</t>
        </is>
      </c>
      <c r="AC339" s="3" t="inlineStr">
        <is>
          <t>2018-03</t>
        </is>
      </c>
      <c r="AD339" s="3" t="inlineStr">
        <is>
          <t>소로한면</t>
        </is>
      </c>
    </row>
    <row r="340">
      <c r="A340" s="3" t="inlineStr">
        <is>
          <t>부강면 금호리 221</t>
        </is>
      </c>
      <c r="B340" s="3" t="inlineStr">
        <is>
          <t>계획관리지역</t>
        </is>
      </c>
      <c r="C340" s="3" t="inlineStr">
        <is>
          <t>답</t>
        </is>
      </c>
      <c r="D340" s="3" t="inlineStr">
        <is>
          <t>공장</t>
        </is>
      </c>
      <c r="E340" s="3" t="inlineStr">
        <is>
          <t>월세</t>
        </is>
      </c>
      <c r="F340" s="4" t="n">
        <v>10000</v>
      </c>
      <c r="G340" s="4" t="n">
        <v>400</v>
      </c>
      <c r="H340" s="4" t="n">
        <v>3831</v>
      </c>
      <c r="I340" s="4" t="n">
        <v>1159</v>
      </c>
      <c r="J340" s="5" t="n">
        <v>0.3</v>
      </c>
      <c r="K340" s="4" t="n">
        <v>386</v>
      </c>
      <c r="L340" s="4" t="n">
        <v>117</v>
      </c>
      <c r="M340" s="5" t="n">
        <v>3.4</v>
      </c>
      <c r="N340" s="3" t="inlineStr">
        <is>
          <t>1</t>
        </is>
      </c>
      <c r="O340" s="3" t="inlineStr">
        <is>
          <t>-</t>
        </is>
      </c>
      <c r="P340" s="3" t="inlineStr">
        <is>
          <t>nan</t>
        </is>
      </c>
      <c r="Q340" s="6">
        <f>HYPERLINK("https://fin.land.naver.com/articles/2651773820", "매물Link")</f>
        <v/>
      </c>
      <c r="R340" s="6">
        <f>HYPERLINK("https://map.naver.com/p/search/부강면 금호리 221", "지도Link")</f>
        <v/>
      </c>
      <c r="S340" s="6">
        <f>HYPERLINK("http://www.eum.go.kr/web/ar/lu/luLandDet.jsp?pnu=3611033028102210000&amp;isNoScr=script&amp;mode=search", "토지이음")</f>
        <v/>
      </c>
      <c r="T340" s="3" t="inlineStr">
        <is>
          <t>대박</t>
        </is>
      </c>
      <c r="U340" s="4" t="n">
        <v>1</v>
      </c>
      <c r="V340" s="5" t="n">
        <v>36.9</v>
      </c>
      <c r="W340" s="4" t="n">
        <v>948</v>
      </c>
      <c r="X340" s="3" t="inlineStr">
        <is>
          <t>대장없음</t>
        </is>
      </c>
      <c r="Y340" s="7" t="inlineStr">
        <is>
          <t>대장없음</t>
        </is>
      </c>
      <c r="Z340" s="3" t="inlineStr">
        <is>
          <t>대장없음</t>
        </is>
      </c>
      <c r="AA340" s="3" t="inlineStr">
        <is>
          <t>대장없음</t>
        </is>
      </c>
      <c r="AB340" s="3" t="inlineStr">
        <is>
          <t>대장없음</t>
        </is>
      </c>
      <c r="AC340" s="3" t="inlineStr">
        <is>
          <t>대장없음</t>
        </is>
      </c>
      <c r="AD340" s="3" t="inlineStr">
        <is>
          <t>맹지</t>
        </is>
      </c>
    </row>
    <row r="341">
      <c r="A341" s="3" t="inlineStr">
        <is>
          <t>부강면 금호리 277-2</t>
        </is>
      </c>
      <c r="B341" s="3" t="inlineStr">
        <is>
          <t>계획관리지역</t>
        </is>
      </c>
      <c r="C341" s="3" t="inlineStr">
        <is>
          <t>공장용지</t>
        </is>
      </c>
      <c r="D341" s="3" t="inlineStr">
        <is>
          <t>창고</t>
        </is>
      </c>
      <c r="E341" s="3" t="inlineStr">
        <is>
          <t>월세</t>
        </is>
      </c>
      <c r="F341" s="4" t="n">
        <v>3000</v>
      </c>
      <c r="G341" s="4" t="n">
        <v>260</v>
      </c>
      <c r="H341" s="4" t="n">
        <v>894</v>
      </c>
      <c r="I341" s="4" t="n">
        <v>270</v>
      </c>
      <c r="J341" s="5" t="n">
        <v>1</v>
      </c>
      <c r="K341" s="4" t="n">
        <v>352</v>
      </c>
      <c r="L341" s="4" t="n">
        <v>106</v>
      </c>
      <c r="M341" s="5" t="n">
        <v>2.5</v>
      </c>
      <c r="N341" s="3" t="inlineStr">
        <is>
          <t>1</t>
        </is>
      </c>
      <c r="O341" s="3" t="inlineStr">
        <is>
          <t>-</t>
        </is>
      </c>
      <c r="P341" s="3" t="inlineStr">
        <is>
          <t>세종시 부강 산업단지 옆 공장 및 창고 입니다</t>
        </is>
      </c>
      <c r="Q341" s="6">
        <f>HYPERLINK("https://fin.land.naver.com/articles/2652016240", "매물Link")</f>
        <v/>
      </c>
      <c r="R341" s="6">
        <f>HYPERLINK("https://map.naver.com/p/search/부강면 금호리 277-2", "지도Link")</f>
        <v/>
      </c>
      <c r="S341" s="6">
        <f>HYPERLINK("http://www.eum.go.kr/web/ar/lu/luLandDet.jsp?pnu=3611033028102770002&amp;isNoScr=script&amp;mode=search", "토지이음")</f>
        <v/>
      </c>
      <c r="T341" s="3" t="inlineStr">
        <is>
          <t>더행복</t>
        </is>
      </c>
      <c r="U341" s="4" t="n">
        <v>1</v>
      </c>
      <c r="V341" s="5" t="n">
        <v>67.59999999999999</v>
      </c>
      <c r="W341" s="4" t="n">
        <v>894</v>
      </c>
      <c r="X341" s="3" t="inlineStr">
        <is>
          <t>미표기</t>
        </is>
      </c>
      <c r="Y341" s="7" t="inlineStr">
        <is>
          <t>1층</t>
        </is>
      </c>
      <c r="Z341" s="3" t="inlineStr">
        <is>
          <t>일반철골구조</t>
        </is>
      </c>
      <c r="AA341" s="3" t="inlineStr">
        <is>
          <t>제2종근생</t>
        </is>
      </c>
      <c r="AB341" s="3" t="inlineStr">
        <is>
          <t>9.9m</t>
        </is>
      </c>
      <c r="AC341" s="3" t="inlineStr">
        <is>
          <t>2021-07</t>
        </is>
      </c>
      <c r="AD341" s="3" t="inlineStr">
        <is>
          <t>세로한면(가)</t>
        </is>
      </c>
    </row>
    <row r="342">
      <c r="A342" s="3" t="inlineStr">
        <is>
          <t>부강면 금호리 277-2</t>
        </is>
      </c>
      <c r="B342" s="3" t="inlineStr">
        <is>
          <t>계획관리지역</t>
        </is>
      </c>
      <c r="C342" s="3" t="inlineStr">
        <is>
          <t>공장용지</t>
        </is>
      </c>
      <c r="D342" s="3" t="inlineStr">
        <is>
          <t>공장</t>
        </is>
      </c>
      <c r="E342" s="3" t="inlineStr">
        <is>
          <t>월세</t>
        </is>
      </c>
      <c r="F342" s="4" t="n">
        <v>3000</v>
      </c>
      <c r="G342" s="4" t="n">
        <v>260</v>
      </c>
      <c r="H342" s="4" t="n">
        <v>894</v>
      </c>
      <c r="I342" s="4" t="n">
        <v>270</v>
      </c>
      <c r="J342" s="5" t="n">
        <v>1</v>
      </c>
      <c r="K342" s="4" t="n">
        <v>352</v>
      </c>
      <c r="L342" s="4" t="n">
        <v>106</v>
      </c>
      <c r="M342" s="5" t="n">
        <v>2.5</v>
      </c>
      <c r="N342" s="3" t="inlineStr">
        <is>
          <t>1</t>
        </is>
      </c>
      <c r="O342" s="3" t="inlineStr">
        <is>
          <t>-</t>
        </is>
      </c>
      <c r="P342" s="3" t="inlineStr">
        <is>
          <t>남청주ic 9분 세종 부강일반산업단지 옆 단독 소형 공장임대</t>
        </is>
      </c>
      <c r="Q342" s="6">
        <f>HYPERLINK("https://fin.land.naver.com/articles/2650873411", "매물Link")</f>
        <v/>
      </c>
      <c r="R342" s="6">
        <f>HYPERLINK("https://map.naver.com/p/search/부강면 금호리 277-2", "지도Link")</f>
        <v/>
      </c>
      <c r="S342" s="6">
        <f>HYPERLINK("http://www.eum.go.kr/web/ar/lu/luLandDet.jsp?pnu=3611033028102770002&amp;isNoScr=script&amp;mode=search", "토지이음")</f>
        <v/>
      </c>
      <c r="T342" s="3" t="inlineStr">
        <is>
          <t>더원</t>
        </is>
      </c>
      <c r="U342" s="4" t="n">
        <v>2</v>
      </c>
      <c r="V342" s="5" t="n">
        <v>67.59999999999999</v>
      </c>
      <c r="W342" s="4" t="n">
        <v>894</v>
      </c>
      <c r="X342" s="3" t="inlineStr">
        <is>
          <t>미표기</t>
        </is>
      </c>
      <c r="Y342" s="7" t="inlineStr">
        <is>
          <t>1층</t>
        </is>
      </c>
      <c r="Z342" s="3" t="inlineStr">
        <is>
          <t>일반철골구조</t>
        </is>
      </c>
      <c r="AA342" s="3" t="inlineStr">
        <is>
          <t>제2종근생</t>
        </is>
      </c>
      <c r="AB342" s="3" t="inlineStr">
        <is>
          <t>9.9m</t>
        </is>
      </c>
      <c r="AC342" s="3" t="inlineStr">
        <is>
          <t>2021-07</t>
        </is>
      </c>
      <c r="AD342" s="3" t="inlineStr">
        <is>
          <t>세로한면(가)</t>
        </is>
      </c>
    </row>
    <row r="343">
      <c r="A343" s="3" t="inlineStr">
        <is>
          <t>부강면 금호리 277-2</t>
        </is>
      </c>
      <c r="B343" s="3" t="inlineStr">
        <is>
          <t>계획관리지역</t>
        </is>
      </c>
      <c r="C343" s="3" t="inlineStr">
        <is>
          <t>공장용지</t>
        </is>
      </c>
      <c r="D343" s="3" t="inlineStr">
        <is>
          <t>공장</t>
        </is>
      </c>
      <c r="E343" s="3" t="inlineStr">
        <is>
          <t>월세</t>
        </is>
      </c>
      <c r="F343" s="4" t="n">
        <v>3000</v>
      </c>
      <c r="G343" s="4" t="n">
        <v>260</v>
      </c>
      <c r="H343" s="4" t="n">
        <v>894</v>
      </c>
      <c r="I343" s="4" t="n">
        <v>270</v>
      </c>
      <c r="J343" s="5" t="n">
        <v>1</v>
      </c>
      <c r="K343" s="4" t="n">
        <v>352</v>
      </c>
      <c r="L343" s="4" t="n">
        <v>106</v>
      </c>
      <c r="M343" s="5" t="n">
        <v>2.5</v>
      </c>
      <c r="N343" s="3" t="inlineStr">
        <is>
          <t>1</t>
        </is>
      </c>
      <c r="O343" s="3" t="inlineStr">
        <is>
          <t>-</t>
        </is>
      </c>
      <c r="P343" s="3" t="inlineStr">
        <is>
          <t>사진有 2종근생 공장 임대</t>
        </is>
      </c>
      <c r="Q343" s="6">
        <f>HYPERLINK("https://fin.land.naver.com/articles/2652988056", "매물Link")</f>
        <v/>
      </c>
      <c r="R343" s="6">
        <f>HYPERLINK("https://map.naver.com/p/search/부강면 금호리 277-2", "지도Link")</f>
        <v/>
      </c>
      <c r="S343" s="6">
        <f>HYPERLINK("http://www.eum.go.kr/web/ar/lu/luLandDet.jsp?pnu=3611033028102770002&amp;isNoScr=script&amp;mode=search", "토지이음")</f>
        <v/>
      </c>
      <c r="T343" s="3" t="inlineStr">
        <is>
          <t>월드</t>
        </is>
      </c>
      <c r="U343" s="4" t="n">
        <v>1</v>
      </c>
      <c r="V343" s="5" t="n">
        <v>67.59999999999999</v>
      </c>
      <c r="W343" s="4" t="n">
        <v>894</v>
      </c>
      <c r="X343" s="3" t="inlineStr">
        <is>
          <t>미표기</t>
        </is>
      </c>
      <c r="Y343" s="7" t="inlineStr">
        <is>
          <t>1층</t>
        </is>
      </c>
      <c r="Z343" s="3" t="inlineStr">
        <is>
          <t>일반철골구조</t>
        </is>
      </c>
      <c r="AA343" s="3" t="inlineStr">
        <is>
          <t>제2종근생</t>
        </is>
      </c>
      <c r="AB343" s="3" t="inlineStr">
        <is>
          <t>9.9m</t>
        </is>
      </c>
      <c r="AC343" s="3" t="inlineStr">
        <is>
          <t>2021-07</t>
        </is>
      </c>
      <c r="AD343" s="3" t="inlineStr">
        <is>
          <t>세로한면(가)</t>
        </is>
      </c>
    </row>
    <row r="344">
      <c r="A344" s="3" t="inlineStr">
        <is>
          <t>부강면 금호리 389-1</t>
        </is>
      </c>
      <c r="B344" s="3" t="inlineStr">
        <is>
          <t>계획관리지역</t>
        </is>
      </c>
      <c r="C344" s="3" t="inlineStr">
        <is>
          <t>대</t>
        </is>
      </c>
      <c r="D344" s="3" t="inlineStr">
        <is>
          <t>창고</t>
        </is>
      </c>
      <c r="E344" s="3" t="inlineStr">
        <is>
          <t>매매</t>
        </is>
      </c>
      <c r="F344" s="4" t="n">
        <v>66000</v>
      </c>
      <c r="G344" s="4" t="n">
        <v>0</v>
      </c>
      <c r="H344" s="4" t="n">
        <v>662</v>
      </c>
      <c r="I344" s="4" t="n">
        <v>200</v>
      </c>
      <c r="J344" s="5" t="n">
        <v>330</v>
      </c>
      <c r="K344" s="4" t="n">
        <v>193</v>
      </c>
      <c r="L344" s="4" t="n">
        <v>58</v>
      </c>
      <c r="M344" s="5" t="n">
        <v>1137.9</v>
      </c>
      <c r="N344" s="3" t="inlineStr">
        <is>
          <t>1</t>
        </is>
      </c>
      <c r="O344" s="3" t="inlineStr">
        <is>
          <t>-</t>
        </is>
      </c>
      <c r="P344" s="3" t="inlineStr">
        <is>
          <t>앞면도로접함 주차공간 많음,일반산업단지와IC근교,일반음식점,물류창고최적</t>
        </is>
      </c>
      <c r="Q344" s="6">
        <f>HYPERLINK("https://fin.land.naver.com/articles/2651041474", "매물Link")</f>
        <v/>
      </c>
      <c r="R344" s="6">
        <f>HYPERLINK("https://map.naver.com/p/search/부강면 금호리 389-1", "지도Link")</f>
        <v/>
      </c>
      <c r="S344" s="6">
        <f>HYPERLINK("http://www.eum.go.kr/web/ar/lu/luLandDet.jsp?pnu=3611033028103890001&amp;isNoScr=script&amp;mode=search", "토지이음")</f>
        <v/>
      </c>
      <c r="T344" s="3" t="inlineStr">
        <is>
          <t>원내</t>
        </is>
      </c>
      <c r="U344" s="4" t="n">
        <v>1</v>
      </c>
      <c r="V344" s="5" t="n">
        <v>79.90000000000001</v>
      </c>
      <c r="W344" s="4" t="n">
        <v>662</v>
      </c>
      <c r="X344" s="3" t="inlineStr">
        <is>
          <t>주건축물제1동</t>
        </is>
      </c>
      <c r="Y344" s="7" t="inlineStr">
        <is>
          <t>1층</t>
        </is>
      </c>
      <c r="Z344" s="3" t="inlineStr">
        <is>
          <t>경량철골구조</t>
        </is>
      </c>
      <c r="AA344" s="3" t="inlineStr">
        <is>
          <t>제2종근생</t>
        </is>
      </c>
      <c r="AB344" s="3" t="inlineStr">
        <is>
          <t>4.7m</t>
        </is>
      </c>
      <c r="AC344" s="3" t="inlineStr">
        <is>
          <t>2014-12</t>
        </is>
      </c>
      <c r="AD344" s="3" t="inlineStr">
        <is>
          <t>세로한면(가)</t>
        </is>
      </c>
    </row>
    <row r="345">
      <c r="A345" s="3" t="inlineStr">
        <is>
          <t>부강면 금호리 413-1</t>
        </is>
      </c>
      <c r="B345" s="3" t="inlineStr">
        <is>
          <t>계획관리지역</t>
        </is>
      </c>
      <c r="C345" s="3" t="inlineStr">
        <is>
          <t>공장용지</t>
        </is>
      </c>
      <c r="D345" s="3" t="inlineStr">
        <is>
          <t>공장</t>
        </is>
      </c>
      <c r="E345" s="3" t="inlineStr">
        <is>
          <t>매매</t>
        </is>
      </c>
      <c r="F345" s="4" t="n">
        <v>1400000</v>
      </c>
      <c r="G345" s="4" t="n">
        <v>0</v>
      </c>
      <c r="H345" s="4" t="n">
        <v>13866</v>
      </c>
      <c r="I345" s="4" t="n">
        <v>4194</v>
      </c>
      <c r="J345" s="5" t="n">
        <v>333.8</v>
      </c>
      <c r="K345" s="4" t="n">
        <v>6367</v>
      </c>
      <c r="L345" s="4" t="n">
        <v>1926</v>
      </c>
      <c r="M345" s="5" t="n">
        <v>726.9</v>
      </c>
      <c r="N345" s="3" t="inlineStr">
        <is>
          <t>1</t>
        </is>
      </c>
      <c r="O345" s="3" t="inlineStr">
        <is>
          <t>-</t>
        </is>
      </c>
      <c r="P345" s="3" t="inlineStr">
        <is>
          <t>세종 대형공장 1층 단층구조 연1926p</t>
        </is>
      </c>
      <c r="Q345" s="6">
        <f>HYPERLINK("https://fin.land.naver.com/articles/2653014661", "매물Link")</f>
        <v/>
      </c>
      <c r="R345" s="6">
        <f>HYPERLINK("https://map.naver.com/p/search/부강면 금호리 413-1", "지도Link")</f>
        <v/>
      </c>
      <c r="S345" s="6">
        <f>HYPERLINK("http://www.eum.go.kr/web/ar/lu/luLandDet.jsp?pnu=3611033028104130001&amp;isNoScr=script&amp;mode=search", "토지이음")</f>
        <v/>
      </c>
      <c r="T345" s="3" t="inlineStr">
        <is>
          <t>공장플러스</t>
        </is>
      </c>
      <c r="U345" s="4" t="n">
        <v>1</v>
      </c>
      <c r="V345" s="5" t="n">
        <v>84.90000000000001</v>
      </c>
      <c r="W345" s="4" t="n">
        <v>13866</v>
      </c>
      <c r="X345" s="3" t="inlineStr">
        <is>
          <t>미표기</t>
        </is>
      </c>
      <c r="Y345" s="7" t="inlineStr">
        <is>
          <t>1층</t>
        </is>
      </c>
      <c r="Z345" s="3" t="inlineStr">
        <is>
          <t>일반철골구조</t>
        </is>
      </c>
      <c r="AA345" s="3" t="inlineStr">
        <is>
          <t>공장</t>
        </is>
      </c>
      <c r="AB345" s="3" t="inlineStr">
        <is>
          <t>10.0m</t>
        </is>
      </c>
      <c r="AC345" s="3" t="inlineStr">
        <is>
          <t>1997-09</t>
        </is>
      </c>
      <c r="AD345" s="3" t="inlineStr">
        <is>
          <t>소로한면</t>
        </is>
      </c>
    </row>
    <row r="346">
      <c r="A346" s="3" t="inlineStr">
        <is>
          <t>부강면 금호리 413-1</t>
        </is>
      </c>
      <c r="B346" s="3" t="inlineStr">
        <is>
          <t>계획관리지역</t>
        </is>
      </c>
      <c r="C346" s="3" t="inlineStr">
        <is>
          <t>공장용지</t>
        </is>
      </c>
      <c r="D346" s="3" t="inlineStr">
        <is>
          <t>공장</t>
        </is>
      </c>
      <c r="E346" s="3" t="inlineStr">
        <is>
          <t>월세</t>
        </is>
      </c>
      <c r="F346" s="4" t="n">
        <v>12000</v>
      </c>
      <c r="G346" s="4" t="n">
        <v>3700</v>
      </c>
      <c r="H346" s="4" t="n">
        <v>13866</v>
      </c>
      <c r="I346" s="4" t="n">
        <v>4194</v>
      </c>
      <c r="J346" s="5" t="n">
        <v>0.9</v>
      </c>
      <c r="K346" s="4" t="n">
        <v>6367</v>
      </c>
      <c r="L346" s="4" t="n">
        <v>1926</v>
      </c>
      <c r="M346" s="5" t="n">
        <v>1.9</v>
      </c>
      <c r="N346" s="3" t="inlineStr">
        <is>
          <t>1</t>
        </is>
      </c>
      <c r="O346" s="3" t="inlineStr">
        <is>
          <t>B1</t>
        </is>
      </c>
      <c r="P346" s="3" t="inlineStr">
        <is>
          <t>사진有 공장 임대</t>
        </is>
      </c>
      <c r="Q346" s="6">
        <f>HYPERLINK("https://fin.land.naver.com/articles/2652068004", "매물Link")</f>
        <v/>
      </c>
      <c r="R346" s="6">
        <f>HYPERLINK("https://map.naver.com/p/search/부강면 금호리 413-1", "지도Link")</f>
        <v/>
      </c>
      <c r="S346" s="6">
        <f>HYPERLINK("http://www.eum.go.kr/web/ar/lu/luLandDet.jsp?pnu=3611033028104130001&amp;isNoScr=script&amp;mode=search", "토지이음")</f>
        <v/>
      </c>
      <c r="T346" s="3" t="inlineStr">
        <is>
          <t>월드</t>
        </is>
      </c>
      <c r="U346" s="4" t="n">
        <v>1</v>
      </c>
      <c r="V346" s="5" t="n">
        <v>84.90000000000001</v>
      </c>
      <c r="W346" s="4" t="n">
        <v>13866</v>
      </c>
      <c r="X346" s="3" t="inlineStr">
        <is>
          <t>미표기</t>
        </is>
      </c>
      <c r="Y346" s="7" t="inlineStr">
        <is>
          <t>1층</t>
        </is>
      </c>
      <c r="Z346" s="3" t="inlineStr">
        <is>
          <t>일반철골구조</t>
        </is>
      </c>
      <c r="AA346" s="3" t="inlineStr">
        <is>
          <t>공장</t>
        </is>
      </c>
      <c r="AB346" s="3" t="inlineStr">
        <is>
          <t>10.0m</t>
        </is>
      </c>
      <c r="AC346" s="3" t="inlineStr">
        <is>
          <t>1997-09</t>
        </is>
      </c>
      <c r="AD346" s="3" t="inlineStr">
        <is>
          <t>소로한면</t>
        </is>
      </c>
    </row>
    <row r="347">
      <c r="A347" s="3" t="inlineStr">
        <is>
          <t>부강면 금호리 413-1</t>
        </is>
      </c>
      <c r="B347" s="3" t="inlineStr">
        <is>
          <t>계획관리지역</t>
        </is>
      </c>
      <c r="C347" s="3" t="inlineStr">
        <is>
          <t>공장용지</t>
        </is>
      </c>
      <c r="D347" s="3" t="inlineStr">
        <is>
          <t>공장</t>
        </is>
      </c>
      <c r="E347" s="3" t="inlineStr">
        <is>
          <t>월세</t>
        </is>
      </c>
      <c r="F347" s="4" t="n">
        <v>12000</v>
      </c>
      <c r="G347" s="4" t="n">
        <v>4000</v>
      </c>
      <c r="H347" s="4" t="n">
        <v>13866</v>
      </c>
      <c r="I347" s="4" t="n">
        <v>4194</v>
      </c>
      <c r="J347" s="5" t="n">
        <v>1</v>
      </c>
      <c r="K347" s="4" t="n">
        <v>6367</v>
      </c>
      <c r="L347" s="4" t="n">
        <v>1926</v>
      </c>
      <c r="M347" s="5" t="n">
        <v>2.1</v>
      </c>
      <c r="N347" s="3" t="inlineStr">
        <is>
          <t>1</t>
        </is>
      </c>
      <c r="O347" s="3" t="inlineStr">
        <is>
          <t>-</t>
        </is>
      </c>
      <c r="P347" s="3" t="inlineStr">
        <is>
          <t>세종 대형공장 1층 단층구조 연1926p</t>
        </is>
      </c>
      <c r="Q347" s="6">
        <f>HYPERLINK("https://fin.land.naver.com/articles/2653008802", "매물Link")</f>
        <v/>
      </c>
      <c r="R347" s="6">
        <f>HYPERLINK("https://map.naver.com/p/search/부강면 금호리 413-1", "지도Link")</f>
        <v/>
      </c>
      <c r="S347" s="6">
        <f>HYPERLINK("http://www.eum.go.kr/web/ar/lu/luLandDet.jsp?pnu=3611033028104130001&amp;isNoScr=script&amp;mode=search", "토지이음")</f>
        <v/>
      </c>
      <c r="T347" s="3" t="inlineStr">
        <is>
          <t>공장플러스</t>
        </is>
      </c>
      <c r="U347" s="4" t="n">
        <v>1</v>
      </c>
      <c r="V347" s="5" t="n">
        <v>84.90000000000001</v>
      </c>
      <c r="W347" s="4" t="n">
        <v>13866</v>
      </c>
      <c r="X347" s="3" t="inlineStr">
        <is>
          <t>미표기</t>
        </is>
      </c>
      <c r="Y347" s="7" t="inlineStr">
        <is>
          <t>1층</t>
        </is>
      </c>
      <c r="Z347" s="3" t="inlineStr">
        <is>
          <t>일반철골구조</t>
        </is>
      </c>
      <c r="AA347" s="3" t="inlineStr">
        <is>
          <t>공장</t>
        </is>
      </c>
      <c r="AB347" s="3" t="inlineStr">
        <is>
          <t>10.0m</t>
        </is>
      </c>
      <c r="AC347" s="3" t="inlineStr">
        <is>
          <t>1997-09</t>
        </is>
      </c>
      <c r="AD347" s="3" t="inlineStr">
        <is>
          <t>소로한면</t>
        </is>
      </c>
    </row>
    <row r="348">
      <c r="A348" s="3" t="inlineStr">
        <is>
          <t>부강면 금호리 456</t>
        </is>
      </c>
      <c r="B348" s="3" t="inlineStr">
        <is>
          <t>계획관리지역</t>
        </is>
      </c>
      <c r="C348" s="3" t="inlineStr">
        <is>
          <t>공장용지</t>
        </is>
      </c>
      <c r="D348" s="3" t="inlineStr">
        <is>
          <t>공장</t>
        </is>
      </c>
      <c r="E348" s="3" t="inlineStr">
        <is>
          <t>월세</t>
        </is>
      </c>
      <c r="F348" s="4" t="n">
        <v>4000</v>
      </c>
      <c r="G348" s="4" t="n">
        <v>375</v>
      </c>
      <c r="H348" s="4" t="n">
        <v>1260</v>
      </c>
      <c r="I348" s="4" t="n">
        <v>381</v>
      </c>
      <c r="J348" s="5" t="n">
        <v>1</v>
      </c>
      <c r="K348" s="4" t="n">
        <v>497</v>
      </c>
      <c r="L348" s="4" t="n">
        <v>150</v>
      </c>
      <c r="M348" s="5" t="n">
        <v>2.5</v>
      </c>
      <c r="N348" s="3" t="inlineStr">
        <is>
          <t>1</t>
        </is>
      </c>
      <c r="O348" s="3" t="inlineStr">
        <is>
          <t>-</t>
        </is>
      </c>
      <c r="P348" s="3" t="inlineStr">
        <is>
          <t>사진有 2종근생 공장 임대</t>
        </is>
      </c>
      <c r="Q348" s="6">
        <f>HYPERLINK("https://fin.land.naver.com/articles/2652988007", "매물Link")</f>
        <v/>
      </c>
      <c r="R348" s="6">
        <f>HYPERLINK("https://map.naver.com/p/search/부강면 금호리 456", "지도Link")</f>
        <v/>
      </c>
      <c r="S348" s="6">
        <f>HYPERLINK("http://www.eum.go.kr/web/ar/lu/luLandDet.jsp?pnu=3611033028104560000&amp;isNoScr=script&amp;mode=search", "토지이음")</f>
        <v/>
      </c>
      <c r="T348" s="3" t="inlineStr">
        <is>
          <t>월드</t>
        </is>
      </c>
      <c r="U348" s="4" t="n">
        <v>1</v>
      </c>
      <c r="V348" s="5" t="n">
        <v>87.2</v>
      </c>
      <c r="W348" s="4" t="n">
        <v>1260</v>
      </c>
      <c r="X348" s="3" t="inlineStr">
        <is>
          <t>주건축물제1동</t>
        </is>
      </c>
      <c r="Y348" s="7" t="inlineStr">
        <is>
          <t>1층</t>
        </is>
      </c>
      <c r="Z348" s="3" t="inlineStr">
        <is>
          <t>일반철골구조</t>
        </is>
      </c>
      <c r="AA348" s="3" t="inlineStr">
        <is>
          <t>제2종근생</t>
        </is>
      </c>
      <c r="AB348" s="3" t="inlineStr">
        <is>
          <t>9.9m</t>
        </is>
      </c>
      <c r="AC348" s="3" t="inlineStr">
        <is>
          <t>2020-09</t>
        </is>
      </c>
      <c r="AD348" s="3" t="inlineStr">
        <is>
          <t>세로한면(가)</t>
        </is>
      </c>
    </row>
    <row r="349">
      <c r="A349" s="3" t="inlineStr">
        <is>
          <t>부강면 금호리 456</t>
        </is>
      </c>
      <c r="B349" s="3" t="inlineStr">
        <is>
          <t>계획관리지역</t>
        </is>
      </c>
      <c r="C349" s="3" t="inlineStr">
        <is>
          <t>공장용지</t>
        </is>
      </c>
      <c r="D349" s="3" t="inlineStr">
        <is>
          <t>공장</t>
        </is>
      </c>
      <c r="E349" s="3" t="inlineStr">
        <is>
          <t>월세</t>
        </is>
      </c>
      <c r="F349" s="4" t="n">
        <v>4000</v>
      </c>
      <c r="G349" s="4" t="n">
        <v>375</v>
      </c>
      <c r="H349" s="4" t="n">
        <v>1260</v>
      </c>
      <c r="I349" s="4" t="n">
        <v>381</v>
      </c>
      <c r="J349" s="5" t="n">
        <v>1</v>
      </c>
      <c r="K349" s="4" t="n">
        <v>497</v>
      </c>
      <c r="L349" s="4" t="n">
        <v>150</v>
      </c>
      <c r="M349" s="5" t="n">
        <v>2.5</v>
      </c>
      <c r="N349" s="3" t="inlineStr">
        <is>
          <t>1</t>
        </is>
      </c>
      <c r="O349" s="3" t="inlineStr">
        <is>
          <t>-</t>
        </is>
      </c>
      <c r="P349" s="3" t="inlineStr">
        <is>
          <t>층고 높고 마당 넓음, 부강산업단지 인근, 즉시입주 가능</t>
        </is>
      </c>
      <c r="Q349" s="6">
        <f>HYPERLINK("https://fin.land.naver.com/articles/2651475999", "매물Link")</f>
        <v/>
      </c>
      <c r="R349" s="6">
        <f>HYPERLINK("https://map.naver.com/p/search/부강면 금호리 456", "지도Link")</f>
        <v/>
      </c>
      <c r="S349" s="6">
        <f>HYPERLINK("http://www.eum.go.kr/web/ar/lu/luLandDet.jsp?pnu=3611033028104560000&amp;isNoScr=script&amp;mode=search", "토지이음")</f>
        <v/>
      </c>
      <c r="T349" s="3" t="inlineStr">
        <is>
          <t>제이</t>
        </is>
      </c>
      <c r="U349" s="4" t="n">
        <v>3</v>
      </c>
      <c r="V349" s="5" t="n">
        <v>87.2</v>
      </c>
      <c r="W349" s="4" t="n">
        <v>1260</v>
      </c>
      <c r="X349" s="3" t="inlineStr">
        <is>
          <t>주건축물제1동</t>
        </is>
      </c>
      <c r="Y349" s="7" t="inlineStr">
        <is>
          <t>1층</t>
        </is>
      </c>
      <c r="Z349" s="3" t="inlineStr">
        <is>
          <t>일반철골구조</t>
        </is>
      </c>
      <c r="AA349" s="3" t="inlineStr">
        <is>
          <t>제2종근생</t>
        </is>
      </c>
      <c r="AB349" s="3" t="inlineStr">
        <is>
          <t>9.9m</t>
        </is>
      </c>
      <c r="AC349" s="3" t="inlineStr">
        <is>
          <t>2020-09</t>
        </is>
      </c>
      <c r="AD349" s="3" t="inlineStr">
        <is>
          <t>세로한면(가)</t>
        </is>
      </c>
    </row>
    <row r="350">
      <c r="A350" s="3" t="inlineStr">
        <is>
          <t>부강면 금호리 456</t>
        </is>
      </c>
      <c r="B350" s="3" t="inlineStr">
        <is>
          <t>계획관리지역</t>
        </is>
      </c>
      <c r="C350" s="3" t="inlineStr">
        <is>
          <t>공장용지</t>
        </is>
      </c>
      <c r="D350" s="3" t="inlineStr">
        <is>
          <t>공장</t>
        </is>
      </c>
      <c r="E350" s="3" t="inlineStr">
        <is>
          <t>월세</t>
        </is>
      </c>
      <c r="F350" s="4" t="n">
        <v>4000</v>
      </c>
      <c r="G350" s="4" t="n">
        <v>375</v>
      </c>
      <c r="H350" s="4" t="n">
        <v>1260</v>
      </c>
      <c r="I350" s="4" t="n">
        <v>381</v>
      </c>
      <c r="J350" s="5" t="n">
        <v>1</v>
      </c>
      <c r="K350" s="4" t="n">
        <v>497</v>
      </c>
      <c r="L350" s="4" t="n">
        <v>150</v>
      </c>
      <c r="M350" s="5" t="n">
        <v>2.5</v>
      </c>
      <c r="N350" s="3" t="inlineStr">
        <is>
          <t>1</t>
        </is>
      </c>
      <c r="O350" s="3" t="inlineStr">
        <is>
          <t>-</t>
        </is>
      </c>
      <c r="P350" s="3" t="inlineStr">
        <is>
          <t>세종 부강산업단지 인근 야적장 넓은 공장 창고 임대</t>
        </is>
      </c>
      <c r="Q350" s="6">
        <f>HYPERLINK("https://fin.land.naver.com/articles/2652390959", "매물Link")</f>
        <v/>
      </c>
      <c r="R350" s="6">
        <f>HYPERLINK("https://map.naver.com/p/search/부강면 금호리 456", "지도Link")</f>
        <v/>
      </c>
      <c r="S350" s="6">
        <f>HYPERLINK("http://www.eum.go.kr/web/ar/lu/luLandDet.jsp?pnu=3611033028104560000&amp;isNoScr=script&amp;mode=search", "토지이음")</f>
        <v/>
      </c>
      <c r="T350" s="3" t="inlineStr">
        <is>
          <t>KS</t>
        </is>
      </c>
      <c r="U350" s="4" t="n">
        <v>1</v>
      </c>
      <c r="V350" s="5" t="n">
        <v>87.2</v>
      </c>
      <c r="W350" s="4" t="n">
        <v>1260</v>
      </c>
      <c r="X350" s="3" t="inlineStr">
        <is>
          <t>주건축물제1동</t>
        </is>
      </c>
      <c r="Y350" s="7" t="inlineStr">
        <is>
          <t>1층</t>
        </is>
      </c>
      <c r="Z350" s="3" t="inlineStr">
        <is>
          <t>일반철골구조</t>
        </is>
      </c>
      <c r="AA350" s="3" t="inlineStr">
        <is>
          <t>제2종근생</t>
        </is>
      </c>
      <c r="AB350" s="3" t="inlineStr">
        <is>
          <t>9.9m</t>
        </is>
      </c>
      <c r="AC350" s="3" t="inlineStr">
        <is>
          <t>2020-09</t>
        </is>
      </c>
      <c r="AD350" s="3" t="inlineStr">
        <is>
          <t>세로한면(가)</t>
        </is>
      </c>
    </row>
    <row r="351">
      <c r="A351" s="3" t="inlineStr">
        <is>
          <t>부강면 금호리 456</t>
        </is>
      </c>
      <c r="B351" s="3" t="inlineStr">
        <is>
          <t>계획관리지역</t>
        </is>
      </c>
      <c r="C351" s="3" t="inlineStr">
        <is>
          <t>공장용지</t>
        </is>
      </c>
      <c r="D351" s="3" t="inlineStr">
        <is>
          <t>공장</t>
        </is>
      </c>
      <c r="E351" s="3" t="inlineStr">
        <is>
          <t>월세</t>
        </is>
      </c>
      <c r="F351" s="4" t="n">
        <v>4000</v>
      </c>
      <c r="G351" s="4" t="n">
        <v>375</v>
      </c>
      <c r="H351" s="4" t="n">
        <v>1260</v>
      </c>
      <c r="I351" s="4" t="n">
        <v>381</v>
      </c>
      <c r="J351" s="5" t="n">
        <v>1</v>
      </c>
      <c r="K351" s="4" t="n">
        <v>497</v>
      </c>
      <c r="L351" s="4" t="n">
        <v>150</v>
      </c>
      <c r="M351" s="5" t="n">
        <v>2.5</v>
      </c>
      <c r="N351" s="3" t="inlineStr">
        <is>
          <t>1</t>
        </is>
      </c>
      <c r="O351" s="3" t="inlineStr">
        <is>
          <t>-</t>
        </is>
      </c>
      <c r="P351" s="3" t="inlineStr">
        <is>
          <t>부강 산업단지 인접한 공장 및 창고 입니다</t>
        </is>
      </c>
      <c r="Q351" s="6">
        <f>HYPERLINK("https://fin.land.naver.com/articles/2652033586", "매물Link")</f>
        <v/>
      </c>
      <c r="R351" s="6">
        <f>HYPERLINK("https://map.naver.com/p/search/부강면 금호리 456", "지도Link")</f>
        <v/>
      </c>
      <c r="S351" s="6">
        <f>HYPERLINK("http://www.eum.go.kr/web/ar/lu/luLandDet.jsp?pnu=3611033028104560000&amp;isNoScr=script&amp;mode=search", "토지이음")</f>
        <v/>
      </c>
      <c r="T351" s="3" t="inlineStr">
        <is>
          <t>더행복</t>
        </is>
      </c>
      <c r="U351" s="4" t="n">
        <v>1</v>
      </c>
      <c r="V351" s="5" t="n">
        <v>87.2</v>
      </c>
      <c r="W351" s="4" t="n">
        <v>1260</v>
      </c>
      <c r="X351" s="3" t="inlineStr">
        <is>
          <t>주건축물제1동</t>
        </is>
      </c>
      <c r="Y351" s="7" t="inlineStr">
        <is>
          <t>1층</t>
        </is>
      </c>
      <c r="Z351" s="3" t="inlineStr">
        <is>
          <t>일반철골구조</t>
        </is>
      </c>
      <c r="AA351" s="3" t="inlineStr">
        <is>
          <t>제2종근생</t>
        </is>
      </c>
      <c r="AB351" s="3" t="inlineStr">
        <is>
          <t>9.9m</t>
        </is>
      </c>
      <c r="AC351" s="3" t="inlineStr">
        <is>
          <t>2020-09</t>
        </is>
      </c>
      <c r="AD351" s="3" t="inlineStr">
        <is>
          <t>세로한면(가)</t>
        </is>
      </c>
    </row>
    <row r="352">
      <c r="A352" s="3" t="inlineStr">
        <is>
          <t>부강면 금호리 683-1</t>
        </is>
      </c>
      <c r="B352" s="3" t="inlineStr">
        <is>
          <t>계획관리지역</t>
        </is>
      </c>
      <c r="C352" s="3" t="inlineStr">
        <is>
          <t>공장용지</t>
        </is>
      </c>
      <c r="D352" s="3" t="inlineStr">
        <is>
          <t>공장</t>
        </is>
      </c>
      <c r="E352" s="3" t="inlineStr">
        <is>
          <t>매매</t>
        </is>
      </c>
      <c r="F352" s="4" t="n">
        <v>320000</v>
      </c>
      <c r="G352" s="4" t="n">
        <v>0</v>
      </c>
      <c r="H352" s="4" t="n">
        <v>1167</v>
      </c>
      <c r="I352" s="4" t="n">
        <v>353</v>
      </c>
      <c r="J352" s="5" t="n">
        <v>906.5</v>
      </c>
      <c r="K352" s="4" t="n">
        <v>448</v>
      </c>
      <c r="L352" s="4" t="n">
        <v>136</v>
      </c>
      <c r="M352" s="5" t="n">
        <v>2352.9</v>
      </c>
      <c r="N352" s="3" t="inlineStr">
        <is>
          <t>1</t>
        </is>
      </c>
      <c r="O352" s="3" t="inlineStr">
        <is>
          <t>-</t>
        </is>
      </c>
      <c r="P352" s="3" t="inlineStr">
        <is>
          <t>사진有 폐기물재활용시설 공장 매매</t>
        </is>
      </c>
      <c r="Q352" s="6">
        <f>HYPERLINK("https://fin.land.naver.com/articles/2649598812", "매물Link")</f>
        <v/>
      </c>
      <c r="R352" s="6">
        <f>HYPERLINK("https://map.naver.com/p/search/부강면 금호리 683-1", "지도Link")</f>
        <v/>
      </c>
      <c r="S352" s="6">
        <f>HYPERLINK("http://www.eum.go.kr/web/ar/lu/luLandDet.jsp?pnu=3611033028106830001&amp;isNoScr=script&amp;mode=search", "토지이음")</f>
        <v/>
      </c>
      <c r="T352" s="3" t="inlineStr">
        <is>
          <t>월드</t>
        </is>
      </c>
      <c r="U352" s="4" t="n">
        <v>1</v>
      </c>
      <c r="V352" s="5" t="n">
        <v>90.5</v>
      </c>
      <c r="W352" s="4" t="n">
        <v>1167</v>
      </c>
      <c r="X352" s="3" t="inlineStr">
        <is>
          <t>미표기</t>
        </is>
      </c>
      <c r="Y352" s="7" t="inlineStr">
        <is>
          <t>1층</t>
        </is>
      </c>
      <c r="Z352" s="3" t="inlineStr">
        <is>
          <t>일반철골구조</t>
        </is>
      </c>
      <c r="AA352" s="3" t="inlineStr">
        <is>
          <t>자원순환관련시설</t>
        </is>
      </c>
      <c r="AB352" s="3" t="inlineStr">
        <is>
          <t>8.1m</t>
        </is>
      </c>
      <c r="AC352" s="3" t="inlineStr">
        <is>
          <t>2001-06</t>
        </is>
      </c>
      <c r="AD352" s="3" t="inlineStr">
        <is>
          <t>세로한면(가)</t>
        </is>
      </c>
    </row>
    <row r="353">
      <c r="A353" s="3" t="inlineStr">
        <is>
          <t>부강면 금호리 689</t>
        </is>
      </c>
      <c r="B353" s="3" t="inlineStr">
        <is>
          <t>생산관리지역</t>
        </is>
      </c>
      <c r="C353" s="3" t="inlineStr">
        <is>
          <t>공장용지</t>
        </is>
      </c>
      <c r="D353" s="3" t="inlineStr">
        <is>
          <t>공장</t>
        </is>
      </c>
      <c r="E353" s="3" t="inlineStr">
        <is>
          <t>매매</t>
        </is>
      </c>
      <c r="F353" s="4" t="n">
        <v>210000</v>
      </c>
      <c r="G353" s="4" t="n">
        <v>0</v>
      </c>
      <c r="H353" s="4" t="n">
        <v>2498</v>
      </c>
      <c r="I353" s="4" t="n">
        <v>756</v>
      </c>
      <c r="J353" s="5" t="n">
        <v>277.8</v>
      </c>
      <c r="K353" s="4" t="n">
        <v>755</v>
      </c>
      <c r="L353" s="4" t="n">
        <v>228</v>
      </c>
      <c r="M353" s="5" t="n">
        <v>921.1</v>
      </c>
      <c r="N353" s="3" t="inlineStr">
        <is>
          <t>2</t>
        </is>
      </c>
      <c r="O353" s="3" t="inlineStr">
        <is>
          <t>-</t>
        </is>
      </c>
      <c r="P353" s="3" t="inlineStr">
        <is>
          <t>부강산업단지인근 도로옆 단독공장 2년전 리모델링완비</t>
        </is>
      </c>
      <c r="Q353" s="6">
        <f>HYPERLINK("https://fin.land.naver.com/articles/2650938924", "매물Link")</f>
        <v/>
      </c>
      <c r="R353" s="6">
        <f>HYPERLINK("https://map.naver.com/p/search/부강면 금호리 689", "지도Link")</f>
        <v/>
      </c>
      <c r="S353" s="6">
        <f>HYPERLINK("http://www.eum.go.kr/web/ar/lu/luLandDet.jsp?pnu=3611033028106890000&amp;isNoScr=script&amp;mode=search", "토지이음")</f>
        <v/>
      </c>
      <c r="T353" s="3" t="inlineStr">
        <is>
          <t>더원</t>
        </is>
      </c>
      <c r="U353" s="4" t="n">
        <v>1</v>
      </c>
      <c r="V353" s="5" t="n">
        <v>73.09999999999999</v>
      </c>
      <c r="W353" s="4" t="n">
        <v>2498</v>
      </c>
      <c r="X353" s="3" t="inlineStr">
        <is>
          <t>미표기</t>
        </is>
      </c>
      <c r="Y353" s="7" t="inlineStr">
        <is>
          <t>2층</t>
        </is>
      </c>
      <c r="Z353" s="3" t="inlineStr">
        <is>
          <t>일반철골구조</t>
        </is>
      </c>
      <c r="AA353" s="3" t="inlineStr">
        <is>
          <t>공장</t>
        </is>
      </c>
      <c r="AB353" s="3" t="inlineStr">
        <is>
          <t>15.47m</t>
        </is>
      </c>
      <c r="AC353" s="3" t="inlineStr">
        <is>
          <t>2015-06</t>
        </is>
      </c>
      <c r="AD353" s="3" t="inlineStr">
        <is>
          <t>세로한면(가)</t>
        </is>
      </c>
    </row>
    <row r="354">
      <c r="A354" s="3" t="inlineStr">
        <is>
          <t>부강면 금호리 689</t>
        </is>
      </c>
      <c r="B354" s="3" t="inlineStr">
        <is>
          <t>생산관리지역</t>
        </is>
      </c>
      <c r="C354" s="3" t="inlineStr">
        <is>
          <t>공장용지</t>
        </is>
      </c>
      <c r="D354" s="3" t="inlineStr">
        <is>
          <t>공장</t>
        </is>
      </c>
      <c r="E354" s="3" t="inlineStr">
        <is>
          <t>매매</t>
        </is>
      </c>
      <c r="F354" s="4" t="n">
        <v>200000</v>
      </c>
      <c r="G354" s="4" t="n">
        <v>0</v>
      </c>
      <c r="H354" s="4" t="n">
        <v>2498</v>
      </c>
      <c r="I354" s="4" t="n">
        <v>756</v>
      </c>
      <c r="J354" s="5" t="n">
        <v>264.6</v>
      </c>
      <c r="K354" s="4" t="n">
        <v>755</v>
      </c>
      <c r="L354" s="4" t="n">
        <v>228</v>
      </c>
      <c r="M354" s="5" t="n">
        <v>877.2</v>
      </c>
      <c r="N354" s="3" t="inlineStr">
        <is>
          <t>2</t>
        </is>
      </c>
      <c r="O354" s="3" t="inlineStr">
        <is>
          <t>-</t>
        </is>
      </c>
      <c r="P354" s="3" t="inlineStr">
        <is>
          <t>부강일반산업단지 인근 리모델링완료된 단독 공장 매매</t>
        </is>
      </c>
      <c r="Q354" s="6">
        <f>HYPERLINK("https://fin.land.naver.com/articles/2652199547", "매물Link")</f>
        <v/>
      </c>
      <c r="R354" s="6">
        <f>HYPERLINK("https://map.naver.com/p/search/부강면 금호리 689", "지도Link")</f>
        <v/>
      </c>
      <c r="S354" s="6">
        <f>HYPERLINK("http://www.eum.go.kr/web/ar/lu/luLandDet.jsp?pnu=3611033028106890000&amp;isNoScr=script&amp;mode=search", "토지이음")</f>
        <v/>
      </c>
      <c r="T354" s="3" t="inlineStr">
        <is>
          <t>드림사무소</t>
        </is>
      </c>
      <c r="U354" s="4" t="n">
        <v>2</v>
      </c>
      <c r="V354" s="5" t="n">
        <v>73.09999999999999</v>
      </c>
      <c r="W354" s="4" t="n">
        <v>2498</v>
      </c>
      <c r="X354" s="3" t="inlineStr">
        <is>
          <t>미표기</t>
        </is>
      </c>
      <c r="Y354" s="7" t="inlineStr">
        <is>
          <t>2층</t>
        </is>
      </c>
      <c r="Z354" s="3" t="inlineStr">
        <is>
          <t>일반철골구조</t>
        </is>
      </c>
      <c r="AA354" s="3" t="inlineStr">
        <is>
          <t>공장</t>
        </is>
      </c>
      <c r="AB354" s="3" t="inlineStr">
        <is>
          <t>15.47m</t>
        </is>
      </c>
      <c r="AC354" s="3" t="inlineStr">
        <is>
          <t>2015-06</t>
        </is>
      </c>
      <c r="AD354" s="3" t="inlineStr">
        <is>
          <t>세로한면(가)</t>
        </is>
      </c>
    </row>
    <row r="355">
      <c r="A355" s="3" t="inlineStr">
        <is>
          <t>부강면 금호리 689</t>
        </is>
      </c>
      <c r="B355" s="3" t="inlineStr">
        <is>
          <t>생산관리지역</t>
        </is>
      </c>
      <c r="C355" s="3" t="inlineStr">
        <is>
          <t>공장용지</t>
        </is>
      </c>
      <c r="D355" s="3" t="inlineStr">
        <is>
          <t>공장</t>
        </is>
      </c>
      <c r="E355" s="3" t="inlineStr">
        <is>
          <t>매매</t>
        </is>
      </c>
      <c r="F355" s="4" t="n">
        <v>200000</v>
      </c>
      <c r="G355" s="4" t="n">
        <v>0</v>
      </c>
      <c r="H355" s="4" t="n">
        <v>2498</v>
      </c>
      <c r="I355" s="4" t="n">
        <v>756</v>
      </c>
      <c r="J355" s="5" t="n">
        <v>264.6</v>
      </c>
      <c r="K355" s="4" t="n">
        <v>755</v>
      </c>
      <c r="L355" s="4" t="n">
        <v>228</v>
      </c>
      <c r="M355" s="5" t="n">
        <v>877.2</v>
      </c>
      <c r="N355" s="3" t="inlineStr">
        <is>
          <t>2</t>
        </is>
      </c>
      <c r="O355" s="3" t="inlineStr">
        <is>
          <t>-</t>
        </is>
      </c>
      <c r="P355" s="3" t="inlineStr">
        <is>
          <t>2년전 리모델링완비, 전시판매장추천,1000여평 국유지임대가능</t>
        </is>
      </c>
      <c r="Q355" s="6">
        <f>HYPERLINK("https://fin.land.naver.com/articles/2650894474", "매물Link")</f>
        <v/>
      </c>
      <c r="R355" s="6">
        <f>HYPERLINK("https://map.naver.com/p/search/부강면 금호리 689", "지도Link")</f>
        <v/>
      </c>
      <c r="S355" s="6">
        <f>HYPERLINK("http://www.eum.go.kr/web/ar/lu/luLandDet.jsp?pnu=3611033028106890000&amp;isNoScr=script&amp;mode=search", "토지이음")</f>
        <v/>
      </c>
      <c r="T355" s="3" t="inlineStr">
        <is>
          <t>소소사무소</t>
        </is>
      </c>
      <c r="U355" s="4" t="n">
        <v>1</v>
      </c>
      <c r="V355" s="5" t="n">
        <v>73.09999999999999</v>
      </c>
      <c r="W355" s="4" t="n">
        <v>2498</v>
      </c>
      <c r="X355" s="3" t="inlineStr">
        <is>
          <t>미표기</t>
        </is>
      </c>
      <c r="Y355" s="7" t="inlineStr">
        <is>
          <t>2층</t>
        </is>
      </c>
      <c r="Z355" s="3" t="inlineStr">
        <is>
          <t>일반철골구조</t>
        </is>
      </c>
      <c r="AA355" s="3" t="inlineStr">
        <is>
          <t>공장</t>
        </is>
      </c>
      <c r="AB355" s="3" t="inlineStr">
        <is>
          <t>15.47m</t>
        </is>
      </c>
      <c r="AC355" s="3" t="inlineStr">
        <is>
          <t>2015-06</t>
        </is>
      </c>
      <c r="AD355" s="3" t="inlineStr">
        <is>
          <t>세로한면(가)</t>
        </is>
      </c>
    </row>
    <row r="356">
      <c r="A356" s="3" t="inlineStr">
        <is>
          <t>부강면 금호리 689</t>
        </is>
      </c>
      <c r="B356" s="3" t="inlineStr">
        <is>
          <t>생산관리지역</t>
        </is>
      </c>
      <c r="C356" s="3" t="inlineStr">
        <is>
          <t>공장용지</t>
        </is>
      </c>
      <c r="D356" s="3" t="inlineStr">
        <is>
          <t>공장</t>
        </is>
      </c>
      <c r="E356" s="3" t="inlineStr">
        <is>
          <t>매매</t>
        </is>
      </c>
      <c r="F356" s="4" t="n">
        <v>210000</v>
      </c>
      <c r="G356" s="4" t="n">
        <v>0</v>
      </c>
      <c r="H356" s="4" t="n">
        <v>2498</v>
      </c>
      <c r="I356" s="4" t="n">
        <v>756</v>
      </c>
      <c r="J356" s="5" t="n">
        <v>277.8</v>
      </c>
      <c r="K356" s="4" t="n">
        <v>755</v>
      </c>
      <c r="L356" s="4" t="n">
        <v>228</v>
      </c>
      <c r="M356" s="5" t="n">
        <v>921.1</v>
      </c>
      <c r="N356" s="3" t="inlineStr">
        <is>
          <t>2</t>
        </is>
      </c>
      <c r="O356" s="3" t="inlineStr">
        <is>
          <t>-</t>
        </is>
      </c>
      <c r="P356" s="3" t="inlineStr">
        <is>
          <t>사진有 공장 매매</t>
        </is>
      </c>
      <c r="Q356" s="6">
        <f>HYPERLINK("https://fin.land.naver.com/articles/2651075109", "매물Link")</f>
        <v/>
      </c>
      <c r="R356" s="6">
        <f>HYPERLINK("https://map.naver.com/p/search/부강면 금호리 689", "지도Link")</f>
        <v/>
      </c>
      <c r="S356" s="6">
        <f>HYPERLINK("http://www.eum.go.kr/web/ar/lu/luLandDet.jsp?pnu=3611033028106890000&amp;isNoScr=script&amp;mode=search", "토지이음")</f>
        <v/>
      </c>
      <c r="T356" s="3" t="inlineStr">
        <is>
          <t>월드</t>
        </is>
      </c>
      <c r="U356" s="4" t="n">
        <v>1</v>
      </c>
      <c r="V356" s="5" t="n">
        <v>73.09999999999999</v>
      </c>
      <c r="W356" s="4" t="n">
        <v>2498</v>
      </c>
      <c r="X356" s="3" t="inlineStr">
        <is>
          <t>미표기</t>
        </is>
      </c>
      <c r="Y356" s="7" t="inlineStr">
        <is>
          <t>2층</t>
        </is>
      </c>
      <c r="Z356" s="3" t="inlineStr">
        <is>
          <t>일반철골구조</t>
        </is>
      </c>
      <c r="AA356" s="3" t="inlineStr">
        <is>
          <t>공장</t>
        </is>
      </c>
      <c r="AB356" s="3" t="inlineStr">
        <is>
          <t>15.47m</t>
        </is>
      </c>
      <c r="AC356" s="3" t="inlineStr">
        <is>
          <t>2015-06</t>
        </is>
      </c>
      <c r="AD356" s="3" t="inlineStr">
        <is>
          <t>세로한면(가)</t>
        </is>
      </c>
    </row>
    <row r="357">
      <c r="A357" s="3" t="inlineStr">
        <is>
          <t>부강면 노호리 155-1</t>
        </is>
      </c>
      <c r="B357" s="3" t="inlineStr">
        <is>
          <t>계획관리지역</t>
        </is>
      </c>
      <c r="C357" s="3" t="inlineStr">
        <is>
          <t>공장용지</t>
        </is>
      </c>
      <c r="D357" s="3" t="inlineStr">
        <is>
          <t>공장</t>
        </is>
      </c>
      <c r="E357" s="3" t="inlineStr">
        <is>
          <t>월세</t>
        </is>
      </c>
      <c r="F357" s="4" t="n">
        <v>15000</v>
      </c>
      <c r="G357" s="4" t="n">
        <v>1500</v>
      </c>
      <c r="H357" s="4" t="n">
        <v>8600</v>
      </c>
      <c r="I357" s="4" t="n">
        <v>2602</v>
      </c>
      <c r="J357" s="5" t="n">
        <v>0.6</v>
      </c>
      <c r="K357" s="4" t="n">
        <v>1793</v>
      </c>
      <c r="L357" s="4" t="n">
        <v>542</v>
      </c>
      <c r="M357" s="5" t="n">
        <v>2.8</v>
      </c>
      <c r="N357" s="3" t="inlineStr">
        <is>
          <t>2</t>
        </is>
      </c>
      <c r="O357" s="3" t="inlineStr">
        <is>
          <t>-</t>
        </is>
      </c>
      <c r="P357" s="3" t="inlineStr">
        <is>
          <t>계획관리지역 넓은 야드 층고 높은 공장임대 보1억5천 월1500 매매가능</t>
        </is>
      </c>
      <c r="Q357" s="6">
        <f>HYPERLINK("https://fin.land.naver.com/articles/2654036469", "매물Link")</f>
        <v/>
      </c>
      <c r="R357" s="6">
        <f>HYPERLINK("https://map.naver.com/p/search/부강면 노호리 155-1", "지도Link")</f>
        <v/>
      </c>
      <c r="S357" s="6">
        <f>HYPERLINK("http://www.eum.go.kr/web/ar/lu/luLandDet.jsp?pnu=3611033027101550001&amp;isNoScr=script&amp;mode=search", "토지이음")</f>
        <v/>
      </c>
      <c r="T357" s="3" t="inlineStr">
        <is>
          <t>불당대원</t>
        </is>
      </c>
      <c r="U357" s="4" t="n">
        <v>1</v>
      </c>
      <c r="V357" s="5" t="n">
        <v>52.6</v>
      </c>
      <c r="W357" s="4" t="n">
        <v>8600</v>
      </c>
      <c r="X357" s="3" t="inlineStr">
        <is>
          <t>미표기</t>
        </is>
      </c>
      <c r="Y357" s="7" t="inlineStr">
        <is>
          <t>2층</t>
        </is>
      </c>
      <c r="Z357" s="3" t="inlineStr">
        <is>
          <t>일반철골구조</t>
        </is>
      </c>
      <c r="AA357" s="3" t="inlineStr">
        <is>
          <t>공장</t>
        </is>
      </c>
      <c r="AB357" s="3" t="inlineStr">
        <is>
          <t>10.3m</t>
        </is>
      </c>
      <c r="AC357" s="3" t="inlineStr">
        <is>
          <t>2002-05</t>
        </is>
      </c>
      <c r="AD357" s="3" t="inlineStr">
        <is>
          <t>세로한면(가)</t>
        </is>
      </c>
    </row>
    <row r="358">
      <c r="A358" s="3" t="inlineStr">
        <is>
          <t>부강면 노호리 155-1</t>
        </is>
      </c>
      <c r="B358" s="3" t="inlineStr">
        <is>
          <t>계획관리지역</t>
        </is>
      </c>
      <c r="C358" s="3" t="inlineStr">
        <is>
          <t>공장용지</t>
        </is>
      </c>
      <c r="D358" s="3" t="inlineStr">
        <is>
          <t>공장</t>
        </is>
      </c>
      <c r="E358" s="3" t="inlineStr">
        <is>
          <t>월세</t>
        </is>
      </c>
      <c r="F358" s="4" t="n">
        <v>5000</v>
      </c>
      <c r="G358" s="4" t="n">
        <v>500</v>
      </c>
      <c r="H358" s="4" t="n">
        <v>9585</v>
      </c>
      <c r="I358" s="4" t="n">
        <v>2899</v>
      </c>
      <c r="J358" s="5" t="n">
        <v>0.2</v>
      </c>
      <c r="K358" s="4" t="n">
        <v>716</v>
      </c>
      <c r="L358" s="4" t="n">
        <v>217</v>
      </c>
      <c r="M358" s="5" t="n">
        <v>2.3</v>
      </c>
      <c r="N358" s="3" t="inlineStr">
        <is>
          <t>1</t>
        </is>
      </c>
      <c r="O358" s="3" t="inlineStr">
        <is>
          <t>-</t>
        </is>
      </c>
      <c r="P358" s="3" t="inlineStr">
        <is>
          <t>사진有 공장 임대</t>
        </is>
      </c>
      <c r="Q358" s="6">
        <f>HYPERLINK("https://fin.land.naver.com/articles/2652988033", "매물Link")</f>
        <v/>
      </c>
      <c r="R358" s="6">
        <f>HYPERLINK("https://map.naver.com/p/search/부강면 노호리 155-1", "지도Link")</f>
        <v/>
      </c>
      <c r="S358" s="6">
        <f>HYPERLINK("http://www.eum.go.kr/web/ar/lu/luLandDet.jsp?pnu=3611033027101550001&amp;isNoScr=script&amp;mode=search", "토지이음")</f>
        <v/>
      </c>
      <c r="T358" s="3" t="inlineStr">
        <is>
          <t>월드</t>
        </is>
      </c>
      <c r="U358" s="4" t="n">
        <v>1</v>
      </c>
      <c r="V358" s="5" t="n">
        <v>52.6</v>
      </c>
      <c r="W358" s="4" t="n">
        <v>8600</v>
      </c>
      <c r="X358" s="3" t="inlineStr">
        <is>
          <t>미표기</t>
        </is>
      </c>
      <c r="Y358" s="7" t="inlineStr">
        <is>
          <t>2층</t>
        </is>
      </c>
      <c r="Z358" s="3" t="inlineStr">
        <is>
          <t>일반철골구조</t>
        </is>
      </c>
      <c r="AA358" s="3" t="inlineStr">
        <is>
          <t>공장</t>
        </is>
      </c>
      <c r="AB358" s="3" t="inlineStr">
        <is>
          <t>10.3m</t>
        </is>
      </c>
      <c r="AC358" s="3" t="inlineStr">
        <is>
          <t>2002-05</t>
        </is>
      </c>
      <c r="AD358" s="3" t="inlineStr">
        <is>
          <t>세로한면(가)</t>
        </is>
      </c>
    </row>
    <row r="359">
      <c r="A359" s="3" t="inlineStr">
        <is>
          <t>부강면 노호리 155-1</t>
        </is>
      </c>
      <c r="B359" s="3" t="inlineStr">
        <is>
          <t>계획관리지역</t>
        </is>
      </c>
      <c r="C359" s="3" t="inlineStr">
        <is>
          <t>공장용지</t>
        </is>
      </c>
      <c r="D359" s="3" t="inlineStr">
        <is>
          <t>공장</t>
        </is>
      </c>
      <c r="E359" s="3" t="inlineStr">
        <is>
          <t>매매</t>
        </is>
      </c>
      <c r="F359" s="4" t="n">
        <v>570000</v>
      </c>
      <c r="G359" s="4" t="n">
        <v>0</v>
      </c>
      <c r="H359" s="4" t="n">
        <v>9585</v>
      </c>
      <c r="I359" s="4" t="n">
        <v>2899</v>
      </c>
      <c r="J359" s="5" t="n">
        <v>196.6</v>
      </c>
      <c r="K359" s="4" t="n">
        <v>1793</v>
      </c>
      <c r="L359" s="4" t="n">
        <v>542</v>
      </c>
      <c r="M359" s="5" t="n">
        <v>1051.7</v>
      </c>
      <c r="N359" s="3" t="inlineStr">
        <is>
          <t>2</t>
        </is>
      </c>
      <c r="O359" s="3" t="inlineStr">
        <is>
          <t>-</t>
        </is>
      </c>
      <c r="P359" s="3" t="inlineStr">
        <is>
          <t>사진有 공장 매매</t>
        </is>
      </c>
      <c r="Q359" s="6">
        <f>HYPERLINK("https://fin.land.naver.com/articles/2649597220", "매물Link")</f>
        <v/>
      </c>
      <c r="R359" s="6">
        <f>HYPERLINK("https://map.naver.com/p/search/부강면 노호리 155-1", "지도Link")</f>
        <v/>
      </c>
      <c r="S359" s="6">
        <f>HYPERLINK("http://www.eum.go.kr/web/ar/lu/luLandDet.jsp?pnu=3611033027101550001&amp;isNoScr=script&amp;mode=search", "토지이음")</f>
        <v/>
      </c>
      <c r="T359" s="3" t="inlineStr">
        <is>
          <t>월드</t>
        </is>
      </c>
      <c r="U359" s="4" t="n">
        <v>1</v>
      </c>
      <c r="V359" s="5" t="n">
        <v>52.6</v>
      </c>
      <c r="W359" s="4" t="n">
        <v>8600</v>
      </c>
      <c r="X359" s="3" t="inlineStr">
        <is>
          <t>미표기</t>
        </is>
      </c>
      <c r="Y359" s="7" t="inlineStr">
        <is>
          <t>2층</t>
        </is>
      </c>
      <c r="Z359" s="3" t="inlineStr">
        <is>
          <t>일반철골구조</t>
        </is>
      </c>
      <c r="AA359" s="3" t="inlineStr">
        <is>
          <t>공장</t>
        </is>
      </c>
      <c r="AB359" s="3" t="inlineStr">
        <is>
          <t>10.3m</t>
        </is>
      </c>
      <c r="AC359" s="3" t="inlineStr">
        <is>
          <t>2002-05</t>
        </is>
      </c>
      <c r="AD359" s="3" t="inlineStr">
        <is>
          <t>세로한면(가)</t>
        </is>
      </c>
    </row>
    <row r="360">
      <c r="A360" s="3" t="inlineStr">
        <is>
          <t>부강면 노호리 155-1</t>
        </is>
      </c>
      <c r="B360" s="3" t="inlineStr">
        <is>
          <t>계획관리지역</t>
        </is>
      </c>
      <c r="C360" s="3" t="inlineStr">
        <is>
          <t>공장용지</t>
        </is>
      </c>
      <c r="D360" s="3" t="inlineStr">
        <is>
          <t>공장</t>
        </is>
      </c>
      <c r="E360" s="3" t="inlineStr">
        <is>
          <t>매매</t>
        </is>
      </c>
      <c r="F360" s="4" t="n">
        <v>570000</v>
      </c>
      <c r="G360" s="4" t="n">
        <v>0</v>
      </c>
      <c r="H360" s="4" t="n">
        <v>9587</v>
      </c>
      <c r="I360" s="4" t="n">
        <v>2900</v>
      </c>
      <c r="J360" s="5" t="n">
        <v>196.6</v>
      </c>
      <c r="K360" s="4" t="n">
        <v>1793</v>
      </c>
      <c r="L360" s="4" t="n">
        <v>542</v>
      </c>
      <c r="M360" s="5" t="n">
        <v>1051.7</v>
      </c>
      <c r="N360" s="3" t="inlineStr">
        <is>
          <t>1</t>
        </is>
      </c>
      <c r="O360" s="3" t="inlineStr">
        <is>
          <t>-</t>
        </is>
      </c>
      <c r="P360" s="3" t="inlineStr">
        <is>
          <t>남청주IC 9분, 2분의 1 분할매매 가능</t>
        </is>
      </c>
      <c r="Q360" s="6">
        <f>HYPERLINK("https://fin.land.naver.com/articles/2651829026", "매물Link")</f>
        <v/>
      </c>
      <c r="R360" s="6">
        <f>HYPERLINK("https://map.naver.com/p/search/부강면 노호리 155-1", "지도Link")</f>
        <v/>
      </c>
      <c r="S360" s="6">
        <f>HYPERLINK("http://www.eum.go.kr/web/ar/lu/luLandDet.jsp?pnu=3611033027101550001&amp;isNoScr=script&amp;mode=search", "토지이음")</f>
        <v/>
      </c>
      <c r="T360" s="3" t="inlineStr">
        <is>
          <t>미더스</t>
        </is>
      </c>
      <c r="U360" s="4" t="n">
        <v>3</v>
      </c>
      <c r="V360" s="5" t="n">
        <v>52.6</v>
      </c>
      <c r="W360" s="4" t="n">
        <v>8600</v>
      </c>
      <c r="X360" s="3" t="inlineStr">
        <is>
          <t>미표기</t>
        </is>
      </c>
      <c r="Y360" s="7" t="inlineStr">
        <is>
          <t>2층</t>
        </is>
      </c>
      <c r="Z360" s="3" t="inlineStr">
        <is>
          <t>일반철골구조</t>
        </is>
      </c>
      <c r="AA360" s="3" t="inlineStr">
        <is>
          <t>공장</t>
        </is>
      </c>
      <c r="AB360" s="3" t="inlineStr">
        <is>
          <t>10.3m</t>
        </is>
      </c>
      <c r="AC360" s="3" t="inlineStr">
        <is>
          <t>2002-05</t>
        </is>
      </c>
      <c r="AD360" s="3" t="inlineStr">
        <is>
          <t>세로한면(가)</t>
        </is>
      </c>
    </row>
    <row r="361">
      <c r="A361" s="3" t="inlineStr">
        <is>
          <t>부강면 노호리 155-1</t>
        </is>
      </c>
      <c r="B361" s="3" t="inlineStr">
        <is>
          <t>계획관리지역</t>
        </is>
      </c>
      <c r="C361" s="3" t="inlineStr">
        <is>
          <t>공장용지</t>
        </is>
      </c>
      <c r="D361" s="3" t="inlineStr">
        <is>
          <t>공장</t>
        </is>
      </c>
      <c r="E361" s="3" t="inlineStr">
        <is>
          <t>매매</t>
        </is>
      </c>
      <c r="F361" s="4" t="n">
        <v>570000</v>
      </c>
      <c r="G361" s="4" t="n">
        <v>0</v>
      </c>
      <c r="H361" s="4" t="n">
        <v>8600</v>
      </c>
      <c r="I361" s="4" t="n">
        <v>2602</v>
      </c>
      <c r="J361" s="5" t="n">
        <v>219.1</v>
      </c>
      <c r="K361" s="4" t="n">
        <v>1793</v>
      </c>
      <c r="L361" s="4" t="n">
        <v>542</v>
      </c>
      <c r="M361" s="5" t="n">
        <v>1051.7</v>
      </c>
      <c r="N361" s="3" t="inlineStr">
        <is>
          <t>1</t>
        </is>
      </c>
      <c r="O361" s="3" t="inlineStr">
        <is>
          <t>-</t>
        </is>
      </c>
      <c r="P361" s="3" t="inlineStr">
        <is>
          <t>세종 노호리 부지 넓은 대형공장 매매</t>
        </is>
      </c>
      <c r="Q361" s="6">
        <f>HYPERLINK("https://fin.land.naver.com/articles/2652510293", "매물Link")</f>
        <v/>
      </c>
      <c r="R361" s="6">
        <f>HYPERLINK("https://map.naver.com/p/search/부강면 노호리 155-1", "지도Link")</f>
        <v/>
      </c>
      <c r="S361" s="6">
        <f>HYPERLINK("http://www.eum.go.kr/web/ar/lu/luLandDet.jsp?pnu=3611033027101550001&amp;isNoScr=script&amp;mode=search", "토지이음")</f>
        <v/>
      </c>
      <c r="T361" s="3" t="inlineStr">
        <is>
          <t>SK랜드</t>
        </is>
      </c>
      <c r="U361" s="4" t="n">
        <v>2</v>
      </c>
      <c r="V361" s="5" t="n">
        <v>52.6</v>
      </c>
      <c r="W361" s="4" t="n">
        <v>8600</v>
      </c>
      <c r="X361" s="3" t="inlineStr">
        <is>
          <t>미표기</t>
        </is>
      </c>
      <c r="Y361" s="7" t="inlineStr">
        <is>
          <t>2층</t>
        </is>
      </c>
      <c r="Z361" s="3" t="inlineStr">
        <is>
          <t>일반철골구조</t>
        </is>
      </c>
      <c r="AA361" s="3" t="inlineStr">
        <is>
          <t>공장</t>
        </is>
      </c>
      <c r="AB361" s="3" t="inlineStr">
        <is>
          <t>10.3m</t>
        </is>
      </c>
      <c r="AC361" s="3" t="inlineStr">
        <is>
          <t>2002-05</t>
        </is>
      </c>
      <c r="AD361" s="3" t="inlineStr">
        <is>
          <t>세로한면(가)</t>
        </is>
      </c>
    </row>
    <row r="362">
      <c r="A362" s="3" t="inlineStr">
        <is>
          <t>부강면 노호리 155-1</t>
        </is>
      </c>
      <c r="B362" s="3" t="inlineStr">
        <is>
          <t>계획관리지역</t>
        </is>
      </c>
      <c r="C362" s="3" t="inlineStr">
        <is>
          <t>공장용지</t>
        </is>
      </c>
      <c r="D362" s="3" t="inlineStr">
        <is>
          <t>공장</t>
        </is>
      </c>
      <c r="E362" s="3" t="inlineStr">
        <is>
          <t>월세</t>
        </is>
      </c>
      <c r="F362" s="4" t="n">
        <v>15000</v>
      </c>
      <c r="G362" s="4" t="n">
        <v>1500</v>
      </c>
      <c r="H362" s="4" t="n">
        <v>8600</v>
      </c>
      <c r="I362" s="4" t="n">
        <v>2602</v>
      </c>
      <c r="J362" s="5" t="n">
        <v>0.6</v>
      </c>
      <c r="K362" s="4" t="n">
        <v>1793</v>
      </c>
      <c r="L362" s="4" t="n">
        <v>542</v>
      </c>
      <c r="M362" s="5" t="n">
        <v>2.8</v>
      </c>
      <c r="N362" s="3" t="inlineStr">
        <is>
          <t>2</t>
        </is>
      </c>
      <c r="O362" s="3" t="inlineStr">
        <is>
          <t>-</t>
        </is>
      </c>
      <c r="P362" s="3" t="inlineStr">
        <is>
          <t>민원소지 없는 야드 넓은 공장임대</t>
        </is>
      </c>
      <c r="Q362" s="6">
        <f>HYPERLINK("https://fin.land.naver.com/articles/2651586128", "매물Link")</f>
        <v/>
      </c>
      <c r="R362" s="6">
        <f>HYPERLINK("https://map.naver.com/p/search/부강면 노호리 155-1", "지도Link")</f>
        <v/>
      </c>
      <c r="S362" s="6">
        <f>HYPERLINK("http://www.eum.go.kr/web/ar/lu/luLandDet.jsp?pnu=3611033027101550001&amp;isNoScr=script&amp;mode=search", "토지이음")</f>
        <v/>
      </c>
      <c r="T362" s="3" t="inlineStr">
        <is>
          <t>금화랜드</t>
        </is>
      </c>
      <c r="U362" s="4" t="n">
        <v>1</v>
      </c>
      <c r="V362" s="5" t="n">
        <v>52.6</v>
      </c>
      <c r="W362" s="4" t="n">
        <v>8600</v>
      </c>
      <c r="X362" s="3" t="inlineStr">
        <is>
          <t>미표기</t>
        </is>
      </c>
      <c r="Y362" s="7" t="inlineStr">
        <is>
          <t>2층</t>
        </is>
      </c>
      <c r="Z362" s="3" t="inlineStr">
        <is>
          <t>일반철골구조</t>
        </is>
      </c>
      <c r="AA362" s="3" t="inlineStr">
        <is>
          <t>공장</t>
        </is>
      </c>
      <c r="AB362" s="3" t="inlineStr">
        <is>
          <t>10.3m</t>
        </is>
      </c>
      <c r="AC362" s="3" t="inlineStr">
        <is>
          <t>2002-05</t>
        </is>
      </c>
      <c r="AD362" s="3" t="inlineStr">
        <is>
          <t>세로한면(가)</t>
        </is>
      </c>
    </row>
    <row r="363">
      <c r="A363" s="3" t="inlineStr">
        <is>
          <t>부강면 노호리 155-1</t>
        </is>
      </c>
      <c r="B363" s="3" t="inlineStr">
        <is>
          <t>계획관리지역</t>
        </is>
      </c>
      <c r="C363" s="3" t="inlineStr">
        <is>
          <t>공장용지</t>
        </is>
      </c>
      <c r="D363" s="3" t="inlineStr">
        <is>
          <t>공장</t>
        </is>
      </c>
      <c r="E363" s="3" t="inlineStr">
        <is>
          <t>매매</t>
        </is>
      </c>
      <c r="F363" s="4" t="n">
        <v>570000</v>
      </c>
      <c r="G363" s="4" t="n">
        <v>0</v>
      </c>
      <c r="H363" s="4" t="n">
        <v>9585</v>
      </c>
      <c r="I363" s="4" t="n">
        <v>2899</v>
      </c>
      <c r="J363" s="5" t="n">
        <v>196.6</v>
      </c>
      <c r="K363" s="4" t="n">
        <v>1793</v>
      </c>
      <c r="L363" s="4" t="n">
        <v>542</v>
      </c>
      <c r="M363" s="5" t="n">
        <v>1051.7</v>
      </c>
      <c r="N363" s="3" t="inlineStr">
        <is>
          <t>2</t>
        </is>
      </c>
      <c r="O363" s="3" t="inlineStr">
        <is>
          <t>-</t>
        </is>
      </c>
      <c r="P363" s="3" t="inlineStr">
        <is>
          <t>남청주ic, 신탄진ic 접근성 우수 호이스트설치 전력700kw</t>
        </is>
      </c>
      <c r="Q363" s="6">
        <f>HYPERLINK("https://fin.land.naver.com/articles/2650204516", "매물Link")</f>
        <v/>
      </c>
      <c r="R363" s="6">
        <f>HYPERLINK("https://map.naver.com/p/search/부강면 노호리 155-1", "지도Link")</f>
        <v/>
      </c>
      <c r="S363" s="6">
        <f>HYPERLINK("http://www.eum.go.kr/web/ar/lu/luLandDet.jsp?pnu=3611033027101550001&amp;isNoScr=script&amp;mode=search", "토지이음")</f>
        <v/>
      </c>
      <c r="T363" s="3" t="inlineStr">
        <is>
          <t>더원</t>
        </is>
      </c>
      <c r="U363" s="4" t="n">
        <v>1</v>
      </c>
      <c r="V363" s="5" t="n">
        <v>52.6</v>
      </c>
      <c r="W363" s="4" t="n">
        <v>8600</v>
      </c>
      <c r="X363" s="3" t="inlineStr">
        <is>
          <t>미표기</t>
        </is>
      </c>
      <c r="Y363" s="7" t="inlineStr">
        <is>
          <t>2층</t>
        </is>
      </c>
      <c r="Z363" s="3" t="inlineStr">
        <is>
          <t>일반철골구조</t>
        </is>
      </c>
      <c r="AA363" s="3" t="inlineStr">
        <is>
          <t>공장</t>
        </is>
      </c>
      <c r="AB363" s="3" t="inlineStr">
        <is>
          <t>10.3m</t>
        </is>
      </c>
      <c r="AC363" s="3" t="inlineStr">
        <is>
          <t>2002-05</t>
        </is>
      </c>
      <c r="AD363" s="3" t="inlineStr">
        <is>
          <t>세로한면(가)</t>
        </is>
      </c>
    </row>
    <row r="364">
      <c r="A364" s="3" t="inlineStr">
        <is>
          <t>부강면 노호리 155-1</t>
        </is>
      </c>
      <c r="B364" s="3" t="inlineStr">
        <is>
          <t>계획관리지역</t>
        </is>
      </c>
      <c r="C364" s="3" t="inlineStr">
        <is>
          <t>공장용지</t>
        </is>
      </c>
      <c r="D364" s="3" t="inlineStr">
        <is>
          <t>공장</t>
        </is>
      </c>
      <c r="E364" s="3" t="inlineStr">
        <is>
          <t>월세</t>
        </is>
      </c>
      <c r="F364" s="4" t="n">
        <v>5000</v>
      </c>
      <c r="G364" s="4" t="n">
        <v>500</v>
      </c>
      <c r="H364" s="4" t="n">
        <v>9585</v>
      </c>
      <c r="I364" s="4" t="n">
        <v>2899</v>
      </c>
      <c r="J364" s="5" t="n">
        <v>0.2</v>
      </c>
      <c r="K364" s="4" t="n">
        <v>716</v>
      </c>
      <c r="L364" s="4" t="n">
        <v>217</v>
      </c>
      <c r="M364" s="5" t="n">
        <v>2.3</v>
      </c>
      <c r="N364" s="3" t="inlineStr">
        <is>
          <t>1</t>
        </is>
      </c>
      <c r="O364" s="3" t="inlineStr">
        <is>
          <t>-</t>
        </is>
      </c>
      <c r="P364" s="3" t="inlineStr">
        <is>
          <t>남청주ic, 신탄진ic 접근성 우수 호이스트 설치된 공장</t>
        </is>
      </c>
      <c r="Q364" s="6">
        <f>HYPERLINK("https://fin.land.naver.com/articles/2650205472", "매물Link")</f>
        <v/>
      </c>
      <c r="R364" s="6">
        <f>HYPERLINK("https://map.naver.com/p/search/부강면 노호리 155-1", "지도Link")</f>
        <v/>
      </c>
      <c r="S364" s="6">
        <f>HYPERLINK("http://www.eum.go.kr/web/ar/lu/luLandDet.jsp?pnu=3611033027101550001&amp;isNoScr=script&amp;mode=search", "토지이음")</f>
        <v/>
      </c>
      <c r="T364" s="3" t="inlineStr">
        <is>
          <t>더원</t>
        </is>
      </c>
      <c r="U364" s="4" t="n">
        <v>1</v>
      </c>
      <c r="V364" s="5" t="n">
        <v>52.6</v>
      </c>
      <c r="W364" s="4" t="n">
        <v>8600</v>
      </c>
      <c r="X364" s="3" t="inlineStr">
        <is>
          <t>미표기</t>
        </is>
      </c>
      <c r="Y364" s="7" t="inlineStr">
        <is>
          <t>2층</t>
        </is>
      </c>
      <c r="Z364" s="3" t="inlineStr">
        <is>
          <t>일반철골구조</t>
        </is>
      </c>
      <c r="AA364" s="3" t="inlineStr">
        <is>
          <t>공장</t>
        </is>
      </c>
      <c r="AB364" s="3" t="inlineStr">
        <is>
          <t>10.3m</t>
        </is>
      </c>
      <c r="AC364" s="3" t="inlineStr">
        <is>
          <t>2002-05</t>
        </is>
      </c>
      <c r="AD364" s="3" t="inlineStr">
        <is>
          <t>세로한면(가)</t>
        </is>
      </c>
    </row>
    <row r="365">
      <c r="A365" s="3" t="inlineStr">
        <is>
          <t>부강면 노호리 155-1</t>
        </is>
      </c>
      <c r="B365" s="3" t="inlineStr">
        <is>
          <t>계획관리지역</t>
        </is>
      </c>
      <c r="C365" s="3" t="inlineStr">
        <is>
          <t>공장용지</t>
        </is>
      </c>
      <c r="D365" s="3" t="inlineStr">
        <is>
          <t>공장</t>
        </is>
      </c>
      <c r="E365" s="3" t="inlineStr">
        <is>
          <t>월세</t>
        </is>
      </c>
      <c r="F365" s="4" t="n">
        <v>15000</v>
      </c>
      <c r="G365" s="4" t="n">
        <v>1500</v>
      </c>
      <c r="H365" s="4" t="n">
        <v>9566</v>
      </c>
      <c r="I365" s="4" t="n">
        <v>2894</v>
      </c>
      <c r="J365" s="5" t="n">
        <v>0.5</v>
      </c>
      <c r="K365" s="4" t="n">
        <v>1793</v>
      </c>
      <c r="L365" s="4" t="n">
        <v>542</v>
      </c>
      <c r="M365" s="5" t="n">
        <v>2.8</v>
      </c>
      <c r="N365" s="3" t="inlineStr">
        <is>
          <t>1</t>
        </is>
      </c>
      <c r="O365" s="3" t="inlineStr">
        <is>
          <t>-</t>
        </is>
      </c>
      <c r="P365" s="3" t="inlineStr">
        <is>
          <t>신탄진IC남청주IC와 중간위치, 대형차 진출입이 편리한곳,호이스트있음</t>
        </is>
      </c>
      <c r="Q365" s="6">
        <f>HYPERLINK("https://fin.land.naver.com/articles/2654296586", "매물Link")</f>
        <v/>
      </c>
      <c r="R365" s="6">
        <f>HYPERLINK("https://map.naver.com/p/search/부강면 노호리 155-1", "지도Link")</f>
        <v/>
      </c>
      <c r="S365" s="6">
        <f>HYPERLINK("http://www.eum.go.kr/web/ar/lu/luLandDet.jsp?pnu=3611033027101550001&amp;isNoScr=script&amp;mode=search", "토지이음")</f>
        <v/>
      </c>
      <c r="T365" s="3" t="inlineStr">
        <is>
          <t>(주)미르</t>
        </is>
      </c>
      <c r="U365" s="4" t="n">
        <v>2</v>
      </c>
      <c r="V365" s="5" t="n">
        <v>52.6</v>
      </c>
      <c r="W365" s="4" t="n">
        <v>8600</v>
      </c>
      <c r="X365" s="3" t="inlineStr">
        <is>
          <t>미표기</t>
        </is>
      </c>
      <c r="Y365" s="7" t="inlineStr">
        <is>
          <t>2층</t>
        </is>
      </c>
      <c r="Z365" s="3" t="inlineStr">
        <is>
          <t>일반철골구조</t>
        </is>
      </c>
      <c r="AA365" s="3" t="inlineStr">
        <is>
          <t>공장</t>
        </is>
      </c>
      <c r="AB365" s="3" t="inlineStr">
        <is>
          <t>10.3m</t>
        </is>
      </c>
      <c r="AC365" s="3" t="inlineStr">
        <is>
          <t>2002-05</t>
        </is>
      </c>
      <c r="AD365" s="3" t="inlineStr">
        <is>
          <t>세로한면(가)</t>
        </is>
      </c>
    </row>
    <row r="366">
      <c r="A366" s="3" t="inlineStr">
        <is>
          <t>부강면 노호리 76</t>
        </is>
      </c>
      <c r="B366" s="3" t="inlineStr">
        <is>
          <t>계획관리지역</t>
        </is>
      </c>
      <c r="C366" s="3" t="inlineStr">
        <is>
          <t>공장용지</t>
        </is>
      </c>
      <c r="D366" s="3" t="inlineStr">
        <is>
          <t>공장</t>
        </is>
      </c>
      <c r="E366" s="3" t="inlineStr">
        <is>
          <t>매매</t>
        </is>
      </c>
      <c r="F366" s="4" t="n">
        <v>200000</v>
      </c>
      <c r="G366" s="4" t="n">
        <v>0</v>
      </c>
      <c r="H366" s="4" t="n">
        <v>3271</v>
      </c>
      <c r="I366" s="4" t="n">
        <v>989</v>
      </c>
      <c r="J366" s="5" t="n">
        <v>202.2</v>
      </c>
      <c r="K366" s="4" t="n">
        <v>1288</v>
      </c>
      <c r="L366" s="4" t="n">
        <v>390</v>
      </c>
      <c r="M366" s="5" t="n">
        <v>512.8</v>
      </c>
      <c r="N366" s="3" t="inlineStr">
        <is>
          <t>2</t>
        </is>
      </c>
      <c r="O366" s="3" t="inlineStr">
        <is>
          <t>-</t>
        </is>
      </c>
      <c r="P366" s="3" t="inlineStr">
        <is>
          <t>사진有 공장 매매</t>
        </is>
      </c>
      <c r="Q366" s="6">
        <f>HYPERLINK("https://fin.land.naver.com/articles/2649597836", "매물Link")</f>
        <v/>
      </c>
      <c r="R366" s="6">
        <f>HYPERLINK("https://map.naver.com/p/search/부강면 노호리 76", "지도Link")</f>
        <v/>
      </c>
      <c r="S366" s="6">
        <f>HYPERLINK("http://www.eum.go.kr/web/ar/lu/luLandDet.jsp?pnu=3611033027100760000&amp;isNoScr=script&amp;mode=search", "토지이음")</f>
        <v/>
      </c>
      <c r="T366" s="3" t="inlineStr">
        <is>
          <t>월드</t>
        </is>
      </c>
      <c r="U366" s="4" t="n">
        <v>1</v>
      </c>
      <c r="V366" s="5" t="n">
        <v>55</v>
      </c>
      <c r="W366" s="4" t="n">
        <v>1155</v>
      </c>
      <c r="X366" s="3" t="inlineStr">
        <is>
          <t>주건축물제1동</t>
        </is>
      </c>
      <c r="Y366" s="7" t="inlineStr">
        <is>
          <t>1층</t>
        </is>
      </c>
      <c r="Z366" s="3" t="inlineStr">
        <is>
          <t>일반철골구조</t>
        </is>
      </c>
      <c r="AA366" s="3" t="inlineStr">
        <is>
          <t>제2종근생</t>
        </is>
      </c>
      <c r="AB366" s="3" t="inlineStr">
        <is>
          <t>10.2m</t>
        </is>
      </c>
      <c r="AC366" s="3" t="inlineStr">
        <is>
          <t>2015-05</t>
        </is>
      </c>
      <c r="AD366" s="3" t="inlineStr">
        <is>
          <t>세로한면(가)</t>
        </is>
      </c>
    </row>
    <row r="367">
      <c r="A367" s="3" t="inlineStr">
        <is>
          <t>부강면 등곡리 350-9</t>
        </is>
      </c>
      <c r="B367" s="3" t="inlineStr">
        <is>
          <t>계획관리지역</t>
        </is>
      </c>
      <c r="C367" s="3" t="inlineStr">
        <is>
          <t>잡종지</t>
        </is>
      </c>
      <c r="D367" s="3" t="inlineStr">
        <is>
          <t>공장</t>
        </is>
      </c>
      <c r="E367" s="3" t="inlineStr">
        <is>
          <t>매매</t>
        </is>
      </c>
      <c r="F367" s="4" t="n">
        <v>200000</v>
      </c>
      <c r="G367" s="4" t="n">
        <v>0</v>
      </c>
      <c r="H367" s="4" t="n">
        <v>2580</v>
      </c>
      <c r="I367" s="4" t="n">
        <v>780</v>
      </c>
      <c r="J367" s="5" t="n">
        <v>256.4</v>
      </c>
      <c r="K367" s="4" t="n">
        <v>273</v>
      </c>
      <c r="L367" s="4" t="n">
        <v>83</v>
      </c>
      <c r="M367" s="5" t="n">
        <v>2409.6</v>
      </c>
      <c r="N367" s="3" t="inlineStr">
        <is>
          <t>2</t>
        </is>
      </c>
      <c r="O367" s="3" t="inlineStr">
        <is>
          <t>B2</t>
        </is>
      </c>
      <c r="P367" s="3" t="inlineStr">
        <is>
          <t>지정폐기물수집보관성업중</t>
        </is>
      </c>
      <c r="Q367" s="6">
        <f>HYPERLINK("https://fin.land.naver.com/articles/2653664868", "매물Link")</f>
        <v/>
      </c>
      <c r="R367" s="6">
        <f>HYPERLINK("https://map.naver.com/p/search/부강면 등곡리 350-9", "지도Link")</f>
        <v/>
      </c>
      <c r="S367" s="6">
        <f>HYPERLINK("http://www.eum.go.kr/web/ar/lu/luLandDet.jsp?pnu=3611033026103500009&amp;isNoScr=script&amp;mode=search", "토지이음")</f>
        <v/>
      </c>
      <c r="T367" s="3" t="inlineStr">
        <is>
          <t>우리래미안</t>
        </is>
      </c>
      <c r="U367" s="4" t="n">
        <v>1</v>
      </c>
      <c r="V367" s="5" t="n">
        <v>69.90000000000001</v>
      </c>
      <c r="W367" s="4" t="n">
        <v>2580</v>
      </c>
      <c r="X367" s="3" t="inlineStr">
        <is>
          <t>2동</t>
        </is>
      </c>
      <c r="Y367" s="7" t="inlineStr">
        <is>
          <t>1층</t>
        </is>
      </c>
      <c r="Z367" s="3" t="inlineStr">
        <is>
          <t>일반철골구조</t>
        </is>
      </c>
      <c r="AA367" s="3" t="inlineStr">
        <is>
          <t>위험물저장및처리시설</t>
        </is>
      </c>
      <c r="AB367" s="3" t="inlineStr">
        <is>
          <t>6.8m</t>
        </is>
      </c>
      <c r="AC367" s="3" t="inlineStr">
        <is>
          <t>2008-07</t>
        </is>
      </c>
      <c r="AD367" s="3" t="inlineStr">
        <is>
          <t>세로한면(가)</t>
        </is>
      </c>
    </row>
    <row r="368">
      <c r="A368" s="3" t="inlineStr">
        <is>
          <t>부강면 문곡리 140</t>
        </is>
      </c>
      <c r="B368" s="3" t="inlineStr">
        <is>
          <t>계획관리지역</t>
        </is>
      </c>
      <c r="C368" s="3" t="inlineStr">
        <is>
          <t>창고용지</t>
        </is>
      </c>
      <c r="D368" s="3" t="inlineStr">
        <is>
          <t>창고</t>
        </is>
      </c>
      <c r="E368" s="3" t="inlineStr">
        <is>
          <t>매매</t>
        </is>
      </c>
      <c r="F368" s="4" t="n">
        <v>750000</v>
      </c>
      <c r="G368" s="4" t="n">
        <v>0</v>
      </c>
      <c r="H368" s="4" t="n">
        <v>6153</v>
      </c>
      <c r="I368" s="4" t="n">
        <v>1861</v>
      </c>
      <c r="J368" s="5" t="n">
        <v>403</v>
      </c>
      <c r="K368" s="4" t="n">
        <v>1408</v>
      </c>
      <c r="L368" s="4" t="n">
        <v>426</v>
      </c>
      <c r="M368" s="5" t="n">
        <v>1760.6</v>
      </c>
      <c r="N368" s="3" t="inlineStr">
        <is>
          <t>2</t>
        </is>
      </c>
      <c r="O368" s="3" t="inlineStr">
        <is>
          <t>-</t>
        </is>
      </c>
      <c r="P368" s="3" t="inlineStr">
        <is>
          <t>nan</t>
        </is>
      </c>
      <c r="Q368" s="6">
        <f>HYPERLINK("https://fin.land.naver.com/articles/2653632764", "매물Link")</f>
        <v/>
      </c>
      <c r="R368" s="6">
        <f>HYPERLINK("https://map.naver.com/p/search/부강면 문곡리 140", "지도Link")</f>
        <v/>
      </c>
      <c r="S368" s="6">
        <f>HYPERLINK("http://www.eum.go.kr/web/ar/lu/luLandDet.jsp?pnu=3611033025101400000&amp;isNoScr=script&amp;mode=search", "토지이음")</f>
        <v/>
      </c>
      <c r="T368" s="3" t="inlineStr">
        <is>
          <t>다온</t>
        </is>
      </c>
      <c r="U368" s="4" t="n">
        <v>1</v>
      </c>
      <c r="V368" s="5" t="n">
        <v>102.2</v>
      </c>
      <c r="W368" s="4" t="n">
        <v>3376</v>
      </c>
      <c r="X368" s="3" t="inlineStr">
        <is>
          <t>주건축물제1동</t>
        </is>
      </c>
      <c r="Y368" s="7" t="inlineStr">
        <is>
          <t>1층</t>
        </is>
      </c>
      <c r="Z368" s="3" t="inlineStr">
        <is>
          <t>일반철골구조</t>
        </is>
      </c>
      <c r="AA368" s="3" t="inlineStr">
        <is>
          <t>창고시설</t>
        </is>
      </c>
      <c r="AB368" s="3" t="inlineStr">
        <is>
          <t>12.45m</t>
        </is>
      </c>
      <c r="AC368" s="3" t="inlineStr">
        <is>
          <t>2015-03</t>
        </is>
      </c>
      <c r="AD368" s="3" t="inlineStr">
        <is>
          <t>소로한면</t>
        </is>
      </c>
    </row>
    <row r="369">
      <c r="A369" s="3" t="inlineStr">
        <is>
          <t>부강면 문곡리 140</t>
        </is>
      </c>
      <c r="B369" s="3" t="inlineStr">
        <is>
          <t>계획관리지역</t>
        </is>
      </c>
      <c r="C369" s="3" t="inlineStr">
        <is>
          <t>창고용지</t>
        </is>
      </c>
      <c r="D369" s="3" t="inlineStr">
        <is>
          <t>창고</t>
        </is>
      </c>
      <c r="E369" s="3" t="inlineStr">
        <is>
          <t>매매</t>
        </is>
      </c>
      <c r="F369" s="4" t="n">
        <v>750000</v>
      </c>
      <c r="G369" s="4" t="n">
        <v>0</v>
      </c>
      <c r="H369" s="4" t="n">
        <v>6153</v>
      </c>
      <c r="I369" s="4" t="n">
        <v>1861</v>
      </c>
      <c r="J369" s="5" t="n">
        <v>403</v>
      </c>
      <c r="K369" s="4" t="n">
        <v>2303</v>
      </c>
      <c r="L369" s="4" t="n">
        <v>697</v>
      </c>
      <c r="M369" s="5" t="n">
        <v>1076</v>
      </c>
      <c r="N369" s="3" t="inlineStr">
        <is>
          <t>1</t>
        </is>
      </c>
      <c r="O369" s="3" t="inlineStr">
        <is>
          <t>-</t>
        </is>
      </c>
      <c r="P369" s="3" t="inlineStr">
        <is>
          <t>남청주IC에서 4분</t>
        </is>
      </c>
      <c r="Q369" s="6">
        <f>HYPERLINK("https://fin.land.naver.com/articles/2651822681", "매물Link")</f>
        <v/>
      </c>
      <c r="R369" s="6">
        <f>HYPERLINK("https://map.naver.com/p/search/부강면 문곡리 140", "지도Link")</f>
        <v/>
      </c>
      <c r="S369" s="6">
        <f>HYPERLINK("http://www.eum.go.kr/web/ar/lu/luLandDet.jsp?pnu=3611033025101400000&amp;isNoScr=script&amp;mode=search", "토지이음")</f>
        <v/>
      </c>
      <c r="T369" s="3" t="inlineStr">
        <is>
          <t>미더스</t>
        </is>
      </c>
      <c r="U369" s="4" t="n">
        <v>3</v>
      </c>
      <c r="V369" s="5" t="n">
        <v>102.2</v>
      </c>
      <c r="W369" s="4" t="n">
        <v>3376</v>
      </c>
      <c r="X369" s="3" t="inlineStr">
        <is>
          <t>주건축물제1동</t>
        </is>
      </c>
      <c r="Y369" s="7" t="inlineStr">
        <is>
          <t>1층</t>
        </is>
      </c>
      <c r="Z369" s="3" t="inlineStr">
        <is>
          <t>일반철골구조</t>
        </is>
      </c>
      <c r="AA369" s="3" t="inlineStr">
        <is>
          <t>창고시설</t>
        </is>
      </c>
      <c r="AB369" s="3" t="inlineStr">
        <is>
          <t>12.45m</t>
        </is>
      </c>
      <c r="AC369" s="3" t="inlineStr">
        <is>
          <t>2015-03</t>
        </is>
      </c>
      <c r="AD369" s="3" t="inlineStr">
        <is>
          <t>소로한면</t>
        </is>
      </c>
    </row>
    <row r="370">
      <c r="A370" s="3" t="inlineStr">
        <is>
          <t>부강면 문곡리 140</t>
        </is>
      </c>
      <c r="B370" s="3" t="inlineStr">
        <is>
          <t>계획관리지역</t>
        </is>
      </c>
      <c r="C370" s="3" t="inlineStr">
        <is>
          <t>창고용지</t>
        </is>
      </c>
      <c r="D370" s="3" t="inlineStr">
        <is>
          <t>창고</t>
        </is>
      </c>
      <c r="E370" s="3" t="inlineStr">
        <is>
          <t>매매</t>
        </is>
      </c>
      <c r="F370" s="4" t="n">
        <v>750000</v>
      </c>
      <c r="G370" s="4" t="n">
        <v>0</v>
      </c>
      <c r="H370" s="4" t="n">
        <v>6153</v>
      </c>
      <c r="I370" s="4" t="n">
        <v>1861</v>
      </c>
      <c r="J370" s="5" t="n">
        <v>403</v>
      </c>
      <c r="K370" s="4" t="n">
        <v>2303</v>
      </c>
      <c r="L370" s="4" t="n">
        <v>697</v>
      </c>
      <c r="M370" s="5" t="n">
        <v>1076</v>
      </c>
      <c r="N370" s="3" t="inlineStr">
        <is>
          <t>1</t>
        </is>
      </c>
      <c r="O370" s="3" t="inlineStr">
        <is>
          <t>B1</t>
        </is>
      </c>
      <c r="P370" s="3" t="inlineStr">
        <is>
          <t>남청주IC 인근 창고, 대형차 진출입 용이</t>
        </is>
      </c>
      <c r="Q370" s="6">
        <f>HYPERLINK("https://fin.land.naver.com/articles/2649744370", "매물Link")</f>
        <v/>
      </c>
      <c r="R370" s="6">
        <f>HYPERLINK("https://map.naver.com/p/search/부강면 문곡리 140", "지도Link")</f>
        <v/>
      </c>
      <c r="S370" s="6">
        <f>HYPERLINK("http://www.eum.go.kr/web/ar/lu/luLandDet.jsp?pnu=3611033025101400000&amp;isNoScr=script&amp;mode=search", "토지이음")</f>
        <v/>
      </c>
      <c r="T370" s="3" t="inlineStr">
        <is>
          <t>라이프</t>
        </is>
      </c>
      <c r="U370" s="4" t="n">
        <v>1</v>
      </c>
      <c r="V370" s="5" t="n">
        <v>102.2</v>
      </c>
      <c r="W370" s="4" t="n">
        <v>3376</v>
      </c>
      <c r="X370" s="3" t="inlineStr">
        <is>
          <t>주건축물제1동</t>
        </is>
      </c>
      <c r="Y370" s="7" t="inlineStr">
        <is>
          <t>1층</t>
        </is>
      </c>
      <c r="Z370" s="3" t="inlineStr">
        <is>
          <t>일반철골구조</t>
        </is>
      </c>
      <c r="AA370" s="3" t="inlineStr">
        <is>
          <t>창고시설</t>
        </is>
      </c>
      <c r="AB370" s="3" t="inlineStr">
        <is>
          <t>12.45m</t>
        </is>
      </c>
      <c r="AC370" s="3" t="inlineStr">
        <is>
          <t>2015-03</t>
        </is>
      </c>
      <c r="AD370" s="3" t="inlineStr">
        <is>
          <t>소로한면</t>
        </is>
      </c>
    </row>
    <row r="371">
      <c r="A371" s="3" t="inlineStr">
        <is>
          <t>부강면 문곡리 154-2</t>
        </is>
      </c>
      <c r="B371" s="3" t="inlineStr">
        <is>
          <t>계획관리지역</t>
        </is>
      </c>
      <c r="C371" s="3" t="inlineStr">
        <is>
          <t>대</t>
        </is>
      </c>
      <c r="D371" s="3" t="inlineStr">
        <is>
          <t>공장</t>
        </is>
      </c>
      <c r="E371" s="3" t="inlineStr">
        <is>
          <t>매매</t>
        </is>
      </c>
      <c r="F371" s="4" t="n">
        <v>750000</v>
      </c>
      <c r="G371" s="4" t="n">
        <v>0</v>
      </c>
      <c r="H371" s="4" t="n">
        <v>4953</v>
      </c>
      <c r="I371" s="4" t="n">
        <v>1498</v>
      </c>
      <c r="J371" s="5" t="n">
        <v>500.7</v>
      </c>
      <c r="K371" s="4" t="n">
        <v>1543</v>
      </c>
      <c r="L371" s="4" t="n">
        <v>467</v>
      </c>
      <c r="M371" s="5" t="n">
        <v>1606</v>
      </c>
      <c r="N371" s="3" t="inlineStr">
        <is>
          <t>2</t>
        </is>
      </c>
      <c r="O371" s="3" t="inlineStr">
        <is>
          <t>B1</t>
        </is>
      </c>
      <c r="P371" s="3" t="inlineStr">
        <is>
          <t>남청주IC에서 가까워 대형차 진출입이 원활한 곳,증축 가능한 곳</t>
        </is>
      </c>
      <c r="Q371" s="6">
        <f>HYPERLINK("https://fin.land.naver.com/articles/2650626757", "매물Link")</f>
        <v/>
      </c>
      <c r="R371" s="6">
        <f>HYPERLINK("https://map.naver.com/p/search/부강면 문곡리 154-2", "지도Link")</f>
        <v/>
      </c>
      <c r="S371" s="6">
        <f>HYPERLINK("http://www.eum.go.kr/web/ar/lu/luLandDet.jsp?pnu=3611033025101540002&amp;isNoScr=script&amp;mode=search", "토지이음")</f>
        <v/>
      </c>
      <c r="T371" s="3" t="inlineStr">
        <is>
          <t>(주)미르</t>
        </is>
      </c>
      <c r="U371" s="4" t="n">
        <v>1</v>
      </c>
      <c r="V371" s="5" t="n">
        <v>141.2</v>
      </c>
      <c r="W371" s="4" t="n">
        <v>4953</v>
      </c>
      <c r="X371" s="3" t="inlineStr">
        <is>
          <t>주건축물제1동</t>
        </is>
      </c>
      <c r="Y371" s="7" t="inlineStr">
        <is>
          <t>2층</t>
        </is>
      </c>
      <c r="Z371" s="3" t="inlineStr">
        <is>
          <t>철근콘크리트구조</t>
        </is>
      </c>
      <c r="AA371" s="3" t="inlineStr">
        <is>
          <t>제1종근생</t>
        </is>
      </c>
      <c r="AB371" s="3" t="inlineStr">
        <is>
          <t>11.9m</t>
        </is>
      </c>
      <c r="AC371" s="3" t="inlineStr">
        <is>
          <t>2016-08</t>
        </is>
      </c>
      <c r="AD371" s="3" t="inlineStr">
        <is>
          <t>소로한면</t>
        </is>
      </c>
    </row>
    <row r="372">
      <c r="A372" s="3" t="inlineStr">
        <is>
          <t>부강면 문곡리 463-27</t>
        </is>
      </c>
      <c r="B372" s="3" t="inlineStr">
        <is>
          <t>계획관리지역</t>
        </is>
      </c>
      <c r="C372" s="3" t="inlineStr">
        <is>
          <t>공장용지</t>
        </is>
      </c>
      <c r="D372" s="3" t="inlineStr">
        <is>
          <t>공장</t>
        </is>
      </c>
      <c r="E372" s="3" t="inlineStr">
        <is>
          <t>매매</t>
        </is>
      </c>
      <c r="F372" s="4" t="n">
        <v>540000</v>
      </c>
      <c r="G372" s="4" t="n">
        <v>0</v>
      </c>
      <c r="H372" s="4" t="n">
        <v>5644</v>
      </c>
      <c r="I372" s="4" t="n">
        <v>1707</v>
      </c>
      <c r="J372" s="5" t="n">
        <v>316.3</v>
      </c>
      <c r="K372" s="4" t="n">
        <v>756</v>
      </c>
      <c r="L372" s="4" t="n">
        <v>229</v>
      </c>
      <c r="M372" s="5" t="n">
        <v>2358.1</v>
      </c>
      <c r="N372" s="3" t="inlineStr">
        <is>
          <t>1</t>
        </is>
      </c>
      <c r="O372" s="3" t="inlineStr">
        <is>
          <t>-</t>
        </is>
      </c>
      <c r="P372" s="3" t="inlineStr">
        <is>
          <t>남청주IC와 가깝고 대형차 진출입이 용이한 곳, 층고 11.5m</t>
        </is>
      </c>
      <c r="Q372" s="6">
        <f>HYPERLINK("https://fin.land.naver.com/articles/2654296468", "매물Link")</f>
        <v/>
      </c>
      <c r="R372" s="6">
        <f>HYPERLINK("https://map.naver.com/p/search/부강면 문곡리 463-27", "지도Link")</f>
        <v/>
      </c>
      <c r="S372" s="6">
        <f>HYPERLINK("http://www.eum.go.kr/web/ar/lu/luLandDet.jsp?pnu=3611033025104630027&amp;isNoScr=script&amp;mode=search", "토지이음")</f>
        <v/>
      </c>
      <c r="T372" s="3" t="inlineStr">
        <is>
          <t>(주)미르</t>
        </is>
      </c>
      <c r="U372" s="4" t="n">
        <v>1</v>
      </c>
      <c r="V372" s="5" t="n">
        <v>71.5</v>
      </c>
      <c r="W372" s="4" t="n">
        <v>3776</v>
      </c>
      <c r="X372" s="3" t="inlineStr">
        <is>
          <t>주1동</t>
        </is>
      </c>
      <c r="Y372" s="7" t="inlineStr">
        <is>
          <t>1층</t>
        </is>
      </c>
      <c r="Z372" s="3" t="inlineStr">
        <is>
          <t>일반철골구조</t>
        </is>
      </c>
      <c r="AA372" s="3" t="inlineStr">
        <is>
          <t>공장</t>
        </is>
      </c>
      <c r="AB372" s="3" t="inlineStr">
        <is>
          <t>11.45m</t>
        </is>
      </c>
      <c r="AC372" s="3" t="inlineStr">
        <is>
          <t>2018-07</t>
        </is>
      </c>
      <c r="AD372" s="3" t="inlineStr">
        <is>
          <t>세로한면(가)</t>
        </is>
      </c>
    </row>
    <row r="373">
      <c r="A373" s="3" t="inlineStr">
        <is>
          <t>부강면 문곡리 463-32</t>
        </is>
      </c>
      <c r="B373" s="3" t="inlineStr">
        <is>
          <t>계획관리지역</t>
        </is>
      </c>
      <c r="C373" s="3" t="inlineStr">
        <is>
          <t>공장용지</t>
        </is>
      </c>
      <c r="D373" s="3" t="inlineStr">
        <is>
          <t>공장</t>
        </is>
      </c>
      <c r="E373" s="3" t="inlineStr">
        <is>
          <t>매매</t>
        </is>
      </c>
      <c r="F373" s="4" t="n">
        <v>410000</v>
      </c>
      <c r="G373" s="4" t="n">
        <v>0</v>
      </c>
      <c r="H373" s="4" t="n">
        <v>5514</v>
      </c>
      <c r="I373" s="4" t="n">
        <v>1668</v>
      </c>
      <c r="J373" s="5" t="n">
        <v>245.8</v>
      </c>
      <c r="K373" s="4" t="n">
        <v>987</v>
      </c>
      <c r="L373" s="4" t="n">
        <v>299</v>
      </c>
      <c r="M373" s="5" t="n">
        <v>1371.2</v>
      </c>
      <c r="N373" s="3" t="inlineStr">
        <is>
          <t>1</t>
        </is>
      </c>
      <c r="O373" s="3" t="inlineStr">
        <is>
          <t>-</t>
        </is>
      </c>
      <c r="P373" s="3" t="inlineStr">
        <is>
          <t>남청주IC 인근에 있어 진출입이 용이하고 창고시설, 물류센터추천</t>
        </is>
      </c>
      <c r="Q373" s="6">
        <f>HYPERLINK("https://fin.land.naver.com/articles/2653676865", "매물Link")</f>
        <v/>
      </c>
      <c r="R373" s="6">
        <f>HYPERLINK("https://map.naver.com/p/search/부강면 문곡리 463-32", "지도Link")</f>
        <v/>
      </c>
      <c r="S373" s="6">
        <f>HYPERLINK("http://www.eum.go.kr/web/ar/lu/luLandDet.jsp?pnu=3611033025104630032&amp;isNoScr=script&amp;mode=search", "토지이음")</f>
        <v/>
      </c>
      <c r="T373" s="3" t="inlineStr">
        <is>
          <t>금화랜드</t>
        </is>
      </c>
      <c r="U373" s="4" t="n">
        <v>2</v>
      </c>
      <c r="V373" s="5" t="n">
        <v>74.3</v>
      </c>
      <c r="W373" s="4" t="n">
        <v>4900</v>
      </c>
      <c r="X373" s="3" t="inlineStr">
        <is>
          <t>주1동</t>
        </is>
      </c>
      <c r="Y373" s="7" t="inlineStr">
        <is>
          <t>1층</t>
        </is>
      </c>
      <c r="Z373" s="3" t="inlineStr">
        <is>
          <t>일반철골구조</t>
        </is>
      </c>
      <c r="AA373" s="3" t="inlineStr">
        <is>
          <t>공장</t>
        </is>
      </c>
      <c r="AB373" s="3" t="inlineStr">
        <is>
          <t>11.5m</t>
        </is>
      </c>
      <c r="AC373" s="3" t="inlineStr">
        <is>
          <t>2018-12</t>
        </is>
      </c>
      <c r="AD373" s="3" t="inlineStr">
        <is>
          <t>세로한면(가)</t>
        </is>
      </c>
    </row>
    <row r="374">
      <c r="A374" s="3" t="inlineStr">
        <is>
          <t>부강면 문곡리 680</t>
        </is>
      </c>
      <c r="B374" s="3" t="inlineStr">
        <is>
          <t>계획관리지역</t>
        </is>
      </c>
      <c r="C374" s="3" t="inlineStr">
        <is>
          <t>잡종지</t>
        </is>
      </c>
      <c r="D374" s="3" t="inlineStr">
        <is>
          <t>창고</t>
        </is>
      </c>
      <c r="E374" s="3" t="inlineStr">
        <is>
          <t>매매</t>
        </is>
      </c>
      <c r="F374" s="4" t="n">
        <v>1800000</v>
      </c>
      <c r="G374" s="4" t="n">
        <v>0</v>
      </c>
      <c r="H374" s="4" t="n">
        <v>17618</v>
      </c>
      <c r="I374" s="4" t="n">
        <v>5329</v>
      </c>
      <c r="J374" s="5" t="n">
        <v>337.8</v>
      </c>
      <c r="K374" s="4" t="n">
        <v>4986</v>
      </c>
      <c r="L374" s="4" t="n">
        <v>1508</v>
      </c>
      <c r="M374" s="5" t="n">
        <v>1193.6</v>
      </c>
      <c r="N374" s="3" t="inlineStr">
        <is>
          <t>2</t>
        </is>
      </c>
      <c r="O374" s="3" t="inlineStr">
        <is>
          <t>-</t>
        </is>
      </c>
      <c r="P374" s="3" t="inlineStr">
        <is>
          <t>남청주ic 5분 거리이며 2차선도로 접한 대형물류창고 도크시설 완비</t>
        </is>
      </c>
      <c r="Q374" s="6">
        <f>HYPERLINK("https://fin.land.naver.com/articles/2654180971", "매물Link")</f>
        <v/>
      </c>
      <c r="R374" s="6">
        <f>HYPERLINK("https://map.naver.com/p/search/부강면 문곡리 680", "지도Link")</f>
        <v/>
      </c>
      <c r="S374" s="6">
        <f>HYPERLINK("http://www.eum.go.kr/web/ar/lu/luLandDet.jsp?pnu=3611033025106800000&amp;isNoScr=script&amp;mode=search", "토지이음")</f>
        <v/>
      </c>
      <c r="T374" s="3" t="inlineStr">
        <is>
          <t>더원</t>
        </is>
      </c>
      <c r="U374" s="4" t="n">
        <v>1</v>
      </c>
      <c r="V374" s="5" t="n">
        <v>97.40000000000001</v>
      </c>
      <c r="W374" s="4" t="n">
        <v>17308</v>
      </c>
      <c r="X374" s="3" t="inlineStr">
        <is>
          <t>미표기</t>
        </is>
      </c>
      <c r="Y374" s="7" t="inlineStr">
        <is>
          <t>2층</t>
        </is>
      </c>
      <c r="Z374" s="3" t="inlineStr">
        <is>
          <t>일반철골구조</t>
        </is>
      </c>
      <c r="AA374" s="3" t="inlineStr">
        <is>
          <t>창고시설</t>
        </is>
      </c>
      <c r="AB374" s="3" t="inlineStr">
        <is>
          <t>10.8m</t>
        </is>
      </c>
      <c r="AC374" s="3" t="inlineStr">
        <is>
          <t>1999-10</t>
        </is>
      </c>
      <c r="AD374" s="3" t="inlineStr">
        <is>
          <t>소로한면</t>
        </is>
      </c>
    </row>
    <row r="375">
      <c r="A375" s="3" t="inlineStr">
        <is>
          <t>부강면 문곡리 680</t>
        </is>
      </c>
      <c r="B375" s="3" t="inlineStr">
        <is>
          <t>계획관리지역</t>
        </is>
      </c>
      <c r="C375" s="3" t="inlineStr">
        <is>
          <t>잡종지</t>
        </is>
      </c>
      <c r="D375" s="3" t="inlineStr">
        <is>
          <t>창고</t>
        </is>
      </c>
      <c r="E375" s="3" t="inlineStr">
        <is>
          <t>매매</t>
        </is>
      </c>
      <c r="F375" s="4" t="n">
        <v>1800000</v>
      </c>
      <c r="G375" s="4" t="n">
        <v>0</v>
      </c>
      <c r="H375" s="4" t="n">
        <v>17308</v>
      </c>
      <c r="I375" s="4" t="n">
        <v>5236</v>
      </c>
      <c r="J375" s="5" t="n">
        <v>343.8</v>
      </c>
      <c r="K375" s="4" t="n">
        <v>49869</v>
      </c>
      <c r="L375" s="4" t="n">
        <v>15085</v>
      </c>
      <c r="M375" s="5" t="n">
        <v>119.3</v>
      </c>
      <c r="N375" s="3" t="inlineStr">
        <is>
          <t>2</t>
        </is>
      </c>
      <c r="O375" s="3" t="inlineStr">
        <is>
          <t>-</t>
        </is>
      </c>
      <c r="P375" s="3" t="inlineStr">
        <is>
          <t>남청주ic 접근성양호하며 물류전문 창고로 추천드립니다</t>
        </is>
      </c>
      <c r="Q375" s="6">
        <f>HYPERLINK("https://fin.land.naver.com/articles/2652649229", "매물Link")</f>
        <v/>
      </c>
      <c r="R375" s="6">
        <f>HYPERLINK("https://map.naver.com/p/search/부강면 문곡리 680", "지도Link")</f>
        <v/>
      </c>
      <c r="S375" s="6">
        <f>HYPERLINK("http://www.eum.go.kr/web/ar/lu/luLandDet.jsp?pnu=3611033025106800000&amp;isNoScr=script&amp;mode=search", "토지이음")</f>
        <v/>
      </c>
      <c r="T375" s="3" t="inlineStr">
        <is>
          <t>대박</t>
        </is>
      </c>
      <c r="U375" s="4" t="n">
        <v>2</v>
      </c>
      <c r="V375" s="5" t="n">
        <v>97.40000000000001</v>
      </c>
      <c r="W375" s="4" t="n">
        <v>17308</v>
      </c>
      <c r="X375" s="3" t="inlineStr">
        <is>
          <t>미표기</t>
        </is>
      </c>
      <c r="Y375" s="7" t="inlineStr">
        <is>
          <t>2층</t>
        </is>
      </c>
      <c r="Z375" s="3" t="inlineStr">
        <is>
          <t>일반철골구조</t>
        </is>
      </c>
      <c r="AA375" s="3" t="inlineStr">
        <is>
          <t>창고시설</t>
        </is>
      </c>
      <c r="AB375" s="3" t="inlineStr">
        <is>
          <t>10.8m</t>
        </is>
      </c>
      <c r="AC375" s="3" t="inlineStr">
        <is>
          <t>1999-10</t>
        </is>
      </c>
      <c r="AD375" s="3" t="inlineStr">
        <is>
          <t>소로한면</t>
        </is>
      </c>
    </row>
    <row r="376">
      <c r="A376" s="3" t="inlineStr">
        <is>
          <t>부강면 문곡리 680</t>
        </is>
      </c>
      <c r="B376" s="3" t="inlineStr">
        <is>
          <t>계획관리지역</t>
        </is>
      </c>
      <c r="C376" s="3" t="inlineStr">
        <is>
          <t>잡종지</t>
        </is>
      </c>
      <c r="D376" s="3" t="inlineStr">
        <is>
          <t>창고</t>
        </is>
      </c>
      <c r="E376" s="3" t="inlineStr">
        <is>
          <t>매매</t>
        </is>
      </c>
      <c r="F376" s="4" t="n">
        <v>1800000</v>
      </c>
      <c r="G376" s="4" t="n">
        <v>0</v>
      </c>
      <c r="H376" s="4" t="n">
        <v>17618</v>
      </c>
      <c r="I376" s="4" t="n">
        <v>5329</v>
      </c>
      <c r="J376" s="5" t="n">
        <v>337.8</v>
      </c>
      <c r="K376" s="4" t="n">
        <v>4986</v>
      </c>
      <c r="L376" s="4" t="n">
        <v>1508</v>
      </c>
      <c r="M376" s="5" t="n">
        <v>1193.6</v>
      </c>
      <c r="N376" s="3" t="inlineStr">
        <is>
          <t>2</t>
        </is>
      </c>
      <c r="O376" s="3" t="inlineStr">
        <is>
          <t>-</t>
        </is>
      </c>
      <c r="P376" s="3" t="inlineStr">
        <is>
          <t>사진有 물류창고 매매</t>
        </is>
      </c>
      <c r="Q376" s="6">
        <f>HYPERLINK("https://fin.land.naver.com/articles/2649599413", "매물Link")</f>
        <v/>
      </c>
      <c r="R376" s="6">
        <f>HYPERLINK("https://map.naver.com/p/search/부강면 문곡리 680", "지도Link")</f>
        <v/>
      </c>
      <c r="S376" s="6">
        <f>HYPERLINK("http://www.eum.go.kr/web/ar/lu/luLandDet.jsp?pnu=3611033025106800000&amp;isNoScr=script&amp;mode=search", "토지이음")</f>
        <v/>
      </c>
      <c r="T376" s="3" t="inlineStr">
        <is>
          <t>월드</t>
        </is>
      </c>
      <c r="U376" s="4" t="n">
        <v>1</v>
      </c>
      <c r="V376" s="5" t="n">
        <v>97.40000000000001</v>
      </c>
      <c r="W376" s="4" t="n">
        <v>17308</v>
      </c>
      <c r="X376" s="3" t="inlineStr">
        <is>
          <t>미표기</t>
        </is>
      </c>
      <c r="Y376" s="7" t="inlineStr">
        <is>
          <t>2층</t>
        </is>
      </c>
      <c r="Z376" s="3" t="inlineStr">
        <is>
          <t>일반철골구조</t>
        </is>
      </c>
      <c r="AA376" s="3" t="inlineStr">
        <is>
          <t>창고시설</t>
        </is>
      </c>
      <c r="AB376" s="3" t="inlineStr">
        <is>
          <t>10.8m</t>
        </is>
      </c>
      <c r="AC376" s="3" t="inlineStr">
        <is>
          <t>1999-10</t>
        </is>
      </c>
      <c r="AD376" s="3" t="inlineStr">
        <is>
          <t>소로한면</t>
        </is>
      </c>
    </row>
    <row r="377">
      <c r="A377" s="3" t="inlineStr">
        <is>
          <t>부강면 문곡리 729</t>
        </is>
      </c>
      <c r="B377" s="3" t="inlineStr">
        <is>
          <t>계획관리지역</t>
        </is>
      </c>
      <c r="C377" s="3" t="inlineStr">
        <is>
          <t>대</t>
        </is>
      </c>
      <c r="D377" s="3" t="inlineStr">
        <is>
          <t>창고</t>
        </is>
      </c>
      <c r="E377" s="3" t="inlineStr">
        <is>
          <t>월세</t>
        </is>
      </c>
      <c r="F377" s="4" t="n">
        <v>1500</v>
      </c>
      <c r="G377" s="4" t="n">
        <v>140</v>
      </c>
      <c r="H377" s="4" t="n">
        <v>2499</v>
      </c>
      <c r="I377" s="4" t="n">
        <v>756</v>
      </c>
      <c r="J377" s="5" t="n">
        <v>0.2</v>
      </c>
      <c r="K377" s="4" t="n">
        <v>195</v>
      </c>
      <c r="L377" s="4" t="n">
        <v>59</v>
      </c>
      <c r="M377" s="5" t="n">
        <v>2.4</v>
      </c>
      <c r="N377" s="3" t="inlineStr">
        <is>
          <t>1</t>
        </is>
      </c>
      <c r="O377" s="3" t="inlineStr">
        <is>
          <t>-</t>
        </is>
      </c>
      <c r="P377" s="3" t="inlineStr">
        <is>
          <t>교통편리한 부강면 저렴한 소형창고 임대</t>
        </is>
      </c>
      <c r="Q377" s="6">
        <f>HYPERLINK("https://fin.land.naver.com/articles/2653277043", "매물Link")</f>
        <v/>
      </c>
      <c r="R377" s="6">
        <f>HYPERLINK("https://map.naver.com/p/search/부강면 문곡리 729", "지도Link")</f>
        <v/>
      </c>
      <c r="S377" s="6">
        <f>HYPERLINK("http://www.eum.go.kr/web/ar/lu/luLandDet.jsp?pnu=3611033025107290000&amp;isNoScr=script&amp;mode=search", "토지이음")</f>
        <v/>
      </c>
      <c r="T377" s="3" t="inlineStr">
        <is>
          <t>세종행복한</t>
        </is>
      </c>
      <c r="U377" s="4" t="n">
        <v>1</v>
      </c>
      <c r="V377" s="5" t="n">
        <v>144.5</v>
      </c>
      <c r="W377" s="4" t="n">
        <v>2499</v>
      </c>
      <c r="X377" s="3" t="inlineStr">
        <is>
          <t>주건축물제1동</t>
        </is>
      </c>
      <c r="Y377" s="7" t="inlineStr">
        <is>
          <t>1층</t>
        </is>
      </c>
      <c r="Z377" s="3" t="inlineStr">
        <is>
          <t>일반철골구조</t>
        </is>
      </c>
      <c r="AA377" s="3" t="inlineStr">
        <is>
          <t>제1종근생</t>
        </is>
      </c>
      <c r="AB377" s="3" t="inlineStr">
        <is>
          <t>8.62m</t>
        </is>
      </c>
      <c r="AC377" s="3" t="inlineStr">
        <is>
          <t>2018-12</t>
        </is>
      </c>
      <c r="AD377" s="3" t="inlineStr">
        <is>
          <t>소로한면</t>
        </is>
      </c>
    </row>
    <row r="378">
      <c r="A378" s="3" t="inlineStr">
        <is>
          <t>부강면 문곡리 729</t>
        </is>
      </c>
      <c r="B378" s="3" t="inlineStr">
        <is>
          <t>계획관리지역</t>
        </is>
      </c>
      <c r="C378" s="3" t="inlineStr">
        <is>
          <t>대</t>
        </is>
      </c>
      <c r="D378" s="3" t="inlineStr">
        <is>
          <t>창고</t>
        </is>
      </c>
      <c r="E378" s="3" t="inlineStr">
        <is>
          <t>월세</t>
        </is>
      </c>
      <c r="F378" s="4" t="n">
        <v>1500</v>
      </c>
      <c r="G378" s="4" t="n">
        <v>140</v>
      </c>
      <c r="H378" s="4" t="n">
        <v>2499</v>
      </c>
      <c r="I378" s="4" t="n">
        <v>756</v>
      </c>
      <c r="J378" s="5" t="n">
        <v>0.2</v>
      </c>
      <c r="K378" s="4" t="n">
        <v>195</v>
      </c>
      <c r="L378" s="4" t="n">
        <v>59</v>
      </c>
      <c r="M378" s="5" t="n">
        <v>2.4</v>
      </c>
      <c r="N378" s="3" t="inlineStr">
        <is>
          <t>1</t>
        </is>
      </c>
      <c r="O378" s="3" t="inlineStr">
        <is>
          <t>-</t>
        </is>
      </c>
      <c r="P378" s="3" t="inlineStr">
        <is>
          <t>사진0, 제조업 가능하고 대형차량 진입 자유로운 창고임대</t>
        </is>
      </c>
      <c r="Q378" s="6">
        <f>HYPERLINK("https://fin.land.naver.com/articles/2649726439", "매물Link")</f>
        <v/>
      </c>
      <c r="R378" s="6">
        <f>HYPERLINK("https://map.naver.com/p/search/부강면 문곡리 729", "지도Link")</f>
        <v/>
      </c>
      <c r="S378" s="6">
        <f>HYPERLINK("http://www.eum.go.kr/web/ar/lu/luLandDet.jsp?pnu=3611033025107290000&amp;isNoScr=script&amp;mode=search", "토지이음")</f>
        <v/>
      </c>
      <c r="T378" s="3" t="inlineStr">
        <is>
          <t>비전</t>
        </is>
      </c>
      <c r="U378" s="4" t="n">
        <v>1</v>
      </c>
      <c r="V378" s="5" t="n">
        <v>144.5</v>
      </c>
      <c r="W378" s="4" t="n">
        <v>2499</v>
      </c>
      <c r="X378" s="3" t="inlineStr">
        <is>
          <t>주건축물제1동</t>
        </is>
      </c>
      <c r="Y378" s="7" t="inlineStr">
        <is>
          <t>1층</t>
        </is>
      </c>
      <c r="Z378" s="3" t="inlineStr">
        <is>
          <t>일반철골구조</t>
        </is>
      </c>
      <c r="AA378" s="3" t="inlineStr">
        <is>
          <t>제1종근생</t>
        </is>
      </c>
      <c r="AB378" s="3" t="inlineStr">
        <is>
          <t>8.62m</t>
        </is>
      </c>
      <c r="AC378" s="3" t="inlineStr">
        <is>
          <t>2018-12</t>
        </is>
      </c>
      <c r="AD378" s="3" t="inlineStr">
        <is>
          <t>소로한면</t>
        </is>
      </c>
    </row>
    <row r="379">
      <c r="A379" s="3" t="inlineStr">
        <is>
          <t>부강면 문곡리 729</t>
        </is>
      </c>
      <c r="B379" s="3" t="inlineStr">
        <is>
          <t>계획관리지역</t>
        </is>
      </c>
      <c r="C379" s="3" t="inlineStr">
        <is>
          <t>대</t>
        </is>
      </c>
      <c r="D379" s="3" t="inlineStr">
        <is>
          <t>창고</t>
        </is>
      </c>
      <c r="E379" s="3" t="inlineStr">
        <is>
          <t>월세</t>
        </is>
      </c>
      <c r="F379" s="4" t="n">
        <v>1500</v>
      </c>
      <c r="G379" s="4" t="n">
        <v>140</v>
      </c>
      <c r="H379" s="4" t="n">
        <v>195</v>
      </c>
      <c r="I379" s="4" t="n">
        <v>59</v>
      </c>
      <c r="J379" s="5" t="n">
        <v>2.4</v>
      </c>
      <c r="K379" s="4" t="n">
        <v>195</v>
      </c>
      <c r="L379" s="4" t="n">
        <v>59</v>
      </c>
      <c r="M379" s="5" t="n">
        <v>2.4</v>
      </c>
      <c r="N379" s="3" t="inlineStr">
        <is>
          <t>1</t>
        </is>
      </c>
      <c r="O379" s="3" t="inlineStr">
        <is>
          <t>B1</t>
        </is>
      </c>
      <c r="P379" s="3" t="inlineStr">
        <is>
          <t>10월중순 입주협의, 2개동까지 임대 가능, 연청로 근접</t>
        </is>
      </c>
      <c r="Q379" s="6">
        <f>HYPERLINK("https://fin.land.naver.com/articles/2649933957", "매물Link")</f>
        <v/>
      </c>
      <c r="R379" s="6">
        <f>HYPERLINK("https://map.naver.com/p/search/부강면 문곡리 729", "지도Link")</f>
        <v/>
      </c>
      <c r="S379" s="6">
        <f>HYPERLINK("http://www.eum.go.kr/web/ar/lu/luLandDet.jsp?pnu=3611033025107290000&amp;isNoScr=script&amp;mode=search", "토지이음")</f>
        <v/>
      </c>
      <c r="T379" s="3" t="inlineStr">
        <is>
          <t>세종잘하는</t>
        </is>
      </c>
      <c r="U379" s="4" t="n">
        <v>1</v>
      </c>
      <c r="V379" s="5" t="n">
        <v>144.5</v>
      </c>
      <c r="W379" s="4" t="n">
        <v>2499</v>
      </c>
      <c r="X379" s="3" t="inlineStr">
        <is>
          <t>주건축물제1동</t>
        </is>
      </c>
      <c r="Y379" s="7" t="inlineStr">
        <is>
          <t>1층</t>
        </is>
      </c>
      <c r="Z379" s="3" t="inlineStr">
        <is>
          <t>일반철골구조</t>
        </is>
      </c>
      <c r="AA379" s="3" t="inlineStr">
        <is>
          <t>제1종근생</t>
        </is>
      </c>
      <c r="AB379" s="3" t="inlineStr">
        <is>
          <t>8.62m</t>
        </is>
      </c>
      <c r="AC379" s="3" t="inlineStr">
        <is>
          <t>2018-12</t>
        </is>
      </c>
      <c r="AD379" s="3" t="inlineStr">
        <is>
          <t>소로한면</t>
        </is>
      </c>
    </row>
    <row r="380">
      <c r="A380" s="3" t="inlineStr">
        <is>
          <t>부강면 문곡리 729</t>
        </is>
      </c>
      <c r="B380" s="3" t="inlineStr">
        <is>
          <t>계획관리지역</t>
        </is>
      </c>
      <c r="C380" s="3" t="inlineStr">
        <is>
          <t>대</t>
        </is>
      </c>
      <c r="D380" s="3" t="inlineStr">
        <is>
          <t>창고</t>
        </is>
      </c>
      <c r="E380" s="3" t="inlineStr">
        <is>
          <t>월세</t>
        </is>
      </c>
      <c r="F380" s="4" t="n">
        <v>1500</v>
      </c>
      <c r="G380" s="4" t="n">
        <v>140</v>
      </c>
      <c r="H380" s="4" t="n">
        <v>2499</v>
      </c>
      <c r="I380" s="4" t="n">
        <v>756</v>
      </c>
      <c r="J380" s="5" t="n">
        <v>0.2</v>
      </c>
      <c r="K380" s="4" t="n">
        <v>195</v>
      </c>
      <c r="L380" s="4" t="n">
        <v>59</v>
      </c>
      <c r="M380" s="5" t="n">
        <v>2.4</v>
      </c>
      <c r="N380" s="3" t="inlineStr">
        <is>
          <t>1</t>
        </is>
      </c>
      <c r="O380" s="3" t="inlineStr">
        <is>
          <t>-</t>
        </is>
      </c>
      <c r="P380" s="3" t="inlineStr">
        <is>
          <t>진출입편리한 남청주인근 소형창고</t>
        </is>
      </c>
      <c r="Q380" s="6">
        <f>HYPERLINK("https://fin.land.naver.com/articles/2649562576", "매물Link")</f>
        <v/>
      </c>
      <c r="R380" s="6">
        <f>HYPERLINK("https://map.naver.com/p/search/부강면 문곡리 729", "지도Link")</f>
        <v/>
      </c>
      <c r="S380" s="6">
        <f>HYPERLINK("http://www.eum.go.kr/web/ar/lu/luLandDet.jsp?pnu=3611033025107290000&amp;isNoScr=script&amp;mode=search", "토지이음")</f>
        <v/>
      </c>
      <c r="T380" s="3" t="inlineStr">
        <is>
          <t>창고의여왕</t>
        </is>
      </c>
      <c r="U380" s="4" t="n">
        <v>1</v>
      </c>
      <c r="V380" s="5" t="n">
        <v>144.5</v>
      </c>
      <c r="W380" s="4" t="n">
        <v>2499</v>
      </c>
      <c r="X380" s="3" t="inlineStr">
        <is>
          <t>주건축물제1동</t>
        </is>
      </c>
      <c r="Y380" s="7" t="inlineStr">
        <is>
          <t>1층</t>
        </is>
      </c>
      <c r="Z380" s="3" t="inlineStr">
        <is>
          <t>일반철골구조</t>
        </is>
      </c>
      <c r="AA380" s="3" t="inlineStr">
        <is>
          <t>제1종근생</t>
        </is>
      </c>
      <c r="AB380" s="3" t="inlineStr">
        <is>
          <t>8.62m</t>
        </is>
      </c>
      <c r="AC380" s="3" t="inlineStr">
        <is>
          <t>2018-12</t>
        </is>
      </c>
      <c r="AD380" s="3" t="inlineStr">
        <is>
          <t>소로한면</t>
        </is>
      </c>
    </row>
    <row r="381">
      <c r="A381" s="3" t="inlineStr">
        <is>
          <t>부강면 문곡리 729-2</t>
        </is>
      </c>
      <c r="B381" s="3" t="inlineStr">
        <is>
          <t>계획관리지역</t>
        </is>
      </c>
      <c r="C381" s="3" t="inlineStr">
        <is>
          <t>대</t>
        </is>
      </c>
      <c r="D381" s="3" t="inlineStr">
        <is>
          <t>창고</t>
        </is>
      </c>
      <c r="E381" s="3" t="inlineStr">
        <is>
          <t>월세</t>
        </is>
      </c>
      <c r="F381" s="4" t="n">
        <v>2000</v>
      </c>
      <c r="G381" s="4" t="n">
        <v>140</v>
      </c>
      <c r="H381" s="4" t="n">
        <v>1149</v>
      </c>
      <c r="I381" s="4" t="n">
        <v>348</v>
      </c>
      <c r="J381" s="5" t="n">
        <v>0.4</v>
      </c>
      <c r="K381" s="4" t="n">
        <v>176</v>
      </c>
      <c r="L381" s="4" t="n">
        <v>53</v>
      </c>
      <c r="M381" s="5" t="n">
        <v>2.6</v>
      </c>
      <c r="N381" s="3" t="inlineStr">
        <is>
          <t>1</t>
        </is>
      </c>
      <c r="O381" s="3" t="inlineStr">
        <is>
          <t>-</t>
        </is>
      </c>
      <c r="P381" s="3" t="inlineStr">
        <is>
          <t>2차선도로변접한위치의 소형창고 소매점 창고가능 남청주ic 5분거리</t>
        </is>
      </c>
      <c r="Q381" s="6">
        <f>HYPERLINK("https://fin.land.naver.com/articles/2654184143", "매물Link")</f>
        <v/>
      </c>
      <c r="R381" s="6">
        <f>HYPERLINK("https://map.naver.com/p/search/부강면 문곡리 729-2", "지도Link")</f>
        <v/>
      </c>
      <c r="S381" s="6">
        <f>HYPERLINK("http://www.eum.go.kr/web/ar/lu/luLandDet.jsp?pnu=3611033025107290002&amp;isNoScr=script&amp;mode=search", "토지이음")</f>
        <v/>
      </c>
      <c r="T381" s="3" t="inlineStr">
        <is>
          <t>더원</t>
        </is>
      </c>
      <c r="U381" s="4" t="n">
        <v>1</v>
      </c>
      <c r="V381" s="5" t="n">
        <v>137.6</v>
      </c>
      <c r="W381" s="4" t="n">
        <v>1149</v>
      </c>
      <c r="X381" s="3" t="inlineStr">
        <is>
          <t>미표기</t>
        </is>
      </c>
      <c r="Y381" s="7" t="inlineStr">
        <is>
          <t>1층</t>
        </is>
      </c>
      <c r="Z381" s="3" t="inlineStr">
        <is>
          <t>경량철골구조</t>
        </is>
      </c>
      <c r="AA381" s="3" t="inlineStr">
        <is>
          <t>제1종근생</t>
        </is>
      </c>
      <c r="AB381" s="3" t="inlineStr">
        <is>
          <t>7.5m</t>
        </is>
      </c>
      <c r="AC381" s="3" t="inlineStr">
        <is>
          <t>2024-11</t>
        </is>
      </c>
      <c r="AD381" s="3" t="inlineStr">
        <is>
          <t>소로한면</t>
        </is>
      </c>
    </row>
    <row r="382">
      <c r="A382" s="3" t="inlineStr">
        <is>
          <t>부강면 문곡리 769-1</t>
        </is>
      </c>
      <c r="B382" s="3" t="inlineStr">
        <is>
          <t>계획관리지역</t>
        </is>
      </c>
      <c r="C382" s="3" t="inlineStr">
        <is>
          <t>공장용지</t>
        </is>
      </c>
      <c r="D382" s="3" t="inlineStr">
        <is>
          <t>공장</t>
        </is>
      </c>
      <c r="E382" s="3" t="inlineStr">
        <is>
          <t>매매</t>
        </is>
      </c>
      <c r="F382" s="4" t="n">
        <v>210000</v>
      </c>
      <c r="G382" s="4" t="n">
        <v>0</v>
      </c>
      <c r="H382" s="4" t="n">
        <v>5456</v>
      </c>
      <c r="I382" s="4" t="n">
        <v>1650</v>
      </c>
      <c r="J382" s="5" t="n">
        <v>127.3</v>
      </c>
      <c r="K382" s="4" t="n">
        <v>1133</v>
      </c>
      <c r="L382" s="4" t="n">
        <v>343</v>
      </c>
      <c r="M382" s="5" t="n">
        <v>612.2</v>
      </c>
      <c r="N382" s="3" t="inlineStr">
        <is>
          <t>1</t>
        </is>
      </c>
      <c r="O382" s="3" t="inlineStr">
        <is>
          <t>-</t>
        </is>
      </c>
      <c r="P382" s="3" t="inlineStr">
        <is>
          <t>남청주IC 5분거리,대형차량 진출입 편리,민원 걱정 없는곳</t>
        </is>
      </c>
      <c r="Q382" s="6">
        <f>HYPERLINK("https://fin.land.naver.com/articles/2651904463", "매물Link")</f>
        <v/>
      </c>
      <c r="R382" s="6">
        <f>HYPERLINK("https://map.naver.com/p/search/부강면 문곡리 769-1", "지도Link")</f>
        <v/>
      </c>
      <c r="S382" s="6">
        <f>HYPERLINK("http://www.eum.go.kr/web/ar/lu/luLandDet.jsp?pnu=3611033025107690001&amp;isNoScr=script&amp;mode=search", "토지이음")</f>
        <v/>
      </c>
      <c r="T382" s="3" t="inlineStr">
        <is>
          <t>금화랜드</t>
        </is>
      </c>
      <c r="U382" s="4" t="n">
        <v>1</v>
      </c>
      <c r="V382" s="5" t="n">
        <v>79</v>
      </c>
      <c r="W382" s="4" t="n">
        <v>2915</v>
      </c>
      <c r="X382" s="3" t="inlineStr">
        <is>
          <t>미표기</t>
        </is>
      </c>
      <c r="Y382" s="7" t="inlineStr">
        <is>
          <t>1층</t>
        </is>
      </c>
      <c r="Z382" s="3" t="inlineStr">
        <is>
          <t>일반철골구조</t>
        </is>
      </c>
      <c r="AA382" s="3" t="inlineStr">
        <is>
          <t>공장</t>
        </is>
      </c>
      <c r="AB382" s="3" t="inlineStr">
        <is>
          <t>8.5m</t>
        </is>
      </c>
      <c r="AC382" s="3" t="inlineStr">
        <is>
          <t>2007-07</t>
        </is>
      </c>
      <c r="AD382" s="3" t="inlineStr">
        <is>
          <t>세로한면(가)</t>
        </is>
      </c>
    </row>
    <row r="383">
      <c r="A383" s="3" t="inlineStr">
        <is>
          <t>부강면 문곡리 903</t>
        </is>
      </c>
      <c r="B383" s="3" t="inlineStr">
        <is>
          <t>계획관리지역</t>
        </is>
      </c>
      <c r="C383" s="3" t="inlineStr">
        <is>
          <t>공장용지</t>
        </is>
      </c>
      <c r="D383" s="3" t="inlineStr">
        <is>
          <t>공장</t>
        </is>
      </c>
      <c r="E383" s="3" t="inlineStr">
        <is>
          <t>매매</t>
        </is>
      </c>
      <c r="F383" s="4" t="n">
        <v>110000</v>
      </c>
      <c r="G383" s="4" t="n">
        <v>0</v>
      </c>
      <c r="H383" s="4" t="n">
        <v>1314</v>
      </c>
      <c r="I383" s="4" t="n">
        <v>397</v>
      </c>
      <c r="J383" s="5" t="n">
        <v>277.1</v>
      </c>
      <c r="K383" s="4" t="n">
        <v>446</v>
      </c>
      <c r="L383" s="4" t="n">
        <v>135</v>
      </c>
      <c r="M383" s="5" t="n">
        <v>814.8</v>
      </c>
      <c r="N383" s="3" t="inlineStr">
        <is>
          <t>1</t>
        </is>
      </c>
      <c r="O383" s="3" t="inlineStr">
        <is>
          <t>-</t>
        </is>
      </c>
      <c r="P383" s="3" t="inlineStr">
        <is>
          <t>남청주 IC 인근 대형차 진출입 가능한 공장 및 창고</t>
        </is>
      </c>
      <c r="Q383" s="6">
        <f>HYPERLINK("https://fin.land.naver.com/articles/2653822856", "매물Link")</f>
        <v/>
      </c>
      <c r="R383" s="6">
        <f>HYPERLINK("https://map.naver.com/p/search/부강면 문곡리 903", "지도Link")</f>
        <v/>
      </c>
      <c r="S383" s="6">
        <f>HYPERLINK("http://www.eum.go.kr/web/ar/lu/luLandDet.jsp?pnu=3611033025109030000&amp;isNoScr=script&amp;mode=search", "토지이음")</f>
        <v/>
      </c>
      <c r="T383" s="3" t="inlineStr">
        <is>
          <t>대전토지로무소</t>
        </is>
      </c>
      <c r="U383" s="4" t="n">
        <v>1</v>
      </c>
      <c r="V383" s="5" t="n">
        <v>80.59999999999999</v>
      </c>
      <c r="W383" s="4" t="n">
        <v>1314</v>
      </c>
      <c r="X383" s="3" t="inlineStr">
        <is>
          <t>주건축물제1동</t>
        </is>
      </c>
      <c r="Y383" s="7" t="inlineStr">
        <is>
          <t>1층</t>
        </is>
      </c>
      <c r="Z383" s="3" t="inlineStr">
        <is>
          <t>일반철골구조</t>
        </is>
      </c>
      <c r="AA383" s="3" t="inlineStr">
        <is>
          <t>제2종근생</t>
        </is>
      </c>
      <c r="AB383" s="3" t="inlineStr">
        <is>
          <t>8.9m</t>
        </is>
      </c>
      <c r="AC383" s="3" t="inlineStr">
        <is>
          <t>2022-02</t>
        </is>
      </c>
      <c r="AD383" s="3" t="inlineStr">
        <is>
          <t>세로한면(가)</t>
        </is>
      </c>
    </row>
    <row r="384">
      <c r="A384" s="3" t="inlineStr">
        <is>
          <t>부강면 문곡리 904-4</t>
        </is>
      </c>
      <c r="B384" s="3" t="inlineStr">
        <is>
          <t>계획관리지역</t>
        </is>
      </c>
      <c r="C384" s="3" t="inlineStr">
        <is>
          <t>공장용지</t>
        </is>
      </c>
      <c r="D384" s="3" t="inlineStr">
        <is>
          <t>공장</t>
        </is>
      </c>
      <c r="E384" s="3" t="inlineStr">
        <is>
          <t>월세</t>
        </is>
      </c>
      <c r="F384" s="4" t="n">
        <v>2000</v>
      </c>
      <c r="G384" s="4" t="n">
        <v>245</v>
      </c>
      <c r="H384" s="4" t="n">
        <v>1326</v>
      </c>
      <c r="I384" s="4" t="n">
        <v>401</v>
      </c>
      <c r="J384" s="5" t="n">
        <v>0.6</v>
      </c>
      <c r="K384" s="4" t="n">
        <v>929</v>
      </c>
      <c r="L384" s="4" t="n">
        <v>281</v>
      </c>
      <c r="M384" s="5" t="n">
        <v>0.9</v>
      </c>
      <c r="N384" s="3" t="inlineStr">
        <is>
          <t>2</t>
        </is>
      </c>
      <c r="O384" s="3" t="inlineStr">
        <is>
          <t>-</t>
        </is>
      </c>
      <c r="P384" s="3" t="inlineStr">
        <is>
          <t>1층 창고, 2층 제조업소 각 임대 가능</t>
        </is>
      </c>
      <c r="Q384" s="6">
        <f>HYPERLINK("https://fin.land.naver.com/articles/2653531252", "매물Link")</f>
        <v/>
      </c>
      <c r="R384" s="6">
        <f>HYPERLINK("https://map.naver.com/p/search/부강면 문곡리 904-4", "지도Link")</f>
        <v/>
      </c>
      <c r="S384" s="6">
        <f>HYPERLINK("http://www.eum.go.kr/web/ar/lu/luLandDet.jsp?pnu=3611033025109040004&amp;isNoScr=script&amp;mode=search", "토지이음")</f>
        <v/>
      </c>
      <c r="T384" s="3" t="inlineStr">
        <is>
          <t>어반나래</t>
        </is>
      </c>
      <c r="U384" s="4" t="n">
        <v>1</v>
      </c>
      <c r="V384" s="5" t="n">
        <v>80.59999999999999</v>
      </c>
      <c r="W384" s="4" t="n">
        <v>1326</v>
      </c>
      <c r="X384" s="3" t="inlineStr">
        <is>
          <t>주1동</t>
        </is>
      </c>
      <c r="Y384" s="7" t="inlineStr">
        <is>
          <t>2층</t>
        </is>
      </c>
      <c r="Z384" s="3" t="inlineStr">
        <is>
          <t>일반철골구조</t>
        </is>
      </c>
      <c r="AA384" s="3" t="inlineStr">
        <is>
          <t>창고시설</t>
        </is>
      </c>
      <c r="AB384" s="3" t="inlineStr">
        <is>
          <t>10.5m</t>
        </is>
      </c>
      <c r="AC384" s="3" t="inlineStr">
        <is>
          <t>2012-06</t>
        </is>
      </c>
      <c r="AD384" s="3" t="inlineStr">
        <is>
          <t>세로한면(가)</t>
        </is>
      </c>
    </row>
    <row r="385">
      <c r="A385" s="3" t="inlineStr">
        <is>
          <t>부강면 문곡리 904-4</t>
        </is>
      </c>
      <c r="B385" s="3" t="inlineStr">
        <is>
          <t>계획관리지역</t>
        </is>
      </c>
      <c r="C385" s="3" t="inlineStr">
        <is>
          <t>공장용지</t>
        </is>
      </c>
      <c r="D385" s="3" t="inlineStr">
        <is>
          <t>공장</t>
        </is>
      </c>
      <c r="E385" s="3" t="inlineStr">
        <is>
          <t>매매</t>
        </is>
      </c>
      <c r="F385" s="4" t="n">
        <v>240000</v>
      </c>
      <c r="G385" s="4" t="n">
        <v>0</v>
      </c>
      <c r="H385" s="4" t="n">
        <v>2874</v>
      </c>
      <c r="I385" s="4" t="n">
        <v>869</v>
      </c>
      <c r="J385" s="5" t="n">
        <v>276.2</v>
      </c>
      <c r="K385" s="4" t="n">
        <v>1375</v>
      </c>
      <c r="L385" s="4" t="n">
        <v>416</v>
      </c>
      <c r="M385" s="5" t="n">
        <v>576.9</v>
      </c>
      <c r="N385" s="3" t="inlineStr">
        <is>
          <t>1</t>
        </is>
      </c>
      <c r="O385" s="3" t="inlineStr">
        <is>
          <t>-</t>
        </is>
      </c>
      <c r="P385" s="3" t="inlineStr">
        <is>
          <t>남청주IC와가까워 대형차진출입이 용이,계획관리지역,6m 도로에접함</t>
        </is>
      </c>
      <c r="Q385" s="6">
        <f>HYPERLINK("https://fin.land.naver.com/articles/2651152338", "매물Link")</f>
        <v/>
      </c>
      <c r="R385" s="6">
        <f>HYPERLINK("https://map.naver.com/p/search/부강면 문곡리 904-4", "지도Link")</f>
        <v/>
      </c>
      <c r="S385" s="6">
        <f>HYPERLINK("http://www.eum.go.kr/web/ar/lu/luLandDet.jsp?pnu=3611033025109040004&amp;isNoScr=script&amp;mode=search", "토지이음")</f>
        <v/>
      </c>
      <c r="T385" s="3" t="inlineStr">
        <is>
          <t>(주)미르</t>
        </is>
      </c>
      <c r="U385" s="4" t="n">
        <v>1</v>
      </c>
      <c r="V385" s="5" t="n">
        <v>80.59999999999999</v>
      </c>
      <c r="W385" s="4" t="n">
        <v>1326</v>
      </c>
      <c r="X385" s="3" t="inlineStr">
        <is>
          <t>주1동</t>
        </is>
      </c>
      <c r="Y385" s="7" t="inlineStr">
        <is>
          <t>2층</t>
        </is>
      </c>
      <c r="Z385" s="3" t="inlineStr">
        <is>
          <t>일반철골구조</t>
        </is>
      </c>
      <c r="AA385" s="3" t="inlineStr">
        <is>
          <t>창고시설</t>
        </is>
      </c>
      <c r="AB385" s="3" t="inlineStr">
        <is>
          <t>10.5m</t>
        </is>
      </c>
      <c r="AC385" s="3" t="inlineStr">
        <is>
          <t>2012-06</t>
        </is>
      </c>
      <c r="AD385" s="3" t="inlineStr">
        <is>
          <t>세로한면(가)</t>
        </is>
      </c>
    </row>
    <row r="386">
      <c r="A386" s="3" t="inlineStr">
        <is>
          <t>부강면 문곡리 904-4</t>
        </is>
      </c>
      <c r="B386" s="3" t="inlineStr">
        <is>
          <t>계획관리지역</t>
        </is>
      </c>
      <c r="C386" s="3" t="inlineStr">
        <is>
          <t>공장용지</t>
        </is>
      </c>
      <c r="D386" s="3" t="inlineStr">
        <is>
          <t>공장</t>
        </is>
      </c>
      <c r="E386" s="3" t="inlineStr">
        <is>
          <t>매매</t>
        </is>
      </c>
      <c r="F386" s="4" t="n">
        <v>240000</v>
      </c>
      <c r="G386" s="4" t="n">
        <v>0</v>
      </c>
      <c r="H386" s="4" t="n">
        <v>2874</v>
      </c>
      <c r="I386" s="4" t="n">
        <v>869</v>
      </c>
      <c r="J386" s="5" t="n">
        <v>276.2</v>
      </c>
      <c r="K386" s="4" t="n">
        <v>1375</v>
      </c>
      <c r="L386" s="4" t="n">
        <v>416</v>
      </c>
      <c r="M386" s="5" t="n">
        <v>576.9</v>
      </c>
      <c r="N386" s="3" t="inlineStr">
        <is>
          <t>1</t>
        </is>
      </c>
      <c r="O386" s="3" t="inlineStr">
        <is>
          <t>-</t>
        </is>
      </c>
      <c r="P386" s="3" t="inlineStr">
        <is>
          <t>민원없는 지역 공장 매매 건물2개동으로 분할매매 가능 남청주 IC 인접</t>
        </is>
      </c>
      <c r="Q386" s="6">
        <f>HYPERLINK("https://fin.land.naver.com/articles/2651910732", "매물Link")</f>
        <v/>
      </c>
      <c r="R386" s="6">
        <f>HYPERLINK("https://map.naver.com/p/search/부강면 문곡리 904-4", "지도Link")</f>
        <v/>
      </c>
      <c r="S386" s="6">
        <f>HYPERLINK("http://www.eum.go.kr/web/ar/lu/luLandDet.jsp?pnu=3611033025109040004&amp;isNoScr=script&amp;mode=search", "토지이음")</f>
        <v/>
      </c>
      <c r="T386" s="3" t="inlineStr">
        <is>
          <t>대전토지로무소</t>
        </is>
      </c>
      <c r="U386" s="4" t="n">
        <v>1</v>
      </c>
      <c r="V386" s="5" t="n">
        <v>80.59999999999999</v>
      </c>
      <c r="W386" s="4" t="n">
        <v>1326</v>
      </c>
      <c r="X386" s="3" t="inlineStr">
        <is>
          <t>주1동</t>
        </is>
      </c>
      <c r="Y386" s="7" t="inlineStr">
        <is>
          <t>2층</t>
        </is>
      </c>
      <c r="Z386" s="3" t="inlineStr">
        <is>
          <t>일반철골구조</t>
        </is>
      </c>
      <c r="AA386" s="3" t="inlineStr">
        <is>
          <t>창고시설</t>
        </is>
      </c>
      <c r="AB386" s="3" t="inlineStr">
        <is>
          <t>10.5m</t>
        </is>
      </c>
      <c r="AC386" s="3" t="inlineStr">
        <is>
          <t>2012-06</t>
        </is>
      </c>
      <c r="AD386" s="3" t="inlineStr">
        <is>
          <t>세로한면(가)</t>
        </is>
      </c>
    </row>
    <row r="387">
      <c r="A387" s="3" t="inlineStr">
        <is>
          <t>부강면 문곡리 904-4</t>
        </is>
      </c>
      <c r="B387" s="3" t="inlineStr">
        <is>
          <t>계획관리지역</t>
        </is>
      </c>
      <c r="C387" s="3" t="inlineStr">
        <is>
          <t>공장용지</t>
        </is>
      </c>
      <c r="D387" s="3" t="inlineStr">
        <is>
          <t>공장</t>
        </is>
      </c>
      <c r="E387" s="3" t="inlineStr">
        <is>
          <t>매매</t>
        </is>
      </c>
      <c r="F387" s="4" t="n">
        <v>130000</v>
      </c>
      <c r="G387" s="4" t="n">
        <v>0</v>
      </c>
      <c r="H387" s="4" t="n">
        <v>1705</v>
      </c>
      <c r="I387" s="4" t="n">
        <v>516</v>
      </c>
      <c r="J387" s="5" t="n">
        <v>251.9</v>
      </c>
      <c r="K387" s="4" t="n">
        <v>929</v>
      </c>
      <c r="L387" s="4" t="n">
        <v>281</v>
      </c>
      <c r="M387" s="5" t="n">
        <v>462.6</v>
      </c>
      <c r="N387" s="3" t="inlineStr">
        <is>
          <t>2</t>
        </is>
      </c>
      <c r="O387" s="3" t="inlineStr">
        <is>
          <t>-</t>
        </is>
      </c>
      <c r="P387" s="3" t="inlineStr">
        <is>
          <t>민원 없는  남 청주 IC인근 대형차 진 출입 편리한 공장, 창고</t>
        </is>
      </c>
      <c r="Q387" s="6">
        <f>HYPERLINK("https://fin.land.naver.com/articles/2651947886", "매물Link")</f>
        <v/>
      </c>
      <c r="R387" s="6">
        <f>HYPERLINK("https://map.naver.com/p/search/부강면 문곡리 904-4", "지도Link")</f>
        <v/>
      </c>
      <c r="S387" s="6">
        <f>HYPERLINK("http://www.eum.go.kr/web/ar/lu/luLandDet.jsp?pnu=3611033025109040004&amp;isNoScr=script&amp;mode=search", "토지이음")</f>
        <v/>
      </c>
      <c r="T387" s="3" t="inlineStr">
        <is>
          <t>대전토지로무소</t>
        </is>
      </c>
      <c r="U387" s="4" t="n">
        <v>1</v>
      </c>
      <c r="V387" s="5" t="n">
        <v>80.59999999999999</v>
      </c>
      <c r="W387" s="4" t="n">
        <v>1326</v>
      </c>
      <c r="X387" s="3" t="inlineStr">
        <is>
          <t>주1동</t>
        </is>
      </c>
      <c r="Y387" s="7" t="inlineStr">
        <is>
          <t>2층</t>
        </is>
      </c>
      <c r="Z387" s="3" t="inlineStr">
        <is>
          <t>일반철골구조</t>
        </is>
      </c>
      <c r="AA387" s="3" t="inlineStr">
        <is>
          <t>창고시설</t>
        </is>
      </c>
      <c r="AB387" s="3" t="inlineStr">
        <is>
          <t>10.5m</t>
        </is>
      </c>
      <c r="AC387" s="3" t="inlineStr">
        <is>
          <t>2012-06</t>
        </is>
      </c>
      <c r="AD387" s="3" t="inlineStr">
        <is>
          <t>세로한면(가)</t>
        </is>
      </c>
    </row>
    <row r="388">
      <c r="A388" s="3" t="inlineStr">
        <is>
          <t>부강면 문곡리 953-7</t>
        </is>
      </c>
      <c r="B388" s="3" t="inlineStr">
        <is>
          <t>계획관리지역</t>
        </is>
      </c>
      <c r="C388" s="3" t="inlineStr">
        <is>
          <t>대</t>
        </is>
      </c>
      <c r="D388" s="3" t="inlineStr">
        <is>
          <t>창고</t>
        </is>
      </c>
      <c r="E388" s="3" t="inlineStr">
        <is>
          <t>월세</t>
        </is>
      </c>
      <c r="F388" s="4" t="n">
        <v>1000</v>
      </c>
      <c r="G388" s="4" t="n">
        <v>100</v>
      </c>
      <c r="H388" s="4" t="n">
        <v>425</v>
      </c>
      <c r="I388" s="4" t="n">
        <v>129</v>
      </c>
      <c r="J388" s="5" t="n">
        <v>0.8</v>
      </c>
      <c r="K388" s="4" t="n">
        <v>168</v>
      </c>
      <c r="L388" s="4" t="n">
        <v>51</v>
      </c>
      <c r="M388" s="5" t="n">
        <v>2</v>
      </c>
      <c r="N388" s="3" t="inlineStr">
        <is>
          <t>1</t>
        </is>
      </c>
      <c r="O388" s="3" t="inlineStr">
        <is>
          <t>B1</t>
        </is>
      </c>
      <c r="P388" s="3" t="inlineStr">
        <is>
          <t>남청주 ic부근의 2차선변접한 교통좋고 위치좋은 창고</t>
        </is>
      </c>
      <c r="Q388" s="6">
        <f>HYPERLINK("https://fin.land.naver.com/articles/2651029325", "매물Link")</f>
        <v/>
      </c>
      <c r="R388" s="6">
        <f>HYPERLINK("https://map.naver.com/p/search/부강면 문곡리 953-7", "지도Link")</f>
        <v/>
      </c>
      <c r="S388" s="6">
        <f>HYPERLINK("http://www.eum.go.kr/web/ar/lu/luLandDet.jsp?pnu=3611033025109530007&amp;isNoScr=script&amp;mode=search", "토지이음")</f>
        <v/>
      </c>
      <c r="T388" s="3" t="inlineStr">
        <is>
          <t>연동스카이</t>
        </is>
      </c>
      <c r="U388" s="4" t="n">
        <v>1</v>
      </c>
      <c r="V388" s="5" t="n">
        <v>137.6</v>
      </c>
      <c r="W388" s="4" t="n">
        <v>425</v>
      </c>
      <c r="X388" s="3" t="inlineStr">
        <is>
          <t>미표기</t>
        </is>
      </c>
      <c r="Y388" s="7" t="inlineStr">
        <is>
          <t>1층</t>
        </is>
      </c>
      <c r="Z388" s="3" t="inlineStr">
        <is>
          <t>경량철골구조</t>
        </is>
      </c>
      <c r="AA388" s="3" t="inlineStr">
        <is>
          <t>제2종근생</t>
        </is>
      </c>
      <c r="AB388" s="3" t="inlineStr">
        <is>
          <t>7.99m</t>
        </is>
      </c>
      <c r="AC388" s="3" t="inlineStr">
        <is>
          <t>1999-12</t>
        </is>
      </c>
      <c r="AD388" s="3" t="inlineStr">
        <is>
          <t>소로한면</t>
        </is>
      </c>
    </row>
    <row r="389">
      <c r="A389" s="3" t="inlineStr">
        <is>
          <t>부강면 부강리 377-11</t>
        </is>
      </c>
      <c r="B389" s="3" t="inlineStr">
        <is>
          <t>제2종일반주거지역</t>
        </is>
      </c>
      <c r="C389" s="3" t="inlineStr">
        <is>
          <t>대</t>
        </is>
      </c>
      <c r="D389" s="3" t="inlineStr">
        <is>
          <t>창고</t>
        </is>
      </c>
      <c r="E389" s="3" t="inlineStr">
        <is>
          <t>매매</t>
        </is>
      </c>
      <c r="F389" s="4" t="n">
        <v>102000</v>
      </c>
      <c r="G389" s="4" t="n">
        <v>0</v>
      </c>
      <c r="H389" s="4" t="n">
        <v>549</v>
      </c>
      <c r="I389" s="4" t="n">
        <v>166</v>
      </c>
      <c r="J389" s="5" t="n">
        <v>614.5</v>
      </c>
      <c r="K389" s="4" t="n">
        <v>244</v>
      </c>
      <c r="L389" s="4" t="n">
        <v>74</v>
      </c>
      <c r="M389" s="5" t="n">
        <v>1378.4</v>
      </c>
      <c r="N389" s="3" t="inlineStr">
        <is>
          <t>1</t>
        </is>
      </c>
      <c r="O389" s="3" t="inlineStr">
        <is>
          <t>-</t>
        </is>
      </c>
      <c r="P389" s="3" t="inlineStr">
        <is>
          <t>사진ok, 제2종근린생활시설  제조업가능한  창고매매 .</t>
        </is>
      </c>
      <c r="Q389" s="6">
        <f>HYPERLINK("https://fin.land.naver.com/articles/2649470959", "매물Link")</f>
        <v/>
      </c>
      <c r="R389" s="6">
        <f>HYPERLINK("https://map.naver.com/p/search/부강면 부강리 377-11", "지도Link")</f>
        <v/>
      </c>
      <c r="S389" s="6">
        <f>HYPERLINK("http://www.eum.go.kr/web/ar/lu/luLandDet.jsp?pnu=3611033021103770011&amp;isNoScr=script&amp;mode=search", "토지이음")</f>
        <v/>
      </c>
      <c r="T389" s="3" t="inlineStr">
        <is>
          <t>비전</t>
        </is>
      </c>
      <c r="U389" s="4" t="n">
        <v>1</v>
      </c>
      <c r="V389" s="5" t="n">
        <v>142.6</v>
      </c>
      <c r="W389" s="4" t="n">
        <v>549</v>
      </c>
      <c r="X389" s="3" t="inlineStr">
        <is>
          <t>주건축물제1동</t>
        </is>
      </c>
      <c r="Y389" s="7" t="inlineStr">
        <is>
          <t>1층</t>
        </is>
      </c>
      <c r="Z389" s="3" t="inlineStr">
        <is>
          <t>경량철골구조</t>
        </is>
      </c>
      <c r="AA389" s="3" t="inlineStr">
        <is>
          <t>제2종근생</t>
        </is>
      </c>
      <c r="AB389" s="3" t="inlineStr">
        <is>
          <t>4.8m</t>
        </is>
      </c>
      <c r="AC389" s="3" t="inlineStr">
        <is>
          <t>2020-07</t>
        </is>
      </c>
      <c r="AD389" s="3" t="inlineStr">
        <is>
          <t>중로각지</t>
        </is>
      </c>
    </row>
    <row r="390">
      <c r="A390" s="3" t="inlineStr">
        <is>
          <t>부강면 부강리 377-11</t>
        </is>
      </c>
      <c r="B390" s="3" t="inlineStr">
        <is>
          <t>제2종일반주거지역</t>
        </is>
      </c>
      <c r="C390" s="3" t="inlineStr">
        <is>
          <t>대</t>
        </is>
      </c>
      <c r="D390" s="3" t="inlineStr">
        <is>
          <t>공장</t>
        </is>
      </c>
      <c r="E390" s="3" t="inlineStr">
        <is>
          <t>매매</t>
        </is>
      </c>
      <c r="F390" s="4" t="n">
        <v>102000</v>
      </c>
      <c r="G390" s="4" t="n">
        <v>0</v>
      </c>
      <c r="H390" s="4" t="n">
        <v>549</v>
      </c>
      <c r="I390" s="4" t="n">
        <v>166</v>
      </c>
      <c r="J390" s="5" t="n">
        <v>614.5</v>
      </c>
      <c r="K390" s="4" t="n">
        <v>244</v>
      </c>
      <c r="L390" s="4" t="n">
        <v>74</v>
      </c>
      <c r="M390" s="5" t="n">
        <v>1378.4</v>
      </c>
      <c r="N390" s="3" t="inlineStr">
        <is>
          <t>1</t>
        </is>
      </c>
      <c r="O390" s="3" t="inlineStr">
        <is>
          <t>-</t>
        </is>
      </c>
      <c r="P390" s="3" t="inlineStr">
        <is>
          <t>남청주IC 7분,공장등록가능, 대기업 사업 아이템인수가능</t>
        </is>
      </c>
      <c r="Q390" s="6">
        <f>HYPERLINK("https://fin.land.naver.com/articles/2649486165", "매물Link")</f>
        <v/>
      </c>
      <c r="R390" s="6">
        <f>HYPERLINK("https://map.naver.com/p/search/부강면 부강리 377-11", "지도Link")</f>
        <v/>
      </c>
      <c r="S390" s="6">
        <f>HYPERLINK("http://www.eum.go.kr/web/ar/lu/luLandDet.jsp?pnu=3611033021103770011&amp;isNoScr=script&amp;mode=search", "토지이음")</f>
        <v/>
      </c>
      <c r="T390" s="3" t="inlineStr">
        <is>
          <t>대성오투그란데</t>
        </is>
      </c>
      <c r="U390" s="4" t="n">
        <v>1</v>
      </c>
      <c r="V390" s="5" t="n">
        <v>142.6</v>
      </c>
      <c r="W390" s="4" t="n">
        <v>549</v>
      </c>
      <c r="X390" s="3" t="inlineStr">
        <is>
          <t>주건축물제1동</t>
        </is>
      </c>
      <c r="Y390" s="7" t="inlineStr">
        <is>
          <t>1층</t>
        </is>
      </c>
      <c r="Z390" s="3" t="inlineStr">
        <is>
          <t>경량철골구조</t>
        </is>
      </c>
      <c r="AA390" s="3" t="inlineStr">
        <is>
          <t>제2종근생</t>
        </is>
      </c>
      <c r="AB390" s="3" t="inlineStr">
        <is>
          <t>4.8m</t>
        </is>
      </c>
      <c r="AC390" s="3" t="inlineStr">
        <is>
          <t>2020-07</t>
        </is>
      </c>
      <c r="AD390" s="3" t="inlineStr">
        <is>
          <t>중로각지</t>
        </is>
      </c>
    </row>
    <row r="391">
      <c r="A391" s="3" t="inlineStr">
        <is>
          <t>부강면 산수리 105-1</t>
        </is>
      </c>
      <c r="B391" s="3" t="inlineStr">
        <is>
          <t>계획관리지역</t>
        </is>
      </c>
      <c r="C391" s="3" t="inlineStr">
        <is>
          <t>공장용지</t>
        </is>
      </c>
      <c r="D391" s="3" t="inlineStr">
        <is>
          <t>공장</t>
        </is>
      </c>
      <c r="E391" s="3" t="inlineStr">
        <is>
          <t>월세</t>
        </is>
      </c>
      <c r="F391" s="4" t="n">
        <v>5000</v>
      </c>
      <c r="G391" s="4" t="n">
        <v>500</v>
      </c>
      <c r="H391" s="4" t="n">
        <v>5826</v>
      </c>
      <c r="I391" s="4" t="n">
        <v>1762</v>
      </c>
      <c r="J391" s="5" t="n">
        <v>0.3</v>
      </c>
      <c r="K391" s="4" t="n">
        <v>793</v>
      </c>
      <c r="L391" s="4" t="n">
        <v>240</v>
      </c>
      <c r="M391" s="5" t="n">
        <v>2.1</v>
      </c>
      <c r="N391" s="3" t="inlineStr">
        <is>
          <t>1</t>
        </is>
      </c>
      <c r="O391" s="3" t="inlineStr">
        <is>
          <t>-</t>
        </is>
      </c>
      <c r="P391" s="3" t="inlineStr">
        <is>
          <t>남청주ic 접근성 좋은 위치 마당넓어 대형차 진출입 가능</t>
        </is>
      </c>
      <c r="Q391" s="6">
        <f>HYPERLINK("https://fin.land.naver.com/articles/2649683295", "매물Link")</f>
        <v/>
      </c>
      <c r="R391" s="6">
        <f>HYPERLINK("https://map.naver.com/p/search/부강면 산수리 105-1", "지도Link")</f>
        <v/>
      </c>
      <c r="S391" s="6">
        <f>HYPERLINK("http://www.eum.go.kr/web/ar/lu/luLandDet.jsp?pnu=3611033023101050001&amp;isNoScr=script&amp;mode=search", "토지이음")</f>
        <v/>
      </c>
      <c r="T391" s="3" t="inlineStr">
        <is>
          <t>더원</t>
        </is>
      </c>
      <c r="U391" s="4" t="n">
        <v>1</v>
      </c>
      <c r="V391" s="5" t="n">
        <v>77.90000000000001</v>
      </c>
      <c r="W391" s="4" t="n">
        <v>2209</v>
      </c>
      <c r="X391" s="3" t="inlineStr">
        <is>
          <t>6동</t>
        </is>
      </c>
      <c r="Y391" s="7" t="inlineStr">
        <is>
          <t>1층</t>
        </is>
      </c>
      <c r="Z391" s="3" t="inlineStr">
        <is>
          <t>일반철골구조</t>
        </is>
      </c>
      <c r="AA391" s="3" t="inlineStr">
        <is>
          <t>창고시설</t>
        </is>
      </c>
      <c r="AB391" s="3" t="inlineStr">
        <is>
          <t>8.3m</t>
        </is>
      </c>
      <c r="AC391" s="3" t="inlineStr">
        <is>
          <t>2007-10</t>
        </is>
      </c>
      <c r="AD391" s="3" t="inlineStr">
        <is>
          <t>세로한면(가)</t>
        </is>
      </c>
    </row>
    <row r="392">
      <c r="A392" s="3" t="inlineStr">
        <is>
          <t>부강면 산수리 105-3</t>
        </is>
      </c>
      <c r="B392" s="3" t="inlineStr">
        <is>
          <t>계획관리지역</t>
        </is>
      </c>
      <c r="C392" s="3" t="inlineStr">
        <is>
          <t>공장용지</t>
        </is>
      </c>
      <c r="D392" s="3" t="inlineStr">
        <is>
          <t>공장</t>
        </is>
      </c>
      <c r="E392" s="3" t="inlineStr">
        <is>
          <t>월세</t>
        </is>
      </c>
      <c r="F392" s="4" t="n">
        <v>4500</v>
      </c>
      <c r="G392" s="4" t="n">
        <v>450</v>
      </c>
      <c r="H392" s="4" t="n">
        <v>21410</v>
      </c>
      <c r="I392" s="4" t="n">
        <v>6477</v>
      </c>
      <c r="J392" s="5" t="n">
        <v>0.1</v>
      </c>
      <c r="K392" s="4" t="n">
        <v>726</v>
      </c>
      <c r="L392" s="4" t="n">
        <v>220</v>
      </c>
      <c r="M392" s="5" t="n">
        <v>2</v>
      </c>
      <c r="N392" s="3" t="inlineStr">
        <is>
          <t>1</t>
        </is>
      </c>
      <c r="O392" s="3" t="inlineStr">
        <is>
          <t>-</t>
        </is>
      </c>
      <c r="P392" s="3" t="inlineStr">
        <is>
          <t>사진有 공장 임대</t>
        </is>
      </c>
      <c r="Q392" s="6">
        <f>HYPERLINK("https://fin.land.naver.com/articles/2652988089", "매물Link")</f>
        <v/>
      </c>
      <c r="R392" s="6">
        <f>HYPERLINK("https://map.naver.com/p/search/부강면 산수리 105-3", "지도Link")</f>
        <v/>
      </c>
      <c r="S392" s="6">
        <f>HYPERLINK("http://www.eum.go.kr/web/ar/lu/luLandDet.jsp?pnu=3611033023101050003&amp;isNoScr=script&amp;mode=search", "토지이음")</f>
        <v/>
      </c>
      <c r="T392" s="3" t="inlineStr">
        <is>
          <t>월드</t>
        </is>
      </c>
      <c r="U392" s="4" t="n">
        <v>2</v>
      </c>
      <c r="V392" s="5" t="n">
        <v>77.09999999999999</v>
      </c>
      <c r="W392" s="4" t="n">
        <v>21410</v>
      </c>
      <c r="X392" s="3" t="inlineStr">
        <is>
          <t>미표기</t>
        </is>
      </c>
      <c r="Y392" s="7" t="inlineStr">
        <is>
          <t>1층</t>
        </is>
      </c>
      <c r="Z392" s="3" t="inlineStr">
        <is>
          <t>경량철골구조</t>
        </is>
      </c>
      <c r="AA392" s="3" t="inlineStr">
        <is>
          <t>공장</t>
        </is>
      </c>
      <c r="AB392" s="3" t="inlineStr">
        <is>
          <t>4.7m</t>
        </is>
      </c>
      <c r="AC392" s="3" t="inlineStr">
        <is>
          <t>2009-07</t>
        </is>
      </c>
      <c r="AD392" s="3" t="inlineStr">
        <is>
          <t>세로한면(가)</t>
        </is>
      </c>
    </row>
    <row r="393">
      <c r="A393" s="3" t="inlineStr">
        <is>
          <t>부강면 산수리 105-3</t>
        </is>
      </c>
      <c r="B393" s="3" t="inlineStr">
        <is>
          <t>계획관리지역</t>
        </is>
      </c>
      <c r="C393" s="3" t="inlineStr">
        <is>
          <t>공장용지</t>
        </is>
      </c>
      <c r="D393" s="3" t="inlineStr">
        <is>
          <t>공장</t>
        </is>
      </c>
      <c r="E393" s="3" t="inlineStr">
        <is>
          <t>월세</t>
        </is>
      </c>
      <c r="F393" s="4" t="n">
        <v>4500</v>
      </c>
      <c r="G393" s="4" t="n">
        <v>450</v>
      </c>
      <c r="H393" s="4" t="n">
        <v>21410</v>
      </c>
      <c r="I393" s="4" t="n">
        <v>6477</v>
      </c>
      <c r="J393" s="5" t="n">
        <v>0.1</v>
      </c>
      <c r="K393" s="4" t="n">
        <v>727</v>
      </c>
      <c r="L393" s="4" t="n">
        <v>220</v>
      </c>
      <c r="M393" s="5" t="n">
        <v>2</v>
      </c>
      <c r="N393" s="3" t="inlineStr">
        <is>
          <t>1</t>
        </is>
      </c>
      <c r="O393" s="3" t="inlineStr">
        <is>
          <t>-</t>
        </is>
      </c>
      <c r="P393" s="3" t="inlineStr">
        <is>
          <t>남청주IC약 10분거리 공장 및 창고 입니다</t>
        </is>
      </c>
      <c r="Q393" s="6">
        <f>HYPERLINK("https://fin.land.naver.com/articles/2649720688", "매물Link")</f>
        <v/>
      </c>
      <c r="R393" s="6">
        <f>HYPERLINK("https://map.naver.com/p/search/부강면 산수리 105-3", "지도Link")</f>
        <v/>
      </c>
      <c r="S393" s="6">
        <f>HYPERLINK("http://www.eum.go.kr/web/ar/lu/luLandDet.jsp?pnu=3611033023101050003&amp;isNoScr=script&amp;mode=search", "토지이음")</f>
        <v/>
      </c>
      <c r="T393" s="3" t="inlineStr">
        <is>
          <t>더행복</t>
        </is>
      </c>
      <c r="U393" s="4" t="n">
        <v>1</v>
      </c>
      <c r="V393" s="5" t="n">
        <v>77.09999999999999</v>
      </c>
      <c r="W393" s="4" t="n">
        <v>21410</v>
      </c>
      <c r="X393" s="3" t="inlineStr">
        <is>
          <t>미표기</t>
        </is>
      </c>
      <c r="Y393" s="7" t="inlineStr">
        <is>
          <t>1층</t>
        </is>
      </c>
      <c r="Z393" s="3" t="inlineStr">
        <is>
          <t>경량철골구조</t>
        </is>
      </c>
      <c r="AA393" s="3" t="inlineStr">
        <is>
          <t>공장</t>
        </is>
      </c>
      <c r="AB393" s="3" t="inlineStr">
        <is>
          <t>4.7m</t>
        </is>
      </c>
      <c r="AC393" s="3" t="inlineStr">
        <is>
          <t>2009-07</t>
        </is>
      </c>
      <c r="AD393" s="3" t="inlineStr">
        <is>
          <t>세로한면(가)</t>
        </is>
      </c>
    </row>
    <row r="394">
      <c r="A394" s="3" t="inlineStr">
        <is>
          <t>부강면 산수리 105-3</t>
        </is>
      </c>
      <c r="B394" s="3" t="inlineStr">
        <is>
          <t>계획관리지역</t>
        </is>
      </c>
      <c r="C394" s="3" t="inlineStr">
        <is>
          <t>공장용지</t>
        </is>
      </c>
      <c r="D394" s="3" t="inlineStr">
        <is>
          <t>창고</t>
        </is>
      </c>
      <c r="E394" s="3" t="inlineStr">
        <is>
          <t>월세</t>
        </is>
      </c>
      <c r="F394" s="4" t="n">
        <v>4000</v>
      </c>
      <c r="G394" s="4" t="n">
        <v>440</v>
      </c>
      <c r="H394" s="4" t="n">
        <v>21410</v>
      </c>
      <c r="I394" s="4" t="n">
        <v>6477</v>
      </c>
      <c r="J394" s="5" t="n">
        <v>0.1</v>
      </c>
      <c r="K394" s="4" t="n">
        <v>733</v>
      </c>
      <c r="L394" s="4" t="n">
        <v>222</v>
      </c>
      <c r="M394" s="5" t="n">
        <v>2</v>
      </c>
      <c r="N394" s="3" t="inlineStr">
        <is>
          <t>1</t>
        </is>
      </c>
      <c r="O394" s="3" t="inlineStr">
        <is>
          <t>-</t>
        </is>
      </c>
      <c r="P394" s="3" t="inlineStr">
        <is>
          <t>남청주IC인근 임대료 저렴한 넓은 창고임대 진출입 용이 전력높음</t>
        </is>
      </c>
      <c r="Q394" s="6">
        <f>HYPERLINK("https://fin.land.naver.com/articles/2649682702", "매물Link")</f>
        <v/>
      </c>
      <c r="R394" s="6">
        <f>HYPERLINK("https://map.naver.com/p/search/부강면 산수리 105-3", "지도Link")</f>
        <v/>
      </c>
      <c r="S394" s="6">
        <f>HYPERLINK("http://www.eum.go.kr/web/ar/lu/luLandDet.jsp?pnu=3611033023101050003&amp;isNoScr=script&amp;mode=search", "토지이음")</f>
        <v/>
      </c>
      <c r="T394" s="3" t="inlineStr">
        <is>
          <t>태광</t>
        </is>
      </c>
      <c r="U394" s="4" t="n">
        <v>1</v>
      </c>
      <c r="V394" s="5" t="n">
        <v>77.09999999999999</v>
      </c>
      <c r="W394" s="4" t="n">
        <v>21410</v>
      </c>
      <c r="X394" s="3" t="inlineStr">
        <is>
          <t>미표기</t>
        </is>
      </c>
      <c r="Y394" s="7" t="inlineStr">
        <is>
          <t>1층</t>
        </is>
      </c>
      <c r="Z394" s="3" t="inlineStr">
        <is>
          <t>경량철골구조</t>
        </is>
      </c>
      <c r="AA394" s="3" t="inlineStr">
        <is>
          <t>공장</t>
        </is>
      </c>
      <c r="AB394" s="3" t="inlineStr">
        <is>
          <t>4.7m</t>
        </is>
      </c>
      <c r="AC394" s="3" t="inlineStr">
        <is>
          <t>2009-07</t>
        </is>
      </c>
      <c r="AD394" s="3" t="inlineStr">
        <is>
          <t>세로한면(가)</t>
        </is>
      </c>
    </row>
    <row r="395">
      <c r="A395" s="3" t="inlineStr">
        <is>
          <t>부강면 행산리 150-1</t>
        </is>
      </c>
      <c r="B395" s="3" t="inlineStr">
        <is>
          <t>계획관리지역</t>
        </is>
      </c>
      <c r="C395" s="3" t="inlineStr">
        <is>
          <t>공장용지</t>
        </is>
      </c>
      <c r="D395" s="3" t="inlineStr">
        <is>
          <t>공장</t>
        </is>
      </c>
      <c r="E395" s="3" t="inlineStr">
        <is>
          <t>월세</t>
        </is>
      </c>
      <c r="F395" s="4" t="n">
        <v>7000</v>
      </c>
      <c r="G395" s="4" t="n">
        <v>700</v>
      </c>
      <c r="H395" s="4" t="n">
        <v>6404</v>
      </c>
      <c r="I395" s="4" t="n">
        <v>1937</v>
      </c>
      <c r="J395" s="5" t="n">
        <v>0.4</v>
      </c>
      <c r="K395" s="4" t="n">
        <v>983</v>
      </c>
      <c r="L395" s="4" t="n">
        <v>297</v>
      </c>
      <c r="M395" s="5" t="n">
        <v>2.4</v>
      </c>
      <c r="N395" s="3" t="inlineStr">
        <is>
          <t>1</t>
        </is>
      </c>
      <c r="O395" s="3" t="inlineStr">
        <is>
          <t>-</t>
        </is>
      </c>
      <c r="P395" s="3" t="inlineStr">
        <is>
          <t>민원 발생 소지 없음, 2차선 도로에 접함, 호이스트 5톤 2대, 계근대</t>
        </is>
      </c>
      <c r="Q395" s="6">
        <f>HYPERLINK("https://fin.land.naver.com/articles/2649581867", "매물Link")</f>
        <v/>
      </c>
      <c r="R395" s="6">
        <f>HYPERLINK("https://map.naver.com/p/search/부강면 행산리 150-1", "지도Link")</f>
        <v/>
      </c>
      <c r="S395" s="6">
        <f>HYPERLINK("http://www.eum.go.kr/web/ar/lu/luLandDet.jsp?pnu=3611033022101500001&amp;isNoScr=script&amp;mode=search", "토지이음")</f>
        <v/>
      </c>
      <c r="T395" s="3" t="inlineStr">
        <is>
          <t>제이</t>
        </is>
      </c>
      <c r="U395" s="4" t="n">
        <v>1</v>
      </c>
      <c r="V395" s="5" t="n">
        <v>75.40000000000001</v>
      </c>
      <c r="W395" s="4" t="n">
        <v>5589</v>
      </c>
      <c r="X395" s="3" t="inlineStr">
        <is>
          <t>주건축물제1동</t>
        </is>
      </c>
      <c r="Y395" s="7" t="inlineStr">
        <is>
          <t>1층</t>
        </is>
      </c>
      <c r="Z395" s="3" t="inlineStr">
        <is>
          <t>일반철골구조</t>
        </is>
      </c>
      <c r="AA395" s="3" t="inlineStr">
        <is>
          <t>공장</t>
        </is>
      </c>
      <c r="AB395" s="3" t="inlineStr">
        <is>
          <t>11.54m</t>
        </is>
      </c>
      <c r="AC395" s="3" t="inlineStr">
        <is>
          <t>2019-04</t>
        </is>
      </c>
      <c r="AD395" s="3" t="inlineStr">
        <is>
          <t>소로한면</t>
        </is>
      </c>
    </row>
    <row r="396">
      <c r="A396" s="3" t="inlineStr">
        <is>
          <t>부강면 행산리 150-1</t>
        </is>
      </c>
      <c r="B396" s="3" t="inlineStr">
        <is>
          <t>계획관리지역</t>
        </is>
      </c>
      <c r="C396" s="3" t="inlineStr">
        <is>
          <t>공장용지</t>
        </is>
      </c>
      <c r="D396" s="3" t="inlineStr">
        <is>
          <t>공장</t>
        </is>
      </c>
      <c r="E396" s="3" t="inlineStr">
        <is>
          <t>월세</t>
        </is>
      </c>
      <c r="F396" s="4" t="n">
        <v>7000</v>
      </c>
      <c r="G396" s="4" t="n">
        <v>700</v>
      </c>
      <c r="H396" s="4" t="n">
        <v>6446</v>
      </c>
      <c r="I396" s="4" t="n">
        <v>1950</v>
      </c>
      <c r="J396" s="5" t="n">
        <v>0.4</v>
      </c>
      <c r="K396" s="4" t="n">
        <v>983</v>
      </c>
      <c r="L396" s="4" t="n">
        <v>297</v>
      </c>
      <c r="M396" s="5" t="n">
        <v>2.4</v>
      </c>
      <c r="N396" s="3" t="inlineStr">
        <is>
          <t>1</t>
        </is>
      </c>
      <c r="O396" s="3" t="inlineStr">
        <is>
          <t>-</t>
        </is>
      </c>
      <c r="P396" s="3" t="inlineStr">
        <is>
          <t>세종 청주 접근성 우수 2차선도로변 호이스트 3기 완비된 공장 임대</t>
        </is>
      </c>
      <c r="Q396" s="6">
        <f>HYPERLINK("https://fin.land.naver.com/articles/2649493657", "매물Link")</f>
        <v/>
      </c>
      <c r="R396" s="6">
        <f>HYPERLINK("https://map.naver.com/p/search/부강면 행산리 150-1", "지도Link")</f>
        <v/>
      </c>
      <c r="S396" s="6">
        <f>HYPERLINK("http://www.eum.go.kr/web/ar/lu/luLandDet.jsp?pnu=3611033022101500001&amp;isNoScr=script&amp;mode=search", "토지이음")</f>
        <v/>
      </c>
      <c r="T396" s="3" t="inlineStr">
        <is>
          <t>청담</t>
        </is>
      </c>
      <c r="U396" s="4" t="n">
        <v>1</v>
      </c>
      <c r="V396" s="5" t="n">
        <v>75.40000000000001</v>
      </c>
      <c r="W396" s="4" t="n">
        <v>5589</v>
      </c>
      <c r="X396" s="3" t="inlineStr">
        <is>
          <t>주건축물제1동</t>
        </is>
      </c>
      <c r="Y396" s="7" t="inlineStr">
        <is>
          <t>1층</t>
        </is>
      </c>
      <c r="Z396" s="3" t="inlineStr">
        <is>
          <t>일반철골구조</t>
        </is>
      </c>
      <c r="AA396" s="3" t="inlineStr">
        <is>
          <t>공장</t>
        </is>
      </c>
      <c r="AB396" s="3" t="inlineStr">
        <is>
          <t>11.54m</t>
        </is>
      </c>
      <c r="AC396" s="3" t="inlineStr">
        <is>
          <t>2019-04</t>
        </is>
      </c>
      <c r="AD396" s="3" t="inlineStr">
        <is>
          <t>소로한면</t>
        </is>
      </c>
    </row>
    <row r="397">
      <c r="A397" s="3" t="inlineStr">
        <is>
          <t>부강면 행산리 154-1</t>
        </is>
      </c>
      <c r="B397" s="3" t="inlineStr">
        <is>
          <t>계획관리지역</t>
        </is>
      </c>
      <c r="C397" s="3" t="inlineStr">
        <is>
          <t>대</t>
        </is>
      </c>
      <c r="D397" s="3" t="inlineStr">
        <is>
          <t>창고</t>
        </is>
      </c>
      <c r="E397" s="3" t="inlineStr">
        <is>
          <t>월세</t>
        </is>
      </c>
      <c r="F397" s="4" t="n">
        <v>2000</v>
      </c>
      <c r="G397" s="4" t="n">
        <v>150</v>
      </c>
      <c r="H397" s="4" t="n">
        <v>2741</v>
      </c>
      <c r="I397" s="4" t="n">
        <v>829</v>
      </c>
      <c r="J397" s="5" t="n">
        <v>0.2</v>
      </c>
      <c r="K397" s="4" t="n">
        <v>192</v>
      </c>
      <c r="L397" s="4" t="n">
        <v>58</v>
      </c>
      <c r="M397" s="5" t="n">
        <v>2.6</v>
      </c>
      <c r="N397" s="3" t="inlineStr">
        <is>
          <t>1</t>
        </is>
      </c>
      <c r="O397" s="3" t="inlineStr">
        <is>
          <t>-</t>
        </is>
      </c>
      <c r="P397" s="3" t="inlineStr">
        <is>
          <t>남청주ic 접근성 좋고 청주세종간도로인근 2차선도로변</t>
        </is>
      </c>
      <c r="Q397" s="6">
        <f>HYPERLINK("https://fin.land.naver.com/articles/2652625203", "매물Link")</f>
        <v/>
      </c>
      <c r="R397" s="6">
        <f>HYPERLINK("https://map.naver.com/p/search/부강면 행산리 154-1", "지도Link")</f>
        <v/>
      </c>
      <c r="S397" s="6">
        <f>HYPERLINK("http://www.eum.go.kr/web/ar/lu/luLandDet.jsp?pnu=3611033022101540001&amp;isNoScr=script&amp;mode=search", "토지이음")</f>
        <v/>
      </c>
      <c r="T397" s="3" t="inlineStr">
        <is>
          <t>더원</t>
        </is>
      </c>
      <c r="U397" s="4" t="n">
        <v>1</v>
      </c>
      <c r="V397" s="5" t="n">
        <v>59.9</v>
      </c>
      <c r="W397" s="4" t="n">
        <v>2741</v>
      </c>
      <c r="X397" s="3" t="inlineStr">
        <is>
          <t>주1동</t>
        </is>
      </c>
      <c r="Y397" s="7" t="inlineStr">
        <is>
          <t>1층</t>
        </is>
      </c>
      <c r="Z397" s="3" t="inlineStr">
        <is>
          <t>경량철골구조</t>
        </is>
      </c>
      <c r="AA397" s="3" t="inlineStr">
        <is>
          <t>제1종근생</t>
        </is>
      </c>
      <c r="AB397" s="3" t="inlineStr">
        <is>
          <t>8.1m</t>
        </is>
      </c>
      <c r="AC397" s="3" t="inlineStr">
        <is>
          <t>2022-07</t>
        </is>
      </c>
      <c r="AD397" s="3" t="inlineStr">
        <is>
          <t>소로한면</t>
        </is>
      </c>
    </row>
    <row r="398">
      <c r="A398" s="3" t="inlineStr">
        <is>
          <t>부강면 행산리 335-1</t>
        </is>
      </c>
      <c r="B398" s="3" t="inlineStr">
        <is>
          <t>계획관리지역</t>
        </is>
      </c>
      <c r="C398" s="3" t="inlineStr">
        <is>
          <t>공장용지</t>
        </is>
      </c>
      <c r="D398" s="3" t="inlineStr">
        <is>
          <t>공장</t>
        </is>
      </c>
      <c r="E398" s="3" t="inlineStr">
        <is>
          <t>월세</t>
        </is>
      </c>
      <c r="F398" s="4" t="n">
        <v>5000</v>
      </c>
      <c r="G398" s="4" t="n">
        <v>550</v>
      </c>
      <c r="H398" s="4" t="n">
        <v>20331</v>
      </c>
      <c r="I398" s="4" t="n">
        <v>6150</v>
      </c>
      <c r="J398" s="5" t="n">
        <v>0.1</v>
      </c>
      <c r="K398" s="4" t="n">
        <v>810</v>
      </c>
      <c r="L398" s="4" t="n">
        <v>245</v>
      </c>
      <c r="M398" s="5" t="n">
        <v>2.2</v>
      </c>
      <c r="N398" s="3" t="inlineStr">
        <is>
          <t>1</t>
        </is>
      </c>
      <c r="O398" s="3" t="inlineStr">
        <is>
          <t>-</t>
        </is>
      </c>
      <c r="P398" s="3" t="inlineStr">
        <is>
          <t>공장하기 편리한곳, 민원없는곳 추천드립니다.</t>
        </is>
      </c>
      <c r="Q398" s="6">
        <f>HYPERLINK("https://fin.land.naver.com/articles/2652648109", "매물Link")</f>
        <v/>
      </c>
      <c r="R398" s="6">
        <f>HYPERLINK("https://map.naver.com/p/search/부강면 행산리 335-1", "지도Link")</f>
        <v/>
      </c>
      <c r="S398" s="6">
        <f>HYPERLINK("http://www.eum.go.kr/web/ar/lu/luLandDet.jsp?pnu=3611033022103350001&amp;isNoScr=script&amp;mode=search", "토지이음")</f>
        <v/>
      </c>
      <c r="T398" s="3" t="inlineStr">
        <is>
          <t>대박</t>
        </is>
      </c>
      <c r="U398" s="4" t="n">
        <v>2</v>
      </c>
      <c r="V398" s="5" t="n">
        <v>55.8</v>
      </c>
      <c r="W398" s="4" t="n">
        <v>20331</v>
      </c>
      <c r="X398" s="3" t="inlineStr">
        <is>
          <t>4동</t>
        </is>
      </c>
      <c r="Y398" s="7" t="inlineStr">
        <is>
          <t>1층</t>
        </is>
      </c>
      <c r="Z398" s="3" t="inlineStr">
        <is>
          <t>일반철골구조</t>
        </is>
      </c>
      <c r="AA398" s="3" t="inlineStr">
        <is>
          <t>공장</t>
        </is>
      </c>
      <c r="AB398" s="3" t="inlineStr">
        <is>
          <t>10.6m</t>
        </is>
      </c>
      <c r="AC398" s="3" t="inlineStr">
        <is>
          <t>2004-05</t>
        </is>
      </c>
      <c r="AD398" s="3" t="inlineStr">
        <is>
          <t>세로한면(가)</t>
        </is>
      </c>
    </row>
    <row r="399">
      <c r="A399" s="3" t="inlineStr">
        <is>
          <t>부강면 행산리 371</t>
        </is>
      </c>
      <c r="B399" s="3" t="inlineStr">
        <is>
          <t>계획관리지역</t>
        </is>
      </c>
      <c r="C399" s="3" t="inlineStr">
        <is>
          <t>공장용지</t>
        </is>
      </c>
      <c r="D399" s="3" t="inlineStr">
        <is>
          <t>공장</t>
        </is>
      </c>
      <c r="E399" s="3" t="inlineStr">
        <is>
          <t>매매</t>
        </is>
      </c>
      <c r="F399" s="4" t="n">
        <v>120000</v>
      </c>
      <c r="G399" s="4" t="n">
        <v>0</v>
      </c>
      <c r="H399" s="4" t="n">
        <v>815</v>
      </c>
      <c r="I399" s="4" t="n">
        <v>247</v>
      </c>
      <c r="J399" s="5" t="n">
        <v>485.8</v>
      </c>
      <c r="K399" s="4" t="n">
        <v>436</v>
      </c>
      <c r="L399" s="4" t="n">
        <v>132</v>
      </c>
      <c r="M399" s="5" t="n">
        <v>909.1</v>
      </c>
      <c r="N399" s="3" t="inlineStr">
        <is>
          <t>2</t>
        </is>
      </c>
      <c r="O399" s="3" t="inlineStr">
        <is>
          <t>-</t>
        </is>
      </c>
      <c r="P399" s="3" t="inlineStr">
        <is>
          <t>성업중인공장.진입도로확장예정.매도후재임대가능.남청주IC인근.중부물류터미널</t>
        </is>
      </c>
      <c r="Q399" s="6">
        <f>HYPERLINK("https://fin.land.naver.com/articles/2650318649", "매물Link")</f>
        <v/>
      </c>
      <c r="R399" s="6">
        <f>HYPERLINK("https://map.naver.com/p/search/부강면 행산리 371", "지도Link")</f>
        <v/>
      </c>
      <c r="S399" s="6">
        <f>HYPERLINK("http://www.eum.go.kr/web/ar/lu/luLandDet.jsp?pnu=3611033022103710000&amp;isNoScr=script&amp;mode=search", "토지이음")</f>
        <v/>
      </c>
      <c r="T399" s="3" t="inlineStr">
        <is>
          <t>돈방석</t>
        </is>
      </c>
      <c r="U399" s="4" t="n">
        <v>1</v>
      </c>
      <c r="V399" s="5" t="n">
        <v>41.2</v>
      </c>
      <c r="W399" s="4" t="n">
        <v>815</v>
      </c>
      <c r="X399" s="3" t="inlineStr">
        <is>
          <t>주건축물제1동</t>
        </is>
      </c>
      <c r="Y399" s="7" t="inlineStr">
        <is>
          <t>2층</t>
        </is>
      </c>
      <c r="Z399" s="3" t="inlineStr">
        <is>
          <t>일반철골구조</t>
        </is>
      </c>
      <c r="AA399" s="3" t="inlineStr">
        <is>
          <t>동물및식물관련시설</t>
        </is>
      </c>
      <c r="AB399" s="3" t="inlineStr">
        <is>
          <t>8.2m</t>
        </is>
      </c>
      <c r="AC399" s="3" t="inlineStr">
        <is>
          <t>2022-06</t>
        </is>
      </c>
      <c r="AD399" s="3" t="inlineStr">
        <is>
          <t>세로한면(가)</t>
        </is>
      </c>
    </row>
    <row r="400">
      <c r="A400" s="3" t="inlineStr">
        <is>
          <t>부강면 행산리 371</t>
        </is>
      </c>
      <c r="B400" s="3" t="inlineStr">
        <is>
          <t>계획관리지역</t>
        </is>
      </c>
      <c r="C400" s="3" t="inlineStr">
        <is>
          <t>공장용지</t>
        </is>
      </c>
      <c r="D400" s="3" t="inlineStr">
        <is>
          <t>공장</t>
        </is>
      </c>
      <c r="E400" s="3" t="inlineStr">
        <is>
          <t>매매</t>
        </is>
      </c>
      <c r="F400" s="4" t="n">
        <v>120000</v>
      </c>
      <c r="G400" s="4" t="n">
        <v>0</v>
      </c>
      <c r="H400" s="4" t="n">
        <v>815</v>
      </c>
      <c r="I400" s="4" t="n">
        <v>247</v>
      </c>
      <c r="J400" s="5" t="n">
        <v>485.8</v>
      </c>
      <c r="K400" s="4" t="n">
        <v>360</v>
      </c>
      <c r="L400" s="4" t="n">
        <v>109</v>
      </c>
      <c r="M400" s="5" t="n">
        <v>1100.9</v>
      </c>
      <c r="N400" s="3" t="inlineStr">
        <is>
          <t>1</t>
        </is>
      </c>
      <c r="O400" s="3" t="inlineStr">
        <is>
          <t>-</t>
        </is>
      </c>
      <c r="P400" s="3" t="inlineStr">
        <is>
          <t>2종른린생활시설로 현재 식품공장</t>
        </is>
      </c>
      <c r="Q400" s="6">
        <f>HYPERLINK("https://fin.land.naver.com/articles/2650479799", "매물Link")</f>
        <v/>
      </c>
      <c r="R400" s="6">
        <f>HYPERLINK("https://map.naver.com/p/search/부강면 행산리 371", "지도Link")</f>
        <v/>
      </c>
      <c r="S400" s="6">
        <f>HYPERLINK("http://www.eum.go.kr/web/ar/lu/luLandDet.jsp?pnu=3611033022103710000&amp;isNoScr=script&amp;mode=search", "토지이음")</f>
        <v/>
      </c>
      <c r="T400" s="3" t="inlineStr">
        <is>
          <t>창고의여왕</t>
        </is>
      </c>
      <c r="U400" s="4" t="n">
        <v>1</v>
      </c>
      <c r="V400" s="5" t="n">
        <v>41.2</v>
      </c>
      <c r="W400" s="4" t="n">
        <v>815</v>
      </c>
      <c r="X400" s="3" t="inlineStr">
        <is>
          <t>주건축물제1동</t>
        </is>
      </c>
      <c r="Y400" s="7" t="inlineStr">
        <is>
          <t>2층</t>
        </is>
      </c>
      <c r="Z400" s="3" t="inlineStr">
        <is>
          <t>일반철골구조</t>
        </is>
      </c>
      <c r="AA400" s="3" t="inlineStr">
        <is>
          <t>동물및식물관련시설</t>
        </is>
      </c>
      <c r="AB400" s="3" t="inlineStr">
        <is>
          <t>8.2m</t>
        </is>
      </c>
      <c r="AC400" s="3" t="inlineStr">
        <is>
          <t>2022-06</t>
        </is>
      </c>
      <c r="AD400" s="3" t="inlineStr">
        <is>
          <t>세로한면(가)</t>
        </is>
      </c>
    </row>
    <row r="401">
      <c r="A401" s="3" t="inlineStr">
        <is>
          <t>연동면 내판리 167-3</t>
        </is>
      </c>
      <c r="B401" s="3" t="inlineStr">
        <is>
          <t>계획관리지역</t>
        </is>
      </c>
      <c r="C401" s="3" t="inlineStr">
        <is>
          <t>공장용지</t>
        </is>
      </c>
      <c r="D401" s="3" t="inlineStr">
        <is>
          <t>공장</t>
        </is>
      </c>
      <c r="E401" s="3" t="inlineStr">
        <is>
          <t>월세</t>
        </is>
      </c>
      <c r="F401" s="4" t="n">
        <v>30000</v>
      </c>
      <c r="G401" s="4" t="n">
        <v>3000</v>
      </c>
      <c r="H401" s="4" t="n">
        <v>9768</v>
      </c>
      <c r="I401" s="4" t="n">
        <v>2955</v>
      </c>
      <c r="J401" s="5" t="n">
        <v>1</v>
      </c>
      <c r="K401" s="4" t="n">
        <v>4329</v>
      </c>
      <c r="L401" s="4" t="n">
        <v>1310</v>
      </c>
      <c r="M401" s="5" t="n">
        <v>2.3</v>
      </c>
      <c r="N401" s="3" t="inlineStr">
        <is>
          <t>2</t>
        </is>
      </c>
      <c r="O401" s="3" t="inlineStr">
        <is>
          <t>-</t>
        </is>
      </c>
      <c r="P401" s="3" t="inlineStr">
        <is>
          <t>천평 임대,층고5m 깔끔한 공장,현재 공실로 즉시입주 가능</t>
        </is>
      </c>
      <c r="Q401" s="6">
        <f>HYPERLINK("https://fin.land.naver.com/articles/2650689887", "매물Link")</f>
        <v/>
      </c>
      <c r="R401" s="6">
        <f>HYPERLINK("https://map.naver.com/p/search/연동면 내판리 167-3", "지도Link")</f>
        <v/>
      </c>
      <c r="S401" s="6">
        <f>HYPERLINK("http://www.eum.go.kr/web/ar/lu/luLandDet.jsp?pnu=3611032021101670003&amp;isNoScr=script&amp;mode=search", "토지이음")</f>
        <v/>
      </c>
      <c r="T401" s="3" t="inlineStr">
        <is>
          <t>금화랜드</t>
        </is>
      </c>
      <c r="U401" s="4" t="n">
        <v>1</v>
      </c>
      <c r="V401" s="5" t="n">
        <v>79.09999999999999</v>
      </c>
      <c r="W401" s="4" t="n">
        <v>8450</v>
      </c>
      <c r="X401" s="3" t="inlineStr">
        <is>
          <t>미표기</t>
        </is>
      </c>
      <c r="Y401" s="7" t="inlineStr">
        <is>
          <t>2층</t>
        </is>
      </c>
      <c r="Z401" s="3" t="inlineStr">
        <is>
          <t>철근콘크리트구조</t>
        </is>
      </c>
      <c r="AA401" s="3" t="inlineStr">
        <is>
          <t>공장</t>
        </is>
      </c>
      <c r="AB401" s="3" t="inlineStr">
        <is>
          <t>-</t>
        </is>
      </c>
      <c r="AC401" s="3" t="inlineStr">
        <is>
          <t>1992</t>
        </is>
      </c>
      <c r="AD401" s="3" t="inlineStr">
        <is>
          <t>소로한면</t>
        </is>
      </c>
    </row>
    <row r="402">
      <c r="A402" s="3" t="inlineStr">
        <is>
          <t>연동면 내판리 167-3</t>
        </is>
      </c>
      <c r="B402" s="3" t="inlineStr">
        <is>
          <t>계획관리지역</t>
        </is>
      </c>
      <c r="C402" s="3" t="inlineStr">
        <is>
          <t>공장용지</t>
        </is>
      </c>
      <c r="D402" s="3" t="inlineStr">
        <is>
          <t>공장</t>
        </is>
      </c>
      <c r="E402" s="3" t="inlineStr">
        <is>
          <t>매매</t>
        </is>
      </c>
      <c r="F402" s="4" t="n">
        <v>1050000</v>
      </c>
      <c r="G402" s="4" t="n">
        <v>0</v>
      </c>
      <c r="H402" s="4" t="n">
        <v>9768</v>
      </c>
      <c r="I402" s="4" t="n">
        <v>2955</v>
      </c>
      <c r="J402" s="5" t="n">
        <v>355.3</v>
      </c>
      <c r="K402" s="4" t="n">
        <v>4329</v>
      </c>
      <c r="L402" s="4" t="n">
        <v>1310</v>
      </c>
      <c r="M402" s="5" t="n">
        <v>801.5</v>
      </c>
      <c r="N402" s="3" t="inlineStr">
        <is>
          <t>2</t>
        </is>
      </c>
      <c r="O402" s="3" t="inlineStr">
        <is>
          <t>-</t>
        </is>
      </c>
      <c r="P402" s="3" t="inlineStr">
        <is>
          <t>남청주IC 10분,세종시청 20분거리,빠른 입주 가능</t>
        </is>
      </c>
      <c r="Q402" s="6">
        <f>HYPERLINK("https://fin.land.naver.com/articles/2654606972", "매물Link")</f>
        <v/>
      </c>
      <c r="R402" s="6">
        <f>HYPERLINK("https://map.naver.com/p/search/연동면 내판리 167-3", "지도Link")</f>
        <v/>
      </c>
      <c r="S402" s="6">
        <f>HYPERLINK("http://www.eum.go.kr/web/ar/lu/luLandDet.jsp?pnu=3611032021101670003&amp;isNoScr=script&amp;mode=search", "토지이음")</f>
        <v/>
      </c>
      <c r="T402" s="3" t="inlineStr">
        <is>
          <t>금화랜드</t>
        </is>
      </c>
      <c r="U402" s="4" t="n">
        <v>1</v>
      </c>
      <c r="V402" s="5" t="n">
        <v>79.09999999999999</v>
      </c>
      <c r="W402" s="4" t="n">
        <v>8450</v>
      </c>
      <c r="X402" s="3" t="inlineStr">
        <is>
          <t>미표기</t>
        </is>
      </c>
      <c r="Y402" s="7" t="inlineStr">
        <is>
          <t>2층</t>
        </is>
      </c>
      <c r="Z402" s="3" t="inlineStr">
        <is>
          <t>철근콘크리트구조</t>
        </is>
      </c>
      <c r="AA402" s="3" t="inlineStr">
        <is>
          <t>공장</t>
        </is>
      </c>
      <c r="AB402" s="3" t="inlineStr">
        <is>
          <t>-</t>
        </is>
      </c>
      <c r="AC402" s="3" t="inlineStr">
        <is>
          <t>1992</t>
        </is>
      </c>
      <c r="AD402" s="3" t="inlineStr">
        <is>
          <t>소로한면</t>
        </is>
      </c>
    </row>
    <row r="403">
      <c r="A403" s="3" t="inlineStr">
        <is>
          <t>연동면 내판리 167-3</t>
        </is>
      </c>
      <c r="B403" s="3" t="inlineStr">
        <is>
          <t>계획관리지역</t>
        </is>
      </c>
      <c r="C403" s="3" t="inlineStr">
        <is>
          <t>공장용지</t>
        </is>
      </c>
      <c r="D403" s="3" t="inlineStr">
        <is>
          <t>공장</t>
        </is>
      </c>
      <c r="E403" s="3" t="inlineStr">
        <is>
          <t>월세</t>
        </is>
      </c>
      <c r="F403" s="4" t="n">
        <v>30000</v>
      </c>
      <c r="G403" s="4" t="n">
        <v>3000</v>
      </c>
      <c r="H403" s="4" t="n">
        <v>9768</v>
      </c>
      <c r="I403" s="4" t="n">
        <v>2955</v>
      </c>
      <c r="J403" s="5" t="n">
        <v>1</v>
      </c>
      <c r="K403" s="4" t="n">
        <v>3305</v>
      </c>
      <c r="L403" s="4" t="n">
        <v>1000</v>
      </c>
      <c r="M403" s="5" t="n">
        <v>3</v>
      </c>
      <c r="N403" s="3" t="inlineStr">
        <is>
          <t>2</t>
        </is>
      </c>
      <c r="O403" s="3" t="inlineStr">
        <is>
          <t>-</t>
        </is>
      </c>
      <c r="P403" s="3" t="inlineStr">
        <is>
          <t>사진有 공장 임대</t>
        </is>
      </c>
      <c r="Q403" s="6">
        <f>HYPERLINK("https://fin.land.naver.com/articles/2653040761", "매물Link")</f>
        <v/>
      </c>
      <c r="R403" s="6">
        <f>HYPERLINK("https://map.naver.com/p/search/연동면 내판리 167-3", "지도Link")</f>
        <v/>
      </c>
      <c r="S403" s="6">
        <f>HYPERLINK("http://www.eum.go.kr/web/ar/lu/luLandDet.jsp?pnu=3611032021101670003&amp;isNoScr=script&amp;mode=search", "토지이음")</f>
        <v/>
      </c>
      <c r="T403" s="3" t="inlineStr">
        <is>
          <t>월드</t>
        </is>
      </c>
      <c r="U403" s="4" t="n">
        <v>1</v>
      </c>
      <c r="V403" s="5" t="n">
        <v>79.09999999999999</v>
      </c>
      <c r="W403" s="4" t="n">
        <v>8450</v>
      </c>
      <c r="X403" s="3" t="inlineStr">
        <is>
          <t>미표기</t>
        </is>
      </c>
      <c r="Y403" s="7" t="inlineStr">
        <is>
          <t>2층</t>
        </is>
      </c>
      <c r="Z403" s="3" t="inlineStr">
        <is>
          <t>철근콘크리트구조</t>
        </is>
      </c>
      <c r="AA403" s="3" t="inlineStr">
        <is>
          <t>공장</t>
        </is>
      </c>
      <c r="AB403" s="3" t="inlineStr">
        <is>
          <t>-</t>
        </is>
      </c>
      <c r="AC403" s="3" t="inlineStr">
        <is>
          <t>1992</t>
        </is>
      </c>
      <c r="AD403" s="3" t="inlineStr">
        <is>
          <t>소로한면</t>
        </is>
      </c>
    </row>
    <row r="404">
      <c r="A404" s="3" t="inlineStr">
        <is>
          <t>연동면 내판리 187-2</t>
        </is>
      </c>
      <c r="B404" s="3" t="inlineStr">
        <is>
          <t>계획관리지역</t>
        </is>
      </c>
      <c r="C404" s="3" t="inlineStr">
        <is>
          <t>창고용지</t>
        </is>
      </c>
      <c r="D404" s="3" t="inlineStr">
        <is>
          <t>창고</t>
        </is>
      </c>
      <c r="E404" s="3" t="inlineStr">
        <is>
          <t>월세</t>
        </is>
      </c>
      <c r="F404" s="4" t="n">
        <v>5000</v>
      </c>
      <c r="G404" s="4" t="n">
        <v>400</v>
      </c>
      <c r="H404" s="4" t="n">
        <v>2828</v>
      </c>
      <c r="I404" s="4" t="n">
        <v>855</v>
      </c>
      <c r="J404" s="5" t="n">
        <v>0.5</v>
      </c>
      <c r="K404" s="4" t="n">
        <v>660</v>
      </c>
      <c r="L404" s="4" t="n">
        <v>200</v>
      </c>
      <c r="M404" s="5" t="n">
        <v>2</v>
      </c>
      <c r="N404" s="3" t="inlineStr">
        <is>
          <t>1</t>
        </is>
      </c>
      <c r="O404" s="3" t="inlineStr">
        <is>
          <t>-</t>
        </is>
      </c>
      <c r="P404" s="3" t="inlineStr">
        <is>
          <t>사진有 창고 임대</t>
        </is>
      </c>
      <c r="Q404" s="6">
        <f>HYPERLINK("https://fin.land.naver.com/articles/2652987986", "매물Link")</f>
        <v/>
      </c>
      <c r="R404" s="6">
        <f>HYPERLINK("https://map.naver.com/p/search/연동면 내판리 187-2", "지도Link")</f>
        <v/>
      </c>
      <c r="S404" s="6">
        <f>HYPERLINK("http://www.eum.go.kr/web/ar/lu/luLandDet.jsp?pnu=3611032021101870002&amp;isNoScr=script&amp;mode=search", "토지이음")</f>
        <v/>
      </c>
      <c r="T404" s="3" t="inlineStr">
        <is>
          <t>월드</t>
        </is>
      </c>
      <c r="U404" s="4" t="n">
        <v>1</v>
      </c>
      <c r="V404" s="5" t="n">
        <v>200.9</v>
      </c>
      <c r="W404" s="4" t="n">
        <v>2828</v>
      </c>
      <c r="X404" s="3" t="inlineStr">
        <is>
          <t>미표기</t>
        </is>
      </c>
      <c r="Y404" s="7" t="inlineStr">
        <is>
          <t>1층</t>
        </is>
      </c>
      <c r="Z404" s="3" t="inlineStr">
        <is>
          <t>일반철골구조</t>
        </is>
      </c>
      <c r="AA404" s="3" t="inlineStr">
        <is>
          <t>창고시설</t>
        </is>
      </c>
      <c r="AB404" s="3" t="inlineStr">
        <is>
          <t>8.4m</t>
        </is>
      </c>
      <c r="AC404" s="3" t="inlineStr">
        <is>
          <t>1998-12</t>
        </is>
      </c>
      <c r="AD404" s="3" t="inlineStr">
        <is>
          <t>소로한면</t>
        </is>
      </c>
    </row>
    <row r="405">
      <c r="A405" s="3" t="inlineStr">
        <is>
          <t>연동면 내판리 602</t>
        </is>
      </c>
      <c r="B405" s="3" t="inlineStr">
        <is>
          <t>계획관리지역</t>
        </is>
      </c>
      <c r="C405" s="3" t="inlineStr">
        <is>
          <t>공장용지</t>
        </is>
      </c>
      <c r="D405" s="3" t="inlineStr">
        <is>
          <t>공장</t>
        </is>
      </c>
      <c r="E405" s="3" t="inlineStr">
        <is>
          <t>매매</t>
        </is>
      </c>
      <c r="F405" s="4" t="n">
        <v>400000</v>
      </c>
      <c r="G405" s="4" t="n">
        <v>0</v>
      </c>
      <c r="H405" s="4" t="n">
        <v>3004</v>
      </c>
      <c r="I405" s="4" t="n">
        <v>909</v>
      </c>
      <c r="J405" s="5" t="n">
        <v>440</v>
      </c>
      <c r="K405" s="4" t="n">
        <v>1328</v>
      </c>
      <c r="L405" s="4" t="n">
        <v>402</v>
      </c>
      <c r="M405" s="5" t="n">
        <v>995</v>
      </c>
      <c r="N405" s="3" t="inlineStr">
        <is>
          <t>2</t>
        </is>
      </c>
      <c r="O405" s="3" t="inlineStr">
        <is>
          <t>-</t>
        </is>
      </c>
      <c r="P405" s="3" t="inlineStr">
        <is>
          <t>연동면 내판리 공장 매매, 5생활권 및 명학산단 인근 위치, 국유지 사용</t>
        </is>
      </c>
      <c r="Q405" s="6">
        <f>HYPERLINK("https://fin.land.naver.com/articles/2649816046", "매물Link")</f>
        <v/>
      </c>
      <c r="R405" s="6">
        <f>HYPERLINK("https://map.naver.com/p/search/연동면 내판리 602", "지도Link")</f>
        <v/>
      </c>
      <c r="S405" s="6">
        <f>HYPERLINK("http://www.eum.go.kr/web/ar/lu/luLandDet.jsp?pnu=3611032021106020000&amp;isNoScr=script&amp;mode=search", "토지이음")</f>
        <v/>
      </c>
      <c r="T405" s="3" t="inlineStr">
        <is>
          <t>스카이</t>
        </is>
      </c>
      <c r="U405" s="4" t="n">
        <v>1</v>
      </c>
      <c r="V405" s="5" t="n">
        <v>65.40000000000001</v>
      </c>
      <c r="W405" s="4" t="n">
        <v>3004</v>
      </c>
      <c r="X405" s="3" t="inlineStr">
        <is>
          <t>주건축물제1동</t>
        </is>
      </c>
      <c r="Y405" s="7" t="inlineStr">
        <is>
          <t>1층</t>
        </is>
      </c>
      <c r="Z405" s="3" t="inlineStr">
        <is>
          <t>일반철골구조</t>
        </is>
      </c>
      <c r="AA405" s="3" t="inlineStr">
        <is>
          <t>공장</t>
        </is>
      </c>
      <c r="AB405" s="3" t="inlineStr">
        <is>
          <t>8.2m</t>
        </is>
      </c>
      <c r="AC405" s="3" t="inlineStr">
        <is>
          <t>2002-12</t>
        </is>
      </c>
      <c r="AD405" s="3" t="inlineStr">
        <is>
          <t>세로한면(가)</t>
        </is>
      </c>
    </row>
    <row r="406">
      <c r="A406" s="3" t="inlineStr">
        <is>
          <t>연동면 내판리 711</t>
        </is>
      </c>
      <c r="B406" s="3" t="inlineStr">
        <is>
          <t>일반공업지역</t>
        </is>
      </c>
      <c r="C406" s="3" t="inlineStr">
        <is>
          <t>공장용지</t>
        </is>
      </c>
      <c r="D406" s="3" t="inlineStr">
        <is>
          <t>공장</t>
        </is>
      </c>
      <c r="E406" s="3" t="inlineStr">
        <is>
          <t>매매</t>
        </is>
      </c>
      <c r="F406" s="4" t="n">
        <v>685000</v>
      </c>
      <c r="G406" s="4" t="n">
        <v>0</v>
      </c>
      <c r="H406" s="4" t="n">
        <v>4511</v>
      </c>
      <c r="I406" s="4" t="n">
        <v>1365</v>
      </c>
      <c r="J406" s="5" t="n">
        <v>501.8</v>
      </c>
      <c r="K406" s="4" t="n">
        <v>987</v>
      </c>
      <c r="L406" s="4" t="n">
        <v>299</v>
      </c>
      <c r="M406" s="5" t="n">
        <v>2291</v>
      </c>
      <c r="N406" s="3" t="inlineStr">
        <is>
          <t>2</t>
        </is>
      </c>
      <c r="O406" s="3" t="inlineStr">
        <is>
          <t>-</t>
        </is>
      </c>
      <c r="P406" s="3" t="inlineStr">
        <is>
          <t>명학산업단지 삼성전기 인근 귀한 공장 급매</t>
        </is>
      </c>
      <c r="Q406" s="6">
        <f>HYPERLINK("https://fin.land.naver.com/articles/2652597085", "매물Link")</f>
        <v/>
      </c>
      <c r="R406" s="6">
        <f>HYPERLINK("https://map.naver.com/p/search/연동면 내판리 711", "지도Link")</f>
        <v/>
      </c>
      <c r="S406" s="6">
        <f>HYPERLINK("http://www.eum.go.kr/web/ar/lu/luLandDet.jsp?pnu=3611032021107110000&amp;isNoScr=script&amp;mode=search", "토지이음")</f>
        <v/>
      </c>
      <c r="T406" s="3" t="inlineStr">
        <is>
          <t>청담</t>
        </is>
      </c>
      <c r="U406" s="4" t="n">
        <v>1</v>
      </c>
      <c r="V406" s="5" t="n">
        <v>106.6</v>
      </c>
      <c r="W406" s="4" t="n">
        <v>4511.2</v>
      </c>
      <c r="X406" s="3" t="inlineStr">
        <is>
          <t>주1동</t>
        </is>
      </c>
      <c r="Y406" s="7" t="inlineStr">
        <is>
          <t>2층</t>
        </is>
      </c>
      <c r="Z406" s="3" t="inlineStr">
        <is>
          <t>일반철골구조</t>
        </is>
      </c>
      <c r="AA406" s="3" t="inlineStr">
        <is>
          <t>공장</t>
        </is>
      </c>
      <c r="AB406" s="3" t="inlineStr">
        <is>
          <t>9.5m</t>
        </is>
      </c>
      <c r="AC406" s="3" t="inlineStr">
        <is>
          <t>2017-12</t>
        </is>
      </c>
      <c r="AD406" s="3" t="inlineStr">
        <is>
          <t>중로한면</t>
        </is>
      </c>
    </row>
    <row r="407">
      <c r="A407" s="3" t="inlineStr">
        <is>
          <t>연동면 명학리 621-2</t>
        </is>
      </c>
      <c r="B407" s="3" t="inlineStr">
        <is>
          <t>보전관리지역</t>
        </is>
      </c>
      <c r="C407" s="3" t="inlineStr">
        <is>
          <t>대</t>
        </is>
      </c>
      <c r="D407" s="3" t="inlineStr">
        <is>
          <t>창고</t>
        </is>
      </c>
      <c r="E407" s="3" t="inlineStr">
        <is>
          <t>월세</t>
        </is>
      </c>
      <c r="F407" s="4" t="n">
        <v>3000</v>
      </c>
      <c r="G407" s="4" t="n">
        <v>150</v>
      </c>
      <c r="H407" s="4" t="n">
        <v>2192</v>
      </c>
      <c r="I407" s="4" t="n">
        <v>663</v>
      </c>
      <c r="J407" s="5" t="n">
        <v>0.2</v>
      </c>
      <c r="K407" s="4" t="n">
        <v>187</v>
      </c>
      <c r="L407" s="4" t="n">
        <v>57</v>
      </c>
      <c r="M407" s="5" t="n">
        <v>2.6</v>
      </c>
      <c r="N407" s="3" t="inlineStr">
        <is>
          <t>1</t>
        </is>
      </c>
      <c r="O407" s="3" t="inlineStr">
        <is>
          <t>-</t>
        </is>
      </c>
      <c r="P407" s="3" t="inlineStr">
        <is>
          <t>nan</t>
        </is>
      </c>
      <c r="Q407" s="6">
        <f>HYPERLINK("https://fin.land.naver.com/articles/2649624084", "매물Link")</f>
        <v/>
      </c>
      <c r="R407" s="6">
        <f>HYPERLINK("https://map.naver.com/p/search/연동면 명학리 621-2", "지도Link")</f>
        <v/>
      </c>
      <c r="S407" s="6">
        <f>HYPERLINK("http://www.eum.go.kr/web/ar/lu/luLandDet.jsp?pnu=3611032023106210002&amp;isNoScr=script&amp;mode=search", "토지이음")</f>
        <v/>
      </c>
      <c r="T407" s="3" t="inlineStr">
        <is>
          <t>효자</t>
        </is>
      </c>
      <c r="U407" s="4" t="n">
        <v>1</v>
      </c>
      <c r="V407" s="5" t="n">
        <v>76.40000000000001</v>
      </c>
      <c r="W407" s="4" t="n">
        <v>1868</v>
      </c>
      <c r="X407" s="3" t="inlineStr">
        <is>
          <t>주1동</t>
        </is>
      </c>
      <c r="Y407" s="7" t="inlineStr">
        <is>
          <t>1층</t>
        </is>
      </c>
      <c r="Z407" s="3" t="inlineStr">
        <is>
          <t>일반철골구조</t>
        </is>
      </c>
      <c r="AA407" s="3" t="inlineStr">
        <is>
          <t>제1종근생</t>
        </is>
      </c>
      <c r="AB407" s="3" t="inlineStr">
        <is>
          <t>5.15m</t>
        </is>
      </c>
      <c r="AC407" s="3" t="inlineStr">
        <is>
          <t>2020-12</t>
        </is>
      </c>
      <c r="AD407" s="3" t="inlineStr">
        <is>
          <t>세로한면(가)</t>
        </is>
      </c>
    </row>
    <row r="408">
      <c r="A408" s="3" t="inlineStr">
        <is>
          <t>연동면 명학리 964</t>
        </is>
      </c>
      <c r="B408" s="3" t="inlineStr">
        <is>
          <t>일반공업지역</t>
        </is>
      </c>
      <c r="C408" s="3" t="inlineStr">
        <is>
          <t>공장용지</t>
        </is>
      </c>
      <c r="D408" s="3" t="inlineStr">
        <is>
          <t>공장</t>
        </is>
      </c>
      <c r="E408" s="3" t="inlineStr">
        <is>
          <t>매매</t>
        </is>
      </c>
      <c r="F408" s="4" t="n">
        <v>3500000</v>
      </c>
      <c r="G408" s="4" t="n">
        <v>0</v>
      </c>
      <c r="H408" s="4" t="n">
        <v>21393</v>
      </c>
      <c r="I408" s="4" t="n">
        <v>6471</v>
      </c>
      <c r="J408" s="5" t="n">
        <v>540.9</v>
      </c>
      <c r="K408" s="4" t="n">
        <v>11128</v>
      </c>
      <c r="L408" s="4" t="n">
        <v>3366</v>
      </c>
      <c r="M408" s="5" t="n">
        <v>1039.8</v>
      </c>
      <c r="N408" s="3" t="inlineStr">
        <is>
          <t>3</t>
        </is>
      </c>
      <c r="O408" s="3" t="inlineStr">
        <is>
          <t>-</t>
        </is>
      </c>
      <c r="P408" s="3" t="inlineStr">
        <is>
          <t>세종시 일반공업지역의 호이스트 및 층고 높은 대형공장</t>
        </is>
      </c>
      <c r="Q408" s="6">
        <f>HYPERLINK("https://fin.land.naver.com/articles/2653996587", "매물Link")</f>
        <v/>
      </c>
      <c r="R408" s="6">
        <f>HYPERLINK("https://map.naver.com/p/search/연동면 명학리 964", "지도Link")</f>
        <v/>
      </c>
      <c r="S408" s="6">
        <f>HYPERLINK("http://www.eum.go.kr/web/ar/lu/luLandDet.jsp?pnu=3611032023109640000&amp;isNoScr=script&amp;mode=search", "토지이음")</f>
        <v/>
      </c>
      <c r="T408" s="3" t="inlineStr">
        <is>
          <t>(주)미르</t>
        </is>
      </c>
      <c r="U408" s="4" t="n">
        <v>2</v>
      </c>
      <c r="V408" s="5" t="n">
        <v>113.9</v>
      </c>
      <c r="W408" s="4" t="n">
        <v>21393.3</v>
      </c>
      <c r="X408" s="3" t="inlineStr">
        <is>
          <t>미표기</t>
        </is>
      </c>
      <c r="Y408" s="7" t="inlineStr">
        <is>
          <t>3층</t>
        </is>
      </c>
      <c r="Z408" s="3" t="inlineStr">
        <is>
          <t>일반철골구조</t>
        </is>
      </c>
      <c r="AA408" s="3" t="inlineStr">
        <is>
          <t>공장</t>
        </is>
      </c>
      <c r="AB408" s="3" t="inlineStr">
        <is>
          <t>14.2m</t>
        </is>
      </c>
      <c r="AC408" s="3" t="inlineStr">
        <is>
          <t>2017-06</t>
        </is>
      </c>
      <c r="AD408" s="3" t="inlineStr">
        <is>
          <t>중로한면</t>
        </is>
      </c>
    </row>
    <row r="409">
      <c r="A409" s="3" t="inlineStr">
        <is>
          <t>연동면 명학리 964</t>
        </is>
      </c>
      <c r="B409" s="3" t="inlineStr">
        <is>
          <t>일반공업지역</t>
        </is>
      </c>
      <c r="C409" s="3" t="inlineStr">
        <is>
          <t>공장용지</t>
        </is>
      </c>
      <c r="D409" s="3" t="inlineStr">
        <is>
          <t>공장</t>
        </is>
      </c>
      <c r="E409" s="3" t="inlineStr">
        <is>
          <t>매매</t>
        </is>
      </c>
      <c r="F409" s="4" t="n">
        <v>3500000</v>
      </c>
      <c r="G409" s="4" t="n">
        <v>0</v>
      </c>
      <c r="H409" s="4" t="n">
        <v>21393</v>
      </c>
      <c r="I409" s="4" t="n">
        <v>6471</v>
      </c>
      <c r="J409" s="5" t="n">
        <v>540.9</v>
      </c>
      <c r="K409" s="4" t="n">
        <v>11128</v>
      </c>
      <c r="L409" s="4" t="n">
        <v>3366</v>
      </c>
      <c r="M409" s="5" t="n">
        <v>1039.8</v>
      </c>
      <c r="N409" s="3" t="inlineStr">
        <is>
          <t>3</t>
        </is>
      </c>
      <c r="O409" s="3" t="inlineStr">
        <is>
          <t>-</t>
        </is>
      </c>
      <c r="P409" s="3" t="inlineStr">
        <is>
          <t>사진有 공장 매매</t>
        </is>
      </c>
      <c r="Q409" s="6">
        <f>HYPERLINK("https://fin.land.naver.com/articles/2649599958", "매물Link")</f>
        <v/>
      </c>
      <c r="R409" s="6">
        <f>HYPERLINK("https://map.naver.com/p/search/연동면 명학리 964", "지도Link")</f>
        <v/>
      </c>
      <c r="S409" s="6">
        <f>HYPERLINK("http://www.eum.go.kr/web/ar/lu/luLandDet.jsp?pnu=3611032023109640000&amp;isNoScr=script&amp;mode=search", "토지이음")</f>
        <v/>
      </c>
      <c r="T409" s="3" t="inlineStr">
        <is>
          <t>월드</t>
        </is>
      </c>
      <c r="U409" s="4" t="n">
        <v>1</v>
      </c>
      <c r="V409" s="5" t="n">
        <v>113.9</v>
      </c>
      <c r="W409" s="4" t="n">
        <v>21393.3</v>
      </c>
      <c r="X409" s="3" t="inlineStr">
        <is>
          <t>미표기</t>
        </is>
      </c>
      <c r="Y409" s="7" t="inlineStr">
        <is>
          <t>3층</t>
        </is>
      </c>
      <c r="Z409" s="3" t="inlineStr">
        <is>
          <t>일반철골구조</t>
        </is>
      </c>
      <c r="AA409" s="3" t="inlineStr">
        <is>
          <t>공장</t>
        </is>
      </c>
      <c r="AB409" s="3" t="inlineStr">
        <is>
          <t>14.2m</t>
        </is>
      </c>
      <c r="AC409" s="3" t="inlineStr">
        <is>
          <t>2017-06</t>
        </is>
      </c>
      <c r="AD409" s="3" t="inlineStr">
        <is>
          <t>중로한면</t>
        </is>
      </c>
    </row>
    <row r="410">
      <c r="A410" s="3" t="inlineStr">
        <is>
          <t>연동면 송용리 254-1</t>
        </is>
      </c>
      <c r="B410" s="3" t="inlineStr">
        <is>
          <t>계획관리지역</t>
        </is>
      </c>
      <c r="C410" s="3" t="inlineStr">
        <is>
          <t>대</t>
        </is>
      </c>
      <c r="D410" s="3" t="inlineStr">
        <is>
          <t>창고</t>
        </is>
      </c>
      <c r="E410" s="3" t="inlineStr">
        <is>
          <t>월세</t>
        </is>
      </c>
      <c r="F410" s="4" t="n">
        <v>3000</v>
      </c>
      <c r="G410" s="4" t="n">
        <v>200</v>
      </c>
      <c r="H410" s="4" t="n">
        <v>164</v>
      </c>
      <c r="I410" s="4" t="n">
        <v>50</v>
      </c>
      <c r="J410" s="5" t="n">
        <v>4</v>
      </c>
      <c r="K410" s="4" t="n">
        <v>330</v>
      </c>
      <c r="L410" s="4" t="n">
        <v>100</v>
      </c>
      <c r="M410" s="5" t="n">
        <v>2</v>
      </c>
      <c r="N410" s="3" t="inlineStr">
        <is>
          <t>1</t>
        </is>
      </c>
      <c r="O410" s="3" t="inlineStr">
        <is>
          <t>-</t>
        </is>
      </c>
      <c r="P410" s="3" t="inlineStr">
        <is>
          <t>카폐 및 창고사무실추천</t>
        </is>
      </c>
      <c r="Q410" s="6">
        <f>HYPERLINK("https://fin.land.naver.com/articles/2651027858", "매물Link")</f>
        <v/>
      </c>
      <c r="R410" s="6">
        <f>HYPERLINK("https://map.naver.com/p/search/연동면 송용리 254-1", "지도Link")</f>
        <v/>
      </c>
      <c r="S410" s="6">
        <f>HYPERLINK("http://www.eum.go.kr/web/ar/lu/luLandDet.jsp?pnu=3611032027102540001&amp;isNoScr=script&amp;mode=search", "토지이음")</f>
        <v/>
      </c>
      <c r="T410" s="3" t="inlineStr">
        <is>
          <t>연동스카이</t>
        </is>
      </c>
      <c r="U410" s="4" t="n">
        <v>1</v>
      </c>
      <c r="V410" s="5" t="n">
        <v>57.3</v>
      </c>
      <c r="W410" s="4" t="n">
        <v>1649</v>
      </c>
      <c r="X410" s="3" t="inlineStr">
        <is>
          <t>미표기</t>
        </is>
      </c>
      <c r="Y410" s="7" t="inlineStr">
        <is>
          <t>1층</t>
        </is>
      </c>
      <c r="Z410" s="3" t="inlineStr">
        <is>
          <t>철근콘크리트구조</t>
        </is>
      </c>
      <c r="AA410" s="3" t="inlineStr">
        <is>
          <t>창고시설</t>
        </is>
      </c>
      <c r="AB410" s="3" t="inlineStr">
        <is>
          <t>-</t>
        </is>
      </c>
      <c r="AC410" s="3" t="inlineStr">
        <is>
          <t>1976-04</t>
        </is>
      </c>
      <c r="AD410" s="3" t="inlineStr">
        <is>
          <t>세로한면(가)</t>
        </is>
      </c>
    </row>
    <row r="411">
      <c r="A411" s="3" t="inlineStr">
        <is>
          <t>연동면 응암리 108-4</t>
        </is>
      </c>
      <c r="B411" s="3" t="inlineStr">
        <is>
          <t>계획관리지역</t>
        </is>
      </c>
      <c r="C411" s="3" t="inlineStr">
        <is>
          <t>공장용지</t>
        </is>
      </c>
      <c r="D411" s="3" t="inlineStr">
        <is>
          <t>공장</t>
        </is>
      </c>
      <c r="E411" s="3" t="inlineStr">
        <is>
          <t>매매</t>
        </is>
      </c>
      <c r="F411" s="4" t="n">
        <v>1600000</v>
      </c>
      <c r="G411" s="4" t="n">
        <v>0</v>
      </c>
      <c r="H411" s="4" t="n">
        <v>24760</v>
      </c>
      <c r="I411" s="4" t="n">
        <v>7490</v>
      </c>
      <c r="J411" s="5" t="n">
        <v>213.6</v>
      </c>
      <c r="K411" s="4" t="n">
        <v>4454</v>
      </c>
      <c r="L411" s="4" t="n">
        <v>1347</v>
      </c>
      <c r="M411" s="5" t="n">
        <v>1187.8</v>
      </c>
      <c r="N411" s="3" t="inlineStr">
        <is>
          <t>1</t>
        </is>
      </c>
      <c r="O411" s="3" t="inlineStr">
        <is>
          <t>-</t>
        </is>
      </c>
      <c r="P411" s="3" t="inlineStr">
        <is>
          <t>세종5생활권 인근 대형공장, 창고,층고 13.4m, 마당넓고 깨끗함</t>
        </is>
      </c>
      <c r="Q411" s="6">
        <f>HYPERLINK("https://fin.land.naver.com/articles/2652356797", "매물Link")</f>
        <v/>
      </c>
      <c r="R411" s="6">
        <f>HYPERLINK("https://map.naver.com/p/search/연동면 응암리 108-4", "지도Link")</f>
        <v/>
      </c>
      <c r="S411" s="6">
        <f>HYPERLINK("http://www.eum.go.kr/web/ar/lu/luLandDet.jsp?pnu=3611032024101080004&amp;isNoScr=script&amp;mode=search", "토지이음")</f>
        <v/>
      </c>
      <c r="T411" s="3" t="inlineStr">
        <is>
          <t>(주)미르</t>
        </is>
      </c>
      <c r="U411" s="4" t="n">
        <v>1</v>
      </c>
      <c r="V411" s="5" t="n">
        <v>75.8</v>
      </c>
      <c r="W411" s="4" t="n">
        <v>24760</v>
      </c>
      <c r="X411" s="3" t="inlineStr">
        <is>
          <t>주1동</t>
        </is>
      </c>
      <c r="Y411" s="7" t="inlineStr">
        <is>
          <t>1층</t>
        </is>
      </c>
      <c r="Z411" s="3" t="inlineStr">
        <is>
          <t>일반철골구조</t>
        </is>
      </c>
      <c r="AA411" s="3" t="inlineStr">
        <is>
          <t>공장</t>
        </is>
      </c>
      <c r="AB411" s="3" t="inlineStr">
        <is>
          <t>13.45m</t>
        </is>
      </c>
      <c r="AC411" s="3" t="inlineStr">
        <is>
          <t>2018-02</t>
        </is>
      </c>
      <c r="AD411" s="3" t="inlineStr">
        <is>
          <t>소로한면</t>
        </is>
      </c>
    </row>
    <row r="412">
      <c r="A412" s="3" t="inlineStr">
        <is>
          <t>연동면 응암리 108-4</t>
        </is>
      </c>
      <c r="B412" s="3" t="inlineStr">
        <is>
          <t>계획관리지역</t>
        </is>
      </c>
      <c r="C412" s="3" t="inlineStr">
        <is>
          <t>공장용지</t>
        </is>
      </c>
      <c r="D412" s="3" t="inlineStr">
        <is>
          <t>공장</t>
        </is>
      </c>
      <c r="E412" s="3" t="inlineStr">
        <is>
          <t>매매</t>
        </is>
      </c>
      <c r="F412" s="4" t="n">
        <v>1600000</v>
      </c>
      <c r="G412" s="4" t="n">
        <v>0</v>
      </c>
      <c r="H412" s="4" t="n">
        <v>24760</v>
      </c>
      <c r="I412" s="4" t="n">
        <v>7490</v>
      </c>
      <c r="J412" s="5" t="n">
        <v>213.6</v>
      </c>
      <c r="K412" s="4" t="n">
        <v>4454</v>
      </c>
      <c r="L412" s="4" t="n">
        <v>1347</v>
      </c>
      <c r="M412" s="5" t="n">
        <v>1187.8</v>
      </c>
      <c r="N412" s="3" t="inlineStr">
        <is>
          <t>1</t>
        </is>
      </c>
      <c r="O412" s="3" t="inlineStr">
        <is>
          <t>-</t>
        </is>
      </c>
      <c r="P412" s="3" t="inlineStr">
        <is>
          <t>세종5생활권인근 대형공장 창고,남청주IC 10분거리 층고 13.45M</t>
        </is>
      </c>
      <c r="Q412" s="6">
        <f>HYPERLINK("https://fin.land.naver.com/articles/2652625576", "매물Link")</f>
        <v/>
      </c>
      <c r="R412" s="6">
        <f>HYPERLINK("https://map.naver.com/p/search/연동면 응암리 108-4", "지도Link")</f>
        <v/>
      </c>
      <c r="S412" s="6">
        <f>HYPERLINK("http://www.eum.go.kr/web/ar/lu/luLandDet.jsp?pnu=3611032024101080004&amp;isNoScr=script&amp;mode=search", "토지이음")</f>
        <v/>
      </c>
      <c r="T412" s="3" t="inlineStr">
        <is>
          <t>더원</t>
        </is>
      </c>
      <c r="U412" s="4" t="n">
        <v>2</v>
      </c>
      <c r="V412" s="5" t="n">
        <v>75.8</v>
      </c>
      <c r="W412" s="4" t="n">
        <v>24760</v>
      </c>
      <c r="X412" s="3" t="inlineStr">
        <is>
          <t>주1동</t>
        </is>
      </c>
      <c r="Y412" s="7" t="inlineStr">
        <is>
          <t>1층</t>
        </is>
      </c>
      <c r="Z412" s="3" t="inlineStr">
        <is>
          <t>일반철골구조</t>
        </is>
      </c>
      <c r="AA412" s="3" t="inlineStr">
        <is>
          <t>공장</t>
        </is>
      </c>
      <c r="AB412" s="3" t="inlineStr">
        <is>
          <t>13.45m</t>
        </is>
      </c>
      <c r="AC412" s="3" t="inlineStr">
        <is>
          <t>2018-02</t>
        </is>
      </c>
      <c r="AD412" s="3" t="inlineStr">
        <is>
          <t>소로한면</t>
        </is>
      </c>
    </row>
    <row r="413">
      <c r="A413" s="3" t="inlineStr">
        <is>
          <t>연동면 응암리 561-1</t>
        </is>
      </c>
      <c r="B413" s="3" t="inlineStr">
        <is>
          <t>계획관리지역</t>
        </is>
      </c>
      <c r="C413" s="3" t="inlineStr">
        <is>
          <t>공장용지</t>
        </is>
      </c>
      <c r="D413" s="3" t="inlineStr">
        <is>
          <t>공장</t>
        </is>
      </c>
      <c r="E413" s="3" t="inlineStr">
        <is>
          <t>매매</t>
        </is>
      </c>
      <c r="F413" s="4" t="n">
        <v>300000</v>
      </c>
      <c r="G413" s="4" t="n">
        <v>0</v>
      </c>
      <c r="H413" s="4" t="n">
        <v>2277</v>
      </c>
      <c r="I413" s="4" t="n">
        <v>689</v>
      </c>
      <c r="J413" s="5" t="n">
        <v>435.4</v>
      </c>
      <c r="K413" s="4" t="n">
        <v>1150</v>
      </c>
      <c r="L413" s="4" t="n">
        <v>348</v>
      </c>
      <c r="M413" s="5" t="n">
        <v>862.1</v>
      </c>
      <c r="N413" s="3" t="inlineStr">
        <is>
          <t>2</t>
        </is>
      </c>
      <c r="O413" s="3" t="inlineStr">
        <is>
          <t>-</t>
        </is>
      </c>
      <c r="P413" s="3" t="inlineStr">
        <is>
          <t>사진有 공장 매매</t>
        </is>
      </c>
      <c r="Q413" s="6">
        <f>HYPERLINK("https://fin.land.naver.com/articles/2649601039", "매물Link")</f>
        <v/>
      </c>
      <c r="R413" s="6">
        <f>HYPERLINK("https://map.naver.com/p/search/연동면 응암리 561-1", "지도Link")</f>
        <v/>
      </c>
      <c r="S413" s="6">
        <f>HYPERLINK("http://www.eum.go.kr/web/ar/lu/luLandDet.jsp?pnu=3611032024105610001&amp;isNoScr=script&amp;mode=search", "토지이음")</f>
        <v/>
      </c>
      <c r="T413" s="3" t="inlineStr">
        <is>
          <t>월드</t>
        </is>
      </c>
      <c r="U413" s="4" t="n">
        <v>1</v>
      </c>
      <c r="V413" s="5" t="n">
        <v>68.8</v>
      </c>
      <c r="W413" s="4" t="n">
        <v>2277</v>
      </c>
      <c r="X413" s="3" t="inlineStr">
        <is>
          <t>주건축물제1동</t>
        </is>
      </c>
      <c r="Y413" s="7" t="inlineStr">
        <is>
          <t>2층</t>
        </is>
      </c>
      <c r="Z413" s="3" t="inlineStr">
        <is>
          <t>일반철골구조</t>
        </is>
      </c>
      <c r="AA413" s="3" t="inlineStr">
        <is>
          <t>공장</t>
        </is>
      </c>
      <c r="AB413" s="3" t="inlineStr">
        <is>
          <t>9.3m</t>
        </is>
      </c>
      <c r="AC413" s="3" t="inlineStr">
        <is>
          <t>2011-10</t>
        </is>
      </c>
      <c r="AD413" s="3" t="inlineStr">
        <is>
          <t>소로한면</t>
        </is>
      </c>
    </row>
    <row r="414">
      <c r="A414" s="3" t="inlineStr">
        <is>
          <t>연동면 응암리 561-1</t>
        </is>
      </c>
      <c r="B414" s="3" t="inlineStr">
        <is>
          <t>계획관리지역</t>
        </is>
      </c>
      <c r="C414" s="3" t="inlineStr">
        <is>
          <t>공장용지</t>
        </is>
      </c>
      <c r="D414" s="3" t="inlineStr">
        <is>
          <t>공장</t>
        </is>
      </c>
      <c r="E414" s="3" t="inlineStr">
        <is>
          <t>매매</t>
        </is>
      </c>
      <c r="F414" s="4" t="n">
        <v>300000</v>
      </c>
      <c r="G414" s="4" t="n">
        <v>0</v>
      </c>
      <c r="H414" s="4" t="n">
        <v>2277</v>
      </c>
      <c r="I414" s="4" t="n">
        <v>689</v>
      </c>
      <c r="J414" s="5" t="n">
        <v>435.4</v>
      </c>
      <c r="K414" s="4" t="n">
        <v>1150</v>
      </c>
      <c r="L414" s="4" t="n">
        <v>348</v>
      </c>
      <c r="M414" s="5" t="n">
        <v>862.1</v>
      </c>
      <c r="N414" s="3" t="inlineStr">
        <is>
          <t>2</t>
        </is>
      </c>
      <c r="O414" s="3" t="inlineStr">
        <is>
          <t>-</t>
        </is>
      </c>
      <c r="P414" s="3" t="inlineStr">
        <is>
          <t>행복도시 도심1분 최인접 명학산업단지 건너편 6차선도로 바로옆</t>
        </is>
      </c>
      <c r="Q414" s="6">
        <f>HYPERLINK("https://fin.land.naver.com/articles/2651087083", "매물Link")</f>
        <v/>
      </c>
      <c r="R414" s="6">
        <f>HYPERLINK("https://map.naver.com/p/search/연동면 응암리 561-1", "지도Link")</f>
        <v/>
      </c>
      <c r="S414" s="6">
        <f>HYPERLINK("http://www.eum.go.kr/web/ar/lu/luLandDet.jsp?pnu=3611032024105610001&amp;isNoScr=script&amp;mode=search", "토지이음")</f>
        <v/>
      </c>
      <c r="T414" s="3" t="inlineStr">
        <is>
          <t>세종스타</t>
        </is>
      </c>
      <c r="U414" s="4" t="n">
        <v>2</v>
      </c>
      <c r="V414" s="5" t="n">
        <v>68.8</v>
      </c>
      <c r="W414" s="4" t="n">
        <v>2277</v>
      </c>
      <c r="X414" s="3" t="inlineStr">
        <is>
          <t>주건축물제1동</t>
        </is>
      </c>
      <c r="Y414" s="7" t="inlineStr">
        <is>
          <t>2층</t>
        </is>
      </c>
      <c r="Z414" s="3" t="inlineStr">
        <is>
          <t>일반철골구조</t>
        </is>
      </c>
      <c r="AA414" s="3" t="inlineStr">
        <is>
          <t>공장</t>
        </is>
      </c>
      <c r="AB414" s="3" t="inlineStr">
        <is>
          <t>9.3m</t>
        </is>
      </c>
      <c r="AC414" s="3" t="inlineStr">
        <is>
          <t>2011-10</t>
        </is>
      </c>
      <c r="AD414" s="3" t="inlineStr">
        <is>
          <t>소로한면</t>
        </is>
      </c>
    </row>
    <row r="415">
      <c r="A415" s="3" t="inlineStr">
        <is>
          <t>연동면 응암리 561-1</t>
        </is>
      </c>
      <c r="B415" s="3" t="inlineStr">
        <is>
          <t>계획관리지역</t>
        </is>
      </c>
      <c r="C415" s="3" t="inlineStr">
        <is>
          <t>공장용지</t>
        </is>
      </c>
      <c r="D415" s="3" t="inlineStr">
        <is>
          <t>공장</t>
        </is>
      </c>
      <c r="E415" s="3" t="inlineStr">
        <is>
          <t>매매</t>
        </is>
      </c>
      <c r="F415" s="4" t="n">
        <v>300000</v>
      </c>
      <c r="G415" s="4" t="n">
        <v>0</v>
      </c>
      <c r="H415" s="4" t="n">
        <v>2277</v>
      </c>
      <c r="I415" s="4" t="n">
        <v>689</v>
      </c>
      <c r="J415" s="5" t="n">
        <v>435.4</v>
      </c>
      <c r="K415" s="4" t="n">
        <v>1150</v>
      </c>
      <c r="L415" s="4" t="n">
        <v>348</v>
      </c>
      <c r="M415" s="5" t="n">
        <v>862.1</v>
      </c>
      <c r="N415" s="3" t="inlineStr">
        <is>
          <t>2</t>
        </is>
      </c>
      <c r="O415" s="3" t="inlineStr">
        <is>
          <t>-</t>
        </is>
      </c>
      <c r="P415" s="3" t="inlineStr">
        <is>
          <t>nan</t>
        </is>
      </c>
      <c r="Q415" s="6">
        <f>HYPERLINK("https://fin.land.naver.com/articles/2650955285", "매물Link")</f>
        <v/>
      </c>
      <c r="R415" s="6">
        <f>HYPERLINK("https://map.naver.com/p/search/연동면 응암리 561-1", "지도Link")</f>
        <v/>
      </c>
      <c r="S415" s="6">
        <f>HYPERLINK("http://www.eum.go.kr/web/ar/lu/luLandDet.jsp?pnu=3611032024105610001&amp;isNoScr=script&amp;mode=search", "토지이음")</f>
        <v/>
      </c>
      <c r="T415" s="3" t="inlineStr">
        <is>
          <t>세종땅전문</t>
        </is>
      </c>
      <c r="U415" s="4" t="n">
        <v>1</v>
      </c>
      <c r="V415" s="5" t="n">
        <v>68.8</v>
      </c>
      <c r="W415" s="4" t="n">
        <v>2277</v>
      </c>
      <c r="X415" s="3" t="inlineStr">
        <is>
          <t>주건축물제1동</t>
        </is>
      </c>
      <c r="Y415" s="7" t="inlineStr">
        <is>
          <t>2층</t>
        </is>
      </c>
      <c r="Z415" s="3" t="inlineStr">
        <is>
          <t>일반철골구조</t>
        </is>
      </c>
      <c r="AA415" s="3" t="inlineStr">
        <is>
          <t>공장</t>
        </is>
      </c>
      <c r="AB415" s="3" t="inlineStr">
        <is>
          <t>9.3m</t>
        </is>
      </c>
      <c r="AC415" s="3" t="inlineStr">
        <is>
          <t>2011-10</t>
        </is>
      </c>
      <c r="AD415" s="3" t="inlineStr">
        <is>
          <t>소로한면</t>
        </is>
      </c>
    </row>
    <row r="416">
      <c r="A416" s="3" t="inlineStr">
        <is>
          <t>연동면 응암리 666-1</t>
        </is>
      </c>
      <c r="B416" s="3" t="inlineStr">
        <is>
          <t>계획관리지역</t>
        </is>
      </c>
      <c r="C416" s="3" t="inlineStr">
        <is>
          <t>공장용지</t>
        </is>
      </c>
      <c r="D416" s="3" t="inlineStr">
        <is>
          <t>공장</t>
        </is>
      </c>
      <c r="E416" s="3" t="inlineStr">
        <is>
          <t>월세</t>
        </is>
      </c>
      <c r="F416" s="4" t="n">
        <v>3500</v>
      </c>
      <c r="G416" s="4" t="n">
        <v>240</v>
      </c>
      <c r="H416" s="4" t="n">
        <v>7015</v>
      </c>
      <c r="I416" s="4" t="n">
        <v>2122</v>
      </c>
      <c r="J416" s="5" t="n">
        <v>0.1</v>
      </c>
      <c r="K416" s="4" t="n">
        <v>4117</v>
      </c>
      <c r="L416" s="4" t="n">
        <v>1245</v>
      </c>
      <c r="M416" s="5" t="n">
        <v>0.2</v>
      </c>
      <c r="N416" s="3" t="inlineStr">
        <is>
          <t>2</t>
        </is>
      </c>
      <c r="O416" s="3" t="inlineStr">
        <is>
          <t>-</t>
        </is>
      </c>
      <c r="P416" s="3" t="inlineStr">
        <is>
          <t>공장 및 창고 가능, 즉시 입주 가능, 대형차 진출입 가능</t>
        </is>
      </c>
      <c r="Q416" s="6">
        <f>HYPERLINK("https://fin.land.naver.com/articles/2653065571", "매물Link")</f>
        <v/>
      </c>
      <c r="R416" s="6">
        <f>HYPERLINK("https://map.naver.com/p/search/연동면 응암리 666-1", "지도Link")</f>
        <v/>
      </c>
      <c r="S416" s="6">
        <f>HYPERLINK("http://www.eum.go.kr/web/ar/lu/luLandDet.jsp?pnu=3611032024106660001&amp;isNoScr=script&amp;mode=search", "토지이음")</f>
        <v/>
      </c>
      <c r="T416" s="3" t="inlineStr">
        <is>
          <t>주식회사 대기</t>
        </is>
      </c>
      <c r="U416" s="4" t="n">
        <v>1</v>
      </c>
      <c r="V416" s="5" t="n">
        <v>78.3</v>
      </c>
      <c r="W416" s="4" t="n">
        <v>6682</v>
      </c>
      <c r="X416" s="3" t="inlineStr">
        <is>
          <t>1동</t>
        </is>
      </c>
      <c r="Y416" s="7" t="inlineStr">
        <is>
          <t>2층</t>
        </is>
      </c>
      <c r="Z416" s="3" t="inlineStr">
        <is>
          <t>철근콘크리트구조</t>
        </is>
      </c>
      <c r="AA416" s="3" t="inlineStr">
        <is>
          <t>공장</t>
        </is>
      </c>
      <c r="AB416" s="3" t="inlineStr">
        <is>
          <t>-</t>
        </is>
      </c>
      <c r="AC416" s="3" t="inlineStr">
        <is>
          <t>1990</t>
        </is>
      </c>
      <c r="AD416" s="3" t="inlineStr">
        <is>
          <t>소로한면</t>
        </is>
      </c>
    </row>
    <row r="417">
      <c r="A417" s="3" t="inlineStr">
        <is>
          <t>연동면 응암리 666-1</t>
        </is>
      </c>
      <c r="B417" s="3" t="inlineStr">
        <is>
          <t>계획관리지역</t>
        </is>
      </c>
      <c r="C417" s="3" t="inlineStr">
        <is>
          <t>공장용지</t>
        </is>
      </c>
      <c r="D417" s="3" t="inlineStr">
        <is>
          <t>공장</t>
        </is>
      </c>
      <c r="E417" s="3" t="inlineStr">
        <is>
          <t>월세</t>
        </is>
      </c>
      <c r="F417" s="4" t="n">
        <v>4000</v>
      </c>
      <c r="G417" s="4" t="n">
        <v>360</v>
      </c>
      <c r="H417" s="4" t="n">
        <v>7015</v>
      </c>
      <c r="I417" s="4" t="n">
        <v>2122</v>
      </c>
      <c r="J417" s="5" t="n">
        <v>0.2</v>
      </c>
      <c r="K417" s="4" t="n">
        <v>3266</v>
      </c>
      <c r="L417" s="4" t="n">
        <v>988</v>
      </c>
      <c r="M417" s="5" t="n">
        <v>0.4</v>
      </c>
      <c r="N417" s="3" t="inlineStr">
        <is>
          <t>2</t>
        </is>
      </c>
      <c r="O417" s="3" t="inlineStr">
        <is>
          <t>B1</t>
        </is>
      </c>
      <c r="P417" s="3" t="inlineStr">
        <is>
          <t>사통팔달세종시 창고 및 공장 임대</t>
        </is>
      </c>
      <c r="Q417" s="6">
        <f>HYPERLINK("https://fin.land.naver.com/articles/2652104001", "매물Link")</f>
        <v/>
      </c>
      <c r="R417" s="6">
        <f>HYPERLINK("https://map.naver.com/p/search/연동면 응암리 666-1", "지도Link")</f>
        <v/>
      </c>
      <c r="S417" s="6">
        <f>HYPERLINK("http://www.eum.go.kr/web/ar/lu/luLandDet.jsp?pnu=3611032024106660001&amp;isNoScr=script&amp;mode=search", "토지이음")</f>
        <v/>
      </c>
      <c r="T417" s="3" t="inlineStr">
        <is>
          <t>주식회사 써밋</t>
        </is>
      </c>
      <c r="U417" s="4" t="n">
        <v>1</v>
      </c>
      <c r="V417" s="5" t="n">
        <v>78.3</v>
      </c>
      <c r="W417" s="4" t="n">
        <v>6682</v>
      </c>
      <c r="X417" s="3" t="inlineStr">
        <is>
          <t>1동</t>
        </is>
      </c>
      <c r="Y417" s="7" t="inlineStr">
        <is>
          <t>2층</t>
        </is>
      </c>
      <c r="Z417" s="3" t="inlineStr">
        <is>
          <t>철근콘크리트구조</t>
        </is>
      </c>
      <c r="AA417" s="3" t="inlineStr">
        <is>
          <t>공장</t>
        </is>
      </c>
      <c r="AB417" s="3" t="inlineStr">
        <is>
          <t>-</t>
        </is>
      </c>
      <c r="AC417" s="3" t="inlineStr">
        <is>
          <t>1990</t>
        </is>
      </c>
      <c r="AD417" s="3" t="inlineStr">
        <is>
          <t>소로한면</t>
        </is>
      </c>
    </row>
    <row r="418">
      <c r="A418" s="3" t="inlineStr">
        <is>
          <t>연동면 응암리 666-1</t>
        </is>
      </c>
      <c r="B418" s="3" t="inlineStr">
        <is>
          <t>계획관리지역</t>
        </is>
      </c>
      <c r="C418" s="3" t="inlineStr">
        <is>
          <t>공장용지</t>
        </is>
      </c>
      <c r="D418" s="3" t="inlineStr">
        <is>
          <t>공장</t>
        </is>
      </c>
      <c r="E418" s="3" t="inlineStr">
        <is>
          <t>월세</t>
        </is>
      </c>
      <c r="F418" s="4" t="n">
        <v>4000</v>
      </c>
      <c r="G418" s="4" t="n">
        <v>360</v>
      </c>
      <c r="H418" s="4" t="n">
        <v>7015</v>
      </c>
      <c r="I418" s="4" t="n">
        <v>2122</v>
      </c>
      <c r="J418" s="5" t="n">
        <v>0.2</v>
      </c>
      <c r="K418" s="4" t="n">
        <v>4117</v>
      </c>
      <c r="L418" s="4" t="n">
        <v>1245</v>
      </c>
      <c r="M418" s="5" t="n">
        <v>0.3</v>
      </c>
      <c r="N418" s="3" t="inlineStr">
        <is>
          <t>2</t>
        </is>
      </c>
      <c r="O418" s="3" t="inlineStr">
        <is>
          <t>-</t>
        </is>
      </c>
      <c r="P418" s="3" t="inlineStr">
        <is>
          <t>공장 및 창고 가능, 즉시 입주 가능, 대형차 진출입 가능</t>
        </is>
      </c>
      <c r="Q418" s="6">
        <f>HYPERLINK("https://fin.land.naver.com/articles/2653062776", "매물Link")</f>
        <v/>
      </c>
      <c r="R418" s="6">
        <f>HYPERLINK("https://map.naver.com/p/search/연동면 응암리 666-1", "지도Link")</f>
        <v/>
      </c>
      <c r="S418" s="6">
        <f>HYPERLINK("http://www.eum.go.kr/web/ar/lu/luLandDet.jsp?pnu=3611032024106660001&amp;isNoScr=script&amp;mode=search", "토지이음")</f>
        <v/>
      </c>
      <c r="T418" s="3" t="inlineStr">
        <is>
          <t>주식회사 대기</t>
        </is>
      </c>
      <c r="U418" s="4" t="n">
        <v>1</v>
      </c>
      <c r="V418" s="5" t="n">
        <v>78.3</v>
      </c>
      <c r="W418" s="4" t="n">
        <v>6682</v>
      </c>
      <c r="X418" s="3" t="inlineStr">
        <is>
          <t>1동</t>
        </is>
      </c>
      <c r="Y418" s="7" t="inlineStr">
        <is>
          <t>2층</t>
        </is>
      </c>
      <c r="Z418" s="3" t="inlineStr">
        <is>
          <t>철근콘크리트구조</t>
        </is>
      </c>
      <c r="AA418" s="3" t="inlineStr">
        <is>
          <t>공장</t>
        </is>
      </c>
      <c r="AB418" s="3" t="inlineStr">
        <is>
          <t>-</t>
        </is>
      </c>
      <c r="AC418" s="3" t="inlineStr">
        <is>
          <t>1990</t>
        </is>
      </c>
      <c r="AD418" s="3" t="inlineStr">
        <is>
          <t>소로한면</t>
        </is>
      </c>
    </row>
    <row r="419">
      <c r="A419" s="3" t="inlineStr">
        <is>
          <t>연동면 응암리 666-1</t>
        </is>
      </c>
      <c r="B419" s="3" t="inlineStr">
        <is>
          <t>계획관리지역</t>
        </is>
      </c>
      <c r="C419" s="3" t="inlineStr">
        <is>
          <t>공장용지</t>
        </is>
      </c>
      <c r="D419" s="3" t="inlineStr">
        <is>
          <t>공장</t>
        </is>
      </c>
      <c r="E419" s="3" t="inlineStr">
        <is>
          <t>월세</t>
        </is>
      </c>
      <c r="F419" s="4" t="n">
        <v>3000</v>
      </c>
      <c r="G419" s="4" t="n">
        <v>360</v>
      </c>
      <c r="H419" s="4" t="n">
        <v>7015</v>
      </c>
      <c r="I419" s="4" t="n">
        <v>2122</v>
      </c>
      <c r="J419" s="5" t="n">
        <v>0.2</v>
      </c>
      <c r="K419" s="4" t="n">
        <v>991</v>
      </c>
      <c r="L419" s="4" t="n">
        <v>300</v>
      </c>
      <c r="M419" s="5" t="n">
        <v>1.2</v>
      </c>
      <c r="N419" s="3" t="inlineStr">
        <is>
          <t>2</t>
        </is>
      </c>
      <c r="O419" s="3" t="inlineStr">
        <is>
          <t>B1</t>
        </is>
      </c>
      <c r="P419" s="3" t="inlineStr">
        <is>
          <t>공장 임대</t>
        </is>
      </c>
      <c r="Q419" s="6">
        <f>HYPERLINK("https://fin.land.naver.com/articles/2653033385", "매물Link")</f>
        <v/>
      </c>
      <c r="R419" s="6">
        <f>HYPERLINK("https://map.naver.com/p/search/연동면 응암리 666-1", "지도Link")</f>
        <v/>
      </c>
      <c r="S419" s="6">
        <f>HYPERLINK("http://www.eum.go.kr/web/ar/lu/luLandDet.jsp?pnu=3611032024106660001&amp;isNoScr=script&amp;mode=search", "토지이음")</f>
        <v/>
      </c>
      <c r="T419" s="3" t="inlineStr">
        <is>
          <t>월드</t>
        </is>
      </c>
      <c r="U419" s="4" t="n">
        <v>1</v>
      </c>
      <c r="V419" s="5" t="n">
        <v>78.3</v>
      </c>
      <c r="W419" s="4" t="n">
        <v>6682</v>
      </c>
      <c r="X419" s="3" t="inlineStr">
        <is>
          <t>2동</t>
        </is>
      </c>
      <c r="Y419" s="7" t="inlineStr">
        <is>
          <t>1층</t>
        </is>
      </c>
      <c r="Z419" s="3" t="inlineStr">
        <is>
          <t>일반철골구조</t>
        </is>
      </c>
      <c r="AA419" s="3" t="inlineStr">
        <is>
          <t>공장</t>
        </is>
      </c>
      <c r="AB419" s="3" t="inlineStr">
        <is>
          <t>6.7m</t>
        </is>
      </c>
      <c r="AC419" s="3" t="inlineStr">
        <is>
          <t>1999-11</t>
        </is>
      </c>
      <c r="AD419" s="3" t="inlineStr">
        <is>
          <t>소로한면</t>
        </is>
      </c>
    </row>
    <row r="420">
      <c r="A420" s="3" t="inlineStr">
        <is>
          <t>연동면 응암리 666-6</t>
        </is>
      </c>
      <c r="B420" s="3" t="inlineStr">
        <is>
          <t>계획관리지역</t>
        </is>
      </c>
      <c r="C420" s="3" t="inlineStr">
        <is>
          <t>공장용지</t>
        </is>
      </c>
      <c r="D420" s="3" t="inlineStr">
        <is>
          <t>공장</t>
        </is>
      </c>
      <c r="E420" s="3" t="inlineStr">
        <is>
          <t>매매</t>
        </is>
      </c>
      <c r="F420" s="4" t="n">
        <v>670000</v>
      </c>
      <c r="G420" s="4" t="n">
        <v>0</v>
      </c>
      <c r="H420" s="4" t="n">
        <v>10093</v>
      </c>
      <c r="I420" s="4" t="n">
        <v>3053</v>
      </c>
      <c r="J420" s="5" t="n">
        <v>219.5</v>
      </c>
      <c r="K420" s="4" t="n">
        <v>5677</v>
      </c>
      <c r="L420" s="4" t="n">
        <v>1717</v>
      </c>
      <c r="M420" s="5" t="n">
        <v>390.2</v>
      </c>
      <c r="N420" s="3" t="inlineStr">
        <is>
          <t>3</t>
        </is>
      </c>
      <c r="O420" s="3" t="inlineStr">
        <is>
          <t>B1</t>
        </is>
      </c>
      <c r="P420" s="3" t="inlineStr">
        <is>
          <t>세종 농공단지 의료기공장,남청주IC에서 가깝고, 대형차진출입이 편리함</t>
        </is>
      </c>
      <c r="Q420" s="6">
        <f>HYPERLINK("https://fin.land.naver.com/articles/2654295340", "매물Link")</f>
        <v/>
      </c>
      <c r="R420" s="6">
        <f>HYPERLINK("https://map.naver.com/p/search/연동면 응암리 666-6", "지도Link")</f>
        <v/>
      </c>
      <c r="S420" s="6">
        <f>HYPERLINK("http://www.eum.go.kr/web/ar/lu/luLandDet.jsp?pnu=3611032024106660006&amp;isNoScr=script&amp;mode=search", "토지이음")</f>
        <v/>
      </c>
      <c r="T420" s="3" t="inlineStr">
        <is>
          <t>(주)미르</t>
        </is>
      </c>
      <c r="U420" s="4" t="n">
        <v>3</v>
      </c>
      <c r="V420" s="5" t="n">
        <v>78.3</v>
      </c>
      <c r="W420" s="4" t="n">
        <v>9368</v>
      </c>
      <c r="X420" s="3" t="inlineStr">
        <is>
          <t>1동</t>
        </is>
      </c>
      <c r="Y420" s="7" t="inlineStr">
        <is>
          <t>2층</t>
        </is>
      </c>
      <c r="Z420" s="3" t="inlineStr">
        <is>
          <t>철근콘크리트구조</t>
        </is>
      </c>
      <c r="AA420" s="3" t="inlineStr">
        <is>
          <t>공장</t>
        </is>
      </c>
      <c r="AB420" s="3" t="inlineStr">
        <is>
          <t>-</t>
        </is>
      </c>
      <c r="AC420" s="3" t="inlineStr"/>
      <c r="AD420" s="3" t="inlineStr">
        <is>
          <t>소로한면</t>
        </is>
      </c>
    </row>
    <row r="421">
      <c r="A421" s="3" t="inlineStr">
        <is>
          <t>연동면 응암리 666-6</t>
        </is>
      </c>
      <c r="B421" s="3" t="inlineStr">
        <is>
          <t>계획관리지역</t>
        </is>
      </c>
      <c r="C421" s="3" t="inlineStr">
        <is>
          <t>공장용지</t>
        </is>
      </c>
      <c r="D421" s="3" t="inlineStr">
        <is>
          <t>공장</t>
        </is>
      </c>
      <c r="E421" s="3" t="inlineStr">
        <is>
          <t>매매</t>
        </is>
      </c>
      <c r="F421" s="4" t="n">
        <v>670000</v>
      </c>
      <c r="G421" s="4" t="n">
        <v>0</v>
      </c>
      <c r="H421" s="4" t="n">
        <v>10093</v>
      </c>
      <c r="I421" s="4" t="n">
        <v>3053</v>
      </c>
      <c r="J421" s="5" t="n">
        <v>219.5</v>
      </c>
      <c r="K421" s="4" t="n">
        <v>10093</v>
      </c>
      <c r="L421" s="4" t="n">
        <v>3053</v>
      </c>
      <c r="M421" s="5" t="n">
        <v>219.5</v>
      </c>
      <c r="N421" s="3" t="inlineStr">
        <is>
          <t>2</t>
        </is>
      </c>
      <c r="O421" s="3" t="inlineStr">
        <is>
          <t>B1</t>
        </is>
      </c>
      <c r="P421" s="3" t="inlineStr">
        <is>
          <t>세종시 5생활권 접 산업단지  공장매매</t>
        </is>
      </c>
      <c r="Q421" s="6">
        <f>HYPERLINK("https://fin.land.naver.com/articles/2652650620", "매물Link")</f>
        <v/>
      </c>
      <c r="R421" s="6">
        <f>HYPERLINK("https://map.naver.com/p/search/연동면 응암리 666-6", "지도Link")</f>
        <v/>
      </c>
      <c r="S421" s="6">
        <f>HYPERLINK("http://www.eum.go.kr/web/ar/lu/luLandDet.jsp?pnu=3611032024106660006&amp;isNoScr=script&amp;mode=search", "토지이음")</f>
        <v/>
      </c>
      <c r="T421" s="3" t="inlineStr">
        <is>
          <t>대박</t>
        </is>
      </c>
      <c r="U421" s="4" t="n">
        <v>1</v>
      </c>
      <c r="V421" s="5" t="n">
        <v>78.3</v>
      </c>
      <c r="W421" s="4" t="n">
        <v>9368</v>
      </c>
      <c r="X421" s="3" t="inlineStr">
        <is>
          <t>1동</t>
        </is>
      </c>
      <c r="Y421" s="7" t="inlineStr">
        <is>
          <t>2층</t>
        </is>
      </c>
      <c r="Z421" s="3" t="inlineStr">
        <is>
          <t>철근콘크리트구조</t>
        </is>
      </c>
      <c r="AA421" s="3" t="inlineStr">
        <is>
          <t>공장</t>
        </is>
      </c>
      <c r="AB421" s="3" t="inlineStr">
        <is>
          <t>-</t>
        </is>
      </c>
      <c r="AC421" s="3" t="inlineStr"/>
      <c r="AD421" s="3" t="inlineStr">
        <is>
          <t>소로한면</t>
        </is>
      </c>
    </row>
    <row r="422">
      <c r="A422" s="3" t="inlineStr">
        <is>
          <t>연동면 응암리 666-6</t>
        </is>
      </c>
      <c r="B422" s="3" t="inlineStr">
        <is>
          <t>계획관리지역</t>
        </is>
      </c>
      <c r="C422" s="3" t="inlineStr">
        <is>
          <t>공장용지</t>
        </is>
      </c>
      <c r="D422" s="3" t="inlineStr">
        <is>
          <t>공장</t>
        </is>
      </c>
      <c r="E422" s="3" t="inlineStr">
        <is>
          <t>매매</t>
        </is>
      </c>
      <c r="F422" s="4" t="n">
        <v>670000</v>
      </c>
      <c r="G422" s="4" t="n">
        <v>0</v>
      </c>
      <c r="H422" s="4" t="n">
        <v>10093</v>
      </c>
      <c r="I422" s="4" t="n">
        <v>3053</v>
      </c>
      <c r="J422" s="5" t="n">
        <v>219.5</v>
      </c>
      <c r="K422" s="4" t="n">
        <v>5677</v>
      </c>
      <c r="L422" s="4" t="n">
        <v>1717</v>
      </c>
      <c r="M422" s="5" t="n">
        <v>390.2</v>
      </c>
      <c r="N422" s="3" t="inlineStr">
        <is>
          <t>2</t>
        </is>
      </c>
      <c r="O422" s="3" t="inlineStr">
        <is>
          <t>B1</t>
        </is>
      </c>
      <c r="P422" s="3" t="inlineStr">
        <is>
          <t>사진有 공장 매매</t>
        </is>
      </c>
      <c r="Q422" s="6">
        <f>HYPERLINK("https://fin.land.naver.com/articles/2649601593", "매물Link")</f>
        <v/>
      </c>
      <c r="R422" s="6">
        <f>HYPERLINK("https://map.naver.com/p/search/연동면 응암리 666-6", "지도Link")</f>
        <v/>
      </c>
      <c r="S422" s="6">
        <f>HYPERLINK("http://www.eum.go.kr/web/ar/lu/luLandDet.jsp?pnu=3611032024106660006&amp;isNoScr=script&amp;mode=search", "토지이음")</f>
        <v/>
      </c>
      <c r="T422" s="3" t="inlineStr">
        <is>
          <t>월드</t>
        </is>
      </c>
      <c r="U422" s="4" t="n">
        <v>1</v>
      </c>
      <c r="V422" s="5" t="n">
        <v>78.3</v>
      </c>
      <c r="W422" s="4" t="n">
        <v>9368</v>
      </c>
      <c r="X422" s="3" t="inlineStr">
        <is>
          <t>1동</t>
        </is>
      </c>
      <c r="Y422" s="7" t="inlineStr">
        <is>
          <t>2층</t>
        </is>
      </c>
      <c r="Z422" s="3" t="inlineStr">
        <is>
          <t>철근콘크리트구조</t>
        </is>
      </c>
      <c r="AA422" s="3" t="inlineStr">
        <is>
          <t>공장</t>
        </is>
      </c>
      <c r="AB422" s="3" t="inlineStr">
        <is>
          <t>-</t>
        </is>
      </c>
      <c r="AC422" s="3" t="inlineStr"/>
      <c r="AD422" s="3" t="inlineStr">
        <is>
          <t>소로한면</t>
        </is>
      </c>
    </row>
    <row r="423">
      <c r="A423" s="3" t="inlineStr">
        <is>
          <t>연동면 응암리 676-12</t>
        </is>
      </c>
      <c r="B423" s="3" t="inlineStr">
        <is>
          <t>계획관리지역</t>
        </is>
      </c>
      <c r="C423" s="3" t="inlineStr">
        <is>
          <t>공장용지</t>
        </is>
      </c>
      <c r="D423" s="3" t="inlineStr">
        <is>
          <t>공장</t>
        </is>
      </c>
      <c r="E423" s="3" t="inlineStr">
        <is>
          <t>월세</t>
        </is>
      </c>
      <c r="F423" s="4" t="n">
        <v>9000</v>
      </c>
      <c r="G423" s="4" t="n">
        <v>750</v>
      </c>
      <c r="H423" s="4" t="n">
        <v>5241</v>
      </c>
      <c r="I423" s="4" t="n">
        <v>1585</v>
      </c>
      <c r="J423" s="5" t="n">
        <v>0.5</v>
      </c>
      <c r="K423" s="4" t="n">
        <v>1096</v>
      </c>
      <c r="L423" s="4" t="n">
        <v>332</v>
      </c>
      <c r="M423" s="5" t="n">
        <v>2.3</v>
      </c>
      <c r="N423" s="3" t="inlineStr">
        <is>
          <t>1</t>
        </is>
      </c>
      <c r="O423" s="3" t="inlineStr">
        <is>
          <t>-</t>
        </is>
      </c>
      <c r="P423" s="3" t="inlineStr">
        <is>
          <t>2차선에 접한 접근성좋고 광고효과 좋은 공장입니다</t>
        </is>
      </c>
      <c r="Q423" s="6">
        <f>HYPERLINK("https://fin.land.naver.com/articles/2653790919", "매물Link")</f>
        <v/>
      </c>
      <c r="R423" s="6">
        <f>HYPERLINK("https://map.naver.com/p/search/연동면 응암리 676-12", "지도Link")</f>
        <v/>
      </c>
      <c r="S423" s="6">
        <f>HYPERLINK("http://www.eum.go.kr/web/ar/lu/luLandDet.jsp?pnu=3611032024106760012&amp;isNoScr=script&amp;mode=search", "토지이음")</f>
        <v/>
      </c>
      <c r="T423" s="3" t="inlineStr">
        <is>
          <t>복댕이</t>
        </is>
      </c>
      <c r="U423" s="4" t="n">
        <v>1</v>
      </c>
      <c r="V423" s="5" t="n">
        <v>63.9</v>
      </c>
      <c r="W423" s="4" t="n">
        <v>5241</v>
      </c>
      <c r="X423" s="3" t="inlineStr">
        <is>
          <t>2동</t>
        </is>
      </c>
      <c r="Y423" s="7" t="inlineStr">
        <is>
          <t>1층</t>
        </is>
      </c>
      <c r="Z423" s="3" t="inlineStr">
        <is>
          <t>일반철골구조</t>
        </is>
      </c>
      <c r="AA423" s="3" t="inlineStr">
        <is>
          <t>공장</t>
        </is>
      </c>
      <c r="AB423" s="3" t="inlineStr">
        <is>
          <t>10.25m</t>
        </is>
      </c>
      <c r="AC423" s="3" t="inlineStr">
        <is>
          <t>2015-03</t>
        </is>
      </c>
      <c r="AD423" s="3" t="inlineStr">
        <is>
          <t>소로한면</t>
        </is>
      </c>
    </row>
    <row r="424">
      <c r="A424" s="3" t="inlineStr">
        <is>
          <t>연동면 응암리 676-12</t>
        </is>
      </c>
      <c r="B424" s="3" t="inlineStr">
        <is>
          <t>계획관리지역</t>
        </is>
      </c>
      <c r="C424" s="3" t="inlineStr">
        <is>
          <t>공장용지</t>
        </is>
      </c>
      <c r="D424" s="3" t="inlineStr">
        <is>
          <t>공장</t>
        </is>
      </c>
      <c r="E424" s="3" t="inlineStr">
        <is>
          <t>월세</t>
        </is>
      </c>
      <c r="F424" s="4" t="n">
        <v>7600</v>
      </c>
      <c r="G424" s="4" t="n">
        <v>760</v>
      </c>
      <c r="H424" s="4" t="n">
        <v>5241</v>
      </c>
      <c r="I424" s="4" t="n">
        <v>1585</v>
      </c>
      <c r="J424" s="5" t="n">
        <v>0.5</v>
      </c>
      <c r="K424" s="4" t="n">
        <v>1096</v>
      </c>
      <c r="L424" s="4" t="n">
        <v>332</v>
      </c>
      <c r="M424" s="5" t="n">
        <v>2.3</v>
      </c>
      <c r="N424" s="3" t="inlineStr">
        <is>
          <t>1</t>
        </is>
      </c>
      <c r="O424" s="3" t="inlineStr">
        <is>
          <t>-</t>
        </is>
      </c>
      <c r="P424" s="3" t="inlineStr">
        <is>
          <t>세종명학산업단지 초근접 2차선 도로변 공장, 물류창고 임대</t>
        </is>
      </c>
      <c r="Q424" s="6">
        <f>HYPERLINK("https://fin.land.naver.com/articles/2649815821", "매물Link")</f>
        <v/>
      </c>
      <c r="R424" s="6">
        <f>HYPERLINK("https://map.naver.com/p/search/연동면 응암리 676-12", "지도Link")</f>
        <v/>
      </c>
      <c r="S424" s="6">
        <f>HYPERLINK("http://www.eum.go.kr/web/ar/lu/luLandDet.jsp?pnu=3611032024106760012&amp;isNoScr=script&amp;mode=search", "토지이음")</f>
        <v/>
      </c>
      <c r="T424" s="3" t="inlineStr">
        <is>
          <t>청담</t>
        </is>
      </c>
      <c r="U424" s="4" t="n">
        <v>1</v>
      </c>
      <c r="V424" s="5" t="n">
        <v>63.9</v>
      </c>
      <c r="W424" s="4" t="n">
        <v>5241</v>
      </c>
      <c r="X424" s="3" t="inlineStr">
        <is>
          <t>2동</t>
        </is>
      </c>
      <c r="Y424" s="7" t="inlineStr">
        <is>
          <t>1층</t>
        </is>
      </c>
      <c r="Z424" s="3" t="inlineStr">
        <is>
          <t>일반철골구조</t>
        </is>
      </c>
      <c r="AA424" s="3" t="inlineStr">
        <is>
          <t>공장</t>
        </is>
      </c>
      <c r="AB424" s="3" t="inlineStr">
        <is>
          <t>10.25m</t>
        </is>
      </c>
      <c r="AC424" s="3" t="inlineStr">
        <is>
          <t>2015-03</t>
        </is>
      </c>
      <c r="AD424" s="3" t="inlineStr">
        <is>
          <t>소로한면</t>
        </is>
      </c>
    </row>
    <row r="425">
      <c r="A425" s="3" t="inlineStr">
        <is>
          <t>연서면 국촌리 7</t>
        </is>
      </c>
      <c r="B425" s="3" t="inlineStr">
        <is>
          <t>계획관리지역</t>
        </is>
      </c>
      <c r="C425" s="3" t="inlineStr">
        <is>
          <t>공장용지</t>
        </is>
      </c>
      <c r="D425" s="3" t="inlineStr">
        <is>
          <t>공장</t>
        </is>
      </c>
      <c r="E425" s="3" t="inlineStr">
        <is>
          <t>매매</t>
        </is>
      </c>
      <c r="F425" s="4" t="n">
        <v>1057000</v>
      </c>
      <c r="G425" s="4" t="n">
        <v>0</v>
      </c>
      <c r="H425" s="4" t="n">
        <v>6989</v>
      </c>
      <c r="I425" s="4" t="n">
        <v>2114</v>
      </c>
      <c r="J425" s="5" t="n">
        <v>500</v>
      </c>
      <c r="K425" s="4" t="n">
        <v>1217</v>
      </c>
      <c r="L425" s="4" t="n">
        <v>368</v>
      </c>
      <c r="M425" s="5" t="n">
        <v>2872.3</v>
      </c>
      <c r="N425" s="3" t="inlineStr">
        <is>
          <t>1</t>
        </is>
      </c>
      <c r="O425" s="3" t="inlineStr">
        <is>
          <t>-</t>
        </is>
      </c>
      <c r="P425" s="3" t="inlineStr">
        <is>
          <t>nan</t>
        </is>
      </c>
      <c r="Q425" s="6">
        <f>HYPERLINK("https://fin.land.naver.com/articles/2653822298", "매물Link")</f>
        <v/>
      </c>
      <c r="R425" s="6">
        <f>HYPERLINK("https://map.naver.com/p/search/연서면 국촌리 7", "지도Link")</f>
        <v/>
      </c>
      <c r="S425" s="6">
        <f>HYPERLINK("http://www.eum.go.kr/web/ar/lu/luLandDet.jsp?pnu=3611036030100070000&amp;isNoScr=script&amp;mode=search", "토지이음")</f>
        <v/>
      </c>
      <c r="T425" s="3" t="inlineStr">
        <is>
          <t>푸른들</t>
        </is>
      </c>
      <c r="U425" s="4" t="n">
        <v>1</v>
      </c>
      <c r="V425" s="5" t="n">
        <v>102.1</v>
      </c>
      <c r="W425" s="4" t="n">
        <v>4723</v>
      </c>
      <c r="X425" s="3" t="inlineStr">
        <is>
          <t>1동</t>
        </is>
      </c>
      <c r="Y425" s="7" t="inlineStr">
        <is>
          <t>1층</t>
        </is>
      </c>
      <c r="Z425" s="3" t="inlineStr">
        <is>
          <t>일반철골구조</t>
        </is>
      </c>
      <c r="AA425" s="3" t="inlineStr">
        <is>
          <t>공장</t>
        </is>
      </c>
      <c r="AB425" s="3" t="inlineStr">
        <is>
          <t>8.7m</t>
        </is>
      </c>
      <c r="AC425" s="3" t="inlineStr">
        <is>
          <t>2002-07</t>
        </is>
      </c>
      <c r="AD425" s="3" t="inlineStr">
        <is>
          <t>소로한면</t>
        </is>
      </c>
    </row>
    <row r="426">
      <c r="A426" s="3" t="inlineStr">
        <is>
          <t>연서면 봉암리 620-133</t>
        </is>
      </c>
      <c r="B426" s="3" t="inlineStr">
        <is>
          <t>계획관리지역</t>
        </is>
      </c>
      <c r="C426" s="3" t="inlineStr">
        <is>
          <t>대</t>
        </is>
      </c>
      <c r="D426" s="3" t="inlineStr">
        <is>
          <t>창고</t>
        </is>
      </c>
      <c r="E426" s="3" t="inlineStr">
        <is>
          <t>월세</t>
        </is>
      </c>
      <c r="F426" s="4" t="n">
        <v>5000</v>
      </c>
      <c r="G426" s="4" t="n">
        <v>400</v>
      </c>
      <c r="H426" s="4" t="n">
        <v>2764</v>
      </c>
      <c r="I426" s="4" t="n">
        <v>836</v>
      </c>
      <c r="J426" s="5" t="n">
        <v>0.5</v>
      </c>
      <c r="K426" s="4" t="n">
        <v>655</v>
      </c>
      <c r="L426" s="4" t="n">
        <v>198</v>
      </c>
      <c r="M426" s="5" t="n">
        <v>2</v>
      </c>
      <c r="N426" s="3" t="inlineStr">
        <is>
          <t>1</t>
        </is>
      </c>
      <c r="O426" s="3" t="inlineStr">
        <is>
          <t>-</t>
        </is>
      </c>
      <c r="P426" s="3" t="inlineStr">
        <is>
          <t>월세조정가.6차선대로변접.화물차진입및회전가.대원네스트빌바로옆.SK주유소접</t>
        </is>
      </c>
      <c r="Q426" s="6">
        <f>HYPERLINK("https://fin.land.naver.com/articles/2649818490", "매물Link")</f>
        <v/>
      </c>
      <c r="R426" s="6">
        <f>HYPERLINK("https://map.naver.com/p/search/연서면 봉암리 620-133", "지도Link")</f>
        <v/>
      </c>
      <c r="S426" s="6">
        <f>HYPERLINK("http://www.eum.go.kr/web/ar/lu/luLandDet.jsp?pnu=3611036033106200133&amp;isNoScr=script&amp;mode=search", "토지이음")</f>
        <v/>
      </c>
      <c r="T426" s="3" t="inlineStr">
        <is>
          <t>돈방석</t>
        </is>
      </c>
      <c r="U426" s="4" t="n">
        <v>1</v>
      </c>
      <c r="V426" s="5" t="n">
        <v>171.6</v>
      </c>
      <c r="W426" s="4" t="n">
        <v>2764</v>
      </c>
      <c r="X426" s="3" t="inlineStr">
        <is>
          <t>미표기</t>
        </is>
      </c>
      <c r="Y426" s="7" t="inlineStr">
        <is>
          <t>1층</t>
        </is>
      </c>
      <c r="Z426" s="3" t="inlineStr">
        <is>
          <t>일반철골구조</t>
        </is>
      </c>
      <c r="AA426" s="3" t="inlineStr">
        <is>
          <t>제2종근생</t>
        </is>
      </c>
      <c r="AB426" s="3" t="inlineStr">
        <is>
          <t>6.0m</t>
        </is>
      </c>
      <c r="AC426" s="3" t="inlineStr">
        <is>
          <t>2007-04</t>
        </is>
      </c>
      <c r="AD426" s="3" t="inlineStr">
        <is>
          <t>세로한면(가)</t>
        </is>
      </c>
    </row>
    <row r="427">
      <c r="A427" s="3" t="inlineStr">
        <is>
          <t>연서면 부동리 148</t>
        </is>
      </c>
      <c r="B427" s="3" t="inlineStr">
        <is>
          <t>일반공업지역</t>
        </is>
      </c>
      <c r="C427" s="3" t="inlineStr">
        <is>
          <t>공장용지</t>
        </is>
      </c>
      <c r="D427" s="3" t="inlineStr">
        <is>
          <t>공장</t>
        </is>
      </c>
      <c r="E427" s="3" t="inlineStr">
        <is>
          <t>매매</t>
        </is>
      </c>
      <c r="F427" s="4" t="n">
        <v>3200000</v>
      </c>
      <c r="G427" s="4" t="n">
        <v>0</v>
      </c>
      <c r="H427" s="4" t="n">
        <v>39669</v>
      </c>
      <c r="I427" s="4" t="n">
        <v>12000</v>
      </c>
      <c r="J427" s="5" t="n">
        <v>266.7</v>
      </c>
      <c r="K427" s="4" t="n">
        <v>10430</v>
      </c>
      <c r="L427" s="4" t="n">
        <v>3155</v>
      </c>
      <c r="M427" s="5" t="n">
        <v>1014.3</v>
      </c>
      <c r="N427" s="3" t="inlineStr">
        <is>
          <t>2</t>
        </is>
      </c>
      <c r="O427" s="3" t="inlineStr">
        <is>
          <t>B1</t>
        </is>
      </c>
      <c r="P427" s="3" t="inlineStr">
        <is>
          <t>조치원 일반산업단지내 위치, 세종,대전,청주 등 중부권 공장, 창고 강추</t>
        </is>
      </c>
      <c r="Q427" s="6">
        <f>HYPERLINK("https://fin.land.naver.com/articles/2650797209", "매물Link")</f>
        <v/>
      </c>
      <c r="R427" s="6">
        <f>HYPERLINK("https://map.naver.com/p/search/연서면 부동리 148", "지도Link")</f>
        <v/>
      </c>
      <c r="S427" s="6">
        <f>HYPERLINK("http://www.eum.go.kr/web/ar/lu/luLandDet.jsp?pnu=3611036032101480000&amp;isNoScr=script&amp;mode=search", "토지이음")</f>
        <v/>
      </c>
      <c r="T427" s="3" t="inlineStr">
        <is>
          <t>우리</t>
        </is>
      </c>
      <c r="U427" s="4" t="n">
        <v>1</v>
      </c>
      <c r="V427" s="5" t="n">
        <v>119.4</v>
      </c>
      <c r="W427" s="4" t="n">
        <v>39669.5</v>
      </c>
      <c r="X427" s="3" t="inlineStr">
        <is>
          <t>1동</t>
        </is>
      </c>
      <c r="Y427" s="7" t="inlineStr">
        <is>
          <t>1층</t>
        </is>
      </c>
      <c r="Z427" s="3" t="inlineStr">
        <is>
          <t>일반철골구조</t>
        </is>
      </c>
      <c r="AA427" s="3" t="inlineStr">
        <is>
          <t>공장</t>
        </is>
      </c>
      <c r="AB427" s="3" t="inlineStr">
        <is>
          <t>17.1m</t>
        </is>
      </c>
      <c r="AC427" s="3" t="inlineStr">
        <is>
          <t>1993-12</t>
        </is>
      </c>
      <c r="AD427" s="3" t="inlineStr">
        <is>
          <t>소로각지</t>
        </is>
      </c>
    </row>
    <row r="428">
      <c r="A428" s="3" t="inlineStr">
        <is>
          <t>연서면 부동리 148</t>
        </is>
      </c>
      <c r="B428" s="3" t="inlineStr">
        <is>
          <t>일반공업지역</t>
        </is>
      </c>
      <c r="C428" s="3" t="inlineStr">
        <is>
          <t>공장용지</t>
        </is>
      </c>
      <c r="D428" s="3" t="inlineStr">
        <is>
          <t>공장</t>
        </is>
      </c>
      <c r="E428" s="3" t="inlineStr">
        <is>
          <t>매매</t>
        </is>
      </c>
      <c r="F428" s="4" t="n">
        <v>3200000</v>
      </c>
      <c r="G428" s="4" t="n">
        <v>0</v>
      </c>
      <c r="H428" s="4" t="n">
        <v>39669</v>
      </c>
      <c r="I428" s="4" t="n">
        <v>12000</v>
      </c>
      <c r="J428" s="5" t="n">
        <v>266.7</v>
      </c>
      <c r="K428" s="4" t="n">
        <v>10430</v>
      </c>
      <c r="L428" s="4" t="n">
        <v>3155</v>
      </c>
      <c r="M428" s="5" t="n">
        <v>1014.3</v>
      </c>
      <c r="N428" s="3" t="inlineStr">
        <is>
          <t>1</t>
        </is>
      </c>
      <c r="O428" s="3" t="inlineStr">
        <is>
          <t>-</t>
        </is>
      </c>
      <c r="P428" s="3" t="inlineStr">
        <is>
          <t>화학물질 제조 가능</t>
        </is>
      </c>
      <c r="Q428" s="6">
        <f>HYPERLINK("https://fin.land.naver.com/articles/2652703353", "매물Link")</f>
        <v/>
      </c>
      <c r="R428" s="6">
        <f>HYPERLINK("https://map.naver.com/p/search/연서면 부동리 148", "지도Link")</f>
        <v/>
      </c>
      <c r="S428" s="6">
        <f>HYPERLINK("http://www.eum.go.kr/web/ar/lu/luLandDet.jsp?pnu=3611036032101480000&amp;isNoScr=script&amp;mode=search", "토지이음")</f>
        <v/>
      </c>
      <c r="T428" s="3" t="inlineStr">
        <is>
          <t>미더스</t>
        </is>
      </c>
      <c r="U428" s="4" t="n">
        <v>3</v>
      </c>
      <c r="V428" s="5" t="n">
        <v>119.4</v>
      </c>
      <c r="W428" s="4" t="n">
        <v>39669.5</v>
      </c>
      <c r="X428" s="3" t="inlineStr">
        <is>
          <t>1동</t>
        </is>
      </c>
      <c r="Y428" s="7" t="inlineStr">
        <is>
          <t>1층</t>
        </is>
      </c>
      <c r="Z428" s="3" t="inlineStr">
        <is>
          <t>일반철골구조</t>
        </is>
      </c>
      <c r="AA428" s="3" t="inlineStr">
        <is>
          <t>공장</t>
        </is>
      </c>
      <c r="AB428" s="3" t="inlineStr">
        <is>
          <t>17.1m</t>
        </is>
      </c>
      <c r="AC428" s="3" t="inlineStr">
        <is>
          <t>1993-12</t>
        </is>
      </c>
      <c r="AD428" s="3" t="inlineStr">
        <is>
          <t>소로각지</t>
        </is>
      </c>
    </row>
    <row r="429">
      <c r="A429" s="3" t="inlineStr">
        <is>
          <t>연서면 부동리 148</t>
        </is>
      </c>
      <c r="B429" s="3" t="inlineStr">
        <is>
          <t>일반공업지역</t>
        </is>
      </c>
      <c r="C429" s="3" t="inlineStr">
        <is>
          <t>공장용지</t>
        </is>
      </c>
      <c r="D429" s="3" t="inlineStr">
        <is>
          <t>공장</t>
        </is>
      </c>
      <c r="E429" s="3" t="inlineStr">
        <is>
          <t>매매</t>
        </is>
      </c>
      <c r="F429" s="4" t="n">
        <v>3200000</v>
      </c>
      <c r="G429" s="4" t="n">
        <v>0</v>
      </c>
      <c r="H429" s="4" t="n">
        <v>39669</v>
      </c>
      <c r="I429" s="4" t="n">
        <v>12000</v>
      </c>
      <c r="J429" s="5" t="n">
        <v>266.7</v>
      </c>
      <c r="K429" s="4" t="n">
        <v>10430</v>
      </c>
      <c r="L429" s="4" t="n">
        <v>3155</v>
      </c>
      <c r="M429" s="5" t="n">
        <v>1014.3</v>
      </c>
      <c r="N429" s="3" t="inlineStr">
        <is>
          <t>2</t>
        </is>
      </c>
      <c r="O429" s="3" t="inlineStr">
        <is>
          <t>-</t>
        </is>
      </c>
      <c r="P429" s="3" t="inlineStr">
        <is>
          <t>7동구조로 된 대형공장 컨디션 최상 고전력 다양한 유틸리티</t>
        </is>
      </c>
      <c r="Q429" s="6">
        <f>HYPERLINK("https://fin.land.naver.com/articles/2652437120", "매물Link")</f>
        <v/>
      </c>
      <c r="R429" s="6">
        <f>HYPERLINK("https://map.naver.com/p/search/연서면 부동리 148", "지도Link")</f>
        <v/>
      </c>
      <c r="S429" s="6">
        <f>HYPERLINK("http://www.eum.go.kr/web/ar/lu/luLandDet.jsp?pnu=3611036032101480000&amp;isNoScr=script&amp;mode=search", "토지이음")</f>
        <v/>
      </c>
      <c r="T429" s="3" t="inlineStr">
        <is>
          <t>공장플러스</t>
        </is>
      </c>
      <c r="U429" s="4" t="n">
        <v>1</v>
      </c>
      <c r="V429" s="5" t="n">
        <v>119.4</v>
      </c>
      <c r="W429" s="4" t="n">
        <v>39669.5</v>
      </c>
      <c r="X429" s="3" t="inlineStr">
        <is>
          <t>1동</t>
        </is>
      </c>
      <c r="Y429" s="7" t="inlineStr">
        <is>
          <t>1층</t>
        </is>
      </c>
      <c r="Z429" s="3" t="inlineStr">
        <is>
          <t>일반철골구조</t>
        </is>
      </c>
      <c r="AA429" s="3" t="inlineStr">
        <is>
          <t>공장</t>
        </is>
      </c>
      <c r="AB429" s="3" t="inlineStr">
        <is>
          <t>17.1m</t>
        </is>
      </c>
      <c r="AC429" s="3" t="inlineStr">
        <is>
          <t>1993-12</t>
        </is>
      </c>
      <c r="AD429" s="3" t="inlineStr">
        <is>
          <t>소로각지</t>
        </is>
      </c>
    </row>
    <row r="430">
      <c r="A430" s="3" t="inlineStr">
        <is>
          <t>연서면 부동리 148</t>
        </is>
      </c>
      <c r="B430" s="3" t="inlineStr">
        <is>
          <t>일반공업지역</t>
        </is>
      </c>
      <c r="C430" s="3" t="inlineStr">
        <is>
          <t>공장용지</t>
        </is>
      </c>
      <c r="D430" s="3" t="inlineStr">
        <is>
          <t>공장</t>
        </is>
      </c>
      <c r="E430" s="3" t="inlineStr">
        <is>
          <t>매매</t>
        </is>
      </c>
      <c r="F430" s="4" t="n">
        <v>3200000</v>
      </c>
      <c r="G430" s="4" t="n">
        <v>0</v>
      </c>
      <c r="H430" s="4" t="n">
        <v>39669</v>
      </c>
      <c r="I430" s="4" t="n">
        <v>12000</v>
      </c>
      <c r="J430" s="5" t="n">
        <v>266.7</v>
      </c>
      <c r="K430" s="4" t="n">
        <v>10430</v>
      </c>
      <c r="L430" s="4" t="n">
        <v>3155</v>
      </c>
      <c r="M430" s="5" t="n">
        <v>1014.3</v>
      </c>
      <c r="N430" s="3" t="inlineStr">
        <is>
          <t>2</t>
        </is>
      </c>
      <c r="O430" s="3" t="inlineStr">
        <is>
          <t>B1</t>
        </is>
      </c>
      <c r="P430" s="3" t="inlineStr">
        <is>
          <t>nan</t>
        </is>
      </c>
      <c r="Q430" s="6">
        <f>HYPERLINK("https://fin.land.naver.com/articles/2652771129", "매물Link")</f>
        <v/>
      </c>
      <c r="R430" s="6">
        <f>HYPERLINK("https://map.naver.com/p/search/연서면 부동리 148", "지도Link")</f>
        <v/>
      </c>
      <c r="S430" s="6">
        <f>HYPERLINK("http://www.eum.go.kr/web/ar/lu/luLandDet.jsp?pnu=3611036032101480000&amp;isNoScr=script&amp;mode=search", "토지이음")</f>
        <v/>
      </c>
      <c r="T430" s="3" t="inlineStr">
        <is>
          <t>금화랜드</t>
        </is>
      </c>
      <c r="U430" s="4" t="n">
        <v>4</v>
      </c>
      <c r="V430" s="5" t="n">
        <v>119.4</v>
      </c>
      <c r="W430" s="4" t="n">
        <v>39669.5</v>
      </c>
      <c r="X430" s="3" t="inlineStr">
        <is>
          <t>1동</t>
        </is>
      </c>
      <c r="Y430" s="7" t="inlineStr">
        <is>
          <t>1층</t>
        </is>
      </c>
      <c r="Z430" s="3" t="inlineStr">
        <is>
          <t>일반철골구조</t>
        </is>
      </c>
      <c r="AA430" s="3" t="inlineStr">
        <is>
          <t>공장</t>
        </is>
      </c>
      <c r="AB430" s="3" t="inlineStr">
        <is>
          <t>17.1m</t>
        </is>
      </c>
      <c r="AC430" s="3" t="inlineStr">
        <is>
          <t>1993-12</t>
        </is>
      </c>
      <c r="AD430" s="3" t="inlineStr">
        <is>
          <t>소로각지</t>
        </is>
      </c>
    </row>
    <row r="431">
      <c r="A431" s="3" t="inlineStr">
        <is>
          <t>연서면 부동리 148</t>
        </is>
      </c>
      <c r="B431" s="3" t="inlineStr">
        <is>
          <t>일반공업지역</t>
        </is>
      </c>
      <c r="C431" s="3" t="inlineStr">
        <is>
          <t>공장용지</t>
        </is>
      </c>
      <c r="D431" s="3" t="inlineStr">
        <is>
          <t>공장</t>
        </is>
      </c>
      <c r="E431" s="3" t="inlineStr">
        <is>
          <t>매매</t>
        </is>
      </c>
      <c r="F431" s="4" t="n">
        <v>3200000</v>
      </c>
      <c r="G431" s="4" t="n">
        <v>0</v>
      </c>
      <c r="H431" s="4" t="n">
        <v>39669</v>
      </c>
      <c r="I431" s="4" t="n">
        <v>12000</v>
      </c>
      <c r="J431" s="5" t="n">
        <v>266.7</v>
      </c>
      <c r="K431" s="4" t="n">
        <v>10430</v>
      </c>
      <c r="L431" s="4" t="n">
        <v>3155</v>
      </c>
      <c r="M431" s="5" t="n">
        <v>1014.3</v>
      </c>
      <c r="N431" s="3" t="inlineStr">
        <is>
          <t>1</t>
        </is>
      </c>
      <c r="O431" s="3" t="inlineStr">
        <is>
          <t>-</t>
        </is>
      </c>
      <c r="P431" s="3" t="inlineStr">
        <is>
          <t>세종조치원일반산업단지 대형공장매매 최근리모델링완비로 컨디션좋음</t>
        </is>
      </c>
      <c r="Q431" s="6">
        <f>HYPERLINK("https://fin.land.naver.com/articles/2650956049", "매물Link")</f>
        <v/>
      </c>
      <c r="R431" s="6">
        <f>HYPERLINK("https://map.naver.com/p/search/연서면 부동리 148", "지도Link")</f>
        <v/>
      </c>
      <c r="S431" s="6">
        <f>HYPERLINK("http://www.eum.go.kr/web/ar/lu/luLandDet.jsp?pnu=3611036032101480000&amp;isNoScr=script&amp;mode=search", "토지이음")</f>
        <v/>
      </c>
      <c r="T431" s="3" t="inlineStr">
        <is>
          <t>더원</t>
        </is>
      </c>
      <c r="U431" s="4" t="n">
        <v>1</v>
      </c>
      <c r="V431" s="5" t="n">
        <v>119.4</v>
      </c>
      <c r="W431" s="4" t="n">
        <v>39669.5</v>
      </c>
      <c r="X431" s="3" t="inlineStr">
        <is>
          <t>1동</t>
        </is>
      </c>
      <c r="Y431" s="7" t="inlineStr">
        <is>
          <t>1층</t>
        </is>
      </c>
      <c r="Z431" s="3" t="inlineStr">
        <is>
          <t>일반철골구조</t>
        </is>
      </c>
      <c r="AA431" s="3" t="inlineStr">
        <is>
          <t>공장</t>
        </is>
      </c>
      <c r="AB431" s="3" t="inlineStr">
        <is>
          <t>17.1m</t>
        </is>
      </c>
      <c r="AC431" s="3" t="inlineStr">
        <is>
          <t>1993-12</t>
        </is>
      </c>
      <c r="AD431" s="3" t="inlineStr">
        <is>
          <t>소로각지</t>
        </is>
      </c>
    </row>
    <row r="432">
      <c r="A432" s="3" t="inlineStr">
        <is>
          <t>연서면 부동리 148</t>
        </is>
      </c>
      <c r="B432" s="3" t="inlineStr">
        <is>
          <t>일반공업지역</t>
        </is>
      </c>
      <c r="C432" s="3" t="inlineStr">
        <is>
          <t>공장용지</t>
        </is>
      </c>
      <c r="D432" s="3" t="inlineStr">
        <is>
          <t>공장</t>
        </is>
      </c>
      <c r="E432" s="3" t="inlineStr">
        <is>
          <t>매매</t>
        </is>
      </c>
      <c r="F432" s="4" t="n">
        <v>3200000</v>
      </c>
      <c r="G432" s="4" t="n">
        <v>0</v>
      </c>
      <c r="H432" s="4" t="n">
        <v>39669</v>
      </c>
      <c r="I432" s="4" t="n">
        <v>12000</v>
      </c>
      <c r="J432" s="5" t="n">
        <v>266.7</v>
      </c>
      <c r="K432" s="4" t="n">
        <v>10430</v>
      </c>
      <c r="L432" s="4" t="n">
        <v>3155</v>
      </c>
      <c r="M432" s="5" t="n">
        <v>1014.3</v>
      </c>
      <c r="N432" s="3" t="inlineStr">
        <is>
          <t>2</t>
        </is>
      </c>
      <c r="O432" s="3" t="inlineStr">
        <is>
          <t>B1</t>
        </is>
      </c>
      <c r="P432" s="3" t="inlineStr">
        <is>
          <t>세종 조치원산업단지 대형 공장 매매</t>
        </is>
      </c>
      <c r="Q432" s="6">
        <f>HYPERLINK("https://fin.land.naver.com/articles/2651016586", "매물Link")</f>
        <v/>
      </c>
      <c r="R432" s="6">
        <f>HYPERLINK("https://map.naver.com/p/search/연서면 부동리 148", "지도Link")</f>
        <v/>
      </c>
      <c r="S432" s="6">
        <f>HYPERLINK("http://www.eum.go.kr/web/ar/lu/luLandDet.jsp?pnu=3611036032101480000&amp;isNoScr=script&amp;mode=search", "토지이음")</f>
        <v/>
      </c>
      <c r="T432" s="3" t="inlineStr">
        <is>
          <t>뉴대전</t>
        </is>
      </c>
      <c r="U432" s="4" t="n">
        <v>1</v>
      </c>
      <c r="V432" s="5" t="n">
        <v>119.4</v>
      </c>
      <c r="W432" s="4" t="n">
        <v>39669.5</v>
      </c>
      <c r="X432" s="3" t="inlineStr">
        <is>
          <t>1동</t>
        </is>
      </c>
      <c r="Y432" s="7" t="inlineStr">
        <is>
          <t>1층</t>
        </is>
      </c>
      <c r="Z432" s="3" t="inlineStr">
        <is>
          <t>일반철골구조</t>
        </is>
      </c>
      <c r="AA432" s="3" t="inlineStr">
        <is>
          <t>공장</t>
        </is>
      </c>
      <c r="AB432" s="3" t="inlineStr">
        <is>
          <t>17.1m</t>
        </is>
      </c>
      <c r="AC432" s="3" t="inlineStr">
        <is>
          <t>1993-12</t>
        </is>
      </c>
      <c r="AD432" s="3" t="inlineStr">
        <is>
          <t>소로각지</t>
        </is>
      </c>
    </row>
    <row r="433">
      <c r="A433" s="3" t="inlineStr">
        <is>
          <t>연서면 성제리 405-1</t>
        </is>
      </c>
      <c r="B433" s="3" t="inlineStr">
        <is>
          <t>계획관리지역</t>
        </is>
      </c>
      <c r="C433" s="3" t="inlineStr">
        <is>
          <t>공장용지</t>
        </is>
      </c>
      <c r="D433" s="3" t="inlineStr">
        <is>
          <t>공장</t>
        </is>
      </c>
      <c r="E433" s="3" t="inlineStr">
        <is>
          <t>매매</t>
        </is>
      </c>
      <c r="F433" s="4" t="n">
        <v>310000</v>
      </c>
      <c r="G433" s="4" t="n">
        <v>0</v>
      </c>
      <c r="H433" s="4" t="n">
        <v>1857</v>
      </c>
      <c r="I433" s="4" t="n">
        <v>562</v>
      </c>
      <c r="J433" s="5" t="n">
        <v>551.6</v>
      </c>
      <c r="K433" s="4" t="n">
        <v>1254</v>
      </c>
      <c r="L433" s="4" t="n">
        <v>379</v>
      </c>
      <c r="M433" s="5" t="n">
        <v>817.9</v>
      </c>
      <c r="N433" s="3" t="inlineStr">
        <is>
          <t>2</t>
        </is>
      </c>
      <c r="O433" s="3" t="inlineStr">
        <is>
          <t>-</t>
        </is>
      </c>
      <c r="P433" s="3" t="inlineStr">
        <is>
          <t>월하천 뷰의 전망이 좋고 투자가치 탁월한 공장,창고 매매</t>
        </is>
      </c>
      <c r="Q433" s="6">
        <f>HYPERLINK("https://fin.land.naver.com/articles/2650985014", "매물Link")</f>
        <v/>
      </c>
      <c r="R433" s="6">
        <f>HYPERLINK("https://map.naver.com/p/search/연서면 성제리 405-1", "지도Link")</f>
        <v/>
      </c>
      <c r="S433" s="6">
        <f>HYPERLINK("http://www.eum.go.kr/web/ar/lu/luLandDet.jsp?pnu=3611036023104050001&amp;isNoScr=script&amp;mode=search", "토지이음")</f>
        <v/>
      </c>
      <c r="T433" s="3" t="inlineStr">
        <is>
          <t>비타민무소</t>
        </is>
      </c>
      <c r="U433" s="4" t="n">
        <v>1</v>
      </c>
      <c r="V433" s="5" t="n">
        <v>122.2</v>
      </c>
      <c r="W433" s="4" t="n">
        <v>910</v>
      </c>
      <c r="X433" s="3" t="inlineStr">
        <is>
          <t>미표기</t>
        </is>
      </c>
      <c r="Y433" s="7" t="inlineStr">
        <is>
          <t>2층</t>
        </is>
      </c>
      <c r="Z433" s="3" t="inlineStr">
        <is>
          <t>철근콘크리트구조</t>
        </is>
      </c>
      <c r="AA433" s="3" t="inlineStr">
        <is>
          <t>공장</t>
        </is>
      </c>
      <c r="AB433" s="3" t="inlineStr">
        <is>
          <t>-</t>
        </is>
      </c>
      <c r="AC433" s="3" t="inlineStr">
        <is>
          <t>1988-05</t>
        </is>
      </c>
      <c r="AD433" s="3" t="inlineStr">
        <is>
          <t>세로한면(가)</t>
        </is>
      </c>
    </row>
    <row r="434">
      <c r="A434" s="3" t="inlineStr">
        <is>
          <t>연서면 성제리 405-1</t>
        </is>
      </c>
      <c r="B434" s="3" t="inlineStr">
        <is>
          <t>계획관리지역</t>
        </is>
      </c>
      <c r="C434" s="3" t="inlineStr">
        <is>
          <t>공장용지</t>
        </is>
      </c>
      <c r="D434" s="3" t="inlineStr">
        <is>
          <t>공장</t>
        </is>
      </c>
      <c r="E434" s="3" t="inlineStr">
        <is>
          <t>월세</t>
        </is>
      </c>
      <c r="F434" s="4" t="n">
        <v>5000</v>
      </c>
      <c r="G434" s="4" t="n">
        <v>500</v>
      </c>
      <c r="H434" s="4" t="n">
        <v>1857</v>
      </c>
      <c r="I434" s="4" t="n">
        <v>562</v>
      </c>
      <c r="J434" s="5" t="n">
        <v>0.9</v>
      </c>
      <c r="K434" s="4" t="n">
        <v>1254</v>
      </c>
      <c r="L434" s="4" t="n">
        <v>379</v>
      </c>
      <c r="M434" s="5" t="n">
        <v>1.3</v>
      </c>
      <c r="N434" s="3" t="inlineStr">
        <is>
          <t>2</t>
        </is>
      </c>
      <c r="O434" s="3" t="inlineStr">
        <is>
          <t>-</t>
        </is>
      </c>
      <c r="P434" s="3" t="inlineStr">
        <is>
          <t>전망 좋고 투자가치 높은 월하천 전망의 귀한 공장 창고 판매매장</t>
        </is>
      </c>
      <c r="Q434" s="6">
        <f>HYPERLINK("https://fin.land.naver.com/articles/2651831711", "매물Link")</f>
        <v/>
      </c>
      <c r="R434" s="6">
        <f>HYPERLINK("https://map.naver.com/p/search/연서면 성제리 405-1", "지도Link")</f>
        <v/>
      </c>
      <c r="S434" s="6">
        <f>HYPERLINK("http://www.eum.go.kr/web/ar/lu/luLandDet.jsp?pnu=3611036023104050001&amp;isNoScr=script&amp;mode=search", "토지이음")</f>
        <v/>
      </c>
      <c r="T434" s="3" t="inlineStr">
        <is>
          <t>번영</t>
        </is>
      </c>
      <c r="U434" s="4" t="n">
        <v>1</v>
      </c>
      <c r="V434" s="5" t="n">
        <v>122.2</v>
      </c>
      <c r="W434" s="4" t="n">
        <v>910</v>
      </c>
      <c r="X434" s="3" t="inlineStr">
        <is>
          <t>미표기</t>
        </is>
      </c>
      <c r="Y434" s="7" t="inlineStr">
        <is>
          <t>2층</t>
        </is>
      </c>
      <c r="Z434" s="3" t="inlineStr">
        <is>
          <t>철근콘크리트구조</t>
        </is>
      </c>
      <c r="AA434" s="3" t="inlineStr">
        <is>
          <t>공장</t>
        </is>
      </c>
      <c r="AB434" s="3" t="inlineStr">
        <is>
          <t>-</t>
        </is>
      </c>
      <c r="AC434" s="3" t="inlineStr">
        <is>
          <t>1988-05</t>
        </is>
      </c>
      <c r="AD434" s="3" t="inlineStr">
        <is>
          <t>세로한면(가)</t>
        </is>
      </c>
    </row>
    <row r="435">
      <c r="A435" s="3" t="inlineStr">
        <is>
          <t>연서면 성제리 405-1</t>
        </is>
      </c>
      <c r="B435" s="3" t="inlineStr">
        <is>
          <t>계획관리지역</t>
        </is>
      </c>
      <c r="C435" s="3" t="inlineStr">
        <is>
          <t>공장용지</t>
        </is>
      </c>
      <c r="D435" s="3" t="inlineStr">
        <is>
          <t>공장</t>
        </is>
      </c>
      <c r="E435" s="3" t="inlineStr">
        <is>
          <t>월세</t>
        </is>
      </c>
      <c r="F435" s="4" t="n">
        <v>1000</v>
      </c>
      <c r="G435" s="4" t="n">
        <v>180</v>
      </c>
      <c r="H435" s="4" t="n">
        <v>919</v>
      </c>
      <c r="I435" s="4" t="n">
        <v>278</v>
      </c>
      <c r="J435" s="5" t="n">
        <v>0.6</v>
      </c>
      <c r="K435" s="4" t="n">
        <v>240</v>
      </c>
      <c r="L435" s="4" t="n">
        <v>73</v>
      </c>
      <c r="M435" s="5" t="n">
        <v>2.5</v>
      </c>
      <c r="N435" s="3" t="inlineStr">
        <is>
          <t>2</t>
        </is>
      </c>
      <c r="O435" s="3" t="inlineStr">
        <is>
          <t>-</t>
        </is>
      </c>
      <c r="P435" s="3" t="inlineStr">
        <is>
          <t>조치원과 고복저수지와 연서면 국가산업단지를 연결하는 성제사거리에 입지</t>
        </is>
      </c>
      <c r="Q435" s="6">
        <f>HYPERLINK("https://fin.land.naver.com/articles/2651406061", "매물Link")</f>
        <v/>
      </c>
      <c r="R435" s="6">
        <f>HYPERLINK("https://map.naver.com/p/search/연서면 성제리 405-1", "지도Link")</f>
        <v/>
      </c>
      <c r="S435" s="6">
        <f>HYPERLINK("http://www.eum.go.kr/web/ar/lu/luLandDet.jsp?pnu=3611036023104050001&amp;isNoScr=script&amp;mode=search", "토지이음")</f>
        <v/>
      </c>
      <c r="T435" s="3" t="inlineStr">
        <is>
          <t>세종베스트</t>
        </is>
      </c>
      <c r="U435" s="4" t="n">
        <v>1</v>
      </c>
      <c r="V435" s="5" t="n">
        <v>122.2</v>
      </c>
      <c r="W435" s="4" t="n">
        <v>910</v>
      </c>
      <c r="X435" s="3" t="inlineStr">
        <is>
          <t>미표기</t>
        </is>
      </c>
      <c r="Y435" s="7" t="inlineStr">
        <is>
          <t>2층</t>
        </is>
      </c>
      <c r="Z435" s="3" t="inlineStr">
        <is>
          <t>철근콘크리트구조</t>
        </is>
      </c>
      <c r="AA435" s="3" t="inlineStr">
        <is>
          <t>공장</t>
        </is>
      </c>
      <c r="AB435" s="3" t="inlineStr">
        <is>
          <t>-</t>
        </is>
      </c>
      <c r="AC435" s="3" t="inlineStr">
        <is>
          <t>1988-05</t>
        </is>
      </c>
      <c r="AD435" s="3" t="inlineStr">
        <is>
          <t>세로한면(가)</t>
        </is>
      </c>
    </row>
    <row r="436">
      <c r="A436" s="3" t="inlineStr">
        <is>
          <t>연서면 성제리 405-1</t>
        </is>
      </c>
      <c r="B436" s="3" t="inlineStr">
        <is>
          <t>계획관리지역</t>
        </is>
      </c>
      <c r="C436" s="3" t="inlineStr">
        <is>
          <t>공장용지</t>
        </is>
      </c>
      <c r="D436" s="3" t="inlineStr">
        <is>
          <t>공장</t>
        </is>
      </c>
      <c r="E436" s="3" t="inlineStr">
        <is>
          <t>매매</t>
        </is>
      </c>
      <c r="F436" s="4" t="n">
        <v>310000</v>
      </c>
      <c r="G436" s="4" t="n">
        <v>0</v>
      </c>
      <c r="H436" s="4" t="n">
        <v>1857</v>
      </c>
      <c r="I436" s="4" t="n">
        <v>562</v>
      </c>
      <c r="J436" s="5" t="n">
        <v>551.6</v>
      </c>
      <c r="K436" s="4" t="n">
        <v>1254</v>
      </c>
      <c r="L436" s="4" t="n">
        <v>379</v>
      </c>
      <c r="M436" s="5" t="n">
        <v>817.9</v>
      </c>
      <c r="N436" s="3" t="inlineStr">
        <is>
          <t>2</t>
        </is>
      </c>
      <c r="O436" s="3" t="inlineStr">
        <is>
          <t>-</t>
        </is>
      </c>
      <c r="P436" s="3" t="inlineStr">
        <is>
          <t>전망 좋고 투자가치 높은 월하천 전망의 귀한 공장 창고 판매매장</t>
        </is>
      </c>
      <c r="Q436" s="6">
        <f>HYPERLINK("https://fin.land.naver.com/articles/2652571798", "매물Link")</f>
        <v/>
      </c>
      <c r="R436" s="6">
        <f>HYPERLINK("https://map.naver.com/p/search/연서면 성제리 405-1", "지도Link")</f>
        <v/>
      </c>
      <c r="S436" s="6">
        <f>HYPERLINK("http://www.eum.go.kr/web/ar/lu/luLandDet.jsp?pnu=3611036023104050001&amp;isNoScr=script&amp;mode=search", "토지이음")</f>
        <v/>
      </c>
      <c r="T436" s="3" t="inlineStr">
        <is>
          <t>번영</t>
        </is>
      </c>
      <c r="U436" s="4" t="n">
        <v>1</v>
      </c>
      <c r="V436" s="5" t="n">
        <v>122.2</v>
      </c>
      <c r="W436" s="4" t="n">
        <v>910</v>
      </c>
      <c r="X436" s="3" t="inlineStr">
        <is>
          <t>미표기</t>
        </is>
      </c>
      <c r="Y436" s="7" t="inlineStr">
        <is>
          <t>2층</t>
        </is>
      </c>
      <c r="Z436" s="3" t="inlineStr">
        <is>
          <t>철근콘크리트구조</t>
        </is>
      </c>
      <c r="AA436" s="3" t="inlineStr">
        <is>
          <t>공장</t>
        </is>
      </c>
      <c r="AB436" s="3" t="inlineStr">
        <is>
          <t>-</t>
        </is>
      </c>
      <c r="AC436" s="3" t="inlineStr">
        <is>
          <t>1988-05</t>
        </is>
      </c>
      <c r="AD436" s="3" t="inlineStr">
        <is>
          <t>세로한면(가)</t>
        </is>
      </c>
    </row>
    <row r="437">
      <c r="A437" s="3" t="inlineStr">
        <is>
          <t>연서면 성제리 405-1</t>
        </is>
      </c>
      <c r="B437" s="3" t="inlineStr">
        <is>
          <t>계획관리지역</t>
        </is>
      </c>
      <c r="C437" s="3" t="inlineStr">
        <is>
          <t>공장용지</t>
        </is>
      </c>
      <c r="D437" s="3" t="inlineStr">
        <is>
          <t>공장</t>
        </is>
      </c>
      <c r="E437" s="3" t="inlineStr">
        <is>
          <t>매매</t>
        </is>
      </c>
      <c r="F437" s="4" t="n">
        <v>300000</v>
      </c>
      <c r="G437" s="4" t="n">
        <v>0</v>
      </c>
      <c r="H437" s="4" t="n">
        <v>1616</v>
      </c>
      <c r="I437" s="4" t="n">
        <v>489</v>
      </c>
      <c r="J437" s="5" t="n">
        <v>613.5</v>
      </c>
      <c r="K437" s="4" t="n">
        <v>1254</v>
      </c>
      <c r="L437" s="4" t="n">
        <v>379</v>
      </c>
      <c r="M437" s="5" t="n">
        <v>791.6</v>
      </c>
      <c r="N437" s="3" t="inlineStr">
        <is>
          <t>2</t>
        </is>
      </c>
      <c r="O437" s="3" t="inlineStr">
        <is>
          <t>-</t>
        </is>
      </c>
      <c r="P437" s="3" t="inlineStr">
        <is>
          <t>공장 매매</t>
        </is>
      </c>
      <c r="Q437" s="6">
        <f>HYPERLINK("https://fin.land.naver.com/articles/2653377371", "매물Link")</f>
        <v/>
      </c>
      <c r="R437" s="6">
        <f>HYPERLINK("https://map.naver.com/p/search/연서면 성제리 405-1", "지도Link")</f>
        <v/>
      </c>
      <c r="S437" s="6">
        <f>HYPERLINK("http://www.eum.go.kr/web/ar/lu/luLandDet.jsp?pnu=3611036023104050001&amp;isNoScr=script&amp;mode=search", "토지이음")</f>
        <v/>
      </c>
      <c r="T437" s="3" t="inlineStr">
        <is>
          <t>마니</t>
        </is>
      </c>
      <c r="U437" s="4" t="n">
        <v>1</v>
      </c>
      <c r="V437" s="5" t="n">
        <v>122.2</v>
      </c>
      <c r="W437" s="4" t="n">
        <v>910</v>
      </c>
      <c r="X437" s="3" t="inlineStr">
        <is>
          <t>미표기</t>
        </is>
      </c>
      <c r="Y437" s="7" t="inlineStr">
        <is>
          <t>2층</t>
        </is>
      </c>
      <c r="Z437" s="3" t="inlineStr">
        <is>
          <t>철근콘크리트구조</t>
        </is>
      </c>
      <c r="AA437" s="3" t="inlineStr">
        <is>
          <t>공장</t>
        </is>
      </c>
      <c r="AB437" s="3" t="inlineStr">
        <is>
          <t>-</t>
        </is>
      </c>
      <c r="AC437" s="3" t="inlineStr">
        <is>
          <t>1988-05</t>
        </is>
      </c>
      <c r="AD437" s="3" t="inlineStr">
        <is>
          <t>세로한면(가)</t>
        </is>
      </c>
    </row>
    <row r="438">
      <c r="A438" s="3" t="inlineStr">
        <is>
          <t>연서면 성제리 405-1</t>
        </is>
      </c>
      <c r="B438" s="3" t="inlineStr">
        <is>
          <t>계획관리지역</t>
        </is>
      </c>
      <c r="C438" s="3" t="inlineStr">
        <is>
          <t>공장용지</t>
        </is>
      </c>
      <c r="D438" s="3" t="inlineStr">
        <is>
          <t>공장</t>
        </is>
      </c>
      <c r="E438" s="3" t="inlineStr">
        <is>
          <t>월세</t>
        </is>
      </c>
      <c r="F438" s="4" t="n">
        <v>5000</v>
      </c>
      <c r="G438" s="4" t="n">
        <v>500</v>
      </c>
      <c r="H438" s="4" t="n">
        <v>1616</v>
      </c>
      <c r="I438" s="4" t="n">
        <v>489</v>
      </c>
      <c r="J438" s="5" t="n">
        <v>1</v>
      </c>
      <c r="K438" s="4" t="n">
        <v>1254</v>
      </c>
      <c r="L438" s="4" t="n">
        <v>379</v>
      </c>
      <c r="M438" s="5" t="n">
        <v>1.3</v>
      </c>
      <c r="N438" s="3" t="inlineStr">
        <is>
          <t>2</t>
        </is>
      </c>
      <c r="O438" s="3" t="inlineStr">
        <is>
          <t>-</t>
        </is>
      </c>
      <c r="P438" s="3" t="inlineStr">
        <is>
          <t>공장  임대 입니다</t>
        </is>
      </c>
      <c r="Q438" s="6">
        <f>HYPERLINK("https://fin.land.naver.com/articles/2653377343", "매물Link")</f>
        <v/>
      </c>
      <c r="R438" s="6">
        <f>HYPERLINK("https://map.naver.com/p/search/연서면 성제리 405-1", "지도Link")</f>
        <v/>
      </c>
      <c r="S438" s="6">
        <f>HYPERLINK("http://www.eum.go.kr/web/ar/lu/luLandDet.jsp?pnu=3611036023104050001&amp;isNoScr=script&amp;mode=search", "토지이음")</f>
        <v/>
      </c>
      <c r="T438" s="3" t="inlineStr">
        <is>
          <t>마니</t>
        </is>
      </c>
      <c r="U438" s="4" t="n">
        <v>1</v>
      </c>
      <c r="V438" s="5" t="n">
        <v>122.2</v>
      </c>
      <c r="W438" s="4" t="n">
        <v>910</v>
      </c>
      <c r="X438" s="3" t="inlineStr">
        <is>
          <t>미표기</t>
        </is>
      </c>
      <c r="Y438" s="7" t="inlineStr">
        <is>
          <t>2층</t>
        </is>
      </c>
      <c r="Z438" s="3" t="inlineStr">
        <is>
          <t>철근콘크리트구조</t>
        </is>
      </c>
      <c r="AA438" s="3" t="inlineStr">
        <is>
          <t>공장</t>
        </is>
      </c>
      <c r="AB438" s="3" t="inlineStr">
        <is>
          <t>-</t>
        </is>
      </c>
      <c r="AC438" s="3" t="inlineStr">
        <is>
          <t>1988-05</t>
        </is>
      </c>
      <c r="AD438" s="3" t="inlineStr">
        <is>
          <t>세로한면(가)</t>
        </is>
      </c>
    </row>
    <row r="439">
      <c r="A439" s="3" t="inlineStr">
        <is>
          <t>연서면 신대리 197-1</t>
        </is>
      </c>
      <c r="B439" s="3" t="inlineStr">
        <is>
          <t>계획관리지역</t>
        </is>
      </c>
      <c r="C439" s="3" t="inlineStr">
        <is>
          <t>공장용지</t>
        </is>
      </c>
      <c r="D439" s="3" t="inlineStr">
        <is>
          <t>공장</t>
        </is>
      </c>
      <c r="E439" s="3" t="inlineStr">
        <is>
          <t>월세</t>
        </is>
      </c>
      <c r="F439" s="4" t="n">
        <v>5000</v>
      </c>
      <c r="G439" s="4" t="n">
        <v>450</v>
      </c>
      <c r="H439" s="4" t="n">
        <v>3170</v>
      </c>
      <c r="I439" s="4" t="n">
        <v>959</v>
      </c>
      <c r="J439" s="5" t="n">
        <v>0.5</v>
      </c>
      <c r="K439" s="4" t="n">
        <v>802</v>
      </c>
      <c r="L439" s="4" t="n">
        <v>243</v>
      </c>
      <c r="M439" s="5" t="n">
        <v>1.9</v>
      </c>
      <c r="N439" s="3" t="inlineStr">
        <is>
          <t>1</t>
        </is>
      </c>
      <c r="O439" s="3" t="inlineStr">
        <is>
          <t>-</t>
        </is>
      </c>
      <c r="P439" s="3" t="inlineStr">
        <is>
          <t>사진有 공장 임대</t>
        </is>
      </c>
      <c r="Q439" s="6">
        <f>HYPERLINK("https://fin.land.naver.com/articles/2653032812", "매물Link")</f>
        <v/>
      </c>
      <c r="R439" s="6">
        <f>HYPERLINK("https://map.naver.com/p/search/연서면 신대리 197-1", "지도Link")</f>
        <v/>
      </c>
      <c r="S439" s="6">
        <f>HYPERLINK("http://www.eum.go.kr/web/ar/lu/luLandDet.jsp?pnu=3611036029101970001&amp;isNoScr=script&amp;mode=search", "토지이음")</f>
        <v/>
      </c>
      <c r="T439" s="3" t="inlineStr">
        <is>
          <t>월드</t>
        </is>
      </c>
      <c r="U439" s="4" t="n">
        <v>1</v>
      </c>
      <c r="V439" s="5" t="n">
        <v>58.4</v>
      </c>
      <c r="W439" s="4" t="n">
        <v>3009</v>
      </c>
      <c r="X439" s="3" t="inlineStr">
        <is>
          <t>미표기</t>
        </is>
      </c>
      <c r="Y439" s="7" t="inlineStr">
        <is>
          <t>1층</t>
        </is>
      </c>
      <c r="Z439" s="3" t="inlineStr">
        <is>
          <t>일반철골구조</t>
        </is>
      </c>
      <c r="AA439" s="3" t="inlineStr">
        <is>
          <t>공장</t>
        </is>
      </c>
      <c r="AB439" s="3" t="inlineStr">
        <is>
          <t>7.3m</t>
        </is>
      </c>
      <c r="AC439" s="3" t="inlineStr">
        <is>
          <t>2005-06</t>
        </is>
      </c>
      <c r="AD439" s="3" t="inlineStr">
        <is>
          <t>소로한면</t>
        </is>
      </c>
    </row>
    <row r="440">
      <c r="A440" s="3" t="inlineStr">
        <is>
          <t>연서면 신대리 459-3</t>
        </is>
      </c>
      <c r="B440" s="3" t="inlineStr">
        <is>
          <t>계획관리지역</t>
        </is>
      </c>
      <c r="C440" s="3" t="inlineStr">
        <is>
          <t>공장용지</t>
        </is>
      </c>
      <c r="D440" s="3" t="inlineStr">
        <is>
          <t>공장</t>
        </is>
      </c>
      <c r="E440" s="3" t="inlineStr">
        <is>
          <t>매매</t>
        </is>
      </c>
      <c r="F440" s="4" t="n">
        <v>450000</v>
      </c>
      <c r="G440" s="4" t="n">
        <v>0</v>
      </c>
      <c r="H440" s="4" t="n">
        <v>9577</v>
      </c>
      <c r="I440" s="4" t="n">
        <v>2897</v>
      </c>
      <c r="J440" s="5" t="n">
        <v>155.3</v>
      </c>
      <c r="K440" s="4" t="n">
        <v>2697</v>
      </c>
      <c r="L440" s="4" t="n">
        <v>816</v>
      </c>
      <c r="M440" s="5" t="n">
        <v>551.5</v>
      </c>
      <c r="N440" s="3" t="inlineStr">
        <is>
          <t>3</t>
        </is>
      </c>
      <c r="O440" s="3" t="inlineStr">
        <is>
          <t>-</t>
        </is>
      </c>
      <c r="P440" s="3" t="inlineStr">
        <is>
          <t>세종스마트국가산업단지 인근 2차선 도로변 공장 매각</t>
        </is>
      </c>
      <c r="Q440" s="6">
        <f>HYPERLINK("https://fin.land.naver.com/articles/2651693675", "매물Link")</f>
        <v/>
      </c>
      <c r="R440" s="6">
        <f>HYPERLINK("https://map.naver.com/p/search/연서면 신대리 459-3", "지도Link")</f>
        <v/>
      </c>
      <c r="S440" s="6">
        <f>HYPERLINK("http://www.eum.go.kr/web/ar/lu/luLandDet.jsp?pnu=3611036029104590003&amp;isNoScr=script&amp;mode=search", "토지이음")</f>
        <v/>
      </c>
      <c r="T440" s="3" t="inlineStr">
        <is>
          <t>청담</t>
        </is>
      </c>
      <c r="U440" s="4" t="n">
        <v>1</v>
      </c>
      <c r="V440" s="5" t="n">
        <v>68.7</v>
      </c>
      <c r="W440" s="4" t="n">
        <v>9577</v>
      </c>
      <c r="X440" s="3" t="inlineStr">
        <is>
          <t>1동</t>
        </is>
      </c>
      <c r="Y440" s="7" t="inlineStr">
        <is>
          <t>1층</t>
        </is>
      </c>
      <c r="Z440" s="3" t="inlineStr">
        <is>
          <t>일반철골구조</t>
        </is>
      </c>
      <c r="AA440" s="3" t="inlineStr">
        <is>
          <t>위험물저장및처리시설</t>
        </is>
      </c>
      <c r="AB440" s="3" t="inlineStr">
        <is>
          <t>6.85m</t>
        </is>
      </c>
      <c r="AC440" s="3" t="inlineStr">
        <is>
          <t>2002-12</t>
        </is>
      </c>
      <c r="AD440" s="3" t="inlineStr">
        <is>
          <t>소로한면</t>
        </is>
      </c>
    </row>
    <row r="441">
      <c r="A441" s="3" t="inlineStr">
        <is>
          <t>연서면 신대리 459-3</t>
        </is>
      </c>
      <c r="B441" s="3" t="inlineStr">
        <is>
          <t>계획관리지역</t>
        </is>
      </c>
      <c r="C441" s="3" t="inlineStr">
        <is>
          <t>공장용지</t>
        </is>
      </c>
      <c r="D441" s="3" t="inlineStr">
        <is>
          <t>공장</t>
        </is>
      </c>
      <c r="E441" s="3" t="inlineStr">
        <is>
          <t>매매</t>
        </is>
      </c>
      <c r="F441" s="4" t="n">
        <v>450000</v>
      </c>
      <c r="G441" s="4" t="n">
        <v>0</v>
      </c>
      <c r="H441" s="4" t="n">
        <v>9577</v>
      </c>
      <c r="I441" s="4" t="n">
        <v>2897</v>
      </c>
      <c r="J441" s="5" t="n">
        <v>155.3</v>
      </c>
      <c r="K441" s="4" t="n">
        <v>2697</v>
      </c>
      <c r="L441" s="4" t="n">
        <v>816</v>
      </c>
      <c r="M441" s="5" t="n">
        <v>551.5</v>
      </c>
      <c r="N441" s="3" t="inlineStr">
        <is>
          <t>3</t>
        </is>
      </c>
      <c r="O441" s="3" t="inlineStr">
        <is>
          <t>-</t>
        </is>
      </c>
      <c r="P441" s="3" t="inlineStr">
        <is>
          <t>연서면 신대리 사옥 및 공장, 냉동 상온창고 총 6동 매매</t>
        </is>
      </c>
      <c r="Q441" s="6">
        <f>HYPERLINK("https://fin.land.naver.com/articles/2652165001", "매물Link")</f>
        <v/>
      </c>
      <c r="R441" s="6">
        <f>HYPERLINK("https://map.naver.com/p/search/연서면 신대리 459-3", "지도Link")</f>
        <v/>
      </c>
      <c r="S441" s="6">
        <f>HYPERLINK("http://www.eum.go.kr/web/ar/lu/luLandDet.jsp?pnu=3611036029104590003&amp;isNoScr=script&amp;mode=search", "토지이음")</f>
        <v/>
      </c>
      <c r="T441" s="3" t="inlineStr">
        <is>
          <t>뉴스카이</t>
        </is>
      </c>
      <c r="U441" s="4" t="n">
        <v>1</v>
      </c>
      <c r="V441" s="5" t="n">
        <v>68.7</v>
      </c>
      <c r="W441" s="4" t="n">
        <v>9577</v>
      </c>
      <c r="X441" s="3" t="inlineStr">
        <is>
          <t>1동</t>
        </is>
      </c>
      <c r="Y441" s="7" t="inlineStr">
        <is>
          <t>1층</t>
        </is>
      </c>
      <c r="Z441" s="3" t="inlineStr">
        <is>
          <t>일반철골구조</t>
        </is>
      </c>
      <c r="AA441" s="3" t="inlineStr">
        <is>
          <t>위험물저장및처리시설</t>
        </is>
      </c>
      <c r="AB441" s="3" t="inlineStr">
        <is>
          <t>6.85m</t>
        </is>
      </c>
      <c r="AC441" s="3" t="inlineStr">
        <is>
          <t>2002-12</t>
        </is>
      </c>
      <c r="AD441" s="3" t="inlineStr">
        <is>
          <t>소로한면</t>
        </is>
      </c>
    </row>
    <row r="442">
      <c r="A442" s="3" t="inlineStr">
        <is>
          <t>연서면 신대리 532</t>
        </is>
      </c>
      <c r="B442" s="3" t="inlineStr">
        <is>
          <t>계획관리지역</t>
        </is>
      </c>
      <c r="C442" s="3" t="inlineStr">
        <is>
          <t>공장용지</t>
        </is>
      </c>
      <c r="D442" s="3" t="inlineStr">
        <is>
          <t>공장</t>
        </is>
      </c>
      <c r="E442" s="3" t="inlineStr">
        <is>
          <t>매매</t>
        </is>
      </c>
      <c r="F442" s="4" t="n">
        <v>86700</v>
      </c>
      <c r="G442" s="4" t="n">
        <v>0</v>
      </c>
      <c r="H442" s="4" t="n">
        <v>957</v>
      </c>
      <c r="I442" s="4" t="n">
        <v>289</v>
      </c>
      <c r="J442" s="5" t="n">
        <v>300</v>
      </c>
      <c r="K442" s="4" t="n">
        <v>233</v>
      </c>
      <c r="L442" s="4" t="n">
        <v>70</v>
      </c>
      <c r="M442" s="5" t="n">
        <v>1238.6</v>
      </c>
      <c r="N442" s="3" t="inlineStr">
        <is>
          <t>1</t>
        </is>
      </c>
      <c r="O442" s="3" t="inlineStr">
        <is>
          <t>-</t>
        </is>
      </c>
      <c r="P442" s="3" t="inlineStr">
        <is>
          <t>2차선 도로접한 공장부지.근생용지로도 사용가능,카페,식당,창고추천</t>
        </is>
      </c>
      <c r="Q442" s="6">
        <f>HYPERLINK("https://fin.land.naver.com/articles/2652071695", "매물Link")</f>
        <v/>
      </c>
      <c r="R442" s="6">
        <f>HYPERLINK("https://map.naver.com/p/search/연서면 신대리 532", "지도Link")</f>
        <v/>
      </c>
      <c r="S442" s="6">
        <f>HYPERLINK("http://www.eum.go.kr/web/ar/lu/luLandDet.jsp?pnu=3611036029105320000&amp;isNoScr=script&amp;mode=search", "토지이음")</f>
        <v/>
      </c>
      <c r="T442" s="3" t="inlineStr">
        <is>
          <t>담뜰</t>
        </is>
      </c>
      <c r="U442" s="4" t="n">
        <v>1</v>
      </c>
      <c r="V442" s="5" t="n">
        <v>58.4</v>
      </c>
      <c r="W442" s="4" t="n">
        <v>957</v>
      </c>
      <c r="X442" s="3" t="inlineStr">
        <is>
          <t>미표기</t>
        </is>
      </c>
      <c r="Y442" s="7" t="inlineStr">
        <is>
          <t>1층</t>
        </is>
      </c>
      <c r="Z442" s="3" t="inlineStr">
        <is>
          <t>일반철골구조</t>
        </is>
      </c>
      <c r="AA442" s="3" t="inlineStr">
        <is>
          <t>공장</t>
        </is>
      </c>
      <c r="AB442" s="3" t="inlineStr">
        <is>
          <t>5.4m</t>
        </is>
      </c>
      <c r="AC442" s="3" t="inlineStr">
        <is>
          <t>2002-10</t>
        </is>
      </c>
      <c r="AD442" s="3" t="inlineStr">
        <is>
          <t>소로한면</t>
        </is>
      </c>
    </row>
    <row r="443">
      <c r="A443" s="3" t="inlineStr">
        <is>
          <t>연서면 쌍류리 332-3</t>
        </is>
      </c>
      <c r="B443" s="3" t="inlineStr">
        <is>
          <t>생산관리지역</t>
        </is>
      </c>
      <c r="C443" s="3" t="inlineStr">
        <is>
          <t>대</t>
        </is>
      </c>
      <c r="D443" s="3" t="inlineStr">
        <is>
          <t>창고</t>
        </is>
      </c>
      <c r="E443" s="3" t="inlineStr">
        <is>
          <t>월세</t>
        </is>
      </c>
      <c r="F443" s="4" t="n">
        <v>2000</v>
      </c>
      <c r="G443" s="4" t="n">
        <v>90</v>
      </c>
      <c r="H443" s="4" t="n">
        <v>1491</v>
      </c>
      <c r="I443" s="4" t="n">
        <v>451</v>
      </c>
      <c r="J443" s="5" t="n">
        <v>0.2</v>
      </c>
      <c r="K443" s="4" t="n">
        <v>199</v>
      </c>
      <c r="L443" s="4" t="n">
        <v>60</v>
      </c>
      <c r="M443" s="5" t="n">
        <v>1.5</v>
      </c>
      <c r="N443" s="3" t="inlineStr">
        <is>
          <t>1</t>
        </is>
      </c>
      <c r="O443" s="3" t="inlineStr">
        <is>
          <t>-</t>
        </is>
      </c>
      <c r="P443" s="3" t="inlineStr">
        <is>
          <t>도로에 접한 창고 임대카페,창고,시무실 등 용도</t>
        </is>
      </c>
      <c r="Q443" s="6">
        <f>HYPERLINK("https://fin.land.naver.com/articles/2650858536", "매물Link")</f>
        <v/>
      </c>
      <c r="R443" s="6">
        <f>HYPERLINK("https://map.naver.com/p/search/연서면 쌍류리 332-3", "지도Link")</f>
        <v/>
      </c>
      <c r="S443" s="6">
        <f>HYPERLINK("http://www.eum.go.kr/web/ar/lu/luLandDet.jsp?pnu=3611036026103320003&amp;isNoScr=script&amp;mode=search", "토지이음")</f>
        <v/>
      </c>
      <c r="T443" s="3" t="inlineStr">
        <is>
          <t>세종대박</t>
        </is>
      </c>
      <c r="U443" s="4" t="n">
        <v>1</v>
      </c>
      <c r="V443" s="5" t="n">
        <v>47.6</v>
      </c>
      <c r="W443" s="4" t="n">
        <v>1000</v>
      </c>
      <c r="X443" s="3" t="inlineStr">
        <is>
          <t>2동</t>
        </is>
      </c>
      <c r="Y443" s="7" t="inlineStr">
        <is>
          <t>1층</t>
        </is>
      </c>
      <c r="Z443" s="3" t="inlineStr">
        <is>
          <t>경량철골구조</t>
        </is>
      </c>
      <c r="AA443" s="3" t="inlineStr">
        <is>
          <t>제1종근생</t>
        </is>
      </c>
      <c r="AB443" s="3" t="inlineStr">
        <is>
          <t>4.7m</t>
        </is>
      </c>
      <c r="AC443" s="3" t="inlineStr">
        <is>
          <t>2011-12</t>
        </is>
      </c>
      <c r="AD443" s="3" t="inlineStr">
        <is>
          <t>세로한면(가)</t>
        </is>
      </c>
    </row>
    <row r="444">
      <c r="A444" s="3" t="inlineStr">
        <is>
          <t>연서면 와촌리 1119</t>
        </is>
      </c>
      <c r="B444" s="3" t="inlineStr">
        <is>
          <t>계획관리지역</t>
        </is>
      </c>
      <c r="C444" s="3" t="inlineStr">
        <is>
          <t>공장용지</t>
        </is>
      </c>
      <c r="D444" s="3" t="inlineStr">
        <is>
          <t>공장</t>
        </is>
      </c>
      <c r="E444" s="3" t="inlineStr">
        <is>
          <t>매매</t>
        </is>
      </c>
      <c r="F444" s="4" t="n">
        <v>1010000</v>
      </c>
      <c r="G444" s="4" t="n">
        <v>0</v>
      </c>
      <c r="H444" s="4" t="n">
        <v>22539</v>
      </c>
      <c r="I444" s="4" t="n">
        <v>6818</v>
      </c>
      <c r="J444" s="5" t="n">
        <v>148.1</v>
      </c>
      <c r="K444" s="4" t="n">
        <v>2654</v>
      </c>
      <c r="L444" s="4" t="n">
        <v>803</v>
      </c>
      <c r="M444" s="5" t="n">
        <v>1257.8</v>
      </c>
      <c r="N444" s="3" t="inlineStr">
        <is>
          <t>2</t>
        </is>
      </c>
      <c r="O444" s="3" t="inlineStr">
        <is>
          <t>-</t>
        </is>
      </c>
      <c r="P444" s="3" t="inlineStr">
        <is>
          <t>초급매 계획관리 공장용지 세종스마트국가산단 인근</t>
        </is>
      </c>
      <c r="Q444" s="6">
        <f>HYPERLINK("https://fin.land.naver.com/articles/2649918694", "매물Link")</f>
        <v/>
      </c>
      <c r="R444" s="6">
        <f>HYPERLINK("https://map.naver.com/p/search/연서면 와촌리 1119", "지도Link")</f>
        <v/>
      </c>
      <c r="S444" s="6">
        <f>HYPERLINK("http://www.eum.go.kr/web/ar/lu/luLandDet.jsp?pnu=3611036031111190000&amp;isNoScr=script&amp;mode=search", "토지이음")</f>
        <v/>
      </c>
      <c r="T444" s="3" t="inlineStr">
        <is>
          <t>미스터홈즈강남지사</t>
        </is>
      </c>
      <c r="U444" s="4" t="n">
        <v>1</v>
      </c>
      <c r="V444" s="5" t="n">
        <v>79.7</v>
      </c>
      <c r="W444" s="4" t="n">
        <v>6533</v>
      </c>
      <c r="X444" s="3" t="inlineStr">
        <is>
          <t>A동</t>
        </is>
      </c>
      <c r="Y444" s="7" t="inlineStr">
        <is>
          <t>2층</t>
        </is>
      </c>
      <c r="Z444" s="3" t="inlineStr">
        <is>
          <t>일반철골구조</t>
        </is>
      </c>
      <c r="AA444" s="3" t="inlineStr">
        <is>
          <t>공장</t>
        </is>
      </c>
      <c r="AB444" s="3" t="inlineStr">
        <is>
          <t>8.9m</t>
        </is>
      </c>
      <c r="AC444" s="3" t="inlineStr">
        <is>
          <t>1996-12</t>
        </is>
      </c>
      <c r="AD444" s="3" t="inlineStr">
        <is>
          <t>세로한면(가)</t>
        </is>
      </c>
    </row>
    <row r="445">
      <c r="A445" s="3" t="inlineStr">
        <is>
          <t>연서면 와촌리 1119-2</t>
        </is>
      </c>
      <c r="B445" s="3" t="inlineStr">
        <is>
          <t>계획관리지역</t>
        </is>
      </c>
      <c r="C445" s="3" t="inlineStr">
        <is>
          <t>공장용지</t>
        </is>
      </c>
      <c r="D445" s="3" t="inlineStr">
        <is>
          <t>공장</t>
        </is>
      </c>
      <c r="E445" s="3" t="inlineStr">
        <is>
          <t>월세</t>
        </is>
      </c>
      <c r="F445" s="4" t="n">
        <v>5000</v>
      </c>
      <c r="G445" s="4" t="n">
        <v>600</v>
      </c>
      <c r="H445" s="4" t="n">
        <v>3250</v>
      </c>
      <c r="I445" s="4" t="n">
        <v>983</v>
      </c>
      <c r="J445" s="5" t="n">
        <v>0.6</v>
      </c>
      <c r="K445" s="4" t="n">
        <v>1552</v>
      </c>
      <c r="L445" s="4" t="n">
        <v>469</v>
      </c>
      <c r="M445" s="5" t="n">
        <v>1.3</v>
      </c>
      <c r="N445" s="3" t="inlineStr">
        <is>
          <t>2</t>
        </is>
      </c>
      <c r="O445" s="3" t="inlineStr">
        <is>
          <t>-</t>
        </is>
      </c>
      <c r="P445" s="3" t="inlineStr">
        <is>
          <t>사진有 공장 임대</t>
        </is>
      </c>
      <c r="Q445" s="6">
        <f>HYPERLINK("https://fin.land.naver.com/articles/2653032582", "매물Link")</f>
        <v/>
      </c>
      <c r="R445" s="6">
        <f>HYPERLINK("https://map.naver.com/p/search/연서면 와촌리 1119-2", "지도Link")</f>
        <v/>
      </c>
      <c r="S445" s="6">
        <f>HYPERLINK("http://www.eum.go.kr/web/ar/lu/luLandDet.jsp?pnu=3611036031111190002&amp;isNoScr=script&amp;mode=search", "토지이음")</f>
        <v/>
      </c>
      <c r="T445" s="3" t="inlineStr">
        <is>
          <t>월드</t>
        </is>
      </c>
      <c r="U445" s="4" t="n">
        <v>1</v>
      </c>
      <c r="V445" s="5" t="n">
        <v>79.7</v>
      </c>
      <c r="W445" s="4" t="n">
        <v>3250</v>
      </c>
      <c r="X445" s="3" t="inlineStr">
        <is>
          <t>C동</t>
        </is>
      </c>
      <c r="Y445" s="7" t="inlineStr">
        <is>
          <t>2층</t>
        </is>
      </c>
      <c r="Z445" s="3" t="inlineStr">
        <is>
          <t>일반철골구조</t>
        </is>
      </c>
      <c r="AA445" s="3" t="inlineStr">
        <is>
          <t>공장</t>
        </is>
      </c>
      <c r="AB445" s="3" t="inlineStr">
        <is>
          <t>-</t>
        </is>
      </c>
      <c r="AC445" s="3" t="inlineStr">
        <is>
          <t>1996-12</t>
        </is>
      </c>
      <c r="AD445" s="3" t="inlineStr">
        <is>
          <t>세로한면(가)</t>
        </is>
      </c>
    </row>
    <row r="446">
      <c r="A446" s="3" t="inlineStr">
        <is>
          <t>연서면 와촌리 1119-2</t>
        </is>
      </c>
      <c r="B446" s="3" t="inlineStr">
        <is>
          <t>계획관리지역</t>
        </is>
      </c>
      <c r="C446" s="3" t="inlineStr">
        <is>
          <t>공장용지</t>
        </is>
      </c>
      <c r="D446" s="3" t="inlineStr">
        <is>
          <t>공장</t>
        </is>
      </c>
      <c r="E446" s="3" t="inlineStr">
        <is>
          <t>매매</t>
        </is>
      </c>
      <c r="F446" s="4" t="n">
        <v>350000</v>
      </c>
      <c r="G446" s="4" t="n">
        <v>0</v>
      </c>
      <c r="H446" s="4" t="n">
        <v>3250</v>
      </c>
      <c r="I446" s="4" t="n">
        <v>983</v>
      </c>
      <c r="J446" s="5" t="n">
        <v>356.1</v>
      </c>
      <c r="K446" s="4" t="n">
        <v>1552</v>
      </c>
      <c r="L446" s="4" t="n">
        <v>469</v>
      </c>
      <c r="M446" s="5" t="n">
        <v>746.3</v>
      </c>
      <c r="N446" s="3" t="inlineStr">
        <is>
          <t>2</t>
        </is>
      </c>
      <c r="O446" s="3" t="inlineStr">
        <is>
          <t>-</t>
        </is>
      </c>
      <c r="P446" s="3" t="inlineStr">
        <is>
          <t>사진有 공장 매매</t>
        </is>
      </c>
      <c r="Q446" s="6">
        <f>HYPERLINK("https://fin.land.naver.com/articles/2649602994", "매물Link")</f>
        <v/>
      </c>
      <c r="R446" s="6">
        <f>HYPERLINK("https://map.naver.com/p/search/연서면 와촌리 1119-2", "지도Link")</f>
        <v/>
      </c>
      <c r="S446" s="6">
        <f>HYPERLINK("http://www.eum.go.kr/web/ar/lu/luLandDet.jsp?pnu=3611036031111190002&amp;isNoScr=script&amp;mode=search", "토지이음")</f>
        <v/>
      </c>
      <c r="T446" s="3" t="inlineStr">
        <is>
          <t>월드</t>
        </is>
      </c>
      <c r="U446" s="4" t="n">
        <v>1</v>
      </c>
      <c r="V446" s="5" t="n">
        <v>79.7</v>
      </c>
      <c r="W446" s="4" t="n">
        <v>3250</v>
      </c>
      <c r="X446" s="3" t="inlineStr">
        <is>
          <t>C동</t>
        </is>
      </c>
      <c r="Y446" s="7" t="inlineStr">
        <is>
          <t>2층</t>
        </is>
      </c>
      <c r="Z446" s="3" t="inlineStr">
        <is>
          <t>일반철골구조</t>
        </is>
      </c>
      <c r="AA446" s="3" t="inlineStr">
        <is>
          <t>공장</t>
        </is>
      </c>
      <c r="AB446" s="3" t="inlineStr">
        <is>
          <t>-</t>
        </is>
      </c>
      <c r="AC446" s="3" t="inlineStr">
        <is>
          <t>1996-12</t>
        </is>
      </c>
      <c r="AD446" s="3" t="inlineStr">
        <is>
          <t>세로한면(가)</t>
        </is>
      </c>
    </row>
    <row r="447">
      <c r="A447" s="3" t="inlineStr">
        <is>
          <t>연서면 와촌리 1119-2</t>
        </is>
      </c>
      <c r="B447" s="3" t="inlineStr">
        <is>
          <t>계획관리지역</t>
        </is>
      </c>
      <c r="C447" s="3" t="inlineStr">
        <is>
          <t>공장용지</t>
        </is>
      </c>
      <c r="D447" s="3" t="inlineStr">
        <is>
          <t>공장</t>
        </is>
      </c>
      <c r="E447" s="3" t="inlineStr">
        <is>
          <t>월세</t>
        </is>
      </c>
      <c r="F447" s="4" t="n">
        <v>5000</v>
      </c>
      <c r="G447" s="4" t="n">
        <v>600</v>
      </c>
      <c r="H447" s="4" t="n">
        <v>3250</v>
      </c>
      <c r="I447" s="4" t="n">
        <v>983</v>
      </c>
      <c r="J447" s="5" t="n">
        <v>0.6</v>
      </c>
      <c r="K447" s="4" t="n">
        <v>1552</v>
      </c>
      <c r="L447" s="4" t="n">
        <v>469</v>
      </c>
      <c r="M447" s="5" t="n">
        <v>1.3</v>
      </c>
      <c r="N447" s="3" t="inlineStr">
        <is>
          <t>2</t>
        </is>
      </c>
      <c r="O447" s="3" t="inlineStr">
        <is>
          <t>-</t>
        </is>
      </c>
      <c r="P447" s="3" t="inlineStr">
        <is>
          <t>호이스트, 사무동, 기숙사 있는 대형공장 아주 아주 저렴한 임대</t>
        </is>
      </c>
      <c r="Q447" s="6">
        <f>HYPERLINK("https://fin.land.naver.com/articles/2651531957", "매물Link")</f>
        <v/>
      </c>
      <c r="R447" s="6">
        <f>HYPERLINK("https://map.naver.com/p/search/연서면 와촌리 1119-2", "지도Link")</f>
        <v/>
      </c>
      <c r="S447" s="6">
        <f>HYPERLINK("http://www.eum.go.kr/web/ar/lu/luLandDet.jsp?pnu=3611036031111190002&amp;isNoScr=script&amp;mode=search", "토지이음")</f>
        <v/>
      </c>
      <c r="T447" s="3" t="inlineStr">
        <is>
          <t>더오름</t>
        </is>
      </c>
      <c r="U447" s="4" t="n">
        <v>1</v>
      </c>
      <c r="V447" s="5" t="n">
        <v>79.7</v>
      </c>
      <c r="W447" s="4" t="n">
        <v>3250</v>
      </c>
      <c r="X447" s="3" t="inlineStr">
        <is>
          <t>C동</t>
        </is>
      </c>
      <c r="Y447" s="7" t="inlineStr">
        <is>
          <t>2층</t>
        </is>
      </c>
      <c r="Z447" s="3" t="inlineStr">
        <is>
          <t>일반철골구조</t>
        </is>
      </c>
      <c r="AA447" s="3" t="inlineStr">
        <is>
          <t>공장</t>
        </is>
      </c>
      <c r="AB447" s="3" t="inlineStr">
        <is>
          <t>-</t>
        </is>
      </c>
      <c r="AC447" s="3" t="inlineStr">
        <is>
          <t>1996-12</t>
        </is>
      </c>
      <c r="AD447" s="3" t="inlineStr">
        <is>
          <t>세로한면(가)</t>
        </is>
      </c>
    </row>
    <row r="448">
      <c r="A448" s="3" t="inlineStr">
        <is>
          <t>연서면 와촌리 852-5</t>
        </is>
      </c>
      <c r="B448" s="3" t="inlineStr">
        <is>
          <t>계획관리지역</t>
        </is>
      </c>
      <c r="C448" s="3" t="inlineStr">
        <is>
          <t>잡종지</t>
        </is>
      </c>
      <c r="D448" s="3" t="inlineStr">
        <is>
          <t>창고</t>
        </is>
      </c>
      <c r="E448" s="3" t="inlineStr">
        <is>
          <t>월세</t>
        </is>
      </c>
      <c r="F448" s="4" t="n">
        <v>3000</v>
      </c>
      <c r="G448" s="4" t="n">
        <v>150</v>
      </c>
      <c r="H448" s="4" t="n">
        <v>932</v>
      </c>
      <c r="I448" s="4" t="n">
        <v>282</v>
      </c>
      <c r="J448" s="5" t="n">
        <v>0.5</v>
      </c>
      <c r="K448" s="4" t="n">
        <v>488</v>
      </c>
      <c r="L448" s="4" t="n">
        <v>148</v>
      </c>
      <c r="M448" s="5" t="n">
        <v>1</v>
      </c>
      <c r="N448" s="3" t="inlineStr">
        <is>
          <t>1</t>
        </is>
      </c>
      <c r="O448" s="3" t="inlineStr">
        <is>
          <t>-</t>
        </is>
      </c>
      <c r="P448" s="3" t="inlineStr">
        <is>
          <t>nan</t>
        </is>
      </c>
      <c r="Q448" s="6">
        <f>HYPERLINK("https://fin.land.naver.com/articles/2652467109", "매물Link")</f>
        <v/>
      </c>
      <c r="R448" s="6">
        <f>HYPERLINK("https://map.naver.com/p/search/연서면 와촌리 852-5", "지도Link")</f>
        <v/>
      </c>
      <c r="S448" s="6">
        <f>HYPERLINK("http://www.eum.go.kr/web/ar/lu/luLandDet.jsp?pnu=3611036031108520005&amp;isNoScr=script&amp;mode=search", "토지이음")</f>
        <v/>
      </c>
      <c r="T448" s="3" t="inlineStr">
        <is>
          <t>지성</t>
        </is>
      </c>
      <c r="U448" s="4" t="n">
        <v>1</v>
      </c>
      <c r="V448" s="5" t="n">
        <v>82.59999999999999</v>
      </c>
      <c r="W448" s="4" t="n">
        <v>932</v>
      </c>
      <c r="X448" s="3" t="inlineStr">
        <is>
          <t>미표기</t>
        </is>
      </c>
      <c r="Y448" s="7" t="inlineStr">
        <is>
          <t>1층</t>
        </is>
      </c>
      <c r="Z448" s="3" t="inlineStr">
        <is>
          <t>일반철골구조</t>
        </is>
      </c>
      <c r="AA448" s="3" t="inlineStr">
        <is>
          <t>제1종근생</t>
        </is>
      </c>
      <c r="AB448" s="3" t="inlineStr">
        <is>
          <t>6.15m</t>
        </is>
      </c>
      <c r="AC448" s="3" t="inlineStr">
        <is>
          <t>1997-05</t>
        </is>
      </c>
      <c r="AD448" s="3" t="inlineStr">
        <is>
          <t>세로한면(가)</t>
        </is>
      </c>
    </row>
    <row r="449">
      <c r="A449" s="3" t="inlineStr">
        <is>
          <t>연서면 와촌리 852-5</t>
        </is>
      </c>
      <c r="B449" s="3" t="inlineStr">
        <is>
          <t>계획관리지역</t>
        </is>
      </c>
      <c r="C449" s="3" t="inlineStr">
        <is>
          <t>잡종지</t>
        </is>
      </c>
      <c r="D449" s="3" t="inlineStr">
        <is>
          <t>창고</t>
        </is>
      </c>
      <c r="E449" s="3" t="inlineStr">
        <is>
          <t>월세</t>
        </is>
      </c>
      <c r="F449" s="4" t="n">
        <v>3000</v>
      </c>
      <c r="G449" s="4" t="n">
        <v>150</v>
      </c>
      <c r="H449" s="4" t="n">
        <v>932</v>
      </c>
      <c r="I449" s="4" t="n">
        <v>282</v>
      </c>
      <c r="J449" s="5" t="n">
        <v>0.5</v>
      </c>
      <c r="K449" s="4" t="n">
        <v>488</v>
      </c>
      <c r="L449" s="4" t="n">
        <v>148</v>
      </c>
      <c r="M449" s="5" t="n">
        <v>1</v>
      </c>
      <c r="N449" s="3" t="inlineStr">
        <is>
          <t>1</t>
        </is>
      </c>
      <c r="O449" s="3" t="inlineStr">
        <is>
          <t>-</t>
        </is>
      </c>
      <c r="P449" s="3" t="inlineStr">
        <is>
          <t>와촌리 창고월세,차량 진출입편리,창고내 지게차작업가능,주차편리,조율가능</t>
        </is>
      </c>
      <c r="Q449" s="6">
        <f>HYPERLINK("https://fin.land.naver.com/articles/2653116072", "매물Link")</f>
        <v/>
      </c>
      <c r="R449" s="6">
        <f>HYPERLINK("https://map.naver.com/p/search/연서면 와촌리 852-5", "지도Link")</f>
        <v/>
      </c>
      <c r="S449" s="6">
        <f>HYPERLINK("http://www.eum.go.kr/web/ar/lu/luLandDet.jsp?pnu=3611036031108520005&amp;isNoScr=script&amp;mode=search", "토지이음")</f>
        <v/>
      </c>
      <c r="T449" s="3" t="inlineStr">
        <is>
          <t>도안우미린사랑</t>
        </is>
      </c>
      <c r="U449" s="4" t="n">
        <v>1</v>
      </c>
      <c r="V449" s="5" t="n">
        <v>82.59999999999999</v>
      </c>
      <c r="W449" s="4" t="n">
        <v>932</v>
      </c>
      <c r="X449" s="3" t="inlineStr">
        <is>
          <t>미표기</t>
        </is>
      </c>
      <c r="Y449" s="7" t="inlineStr">
        <is>
          <t>1층</t>
        </is>
      </c>
      <c r="Z449" s="3" t="inlineStr">
        <is>
          <t>일반철골구조</t>
        </is>
      </c>
      <c r="AA449" s="3" t="inlineStr">
        <is>
          <t>제1종근생</t>
        </is>
      </c>
      <c r="AB449" s="3" t="inlineStr">
        <is>
          <t>6.15m</t>
        </is>
      </c>
      <c r="AC449" s="3" t="inlineStr">
        <is>
          <t>1997-05</t>
        </is>
      </c>
      <c r="AD449" s="3" t="inlineStr">
        <is>
          <t>세로한면(가)</t>
        </is>
      </c>
    </row>
    <row r="450">
      <c r="A450" s="3" t="inlineStr">
        <is>
          <t>연서면 와촌리 852-5</t>
        </is>
      </c>
      <c r="B450" s="3" t="inlineStr">
        <is>
          <t>계획관리지역</t>
        </is>
      </c>
      <c r="C450" s="3" t="inlineStr">
        <is>
          <t>잡종지</t>
        </is>
      </c>
      <c r="D450" s="3" t="inlineStr">
        <is>
          <t>창고</t>
        </is>
      </c>
      <c r="E450" s="3" t="inlineStr">
        <is>
          <t>월세</t>
        </is>
      </c>
      <c r="F450" s="4" t="n">
        <v>3000</v>
      </c>
      <c r="G450" s="4" t="n">
        <v>150</v>
      </c>
      <c r="H450" s="4" t="n">
        <v>928</v>
      </c>
      <c r="I450" s="4" t="n">
        <v>281</v>
      </c>
      <c r="J450" s="5" t="n">
        <v>0.5</v>
      </c>
      <c r="K450" s="4" t="n">
        <v>485</v>
      </c>
      <c r="L450" s="4" t="n">
        <v>147</v>
      </c>
      <c r="M450" s="5" t="n">
        <v>1</v>
      </c>
      <c r="N450" s="3" t="inlineStr">
        <is>
          <t>1</t>
        </is>
      </c>
      <c r="O450" s="3" t="inlineStr">
        <is>
          <t>-</t>
        </is>
      </c>
      <c r="P450" s="3" t="inlineStr">
        <is>
          <t>와촌리 창고임대 세종 초근접</t>
        </is>
      </c>
      <c r="Q450" s="6">
        <f>HYPERLINK("https://fin.land.naver.com/articles/2652499113", "매물Link")</f>
        <v/>
      </c>
      <c r="R450" s="6">
        <f>HYPERLINK("https://map.naver.com/p/search/연서면 와촌리 852-5", "지도Link")</f>
        <v/>
      </c>
      <c r="S450" s="6">
        <f>HYPERLINK("http://www.eum.go.kr/web/ar/lu/luLandDet.jsp?pnu=3611036031108520005&amp;isNoScr=script&amp;mode=search", "토지이음")</f>
        <v/>
      </c>
      <c r="T450" s="3" t="inlineStr">
        <is>
          <t>엄지척</t>
        </is>
      </c>
      <c r="U450" s="4" t="n">
        <v>1</v>
      </c>
      <c r="V450" s="5" t="n">
        <v>82.59999999999999</v>
      </c>
      <c r="W450" s="4" t="n">
        <v>932</v>
      </c>
      <c r="X450" s="3" t="inlineStr">
        <is>
          <t>미표기</t>
        </is>
      </c>
      <c r="Y450" s="7" t="inlineStr">
        <is>
          <t>1층</t>
        </is>
      </c>
      <c r="Z450" s="3" t="inlineStr">
        <is>
          <t>일반철골구조</t>
        </is>
      </c>
      <c r="AA450" s="3" t="inlineStr">
        <is>
          <t>제1종근생</t>
        </is>
      </c>
      <c r="AB450" s="3" t="inlineStr">
        <is>
          <t>6.15m</t>
        </is>
      </c>
      <c r="AC450" s="3" t="inlineStr">
        <is>
          <t>1997-05</t>
        </is>
      </c>
      <c r="AD450" s="3" t="inlineStr">
        <is>
          <t>세로한면(가)</t>
        </is>
      </c>
    </row>
    <row r="451">
      <c r="A451" s="3" t="inlineStr">
        <is>
          <t>연서면 월하리 902</t>
        </is>
      </c>
      <c r="B451" s="3" t="inlineStr">
        <is>
          <t>자연녹지지역</t>
        </is>
      </c>
      <c r="C451" s="3" t="inlineStr">
        <is>
          <t>대</t>
        </is>
      </c>
      <c r="D451" s="3" t="inlineStr">
        <is>
          <t>창고</t>
        </is>
      </c>
      <c r="E451" s="3" t="inlineStr">
        <is>
          <t>월세</t>
        </is>
      </c>
      <c r="F451" s="4" t="n">
        <v>4000</v>
      </c>
      <c r="G451" s="4" t="n">
        <v>180</v>
      </c>
      <c r="H451" s="4" t="n">
        <v>3244</v>
      </c>
      <c r="I451" s="4" t="n">
        <v>981</v>
      </c>
      <c r="J451" s="5" t="n">
        <v>0.2</v>
      </c>
      <c r="K451" s="4" t="n">
        <v>53</v>
      </c>
      <c r="L451" s="4" t="n">
        <v>16</v>
      </c>
      <c r="M451" s="5" t="n">
        <v>11.2</v>
      </c>
      <c r="N451" s="3" t="inlineStr">
        <is>
          <t>1</t>
        </is>
      </c>
      <c r="O451" s="3" t="inlineStr">
        <is>
          <t>-</t>
        </is>
      </c>
      <c r="P451" s="3" t="inlineStr">
        <is>
          <t>즉시입주 신축 2종근생  활용도 높은 건물임대</t>
        </is>
      </c>
      <c r="Q451" s="6">
        <f>HYPERLINK("https://fin.land.naver.com/articles/2654518316", "매물Link")</f>
        <v/>
      </c>
      <c r="R451" s="6">
        <f>HYPERLINK("https://map.naver.com/p/search/연서면 월하리 902", "지도Link")</f>
        <v/>
      </c>
      <c r="S451" s="6">
        <f>HYPERLINK("http://www.eum.go.kr/web/ar/lu/luLandDet.jsp?pnu=3611036021109020000&amp;isNoScr=script&amp;mode=search", "토지이음")</f>
        <v/>
      </c>
      <c r="T451" s="3" t="inlineStr">
        <is>
          <t>THE행복</t>
        </is>
      </c>
      <c r="U451" s="4" t="n">
        <v>1</v>
      </c>
      <c r="V451" s="5" t="n">
        <v>156.1</v>
      </c>
      <c r="W451" s="4" t="n">
        <v>3244</v>
      </c>
      <c r="X451" s="3" t="inlineStr">
        <is>
          <t>주건축물제1동</t>
        </is>
      </c>
      <c r="Y451" s="7" t="inlineStr">
        <is>
          <t>1층</t>
        </is>
      </c>
      <c r="Z451" s="3" t="inlineStr">
        <is>
          <t>일반철골구조</t>
        </is>
      </c>
      <c r="AA451" s="3" t="inlineStr">
        <is>
          <t>단독주택</t>
        </is>
      </c>
      <c r="AB451" s="3" t="inlineStr">
        <is>
          <t>4.57m</t>
        </is>
      </c>
      <c r="AC451" s="3" t="inlineStr">
        <is>
          <t>2022-04</t>
        </is>
      </c>
      <c r="AD451" s="3" t="inlineStr">
        <is>
          <t>소로한면</t>
        </is>
      </c>
    </row>
    <row r="452">
      <c r="A452" s="3" t="inlineStr">
        <is>
          <t>오송읍 공북리 271-4</t>
        </is>
      </c>
      <c r="B452" s="3" t="inlineStr">
        <is>
          <t>계획관리지역</t>
        </is>
      </c>
      <c r="C452" s="3" t="inlineStr">
        <is>
          <t>대</t>
        </is>
      </c>
      <c r="D452" s="3" t="inlineStr">
        <is>
          <t>창고</t>
        </is>
      </c>
      <c r="E452" s="3" t="inlineStr">
        <is>
          <t>월세</t>
        </is>
      </c>
      <c r="F452" s="4" t="n">
        <v>1000</v>
      </c>
      <c r="G452" s="4" t="n">
        <v>150</v>
      </c>
      <c r="H452" s="4" t="n">
        <v>660</v>
      </c>
      <c r="I452" s="4" t="n">
        <v>200</v>
      </c>
      <c r="J452" s="5" t="n">
        <v>0.8</v>
      </c>
      <c r="K452" s="4" t="n">
        <v>330</v>
      </c>
      <c r="L452" s="4" t="n">
        <v>100</v>
      </c>
      <c r="M452" s="5" t="n">
        <v>1.5</v>
      </c>
      <c r="N452" s="3" t="inlineStr">
        <is>
          <t>1</t>
        </is>
      </c>
      <c r="O452" s="3" t="inlineStr">
        <is>
          <t>B1</t>
        </is>
      </c>
      <c r="P452" s="3" t="inlineStr">
        <is>
          <t>층고 높고 넓은 창고전용,2차선도로옆</t>
        </is>
      </c>
      <c r="Q452" s="6">
        <f>HYPERLINK("https://fin.land.naver.com/articles/2652903125", "매물Link")</f>
        <v/>
      </c>
      <c r="R452" s="6">
        <f>HYPERLINK("https://map.naver.com/p/search/오송읍 공북리 271-4", "지도Link")</f>
        <v/>
      </c>
      <c r="S452" s="6">
        <f>HYPERLINK("http://www.eum.go.kr/web/ar/lu/luLandDet.jsp?pnu=4311325023102710004&amp;isNoScr=script&amp;mode=search", "토지이음")</f>
        <v/>
      </c>
      <c r="T452" s="3" t="inlineStr">
        <is>
          <t>오송올래</t>
        </is>
      </c>
      <c r="U452" s="4" t="n">
        <v>2</v>
      </c>
      <c r="V452" s="5" t="n">
        <v>77</v>
      </c>
      <c r="W452" s="4" t="n">
        <v>660</v>
      </c>
      <c r="X452" s="3" t="inlineStr">
        <is>
          <t>미표기</t>
        </is>
      </c>
      <c r="Y452" s="7" t="inlineStr">
        <is>
          <t>1층</t>
        </is>
      </c>
      <c r="Z452" s="3" t="inlineStr">
        <is>
          <t>철근콘크리트구조</t>
        </is>
      </c>
      <c r="AA452" s="3" t="inlineStr">
        <is>
          <t>창고시설</t>
        </is>
      </c>
      <c r="AB452" s="3" t="inlineStr">
        <is>
          <t>-</t>
        </is>
      </c>
      <c r="AC452" s="3" t="inlineStr">
        <is>
          <t>1979</t>
        </is>
      </c>
      <c r="AD452" s="3" t="inlineStr">
        <is>
          <t>세로한면(가)</t>
        </is>
      </c>
    </row>
    <row r="453">
      <c r="A453" s="3" t="inlineStr">
        <is>
          <t>오송읍 공북리 271-4</t>
        </is>
      </c>
      <c r="B453" s="3" t="inlineStr">
        <is>
          <t>계획관리지역</t>
        </is>
      </c>
      <c r="C453" s="3" t="inlineStr">
        <is>
          <t>대</t>
        </is>
      </c>
      <c r="D453" s="3" t="inlineStr">
        <is>
          <t>창고</t>
        </is>
      </c>
      <c r="E453" s="3" t="inlineStr">
        <is>
          <t>월세</t>
        </is>
      </c>
      <c r="F453" s="4" t="n">
        <v>1000</v>
      </c>
      <c r="G453" s="4" t="n">
        <v>150</v>
      </c>
      <c r="H453" s="4" t="n">
        <v>660</v>
      </c>
      <c r="I453" s="4" t="n">
        <v>200</v>
      </c>
      <c r="J453" s="5" t="n">
        <v>0.8</v>
      </c>
      <c r="K453" s="4" t="n">
        <v>330</v>
      </c>
      <c r="L453" s="4" t="n">
        <v>100</v>
      </c>
      <c r="M453" s="5" t="n">
        <v>1.5</v>
      </c>
      <c r="N453" s="3" t="inlineStr">
        <is>
          <t>1</t>
        </is>
      </c>
      <c r="O453" s="3" t="inlineStr">
        <is>
          <t>-</t>
        </is>
      </c>
      <c r="P453" s="3" t="inlineStr">
        <is>
          <t>저렴한 금액으로 대형 창고를 사용할수 있는 기회를 잡으세요</t>
        </is>
      </c>
      <c r="Q453" s="6">
        <f>HYPERLINK("https://fin.land.naver.com/articles/2651108355", "매물Link")</f>
        <v/>
      </c>
      <c r="R453" s="6">
        <f>HYPERLINK("https://map.naver.com/p/search/오송읍 공북리 271-4", "지도Link")</f>
        <v/>
      </c>
      <c r="S453" s="6">
        <f>HYPERLINK("http://www.eum.go.kr/web/ar/lu/luLandDet.jsp?pnu=4311325023102710004&amp;isNoScr=script&amp;mode=search", "토지이음")</f>
        <v/>
      </c>
      <c r="T453" s="3" t="inlineStr">
        <is>
          <t>오송2단지창조</t>
        </is>
      </c>
      <c r="U453" s="4" t="n">
        <v>1</v>
      </c>
      <c r="V453" s="5" t="n">
        <v>77</v>
      </c>
      <c r="W453" s="4" t="n">
        <v>660</v>
      </c>
      <c r="X453" s="3" t="inlineStr">
        <is>
          <t>미표기</t>
        </is>
      </c>
      <c r="Y453" s="7" t="inlineStr">
        <is>
          <t>1층</t>
        </is>
      </c>
      <c r="Z453" s="3" t="inlineStr">
        <is>
          <t>철근콘크리트구조</t>
        </is>
      </c>
      <c r="AA453" s="3" t="inlineStr">
        <is>
          <t>창고시설</t>
        </is>
      </c>
      <c r="AB453" s="3" t="inlineStr">
        <is>
          <t>-</t>
        </is>
      </c>
      <c r="AC453" s="3" t="inlineStr">
        <is>
          <t>1979</t>
        </is>
      </c>
      <c r="AD453" s="3" t="inlineStr">
        <is>
          <t>세로한면(가)</t>
        </is>
      </c>
    </row>
    <row r="454">
      <c r="A454" s="3" t="inlineStr">
        <is>
          <t>오송읍 궁평리 308-4</t>
        </is>
      </c>
      <c r="B454" s="3" t="inlineStr">
        <is>
          <t>농림지역</t>
        </is>
      </c>
      <c r="C454" s="3" t="inlineStr">
        <is>
          <t>창고용지</t>
        </is>
      </c>
      <c r="D454" s="3" t="inlineStr">
        <is>
          <t>창고</t>
        </is>
      </c>
      <c r="E454" s="3" t="inlineStr">
        <is>
          <t>월세</t>
        </is>
      </c>
      <c r="F454" s="4" t="n">
        <v>2000</v>
      </c>
      <c r="G454" s="4" t="n">
        <v>100</v>
      </c>
      <c r="H454" s="4" t="n">
        <v>506</v>
      </c>
      <c r="I454" s="4" t="n">
        <v>153</v>
      </c>
      <c r="J454" s="5" t="n">
        <v>0.7</v>
      </c>
      <c r="K454" s="4" t="n">
        <v>100</v>
      </c>
      <c r="L454" s="4" t="n">
        <v>30</v>
      </c>
      <c r="M454" s="5" t="n">
        <v>3.3</v>
      </c>
      <c r="N454" s="3" t="inlineStr">
        <is>
          <t>1</t>
        </is>
      </c>
      <c r="O454" s="3" t="inlineStr">
        <is>
          <t>-</t>
        </is>
      </c>
      <c r="P454" s="3" t="inlineStr">
        <is>
          <t>오송역청주IC 인근 농업용창고 임대  농업용물류용 적합</t>
        </is>
      </c>
      <c r="Q454" s="6">
        <f>HYPERLINK("https://fin.land.naver.com/articles/2651828475", "매물Link")</f>
        <v/>
      </c>
      <c r="R454" s="6">
        <f>HYPERLINK("https://map.naver.com/p/search/오송읍 궁평리 308-4", "지도Link")</f>
        <v/>
      </c>
      <c r="S454" s="6">
        <f>HYPERLINK("http://www.eum.go.kr/web/ar/lu/luLandDet.jsp?pnu=4311325027103080004&amp;isNoScr=script&amp;mode=search", "토지이음")</f>
        <v/>
      </c>
      <c r="T454" s="3" t="inlineStr">
        <is>
          <t>오송시티</t>
        </is>
      </c>
      <c r="U454" s="4" t="n">
        <v>1</v>
      </c>
      <c r="V454" s="5" t="n">
        <v>41.8</v>
      </c>
      <c r="W454" s="4" t="n">
        <v>506</v>
      </c>
      <c r="X454" s="3" t="inlineStr">
        <is>
          <t>주건축물제1동</t>
        </is>
      </c>
      <c r="Y454" s="7" t="inlineStr">
        <is>
          <t>1층</t>
        </is>
      </c>
      <c r="Z454" s="3" t="inlineStr">
        <is>
          <t>경량철골구조</t>
        </is>
      </c>
      <c r="AA454" s="3" t="inlineStr">
        <is>
          <t>창고시설</t>
        </is>
      </c>
      <c r="AB454" s="3" t="inlineStr">
        <is>
          <t>6.1m</t>
        </is>
      </c>
      <c r="AC454" s="3" t="inlineStr">
        <is>
          <t>2022-12</t>
        </is>
      </c>
      <c r="AD454" s="3" t="inlineStr">
        <is>
          <t>세로한면(가)</t>
        </is>
      </c>
    </row>
    <row r="455">
      <c r="A455" s="3" t="inlineStr">
        <is>
          <t>오송읍 만수리 301-4</t>
        </is>
      </c>
      <c r="B455" s="3" t="inlineStr">
        <is>
          <t>농림지역</t>
        </is>
      </c>
      <c r="C455" s="3" t="inlineStr">
        <is>
          <t>창고용지</t>
        </is>
      </c>
      <c r="D455" s="3" t="inlineStr">
        <is>
          <t>공장</t>
        </is>
      </c>
      <c r="E455" s="3" t="inlineStr">
        <is>
          <t>월세</t>
        </is>
      </c>
      <c r="F455" s="4" t="n">
        <v>2000</v>
      </c>
      <c r="G455" s="4" t="n">
        <v>150</v>
      </c>
      <c r="H455" s="4" t="n">
        <v>733</v>
      </c>
      <c r="I455" s="4" t="n">
        <v>222</v>
      </c>
      <c r="J455" s="5" t="n">
        <v>0.7</v>
      </c>
      <c r="K455" s="4" t="n">
        <v>160</v>
      </c>
      <c r="L455" s="4" t="n">
        <v>48</v>
      </c>
      <c r="M455" s="5" t="n">
        <v>3.1</v>
      </c>
      <c r="N455" s="3" t="inlineStr">
        <is>
          <t>1</t>
        </is>
      </c>
      <c r="O455" s="3" t="inlineStr">
        <is>
          <t>-</t>
        </is>
      </c>
      <c r="P455" s="3" t="inlineStr">
        <is>
          <t>대형 차량 진출입 가능하며,마당에 적재 가능한 창고,즉시사용가능</t>
        </is>
      </c>
      <c r="Q455" s="6">
        <f>HYPERLINK("https://fin.land.naver.com/articles/2654522835", "매물Link")</f>
        <v/>
      </c>
      <c r="R455" s="6">
        <f>HYPERLINK("https://map.naver.com/p/search/오송읍 만수리 301-4", "지도Link")</f>
        <v/>
      </c>
      <c r="S455" s="6">
        <f>HYPERLINK("http://www.eum.go.kr/web/ar/lu/luLandDet.jsp?pnu=4311325025103010004&amp;isNoScr=script&amp;mode=search", "토지이음")</f>
        <v/>
      </c>
      <c r="T455" s="3" t="inlineStr">
        <is>
          <t>오송2단지창조</t>
        </is>
      </c>
      <c r="U455" s="4" t="n">
        <v>1</v>
      </c>
      <c r="V455" s="5" t="n">
        <v>113.4</v>
      </c>
      <c r="W455" s="4" t="n">
        <v>733</v>
      </c>
      <c r="X455" s="3" t="inlineStr">
        <is>
          <t>1동</t>
        </is>
      </c>
      <c r="Y455" s="7" t="inlineStr">
        <is>
          <t>1층</t>
        </is>
      </c>
      <c r="Z455" s="3" t="inlineStr">
        <is>
          <t>경량철골구조</t>
        </is>
      </c>
      <c r="AA455" s="3" t="inlineStr">
        <is>
          <t>창고시설</t>
        </is>
      </c>
      <c r="AB455" s="3" t="inlineStr">
        <is>
          <t>5.0m</t>
        </is>
      </c>
      <c r="AC455" s="3" t="inlineStr">
        <is>
          <t>2005-12</t>
        </is>
      </c>
      <c r="AD455" s="3" t="inlineStr">
        <is>
          <t>소로각지</t>
        </is>
      </c>
    </row>
    <row r="456">
      <c r="A456" s="3" t="inlineStr">
        <is>
          <t>오송읍 쌍청리 131-6</t>
        </is>
      </c>
      <c r="B456" s="3" t="inlineStr">
        <is>
          <t>계획관리지역</t>
        </is>
      </c>
      <c r="C456" s="3" t="inlineStr">
        <is>
          <t>대</t>
        </is>
      </c>
      <c r="D456" s="3" t="inlineStr">
        <is>
          <t>공장</t>
        </is>
      </c>
      <c r="E456" s="3" t="inlineStr">
        <is>
          <t>매매</t>
        </is>
      </c>
      <c r="F456" s="4" t="n">
        <v>129600</v>
      </c>
      <c r="G456" s="4" t="n">
        <v>0</v>
      </c>
      <c r="H456" s="4" t="n">
        <v>2382</v>
      </c>
      <c r="I456" s="4" t="n">
        <v>721</v>
      </c>
      <c r="J456" s="5" t="n">
        <v>179.8</v>
      </c>
      <c r="K456" s="4" t="n">
        <v>7301</v>
      </c>
      <c r="L456" s="4" t="n">
        <v>2209</v>
      </c>
      <c r="M456" s="5" t="n">
        <v>58.7</v>
      </c>
      <c r="N456" s="3" t="inlineStr">
        <is>
          <t>1</t>
        </is>
      </c>
      <c r="O456" s="3" t="inlineStr">
        <is>
          <t>-</t>
        </is>
      </c>
      <c r="P456" s="3" t="inlineStr">
        <is>
          <t>오송 쌍청리 폐 공장 매매</t>
        </is>
      </c>
      <c r="Q456" s="6">
        <f>HYPERLINK("https://fin.land.naver.com/articles/2652510813", "매물Link")</f>
        <v/>
      </c>
      <c r="R456" s="6">
        <f>HYPERLINK("https://map.naver.com/p/search/오송읍 쌍청리 131-6", "지도Link")</f>
        <v/>
      </c>
      <c r="S456" s="6">
        <f>HYPERLINK("http://www.eum.go.kr/web/ar/lu/luLandDet.jsp?pnu=4311325024101310006&amp;isNoScr=script&amp;mode=search", "토지이음")</f>
        <v/>
      </c>
      <c r="T456" s="3" t="inlineStr">
        <is>
          <t>365</t>
        </is>
      </c>
      <c r="U456" s="4" t="n">
        <v>1</v>
      </c>
      <c r="V456" s="5" t="n">
        <v>70.09999999999999</v>
      </c>
      <c r="W456" s="4" t="n">
        <v>1458</v>
      </c>
      <c r="X456" s="3" t="inlineStr">
        <is>
          <t>미표기</t>
        </is>
      </c>
      <c r="Y456" s="7" t="inlineStr">
        <is>
          <t>1층</t>
        </is>
      </c>
      <c r="Z456" s="3" t="inlineStr">
        <is>
          <t>벽돌구조</t>
        </is>
      </c>
      <c r="AA456" s="3" t="inlineStr">
        <is>
          <t>공장</t>
        </is>
      </c>
      <c r="AB456" s="3" t="inlineStr">
        <is>
          <t>-</t>
        </is>
      </c>
      <c r="AC456" s="3" t="inlineStr">
        <is>
          <t>1991-05</t>
        </is>
      </c>
      <c r="AD456" s="3" t="inlineStr">
        <is>
          <t>세로한면(가)</t>
        </is>
      </c>
    </row>
    <row r="457">
      <c r="A457" s="3" t="inlineStr">
        <is>
          <t>오송읍 연제리 610-1</t>
        </is>
      </c>
      <c r="B457" s="3" t="inlineStr">
        <is>
          <t>일반공업지역</t>
        </is>
      </c>
      <c r="C457" s="3" t="inlineStr">
        <is>
          <t>공장용지</t>
        </is>
      </c>
      <c r="D457" s="3" t="inlineStr">
        <is>
          <t>공장</t>
        </is>
      </c>
      <c r="E457" s="3" t="inlineStr">
        <is>
          <t>매매</t>
        </is>
      </c>
      <c r="F457" s="4" t="n">
        <v>200000</v>
      </c>
      <c r="G457" s="4" t="n">
        <v>0</v>
      </c>
      <c r="H457" s="4" t="n">
        <v>2307</v>
      </c>
      <c r="I457" s="4" t="n">
        <v>698</v>
      </c>
      <c r="J457" s="5" t="n">
        <v>286.5</v>
      </c>
      <c r="K457" s="4" t="n">
        <v>410</v>
      </c>
      <c r="L457" s="4" t="n">
        <v>124</v>
      </c>
      <c r="M457" s="5" t="n">
        <v>1612.9</v>
      </c>
      <c r="N457" s="3" t="inlineStr">
        <is>
          <t>1</t>
        </is>
      </c>
      <c r="O457" s="3" t="inlineStr">
        <is>
          <t>-</t>
        </is>
      </c>
      <c r="P457" s="3" t="inlineStr">
        <is>
          <t>오송역인근 산업단지의 층고 10m. 증축 가능한 야드 넓은 공장매매</t>
        </is>
      </c>
      <c r="Q457" s="6">
        <f>HYPERLINK("https://fin.land.naver.com/articles/2652356580", "매물Link")</f>
        <v/>
      </c>
      <c r="R457" s="6">
        <f>HYPERLINK("https://map.naver.com/p/search/오송읍 연제리 610-1", "지도Link")</f>
        <v/>
      </c>
      <c r="S457" s="6">
        <f>HYPERLINK("http://www.eum.go.kr/web/ar/lu/luLandDet.jsp?pnu=4311325026106100001&amp;isNoScr=script&amp;mode=search", "토지이음")</f>
        <v/>
      </c>
      <c r="T457" s="3" t="inlineStr">
        <is>
          <t>(주)미르</t>
        </is>
      </c>
      <c r="U457" s="4" t="n">
        <v>1</v>
      </c>
      <c r="V457" s="5" t="n">
        <v>70.3</v>
      </c>
      <c r="W457" s="4" t="n">
        <v>2307.9</v>
      </c>
      <c r="X457" s="3" t="inlineStr">
        <is>
          <t>주건축물제1동</t>
        </is>
      </c>
      <c r="Y457" s="7" t="inlineStr">
        <is>
          <t>1층</t>
        </is>
      </c>
      <c r="Z457" s="3" t="inlineStr">
        <is>
          <t>일반철골구조</t>
        </is>
      </c>
      <c r="AA457" s="3" t="inlineStr">
        <is>
          <t>공장</t>
        </is>
      </c>
      <c r="AB457" s="3" t="inlineStr">
        <is>
          <t>10.15m</t>
        </is>
      </c>
      <c r="AC457" s="3" t="inlineStr">
        <is>
          <t>2013-10</t>
        </is>
      </c>
      <c r="AD457" s="3" t="inlineStr">
        <is>
          <t>중로한면</t>
        </is>
      </c>
    </row>
    <row r="458">
      <c r="A458" s="3" t="inlineStr">
        <is>
          <t>오송읍 연제리 610-1</t>
        </is>
      </c>
      <c r="B458" s="3" t="inlineStr">
        <is>
          <t>일반공업지역</t>
        </is>
      </c>
      <c r="C458" s="3" t="inlineStr">
        <is>
          <t>공장용지</t>
        </is>
      </c>
      <c r="D458" s="3" t="inlineStr">
        <is>
          <t>공장</t>
        </is>
      </c>
      <c r="E458" s="3" t="inlineStr">
        <is>
          <t>매매</t>
        </is>
      </c>
      <c r="F458" s="4" t="n">
        <v>200000</v>
      </c>
      <c r="G458" s="4" t="n">
        <v>0</v>
      </c>
      <c r="H458" s="4" t="n">
        <v>2307</v>
      </c>
      <c r="I458" s="4" t="n">
        <v>698</v>
      </c>
      <c r="J458" s="5" t="n">
        <v>286.5</v>
      </c>
      <c r="K458" s="4" t="n">
        <v>410</v>
      </c>
      <c r="L458" s="4" t="n">
        <v>124</v>
      </c>
      <c r="M458" s="5" t="n">
        <v>1612.9</v>
      </c>
      <c r="N458" s="3" t="inlineStr">
        <is>
          <t>1</t>
        </is>
      </c>
      <c r="O458" s="3" t="inlineStr">
        <is>
          <t>-</t>
        </is>
      </c>
      <c r="P458" s="3" t="inlineStr">
        <is>
          <t>오송생명과학단지 소형 공장매매  사무실 기숙사완비 전력 490kw</t>
        </is>
      </c>
      <c r="Q458" s="6">
        <f>HYPERLINK("https://fin.land.naver.com/articles/2654142187", "매물Link")</f>
        <v/>
      </c>
      <c r="R458" s="6">
        <f>HYPERLINK("https://map.naver.com/p/search/오송읍 연제리 610-1", "지도Link")</f>
        <v/>
      </c>
      <c r="S458" s="6">
        <f>HYPERLINK("http://www.eum.go.kr/web/ar/lu/luLandDet.jsp?pnu=4311325026106100001&amp;isNoScr=script&amp;mode=search", "토지이음")</f>
        <v/>
      </c>
      <c r="T458" s="3" t="inlineStr">
        <is>
          <t>더원</t>
        </is>
      </c>
      <c r="U458" s="4" t="n">
        <v>1</v>
      </c>
      <c r="V458" s="5" t="n">
        <v>70.3</v>
      </c>
      <c r="W458" s="4" t="n">
        <v>2307.9</v>
      </c>
      <c r="X458" s="3" t="inlineStr">
        <is>
          <t>주건축물제1동</t>
        </is>
      </c>
      <c r="Y458" s="7" t="inlineStr">
        <is>
          <t>1층</t>
        </is>
      </c>
      <c r="Z458" s="3" t="inlineStr">
        <is>
          <t>일반철골구조</t>
        </is>
      </c>
      <c r="AA458" s="3" t="inlineStr">
        <is>
          <t>공장</t>
        </is>
      </c>
      <c r="AB458" s="3" t="inlineStr">
        <is>
          <t>10.15m</t>
        </is>
      </c>
      <c r="AC458" s="3" t="inlineStr">
        <is>
          <t>2013-10</t>
        </is>
      </c>
      <c r="AD458" s="3" t="inlineStr">
        <is>
          <t>중로한면</t>
        </is>
      </c>
    </row>
    <row r="459">
      <c r="A459" s="3" t="inlineStr">
        <is>
          <t>오송읍 연제리 610-2</t>
        </is>
      </c>
      <c r="B459" s="3" t="inlineStr">
        <is>
          <t>일반공업지역</t>
        </is>
      </c>
      <c r="C459" s="3" t="inlineStr">
        <is>
          <t>공장용지</t>
        </is>
      </c>
      <c r="D459" s="3" t="inlineStr">
        <is>
          <t>공장</t>
        </is>
      </c>
      <c r="E459" s="3" t="inlineStr">
        <is>
          <t>매매</t>
        </is>
      </c>
      <c r="F459" s="4" t="n">
        <v>550000</v>
      </c>
      <c r="G459" s="4" t="n">
        <v>0</v>
      </c>
      <c r="H459" s="4" t="n">
        <v>6481</v>
      </c>
      <c r="I459" s="4" t="n">
        <v>1961</v>
      </c>
      <c r="J459" s="5" t="n">
        <v>280.5</v>
      </c>
      <c r="K459" s="4" t="n">
        <v>996</v>
      </c>
      <c r="L459" s="4" t="n">
        <v>301</v>
      </c>
      <c r="M459" s="5" t="n">
        <v>1827.2</v>
      </c>
      <c r="N459" s="3" t="inlineStr">
        <is>
          <t>1</t>
        </is>
      </c>
      <c r="O459" s="3" t="inlineStr">
        <is>
          <t>-</t>
        </is>
      </c>
      <c r="P459" s="3" t="inlineStr">
        <is>
          <t>옥산IC인근, 화학코드, 화장품, 바이오, 첨단업종 가능, 야드 넓음</t>
        </is>
      </c>
      <c r="Q459" s="6">
        <f>HYPERLINK("https://fin.land.naver.com/articles/2649948345", "매물Link")</f>
        <v/>
      </c>
      <c r="R459" s="6">
        <f>HYPERLINK("https://map.naver.com/p/search/오송읍 연제리 610-2", "지도Link")</f>
        <v/>
      </c>
      <c r="S459" s="6">
        <f>HYPERLINK("http://www.eum.go.kr/web/ar/lu/luLandDet.jsp?pnu=4311325026106100002&amp;isNoScr=script&amp;mode=search", "토지이음")</f>
        <v/>
      </c>
      <c r="T459" s="3" t="inlineStr">
        <is>
          <t>(주)미르</t>
        </is>
      </c>
      <c r="U459" s="4" t="n">
        <v>1</v>
      </c>
      <c r="V459" s="5" t="n">
        <v>70.40000000000001</v>
      </c>
      <c r="W459" s="4" t="n">
        <v>2165.9</v>
      </c>
      <c r="X459" s="3" t="inlineStr">
        <is>
          <t>1동</t>
        </is>
      </c>
      <c r="Y459" s="7" t="inlineStr">
        <is>
          <t>1층</t>
        </is>
      </c>
      <c r="Z459" s="3" t="inlineStr">
        <is>
          <t>일반철골구조</t>
        </is>
      </c>
      <c r="AA459" s="3" t="inlineStr">
        <is>
          <t>공장</t>
        </is>
      </c>
      <c r="AB459" s="3" t="inlineStr">
        <is>
          <t>10.15m</t>
        </is>
      </c>
      <c r="AC459" s="3" t="inlineStr">
        <is>
          <t>2016-11</t>
        </is>
      </c>
      <c r="AD459" s="3" t="inlineStr">
        <is>
          <t>중로각지</t>
        </is>
      </c>
    </row>
    <row r="460">
      <c r="A460" s="3" t="inlineStr">
        <is>
          <t>오송읍 오송리 242-18</t>
        </is>
      </c>
      <c r="B460" s="3" t="inlineStr">
        <is>
          <t>계획관리지역</t>
        </is>
      </c>
      <c r="C460" s="3" t="inlineStr">
        <is>
          <t>창고용지</t>
        </is>
      </c>
      <c r="D460" s="3" t="inlineStr">
        <is>
          <t>창고</t>
        </is>
      </c>
      <c r="E460" s="3" t="inlineStr">
        <is>
          <t>월세</t>
        </is>
      </c>
      <c r="F460" s="4" t="n">
        <v>10000</v>
      </c>
      <c r="G460" s="4" t="n">
        <v>1500</v>
      </c>
      <c r="H460" s="4" t="n">
        <v>1807</v>
      </c>
      <c r="I460" s="4" t="n">
        <v>547</v>
      </c>
      <c r="J460" s="5" t="n">
        <v>2.7</v>
      </c>
      <c r="K460" s="4" t="n">
        <v>825</v>
      </c>
      <c r="L460" s="4" t="n">
        <v>250</v>
      </c>
      <c r="M460" s="5" t="n">
        <v>6</v>
      </c>
      <c r="N460" s="3" t="inlineStr">
        <is>
          <t>2</t>
        </is>
      </c>
      <c r="O460" s="3" t="inlineStr">
        <is>
          <t>-</t>
        </is>
      </c>
      <c r="P460" s="3" t="inlineStr">
        <is>
          <t>건물1층206형 2층 44형 대지1180형 택배하던자리</t>
        </is>
      </c>
      <c r="Q460" s="6">
        <f>HYPERLINK("https://fin.land.naver.com/articles/2649343320", "매물Link")</f>
        <v/>
      </c>
      <c r="R460" s="6">
        <f>HYPERLINK("https://map.naver.com/p/search/오송읍 오송리 242-18", "지도Link")</f>
        <v/>
      </c>
      <c r="S460" s="6">
        <f>HYPERLINK("http://www.eum.go.kr/web/ar/lu/luLandDet.jsp?pnu=4311325028102420018&amp;isNoScr=script&amp;mode=search", "토지이음")</f>
        <v/>
      </c>
      <c r="T460" s="3" t="inlineStr">
        <is>
          <t>위더스</t>
        </is>
      </c>
      <c r="U460" s="4" t="n">
        <v>1</v>
      </c>
      <c r="V460" s="5" t="n">
        <v>129.4</v>
      </c>
      <c r="W460" s="4" t="n">
        <v>1807</v>
      </c>
      <c r="X460" s="3" t="inlineStr">
        <is>
          <t>미표기</t>
        </is>
      </c>
      <c r="Y460" s="7" t="inlineStr">
        <is>
          <t>2층</t>
        </is>
      </c>
      <c r="Z460" s="3" t="inlineStr">
        <is>
          <t>일반철골구조</t>
        </is>
      </c>
      <c r="AA460" s="3" t="inlineStr">
        <is>
          <t>창고시설</t>
        </is>
      </c>
      <c r="AB460" s="3" t="inlineStr">
        <is>
          <t>9.2m</t>
        </is>
      </c>
      <c r="AC460" s="3" t="inlineStr">
        <is>
          <t>2013-08</t>
        </is>
      </c>
      <c r="AD460" s="3" t="inlineStr">
        <is>
          <t>세로한면(가)</t>
        </is>
      </c>
    </row>
    <row r="461">
      <c r="A461" s="3" t="inlineStr">
        <is>
          <t>오송읍 오송리 246-45</t>
        </is>
      </c>
      <c r="B461" s="3" t="inlineStr">
        <is>
          <t>계획관리지역</t>
        </is>
      </c>
      <c r="C461" s="3" t="inlineStr">
        <is>
          <t>공장용지</t>
        </is>
      </c>
      <c r="D461" s="3" t="inlineStr">
        <is>
          <t>공장</t>
        </is>
      </c>
      <c r="E461" s="3" t="inlineStr">
        <is>
          <t>월세</t>
        </is>
      </c>
      <c r="F461" s="4" t="n">
        <v>3000</v>
      </c>
      <c r="G461" s="4" t="n">
        <v>250</v>
      </c>
      <c r="H461" s="4" t="n">
        <v>1739</v>
      </c>
      <c r="I461" s="4" t="n">
        <v>526</v>
      </c>
      <c r="J461" s="5" t="n">
        <v>0.5</v>
      </c>
      <c r="K461" s="4" t="n">
        <v>440</v>
      </c>
      <c r="L461" s="4" t="n">
        <v>133</v>
      </c>
      <c r="M461" s="5" t="n">
        <v>1.9</v>
      </c>
      <c r="N461" s="3" t="inlineStr">
        <is>
          <t>1</t>
        </is>
      </c>
      <c r="O461" s="3" t="inlineStr">
        <is>
          <t>B1</t>
        </is>
      </c>
      <c r="P461" s="3" t="inlineStr">
        <is>
          <t>공장, 창고 l 교통 편리 l 6개동 일괄 임대</t>
        </is>
      </c>
      <c r="Q461" s="6">
        <f>HYPERLINK("https://fin.land.naver.com/articles/2650437203", "매물Link")</f>
        <v/>
      </c>
      <c r="R461" s="6">
        <f>HYPERLINK("https://map.naver.com/p/search/오송읍 오송리 246-45", "지도Link")</f>
        <v/>
      </c>
      <c r="S461" s="6">
        <f>HYPERLINK("http://www.eum.go.kr/web/ar/lu/luLandDet.jsp?pnu=4311325028102460045&amp;isNoScr=script&amp;mode=search", "토지이음")</f>
        <v/>
      </c>
      <c r="T461" s="3" t="inlineStr">
        <is>
          <t>에이스</t>
        </is>
      </c>
      <c r="U461" s="4" t="n">
        <v>1</v>
      </c>
      <c r="V461" s="5" t="n">
        <v>152.1</v>
      </c>
      <c r="W461" s="4" t="n">
        <v>1739</v>
      </c>
      <c r="X461" s="3" t="inlineStr">
        <is>
          <t>미표기</t>
        </is>
      </c>
      <c r="Y461" s="7" t="inlineStr">
        <is>
          <t>2층</t>
        </is>
      </c>
      <c r="Z461" s="3" t="inlineStr">
        <is>
          <t>벽돌구조</t>
        </is>
      </c>
      <c r="AA461" s="3" t="inlineStr">
        <is>
          <t>공장</t>
        </is>
      </c>
      <c r="AB461" s="3" t="inlineStr">
        <is>
          <t>-</t>
        </is>
      </c>
      <c r="AC461" s="3" t="inlineStr">
        <is>
          <t>1980</t>
        </is>
      </c>
      <c r="AD461" s="3" t="inlineStr">
        <is>
          <t>세로한면(가)</t>
        </is>
      </c>
    </row>
    <row r="462">
      <c r="A462" s="3" t="inlineStr">
        <is>
          <t>오송읍 오송리 246-51</t>
        </is>
      </c>
      <c r="B462" s="3" t="inlineStr">
        <is>
          <t>계획관리지역</t>
        </is>
      </c>
      <c r="C462" s="3" t="inlineStr">
        <is>
          <t>대</t>
        </is>
      </c>
      <c r="D462" s="3" t="inlineStr">
        <is>
          <t>공장</t>
        </is>
      </c>
      <c r="E462" s="3" t="inlineStr">
        <is>
          <t>월세</t>
        </is>
      </c>
      <c r="F462" s="4" t="n">
        <v>3000</v>
      </c>
      <c r="G462" s="4" t="n">
        <v>180</v>
      </c>
      <c r="H462" s="4" t="n">
        <v>1524</v>
      </c>
      <c r="I462" s="4" t="n">
        <v>461</v>
      </c>
      <c r="J462" s="5" t="n">
        <v>0.4</v>
      </c>
      <c r="K462" s="4" t="n">
        <v>536</v>
      </c>
      <c r="L462" s="4" t="n">
        <v>162</v>
      </c>
      <c r="M462" s="5" t="n">
        <v>1.1</v>
      </c>
      <c r="N462" s="3" t="inlineStr">
        <is>
          <t>1</t>
        </is>
      </c>
      <c r="O462" s="3" t="inlineStr">
        <is>
          <t>-</t>
        </is>
      </c>
      <c r="P462" s="3" t="inlineStr">
        <is>
          <t>nan</t>
        </is>
      </c>
      <c r="Q462" s="6">
        <f>HYPERLINK("https://fin.land.naver.com/articles/2652689876", "매물Link")</f>
        <v/>
      </c>
      <c r="R462" s="6">
        <f>HYPERLINK("https://map.naver.com/p/search/오송읍 오송리 246-51", "지도Link")</f>
        <v/>
      </c>
      <c r="S462" s="6">
        <f>HYPERLINK("http://www.eum.go.kr/web/ar/lu/luLandDet.jsp?pnu=4311325028102460051&amp;isNoScr=script&amp;mode=search", "토지이음")</f>
        <v/>
      </c>
      <c r="T462" s="3" t="inlineStr">
        <is>
          <t>365</t>
        </is>
      </c>
      <c r="U462" s="4" t="n">
        <v>2</v>
      </c>
      <c r="V462" s="5" t="n">
        <v>163.6</v>
      </c>
      <c r="W462" s="4" t="n">
        <v>1447</v>
      </c>
      <c r="X462" s="3" t="inlineStr">
        <is>
          <t>미표기</t>
        </is>
      </c>
      <c r="Y462" s="7" t="inlineStr">
        <is>
          <t>1층</t>
        </is>
      </c>
      <c r="Z462" s="3" t="inlineStr">
        <is>
          <t>블록구조</t>
        </is>
      </c>
      <c r="AA462" s="3" t="inlineStr">
        <is>
          <t>공장</t>
        </is>
      </c>
      <c r="AB462" s="3" t="inlineStr">
        <is>
          <t>-</t>
        </is>
      </c>
      <c r="AC462" s="3" t="inlineStr">
        <is>
          <t>1981-11</t>
        </is>
      </c>
      <c r="AD462" s="3" t="inlineStr">
        <is>
          <t>세로한면(가)</t>
        </is>
      </c>
    </row>
    <row r="463">
      <c r="A463" s="3" t="inlineStr">
        <is>
          <t>오송읍 오송리 246-71</t>
        </is>
      </c>
      <c r="B463" s="3" t="inlineStr">
        <is>
          <t>계획관리지역</t>
        </is>
      </c>
      <c r="C463" s="3" t="inlineStr">
        <is>
          <t>잡종지</t>
        </is>
      </c>
      <c r="D463" s="3" t="inlineStr">
        <is>
          <t>창고</t>
        </is>
      </c>
      <c r="E463" s="3" t="inlineStr">
        <is>
          <t>월세</t>
        </is>
      </c>
      <c r="F463" s="4" t="n">
        <v>1000</v>
      </c>
      <c r="G463" s="4" t="n">
        <v>100</v>
      </c>
      <c r="H463" s="4" t="n">
        <v>565</v>
      </c>
      <c r="I463" s="4" t="n">
        <v>171</v>
      </c>
      <c r="J463" s="5" t="n">
        <v>0.6</v>
      </c>
      <c r="K463" s="4" t="n">
        <v>227</v>
      </c>
      <c r="L463" s="4" t="n">
        <v>69</v>
      </c>
      <c r="M463" s="5" t="n">
        <v>1.4</v>
      </c>
      <c r="N463" s="3" t="inlineStr">
        <is>
          <t>1</t>
        </is>
      </c>
      <c r="O463" s="3" t="inlineStr">
        <is>
          <t>-</t>
        </is>
      </c>
      <c r="P463" s="3" t="inlineStr">
        <is>
          <t>창고와 별도 사무실이 있음</t>
        </is>
      </c>
      <c r="Q463" s="6">
        <f>HYPERLINK("https://fin.land.naver.com/articles/2649702312", "매물Link")</f>
        <v/>
      </c>
      <c r="R463" s="6">
        <f>HYPERLINK("https://map.naver.com/p/search/오송읍 오송리 246-71", "지도Link")</f>
        <v/>
      </c>
      <c r="S463" s="6">
        <f>HYPERLINK("http://www.eum.go.kr/web/ar/lu/luLandDet.jsp?pnu=4311325028102460071&amp;isNoScr=script&amp;mode=search", "토지이음")</f>
        <v/>
      </c>
      <c r="T463" s="3" t="inlineStr">
        <is>
          <t>금송</t>
        </is>
      </c>
      <c r="U463" s="4" t="n">
        <v>1</v>
      </c>
      <c r="V463" s="5" t="n">
        <v>152.1</v>
      </c>
      <c r="W463" s="4" t="n">
        <v>320</v>
      </c>
      <c r="X463" s="3" t="inlineStr">
        <is>
          <t>대장없음</t>
        </is>
      </c>
      <c r="Y463" s="7" t="inlineStr">
        <is>
          <t>대장없음</t>
        </is>
      </c>
      <c r="Z463" s="3" t="inlineStr">
        <is>
          <t>대장없음</t>
        </is>
      </c>
      <c r="AA463" s="3" t="inlineStr">
        <is>
          <t>대장없음</t>
        </is>
      </c>
      <c r="AB463" s="3" t="inlineStr">
        <is>
          <t>대장없음</t>
        </is>
      </c>
      <c r="AC463" s="3" t="inlineStr">
        <is>
          <t>대장없음</t>
        </is>
      </c>
      <c r="AD463" s="3" t="inlineStr">
        <is>
          <t>세로한면(불)</t>
        </is>
      </c>
    </row>
    <row r="464">
      <c r="A464" s="3" t="inlineStr">
        <is>
          <t>오송읍 정중리 317-1</t>
        </is>
      </c>
      <c r="B464" s="3" t="inlineStr">
        <is>
          <t>농림지역</t>
        </is>
      </c>
      <c r="C464" s="3" t="inlineStr">
        <is>
          <t>잡종지</t>
        </is>
      </c>
      <c r="D464" s="3" t="inlineStr">
        <is>
          <t>창고</t>
        </is>
      </c>
      <c r="E464" s="3" t="inlineStr">
        <is>
          <t>월세</t>
        </is>
      </c>
      <c r="F464" s="4" t="n">
        <v>500</v>
      </c>
      <c r="G464" s="4" t="n">
        <v>40</v>
      </c>
      <c r="H464" s="4" t="n">
        <v>1220</v>
      </c>
      <c r="I464" s="4" t="n">
        <v>369</v>
      </c>
      <c r="J464" s="5" t="n">
        <v>0.1</v>
      </c>
      <c r="K464" s="4" t="n">
        <v>66</v>
      </c>
      <c r="L464" s="4" t="n">
        <v>20</v>
      </c>
      <c r="M464" s="5" t="n">
        <v>2</v>
      </c>
      <c r="N464" s="3" t="inlineStr">
        <is>
          <t>1</t>
        </is>
      </c>
      <c r="O464" s="3" t="inlineStr">
        <is>
          <t>-</t>
        </is>
      </c>
      <c r="P464" s="3" t="inlineStr">
        <is>
          <t>오송KTX역 및 오송바이오2산단 인근  2차선 도로접한 창고 임대</t>
        </is>
      </c>
      <c r="Q464" s="6">
        <f>HYPERLINK("https://fin.land.naver.com/articles/2654152544", "매물Link")</f>
        <v/>
      </c>
      <c r="R464" s="6">
        <f>HYPERLINK("https://map.naver.com/p/search/오송읍 정중리 317-1", "지도Link")</f>
        <v/>
      </c>
      <c r="S464" s="6">
        <f>HYPERLINK("http://www.eum.go.kr/web/ar/lu/luLandDet.jsp?pnu=4311325032103170001&amp;isNoScr=script&amp;mode=search", "토지이음")</f>
        <v/>
      </c>
      <c r="T464" s="3" t="inlineStr">
        <is>
          <t>번영</t>
        </is>
      </c>
      <c r="U464" s="4" t="n">
        <v>1</v>
      </c>
      <c r="V464" s="5" t="n">
        <v>25.2</v>
      </c>
      <c r="W464" s="4" t="n">
        <v>237</v>
      </c>
      <c r="X464" s="3" t="inlineStr">
        <is>
          <t>미표기</t>
        </is>
      </c>
      <c r="Y464" s="7" t="inlineStr">
        <is>
          <t>1층</t>
        </is>
      </c>
      <c r="Z464" s="3" t="inlineStr">
        <is>
          <t>경량철골구조</t>
        </is>
      </c>
      <c r="AA464" s="3" t="inlineStr">
        <is>
          <t>창고시설</t>
        </is>
      </c>
      <c r="AB464" s="3" t="inlineStr">
        <is>
          <t>5.6m</t>
        </is>
      </c>
      <c r="AC464" s="3" t="inlineStr">
        <is>
          <t>2001-10</t>
        </is>
      </c>
      <c r="AD464" s="3" t="inlineStr">
        <is>
          <t>세로한면(가)</t>
        </is>
      </c>
    </row>
    <row r="465">
      <c r="A465" s="3" t="inlineStr">
        <is>
          <t>오송읍 정중리 636</t>
        </is>
      </c>
      <c r="B465" s="3" t="inlineStr">
        <is>
          <t>일반공업지역</t>
        </is>
      </c>
      <c r="C465" s="3" t="inlineStr">
        <is>
          <t>공장용지</t>
        </is>
      </c>
      <c r="D465" s="3" t="inlineStr">
        <is>
          <t>공장</t>
        </is>
      </c>
      <c r="E465" s="3" t="inlineStr">
        <is>
          <t>매매</t>
        </is>
      </c>
      <c r="F465" s="4" t="n">
        <v>400000</v>
      </c>
      <c r="G465" s="4" t="n">
        <v>0</v>
      </c>
      <c r="H465" s="4" t="n">
        <v>2000</v>
      </c>
      <c r="I465" s="4" t="n">
        <v>605</v>
      </c>
      <c r="J465" s="5" t="n">
        <v>661.2</v>
      </c>
      <c r="K465" s="4" t="n">
        <v>501</v>
      </c>
      <c r="L465" s="4" t="n">
        <v>152</v>
      </c>
      <c r="M465" s="5" t="n">
        <v>2631.6</v>
      </c>
      <c r="N465" s="3" t="inlineStr">
        <is>
          <t>1</t>
        </is>
      </c>
      <c r="O465" s="3" t="inlineStr">
        <is>
          <t>-</t>
        </is>
      </c>
      <c r="P465" s="3" t="inlineStr">
        <is>
          <t>비금속광물,금속,기계,장비,자동차,운송장비 제조업 등 첨단관련 입주가능</t>
        </is>
      </c>
      <c r="Q465" s="6">
        <f>HYPERLINK("https://fin.land.naver.com/articles/2651580202", "매물Link")</f>
        <v/>
      </c>
      <c r="R465" s="6">
        <f>HYPERLINK("https://map.naver.com/p/search/오송읍 정중리 636", "지도Link")</f>
        <v/>
      </c>
      <c r="S465" s="6">
        <f>HYPERLINK("http://www.eum.go.kr/web/ar/lu/luLandDet.jsp?pnu=4311325032106360000&amp;isNoScr=script&amp;mode=search", "토지이음")</f>
        <v/>
      </c>
      <c r="T465" s="3" t="inlineStr">
        <is>
          <t>금화랜드</t>
        </is>
      </c>
      <c r="U465" s="4" t="n">
        <v>1</v>
      </c>
      <c r="V465" s="5" t="n">
        <v>66.90000000000001</v>
      </c>
      <c r="W465" s="4" t="n">
        <v>2000.1</v>
      </c>
      <c r="X465" s="3" t="inlineStr">
        <is>
          <t>주2동</t>
        </is>
      </c>
      <c r="Y465" s="7" t="inlineStr">
        <is>
          <t>1층</t>
        </is>
      </c>
      <c r="Z465" s="3" t="inlineStr">
        <is>
          <t>일반철골구조</t>
        </is>
      </c>
      <c r="AA465" s="3" t="inlineStr">
        <is>
          <t>공장</t>
        </is>
      </c>
      <c r="AB465" s="3" t="inlineStr">
        <is>
          <t>9.1m</t>
        </is>
      </c>
      <c r="AC465" s="3" t="inlineStr">
        <is>
          <t>2021-10</t>
        </is>
      </c>
      <c r="AD465" s="3" t="inlineStr">
        <is>
          <t>중로한면</t>
        </is>
      </c>
    </row>
    <row r="466">
      <c r="A466" s="3" t="inlineStr">
        <is>
          <t>오송읍 정중리 651</t>
        </is>
      </c>
      <c r="B466" s="3" t="inlineStr">
        <is>
          <t>일반공업지역</t>
        </is>
      </c>
      <c r="C466" s="3" t="inlineStr">
        <is>
          <t>공장용지</t>
        </is>
      </c>
      <c r="D466" s="3" t="inlineStr">
        <is>
          <t>공장</t>
        </is>
      </c>
      <c r="E466" s="3" t="inlineStr">
        <is>
          <t>월세</t>
        </is>
      </c>
      <c r="F466" s="4" t="n">
        <v>3000</v>
      </c>
      <c r="G466" s="4" t="n">
        <v>300</v>
      </c>
      <c r="H466" s="4" t="n">
        <v>16494</v>
      </c>
      <c r="I466" s="4" t="n">
        <v>4989</v>
      </c>
      <c r="J466" s="5" t="n">
        <v>0.1</v>
      </c>
      <c r="K466" s="4" t="n">
        <v>337</v>
      </c>
      <c r="L466" s="4" t="n">
        <v>102</v>
      </c>
      <c r="M466" s="5" t="n">
        <v>2.9</v>
      </c>
      <c r="N466" s="3" t="inlineStr">
        <is>
          <t>2</t>
        </is>
      </c>
      <c r="O466" s="3" t="inlineStr">
        <is>
          <t>-</t>
        </is>
      </c>
      <c r="P466" s="3" t="inlineStr">
        <is>
          <t>오송바이오폴리스지구,식품관련업종,사무실,공장 다 가능</t>
        </is>
      </c>
      <c r="Q466" s="6">
        <f>HYPERLINK("https://fin.land.naver.com/articles/2653787418", "매물Link")</f>
        <v/>
      </c>
      <c r="R466" s="6">
        <f>HYPERLINK("https://map.naver.com/p/search/오송읍 정중리 651", "지도Link")</f>
        <v/>
      </c>
      <c r="S466" s="6">
        <f>HYPERLINK("http://www.eum.go.kr/web/ar/lu/luLandDet.jsp?pnu=4311325032106510000&amp;isNoScr=script&amp;mode=search", "토지이음")</f>
        <v/>
      </c>
      <c r="T466" s="3" t="inlineStr">
        <is>
          <t>오송올래</t>
        </is>
      </c>
      <c r="U466" s="4" t="n">
        <v>1</v>
      </c>
      <c r="V466" s="5" t="n">
        <v>68.40000000000001</v>
      </c>
      <c r="W466" s="4" t="n">
        <v>16494.5</v>
      </c>
      <c r="X466" s="3" t="inlineStr">
        <is>
          <t>미표기</t>
        </is>
      </c>
      <c r="Y466" s="7" t="inlineStr">
        <is>
          <t>1층</t>
        </is>
      </c>
      <c r="Z466" s="3" t="inlineStr">
        <is>
          <t>철근콘크리트구조</t>
        </is>
      </c>
      <c r="AA466" s="3" t="inlineStr">
        <is>
          <t>공장</t>
        </is>
      </c>
      <c r="AB466" s="3" t="inlineStr">
        <is>
          <t>3.79m</t>
        </is>
      </c>
      <c r="AC466" s="3" t="inlineStr">
        <is>
          <t>2020-06</t>
        </is>
      </c>
      <c r="AD466" s="3" t="inlineStr">
        <is>
          <t>광대로한면</t>
        </is>
      </c>
    </row>
    <row r="467">
      <c r="A467" s="3" t="inlineStr">
        <is>
          <t>오송읍 정중리 678</t>
        </is>
      </c>
      <c r="B467" s="3" t="inlineStr">
        <is>
          <t>일반공업지역</t>
        </is>
      </c>
      <c r="C467" s="3" t="inlineStr">
        <is>
          <t>공장용지</t>
        </is>
      </c>
      <c r="D467" s="3" t="inlineStr">
        <is>
          <t>공장</t>
        </is>
      </c>
      <c r="E467" s="3" t="inlineStr">
        <is>
          <t>월세</t>
        </is>
      </c>
      <c r="F467" s="4" t="n">
        <v>18000</v>
      </c>
      <c r="G467" s="4" t="n">
        <v>1000</v>
      </c>
      <c r="H467" s="4" t="n">
        <v>2169</v>
      </c>
      <c r="I467" s="4" t="n">
        <v>656</v>
      </c>
      <c r="J467" s="5" t="n">
        <v>1.5</v>
      </c>
      <c r="K467" s="4" t="n">
        <v>999</v>
      </c>
      <c r="L467" s="4" t="n">
        <v>302</v>
      </c>
      <c r="M467" s="5" t="n">
        <v>3.3</v>
      </c>
      <c r="N467" s="3" t="inlineStr">
        <is>
          <t>2</t>
        </is>
      </c>
      <c r="O467" s="3" t="inlineStr">
        <is>
          <t>-</t>
        </is>
      </c>
      <c r="P467" s="3" t="inlineStr">
        <is>
          <t>산업단지 코너에 위치한 관리 잘 된 준신축급 공장</t>
        </is>
      </c>
      <c r="Q467" s="6">
        <f>HYPERLINK("https://fin.land.naver.com/articles/2650586118", "매물Link")</f>
        <v/>
      </c>
      <c r="R467" s="6">
        <f>HYPERLINK("https://map.naver.com/p/search/오송읍 정중리 678", "지도Link")</f>
        <v/>
      </c>
      <c r="S467" s="6">
        <f>HYPERLINK("http://www.eum.go.kr/web/ar/lu/luLandDet.jsp?pnu=4311325032106780000&amp;isNoScr=script&amp;mode=search", "토지이음")</f>
        <v/>
      </c>
      <c r="T467" s="3" t="inlineStr">
        <is>
          <t>(주)미르</t>
        </is>
      </c>
      <c r="U467" s="4" t="n">
        <v>1</v>
      </c>
      <c r="V467" s="5" t="n">
        <v>67.40000000000001</v>
      </c>
      <c r="W467" s="4" t="n">
        <v>2169.9</v>
      </c>
      <c r="X467" s="3" t="inlineStr">
        <is>
          <t>주건축물제1동</t>
        </is>
      </c>
      <c r="Y467" s="7" t="inlineStr">
        <is>
          <t>1층</t>
        </is>
      </c>
      <c r="Z467" s="3" t="inlineStr">
        <is>
          <t>일반철골구조</t>
        </is>
      </c>
      <c r="AA467" s="3" t="inlineStr">
        <is>
          <t>공장</t>
        </is>
      </c>
      <c r="AB467" s="3" t="inlineStr">
        <is>
          <t>6.9m</t>
        </is>
      </c>
      <c r="AC467" s="3" t="inlineStr">
        <is>
          <t>2019-12</t>
        </is>
      </c>
      <c r="AD467" s="3" t="inlineStr">
        <is>
          <t>중로각지</t>
        </is>
      </c>
    </row>
    <row r="468">
      <c r="A468" s="3" t="inlineStr">
        <is>
          <t>오송읍 정중리 678</t>
        </is>
      </c>
      <c r="B468" s="3" t="inlineStr">
        <is>
          <t>일반공업지역</t>
        </is>
      </c>
      <c r="C468" s="3" t="inlineStr">
        <is>
          <t>공장용지</t>
        </is>
      </c>
      <c r="D468" s="3" t="inlineStr">
        <is>
          <t>공장</t>
        </is>
      </c>
      <c r="E468" s="3" t="inlineStr">
        <is>
          <t>매매</t>
        </is>
      </c>
      <c r="F468" s="4" t="n">
        <v>350000</v>
      </c>
      <c r="G468" s="4" t="n">
        <v>0</v>
      </c>
      <c r="H468" s="4" t="n">
        <v>2169</v>
      </c>
      <c r="I468" s="4" t="n">
        <v>656</v>
      </c>
      <c r="J468" s="5" t="n">
        <v>533.5</v>
      </c>
      <c r="K468" s="4" t="n">
        <v>999</v>
      </c>
      <c r="L468" s="4" t="n">
        <v>302</v>
      </c>
      <c r="M468" s="5" t="n">
        <v>1158.9</v>
      </c>
      <c r="N468" s="3" t="inlineStr">
        <is>
          <t>2</t>
        </is>
      </c>
      <c r="O468" s="3" t="inlineStr">
        <is>
          <t>-</t>
        </is>
      </c>
      <c r="P468" s="3" t="inlineStr">
        <is>
          <t>오송2산단 의료기기업종가능 사옥형 공장으로 추천</t>
        </is>
      </c>
      <c r="Q468" s="6">
        <f>HYPERLINK("https://fin.land.naver.com/articles/2649666291", "매물Link")</f>
        <v/>
      </c>
      <c r="R468" s="6">
        <f>HYPERLINK("https://map.naver.com/p/search/오송읍 정중리 678", "지도Link")</f>
        <v/>
      </c>
      <c r="S468" s="6">
        <f>HYPERLINK("http://www.eum.go.kr/web/ar/lu/luLandDet.jsp?pnu=4311325032106780000&amp;isNoScr=script&amp;mode=search", "토지이음")</f>
        <v/>
      </c>
      <c r="T468" s="3" t="inlineStr">
        <is>
          <t>더원</t>
        </is>
      </c>
      <c r="U468" s="4" t="n">
        <v>1</v>
      </c>
      <c r="V468" s="5" t="n">
        <v>67.40000000000001</v>
      </c>
      <c r="W468" s="4" t="n">
        <v>2169.9</v>
      </c>
      <c r="X468" s="3" t="inlineStr">
        <is>
          <t>주건축물제1동</t>
        </is>
      </c>
      <c r="Y468" s="7" t="inlineStr">
        <is>
          <t>1층</t>
        </is>
      </c>
      <c r="Z468" s="3" t="inlineStr">
        <is>
          <t>일반철골구조</t>
        </is>
      </c>
      <c r="AA468" s="3" t="inlineStr">
        <is>
          <t>공장</t>
        </is>
      </c>
      <c r="AB468" s="3" t="inlineStr">
        <is>
          <t>6.9m</t>
        </is>
      </c>
      <c r="AC468" s="3" t="inlineStr">
        <is>
          <t>2019-12</t>
        </is>
      </c>
      <c r="AD468" s="3" t="inlineStr">
        <is>
          <t>중로각지</t>
        </is>
      </c>
    </row>
    <row r="469">
      <c r="A469" s="3" t="inlineStr">
        <is>
          <t>오송읍 정중리 678</t>
        </is>
      </c>
      <c r="B469" s="3" t="inlineStr">
        <is>
          <t>일반공업지역</t>
        </is>
      </c>
      <c r="C469" s="3" t="inlineStr">
        <is>
          <t>공장용지</t>
        </is>
      </c>
      <c r="D469" s="3" t="inlineStr">
        <is>
          <t>공장</t>
        </is>
      </c>
      <c r="E469" s="3" t="inlineStr">
        <is>
          <t>매매</t>
        </is>
      </c>
      <c r="F469" s="4" t="n">
        <v>420000</v>
      </c>
      <c r="G469" s="4" t="n">
        <v>0</v>
      </c>
      <c r="H469" s="4" t="n">
        <v>2169</v>
      </c>
      <c r="I469" s="4" t="n">
        <v>656</v>
      </c>
      <c r="J469" s="5" t="n">
        <v>640.2</v>
      </c>
      <c r="K469" s="4" t="n">
        <v>999</v>
      </c>
      <c r="L469" s="4" t="n">
        <v>302</v>
      </c>
      <c r="M469" s="5" t="n">
        <v>1390.7</v>
      </c>
      <c r="N469" s="3" t="inlineStr">
        <is>
          <t>2</t>
        </is>
      </c>
      <c r="O469" s="3" t="inlineStr">
        <is>
          <t>-</t>
        </is>
      </c>
      <c r="P469" s="3" t="inlineStr">
        <is>
          <t>오송2산단 산업단지 코너 대로접한 신축급 공장</t>
        </is>
      </c>
      <c r="Q469" s="6">
        <f>HYPERLINK("https://fin.land.naver.com/articles/2649742642", "매물Link")</f>
        <v/>
      </c>
      <c r="R469" s="6">
        <f>HYPERLINK("https://map.naver.com/p/search/오송읍 정중리 678", "지도Link")</f>
        <v/>
      </c>
      <c r="S469" s="6">
        <f>HYPERLINK("http://www.eum.go.kr/web/ar/lu/luLandDet.jsp?pnu=4311325032106780000&amp;isNoScr=script&amp;mode=search", "토지이음")</f>
        <v/>
      </c>
      <c r="T469" s="3" t="inlineStr">
        <is>
          <t>자이원</t>
        </is>
      </c>
      <c r="U469" s="4" t="n">
        <v>1</v>
      </c>
      <c r="V469" s="5" t="n">
        <v>67.40000000000001</v>
      </c>
      <c r="W469" s="4" t="n">
        <v>2169.9</v>
      </c>
      <c r="X469" s="3" t="inlineStr">
        <is>
          <t>주건축물제1동</t>
        </is>
      </c>
      <c r="Y469" s="7" t="inlineStr">
        <is>
          <t>1층</t>
        </is>
      </c>
      <c r="Z469" s="3" t="inlineStr">
        <is>
          <t>일반철골구조</t>
        </is>
      </c>
      <c r="AA469" s="3" t="inlineStr">
        <is>
          <t>공장</t>
        </is>
      </c>
      <c r="AB469" s="3" t="inlineStr">
        <is>
          <t>6.9m</t>
        </is>
      </c>
      <c r="AC469" s="3" t="inlineStr">
        <is>
          <t>2019-12</t>
        </is>
      </c>
      <c r="AD469" s="3" t="inlineStr">
        <is>
          <t>중로각지</t>
        </is>
      </c>
    </row>
    <row r="470">
      <c r="A470" s="3" t="inlineStr">
        <is>
          <t>오송읍 정중리 678</t>
        </is>
      </c>
      <c r="B470" s="3" t="inlineStr">
        <is>
          <t>일반공업지역</t>
        </is>
      </c>
      <c r="C470" s="3" t="inlineStr">
        <is>
          <t>공장용지</t>
        </is>
      </c>
      <c r="D470" s="3" t="inlineStr">
        <is>
          <t>공장</t>
        </is>
      </c>
      <c r="E470" s="3" t="inlineStr">
        <is>
          <t>매매</t>
        </is>
      </c>
      <c r="F470" s="4" t="n">
        <v>350000</v>
      </c>
      <c r="G470" s="4" t="n">
        <v>0</v>
      </c>
      <c r="H470" s="4" t="n">
        <v>2169</v>
      </c>
      <c r="I470" s="4" t="n">
        <v>656</v>
      </c>
      <c r="J470" s="5" t="n">
        <v>533.5</v>
      </c>
      <c r="K470" s="4" t="n">
        <v>592</v>
      </c>
      <c r="L470" s="4" t="n">
        <v>179</v>
      </c>
      <c r="M470" s="5" t="n">
        <v>1955.3</v>
      </c>
      <c r="N470" s="3" t="inlineStr">
        <is>
          <t>1</t>
        </is>
      </c>
      <c r="O470" s="3" t="inlineStr">
        <is>
          <t>-</t>
        </is>
      </c>
      <c r="P470" s="3" t="inlineStr">
        <is>
          <t>창고부지제공, 공장 운영하기 좋은 구조 ,연구동,공장동</t>
        </is>
      </c>
      <c r="Q470" s="6">
        <f>HYPERLINK("https://fin.land.naver.com/articles/2652141929", "매물Link")</f>
        <v/>
      </c>
      <c r="R470" s="6">
        <f>HYPERLINK("https://map.naver.com/p/search/오송읍 정중리 678", "지도Link")</f>
        <v/>
      </c>
      <c r="S470" s="6">
        <f>HYPERLINK("http://www.eum.go.kr/web/ar/lu/luLandDet.jsp?pnu=4311325032106780000&amp;isNoScr=script&amp;mode=search", "토지이음")</f>
        <v/>
      </c>
      <c r="T470" s="3" t="inlineStr">
        <is>
          <t>오송2단지창조</t>
        </is>
      </c>
      <c r="U470" s="4" t="n">
        <v>1</v>
      </c>
      <c r="V470" s="5" t="n">
        <v>67.40000000000001</v>
      </c>
      <c r="W470" s="4" t="n">
        <v>2169.9</v>
      </c>
      <c r="X470" s="3" t="inlineStr">
        <is>
          <t>주건축물제1동</t>
        </is>
      </c>
      <c r="Y470" s="7" t="inlineStr">
        <is>
          <t>1층</t>
        </is>
      </c>
      <c r="Z470" s="3" t="inlineStr">
        <is>
          <t>일반철골구조</t>
        </is>
      </c>
      <c r="AA470" s="3" t="inlineStr">
        <is>
          <t>공장</t>
        </is>
      </c>
      <c r="AB470" s="3" t="inlineStr">
        <is>
          <t>6.9m</t>
        </is>
      </c>
      <c r="AC470" s="3" t="inlineStr">
        <is>
          <t>2019-12</t>
        </is>
      </c>
      <c r="AD470" s="3" t="inlineStr">
        <is>
          <t>중로각지</t>
        </is>
      </c>
    </row>
    <row r="471">
      <c r="A471" s="3" t="inlineStr">
        <is>
          <t>오송읍 정중리 678</t>
        </is>
      </c>
      <c r="B471" s="3" t="inlineStr">
        <is>
          <t>일반공업지역</t>
        </is>
      </c>
      <c r="C471" s="3" t="inlineStr">
        <is>
          <t>공장용지</t>
        </is>
      </c>
      <c r="D471" s="3" t="inlineStr">
        <is>
          <t>공장</t>
        </is>
      </c>
      <c r="E471" s="3" t="inlineStr">
        <is>
          <t>월세</t>
        </is>
      </c>
      <c r="F471" s="4" t="n">
        <v>18000</v>
      </c>
      <c r="G471" s="4" t="n">
        <v>1000</v>
      </c>
      <c r="H471" s="4" t="n">
        <v>2169</v>
      </c>
      <c r="I471" s="4" t="n">
        <v>656</v>
      </c>
      <c r="J471" s="5" t="n">
        <v>1.5</v>
      </c>
      <c r="K471" s="4" t="n">
        <v>592</v>
      </c>
      <c r="L471" s="4" t="n">
        <v>179</v>
      </c>
      <c r="M471" s="5" t="n">
        <v>5.6</v>
      </c>
      <c r="N471" s="3" t="inlineStr">
        <is>
          <t>1</t>
        </is>
      </c>
      <c r="O471" s="3" t="inlineStr">
        <is>
          <t>-</t>
        </is>
      </c>
      <c r="P471" s="3" t="inlineStr">
        <is>
          <t>시설이 완벽하게 갖춰져 있는 건물,공장 월세 임대 가능한 매물입니다</t>
        </is>
      </c>
      <c r="Q471" s="6">
        <f>HYPERLINK("https://fin.land.naver.com/articles/2651110067", "매물Link")</f>
        <v/>
      </c>
      <c r="R471" s="6">
        <f>HYPERLINK("https://map.naver.com/p/search/오송읍 정중리 678", "지도Link")</f>
        <v/>
      </c>
      <c r="S471" s="6">
        <f>HYPERLINK("http://www.eum.go.kr/web/ar/lu/luLandDet.jsp?pnu=4311325032106780000&amp;isNoScr=script&amp;mode=search", "토지이음")</f>
        <v/>
      </c>
      <c r="T471" s="3" t="inlineStr">
        <is>
          <t>오송2단지창조</t>
        </is>
      </c>
      <c r="U471" s="4" t="n">
        <v>1</v>
      </c>
      <c r="V471" s="5" t="n">
        <v>67.40000000000001</v>
      </c>
      <c r="W471" s="4" t="n">
        <v>2169.9</v>
      </c>
      <c r="X471" s="3" t="inlineStr">
        <is>
          <t>주건축물제1동</t>
        </is>
      </c>
      <c r="Y471" s="7" t="inlineStr">
        <is>
          <t>1층</t>
        </is>
      </c>
      <c r="Z471" s="3" t="inlineStr">
        <is>
          <t>일반철골구조</t>
        </is>
      </c>
      <c r="AA471" s="3" t="inlineStr">
        <is>
          <t>공장</t>
        </is>
      </c>
      <c r="AB471" s="3" t="inlineStr">
        <is>
          <t>6.9m</t>
        </is>
      </c>
      <c r="AC471" s="3" t="inlineStr">
        <is>
          <t>2019-12</t>
        </is>
      </c>
      <c r="AD471" s="3" t="inlineStr">
        <is>
          <t>중로각지</t>
        </is>
      </c>
    </row>
    <row r="472">
      <c r="A472" s="3" t="inlineStr">
        <is>
          <t>오송읍 정중리 678</t>
        </is>
      </c>
      <c r="B472" s="3" t="inlineStr">
        <is>
          <t>일반공업지역</t>
        </is>
      </c>
      <c r="C472" s="3" t="inlineStr">
        <is>
          <t>공장용지</t>
        </is>
      </c>
      <c r="D472" s="3" t="inlineStr">
        <is>
          <t>공장</t>
        </is>
      </c>
      <c r="E472" s="3" t="inlineStr">
        <is>
          <t>매매</t>
        </is>
      </c>
      <c r="F472" s="4" t="n">
        <v>350000</v>
      </c>
      <c r="G472" s="4" t="n">
        <v>0</v>
      </c>
      <c r="H472" s="4" t="n">
        <v>2169</v>
      </c>
      <c r="I472" s="4" t="n">
        <v>656</v>
      </c>
      <c r="J472" s="5" t="n">
        <v>533.5</v>
      </c>
      <c r="K472" s="4" t="n">
        <v>999</v>
      </c>
      <c r="L472" s="4" t="n">
        <v>302</v>
      </c>
      <c r="M472" s="5" t="n">
        <v>1158.9</v>
      </c>
      <c r="N472" s="3" t="inlineStr">
        <is>
          <t>2</t>
        </is>
      </c>
      <c r="O472" s="3" t="inlineStr">
        <is>
          <t>B1</t>
        </is>
      </c>
      <c r="P472" s="3" t="inlineStr">
        <is>
          <t>오송 2산업단지 대로면 접한 공장으로 의료기기 관련업종 즉시 입주 가능</t>
        </is>
      </c>
      <c r="Q472" s="6">
        <f>HYPERLINK("https://fin.land.naver.com/articles/2650796460", "매물Link")</f>
        <v/>
      </c>
      <c r="R472" s="6">
        <f>HYPERLINK("https://map.naver.com/p/search/오송읍 정중리 678", "지도Link")</f>
        <v/>
      </c>
      <c r="S472" s="6">
        <f>HYPERLINK("http://www.eum.go.kr/web/ar/lu/luLandDet.jsp?pnu=4311325032106780000&amp;isNoScr=script&amp;mode=search", "토지이음")</f>
        <v/>
      </c>
      <c r="T472" s="3" t="inlineStr">
        <is>
          <t>우리</t>
        </is>
      </c>
      <c r="U472" s="4" t="n">
        <v>1</v>
      </c>
      <c r="V472" s="5" t="n">
        <v>67.40000000000001</v>
      </c>
      <c r="W472" s="4" t="n">
        <v>2169.9</v>
      </c>
      <c r="X472" s="3" t="inlineStr">
        <is>
          <t>주건축물제1동</t>
        </is>
      </c>
      <c r="Y472" s="7" t="inlineStr">
        <is>
          <t>1층</t>
        </is>
      </c>
      <c r="Z472" s="3" t="inlineStr">
        <is>
          <t>일반철골구조</t>
        </is>
      </c>
      <c r="AA472" s="3" t="inlineStr">
        <is>
          <t>공장</t>
        </is>
      </c>
      <c r="AB472" s="3" t="inlineStr">
        <is>
          <t>6.9m</t>
        </is>
      </c>
      <c r="AC472" s="3" t="inlineStr">
        <is>
          <t>2019-12</t>
        </is>
      </c>
      <c r="AD472" s="3" t="inlineStr">
        <is>
          <t>중로각지</t>
        </is>
      </c>
    </row>
    <row r="473">
      <c r="A473" s="3" t="inlineStr">
        <is>
          <t>오송읍 정중리 678</t>
        </is>
      </c>
      <c r="B473" s="3" t="inlineStr">
        <is>
          <t>일반공업지역</t>
        </is>
      </c>
      <c r="C473" s="3" t="inlineStr">
        <is>
          <t>공장용지</t>
        </is>
      </c>
      <c r="D473" s="3" t="inlineStr">
        <is>
          <t>공장</t>
        </is>
      </c>
      <c r="E473" s="3" t="inlineStr">
        <is>
          <t>월세</t>
        </is>
      </c>
      <c r="F473" s="4" t="n">
        <v>18000</v>
      </c>
      <c r="G473" s="4" t="n">
        <v>1000</v>
      </c>
      <c r="H473" s="4" t="n">
        <v>2169</v>
      </c>
      <c r="I473" s="4" t="n">
        <v>656</v>
      </c>
      <c r="J473" s="5" t="n">
        <v>1.5</v>
      </c>
      <c r="K473" s="4" t="n">
        <v>999</v>
      </c>
      <c r="L473" s="4" t="n">
        <v>302</v>
      </c>
      <c r="M473" s="5" t="n">
        <v>3.3</v>
      </c>
      <c r="N473" s="3" t="inlineStr">
        <is>
          <t>2</t>
        </is>
      </c>
      <c r="O473" s="3" t="inlineStr">
        <is>
          <t>B1</t>
        </is>
      </c>
      <c r="P473" s="3" t="inlineStr">
        <is>
          <t>오송 2산업단지 대로면 접한 공장으로 의료기기 관련업종 즉시 입주 가능</t>
        </is>
      </c>
      <c r="Q473" s="6">
        <f>HYPERLINK("https://fin.land.naver.com/articles/2650797461", "매물Link")</f>
        <v/>
      </c>
      <c r="R473" s="6">
        <f>HYPERLINK("https://map.naver.com/p/search/오송읍 정중리 678", "지도Link")</f>
        <v/>
      </c>
      <c r="S473" s="6">
        <f>HYPERLINK("http://www.eum.go.kr/web/ar/lu/luLandDet.jsp?pnu=4311325032106780000&amp;isNoScr=script&amp;mode=search", "토지이음")</f>
        <v/>
      </c>
      <c r="T473" s="3" t="inlineStr">
        <is>
          <t>우리</t>
        </is>
      </c>
      <c r="U473" s="4" t="n">
        <v>1</v>
      </c>
      <c r="V473" s="5" t="n">
        <v>67.40000000000001</v>
      </c>
      <c r="W473" s="4" t="n">
        <v>2169.9</v>
      </c>
      <c r="X473" s="3" t="inlineStr">
        <is>
          <t>주건축물제1동</t>
        </is>
      </c>
      <c r="Y473" s="7" t="inlineStr">
        <is>
          <t>1층</t>
        </is>
      </c>
      <c r="Z473" s="3" t="inlineStr">
        <is>
          <t>일반철골구조</t>
        </is>
      </c>
      <c r="AA473" s="3" t="inlineStr">
        <is>
          <t>공장</t>
        </is>
      </c>
      <c r="AB473" s="3" t="inlineStr">
        <is>
          <t>6.9m</t>
        </is>
      </c>
      <c r="AC473" s="3" t="inlineStr">
        <is>
          <t>2019-12</t>
        </is>
      </c>
      <c r="AD473" s="3" t="inlineStr">
        <is>
          <t>중로각지</t>
        </is>
      </c>
    </row>
    <row r="474">
      <c r="A474" s="3" t="inlineStr">
        <is>
          <t>오송읍 정중리 678</t>
        </is>
      </c>
      <c r="B474" s="3" t="inlineStr">
        <is>
          <t>일반공업지역</t>
        </is>
      </c>
      <c r="C474" s="3" t="inlineStr">
        <is>
          <t>공장용지</t>
        </is>
      </c>
      <c r="D474" s="3" t="inlineStr">
        <is>
          <t>공장</t>
        </is>
      </c>
      <c r="E474" s="3" t="inlineStr">
        <is>
          <t>매매</t>
        </is>
      </c>
      <c r="F474" s="4" t="n">
        <v>350000</v>
      </c>
      <c r="G474" s="4" t="n">
        <v>0</v>
      </c>
      <c r="H474" s="4" t="n">
        <v>2169</v>
      </c>
      <c r="I474" s="4" t="n">
        <v>656</v>
      </c>
      <c r="J474" s="5" t="n">
        <v>533.5</v>
      </c>
      <c r="K474" s="4" t="n">
        <v>999</v>
      </c>
      <c r="L474" s="4" t="n">
        <v>302</v>
      </c>
      <c r="M474" s="5" t="n">
        <v>1158.9</v>
      </c>
      <c r="N474" s="3" t="inlineStr">
        <is>
          <t>2</t>
        </is>
      </c>
      <c r="O474" s="3" t="inlineStr">
        <is>
          <t>-</t>
        </is>
      </c>
      <c r="P474" s="3" t="inlineStr">
        <is>
          <t>산업단지 코너에 위치한 관리 잘 된 준신축급 공장</t>
        </is>
      </c>
      <c r="Q474" s="6">
        <f>HYPERLINK("https://fin.land.naver.com/articles/2654295052", "매물Link")</f>
        <v/>
      </c>
      <c r="R474" s="6">
        <f>HYPERLINK("https://map.naver.com/p/search/오송읍 정중리 678", "지도Link")</f>
        <v/>
      </c>
      <c r="S474" s="6">
        <f>HYPERLINK("http://www.eum.go.kr/web/ar/lu/luLandDet.jsp?pnu=4311325032106780000&amp;isNoScr=script&amp;mode=search", "토지이음")</f>
        <v/>
      </c>
      <c r="T474" s="3" t="inlineStr">
        <is>
          <t>(주)미르</t>
        </is>
      </c>
      <c r="U474" s="4" t="n">
        <v>1</v>
      </c>
      <c r="V474" s="5" t="n">
        <v>67.40000000000001</v>
      </c>
      <c r="W474" s="4" t="n">
        <v>2169.9</v>
      </c>
      <c r="X474" s="3" t="inlineStr">
        <is>
          <t>주건축물제1동</t>
        </is>
      </c>
      <c r="Y474" s="7" t="inlineStr">
        <is>
          <t>1층</t>
        </is>
      </c>
      <c r="Z474" s="3" t="inlineStr">
        <is>
          <t>일반철골구조</t>
        </is>
      </c>
      <c r="AA474" s="3" t="inlineStr">
        <is>
          <t>공장</t>
        </is>
      </c>
      <c r="AB474" s="3" t="inlineStr">
        <is>
          <t>6.9m</t>
        </is>
      </c>
      <c r="AC474" s="3" t="inlineStr">
        <is>
          <t>2019-12</t>
        </is>
      </c>
      <c r="AD474" s="3" t="inlineStr">
        <is>
          <t>중로각지</t>
        </is>
      </c>
    </row>
    <row r="475">
      <c r="A475" s="3" t="inlineStr">
        <is>
          <t>오송읍 정중리 678</t>
        </is>
      </c>
      <c r="B475" s="3" t="inlineStr">
        <is>
          <t>일반공업지역</t>
        </is>
      </c>
      <c r="C475" s="3" t="inlineStr">
        <is>
          <t>공장용지</t>
        </is>
      </c>
      <c r="D475" s="3" t="inlineStr">
        <is>
          <t>공장</t>
        </is>
      </c>
      <c r="E475" s="3" t="inlineStr">
        <is>
          <t>월세</t>
        </is>
      </c>
      <c r="F475" s="4" t="n">
        <v>18000</v>
      </c>
      <c r="G475" s="4" t="n">
        <v>1000</v>
      </c>
      <c r="H475" s="4" t="n">
        <v>2169</v>
      </c>
      <c r="I475" s="4" t="n">
        <v>656</v>
      </c>
      <c r="J475" s="5" t="n">
        <v>1.5</v>
      </c>
      <c r="K475" s="4" t="n">
        <v>999</v>
      </c>
      <c r="L475" s="4" t="n">
        <v>302</v>
      </c>
      <c r="M475" s="5" t="n">
        <v>3.3</v>
      </c>
      <c r="N475" s="3" t="inlineStr">
        <is>
          <t>2</t>
        </is>
      </c>
      <c r="O475" s="3" t="inlineStr">
        <is>
          <t>-</t>
        </is>
      </c>
      <c r="P475" s="3" t="inlineStr">
        <is>
          <t>오송바이오폴리스 산업단지 사옥형 공장 임대 입주협의</t>
        </is>
      </c>
      <c r="Q475" s="6">
        <f>HYPERLINK("https://fin.land.naver.com/articles/2650873410", "매물Link")</f>
        <v/>
      </c>
      <c r="R475" s="6">
        <f>HYPERLINK("https://map.naver.com/p/search/오송읍 정중리 678", "지도Link")</f>
        <v/>
      </c>
      <c r="S475" s="6">
        <f>HYPERLINK("http://www.eum.go.kr/web/ar/lu/luLandDet.jsp?pnu=4311325032106780000&amp;isNoScr=script&amp;mode=search", "토지이음")</f>
        <v/>
      </c>
      <c r="T475" s="3" t="inlineStr">
        <is>
          <t>더원</t>
        </is>
      </c>
      <c r="U475" s="4" t="n">
        <v>1</v>
      </c>
      <c r="V475" s="5" t="n">
        <v>67.40000000000001</v>
      </c>
      <c r="W475" s="4" t="n">
        <v>2169.9</v>
      </c>
      <c r="X475" s="3" t="inlineStr">
        <is>
          <t>주건축물제1동</t>
        </is>
      </c>
      <c r="Y475" s="7" t="inlineStr">
        <is>
          <t>1층</t>
        </is>
      </c>
      <c r="Z475" s="3" t="inlineStr">
        <is>
          <t>일반철골구조</t>
        </is>
      </c>
      <c r="AA475" s="3" t="inlineStr">
        <is>
          <t>공장</t>
        </is>
      </c>
      <c r="AB475" s="3" t="inlineStr">
        <is>
          <t>6.9m</t>
        </is>
      </c>
      <c r="AC475" s="3" t="inlineStr">
        <is>
          <t>2019-12</t>
        </is>
      </c>
      <c r="AD475" s="3" t="inlineStr">
        <is>
          <t>중로각지</t>
        </is>
      </c>
    </row>
    <row r="476">
      <c r="A476" s="3" t="inlineStr">
        <is>
          <t>오송읍 정중리 718</t>
        </is>
      </c>
      <c r="B476" s="3" t="inlineStr">
        <is>
          <t>일반공업지역</t>
        </is>
      </c>
      <c r="C476" s="3" t="inlineStr">
        <is>
          <t>공장용지</t>
        </is>
      </c>
      <c r="D476" s="3" t="inlineStr">
        <is>
          <t>공장</t>
        </is>
      </c>
      <c r="E476" s="3" t="inlineStr">
        <is>
          <t>매매</t>
        </is>
      </c>
      <c r="F476" s="4" t="n">
        <v>5000000</v>
      </c>
      <c r="G476" s="4" t="n">
        <v>0</v>
      </c>
      <c r="H476" s="4" t="n">
        <v>10798</v>
      </c>
      <c r="I476" s="4" t="n">
        <v>3266</v>
      </c>
      <c r="J476" s="5" t="n">
        <v>1530.9</v>
      </c>
      <c r="K476" s="4" t="n">
        <v>14761</v>
      </c>
      <c r="L476" s="4" t="n">
        <v>4465</v>
      </c>
      <c r="M476" s="5" t="n">
        <v>1119.8</v>
      </c>
      <c r="N476" s="3" t="inlineStr">
        <is>
          <t>5</t>
        </is>
      </c>
      <c r="O476" s="3" t="inlineStr">
        <is>
          <t>-</t>
        </is>
      </c>
      <c r="P476" s="3" t="inlineStr">
        <is>
          <t>킹 사진0 규모의 경제 가시성 탁월 여기만 보임 압도적 존재감 절대적</t>
        </is>
      </c>
      <c r="Q476" s="6">
        <f>HYPERLINK("https://fin.land.naver.com/articles/2651362845", "매물Link")</f>
        <v/>
      </c>
      <c r="R476" s="6">
        <f>HYPERLINK("https://map.naver.com/p/search/오송읍 정중리 718", "지도Link")</f>
        <v/>
      </c>
      <c r="S476" s="6">
        <f>HYPERLINK("http://www.eum.go.kr/web/ar/lu/luLandDet.jsp?pnu=4311325032107180000&amp;isNoScr=script&amp;mode=search", "토지이음")</f>
        <v/>
      </c>
      <c r="T476" s="3" t="inlineStr">
        <is>
          <t>킹</t>
        </is>
      </c>
      <c r="U476" s="4" t="n">
        <v>1</v>
      </c>
      <c r="V476" s="5" t="n">
        <v>74.40000000000001</v>
      </c>
      <c r="W476" s="4" t="n">
        <v>10798.4</v>
      </c>
      <c r="X476" s="3" t="inlineStr">
        <is>
          <t>주건축물제1동</t>
        </is>
      </c>
      <c r="Y476" s="7" t="inlineStr">
        <is>
          <t>5층</t>
        </is>
      </c>
      <c r="Z476" s="3" t="inlineStr">
        <is>
          <t>철근콘크리트구조</t>
        </is>
      </c>
      <c r="AA476" s="3" t="inlineStr">
        <is>
          <t>공장</t>
        </is>
      </c>
      <c r="AB476" s="3" t="inlineStr">
        <is>
          <t>26.9m</t>
        </is>
      </c>
      <c r="AC476" s="3" t="inlineStr">
        <is>
          <t>2023-10</t>
        </is>
      </c>
      <c r="AD476" s="3" t="inlineStr">
        <is>
          <t>광대소각</t>
        </is>
      </c>
    </row>
    <row r="477">
      <c r="A477" s="3" t="inlineStr">
        <is>
          <t>오송읍 정중리 718</t>
        </is>
      </c>
      <c r="B477" s="3" t="inlineStr">
        <is>
          <t>일반공업지역</t>
        </is>
      </c>
      <c r="C477" s="3" t="inlineStr">
        <is>
          <t>공장용지</t>
        </is>
      </c>
      <c r="D477" s="3" t="inlineStr">
        <is>
          <t>공장</t>
        </is>
      </c>
      <c r="E477" s="3" t="inlineStr">
        <is>
          <t>월세</t>
        </is>
      </c>
      <c r="F477" s="4" t="n">
        <v>35000</v>
      </c>
      <c r="G477" s="4" t="n">
        <v>3500</v>
      </c>
      <c r="H477" s="4" t="n">
        <v>10798</v>
      </c>
      <c r="I477" s="4" t="n">
        <v>3266</v>
      </c>
      <c r="J477" s="5" t="n">
        <v>1.1</v>
      </c>
      <c r="K477" s="4" t="n">
        <v>3616</v>
      </c>
      <c r="L477" s="4" t="n">
        <v>1094</v>
      </c>
      <c r="M477" s="5" t="n">
        <v>3.2</v>
      </c>
      <c r="N477" s="3" t="inlineStr">
        <is>
          <t>5</t>
        </is>
      </c>
      <c r="O477" s="3" t="inlineStr">
        <is>
          <t>-</t>
        </is>
      </c>
      <c r="P477" s="3" t="inlineStr">
        <is>
          <t>3층,4층 공장, 창고 임대.전층공조시설완비,바닥 콘크리트마감, 신축</t>
        </is>
      </c>
      <c r="Q477" s="6">
        <f>HYPERLINK("https://fin.land.naver.com/articles/2653996482", "매물Link")</f>
        <v/>
      </c>
      <c r="R477" s="6">
        <f>HYPERLINK("https://map.naver.com/p/search/오송읍 정중리 718", "지도Link")</f>
        <v/>
      </c>
      <c r="S477" s="6">
        <f>HYPERLINK("http://www.eum.go.kr/web/ar/lu/luLandDet.jsp?pnu=4311325032107180000&amp;isNoScr=script&amp;mode=search", "토지이음")</f>
        <v/>
      </c>
      <c r="T477" s="3" t="inlineStr">
        <is>
          <t>(주)미르</t>
        </is>
      </c>
      <c r="U477" s="4" t="n">
        <v>1</v>
      </c>
      <c r="V477" s="5" t="n">
        <v>74.40000000000001</v>
      </c>
      <c r="W477" s="4" t="n">
        <v>10798.4</v>
      </c>
      <c r="X477" s="3" t="inlineStr">
        <is>
          <t>부속건축물제1동</t>
        </is>
      </c>
      <c r="Y477" s="7" t="inlineStr">
        <is>
          <t>1층</t>
        </is>
      </c>
      <c r="Z477" s="3" t="inlineStr">
        <is>
          <t>철근콘크리트구조</t>
        </is>
      </c>
      <c r="AA477" s="3" t="inlineStr">
        <is>
          <t>공장</t>
        </is>
      </c>
      <c r="AB477" s="3" t="inlineStr">
        <is>
          <t>8.0m</t>
        </is>
      </c>
      <c r="AC477" s="3" t="inlineStr">
        <is>
          <t>2023-10</t>
        </is>
      </c>
      <c r="AD477" s="3" t="inlineStr">
        <is>
          <t>광대소각</t>
        </is>
      </c>
    </row>
    <row r="478">
      <c r="A478" s="3" t="inlineStr">
        <is>
          <t>오송읍 정중리 718</t>
        </is>
      </c>
      <c r="B478" s="3" t="inlineStr">
        <is>
          <t>일반공업지역</t>
        </is>
      </c>
      <c r="C478" s="3" t="inlineStr">
        <is>
          <t>공장용지</t>
        </is>
      </c>
      <c r="D478" s="3" t="inlineStr">
        <is>
          <t>공장</t>
        </is>
      </c>
      <c r="E478" s="3" t="inlineStr">
        <is>
          <t>월세</t>
        </is>
      </c>
      <c r="F478" s="4" t="n">
        <v>30000</v>
      </c>
      <c r="G478" s="4" t="n">
        <v>3000</v>
      </c>
      <c r="H478" s="4" t="n">
        <v>10798</v>
      </c>
      <c r="I478" s="4" t="n">
        <v>3266</v>
      </c>
      <c r="J478" s="5" t="n">
        <v>0.9</v>
      </c>
      <c r="K478" s="4" t="n">
        <v>2314</v>
      </c>
      <c r="L478" s="4" t="n">
        <v>700</v>
      </c>
      <c r="M478" s="5" t="n">
        <v>4.3</v>
      </c>
      <c r="N478" s="3" t="inlineStr">
        <is>
          <t>5</t>
        </is>
      </c>
      <c r="O478" s="3" t="inlineStr">
        <is>
          <t>-</t>
        </is>
      </c>
      <c r="P478" s="3" t="inlineStr">
        <is>
          <t>항온항습시설, GMP인증 시설. 신축, 1층 2층 부문임대가능</t>
        </is>
      </c>
      <c r="Q478" s="6">
        <f>HYPERLINK("https://fin.land.naver.com/articles/2653575770", "매물Link")</f>
        <v/>
      </c>
      <c r="R478" s="6">
        <f>HYPERLINK("https://map.naver.com/p/search/오송읍 정중리 718", "지도Link")</f>
        <v/>
      </c>
      <c r="S478" s="6">
        <f>HYPERLINK("http://www.eum.go.kr/web/ar/lu/luLandDet.jsp?pnu=4311325032107180000&amp;isNoScr=script&amp;mode=search", "토지이음")</f>
        <v/>
      </c>
      <c r="T478" s="3" t="inlineStr">
        <is>
          <t>(주)미르</t>
        </is>
      </c>
      <c r="U478" s="4" t="n">
        <v>1</v>
      </c>
      <c r="V478" s="5" t="n">
        <v>74.40000000000001</v>
      </c>
      <c r="W478" s="4" t="n">
        <v>10798.4</v>
      </c>
      <c r="X478" s="3" t="inlineStr">
        <is>
          <t>부속건축물제1동</t>
        </is>
      </c>
      <c r="Y478" s="7" t="inlineStr">
        <is>
          <t>1층</t>
        </is>
      </c>
      <c r="Z478" s="3" t="inlineStr">
        <is>
          <t>철근콘크리트구조</t>
        </is>
      </c>
      <c r="AA478" s="3" t="inlineStr">
        <is>
          <t>공장</t>
        </is>
      </c>
      <c r="AB478" s="3" t="inlineStr">
        <is>
          <t>8.0m</t>
        </is>
      </c>
      <c r="AC478" s="3" t="inlineStr">
        <is>
          <t>2023-10</t>
        </is>
      </c>
      <c r="AD478" s="3" t="inlineStr">
        <is>
          <t>광대소각</t>
        </is>
      </c>
    </row>
    <row r="479">
      <c r="A479" s="3" t="inlineStr">
        <is>
          <t>오송읍 정중리 718</t>
        </is>
      </c>
      <c r="B479" s="3" t="inlineStr">
        <is>
          <t>일반공업지역</t>
        </is>
      </c>
      <c r="C479" s="3" t="inlineStr">
        <is>
          <t>공장용지</t>
        </is>
      </c>
      <c r="D479" s="3" t="inlineStr">
        <is>
          <t>공장</t>
        </is>
      </c>
      <c r="E479" s="3" t="inlineStr">
        <is>
          <t>매매</t>
        </is>
      </c>
      <c r="F479" s="4" t="n">
        <v>5000000</v>
      </c>
      <c r="G479" s="4" t="n">
        <v>0</v>
      </c>
      <c r="H479" s="4" t="n">
        <v>10798</v>
      </c>
      <c r="I479" s="4" t="n">
        <v>3266</v>
      </c>
      <c r="J479" s="5" t="n">
        <v>1530.9</v>
      </c>
      <c r="K479" s="4" t="n">
        <v>14761</v>
      </c>
      <c r="L479" s="4" t="n">
        <v>4465</v>
      </c>
      <c r="M479" s="5" t="n">
        <v>1119.8</v>
      </c>
      <c r="N479" s="3" t="inlineStr">
        <is>
          <t>5</t>
        </is>
      </c>
      <c r="O479" s="3" t="inlineStr">
        <is>
          <t>-</t>
        </is>
      </c>
      <c r="P479" s="3" t="inlineStr">
        <is>
          <t>전층공조시설완비,바닥 유크리트마감, 신축공장,건기식,제약,화장품 추천</t>
        </is>
      </c>
      <c r="Q479" s="6">
        <f>HYPERLINK("https://fin.land.naver.com/articles/2650525742", "매물Link")</f>
        <v/>
      </c>
      <c r="R479" s="6">
        <f>HYPERLINK("https://map.naver.com/p/search/오송읍 정중리 718", "지도Link")</f>
        <v/>
      </c>
      <c r="S479" s="6">
        <f>HYPERLINK("http://www.eum.go.kr/web/ar/lu/luLandDet.jsp?pnu=4311325032107180000&amp;isNoScr=script&amp;mode=search", "토지이음")</f>
        <v/>
      </c>
      <c r="T479" s="3" t="inlineStr">
        <is>
          <t>(주)미르</t>
        </is>
      </c>
      <c r="U479" s="4" t="n">
        <v>2</v>
      </c>
      <c r="V479" s="5" t="n">
        <v>74.40000000000001</v>
      </c>
      <c r="W479" s="4" t="n">
        <v>10798.4</v>
      </c>
      <c r="X479" s="3" t="inlineStr">
        <is>
          <t>주건축물제1동</t>
        </is>
      </c>
      <c r="Y479" s="7" t="inlineStr">
        <is>
          <t>5층</t>
        </is>
      </c>
      <c r="Z479" s="3" t="inlineStr">
        <is>
          <t>철근콘크리트구조</t>
        </is>
      </c>
      <c r="AA479" s="3" t="inlineStr">
        <is>
          <t>공장</t>
        </is>
      </c>
      <c r="AB479" s="3" t="inlineStr">
        <is>
          <t>26.9m</t>
        </is>
      </c>
      <c r="AC479" s="3" t="inlineStr">
        <is>
          <t>2023-10</t>
        </is>
      </c>
      <c r="AD479" s="3" t="inlineStr">
        <is>
          <t>광대소각</t>
        </is>
      </c>
    </row>
    <row r="480">
      <c r="A480" s="3" t="inlineStr">
        <is>
          <t>오송읍 정중리 718</t>
        </is>
      </c>
      <c r="B480" s="3" t="inlineStr">
        <is>
          <t>일반공업지역</t>
        </is>
      </c>
      <c r="C480" s="3" t="inlineStr">
        <is>
          <t>공장용지</t>
        </is>
      </c>
      <c r="D480" s="3" t="inlineStr">
        <is>
          <t>공장</t>
        </is>
      </c>
      <c r="E480" s="3" t="inlineStr">
        <is>
          <t>월세</t>
        </is>
      </c>
      <c r="F480" s="4" t="n">
        <v>100000</v>
      </c>
      <c r="G480" s="4" t="n">
        <v>10000</v>
      </c>
      <c r="H480" s="4" t="n">
        <v>10798</v>
      </c>
      <c r="I480" s="4" t="n">
        <v>3266</v>
      </c>
      <c r="J480" s="5" t="n">
        <v>3.1</v>
      </c>
      <c r="K480" s="4" t="n">
        <v>15064</v>
      </c>
      <c r="L480" s="4" t="n">
        <v>4557</v>
      </c>
      <c r="M480" s="5" t="n">
        <v>2.2</v>
      </c>
      <c r="N480" s="3" t="inlineStr">
        <is>
          <t>5</t>
        </is>
      </c>
      <c r="O480" s="3" t="inlineStr">
        <is>
          <t>-</t>
        </is>
      </c>
      <c r="P480" s="3" t="inlineStr">
        <is>
          <t>분할 임대 가능,크린룸,폐수처리,위험물저장소,화물엘베 설치된 신축급 공장</t>
        </is>
      </c>
      <c r="Q480" s="6">
        <f>HYPERLINK("https://fin.land.naver.com/articles/2653681274", "매물Link")</f>
        <v/>
      </c>
      <c r="R480" s="6">
        <f>HYPERLINK("https://map.naver.com/p/search/오송읍 정중리 718", "지도Link")</f>
        <v/>
      </c>
      <c r="S480" s="6">
        <f>HYPERLINK("http://www.eum.go.kr/web/ar/lu/luLandDet.jsp?pnu=4311325032107180000&amp;isNoScr=script&amp;mode=search", "토지이음")</f>
        <v/>
      </c>
      <c r="T480" s="3" t="inlineStr">
        <is>
          <t>금화랜드</t>
        </is>
      </c>
      <c r="U480" s="4" t="n">
        <v>2</v>
      </c>
      <c r="V480" s="5" t="n">
        <v>74.40000000000001</v>
      </c>
      <c r="W480" s="4" t="n">
        <v>10798.4</v>
      </c>
      <c r="X480" s="3" t="inlineStr">
        <is>
          <t>주건축물제1동</t>
        </is>
      </c>
      <c r="Y480" s="7" t="inlineStr">
        <is>
          <t>5층</t>
        </is>
      </c>
      <c r="Z480" s="3" t="inlineStr">
        <is>
          <t>철근콘크리트구조</t>
        </is>
      </c>
      <c r="AA480" s="3" t="inlineStr">
        <is>
          <t>공장</t>
        </is>
      </c>
      <c r="AB480" s="3" t="inlineStr">
        <is>
          <t>26.9m</t>
        </is>
      </c>
      <c r="AC480" s="3" t="inlineStr">
        <is>
          <t>2023-10</t>
        </is>
      </c>
      <c r="AD480" s="3" t="inlineStr">
        <is>
          <t>광대소각</t>
        </is>
      </c>
    </row>
    <row r="481">
      <c r="A481" s="3" t="inlineStr">
        <is>
          <t>오송읍 정중리 718</t>
        </is>
      </c>
      <c r="B481" s="3" t="inlineStr">
        <is>
          <t>일반공업지역</t>
        </is>
      </c>
      <c r="C481" s="3" t="inlineStr">
        <is>
          <t>공장용지</t>
        </is>
      </c>
      <c r="D481" s="3" t="inlineStr">
        <is>
          <t>공장</t>
        </is>
      </c>
      <c r="E481" s="3" t="inlineStr">
        <is>
          <t>월세</t>
        </is>
      </c>
      <c r="F481" s="4" t="n">
        <v>35000</v>
      </c>
      <c r="G481" s="4" t="n">
        <v>3500</v>
      </c>
      <c r="H481" s="4" t="n">
        <v>10798</v>
      </c>
      <c r="I481" s="4" t="n">
        <v>3266</v>
      </c>
      <c r="J481" s="5" t="n">
        <v>1.1</v>
      </c>
      <c r="K481" s="4" t="n">
        <v>15064</v>
      </c>
      <c r="L481" s="4" t="n">
        <v>4557</v>
      </c>
      <c r="M481" s="5" t="n">
        <v>0.8</v>
      </c>
      <c r="N481" s="3" t="inlineStr">
        <is>
          <t>5</t>
        </is>
      </c>
      <c r="O481" s="3" t="inlineStr">
        <is>
          <t>-</t>
        </is>
      </c>
      <c r="P481" s="3" t="inlineStr">
        <is>
          <t>크린룸,폐수처리,위험물저장소,전층공조시설,화물엘베 각층3개,신축급 공장</t>
        </is>
      </c>
      <c r="Q481" s="6">
        <f>HYPERLINK("https://fin.land.naver.com/articles/2650398819", "매물Link")</f>
        <v/>
      </c>
      <c r="R481" s="6">
        <f>HYPERLINK("https://map.naver.com/p/search/오송읍 정중리 718", "지도Link")</f>
        <v/>
      </c>
      <c r="S481" s="6">
        <f>HYPERLINK("http://www.eum.go.kr/web/ar/lu/luLandDet.jsp?pnu=4311325032107180000&amp;isNoScr=script&amp;mode=search", "토지이음")</f>
        <v/>
      </c>
      <c r="T481" s="3" t="inlineStr">
        <is>
          <t>금화랜드</t>
        </is>
      </c>
      <c r="U481" s="4" t="n">
        <v>1</v>
      </c>
      <c r="V481" s="5" t="n">
        <v>74.40000000000001</v>
      </c>
      <c r="W481" s="4" t="n">
        <v>10798.4</v>
      </c>
      <c r="X481" s="3" t="inlineStr">
        <is>
          <t>주건축물제1동</t>
        </is>
      </c>
      <c r="Y481" s="7" t="inlineStr">
        <is>
          <t>5층</t>
        </is>
      </c>
      <c r="Z481" s="3" t="inlineStr">
        <is>
          <t>철근콘크리트구조</t>
        </is>
      </c>
      <c r="AA481" s="3" t="inlineStr">
        <is>
          <t>공장</t>
        </is>
      </c>
      <c r="AB481" s="3" t="inlineStr">
        <is>
          <t>26.9m</t>
        </is>
      </c>
      <c r="AC481" s="3" t="inlineStr">
        <is>
          <t>2023-10</t>
        </is>
      </c>
      <c r="AD481" s="3" t="inlineStr">
        <is>
          <t>광대소각</t>
        </is>
      </c>
    </row>
    <row r="482">
      <c r="A482" s="3" t="inlineStr">
        <is>
          <t>오송읍 정중리 797</t>
        </is>
      </c>
      <c r="B482" s="3" t="inlineStr">
        <is>
          <t>일반공업지역</t>
        </is>
      </c>
      <c r="C482" s="3" t="inlineStr">
        <is>
          <t>공장용지</t>
        </is>
      </c>
      <c r="D482" s="3" t="inlineStr">
        <is>
          <t>공장</t>
        </is>
      </c>
      <c r="E482" s="3" t="inlineStr">
        <is>
          <t>매매</t>
        </is>
      </c>
      <c r="F482" s="4" t="n">
        <v>1150000</v>
      </c>
      <c r="G482" s="4" t="n">
        <v>0</v>
      </c>
      <c r="H482" s="4" t="n">
        <v>5000</v>
      </c>
      <c r="I482" s="4" t="n">
        <v>1512</v>
      </c>
      <c r="J482" s="5" t="n">
        <v>760.6</v>
      </c>
      <c r="K482" s="4" t="n">
        <v>9900</v>
      </c>
      <c r="L482" s="4" t="n">
        <v>2995</v>
      </c>
      <c r="M482" s="5" t="n">
        <v>384</v>
      </c>
      <c r="N482" s="3" t="inlineStr">
        <is>
          <t>3</t>
        </is>
      </c>
      <c r="O482" s="3" t="inlineStr">
        <is>
          <t>-</t>
        </is>
      </c>
      <c r="P482" s="3" t="inlineStr">
        <is>
          <t>nan</t>
        </is>
      </c>
      <c r="Q482" s="6">
        <f>HYPERLINK("https://fin.land.naver.com/articles/2652985451", "매물Link")</f>
        <v/>
      </c>
      <c r="R482" s="6">
        <f>HYPERLINK("https://map.naver.com/p/search/오송읍 정중리 797", "지도Link")</f>
        <v/>
      </c>
      <c r="S482" s="6">
        <f>HYPERLINK("http://www.eum.go.kr/web/ar/lu/luLandDet.jsp?pnu=4311325032107970000&amp;isNoScr=script&amp;mode=search", "토지이음")</f>
        <v/>
      </c>
      <c r="T482" s="3" t="inlineStr">
        <is>
          <t>일오팔팔(주)</t>
        </is>
      </c>
      <c r="U482" s="4" t="n">
        <v>3</v>
      </c>
      <c r="V482" s="5" t="n">
        <v>72.90000000000001</v>
      </c>
      <c r="W482" s="4" t="n">
        <v>4999.8</v>
      </c>
      <c r="X482" s="3" t="inlineStr">
        <is>
          <t>주1</t>
        </is>
      </c>
      <c r="Y482" s="7" t="inlineStr">
        <is>
          <t>3층</t>
        </is>
      </c>
      <c r="Z482" s="3" t="inlineStr">
        <is>
          <t>일반철골구조</t>
        </is>
      </c>
      <c r="AA482" s="3" t="inlineStr">
        <is>
          <t>공장</t>
        </is>
      </c>
      <c r="AB482" s="3" t="inlineStr">
        <is>
          <t>16.68m</t>
        </is>
      </c>
      <c r="AC482" s="3" t="inlineStr">
        <is>
          <t>2019-10</t>
        </is>
      </c>
      <c r="AD482" s="3" t="inlineStr">
        <is>
          <t>광대로한면</t>
        </is>
      </c>
    </row>
    <row r="483">
      <c r="A483" s="3" t="inlineStr">
        <is>
          <t>오송읍 정중리 797</t>
        </is>
      </c>
      <c r="B483" s="3" t="inlineStr">
        <is>
          <t>일반공업지역</t>
        </is>
      </c>
      <c r="C483" s="3" t="inlineStr">
        <is>
          <t>공장용지</t>
        </is>
      </c>
      <c r="D483" s="3" t="inlineStr">
        <is>
          <t>공장</t>
        </is>
      </c>
      <c r="E483" s="3" t="inlineStr">
        <is>
          <t>월세</t>
        </is>
      </c>
      <c r="F483" s="4" t="n">
        <v>30000</v>
      </c>
      <c r="G483" s="4" t="n">
        <v>2800</v>
      </c>
      <c r="H483" s="4" t="n">
        <v>4999</v>
      </c>
      <c r="I483" s="4" t="n">
        <v>1512</v>
      </c>
      <c r="J483" s="5" t="n">
        <v>1.9</v>
      </c>
      <c r="K483" s="4" t="n">
        <v>9796</v>
      </c>
      <c r="L483" s="4" t="n">
        <v>2963</v>
      </c>
      <c r="M483" s="5" t="n">
        <v>0.9</v>
      </c>
      <c r="N483" s="3" t="inlineStr">
        <is>
          <t>3</t>
        </is>
      </c>
      <c r="O483" s="3" t="inlineStr">
        <is>
          <t>-</t>
        </is>
      </c>
      <c r="P483" s="3" t="inlineStr">
        <is>
          <t>신축급,전기,화학,화장품,의약품 등 입주가능,각층별 과 전체 임대가능</t>
        </is>
      </c>
      <c r="Q483" s="6">
        <f>HYPERLINK("https://fin.land.naver.com/articles/2650190812", "매물Link")</f>
        <v/>
      </c>
      <c r="R483" s="6">
        <f>HYPERLINK("https://map.naver.com/p/search/오송읍 정중리 797", "지도Link")</f>
        <v/>
      </c>
      <c r="S483" s="6">
        <f>HYPERLINK("http://www.eum.go.kr/web/ar/lu/luLandDet.jsp?pnu=4311325032107970000&amp;isNoScr=script&amp;mode=search", "토지이음")</f>
        <v/>
      </c>
      <c r="T483" s="3" t="inlineStr">
        <is>
          <t>금화랜드</t>
        </is>
      </c>
      <c r="U483" s="4" t="n">
        <v>1</v>
      </c>
      <c r="V483" s="5" t="n">
        <v>72.90000000000001</v>
      </c>
      <c r="W483" s="4" t="n">
        <v>4999.8</v>
      </c>
      <c r="X483" s="3" t="inlineStr">
        <is>
          <t>주1</t>
        </is>
      </c>
      <c r="Y483" s="7" t="inlineStr">
        <is>
          <t>3층</t>
        </is>
      </c>
      <c r="Z483" s="3" t="inlineStr">
        <is>
          <t>일반철골구조</t>
        </is>
      </c>
      <c r="AA483" s="3" t="inlineStr">
        <is>
          <t>공장</t>
        </is>
      </c>
      <c r="AB483" s="3" t="inlineStr">
        <is>
          <t>16.68m</t>
        </is>
      </c>
      <c r="AC483" s="3" t="inlineStr">
        <is>
          <t>2019-10</t>
        </is>
      </c>
      <c r="AD483" s="3" t="inlineStr">
        <is>
          <t>광대로한면</t>
        </is>
      </c>
    </row>
    <row r="484">
      <c r="A484" s="3" t="inlineStr">
        <is>
          <t>오송읍 정중리 797</t>
        </is>
      </c>
      <c r="B484" s="3" t="inlineStr">
        <is>
          <t>일반공업지역</t>
        </is>
      </c>
      <c r="C484" s="3" t="inlineStr">
        <is>
          <t>공장용지</t>
        </is>
      </c>
      <c r="D484" s="3" t="inlineStr">
        <is>
          <t>공장</t>
        </is>
      </c>
      <c r="E484" s="3" t="inlineStr">
        <is>
          <t>매매</t>
        </is>
      </c>
      <c r="F484" s="4" t="n">
        <v>1150000</v>
      </c>
      <c r="G484" s="4" t="n">
        <v>0</v>
      </c>
      <c r="H484" s="4" t="n">
        <v>4999</v>
      </c>
      <c r="I484" s="4" t="n">
        <v>1512</v>
      </c>
      <c r="J484" s="5" t="n">
        <v>760.6</v>
      </c>
      <c r="K484" s="4" t="n">
        <v>9796</v>
      </c>
      <c r="L484" s="4" t="n">
        <v>2963</v>
      </c>
      <c r="M484" s="5" t="n">
        <v>388.1</v>
      </c>
      <c r="N484" s="3" t="inlineStr">
        <is>
          <t>3</t>
        </is>
      </c>
      <c r="O484" s="3" t="inlineStr">
        <is>
          <t>-</t>
        </is>
      </c>
      <c r="P484" s="3" t="inlineStr">
        <is>
          <t>오송2산업단지 4차선도로변 접한 위치의 신축급공장</t>
        </is>
      </c>
      <c r="Q484" s="6">
        <f>HYPERLINK("https://fin.land.naver.com/articles/2649326357", "매물Link")</f>
        <v/>
      </c>
      <c r="R484" s="6">
        <f>HYPERLINK("https://map.naver.com/p/search/오송읍 정중리 797", "지도Link")</f>
        <v/>
      </c>
      <c r="S484" s="6">
        <f>HYPERLINK("http://www.eum.go.kr/web/ar/lu/luLandDet.jsp?pnu=4311325032107970000&amp;isNoScr=script&amp;mode=search", "토지이음")</f>
        <v/>
      </c>
      <c r="T484" s="3" t="inlineStr">
        <is>
          <t>더원</t>
        </is>
      </c>
      <c r="U484" s="4" t="n">
        <v>1</v>
      </c>
      <c r="V484" s="5" t="n">
        <v>72.90000000000001</v>
      </c>
      <c r="W484" s="4" t="n">
        <v>4999.8</v>
      </c>
      <c r="X484" s="3" t="inlineStr">
        <is>
          <t>주1</t>
        </is>
      </c>
      <c r="Y484" s="7" t="inlineStr">
        <is>
          <t>3층</t>
        </is>
      </c>
      <c r="Z484" s="3" t="inlineStr">
        <is>
          <t>일반철골구조</t>
        </is>
      </c>
      <c r="AA484" s="3" t="inlineStr">
        <is>
          <t>공장</t>
        </is>
      </c>
      <c r="AB484" s="3" t="inlineStr">
        <is>
          <t>16.68m</t>
        </is>
      </c>
      <c r="AC484" s="3" t="inlineStr">
        <is>
          <t>2019-10</t>
        </is>
      </c>
      <c r="AD484" s="3" t="inlineStr">
        <is>
          <t>광대로한면</t>
        </is>
      </c>
    </row>
    <row r="485">
      <c r="A485" s="3" t="inlineStr">
        <is>
          <t>오송읍 정중리 797</t>
        </is>
      </c>
      <c r="B485" s="3" t="inlineStr">
        <is>
          <t>일반공업지역</t>
        </is>
      </c>
      <c r="C485" s="3" t="inlineStr">
        <is>
          <t>공장용지</t>
        </is>
      </c>
      <c r="D485" s="3" t="inlineStr">
        <is>
          <t>공장</t>
        </is>
      </c>
      <c r="E485" s="3" t="inlineStr">
        <is>
          <t>월세</t>
        </is>
      </c>
      <c r="F485" s="4" t="n">
        <v>45000</v>
      </c>
      <c r="G485" s="4" t="n">
        <v>4500</v>
      </c>
      <c r="H485" s="4" t="n">
        <v>4999</v>
      </c>
      <c r="I485" s="4" t="n">
        <v>1512</v>
      </c>
      <c r="J485" s="5" t="n">
        <v>3</v>
      </c>
      <c r="K485" s="4" t="n">
        <v>9796</v>
      </c>
      <c r="L485" s="4" t="n">
        <v>2963</v>
      </c>
      <c r="M485" s="5" t="n">
        <v>1.5</v>
      </c>
      <c r="N485" s="3" t="inlineStr">
        <is>
          <t>3</t>
        </is>
      </c>
      <c r="O485" s="3" t="inlineStr">
        <is>
          <t>-</t>
        </is>
      </c>
      <c r="P485" s="3" t="inlineStr">
        <is>
          <t>오송산단에 위치한 도로접한 공장, 사무실 및 공장 임대</t>
        </is>
      </c>
      <c r="Q485" s="6">
        <f>HYPERLINK("https://fin.land.naver.com/articles/2652357578", "매물Link")</f>
        <v/>
      </c>
      <c r="R485" s="6">
        <f>HYPERLINK("https://map.naver.com/p/search/오송읍 정중리 797", "지도Link")</f>
        <v/>
      </c>
      <c r="S485" s="6">
        <f>HYPERLINK("http://www.eum.go.kr/web/ar/lu/luLandDet.jsp?pnu=4311325032107970000&amp;isNoScr=script&amp;mode=search", "토지이음")</f>
        <v/>
      </c>
      <c r="T485" s="3" t="inlineStr">
        <is>
          <t>(주)미르</t>
        </is>
      </c>
      <c r="U485" s="4" t="n">
        <v>1</v>
      </c>
      <c r="V485" s="5" t="n">
        <v>72.90000000000001</v>
      </c>
      <c r="W485" s="4" t="n">
        <v>4999.8</v>
      </c>
      <c r="X485" s="3" t="inlineStr">
        <is>
          <t>주1</t>
        </is>
      </c>
      <c r="Y485" s="7" t="inlineStr">
        <is>
          <t>3층</t>
        </is>
      </c>
      <c r="Z485" s="3" t="inlineStr">
        <is>
          <t>일반철골구조</t>
        </is>
      </c>
      <c r="AA485" s="3" t="inlineStr">
        <is>
          <t>공장</t>
        </is>
      </c>
      <c r="AB485" s="3" t="inlineStr">
        <is>
          <t>16.68m</t>
        </is>
      </c>
      <c r="AC485" s="3" t="inlineStr">
        <is>
          <t>2019-10</t>
        </is>
      </c>
      <c r="AD485" s="3" t="inlineStr">
        <is>
          <t>광대로한면</t>
        </is>
      </c>
    </row>
    <row r="486">
      <c r="A486" s="3" t="inlineStr">
        <is>
          <t>조치원읍 서창리 202-5</t>
        </is>
      </c>
      <c r="B486" s="3" t="inlineStr">
        <is>
          <t>제1종일반주거지역</t>
        </is>
      </c>
      <c r="C486" s="3" t="inlineStr">
        <is>
          <t>대</t>
        </is>
      </c>
      <c r="D486" s="3" t="inlineStr">
        <is>
          <t>창고</t>
        </is>
      </c>
      <c r="E486" s="3" t="inlineStr">
        <is>
          <t>매매</t>
        </is>
      </c>
      <c r="F486" s="4" t="n">
        <v>140000</v>
      </c>
      <c r="G486" s="4" t="n">
        <v>0</v>
      </c>
      <c r="H486" s="4" t="n">
        <v>666</v>
      </c>
      <c r="I486" s="4" t="n">
        <v>201</v>
      </c>
      <c r="J486" s="5" t="n">
        <v>696.5</v>
      </c>
      <c r="K486" s="4" t="n">
        <v>397</v>
      </c>
      <c r="L486" s="4" t="n">
        <v>120</v>
      </c>
      <c r="M486" s="5" t="n">
        <v>1166.7</v>
      </c>
      <c r="N486" s="3" t="inlineStr">
        <is>
          <t>2</t>
        </is>
      </c>
      <c r="O486" s="3" t="inlineStr">
        <is>
          <t>-</t>
        </is>
      </c>
      <c r="P486" s="3" t="inlineStr">
        <is>
          <t>단독사용  2종근생  하수 직관  근생 창고 매매</t>
        </is>
      </c>
      <c r="Q486" s="6">
        <f>HYPERLINK("https://fin.land.naver.com/articles/2651733853", "매물Link")</f>
        <v/>
      </c>
      <c r="R486" s="6">
        <f>HYPERLINK("https://map.naver.com/p/search/조치원읍 서창리 202-5", "지도Link")</f>
        <v/>
      </c>
      <c r="S486" s="6">
        <f>HYPERLINK("http://www.eum.go.kr/web/ar/lu/luLandDet.jsp?pnu=3611025034102020005&amp;isNoScr=script&amp;mode=search", "토지이음")</f>
        <v/>
      </c>
      <c r="T486" s="3" t="inlineStr">
        <is>
          <t>THE행복</t>
        </is>
      </c>
      <c r="U486" s="4" t="n">
        <v>1</v>
      </c>
      <c r="V486" s="5" t="n">
        <v>344.8</v>
      </c>
      <c r="W486" s="4" t="n">
        <v>666</v>
      </c>
      <c r="X486" s="3" t="inlineStr">
        <is>
          <t>주건축물제1동</t>
        </is>
      </c>
      <c r="Y486" s="7" t="inlineStr">
        <is>
          <t>2층</t>
        </is>
      </c>
      <c r="Z486" s="3" t="inlineStr">
        <is>
          <t>일반철골구조</t>
        </is>
      </c>
      <c r="AA486" s="3" t="inlineStr">
        <is>
          <t>제2종근생</t>
        </is>
      </c>
      <c r="AB486" s="3" t="inlineStr">
        <is>
          <t>6.35m</t>
        </is>
      </c>
      <c r="AC486" s="3" t="inlineStr">
        <is>
          <t>2015-11</t>
        </is>
      </c>
      <c r="AD486" s="3" t="inlineStr">
        <is>
          <t>중로한면</t>
        </is>
      </c>
    </row>
    <row r="487">
      <c r="A487" s="3" t="inlineStr">
        <is>
          <t>집현동 1106</t>
        </is>
      </c>
      <c r="B487" s="3" t="inlineStr">
        <is>
          <t>준주거지역</t>
        </is>
      </c>
      <c r="C487" s="3" t="inlineStr">
        <is>
          <t>대</t>
        </is>
      </c>
      <c r="D487" s="3" t="inlineStr">
        <is>
          <t>공장</t>
        </is>
      </c>
      <c r="E487" s="3" t="inlineStr">
        <is>
          <t>월세</t>
        </is>
      </c>
      <c r="F487" s="4" t="n">
        <v>20000</v>
      </c>
      <c r="G487" s="4" t="n">
        <v>1500</v>
      </c>
      <c r="H487" s="4" t="n">
        <v>1915</v>
      </c>
      <c r="I487" s="4" t="n">
        <v>579</v>
      </c>
      <c r="J487" s="5" t="n">
        <v>2.6</v>
      </c>
      <c r="K487" s="4" t="n">
        <v>2130</v>
      </c>
      <c r="L487" s="4" t="n">
        <v>644</v>
      </c>
      <c r="M487" s="5" t="n">
        <v>2.3</v>
      </c>
      <c r="N487" s="3" t="inlineStr">
        <is>
          <t>4</t>
        </is>
      </c>
      <c r="O487" s="3" t="inlineStr">
        <is>
          <t>-</t>
        </is>
      </c>
      <c r="P487" s="3" t="inlineStr">
        <is>
          <t>건물통임대, 공장임대 각 층별 임대가능</t>
        </is>
      </c>
      <c r="Q487" s="6">
        <f>HYPERLINK("https://fin.land.naver.com/articles/2650822447", "매물Link")</f>
        <v/>
      </c>
      <c r="R487" s="6">
        <f>HYPERLINK("https://map.naver.com/p/search/집현동 1106", "지도Link")</f>
        <v/>
      </c>
      <c r="S487" s="6">
        <f>HYPERLINK("http://www.eum.go.kr/web/ar/lu/luLandDet.jsp?pnu=3611011800111060000&amp;isNoScr=script&amp;mode=search", "토지이음")</f>
        <v/>
      </c>
      <c r="T487" s="3" t="inlineStr">
        <is>
          <t>국제</t>
        </is>
      </c>
      <c r="U487" s="4" t="n">
        <v>1</v>
      </c>
      <c r="V487" s="5" t="n">
        <v>232.5</v>
      </c>
      <c r="W487" s="4" t="n">
        <v>1916.1</v>
      </c>
      <c r="X487" s="3" t="inlineStr">
        <is>
          <t>주 1동</t>
        </is>
      </c>
      <c r="Y487" s="7" t="inlineStr">
        <is>
          <t>4층</t>
        </is>
      </c>
      <c r="Z487" s="3" t="inlineStr">
        <is>
          <t>일반철골구조</t>
        </is>
      </c>
      <c r="AA487" s="3" t="inlineStr">
        <is>
          <t>공장</t>
        </is>
      </c>
      <c r="AB487" s="3" t="inlineStr">
        <is>
          <t>17.7m</t>
        </is>
      </c>
      <c r="AC487" s="3" t="inlineStr">
        <is>
          <t>2024-12</t>
        </is>
      </c>
      <c r="AD487" s="3" t="inlineStr">
        <is>
          <t>중로각지</t>
        </is>
      </c>
    </row>
    <row r="488">
      <c r="A488" s="3" t="inlineStr">
        <is>
          <t>집현동 1132</t>
        </is>
      </c>
      <c r="B488" s="3" t="inlineStr">
        <is>
          <t>준주거지역</t>
        </is>
      </c>
      <c r="C488" s="3" t="inlineStr">
        <is>
          <t>대</t>
        </is>
      </c>
      <c r="D488" s="3" t="inlineStr">
        <is>
          <t>기타</t>
        </is>
      </c>
      <c r="E488" s="3" t="inlineStr">
        <is>
          <t>매매</t>
        </is>
      </c>
      <c r="F488" s="4" t="n">
        <v>2070000</v>
      </c>
      <c r="G488" s="4" t="n">
        <v>0</v>
      </c>
      <c r="H488" s="4" t="n">
        <v>2543</v>
      </c>
      <c r="I488" s="4" t="n">
        <v>769</v>
      </c>
      <c r="J488" s="5" t="n">
        <v>2691.8</v>
      </c>
      <c r="K488" s="4" t="n">
        <v>6273</v>
      </c>
      <c r="L488" s="4" t="n">
        <v>1898</v>
      </c>
      <c r="M488" s="5" t="n">
        <v>1090.6</v>
      </c>
      <c r="N488" s="3" t="inlineStr">
        <is>
          <t>7</t>
        </is>
      </c>
      <c r="O488" s="3" t="inlineStr">
        <is>
          <t>B2</t>
        </is>
      </c>
      <c r="P488" s="3" t="inlineStr">
        <is>
          <t>세종 신축 사옥 매매</t>
        </is>
      </c>
      <c r="Q488" s="6">
        <f>HYPERLINK("https://fin.land.naver.com/articles/2650482875", "매물Link")</f>
        <v/>
      </c>
      <c r="R488" s="6">
        <f>HYPERLINK("https://map.naver.com/p/search/집현동 1132", "지도Link")</f>
        <v/>
      </c>
      <c r="S488" s="6">
        <f>HYPERLINK("http://www.eum.go.kr/web/ar/lu/luLandDet.jsp?pnu=3611011800111320000&amp;isNoScr=script&amp;mode=search", "토지이음")</f>
        <v/>
      </c>
      <c r="T488" s="3" t="inlineStr">
        <is>
          <t>공장전문주식회사</t>
        </is>
      </c>
      <c r="U488" s="4" t="n">
        <v>1</v>
      </c>
      <c r="V488" s="5" t="n">
        <v>225.2</v>
      </c>
      <c r="W488" s="4" t="n">
        <v>2542.1</v>
      </c>
      <c r="X488" s="3" t="inlineStr">
        <is>
          <t>대장없음</t>
        </is>
      </c>
      <c r="Y488" s="7" t="inlineStr">
        <is>
          <t>대장없음</t>
        </is>
      </c>
      <c r="Z488" s="3" t="inlineStr">
        <is>
          <t>대장없음</t>
        </is>
      </c>
      <c r="AA488" s="3" t="inlineStr">
        <is>
          <t>대장없음</t>
        </is>
      </c>
      <c r="AB488" s="3" t="inlineStr">
        <is>
          <t>대장없음</t>
        </is>
      </c>
      <c r="AC488" s="3" t="inlineStr">
        <is>
          <t>대장없음</t>
        </is>
      </c>
      <c r="AD488" s="3" t="inlineStr">
        <is>
          <t>중로각지</t>
        </is>
      </c>
    </row>
  </sheetData>
  <autoFilter ref="A1:AD4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86"/>
  <sheetViews>
    <sheetView topLeftCell="A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3" customWidth="1" min="15" max="15"/>
  </cols>
  <sheetData>
    <row r="1">
      <c r="A1" s="2" t="inlineStr">
        <is>
          <t>지번주소</t>
        </is>
      </c>
      <c r="B1" s="2" t="inlineStr">
        <is>
          <t>용도지역명1</t>
        </is>
      </c>
      <c r="C1" s="2" t="inlineStr">
        <is>
          <t>지목</t>
        </is>
      </c>
      <c r="D1" s="2" t="inlineStr">
        <is>
          <t>지상층</t>
        </is>
      </c>
      <c r="E1" s="2" t="inlineStr">
        <is>
          <t>매물상세</t>
        </is>
      </c>
      <c r="F1" s="2" t="inlineStr">
        <is>
          <t>구분</t>
        </is>
      </c>
      <c r="G1" s="2" t="inlineStr">
        <is>
          <t>가격</t>
        </is>
      </c>
      <c r="H1" s="2" t="inlineStr">
        <is>
          <t>월세</t>
        </is>
      </c>
      <c r="I1" s="2" t="inlineStr">
        <is>
          <t>대지면적</t>
        </is>
      </c>
      <c r="J1" s="2" t="inlineStr">
        <is>
          <t>대지평</t>
        </is>
      </c>
      <c r="K1" s="2" t="inlineStr">
        <is>
          <t>평당가</t>
        </is>
      </c>
      <c r="L1" s="2" t="inlineStr">
        <is>
          <t>연면적</t>
        </is>
      </c>
      <c r="M1" s="2" t="inlineStr">
        <is>
          <t>연평</t>
        </is>
      </c>
      <c r="N1" s="2" t="inlineStr">
        <is>
          <t>연평당가</t>
        </is>
      </c>
      <c r="O1" s="2" t="inlineStr">
        <is>
          <t>매물특징</t>
        </is>
      </c>
      <c r="P1" s="2" t="inlineStr">
        <is>
          <t>매물보기</t>
        </is>
      </c>
      <c r="Q1" s="2" t="inlineStr">
        <is>
          <t>지도보기</t>
        </is>
      </c>
      <c r="R1" s="2" t="inlineStr">
        <is>
          <t>토지이용계획</t>
        </is>
      </c>
      <c r="S1" s="2" t="inlineStr">
        <is>
          <t>업소</t>
        </is>
      </c>
      <c r="T1" s="2" t="inlineStr">
        <is>
          <t>중개사</t>
        </is>
      </c>
      <c r="U1" s="2" t="inlineStr">
        <is>
          <t>평공시가</t>
        </is>
      </c>
      <c r="V1" s="2" t="inlineStr">
        <is>
          <t>토지면적</t>
        </is>
      </c>
      <c r="W1" s="2" t="inlineStr">
        <is>
          <t>용도지역명2</t>
        </is>
      </c>
      <c r="X1" s="2" t="inlineStr">
        <is>
          <t>토지이용상황</t>
        </is>
      </c>
      <c r="Y1" s="2" t="inlineStr">
        <is>
          <t>지형높이</t>
        </is>
      </c>
      <c r="Z1" s="2" t="inlineStr">
        <is>
          <t>지형형상</t>
        </is>
      </c>
      <c r="AA1" s="2" t="inlineStr">
        <is>
          <t>도로접면</t>
        </is>
      </c>
    </row>
    <row r="2">
      <c r="A2" s="3" t="inlineStr">
        <is>
          <t>고운동 1006</t>
        </is>
      </c>
      <c r="B2" s="3" t="inlineStr">
        <is>
          <t>제1종전용주거지역</t>
        </is>
      </c>
      <c r="C2" s="3" t="inlineStr">
        <is>
          <t>대</t>
        </is>
      </c>
      <c r="D2" s="3" t="inlineStr">
        <is>
          <t>2</t>
        </is>
      </c>
      <c r="E2" s="3" t="inlineStr">
        <is>
          <t>단독</t>
        </is>
      </c>
      <c r="F2" s="3" t="inlineStr">
        <is>
          <t>매매</t>
        </is>
      </c>
      <c r="G2" s="4" t="n">
        <v>225000</v>
      </c>
      <c r="H2" s="4" t="n">
        <v>0</v>
      </c>
      <c r="I2" s="4" t="n">
        <v>358</v>
      </c>
      <c r="J2" s="4" t="n">
        <v>108</v>
      </c>
      <c r="K2" s="5" t="n">
        <v>2083.3</v>
      </c>
      <c r="L2" s="4" t="n">
        <v>461</v>
      </c>
      <c r="M2" s="4" t="n">
        <v>139</v>
      </c>
      <c r="N2" s="5" t="n">
        <v>1618.7</v>
      </c>
      <c r="O2" s="3" t="inlineStr">
        <is>
          <t>25m 대로접 상가 통매매, 월 임대료 750, 시인성 및 구조 탁월함</t>
        </is>
      </c>
      <c r="P2" s="6">
        <f>HYPERLINK("https://fin.land.naver.com/articles/2654630425", "매물Link")</f>
        <v/>
      </c>
      <c r="Q2" s="6">
        <f>HYPERLINK("https://map.naver.com/p/search/고운동 1006", "지도Link")</f>
        <v/>
      </c>
      <c r="R2" s="6">
        <f>HYPERLINK("http://www.eum.go.kr/web/ar/lu/luLandDet.jsp?pnu=3611011200110060000&amp;isNoScr=script&amp;mode=search", "토지이음")</f>
        <v/>
      </c>
      <c r="S2" s="3" t="inlineStr">
        <is>
          <t>오송3산단  사무소</t>
        </is>
      </c>
      <c r="T2" s="4" t="n">
        <v>1</v>
      </c>
      <c r="U2" s="5" t="n">
        <v>773.2</v>
      </c>
      <c r="V2" s="4" t="n">
        <v>358.6</v>
      </c>
      <c r="W2" s="3" t="inlineStr">
        <is>
          <t>지정되지않음</t>
        </is>
      </c>
      <c r="X2" s="3" t="inlineStr">
        <is>
          <t>상업용</t>
        </is>
      </c>
      <c r="Y2" s="3" t="inlineStr">
        <is>
          <t>평지</t>
        </is>
      </c>
      <c r="Z2" s="3" t="inlineStr">
        <is>
          <t>정방형</t>
        </is>
      </c>
      <c r="AA2" s="3" t="inlineStr">
        <is>
          <t>중로한면</t>
        </is>
      </c>
    </row>
    <row r="3">
      <c r="A3" s="3" t="inlineStr">
        <is>
          <t>고운동 1106</t>
        </is>
      </c>
      <c r="B3" s="3" t="inlineStr">
        <is>
          <t>제1종전용주거지역</t>
        </is>
      </c>
      <c r="C3" s="3" t="inlineStr">
        <is>
          <t>대</t>
        </is>
      </c>
      <c r="D3" s="3" t="inlineStr">
        <is>
          <t>2</t>
        </is>
      </c>
      <c r="E3" s="3" t="inlineStr">
        <is>
          <t>단독</t>
        </is>
      </c>
      <c r="F3" s="3" t="inlineStr">
        <is>
          <t>매매</t>
        </is>
      </c>
      <c r="G3" s="4" t="n">
        <v>125000</v>
      </c>
      <c r="H3" s="4" t="n">
        <v>0</v>
      </c>
      <c r="I3" s="4" t="n">
        <v>364</v>
      </c>
      <c r="J3" s="4" t="n">
        <v>110</v>
      </c>
      <c r="K3" s="5" t="n">
        <v>1136.4</v>
      </c>
      <c r="L3" s="4" t="n">
        <v>147</v>
      </c>
      <c r="M3" s="4" t="n">
        <v>44</v>
      </c>
      <c r="N3" s="5" t="n">
        <v>2840.9</v>
      </c>
      <c r="O3" s="3" t="inlineStr">
        <is>
          <t>즉시 입주 잘 지었습니다  건축주께서 집중해서 건축했어요 시스템에어컨6대</t>
        </is>
      </c>
      <c r="P3" s="6">
        <f>HYPERLINK("https://fin.land.naver.com/articles/2654419550", "매물Link")</f>
        <v/>
      </c>
      <c r="Q3" s="6">
        <f>HYPERLINK("https://map.naver.com/p/search/고운동 1106", "지도Link")</f>
        <v/>
      </c>
      <c r="R3" s="6">
        <f>HYPERLINK("http://www.eum.go.kr/web/ar/lu/luLandDet.jsp?pnu=3611011200111060000&amp;isNoScr=script&amp;mode=search", "토지이음")</f>
        <v/>
      </c>
      <c r="S3" s="3" t="inlineStr">
        <is>
          <t>세종시삼성래미안</t>
        </is>
      </c>
      <c r="T3" s="4" t="n">
        <v>1</v>
      </c>
      <c r="U3" s="5" t="n">
        <v>346.4</v>
      </c>
      <c r="V3" s="4" t="n">
        <v>364.9</v>
      </c>
      <c r="W3" s="3" t="inlineStr">
        <is>
          <t>지정되지않음</t>
        </is>
      </c>
      <c r="X3" s="3" t="inlineStr">
        <is>
          <t>단독</t>
        </is>
      </c>
      <c r="Y3" s="3" t="inlineStr">
        <is>
          <t>평지</t>
        </is>
      </c>
      <c r="Z3" s="3" t="inlineStr">
        <is>
          <t>정방형</t>
        </is>
      </c>
      <c r="AA3" s="3" t="inlineStr">
        <is>
          <t>중로각지</t>
        </is>
      </c>
    </row>
    <row r="4">
      <c r="A4" s="3" t="inlineStr">
        <is>
          <t>고운동 1116</t>
        </is>
      </c>
      <c r="B4" s="3" t="inlineStr">
        <is>
          <t>제1종전용주거지역</t>
        </is>
      </c>
      <c r="C4" s="3" t="inlineStr">
        <is>
          <t>대</t>
        </is>
      </c>
      <c r="D4" s="3" t="inlineStr">
        <is>
          <t>2</t>
        </is>
      </c>
      <c r="E4" s="3" t="inlineStr">
        <is>
          <t>단독</t>
        </is>
      </c>
      <c r="F4" s="3" t="inlineStr">
        <is>
          <t>매매</t>
        </is>
      </c>
      <c r="G4" s="4" t="n">
        <v>109000</v>
      </c>
      <c r="H4" s="4" t="n">
        <v>0</v>
      </c>
      <c r="I4" s="4" t="n">
        <v>353</v>
      </c>
      <c r="J4" s="4" t="n">
        <v>107</v>
      </c>
      <c r="K4" s="5" t="n">
        <v>1018.7</v>
      </c>
      <c r="L4" s="4" t="n">
        <v>248</v>
      </c>
      <c r="M4" s="4" t="n">
        <v>75</v>
      </c>
      <c r="N4" s="5" t="n">
        <v>1453.3</v>
      </c>
      <c r="O4" s="3" t="inlineStr">
        <is>
          <t>단독주택 급매, 두루고 인근, 사유지 사용가능, 태양광</t>
        </is>
      </c>
      <c r="P4" s="6">
        <f>HYPERLINK("https://fin.land.naver.com/articles/2654050110", "매물Link")</f>
        <v/>
      </c>
      <c r="Q4" s="6">
        <f>HYPERLINK("https://map.naver.com/p/search/고운동 1116", "지도Link")</f>
        <v/>
      </c>
      <c r="R4" s="6">
        <f>HYPERLINK("http://www.eum.go.kr/web/ar/lu/luLandDet.jsp?pnu=3611011200111160000&amp;isNoScr=script&amp;mode=search", "토지이음")</f>
        <v/>
      </c>
      <c r="S4" s="3" t="inlineStr">
        <is>
          <t>세종무지개</t>
        </is>
      </c>
      <c r="T4" s="4" t="n">
        <v>1</v>
      </c>
      <c r="U4" s="5" t="n">
        <v>308</v>
      </c>
      <c r="V4" s="4" t="n">
        <v>353</v>
      </c>
      <c r="W4" s="3" t="inlineStr">
        <is>
          <t>지정되지않음</t>
        </is>
      </c>
      <c r="X4" s="3" t="inlineStr">
        <is>
          <t>단독</t>
        </is>
      </c>
      <c r="Y4" s="3" t="inlineStr">
        <is>
          <t>평지</t>
        </is>
      </c>
      <c r="Z4" s="3" t="inlineStr">
        <is>
          <t>세로장방</t>
        </is>
      </c>
      <c r="AA4" s="3" t="inlineStr">
        <is>
          <t>소로한면</t>
        </is>
      </c>
    </row>
    <row r="5">
      <c r="A5" s="3" t="inlineStr">
        <is>
          <t>고운동 1116</t>
        </is>
      </c>
      <c r="B5" s="3" t="inlineStr">
        <is>
          <t>제1종전용주거지역</t>
        </is>
      </c>
      <c r="C5" s="3" t="inlineStr">
        <is>
          <t>대</t>
        </is>
      </c>
      <c r="D5" s="3" t="inlineStr">
        <is>
          <t>2</t>
        </is>
      </c>
      <c r="E5" s="3" t="inlineStr">
        <is>
          <t>단독</t>
        </is>
      </c>
      <c r="F5" s="3" t="inlineStr">
        <is>
          <t>매매</t>
        </is>
      </c>
      <c r="G5" s="4" t="n">
        <v>109000</v>
      </c>
      <c r="H5" s="4" t="n">
        <v>0</v>
      </c>
      <c r="I5" s="4" t="n">
        <v>353</v>
      </c>
      <c r="J5" s="4" t="n">
        <v>107</v>
      </c>
      <c r="K5" s="5" t="n">
        <v>1018.7</v>
      </c>
      <c r="L5" s="4" t="n">
        <v>248</v>
      </c>
      <c r="M5" s="4" t="n">
        <v>75</v>
      </c>
      <c r="N5" s="5" t="n">
        <v>1453.3</v>
      </c>
      <c r="O5" s="3" t="inlineStr">
        <is>
          <t>고운동위치좋은단독주택매매 집상태최상 방6개 마당이넓어좋은집</t>
        </is>
      </c>
      <c r="P5" s="6">
        <f>HYPERLINK("https://fin.land.naver.com/articles/2654258299", "매물Link")</f>
        <v/>
      </c>
      <c r="Q5" s="6">
        <f>HYPERLINK("https://map.naver.com/p/search/고운동 1116", "지도Link")</f>
        <v/>
      </c>
      <c r="R5" s="6">
        <f>HYPERLINK("http://www.eum.go.kr/web/ar/lu/luLandDet.jsp?pnu=3611011200111160000&amp;isNoScr=script&amp;mode=search", "토지이음")</f>
        <v/>
      </c>
      <c r="S5" s="3" t="inlineStr">
        <is>
          <t>새롬스마트</t>
        </is>
      </c>
      <c r="T5" s="4" t="n">
        <v>4</v>
      </c>
      <c r="U5" s="5" t="n">
        <v>308</v>
      </c>
      <c r="V5" s="4" t="n">
        <v>353</v>
      </c>
      <c r="W5" s="3" t="inlineStr">
        <is>
          <t>지정되지않음</t>
        </is>
      </c>
      <c r="X5" s="3" t="inlineStr">
        <is>
          <t>단독</t>
        </is>
      </c>
      <c r="Y5" s="3" t="inlineStr">
        <is>
          <t>평지</t>
        </is>
      </c>
      <c r="Z5" s="3" t="inlineStr">
        <is>
          <t>세로장방</t>
        </is>
      </c>
      <c r="AA5" s="3" t="inlineStr">
        <is>
          <t>소로한면</t>
        </is>
      </c>
    </row>
    <row r="6">
      <c r="A6" s="3" t="inlineStr">
        <is>
          <t>고운동 1194</t>
        </is>
      </c>
      <c r="B6" s="3" t="inlineStr">
        <is>
          <t>제1종전용주거지역</t>
        </is>
      </c>
      <c r="C6" s="3" t="inlineStr">
        <is>
          <t>대</t>
        </is>
      </c>
      <c r="D6" s="3" t="inlineStr">
        <is>
          <t>2</t>
        </is>
      </c>
      <c r="E6" s="3" t="inlineStr">
        <is>
          <t>단독</t>
        </is>
      </c>
      <c r="F6" s="3" t="inlineStr">
        <is>
          <t>매매</t>
        </is>
      </c>
      <c r="G6" s="4" t="n">
        <v>100000</v>
      </c>
      <c r="H6" s="4" t="n">
        <v>0</v>
      </c>
      <c r="I6" s="4" t="n">
        <v>333</v>
      </c>
      <c r="J6" s="4" t="n">
        <v>101</v>
      </c>
      <c r="K6" s="5" t="n">
        <v>990.1</v>
      </c>
      <c r="L6" s="4" t="n">
        <v>237</v>
      </c>
      <c r="M6" s="4" t="n">
        <v>72</v>
      </c>
      <c r="N6" s="5" t="n">
        <v>1388.9</v>
      </c>
      <c r="O6" s="3" t="inlineStr">
        <is>
          <t>급매 실개천주택 방2개 욕실3개 태양광 철콘</t>
        </is>
      </c>
      <c r="P6" s="6">
        <f>HYPERLINK("https://fin.land.naver.com/articles/2652418913", "매물Link")</f>
        <v/>
      </c>
      <c r="Q6" s="6">
        <f>HYPERLINK("https://map.naver.com/p/search/고운동 1194", "지도Link")</f>
        <v/>
      </c>
      <c r="R6" s="6">
        <f>HYPERLINK("http://www.eum.go.kr/web/ar/lu/luLandDet.jsp?pnu=3611011200111940000&amp;isNoScr=script&amp;mode=search", "토지이음")</f>
        <v/>
      </c>
      <c r="S6" s="3" t="inlineStr">
        <is>
          <t>세종스타</t>
        </is>
      </c>
      <c r="T6" s="4" t="n">
        <v>4</v>
      </c>
      <c r="U6" s="5" t="n">
        <v>330.5</v>
      </c>
      <c r="V6" s="4" t="n">
        <v>333.1</v>
      </c>
      <c r="W6" s="3" t="inlineStr">
        <is>
          <t>지정되지않음</t>
        </is>
      </c>
      <c r="X6" s="3" t="inlineStr">
        <is>
          <t>단독</t>
        </is>
      </c>
      <c r="Y6" s="3" t="inlineStr">
        <is>
          <t>평지</t>
        </is>
      </c>
      <c r="Z6" s="3" t="inlineStr">
        <is>
          <t>정방형</t>
        </is>
      </c>
      <c r="AA6" s="3" t="inlineStr">
        <is>
          <t>중로한면</t>
        </is>
      </c>
    </row>
    <row r="7">
      <c r="A7" s="3" t="inlineStr">
        <is>
          <t>고운동 1201</t>
        </is>
      </c>
      <c r="B7" s="3" t="inlineStr">
        <is>
          <t>제1종전용주거지역</t>
        </is>
      </c>
      <c r="C7" s="3" t="inlineStr">
        <is>
          <t>대</t>
        </is>
      </c>
      <c r="D7" s="3" t="inlineStr">
        <is>
          <t>2</t>
        </is>
      </c>
      <c r="E7" s="3" t="inlineStr">
        <is>
          <t>단독</t>
        </is>
      </c>
      <c r="F7" s="3" t="inlineStr">
        <is>
          <t>매매</t>
        </is>
      </c>
      <c r="G7" s="4" t="n">
        <v>150000</v>
      </c>
      <c r="H7" s="4" t="n">
        <v>0</v>
      </c>
      <c r="I7" s="4" t="n">
        <v>335</v>
      </c>
      <c r="J7" s="4" t="n">
        <v>101</v>
      </c>
      <c r="K7" s="5" t="n">
        <v>1485.1</v>
      </c>
      <c r="L7" s="4" t="n">
        <v>246</v>
      </c>
      <c r="M7" s="4" t="n">
        <v>74</v>
      </c>
      <c r="N7" s="5" t="n">
        <v>2027</v>
      </c>
      <c r="O7" s="3" t="inlineStr">
        <is>
          <t>중정이 예쁜 대형 단독주택 매매, 태양광</t>
        </is>
      </c>
      <c r="P7" s="6">
        <f>HYPERLINK("https://fin.land.naver.com/articles/2653681568", "매물Link")</f>
        <v/>
      </c>
      <c r="Q7" s="6">
        <f>HYPERLINK("https://map.naver.com/p/search/고운동 1201", "지도Link")</f>
        <v/>
      </c>
      <c r="R7" s="6">
        <f>HYPERLINK("http://www.eum.go.kr/web/ar/lu/luLandDet.jsp?pnu=3611011200112010000&amp;isNoScr=script&amp;mode=search", "토지이음")</f>
        <v/>
      </c>
      <c r="S7" s="3" t="inlineStr">
        <is>
          <t>명진</t>
        </is>
      </c>
      <c r="T7" s="4" t="n">
        <v>1</v>
      </c>
      <c r="U7" s="5" t="n">
        <v>308</v>
      </c>
      <c r="V7" s="4" t="n">
        <v>335</v>
      </c>
      <c r="W7" s="3" t="inlineStr">
        <is>
          <t>지정되지않음</t>
        </is>
      </c>
      <c r="X7" s="3" t="inlineStr">
        <is>
          <t>단독</t>
        </is>
      </c>
      <c r="Y7" s="3" t="inlineStr">
        <is>
          <t>평지</t>
        </is>
      </c>
      <c r="Z7" s="3" t="inlineStr">
        <is>
          <t>정방형</t>
        </is>
      </c>
      <c r="AA7" s="3" t="inlineStr">
        <is>
          <t>소로한면</t>
        </is>
      </c>
    </row>
    <row r="8">
      <c r="A8" s="3" t="inlineStr">
        <is>
          <t>고운동 1231</t>
        </is>
      </c>
      <c r="B8" s="3" t="inlineStr">
        <is>
          <t>제1종전용주거지역</t>
        </is>
      </c>
      <c r="C8" s="3" t="inlineStr">
        <is>
          <t>대</t>
        </is>
      </c>
      <c r="D8" s="3" t="inlineStr">
        <is>
          <t>2</t>
        </is>
      </c>
      <c r="E8" s="3" t="inlineStr">
        <is>
          <t>단독</t>
        </is>
      </c>
      <c r="F8" s="3" t="inlineStr">
        <is>
          <t>매매</t>
        </is>
      </c>
      <c r="G8" s="4" t="n">
        <v>130000</v>
      </c>
      <c r="H8" s="4" t="n">
        <v>0</v>
      </c>
      <c r="I8" s="4" t="n">
        <v>338</v>
      </c>
      <c r="J8" s="4" t="n">
        <v>102</v>
      </c>
      <c r="K8" s="5" t="n">
        <v>1274.5</v>
      </c>
      <c r="L8" s="4" t="n">
        <v>147</v>
      </c>
      <c r="M8" s="4" t="n">
        <v>44</v>
      </c>
      <c r="N8" s="5" t="n">
        <v>2954.5</v>
      </c>
      <c r="O8" s="3" t="inlineStr">
        <is>
          <t>입지 좋은 단독주택 매매, 협의입주가능</t>
        </is>
      </c>
      <c r="P8" s="6">
        <f>HYPERLINK("https://fin.land.naver.com/articles/2654049487", "매물Link")</f>
        <v/>
      </c>
      <c r="Q8" s="6">
        <f>HYPERLINK("https://map.naver.com/p/search/고운동 1231", "지도Link")</f>
        <v/>
      </c>
      <c r="R8" s="6">
        <f>HYPERLINK("http://www.eum.go.kr/web/ar/lu/luLandDet.jsp?pnu=3611011200112310000&amp;isNoScr=script&amp;mode=search", "토지이음")</f>
        <v/>
      </c>
      <c r="S8" s="3" t="inlineStr">
        <is>
          <t>세종무지개</t>
        </is>
      </c>
      <c r="T8" s="4" t="n">
        <v>1</v>
      </c>
      <c r="U8" s="5" t="n">
        <v>308</v>
      </c>
      <c r="V8" s="4" t="n">
        <v>338</v>
      </c>
      <c r="W8" s="3" t="inlineStr">
        <is>
          <t>지정되지않음</t>
        </is>
      </c>
      <c r="X8" s="3" t="inlineStr">
        <is>
          <t>단독</t>
        </is>
      </c>
      <c r="Y8" s="3" t="inlineStr">
        <is>
          <t>평지</t>
        </is>
      </c>
      <c r="Z8" s="3" t="inlineStr">
        <is>
          <t>세로장방</t>
        </is>
      </c>
      <c r="AA8" s="3" t="inlineStr">
        <is>
          <t>소로한면</t>
        </is>
      </c>
    </row>
    <row r="9">
      <c r="A9" s="3" t="inlineStr">
        <is>
          <t>고운동 1231</t>
        </is>
      </c>
      <c r="B9" s="3" t="inlineStr">
        <is>
          <t>제1종전용주거지역</t>
        </is>
      </c>
      <c r="C9" s="3" t="inlineStr">
        <is>
          <t>대</t>
        </is>
      </c>
      <c r="D9" s="3" t="inlineStr">
        <is>
          <t>2</t>
        </is>
      </c>
      <c r="E9" s="3" t="inlineStr">
        <is>
          <t>단독</t>
        </is>
      </c>
      <c r="F9" s="3" t="inlineStr">
        <is>
          <t>매매</t>
        </is>
      </c>
      <c r="G9" s="4" t="n">
        <v>130000</v>
      </c>
      <c r="H9" s="4" t="n">
        <v>0</v>
      </c>
      <c r="I9" s="4" t="n">
        <v>338</v>
      </c>
      <c r="J9" s="4" t="n">
        <v>102</v>
      </c>
      <c r="K9" s="5" t="n">
        <v>1274.5</v>
      </c>
      <c r="L9" s="4" t="n">
        <v>147</v>
      </c>
      <c r="M9" s="4" t="n">
        <v>44</v>
      </c>
      <c r="N9" s="5" t="n">
        <v>2954.5</v>
      </c>
      <c r="O9" s="3" t="inlineStr">
        <is>
          <t>방4개, 욕실3개, 모던하고 깔끔한 인테리어, 입지 좋은 단독주택</t>
        </is>
      </c>
      <c r="P9" s="6">
        <f>HYPERLINK("https://fin.land.naver.com/articles/2654225418", "매물Link")</f>
        <v/>
      </c>
      <c r="Q9" s="6">
        <f>HYPERLINK("https://map.naver.com/p/search/고운동 1231", "지도Link")</f>
        <v/>
      </c>
      <c r="R9" s="6">
        <f>HYPERLINK("http://www.eum.go.kr/web/ar/lu/luLandDet.jsp?pnu=3611011200112310000&amp;isNoScr=script&amp;mode=search", "토지이음")</f>
        <v/>
      </c>
      <c r="S9" s="3" t="inlineStr">
        <is>
          <t>명진</t>
        </is>
      </c>
      <c r="T9" s="4" t="n">
        <v>1</v>
      </c>
      <c r="U9" s="5" t="n">
        <v>308</v>
      </c>
      <c r="V9" s="4" t="n">
        <v>338</v>
      </c>
      <c r="W9" s="3" t="inlineStr">
        <is>
          <t>지정되지않음</t>
        </is>
      </c>
      <c r="X9" s="3" t="inlineStr">
        <is>
          <t>단독</t>
        </is>
      </c>
      <c r="Y9" s="3" t="inlineStr">
        <is>
          <t>평지</t>
        </is>
      </c>
      <c r="Z9" s="3" t="inlineStr">
        <is>
          <t>세로장방</t>
        </is>
      </c>
      <c r="AA9" s="3" t="inlineStr">
        <is>
          <t>소로한면</t>
        </is>
      </c>
    </row>
    <row r="10">
      <c r="A10" s="3" t="inlineStr">
        <is>
          <t>고운동 1232</t>
        </is>
      </c>
      <c r="B10" s="3" t="inlineStr">
        <is>
          <t>제1종전용주거지역</t>
        </is>
      </c>
      <c r="C10" s="3" t="inlineStr">
        <is>
          <t>대</t>
        </is>
      </c>
      <c r="D10" s="3" t="inlineStr">
        <is>
          <t>2</t>
        </is>
      </c>
      <c r="E10" s="3" t="inlineStr">
        <is>
          <t>단독</t>
        </is>
      </c>
      <c r="F10" s="3" t="inlineStr">
        <is>
          <t>매매</t>
        </is>
      </c>
      <c r="G10" s="4" t="n">
        <v>105000</v>
      </c>
      <c r="H10" s="4" t="n">
        <v>0</v>
      </c>
      <c r="I10" s="4" t="n">
        <v>336</v>
      </c>
      <c r="J10" s="4" t="n">
        <v>102</v>
      </c>
      <c r="K10" s="5" t="n">
        <v>1029.4</v>
      </c>
      <c r="L10" s="4" t="n">
        <v>121</v>
      </c>
      <c r="M10" s="4" t="n">
        <v>37</v>
      </c>
      <c r="N10" s="5" t="n">
        <v>2837.8</v>
      </c>
      <c r="O10" s="3" t="inlineStr">
        <is>
          <t>신축 단독주택, 화이트톤 깔끔, 올에어컨, 친환경 ACL주택</t>
        </is>
      </c>
      <c r="P10" s="6">
        <f>HYPERLINK("https://fin.land.naver.com/articles/2653689527", "매물Link")</f>
        <v/>
      </c>
      <c r="Q10" s="6">
        <f>HYPERLINK("https://map.naver.com/p/search/고운동 1232", "지도Link")</f>
        <v/>
      </c>
      <c r="R10" s="6">
        <f>HYPERLINK("http://www.eum.go.kr/web/ar/lu/luLandDet.jsp?pnu=3611011200112320000&amp;isNoScr=script&amp;mode=search", "토지이음")</f>
        <v/>
      </c>
      <c r="S10" s="3" t="inlineStr">
        <is>
          <t>명진</t>
        </is>
      </c>
      <c r="T10" s="4" t="n">
        <v>1</v>
      </c>
      <c r="U10" s="5" t="n">
        <v>308</v>
      </c>
      <c r="V10" s="4" t="n">
        <v>336.9</v>
      </c>
      <c r="W10" s="3" t="inlineStr">
        <is>
          <t>지정되지않음</t>
        </is>
      </c>
      <c r="X10" s="3" t="inlineStr">
        <is>
          <t>단독</t>
        </is>
      </c>
      <c r="Y10" s="3" t="inlineStr">
        <is>
          <t>평지</t>
        </is>
      </c>
      <c r="Z10" s="3" t="inlineStr">
        <is>
          <t>세로장방</t>
        </is>
      </c>
      <c r="AA10" s="3" t="inlineStr">
        <is>
          <t>소로한면</t>
        </is>
      </c>
    </row>
    <row r="11">
      <c r="A11" s="3" t="inlineStr">
        <is>
          <t>고운동 1232</t>
        </is>
      </c>
      <c r="B11" s="3" t="inlineStr">
        <is>
          <t>제1종전용주거지역</t>
        </is>
      </c>
      <c r="C11" s="3" t="inlineStr">
        <is>
          <t>대</t>
        </is>
      </c>
      <c r="D11" s="3" t="inlineStr">
        <is>
          <t>2</t>
        </is>
      </c>
      <c r="E11" s="3" t="inlineStr">
        <is>
          <t>단독</t>
        </is>
      </c>
      <c r="F11" s="3" t="inlineStr">
        <is>
          <t>매매</t>
        </is>
      </c>
      <c r="G11" s="4" t="n">
        <v>105000</v>
      </c>
      <c r="H11" s="4" t="n">
        <v>0</v>
      </c>
      <c r="I11" s="4" t="n">
        <v>336</v>
      </c>
      <c r="J11" s="4" t="n">
        <v>102</v>
      </c>
      <c r="K11" s="5" t="n">
        <v>1029.4</v>
      </c>
      <c r="L11" s="4" t="n">
        <v>121</v>
      </c>
      <c r="M11" s="4" t="n">
        <v>37</v>
      </c>
      <c r="N11" s="5" t="n">
        <v>2837.8</v>
      </c>
      <c r="O11" s="3" t="inlineStr">
        <is>
          <t>관리잘된 주택, ACL 주택, 마당과 넓은 테라스, 관리비 적음</t>
        </is>
      </c>
      <c r="P11" s="6">
        <f>HYPERLINK("https://fin.land.naver.com/articles/2651773887", "매물Link")</f>
        <v/>
      </c>
      <c r="Q11" s="6">
        <f>HYPERLINK("https://map.naver.com/p/search/고운동 1232", "지도Link")</f>
        <v/>
      </c>
      <c r="R11" s="6">
        <f>HYPERLINK("http://www.eum.go.kr/web/ar/lu/luLandDet.jsp?pnu=3611011200112320000&amp;isNoScr=script&amp;mode=search", "토지이음")</f>
        <v/>
      </c>
      <c r="S11" s="3" t="inlineStr">
        <is>
          <t>세종무지개</t>
        </is>
      </c>
      <c r="T11" s="4" t="n">
        <v>1</v>
      </c>
      <c r="U11" s="5" t="n">
        <v>308</v>
      </c>
      <c r="V11" s="4" t="n">
        <v>336.9</v>
      </c>
      <c r="W11" s="3" t="inlineStr">
        <is>
          <t>지정되지않음</t>
        </is>
      </c>
      <c r="X11" s="3" t="inlineStr">
        <is>
          <t>단독</t>
        </is>
      </c>
      <c r="Y11" s="3" t="inlineStr">
        <is>
          <t>평지</t>
        </is>
      </c>
      <c r="Z11" s="3" t="inlineStr">
        <is>
          <t>세로장방</t>
        </is>
      </c>
      <c r="AA11" s="3" t="inlineStr">
        <is>
          <t>소로한면</t>
        </is>
      </c>
    </row>
    <row r="12">
      <c r="A12" s="3" t="inlineStr">
        <is>
          <t>고운동 1232</t>
        </is>
      </c>
      <c r="B12" s="3" t="inlineStr">
        <is>
          <t>제1종전용주거지역</t>
        </is>
      </c>
      <c r="C12" s="3" t="inlineStr">
        <is>
          <t>대</t>
        </is>
      </c>
      <c r="D12" s="3" t="inlineStr">
        <is>
          <t>2</t>
        </is>
      </c>
      <c r="E12" s="3" t="inlineStr">
        <is>
          <t>단독</t>
        </is>
      </c>
      <c r="F12" s="3" t="inlineStr">
        <is>
          <t>매매</t>
        </is>
      </c>
      <c r="G12" s="4" t="n">
        <v>105000</v>
      </c>
      <c r="H12" s="4" t="n">
        <v>0</v>
      </c>
      <c r="I12" s="4" t="n">
        <v>336</v>
      </c>
      <c r="J12" s="4" t="n">
        <v>102</v>
      </c>
      <c r="K12" s="5" t="n">
        <v>1029.4</v>
      </c>
      <c r="L12" s="4" t="n">
        <v>121</v>
      </c>
      <c r="M12" s="4" t="n">
        <v>37</v>
      </c>
      <c r="N12" s="5" t="n">
        <v>2837.8</v>
      </c>
      <c r="O12" s="3" t="inlineStr">
        <is>
          <t>조율가능 실개천인근 신축 ALC블럭 주택</t>
        </is>
      </c>
      <c r="P12" s="6">
        <f>HYPERLINK("https://fin.land.naver.com/articles/2654022072", "매물Link")</f>
        <v/>
      </c>
      <c r="Q12" s="6">
        <f>HYPERLINK("https://map.naver.com/p/search/고운동 1232", "지도Link")</f>
        <v/>
      </c>
      <c r="R12" s="6">
        <f>HYPERLINK("http://www.eum.go.kr/web/ar/lu/luLandDet.jsp?pnu=3611011200112320000&amp;isNoScr=script&amp;mode=search", "토지이음")</f>
        <v/>
      </c>
      <c r="S12" s="3" t="inlineStr">
        <is>
          <t>세종스타</t>
        </is>
      </c>
      <c r="T12" s="4" t="n">
        <v>1</v>
      </c>
      <c r="U12" s="5" t="n">
        <v>308</v>
      </c>
      <c r="V12" s="4" t="n">
        <v>336.9</v>
      </c>
      <c r="W12" s="3" t="inlineStr">
        <is>
          <t>지정되지않음</t>
        </is>
      </c>
      <c r="X12" s="3" t="inlineStr">
        <is>
          <t>단독</t>
        </is>
      </c>
      <c r="Y12" s="3" t="inlineStr">
        <is>
          <t>평지</t>
        </is>
      </c>
      <c r="Z12" s="3" t="inlineStr">
        <is>
          <t>세로장방</t>
        </is>
      </c>
      <c r="AA12" s="3" t="inlineStr">
        <is>
          <t>소로한면</t>
        </is>
      </c>
    </row>
    <row r="13">
      <c r="A13" s="3" t="inlineStr">
        <is>
          <t>고운동 1431</t>
        </is>
      </c>
      <c r="B13" s="3" t="inlineStr">
        <is>
          <t>제1종전용주거지역</t>
        </is>
      </c>
      <c r="C13" s="3" t="inlineStr">
        <is>
          <t>대</t>
        </is>
      </c>
      <c r="D13" s="3" t="inlineStr">
        <is>
          <t>2</t>
        </is>
      </c>
      <c r="E13" s="3" t="inlineStr">
        <is>
          <t>단독</t>
        </is>
      </c>
      <c r="F13" s="3" t="inlineStr">
        <is>
          <t>매매</t>
        </is>
      </c>
      <c r="G13" s="4" t="n">
        <v>135000</v>
      </c>
      <c r="H13" s="4" t="n">
        <v>0</v>
      </c>
      <c r="I13" s="4" t="n">
        <v>341</v>
      </c>
      <c r="J13" s="4" t="n">
        <v>103</v>
      </c>
      <c r="K13" s="5" t="n">
        <v>1310.7</v>
      </c>
      <c r="L13" s="4" t="n">
        <v>213</v>
      </c>
      <c r="M13" s="4" t="n">
        <v>64</v>
      </c>
      <c r="N13" s="5" t="n">
        <v>2109.4</v>
      </c>
      <c r="O13" s="3" t="inlineStr">
        <is>
          <t>급매 조율가능 남향 300p 시유지공원 조망</t>
        </is>
      </c>
      <c r="P13" s="6">
        <f>HYPERLINK("https://fin.land.naver.com/articles/2653184829", "매물Link")</f>
        <v/>
      </c>
      <c r="Q13" s="6">
        <f>HYPERLINK("https://map.naver.com/p/search/고운동 1431", "지도Link")</f>
        <v/>
      </c>
      <c r="R13" s="6">
        <f>HYPERLINK("http://www.eum.go.kr/web/ar/lu/luLandDet.jsp?pnu=3611011200114310000&amp;isNoScr=script&amp;mode=search", "토지이음")</f>
        <v/>
      </c>
      <c r="S13" s="3" t="inlineStr">
        <is>
          <t>세종스타</t>
        </is>
      </c>
      <c r="T13" s="4" t="n">
        <v>4</v>
      </c>
      <c r="U13" s="5" t="n">
        <v>334.9</v>
      </c>
      <c r="V13" s="4" t="n">
        <v>341</v>
      </c>
      <c r="W13" s="3" t="inlineStr">
        <is>
          <t>지정되지않음</t>
        </is>
      </c>
      <c r="X13" s="3" t="inlineStr">
        <is>
          <t>단독</t>
        </is>
      </c>
      <c r="Y13" s="3" t="inlineStr">
        <is>
          <t>평지</t>
        </is>
      </c>
      <c r="Z13" s="3" t="inlineStr">
        <is>
          <t>가로장방</t>
        </is>
      </c>
      <c r="AA13" s="3" t="inlineStr">
        <is>
          <t>소로한면</t>
        </is>
      </c>
    </row>
    <row r="14">
      <c r="A14" s="3" t="inlineStr">
        <is>
          <t>고운동 1451</t>
        </is>
      </c>
      <c r="B14" s="3" t="inlineStr">
        <is>
          <t>제1종전용주거지역</t>
        </is>
      </c>
      <c r="C14" s="3" t="inlineStr">
        <is>
          <t>대</t>
        </is>
      </c>
      <c r="D14" s="3" t="inlineStr">
        <is>
          <t>2</t>
        </is>
      </c>
      <c r="E14" s="3" t="inlineStr">
        <is>
          <t>단독</t>
        </is>
      </c>
      <c r="F14" s="3" t="inlineStr">
        <is>
          <t>매매</t>
        </is>
      </c>
      <c r="G14" s="4" t="n">
        <v>115000</v>
      </c>
      <c r="H14" s="4" t="n">
        <v>0</v>
      </c>
      <c r="I14" s="4" t="n">
        <v>331</v>
      </c>
      <c r="J14" s="4" t="n">
        <v>100</v>
      </c>
      <c r="K14" s="5" t="n">
        <v>1150</v>
      </c>
      <c r="L14" s="4" t="n">
        <v>246</v>
      </c>
      <c r="M14" s="4" t="n">
        <v>74</v>
      </c>
      <c r="N14" s="5" t="n">
        <v>1554.1</v>
      </c>
      <c r="O14" s="3" t="inlineStr">
        <is>
          <t>nan</t>
        </is>
      </c>
      <c r="P14" s="6">
        <f>HYPERLINK("https://fin.land.naver.com/articles/2653675797", "매물Link")</f>
        <v/>
      </c>
      <c r="Q14" s="6">
        <f>HYPERLINK("https://map.naver.com/p/search/고운동 1451", "지도Link")</f>
        <v/>
      </c>
      <c r="R14" s="6">
        <f>HYPERLINK("http://www.eum.go.kr/web/ar/lu/luLandDet.jsp?pnu=3611011200114510000&amp;isNoScr=script&amp;mode=search", "토지이음")</f>
        <v/>
      </c>
      <c r="S14" s="3" t="inlineStr">
        <is>
          <t>세종스타</t>
        </is>
      </c>
      <c r="T14" s="4" t="n">
        <v>1</v>
      </c>
      <c r="U14" s="5" t="n">
        <v>378.2</v>
      </c>
      <c r="V14" s="4" t="n">
        <v>331</v>
      </c>
      <c r="W14" s="3" t="inlineStr">
        <is>
          <t>지정되지않음</t>
        </is>
      </c>
      <c r="X14" s="3" t="inlineStr">
        <is>
          <t>단독</t>
        </is>
      </c>
      <c r="Y14" s="3" t="inlineStr">
        <is>
          <t>평지</t>
        </is>
      </c>
      <c r="Z14" s="3" t="inlineStr">
        <is>
          <t>정방형</t>
        </is>
      </c>
      <c r="AA14" s="3" t="inlineStr">
        <is>
          <t>중로각지</t>
        </is>
      </c>
    </row>
    <row r="15">
      <c r="A15" s="3" t="inlineStr">
        <is>
          <t>고운동 1469</t>
        </is>
      </c>
      <c r="B15" s="3" t="inlineStr">
        <is>
          <t>제1종전용주거지역</t>
        </is>
      </c>
      <c r="C15" s="3" t="inlineStr">
        <is>
          <t>대</t>
        </is>
      </c>
      <c r="D15" s="3" t="inlineStr">
        <is>
          <t>2</t>
        </is>
      </c>
      <c r="E15" s="3" t="inlineStr">
        <is>
          <t>단독</t>
        </is>
      </c>
      <c r="F15" s="3" t="inlineStr">
        <is>
          <t>매매</t>
        </is>
      </c>
      <c r="G15" s="4" t="n">
        <v>145000</v>
      </c>
      <c r="H15" s="4" t="n">
        <v>0</v>
      </c>
      <c r="I15" s="4" t="n">
        <v>341</v>
      </c>
      <c r="J15" s="4" t="n">
        <v>103</v>
      </c>
      <c r="K15" s="5" t="n">
        <v>1407.8</v>
      </c>
      <c r="L15" s="4" t="n">
        <v>249</v>
      </c>
      <c r="M15" s="4" t="n">
        <v>75</v>
      </c>
      <c r="N15" s="5" t="n">
        <v>1933.3</v>
      </c>
      <c r="O15" s="3" t="inlineStr">
        <is>
          <t>주변 초,중,고 학군 유치원 상업시설 인근으로 생활에 편리</t>
        </is>
      </c>
      <c r="P15" s="6">
        <f>HYPERLINK("https://fin.land.naver.com/articles/2653186053", "매물Link")</f>
        <v/>
      </c>
      <c r="Q15" s="6">
        <f>HYPERLINK("https://map.naver.com/p/search/고운동 1469", "지도Link")</f>
        <v/>
      </c>
      <c r="R15" s="6">
        <f>HYPERLINK("http://www.eum.go.kr/web/ar/lu/luLandDet.jsp?pnu=3611011200114690000&amp;isNoScr=script&amp;mode=search", "토지이음")</f>
        <v/>
      </c>
      <c r="S15" s="3" t="inlineStr">
        <is>
          <t>오송파라곤리치</t>
        </is>
      </c>
      <c r="T15" s="4" t="n">
        <v>1</v>
      </c>
      <c r="U15" s="5" t="n">
        <v>334.9</v>
      </c>
      <c r="V15" s="4" t="n">
        <v>341</v>
      </c>
      <c r="W15" s="3" t="inlineStr">
        <is>
          <t>지정되지않음</t>
        </is>
      </c>
      <c r="X15" s="3" t="inlineStr">
        <is>
          <t>단독</t>
        </is>
      </c>
      <c r="Y15" s="3" t="inlineStr">
        <is>
          <t>평지</t>
        </is>
      </c>
      <c r="Z15" s="3" t="inlineStr">
        <is>
          <t>정방형</t>
        </is>
      </c>
      <c r="AA15" s="3" t="inlineStr">
        <is>
          <t>소로한면</t>
        </is>
      </c>
    </row>
    <row r="16">
      <c r="A16" s="3" t="inlineStr">
        <is>
          <t>고운동 1499</t>
        </is>
      </c>
      <c r="B16" s="3" t="inlineStr">
        <is>
          <t>제1종전용주거지역</t>
        </is>
      </c>
      <c r="C16" s="3" t="inlineStr">
        <is>
          <t>대</t>
        </is>
      </c>
      <c r="D16" s="3" t="inlineStr">
        <is>
          <t>2</t>
        </is>
      </c>
      <c r="E16" s="3" t="inlineStr">
        <is>
          <t>단독</t>
        </is>
      </c>
      <c r="F16" s="3" t="inlineStr">
        <is>
          <t>매매</t>
        </is>
      </c>
      <c r="G16" s="4" t="n">
        <v>180000</v>
      </c>
      <c r="H16" s="4" t="n">
        <v>0</v>
      </c>
      <c r="I16" s="4" t="n">
        <v>335</v>
      </c>
      <c r="J16" s="4" t="n">
        <v>101</v>
      </c>
      <c r="K16" s="5" t="n">
        <v>1782.2</v>
      </c>
      <c r="L16" s="4" t="n">
        <v>197</v>
      </c>
      <c r="M16" s="4" t="n">
        <v>60</v>
      </c>
      <c r="N16" s="5" t="n">
        <v>3000</v>
      </c>
      <c r="O16" s="3" t="inlineStr">
        <is>
          <t>연면적 71.2p, 고급 단독주택, 내부 인테리어 굿, 사생활 보호</t>
        </is>
      </c>
      <c r="P16" s="6">
        <f>HYPERLINK("https://fin.land.naver.com/articles/2651351636", "매물Link")</f>
        <v/>
      </c>
      <c r="Q16" s="6">
        <f>HYPERLINK("https://map.naver.com/p/search/고운동 1499", "지도Link")</f>
        <v/>
      </c>
      <c r="R16" s="6">
        <f>HYPERLINK("http://www.eum.go.kr/web/ar/lu/luLandDet.jsp?pnu=3611011200114990000&amp;isNoScr=script&amp;mode=search", "토지이음")</f>
        <v/>
      </c>
      <c r="S16" s="3" t="inlineStr">
        <is>
          <t>명진</t>
        </is>
      </c>
      <c r="T16" s="4" t="n">
        <v>1</v>
      </c>
      <c r="U16" s="5" t="n">
        <v>334.9</v>
      </c>
      <c r="V16" s="4" t="n">
        <v>335</v>
      </c>
      <c r="W16" s="3" t="inlineStr">
        <is>
          <t>지정되지않음</t>
        </is>
      </c>
      <c r="X16" s="3" t="inlineStr">
        <is>
          <t>단독</t>
        </is>
      </c>
      <c r="Y16" s="3" t="inlineStr">
        <is>
          <t>평지</t>
        </is>
      </c>
      <c r="Z16" s="3" t="inlineStr">
        <is>
          <t>가로장방</t>
        </is>
      </c>
      <c r="AA16" s="3" t="inlineStr">
        <is>
          <t>소로한면</t>
        </is>
      </c>
    </row>
    <row r="17">
      <c r="A17" s="3" t="inlineStr">
        <is>
          <t>고운동 1537</t>
        </is>
      </c>
      <c r="B17" s="3" t="inlineStr">
        <is>
          <t>제1종전용주거지역</t>
        </is>
      </c>
      <c r="C17" s="3" t="inlineStr">
        <is>
          <t>대</t>
        </is>
      </c>
      <c r="D17" s="3" t="inlineStr">
        <is>
          <t>2</t>
        </is>
      </c>
      <c r="E17" s="3" t="inlineStr">
        <is>
          <t>단독</t>
        </is>
      </c>
      <c r="F17" s="3" t="inlineStr">
        <is>
          <t>매매</t>
        </is>
      </c>
      <c r="G17" s="4" t="n">
        <v>150000</v>
      </c>
      <c r="H17" s="4" t="n">
        <v>0</v>
      </c>
      <c r="I17" s="4" t="n">
        <v>337</v>
      </c>
      <c r="J17" s="4" t="n">
        <v>102</v>
      </c>
      <c r="K17" s="5" t="n">
        <v>1470.6</v>
      </c>
      <c r="L17" s="4" t="n">
        <v>241</v>
      </c>
      <c r="M17" s="4" t="n">
        <v>73</v>
      </c>
      <c r="N17" s="5" t="n">
        <v>2054.8</v>
      </c>
      <c r="O17" s="3" t="inlineStr">
        <is>
          <t>2층  복층 ,방5,욕실2,화장실4,정원이 넓은 마당,2층  넓은 테라스</t>
        </is>
      </c>
      <c r="P17" s="6">
        <f>HYPERLINK("https://fin.land.naver.com/articles/2650786191", "매물Link")</f>
        <v/>
      </c>
      <c r="Q17" s="6">
        <f>HYPERLINK("https://map.naver.com/p/search/고운동 1537", "지도Link")</f>
        <v/>
      </c>
      <c r="R17" s="6">
        <f>HYPERLINK("http://www.eum.go.kr/web/ar/lu/luLandDet.jsp?pnu=3611011200115370000&amp;isNoScr=script&amp;mode=search", "토지이음")</f>
        <v/>
      </c>
      <c r="S17" s="3" t="inlineStr">
        <is>
          <t>오케이세종</t>
        </is>
      </c>
      <c r="T17" s="4" t="n">
        <v>1</v>
      </c>
      <c r="U17" s="5" t="n">
        <v>322.6</v>
      </c>
      <c r="V17" s="4" t="n">
        <v>337.1</v>
      </c>
      <c r="W17" s="3" t="inlineStr">
        <is>
          <t>지정되지않음</t>
        </is>
      </c>
      <c r="X17" s="3" t="inlineStr">
        <is>
          <t>단독</t>
        </is>
      </c>
      <c r="Y17" s="3" t="inlineStr">
        <is>
          <t>평지</t>
        </is>
      </c>
      <c r="Z17" s="3" t="inlineStr">
        <is>
          <t>정방형</t>
        </is>
      </c>
      <c r="AA17" s="3" t="inlineStr">
        <is>
          <t>중로한면</t>
        </is>
      </c>
    </row>
    <row r="18">
      <c r="A18" s="3" t="inlineStr">
        <is>
          <t>고운동 1537</t>
        </is>
      </c>
      <c r="B18" s="3" t="inlineStr">
        <is>
          <t>제1종전용주거지역</t>
        </is>
      </c>
      <c r="C18" s="3" t="inlineStr">
        <is>
          <t>대</t>
        </is>
      </c>
      <c r="D18" s="3" t="inlineStr">
        <is>
          <t>2</t>
        </is>
      </c>
      <c r="E18" s="3" t="inlineStr">
        <is>
          <t>단독</t>
        </is>
      </c>
      <c r="F18" s="3" t="inlineStr">
        <is>
          <t>매매</t>
        </is>
      </c>
      <c r="G18" s="4" t="n">
        <v>150000</v>
      </c>
      <c r="H18" s="4" t="n">
        <v>0</v>
      </c>
      <c r="I18" s="4" t="n">
        <v>337</v>
      </c>
      <c r="J18" s="4" t="n">
        <v>102</v>
      </c>
      <c r="K18" s="5" t="n">
        <v>1470.6</v>
      </c>
      <c r="L18" s="4" t="n">
        <v>241</v>
      </c>
      <c r="M18" s="4" t="n">
        <v>73</v>
      </c>
      <c r="N18" s="5" t="n">
        <v>2054.8</v>
      </c>
      <c r="O18" s="3" t="inlineStr">
        <is>
          <t>방5개, 욕실4개, 고급 단독주택, 마당넓고 카페같은 썬큰</t>
        </is>
      </c>
      <c r="P18" s="6">
        <f>HYPERLINK("https://fin.land.naver.com/articles/2654231676", "매물Link")</f>
        <v/>
      </c>
      <c r="Q18" s="6">
        <f>HYPERLINK("https://map.naver.com/p/search/고운동 1537", "지도Link")</f>
        <v/>
      </c>
      <c r="R18" s="6">
        <f>HYPERLINK("http://www.eum.go.kr/web/ar/lu/luLandDet.jsp?pnu=3611011200115370000&amp;isNoScr=script&amp;mode=search", "토지이음")</f>
        <v/>
      </c>
      <c r="S18" s="3" t="inlineStr">
        <is>
          <t>명진</t>
        </is>
      </c>
      <c r="T18" s="4" t="n">
        <v>1</v>
      </c>
      <c r="U18" s="5" t="n">
        <v>322.6</v>
      </c>
      <c r="V18" s="4" t="n">
        <v>337.1</v>
      </c>
      <c r="W18" s="3" t="inlineStr">
        <is>
          <t>지정되지않음</t>
        </is>
      </c>
      <c r="X18" s="3" t="inlineStr">
        <is>
          <t>단독</t>
        </is>
      </c>
      <c r="Y18" s="3" t="inlineStr">
        <is>
          <t>평지</t>
        </is>
      </c>
      <c r="Z18" s="3" t="inlineStr">
        <is>
          <t>정방형</t>
        </is>
      </c>
      <c r="AA18" s="3" t="inlineStr">
        <is>
          <t>중로한면</t>
        </is>
      </c>
    </row>
    <row r="19">
      <c r="A19" s="3" t="inlineStr">
        <is>
          <t>고운동 1537</t>
        </is>
      </c>
      <c r="B19" s="3" t="inlineStr">
        <is>
          <t>제1종전용주거지역</t>
        </is>
      </c>
      <c r="C19" s="3" t="inlineStr">
        <is>
          <t>대</t>
        </is>
      </c>
      <c r="D19" s="3" t="inlineStr">
        <is>
          <t>2</t>
        </is>
      </c>
      <c r="E19" s="3" t="inlineStr">
        <is>
          <t>단독</t>
        </is>
      </c>
      <c r="F19" s="3" t="inlineStr">
        <is>
          <t>매매</t>
        </is>
      </c>
      <c r="G19" s="4" t="n">
        <v>150000</v>
      </c>
      <c r="H19" s="4" t="n">
        <v>0</v>
      </c>
      <c r="I19" s="4" t="n">
        <v>337</v>
      </c>
      <c r="J19" s="4" t="n">
        <v>102</v>
      </c>
      <c r="K19" s="5" t="n">
        <v>1470.6</v>
      </c>
      <c r="L19" s="4" t="n">
        <v>241</v>
      </c>
      <c r="M19" s="4" t="n">
        <v>73</v>
      </c>
      <c r="N19" s="5" t="n">
        <v>2054.8</v>
      </c>
      <c r="O19" s="3" t="inlineStr">
        <is>
          <t>마당 넓은 고급 단독주택매매, 방5개, 욕실4개</t>
        </is>
      </c>
      <c r="P19" s="6">
        <f>HYPERLINK("https://fin.land.naver.com/articles/2652841788", "매물Link")</f>
        <v/>
      </c>
      <c r="Q19" s="6">
        <f>HYPERLINK("https://map.naver.com/p/search/고운동 1537", "지도Link")</f>
        <v/>
      </c>
      <c r="R19" s="6">
        <f>HYPERLINK("http://www.eum.go.kr/web/ar/lu/luLandDet.jsp?pnu=3611011200115370000&amp;isNoScr=script&amp;mode=search", "토지이음")</f>
        <v/>
      </c>
      <c r="S19" s="3" t="inlineStr">
        <is>
          <t>세종무지개</t>
        </is>
      </c>
      <c r="T19" s="4" t="n">
        <v>1</v>
      </c>
      <c r="U19" s="5" t="n">
        <v>322.6</v>
      </c>
      <c r="V19" s="4" t="n">
        <v>337.1</v>
      </c>
      <c r="W19" s="3" t="inlineStr">
        <is>
          <t>지정되지않음</t>
        </is>
      </c>
      <c r="X19" s="3" t="inlineStr">
        <is>
          <t>단독</t>
        </is>
      </c>
      <c r="Y19" s="3" t="inlineStr">
        <is>
          <t>평지</t>
        </is>
      </c>
      <c r="Z19" s="3" t="inlineStr">
        <is>
          <t>정방형</t>
        </is>
      </c>
      <c r="AA19" s="3" t="inlineStr">
        <is>
          <t>중로한면</t>
        </is>
      </c>
    </row>
    <row r="20">
      <c r="A20" s="3" t="inlineStr">
        <is>
          <t>고운동 1646</t>
        </is>
      </c>
      <c r="B20" s="3" t="inlineStr">
        <is>
          <t>제1종전용주거지역</t>
        </is>
      </c>
      <c r="C20" s="3" t="inlineStr">
        <is>
          <t>대</t>
        </is>
      </c>
      <c r="D20" s="3" t="inlineStr">
        <is>
          <t>2</t>
        </is>
      </c>
      <c r="E20" s="3" t="inlineStr">
        <is>
          <t>단독</t>
        </is>
      </c>
      <c r="F20" s="3" t="inlineStr">
        <is>
          <t>매매</t>
        </is>
      </c>
      <c r="G20" s="4" t="n">
        <v>165000</v>
      </c>
      <c r="H20" s="4" t="n">
        <v>0</v>
      </c>
      <c r="I20" s="4" t="n">
        <v>374</v>
      </c>
      <c r="J20" s="4" t="n">
        <v>113</v>
      </c>
      <c r="K20" s="5" t="n">
        <v>1460.2</v>
      </c>
      <c r="L20" s="4" t="n">
        <v>182</v>
      </c>
      <c r="M20" s="4" t="n">
        <v>55</v>
      </c>
      <c r="N20" s="5" t="n">
        <v>3000</v>
      </c>
      <c r="O20" s="3" t="inlineStr">
        <is>
          <t>실개천옆 선호위치 초중고 모두 도보가능</t>
        </is>
      </c>
      <c r="P20" s="6">
        <f>HYPERLINK("https://fin.land.naver.com/articles/2653184770", "매물Link")</f>
        <v/>
      </c>
      <c r="Q20" s="6">
        <f>HYPERLINK("https://map.naver.com/p/search/고운동 1646", "지도Link")</f>
        <v/>
      </c>
      <c r="R20" s="6">
        <f>HYPERLINK("http://www.eum.go.kr/web/ar/lu/luLandDet.jsp?pnu=3611011200116460000&amp;isNoScr=script&amp;mode=search", "토지이음")</f>
        <v/>
      </c>
      <c r="S20" s="3" t="inlineStr">
        <is>
          <t>세종스타</t>
        </is>
      </c>
      <c r="T20" s="4" t="n">
        <v>2</v>
      </c>
      <c r="U20" s="5" t="n">
        <v>270.9</v>
      </c>
      <c r="V20" s="4" t="n">
        <v>374.1</v>
      </c>
      <c r="W20" s="3" t="inlineStr">
        <is>
          <t>지정되지않음</t>
        </is>
      </c>
      <c r="X20" s="3" t="inlineStr">
        <is>
          <t>단독</t>
        </is>
      </c>
      <c r="Y20" s="3" t="inlineStr">
        <is>
          <t>평지</t>
        </is>
      </c>
      <c r="Z20" s="3" t="inlineStr">
        <is>
          <t>정방형</t>
        </is>
      </c>
      <c r="AA20" s="3" t="inlineStr">
        <is>
          <t>세로한면(가)</t>
        </is>
      </c>
    </row>
    <row r="21">
      <c r="A21" s="3" t="inlineStr">
        <is>
          <t>고운동 1646</t>
        </is>
      </c>
      <c r="B21" s="3" t="inlineStr">
        <is>
          <t>제1종전용주거지역</t>
        </is>
      </c>
      <c r="C21" s="3" t="inlineStr">
        <is>
          <t>대</t>
        </is>
      </c>
      <c r="D21" s="3" t="inlineStr">
        <is>
          <t>2</t>
        </is>
      </c>
      <c r="E21" s="3" t="inlineStr">
        <is>
          <t>단독</t>
        </is>
      </c>
      <c r="F21" s="3" t="inlineStr">
        <is>
          <t>매매</t>
        </is>
      </c>
      <c r="G21" s="4" t="n">
        <v>165000</v>
      </c>
      <c r="H21" s="4" t="n">
        <v>0</v>
      </c>
      <c r="I21" s="4" t="n">
        <v>374</v>
      </c>
      <c r="J21" s="4" t="n">
        <v>113</v>
      </c>
      <c r="K21" s="5" t="n">
        <v>1460.2</v>
      </c>
      <c r="L21" s="4" t="n">
        <v>182</v>
      </c>
      <c r="M21" s="4" t="n">
        <v>55</v>
      </c>
      <c r="N21" s="5" t="n">
        <v>3000</v>
      </c>
      <c r="O21" s="3" t="inlineStr">
        <is>
          <t>초.중.고인근, 방4개, 정남향</t>
        </is>
      </c>
      <c r="P21" s="6">
        <f>HYPERLINK("https://fin.land.naver.com/articles/2651905297", "매물Link")</f>
        <v/>
      </c>
      <c r="Q21" s="6">
        <f>HYPERLINK("https://map.naver.com/p/search/고운동 1646", "지도Link")</f>
        <v/>
      </c>
      <c r="R21" s="6">
        <f>HYPERLINK("http://www.eum.go.kr/web/ar/lu/luLandDet.jsp?pnu=3611011200116460000&amp;isNoScr=script&amp;mode=search", "토지이음")</f>
        <v/>
      </c>
      <c r="S21" s="3" t="inlineStr">
        <is>
          <t>명진</t>
        </is>
      </c>
      <c r="T21" s="4" t="n">
        <v>1</v>
      </c>
      <c r="U21" s="5" t="n">
        <v>270.9</v>
      </c>
      <c r="V21" s="4" t="n">
        <v>374.1</v>
      </c>
      <c r="W21" s="3" t="inlineStr">
        <is>
          <t>지정되지않음</t>
        </is>
      </c>
      <c r="X21" s="3" t="inlineStr">
        <is>
          <t>단독</t>
        </is>
      </c>
      <c r="Y21" s="3" t="inlineStr">
        <is>
          <t>평지</t>
        </is>
      </c>
      <c r="Z21" s="3" t="inlineStr">
        <is>
          <t>정방형</t>
        </is>
      </c>
      <c r="AA21" s="3" t="inlineStr">
        <is>
          <t>세로한면(가)</t>
        </is>
      </c>
    </row>
    <row r="22">
      <c r="A22" s="3" t="inlineStr">
        <is>
          <t>고운동 1646</t>
        </is>
      </c>
      <c r="B22" s="3" t="inlineStr">
        <is>
          <t>제1종전용주거지역</t>
        </is>
      </c>
      <c r="C22" s="3" t="inlineStr">
        <is>
          <t>대</t>
        </is>
      </c>
      <c r="D22" s="3" t="inlineStr">
        <is>
          <t>2</t>
        </is>
      </c>
      <c r="E22" s="3" t="inlineStr">
        <is>
          <t>단독</t>
        </is>
      </c>
      <c r="F22" s="3" t="inlineStr">
        <is>
          <t>매매</t>
        </is>
      </c>
      <c r="G22" s="4" t="n">
        <v>165000</v>
      </c>
      <c r="H22" s="4" t="n">
        <v>0</v>
      </c>
      <c r="I22" s="4" t="n">
        <v>374</v>
      </c>
      <c r="J22" s="4" t="n">
        <v>113</v>
      </c>
      <c r="K22" s="5" t="n">
        <v>1460.2</v>
      </c>
      <c r="L22" s="4" t="n">
        <v>182</v>
      </c>
      <c r="M22" s="4" t="n">
        <v>55</v>
      </c>
      <c r="N22" s="5" t="n">
        <v>3000</v>
      </c>
      <c r="O22" s="3" t="inlineStr">
        <is>
          <t>입주협의가능, 정남향, 학교인근, 방4개</t>
        </is>
      </c>
      <c r="P22" s="6">
        <f>HYPERLINK("https://fin.land.naver.com/articles/2652837282", "매물Link")</f>
        <v/>
      </c>
      <c r="Q22" s="6">
        <f>HYPERLINK("https://map.naver.com/p/search/고운동 1646", "지도Link")</f>
        <v/>
      </c>
      <c r="R22" s="6">
        <f>HYPERLINK("http://www.eum.go.kr/web/ar/lu/luLandDet.jsp?pnu=3611011200116460000&amp;isNoScr=script&amp;mode=search", "토지이음")</f>
        <v/>
      </c>
      <c r="S22" s="3" t="inlineStr">
        <is>
          <t>세종무지개</t>
        </is>
      </c>
      <c r="T22" s="4" t="n">
        <v>1</v>
      </c>
      <c r="U22" s="5" t="n">
        <v>270.9</v>
      </c>
      <c r="V22" s="4" t="n">
        <v>374.1</v>
      </c>
      <c r="W22" s="3" t="inlineStr">
        <is>
          <t>지정되지않음</t>
        </is>
      </c>
      <c r="X22" s="3" t="inlineStr">
        <is>
          <t>단독</t>
        </is>
      </c>
      <c r="Y22" s="3" t="inlineStr">
        <is>
          <t>평지</t>
        </is>
      </c>
      <c r="Z22" s="3" t="inlineStr">
        <is>
          <t>정방형</t>
        </is>
      </c>
      <c r="AA22" s="3" t="inlineStr">
        <is>
          <t>세로한면(가)</t>
        </is>
      </c>
    </row>
    <row r="23">
      <c r="A23" s="3" t="inlineStr">
        <is>
          <t>고운동 1673</t>
        </is>
      </c>
      <c r="B23" s="3" t="inlineStr">
        <is>
          <t>제1종전용주거지역</t>
        </is>
      </c>
      <c r="C23" s="3" t="inlineStr">
        <is>
          <t>대</t>
        </is>
      </c>
      <c r="D23" s="3" t="inlineStr">
        <is>
          <t>2</t>
        </is>
      </c>
      <c r="E23" s="3" t="inlineStr">
        <is>
          <t>단독</t>
        </is>
      </c>
      <c r="F23" s="3" t="inlineStr">
        <is>
          <t>매매</t>
        </is>
      </c>
      <c r="G23" s="4" t="n">
        <v>170000</v>
      </c>
      <c r="H23" s="4" t="n">
        <v>0</v>
      </c>
      <c r="I23" s="4" t="n">
        <v>332</v>
      </c>
      <c r="J23" s="4" t="n">
        <v>100</v>
      </c>
      <c r="K23" s="5" t="n">
        <v>1700</v>
      </c>
      <c r="L23" s="4" t="n">
        <v>188</v>
      </c>
      <c r="M23" s="4" t="n">
        <v>57</v>
      </c>
      <c r="N23" s="5" t="n">
        <v>2982.5</v>
      </c>
      <c r="O23" s="3" t="inlineStr">
        <is>
          <t>목조주택,최신인테리어고급형주택,완공5년,주인거주 관리잘된집,상권가까워요</t>
        </is>
      </c>
      <c r="P23" s="6">
        <f>HYPERLINK("https://fin.land.naver.com/articles/2650252307", "매물Link")</f>
        <v/>
      </c>
      <c r="Q23" s="6">
        <f>HYPERLINK("https://map.naver.com/p/search/고운동 1673", "지도Link")</f>
        <v/>
      </c>
      <c r="R23" s="6">
        <f>HYPERLINK("http://www.eum.go.kr/web/ar/lu/luLandDet.jsp?pnu=3611011200116730000&amp;isNoScr=script&amp;mode=search", "토지이음")</f>
        <v/>
      </c>
      <c r="S23" s="3" t="inlineStr">
        <is>
          <t>스마일</t>
        </is>
      </c>
      <c r="T23" s="4" t="n">
        <v>1</v>
      </c>
      <c r="U23" s="5" t="n">
        <v>312.7</v>
      </c>
      <c r="V23" s="4" t="n">
        <v>332</v>
      </c>
      <c r="W23" s="3" t="inlineStr">
        <is>
          <t>지정되지않음</t>
        </is>
      </c>
      <c r="X23" s="3" t="inlineStr">
        <is>
          <t>단독</t>
        </is>
      </c>
      <c r="Y23" s="3" t="inlineStr">
        <is>
          <t>평지</t>
        </is>
      </c>
      <c r="Z23" s="3" t="inlineStr">
        <is>
          <t>세로장방</t>
        </is>
      </c>
      <c r="AA23" s="3" t="inlineStr">
        <is>
          <t>소로각지</t>
        </is>
      </c>
    </row>
    <row r="24">
      <c r="A24" s="3" t="inlineStr">
        <is>
          <t>고운동 1673</t>
        </is>
      </c>
      <c r="B24" s="3" t="inlineStr">
        <is>
          <t>제1종전용주거지역</t>
        </is>
      </c>
      <c r="C24" s="3" t="inlineStr">
        <is>
          <t>대</t>
        </is>
      </c>
      <c r="D24" s="3" t="inlineStr">
        <is>
          <t>2</t>
        </is>
      </c>
      <c r="E24" s="3" t="inlineStr">
        <is>
          <t>단독</t>
        </is>
      </c>
      <c r="F24" s="3" t="inlineStr">
        <is>
          <t>매매</t>
        </is>
      </c>
      <c r="G24" s="4" t="n">
        <v>170000</v>
      </c>
      <c r="H24" s="4" t="n">
        <v>0</v>
      </c>
      <c r="I24" s="4" t="n">
        <v>332</v>
      </c>
      <c r="J24" s="4" t="n">
        <v>100</v>
      </c>
      <c r="K24" s="5" t="n">
        <v>1700</v>
      </c>
      <c r="L24" s="4" t="n">
        <v>188</v>
      </c>
      <c r="M24" s="4" t="n">
        <v>57</v>
      </c>
      <c r="N24" s="5" t="n">
        <v>2982.5</v>
      </c>
      <c r="O24" s="3" t="inlineStr">
        <is>
          <t>코너각지 관리최상 목조 고급주택 조율가능</t>
        </is>
      </c>
      <c r="P24" s="6">
        <f>HYPERLINK("https://fin.land.naver.com/articles/2649811998", "매물Link")</f>
        <v/>
      </c>
      <c r="Q24" s="6">
        <f>HYPERLINK("https://map.naver.com/p/search/고운동 1673", "지도Link")</f>
        <v/>
      </c>
      <c r="R24" s="6">
        <f>HYPERLINK("http://www.eum.go.kr/web/ar/lu/luLandDet.jsp?pnu=3611011200116730000&amp;isNoScr=script&amp;mode=search", "토지이음")</f>
        <v/>
      </c>
      <c r="S24" s="3" t="inlineStr">
        <is>
          <t>세종스타</t>
        </is>
      </c>
      <c r="T24" s="4" t="n">
        <v>1</v>
      </c>
      <c r="U24" s="5" t="n">
        <v>312.7</v>
      </c>
      <c r="V24" s="4" t="n">
        <v>332</v>
      </c>
      <c r="W24" s="3" t="inlineStr">
        <is>
          <t>지정되지않음</t>
        </is>
      </c>
      <c r="X24" s="3" t="inlineStr">
        <is>
          <t>단독</t>
        </is>
      </c>
      <c r="Y24" s="3" t="inlineStr">
        <is>
          <t>평지</t>
        </is>
      </c>
      <c r="Z24" s="3" t="inlineStr">
        <is>
          <t>세로장방</t>
        </is>
      </c>
      <c r="AA24" s="3" t="inlineStr">
        <is>
          <t>소로각지</t>
        </is>
      </c>
    </row>
    <row r="25">
      <c r="A25" s="3" t="inlineStr">
        <is>
          <t>고운동 1756</t>
        </is>
      </c>
      <c r="B25" s="3" t="inlineStr">
        <is>
          <t>제1종전용주거지역</t>
        </is>
      </c>
      <c r="C25" s="3" t="inlineStr">
        <is>
          <t>대</t>
        </is>
      </c>
      <c r="D25" s="3" t="inlineStr">
        <is>
          <t>2</t>
        </is>
      </c>
      <c r="E25" s="3" t="inlineStr">
        <is>
          <t>단독</t>
        </is>
      </c>
      <c r="F25" s="3" t="inlineStr">
        <is>
          <t>매매</t>
        </is>
      </c>
      <c r="G25" s="4" t="n">
        <v>107000</v>
      </c>
      <c r="H25" s="4" t="n">
        <v>0</v>
      </c>
      <c r="I25" s="4" t="n">
        <v>357</v>
      </c>
      <c r="J25" s="4" t="n">
        <v>108</v>
      </c>
      <c r="K25" s="5" t="n">
        <v>990.7</v>
      </c>
      <c r="L25" s="4" t="n">
        <v>183</v>
      </c>
      <c r="M25" s="4" t="n">
        <v>55</v>
      </c>
      <c r="N25" s="5" t="n">
        <v>1945.5</v>
      </c>
      <c r="O25" s="3" t="inlineStr">
        <is>
          <t>태양광, 어린이집, 유치원 인근, 조율가능</t>
        </is>
      </c>
      <c r="P25" s="6">
        <f>HYPERLINK("https://fin.land.naver.com/articles/2652844151", "매물Link")</f>
        <v/>
      </c>
      <c r="Q25" s="6">
        <f>HYPERLINK("https://map.naver.com/p/search/고운동 1756", "지도Link")</f>
        <v/>
      </c>
      <c r="R25" s="6">
        <f>HYPERLINK("http://www.eum.go.kr/web/ar/lu/luLandDet.jsp?pnu=3611011200117560000&amp;isNoScr=script&amp;mode=search", "토지이음")</f>
        <v/>
      </c>
      <c r="S25" s="3" t="inlineStr">
        <is>
          <t>세종무지개</t>
        </is>
      </c>
      <c r="T25" s="4" t="n">
        <v>1</v>
      </c>
      <c r="U25" s="5" t="n">
        <v>297.1</v>
      </c>
      <c r="V25" s="4" t="n">
        <v>357.1</v>
      </c>
      <c r="W25" s="3" t="inlineStr">
        <is>
          <t>지정되지않음</t>
        </is>
      </c>
      <c r="X25" s="3" t="inlineStr">
        <is>
          <t>단독</t>
        </is>
      </c>
      <c r="Y25" s="3" t="inlineStr">
        <is>
          <t>평지</t>
        </is>
      </c>
      <c r="Z25" s="3" t="inlineStr">
        <is>
          <t>세로장방</t>
        </is>
      </c>
      <c r="AA25" s="3" t="inlineStr">
        <is>
          <t>소로한면</t>
        </is>
      </c>
    </row>
    <row r="26">
      <c r="A26" s="3" t="inlineStr">
        <is>
          <t>고운동 1756</t>
        </is>
      </c>
      <c r="B26" s="3" t="inlineStr">
        <is>
          <t>제1종전용주거지역</t>
        </is>
      </c>
      <c r="C26" s="3" t="inlineStr">
        <is>
          <t>대</t>
        </is>
      </c>
      <c r="D26" s="3" t="inlineStr">
        <is>
          <t>2</t>
        </is>
      </c>
      <c r="E26" s="3" t="inlineStr">
        <is>
          <t>단독</t>
        </is>
      </c>
      <c r="F26" s="3" t="inlineStr">
        <is>
          <t>매매</t>
        </is>
      </c>
      <c r="G26" s="4" t="n">
        <v>107000</v>
      </c>
      <c r="H26" s="4" t="n">
        <v>0</v>
      </c>
      <c r="I26" s="4" t="n">
        <v>357</v>
      </c>
      <c r="J26" s="4" t="n">
        <v>108</v>
      </c>
      <c r="K26" s="5" t="n">
        <v>990.7</v>
      </c>
      <c r="L26" s="4" t="n">
        <v>183</v>
      </c>
      <c r="M26" s="4" t="n">
        <v>55</v>
      </c>
      <c r="N26" s="5" t="n">
        <v>1945.5</v>
      </c>
      <c r="O26" s="3" t="inlineStr">
        <is>
          <t>조망좋고 위치좋은 정남향 단독주택 방4개 실용적인구조 철콘주택</t>
        </is>
      </c>
      <c r="P26" s="6">
        <f>HYPERLINK("https://fin.land.naver.com/articles/2653838670", "매물Link")</f>
        <v/>
      </c>
      <c r="Q26" s="6">
        <f>HYPERLINK("https://map.naver.com/p/search/고운동 1756", "지도Link")</f>
        <v/>
      </c>
      <c r="R26" s="6">
        <f>HYPERLINK("http://www.eum.go.kr/web/ar/lu/luLandDet.jsp?pnu=3611011200117560000&amp;isNoScr=script&amp;mode=search", "토지이음")</f>
        <v/>
      </c>
      <c r="S26" s="3" t="inlineStr">
        <is>
          <t>세종스타</t>
        </is>
      </c>
      <c r="T26" s="4" t="n">
        <v>3</v>
      </c>
      <c r="U26" s="5" t="n">
        <v>297.1</v>
      </c>
      <c r="V26" s="4" t="n">
        <v>357.1</v>
      </c>
      <c r="W26" s="3" t="inlineStr">
        <is>
          <t>지정되지않음</t>
        </is>
      </c>
      <c r="X26" s="3" t="inlineStr">
        <is>
          <t>단독</t>
        </is>
      </c>
      <c r="Y26" s="3" t="inlineStr">
        <is>
          <t>평지</t>
        </is>
      </c>
      <c r="Z26" s="3" t="inlineStr">
        <is>
          <t>세로장방</t>
        </is>
      </c>
      <c r="AA26" s="3" t="inlineStr">
        <is>
          <t>소로한면</t>
        </is>
      </c>
    </row>
    <row r="27">
      <c r="A27" s="3" t="inlineStr">
        <is>
          <t>고운동 1756</t>
        </is>
      </c>
      <c r="B27" s="3" t="inlineStr">
        <is>
          <t>제1종전용주거지역</t>
        </is>
      </c>
      <c r="C27" s="3" t="inlineStr">
        <is>
          <t>대</t>
        </is>
      </c>
      <c r="D27" s="3" t="inlineStr">
        <is>
          <t>2</t>
        </is>
      </c>
      <c r="E27" s="3" t="inlineStr">
        <is>
          <t>단독</t>
        </is>
      </c>
      <c r="F27" s="3" t="inlineStr">
        <is>
          <t>매매</t>
        </is>
      </c>
      <c r="G27" s="4" t="n">
        <v>107000</v>
      </c>
      <c r="H27" s="4" t="n">
        <v>0</v>
      </c>
      <c r="I27" s="4" t="n">
        <v>357</v>
      </c>
      <c r="J27" s="4" t="n">
        <v>108</v>
      </c>
      <c r="K27" s="5" t="n">
        <v>990.7</v>
      </c>
      <c r="L27" s="4" t="n">
        <v>183</v>
      </c>
      <c r="M27" s="4" t="n">
        <v>55</v>
      </c>
      <c r="N27" s="5" t="n">
        <v>1945.5</v>
      </c>
      <c r="O27" s="3" t="inlineStr">
        <is>
          <t>정남향, 태양광설치, 방4개, 화장실3개, 철근콘크리트구조</t>
        </is>
      </c>
      <c r="P27" s="6">
        <f>HYPERLINK("https://fin.land.naver.com/articles/2653687247", "매물Link")</f>
        <v/>
      </c>
      <c r="Q27" s="6">
        <f>HYPERLINK("https://map.naver.com/p/search/고운동 1756", "지도Link")</f>
        <v/>
      </c>
      <c r="R27" s="6">
        <f>HYPERLINK("http://www.eum.go.kr/web/ar/lu/luLandDet.jsp?pnu=3611011200117560000&amp;isNoScr=script&amp;mode=search", "토지이음")</f>
        <v/>
      </c>
      <c r="S27" s="3" t="inlineStr">
        <is>
          <t>명진</t>
        </is>
      </c>
      <c r="T27" s="4" t="n">
        <v>1</v>
      </c>
      <c r="U27" s="5" t="n">
        <v>297.1</v>
      </c>
      <c r="V27" s="4" t="n">
        <v>357.1</v>
      </c>
      <c r="W27" s="3" t="inlineStr">
        <is>
          <t>지정되지않음</t>
        </is>
      </c>
      <c r="X27" s="3" t="inlineStr">
        <is>
          <t>단독</t>
        </is>
      </c>
      <c r="Y27" s="3" t="inlineStr">
        <is>
          <t>평지</t>
        </is>
      </c>
      <c r="Z27" s="3" t="inlineStr">
        <is>
          <t>세로장방</t>
        </is>
      </c>
      <c r="AA27" s="3" t="inlineStr">
        <is>
          <t>소로한면</t>
        </is>
      </c>
    </row>
    <row r="28">
      <c r="A28" s="3" t="inlineStr">
        <is>
          <t>고운동 1757</t>
        </is>
      </c>
      <c r="B28" s="3" t="inlineStr">
        <is>
          <t>제1종전용주거지역</t>
        </is>
      </c>
      <c r="C28" s="3" t="inlineStr">
        <is>
          <t>대</t>
        </is>
      </c>
      <c r="D28" s="3" t="inlineStr">
        <is>
          <t>2</t>
        </is>
      </c>
      <c r="E28" s="3" t="inlineStr">
        <is>
          <t>단독</t>
        </is>
      </c>
      <c r="F28" s="3" t="inlineStr">
        <is>
          <t>매매</t>
        </is>
      </c>
      <c r="G28" s="4" t="n">
        <v>149000</v>
      </c>
      <c r="H28" s="4" t="n">
        <v>0</v>
      </c>
      <c r="I28" s="4" t="n">
        <v>364</v>
      </c>
      <c r="J28" s="4" t="n">
        <v>110</v>
      </c>
      <c r="K28" s="5" t="n">
        <v>1354.5</v>
      </c>
      <c r="L28" s="4" t="n">
        <v>194</v>
      </c>
      <c r="M28" s="4" t="n">
        <v>59</v>
      </c>
      <c r="N28" s="5" t="n">
        <v>2525.4</v>
      </c>
      <c r="O28" s="3" t="inlineStr">
        <is>
          <t>nan</t>
        </is>
      </c>
      <c r="P28" s="6">
        <f>HYPERLINK("https://fin.land.naver.com/articles/2653105027", "매물Link")</f>
        <v/>
      </c>
      <c r="Q28" s="6">
        <f>HYPERLINK("https://map.naver.com/p/search/고운동 1757", "지도Link")</f>
        <v/>
      </c>
      <c r="R28" s="6">
        <f>HYPERLINK("http://www.eum.go.kr/web/ar/lu/luLandDet.jsp?pnu=3611011200117570000&amp;isNoScr=script&amp;mode=search", "토지이음")</f>
        <v/>
      </c>
      <c r="S28" s="3" t="inlineStr">
        <is>
          <t>세종삼촌</t>
        </is>
      </c>
      <c r="T28" s="4" t="n">
        <v>1</v>
      </c>
      <c r="U28" s="5" t="n">
        <v>297.1</v>
      </c>
      <c r="V28" s="4" t="n">
        <v>364</v>
      </c>
      <c r="W28" s="3" t="inlineStr">
        <is>
          <t>지정되지않음</t>
        </is>
      </c>
      <c r="X28" s="3" t="inlineStr">
        <is>
          <t>단독</t>
        </is>
      </c>
      <c r="Y28" s="3" t="inlineStr">
        <is>
          <t>평지</t>
        </is>
      </c>
      <c r="Z28" s="3" t="inlineStr">
        <is>
          <t>정방형</t>
        </is>
      </c>
      <c r="AA28" s="3" t="inlineStr">
        <is>
          <t>소로한면</t>
        </is>
      </c>
    </row>
    <row r="29">
      <c r="A29" s="3" t="inlineStr">
        <is>
          <t>고운동 1757</t>
        </is>
      </c>
      <c r="B29" s="3" t="inlineStr">
        <is>
          <t>제1종전용주거지역</t>
        </is>
      </c>
      <c r="C29" s="3" t="inlineStr">
        <is>
          <t>대</t>
        </is>
      </c>
      <c r="D29" s="3" t="inlineStr">
        <is>
          <t>2</t>
        </is>
      </c>
      <c r="E29" s="3" t="inlineStr">
        <is>
          <t>단독</t>
        </is>
      </c>
      <c r="F29" s="3" t="inlineStr">
        <is>
          <t>매매</t>
        </is>
      </c>
      <c r="G29" s="4" t="n">
        <v>149000</v>
      </c>
      <c r="H29" s="4" t="n">
        <v>0</v>
      </c>
      <c r="I29" s="4" t="n">
        <v>364</v>
      </c>
      <c r="J29" s="4" t="n">
        <v>110</v>
      </c>
      <c r="K29" s="5" t="n">
        <v>1354.5</v>
      </c>
      <c r="L29" s="4" t="n">
        <v>194</v>
      </c>
      <c r="M29" s="4" t="n">
        <v>59</v>
      </c>
      <c r="N29" s="5" t="n">
        <v>2525.4</v>
      </c>
      <c r="O29" s="3" t="inlineStr">
        <is>
          <t>코너 남향 조경및내부시설 최상  다이닝룸 마당과 공원연결</t>
        </is>
      </c>
      <c r="P29" s="6">
        <f>HYPERLINK("https://fin.land.naver.com/articles/2653746780", "매물Link")</f>
        <v/>
      </c>
      <c r="Q29" s="6">
        <f>HYPERLINK("https://map.naver.com/p/search/고운동 1757", "지도Link")</f>
        <v/>
      </c>
      <c r="R29" s="6">
        <f>HYPERLINK("http://www.eum.go.kr/web/ar/lu/luLandDet.jsp?pnu=3611011200117570000&amp;isNoScr=script&amp;mode=search", "토지이음")</f>
        <v/>
      </c>
      <c r="S29" s="3" t="inlineStr">
        <is>
          <t>백프로</t>
        </is>
      </c>
      <c r="T29" s="4" t="n">
        <v>1</v>
      </c>
      <c r="U29" s="5" t="n">
        <v>297.1</v>
      </c>
      <c r="V29" s="4" t="n">
        <v>364</v>
      </c>
      <c r="W29" s="3" t="inlineStr">
        <is>
          <t>지정되지않음</t>
        </is>
      </c>
      <c r="X29" s="3" t="inlineStr">
        <is>
          <t>단독</t>
        </is>
      </c>
      <c r="Y29" s="3" t="inlineStr">
        <is>
          <t>평지</t>
        </is>
      </c>
      <c r="Z29" s="3" t="inlineStr">
        <is>
          <t>정방형</t>
        </is>
      </c>
      <c r="AA29" s="3" t="inlineStr">
        <is>
          <t>소로한면</t>
        </is>
      </c>
    </row>
    <row r="30">
      <c r="A30" s="3" t="inlineStr">
        <is>
          <t>고운동 1763</t>
        </is>
      </c>
      <c r="B30" s="3" t="inlineStr">
        <is>
          <t>제1종전용주거지역</t>
        </is>
      </c>
      <c r="C30" s="3" t="inlineStr">
        <is>
          <t>대</t>
        </is>
      </c>
      <c r="D30" s="3" t="inlineStr">
        <is>
          <t>2</t>
        </is>
      </c>
      <c r="E30" s="3" t="inlineStr">
        <is>
          <t>단독</t>
        </is>
      </c>
      <c r="F30" s="3" t="inlineStr">
        <is>
          <t>매매</t>
        </is>
      </c>
      <c r="G30" s="4" t="n">
        <v>120000</v>
      </c>
      <c r="H30" s="4" t="n">
        <v>0</v>
      </c>
      <c r="I30" s="4" t="n">
        <v>372</v>
      </c>
      <c r="J30" s="4" t="n">
        <v>113</v>
      </c>
      <c r="K30" s="5" t="n">
        <v>1061.9</v>
      </c>
      <c r="L30" s="4" t="n">
        <v>247</v>
      </c>
      <c r="M30" s="4" t="n">
        <v>75</v>
      </c>
      <c r="N30" s="5" t="n">
        <v>1600</v>
      </c>
      <c r="O30" s="3" t="inlineStr">
        <is>
          <t>2세대가능 대형주택 방5개 B12층 사생활보호굿 중정주택</t>
        </is>
      </c>
      <c r="P30" s="6">
        <f>HYPERLINK("https://fin.land.naver.com/articles/2653184528", "매물Link")</f>
        <v/>
      </c>
      <c r="Q30" s="6">
        <f>HYPERLINK("https://map.naver.com/p/search/고운동 1763", "지도Link")</f>
        <v/>
      </c>
      <c r="R30" s="6">
        <f>HYPERLINK("http://www.eum.go.kr/web/ar/lu/luLandDet.jsp?pnu=3611011200117630000&amp;isNoScr=script&amp;mode=search", "토지이음")</f>
        <v/>
      </c>
      <c r="S30" s="3" t="inlineStr">
        <is>
          <t>세종스타</t>
        </is>
      </c>
      <c r="T30" s="4" t="n">
        <v>3</v>
      </c>
      <c r="U30" s="5" t="n">
        <v>297.1</v>
      </c>
      <c r="V30" s="4" t="n">
        <v>372</v>
      </c>
      <c r="W30" s="3" t="inlineStr">
        <is>
          <t>지정되지않음</t>
        </is>
      </c>
      <c r="X30" s="3" t="inlineStr">
        <is>
          <t>단독</t>
        </is>
      </c>
      <c r="Y30" s="3" t="inlineStr">
        <is>
          <t>평지</t>
        </is>
      </c>
      <c r="Z30" s="3" t="inlineStr">
        <is>
          <t>정방형</t>
        </is>
      </c>
      <c r="AA30" s="3" t="inlineStr">
        <is>
          <t>소로한면</t>
        </is>
      </c>
    </row>
    <row r="31">
      <c r="A31" s="3" t="inlineStr">
        <is>
          <t>고운동 1765</t>
        </is>
      </c>
      <c r="B31" s="3" t="inlineStr">
        <is>
          <t>제1종전용주거지역</t>
        </is>
      </c>
      <c r="C31" s="3" t="inlineStr">
        <is>
          <t>대</t>
        </is>
      </c>
      <c r="D31" s="3" t="inlineStr">
        <is>
          <t>2</t>
        </is>
      </c>
      <c r="E31" s="3" t="inlineStr">
        <is>
          <t>단독</t>
        </is>
      </c>
      <c r="F31" s="3" t="inlineStr">
        <is>
          <t>매매</t>
        </is>
      </c>
      <c r="G31" s="4" t="n">
        <v>110000</v>
      </c>
      <c r="H31" s="4" t="n">
        <v>0</v>
      </c>
      <c r="I31" s="4" t="n">
        <v>334</v>
      </c>
      <c r="J31" s="4" t="n">
        <v>101</v>
      </c>
      <c r="K31" s="5" t="n">
        <v>1089.1</v>
      </c>
      <c r="L31" s="4" t="n">
        <v>214</v>
      </c>
      <c r="M31" s="4" t="n">
        <v>65</v>
      </c>
      <c r="N31" s="5" t="n">
        <v>1692.3</v>
      </c>
      <c r="O31" s="3" t="inlineStr">
        <is>
          <t>마당정원 관리최상 고운초 고운중 상권 모두도보5분 가격조율가능</t>
        </is>
      </c>
      <c r="P31" s="6">
        <f>HYPERLINK("https://fin.land.naver.com/articles/2653184658", "매물Link")</f>
        <v/>
      </c>
      <c r="Q31" s="6">
        <f>HYPERLINK("https://map.naver.com/p/search/고운동 1765", "지도Link")</f>
        <v/>
      </c>
      <c r="R31" s="6">
        <f>HYPERLINK("http://www.eum.go.kr/web/ar/lu/luLandDet.jsp?pnu=3611011200117650000&amp;isNoScr=script&amp;mode=search", "토지이음")</f>
        <v/>
      </c>
      <c r="S31" s="3" t="inlineStr">
        <is>
          <t>세종스타</t>
        </is>
      </c>
      <c r="T31" s="4" t="n">
        <v>3</v>
      </c>
      <c r="U31" s="5" t="n">
        <v>310.7</v>
      </c>
      <c r="V31" s="4" t="n">
        <v>334.4</v>
      </c>
      <c r="W31" s="3" t="inlineStr">
        <is>
          <t>지정되지않음</t>
        </is>
      </c>
      <c r="X31" s="3" t="inlineStr">
        <is>
          <t>단독</t>
        </is>
      </c>
      <c r="Y31" s="3" t="inlineStr">
        <is>
          <t>평지</t>
        </is>
      </c>
      <c r="Z31" s="3" t="inlineStr">
        <is>
          <t>정방형</t>
        </is>
      </c>
      <c r="AA31" s="3" t="inlineStr">
        <is>
          <t>소로각지</t>
        </is>
      </c>
    </row>
    <row r="32">
      <c r="A32" s="3" t="inlineStr">
        <is>
          <t>고운동 1769</t>
        </is>
      </c>
      <c r="B32" s="3" t="inlineStr">
        <is>
          <t>제1종전용주거지역</t>
        </is>
      </c>
      <c r="C32" s="3" t="inlineStr">
        <is>
          <t>대</t>
        </is>
      </c>
      <c r="D32" s="3" t="inlineStr">
        <is>
          <t>2</t>
        </is>
      </c>
      <c r="E32" s="3" t="inlineStr">
        <is>
          <t>단독</t>
        </is>
      </c>
      <c r="F32" s="3" t="inlineStr">
        <is>
          <t>매매</t>
        </is>
      </c>
      <c r="G32" s="4" t="n">
        <v>100000</v>
      </c>
      <c r="H32" s="4" t="n">
        <v>0</v>
      </c>
      <c r="I32" s="4" t="n">
        <v>316</v>
      </c>
      <c r="J32" s="4" t="n">
        <v>96</v>
      </c>
      <c r="K32" s="5" t="n">
        <v>1041.7</v>
      </c>
      <c r="L32" s="4" t="n">
        <v>117</v>
      </c>
      <c r="M32" s="4" t="n">
        <v>35</v>
      </c>
      <c r="N32" s="5" t="n">
        <v>2857.1</v>
      </c>
      <c r="O32" s="3" t="inlineStr">
        <is>
          <t>코너자리 위치좋은 단독주택 남향 관리상태굿 가격조정가능 입주협의</t>
        </is>
      </c>
      <c r="P32" s="6">
        <f>HYPERLINK("https://fin.land.naver.com/articles/2653552093", "매물Link")</f>
        <v/>
      </c>
      <c r="Q32" s="6">
        <f>HYPERLINK("https://map.naver.com/p/search/고운동 1769", "지도Link")</f>
        <v/>
      </c>
      <c r="R32" s="6">
        <f>HYPERLINK("http://www.eum.go.kr/web/ar/lu/luLandDet.jsp?pnu=3611011200117690000&amp;isNoScr=script&amp;mode=search", "토지이음")</f>
        <v/>
      </c>
      <c r="S32" s="3" t="inlineStr">
        <is>
          <t>고운동리치세종</t>
        </is>
      </c>
      <c r="T32" s="4" t="n">
        <v>1</v>
      </c>
      <c r="U32" s="5" t="n">
        <v>330.9</v>
      </c>
      <c r="V32" s="4" t="n">
        <v>316.5</v>
      </c>
      <c r="W32" s="3" t="inlineStr">
        <is>
          <t>지정되지않음</t>
        </is>
      </c>
      <c r="X32" s="3" t="inlineStr">
        <is>
          <t>단독</t>
        </is>
      </c>
      <c r="Y32" s="3" t="inlineStr">
        <is>
          <t>평지</t>
        </is>
      </c>
      <c r="Z32" s="3" t="inlineStr">
        <is>
          <t>사다리형</t>
        </is>
      </c>
      <c r="AA32" s="3" t="inlineStr">
        <is>
          <t>중로각지</t>
        </is>
      </c>
    </row>
    <row r="33">
      <c r="A33" s="3" t="inlineStr">
        <is>
          <t>고운동 1769</t>
        </is>
      </c>
      <c r="B33" s="3" t="inlineStr">
        <is>
          <t>제1종전용주거지역</t>
        </is>
      </c>
      <c r="C33" s="3" t="inlineStr">
        <is>
          <t>대</t>
        </is>
      </c>
      <c r="D33" s="3" t="inlineStr">
        <is>
          <t>2</t>
        </is>
      </c>
      <c r="E33" s="3" t="inlineStr">
        <is>
          <t>단독</t>
        </is>
      </c>
      <c r="F33" s="3" t="inlineStr">
        <is>
          <t>매매</t>
        </is>
      </c>
      <c r="G33" s="4" t="n">
        <v>100000</v>
      </c>
      <c r="H33" s="4" t="n">
        <v>0</v>
      </c>
      <c r="I33" s="4" t="n">
        <v>316</v>
      </c>
      <c r="J33" s="4" t="n">
        <v>96</v>
      </c>
      <c r="K33" s="5" t="n">
        <v>1041.7</v>
      </c>
      <c r="L33" s="4" t="n">
        <v>117</v>
      </c>
      <c r="M33" s="4" t="n">
        <v>35</v>
      </c>
      <c r="N33" s="5" t="n">
        <v>2857.1</v>
      </c>
      <c r="O33" s="3" t="inlineStr">
        <is>
          <t>코너집 .남향 햇살 좋은집</t>
        </is>
      </c>
      <c r="P33" s="6">
        <f>HYPERLINK("https://fin.land.naver.com/articles/2650322263", "매물Link")</f>
        <v/>
      </c>
      <c r="Q33" s="6">
        <f>HYPERLINK("https://map.naver.com/p/search/고운동 1769", "지도Link")</f>
        <v/>
      </c>
      <c r="R33" s="6">
        <f>HYPERLINK("http://www.eum.go.kr/web/ar/lu/luLandDet.jsp?pnu=3611011200117690000&amp;isNoScr=script&amp;mode=search", "토지이음")</f>
        <v/>
      </c>
      <c r="S33" s="3" t="inlineStr">
        <is>
          <t>시티프라디움</t>
        </is>
      </c>
      <c r="T33" s="4" t="n">
        <v>1</v>
      </c>
      <c r="U33" s="5" t="n">
        <v>330.9</v>
      </c>
      <c r="V33" s="4" t="n">
        <v>316.5</v>
      </c>
      <c r="W33" s="3" t="inlineStr">
        <is>
          <t>지정되지않음</t>
        </is>
      </c>
      <c r="X33" s="3" t="inlineStr">
        <is>
          <t>단독</t>
        </is>
      </c>
      <c r="Y33" s="3" t="inlineStr">
        <is>
          <t>평지</t>
        </is>
      </c>
      <c r="Z33" s="3" t="inlineStr">
        <is>
          <t>사다리형</t>
        </is>
      </c>
      <c r="AA33" s="3" t="inlineStr">
        <is>
          <t>중로각지</t>
        </is>
      </c>
    </row>
    <row r="34">
      <c r="A34" s="3" t="inlineStr">
        <is>
          <t>고운동 1791</t>
        </is>
      </c>
      <c r="B34" s="3" t="inlineStr">
        <is>
          <t>제1종전용주거지역</t>
        </is>
      </c>
      <c r="C34" s="3" t="inlineStr">
        <is>
          <t>대</t>
        </is>
      </c>
      <c r="D34" s="3" t="inlineStr">
        <is>
          <t>2</t>
        </is>
      </c>
      <c r="E34" s="3" t="inlineStr">
        <is>
          <t>단독</t>
        </is>
      </c>
      <c r="F34" s="3" t="inlineStr">
        <is>
          <t>매매</t>
        </is>
      </c>
      <c r="G34" s="4" t="n">
        <v>180000</v>
      </c>
      <c r="H34" s="4" t="n">
        <v>0</v>
      </c>
      <c r="I34" s="4" t="n">
        <v>366</v>
      </c>
      <c r="J34" s="4" t="n">
        <v>111</v>
      </c>
      <c r="K34" s="5" t="n">
        <v>1621.6</v>
      </c>
      <c r="L34" s="4" t="n">
        <v>199</v>
      </c>
      <c r="M34" s="4" t="n">
        <v>60</v>
      </c>
      <c r="N34" s="5" t="n">
        <v>3000</v>
      </c>
      <c r="O34" s="3" t="inlineStr">
        <is>
          <t>nan</t>
        </is>
      </c>
      <c r="P34" s="6">
        <f>HYPERLINK("https://fin.land.naver.com/articles/2652262074", "매물Link")</f>
        <v/>
      </c>
      <c r="Q34" s="6">
        <f>HYPERLINK("https://map.naver.com/p/search/고운동 1791", "지도Link")</f>
        <v/>
      </c>
      <c r="R34" s="6">
        <f>HYPERLINK("http://www.eum.go.kr/web/ar/lu/luLandDet.jsp?pnu=3611011200117910000&amp;isNoScr=script&amp;mode=search", "토지이음")</f>
        <v/>
      </c>
      <c r="S34" s="3" t="inlineStr">
        <is>
          <t>미래개발</t>
        </is>
      </c>
      <c r="T34" s="4" t="n">
        <v>1</v>
      </c>
      <c r="U34" s="5" t="n">
        <v>347.4</v>
      </c>
      <c r="V34" s="4" t="n">
        <v>366.1</v>
      </c>
      <c r="W34" s="3" t="inlineStr">
        <is>
          <t>지정되지않음</t>
        </is>
      </c>
      <c r="X34" s="3" t="inlineStr">
        <is>
          <t>단독</t>
        </is>
      </c>
      <c r="Y34" s="3" t="inlineStr">
        <is>
          <t>평지</t>
        </is>
      </c>
      <c r="Z34" s="3" t="inlineStr">
        <is>
          <t>세로장방</t>
        </is>
      </c>
      <c r="AA34" s="3" t="inlineStr">
        <is>
          <t>중로각지</t>
        </is>
      </c>
    </row>
    <row r="35">
      <c r="A35" s="3" t="inlineStr">
        <is>
          <t>고운동 1826</t>
        </is>
      </c>
      <c r="B35" s="3" t="inlineStr">
        <is>
          <t>제1종전용주거지역</t>
        </is>
      </c>
      <c r="C35" s="3" t="inlineStr">
        <is>
          <t>대</t>
        </is>
      </c>
      <c r="D35" s="3" t="inlineStr">
        <is>
          <t>2</t>
        </is>
      </c>
      <c r="E35" s="3" t="inlineStr">
        <is>
          <t>단독</t>
        </is>
      </c>
      <c r="F35" s="3" t="inlineStr">
        <is>
          <t>매매</t>
        </is>
      </c>
      <c r="G35" s="4" t="n">
        <v>350000</v>
      </c>
      <c r="H35" s="4" t="n">
        <v>0</v>
      </c>
      <c r="I35" s="4" t="n">
        <v>656</v>
      </c>
      <c r="J35" s="4" t="n">
        <v>198</v>
      </c>
      <c r="K35" s="5" t="n">
        <v>1767.7</v>
      </c>
      <c r="L35" s="4" t="n">
        <v>338</v>
      </c>
      <c r="M35" s="4" t="n">
        <v>102</v>
      </c>
      <c r="N35" s="5" t="n">
        <v>3431.4</v>
      </c>
      <c r="O35" s="3" t="inlineStr">
        <is>
          <t>nan</t>
        </is>
      </c>
      <c r="P35" s="6">
        <f>HYPERLINK("https://fin.land.naver.com/articles/2652289488", "매물Link")</f>
        <v/>
      </c>
      <c r="Q35" s="6">
        <f>HYPERLINK("https://map.naver.com/p/search/고운동 1826", "지도Link")</f>
        <v/>
      </c>
      <c r="R35" s="6">
        <f>HYPERLINK("http://www.eum.go.kr/web/ar/lu/luLandDet.jsp?pnu=3611011200118260000&amp;isNoScr=script&amp;mode=search", "토지이음")</f>
        <v/>
      </c>
      <c r="S35" s="3" t="inlineStr">
        <is>
          <t>세종스타</t>
        </is>
      </c>
      <c r="T35" s="4" t="n">
        <v>1</v>
      </c>
      <c r="U35" s="5" t="n">
        <v>319.6</v>
      </c>
      <c r="V35" s="4" t="n">
        <v>656.3</v>
      </c>
      <c r="W35" s="3" t="inlineStr">
        <is>
          <t>지정되지않음</t>
        </is>
      </c>
      <c r="X35" s="3" t="inlineStr">
        <is>
          <t>단독</t>
        </is>
      </c>
      <c r="Y35" s="3" t="inlineStr">
        <is>
          <t>평지</t>
        </is>
      </c>
      <c r="Z35" s="3" t="inlineStr">
        <is>
          <t>사다리형</t>
        </is>
      </c>
      <c r="AA35" s="3" t="inlineStr">
        <is>
          <t>소로각지</t>
        </is>
      </c>
    </row>
    <row r="36">
      <c r="A36" s="3" t="inlineStr">
        <is>
          <t>고운동 1958</t>
        </is>
      </c>
      <c r="B36" s="3" t="inlineStr">
        <is>
          <t>제1종전용주거지역</t>
        </is>
      </c>
      <c r="C36" s="3" t="inlineStr">
        <is>
          <t>대</t>
        </is>
      </c>
      <c r="D36" s="3" t="inlineStr">
        <is>
          <t>2</t>
        </is>
      </c>
      <c r="E36" s="3" t="inlineStr">
        <is>
          <t>단독</t>
        </is>
      </c>
      <c r="F36" s="3" t="inlineStr">
        <is>
          <t>매매</t>
        </is>
      </c>
      <c r="G36" s="4" t="n">
        <v>100000</v>
      </c>
      <c r="H36" s="4" t="n">
        <v>0</v>
      </c>
      <c r="I36" s="4" t="n">
        <v>352</v>
      </c>
      <c r="J36" s="4" t="n">
        <v>106</v>
      </c>
      <c r="K36" s="5" t="n">
        <v>943.4</v>
      </c>
      <c r="L36" s="4" t="n">
        <v>122</v>
      </c>
      <c r="M36" s="4" t="n">
        <v>37</v>
      </c>
      <c r="N36" s="5" t="n">
        <v>2702.7</v>
      </c>
      <c r="O36" s="3" t="inlineStr">
        <is>
          <t>교통이 편리함,공원이 앞으로 트인조망</t>
        </is>
      </c>
      <c r="P36" s="6">
        <f>HYPERLINK("https://fin.land.naver.com/articles/2650322292", "매물Link")</f>
        <v/>
      </c>
      <c r="Q36" s="6">
        <f>HYPERLINK("https://map.naver.com/p/search/고운동 1958", "지도Link")</f>
        <v/>
      </c>
      <c r="R36" s="6">
        <f>HYPERLINK("http://www.eum.go.kr/web/ar/lu/luLandDet.jsp?pnu=3611011200119580000&amp;isNoScr=script&amp;mode=search", "토지이음")</f>
        <v/>
      </c>
      <c r="S36" s="3" t="inlineStr">
        <is>
          <t>시티프라디움</t>
        </is>
      </c>
      <c r="T36" s="4" t="n">
        <v>1</v>
      </c>
      <c r="U36" s="5" t="n">
        <v>297.1</v>
      </c>
      <c r="V36" s="4" t="n">
        <v>352</v>
      </c>
      <c r="W36" s="3" t="inlineStr">
        <is>
          <t>지정되지않음</t>
        </is>
      </c>
      <c r="X36" s="3" t="inlineStr">
        <is>
          <t>단독</t>
        </is>
      </c>
      <c r="Y36" s="3" t="inlineStr">
        <is>
          <t>평지</t>
        </is>
      </c>
      <c r="Z36" s="3" t="inlineStr">
        <is>
          <t>세로장방</t>
        </is>
      </c>
      <c r="AA36" s="3" t="inlineStr">
        <is>
          <t>소로한면</t>
        </is>
      </c>
    </row>
    <row r="37">
      <c r="A37" s="3" t="inlineStr">
        <is>
          <t>고운동 1958</t>
        </is>
      </c>
      <c r="B37" s="3" t="inlineStr">
        <is>
          <t>제1종전용주거지역</t>
        </is>
      </c>
      <c r="C37" s="3" t="inlineStr">
        <is>
          <t>대</t>
        </is>
      </c>
      <c r="D37" s="3" t="inlineStr">
        <is>
          <t>2</t>
        </is>
      </c>
      <c r="E37" s="3" t="inlineStr">
        <is>
          <t>단독</t>
        </is>
      </c>
      <c r="F37" s="3" t="inlineStr">
        <is>
          <t>매매</t>
        </is>
      </c>
      <c r="G37" s="4" t="n">
        <v>100000</v>
      </c>
      <c r="H37" s="4" t="n">
        <v>0</v>
      </c>
      <c r="I37" s="4" t="n">
        <v>352</v>
      </c>
      <c r="J37" s="4" t="n">
        <v>106</v>
      </c>
      <c r="K37" s="5" t="n">
        <v>943.4</v>
      </c>
      <c r="L37" s="4" t="n">
        <v>122</v>
      </c>
      <c r="M37" s="4" t="n">
        <v>37</v>
      </c>
      <c r="N37" s="5" t="n">
        <v>2702.7</v>
      </c>
      <c r="O37" s="3" t="inlineStr">
        <is>
          <t>고운동의 넓은마당과 텃밭 단독주택</t>
        </is>
      </c>
      <c r="P37" s="6">
        <f>HYPERLINK("https://fin.land.naver.com/articles/2649551437", "매물Link")</f>
        <v/>
      </c>
      <c r="Q37" s="6">
        <f>HYPERLINK("https://map.naver.com/p/search/고운동 1958", "지도Link")</f>
        <v/>
      </c>
      <c r="R37" s="6">
        <f>HYPERLINK("http://www.eum.go.kr/web/ar/lu/luLandDet.jsp?pnu=3611011200119580000&amp;isNoScr=script&amp;mode=search", "토지이음")</f>
        <v/>
      </c>
      <c r="S37" s="3" t="inlineStr">
        <is>
          <t>청명</t>
        </is>
      </c>
      <c r="T37" s="4" t="n">
        <v>1</v>
      </c>
      <c r="U37" s="5" t="n">
        <v>297.1</v>
      </c>
      <c r="V37" s="4" t="n">
        <v>352</v>
      </c>
      <c r="W37" s="3" t="inlineStr">
        <is>
          <t>지정되지않음</t>
        </is>
      </c>
      <c r="X37" s="3" t="inlineStr">
        <is>
          <t>단독</t>
        </is>
      </c>
      <c r="Y37" s="3" t="inlineStr">
        <is>
          <t>평지</t>
        </is>
      </c>
      <c r="Z37" s="3" t="inlineStr">
        <is>
          <t>세로장방</t>
        </is>
      </c>
      <c r="AA37" s="3" t="inlineStr">
        <is>
          <t>소로한면</t>
        </is>
      </c>
    </row>
    <row r="38">
      <c r="A38" s="3" t="inlineStr">
        <is>
          <t>고운동 1999</t>
        </is>
      </c>
      <c r="B38" s="3" t="inlineStr">
        <is>
          <t>제1종전용주거지역</t>
        </is>
      </c>
      <c r="C38" s="3" t="inlineStr">
        <is>
          <t>대</t>
        </is>
      </c>
      <c r="D38" s="3" t="inlineStr">
        <is>
          <t>2</t>
        </is>
      </c>
      <c r="E38" s="3" t="inlineStr">
        <is>
          <t>단독</t>
        </is>
      </c>
      <c r="F38" s="3" t="inlineStr">
        <is>
          <t>매매</t>
        </is>
      </c>
      <c r="G38" s="4" t="n">
        <v>120000</v>
      </c>
      <c r="H38" s="4" t="n">
        <v>0</v>
      </c>
      <c r="I38" s="4" t="n">
        <v>345</v>
      </c>
      <c r="J38" s="4" t="n">
        <v>104</v>
      </c>
      <c r="K38" s="5" t="n">
        <v>1153.8</v>
      </c>
      <c r="L38" s="4" t="n">
        <v>149</v>
      </c>
      <c r="M38" s="4" t="n">
        <v>45</v>
      </c>
      <c r="N38" s="5" t="n">
        <v>2666.7</v>
      </c>
      <c r="O38" s="3" t="inlineStr">
        <is>
          <t>nan</t>
        </is>
      </c>
      <c r="P38" s="6">
        <f>HYPERLINK("https://fin.land.naver.com/articles/2649506011", "매물Link")</f>
        <v/>
      </c>
      <c r="Q38" s="6">
        <f>HYPERLINK("https://map.naver.com/p/search/고운동 1999", "지도Link")</f>
        <v/>
      </c>
      <c r="R38" s="6">
        <f>HYPERLINK("http://www.eum.go.kr/web/ar/lu/luLandDet.jsp?pnu=3611011200119990000&amp;isNoScr=script&amp;mode=search", "토지이음")</f>
        <v/>
      </c>
      <c r="S38" s="3" t="inlineStr">
        <is>
          <t>세종삼촌</t>
        </is>
      </c>
      <c r="T38" s="4" t="n">
        <v>2</v>
      </c>
      <c r="U38" s="5" t="n">
        <v>297.1</v>
      </c>
      <c r="V38" s="4" t="n">
        <v>345</v>
      </c>
      <c r="W38" s="3" t="inlineStr">
        <is>
          <t>지정되지않음</t>
        </is>
      </c>
      <c r="X38" s="3" t="inlineStr">
        <is>
          <t>단독</t>
        </is>
      </c>
      <c r="Y38" s="3" t="inlineStr">
        <is>
          <t>평지</t>
        </is>
      </c>
      <c r="Z38" s="3" t="inlineStr">
        <is>
          <t>세로장방</t>
        </is>
      </c>
      <c r="AA38" s="3" t="inlineStr">
        <is>
          <t>소로한면</t>
        </is>
      </c>
    </row>
    <row r="39">
      <c r="A39" s="3" t="inlineStr">
        <is>
          <t>고운동 1999</t>
        </is>
      </c>
      <c r="B39" s="3" t="inlineStr">
        <is>
          <t>제1종전용주거지역</t>
        </is>
      </c>
      <c r="C39" s="3" t="inlineStr">
        <is>
          <t>대</t>
        </is>
      </c>
      <c r="D39" s="3" t="inlineStr">
        <is>
          <t>2</t>
        </is>
      </c>
      <c r="E39" s="3" t="inlineStr">
        <is>
          <t>단독</t>
        </is>
      </c>
      <c r="F39" s="3" t="inlineStr">
        <is>
          <t>매매</t>
        </is>
      </c>
      <c r="G39" s="4" t="n">
        <v>120000</v>
      </c>
      <c r="H39" s="4" t="n">
        <v>0</v>
      </c>
      <c r="I39" s="4" t="n">
        <v>345</v>
      </c>
      <c r="J39" s="4" t="n">
        <v>104</v>
      </c>
      <c r="K39" s="5" t="n">
        <v>1153.8</v>
      </c>
      <c r="L39" s="4" t="n">
        <v>191</v>
      </c>
      <c r="M39" s="4" t="n">
        <v>58</v>
      </c>
      <c r="N39" s="5" t="n">
        <v>2069</v>
      </c>
      <c r="O39" s="3" t="inlineStr">
        <is>
          <t>관리최상 정남향 실면적58p 방4개 욕실3개 목조주택</t>
        </is>
      </c>
      <c r="P39" s="6">
        <f>HYPERLINK("https://fin.land.naver.com/articles/2652946029", "매물Link")</f>
        <v/>
      </c>
      <c r="Q39" s="6">
        <f>HYPERLINK("https://map.naver.com/p/search/고운동 1999", "지도Link")</f>
        <v/>
      </c>
      <c r="R39" s="6">
        <f>HYPERLINK("http://www.eum.go.kr/web/ar/lu/luLandDet.jsp?pnu=3611011200119990000&amp;isNoScr=script&amp;mode=search", "토지이음")</f>
        <v/>
      </c>
      <c r="S39" s="3" t="inlineStr">
        <is>
          <t>세종스타</t>
        </is>
      </c>
      <c r="T39" s="4" t="n">
        <v>1</v>
      </c>
      <c r="U39" s="5" t="n">
        <v>297.1</v>
      </c>
      <c r="V39" s="4" t="n">
        <v>345</v>
      </c>
      <c r="W39" s="3" t="inlineStr">
        <is>
          <t>지정되지않음</t>
        </is>
      </c>
      <c r="X39" s="3" t="inlineStr">
        <is>
          <t>단독</t>
        </is>
      </c>
      <c r="Y39" s="3" t="inlineStr">
        <is>
          <t>평지</t>
        </is>
      </c>
      <c r="Z39" s="3" t="inlineStr">
        <is>
          <t>세로장방</t>
        </is>
      </c>
      <c r="AA39" s="3" t="inlineStr">
        <is>
          <t>소로한면</t>
        </is>
      </c>
    </row>
    <row r="40">
      <c r="A40" s="3" t="inlineStr">
        <is>
          <t>고운동 2085</t>
        </is>
      </c>
      <c r="B40" s="3" t="inlineStr">
        <is>
          <t>제1종전용주거지역</t>
        </is>
      </c>
      <c r="C40" s="3" t="inlineStr">
        <is>
          <t>대</t>
        </is>
      </c>
      <c r="D40" s="3" t="inlineStr">
        <is>
          <t>3</t>
        </is>
      </c>
      <c r="E40" s="3" t="inlineStr">
        <is>
          <t>단독</t>
        </is>
      </c>
      <c r="F40" s="3" t="inlineStr">
        <is>
          <t>매매</t>
        </is>
      </c>
      <c r="G40" s="4" t="n">
        <v>160000</v>
      </c>
      <c r="H40" s="4" t="n">
        <v>0</v>
      </c>
      <c r="I40" s="4" t="n">
        <v>404</v>
      </c>
      <c r="J40" s="4" t="n">
        <v>122</v>
      </c>
      <c r="K40" s="5" t="n">
        <v>1311.5</v>
      </c>
      <c r="L40" s="4" t="n">
        <v>253</v>
      </c>
      <c r="M40" s="4" t="n">
        <v>77</v>
      </c>
      <c r="N40" s="5" t="n">
        <v>2077.9</v>
      </c>
      <c r="O40" s="3" t="inlineStr">
        <is>
          <t>인기C타입 마당넓음 탁트인조망 넓은3층면적</t>
        </is>
      </c>
      <c r="P40" s="6">
        <f>HYPERLINK("https://fin.land.naver.com/articles/2651086449", "매물Link")</f>
        <v/>
      </c>
      <c r="Q40" s="6">
        <f>HYPERLINK("https://map.naver.com/p/search/고운동 2085", "지도Link")</f>
        <v/>
      </c>
      <c r="R40" s="6">
        <f>HYPERLINK("http://www.eum.go.kr/web/ar/lu/luLandDet.jsp?pnu=3611011200120850000&amp;isNoScr=script&amp;mode=search", "토지이음")</f>
        <v/>
      </c>
      <c r="S40" s="3" t="inlineStr">
        <is>
          <t>세종스타</t>
        </is>
      </c>
      <c r="T40" s="4" t="n">
        <v>1</v>
      </c>
      <c r="U40" s="5" t="n">
        <v>324.1</v>
      </c>
      <c r="V40" s="4" t="n">
        <v>12493</v>
      </c>
      <c r="W40" s="3" t="inlineStr">
        <is>
          <t>지정되지않음</t>
        </is>
      </c>
      <c r="X40" s="3" t="inlineStr">
        <is>
          <t>주거나지</t>
        </is>
      </c>
      <c r="Y40" s="3" t="inlineStr">
        <is>
          <t>평지</t>
        </is>
      </c>
      <c r="Z40" s="3" t="inlineStr">
        <is>
          <t>사다리형</t>
        </is>
      </c>
      <c r="AA40" s="3" t="inlineStr">
        <is>
          <t>중로한면</t>
        </is>
      </c>
    </row>
    <row r="41">
      <c r="A41" s="3" t="inlineStr">
        <is>
          <t>고운동 2085</t>
        </is>
      </c>
      <c r="B41" s="3" t="inlineStr">
        <is>
          <t>제1종전용주거지역</t>
        </is>
      </c>
      <c r="C41" s="3" t="inlineStr">
        <is>
          <t>대</t>
        </is>
      </c>
      <c r="D41" s="3" t="inlineStr">
        <is>
          <t>3</t>
        </is>
      </c>
      <c r="E41" s="3" t="inlineStr">
        <is>
          <t>단독</t>
        </is>
      </c>
      <c r="F41" s="3" t="inlineStr">
        <is>
          <t>매매</t>
        </is>
      </c>
      <c r="G41" s="4" t="n">
        <v>140000</v>
      </c>
      <c r="H41" s="4" t="n">
        <v>0</v>
      </c>
      <c r="I41" s="4" t="n">
        <v>297</v>
      </c>
      <c r="J41" s="4" t="n">
        <v>90</v>
      </c>
      <c r="K41" s="5" t="n">
        <v>1555.6</v>
      </c>
      <c r="L41" s="4" t="n">
        <v>253</v>
      </c>
      <c r="M41" s="4" t="n">
        <v>77</v>
      </c>
      <c r="N41" s="5" t="n">
        <v>1818.2</v>
      </c>
      <c r="O41" s="3" t="inlineStr">
        <is>
          <t>유럽마을 C타입  관리상태좋음  학교 근린생활시설가까운 입지 최고 단지</t>
        </is>
      </c>
      <c r="P41" s="6">
        <f>HYPERLINK("https://fin.land.naver.com/articles/2652588602", "매물Link")</f>
        <v/>
      </c>
      <c r="Q41" s="6">
        <f>HYPERLINK("https://map.naver.com/p/search/고운동 2085", "지도Link")</f>
        <v/>
      </c>
      <c r="R41" s="6">
        <f>HYPERLINK("http://www.eum.go.kr/web/ar/lu/luLandDet.jsp?pnu=3611011200120850000&amp;isNoScr=script&amp;mode=search", "토지이음")</f>
        <v/>
      </c>
      <c r="S41" s="3" t="inlineStr">
        <is>
          <t>고운힐스테이트</t>
        </is>
      </c>
      <c r="T41" s="4" t="n">
        <v>1</v>
      </c>
      <c r="U41" s="5" t="n">
        <v>324.1</v>
      </c>
      <c r="V41" s="4" t="n">
        <v>12493</v>
      </c>
      <c r="W41" s="3" t="inlineStr">
        <is>
          <t>지정되지않음</t>
        </is>
      </c>
      <c r="X41" s="3" t="inlineStr">
        <is>
          <t>주거나지</t>
        </is>
      </c>
      <c r="Y41" s="3" t="inlineStr">
        <is>
          <t>평지</t>
        </is>
      </c>
      <c r="Z41" s="3" t="inlineStr">
        <is>
          <t>사다리형</t>
        </is>
      </c>
      <c r="AA41" s="3" t="inlineStr">
        <is>
          <t>중로한면</t>
        </is>
      </c>
    </row>
    <row r="42">
      <c r="A42" s="3" t="inlineStr">
        <is>
          <t>고운동 2085</t>
        </is>
      </c>
      <c r="B42" s="3" t="inlineStr">
        <is>
          <t>제1종전용주거지역</t>
        </is>
      </c>
      <c r="C42" s="3" t="inlineStr">
        <is>
          <t>대</t>
        </is>
      </c>
      <c r="D42" s="3" t="inlineStr">
        <is>
          <t>3</t>
        </is>
      </c>
      <c r="E42" s="3" t="inlineStr">
        <is>
          <t>단독</t>
        </is>
      </c>
      <c r="F42" s="3" t="inlineStr">
        <is>
          <t>매매</t>
        </is>
      </c>
      <c r="G42" s="4" t="n">
        <v>165000</v>
      </c>
      <c r="H42" s="4" t="n">
        <v>0</v>
      </c>
      <c r="I42" s="4" t="n">
        <v>336</v>
      </c>
      <c r="J42" s="4" t="n">
        <v>102</v>
      </c>
      <c r="K42" s="5" t="n">
        <v>1617.6</v>
      </c>
      <c r="L42" s="4" t="n">
        <v>253</v>
      </c>
      <c r="M42" s="4" t="n">
        <v>77</v>
      </c>
      <c r="N42" s="5" t="n">
        <v>2142.9</v>
      </c>
      <c r="O42" s="3" t="inlineStr">
        <is>
          <t>명성공인, 온빛초품아, 시스템에어컨, 남향 추천 매물</t>
        </is>
      </c>
      <c r="P42" s="6">
        <f>HYPERLINK("https://fin.land.naver.com/articles/2652725079", "매물Link")</f>
        <v/>
      </c>
      <c r="Q42" s="6">
        <f>HYPERLINK("https://map.naver.com/p/search/고운동 2085", "지도Link")</f>
        <v/>
      </c>
      <c r="R42" s="6">
        <f>HYPERLINK("http://www.eum.go.kr/web/ar/lu/luLandDet.jsp?pnu=3611011200120850000&amp;isNoScr=script&amp;mode=search", "토지이음")</f>
        <v/>
      </c>
      <c r="S42" s="3" t="inlineStr">
        <is>
          <t>명성</t>
        </is>
      </c>
      <c r="T42" s="4" t="n">
        <v>2</v>
      </c>
      <c r="U42" s="5" t="n">
        <v>324.1</v>
      </c>
      <c r="V42" s="4" t="n">
        <v>12493</v>
      </c>
      <c r="W42" s="3" t="inlineStr">
        <is>
          <t>지정되지않음</t>
        </is>
      </c>
      <c r="X42" s="3" t="inlineStr">
        <is>
          <t>주거나지</t>
        </is>
      </c>
      <c r="Y42" s="3" t="inlineStr">
        <is>
          <t>평지</t>
        </is>
      </c>
      <c r="Z42" s="3" t="inlineStr">
        <is>
          <t>사다리형</t>
        </is>
      </c>
      <c r="AA42" s="3" t="inlineStr">
        <is>
          <t>중로한면</t>
        </is>
      </c>
    </row>
    <row r="43">
      <c r="A43" s="3" t="inlineStr">
        <is>
          <t>고운동 2085</t>
        </is>
      </c>
      <c r="B43" s="3" t="inlineStr">
        <is>
          <t>제1종전용주거지역</t>
        </is>
      </c>
      <c r="C43" s="3" t="inlineStr">
        <is>
          <t>대</t>
        </is>
      </c>
      <c r="D43" s="3" t="inlineStr">
        <is>
          <t>3</t>
        </is>
      </c>
      <c r="E43" s="3" t="inlineStr">
        <is>
          <t>단독</t>
        </is>
      </c>
      <c r="F43" s="3" t="inlineStr">
        <is>
          <t>매매</t>
        </is>
      </c>
      <c r="G43" s="4" t="n">
        <v>165000</v>
      </c>
      <c r="H43" s="4" t="n">
        <v>0</v>
      </c>
      <c r="I43" s="4" t="n">
        <v>336</v>
      </c>
      <c r="J43" s="4" t="n">
        <v>102</v>
      </c>
      <c r="K43" s="5" t="n">
        <v>1617.6</v>
      </c>
      <c r="L43" s="4" t="n">
        <v>253</v>
      </c>
      <c r="M43" s="4" t="n">
        <v>77</v>
      </c>
      <c r="N43" s="5" t="n">
        <v>2142.9</v>
      </c>
      <c r="O43" s="3" t="inlineStr">
        <is>
          <t>입지좋은 타운하우스매매, A타입, 온빛초, 정남향</t>
        </is>
      </c>
      <c r="P43" s="6">
        <f>HYPERLINK("https://fin.land.naver.com/articles/2652815452", "매물Link")</f>
        <v/>
      </c>
      <c r="Q43" s="6">
        <f>HYPERLINK("https://map.naver.com/p/search/고운동 2085", "지도Link")</f>
        <v/>
      </c>
      <c r="R43" s="6">
        <f>HYPERLINK("http://www.eum.go.kr/web/ar/lu/luLandDet.jsp?pnu=3611011200120850000&amp;isNoScr=script&amp;mode=search", "토지이음")</f>
        <v/>
      </c>
      <c r="S43" s="3" t="inlineStr">
        <is>
          <t>세종무지개</t>
        </is>
      </c>
      <c r="T43" s="4" t="n">
        <v>1</v>
      </c>
      <c r="U43" s="5" t="n">
        <v>324.1</v>
      </c>
      <c r="V43" s="4" t="n">
        <v>12493</v>
      </c>
      <c r="W43" s="3" t="inlineStr">
        <is>
          <t>지정되지않음</t>
        </is>
      </c>
      <c r="X43" s="3" t="inlineStr">
        <is>
          <t>주거나지</t>
        </is>
      </c>
      <c r="Y43" s="3" t="inlineStr">
        <is>
          <t>평지</t>
        </is>
      </c>
      <c r="Z43" s="3" t="inlineStr">
        <is>
          <t>사다리형</t>
        </is>
      </c>
      <c r="AA43" s="3" t="inlineStr">
        <is>
          <t>중로한면</t>
        </is>
      </c>
    </row>
    <row r="44">
      <c r="A44" s="3" t="inlineStr">
        <is>
          <t>고운동 2085</t>
        </is>
      </c>
      <c r="B44" s="3" t="inlineStr">
        <is>
          <t>제1종전용주거지역</t>
        </is>
      </c>
      <c r="C44" s="3" t="inlineStr">
        <is>
          <t>대</t>
        </is>
      </c>
      <c r="D44" s="3" t="inlineStr">
        <is>
          <t>3</t>
        </is>
      </c>
      <c r="E44" s="3" t="inlineStr">
        <is>
          <t>단독</t>
        </is>
      </c>
      <c r="F44" s="3" t="inlineStr">
        <is>
          <t>매매</t>
        </is>
      </c>
      <c r="G44" s="4" t="n">
        <v>160000</v>
      </c>
      <c r="H44" s="4" t="n">
        <v>0</v>
      </c>
      <c r="I44" s="4" t="n">
        <v>335</v>
      </c>
      <c r="J44" s="4" t="n">
        <v>101</v>
      </c>
      <c r="K44" s="5" t="n">
        <v>1584.2</v>
      </c>
      <c r="L44" s="4" t="n">
        <v>253</v>
      </c>
      <c r="M44" s="4" t="n">
        <v>77</v>
      </c>
      <c r="N44" s="5" t="n">
        <v>2077.9</v>
      </c>
      <c r="O44" s="3" t="inlineStr">
        <is>
          <t>프라이빗한 정원,  인네리어</t>
        </is>
      </c>
      <c r="P44" s="6">
        <f>HYPERLINK("https://fin.land.naver.com/articles/2649457044", "매물Link")</f>
        <v/>
      </c>
      <c r="Q44" s="6">
        <f>HYPERLINK("https://map.naver.com/p/search/고운동 2085", "지도Link")</f>
        <v/>
      </c>
      <c r="R44" s="6">
        <f>HYPERLINK("http://www.eum.go.kr/web/ar/lu/luLandDet.jsp?pnu=3611011200120850000&amp;isNoScr=script&amp;mode=search", "토지이음")</f>
        <v/>
      </c>
      <c r="S44" s="3" t="inlineStr">
        <is>
          <t>세종삼촌</t>
        </is>
      </c>
      <c r="T44" s="4" t="n">
        <v>1</v>
      </c>
      <c r="U44" s="5" t="n">
        <v>324.1</v>
      </c>
      <c r="V44" s="4" t="n">
        <v>12493</v>
      </c>
      <c r="W44" s="3" t="inlineStr">
        <is>
          <t>지정되지않음</t>
        </is>
      </c>
      <c r="X44" s="3" t="inlineStr">
        <is>
          <t>주거나지</t>
        </is>
      </c>
      <c r="Y44" s="3" t="inlineStr">
        <is>
          <t>평지</t>
        </is>
      </c>
      <c r="Z44" s="3" t="inlineStr">
        <is>
          <t>사다리형</t>
        </is>
      </c>
      <c r="AA44" s="3" t="inlineStr">
        <is>
          <t>중로한면</t>
        </is>
      </c>
    </row>
    <row r="45">
      <c r="A45" s="3" t="inlineStr">
        <is>
          <t>고운동 2085</t>
        </is>
      </c>
      <c r="B45" s="3" t="inlineStr">
        <is>
          <t>제1종전용주거지역</t>
        </is>
      </c>
      <c r="C45" s="3" t="inlineStr">
        <is>
          <t>대</t>
        </is>
      </c>
      <c r="D45" s="3" t="inlineStr">
        <is>
          <t>3</t>
        </is>
      </c>
      <c r="E45" s="3" t="inlineStr">
        <is>
          <t>단독</t>
        </is>
      </c>
      <c r="F45" s="3" t="inlineStr">
        <is>
          <t>매매</t>
        </is>
      </c>
      <c r="G45" s="4" t="n">
        <v>160000</v>
      </c>
      <c r="H45" s="4" t="n">
        <v>0</v>
      </c>
      <c r="I45" s="4" t="n">
        <v>336</v>
      </c>
      <c r="J45" s="4" t="n">
        <v>102</v>
      </c>
      <c r="K45" s="5" t="n">
        <v>1568.6</v>
      </c>
      <c r="L45" s="4" t="n">
        <v>253</v>
      </c>
      <c r="M45" s="4" t="n">
        <v>77</v>
      </c>
      <c r="N45" s="5" t="n">
        <v>2077.9</v>
      </c>
      <c r="O45" s="3" t="inlineStr">
        <is>
          <t>입지 최고 거주 및 투자추천, 선임대 맞춰짐, 실입주도 협의가능,</t>
        </is>
      </c>
      <c r="P45" s="6">
        <f>HYPERLINK("https://fin.land.naver.com/articles/2654400309", "매물Link")</f>
        <v/>
      </c>
      <c r="Q45" s="6">
        <f>HYPERLINK("https://map.naver.com/p/search/고운동 2085", "지도Link")</f>
        <v/>
      </c>
      <c r="R45" s="6">
        <f>HYPERLINK("http://www.eum.go.kr/web/ar/lu/luLandDet.jsp?pnu=3611011200120850000&amp;isNoScr=script&amp;mode=search", "토지이음")</f>
        <v/>
      </c>
      <c r="S45" s="3" t="inlineStr">
        <is>
          <t>백프로</t>
        </is>
      </c>
      <c r="T45" s="4" t="n">
        <v>1</v>
      </c>
      <c r="U45" s="5" t="n">
        <v>324.1</v>
      </c>
      <c r="V45" s="4" t="n">
        <v>12493</v>
      </c>
      <c r="W45" s="3" t="inlineStr">
        <is>
          <t>지정되지않음</t>
        </is>
      </c>
      <c r="X45" s="3" t="inlineStr">
        <is>
          <t>주거나지</t>
        </is>
      </c>
      <c r="Y45" s="3" t="inlineStr">
        <is>
          <t>평지</t>
        </is>
      </c>
      <c r="Z45" s="3" t="inlineStr">
        <is>
          <t>사다리형</t>
        </is>
      </c>
      <c r="AA45" s="3" t="inlineStr">
        <is>
          <t>중로한면</t>
        </is>
      </c>
    </row>
    <row r="46">
      <c r="A46" s="3" t="inlineStr">
        <is>
          <t>고운동 2085</t>
        </is>
      </c>
      <c r="B46" s="3" t="inlineStr">
        <is>
          <t>제1종전용주거지역</t>
        </is>
      </c>
      <c r="C46" s="3" t="inlineStr">
        <is>
          <t>대</t>
        </is>
      </c>
      <c r="D46" s="3" t="inlineStr">
        <is>
          <t>3</t>
        </is>
      </c>
      <c r="E46" s="3" t="inlineStr">
        <is>
          <t>단독</t>
        </is>
      </c>
      <c r="F46" s="3" t="inlineStr">
        <is>
          <t>매매</t>
        </is>
      </c>
      <c r="G46" s="4" t="n">
        <v>127600</v>
      </c>
      <c r="H46" s="4" t="n">
        <v>0</v>
      </c>
      <c r="I46" s="4" t="n">
        <v>353</v>
      </c>
      <c r="J46" s="4" t="n">
        <v>107</v>
      </c>
      <c r="K46" s="5" t="n">
        <v>1192.5</v>
      </c>
      <c r="L46" s="4" t="n">
        <v>224</v>
      </c>
      <c r="M46" s="4" t="n">
        <v>68</v>
      </c>
      <c r="N46" s="5" t="n">
        <v>1876.5</v>
      </c>
      <c r="O46" s="3" t="inlineStr">
        <is>
          <t>아르티엠 더블랙 선임대 완료 급매</t>
        </is>
      </c>
      <c r="P46" s="6">
        <f>HYPERLINK("https://fin.land.naver.com/articles/2650887284", "매물Link")</f>
        <v/>
      </c>
      <c r="Q46" s="6">
        <f>HYPERLINK("https://map.naver.com/p/search/고운동 2085", "지도Link")</f>
        <v/>
      </c>
      <c r="R46" s="6">
        <f>HYPERLINK("http://www.eum.go.kr/web/ar/lu/luLandDet.jsp?pnu=3611011200120850000&amp;isNoScr=script&amp;mode=search", "토지이음")</f>
        <v/>
      </c>
      <c r="S46" s="3" t="inlineStr">
        <is>
          <t>찬스</t>
        </is>
      </c>
      <c r="T46" s="4" t="n">
        <v>1</v>
      </c>
      <c r="U46" s="5" t="n">
        <v>324.1</v>
      </c>
      <c r="V46" s="4" t="n">
        <v>12493</v>
      </c>
      <c r="W46" s="3" t="inlineStr">
        <is>
          <t>지정되지않음</t>
        </is>
      </c>
      <c r="X46" s="3" t="inlineStr">
        <is>
          <t>주거나지</t>
        </is>
      </c>
      <c r="Y46" s="3" t="inlineStr">
        <is>
          <t>평지</t>
        </is>
      </c>
      <c r="Z46" s="3" t="inlineStr">
        <is>
          <t>사다리형</t>
        </is>
      </c>
      <c r="AA46" s="3" t="inlineStr">
        <is>
          <t>중로한면</t>
        </is>
      </c>
    </row>
    <row r="47">
      <c r="A47" s="3" t="inlineStr">
        <is>
          <t>고운동 2085</t>
        </is>
      </c>
      <c r="B47" s="3" t="inlineStr">
        <is>
          <t>제1종전용주거지역</t>
        </is>
      </c>
      <c r="C47" s="3" t="inlineStr">
        <is>
          <t>대</t>
        </is>
      </c>
      <c r="D47" s="3" t="inlineStr">
        <is>
          <t>3</t>
        </is>
      </c>
      <c r="E47" s="3" t="inlineStr">
        <is>
          <t>단독</t>
        </is>
      </c>
      <c r="F47" s="3" t="inlineStr">
        <is>
          <t>매매</t>
        </is>
      </c>
      <c r="G47" s="4" t="n">
        <v>140000</v>
      </c>
      <c r="H47" s="4" t="n">
        <v>0</v>
      </c>
      <c r="I47" s="4" t="n">
        <v>297</v>
      </c>
      <c r="J47" s="4" t="n">
        <v>90</v>
      </c>
      <c r="K47" s="5" t="n">
        <v>1555.6</v>
      </c>
      <c r="L47" s="4" t="n">
        <v>253</v>
      </c>
      <c r="M47" s="4" t="n">
        <v>77</v>
      </c>
      <c r="N47" s="5" t="n">
        <v>1818.2</v>
      </c>
      <c r="O47" s="3" t="inlineStr">
        <is>
          <t>급매,C타입,주인거주로집상태좋음.</t>
        </is>
      </c>
      <c r="P47" s="6">
        <f>HYPERLINK("https://fin.land.naver.com/articles/2653085610", "매물Link")</f>
        <v/>
      </c>
      <c r="Q47" s="6">
        <f>HYPERLINK("https://map.naver.com/p/search/고운동 2085", "지도Link")</f>
        <v/>
      </c>
      <c r="R47" s="6">
        <f>HYPERLINK("http://www.eum.go.kr/web/ar/lu/luLandDet.jsp?pnu=3611011200120850000&amp;isNoScr=script&amp;mode=search", "토지이음")</f>
        <v/>
      </c>
      <c r="S47" s="3" t="inlineStr">
        <is>
          <t>세종황소</t>
        </is>
      </c>
      <c r="T47" s="4" t="n">
        <v>1</v>
      </c>
      <c r="U47" s="5" t="n">
        <v>324.1</v>
      </c>
      <c r="V47" s="4" t="n">
        <v>12493</v>
      </c>
      <c r="W47" s="3" t="inlineStr">
        <is>
          <t>지정되지않음</t>
        </is>
      </c>
      <c r="X47" s="3" t="inlineStr">
        <is>
          <t>주거나지</t>
        </is>
      </c>
      <c r="Y47" s="3" t="inlineStr">
        <is>
          <t>평지</t>
        </is>
      </c>
      <c r="Z47" s="3" t="inlineStr">
        <is>
          <t>사다리형</t>
        </is>
      </c>
      <c r="AA47" s="3" t="inlineStr">
        <is>
          <t>중로한면</t>
        </is>
      </c>
    </row>
    <row r="48">
      <c r="A48" s="3" t="inlineStr">
        <is>
          <t>고운동 2085</t>
        </is>
      </c>
      <c r="B48" s="3" t="inlineStr">
        <is>
          <t>제1종전용주거지역</t>
        </is>
      </c>
      <c r="C48" s="3" t="inlineStr">
        <is>
          <t>대</t>
        </is>
      </c>
      <c r="D48" s="3" t="inlineStr">
        <is>
          <t>3</t>
        </is>
      </c>
      <c r="E48" s="3" t="inlineStr">
        <is>
          <t>단독</t>
        </is>
      </c>
      <c r="F48" s="3" t="inlineStr">
        <is>
          <t>매매</t>
        </is>
      </c>
      <c r="G48" s="4" t="n">
        <v>160000</v>
      </c>
      <c r="H48" s="4" t="n">
        <v>0</v>
      </c>
      <c r="I48" s="4" t="n">
        <v>404</v>
      </c>
      <c r="J48" s="4" t="n">
        <v>122</v>
      </c>
      <c r="K48" s="5" t="n">
        <v>1311.5</v>
      </c>
      <c r="L48" s="4" t="n">
        <v>253</v>
      </c>
      <c r="M48" s="4" t="n">
        <v>77</v>
      </c>
      <c r="N48" s="5" t="n">
        <v>2077.9</v>
      </c>
      <c r="O48" s="3" t="inlineStr">
        <is>
          <t>프라이빗 코너 호수의 완벽한 유럽풍 라이프</t>
        </is>
      </c>
      <c r="P48" s="6">
        <f>HYPERLINK("https://fin.land.naver.com/articles/2654054184", "매물Link")</f>
        <v/>
      </c>
      <c r="Q48" s="6">
        <f>HYPERLINK("https://map.naver.com/p/search/고운동 2085", "지도Link")</f>
        <v/>
      </c>
      <c r="R48" s="6">
        <f>HYPERLINK("http://www.eum.go.kr/web/ar/lu/luLandDet.jsp?pnu=3611011200120850000&amp;isNoScr=script&amp;mode=search", "토지이음")</f>
        <v/>
      </c>
      <c r="S48" s="3" t="inlineStr">
        <is>
          <t>찬스</t>
        </is>
      </c>
      <c r="T48" s="4" t="n">
        <v>1</v>
      </c>
      <c r="U48" s="5" t="n">
        <v>324.1</v>
      </c>
      <c r="V48" s="4" t="n">
        <v>12493</v>
      </c>
      <c r="W48" s="3" t="inlineStr">
        <is>
          <t>지정되지않음</t>
        </is>
      </c>
      <c r="X48" s="3" t="inlineStr">
        <is>
          <t>주거나지</t>
        </is>
      </c>
      <c r="Y48" s="3" t="inlineStr">
        <is>
          <t>평지</t>
        </is>
      </c>
      <c r="Z48" s="3" t="inlineStr">
        <is>
          <t>사다리형</t>
        </is>
      </c>
      <c r="AA48" s="3" t="inlineStr">
        <is>
          <t>중로한면</t>
        </is>
      </c>
    </row>
    <row r="49">
      <c r="A49" s="3" t="inlineStr">
        <is>
          <t>고운동 2085</t>
        </is>
      </c>
      <c r="B49" s="3" t="inlineStr">
        <is>
          <t>제1종전용주거지역</t>
        </is>
      </c>
      <c r="C49" s="3" t="inlineStr">
        <is>
          <t>대</t>
        </is>
      </c>
      <c r="D49" s="3" t="inlineStr">
        <is>
          <t>3</t>
        </is>
      </c>
      <c r="E49" s="3" t="inlineStr">
        <is>
          <t>단독</t>
        </is>
      </c>
      <c r="F49" s="3" t="inlineStr">
        <is>
          <t>매매</t>
        </is>
      </c>
      <c r="G49" s="4" t="n">
        <v>127600</v>
      </c>
      <c r="H49" s="4" t="n">
        <v>0</v>
      </c>
      <c r="I49" s="4" t="n">
        <v>356</v>
      </c>
      <c r="J49" s="4" t="n">
        <v>108</v>
      </c>
      <c r="K49" s="5" t="n">
        <v>1181.5</v>
      </c>
      <c r="L49" s="4" t="n">
        <v>224</v>
      </c>
      <c r="M49" s="4" t="n">
        <v>68</v>
      </c>
      <c r="N49" s="5" t="n">
        <v>1876.5</v>
      </c>
      <c r="O49" s="3" t="inlineStr">
        <is>
          <t>아르티엠 더블랙 선임대 완료 급매</t>
        </is>
      </c>
      <c r="P49" s="6">
        <f>HYPERLINK("https://fin.land.naver.com/articles/2651673384", "매물Link")</f>
        <v/>
      </c>
      <c r="Q49" s="6">
        <f>HYPERLINK("https://map.naver.com/p/search/고운동 2085", "지도Link")</f>
        <v/>
      </c>
      <c r="R49" s="6">
        <f>HYPERLINK("http://www.eum.go.kr/web/ar/lu/luLandDet.jsp?pnu=3611011200120850000&amp;isNoScr=script&amp;mode=search", "토지이음")</f>
        <v/>
      </c>
      <c r="S49" s="3" t="inlineStr">
        <is>
          <t>찬스</t>
        </is>
      </c>
      <c r="T49" s="4" t="n">
        <v>1</v>
      </c>
      <c r="U49" s="5" t="n">
        <v>324.1</v>
      </c>
      <c r="V49" s="4" t="n">
        <v>12493</v>
      </c>
      <c r="W49" s="3" t="inlineStr">
        <is>
          <t>지정되지않음</t>
        </is>
      </c>
      <c r="X49" s="3" t="inlineStr">
        <is>
          <t>주거나지</t>
        </is>
      </c>
      <c r="Y49" s="3" t="inlineStr">
        <is>
          <t>평지</t>
        </is>
      </c>
      <c r="Z49" s="3" t="inlineStr">
        <is>
          <t>사다리형</t>
        </is>
      </c>
      <c r="AA49" s="3" t="inlineStr">
        <is>
          <t>중로한면</t>
        </is>
      </c>
    </row>
    <row r="50">
      <c r="A50" s="3" t="inlineStr">
        <is>
          <t>고운동 2085</t>
        </is>
      </c>
      <c r="B50" s="3" t="inlineStr">
        <is>
          <t>제1종전용주거지역</t>
        </is>
      </c>
      <c r="C50" s="3" t="inlineStr">
        <is>
          <t>대</t>
        </is>
      </c>
      <c r="D50" s="3" t="inlineStr">
        <is>
          <t>3</t>
        </is>
      </c>
      <c r="E50" s="3" t="inlineStr">
        <is>
          <t>단독</t>
        </is>
      </c>
      <c r="F50" s="3" t="inlineStr">
        <is>
          <t>매매</t>
        </is>
      </c>
      <c r="G50" s="4" t="n">
        <v>131400</v>
      </c>
      <c r="H50" s="4" t="n">
        <v>0</v>
      </c>
      <c r="I50" s="4" t="n">
        <v>370</v>
      </c>
      <c r="J50" s="4" t="n">
        <v>112</v>
      </c>
      <c r="K50" s="5" t="n">
        <v>1173.2</v>
      </c>
      <c r="L50" s="4" t="n">
        <v>224</v>
      </c>
      <c r="M50" s="4" t="n">
        <v>68</v>
      </c>
      <c r="N50" s="5" t="n">
        <v>1932.4</v>
      </c>
      <c r="O50" s="3" t="inlineStr">
        <is>
          <t>아르티엠 더블랙 선임대 완료 급매</t>
        </is>
      </c>
      <c r="P50" s="6">
        <f>HYPERLINK("https://fin.land.naver.com/articles/2651673423", "매물Link")</f>
        <v/>
      </c>
      <c r="Q50" s="6">
        <f>HYPERLINK("https://map.naver.com/p/search/고운동 2085", "지도Link")</f>
        <v/>
      </c>
      <c r="R50" s="6">
        <f>HYPERLINK("http://www.eum.go.kr/web/ar/lu/luLandDet.jsp?pnu=3611011200120850000&amp;isNoScr=script&amp;mode=search", "토지이음")</f>
        <v/>
      </c>
      <c r="S50" s="3" t="inlineStr">
        <is>
          <t>찬스</t>
        </is>
      </c>
      <c r="T50" s="4" t="n">
        <v>1</v>
      </c>
      <c r="U50" s="5" t="n">
        <v>324.1</v>
      </c>
      <c r="V50" s="4" t="n">
        <v>12493</v>
      </c>
      <c r="W50" s="3" t="inlineStr">
        <is>
          <t>지정되지않음</t>
        </is>
      </c>
      <c r="X50" s="3" t="inlineStr">
        <is>
          <t>주거나지</t>
        </is>
      </c>
      <c r="Y50" s="3" t="inlineStr">
        <is>
          <t>평지</t>
        </is>
      </c>
      <c r="Z50" s="3" t="inlineStr">
        <is>
          <t>사다리형</t>
        </is>
      </c>
      <c r="AA50" s="3" t="inlineStr">
        <is>
          <t>중로한면</t>
        </is>
      </c>
    </row>
    <row r="51">
      <c r="A51" s="3" t="inlineStr">
        <is>
          <t>고운동 2085</t>
        </is>
      </c>
      <c r="B51" s="3" t="inlineStr">
        <is>
          <t>제1종전용주거지역</t>
        </is>
      </c>
      <c r="C51" s="3" t="inlineStr">
        <is>
          <t>대</t>
        </is>
      </c>
      <c r="D51" s="3" t="inlineStr">
        <is>
          <t>3</t>
        </is>
      </c>
      <c r="E51" s="3" t="inlineStr">
        <is>
          <t>단독</t>
        </is>
      </c>
      <c r="F51" s="3" t="inlineStr">
        <is>
          <t>매매</t>
        </is>
      </c>
      <c r="G51" s="4" t="n">
        <v>158000</v>
      </c>
      <c r="H51" s="4" t="n">
        <v>0</v>
      </c>
      <c r="I51" s="4" t="n">
        <v>418</v>
      </c>
      <c r="J51" s="4" t="n">
        <v>126</v>
      </c>
      <c r="K51" s="5" t="n">
        <v>1254</v>
      </c>
      <c r="L51" s="4" t="n">
        <v>253</v>
      </c>
      <c r="M51" s="4" t="n">
        <v>77</v>
      </c>
      <c r="N51" s="5" t="n">
        <v>2051.9</v>
      </c>
      <c r="O51" s="3" t="inlineStr">
        <is>
          <t>아르티엠 더블랙 C타입 선임대 완료 급매</t>
        </is>
      </c>
      <c r="P51" s="6">
        <f>HYPERLINK("https://fin.land.naver.com/articles/2651673445", "매물Link")</f>
        <v/>
      </c>
      <c r="Q51" s="6">
        <f>HYPERLINK("https://map.naver.com/p/search/고운동 2085", "지도Link")</f>
        <v/>
      </c>
      <c r="R51" s="6">
        <f>HYPERLINK("http://www.eum.go.kr/web/ar/lu/luLandDet.jsp?pnu=3611011200120850000&amp;isNoScr=script&amp;mode=search", "토지이음")</f>
        <v/>
      </c>
      <c r="S51" s="3" t="inlineStr">
        <is>
          <t>찬스</t>
        </is>
      </c>
      <c r="T51" s="4" t="n">
        <v>1</v>
      </c>
      <c r="U51" s="5" t="n">
        <v>324.1</v>
      </c>
      <c r="V51" s="4" t="n">
        <v>12493</v>
      </c>
      <c r="W51" s="3" t="inlineStr">
        <is>
          <t>지정되지않음</t>
        </is>
      </c>
      <c r="X51" s="3" t="inlineStr">
        <is>
          <t>주거나지</t>
        </is>
      </c>
      <c r="Y51" s="3" t="inlineStr">
        <is>
          <t>평지</t>
        </is>
      </c>
      <c r="Z51" s="3" t="inlineStr">
        <is>
          <t>사다리형</t>
        </is>
      </c>
      <c r="AA51" s="3" t="inlineStr">
        <is>
          <t>중로한면</t>
        </is>
      </c>
    </row>
    <row r="52">
      <c r="A52" s="3" t="inlineStr">
        <is>
          <t>고운동 2085</t>
        </is>
      </c>
      <c r="B52" s="3" t="inlineStr">
        <is>
          <t>제1종전용주거지역</t>
        </is>
      </c>
      <c r="C52" s="3" t="inlineStr">
        <is>
          <t>대</t>
        </is>
      </c>
      <c r="D52" s="3" t="inlineStr">
        <is>
          <t>3</t>
        </is>
      </c>
      <c r="E52" s="3" t="inlineStr">
        <is>
          <t>단독</t>
        </is>
      </c>
      <c r="F52" s="3" t="inlineStr">
        <is>
          <t>매매</t>
        </is>
      </c>
      <c r="G52" s="4" t="n">
        <v>165000</v>
      </c>
      <c r="H52" s="4" t="n">
        <v>0</v>
      </c>
      <c r="I52" s="4" t="n">
        <v>336</v>
      </c>
      <c r="J52" s="4" t="n">
        <v>102</v>
      </c>
      <c r="K52" s="5" t="n">
        <v>1617.6</v>
      </c>
      <c r="L52" s="4" t="n">
        <v>253</v>
      </c>
      <c r="M52" s="4" t="n">
        <v>77</v>
      </c>
      <c r="N52" s="5" t="n">
        <v>2142.9</v>
      </c>
      <c r="O52" s="3" t="inlineStr">
        <is>
          <t>초품아, 거주 만족도 높은  관리최상  매물, 협의입주</t>
        </is>
      </c>
      <c r="P52" s="6">
        <f>HYPERLINK("https://fin.land.naver.com/articles/2654558667", "매물Link")</f>
        <v/>
      </c>
      <c r="Q52" s="6">
        <f>HYPERLINK("https://map.naver.com/p/search/고운동 2085", "지도Link")</f>
        <v/>
      </c>
      <c r="R52" s="6">
        <f>HYPERLINK("http://www.eum.go.kr/web/ar/lu/luLandDet.jsp?pnu=3611011200120850000&amp;isNoScr=script&amp;mode=search", "토지이음")</f>
        <v/>
      </c>
      <c r="S52" s="3" t="inlineStr">
        <is>
          <t>백프로</t>
        </is>
      </c>
      <c r="T52" s="4" t="n">
        <v>2</v>
      </c>
      <c r="U52" s="5" t="n">
        <v>324.1</v>
      </c>
      <c r="V52" s="4" t="n">
        <v>12493</v>
      </c>
      <c r="W52" s="3" t="inlineStr">
        <is>
          <t>지정되지않음</t>
        </is>
      </c>
      <c r="X52" s="3" t="inlineStr">
        <is>
          <t>주거나지</t>
        </is>
      </c>
      <c r="Y52" s="3" t="inlineStr">
        <is>
          <t>평지</t>
        </is>
      </c>
      <c r="Z52" s="3" t="inlineStr">
        <is>
          <t>사다리형</t>
        </is>
      </c>
      <c r="AA52" s="3" t="inlineStr">
        <is>
          <t>중로한면</t>
        </is>
      </c>
    </row>
    <row r="53">
      <c r="A53" s="3" t="inlineStr">
        <is>
          <t>고운동 2085</t>
        </is>
      </c>
      <c r="B53" s="3" t="inlineStr">
        <is>
          <t>제1종전용주거지역</t>
        </is>
      </c>
      <c r="C53" s="3" t="inlineStr">
        <is>
          <t>대</t>
        </is>
      </c>
      <c r="D53" s="3" t="inlineStr">
        <is>
          <t>3</t>
        </is>
      </c>
      <c r="E53" s="3" t="inlineStr">
        <is>
          <t>단독</t>
        </is>
      </c>
      <c r="F53" s="3" t="inlineStr">
        <is>
          <t>매매</t>
        </is>
      </c>
      <c r="G53" s="4" t="n">
        <v>160000</v>
      </c>
      <c r="H53" s="4" t="n">
        <v>0</v>
      </c>
      <c r="I53" s="4" t="n">
        <v>323</v>
      </c>
      <c r="J53" s="4" t="n">
        <v>98</v>
      </c>
      <c r="K53" s="5" t="n">
        <v>1632.7</v>
      </c>
      <c r="L53" s="4" t="n">
        <v>253</v>
      </c>
      <c r="M53" s="4" t="n">
        <v>77</v>
      </c>
      <c r="N53" s="5" t="n">
        <v>2077.9</v>
      </c>
      <c r="O53" s="3" t="inlineStr">
        <is>
          <t>아르티엠 더블랙  초품아 프리미엄과 풀옵션이 만난 완벽한 타운하우스</t>
        </is>
      </c>
      <c r="P53" s="6">
        <f>HYPERLINK("https://fin.land.naver.com/articles/2651672445", "매물Link")</f>
        <v/>
      </c>
      <c r="Q53" s="6">
        <f>HYPERLINK("https://map.naver.com/p/search/고운동 2085", "지도Link")</f>
        <v/>
      </c>
      <c r="R53" s="6">
        <f>HYPERLINK("http://www.eum.go.kr/web/ar/lu/luLandDet.jsp?pnu=3611011200120850000&amp;isNoScr=script&amp;mode=search", "토지이음")</f>
        <v/>
      </c>
      <c r="S53" s="3" t="inlineStr">
        <is>
          <t>찬스</t>
        </is>
      </c>
      <c r="T53" s="4" t="n">
        <v>1</v>
      </c>
      <c r="U53" s="5" t="n">
        <v>324.1</v>
      </c>
      <c r="V53" s="4" t="n">
        <v>12493</v>
      </c>
      <c r="W53" s="3" t="inlineStr">
        <is>
          <t>지정되지않음</t>
        </is>
      </c>
      <c r="X53" s="3" t="inlineStr">
        <is>
          <t>주거나지</t>
        </is>
      </c>
      <c r="Y53" s="3" t="inlineStr">
        <is>
          <t>평지</t>
        </is>
      </c>
      <c r="Z53" s="3" t="inlineStr">
        <is>
          <t>사다리형</t>
        </is>
      </c>
      <c r="AA53" s="3" t="inlineStr">
        <is>
          <t>중로한면</t>
        </is>
      </c>
    </row>
    <row r="54">
      <c r="A54" s="3" t="inlineStr">
        <is>
          <t>고운동 2106-13</t>
        </is>
      </c>
      <c r="B54" s="3" t="inlineStr">
        <is>
          <t>제1종전용주거지역</t>
        </is>
      </c>
      <c r="C54" s="3" t="inlineStr">
        <is>
          <t>대</t>
        </is>
      </c>
      <c r="D54" s="3" t="inlineStr">
        <is>
          <t>1</t>
        </is>
      </c>
      <c r="E54" s="3" t="inlineStr">
        <is>
          <t>단독</t>
        </is>
      </c>
      <c r="F54" s="3" t="inlineStr">
        <is>
          <t>월세</t>
        </is>
      </c>
      <c r="G54" s="4" t="n">
        <v>50000</v>
      </c>
      <c r="H54" s="4" t="n">
        <v>200</v>
      </c>
      <c r="I54" s="4" t="n">
        <v>192</v>
      </c>
      <c r="J54" s="4" t="n">
        <v>58</v>
      </c>
      <c r="K54" s="5" t="n">
        <v>3.4</v>
      </c>
      <c r="L54" s="4" t="n">
        <v>192</v>
      </c>
      <c r="M54" s="4" t="n">
        <v>58</v>
      </c>
      <c r="N54" s="5" t="n">
        <v>3.4</v>
      </c>
      <c r="O54" s="3" t="inlineStr">
        <is>
          <t>전세도 가능, 입주 협의가능, 입지 좋은 타운하우스</t>
        </is>
      </c>
      <c r="P54" s="6">
        <f>HYPERLINK("https://fin.land.naver.com/articles/2654049382", "매물Link")</f>
        <v/>
      </c>
      <c r="Q54" s="6">
        <f>HYPERLINK("https://map.naver.com/p/search/고운동 2106-13", "지도Link")</f>
        <v/>
      </c>
      <c r="R54" s="6">
        <f>HYPERLINK("http://www.eum.go.kr/web/ar/lu/luLandDet.jsp?pnu=3611011200121060013&amp;isNoScr=script&amp;mode=search", "토지이음")</f>
        <v/>
      </c>
      <c r="S54" s="3" t="inlineStr">
        <is>
          <t>세종무지개</t>
        </is>
      </c>
      <c r="T54" s="4" t="n">
        <v>1</v>
      </c>
      <c r="U54" s="5" t="n">
        <v>290.5</v>
      </c>
      <c r="V54" s="4" t="n">
        <v>379</v>
      </c>
      <c r="W54" s="3" t="inlineStr">
        <is>
          <t>지정되지않음</t>
        </is>
      </c>
      <c r="X54" s="3" t="inlineStr">
        <is>
          <t>주거나지</t>
        </is>
      </c>
      <c r="Y54" s="3" t="inlineStr">
        <is>
          <t>평지</t>
        </is>
      </c>
      <c r="Z54" s="3" t="inlineStr">
        <is>
          <t>사다리형</t>
        </is>
      </c>
      <c r="AA54" s="3" t="inlineStr">
        <is>
          <t>중로각지</t>
        </is>
      </c>
    </row>
    <row r="55">
      <c r="A55" s="3" t="inlineStr">
        <is>
          <t>고운동 2106-13</t>
        </is>
      </c>
      <c r="B55" s="3" t="inlineStr">
        <is>
          <t>제1종전용주거지역</t>
        </is>
      </c>
      <c r="C55" s="3" t="inlineStr">
        <is>
          <t>대</t>
        </is>
      </c>
      <c r="D55" s="3" t="inlineStr">
        <is>
          <t>1</t>
        </is>
      </c>
      <c r="E55" s="3" t="inlineStr">
        <is>
          <t>단독</t>
        </is>
      </c>
      <c r="F55" s="3" t="inlineStr">
        <is>
          <t>전세</t>
        </is>
      </c>
      <c r="G55" s="4" t="n">
        <v>80000</v>
      </c>
      <c r="H55" s="4" t="n">
        <v>0</v>
      </c>
      <c r="I55" s="4" t="n">
        <v>192</v>
      </c>
      <c r="J55" s="4" t="n">
        <v>58</v>
      </c>
      <c r="K55" s="5" t="n">
        <v>1379.3</v>
      </c>
      <c r="L55" s="4" t="n">
        <v>192</v>
      </c>
      <c r="M55" s="4" t="n">
        <v>58</v>
      </c>
      <c r="N55" s="5" t="n">
        <v>1379.3</v>
      </c>
      <c r="O55" s="3" t="inlineStr">
        <is>
          <t>고급 타운하우스 전세, 월세도 가능, 협의 입주 가능</t>
        </is>
      </c>
      <c r="P55" s="6">
        <f>HYPERLINK("https://fin.land.naver.com/articles/2654220722", "매물Link")</f>
        <v/>
      </c>
      <c r="Q55" s="6">
        <f>HYPERLINK("https://map.naver.com/p/search/고운동 2106-13", "지도Link")</f>
        <v/>
      </c>
      <c r="R55" s="6">
        <f>HYPERLINK("http://www.eum.go.kr/web/ar/lu/luLandDet.jsp?pnu=3611011200121060013&amp;isNoScr=script&amp;mode=search", "토지이음")</f>
        <v/>
      </c>
      <c r="S55" s="3" t="inlineStr">
        <is>
          <t>명진</t>
        </is>
      </c>
      <c r="T55" s="4" t="n">
        <v>1</v>
      </c>
      <c r="U55" s="5" t="n">
        <v>290.5</v>
      </c>
      <c r="V55" s="4" t="n">
        <v>379</v>
      </c>
      <c r="W55" s="3" t="inlineStr">
        <is>
          <t>지정되지않음</t>
        </is>
      </c>
      <c r="X55" s="3" t="inlineStr">
        <is>
          <t>주거나지</t>
        </is>
      </c>
      <c r="Y55" s="3" t="inlineStr">
        <is>
          <t>평지</t>
        </is>
      </c>
      <c r="Z55" s="3" t="inlineStr">
        <is>
          <t>사다리형</t>
        </is>
      </c>
      <c r="AA55" s="3" t="inlineStr">
        <is>
          <t>중로각지</t>
        </is>
      </c>
    </row>
    <row r="56">
      <c r="A56" s="3" t="inlineStr">
        <is>
          <t>고운동 2127</t>
        </is>
      </c>
      <c r="B56" s="3" t="inlineStr">
        <is>
          <t>제1종전용주거지역</t>
        </is>
      </c>
      <c r="C56" s="3" t="inlineStr">
        <is>
          <t>대</t>
        </is>
      </c>
      <c r="D56" s="3" t="inlineStr">
        <is>
          <t>1</t>
        </is>
      </c>
      <c r="E56" s="3" t="inlineStr">
        <is>
          <t>단독</t>
        </is>
      </c>
      <c r="F56" s="3" t="inlineStr">
        <is>
          <t>매매</t>
        </is>
      </c>
      <c r="G56" s="4" t="n">
        <v>120000</v>
      </c>
      <c r="H56" s="4" t="n">
        <v>0</v>
      </c>
      <c r="I56" s="4" t="n">
        <v>301</v>
      </c>
      <c r="J56" s="4" t="n">
        <v>91</v>
      </c>
      <c r="K56" s="5" t="n">
        <v>1318.7</v>
      </c>
      <c r="L56" s="4" t="n">
        <v>147</v>
      </c>
      <c r="M56" s="4" t="n">
        <v>44</v>
      </c>
      <c r="N56" s="5" t="n">
        <v>2727.3</v>
      </c>
      <c r="O56" s="3" t="inlineStr">
        <is>
          <t>급매 추가조율가능 단층 한옥주택 방2개 지하있음</t>
        </is>
      </c>
      <c r="P56" s="6">
        <f>HYPERLINK("https://fin.land.naver.com/articles/2653676438", "매물Link")</f>
        <v/>
      </c>
      <c r="Q56" s="6">
        <f>HYPERLINK("https://map.naver.com/p/search/고운동 2127", "지도Link")</f>
        <v/>
      </c>
      <c r="R56" s="6">
        <f>HYPERLINK("http://www.eum.go.kr/web/ar/lu/luLandDet.jsp?pnu=3611011200121270000&amp;isNoScr=script&amp;mode=search", "토지이음")</f>
        <v/>
      </c>
      <c r="S56" s="3" t="inlineStr">
        <is>
          <t>세종스타</t>
        </is>
      </c>
      <c r="T56" s="4" t="n">
        <v>1</v>
      </c>
      <c r="U56" s="5" t="n">
        <v>249.7</v>
      </c>
      <c r="V56" s="4" t="n">
        <v>301.7</v>
      </c>
      <c r="W56" s="3" t="inlineStr">
        <is>
          <t>지정되지않음</t>
        </is>
      </c>
      <c r="X56" s="3" t="inlineStr">
        <is>
          <t>주거나지</t>
        </is>
      </c>
      <c r="Y56" s="3" t="inlineStr">
        <is>
          <t>평지</t>
        </is>
      </c>
      <c r="Z56" s="3" t="inlineStr">
        <is>
          <t>사다리형</t>
        </is>
      </c>
      <c r="AA56" s="3" t="inlineStr">
        <is>
          <t>세로한면(가)</t>
        </is>
      </c>
    </row>
    <row r="57">
      <c r="A57" s="3" t="inlineStr">
        <is>
          <t>고운동 2127</t>
        </is>
      </c>
      <c r="B57" s="3" t="inlineStr">
        <is>
          <t>제1종전용주거지역</t>
        </is>
      </c>
      <c r="C57" s="3" t="inlineStr">
        <is>
          <t>대</t>
        </is>
      </c>
      <c r="D57" s="3" t="inlineStr">
        <is>
          <t>1</t>
        </is>
      </c>
      <c r="E57" s="3" t="inlineStr">
        <is>
          <t>단독</t>
        </is>
      </c>
      <c r="F57" s="3" t="inlineStr">
        <is>
          <t>매매</t>
        </is>
      </c>
      <c r="G57" s="4" t="n">
        <v>120000</v>
      </c>
      <c r="H57" s="4" t="n">
        <v>0</v>
      </c>
      <c r="I57" s="4" t="n">
        <v>301</v>
      </c>
      <c r="J57" s="4" t="n">
        <v>91</v>
      </c>
      <c r="K57" s="5" t="n">
        <v>1318.7</v>
      </c>
      <c r="L57" s="4" t="n">
        <v>147</v>
      </c>
      <c r="M57" s="4" t="n">
        <v>44</v>
      </c>
      <c r="N57" s="5" t="n">
        <v>2727.3</v>
      </c>
      <c r="O57" s="3" t="inlineStr">
        <is>
          <t>한옥매매, 방2개, 화장실2개, 지하 방으로 사용가능</t>
        </is>
      </c>
      <c r="P57" s="6">
        <f>HYPERLINK("https://fin.land.naver.com/articles/2653889844", "매물Link")</f>
        <v/>
      </c>
      <c r="Q57" s="6">
        <f>HYPERLINK("https://map.naver.com/p/search/고운동 2127", "지도Link")</f>
        <v/>
      </c>
      <c r="R57" s="6">
        <f>HYPERLINK("http://www.eum.go.kr/web/ar/lu/luLandDet.jsp?pnu=3611011200121270000&amp;isNoScr=script&amp;mode=search", "토지이음")</f>
        <v/>
      </c>
      <c r="S57" s="3" t="inlineStr">
        <is>
          <t>명진</t>
        </is>
      </c>
      <c r="T57" s="4" t="n">
        <v>1</v>
      </c>
      <c r="U57" s="5" t="n">
        <v>249.7</v>
      </c>
      <c r="V57" s="4" t="n">
        <v>301.7</v>
      </c>
      <c r="W57" s="3" t="inlineStr">
        <is>
          <t>지정되지않음</t>
        </is>
      </c>
      <c r="X57" s="3" t="inlineStr">
        <is>
          <t>주거나지</t>
        </is>
      </c>
      <c r="Y57" s="3" t="inlineStr">
        <is>
          <t>평지</t>
        </is>
      </c>
      <c r="Z57" s="3" t="inlineStr">
        <is>
          <t>사다리형</t>
        </is>
      </c>
      <c r="AA57" s="3" t="inlineStr">
        <is>
          <t>세로한면(가)</t>
        </is>
      </c>
    </row>
    <row r="58">
      <c r="A58" s="3" t="inlineStr">
        <is>
          <t>고운동 2127</t>
        </is>
      </c>
      <c r="B58" s="3" t="inlineStr">
        <is>
          <t>제1종전용주거지역</t>
        </is>
      </c>
      <c r="C58" s="3" t="inlineStr">
        <is>
          <t>대</t>
        </is>
      </c>
      <c r="D58" s="3" t="inlineStr">
        <is>
          <t>1</t>
        </is>
      </c>
      <c r="E58" s="3" t="inlineStr">
        <is>
          <t>단독</t>
        </is>
      </c>
      <c r="F58" s="3" t="inlineStr">
        <is>
          <t>매매</t>
        </is>
      </c>
      <c r="G58" s="4" t="n">
        <v>120000</v>
      </c>
      <c r="H58" s="4" t="n">
        <v>0</v>
      </c>
      <c r="I58" s="4" t="n">
        <v>301</v>
      </c>
      <c r="J58" s="4" t="n">
        <v>91</v>
      </c>
      <c r="K58" s="5" t="n">
        <v>1318.7</v>
      </c>
      <c r="L58" s="4" t="n">
        <v>147</v>
      </c>
      <c r="M58" s="4" t="n">
        <v>44</v>
      </c>
      <c r="N58" s="5" t="n">
        <v>2727.3</v>
      </c>
      <c r="O58" s="3" t="inlineStr">
        <is>
          <t>전통미 멋스럽고 고즈넉한 한옥 단독 주택 매매. 지하층설계까지 꼼꼼한 집</t>
        </is>
      </c>
      <c r="P58" s="6">
        <f>HYPERLINK("https://fin.land.naver.com/articles/2651959052", "매물Link")</f>
        <v/>
      </c>
      <c r="Q58" s="6">
        <f>HYPERLINK("https://map.naver.com/p/search/고운동 2127", "지도Link")</f>
        <v/>
      </c>
      <c r="R58" s="6">
        <f>HYPERLINK("http://www.eum.go.kr/web/ar/lu/luLandDet.jsp?pnu=3611011200121270000&amp;isNoScr=script&amp;mode=search", "토지이음")</f>
        <v/>
      </c>
      <c r="S58" s="3" t="inlineStr">
        <is>
          <t>세종올리브</t>
        </is>
      </c>
      <c r="T58" s="4" t="n">
        <v>1</v>
      </c>
      <c r="U58" s="5" t="n">
        <v>249.7</v>
      </c>
      <c r="V58" s="4" t="n">
        <v>301.7</v>
      </c>
      <c r="W58" s="3" t="inlineStr">
        <is>
          <t>지정되지않음</t>
        </is>
      </c>
      <c r="X58" s="3" t="inlineStr">
        <is>
          <t>주거나지</t>
        </is>
      </c>
      <c r="Y58" s="3" t="inlineStr">
        <is>
          <t>평지</t>
        </is>
      </c>
      <c r="Z58" s="3" t="inlineStr">
        <is>
          <t>사다리형</t>
        </is>
      </c>
      <c r="AA58" s="3" t="inlineStr">
        <is>
          <t>세로한면(가)</t>
        </is>
      </c>
    </row>
    <row r="59">
      <c r="A59" s="3" t="inlineStr">
        <is>
          <t>고운동 2127</t>
        </is>
      </c>
      <c r="B59" s="3" t="inlineStr">
        <is>
          <t>제1종전용주거지역</t>
        </is>
      </c>
      <c r="C59" s="3" t="inlineStr">
        <is>
          <t>대</t>
        </is>
      </c>
      <c r="D59" s="3" t="inlineStr">
        <is>
          <t>1</t>
        </is>
      </c>
      <c r="E59" s="3" t="inlineStr">
        <is>
          <t>단독</t>
        </is>
      </c>
      <c r="F59" s="3" t="inlineStr">
        <is>
          <t>매매</t>
        </is>
      </c>
      <c r="G59" s="4" t="n">
        <v>120000</v>
      </c>
      <c r="H59" s="4" t="n">
        <v>0</v>
      </c>
      <c r="I59" s="4" t="n">
        <v>301</v>
      </c>
      <c r="J59" s="4" t="n">
        <v>91</v>
      </c>
      <c r="K59" s="5" t="n">
        <v>1318.7</v>
      </c>
      <c r="L59" s="4" t="n">
        <v>147</v>
      </c>
      <c r="M59" s="4" t="n">
        <v>44</v>
      </c>
      <c r="N59" s="5" t="n">
        <v>2727.3</v>
      </c>
      <c r="O59" s="3" t="inlineStr">
        <is>
          <t>가격조정가능 고운동한옥마을단독주택</t>
        </is>
      </c>
      <c r="P59" s="6">
        <f>HYPERLINK("https://fin.land.naver.com/articles/2654259841", "매물Link")</f>
        <v/>
      </c>
      <c r="Q59" s="6">
        <f>HYPERLINK("https://map.naver.com/p/search/고운동 2127", "지도Link")</f>
        <v/>
      </c>
      <c r="R59" s="6">
        <f>HYPERLINK("http://www.eum.go.kr/web/ar/lu/luLandDet.jsp?pnu=3611011200121270000&amp;isNoScr=script&amp;mode=search", "토지이음")</f>
        <v/>
      </c>
      <c r="S59" s="3" t="inlineStr">
        <is>
          <t>새롬스마트</t>
        </is>
      </c>
      <c r="T59" s="4" t="n">
        <v>2</v>
      </c>
      <c r="U59" s="5" t="n">
        <v>249.7</v>
      </c>
      <c r="V59" s="4" t="n">
        <v>301.7</v>
      </c>
      <c r="W59" s="3" t="inlineStr">
        <is>
          <t>지정되지않음</t>
        </is>
      </c>
      <c r="X59" s="3" t="inlineStr">
        <is>
          <t>주거나지</t>
        </is>
      </c>
      <c r="Y59" s="3" t="inlineStr">
        <is>
          <t>평지</t>
        </is>
      </c>
      <c r="Z59" s="3" t="inlineStr">
        <is>
          <t>사다리형</t>
        </is>
      </c>
      <c r="AA59" s="3" t="inlineStr">
        <is>
          <t>세로한면(가)</t>
        </is>
      </c>
    </row>
    <row r="60">
      <c r="A60" s="3" t="inlineStr">
        <is>
          <t>고운동 2142</t>
        </is>
      </c>
      <c r="B60" s="3" t="inlineStr">
        <is>
          <t>제1종전용주거지역</t>
        </is>
      </c>
      <c r="C60" s="3" t="inlineStr">
        <is>
          <t>대</t>
        </is>
      </c>
      <c r="D60" s="3" t="inlineStr">
        <is>
          <t>1</t>
        </is>
      </c>
      <c r="E60" s="3" t="inlineStr">
        <is>
          <t>단독</t>
        </is>
      </c>
      <c r="F60" s="3" t="inlineStr">
        <is>
          <t>매매</t>
        </is>
      </c>
      <c r="G60" s="4" t="n">
        <v>135000</v>
      </c>
      <c r="H60" s="4" t="n">
        <v>0</v>
      </c>
      <c r="I60" s="4" t="n">
        <v>288</v>
      </c>
      <c r="J60" s="4" t="n">
        <v>87</v>
      </c>
      <c r="K60" s="5" t="n">
        <v>1551.7</v>
      </c>
      <c r="L60" s="4" t="n">
        <v>148</v>
      </c>
      <c r="M60" s="4" t="n">
        <v>45</v>
      </c>
      <c r="N60" s="5" t="n">
        <v>3000</v>
      </c>
      <c r="O60" s="3" t="inlineStr">
        <is>
          <t>최고위치 지하층있는 넓은 단층형 주택</t>
        </is>
      </c>
      <c r="P60" s="6">
        <f>HYPERLINK("https://fin.land.naver.com/articles/2652136962", "매물Link")</f>
        <v/>
      </c>
      <c r="Q60" s="6">
        <f>HYPERLINK("https://map.naver.com/p/search/고운동 2142", "지도Link")</f>
        <v/>
      </c>
      <c r="R60" s="6">
        <f>HYPERLINK("http://www.eum.go.kr/web/ar/lu/luLandDet.jsp?pnu=3611011200121420000&amp;isNoScr=script&amp;mode=search", "토지이음")</f>
        <v/>
      </c>
      <c r="S60" s="3" t="inlineStr">
        <is>
          <t>세종스타</t>
        </is>
      </c>
      <c r="T60" s="4" t="n">
        <v>1</v>
      </c>
      <c r="U60" s="5" t="n">
        <v>252.2</v>
      </c>
      <c r="V60" s="4" t="n">
        <v>288</v>
      </c>
      <c r="W60" s="3" t="inlineStr">
        <is>
          <t>지정되지않음</t>
        </is>
      </c>
      <c r="X60" s="3" t="inlineStr">
        <is>
          <t>주거나지</t>
        </is>
      </c>
      <c r="Y60" s="3" t="inlineStr">
        <is>
          <t>평지</t>
        </is>
      </c>
      <c r="Z60" s="3" t="inlineStr">
        <is>
          <t>가로장방</t>
        </is>
      </c>
      <c r="AA60" s="3" t="inlineStr">
        <is>
          <t>세로한면(가)</t>
        </is>
      </c>
    </row>
    <row r="61">
      <c r="A61" s="3" t="inlineStr">
        <is>
          <t>고운동 2176</t>
        </is>
      </c>
      <c r="B61" s="3" t="inlineStr">
        <is>
          <t>제1종전용주거지역</t>
        </is>
      </c>
      <c r="C61" s="3" t="inlineStr">
        <is>
          <t>대</t>
        </is>
      </c>
      <c r="D61" s="3" t="inlineStr">
        <is>
          <t>1</t>
        </is>
      </c>
      <c r="E61" s="3" t="inlineStr">
        <is>
          <t>단독</t>
        </is>
      </c>
      <c r="F61" s="3" t="inlineStr">
        <is>
          <t>매매</t>
        </is>
      </c>
      <c r="G61" s="4" t="n">
        <v>120000</v>
      </c>
      <c r="H61" s="4" t="n">
        <v>0</v>
      </c>
      <c r="I61" s="4" t="n">
        <v>295</v>
      </c>
      <c r="J61" s="4" t="n">
        <v>89</v>
      </c>
      <c r="K61" s="5" t="n">
        <v>1348.3</v>
      </c>
      <c r="L61" s="4" t="n">
        <v>118</v>
      </c>
      <c r="M61" s="4" t="n">
        <v>36</v>
      </c>
      <c r="N61" s="5" t="n">
        <v>3333.3</v>
      </c>
      <c r="O61" s="3" t="inlineStr">
        <is>
          <t>한옥마을매매, 시립도서관, 온빛유.초 인접, 급매</t>
        </is>
      </c>
      <c r="P61" s="6">
        <f>HYPERLINK("https://fin.land.naver.com/articles/2651945527", "매물Link")</f>
        <v/>
      </c>
      <c r="Q61" s="6">
        <f>HYPERLINK("https://map.naver.com/p/search/고운동 2176", "지도Link")</f>
        <v/>
      </c>
      <c r="R61" s="6">
        <f>HYPERLINK("http://www.eum.go.kr/web/ar/lu/luLandDet.jsp?pnu=3611011200121760000&amp;isNoScr=script&amp;mode=search", "토지이음")</f>
        <v/>
      </c>
      <c r="S61" s="3" t="inlineStr">
        <is>
          <t>명진</t>
        </is>
      </c>
      <c r="T61" s="4" t="n">
        <v>1</v>
      </c>
      <c r="U61" s="5" t="n">
        <v>257.1</v>
      </c>
      <c r="V61" s="4" t="n">
        <v>295</v>
      </c>
      <c r="W61" s="3" t="inlineStr">
        <is>
          <t>지정되지않음</t>
        </is>
      </c>
      <c r="X61" s="3" t="inlineStr">
        <is>
          <t>단독</t>
        </is>
      </c>
      <c r="Y61" s="3" t="inlineStr">
        <is>
          <t>평지</t>
        </is>
      </c>
      <c r="Z61" s="3" t="inlineStr">
        <is>
          <t>사다리형</t>
        </is>
      </c>
      <c r="AA61" s="3" t="inlineStr">
        <is>
          <t>세로한면(가)</t>
        </is>
      </c>
    </row>
    <row r="62">
      <c r="A62" s="3" t="inlineStr">
        <is>
          <t>고운동 2176</t>
        </is>
      </c>
      <c r="B62" s="3" t="inlineStr">
        <is>
          <t>제1종전용주거지역</t>
        </is>
      </c>
      <c r="C62" s="3" t="inlineStr">
        <is>
          <t>대</t>
        </is>
      </c>
      <c r="D62" s="3" t="inlineStr">
        <is>
          <t>1</t>
        </is>
      </c>
      <c r="E62" s="3" t="inlineStr">
        <is>
          <t>단독</t>
        </is>
      </c>
      <c r="F62" s="3" t="inlineStr">
        <is>
          <t>매매</t>
        </is>
      </c>
      <c r="G62" s="4" t="n">
        <v>120000</v>
      </c>
      <c r="H62" s="4" t="n">
        <v>0</v>
      </c>
      <c r="I62" s="4" t="n">
        <v>295</v>
      </c>
      <c r="J62" s="4" t="n">
        <v>89</v>
      </c>
      <c r="K62" s="5" t="n">
        <v>1348.3</v>
      </c>
      <c r="L62" s="4" t="n">
        <v>118</v>
      </c>
      <c r="M62" s="4" t="n">
        <v>36</v>
      </c>
      <c r="N62" s="5" t="n">
        <v>3333.3</v>
      </c>
      <c r="O62" s="3" t="inlineStr">
        <is>
          <t>희소성 높은 한옥 매매, 학군과 입지 좋은 위치</t>
        </is>
      </c>
      <c r="P62" s="6">
        <f>HYPERLINK("https://fin.land.naver.com/articles/2650893231", "매물Link")</f>
        <v/>
      </c>
      <c r="Q62" s="6">
        <f>HYPERLINK("https://map.naver.com/p/search/고운동 2176", "지도Link")</f>
        <v/>
      </c>
      <c r="R62" s="6">
        <f>HYPERLINK("http://www.eum.go.kr/web/ar/lu/luLandDet.jsp?pnu=3611011200121760000&amp;isNoScr=script&amp;mode=search", "토지이음")</f>
        <v/>
      </c>
      <c r="S62" s="3" t="inlineStr">
        <is>
          <t>세종무지개</t>
        </is>
      </c>
      <c r="T62" s="4" t="n">
        <v>1</v>
      </c>
      <c r="U62" s="5" t="n">
        <v>257.1</v>
      </c>
      <c r="V62" s="4" t="n">
        <v>295</v>
      </c>
      <c r="W62" s="3" t="inlineStr">
        <is>
          <t>지정되지않음</t>
        </is>
      </c>
      <c r="X62" s="3" t="inlineStr">
        <is>
          <t>단독</t>
        </is>
      </c>
      <c r="Y62" s="3" t="inlineStr">
        <is>
          <t>평지</t>
        </is>
      </c>
      <c r="Z62" s="3" t="inlineStr">
        <is>
          <t>사다리형</t>
        </is>
      </c>
      <c r="AA62" s="3" t="inlineStr">
        <is>
          <t>세로한면(가)</t>
        </is>
      </c>
    </row>
    <row r="63">
      <c r="A63" s="3" t="inlineStr">
        <is>
          <t>고운동 2176</t>
        </is>
      </c>
      <c r="B63" s="3" t="inlineStr">
        <is>
          <t>제1종전용주거지역</t>
        </is>
      </c>
      <c r="C63" s="3" t="inlineStr">
        <is>
          <t>대</t>
        </is>
      </c>
      <c r="D63" s="3" t="inlineStr">
        <is>
          <t>1</t>
        </is>
      </c>
      <c r="E63" s="3" t="inlineStr">
        <is>
          <t>단독</t>
        </is>
      </c>
      <c r="F63" s="3" t="inlineStr">
        <is>
          <t>매매</t>
        </is>
      </c>
      <c r="G63" s="4" t="n">
        <v>120000</v>
      </c>
      <c r="H63" s="4" t="n">
        <v>0</v>
      </c>
      <c r="I63" s="4" t="n">
        <v>295</v>
      </c>
      <c r="J63" s="4" t="n">
        <v>89</v>
      </c>
      <c r="K63" s="5" t="n">
        <v>1348.3</v>
      </c>
      <c r="L63" s="4" t="n">
        <v>118</v>
      </c>
      <c r="M63" s="4" t="n">
        <v>36</v>
      </c>
      <c r="N63" s="5" t="n">
        <v>3333.3</v>
      </c>
      <c r="O63" s="3" t="inlineStr">
        <is>
          <t>nan</t>
        </is>
      </c>
      <c r="P63" s="6">
        <f>HYPERLINK("https://fin.land.naver.com/articles/2652918003", "매물Link")</f>
        <v/>
      </c>
      <c r="Q63" s="6">
        <f>HYPERLINK("https://map.naver.com/p/search/고운동 2176", "지도Link")</f>
        <v/>
      </c>
      <c r="R63" s="6">
        <f>HYPERLINK("http://www.eum.go.kr/web/ar/lu/luLandDet.jsp?pnu=3611011200121760000&amp;isNoScr=script&amp;mode=search", "토지이음")</f>
        <v/>
      </c>
      <c r="S63" s="3" t="inlineStr">
        <is>
          <t>세종스타</t>
        </is>
      </c>
      <c r="T63" s="4" t="n">
        <v>1</v>
      </c>
      <c r="U63" s="5" t="n">
        <v>257.1</v>
      </c>
      <c r="V63" s="4" t="n">
        <v>295</v>
      </c>
      <c r="W63" s="3" t="inlineStr">
        <is>
          <t>지정되지않음</t>
        </is>
      </c>
      <c r="X63" s="3" t="inlineStr">
        <is>
          <t>단독</t>
        </is>
      </c>
      <c r="Y63" s="3" t="inlineStr">
        <is>
          <t>평지</t>
        </is>
      </c>
      <c r="Z63" s="3" t="inlineStr">
        <is>
          <t>사다리형</t>
        </is>
      </c>
      <c r="AA63" s="3" t="inlineStr">
        <is>
          <t>세로한면(가)</t>
        </is>
      </c>
    </row>
    <row r="64">
      <c r="A64" s="3" t="inlineStr">
        <is>
          <t>고운동 2196</t>
        </is>
      </c>
      <c r="B64" s="3" t="inlineStr">
        <is>
          <t>제1종전용주거지역</t>
        </is>
      </c>
      <c r="C64" s="3" t="inlineStr">
        <is>
          <t>대</t>
        </is>
      </c>
      <c r="D64" s="3" t="inlineStr">
        <is>
          <t>1</t>
        </is>
      </c>
      <c r="E64" s="3" t="inlineStr">
        <is>
          <t>단독</t>
        </is>
      </c>
      <c r="F64" s="3" t="inlineStr">
        <is>
          <t>매매</t>
        </is>
      </c>
      <c r="G64" s="4" t="n">
        <v>120000</v>
      </c>
      <c r="H64" s="4" t="n">
        <v>0</v>
      </c>
      <c r="I64" s="4" t="n">
        <v>290</v>
      </c>
      <c r="J64" s="4" t="n">
        <v>88</v>
      </c>
      <c r="K64" s="5" t="n">
        <v>1363.6</v>
      </c>
      <c r="L64" s="4" t="n">
        <v>195</v>
      </c>
      <c r="M64" s="4" t="n">
        <v>59</v>
      </c>
      <c r="N64" s="5" t="n">
        <v>2033.9</v>
      </c>
      <c r="O64" s="3" t="inlineStr">
        <is>
          <t>위치좋은 한옥주택</t>
        </is>
      </c>
      <c r="P64" s="6">
        <f>HYPERLINK("https://fin.land.naver.com/articles/2651771270", "매물Link")</f>
        <v/>
      </c>
      <c r="Q64" s="6">
        <f>HYPERLINK("https://map.naver.com/p/search/고운동 2196", "지도Link")</f>
        <v/>
      </c>
      <c r="R64" s="6">
        <f>HYPERLINK("http://www.eum.go.kr/web/ar/lu/luLandDet.jsp?pnu=3611011200121960000&amp;isNoScr=script&amp;mode=search", "토지이음")</f>
        <v/>
      </c>
      <c r="S64" s="3" t="inlineStr">
        <is>
          <t>한대역</t>
        </is>
      </c>
      <c r="T64" s="4" t="n">
        <v>1</v>
      </c>
      <c r="U64" s="5" t="n">
        <v>274.4</v>
      </c>
      <c r="V64" s="4" t="n">
        <v>290</v>
      </c>
      <c r="W64" s="3" t="inlineStr">
        <is>
          <t>지정되지않음</t>
        </is>
      </c>
      <c r="X64" s="3" t="inlineStr">
        <is>
          <t>주거나지</t>
        </is>
      </c>
      <c r="Y64" s="3" t="inlineStr">
        <is>
          <t>평지</t>
        </is>
      </c>
      <c r="Z64" s="3" t="inlineStr">
        <is>
          <t>사다리형</t>
        </is>
      </c>
      <c r="AA64" s="3" t="inlineStr">
        <is>
          <t>소로한면</t>
        </is>
      </c>
    </row>
    <row r="65">
      <c r="A65" s="3" t="inlineStr">
        <is>
          <t>고운동 2196</t>
        </is>
      </c>
      <c r="B65" s="3" t="inlineStr">
        <is>
          <t>제1종전용주거지역</t>
        </is>
      </c>
      <c r="C65" s="3" t="inlineStr">
        <is>
          <t>대</t>
        </is>
      </c>
      <c r="D65" s="3" t="inlineStr">
        <is>
          <t>1</t>
        </is>
      </c>
      <c r="E65" s="3" t="inlineStr">
        <is>
          <t>단독</t>
        </is>
      </c>
      <c r="F65" s="3" t="inlineStr">
        <is>
          <t>매매</t>
        </is>
      </c>
      <c r="G65" s="4" t="n">
        <v>120000</v>
      </c>
      <c r="H65" s="4" t="n">
        <v>0</v>
      </c>
      <c r="I65" s="4" t="n">
        <v>290</v>
      </c>
      <c r="J65" s="4" t="n">
        <v>88</v>
      </c>
      <c r="K65" s="5" t="n">
        <v>1363.6</v>
      </c>
      <c r="L65" s="4" t="n">
        <v>195</v>
      </c>
      <c r="M65" s="4" t="n">
        <v>59</v>
      </c>
      <c r="N65" s="5" t="n">
        <v>2033.9</v>
      </c>
      <c r="O65" s="3" t="inlineStr">
        <is>
          <t>조율가능 2층한옥 벙커주차장 지하있음 방3개 욕실3개 홈바</t>
        </is>
      </c>
      <c r="P65" s="6">
        <f>HYPERLINK("https://fin.land.naver.com/articles/2653672599", "매물Link")</f>
        <v/>
      </c>
      <c r="Q65" s="6">
        <f>HYPERLINK("https://map.naver.com/p/search/고운동 2196", "지도Link")</f>
        <v/>
      </c>
      <c r="R65" s="6">
        <f>HYPERLINK("http://www.eum.go.kr/web/ar/lu/luLandDet.jsp?pnu=3611011200121960000&amp;isNoScr=script&amp;mode=search", "토지이음")</f>
        <v/>
      </c>
      <c r="S65" s="3" t="inlineStr">
        <is>
          <t>세종스타</t>
        </is>
      </c>
      <c r="T65" s="4" t="n">
        <v>1</v>
      </c>
      <c r="U65" s="5" t="n">
        <v>274.4</v>
      </c>
      <c r="V65" s="4" t="n">
        <v>290</v>
      </c>
      <c r="W65" s="3" t="inlineStr">
        <is>
          <t>지정되지않음</t>
        </is>
      </c>
      <c r="X65" s="3" t="inlineStr">
        <is>
          <t>주거나지</t>
        </is>
      </c>
      <c r="Y65" s="3" t="inlineStr">
        <is>
          <t>평지</t>
        </is>
      </c>
      <c r="Z65" s="3" t="inlineStr">
        <is>
          <t>사다리형</t>
        </is>
      </c>
      <c r="AA65" s="3" t="inlineStr">
        <is>
          <t>소로한면</t>
        </is>
      </c>
    </row>
    <row r="66">
      <c r="A66" s="3" t="inlineStr">
        <is>
          <t>고운동 2196</t>
        </is>
      </c>
      <c r="B66" s="3" t="inlineStr">
        <is>
          <t>제1종전용주거지역</t>
        </is>
      </c>
      <c r="C66" s="3" t="inlineStr">
        <is>
          <t>대</t>
        </is>
      </c>
      <c r="D66" s="3" t="inlineStr">
        <is>
          <t>2</t>
        </is>
      </c>
      <c r="E66" s="3" t="inlineStr">
        <is>
          <t>단독</t>
        </is>
      </c>
      <c r="F66" s="3" t="inlineStr">
        <is>
          <t>매매</t>
        </is>
      </c>
      <c r="G66" s="4" t="n">
        <v>120000</v>
      </c>
      <c r="H66" s="4" t="n">
        <v>0</v>
      </c>
      <c r="I66" s="4" t="n">
        <v>290</v>
      </c>
      <c r="J66" s="4" t="n">
        <v>88</v>
      </c>
      <c r="K66" s="5" t="n">
        <v>1363.6</v>
      </c>
      <c r="L66" s="4" t="n">
        <v>195</v>
      </c>
      <c r="M66" s="4" t="n">
        <v>59</v>
      </c>
      <c r="N66" s="5" t="n">
        <v>2033.9</v>
      </c>
      <c r="O66" s="3" t="inlineStr">
        <is>
          <t>한옥마을 품격있는 한옥주택매매</t>
        </is>
      </c>
      <c r="P66" s="6">
        <f>HYPERLINK("https://fin.land.naver.com/articles/2653948243", "매물Link")</f>
        <v/>
      </c>
      <c r="Q66" s="6">
        <f>HYPERLINK("https://map.naver.com/p/search/고운동 2196", "지도Link")</f>
        <v/>
      </c>
      <c r="R66" s="6">
        <f>HYPERLINK("http://www.eum.go.kr/web/ar/lu/luLandDet.jsp?pnu=3611011200121960000&amp;isNoScr=script&amp;mode=search", "토지이음")</f>
        <v/>
      </c>
      <c r="S66" s="3" t="inlineStr">
        <is>
          <t>중앙센트럴</t>
        </is>
      </c>
      <c r="T66" s="4" t="n">
        <v>1</v>
      </c>
      <c r="U66" s="5" t="n">
        <v>274.4</v>
      </c>
      <c r="V66" s="4" t="n">
        <v>290</v>
      </c>
      <c r="W66" s="3" t="inlineStr">
        <is>
          <t>지정되지않음</t>
        </is>
      </c>
      <c r="X66" s="3" t="inlineStr">
        <is>
          <t>주거나지</t>
        </is>
      </c>
      <c r="Y66" s="3" t="inlineStr">
        <is>
          <t>평지</t>
        </is>
      </c>
      <c r="Z66" s="3" t="inlineStr">
        <is>
          <t>사다리형</t>
        </is>
      </c>
      <c r="AA66" s="3" t="inlineStr">
        <is>
          <t>소로한면</t>
        </is>
      </c>
    </row>
    <row r="67">
      <c r="A67" s="3" t="inlineStr">
        <is>
          <t>고운동 890</t>
        </is>
      </c>
      <c r="B67" s="3" t="inlineStr">
        <is>
          <t>제1종전용주거지역</t>
        </is>
      </c>
      <c r="C67" s="3" t="inlineStr">
        <is>
          <t>대</t>
        </is>
      </c>
      <c r="D67" s="3" t="inlineStr">
        <is>
          <t>2</t>
        </is>
      </c>
      <c r="E67" s="3" t="inlineStr">
        <is>
          <t>단독</t>
        </is>
      </c>
      <c r="F67" s="3" t="inlineStr">
        <is>
          <t>매매</t>
        </is>
      </c>
      <c r="G67" s="4" t="n">
        <v>79800</v>
      </c>
      <c r="H67" s="4" t="n">
        <v>0</v>
      </c>
      <c r="I67" s="4" t="n">
        <v>15314</v>
      </c>
      <c r="J67" s="4" t="n">
        <v>4632</v>
      </c>
      <c r="K67" s="5" t="n">
        <v>17.2</v>
      </c>
      <c r="L67" s="4" t="n">
        <v>141</v>
      </c>
      <c r="M67" s="4" t="n">
        <v>43</v>
      </c>
      <c r="N67" s="5" t="n">
        <v>1855.8</v>
      </c>
      <c r="O67" s="3" t="inlineStr">
        <is>
          <t>급매, 입주협의가능, 고운동 타운하우스</t>
        </is>
      </c>
      <c r="P67" s="6">
        <f>HYPERLINK("https://fin.land.naver.com/articles/2649570727", "매물Link")</f>
        <v/>
      </c>
      <c r="Q67" s="6">
        <f>HYPERLINK("https://map.naver.com/p/search/고운동 890", "지도Link")</f>
        <v/>
      </c>
      <c r="R67" s="6">
        <f>HYPERLINK("http://www.eum.go.kr/web/ar/lu/luLandDet.jsp?pnu=3611011200108900000&amp;isNoScr=script&amp;mode=search", "토지이음")</f>
        <v/>
      </c>
      <c r="S67" s="3" t="inlineStr">
        <is>
          <t>세종무지개</t>
        </is>
      </c>
      <c r="T67" s="4" t="n">
        <v>1</v>
      </c>
      <c r="U67" s="5" t="n">
        <v>336.9</v>
      </c>
      <c r="V67" s="4" t="n">
        <v>15314</v>
      </c>
      <c r="W67" s="3" t="inlineStr">
        <is>
          <t>지정되지않음</t>
        </is>
      </c>
      <c r="X67" s="3" t="inlineStr">
        <is>
          <t>단독</t>
        </is>
      </c>
      <c r="Y67" s="3" t="inlineStr">
        <is>
          <t>평지</t>
        </is>
      </c>
      <c r="Z67" s="3" t="inlineStr">
        <is>
          <t>사다리형</t>
        </is>
      </c>
      <c r="AA67" s="3" t="inlineStr">
        <is>
          <t>중로각지</t>
        </is>
      </c>
    </row>
    <row r="68">
      <c r="A68" s="3" t="inlineStr">
        <is>
          <t>고운동 890</t>
        </is>
      </c>
      <c r="B68" s="3" t="inlineStr">
        <is>
          <t>제1종전용주거지역</t>
        </is>
      </c>
      <c r="C68" s="3" t="inlineStr">
        <is>
          <t>대</t>
        </is>
      </c>
      <c r="D68" s="3" t="inlineStr">
        <is>
          <t>2</t>
        </is>
      </c>
      <c r="E68" s="3" t="inlineStr">
        <is>
          <t>단독</t>
        </is>
      </c>
      <c r="F68" s="3" t="inlineStr">
        <is>
          <t>매매</t>
        </is>
      </c>
      <c r="G68" s="4" t="n">
        <v>79800</v>
      </c>
      <c r="H68" s="4" t="n">
        <v>0</v>
      </c>
      <c r="I68" s="4" t="n">
        <v>15314</v>
      </c>
      <c r="J68" s="4" t="n">
        <v>4632</v>
      </c>
      <c r="K68" s="5" t="n">
        <v>17.2</v>
      </c>
      <c r="L68" s="4" t="n">
        <v>141</v>
      </c>
      <c r="M68" s="4" t="n">
        <v>43</v>
      </c>
      <c r="N68" s="5" t="n">
        <v>1855.8</v>
      </c>
      <c r="O68" s="3" t="inlineStr">
        <is>
          <t>o서초만땅o급매,협의입주,복층다락</t>
        </is>
      </c>
      <c r="P68" s="6">
        <f>HYPERLINK("https://fin.land.naver.com/articles/2650272816", "매물Link")</f>
        <v/>
      </c>
      <c r="Q68" s="6">
        <f>HYPERLINK("https://map.naver.com/p/search/고운동 890", "지도Link")</f>
        <v/>
      </c>
      <c r="R68" s="6">
        <f>HYPERLINK("http://www.eum.go.kr/web/ar/lu/luLandDet.jsp?pnu=3611011200108900000&amp;isNoScr=script&amp;mode=search", "토지이음")</f>
        <v/>
      </c>
      <c r="S68" s="3" t="inlineStr">
        <is>
          <t>서초만땅</t>
        </is>
      </c>
      <c r="T68" s="4" t="n">
        <v>1</v>
      </c>
      <c r="U68" s="5" t="n">
        <v>336.9</v>
      </c>
      <c r="V68" s="4" t="n">
        <v>15314</v>
      </c>
      <c r="W68" s="3" t="inlineStr">
        <is>
          <t>지정되지않음</t>
        </is>
      </c>
      <c r="X68" s="3" t="inlineStr">
        <is>
          <t>단독</t>
        </is>
      </c>
      <c r="Y68" s="3" t="inlineStr">
        <is>
          <t>평지</t>
        </is>
      </c>
      <c r="Z68" s="3" t="inlineStr">
        <is>
          <t>사다리형</t>
        </is>
      </c>
      <c r="AA68" s="3" t="inlineStr">
        <is>
          <t>중로각지</t>
        </is>
      </c>
    </row>
    <row r="69">
      <c r="A69" s="3" t="inlineStr">
        <is>
          <t>고운동 890</t>
        </is>
      </c>
      <c r="B69" s="3" t="inlineStr">
        <is>
          <t>제1종전용주거지역</t>
        </is>
      </c>
      <c r="C69" s="3" t="inlineStr">
        <is>
          <t>대</t>
        </is>
      </c>
      <c r="D69" s="3" t="inlineStr">
        <is>
          <t>1</t>
        </is>
      </c>
      <c r="E69" s="3" t="inlineStr">
        <is>
          <t>단독</t>
        </is>
      </c>
      <c r="F69" s="3" t="inlineStr">
        <is>
          <t>전세</t>
        </is>
      </c>
      <c r="G69" s="4" t="n">
        <v>47000</v>
      </c>
      <c r="H69" s="4" t="n">
        <v>0</v>
      </c>
      <c r="I69" s="4" t="n">
        <v>0</v>
      </c>
      <c r="J69" s="4" t="n">
        <v>0</v>
      </c>
      <c r="K69" s="5" t="n">
        <v>0</v>
      </c>
      <c r="L69" s="4" t="n">
        <v>141</v>
      </c>
      <c r="M69" s="4" t="n">
        <v>43</v>
      </c>
      <c r="N69" s="5" t="n">
        <v>1093</v>
      </c>
      <c r="O69" s="3" t="inlineStr">
        <is>
          <t>e루다 융유,리치먼드1차,협의입주,탄력적조율,테라스,마당,복층,다락</t>
        </is>
      </c>
      <c r="P69" s="6">
        <f>HYPERLINK("https://fin.land.naver.com/articles/2649834412", "매물Link")</f>
        <v/>
      </c>
      <c r="Q69" s="6">
        <f>HYPERLINK("https://map.naver.com/p/search/고운동 890", "지도Link")</f>
        <v/>
      </c>
      <c r="R69" s="6">
        <f>HYPERLINK("http://www.eum.go.kr/web/ar/lu/luLandDet.jsp?pnu=3611011200108900000&amp;isNoScr=script&amp;mode=search", "토지이음")</f>
        <v/>
      </c>
      <c r="S69" s="3" t="inlineStr">
        <is>
          <t>이루다</t>
        </is>
      </c>
      <c r="T69" s="4" t="n">
        <v>1</v>
      </c>
      <c r="U69" s="5" t="n">
        <v>336.9</v>
      </c>
      <c r="V69" s="4" t="n">
        <v>15314</v>
      </c>
      <c r="W69" s="3" t="inlineStr">
        <is>
          <t>지정되지않음</t>
        </is>
      </c>
      <c r="X69" s="3" t="inlineStr">
        <is>
          <t>단독</t>
        </is>
      </c>
      <c r="Y69" s="3" t="inlineStr">
        <is>
          <t>평지</t>
        </is>
      </c>
      <c r="Z69" s="3" t="inlineStr">
        <is>
          <t>사다리형</t>
        </is>
      </c>
      <c r="AA69" s="3" t="inlineStr">
        <is>
          <t>중로각지</t>
        </is>
      </c>
    </row>
    <row r="70">
      <c r="A70" s="3" t="inlineStr">
        <is>
          <t>고운동 890</t>
        </is>
      </c>
      <c r="B70" s="3" t="inlineStr">
        <is>
          <t>제1종전용주거지역</t>
        </is>
      </c>
      <c r="C70" s="3" t="inlineStr">
        <is>
          <t>대</t>
        </is>
      </c>
      <c r="D70" s="3" t="inlineStr">
        <is>
          <t>2</t>
        </is>
      </c>
      <c r="E70" s="3" t="inlineStr">
        <is>
          <t>단독</t>
        </is>
      </c>
      <c r="F70" s="3" t="inlineStr">
        <is>
          <t>매매</t>
        </is>
      </c>
      <c r="G70" s="4" t="n">
        <v>79800</v>
      </c>
      <c r="H70" s="4" t="n">
        <v>0</v>
      </c>
      <c r="I70" s="4" t="n">
        <v>15314</v>
      </c>
      <c r="J70" s="4" t="n">
        <v>4632</v>
      </c>
      <c r="K70" s="5" t="n">
        <v>17.2</v>
      </c>
      <c r="L70" s="4" t="n">
        <v>141</v>
      </c>
      <c r="M70" s="4" t="n">
        <v>43</v>
      </c>
      <c r="N70" s="5" t="n">
        <v>1855.8</v>
      </c>
      <c r="O70" s="3" t="inlineStr">
        <is>
          <t>e루다 급매,리치먼드1차,협의입주,적극조율,테라스,마당,복층,다락</t>
        </is>
      </c>
      <c r="P70" s="6">
        <f>HYPERLINK("https://fin.land.naver.com/articles/2649834406", "매물Link")</f>
        <v/>
      </c>
      <c r="Q70" s="6">
        <f>HYPERLINK("https://map.naver.com/p/search/고운동 890", "지도Link")</f>
        <v/>
      </c>
      <c r="R70" s="6">
        <f>HYPERLINK("http://www.eum.go.kr/web/ar/lu/luLandDet.jsp?pnu=3611011200108900000&amp;isNoScr=script&amp;mode=search", "토지이음")</f>
        <v/>
      </c>
      <c r="S70" s="3" t="inlineStr">
        <is>
          <t>이루다</t>
        </is>
      </c>
      <c r="T70" s="4" t="n">
        <v>1</v>
      </c>
      <c r="U70" s="5" t="n">
        <v>336.9</v>
      </c>
      <c r="V70" s="4" t="n">
        <v>15314</v>
      </c>
      <c r="W70" s="3" t="inlineStr">
        <is>
          <t>지정되지않음</t>
        </is>
      </c>
      <c r="X70" s="3" t="inlineStr">
        <is>
          <t>단독</t>
        </is>
      </c>
      <c r="Y70" s="3" t="inlineStr">
        <is>
          <t>평지</t>
        </is>
      </c>
      <c r="Z70" s="3" t="inlineStr">
        <is>
          <t>사다리형</t>
        </is>
      </c>
      <c r="AA70" s="3" t="inlineStr">
        <is>
          <t>중로각지</t>
        </is>
      </c>
    </row>
    <row r="71">
      <c r="A71" s="3" t="inlineStr">
        <is>
          <t>고운동 890</t>
        </is>
      </c>
      <c r="B71" s="3" t="inlineStr">
        <is>
          <t>제1종전용주거지역</t>
        </is>
      </c>
      <c r="C71" s="3" t="inlineStr">
        <is>
          <t>대</t>
        </is>
      </c>
      <c r="D71" s="3" t="inlineStr">
        <is>
          <t>2</t>
        </is>
      </c>
      <c r="E71" s="3" t="inlineStr">
        <is>
          <t>전원주택</t>
        </is>
      </c>
      <c r="F71" s="3" t="inlineStr">
        <is>
          <t>전세</t>
        </is>
      </c>
      <c r="G71" s="4" t="n">
        <v>47000</v>
      </c>
      <c r="H71" s="4" t="n">
        <v>0</v>
      </c>
      <c r="I71" s="4" t="n">
        <v>15314</v>
      </c>
      <c r="J71" s="4" t="n">
        <v>4632</v>
      </c>
      <c r="K71" s="5" t="n">
        <v>10.1</v>
      </c>
      <c r="L71" s="4" t="n">
        <v>181</v>
      </c>
      <c r="M71" s="4" t="n">
        <v>55</v>
      </c>
      <c r="N71" s="5" t="n">
        <v>854.5</v>
      </c>
      <c r="O71" s="3" t="inlineStr">
        <is>
          <t>리치먼드힐1차,타운하우스, 테라스,복층,</t>
        </is>
      </c>
      <c r="P71" s="6">
        <f>HYPERLINK("https://fin.land.naver.com/articles/2654151431", "매물Link")</f>
        <v/>
      </c>
      <c r="Q71" s="6">
        <f>HYPERLINK("https://map.naver.com/p/search/고운동 890", "지도Link")</f>
        <v/>
      </c>
      <c r="R71" s="6">
        <f>HYPERLINK("http://www.eum.go.kr/web/ar/lu/luLandDet.jsp?pnu=3611011200108900000&amp;isNoScr=script&amp;mode=search", "토지이음")</f>
        <v/>
      </c>
      <c r="S71" s="3" t="inlineStr">
        <is>
          <t>확실한</t>
        </is>
      </c>
      <c r="T71" s="4" t="n">
        <v>1</v>
      </c>
      <c r="U71" s="5" t="n">
        <v>336.9</v>
      </c>
      <c r="V71" s="4" t="n">
        <v>15314</v>
      </c>
      <c r="W71" s="3" t="inlineStr">
        <is>
          <t>지정되지않음</t>
        </is>
      </c>
      <c r="X71" s="3" t="inlineStr">
        <is>
          <t>단독</t>
        </is>
      </c>
      <c r="Y71" s="3" t="inlineStr">
        <is>
          <t>평지</t>
        </is>
      </c>
      <c r="Z71" s="3" t="inlineStr">
        <is>
          <t>사다리형</t>
        </is>
      </c>
      <c r="AA71" s="3" t="inlineStr">
        <is>
          <t>중로각지</t>
        </is>
      </c>
    </row>
    <row r="72">
      <c r="A72" s="3" t="inlineStr">
        <is>
          <t>고운동 890</t>
        </is>
      </c>
      <c r="B72" s="3" t="inlineStr">
        <is>
          <t>제1종전용주거지역</t>
        </is>
      </c>
      <c r="C72" s="3" t="inlineStr">
        <is>
          <t>대</t>
        </is>
      </c>
      <c r="D72" s="3" t="inlineStr">
        <is>
          <t>2</t>
        </is>
      </c>
      <c r="E72" s="3" t="inlineStr">
        <is>
          <t>단독</t>
        </is>
      </c>
      <c r="F72" s="3" t="inlineStr">
        <is>
          <t>매매</t>
        </is>
      </c>
      <c r="G72" s="4" t="n">
        <v>86000</v>
      </c>
      <c r="H72" s="4" t="n">
        <v>0</v>
      </c>
      <c r="I72" s="4" t="n">
        <v>15314</v>
      </c>
      <c r="J72" s="4" t="n">
        <v>4632</v>
      </c>
      <c r="K72" s="5" t="n">
        <v>18.6</v>
      </c>
      <c r="L72" s="4" t="n">
        <v>141</v>
      </c>
      <c r="M72" s="4" t="n">
        <v>43</v>
      </c>
      <c r="N72" s="5" t="n">
        <v>2000</v>
      </c>
      <c r="O72" s="3" t="inlineStr">
        <is>
          <t>추천급매 I 고운동  타운하우스 리치먼드힐1차 귀한매물 I 잔금협의</t>
        </is>
      </c>
      <c r="P72" s="6">
        <f>HYPERLINK("https://fin.land.naver.com/articles/2653180419", "매물Link")</f>
        <v/>
      </c>
      <c r="Q72" s="6">
        <f>HYPERLINK("https://map.naver.com/p/search/고운동 890", "지도Link")</f>
        <v/>
      </c>
      <c r="R72" s="6">
        <f>HYPERLINK("http://www.eum.go.kr/web/ar/lu/luLandDet.jsp?pnu=3611011200108900000&amp;isNoScr=script&amp;mode=search", "토지이음")</f>
        <v/>
      </c>
      <c r="S72" s="3" t="inlineStr">
        <is>
          <t>힐스테이트으뜸원</t>
        </is>
      </c>
      <c r="T72" s="4" t="n">
        <v>1</v>
      </c>
      <c r="U72" s="5" t="n">
        <v>336.9</v>
      </c>
      <c r="V72" s="4" t="n">
        <v>15314</v>
      </c>
      <c r="W72" s="3" t="inlineStr">
        <is>
          <t>지정되지않음</t>
        </is>
      </c>
      <c r="X72" s="3" t="inlineStr">
        <is>
          <t>단독</t>
        </is>
      </c>
      <c r="Y72" s="3" t="inlineStr">
        <is>
          <t>평지</t>
        </is>
      </c>
      <c r="Z72" s="3" t="inlineStr">
        <is>
          <t>사다리형</t>
        </is>
      </c>
      <c r="AA72" s="3" t="inlineStr">
        <is>
          <t>중로각지</t>
        </is>
      </c>
    </row>
    <row r="73">
      <c r="A73" s="3" t="inlineStr">
        <is>
          <t>고운동 890</t>
        </is>
      </c>
      <c r="B73" s="3" t="inlineStr">
        <is>
          <t>제1종전용주거지역</t>
        </is>
      </c>
      <c r="C73" s="3" t="inlineStr">
        <is>
          <t>대</t>
        </is>
      </c>
      <c r="D73" s="3" t="inlineStr">
        <is>
          <t>1</t>
        </is>
      </c>
      <c r="E73" s="3" t="inlineStr">
        <is>
          <t>단독</t>
        </is>
      </c>
      <c r="F73" s="3" t="inlineStr">
        <is>
          <t>전세</t>
        </is>
      </c>
      <c r="G73" s="4" t="n">
        <v>47000</v>
      </c>
      <c r="H73" s="4" t="n">
        <v>0</v>
      </c>
      <c r="I73" s="4" t="n">
        <v>194</v>
      </c>
      <c r="J73" s="4" t="n">
        <v>59</v>
      </c>
      <c r="K73" s="5" t="n">
        <v>796.6</v>
      </c>
      <c r="L73" s="4" t="n">
        <v>194</v>
      </c>
      <c r="M73" s="4" t="n">
        <v>59</v>
      </c>
      <c r="N73" s="5" t="n">
        <v>796.6</v>
      </c>
      <c r="O73" s="3" t="inlineStr">
        <is>
          <t>조율가능,급매, 고운동 타운하우스</t>
        </is>
      </c>
      <c r="P73" s="6">
        <f>HYPERLINK("https://fin.land.naver.com/articles/2652790063", "매물Link")</f>
        <v/>
      </c>
      <c r="Q73" s="6">
        <f>HYPERLINK("https://map.naver.com/p/search/고운동 890", "지도Link")</f>
        <v/>
      </c>
      <c r="R73" s="6">
        <f>HYPERLINK("http://www.eum.go.kr/web/ar/lu/luLandDet.jsp?pnu=3611011200108900000&amp;isNoScr=script&amp;mode=search", "토지이음")</f>
        <v/>
      </c>
      <c r="S73" s="3" t="inlineStr">
        <is>
          <t>세종무지개</t>
        </is>
      </c>
      <c r="T73" s="4" t="n">
        <v>1</v>
      </c>
      <c r="U73" s="5" t="n">
        <v>336.9</v>
      </c>
      <c r="V73" s="4" t="n">
        <v>15314</v>
      </c>
      <c r="W73" s="3" t="inlineStr">
        <is>
          <t>지정되지않음</t>
        </is>
      </c>
      <c r="X73" s="3" t="inlineStr">
        <is>
          <t>단독</t>
        </is>
      </c>
      <c r="Y73" s="3" t="inlineStr">
        <is>
          <t>평지</t>
        </is>
      </c>
      <c r="Z73" s="3" t="inlineStr">
        <is>
          <t>사다리형</t>
        </is>
      </c>
      <c r="AA73" s="3" t="inlineStr">
        <is>
          <t>중로각지</t>
        </is>
      </c>
    </row>
    <row r="74">
      <c r="A74" s="3" t="inlineStr">
        <is>
          <t>고운동 890</t>
        </is>
      </c>
      <c r="B74" s="3" t="inlineStr">
        <is>
          <t>제1종전용주거지역</t>
        </is>
      </c>
      <c r="C74" s="3" t="inlineStr">
        <is>
          <t>대</t>
        </is>
      </c>
      <c r="D74" s="3" t="inlineStr">
        <is>
          <t>2</t>
        </is>
      </c>
      <c r="E74" s="3" t="inlineStr">
        <is>
          <t>단독</t>
        </is>
      </c>
      <c r="F74" s="3" t="inlineStr">
        <is>
          <t>매매</t>
        </is>
      </c>
      <c r="G74" s="4" t="n">
        <v>79800</v>
      </c>
      <c r="H74" s="4" t="n">
        <v>0</v>
      </c>
      <c r="I74" s="4" t="n">
        <v>15314</v>
      </c>
      <c r="J74" s="4" t="n">
        <v>4632</v>
      </c>
      <c r="K74" s="5" t="n">
        <v>17.2</v>
      </c>
      <c r="L74" s="4" t="n">
        <v>141</v>
      </c>
      <c r="M74" s="4" t="n">
        <v>43</v>
      </c>
      <c r="N74" s="5" t="n">
        <v>1855.8</v>
      </c>
      <c r="O74" s="3" t="inlineStr">
        <is>
          <t>nan</t>
        </is>
      </c>
      <c r="P74" s="6">
        <f>HYPERLINK("https://fin.land.naver.com/articles/2653118606", "매물Link")</f>
        <v/>
      </c>
      <c r="Q74" s="6">
        <f>HYPERLINK("https://map.naver.com/p/search/고운동 890", "지도Link")</f>
        <v/>
      </c>
      <c r="R74" s="6">
        <f>HYPERLINK("http://www.eum.go.kr/web/ar/lu/luLandDet.jsp?pnu=3611011200108900000&amp;isNoScr=script&amp;mode=search", "토지이음")</f>
        <v/>
      </c>
      <c r="S74" s="3" t="inlineStr">
        <is>
          <t>다정가온TOP</t>
        </is>
      </c>
      <c r="T74" s="4" t="n">
        <v>1</v>
      </c>
      <c r="U74" s="5" t="n">
        <v>336.9</v>
      </c>
      <c r="V74" s="4" t="n">
        <v>15314</v>
      </c>
      <c r="W74" s="3" t="inlineStr">
        <is>
          <t>지정되지않음</t>
        </is>
      </c>
      <c r="X74" s="3" t="inlineStr">
        <is>
          <t>단독</t>
        </is>
      </c>
      <c r="Y74" s="3" t="inlineStr">
        <is>
          <t>평지</t>
        </is>
      </c>
      <c r="Z74" s="3" t="inlineStr">
        <is>
          <t>사다리형</t>
        </is>
      </c>
      <c r="AA74" s="3" t="inlineStr">
        <is>
          <t>중로각지</t>
        </is>
      </c>
    </row>
    <row r="75">
      <c r="A75" s="3" t="inlineStr">
        <is>
          <t>고운동 890</t>
        </is>
      </c>
      <c r="B75" s="3" t="inlineStr">
        <is>
          <t>제1종전용주거지역</t>
        </is>
      </c>
      <c r="C75" s="3" t="inlineStr">
        <is>
          <t>대</t>
        </is>
      </c>
      <c r="D75" s="3" t="inlineStr">
        <is>
          <t>2</t>
        </is>
      </c>
      <c r="E75" s="3" t="inlineStr">
        <is>
          <t>단독</t>
        </is>
      </c>
      <c r="F75" s="3" t="inlineStr">
        <is>
          <t>매매</t>
        </is>
      </c>
      <c r="G75" s="4" t="n">
        <v>86000</v>
      </c>
      <c r="H75" s="4" t="n">
        <v>0</v>
      </c>
      <c r="I75" s="4" t="n">
        <v>15314</v>
      </c>
      <c r="J75" s="4" t="n">
        <v>4632</v>
      </c>
      <c r="K75" s="5" t="n">
        <v>18.6</v>
      </c>
      <c r="L75" s="4" t="n">
        <v>141</v>
      </c>
      <c r="M75" s="4" t="n">
        <v>43</v>
      </c>
      <c r="N75" s="5" t="n">
        <v>2000</v>
      </c>
      <c r="O75" s="3" t="inlineStr">
        <is>
          <t>협의입주 고운동리치먼드힐타운하우스급매</t>
        </is>
      </c>
      <c r="P75" s="6">
        <f>HYPERLINK("https://fin.land.naver.com/articles/2651811295", "매물Link")</f>
        <v/>
      </c>
      <c r="Q75" s="6">
        <f>HYPERLINK("https://map.naver.com/p/search/고운동 890", "지도Link")</f>
        <v/>
      </c>
      <c r="R75" s="6">
        <f>HYPERLINK("http://www.eum.go.kr/web/ar/lu/luLandDet.jsp?pnu=3611011200108900000&amp;isNoScr=script&amp;mode=search", "토지이음")</f>
        <v/>
      </c>
      <c r="S75" s="3" t="inlineStr">
        <is>
          <t>고운동리치세종</t>
        </is>
      </c>
      <c r="T75" s="4" t="n">
        <v>1</v>
      </c>
      <c r="U75" s="5" t="n">
        <v>336.9</v>
      </c>
      <c r="V75" s="4" t="n">
        <v>15314</v>
      </c>
      <c r="W75" s="3" t="inlineStr">
        <is>
          <t>지정되지않음</t>
        </is>
      </c>
      <c r="X75" s="3" t="inlineStr">
        <is>
          <t>단독</t>
        </is>
      </c>
      <c r="Y75" s="3" t="inlineStr">
        <is>
          <t>평지</t>
        </is>
      </c>
      <c r="Z75" s="3" t="inlineStr">
        <is>
          <t>사다리형</t>
        </is>
      </c>
      <c r="AA75" s="3" t="inlineStr">
        <is>
          <t>중로각지</t>
        </is>
      </c>
    </row>
    <row r="76">
      <c r="A76" s="3" t="inlineStr">
        <is>
          <t>고운동 890</t>
        </is>
      </c>
      <c r="B76" s="3" t="inlineStr">
        <is>
          <t>제1종전용주거지역</t>
        </is>
      </c>
      <c r="C76" s="3" t="inlineStr">
        <is>
          <t>대</t>
        </is>
      </c>
      <c r="D76" s="3" t="inlineStr">
        <is>
          <t>3</t>
        </is>
      </c>
      <c r="E76" s="3" t="inlineStr">
        <is>
          <t>단독</t>
        </is>
      </c>
      <c r="F76" s="3" t="inlineStr">
        <is>
          <t>매매</t>
        </is>
      </c>
      <c r="G76" s="4" t="n">
        <v>180000</v>
      </c>
      <c r="H76" s="4" t="n">
        <v>0</v>
      </c>
      <c r="I76" s="4" t="n">
        <v>15314</v>
      </c>
      <c r="J76" s="4" t="n">
        <v>4632</v>
      </c>
      <c r="K76" s="5" t="n">
        <v>38.9</v>
      </c>
      <c r="L76" s="4" t="n">
        <v>374</v>
      </c>
      <c r="M76" s="4" t="n">
        <v>113</v>
      </c>
      <c r="N76" s="5" t="n">
        <v>1592.9</v>
      </c>
      <c r="O76" s="3" t="inlineStr">
        <is>
          <t>세대내 엘리베이터 있는 단독세대, 고급 타운하우스, 월세도가능 ,즉시입주</t>
        </is>
      </c>
      <c r="P76" s="6">
        <f>HYPERLINK("https://fin.land.naver.com/articles/2649446076", "매물Link")</f>
        <v/>
      </c>
      <c r="Q76" s="6">
        <f>HYPERLINK("https://map.naver.com/p/search/고운동 890", "지도Link")</f>
        <v/>
      </c>
      <c r="R76" s="6">
        <f>HYPERLINK("http://www.eum.go.kr/web/ar/lu/luLandDet.jsp?pnu=3611011200108900000&amp;isNoScr=script&amp;mode=search", "토지이음")</f>
        <v/>
      </c>
      <c r="S76" s="3" t="inlineStr">
        <is>
          <t>힐스테이트으뜸원</t>
        </is>
      </c>
      <c r="T76" s="4" t="n">
        <v>1</v>
      </c>
      <c r="U76" s="5" t="n">
        <v>336.9</v>
      </c>
      <c r="V76" s="4" t="n">
        <v>15314</v>
      </c>
      <c r="W76" s="3" t="inlineStr">
        <is>
          <t>지정되지않음</t>
        </is>
      </c>
      <c r="X76" s="3" t="inlineStr">
        <is>
          <t>단독</t>
        </is>
      </c>
      <c r="Y76" s="3" t="inlineStr">
        <is>
          <t>평지</t>
        </is>
      </c>
      <c r="Z76" s="3" t="inlineStr">
        <is>
          <t>사다리형</t>
        </is>
      </c>
      <c r="AA76" s="3" t="inlineStr">
        <is>
          <t>중로각지</t>
        </is>
      </c>
    </row>
    <row r="77">
      <c r="A77" s="3" t="inlineStr">
        <is>
          <t>고운동 890</t>
        </is>
      </c>
      <c r="B77" s="3" t="inlineStr">
        <is>
          <t>제1종전용주거지역</t>
        </is>
      </c>
      <c r="C77" s="3" t="inlineStr">
        <is>
          <t>대</t>
        </is>
      </c>
      <c r="D77" s="3" t="inlineStr">
        <is>
          <t>2</t>
        </is>
      </c>
      <c r="E77" s="3" t="inlineStr">
        <is>
          <t>단독</t>
        </is>
      </c>
      <c r="F77" s="3" t="inlineStr">
        <is>
          <t>매매</t>
        </is>
      </c>
      <c r="G77" s="4" t="n">
        <v>79800</v>
      </c>
      <c r="H77" s="4" t="n">
        <v>0</v>
      </c>
      <c r="I77" s="4" t="n">
        <v>141</v>
      </c>
      <c r="J77" s="4" t="n">
        <v>43</v>
      </c>
      <c r="K77" s="5" t="n">
        <v>1855.8</v>
      </c>
      <c r="L77" s="4" t="n">
        <v>141</v>
      </c>
      <c r="M77" s="4" t="n">
        <v>43</v>
      </c>
      <c r="N77" s="5" t="n">
        <v>1855.8</v>
      </c>
      <c r="O77" s="3" t="inlineStr">
        <is>
          <t>고운동 단독주택 급매, 정원, 다락, 금액조절가능</t>
        </is>
      </c>
      <c r="P77" s="6">
        <f>HYPERLINK("https://fin.land.naver.com/articles/2651472215", "매물Link")</f>
        <v/>
      </c>
      <c r="Q77" s="6">
        <f>HYPERLINK("https://map.naver.com/p/search/고운동 890", "지도Link")</f>
        <v/>
      </c>
      <c r="R77" s="6">
        <f>HYPERLINK("http://www.eum.go.kr/web/ar/lu/luLandDet.jsp?pnu=3611011200108900000&amp;isNoScr=script&amp;mode=search", "토지이음")</f>
        <v/>
      </c>
      <c r="S77" s="3" t="inlineStr">
        <is>
          <t>이즈 세종백화</t>
        </is>
      </c>
      <c r="T77" s="4" t="n">
        <v>1</v>
      </c>
      <c r="U77" s="5" t="n">
        <v>336.9</v>
      </c>
      <c r="V77" s="4" t="n">
        <v>15314</v>
      </c>
      <c r="W77" s="3" t="inlineStr">
        <is>
          <t>지정되지않음</t>
        </is>
      </c>
      <c r="X77" s="3" t="inlineStr">
        <is>
          <t>단독</t>
        </is>
      </c>
      <c r="Y77" s="3" t="inlineStr">
        <is>
          <t>평지</t>
        </is>
      </c>
      <c r="Z77" s="3" t="inlineStr">
        <is>
          <t>사다리형</t>
        </is>
      </c>
      <c r="AA77" s="3" t="inlineStr">
        <is>
          <t>중로각지</t>
        </is>
      </c>
    </row>
    <row r="78">
      <c r="A78" s="3" t="inlineStr">
        <is>
          <t>고운동 890</t>
        </is>
      </c>
      <c r="B78" s="3" t="inlineStr">
        <is>
          <t>제1종전용주거지역</t>
        </is>
      </c>
      <c r="C78" s="3" t="inlineStr">
        <is>
          <t>대</t>
        </is>
      </c>
      <c r="D78" s="3" t="inlineStr">
        <is>
          <t>2</t>
        </is>
      </c>
      <c r="E78" s="3" t="inlineStr">
        <is>
          <t>단독</t>
        </is>
      </c>
      <c r="F78" s="3" t="inlineStr">
        <is>
          <t>매매</t>
        </is>
      </c>
      <c r="G78" s="4" t="n">
        <v>110000</v>
      </c>
      <c r="H78" s="4" t="n">
        <v>0</v>
      </c>
      <c r="I78" s="4" t="n">
        <v>15314</v>
      </c>
      <c r="J78" s="4" t="n">
        <v>4632</v>
      </c>
      <c r="K78" s="5" t="n">
        <v>23.7</v>
      </c>
      <c r="L78" s="4" t="n">
        <v>180</v>
      </c>
      <c r="M78" s="4" t="n">
        <v>54</v>
      </c>
      <c r="N78" s="5" t="n">
        <v>2037</v>
      </c>
      <c r="O78" s="3" t="inlineStr">
        <is>
          <t>주인거주로 관리잘된집, 협의입주, 모든 하자 완벽 수리</t>
        </is>
      </c>
      <c r="P78" s="6">
        <f>HYPERLINK("https://fin.land.naver.com/articles/2649875240", "매물Link")</f>
        <v/>
      </c>
      <c r="Q78" s="6">
        <f>HYPERLINK("https://map.naver.com/p/search/고운동 890", "지도Link")</f>
        <v/>
      </c>
      <c r="R78" s="6">
        <f>HYPERLINK("http://www.eum.go.kr/web/ar/lu/luLandDet.jsp?pnu=3611011200108900000&amp;isNoScr=script&amp;mode=search", "토지이음")</f>
        <v/>
      </c>
      <c r="S78" s="3" t="inlineStr">
        <is>
          <t>명진</t>
        </is>
      </c>
      <c r="T78" s="4" t="n">
        <v>1</v>
      </c>
      <c r="U78" s="5" t="n">
        <v>336.9</v>
      </c>
      <c r="V78" s="4" t="n">
        <v>15314</v>
      </c>
      <c r="W78" s="3" t="inlineStr">
        <is>
          <t>지정되지않음</t>
        </is>
      </c>
      <c r="X78" s="3" t="inlineStr">
        <is>
          <t>단독</t>
        </is>
      </c>
      <c r="Y78" s="3" t="inlineStr">
        <is>
          <t>평지</t>
        </is>
      </c>
      <c r="Z78" s="3" t="inlineStr">
        <is>
          <t>사다리형</t>
        </is>
      </c>
      <c r="AA78" s="3" t="inlineStr">
        <is>
          <t>중로각지</t>
        </is>
      </c>
    </row>
    <row r="79">
      <c r="A79" s="3" t="inlineStr">
        <is>
          <t>고운동 890</t>
        </is>
      </c>
      <c r="B79" s="3" t="inlineStr">
        <is>
          <t>제1종전용주거지역</t>
        </is>
      </c>
      <c r="C79" s="3" t="inlineStr">
        <is>
          <t>대</t>
        </is>
      </c>
      <c r="D79" s="3" t="inlineStr">
        <is>
          <t>2</t>
        </is>
      </c>
      <c r="E79" s="3" t="inlineStr">
        <is>
          <t>전원주택</t>
        </is>
      </c>
      <c r="F79" s="3" t="inlineStr">
        <is>
          <t>매매</t>
        </is>
      </c>
      <c r="G79" s="4" t="n">
        <v>79800</v>
      </c>
      <c r="H79" s="4" t="n">
        <v>0</v>
      </c>
      <c r="I79" s="4" t="n">
        <v>289</v>
      </c>
      <c r="J79" s="4" t="n">
        <v>87</v>
      </c>
      <c r="K79" s="5" t="n">
        <v>917.2</v>
      </c>
      <c r="L79" s="4" t="n">
        <v>15314</v>
      </c>
      <c r="M79" s="4" t="n">
        <v>4632</v>
      </c>
      <c r="N79" s="5" t="n">
        <v>17.2</v>
      </c>
      <c r="O79" s="3" t="inlineStr">
        <is>
          <t>급매,리치먼드힐1차,타운하우스, 테라스,복층</t>
        </is>
      </c>
      <c r="P79" s="6">
        <f>HYPERLINK("https://fin.land.naver.com/articles/2654152272", "매물Link")</f>
        <v/>
      </c>
      <c r="Q79" s="6">
        <f>HYPERLINK("https://map.naver.com/p/search/고운동 890", "지도Link")</f>
        <v/>
      </c>
      <c r="R79" s="6">
        <f>HYPERLINK("http://www.eum.go.kr/web/ar/lu/luLandDet.jsp?pnu=3611011200108900000&amp;isNoScr=script&amp;mode=search", "토지이음")</f>
        <v/>
      </c>
      <c r="S79" s="3" t="inlineStr">
        <is>
          <t>확실한</t>
        </is>
      </c>
      <c r="T79" s="4" t="n">
        <v>1</v>
      </c>
      <c r="U79" s="5" t="n">
        <v>336.9</v>
      </c>
      <c r="V79" s="4" t="n">
        <v>15314</v>
      </c>
      <c r="W79" s="3" t="inlineStr">
        <is>
          <t>지정되지않음</t>
        </is>
      </c>
      <c r="X79" s="3" t="inlineStr">
        <is>
          <t>단독</t>
        </is>
      </c>
      <c r="Y79" s="3" t="inlineStr">
        <is>
          <t>평지</t>
        </is>
      </c>
      <c r="Z79" s="3" t="inlineStr">
        <is>
          <t>사다리형</t>
        </is>
      </c>
      <c r="AA79" s="3" t="inlineStr">
        <is>
          <t>중로각지</t>
        </is>
      </c>
    </row>
    <row r="80">
      <c r="A80" s="3" t="inlineStr">
        <is>
          <t>고운동 890</t>
        </is>
      </c>
      <c r="B80" s="3" t="inlineStr">
        <is>
          <t>제1종전용주거지역</t>
        </is>
      </c>
      <c r="C80" s="3" t="inlineStr">
        <is>
          <t>대</t>
        </is>
      </c>
      <c r="D80" s="3" t="inlineStr">
        <is>
          <t>1</t>
        </is>
      </c>
      <c r="E80" s="3" t="inlineStr">
        <is>
          <t>단독</t>
        </is>
      </c>
      <c r="F80" s="3" t="inlineStr">
        <is>
          <t>월세</t>
        </is>
      </c>
      <c r="G80" s="4" t="n">
        <v>50000</v>
      </c>
      <c r="H80" s="4" t="n">
        <v>350</v>
      </c>
      <c r="I80" s="4" t="n">
        <v>0</v>
      </c>
      <c r="J80" s="4" t="n">
        <v>0</v>
      </c>
      <c r="K80" s="5" t="n">
        <v>0</v>
      </c>
      <c r="L80" s="4" t="n">
        <v>405</v>
      </c>
      <c r="M80" s="4" t="n">
        <v>123</v>
      </c>
      <c r="N80" s="5" t="n">
        <v>2.8</v>
      </c>
      <c r="O80" s="3" t="inlineStr">
        <is>
          <t>엘리베이터 있는 3층 타운하우스,공기좋고 조용한곳 찿으시는 분께 추천</t>
        </is>
      </c>
      <c r="P80" s="6">
        <f>HYPERLINK("https://fin.land.naver.com/articles/2651126636", "매물Link")</f>
        <v/>
      </c>
      <c r="Q80" s="6">
        <f>HYPERLINK("https://map.naver.com/p/search/고운동 890", "지도Link")</f>
        <v/>
      </c>
      <c r="R80" s="6">
        <f>HYPERLINK("http://www.eum.go.kr/web/ar/lu/luLandDet.jsp?pnu=3611011200108900000&amp;isNoScr=script&amp;mode=search", "토지이음")</f>
        <v/>
      </c>
      <c r="S80" s="3" t="inlineStr">
        <is>
          <t>세종대승</t>
        </is>
      </c>
      <c r="T80" s="4" t="n">
        <v>1</v>
      </c>
      <c r="U80" s="5" t="n">
        <v>336.9</v>
      </c>
      <c r="V80" s="4" t="n">
        <v>15314</v>
      </c>
      <c r="W80" s="3" t="inlineStr">
        <is>
          <t>지정되지않음</t>
        </is>
      </c>
      <c r="X80" s="3" t="inlineStr">
        <is>
          <t>단독</t>
        </is>
      </c>
      <c r="Y80" s="3" t="inlineStr">
        <is>
          <t>평지</t>
        </is>
      </c>
      <c r="Z80" s="3" t="inlineStr">
        <is>
          <t>사다리형</t>
        </is>
      </c>
      <c r="AA80" s="3" t="inlineStr">
        <is>
          <t>중로각지</t>
        </is>
      </c>
    </row>
    <row r="81">
      <c r="A81" s="3" t="inlineStr">
        <is>
          <t>고운동 890</t>
        </is>
      </c>
      <c r="B81" s="3" t="inlineStr">
        <is>
          <t>제1종전용주거지역</t>
        </is>
      </c>
      <c r="C81" s="3" t="inlineStr">
        <is>
          <t>대</t>
        </is>
      </c>
      <c r="D81" s="3" t="inlineStr">
        <is>
          <t>3</t>
        </is>
      </c>
      <c r="E81" s="3" t="inlineStr">
        <is>
          <t>단독</t>
        </is>
      </c>
      <c r="F81" s="3" t="inlineStr">
        <is>
          <t>매매</t>
        </is>
      </c>
      <c r="G81" s="4" t="n">
        <v>180000</v>
      </c>
      <c r="H81" s="4" t="n">
        <v>0</v>
      </c>
      <c r="I81" s="4" t="n">
        <v>15314</v>
      </c>
      <c r="J81" s="4" t="n">
        <v>4632</v>
      </c>
      <c r="K81" s="5" t="n">
        <v>38.9</v>
      </c>
      <c r="L81" s="4" t="n">
        <v>374</v>
      </c>
      <c r="M81" s="4" t="n">
        <v>113</v>
      </c>
      <c r="N81" s="5" t="n">
        <v>1592.9</v>
      </c>
      <c r="O81" s="3" t="inlineStr">
        <is>
          <t>고운동타운하우스 엘리베이터0 층별독립 공간과 프라이빗한 라이프스타일</t>
        </is>
      </c>
      <c r="P81" s="6">
        <f>HYPERLINK("https://fin.land.naver.com/articles/2650507306", "매물Link")</f>
        <v/>
      </c>
      <c r="Q81" s="6">
        <f>HYPERLINK("https://map.naver.com/p/search/고운동 890", "지도Link")</f>
        <v/>
      </c>
      <c r="R81" s="6">
        <f>HYPERLINK("http://www.eum.go.kr/web/ar/lu/luLandDet.jsp?pnu=3611011200108900000&amp;isNoScr=script&amp;mode=search", "토지이음")</f>
        <v/>
      </c>
      <c r="S81" s="3" t="inlineStr">
        <is>
          <t>고운동리치세종</t>
        </is>
      </c>
      <c r="T81" s="4" t="n">
        <v>1</v>
      </c>
      <c r="U81" s="5" t="n">
        <v>336.9</v>
      </c>
      <c r="V81" s="4" t="n">
        <v>15314</v>
      </c>
      <c r="W81" s="3" t="inlineStr">
        <is>
          <t>지정되지않음</t>
        </is>
      </c>
      <c r="X81" s="3" t="inlineStr">
        <is>
          <t>단독</t>
        </is>
      </c>
      <c r="Y81" s="3" t="inlineStr">
        <is>
          <t>평지</t>
        </is>
      </c>
      <c r="Z81" s="3" t="inlineStr">
        <is>
          <t>사다리형</t>
        </is>
      </c>
      <c r="AA81" s="3" t="inlineStr">
        <is>
          <t>중로각지</t>
        </is>
      </c>
    </row>
    <row r="82">
      <c r="A82" s="3" t="inlineStr">
        <is>
          <t>고운동 890</t>
        </is>
      </c>
      <c r="B82" s="3" t="inlineStr">
        <is>
          <t>제1종전용주거지역</t>
        </is>
      </c>
      <c r="C82" s="3" t="inlineStr">
        <is>
          <t>대</t>
        </is>
      </c>
      <c r="D82" s="3" t="inlineStr">
        <is>
          <t>2</t>
        </is>
      </c>
      <c r="E82" s="3" t="inlineStr">
        <is>
          <t>단독</t>
        </is>
      </c>
      <c r="F82" s="3" t="inlineStr">
        <is>
          <t>전세</t>
        </is>
      </c>
      <c r="G82" s="4" t="n">
        <v>48000</v>
      </c>
      <c r="H82" s="4" t="n">
        <v>0</v>
      </c>
      <c r="I82" s="4" t="n">
        <v>141</v>
      </c>
      <c r="J82" s="4" t="n">
        <v>43</v>
      </c>
      <c r="K82" s="5" t="n">
        <v>1116.3</v>
      </c>
      <c r="L82" s="4" t="n">
        <v>141</v>
      </c>
      <c r="M82" s="4" t="n">
        <v>43</v>
      </c>
      <c r="N82" s="5" t="n">
        <v>1116.3</v>
      </c>
      <c r="O82" s="3" t="inlineStr">
        <is>
          <t>세종백화, 에어컨4, 오븐, 인덕션1, 하이라이트1, 금액조정 가능</t>
        </is>
      </c>
      <c r="P82" s="6">
        <f>HYPERLINK("https://fin.land.naver.com/articles/2651471708", "매물Link")</f>
        <v/>
      </c>
      <c r="Q82" s="6">
        <f>HYPERLINK("https://map.naver.com/p/search/고운동 890", "지도Link")</f>
        <v/>
      </c>
      <c r="R82" s="6">
        <f>HYPERLINK("http://www.eum.go.kr/web/ar/lu/luLandDet.jsp?pnu=3611011200108900000&amp;isNoScr=script&amp;mode=search", "토지이음")</f>
        <v/>
      </c>
      <c r="S82" s="3" t="inlineStr">
        <is>
          <t>이즈 세종백화</t>
        </is>
      </c>
      <c r="T82" s="4" t="n">
        <v>1</v>
      </c>
      <c r="U82" s="5" t="n">
        <v>336.9</v>
      </c>
      <c r="V82" s="4" t="n">
        <v>15314</v>
      </c>
      <c r="W82" s="3" t="inlineStr">
        <is>
          <t>지정되지않음</t>
        </is>
      </c>
      <c r="X82" s="3" t="inlineStr">
        <is>
          <t>단독</t>
        </is>
      </c>
      <c r="Y82" s="3" t="inlineStr">
        <is>
          <t>평지</t>
        </is>
      </c>
      <c r="Z82" s="3" t="inlineStr">
        <is>
          <t>사다리형</t>
        </is>
      </c>
      <c r="AA82" s="3" t="inlineStr">
        <is>
          <t>중로각지</t>
        </is>
      </c>
    </row>
    <row r="83">
      <c r="A83" s="3" t="inlineStr">
        <is>
          <t>고운동 890</t>
        </is>
      </c>
      <c r="B83" s="3" t="inlineStr">
        <is>
          <t>제1종전용주거지역</t>
        </is>
      </c>
      <c r="C83" s="3" t="inlineStr">
        <is>
          <t>대</t>
        </is>
      </c>
      <c r="D83" s="3" t="inlineStr">
        <is>
          <t>1</t>
        </is>
      </c>
      <c r="E83" s="3" t="inlineStr">
        <is>
          <t>단독</t>
        </is>
      </c>
      <c r="F83" s="3" t="inlineStr">
        <is>
          <t>매매</t>
        </is>
      </c>
      <c r="G83" s="4" t="n">
        <v>79800</v>
      </c>
      <c r="H83" s="4" t="n">
        <v>0</v>
      </c>
      <c r="I83" s="4" t="n">
        <v>75</v>
      </c>
      <c r="J83" s="4" t="n">
        <v>23</v>
      </c>
      <c r="K83" s="5" t="n">
        <v>3469.6</v>
      </c>
      <c r="L83" s="4" t="n">
        <v>73</v>
      </c>
      <c r="M83" s="4" t="n">
        <v>22</v>
      </c>
      <c r="N83" s="5" t="n">
        <v>3627.3</v>
      </c>
      <c r="O83" s="3" t="inlineStr">
        <is>
          <t>급매,입주협의,고운동 단독주택,숲속 힐링 타운하우스</t>
        </is>
      </c>
      <c r="P83" s="6">
        <f>HYPERLINK("https://fin.land.naver.com/articles/2653212973", "매물Link")</f>
        <v/>
      </c>
      <c r="Q83" s="6">
        <f>HYPERLINK("https://map.naver.com/p/search/고운동 890", "지도Link")</f>
        <v/>
      </c>
      <c r="R83" s="6">
        <f>HYPERLINK("http://www.eum.go.kr/web/ar/lu/luLandDet.jsp?pnu=3611011200108900000&amp;isNoScr=script&amp;mode=search", "토지이음")</f>
        <v/>
      </c>
      <c r="S83" s="3" t="inlineStr">
        <is>
          <t>세종현대</t>
        </is>
      </c>
      <c r="T83" s="4" t="n">
        <v>1</v>
      </c>
      <c r="U83" s="5" t="n">
        <v>336.9</v>
      </c>
      <c r="V83" s="4" t="n">
        <v>15314</v>
      </c>
      <c r="W83" s="3" t="inlineStr">
        <is>
          <t>지정되지않음</t>
        </is>
      </c>
      <c r="X83" s="3" t="inlineStr">
        <is>
          <t>단독</t>
        </is>
      </c>
      <c r="Y83" s="3" t="inlineStr">
        <is>
          <t>평지</t>
        </is>
      </c>
      <c r="Z83" s="3" t="inlineStr">
        <is>
          <t>사다리형</t>
        </is>
      </c>
      <c r="AA83" s="3" t="inlineStr">
        <is>
          <t>중로각지</t>
        </is>
      </c>
    </row>
    <row r="84">
      <c r="A84" s="3" t="inlineStr">
        <is>
          <t>고운동 893-34</t>
        </is>
      </c>
      <c r="B84" s="3" t="inlineStr">
        <is>
          <t>제1종전용주거지역</t>
        </is>
      </c>
      <c r="C84" s="3" t="inlineStr">
        <is>
          <t>대</t>
        </is>
      </c>
      <c r="D84" s="3" t="inlineStr">
        <is>
          <t>2</t>
        </is>
      </c>
      <c r="E84" s="3" t="inlineStr">
        <is>
          <t>단독</t>
        </is>
      </c>
      <c r="F84" s="3" t="inlineStr">
        <is>
          <t>매매</t>
        </is>
      </c>
      <c r="G84" s="4" t="n">
        <v>75000</v>
      </c>
      <c r="H84" s="4" t="n">
        <v>0</v>
      </c>
      <c r="I84" s="4" t="n">
        <v>193</v>
      </c>
      <c r="J84" s="4" t="n">
        <v>58</v>
      </c>
      <c r="K84" s="5" t="n">
        <v>1293.1</v>
      </c>
      <c r="L84" s="4" t="n">
        <v>121</v>
      </c>
      <c r="M84" s="4" t="n">
        <v>37</v>
      </c>
      <c r="N84" s="5" t="n">
        <v>2027</v>
      </c>
      <c r="O84" s="3" t="inlineStr">
        <is>
          <t>세종시에서 앞으로 찾기 힘든 분양 금액 , 내부구조 굿, 잔금일 협의가능</t>
        </is>
      </c>
      <c r="P84" s="6">
        <f>HYPERLINK("https://fin.land.naver.com/articles/2649776832", "매물Link")</f>
        <v/>
      </c>
      <c r="Q84" s="6">
        <f>HYPERLINK("https://map.naver.com/p/search/고운동 893-34", "지도Link")</f>
        <v/>
      </c>
      <c r="R84" s="6">
        <f>HYPERLINK("http://www.eum.go.kr/web/ar/lu/luLandDet.jsp?pnu=3611011200108930034&amp;isNoScr=script&amp;mode=search", "토지이음")</f>
        <v/>
      </c>
      <c r="S84" s="3" t="inlineStr">
        <is>
          <t>세종올리브</t>
        </is>
      </c>
      <c r="T84" s="4" t="n">
        <v>1</v>
      </c>
      <c r="U84" s="5" t="n">
        <v>335.5</v>
      </c>
      <c r="V84" s="4" t="n">
        <v>775.4</v>
      </c>
      <c r="W84" s="3" t="inlineStr">
        <is>
          <t>지정되지않음</t>
        </is>
      </c>
      <c r="X84" s="3" t="inlineStr">
        <is>
          <t>단독</t>
        </is>
      </c>
      <c r="Y84" s="3" t="inlineStr">
        <is>
          <t>평지</t>
        </is>
      </c>
      <c r="Z84" s="3" t="inlineStr">
        <is>
          <t>가로장방</t>
        </is>
      </c>
      <c r="AA84" s="3" t="inlineStr">
        <is>
          <t>소로각지</t>
        </is>
      </c>
    </row>
    <row r="85">
      <c r="A85" s="3" t="inlineStr">
        <is>
          <t>고운동 893-34</t>
        </is>
      </c>
      <c r="B85" s="3" t="inlineStr">
        <is>
          <t>제1종전용주거지역</t>
        </is>
      </c>
      <c r="C85" s="3" t="inlineStr">
        <is>
          <t>대</t>
        </is>
      </c>
      <c r="D85" s="3" t="inlineStr">
        <is>
          <t>2</t>
        </is>
      </c>
      <c r="E85" s="3" t="inlineStr">
        <is>
          <t>단독</t>
        </is>
      </c>
      <c r="F85" s="3" t="inlineStr">
        <is>
          <t>매매</t>
        </is>
      </c>
      <c r="G85" s="4" t="n">
        <v>75000</v>
      </c>
      <c r="H85" s="4" t="n">
        <v>0</v>
      </c>
      <c r="I85" s="4" t="n">
        <v>193</v>
      </c>
      <c r="J85" s="4" t="n">
        <v>58</v>
      </c>
      <c r="K85" s="5" t="n">
        <v>1293.1</v>
      </c>
      <c r="L85" s="4" t="n">
        <v>121</v>
      </c>
      <c r="M85" s="4" t="n">
        <v>37</v>
      </c>
      <c r="N85" s="5" t="n">
        <v>2027</v>
      </c>
      <c r="O85" s="3" t="inlineStr">
        <is>
          <t>더이상 저렴할 수 없다. 튼튼하게 내부 실용적있게 만들었어요.</t>
        </is>
      </c>
      <c r="P85" s="6">
        <f>HYPERLINK("https://fin.land.naver.com/articles/2649776440", "매물Link")</f>
        <v/>
      </c>
      <c r="Q85" s="6">
        <f>HYPERLINK("https://map.naver.com/p/search/고운동 893-34", "지도Link")</f>
        <v/>
      </c>
      <c r="R85" s="6">
        <f>HYPERLINK("http://www.eum.go.kr/web/ar/lu/luLandDet.jsp?pnu=3611011200108930034&amp;isNoScr=script&amp;mode=search", "토지이음")</f>
        <v/>
      </c>
      <c r="S85" s="3" t="inlineStr">
        <is>
          <t>세종올리브</t>
        </is>
      </c>
      <c r="T85" s="4" t="n">
        <v>1</v>
      </c>
      <c r="U85" s="5" t="n">
        <v>335.5</v>
      </c>
      <c r="V85" s="4" t="n">
        <v>775.4</v>
      </c>
      <c r="W85" s="3" t="inlineStr">
        <is>
          <t>지정되지않음</t>
        </is>
      </c>
      <c r="X85" s="3" t="inlineStr">
        <is>
          <t>단독</t>
        </is>
      </c>
      <c r="Y85" s="3" t="inlineStr">
        <is>
          <t>평지</t>
        </is>
      </c>
      <c r="Z85" s="3" t="inlineStr">
        <is>
          <t>가로장방</t>
        </is>
      </c>
      <c r="AA85" s="3" t="inlineStr">
        <is>
          <t>소로각지</t>
        </is>
      </c>
    </row>
    <row r="86">
      <c r="A86" s="3" t="inlineStr">
        <is>
          <t>고운동 895-14</t>
        </is>
      </c>
      <c r="B86" s="3" t="inlineStr">
        <is>
          <t>제1종전용주거지역</t>
        </is>
      </c>
      <c r="C86" s="3" t="inlineStr">
        <is>
          <t>대</t>
        </is>
      </c>
      <c r="D86" s="3" t="inlineStr">
        <is>
          <t>2</t>
        </is>
      </c>
      <c r="E86" s="3" t="inlineStr">
        <is>
          <t>단독</t>
        </is>
      </c>
      <c r="F86" s="3" t="inlineStr">
        <is>
          <t>매매</t>
        </is>
      </c>
      <c r="G86" s="4" t="n">
        <v>145000</v>
      </c>
      <c r="H86" s="4" t="n">
        <v>0</v>
      </c>
      <c r="I86" s="4" t="n">
        <v>256</v>
      </c>
      <c r="J86" s="4" t="n">
        <v>77</v>
      </c>
      <c r="K86" s="5" t="n">
        <v>1883.1</v>
      </c>
      <c r="L86" s="4" t="n">
        <v>188</v>
      </c>
      <c r="M86" s="4" t="n">
        <v>57</v>
      </c>
      <c r="N86" s="5" t="n">
        <v>2543.9</v>
      </c>
      <c r="O86" s="3" t="inlineStr">
        <is>
          <t>고급주택단지,넓은마당과데크,2층테라스,시스템에어컨7대,단지커뮤니티시설</t>
        </is>
      </c>
      <c r="P86" s="6">
        <f>HYPERLINK("https://fin.land.naver.com/articles/2653447420", "매물Link")</f>
        <v/>
      </c>
      <c r="Q86" s="6">
        <f>HYPERLINK("https://map.naver.com/p/search/고운동 895-14", "지도Link")</f>
        <v/>
      </c>
      <c r="R86" s="6">
        <f>HYPERLINK("http://www.eum.go.kr/web/ar/lu/luLandDet.jsp?pnu=3611011200108950014&amp;isNoScr=script&amp;mode=search", "토지이음")</f>
        <v/>
      </c>
      <c r="S86" s="3" t="inlineStr">
        <is>
          <t>산울탑</t>
        </is>
      </c>
      <c r="T86" s="4" t="n">
        <v>1</v>
      </c>
      <c r="U86" s="5" t="n">
        <v>319.6</v>
      </c>
      <c r="V86" s="4" t="n">
        <v>256.5</v>
      </c>
      <c r="W86" s="3" t="inlineStr">
        <is>
          <t>지정되지않음</t>
        </is>
      </c>
      <c r="X86" s="3" t="inlineStr">
        <is>
          <t>단독</t>
        </is>
      </c>
      <c r="Y86" s="3" t="inlineStr">
        <is>
          <t>평지</t>
        </is>
      </c>
      <c r="Z86" s="3" t="inlineStr">
        <is>
          <t>세로장방</t>
        </is>
      </c>
      <c r="AA86" s="3" t="inlineStr">
        <is>
          <t>소로한면</t>
        </is>
      </c>
    </row>
    <row r="87">
      <c r="A87" s="3" t="inlineStr">
        <is>
          <t>고운동 895-19</t>
        </is>
      </c>
      <c r="B87" s="3" t="inlineStr">
        <is>
          <t>제1종전용주거지역</t>
        </is>
      </c>
      <c r="C87" s="3" t="inlineStr">
        <is>
          <t>대</t>
        </is>
      </c>
      <c r="D87" s="3" t="inlineStr">
        <is>
          <t>2</t>
        </is>
      </c>
      <c r="E87" s="3" t="inlineStr">
        <is>
          <t>단독</t>
        </is>
      </c>
      <c r="F87" s="3" t="inlineStr">
        <is>
          <t>매매</t>
        </is>
      </c>
      <c r="G87" s="4" t="n">
        <v>115000</v>
      </c>
      <c r="H87" s="4" t="n">
        <v>0</v>
      </c>
      <c r="I87" s="4" t="n">
        <v>262</v>
      </c>
      <c r="J87" s="4" t="n">
        <v>79</v>
      </c>
      <c r="K87" s="5" t="n">
        <v>1455.7</v>
      </c>
      <c r="L87" s="4" t="n">
        <v>186</v>
      </c>
      <c r="M87" s="4" t="n">
        <v>56</v>
      </c>
      <c r="N87" s="5" t="n">
        <v>2053.6</v>
      </c>
      <c r="O87" s="3" t="inlineStr">
        <is>
          <t>포스힐타운하우스 단독주택매매 가격조정가능</t>
        </is>
      </c>
      <c r="P87" s="6">
        <f>HYPERLINK("https://fin.land.naver.com/articles/2650510542", "매물Link")</f>
        <v/>
      </c>
      <c r="Q87" s="6">
        <f>HYPERLINK("https://map.naver.com/p/search/고운동 895-19", "지도Link")</f>
        <v/>
      </c>
      <c r="R87" s="6">
        <f>HYPERLINK("http://www.eum.go.kr/web/ar/lu/luLandDet.jsp?pnu=3611011200108950019&amp;isNoScr=script&amp;mode=search", "토지이음")</f>
        <v/>
      </c>
      <c r="S87" s="3" t="inlineStr">
        <is>
          <t>고운동리치세종</t>
        </is>
      </c>
      <c r="T87" s="4" t="n">
        <v>1</v>
      </c>
      <c r="U87" s="5" t="n">
        <v>319.6</v>
      </c>
      <c r="V87" s="4" t="n">
        <v>262.6</v>
      </c>
      <c r="W87" s="3" t="inlineStr">
        <is>
          <t>지정되지않음</t>
        </is>
      </c>
      <c r="X87" s="3" t="inlineStr">
        <is>
          <t>단독</t>
        </is>
      </c>
      <c r="Y87" s="3" t="inlineStr">
        <is>
          <t>평지</t>
        </is>
      </c>
      <c r="Z87" s="3" t="inlineStr">
        <is>
          <t>세로장방</t>
        </is>
      </c>
      <c r="AA87" s="3" t="inlineStr">
        <is>
          <t>소로한면</t>
        </is>
      </c>
    </row>
    <row r="88">
      <c r="A88" s="3" t="inlineStr">
        <is>
          <t>고운동 895-19</t>
        </is>
      </c>
      <c r="B88" s="3" t="inlineStr">
        <is>
          <t>제1종전용주거지역</t>
        </is>
      </c>
      <c r="C88" s="3" t="inlineStr">
        <is>
          <t>대</t>
        </is>
      </c>
      <c r="D88" s="3" t="inlineStr">
        <is>
          <t>2</t>
        </is>
      </c>
      <c r="E88" s="3" t="inlineStr">
        <is>
          <t>단독</t>
        </is>
      </c>
      <c r="F88" s="3" t="inlineStr">
        <is>
          <t>매매</t>
        </is>
      </c>
      <c r="G88" s="4" t="n">
        <v>115000</v>
      </c>
      <c r="H88" s="4" t="n">
        <v>0</v>
      </c>
      <c r="I88" s="4" t="n">
        <v>262</v>
      </c>
      <c r="J88" s="4" t="n">
        <v>79</v>
      </c>
      <c r="K88" s="5" t="n">
        <v>1455.7</v>
      </c>
      <c r="L88" s="4" t="n">
        <v>186</v>
      </c>
      <c r="M88" s="4" t="n">
        <v>56</v>
      </c>
      <c r="N88" s="5" t="n">
        <v>2053.6</v>
      </c>
      <c r="O88" s="3" t="inlineStr">
        <is>
          <t>급매 포스힐내 가장 예쁜정원 전세도가능</t>
        </is>
      </c>
      <c r="P88" s="6">
        <f>HYPERLINK("https://fin.land.naver.com/articles/2652942703", "매물Link")</f>
        <v/>
      </c>
      <c r="Q88" s="6">
        <f>HYPERLINK("https://map.naver.com/p/search/고운동 895-19", "지도Link")</f>
        <v/>
      </c>
      <c r="R88" s="6">
        <f>HYPERLINK("http://www.eum.go.kr/web/ar/lu/luLandDet.jsp?pnu=3611011200108950019&amp;isNoScr=script&amp;mode=search", "토지이음")</f>
        <v/>
      </c>
      <c r="S88" s="3" t="inlineStr">
        <is>
          <t>세종스타</t>
        </is>
      </c>
      <c r="T88" s="4" t="n">
        <v>1</v>
      </c>
      <c r="U88" s="5" t="n">
        <v>319.6</v>
      </c>
      <c r="V88" s="4" t="n">
        <v>262.6</v>
      </c>
      <c r="W88" s="3" t="inlineStr">
        <is>
          <t>지정되지않음</t>
        </is>
      </c>
      <c r="X88" s="3" t="inlineStr">
        <is>
          <t>단독</t>
        </is>
      </c>
      <c r="Y88" s="3" t="inlineStr">
        <is>
          <t>평지</t>
        </is>
      </c>
      <c r="Z88" s="3" t="inlineStr">
        <is>
          <t>세로장방</t>
        </is>
      </c>
      <c r="AA88" s="3" t="inlineStr">
        <is>
          <t>소로한면</t>
        </is>
      </c>
    </row>
    <row r="89">
      <c r="A89" s="3" t="inlineStr">
        <is>
          <t>고운동 895-24</t>
        </is>
      </c>
      <c r="B89" s="3" t="inlineStr">
        <is>
          <t>제1종전용주거지역</t>
        </is>
      </c>
      <c r="C89" s="3" t="inlineStr">
        <is>
          <t>대</t>
        </is>
      </c>
      <c r="D89" s="3" t="inlineStr">
        <is>
          <t>2</t>
        </is>
      </c>
      <c r="E89" s="3" t="inlineStr">
        <is>
          <t>단독</t>
        </is>
      </c>
      <c r="F89" s="3" t="inlineStr">
        <is>
          <t>매매</t>
        </is>
      </c>
      <c r="G89" s="4" t="n">
        <v>115000</v>
      </c>
      <c r="H89" s="4" t="n">
        <v>0</v>
      </c>
      <c r="I89" s="4" t="n">
        <v>256</v>
      </c>
      <c r="J89" s="4" t="n">
        <v>77</v>
      </c>
      <c r="K89" s="5" t="n">
        <v>1493.5</v>
      </c>
      <c r="L89" s="4" t="n">
        <v>185</v>
      </c>
      <c r="M89" s="4" t="n">
        <v>56</v>
      </c>
      <c r="N89" s="5" t="n">
        <v>2053.6</v>
      </c>
      <c r="O89" s="3" t="inlineStr">
        <is>
          <t>채광좋은위치 관리최상 방3개 욕실2개 다락있음</t>
        </is>
      </c>
      <c r="P89" s="6">
        <f>HYPERLINK("https://fin.land.naver.com/articles/2650660875", "매물Link")</f>
        <v/>
      </c>
      <c r="Q89" s="6">
        <f>HYPERLINK("https://map.naver.com/p/search/고운동 895-24", "지도Link")</f>
        <v/>
      </c>
      <c r="R89" s="6">
        <f>HYPERLINK("http://www.eum.go.kr/web/ar/lu/luLandDet.jsp?pnu=3611011200108950024&amp;isNoScr=script&amp;mode=search", "토지이음")</f>
        <v/>
      </c>
      <c r="S89" s="3" t="inlineStr">
        <is>
          <t>세종스타</t>
        </is>
      </c>
      <c r="T89" s="4" t="n">
        <v>2</v>
      </c>
      <c r="U89" s="5" t="n">
        <v>319.6</v>
      </c>
      <c r="V89" s="4" t="n">
        <v>256.5</v>
      </c>
      <c r="W89" s="3" t="inlineStr">
        <is>
          <t>지정되지않음</t>
        </is>
      </c>
      <c r="X89" s="3" t="inlineStr">
        <is>
          <t>단독</t>
        </is>
      </c>
      <c r="Y89" s="3" t="inlineStr">
        <is>
          <t>평지</t>
        </is>
      </c>
      <c r="Z89" s="3" t="inlineStr">
        <is>
          <t>세로장방</t>
        </is>
      </c>
      <c r="AA89" s="3" t="inlineStr">
        <is>
          <t>소로한면</t>
        </is>
      </c>
    </row>
    <row r="90">
      <c r="A90" s="3" t="inlineStr">
        <is>
          <t>고운동 895-32</t>
        </is>
      </c>
      <c r="B90" s="3" t="inlineStr">
        <is>
          <t>제1종전용주거지역</t>
        </is>
      </c>
      <c r="C90" s="3" t="inlineStr">
        <is>
          <t>대</t>
        </is>
      </c>
      <c r="D90" s="3" t="inlineStr">
        <is>
          <t>2</t>
        </is>
      </c>
      <c r="E90" s="3" t="inlineStr">
        <is>
          <t>단독</t>
        </is>
      </c>
      <c r="F90" s="3" t="inlineStr">
        <is>
          <t>매매</t>
        </is>
      </c>
      <c r="G90" s="4" t="n">
        <v>120000</v>
      </c>
      <c r="H90" s="4" t="n">
        <v>0</v>
      </c>
      <c r="I90" s="4" t="n">
        <v>256</v>
      </c>
      <c r="J90" s="4" t="n">
        <v>77</v>
      </c>
      <c r="K90" s="5" t="n">
        <v>1558.4</v>
      </c>
      <c r="L90" s="4" t="n">
        <v>188</v>
      </c>
      <c r="M90" s="4" t="n">
        <v>57</v>
      </c>
      <c r="N90" s="5" t="n">
        <v>2105.3</v>
      </c>
      <c r="O90" s="3" t="inlineStr">
        <is>
          <t>급매 마당넓고 예쁜정원 관리최상 보행로옆 조율가능</t>
        </is>
      </c>
      <c r="P90" s="6">
        <f>HYPERLINK("https://fin.land.naver.com/articles/2649812062", "매물Link")</f>
        <v/>
      </c>
      <c r="Q90" s="6">
        <f>HYPERLINK("https://map.naver.com/p/search/고운동 895-32", "지도Link")</f>
        <v/>
      </c>
      <c r="R90" s="6">
        <f>HYPERLINK("http://www.eum.go.kr/web/ar/lu/luLandDet.jsp?pnu=3611011200108950032&amp;isNoScr=script&amp;mode=search", "토지이음")</f>
        <v/>
      </c>
      <c r="S90" s="3" t="inlineStr">
        <is>
          <t>세종스타</t>
        </is>
      </c>
      <c r="T90" s="4" t="n">
        <v>1</v>
      </c>
      <c r="U90" s="5" t="n">
        <v>319.6</v>
      </c>
      <c r="V90" s="4" t="n">
        <v>256.5</v>
      </c>
      <c r="W90" s="3" t="inlineStr">
        <is>
          <t>지정되지않음</t>
        </is>
      </c>
      <c r="X90" s="3" t="inlineStr">
        <is>
          <t>단독</t>
        </is>
      </c>
      <c r="Y90" s="3" t="inlineStr">
        <is>
          <t>평지</t>
        </is>
      </c>
      <c r="Z90" s="3" t="inlineStr">
        <is>
          <t>세로장방</t>
        </is>
      </c>
      <c r="AA90" s="3" t="inlineStr">
        <is>
          <t>소로한면</t>
        </is>
      </c>
    </row>
    <row r="91">
      <c r="A91" s="3" t="inlineStr">
        <is>
          <t>고운동 895-38</t>
        </is>
      </c>
      <c r="B91" s="3" t="inlineStr">
        <is>
          <t>제1종전용주거지역</t>
        </is>
      </c>
      <c r="C91" s="3" t="inlineStr">
        <is>
          <t>대</t>
        </is>
      </c>
      <c r="D91" s="3" t="inlineStr">
        <is>
          <t>2</t>
        </is>
      </c>
      <c r="E91" s="3" t="inlineStr">
        <is>
          <t>단독</t>
        </is>
      </c>
      <c r="F91" s="3" t="inlineStr">
        <is>
          <t>매매</t>
        </is>
      </c>
      <c r="G91" s="4" t="n">
        <v>150000</v>
      </c>
      <c r="H91" s="4" t="n">
        <v>0</v>
      </c>
      <c r="I91" s="4" t="n">
        <v>286</v>
      </c>
      <c r="J91" s="4" t="n">
        <v>87</v>
      </c>
      <c r="K91" s="5" t="n">
        <v>1724.1</v>
      </c>
      <c r="L91" s="4" t="n">
        <v>185</v>
      </c>
      <c r="M91" s="4" t="n">
        <v>56</v>
      </c>
      <c r="N91" s="5" t="n">
        <v>2678.6</v>
      </c>
      <c r="O91" s="3" t="inlineStr">
        <is>
          <t>뒷마당이 산과 접한 안쪽위치, 여유로움,</t>
        </is>
      </c>
      <c r="P91" s="6">
        <f>HYPERLINK("https://fin.land.naver.com/articles/2652861851", "매물Link")</f>
        <v/>
      </c>
      <c r="Q91" s="6">
        <f>HYPERLINK("https://map.naver.com/p/search/고운동 895-38", "지도Link")</f>
        <v/>
      </c>
      <c r="R91" s="6">
        <f>HYPERLINK("http://www.eum.go.kr/web/ar/lu/luLandDet.jsp?pnu=3611011200108950038&amp;isNoScr=script&amp;mode=search", "토지이음")</f>
        <v/>
      </c>
      <c r="S91" s="3" t="inlineStr">
        <is>
          <t>최무연</t>
        </is>
      </c>
      <c r="T91" s="4" t="n">
        <v>3</v>
      </c>
      <c r="U91" s="5" t="n">
        <v>316.4</v>
      </c>
      <c r="V91" s="4" t="n">
        <v>286.8</v>
      </c>
      <c r="W91" s="3" t="inlineStr">
        <is>
          <t>지정되지않음</t>
        </is>
      </c>
      <c r="X91" s="3" t="inlineStr">
        <is>
          <t>단독</t>
        </is>
      </c>
      <c r="Y91" s="3" t="inlineStr">
        <is>
          <t>평지</t>
        </is>
      </c>
      <c r="Z91" s="3" t="inlineStr">
        <is>
          <t>사다리형</t>
        </is>
      </c>
      <c r="AA91" s="3" t="inlineStr">
        <is>
          <t>소로한면</t>
        </is>
      </c>
    </row>
    <row r="92">
      <c r="A92" s="3" t="inlineStr">
        <is>
          <t>고운동 895-7</t>
        </is>
      </c>
      <c r="B92" s="3" t="inlineStr">
        <is>
          <t>제1종전용주거지역</t>
        </is>
      </c>
      <c r="C92" s="3" t="inlineStr">
        <is>
          <t>대</t>
        </is>
      </c>
      <c r="D92" s="3" t="inlineStr">
        <is>
          <t>2</t>
        </is>
      </c>
      <c r="E92" s="3" t="inlineStr">
        <is>
          <t>단독</t>
        </is>
      </c>
      <c r="F92" s="3" t="inlineStr">
        <is>
          <t>매매</t>
        </is>
      </c>
      <c r="G92" s="4" t="n">
        <v>145000</v>
      </c>
      <c r="H92" s="4" t="n">
        <v>0</v>
      </c>
      <c r="I92" s="4" t="n">
        <v>255</v>
      </c>
      <c r="J92" s="4" t="n">
        <v>77</v>
      </c>
      <c r="K92" s="5" t="n">
        <v>1883.1</v>
      </c>
      <c r="L92" s="4" t="n">
        <v>181</v>
      </c>
      <c r="M92" s="4" t="n">
        <v>55</v>
      </c>
      <c r="N92" s="5" t="n">
        <v>2636.4</v>
      </c>
      <c r="O92" s="3" t="inlineStr">
        <is>
          <t>풀에어컨, 단독주택, 인테리어 완료된 주인거주로 관리잘된집</t>
        </is>
      </c>
      <c r="P92" s="6">
        <f>HYPERLINK("https://fin.land.naver.com/articles/2652843664", "매물Link")</f>
        <v/>
      </c>
      <c r="Q92" s="6">
        <f>HYPERLINK("https://map.naver.com/p/search/고운동 895-7", "지도Link")</f>
        <v/>
      </c>
      <c r="R92" s="6">
        <f>HYPERLINK("http://www.eum.go.kr/web/ar/lu/luLandDet.jsp?pnu=3611011200108950007&amp;isNoScr=script&amp;mode=search", "토지이음")</f>
        <v/>
      </c>
      <c r="S92" s="3" t="inlineStr">
        <is>
          <t>세종무지개</t>
        </is>
      </c>
      <c r="T92" s="4" t="n">
        <v>1</v>
      </c>
      <c r="U92" s="5" t="n">
        <v>319.6</v>
      </c>
      <c r="V92" s="4" t="n">
        <v>255.5</v>
      </c>
      <c r="W92" s="3" t="inlineStr">
        <is>
          <t>지정되지않음</t>
        </is>
      </c>
      <c r="X92" s="3" t="inlineStr">
        <is>
          <t>단독</t>
        </is>
      </c>
      <c r="Y92" s="3" t="inlineStr">
        <is>
          <t>평지</t>
        </is>
      </c>
      <c r="Z92" s="3" t="inlineStr">
        <is>
          <t>세로장방</t>
        </is>
      </c>
      <c r="AA92" s="3" t="inlineStr">
        <is>
          <t>소로한면</t>
        </is>
      </c>
    </row>
    <row r="93">
      <c r="A93" s="3" t="inlineStr">
        <is>
          <t>고운동 895-7</t>
        </is>
      </c>
      <c r="B93" s="3" t="inlineStr">
        <is>
          <t>제1종전용주거지역</t>
        </is>
      </c>
      <c r="C93" s="3" t="inlineStr">
        <is>
          <t>대</t>
        </is>
      </c>
      <c r="D93" s="3" t="inlineStr">
        <is>
          <t>2</t>
        </is>
      </c>
      <c r="E93" s="3" t="inlineStr">
        <is>
          <t>단독</t>
        </is>
      </c>
      <c r="F93" s="3" t="inlineStr">
        <is>
          <t>매매</t>
        </is>
      </c>
      <c r="G93" s="4" t="n">
        <v>145000</v>
      </c>
      <c r="H93" s="4" t="n">
        <v>0</v>
      </c>
      <c r="I93" s="4" t="n">
        <v>255</v>
      </c>
      <c r="J93" s="4" t="n">
        <v>77</v>
      </c>
      <c r="K93" s="5" t="n">
        <v>1883.1</v>
      </c>
      <c r="L93" s="4" t="n">
        <v>181</v>
      </c>
      <c r="M93" s="4" t="n">
        <v>55</v>
      </c>
      <c r="N93" s="5" t="n">
        <v>2636.4</v>
      </c>
      <c r="O93" s="3" t="inlineStr">
        <is>
          <t>포스힐 단독주택, 에어컨풀, 인테리어완료, 주인거주</t>
        </is>
      </c>
      <c r="P93" s="6">
        <f>HYPERLINK("https://fin.land.naver.com/articles/2654219546", "매물Link")</f>
        <v/>
      </c>
      <c r="Q93" s="6">
        <f>HYPERLINK("https://map.naver.com/p/search/고운동 895-7", "지도Link")</f>
        <v/>
      </c>
      <c r="R93" s="6">
        <f>HYPERLINK("http://www.eum.go.kr/web/ar/lu/luLandDet.jsp?pnu=3611011200108950007&amp;isNoScr=script&amp;mode=search", "토지이음")</f>
        <v/>
      </c>
      <c r="S93" s="3" t="inlineStr">
        <is>
          <t>명진</t>
        </is>
      </c>
      <c r="T93" s="4" t="n">
        <v>1</v>
      </c>
      <c r="U93" s="5" t="n">
        <v>319.6</v>
      </c>
      <c r="V93" s="4" t="n">
        <v>255.5</v>
      </c>
      <c r="W93" s="3" t="inlineStr">
        <is>
          <t>지정되지않음</t>
        </is>
      </c>
      <c r="X93" s="3" t="inlineStr">
        <is>
          <t>단독</t>
        </is>
      </c>
      <c r="Y93" s="3" t="inlineStr">
        <is>
          <t>평지</t>
        </is>
      </c>
      <c r="Z93" s="3" t="inlineStr">
        <is>
          <t>세로장방</t>
        </is>
      </c>
      <c r="AA93" s="3" t="inlineStr">
        <is>
          <t>소로한면</t>
        </is>
      </c>
    </row>
    <row r="94">
      <c r="A94" s="3" t="inlineStr">
        <is>
          <t>고운동 896</t>
        </is>
      </c>
      <c r="B94" s="3" t="inlineStr">
        <is>
          <t>제1종전용주거지역</t>
        </is>
      </c>
      <c r="C94" s="3" t="inlineStr">
        <is>
          <t>대</t>
        </is>
      </c>
      <c r="D94" s="3" t="inlineStr">
        <is>
          <t>1</t>
        </is>
      </c>
      <c r="E94" s="3" t="inlineStr">
        <is>
          <t>단독</t>
        </is>
      </c>
      <c r="F94" s="3" t="inlineStr">
        <is>
          <t>월세</t>
        </is>
      </c>
      <c r="G94" s="4" t="n">
        <v>5000</v>
      </c>
      <c r="H94" s="4" t="n">
        <v>300</v>
      </c>
      <c r="I94" s="4" t="n">
        <v>196</v>
      </c>
      <c r="J94" s="4" t="n">
        <v>59</v>
      </c>
      <c r="K94" s="5" t="n">
        <v>5.1</v>
      </c>
      <c r="L94" s="4" t="n">
        <v>196</v>
      </c>
      <c r="M94" s="4" t="n">
        <v>59</v>
      </c>
      <c r="N94" s="5" t="n">
        <v>5.1</v>
      </c>
      <c r="O94" s="3" t="inlineStr">
        <is>
          <t>귀한 타운하우스 월세, 방3개, 화장실3개, 협의입주가능</t>
        </is>
      </c>
      <c r="P94" s="6">
        <f>HYPERLINK("https://fin.land.naver.com/articles/2649871083", "매물Link")</f>
        <v/>
      </c>
      <c r="Q94" s="6">
        <f>HYPERLINK("https://map.naver.com/p/search/고운동 896", "지도Link")</f>
        <v/>
      </c>
      <c r="R94" s="6">
        <f>HYPERLINK("http://www.eum.go.kr/web/ar/lu/luLandDet.jsp?pnu=3611011200108960000&amp;isNoScr=script&amp;mode=search", "토지이음")</f>
        <v/>
      </c>
      <c r="S94" s="3" t="inlineStr">
        <is>
          <t>명진</t>
        </is>
      </c>
      <c r="T94" s="4" t="n">
        <v>1</v>
      </c>
      <c r="U94" s="5" t="n">
        <v>327.3</v>
      </c>
      <c r="V94" s="4" t="n">
        <v>14467</v>
      </c>
      <c r="W94" s="3" t="inlineStr">
        <is>
          <t>지정되지않음</t>
        </is>
      </c>
      <c r="X94" s="3" t="inlineStr">
        <is>
          <t>주거나지</t>
        </is>
      </c>
      <c r="Y94" s="3" t="inlineStr">
        <is>
          <t>평지</t>
        </is>
      </c>
      <c r="Z94" s="3" t="inlineStr">
        <is>
          <t>세로장방</t>
        </is>
      </c>
      <c r="AA94" s="3" t="inlineStr">
        <is>
          <t>중로한면</t>
        </is>
      </c>
    </row>
    <row r="95">
      <c r="A95" s="3" t="inlineStr">
        <is>
          <t>고운동 896</t>
        </is>
      </c>
      <c r="B95" s="3" t="inlineStr">
        <is>
          <t>제1종전용주거지역</t>
        </is>
      </c>
      <c r="C95" s="3" t="inlineStr">
        <is>
          <t>대</t>
        </is>
      </c>
      <c r="D95" s="3" t="inlineStr">
        <is>
          <t>2</t>
        </is>
      </c>
      <c r="E95" s="3" t="inlineStr">
        <is>
          <t>단독</t>
        </is>
      </c>
      <c r="F95" s="3" t="inlineStr">
        <is>
          <t>매매</t>
        </is>
      </c>
      <c r="G95" s="4" t="n">
        <v>127000</v>
      </c>
      <c r="H95" s="4" t="n">
        <v>0</v>
      </c>
      <c r="I95" s="4" t="n">
        <v>328</v>
      </c>
      <c r="J95" s="4" t="n">
        <v>99</v>
      </c>
      <c r="K95" s="5" t="n">
        <v>1282.8</v>
      </c>
      <c r="L95" s="4" t="n">
        <v>196</v>
      </c>
      <c r="M95" s="4" t="n">
        <v>59</v>
      </c>
      <c r="N95" s="5" t="n">
        <v>2152.5</v>
      </c>
      <c r="O95" s="3" t="inlineStr">
        <is>
          <t>타운하우스매매 가격조정가능 상태좋음 방3개 테라스 다락있음 옵션풀</t>
        </is>
      </c>
      <c r="P95" s="6">
        <f>HYPERLINK("https://fin.land.naver.com/articles/2654272968", "매물Link")</f>
        <v/>
      </c>
      <c r="Q95" s="6">
        <f>HYPERLINK("https://map.naver.com/p/search/고운동 896", "지도Link")</f>
        <v/>
      </c>
      <c r="R95" s="6">
        <f>HYPERLINK("http://www.eum.go.kr/web/ar/lu/luLandDet.jsp?pnu=3611011200108960000&amp;isNoScr=script&amp;mode=search", "토지이음")</f>
        <v/>
      </c>
      <c r="S95" s="3" t="inlineStr">
        <is>
          <t>새롬스마트</t>
        </is>
      </c>
      <c r="T95" s="4" t="n">
        <v>2</v>
      </c>
      <c r="U95" s="5" t="n">
        <v>327.3</v>
      </c>
      <c r="V95" s="4" t="n">
        <v>14467</v>
      </c>
      <c r="W95" s="3" t="inlineStr">
        <is>
          <t>지정되지않음</t>
        </is>
      </c>
      <c r="X95" s="3" t="inlineStr">
        <is>
          <t>주거나지</t>
        </is>
      </c>
      <c r="Y95" s="3" t="inlineStr">
        <is>
          <t>평지</t>
        </is>
      </c>
      <c r="Z95" s="3" t="inlineStr">
        <is>
          <t>세로장방</t>
        </is>
      </c>
      <c r="AA95" s="3" t="inlineStr">
        <is>
          <t>중로한면</t>
        </is>
      </c>
    </row>
    <row r="96">
      <c r="A96" s="3" t="inlineStr">
        <is>
          <t>고운동 896</t>
        </is>
      </c>
      <c r="B96" s="3" t="inlineStr">
        <is>
          <t>제1종전용주거지역</t>
        </is>
      </c>
      <c r="C96" s="3" t="inlineStr">
        <is>
          <t>대</t>
        </is>
      </c>
      <c r="D96" s="3" t="inlineStr">
        <is>
          <t>2</t>
        </is>
      </c>
      <c r="E96" s="3" t="inlineStr">
        <is>
          <t>단독</t>
        </is>
      </c>
      <c r="F96" s="3" t="inlineStr">
        <is>
          <t>매매</t>
        </is>
      </c>
      <c r="G96" s="4" t="n">
        <v>102000</v>
      </c>
      <c r="H96" s="4" t="n">
        <v>0</v>
      </c>
      <c r="I96" s="4" t="n">
        <v>299</v>
      </c>
      <c r="J96" s="4" t="n">
        <v>90</v>
      </c>
      <c r="K96" s="5" t="n">
        <v>1133.3</v>
      </c>
      <c r="L96" s="4" t="n">
        <v>171</v>
      </c>
      <c r="M96" s="4" t="n">
        <v>52</v>
      </c>
      <c r="N96" s="5" t="n">
        <v>1961.5</v>
      </c>
      <c r="O96" s="3" t="inlineStr">
        <is>
          <t>마이너스 급매 추천매물. 전세끼고매매</t>
        </is>
      </c>
      <c r="P96" s="6">
        <f>HYPERLINK("https://fin.land.naver.com/articles/2654400912", "매물Link")</f>
        <v/>
      </c>
      <c r="Q96" s="6">
        <f>HYPERLINK("https://map.naver.com/p/search/고운동 896", "지도Link")</f>
        <v/>
      </c>
      <c r="R96" s="6">
        <f>HYPERLINK("http://www.eum.go.kr/web/ar/lu/luLandDet.jsp?pnu=3611011200108960000&amp;isNoScr=script&amp;mode=search", "토지이음")</f>
        <v/>
      </c>
      <c r="S96" s="3" t="inlineStr">
        <is>
          <t>세종올리브</t>
        </is>
      </c>
      <c r="T96" s="4" t="n">
        <v>1</v>
      </c>
      <c r="U96" s="5" t="n">
        <v>327.3</v>
      </c>
      <c r="V96" s="4" t="n">
        <v>14467</v>
      </c>
      <c r="W96" s="3" t="inlineStr">
        <is>
          <t>지정되지않음</t>
        </is>
      </c>
      <c r="X96" s="3" t="inlineStr">
        <is>
          <t>주거나지</t>
        </is>
      </c>
      <c r="Y96" s="3" t="inlineStr">
        <is>
          <t>평지</t>
        </is>
      </c>
      <c r="Z96" s="3" t="inlineStr">
        <is>
          <t>세로장방</t>
        </is>
      </c>
      <c r="AA96" s="3" t="inlineStr">
        <is>
          <t>중로한면</t>
        </is>
      </c>
    </row>
    <row r="97">
      <c r="A97" s="3" t="inlineStr">
        <is>
          <t>고운동 896</t>
        </is>
      </c>
      <c r="B97" s="3" t="inlineStr">
        <is>
          <t>제1종전용주거지역</t>
        </is>
      </c>
      <c r="C97" s="3" t="inlineStr">
        <is>
          <t>대</t>
        </is>
      </c>
      <c r="D97" s="3" t="inlineStr">
        <is>
          <t>2</t>
        </is>
      </c>
      <c r="E97" s="3" t="inlineStr">
        <is>
          <t>단독</t>
        </is>
      </c>
      <c r="F97" s="3" t="inlineStr">
        <is>
          <t>매매</t>
        </is>
      </c>
      <c r="G97" s="4" t="n">
        <v>105000</v>
      </c>
      <c r="H97" s="4" t="n">
        <v>0</v>
      </c>
      <c r="I97" s="4" t="n">
        <v>299</v>
      </c>
      <c r="J97" s="4" t="n">
        <v>90</v>
      </c>
      <c r="K97" s="5" t="n">
        <v>1166.7</v>
      </c>
      <c r="L97" s="4" t="n">
        <v>171</v>
      </c>
      <c r="M97" s="4" t="n">
        <v>52</v>
      </c>
      <c r="N97" s="5" t="n">
        <v>2019.2</v>
      </c>
      <c r="O97" s="3" t="inlineStr">
        <is>
          <t>급매 마피 신축 첫입주 추가조율협의가능</t>
        </is>
      </c>
      <c r="P97" s="6">
        <f>HYPERLINK("https://fin.land.naver.com/articles/2652943442", "매물Link")</f>
        <v/>
      </c>
      <c r="Q97" s="6">
        <f>HYPERLINK("https://map.naver.com/p/search/고운동 896", "지도Link")</f>
        <v/>
      </c>
      <c r="R97" s="6">
        <f>HYPERLINK("http://www.eum.go.kr/web/ar/lu/luLandDet.jsp?pnu=3611011200108960000&amp;isNoScr=script&amp;mode=search", "토지이음")</f>
        <v/>
      </c>
      <c r="S97" s="3" t="inlineStr">
        <is>
          <t>세종스타</t>
        </is>
      </c>
      <c r="T97" s="4" t="n">
        <v>1</v>
      </c>
      <c r="U97" s="5" t="n">
        <v>327.3</v>
      </c>
      <c r="V97" s="4" t="n">
        <v>14467</v>
      </c>
      <c r="W97" s="3" t="inlineStr">
        <is>
          <t>지정되지않음</t>
        </is>
      </c>
      <c r="X97" s="3" t="inlineStr">
        <is>
          <t>주거나지</t>
        </is>
      </c>
      <c r="Y97" s="3" t="inlineStr">
        <is>
          <t>평지</t>
        </is>
      </c>
      <c r="Z97" s="3" t="inlineStr">
        <is>
          <t>세로장방</t>
        </is>
      </c>
      <c r="AA97" s="3" t="inlineStr">
        <is>
          <t>중로한면</t>
        </is>
      </c>
    </row>
    <row r="98">
      <c r="A98" s="3" t="inlineStr">
        <is>
          <t>고운동 896</t>
        </is>
      </c>
      <c r="B98" s="3" t="inlineStr">
        <is>
          <t>제1종전용주거지역</t>
        </is>
      </c>
      <c r="C98" s="3" t="inlineStr">
        <is>
          <t>대</t>
        </is>
      </c>
      <c r="D98" s="3" t="inlineStr">
        <is>
          <t>1</t>
        </is>
      </c>
      <c r="E98" s="3" t="inlineStr">
        <is>
          <t>단독</t>
        </is>
      </c>
      <c r="F98" s="3" t="inlineStr">
        <is>
          <t>월세</t>
        </is>
      </c>
      <c r="G98" s="4" t="n">
        <v>5000</v>
      </c>
      <c r="H98" s="4" t="n">
        <v>300</v>
      </c>
      <c r="I98" s="4" t="n">
        <v>196</v>
      </c>
      <c r="J98" s="4" t="n">
        <v>59</v>
      </c>
      <c r="K98" s="5" t="n">
        <v>5.1</v>
      </c>
      <c r="L98" s="4" t="n">
        <v>196</v>
      </c>
      <c r="M98" s="4" t="n">
        <v>59</v>
      </c>
      <c r="N98" s="5" t="n">
        <v>5.1</v>
      </c>
      <c r="O98" s="3" t="inlineStr">
        <is>
          <t>귀한 타운하우스 월세, 협의입주</t>
        </is>
      </c>
      <c r="P98" s="6">
        <f>HYPERLINK("https://fin.land.naver.com/articles/2649591373", "매물Link")</f>
        <v/>
      </c>
      <c r="Q98" s="6">
        <f>HYPERLINK("https://map.naver.com/p/search/고운동 896", "지도Link")</f>
        <v/>
      </c>
      <c r="R98" s="6">
        <f>HYPERLINK("http://www.eum.go.kr/web/ar/lu/luLandDet.jsp?pnu=3611011200108960000&amp;isNoScr=script&amp;mode=search", "토지이음")</f>
        <v/>
      </c>
      <c r="S98" s="3" t="inlineStr">
        <is>
          <t>세종무지개</t>
        </is>
      </c>
      <c r="T98" s="4" t="n">
        <v>1</v>
      </c>
      <c r="U98" s="5" t="n">
        <v>327.3</v>
      </c>
      <c r="V98" s="4" t="n">
        <v>14467</v>
      </c>
      <c r="W98" s="3" t="inlineStr">
        <is>
          <t>지정되지않음</t>
        </is>
      </c>
      <c r="X98" s="3" t="inlineStr">
        <is>
          <t>주거나지</t>
        </is>
      </c>
      <c r="Y98" s="3" t="inlineStr">
        <is>
          <t>평지</t>
        </is>
      </c>
      <c r="Z98" s="3" t="inlineStr">
        <is>
          <t>세로장방</t>
        </is>
      </c>
      <c r="AA98" s="3" t="inlineStr">
        <is>
          <t>중로한면</t>
        </is>
      </c>
    </row>
    <row r="99">
      <c r="A99" s="3" t="inlineStr">
        <is>
          <t>고운동 896</t>
        </is>
      </c>
      <c r="B99" s="3" t="inlineStr">
        <is>
          <t>제1종전용주거지역</t>
        </is>
      </c>
      <c r="C99" s="3" t="inlineStr">
        <is>
          <t>대</t>
        </is>
      </c>
      <c r="D99" s="3" t="inlineStr">
        <is>
          <t>2</t>
        </is>
      </c>
      <c r="E99" s="3" t="inlineStr">
        <is>
          <t>단독</t>
        </is>
      </c>
      <c r="F99" s="3" t="inlineStr">
        <is>
          <t>매매</t>
        </is>
      </c>
      <c r="G99" s="4" t="n">
        <v>120000</v>
      </c>
      <c r="H99" s="4" t="n">
        <v>0</v>
      </c>
      <c r="I99" s="4" t="n">
        <v>286</v>
      </c>
      <c r="J99" s="4" t="n">
        <v>87</v>
      </c>
      <c r="K99" s="5" t="n">
        <v>1379.3</v>
      </c>
      <c r="L99" s="4" t="n">
        <v>196</v>
      </c>
      <c r="M99" s="4" t="n">
        <v>59</v>
      </c>
      <c r="N99" s="5" t="n">
        <v>2033.9</v>
      </c>
      <c r="O99" s="3" t="inlineStr">
        <is>
          <t>nan</t>
        </is>
      </c>
      <c r="P99" s="6">
        <f>HYPERLINK("https://fin.land.naver.com/articles/2650653657", "매물Link")</f>
        <v/>
      </c>
      <c r="Q99" s="6">
        <f>HYPERLINK("https://map.naver.com/p/search/고운동 896", "지도Link")</f>
        <v/>
      </c>
      <c r="R99" s="6">
        <f>HYPERLINK("http://www.eum.go.kr/web/ar/lu/luLandDet.jsp?pnu=3611011200108960000&amp;isNoScr=script&amp;mode=search", "토지이음")</f>
        <v/>
      </c>
      <c r="S99" s="3" t="inlineStr">
        <is>
          <t>세종스타</t>
        </is>
      </c>
      <c r="T99" s="4" t="n">
        <v>1</v>
      </c>
      <c r="U99" s="5" t="n">
        <v>327.3</v>
      </c>
      <c r="V99" s="4" t="n">
        <v>14467</v>
      </c>
      <c r="W99" s="3" t="inlineStr">
        <is>
          <t>지정되지않음</t>
        </is>
      </c>
      <c r="X99" s="3" t="inlineStr">
        <is>
          <t>주거나지</t>
        </is>
      </c>
      <c r="Y99" s="3" t="inlineStr">
        <is>
          <t>평지</t>
        </is>
      </c>
      <c r="Z99" s="3" t="inlineStr">
        <is>
          <t>세로장방</t>
        </is>
      </c>
      <c r="AA99" s="3" t="inlineStr">
        <is>
          <t>중로한면</t>
        </is>
      </c>
    </row>
    <row r="100">
      <c r="A100" s="3" t="inlineStr">
        <is>
          <t>고운동 896</t>
        </is>
      </c>
      <c r="B100" s="3" t="inlineStr">
        <is>
          <t>제1종전용주거지역</t>
        </is>
      </c>
      <c r="C100" s="3" t="inlineStr">
        <is>
          <t>대</t>
        </is>
      </c>
      <c r="D100" s="3" t="inlineStr">
        <is>
          <t>2</t>
        </is>
      </c>
      <c r="E100" s="3" t="inlineStr">
        <is>
          <t>단독</t>
        </is>
      </c>
      <c r="F100" s="3" t="inlineStr">
        <is>
          <t>매매</t>
        </is>
      </c>
      <c r="G100" s="4" t="n">
        <v>129734</v>
      </c>
      <c r="H100" s="4" t="n">
        <v>0</v>
      </c>
      <c r="I100" s="4" t="n">
        <v>328</v>
      </c>
      <c r="J100" s="4" t="n">
        <v>99</v>
      </c>
      <c r="K100" s="5" t="n">
        <v>1310.4</v>
      </c>
      <c r="L100" s="4" t="n">
        <v>196</v>
      </c>
      <c r="M100" s="4" t="n">
        <v>59</v>
      </c>
      <c r="N100" s="5" t="n">
        <v>2198.9</v>
      </c>
      <c r="O100" s="3" t="inlineStr">
        <is>
          <t>즉시입주 가능,  인기많은 D타입,  총86p</t>
        </is>
      </c>
      <c r="P100" s="6">
        <f>HYPERLINK("https://fin.land.naver.com/articles/2651190293", "매물Link")</f>
        <v/>
      </c>
      <c r="Q100" s="6">
        <f>HYPERLINK("https://map.naver.com/p/search/고운동 896", "지도Link")</f>
        <v/>
      </c>
      <c r="R100" s="6">
        <f>HYPERLINK("http://www.eum.go.kr/web/ar/lu/luLandDet.jsp?pnu=3611011200108960000&amp;isNoScr=script&amp;mode=search", "토지이음")</f>
        <v/>
      </c>
      <c r="S100" s="3" t="inlineStr">
        <is>
          <t>세종무지개</t>
        </is>
      </c>
      <c r="T100" s="4" t="n">
        <v>1</v>
      </c>
      <c r="U100" s="5" t="n">
        <v>327.3</v>
      </c>
      <c r="V100" s="4" t="n">
        <v>14467</v>
      </c>
      <c r="W100" s="3" t="inlineStr">
        <is>
          <t>지정되지않음</t>
        </is>
      </c>
      <c r="X100" s="3" t="inlineStr">
        <is>
          <t>주거나지</t>
        </is>
      </c>
      <c r="Y100" s="3" t="inlineStr">
        <is>
          <t>평지</t>
        </is>
      </c>
      <c r="Z100" s="3" t="inlineStr">
        <is>
          <t>세로장방</t>
        </is>
      </c>
      <c r="AA100" s="3" t="inlineStr">
        <is>
          <t>중로한면</t>
        </is>
      </c>
    </row>
    <row r="101">
      <c r="A101" s="3" t="inlineStr">
        <is>
          <t>고운동 896</t>
        </is>
      </c>
      <c r="B101" s="3" t="inlineStr">
        <is>
          <t>제1종전용주거지역</t>
        </is>
      </c>
      <c r="C101" s="3" t="inlineStr">
        <is>
          <t>대</t>
        </is>
      </c>
      <c r="D101" s="3" t="inlineStr">
        <is>
          <t>2</t>
        </is>
      </c>
      <c r="E101" s="3" t="inlineStr">
        <is>
          <t>전원주택</t>
        </is>
      </c>
      <c r="F101" s="3" t="inlineStr">
        <is>
          <t>매매</t>
        </is>
      </c>
      <c r="G101" s="4" t="n">
        <v>165000</v>
      </c>
      <c r="H101" s="4" t="n">
        <v>0</v>
      </c>
      <c r="I101" s="4" t="n">
        <v>378</v>
      </c>
      <c r="J101" s="4" t="n">
        <v>114</v>
      </c>
      <c r="K101" s="5" t="n">
        <v>1447.4</v>
      </c>
      <c r="L101" s="4" t="n">
        <v>220</v>
      </c>
      <c r="M101" s="4" t="n">
        <v>67</v>
      </c>
      <c r="N101" s="5" t="n">
        <v>2462.7</v>
      </c>
      <c r="O101" s="3" t="inlineStr">
        <is>
          <t>인기있는 D타입 67p 급히매매</t>
        </is>
      </c>
      <c r="P101" s="6">
        <f>HYPERLINK("https://fin.land.naver.com/articles/2653287818", "매물Link")</f>
        <v/>
      </c>
      <c r="Q101" s="6">
        <f>HYPERLINK("https://map.naver.com/p/search/고운동 896", "지도Link")</f>
        <v/>
      </c>
      <c r="R101" s="6">
        <f>HYPERLINK("http://www.eum.go.kr/web/ar/lu/luLandDet.jsp?pnu=3611011200108960000&amp;isNoScr=script&amp;mode=search", "토지이음")</f>
        <v/>
      </c>
      <c r="S101" s="3" t="inlineStr">
        <is>
          <t>서초만땅</t>
        </is>
      </c>
      <c r="T101" s="4" t="n">
        <v>1</v>
      </c>
      <c r="U101" s="5" t="n">
        <v>327.3</v>
      </c>
      <c r="V101" s="4" t="n">
        <v>14467</v>
      </c>
      <c r="W101" s="3" t="inlineStr">
        <is>
          <t>지정되지않음</t>
        </is>
      </c>
      <c r="X101" s="3" t="inlineStr">
        <is>
          <t>주거나지</t>
        </is>
      </c>
      <c r="Y101" s="3" t="inlineStr">
        <is>
          <t>평지</t>
        </is>
      </c>
      <c r="Z101" s="3" t="inlineStr">
        <is>
          <t>세로장방</t>
        </is>
      </c>
      <c r="AA101" s="3" t="inlineStr">
        <is>
          <t>중로한면</t>
        </is>
      </c>
    </row>
    <row r="102">
      <c r="A102" s="3" t="inlineStr">
        <is>
          <t>고운동 952</t>
        </is>
      </c>
      <c r="B102" s="3" t="inlineStr">
        <is>
          <t>제1종전용주거지역</t>
        </is>
      </c>
      <c r="C102" s="3" t="inlineStr">
        <is>
          <t>대</t>
        </is>
      </c>
      <c r="D102" s="3" t="inlineStr">
        <is>
          <t>2</t>
        </is>
      </c>
      <c r="E102" s="3" t="inlineStr">
        <is>
          <t>단독</t>
        </is>
      </c>
      <c r="F102" s="3" t="inlineStr">
        <is>
          <t>매매</t>
        </is>
      </c>
      <c r="G102" s="4" t="n">
        <v>115000</v>
      </c>
      <c r="H102" s="4" t="n">
        <v>0</v>
      </c>
      <c r="I102" s="4" t="n">
        <v>365</v>
      </c>
      <c r="J102" s="4" t="n">
        <v>110</v>
      </c>
      <c r="K102" s="5" t="n">
        <v>1045.5</v>
      </c>
      <c r="L102" s="4" t="n">
        <v>244</v>
      </c>
      <c r="M102" s="4" t="n">
        <v>74</v>
      </c>
      <c r="N102" s="5" t="n">
        <v>1554.1</v>
      </c>
      <c r="O102" s="3" t="inlineStr">
        <is>
          <t>nan</t>
        </is>
      </c>
      <c r="P102" s="6">
        <f>HYPERLINK("https://fin.land.naver.com/articles/2651086730", "매물Link")</f>
        <v/>
      </c>
      <c r="Q102" s="6">
        <f>HYPERLINK("https://map.naver.com/p/search/고운동 952", "지도Link")</f>
        <v/>
      </c>
      <c r="R102" s="6">
        <f>HYPERLINK("http://www.eum.go.kr/web/ar/lu/luLandDet.jsp?pnu=3611011200109520000&amp;isNoScr=script&amp;mode=search", "토지이음")</f>
        <v/>
      </c>
      <c r="S102" s="3" t="inlineStr">
        <is>
          <t>세종스타</t>
        </is>
      </c>
      <c r="T102" s="4" t="n">
        <v>1</v>
      </c>
      <c r="U102" s="5" t="n">
        <v>358.7</v>
      </c>
      <c r="V102" s="4" t="n">
        <v>365</v>
      </c>
      <c r="W102" s="3" t="inlineStr">
        <is>
          <t>지정되지않음</t>
        </is>
      </c>
      <c r="X102" s="3" t="inlineStr">
        <is>
          <t>단독</t>
        </is>
      </c>
      <c r="Y102" s="3" t="inlineStr">
        <is>
          <t>평지</t>
        </is>
      </c>
      <c r="Z102" s="3" t="inlineStr">
        <is>
          <t>정방형</t>
        </is>
      </c>
      <c r="AA102" s="3" t="inlineStr">
        <is>
          <t>중로각지</t>
        </is>
      </c>
    </row>
    <row r="103">
      <c r="A103" s="3" t="inlineStr">
        <is>
          <t>고운동 971</t>
        </is>
      </c>
      <c r="B103" s="3" t="inlineStr">
        <is>
          <t>제1종전용주거지역</t>
        </is>
      </c>
      <c r="C103" s="3" t="inlineStr">
        <is>
          <t>대</t>
        </is>
      </c>
      <c r="D103" s="3" t="inlineStr">
        <is>
          <t>2</t>
        </is>
      </c>
      <c r="E103" s="3" t="inlineStr">
        <is>
          <t>단독</t>
        </is>
      </c>
      <c r="F103" s="3" t="inlineStr">
        <is>
          <t>매매</t>
        </is>
      </c>
      <c r="G103" s="4" t="n">
        <v>140000</v>
      </c>
      <c r="H103" s="4" t="n">
        <v>0</v>
      </c>
      <c r="I103" s="4" t="n">
        <v>341</v>
      </c>
      <c r="J103" s="4" t="n">
        <v>103</v>
      </c>
      <c r="K103" s="5" t="n">
        <v>1359.2</v>
      </c>
      <c r="L103" s="4" t="n">
        <v>198</v>
      </c>
      <c r="M103" s="4" t="n">
        <v>60</v>
      </c>
      <c r="N103" s="5" t="n">
        <v>2333.3</v>
      </c>
      <c r="O103" s="3" t="inlineStr">
        <is>
          <t>친환경 최고급 목조주택 캐나다 마스터빌더시공 조율가능</t>
        </is>
      </c>
      <c r="P103" s="6">
        <f>HYPERLINK("https://fin.land.naver.com/articles/2652274767", "매물Link")</f>
        <v/>
      </c>
      <c r="Q103" s="6">
        <f>HYPERLINK("https://map.naver.com/p/search/고운동 971", "지도Link")</f>
        <v/>
      </c>
      <c r="R103" s="6">
        <f>HYPERLINK("http://www.eum.go.kr/web/ar/lu/luLandDet.jsp?pnu=3611011200109710000&amp;isNoScr=script&amp;mode=search", "토지이음")</f>
        <v/>
      </c>
      <c r="S103" s="3" t="inlineStr">
        <is>
          <t>세종스타</t>
        </is>
      </c>
      <c r="T103" s="4" t="n">
        <v>1</v>
      </c>
      <c r="U103" s="5" t="n">
        <v>317.5</v>
      </c>
      <c r="V103" s="4" t="n">
        <v>341.4</v>
      </c>
      <c r="W103" s="3" t="inlineStr">
        <is>
          <t>지정되지않음</t>
        </is>
      </c>
      <c r="X103" s="3" t="inlineStr">
        <is>
          <t>단독</t>
        </is>
      </c>
      <c r="Y103" s="3" t="inlineStr">
        <is>
          <t>평지</t>
        </is>
      </c>
      <c r="Z103" s="3" t="inlineStr">
        <is>
          <t>세로장방</t>
        </is>
      </c>
      <c r="AA103" s="3" t="inlineStr">
        <is>
          <t>소로한면</t>
        </is>
      </c>
    </row>
    <row r="104">
      <c r="A104" s="3" t="inlineStr">
        <is>
          <t>고운동 997</t>
        </is>
      </c>
      <c r="B104" s="3" t="inlineStr">
        <is>
          <t>제1종전용주거지역</t>
        </is>
      </c>
      <c r="C104" s="3" t="inlineStr">
        <is>
          <t>대</t>
        </is>
      </c>
      <c r="D104" s="3" t="inlineStr">
        <is>
          <t>2</t>
        </is>
      </c>
      <c r="E104" s="3" t="inlineStr">
        <is>
          <t>단독</t>
        </is>
      </c>
      <c r="F104" s="3" t="inlineStr">
        <is>
          <t>매매</t>
        </is>
      </c>
      <c r="G104" s="4" t="n">
        <v>200000</v>
      </c>
      <c r="H104" s="4" t="n">
        <v>0</v>
      </c>
      <c r="I104" s="4" t="n">
        <v>356</v>
      </c>
      <c r="J104" s="4" t="n">
        <v>108</v>
      </c>
      <c r="K104" s="5" t="n">
        <v>1851.9</v>
      </c>
      <c r="L104" s="4" t="n">
        <v>196</v>
      </c>
      <c r="M104" s="4" t="n">
        <v>59</v>
      </c>
      <c r="N104" s="5" t="n">
        <v>3389.8</v>
      </c>
      <c r="O104" s="3" t="inlineStr">
        <is>
          <t>고급인테리어 단독주택, 주차4대, 태양광, 실평수 86p</t>
        </is>
      </c>
      <c r="P104" s="6">
        <f>HYPERLINK("https://fin.land.naver.com/articles/2652503459", "매물Link")</f>
        <v/>
      </c>
      <c r="Q104" s="6">
        <f>HYPERLINK("https://map.naver.com/p/search/고운동 997", "지도Link")</f>
        <v/>
      </c>
      <c r="R104" s="6">
        <f>HYPERLINK("http://www.eum.go.kr/web/ar/lu/luLandDet.jsp?pnu=3611011200109970000&amp;isNoScr=script&amp;mode=search", "토지이음")</f>
        <v/>
      </c>
      <c r="S104" s="3" t="inlineStr">
        <is>
          <t>세종무지개</t>
        </is>
      </c>
      <c r="T104" s="4" t="n">
        <v>1</v>
      </c>
      <c r="U104" s="5" t="n">
        <v>342.8</v>
      </c>
      <c r="V104" s="4" t="n">
        <v>356.8</v>
      </c>
      <c r="W104" s="3" t="inlineStr">
        <is>
          <t>지정되지않음</t>
        </is>
      </c>
      <c r="X104" s="3" t="inlineStr">
        <is>
          <t>단독</t>
        </is>
      </c>
      <c r="Y104" s="3" t="inlineStr">
        <is>
          <t>평지</t>
        </is>
      </c>
      <c r="Z104" s="3" t="inlineStr">
        <is>
          <t>세로장방</t>
        </is>
      </c>
      <c r="AA104" s="3" t="inlineStr">
        <is>
          <t>중로한면</t>
        </is>
      </c>
    </row>
    <row r="105">
      <c r="A105" s="3" t="inlineStr">
        <is>
          <t>다정동 798</t>
        </is>
      </c>
      <c r="B105" s="3" t="inlineStr">
        <is>
          <t>제1종전용주거지역</t>
        </is>
      </c>
      <c r="C105" s="3" t="inlineStr">
        <is>
          <t>대</t>
        </is>
      </c>
      <c r="D105" s="3" t="inlineStr">
        <is>
          <t>2</t>
        </is>
      </c>
      <c r="E105" s="3" t="inlineStr">
        <is>
          <t>단독</t>
        </is>
      </c>
      <c r="F105" s="3" t="inlineStr">
        <is>
          <t>매매</t>
        </is>
      </c>
      <c r="G105" s="4" t="n">
        <v>200000</v>
      </c>
      <c r="H105" s="4" t="n">
        <v>0</v>
      </c>
      <c r="I105" s="4" t="n">
        <v>357</v>
      </c>
      <c r="J105" s="4" t="n">
        <v>108</v>
      </c>
      <c r="K105" s="5" t="n">
        <v>1851.9</v>
      </c>
      <c r="L105" s="4" t="n">
        <v>199</v>
      </c>
      <c r="M105" s="4" t="n">
        <v>60</v>
      </c>
      <c r="N105" s="5" t="n">
        <v>3333.3</v>
      </c>
      <c r="O105" s="3" t="inlineStr">
        <is>
          <t>팬트하우스 형 주택 최고급</t>
        </is>
      </c>
      <c r="P105" s="6">
        <f>HYPERLINK("https://fin.land.naver.com/articles/2652832579", "매물Link")</f>
        <v/>
      </c>
      <c r="Q105" s="6">
        <f>HYPERLINK("https://map.naver.com/p/search/다정동 798", "지도Link")</f>
        <v/>
      </c>
      <c r="R105" s="6">
        <f>HYPERLINK("http://www.eum.go.kr/web/ar/lu/luLandDet.jsp?pnu=3611010900107980000&amp;isNoScr=script&amp;mode=search", "토지이음")</f>
        <v/>
      </c>
      <c r="S105" s="3" t="inlineStr">
        <is>
          <t>세종삼촌</t>
        </is>
      </c>
      <c r="T105" s="4" t="n">
        <v>2</v>
      </c>
      <c r="U105" s="5" t="n">
        <v>319.2</v>
      </c>
      <c r="V105" s="4" t="n">
        <v>356.8</v>
      </c>
      <c r="W105" s="3" t="inlineStr">
        <is>
          <t>지정되지않음</t>
        </is>
      </c>
      <c r="X105" s="3" t="inlineStr">
        <is>
          <t>단독</t>
        </is>
      </c>
      <c r="Y105" s="3" t="inlineStr">
        <is>
          <t>평지</t>
        </is>
      </c>
      <c r="Z105" s="3" t="inlineStr">
        <is>
          <t>사다리형</t>
        </is>
      </c>
      <c r="AA105" s="3" t="inlineStr">
        <is>
          <t>중로한면</t>
        </is>
      </c>
    </row>
    <row r="106">
      <c r="A106" s="3" t="inlineStr">
        <is>
          <t>다정동 798</t>
        </is>
      </c>
      <c r="B106" s="3" t="inlineStr">
        <is>
          <t>제1종전용주거지역</t>
        </is>
      </c>
      <c r="C106" s="3" t="inlineStr">
        <is>
          <t>대</t>
        </is>
      </c>
      <c r="D106" s="3" t="inlineStr">
        <is>
          <t>2</t>
        </is>
      </c>
      <c r="E106" s="3" t="inlineStr">
        <is>
          <t>단독</t>
        </is>
      </c>
      <c r="F106" s="3" t="inlineStr">
        <is>
          <t>매매</t>
        </is>
      </c>
      <c r="G106" s="4" t="n">
        <v>200000</v>
      </c>
      <c r="H106" s="4" t="n">
        <v>0</v>
      </c>
      <c r="I106" s="4" t="n">
        <v>356</v>
      </c>
      <c r="J106" s="4" t="n">
        <v>108</v>
      </c>
      <c r="K106" s="5" t="n">
        <v>1851.9</v>
      </c>
      <c r="L106" s="4" t="n">
        <v>199</v>
      </c>
      <c r="M106" s="4" t="n">
        <v>60</v>
      </c>
      <c r="N106" s="5" t="n">
        <v>3333.3</v>
      </c>
      <c r="O106" s="3" t="inlineStr">
        <is>
          <t>조율가능 판교급 하이엔드 럭셔리주택 프라이빗한설계 자재최상 창호최상급</t>
        </is>
      </c>
      <c r="P106" s="6">
        <f>HYPERLINK("https://fin.land.naver.com/articles/2652917993", "매물Link")</f>
        <v/>
      </c>
      <c r="Q106" s="6">
        <f>HYPERLINK("https://map.naver.com/p/search/다정동 798", "지도Link")</f>
        <v/>
      </c>
      <c r="R106" s="6">
        <f>HYPERLINK("http://www.eum.go.kr/web/ar/lu/luLandDet.jsp?pnu=3611010900107980000&amp;isNoScr=script&amp;mode=search", "토지이음")</f>
        <v/>
      </c>
      <c r="S106" s="3" t="inlineStr">
        <is>
          <t>세종스타</t>
        </is>
      </c>
      <c r="T106" s="4" t="n">
        <v>1</v>
      </c>
      <c r="U106" s="5" t="n">
        <v>319.2</v>
      </c>
      <c r="V106" s="4" t="n">
        <v>356.8</v>
      </c>
      <c r="W106" s="3" t="inlineStr">
        <is>
          <t>지정되지않음</t>
        </is>
      </c>
      <c r="X106" s="3" t="inlineStr">
        <is>
          <t>단독</t>
        </is>
      </c>
      <c r="Y106" s="3" t="inlineStr">
        <is>
          <t>평지</t>
        </is>
      </c>
      <c r="Z106" s="3" t="inlineStr">
        <is>
          <t>사다리형</t>
        </is>
      </c>
      <c r="AA106" s="3" t="inlineStr">
        <is>
          <t>중로한면</t>
        </is>
      </c>
    </row>
    <row r="107">
      <c r="A107" s="3" t="inlineStr">
        <is>
          <t>다정동 831</t>
        </is>
      </c>
      <c r="B107" s="3" t="inlineStr">
        <is>
          <t>제1종전용주거지역</t>
        </is>
      </c>
      <c r="C107" s="3" t="inlineStr">
        <is>
          <t>대</t>
        </is>
      </c>
      <c r="D107" s="3" t="inlineStr">
        <is>
          <t>1</t>
        </is>
      </c>
      <c r="E107" s="3" t="inlineStr">
        <is>
          <t>단독</t>
        </is>
      </c>
      <c r="F107" s="3" t="inlineStr">
        <is>
          <t>매매</t>
        </is>
      </c>
      <c r="G107" s="4" t="n">
        <v>120000</v>
      </c>
      <c r="H107" s="4" t="n">
        <v>0</v>
      </c>
      <c r="I107" s="4" t="n">
        <v>289</v>
      </c>
      <c r="J107" s="4" t="n">
        <v>87</v>
      </c>
      <c r="K107" s="5" t="n">
        <v>1379.3</v>
      </c>
      <c r="L107" s="4" t="n">
        <v>199</v>
      </c>
      <c r="M107" s="4" t="n">
        <v>60</v>
      </c>
      <c r="N107" s="5" t="n">
        <v>2000</v>
      </c>
      <c r="O107" s="3" t="inlineStr">
        <is>
          <t>1년차 최신축 방4개 모던한 단독주택</t>
        </is>
      </c>
      <c r="P107" s="6">
        <f>HYPERLINK("https://fin.land.naver.com/articles/2652917981", "매물Link")</f>
        <v/>
      </c>
      <c r="Q107" s="6">
        <f>HYPERLINK("https://map.naver.com/p/search/다정동 831", "지도Link")</f>
        <v/>
      </c>
      <c r="R107" s="6">
        <f>HYPERLINK("http://www.eum.go.kr/web/ar/lu/luLandDet.jsp?pnu=3611010900108310000&amp;isNoScr=script&amp;mode=search", "토지이음")</f>
        <v/>
      </c>
      <c r="S107" s="3" t="inlineStr">
        <is>
          <t>세종스타</t>
        </is>
      </c>
      <c r="T107" s="4" t="n">
        <v>4</v>
      </c>
      <c r="U107" s="5" t="n">
        <v>341.2</v>
      </c>
      <c r="V107" s="4" t="n">
        <v>289</v>
      </c>
      <c r="W107" s="3" t="inlineStr">
        <is>
          <t>지정되지않음</t>
        </is>
      </c>
      <c r="X107" s="3" t="inlineStr">
        <is>
          <t>주거나지</t>
        </is>
      </c>
      <c r="Y107" s="3" t="inlineStr">
        <is>
          <t>평지</t>
        </is>
      </c>
      <c r="Z107" s="3" t="inlineStr">
        <is>
          <t>세로장방</t>
        </is>
      </c>
      <c r="AA107" s="3" t="inlineStr">
        <is>
          <t>중로한면</t>
        </is>
      </c>
    </row>
    <row r="108">
      <c r="A108" s="3" t="inlineStr">
        <is>
          <t>도담동 426</t>
        </is>
      </c>
      <c r="B108" s="3" t="inlineStr">
        <is>
          <t>제1종전용주거지역</t>
        </is>
      </c>
      <c r="C108" s="3" t="inlineStr">
        <is>
          <t>대</t>
        </is>
      </c>
      <c r="D108" s="3" t="inlineStr">
        <is>
          <t>2</t>
        </is>
      </c>
      <c r="E108" s="3" t="inlineStr">
        <is>
          <t>단독</t>
        </is>
      </c>
      <c r="F108" s="3" t="inlineStr">
        <is>
          <t>매매</t>
        </is>
      </c>
      <c r="G108" s="4" t="n">
        <v>178000</v>
      </c>
      <c r="H108" s="4" t="n">
        <v>0</v>
      </c>
      <c r="I108" s="4" t="n">
        <v>303</v>
      </c>
      <c r="J108" s="4" t="n">
        <v>92</v>
      </c>
      <c r="K108" s="5" t="n">
        <v>1934.8</v>
      </c>
      <c r="L108" s="4" t="n">
        <v>193</v>
      </c>
      <c r="M108" s="4" t="n">
        <v>58</v>
      </c>
      <c r="N108" s="5" t="n">
        <v>3069</v>
      </c>
      <c r="O108" s="3" t="inlineStr">
        <is>
          <t>최신축 위치최상 말발굽 귀한주택 매물 추가협의가능</t>
        </is>
      </c>
      <c r="P108" s="6">
        <f>HYPERLINK("https://fin.land.naver.com/articles/2653750680", "매물Link")</f>
        <v/>
      </c>
      <c r="Q108" s="6">
        <f>HYPERLINK("https://map.naver.com/p/search/도담동 426", "지도Link")</f>
        <v/>
      </c>
      <c r="R108" s="6">
        <f>HYPERLINK("http://www.eum.go.kr/web/ar/lu/luLandDet.jsp?pnu=3611011400104260000&amp;isNoScr=script&amp;mode=search", "토지이음")</f>
        <v/>
      </c>
      <c r="S108" s="3" t="inlineStr">
        <is>
          <t>세종스타</t>
        </is>
      </c>
      <c r="T108" s="4" t="n">
        <v>4</v>
      </c>
      <c r="U108" s="5" t="n">
        <v>358.3</v>
      </c>
      <c r="V108" s="4" t="n">
        <v>303</v>
      </c>
      <c r="W108" s="3" t="inlineStr">
        <is>
          <t>지정되지않음</t>
        </is>
      </c>
      <c r="X108" s="3" t="inlineStr">
        <is>
          <t>주거나지</t>
        </is>
      </c>
      <c r="Y108" s="3" t="inlineStr">
        <is>
          <t>평지</t>
        </is>
      </c>
      <c r="Z108" s="3" t="inlineStr">
        <is>
          <t>사다리형</t>
        </is>
      </c>
      <c r="AA108" s="3" t="inlineStr">
        <is>
          <t>소로한면</t>
        </is>
      </c>
    </row>
    <row r="109">
      <c r="A109" s="3" t="inlineStr">
        <is>
          <t>도담동 427</t>
        </is>
      </c>
      <c r="B109" s="3" t="inlineStr">
        <is>
          <t>제1종전용주거지역</t>
        </is>
      </c>
      <c r="C109" s="3" t="inlineStr">
        <is>
          <t>대</t>
        </is>
      </c>
      <c r="D109" s="3" t="inlineStr">
        <is>
          <t>2</t>
        </is>
      </c>
      <c r="E109" s="3" t="inlineStr">
        <is>
          <t>단독</t>
        </is>
      </c>
      <c r="F109" s="3" t="inlineStr">
        <is>
          <t>매매</t>
        </is>
      </c>
      <c r="G109" s="4" t="n">
        <v>169000</v>
      </c>
      <c r="H109" s="4" t="n">
        <v>0</v>
      </c>
      <c r="I109" s="4" t="n">
        <v>304</v>
      </c>
      <c r="J109" s="4" t="n">
        <v>92</v>
      </c>
      <c r="K109" s="5" t="n">
        <v>1837</v>
      </c>
      <c r="L109" s="4" t="n">
        <v>304</v>
      </c>
      <c r="M109" s="4" t="n">
        <v>92</v>
      </c>
      <c r="N109" s="5" t="n">
        <v>1837</v>
      </c>
      <c r="O109" s="3" t="inlineStr">
        <is>
          <t>협의입주.방4개,화장실3개.테라스.넓은 정원까지 튼튼하고 예쁜 집</t>
        </is>
      </c>
      <c r="P109" s="6">
        <f>HYPERLINK("https://fin.land.naver.com/articles/2653318803", "매물Link")</f>
        <v/>
      </c>
      <c r="Q109" s="6">
        <f>HYPERLINK("https://map.naver.com/p/search/도담동 427", "지도Link")</f>
        <v/>
      </c>
      <c r="R109" s="6">
        <f>HYPERLINK("http://www.eum.go.kr/web/ar/lu/luLandDet.jsp?pnu=3611011400104270000&amp;isNoScr=script&amp;mode=search", "토지이음")</f>
        <v/>
      </c>
      <c r="S109" s="3" t="inlineStr">
        <is>
          <t>수자인</t>
        </is>
      </c>
      <c r="T109" s="4" t="n">
        <v>1</v>
      </c>
      <c r="U109" s="5" t="n">
        <v>358.3</v>
      </c>
      <c r="V109" s="4" t="n">
        <v>304</v>
      </c>
      <c r="W109" s="3" t="inlineStr">
        <is>
          <t>지정되지않음</t>
        </is>
      </c>
      <c r="X109" s="3" t="inlineStr">
        <is>
          <t>단독</t>
        </is>
      </c>
      <c r="Y109" s="3" t="inlineStr">
        <is>
          <t>평지</t>
        </is>
      </c>
      <c r="Z109" s="3" t="inlineStr">
        <is>
          <t>사다리형</t>
        </is>
      </c>
      <c r="AA109" s="3" t="inlineStr">
        <is>
          <t>소로한면</t>
        </is>
      </c>
    </row>
    <row r="110">
      <c r="A110" s="3" t="inlineStr">
        <is>
          <t>도담동 427</t>
        </is>
      </c>
      <c r="B110" s="3" t="inlineStr">
        <is>
          <t>제1종전용주거지역</t>
        </is>
      </c>
      <c r="C110" s="3" t="inlineStr">
        <is>
          <t>대</t>
        </is>
      </c>
      <c r="D110" s="3" t="inlineStr">
        <is>
          <t>2</t>
        </is>
      </c>
      <c r="E110" s="3" t="inlineStr">
        <is>
          <t>단독</t>
        </is>
      </c>
      <c r="F110" s="3" t="inlineStr">
        <is>
          <t>매매</t>
        </is>
      </c>
      <c r="G110" s="4" t="n">
        <v>169000</v>
      </c>
      <c r="H110" s="4" t="n">
        <v>0</v>
      </c>
      <c r="I110" s="4" t="n">
        <v>304</v>
      </c>
      <c r="J110" s="4" t="n">
        <v>92</v>
      </c>
      <c r="K110" s="5" t="n">
        <v>1837</v>
      </c>
      <c r="L110" s="4" t="n">
        <v>176</v>
      </c>
      <c r="M110" s="4" t="n">
        <v>53</v>
      </c>
      <c r="N110" s="5" t="n">
        <v>3188.7</v>
      </c>
      <c r="O110" s="3" t="inlineStr">
        <is>
          <t>테라스, 공원 인접, 인근 충남대병원, 방축천, 로컬푸드, 6생활권 근접</t>
        </is>
      </c>
      <c r="P110" s="6">
        <f>HYPERLINK("https://fin.land.naver.com/articles/2649697060", "매물Link")</f>
        <v/>
      </c>
      <c r="Q110" s="6">
        <f>HYPERLINK("https://map.naver.com/p/search/도담동 427", "지도Link")</f>
        <v/>
      </c>
      <c r="R110" s="6">
        <f>HYPERLINK("http://www.eum.go.kr/web/ar/lu/luLandDet.jsp?pnu=3611011400104270000&amp;isNoScr=script&amp;mode=search", "토지이음")</f>
        <v/>
      </c>
      <c r="S110" s="3" t="inlineStr">
        <is>
          <t>온뜰</t>
        </is>
      </c>
      <c r="T110" s="4" t="n">
        <v>1</v>
      </c>
      <c r="U110" s="5" t="n">
        <v>358.3</v>
      </c>
      <c r="V110" s="4" t="n">
        <v>304</v>
      </c>
      <c r="W110" s="3" t="inlineStr">
        <is>
          <t>지정되지않음</t>
        </is>
      </c>
      <c r="X110" s="3" t="inlineStr">
        <is>
          <t>단독</t>
        </is>
      </c>
      <c r="Y110" s="3" t="inlineStr">
        <is>
          <t>평지</t>
        </is>
      </c>
      <c r="Z110" s="3" t="inlineStr">
        <is>
          <t>사다리형</t>
        </is>
      </c>
      <c r="AA110" s="3" t="inlineStr">
        <is>
          <t>소로한면</t>
        </is>
      </c>
    </row>
    <row r="111">
      <c r="A111" s="3" t="inlineStr">
        <is>
          <t>도담동 427</t>
        </is>
      </c>
      <c r="B111" s="3" t="inlineStr">
        <is>
          <t>제1종전용주거지역</t>
        </is>
      </c>
      <c r="C111" s="3" t="inlineStr">
        <is>
          <t>대</t>
        </is>
      </c>
      <c r="D111" s="3" t="inlineStr">
        <is>
          <t>2</t>
        </is>
      </c>
      <c r="E111" s="3" t="inlineStr">
        <is>
          <t>단독</t>
        </is>
      </c>
      <c r="F111" s="3" t="inlineStr">
        <is>
          <t>매매</t>
        </is>
      </c>
      <c r="G111" s="4" t="n">
        <v>169000</v>
      </c>
      <c r="H111" s="4" t="n">
        <v>0</v>
      </c>
      <c r="I111" s="4" t="n">
        <v>304</v>
      </c>
      <c r="J111" s="4" t="n">
        <v>92</v>
      </c>
      <c r="K111" s="5" t="n">
        <v>1837</v>
      </c>
      <c r="L111" s="4" t="n">
        <v>176</v>
      </c>
      <c r="M111" s="4" t="n">
        <v>53</v>
      </c>
      <c r="N111" s="5" t="n">
        <v>3188.7</v>
      </c>
      <c r="O111" s="3" t="inlineStr">
        <is>
          <t>조율가능 넓은공원접한위치 테라스 조망최상</t>
        </is>
      </c>
      <c r="P111" s="6">
        <f>HYPERLINK("https://fin.land.naver.com/articles/2651086326", "매물Link")</f>
        <v/>
      </c>
      <c r="Q111" s="6">
        <f>HYPERLINK("https://map.naver.com/p/search/도담동 427", "지도Link")</f>
        <v/>
      </c>
      <c r="R111" s="6">
        <f>HYPERLINK("http://www.eum.go.kr/web/ar/lu/luLandDet.jsp?pnu=3611011400104270000&amp;isNoScr=script&amp;mode=search", "토지이음")</f>
        <v/>
      </c>
      <c r="S111" s="3" t="inlineStr">
        <is>
          <t>세종스타</t>
        </is>
      </c>
      <c r="T111" s="4" t="n">
        <v>2</v>
      </c>
      <c r="U111" s="5" t="n">
        <v>358.3</v>
      </c>
      <c r="V111" s="4" t="n">
        <v>304</v>
      </c>
      <c r="W111" s="3" t="inlineStr">
        <is>
          <t>지정되지않음</t>
        </is>
      </c>
      <c r="X111" s="3" t="inlineStr">
        <is>
          <t>단독</t>
        </is>
      </c>
      <c r="Y111" s="3" t="inlineStr">
        <is>
          <t>평지</t>
        </is>
      </c>
      <c r="Z111" s="3" t="inlineStr">
        <is>
          <t>사다리형</t>
        </is>
      </c>
      <c r="AA111" s="3" t="inlineStr">
        <is>
          <t>소로한면</t>
        </is>
      </c>
    </row>
    <row r="112">
      <c r="A112" s="3" t="inlineStr">
        <is>
          <t>도담동 427</t>
        </is>
      </c>
      <c r="B112" s="3" t="inlineStr">
        <is>
          <t>제1종전용주거지역</t>
        </is>
      </c>
      <c r="C112" s="3" t="inlineStr">
        <is>
          <t>대</t>
        </is>
      </c>
      <c r="D112" s="3" t="inlineStr">
        <is>
          <t>2</t>
        </is>
      </c>
      <c r="E112" s="3" t="inlineStr">
        <is>
          <t>단독</t>
        </is>
      </c>
      <c r="F112" s="3" t="inlineStr">
        <is>
          <t>매매</t>
        </is>
      </c>
      <c r="G112" s="4" t="n">
        <v>169000</v>
      </c>
      <c r="H112" s="4" t="n">
        <v>0</v>
      </c>
      <c r="I112" s="4" t="n">
        <v>304</v>
      </c>
      <c r="J112" s="4" t="n">
        <v>92</v>
      </c>
      <c r="K112" s="5" t="n">
        <v>1837</v>
      </c>
      <c r="L112" s="4" t="n">
        <v>176</v>
      </c>
      <c r="M112" s="4" t="n">
        <v>53</v>
      </c>
      <c r="N112" s="5" t="n">
        <v>3188.7</v>
      </c>
      <c r="O112" s="3" t="inlineStr">
        <is>
          <t>nan</t>
        </is>
      </c>
      <c r="P112" s="6">
        <f>HYPERLINK("https://fin.land.naver.com/articles/2649459098", "매물Link")</f>
        <v/>
      </c>
      <c r="Q112" s="6">
        <f>HYPERLINK("https://map.naver.com/p/search/도담동 427", "지도Link")</f>
        <v/>
      </c>
      <c r="R112" s="6">
        <f>HYPERLINK("http://www.eum.go.kr/web/ar/lu/luLandDet.jsp?pnu=3611011400104270000&amp;isNoScr=script&amp;mode=search", "토지이음")</f>
        <v/>
      </c>
      <c r="S112" s="3" t="inlineStr">
        <is>
          <t>세종삼촌</t>
        </is>
      </c>
      <c r="T112" s="4" t="n">
        <v>1</v>
      </c>
      <c r="U112" s="5" t="n">
        <v>358.3</v>
      </c>
      <c r="V112" s="4" t="n">
        <v>304</v>
      </c>
      <c r="W112" s="3" t="inlineStr">
        <is>
          <t>지정되지않음</t>
        </is>
      </c>
      <c r="X112" s="3" t="inlineStr">
        <is>
          <t>단독</t>
        </is>
      </c>
      <c r="Y112" s="3" t="inlineStr">
        <is>
          <t>평지</t>
        </is>
      </c>
      <c r="Z112" s="3" t="inlineStr">
        <is>
          <t>사다리형</t>
        </is>
      </c>
      <c r="AA112" s="3" t="inlineStr">
        <is>
          <t>소로한면</t>
        </is>
      </c>
    </row>
    <row r="113">
      <c r="A113" s="3" t="inlineStr">
        <is>
          <t>도담동 427</t>
        </is>
      </c>
      <c r="B113" s="3" t="inlineStr">
        <is>
          <t>제1종전용주거지역</t>
        </is>
      </c>
      <c r="C113" s="3" t="inlineStr">
        <is>
          <t>대</t>
        </is>
      </c>
      <c r="D113" s="3" t="inlineStr">
        <is>
          <t>2</t>
        </is>
      </c>
      <c r="E113" s="3" t="inlineStr">
        <is>
          <t>단독</t>
        </is>
      </c>
      <c r="F113" s="3" t="inlineStr">
        <is>
          <t>매매</t>
        </is>
      </c>
      <c r="G113" s="4" t="n">
        <v>169000</v>
      </c>
      <c r="H113" s="4" t="n">
        <v>0</v>
      </c>
      <c r="I113" s="4" t="n">
        <v>304</v>
      </c>
      <c r="J113" s="4" t="n">
        <v>92</v>
      </c>
      <c r="K113" s="5" t="n">
        <v>1837</v>
      </c>
      <c r="L113" s="4" t="n">
        <v>176</v>
      </c>
      <c r="M113" s="4" t="n">
        <v>53</v>
      </c>
      <c r="N113" s="5" t="n">
        <v>3188.7</v>
      </c>
      <c r="O113" s="3" t="inlineStr">
        <is>
          <t>공원 인접한 숲세권 단독주택, 충남대 병원 도보로 가능</t>
        </is>
      </c>
      <c r="P113" s="6">
        <f>HYPERLINK("https://fin.land.naver.com/articles/2652665481", "매물Link")</f>
        <v/>
      </c>
      <c r="Q113" s="6">
        <f>HYPERLINK("https://map.naver.com/p/search/도담동 427", "지도Link")</f>
        <v/>
      </c>
      <c r="R113" s="6">
        <f>HYPERLINK("http://www.eum.go.kr/web/ar/lu/luLandDet.jsp?pnu=3611011400104270000&amp;isNoScr=script&amp;mode=search", "토지이음")</f>
        <v/>
      </c>
      <c r="S113" s="3" t="inlineStr">
        <is>
          <t>오케이태복</t>
        </is>
      </c>
      <c r="T113" s="4" t="n">
        <v>2</v>
      </c>
      <c r="U113" s="5" t="n">
        <v>358.3</v>
      </c>
      <c r="V113" s="4" t="n">
        <v>304</v>
      </c>
      <c r="W113" s="3" t="inlineStr">
        <is>
          <t>지정되지않음</t>
        </is>
      </c>
      <c r="X113" s="3" t="inlineStr">
        <is>
          <t>단독</t>
        </is>
      </c>
      <c r="Y113" s="3" t="inlineStr">
        <is>
          <t>평지</t>
        </is>
      </c>
      <c r="Z113" s="3" t="inlineStr">
        <is>
          <t>사다리형</t>
        </is>
      </c>
      <c r="AA113" s="3" t="inlineStr">
        <is>
          <t>소로한면</t>
        </is>
      </c>
    </row>
    <row r="114">
      <c r="A114" s="3" t="inlineStr">
        <is>
          <t>도담동 427</t>
        </is>
      </c>
      <c r="B114" s="3" t="inlineStr">
        <is>
          <t>제1종전용주거지역</t>
        </is>
      </c>
      <c r="C114" s="3" t="inlineStr">
        <is>
          <t>대</t>
        </is>
      </c>
      <c r="D114" s="3" t="inlineStr">
        <is>
          <t>2</t>
        </is>
      </c>
      <c r="E114" s="3" t="inlineStr">
        <is>
          <t>단독</t>
        </is>
      </c>
      <c r="F114" s="3" t="inlineStr">
        <is>
          <t>매매</t>
        </is>
      </c>
      <c r="G114" s="4" t="n">
        <v>178000</v>
      </c>
      <c r="H114" s="4" t="n">
        <v>0</v>
      </c>
      <c r="I114" s="4" t="n">
        <v>304</v>
      </c>
      <c r="J114" s="4" t="n">
        <v>92</v>
      </c>
      <c r="K114" s="5" t="n">
        <v>1934.8</v>
      </c>
      <c r="L114" s="4" t="n">
        <v>176</v>
      </c>
      <c r="M114" s="4" t="n">
        <v>53</v>
      </c>
      <c r="N114" s="5" t="n">
        <v>3358.5</v>
      </c>
      <c r="O114" s="3" t="inlineStr">
        <is>
          <t>생명나무,모던한주택 예뻐요 . 협의입주.공원산책로 좋아요</t>
        </is>
      </c>
      <c r="P114" s="6">
        <f>HYPERLINK("https://fin.land.naver.com/articles/2650738587", "매물Link")</f>
        <v/>
      </c>
      <c r="Q114" s="6">
        <f>HYPERLINK("https://map.naver.com/p/search/도담동 427", "지도Link")</f>
        <v/>
      </c>
      <c r="R114" s="6">
        <f>HYPERLINK("http://www.eum.go.kr/web/ar/lu/luLandDet.jsp?pnu=3611011400104270000&amp;isNoScr=script&amp;mode=search", "토지이음")</f>
        <v/>
      </c>
      <c r="S114" s="3" t="inlineStr">
        <is>
          <t>생명나무</t>
        </is>
      </c>
      <c r="T114" s="4" t="n">
        <v>1</v>
      </c>
      <c r="U114" s="5" t="n">
        <v>358.3</v>
      </c>
      <c r="V114" s="4" t="n">
        <v>304</v>
      </c>
      <c r="W114" s="3" t="inlineStr">
        <is>
          <t>지정되지않음</t>
        </is>
      </c>
      <c r="X114" s="3" t="inlineStr">
        <is>
          <t>단독</t>
        </is>
      </c>
      <c r="Y114" s="3" t="inlineStr">
        <is>
          <t>평지</t>
        </is>
      </c>
      <c r="Z114" s="3" t="inlineStr">
        <is>
          <t>사다리형</t>
        </is>
      </c>
      <c r="AA114" s="3" t="inlineStr">
        <is>
          <t>소로한면</t>
        </is>
      </c>
    </row>
    <row r="115">
      <c r="A115" s="3" t="inlineStr">
        <is>
          <t>도담동 518</t>
        </is>
      </c>
      <c r="B115" s="3" t="inlineStr">
        <is>
          <t>제1종전용주거지역</t>
        </is>
      </c>
      <c r="C115" s="3" t="inlineStr">
        <is>
          <t>대</t>
        </is>
      </c>
      <c r="D115" s="3" t="inlineStr">
        <is>
          <t>1</t>
        </is>
      </c>
      <c r="E115" s="3" t="inlineStr">
        <is>
          <t>단독</t>
        </is>
      </c>
      <c r="F115" s="3" t="inlineStr">
        <is>
          <t>매매</t>
        </is>
      </c>
      <c r="G115" s="4" t="n">
        <v>130000</v>
      </c>
      <c r="H115" s="4" t="n">
        <v>0</v>
      </c>
      <c r="I115" s="4" t="n">
        <v>373</v>
      </c>
      <c r="J115" s="4" t="n">
        <v>113</v>
      </c>
      <c r="K115" s="5" t="n">
        <v>1150.4</v>
      </c>
      <c r="L115" s="4" t="n">
        <v>95</v>
      </c>
      <c r="M115" s="4" t="n">
        <v>29</v>
      </c>
      <c r="N115" s="5" t="n">
        <v>4482.8</v>
      </c>
      <c r="O115" s="3" t="inlineStr">
        <is>
          <t>도담동 마당넓은 단독주택, 초등학교 인근</t>
        </is>
      </c>
      <c r="P115" s="6">
        <f>HYPERLINK("https://fin.land.naver.com/articles/2650963994", "매물Link")</f>
        <v/>
      </c>
      <c r="Q115" s="6">
        <f>HYPERLINK("https://map.naver.com/p/search/도담동 518", "지도Link")</f>
        <v/>
      </c>
      <c r="R115" s="6">
        <f>HYPERLINK("http://www.eum.go.kr/web/ar/lu/luLandDet.jsp?pnu=3611011400105180000&amp;isNoScr=script&amp;mode=search", "토지이음")</f>
        <v/>
      </c>
      <c r="S115" s="3" t="inlineStr">
        <is>
          <t>OK세종</t>
        </is>
      </c>
      <c r="T115" s="4" t="n">
        <v>2</v>
      </c>
      <c r="U115" s="5" t="n">
        <v>366.9</v>
      </c>
      <c r="V115" s="4" t="n">
        <v>373.8</v>
      </c>
      <c r="W115" s="3" t="inlineStr">
        <is>
          <t>지정되지않음</t>
        </is>
      </c>
      <c r="X115" s="3" t="inlineStr">
        <is>
          <t>주거나지</t>
        </is>
      </c>
      <c r="Y115" s="3" t="inlineStr">
        <is>
          <t>평지</t>
        </is>
      </c>
      <c r="Z115" s="3" t="inlineStr">
        <is>
          <t>정방형</t>
        </is>
      </c>
      <c r="AA115" s="3" t="inlineStr">
        <is>
          <t>소로한면</t>
        </is>
      </c>
    </row>
    <row r="116">
      <c r="A116" s="3" t="inlineStr">
        <is>
          <t>도담동 518</t>
        </is>
      </c>
      <c r="B116" s="3" t="inlineStr">
        <is>
          <t>제1종전용주거지역</t>
        </is>
      </c>
      <c r="C116" s="3" t="inlineStr">
        <is>
          <t>대</t>
        </is>
      </c>
      <c r="D116" s="3" t="inlineStr">
        <is>
          <t>1</t>
        </is>
      </c>
      <c r="E116" s="3" t="inlineStr">
        <is>
          <t>단독</t>
        </is>
      </c>
      <c r="F116" s="3" t="inlineStr">
        <is>
          <t>매매</t>
        </is>
      </c>
      <c r="G116" s="4" t="n">
        <v>130000</v>
      </c>
      <c r="H116" s="4" t="n">
        <v>0</v>
      </c>
      <c r="I116" s="4" t="n">
        <v>373</v>
      </c>
      <c r="J116" s="4" t="n">
        <v>113</v>
      </c>
      <c r="K116" s="5" t="n">
        <v>1150.4</v>
      </c>
      <c r="L116" s="4" t="n">
        <v>95</v>
      </c>
      <c r="M116" s="4" t="n">
        <v>29</v>
      </c>
      <c r="N116" s="5" t="n">
        <v>4482.8</v>
      </c>
      <c r="O116" s="3" t="inlineStr">
        <is>
          <t>협의입주,말발굽자리,남향,마당넓은 예쁜집입니다.</t>
        </is>
      </c>
      <c r="P116" s="6">
        <f>HYPERLINK("https://fin.land.naver.com/articles/2654154469", "매물Link")</f>
        <v/>
      </c>
      <c r="Q116" s="6">
        <f>HYPERLINK("https://map.naver.com/p/search/도담동 518", "지도Link")</f>
        <v/>
      </c>
      <c r="R116" s="6">
        <f>HYPERLINK("http://www.eum.go.kr/web/ar/lu/luLandDet.jsp?pnu=3611011400105180000&amp;isNoScr=script&amp;mode=search", "토지이음")</f>
        <v/>
      </c>
      <c r="S116" s="3" t="inlineStr">
        <is>
          <t>마마</t>
        </is>
      </c>
      <c r="T116" s="4" t="n">
        <v>1</v>
      </c>
      <c r="U116" s="5" t="n">
        <v>366.9</v>
      </c>
      <c r="V116" s="4" t="n">
        <v>373.8</v>
      </c>
      <c r="W116" s="3" t="inlineStr">
        <is>
          <t>지정되지않음</t>
        </is>
      </c>
      <c r="X116" s="3" t="inlineStr">
        <is>
          <t>주거나지</t>
        </is>
      </c>
      <c r="Y116" s="3" t="inlineStr">
        <is>
          <t>평지</t>
        </is>
      </c>
      <c r="Z116" s="3" t="inlineStr">
        <is>
          <t>정방형</t>
        </is>
      </c>
      <c r="AA116" s="3" t="inlineStr">
        <is>
          <t>소로한면</t>
        </is>
      </c>
    </row>
    <row r="117">
      <c r="A117" s="3" t="inlineStr">
        <is>
          <t>도담동 601</t>
        </is>
      </c>
      <c r="B117" s="3" t="inlineStr">
        <is>
          <t>제1종전용주거지역</t>
        </is>
      </c>
      <c r="C117" s="3" t="inlineStr">
        <is>
          <t>대</t>
        </is>
      </c>
      <c r="D117" s="3" t="inlineStr">
        <is>
          <t>2</t>
        </is>
      </c>
      <c r="E117" s="3" t="inlineStr">
        <is>
          <t>단독</t>
        </is>
      </c>
      <c r="F117" s="3" t="inlineStr">
        <is>
          <t>월세</t>
        </is>
      </c>
      <c r="G117" s="4" t="n">
        <v>20000</v>
      </c>
      <c r="H117" s="4" t="n">
        <v>50</v>
      </c>
      <c r="I117" s="4" t="n">
        <v>116</v>
      </c>
      <c r="J117" s="4" t="n">
        <v>35</v>
      </c>
      <c r="K117" s="5" t="n">
        <v>1.4</v>
      </c>
      <c r="L117" s="4" t="n">
        <v>79</v>
      </c>
      <c r="M117" s="4" t="n">
        <v>24</v>
      </c>
      <c r="N117" s="5" t="n">
        <v>2.1</v>
      </c>
      <c r="O117" s="3" t="inlineStr">
        <is>
          <t>2층과 다락방사용, 외부계단이용, 전기태양광설치, 전세로 가능</t>
        </is>
      </c>
      <c r="P117" s="6">
        <f>HYPERLINK("https://fin.land.naver.com/articles/2651701809", "매물Link")</f>
        <v/>
      </c>
      <c r="Q117" s="6">
        <f>HYPERLINK("https://map.naver.com/p/search/도담동 601", "지도Link")</f>
        <v/>
      </c>
      <c r="R117" s="6">
        <f>HYPERLINK("http://www.eum.go.kr/web/ar/lu/luLandDet.jsp?pnu=3611011400106010000&amp;isNoScr=script&amp;mode=search", "토지이음")</f>
        <v/>
      </c>
      <c r="S117" s="3" t="inlineStr">
        <is>
          <t>OK세종</t>
        </is>
      </c>
      <c r="T117" s="4" t="n">
        <v>1</v>
      </c>
      <c r="U117" s="5" t="n">
        <v>433.7</v>
      </c>
      <c r="V117" s="4" t="n">
        <v>294.8</v>
      </c>
      <c r="W117" s="3" t="inlineStr">
        <is>
          <t>지정되지않음</t>
        </is>
      </c>
      <c r="X117" s="3" t="inlineStr">
        <is>
          <t>주거나지</t>
        </is>
      </c>
      <c r="Y117" s="3" t="inlineStr">
        <is>
          <t>평지</t>
        </is>
      </c>
      <c r="Z117" s="3" t="inlineStr">
        <is>
          <t>정방형</t>
        </is>
      </c>
      <c r="AA117" s="3" t="inlineStr">
        <is>
          <t>소로한면</t>
        </is>
      </c>
    </row>
    <row r="118">
      <c r="A118" s="3" t="inlineStr">
        <is>
          <t>도담동 601</t>
        </is>
      </c>
      <c r="B118" s="3" t="inlineStr">
        <is>
          <t>제1종전용주거지역</t>
        </is>
      </c>
      <c r="C118" s="3" t="inlineStr">
        <is>
          <t>대</t>
        </is>
      </c>
      <c r="D118" s="3" t="inlineStr">
        <is>
          <t>2</t>
        </is>
      </c>
      <c r="E118" s="3" t="inlineStr">
        <is>
          <t>단독</t>
        </is>
      </c>
      <c r="F118" s="3" t="inlineStr">
        <is>
          <t>월세</t>
        </is>
      </c>
      <c r="G118" s="4" t="n">
        <v>20000</v>
      </c>
      <c r="H118" s="4" t="n">
        <v>50</v>
      </c>
      <c r="I118" s="4" t="n">
        <v>116</v>
      </c>
      <c r="J118" s="4" t="n">
        <v>35</v>
      </c>
      <c r="K118" s="5" t="n">
        <v>1.4</v>
      </c>
      <c r="L118" s="4" t="n">
        <v>79</v>
      </c>
      <c r="M118" s="4" t="n">
        <v>24</v>
      </c>
      <c r="N118" s="5" t="n">
        <v>2.1</v>
      </c>
      <c r="O118" s="3" t="inlineStr">
        <is>
          <t>2층만,3억전세가능,2층전용출입문,다락방,테라스,방축천 충대병원 도보</t>
        </is>
      </c>
      <c r="P118" s="6">
        <f>HYPERLINK("https://fin.land.naver.com/articles/2653270299", "매물Link")</f>
        <v/>
      </c>
      <c r="Q118" s="6">
        <f>HYPERLINK("https://map.naver.com/p/search/도담동 601", "지도Link")</f>
        <v/>
      </c>
      <c r="R118" s="6">
        <f>HYPERLINK("http://www.eum.go.kr/web/ar/lu/luLandDet.jsp?pnu=3611011400106010000&amp;isNoScr=script&amp;mode=search", "토지이음")</f>
        <v/>
      </c>
      <c r="S118" s="3" t="inlineStr">
        <is>
          <t>태복</t>
        </is>
      </c>
      <c r="T118" s="4" t="n">
        <v>2</v>
      </c>
      <c r="U118" s="5" t="n">
        <v>433.7</v>
      </c>
      <c r="V118" s="4" t="n">
        <v>294.8</v>
      </c>
      <c r="W118" s="3" t="inlineStr">
        <is>
          <t>지정되지않음</t>
        </is>
      </c>
      <c r="X118" s="3" t="inlineStr">
        <is>
          <t>주거나지</t>
        </is>
      </c>
      <c r="Y118" s="3" t="inlineStr">
        <is>
          <t>평지</t>
        </is>
      </c>
      <c r="Z118" s="3" t="inlineStr">
        <is>
          <t>정방형</t>
        </is>
      </c>
      <c r="AA118" s="3" t="inlineStr">
        <is>
          <t>소로한면</t>
        </is>
      </c>
    </row>
    <row r="119">
      <c r="A119" s="3" t="inlineStr">
        <is>
          <t>도담동 697</t>
        </is>
      </c>
      <c r="B119" s="3" t="inlineStr">
        <is>
          <t>제1종전용주거지역</t>
        </is>
      </c>
      <c r="C119" s="3" t="inlineStr">
        <is>
          <t>대</t>
        </is>
      </c>
      <c r="D119" s="3" t="inlineStr">
        <is>
          <t>2</t>
        </is>
      </c>
      <c r="E119" s="3" t="inlineStr">
        <is>
          <t>단독</t>
        </is>
      </c>
      <c r="F119" s="3" t="inlineStr">
        <is>
          <t>매매</t>
        </is>
      </c>
      <c r="G119" s="4" t="n">
        <v>170000</v>
      </c>
      <c r="H119" s="4" t="n">
        <v>0</v>
      </c>
      <c r="I119" s="4" t="n">
        <v>324</v>
      </c>
      <c r="J119" s="4" t="n">
        <v>98</v>
      </c>
      <c r="K119" s="5" t="n">
        <v>1734.7</v>
      </c>
      <c r="L119" s="4" t="n">
        <v>293</v>
      </c>
      <c r="M119" s="4" t="n">
        <v>89</v>
      </c>
      <c r="N119" s="5" t="n">
        <v>1910.1</v>
      </c>
      <c r="O119" s="3" t="inlineStr">
        <is>
          <t>조율가능, 2세대 가능한 독립구조, 전세8억, 지하有</t>
        </is>
      </c>
      <c r="P119" s="6">
        <f>HYPERLINK("https://fin.land.naver.com/articles/2651191939", "매물Link")</f>
        <v/>
      </c>
      <c r="Q119" s="6">
        <f>HYPERLINK("https://map.naver.com/p/search/도담동 697", "지도Link")</f>
        <v/>
      </c>
      <c r="R119" s="6">
        <f>HYPERLINK("http://www.eum.go.kr/web/ar/lu/luLandDet.jsp?pnu=3611011400106970000&amp;isNoScr=script&amp;mode=search", "토지이음")</f>
        <v/>
      </c>
      <c r="S119" s="3" t="inlineStr">
        <is>
          <t>명진</t>
        </is>
      </c>
      <c r="T119" s="4" t="n">
        <v>1</v>
      </c>
      <c r="U119" s="5" t="n">
        <v>378.2</v>
      </c>
      <c r="V119" s="4" t="n">
        <v>324</v>
      </c>
      <c r="W119" s="3" t="inlineStr">
        <is>
          <t>지정되지않음</t>
        </is>
      </c>
      <c r="X119" s="3" t="inlineStr">
        <is>
          <t>단독</t>
        </is>
      </c>
      <c r="Y119" s="3" t="inlineStr">
        <is>
          <t>평지</t>
        </is>
      </c>
      <c r="Z119" s="3" t="inlineStr">
        <is>
          <t>사다리형</t>
        </is>
      </c>
      <c r="AA119" s="3" t="inlineStr">
        <is>
          <t>소로한면</t>
        </is>
      </c>
    </row>
    <row r="120">
      <c r="A120" s="3" t="inlineStr">
        <is>
          <t>도담동 697</t>
        </is>
      </c>
      <c r="B120" s="3" t="inlineStr">
        <is>
          <t>제1종전용주거지역</t>
        </is>
      </c>
      <c r="C120" s="3" t="inlineStr">
        <is>
          <t>대</t>
        </is>
      </c>
      <c r="D120" s="3" t="inlineStr">
        <is>
          <t>2</t>
        </is>
      </c>
      <c r="E120" s="3" t="inlineStr">
        <is>
          <t>단독</t>
        </is>
      </c>
      <c r="F120" s="3" t="inlineStr">
        <is>
          <t>매매</t>
        </is>
      </c>
      <c r="G120" s="4" t="n">
        <v>170000</v>
      </c>
      <c r="H120" s="4" t="n">
        <v>0</v>
      </c>
      <c r="I120" s="4" t="n">
        <v>324</v>
      </c>
      <c r="J120" s="4" t="n">
        <v>98</v>
      </c>
      <c r="K120" s="5" t="n">
        <v>1734.7</v>
      </c>
      <c r="L120" s="4" t="n">
        <v>293</v>
      </c>
      <c r="M120" s="4" t="n">
        <v>89</v>
      </c>
      <c r="N120" s="5" t="n">
        <v>1910.1</v>
      </c>
      <c r="O120" s="3" t="inlineStr">
        <is>
          <t>급매. 위치 좋은 단독 주택, 구조가 이뻐요</t>
        </is>
      </c>
      <c r="P120" s="6">
        <f>HYPERLINK("https://fin.land.naver.com/articles/2652859350", "매물Link")</f>
        <v/>
      </c>
      <c r="Q120" s="6">
        <f>HYPERLINK("https://map.naver.com/p/search/도담동 697", "지도Link")</f>
        <v/>
      </c>
      <c r="R120" s="6">
        <f>HYPERLINK("http://www.eum.go.kr/web/ar/lu/luLandDet.jsp?pnu=3611011400106970000&amp;isNoScr=script&amp;mode=search", "토지이음")</f>
        <v/>
      </c>
      <c r="S120" s="3" t="inlineStr">
        <is>
          <t>최무연</t>
        </is>
      </c>
      <c r="T120" s="4" t="n">
        <v>3</v>
      </c>
      <c r="U120" s="5" t="n">
        <v>378.2</v>
      </c>
      <c r="V120" s="4" t="n">
        <v>324</v>
      </c>
      <c r="W120" s="3" t="inlineStr">
        <is>
          <t>지정되지않음</t>
        </is>
      </c>
      <c r="X120" s="3" t="inlineStr">
        <is>
          <t>단독</t>
        </is>
      </c>
      <c r="Y120" s="3" t="inlineStr">
        <is>
          <t>평지</t>
        </is>
      </c>
      <c r="Z120" s="3" t="inlineStr">
        <is>
          <t>사다리형</t>
        </is>
      </c>
      <c r="AA120" s="3" t="inlineStr">
        <is>
          <t>소로한면</t>
        </is>
      </c>
    </row>
    <row r="121">
      <c r="A121" s="3" t="inlineStr">
        <is>
          <t>도담동 698</t>
        </is>
      </c>
      <c r="B121" s="3" t="inlineStr">
        <is>
          <t>제1종전용주거지역</t>
        </is>
      </c>
      <c r="C121" s="3" t="inlineStr">
        <is>
          <t>대</t>
        </is>
      </c>
      <c r="D121" s="3" t="inlineStr">
        <is>
          <t>2</t>
        </is>
      </c>
      <c r="E121" s="3" t="inlineStr">
        <is>
          <t>단독</t>
        </is>
      </c>
      <c r="F121" s="3" t="inlineStr">
        <is>
          <t>매매</t>
        </is>
      </c>
      <c r="G121" s="4" t="n">
        <v>225000</v>
      </c>
      <c r="H121" s="4" t="n">
        <v>0</v>
      </c>
      <c r="I121" s="4" t="n">
        <v>324</v>
      </c>
      <c r="J121" s="4" t="n">
        <v>98</v>
      </c>
      <c r="K121" s="5" t="n">
        <v>2295.9</v>
      </c>
      <c r="L121" s="4" t="n">
        <v>199</v>
      </c>
      <c r="M121" s="4" t="n">
        <v>60</v>
      </c>
      <c r="N121" s="5" t="n">
        <v>3750</v>
      </c>
      <c r="O121" s="3" t="inlineStr">
        <is>
          <t>자재 하나 하나 고급진  단독 매매</t>
        </is>
      </c>
      <c r="P121" s="6">
        <f>HYPERLINK("https://fin.land.naver.com/articles/2650613196", "매물Link")</f>
        <v/>
      </c>
      <c r="Q121" s="6">
        <f>HYPERLINK("https://map.naver.com/p/search/도담동 698", "지도Link")</f>
        <v/>
      </c>
      <c r="R121" s="6">
        <f>HYPERLINK("http://www.eum.go.kr/web/ar/lu/luLandDet.jsp?pnu=3611011400106980000&amp;isNoScr=script&amp;mode=search", "토지이음")</f>
        <v/>
      </c>
      <c r="S121" s="3" t="inlineStr">
        <is>
          <t>THE행복</t>
        </is>
      </c>
      <c r="T121" s="4" t="n">
        <v>1</v>
      </c>
      <c r="U121" s="5" t="n">
        <v>382.1</v>
      </c>
      <c r="V121" s="4" t="n">
        <v>324</v>
      </c>
      <c r="W121" s="3" t="inlineStr">
        <is>
          <t>지정되지않음</t>
        </is>
      </c>
      <c r="X121" s="3" t="inlineStr">
        <is>
          <t>단독</t>
        </is>
      </c>
      <c r="Y121" s="3" t="inlineStr">
        <is>
          <t>평지</t>
        </is>
      </c>
      <c r="Z121" s="3" t="inlineStr">
        <is>
          <t>가로장방</t>
        </is>
      </c>
      <c r="AA121" s="3" t="inlineStr">
        <is>
          <t>소로한면</t>
        </is>
      </c>
    </row>
    <row r="122">
      <c r="A122" s="3" t="inlineStr">
        <is>
          <t>도담동 698</t>
        </is>
      </c>
      <c r="B122" s="3" t="inlineStr">
        <is>
          <t>제1종전용주거지역</t>
        </is>
      </c>
      <c r="C122" s="3" t="inlineStr">
        <is>
          <t>대</t>
        </is>
      </c>
      <c r="D122" s="3" t="inlineStr">
        <is>
          <t>2</t>
        </is>
      </c>
      <c r="E122" s="3" t="inlineStr">
        <is>
          <t>단독</t>
        </is>
      </c>
      <c r="F122" s="3" t="inlineStr">
        <is>
          <t>매매</t>
        </is>
      </c>
      <c r="G122" s="4" t="n">
        <v>225000</v>
      </c>
      <c r="H122" s="4" t="n">
        <v>0</v>
      </c>
      <c r="I122" s="4" t="n">
        <v>324</v>
      </c>
      <c r="J122" s="4" t="n">
        <v>98</v>
      </c>
      <c r="K122" s="5" t="n">
        <v>2295.9</v>
      </c>
      <c r="L122" s="4" t="n">
        <v>199</v>
      </c>
      <c r="M122" s="4" t="n">
        <v>60</v>
      </c>
      <c r="N122" s="5" t="n">
        <v>3750</v>
      </c>
      <c r="O122" s="3" t="inlineStr">
        <is>
          <t>도담동 최고입지 귀한 단독주택 넓은평수 목조주택</t>
        </is>
      </c>
      <c r="P122" s="6">
        <f>HYPERLINK("https://fin.land.naver.com/articles/2654038763", "매물Link")</f>
        <v/>
      </c>
      <c r="Q122" s="6">
        <f>HYPERLINK("https://map.naver.com/p/search/도담동 698", "지도Link")</f>
        <v/>
      </c>
      <c r="R122" s="6">
        <f>HYPERLINK("http://www.eum.go.kr/web/ar/lu/luLandDet.jsp?pnu=3611011400106980000&amp;isNoScr=script&amp;mode=search", "토지이음")</f>
        <v/>
      </c>
      <c r="S122" s="3" t="inlineStr">
        <is>
          <t>세종스타</t>
        </is>
      </c>
      <c r="T122" s="4" t="n">
        <v>1</v>
      </c>
      <c r="U122" s="5" t="n">
        <v>382.1</v>
      </c>
      <c r="V122" s="4" t="n">
        <v>324</v>
      </c>
      <c r="W122" s="3" t="inlineStr">
        <is>
          <t>지정되지않음</t>
        </is>
      </c>
      <c r="X122" s="3" t="inlineStr">
        <is>
          <t>단독</t>
        </is>
      </c>
      <c r="Y122" s="3" t="inlineStr">
        <is>
          <t>평지</t>
        </is>
      </c>
      <c r="Z122" s="3" t="inlineStr">
        <is>
          <t>가로장방</t>
        </is>
      </c>
      <c r="AA122" s="3" t="inlineStr">
        <is>
          <t>소로한면</t>
        </is>
      </c>
    </row>
    <row r="123">
      <c r="A123" s="3" t="inlineStr">
        <is>
          <t>도담동 698</t>
        </is>
      </c>
      <c r="B123" s="3" t="inlineStr">
        <is>
          <t>제1종전용주거지역</t>
        </is>
      </c>
      <c r="C123" s="3" t="inlineStr">
        <is>
          <t>대</t>
        </is>
      </c>
      <c r="D123" s="3" t="inlineStr">
        <is>
          <t>2</t>
        </is>
      </c>
      <c r="E123" s="3" t="inlineStr">
        <is>
          <t>단독</t>
        </is>
      </c>
      <c r="F123" s="3" t="inlineStr">
        <is>
          <t>매매</t>
        </is>
      </c>
      <c r="G123" s="4" t="n">
        <v>230000</v>
      </c>
      <c r="H123" s="4" t="n">
        <v>0</v>
      </c>
      <c r="I123" s="4" t="n">
        <v>324</v>
      </c>
      <c r="J123" s="4" t="n">
        <v>98</v>
      </c>
      <c r="K123" s="5" t="n">
        <v>2346.9</v>
      </c>
      <c r="L123" s="4" t="n">
        <v>199</v>
      </c>
      <c r="M123" s="4" t="n">
        <v>60</v>
      </c>
      <c r="N123" s="5" t="n">
        <v>3833.3</v>
      </c>
      <c r="O123" s="3" t="inlineStr">
        <is>
          <t>명성공인, 방4, 화4, 풀에어컨, 다락까지 있는 위치 좋은 추천 매물</t>
        </is>
      </c>
      <c r="P123" s="6">
        <f>HYPERLINK("https://fin.land.naver.com/articles/2650066777", "매물Link")</f>
        <v/>
      </c>
      <c r="Q123" s="6">
        <f>HYPERLINK("https://map.naver.com/p/search/도담동 698", "지도Link")</f>
        <v/>
      </c>
      <c r="R123" s="6">
        <f>HYPERLINK("http://www.eum.go.kr/web/ar/lu/luLandDet.jsp?pnu=3611011400106980000&amp;isNoScr=script&amp;mode=search", "토지이음")</f>
        <v/>
      </c>
      <c r="S123" s="3" t="inlineStr">
        <is>
          <t>명성</t>
        </is>
      </c>
      <c r="T123" s="4" t="n">
        <v>1</v>
      </c>
      <c r="U123" s="5" t="n">
        <v>382.1</v>
      </c>
      <c r="V123" s="4" t="n">
        <v>324</v>
      </c>
      <c r="W123" s="3" t="inlineStr">
        <is>
          <t>지정되지않음</t>
        </is>
      </c>
      <c r="X123" s="3" t="inlineStr">
        <is>
          <t>단독</t>
        </is>
      </c>
      <c r="Y123" s="3" t="inlineStr">
        <is>
          <t>평지</t>
        </is>
      </c>
      <c r="Z123" s="3" t="inlineStr">
        <is>
          <t>가로장방</t>
        </is>
      </c>
      <c r="AA123" s="3" t="inlineStr">
        <is>
          <t>소로한면</t>
        </is>
      </c>
    </row>
    <row r="124">
      <c r="A124" s="3" t="inlineStr">
        <is>
          <t>도담동 750</t>
        </is>
      </c>
      <c r="B124" s="3" t="inlineStr">
        <is>
          <t>제1종전용주거지역</t>
        </is>
      </c>
      <c r="C124" s="3" t="inlineStr">
        <is>
          <t>대</t>
        </is>
      </c>
      <c r="D124" s="3" t="inlineStr">
        <is>
          <t>1</t>
        </is>
      </c>
      <c r="E124" s="3" t="inlineStr">
        <is>
          <t>단독</t>
        </is>
      </c>
      <c r="F124" s="3" t="inlineStr">
        <is>
          <t>매매</t>
        </is>
      </c>
      <c r="G124" s="4" t="n">
        <v>85000</v>
      </c>
      <c r="H124" s="4" t="n">
        <v>0</v>
      </c>
      <c r="I124" s="4" t="n">
        <v>302</v>
      </c>
      <c r="J124" s="4" t="n">
        <v>91</v>
      </c>
      <c r="K124" s="5" t="n">
        <v>934.1</v>
      </c>
      <c r="L124" s="4" t="n">
        <v>52</v>
      </c>
      <c r="M124" s="4" t="n">
        <v>16</v>
      </c>
      <c r="N124" s="5" t="n">
        <v>5312.5</v>
      </c>
      <c r="O124" s="3" t="inlineStr">
        <is>
          <t>도담동 입지 좋은 단독주택</t>
        </is>
      </c>
      <c r="P124" s="6">
        <f>HYPERLINK("https://fin.land.naver.com/articles/2653531118", "매물Link")</f>
        <v/>
      </c>
      <c r="Q124" s="6">
        <f>HYPERLINK("https://map.naver.com/p/search/도담동 750", "지도Link")</f>
        <v/>
      </c>
      <c r="R124" s="6">
        <f>HYPERLINK("http://www.eum.go.kr/web/ar/lu/luLandDet.jsp?pnu=3611011400107500000&amp;isNoScr=script&amp;mode=search", "토지이음")</f>
        <v/>
      </c>
      <c r="S124" s="3" t="inlineStr">
        <is>
          <t>어반나래</t>
        </is>
      </c>
      <c r="T124" s="4" t="n">
        <v>1</v>
      </c>
      <c r="U124" s="5" t="n">
        <v>382.1</v>
      </c>
      <c r="V124" s="4" t="n">
        <v>302.8</v>
      </c>
      <c r="W124" s="3" t="inlineStr">
        <is>
          <t>지정되지않음</t>
        </is>
      </c>
      <c r="X124" s="3" t="inlineStr">
        <is>
          <t>주거나지</t>
        </is>
      </c>
      <c r="Y124" s="3" t="inlineStr">
        <is>
          <t>평지</t>
        </is>
      </c>
      <c r="Z124" s="3" t="inlineStr">
        <is>
          <t>세로장방</t>
        </is>
      </c>
      <c r="AA124" s="3" t="inlineStr">
        <is>
          <t>소로한면</t>
        </is>
      </c>
    </row>
    <row r="125">
      <c r="A125" s="3" t="inlineStr">
        <is>
          <t>도담동 753</t>
        </is>
      </c>
      <c r="B125" s="3" t="inlineStr">
        <is>
          <t>제1종전용주거지역</t>
        </is>
      </c>
      <c r="C125" s="3" t="inlineStr">
        <is>
          <t>대</t>
        </is>
      </c>
      <c r="D125" s="3" t="inlineStr">
        <is>
          <t>2</t>
        </is>
      </c>
      <c r="E125" s="3" t="inlineStr">
        <is>
          <t>단독</t>
        </is>
      </c>
      <c r="F125" s="3" t="inlineStr">
        <is>
          <t>매매</t>
        </is>
      </c>
      <c r="G125" s="4" t="n">
        <v>230000</v>
      </c>
      <c r="H125" s="4" t="n">
        <v>0</v>
      </c>
      <c r="I125" s="4" t="n">
        <v>344</v>
      </c>
      <c r="J125" s="4" t="n">
        <v>104</v>
      </c>
      <c r="K125" s="5" t="n">
        <v>2211.5</v>
      </c>
      <c r="L125" s="4" t="n">
        <v>233</v>
      </c>
      <c r="M125" s="4" t="n">
        <v>70</v>
      </c>
      <c r="N125" s="5" t="n">
        <v>3285.7</v>
      </c>
      <c r="O125" s="3" t="inlineStr">
        <is>
          <t>도시 속의 자연을 품은 주택,편리한 주거환경,BRT,방축천 라인 중심상권</t>
        </is>
      </c>
      <c r="P125" s="6">
        <f>HYPERLINK("https://fin.land.naver.com/articles/2650847837", "매물Link")</f>
        <v/>
      </c>
      <c r="Q125" s="6">
        <f>HYPERLINK("https://map.naver.com/p/search/도담동 753", "지도Link")</f>
        <v/>
      </c>
      <c r="R125" s="6">
        <f>HYPERLINK("http://www.eum.go.kr/web/ar/lu/luLandDet.jsp?pnu=3611011400107530000&amp;isNoScr=script&amp;mode=search", "토지이음")</f>
        <v/>
      </c>
      <c r="S125" s="3" t="inlineStr">
        <is>
          <t>세종웅진</t>
        </is>
      </c>
      <c r="T125" s="4" t="n">
        <v>1</v>
      </c>
      <c r="U125" s="5" t="n">
        <v>382.1</v>
      </c>
      <c r="V125" s="4" t="n">
        <v>344.1</v>
      </c>
      <c r="W125" s="3" t="inlineStr">
        <is>
          <t>지정되지않음</t>
        </is>
      </c>
      <c r="X125" s="3" t="inlineStr">
        <is>
          <t>단독</t>
        </is>
      </c>
      <c r="Y125" s="3" t="inlineStr">
        <is>
          <t>평지</t>
        </is>
      </c>
      <c r="Z125" s="3" t="inlineStr">
        <is>
          <t>가로장방</t>
        </is>
      </c>
      <c r="AA125" s="3" t="inlineStr">
        <is>
          <t>소로한면</t>
        </is>
      </c>
    </row>
    <row r="126">
      <c r="A126" s="3" t="inlineStr">
        <is>
          <t>도담동 782</t>
        </is>
      </c>
      <c r="B126" s="3" t="inlineStr">
        <is>
          <t>제1종전용주거지역</t>
        </is>
      </c>
      <c r="C126" s="3" t="inlineStr">
        <is>
          <t>대</t>
        </is>
      </c>
      <c r="D126" s="3" t="inlineStr">
        <is>
          <t>1</t>
        </is>
      </c>
      <c r="E126" s="3" t="inlineStr">
        <is>
          <t>단독</t>
        </is>
      </c>
      <c r="F126" s="3" t="inlineStr">
        <is>
          <t>매매</t>
        </is>
      </c>
      <c r="G126" s="4" t="n">
        <v>82000</v>
      </c>
      <c r="H126" s="4" t="n">
        <v>0</v>
      </c>
      <c r="I126" s="4" t="n">
        <v>333</v>
      </c>
      <c r="J126" s="4" t="n">
        <v>101</v>
      </c>
      <c r="K126" s="5" t="n">
        <v>811.9</v>
      </c>
      <c r="L126" s="4" t="n">
        <v>35</v>
      </c>
      <c r="M126" s="4" t="n">
        <v>11</v>
      </c>
      <c r="N126" s="5" t="n">
        <v>7454.5</v>
      </c>
      <c r="O126" s="3" t="inlineStr">
        <is>
          <t>생명나무,도담동 아담한 모듈하우스 경작가능 주말쉼터로도 좋아요</t>
        </is>
      </c>
      <c r="P126" s="6">
        <f>HYPERLINK("https://fin.land.naver.com/articles/2651373721", "매물Link")</f>
        <v/>
      </c>
      <c r="Q126" s="6">
        <f>HYPERLINK("https://map.naver.com/p/search/도담동 782", "지도Link")</f>
        <v/>
      </c>
      <c r="R126" s="6">
        <f>HYPERLINK("http://www.eum.go.kr/web/ar/lu/luLandDet.jsp?pnu=3611011400107820000&amp;isNoScr=script&amp;mode=search", "토지이음")</f>
        <v/>
      </c>
      <c r="S126" s="3" t="inlineStr">
        <is>
          <t>생명나무</t>
        </is>
      </c>
      <c r="T126" s="4" t="n">
        <v>1</v>
      </c>
      <c r="U126" s="5" t="n">
        <v>391.1</v>
      </c>
      <c r="V126" s="4" t="n">
        <v>333.7</v>
      </c>
      <c r="W126" s="3" t="inlineStr">
        <is>
          <t>지정되지않음</t>
        </is>
      </c>
      <c r="X126" s="3" t="inlineStr">
        <is>
          <t>단독</t>
        </is>
      </c>
      <c r="Y126" s="3" t="inlineStr">
        <is>
          <t>평지</t>
        </is>
      </c>
      <c r="Z126" s="3" t="inlineStr">
        <is>
          <t>정방형</t>
        </is>
      </c>
      <c r="AA126" s="3" t="inlineStr">
        <is>
          <t>소로한면</t>
        </is>
      </c>
    </row>
    <row r="127">
      <c r="A127" s="3" t="inlineStr">
        <is>
          <t>도담동 782</t>
        </is>
      </c>
      <c r="B127" s="3" t="inlineStr">
        <is>
          <t>제1종전용주거지역</t>
        </is>
      </c>
      <c r="C127" s="3" t="inlineStr">
        <is>
          <t>대</t>
        </is>
      </c>
      <c r="D127" s="3" t="inlineStr">
        <is>
          <t>1</t>
        </is>
      </c>
      <c r="E127" s="3" t="inlineStr">
        <is>
          <t>단독</t>
        </is>
      </c>
      <c r="F127" s="3" t="inlineStr">
        <is>
          <t>매매</t>
        </is>
      </c>
      <c r="G127" s="4" t="n">
        <v>82000</v>
      </c>
      <c r="H127" s="4" t="n">
        <v>0</v>
      </c>
      <c r="I127" s="4" t="n">
        <v>333</v>
      </c>
      <c r="J127" s="4" t="n">
        <v>101</v>
      </c>
      <c r="K127" s="5" t="n">
        <v>811.9</v>
      </c>
      <c r="L127" s="4" t="n">
        <v>35</v>
      </c>
      <c r="M127" s="4" t="n">
        <v>11</v>
      </c>
      <c r="N127" s="5" t="n">
        <v>7454.5</v>
      </c>
      <c r="O127" s="3" t="inlineStr">
        <is>
          <t>넓은 마당, 정남향, 세컨하우스, 공방, 작업실 추천</t>
        </is>
      </c>
      <c r="P127" s="6">
        <f>HYPERLINK("https://fin.land.naver.com/articles/2651949513", "매물Link")</f>
        <v/>
      </c>
      <c r="Q127" s="6">
        <f>HYPERLINK("https://map.naver.com/p/search/도담동 782", "지도Link")</f>
        <v/>
      </c>
      <c r="R127" s="6">
        <f>HYPERLINK("http://www.eum.go.kr/web/ar/lu/luLandDet.jsp?pnu=3611011400107820000&amp;isNoScr=script&amp;mode=search", "토지이음")</f>
        <v/>
      </c>
      <c r="S127" s="3" t="inlineStr">
        <is>
          <t>명진</t>
        </is>
      </c>
      <c r="T127" s="4" t="n">
        <v>1</v>
      </c>
      <c r="U127" s="5" t="n">
        <v>391.1</v>
      </c>
      <c r="V127" s="4" t="n">
        <v>333.7</v>
      </c>
      <c r="W127" s="3" t="inlineStr">
        <is>
          <t>지정되지않음</t>
        </is>
      </c>
      <c r="X127" s="3" t="inlineStr">
        <is>
          <t>단독</t>
        </is>
      </c>
      <c r="Y127" s="3" t="inlineStr">
        <is>
          <t>평지</t>
        </is>
      </c>
      <c r="Z127" s="3" t="inlineStr">
        <is>
          <t>정방형</t>
        </is>
      </c>
      <c r="AA127" s="3" t="inlineStr">
        <is>
          <t>소로한면</t>
        </is>
      </c>
    </row>
    <row r="128">
      <c r="A128" s="3" t="inlineStr">
        <is>
          <t>도담동 782</t>
        </is>
      </c>
      <c r="B128" s="3" t="inlineStr">
        <is>
          <t>제1종전용주거지역</t>
        </is>
      </c>
      <c r="C128" s="3" t="inlineStr">
        <is>
          <t>대</t>
        </is>
      </c>
      <c r="D128" s="3" t="inlineStr">
        <is>
          <t>1</t>
        </is>
      </c>
      <c r="E128" s="3" t="inlineStr">
        <is>
          <t>단독</t>
        </is>
      </c>
      <c r="F128" s="3" t="inlineStr">
        <is>
          <t>매매</t>
        </is>
      </c>
      <c r="G128" s="4" t="n">
        <v>82000</v>
      </c>
      <c r="H128" s="4" t="n">
        <v>0</v>
      </c>
      <c r="I128" s="4" t="n">
        <v>333</v>
      </c>
      <c r="J128" s="4" t="n">
        <v>101</v>
      </c>
      <c r="K128" s="5" t="n">
        <v>811.9</v>
      </c>
      <c r="L128" s="4" t="n">
        <v>35</v>
      </c>
      <c r="M128" s="4" t="n">
        <v>11</v>
      </c>
      <c r="N128" s="5" t="n">
        <v>7454.5</v>
      </c>
      <c r="O128" s="3" t="inlineStr">
        <is>
          <t>nan</t>
        </is>
      </c>
      <c r="P128" s="6">
        <f>HYPERLINK("https://fin.land.naver.com/articles/2652442121", "매물Link")</f>
        <v/>
      </c>
      <c r="Q128" s="6">
        <f>HYPERLINK("https://map.naver.com/p/search/도담동 782", "지도Link")</f>
        <v/>
      </c>
      <c r="R128" s="6">
        <f>HYPERLINK("http://www.eum.go.kr/web/ar/lu/luLandDet.jsp?pnu=3611011400107820000&amp;isNoScr=script&amp;mode=search", "토지이음")</f>
        <v/>
      </c>
      <c r="S128" s="3" t="inlineStr">
        <is>
          <t>세종스타</t>
        </is>
      </c>
      <c r="T128" s="4" t="n">
        <v>1</v>
      </c>
      <c r="U128" s="5" t="n">
        <v>391.1</v>
      </c>
      <c r="V128" s="4" t="n">
        <v>333.7</v>
      </c>
      <c r="W128" s="3" t="inlineStr">
        <is>
          <t>지정되지않음</t>
        </is>
      </c>
      <c r="X128" s="3" t="inlineStr">
        <is>
          <t>단독</t>
        </is>
      </c>
      <c r="Y128" s="3" t="inlineStr">
        <is>
          <t>평지</t>
        </is>
      </c>
      <c r="Z128" s="3" t="inlineStr">
        <is>
          <t>정방형</t>
        </is>
      </c>
      <c r="AA128" s="3" t="inlineStr">
        <is>
          <t>소로한면</t>
        </is>
      </c>
    </row>
    <row r="129">
      <c r="A129" s="3" t="inlineStr">
        <is>
          <t>도담동 782</t>
        </is>
      </c>
      <c r="B129" s="3" t="inlineStr">
        <is>
          <t>제1종전용주거지역</t>
        </is>
      </c>
      <c r="C129" s="3" t="inlineStr">
        <is>
          <t>대</t>
        </is>
      </c>
      <c r="D129" s="3" t="inlineStr">
        <is>
          <t>1</t>
        </is>
      </c>
      <c r="E129" s="3" t="inlineStr">
        <is>
          <t>단독</t>
        </is>
      </c>
      <c r="F129" s="3" t="inlineStr">
        <is>
          <t>매매</t>
        </is>
      </c>
      <c r="G129" s="4" t="n">
        <v>82000</v>
      </c>
      <c r="H129" s="4" t="n">
        <v>0</v>
      </c>
      <c r="I129" s="4" t="n">
        <v>333</v>
      </c>
      <c r="J129" s="4" t="n">
        <v>101</v>
      </c>
      <c r="K129" s="5" t="n">
        <v>811.9</v>
      </c>
      <c r="L129" s="4" t="n">
        <v>35</v>
      </c>
      <c r="M129" s="4" t="n">
        <v>11</v>
      </c>
      <c r="N129" s="5" t="n">
        <v>7454.5</v>
      </c>
      <c r="O129" s="3" t="inlineStr">
        <is>
          <t>마당이 넓은 1층 단독주택, 세컨하우스, 공방, 주말쉼터 추천</t>
        </is>
      </c>
      <c r="P129" s="6">
        <f>HYPERLINK("https://fin.land.naver.com/articles/2651188895", "매물Link")</f>
        <v/>
      </c>
      <c r="Q129" s="6">
        <f>HYPERLINK("https://map.naver.com/p/search/도담동 782", "지도Link")</f>
        <v/>
      </c>
      <c r="R129" s="6">
        <f>HYPERLINK("http://www.eum.go.kr/web/ar/lu/luLandDet.jsp?pnu=3611011400107820000&amp;isNoScr=script&amp;mode=search", "토지이음")</f>
        <v/>
      </c>
      <c r="S129" s="3" t="inlineStr">
        <is>
          <t>세종무지개</t>
        </is>
      </c>
      <c r="T129" s="4" t="n">
        <v>1</v>
      </c>
      <c r="U129" s="5" t="n">
        <v>391.1</v>
      </c>
      <c r="V129" s="4" t="n">
        <v>333.7</v>
      </c>
      <c r="W129" s="3" t="inlineStr">
        <is>
          <t>지정되지않음</t>
        </is>
      </c>
      <c r="X129" s="3" t="inlineStr">
        <is>
          <t>단독</t>
        </is>
      </c>
      <c r="Y129" s="3" t="inlineStr">
        <is>
          <t>평지</t>
        </is>
      </c>
      <c r="Z129" s="3" t="inlineStr">
        <is>
          <t>정방형</t>
        </is>
      </c>
      <c r="AA129" s="3" t="inlineStr">
        <is>
          <t>소로한면</t>
        </is>
      </c>
    </row>
    <row r="130">
      <c r="A130" s="3" t="inlineStr">
        <is>
          <t>도담동 782</t>
        </is>
      </c>
      <c r="B130" s="3" t="inlineStr">
        <is>
          <t>제1종전용주거지역</t>
        </is>
      </c>
      <c r="C130" s="3" t="inlineStr">
        <is>
          <t>대</t>
        </is>
      </c>
      <c r="D130" s="3" t="inlineStr">
        <is>
          <t>1</t>
        </is>
      </c>
      <c r="E130" s="3" t="inlineStr">
        <is>
          <t>전원주택</t>
        </is>
      </c>
      <c r="F130" s="3" t="inlineStr">
        <is>
          <t>매매</t>
        </is>
      </c>
      <c r="G130" s="4" t="n">
        <v>82000</v>
      </c>
      <c r="H130" s="4" t="n">
        <v>0</v>
      </c>
      <c r="I130" s="4" t="n">
        <v>333</v>
      </c>
      <c r="J130" s="4" t="n">
        <v>101</v>
      </c>
      <c r="K130" s="5" t="n">
        <v>811.9</v>
      </c>
      <c r="L130" s="4" t="n">
        <v>35</v>
      </c>
      <c r="M130" s="4" t="n">
        <v>11</v>
      </c>
      <c r="N130" s="5" t="n">
        <v>7454.5</v>
      </c>
      <c r="O130" s="3" t="inlineStr">
        <is>
          <t>청사와홈플인근 입지좋고 세컨하우스로 사용할수있는 모듈하우스</t>
        </is>
      </c>
      <c r="P130" s="6">
        <f>HYPERLINK("https://fin.land.naver.com/articles/2653841691", "매물Link")</f>
        <v/>
      </c>
      <c r="Q130" s="6">
        <f>HYPERLINK("https://map.naver.com/p/search/도담동 782", "지도Link")</f>
        <v/>
      </c>
      <c r="R130" s="6">
        <f>HYPERLINK("http://www.eum.go.kr/web/ar/lu/luLandDet.jsp?pnu=3611011400107820000&amp;isNoScr=script&amp;mode=search", "토지이음")</f>
        <v/>
      </c>
      <c r="S130" s="3" t="inlineStr">
        <is>
          <t>웅진스타</t>
        </is>
      </c>
      <c r="T130" s="4" t="n">
        <v>1</v>
      </c>
      <c r="U130" s="5" t="n">
        <v>391.1</v>
      </c>
      <c r="V130" s="4" t="n">
        <v>333.7</v>
      </c>
      <c r="W130" s="3" t="inlineStr">
        <is>
          <t>지정되지않음</t>
        </is>
      </c>
      <c r="X130" s="3" t="inlineStr">
        <is>
          <t>단독</t>
        </is>
      </c>
      <c r="Y130" s="3" t="inlineStr">
        <is>
          <t>평지</t>
        </is>
      </c>
      <c r="Z130" s="3" t="inlineStr">
        <is>
          <t>정방형</t>
        </is>
      </c>
      <c r="AA130" s="3" t="inlineStr">
        <is>
          <t>소로한면</t>
        </is>
      </c>
    </row>
    <row r="131">
      <c r="A131" s="3" t="inlineStr">
        <is>
          <t>도담동 795</t>
        </is>
      </c>
      <c r="B131" s="3" t="inlineStr">
        <is>
          <t>제1종전용주거지역</t>
        </is>
      </c>
      <c r="C131" s="3" t="inlineStr">
        <is>
          <t>대</t>
        </is>
      </c>
      <c r="D131" s="3" t="inlineStr">
        <is>
          <t>2</t>
        </is>
      </c>
      <c r="E131" s="3" t="inlineStr">
        <is>
          <t>단독</t>
        </is>
      </c>
      <c r="F131" s="3" t="inlineStr">
        <is>
          <t>매매</t>
        </is>
      </c>
      <c r="G131" s="4" t="n">
        <v>150000</v>
      </c>
      <c r="H131" s="4" t="n">
        <v>0</v>
      </c>
      <c r="I131" s="4" t="n">
        <v>316</v>
      </c>
      <c r="J131" s="4" t="n">
        <v>96</v>
      </c>
      <c r="K131" s="5" t="n">
        <v>1562.5</v>
      </c>
      <c r="L131" s="4" t="n">
        <v>145</v>
      </c>
      <c r="M131" s="4" t="n">
        <v>44</v>
      </c>
      <c r="N131" s="5" t="n">
        <v>3409.1</v>
      </c>
      <c r="O131" s="3" t="inlineStr">
        <is>
          <t>조율가능 즉시입주협의 홈플 늘봄초 BRT 도보</t>
        </is>
      </c>
      <c r="P131" s="6">
        <f>HYPERLINK("https://fin.land.naver.com/articles/2652441890", "매물Link")</f>
        <v/>
      </c>
      <c r="Q131" s="6">
        <f>HYPERLINK("https://map.naver.com/p/search/도담동 795", "지도Link")</f>
        <v/>
      </c>
      <c r="R131" s="6">
        <f>HYPERLINK("http://www.eum.go.kr/web/ar/lu/luLandDet.jsp?pnu=3611011400107950000&amp;isNoScr=script&amp;mode=search", "토지이음")</f>
        <v/>
      </c>
      <c r="S131" s="3" t="inlineStr">
        <is>
          <t>세종스타</t>
        </is>
      </c>
      <c r="T131" s="4" t="n">
        <v>1</v>
      </c>
      <c r="U131" s="5" t="n">
        <v>410.6</v>
      </c>
      <c r="V131" s="4" t="n">
        <v>316.5</v>
      </c>
      <c r="W131" s="3" t="inlineStr">
        <is>
          <t>지정되지않음</t>
        </is>
      </c>
      <c r="X131" s="3" t="inlineStr">
        <is>
          <t>단독</t>
        </is>
      </c>
      <c r="Y131" s="3" t="inlineStr">
        <is>
          <t>평지</t>
        </is>
      </c>
      <c r="Z131" s="3" t="inlineStr">
        <is>
          <t>정방형</t>
        </is>
      </c>
      <c r="AA131" s="3" t="inlineStr">
        <is>
          <t>소로각지</t>
        </is>
      </c>
    </row>
    <row r="132">
      <c r="A132" s="3" t="inlineStr">
        <is>
          <t>도담동 795</t>
        </is>
      </c>
      <c r="B132" s="3" t="inlineStr">
        <is>
          <t>제1종전용주거지역</t>
        </is>
      </c>
      <c r="C132" s="3" t="inlineStr">
        <is>
          <t>대</t>
        </is>
      </c>
      <c r="D132" s="3" t="inlineStr">
        <is>
          <t>2</t>
        </is>
      </c>
      <c r="E132" s="3" t="inlineStr">
        <is>
          <t>단독</t>
        </is>
      </c>
      <c r="F132" s="3" t="inlineStr">
        <is>
          <t>매매</t>
        </is>
      </c>
      <c r="G132" s="4" t="n">
        <v>150000</v>
      </c>
      <c r="H132" s="4" t="n">
        <v>0</v>
      </c>
      <c r="I132" s="4" t="n">
        <v>316</v>
      </c>
      <c r="J132" s="4" t="n">
        <v>96</v>
      </c>
      <c r="K132" s="5" t="n">
        <v>1562.5</v>
      </c>
      <c r="L132" s="4" t="n">
        <v>145</v>
      </c>
      <c r="M132" s="4" t="n">
        <v>44</v>
      </c>
      <c r="N132" s="5" t="n">
        <v>3409.1</v>
      </c>
      <c r="O132" s="3" t="inlineStr">
        <is>
          <t>도담동 예쁜 단독주택, 홈플과 충대병원 사이, 초등학교 유치원 인접</t>
        </is>
      </c>
      <c r="P132" s="6">
        <f>HYPERLINK("https://fin.land.naver.com/articles/2650962880", "매물Link")</f>
        <v/>
      </c>
      <c r="Q132" s="6">
        <f>HYPERLINK("https://map.naver.com/p/search/도담동 795", "지도Link")</f>
        <v/>
      </c>
      <c r="R132" s="6">
        <f>HYPERLINK("http://www.eum.go.kr/web/ar/lu/luLandDet.jsp?pnu=3611011400107950000&amp;isNoScr=script&amp;mode=search", "토지이음")</f>
        <v/>
      </c>
      <c r="S132" s="3" t="inlineStr">
        <is>
          <t>OK세종</t>
        </is>
      </c>
      <c r="T132" s="4" t="n">
        <v>1</v>
      </c>
      <c r="U132" s="5" t="n">
        <v>410.6</v>
      </c>
      <c r="V132" s="4" t="n">
        <v>316.5</v>
      </c>
      <c r="W132" s="3" t="inlineStr">
        <is>
          <t>지정되지않음</t>
        </is>
      </c>
      <c r="X132" s="3" t="inlineStr">
        <is>
          <t>단독</t>
        </is>
      </c>
      <c r="Y132" s="3" t="inlineStr">
        <is>
          <t>평지</t>
        </is>
      </c>
      <c r="Z132" s="3" t="inlineStr">
        <is>
          <t>정방형</t>
        </is>
      </c>
      <c r="AA132" s="3" t="inlineStr">
        <is>
          <t>소로각지</t>
        </is>
      </c>
    </row>
    <row r="133">
      <c r="A133" s="3" t="inlineStr">
        <is>
          <t>도담동 812</t>
        </is>
      </c>
      <c r="B133" s="3" t="inlineStr">
        <is>
          <t>제1종전용주거지역</t>
        </is>
      </c>
      <c r="C133" s="3" t="inlineStr">
        <is>
          <t>대</t>
        </is>
      </c>
      <c r="D133" s="3" t="inlineStr">
        <is>
          <t>1</t>
        </is>
      </c>
      <c r="E133" s="3" t="inlineStr">
        <is>
          <t>단독</t>
        </is>
      </c>
      <c r="F133" s="3" t="inlineStr">
        <is>
          <t>매매</t>
        </is>
      </c>
      <c r="G133" s="4" t="n">
        <v>101000</v>
      </c>
      <c r="H133" s="4" t="n">
        <v>0</v>
      </c>
      <c r="I133" s="4" t="n">
        <v>333</v>
      </c>
      <c r="J133" s="4" t="n">
        <v>101</v>
      </c>
      <c r="K133" s="5" t="n">
        <v>1000</v>
      </c>
      <c r="L133" s="4" t="n">
        <v>72</v>
      </c>
      <c r="M133" s="4" t="n">
        <v>22</v>
      </c>
      <c r="N133" s="5" t="n">
        <v>4590.9</v>
      </c>
      <c r="O133" s="3" t="inlineStr">
        <is>
          <t>도담동 위치 좋은 단독주택, 저렴하게 매수해서 세컨하우스로 이용하세요</t>
        </is>
      </c>
      <c r="P133" s="6">
        <f>HYPERLINK("https://fin.land.naver.com/articles/2653369461", "매물Link")</f>
        <v/>
      </c>
      <c r="Q133" s="6">
        <f>HYPERLINK("https://map.naver.com/p/search/도담동 812", "지도Link")</f>
        <v/>
      </c>
      <c r="R133" s="6">
        <f>HYPERLINK("http://www.eum.go.kr/web/ar/lu/luLandDet.jsp?pnu=3611011400108120000&amp;isNoScr=script&amp;mode=search", "토지이음")</f>
        <v/>
      </c>
      <c r="S133" s="3" t="inlineStr">
        <is>
          <t>OK세종 사무소</t>
        </is>
      </c>
      <c r="T133" s="4" t="n">
        <v>1</v>
      </c>
      <c r="U133" s="5" t="n">
        <v>391.1</v>
      </c>
      <c r="V133" s="4" t="n">
        <v>333.7</v>
      </c>
      <c r="W133" s="3" t="inlineStr">
        <is>
          <t>지정되지않음</t>
        </is>
      </c>
      <c r="X133" s="3" t="inlineStr">
        <is>
          <t>단독</t>
        </is>
      </c>
      <c r="Y133" s="3" t="inlineStr">
        <is>
          <t>평지</t>
        </is>
      </c>
      <c r="Z133" s="3" t="inlineStr">
        <is>
          <t>정방형</t>
        </is>
      </c>
      <c r="AA133" s="3" t="inlineStr">
        <is>
          <t>소로한면</t>
        </is>
      </c>
    </row>
    <row r="134">
      <c r="A134" s="3" t="inlineStr">
        <is>
          <t>도담동 882</t>
        </is>
      </c>
      <c r="B134" s="3" t="inlineStr">
        <is>
          <t>제1종전용주거지역</t>
        </is>
      </c>
      <c r="C134" s="3" t="inlineStr">
        <is>
          <t>대</t>
        </is>
      </c>
      <c r="D134" s="3" t="inlineStr">
        <is>
          <t>1</t>
        </is>
      </c>
      <c r="E134" s="3" t="inlineStr">
        <is>
          <t>단독</t>
        </is>
      </c>
      <c r="F134" s="3" t="inlineStr">
        <is>
          <t>매매</t>
        </is>
      </c>
      <c r="G134" s="4" t="n">
        <v>125000</v>
      </c>
      <c r="H134" s="4" t="n">
        <v>0</v>
      </c>
      <c r="I134" s="4" t="n">
        <v>314</v>
      </c>
      <c r="J134" s="4" t="n">
        <v>95</v>
      </c>
      <c r="K134" s="5" t="n">
        <v>1315.8</v>
      </c>
      <c r="L134" s="4" t="n">
        <v>64</v>
      </c>
      <c r="M134" s="4" t="n">
        <v>19</v>
      </c>
      <c r="N134" s="5" t="n">
        <v>6578.9</v>
      </c>
      <c r="O134" s="3" t="inlineStr">
        <is>
          <t>조율가능 가장안쪽 최고위치 철거용이 모듈러주택</t>
        </is>
      </c>
      <c r="P134" s="6">
        <f>HYPERLINK("https://fin.land.naver.com/articles/2651086986", "매물Link")</f>
        <v/>
      </c>
      <c r="Q134" s="6">
        <f>HYPERLINK("https://map.naver.com/p/search/도담동 882", "지도Link")</f>
        <v/>
      </c>
      <c r="R134" s="6">
        <f>HYPERLINK("http://www.eum.go.kr/web/ar/lu/luLandDet.jsp?pnu=3611011400108820000&amp;isNoScr=script&amp;mode=search", "토지이음")</f>
        <v/>
      </c>
      <c r="S134" s="3" t="inlineStr">
        <is>
          <t>세종스타</t>
        </is>
      </c>
      <c r="T134" s="4" t="n">
        <v>1</v>
      </c>
      <c r="U134" s="5" t="n">
        <v>390.1</v>
      </c>
      <c r="V134" s="4" t="n">
        <v>314</v>
      </c>
      <c r="W134" s="3" t="inlineStr">
        <is>
          <t>지정되지않음</t>
        </is>
      </c>
      <c r="X134" s="3" t="inlineStr">
        <is>
          <t>단독</t>
        </is>
      </c>
      <c r="Y134" s="3" t="inlineStr">
        <is>
          <t>평지</t>
        </is>
      </c>
      <c r="Z134" s="3" t="inlineStr">
        <is>
          <t>사다리형</t>
        </is>
      </c>
      <c r="AA134" s="3" t="inlineStr">
        <is>
          <t>소로한면</t>
        </is>
      </c>
    </row>
    <row r="135">
      <c r="A135" s="3" t="inlineStr">
        <is>
          <t>도담동 897-44</t>
        </is>
      </c>
      <c r="B135" s="3" t="inlineStr">
        <is>
          <t>제1종전용주거지역</t>
        </is>
      </c>
      <c r="C135" s="3" t="inlineStr">
        <is>
          <t>대</t>
        </is>
      </c>
      <c r="D135" s="3" t="inlineStr">
        <is>
          <t>2</t>
        </is>
      </c>
      <c r="E135" s="3" t="inlineStr">
        <is>
          <t>단독</t>
        </is>
      </c>
      <c r="F135" s="3" t="inlineStr">
        <is>
          <t>매매</t>
        </is>
      </c>
      <c r="G135" s="4" t="n">
        <v>230000</v>
      </c>
      <c r="H135" s="4" t="n">
        <v>0</v>
      </c>
      <c r="I135" s="4" t="n">
        <v>400</v>
      </c>
      <c r="J135" s="4" t="n">
        <v>121</v>
      </c>
      <c r="K135" s="5" t="n">
        <v>1900.8</v>
      </c>
      <c r="L135" s="4" t="n">
        <v>245</v>
      </c>
      <c r="M135" s="4" t="n">
        <v>74</v>
      </c>
      <c r="N135" s="5" t="n">
        <v>3108.1</v>
      </c>
      <c r="O135" s="3" t="inlineStr">
        <is>
          <t>명품 타운하우스 트로아힐스 맨앞라인 ㄷ자형</t>
        </is>
      </c>
      <c r="P135" s="6">
        <f>HYPERLINK("https://fin.land.naver.com/articles/2652288526", "매물Link")</f>
        <v/>
      </c>
      <c r="Q135" s="6">
        <f>HYPERLINK("https://map.naver.com/p/search/도담동 897-44", "지도Link")</f>
        <v/>
      </c>
      <c r="R135" s="6">
        <f>HYPERLINK("http://www.eum.go.kr/web/ar/lu/luLandDet.jsp?pnu=3611011400108970044&amp;isNoScr=script&amp;mode=search", "토지이음")</f>
        <v/>
      </c>
      <c r="S135" s="3" t="inlineStr">
        <is>
          <t>세종스타</t>
        </is>
      </c>
      <c r="T135" s="4" t="n">
        <v>2</v>
      </c>
      <c r="U135" s="5" t="n">
        <v>385.1</v>
      </c>
      <c r="V135" s="4" t="n">
        <v>400</v>
      </c>
      <c r="W135" s="3" t="inlineStr">
        <is>
          <t>지정되지않음</t>
        </is>
      </c>
      <c r="X135" s="3" t="inlineStr">
        <is>
          <t>단독</t>
        </is>
      </c>
      <c r="Y135" s="3" t="inlineStr">
        <is>
          <t>평지</t>
        </is>
      </c>
      <c r="Z135" s="3" t="inlineStr">
        <is>
          <t>세로장방</t>
        </is>
      </c>
      <c r="AA135" s="3" t="inlineStr">
        <is>
          <t>중로한면</t>
        </is>
      </c>
    </row>
    <row r="136">
      <c r="A136" s="3" t="inlineStr">
        <is>
          <t>반곡동 1047</t>
        </is>
      </c>
      <c r="B136" s="3" t="inlineStr">
        <is>
          <t>제1종전용주거지역</t>
        </is>
      </c>
      <c r="C136" s="3" t="inlineStr">
        <is>
          <t>대</t>
        </is>
      </c>
      <c r="D136" s="3" t="inlineStr">
        <is>
          <t>2</t>
        </is>
      </c>
      <c r="E136" s="3" t="inlineStr">
        <is>
          <t>단독</t>
        </is>
      </c>
      <c r="F136" s="3" t="inlineStr">
        <is>
          <t>매매</t>
        </is>
      </c>
      <c r="G136" s="4" t="n">
        <v>230000</v>
      </c>
      <c r="H136" s="4" t="n">
        <v>0</v>
      </c>
      <c r="I136" s="4" t="n">
        <v>649</v>
      </c>
      <c r="J136" s="4" t="n">
        <v>196</v>
      </c>
      <c r="K136" s="5" t="n">
        <v>1173.5</v>
      </c>
      <c r="L136" s="4" t="n">
        <v>329</v>
      </c>
      <c r="M136" s="4" t="n">
        <v>100</v>
      </c>
      <c r="N136" s="5" t="n">
        <v>2300</v>
      </c>
      <c r="O136" s="3" t="inlineStr">
        <is>
          <t>nan</t>
        </is>
      </c>
      <c r="P136" s="6">
        <f>HYPERLINK("https://fin.land.naver.com/articles/2652769528", "매물Link")</f>
        <v/>
      </c>
      <c r="Q136" s="6">
        <f>HYPERLINK("https://map.naver.com/p/search/반곡동 1047", "지도Link")</f>
        <v/>
      </c>
      <c r="R136" s="6">
        <f>HYPERLINK("http://www.eum.go.kr/web/ar/lu/luLandDet.jsp?pnu=3611010100110470000&amp;isNoScr=script&amp;mode=search", "토지이음")</f>
        <v/>
      </c>
      <c r="S136" s="3" t="inlineStr">
        <is>
          <t>세종로또</t>
        </is>
      </c>
      <c r="T136" s="4" t="n">
        <v>1</v>
      </c>
      <c r="U136" s="5" t="n">
        <v>299.2</v>
      </c>
      <c r="V136" s="4" t="n">
        <v>649.4</v>
      </c>
      <c r="W136" s="3" t="inlineStr">
        <is>
          <t>지정되지않음</t>
        </is>
      </c>
      <c r="X136" s="3" t="inlineStr">
        <is>
          <t>단독</t>
        </is>
      </c>
      <c r="Y136" s="3" t="inlineStr">
        <is>
          <t>평지</t>
        </is>
      </c>
      <c r="Z136" s="3" t="inlineStr">
        <is>
          <t>사다리형</t>
        </is>
      </c>
      <c r="AA136" s="3" t="inlineStr">
        <is>
          <t>소로한면</t>
        </is>
      </c>
    </row>
    <row r="137">
      <c r="A137" s="3" t="inlineStr">
        <is>
          <t>반곡동 987</t>
        </is>
      </c>
      <c r="B137" s="3" t="inlineStr">
        <is>
          <t>제1종전용주거지역</t>
        </is>
      </c>
      <c r="C137" s="3" t="inlineStr">
        <is>
          <t>대</t>
        </is>
      </c>
      <c r="D137" s="3" t="inlineStr">
        <is>
          <t>1</t>
        </is>
      </c>
      <c r="E137" s="3" t="inlineStr">
        <is>
          <t>단독</t>
        </is>
      </c>
      <c r="F137" s="3" t="inlineStr">
        <is>
          <t>매매</t>
        </is>
      </c>
      <c r="G137" s="4" t="n">
        <v>200000</v>
      </c>
      <c r="H137" s="4" t="n">
        <v>0</v>
      </c>
      <c r="I137" s="4" t="n">
        <v>404</v>
      </c>
      <c r="J137" s="4" t="n">
        <v>122</v>
      </c>
      <c r="K137" s="5" t="n">
        <v>1639.3</v>
      </c>
      <c r="L137" s="4" t="n">
        <v>59</v>
      </c>
      <c r="M137" s="4" t="n">
        <v>18</v>
      </c>
      <c r="N137" s="5" t="n">
        <v>11111.1</v>
      </c>
      <c r="O137" s="3" t="inlineStr">
        <is>
          <t>I 신한 I 국회의사당 호재,교통,초품아인 고급 단독주택 강력 추천</t>
        </is>
      </c>
      <c r="P137" s="6">
        <f>HYPERLINK("https://fin.land.naver.com/articles/2650184851", "매물Link")</f>
        <v/>
      </c>
      <c r="Q137" s="6">
        <f>HYPERLINK("https://map.naver.com/p/search/반곡동 987", "지도Link")</f>
        <v/>
      </c>
      <c r="R137" s="6">
        <f>HYPERLINK("http://www.eum.go.kr/web/ar/lu/luLandDet.jsp?pnu=3611010100109870000&amp;isNoScr=script&amp;mode=search", "토지이음")</f>
        <v/>
      </c>
      <c r="S137" s="3" t="inlineStr">
        <is>
          <t>세종신한</t>
        </is>
      </c>
      <c r="T137" s="4" t="n">
        <v>1</v>
      </c>
      <c r="U137" s="5" t="n">
        <v>262.3</v>
      </c>
      <c r="V137" s="4" t="n">
        <v>404.8</v>
      </c>
      <c r="W137" s="3" t="inlineStr">
        <is>
          <t>지정되지않음</t>
        </is>
      </c>
      <c r="X137" s="3" t="inlineStr">
        <is>
          <t>주거나지</t>
        </is>
      </c>
      <c r="Y137" s="3" t="inlineStr">
        <is>
          <t>평지</t>
        </is>
      </c>
      <c r="Z137" s="3" t="inlineStr">
        <is>
          <t>사다리형</t>
        </is>
      </c>
      <c r="AA137" s="3" t="inlineStr">
        <is>
          <t>소로한면</t>
        </is>
      </c>
    </row>
    <row r="138">
      <c r="A138" s="3" t="inlineStr">
        <is>
          <t>부강면 금호리 234-5</t>
        </is>
      </c>
      <c r="B138" s="3" t="inlineStr">
        <is>
          <t>계획관리지역</t>
        </is>
      </c>
      <c r="C138" s="3" t="inlineStr">
        <is>
          <t>대</t>
        </is>
      </c>
      <c r="D138" s="3" t="inlineStr">
        <is>
          <t>1</t>
        </is>
      </c>
      <c r="E138" s="3" t="inlineStr">
        <is>
          <t>단독</t>
        </is>
      </c>
      <c r="F138" s="3" t="inlineStr">
        <is>
          <t>매매</t>
        </is>
      </c>
      <c r="G138" s="4" t="n">
        <v>120000</v>
      </c>
      <c r="H138" s="4" t="n">
        <v>0</v>
      </c>
      <c r="I138" s="4" t="n">
        <v>939</v>
      </c>
      <c r="J138" s="4" t="n">
        <v>284</v>
      </c>
      <c r="K138" s="5" t="n">
        <v>422.5</v>
      </c>
      <c r="L138" s="4" t="n">
        <v>108</v>
      </c>
      <c r="M138" s="4" t="n">
        <v>33</v>
      </c>
      <c r="N138" s="5" t="n">
        <v>3636.4</v>
      </c>
      <c r="O138" s="3" t="inlineStr">
        <is>
          <t>카페운영 넓은정원카페와 넓은 주차장 세종시4생활권 진출입용이</t>
        </is>
      </c>
      <c r="P138" s="6">
        <f>HYPERLINK("https://fin.land.naver.com/articles/2650542038", "매물Link")</f>
        <v/>
      </c>
      <c r="Q138" s="6">
        <f>HYPERLINK("https://map.naver.com/p/search/부강면 금호리 234-5", "지도Link")</f>
        <v/>
      </c>
      <c r="R138" s="6">
        <f>HYPERLINK("http://www.eum.go.kr/web/ar/lu/luLandDet.jsp?pnu=3611033028102340005&amp;isNoScr=script&amp;mode=search", "토지이음")</f>
        <v/>
      </c>
      <c r="S138" s="3" t="inlineStr">
        <is>
          <t>한얼</t>
        </is>
      </c>
      <c r="T138" s="4" t="n">
        <v>1</v>
      </c>
      <c r="U138" s="5" t="n">
        <v>89.90000000000001</v>
      </c>
      <c r="V138" s="4" t="n">
        <v>939</v>
      </c>
      <c r="W138" s="3" t="inlineStr">
        <is>
          <t>지정되지않음</t>
        </is>
      </c>
      <c r="X138" s="3" t="inlineStr">
        <is>
          <t>주거기타</t>
        </is>
      </c>
      <c r="Y138" s="3" t="inlineStr">
        <is>
          <t>평지</t>
        </is>
      </c>
      <c r="Z138" s="3" t="inlineStr">
        <is>
          <t>사다리형</t>
        </is>
      </c>
      <c r="AA138" s="3" t="inlineStr">
        <is>
          <t>세로한면(가)</t>
        </is>
      </c>
    </row>
    <row r="139">
      <c r="A139" s="3" t="inlineStr">
        <is>
          <t>부강면 금호리 372-1</t>
        </is>
      </c>
      <c r="B139" s="3" t="inlineStr">
        <is>
          <t>계획관리지역</t>
        </is>
      </c>
      <c r="C139" s="3" t="inlineStr">
        <is>
          <t>대</t>
        </is>
      </c>
      <c r="D139" s="3" t="inlineStr">
        <is>
          <t>1</t>
        </is>
      </c>
      <c r="E139" s="3" t="inlineStr">
        <is>
          <t>전원주택</t>
        </is>
      </c>
      <c r="F139" s="3" t="inlineStr">
        <is>
          <t>매매</t>
        </is>
      </c>
      <c r="G139" s="4" t="n">
        <v>12500</v>
      </c>
      <c r="H139" s="4" t="n">
        <v>0</v>
      </c>
      <c r="I139" s="4" t="n">
        <v>205</v>
      </c>
      <c r="J139" s="4" t="n">
        <v>62</v>
      </c>
      <c r="K139" s="5" t="n">
        <v>201.6</v>
      </c>
      <c r="L139" s="4" t="n">
        <v>30</v>
      </c>
      <c r="M139" s="4" t="n">
        <v>9</v>
      </c>
      <c r="N139" s="5" t="n">
        <v>1388.9</v>
      </c>
      <c r="O139" s="3" t="inlineStr">
        <is>
          <t>탁트인 남향 금강변 소형단독주택지 리모델링 즉시입주</t>
        </is>
      </c>
      <c r="P139" s="6">
        <f>HYPERLINK("https://fin.land.naver.com/articles/2651072599", "매물Link")</f>
        <v/>
      </c>
      <c r="Q139" s="6">
        <f>HYPERLINK("https://map.naver.com/p/search/부강면 금호리 372-1", "지도Link")</f>
        <v/>
      </c>
      <c r="R139" s="6">
        <f>HYPERLINK("http://www.eum.go.kr/web/ar/lu/luLandDet.jsp?pnu=3611033028103720001&amp;isNoScr=script&amp;mode=search", "토지이음")</f>
        <v/>
      </c>
      <c r="S139" s="3" t="inlineStr">
        <is>
          <t>큰터</t>
        </is>
      </c>
      <c r="T139" s="4" t="n">
        <v>1</v>
      </c>
      <c r="U139" s="5" t="n">
        <v>75.09999999999999</v>
      </c>
      <c r="V139" s="4" t="n">
        <v>205</v>
      </c>
      <c r="W139" s="3" t="inlineStr">
        <is>
          <t>지정되지않음</t>
        </is>
      </c>
      <c r="X139" s="3" t="inlineStr">
        <is>
          <t>단독</t>
        </is>
      </c>
      <c r="Y139" s="3" t="inlineStr">
        <is>
          <t>평지</t>
        </is>
      </c>
      <c r="Z139" s="3" t="inlineStr">
        <is>
          <t>부정형</t>
        </is>
      </c>
      <c r="AA139" s="3" t="inlineStr">
        <is>
          <t>세로한면(가)</t>
        </is>
      </c>
    </row>
    <row r="140">
      <c r="A140" s="3" t="inlineStr">
        <is>
          <t>부강면 금호리 390-8</t>
        </is>
      </c>
      <c r="B140" s="3" t="inlineStr">
        <is>
          <t>계획관리지역</t>
        </is>
      </c>
      <c r="C140" s="3" t="inlineStr">
        <is>
          <t>대</t>
        </is>
      </c>
      <c r="D140" s="3" t="inlineStr">
        <is>
          <t>2</t>
        </is>
      </c>
      <c r="E140" s="3" t="inlineStr">
        <is>
          <t>전원주택</t>
        </is>
      </c>
      <c r="F140" s="3" t="inlineStr">
        <is>
          <t>매매</t>
        </is>
      </c>
      <c r="G140" s="4" t="n">
        <v>55000</v>
      </c>
      <c r="H140" s="4" t="n">
        <v>0</v>
      </c>
      <c r="I140" s="4" t="n">
        <v>448</v>
      </c>
      <c r="J140" s="4" t="n">
        <v>136</v>
      </c>
      <c r="K140" s="5" t="n">
        <v>404.4</v>
      </c>
      <c r="L140" s="4" t="n">
        <v>142</v>
      </c>
      <c r="M140" s="4" t="n">
        <v>43</v>
      </c>
      <c r="N140" s="5" t="n">
        <v>1279.1</v>
      </c>
      <c r="O140" s="3" t="inlineStr">
        <is>
          <t>탁트인 전망 별장같은 멋진주택</t>
        </is>
      </c>
      <c r="P140" s="6">
        <f>HYPERLINK("https://fin.land.naver.com/articles/2654261184", "매물Link")</f>
        <v/>
      </c>
      <c r="Q140" s="6">
        <f>HYPERLINK("https://map.naver.com/p/search/부강면 금호리 390-8", "지도Link")</f>
        <v/>
      </c>
      <c r="R140" s="6">
        <f>HYPERLINK("http://www.eum.go.kr/web/ar/lu/luLandDet.jsp?pnu=3611033028103900008&amp;isNoScr=script&amp;mode=search", "토지이음")</f>
        <v/>
      </c>
      <c r="S140" s="3" t="inlineStr">
        <is>
          <t>학사</t>
        </is>
      </c>
      <c r="T140" s="4" t="n">
        <v>1</v>
      </c>
      <c r="U140" s="5" t="n">
        <v>80.7</v>
      </c>
      <c r="V140" s="4" t="n">
        <v>448</v>
      </c>
      <c r="W140" s="3" t="inlineStr">
        <is>
          <t>지정되지않음</t>
        </is>
      </c>
      <c r="X140" s="3" t="inlineStr">
        <is>
          <t>단독</t>
        </is>
      </c>
      <c r="Y140" s="3" t="inlineStr">
        <is>
          <t>평지</t>
        </is>
      </c>
      <c r="Z140" s="3" t="inlineStr">
        <is>
          <t>사다리형</t>
        </is>
      </c>
      <c r="AA140" s="3" t="inlineStr">
        <is>
          <t>세로한면(가)</t>
        </is>
      </c>
    </row>
    <row r="141">
      <c r="A141" s="3" t="inlineStr">
        <is>
          <t>부강면 금호리 390-8</t>
        </is>
      </c>
      <c r="B141" s="3" t="inlineStr">
        <is>
          <t>계획관리지역</t>
        </is>
      </c>
      <c r="C141" s="3" t="inlineStr">
        <is>
          <t>대</t>
        </is>
      </c>
      <c r="D141" s="3" t="inlineStr">
        <is>
          <t>2</t>
        </is>
      </c>
      <c r="E141" s="3" t="inlineStr">
        <is>
          <t>전원주택</t>
        </is>
      </c>
      <c r="F141" s="3" t="inlineStr">
        <is>
          <t>매매</t>
        </is>
      </c>
      <c r="G141" s="4" t="n">
        <v>55000</v>
      </c>
      <c r="H141" s="4" t="n">
        <v>0</v>
      </c>
      <c r="I141" s="4" t="n">
        <v>448</v>
      </c>
      <c r="J141" s="4" t="n">
        <v>136</v>
      </c>
      <c r="K141" s="5" t="n">
        <v>404.4</v>
      </c>
      <c r="L141" s="4" t="n">
        <v>142</v>
      </c>
      <c r="M141" s="4" t="n">
        <v>43</v>
      </c>
      <c r="N141" s="5" t="n">
        <v>1279.1</v>
      </c>
      <c r="O141" s="3" t="inlineStr">
        <is>
          <t>금강변  복층전원주택(관리 최상)</t>
        </is>
      </c>
      <c r="P141" s="6">
        <f>HYPERLINK("https://fin.land.naver.com/articles/2653362510", "매물Link")</f>
        <v/>
      </c>
      <c r="Q141" s="6">
        <f>HYPERLINK("https://map.naver.com/p/search/부강면 금호리 390-8", "지도Link")</f>
        <v/>
      </c>
      <c r="R141" s="6">
        <f>HYPERLINK("http://www.eum.go.kr/web/ar/lu/luLandDet.jsp?pnu=3611033028103900008&amp;isNoScr=script&amp;mode=search", "토지이음")</f>
        <v/>
      </c>
      <c r="S141" s="3" t="inlineStr">
        <is>
          <t>이레</t>
        </is>
      </c>
      <c r="T141" s="4" t="n">
        <v>1</v>
      </c>
      <c r="U141" s="5" t="n">
        <v>80.7</v>
      </c>
      <c r="V141" s="4" t="n">
        <v>448</v>
      </c>
      <c r="W141" s="3" t="inlineStr">
        <is>
          <t>지정되지않음</t>
        </is>
      </c>
      <c r="X141" s="3" t="inlineStr">
        <is>
          <t>단독</t>
        </is>
      </c>
      <c r="Y141" s="3" t="inlineStr">
        <is>
          <t>평지</t>
        </is>
      </c>
      <c r="Z141" s="3" t="inlineStr">
        <is>
          <t>사다리형</t>
        </is>
      </c>
      <c r="AA141" s="3" t="inlineStr">
        <is>
          <t>세로한면(가)</t>
        </is>
      </c>
    </row>
    <row r="142">
      <c r="A142" s="3" t="inlineStr">
        <is>
          <t>부강면 금호리 390-8</t>
        </is>
      </c>
      <c r="B142" s="3" t="inlineStr">
        <is>
          <t>계획관리지역</t>
        </is>
      </c>
      <c r="C142" s="3" t="inlineStr">
        <is>
          <t>대</t>
        </is>
      </c>
      <c r="D142" s="3" t="inlineStr">
        <is>
          <t>2</t>
        </is>
      </c>
      <c r="E142" s="3" t="inlineStr">
        <is>
          <t>단독</t>
        </is>
      </c>
      <c r="F142" s="3" t="inlineStr">
        <is>
          <t>매매</t>
        </is>
      </c>
      <c r="G142" s="4" t="n">
        <v>55000</v>
      </c>
      <c r="H142" s="4" t="n">
        <v>0</v>
      </c>
      <c r="I142" s="4" t="n">
        <v>448</v>
      </c>
      <c r="J142" s="4" t="n">
        <v>136</v>
      </c>
      <c r="K142" s="5" t="n">
        <v>404.4</v>
      </c>
      <c r="L142" s="4" t="n">
        <v>142</v>
      </c>
      <c r="M142" s="4" t="n">
        <v>43</v>
      </c>
      <c r="N142" s="5" t="n">
        <v>1279.1</v>
      </c>
      <c r="O142" s="3" t="inlineStr">
        <is>
          <t>금강뷰가 멋진 단독주택입니다, 전원생활 가능</t>
        </is>
      </c>
      <c r="P142" s="6">
        <f>HYPERLINK("https://fin.land.naver.com/articles/2651728598", "매물Link")</f>
        <v/>
      </c>
      <c r="Q142" s="6">
        <f>HYPERLINK("https://map.naver.com/p/search/부강면 금호리 390-8", "지도Link")</f>
        <v/>
      </c>
      <c r="R142" s="6">
        <f>HYPERLINK("http://www.eum.go.kr/web/ar/lu/luLandDet.jsp?pnu=3611033028103900008&amp;isNoScr=script&amp;mode=search", "토지이음")</f>
        <v/>
      </c>
      <c r="S142" s="3" t="inlineStr">
        <is>
          <t>제이</t>
        </is>
      </c>
      <c r="T142" s="4" t="n">
        <v>2</v>
      </c>
      <c r="U142" s="5" t="n">
        <v>80.7</v>
      </c>
      <c r="V142" s="4" t="n">
        <v>448</v>
      </c>
      <c r="W142" s="3" t="inlineStr">
        <is>
          <t>지정되지않음</t>
        </is>
      </c>
      <c r="X142" s="3" t="inlineStr">
        <is>
          <t>단독</t>
        </is>
      </c>
      <c r="Y142" s="3" t="inlineStr">
        <is>
          <t>평지</t>
        </is>
      </c>
      <c r="Z142" s="3" t="inlineStr">
        <is>
          <t>사다리형</t>
        </is>
      </c>
      <c r="AA142" s="3" t="inlineStr">
        <is>
          <t>세로한면(가)</t>
        </is>
      </c>
    </row>
    <row r="143">
      <c r="A143" s="3" t="inlineStr">
        <is>
          <t>부강면 금호리 613</t>
        </is>
      </c>
      <c r="B143" s="3" t="inlineStr">
        <is>
          <t>계획관리지역</t>
        </is>
      </c>
      <c r="C143" s="3" t="inlineStr">
        <is>
          <t>대</t>
        </is>
      </c>
      <c r="D143" s="3" t="inlineStr">
        <is>
          <t>1</t>
        </is>
      </c>
      <c r="E143" s="3" t="inlineStr">
        <is>
          <t>단독</t>
        </is>
      </c>
      <c r="F143" s="3" t="inlineStr">
        <is>
          <t>매매</t>
        </is>
      </c>
      <c r="G143" s="4" t="n">
        <v>55000</v>
      </c>
      <c r="H143" s="4" t="n">
        <v>0</v>
      </c>
      <c r="I143" s="4" t="n">
        <v>679</v>
      </c>
      <c r="J143" s="4" t="n">
        <v>205</v>
      </c>
      <c r="K143" s="5" t="n">
        <v>268.3</v>
      </c>
      <c r="L143" s="4" t="n">
        <v>92</v>
      </c>
      <c r="M143" s="4" t="n">
        <v>28</v>
      </c>
      <c r="N143" s="5" t="n">
        <v>1964.3</v>
      </c>
      <c r="O143" s="3" t="inlineStr">
        <is>
          <t>행복도시4생활권 인접, 부강산업단지에 근접한 주택으로 상태 좋음</t>
        </is>
      </c>
      <c r="P143" s="6">
        <f>HYPERLINK("https://fin.land.naver.com/articles/2651169911", "매물Link")</f>
        <v/>
      </c>
      <c r="Q143" s="6">
        <f>HYPERLINK("https://map.naver.com/p/search/부강면 금호리 613", "지도Link")</f>
        <v/>
      </c>
      <c r="R143" s="6">
        <f>HYPERLINK("http://www.eum.go.kr/web/ar/lu/luLandDet.jsp?pnu=3611033028106130000&amp;isNoScr=script&amp;mode=search", "토지이음")</f>
        <v/>
      </c>
      <c r="S143" s="3" t="inlineStr">
        <is>
          <t>드림</t>
        </is>
      </c>
      <c r="T143" s="4" t="n">
        <v>1</v>
      </c>
      <c r="U143" s="5" t="n">
        <v>88</v>
      </c>
      <c r="V143" s="4" t="n">
        <v>679</v>
      </c>
      <c r="W143" s="3" t="inlineStr">
        <is>
          <t>지정되지않음</t>
        </is>
      </c>
      <c r="X143" s="3" t="inlineStr">
        <is>
          <t>단독</t>
        </is>
      </c>
      <c r="Y143" s="3" t="inlineStr">
        <is>
          <t>평지</t>
        </is>
      </c>
      <c r="Z143" s="3" t="inlineStr">
        <is>
          <t>부정형</t>
        </is>
      </c>
      <c r="AA143" s="3" t="inlineStr">
        <is>
          <t>세로한면(가)</t>
        </is>
      </c>
    </row>
    <row r="144">
      <c r="A144" s="3" t="inlineStr">
        <is>
          <t>부강면 금호리 712-16</t>
        </is>
      </c>
      <c r="B144" s="3" t="inlineStr">
        <is>
          <t>계획관리지역</t>
        </is>
      </c>
      <c r="C144" s="3" t="inlineStr">
        <is>
          <t>대</t>
        </is>
      </c>
      <c r="D144" s="3" t="inlineStr">
        <is>
          <t>1</t>
        </is>
      </c>
      <c r="E144" s="3" t="inlineStr">
        <is>
          <t>단독</t>
        </is>
      </c>
      <c r="F144" s="3" t="inlineStr">
        <is>
          <t>매매</t>
        </is>
      </c>
      <c r="G144" s="4" t="n">
        <v>35000</v>
      </c>
      <c r="H144" s="4" t="n">
        <v>0</v>
      </c>
      <c r="I144" s="4" t="n">
        <v>379</v>
      </c>
      <c r="J144" s="4" t="n">
        <v>115</v>
      </c>
      <c r="K144" s="5" t="n">
        <v>304.3</v>
      </c>
      <c r="L144" s="4" t="n">
        <v>71</v>
      </c>
      <c r="M144" s="4" t="n">
        <v>21</v>
      </c>
      <c r="N144" s="5" t="n">
        <v>1666.7</v>
      </c>
      <c r="O144" s="3" t="inlineStr">
        <is>
          <t>흙벽돌구조 1층 주택매매, 창고별도있음</t>
        </is>
      </c>
      <c r="P144" s="6">
        <f>HYPERLINK("https://fin.land.naver.com/articles/2650428762", "매물Link")</f>
        <v/>
      </c>
      <c r="Q144" s="6">
        <f>HYPERLINK("https://map.naver.com/p/search/부강면 금호리 712-16", "지도Link")</f>
        <v/>
      </c>
      <c r="R144" s="6">
        <f>HYPERLINK("http://www.eum.go.kr/web/ar/lu/luLandDet.jsp?pnu=3611033028107120016&amp;isNoScr=script&amp;mode=search", "토지이음")</f>
        <v/>
      </c>
      <c r="S144" s="3" t="inlineStr">
        <is>
          <t>세종무지개</t>
        </is>
      </c>
      <c r="T144" s="4" t="n">
        <v>1</v>
      </c>
      <c r="U144" s="5" t="n">
        <v>94.5</v>
      </c>
      <c r="V144" s="4" t="n">
        <v>379</v>
      </c>
      <c r="W144" s="3" t="inlineStr">
        <is>
          <t>지정되지않음</t>
        </is>
      </c>
      <c r="X144" s="3" t="inlineStr">
        <is>
          <t>단독</t>
        </is>
      </c>
      <c r="Y144" s="3" t="inlineStr">
        <is>
          <t>평지</t>
        </is>
      </c>
      <c r="Z144" s="3" t="inlineStr">
        <is>
          <t>사다리형</t>
        </is>
      </c>
      <c r="AA144" s="3" t="inlineStr">
        <is>
          <t>세로한면(가)</t>
        </is>
      </c>
    </row>
    <row r="145">
      <c r="A145" s="3" t="inlineStr">
        <is>
          <t>부강면 노호리 307</t>
        </is>
      </c>
      <c r="B145" s="3" t="inlineStr">
        <is>
          <t>계획관리지역</t>
        </is>
      </c>
      <c r="C145" s="3" t="inlineStr">
        <is>
          <t>대</t>
        </is>
      </c>
      <c r="D145" s="3" t="inlineStr">
        <is>
          <t>1</t>
        </is>
      </c>
      <c r="E145" s="3" t="inlineStr">
        <is>
          <t>단독</t>
        </is>
      </c>
      <c r="F145" s="3" t="inlineStr">
        <is>
          <t>매매</t>
        </is>
      </c>
      <c r="G145" s="4" t="n">
        <v>60000</v>
      </c>
      <c r="H145" s="4" t="n">
        <v>0</v>
      </c>
      <c r="I145" s="4" t="n">
        <v>340</v>
      </c>
      <c r="J145" s="4" t="n">
        <v>103</v>
      </c>
      <c r="K145" s="5" t="n">
        <v>582.5</v>
      </c>
      <c r="L145" s="4" t="n">
        <v>90</v>
      </c>
      <c r="M145" s="4" t="n">
        <v>27</v>
      </c>
      <c r="N145" s="5" t="n">
        <v>2222.2</v>
      </c>
      <c r="O145" s="3" t="inlineStr">
        <is>
          <t>nan</t>
        </is>
      </c>
      <c r="P145" s="6">
        <f>HYPERLINK("https://fin.land.naver.com/articles/2653120425", "매물Link")</f>
        <v/>
      </c>
      <c r="Q145" s="6">
        <f>HYPERLINK("https://map.naver.com/p/search/부강면 노호리 307", "지도Link")</f>
        <v/>
      </c>
      <c r="R145" s="6">
        <f>HYPERLINK("http://www.eum.go.kr/web/ar/lu/luLandDet.jsp?pnu=3611033027103070000&amp;isNoScr=script&amp;mode=search", "토지이음")</f>
        <v/>
      </c>
      <c r="S145" s="3" t="inlineStr">
        <is>
          <t>좋은</t>
        </is>
      </c>
      <c r="T145" s="4" t="n">
        <v>1</v>
      </c>
      <c r="U145" s="5" t="n">
        <v>40.6</v>
      </c>
      <c r="V145" s="4" t="n">
        <v>340</v>
      </c>
      <c r="W145" s="3" t="inlineStr">
        <is>
          <t>지정되지않음</t>
        </is>
      </c>
      <c r="X145" s="3" t="inlineStr">
        <is>
          <t>단독</t>
        </is>
      </c>
      <c r="Y145" s="3" t="inlineStr">
        <is>
          <t>완경사</t>
        </is>
      </c>
      <c r="Z145" s="3" t="inlineStr">
        <is>
          <t>자루형</t>
        </is>
      </c>
      <c r="AA145" s="3" t="inlineStr">
        <is>
          <t>세로한면(가)</t>
        </is>
      </c>
    </row>
    <row r="146">
      <c r="A146" s="3" t="inlineStr">
        <is>
          <t>부강면 노호리 354</t>
        </is>
      </c>
      <c r="B146" s="3" t="inlineStr">
        <is>
          <t>계획관리지역</t>
        </is>
      </c>
      <c r="C146" s="3" t="inlineStr">
        <is>
          <t>대</t>
        </is>
      </c>
      <c r="D146" s="3" t="inlineStr">
        <is>
          <t>1</t>
        </is>
      </c>
      <c r="E146" s="3" t="inlineStr">
        <is>
          <t>단독</t>
        </is>
      </c>
      <c r="F146" s="3" t="inlineStr">
        <is>
          <t>매매</t>
        </is>
      </c>
      <c r="G146" s="4" t="n">
        <v>65000</v>
      </c>
      <c r="H146" s="4" t="n">
        <v>0</v>
      </c>
      <c r="I146" s="4" t="n">
        <v>1785</v>
      </c>
      <c r="J146" s="4" t="n">
        <v>540</v>
      </c>
      <c r="K146" s="5" t="n">
        <v>120.4</v>
      </c>
      <c r="L146" s="4" t="n">
        <v>147</v>
      </c>
      <c r="M146" s="4" t="n">
        <v>44</v>
      </c>
      <c r="N146" s="5" t="n">
        <v>1477.3</v>
      </c>
      <c r="O146" s="3" t="inlineStr">
        <is>
          <t>nan</t>
        </is>
      </c>
      <c r="P146" s="6">
        <f>HYPERLINK("https://fin.land.naver.com/articles/2650322763", "매물Link")</f>
        <v/>
      </c>
      <c r="Q146" s="6">
        <f>HYPERLINK("https://map.naver.com/p/search/부강면 노호리 354", "지도Link")</f>
        <v/>
      </c>
      <c r="R146" s="6">
        <f>HYPERLINK("http://www.eum.go.kr/web/ar/lu/luLandDet.jsp?pnu=3611033027103540000&amp;isNoScr=script&amp;mode=search", "토지이음")</f>
        <v/>
      </c>
      <c r="S146" s="3" t="inlineStr">
        <is>
          <t>세종신한</t>
        </is>
      </c>
      <c r="T146" s="4" t="n">
        <v>1</v>
      </c>
      <c r="U146" s="5" t="n">
        <v>45.9</v>
      </c>
      <c r="V146" s="4" t="n">
        <v>1785</v>
      </c>
      <c r="W146" s="3" t="inlineStr">
        <is>
          <t>지정되지않음</t>
        </is>
      </c>
      <c r="X146" s="3" t="inlineStr">
        <is>
          <t>단독</t>
        </is>
      </c>
      <c r="Y146" s="3" t="inlineStr">
        <is>
          <t>평지</t>
        </is>
      </c>
      <c r="Z146" s="3" t="inlineStr">
        <is>
          <t>부정형</t>
        </is>
      </c>
      <c r="AA146" s="3" t="inlineStr">
        <is>
          <t>세로한면(가)</t>
        </is>
      </c>
    </row>
    <row r="147">
      <c r="A147" s="3" t="inlineStr">
        <is>
          <t>부강면 노호리 354</t>
        </is>
      </c>
      <c r="B147" s="3" t="inlineStr">
        <is>
          <t>계획관리지역</t>
        </is>
      </c>
      <c r="C147" s="3" t="inlineStr">
        <is>
          <t>대</t>
        </is>
      </c>
      <c r="D147" s="3" t="inlineStr">
        <is>
          <t>1</t>
        </is>
      </c>
      <c r="E147" s="3" t="inlineStr">
        <is>
          <t>단독</t>
        </is>
      </c>
      <c r="F147" s="3" t="inlineStr">
        <is>
          <t>매매</t>
        </is>
      </c>
      <c r="G147" s="4" t="n">
        <v>65000</v>
      </c>
      <c r="H147" s="4" t="n">
        <v>0</v>
      </c>
      <c r="I147" s="4" t="n">
        <v>1785</v>
      </c>
      <c r="J147" s="4" t="n">
        <v>540</v>
      </c>
      <c r="K147" s="5" t="n">
        <v>120.4</v>
      </c>
      <c r="L147" s="4" t="n">
        <v>147</v>
      </c>
      <c r="M147" s="4" t="n">
        <v>44</v>
      </c>
      <c r="N147" s="5" t="n">
        <v>1477.3</v>
      </c>
      <c r="O147" s="3" t="inlineStr">
        <is>
          <t>nan</t>
        </is>
      </c>
      <c r="P147" s="6">
        <f>HYPERLINK("https://fin.land.naver.com/articles/2649885848", "매물Link")</f>
        <v/>
      </c>
      <c r="Q147" s="6">
        <f>HYPERLINK("https://map.naver.com/p/search/부강면 노호리 354", "지도Link")</f>
        <v/>
      </c>
      <c r="R147" s="6">
        <f>HYPERLINK("http://www.eum.go.kr/web/ar/lu/luLandDet.jsp?pnu=3611033027103540000&amp;isNoScr=script&amp;mode=search", "토지이음")</f>
        <v/>
      </c>
      <c r="S147" s="3" t="inlineStr">
        <is>
          <t>성성타운(041-553-3911)</t>
        </is>
      </c>
      <c r="T147" s="4" t="n">
        <v>1</v>
      </c>
      <c r="U147" s="5" t="n">
        <v>45.9</v>
      </c>
      <c r="V147" s="4" t="n">
        <v>1785</v>
      </c>
      <c r="W147" s="3" t="inlineStr">
        <is>
          <t>지정되지않음</t>
        </is>
      </c>
      <c r="X147" s="3" t="inlineStr">
        <is>
          <t>단독</t>
        </is>
      </c>
      <c r="Y147" s="3" t="inlineStr">
        <is>
          <t>평지</t>
        </is>
      </c>
      <c r="Z147" s="3" t="inlineStr">
        <is>
          <t>부정형</t>
        </is>
      </c>
      <c r="AA147" s="3" t="inlineStr">
        <is>
          <t>세로한면(가)</t>
        </is>
      </c>
    </row>
    <row r="148">
      <c r="A148" s="3" t="inlineStr">
        <is>
          <t>부강면 등곡리 68</t>
        </is>
      </c>
      <c r="B148" s="3" t="inlineStr">
        <is>
          <t>계획관리지역</t>
        </is>
      </c>
      <c r="C148" s="3" t="inlineStr">
        <is>
          <t>대</t>
        </is>
      </c>
      <c r="D148" s="3" t="inlineStr">
        <is>
          <t>1</t>
        </is>
      </c>
      <c r="E148" s="3" t="inlineStr">
        <is>
          <t>단독</t>
        </is>
      </c>
      <c r="F148" s="3" t="inlineStr">
        <is>
          <t>매매</t>
        </is>
      </c>
      <c r="G148" s="4" t="n">
        <v>35000</v>
      </c>
      <c r="H148" s="4" t="n">
        <v>0</v>
      </c>
      <c r="I148" s="4" t="n">
        <v>732</v>
      </c>
      <c r="J148" s="4" t="n">
        <v>221</v>
      </c>
      <c r="K148" s="5" t="n">
        <v>158.4</v>
      </c>
      <c r="L148" s="4" t="n">
        <v>132</v>
      </c>
      <c r="M148" s="4" t="n">
        <v>40</v>
      </c>
      <c r="N148" s="5" t="n">
        <v>875</v>
      </c>
      <c r="O148" s="3" t="inlineStr">
        <is>
          <t>좋은 더 조율해 드려요, 현재 주인분 거주하고 계심</t>
        </is>
      </c>
      <c r="P148" s="6">
        <f>HYPERLINK("https://fin.land.naver.com/articles/2650942009", "매물Link")</f>
        <v/>
      </c>
      <c r="Q148" s="6">
        <f>HYPERLINK("https://map.naver.com/p/search/부강면 등곡리 68", "지도Link")</f>
        <v/>
      </c>
      <c r="R148" s="6">
        <f>HYPERLINK("http://www.eum.go.kr/web/ar/lu/luLandDet.jsp?pnu=3611033026100680000&amp;isNoScr=script&amp;mode=search", "토지이음")</f>
        <v/>
      </c>
      <c r="S148" s="3" t="inlineStr">
        <is>
          <t>좋은</t>
        </is>
      </c>
      <c r="T148" s="4" t="n">
        <v>1</v>
      </c>
      <c r="U148" s="5" t="n">
        <v>36.1</v>
      </c>
      <c r="V148" s="4" t="n">
        <v>732</v>
      </c>
      <c r="W148" s="3" t="inlineStr">
        <is>
          <t>지정되지않음</t>
        </is>
      </c>
      <c r="X148" s="3" t="inlineStr">
        <is>
          <t>단독</t>
        </is>
      </c>
      <c r="Y148" s="3" t="inlineStr">
        <is>
          <t>완경사</t>
        </is>
      </c>
      <c r="Z148" s="3" t="inlineStr">
        <is>
          <t>부정형</t>
        </is>
      </c>
      <c r="AA148" s="3" t="inlineStr">
        <is>
          <t>세로한면(가)</t>
        </is>
      </c>
    </row>
    <row r="149">
      <c r="A149" s="3" t="inlineStr">
        <is>
          <t>부강면 문곡리 227-1</t>
        </is>
      </c>
      <c r="B149" s="3" t="inlineStr">
        <is>
          <t>보전관리지역</t>
        </is>
      </c>
      <c r="C149" s="3" t="inlineStr">
        <is>
          <t>대</t>
        </is>
      </c>
      <c r="D149" s="3" t="inlineStr">
        <is>
          <t>1</t>
        </is>
      </c>
      <c r="E149" s="3" t="inlineStr">
        <is>
          <t>전원주택</t>
        </is>
      </c>
      <c r="F149" s="3" t="inlineStr">
        <is>
          <t>매매</t>
        </is>
      </c>
      <c r="G149" s="4" t="n">
        <v>75000</v>
      </c>
      <c r="H149" s="4" t="n">
        <v>0</v>
      </c>
      <c r="I149" s="4" t="n">
        <v>1322</v>
      </c>
      <c r="J149" s="4" t="n">
        <v>400</v>
      </c>
      <c r="K149" s="5" t="n">
        <v>187.5</v>
      </c>
      <c r="L149" s="4" t="n">
        <v>145</v>
      </c>
      <c r="M149" s="4" t="n">
        <v>44</v>
      </c>
      <c r="N149" s="5" t="n">
        <v>1704.5</v>
      </c>
      <c r="O149" s="3" t="inlineStr">
        <is>
          <t>주택과 주변 텃밭포함, 전망확틔여 전원생활하기좋음</t>
        </is>
      </c>
      <c r="P149" s="6">
        <f>HYPERLINK("https://fin.land.naver.com/articles/2650178792", "매물Link")</f>
        <v/>
      </c>
      <c r="Q149" s="6">
        <f>HYPERLINK("https://map.naver.com/p/search/부강면 문곡리 227-1", "지도Link")</f>
        <v/>
      </c>
      <c r="R149" s="6">
        <f>HYPERLINK("http://www.eum.go.kr/web/ar/lu/luLandDet.jsp?pnu=3611033025102270001&amp;isNoScr=script&amp;mode=search", "토지이음")</f>
        <v/>
      </c>
      <c r="S149" s="3" t="inlineStr">
        <is>
          <t>연동스카이</t>
        </is>
      </c>
      <c r="T149" s="4" t="n">
        <v>1</v>
      </c>
      <c r="U149" s="5" t="n">
        <v>47.9</v>
      </c>
      <c r="V149" s="4" t="n">
        <v>970</v>
      </c>
      <c r="W149" s="3" t="inlineStr">
        <is>
          <t>지정되지않음</t>
        </is>
      </c>
      <c r="X149" s="3" t="inlineStr">
        <is>
          <t>단독</t>
        </is>
      </c>
      <c r="Y149" s="3" t="inlineStr">
        <is>
          <t>완경사</t>
        </is>
      </c>
      <c r="Z149" s="3" t="inlineStr">
        <is>
          <t>사다리형</t>
        </is>
      </c>
      <c r="AA149" s="3" t="inlineStr">
        <is>
          <t>세로한면(가)</t>
        </is>
      </c>
    </row>
    <row r="150">
      <c r="A150" s="3" t="inlineStr">
        <is>
          <t>부강면 문곡리 294-2</t>
        </is>
      </c>
      <c r="B150" s="3" t="inlineStr">
        <is>
          <t>계획관리지역</t>
        </is>
      </c>
      <c r="C150" s="3" t="inlineStr">
        <is>
          <t>대</t>
        </is>
      </c>
      <c r="D150" s="3" t="inlineStr">
        <is>
          <t>2</t>
        </is>
      </c>
      <c r="E150" s="3" t="inlineStr">
        <is>
          <t>전원주택</t>
        </is>
      </c>
      <c r="F150" s="3" t="inlineStr">
        <is>
          <t>매매</t>
        </is>
      </c>
      <c r="G150" s="4" t="n">
        <v>83000</v>
      </c>
      <c r="H150" s="4" t="n">
        <v>0</v>
      </c>
      <c r="I150" s="4" t="n">
        <v>660</v>
      </c>
      <c r="J150" s="4" t="n">
        <v>200</v>
      </c>
      <c r="K150" s="5" t="n">
        <v>415</v>
      </c>
      <c r="L150" s="4" t="n">
        <v>192</v>
      </c>
      <c r="M150" s="4" t="n">
        <v>58</v>
      </c>
      <c r="N150" s="5" t="n">
        <v>1431</v>
      </c>
      <c r="O150" s="3" t="inlineStr">
        <is>
          <t>남청주ic에서 부강방면 남쪽 산기슭에 위치한 그림같은 전원주택</t>
        </is>
      </c>
      <c r="P150" s="6">
        <f>HYPERLINK("https://fin.land.naver.com/articles/2652660732", "매물Link")</f>
        <v/>
      </c>
      <c r="Q150" s="6">
        <f>HYPERLINK("https://map.naver.com/p/search/부강면 문곡리 294-2", "지도Link")</f>
        <v/>
      </c>
      <c r="R150" s="6">
        <f>HYPERLINK("http://www.eum.go.kr/web/ar/lu/luLandDet.jsp?pnu=3611033025102940002&amp;isNoScr=script&amp;mode=search", "토지이음")</f>
        <v/>
      </c>
      <c r="S150" s="3" t="inlineStr">
        <is>
          <t>주식회사정원</t>
        </is>
      </c>
      <c r="T150" s="4" t="n">
        <v>1</v>
      </c>
      <c r="U150" s="5" t="n">
        <v>66.90000000000001</v>
      </c>
      <c r="V150" s="4" t="n">
        <v>660</v>
      </c>
      <c r="W150" s="3" t="inlineStr">
        <is>
          <t>지정되지않음</t>
        </is>
      </c>
      <c r="X150" s="3" t="inlineStr">
        <is>
          <t>단독</t>
        </is>
      </c>
      <c r="Y150" s="3" t="inlineStr">
        <is>
          <t>완경사</t>
        </is>
      </c>
      <c r="Z150" s="3" t="inlineStr">
        <is>
          <t>사다리형</t>
        </is>
      </c>
      <c r="AA150" s="3" t="inlineStr">
        <is>
          <t>세로각지(가)</t>
        </is>
      </c>
    </row>
    <row r="151">
      <c r="A151" s="3" t="inlineStr">
        <is>
          <t>부강면 부강리 1013</t>
        </is>
      </c>
      <c r="B151" s="3" t="inlineStr">
        <is>
          <t>제2종일반주거지역</t>
        </is>
      </c>
      <c r="C151" s="3" t="inlineStr">
        <is>
          <t>대</t>
        </is>
      </c>
      <c r="D151" s="3" t="inlineStr">
        <is>
          <t>0</t>
        </is>
      </c>
      <c r="E151" s="3" t="inlineStr">
        <is>
          <t>일반원룸</t>
        </is>
      </c>
      <c r="F151" s="3" t="inlineStr">
        <is>
          <t>월세</t>
        </is>
      </c>
      <c r="G151" s="4" t="n">
        <v>200</v>
      </c>
      <c r="H151" s="4" t="n">
        <v>32</v>
      </c>
      <c r="I151" s="4" t="n">
        <v>36</v>
      </c>
      <c r="J151" s="4" t="n">
        <v>11</v>
      </c>
      <c r="K151" s="5" t="n">
        <v>2.9</v>
      </c>
      <c r="L151" s="4" t="n">
        <v>30</v>
      </c>
      <c r="M151" s="4" t="n">
        <v>9</v>
      </c>
      <c r="N151" s="5" t="n">
        <v>3.6</v>
      </c>
      <c r="O151" s="3" t="inlineStr">
        <is>
          <t>대박 단기 가능한 분리형 원룸 베란다 굿</t>
        </is>
      </c>
      <c r="P151" s="6">
        <f>HYPERLINK("https://fin.land.naver.com/articles/2652542648", "매물Link")</f>
        <v/>
      </c>
      <c r="Q151" s="6">
        <f>HYPERLINK("https://map.naver.com/p/search/부강면 부강리 1013", "지도Link")</f>
        <v/>
      </c>
      <c r="R151" s="6">
        <f>HYPERLINK("http://www.eum.go.kr/web/ar/lu/luLandDet.jsp?pnu=3611033021110130000&amp;isNoScr=script&amp;mode=search", "토지이음")</f>
        <v/>
      </c>
      <c r="S151" s="3" t="inlineStr">
        <is>
          <t>부강대박</t>
        </is>
      </c>
      <c r="T151" s="4" t="n">
        <v>1</v>
      </c>
      <c r="U151" s="5" t="n">
        <v>208</v>
      </c>
      <c r="V151" s="4" t="n">
        <v>340</v>
      </c>
      <c r="W151" s="3" t="inlineStr">
        <is>
          <t>지정되지않음</t>
        </is>
      </c>
      <c r="X151" s="3" t="inlineStr">
        <is>
          <t>다세대</t>
        </is>
      </c>
      <c r="Y151" s="3" t="inlineStr">
        <is>
          <t>평지</t>
        </is>
      </c>
      <c r="Z151" s="3" t="inlineStr">
        <is>
          <t>정방형</t>
        </is>
      </c>
      <c r="AA151" s="3" t="inlineStr">
        <is>
          <t>세로한면(가)</t>
        </is>
      </c>
    </row>
    <row r="152">
      <c r="A152" s="3" t="inlineStr">
        <is>
          <t>부강면 부강리 1013</t>
        </is>
      </c>
      <c r="B152" s="3" t="inlineStr">
        <is>
          <t>제2종일반주거지역</t>
        </is>
      </c>
      <c r="C152" s="3" t="inlineStr">
        <is>
          <t>대</t>
        </is>
      </c>
      <c r="D152" s="3" t="inlineStr">
        <is>
          <t>0</t>
        </is>
      </c>
      <c r="E152" s="3" t="inlineStr">
        <is>
          <t>일반원룸</t>
        </is>
      </c>
      <c r="F152" s="3" t="inlineStr">
        <is>
          <t>월세</t>
        </is>
      </c>
      <c r="G152" s="4" t="n">
        <v>200</v>
      </c>
      <c r="H152" s="4" t="n">
        <v>32</v>
      </c>
      <c r="I152" s="4" t="n">
        <v>36</v>
      </c>
      <c r="J152" s="4" t="n">
        <v>11</v>
      </c>
      <c r="K152" s="5" t="n">
        <v>2.9</v>
      </c>
      <c r="L152" s="4" t="n">
        <v>30</v>
      </c>
      <c r="M152" s="4" t="n">
        <v>9</v>
      </c>
      <c r="N152" s="5" t="n">
        <v>3.6</v>
      </c>
      <c r="O152" s="3" t="inlineStr">
        <is>
          <t>대박 분리형 원룸 베란다 굿</t>
        </is>
      </c>
      <c r="P152" s="6">
        <f>HYPERLINK("https://fin.land.naver.com/articles/2652542744", "매물Link")</f>
        <v/>
      </c>
      <c r="Q152" s="6">
        <f>HYPERLINK("https://map.naver.com/p/search/부강면 부강리 1013", "지도Link")</f>
        <v/>
      </c>
      <c r="R152" s="6">
        <f>HYPERLINK("http://www.eum.go.kr/web/ar/lu/luLandDet.jsp?pnu=3611033021110130000&amp;isNoScr=script&amp;mode=search", "토지이음")</f>
        <v/>
      </c>
      <c r="S152" s="3" t="inlineStr">
        <is>
          <t>부강대박</t>
        </is>
      </c>
      <c r="T152" s="4" t="n">
        <v>1</v>
      </c>
      <c r="U152" s="5" t="n">
        <v>208</v>
      </c>
      <c r="V152" s="4" t="n">
        <v>340</v>
      </c>
      <c r="W152" s="3" t="inlineStr">
        <is>
          <t>지정되지않음</t>
        </is>
      </c>
      <c r="X152" s="3" t="inlineStr">
        <is>
          <t>다세대</t>
        </is>
      </c>
      <c r="Y152" s="3" t="inlineStr">
        <is>
          <t>평지</t>
        </is>
      </c>
      <c r="Z152" s="3" t="inlineStr">
        <is>
          <t>정방형</t>
        </is>
      </c>
      <c r="AA152" s="3" t="inlineStr">
        <is>
          <t>세로한면(가)</t>
        </is>
      </c>
    </row>
    <row r="153">
      <c r="A153" s="3" t="inlineStr">
        <is>
          <t>부강면 부강리 112-5</t>
        </is>
      </c>
      <c r="B153" s="3" t="inlineStr">
        <is>
          <t>제2종일반주거지역</t>
        </is>
      </c>
      <c r="C153" s="3" t="inlineStr">
        <is>
          <t>대</t>
        </is>
      </c>
      <c r="D153" s="3" t="inlineStr">
        <is>
          <t>4</t>
        </is>
      </c>
      <c r="E153" s="3" t="inlineStr">
        <is>
          <t>다가구</t>
        </is>
      </c>
      <c r="F153" s="3" t="inlineStr">
        <is>
          <t>매매</t>
        </is>
      </c>
      <c r="G153" s="4" t="n">
        <v>135000</v>
      </c>
      <c r="H153" s="4" t="n">
        <v>0</v>
      </c>
      <c r="I153" s="4" t="n">
        <v>390</v>
      </c>
      <c r="J153" s="4" t="n">
        <v>118</v>
      </c>
      <c r="K153" s="5" t="n">
        <v>1144.1</v>
      </c>
      <c r="L153" s="4" t="n">
        <v>510</v>
      </c>
      <c r="M153" s="4" t="n">
        <v>154</v>
      </c>
      <c r="N153" s="5" t="n">
        <v>876.6</v>
      </c>
      <c r="O153" s="3" t="inlineStr">
        <is>
          <t>임대수요 풍부하고 공실 걱정없는 세종시 부강면 저렴한 다가구주택</t>
        </is>
      </c>
      <c r="P153" s="6">
        <f>HYPERLINK("https://fin.land.naver.com/articles/2650694892", "매물Link")</f>
        <v/>
      </c>
      <c r="Q153" s="6">
        <f>HYPERLINK("https://map.naver.com/p/search/부강면 부강리 112-5", "지도Link")</f>
        <v/>
      </c>
      <c r="R153" s="6">
        <f>HYPERLINK("http://www.eum.go.kr/web/ar/lu/luLandDet.jsp?pnu=3611033021101120005&amp;isNoScr=script&amp;mode=search", "토지이음")</f>
        <v/>
      </c>
      <c r="S153" s="3" t="inlineStr">
        <is>
          <t>세종행복한</t>
        </is>
      </c>
      <c r="T153" s="4" t="n">
        <v>1</v>
      </c>
      <c r="U153" s="5" t="n">
        <v>171.6</v>
      </c>
      <c r="V153" s="4" t="n">
        <v>390</v>
      </c>
      <c r="W153" s="3" t="inlineStr">
        <is>
          <t>지정되지않음</t>
        </is>
      </c>
      <c r="X153" s="3" t="inlineStr">
        <is>
          <t>단독</t>
        </is>
      </c>
      <c r="Y153" s="3" t="inlineStr">
        <is>
          <t>평지</t>
        </is>
      </c>
      <c r="Z153" s="3" t="inlineStr">
        <is>
          <t>사다리형</t>
        </is>
      </c>
      <c r="AA153" s="3" t="inlineStr">
        <is>
          <t>세로한면(불)</t>
        </is>
      </c>
    </row>
    <row r="154">
      <c r="A154" s="3" t="inlineStr">
        <is>
          <t>부강면 부강리 125-4</t>
        </is>
      </c>
      <c r="B154" s="3" t="inlineStr">
        <is>
          <t>제2종일반주거지역</t>
        </is>
      </c>
      <c r="C154" s="3" t="inlineStr">
        <is>
          <t>대</t>
        </is>
      </c>
      <c r="D154" s="3" t="inlineStr">
        <is>
          <t>4</t>
        </is>
      </c>
      <c r="E154" s="3" t="inlineStr">
        <is>
          <t>다가구</t>
        </is>
      </c>
      <c r="F154" s="3" t="inlineStr">
        <is>
          <t>매매</t>
        </is>
      </c>
      <c r="G154" s="4" t="n">
        <v>210000</v>
      </c>
      <c r="H154" s="4" t="n">
        <v>0</v>
      </c>
      <c r="I154" s="4" t="n">
        <v>625</v>
      </c>
      <c r="J154" s="4" t="n">
        <v>189</v>
      </c>
      <c r="K154" s="5" t="n">
        <v>1111.1</v>
      </c>
      <c r="L154" s="4" t="n">
        <v>747</v>
      </c>
      <c r="M154" s="4" t="n">
        <v>226</v>
      </c>
      <c r="N154" s="5" t="n">
        <v>929.2</v>
      </c>
      <c r="O154" s="3" t="inlineStr">
        <is>
          <t>현재 공실 없으며 임대 수요가 매우 좋습니다.</t>
        </is>
      </c>
      <c r="P154" s="6">
        <f>HYPERLINK("https://fin.land.naver.com/articles/2653015196", "매물Link")</f>
        <v/>
      </c>
      <c r="Q154" s="6">
        <f>HYPERLINK("https://map.naver.com/p/search/부강면 부강리 125-4", "지도Link")</f>
        <v/>
      </c>
      <c r="R154" s="6">
        <f>HYPERLINK("http://www.eum.go.kr/web/ar/lu/luLandDet.jsp?pnu=3611033021101250004&amp;isNoScr=script&amp;mode=search", "토지이음")</f>
        <v/>
      </c>
      <c r="S154" s="3" t="inlineStr">
        <is>
          <t>진영</t>
        </is>
      </c>
      <c r="T154" s="4" t="n">
        <v>1</v>
      </c>
      <c r="U154" s="5" t="n">
        <v>196.4</v>
      </c>
      <c r="V154" s="4" t="n">
        <v>625</v>
      </c>
      <c r="W154" s="3" t="inlineStr">
        <is>
          <t>지정되지않음</t>
        </is>
      </c>
      <c r="X154" s="3" t="inlineStr">
        <is>
          <t>단독</t>
        </is>
      </c>
      <c r="Y154" s="3" t="inlineStr">
        <is>
          <t>평지</t>
        </is>
      </c>
      <c r="Z154" s="3" t="inlineStr">
        <is>
          <t>가로장방</t>
        </is>
      </c>
      <c r="AA154" s="3" t="inlineStr">
        <is>
          <t>세로한면(가)</t>
        </is>
      </c>
    </row>
    <row r="155">
      <c r="A155" s="3" t="inlineStr">
        <is>
          <t>부강면 부강리 126-8</t>
        </is>
      </c>
      <c r="B155" s="3" t="inlineStr">
        <is>
          <t>제2종일반주거지역</t>
        </is>
      </c>
      <c r="C155" s="3" t="inlineStr">
        <is>
          <t>대</t>
        </is>
      </c>
      <c r="D155" s="3" t="inlineStr">
        <is>
          <t>0</t>
        </is>
      </c>
      <c r="E155" s="3" t="inlineStr">
        <is>
          <t>일반원룸</t>
        </is>
      </c>
      <c r="F155" s="3" t="inlineStr">
        <is>
          <t>월세</t>
        </is>
      </c>
      <c r="G155" s="4" t="n">
        <v>200</v>
      </c>
      <c r="H155" s="4" t="n">
        <v>35</v>
      </c>
      <c r="I155" s="4" t="n">
        <v>33</v>
      </c>
      <c r="J155" s="4" t="n">
        <v>10</v>
      </c>
      <c r="K155" s="5" t="n">
        <v>3.5</v>
      </c>
      <c r="L155" s="4" t="n">
        <v>29</v>
      </c>
      <c r="M155" s="4" t="n">
        <v>9</v>
      </c>
      <c r="N155" s="5" t="n">
        <v>3.9</v>
      </c>
      <c r="O155" s="3" t="inlineStr">
        <is>
          <t>넓고 베란다있는  풀옵션 원룸</t>
        </is>
      </c>
      <c r="P155" s="6">
        <f>HYPERLINK("https://fin.land.naver.com/articles/2653277546", "매물Link")</f>
        <v/>
      </c>
      <c r="Q155" s="6">
        <f>HYPERLINK("https://map.naver.com/p/search/부강면 부강리 126-8", "지도Link")</f>
        <v/>
      </c>
      <c r="R155" s="6">
        <f>HYPERLINK("http://www.eum.go.kr/web/ar/lu/luLandDet.jsp?pnu=3611033021101260008&amp;isNoScr=script&amp;mode=search", "토지이음")</f>
        <v/>
      </c>
      <c r="S155" s="3" t="inlineStr">
        <is>
          <t>세종행복한</t>
        </is>
      </c>
      <c r="T155" s="4" t="n">
        <v>1</v>
      </c>
      <c r="U155" s="5" t="n">
        <v>209.7</v>
      </c>
      <c r="V155" s="4" t="n">
        <v>378</v>
      </c>
      <c r="W155" s="3" t="inlineStr">
        <is>
          <t>지정되지않음</t>
        </is>
      </c>
      <c r="X155" s="3" t="inlineStr">
        <is>
          <t>단독</t>
        </is>
      </c>
      <c r="Y155" s="3" t="inlineStr">
        <is>
          <t>평지</t>
        </is>
      </c>
      <c r="Z155" s="3" t="inlineStr">
        <is>
          <t>사다리형</t>
        </is>
      </c>
      <c r="AA155" s="3" t="inlineStr">
        <is>
          <t>소로한면</t>
        </is>
      </c>
    </row>
    <row r="156">
      <c r="A156" s="3" t="inlineStr">
        <is>
          <t>부강면 부강리 333-3</t>
        </is>
      </c>
      <c r="B156" s="3" t="inlineStr">
        <is>
          <t>제2종일반주거지역</t>
        </is>
      </c>
      <c r="C156" s="3" t="inlineStr">
        <is>
          <t>대</t>
        </is>
      </c>
      <c r="D156" s="3" t="inlineStr">
        <is>
          <t>1</t>
        </is>
      </c>
      <c r="E156" s="3" t="inlineStr">
        <is>
          <t>단독</t>
        </is>
      </c>
      <c r="F156" s="3" t="inlineStr">
        <is>
          <t>매매</t>
        </is>
      </c>
      <c r="G156" s="4" t="n">
        <v>19140</v>
      </c>
      <c r="H156" s="4" t="n">
        <v>0</v>
      </c>
      <c r="I156" s="4" t="n">
        <v>469</v>
      </c>
      <c r="J156" s="4" t="n">
        <v>142</v>
      </c>
      <c r="K156" s="5" t="n">
        <v>134.8</v>
      </c>
      <c r="L156" s="4" t="n">
        <v>117</v>
      </c>
      <c r="M156" s="4" t="n">
        <v>35</v>
      </c>
      <c r="N156" s="5" t="n">
        <v>546.9</v>
      </c>
      <c r="O156" s="3" t="inlineStr">
        <is>
          <t>주택 매매. 부강역 도보 15분. 신축 가능</t>
        </is>
      </c>
      <c r="P156" s="6">
        <f>HYPERLINK("https://fin.land.naver.com/articles/2652151478", "매물Link")</f>
        <v/>
      </c>
      <c r="Q156" s="6">
        <f>HYPERLINK("https://map.naver.com/p/search/부강면 부강리 333-3", "지도Link")</f>
        <v/>
      </c>
      <c r="R156" s="6">
        <f>HYPERLINK("http://www.eum.go.kr/web/ar/lu/luLandDet.jsp?pnu=3611033021103330003&amp;isNoScr=script&amp;mode=search", "토지이음")</f>
        <v/>
      </c>
      <c r="S156" s="3" t="inlineStr">
        <is>
          <t>미소</t>
        </is>
      </c>
      <c r="T156" s="4" t="n">
        <v>1</v>
      </c>
      <c r="U156" s="5" t="n">
        <v>91.09999999999999</v>
      </c>
      <c r="V156" s="4" t="n">
        <v>469</v>
      </c>
      <c r="W156" s="3" t="inlineStr">
        <is>
          <t>지정되지않음</t>
        </is>
      </c>
      <c r="X156" s="3" t="inlineStr">
        <is>
          <t>단독</t>
        </is>
      </c>
      <c r="Y156" s="3" t="inlineStr">
        <is>
          <t>평지</t>
        </is>
      </c>
      <c r="Z156" s="3" t="inlineStr">
        <is>
          <t>부정형</t>
        </is>
      </c>
      <c r="AA156" s="3" t="inlineStr">
        <is>
          <t>세로한면(가)</t>
        </is>
      </c>
    </row>
    <row r="157">
      <c r="A157" s="3" t="inlineStr">
        <is>
          <t>부강면 부강리 425-9</t>
        </is>
      </c>
      <c r="B157" s="3" t="inlineStr">
        <is>
          <t>제2종일반주거지역</t>
        </is>
      </c>
      <c r="C157" s="3" t="inlineStr">
        <is>
          <t>전</t>
        </is>
      </c>
      <c r="D157" s="3" t="inlineStr">
        <is>
          <t>0</t>
        </is>
      </c>
      <c r="E157" s="3" t="inlineStr">
        <is>
          <t>일반원룸</t>
        </is>
      </c>
      <c r="F157" s="3" t="inlineStr">
        <is>
          <t>월세</t>
        </is>
      </c>
      <c r="G157" s="4" t="n">
        <v>200</v>
      </c>
      <c r="H157" s="4" t="n">
        <v>35</v>
      </c>
      <c r="I157" s="4" t="n">
        <v>33</v>
      </c>
      <c r="J157" s="4" t="n">
        <v>10</v>
      </c>
      <c r="K157" s="5" t="n">
        <v>3.5</v>
      </c>
      <c r="L157" s="4" t="n">
        <v>26</v>
      </c>
      <c r="M157" s="4" t="n">
        <v>8</v>
      </c>
      <c r="N157" s="5" t="n">
        <v>4.4</v>
      </c>
      <c r="O157" s="3" t="inlineStr">
        <is>
          <t>대박 보안으로 입지 갑 원룸</t>
        </is>
      </c>
      <c r="P157" s="6">
        <f>HYPERLINK("https://fin.land.naver.com/articles/2652887447", "매물Link")</f>
        <v/>
      </c>
      <c r="Q157" s="6">
        <f>HYPERLINK("https://map.naver.com/p/search/부강면 부강리 425-9", "지도Link")</f>
        <v/>
      </c>
      <c r="R157" s="6">
        <f>HYPERLINK("http://www.eum.go.kr/web/ar/lu/luLandDet.jsp?pnu=3611033021104250009&amp;isNoScr=script&amp;mode=search", "토지이음")</f>
        <v/>
      </c>
      <c r="S157" s="3" t="inlineStr">
        <is>
          <t>부강대박</t>
        </is>
      </c>
      <c r="T157" s="4" t="n">
        <v>1</v>
      </c>
      <c r="U157" s="5" t="n">
        <v>256.5</v>
      </c>
      <c r="V157" s="4" t="n">
        <v>294</v>
      </c>
      <c r="W157" s="3" t="inlineStr">
        <is>
          <t>지정되지않음</t>
        </is>
      </c>
      <c r="X157" s="3" t="inlineStr">
        <is>
          <t>단독</t>
        </is>
      </c>
      <c r="Y157" s="3" t="inlineStr">
        <is>
          <t>평지</t>
        </is>
      </c>
      <c r="Z157" s="3" t="inlineStr">
        <is>
          <t>사다리형</t>
        </is>
      </c>
      <c r="AA157" s="3" t="inlineStr">
        <is>
          <t>세로각지(가)</t>
        </is>
      </c>
    </row>
    <row r="158">
      <c r="A158" s="3" t="inlineStr">
        <is>
          <t>부강면 부강리 448-7</t>
        </is>
      </c>
      <c r="B158" s="3" t="inlineStr">
        <is>
          <t>일반상업지역</t>
        </is>
      </c>
      <c r="C158" s="3" t="inlineStr">
        <is>
          <t>대</t>
        </is>
      </c>
      <c r="D158" s="3" t="inlineStr">
        <is>
          <t>3</t>
        </is>
      </c>
      <c r="E158" s="3" t="inlineStr">
        <is>
          <t>일반원룸</t>
        </is>
      </c>
      <c r="F158" s="3" t="inlineStr">
        <is>
          <t>월세</t>
        </is>
      </c>
      <c r="G158" s="4" t="n">
        <v>200</v>
      </c>
      <c r="H158" s="4" t="n">
        <v>37</v>
      </c>
      <c r="I158" s="4" t="n">
        <v>28</v>
      </c>
      <c r="J158" s="4" t="n">
        <v>8</v>
      </c>
      <c r="K158" s="5" t="n">
        <v>4.6</v>
      </c>
      <c r="L158" s="4" t="n">
        <v>20</v>
      </c>
      <c r="M158" s="4" t="n">
        <v>6</v>
      </c>
      <c r="N158" s="5" t="n">
        <v>6.2</v>
      </c>
      <c r="O158" s="3" t="inlineStr">
        <is>
          <t>부강역 인근 풀옵션 원룸</t>
        </is>
      </c>
      <c r="P158" s="6">
        <f>HYPERLINK("https://fin.land.naver.com/articles/2652878868", "매물Link")</f>
        <v/>
      </c>
      <c r="Q158" s="6">
        <f>HYPERLINK("https://map.naver.com/p/search/부강면 부강리 448-7", "지도Link")</f>
        <v/>
      </c>
      <c r="R158" s="6">
        <f>HYPERLINK("http://www.eum.go.kr/web/ar/lu/luLandDet.jsp?pnu=3611033021104480007&amp;isNoScr=script&amp;mode=search", "토지이음")</f>
        <v/>
      </c>
      <c r="S158" s="3" t="inlineStr">
        <is>
          <t>세종시</t>
        </is>
      </c>
      <c r="T158" s="4" t="n">
        <v>1</v>
      </c>
      <c r="U158" s="5" t="n">
        <v>401.3</v>
      </c>
      <c r="V158" s="4" t="n">
        <v>260</v>
      </c>
      <c r="W158" s="3" t="inlineStr">
        <is>
          <t>지정되지않음</t>
        </is>
      </c>
      <c r="X158" s="3" t="inlineStr">
        <is>
          <t>주상기타</t>
        </is>
      </c>
      <c r="Y158" s="3" t="inlineStr">
        <is>
          <t>평지</t>
        </is>
      </c>
      <c r="Z158" s="3" t="inlineStr">
        <is>
          <t>사다리형</t>
        </is>
      </c>
      <c r="AA158" s="3" t="inlineStr">
        <is>
          <t>소로한면</t>
        </is>
      </c>
    </row>
    <row r="159">
      <c r="A159" s="3" t="inlineStr">
        <is>
          <t>부강면 부강리 448-7</t>
        </is>
      </c>
      <c r="B159" s="3" t="inlineStr">
        <is>
          <t>일반상업지역</t>
        </is>
      </c>
      <c r="C159" s="3" t="inlineStr">
        <is>
          <t>대</t>
        </is>
      </c>
      <c r="D159" s="3" t="inlineStr">
        <is>
          <t>3</t>
        </is>
      </c>
      <c r="E159" s="3" t="inlineStr">
        <is>
          <t>일반원룸</t>
        </is>
      </c>
      <c r="F159" s="3" t="inlineStr">
        <is>
          <t>월세</t>
        </is>
      </c>
      <c r="G159" s="4" t="n">
        <v>200</v>
      </c>
      <c r="H159" s="4" t="n">
        <v>33</v>
      </c>
      <c r="I159" s="4" t="n">
        <v>23</v>
      </c>
      <c r="J159" s="4" t="n">
        <v>7</v>
      </c>
      <c r="K159" s="5" t="n">
        <v>4.7</v>
      </c>
      <c r="L159" s="4" t="n">
        <v>18</v>
      </c>
      <c r="M159" s="4" t="n">
        <v>5</v>
      </c>
      <c r="N159" s="5" t="n">
        <v>6.6</v>
      </c>
      <c r="O159" s="3" t="inlineStr">
        <is>
          <t>부강역 인근 풀옵션 소형원룸</t>
        </is>
      </c>
      <c r="P159" s="6">
        <f>HYPERLINK("https://fin.land.naver.com/articles/2652929753", "매물Link")</f>
        <v/>
      </c>
      <c r="Q159" s="6">
        <f>HYPERLINK("https://map.naver.com/p/search/부강면 부강리 448-7", "지도Link")</f>
        <v/>
      </c>
      <c r="R159" s="6">
        <f>HYPERLINK("http://www.eum.go.kr/web/ar/lu/luLandDet.jsp?pnu=3611033021104480007&amp;isNoScr=script&amp;mode=search", "토지이음")</f>
        <v/>
      </c>
      <c r="S159" s="3" t="inlineStr">
        <is>
          <t>세종시</t>
        </is>
      </c>
      <c r="T159" s="4" t="n">
        <v>1</v>
      </c>
      <c r="U159" s="5" t="n">
        <v>401.3</v>
      </c>
      <c r="V159" s="4" t="n">
        <v>260</v>
      </c>
      <c r="W159" s="3" t="inlineStr">
        <is>
          <t>지정되지않음</t>
        </is>
      </c>
      <c r="X159" s="3" t="inlineStr">
        <is>
          <t>주상기타</t>
        </is>
      </c>
      <c r="Y159" s="3" t="inlineStr">
        <is>
          <t>평지</t>
        </is>
      </c>
      <c r="Z159" s="3" t="inlineStr">
        <is>
          <t>사다리형</t>
        </is>
      </c>
      <c r="AA159" s="3" t="inlineStr">
        <is>
          <t>소로한면</t>
        </is>
      </c>
    </row>
    <row r="160">
      <c r="A160" s="3" t="inlineStr">
        <is>
          <t>부강면 부강리 449-1</t>
        </is>
      </c>
      <c r="B160" s="3" t="inlineStr">
        <is>
          <t>일반상업지역</t>
        </is>
      </c>
      <c r="C160" s="3" t="inlineStr">
        <is>
          <t>대</t>
        </is>
      </c>
      <c r="D160" s="3" t="inlineStr">
        <is>
          <t>3</t>
        </is>
      </c>
      <c r="E160" s="3" t="inlineStr">
        <is>
          <t>일반원룸</t>
        </is>
      </c>
      <c r="F160" s="3" t="inlineStr">
        <is>
          <t>월세</t>
        </is>
      </c>
      <c r="G160" s="4" t="n">
        <v>500</v>
      </c>
      <c r="H160" s="4" t="n">
        <v>50</v>
      </c>
      <c r="I160" s="4" t="n">
        <v>33</v>
      </c>
      <c r="J160" s="4" t="n">
        <v>10</v>
      </c>
      <c r="K160" s="5" t="n">
        <v>5</v>
      </c>
      <c r="L160" s="4" t="n">
        <v>29</v>
      </c>
      <c r="M160" s="4" t="n">
        <v>9</v>
      </c>
      <c r="N160" s="5" t="n">
        <v>5.6</v>
      </c>
      <c r="O160" s="3" t="inlineStr">
        <is>
          <t>부강역과 중심상권 가깝고 넓은 대형 풀옵션 1.5룸</t>
        </is>
      </c>
      <c r="P160" s="6">
        <f>HYPERLINK("https://fin.land.naver.com/articles/2653277296", "매물Link")</f>
        <v/>
      </c>
      <c r="Q160" s="6">
        <f>HYPERLINK("https://map.naver.com/p/search/부강면 부강리 449-1", "지도Link")</f>
        <v/>
      </c>
      <c r="R160" s="6">
        <f>HYPERLINK("http://www.eum.go.kr/web/ar/lu/luLandDet.jsp?pnu=3611033021104490001&amp;isNoScr=script&amp;mode=search", "토지이음")</f>
        <v/>
      </c>
      <c r="S160" s="3" t="inlineStr">
        <is>
          <t>세종행복한</t>
        </is>
      </c>
      <c r="T160" s="4" t="n">
        <v>1</v>
      </c>
      <c r="U160" s="5" t="n">
        <v>429.1</v>
      </c>
      <c r="V160" s="4" t="n">
        <v>320</v>
      </c>
      <c r="W160" s="3" t="inlineStr">
        <is>
          <t>지정되지않음</t>
        </is>
      </c>
      <c r="X160" s="3" t="inlineStr">
        <is>
          <t>주상기타</t>
        </is>
      </c>
      <c r="Y160" s="3" t="inlineStr">
        <is>
          <t>평지</t>
        </is>
      </c>
      <c r="Z160" s="3" t="inlineStr">
        <is>
          <t>사다리형</t>
        </is>
      </c>
      <c r="AA160" s="3" t="inlineStr">
        <is>
          <t>중로한면</t>
        </is>
      </c>
    </row>
    <row r="161">
      <c r="A161" s="3" t="inlineStr">
        <is>
          <t>부강면 부강리 463-10</t>
        </is>
      </c>
      <c r="B161" s="3" t="inlineStr">
        <is>
          <t>제2종일반주거지역</t>
        </is>
      </c>
      <c r="C161" s="3" t="inlineStr">
        <is>
          <t>대</t>
        </is>
      </c>
      <c r="D161" s="3" t="inlineStr">
        <is>
          <t>2</t>
        </is>
      </c>
      <c r="E161" s="3" t="inlineStr">
        <is>
          <t>일반원룸</t>
        </is>
      </c>
      <c r="F161" s="3" t="inlineStr">
        <is>
          <t>월세</t>
        </is>
      </c>
      <c r="G161" s="4" t="n">
        <v>300</v>
      </c>
      <c r="H161" s="4" t="n">
        <v>50</v>
      </c>
      <c r="I161" s="4" t="n">
        <v>45</v>
      </c>
      <c r="J161" s="4" t="n">
        <v>14</v>
      </c>
      <c r="K161" s="5" t="n">
        <v>3.6</v>
      </c>
      <c r="L161" s="4" t="n">
        <v>33</v>
      </c>
      <c r="M161" s="4" t="n">
        <v>10</v>
      </c>
      <c r="N161" s="5" t="n">
        <v>5</v>
      </c>
      <c r="O161" s="3" t="inlineStr">
        <is>
          <t>편의시설 초근접 풀옵션 1.5룸</t>
        </is>
      </c>
      <c r="P161" s="6">
        <f>HYPERLINK("https://fin.land.naver.com/articles/2652929725", "매물Link")</f>
        <v/>
      </c>
      <c r="Q161" s="6">
        <f>HYPERLINK("https://map.naver.com/p/search/부강면 부강리 463-10", "지도Link")</f>
        <v/>
      </c>
      <c r="R161" s="6">
        <f>HYPERLINK("http://www.eum.go.kr/web/ar/lu/luLandDet.jsp?pnu=3611033021104630010&amp;isNoScr=script&amp;mode=search", "토지이음")</f>
        <v/>
      </c>
      <c r="S161" s="3" t="inlineStr">
        <is>
          <t>세종시</t>
        </is>
      </c>
      <c r="T161" s="4" t="n">
        <v>1</v>
      </c>
      <c r="U161" s="5" t="n">
        <v>212.4</v>
      </c>
      <c r="V161" s="4" t="n">
        <v>932</v>
      </c>
      <c r="W161" s="3" t="inlineStr">
        <is>
          <t>지정되지않음</t>
        </is>
      </c>
      <c r="X161" s="3" t="inlineStr">
        <is>
          <t>단독</t>
        </is>
      </c>
      <c r="Y161" s="3" t="inlineStr">
        <is>
          <t>평지</t>
        </is>
      </c>
      <c r="Z161" s="3" t="inlineStr">
        <is>
          <t>가로장방</t>
        </is>
      </c>
      <c r="AA161" s="3" t="inlineStr">
        <is>
          <t>소로한면</t>
        </is>
      </c>
    </row>
    <row r="162">
      <c r="A162" s="3" t="inlineStr">
        <is>
          <t>부강면 부강리 463-10</t>
        </is>
      </c>
      <c r="B162" s="3" t="inlineStr">
        <is>
          <t>제2종일반주거지역</t>
        </is>
      </c>
      <c r="C162" s="3" t="inlineStr">
        <is>
          <t>대</t>
        </is>
      </c>
      <c r="D162" s="3" t="inlineStr">
        <is>
          <t>2</t>
        </is>
      </c>
      <c r="E162" s="3" t="inlineStr">
        <is>
          <t>일반원룸</t>
        </is>
      </c>
      <c r="F162" s="3" t="inlineStr">
        <is>
          <t>월세</t>
        </is>
      </c>
      <c r="G162" s="4" t="n">
        <v>500</v>
      </c>
      <c r="H162" s="4" t="n">
        <v>48</v>
      </c>
      <c r="I162" s="4" t="n">
        <v>45</v>
      </c>
      <c r="J162" s="4" t="n">
        <v>14</v>
      </c>
      <c r="K162" s="5" t="n">
        <v>3.4</v>
      </c>
      <c r="L162" s="4" t="n">
        <v>30</v>
      </c>
      <c r="M162" s="4" t="n">
        <v>9</v>
      </c>
      <c r="N162" s="5" t="n">
        <v>5.3</v>
      </c>
      <c r="O162" s="3" t="inlineStr">
        <is>
          <t>편의시설 초근접 풀옵션 1.5룸</t>
        </is>
      </c>
      <c r="P162" s="6">
        <f>HYPERLINK("https://fin.land.naver.com/articles/2653296523", "매물Link")</f>
        <v/>
      </c>
      <c r="Q162" s="6">
        <f>HYPERLINK("https://map.naver.com/p/search/부강면 부강리 463-10", "지도Link")</f>
        <v/>
      </c>
      <c r="R162" s="6">
        <f>HYPERLINK("http://www.eum.go.kr/web/ar/lu/luLandDet.jsp?pnu=3611033021104630010&amp;isNoScr=script&amp;mode=search", "토지이음")</f>
        <v/>
      </c>
      <c r="S162" s="3" t="inlineStr">
        <is>
          <t>세종시</t>
        </is>
      </c>
      <c r="T162" s="4" t="n">
        <v>1</v>
      </c>
      <c r="U162" s="5" t="n">
        <v>212.4</v>
      </c>
      <c r="V162" s="4" t="n">
        <v>932</v>
      </c>
      <c r="W162" s="3" t="inlineStr">
        <is>
          <t>지정되지않음</t>
        </is>
      </c>
      <c r="X162" s="3" t="inlineStr">
        <is>
          <t>단독</t>
        </is>
      </c>
      <c r="Y162" s="3" t="inlineStr">
        <is>
          <t>평지</t>
        </is>
      </c>
      <c r="Z162" s="3" t="inlineStr">
        <is>
          <t>가로장방</t>
        </is>
      </c>
      <c r="AA162" s="3" t="inlineStr">
        <is>
          <t>소로한면</t>
        </is>
      </c>
    </row>
    <row r="163">
      <c r="A163" s="3" t="inlineStr">
        <is>
          <t>부강면 부강리 463-10</t>
        </is>
      </c>
      <c r="B163" s="3" t="inlineStr">
        <is>
          <t>제2종일반주거지역</t>
        </is>
      </c>
      <c r="C163" s="3" t="inlineStr">
        <is>
          <t>대</t>
        </is>
      </c>
      <c r="D163" s="3" t="inlineStr">
        <is>
          <t>3</t>
        </is>
      </c>
      <c r="E163" s="3" t="inlineStr">
        <is>
          <t>다가구</t>
        </is>
      </c>
      <c r="F163" s="3" t="inlineStr">
        <is>
          <t>전세</t>
        </is>
      </c>
      <c r="G163" s="4" t="n">
        <v>5000</v>
      </c>
      <c r="H163" s="4" t="n">
        <v>0</v>
      </c>
      <c r="I163" s="4" t="n">
        <v>45</v>
      </c>
      <c r="J163" s="4" t="n">
        <v>14</v>
      </c>
      <c r="K163" s="5" t="n">
        <v>357.1</v>
      </c>
      <c r="L163" s="4" t="n">
        <v>35</v>
      </c>
      <c r="M163" s="4" t="n">
        <v>11</v>
      </c>
      <c r="N163" s="5" t="n">
        <v>454.5</v>
      </c>
      <c r="O163" s="3" t="inlineStr">
        <is>
          <t>주차용이, 편의시설 초근접 1.5룸</t>
        </is>
      </c>
      <c r="P163" s="6">
        <f>HYPERLINK("https://fin.land.naver.com/articles/2652929816", "매물Link")</f>
        <v/>
      </c>
      <c r="Q163" s="6">
        <f>HYPERLINK("https://map.naver.com/p/search/부강면 부강리 463-10", "지도Link")</f>
        <v/>
      </c>
      <c r="R163" s="6">
        <f>HYPERLINK("http://www.eum.go.kr/web/ar/lu/luLandDet.jsp?pnu=3611033021104630010&amp;isNoScr=script&amp;mode=search", "토지이음")</f>
        <v/>
      </c>
      <c r="S163" s="3" t="inlineStr">
        <is>
          <t>세종시</t>
        </is>
      </c>
      <c r="T163" s="4" t="n">
        <v>1</v>
      </c>
      <c r="U163" s="5" t="n">
        <v>212.4</v>
      </c>
      <c r="V163" s="4" t="n">
        <v>932</v>
      </c>
      <c r="W163" s="3" t="inlineStr">
        <is>
          <t>지정되지않음</t>
        </is>
      </c>
      <c r="X163" s="3" t="inlineStr">
        <is>
          <t>단독</t>
        </is>
      </c>
      <c r="Y163" s="3" t="inlineStr">
        <is>
          <t>평지</t>
        </is>
      </c>
      <c r="Z163" s="3" t="inlineStr">
        <is>
          <t>가로장방</t>
        </is>
      </c>
      <c r="AA163" s="3" t="inlineStr">
        <is>
          <t>소로한면</t>
        </is>
      </c>
    </row>
    <row r="164">
      <c r="A164" s="3" t="inlineStr">
        <is>
          <t>부강면 부강리 482-1</t>
        </is>
      </c>
      <c r="B164" s="3" t="inlineStr">
        <is>
          <t>일반상업지역</t>
        </is>
      </c>
      <c r="C164" s="3" t="inlineStr">
        <is>
          <t>대</t>
        </is>
      </c>
      <c r="D164" s="3" t="inlineStr">
        <is>
          <t>4</t>
        </is>
      </c>
      <c r="E164" s="3" t="inlineStr">
        <is>
          <t>다가구</t>
        </is>
      </c>
      <c r="F164" s="3" t="inlineStr">
        <is>
          <t>매매</t>
        </is>
      </c>
      <c r="G164" s="4" t="n">
        <v>115000</v>
      </c>
      <c r="H164" s="4" t="n">
        <v>0</v>
      </c>
      <c r="I164" s="4" t="n">
        <v>284</v>
      </c>
      <c r="J164" s="4" t="n">
        <v>86</v>
      </c>
      <c r="K164" s="5" t="n">
        <v>1337.2</v>
      </c>
      <c r="L164" s="4" t="n">
        <v>565</v>
      </c>
      <c r="M164" s="4" t="n">
        <v>171</v>
      </c>
      <c r="N164" s="5" t="n">
        <v>672.5</v>
      </c>
      <c r="O164" s="3" t="inlineStr">
        <is>
          <t>직장인들에게 인기 있고 관리가 잘된 원룸입니다.</t>
        </is>
      </c>
      <c r="P164" s="6">
        <f>HYPERLINK("https://fin.land.naver.com/articles/2650315661", "매물Link")</f>
        <v/>
      </c>
      <c r="Q164" s="6">
        <f>HYPERLINK("https://map.naver.com/p/search/부강면 부강리 482-1", "지도Link")</f>
        <v/>
      </c>
      <c r="R164" s="6">
        <f>HYPERLINK("http://www.eum.go.kr/web/ar/lu/luLandDet.jsp?pnu=3611033021104820001&amp;isNoScr=script&amp;mode=search", "토지이음")</f>
        <v/>
      </c>
      <c r="S164" s="3" t="inlineStr">
        <is>
          <t>세종공감</t>
        </is>
      </c>
      <c r="T164" s="4" t="n">
        <v>1</v>
      </c>
      <c r="U164" s="5" t="n">
        <v>359.3</v>
      </c>
      <c r="V164" s="4" t="n">
        <v>284</v>
      </c>
      <c r="W164" s="3" t="inlineStr">
        <is>
          <t>지정되지않음</t>
        </is>
      </c>
      <c r="X164" s="3" t="inlineStr">
        <is>
          <t>상업기타</t>
        </is>
      </c>
      <c r="Y164" s="3" t="inlineStr">
        <is>
          <t>평지</t>
        </is>
      </c>
      <c r="Z164" s="3" t="inlineStr">
        <is>
          <t>부정형</t>
        </is>
      </c>
      <c r="AA164" s="3" t="inlineStr">
        <is>
          <t>소로한면</t>
        </is>
      </c>
    </row>
    <row r="165">
      <c r="A165" s="3" t="inlineStr">
        <is>
          <t>부강면 부강리 482-1</t>
        </is>
      </c>
      <c r="B165" s="3" t="inlineStr">
        <is>
          <t>일반상업지역</t>
        </is>
      </c>
      <c r="C165" s="3" t="inlineStr">
        <is>
          <t>대</t>
        </is>
      </c>
      <c r="D165" s="3" t="inlineStr">
        <is>
          <t>4</t>
        </is>
      </c>
      <c r="E165" s="3" t="inlineStr">
        <is>
          <t>다가구</t>
        </is>
      </c>
      <c r="F165" s="3" t="inlineStr">
        <is>
          <t>매매</t>
        </is>
      </c>
      <c r="G165" s="4" t="n">
        <v>115000</v>
      </c>
      <c r="H165" s="4" t="n">
        <v>0</v>
      </c>
      <c r="I165" s="4" t="n">
        <v>284</v>
      </c>
      <c r="J165" s="4" t="n">
        <v>86</v>
      </c>
      <c r="K165" s="5" t="n">
        <v>1337.2</v>
      </c>
      <c r="L165" s="4" t="n">
        <v>565</v>
      </c>
      <c r="M165" s="4" t="n">
        <v>171</v>
      </c>
      <c r="N165" s="5" t="n">
        <v>672.5</v>
      </c>
      <c r="O165" s="3" t="inlineStr">
        <is>
          <t>안정적인 임대수익 8 법인 임차수요 많은 다가구주택</t>
        </is>
      </c>
      <c r="P165" s="6">
        <f>HYPERLINK("https://fin.land.naver.com/articles/2651239114", "매물Link")</f>
        <v/>
      </c>
      <c r="Q165" s="6">
        <f>HYPERLINK("https://map.naver.com/p/search/부강면 부강리 482-1", "지도Link")</f>
        <v/>
      </c>
      <c r="R165" s="6">
        <f>HYPERLINK("http://www.eum.go.kr/web/ar/lu/luLandDet.jsp?pnu=3611033021104820001&amp;isNoScr=script&amp;mode=search", "토지이음")</f>
        <v/>
      </c>
      <c r="S165" s="3" t="inlineStr">
        <is>
          <t>법조연합은온</t>
        </is>
      </c>
      <c r="T165" s="4" t="n">
        <v>1</v>
      </c>
      <c r="U165" s="5" t="n">
        <v>359.3</v>
      </c>
      <c r="V165" s="4" t="n">
        <v>284</v>
      </c>
      <c r="W165" s="3" t="inlineStr">
        <is>
          <t>지정되지않음</t>
        </is>
      </c>
      <c r="X165" s="3" t="inlineStr">
        <is>
          <t>상업기타</t>
        </is>
      </c>
      <c r="Y165" s="3" t="inlineStr">
        <is>
          <t>평지</t>
        </is>
      </c>
      <c r="Z165" s="3" t="inlineStr">
        <is>
          <t>부정형</t>
        </is>
      </c>
      <c r="AA165" s="3" t="inlineStr">
        <is>
          <t>소로한면</t>
        </is>
      </c>
    </row>
    <row r="166">
      <c r="A166" s="3" t="inlineStr">
        <is>
          <t>부강면 부강리 482-1</t>
        </is>
      </c>
      <c r="B166" s="3" t="inlineStr">
        <is>
          <t>일반상업지역</t>
        </is>
      </c>
      <c r="C166" s="3" t="inlineStr">
        <is>
          <t>대</t>
        </is>
      </c>
      <c r="D166" s="3" t="inlineStr">
        <is>
          <t>4</t>
        </is>
      </c>
      <c r="E166" s="3" t="inlineStr">
        <is>
          <t>다가구</t>
        </is>
      </c>
      <c r="F166" s="3" t="inlineStr">
        <is>
          <t>매매</t>
        </is>
      </c>
      <c r="G166" s="4" t="n">
        <v>115000</v>
      </c>
      <c r="H166" s="4" t="n">
        <v>0</v>
      </c>
      <c r="I166" s="4" t="n">
        <v>39</v>
      </c>
      <c r="J166" s="4" t="n">
        <v>12</v>
      </c>
      <c r="K166" s="5" t="n">
        <v>9583.299999999999</v>
      </c>
      <c r="L166" s="4" t="n">
        <v>182</v>
      </c>
      <c r="M166" s="4" t="n">
        <v>55</v>
      </c>
      <c r="N166" s="5" t="n">
        <v>2090.9</v>
      </c>
      <c r="O166" s="3" t="inlineStr">
        <is>
          <t>세종빌 특가 매물 빠른 계약 추천</t>
        </is>
      </c>
      <c r="P166" s="6">
        <f>HYPERLINK("https://fin.land.naver.com/articles/2653282559", "매물Link")</f>
        <v/>
      </c>
      <c r="Q166" s="6">
        <f>HYPERLINK("https://map.naver.com/p/search/부강면 부강리 482-1", "지도Link")</f>
        <v/>
      </c>
      <c r="R166" s="6">
        <f>HYPERLINK("http://www.eum.go.kr/web/ar/lu/luLandDet.jsp?pnu=3611033021104820001&amp;isNoScr=script&amp;mode=search", "토지이음")</f>
        <v/>
      </c>
      <c r="S166" s="3" t="inlineStr">
        <is>
          <t>SK</t>
        </is>
      </c>
      <c r="T166" s="4" t="n">
        <v>1</v>
      </c>
      <c r="U166" s="5" t="n">
        <v>359.3</v>
      </c>
      <c r="V166" s="4" t="n">
        <v>284</v>
      </c>
      <c r="W166" s="3" t="inlineStr">
        <is>
          <t>지정되지않음</t>
        </is>
      </c>
      <c r="X166" s="3" t="inlineStr">
        <is>
          <t>상업기타</t>
        </is>
      </c>
      <c r="Y166" s="3" t="inlineStr">
        <is>
          <t>평지</t>
        </is>
      </c>
      <c r="Z166" s="3" t="inlineStr">
        <is>
          <t>부정형</t>
        </is>
      </c>
      <c r="AA166" s="3" t="inlineStr">
        <is>
          <t>소로한면</t>
        </is>
      </c>
    </row>
    <row r="167">
      <c r="A167" s="3" t="inlineStr">
        <is>
          <t>부강면 부강리 937-1</t>
        </is>
      </c>
      <c r="B167" s="3" t="inlineStr">
        <is>
          <t>제2종일반주거지역</t>
        </is>
      </c>
      <c r="C167" s="3" t="inlineStr">
        <is>
          <t>대</t>
        </is>
      </c>
      <c r="D167" s="3" t="inlineStr">
        <is>
          <t>0</t>
        </is>
      </c>
      <c r="E167" s="3" t="inlineStr">
        <is>
          <t>다가구</t>
        </is>
      </c>
      <c r="F167" s="3" t="inlineStr">
        <is>
          <t>월세</t>
        </is>
      </c>
      <c r="G167" s="4" t="n">
        <v>300</v>
      </c>
      <c r="H167" s="4" t="n">
        <v>50</v>
      </c>
      <c r="I167" s="4" t="n">
        <v>50</v>
      </c>
      <c r="J167" s="4" t="n">
        <v>15</v>
      </c>
      <c r="K167" s="5" t="n">
        <v>3.3</v>
      </c>
      <c r="L167" s="4" t="n">
        <v>43</v>
      </c>
      <c r="M167" s="4" t="n">
        <v>13</v>
      </c>
      <c r="N167" s="5" t="n">
        <v>3.8</v>
      </c>
      <c r="O167" s="3" t="inlineStr">
        <is>
          <t>대박 투룸</t>
        </is>
      </c>
      <c r="P167" s="6">
        <f>HYPERLINK("https://fin.land.naver.com/articles/2654274127", "매물Link")</f>
        <v/>
      </c>
      <c r="Q167" s="6">
        <f>HYPERLINK("https://map.naver.com/p/search/부강면 부강리 937-1", "지도Link")</f>
        <v/>
      </c>
      <c r="R167" s="6">
        <f>HYPERLINK("http://www.eum.go.kr/web/ar/lu/luLandDet.jsp?pnu=3611033021109370001&amp;isNoScr=script&amp;mode=search", "토지이음")</f>
        <v/>
      </c>
      <c r="S167" s="3" t="inlineStr">
        <is>
          <t>부강대박</t>
        </is>
      </c>
      <c r="T167" s="4" t="n">
        <v>1</v>
      </c>
      <c r="U167" s="5" t="n">
        <v>210.1</v>
      </c>
      <c r="V167" s="4" t="n">
        <v>395</v>
      </c>
      <c r="W167" s="3" t="inlineStr">
        <is>
          <t>지정되지않음</t>
        </is>
      </c>
      <c r="X167" s="3" t="inlineStr">
        <is>
          <t>단독</t>
        </is>
      </c>
      <c r="Y167" s="3" t="inlineStr">
        <is>
          <t>평지</t>
        </is>
      </c>
      <c r="Z167" s="3" t="inlineStr">
        <is>
          <t>사다리형</t>
        </is>
      </c>
      <c r="AA167" s="3" t="inlineStr">
        <is>
          <t>세로한면(가)</t>
        </is>
      </c>
    </row>
    <row r="168">
      <c r="A168" s="3" t="inlineStr">
        <is>
          <t>부강면 부강리 959-1</t>
        </is>
      </c>
      <c r="B168" s="3" t="inlineStr">
        <is>
          <t>제2종일반주거지역</t>
        </is>
      </c>
      <c r="C168" s="3" t="inlineStr">
        <is>
          <t>대</t>
        </is>
      </c>
      <c r="D168" s="3" t="inlineStr">
        <is>
          <t>0</t>
        </is>
      </c>
      <c r="E168" s="3" t="inlineStr">
        <is>
          <t>다가구</t>
        </is>
      </c>
      <c r="F168" s="3" t="inlineStr">
        <is>
          <t>월세</t>
        </is>
      </c>
      <c r="G168" s="4" t="n">
        <v>500</v>
      </c>
      <c r="H168" s="4" t="n">
        <v>95</v>
      </c>
      <c r="I168" s="4" t="n">
        <v>92</v>
      </c>
      <c r="J168" s="4" t="n">
        <v>28</v>
      </c>
      <c r="K168" s="5" t="n">
        <v>3.4</v>
      </c>
      <c r="L168" s="4" t="n">
        <v>76</v>
      </c>
      <c r="M168" s="4" t="n">
        <v>23</v>
      </c>
      <c r="N168" s="5" t="n">
        <v>4.1</v>
      </c>
      <c r="O168" s="3" t="inlineStr">
        <is>
          <t>대박 신축 3룸 욕실2</t>
        </is>
      </c>
      <c r="P168" s="6">
        <f>HYPERLINK("https://fin.land.naver.com/articles/2652544293", "매물Link")</f>
        <v/>
      </c>
      <c r="Q168" s="6">
        <f>HYPERLINK("https://map.naver.com/p/search/부강면 부강리 959-1", "지도Link")</f>
        <v/>
      </c>
      <c r="R168" s="6">
        <f>HYPERLINK("http://www.eum.go.kr/web/ar/lu/luLandDet.jsp?pnu=3611033021109590001&amp;isNoScr=script&amp;mode=search", "토지이음")</f>
        <v/>
      </c>
      <c r="S168" s="3" t="inlineStr">
        <is>
          <t>부강대박</t>
        </is>
      </c>
      <c r="T168" s="4" t="n">
        <v>1</v>
      </c>
      <c r="U168" s="5" t="n">
        <v>207</v>
      </c>
      <c r="V168" s="4" t="n">
        <v>422</v>
      </c>
      <c r="W168" s="3" t="inlineStr">
        <is>
          <t>지정되지않음</t>
        </is>
      </c>
      <c r="X168" s="3" t="inlineStr">
        <is>
          <t>다세대</t>
        </is>
      </c>
      <c r="Y168" s="3" t="inlineStr">
        <is>
          <t>평지</t>
        </is>
      </c>
      <c r="Z168" s="3" t="inlineStr">
        <is>
          <t>부정형</t>
        </is>
      </c>
      <c r="AA168" s="3" t="inlineStr">
        <is>
          <t>세로한면(가)</t>
        </is>
      </c>
    </row>
    <row r="169">
      <c r="A169" s="3" t="inlineStr">
        <is>
          <t>부강면 부강리 959-1</t>
        </is>
      </c>
      <c r="B169" s="3" t="inlineStr">
        <is>
          <t>제2종일반주거지역</t>
        </is>
      </c>
      <c r="C169" s="3" t="inlineStr">
        <is>
          <t>대</t>
        </is>
      </c>
      <c r="D169" s="3" t="inlineStr">
        <is>
          <t>0</t>
        </is>
      </c>
      <c r="E169" s="3" t="inlineStr">
        <is>
          <t>다가구</t>
        </is>
      </c>
      <c r="F169" s="3" t="inlineStr">
        <is>
          <t>월세</t>
        </is>
      </c>
      <c r="G169" s="4" t="n">
        <v>500</v>
      </c>
      <c r="H169" s="4" t="n">
        <v>70</v>
      </c>
      <c r="I169" s="4" t="n">
        <v>60</v>
      </c>
      <c r="J169" s="4" t="n">
        <v>18</v>
      </c>
      <c r="K169" s="5" t="n">
        <v>3.9</v>
      </c>
      <c r="L169" s="4" t="n">
        <v>50</v>
      </c>
      <c r="M169" s="4" t="n">
        <v>15</v>
      </c>
      <c r="N169" s="5" t="n">
        <v>4.7</v>
      </c>
      <c r="O169" s="3" t="inlineStr">
        <is>
          <t>대박 신축 투룸</t>
        </is>
      </c>
      <c r="P169" s="6">
        <f>HYPERLINK("https://fin.land.naver.com/articles/2652551499", "매물Link")</f>
        <v/>
      </c>
      <c r="Q169" s="6">
        <f>HYPERLINK("https://map.naver.com/p/search/부강면 부강리 959-1", "지도Link")</f>
        <v/>
      </c>
      <c r="R169" s="6">
        <f>HYPERLINK("http://www.eum.go.kr/web/ar/lu/luLandDet.jsp?pnu=3611033021109590001&amp;isNoScr=script&amp;mode=search", "토지이음")</f>
        <v/>
      </c>
      <c r="S169" s="3" t="inlineStr">
        <is>
          <t>부강대박</t>
        </is>
      </c>
      <c r="T169" s="4" t="n">
        <v>1</v>
      </c>
      <c r="U169" s="5" t="n">
        <v>207</v>
      </c>
      <c r="V169" s="4" t="n">
        <v>422</v>
      </c>
      <c r="W169" s="3" t="inlineStr">
        <is>
          <t>지정되지않음</t>
        </is>
      </c>
      <c r="X169" s="3" t="inlineStr">
        <is>
          <t>다세대</t>
        </is>
      </c>
      <c r="Y169" s="3" t="inlineStr">
        <is>
          <t>평지</t>
        </is>
      </c>
      <c r="Z169" s="3" t="inlineStr">
        <is>
          <t>부정형</t>
        </is>
      </c>
      <c r="AA169" s="3" t="inlineStr">
        <is>
          <t>세로한면(가)</t>
        </is>
      </c>
    </row>
    <row r="170">
      <c r="A170" s="3" t="inlineStr">
        <is>
          <t>부강면 부강리 959-1</t>
        </is>
      </c>
      <c r="B170" s="3" t="inlineStr">
        <is>
          <t>제2종일반주거지역</t>
        </is>
      </c>
      <c r="C170" s="3" t="inlineStr">
        <is>
          <t>대</t>
        </is>
      </c>
      <c r="D170" s="3" t="inlineStr">
        <is>
          <t>0</t>
        </is>
      </c>
      <c r="E170" s="3" t="inlineStr">
        <is>
          <t>일반원룸</t>
        </is>
      </c>
      <c r="F170" s="3" t="inlineStr">
        <is>
          <t>월세</t>
        </is>
      </c>
      <c r="G170" s="4" t="n">
        <v>4000</v>
      </c>
      <c r="H170" s="4" t="n">
        <v>20</v>
      </c>
      <c r="I170" s="4" t="n">
        <v>40</v>
      </c>
      <c r="J170" s="4" t="n">
        <v>12</v>
      </c>
      <c r="K170" s="5" t="n">
        <v>1.7</v>
      </c>
      <c r="L170" s="4" t="n">
        <v>33</v>
      </c>
      <c r="M170" s="4" t="n">
        <v>10</v>
      </c>
      <c r="N170" s="5" t="n">
        <v>2</v>
      </c>
      <c r="O170" s="3" t="inlineStr">
        <is>
          <t>대박 신축 1.5룸</t>
        </is>
      </c>
      <c r="P170" s="6">
        <f>HYPERLINK("https://fin.land.naver.com/articles/2652545951", "매물Link")</f>
        <v/>
      </c>
      <c r="Q170" s="6">
        <f>HYPERLINK("https://map.naver.com/p/search/부강면 부강리 959-1", "지도Link")</f>
        <v/>
      </c>
      <c r="R170" s="6">
        <f>HYPERLINK("http://www.eum.go.kr/web/ar/lu/luLandDet.jsp?pnu=3611033021109590001&amp;isNoScr=script&amp;mode=search", "토지이음")</f>
        <v/>
      </c>
      <c r="S170" s="3" t="inlineStr">
        <is>
          <t>부강대박</t>
        </is>
      </c>
      <c r="T170" s="4" t="n">
        <v>1</v>
      </c>
      <c r="U170" s="5" t="n">
        <v>207</v>
      </c>
      <c r="V170" s="4" t="n">
        <v>422</v>
      </c>
      <c r="W170" s="3" t="inlineStr">
        <is>
          <t>지정되지않음</t>
        </is>
      </c>
      <c r="X170" s="3" t="inlineStr">
        <is>
          <t>다세대</t>
        </is>
      </c>
      <c r="Y170" s="3" t="inlineStr">
        <is>
          <t>평지</t>
        </is>
      </c>
      <c r="Z170" s="3" t="inlineStr">
        <is>
          <t>부정형</t>
        </is>
      </c>
      <c r="AA170" s="3" t="inlineStr">
        <is>
          <t>세로한면(가)</t>
        </is>
      </c>
    </row>
    <row r="171">
      <c r="A171" s="3" t="inlineStr">
        <is>
          <t>부강면 부강리 966-10</t>
        </is>
      </c>
      <c r="B171" s="3" t="inlineStr">
        <is>
          <t>제2종일반주거지역</t>
        </is>
      </c>
      <c r="C171" s="3" t="inlineStr">
        <is>
          <t>대</t>
        </is>
      </c>
      <c r="D171" s="3" t="inlineStr">
        <is>
          <t>3</t>
        </is>
      </c>
      <c r="E171" s="3" t="inlineStr">
        <is>
          <t>일반원룸</t>
        </is>
      </c>
      <c r="F171" s="3" t="inlineStr">
        <is>
          <t>월세</t>
        </is>
      </c>
      <c r="G171" s="4" t="n">
        <v>200</v>
      </c>
      <c r="H171" s="4" t="n">
        <v>38</v>
      </c>
      <c r="I171" s="4" t="n">
        <v>30</v>
      </c>
      <c r="J171" s="4" t="n">
        <v>9</v>
      </c>
      <c r="K171" s="5" t="n">
        <v>4.2</v>
      </c>
      <c r="L171" s="4" t="n">
        <v>22</v>
      </c>
      <c r="M171" s="4" t="n">
        <v>7</v>
      </c>
      <c r="N171" s="5" t="n">
        <v>5.4</v>
      </c>
      <c r="O171" s="3" t="inlineStr">
        <is>
          <t>주차공간이 종흔 풀옵션 원룸</t>
        </is>
      </c>
      <c r="P171" s="6">
        <f>HYPERLINK("https://fin.land.naver.com/articles/2652929900", "매물Link")</f>
        <v/>
      </c>
      <c r="Q171" s="6">
        <f>HYPERLINK("https://map.naver.com/p/search/부강면 부강리 966-10", "지도Link")</f>
        <v/>
      </c>
      <c r="R171" s="6">
        <f>HYPERLINK("http://www.eum.go.kr/web/ar/lu/luLandDet.jsp?pnu=3611033021109660010&amp;isNoScr=script&amp;mode=search", "토지이음")</f>
        <v/>
      </c>
      <c r="S171" s="3" t="inlineStr">
        <is>
          <t>세종시</t>
        </is>
      </c>
      <c r="T171" s="4" t="n">
        <v>1</v>
      </c>
      <c r="U171" s="5" t="n">
        <v>234.3</v>
      </c>
      <c r="V171" s="4" t="n">
        <v>400</v>
      </c>
      <c r="W171" s="3" t="inlineStr">
        <is>
          <t>지정되지않음</t>
        </is>
      </c>
      <c r="X171" s="3" t="inlineStr">
        <is>
          <t>단독</t>
        </is>
      </c>
      <c r="Y171" s="3" t="inlineStr">
        <is>
          <t>평지</t>
        </is>
      </c>
      <c r="Z171" s="3" t="inlineStr">
        <is>
          <t>사다리형</t>
        </is>
      </c>
      <c r="AA171" s="3" t="inlineStr">
        <is>
          <t>세로각지(가)</t>
        </is>
      </c>
    </row>
    <row r="172">
      <c r="A172" s="3" t="inlineStr">
        <is>
          <t>부강면 부강리 966-10</t>
        </is>
      </c>
      <c r="B172" s="3" t="inlineStr">
        <is>
          <t>제2종일반주거지역</t>
        </is>
      </c>
      <c r="C172" s="3" t="inlineStr">
        <is>
          <t>대</t>
        </is>
      </c>
      <c r="D172" s="3" t="inlineStr">
        <is>
          <t>2</t>
        </is>
      </c>
      <c r="E172" s="3" t="inlineStr">
        <is>
          <t>일반원룸</t>
        </is>
      </c>
      <c r="F172" s="3" t="inlineStr">
        <is>
          <t>단기임대</t>
        </is>
      </c>
      <c r="G172" s="4" t="n">
        <v>100</v>
      </c>
      <c r="H172" s="4" t="n">
        <v>60</v>
      </c>
      <c r="I172" s="4" t="n">
        <v>38</v>
      </c>
      <c r="J172" s="4" t="n">
        <v>11</v>
      </c>
      <c r="K172" s="5" t="n">
        <v>9.1</v>
      </c>
      <c r="L172" s="4" t="n">
        <v>33</v>
      </c>
      <c r="M172" s="4" t="n">
        <v>10</v>
      </c>
      <c r="N172" s="5" t="n">
        <v>10</v>
      </c>
      <c r="O172" s="3" t="inlineStr">
        <is>
          <t>풀옵션 1.5룸 단기임대</t>
        </is>
      </c>
      <c r="P172" s="6">
        <f>HYPERLINK("https://fin.land.naver.com/articles/2654096390", "매물Link")</f>
        <v/>
      </c>
      <c r="Q172" s="6">
        <f>HYPERLINK("https://map.naver.com/p/search/부강면 부강리 966-10", "지도Link")</f>
        <v/>
      </c>
      <c r="R172" s="6">
        <f>HYPERLINK("http://www.eum.go.kr/web/ar/lu/luLandDet.jsp?pnu=3611033021109660010&amp;isNoScr=script&amp;mode=search", "토지이음")</f>
        <v/>
      </c>
      <c r="S172" s="3" t="inlineStr">
        <is>
          <t>세종시</t>
        </is>
      </c>
      <c r="T172" s="4" t="n">
        <v>1</v>
      </c>
      <c r="U172" s="5" t="n">
        <v>234.3</v>
      </c>
      <c r="V172" s="4" t="n">
        <v>400</v>
      </c>
      <c r="W172" s="3" t="inlineStr">
        <is>
          <t>지정되지않음</t>
        </is>
      </c>
      <c r="X172" s="3" t="inlineStr">
        <is>
          <t>단독</t>
        </is>
      </c>
      <c r="Y172" s="3" t="inlineStr">
        <is>
          <t>평지</t>
        </is>
      </c>
      <c r="Z172" s="3" t="inlineStr">
        <is>
          <t>사다리형</t>
        </is>
      </c>
      <c r="AA172" s="3" t="inlineStr">
        <is>
          <t>세로각지(가)</t>
        </is>
      </c>
    </row>
    <row r="173">
      <c r="A173" s="3" t="inlineStr">
        <is>
          <t>부강면 부강리 970-11</t>
        </is>
      </c>
      <c r="B173" s="3" t="inlineStr">
        <is>
          <t>제2종일반주거지역</t>
        </is>
      </c>
      <c r="C173" s="3" t="inlineStr">
        <is>
          <t>대</t>
        </is>
      </c>
      <c r="D173" s="3" t="inlineStr">
        <is>
          <t>2</t>
        </is>
      </c>
      <c r="E173" s="3" t="inlineStr">
        <is>
          <t>일반원룸</t>
        </is>
      </c>
      <c r="F173" s="3" t="inlineStr">
        <is>
          <t>월세</t>
        </is>
      </c>
      <c r="G173" s="4" t="n">
        <v>300</v>
      </c>
      <c r="H173" s="4" t="n">
        <v>55</v>
      </c>
      <c r="I173" s="4" t="n">
        <v>50</v>
      </c>
      <c r="J173" s="4" t="n">
        <v>15</v>
      </c>
      <c r="K173" s="5" t="n">
        <v>3.7</v>
      </c>
      <c r="L173" s="4" t="n">
        <v>40</v>
      </c>
      <c r="M173" s="4" t="n">
        <v>12</v>
      </c>
      <c r="N173" s="5" t="n">
        <v>4.6</v>
      </c>
      <c r="O173" s="3" t="inlineStr">
        <is>
          <t>지원l편세권.5룸lo멋진인테리어o위치최상</t>
        </is>
      </c>
      <c r="P173" s="6">
        <f>HYPERLINK("https://fin.land.naver.com/articles/2650948792", "매물Link")</f>
        <v/>
      </c>
      <c r="Q173" s="6">
        <f>HYPERLINK("https://map.naver.com/p/search/부강면 부강리 970-11", "지도Link")</f>
        <v/>
      </c>
      <c r="R173" s="6">
        <f>HYPERLINK("http://www.eum.go.kr/web/ar/lu/luLandDet.jsp?pnu=3611033021109700011&amp;isNoScr=script&amp;mode=search", "토지이음")</f>
        <v/>
      </c>
      <c r="S173" s="3" t="inlineStr">
        <is>
          <t>지원</t>
        </is>
      </c>
      <c r="T173" s="4" t="n">
        <v>1</v>
      </c>
      <c r="U173" s="5" t="n">
        <v>212.9</v>
      </c>
      <c r="V173" s="4" t="n">
        <v>392</v>
      </c>
      <c r="W173" s="3" t="inlineStr">
        <is>
          <t>지정되지않음</t>
        </is>
      </c>
      <c r="X173" s="3" t="inlineStr">
        <is>
          <t>단독</t>
        </is>
      </c>
      <c r="Y173" s="3" t="inlineStr">
        <is>
          <t>평지</t>
        </is>
      </c>
      <c r="Z173" s="3" t="inlineStr">
        <is>
          <t>사다리형</t>
        </is>
      </c>
      <c r="AA173" s="3" t="inlineStr">
        <is>
          <t>세로한면(가)</t>
        </is>
      </c>
    </row>
    <row r="174">
      <c r="A174" s="3" t="inlineStr">
        <is>
          <t>부강면 부강리 970-2</t>
        </is>
      </c>
      <c r="B174" s="3" t="inlineStr">
        <is>
          <t>제2종일반주거지역</t>
        </is>
      </c>
      <c r="C174" s="3" t="inlineStr">
        <is>
          <t>대</t>
        </is>
      </c>
      <c r="D174" s="3" t="inlineStr">
        <is>
          <t>4</t>
        </is>
      </c>
      <c r="E174" s="3" t="inlineStr">
        <is>
          <t>다가구</t>
        </is>
      </c>
      <c r="F174" s="3" t="inlineStr">
        <is>
          <t>매매</t>
        </is>
      </c>
      <c r="G174" s="4" t="n">
        <v>150000</v>
      </c>
      <c r="H174" s="4" t="n">
        <v>0</v>
      </c>
      <c r="I174" s="4" t="n">
        <v>401</v>
      </c>
      <c r="J174" s="4" t="n">
        <v>121</v>
      </c>
      <c r="K174" s="5" t="n">
        <v>1239.7</v>
      </c>
      <c r="L174" s="4" t="n">
        <v>597</v>
      </c>
      <c r="M174" s="4" t="n">
        <v>181</v>
      </c>
      <c r="N174" s="5" t="n">
        <v>828.7</v>
      </c>
      <c r="O174" s="3" t="inlineStr">
        <is>
          <t>nan</t>
        </is>
      </c>
      <c r="P174" s="6">
        <f>HYPERLINK("https://fin.land.naver.com/articles/2649601044", "매물Link")</f>
        <v/>
      </c>
      <c r="Q174" s="6">
        <f>HYPERLINK("https://map.naver.com/p/search/부강면 부강리 970-2", "지도Link")</f>
        <v/>
      </c>
      <c r="R174" s="6">
        <f>HYPERLINK("http://www.eum.go.kr/web/ar/lu/luLandDet.jsp?pnu=3611033021109700002&amp;isNoScr=script&amp;mode=search", "토지이음")</f>
        <v/>
      </c>
      <c r="S174" s="3" t="inlineStr">
        <is>
          <t>성훈</t>
        </is>
      </c>
      <c r="T174" s="4" t="n">
        <v>1</v>
      </c>
      <c r="U174" s="5" t="n">
        <v>204.4</v>
      </c>
      <c r="V174" s="4" t="n">
        <v>401</v>
      </c>
      <c r="W174" s="3" t="inlineStr">
        <is>
          <t>지정되지않음</t>
        </is>
      </c>
      <c r="X174" s="3" t="inlineStr">
        <is>
          <t>단독</t>
        </is>
      </c>
      <c r="Y174" s="3" t="inlineStr">
        <is>
          <t>평지</t>
        </is>
      </c>
      <c r="Z174" s="3" t="inlineStr">
        <is>
          <t>부정형</t>
        </is>
      </c>
      <c r="AA174" s="3" t="inlineStr">
        <is>
          <t>세로한면(가)</t>
        </is>
      </c>
    </row>
    <row r="175">
      <c r="A175" s="3" t="inlineStr">
        <is>
          <t>부강면 부강리 971-5</t>
        </is>
      </c>
      <c r="B175" s="3" t="inlineStr">
        <is>
          <t>제2종일반주거지역</t>
        </is>
      </c>
      <c r="C175" s="3" t="inlineStr">
        <is>
          <t>대</t>
        </is>
      </c>
      <c r="D175" s="3" t="inlineStr">
        <is>
          <t>2</t>
        </is>
      </c>
      <c r="E175" s="3" t="inlineStr">
        <is>
          <t>일반원룸</t>
        </is>
      </c>
      <c r="F175" s="3" t="inlineStr">
        <is>
          <t>월세</t>
        </is>
      </c>
      <c r="G175" s="4" t="n">
        <v>500</v>
      </c>
      <c r="H175" s="4" t="n">
        <v>50</v>
      </c>
      <c r="I175" s="4" t="n">
        <v>40</v>
      </c>
      <c r="J175" s="4" t="n">
        <v>12</v>
      </c>
      <c r="K175" s="5" t="n">
        <v>4.2</v>
      </c>
      <c r="L175" s="4" t="n">
        <v>33</v>
      </c>
      <c r="M175" s="4" t="n">
        <v>10</v>
      </c>
      <c r="N175" s="5" t="n">
        <v>5</v>
      </c>
      <c r="O175" s="3" t="inlineStr">
        <is>
          <t>신축급 풀옵션 1.5룸</t>
        </is>
      </c>
      <c r="P175" s="6">
        <f>HYPERLINK("https://fin.land.naver.com/articles/2653297083", "매물Link")</f>
        <v/>
      </c>
      <c r="Q175" s="6">
        <f>HYPERLINK("https://map.naver.com/p/search/부강면 부강리 971-5", "지도Link")</f>
        <v/>
      </c>
      <c r="R175" s="6">
        <f>HYPERLINK("http://www.eum.go.kr/web/ar/lu/luLandDet.jsp?pnu=3611033021109710005&amp;isNoScr=script&amp;mode=search", "토지이음")</f>
        <v/>
      </c>
      <c r="S175" s="3" t="inlineStr">
        <is>
          <t>세종시</t>
        </is>
      </c>
      <c r="T175" s="4" t="n">
        <v>1</v>
      </c>
      <c r="U175" s="5" t="n">
        <v>230</v>
      </c>
      <c r="V175" s="4" t="n">
        <v>390</v>
      </c>
      <c r="W175" s="3" t="inlineStr">
        <is>
          <t>지정되지않음</t>
        </is>
      </c>
      <c r="X175" s="3" t="inlineStr">
        <is>
          <t>단독</t>
        </is>
      </c>
      <c r="Y175" s="3" t="inlineStr">
        <is>
          <t>평지</t>
        </is>
      </c>
      <c r="Z175" s="3" t="inlineStr">
        <is>
          <t>사다리형</t>
        </is>
      </c>
      <c r="AA175" s="3" t="inlineStr">
        <is>
          <t>세로각지(가)</t>
        </is>
      </c>
    </row>
    <row r="176">
      <c r="A176" s="3" t="inlineStr">
        <is>
          <t>부강면 부강리 973-25</t>
        </is>
      </c>
      <c r="B176" s="3" t="inlineStr">
        <is>
          <t>제2종일반주거지역</t>
        </is>
      </c>
      <c r="C176" s="3" t="inlineStr">
        <is>
          <t>대</t>
        </is>
      </c>
      <c r="D176" s="3" t="inlineStr">
        <is>
          <t>4</t>
        </is>
      </c>
      <c r="E176" s="3" t="inlineStr">
        <is>
          <t>다가구</t>
        </is>
      </c>
      <c r="F176" s="3" t="inlineStr">
        <is>
          <t>매매</t>
        </is>
      </c>
      <c r="G176" s="4" t="n">
        <v>140000</v>
      </c>
      <c r="H176" s="4" t="n">
        <v>0</v>
      </c>
      <c r="I176" s="4" t="n">
        <v>321</v>
      </c>
      <c r="J176" s="4" t="n">
        <v>97</v>
      </c>
      <c r="K176" s="5" t="n">
        <v>1443.3</v>
      </c>
      <c r="L176" s="4" t="n">
        <v>452</v>
      </c>
      <c r="M176" s="4" t="n">
        <v>137</v>
      </c>
      <c r="N176" s="5" t="n">
        <v>1021.9</v>
      </c>
      <c r="O176" s="3" t="inlineStr">
        <is>
          <t>사진보기, 신축, 부강역,공단인근 세입자수요많은지역 높은수익률,만실운영중</t>
        </is>
      </c>
      <c r="P176" s="6">
        <f>HYPERLINK("https://fin.land.naver.com/articles/2649586451", "매물Link")</f>
        <v/>
      </c>
      <c r="Q176" s="6">
        <f>HYPERLINK("https://map.naver.com/p/search/부강면 부강리 973-25", "지도Link")</f>
        <v/>
      </c>
      <c r="R176" s="6">
        <f>HYPERLINK("http://www.eum.go.kr/web/ar/lu/luLandDet.jsp?pnu=3611033021109730025&amp;isNoScr=script&amp;mode=search", "토지이음")</f>
        <v/>
      </c>
      <c r="S176" s="3" t="inlineStr">
        <is>
          <t>향기나는방</t>
        </is>
      </c>
      <c r="T176" s="4" t="n">
        <v>1</v>
      </c>
      <c r="U176" s="5" t="n">
        <v>184.9</v>
      </c>
      <c r="V176" s="4" t="n">
        <v>321</v>
      </c>
      <c r="W176" s="3" t="inlineStr">
        <is>
          <t>지정되지않음</t>
        </is>
      </c>
      <c r="X176" s="3" t="inlineStr">
        <is>
          <t>주거기타</t>
        </is>
      </c>
      <c r="Y176" s="3" t="inlineStr">
        <is>
          <t>평지</t>
        </is>
      </c>
      <c r="Z176" s="3" t="inlineStr">
        <is>
          <t>가로장방</t>
        </is>
      </c>
      <c r="AA176" s="3" t="inlineStr">
        <is>
          <t>세로한면(가)</t>
        </is>
      </c>
    </row>
    <row r="177">
      <c r="A177" s="3" t="inlineStr">
        <is>
          <t>아름동 1046</t>
        </is>
      </c>
      <c r="B177" s="3" t="inlineStr">
        <is>
          <t>제1종전용주거지역</t>
        </is>
      </c>
      <c r="C177" s="3" t="inlineStr">
        <is>
          <t>대</t>
        </is>
      </c>
      <c r="D177" s="3" t="inlineStr">
        <is>
          <t>2</t>
        </is>
      </c>
      <c r="E177" s="3" t="inlineStr">
        <is>
          <t>단독</t>
        </is>
      </c>
      <c r="F177" s="3" t="inlineStr">
        <is>
          <t>매매</t>
        </is>
      </c>
      <c r="G177" s="4" t="n">
        <v>140000</v>
      </c>
      <c r="H177" s="4" t="n">
        <v>0</v>
      </c>
      <c r="I177" s="4" t="n">
        <v>332</v>
      </c>
      <c r="J177" s="4" t="n">
        <v>100</v>
      </c>
      <c r="K177" s="5" t="n">
        <v>1400</v>
      </c>
      <c r="L177" s="4" t="n">
        <v>165</v>
      </c>
      <c r="M177" s="4" t="n">
        <v>50</v>
      </c>
      <c r="N177" s="5" t="n">
        <v>2800</v>
      </c>
      <c r="O177" s="3" t="inlineStr">
        <is>
          <t>태양광설치, 풀에어컨, 실링팬, 방4개, 화장실3개</t>
        </is>
      </c>
      <c r="P177" s="6">
        <f>HYPERLINK("https://fin.land.naver.com/articles/2652842053", "매물Link")</f>
        <v/>
      </c>
      <c r="Q177" s="6">
        <f>HYPERLINK("https://map.naver.com/p/search/아름동 1046", "지도Link")</f>
        <v/>
      </c>
      <c r="R177" s="6">
        <f>HYPERLINK("http://www.eum.go.kr/web/ar/lu/luLandDet.jsp?pnu=3611011300110460000&amp;isNoScr=script&amp;mode=search", "토지이음")</f>
        <v/>
      </c>
      <c r="S177" s="3" t="inlineStr">
        <is>
          <t>세종무지개</t>
        </is>
      </c>
      <c r="T177" s="4" t="n">
        <v>1</v>
      </c>
      <c r="U177" s="5" t="n">
        <v>353.1</v>
      </c>
      <c r="V177" s="4" t="n">
        <v>332.4</v>
      </c>
      <c r="W177" s="3" t="inlineStr">
        <is>
          <t>지정되지않음</t>
        </is>
      </c>
      <c r="X177" s="3" t="inlineStr">
        <is>
          <t>단독</t>
        </is>
      </c>
      <c r="Y177" s="3" t="inlineStr">
        <is>
          <t>평지</t>
        </is>
      </c>
      <c r="Z177" s="3" t="inlineStr">
        <is>
          <t>가로장방</t>
        </is>
      </c>
      <c r="AA177" s="3" t="inlineStr">
        <is>
          <t>소로한면</t>
        </is>
      </c>
    </row>
    <row r="178">
      <c r="A178" s="3" t="inlineStr">
        <is>
          <t>아름동 1046</t>
        </is>
      </c>
      <c r="B178" s="3" t="inlineStr">
        <is>
          <t>제1종전용주거지역</t>
        </is>
      </c>
      <c r="C178" s="3" t="inlineStr">
        <is>
          <t>대</t>
        </is>
      </c>
      <c r="D178" s="3" t="inlineStr">
        <is>
          <t>2</t>
        </is>
      </c>
      <c r="E178" s="3" t="inlineStr">
        <is>
          <t>단독</t>
        </is>
      </c>
      <c r="F178" s="3" t="inlineStr">
        <is>
          <t>매매</t>
        </is>
      </c>
      <c r="G178" s="4" t="n">
        <v>140000</v>
      </c>
      <c r="H178" s="4" t="n">
        <v>0</v>
      </c>
      <c r="I178" s="4" t="n">
        <v>332</v>
      </c>
      <c r="J178" s="4" t="n">
        <v>100</v>
      </c>
      <c r="K178" s="5" t="n">
        <v>1400</v>
      </c>
      <c r="L178" s="4" t="n">
        <v>165</v>
      </c>
      <c r="M178" s="4" t="n">
        <v>50</v>
      </c>
      <c r="N178" s="5" t="n">
        <v>2800</v>
      </c>
      <c r="O178" s="3" t="inlineStr">
        <is>
          <t>태양광, 방4개, 화장실3개, 각방 에어컨, 실링팬</t>
        </is>
      </c>
      <c r="P178" s="6">
        <f>HYPERLINK("https://fin.land.naver.com/articles/2654227256", "매물Link")</f>
        <v/>
      </c>
      <c r="Q178" s="6">
        <f>HYPERLINK("https://map.naver.com/p/search/아름동 1046", "지도Link")</f>
        <v/>
      </c>
      <c r="R178" s="6">
        <f>HYPERLINK("http://www.eum.go.kr/web/ar/lu/luLandDet.jsp?pnu=3611011300110460000&amp;isNoScr=script&amp;mode=search", "토지이음")</f>
        <v/>
      </c>
      <c r="S178" s="3" t="inlineStr">
        <is>
          <t>명진</t>
        </is>
      </c>
      <c r="T178" s="4" t="n">
        <v>1</v>
      </c>
      <c r="U178" s="5" t="n">
        <v>353.1</v>
      </c>
      <c r="V178" s="4" t="n">
        <v>332.4</v>
      </c>
      <c r="W178" s="3" t="inlineStr">
        <is>
          <t>지정되지않음</t>
        </is>
      </c>
      <c r="X178" s="3" t="inlineStr">
        <is>
          <t>단독</t>
        </is>
      </c>
      <c r="Y178" s="3" t="inlineStr">
        <is>
          <t>평지</t>
        </is>
      </c>
      <c r="Z178" s="3" t="inlineStr">
        <is>
          <t>가로장방</t>
        </is>
      </c>
      <c r="AA178" s="3" t="inlineStr">
        <is>
          <t>소로한면</t>
        </is>
      </c>
    </row>
    <row r="179">
      <c r="A179" s="3" t="inlineStr">
        <is>
          <t>아름동 1046</t>
        </is>
      </c>
      <c r="B179" s="3" t="inlineStr">
        <is>
          <t>제1종전용주거지역</t>
        </is>
      </c>
      <c r="C179" s="3" t="inlineStr">
        <is>
          <t>대</t>
        </is>
      </c>
      <c r="D179" s="3" t="inlineStr">
        <is>
          <t>2</t>
        </is>
      </c>
      <c r="E179" s="3" t="inlineStr">
        <is>
          <t>단독</t>
        </is>
      </c>
      <c r="F179" s="3" t="inlineStr">
        <is>
          <t>매매</t>
        </is>
      </c>
      <c r="G179" s="4" t="n">
        <v>140000</v>
      </c>
      <c r="H179" s="4" t="n">
        <v>0</v>
      </c>
      <c r="I179" s="4" t="n">
        <v>33</v>
      </c>
      <c r="J179" s="4" t="n">
        <v>10</v>
      </c>
      <c r="K179" s="5" t="n">
        <v>14000</v>
      </c>
      <c r="L179" s="4" t="n">
        <v>157</v>
      </c>
      <c r="M179" s="4" t="n">
        <v>47</v>
      </c>
      <c r="N179" s="5" t="n">
        <v>2978.7</v>
      </c>
      <c r="O179" s="3" t="inlineStr">
        <is>
          <t>교통편리한 세종 아름동 주택가, 서울세종고속도로,국도1호선, 세종외곽도로</t>
        </is>
      </c>
      <c r="P179" s="6">
        <f>HYPERLINK("https://fin.land.naver.com/articles/2651678765", "매물Link")</f>
        <v/>
      </c>
      <c r="Q179" s="6">
        <f>HYPERLINK("https://map.naver.com/p/search/아름동 1046", "지도Link")</f>
        <v/>
      </c>
      <c r="R179" s="6">
        <f>HYPERLINK("http://www.eum.go.kr/web/ar/lu/luLandDet.jsp?pnu=3611011300110460000&amp;isNoScr=script&amp;mode=search", "토지이음")</f>
        <v/>
      </c>
      <c r="S179" s="3" t="inlineStr">
        <is>
          <t>아름</t>
        </is>
      </c>
      <c r="T179" s="4" t="n">
        <v>1</v>
      </c>
      <c r="U179" s="5" t="n">
        <v>353.1</v>
      </c>
      <c r="V179" s="4" t="n">
        <v>332.4</v>
      </c>
      <c r="W179" s="3" t="inlineStr">
        <is>
          <t>지정되지않음</t>
        </is>
      </c>
      <c r="X179" s="3" t="inlineStr">
        <is>
          <t>단독</t>
        </is>
      </c>
      <c r="Y179" s="3" t="inlineStr">
        <is>
          <t>평지</t>
        </is>
      </c>
      <c r="Z179" s="3" t="inlineStr">
        <is>
          <t>가로장방</t>
        </is>
      </c>
      <c r="AA179" s="3" t="inlineStr">
        <is>
          <t>소로한면</t>
        </is>
      </c>
    </row>
    <row r="180">
      <c r="A180" s="3" t="inlineStr">
        <is>
          <t>아름동 1113</t>
        </is>
      </c>
      <c r="B180" s="3" t="inlineStr">
        <is>
          <t>제1종전용주거지역</t>
        </is>
      </c>
      <c r="C180" s="3" t="inlineStr">
        <is>
          <t>대</t>
        </is>
      </c>
      <c r="D180" s="3" t="inlineStr">
        <is>
          <t>2</t>
        </is>
      </c>
      <c r="E180" s="3" t="inlineStr">
        <is>
          <t>단독</t>
        </is>
      </c>
      <c r="F180" s="3" t="inlineStr">
        <is>
          <t>매매</t>
        </is>
      </c>
      <c r="G180" s="4" t="n">
        <v>105000</v>
      </c>
      <c r="H180" s="4" t="n">
        <v>0</v>
      </c>
      <c r="I180" s="4" t="n">
        <v>327</v>
      </c>
      <c r="J180" s="4" t="n">
        <v>99</v>
      </c>
      <c r="K180" s="5" t="n">
        <v>1060.6</v>
      </c>
      <c r="L180" s="4" t="n">
        <v>149</v>
      </c>
      <c r="M180" s="4" t="n">
        <v>45</v>
      </c>
      <c r="N180" s="5" t="n">
        <v>2333.3</v>
      </c>
      <c r="O180" s="3" t="inlineStr">
        <is>
          <t>정남향 충대병원  단독매매</t>
        </is>
      </c>
      <c r="P180" s="6">
        <f>HYPERLINK("https://fin.land.naver.com/articles/2654518463", "매물Link")</f>
        <v/>
      </c>
      <c r="Q180" s="6">
        <f>HYPERLINK("https://map.naver.com/p/search/아름동 1113", "지도Link")</f>
        <v/>
      </c>
      <c r="R180" s="6">
        <f>HYPERLINK("http://www.eum.go.kr/web/ar/lu/luLandDet.jsp?pnu=3611011300111130000&amp;isNoScr=script&amp;mode=search", "토지이음")</f>
        <v/>
      </c>
      <c r="S180" s="3" t="inlineStr">
        <is>
          <t>THE행복</t>
        </is>
      </c>
      <c r="T180" s="4" t="n">
        <v>1</v>
      </c>
      <c r="U180" s="5" t="n">
        <v>356.4</v>
      </c>
      <c r="V180" s="4" t="n">
        <v>327.5</v>
      </c>
      <c r="W180" s="3" t="inlineStr">
        <is>
          <t>지정되지않음</t>
        </is>
      </c>
      <c r="X180" s="3" t="inlineStr">
        <is>
          <t>단독</t>
        </is>
      </c>
      <c r="Y180" s="3" t="inlineStr">
        <is>
          <t>평지</t>
        </is>
      </c>
      <c r="Z180" s="3" t="inlineStr">
        <is>
          <t>가로장방</t>
        </is>
      </c>
      <c r="AA180" s="3" t="inlineStr">
        <is>
          <t>소로한면</t>
        </is>
      </c>
    </row>
    <row r="181">
      <c r="A181" s="3" t="inlineStr">
        <is>
          <t>아름동 1148</t>
        </is>
      </c>
      <c r="B181" s="3" t="inlineStr">
        <is>
          <t>제1종전용주거지역</t>
        </is>
      </c>
      <c r="C181" s="3" t="inlineStr">
        <is>
          <t>대</t>
        </is>
      </c>
      <c r="D181" s="3" t="inlineStr">
        <is>
          <t>2</t>
        </is>
      </c>
      <c r="E181" s="3" t="inlineStr">
        <is>
          <t>단독</t>
        </is>
      </c>
      <c r="F181" s="3" t="inlineStr">
        <is>
          <t>매매</t>
        </is>
      </c>
      <c r="G181" s="4" t="n">
        <v>130000</v>
      </c>
      <c r="H181" s="4" t="n">
        <v>0</v>
      </c>
      <c r="I181" s="4" t="n">
        <v>328</v>
      </c>
      <c r="J181" s="4" t="n">
        <v>99</v>
      </c>
      <c r="K181" s="5" t="n">
        <v>1313.1</v>
      </c>
      <c r="L181" s="4" t="n">
        <v>148</v>
      </c>
      <c r="M181" s="4" t="n">
        <v>45</v>
      </c>
      <c r="N181" s="5" t="n">
        <v>2888.9</v>
      </c>
      <c r="O181" s="3" t="inlineStr">
        <is>
          <t>벽난로. 태양광, 국제고인근 남향. 가격조율 가능한</t>
        </is>
      </c>
      <c r="P181" s="6">
        <f>HYPERLINK("https://fin.land.naver.com/articles/2652825554", "매물Link")</f>
        <v/>
      </c>
      <c r="Q181" s="6">
        <f>HYPERLINK("https://map.naver.com/p/search/아름동 1148", "지도Link")</f>
        <v/>
      </c>
      <c r="R181" s="6">
        <f>HYPERLINK("http://www.eum.go.kr/web/ar/lu/luLandDet.jsp?pnu=3611011300111480000&amp;isNoScr=script&amp;mode=search", "토지이음")</f>
        <v/>
      </c>
      <c r="S181" s="3" t="inlineStr">
        <is>
          <t>최무연</t>
        </is>
      </c>
      <c r="T181" s="4" t="n">
        <v>1</v>
      </c>
      <c r="U181" s="5" t="n">
        <v>356.4</v>
      </c>
      <c r="V181" s="4" t="n">
        <v>328.7</v>
      </c>
      <c r="W181" s="3" t="inlineStr">
        <is>
          <t>지정되지않음</t>
        </is>
      </c>
      <c r="X181" s="3" t="inlineStr">
        <is>
          <t>단독</t>
        </is>
      </c>
      <c r="Y181" s="3" t="inlineStr">
        <is>
          <t>평지</t>
        </is>
      </c>
      <c r="Z181" s="3" t="inlineStr">
        <is>
          <t>가로장방</t>
        </is>
      </c>
      <c r="AA181" s="3" t="inlineStr">
        <is>
          <t>소로한면</t>
        </is>
      </c>
    </row>
    <row r="182">
      <c r="A182" s="3" t="inlineStr">
        <is>
          <t>아름동 1148</t>
        </is>
      </c>
      <c r="B182" s="3" t="inlineStr">
        <is>
          <t>제1종전용주거지역</t>
        </is>
      </c>
      <c r="C182" s="3" t="inlineStr">
        <is>
          <t>대</t>
        </is>
      </c>
      <c r="D182" s="3" t="inlineStr">
        <is>
          <t>2</t>
        </is>
      </c>
      <c r="E182" s="3" t="inlineStr">
        <is>
          <t>단독</t>
        </is>
      </c>
      <c r="F182" s="3" t="inlineStr">
        <is>
          <t>매매</t>
        </is>
      </c>
      <c r="G182" s="4" t="n">
        <v>130000</v>
      </c>
      <c r="H182" s="4" t="n">
        <v>0</v>
      </c>
      <c r="I182" s="4" t="n">
        <v>328</v>
      </c>
      <c r="J182" s="4" t="n">
        <v>99</v>
      </c>
      <c r="K182" s="5" t="n">
        <v>1313.1</v>
      </c>
      <c r="L182" s="4" t="n">
        <v>148</v>
      </c>
      <c r="M182" s="4" t="n">
        <v>45</v>
      </c>
      <c r="N182" s="5" t="n">
        <v>2888.9</v>
      </c>
      <c r="O182" s="3" t="inlineStr">
        <is>
          <t>입주협의 벽나로 태양광설치 남향 관리상태최상 가격조정가능</t>
        </is>
      </c>
      <c r="P182" s="6">
        <f>HYPERLINK("https://fin.land.naver.com/articles/2650696965", "매물Link")</f>
        <v/>
      </c>
      <c r="Q182" s="6">
        <f>HYPERLINK("https://map.naver.com/p/search/아름동 1148", "지도Link")</f>
        <v/>
      </c>
      <c r="R182" s="6">
        <f>HYPERLINK("http://www.eum.go.kr/web/ar/lu/luLandDet.jsp?pnu=3611011300111480000&amp;isNoScr=script&amp;mode=search", "토지이음")</f>
        <v/>
      </c>
      <c r="S182" s="3" t="inlineStr">
        <is>
          <t>고운동리치세종</t>
        </is>
      </c>
      <c r="T182" s="4" t="n">
        <v>1</v>
      </c>
      <c r="U182" s="5" t="n">
        <v>356.4</v>
      </c>
      <c r="V182" s="4" t="n">
        <v>328.7</v>
      </c>
      <c r="W182" s="3" t="inlineStr">
        <is>
          <t>지정되지않음</t>
        </is>
      </c>
      <c r="X182" s="3" t="inlineStr">
        <is>
          <t>단독</t>
        </is>
      </c>
      <c r="Y182" s="3" t="inlineStr">
        <is>
          <t>평지</t>
        </is>
      </c>
      <c r="Z182" s="3" t="inlineStr">
        <is>
          <t>가로장방</t>
        </is>
      </c>
      <c r="AA182" s="3" t="inlineStr">
        <is>
          <t>소로한면</t>
        </is>
      </c>
    </row>
    <row r="183">
      <c r="A183" s="3" t="inlineStr">
        <is>
          <t>아름동 1148</t>
        </is>
      </c>
      <c r="B183" s="3" t="inlineStr">
        <is>
          <t>제1종전용주거지역</t>
        </is>
      </c>
      <c r="C183" s="3" t="inlineStr">
        <is>
          <t>대</t>
        </is>
      </c>
      <c r="D183" s="3" t="inlineStr">
        <is>
          <t>2</t>
        </is>
      </c>
      <c r="E183" s="3" t="inlineStr">
        <is>
          <t>단독</t>
        </is>
      </c>
      <c r="F183" s="3" t="inlineStr">
        <is>
          <t>매매</t>
        </is>
      </c>
      <c r="G183" s="4" t="n">
        <v>130000</v>
      </c>
      <c r="H183" s="4" t="n">
        <v>0</v>
      </c>
      <c r="I183" s="4" t="n">
        <v>328</v>
      </c>
      <c r="J183" s="4" t="n">
        <v>99</v>
      </c>
      <c r="K183" s="5" t="n">
        <v>1313.1</v>
      </c>
      <c r="L183" s="4" t="n">
        <v>148</v>
      </c>
      <c r="M183" s="4" t="n">
        <v>45</v>
      </c>
      <c r="N183" s="5" t="n">
        <v>2888.9</v>
      </c>
      <c r="O183" s="3" t="inlineStr">
        <is>
          <t>남향집으로 따뜻한 집 입니다. 입주는 협의 가능하며 가격절충가능합니다.</t>
        </is>
      </c>
      <c r="P183" s="6">
        <f>HYPERLINK("https://fin.land.naver.com/articles/2653236355", "매물Link")</f>
        <v/>
      </c>
      <c r="Q183" s="6">
        <f>HYPERLINK("https://map.naver.com/p/search/아름동 1148", "지도Link")</f>
        <v/>
      </c>
      <c r="R183" s="6">
        <f>HYPERLINK("http://www.eum.go.kr/web/ar/lu/luLandDet.jsp?pnu=3611011300111480000&amp;isNoScr=script&amp;mode=search", "토지이음")</f>
        <v/>
      </c>
      <c r="S183" s="3" t="inlineStr">
        <is>
          <t>주황푸르지오</t>
        </is>
      </c>
      <c r="T183" s="4" t="n">
        <v>1</v>
      </c>
      <c r="U183" s="5" t="n">
        <v>356.4</v>
      </c>
      <c r="V183" s="4" t="n">
        <v>328.7</v>
      </c>
      <c r="W183" s="3" t="inlineStr">
        <is>
          <t>지정되지않음</t>
        </is>
      </c>
      <c r="X183" s="3" t="inlineStr">
        <is>
          <t>단독</t>
        </is>
      </c>
      <c r="Y183" s="3" t="inlineStr">
        <is>
          <t>평지</t>
        </is>
      </c>
      <c r="Z183" s="3" t="inlineStr">
        <is>
          <t>가로장방</t>
        </is>
      </c>
      <c r="AA183" s="3" t="inlineStr">
        <is>
          <t>소로한면</t>
        </is>
      </c>
    </row>
    <row r="184">
      <c r="A184" s="3" t="inlineStr">
        <is>
          <t>아름동 1148</t>
        </is>
      </c>
      <c r="B184" s="3" t="inlineStr">
        <is>
          <t>제1종전용주거지역</t>
        </is>
      </c>
      <c r="C184" s="3" t="inlineStr">
        <is>
          <t>대</t>
        </is>
      </c>
      <c r="D184" s="3" t="inlineStr">
        <is>
          <t>2</t>
        </is>
      </c>
      <c r="E184" s="3" t="inlineStr">
        <is>
          <t>단독</t>
        </is>
      </c>
      <c r="F184" s="3" t="inlineStr">
        <is>
          <t>매매</t>
        </is>
      </c>
      <c r="G184" s="4" t="n">
        <v>130000</v>
      </c>
      <c r="H184" s="4" t="n">
        <v>0</v>
      </c>
      <c r="I184" s="4" t="n">
        <v>328</v>
      </c>
      <c r="J184" s="4" t="n">
        <v>99</v>
      </c>
      <c r="K184" s="5" t="n">
        <v>1313.1</v>
      </c>
      <c r="L184" s="4" t="n">
        <v>148</v>
      </c>
      <c r="M184" s="4" t="n">
        <v>45</v>
      </c>
      <c r="N184" s="5" t="n">
        <v>2888.9</v>
      </c>
      <c r="O184" s="3" t="inlineStr">
        <is>
          <t>벽난로 있는 예쁜집, 정남향, 조율가능, 태양광</t>
        </is>
      </c>
      <c r="P184" s="6">
        <f>HYPERLINK("https://fin.land.naver.com/articles/2652843975", "매물Link")</f>
        <v/>
      </c>
      <c r="Q184" s="6">
        <f>HYPERLINK("https://map.naver.com/p/search/아름동 1148", "지도Link")</f>
        <v/>
      </c>
      <c r="R184" s="6">
        <f>HYPERLINK("http://www.eum.go.kr/web/ar/lu/luLandDet.jsp?pnu=3611011300111480000&amp;isNoScr=script&amp;mode=search", "토지이음")</f>
        <v/>
      </c>
      <c r="S184" s="3" t="inlineStr">
        <is>
          <t>세종무지개</t>
        </is>
      </c>
      <c r="T184" s="4" t="n">
        <v>1</v>
      </c>
      <c r="U184" s="5" t="n">
        <v>356.4</v>
      </c>
      <c r="V184" s="4" t="n">
        <v>328.7</v>
      </c>
      <c r="W184" s="3" t="inlineStr">
        <is>
          <t>지정되지않음</t>
        </is>
      </c>
      <c r="X184" s="3" t="inlineStr">
        <is>
          <t>단독</t>
        </is>
      </c>
      <c r="Y184" s="3" t="inlineStr">
        <is>
          <t>평지</t>
        </is>
      </c>
      <c r="Z184" s="3" t="inlineStr">
        <is>
          <t>가로장방</t>
        </is>
      </c>
      <c r="AA184" s="3" t="inlineStr">
        <is>
          <t>소로한면</t>
        </is>
      </c>
    </row>
    <row r="185">
      <c r="A185" s="3" t="inlineStr">
        <is>
          <t>아름동 1224</t>
        </is>
      </c>
      <c r="B185" s="3" t="inlineStr">
        <is>
          <t>제1종전용주거지역</t>
        </is>
      </c>
      <c r="C185" s="3" t="inlineStr">
        <is>
          <t>대</t>
        </is>
      </c>
      <c r="D185" s="3" t="inlineStr">
        <is>
          <t>2</t>
        </is>
      </c>
      <c r="E185" s="3" t="inlineStr">
        <is>
          <t>단독</t>
        </is>
      </c>
      <c r="F185" s="3" t="inlineStr">
        <is>
          <t>매매</t>
        </is>
      </c>
      <c r="G185" s="4" t="n">
        <v>107000</v>
      </c>
      <c r="H185" s="4" t="n">
        <v>0</v>
      </c>
      <c r="I185" s="4" t="n">
        <v>364</v>
      </c>
      <c r="J185" s="4" t="n">
        <v>110</v>
      </c>
      <c r="K185" s="5" t="n">
        <v>972.7</v>
      </c>
      <c r="L185" s="4" t="n">
        <v>179</v>
      </c>
      <c r="M185" s="4" t="n">
        <v>54</v>
      </c>
      <c r="N185" s="5" t="n">
        <v>1981.5</v>
      </c>
      <c r="O185" s="3" t="inlineStr">
        <is>
          <t>아름초, 입지 좋은 단독주택, 상권이용 편리</t>
        </is>
      </c>
      <c r="P185" s="6">
        <f>HYPERLINK("https://fin.land.naver.com/articles/2654049608", "매물Link")</f>
        <v/>
      </c>
      <c r="Q185" s="6">
        <f>HYPERLINK("https://map.naver.com/p/search/아름동 1224", "지도Link")</f>
        <v/>
      </c>
      <c r="R185" s="6">
        <f>HYPERLINK("http://www.eum.go.kr/web/ar/lu/luLandDet.jsp?pnu=3611011300112240000&amp;isNoScr=script&amp;mode=search", "토지이음")</f>
        <v/>
      </c>
      <c r="S185" s="3" t="inlineStr">
        <is>
          <t>세종무지개</t>
        </is>
      </c>
      <c r="T185" s="4" t="n">
        <v>1</v>
      </c>
      <c r="U185" s="5" t="n">
        <v>343.1</v>
      </c>
      <c r="V185" s="4" t="n">
        <v>364.6</v>
      </c>
      <c r="W185" s="3" t="inlineStr">
        <is>
          <t>지정되지않음</t>
        </is>
      </c>
      <c r="X185" s="3" t="inlineStr">
        <is>
          <t>단독</t>
        </is>
      </c>
      <c r="Y185" s="3" t="inlineStr">
        <is>
          <t>평지</t>
        </is>
      </c>
      <c r="Z185" s="3" t="inlineStr">
        <is>
          <t>가로장방</t>
        </is>
      </c>
      <c r="AA185" s="3" t="inlineStr">
        <is>
          <t>소로한면</t>
        </is>
      </c>
    </row>
    <row r="186">
      <c r="A186" s="3" t="inlineStr">
        <is>
          <t>아름동 1241</t>
        </is>
      </c>
      <c r="B186" s="3" t="inlineStr">
        <is>
          <t>제1종전용주거지역</t>
        </is>
      </c>
      <c r="C186" s="3" t="inlineStr">
        <is>
          <t>대</t>
        </is>
      </c>
      <c r="D186" s="3" t="inlineStr">
        <is>
          <t>2</t>
        </is>
      </c>
      <c r="E186" s="3" t="inlineStr">
        <is>
          <t>단독</t>
        </is>
      </c>
      <c r="F186" s="3" t="inlineStr">
        <is>
          <t>매매</t>
        </is>
      </c>
      <c r="G186" s="4" t="n">
        <v>145000</v>
      </c>
      <c r="H186" s="4" t="n">
        <v>0</v>
      </c>
      <c r="I186" s="4" t="n">
        <v>353</v>
      </c>
      <c r="J186" s="4" t="n">
        <v>107</v>
      </c>
      <c r="K186" s="5" t="n">
        <v>1355.1</v>
      </c>
      <c r="L186" s="4" t="n">
        <v>160</v>
      </c>
      <c r="M186" s="4" t="n">
        <v>48</v>
      </c>
      <c r="N186" s="5" t="n">
        <v>3020.8</v>
      </c>
      <c r="O186" s="3" t="inlineStr">
        <is>
          <t>정원있는 조용한 전원주택 매매</t>
        </is>
      </c>
      <c r="P186" s="6">
        <f>HYPERLINK("https://fin.land.naver.com/articles/2650453397", "매물Link")</f>
        <v/>
      </c>
      <c r="Q186" s="6">
        <f>HYPERLINK("https://map.naver.com/p/search/아름동 1241", "지도Link")</f>
        <v/>
      </c>
      <c r="R186" s="6">
        <f>HYPERLINK("http://www.eum.go.kr/web/ar/lu/luLandDet.jsp?pnu=3611011300112410000&amp;isNoScr=script&amp;mode=search", "토지이음")</f>
        <v/>
      </c>
      <c r="S186" s="3" t="inlineStr">
        <is>
          <t>인서</t>
        </is>
      </c>
      <c r="T186" s="4" t="n">
        <v>1</v>
      </c>
      <c r="U186" s="5" t="n">
        <v>343.1</v>
      </c>
      <c r="V186" s="4" t="n">
        <v>353.2</v>
      </c>
      <c r="W186" s="3" t="inlineStr">
        <is>
          <t>지정되지않음</t>
        </is>
      </c>
      <c r="X186" s="3" t="inlineStr">
        <is>
          <t>단독</t>
        </is>
      </c>
      <c r="Y186" s="3" t="inlineStr">
        <is>
          <t>평지</t>
        </is>
      </c>
      <c r="Z186" s="3" t="inlineStr">
        <is>
          <t>가로장방</t>
        </is>
      </c>
      <c r="AA186" s="3" t="inlineStr">
        <is>
          <t>소로한면</t>
        </is>
      </c>
    </row>
    <row r="187">
      <c r="A187" s="3" t="inlineStr">
        <is>
          <t>아름동 1241</t>
        </is>
      </c>
      <c r="B187" s="3" t="inlineStr">
        <is>
          <t>제1종전용주거지역</t>
        </is>
      </c>
      <c r="C187" s="3" t="inlineStr">
        <is>
          <t>대</t>
        </is>
      </c>
      <c r="D187" s="3" t="inlineStr">
        <is>
          <t>2</t>
        </is>
      </c>
      <c r="E187" s="3" t="inlineStr">
        <is>
          <t>전원주택</t>
        </is>
      </c>
      <c r="F187" s="3" t="inlineStr">
        <is>
          <t>매매</t>
        </is>
      </c>
      <c r="G187" s="4" t="n">
        <v>145000</v>
      </c>
      <c r="H187" s="4" t="n">
        <v>0</v>
      </c>
      <c r="I187" s="4" t="n">
        <v>353</v>
      </c>
      <c r="J187" s="4" t="n">
        <v>107</v>
      </c>
      <c r="K187" s="5" t="n">
        <v>1355.1</v>
      </c>
      <c r="L187" s="4" t="n">
        <v>160</v>
      </c>
      <c r="M187" s="4" t="n">
        <v>48</v>
      </c>
      <c r="N187" s="5" t="n">
        <v>3020.8</v>
      </c>
      <c r="O187" s="3" t="inlineStr">
        <is>
          <t>튼튼하게 지어진 집   교통편리 정남향</t>
        </is>
      </c>
      <c r="P187" s="6">
        <f>HYPERLINK("https://fin.land.naver.com/articles/2652845581", "매물Link")</f>
        <v/>
      </c>
      <c r="Q187" s="6">
        <f>HYPERLINK("https://map.naver.com/p/search/아름동 1241", "지도Link")</f>
        <v/>
      </c>
      <c r="R187" s="6">
        <f>HYPERLINK("http://www.eum.go.kr/web/ar/lu/luLandDet.jsp?pnu=3611011300112410000&amp;isNoScr=script&amp;mode=search", "토지이음")</f>
        <v/>
      </c>
      <c r="S187" s="3" t="inlineStr">
        <is>
          <t>세종푸르지오</t>
        </is>
      </c>
      <c r="T187" s="4" t="n">
        <v>1</v>
      </c>
      <c r="U187" s="5" t="n">
        <v>343.1</v>
      </c>
      <c r="V187" s="4" t="n">
        <v>353.2</v>
      </c>
      <c r="W187" s="3" t="inlineStr">
        <is>
          <t>지정되지않음</t>
        </is>
      </c>
      <c r="X187" s="3" t="inlineStr">
        <is>
          <t>단독</t>
        </is>
      </c>
      <c r="Y187" s="3" t="inlineStr">
        <is>
          <t>평지</t>
        </is>
      </c>
      <c r="Z187" s="3" t="inlineStr">
        <is>
          <t>가로장방</t>
        </is>
      </c>
      <c r="AA187" s="3" t="inlineStr">
        <is>
          <t>소로한면</t>
        </is>
      </c>
    </row>
    <row r="188">
      <c r="A188" s="3" t="inlineStr">
        <is>
          <t>아름동 1241</t>
        </is>
      </c>
      <c r="B188" s="3" t="inlineStr">
        <is>
          <t>제1종전용주거지역</t>
        </is>
      </c>
      <c r="C188" s="3" t="inlineStr">
        <is>
          <t>대</t>
        </is>
      </c>
      <c r="D188" s="3" t="inlineStr">
        <is>
          <t>2</t>
        </is>
      </c>
      <c r="E188" s="3" t="inlineStr">
        <is>
          <t>단독</t>
        </is>
      </c>
      <c r="F188" s="3" t="inlineStr">
        <is>
          <t>매매</t>
        </is>
      </c>
      <c r="G188" s="4" t="n">
        <v>140000</v>
      </c>
      <c r="H188" s="4" t="n">
        <v>0</v>
      </c>
      <c r="I188" s="4" t="n">
        <v>353</v>
      </c>
      <c r="J188" s="4" t="n">
        <v>107</v>
      </c>
      <c r="K188" s="5" t="n">
        <v>1308.4</v>
      </c>
      <c r="L188" s="4" t="n">
        <v>160</v>
      </c>
      <c r="M188" s="4" t="n">
        <v>48</v>
      </c>
      <c r="N188" s="5" t="n">
        <v>2916.7</v>
      </c>
      <c r="O188" s="3" t="inlineStr">
        <is>
          <t>시스템에어컨풀, 주인거주, 협의입주, 1.2층 단독주택</t>
        </is>
      </c>
      <c r="P188" s="6">
        <f>HYPERLINK("https://fin.land.naver.com/articles/2652838554", "매물Link")</f>
        <v/>
      </c>
      <c r="Q188" s="6">
        <f>HYPERLINK("https://map.naver.com/p/search/아름동 1241", "지도Link")</f>
        <v/>
      </c>
      <c r="R188" s="6">
        <f>HYPERLINK("http://www.eum.go.kr/web/ar/lu/luLandDet.jsp?pnu=3611011300112410000&amp;isNoScr=script&amp;mode=search", "토지이음")</f>
        <v/>
      </c>
      <c r="S188" s="3" t="inlineStr">
        <is>
          <t>세종무지개</t>
        </is>
      </c>
      <c r="T188" s="4" t="n">
        <v>1</v>
      </c>
      <c r="U188" s="5" t="n">
        <v>343.1</v>
      </c>
      <c r="V188" s="4" t="n">
        <v>353.2</v>
      </c>
      <c r="W188" s="3" t="inlineStr">
        <is>
          <t>지정되지않음</t>
        </is>
      </c>
      <c r="X188" s="3" t="inlineStr">
        <is>
          <t>단독</t>
        </is>
      </c>
      <c r="Y188" s="3" t="inlineStr">
        <is>
          <t>평지</t>
        </is>
      </c>
      <c r="Z188" s="3" t="inlineStr">
        <is>
          <t>가로장방</t>
        </is>
      </c>
      <c r="AA188" s="3" t="inlineStr">
        <is>
          <t>소로한면</t>
        </is>
      </c>
    </row>
    <row r="189">
      <c r="A189" s="3" t="inlineStr">
        <is>
          <t>아름동 1241</t>
        </is>
      </c>
      <c r="B189" s="3" t="inlineStr">
        <is>
          <t>제1종전용주거지역</t>
        </is>
      </c>
      <c r="C189" s="3" t="inlineStr">
        <is>
          <t>대</t>
        </is>
      </c>
      <c r="D189" s="3" t="inlineStr">
        <is>
          <t>2</t>
        </is>
      </c>
      <c r="E189" s="3" t="inlineStr">
        <is>
          <t>전원주택</t>
        </is>
      </c>
      <c r="F189" s="3" t="inlineStr">
        <is>
          <t>매매</t>
        </is>
      </c>
      <c r="G189" s="4" t="n">
        <v>145000</v>
      </c>
      <c r="H189" s="4" t="n">
        <v>0</v>
      </c>
      <c r="I189" s="4" t="n">
        <v>353</v>
      </c>
      <c r="J189" s="4" t="n">
        <v>107</v>
      </c>
      <c r="K189" s="5" t="n">
        <v>1355.1</v>
      </c>
      <c r="L189" s="4" t="n">
        <v>160</v>
      </c>
      <c r="M189" s="4" t="n">
        <v>48</v>
      </c>
      <c r="N189" s="5" t="n">
        <v>3020.8</v>
      </c>
      <c r="O189" s="3" t="inlineStr">
        <is>
          <t>철근콘크리트 튼튼  시스템에어컨 5대 단독 매매</t>
        </is>
      </c>
      <c r="P189" s="6">
        <f>HYPERLINK("https://fin.land.naver.com/articles/2650613200", "매물Link")</f>
        <v/>
      </c>
      <c r="Q189" s="6">
        <f>HYPERLINK("https://map.naver.com/p/search/아름동 1241", "지도Link")</f>
        <v/>
      </c>
      <c r="R189" s="6">
        <f>HYPERLINK("http://www.eum.go.kr/web/ar/lu/luLandDet.jsp?pnu=3611011300112410000&amp;isNoScr=script&amp;mode=search", "토지이음")</f>
        <v/>
      </c>
      <c r="S189" s="3" t="inlineStr">
        <is>
          <t>THE행복</t>
        </is>
      </c>
      <c r="T189" s="4" t="n">
        <v>1</v>
      </c>
      <c r="U189" s="5" t="n">
        <v>343.1</v>
      </c>
      <c r="V189" s="4" t="n">
        <v>353.2</v>
      </c>
      <c r="W189" s="3" t="inlineStr">
        <is>
          <t>지정되지않음</t>
        </is>
      </c>
      <c r="X189" s="3" t="inlineStr">
        <is>
          <t>단독</t>
        </is>
      </c>
      <c r="Y189" s="3" t="inlineStr">
        <is>
          <t>평지</t>
        </is>
      </c>
      <c r="Z189" s="3" t="inlineStr">
        <is>
          <t>가로장방</t>
        </is>
      </c>
      <c r="AA189" s="3" t="inlineStr">
        <is>
          <t>소로한면</t>
        </is>
      </c>
    </row>
    <row r="190">
      <c r="A190" s="3" t="inlineStr">
        <is>
          <t>아름동 1241</t>
        </is>
      </c>
      <c r="B190" s="3" t="inlineStr">
        <is>
          <t>제1종전용주거지역</t>
        </is>
      </c>
      <c r="C190" s="3" t="inlineStr">
        <is>
          <t>대</t>
        </is>
      </c>
      <c r="D190" s="3" t="inlineStr">
        <is>
          <t>2</t>
        </is>
      </c>
      <c r="E190" s="3" t="inlineStr">
        <is>
          <t>단독</t>
        </is>
      </c>
      <c r="F190" s="3" t="inlineStr">
        <is>
          <t>매매</t>
        </is>
      </c>
      <c r="G190" s="4" t="n">
        <v>140000</v>
      </c>
      <c r="H190" s="4" t="n">
        <v>0</v>
      </c>
      <c r="I190" s="4" t="n">
        <v>160</v>
      </c>
      <c r="J190" s="4" t="n">
        <v>48</v>
      </c>
      <c r="K190" s="5" t="n">
        <v>2916.7</v>
      </c>
      <c r="L190" s="4" t="n">
        <v>160</v>
      </c>
      <c r="M190" s="4" t="n">
        <v>48</v>
      </c>
      <c r="N190" s="5" t="n">
        <v>2916.7</v>
      </c>
      <c r="O190" s="3" t="inlineStr">
        <is>
          <t>2층주택, 현재 주인거주로 잘 관리된 집</t>
        </is>
      </c>
      <c r="P190" s="6">
        <f>HYPERLINK("https://fin.land.naver.com/articles/2652794190", "매물Link")</f>
        <v/>
      </c>
      <c r="Q190" s="6">
        <f>HYPERLINK("https://map.naver.com/p/search/아름동 1241", "지도Link")</f>
        <v/>
      </c>
      <c r="R190" s="6">
        <f>HYPERLINK("http://www.eum.go.kr/web/ar/lu/luLandDet.jsp?pnu=3611011300112410000&amp;isNoScr=script&amp;mode=search", "토지이음")</f>
        <v/>
      </c>
      <c r="S190" s="3" t="inlineStr">
        <is>
          <t>강아지풀</t>
        </is>
      </c>
      <c r="T190" s="4" t="n">
        <v>1</v>
      </c>
      <c r="U190" s="5" t="n">
        <v>343.1</v>
      </c>
      <c r="V190" s="4" t="n">
        <v>353.2</v>
      </c>
      <c r="W190" s="3" t="inlineStr">
        <is>
          <t>지정되지않음</t>
        </is>
      </c>
      <c r="X190" s="3" t="inlineStr">
        <is>
          <t>단독</t>
        </is>
      </c>
      <c r="Y190" s="3" t="inlineStr">
        <is>
          <t>평지</t>
        </is>
      </c>
      <c r="Z190" s="3" t="inlineStr">
        <is>
          <t>가로장방</t>
        </is>
      </c>
      <c r="AA190" s="3" t="inlineStr">
        <is>
          <t>소로한면</t>
        </is>
      </c>
    </row>
    <row r="191">
      <c r="A191" s="3" t="inlineStr">
        <is>
          <t>아름동 1241</t>
        </is>
      </c>
      <c r="B191" s="3" t="inlineStr">
        <is>
          <t>제1종전용주거지역</t>
        </is>
      </c>
      <c r="C191" s="3" t="inlineStr">
        <is>
          <t>대</t>
        </is>
      </c>
      <c r="D191" s="3" t="inlineStr">
        <is>
          <t>2</t>
        </is>
      </c>
      <c r="E191" s="3" t="inlineStr">
        <is>
          <t>단독</t>
        </is>
      </c>
      <c r="F191" s="3" t="inlineStr">
        <is>
          <t>매매</t>
        </is>
      </c>
      <c r="G191" s="4" t="n">
        <v>140000</v>
      </c>
      <c r="H191" s="4" t="n">
        <v>0</v>
      </c>
      <c r="I191" s="4" t="n">
        <v>353</v>
      </c>
      <c r="J191" s="4" t="n">
        <v>107</v>
      </c>
      <c r="K191" s="5" t="n">
        <v>1308.4</v>
      </c>
      <c r="L191" s="4" t="n">
        <v>160</v>
      </c>
      <c r="M191" s="4" t="n">
        <v>48</v>
      </c>
      <c r="N191" s="5" t="n">
        <v>2916.7</v>
      </c>
      <c r="O191" s="3" t="inlineStr">
        <is>
          <t>주택 에어컨5개 마당있고 편안한 주택매물입니다.</t>
        </is>
      </c>
      <c r="P191" s="6">
        <f>HYPERLINK("https://fin.land.naver.com/articles/2654113974", "매물Link")</f>
        <v/>
      </c>
      <c r="Q191" s="6">
        <f>HYPERLINK("https://map.naver.com/p/search/아름동 1241", "지도Link")</f>
        <v/>
      </c>
      <c r="R191" s="6">
        <f>HYPERLINK("http://www.eum.go.kr/web/ar/lu/luLandDet.jsp?pnu=3611011300112410000&amp;isNoScr=script&amp;mode=search", "토지이음")</f>
        <v/>
      </c>
      <c r="S191" s="3" t="inlineStr">
        <is>
          <t>세석</t>
        </is>
      </c>
      <c r="T191" s="4" t="n">
        <v>1</v>
      </c>
      <c r="U191" s="5" t="n">
        <v>343.1</v>
      </c>
      <c r="V191" s="4" t="n">
        <v>353.2</v>
      </c>
      <c r="W191" s="3" t="inlineStr">
        <is>
          <t>지정되지않음</t>
        </is>
      </c>
      <c r="X191" s="3" t="inlineStr">
        <is>
          <t>단독</t>
        </is>
      </c>
      <c r="Y191" s="3" t="inlineStr">
        <is>
          <t>평지</t>
        </is>
      </c>
      <c r="Z191" s="3" t="inlineStr">
        <is>
          <t>가로장방</t>
        </is>
      </c>
      <c r="AA191" s="3" t="inlineStr">
        <is>
          <t>소로한면</t>
        </is>
      </c>
    </row>
    <row r="192">
      <c r="A192" s="3" t="inlineStr">
        <is>
          <t>아름동 1394</t>
        </is>
      </c>
      <c r="B192" s="3" t="inlineStr">
        <is>
          <t>제1종전용주거지역</t>
        </is>
      </c>
      <c r="C192" s="3" t="inlineStr">
        <is>
          <t>대</t>
        </is>
      </c>
      <c r="D192" s="3" t="inlineStr">
        <is>
          <t>2</t>
        </is>
      </c>
      <c r="E192" s="3" t="inlineStr">
        <is>
          <t>단독</t>
        </is>
      </c>
      <c r="F192" s="3" t="inlineStr">
        <is>
          <t>매매</t>
        </is>
      </c>
      <c r="G192" s="4" t="n">
        <v>145000</v>
      </c>
      <c r="H192" s="4" t="n">
        <v>0</v>
      </c>
      <c r="I192" s="4" t="n">
        <v>303</v>
      </c>
      <c r="J192" s="4" t="n">
        <v>92</v>
      </c>
      <c r="K192" s="5" t="n">
        <v>1576.1</v>
      </c>
      <c r="L192" s="4" t="n">
        <v>181</v>
      </c>
      <c r="M192" s="4" t="n">
        <v>55</v>
      </c>
      <c r="N192" s="5" t="n">
        <v>2636.4</v>
      </c>
      <c r="O192" s="3" t="inlineStr">
        <is>
          <t>내부상태 청결하고 양호함,중심학원가 근접</t>
        </is>
      </c>
      <c r="P192" s="6">
        <f>HYPERLINK("https://fin.land.naver.com/articles/2650656957", "매물Link")</f>
        <v/>
      </c>
      <c r="Q192" s="6">
        <f>HYPERLINK("https://map.naver.com/p/search/아름동 1394", "지도Link")</f>
        <v/>
      </c>
      <c r="R192" s="6">
        <f>HYPERLINK("http://www.eum.go.kr/web/ar/lu/luLandDet.jsp?pnu=3611011300113940000&amp;isNoScr=script&amp;mode=search", "토지이음")</f>
        <v/>
      </c>
      <c r="S192" s="3" t="inlineStr">
        <is>
          <t>킹세종</t>
        </is>
      </c>
      <c r="T192" s="4" t="n">
        <v>1</v>
      </c>
      <c r="U192" s="5" t="n">
        <v>338.2</v>
      </c>
      <c r="V192" s="4" t="n">
        <v>303.7</v>
      </c>
      <c r="W192" s="3" t="inlineStr">
        <is>
          <t>지정되지않음</t>
        </is>
      </c>
      <c r="X192" s="3" t="inlineStr">
        <is>
          <t>단독</t>
        </is>
      </c>
      <c r="Y192" s="3" t="inlineStr">
        <is>
          <t>평지</t>
        </is>
      </c>
      <c r="Z192" s="3" t="inlineStr">
        <is>
          <t>세로장방</t>
        </is>
      </c>
      <c r="AA192" s="3" t="inlineStr">
        <is>
          <t>소로한면</t>
        </is>
      </c>
    </row>
    <row r="193">
      <c r="A193" s="3" t="inlineStr">
        <is>
          <t>아름동 1408</t>
        </is>
      </c>
      <c r="B193" s="3" t="inlineStr">
        <is>
          <t>제1종전용주거지역</t>
        </is>
      </c>
      <c r="C193" s="3" t="inlineStr">
        <is>
          <t>대</t>
        </is>
      </c>
      <c r="D193" s="3" t="inlineStr">
        <is>
          <t>2</t>
        </is>
      </c>
      <c r="E193" s="3" t="inlineStr">
        <is>
          <t>단독</t>
        </is>
      </c>
      <c r="F193" s="3" t="inlineStr">
        <is>
          <t>매매</t>
        </is>
      </c>
      <c r="G193" s="4" t="n">
        <v>145000</v>
      </c>
      <c r="H193" s="4" t="n">
        <v>0</v>
      </c>
      <c r="I193" s="4" t="n">
        <v>303</v>
      </c>
      <c r="J193" s="4" t="n">
        <v>92</v>
      </c>
      <c r="K193" s="5" t="n">
        <v>1576.1</v>
      </c>
      <c r="L193" s="4" t="n">
        <v>204</v>
      </c>
      <c r="M193" s="4" t="n">
        <v>62</v>
      </c>
      <c r="N193" s="5" t="n">
        <v>2338.7</v>
      </c>
      <c r="O193" s="3" t="inlineStr">
        <is>
          <t>남향에 위치 좋은집  분리세대로 2층 시스탬에어컨2대 설치 협의 입주</t>
        </is>
      </c>
      <c r="P193" s="6">
        <f>HYPERLINK("https://fin.land.naver.com/articles/2649764622", "매물Link")</f>
        <v/>
      </c>
      <c r="Q193" s="6">
        <f>HYPERLINK("https://map.naver.com/p/search/아름동 1408", "지도Link")</f>
        <v/>
      </c>
      <c r="R193" s="6">
        <f>HYPERLINK("http://www.eum.go.kr/web/ar/lu/luLandDet.jsp?pnu=3611011300114080000&amp;isNoScr=script&amp;mode=search", "토지이음")</f>
        <v/>
      </c>
      <c r="S193" s="3" t="inlineStr">
        <is>
          <t>주황푸르지오</t>
        </is>
      </c>
      <c r="T193" s="4" t="n">
        <v>1</v>
      </c>
      <c r="U193" s="5" t="n">
        <v>338.2</v>
      </c>
      <c r="V193" s="4" t="n">
        <v>303.7</v>
      </c>
      <c r="W193" s="3" t="inlineStr">
        <is>
          <t>지정되지않음</t>
        </is>
      </c>
      <c r="X193" s="3" t="inlineStr">
        <is>
          <t>단독</t>
        </is>
      </c>
      <c r="Y193" s="3" t="inlineStr">
        <is>
          <t>평지</t>
        </is>
      </c>
      <c r="Z193" s="3" t="inlineStr">
        <is>
          <t>세로장방</t>
        </is>
      </c>
      <c r="AA193" s="3" t="inlineStr">
        <is>
          <t>소로한면</t>
        </is>
      </c>
    </row>
    <row r="194">
      <c r="A194" s="3" t="inlineStr">
        <is>
          <t>아름동 856</t>
        </is>
      </c>
      <c r="B194" s="3" t="inlineStr">
        <is>
          <t>제1종전용주거지역</t>
        </is>
      </c>
      <c r="C194" s="3" t="inlineStr">
        <is>
          <t>대</t>
        </is>
      </c>
      <c r="D194" s="3" t="inlineStr">
        <is>
          <t>2</t>
        </is>
      </c>
      <c r="E194" s="3" t="inlineStr">
        <is>
          <t>단독</t>
        </is>
      </c>
      <c r="F194" s="3" t="inlineStr">
        <is>
          <t>매매</t>
        </is>
      </c>
      <c r="G194" s="4" t="n">
        <v>135000</v>
      </c>
      <c r="H194" s="4" t="n">
        <v>0</v>
      </c>
      <c r="I194" s="4" t="n">
        <v>285</v>
      </c>
      <c r="J194" s="4" t="n">
        <v>86</v>
      </c>
      <c r="K194" s="5" t="n">
        <v>1569.8</v>
      </c>
      <c r="L194" s="4" t="n">
        <v>178</v>
      </c>
      <c r="M194" s="4" t="n">
        <v>54</v>
      </c>
      <c r="N194" s="5" t="n">
        <v>2500</v>
      </c>
      <c r="O194" s="3" t="inlineStr">
        <is>
          <t>올 리모델링. 풀에어컨, 코너 입지</t>
        </is>
      </c>
      <c r="P194" s="6">
        <f>HYPERLINK("https://fin.land.naver.com/articles/2649459333", "매물Link")</f>
        <v/>
      </c>
      <c r="Q194" s="6">
        <f>HYPERLINK("https://map.naver.com/p/search/아름동 856", "지도Link")</f>
        <v/>
      </c>
      <c r="R194" s="6">
        <f>HYPERLINK("http://www.eum.go.kr/web/ar/lu/luLandDet.jsp?pnu=3611011300108560000&amp;isNoScr=script&amp;mode=search", "토지이음")</f>
        <v/>
      </c>
      <c r="S194" s="3" t="inlineStr">
        <is>
          <t>세종삼촌</t>
        </is>
      </c>
      <c r="T194" s="4" t="n">
        <v>1</v>
      </c>
      <c r="U194" s="5" t="n">
        <v>356.7</v>
      </c>
      <c r="V194" s="4" t="n">
        <v>285.9</v>
      </c>
      <c r="W194" s="3" t="inlineStr">
        <is>
          <t>지정되지않음</t>
        </is>
      </c>
      <c r="X194" s="3" t="inlineStr">
        <is>
          <t>단독</t>
        </is>
      </c>
      <c r="Y194" s="3" t="inlineStr">
        <is>
          <t>평지</t>
        </is>
      </c>
      <c r="Z194" s="3" t="inlineStr">
        <is>
          <t>정방형</t>
        </is>
      </c>
      <c r="AA194" s="3" t="inlineStr">
        <is>
          <t>소로각지</t>
        </is>
      </c>
    </row>
    <row r="195">
      <c r="A195" s="3" t="inlineStr">
        <is>
          <t>아름동 862</t>
        </is>
      </c>
      <c r="B195" s="3" t="inlineStr">
        <is>
          <t>제1종전용주거지역</t>
        </is>
      </c>
      <c r="C195" s="3" t="inlineStr">
        <is>
          <t>대</t>
        </is>
      </c>
      <c r="D195" s="3" t="inlineStr">
        <is>
          <t>2</t>
        </is>
      </c>
      <c r="E195" s="3" t="inlineStr">
        <is>
          <t>단독</t>
        </is>
      </c>
      <c r="F195" s="3" t="inlineStr">
        <is>
          <t>매매</t>
        </is>
      </c>
      <c r="G195" s="4" t="n">
        <v>107000</v>
      </c>
      <c r="H195" s="4" t="n">
        <v>0</v>
      </c>
      <c r="I195" s="4" t="n">
        <v>314</v>
      </c>
      <c r="J195" s="4" t="n">
        <v>95</v>
      </c>
      <c r="K195" s="5" t="n">
        <v>1126.3</v>
      </c>
      <c r="L195" s="4" t="n">
        <v>147</v>
      </c>
      <c r="M195" s="4" t="n">
        <v>44</v>
      </c>
      <c r="N195" s="5" t="n">
        <v>2431.8</v>
      </c>
      <c r="O195" s="3" t="inlineStr">
        <is>
          <t>급매 전세끼고 매매 리모델링됨 마당넓음</t>
        </is>
      </c>
      <c r="P195" s="6">
        <f>HYPERLINK("https://fin.land.naver.com/articles/2651116835", "매물Link")</f>
        <v/>
      </c>
      <c r="Q195" s="6">
        <f>HYPERLINK("https://map.naver.com/p/search/아름동 862", "지도Link")</f>
        <v/>
      </c>
      <c r="R195" s="6">
        <f>HYPERLINK("http://www.eum.go.kr/web/ar/lu/luLandDet.jsp?pnu=3611011300108620000&amp;isNoScr=script&amp;mode=search", "토지이음")</f>
        <v/>
      </c>
      <c r="S195" s="3" t="inlineStr">
        <is>
          <t>세종스타</t>
        </is>
      </c>
      <c r="T195" s="4" t="n">
        <v>1</v>
      </c>
      <c r="U195" s="5" t="n">
        <v>339.8</v>
      </c>
      <c r="V195" s="4" t="n">
        <v>314.8</v>
      </c>
      <c r="W195" s="3" t="inlineStr">
        <is>
          <t>지정되지않음</t>
        </is>
      </c>
      <c r="X195" s="3" t="inlineStr">
        <is>
          <t>단독</t>
        </is>
      </c>
      <c r="Y195" s="3" t="inlineStr">
        <is>
          <t>평지</t>
        </is>
      </c>
      <c r="Z195" s="3" t="inlineStr">
        <is>
          <t>가로장방</t>
        </is>
      </c>
      <c r="AA195" s="3" t="inlineStr">
        <is>
          <t>소로한면</t>
        </is>
      </c>
    </row>
    <row r="196">
      <c r="A196" s="3" t="inlineStr">
        <is>
          <t>아름동 875</t>
        </is>
      </c>
      <c r="B196" s="3" t="inlineStr">
        <is>
          <t>제1종전용주거지역</t>
        </is>
      </c>
      <c r="C196" s="3" t="inlineStr">
        <is>
          <t>대</t>
        </is>
      </c>
      <c r="D196" s="3" t="inlineStr">
        <is>
          <t>2</t>
        </is>
      </c>
      <c r="E196" s="3" t="inlineStr">
        <is>
          <t>단독</t>
        </is>
      </c>
      <c r="F196" s="3" t="inlineStr">
        <is>
          <t>매매</t>
        </is>
      </c>
      <c r="G196" s="4" t="n">
        <v>160000</v>
      </c>
      <c r="H196" s="4" t="n">
        <v>0</v>
      </c>
      <c r="I196" s="4" t="n">
        <v>340</v>
      </c>
      <c r="J196" s="4" t="n">
        <v>103</v>
      </c>
      <c r="K196" s="5" t="n">
        <v>1553.4</v>
      </c>
      <c r="L196" s="4" t="n">
        <v>192</v>
      </c>
      <c r="M196" s="4" t="n">
        <v>58</v>
      </c>
      <c r="N196" s="5" t="n">
        <v>2758.6</v>
      </c>
      <c r="O196" s="3" t="inlineStr">
        <is>
          <t>nan</t>
        </is>
      </c>
      <c r="P196" s="6">
        <f>HYPERLINK("https://fin.land.naver.com/articles/2652438889", "매물Link")</f>
        <v/>
      </c>
      <c r="Q196" s="6">
        <f>HYPERLINK("https://map.naver.com/p/search/아름동 875", "지도Link")</f>
        <v/>
      </c>
      <c r="R196" s="6">
        <f>HYPERLINK("http://www.eum.go.kr/web/ar/lu/luLandDet.jsp?pnu=3611011300108750000&amp;isNoScr=script&amp;mode=search", "토지이음")</f>
        <v/>
      </c>
      <c r="S196" s="3" t="inlineStr">
        <is>
          <t>세종갑부</t>
        </is>
      </c>
      <c r="T196" s="4" t="n">
        <v>1</v>
      </c>
      <c r="U196" s="5" t="n">
        <v>339.5</v>
      </c>
      <c r="V196" s="4" t="n">
        <v>340</v>
      </c>
      <c r="W196" s="3" t="inlineStr">
        <is>
          <t>지정되지않음</t>
        </is>
      </c>
      <c r="X196" s="3" t="inlineStr">
        <is>
          <t>단독</t>
        </is>
      </c>
      <c r="Y196" s="3" t="inlineStr">
        <is>
          <t>평지</t>
        </is>
      </c>
      <c r="Z196" s="3" t="inlineStr">
        <is>
          <t>정방형</t>
        </is>
      </c>
      <c r="AA196" s="3" t="inlineStr">
        <is>
          <t>소로한면</t>
        </is>
      </c>
    </row>
    <row r="197">
      <c r="A197" s="3" t="inlineStr">
        <is>
          <t>아름동 875</t>
        </is>
      </c>
      <c r="B197" s="3" t="inlineStr">
        <is>
          <t>제1종전용주거지역</t>
        </is>
      </c>
      <c r="C197" s="3" t="inlineStr">
        <is>
          <t>대</t>
        </is>
      </c>
      <c r="D197" s="3" t="inlineStr">
        <is>
          <t>2</t>
        </is>
      </c>
      <c r="E197" s="3" t="inlineStr">
        <is>
          <t>단독</t>
        </is>
      </c>
      <c r="F197" s="3" t="inlineStr">
        <is>
          <t>매매</t>
        </is>
      </c>
      <c r="G197" s="4" t="n">
        <v>160000</v>
      </c>
      <c r="H197" s="4" t="n">
        <v>0</v>
      </c>
      <c r="I197" s="4" t="n">
        <v>340</v>
      </c>
      <c r="J197" s="4" t="n">
        <v>103</v>
      </c>
      <c r="K197" s="5" t="n">
        <v>1553.4</v>
      </c>
      <c r="L197" s="4" t="n">
        <v>192</v>
      </c>
      <c r="M197" s="4" t="n">
        <v>58</v>
      </c>
      <c r="N197" s="5" t="n">
        <v>2758.6</v>
      </c>
      <c r="O197" s="3" t="inlineStr">
        <is>
          <t>입주협의 위치좋은 단독주택 관리상태굿 가격조정가능</t>
        </is>
      </c>
      <c r="P197" s="6">
        <f>HYPERLINK("https://fin.land.naver.com/articles/2650696710", "매물Link")</f>
        <v/>
      </c>
      <c r="Q197" s="6">
        <f>HYPERLINK("https://map.naver.com/p/search/아름동 875", "지도Link")</f>
        <v/>
      </c>
      <c r="R197" s="6">
        <f>HYPERLINK("http://www.eum.go.kr/web/ar/lu/luLandDet.jsp?pnu=3611011300108750000&amp;isNoScr=script&amp;mode=search", "토지이음")</f>
        <v/>
      </c>
      <c r="S197" s="3" t="inlineStr">
        <is>
          <t>고운동리치세종</t>
        </is>
      </c>
      <c r="T197" s="4" t="n">
        <v>1</v>
      </c>
      <c r="U197" s="5" t="n">
        <v>339.5</v>
      </c>
      <c r="V197" s="4" t="n">
        <v>340</v>
      </c>
      <c r="W197" s="3" t="inlineStr">
        <is>
          <t>지정되지않음</t>
        </is>
      </c>
      <c r="X197" s="3" t="inlineStr">
        <is>
          <t>단독</t>
        </is>
      </c>
      <c r="Y197" s="3" t="inlineStr">
        <is>
          <t>평지</t>
        </is>
      </c>
      <c r="Z197" s="3" t="inlineStr">
        <is>
          <t>정방형</t>
        </is>
      </c>
      <c r="AA197" s="3" t="inlineStr">
        <is>
          <t>소로한면</t>
        </is>
      </c>
    </row>
    <row r="198">
      <c r="A198" s="3" t="inlineStr">
        <is>
          <t>아름동 959</t>
        </is>
      </c>
      <c r="B198" s="3" t="inlineStr">
        <is>
          <t>제1종전용주거지역</t>
        </is>
      </c>
      <c r="C198" s="3" t="inlineStr">
        <is>
          <t>대</t>
        </is>
      </c>
      <c r="D198" s="3" t="inlineStr">
        <is>
          <t>2</t>
        </is>
      </c>
      <c r="E198" s="3" t="inlineStr">
        <is>
          <t>단독</t>
        </is>
      </c>
      <c r="F198" s="3" t="inlineStr">
        <is>
          <t>매매</t>
        </is>
      </c>
      <c r="G198" s="4" t="n">
        <v>160000</v>
      </c>
      <c r="H198" s="4" t="n">
        <v>0</v>
      </c>
      <c r="I198" s="4" t="n">
        <v>357</v>
      </c>
      <c r="J198" s="4" t="n">
        <v>108</v>
      </c>
      <c r="K198" s="5" t="n">
        <v>1481.5</v>
      </c>
      <c r="L198" s="4" t="n">
        <v>248</v>
      </c>
      <c r="M198" s="4" t="n">
        <v>75</v>
      </c>
      <c r="N198" s="5" t="n">
        <v>2133.3</v>
      </c>
      <c r="O198" s="3" t="inlineStr">
        <is>
          <t>방5개, 화장실2개, 고급 단독주택, 태양광</t>
        </is>
      </c>
      <c r="P198" s="6">
        <f>HYPERLINK("https://fin.land.naver.com/articles/2651949107", "매물Link")</f>
        <v/>
      </c>
      <c r="Q198" s="6">
        <f>HYPERLINK("https://map.naver.com/p/search/아름동 959", "지도Link")</f>
        <v/>
      </c>
      <c r="R198" s="6">
        <f>HYPERLINK("http://www.eum.go.kr/web/ar/lu/luLandDet.jsp?pnu=3611011300109590000&amp;isNoScr=script&amp;mode=search", "토지이음")</f>
        <v/>
      </c>
      <c r="S198" s="3" t="inlineStr">
        <is>
          <t>명진</t>
        </is>
      </c>
      <c r="T198" s="4" t="n">
        <v>1</v>
      </c>
      <c r="U198" s="5" t="n">
        <v>327.2</v>
      </c>
      <c r="V198" s="4" t="n">
        <v>357.9</v>
      </c>
      <c r="W198" s="3" t="inlineStr">
        <is>
          <t>지정되지않음</t>
        </is>
      </c>
      <c r="X198" s="3" t="inlineStr">
        <is>
          <t>단독</t>
        </is>
      </c>
      <c r="Y198" s="3" t="inlineStr">
        <is>
          <t>평지</t>
        </is>
      </c>
      <c r="Z198" s="3" t="inlineStr">
        <is>
          <t>사다리형</t>
        </is>
      </c>
      <c r="AA198" s="3" t="inlineStr">
        <is>
          <t>소로한면</t>
        </is>
      </c>
    </row>
    <row r="199">
      <c r="A199" s="3" t="inlineStr">
        <is>
          <t>아름동 959</t>
        </is>
      </c>
      <c r="B199" s="3" t="inlineStr">
        <is>
          <t>제1종전용주거지역</t>
        </is>
      </c>
      <c r="C199" s="3" t="inlineStr">
        <is>
          <t>대</t>
        </is>
      </c>
      <c r="D199" s="3" t="inlineStr">
        <is>
          <t>2</t>
        </is>
      </c>
      <c r="E199" s="3" t="inlineStr">
        <is>
          <t>단독</t>
        </is>
      </c>
      <c r="F199" s="3" t="inlineStr">
        <is>
          <t>매매</t>
        </is>
      </c>
      <c r="G199" s="4" t="n">
        <v>160000</v>
      </c>
      <c r="H199" s="4" t="n">
        <v>0</v>
      </c>
      <c r="I199" s="4" t="n">
        <v>357</v>
      </c>
      <c r="J199" s="4" t="n">
        <v>108</v>
      </c>
      <c r="K199" s="5" t="n">
        <v>1481.5</v>
      </c>
      <c r="L199" s="4" t="n">
        <v>248</v>
      </c>
      <c r="M199" s="4" t="n">
        <v>75</v>
      </c>
      <c r="N199" s="5" t="n">
        <v>2133.3</v>
      </c>
      <c r="O199" s="3" t="inlineStr">
        <is>
          <t>고급 단독주택 매매, 태양광 설치, 1층에 방2개</t>
        </is>
      </c>
      <c r="P199" s="6">
        <f>HYPERLINK("https://fin.land.naver.com/articles/2652844353", "매물Link")</f>
        <v/>
      </c>
      <c r="Q199" s="6">
        <f>HYPERLINK("https://map.naver.com/p/search/아름동 959", "지도Link")</f>
        <v/>
      </c>
      <c r="R199" s="6">
        <f>HYPERLINK("http://www.eum.go.kr/web/ar/lu/luLandDet.jsp?pnu=3611011300109590000&amp;isNoScr=script&amp;mode=search", "토지이음")</f>
        <v/>
      </c>
      <c r="S199" s="3" t="inlineStr">
        <is>
          <t>세종무지개</t>
        </is>
      </c>
      <c r="T199" s="4" t="n">
        <v>1</v>
      </c>
      <c r="U199" s="5" t="n">
        <v>327.2</v>
      </c>
      <c r="V199" s="4" t="n">
        <v>357.9</v>
      </c>
      <c r="W199" s="3" t="inlineStr">
        <is>
          <t>지정되지않음</t>
        </is>
      </c>
      <c r="X199" s="3" t="inlineStr">
        <is>
          <t>단독</t>
        </is>
      </c>
      <c r="Y199" s="3" t="inlineStr">
        <is>
          <t>평지</t>
        </is>
      </c>
      <c r="Z199" s="3" t="inlineStr">
        <is>
          <t>사다리형</t>
        </is>
      </c>
      <c r="AA199" s="3" t="inlineStr">
        <is>
          <t>소로한면</t>
        </is>
      </c>
    </row>
    <row r="200">
      <c r="A200" s="3" t="inlineStr">
        <is>
          <t>아름동 959</t>
        </is>
      </c>
      <c r="B200" s="3" t="inlineStr">
        <is>
          <t>제1종전용주거지역</t>
        </is>
      </c>
      <c r="C200" s="3" t="inlineStr">
        <is>
          <t>대</t>
        </is>
      </c>
      <c r="D200" s="3" t="inlineStr">
        <is>
          <t>2</t>
        </is>
      </c>
      <c r="E200" s="3" t="inlineStr">
        <is>
          <t>단독</t>
        </is>
      </c>
      <c r="F200" s="3" t="inlineStr">
        <is>
          <t>매매</t>
        </is>
      </c>
      <c r="G200" s="4" t="n">
        <v>160000</v>
      </c>
      <c r="H200" s="4" t="n">
        <v>0</v>
      </c>
      <c r="I200" s="4" t="n">
        <v>357</v>
      </c>
      <c r="J200" s="4" t="n">
        <v>108</v>
      </c>
      <c r="K200" s="5" t="n">
        <v>1481.5</v>
      </c>
      <c r="L200" s="4" t="n">
        <v>248</v>
      </c>
      <c r="M200" s="4" t="n">
        <v>75</v>
      </c>
      <c r="N200" s="5" t="n">
        <v>2133.3</v>
      </c>
      <c r="O200" s="3" t="inlineStr">
        <is>
          <t>조율가능 유럽풍스타일 1층 방2개 거실넓은 철콘주택</t>
        </is>
      </c>
      <c r="P200" s="6">
        <f>HYPERLINK("https://fin.land.naver.com/articles/2651088324", "매물Link")</f>
        <v/>
      </c>
      <c r="Q200" s="6">
        <f>HYPERLINK("https://map.naver.com/p/search/아름동 959", "지도Link")</f>
        <v/>
      </c>
      <c r="R200" s="6">
        <f>HYPERLINK("http://www.eum.go.kr/web/ar/lu/luLandDet.jsp?pnu=3611011300109590000&amp;isNoScr=script&amp;mode=search", "토지이음")</f>
        <v/>
      </c>
      <c r="S200" s="3" t="inlineStr">
        <is>
          <t>세종스타</t>
        </is>
      </c>
      <c r="T200" s="4" t="n">
        <v>1</v>
      </c>
      <c r="U200" s="5" t="n">
        <v>327.2</v>
      </c>
      <c r="V200" s="4" t="n">
        <v>357.9</v>
      </c>
      <c r="W200" s="3" t="inlineStr">
        <is>
          <t>지정되지않음</t>
        </is>
      </c>
      <c r="X200" s="3" t="inlineStr">
        <is>
          <t>단독</t>
        </is>
      </c>
      <c r="Y200" s="3" t="inlineStr">
        <is>
          <t>평지</t>
        </is>
      </c>
      <c r="Z200" s="3" t="inlineStr">
        <is>
          <t>사다리형</t>
        </is>
      </c>
      <c r="AA200" s="3" t="inlineStr">
        <is>
          <t>소로한면</t>
        </is>
      </c>
    </row>
    <row r="201">
      <c r="A201" s="3" t="inlineStr">
        <is>
          <t>아름동 991</t>
        </is>
      </c>
      <c r="B201" s="3" t="inlineStr">
        <is>
          <t>제1종전용주거지역</t>
        </is>
      </c>
      <c r="C201" s="3" t="inlineStr">
        <is>
          <t>공원</t>
        </is>
      </c>
      <c r="D201" s="3" t="inlineStr">
        <is>
          <t>2</t>
        </is>
      </c>
      <c r="E201" s="3" t="inlineStr">
        <is>
          <t>단독</t>
        </is>
      </c>
      <c r="F201" s="3" t="inlineStr">
        <is>
          <t>매매</t>
        </is>
      </c>
      <c r="G201" s="4" t="n">
        <v>200000</v>
      </c>
      <c r="H201" s="4" t="n">
        <v>0</v>
      </c>
      <c r="I201" s="4" t="n">
        <v>325</v>
      </c>
      <c r="J201" s="4" t="n">
        <v>98</v>
      </c>
      <c r="K201" s="5" t="n">
        <v>2040.8</v>
      </c>
      <c r="L201" s="4" t="n">
        <v>278</v>
      </c>
      <c r="M201" s="4" t="n">
        <v>84</v>
      </c>
      <c r="N201" s="5" t="n">
        <v>2381</v>
      </c>
      <c r="O201" s="3" t="inlineStr">
        <is>
          <t>생명나무,아름동 고급주택 .꼼꼼하게 신경썼어요 관리상태 최상</t>
        </is>
      </c>
      <c r="P201" s="6">
        <f>HYPERLINK("https://fin.land.naver.com/articles/2649691019", "매물Link")</f>
        <v/>
      </c>
      <c r="Q201" s="6">
        <f>HYPERLINK("https://map.naver.com/p/search/아름동 991", "지도Link")</f>
        <v/>
      </c>
      <c r="R201" s="6">
        <f>HYPERLINK("http://www.eum.go.kr/web/ar/lu/luLandDet.jsp?pnu=3611011300109910000&amp;isNoScr=script&amp;mode=search", "토지이음")</f>
        <v/>
      </c>
      <c r="S201" s="3" t="inlineStr">
        <is>
          <t>생명나무</t>
        </is>
      </c>
      <c r="T201" s="4" t="n">
        <v>1</v>
      </c>
      <c r="U201" s="5" t="n">
        <v>110.7</v>
      </c>
      <c r="V201" s="4" t="n">
        <v>336.9</v>
      </c>
      <c r="W201" s="3" t="inlineStr">
        <is>
          <t>지정되지않음</t>
        </is>
      </c>
      <c r="X201" s="3" t="inlineStr">
        <is>
          <t>공원등</t>
        </is>
      </c>
      <c r="Y201" s="3" t="inlineStr">
        <is>
          <t>평지</t>
        </is>
      </c>
      <c r="Z201" s="3" t="inlineStr">
        <is>
          <t>가로장방</t>
        </is>
      </c>
      <c r="AA201" s="3" t="inlineStr">
        <is>
          <t>지정되지않음</t>
        </is>
      </c>
    </row>
    <row r="202">
      <c r="A202" s="3" t="inlineStr">
        <is>
          <t>아름동 993</t>
        </is>
      </c>
      <c r="B202" s="3" t="inlineStr">
        <is>
          <t>제1종전용주거지역</t>
        </is>
      </c>
      <c r="C202" s="3" t="inlineStr">
        <is>
          <t>대</t>
        </is>
      </c>
      <c r="D202" s="3" t="inlineStr">
        <is>
          <t>2</t>
        </is>
      </c>
      <c r="E202" s="3" t="inlineStr">
        <is>
          <t>단독</t>
        </is>
      </c>
      <c r="F202" s="3" t="inlineStr">
        <is>
          <t>매매</t>
        </is>
      </c>
      <c r="G202" s="4" t="n">
        <v>200000</v>
      </c>
      <c r="H202" s="4" t="n">
        <v>0</v>
      </c>
      <c r="I202" s="4" t="n">
        <v>325</v>
      </c>
      <c r="J202" s="4" t="n">
        <v>98</v>
      </c>
      <c r="K202" s="5" t="n">
        <v>2040.8</v>
      </c>
      <c r="L202" s="4" t="n">
        <v>278</v>
      </c>
      <c r="M202" s="4" t="n">
        <v>84</v>
      </c>
      <c r="N202" s="5" t="n">
        <v>2381</v>
      </c>
      <c r="O202" s="3" t="inlineStr">
        <is>
          <t>방4개, 화장실3개, 벙커주차장가능, 지대높아 뷰 굿</t>
        </is>
      </c>
      <c r="P202" s="6">
        <f>HYPERLINK("https://fin.land.naver.com/articles/2652883582", "매물Link")</f>
        <v/>
      </c>
      <c r="Q202" s="6">
        <f>HYPERLINK("https://map.naver.com/p/search/아름동 993", "지도Link")</f>
        <v/>
      </c>
      <c r="R202" s="6">
        <f>HYPERLINK("http://www.eum.go.kr/web/ar/lu/luLandDet.jsp?pnu=3611011300109930000&amp;isNoScr=script&amp;mode=search", "토지이음")</f>
        <v/>
      </c>
      <c r="S202" s="3" t="inlineStr">
        <is>
          <t>세종무지개</t>
        </is>
      </c>
      <c r="T202" s="4" t="n">
        <v>1</v>
      </c>
      <c r="U202" s="5" t="n">
        <v>335.5</v>
      </c>
      <c r="V202" s="4" t="n">
        <v>325.8</v>
      </c>
      <c r="W202" s="3" t="inlineStr">
        <is>
          <t>지정되지않음</t>
        </is>
      </c>
      <c r="X202" s="3" t="inlineStr">
        <is>
          <t>단독</t>
        </is>
      </c>
      <c r="Y202" s="3" t="inlineStr">
        <is>
          <t>평지</t>
        </is>
      </c>
      <c r="Z202" s="3" t="inlineStr">
        <is>
          <t>가로장방</t>
        </is>
      </c>
      <c r="AA202" s="3" t="inlineStr">
        <is>
          <t>소로한면</t>
        </is>
      </c>
    </row>
    <row r="203">
      <c r="A203" s="3" t="inlineStr">
        <is>
          <t>아름동 993</t>
        </is>
      </c>
      <c r="B203" s="3" t="inlineStr">
        <is>
          <t>제1종전용주거지역</t>
        </is>
      </c>
      <c r="C203" s="3" t="inlineStr">
        <is>
          <t>대</t>
        </is>
      </c>
      <c r="D203" s="3" t="inlineStr">
        <is>
          <t>2</t>
        </is>
      </c>
      <c r="E203" s="3" t="inlineStr">
        <is>
          <t>단독</t>
        </is>
      </c>
      <c r="F203" s="3" t="inlineStr">
        <is>
          <t>매매</t>
        </is>
      </c>
      <c r="G203" s="4" t="n">
        <v>200000</v>
      </c>
      <c r="H203" s="4" t="n">
        <v>0</v>
      </c>
      <c r="I203" s="4" t="n">
        <v>325</v>
      </c>
      <c r="J203" s="4" t="n">
        <v>98</v>
      </c>
      <c r="K203" s="5" t="n">
        <v>2040.8</v>
      </c>
      <c r="L203" s="4" t="n">
        <v>278</v>
      </c>
      <c r="M203" s="4" t="n">
        <v>84</v>
      </c>
      <c r="N203" s="5" t="n">
        <v>2381</v>
      </c>
      <c r="O203" s="3" t="inlineStr">
        <is>
          <t>전용 84.4p, 방4개, 화장실3개, 고급 단독주택, 관리잘된집</t>
        </is>
      </c>
      <c r="P203" s="6">
        <f>HYPERLINK("https://fin.land.naver.com/articles/2653889577", "매물Link")</f>
        <v/>
      </c>
      <c r="Q203" s="6">
        <f>HYPERLINK("https://map.naver.com/p/search/아름동 993", "지도Link")</f>
        <v/>
      </c>
      <c r="R203" s="6">
        <f>HYPERLINK("http://www.eum.go.kr/web/ar/lu/luLandDet.jsp?pnu=3611011300109930000&amp;isNoScr=script&amp;mode=search", "토지이음")</f>
        <v/>
      </c>
      <c r="S203" s="3" t="inlineStr">
        <is>
          <t>명진</t>
        </is>
      </c>
      <c r="T203" s="4" t="n">
        <v>1</v>
      </c>
      <c r="U203" s="5" t="n">
        <v>335.5</v>
      </c>
      <c r="V203" s="4" t="n">
        <v>325.8</v>
      </c>
      <c r="W203" s="3" t="inlineStr">
        <is>
          <t>지정되지않음</t>
        </is>
      </c>
      <c r="X203" s="3" t="inlineStr">
        <is>
          <t>단독</t>
        </is>
      </c>
      <c r="Y203" s="3" t="inlineStr">
        <is>
          <t>평지</t>
        </is>
      </c>
      <c r="Z203" s="3" t="inlineStr">
        <is>
          <t>가로장방</t>
        </is>
      </c>
      <c r="AA203" s="3" t="inlineStr">
        <is>
          <t>소로한면</t>
        </is>
      </c>
    </row>
    <row r="204">
      <c r="A204" s="3" t="inlineStr">
        <is>
          <t>아름동 993</t>
        </is>
      </c>
      <c r="B204" s="3" t="inlineStr">
        <is>
          <t>제1종전용주거지역</t>
        </is>
      </c>
      <c r="C204" s="3" t="inlineStr">
        <is>
          <t>대</t>
        </is>
      </c>
      <c r="D204" s="3" t="inlineStr">
        <is>
          <t>2</t>
        </is>
      </c>
      <c r="E204" s="3" t="inlineStr">
        <is>
          <t>단독</t>
        </is>
      </c>
      <c r="F204" s="3" t="inlineStr">
        <is>
          <t>매매</t>
        </is>
      </c>
      <c r="G204" s="4" t="n">
        <v>200000</v>
      </c>
      <c r="H204" s="4" t="n">
        <v>0</v>
      </c>
      <c r="I204" s="4" t="n">
        <v>325</v>
      </c>
      <c r="J204" s="4" t="n">
        <v>98</v>
      </c>
      <c r="K204" s="5" t="n">
        <v>2040.8</v>
      </c>
      <c r="L204" s="4" t="n">
        <v>278</v>
      </c>
      <c r="M204" s="4" t="n">
        <v>84</v>
      </c>
      <c r="N204" s="5" t="n">
        <v>2381</v>
      </c>
      <c r="O204" s="3" t="inlineStr">
        <is>
          <t>동네전체 내려보이는 높은위치 벙커주차장2대 개방감최상</t>
        </is>
      </c>
      <c r="P204" s="6">
        <f>HYPERLINK("https://fin.land.naver.com/articles/2652442556", "매물Link")</f>
        <v/>
      </c>
      <c r="Q204" s="6">
        <f>HYPERLINK("https://map.naver.com/p/search/아름동 993", "지도Link")</f>
        <v/>
      </c>
      <c r="R204" s="6">
        <f>HYPERLINK("http://www.eum.go.kr/web/ar/lu/luLandDet.jsp?pnu=3611011300109930000&amp;isNoScr=script&amp;mode=search", "토지이음")</f>
        <v/>
      </c>
      <c r="S204" s="3" t="inlineStr">
        <is>
          <t>세종스타</t>
        </is>
      </c>
      <c r="T204" s="4" t="n">
        <v>1</v>
      </c>
      <c r="U204" s="5" t="n">
        <v>335.5</v>
      </c>
      <c r="V204" s="4" t="n">
        <v>325.8</v>
      </c>
      <c r="W204" s="3" t="inlineStr">
        <is>
          <t>지정되지않음</t>
        </is>
      </c>
      <c r="X204" s="3" t="inlineStr">
        <is>
          <t>단독</t>
        </is>
      </c>
      <c r="Y204" s="3" t="inlineStr">
        <is>
          <t>평지</t>
        </is>
      </c>
      <c r="Z204" s="3" t="inlineStr">
        <is>
          <t>가로장방</t>
        </is>
      </c>
      <c r="AA204" s="3" t="inlineStr">
        <is>
          <t>소로한면</t>
        </is>
      </c>
    </row>
    <row r="205">
      <c r="A205" s="3" t="inlineStr">
        <is>
          <t>연동면 내판리 17-11</t>
        </is>
      </c>
      <c r="B205" s="3" t="inlineStr">
        <is>
          <t>계획관리지역</t>
        </is>
      </c>
      <c r="C205" s="3" t="inlineStr">
        <is>
          <t>대</t>
        </is>
      </c>
      <c r="D205" s="3" t="inlineStr">
        <is>
          <t>1</t>
        </is>
      </c>
      <c r="E205" s="3" t="inlineStr">
        <is>
          <t>단독</t>
        </is>
      </c>
      <c r="F205" s="3" t="inlineStr">
        <is>
          <t>매매</t>
        </is>
      </c>
      <c r="G205" s="4" t="n">
        <v>39000</v>
      </c>
      <c r="H205" s="4" t="n">
        <v>0</v>
      </c>
      <c r="I205" s="4" t="n">
        <v>284</v>
      </c>
      <c r="J205" s="4" t="n">
        <v>86</v>
      </c>
      <c r="K205" s="5" t="n">
        <v>453.5</v>
      </c>
      <c r="L205" s="4" t="n">
        <v>65</v>
      </c>
      <c r="M205" s="4" t="n">
        <v>20</v>
      </c>
      <c r="N205" s="5" t="n">
        <v>1950</v>
      </c>
      <c r="O205" s="3" t="inlineStr">
        <is>
          <t>총2필지 340㎡,세종행정중심복합도시 ,오송역 세종 청주고속도로예정</t>
        </is>
      </c>
      <c r="P205" s="6">
        <f>HYPERLINK("https://fin.land.naver.com/articles/2650782396", "매물Link")</f>
        <v/>
      </c>
      <c r="Q205" s="6">
        <f>HYPERLINK("https://map.naver.com/p/search/연동면 내판리 17-11", "지도Link")</f>
        <v/>
      </c>
      <c r="R205" s="6">
        <f>HYPERLINK("http://www.eum.go.kr/web/ar/lu/luLandDet.jsp?pnu=3611032021100170011&amp;isNoScr=script&amp;mode=search", "토지이음")</f>
        <v/>
      </c>
      <c r="S205" s="3" t="inlineStr">
        <is>
          <t>단골</t>
        </is>
      </c>
      <c r="T205" s="4" t="n">
        <v>1</v>
      </c>
      <c r="U205" s="5" t="n">
        <v>125.8</v>
      </c>
      <c r="V205" s="4" t="n">
        <v>284</v>
      </c>
      <c r="W205" s="3" t="inlineStr">
        <is>
          <t>지정되지않음</t>
        </is>
      </c>
      <c r="X205" s="3" t="inlineStr">
        <is>
          <t>단독</t>
        </is>
      </c>
      <c r="Y205" s="3" t="inlineStr">
        <is>
          <t>평지</t>
        </is>
      </c>
      <c r="Z205" s="3" t="inlineStr">
        <is>
          <t>사다리형</t>
        </is>
      </c>
      <c r="AA205" s="3" t="inlineStr">
        <is>
          <t>세로각지(가)</t>
        </is>
      </c>
    </row>
    <row r="206">
      <c r="A206" s="3" t="inlineStr">
        <is>
          <t>연동면 노송리 271</t>
        </is>
      </c>
      <c r="B206" s="3" t="inlineStr">
        <is>
          <t>계획관리지역</t>
        </is>
      </c>
      <c r="C206" s="3" t="inlineStr">
        <is>
          <t>대</t>
        </is>
      </c>
      <c r="D206" s="3" t="inlineStr">
        <is>
          <t>1</t>
        </is>
      </c>
      <c r="E206" s="3" t="inlineStr">
        <is>
          <t>단독</t>
        </is>
      </c>
      <c r="F206" s="3" t="inlineStr">
        <is>
          <t>매매</t>
        </is>
      </c>
      <c r="G206" s="4" t="n">
        <v>15000</v>
      </c>
      <c r="H206" s="4" t="n">
        <v>0</v>
      </c>
      <c r="I206" s="4" t="n">
        <v>357</v>
      </c>
      <c r="J206" s="4" t="n">
        <v>108</v>
      </c>
      <c r="K206" s="5" t="n">
        <v>138.9</v>
      </c>
      <c r="L206" s="4" t="n">
        <v>109</v>
      </c>
      <c r="M206" s="4" t="n">
        <v>33</v>
      </c>
      <c r="N206" s="5" t="n">
        <v>454.5</v>
      </c>
      <c r="O206" s="3" t="inlineStr">
        <is>
          <t>노송리 단독주택 텃밭가능합니다</t>
        </is>
      </c>
      <c r="P206" s="6">
        <f>HYPERLINK("https://fin.land.naver.com/articles/2653435400", "매물Link")</f>
        <v/>
      </c>
      <c r="Q206" s="6">
        <f>HYPERLINK("https://map.naver.com/p/search/연동면 노송리 271", "지도Link")</f>
        <v/>
      </c>
      <c r="R206" s="6">
        <f>HYPERLINK("http://www.eum.go.kr/web/ar/lu/luLandDet.jsp?pnu=3611032025102710000&amp;isNoScr=script&amp;mode=search", "토지이음")</f>
        <v/>
      </c>
      <c r="S206" s="3" t="inlineStr">
        <is>
          <t>OK수</t>
        </is>
      </c>
      <c r="T206" s="4" t="n">
        <v>1</v>
      </c>
      <c r="U206" s="5" t="n">
        <v>72</v>
      </c>
      <c r="V206" s="4" t="n">
        <v>357</v>
      </c>
      <c r="W206" s="3" t="inlineStr">
        <is>
          <t>지정되지않음</t>
        </is>
      </c>
      <c r="X206" s="3" t="inlineStr">
        <is>
          <t>단독</t>
        </is>
      </c>
      <c r="Y206" s="3" t="inlineStr">
        <is>
          <t>평지</t>
        </is>
      </c>
      <c r="Z206" s="3" t="inlineStr">
        <is>
          <t>사다리형</t>
        </is>
      </c>
      <c r="AA206" s="3" t="inlineStr">
        <is>
          <t>세로각지(가)</t>
        </is>
      </c>
    </row>
    <row r="207">
      <c r="A207" s="3" t="inlineStr">
        <is>
          <t>연동면 노송리 28</t>
        </is>
      </c>
      <c r="B207" s="3" t="inlineStr">
        <is>
          <t>계획관리지역</t>
        </is>
      </c>
      <c r="C207" s="3" t="inlineStr">
        <is>
          <t>대</t>
        </is>
      </c>
      <c r="D207" s="3" t="inlineStr">
        <is>
          <t>2</t>
        </is>
      </c>
      <c r="E207" s="3" t="inlineStr">
        <is>
          <t>전원주택</t>
        </is>
      </c>
      <c r="F207" s="3" t="inlineStr">
        <is>
          <t>매매</t>
        </is>
      </c>
      <c r="G207" s="4" t="n">
        <v>180000</v>
      </c>
      <c r="H207" s="4" t="n">
        <v>0</v>
      </c>
      <c r="I207" s="4" t="n">
        <v>1756</v>
      </c>
      <c r="J207" s="4" t="n">
        <v>531</v>
      </c>
      <c r="K207" s="5" t="n">
        <v>339</v>
      </c>
      <c r="L207" s="4" t="n">
        <v>191</v>
      </c>
      <c r="M207" s="4" t="n">
        <v>58</v>
      </c>
      <c r="N207" s="5" t="n">
        <v>3103.4</v>
      </c>
      <c r="O207" s="3" t="inlineStr">
        <is>
          <t>남향의 2층 전원주택</t>
        </is>
      </c>
      <c r="P207" s="6">
        <f>HYPERLINK("https://fin.land.naver.com/articles/2651838387", "매물Link")</f>
        <v/>
      </c>
      <c r="Q207" s="6">
        <f>HYPERLINK("https://map.naver.com/p/search/연동면 노송리 28", "지도Link")</f>
        <v/>
      </c>
      <c r="R207" s="6">
        <f>HYPERLINK("http://www.eum.go.kr/web/ar/lu/luLandDet.jsp?pnu=3611032025100280000&amp;isNoScr=script&amp;mode=search", "토지이음")</f>
        <v/>
      </c>
      <c r="S207" s="3" t="inlineStr">
        <is>
          <t>보람최고</t>
        </is>
      </c>
      <c r="T207" s="4" t="n">
        <v>1</v>
      </c>
      <c r="U207" s="5" t="n">
        <v>68.90000000000001</v>
      </c>
      <c r="V207" s="4" t="n">
        <v>1001</v>
      </c>
      <c r="W207" s="3" t="inlineStr">
        <is>
          <t>지정되지않음</t>
        </is>
      </c>
      <c r="X207" s="3" t="inlineStr">
        <is>
          <t>단독</t>
        </is>
      </c>
      <c r="Y207" s="3" t="inlineStr">
        <is>
          <t>완경사</t>
        </is>
      </c>
      <c r="Z207" s="3" t="inlineStr">
        <is>
          <t>부정형</t>
        </is>
      </c>
      <c r="AA207" s="3" t="inlineStr">
        <is>
          <t>세로각지(가)</t>
        </is>
      </c>
    </row>
    <row r="208">
      <c r="A208" s="3" t="inlineStr">
        <is>
          <t>연동면 명학리 217-1</t>
        </is>
      </c>
      <c r="B208" s="3" t="inlineStr">
        <is>
          <t>계획관리지역</t>
        </is>
      </c>
      <c r="C208" s="3" t="inlineStr">
        <is>
          <t>대</t>
        </is>
      </c>
      <c r="D208" s="3" t="inlineStr">
        <is>
          <t>1</t>
        </is>
      </c>
      <c r="E208" s="3" t="inlineStr">
        <is>
          <t>전원주택</t>
        </is>
      </c>
      <c r="F208" s="3" t="inlineStr">
        <is>
          <t>매매</t>
        </is>
      </c>
      <c r="G208" s="4" t="n">
        <v>17000</v>
      </c>
      <c r="H208" s="4" t="n">
        <v>0</v>
      </c>
      <c r="I208" s="4" t="n">
        <v>176</v>
      </c>
      <c r="J208" s="4" t="n">
        <v>53</v>
      </c>
      <c r="K208" s="5" t="n">
        <v>320.8</v>
      </c>
      <c r="L208" s="4" t="n">
        <v>52</v>
      </c>
      <c r="M208" s="4" t="n">
        <v>16</v>
      </c>
      <c r="N208" s="5" t="n">
        <v>1062.5</v>
      </c>
      <c r="O208" s="3" t="inlineStr">
        <is>
          <t>태양광,도시가스 사용, 소액 투자, 세컨하우스, 주말별장, 실거주도 추천</t>
        </is>
      </c>
      <c r="P208" s="6">
        <f>HYPERLINK("https://fin.land.naver.com/articles/2652143034", "매물Link")</f>
        <v/>
      </c>
      <c r="Q208" s="6">
        <f>HYPERLINK("https://map.naver.com/p/search/연동면 명학리 217-1", "지도Link")</f>
        <v/>
      </c>
      <c r="R208" s="6">
        <f>HYPERLINK("http://www.eum.go.kr/web/ar/lu/luLandDet.jsp?pnu=3611032023102170001&amp;isNoScr=script&amp;mode=search", "토지이음")</f>
        <v/>
      </c>
      <c r="S208" s="3" t="inlineStr">
        <is>
          <t>수자인시티</t>
        </is>
      </c>
      <c r="T208" s="4" t="n">
        <v>1</v>
      </c>
      <c r="U208" s="5" t="n">
        <v>98.7</v>
      </c>
      <c r="V208" s="4" t="n">
        <v>176</v>
      </c>
      <c r="W208" s="3" t="inlineStr">
        <is>
          <t>지정되지않음</t>
        </is>
      </c>
      <c r="X208" s="3" t="inlineStr">
        <is>
          <t>단독</t>
        </is>
      </c>
      <c r="Y208" s="3" t="inlineStr">
        <is>
          <t>평지</t>
        </is>
      </c>
      <c r="Z208" s="3" t="inlineStr">
        <is>
          <t>부정형</t>
        </is>
      </c>
      <c r="AA208" s="3" t="inlineStr">
        <is>
          <t>세로한면(가)</t>
        </is>
      </c>
    </row>
    <row r="209">
      <c r="A209" s="3" t="inlineStr">
        <is>
          <t>연동면 송용리 206-6</t>
        </is>
      </c>
      <c r="B209" s="3" t="inlineStr">
        <is>
          <t>계획관리지역</t>
        </is>
      </c>
      <c r="C209" s="3" t="inlineStr">
        <is>
          <t>대</t>
        </is>
      </c>
      <c r="D209" s="3" t="inlineStr">
        <is>
          <t>1</t>
        </is>
      </c>
      <c r="E209" s="3" t="inlineStr">
        <is>
          <t>단독</t>
        </is>
      </c>
      <c r="F209" s="3" t="inlineStr">
        <is>
          <t>매매</t>
        </is>
      </c>
      <c r="G209" s="4" t="n">
        <v>25000</v>
      </c>
      <c r="H209" s="4" t="n">
        <v>0</v>
      </c>
      <c r="I209" s="4" t="n">
        <v>398</v>
      </c>
      <c r="J209" s="4" t="n">
        <v>120</v>
      </c>
      <c r="K209" s="5" t="n">
        <v>208.3</v>
      </c>
      <c r="L209" s="4" t="n">
        <v>84</v>
      </c>
      <c r="M209" s="4" t="n">
        <v>25</v>
      </c>
      <c r="N209" s="5" t="n">
        <v>1000</v>
      </c>
      <c r="O209" s="3" t="inlineStr">
        <is>
          <t>송용리 단독 신축 위치 좋습니다</t>
        </is>
      </c>
      <c r="P209" s="6">
        <f>HYPERLINK("https://fin.land.naver.com/articles/2653435652", "매물Link")</f>
        <v/>
      </c>
      <c r="Q209" s="6">
        <f>HYPERLINK("https://map.naver.com/p/search/연동면 송용리 206-6", "지도Link")</f>
        <v/>
      </c>
      <c r="R209" s="6">
        <f>HYPERLINK("http://www.eum.go.kr/web/ar/lu/luLandDet.jsp?pnu=3611032027102060006&amp;isNoScr=script&amp;mode=search", "토지이음")</f>
        <v/>
      </c>
      <c r="S209" s="3" t="inlineStr">
        <is>
          <t>OK수</t>
        </is>
      </c>
      <c r="T209" s="4" t="n">
        <v>1</v>
      </c>
      <c r="U209" s="5" t="n">
        <v>77.7</v>
      </c>
      <c r="V209" s="4" t="n">
        <v>398</v>
      </c>
      <c r="W209" s="3" t="inlineStr">
        <is>
          <t>지정되지않음</t>
        </is>
      </c>
      <c r="X209" s="3" t="inlineStr">
        <is>
          <t>단독</t>
        </is>
      </c>
      <c r="Y209" s="3" t="inlineStr">
        <is>
          <t>평지</t>
        </is>
      </c>
      <c r="Z209" s="3" t="inlineStr">
        <is>
          <t>정방형</t>
        </is>
      </c>
      <c r="AA209" s="3" t="inlineStr">
        <is>
          <t>세로한면(불)</t>
        </is>
      </c>
    </row>
    <row r="210">
      <c r="A210" s="3" t="inlineStr">
        <is>
          <t>연동면 예양리 27</t>
        </is>
      </c>
      <c r="B210" s="3" t="inlineStr">
        <is>
          <t>계획관리지역</t>
        </is>
      </c>
      <c r="C210" s="3" t="inlineStr">
        <is>
          <t>대</t>
        </is>
      </c>
      <c r="D210" s="3" t="inlineStr">
        <is>
          <t>1</t>
        </is>
      </c>
      <c r="E210" s="3" t="inlineStr">
        <is>
          <t>단독</t>
        </is>
      </c>
      <c r="F210" s="3" t="inlineStr">
        <is>
          <t>매매</t>
        </is>
      </c>
      <c r="G210" s="4" t="n">
        <v>55000</v>
      </c>
      <c r="H210" s="4" t="n">
        <v>0</v>
      </c>
      <c r="I210" s="4" t="n">
        <v>1230</v>
      </c>
      <c r="J210" s="4" t="n">
        <v>372</v>
      </c>
      <c r="K210" s="5" t="n">
        <v>147.8</v>
      </c>
      <c r="L210" s="4" t="n">
        <v>79</v>
      </c>
      <c r="M210" s="4" t="n">
        <v>24</v>
      </c>
      <c r="N210" s="5" t="n">
        <v>2291.7</v>
      </c>
      <c r="O210" s="3" t="inlineStr">
        <is>
          <t>nan</t>
        </is>
      </c>
      <c r="P210" s="6">
        <f>HYPERLINK("https://fin.land.naver.com/articles/2651986983", "매물Link")</f>
        <v/>
      </c>
      <c r="Q210" s="6">
        <f>HYPERLINK("https://map.naver.com/p/search/연동면 예양리 27", "지도Link")</f>
        <v/>
      </c>
      <c r="R210" s="6">
        <f>HYPERLINK("http://www.eum.go.kr/web/ar/lu/luLandDet.jsp?pnu=3611032026100270000&amp;isNoScr=script&amp;mode=search", "토지이음")</f>
        <v/>
      </c>
      <c r="S210" s="3" t="inlineStr">
        <is>
          <t>오송퍼스트영웅</t>
        </is>
      </c>
      <c r="T210" s="4" t="n">
        <v>1</v>
      </c>
      <c r="U210" s="5" t="n">
        <v>65.3</v>
      </c>
      <c r="V210" s="4" t="n">
        <v>656</v>
      </c>
      <c r="W210" s="3" t="inlineStr">
        <is>
          <t>지정되지않음</t>
        </is>
      </c>
      <c r="X210" s="3" t="inlineStr">
        <is>
          <t>단독</t>
        </is>
      </c>
      <c r="Y210" s="3" t="inlineStr">
        <is>
          <t>평지</t>
        </is>
      </c>
      <c r="Z210" s="3" t="inlineStr">
        <is>
          <t>부정형</t>
        </is>
      </c>
      <c r="AA210" s="3" t="inlineStr">
        <is>
          <t>세로한면(가)</t>
        </is>
      </c>
    </row>
    <row r="211">
      <c r="A211" s="3" t="inlineStr">
        <is>
          <t>연동면 예양리 27</t>
        </is>
      </c>
      <c r="B211" s="3" t="inlineStr">
        <is>
          <t>계획관리지역</t>
        </is>
      </c>
      <c r="C211" s="3" t="inlineStr">
        <is>
          <t>대</t>
        </is>
      </c>
      <c r="D211" s="3" t="inlineStr">
        <is>
          <t>1</t>
        </is>
      </c>
      <c r="E211" s="3" t="inlineStr">
        <is>
          <t>단독</t>
        </is>
      </c>
      <c r="F211" s="3" t="inlineStr">
        <is>
          <t>매매</t>
        </is>
      </c>
      <c r="G211" s="4" t="n">
        <v>45000</v>
      </c>
      <c r="H211" s="4" t="n">
        <v>0</v>
      </c>
      <c r="I211" s="4" t="n">
        <v>656</v>
      </c>
      <c r="J211" s="4" t="n">
        <v>198</v>
      </c>
      <c r="K211" s="5" t="n">
        <v>227.3</v>
      </c>
      <c r="L211" s="4" t="n">
        <v>79</v>
      </c>
      <c r="M211" s="4" t="n">
        <v>24</v>
      </c>
      <c r="N211" s="5" t="n">
        <v>1875</v>
      </c>
      <c r="O211" s="3" t="inlineStr">
        <is>
          <t>예양교차로인근에 위치  교통편리 버스정류장도 바로앞에 있습니다</t>
        </is>
      </c>
      <c r="P211" s="6">
        <f>HYPERLINK("https://fin.land.naver.com/articles/2653055468", "매물Link")</f>
        <v/>
      </c>
      <c r="Q211" s="6">
        <f>HYPERLINK("https://map.naver.com/p/search/연동면 예양리 27", "지도Link")</f>
        <v/>
      </c>
      <c r="R211" s="6">
        <f>HYPERLINK("http://www.eum.go.kr/web/ar/lu/luLandDet.jsp?pnu=3611032026100270000&amp;isNoScr=script&amp;mode=search", "토지이음")</f>
        <v/>
      </c>
      <c r="S211" s="3" t="inlineStr">
        <is>
          <t>시드니</t>
        </is>
      </c>
      <c r="T211" s="4" t="n">
        <v>1</v>
      </c>
      <c r="U211" s="5" t="n">
        <v>65.3</v>
      </c>
      <c r="V211" s="4" t="n">
        <v>656</v>
      </c>
      <c r="W211" s="3" t="inlineStr">
        <is>
          <t>지정되지않음</t>
        </is>
      </c>
      <c r="X211" s="3" t="inlineStr">
        <is>
          <t>단독</t>
        </is>
      </c>
      <c r="Y211" s="3" t="inlineStr">
        <is>
          <t>평지</t>
        </is>
      </c>
      <c r="Z211" s="3" t="inlineStr">
        <is>
          <t>부정형</t>
        </is>
      </c>
      <c r="AA211" s="3" t="inlineStr">
        <is>
          <t>세로한면(가)</t>
        </is>
      </c>
    </row>
    <row r="212">
      <c r="A212" s="3" t="inlineStr">
        <is>
          <t>연동면 예양리 640-1</t>
        </is>
      </c>
      <c r="B212" s="3" t="inlineStr">
        <is>
          <t>보전관리지역</t>
        </is>
      </c>
      <c r="C212" s="3" t="inlineStr">
        <is>
          <t>대</t>
        </is>
      </c>
      <c r="D212" s="3" t="inlineStr">
        <is>
          <t>1</t>
        </is>
      </c>
      <c r="E212" s="3" t="inlineStr">
        <is>
          <t>단독</t>
        </is>
      </c>
      <c r="F212" s="3" t="inlineStr">
        <is>
          <t>매매</t>
        </is>
      </c>
      <c r="G212" s="4" t="n">
        <v>21000</v>
      </c>
      <c r="H212" s="4" t="n">
        <v>0</v>
      </c>
      <c r="I212" s="4" t="n">
        <v>259</v>
      </c>
      <c r="J212" s="4" t="n">
        <v>78</v>
      </c>
      <c r="K212" s="5" t="n">
        <v>269.2</v>
      </c>
      <c r="L212" s="4" t="n">
        <v>92</v>
      </c>
      <c r="M212" s="4" t="n">
        <v>28</v>
      </c>
      <c r="N212" s="5" t="n">
        <v>750</v>
      </c>
      <c r="O212" s="3" t="inlineStr">
        <is>
          <t>세종시 공기좋고 한적한 곳 저렴한 시골집 세컨하우스 주말주택</t>
        </is>
      </c>
      <c r="P212" s="6">
        <f>HYPERLINK("https://fin.land.naver.com/articles/2651693393", "매물Link")</f>
        <v/>
      </c>
      <c r="Q212" s="6">
        <f>HYPERLINK("https://map.naver.com/p/search/연동면 예양리 640-1", "지도Link")</f>
        <v/>
      </c>
      <c r="R212" s="6">
        <f>HYPERLINK("http://www.eum.go.kr/web/ar/lu/luLandDet.jsp?pnu=3611032026106400001&amp;isNoScr=script&amp;mode=search", "토지이음")</f>
        <v/>
      </c>
      <c r="S212" s="3" t="inlineStr">
        <is>
          <t>청담</t>
        </is>
      </c>
      <c r="T212" s="4" t="n">
        <v>1</v>
      </c>
      <c r="U212" s="5" t="n">
        <v>60.4</v>
      </c>
      <c r="V212" s="4" t="n">
        <v>259</v>
      </c>
      <c r="W212" s="3" t="inlineStr">
        <is>
          <t>지정되지않음</t>
        </is>
      </c>
      <c r="X212" s="3" t="inlineStr">
        <is>
          <t>단독</t>
        </is>
      </c>
      <c r="Y212" s="3" t="inlineStr">
        <is>
          <t>평지</t>
        </is>
      </c>
      <c r="Z212" s="3" t="inlineStr">
        <is>
          <t>사다리형</t>
        </is>
      </c>
      <c r="AA212" s="3" t="inlineStr">
        <is>
          <t>세로한면(가)</t>
        </is>
      </c>
    </row>
    <row r="213">
      <c r="A213" s="3" t="inlineStr">
        <is>
          <t>연동면 예양리 642-4</t>
        </is>
      </c>
      <c r="B213" s="3" t="inlineStr">
        <is>
          <t>보전관리지역</t>
        </is>
      </c>
      <c r="C213" s="3" t="inlineStr">
        <is>
          <t>대</t>
        </is>
      </c>
      <c r="D213" s="3" t="inlineStr">
        <is>
          <t>2</t>
        </is>
      </c>
      <c r="E213" s="3" t="inlineStr">
        <is>
          <t>단독</t>
        </is>
      </c>
      <c r="F213" s="3" t="inlineStr">
        <is>
          <t>매매</t>
        </is>
      </c>
      <c r="G213" s="4" t="n">
        <v>28000</v>
      </c>
      <c r="H213" s="4" t="n">
        <v>0</v>
      </c>
      <c r="I213" s="4" t="n">
        <v>480</v>
      </c>
      <c r="J213" s="4" t="n">
        <v>145</v>
      </c>
      <c r="K213" s="5" t="n">
        <v>193.1</v>
      </c>
      <c r="L213" s="4" t="n">
        <v>168</v>
      </c>
      <c r="M213" s="4" t="n">
        <v>51</v>
      </c>
      <c r="N213" s="5" t="n">
        <v>549</v>
      </c>
      <c r="O213" s="3" t="inlineStr">
        <is>
          <t>즉시입주.넓은 마당과 텃밭.저렴매매.전원주택의 여유를 느껴보세요.</t>
        </is>
      </c>
      <c r="P213" s="6">
        <f>HYPERLINK("https://fin.land.naver.com/articles/2651510028", "매물Link")</f>
        <v/>
      </c>
      <c r="Q213" s="6">
        <f>HYPERLINK("https://map.naver.com/p/search/연동면 예양리 642-4", "지도Link")</f>
        <v/>
      </c>
      <c r="R213" s="6">
        <f>HYPERLINK("http://www.eum.go.kr/web/ar/lu/luLandDet.jsp?pnu=3611032026106420004&amp;isNoScr=script&amp;mode=search", "토지이음")</f>
        <v/>
      </c>
      <c r="S213" s="3" t="inlineStr">
        <is>
          <t>수자인</t>
        </is>
      </c>
      <c r="T213" s="4" t="n">
        <v>1</v>
      </c>
      <c r="U213" s="5" t="n">
        <v>60.4</v>
      </c>
      <c r="V213" s="4" t="n">
        <v>480</v>
      </c>
      <c r="W213" s="3" t="inlineStr">
        <is>
          <t>지정되지않음</t>
        </is>
      </c>
      <c r="X213" s="3" t="inlineStr">
        <is>
          <t>단독</t>
        </is>
      </c>
      <c r="Y213" s="3" t="inlineStr">
        <is>
          <t>평지</t>
        </is>
      </c>
      <c r="Z213" s="3" t="inlineStr">
        <is>
          <t>사다리형</t>
        </is>
      </c>
      <c r="AA213" s="3" t="inlineStr">
        <is>
          <t>세로한면(가)</t>
        </is>
      </c>
    </row>
    <row r="214">
      <c r="A214" s="3" t="inlineStr">
        <is>
          <t>연동면 예양리 642-4</t>
        </is>
      </c>
      <c r="B214" s="3" t="inlineStr">
        <is>
          <t>보전관리지역</t>
        </is>
      </c>
      <c r="C214" s="3" t="inlineStr">
        <is>
          <t>대</t>
        </is>
      </c>
      <c r="D214" s="3" t="inlineStr">
        <is>
          <t>2</t>
        </is>
      </c>
      <c r="E214" s="3" t="inlineStr">
        <is>
          <t>단독</t>
        </is>
      </c>
      <c r="F214" s="3" t="inlineStr">
        <is>
          <t>매매</t>
        </is>
      </c>
      <c r="G214" s="4" t="n">
        <v>25000</v>
      </c>
      <c r="H214" s="4" t="n">
        <v>0</v>
      </c>
      <c r="I214" s="4" t="n">
        <v>480</v>
      </c>
      <c r="J214" s="4" t="n">
        <v>145</v>
      </c>
      <c r="K214" s="5" t="n">
        <v>172.4</v>
      </c>
      <c r="L214" s="4" t="n">
        <v>168</v>
      </c>
      <c r="M214" s="4" t="n">
        <v>51</v>
      </c>
      <c r="N214" s="5" t="n">
        <v>490.2</v>
      </c>
      <c r="O214" s="3" t="inlineStr">
        <is>
          <t>nan</t>
        </is>
      </c>
      <c r="P214" s="6">
        <f>HYPERLINK("https://fin.land.naver.com/articles/2652759291", "매물Link")</f>
        <v/>
      </c>
      <c r="Q214" s="6">
        <f>HYPERLINK("https://map.naver.com/p/search/연동면 예양리 642-4", "지도Link")</f>
        <v/>
      </c>
      <c r="R214" s="6">
        <f>HYPERLINK("http://www.eum.go.kr/web/ar/lu/luLandDet.jsp?pnu=3611032026106420004&amp;isNoScr=script&amp;mode=search", "토지이음")</f>
        <v/>
      </c>
      <c r="S214" s="3" t="inlineStr">
        <is>
          <t>효자</t>
        </is>
      </c>
      <c r="T214" s="4" t="n">
        <v>1</v>
      </c>
      <c r="U214" s="5" t="n">
        <v>60.4</v>
      </c>
      <c r="V214" s="4" t="n">
        <v>480</v>
      </c>
      <c r="W214" s="3" t="inlineStr">
        <is>
          <t>지정되지않음</t>
        </is>
      </c>
      <c r="X214" s="3" t="inlineStr">
        <is>
          <t>단독</t>
        </is>
      </c>
      <c r="Y214" s="3" t="inlineStr">
        <is>
          <t>평지</t>
        </is>
      </c>
      <c r="Z214" s="3" t="inlineStr">
        <is>
          <t>사다리형</t>
        </is>
      </c>
      <c r="AA214" s="3" t="inlineStr">
        <is>
          <t>세로한면(가)</t>
        </is>
      </c>
    </row>
    <row r="215">
      <c r="A215" s="3" t="inlineStr">
        <is>
          <t>연동면 응암리 121-4</t>
        </is>
      </c>
      <c r="B215" s="3" t="inlineStr">
        <is>
          <t>계획관리지역</t>
        </is>
      </c>
      <c r="C215" s="3" t="inlineStr">
        <is>
          <t>대</t>
        </is>
      </c>
      <c r="D215" s="3" t="inlineStr">
        <is>
          <t>1</t>
        </is>
      </c>
      <c r="E215" s="3" t="inlineStr">
        <is>
          <t>단독</t>
        </is>
      </c>
      <c r="F215" s="3" t="inlineStr">
        <is>
          <t>매매</t>
        </is>
      </c>
      <c r="G215" s="4" t="n">
        <v>48000</v>
      </c>
      <c r="H215" s="4" t="n">
        <v>0</v>
      </c>
      <c r="I215" s="4" t="n">
        <v>1025</v>
      </c>
      <c r="J215" s="4" t="n">
        <v>310</v>
      </c>
      <c r="K215" s="5" t="n">
        <v>154.8</v>
      </c>
      <c r="L215" s="4" t="n">
        <v>103</v>
      </c>
      <c r="M215" s="4" t="n">
        <v>31</v>
      </c>
      <c r="N215" s="5" t="n">
        <v>1548.4</v>
      </c>
      <c r="O215" s="3" t="inlineStr">
        <is>
          <t>nan</t>
        </is>
      </c>
      <c r="P215" s="6">
        <f>HYPERLINK("https://fin.land.naver.com/articles/2654142663", "매물Link")</f>
        <v/>
      </c>
      <c r="Q215" s="6">
        <f>HYPERLINK("https://map.naver.com/p/search/연동면 응암리 121-4", "지도Link")</f>
        <v/>
      </c>
      <c r="R215" s="6">
        <f>HYPERLINK("http://www.eum.go.kr/web/ar/lu/luLandDet.jsp?pnu=3611032024101210004&amp;isNoScr=script&amp;mode=search", "토지이음")</f>
        <v/>
      </c>
      <c r="S215" s="3" t="inlineStr">
        <is>
          <t>세종지원</t>
        </is>
      </c>
      <c r="T215" s="4" t="n">
        <v>1</v>
      </c>
      <c r="U215" s="5" t="n">
        <v>67.5</v>
      </c>
      <c r="V215" s="4" t="n">
        <v>1025</v>
      </c>
      <c r="W215" s="3" t="inlineStr">
        <is>
          <t>지정되지않음</t>
        </is>
      </c>
      <c r="X215" s="3" t="inlineStr">
        <is>
          <t>단독</t>
        </is>
      </c>
      <c r="Y215" s="3" t="inlineStr">
        <is>
          <t>완경사</t>
        </is>
      </c>
      <c r="Z215" s="3" t="inlineStr">
        <is>
          <t>부정형</t>
        </is>
      </c>
      <c r="AA215" s="3" t="inlineStr">
        <is>
          <t>세로한면(가)</t>
        </is>
      </c>
    </row>
    <row r="216">
      <c r="A216" s="3" t="inlineStr">
        <is>
          <t>연동면 응암리 199-4</t>
        </is>
      </c>
      <c r="B216" s="3" t="inlineStr">
        <is>
          <t>계획관리지역</t>
        </is>
      </c>
      <c r="C216" s="3" t="inlineStr">
        <is>
          <t>대</t>
        </is>
      </c>
      <c r="D216" s="3" t="inlineStr">
        <is>
          <t>1</t>
        </is>
      </c>
      <c r="E216" s="3" t="inlineStr">
        <is>
          <t>단독</t>
        </is>
      </c>
      <c r="F216" s="3" t="inlineStr">
        <is>
          <t>매매</t>
        </is>
      </c>
      <c r="G216" s="4" t="n">
        <v>27000</v>
      </c>
      <c r="H216" s="4" t="n">
        <v>0</v>
      </c>
      <c r="I216" s="4" t="n">
        <v>464</v>
      </c>
      <c r="J216" s="4" t="n">
        <v>140</v>
      </c>
      <c r="K216" s="5" t="n">
        <v>192.9</v>
      </c>
      <c r="L216" s="4" t="n">
        <v>89</v>
      </c>
      <c r="M216" s="4" t="n">
        <v>27</v>
      </c>
      <c r="N216" s="5" t="n">
        <v>1000</v>
      </c>
      <c r="O216" s="3" t="inlineStr">
        <is>
          <t>0초이스0 전세 안고 투자도 가능</t>
        </is>
      </c>
      <c r="P216" s="6">
        <f>HYPERLINK("https://fin.land.naver.com/articles/2649446382", "매물Link")</f>
        <v/>
      </c>
      <c r="Q216" s="6">
        <f>HYPERLINK("https://map.naver.com/p/search/연동면 응암리 199-4", "지도Link")</f>
        <v/>
      </c>
      <c r="R216" s="6">
        <f>HYPERLINK("http://www.eum.go.kr/web/ar/lu/luLandDet.jsp?pnu=3611032024101990004&amp;isNoScr=script&amp;mode=search", "토지이음")</f>
        <v/>
      </c>
      <c r="S216" s="3" t="inlineStr">
        <is>
          <t>세종초이스</t>
        </is>
      </c>
      <c r="T216" s="4" t="n">
        <v>1</v>
      </c>
      <c r="U216" s="5" t="n">
        <v>59.8</v>
      </c>
      <c r="V216" s="4" t="n">
        <v>464</v>
      </c>
      <c r="W216" s="3" t="inlineStr">
        <is>
          <t>지정되지않음</t>
        </is>
      </c>
      <c r="X216" s="3" t="inlineStr">
        <is>
          <t>단독</t>
        </is>
      </c>
      <c r="Y216" s="3" t="inlineStr">
        <is>
          <t>평지</t>
        </is>
      </c>
      <c r="Z216" s="3" t="inlineStr">
        <is>
          <t>사다리형</t>
        </is>
      </c>
      <c r="AA216" s="3" t="inlineStr">
        <is>
          <t>세로각지(가)</t>
        </is>
      </c>
    </row>
    <row r="217">
      <c r="A217" s="3" t="inlineStr">
        <is>
          <t>연동면 응암리 632</t>
        </is>
      </c>
      <c r="B217" s="3" t="inlineStr">
        <is>
          <t>계획관리지역</t>
        </is>
      </c>
      <c r="C217" s="3" t="inlineStr">
        <is>
          <t>대</t>
        </is>
      </c>
      <c r="D217" s="3" t="inlineStr">
        <is>
          <t>1</t>
        </is>
      </c>
      <c r="E217" s="3" t="inlineStr">
        <is>
          <t>단독</t>
        </is>
      </c>
      <c r="F217" s="3" t="inlineStr">
        <is>
          <t>매매</t>
        </is>
      </c>
      <c r="G217" s="4" t="n">
        <v>35000</v>
      </c>
      <c r="H217" s="4" t="n">
        <v>0</v>
      </c>
      <c r="I217" s="4" t="n">
        <v>456</v>
      </c>
      <c r="J217" s="4" t="n">
        <v>138</v>
      </c>
      <c r="K217" s="5" t="n">
        <v>253.6</v>
      </c>
      <c r="L217" s="4" t="n">
        <v>66</v>
      </c>
      <c r="M217" s="4" t="n">
        <v>20</v>
      </c>
      <c r="N217" s="5" t="n">
        <v>1750</v>
      </c>
      <c r="O217" s="3" t="inlineStr">
        <is>
          <t>위치 매우 좋은 연동면 응암리 리모델링 추천 I 단독주택 I 텃밭 가능</t>
        </is>
      </c>
      <c r="P217" s="6">
        <f>HYPERLINK("https://fin.land.naver.com/articles/2653366001", "매물Link")</f>
        <v/>
      </c>
      <c r="Q217" s="6">
        <f>HYPERLINK("https://map.naver.com/p/search/연동면 응암리 632", "지도Link")</f>
        <v/>
      </c>
      <c r="R217" s="6">
        <f>HYPERLINK("http://www.eum.go.kr/web/ar/lu/luLandDet.jsp?pnu=3611032024106320000&amp;isNoScr=script&amp;mode=search", "토지이음")</f>
        <v/>
      </c>
      <c r="S217" s="3" t="inlineStr">
        <is>
          <t>세종신한</t>
        </is>
      </c>
      <c r="T217" s="4" t="n">
        <v>1</v>
      </c>
      <c r="U217" s="5" t="n">
        <v>85.7</v>
      </c>
      <c r="V217" s="4" t="n">
        <v>655</v>
      </c>
      <c r="W217" s="3" t="inlineStr">
        <is>
          <t>지정되지않음</t>
        </is>
      </c>
      <c r="X217" s="3" t="inlineStr">
        <is>
          <t>단독</t>
        </is>
      </c>
      <c r="Y217" s="3" t="inlineStr">
        <is>
          <t>평지</t>
        </is>
      </c>
      <c r="Z217" s="3" t="inlineStr">
        <is>
          <t>부정형</t>
        </is>
      </c>
      <c r="AA217" s="3" t="inlineStr">
        <is>
          <t>세로한면(가)</t>
        </is>
      </c>
    </row>
    <row r="218">
      <c r="A218" s="3" t="inlineStr">
        <is>
          <t>연서면 고복리 460-2</t>
        </is>
      </c>
      <c r="B218" s="3" t="inlineStr">
        <is>
          <t>자연환경보전지역</t>
        </is>
      </c>
      <c r="C218" s="3" t="inlineStr">
        <is>
          <t>대</t>
        </is>
      </c>
      <c r="D218" s="3" t="inlineStr">
        <is>
          <t>2</t>
        </is>
      </c>
      <c r="E218" s="3" t="inlineStr">
        <is>
          <t>상가주택</t>
        </is>
      </c>
      <c r="F218" s="3" t="inlineStr">
        <is>
          <t>매매</t>
        </is>
      </c>
      <c r="G218" s="4" t="n">
        <v>195000</v>
      </c>
      <c r="H218" s="4" t="n">
        <v>0</v>
      </c>
      <c r="I218" s="4" t="n">
        <v>729</v>
      </c>
      <c r="J218" s="4" t="n">
        <v>221</v>
      </c>
      <c r="K218" s="5" t="n">
        <v>882.4</v>
      </c>
      <c r="L218" s="4" t="n">
        <v>378</v>
      </c>
      <c r="M218" s="4" t="n">
        <v>114</v>
      </c>
      <c r="N218" s="5" t="n">
        <v>1710.5</v>
      </c>
      <c r="O218" s="3" t="inlineStr">
        <is>
          <t>고복저수지가 보이는 곳에 2층 상가주택</t>
        </is>
      </c>
      <c r="P218" s="6">
        <f>HYPERLINK("https://fin.land.naver.com/articles/2651253733", "매물Link")</f>
        <v/>
      </c>
      <c r="Q218" s="6">
        <f>HYPERLINK("https://map.naver.com/p/search/연서면 고복리 460-2", "지도Link")</f>
        <v/>
      </c>
      <c r="R218" s="6">
        <f>HYPERLINK("http://www.eum.go.kr/web/ar/lu/luLandDet.jsp?pnu=3611036024104600002&amp;isNoScr=script&amp;mode=search", "토지이음")</f>
        <v/>
      </c>
      <c r="S218" s="3" t="inlineStr">
        <is>
          <t>세종토박이</t>
        </is>
      </c>
      <c r="T218" s="4" t="n">
        <v>1</v>
      </c>
      <c r="U218" s="5" t="n">
        <v>92.3</v>
      </c>
      <c r="V218" s="4" t="n">
        <v>729</v>
      </c>
      <c r="W218" s="3" t="inlineStr">
        <is>
          <t>지정되지않음</t>
        </is>
      </c>
      <c r="X218" s="3" t="inlineStr">
        <is>
          <t>단독</t>
        </is>
      </c>
      <c r="Y218" s="3" t="inlineStr">
        <is>
          <t>완경사</t>
        </is>
      </c>
      <c r="Z218" s="3" t="inlineStr">
        <is>
          <t>부정형</t>
        </is>
      </c>
      <c r="AA218" s="3" t="inlineStr">
        <is>
          <t>세로한면(가)</t>
        </is>
      </c>
    </row>
    <row r="219">
      <c r="A219" s="3" t="inlineStr">
        <is>
          <t>연서면 고복리 75-1</t>
        </is>
      </c>
      <c r="B219" s="3" t="inlineStr">
        <is>
          <t>생산관리지역</t>
        </is>
      </c>
      <c r="C219" s="3" t="inlineStr">
        <is>
          <t>대</t>
        </is>
      </c>
      <c r="D219" s="3" t="inlineStr">
        <is>
          <t>2</t>
        </is>
      </c>
      <c r="E219" s="3" t="inlineStr">
        <is>
          <t>상가주택</t>
        </is>
      </c>
      <c r="F219" s="3" t="inlineStr">
        <is>
          <t>매매</t>
        </is>
      </c>
      <c r="G219" s="4" t="n">
        <v>150000</v>
      </c>
      <c r="H219" s="4" t="n">
        <v>0</v>
      </c>
      <c r="I219" s="4" t="n">
        <v>2707</v>
      </c>
      <c r="J219" s="4" t="n">
        <v>819</v>
      </c>
      <c r="K219" s="5" t="n">
        <v>183.2</v>
      </c>
      <c r="L219" s="4" t="n">
        <v>187</v>
      </c>
      <c r="M219" s="4" t="n">
        <v>57</v>
      </c>
      <c r="N219" s="5" t="n">
        <v>2631.6</v>
      </c>
      <c r="O219" s="3" t="inlineStr">
        <is>
          <t>고복저수지 방향 상가주택 장수한증막운영중. 3필지 일괄매매 건물포함.</t>
        </is>
      </c>
      <c r="P219" s="6">
        <f>HYPERLINK("https://fin.land.naver.com/articles/2652535751", "매물Link")</f>
        <v/>
      </c>
      <c r="Q219" s="6">
        <f>HYPERLINK("https://map.naver.com/p/search/연서면 고복리 75-1", "지도Link")</f>
        <v/>
      </c>
      <c r="R219" s="6">
        <f>HYPERLINK("http://www.eum.go.kr/web/ar/lu/luLandDet.jsp?pnu=3611036024100750001&amp;isNoScr=script&amp;mode=search", "토지이음")</f>
        <v/>
      </c>
      <c r="S219" s="3" t="inlineStr">
        <is>
          <t>세종대장</t>
        </is>
      </c>
      <c r="T219" s="4" t="n">
        <v>1</v>
      </c>
      <c r="U219" s="5" t="n">
        <v>91.8</v>
      </c>
      <c r="V219" s="4" t="n">
        <v>999</v>
      </c>
      <c r="W219" s="3" t="inlineStr">
        <is>
          <t>지정되지않음</t>
        </is>
      </c>
      <c r="X219" s="3" t="inlineStr">
        <is>
          <t>주상용</t>
        </is>
      </c>
      <c r="Y219" s="3" t="inlineStr">
        <is>
          <t>평지</t>
        </is>
      </c>
      <c r="Z219" s="3" t="inlineStr">
        <is>
          <t>사다리형</t>
        </is>
      </c>
      <c r="AA219" s="3" t="inlineStr">
        <is>
          <t>세로한면(가)</t>
        </is>
      </c>
    </row>
    <row r="220">
      <c r="A220" s="3" t="inlineStr">
        <is>
          <t>연서면 국촌리 122-2</t>
        </is>
      </c>
      <c r="B220" s="3" t="inlineStr">
        <is>
          <t>계획관리지역</t>
        </is>
      </c>
      <c r="C220" s="3" t="inlineStr">
        <is>
          <t>대</t>
        </is>
      </c>
      <c r="D220" s="3" t="inlineStr">
        <is>
          <t>1</t>
        </is>
      </c>
      <c r="E220" s="3" t="inlineStr">
        <is>
          <t>단독</t>
        </is>
      </c>
      <c r="F220" s="3" t="inlineStr">
        <is>
          <t>매매</t>
        </is>
      </c>
      <c r="G220" s="4" t="n">
        <v>52000</v>
      </c>
      <c r="H220" s="4" t="n">
        <v>0</v>
      </c>
      <c r="I220" s="4" t="n">
        <v>741</v>
      </c>
      <c r="J220" s="4" t="n">
        <v>224</v>
      </c>
      <c r="K220" s="5" t="n">
        <v>232.1</v>
      </c>
      <c r="L220" s="4" t="n">
        <v>156</v>
      </c>
      <c r="M220" s="4" t="n">
        <v>47</v>
      </c>
      <c r="N220" s="5" t="n">
        <v>1106.4</v>
      </c>
      <c r="O220" s="3" t="inlineStr">
        <is>
          <t>국촌리 한옥목조주택으로 주변 개발이 많아 향후 투자로 적극추천.</t>
        </is>
      </c>
      <c r="P220" s="6">
        <f>HYPERLINK("https://fin.land.naver.com/articles/2649553012", "매물Link")</f>
        <v/>
      </c>
      <c r="Q220" s="6">
        <f>HYPERLINK("https://map.naver.com/p/search/연서면 국촌리 122-2", "지도Link")</f>
        <v/>
      </c>
      <c r="R220" s="6">
        <f>HYPERLINK("http://www.eum.go.kr/web/ar/lu/luLandDet.jsp?pnu=3611036030101220002&amp;isNoScr=script&amp;mode=search", "토지이음")</f>
        <v/>
      </c>
      <c r="S220" s="3" t="inlineStr">
        <is>
          <t>세종대장</t>
        </is>
      </c>
      <c r="T220" s="4" t="n">
        <v>1</v>
      </c>
      <c r="U220" s="5" t="n">
        <v>106.6</v>
      </c>
      <c r="V220" s="4" t="n">
        <v>741</v>
      </c>
      <c r="W220" s="3" t="inlineStr">
        <is>
          <t>지정되지않음</t>
        </is>
      </c>
      <c r="X220" s="3" t="inlineStr">
        <is>
          <t>단독</t>
        </is>
      </c>
      <c r="Y220" s="3" t="inlineStr">
        <is>
          <t>평지</t>
        </is>
      </c>
      <c r="Z220" s="3" t="inlineStr">
        <is>
          <t>사다리형</t>
        </is>
      </c>
      <c r="AA220" s="3" t="inlineStr">
        <is>
          <t>세로한면(가)</t>
        </is>
      </c>
    </row>
    <row r="221">
      <c r="A221" s="3" t="inlineStr">
        <is>
          <t>연서면 기룡리 657-4</t>
        </is>
      </c>
      <c r="B221" s="3" t="inlineStr">
        <is>
          <t>계획관리지역</t>
        </is>
      </c>
      <c r="C221" s="3" t="inlineStr">
        <is>
          <t>대</t>
        </is>
      </c>
      <c r="D221" s="3" t="inlineStr">
        <is>
          <t>1</t>
        </is>
      </c>
      <c r="E221" s="3" t="inlineStr">
        <is>
          <t>전원주택</t>
        </is>
      </c>
      <c r="F221" s="3" t="inlineStr">
        <is>
          <t>매매</t>
        </is>
      </c>
      <c r="G221" s="4" t="n">
        <v>7000</v>
      </c>
      <c r="H221" s="4" t="n">
        <v>0</v>
      </c>
      <c r="I221" s="4" t="n">
        <v>304</v>
      </c>
      <c r="J221" s="4" t="n">
        <v>92</v>
      </c>
      <c r="K221" s="5" t="n">
        <v>76.09999999999999</v>
      </c>
      <c r="L221" s="4" t="n">
        <v>54</v>
      </c>
      <c r="M221" s="4" t="n">
        <v>16</v>
      </c>
      <c r="N221" s="5" t="n">
        <v>437.5</v>
      </c>
      <c r="O221" s="3" t="inlineStr">
        <is>
          <t>매매가 이하 저렴한 농가주택입니다</t>
        </is>
      </c>
      <c r="P221" s="6">
        <f>HYPERLINK("https://fin.land.naver.com/articles/2650597094", "매물Link")</f>
        <v/>
      </c>
      <c r="Q221" s="6">
        <f>HYPERLINK("https://map.naver.com/p/search/연서면 기룡리 657-4", "지도Link")</f>
        <v/>
      </c>
      <c r="R221" s="6">
        <f>HYPERLINK("http://www.eum.go.kr/web/ar/lu/luLandDet.jsp?pnu=3611036028106570004&amp;isNoScr=script&amp;mode=search", "토지이음")</f>
        <v/>
      </c>
      <c r="S221" s="3" t="inlineStr">
        <is>
          <t>캠퍼스</t>
        </is>
      </c>
      <c r="T221" s="4" t="n">
        <v>1</v>
      </c>
      <c r="U221" s="5" t="n">
        <v>66.7</v>
      </c>
      <c r="V221" s="4" t="n">
        <v>304</v>
      </c>
      <c r="W221" s="3" t="inlineStr">
        <is>
          <t>지정되지않음</t>
        </is>
      </c>
      <c r="X221" s="3" t="inlineStr">
        <is>
          <t>단독</t>
        </is>
      </c>
      <c r="Y221" s="3" t="inlineStr">
        <is>
          <t>평지</t>
        </is>
      </c>
      <c r="Z221" s="3" t="inlineStr">
        <is>
          <t>부정형</t>
        </is>
      </c>
      <c r="AA221" s="3" t="inlineStr">
        <is>
          <t>세로한면(가)</t>
        </is>
      </c>
    </row>
    <row r="222">
      <c r="A222" s="3" t="inlineStr">
        <is>
          <t>연서면 봉암리 112-30</t>
        </is>
      </c>
      <c r="B222" s="3" t="inlineStr">
        <is>
          <t>계획관리지역</t>
        </is>
      </c>
      <c r="C222" s="3" t="inlineStr">
        <is>
          <t>대</t>
        </is>
      </c>
      <c r="D222" s="3" t="inlineStr">
        <is>
          <t>4</t>
        </is>
      </c>
      <c r="E222" s="3" t="inlineStr">
        <is>
          <t>단독</t>
        </is>
      </c>
      <c r="F222" s="3" t="inlineStr">
        <is>
          <t>매매</t>
        </is>
      </c>
      <c r="G222" s="4" t="n">
        <v>107000</v>
      </c>
      <c r="H222" s="4" t="n">
        <v>0</v>
      </c>
      <c r="I222" s="4" t="n">
        <v>421</v>
      </c>
      <c r="J222" s="4" t="n">
        <v>127</v>
      </c>
      <c r="K222" s="5" t="n">
        <v>842.5</v>
      </c>
      <c r="L222" s="4" t="n">
        <v>450</v>
      </c>
      <c r="M222" s="4" t="n">
        <v>136</v>
      </c>
      <c r="N222" s="5" t="n">
        <v>786.8</v>
      </c>
      <c r="O222" s="3" t="inlineStr">
        <is>
          <t>스마트산업단지 예정 인근 다가구 통매매,중심상권 위치로 투자수익 기대</t>
        </is>
      </c>
      <c r="P222" s="6">
        <f>HYPERLINK("https://fin.land.naver.com/articles/2651024368", "매물Link")</f>
        <v/>
      </c>
      <c r="Q222" s="6">
        <f>HYPERLINK("https://map.naver.com/p/search/연서면 봉암리 112-30", "지도Link")</f>
        <v/>
      </c>
      <c r="R222" s="6">
        <f>HYPERLINK("http://www.eum.go.kr/web/ar/lu/luLandDet.jsp?pnu=3611036033101120030&amp;isNoScr=script&amp;mode=search", "토지이음")</f>
        <v/>
      </c>
      <c r="S222" s="3" t="inlineStr">
        <is>
          <t>연기더조은</t>
        </is>
      </c>
      <c r="T222" s="4" t="n">
        <v>1</v>
      </c>
      <c r="U222" s="5" t="n">
        <v>194.8</v>
      </c>
      <c r="V222" s="4" t="n">
        <v>421</v>
      </c>
      <c r="W222" s="3" t="inlineStr">
        <is>
          <t>지정되지않음</t>
        </is>
      </c>
      <c r="X222" s="3" t="inlineStr">
        <is>
          <t>단독</t>
        </is>
      </c>
      <c r="Y222" s="3" t="inlineStr">
        <is>
          <t>평지</t>
        </is>
      </c>
      <c r="Z222" s="3" t="inlineStr">
        <is>
          <t>세로장방</t>
        </is>
      </c>
      <c r="AA222" s="3" t="inlineStr">
        <is>
          <t>세로한면(가)</t>
        </is>
      </c>
    </row>
    <row r="223">
      <c r="A223" s="3" t="inlineStr">
        <is>
          <t>연서면 봉암리 112-30</t>
        </is>
      </c>
      <c r="B223" s="3" t="inlineStr">
        <is>
          <t>계획관리지역</t>
        </is>
      </c>
      <c r="C223" s="3" t="inlineStr">
        <is>
          <t>대</t>
        </is>
      </c>
      <c r="D223" s="3" t="inlineStr">
        <is>
          <t>4</t>
        </is>
      </c>
      <c r="E223" s="3" t="inlineStr">
        <is>
          <t>다가구</t>
        </is>
      </c>
      <c r="F223" s="3" t="inlineStr">
        <is>
          <t>매매</t>
        </is>
      </c>
      <c r="G223" s="4" t="n">
        <v>107000</v>
      </c>
      <c r="H223" s="4" t="n">
        <v>0</v>
      </c>
      <c r="I223" s="4" t="n">
        <v>420</v>
      </c>
      <c r="J223" s="4" t="n">
        <v>127</v>
      </c>
      <c r="K223" s="5" t="n">
        <v>842.5</v>
      </c>
      <c r="L223" s="4" t="n">
        <v>450</v>
      </c>
      <c r="M223" s="4" t="n">
        <v>136</v>
      </c>
      <c r="N223" s="5" t="n">
        <v>786.8</v>
      </c>
      <c r="O223" s="3" t="inlineStr">
        <is>
          <t>다가구 매매 .위치.방 컨디션 매우좋은 건물</t>
        </is>
      </c>
      <c r="P223" s="6">
        <f>HYPERLINK("https://fin.land.naver.com/articles/2653501155", "매물Link")</f>
        <v/>
      </c>
      <c r="Q223" s="6">
        <f>HYPERLINK("https://map.naver.com/p/search/연서면 봉암리 112-30", "지도Link")</f>
        <v/>
      </c>
      <c r="R223" s="6">
        <f>HYPERLINK("http://www.eum.go.kr/web/ar/lu/luLandDet.jsp?pnu=3611036033101120030&amp;isNoScr=script&amp;mode=search", "토지이음")</f>
        <v/>
      </c>
      <c r="S223" s="3" t="inlineStr">
        <is>
          <t>연서</t>
        </is>
      </c>
      <c r="T223" s="4" t="n">
        <v>1</v>
      </c>
      <c r="U223" s="5" t="n">
        <v>194.8</v>
      </c>
      <c r="V223" s="4" t="n">
        <v>421</v>
      </c>
      <c r="W223" s="3" t="inlineStr">
        <is>
          <t>지정되지않음</t>
        </is>
      </c>
      <c r="X223" s="3" t="inlineStr">
        <is>
          <t>단독</t>
        </is>
      </c>
      <c r="Y223" s="3" t="inlineStr">
        <is>
          <t>평지</t>
        </is>
      </c>
      <c r="Z223" s="3" t="inlineStr">
        <is>
          <t>세로장방</t>
        </is>
      </c>
      <c r="AA223" s="3" t="inlineStr">
        <is>
          <t>세로한면(가)</t>
        </is>
      </c>
    </row>
    <row r="224">
      <c r="A224" s="3" t="inlineStr">
        <is>
          <t>연서면 봉암리 112-35</t>
        </is>
      </c>
      <c r="B224" s="3" t="inlineStr">
        <is>
          <t>계획관리지역</t>
        </is>
      </c>
      <c r="C224" s="3" t="inlineStr">
        <is>
          <t>대</t>
        </is>
      </c>
      <c r="D224" s="3" t="inlineStr">
        <is>
          <t>4</t>
        </is>
      </c>
      <c r="E224" s="3" t="inlineStr">
        <is>
          <t>다가구</t>
        </is>
      </c>
      <c r="F224" s="3" t="inlineStr">
        <is>
          <t>매매</t>
        </is>
      </c>
      <c r="G224" s="4" t="n">
        <v>98000</v>
      </c>
      <c r="H224" s="4" t="n">
        <v>0</v>
      </c>
      <c r="I224" s="4" t="n">
        <v>410</v>
      </c>
      <c r="J224" s="4" t="n">
        <v>124</v>
      </c>
      <c r="K224" s="5" t="n">
        <v>790.3</v>
      </c>
      <c r="L224" s="4" t="n">
        <v>487</v>
      </c>
      <c r="M224" s="4" t="n">
        <v>147</v>
      </c>
      <c r="N224" s="5" t="n">
        <v>666.7</v>
      </c>
      <c r="O224" s="3" t="inlineStr">
        <is>
          <t>세종시 투자의 정석 공실 걱정 없는 안정적인 고수익 다가구주택</t>
        </is>
      </c>
      <c r="P224" s="6">
        <f>HYPERLINK("https://fin.land.naver.com/articles/2652498864", "매물Link")</f>
        <v/>
      </c>
      <c r="Q224" s="6">
        <f>HYPERLINK("https://map.naver.com/p/search/연서면 봉암리 112-35", "지도Link")</f>
        <v/>
      </c>
      <c r="R224" s="6">
        <f>HYPERLINK("http://www.eum.go.kr/web/ar/lu/luLandDet.jsp?pnu=3611036033101120035&amp;isNoScr=script&amp;mode=search", "토지이음")</f>
        <v/>
      </c>
      <c r="S224" s="3" t="inlineStr">
        <is>
          <t>엄지척</t>
        </is>
      </c>
      <c r="T224" s="4" t="n">
        <v>1</v>
      </c>
      <c r="U224" s="5" t="n">
        <v>194.8</v>
      </c>
      <c r="V224" s="4" t="n">
        <v>410</v>
      </c>
      <c r="W224" s="3" t="inlineStr">
        <is>
          <t>지정되지않음</t>
        </is>
      </c>
      <c r="X224" s="3" t="inlineStr">
        <is>
          <t>단독</t>
        </is>
      </c>
      <c r="Y224" s="3" t="inlineStr">
        <is>
          <t>평지</t>
        </is>
      </c>
      <c r="Z224" s="3" t="inlineStr">
        <is>
          <t>세로장방</t>
        </is>
      </c>
      <c r="AA224" s="3" t="inlineStr">
        <is>
          <t>세로한면(가)</t>
        </is>
      </c>
    </row>
    <row r="225">
      <c r="A225" s="3" t="inlineStr">
        <is>
          <t>연서면 봉암리 112-40</t>
        </is>
      </c>
      <c r="B225" s="3" t="inlineStr">
        <is>
          <t>계획관리지역</t>
        </is>
      </c>
      <c r="C225" s="3" t="inlineStr">
        <is>
          <t>대</t>
        </is>
      </c>
      <c r="D225" s="3" t="inlineStr">
        <is>
          <t>4</t>
        </is>
      </c>
      <c r="E225" s="3" t="inlineStr">
        <is>
          <t>일반원룸</t>
        </is>
      </c>
      <c r="F225" s="3" t="inlineStr">
        <is>
          <t>월세</t>
        </is>
      </c>
      <c r="G225" s="4" t="n">
        <v>200</v>
      </c>
      <c r="H225" s="4" t="n">
        <v>50</v>
      </c>
      <c r="I225" s="4" t="n">
        <v>0</v>
      </c>
      <c r="J225" s="4" t="n">
        <v>0</v>
      </c>
      <c r="K225" s="5" t="n">
        <v>0</v>
      </c>
      <c r="L225" s="4" t="n">
        <v>39</v>
      </c>
      <c r="M225" s="4" t="n">
        <v>12</v>
      </c>
      <c r="N225" s="5" t="n">
        <v>4.2</v>
      </c>
      <c r="O225" s="3" t="inlineStr">
        <is>
          <t>가성비좋은 풀옵션 1,5룸   깔끔한 주방분리  도배완료 즉시입주</t>
        </is>
      </c>
      <c r="P225" s="6">
        <f>HYPERLINK("https://fin.land.naver.com/articles/2654320570", "매물Link")</f>
        <v/>
      </c>
      <c r="Q225" s="6">
        <f>HYPERLINK("https://map.naver.com/p/search/연서면 봉암리 112-40", "지도Link")</f>
        <v/>
      </c>
      <c r="R225" s="6">
        <f>HYPERLINK("http://www.eum.go.kr/web/ar/lu/luLandDet.jsp?pnu=3611036033101120040&amp;isNoScr=script&amp;mode=search", "토지이음")</f>
        <v/>
      </c>
      <c r="S225" s="3" t="inlineStr">
        <is>
          <t>연서으뜸</t>
        </is>
      </c>
      <c r="T225" s="4" t="n">
        <v>1</v>
      </c>
      <c r="U225" s="5" t="n">
        <v>194.8</v>
      </c>
      <c r="V225" s="4" t="n">
        <v>412</v>
      </c>
      <c r="W225" s="3" t="inlineStr">
        <is>
          <t>지정되지않음</t>
        </is>
      </c>
      <c r="X225" s="3" t="inlineStr">
        <is>
          <t>단독</t>
        </is>
      </c>
      <c r="Y225" s="3" t="inlineStr">
        <is>
          <t>평지</t>
        </is>
      </c>
      <c r="Z225" s="3" t="inlineStr">
        <is>
          <t>세로장방</t>
        </is>
      </c>
      <c r="AA225" s="3" t="inlineStr">
        <is>
          <t>세로한면(가)</t>
        </is>
      </c>
    </row>
    <row r="226">
      <c r="A226" s="3" t="inlineStr">
        <is>
          <t>연서면 봉암리 217</t>
        </is>
      </c>
      <c r="B226" s="3" t="inlineStr">
        <is>
          <t>계획관리지역</t>
        </is>
      </c>
      <c r="C226" s="3" t="inlineStr">
        <is>
          <t>대</t>
        </is>
      </c>
      <c r="D226" s="3" t="inlineStr">
        <is>
          <t>0</t>
        </is>
      </c>
      <c r="E226" s="3" t="inlineStr">
        <is>
          <t>일반원룸</t>
        </is>
      </c>
      <c r="F226" s="3" t="inlineStr">
        <is>
          <t>월세</t>
        </is>
      </c>
      <c r="G226" s="4" t="n">
        <v>200</v>
      </c>
      <c r="H226" s="4" t="n">
        <v>30</v>
      </c>
      <c r="I226" s="4" t="n">
        <v>0</v>
      </c>
      <c r="J226" s="4" t="n">
        <v>0</v>
      </c>
      <c r="K226" s="5" t="n">
        <v>0</v>
      </c>
      <c r="L226" s="4" t="n">
        <v>23</v>
      </c>
      <c r="M226" s="4" t="n">
        <v>7</v>
      </c>
      <c r="N226" s="5" t="n">
        <v>4.3</v>
      </c>
      <c r="O226" s="3" t="inlineStr">
        <is>
          <t>nan</t>
        </is>
      </c>
      <c r="P226" s="6">
        <f>HYPERLINK("https://fin.land.naver.com/articles/2653013969", "매물Link")</f>
        <v/>
      </c>
      <c r="Q226" s="6">
        <f>HYPERLINK("https://map.naver.com/p/search/연서면 봉암리 217", "지도Link")</f>
        <v/>
      </c>
      <c r="R226" s="6">
        <f>HYPERLINK("http://www.eum.go.kr/web/ar/lu/luLandDet.jsp?pnu=3611036033102170000&amp;isNoScr=script&amp;mode=search", "토지이음")</f>
        <v/>
      </c>
      <c r="S226" s="3" t="inlineStr">
        <is>
          <t>엄지척</t>
        </is>
      </c>
      <c r="T226" s="4" t="n">
        <v>1</v>
      </c>
      <c r="U226" s="5" t="n">
        <v>172.4</v>
      </c>
      <c r="V226" s="4" t="n">
        <v>366</v>
      </c>
      <c r="W226" s="3" t="inlineStr">
        <is>
          <t>지정되지않음</t>
        </is>
      </c>
      <c r="X226" s="3" t="inlineStr">
        <is>
          <t>단독</t>
        </is>
      </c>
      <c r="Y226" s="3" t="inlineStr">
        <is>
          <t>평지</t>
        </is>
      </c>
      <c r="Z226" s="3" t="inlineStr">
        <is>
          <t>사다리형</t>
        </is>
      </c>
      <c r="AA226" s="3" t="inlineStr">
        <is>
          <t>세로한면(가)</t>
        </is>
      </c>
    </row>
    <row r="227">
      <c r="A227" s="3" t="inlineStr">
        <is>
          <t>연서면 봉암리 217-16</t>
        </is>
      </c>
      <c r="B227" s="3" t="inlineStr">
        <is>
          <t>계획관리지역</t>
        </is>
      </c>
      <c r="C227" s="3" t="inlineStr">
        <is>
          <t>대</t>
        </is>
      </c>
      <c r="D227" s="3" t="inlineStr">
        <is>
          <t>4</t>
        </is>
      </c>
      <c r="E227" s="3" t="inlineStr">
        <is>
          <t>단독</t>
        </is>
      </c>
      <c r="F227" s="3" t="inlineStr">
        <is>
          <t>매매</t>
        </is>
      </c>
      <c r="G227" s="4" t="n">
        <v>85000</v>
      </c>
      <c r="H227" s="4" t="n">
        <v>0</v>
      </c>
      <c r="I227" s="4" t="n">
        <v>372</v>
      </c>
      <c r="J227" s="4" t="n">
        <v>113</v>
      </c>
      <c r="K227" s="5" t="n">
        <v>752.2</v>
      </c>
      <c r="L227" s="4" t="n">
        <v>483</v>
      </c>
      <c r="M227" s="4" t="n">
        <v>146</v>
      </c>
      <c r="N227" s="5" t="n">
        <v>582.2</v>
      </c>
      <c r="O227" s="3" t="inlineStr">
        <is>
          <t>스마트산업단지 예정 인근 다가구 통매매,중심상권 위치로 투자수익 기대</t>
        </is>
      </c>
      <c r="P227" s="6">
        <f>HYPERLINK("https://fin.land.naver.com/articles/2651025375", "매물Link")</f>
        <v/>
      </c>
      <c r="Q227" s="6">
        <f>HYPERLINK("https://map.naver.com/p/search/연서면 봉암리 217-16", "지도Link")</f>
        <v/>
      </c>
      <c r="R227" s="6">
        <f>HYPERLINK("http://www.eum.go.kr/web/ar/lu/luLandDet.jsp?pnu=3611036033102170016&amp;isNoScr=script&amp;mode=search", "토지이음")</f>
        <v/>
      </c>
      <c r="S227" s="3" t="inlineStr">
        <is>
          <t>연기더조은</t>
        </is>
      </c>
      <c r="T227" s="4" t="n">
        <v>1</v>
      </c>
      <c r="U227" s="5" t="n">
        <v>172.4</v>
      </c>
      <c r="V227" s="4" t="n">
        <v>372</v>
      </c>
      <c r="W227" s="3" t="inlineStr">
        <is>
          <t>지정되지않음</t>
        </is>
      </c>
      <c r="X227" s="3" t="inlineStr">
        <is>
          <t>단독</t>
        </is>
      </c>
      <c r="Y227" s="3" t="inlineStr">
        <is>
          <t>평지</t>
        </is>
      </c>
      <c r="Z227" s="3" t="inlineStr">
        <is>
          <t>사다리형</t>
        </is>
      </c>
      <c r="AA227" s="3" t="inlineStr">
        <is>
          <t>세로한면(가)</t>
        </is>
      </c>
    </row>
    <row r="228">
      <c r="A228" s="3" t="inlineStr">
        <is>
          <t>연서면 봉암리 234-36</t>
        </is>
      </c>
      <c r="B228" s="3" t="inlineStr">
        <is>
          <t>계획관리지역</t>
        </is>
      </c>
      <c r="C228" s="3" t="inlineStr">
        <is>
          <t>대</t>
        </is>
      </c>
      <c r="D228" s="3" t="inlineStr">
        <is>
          <t>2</t>
        </is>
      </c>
      <c r="E228" s="3" t="inlineStr">
        <is>
          <t>일반원룸</t>
        </is>
      </c>
      <c r="F228" s="3" t="inlineStr">
        <is>
          <t>월세</t>
        </is>
      </c>
      <c r="G228" s="4" t="n">
        <v>300</v>
      </c>
      <c r="H228" s="4" t="n">
        <v>34</v>
      </c>
      <c r="I228" s="4" t="n">
        <v>179</v>
      </c>
      <c r="J228" s="4" t="n">
        <v>54</v>
      </c>
      <c r="K228" s="5" t="n">
        <v>0.6</v>
      </c>
      <c r="L228" s="4" t="n">
        <v>33</v>
      </c>
      <c r="M228" s="4" t="n">
        <v>10</v>
      </c>
      <c r="N228" s="5" t="n">
        <v>3.4</v>
      </c>
      <c r="O228" s="3" t="inlineStr">
        <is>
          <t>인기매물  깔끔한 풀옵션방  정류장 1분  나성동 10분  산울동  5분</t>
        </is>
      </c>
      <c r="P228" s="6">
        <f>HYPERLINK("https://fin.land.naver.com/articles/2651732014", "매물Link")</f>
        <v/>
      </c>
      <c r="Q228" s="6">
        <f>HYPERLINK("https://map.naver.com/p/search/연서면 봉암리 234-36", "지도Link")</f>
        <v/>
      </c>
      <c r="R228" s="6">
        <f>HYPERLINK("http://www.eum.go.kr/web/ar/lu/luLandDet.jsp?pnu=3611036033102340036&amp;isNoScr=script&amp;mode=search", "토지이음")</f>
        <v/>
      </c>
      <c r="S228" s="3" t="inlineStr">
        <is>
          <t>연서으뜸</t>
        </is>
      </c>
      <c r="T228" s="4" t="n">
        <v>1</v>
      </c>
      <c r="U228" s="5" t="n">
        <v>172.4</v>
      </c>
      <c r="V228" s="4" t="n">
        <v>363</v>
      </c>
      <c r="W228" s="3" t="inlineStr">
        <is>
          <t>지정되지않음</t>
        </is>
      </c>
      <c r="X228" s="3" t="inlineStr">
        <is>
          <t>단독</t>
        </is>
      </c>
      <c r="Y228" s="3" t="inlineStr">
        <is>
          <t>평지</t>
        </is>
      </c>
      <c r="Z228" s="3" t="inlineStr">
        <is>
          <t>사다리형</t>
        </is>
      </c>
      <c r="AA228" s="3" t="inlineStr">
        <is>
          <t>세로한면(가)</t>
        </is>
      </c>
    </row>
    <row r="229">
      <c r="A229" s="3" t="inlineStr">
        <is>
          <t>연서면 봉암리 234-37</t>
        </is>
      </c>
      <c r="B229" s="3" t="inlineStr">
        <is>
          <t>계획관리지역</t>
        </is>
      </c>
      <c r="C229" s="3" t="inlineStr">
        <is>
          <t>대</t>
        </is>
      </c>
      <c r="D229" s="3" t="inlineStr">
        <is>
          <t>2</t>
        </is>
      </c>
      <c r="E229" s="3" t="inlineStr">
        <is>
          <t>일반원룸</t>
        </is>
      </c>
      <c r="F229" s="3" t="inlineStr">
        <is>
          <t>월세</t>
        </is>
      </c>
      <c r="G229" s="4" t="n">
        <v>300</v>
      </c>
      <c r="H229" s="4" t="n">
        <v>45</v>
      </c>
      <c r="I229" s="4" t="n">
        <v>0</v>
      </c>
      <c r="J229" s="4" t="n">
        <v>0</v>
      </c>
      <c r="K229" s="5" t="n">
        <v>0</v>
      </c>
      <c r="L229" s="4" t="n">
        <v>36</v>
      </c>
      <c r="M229" s="4" t="n">
        <v>11</v>
      </c>
      <c r="N229" s="5" t="n">
        <v>4.1</v>
      </c>
      <c r="O229" s="3" t="inlineStr">
        <is>
          <t>인기좋은  풀옵션완비 1.5룸   깔끔한 주방분리  주차편함 해밀동 5분</t>
        </is>
      </c>
      <c r="P229" s="6">
        <f>HYPERLINK("https://fin.land.naver.com/articles/2653861961", "매물Link")</f>
        <v/>
      </c>
      <c r="Q229" s="6">
        <f>HYPERLINK("https://map.naver.com/p/search/연서면 봉암리 234-37", "지도Link")</f>
        <v/>
      </c>
      <c r="R229" s="6">
        <f>HYPERLINK("http://www.eum.go.kr/web/ar/lu/luLandDet.jsp?pnu=3611036033102340037&amp;isNoScr=script&amp;mode=search", "토지이음")</f>
        <v/>
      </c>
      <c r="S229" s="3" t="inlineStr">
        <is>
          <t>연서으뜸</t>
        </is>
      </c>
      <c r="T229" s="4" t="n">
        <v>1</v>
      </c>
      <c r="U229" s="5" t="n">
        <v>172.4</v>
      </c>
      <c r="V229" s="4" t="n">
        <v>356</v>
      </c>
      <c r="W229" s="3" t="inlineStr">
        <is>
          <t>지정되지않음</t>
        </is>
      </c>
      <c r="X229" s="3" t="inlineStr">
        <is>
          <t>단독</t>
        </is>
      </c>
      <c r="Y229" s="3" t="inlineStr">
        <is>
          <t>평지</t>
        </is>
      </c>
      <c r="Z229" s="3" t="inlineStr">
        <is>
          <t>정방형</t>
        </is>
      </c>
      <c r="AA229" s="3" t="inlineStr">
        <is>
          <t>세로한면(가)</t>
        </is>
      </c>
    </row>
    <row r="230">
      <c r="A230" s="3" t="inlineStr">
        <is>
          <t>연서면 봉암리 391-1</t>
        </is>
      </c>
      <c r="B230" s="3" t="inlineStr">
        <is>
          <t>계획관리지역</t>
        </is>
      </c>
      <c r="C230" s="3" t="inlineStr">
        <is>
          <t>대</t>
        </is>
      </c>
      <c r="D230" s="3" t="inlineStr">
        <is>
          <t>4</t>
        </is>
      </c>
      <c r="E230" s="3" t="inlineStr">
        <is>
          <t>연립</t>
        </is>
      </c>
      <c r="F230" s="3" t="inlineStr">
        <is>
          <t>매매</t>
        </is>
      </c>
      <c r="G230" s="4" t="n">
        <v>8500</v>
      </c>
      <c r="H230" s="4" t="n">
        <v>0</v>
      </c>
      <c r="I230" s="4" t="n">
        <v>89</v>
      </c>
      <c r="J230" s="4" t="n">
        <v>27</v>
      </c>
      <c r="K230" s="5" t="n">
        <v>314.8</v>
      </c>
      <c r="L230" s="4" t="n">
        <v>82</v>
      </c>
      <c r="M230" s="4" t="n">
        <v>25</v>
      </c>
      <c r="N230" s="5" t="n">
        <v>340</v>
      </c>
      <c r="O230" s="3" t="inlineStr">
        <is>
          <t>6생활권과 8차선 확장된 1번국도와 근접.  BRT도로가 생겨 교통이 편</t>
        </is>
      </c>
      <c r="P230" s="6">
        <f>HYPERLINK("https://fin.land.naver.com/articles/2650807841", "매물Link")</f>
        <v/>
      </c>
      <c r="Q230" s="6">
        <f>HYPERLINK("https://map.naver.com/p/search/연서면 봉암리 391-1", "지도Link")</f>
        <v/>
      </c>
      <c r="R230" s="6">
        <f>HYPERLINK("http://www.eum.go.kr/web/ar/lu/luLandDet.jsp?pnu=3611036033103910001&amp;isNoScr=script&amp;mode=search", "토지이음")</f>
        <v/>
      </c>
      <c r="S230" s="3" t="inlineStr">
        <is>
          <t>꿈드림</t>
        </is>
      </c>
      <c r="T230" s="4" t="n">
        <v>1</v>
      </c>
      <c r="U230" s="5" t="n">
        <v>127.9</v>
      </c>
      <c r="V230" s="4" t="n">
        <v>410</v>
      </c>
      <c r="W230" s="3" t="inlineStr">
        <is>
          <t>농림지역</t>
        </is>
      </c>
      <c r="X230" s="3" t="inlineStr">
        <is>
          <t>단독</t>
        </is>
      </c>
      <c r="Y230" s="3" t="inlineStr">
        <is>
          <t>평지</t>
        </is>
      </c>
      <c r="Z230" s="3" t="inlineStr">
        <is>
          <t>사다리형</t>
        </is>
      </c>
      <c r="AA230" s="3" t="inlineStr">
        <is>
          <t>세로한면(가)</t>
        </is>
      </c>
    </row>
    <row r="231">
      <c r="A231" s="3" t="inlineStr">
        <is>
          <t>연서면 봉암리 427-3</t>
        </is>
      </c>
      <c r="B231" s="3" t="inlineStr">
        <is>
          <t>계획관리지역</t>
        </is>
      </c>
      <c r="C231" s="3" t="inlineStr">
        <is>
          <t>대</t>
        </is>
      </c>
      <c r="D231" s="3" t="inlineStr">
        <is>
          <t>1</t>
        </is>
      </c>
      <c r="E231" s="3" t="inlineStr">
        <is>
          <t>단독</t>
        </is>
      </c>
      <c r="F231" s="3" t="inlineStr">
        <is>
          <t>매매</t>
        </is>
      </c>
      <c r="G231" s="4" t="n">
        <v>33000</v>
      </c>
      <c r="H231" s="4" t="n">
        <v>0</v>
      </c>
      <c r="I231" s="4" t="n">
        <v>420</v>
      </c>
      <c r="J231" s="4" t="n">
        <v>127</v>
      </c>
      <c r="K231" s="5" t="n">
        <v>259.8</v>
      </c>
      <c r="L231" s="4" t="n">
        <v>82</v>
      </c>
      <c r="M231" s="4" t="n">
        <v>25</v>
      </c>
      <c r="N231" s="5" t="n">
        <v>1320</v>
      </c>
      <c r="O231" s="3" t="inlineStr">
        <is>
          <t>계획관리 대지,세종시 단독주택,수도,전기,보일러,6생활권,1번국도 등.</t>
        </is>
      </c>
      <c r="P231" s="6">
        <f>HYPERLINK("https://fin.land.naver.com/articles/2654229309", "매물Link")</f>
        <v/>
      </c>
      <c r="Q231" s="6">
        <f>HYPERLINK("https://map.naver.com/p/search/연서면 봉암리 427-3", "지도Link")</f>
        <v/>
      </c>
      <c r="R231" s="6">
        <f>HYPERLINK("http://www.eum.go.kr/web/ar/lu/luLandDet.jsp?pnu=3611036033104270003&amp;isNoScr=script&amp;mode=search", "토지이음")</f>
        <v/>
      </c>
      <c r="S231" s="3" t="inlineStr">
        <is>
          <t>열린자이</t>
        </is>
      </c>
      <c r="T231" s="4" t="n">
        <v>1</v>
      </c>
      <c r="U231" s="5" t="n">
        <v>134</v>
      </c>
      <c r="V231" s="4" t="n">
        <v>343.4</v>
      </c>
      <c r="W231" s="3" t="inlineStr">
        <is>
          <t>지정되지않음</t>
        </is>
      </c>
      <c r="X231" s="3" t="inlineStr">
        <is>
          <t>단독</t>
        </is>
      </c>
      <c r="Y231" s="3" t="inlineStr">
        <is>
          <t>평지</t>
        </is>
      </c>
      <c r="Z231" s="3" t="inlineStr">
        <is>
          <t>사다리형</t>
        </is>
      </c>
      <c r="AA231" s="3" t="inlineStr">
        <is>
          <t>세로한면(가)</t>
        </is>
      </c>
    </row>
    <row r="232">
      <c r="A232" s="3" t="inlineStr">
        <is>
          <t>연서면 봉암리 54-16</t>
        </is>
      </c>
      <c r="B232" s="3" t="inlineStr">
        <is>
          <t>계획관리지역</t>
        </is>
      </c>
      <c r="C232" s="3" t="inlineStr">
        <is>
          <t>대</t>
        </is>
      </c>
      <c r="D232" s="3" t="inlineStr">
        <is>
          <t>4</t>
        </is>
      </c>
      <c r="E232" s="3" t="inlineStr">
        <is>
          <t>일반원룸</t>
        </is>
      </c>
      <c r="F232" s="3" t="inlineStr">
        <is>
          <t>월세</t>
        </is>
      </c>
      <c r="G232" s="4" t="n">
        <v>200</v>
      </c>
      <c r="H232" s="4" t="n">
        <v>42</v>
      </c>
      <c r="I232" s="4" t="n">
        <v>152</v>
      </c>
      <c r="J232" s="4" t="n">
        <v>46</v>
      </c>
      <c r="K232" s="5" t="n">
        <v>0.9</v>
      </c>
      <c r="L232" s="4" t="n">
        <v>39</v>
      </c>
      <c r="M232" s="4" t="n">
        <v>12</v>
      </c>
      <c r="N232" s="5" t="n">
        <v>3.5</v>
      </c>
      <c r="O232" s="3" t="inlineStr">
        <is>
          <t>인기좋은  풀옵션완비방  주방분리형  편의점 1분 정류장 1분  바로입주</t>
        </is>
      </c>
      <c r="P232" s="6">
        <f>HYPERLINK("https://fin.land.naver.com/articles/2653642315", "매물Link")</f>
        <v/>
      </c>
      <c r="Q232" s="6">
        <f>HYPERLINK("https://map.naver.com/p/search/연서면 봉암리 54-16", "지도Link")</f>
        <v/>
      </c>
      <c r="R232" s="6">
        <f>HYPERLINK("http://www.eum.go.kr/web/ar/lu/luLandDet.jsp?pnu=3611036033100540016&amp;isNoScr=script&amp;mode=search", "토지이음")</f>
        <v/>
      </c>
      <c r="S232" s="3" t="inlineStr">
        <is>
          <t>연서으뜸</t>
        </is>
      </c>
      <c r="T232" s="4" t="n">
        <v>1</v>
      </c>
      <c r="U232" s="5" t="n">
        <v>214.5</v>
      </c>
      <c r="V232" s="4" t="n">
        <v>350</v>
      </c>
      <c r="W232" s="3" t="inlineStr">
        <is>
          <t>지정되지않음</t>
        </is>
      </c>
      <c r="X232" s="3" t="inlineStr">
        <is>
          <t>단독</t>
        </is>
      </c>
      <c r="Y232" s="3" t="inlineStr">
        <is>
          <t>평지</t>
        </is>
      </c>
      <c r="Z232" s="3" t="inlineStr">
        <is>
          <t>사다리형</t>
        </is>
      </c>
      <c r="AA232" s="3" t="inlineStr">
        <is>
          <t>소로한면</t>
        </is>
      </c>
    </row>
    <row r="233">
      <c r="A233" s="3" t="inlineStr">
        <is>
          <t>연서면 봉암리 54-45</t>
        </is>
      </c>
      <c r="B233" s="3" t="inlineStr">
        <is>
          <t>계획관리지역</t>
        </is>
      </c>
      <c r="C233" s="3" t="inlineStr">
        <is>
          <t>대</t>
        </is>
      </c>
      <c r="D233" s="3" t="inlineStr">
        <is>
          <t>1</t>
        </is>
      </c>
      <c r="E233" s="3" t="inlineStr">
        <is>
          <t>단독</t>
        </is>
      </c>
      <c r="F233" s="3" t="inlineStr">
        <is>
          <t>매매</t>
        </is>
      </c>
      <c r="G233" s="4" t="n">
        <v>18500</v>
      </c>
      <c r="H233" s="4" t="n">
        <v>0</v>
      </c>
      <c r="I233" s="4" t="n">
        <v>175</v>
      </c>
      <c r="J233" s="4" t="n">
        <v>53</v>
      </c>
      <c r="K233" s="5" t="n">
        <v>349.1</v>
      </c>
      <c r="L233" s="4" t="n">
        <v>67</v>
      </c>
      <c r="M233" s="4" t="n">
        <v>20</v>
      </c>
      <c r="N233" s="5" t="n">
        <v>925</v>
      </c>
      <c r="O233" s="3" t="inlineStr">
        <is>
          <t>nan</t>
        </is>
      </c>
      <c r="P233" s="6">
        <f>HYPERLINK("https://fin.land.naver.com/articles/2653949069", "매물Link")</f>
        <v/>
      </c>
      <c r="Q233" s="6">
        <f>HYPERLINK("https://map.naver.com/p/search/연서면 봉암리 54-45", "지도Link")</f>
        <v/>
      </c>
      <c r="R233" s="6">
        <f>HYPERLINK("http://www.eum.go.kr/web/ar/lu/luLandDet.jsp?pnu=3611036033100540045&amp;isNoScr=script&amp;mode=search", "토지이음")</f>
        <v/>
      </c>
      <c r="S233" s="3" t="inlineStr">
        <is>
          <t>KB세종</t>
        </is>
      </c>
      <c r="T233" s="4" t="n">
        <v>1</v>
      </c>
      <c r="U233" s="5" t="n">
        <v>116.1</v>
      </c>
      <c r="V233" s="4" t="n">
        <v>175</v>
      </c>
      <c r="W233" s="3" t="inlineStr">
        <is>
          <t>지정되지않음</t>
        </is>
      </c>
      <c r="X233" s="3" t="inlineStr">
        <is>
          <t>단독</t>
        </is>
      </c>
      <c r="Y233" s="3" t="inlineStr">
        <is>
          <t>평지</t>
        </is>
      </c>
      <c r="Z233" s="3" t="inlineStr">
        <is>
          <t>사다리형</t>
        </is>
      </c>
      <c r="AA233" s="3" t="inlineStr">
        <is>
          <t>세로한면(불)</t>
        </is>
      </c>
    </row>
    <row r="234">
      <c r="A234" s="3" t="inlineStr">
        <is>
          <t>연서면 봉암리 54-85</t>
        </is>
      </c>
      <c r="B234" s="3" t="inlineStr">
        <is>
          <t>계획관리지역</t>
        </is>
      </c>
      <c r="C234" s="3" t="inlineStr">
        <is>
          <t>대</t>
        </is>
      </c>
      <c r="D234" s="3" t="inlineStr">
        <is>
          <t>3</t>
        </is>
      </c>
      <c r="E234" s="3" t="inlineStr">
        <is>
          <t>일반원룸</t>
        </is>
      </c>
      <c r="F234" s="3" t="inlineStr">
        <is>
          <t>월세</t>
        </is>
      </c>
      <c r="G234" s="4" t="n">
        <v>200</v>
      </c>
      <c r="H234" s="4" t="n">
        <v>31</v>
      </c>
      <c r="I234" s="4" t="n">
        <v>152</v>
      </c>
      <c r="J234" s="4" t="n">
        <v>46</v>
      </c>
      <c r="K234" s="5" t="n">
        <v>0.7</v>
      </c>
      <c r="L234" s="4" t="n">
        <v>25</v>
      </c>
      <c r="M234" s="4" t="n">
        <v>8</v>
      </c>
      <c r="N234" s="5" t="n">
        <v>3.9</v>
      </c>
      <c r="O234" s="3" t="inlineStr">
        <is>
          <t>인기좋은  풀옵션방  깔끔한 주방분리형  짐만가져오세요  바로입주</t>
        </is>
      </c>
      <c r="P234" s="6">
        <f>HYPERLINK("https://fin.land.naver.com/articles/2654510633", "매물Link")</f>
        <v/>
      </c>
      <c r="Q234" s="6">
        <f>HYPERLINK("https://map.naver.com/p/search/연서면 봉암리 54-85", "지도Link")</f>
        <v/>
      </c>
      <c r="R234" s="6">
        <f>HYPERLINK("http://www.eum.go.kr/web/ar/lu/luLandDet.jsp?pnu=3611036033100540085&amp;isNoScr=script&amp;mode=search", "토지이음")</f>
        <v/>
      </c>
      <c r="S234" s="3" t="inlineStr">
        <is>
          <t>연서으뜸</t>
        </is>
      </c>
      <c r="T234" s="4" t="n">
        <v>1</v>
      </c>
      <c r="U234" s="5" t="n">
        <v>196.8</v>
      </c>
      <c r="V234" s="4" t="n">
        <v>333</v>
      </c>
      <c r="W234" s="3" t="inlineStr">
        <is>
          <t>지정되지않음</t>
        </is>
      </c>
      <c r="X234" s="3" t="inlineStr">
        <is>
          <t>단독</t>
        </is>
      </c>
      <c r="Y234" s="3" t="inlineStr">
        <is>
          <t>평지</t>
        </is>
      </c>
      <c r="Z234" s="3" t="inlineStr">
        <is>
          <t>사다리형</t>
        </is>
      </c>
      <c r="AA234" s="3" t="inlineStr">
        <is>
          <t>세로한면(가)</t>
        </is>
      </c>
    </row>
    <row r="235">
      <c r="A235" s="3" t="inlineStr">
        <is>
          <t>연서면 봉암리 54-89</t>
        </is>
      </c>
      <c r="B235" s="3" t="inlineStr">
        <is>
          <t>계획관리지역</t>
        </is>
      </c>
      <c r="C235" s="3" t="inlineStr">
        <is>
          <t>임야</t>
        </is>
      </c>
      <c r="D235" s="3" t="inlineStr">
        <is>
          <t>4</t>
        </is>
      </c>
      <c r="E235" s="3" t="inlineStr">
        <is>
          <t>다가구</t>
        </is>
      </c>
      <c r="F235" s="3" t="inlineStr">
        <is>
          <t>매매</t>
        </is>
      </c>
      <c r="G235" s="4" t="n">
        <v>100000</v>
      </c>
      <c r="H235" s="4" t="n">
        <v>0</v>
      </c>
      <c r="I235" s="4" t="n">
        <v>359</v>
      </c>
      <c r="J235" s="4" t="n">
        <v>109</v>
      </c>
      <c r="K235" s="5" t="n">
        <v>917.4</v>
      </c>
      <c r="L235" s="4" t="n">
        <v>490</v>
      </c>
      <c r="M235" s="4" t="n">
        <v>148</v>
      </c>
      <c r="N235" s="5" t="n">
        <v>675.7</v>
      </c>
      <c r="O235" s="3" t="inlineStr">
        <is>
          <t>세종시 인접  19실  수익형 다가구매매</t>
        </is>
      </c>
      <c r="P235" s="6">
        <f>HYPERLINK("https://fin.land.naver.com/articles/2653501119", "매물Link")</f>
        <v/>
      </c>
      <c r="Q235" s="6">
        <f>HYPERLINK("https://map.naver.com/p/search/연서면 봉암리 54-89", "지도Link")</f>
        <v/>
      </c>
      <c r="R235" s="6">
        <f>HYPERLINK("http://www.eum.go.kr/web/ar/lu/luLandDet.jsp?pnu=3611036033100540089&amp;isNoScr=script&amp;mode=search", "토지이음")</f>
        <v/>
      </c>
      <c r="S235" s="3" t="inlineStr">
        <is>
          <t>연서</t>
        </is>
      </c>
      <c r="T235" s="4" t="n">
        <v>1</v>
      </c>
      <c r="U235" s="5" t="n">
        <v>196.8</v>
      </c>
      <c r="V235" s="4" t="n">
        <v>360</v>
      </c>
      <c r="W235" s="3" t="inlineStr">
        <is>
          <t>지정되지않음</t>
        </is>
      </c>
      <c r="X235" s="3" t="inlineStr">
        <is>
          <t>단독</t>
        </is>
      </c>
      <c r="Y235" s="3" t="inlineStr">
        <is>
          <t>평지</t>
        </is>
      </c>
      <c r="Z235" s="3" t="inlineStr">
        <is>
          <t>사다리형</t>
        </is>
      </c>
      <c r="AA235" s="3" t="inlineStr">
        <is>
          <t>세로한면(가)</t>
        </is>
      </c>
    </row>
    <row r="236">
      <c r="A236" s="3" t="inlineStr">
        <is>
          <t>연서면 봉암리 54-89</t>
        </is>
      </c>
      <c r="B236" s="3" t="inlineStr">
        <is>
          <t>계획관리지역</t>
        </is>
      </c>
      <c r="C236" s="3" t="inlineStr">
        <is>
          <t>임야</t>
        </is>
      </c>
      <c r="D236" s="3" t="inlineStr">
        <is>
          <t>4</t>
        </is>
      </c>
      <c r="E236" s="3" t="inlineStr">
        <is>
          <t>다가구</t>
        </is>
      </c>
      <c r="F236" s="3" t="inlineStr">
        <is>
          <t>매매</t>
        </is>
      </c>
      <c r="G236" s="4" t="n">
        <v>100000</v>
      </c>
      <c r="H236" s="4" t="n">
        <v>0</v>
      </c>
      <c r="I236" s="4" t="n">
        <v>360</v>
      </c>
      <c r="J236" s="4" t="n">
        <v>109</v>
      </c>
      <c r="K236" s="5" t="n">
        <v>917.4</v>
      </c>
      <c r="L236" s="4" t="n">
        <v>490</v>
      </c>
      <c r="M236" s="4" t="n">
        <v>148</v>
      </c>
      <c r="N236" s="5" t="n">
        <v>675.7</v>
      </c>
      <c r="O236" s="3" t="inlineStr">
        <is>
          <t>nan</t>
        </is>
      </c>
      <c r="P236" s="6">
        <f>HYPERLINK("https://fin.land.naver.com/articles/2652499431", "매물Link")</f>
        <v/>
      </c>
      <c r="Q236" s="6">
        <f>HYPERLINK("https://map.naver.com/p/search/연서면 봉암리 54-89", "지도Link")</f>
        <v/>
      </c>
      <c r="R236" s="6">
        <f>HYPERLINK("http://www.eum.go.kr/web/ar/lu/luLandDet.jsp?pnu=3611036033100540089&amp;isNoScr=script&amp;mode=search", "토지이음")</f>
        <v/>
      </c>
      <c r="S236" s="3" t="inlineStr">
        <is>
          <t>엄지척</t>
        </is>
      </c>
      <c r="T236" s="4" t="n">
        <v>1</v>
      </c>
      <c r="U236" s="5" t="n">
        <v>196.8</v>
      </c>
      <c r="V236" s="4" t="n">
        <v>360</v>
      </c>
      <c r="W236" s="3" t="inlineStr">
        <is>
          <t>지정되지않음</t>
        </is>
      </c>
      <c r="X236" s="3" t="inlineStr">
        <is>
          <t>단독</t>
        </is>
      </c>
      <c r="Y236" s="3" t="inlineStr">
        <is>
          <t>평지</t>
        </is>
      </c>
      <c r="Z236" s="3" t="inlineStr">
        <is>
          <t>사다리형</t>
        </is>
      </c>
      <c r="AA236" s="3" t="inlineStr">
        <is>
          <t>세로한면(가)</t>
        </is>
      </c>
    </row>
    <row r="237">
      <c r="A237" s="3" t="inlineStr">
        <is>
          <t>연서면 봉암리 557-2</t>
        </is>
      </c>
      <c r="B237" s="3" t="inlineStr">
        <is>
          <t>계획관리지역</t>
        </is>
      </c>
      <c r="C237" s="3" t="inlineStr">
        <is>
          <t>대</t>
        </is>
      </c>
      <c r="D237" s="3" t="inlineStr">
        <is>
          <t>1</t>
        </is>
      </c>
      <c r="E237" s="3" t="inlineStr">
        <is>
          <t>단독</t>
        </is>
      </c>
      <c r="F237" s="3" t="inlineStr">
        <is>
          <t>매매</t>
        </is>
      </c>
      <c r="G237" s="4" t="n">
        <v>30000</v>
      </c>
      <c r="H237" s="4" t="n">
        <v>0</v>
      </c>
      <c r="I237" s="4" t="n">
        <v>244</v>
      </c>
      <c r="J237" s="4" t="n">
        <v>74</v>
      </c>
      <c r="K237" s="5" t="n">
        <v>405.4</v>
      </c>
      <c r="L237" s="4" t="n">
        <v>84</v>
      </c>
      <c r="M237" s="4" t="n">
        <v>25</v>
      </c>
      <c r="N237" s="5" t="n">
        <v>1200</v>
      </c>
      <c r="O237" s="3" t="inlineStr">
        <is>
          <t>세종시 중심지역 스마산단 등 입주시 급부상 지역</t>
        </is>
      </c>
      <c r="P237" s="6">
        <f>HYPERLINK("https://fin.land.naver.com/articles/2653340050", "매물Link")</f>
        <v/>
      </c>
      <c r="Q237" s="6">
        <f>HYPERLINK("https://map.naver.com/p/search/연서면 봉암리 557-2", "지도Link")</f>
        <v/>
      </c>
      <c r="R237" s="6">
        <f>HYPERLINK("http://www.eum.go.kr/web/ar/lu/luLandDet.jsp?pnu=3611036033105570002&amp;isNoScr=script&amp;mode=search", "토지이음")</f>
        <v/>
      </c>
      <c r="S237" s="3" t="inlineStr">
        <is>
          <t>상상</t>
        </is>
      </c>
      <c r="T237" s="4" t="n">
        <v>1</v>
      </c>
      <c r="U237" s="5" t="n">
        <v>199.6</v>
      </c>
      <c r="V237" s="4" t="n">
        <v>244.3</v>
      </c>
      <c r="W237" s="3" t="inlineStr">
        <is>
          <t>지정되지않음</t>
        </is>
      </c>
      <c r="X237" s="3" t="inlineStr">
        <is>
          <t>단독</t>
        </is>
      </c>
      <c r="Y237" s="3" t="inlineStr">
        <is>
          <t>평지</t>
        </is>
      </c>
      <c r="Z237" s="3" t="inlineStr">
        <is>
          <t>정방형</t>
        </is>
      </c>
      <c r="AA237" s="3" t="inlineStr">
        <is>
          <t>세로한면(가)</t>
        </is>
      </c>
    </row>
    <row r="238">
      <c r="A238" s="3" t="inlineStr">
        <is>
          <t>연서면 봉암리 58-3</t>
        </is>
      </c>
      <c r="B238" s="3" t="inlineStr">
        <is>
          <t>계획관리지역</t>
        </is>
      </c>
      <c r="C238" s="3" t="inlineStr">
        <is>
          <t>대</t>
        </is>
      </c>
      <c r="D238" s="3" t="inlineStr">
        <is>
          <t>4</t>
        </is>
      </c>
      <c r="E238" s="3" t="inlineStr">
        <is>
          <t>일반원룸</t>
        </is>
      </c>
      <c r="F238" s="3" t="inlineStr">
        <is>
          <t>단기임대</t>
        </is>
      </c>
      <c r="G238" s="4" t="n">
        <v>200</v>
      </c>
      <c r="H238" s="4" t="n">
        <v>50</v>
      </c>
      <c r="I238" s="4" t="n">
        <v>139</v>
      </c>
      <c r="J238" s="4" t="n">
        <v>42</v>
      </c>
      <c r="K238" s="5" t="n">
        <v>4.8</v>
      </c>
      <c r="L238" s="4" t="n">
        <v>39</v>
      </c>
      <c r="M238" s="4" t="n">
        <v>12</v>
      </c>
      <c r="N238" s="5" t="n">
        <v>16.7</v>
      </c>
      <c r="O238" s="3" t="inlineStr">
        <is>
          <t>즉시,방1개 거실별도, 3달6달은 50만원 ,도시가스,도배중입니다.</t>
        </is>
      </c>
      <c r="P238" s="6">
        <f>HYPERLINK("https://fin.land.naver.com/articles/2654189890", "매물Link")</f>
        <v/>
      </c>
      <c r="Q238" s="6">
        <f>HYPERLINK("https://map.naver.com/p/search/연서면 봉암리 58-3", "지도Link")</f>
        <v/>
      </c>
      <c r="R238" s="6">
        <f>HYPERLINK("http://www.eum.go.kr/web/ar/lu/luLandDet.jsp?pnu=3611036033100580003&amp;isNoScr=script&amp;mode=search", "토지이음")</f>
        <v/>
      </c>
      <c r="S238" s="3" t="inlineStr">
        <is>
          <t>동서남북</t>
        </is>
      </c>
      <c r="T238" s="4" t="n">
        <v>1</v>
      </c>
      <c r="U238" s="5" t="n">
        <v>196.8</v>
      </c>
      <c r="V238" s="4" t="n">
        <v>434</v>
      </c>
      <c r="W238" s="3" t="inlineStr">
        <is>
          <t>지정되지않음</t>
        </is>
      </c>
      <c r="X238" s="3" t="inlineStr">
        <is>
          <t>단독</t>
        </is>
      </c>
      <c r="Y238" s="3" t="inlineStr">
        <is>
          <t>평지</t>
        </is>
      </c>
      <c r="Z238" s="3" t="inlineStr">
        <is>
          <t>세로장방</t>
        </is>
      </c>
      <c r="AA238" s="3" t="inlineStr">
        <is>
          <t>세로한면(가)</t>
        </is>
      </c>
    </row>
    <row r="239">
      <c r="A239" s="3" t="inlineStr">
        <is>
          <t>연서면 봉암리 58-3</t>
        </is>
      </c>
      <c r="B239" s="3" t="inlineStr">
        <is>
          <t>계획관리지역</t>
        </is>
      </c>
      <c r="C239" s="3" t="inlineStr">
        <is>
          <t>대</t>
        </is>
      </c>
      <c r="D239" s="3" t="inlineStr">
        <is>
          <t>4</t>
        </is>
      </c>
      <c r="E239" s="3" t="inlineStr">
        <is>
          <t>다가구</t>
        </is>
      </c>
      <c r="F239" s="3" t="inlineStr">
        <is>
          <t>단기임대</t>
        </is>
      </c>
      <c r="G239" s="4" t="n">
        <v>200</v>
      </c>
      <c r="H239" s="4" t="n">
        <v>50</v>
      </c>
      <c r="I239" s="4" t="n">
        <v>139</v>
      </c>
      <c r="J239" s="4" t="n">
        <v>42</v>
      </c>
      <c r="K239" s="5" t="n">
        <v>4.8</v>
      </c>
      <c r="L239" s="4" t="n">
        <v>39</v>
      </c>
      <c r="M239" s="4" t="n">
        <v>12</v>
      </c>
      <c r="N239" s="5" t="n">
        <v>16.7</v>
      </c>
      <c r="O239" s="3" t="inlineStr">
        <is>
          <t>nan</t>
        </is>
      </c>
      <c r="P239" s="6">
        <f>HYPERLINK("https://fin.land.naver.com/articles/2654182716", "매물Link")</f>
        <v/>
      </c>
      <c r="Q239" s="6">
        <f>HYPERLINK("https://map.naver.com/p/search/연서면 봉암리 58-3", "지도Link")</f>
        <v/>
      </c>
      <c r="R239" s="6">
        <f>HYPERLINK("http://www.eum.go.kr/web/ar/lu/luLandDet.jsp?pnu=3611036033100580003&amp;isNoScr=script&amp;mode=search", "토지이음")</f>
        <v/>
      </c>
      <c r="S239" s="3" t="inlineStr">
        <is>
          <t>동서남북</t>
        </is>
      </c>
      <c r="T239" s="4" t="n">
        <v>1</v>
      </c>
      <c r="U239" s="5" t="n">
        <v>196.8</v>
      </c>
      <c r="V239" s="4" t="n">
        <v>434</v>
      </c>
      <c r="W239" s="3" t="inlineStr">
        <is>
          <t>지정되지않음</t>
        </is>
      </c>
      <c r="X239" s="3" t="inlineStr">
        <is>
          <t>단독</t>
        </is>
      </c>
      <c r="Y239" s="3" t="inlineStr">
        <is>
          <t>평지</t>
        </is>
      </c>
      <c r="Z239" s="3" t="inlineStr">
        <is>
          <t>세로장방</t>
        </is>
      </c>
      <c r="AA239" s="3" t="inlineStr">
        <is>
          <t>세로한면(가)</t>
        </is>
      </c>
    </row>
    <row r="240">
      <c r="A240" s="3" t="inlineStr">
        <is>
          <t>연서면 봉암리 58-3</t>
        </is>
      </c>
      <c r="B240" s="3" t="inlineStr">
        <is>
          <t>계획관리지역</t>
        </is>
      </c>
      <c r="C240" s="3" t="inlineStr">
        <is>
          <t>대</t>
        </is>
      </c>
      <c r="D240" s="3" t="inlineStr">
        <is>
          <t>4</t>
        </is>
      </c>
      <c r="E240" s="3" t="inlineStr">
        <is>
          <t>일반원룸</t>
        </is>
      </c>
      <c r="F240" s="3" t="inlineStr">
        <is>
          <t>월세</t>
        </is>
      </c>
      <c r="G240" s="4" t="n">
        <v>200</v>
      </c>
      <c r="H240" s="4" t="n">
        <v>45</v>
      </c>
      <c r="I240" s="4" t="n">
        <v>139</v>
      </c>
      <c r="J240" s="4" t="n">
        <v>42</v>
      </c>
      <c r="K240" s="5" t="n">
        <v>1.1</v>
      </c>
      <c r="L240" s="4" t="n">
        <v>39</v>
      </c>
      <c r="M240" s="4" t="n">
        <v>12</v>
      </c>
      <c r="N240" s="5" t="n">
        <v>3.8</v>
      </c>
      <c r="O240" s="3" t="inlineStr">
        <is>
          <t>즉시,방1개 거실별도, 3달6달은 50만원 ,도시가스,도배중입니다.</t>
        </is>
      </c>
      <c r="P240" s="6">
        <f>HYPERLINK("https://fin.land.naver.com/articles/2654188593", "매물Link")</f>
        <v/>
      </c>
      <c r="Q240" s="6">
        <f>HYPERLINK("https://map.naver.com/p/search/연서면 봉암리 58-3", "지도Link")</f>
        <v/>
      </c>
      <c r="R240" s="6">
        <f>HYPERLINK("http://www.eum.go.kr/web/ar/lu/luLandDet.jsp?pnu=3611036033100580003&amp;isNoScr=script&amp;mode=search", "토지이음")</f>
        <v/>
      </c>
      <c r="S240" s="3" t="inlineStr">
        <is>
          <t>동서남북</t>
        </is>
      </c>
      <c r="T240" s="4" t="n">
        <v>1</v>
      </c>
      <c r="U240" s="5" t="n">
        <v>196.8</v>
      </c>
      <c r="V240" s="4" t="n">
        <v>434</v>
      </c>
      <c r="W240" s="3" t="inlineStr">
        <is>
          <t>지정되지않음</t>
        </is>
      </c>
      <c r="X240" s="3" t="inlineStr">
        <is>
          <t>단독</t>
        </is>
      </c>
      <c r="Y240" s="3" t="inlineStr">
        <is>
          <t>평지</t>
        </is>
      </c>
      <c r="Z240" s="3" t="inlineStr">
        <is>
          <t>세로장방</t>
        </is>
      </c>
      <c r="AA240" s="3" t="inlineStr">
        <is>
          <t>세로한면(가)</t>
        </is>
      </c>
    </row>
    <row r="241">
      <c r="A241" s="3" t="inlineStr">
        <is>
          <t>연서면 봉암리 58-3</t>
        </is>
      </c>
      <c r="B241" s="3" t="inlineStr">
        <is>
          <t>계획관리지역</t>
        </is>
      </c>
      <c r="C241" s="3" t="inlineStr">
        <is>
          <t>대</t>
        </is>
      </c>
      <c r="D241" s="3" t="inlineStr">
        <is>
          <t>4</t>
        </is>
      </c>
      <c r="E241" s="3" t="inlineStr">
        <is>
          <t>다가구</t>
        </is>
      </c>
      <c r="F241" s="3" t="inlineStr">
        <is>
          <t>월세</t>
        </is>
      </c>
      <c r="G241" s="4" t="n">
        <v>200</v>
      </c>
      <c r="H241" s="4" t="n">
        <v>45</v>
      </c>
      <c r="I241" s="4" t="n">
        <v>139</v>
      </c>
      <c r="J241" s="4" t="n">
        <v>42</v>
      </c>
      <c r="K241" s="5" t="n">
        <v>1.1</v>
      </c>
      <c r="L241" s="4" t="n">
        <v>39</v>
      </c>
      <c r="M241" s="4" t="n">
        <v>12</v>
      </c>
      <c r="N241" s="5" t="n">
        <v>3.8</v>
      </c>
      <c r="O241" s="3" t="inlineStr">
        <is>
          <t>nan</t>
        </is>
      </c>
      <c r="P241" s="6">
        <f>HYPERLINK("https://fin.land.naver.com/articles/2654181426", "매물Link")</f>
        <v/>
      </c>
      <c r="Q241" s="6">
        <f>HYPERLINK("https://map.naver.com/p/search/연서면 봉암리 58-3", "지도Link")</f>
        <v/>
      </c>
      <c r="R241" s="6">
        <f>HYPERLINK("http://www.eum.go.kr/web/ar/lu/luLandDet.jsp?pnu=3611036033100580003&amp;isNoScr=script&amp;mode=search", "토지이음")</f>
        <v/>
      </c>
      <c r="S241" s="3" t="inlineStr">
        <is>
          <t>동서남북</t>
        </is>
      </c>
      <c r="T241" s="4" t="n">
        <v>1</v>
      </c>
      <c r="U241" s="5" t="n">
        <v>196.8</v>
      </c>
      <c r="V241" s="4" t="n">
        <v>434</v>
      </c>
      <c r="W241" s="3" t="inlineStr">
        <is>
          <t>지정되지않음</t>
        </is>
      </c>
      <c r="X241" s="3" t="inlineStr">
        <is>
          <t>단독</t>
        </is>
      </c>
      <c r="Y241" s="3" t="inlineStr">
        <is>
          <t>평지</t>
        </is>
      </c>
      <c r="Z241" s="3" t="inlineStr">
        <is>
          <t>세로장방</t>
        </is>
      </c>
      <c r="AA241" s="3" t="inlineStr">
        <is>
          <t>세로한면(가)</t>
        </is>
      </c>
    </row>
    <row r="242">
      <c r="A242" s="3" t="inlineStr">
        <is>
          <t>연서면 봉암리 58-4</t>
        </is>
      </c>
      <c r="B242" s="3" t="inlineStr">
        <is>
          <t>계획관리지역</t>
        </is>
      </c>
      <c r="C242" s="3" t="inlineStr">
        <is>
          <t>대</t>
        </is>
      </c>
      <c r="D242" s="3" t="inlineStr">
        <is>
          <t>4</t>
        </is>
      </c>
      <c r="E242" s="3" t="inlineStr">
        <is>
          <t>다가구</t>
        </is>
      </c>
      <c r="F242" s="3" t="inlineStr">
        <is>
          <t>매매</t>
        </is>
      </c>
      <c r="G242" s="4" t="n">
        <v>100000</v>
      </c>
      <c r="H242" s="4" t="n">
        <v>0</v>
      </c>
      <c r="I242" s="4" t="n">
        <v>435</v>
      </c>
      <c r="J242" s="4" t="n">
        <v>132</v>
      </c>
      <c r="K242" s="5" t="n">
        <v>757.6</v>
      </c>
      <c r="L242" s="4" t="n">
        <v>434</v>
      </c>
      <c r="M242" s="4" t="n">
        <v>131</v>
      </c>
      <c r="N242" s="5" t="n">
        <v>763.4</v>
      </c>
      <c r="O242" s="3" t="inlineStr">
        <is>
          <t>nan</t>
        </is>
      </c>
      <c r="P242" s="6">
        <f>HYPERLINK("https://fin.land.naver.com/articles/2651371076", "매물Link")</f>
        <v/>
      </c>
      <c r="Q242" s="6">
        <f>HYPERLINK("https://map.naver.com/p/search/연서면 봉암리 58-4", "지도Link")</f>
        <v/>
      </c>
      <c r="R242" s="6">
        <f>HYPERLINK("http://www.eum.go.kr/web/ar/lu/luLandDet.jsp?pnu=3611036033100580004&amp;isNoScr=script&amp;mode=search", "토지이음")</f>
        <v/>
      </c>
      <c r="S242" s="3" t="inlineStr">
        <is>
          <t>동서남북</t>
        </is>
      </c>
      <c r="T242" s="4" t="n">
        <v>1</v>
      </c>
      <c r="U242" s="5" t="n">
        <v>196.8</v>
      </c>
      <c r="V242" s="4" t="n">
        <v>435</v>
      </c>
      <c r="W242" s="3" t="inlineStr">
        <is>
          <t>지정되지않음</t>
        </is>
      </c>
      <c r="X242" s="3" t="inlineStr">
        <is>
          <t>단독</t>
        </is>
      </c>
      <c r="Y242" s="3" t="inlineStr">
        <is>
          <t>평지</t>
        </is>
      </c>
      <c r="Z242" s="3" t="inlineStr">
        <is>
          <t>세로장방</t>
        </is>
      </c>
      <c r="AA242" s="3" t="inlineStr">
        <is>
          <t>세로한면(가)</t>
        </is>
      </c>
    </row>
    <row r="243">
      <c r="A243" s="3" t="inlineStr">
        <is>
          <t>연서면 봉암리 58-5</t>
        </is>
      </c>
      <c r="B243" s="3" t="inlineStr">
        <is>
          <t>계획관리지역</t>
        </is>
      </c>
      <c r="C243" s="3" t="inlineStr">
        <is>
          <t>대</t>
        </is>
      </c>
      <c r="D243" s="3" t="inlineStr">
        <is>
          <t>4</t>
        </is>
      </c>
      <c r="E243" s="3" t="inlineStr">
        <is>
          <t>다가구</t>
        </is>
      </c>
      <c r="F243" s="3" t="inlineStr">
        <is>
          <t>매매</t>
        </is>
      </c>
      <c r="G243" s="4" t="n">
        <v>105000</v>
      </c>
      <c r="H243" s="4" t="n">
        <v>0</v>
      </c>
      <c r="I243" s="4" t="n">
        <v>436</v>
      </c>
      <c r="J243" s="4" t="n">
        <v>132</v>
      </c>
      <c r="K243" s="5" t="n">
        <v>795.5</v>
      </c>
      <c r="L243" s="4" t="n">
        <v>434</v>
      </c>
      <c r="M243" s="4" t="n">
        <v>131</v>
      </c>
      <c r="N243" s="5" t="n">
        <v>801.5</v>
      </c>
      <c r="O243" s="3" t="inlineStr">
        <is>
          <t>일반원룸보다 큰방  18개,주차편리,도시가스 월세와 관리비 포함 284만</t>
        </is>
      </c>
      <c r="P243" s="6">
        <f>HYPERLINK("https://fin.land.naver.com/articles/2649699772", "매물Link")</f>
        <v/>
      </c>
      <c r="Q243" s="6">
        <f>HYPERLINK("https://map.naver.com/p/search/연서면 봉암리 58-5", "지도Link")</f>
        <v/>
      </c>
      <c r="R243" s="6">
        <f>HYPERLINK("http://www.eum.go.kr/web/ar/lu/luLandDet.jsp?pnu=3611036033100580005&amp;isNoScr=script&amp;mode=search", "토지이음")</f>
        <v/>
      </c>
      <c r="S243" s="3" t="inlineStr">
        <is>
          <t>동서남북</t>
        </is>
      </c>
      <c r="T243" s="4" t="n">
        <v>1</v>
      </c>
      <c r="U243" s="5" t="n">
        <v>196.8</v>
      </c>
      <c r="V243" s="4" t="n">
        <v>436</v>
      </c>
      <c r="W243" s="3" t="inlineStr">
        <is>
          <t>지정되지않음</t>
        </is>
      </c>
      <c r="X243" s="3" t="inlineStr">
        <is>
          <t>단독</t>
        </is>
      </c>
      <c r="Y243" s="3" t="inlineStr">
        <is>
          <t>평지</t>
        </is>
      </c>
      <c r="Z243" s="3" t="inlineStr">
        <is>
          <t>세로장방</t>
        </is>
      </c>
      <c r="AA243" s="3" t="inlineStr">
        <is>
          <t>세로한면(가)</t>
        </is>
      </c>
    </row>
    <row r="244">
      <c r="A244" s="3" t="inlineStr">
        <is>
          <t>연서면 봉암리 598-4</t>
        </is>
      </c>
      <c r="B244" s="3" t="inlineStr">
        <is>
          <t>계획관리지역</t>
        </is>
      </c>
      <c r="C244" s="3" t="inlineStr">
        <is>
          <t>대</t>
        </is>
      </c>
      <c r="D244" s="3" t="inlineStr">
        <is>
          <t>3</t>
        </is>
      </c>
      <c r="E244" s="3" t="inlineStr">
        <is>
          <t>일반원룸</t>
        </is>
      </c>
      <c r="F244" s="3" t="inlineStr">
        <is>
          <t>단기임대</t>
        </is>
      </c>
      <c r="G244" s="4" t="n">
        <v>100</v>
      </c>
      <c r="H244" s="4" t="n">
        <v>30</v>
      </c>
      <c r="I244" s="4" t="n">
        <v>0</v>
      </c>
      <c r="J244" s="4" t="n">
        <v>0</v>
      </c>
      <c r="K244" s="5" t="n">
        <v>0</v>
      </c>
      <c r="L244" s="4" t="n">
        <v>26</v>
      </c>
      <c r="M244" s="4" t="n">
        <v>8</v>
      </c>
      <c r="N244" s="5" t="n">
        <v>12.5</v>
      </c>
      <c r="O244" s="3" t="inlineStr">
        <is>
          <t>큰방 현장숙소 단기가능 세종 부강 오송 근접</t>
        </is>
      </c>
      <c r="P244" s="6">
        <f>HYPERLINK("https://fin.land.naver.com/articles/2653034901", "매물Link")</f>
        <v/>
      </c>
      <c r="Q244" s="6">
        <f>HYPERLINK("https://map.naver.com/p/search/연서면 봉암리 598-4", "지도Link")</f>
        <v/>
      </c>
      <c r="R244" s="6">
        <f>HYPERLINK("http://www.eum.go.kr/web/ar/lu/luLandDet.jsp?pnu=3611036033105980004&amp;isNoScr=script&amp;mode=search", "토지이음")</f>
        <v/>
      </c>
      <c r="S244" s="3" t="inlineStr">
        <is>
          <t>엄지척</t>
        </is>
      </c>
      <c r="T244" s="4" t="n">
        <v>1</v>
      </c>
      <c r="U244" s="5" t="n">
        <v>199.6</v>
      </c>
      <c r="V244" s="4" t="n">
        <v>353</v>
      </c>
      <c r="W244" s="3" t="inlineStr">
        <is>
          <t>지정되지않음</t>
        </is>
      </c>
      <c r="X244" s="3" t="inlineStr">
        <is>
          <t>단독</t>
        </is>
      </c>
      <c r="Y244" s="3" t="inlineStr">
        <is>
          <t>평지</t>
        </is>
      </c>
      <c r="Z244" s="3" t="inlineStr">
        <is>
          <t>세로장방</t>
        </is>
      </c>
      <c r="AA244" s="3" t="inlineStr">
        <is>
          <t>세로한면(가)</t>
        </is>
      </c>
    </row>
    <row r="245">
      <c r="A245" s="3" t="inlineStr">
        <is>
          <t>연서면 봉암리 677-2</t>
        </is>
      </c>
      <c r="B245" s="3" t="inlineStr">
        <is>
          <t>계획관리지역</t>
        </is>
      </c>
      <c r="C245" s="3" t="inlineStr">
        <is>
          <t>대</t>
        </is>
      </c>
      <c r="D245" s="3" t="inlineStr">
        <is>
          <t>1</t>
        </is>
      </c>
      <c r="E245" s="3" t="inlineStr">
        <is>
          <t>단독</t>
        </is>
      </c>
      <c r="F245" s="3" t="inlineStr">
        <is>
          <t>매매</t>
        </is>
      </c>
      <c r="G245" s="4" t="n">
        <v>400000</v>
      </c>
      <c r="H245" s="4" t="n">
        <v>0</v>
      </c>
      <c r="I245" s="4" t="n">
        <v>655</v>
      </c>
      <c r="J245" s="4" t="n">
        <v>198</v>
      </c>
      <c r="K245" s="5" t="n">
        <v>2020.2</v>
      </c>
      <c r="L245" s="4" t="n">
        <v>253</v>
      </c>
      <c r="M245" s="4" t="n">
        <v>77</v>
      </c>
      <c r="N245" s="5" t="n">
        <v>5194.8</v>
      </c>
      <c r="O245" s="3" t="inlineStr">
        <is>
          <t>nan</t>
        </is>
      </c>
      <c r="P245" s="6">
        <f>HYPERLINK("https://fin.land.naver.com/articles/2651088122", "매물Link")</f>
        <v/>
      </c>
      <c r="Q245" s="6">
        <f>HYPERLINK("https://map.naver.com/p/search/연서면 봉암리 677-2", "지도Link")</f>
        <v/>
      </c>
      <c r="R245" s="6">
        <f>HYPERLINK("http://www.eum.go.kr/web/ar/lu/luLandDet.jsp?pnu=3611036033106770002&amp;isNoScr=script&amp;mode=search", "토지이음")</f>
        <v/>
      </c>
      <c r="S245" s="3" t="inlineStr">
        <is>
          <t>오송파라곤리치</t>
        </is>
      </c>
      <c r="T245" s="4" t="n">
        <v>1</v>
      </c>
      <c r="U245" s="5" t="n">
        <v>116.6</v>
      </c>
      <c r="V245" s="4" t="n">
        <v>655</v>
      </c>
      <c r="W245" s="3" t="inlineStr">
        <is>
          <t>지정되지않음</t>
        </is>
      </c>
      <c r="X245" s="3" t="inlineStr">
        <is>
          <t>주거기타</t>
        </is>
      </c>
      <c r="Y245" s="3" t="inlineStr">
        <is>
          <t>평지</t>
        </is>
      </c>
      <c r="Z245" s="3" t="inlineStr">
        <is>
          <t>사다리형</t>
        </is>
      </c>
      <c r="AA245" s="3" t="inlineStr">
        <is>
          <t>세로한면(가)</t>
        </is>
      </c>
    </row>
    <row r="246">
      <c r="A246" s="3" t="inlineStr">
        <is>
          <t>연서면 봉암리 73-8</t>
        </is>
      </c>
      <c r="B246" s="3" t="inlineStr">
        <is>
          <t>계획관리지역</t>
        </is>
      </c>
      <c r="C246" s="3" t="inlineStr">
        <is>
          <t>대</t>
        </is>
      </c>
      <c r="D246" s="3" t="inlineStr">
        <is>
          <t>2</t>
        </is>
      </c>
      <c r="E246" s="3" t="inlineStr">
        <is>
          <t>일반원룸</t>
        </is>
      </c>
      <c r="F246" s="3" t="inlineStr">
        <is>
          <t>월세</t>
        </is>
      </c>
      <c r="G246" s="4" t="n">
        <v>500</v>
      </c>
      <c r="H246" s="4" t="n">
        <v>40</v>
      </c>
      <c r="I246" s="4" t="n">
        <v>33</v>
      </c>
      <c r="J246" s="4" t="n">
        <v>10</v>
      </c>
      <c r="K246" s="5" t="n">
        <v>4</v>
      </c>
      <c r="L246" s="4" t="n">
        <v>16</v>
      </c>
      <c r="M246" s="4" t="n">
        <v>5</v>
      </c>
      <c r="N246" s="5" t="n">
        <v>8</v>
      </c>
      <c r="O246" s="3" t="inlineStr">
        <is>
          <t>원룸,11월하순입주 가능,전세도 가능 6천만원 풀옵션</t>
        </is>
      </c>
      <c r="P246" s="6">
        <f>HYPERLINK("https://fin.land.naver.com/articles/2652745423", "매물Link")</f>
        <v/>
      </c>
      <c r="Q246" s="6">
        <f>HYPERLINK("https://map.naver.com/p/search/연서면 봉암리 73-8", "지도Link")</f>
        <v/>
      </c>
      <c r="R246" s="6">
        <f>HYPERLINK("http://www.eum.go.kr/web/ar/lu/luLandDet.jsp?pnu=3611036033100730008&amp;isNoScr=script&amp;mode=search", "토지이음")</f>
        <v/>
      </c>
      <c r="S246" s="3" t="inlineStr">
        <is>
          <t>담뜰</t>
        </is>
      </c>
      <c r="T246" s="4" t="n">
        <v>1</v>
      </c>
      <c r="U246" s="5" t="n">
        <v>199.3</v>
      </c>
      <c r="V246" s="4" t="n">
        <v>570</v>
      </c>
      <c r="W246" s="3" t="inlineStr">
        <is>
          <t>지정되지않음</t>
        </is>
      </c>
      <c r="X246" s="3" t="inlineStr">
        <is>
          <t>단독</t>
        </is>
      </c>
      <c r="Y246" s="3" t="inlineStr">
        <is>
          <t>평지</t>
        </is>
      </c>
      <c r="Z246" s="3" t="inlineStr">
        <is>
          <t>자루형</t>
        </is>
      </c>
      <c r="AA246" s="3" t="inlineStr">
        <is>
          <t>소로한면</t>
        </is>
      </c>
    </row>
    <row r="247">
      <c r="A247" s="3" t="inlineStr">
        <is>
          <t>연서면 봉암리 73-8</t>
        </is>
      </c>
      <c r="B247" s="3" t="inlineStr">
        <is>
          <t>계획관리지역</t>
        </is>
      </c>
      <c r="C247" s="3" t="inlineStr">
        <is>
          <t>대</t>
        </is>
      </c>
      <c r="D247" s="3" t="inlineStr">
        <is>
          <t>4</t>
        </is>
      </c>
      <c r="E247" s="3" t="inlineStr">
        <is>
          <t>다가구</t>
        </is>
      </c>
      <c r="F247" s="3" t="inlineStr">
        <is>
          <t>매매</t>
        </is>
      </c>
      <c r="G247" s="4" t="n">
        <v>190000</v>
      </c>
      <c r="H247" s="4" t="n">
        <v>0</v>
      </c>
      <c r="I247" s="4" t="n">
        <v>570</v>
      </c>
      <c r="J247" s="4" t="n">
        <v>172</v>
      </c>
      <c r="K247" s="5" t="n">
        <v>1104.7</v>
      </c>
      <c r="L247" s="4" t="n">
        <v>594</v>
      </c>
      <c r="M247" s="4" t="n">
        <v>180</v>
      </c>
      <c r="N247" s="5" t="n">
        <v>1055.6</v>
      </c>
      <c r="O247" s="3" t="inlineStr">
        <is>
          <t>신축다가구  가격조정가능 엘리베이터 와촌국가산업단지 인근</t>
        </is>
      </c>
      <c r="P247" s="6">
        <f>HYPERLINK("https://fin.land.naver.com/articles/2651059296", "매물Link")</f>
        <v/>
      </c>
      <c r="Q247" s="6">
        <f>HYPERLINK("https://map.naver.com/p/search/연서면 봉암리 73-8", "지도Link")</f>
        <v/>
      </c>
      <c r="R247" s="6">
        <f>HYPERLINK("http://www.eum.go.kr/web/ar/lu/luLandDet.jsp?pnu=3611036033100730008&amp;isNoScr=script&amp;mode=search", "토지이음")</f>
        <v/>
      </c>
      <c r="S247" s="3" t="inlineStr">
        <is>
          <t>그래그</t>
        </is>
      </c>
      <c r="T247" s="4" t="n">
        <v>1</v>
      </c>
      <c r="U247" s="5" t="n">
        <v>199.3</v>
      </c>
      <c r="V247" s="4" t="n">
        <v>570</v>
      </c>
      <c r="W247" s="3" t="inlineStr">
        <is>
          <t>지정되지않음</t>
        </is>
      </c>
      <c r="X247" s="3" t="inlineStr">
        <is>
          <t>단독</t>
        </is>
      </c>
      <c r="Y247" s="3" t="inlineStr">
        <is>
          <t>평지</t>
        </is>
      </c>
      <c r="Z247" s="3" t="inlineStr">
        <is>
          <t>자루형</t>
        </is>
      </c>
      <c r="AA247" s="3" t="inlineStr">
        <is>
          <t>소로한면</t>
        </is>
      </c>
    </row>
    <row r="248">
      <c r="A248" s="3" t="inlineStr">
        <is>
          <t>연서면 봉암리 73-8</t>
        </is>
      </c>
      <c r="B248" s="3" t="inlineStr">
        <is>
          <t>계획관리지역</t>
        </is>
      </c>
      <c r="C248" s="3" t="inlineStr">
        <is>
          <t>대</t>
        </is>
      </c>
      <c r="D248" s="3" t="inlineStr">
        <is>
          <t>4</t>
        </is>
      </c>
      <c r="E248" s="3" t="inlineStr">
        <is>
          <t>다가구</t>
        </is>
      </c>
      <c r="F248" s="3" t="inlineStr">
        <is>
          <t>매매</t>
        </is>
      </c>
      <c r="G248" s="4" t="n">
        <v>190000</v>
      </c>
      <c r="H248" s="4" t="n">
        <v>0</v>
      </c>
      <c r="I248" s="4" t="n">
        <v>570</v>
      </c>
      <c r="J248" s="4" t="n">
        <v>172</v>
      </c>
      <c r="K248" s="5" t="n">
        <v>1104.7</v>
      </c>
      <c r="L248" s="4" t="n">
        <v>568</v>
      </c>
      <c r="M248" s="4" t="n">
        <v>172</v>
      </c>
      <c r="N248" s="5" t="n">
        <v>1104.7</v>
      </c>
      <c r="O248" s="3" t="inlineStr">
        <is>
          <t>신축다가구건물, 엘리베이터 1층 카페,23층 원룸,투룸,1.5룸으로구성</t>
        </is>
      </c>
      <c r="P248" s="6">
        <f>HYPERLINK("https://fin.land.naver.com/articles/2650625683", "매물Link")</f>
        <v/>
      </c>
      <c r="Q248" s="6">
        <f>HYPERLINK("https://map.naver.com/p/search/연서면 봉암리 73-8", "지도Link")</f>
        <v/>
      </c>
      <c r="R248" s="6">
        <f>HYPERLINK("http://www.eum.go.kr/web/ar/lu/luLandDet.jsp?pnu=3611036033100730008&amp;isNoScr=script&amp;mode=search", "토지이음")</f>
        <v/>
      </c>
      <c r="S248" s="3" t="inlineStr">
        <is>
          <t>담뜰</t>
        </is>
      </c>
      <c r="T248" s="4" t="n">
        <v>1</v>
      </c>
      <c r="U248" s="5" t="n">
        <v>199.3</v>
      </c>
      <c r="V248" s="4" t="n">
        <v>570</v>
      </c>
      <c r="W248" s="3" t="inlineStr">
        <is>
          <t>지정되지않음</t>
        </is>
      </c>
      <c r="X248" s="3" t="inlineStr">
        <is>
          <t>단독</t>
        </is>
      </c>
      <c r="Y248" s="3" t="inlineStr">
        <is>
          <t>평지</t>
        </is>
      </c>
      <c r="Z248" s="3" t="inlineStr">
        <is>
          <t>자루형</t>
        </is>
      </c>
      <c r="AA248" s="3" t="inlineStr">
        <is>
          <t>소로한면</t>
        </is>
      </c>
    </row>
    <row r="249">
      <c r="A249" s="3" t="inlineStr">
        <is>
          <t>연서면 봉암리 73-8</t>
        </is>
      </c>
      <c r="B249" s="3" t="inlineStr">
        <is>
          <t>계획관리지역</t>
        </is>
      </c>
      <c r="C249" s="3" t="inlineStr">
        <is>
          <t>대</t>
        </is>
      </c>
      <c r="D249" s="3" t="inlineStr">
        <is>
          <t>2</t>
        </is>
      </c>
      <c r="E249" s="3" t="inlineStr">
        <is>
          <t>일반원룸</t>
        </is>
      </c>
      <c r="F249" s="3" t="inlineStr">
        <is>
          <t>월세</t>
        </is>
      </c>
      <c r="G249" s="4" t="n">
        <v>4000</v>
      </c>
      <c r="H249" s="4" t="n">
        <v>40</v>
      </c>
      <c r="I249" s="4" t="n">
        <v>60</v>
      </c>
      <c r="J249" s="4" t="n">
        <v>18</v>
      </c>
      <c r="K249" s="5" t="n">
        <v>2.2</v>
      </c>
      <c r="L249" s="4" t="n">
        <v>30</v>
      </c>
      <c r="M249" s="4" t="n">
        <v>9</v>
      </c>
      <c r="N249" s="5" t="n">
        <v>4.4</v>
      </c>
      <c r="O249" s="3" t="inlineStr">
        <is>
          <t>투룸,11월입주 조율가능,금액조율가능,전세도 가능9천만원풀옵션</t>
        </is>
      </c>
      <c r="P249" s="6">
        <f>HYPERLINK("https://fin.land.naver.com/articles/2652335755", "매물Link")</f>
        <v/>
      </c>
      <c r="Q249" s="6">
        <f>HYPERLINK("https://map.naver.com/p/search/연서면 봉암리 73-8", "지도Link")</f>
        <v/>
      </c>
      <c r="R249" s="6">
        <f>HYPERLINK("http://www.eum.go.kr/web/ar/lu/luLandDet.jsp?pnu=3611036033100730008&amp;isNoScr=script&amp;mode=search", "토지이음")</f>
        <v/>
      </c>
      <c r="S249" s="3" t="inlineStr">
        <is>
          <t>담뜰</t>
        </is>
      </c>
      <c r="T249" s="4" t="n">
        <v>1</v>
      </c>
      <c r="U249" s="5" t="n">
        <v>199.3</v>
      </c>
      <c r="V249" s="4" t="n">
        <v>570</v>
      </c>
      <c r="W249" s="3" t="inlineStr">
        <is>
          <t>지정되지않음</t>
        </is>
      </c>
      <c r="X249" s="3" t="inlineStr">
        <is>
          <t>단독</t>
        </is>
      </c>
      <c r="Y249" s="3" t="inlineStr">
        <is>
          <t>평지</t>
        </is>
      </c>
      <c r="Z249" s="3" t="inlineStr">
        <is>
          <t>자루형</t>
        </is>
      </c>
      <c r="AA249" s="3" t="inlineStr">
        <is>
          <t>소로한면</t>
        </is>
      </c>
    </row>
    <row r="250">
      <c r="A250" s="3" t="inlineStr">
        <is>
          <t>연서면 봉암리 73-8</t>
        </is>
      </c>
      <c r="B250" s="3" t="inlineStr">
        <is>
          <t>계획관리지역</t>
        </is>
      </c>
      <c r="C250" s="3" t="inlineStr">
        <is>
          <t>대</t>
        </is>
      </c>
      <c r="D250" s="3" t="inlineStr">
        <is>
          <t>3</t>
        </is>
      </c>
      <c r="E250" s="3" t="inlineStr">
        <is>
          <t>일반원룸</t>
        </is>
      </c>
      <c r="F250" s="3" t="inlineStr">
        <is>
          <t>월세</t>
        </is>
      </c>
      <c r="G250" s="4" t="n">
        <v>4000</v>
      </c>
      <c r="H250" s="4" t="n">
        <v>40</v>
      </c>
      <c r="I250" s="4" t="n">
        <v>0</v>
      </c>
      <c r="J250" s="4" t="n">
        <v>0</v>
      </c>
      <c r="K250" s="5" t="n">
        <v>0</v>
      </c>
      <c r="L250" s="4" t="n">
        <v>43</v>
      </c>
      <c r="M250" s="4" t="n">
        <v>13</v>
      </c>
      <c r="N250" s="5" t="n">
        <v>3.1</v>
      </c>
      <c r="O250" s="3" t="inlineStr">
        <is>
          <t>인기짱  신축 풀옵션 2룸 심플하고 깔끔한방  엘베설치  넓은주차장</t>
        </is>
      </c>
      <c r="P250" s="6">
        <f>HYPERLINK("https://fin.land.naver.com/articles/2652750077", "매물Link")</f>
        <v/>
      </c>
      <c r="Q250" s="6">
        <f>HYPERLINK("https://map.naver.com/p/search/연서면 봉암리 73-8", "지도Link")</f>
        <v/>
      </c>
      <c r="R250" s="6">
        <f>HYPERLINK("http://www.eum.go.kr/web/ar/lu/luLandDet.jsp?pnu=3611036033100730008&amp;isNoScr=script&amp;mode=search", "토지이음")</f>
        <v/>
      </c>
      <c r="S250" s="3" t="inlineStr">
        <is>
          <t>연서으뜸</t>
        </is>
      </c>
      <c r="T250" s="4" t="n">
        <v>1</v>
      </c>
      <c r="U250" s="5" t="n">
        <v>199.3</v>
      </c>
      <c r="V250" s="4" t="n">
        <v>570</v>
      </c>
      <c r="W250" s="3" t="inlineStr">
        <is>
          <t>지정되지않음</t>
        </is>
      </c>
      <c r="X250" s="3" t="inlineStr">
        <is>
          <t>단독</t>
        </is>
      </c>
      <c r="Y250" s="3" t="inlineStr">
        <is>
          <t>평지</t>
        </is>
      </c>
      <c r="Z250" s="3" t="inlineStr">
        <is>
          <t>자루형</t>
        </is>
      </c>
      <c r="AA250" s="3" t="inlineStr">
        <is>
          <t>소로한면</t>
        </is>
      </c>
    </row>
    <row r="251">
      <c r="A251" s="3" t="inlineStr">
        <is>
          <t>연서면 봉암리 73-8</t>
        </is>
      </c>
      <c r="B251" s="3" t="inlineStr">
        <is>
          <t>계획관리지역</t>
        </is>
      </c>
      <c r="C251" s="3" t="inlineStr">
        <is>
          <t>대</t>
        </is>
      </c>
      <c r="D251" s="3" t="inlineStr">
        <is>
          <t>2</t>
        </is>
      </c>
      <c r="E251" s="3" t="inlineStr">
        <is>
          <t>일반원룸</t>
        </is>
      </c>
      <c r="F251" s="3" t="inlineStr">
        <is>
          <t>월세</t>
        </is>
      </c>
      <c r="G251" s="4" t="n">
        <v>500</v>
      </c>
      <c r="H251" s="4" t="n">
        <v>40</v>
      </c>
      <c r="I251" s="4" t="n">
        <v>178</v>
      </c>
      <c r="J251" s="4" t="n">
        <v>54</v>
      </c>
      <c r="K251" s="5" t="n">
        <v>0.7</v>
      </c>
      <c r="L251" s="4" t="n">
        <v>25</v>
      </c>
      <c r="M251" s="4" t="n">
        <v>8</v>
      </c>
      <c r="N251" s="5" t="n">
        <v>5</v>
      </c>
      <c r="O251" s="3" t="inlineStr">
        <is>
          <t>신축 깔끔한 풀옵션완비방  엘베는기본  주차편리 정남향  정부청사10분</t>
        </is>
      </c>
      <c r="P251" s="6">
        <f>HYPERLINK("https://fin.land.naver.com/articles/2652712844", "매물Link")</f>
        <v/>
      </c>
      <c r="Q251" s="6">
        <f>HYPERLINK("https://map.naver.com/p/search/연서면 봉암리 73-8", "지도Link")</f>
        <v/>
      </c>
      <c r="R251" s="6">
        <f>HYPERLINK("http://www.eum.go.kr/web/ar/lu/luLandDet.jsp?pnu=3611036033100730008&amp;isNoScr=script&amp;mode=search", "토지이음")</f>
        <v/>
      </c>
      <c r="S251" s="3" t="inlineStr">
        <is>
          <t>연서으뜸</t>
        </is>
      </c>
      <c r="T251" s="4" t="n">
        <v>1</v>
      </c>
      <c r="U251" s="5" t="n">
        <v>199.3</v>
      </c>
      <c r="V251" s="4" t="n">
        <v>570</v>
      </c>
      <c r="W251" s="3" t="inlineStr">
        <is>
          <t>지정되지않음</t>
        </is>
      </c>
      <c r="X251" s="3" t="inlineStr">
        <is>
          <t>단독</t>
        </is>
      </c>
      <c r="Y251" s="3" t="inlineStr">
        <is>
          <t>평지</t>
        </is>
      </c>
      <c r="Z251" s="3" t="inlineStr">
        <is>
          <t>자루형</t>
        </is>
      </c>
      <c r="AA251" s="3" t="inlineStr">
        <is>
          <t>소로한면</t>
        </is>
      </c>
    </row>
    <row r="252">
      <c r="A252" s="3" t="inlineStr">
        <is>
          <t>연서면 부동리 80-2</t>
        </is>
      </c>
      <c r="B252" s="3" t="inlineStr">
        <is>
          <t>계획관리지역</t>
        </is>
      </c>
      <c r="C252" s="3" t="inlineStr">
        <is>
          <t>대</t>
        </is>
      </c>
      <c r="D252" s="3" t="inlineStr">
        <is>
          <t>1</t>
        </is>
      </c>
      <c r="E252" s="3" t="inlineStr">
        <is>
          <t>단독</t>
        </is>
      </c>
      <c r="F252" s="3" t="inlineStr">
        <is>
          <t>매매</t>
        </is>
      </c>
      <c r="G252" s="4" t="n">
        <v>40000</v>
      </c>
      <c r="H252" s="4" t="n">
        <v>0</v>
      </c>
      <c r="I252" s="4" t="n">
        <v>507</v>
      </c>
      <c r="J252" s="4" t="n">
        <v>153</v>
      </c>
      <c r="K252" s="5" t="n">
        <v>261.4</v>
      </c>
      <c r="L252" s="4" t="n">
        <v>92</v>
      </c>
      <c r="M252" s="4" t="n">
        <v>28</v>
      </c>
      <c r="N252" s="5" t="n">
        <v>1428.6</v>
      </c>
      <c r="O252" s="3" t="inlineStr">
        <is>
          <t>세종 스마트국가산업단지 인근 단독주택 도로지분포함 저렴하게 일괄매매.</t>
        </is>
      </c>
      <c r="P252" s="6">
        <f>HYPERLINK("https://fin.land.naver.com/articles/2652233102", "매물Link")</f>
        <v/>
      </c>
      <c r="Q252" s="6">
        <f>HYPERLINK("https://map.naver.com/p/search/연서면 부동리 80-2", "지도Link")</f>
        <v/>
      </c>
      <c r="R252" s="6">
        <f>HYPERLINK("http://www.eum.go.kr/web/ar/lu/luLandDet.jsp?pnu=3611036032100800002&amp;isNoScr=script&amp;mode=search", "토지이음")</f>
        <v/>
      </c>
      <c r="S252" s="3" t="inlineStr">
        <is>
          <t>세종대장</t>
        </is>
      </c>
      <c r="T252" s="4" t="n">
        <v>1</v>
      </c>
      <c r="U252" s="5" t="n">
        <v>86.40000000000001</v>
      </c>
      <c r="V252" s="4" t="n">
        <v>507</v>
      </c>
      <c r="W252" s="3" t="inlineStr">
        <is>
          <t>지정되지않음</t>
        </is>
      </c>
      <c r="X252" s="3" t="inlineStr">
        <is>
          <t>단독</t>
        </is>
      </c>
      <c r="Y252" s="3" t="inlineStr">
        <is>
          <t>평지</t>
        </is>
      </c>
      <c r="Z252" s="3" t="inlineStr">
        <is>
          <t>사다리형</t>
        </is>
      </c>
      <c r="AA252" s="3" t="inlineStr">
        <is>
          <t>세로한면(불)</t>
        </is>
      </c>
    </row>
    <row r="253">
      <c r="A253" s="3" t="inlineStr">
        <is>
          <t>연서면 부동리 90-1</t>
        </is>
      </c>
      <c r="B253" s="3" t="inlineStr">
        <is>
          <t>계획관리지역</t>
        </is>
      </c>
      <c r="C253" s="3" t="inlineStr">
        <is>
          <t>대</t>
        </is>
      </c>
      <c r="D253" s="3" t="inlineStr">
        <is>
          <t>1</t>
        </is>
      </c>
      <c r="E253" s="3" t="inlineStr">
        <is>
          <t>단독</t>
        </is>
      </c>
      <c r="F253" s="3" t="inlineStr">
        <is>
          <t>매매</t>
        </is>
      </c>
      <c r="G253" s="4" t="n">
        <v>65000</v>
      </c>
      <c r="H253" s="4" t="n">
        <v>0</v>
      </c>
      <c r="I253" s="4" t="n">
        <v>592</v>
      </c>
      <c r="J253" s="4" t="n">
        <v>179</v>
      </c>
      <c r="K253" s="5" t="n">
        <v>363.1</v>
      </c>
      <c r="L253" s="4" t="n">
        <v>95</v>
      </c>
      <c r="M253" s="4" t="n">
        <v>29</v>
      </c>
      <c r="N253" s="5" t="n">
        <v>2241.4</v>
      </c>
      <c r="O253" s="3" t="inlineStr">
        <is>
          <t>(할인)세종국가산업단지 인근의 멋진집</t>
        </is>
      </c>
      <c r="P253" s="6">
        <f>HYPERLINK("https://fin.land.naver.com/articles/2651943869", "매물Link")</f>
        <v/>
      </c>
      <c r="Q253" s="6">
        <f>HYPERLINK("https://map.naver.com/p/search/연서면 부동리 90-1", "지도Link")</f>
        <v/>
      </c>
      <c r="R253" s="6">
        <f>HYPERLINK("http://www.eum.go.kr/web/ar/lu/luLandDet.jsp?pnu=3611036032100900001&amp;isNoScr=script&amp;mode=search", "토지이음")</f>
        <v/>
      </c>
      <c r="S253" s="3" t="inlineStr">
        <is>
          <t>용궁</t>
        </is>
      </c>
      <c r="T253" s="4" t="n">
        <v>1</v>
      </c>
      <c r="U253" s="5" t="n">
        <v>92.5</v>
      </c>
      <c r="V253" s="4" t="n">
        <v>592</v>
      </c>
      <c r="W253" s="3" t="inlineStr">
        <is>
          <t>지정되지않음</t>
        </is>
      </c>
      <c r="X253" s="3" t="inlineStr">
        <is>
          <t>단독</t>
        </is>
      </c>
      <c r="Y253" s="3" t="inlineStr">
        <is>
          <t>평지</t>
        </is>
      </c>
      <c r="Z253" s="3" t="inlineStr">
        <is>
          <t>부정형</t>
        </is>
      </c>
      <c r="AA253" s="3" t="inlineStr">
        <is>
          <t>세로한면(가)</t>
        </is>
      </c>
    </row>
    <row r="254">
      <c r="A254" s="3" t="inlineStr">
        <is>
          <t>연서면 성제리 120</t>
        </is>
      </c>
      <c r="B254" s="3" t="inlineStr">
        <is>
          <t>계획관리지역</t>
        </is>
      </c>
      <c r="C254" s="3" t="inlineStr">
        <is>
          <t>대</t>
        </is>
      </c>
      <c r="D254" s="3" t="inlineStr">
        <is>
          <t>1</t>
        </is>
      </c>
      <c r="E254" s="3" t="inlineStr">
        <is>
          <t>전원주택</t>
        </is>
      </c>
      <c r="F254" s="3" t="inlineStr">
        <is>
          <t>매매</t>
        </is>
      </c>
      <c r="G254" s="4" t="n">
        <v>112000</v>
      </c>
      <c r="H254" s="4" t="n">
        <v>0</v>
      </c>
      <c r="I254" s="4" t="n">
        <v>662</v>
      </c>
      <c r="J254" s="4" t="n">
        <v>200</v>
      </c>
      <c r="K254" s="5" t="n">
        <v>560</v>
      </c>
      <c r="L254" s="4" t="n">
        <v>128</v>
      </c>
      <c r="M254" s="4" t="n">
        <v>39</v>
      </c>
      <c r="N254" s="5" t="n">
        <v>2871.8</v>
      </c>
      <c r="O254" s="3" t="inlineStr">
        <is>
          <t>전원주택과 붙어있는 계획관리지역 전1193㎡ 를 포함한 일괄매매 협의입주</t>
        </is>
      </c>
      <c r="P254" s="6">
        <f>HYPERLINK("https://fin.land.naver.com/articles/2650977179", "매물Link")</f>
        <v/>
      </c>
      <c r="Q254" s="6">
        <f>HYPERLINK("https://map.naver.com/p/search/연서면 성제리 120", "지도Link")</f>
        <v/>
      </c>
      <c r="R254" s="6">
        <f>HYPERLINK("http://www.eum.go.kr/web/ar/lu/luLandDet.jsp?pnu=3611036023101200000&amp;isNoScr=script&amp;mode=search", "토지이음")</f>
        <v/>
      </c>
      <c r="S254" s="3" t="inlineStr">
        <is>
          <t>정보은행</t>
        </is>
      </c>
      <c r="T254" s="4" t="n">
        <v>1</v>
      </c>
      <c r="U254" s="5" t="n">
        <v>95.09999999999999</v>
      </c>
      <c r="V254" s="4" t="n">
        <v>662</v>
      </c>
      <c r="W254" s="3" t="inlineStr">
        <is>
          <t>지정되지않음</t>
        </is>
      </c>
      <c r="X254" s="3" t="inlineStr">
        <is>
          <t>단독</t>
        </is>
      </c>
      <c r="Y254" s="3" t="inlineStr">
        <is>
          <t>평지</t>
        </is>
      </c>
      <c r="Z254" s="3" t="inlineStr">
        <is>
          <t>사다리형</t>
        </is>
      </c>
      <c r="AA254" s="3" t="inlineStr">
        <is>
          <t>세로한면(가)</t>
        </is>
      </c>
    </row>
    <row r="255">
      <c r="A255" s="3" t="inlineStr">
        <is>
          <t>연서면 성제리 150-8</t>
        </is>
      </c>
      <c r="B255" s="3" t="inlineStr">
        <is>
          <t>농림지역</t>
        </is>
      </c>
      <c r="C255" s="3" t="inlineStr">
        <is>
          <t>대</t>
        </is>
      </c>
      <c r="D255" s="3" t="inlineStr">
        <is>
          <t>2</t>
        </is>
      </c>
      <c r="E255" s="3" t="inlineStr">
        <is>
          <t>단독</t>
        </is>
      </c>
      <c r="F255" s="3" t="inlineStr">
        <is>
          <t>매매</t>
        </is>
      </c>
      <c r="G255" s="4" t="n">
        <v>33000</v>
      </c>
      <c r="H255" s="4" t="n">
        <v>0</v>
      </c>
      <c r="I255" s="4" t="n">
        <v>493</v>
      </c>
      <c r="J255" s="4" t="n">
        <v>149</v>
      </c>
      <c r="K255" s="5" t="n">
        <v>221.5</v>
      </c>
      <c r="L255" s="4" t="n">
        <v>234</v>
      </c>
      <c r="M255" s="4" t="n">
        <v>71</v>
      </c>
      <c r="N255" s="5" t="n">
        <v>464.8</v>
      </c>
      <c r="O255" s="3" t="inlineStr">
        <is>
          <t>급매, 조율가능, 2층 단독주택, 정남향, 조용한 전원주택 생활 가능</t>
        </is>
      </c>
      <c r="P255" s="6">
        <f>HYPERLINK("https://fin.land.naver.com/articles/2654049589", "매물Link")</f>
        <v/>
      </c>
      <c r="Q255" s="6">
        <f>HYPERLINK("https://map.naver.com/p/search/연서면 성제리 150-8", "지도Link")</f>
        <v/>
      </c>
      <c r="R255" s="6">
        <f>HYPERLINK("http://www.eum.go.kr/web/ar/lu/luLandDet.jsp?pnu=3611036023101500008&amp;isNoScr=script&amp;mode=search", "토지이음")</f>
        <v/>
      </c>
      <c r="S255" s="3" t="inlineStr">
        <is>
          <t>세종무지개</t>
        </is>
      </c>
      <c r="T255" s="4" t="n">
        <v>1</v>
      </c>
      <c r="U255" s="5" t="n">
        <v>38.2</v>
      </c>
      <c r="V255" s="4" t="n">
        <v>493</v>
      </c>
      <c r="W255" s="3" t="inlineStr">
        <is>
          <t>지정되지않음</t>
        </is>
      </c>
      <c r="X255" s="3" t="inlineStr">
        <is>
          <t>단독</t>
        </is>
      </c>
      <c r="Y255" s="3" t="inlineStr">
        <is>
          <t>평지</t>
        </is>
      </c>
      <c r="Z255" s="3" t="inlineStr">
        <is>
          <t>부정형</t>
        </is>
      </c>
      <c r="AA255" s="3" t="inlineStr">
        <is>
          <t>세로한면(가)</t>
        </is>
      </c>
    </row>
    <row r="256">
      <c r="A256" s="3" t="inlineStr">
        <is>
          <t>연서면 신대리 105-8</t>
        </is>
      </c>
      <c r="B256" s="3" t="inlineStr">
        <is>
          <t>계획관리지역</t>
        </is>
      </c>
      <c r="C256" s="3" t="inlineStr">
        <is>
          <t>대</t>
        </is>
      </c>
      <c r="D256" s="3" t="inlineStr">
        <is>
          <t>2</t>
        </is>
      </c>
      <c r="E256" s="3" t="inlineStr">
        <is>
          <t>단독</t>
        </is>
      </c>
      <c r="F256" s="3" t="inlineStr">
        <is>
          <t>매매</t>
        </is>
      </c>
      <c r="G256" s="4" t="n">
        <v>39000</v>
      </c>
      <c r="H256" s="4" t="n">
        <v>0</v>
      </c>
      <c r="I256" s="4" t="n">
        <v>327</v>
      </c>
      <c r="J256" s="4" t="n">
        <v>99</v>
      </c>
      <c r="K256" s="5" t="n">
        <v>393.9</v>
      </c>
      <c r="L256" s="4" t="n">
        <v>168</v>
      </c>
      <c r="M256" s="4" t="n">
        <v>51</v>
      </c>
      <c r="N256" s="5" t="n">
        <v>764.7</v>
      </c>
      <c r="O256" s="3" t="inlineStr">
        <is>
          <t>깨끗한 2층전원주택,주택바로뒤가 연서중학교 위치,3층다락방은 서비스면적</t>
        </is>
      </c>
      <c r="P256" s="6">
        <f>HYPERLINK("https://fin.land.naver.com/articles/2651289585", "매물Link")</f>
        <v/>
      </c>
      <c r="Q256" s="6">
        <f>HYPERLINK("https://map.naver.com/p/search/연서면 신대리 105-8", "지도Link")</f>
        <v/>
      </c>
      <c r="R256" s="6">
        <f>HYPERLINK("http://www.eum.go.kr/web/ar/lu/luLandDet.jsp?pnu=3611036029101050008&amp;isNoScr=script&amp;mode=search", "토지이음")</f>
        <v/>
      </c>
      <c r="S256" s="3" t="inlineStr">
        <is>
          <t>담뜰</t>
        </is>
      </c>
      <c r="T256" s="4" t="n">
        <v>1</v>
      </c>
      <c r="U256" s="5" t="n">
        <v>91.59999999999999</v>
      </c>
      <c r="V256" s="4" t="n">
        <v>327</v>
      </c>
      <c r="W256" s="3" t="inlineStr">
        <is>
          <t>지정되지않음</t>
        </is>
      </c>
      <c r="X256" s="3" t="inlineStr">
        <is>
          <t>단독</t>
        </is>
      </c>
      <c r="Y256" s="3" t="inlineStr">
        <is>
          <t>평지</t>
        </is>
      </c>
      <c r="Z256" s="3" t="inlineStr">
        <is>
          <t>사다리형</t>
        </is>
      </c>
      <c r="AA256" s="3" t="inlineStr">
        <is>
          <t>세로한면(가)</t>
        </is>
      </c>
    </row>
    <row r="257">
      <c r="A257" s="3" t="inlineStr">
        <is>
          <t>연서면 신대리 105-8</t>
        </is>
      </c>
      <c r="B257" s="3" t="inlineStr">
        <is>
          <t>계획관리지역</t>
        </is>
      </c>
      <c r="C257" s="3" t="inlineStr">
        <is>
          <t>대</t>
        </is>
      </c>
      <c r="D257" s="3" t="inlineStr">
        <is>
          <t>1</t>
        </is>
      </c>
      <c r="E257" s="3" t="inlineStr">
        <is>
          <t>단독</t>
        </is>
      </c>
      <c r="F257" s="3" t="inlineStr">
        <is>
          <t>월세</t>
        </is>
      </c>
      <c r="G257" s="4" t="n">
        <v>5000</v>
      </c>
      <c r="H257" s="4" t="n">
        <v>120</v>
      </c>
      <c r="I257" s="4" t="n">
        <v>327</v>
      </c>
      <c r="J257" s="4" t="n">
        <v>99</v>
      </c>
      <c r="K257" s="5" t="n">
        <v>1.2</v>
      </c>
      <c r="L257" s="4" t="n">
        <v>168</v>
      </c>
      <c r="M257" s="4" t="n">
        <v>51</v>
      </c>
      <c r="N257" s="5" t="n">
        <v>2.4</v>
      </c>
      <c r="O257" s="3" t="inlineStr">
        <is>
          <t>깨끗한 2층전원주택,주택바로뒤가 연서중학교 위치,3층다락방은 서비스면적</t>
        </is>
      </c>
      <c r="P257" s="6">
        <f>HYPERLINK("https://fin.land.naver.com/articles/2652036207", "매물Link")</f>
        <v/>
      </c>
      <c r="Q257" s="6">
        <f>HYPERLINK("https://map.naver.com/p/search/연서면 신대리 105-8", "지도Link")</f>
        <v/>
      </c>
      <c r="R257" s="6">
        <f>HYPERLINK("http://www.eum.go.kr/web/ar/lu/luLandDet.jsp?pnu=3611036029101050008&amp;isNoScr=script&amp;mode=search", "토지이음")</f>
        <v/>
      </c>
      <c r="S257" s="3" t="inlineStr">
        <is>
          <t>담뜰</t>
        </is>
      </c>
      <c r="T257" s="4" t="n">
        <v>1</v>
      </c>
      <c r="U257" s="5" t="n">
        <v>91.59999999999999</v>
      </c>
      <c r="V257" s="4" t="n">
        <v>327</v>
      </c>
      <c r="W257" s="3" t="inlineStr">
        <is>
          <t>지정되지않음</t>
        </is>
      </c>
      <c r="X257" s="3" t="inlineStr">
        <is>
          <t>단독</t>
        </is>
      </c>
      <c r="Y257" s="3" t="inlineStr">
        <is>
          <t>평지</t>
        </is>
      </c>
      <c r="Z257" s="3" t="inlineStr">
        <is>
          <t>사다리형</t>
        </is>
      </c>
      <c r="AA257" s="3" t="inlineStr">
        <is>
          <t>세로한면(가)</t>
        </is>
      </c>
    </row>
    <row r="258">
      <c r="A258" s="3" t="inlineStr">
        <is>
          <t>연서면 신대리 105-8</t>
        </is>
      </c>
      <c r="B258" s="3" t="inlineStr">
        <is>
          <t>계획관리지역</t>
        </is>
      </c>
      <c r="C258" s="3" t="inlineStr">
        <is>
          <t>대</t>
        </is>
      </c>
      <c r="D258" s="3" t="inlineStr">
        <is>
          <t>1</t>
        </is>
      </c>
      <c r="E258" s="3" t="inlineStr">
        <is>
          <t>단독</t>
        </is>
      </c>
      <c r="F258" s="3" t="inlineStr">
        <is>
          <t>전세</t>
        </is>
      </c>
      <c r="G258" s="4" t="n">
        <v>30000</v>
      </c>
      <c r="H258" s="4" t="n">
        <v>0</v>
      </c>
      <c r="I258" s="4" t="n">
        <v>327</v>
      </c>
      <c r="J258" s="4" t="n">
        <v>99</v>
      </c>
      <c r="K258" s="5" t="n">
        <v>303</v>
      </c>
      <c r="L258" s="4" t="n">
        <v>168</v>
      </c>
      <c r="M258" s="4" t="n">
        <v>51</v>
      </c>
      <c r="N258" s="5" t="n">
        <v>588.2</v>
      </c>
      <c r="O258" s="3" t="inlineStr">
        <is>
          <t>깨끗한 2층전원주택,주택바로뒤가 연서중학교 위치,3층다락방은 서비스면적</t>
        </is>
      </c>
      <c r="P258" s="6">
        <f>HYPERLINK("https://fin.land.naver.com/articles/2652036901", "매물Link")</f>
        <v/>
      </c>
      <c r="Q258" s="6">
        <f>HYPERLINK("https://map.naver.com/p/search/연서면 신대리 105-8", "지도Link")</f>
        <v/>
      </c>
      <c r="R258" s="6">
        <f>HYPERLINK("http://www.eum.go.kr/web/ar/lu/luLandDet.jsp?pnu=3611036029101050008&amp;isNoScr=script&amp;mode=search", "토지이음")</f>
        <v/>
      </c>
      <c r="S258" s="3" t="inlineStr">
        <is>
          <t>담뜰</t>
        </is>
      </c>
      <c r="T258" s="4" t="n">
        <v>1</v>
      </c>
      <c r="U258" s="5" t="n">
        <v>91.59999999999999</v>
      </c>
      <c r="V258" s="4" t="n">
        <v>327</v>
      </c>
      <c r="W258" s="3" t="inlineStr">
        <is>
          <t>지정되지않음</t>
        </is>
      </c>
      <c r="X258" s="3" t="inlineStr">
        <is>
          <t>단독</t>
        </is>
      </c>
      <c r="Y258" s="3" t="inlineStr">
        <is>
          <t>평지</t>
        </is>
      </c>
      <c r="Z258" s="3" t="inlineStr">
        <is>
          <t>사다리형</t>
        </is>
      </c>
      <c r="AA258" s="3" t="inlineStr">
        <is>
          <t>세로한면(가)</t>
        </is>
      </c>
    </row>
    <row r="259">
      <c r="A259" s="3" t="inlineStr">
        <is>
          <t>연서면 신대리 105-8</t>
        </is>
      </c>
      <c r="B259" s="3" t="inlineStr">
        <is>
          <t>계획관리지역</t>
        </is>
      </c>
      <c r="C259" s="3" t="inlineStr">
        <is>
          <t>대</t>
        </is>
      </c>
      <c r="D259" s="3" t="inlineStr">
        <is>
          <t>3</t>
        </is>
      </c>
      <c r="E259" s="3" t="inlineStr">
        <is>
          <t>전원주택</t>
        </is>
      </c>
      <c r="F259" s="3" t="inlineStr">
        <is>
          <t>매매</t>
        </is>
      </c>
      <c r="G259" s="4" t="n">
        <v>39000</v>
      </c>
      <c r="H259" s="4" t="n">
        <v>0</v>
      </c>
      <c r="I259" s="4" t="n">
        <v>327</v>
      </c>
      <c r="J259" s="4" t="n">
        <v>99</v>
      </c>
      <c r="K259" s="5" t="n">
        <v>393.9</v>
      </c>
      <c r="L259" s="4" t="n">
        <v>168</v>
      </c>
      <c r="M259" s="4" t="n">
        <v>51</v>
      </c>
      <c r="N259" s="5" t="n">
        <v>764.7</v>
      </c>
      <c r="O259" s="3" t="inlineStr">
        <is>
          <t>깔끔한 전원주택</t>
        </is>
      </c>
      <c r="P259" s="6">
        <f>HYPERLINK("https://fin.land.naver.com/articles/2652250435", "매물Link")</f>
        <v/>
      </c>
      <c r="Q259" s="6">
        <f>HYPERLINK("https://map.naver.com/p/search/연서면 신대리 105-8", "지도Link")</f>
        <v/>
      </c>
      <c r="R259" s="6">
        <f>HYPERLINK("http://www.eum.go.kr/web/ar/lu/luLandDet.jsp?pnu=3611036029101050008&amp;isNoScr=script&amp;mode=search", "토지이음")</f>
        <v/>
      </c>
      <c r="S259" s="3" t="inlineStr">
        <is>
          <t>제일</t>
        </is>
      </c>
      <c r="T259" s="4" t="n">
        <v>1</v>
      </c>
      <c r="U259" s="5" t="n">
        <v>91.59999999999999</v>
      </c>
      <c r="V259" s="4" t="n">
        <v>327</v>
      </c>
      <c r="W259" s="3" t="inlineStr">
        <is>
          <t>지정되지않음</t>
        </is>
      </c>
      <c r="X259" s="3" t="inlineStr">
        <is>
          <t>단독</t>
        </is>
      </c>
      <c r="Y259" s="3" t="inlineStr">
        <is>
          <t>평지</t>
        </is>
      </c>
      <c r="Z259" s="3" t="inlineStr">
        <is>
          <t>사다리형</t>
        </is>
      </c>
      <c r="AA259" s="3" t="inlineStr">
        <is>
          <t>세로한면(가)</t>
        </is>
      </c>
    </row>
    <row r="260">
      <c r="A260" s="3" t="inlineStr">
        <is>
          <t>연서면 신대리 105-8</t>
        </is>
      </c>
      <c r="B260" s="3" t="inlineStr">
        <is>
          <t>계획관리지역</t>
        </is>
      </c>
      <c r="C260" s="3" t="inlineStr">
        <is>
          <t>대</t>
        </is>
      </c>
      <c r="D260" s="3" t="inlineStr">
        <is>
          <t>3</t>
        </is>
      </c>
      <c r="E260" s="3" t="inlineStr">
        <is>
          <t>전원주택</t>
        </is>
      </c>
      <c r="F260" s="3" t="inlineStr">
        <is>
          <t>전세</t>
        </is>
      </c>
      <c r="G260" s="4" t="n">
        <v>30000</v>
      </c>
      <c r="H260" s="4" t="n">
        <v>0</v>
      </c>
      <c r="I260" s="4" t="n">
        <v>327</v>
      </c>
      <c r="J260" s="4" t="n">
        <v>99</v>
      </c>
      <c r="K260" s="5" t="n">
        <v>303</v>
      </c>
      <c r="L260" s="4" t="n">
        <v>168</v>
      </c>
      <c r="M260" s="4" t="n">
        <v>51</v>
      </c>
      <c r="N260" s="5" t="n">
        <v>588.2</v>
      </c>
      <c r="O260" s="3" t="inlineStr">
        <is>
          <t>깔끔한 전원주택</t>
        </is>
      </c>
      <c r="P260" s="6">
        <f>HYPERLINK("https://fin.land.naver.com/articles/2652284182", "매물Link")</f>
        <v/>
      </c>
      <c r="Q260" s="6">
        <f>HYPERLINK("https://map.naver.com/p/search/연서면 신대리 105-8", "지도Link")</f>
        <v/>
      </c>
      <c r="R260" s="6">
        <f>HYPERLINK("http://www.eum.go.kr/web/ar/lu/luLandDet.jsp?pnu=3611036029101050008&amp;isNoScr=script&amp;mode=search", "토지이음")</f>
        <v/>
      </c>
      <c r="S260" s="3" t="inlineStr">
        <is>
          <t>제일</t>
        </is>
      </c>
      <c r="T260" s="4" t="n">
        <v>1</v>
      </c>
      <c r="U260" s="5" t="n">
        <v>91.59999999999999</v>
      </c>
      <c r="V260" s="4" t="n">
        <v>327</v>
      </c>
      <c r="W260" s="3" t="inlineStr">
        <is>
          <t>지정되지않음</t>
        </is>
      </c>
      <c r="X260" s="3" t="inlineStr">
        <is>
          <t>단독</t>
        </is>
      </c>
      <c r="Y260" s="3" t="inlineStr">
        <is>
          <t>평지</t>
        </is>
      </c>
      <c r="Z260" s="3" t="inlineStr">
        <is>
          <t>사다리형</t>
        </is>
      </c>
      <c r="AA260" s="3" t="inlineStr">
        <is>
          <t>세로한면(가)</t>
        </is>
      </c>
    </row>
    <row r="261">
      <c r="A261" s="3" t="inlineStr">
        <is>
          <t>연서면 신대리 105-8</t>
        </is>
      </c>
      <c r="B261" s="3" t="inlineStr">
        <is>
          <t>계획관리지역</t>
        </is>
      </c>
      <c r="C261" s="3" t="inlineStr">
        <is>
          <t>대</t>
        </is>
      </c>
      <c r="D261" s="3" t="inlineStr">
        <is>
          <t>3</t>
        </is>
      </c>
      <c r="E261" s="3" t="inlineStr">
        <is>
          <t>전원주택</t>
        </is>
      </c>
      <c r="F261" s="3" t="inlineStr">
        <is>
          <t>월세</t>
        </is>
      </c>
      <c r="G261" s="4" t="n">
        <v>5000</v>
      </c>
      <c r="H261" s="4" t="n">
        <v>120</v>
      </c>
      <c r="I261" s="4" t="n">
        <v>327</v>
      </c>
      <c r="J261" s="4" t="n">
        <v>99</v>
      </c>
      <c r="K261" s="5" t="n">
        <v>1.2</v>
      </c>
      <c r="L261" s="4" t="n">
        <v>168</v>
      </c>
      <c r="M261" s="4" t="n">
        <v>51</v>
      </c>
      <c r="N261" s="5" t="n">
        <v>2.4</v>
      </c>
      <c r="O261" s="3" t="inlineStr">
        <is>
          <t>깔끔한 전원주택</t>
        </is>
      </c>
      <c r="P261" s="6">
        <f>HYPERLINK("https://fin.land.naver.com/articles/2652285276", "매물Link")</f>
        <v/>
      </c>
      <c r="Q261" s="6">
        <f>HYPERLINK("https://map.naver.com/p/search/연서면 신대리 105-8", "지도Link")</f>
        <v/>
      </c>
      <c r="R261" s="6">
        <f>HYPERLINK("http://www.eum.go.kr/web/ar/lu/luLandDet.jsp?pnu=3611036029101050008&amp;isNoScr=script&amp;mode=search", "토지이음")</f>
        <v/>
      </c>
      <c r="S261" s="3" t="inlineStr">
        <is>
          <t>제일</t>
        </is>
      </c>
      <c r="T261" s="4" t="n">
        <v>1</v>
      </c>
      <c r="U261" s="5" t="n">
        <v>91.59999999999999</v>
      </c>
      <c r="V261" s="4" t="n">
        <v>327</v>
      </c>
      <c r="W261" s="3" t="inlineStr">
        <is>
          <t>지정되지않음</t>
        </is>
      </c>
      <c r="X261" s="3" t="inlineStr">
        <is>
          <t>단독</t>
        </is>
      </c>
      <c r="Y261" s="3" t="inlineStr">
        <is>
          <t>평지</t>
        </is>
      </c>
      <c r="Z261" s="3" t="inlineStr">
        <is>
          <t>사다리형</t>
        </is>
      </c>
      <c r="AA261" s="3" t="inlineStr">
        <is>
          <t>세로한면(가)</t>
        </is>
      </c>
    </row>
    <row r="262">
      <c r="A262" s="3" t="inlineStr">
        <is>
          <t>연서면 신대리 105-8</t>
        </is>
      </c>
      <c r="B262" s="3" t="inlineStr">
        <is>
          <t>계획관리지역</t>
        </is>
      </c>
      <c r="C262" s="3" t="inlineStr">
        <is>
          <t>대</t>
        </is>
      </c>
      <c r="D262" s="3" t="inlineStr">
        <is>
          <t>3</t>
        </is>
      </c>
      <c r="E262" s="3" t="inlineStr">
        <is>
          <t>전원주택</t>
        </is>
      </c>
      <c r="F262" s="3" t="inlineStr">
        <is>
          <t>매매</t>
        </is>
      </c>
      <c r="G262" s="4" t="n">
        <v>39000</v>
      </c>
      <c r="H262" s="4" t="n">
        <v>0</v>
      </c>
      <c r="I262" s="4" t="n">
        <v>327</v>
      </c>
      <c r="J262" s="4" t="n">
        <v>99</v>
      </c>
      <c r="K262" s="5" t="n">
        <v>393.9</v>
      </c>
      <c r="L262" s="4" t="n">
        <v>168</v>
      </c>
      <c r="M262" s="4" t="n">
        <v>51</v>
      </c>
      <c r="N262" s="5" t="n">
        <v>764.7</v>
      </c>
      <c r="O262" s="3" t="inlineStr">
        <is>
          <t>급매 조정가능 연서중인근 고속도로 나들목 가깝고 텃밭있음</t>
        </is>
      </c>
      <c r="P262" s="6">
        <f>HYPERLINK("https://fin.land.naver.com/articles/2654464490", "매물Link")</f>
        <v/>
      </c>
      <c r="Q262" s="6">
        <f>HYPERLINK("https://map.naver.com/p/search/연서면 신대리 105-8", "지도Link")</f>
        <v/>
      </c>
      <c r="R262" s="6">
        <f>HYPERLINK("http://www.eum.go.kr/web/ar/lu/luLandDet.jsp?pnu=3611036029101050008&amp;isNoScr=script&amp;mode=search", "토지이음")</f>
        <v/>
      </c>
      <c r="S262" s="3" t="inlineStr">
        <is>
          <t>그래그</t>
        </is>
      </c>
      <c r="T262" s="4" t="n">
        <v>2</v>
      </c>
      <c r="U262" s="5" t="n">
        <v>91.59999999999999</v>
      </c>
      <c r="V262" s="4" t="n">
        <v>327</v>
      </c>
      <c r="W262" s="3" t="inlineStr">
        <is>
          <t>지정되지않음</t>
        </is>
      </c>
      <c r="X262" s="3" t="inlineStr">
        <is>
          <t>단독</t>
        </is>
      </c>
      <c r="Y262" s="3" t="inlineStr">
        <is>
          <t>평지</t>
        </is>
      </c>
      <c r="Z262" s="3" t="inlineStr">
        <is>
          <t>사다리형</t>
        </is>
      </c>
      <c r="AA262" s="3" t="inlineStr">
        <is>
          <t>세로한면(가)</t>
        </is>
      </c>
    </row>
    <row r="263">
      <c r="A263" s="3" t="inlineStr">
        <is>
          <t>연서면 신대리 556-1</t>
        </is>
      </c>
      <c r="B263" s="3" t="inlineStr">
        <is>
          <t>계획관리지역</t>
        </is>
      </c>
      <c r="C263" s="3" t="inlineStr">
        <is>
          <t>대</t>
        </is>
      </c>
      <c r="D263" s="3" t="inlineStr">
        <is>
          <t>1</t>
        </is>
      </c>
      <c r="E263" s="3" t="inlineStr">
        <is>
          <t>단독</t>
        </is>
      </c>
      <c r="F263" s="3" t="inlineStr">
        <is>
          <t>매매</t>
        </is>
      </c>
      <c r="G263" s="4" t="n">
        <v>31000</v>
      </c>
      <c r="H263" s="4" t="n">
        <v>0</v>
      </c>
      <c r="I263" s="4" t="n">
        <v>373</v>
      </c>
      <c r="J263" s="4" t="n">
        <v>113</v>
      </c>
      <c r="K263" s="5" t="n">
        <v>274.3</v>
      </c>
      <c r="L263" s="4" t="n">
        <v>72</v>
      </c>
      <c r="M263" s="4" t="n">
        <v>22</v>
      </c>
      <c r="N263" s="5" t="n">
        <v>1409.1</v>
      </c>
      <c r="O263" s="3" t="inlineStr">
        <is>
          <t>태양광 설치된 1층 단독주택, 즉시입주 가능한 귀촌형 전원주택</t>
        </is>
      </c>
      <c r="P263" s="6">
        <f>HYPERLINK("https://fin.land.naver.com/articles/2650903513", "매물Link")</f>
        <v/>
      </c>
      <c r="Q263" s="6">
        <f>HYPERLINK("https://map.naver.com/p/search/연서면 신대리 556-1", "지도Link")</f>
        <v/>
      </c>
      <c r="R263" s="6">
        <f>HYPERLINK("http://www.eum.go.kr/web/ar/lu/luLandDet.jsp?pnu=3611036029105560001&amp;isNoScr=script&amp;mode=search", "토지이음")</f>
        <v/>
      </c>
      <c r="S263" s="3" t="inlineStr">
        <is>
          <t>세종소담황금</t>
        </is>
      </c>
      <c r="T263" s="4" t="n">
        <v>1</v>
      </c>
      <c r="U263" s="5" t="n">
        <v>71.90000000000001</v>
      </c>
      <c r="V263" s="4" t="n">
        <v>373</v>
      </c>
      <c r="W263" s="3" t="inlineStr">
        <is>
          <t>지정되지않음</t>
        </is>
      </c>
      <c r="X263" s="3" t="inlineStr">
        <is>
          <t>단독</t>
        </is>
      </c>
      <c r="Y263" s="3" t="inlineStr">
        <is>
          <t>평지</t>
        </is>
      </c>
      <c r="Z263" s="3" t="inlineStr">
        <is>
          <t>부정형</t>
        </is>
      </c>
      <c r="AA263" s="3" t="inlineStr">
        <is>
          <t>세로한면(가)</t>
        </is>
      </c>
    </row>
    <row r="264">
      <c r="A264" s="3" t="inlineStr">
        <is>
          <t>연서면 쌍류리 257-2</t>
        </is>
      </c>
      <c r="B264" s="3" t="inlineStr">
        <is>
          <t>계획관리지역</t>
        </is>
      </c>
      <c r="C264" s="3" t="inlineStr">
        <is>
          <t>대</t>
        </is>
      </c>
      <c r="D264" s="3" t="inlineStr">
        <is>
          <t>1</t>
        </is>
      </c>
      <c r="E264" s="3" t="inlineStr">
        <is>
          <t>단독</t>
        </is>
      </c>
      <c r="F264" s="3" t="inlineStr">
        <is>
          <t>매매</t>
        </is>
      </c>
      <c r="G264" s="4" t="n">
        <v>40000</v>
      </c>
      <c r="H264" s="4" t="n">
        <v>0</v>
      </c>
      <c r="I264" s="4" t="n">
        <v>313</v>
      </c>
      <c r="J264" s="4" t="n">
        <v>95</v>
      </c>
      <c r="K264" s="5" t="n">
        <v>421.1</v>
      </c>
      <c r="L264" s="4" t="n">
        <v>127</v>
      </c>
      <c r="M264" s="4" t="n">
        <v>38</v>
      </c>
      <c r="N264" s="5" t="n">
        <v>1052.6</v>
      </c>
      <c r="O264" s="3" t="inlineStr">
        <is>
          <t>고복저수지 인근 단독주택</t>
        </is>
      </c>
      <c r="P264" s="6">
        <f>HYPERLINK("https://fin.land.naver.com/articles/2651277336", "매물Link")</f>
        <v/>
      </c>
      <c r="Q264" s="6">
        <f>HYPERLINK("https://map.naver.com/p/search/연서면 쌍류리 257-2", "지도Link")</f>
        <v/>
      </c>
      <c r="R264" s="6">
        <f>HYPERLINK("http://www.eum.go.kr/web/ar/lu/luLandDet.jsp?pnu=3611036026102570002&amp;isNoScr=script&amp;mode=search", "토지이음")</f>
        <v/>
      </c>
      <c r="S264" s="3" t="inlineStr">
        <is>
          <t>강아지풀</t>
        </is>
      </c>
      <c r="T264" s="4" t="n">
        <v>1</v>
      </c>
      <c r="U264" s="5" t="n">
        <v>59.5</v>
      </c>
      <c r="V264" s="4" t="n">
        <v>717</v>
      </c>
      <c r="W264" s="3" t="inlineStr">
        <is>
          <t>지정되지않음</t>
        </is>
      </c>
      <c r="X264" s="3" t="inlineStr">
        <is>
          <t>단독</t>
        </is>
      </c>
      <c r="Y264" s="3" t="inlineStr">
        <is>
          <t>평지</t>
        </is>
      </c>
      <c r="Z264" s="3" t="inlineStr">
        <is>
          <t>사다리형</t>
        </is>
      </c>
      <c r="AA264" s="3" t="inlineStr">
        <is>
          <t>세로한면(가)</t>
        </is>
      </c>
    </row>
    <row r="265">
      <c r="A265" s="3" t="inlineStr">
        <is>
          <t>연서면 쌍전리 159-2</t>
        </is>
      </c>
      <c r="B265" s="3" t="inlineStr">
        <is>
          <t>자연녹지지역</t>
        </is>
      </c>
      <c r="C265" s="3" t="inlineStr">
        <is>
          <t>대</t>
        </is>
      </c>
      <c r="D265" s="3" t="inlineStr">
        <is>
          <t>2</t>
        </is>
      </c>
      <c r="E265" s="3" t="inlineStr">
        <is>
          <t>단독</t>
        </is>
      </c>
      <c r="F265" s="3" t="inlineStr">
        <is>
          <t>매매</t>
        </is>
      </c>
      <c r="G265" s="4" t="n">
        <v>55000</v>
      </c>
      <c r="H265" s="4" t="n">
        <v>0</v>
      </c>
      <c r="I265" s="4" t="n">
        <v>624</v>
      </c>
      <c r="J265" s="4" t="n">
        <v>189</v>
      </c>
      <c r="K265" s="5" t="n">
        <v>291</v>
      </c>
      <c r="L265" s="4" t="n">
        <v>140</v>
      </c>
      <c r="M265" s="4" t="n">
        <v>42</v>
      </c>
      <c r="N265" s="5" t="n">
        <v>1309.5</v>
      </c>
      <c r="O265" s="3" t="inlineStr">
        <is>
          <t>급매. 쌍전리 뷰 좋고 관리 잘 된 2층 단독주택. 입주일 협의.</t>
        </is>
      </c>
      <c r="P265" s="6">
        <f>HYPERLINK("https://fin.land.naver.com/articles/2653849760", "매물Link")</f>
        <v/>
      </c>
      <c r="Q265" s="6">
        <f>HYPERLINK("https://map.naver.com/p/search/연서면 쌍전리 159-2", "지도Link")</f>
        <v/>
      </c>
      <c r="R265" s="6">
        <f>HYPERLINK("http://www.eum.go.kr/web/ar/lu/luLandDet.jsp?pnu=3611036022101590002&amp;isNoScr=script&amp;mode=search", "토지이음")</f>
        <v/>
      </c>
      <c r="S265" s="3" t="inlineStr">
        <is>
          <t>세종대장</t>
        </is>
      </c>
      <c r="T265" s="4" t="n">
        <v>1</v>
      </c>
      <c r="U265" s="5" t="n">
        <v>111.2</v>
      </c>
      <c r="V265" s="4" t="n">
        <v>635</v>
      </c>
      <c r="W265" s="3" t="inlineStr">
        <is>
          <t>지정되지않음</t>
        </is>
      </c>
      <c r="X265" s="3" t="inlineStr">
        <is>
          <t>단독</t>
        </is>
      </c>
      <c r="Y265" s="3" t="inlineStr">
        <is>
          <t>평지</t>
        </is>
      </c>
      <c r="Z265" s="3" t="inlineStr">
        <is>
          <t>사다리형</t>
        </is>
      </c>
      <c r="AA265" s="3" t="inlineStr">
        <is>
          <t>세로한면(가)</t>
        </is>
      </c>
    </row>
    <row r="266">
      <c r="A266" s="3" t="inlineStr">
        <is>
          <t>연서면 쌍전리 188</t>
        </is>
      </c>
      <c r="B266" s="3" t="inlineStr">
        <is>
          <t>자연녹지지역</t>
        </is>
      </c>
      <c r="C266" s="3" t="inlineStr">
        <is>
          <t>대</t>
        </is>
      </c>
      <c r="D266" s="3" t="inlineStr">
        <is>
          <t>1</t>
        </is>
      </c>
      <c r="E266" s="3" t="inlineStr">
        <is>
          <t>단독</t>
        </is>
      </c>
      <c r="F266" s="3" t="inlineStr">
        <is>
          <t>매매</t>
        </is>
      </c>
      <c r="G266" s="4" t="n">
        <v>43000</v>
      </c>
      <c r="H266" s="4" t="n">
        <v>0</v>
      </c>
      <c r="I266" s="4" t="n">
        <v>421</v>
      </c>
      <c r="J266" s="4" t="n">
        <v>127</v>
      </c>
      <c r="K266" s="5" t="n">
        <v>338.6</v>
      </c>
      <c r="L266" s="4" t="n">
        <v>70</v>
      </c>
      <c r="M266" s="4" t="n">
        <v>21</v>
      </c>
      <c r="N266" s="5" t="n">
        <v>2047.6</v>
      </c>
      <c r="O266" s="3" t="inlineStr">
        <is>
          <t>세종 스마트산단 봉암IC 호재 I 뷰 좋은 대지 넓은 전원주택</t>
        </is>
      </c>
      <c r="P266" s="6">
        <f>HYPERLINK("https://fin.land.naver.com/articles/2650325536", "매물Link")</f>
        <v/>
      </c>
      <c r="Q266" s="6">
        <f>HYPERLINK("https://map.naver.com/p/search/연서면 쌍전리 188", "지도Link")</f>
        <v/>
      </c>
      <c r="R266" s="6">
        <f>HYPERLINK("http://www.eum.go.kr/web/ar/lu/luLandDet.jsp?pnu=3611036022101880000&amp;isNoScr=script&amp;mode=search", "토지이음")</f>
        <v/>
      </c>
      <c r="S266" s="3" t="inlineStr">
        <is>
          <t>세종신한</t>
        </is>
      </c>
      <c r="T266" s="4" t="n">
        <v>1</v>
      </c>
      <c r="U266" s="5" t="n">
        <v>111.2</v>
      </c>
      <c r="V266" s="4" t="n">
        <v>421</v>
      </c>
      <c r="W266" s="3" t="inlineStr">
        <is>
          <t>지정되지않음</t>
        </is>
      </c>
      <c r="X266" s="3" t="inlineStr">
        <is>
          <t>단독</t>
        </is>
      </c>
      <c r="Y266" s="3" t="inlineStr">
        <is>
          <t>평지</t>
        </is>
      </c>
      <c r="Z266" s="3" t="inlineStr">
        <is>
          <t>사다리형</t>
        </is>
      </c>
      <c r="AA266" s="3" t="inlineStr">
        <is>
          <t>세로한면(가)</t>
        </is>
      </c>
    </row>
    <row r="267">
      <c r="A267" s="3" t="inlineStr">
        <is>
          <t>연서면 와촌리 1218</t>
        </is>
      </c>
      <c r="B267" s="3" t="inlineStr">
        <is>
          <t>계획관리지역</t>
        </is>
      </c>
      <c r="C267" s="3" t="inlineStr">
        <is>
          <t>대</t>
        </is>
      </c>
      <c r="D267" s="3" t="inlineStr">
        <is>
          <t>1</t>
        </is>
      </c>
      <c r="E267" s="3" t="inlineStr">
        <is>
          <t>전원주택</t>
        </is>
      </c>
      <c r="F267" s="3" t="inlineStr">
        <is>
          <t>매매</t>
        </is>
      </c>
      <c r="G267" s="4" t="n">
        <v>71000</v>
      </c>
      <c r="H267" s="4" t="n">
        <v>0</v>
      </c>
      <c r="I267" s="4" t="n">
        <v>877</v>
      </c>
      <c r="J267" s="4" t="n">
        <v>265</v>
      </c>
      <c r="K267" s="5" t="n">
        <v>267.9</v>
      </c>
      <c r="L267" s="4" t="n">
        <v>96</v>
      </c>
      <c r="M267" s="4" t="n">
        <v>29</v>
      </c>
      <c r="N267" s="5" t="n">
        <v>2448.3</v>
      </c>
      <c r="O267" s="3" t="inlineStr">
        <is>
          <t>최근 리모델링 ,  입주 가능 , 국가산업단지 인근,투자가치높은지역</t>
        </is>
      </c>
      <c r="P267" s="6">
        <f>HYPERLINK("https://fin.land.naver.com/articles/2652359824", "매물Link")</f>
        <v/>
      </c>
      <c r="Q267" s="6">
        <f>HYPERLINK("https://map.naver.com/p/search/연서면 와촌리 1218", "지도Link")</f>
        <v/>
      </c>
      <c r="R267" s="6">
        <f>HYPERLINK("http://www.eum.go.kr/web/ar/lu/luLandDet.jsp?pnu=3611036031112180000&amp;isNoScr=script&amp;mode=search", "토지이음")</f>
        <v/>
      </c>
      <c r="S267" s="3" t="inlineStr">
        <is>
          <t>세종특별시</t>
        </is>
      </c>
      <c r="T267" s="4" t="n">
        <v>1</v>
      </c>
      <c r="U267" s="5" t="n">
        <v>90.3</v>
      </c>
      <c r="V267" s="4" t="n">
        <v>745</v>
      </c>
      <c r="W267" s="3" t="inlineStr">
        <is>
          <t>지정되지않음</t>
        </is>
      </c>
      <c r="X267" s="3" t="inlineStr">
        <is>
          <t>단독</t>
        </is>
      </c>
      <c r="Y267" s="3" t="inlineStr">
        <is>
          <t>평지</t>
        </is>
      </c>
      <c r="Z267" s="3" t="inlineStr">
        <is>
          <t>부정형</t>
        </is>
      </c>
      <c r="AA267" s="3" t="inlineStr">
        <is>
          <t>세로한면(가)</t>
        </is>
      </c>
    </row>
    <row r="268">
      <c r="A268" s="3" t="inlineStr">
        <is>
          <t>연서면 와촌리 1218</t>
        </is>
      </c>
      <c r="B268" s="3" t="inlineStr">
        <is>
          <t>계획관리지역</t>
        </is>
      </c>
      <c r="C268" s="3" t="inlineStr">
        <is>
          <t>대</t>
        </is>
      </c>
      <c r="D268" s="3" t="inlineStr">
        <is>
          <t>1</t>
        </is>
      </c>
      <c r="E268" s="3" t="inlineStr">
        <is>
          <t>전원주택</t>
        </is>
      </c>
      <c r="F268" s="3" t="inlineStr">
        <is>
          <t>매매</t>
        </is>
      </c>
      <c r="G268" s="4" t="n">
        <v>70000</v>
      </c>
      <c r="H268" s="4" t="n">
        <v>0</v>
      </c>
      <c r="I268" s="4" t="n">
        <v>766</v>
      </c>
      <c r="J268" s="4" t="n">
        <v>232</v>
      </c>
      <c r="K268" s="5" t="n">
        <v>301.7</v>
      </c>
      <c r="L268" s="4" t="n">
        <v>96</v>
      </c>
      <c r="M268" s="4" t="n">
        <v>29</v>
      </c>
      <c r="N268" s="5" t="n">
        <v>2413.8</v>
      </c>
      <c r="O268" s="3" t="inlineStr">
        <is>
          <t>올리모델링. 뒷마당,앞마당 창고 및 저온저장고. 야외수도2. 지하수등.</t>
        </is>
      </c>
      <c r="P268" s="6">
        <f>HYPERLINK("https://fin.land.naver.com/articles/2651423312", "매물Link")</f>
        <v/>
      </c>
      <c r="Q268" s="6">
        <f>HYPERLINK("https://map.naver.com/p/search/연서면 와촌리 1218", "지도Link")</f>
        <v/>
      </c>
      <c r="R268" s="6">
        <f>HYPERLINK("http://www.eum.go.kr/web/ar/lu/luLandDet.jsp?pnu=3611036031112180000&amp;isNoScr=script&amp;mode=search", "토지이음")</f>
        <v/>
      </c>
      <c r="S268" s="3" t="inlineStr">
        <is>
          <t>세종소담114</t>
        </is>
      </c>
      <c r="T268" s="4" t="n">
        <v>1</v>
      </c>
      <c r="U268" s="5" t="n">
        <v>90.3</v>
      </c>
      <c r="V268" s="4" t="n">
        <v>745</v>
      </c>
      <c r="W268" s="3" t="inlineStr">
        <is>
          <t>지정되지않음</t>
        </is>
      </c>
      <c r="X268" s="3" t="inlineStr">
        <is>
          <t>단독</t>
        </is>
      </c>
      <c r="Y268" s="3" t="inlineStr">
        <is>
          <t>평지</t>
        </is>
      </c>
      <c r="Z268" s="3" t="inlineStr">
        <is>
          <t>부정형</t>
        </is>
      </c>
      <c r="AA268" s="3" t="inlineStr">
        <is>
          <t>세로한면(가)</t>
        </is>
      </c>
    </row>
    <row r="269">
      <c r="A269" s="3" t="inlineStr">
        <is>
          <t>연서면 와촌리 791</t>
        </is>
      </c>
      <c r="B269" s="3" t="inlineStr">
        <is>
          <t>계획관리지역</t>
        </is>
      </c>
      <c r="C269" s="3" t="inlineStr">
        <is>
          <t>대</t>
        </is>
      </c>
      <c r="D269" s="3" t="inlineStr">
        <is>
          <t>1</t>
        </is>
      </c>
      <c r="E269" s="3" t="inlineStr">
        <is>
          <t>단독</t>
        </is>
      </c>
      <c r="F269" s="3" t="inlineStr">
        <is>
          <t>매매</t>
        </is>
      </c>
      <c r="G269" s="4" t="n">
        <v>65000</v>
      </c>
      <c r="H269" s="4" t="n">
        <v>0</v>
      </c>
      <c r="I269" s="4" t="n">
        <v>496</v>
      </c>
      <c r="J269" s="4" t="n">
        <v>150</v>
      </c>
      <c r="K269" s="5" t="n">
        <v>433.3</v>
      </c>
      <c r="L269" s="4" t="n">
        <v>91</v>
      </c>
      <c r="M269" s="4" t="n">
        <v>28</v>
      </c>
      <c r="N269" s="5" t="n">
        <v>2321.4</v>
      </c>
      <c r="O269" s="3" t="inlineStr">
        <is>
          <t>신축 한옥주택황토방 즉시입주협의</t>
        </is>
      </c>
      <c r="P269" s="6">
        <f>HYPERLINK("https://fin.land.naver.com/articles/2650856623", "매물Link")</f>
        <v/>
      </c>
      <c r="Q269" s="6">
        <f>HYPERLINK("https://map.naver.com/p/search/연서면 와촌리 791", "지도Link")</f>
        <v/>
      </c>
      <c r="R269" s="6">
        <f>HYPERLINK("http://www.eum.go.kr/web/ar/lu/luLandDet.jsp?pnu=3611036031107910000&amp;isNoScr=script&amp;mode=search", "토지이음")</f>
        <v/>
      </c>
      <c r="S269" s="3" t="inlineStr">
        <is>
          <t>세종대박</t>
        </is>
      </c>
      <c r="T269" s="4" t="n">
        <v>1</v>
      </c>
      <c r="U269" s="5" t="n">
        <v>122</v>
      </c>
      <c r="V269" s="4" t="n">
        <v>496</v>
      </c>
      <c r="W269" s="3" t="inlineStr">
        <is>
          <t>지정되지않음</t>
        </is>
      </c>
      <c r="X269" s="3" t="inlineStr">
        <is>
          <t>단독</t>
        </is>
      </c>
      <c r="Y269" s="3" t="inlineStr">
        <is>
          <t>평지</t>
        </is>
      </c>
      <c r="Z269" s="3" t="inlineStr">
        <is>
          <t>사다리형</t>
        </is>
      </c>
      <c r="AA269" s="3" t="inlineStr">
        <is>
          <t>세로한면(가)</t>
        </is>
      </c>
    </row>
    <row r="270">
      <c r="A270" s="3" t="inlineStr">
        <is>
          <t>연서면 와촌리 900-5</t>
        </is>
      </c>
      <c r="B270" s="3" t="inlineStr">
        <is>
          <t>계획관리지역</t>
        </is>
      </c>
      <c r="C270" s="3" t="inlineStr">
        <is>
          <t>종교용지</t>
        </is>
      </c>
      <c r="D270" s="3" t="inlineStr">
        <is>
          <t>1</t>
        </is>
      </c>
      <c r="E270" s="3" t="inlineStr">
        <is>
          <t>전원주택</t>
        </is>
      </c>
      <c r="F270" s="3" t="inlineStr">
        <is>
          <t>매매</t>
        </is>
      </c>
      <c r="G270" s="4" t="n">
        <v>289000</v>
      </c>
      <c r="H270" s="4" t="n">
        <v>0</v>
      </c>
      <c r="I270" s="4" t="n">
        <v>1597</v>
      </c>
      <c r="J270" s="4" t="n">
        <v>483</v>
      </c>
      <c r="K270" s="5" t="n">
        <v>598.3</v>
      </c>
      <c r="L270" s="4" t="n">
        <v>314</v>
      </c>
      <c r="M270" s="4" t="n">
        <v>95</v>
      </c>
      <c r="N270" s="5" t="n">
        <v>3042.1</v>
      </c>
      <c r="O270" s="3" t="inlineStr">
        <is>
          <t>스마트시티도시 인근. 도로변토지.계획관리.취락지구. 건폐율,용적률완화</t>
        </is>
      </c>
      <c r="P270" s="6">
        <f>HYPERLINK("https://fin.land.naver.com/articles/2650516167", "매물Link")</f>
        <v/>
      </c>
      <c r="Q270" s="6">
        <f>HYPERLINK("https://map.naver.com/p/search/연서면 와촌리 900-5", "지도Link")</f>
        <v/>
      </c>
      <c r="R270" s="6">
        <f>HYPERLINK("http://www.eum.go.kr/web/ar/lu/luLandDet.jsp?pnu=3611036031109000005&amp;isNoScr=script&amp;mode=search", "토지이음")</f>
        <v/>
      </c>
      <c r="S270" s="3" t="inlineStr">
        <is>
          <t>양평땅진이서</t>
        </is>
      </c>
      <c r="T270" s="4" t="n">
        <v>1</v>
      </c>
      <c r="U270" s="5" t="n">
        <v>134.5</v>
      </c>
      <c r="V270" s="4" t="n">
        <v>555</v>
      </c>
      <c r="W270" s="3" t="inlineStr">
        <is>
          <t>지정되지않음</t>
        </is>
      </c>
      <c r="X270" s="3" t="inlineStr">
        <is>
          <t>주거기타</t>
        </is>
      </c>
      <c r="Y270" s="3" t="inlineStr">
        <is>
          <t>평지</t>
        </is>
      </c>
      <c r="Z270" s="3" t="inlineStr">
        <is>
          <t>사다리형</t>
        </is>
      </c>
      <c r="AA270" s="3" t="inlineStr">
        <is>
          <t>소로한면</t>
        </is>
      </c>
    </row>
    <row r="271">
      <c r="A271" s="3" t="inlineStr">
        <is>
          <t>연서면 월하리 1008-5</t>
        </is>
      </c>
      <c r="B271" s="3" t="inlineStr">
        <is>
          <t>제1종일반주거지역</t>
        </is>
      </c>
      <c r="C271" s="3" t="inlineStr">
        <is>
          <t>대</t>
        </is>
      </c>
      <c r="D271" s="3" t="inlineStr">
        <is>
          <t>3</t>
        </is>
      </c>
      <c r="E271" s="3" t="inlineStr">
        <is>
          <t>단독</t>
        </is>
      </c>
      <c r="F271" s="3" t="inlineStr">
        <is>
          <t>전세</t>
        </is>
      </c>
      <c r="G271" s="4" t="n">
        <v>17000</v>
      </c>
      <c r="H271" s="4" t="n">
        <v>0</v>
      </c>
      <c r="I271" s="4" t="n">
        <v>84</v>
      </c>
      <c r="J271" s="4" t="n">
        <v>25</v>
      </c>
      <c r="K271" s="5" t="n">
        <v>680</v>
      </c>
      <c r="L271" s="4" t="n">
        <v>84</v>
      </c>
      <c r="M271" s="4" t="n">
        <v>25</v>
      </c>
      <c r="N271" s="5" t="n">
        <v>680</v>
      </c>
      <c r="O271" s="3" t="inlineStr">
        <is>
          <t>nan</t>
        </is>
      </c>
      <c r="P271" s="6">
        <f>HYPERLINK("https://fin.land.naver.com/articles/2649752267", "매물Link")</f>
        <v/>
      </c>
      <c r="Q271" s="6">
        <f>HYPERLINK("https://map.naver.com/p/search/연서면 월하리 1008-5", "지도Link")</f>
        <v/>
      </c>
      <c r="R271" s="6">
        <f>HYPERLINK("http://www.eum.go.kr/web/ar/lu/luLandDet.jsp?pnu=3611036021110080005&amp;isNoScr=script&amp;mode=search", "토지이음")</f>
        <v/>
      </c>
      <c r="S271" s="3" t="inlineStr">
        <is>
          <t>뉴스카이</t>
        </is>
      </c>
      <c r="T271" s="4" t="n">
        <v>1</v>
      </c>
      <c r="U271" s="5" t="n">
        <v>184.8</v>
      </c>
      <c r="V271" s="4" t="n">
        <v>145</v>
      </c>
      <c r="W271" s="3" t="inlineStr">
        <is>
          <t>지정되지않음</t>
        </is>
      </c>
      <c r="X271" s="3" t="inlineStr">
        <is>
          <t>단독</t>
        </is>
      </c>
      <c r="Y271" s="3" t="inlineStr">
        <is>
          <t>평지</t>
        </is>
      </c>
      <c r="Z271" s="3" t="inlineStr">
        <is>
          <t>사다리형</t>
        </is>
      </c>
      <c r="AA271" s="3" t="inlineStr">
        <is>
          <t>세로한면(가)</t>
        </is>
      </c>
    </row>
    <row r="272">
      <c r="A272" s="3" t="inlineStr">
        <is>
          <t>연서면 월하리 1008-5</t>
        </is>
      </c>
      <c r="B272" s="3" t="inlineStr">
        <is>
          <t>제1종일반주거지역</t>
        </is>
      </c>
      <c r="C272" s="3" t="inlineStr">
        <is>
          <t>대</t>
        </is>
      </c>
      <c r="D272" s="3" t="inlineStr">
        <is>
          <t>2</t>
        </is>
      </c>
      <c r="E272" s="3" t="inlineStr">
        <is>
          <t>전원주택</t>
        </is>
      </c>
      <c r="F272" s="3" t="inlineStr">
        <is>
          <t>매매</t>
        </is>
      </c>
      <c r="G272" s="4" t="n">
        <v>30000</v>
      </c>
      <c r="H272" s="4" t="n">
        <v>0</v>
      </c>
      <c r="I272" s="4" t="n">
        <v>144</v>
      </c>
      <c r="J272" s="4" t="n">
        <v>44</v>
      </c>
      <c r="K272" s="5" t="n">
        <v>681.8</v>
      </c>
      <c r="L272" s="4" t="n">
        <v>84</v>
      </c>
      <c r="M272" s="4" t="n">
        <v>25</v>
      </c>
      <c r="N272" s="5" t="n">
        <v>1200</v>
      </c>
      <c r="O272" s="3" t="inlineStr">
        <is>
          <t>빠른입주, 전망 좋은 주택</t>
        </is>
      </c>
      <c r="P272" s="6">
        <f>HYPERLINK("https://fin.land.naver.com/articles/2651233233", "매물Link")</f>
        <v/>
      </c>
      <c r="Q272" s="6">
        <f>HYPERLINK("https://map.naver.com/p/search/연서면 월하리 1008-5", "지도Link")</f>
        <v/>
      </c>
      <c r="R272" s="6">
        <f>HYPERLINK("http://www.eum.go.kr/web/ar/lu/luLandDet.jsp?pnu=3611036021110080005&amp;isNoScr=script&amp;mode=search", "토지이음")</f>
        <v/>
      </c>
      <c r="S272" s="3" t="inlineStr">
        <is>
          <t>정인</t>
        </is>
      </c>
      <c r="T272" s="4" t="n">
        <v>1</v>
      </c>
      <c r="U272" s="5" t="n">
        <v>184.8</v>
      </c>
      <c r="V272" s="4" t="n">
        <v>145</v>
      </c>
      <c r="W272" s="3" t="inlineStr">
        <is>
          <t>지정되지않음</t>
        </is>
      </c>
      <c r="X272" s="3" t="inlineStr">
        <is>
          <t>단독</t>
        </is>
      </c>
      <c r="Y272" s="3" t="inlineStr">
        <is>
          <t>평지</t>
        </is>
      </c>
      <c r="Z272" s="3" t="inlineStr">
        <is>
          <t>사다리형</t>
        </is>
      </c>
      <c r="AA272" s="3" t="inlineStr">
        <is>
          <t>세로한면(가)</t>
        </is>
      </c>
    </row>
    <row r="273">
      <c r="A273" s="3" t="inlineStr">
        <is>
          <t>연서면 월하리 617</t>
        </is>
      </c>
      <c r="B273" s="3" t="inlineStr">
        <is>
          <t>자연녹지지역</t>
        </is>
      </c>
      <c r="C273" s="3" t="inlineStr">
        <is>
          <t>대</t>
        </is>
      </c>
      <c r="D273" s="3" t="inlineStr">
        <is>
          <t>2</t>
        </is>
      </c>
      <c r="E273" s="3" t="inlineStr">
        <is>
          <t>단독</t>
        </is>
      </c>
      <c r="F273" s="3" t="inlineStr">
        <is>
          <t>매매</t>
        </is>
      </c>
      <c r="G273" s="4" t="n">
        <v>60000</v>
      </c>
      <c r="H273" s="4" t="n">
        <v>0</v>
      </c>
      <c r="I273" s="4" t="n">
        <v>413</v>
      </c>
      <c r="J273" s="4" t="n">
        <v>125</v>
      </c>
      <c r="K273" s="5" t="n">
        <v>480</v>
      </c>
      <c r="L273" s="4" t="n">
        <v>296</v>
      </c>
      <c r="M273" s="4" t="n">
        <v>90</v>
      </c>
      <c r="N273" s="5" t="n">
        <v>666.7</v>
      </c>
      <c r="O273" s="3" t="inlineStr">
        <is>
          <t>1동 2동 단독주택 가격조정가능 입지좋아요</t>
        </is>
      </c>
      <c r="P273" s="6">
        <f>HYPERLINK("https://fin.land.naver.com/articles/2651366901", "매물Link")</f>
        <v/>
      </c>
      <c r="Q273" s="6">
        <f>HYPERLINK("https://map.naver.com/p/search/연서면 월하리 617", "지도Link")</f>
        <v/>
      </c>
      <c r="R273" s="6">
        <f>HYPERLINK("http://www.eum.go.kr/web/ar/lu/luLandDet.jsp?pnu=3611036021106170000&amp;isNoScr=script&amp;mode=search", "토지이음")</f>
        <v/>
      </c>
      <c r="S273" s="3" t="inlineStr">
        <is>
          <t>고운동리치세종</t>
        </is>
      </c>
      <c r="T273" s="4" t="n">
        <v>1</v>
      </c>
      <c r="U273" s="5" t="n">
        <v>157.5</v>
      </c>
      <c r="V273" s="4" t="n">
        <v>413</v>
      </c>
      <c r="W273" s="3" t="inlineStr">
        <is>
          <t>지정되지않음</t>
        </is>
      </c>
      <c r="X273" s="3" t="inlineStr">
        <is>
          <t>주거기타</t>
        </is>
      </c>
      <c r="Y273" s="3" t="inlineStr">
        <is>
          <t>평지</t>
        </is>
      </c>
      <c r="Z273" s="3" t="inlineStr">
        <is>
          <t>사다리형</t>
        </is>
      </c>
      <c r="AA273" s="3" t="inlineStr">
        <is>
          <t>세로한면(가)</t>
        </is>
      </c>
    </row>
    <row r="274">
      <c r="A274" s="3" t="inlineStr">
        <is>
          <t>연서면 월하리 618-1</t>
        </is>
      </c>
      <c r="B274" s="3" t="inlineStr">
        <is>
          <t>자연녹지지역</t>
        </is>
      </c>
      <c r="C274" s="3" t="inlineStr">
        <is>
          <t>대</t>
        </is>
      </c>
      <c r="D274" s="3" t="inlineStr">
        <is>
          <t>1</t>
        </is>
      </c>
      <c r="E274" s="3" t="inlineStr">
        <is>
          <t>연립</t>
        </is>
      </c>
      <c r="F274" s="3" t="inlineStr">
        <is>
          <t>매매</t>
        </is>
      </c>
      <c r="G274" s="4" t="n">
        <v>8000</v>
      </c>
      <c r="H274" s="4" t="n">
        <v>0</v>
      </c>
      <c r="I274" s="4" t="n">
        <v>54</v>
      </c>
      <c r="J274" s="4" t="n">
        <v>16</v>
      </c>
      <c r="K274" s="5" t="n">
        <v>500</v>
      </c>
      <c r="L274" s="4" t="n">
        <v>54</v>
      </c>
      <c r="M274" s="4" t="n">
        <v>16</v>
      </c>
      <c r="N274" s="5" t="n">
        <v>500</v>
      </c>
      <c r="O274" s="3" t="inlineStr">
        <is>
          <t>욕실,주방,거실,샷시까지 올리모델링됨,세입자끼고매매,소액투자</t>
        </is>
      </c>
      <c r="P274" s="6">
        <f>HYPERLINK("https://fin.land.naver.com/articles/2650717018", "매물Link")</f>
        <v/>
      </c>
      <c r="Q274" s="6">
        <f>HYPERLINK("https://map.naver.com/p/search/연서면 월하리 618-1", "지도Link")</f>
        <v/>
      </c>
      <c r="R274" s="6">
        <f>HYPERLINK("http://www.eum.go.kr/web/ar/lu/luLandDet.jsp?pnu=3611036021106180001&amp;isNoScr=script&amp;mode=search", "토지이음")</f>
        <v/>
      </c>
      <c r="S274" s="3" t="inlineStr">
        <is>
          <t>신안무소</t>
        </is>
      </c>
      <c r="T274" s="4" t="n">
        <v>1</v>
      </c>
      <c r="U274" s="5" t="n">
        <v>151.2</v>
      </c>
      <c r="V274" s="4" t="n">
        <v>281</v>
      </c>
      <c r="W274" s="3" t="inlineStr">
        <is>
          <t>지정되지않음</t>
        </is>
      </c>
      <c r="X274" s="3" t="inlineStr">
        <is>
          <t>다세대</t>
        </is>
      </c>
      <c r="Y274" s="3" t="inlineStr">
        <is>
          <t>평지</t>
        </is>
      </c>
      <c r="Z274" s="3" t="inlineStr">
        <is>
          <t>부정형</t>
        </is>
      </c>
      <c r="AA274" s="3" t="inlineStr">
        <is>
          <t>세로한면(가)</t>
        </is>
      </c>
    </row>
    <row r="275">
      <c r="A275" s="3" t="inlineStr">
        <is>
          <t>연서면 월하리 647</t>
        </is>
      </c>
      <c r="B275" s="3" t="inlineStr">
        <is>
          <t>자연녹지지역</t>
        </is>
      </c>
      <c r="C275" s="3" t="inlineStr">
        <is>
          <t>대</t>
        </is>
      </c>
      <c r="D275" s="3" t="inlineStr">
        <is>
          <t>1</t>
        </is>
      </c>
      <c r="E275" s="3" t="inlineStr">
        <is>
          <t>단독</t>
        </is>
      </c>
      <c r="F275" s="3" t="inlineStr">
        <is>
          <t>매매</t>
        </is>
      </c>
      <c r="G275" s="4" t="n">
        <v>21500</v>
      </c>
      <c r="H275" s="4" t="n">
        <v>0</v>
      </c>
      <c r="I275" s="4" t="n">
        <v>281</v>
      </c>
      <c r="J275" s="4" t="n">
        <v>85</v>
      </c>
      <c r="K275" s="5" t="n">
        <v>252.9</v>
      </c>
      <c r="L275" s="4" t="n">
        <v>70</v>
      </c>
      <c r="M275" s="4" t="n">
        <v>21</v>
      </c>
      <c r="N275" s="5" t="n">
        <v>1023.8</v>
      </c>
      <c r="O275" s="3" t="inlineStr">
        <is>
          <t>가장 중심 지역으로 8차선 1번국도옆, 와촌리 국가 산업 단지 근교,</t>
        </is>
      </c>
      <c r="P275" s="6">
        <f>HYPERLINK("https://fin.land.naver.com/articles/2649482835", "매물Link")</f>
        <v/>
      </c>
      <c r="Q275" s="6">
        <f>HYPERLINK("https://map.naver.com/p/search/연서면 월하리 647", "지도Link")</f>
        <v/>
      </c>
      <c r="R275" s="6">
        <f>HYPERLINK("http://www.eum.go.kr/web/ar/lu/luLandDet.jsp?pnu=3611036021106470000&amp;isNoScr=script&amp;mode=search", "토지이음")</f>
        <v/>
      </c>
      <c r="S275" s="3" t="inlineStr">
        <is>
          <t>꿈드림</t>
        </is>
      </c>
      <c r="T275" s="4" t="n">
        <v>1</v>
      </c>
      <c r="U275" s="5" t="n">
        <v>157.5</v>
      </c>
      <c r="V275" s="4" t="n">
        <v>281</v>
      </c>
      <c r="W275" s="3" t="inlineStr">
        <is>
          <t>지정되지않음</t>
        </is>
      </c>
      <c r="X275" s="3" t="inlineStr">
        <is>
          <t>단독</t>
        </is>
      </c>
      <c r="Y275" s="3" t="inlineStr">
        <is>
          <t>평지</t>
        </is>
      </c>
      <c r="Z275" s="3" t="inlineStr">
        <is>
          <t>사다리형</t>
        </is>
      </c>
      <c r="AA275" s="3" t="inlineStr">
        <is>
          <t>세로한면(가)</t>
        </is>
      </c>
    </row>
    <row r="276">
      <c r="A276" s="3" t="inlineStr">
        <is>
          <t>연서면 월하리 647</t>
        </is>
      </c>
      <c r="B276" s="3" t="inlineStr">
        <is>
          <t>자연녹지지역</t>
        </is>
      </c>
      <c r="C276" s="3" t="inlineStr">
        <is>
          <t>대</t>
        </is>
      </c>
      <c r="D276" s="3" t="inlineStr">
        <is>
          <t>1</t>
        </is>
      </c>
      <c r="E276" s="3" t="inlineStr">
        <is>
          <t>전원주택</t>
        </is>
      </c>
      <c r="F276" s="3" t="inlineStr">
        <is>
          <t>매매</t>
        </is>
      </c>
      <c r="G276" s="4" t="n">
        <v>22000</v>
      </c>
      <c r="H276" s="4" t="n">
        <v>0</v>
      </c>
      <c r="I276" s="4" t="n">
        <v>291</v>
      </c>
      <c r="J276" s="4" t="n">
        <v>88</v>
      </c>
      <c r="K276" s="5" t="n">
        <v>250</v>
      </c>
      <c r="L276" s="4" t="n">
        <v>70</v>
      </c>
      <c r="M276" s="4" t="n">
        <v>21</v>
      </c>
      <c r="N276" s="5" t="n">
        <v>1047.6</v>
      </c>
      <c r="O276" s="3" t="inlineStr">
        <is>
          <t>6차선도로 인접이며 상태 좋은 주택입니다</t>
        </is>
      </c>
      <c r="P276" s="6">
        <f>HYPERLINK("https://fin.land.naver.com/articles/2652095425", "매물Link")</f>
        <v/>
      </c>
      <c r="Q276" s="6">
        <f>HYPERLINK("https://map.naver.com/p/search/연서면 월하리 647", "지도Link")</f>
        <v/>
      </c>
      <c r="R276" s="6">
        <f>HYPERLINK("http://www.eum.go.kr/web/ar/lu/luLandDet.jsp?pnu=3611036021106470000&amp;isNoScr=script&amp;mode=search", "토지이음")</f>
        <v/>
      </c>
      <c r="S276" s="3" t="inlineStr">
        <is>
          <t>지호주식회사</t>
        </is>
      </c>
      <c r="T276" s="4" t="n">
        <v>1</v>
      </c>
      <c r="U276" s="5" t="n">
        <v>157.5</v>
      </c>
      <c r="V276" s="4" t="n">
        <v>281</v>
      </c>
      <c r="W276" s="3" t="inlineStr">
        <is>
          <t>지정되지않음</t>
        </is>
      </c>
      <c r="X276" s="3" t="inlineStr">
        <is>
          <t>단독</t>
        </is>
      </c>
      <c r="Y276" s="3" t="inlineStr">
        <is>
          <t>평지</t>
        </is>
      </c>
      <c r="Z276" s="3" t="inlineStr">
        <is>
          <t>사다리형</t>
        </is>
      </c>
      <c r="AA276" s="3" t="inlineStr">
        <is>
          <t>세로한면(가)</t>
        </is>
      </c>
    </row>
    <row r="277">
      <c r="A277" s="3" t="inlineStr">
        <is>
          <t>연서면 월하리 650-19</t>
        </is>
      </c>
      <c r="B277" s="3" t="inlineStr">
        <is>
          <t>자연녹지지역</t>
        </is>
      </c>
      <c r="C277" s="3" t="inlineStr">
        <is>
          <t>대</t>
        </is>
      </c>
      <c r="D277" s="3" t="inlineStr">
        <is>
          <t>2</t>
        </is>
      </c>
      <c r="E277" s="3" t="inlineStr">
        <is>
          <t>단독</t>
        </is>
      </c>
      <c r="F277" s="3" t="inlineStr">
        <is>
          <t>매매</t>
        </is>
      </c>
      <c r="G277" s="4" t="n">
        <v>30000</v>
      </c>
      <c r="H277" s="4" t="n">
        <v>0</v>
      </c>
      <c r="I277" s="4" t="n">
        <v>207</v>
      </c>
      <c r="J277" s="4" t="n">
        <v>63</v>
      </c>
      <c r="K277" s="5" t="n">
        <v>476.2</v>
      </c>
      <c r="L277" s="4" t="n">
        <v>82</v>
      </c>
      <c r="M277" s="4" t="n">
        <v>25</v>
      </c>
      <c r="N277" s="5" t="n">
        <v>1200</v>
      </c>
      <c r="O277" s="3" t="inlineStr">
        <is>
          <t>1번국도 인접한 교통좋고 깨끗한 2층단독주택.1층과 2층 모두 임대중.</t>
        </is>
      </c>
      <c r="P277" s="6">
        <f>HYPERLINK("https://fin.land.naver.com/articles/2653046906", "매물Link")</f>
        <v/>
      </c>
      <c r="Q277" s="6">
        <f>HYPERLINK("https://map.naver.com/p/search/연서면 월하리 650-19", "지도Link")</f>
        <v/>
      </c>
      <c r="R277" s="6">
        <f>HYPERLINK("http://www.eum.go.kr/web/ar/lu/luLandDet.jsp?pnu=3611036021106500019&amp;isNoScr=script&amp;mode=search", "토지이음")</f>
        <v/>
      </c>
      <c r="S277" s="3" t="inlineStr">
        <is>
          <t>세종대장</t>
        </is>
      </c>
      <c r="T277" s="4" t="n">
        <v>1</v>
      </c>
      <c r="U277" s="5" t="n">
        <v>157.5</v>
      </c>
      <c r="V277" s="4" t="n">
        <v>207</v>
      </c>
      <c r="W277" s="3" t="inlineStr">
        <is>
          <t>지정되지않음</t>
        </is>
      </c>
      <c r="X277" s="3" t="inlineStr">
        <is>
          <t>단독</t>
        </is>
      </c>
      <c r="Y277" s="3" t="inlineStr">
        <is>
          <t>평지</t>
        </is>
      </c>
      <c r="Z277" s="3" t="inlineStr">
        <is>
          <t>사다리형</t>
        </is>
      </c>
      <c r="AA277" s="3" t="inlineStr">
        <is>
          <t>세로한면(가)</t>
        </is>
      </c>
    </row>
    <row r="278">
      <c r="A278" s="3" t="inlineStr">
        <is>
          <t>연서면 월하리 805</t>
        </is>
      </c>
      <c r="B278" s="3" t="inlineStr">
        <is>
          <t>자연녹지지역</t>
        </is>
      </c>
      <c r="C278" s="3" t="inlineStr">
        <is>
          <t>대</t>
        </is>
      </c>
      <c r="D278" s="3" t="inlineStr">
        <is>
          <t>2</t>
        </is>
      </c>
      <c r="E278" s="3" t="inlineStr">
        <is>
          <t>상가주택</t>
        </is>
      </c>
      <c r="F278" s="3" t="inlineStr">
        <is>
          <t>매매</t>
        </is>
      </c>
      <c r="G278" s="4" t="n">
        <v>100000</v>
      </c>
      <c r="H278" s="4" t="n">
        <v>0</v>
      </c>
      <c r="I278" s="4" t="n">
        <v>637</v>
      </c>
      <c r="J278" s="4" t="n">
        <v>193</v>
      </c>
      <c r="K278" s="5" t="n">
        <v>518.1</v>
      </c>
      <c r="L278" s="4" t="n">
        <v>330</v>
      </c>
      <c r="M278" s="4" t="n">
        <v>100</v>
      </c>
      <c r="N278" s="5" t="n">
        <v>1000</v>
      </c>
      <c r="O278" s="3" t="inlineStr">
        <is>
          <t>자이 아파트에서  면사무소 가는길 2차선 변에 있음.</t>
        </is>
      </c>
      <c r="P278" s="6">
        <f>HYPERLINK("https://fin.land.naver.com/articles/2650807142", "매물Link")</f>
        <v/>
      </c>
      <c r="Q278" s="6">
        <f>HYPERLINK("https://map.naver.com/p/search/연서면 월하리 805", "지도Link")</f>
        <v/>
      </c>
      <c r="R278" s="6">
        <f>HYPERLINK("http://www.eum.go.kr/web/ar/lu/luLandDet.jsp?pnu=3611036021108050000&amp;isNoScr=script&amp;mode=search", "토지이음")</f>
        <v/>
      </c>
      <c r="S278" s="3" t="inlineStr">
        <is>
          <t>꿈드림</t>
        </is>
      </c>
      <c r="T278" s="4" t="n">
        <v>1</v>
      </c>
      <c r="U278" s="5" t="n">
        <v>242.8</v>
      </c>
      <c r="V278" s="4" t="n">
        <v>638</v>
      </c>
      <c r="W278" s="3" t="inlineStr">
        <is>
          <t>지정되지않음</t>
        </is>
      </c>
      <c r="X278" s="3" t="inlineStr">
        <is>
          <t>상업기타</t>
        </is>
      </c>
      <c r="Y278" s="3" t="inlineStr">
        <is>
          <t>평지</t>
        </is>
      </c>
      <c r="Z278" s="3" t="inlineStr">
        <is>
          <t>부정형</t>
        </is>
      </c>
      <c r="AA278" s="3" t="inlineStr">
        <is>
          <t>소로각지</t>
        </is>
      </c>
    </row>
    <row r="279">
      <c r="A279" s="3" t="inlineStr">
        <is>
          <t>조치원읍 교리 11-6</t>
        </is>
      </c>
      <c r="B279" s="3" t="inlineStr">
        <is>
          <t>제2종일반주거지역</t>
        </is>
      </c>
      <c r="C279" s="3" t="inlineStr">
        <is>
          <t>대</t>
        </is>
      </c>
      <c r="D279" s="3" t="inlineStr">
        <is>
          <t>4</t>
        </is>
      </c>
      <c r="E279" s="3" t="inlineStr">
        <is>
          <t>상가주택</t>
        </is>
      </c>
      <c r="F279" s="3" t="inlineStr">
        <is>
          <t>매매</t>
        </is>
      </c>
      <c r="G279" s="4" t="n">
        <v>150000</v>
      </c>
      <c r="H279" s="4" t="n">
        <v>0</v>
      </c>
      <c r="I279" s="4" t="n">
        <v>396</v>
      </c>
      <c r="J279" s="4" t="n">
        <v>120</v>
      </c>
      <c r="K279" s="5" t="n">
        <v>1250</v>
      </c>
      <c r="L279" s="4" t="n">
        <v>616</v>
      </c>
      <c r="M279" s="4" t="n">
        <v>186</v>
      </c>
      <c r="N279" s="5" t="n">
        <v>806.5</v>
      </c>
      <c r="O279" s="3" t="inlineStr">
        <is>
          <t>상가주택, 2가구, 상가임대1, 가격조정가능, 주차가능</t>
        </is>
      </c>
      <c r="P279" s="6">
        <f>HYPERLINK("https://fin.land.naver.com/articles/2650985563", "매물Link")</f>
        <v/>
      </c>
      <c r="Q279" s="6">
        <f>HYPERLINK("https://map.naver.com/p/search/조치원읍 교리 11-6", "지도Link")</f>
        <v/>
      </c>
      <c r="R279" s="6">
        <f>HYPERLINK("http://www.eum.go.kr/web/ar/lu/luLandDet.jsp?pnu=3611025024100110006&amp;isNoScr=script&amp;mode=search", "토지이음")</f>
        <v/>
      </c>
      <c r="S279" s="3" t="inlineStr">
        <is>
          <t>엄마와딸</t>
        </is>
      </c>
      <c r="T279" s="4" t="n">
        <v>1</v>
      </c>
      <c r="U279" s="5" t="n">
        <v>283.3</v>
      </c>
      <c r="V279" s="4" t="n">
        <v>396.4</v>
      </c>
      <c r="W279" s="3" t="inlineStr">
        <is>
          <t>지정되지않음</t>
        </is>
      </c>
      <c r="X279" s="3" t="inlineStr">
        <is>
          <t>주상용</t>
        </is>
      </c>
      <c r="Y279" s="3" t="inlineStr">
        <is>
          <t>평지</t>
        </is>
      </c>
      <c r="Z279" s="3" t="inlineStr">
        <is>
          <t>세로장방</t>
        </is>
      </c>
      <c r="AA279" s="3" t="inlineStr">
        <is>
          <t>중로각지</t>
        </is>
      </c>
    </row>
    <row r="280">
      <c r="A280" s="3" t="inlineStr">
        <is>
          <t>조치원읍 교리 13-14</t>
        </is>
      </c>
      <c r="B280" s="3" t="inlineStr">
        <is>
          <t>준주거지역</t>
        </is>
      </c>
      <c r="C280" s="3" t="inlineStr">
        <is>
          <t>대</t>
        </is>
      </c>
      <c r="D280" s="3" t="inlineStr">
        <is>
          <t>2</t>
        </is>
      </c>
      <c r="E280" s="3" t="inlineStr">
        <is>
          <t>다가구</t>
        </is>
      </c>
      <c r="F280" s="3" t="inlineStr">
        <is>
          <t>월세</t>
        </is>
      </c>
      <c r="G280" s="4" t="n">
        <v>200</v>
      </c>
      <c r="H280" s="4" t="n">
        <v>31</v>
      </c>
      <c r="I280" s="4" t="n">
        <v>26</v>
      </c>
      <c r="J280" s="4" t="n">
        <v>8</v>
      </c>
      <c r="K280" s="5" t="n">
        <v>3.9</v>
      </c>
      <c r="L280" s="4" t="n">
        <v>26</v>
      </c>
      <c r="M280" s="4" t="n">
        <v>8</v>
      </c>
      <c r="N280" s="5" t="n">
        <v>3.9</v>
      </c>
      <c r="O280" s="3" t="inlineStr">
        <is>
          <t>넒은 원룸이며, 조치원시장, 조치원역 옆에 위치하여 교통 편리</t>
        </is>
      </c>
      <c r="P280" s="6">
        <f>HYPERLINK("https://fin.land.naver.com/articles/2653987786", "매물Link")</f>
        <v/>
      </c>
      <c r="Q280" s="6">
        <f>HYPERLINK("https://map.naver.com/p/search/조치원읍 교리 13-14", "지도Link")</f>
        <v/>
      </c>
      <c r="R280" s="6">
        <f>HYPERLINK("http://www.eum.go.kr/web/ar/lu/luLandDet.jsp?pnu=3611025024100130014&amp;isNoScr=script&amp;mode=search", "토지이음")</f>
        <v/>
      </c>
      <c r="S280" s="3" t="inlineStr">
        <is>
          <t>세종베스트</t>
        </is>
      </c>
      <c r="T280" s="4" t="n">
        <v>1</v>
      </c>
      <c r="U280" s="5" t="n">
        <v>377.9</v>
      </c>
      <c r="V280" s="4" t="n">
        <v>305.1</v>
      </c>
      <c r="W280" s="3" t="inlineStr">
        <is>
          <t>지정되지않음</t>
        </is>
      </c>
      <c r="X280" s="3" t="inlineStr">
        <is>
          <t>주상나지</t>
        </is>
      </c>
      <c r="Y280" s="3" t="inlineStr">
        <is>
          <t>평지</t>
        </is>
      </c>
      <c r="Z280" s="3" t="inlineStr">
        <is>
          <t>가로장방</t>
        </is>
      </c>
      <c r="AA280" s="3" t="inlineStr">
        <is>
          <t>소로각지</t>
        </is>
      </c>
    </row>
    <row r="281">
      <c r="A281" s="3" t="inlineStr">
        <is>
          <t>조치원읍 교리 13-15</t>
        </is>
      </c>
      <c r="B281" s="3" t="inlineStr">
        <is>
          <t>준주거지역</t>
        </is>
      </c>
      <c r="C281" s="3" t="inlineStr">
        <is>
          <t>대</t>
        </is>
      </c>
      <c r="D281" s="3" t="inlineStr">
        <is>
          <t>0</t>
        </is>
      </c>
      <c r="E281" s="3" t="inlineStr">
        <is>
          <t>일반원룸</t>
        </is>
      </c>
      <c r="F281" s="3" t="inlineStr">
        <is>
          <t>월세</t>
        </is>
      </c>
      <c r="G281" s="4" t="n">
        <v>300</v>
      </c>
      <c r="H281" s="4" t="n">
        <v>60</v>
      </c>
      <c r="I281" s="4" t="n">
        <v>0</v>
      </c>
      <c r="J281" s="4" t="n">
        <v>0</v>
      </c>
      <c r="K281" s="5" t="n">
        <v>0</v>
      </c>
      <c r="L281" s="4" t="n">
        <v>49</v>
      </c>
      <c r="M281" s="4" t="n">
        <v>15</v>
      </c>
      <c r="N281" s="5" t="n">
        <v>4</v>
      </c>
      <c r="O281" s="3" t="inlineStr">
        <is>
          <t>역세권 투룸 방볼수있어요</t>
        </is>
      </c>
      <c r="P281" s="6">
        <f>HYPERLINK("https://fin.land.naver.com/articles/2653929800", "매물Link")</f>
        <v/>
      </c>
      <c r="Q281" s="6">
        <f>HYPERLINK("https://map.naver.com/p/search/조치원읍 교리 13-15", "지도Link")</f>
        <v/>
      </c>
      <c r="R281" s="6">
        <f>HYPERLINK("http://www.eum.go.kr/web/ar/lu/luLandDet.jsp?pnu=3611025024100130015&amp;isNoScr=script&amp;mode=search", "토지이음")</f>
        <v/>
      </c>
      <c r="S281" s="3" t="inlineStr">
        <is>
          <t>척척</t>
        </is>
      </c>
      <c r="T281" s="4" t="n">
        <v>1</v>
      </c>
      <c r="U281" s="5" t="n">
        <v>316.3</v>
      </c>
      <c r="V281" s="4" t="n">
        <v>360.9</v>
      </c>
      <c r="W281" s="3" t="inlineStr">
        <is>
          <t>지정되지않음</t>
        </is>
      </c>
      <c r="X281" s="3" t="inlineStr">
        <is>
          <t>주상나지</t>
        </is>
      </c>
      <c r="Y281" s="3" t="inlineStr">
        <is>
          <t>평지</t>
        </is>
      </c>
      <c r="Z281" s="3" t="inlineStr">
        <is>
          <t>세로장방</t>
        </is>
      </c>
      <c r="AA281" s="3" t="inlineStr">
        <is>
          <t>세로한면(가)</t>
        </is>
      </c>
    </row>
    <row r="282">
      <c r="A282" s="3" t="inlineStr">
        <is>
          <t>조치원읍 교리 16-11</t>
        </is>
      </c>
      <c r="B282" s="3" t="inlineStr">
        <is>
          <t>제2종일반주거지역</t>
        </is>
      </c>
      <c r="C282" s="3" t="inlineStr">
        <is>
          <t>대</t>
        </is>
      </c>
      <c r="D282" s="3" t="inlineStr">
        <is>
          <t>2</t>
        </is>
      </c>
      <c r="E282" s="3" t="inlineStr">
        <is>
          <t>일반원룸</t>
        </is>
      </c>
      <c r="F282" s="3" t="inlineStr">
        <is>
          <t>월세</t>
        </is>
      </c>
      <c r="G282" s="4" t="n">
        <v>200</v>
      </c>
      <c r="H282" s="4" t="n">
        <v>30</v>
      </c>
      <c r="I282" s="4" t="n">
        <v>0</v>
      </c>
      <c r="J282" s="4" t="n">
        <v>0</v>
      </c>
      <c r="K282" s="5" t="n">
        <v>0</v>
      </c>
      <c r="L282" s="4" t="n">
        <v>23</v>
      </c>
      <c r="M282" s="4" t="n">
        <v>7</v>
      </c>
      <c r="N282" s="5" t="n">
        <v>4.3</v>
      </c>
      <c r="O282" s="3" t="inlineStr">
        <is>
          <t>메가박스 뒷편 조치원역 도보거리</t>
        </is>
      </c>
      <c r="P282" s="6">
        <f>HYPERLINK("https://fin.land.naver.com/articles/2652852845", "매물Link")</f>
        <v/>
      </c>
      <c r="Q282" s="6">
        <f>HYPERLINK("https://map.naver.com/p/search/조치원읍 교리 16-11", "지도Link")</f>
        <v/>
      </c>
      <c r="R282" s="6">
        <f>HYPERLINK("http://www.eum.go.kr/web/ar/lu/luLandDet.jsp?pnu=3611025024100160011&amp;isNoScr=script&amp;mode=search", "토지이음")</f>
        <v/>
      </c>
      <c r="S282" s="3" t="inlineStr">
        <is>
          <t>척척</t>
        </is>
      </c>
      <c r="T282" s="4" t="n">
        <v>1</v>
      </c>
      <c r="U282" s="5" t="n">
        <v>367.3</v>
      </c>
      <c r="V282" s="4" t="n">
        <v>445</v>
      </c>
      <c r="W282" s="3" t="inlineStr">
        <is>
          <t>지정되지않음</t>
        </is>
      </c>
      <c r="X282" s="3" t="inlineStr">
        <is>
          <t>상업나지</t>
        </is>
      </c>
      <c r="Y282" s="3" t="inlineStr">
        <is>
          <t>평지</t>
        </is>
      </c>
      <c r="Z282" s="3" t="inlineStr">
        <is>
          <t>가로장방</t>
        </is>
      </c>
      <c r="AA282" s="3" t="inlineStr">
        <is>
          <t>소로각지</t>
        </is>
      </c>
    </row>
    <row r="283">
      <c r="A283" s="3" t="inlineStr">
        <is>
          <t>조치원읍 교리 16-6</t>
        </is>
      </c>
      <c r="B283" s="3" t="inlineStr">
        <is>
          <t>제2종일반주거지역</t>
        </is>
      </c>
      <c r="C283" s="3" t="inlineStr">
        <is>
          <t>대</t>
        </is>
      </c>
      <c r="D283" s="3" t="inlineStr">
        <is>
          <t>2</t>
        </is>
      </c>
      <c r="E283" s="3" t="inlineStr">
        <is>
          <t>일반원룸</t>
        </is>
      </c>
      <c r="F283" s="3" t="inlineStr">
        <is>
          <t>월세</t>
        </is>
      </c>
      <c r="G283" s="4" t="n">
        <v>500</v>
      </c>
      <c r="H283" s="4" t="n">
        <v>45</v>
      </c>
      <c r="I283" s="4" t="n">
        <v>0</v>
      </c>
      <c r="J283" s="4" t="n">
        <v>0</v>
      </c>
      <c r="K283" s="5" t="n">
        <v>0</v>
      </c>
      <c r="L283" s="4" t="n">
        <v>29</v>
      </c>
      <c r="M283" s="4" t="n">
        <v>9</v>
      </c>
      <c r="N283" s="5" t="n">
        <v>5</v>
      </c>
      <c r="O283" s="3" t="inlineStr">
        <is>
          <t>역세권 투베이</t>
        </is>
      </c>
      <c r="P283" s="6">
        <f>HYPERLINK("https://fin.land.naver.com/articles/2654006172", "매물Link")</f>
        <v/>
      </c>
      <c r="Q283" s="6">
        <f>HYPERLINK("https://map.naver.com/p/search/조치원읍 교리 16-6", "지도Link")</f>
        <v/>
      </c>
      <c r="R283" s="6">
        <f>HYPERLINK("http://www.eum.go.kr/web/ar/lu/luLandDet.jsp?pnu=3611025024100160006&amp;isNoScr=script&amp;mode=search", "토지이음")</f>
        <v/>
      </c>
      <c r="S283" s="3" t="inlineStr">
        <is>
          <t>척척</t>
        </is>
      </c>
      <c r="T283" s="4" t="n">
        <v>1</v>
      </c>
      <c r="U283" s="5" t="n">
        <v>316.7</v>
      </c>
      <c r="V283" s="4" t="n">
        <v>435.7</v>
      </c>
      <c r="W283" s="3" t="inlineStr">
        <is>
          <t>지정되지않음</t>
        </is>
      </c>
      <c r="X283" s="3" t="inlineStr">
        <is>
          <t>상업용</t>
        </is>
      </c>
      <c r="Y283" s="3" t="inlineStr">
        <is>
          <t>평지</t>
        </is>
      </c>
      <c r="Z283" s="3" t="inlineStr">
        <is>
          <t>세로장방</t>
        </is>
      </c>
      <c r="AA283" s="3" t="inlineStr">
        <is>
          <t>세로한면(가)</t>
        </is>
      </c>
    </row>
    <row r="284">
      <c r="A284" s="3" t="inlineStr">
        <is>
          <t>조치원읍 교리 18-13</t>
        </is>
      </c>
      <c r="B284" s="3" t="inlineStr">
        <is>
          <t>제2종일반주거지역</t>
        </is>
      </c>
      <c r="C284" s="3" t="inlineStr">
        <is>
          <t>대</t>
        </is>
      </c>
      <c r="D284" s="3" t="inlineStr">
        <is>
          <t>2</t>
        </is>
      </c>
      <c r="E284" s="3" t="inlineStr">
        <is>
          <t>단독</t>
        </is>
      </c>
      <c r="F284" s="3" t="inlineStr">
        <is>
          <t>매매</t>
        </is>
      </c>
      <c r="G284" s="4" t="n">
        <v>25000</v>
      </c>
      <c r="H284" s="4" t="n">
        <v>0</v>
      </c>
      <c r="I284" s="4" t="n">
        <v>140</v>
      </c>
      <c r="J284" s="4" t="n">
        <v>42</v>
      </c>
      <c r="K284" s="5" t="n">
        <v>595.2</v>
      </c>
      <c r="L284" s="4" t="n">
        <v>119</v>
      </c>
      <c r="M284" s="4" t="n">
        <v>36</v>
      </c>
      <c r="N284" s="5" t="n">
        <v>694.4</v>
      </c>
      <c r="O284" s="3" t="inlineStr">
        <is>
          <t>행정복지센터 인근,2층 단독주택 매매</t>
        </is>
      </c>
      <c r="P284" s="6">
        <f>HYPERLINK("https://fin.land.naver.com/articles/2654473669", "매물Link")</f>
        <v/>
      </c>
      <c r="Q284" s="6">
        <f>HYPERLINK("https://map.naver.com/p/search/조치원읍 교리 18-13", "지도Link")</f>
        <v/>
      </c>
      <c r="R284" s="6">
        <f>HYPERLINK("http://www.eum.go.kr/web/ar/lu/luLandDet.jsp?pnu=3611025024100180013&amp;isNoScr=script&amp;mode=search", "토지이음")</f>
        <v/>
      </c>
      <c r="S284" s="3" t="inlineStr">
        <is>
          <t>이음 사무소</t>
        </is>
      </c>
      <c r="T284" s="4" t="n">
        <v>1</v>
      </c>
      <c r="U284" s="5" t="n">
        <v>229.1</v>
      </c>
      <c r="V284" s="4" t="n">
        <v>140.8</v>
      </c>
      <c r="W284" s="3" t="inlineStr">
        <is>
          <t>지정되지않음</t>
        </is>
      </c>
      <c r="X284" s="3" t="inlineStr">
        <is>
          <t>단독</t>
        </is>
      </c>
      <c r="Y284" s="3" t="inlineStr">
        <is>
          <t>평지</t>
        </is>
      </c>
      <c r="Z284" s="3" t="inlineStr">
        <is>
          <t>가로장방</t>
        </is>
      </c>
      <c r="AA284" s="3" t="inlineStr">
        <is>
          <t>소로한면</t>
        </is>
      </c>
    </row>
    <row r="285">
      <c r="A285" s="3" t="inlineStr">
        <is>
          <t>조치원읍 교리 2-2</t>
        </is>
      </c>
      <c r="B285" s="3" t="inlineStr">
        <is>
          <t>제2종일반주거지역</t>
        </is>
      </c>
      <c r="C285" s="3" t="inlineStr">
        <is>
          <t>대</t>
        </is>
      </c>
      <c r="D285" s="3" t="inlineStr">
        <is>
          <t>2</t>
        </is>
      </c>
      <c r="E285" s="3" t="inlineStr">
        <is>
          <t>단독</t>
        </is>
      </c>
      <c r="F285" s="3" t="inlineStr">
        <is>
          <t>매매</t>
        </is>
      </c>
      <c r="G285" s="4" t="n">
        <v>60000</v>
      </c>
      <c r="H285" s="4" t="n">
        <v>0</v>
      </c>
      <c r="I285" s="4" t="n">
        <v>285</v>
      </c>
      <c r="J285" s="4" t="n">
        <v>86</v>
      </c>
      <c r="K285" s="5" t="n">
        <v>697.7</v>
      </c>
      <c r="L285" s="4" t="n">
        <v>201</v>
      </c>
      <c r="M285" s="4" t="n">
        <v>61</v>
      </c>
      <c r="N285" s="5" t="n">
        <v>983.6</v>
      </c>
      <c r="O285" s="3" t="inlineStr">
        <is>
          <t>문화정원 앞, 코너 2층단독주택, 옆동건축물로 월세수입 가능</t>
        </is>
      </c>
      <c r="P285" s="6">
        <f>HYPERLINK("https://fin.land.naver.com/articles/2651076917", "매물Link")</f>
        <v/>
      </c>
      <c r="Q285" s="6">
        <f>HYPERLINK("https://map.naver.com/p/search/조치원읍 교리 2-2", "지도Link")</f>
        <v/>
      </c>
      <c r="R285" s="6">
        <f>HYPERLINK("http://www.eum.go.kr/web/ar/lu/luLandDet.jsp?pnu=3611025024100020002&amp;isNoScr=script&amp;mode=search", "토지이음")</f>
        <v/>
      </c>
      <c r="S285" s="3" t="inlineStr">
        <is>
          <t>다옴</t>
        </is>
      </c>
      <c r="T285" s="4" t="n">
        <v>1</v>
      </c>
      <c r="U285" s="5" t="n">
        <v>302.8</v>
      </c>
      <c r="V285" s="4" t="n">
        <v>285.6</v>
      </c>
      <c r="W285" s="3" t="inlineStr">
        <is>
          <t>지정되지않음</t>
        </is>
      </c>
      <c r="X285" s="3" t="inlineStr">
        <is>
          <t>주상용</t>
        </is>
      </c>
      <c r="Y285" s="3" t="inlineStr">
        <is>
          <t>평지</t>
        </is>
      </c>
      <c r="Z285" s="3" t="inlineStr">
        <is>
          <t>사다리형</t>
        </is>
      </c>
      <c r="AA285" s="3" t="inlineStr">
        <is>
          <t>소로각지</t>
        </is>
      </c>
    </row>
    <row r="286">
      <c r="A286" s="3" t="inlineStr">
        <is>
          <t>조치원읍 교리 2-27</t>
        </is>
      </c>
      <c r="B286" s="3" t="inlineStr">
        <is>
          <t>제2종일반주거지역</t>
        </is>
      </c>
      <c r="C286" s="3" t="inlineStr">
        <is>
          <t>대</t>
        </is>
      </c>
      <c r="D286" s="3" t="inlineStr">
        <is>
          <t>1</t>
        </is>
      </c>
      <c r="E286" s="3" t="inlineStr">
        <is>
          <t>단독</t>
        </is>
      </c>
      <c r="F286" s="3" t="inlineStr">
        <is>
          <t>월세</t>
        </is>
      </c>
      <c r="G286" s="4" t="n">
        <v>100</v>
      </c>
      <c r="H286" s="4" t="n">
        <v>25</v>
      </c>
      <c r="I286" s="4" t="n">
        <v>23</v>
      </c>
      <c r="J286" s="4" t="n">
        <v>7</v>
      </c>
      <c r="K286" s="5" t="n">
        <v>3.6</v>
      </c>
      <c r="L286" s="4" t="n">
        <v>23</v>
      </c>
      <c r="M286" s="4" t="n">
        <v>7</v>
      </c>
      <c r="N286" s="5" t="n">
        <v>3.6</v>
      </c>
      <c r="O286" s="3" t="inlineStr">
        <is>
          <t>교동초 근처 저렴한 원룸 즉시입주가능합니다</t>
        </is>
      </c>
      <c r="P286" s="6">
        <f>HYPERLINK("https://fin.land.naver.com/articles/2651708073", "매물Link")</f>
        <v/>
      </c>
      <c r="Q286" s="6">
        <f>HYPERLINK("https://map.naver.com/p/search/조치원읍 교리 2-27", "지도Link")</f>
        <v/>
      </c>
      <c r="R286" s="6">
        <f>HYPERLINK("http://www.eum.go.kr/web/ar/lu/luLandDet.jsp?pnu=3611025024100020027&amp;isNoScr=script&amp;mode=search", "토지이음")</f>
        <v/>
      </c>
      <c r="S286" s="3" t="inlineStr">
        <is>
          <t>OK수</t>
        </is>
      </c>
      <c r="T286" s="4" t="n">
        <v>2</v>
      </c>
      <c r="U286" s="5" t="n">
        <v>199.8</v>
      </c>
      <c r="V286" s="4" t="n">
        <v>330.6</v>
      </c>
      <c r="W286" s="3" t="inlineStr">
        <is>
          <t>지정되지않음</t>
        </is>
      </c>
      <c r="X286" s="3" t="inlineStr">
        <is>
          <t>단독</t>
        </is>
      </c>
      <c r="Y286" s="3" t="inlineStr">
        <is>
          <t>평지</t>
        </is>
      </c>
      <c r="Z286" s="3" t="inlineStr">
        <is>
          <t>정방형</t>
        </is>
      </c>
      <c r="AA286" s="3" t="inlineStr">
        <is>
          <t>세로한면(가)</t>
        </is>
      </c>
    </row>
    <row r="287">
      <c r="A287" s="3" t="inlineStr">
        <is>
          <t>조치원읍 교리 20-10</t>
        </is>
      </c>
      <c r="B287" s="3" t="inlineStr">
        <is>
          <t>제2종일반주거지역</t>
        </is>
      </c>
      <c r="C287" s="3" t="inlineStr">
        <is>
          <t>대</t>
        </is>
      </c>
      <c r="D287" s="3" t="inlineStr">
        <is>
          <t>2</t>
        </is>
      </c>
      <c r="E287" s="3" t="inlineStr">
        <is>
          <t>상가주택</t>
        </is>
      </c>
      <c r="F287" s="3" t="inlineStr">
        <is>
          <t>매매</t>
        </is>
      </c>
      <c r="G287" s="4" t="n">
        <v>46000</v>
      </c>
      <c r="H287" s="4" t="n">
        <v>0</v>
      </c>
      <c r="I287" s="4" t="n">
        <v>168</v>
      </c>
      <c r="J287" s="4" t="n">
        <v>51</v>
      </c>
      <c r="K287" s="5" t="n">
        <v>902</v>
      </c>
      <c r="L287" s="4" t="n">
        <v>197</v>
      </c>
      <c r="M287" s="4" t="n">
        <v>60</v>
      </c>
      <c r="N287" s="5" t="n">
        <v>766.7</v>
      </c>
      <c r="O287" s="3" t="inlineStr">
        <is>
          <t>리모델링된 상가주택매매입니다.월세 수익 받으시면서 실거주해보세요.</t>
        </is>
      </c>
      <c r="P287" s="6">
        <f>HYPERLINK("https://fin.land.naver.com/articles/2652491110", "매물Link")</f>
        <v/>
      </c>
      <c r="Q287" s="6">
        <f>HYPERLINK("https://map.naver.com/p/search/조치원읍 교리 20-10", "지도Link")</f>
        <v/>
      </c>
      <c r="R287" s="6">
        <f>HYPERLINK("http://www.eum.go.kr/web/ar/lu/luLandDet.jsp?pnu=3611025024100200010&amp;isNoScr=script&amp;mode=search", "토지이음")</f>
        <v/>
      </c>
      <c r="S287" s="3" t="inlineStr">
        <is>
          <t>이음</t>
        </is>
      </c>
      <c r="T287" s="4" t="n">
        <v>1</v>
      </c>
      <c r="U287" s="5" t="n">
        <v>367.3</v>
      </c>
      <c r="V287" s="4" t="n">
        <v>168.6</v>
      </c>
      <c r="W287" s="3" t="inlineStr">
        <is>
          <t>지정되지않음</t>
        </is>
      </c>
      <c r="X287" s="3" t="inlineStr">
        <is>
          <t>상업용</t>
        </is>
      </c>
      <c r="Y287" s="3" t="inlineStr">
        <is>
          <t>평지</t>
        </is>
      </c>
      <c r="Z287" s="3" t="inlineStr">
        <is>
          <t>가로장방</t>
        </is>
      </c>
      <c r="AA287" s="3" t="inlineStr">
        <is>
          <t>소로각지</t>
        </is>
      </c>
    </row>
    <row r="288">
      <c r="A288" s="3" t="inlineStr">
        <is>
          <t>조치원읍 교리 20-12</t>
        </is>
      </c>
      <c r="B288" s="3" t="inlineStr">
        <is>
          <t>제2종일반주거지역</t>
        </is>
      </c>
      <c r="C288" s="3" t="inlineStr">
        <is>
          <t>대</t>
        </is>
      </c>
      <c r="D288" s="3" t="inlineStr">
        <is>
          <t>2</t>
        </is>
      </c>
      <c r="E288" s="3" t="inlineStr">
        <is>
          <t>상가주택</t>
        </is>
      </c>
      <c r="F288" s="3" t="inlineStr">
        <is>
          <t>월세</t>
        </is>
      </c>
      <c r="G288" s="4" t="n">
        <v>1000</v>
      </c>
      <c r="H288" s="4" t="n">
        <v>60</v>
      </c>
      <c r="I288" s="4" t="n">
        <v>55</v>
      </c>
      <c r="J288" s="4" t="n">
        <v>17</v>
      </c>
      <c r="K288" s="5" t="n">
        <v>3.5</v>
      </c>
      <c r="L288" s="4" t="n">
        <v>55</v>
      </c>
      <c r="M288" s="4" t="n">
        <v>17</v>
      </c>
      <c r="N288" s="5" t="n">
        <v>3.5</v>
      </c>
      <c r="O288" s="3" t="inlineStr">
        <is>
          <t>조치원 중심가 위치,역 근처 상권 및 편의시설 이용 좋음.</t>
        </is>
      </c>
      <c r="P288" s="6">
        <f>HYPERLINK("https://fin.land.naver.com/articles/2651984055", "매물Link")</f>
        <v/>
      </c>
      <c r="Q288" s="6">
        <f>HYPERLINK("https://map.naver.com/p/search/조치원읍 교리 20-12", "지도Link")</f>
        <v/>
      </c>
      <c r="R288" s="6">
        <f>HYPERLINK("http://www.eum.go.kr/web/ar/lu/luLandDet.jsp?pnu=3611025024100200012&amp;isNoScr=script&amp;mode=search", "토지이음")</f>
        <v/>
      </c>
      <c r="S288" s="3" t="inlineStr">
        <is>
          <t>베스트매경</t>
        </is>
      </c>
      <c r="T288" s="4" t="n">
        <v>1</v>
      </c>
      <c r="U288" s="5" t="n">
        <v>352.7</v>
      </c>
      <c r="V288" s="4" t="n">
        <v>138.8</v>
      </c>
      <c r="W288" s="3" t="inlineStr">
        <is>
          <t>지정되지않음</t>
        </is>
      </c>
      <c r="X288" s="3" t="inlineStr">
        <is>
          <t>상업나지</t>
        </is>
      </c>
      <c r="Y288" s="3" t="inlineStr">
        <is>
          <t>평지</t>
        </is>
      </c>
      <c r="Z288" s="3" t="inlineStr">
        <is>
          <t>세로장방</t>
        </is>
      </c>
      <c r="AA288" s="3" t="inlineStr">
        <is>
          <t>소로한면</t>
        </is>
      </c>
    </row>
    <row r="289">
      <c r="A289" s="3" t="inlineStr">
        <is>
          <t>조치원읍 교리 23-9</t>
        </is>
      </c>
      <c r="B289" s="3" t="inlineStr">
        <is>
          <t>일반상업지역</t>
        </is>
      </c>
      <c r="C289" s="3" t="inlineStr">
        <is>
          <t>대</t>
        </is>
      </c>
      <c r="D289" s="3" t="inlineStr">
        <is>
          <t>3</t>
        </is>
      </c>
      <c r="E289" s="3" t="inlineStr">
        <is>
          <t>단독</t>
        </is>
      </c>
      <c r="F289" s="3" t="inlineStr">
        <is>
          <t>매매</t>
        </is>
      </c>
      <c r="G289" s="4" t="n">
        <v>65000</v>
      </c>
      <c r="H289" s="4" t="n">
        <v>0</v>
      </c>
      <c r="I289" s="4" t="n">
        <v>192</v>
      </c>
      <c r="J289" s="4" t="n">
        <v>58</v>
      </c>
      <c r="K289" s="5" t="n">
        <v>1120.7</v>
      </c>
      <c r="L289" s="4" t="n">
        <v>385</v>
      </c>
      <c r="M289" s="4" t="n">
        <v>116</v>
      </c>
      <c r="N289" s="5" t="n">
        <v>560.3</v>
      </c>
      <c r="O289" s="3" t="inlineStr">
        <is>
          <t>메가박스 뒷편 용우동 상가건물 급매매</t>
        </is>
      </c>
      <c r="P289" s="6">
        <f>HYPERLINK("https://fin.land.naver.com/articles/2654393581", "매물Link")</f>
        <v/>
      </c>
      <c r="Q289" s="6">
        <f>HYPERLINK("https://map.naver.com/p/search/조치원읍 교리 23-9", "지도Link")</f>
        <v/>
      </c>
      <c r="R289" s="6">
        <f>HYPERLINK("http://www.eum.go.kr/web/ar/lu/luLandDet.jsp?pnu=3611025024100230009&amp;isNoScr=script&amp;mode=search", "토지이음")</f>
        <v/>
      </c>
      <c r="S289" s="3" t="inlineStr">
        <is>
          <t>척척</t>
        </is>
      </c>
      <c r="T289" s="4" t="n">
        <v>1</v>
      </c>
      <c r="U289" s="5" t="n">
        <v>410.9</v>
      </c>
      <c r="V289" s="4" t="n">
        <v>192.7</v>
      </c>
      <c r="W289" s="3" t="inlineStr">
        <is>
          <t>지정되지않음</t>
        </is>
      </c>
      <c r="X289" s="3" t="inlineStr">
        <is>
          <t>상업용</t>
        </is>
      </c>
      <c r="Y289" s="3" t="inlineStr">
        <is>
          <t>평지</t>
        </is>
      </c>
      <c r="Z289" s="3" t="inlineStr">
        <is>
          <t>정방형</t>
        </is>
      </c>
      <c r="AA289" s="3" t="inlineStr">
        <is>
          <t>세로한면(가)</t>
        </is>
      </c>
    </row>
    <row r="290">
      <c r="A290" s="3" t="inlineStr">
        <is>
          <t>조치원읍 교리 25-8</t>
        </is>
      </c>
      <c r="B290" s="3" t="inlineStr">
        <is>
          <t>준주거지역</t>
        </is>
      </c>
      <c r="C290" s="3" t="inlineStr">
        <is>
          <t>대</t>
        </is>
      </c>
      <c r="D290" s="3" t="inlineStr">
        <is>
          <t>3</t>
        </is>
      </c>
      <c r="E290" s="3" t="inlineStr">
        <is>
          <t>상가주택</t>
        </is>
      </c>
      <c r="F290" s="3" t="inlineStr">
        <is>
          <t>월세</t>
        </is>
      </c>
      <c r="G290" s="4" t="n">
        <v>500</v>
      </c>
      <c r="H290" s="4" t="n">
        <v>40</v>
      </c>
      <c r="I290" s="4" t="n">
        <v>69</v>
      </c>
      <c r="J290" s="4" t="n">
        <v>21</v>
      </c>
      <c r="K290" s="5" t="n">
        <v>1.9</v>
      </c>
      <c r="L290" s="4" t="n">
        <v>69</v>
      </c>
      <c r="M290" s="4" t="n">
        <v>21</v>
      </c>
      <c r="N290" s="5" t="n">
        <v>1.9</v>
      </c>
      <c r="O290" s="3" t="inlineStr">
        <is>
          <t>쓰리룸.기숙사용도로 사용 하기 좋습니다.</t>
        </is>
      </c>
      <c r="P290" s="6">
        <f>HYPERLINK("https://fin.land.naver.com/articles/2654473654", "매물Link")</f>
        <v/>
      </c>
      <c r="Q290" s="6">
        <f>HYPERLINK("https://map.naver.com/p/search/조치원읍 교리 25-8", "지도Link")</f>
        <v/>
      </c>
      <c r="R290" s="6">
        <f>HYPERLINK("http://www.eum.go.kr/web/ar/lu/luLandDet.jsp?pnu=3611025024100250008&amp;isNoScr=script&amp;mode=search", "토지이음")</f>
        <v/>
      </c>
      <c r="S290" s="3" t="inlineStr">
        <is>
          <t>이음 사무소</t>
        </is>
      </c>
      <c r="T290" s="4" t="n">
        <v>1</v>
      </c>
      <c r="U290" s="5" t="n">
        <v>723.3</v>
      </c>
      <c r="V290" s="4" t="n">
        <v>125.4</v>
      </c>
      <c r="W290" s="3" t="inlineStr">
        <is>
          <t>지정되지않음</t>
        </is>
      </c>
      <c r="X290" s="3" t="inlineStr">
        <is>
          <t>상업용</t>
        </is>
      </c>
      <c r="Y290" s="3" t="inlineStr">
        <is>
          <t>평지</t>
        </is>
      </c>
      <c r="Z290" s="3" t="inlineStr">
        <is>
          <t>세로장방</t>
        </is>
      </c>
      <c r="AA290" s="3" t="inlineStr">
        <is>
          <t>중로한면</t>
        </is>
      </c>
    </row>
    <row r="291">
      <c r="A291" s="3" t="inlineStr">
        <is>
          <t>조치원읍 교리 3</t>
        </is>
      </c>
      <c r="B291" s="3" t="inlineStr">
        <is>
          <t>제2종일반주거지역</t>
        </is>
      </c>
      <c r="C291" s="3" t="inlineStr">
        <is>
          <t>대</t>
        </is>
      </c>
      <c r="D291" s="3" t="inlineStr">
        <is>
          <t>3</t>
        </is>
      </c>
      <c r="E291" s="3" t="inlineStr">
        <is>
          <t>연립</t>
        </is>
      </c>
      <c r="F291" s="3" t="inlineStr">
        <is>
          <t>매매</t>
        </is>
      </c>
      <c r="G291" s="4" t="n">
        <v>10000</v>
      </c>
      <c r="H291" s="4" t="n">
        <v>0</v>
      </c>
      <c r="I291" s="4" t="n">
        <v>56</v>
      </c>
      <c r="J291" s="4" t="n">
        <v>17</v>
      </c>
      <c r="K291" s="5" t="n">
        <v>588.2</v>
      </c>
      <c r="L291" s="4" t="n">
        <v>51</v>
      </c>
      <c r="M291" s="4" t="n">
        <v>15</v>
      </c>
      <c r="N291" s="5" t="n">
        <v>666.7</v>
      </c>
      <c r="O291" s="3" t="inlineStr">
        <is>
          <t>조치원역, 조치원 전통시장에 가까움</t>
        </is>
      </c>
      <c r="P291" s="6">
        <f>HYPERLINK("https://fin.land.naver.com/articles/2650121694", "매물Link")</f>
        <v/>
      </c>
      <c r="Q291" s="6">
        <f>HYPERLINK("https://map.naver.com/p/search/조치원읍 교리 3", "지도Link")</f>
        <v/>
      </c>
      <c r="R291" s="6">
        <f>HYPERLINK("http://www.eum.go.kr/web/ar/lu/luLandDet.jsp?pnu=3611025024100030000&amp;isNoScr=script&amp;mode=search", "토지이음")</f>
        <v/>
      </c>
      <c r="S291" s="3" t="inlineStr">
        <is>
          <t>세종베스트</t>
        </is>
      </c>
      <c r="T291" s="4" t="n">
        <v>1</v>
      </c>
      <c r="U291" s="5" t="n">
        <v>261.5</v>
      </c>
      <c r="V291" s="4" t="n">
        <v>4586.5</v>
      </c>
      <c r="W291" s="3" t="inlineStr">
        <is>
          <t>지정되지않음</t>
        </is>
      </c>
      <c r="X291" s="3" t="inlineStr">
        <is>
          <t>연립</t>
        </is>
      </c>
      <c r="Y291" s="3" t="inlineStr">
        <is>
          <t>평지</t>
        </is>
      </c>
      <c r="Z291" s="3" t="inlineStr">
        <is>
          <t>사다리형</t>
        </is>
      </c>
      <c r="AA291" s="3" t="inlineStr">
        <is>
          <t>중로한면</t>
        </is>
      </c>
    </row>
    <row r="292">
      <c r="A292" s="3" t="inlineStr">
        <is>
          <t>조치원읍 교리 3</t>
        </is>
      </c>
      <c r="B292" s="3" t="inlineStr">
        <is>
          <t>제2종일반주거지역</t>
        </is>
      </c>
      <c r="C292" s="3" t="inlineStr">
        <is>
          <t>대</t>
        </is>
      </c>
      <c r="D292" s="3" t="inlineStr">
        <is>
          <t>3</t>
        </is>
      </c>
      <c r="E292" s="3" t="inlineStr">
        <is>
          <t>연립</t>
        </is>
      </c>
      <c r="F292" s="3" t="inlineStr">
        <is>
          <t>매매</t>
        </is>
      </c>
      <c r="G292" s="4" t="n">
        <v>10500</v>
      </c>
      <c r="H292" s="4" t="n">
        <v>0</v>
      </c>
      <c r="I292" s="4" t="n">
        <v>56</v>
      </c>
      <c r="J292" s="4" t="n">
        <v>17</v>
      </c>
      <c r="K292" s="5" t="n">
        <v>617.6</v>
      </c>
      <c r="L292" s="4" t="n">
        <v>51</v>
      </c>
      <c r="M292" s="4" t="n">
        <v>15</v>
      </c>
      <c r="N292" s="5" t="n">
        <v>700</v>
      </c>
      <c r="O292" s="3" t="inlineStr">
        <is>
          <t>샷시까지 올 리모델링됨 협의입주 가능합니다</t>
        </is>
      </c>
      <c r="P292" s="6">
        <f>HYPERLINK("https://fin.land.naver.com/articles/2654339100", "매물Link")</f>
        <v/>
      </c>
      <c r="Q292" s="6">
        <f>HYPERLINK("https://map.naver.com/p/search/조치원읍 교리 3", "지도Link")</f>
        <v/>
      </c>
      <c r="R292" s="6">
        <f>HYPERLINK("http://www.eum.go.kr/web/ar/lu/luLandDet.jsp?pnu=3611025024100030000&amp;isNoScr=script&amp;mode=search", "토지이음")</f>
        <v/>
      </c>
      <c r="S292" s="3" t="inlineStr">
        <is>
          <t>OK수</t>
        </is>
      </c>
      <c r="T292" s="4" t="n">
        <v>1</v>
      </c>
      <c r="U292" s="5" t="n">
        <v>261.5</v>
      </c>
      <c r="V292" s="4" t="n">
        <v>4586.5</v>
      </c>
      <c r="W292" s="3" t="inlineStr">
        <is>
          <t>지정되지않음</t>
        </is>
      </c>
      <c r="X292" s="3" t="inlineStr">
        <is>
          <t>연립</t>
        </is>
      </c>
      <c r="Y292" s="3" t="inlineStr">
        <is>
          <t>평지</t>
        </is>
      </c>
      <c r="Z292" s="3" t="inlineStr">
        <is>
          <t>사다리형</t>
        </is>
      </c>
      <c r="AA292" s="3" t="inlineStr">
        <is>
          <t>중로한면</t>
        </is>
      </c>
    </row>
    <row r="293">
      <c r="A293" s="3" t="inlineStr">
        <is>
          <t>조치원읍 교리 3</t>
        </is>
      </c>
      <c r="B293" s="3" t="inlineStr">
        <is>
          <t>제2종일반주거지역</t>
        </is>
      </c>
      <c r="C293" s="3" t="inlineStr">
        <is>
          <t>대</t>
        </is>
      </c>
      <c r="D293" s="3" t="inlineStr">
        <is>
          <t>2</t>
        </is>
      </c>
      <c r="E293" s="3" t="inlineStr">
        <is>
          <t>연립</t>
        </is>
      </c>
      <c r="F293" s="3" t="inlineStr">
        <is>
          <t>매매</t>
        </is>
      </c>
      <c r="G293" s="4" t="n">
        <v>12000</v>
      </c>
      <c r="H293" s="4" t="n">
        <v>0</v>
      </c>
      <c r="I293" s="4" t="n">
        <v>56</v>
      </c>
      <c r="J293" s="4" t="n">
        <v>17</v>
      </c>
      <c r="K293" s="5" t="n">
        <v>705.9</v>
      </c>
      <c r="L293" s="4" t="n">
        <v>51</v>
      </c>
      <c r="M293" s="4" t="n">
        <v>15</v>
      </c>
      <c r="N293" s="5" t="n">
        <v>800</v>
      </c>
      <c r="O293" s="3" t="inlineStr">
        <is>
          <t>샷시까지 올 리모델링됨 협의입주 가능합니다</t>
        </is>
      </c>
      <c r="P293" s="6">
        <f>HYPERLINK("https://fin.land.naver.com/articles/2650000609", "매물Link")</f>
        <v/>
      </c>
      <c r="Q293" s="6">
        <f>HYPERLINK("https://map.naver.com/p/search/조치원읍 교리 3", "지도Link")</f>
        <v/>
      </c>
      <c r="R293" s="6">
        <f>HYPERLINK("http://www.eum.go.kr/web/ar/lu/luLandDet.jsp?pnu=3611025024100030000&amp;isNoScr=script&amp;mode=search", "토지이음")</f>
        <v/>
      </c>
      <c r="S293" s="3" t="inlineStr">
        <is>
          <t>OK수</t>
        </is>
      </c>
      <c r="T293" s="4" t="n">
        <v>1</v>
      </c>
      <c r="U293" s="5" t="n">
        <v>261.5</v>
      </c>
      <c r="V293" s="4" t="n">
        <v>4586.5</v>
      </c>
      <c r="W293" s="3" t="inlineStr">
        <is>
          <t>지정되지않음</t>
        </is>
      </c>
      <c r="X293" s="3" t="inlineStr">
        <is>
          <t>연립</t>
        </is>
      </c>
      <c r="Y293" s="3" t="inlineStr">
        <is>
          <t>평지</t>
        </is>
      </c>
      <c r="Z293" s="3" t="inlineStr">
        <is>
          <t>사다리형</t>
        </is>
      </c>
      <c r="AA293" s="3" t="inlineStr">
        <is>
          <t>중로한면</t>
        </is>
      </c>
    </row>
    <row r="294">
      <c r="A294" s="3" t="inlineStr">
        <is>
          <t>조치원읍 교리 4-13</t>
        </is>
      </c>
      <c r="B294" s="3" t="inlineStr">
        <is>
          <t>제2종일반주거지역</t>
        </is>
      </c>
      <c r="C294" s="3" t="inlineStr">
        <is>
          <t>대</t>
        </is>
      </c>
      <c r="D294" s="3" t="inlineStr">
        <is>
          <t>3</t>
        </is>
      </c>
      <c r="E294" s="3" t="inlineStr">
        <is>
          <t>일반원룸</t>
        </is>
      </c>
      <c r="F294" s="3" t="inlineStr">
        <is>
          <t>월세</t>
        </is>
      </c>
      <c r="G294" s="4" t="n">
        <v>200</v>
      </c>
      <c r="H294" s="4" t="n">
        <v>30</v>
      </c>
      <c r="I294" s="4" t="n">
        <v>0</v>
      </c>
      <c r="J294" s="4" t="n">
        <v>0</v>
      </c>
      <c r="K294" s="5" t="n">
        <v>0</v>
      </c>
      <c r="L294" s="4" t="n">
        <v>23</v>
      </c>
      <c r="M294" s="4" t="n">
        <v>7</v>
      </c>
      <c r="N294" s="5" t="n">
        <v>4.3</v>
      </c>
      <c r="O294" s="3" t="inlineStr">
        <is>
          <t>역세권 투베이</t>
        </is>
      </c>
      <c r="P294" s="6">
        <f>HYPERLINK("https://fin.land.naver.com/articles/2652851166", "매물Link")</f>
        <v/>
      </c>
      <c r="Q294" s="6">
        <f>HYPERLINK("https://map.naver.com/p/search/조치원읍 교리 4-13", "지도Link")</f>
        <v/>
      </c>
      <c r="R294" s="6">
        <f>HYPERLINK("http://www.eum.go.kr/web/ar/lu/luLandDet.jsp?pnu=3611025024100040013&amp;isNoScr=script&amp;mode=search", "토지이음")</f>
        <v/>
      </c>
      <c r="S294" s="3" t="inlineStr">
        <is>
          <t>척척</t>
        </is>
      </c>
      <c r="T294" s="4" t="n">
        <v>1</v>
      </c>
      <c r="U294" s="5" t="n">
        <v>269.2</v>
      </c>
      <c r="V294" s="4" t="n">
        <v>352.4</v>
      </c>
      <c r="W294" s="3" t="inlineStr">
        <is>
          <t>지정되지않음</t>
        </is>
      </c>
      <c r="X294" s="3" t="inlineStr">
        <is>
          <t>주거기타</t>
        </is>
      </c>
      <c r="Y294" s="3" t="inlineStr">
        <is>
          <t>평지</t>
        </is>
      </c>
      <c r="Z294" s="3" t="inlineStr">
        <is>
          <t>사다리형</t>
        </is>
      </c>
      <c r="AA294" s="3" t="inlineStr">
        <is>
          <t>중로각지</t>
        </is>
      </c>
    </row>
    <row r="295">
      <c r="A295" s="3" t="inlineStr">
        <is>
          <t>조치원읍 교리 4-13</t>
        </is>
      </c>
      <c r="B295" s="3" t="inlineStr">
        <is>
          <t>제2종일반주거지역</t>
        </is>
      </c>
      <c r="C295" s="3" t="inlineStr">
        <is>
          <t>대</t>
        </is>
      </c>
      <c r="D295" s="3" t="inlineStr">
        <is>
          <t>2</t>
        </is>
      </c>
      <c r="E295" s="3" t="inlineStr">
        <is>
          <t>일반원룸</t>
        </is>
      </c>
      <c r="F295" s="3" t="inlineStr">
        <is>
          <t>월세</t>
        </is>
      </c>
      <c r="G295" s="4" t="n">
        <v>200</v>
      </c>
      <c r="H295" s="4" t="n">
        <v>28</v>
      </c>
      <c r="I295" s="4" t="n">
        <v>25</v>
      </c>
      <c r="J295" s="4" t="n">
        <v>8</v>
      </c>
      <c r="K295" s="5" t="n">
        <v>3.5</v>
      </c>
      <c r="L295" s="4" t="n">
        <v>20</v>
      </c>
      <c r="M295" s="4" t="n">
        <v>6</v>
      </c>
      <c r="N295" s="5" t="n">
        <v>4.7</v>
      </c>
      <c r="O295" s="3" t="inlineStr">
        <is>
          <t>문화정원인근 깔끔 원룸.분리형.방이 넓어요.즉시입주가능.</t>
        </is>
      </c>
      <c r="P295" s="6">
        <f>HYPERLINK("https://fin.land.naver.com/articles/2650064246", "매물Link")</f>
        <v/>
      </c>
      <c r="Q295" s="6">
        <f>HYPERLINK("https://map.naver.com/p/search/조치원읍 교리 4-13", "지도Link")</f>
        <v/>
      </c>
      <c r="R295" s="6">
        <f>HYPERLINK("http://www.eum.go.kr/web/ar/lu/luLandDet.jsp?pnu=3611025024100040013&amp;isNoScr=script&amp;mode=search", "토지이음")</f>
        <v/>
      </c>
      <c r="S295" s="3" t="inlineStr">
        <is>
          <t>이음</t>
        </is>
      </c>
      <c r="T295" s="4" t="n">
        <v>1</v>
      </c>
      <c r="U295" s="5" t="n">
        <v>269.2</v>
      </c>
      <c r="V295" s="4" t="n">
        <v>352.4</v>
      </c>
      <c r="W295" s="3" t="inlineStr">
        <is>
          <t>지정되지않음</t>
        </is>
      </c>
      <c r="X295" s="3" t="inlineStr">
        <is>
          <t>주거기타</t>
        </is>
      </c>
      <c r="Y295" s="3" t="inlineStr">
        <is>
          <t>평지</t>
        </is>
      </c>
      <c r="Z295" s="3" t="inlineStr">
        <is>
          <t>사다리형</t>
        </is>
      </c>
      <c r="AA295" s="3" t="inlineStr">
        <is>
          <t>중로각지</t>
        </is>
      </c>
    </row>
    <row r="296">
      <c r="A296" s="3" t="inlineStr">
        <is>
          <t>조치원읍 교리 4-13</t>
        </is>
      </c>
      <c r="B296" s="3" t="inlineStr">
        <is>
          <t>제2종일반주거지역</t>
        </is>
      </c>
      <c r="C296" s="3" t="inlineStr">
        <is>
          <t>대</t>
        </is>
      </c>
      <c r="D296" s="3" t="inlineStr">
        <is>
          <t>2</t>
        </is>
      </c>
      <c r="E296" s="3" t="inlineStr">
        <is>
          <t>일반원룸</t>
        </is>
      </c>
      <c r="F296" s="3" t="inlineStr">
        <is>
          <t>월세</t>
        </is>
      </c>
      <c r="G296" s="4" t="n">
        <v>200</v>
      </c>
      <c r="H296" s="4" t="n">
        <v>27</v>
      </c>
      <c r="I296" s="4" t="n">
        <v>0</v>
      </c>
      <c r="J296" s="4" t="n">
        <v>0</v>
      </c>
      <c r="K296" s="5" t="n">
        <v>0</v>
      </c>
      <c r="L296" s="4" t="n">
        <v>23</v>
      </c>
      <c r="M296" s="4" t="n">
        <v>7</v>
      </c>
      <c r="N296" s="5" t="n">
        <v>3.9</v>
      </c>
      <c r="O296" s="3" t="inlineStr">
        <is>
          <t>역세권 주방넓고 통풍잘되는 집</t>
        </is>
      </c>
      <c r="P296" s="6">
        <f>HYPERLINK("https://fin.land.naver.com/articles/2649888270", "매물Link")</f>
        <v/>
      </c>
      <c r="Q296" s="6">
        <f>HYPERLINK("https://map.naver.com/p/search/조치원읍 교리 4-13", "지도Link")</f>
        <v/>
      </c>
      <c r="R296" s="6">
        <f>HYPERLINK("http://www.eum.go.kr/web/ar/lu/luLandDet.jsp?pnu=3611025024100040013&amp;isNoScr=script&amp;mode=search", "토지이음")</f>
        <v/>
      </c>
      <c r="S296" s="3" t="inlineStr">
        <is>
          <t>척척</t>
        </is>
      </c>
      <c r="T296" s="4" t="n">
        <v>1</v>
      </c>
      <c r="U296" s="5" t="n">
        <v>269.2</v>
      </c>
      <c r="V296" s="4" t="n">
        <v>352.4</v>
      </c>
      <c r="W296" s="3" t="inlineStr">
        <is>
          <t>지정되지않음</t>
        </is>
      </c>
      <c r="X296" s="3" t="inlineStr">
        <is>
          <t>주거기타</t>
        </is>
      </c>
      <c r="Y296" s="3" t="inlineStr">
        <is>
          <t>평지</t>
        </is>
      </c>
      <c r="Z296" s="3" t="inlineStr">
        <is>
          <t>사다리형</t>
        </is>
      </c>
      <c r="AA296" s="3" t="inlineStr">
        <is>
          <t>중로각지</t>
        </is>
      </c>
    </row>
    <row r="297">
      <c r="A297" s="3" t="inlineStr">
        <is>
          <t>조치원읍 교리 5-2</t>
        </is>
      </c>
      <c r="B297" s="3" t="inlineStr">
        <is>
          <t>제2종일반주거지역</t>
        </is>
      </c>
      <c r="C297" s="3" t="inlineStr">
        <is>
          <t>대</t>
        </is>
      </c>
      <c r="D297" s="3" t="inlineStr">
        <is>
          <t>2</t>
        </is>
      </c>
      <c r="E297" s="3" t="inlineStr">
        <is>
          <t>단독</t>
        </is>
      </c>
      <c r="F297" s="3" t="inlineStr">
        <is>
          <t>매매</t>
        </is>
      </c>
      <c r="G297" s="4" t="n">
        <v>25000</v>
      </c>
      <c r="H297" s="4" t="n">
        <v>0</v>
      </c>
      <c r="I297" s="4" t="n">
        <v>139</v>
      </c>
      <c r="J297" s="4" t="n">
        <v>42</v>
      </c>
      <c r="K297" s="5" t="n">
        <v>595.2</v>
      </c>
      <c r="L297" s="4" t="n">
        <v>128</v>
      </c>
      <c r="M297" s="4" t="n">
        <v>39</v>
      </c>
      <c r="N297" s="5" t="n">
        <v>641</v>
      </c>
      <c r="O297" s="3" t="inlineStr">
        <is>
          <t>nan</t>
        </is>
      </c>
      <c r="P297" s="6">
        <f>HYPERLINK("https://fin.land.naver.com/articles/2649622161", "매물Link")</f>
        <v/>
      </c>
      <c r="Q297" s="6">
        <f>HYPERLINK("https://map.naver.com/p/search/조치원읍 교리 5-2", "지도Link")</f>
        <v/>
      </c>
      <c r="R297" s="6">
        <f>HYPERLINK("http://www.eum.go.kr/web/ar/lu/luLandDet.jsp?pnu=3611025024100050002&amp;isNoScr=script&amp;mode=search", "토지이음")</f>
        <v/>
      </c>
      <c r="S297" s="3" t="inlineStr">
        <is>
          <t>효자</t>
        </is>
      </c>
      <c r="T297" s="4" t="n">
        <v>1</v>
      </c>
      <c r="U297" s="5" t="n">
        <v>361.3</v>
      </c>
      <c r="V297" s="4" t="n">
        <v>139.5</v>
      </c>
      <c r="W297" s="3" t="inlineStr">
        <is>
          <t>지정되지않음</t>
        </is>
      </c>
      <c r="X297" s="3" t="inlineStr">
        <is>
          <t>주상기타</t>
        </is>
      </c>
      <c r="Y297" s="3" t="inlineStr">
        <is>
          <t>평지</t>
        </is>
      </c>
      <c r="Z297" s="3" t="inlineStr">
        <is>
          <t>사다리형</t>
        </is>
      </c>
      <c r="AA297" s="3" t="inlineStr">
        <is>
          <t>중로각지</t>
        </is>
      </c>
    </row>
    <row r="298">
      <c r="A298" s="3" t="inlineStr">
        <is>
          <t>조치원읍 교리 7-15</t>
        </is>
      </c>
      <c r="B298" s="3" t="inlineStr">
        <is>
          <t>제2종일반주거지역</t>
        </is>
      </c>
      <c r="C298" s="3" t="inlineStr">
        <is>
          <t>대</t>
        </is>
      </c>
      <c r="D298" s="3" t="inlineStr">
        <is>
          <t>6</t>
        </is>
      </c>
      <c r="E298" s="3" t="inlineStr">
        <is>
          <t>다가구</t>
        </is>
      </c>
      <c r="F298" s="3" t="inlineStr">
        <is>
          <t>매매</t>
        </is>
      </c>
      <c r="G298" s="4" t="n">
        <v>38000</v>
      </c>
      <c r="H298" s="4" t="n">
        <v>0</v>
      </c>
      <c r="I298" s="4" t="n">
        <v>139</v>
      </c>
      <c r="J298" s="4" t="n">
        <v>42</v>
      </c>
      <c r="K298" s="5" t="n">
        <v>904.8</v>
      </c>
      <c r="L298" s="4" t="n">
        <v>341</v>
      </c>
      <c r="M298" s="4" t="n">
        <v>103</v>
      </c>
      <c r="N298" s="5" t="n">
        <v>368.9</v>
      </c>
      <c r="O298" s="3" t="inlineStr">
        <is>
          <t>다가구건물 매매, 조율가능, 풀옵션 공실 없이 임차중</t>
        </is>
      </c>
      <c r="P298" s="6">
        <f>HYPERLINK("https://fin.land.naver.com/articles/2654430204", "매물Link")</f>
        <v/>
      </c>
      <c r="Q298" s="6">
        <f>HYPERLINK("https://map.naver.com/p/search/조치원읍 교리 7-15", "지도Link")</f>
        <v/>
      </c>
      <c r="R298" s="6">
        <f>HYPERLINK("http://www.eum.go.kr/web/ar/lu/luLandDet.jsp?pnu=3611025024100070015&amp;isNoScr=script&amp;mode=search", "토지이음")</f>
        <v/>
      </c>
      <c r="S298" s="3" t="inlineStr">
        <is>
          <t>세종무지개</t>
        </is>
      </c>
      <c r="T298" s="4" t="n">
        <v>2</v>
      </c>
      <c r="U298" s="5" t="n">
        <v>217.4</v>
      </c>
      <c r="V298" s="4" t="n">
        <v>139.8</v>
      </c>
      <c r="W298" s="3" t="inlineStr">
        <is>
          <t>지정되지않음</t>
        </is>
      </c>
      <c r="X298" s="3" t="inlineStr">
        <is>
          <t>주거기타</t>
        </is>
      </c>
      <c r="Y298" s="3" t="inlineStr">
        <is>
          <t>평지</t>
        </is>
      </c>
      <c r="Z298" s="3" t="inlineStr">
        <is>
          <t>가로장방</t>
        </is>
      </c>
      <c r="AA298" s="3" t="inlineStr">
        <is>
          <t>소로한면</t>
        </is>
      </c>
    </row>
    <row r="299">
      <c r="A299" s="3" t="inlineStr">
        <is>
          <t>조치원읍 남리 103-16</t>
        </is>
      </c>
      <c r="B299" s="3" t="inlineStr">
        <is>
          <t>제2종일반주거지역</t>
        </is>
      </c>
      <c r="C299" s="3" t="inlineStr">
        <is>
          <t>대</t>
        </is>
      </c>
      <c r="D299" s="3" t="inlineStr">
        <is>
          <t>2</t>
        </is>
      </c>
      <c r="E299" s="3" t="inlineStr">
        <is>
          <t>상가주택</t>
        </is>
      </c>
      <c r="F299" s="3" t="inlineStr">
        <is>
          <t>매매</t>
        </is>
      </c>
      <c r="G299" s="4" t="n">
        <v>29000</v>
      </c>
      <c r="H299" s="4" t="n">
        <v>0</v>
      </c>
      <c r="I299" s="4" t="n">
        <v>282</v>
      </c>
      <c r="J299" s="4" t="n">
        <v>85</v>
      </c>
      <c r="K299" s="5" t="n">
        <v>341.2</v>
      </c>
      <c r="L299" s="4" t="n">
        <v>229</v>
      </c>
      <c r="M299" s="4" t="n">
        <v>69</v>
      </c>
      <c r="N299" s="5" t="n">
        <v>420.3</v>
      </c>
      <c r="O299" s="3" t="inlineStr">
        <is>
          <t>1층 공장 , 2층 주택 , 도로변</t>
        </is>
      </c>
      <c r="P299" s="6">
        <f>HYPERLINK("https://fin.land.naver.com/articles/2652084096", "매물Link")</f>
        <v/>
      </c>
      <c r="Q299" s="6">
        <f>HYPERLINK("https://map.naver.com/p/search/조치원읍 남리 103-16", "지도Link")</f>
        <v/>
      </c>
      <c r="R299" s="6">
        <f>HYPERLINK("http://www.eum.go.kr/web/ar/lu/luLandDet.jsp?pnu=3611025027101030016&amp;isNoScr=script&amp;mode=search", "토지이음")</f>
        <v/>
      </c>
      <c r="S299" s="3" t="inlineStr">
        <is>
          <t>KB세종</t>
        </is>
      </c>
      <c r="T299" s="4" t="n">
        <v>1</v>
      </c>
      <c r="U299" s="5" t="n">
        <v>160.4</v>
      </c>
      <c r="V299" s="4" t="n">
        <v>282</v>
      </c>
      <c r="W299" s="3" t="inlineStr">
        <is>
          <t>지정되지않음</t>
        </is>
      </c>
      <c r="X299" s="3" t="inlineStr">
        <is>
          <t>주거기타</t>
        </is>
      </c>
      <c r="Y299" s="3" t="inlineStr">
        <is>
          <t>평지</t>
        </is>
      </c>
      <c r="Z299" s="3" t="inlineStr">
        <is>
          <t>부정형</t>
        </is>
      </c>
      <c r="AA299" s="3" t="inlineStr">
        <is>
          <t>세로한면(가)</t>
        </is>
      </c>
    </row>
    <row r="300">
      <c r="A300" s="3" t="inlineStr">
        <is>
          <t>조치원읍 남리 119-10</t>
        </is>
      </c>
      <c r="B300" s="3" t="inlineStr">
        <is>
          <t>제2종일반주거지역</t>
        </is>
      </c>
      <c r="C300" s="3" t="inlineStr">
        <is>
          <t>잡종지</t>
        </is>
      </c>
      <c r="D300" s="3" t="inlineStr">
        <is>
          <t>2</t>
        </is>
      </c>
      <c r="E300" s="3" t="inlineStr">
        <is>
          <t>다가구</t>
        </is>
      </c>
      <c r="F300" s="3" t="inlineStr">
        <is>
          <t>월세</t>
        </is>
      </c>
      <c r="G300" s="4" t="n">
        <v>200</v>
      </c>
      <c r="H300" s="4" t="n">
        <v>27</v>
      </c>
      <c r="I300" s="4" t="n">
        <v>33</v>
      </c>
      <c r="J300" s="4" t="n">
        <v>10</v>
      </c>
      <c r="K300" s="5" t="n">
        <v>2.7</v>
      </c>
      <c r="L300" s="4" t="n">
        <v>19</v>
      </c>
      <c r="M300" s="4" t="n">
        <v>6</v>
      </c>
      <c r="N300" s="5" t="n">
        <v>4.5</v>
      </c>
      <c r="O300" s="3" t="inlineStr">
        <is>
          <t>조치원역도보거리O막힘없는O깨끗한 원룸</t>
        </is>
      </c>
      <c r="P300" s="6">
        <f>HYPERLINK("https://fin.land.naver.com/articles/2651069139", "매물Link")</f>
        <v/>
      </c>
      <c r="Q300" s="6">
        <f>HYPERLINK("https://map.naver.com/p/search/조치원읍 남리 119-10", "지도Link")</f>
        <v/>
      </c>
      <c r="R300" s="6">
        <f>HYPERLINK("http://www.eum.go.kr/web/ar/lu/luLandDet.jsp?pnu=3611025027101190010&amp;isNoScr=script&amp;mode=search", "토지이음")</f>
        <v/>
      </c>
      <c r="S300" s="3" t="inlineStr">
        <is>
          <t>척척</t>
        </is>
      </c>
      <c r="T300" s="4" t="n">
        <v>1</v>
      </c>
      <c r="U300" s="5" t="n">
        <v>242.2</v>
      </c>
      <c r="V300" s="4" t="n">
        <v>280</v>
      </c>
      <c r="W300" s="3" t="inlineStr">
        <is>
          <t>지정되지않음</t>
        </is>
      </c>
      <c r="X300" s="3" t="inlineStr">
        <is>
          <t>상업기타</t>
        </is>
      </c>
      <c r="Y300" s="3" t="inlineStr">
        <is>
          <t>평지</t>
        </is>
      </c>
      <c r="Z300" s="3" t="inlineStr">
        <is>
          <t>자루형</t>
        </is>
      </c>
      <c r="AA300" s="3" t="inlineStr">
        <is>
          <t>세로한면(가)</t>
        </is>
      </c>
    </row>
    <row r="301">
      <c r="A301" s="3" t="inlineStr">
        <is>
          <t>조치원읍 남리 119-10</t>
        </is>
      </c>
      <c r="B301" s="3" t="inlineStr">
        <is>
          <t>제2종일반주거지역</t>
        </is>
      </c>
      <c r="C301" s="3" t="inlineStr">
        <is>
          <t>잡종지</t>
        </is>
      </c>
      <c r="D301" s="3" t="inlineStr">
        <is>
          <t>1</t>
        </is>
      </c>
      <c r="E301" s="3" t="inlineStr">
        <is>
          <t>일반원룸</t>
        </is>
      </c>
      <c r="F301" s="3" t="inlineStr">
        <is>
          <t>월세</t>
        </is>
      </c>
      <c r="G301" s="4" t="n">
        <v>200</v>
      </c>
      <c r="H301" s="4" t="n">
        <v>25</v>
      </c>
      <c r="I301" s="4" t="n">
        <v>33</v>
      </c>
      <c r="J301" s="4" t="n">
        <v>10</v>
      </c>
      <c r="K301" s="5" t="n">
        <v>2.5</v>
      </c>
      <c r="L301" s="4" t="n">
        <v>5</v>
      </c>
      <c r="M301" s="4" t="n">
        <v>2</v>
      </c>
      <c r="N301" s="5" t="n">
        <v>12.5</v>
      </c>
      <c r="O301" s="3" t="inlineStr">
        <is>
          <t>조치원역도보거리 저렴한 원룸 즉시입주</t>
        </is>
      </c>
      <c r="P301" s="6">
        <f>HYPERLINK("https://fin.land.naver.com/articles/2650728690", "매물Link")</f>
        <v/>
      </c>
      <c r="Q301" s="6">
        <f>HYPERLINK("https://map.naver.com/p/search/조치원읍 남리 119-10", "지도Link")</f>
        <v/>
      </c>
      <c r="R301" s="6">
        <f>HYPERLINK("http://www.eum.go.kr/web/ar/lu/luLandDet.jsp?pnu=3611025027101190010&amp;isNoScr=script&amp;mode=search", "토지이음")</f>
        <v/>
      </c>
      <c r="S301" s="3" t="inlineStr">
        <is>
          <t>척척</t>
        </is>
      </c>
      <c r="T301" s="4" t="n">
        <v>1</v>
      </c>
      <c r="U301" s="5" t="n">
        <v>242.2</v>
      </c>
      <c r="V301" s="4" t="n">
        <v>280</v>
      </c>
      <c r="W301" s="3" t="inlineStr">
        <is>
          <t>지정되지않음</t>
        </is>
      </c>
      <c r="X301" s="3" t="inlineStr">
        <is>
          <t>상업기타</t>
        </is>
      </c>
      <c r="Y301" s="3" t="inlineStr">
        <is>
          <t>평지</t>
        </is>
      </c>
      <c r="Z301" s="3" t="inlineStr">
        <is>
          <t>자루형</t>
        </is>
      </c>
      <c r="AA301" s="3" t="inlineStr">
        <is>
          <t>세로한면(가)</t>
        </is>
      </c>
    </row>
    <row r="302">
      <c r="A302" s="3" t="inlineStr">
        <is>
          <t>조치원읍 남리 119-12</t>
        </is>
      </c>
      <c r="B302" s="3" t="inlineStr">
        <is>
          <t>제2종일반주거지역</t>
        </is>
      </c>
      <c r="C302" s="3" t="inlineStr">
        <is>
          <t>대</t>
        </is>
      </c>
      <c r="D302" s="3" t="inlineStr">
        <is>
          <t>2</t>
        </is>
      </c>
      <c r="E302" s="3" t="inlineStr">
        <is>
          <t>일반원룸</t>
        </is>
      </c>
      <c r="F302" s="3" t="inlineStr">
        <is>
          <t>월세</t>
        </is>
      </c>
      <c r="G302" s="4" t="n">
        <v>200</v>
      </c>
      <c r="H302" s="4" t="n">
        <v>30</v>
      </c>
      <c r="I302" s="4" t="n">
        <v>39</v>
      </c>
      <c r="J302" s="4" t="n">
        <v>12</v>
      </c>
      <c r="K302" s="5" t="n">
        <v>2.5</v>
      </c>
      <c r="L302" s="4" t="n">
        <v>26</v>
      </c>
      <c r="M302" s="4" t="n">
        <v>8</v>
      </c>
      <c r="N302" s="5" t="n">
        <v>3.8</v>
      </c>
      <c r="O302" s="3" t="inlineStr">
        <is>
          <t>남향 조치원시내권도보거리 주차시설완비 완벽풀옵션</t>
        </is>
      </c>
      <c r="P302" s="6">
        <f>HYPERLINK("https://fin.land.naver.com/articles/2652366588", "매물Link")</f>
        <v/>
      </c>
      <c r="Q302" s="6">
        <f>HYPERLINK("https://map.naver.com/p/search/조치원읍 남리 119-12", "지도Link")</f>
        <v/>
      </c>
      <c r="R302" s="6">
        <f>HYPERLINK("http://www.eum.go.kr/web/ar/lu/luLandDet.jsp?pnu=3611025027101190012&amp;isNoScr=script&amp;mode=search", "토지이음")</f>
        <v/>
      </c>
      <c r="S302" s="3" t="inlineStr">
        <is>
          <t>척척</t>
        </is>
      </c>
      <c r="T302" s="4" t="n">
        <v>1</v>
      </c>
      <c r="U302" s="5" t="n">
        <v>282.8</v>
      </c>
      <c r="V302" s="4" t="n">
        <v>485</v>
      </c>
      <c r="W302" s="3" t="inlineStr">
        <is>
          <t>지정되지않음</t>
        </is>
      </c>
      <c r="X302" s="3" t="inlineStr">
        <is>
          <t>상업기타</t>
        </is>
      </c>
      <c r="Y302" s="3" t="inlineStr">
        <is>
          <t>평지</t>
        </is>
      </c>
      <c r="Z302" s="3" t="inlineStr">
        <is>
          <t>세로장방</t>
        </is>
      </c>
      <c r="AA302" s="3" t="inlineStr">
        <is>
          <t>소로한면</t>
        </is>
      </c>
    </row>
    <row r="303">
      <c r="A303" s="3" t="inlineStr">
        <is>
          <t>조치원읍 남리 119-12</t>
        </is>
      </c>
      <c r="B303" s="3" t="inlineStr">
        <is>
          <t>제2종일반주거지역</t>
        </is>
      </c>
      <c r="C303" s="3" t="inlineStr">
        <is>
          <t>대</t>
        </is>
      </c>
      <c r="D303" s="3" t="inlineStr">
        <is>
          <t>2</t>
        </is>
      </c>
      <c r="E303" s="3" t="inlineStr">
        <is>
          <t>일반원룸</t>
        </is>
      </c>
      <c r="F303" s="3" t="inlineStr">
        <is>
          <t>월세</t>
        </is>
      </c>
      <c r="G303" s="4" t="n">
        <v>200</v>
      </c>
      <c r="H303" s="4" t="n">
        <v>30</v>
      </c>
      <c r="I303" s="4" t="n">
        <v>20</v>
      </c>
      <c r="J303" s="4" t="n">
        <v>6</v>
      </c>
      <c r="K303" s="5" t="n">
        <v>5</v>
      </c>
      <c r="L303" s="4" t="n">
        <v>20</v>
      </c>
      <c r="M303" s="4" t="n">
        <v>6</v>
      </c>
      <c r="N303" s="5" t="n">
        <v>5</v>
      </c>
      <c r="O303" s="3" t="inlineStr">
        <is>
          <t>원룸 남향  조치원역 도보가능합니다</t>
        </is>
      </c>
      <c r="P303" s="6">
        <f>HYPERLINK("https://fin.land.naver.com/articles/2653495764", "매물Link")</f>
        <v/>
      </c>
      <c r="Q303" s="6">
        <f>HYPERLINK("https://map.naver.com/p/search/조치원읍 남리 119-12", "지도Link")</f>
        <v/>
      </c>
      <c r="R303" s="6">
        <f>HYPERLINK("http://www.eum.go.kr/web/ar/lu/luLandDet.jsp?pnu=3611025027101190012&amp;isNoScr=script&amp;mode=search", "토지이음")</f>
        <v/>
      </c>
      <c r="S303" s="3" t="inlineStr">
        <is>
          <t>OK수</t>
        </is>
      </c>
      <c r="T303" s="4" t="n">
        <v>1</v>
      </c>
      <c r="U303" s="5" t="n">
        <v>282.8</v>
      </c>
      <c r="V303" s="4" t="n">
        <v>485</v>
      </c>
      <c r="W303" s="3" t="inlineStr">
        <is>
          <t>지정되지않음</t>
        </is>
      </c>
      <c r="X303" s="3" t="inlineStr">
        <is>
          <t>상업기타</t>
        </is>
      </c>
      <c r="Y303" s="3" t="inlineStr">
        <is>
          <t>평지</t>
        </is>
      </c>
      <c r="Z303" s="3" t="inlineStr">
        <is>
          <t>세로장방</t>
        </is>
      </c>
      <c r="AA303" s="3" t="inlineStr">
        <is>
          <t>소로한면</t>
        </is>
      </c>
    </row>
    <row r="304">
      <c r="A304" s="3" t="inlineStr">
        <is>
          <t>조치원읍 남리 119-6</t>
        </is>
      </c>
      <c r="B304" s="3" t="inlineStr">
        <is>
          <t>제2종일반주거지역</t>
        </is>
      </c>
      <c r="C304" s="3" t="inlineStr">
        <is>
          <t>잡종지</t>
        </is>
      </c>
      <c r="D304" s="3" t="inlineStr">
        <is>
          <t>4</t>
        </is>
      </c>
      <c r="E304" s="3" t="inlineStr">
        <is>
          <t>단독</t>
        </is>
      </c>
      <c r="F304" s="3" t="inlineStr">
        <is>
          <t>월세</t>
        </is>
      </c>
      <c r="G304" s="4" t="n">
        <v>200</v>
      </c>
      <c r="H304" s="4" t="n">
        <v>27</v>
      </c>
      <c r="I304" s="4" t="n">
        <v>26</v>
      </c>
      <c r="J304" s="4" t="n">
        <v>8</v>
      </c>
      <c r="K304" s="5" t="n">
        <v>3.4</v>
      </c>
      <c r="L304" s="4" t="n">
        <v>26</v>
      </c>
      <c r="M304" s="4" t="n">
        <v>8</v>
      </c>
      <c r="N304" s="5" t="n">
        <v>3.4</v>
      </c>
      <c r="O304" s="3" t="inlineStr">
        <is>
          <t>조치원 시내의 교통 편리하고  깔끔한 원룸</t>
        </is>
      </c>
      <c r="P304" s="6">
        <f>HYPERLINK("https://fin.land.naver.com/articles/2653992392", "매물Link")</f>
        <v/>
      </c>
      <c r="Q304" s="6">
        <f>HYPERLINK("https://map.naver.com/p/search/조치원읍 남리 119-6", "지도Link")</f>
        <v/>
      </c>
      <c r="R304" s="6">
        <f>HYPERLINK("http://www.eum.go.kr/web/ar/lu/luLandDet.jsp?pnu=3611025027101190006&amp;isNoScr=script&amp;mode=search", "토지이음")</f>
        <v/>
      </c>
      <c r="S304" s="3" t="inlineStr">
        <is>
          <t>세종베스트</t>
        </is>
      </c>
      <c r="T304" s="4" t="n">
        <v>1</v>
      </c>
      <c r="U304" s="5" t="n">
        <v>285.5</v>
      </c>
      <c r="V304" s="4" t="n">
        <v>249</v>
      </c>
      <c r="W304" s="3" t="inlineStr">
        <is>
          <t>지정되지않음</t>
        </is>
      </c>
      <c r="X304" s="3" t="inlineStr">
        <is>
          <t>상업기타</t>
        </is>
      </c>
      <c r="Y304" s="3" t="inlineStr">
        <is>
          <t>평지</t>
        </is>
      </c>
      <c r="Z304" s="3" t="inlineStr">
        <is>
          <t>정방형</t>
        </is>
      </c>
      <c r="AA304" s="3" t="inlineStr">
        <is>
          <t>소로한면</t>
        </is>
      </c>
    </row>
    <row r="305">
      <c r="A305" s="3" t="inlineStr">
        <is>
          <t>조치원읍 남리 119-6</t>
        </is>
      </c>
      <c r="B305" s="3" t="inlineStr">
        <is>
          <t>제2종일반주거지역</t>
        </is>
      </c>
      <c r="C305" s="3" t="inlineStr">
        <is>
          <t>잡종지</t>
        </is>
      </c>
      <c r="D305" s="3" t="inlineStr">
        <is>
          <t>3</t>
        </is>
      </c>
      <c r="E305" s="3" t="inlineStr">
        <is>
          <t>일반원룸</t>
        </is>
      </c>
      <c r="F305" s="3" t="inlineStr">
        <is>
          <t>월세</t>
        </is>
      </c>
      <c r="G305" s="4" t="n">
        <v>100</v>
      </c>
      <c r="H305" s="4" t="n">
        <v>23</v>
      </c>
      <c r="I305" s="4" t="n">
        <v>0</v>
      </c>
      <c r="J305" s="4" t="n">
        <v>0</v>
      </c>
      <c r="K305" s="5" t="n">
        <v>0</v>
      </c>
      <c r="L305" s="4" t="n">
        <v>19</v>
      </c>
      <c r="M305" s="4" t="n">
        <v>6</v>
      </c>
      <c r="N305" s="5" t="n">
        <v>3.8</v>
      </c>
      <c r="O305" s="3" t="inlineStr">
        <is>
          <t>남리 버스정류장 가까운 위치</t>
        </is>
      </c>
      <c r="P305" s="6">
        <f>HYPERLINK("https://fin.land.naver.com/articles/2654005712", "매물Link")</f>
        <v/>
      </c>
      <c r="Q305" s="6">
        <f>HYPERLINK("https://map.naver.com/p/search/조치원읍 남리 119-6", "지도Link")</f>
        <v/>
      </c>
      <c r="R305" s="6">
        <f>HYPERLINK("http://www.eum.go.kr/web/ar/lu/luLandDet.jsp?pnu=3611025027101190006&amp;isNoScr=script&amp;mode=search", "토지이음")</f>
        <v/>
      </c>
      <c r="S305" s="3" t="inlineStr">
        <is>
          <t>척척</t>
        </is>
      </c>
      <c r="T305" s="4" t="n">
        <v>1</v>
      </c>
      <c r="U305" s="5" t="n">
        <v>285.5</v>
      </c>
      <c r="V305" s="4" t="n">
        <v>249</v>
      </c>
      <c r="W305" s="3" t="inlineStr">
        <is>
          <t>지정되지않음</t>
        </is>
      </c>
      <c r="X305" s="3" t="inlineStr">
        <is>
          <t>상업기타</t>
        </is>
      </c>
      <c r="Y305" s="3" t="inlineStr">
        <is>
          <t>평지</t>
        </is>
      </c>
      <c r="Z305" s="3" t="inlineStr">
        <is>
          <t>정방형</t>
        </is>
      </c>
      <c r="AA305" s="3" t="inlineStr">
        <is>
          <t>소로한면</t>
        </is>
      </c>
    </row>
    <row r="306">
      <c r="A306" s="3" t="inlineStr">
        <is>
          <t>조치원읍 남리 119-6</t>
        </is>
      </c>
      <c r="B306" s="3" t="inlineStr">
        <is>
          <t>제2종일반주거지역</t>
        </is>
      </c>
      <c r="C306" s="3" t="inlineStr">
        <is>
          <t>잡종지</t>
        </is>
      </c>
      <c r="D306" s="3" t="inlineStr">
        <is>
          <t>1</t>
        </is>
      </c>
      <c r="E306" s="3" t="inlineStr">
        <is>
          <t>일반원룸</t>
        </is>
      </c>
      <c r="F306" s="3" t="inlineStr">
        <is>
          <t>월세</t>
        </is>
      </c>
      <c r="G306" s="4" t="n">
        <v>200</v>
      </c>
      <c r="H306" s="4" t="n">
        <v>27</v>
      </c>
      <c r="I306" s="4" t="n">
        <v>16</v>
      </c>
      <c r="J306" s="4" t="n">
        <v>5</v>
      </c>
      <c r="K306" s="5" t="n">
        <v>5.4</v>
      </c>
      <c r="L306" s="4" t="n">
        <v>16</v>
      </c>
      <c r="M306" s="4" t="n">
        <v>5</v>
      </c>
      <c r="N306" s="5" t="n">
        <v>5.4</v>
      </c>
      <c r="O306" s="3" t="inlineStr">
        <is>
          <t>아늑하고 깔끔한 풀옵션,교통과 생활이 아주 편리,가성비 좋음,즉시 입주</t>
        </is>
      </c>
      <c r="P306" s="6">
        <f>HYPERLINK("https://fin.land.naver.com/articles/2651659898", "매물Link")</f>
        <v/>
      </c>
      <c r="Q306" s="6">
        <f>HYPERLINK("https://map.naver.com/p/search/조치원읍 남리 119-6", "지도Link")</f>
        <v/>
      </c>
      <c r="R306" s="6">
        <f>HYPERLINK("http://www.eum.go.kr/web/ar/lu/luLandDet.jsp?pnu=3611025027101190006&amp;isNoScr=script&amp;mode=search", "토지이음")</f>
        <v/>
      </c>
      <c r="S306" s="3" t="inlineStr">
        <is>
          <t>유정희</t>
        </is>
      </c>
      <c r="T306" s="4" t="n">
        <v>1</v>
      </c>
      <c r="U306" s="5" t="n">
        <v>285.5</v>
      </c>
      <c r="V306" s="4" t="n">
        <v>249</v>
      </c>
      <c r="W306" s="3" t="inlineStr">
        <is>
          <t>지정되지않음</t>
        </is>
      </c>
      <c r="X306" s="3" t="inlineStr">
        <is>
          <t>상업기타</t>
        </is>
      </c>
      <c r="Y306" s="3" t="inlineStr">
        <is>
          <t>평지</t>
        </is>
      </c>
      <c r="Z306" s="3" t="inlineStr">
        <is>
          <t>정방형</t>
        </is>
      </c>
      <c r="AA306" s="3" t="inlineStr">
        <is>
          <t>소로한면</t>
        </is>
      </c>
    </row>
    <row r="307">
      <c r="A307" s="3" t="inlineStr">
        <is>
          <t>조치원읍 남리 12-34</t>
        </is>
      </c>
      <c r="B307" s="3" t="inlineStr">
        <is>
          <t>제2종일반주거지역</t>
        </is>
      </c>
      <c r="C307" s="3" t="inlineStr">
        <is>
          <t>대</t>
        </is>
      </c>
      <c r="D307" s="3" t="inlineStr">
        <is>
          <t>2</t>
        </is>
      </c>
      <c r="E307" s="3" t="inlineStr">
        <is>
          <t>단독</t>
        </is>
      </c>
      <c r="F307" s="3" t="inlineStr">
        <is>
          <t>매매</t>
        </is>
      </c>
      <c r="G307" s="4" t="n">
        <v>16500</v>
      </c>
      <c r="H307" s="4" t="n">
        <v>0</v>
      </c>
      <c r="I307" s="4" t="n">
        <v>108</v>
      </c>
      <c r="J307" s="4" t="n">
        <v>33</v>
      </c>
      <c r="K307" s="5" t="n">
        <v>500</v>
      </c>
      <c r="L307" s="4" t="n">
        <v>110</v>
      </c>
      <c r="M307" s="4" t="n">
        <v>33</v>
      </c>
      <c r="N307" s="5" t="n">
        <v>500</v>
      </c>
      <c r="O307" s="3" t="inlineStr">
        <is>
          <t>남리 우성볼링장 뒷편  주택거주하고싶은분 추천합니다</t>
        </is>
      </c>
      <c r="P307" s="6">
        <f>HYPERLINK("https://fin.land.naver.com/articles/2649790458", "매물Link")</f>
        <v/>
      </c>
      <c r="Q307" s="6">
        <f>HYPERLINK("https://map.naver.com/p/search/조치원읍 남리 12-34", "지도Link")</f>
        <v/>
      </c>
      <c r="R307" s="6">
        <f>HYPERLINK("http://www.eum.go.kr/web/ar/lu/luLandDet.jsp?pnu=3611025027100120034&amp;isNoScr=script&amp;mode=search", "토지이음")</f>
        <v/>
      </c>
      <c r="S307" s="3" t="inlineStr">
        <is>
          <t>OK수</t>
        </is>
      </c>
      <c r="T307" s="4" t="n">
        <v>1</v>
      </c>
      <c r="U307" s="5" t="n">
        <v>196.8</v>
      </c>
      <c r="V307" s="4" t="n">
        <v>108</v>
      </c>
      <c r="W307" s="3" t="inlineStr">
        <is>
          <t>지정되지않음</t>
        </is>
      </c>
      <c r="X307" s="3" t="inlineStr">
        <is>
          <t>단독</t>
        </is>
      </c>
      <c r="Y307" s="3" t="inlineStr">
        <is>
          <t>평지</t>
        </is>
      </c>
      <c r="Z307" s="3" t="inlineStr">
        <is>
          <t>사다리형</t>
        </is>
      </c>
      <c r="AA307" s="3" t="inlineStr">
        <is>
          <t>세로한면(가)</t>
        </is>
      </c>
    </row>
    <row r="308">
      <c r="A308" s="3" t="inlineStr">
        <is>
          <t>조치원읍 남리 299-2</t>
        </is>
      </c>
      <c r="B308" s="3" t="inlineStr">
        <is>
          <t>제2종일반주거지역</t>
        </is>
      </c>
      <c r="C308" s="3" t="inlineStr">
        <is>
          <t>대</t>
        </is>
      </c>
      <c r="D308" s="3" t="inlineStr">
        <is>
          <t>2</t>
        </is>
      </c>
      <c r="E308" s="3" t="inlineStr">
        <is>
          <t>단독</t>
        </is>
      </c>
      <c r="F308" s="3" t="inlineStr">
        <is>
          <t>월세</t>
        </is>
      </c>
      <c r="G308" s="4" t="n">
        <v>200</v>
      </c>
      <c r="H308" s="4" t="n">
        <v>30</v>
      </c>
      <c r="I308" s="4" t="n">
        <v>26</v>
      </c>
      <c r="J308" s="4" t="n">
        <v>8</v>
      </c>
      <c r="K308" s="5" t="n">
        <v>3.8</v>
      </c>
      <c r="L308" s="4" t="n">
        <v>19</v>
      </c>
      <c r="M308" s="4" t="n">
        <v>6</v>
      </c>
      <c r="N308" s="5" t="n">
        <v>5</v>
      </c>
      <c r="O308" s="3" t="inlineStr">
        <is>
          <t>주방분리형.시장1분. 역3분.깔끔한방</t>
        </is>
      </c>
      <c r="P308" s="6">
        <f>HYPERLINK("https://fin.land.naver.com/articles/2653684540", "매물Link")</f>
        <v/>
      </c>
      <c r="Q308" s="6">
        <f>HYPERLINK("https://map.naver.com/p/search/조치원읍 남리 299-2", "지도Link")</f>
        <v/>
      </c>
      <c r="R308" s="6">
        <f>HYPERLINK("http://www.eum.go.kr/web/ar/lu/luLandDet.jsp?pnu=3611025027102990002&amp;isNoScr=script&amp;mode=search", "토지이음")</f>
        <v/>
      </c>
      <c r="S308" s="3" t="inlineStr">
        <is>
          <t>마이룸</t>
        </is>
      </c>
      <c r="T308" s="4" t="n">
        <v>1</v>
      </c>
      <c r="U308" s="5" t="n">
        <v>223.9</v>
      </c>
      <c r="V308" s="4" t="n">
        <v>407.8</v>
      </c>
      <c r="W308" s="3" t="inlineStr">
        <is>
          <t>지정되지않음</t>
        </is>
      </c>
      <c r="X308" s="3" t="inlineStr">
        <is>
          <t>단독</t>
        </is>
      </c>
      <c r="Y308" s="3" t="inlineStr">
        <is>
          <t>평지</t>
        </is>
      </c>
      <c r="Z308" s="3" t="inlineStr">
        <is>
          <t>세로장방</t>
        </is>
      </c>
      <c r="AA308" s="3" t="inlineStr">
        <is>
          <t>소로각지</t>
        </is>
      </c>
    </row>
    <row r="309">
      <c r="A309" s="3" t="inlineStr">
        <is>
          <t>조치원읍 남리 322</t>
        </is>
      </c>
      <c r="B309" s="3" t="inlineStr">
        <is>
          <t>제2종일반주거지역</t>
        </is>
      </c>
      <c r="C309" s="3" t="inlineStr">
        <is>
          <t>대</t>
        </is>
      </c>
      <c r="D309" s="3" t="inlineStr">
        <is>
          <t>4</t>
        </is>
      </c>
      <c r="E309" s="3" t="inlineStr">
        <is>
          <t>단독</t>
        </is>
      </c>
      <c r="F309" s="3" t="inlineStr">
        <is>
          <t>월세</t>
        </is>
      </c>
      <c r="G309" s="4" t="n">
        <v>200</v>
      </c>
      <c r="H309" s="4" t="n">
        <v>54</v>
      </c>
      <c r="I309" s="4" t="n">
        <v>49</v>
      </c>
      <c r="J309" s="4" t="n">
        <v>15</v>
      </c>
      <c r="K309" s="5" t="n">
        <v>3.6</v>
      </c>
      <c r="L309" s="4" t="n">
        <v>42</v>
      </c>
      <c r="M309" s="4" t="n">
        <v>13</v>
      </c>
      <c r="N309" s="5" t="n">
        <v>4.2</v>
      </c>
      <c r="O309" s="3" t="inlineStr">
        <is>
          <t>리모델링된 투룸 주택 빠른입주 협의</t>
        </is>
      </c>
      <c r="P309" s="6">
        <f>HYPERLINK("https://fin.land.naver.com/articles/2654029961", "매물Link")</f>
        <v/>
      </c>
      <c r="Q309" s="6">
        <f>HYPERLINK("https://map.naver.com/p/search/조치원읍 남리 322", "지도Link")</f>
        <v/>
      </c>
      <c r="R309" s="6">
        <f>HYPERLINK("http://www.eum.go.kr/web/ar/lu/luLandDet.jsp?pnu=3611025027103220000&amp;isNoScr=script&amp;mode=search", "토지이음")</f>
        <v/>
      </c>
      <c r="S309" s="3" t="inlineStr">
        <is>
          <t>척척</t>
        </is>
      </c>
      <c r="T309" s="4" t="n">
        <v>1</v>
      </c>
      <c r="U309" s="5" t="n">
        <v>393.7</v>
      </c>
      <c r="V309" s="4" t="n">
        <v>155.8</v>
      </c>
      <c r="W309" s="3" t="inlineStr">
        <is>
          <t>지정되지않음</t>
        </is>
      </c>
      <c r="X309" s="3" t="inlineStr">
        <is>
          <t>상업용</t>
        </is>
      </c>
      <c r="Y309" s="3" t="inlineStr">
        <is>
          <t>평지</t>
        </is>
      </c>
      <c r="Z309" s="3" t="inlineStr">
        <is>
          <t>가로장방</t>
        </is>
      </c>
      <c r="AA309" s="3" t="inlineStr">
        <is>
          <t>중로각지</t>
        </is>
      </c>
    </row>
    <row r="310">
      <c r="A310" s="3" t="inlineStr">
        <is>
          <t>조치원읍 남리 327</t>
        </is>
      </c>
      <c r="B310" s="3" t="inlineStr">
        <is>
          <t>제2종일반주거지역</t>
        </is>
      </c>
      <c r="C310" s="3" t="inlineStr">
        <is>
          <t>대</t>
        </is>
      </c>
      <c r="D310" s="3" t="inlineStr">
        <is>
          <t>1</t>
        </is>
      </c>
      <c r="E310" s="3" t="inlineStr">
        <is>
          <t>단독</t>
        </is>
      </c>
      <c r="F310" s="3" t="inlineStr">
        <is>
          <t>월세</t>
        </is>
      </c>
      <c r="G310" s="4" t="n">
        <v>500</v>
      </c>
      <c r="H310" s="4" t="n">
        <v>55</v>
      </c>
      <c r="I310" s="4" t="n">
        <v>57</v>
      </c>
      <c r="J310" s="4" t="n">
        <v>17</v>
      </c>
      <c r="K310" s="5" t="n">
        <v>3.2</v>
      </c>
      <c r="L310" s="4" t="n">
        <v>57</v>
      </c>
      <c r="M310" s="4" t="n">
        <v>17</v>
      </c>
      <c r="N310" s="5" t="n">
        <v>3.2</v>
      </c>
      <c r="O310" s="3" t="inlineStr">
        <is>
          <t>남리 수리후 첫입주 1층 2룸  즉시입주 가능합니다</t>
        </is>
      </c>
      <c r="P310" s="6">
        <f>HYPERLINK("https://fin.land.naver.com/articles/2654337746", "매물Link")</f>
        <v/>
      </c>
      <c r="Q310" s="6">
        <f>HYPERLINK("https://map.naver.com/p/search/조치원읍 남리 327", "지도Link")</f>
        <v/>
      </c>
      <c r="R310" s="6">
        <f>HYPERLINK("http://www.eum.go.kr/web/ar/lu/luLandDet.jsp?pnu=3611025027103270000&amp;isNoScr=script&amp;mode=search", "토지이음")</f>
        <v/>
      </c>
      <c r="S310" s="3" t="inlineStr">
        <is>
          <t>OK수</t>
        </is>
      </c>
      <c r="T310" s="4" t="n">
        <v>1</v>
      </c>
      <c r="U310" s="5" t="n">
        <v>272.9</v>
      </c>
      <c r="V310" s="4" t="n">
        <v>222.4</v>
      </c>
      <c r="W310" s="3" t="inlineStr">
        <is>
          <t>지정되지않음</t>
        </is>
      </c>
      <c r="X310" s="3" t="inlineStr">
        <is>
          <t>상업용</t>
        </is>
      </c>
      <c r="Y310" s="3" t="inlineStr">
        <is>
          <t>평지</t>
        </is>
      </c>
      <c r="Z310" s="3" t="inlineStr">
        <is>
          <t>세로장방</t>
        </is>
      </c>
      <c r="AA310" s="3" t="inlineStr">
        <is>
          <t>소로한면</t>
        </is>
      </c>
    </row>
    <row r="311">
      <c r="A311" s="3" t="inlineStr">
        <is>
          <t>조치원읍 남리 351</t>
        </is>
      </c>
      <c r="B311" s="3" t="inlineStr">
        <is>
          <t>제2종일반주거지역</t>
        </is>
      </c>
      <c r="C311" s="3" t="inlineStr">
        <is>
          <t>대</t>
        </is>
      </c>
      <c r="D311" s="3" t="inlineStr">
        <is>
          <t>3</t>
        </is>
      </c>
      <c r="E311" s="3" t="inlineStr">
        <is>
          <t>도시형생활주택</t>
        </is>
      </c>
      <c r="F311" s="3" t="inlineStr">
        <is>
          <t>월세</t>
        </is>
      </c>
      <c r="G311" s="4" t="n">
        <v>200</v>
      </c>
      <c r="H311" s="4" t="n">
        <v>31</v>
      </c>
      <c r="I311" s="4" t="n">
        <v>25</v>
      </c>
      <c r="J311" s="4" t="n">
        <v>8</v>
      </c>
      <c r="K311" s="5" t="n">
        <v>3.9</v>
      </c>
      <c r="L311" s="4" t="n">
        <v>17</v>
      </c>
      <c r="M311" s="4" t="n">
        <v>5</v>
      </c>
      <c r="N311" s="5" t="n">
        <v>6.2</v>
      </c>
      <c r="O311" s="3" t="inlineStr">
        <is>
          <t>세종 명품 오피스텔</t>
        </is>
      </c>
      <c r="P311" s="6">
        <f>HYPERLINK("https://fin.land.naver.com/articles/2654414962", "매물Link")</f>
        <v/>
      </c>
      <c r="Q311" s="6">
        <f>HYPERLINK("https://map.naver.com/p/search/조치원읍 남리 351", "지도Link")</f>
        <v/>
      </c>
      <c r="R311" s="6">
        <f>HYPERLINK("http://www.eum.go.kr/web/ar/lu/luLandDet.jsp?pnu=3611025027103510000&amp;isNoScr=script&amp;mode=search", "토지이음")</f>
        <v/>
      </c>
      <c r="S311" s="3" t="inlineStr">
        <is>
          <t>척척</t>
        </is>
      </c>
      <c r="T311" s="4" t="n">
        <v>1</v>
      </c>
      <c r="U311" s="5" t="n">
        <v>278.9</v>
      </c>
      <c r="V311" s="4" t="n">
        <v>812.5</v>
      </c>
      <c r="W311" s="3" t="inlineStr">
        <is>
          <t>지정되지않음</t>
        </is>
      </c>
      <c r="X311" s="3" t="inlineStr">
        <is>
          <t>상업용</t>
        </is>
      </c>
      <c r="Y311" s="3" t="inlineStr">
        <is>
          <t>평지</t>
        </is>
      </c>
      <c r="Z311" s="3" t="inlineStr">
        <is>
          <t>세로장방</t>
        </is>
      </c>
      <c r="AA311" s="3" t="inlineStr">
        <is>
          <t>소로각지</t>
        </is>
      </c>
    </row>
    <row r="312">
      <c r="A312" s="3" t="inlineStr">
        <is>
          <t>조치원읍 남리 351</t>
        </is>
      </c>
      <c r="B312" s="3" t="inlineStr">
        <is>
          <t>제2종일반주거지역</t>
        </is>
      </c>
      <c r="C312" s="3" t="inlineStr">
        <is>
          <t>대</t>
        </is>
      </c>
      <c r="D312" s="3" t="inlineStr">
        <is>
          <t>2</t>
        </is>
      </c>
      <c r="E312" s="3" t="inlineStr">
        <is>
          <t>도시형생활주택</t>
        </is>
      </c>
      <c r="F312" s="3" t="inlineStr">
        <is>
          <t>월세</t>
        </is>
      </c>
      <c r="G312" s="4" t="n">
        <v>200</v>
      </c>
      <c r="H312" s="4" t="n">
        <v>30</v>
      </c>
      <c r="I312" s="4" t="n">
        <v>25</v>
      </c>
      <c r="J312" s="4" t="n">
        <v>8</v>
      </c>
      <c r="K312" s="5" t="n">
        <v>3.8</v>
      </c>
      <c r="L312" s="4" t="n">
        <v>16</v>
      </c>
      <c r="M312" s="4" t="n">
        <v>5</v>
      </c>
      <c r="N312" s="5" t="n">
        <v>6</v>
      </c>
      <c r="O312" s="3" t="inlineStr">
        <is>
          <t>남리 깔끔1룸 월세,엘베있음.</t>
        </is>
      </c>
      <c r="P312" s="6">
        <f>HYPERLINK("https://fin.land.naver.com/articles/2650099249", "매물Link")</f>
        <v/>
      </c>
      <c r="Q312" s="6">
        <f>HYPERLINK("https://map.naver.com/p/search/조치원읍 남리 351", "지도Link")</f>
        <v/>
      </c>
      <c r="R312" s="6">
        <f>HYPERLINK("http://www.eum.go.kr/web/ar/lu/luLandDet.jsp?pnu=3611025027103510000&amp;isNoScr=script&amp;mode=search", "토지이음")</f>
        <v/>
      </c>
      <c r="S312" s="3" t="inlineStr">
        <is>
          <t>이음</t>
        </is>
      </c>
      <c r="T312" s="4" t="n">
        <v>1</v>
      </c>
      <c r="U312" s="5" t="n">
        <v>278.9</v>
      </c>
      <c r="V312" s="4" t="n">
        <v>812.5</v>
      </c>
      <c r="W312" s="3" t="inlineStr">
        <is>
          <t>지정되지않음</t>
        </is>
      </c>
      <c r="X312" s="3" t="inlineStr">
        <is>
          <t>상업용</t>
        </is>
      </c>
      <c r="Y312" s="3" t="inlineStr">
        <is>
          <t>평지</t>
        </is>
      </c>
      <c r="Z312" s="3" t="inlineStr">
        <is>
          <t>세로장방</t>
        </is>
      </c>
      <c r="AA312" s="3" t="inlineStr">
        <is>
          <t>소로각지</t>
        </is>
      </c>
    </row>
    <row r="313">
      <c r="A313" s="3" t="inlineStr">
        <is>
          <t>조치원읍 남리 351</t>
        </is>
      </c>
      <c r="B313" s="3" t="inlineStr">
        <is>
          <t>제2종일반주거지역</t>
        </is>
      </c>
      <c r="C313" s="3" t="inlineStr">
        <is>
          <t>대</t>
        </is>
      </c>
      <c r="D313" s="3" t="inlineStr">
        <is>
          <t>0</t>
        </is>
      </c>
      <c r="E313" s="3" t="inlineStr">
        <is>
          <t>일반원룸</t>
        </is>
      </c>
      <c r="F313" s="3" t="inlineStr">
        <is>
          <t>월세</t>
        </is>
      </c>
      <c r="G313" s="4" t="n">
        <v>200</v>
      </c>
      <c r="H313" s="4" t="n">
        <v>30</v>
      </c>
      <c r="I313" s="4" t="n">
        <v>39</v>
      </c>
      <c r="J313" s="4" t="n">
        <v>12</v>
      </c>
      <c r="K313" s="5" t="n">
        <v>2.5</v>
      </c>
      <c r="L313" s="4" t="n">
        <v>26</v>
      </c>
      <c r="M313" s="4" t="n">
        <v>8</v>
      </c>
      <c r="N313" s="5" t="n">
        <v>3.8</v>
      </c>
      <c r="O313" s="3" t="inlineStr">
        <is>
          <t>넓은싸이즈 깔끔한 오피스텔 편리한주차시설 엘리베이터완비</t>
        </is>
      </c>
      <c r="P313" s="6">
        <f>HYPERLINK("https://fin.land.naver.com/articles/2650578754", "매물Link")</f>
        <v/>
      </c>
      <c r="Q313" s="6">
        <f>HYPERLINK("https://map.naver.com/p/search/조치원읍 남리 351", "지도Link")</f>
        <v/>
      </c>
      <c r="R313" s="6">
        <f>HYPERLINK("http://www.eum.go.kr/web/ar/lu/luLandDet.jsp?pnu=3611025027103510000&amp;isNoScr=script&amp;mode=search", "토지이음")</f>
        <v/>
      </c>
      <c r="S313" s="3" t="inlineStr">
        <is>
          <t>척척</t>
        </is>
      </c>
      <c r="T313" s="4" t="n">
        <v>1</v>
      </c>
      <c r="U313" s="5" t="n">
        <v>278.9</v>
      </c>
      <c r="V313" s="4" t="n">
        <v>812.5</v>
      </c>
      <c r="W313" s="3" t="inlineStr">
        <is>
          <t>지정되지않음</t>
        </is>
      </c>
      <c r="X313" s="3" t="inlineStr">
        <is>
          <t>상업용</t>
        </is>
      </c>
      <c r="Y313" s="3" t="inlineStr">
        <is>
          <t>평지</t>
        </is>
      </c>
      <c r="Z313" s="3" t="inlineStr">
        <is>
          <t>세로장방</t>
        </is>
      </c>
      <c r="AA313" s="3" t="inlineStr">
        <is>
          <t>소로각지</t>
        </is>
      </c>
    </row>
    <row r="314">
      <c r="A314" s="3" t="inlineStr">
        <is>
          <t>조치원읍 남리 354</t>
        </is>
      </c>
      <c r="B314" s="3" t="inlineStr">
        <is>
          <t>제2종일반주거지역</t>
        </is>
      </c>
      <c r="C314" s="3" t="inlineStr">
        <is>
          <t>대</t>
        </is>
      </c>
      <c r="D314" s="3" t="inlineStr">
        <is>
          <t>4</t>
        </is>
      </c>
      <c r="E314" s="3" t="inlineStr">
        <is>
          <t>일반원룸</t>
        </is>
      </c>
      <c r="F314" s="3" t="inlineStr">
        <is>
          <t>단기임대</t>
        </is>
      </c>
      <c r="G314" s="4" t="n">
        <v>150</v>
      </c>
      <c r="H314" s="4" t="n">
        <v>40</v>
      </c>
      <c r="I314" s="4" t="n">
        <v>30</v>
      </c>
      <c r="J314" s="4" t="n">
        <v>9</v>
      </c>
      <c r="K314" s="5" t="n">
        <v>16.7</v>
      </c>
      <c r="L314" s="4" t="n">
        <v>21</v>
      </c>
      <c r="M314" s="4" t="n">
        <v>6</v>
      </c>
      <c r="N314" s="5" t="n">
        <v>25</v>
      </c>
      <c r="O314" s="3" t="inlineStr">
        <is>
          <t>조치원명품원룸 도시형생활주택 조치원역도보5분  즉시입주가능 관리소장근무</t>
        </is>
      </c>
      <c r="P314" s="6">
        <f>HYPERLINK("https://fin.land.naver.com/articles/2651801042", "매물Link")</f>
        <v/>
      </c>
      <c r="Q314" s="6">
        <f>HYPERLINK("https://map.naver.com/p/search/조치원읍 남리 354", "지도Link")</f>
        <v/>
      </c>
      <c r="R314" s="6">
        <f>HYPERLINK("http://www.eum.go.kr/web/ar/lu/luLandDet.jsp?pnu=3611025027103540000&amp;isNoScr=script&amp;mode=search", "토지이음")</f>
        <v/>
      </c>
      <c r="S314" s="3" t="inlineStr">
        <is>
          <t>까치</t>
        </is>
      </c>
      <c r="T314" s="4" t="n">
        <v>1</v>
      </c>
      <c r="U314" s="5" t="n">
        <v>275.7</v>
      </c>
      <c r="V314" s="4" t="n">
        <v>605.2</v>
      </c>
      <c r="W314" s="3" t="inlineStr">
        <is>
          <t>지정되지않음</t>
        </is>
      </c>
      <c r="X314" s="3" t="inlineStr">
        <is>
          <t>상업나지</t>
        </is>
      </c>
      <c r="Y314" s="3" t="inlineStr">
        <is>
          <t>평지</t>
        </is>
      </c>
      <c r="Z314" s="3" t="inlineStr">
        <is>
          <t>정방형</t>
        </is>
      </c>
      <c r="AA314" s="3" t="inlineStr">
        <is>
          <t>소로한면</t>
        </is>
      </c>
    </row>
    <row r="315">
      <c r="A315" s="3" t="inlineStr">
        <is>
          <t>조치원읍 남리 354</t>
        </is>
      </c>
      <c r="B315" s="3" t="inlineStr">
        <is>
          <t>제2종일반주거지역</t>
        </is>
      </c>
      <c r="C315" s="3" t="inlineStr">
        <is>
          <t>대</t>
        </is>
      </c>
      <c r="D315" s="3" t="inlineStr">
        <is>
          <t>4</t>
        </is>
      </c>
      <c r="E315" s="3" t="inlineStr">
        <is>
          <t>일반원룸</t>
        </is>
      </c>
      <c r="F315" s="3" t="inlineStr">
        <is>
          <t>단기임대</t>
        </is>
      </c>
      <c r="G315" s="4" t="n">
        <v>150</v>
      </c>
      <c r="H315" s="4" t="n">
        <v>38</v>
      </c>
      <c r="I315" s="4" t="n">
        <v>30</v>
      </c>
      <c r="J315" s="4" t="n">
        <v>9</v>
      </c>
      <c r="K315" s="5" t="n">
        <v>16.7</v>
      </c>
      <c r="L315" s="4" t="n">
        <v>21</v>
      </c>
      <c r="M315" s="4" t="n">
        <v>6</v>
      </c>
      <c r="N315" s="5" t="n">
        <v>25</v>
      </c>
      <c r="O315" s="3" t="inlineStr">
        <is>
          <t>조치원명품원룸 도시형생활주택 조치원역도보5분  즉시입주가능 관리소장근무</t>
        </is>
      </c>
      <c r="P315" s="6">
        <f>HYPERLINK("https://fin.land.naver.com/articles/2651839350", "매물Link")</f>
        <v/>
      </c>
      <c r="Q315" s="6">
        <f>HYPERLINK("https://map.naver.com/p/search/조치원읍 남리 354", "지도Link")</f>
        <v/>
      </c>
      <c r="R315" s="6">
        <f>HYPERLINK("http://www.eum.go.kr/web/ar/lu/luLandDet.jsp?pnu=3611025027103540000&amp;isNoScr=script&amp;mode=search", "토지이음")</f>
        <v/>
      </c>
      <c r="S315" s="3" t="inlineStr">
        <is>
          <t>까치</t>
        </is>
      </c>
      <c r="T315" s="4" t="n">
        <v>1</v>
      </c>
      <c r="U315" s="5" t="n">
        <v>275.7</v>
      </c>
      <c r="V315" s="4" t="n">
        <v>605.2</v>
      </c>
      <c r="W315" s="3" t="inlineStr">
        <is>
          <t>지정되지않음</t>
        </is>
      </c>
      <c r="X315" s="3" t="inlineStr">
        <is>
          <t>상업나지</t>
        </is>
      </c>
      <c r="Y315" s="3" t="inlineStr">
        <is>
          <t>평지</t>
        </is>
      </c>
      <c r="Z315" s="3" t="inlineStr">
        <is>
          <t>정방형</t>
        </is>
      </c>
      <c r="AA315" s="3" t="inlineStr">
        <is>
          <t>소로한면</t>
        </is>
      </c>
    </row>
    <row r="316">
      <c r="A316" s="3" t="inlineStr">
        <is>
          <t>조치원읍 남리 354</t>
        </is>
      </c>
      <c r="B316" s="3" t="inlineStr">
        <is>
          <t>제2종일반주거지역</t>
        </is>
      </c>
      <c r="C316" s="3" t="inlineStr">
        <is>
          <t>대</t>
        </is>
      </c>
      <c r="D316" s="3" t="inlineStr">
        <is>
          <t>3</t>
        </is>
      </c>
      <c r="E316" s="3" t="inlineStr">
        <is>
          <t>일반원룸</t>
        </is>
      </c>
      <c r="F316" s="3" t="inlineStr">
        <is>
          <t>월세</t>
        </is>
      </c>
      <c r="G316" s="4" t="n">
        <v>150</v>
      </c>
      <c r="H316" s="4" t="n">
        <v>32</v>
      </c>
      <c r="I316" s="4" t="n">
        <v>24</v>
      </c>
      <c r="J316" s="4" t="n">
        <v>7</v>
      </c>
      <c r="K316" s="5" t="n">
        <v>4.6</v>
      </c>
      <c r="L316" s="4" t="n">
        <v>13</v>
      </c>
      <c r="M316" s="4" t="n">
        <v>4</v>
      </c>
      <c r="N316" s="5" t="n">
        <v>8</v>
      </c>
      <c r="O316" s="3" t="inlineStr">
        <is>
          <t>조치원명품원룸 도시형생활주택 조치원역도보5분  즉시입주가능 관리소장근무</t>
        </is>
      </c>
      <c r="P316" s="6">
        <f>HYPERLINK("https://fin.land.naver.com/articles/2651832029", "매물Link")</f>
        <v/>
      </c>
      <c r="Q316" s="6">
        <f>HYPERLINK("https://map.naver.com/p/search/조치원읍 남리 354", "지도Link")</f>
        <v/>
      </c>
      <c r="R316" s="6">
        <f>HYPERLINK("http://www.eum.go.kr/web/ar/lu/luLandDet.jsp?pnu=3611025027103540000&amp;isNoScr=script&amp;mode=search", "토지이음")</f>
        <v/>
      </c>
      <c r="S316" s="3" t="inlineStr">
        <is>
          <t>까치</t>
        </is>
      </c>
      <c r="T316" s="4" t="n">
        <v>1</v>
      </c>
      <c r="U316" s="5" t="n">
        <v>275.7</v>
      </c>
      <c r="V316" s="4" t="n">
        <v>605.2</v>
      </c>
      <c r="W316" s="3" t="inlineStr">
        <is>
          <t>지정되지않음</t>
        </is>
      </c>
      <c r="X316" s="3" t="inlineStr">
        <is>
          <t>상업나지</t>
        </is>
      </c>
      <c r="Y316" s="3" t="inlineStr">
        <is>
          <t>평지</t>
        </is>
      </c>
      <c r="Z316" s="3" t="inlineStr">
        <is>
          <t>정방형</t>
        </is>
      </c>
      <c r="AA316" s="3" t="inlineStr">
        <is>
          <t>소로한면</t>
        </is>
      </c>
    </row>
    <row r="317">
      <c r="A317" s="3" t="inlineStr">
        <is>
          <t>조치원읍 남리 354</t>
        </is>
      </c>
      <c r="B317" s="3" t="inlineStr">
        <is>
          <t>제2종일반주거지역</t>
        </is>
      </c>
      <c r="C317" s="3" t="inlineStr">
        <is>
          <t>대</t>
        </is>
      </c>
      <c r="D317" s="3" t="inlineStr">
        <is>
          <t>4</t>
        </is>
      </c>
      <c r="E317" s="3" t="inlineStr">
        <is>
          <t>일반원룸</t>
        </is>
      </c>
      <c r="F317" s="3" t="inlineStr">
        <is>
          <t>단기임대</t>
        </is>
      </c>
      <c r="G317" s="4" t="n">
        <v>120</v>
      </c>
      <c r="H317" s="4" t="n">
        <v>40</v>
      </c>
      <c r="I317" s="4" t="n">
        <v>29</v>
      </c>
      <c r="J317" s="4" t="n">
        <v>9</v>
      </c>
      <c r="K317" s="5" t="n">
        <v>13.3</v>
      </c>
      <c r="L317" s="4" t="n">
        <v>20</v>
      </c>
      <c r="M317" s="4" t="n">
        <v>6</v>
      </c>
      <c r="N317" s="5" t="n">
        <v>20</v>
      </c>
      <c r="O317" s="3" t="inlineStr">
        <is>
          <t>단기 2개월도 임대가능 명품원룸 조치원역도보5분 주차넉넉 즉시입주</t>
        </is>
      </c>
      <c r="P317" s="6">
        <f>HYPERLINK("https://fin.land.naver.com/articles/2651797631", "매물Link")</f>
        <v/>
      </c>
      <c r="Q317" s="6">
        <f>HYPERLINK("https://map.naver.com/p/search/조치원읍 남리 354", "지도Link")</f>
        <v/>
      </c>
      <c r="R317" s="6">
        <f>HYPERLINK("http://www.eum.go.kr/web/ar/lu/luLandDet.jsp?pnu=3611025027103540000&amp;isNoScr=script&amp;mode=search", "토지이음")</f>
        <v/>
      </c>
      <c r="S317" s="3" t="inlineStr">
        <is>
          <t>까치</t>
        </is>
      </c>
      <c r="T317" s="4" t="n">
        <v>1</v>
      </c>
      <c r="U317" s="5" t="n">
        <v>275.7</v>
      </c>
      <c r="V317" s="4" t="n">
        <v>605.2</v>
      </c>
      <c r="W317" s="3" t="inlineStr">
        <is>
          <t>지정되지않음</t>
        </is>
      </c>
      <c r="X317" s="3" t="inlineStr">
        <is>
          <t>상업나지</t>
        </is>
      </c>
      <c r="Y317" s="3" t="inlineStr">
        <is>
          <t>평지</t>
        </is>
      </c>
      <c r="Z317" s="3" t="inlineStr">
        <is>
          <t>정방형</t>
        </is>
      </c>
      <c r="AA317" s="3" t="inlineStr">
        <is>
          <t>소로한면</t>
        </is>
      </c>
    </row>
    <row r="318">
      <c r="A318" s="3" t="inlineStr">
        <is>
          <t>조치원읍 남리 367-1</t>
        </is>
      </c>
      <c r="B318" s="3" t="inlineStr">
        <is>
          <t>제2종일반주거지역</t>
        </is>
      </c>
      <c r="C318" s="3" t="inlineStr">
        <is>
          <t>대</t>
        </is>
      </c>
      <c r="D318" s="3" t="inlineStr">
        <is>
          <t>2</t>
        </is>
      </c>
      <c r="E318" s="3" t="inlineStr">
        <is>
          <t>일반원룸</t>
        </is>
      </c>
      <c r="F318" s="3" t="inlineStr">
        <is>
          <t>월세</t>
        </is>
      </c>
      <c r="G318" s="4" t="n">
        <v>100</v>
      </c>
      <c r="H318" s="4" t="n">
        <v>30</v>
      </c>
      <c r="I318" s="4" t="n">
        <v>23</v>
      </c>
      <c r="J318" s="4" t="n">
        <v>7</v>
      </c>
      <c r="K318" s="5" t="n">
        <v>4.3</v>
      </c>
      <c r="L318" s="4" t="n">
        <v>18</v>
      </c>
      <c r="M318" s="4" t="n">
        <v>5</v>
      </c>
      <c r="N318" s="5" t="n">
        <v>6</v>
      </c>
      <c r="O318" s="3" t="inlineStr">
        <is>
          <t>방크고 저렴한 원룸</t>
        </is>
      </c>
      <c r="P318" s="6">
        <f>HYPERLINK("https://fin.land.naver.com/articles/2650575812", "매물Link")</f>
        <v/>
      </c>
      <c r="Q318" s="6">
        <f>HYPERLINK("https://map.naver.com/p/search/조치원읍 남리 367-1", "지도Link")</f>
        <v/>
      </c>
      <c r="R318" s="6">
        <f>HYPERLINK("http://www.eum.go.kr/web/ar/lu/luLandDet.jsp?pnu=3611025027103670001&amp;isNoScr=script&amp;mode=search", "토지이음")</f>
        <v/>
      </c>
      <c r="S318" s="3" t="inlineStr">
        <is>
          <t>골드</t>
        </is>
      </c>
      <c r="T318" s="4" t="n">
        <v>1</v>
      </c>
      <c r="U318" s="5" t="n">
        <v>280.4</v>
      </c>
      <c r="V318" s="4" t="n">
        <v>270.8</v>
      </c>
      <c r="W318" s="3" t="inlineStr">
        <is>
          <t>지정되지않음</t>
        </is>
      </c>
      <c r="X318" s="3" t="inlineStr">
        <is>
          <t>상업나지</t>
        </is>
      </c>
      <c r="Y318" s="3" t="inlineStr">
        <is>
          <t>평지</t>
        </is>
      </c>
      <c r="Z318" s="3" t="inlineStr">
        <is>
          <t>세로장방</t>
        </is>
      </c>
      <c r="AA318" s="3" t="inlineStr">
        <is>
          <t>중로한면</t>
        </is>
      </c>
    </row>
    <row r="319">
      <c r="A319" s="3" t="inlineStr">
        <is>
          <t>조치원읍 남리 368</t>
        </is>
      </c>
      <c r="B319" s="3" t="inlineStr">
        <is>
          <t>제2종일반주거지역</t>
        </is>
      </c>
      <c r="C319" s="3" t="inlineStr">
        <is>
          <t>대</t>
        </is>
      </c>
      <c r="D319" s="3" t="inlineStr">
        <is>
          <t>0</t>
        </is>
      </c>
      <c r="E319" s="3" t="inlineStr">
        <is>
          <t>단독</t>
        </is>
      </c>
      <c r="F319" s="3" t="inlineStr">
        <is>
          <t>전세</t>
        </is>
      </c>
      <c r="G319" s="4" t="n">
        <v>4200</v>
      </c>
      <c r="H319" s="4" t="n">
        <v>0</v>
      </c>
      <c r="I319" s="4" t="n">
        <v>46</v>
      </c>
      <c r="J319" s="4" t="n">
        <v>14</v>
      </c>
      <c r="K319" s="5" t="n">
        <v>300</v>
      </c>
      <c r="L319" s="4" t="n">
        <v>33</v>
      </c>
      <c r="M319" s="4" t="n">
        <v>10</v>
      </c>
      <c r="N319" s="5" t="n">
        <v>420</v>
      </c>
      <c r="O319" s="3" t="inlineStr">
        <is>
          <t>nan</t>
        </is>
      </c>
      <c r="P319" s="6">
        <f>HYPERLINK("https://fin.land.naver.com/articles/2653251952", "매물Link")</f>
        <v/>
      </c>
      <c r="Q319" s="6">
        <f>HYPERLINK("https://map.naver.com/p/search/조치원읍 남리 368", "지도Link")</f>
        <v/>
      </c>
      <c r="R319" s="6">
        <f>HYPERLINK("http://www.eum.go.kr/web/ar/lu/luLandDet.jsp?pnu=3611025027103680000&amp;isNoScr=script&amp;mode=search", "토지이음")</f>
        <v/>
      </c>
      <c r="S319" s="3" t="inlineStr">
        <is>
          <t>척척</t>
        </is>
      </c>
      <c r="T319" s="4" t="n">
        <v>1</v>
      </c>
      <c r="U319" s="5" t="n">
        <v>280.4</v>
      </c>
      <c r="V319" s="4" t="n">
        <v>549.4</v>
      </c>
      <c r="W319" s="3" t="inlineStr">
        <is>
          <t>지정되지않음</t>
        </is>
      </c>
      <c r="X319" s="3" t="inlineStr">
        <is>
          <t>상업나지</t>
        </is>
      </c>
      <c r="Y319" s="3" t="inlineStr">
        <is>
          <t>평지</t>
        </is>
      </c>
      <c r="Z319" s="3" t="inlineStr">
        <is>
          <t>세로장방</t>
        </is>
      </c>
      <c r="AA319" s="3" t="inlineStr">
        <is>
          <t>중로한면</t>
        </is>
      </c>
    </row>
    <row r="320">
      <c r="A320" s="3" t="inlineStr">
        <is>
          <t>조치원읍 남리 37-4</t>
        </is>
      </c>
      <c r="B320" s="3" t="inlineStr">
        <is>
          <t>제2종일반주거지역</t>
        </is>
      </c>
      <c r="C320" s="3" t="inlineStr">
        <is>
          <t>대</t>
        </is>
      </c>
      <c r="D320" s="3" t="inlineStr">
        <is>
          <t>3</t>
        </is>
      </c>
      <c r="E320" s="3" t="inlineStr">
        <is>
          <t>일반원룸</t>
        </is>
      </c>
      <c r="F320" s="3" t="inlineStr">
        <is>
          <t>월세</t>
        </is>
      </c>
      <c r="G320" s="4" t="n">
        <v>100</v>
      </c>
      <c r="H320" s="4" t="n">
        <v>29</v>
      </c>
      <c r="I320" s="4" t="n">
        <v>39</v>
      </c>
      <c r="J320" s="4" t="n">
        <v>12</v>
      </c>
      <c r="K320" s="5" t="n">
        <v>2.4</v>
      </c>
      <c r="L320" s="4" t="n">
        <v>26</v>
      </c>
      <c r="M320" s="4" t="n">
        <v>8</v>
      </c>
      <c r="N320" s="5" t="n">
        <v>3.6</v>
      </c>
      <c r="O320" s="3" t="inlineStr">
        <is>
          <t>조치원역 인근O엘리베이터O인프라좋아요</t>
        </is>
      </c>
      <c r="P320" s="6">
        <f>HYPERLINK("https://fin.land.naver.com/articles/2653996242", "매물Link")</f>
        <v/>
      </c>
      <c r="Q320" s="6">
        <f>HYPERLINK("https://map.naver.com/p/search/조치원읍 남리 37-4", "지도Link")</f>
        <v/>
      </c>
      <c r="R320" s="6">
        <f>HYPERLINK("http://www.eum.go.kr/web/ar/lu/luLandDet.jsp?pnu=3611025027100370004&amp;isNoScr=script&amp;mode=search", "토지이음")</f>
        <v/>
      </c>
      <c r="S320" s="3" t="inlineStr">
        <is>
          <t>척척</t>
        </is>
      </c>
      <c r="T320" s="4" t="n">
        <v>1</v>
      </c>
      <c r="U320" s="5" t="n">
        <v>254.6</v>
      </c>
      <c r="V320" s="4" t="n">
        <v>221</v>
      </c>
      <c r="W320" s="3" t="inlineStr">
        <is>
          <t>지정되지않음</t>
        </is>
      </c>
      <c r="X320" s="3" t="inlineStr">
        <is>
          <t>상업용</t>
        </is>
      </c>
      <c r="Y320" s="3" t="inlineStr">
        <is>
          <t>평지</t>
        </is>
      </c>
      <c r="Z320" s="3" t="inlineStr">
        <is>
          <t>사다리형</t>
        </is>
      </c>
      <c r="AA320" s="3" t="inlineStr">
        <is>
          <t>소로한면</t>
        </is>
      </c>
    </row>
    <row r="321">
      <c r="A321" s="3" t="inlineStr">
        <is>
          <t>조치원읍 남리 397</t>
        </is>
      </c>
      <c r="B321" s="3" t="inlineStr">
        <is>
          <t>제2종일반주거지역</t>
        </is>
      </c>
      <c r="C321" s="3" t="inlineStr">
        <is>
          <t>대</t>
        </is>
      </c>
      <c r="D321" s="3" t="inlineStr">
        <is>
          <t>3</t>
        </is>
      </c>
      <c r="E321" s="3" t="inlineStr">
        <is>
          <t>일반원룸</t>
        </is>
      </c>
      <c r="F321" s="3" t="inlineStr">
        <is>
          <t>월세</t>
        </is>
      </c>
      <c r="G321" s="4" t="n">
        <v>300</v>
      </c>
      <c r="H321" s="4" t="n">
        <v>45</v>
      </c>
      <c r="I321" s="4" t="n">
        <v>52</v>
      </c>
      <c r="J321" s="4" t="n">
        <v>16</v>
      </c>
      <c r="K321" s="5" t="n">
        <v>2.8</v>
      </c>
      <c r="L321" s="4" t="n">
        <v>42</v>
      </c>
      <c r="M321" s="4" t="n">
        <v>13</v>
      </c>
      <c r="N321" s="5" t="n">
        <v>3.5</v>
      </c>
      <c r="O321" s="3" t="inlineStr">
        <is>
          <t>조치원역,시장 10분거리, 투룸,엘리베이터O,먹자골목위치,채광환기짱</t>
        </is>
      </c>
      <c r="P321" s="6">
        <f>HYPERLINK("https://fin.land.naver.com/articles/2651743053", "매물Link")</f>
        <v/>
      </c>
      <c r="Q321" s="6">
        <f>HYPERLINK("https://map.naver.com/p/search/조치원읍 남리 397", "지도Link")</f>
        <v/>
      </c>
      <c r="R321" s="6">
        <f>HYPERLINK("http://www.eum.go.kr/web/ar/lu/luLandDet.jsp?pnu=3611025027103970000&amp;isNoScr=script&amp;mode=search", "토지이음")</f>
        <v/>
      </c>
      <c r="S321" s="3" t="inlineStr">
        <is>
          <t>오송메카</t>
        </is>
      </c>
      <c r="T321" s="4" t="n">
        <v>1</v>
      </c>
      <c r="U321" s="5" t="n">
        <v>286.1</v>
      </c>
      <c r="V321" s="4" t="n">
        <v>546.2</v>
      </c>
      <c r="W321" s="3" t="inlineStr">
        <is>
          <t>지정되지않음</t>
        </is>
      </c>
      <c r="X321" s="3" t="inlineStr">
        <is>
          <t>상업나지</t>
        </is>
      </c>
      <c r="Y321" s="3" t="inlineStr">
        <is>
          <t>평지</t>
        </is>
      </c>
      <c r="Z321" s="3" t="inlineStr">
        <is>
          <t>가로장방</t>
        </is>
      </c>
      <c r="AA321" s="3" t="inlineStr">
        <is>
          <t>중로한면</t>
        </is>
      </c>
    </row>
    <row r="322">
      <c r="A322" s="3" t="inlineStr">
        <is>
          <t>조치원읍 남리 408</t>
        </is>
      </c>
      <c r="B322" s="3" t="inlineStr">
        <is>
          <t>제2종일반주거지역</t>
        </is>
      </c>
      <c r="C322" s="3" t="inlineStr">
        <is>
          <t>대</t>
        </is>
      </c>
      <c r="D322" s="3" t="inlineStr">
        <is>
          <t>2</t>
        </is>
      </c>
      <c r="E322" s="3" t="inlineStr">
        <is>
          <t>다가구</t>
        </is>
      </c>
      <c r="F322" s="3" t="inlineStr">
        <is>
          <t>월세</t>
        </is>
      </c>
      <c r="G322" s="4" t="n">
        <v>500</v>
      </c>
      <c r="H322" s="4" t="n">
        <v>55</v>
      </c>
      <c r="I322" s="4" t="n">
        <v>59</v>
      </c>
      <c r="J322" s="4" t="n">
        <v>18</v>
      </c>
      <c r="K322" s="5" t="n">
        <v>3.1</v>
      </c>
      <c r="L322" s="4" t="n">
        <v>49</v>
      </c>
      <c r="M322" s="4" t="n">
        <v>15</v>
      </c>
      <c r="N322" s="5" t="n">
        <v>3.7</v>
      </c>
      <c r="O322" s="3" t="inlineStr">
        <is>
          <t>관리비없음.큰투룸.즉시입주.조치원시내상권편리</t>
        </is>
      </c>
      <c r="P322" s="6">
        <f>HYPERLINK("https://fin.land.naver.com/articles/2654028930", "매물Link")</f>
        <v/>
      </c>
      <c r="Q322" s="6">
        <f>HYPERLINK("https://map.naver.com/p/search/조치원읍 남리 408", "지도Link")</f>
        <v/>
      </c>
      <c r="R322" s="6">
        <f>HYPERLINK("http://www.eum.go.kr/web/ar/lu/luLandDet.jsp?pnu=3611025027104080000&amp;isNoScr=script&amp;mode=search", "토지이음")</f>
        <v/>
      </c>
      <c r="S322" s="3" t="inlineStr">
        <is>
          <t>척척</t>
        </is>
      </c>
      <c r="T322" s="4" t="n">
        <v>1</v>
      </c>
      <c r="U322" s="5" t="n">
        <v>240.7</v>
      </c>
      <c r="V322" s="4" t="n">
        <v>475.8</v>
      </c>
      <c r="W322" s="3" t="inlineStr">
        <is>
          <t>지정되지않음</t>
        </is>
      </c>
      <c r="X322" s="3" t="inlineStr">
        <is>
          <t>상업기타</t>
        </is>
      </c>
      <c r="Y322" s="3" t="inlineStr">
        <is>
          <t>평지</t>
        </is>
      </c>
      <c r="Z322" s="3" t="inlineStr">
        <is>
          <t>가로장방</t>
        </is>
      </c>
      <c r="AA322" s="3" t="inlineStr">
        <is>
          <t>세로한면(가)</t>
        </is>
      </c>
    </row>
    <row r="323">
      <c r="A323" s="3" t="inlineStr">
        <is>
          <t>조치원읍 남리 421</t>
        </is>
      </c>
      <c r="B323" s="3" t="inlineStr">
        <is>
          <t>제2종일반주거지역</t>
        </is>
      </c>
      <c r="C323" s="3" t="inlineStr">
        <is>
          <t>대</t>
        </is>
      </c>
      <c r="D323" s="3" t="inlineStr">
        <is>
          <t>4</t>
        </is>
      </c>
      <c r="E323" s="3" t="inlineStr">
        <is>
          <t>일반원룸</t>
        </is>
      </c>
      <c r="F323" s="3" t="inlineStr">
        <is>
          <t>월세</t>
        </is>
      </c>
      <c r="G323" s="4" t="n">
        <v>200</v>
      </c>
      <c r="H323" s="4" t="n">
        <v>30</v>
      </c>
      <c r="I323" s="4" t="n">
        <v>42</v>
      </c>
      <c r="J323" s="4" t="n">
        <v>13</v>
      </c>
      <c r="K323" s="5" t="n">
        <v>2.3</v>
      </c>
      <c r="L323" s="4" t="n">
        <v>36</v>
      </c>
      <c r="M323" s="4" t="n">
        <v>11</v>
      </c>
      <c r="N323" s="5" t="n">
        <v>2.7</v>
      </c>
      <c r="O323" s="3" t="inlineStr">
        <is>
          <t>풀옵션완비.주차시설편리.조치원시내권.역도가까워요</t>
        </is>
      </c>
      <c r="P323" s="6">
        <f>HYPERLINK("https://fin.land.naver.com/articles/2652875059", "매물Link")</f>
        <v/>
      </c>
      <c r="Q323" s="6">
        <f>HYPERLINK("https://map.naver.com/p/search/조치원읍 남리 421", "지도Link")</f>
        <v/>
      </c>
      <c r="R323" s="6">
        <f>HYPERLINK("http://www.eum.go.kr/web/ar/lu/luLandDet.jsp?pnu=3611025027104210000&amp;isNoScr=script&amp;mode=search", "토지이음")</f>
        <v/>
      </c>
      <c r="S323" s="3" t="inlineStr">
        <is>
          <t>척척</t>
        </is>
      </c>
      <c r="T323" s="4" t="n">
        <v>1</v>
      </c>
      <c r="U323" s="5" t="n">
        <v>284.6</v>
      </c>
      <c r="V323" s="4" t="n">
        <v>248</v>
      </c>
      <c r="W323" s="3" t="inlineStr">
        <is>
          <t>지정되지않음</t>
        </is>
      </c>
      <c r="X323" s="3" t="inlineStr">
        <is>
          <t>상업나지</t>
        </is>
      </c>
      <c r="Y323" s="3" t="inlineStr">
        <is>
          <t>평지</t>
        </is>
      </c>
      <c r="Z323" s="3" t="inlineStr">
        <is>
          <t>가로장방</t>
        </is>
      </c>
      <c r="AA323" s="3" t="inlineStr">
        <is>
          <t>소로각지</t>
        </is>
      </c>
    </row>
    <row r="324">
      <c r="A324" s="3" t="inlineStr">
        <is>
          <t>조치원읍 남리 445</t>
        </is>
      </c>
      <c r="B324" s="3" t="inlineStr">
        <is>
          <t>제2종일반주거지역</t>
        </is>
      </c>
      <c r="C324" s="3" t="inlineStr">
        <is>
          <t>대</t>
        </is>
      </c>
      <c r="D324" s="3" t="inlineStr">
        <is>
          <t>4</t>
        </is>
      </c>
      <c r="E324" s="3" t="inlineStr">
        <is>
          <t>일반원룸</t>
        </is>
      </c>
      <c r="F324" s="3" t="inlineStr">
        <is>
          <t>월세</t>
        </is>
      </c>
      <c r="G324" s="4" t="n">
        <v>150</v>
      </c>
      <c r="H324" s="4" t="n">
        <v>30</v>
      </c>
      <c r="I324" s="4" t="n">
        <v>39</v>
      </c>
      <c r="J324" s="4" t="n">
        <v>12</v>
      </c>
      <c r="K324" s="5" t="n">
        <v>2.5</v>
      </c>
      <c r="L324" s="4" t="n">
        <v>26</v>
      </c>
      <c r="M324" s="4" t="n">
        <v>8</v>
      </c>
      <c r="N324" s="5" t="n">
        <v>3.8</v>
      </c>
      <c r="O324" s="3" t="inlineStr">
        <is>
          <t>저렴한 원룸.가성비 짱.조치원역도보거리.시내권.</t>
        </is>
      </c>
      <c r="P324" s="6">
        <f>HYPERLINK("https://fin.land.naver.com/articles/2652559742", "매물Link")</f>
        <v/>
      </c>
      <c r="Q324" s="6">
        <f>HYPERLINK("https://map.naver.com/p/search/조치원읍 남리 445", "지도Link")</f>
        <v/>
      </c>
      <c r="R324" s="6">
        <f>HYPERLINK("http://www.eum.go.kr/web/ar/lu/luLandDet.jsp?pnu=3611025027104450000&amp;isNoScr=script&amp;mode=search", "토지이음")</f>
        <v/>
      </c>
      <c r="S324" s="3" t="inlineStr">
        <is>
          <t>척척</t>
        </is>
      </c>
      <c r="T324" s="4" t="n">
        <v>1</v>
      </c>
      <c r="U324" s="5" t="n">
        <v>207.7</v>
      </c>
      <c r="V324" s="4" t="n">
        <v>287.8</v>
      </c>
      <c r="W324" s="3" t="inlineStr">
        <is>
          <t>지정되지않음</t>
        </is>
      </c>
      <c r="X324" s="3" t="inlineStr">
        <is>
          <t>단독</t>
        </is>
      </c>
      <c r="Y324" s="3" t="inlineStr">
        <is>
          <t>평지</t>
        </is>
      </c>
      <c r="Z324" s="3" t="inlineStr">
        <is>
          <t>세로장방</t>
        </is>
      </c>
      <c r="AA324" s="3" t="inlineStr">
        <is>
          <t>소로한면</t>
        </is>
      </c>
    </row>
    <row r="325">
      <c r="A325" s="3" t="inlineStr">
        <is>
          <t>조치원읍 남리 445</t>
        </is>
      </c>
      <c r="B325" s="3" t="inlineStr">
        <is>
          <t>제2종일반주거지역</t>
        </is>
      </c>
      <c r="C325" s="3" t="inlineStr">
        <is>
          <t>대</t>
        </is>
      </c>
      <c r="D325" s="3" t="inlineStr">
        <is>
          <t>4</t>
        </is>
      </c>
      <c r="E325" s="3" t="inlineStr">
        <is>
          <t>일반원룸</t>
        </is>
      </c>
      <c r="F325" s="3" t="inlineStr">
        <is>
          <t>월세</t>
        </is>
      </c>
      <c r="G325" s="4" t="n">
        <v>150</v>
      </c>
      <c r="H325" s="4" t="n">
        <v>26</v>
      </c>
      <c r="I325" s="4" t="n">
        <v>20</v>
      </c>
      <c r="J325" s="4" t="n">
        <v>6</v>
      </c>
      <c r="K325" s="5" t="n">
        <v>4.3</v>
      </c>
      <c r="L325" s="4" t="n">
        <v>20</v>
      </c>
      <c r="M325" s="4" t="n">
        <v>6</v>
      </c>
      <c r="N325" s="5" t="n">
        <v>4.3</v>
      </c>
      <c r="O325" s="3" t="inlineStr">
        <is>
          <t>남리 원룸 전통시장 조치원역도보가능합니다</t>
        </is>
      </c>
      <c r="P325" s="6">
        <f>HYPERLINK("https://fin.land.naver.com/articles/2649793828", "매물Link")</f>
        <v/>
      </c>
      <c r="Q325" s="6">
        <f>HYPERLINK("https://map.naver.com/p/search/조치원읍 남리 445", "지도Link")</f>
        <v/>
      </c>
      <c r="R325" s="6">
        <f>HYPERLINK("http://www.eum.go.kr/web/ar/lu/luLandDet.jsp?pnu=3611025027104450000&amp;isNoScr=script&amp;mode=search", "토지이음")</f>
        <v/>
      </c>
      <c r="S325" s="3" t="inlineStr">
        <is>
          <t>OK수</t>
        </is>
      </c>
      <c r="T325" s="4" t="n">
        <v>1</v>
      </c>
      <c r="U325" s="5" t="n">
        <v>207.7</v>
      </c>
      <c r="V325" s="4" t="n">
        <v>287.8</v>
      </c>
      <c r="W325" s="3" t="inlineStr">
        <is>
          <t>지정되지않음</t>
        </is>
      </c>
      <c r="X325" s="3" t="inlineStr">
        <is>
          <t>단독</t>
        </is>
      </c>
      <c r="Y325" s="3" t="inlineStr">
        <is>
          <t>평지</t>
        </is>
      </c>
      <c r="Z325" s="3" t="inlineStr">
        <is>
          <t>세로장방</t>
        </is>
      </c>
      <c r="AA325" s="3" t="inlineStr">
        <is>
          <t>소로한면</t>
        </is>
      </c>
    </row>
    <row r="326">
      <c r="A326" s="3" t="inlineStr">
        <is>
          <t>조치원읍 남리 473</t>
        </is>
      </c>
      <c r="B326" s="3" t="inlineStr">
        <is>
          <t>제2종일반주거지역</t>
        </is>
      </c>
      <c r="C326" s="3" t="inlineStr">
        <is>
          <t>대</t>
        </is>
      </c>
      <c r="D326" s="3" t="inlineStr">
        <is>
          <t>4</t>
        </is>
      </c>
      <c r="E326" s="3" t="inlineStr">
        <is>
          <t>일반원룸</t>
        </is>
      </c>
      <c r="F326" s="3" t="inlineStr">
        <is>
          <t>월세</t>
        </is>
      </c>
      <c r="G326" s="4" t="n">
        <v>200</v>
      </c>
      <c r="H326" s="4" t="n">
        <v>30</v>
      </c>
      <c r="I326" s="4" t="n">
        <v>39</v>
      </c>
      <c r="J326" s="4" t="n">
        <v>12</v>
      </c>
      <c r="K326" s="5" t="n">
        <v>2.5</v>
      </c>
      <c r="L326" s="4" t="n">
        <v>23</v>
      </c>
      <c r="M326" s="4" t="n">
        <v>7</v>
      </c>
      <c r="N326" s="5" t="n">
        <v>4.3</v>
      </c>
      <c r="O326" s="3" t="inlineStr">
        <is>
          <t>채광좋은 배란다 아주 크고 깨끗한 방</t>
        </is>
      </c>
      <c r="P326" s="6">
        <f>HYPERLINK("https://fin.land.naver.com/articles/2654582313", "매물Link")</f>
        <v/>
      </c>
      <c r="Q326" s="6">
        <f>HYPERLINK("https://map.naver.com/p/search/조치원읍 남리 473", "지도Link")</f>
        <v/>
      </c>
      <c r="R326" s="6">
        <f>HYPERLINK("http://www.eum.go.kr/web/ar/lu/luLandDet.jsp?pnu=3611025027104730000&amp;isNoScr=script&amp;mode=search", "토지이음")</f>
        <v/>
      </c>
      <c r="S326" s="3" t="inlineStr">
        <is>
          <t>척척</t>
        </is>
      </c>
      <c r="T326" s="4" t="n">
        <v>1</v>
      </c>
      <c r="U326" s="5" t="n">
        <v>261.8</v>
      </c>
      <c r="V326" s="4" t="n">
        <v>446.7</v>
      </c>
      <c r="W326" s="3" t="inlineStr">
        <is>
          <t>지정되지않음</t>
        </is>
      </c>
      <c r="X326" s="3" t="inlineStr">
        <is>
          <t>상업용</t>
        </is>
      </c>
      <c r="Y326" s="3" t="inlineStr">
        <is>
          <t>평지</t>
        </is>
      </c>
      <c r="Z326" s="3" t="inlineStr">
        <is>
          <t>정방형</t>
        </is>
      </c>
      <c r="AA326" s="3" t="inlineStr">
        <is>
          <t>중로한면</t>
        </is>
      </c>
    </row>
    <row r="327">
      <c r="A327" s="3" t="inlineStr">
        <is>
          <t>조치원읍 남리 473</t>
        </is>
      </c>
      <c r="B327" s="3" t="inlineStr">
        <is>
          <t>제2종일반주거지역</t>
        </is>
      </c>
      <c r="C327" s="3" t="inlineStr">
        <is>
          <t>대</t>
        </is>
      </c>
      <c r="D327" s="3" t="inlineStr">
        <is>
          <t>3</t>
        </is>
      </c>
      <c r="E327" s="3" t="inlineStr">
        <is>
          <t>다가구</t>
        </is>
      </c>
      <c r="F327" s="3" t="inlineStr">
        <is>
          <t>월세</t>
        </is>
      </c>
      <c r="G327" s="4" t="n">
        <v>200</v>
      </c>
      <c r="H327" s="4" t="n">
        <v>31</v>
      </c>
      <c r="I327" s="4" t="n">
        <v>26</v>
      </c>
      <c r="J327" s="4" t="n">
        <v>8</v>
      </c>
      <c r="K327" s="5" t="n">
        <v>3.9</v>
      </c>
      <c r="L327" s="4" t="n">
        <v>26</v>
      </c>
      <c r="M327" s="4" t="n">
        <v>8</v>
      </c>
      <c r="N327" s="5" t="n">
        <v>3.9</v>
      </c>
      <c r="O327" s="3" t="inlineStr">
        <is>
          <t>조치원 시내이며, 재래시장, 초등학교인근이며, 오송과 인접함</t>
        </is>
      </c>
      <c r="P327" s="6">
        <f>HYPERLINK("https://fin.land.naver.com/articles/2651504477", "매물Link")</f>
        <v/>
      </c>
      <c r="Q327" s="6">
        <f>HYPERLINK("https://map.naver.com/p/search/조치원읍 남리 473", "지도Link")</f>
        <v/>
      </c>
      <c r="R327" s="6">
        <f>HYPERLINK("http://www.eum.go.kr/web/ar/lu/luLandDet.jsp?pnu=3611025027104730000&amp;isNoScr=script&amp;mode=search", "토지이음")</f>
        <v/>
      </c>
      <c r="S327" s="3" t="inlineStr">
        <is>
          <t>세종베스트</t>
        </is>
      </c>
      <c r="T327" s="4" t="n">
        <v>1</v>
      </c>
      <c r="U327" s="5" t="n">
        <v>261.8</v>
      </c>
      <c r="V327" s="4" t="n">
        <v>446.7</v>
      </c>
      <c r="W327" s="3" t="inlineStr">
        <is>
          <t>지정되지않음</t>
        </is>
      </c>
      <c r="X327" s="3" t="inlineStr">
        <is>
          <t>상업용</t>
        </is>
      </c>
      <c r="Y327" s="3" t="inlineStr">
        <is>
          <t>평지</t>
        </is>
      </c>
      <c r="Z327" s="3" t="inlineStr">
        <is>
          <t>정방형</t>
        </is>
      </c>
      <c r="AA327" s="3" t="inlineStr">
        <is>
          <t>중로한면</t>
        </is>
      </c>
    </row>
    <row r="328">
      <c r="A328" s="3" t="inlineStr">
        <is>
          <t>조치원읍 남리 478</t>
        </is>
      </c>
      <c r="B328" s="3" t="inlineStr">
        <is>
          <t>제2종일반주거지역</t>
        </is>
      </c>
      <c r="C328" s="3" t="inlineStr">
        <is>
          <t>대</t>
        </is>
      </c>
      <c r="D328" s="3" t="inlineStr">
        <is>
          <t>3</t>
        </is>
      </c>
      <c r="E328" s="3" t="inlineStr">
        <is>
          <t>다가구</t>
        </is>
      </c>
      <c r="F328" s="3" t="inlineStr">
        <is>
          <t>월세</t>
        </is>
      </c>
      <c r="G328" s="4" t="n">
        <v>1000</v>
      </c>
      <c r="H328" s="4" t="n">
        <v>65</v>
      </c>
      <c r="I328" s="4" t="n">
        <v>60</v>
      </c>
      <c r="J328" s="4" t="n">
        <v>18</v>
      </c>
      <c r="K328" s="5" t="n">
        <v>3.6</v>
      </c>
      <c r="L328" s="4" t="n">
        <v>55</v>
      </c>
      <c r="M328" s="4" t="n">
        <v>17</v>
      </c>
      <c r="N328" s="5" t="n">
        <v>3.8</v>
      </c>
      <c r="O328" s="3" t="inlineStr">
        <is>
          <t>미친옵션. 풀옵 2룸.몸만오세요</t>
        </is>
      </c>
      <c r="P328" s="6">
        <f>HYPERLINK("https://fin.land.naver.com/articles/2653691701", "매물Link")</f>
        <v/>
      </c>
      <c r="Q328" s="6">
        <f>HYPERLINK("https://map.naver.com/p/search/조치원읍 남리 478", "지도Link")</f>
        <v/>
      </c>
      <c r="R328" s="6">
        <f>HYPERLINK("http://www.eum.go.kr/web/ar/lu/luLandDet.jsp?pnu=3611025027104780000&amp;isNoScr=script&amp;mode=search", "토지이음")</f>
        <v/>
      </c>
      <c r="S328" s="3" t="inlineStr">
        <is>
          <t>마이룸</t>
        </is>
      </c>
      <c r="T328" s="4" t="n">
        <v>1</v>
      </c>
      <c r="U328" s="5" t="n">
        <v>240</v>
      </c>
      <c r="V328" s="4" t="n">
        <v>448.3</v>
      </c>
      <c r="W328" s="3" t="inlineStr">
        <is>
          <t>지정되지않음</t>
        </is>
      </c>
      <c r="X328" s="3" t="inlineStr">
        <is>
          <t>상업나지</t>
        </is>
      </c>
      <c r="Y328" s="3" t="inlineStr">
        <is>
          <t>평지</t>
        </is>
      </c>
      <c r="Z328" s="3" t="inlineStr">
        <is>
          <t>사다리형</t>
        </is>
      </c>
      <c r="AA328" s="3" t="inlineStr">
        <is>
          <t>소로각지</t>
        </is>
      </c>
    </row>
    <row r="329">
      <c r="A329" s="3" t="inlineStr">
        <is>
          <t>조치원읍 남리 60-2</t>
        </is>
      </c>
      <c r="B329" s="3" t="inlineStr">
        <is>
          <t>제2종일반주거지역</t>
        </is>
      </c>
      <c r="C329" s="3" t="inlineStr">
        <is>
          <t>대</t>
        </is>
      </c>
      <c r="D329" s="3" t="inlineStr">
        <is>
          <t>3</t>
        </is>
      </c>
      <c r="E329" s="3" t="inlineStr">
        <is>
          <t>도시형생활주택</t>
        </is>
      </c>
      <c r="F329" s="3" t="inlineStr">
        <is>
          <t>월세</t>
        </is>
      </c>
      <c r="G329" s="4" t="n">
        <v>200</v>
      </c>
      <c r="H329" s="4" t="n">
        <v>27</v>
      </c>
      <c r="I329" s="4" t="n">
        <v>19</v>
      </c>
      <c r="J329" s="4" t="n">
        <v>6</v>
      </c>
      <c r="K329" s="5" t="n">
        <v>4.5</v>
      </c>
      <c r="L329" s="4" t="n">
        <v>14</v>
      </c>
      <c r="M329" s="4" t="n">
        <v>4</v>
      </c>
      <c r="N329" s="5" t="n">
        <v>6.8</v>
      </c>
      <c r="O329" s="3" t="inlineStr">
        <is>
          <t>전통시장 웰마트인근 깔끔 원룸.즉시입주가능합니다.</t>
        </is>
      </c>
      <c r="P329" s="6">
        <f>HYPERLINK("https://fin.land.naver.com/articles/2649412487", "매물Link")</f>
        <v/>
      </c>
      <c r="Q329" s="6">
        <f>HYPERLINK("https://map.naver.com/p/search/조치원읍 남리 60-2", "지도Link")</f>
        <v/>
      </c>
      <c r="R329" s="6">
        <f>HYPERLINK("http://www.eum.go.kr/web/ar/lu/luLandDet.jsp?pnu=3611025027100600002&amp;isNoScr=script&amp;mode=search", "토지이음")</f>
        <v/>
      </c>
      <c r="S329" s="3" t="inlineStr">
        <is>
          <t>이음</t>
        </is>
      </c>
      <c r="T329" s="4" t="n">
        <v>1</v>
      </c>
      <c r="U329" s="5" t="n">
        <v>458.8</v>
      </c>
      <c r="V329" s="4" t="n">
        <v>452</v>
      </c>
      <c r="W329" s="3" t="inlineStr">
        <is>
          <t>지정되지않음</t>
        </is>
      </c>
      <c r="X329" s="3" t="inlineStr">
        <is>
          <t>상업용</t>
        </is>
      </c>
      <c r="Y329" s="3" t="inlineStr">
        <is>
          <t>평지</t>
        </is>
      </c>
      <c r="Z329" s="3" t="inlineStr">
        <is>
          <t>세로장방</t>
        </is>
      </c>
      <c r="AA329" s="3" t="inlineStr">
        <is>
          <t>소로각지</t>
        </is>
      </c>
    </row>
    <row r="330">
      <c r="A330" s="3" t="inlineStr">
        <is>
          <t>조치원읍 남리 60-8</t>
        </is>
      </c>
      <c r="B330" s="3" t="inlineStr">
        <is>
          <t>제2종일반주거지역</t>
        </is>
      </c>
      <c r="C330" s="3" t="inlineStr">
        <is>
          <t>대</t>
        </is>
      </c>
      <c r="D330" s="3" t="inlineStr">
        <is>
          <t>3</t>
        </is>
      </c>
      <c r="E330" s="3" t="inlineStr">
        <is>
          <t>도시형생활주택</t>
        </is>
      </c>
      <c r="F330" s="3" t="inlineStr">
        <is>
          <t>월세</t>
        </is>
      </c>
      <c r="G330" s="4" t="n">
        <v>200</v>
      </c>
      <c r="H330" s="4" t="n">
        <v>30</v>
      </c>
      <c r="I330" s="4" t="n">
        <v>0</v>
      </c>
      <c r="J330" s="4" t="n">
        <v>0</v>
      </c>
      <c r="K330" s="5" t="n">
        <v>0</v>
      </c>
      <c r="L330" s="4" t="n">
        <v>22</v>
      </c>
      <c r="M330" s="4" t="n">
        <v>7</v>
      </c>
      <c r="N330" s="5" t="n">
        <v>4.3</v>
      </c>
      <c r="O330" s="3" t="inlineStr">
        <is>
          <t>인기좋은  풀옵션완비방   깔끔한 주방분리   조치원역5분 교통편리</t>
        </is>
      </c>
      <c r="P330" s="6">
        <f>HYPERLINK("https://fin.land.naver.com/articles/2654004184", "매물Link")</f>
        <v/>
      </c>
      <c r="Q330" s="6">
        <f>HYPERLINK("https://map.naver.com/p/search/조치원읍 남리 60-8", "지도Link")</f>
        <v/>
      </c>
      <c r="R330" s="6">
        <f>HYPERLINK("http://www.eum.go.kr/web/ar/lu/luLandDet.jsp?pnu=3611025027100600008&amp;isNoScr=script&amp;mode=search", "토지이음")</f>
        <v/>
      </c>
      <c r="S330" s="3" t="inlineStr">
        <is>
          <t>연서으뜸</t>
        </is>
      </c>
      <c r="T330" s="4" t="n">
        <v>1</v>
      </c>
      <c r="U330" s="5" t="n">
        <v>400</v>
      </c>
      <c r="V330" s="4" t="n">
        <v>514</v>
      </c>
      <c r="W330" s="3" t="inlineStr">
        <is>
          <t>지정되지않음</t>
        </is>
      </c>
      <c r="X330" s="3" t="inlineStr">
        <is>
          <t>상업용</t>
        </is>
      </c>
      <c r="Y330" s="3" t="inlineStr">
        <is>
          <t>평지</t>
        </is>
      </c>
      <c r="Z330" s="3" t="inlineStr">
        <is>
          <t>세로장방</t>
        </is>
      </c>
      <c r="AA330" s="3" t="inlineStr">
        <is>
          <t>세로한면(가)</t>
        </is>
      </c>
    </row>
    <row r="331">
      <c r="A331" s="3" t="inlineStr">
        <is>
          <t>조치원읍 남리 60-8</t>
        </is>
      </c>
      <c r="B331" s="3" t="inlineStr">
        <is>
          <t>제2종일반주거지역</t>
        </is>
      </c>
      <c r="C331" s="3" t="inlineStr">
        <is>
          <t>대</t>
        </is>
      </c>
      <c r="D331" s="3" t="inlineStr">
        <is>
          <t>4</t>
        </is>
      </c>
      <c r="E331" s="3" t="inlineStr">
        <is>
          <t>일반원룸</t>
        </is>
      </c>
      <c r="F331" s="3" t="inlineStr">
        <is>
          <t>월세</t>
        </is>
      </c>
      <c r="G331" s="4" t="n">
        <v>200</v>
      </c>
      <c r="H331" s="4" t="n">
        <v>35</v>
      </c>
      <c r="I331" s="4" t="n">
        <v>42</v>
      </c>
      <c r="J331" s="4" t="n">
        <v>13</v>
      </c>
      <c r="K331" s="5" t="n">
        <v>2.7</v>
      </c>
      <c r="L331" s="4" t="n">
        <v>29</v>
      </c>
      <c r="M331" s="4" t="n">
        <v>9</v>
      </c>
      <c r="N331" s="5" t="n">
        <v>3.9</v>
      </c>
      <c r="O331" s="3" t="inlineStr">
        <is>
          <t>큰 방.조치원시내위치.깔끔한관리.즉시입주.</t>
        </is>
      </c>
      <c r="P331" s="6">
        <f>HYPERLINK("https://fin.land.naver.com/articles/2650821771", "매물Link")</f>
        <v/>
      </c>
      <c r="Q331" s="6">
        <f>HYPERLINK("https://map.naver.com/p/search/조치원읍 남리 60-8", "지도Link")</f>
        <v/>
      </c>
      <c r="R331" s="6">
        <f>HYPERLINK("http://www.eum.go.kr/web/ar/lu/luLandDet.jsp?pnu=3611025027100600008&amp;isNoScr=script&amp;mode=search", "토지이음")</f>
        <v/>
      </c>
      <c r="S331" s="3" t="inlineStr">
        <is>
          <t>척척</t>
        </is>
      </c>
      <c r="T331" s="4" t="n">
        <v>1</v>
      </c>
      <c r="U331" s="5" t="n">
        <v>400</v>
      </c>
      <c r="V331" s="4" t="n">
        <v>514</v>
      </c>
      <c r="W331" s="3" t="inlineStr">
        <is>
          <t>지정되지않음</t>
        </is>
      </c>
      <c r="X331" s="3" t="inlineStr">
        <is>
          <t>상업용</t>
        </is>
      </c>
      <c r="Y331" s="3" t="inlineStr">
        <is>
          <t>평지</t>
        </is>
      </c>
      <c r="Z331" s="3" t="inlineStr">
        <is>
          <t>세로장방</t>
        </is>
      </c>
      <c r="AA331" s="3" t="inlineStr">
        <is>
          <t>세로한면(가)</t>
        </is>
      </c>
    </row>
    <row r="332">
      <c r="A332" s="3" t="inlineStr">
        <is>
          <t>조치원읍 남리 60-8</t>
        </is>
      </c>
      <c r="B332" s="3" t="inlineStr">
        <is>
          <t>제2종일반주거지역</t>
        </is>
      </c>
      <c r="C332" s="3" t="inlineStr">
        <is>
          <t>대</t>
        </is>
      </c>
      <c r="D332" s="3" t="inlineStr">
        <is>
          <t>3</t>
        </is>
      </c>
      <c r="E332" s="3" t="inlineStr">
        <is>
          <t>일반원룸</t>
        </is>
      </c>
      <c r="F332" s="3" t="inlineStr">
        <is>
          <t>월세</t>
        </is>
      </c>
      <c r="G332" s="4" t="n">
        <v>200</v>
      </c>
      <c r="H332" s="4" t="n">
        <v>29</v>
      </c>
      <c r="I332" s="4" t="n">
        <v>19</v>
      </c>
      <c r="J332" s="4" t="n">
        <v>6</v>
      </c>
      <c r="K332" s="5" t="n">
        <v>4.8</v>
      </c>
      <c r="L332" s="4" t="n">
        <v>14</v>
      </c>
      <c r="M332" s="4" t="n">
        <v>4</v>
      </c>
      <c r="N332" s="5" t="n">
        <v>7.2</v>
      </c>
      <c r="O332" s="3" t="inlineStr">
        <is>
          <t>조치원역 도보5분 풀옵션 분리형원룸</t>
        </is>
      </c>
      <c r="P332" s="6">
        <f>HYPERLINK("https://fin.land.naver.com/articles/2650893111", "매물Link")</f>
        <v/>
      </c>
      <c r="Q332" s="6">
        <f>HYPERLINK("https://map.naver.com/p/search/조치원읍 남리 60-8", "지도Link")</f>
        <v/>
      </c>
      <c r="R332" s="6">
        <f>HYPERLINK("http://www.eum.go.kr/web/ar/lu/luLandDet.jsp?pnu=3611025027100600008&amp;isNoScr=script&amp;mode=search", "토지이음")</f>
        <v/>
      </c>
      <c r="S332" s="3" t="inlineStr">
        <is>
          <t>용죽부자</t>
        </is>
      </c>
      <c r="T332" s="4" t="n">
        <v>1</v>
      </c>
      <c r="U332" s="5" t="n">
        <v>400</v>
      </c>
      <c r="V332" s="4" t="n">
        <v>514</v>
      </c>
      <c r="W332" s="3" t="inlineStr">
        <is>
          <t>지정되지않음</t>
        </is>
      </c>
      <c r="X332" s="3" t="inlineStr">
        <is>
          <t>상업용</t>
        </is>
      </c>
      <c r="Y332" s="3" t="inlineStr">
        <is>
          <t>평지</t>
        </is>
      </c>
      <c r="Z332" s="3" t="inlineStr">
        <is>
          <t>세로장방</t>
        </is>
      </c>
      <c r="AA332" s="3" t="inlineStr">
        <is>
          <t>세로한면(가)</t>
        </is>
      </c>
    </row>
    <row r="333">
      <c r="A333" s="3" t="inlineStr">
        <is>
          <t>조치원읍 남리 62-19</t>
        </is>
      </c>
      <c r="B333" s="3" t="inlineStr">
        <is>
          <t>제2종일반주거지역</t>
        </is>
      </c>
      <c r="C333" s="3" t="inlineStr">
        <is>
          <t>대</t>
        </is>
      </c>
      <c r="D333" s="3" t="inlineStr">
        <is>
          <t>2</t>
        </is>
      </c>
      <c r="E333" s="3" t="inlineStr">
        <is>
          <t>다가구</t>
        </is>
      </c>
      <c r="F333" s="3" t="inlineStr">
        <is>
          <t>매매</t>
        </is>
      </c>
      <c r="G333" s="4" t="n">
        <v>29500</v>
      </c>
      <c r="H333" s="4" t="n">
        <v>0</v>
      </c>
      <c r="I333" s="4" t="n">
        <v>180</v>
      </c>
      <c r="J333" s="4" t="n">
        <v>54</v>
      </c>
      <c r="K333" s="5" t="n">
        <v>546.3</v>
      </c>
      <c r="L333" s="4" t="n">
        <v>163</v>
      </c>
      <c r="M333" s="4" t="n">
        <v>49</v>
      </c>
      <c r="N333" s="5" t="n">
        <v>602</v>
      </c>
      <c r="O333" s="3" t="inlineStr">
        <is>
          <t>조치원시내 관공서와 버스정류장 조치원역 도보로 가능한 조용한 주택,</t>
        </is>
      </c>
      <c r="P333" s="6">
        <f>HYPERLINK("https://fin.land.naver.com/articles/2651053326", "매물Link")</f>
        <v/>
      </c>
      <c r="Q333" s="6">
        <f>HYPERLINK("https://map.naver.com/p/search/조치원읍 남리 62-19", "지도Link")</f>
        <v/>
      </c>
      <c r="R333" s="6">
        <f>HYPERLINK("http://www.eum.go.kr/web/ar/lu/luLandDet.jsp?pnu=3611025027100620019&amp;isNoScr=script&amp;mode=search", "토지이음")</f>
        <v/>
      </c>
      <c r="S333" s="3" t="inlineStr">
        <is>
          <t>담뜰</t>
        </is>
      </c>
      <c r="T333" s="4" t="n">
        <v>1</v>
      </c>
      <c r="U333" s="5" t="n">
        <v>178.8</v>
      </c>
      <c r="V333" s="4" t="n">
        <v>180</v>
      </c>
      <c r="W333" s="3" t="inlineStr">
        <is>
          <t>지정되지않음</t>
        </is>
      </c>
      <c r="X333" s="3" t="inlineStr">
        <is>
          <t>단독</t>
        </is>
      </c>
      <c r="Y333" s="3" t="inlineStr">
        <is>
          <t>평지</t>
        </is>
      </c>
      <c r="Z333" s="3" t="inlineStr">
        <is>
          <t>가로장방</t>
        </is>
      </c>
      <c r="AA333" s="3" t="inlineStr">
        <is>
          <t>세로한면(불)</t>
        </is>
      </c>
    </row>
    <row r="334">
      <c r="A334" s="3" t="inlineStr">
        <is>
          <t>조치원읍 남리 62-6</t>
        </is>
      </c>
      <c r="B334" s="3" t="inlineStr">
        <is>
          <t>제2종일반주거지역</t>
        </is>
      </c>
      <c r="C334" s="3" t="inlineStr">
        <is>
          <t>대</t>
        </is>
      </c>
      <c r="D334" s="3" t="inlineStr">
        <is>
          <t>4</t>
        </is>
      </c>
      <c r="E334" s="3" t="inlineStr">
        <is>
          <t>다가구</t>
        </is>
      </c>
      <c r="F334" s="3" t="inlineStr">
        <is>
          <t>전세</t>
        </is>
      </c>
      <c r="G334" s="4" t="n">
        <v>4000</v>
      </c>
      <c r="H334" s="4" t="n">
        <v>0</v>
      </c>
      <c r="I334" s="4" t="n">
        <v>39</v>
      </c>
      <c r="J334" s="4" t="n">
        <v>12</v>
      </c>
      <c r="K334" s="5" t="n">
        <v>333.3</v>
      </c>
      <c r="L334" s="4" t="n">
        <v>26</v>
      </c>
      <c r="M334" s="4" t="n">
        <v>8</v>
      </c>
      <c r="N334" s="5" t="n">
        <v>500</v>
      </c>
      <c r="O334" s="3" t="inlineStr">
        <is>
          <t>조치원역도보거리.융자없음.깔끔한전세.즉시입주</t>
        </is>
      </c>
      <c r="P334" s="6">
        <f>HYPERLINK("https://fin.land.naver.com/articles/2651980466", "매물Link")</f>
        <v/>
      </c>
      <c r="Q334" s="6">
        <f>HYPERLINK("https://map.naver.com/p/search/조치원읍 남리 62-6", "지도Link")</f>
        <v/>
      </c>
      <c r="R334" s="6">
        <f>HYPERLINK("http://www.eum.go.kr/web/ar/lu/luLandDet.jsp?pnu=3611025027100620006&amp;isNoScr=script&amp;mode=search", "토지이음")</f>
        <v/>
      </c>
      <c r="S334" s="3" t="inlineStr">
        <is>
          <t>척척</t>
        </is>
      </c>
      <c r="T334" s="4" t="n">
        <v>1</v>
      </c>
      <c r="U334" s="5" t="n">
        <v>396</v>
      </c>
      <c r="V334" s="4" t="n">
        <v>472</v>
      </c>
      <c r="W334" s="3" t="inlineStr">
        <is>
          <t>지정되지않음</t>
        </is>
      </c>
      <c r="X334" s="3" t="inlineStr">
        <is>
          <t>상업용</t>
        </is>
      </c>
      <c r="Y334" s="3" t="inlineStr">
        <is>
          <t>평지</t>
        </is>
      </c>
      <c r="Z334" s="3" t="inlineStr">
        <is>
          <t>사다리형</t>
        </is>
      </c>
      <c r="AA334" s="3" t="inlineStr">
        <is>
          <t>세로한면(가)</t>
        </is>
      </c>
    </row>
    <row r="335">
      <c r="A335" s="3" t="inlineStr">
        <is>
          <t>조치원읍 남리 62-6</t>
        </is>
      </c>
      <c r="B335" s="3" t="inlineStr">
        <is>
          <t>제2종일반주거지역</t>
        </is>
      </c>
      <c r="C335" s="3" t="inlineStr">
        <is>
          <t>대</t>
        </is>
      </c>
      <c r="D335" s="3" t="inlineStr">
        <is>
          <t>3</t>
        </is>
      </c>
      <c r="E335" s="3" t="inlineStr">
        <is>
          <t>일반원룸</t>
        </is>
      </c>
      <c r="F335" s="3" t="inlineStr">
        <is>
          <t>전세</t>
        </is>
      </c>
      <c r="G335" s="4" t="n">
        <v>3800</v>
      </c>
      <c r="H335" s="4" t="n">
        <v>0</v>
      </c>
      <c r="I335" s="4" t="n">
        <v>39</v>
      </c>
      <c r="J335" s="4" t="n">
        <v>12</v>
      </c>
      <c r="K335" s="5" t="n">
        <v>316.7</v>
      </c>
      <c r="L335" s="4" t="n">
        <v>23</v>
      </c>
      <c r="M335" s="4" t="n">
        <v>7</v>
      </c>
      <c r="N335" s="5" t="n">
        <v>542.9</v>
      </c>
      <c r="O335" s="3" t="inlineStr">
        <is>
          <t>남향 안전 안뜰 안심 전세  즉시입주</t>
        </is>
      </c>
      <c r="P335" s="6">
        <f>HYPERLINK("https://fin.land.naver.com/articles/2653977666", "매물Link")</f>
        <v/>
      </c>
      <c r="Q335" s="6">
        <f>HYPERLINK("https://map.naver.com/p/search/조치원읍 남리 62-6", "지도Link")</f>
        <v/>
      </c>
      <c r="R335" s="6">
        <f>HYPERLINK("http://www.eum.go.kr/web/ar/lu/luLandDet.jsp?pnu=3611025027100620006&amp;isNoScr=script&amp;mode=search", "토지이음")</f>
        <v/>
      </c>
      <c r="S335" s="3" t="inlineStr">
        <is>
          <t>척척</t>
        </is>
      </c>
      <c r="T335" s="4" t="n">
        <v>1</v>
      </c>
      <c r="U335" s="5" t="n">
        <v>396</v>
      </c>
      <c r="V335" s="4" t="n">
        <v>472</v>
      </c>
      <c r="W335" s="3" t="inlineStr">
        <is>
          <t>지정되지않음</t>
        </is>
      </c>
      <c r="X335" s="3" t="inlineStr">
        <is>
          <t>상업용</t>
        </is>
      </c>
      <c r="Y335" s="3" t="inlineStr">
        <is>
          <t>평지</t>
        </is>
      </c>
      <c r="Z335" s="3" t="inlineStr">
        <is>
          <t>사다리형</t>
        </is>
      </c>
      <c r="AA335" s="3" t="inlineStr">
        <is>
          <t>세로한면(가)</t>
        </is>
      </c>
    </row>
    <row r="336">
      <c r="A336" s="3" t="inlineStr">
        <is>
          <t>조치원읍 남리 62-6</t>
        </is>
      </c>
      <c r="B336" s="3" t="inlineStr">
        <is>
          <t>제2종일반주거지역</t>
        </is>
      </c>
      <c r="C336" s="3" t="inlineStr">
        <is>
          <t>대</t>
        </is>
      </c>
      <c r="D336" s="3" t="inlineStr">
        <is>
          <t>4</t>
        </is>
      </c>
      <c r="E336" s="3" t="inlineStr">
        <is>
          <t>일반원룸</t>
        </is>
      </c>
      <c r="F336" s="3" t="inlineStr">
        <is>
          <t>전세</t>
        </is>
      </c>
      <c r="G336" s="4" t="n">
        <v>4000</v>
      </c>
      <c r="H336" s="4" t="n">
        <v>0</v>
      </c>
      <c r="I336" s="4" t="n">
        <v>26</v>
      </c>
      <c r="J336" s="4" t="n">
        <v>8</v>
      </c>
      <c r="K336" s="5" t="n">
        <v>500</v>
      </c>
      <c r="L336" s="4" t="n">
        <v>19</v>
      </c>
      <c r="M336" s="4" t="n">
        <v>6</v>
      </c>
      <c r="N336" s="5" t="n">
        <v>666.7</v>
      </c>
      <c r="O336" s="3" t="inlineStr">
        <is>
          <t>조치원역도보5분 근저당없는 전세 풀옵션 큰방</t>
        </is>
      </c>
      <c r="P336" s="6">
        <f>HYPERLINK("https://fin.land.naver.com/articles/2654053914", "매물Link")</f>
        <v/>
      </c>
      <c r="Q336" s="6">
        <f>HYPERLINK("https://map.naver.com/p/search/조치원읍 남리 62-6", "지도Link")</f>
        <v/>
      </c>
      <c r="R336" s="6">
        <f>HYPERLINK("http://www.eum.go.kr/web/ar/lu/luLandDet.jsp?pnu=3611025027100620006&amp;isNoScr=script&amp;mode=search", "토지이음")</f>
        <v/>
      </c>
      <c r="S336" s="3" t="inlineStr">
        <is>
          <t>용죽부자</t>
        </is>
      </c>
      <c r="T336" s="4" t="n">
        <v>1</v>
      </c>
      <c r="U336" s="5" t="n">
        <v>396</v>
      </c>
      <c r="V336" s="4" t="n">
        <v>472</v>
      </c>
      <c r="W336" s="3" t="inlineStr">
        <is>
          <t>지정되지않음</t>
        </is>
      </c>
      <c r="X336" s="3" t="inlineStr">
        <is>
          <t>상업용</t>
        </is>
      </c>
      <c r="Y336" s="3" t="inlineStr">
        <is>
          <t>평지</t>
        </is>
      </c>
      <c r="Z336" s="3" t="inlineStr">
        <is>
          <t>사다리형</t>
        </is>
      </c>
      <c r="AA336" s="3" t="inlineStr">
        <is>
          <t>세로한면(가)</t>
        </is>
      </c>
    </row>
    <row r="337">
      <c r="A337" s="3" t="inlineStr">
        <is>
          <t>조치원읍 남리 69-17</t>
        </is>
      </c>
      <c r="B337" s="3" t="inlineStr">
        <is>
          <t>제2종일반주거지역</t>
        </is>
      </c>
      <c r="C337" s="3" t="inlineStr">
        <is>
          <t>대</t>
        </is>
      </c>
      <c r="D337" s="3" t="inlineStr">
        <is>
          <t>2</t>
        </is>
      </c>
      <c r="E337" s="3" t="inlineStr">
        <is>
          <t>연립</t>
        </is>
      </c>
      <c r="F337" s="3" t="inlineStr">
        <is>
          <t>매매</t>
        </is>
      </c>
      <c r="G337" s="4" t="n">
        <v>7500</v>
      </c>
      <c r="H337" s="4" t="n">
        <v>0</v>
      </c>
      <c r="I337" s="4" t="n">
        <v>47</v>
      </c>
      <c r="J337" s="4" t="n">
        <v>14</v>
      </c>
      <c r="K337" s="5" t="n">
        <v>535.7</v>
      </c>
      <c r="L337" s="4" t="n">
        <v>47</v>
      </c>
      <c r="M337" s="4" t="n">
        <v>14</v>
      </c>
      <c r="N337" s="5" t="n">
        <v>535.7</v>
      </c>
      <c r="O337" s="3" t="inlineStr">
        <is>
          <t>남리 성당근처 빌라 2층 수리됨 협의입주입니다</t>
        </is>
      </c>
      <c r="P337" s="6">
        <f>HYPERLINK("https://fin.land.naver.com/articles/2651708338", "매물Link")</f>
        <v/>
      </c>
      <c r="Q337" s="6">
        <f>HYPERLINK("https://map.naver.com/p/search/조치원읍 남리 69-17", "지도Link")</f>
        <v/>
      </c>
      <c r="R337" s="6">
        <f>HYPERLINK("http://www.eum.go.kr/web/ar/lu/luLandDet.jsp?pnu=3611025027100690017&amp;isNoScr=script&amp;mode=search", "토지이음")</f>
        <v/>
      </c>
      <c r="S337" s="3" t="inlineStr">
        <is>
          <t>OK수</t>
        </is>
      </c>
      <c r="T337" s="4" t="n">
        <v>1</v>
      </c>
      <c r="U337" s="5" t="n">
        <v>202.1</v>
      </c>
      <c r="V337" s="4" t="n">
        <v>140</v>
      </c>
      <c r="W337" s="3" t="inlineStr">
        <is>
          <t>지정되지않음</t>
        </is>
      </c>
      <c r="X337" s="3" t="inlineStr">
        <is>
          <t>다세대</t>
        </is>
      </c>
      <c r="Y337" s="3" t="inlineStr">
        <is>
          <t>평지</t>
        </is>
      </c>
      <c r="Z337" s="3" t="inlineStr">
        <is>
          <t>가로장방</t>
        </is>
      </c>
      <c r="AA337" s="3" t="inlineStr">
        <is>
          <t>세로각지(가)</t>
        </is>
      </c>
    </row>
    <row r="338">
      <c r="A338" s="3" t="inlineStr">
        <is>
          <t>조치원읍 명리 13-1</t>
        </is>
      </c>
      <c r="B338" s="3" t="inlineStr">
        <is>
          <t>제2종일반주거지역</t>
        </is>
      </c>
      <c r="C338" s="3" t="inlineStr">
        <is>
          <t>대</t>
        </is>
      </c>
      <c r="D338" s="3" t="inlineStr">
        <is>
          <t>4</t>
        </is>
      </c>
      <c r="E338" s="3" t="inlineStr">
        <is>
          <t>일반원룸</t>
        </is>
      </c>
      <c r="F338" s="3" t="inlineStr">
        <is>
          <t>월세</t>
        </is>
      </c>
      <c r="G338" s="4" t="n">
        <v>500</v>
      </c>
      <c r="H338" s="4" t="n">
        <v>40</v>
      </c>
      <c r="I338" s="4" t="n">
        <v>42</v>
      </c>
      <c r="J338" s="4" t="n">
        <v>13</v>
      </c>
      <c r="K338" s="5" t="n">
        <v>3.1</v>
      </c>
      <c r="L338" s="4" t="n">
        <v>36</v>
      </c>
      <c r="M338" s="4" t="n">
        <v>11</v>
      </c>
      <c r="N338" s="5" t="n">
        <v>3.6</v>
      </c>
      <c r="O338" s="3" t="inlineStr">
        <is>
          <t>분리형1.5룸 엘리베이터있고 깔끔한 관리</t>
        </is>
      </c>
      <c r="P338" s="6">
        <f>HYPERLINK("https://fin.land.naver.com/articles/2653118453", "매물Link")</f>
        <v/>
      </c>
      <c r="Q338" s="6">
        <f>HYPERLINK("https://map.naver.com/p/search/조치원읍 명리 13-1", "지도Link")</f>
        <v/>
      </c>
      <c r="R338" s="6">
        <f>HYPERLINK("http://www.eum.go.kr/web/ar/lu/luLandDet.jsp?pnu=3611025026100130001&amp;isNoScr=script&amp;mode=search", "토지이음")</f>
        <v/>
      </c>
      <c r="S338" s="3" t="inlineStr">
        <is>
          <t>척척</t>
        </is>
      </c>
      <c r="T338" s="4" t="n">
        <v>1</v>
      </c>
      <c r="U338" s="5" t="n">
        <v>270.4</v>
      </c>
      <c r="V338" s="4" t="n">
        <v>377</v>
      </c>
      <c r="W338" s="3" t="inlineStr">
        <is>
          <t>지정되지않음</t>
        </is>
      </c>
      <c r="X338" s="3" t="inlineStr">
        <is>
          <t>주상기타</t>
        </is>
      </c>
      <c r="Y338" s="3" t="inlineStr">
        <is>
          <t>평지</t>
        </is>
      </c>
      <c r="Z338" s="3" t="inlineStr">
        <is>
          <t>사다리형</t>
        </is>
      </c>
      <c r="AA338" s="3" t="inlineStr">
        <is>
          <t>소로한면</t>
        </is>
      </c>
    </row>
    <row r="339">
      <c r="A339" s="3" t="inlineStr">
        <is>
          <t>조치원읍 명리 13-1</t>
        </is>
      </c>
      <c r="B339" s="3" t="inlineStr">
        <is>
          <t>제2종일반주거지역</t>
        </is>
      </c>
      <c r="C339" s="3" t="inlineStr">
        <is>
          <t>대</t>
        </is>
      </c>
      <c r="D339" s="3" t="inlineStr">
        <is>
          <t>3</t>
        </is>
      </c>
      <c r="E339" s="3" t="inlineStr">
        <is>
          <t>일반원룸</t>
        </is>
      </c>
      <c r="F339" s="3" t="inlineStr">
        <is>
          <t>월세</t>
        </is>
      </c>
      <c r="G339" s="4" t="n">
        <v>200</v>
      </c>
      <c r="H339" s="4" t="n">
        <v>35</v>
      </c>
      <c r="I339" s="4" t="n">
        <v>39</v>
      </c>
      <c r="J339" s="4" t="n">
        <v>12</v>
      </c>
      <c r="K339" s="5" t="n">
        <v>2.9</v>
      </c>
      <c r="L339" s="4" t="n">
        <v>28</v>
      </c>
      <c r="M339" s="4" t="n">
        <v>8</v>
      </c>
      <c r="N339" s="5" t="n">
        <v>4.4</v>
      </c>
      <c r="O339" s="3" t="inlineStr">
        <is>
          <t>넓은 원룸 엘리베이터있고 깔끔한 관리</t>
        </is>
      </c>
      <c r="P339" s="6">
        <f>HYPERLINK("https://fin.land.naver.com/articles/2654023929", "매물Link")</f>
        <v/>
      </c>
      <c r="Q339" s="6">
        <f>HYPERLINK("https://map.naver.com/p/search/조치원읍 명리 13-1", "지도Link")</f>
        <v/>
      </c>
      <c r="R339" s="6">
        <f>HYPERLINK("http://www.eum.go.kr/web/ar/lu/luLandDet.jsp?pnu=3611025026100130001&amp;isNoScr=script&amp;mode=search", "토지이음")</f>
        <v/>
      </c>
      <c r="S339" s="3" t="inlineStr">
        <is>
          <t>척척</t>
        </is>
      </c>
      <c r="T339" s="4" t="n">
        <v>1</v>
      </c>
      <c r="U339" s="5" t="n">
        <v>270.4</v>
      </c>
      <c r="V339" s="4" t="n">
        <v>377</v>
      </c>
      <c r="W339" s="3" t="inlineStr">
        <is>
          <t>지정되지않음</t>
        </is>
      </c>
      <c r="X339" s="3" t="inlineStr">
        <is>
          <t>주상기타</t>
        </is>
      </c>
      <c r="Y339" s="3" t="inlineStr">
        <is>
          <t>평지</t>
        </is>
      </c>
      <c r="Z339" s="3" t="inlineStr">
        <is>
          <t>사다리형</t>
        </is>
      </c>
      <c r="AA339" s="3" t="inlineStr">
        <is>
          <t>소로한면</t>
        </is>
      </c>
    </row>
    <row r="340">
      <c r="A340" s="3" t="inlineStr">
        <is>
          <t>조치원읍 명리 15-1</t>
        </is>
      </c>
      <c r="B340" s="3" t="inlineStr">
        <is>
          <t>제2종일반주거지역</t>
        </is>
      </c>
      <c r="C340" s="3" t="inlineStr">
        <is>
          <t>대</t>
        </is>
      </c>
      <c r="D340" s="3" t="inlineStr">
        <is>
          <t>1</t>
        </is>
      </c>
      <c r="E340" s="3" t="inlineStr">
        <is>
          <t>단독</t>
        </is>
      </c>
      <c r="F340" s="3" t="inlineStr">
        <is>
          <t>매매</t>
        </is>
      </c>
      <c r="G340" s="4" t="n">
        <v>35000</v>
      </c>
      <c r="H340" s="4" t="n">
        <v>0</v>
      </c>
      <c r="I340" s="4" t="n">
        <v>340</v>
      </c>
      <c r="J340" s="4" t="n">
        <v>103</v>
      </c>
      <c r="K340" s="5" t="n">
        <v>339.8</v>
      </c>
      <c r="L340" s="4" t="n">
        <v>76</v>
      </c>
      <c r="M340" s="4" t="n">
        <v>23</v>
      </c>
      <c r="N340" s="5" t="n">
        <v>1521.7</v>
      </c>
      <c r="O340" s="3" t="inlineStr">
        <is>
          <t>명동초등학교 코너 주택</t>
        </is>
      </c>
      <c r="P340" s="6">
        <f>HYPERLINK("https://fin.land.naver.com/articles/2651590418", "매물Link")</f>
        <v/>
      </c>
      <c r="Q340" s="6">
        <f>HYPERLINK("https://map.naver.com/p/search/조치원읍 명리 15-1", "지도Link")</f>
        <v/>
      </c>
      <c r="R340" s="6">
        <f>HYPERLINK("http://www.eum.go.kr/web/ar/lu/luLandDet.jsp?pnu=3611025026100150001&amp;isNoScr=script&amp;mode=search", "토지이음")</f>
        <v/>
      </c>
      <c r="S340" s="3" t="inlineStr">
        <is>
          <t>OK수</t>
        </is>
      </c>
      <c r="T340" s="4" t="n">
        <v>1</v>
      </c>
      <c r="U340" s="5" t="n">
        <v>207.3</v>
      </c>
      <c r="V340" s="4" t="n">
        <v>304</v>
      </c>
      <c r="W340" s="3" t="inlineStr">
        <is>
          <t>지정되지않음</t>
        </is>
      </c>
      <c r="X340" s="3" t="inlineStr">
        <is>
          <t>단독</t>
        </is>
      </c>
      <c r="Y340" s="3" t="inlineStr">
        <is>
          <t>평지</t>
        </is>
      </c>
      <c r="Z340" s="3" t="inlineStr">
        <is>
          <t>사다리형</t>
        </is>
      </c>
      <c r="AA340" s="3" t="inlineStr">
        <is>
          <t>세로한면(가)</t>
        </is>
      </c>
    </row>
    <row r="341">
      <c r="A341" s="3" t="inlineStr">
        <is>
          <t>조치원읍 명리 48-3</t>
        </is>
      </c>
      <c r="B341" s="3" t="inlineStr">
        <is>
          <t>제2종일반주거지역</t>
        </is>
      </c>
      <c r="C341" s="3" t="inlineStr">
        <is>
          <t>대</t>
        </is>
      </c>
      <c r="D341" s="3" t="inlineStr">
        <is>
          <t>1</t>
        </is>
      </c>
      <c r="E341" s="3" t="inlineStr">
        <is>
          <t>단독</t>
        </is>
      </c>
      <c r="F341" s="3" t="inlineStr">
        <is>
          <t>전세</t>
        </is>
      </c>
      <c r="G341" s="4" t="n">
        <v>13000</v>
      </c>
      <c r="H341" s="4" t="n">
        <v>0</v>
      </c>
      <c r="I341" s="4" t="n">
        <v>53</v>
      </c>
      <c r="J341" s="4" t="n">
        <v>16</v>
      </c>
      <c r="K341" s="5" t="n">
        <v>812.5</v>
      </c>
      <c r="L341" s="4" t="n">
        <v>53</v>
      </c>
      <c r="M341" s="4" t="n">
        <v>16</v>
      </c>
      <c r="N341" s="5" t="n">
        <v>812.5</v>
      </c>
      <c r="O341" s="3" t="inlineStr">
        <is>
          <t>반전세가능 샷시까지 올리모델링 단독주택 1층 방3,거실1</t>
        </is>
      </c>
      <c r="P341" s="6">
        <f>HYPERLINK("https://fin.land.naver.com/articles/2653790984", "매물Link")</f>
        <v/>
      </c>
      <c r="Q341" s="6">
        <f>HYPERLINK("https://map.naver.com/p/search/조치원읍 명리 48-3", "지도Link")</f>
        <v/>
      </c>
      <c r="R341" s="6">
        <f>HYPERLINK("http://www.eum.go.kr/web/ar/lu/luLandDet.jsp?pnu=3611025026100480003&amp;isNoScr=script&amp;mode=search", "토지이음")</f>
        <v/>
      </c>
      <c r="S341" s="3" t="inlineStr">
        <is>
          <t>이노</t>
        </is>
      </c>
      <c r="T341" s="4" t="n">
        <v>1</v>
      </c>
      <c r="U341" s="5" t="n">
        <v>163.8</v>
      </c>
      <c r="V341" s="4" t="n">
        <v>165</v>
      </c>
      <c r="W341" s="3" t="inlineStr">
        <is>
          <t>지정되지않음</t>
        </is>
      </c>
      <c r="X341" s="3" t="inlineStr">
        <is>
          <t>단독</t>
        </is>
      </c>
      <c r="Y341" s="3" t="inlineStr">
        <is>
          <t>평지</t>
        </is>
      </c>
      <c r="Z341" s="3" t="inlineStr">
        <is>
          <t>세로장방</t>
        </is>
      </c>
      <c r="AA341" s="3" t="inlineStr">
        <is>
          <t>세로한면(불)</t>
        </is>
      </c>
    </row>
    <row r="342">
      <c r="A342" s="3" t="inlineStr">
        <is>
          <t>조치원읍 명리 51</t>
        </is>
      </c>
      <c r="B342" s="3" t="inlineStr">
        <is>
          <t>제2종일반주거지역</t>
        </is>
      </c>
      <c r="C342" s="3" t="inlineStr">
        <is>
          <t>대</t>
        </is>
      </c>
      <c r="D342" s="3" t="inlineStr">
        <is>
          <t>2</t>
        </is>
      </c>
      <c r="E342" s="3" t="inlineStr">
        <is>
          <t>단독</t>
        </is>
      </c>
      <c r="F342" s="3" t="inlineStr">
        <is>
          <t>매매</t>
        </is>
      </c>
      <c r="G342" s="4" t="n">
        <v>45000</v>
      </c>
      <c r="H342" s="4" t="n">
        <v>0</v>
      </c>
      <c r="I342" s="4" t="n">
        <v>325</v>
      </c>
      <c r="J342" s="4" t="n">
        <v>98</v>
      </c>
      <c r="K342" s="5" t="n">
        <v>459.2</v>
      </c>
      <c r="L342" s="4" t="n">
        <v>218</v>
      </c>
      <c r="M342" s="4" t="n">
        <v>66</v>
      </c>
      <c r="N342" s="5" t="n">
        <v>681.8</v>
      </c>
      <c r="O342" s="3" t="inlineStr">
        <is>
          <t>교통과 생활이 편리한 위치,초등학교 인근,대지 넓은 단독주택</t>
        </is>
      </c>
      <c r="P342" s="6">
        <f>HYPERLINK("https://fin.land.naver.com/articles/2653047822", "매물Link")</f>
        <v/>
      </c>
      <c r="Q342" s="6">
        <f>HYPERLINK("https://map.naver.com/p/search/조치원읍 명리 51", "지도Link")</f>
        <v/>
      </c>
      <c r="R342" s="6">
        <f>HYPERLINK("http://www.eum.go.kr/web/ar/lu/luLandDet.jsp?pnu=3611025026100510000&amp;isNoScr=script&amp;mode=search", "토지이음")</f>
        <v/>
      </c>
      <c r="S342" s="3" t="inlineStr">
        <is>
          <t>유정희</t>
        </is>
      </c>
      <c r="T342" s="4" t="n">
        <v>1</v>
      </c>
      <c r="U342" s="5" t="n">
        <v>223.3</v>
      </c>
      <c r="V342" s="4" t="n">
        <v>318</v>
      </c>
      <c r="W342" s="3" t="inlineStr">
        <is>
          <t>지정되지않음</t>
        </is>
      </c>
      <c r="X342" s="3" t="inlineStr">
        <is>
          <t>단독</t>
        </is>
      </c>
      <c r="Y342" s="3" t="inlineStr">
        <is>
          <t>평지</t>
        </is>
      </c>
      <c r="Z342" s="3" t="inlineStr">
        <is>
          <t>부정형</t>
        </is>
      </c>
      <c r="AA342" s="3" t="inlineStr">
        <is>
          <t>소로한면</t>
        </is>
      </c>
    </row>
    <row r="343">
      <c r="A343" s="3" t="inlineStr">
        <is>
          <t>조치원읍 명리 54-12</t>
        </is>
      </c>
      <c r="B343" s="3" t="inlineStr">
        <is>
          <t>제2종일반주거지역</t>
        </is>
      </c>
      <c r="C343" s="3" t="inlineStr">
        <is>
          <t>대</t>
        </is>
      </c>
      <c r="D343" s="3" t="inlineStr">
        <is>
          <t>2</t>
        </is>
      </c>
      <c r="E343" s="3" t="inlineStr">
        <is>
          <t>일반원룸</t>
        </is>
      </c>
      <c r="F343" s="3" t="inlineStr">
        <is>
          <t>월세</t>
        </is>
      </c>
      <c r="G343" s="4" t="n">
        <v>300</v>
      </c>
      <c r="H343" s="4" t="n">
        <v>31</v>
      </c>
      <c r="I343" s="4" t="n">
        <v>23</v>
      </c>
      <c r="J343" s="4" t="n">
        <v>7</v>
      </c>
      <c r="K343" s="5" t="n">
        <v>4.4</v>
      </c>
      <c r="L343" s="4" t="n">
        <v>23</v>
      </c>
      <c r="M343" s="4" t="n">
        <v>7</v>
      </c>
      <c r="N343" s="5" t="n">
        <v>4.4</v>
      </c>
      <c r="O343" s="3" t="inlineStr">
        <is>
          <t>명리 원룸 터미널인근,풀옵션,엘베유,집상태 깨끗합니다</t>
        </is>
      </c>
      <c r="P343" s="6">
        <f>HYPERLINK("https://fin.land.naver.com/articles/2654598280", "매물Link")</f>
        <v/>
      </c>
      <c r="Q343" s="6">
        <f>HYPERLINK("https://map.naver.com/p/search/조치원읍 명리 54-12", "지도Link")</f>
        <v/>
      </c>
      <c r="R343" s="6">
        <f>HYPERLINK("http://www.eum.go.kr/web/ar/lu/luLandDet.jsp?pnu=3611025026100540012&amp;isNoScr=script&amp;mode=search", "토지이음")</f>
        <v/>
      </c>
      <c r="S343" s="3" t="inlineStr">
        <is>
          <t>OK수</t>
        </is>
      </c>
      <c r="T343" s="4" t="n">
        <v>1</v>
      </c>
      <c r="U343" s="5" t="n">
        <v>230.3</v>
      </c>
      <c r="V343" s="4" t="n">
        <v>520</v>
      </c>
      <c r="W343" s="3" t="inlineStr">
        <is>
          <t>지정되지않음</t>
        </is>
      </c>
      <c r="X343" s="3" t="inlineStr">
        <is>
          <t>주거기타</t>
        </is>
      </c>
      <c r="Y343" s="3" t="inlineStr">
        <is>
          <t>평지</t>
        </is>
      </c>
      <c r="Z343" s="3" t="inlineStr">
        <is>
          <t>사다리형</t>
        </is>
      </c>
      <c r="AA343" s="3" t="inlineStr">
        <is>
          <t>소로한면</t>
        </is>
      </c>
    </row>
    <row r="344">
      <c r="A344" s="3" t="inlineStr">
        <is>
          <t>조치원읍 명리 66-2</t>
        </is>
      </c>
      <c r="B344" s="3" t="inlineStr">
        <is>
          <t>제2종일반주거지역</t>
        </is>
      </c>
      <c r="C344" s="3" t="inlineStr">
        <is>
          <t>대</t>
        </is>
      </c>
      <c r="D344" s="3" t="inlineStr">
        <is>
          <t>1</t>
        </is>
      </c>
      <c r="E344" s="3" t="inlineStr">
        <is>
          <t>단독</t>
        </is>
      </c>
      <c r="F344" s="3" t="inlineStr">
        <is>
          <t>월세</t>
        </is>
      </c>
      <c r="G344" s="4" t="n">
        <v>1000</v>
      </c>
      <c r="H344" s="4" t="n">
        <v>50</v>
      </c>
      <c r="I344" s="4" t="n">
        <v>0</v>
      </c>
      <c r="J344" s="4" t="n">
        <v>0</v>
      </c>
      <c r="K344" s="5" t="n">
        <v>0</v>
      </c>
      <c r="L344" s="4" t="n">
        <v>71</v>
      </c>
      <c r="M344" s="4" t="n">
        <v>21</v>
      </c>
      <c r="N344" s="5" t="n">
        <v>2.4</v>
      </c>
      <c r="O344" s="3" t="inlineStr">
        <is>
          <t>남리 마을회관인근 1층 귀한 주택월세 방3개 화1</t>
        </is>
      </c>
      <c r="P344" s="6">
        <f>HYPERLINK("https://fin.land.naver.com/articles/2652009820", "매물Link")</f>
        <v/>
      </c>
      <c r="Q344" s="6">
        <f>HYPERLINK("https://map.naver.com/p/search/조치원읍 명리 66-2", "지도Link")</f>
        <v/>
      </c>
      <c r="R344" s="6">
        <f>HYPERLINK("http://www.eum.go.kr/web/ar/lu/luLandDet.jsp?pnu=3611025026100660002&amp;isNoScr=script&amp;mode=search", "토지이음")</f>
        <v/>
      </c>
      <c r="S344" s="3" t="inlineStr">
        <is>
          <t>욱일</t>
        </is>
      </c>
      <c r="T344" s="4" t="n">
        <v>1</v>
      </c>
      <c r="U344" s="5" t="n">
        <v>208.4</v>
      </c>
      <c r="V344" s="4" t="n">
        <v>141</v>
      </c>
      <c r="W344" s="3" t="inlineStr">
        <is>
          <t>지정되지않음</t>
        </is>
      </c>
      <c r="X344" s="3" t="inlineStr">
        <is>
          <t>단독</t>
        </is>
      </c>
      <c r="Y344" s="3" t="inlineStr">
        <is>
          <t>평지</t>
        </is>
      </c>
      <c r="Z344" s="3" t="inlineStr">
        <is>
          <t>가로장방</t>
        </is>
      </c>
      <c r="AA344" s="3" t="inlineStr">
        <is>
          <t>소로한면</t>
        </is>
      </c>
    </row>
    <row r="345">
      <c r="A345" s="3" t="inlineStr">
        <is>
          <t>조치원읍 번암리 110-1</t>
        </is>
      </c>
      <c r="B345" s="3" t="inlineStr">
        <is>
          <t>제2종일반주거지역</t>
        </is>
      </c>
      <c r="C345" s="3" t="inlineStr">
        <is>
          <t>대</t>
        </is>
      </c>
      <c r="D345" s="3" t="inlineStr">
        <is>
          <t>2</t>
        </is>
      </c>
      <c r="E345" s="3" t="inlineStr">
        <is>
          <t>상가주택</t>
        </is>
      </c>
      <c r="F345" s="3" t="inlineStr">
        <is>
          <t>매매</t>
        </is>
      </c>
      <c r="G345" s="4" t="n">
        <v>75000</v>
      </c>
      <c r="H345" s="4" t="n">
        <v>0</v>
      </c>
      <c r="I345" s="4" t="n">
        <v>328</v>
      </c>
      <c r="J345" s="4" t="n">
        <v>99</v>
      </c>
      <c r="K345" s="5" t="n">
        <v>757.6</v>
      </c>
      <c r="L345" s="4" t="n">
        <v>421</v>
      </c>
      <c r="M345" s="4" t="n">
        <v>127</v>
      </c>
      <c r="N345" s="5" t="n">
        <v>590.6</v>
      </c>
      <c r="O345" s="3" t="inlineStr">
        <is>
          <t>번암리 홈플러스 맞은편 6차선 접한 상가주택 저렴합니다</t>
        </is>
      </c>
      <c r="P345" s="6">
        <f>HYPERLINK("https://fin.land.naver.com/articles/2649796407", "매물Link")</f>
        <v/>
      </c>
      <c r="Q345" s="6">
        <f>HYPERLINK("https://map.naver.com/p/search/조치원읍 번암리 110-1", "지도Link")</f>
        <v/>
      </c>
      <c r="R345" s="6">
        <f>HYPERLINK("http://www.eum.go.kr/web/ar/lu/luLandDet.jsp?pnu=3611025031101100001&amp;isNoScr=script&amp;mode=search", "토지이음")</f>
        <v/>
      </c>
      <c r="S345" s="3" t="inlineStr">
        <is>
          <t>OK수</t>
        </is>
      </c>
      <c r="T345" s="4" t="n">
        <v>1</v>
      </c>
      <c r="U345" s="5" t="n">
        <v>341.8</v>
      </c>
      <c r="V345" s="4" t="n">
        <v>349</v>
      </c>
      <c r="W345" s="3" t="inlineStr">
        <is>
          <t>지정되지않음</t>
        </is>
      </c>
      <c r="X345" s="3" t="inlineStr">
        <is>
          <t>주상용</t>
        </is>
      </c>
      <c r="Y345" s="3" t="inlineStr">
        <is>
          <t>평지</t>
        </is>
      </c>
      <c r="Z345" s="3" t="inlineStr">
        <is>
          <t>사다리형</t>
        </is>
      </c>
      <c r="AA345" s="3" t="inlineStr">
        <is>
          <t>광대로한면</t>
        </is>
      </c>
    </row>
    <row r="346">
      <c r="A346" s="3" t="inlineStr">
        <is>
          <t>조치원읍 번암리 128-2</t>
        </is>
      </c>
      <c r="B346" s="3" t="inlineStr">
        <is>
          <t>제2종일반주거지역</t>
        </is>
      </c>
      <c r="C346" s="3" t="inlineStr">
        <is>
          <t>대</t>
        </is>
      </c>
      <c r="D346" s="3" t="inlineStr">
        <is>
          <t>4</t>
        </is>
      </c>
      <c r="E346" s="3" t="inlineStr">
        <is>
          <t>다가구</t>
        </is>
      </c>
      <c r="F346" s="3" t="inlineStr">
        <is>
          <t>매매</t>
        </is>
      </c>
      <c r="G346" s="4" t="n">
        <v>82000</v>
      </c>
      <c r="H346" s="4" t="n">
        <v>0</v>
      </c>
      <c r="I346" s="4" t="n">
        <v>211</v>
      </c>
      <c r="J346" s="4" t="n">
        <v>64</v>
      </c>
      <c r="K346" s="5" t="n">
        <v>1281.2</v>
      </c>
      <c r="L346" s="4" t="n">
        <v>380</v>
      </c>
      <c r="M346" s="4" t="n">
        <v>115</v>
      </c>
      <c r="N346" s="5" t="n">
        <v>713</v>
      </c>
      <c r="O346" s="3" t="inlineStr">
        <is>
          <t>nan</t>
        </is>
      </c>
      <c r="P346" s="6">
        <f>HYPERLINK("https://fin.land.naver.com/articles/2654393034", "매물Link")</f>
        <v/>
      </c>
      <c r="Q346" s="6">
        <f>HYPERLINK("https://map.naver.com/p/search/조치원읍 번암리 128-2", "지도Link")</f>
        <v/>
      </c>
      <c r="R346" s="6">
        <f>HYPERLINK("http://www.eum.go.kr/web/ar/lu/luLandDet.jsp?pnu=3611025031101280002&amp;isNoScr=script&amp;mode=search", "토지이음")</f>
        <v/>
      </c>
      <c r="S346" s="3" t="inlineStr">
        <is>
          <t>척척</t>
        </is>
      </c>
      <c r="T346" s="4" t="n">
        <v>1</v>
      </c>
      <c r="U346" s="5" t="n">
        <v>309.1</v>
      </c>
      <c r="V346" s="4" t="n">
        <v>211</v>
      </c>
      <c r="W346" s="3" t="inlineStr">
        <is>
          <t>지정되지않음</t>
        </is>
      </c>
      <c r="X346" s="3" t="inlineStr">
        <is>
          <t>주상용</t>
        </is>
      </c>
      <c r="Y346" s="3" t="inlineStr">
        <is>
          <t>평지</t>
        </is>
      </c>
      <c r="Z346" s="3" t="inlineStr">
        <is>
          <t>사다리형</t>
        </is>
      </c>
      <c r="AA346" s="3" t="inlineStr">
        <is>
          <t>광대로한면</t>
        </is>
      </c>
    </row>
    <row r="347">
      <c r="A347" s="3" t="inlineStr">
        <is>
          <t>조치원읍 번암리 69-12</t>
        </is>
      </c>
      <c r="B347" s="3" t="inlineStr">
        <is>
          <t>제2종일반주거지역</t>
        </is>
      </c>
      <c r="C347" s="3" t="inlineStr">
        <is>
          <t>대</t>
        </is>
      </c>
      <c r="D347" s="3" t="inlineStr">
        <is>
          <t>3</t>
        </is>
      </c>
      <c r="E347" s="3" t="inlineStr">
        <is>
          <t>일반원룸</t>
        </is>
      </c>
      <c r="F347" s="3" t="inlineStr">
        <is>
          <t>월세</t>
        </is>
      </c>
      <c r="G347" s="4" t="n">
        <v>300</v>
      </c>
      <c r="H347" s="4" t="n">
        <v>32</v>
      </c>
      <c r="I347" s="4" t="n">
        <v>39</v>
      </c>
      <c r="J347" s="4" t="n">
        <v>12</v>
      </c>
      <c r="K347" s="5" t="n">
        <v>2.7</v>
      </c>
      <c r="L347" s="4" t="n">
        <v>26</v>
      </c>
      <c r="M347" s="4" t="n">
        <v>8</v>
      </c>
      <c r="N347" s="5" t="n">
        <v>4</v>
      </c>
      <c r="O347" s="3" t="inlineStr">
        <is>
          <t>번암리 아주깨끗하게 관리해주십니다</t>
        </is>
      </c>
      <c r="P347" s="6">
        <f>HYPERLINK("https://fin.land.naver.com/articles/2653929088", "매물Link")</f>
        <v/>
      </c>
      <c r="Q347" s="6">
        <f>HYPERLINK("https://map.naver.com/p/search/조치원읍 번암리 69-12", "지도Link")</f>
        <v/>
      </c>
      <c r="R347" s="6">
        <f>HYPERLINK("http://www.eum.go.kr/web/ar/lu/luLandDet.jsp?pnu=3611025031100690012&amp;isNoScr=script&amp;mode=search", "토지이음")</f>
        <v/>
      </c>
      <c r="S347" s="3" t="inlineStr">
        <is>
          <t>척척</t>
        </is>
      </c>
      <c r="T347" s="4" t="n">
        <v>1</v>
      </c>
      <c r="U347" s="5" t="n">
        <v>341.2</v>
      </c>
      <c r="V347" s="4" t="n">
        <v>338</v>
      </c>
      <c r="W347" s="3" t="inlineStr">
        <is>
          <t>지정되지않음</t>
        </is>
      </c>
      <c r="X347" s="3" t="inlineStr">
        <is>
          <t>주상용</t>
        </is>
      </c>
      <c r="Y347" s="3" t="inlineStr">
        <is>
          <t>평지</t>
        </is>
      </c>
      <c r="Z347" s="3" t="inlineStr">
        <is>
          <t>세로장방</t>
        </is>
      </c>
      <c r="AA347" s="3" t="inlineStr">
        <is>
          <t>광대로한면</t>
        </is>
      </c>
    </row>
    <row r="348">
      <c r="A348" s="3" t="inlineStr">
        <is>
          <t>조치원읍 번암리 69-12</t>
        </is>
      </c>
      <c r="B348" s="3" t="inlineStr">
        <is>
          <t>제2종일반주거지역</t>
        </is>
      </c>
      <c r="C348" s="3" t="inlineStr">
        <is>
          <t>대</t>
        </is>
      </c>
      <c r="D348" s="3" t="inlineStr">
        <is>
          <t>3</t>
        </is>
      </c>
      <c r="E348" s="3" t="inlineStr">
        <is>
          <t>일반원룸</t>
        </is>
      </c>
      <c r="F348" s="3" t="inlineStr">
        <is>
          <t>월세</t>
        </is>
      </c>
      <c r="G348" s="4" t="n">
        <v>200</v>
      </c>
      <c r="H348" s="4" t="n">
        <v>30</v>
      </c>
      <c r="I348" s="4" t="n">
        <v>0</v>
      </c>
      <c r="J348" s="4" t="n">
        <v>0</v>
      </c>
      <c r="K348" s="5" t="n">
        <v>0</v>
      </c>
      <c r="L348" s="4" t="n">
        <v>26</v>
      </c>
      <c r="M348" s="4" t="n">
        <v>8</v>
      </c>
      <c r="N348" s="5" t="n">
        <v>3.8</v>
      </c>
      <c r="O348" s="3" t="inlineStr">
        <is>
          <t>엘리베이터 있어요. 원 룸 분리형 구조</t>
        </is>
      </c>
      <c r="P348" s="6">
        <f>HYPERLINK("https://fin.land.naver.com/articles/2652478073", "매물Link")</f>
        <v/>
      </c>
      <c r="Q348" s="6">
        <f>HYPERLINK("https://map.naver.com/p/search/조치원읍 번암리 69-12", "지도Link")</f>
        <v/>
      </c>
      <c r="R348" s="6">
        <f>HYPERLINK("http://www.eum.go.kr/web/ar/lu/luLandDet.jsp?pnu=3611025031100690012&amp;isNoScr=script&amp;mode=search", "토지이음")</f>
        <v/>
      </c>
      <c r="S348" s="3" t="inlineStr">
        <is>
          <t>지성</t>
        </is>
      </c>
      <c r="T348" s="4" t="n">
        <v>1</v>
      </c>
      <c r="U348" s="5" t="n">
        <v>341.2</v>
      </c>
      <c r="V348" s="4" t="n">
        <v>338</v>
      </c>
      <c r="W348" s="3" t="inlineStr">
        <is>
          <t>지정되지않음</t>
        </is>
      </c>
      <c r="X348" s="3" t="inlineStr">
        <is>
          <t>주상용</t>
        </is>
      </c>
      <c r="Y348" s="3" t="inlineStr">
        <is>
          <t>평지</t>
        </is>
      </c>
      <c r="Z348" s="3" t="inlineStr">
        <is>
          <t>세로장방</t>
        </is>
      </c>
      <c r="AA348" s="3" t="inlineStr">
        <is>
          <t>광대로한면</t>
        </is>
      </c>
    </row>
    <row r="349">
      <c r="A349" s="3" t="inlineStr">
        <is>
          <t>조치원읍 번암리 69-7</t>
        </is>
      </c>
      <c r="B349" s="3" t="inlineStr">
        <is>
          <t>제2종일반주거지역</t>
        </is>
      </c>
      <c r="C349" s="3" t="inlineStr">
        <is>
          <t>대</t>
        </is>
      </c>
      <c r="D349" s="3" t="inlineStr">
        <is>
          <t>0</t>
        </is>
      </c>
      <c r="E349" s="3" t="inlineStr">
        <is>
          <t>일반원룸</t>
        </is>
      </c>
      <c r="F349" s="3" t="inlineStr">
        <is>
          <t>월세</t>
        </is>
      </c>
      <c r="G349" s="4" t="n">
        <v>300</v>
      </c>
      <c r="H349" s="4" t="n">
        <v>36</v>
      </c>
      <c r="I349" s="4" t="n">
        <v>30</v>
      </c>
      <c r="J349" s="4" t="n">
        <v>9</v>
      </c>
      <c r="K349" s="5" t="n">
        <v>4</v>
      </c>
      <c r="L349" s="4" t="n">
        <v>30</v>
      </c>
      <c r="M349" s="4" t="n">
        <v>9</v>
      </c>
      <c r="N349" s="5" t="n">
        <v>4</v>
      </c>
      <c r="O349" s="3" t="inlineStr">
        <is>
          <t>홈플러스 앞 원룸 가격인 1.5룸, 세종 신도시 또는 오송 출퇴근 용이</t>
        </is>
      </c>
      <c r="P349" s="6">
        <f>HYPERLINK("https://fin.land.naver.com/articles/2654460016", "매물Link")</f>
        <v/>
      </c>
      <c r="Q349" s="6">
        <f>HYPERLINK("https://map.naver.com/p/search/조치원읍 번암리 69-7", "지도Link")</f>
        <v/>
      </c>
      <c r="R349" s="6">
        <f>HYPERLINK("http://www.eum.go.kr/web/ar/lu/luLandDet.jsp?pnu=3611025031100690007&amp;isNoScr=script&amp;mode=search", "토지이음")</f>
        <v/>
      </c>
      <c r="S349" s="3" t="inlineStr">
        <is>
          <t>유정희</t>
        </is>
      </c>
      <c r="T349" s="4" t="n">
        <v>1</v>
      </c>
      <c r="U349" s="5" t="n">
        <v>306.6</v>
      </c>
      <c r="V349" s="4" t="n">
        <v>220</v>
      </c>
      <c r="W349" s="3" t="inlineStr">
        <is>
          <t>지정되지않음</t>
        </is>
      </c>
      <c r="X349" s="3" t="inlineStr">
        <is>
          <t>주상용</t>
        </is>
      </c>
      <c r="Y349" s="3" t="inlineStr">
        <is>
          <t>평지</t>
        </is>
      </c>
      <c r="Z349" s="3" t="inlineStr">
        <is>
          <t>가로장방</t>
        </is>
      </c>
      <c r="AA349" s="3" t="inlineStr">
        <is>
          <t>소로한면</t>
        </is>
      </c>
    </row>
    <row r="350">
      <c r="A350" s="3" t="inlineStr">
        <is>
          <t>조치원읍 번암리 69-7</t>
        </is>
      </c>
      <c r="B350" s="3" t="inlineStr">
        <is>
          <t>제2종일반주거지역</t>
        </is>
      </c>
      <c r="C350" s="3" t="inlineStr">
        <is>
          <t>대</t>
        </is>
      </c>
      <c r="D350" s="3" t="inlineStr">
        <is>
          <t>0</t>
        </is>
      </c>
      <c r="E350" s="3" t="inlineStr">
        <is>
          <t>일반원룸</t>
        </is>
      </c>
      <c r="F350" s="3" t="inlineStr">
        <is>
          <t>월세</t>
        </is>
      </c>
      <c r="G350" s="4" t="n">
        <v>200</v>
      </c>
      <c r="H350" s="4" t="n">
        <v>30</v>
      </c>
      <c r="I350" s="4" t="n">
        <v>16</v>
      </c>
      <c r="J350" s="4" t="n">
        <v>5</v>
      </c>
      <c r="K350" s="5" t="n">
        <v>6</v>
      </c>
      <c r="L350" s="4" t="n">
        <v>16</v>
      </c>
      <c r="M350" s="4" t="n">
        <v>5</v>
      </c>
      <c r="N350" s="5" t="n">
        <v>6</v>
      </c>
      <c r="O350" s="3" t="inlineStr">
        <is>
          <t>홈플러스 앞 원룸, 세종 신도시 또는 오송으로 출퇴근 용이</t>
        </is>
      </c>
      <c r="P350" s="6">
        <f>HYPERLINK("https://fin.land.naver.com/articles/2654459531", "매물Link")</f>
        <v/>
      </c>
      <c r="Q350" s="6">
        <f>HYPERLINK("https://map.naver.com/p/search/조치원읍 번암리 69-7", "지도Link")</f>
        <v/>
      </c>
      <c r="R350" s="6">
        <f>HYPERLINK("http://www.eum.go.kr/web/ar/lu/luLandDet.jsp?pnu=3611025031100690007&amp;isNoScr=script&amp;mode=search", "토지이음")</f>
        <v/>
      </c>
      <c r="S350" s="3" t="inlineStr">
        <is>
          <t>유정희</t>
        </is>
      </c>
      <c r="T350" s="4" t="n">
        <v>1</v>
      </c>
      <c r="U350" s="5" t="n">
        <v>306.6</v>
      </c>
      <c r="V350" s="4" t="n">
        <v>220</v>
      </c>
      <c r="W350" s="3" t="inlineStr">
        <is>
          <t>지정되지않음</t>
        </is>
      </c>
      <c r="X350" s="3" t="inlineStr">
        <is>
          <t>주상용</t>
        </is>
      </c>
      <c r="Y350" s="3" t="inlineStr">
        <is>
          <t>평지</t>
        </is>
      </c>
      <c r="Z350" s="3" t="inlineStr">
        <is>
          <t>가로장방</t>
        </is>
      </c>
      <c r="AA350" s="3" t="inlineStr">
        <is>
          <t>소로한면</t>
        </is>
      </c>
    </row>
    <row r="351">
      <c r="A351" s="3" t="inlineStr">
        <is>
          <t>조치원읍 봉산리 170-9</t>
        </is>
      </c>
      <c r="B351" s="3" t="inlineStr">
        <is>
          <t>자연녹지지역</t>
        </is>
      </c>
      <c r="C351" s="3" t="inlineStr">
        <is>
          <t>대</t>
        </is>
      </c>
      <c r="D351" s="3" t="inlineStr">
        <is>
          <t>2</t>
        </is>
      </c>
      <c r="E351" s="3" t="inlineStr">
        <is>
          <t>다가구</t>
        </is>
      </c>
      <c r="F351" s="3" t="inlineStr">
        <is>
          <t>매매</t>
        </is>
      </c>
      <c r="G351" s="4" t="n">
        <v>115000</v>
      </c>
      <c r="H351" s="4" t="n">
        <v>0</v>
      </c>
      <c r="I351" s="4" t="n">
        <v>640</v>
      </c>
      <c r="J351" s="4" t="n">
        <v>194</v>
      </c>
      <c r="K351" s="5" t="n">
        <v>592.8</v>
      </c>
      <c r="L351" s="4" t="n">
        <v>332</v>
      </c>
      <c r="M351" s="4" t="n">
        <v>100</v>
      </c>
      <c r="N351" s="5" t="n">
        <v>1150</v>
      </c>
      <c r="O351" s="3" t="inlineStr">
        <is>
          <t>봉산리 1층,2층 다중주택으로 1층 리모델링 완료. 입주일 협의가능.</t>
        </is>
      </c>
      <c r="P351" s="6">
        <f>HYPERLINK("https://fin.land.naver.com/articles/2653372676", "매물Link")</f>
        <v/>
      </c>
      <c r="Q351" s="6">
        <f>HYPERLINK("https://map.naver.com/p/search/조치원읍 봉산리 170-9", "지도Link")</f>
        <v/>
      </c>
      <c r="R351" s="6">
        <f>HYPERLINK("http://www.eum.go.kr/web/ar/lu/luLandDet.jsp?pnu=3611025033101700009&amp;isNoScr=script&amp;mode=search", "토지이음")</f>
        <v/>
      </c>
      <c r="S351" s="3" t="inlineStr">
        <is>
          <t>세종대장</t>
        </is>
      </c>
      <c r="T351" s="4" t="n">
        <v>1</v>
      </c>
      <c r="U351" s="5" t="n">
        <v>162</v>
      </c>
      <c r="V351" s="4" t="n">
        <v>640</v>
      </c>
      <c r="W351" s="3" t="inlineStr">
        <is>
          <t>지정되지않음</t>
        </is>
      </c>
      <c r="X351" s="3" t="inlineStr">
        <is>
          <t>단독</t>
        </is>
      </c>
      <c r="Y351" s="3" t="inlineStr">
        <is>
          <t>평지</t>
        </is>
      </c>
      <c r="Z351" s="3" t="inlineStr">
        <is>
          <t>부정형</t>
        </is>
      </c>
      <c r="AA351" s="3" t="inlineStr">
        <is>
          <t>세로한면(가)</t>
        </is>
      </c>
    </row>
    <row r="352">
      <c r="A352" s="3" t="inlineStr">
        <is>
          <t>조치원읍 봉산리 190-11</t>
        </is>
      </c>
      <c r="B352" s="3" t="inlineStr">
        <is>
          <t>자연녹지지역</t>
        </is>
      </c>
      <c r="C352" s="3" t="inlineStr">
        <is>
          <t>대</t>
        </is>
      </c>
      <c r="D352" s="3" t="inlineStr">
        <is>
          <t>1</t>
        </is>
      </c>
      <c r="E352" s="3" t="inlineStr">
        <is>
          <t>빌라</t>
        </is>
      </c>
      <c r="F352" s="3" t="inlineStr">
        <is>
          <t>매매</t>
        </is>
      </c>
      <c r="G352" s="4" t="n">
        <v>4500</v>
      </c>
      <c r="H352" s="4" t="n">
        <v>0</v>
      </c>
      <c r="I352" s="4" t="n">
        <v>21</v>
      </c>
      <c r="J352" s="4" t="n">
        <v>6</v>
      </c>
      <c r="K352" s="5" t="n">
        <v>750</v>
      </c>
      <c r="L352" s="4" t="n">
        <v>20</v>
      </c>
      <c r="M352" s="4" t="n">
        <v>6</v>
      </c>
      <c r="N352" s="5" t="n">
        <v>750</v>
      </c>
      <c r="O352" s="3" t="inlineStr">
        <is>
          <t>고려대 세종캠퍼스 인근 복층형 원룸 개별 매매</t>
        </is>
      </c>
      <c r="P352" s="6">
        <f>HYPERLINK("https://fin.land.naver.com/articles/2654309249", "매물Link")</f>
        <v/>
      </c>
      <c r="Q352" s="6">
        <f>HYPERLINK("https://map.naver.com/p/search/조치원읍 봉산리 190-11", "지도Link")</f>
        <v/>
      </c>
      <c r="R352" s="6">
        <f>HYPERLINK("http://www.eum.go.kr/web/ar/lu/luLandDet.jsp?pnu=3611025033101900011&amp;isNoScr=script&amp;mode=search", "토지이음")</f>
        <v/>
      </c>
      <c r="S352" s="3" t="inlineStr">
        <is>
          <t>고래</t>
        </is>
      </c>
      <c r="T352" s="4" t="n">
        <v>1</v>
      </c>
      <c r="U352" s="5" t="n">
        <v>168.4</v>
      </c>
      <c r="V352" s="4" t="n">
        <v>565</v>
      </c>
      <c r="W352" s="3" t="inlineStr">
        <is>
          <t>지정되지않음</t>
        </is>
      </c>
      <c r="X352" s="3" t="inlineStr">
        <is>
          <t>다세대</t>
        </is>
      </c>
      <c r="Y352" s="3" t="inlineStr">
        <is>
          <t>평지</t>
        </is>
      </c>
      <c r="Z352" s="3" t="inlineStr">
        <is>
          <t>사다리형</t>
        </is>
      </c>
      <c r="AA352" s="3" t="inlineStr">
        <is>
          <t>세로한면(가)</t>
        </is>
      </c>
    </row>
    <row r="353">
      <c r="A353" s="3" t="inlineStr">
        <is>
          <t>조치원읍 봉산리 190-13</t>
        </is>
      </c>
      <c r="B353" s="3" t="inlineStr">
        <is>
          <t>자연녹지지역</t>
        </is>
      </c>
      <c r="C353" s="3" t="inlineStr">
        <is>
          <t>대</t>
        </is>
      </c>
      <c r="D353" s="3" t="inlineStr">
        <is>
          <t>2</t>
        </is>
      </c>
      <c r="E353" s="3" t="inlineStr">
        <is>
          <t>도시형생활주택</t>
        </is>
      </c>
      <c r="F353" s="3" t="inlineStr">
        <is>
          <t>월세</t>
        </is>
      </c>
      <c r="G353" s="4" t="n">
        <v>200</v>
      </c>
      <c r="H353" s="4" t="n">
        <v>30</v>
      </c>
      <c r="I353" s="4" t="n">
        <v>0</v>
      </c>
      <c r="J353" s="4" t="n">
        <v>0</v>
      </c>
      <c r="K353" s="5" t="n">
        <v>0</v>
      </c>
      <c r="L353" s="4" t="n">
        <v>22</v>
      </c>
      <c r="M353" s="4" t="n">
        <v>7</v>
      </c>
      <c r="N353" s="5" t="n">
        <v>4.3</v>
      </c>
      <c r="O353" s="3" t="inlineStr">
        <is>
          <t>인기좋은  풀옵션완비방    바로입주  주차편함   고대캠퍼스10분</t>
        </is>
      </c>
      <c r="P353" s="6">
        <f>HYPERLINK("https://fin.land.naver.com/articles/2654326898", "매물Link")</f>
        <v/>
      </c>
      <c r="Q353" s="6">
        <f>HYPERLINK("https://map.naver.com/p/search/조치원읍 봉산리 190-13", "지도Link")</f>
        <v/>
      </c>
      <c r="R353" s="6">
        <f>HYPERLINK("http://www.eum.go.kr/web/ar/lu/luLandDet.jsp?pnu=3611025033101900013&amp;isNoScr=script&amp;mode=search", "토지이음")</f>
        <v/>
      </c>
      <c r="S353" s="3" t="inlineStr">
        <is>
          <t>연서으뜸</t>
        </is>
      </c>
      <c r="T353" s="4" t="n">
        <v>1</v>
      </c>
      <c r="U353" s="5" t="n">
        <v>168.4</v>
      </c>
      <c r="V353" s="4" t="n">
        <v>737</v>
      </c>
      <c r="W353" s="3" t="inlineStr">
        <is>
          <t>지정되지않음</t>
        </is>
      </c>
      <c r="X353" s="3" t="inlineStr">
        <is>
          <t>다세대</t>
        </is>
      </c>
      <c r="Y353" s="3" t="inlineStr">
        <is>
          <t>평지</t>
        </is>
      </c>
      <c r="Z353" s="3" t="inlineStr">
        <is>
          <t>사다리형</t>
        </is>
      </c>
      <c r="AA353" s="3" t="inlineStr">
        <is>
          <t>세로한면(가)</t>
        </is>
      </c>
    </row>
    <row r="354">
      <c r="A354" s="3" t="inlineStr">
        <is>
          <t>조치원읍 상리 123</t>
        </is>
      </c>
      <c r="B354" s="3" t="inlineStr">
        <is>
          <t>준주거지역</t>
        </is>
      </c>
      <c r="C354" s="3" t="inlineStr">
        <is>
          <t>대</t>
        </is>
      </c>
      <c r="D354" s="3" t="inlineStr">
        <is>
          <t>3</t>
        </is>
      </c>
      <c r="E354" s="3" t="inlineStr">
        <is>
          <t>일반원룸</t>
        </is>
      </c>
      <c r="F354" s="3" t="inlineStr">
        <is>
          <t>월세</t>
        </is>
      </c>
      <c r="G354" s="4" t="n">
        <v>200</v>
      </c>
      <c r="H354" s="4" t="n">
        <v>30</v>
      </c>
      <c r="I354" s="4" t="n">
        <v>0</v>
      </c>
      <c r="J354" s="4" t="n">
        <v>0</v>
      </c>
      <c r="K354" s="5" t="n">
        <v>0</v>
      </c>
      <c r="L354" s="4" t="n">
        <v>23</v>
      </c>
      <c r="M354" s="4" t="n">
        <v>7</v>
      </c>
      <c r="N354" s="5" t="n">
        <v>4.3</v>
      </c>
      <c r="O354" s="3" t="inlineStr">
        <is>
          <t>L 시장.터미널앞, 역5분, 즉시입주가능, 특대형원룸</t>
        </is>
      </c>
      <c r="P354" s="6">
        <f>HYPERLINK("https://fin.land.naver.com/articles/2651114568", "매물Link")</f>
        <v/>
      </c>
      <c r="Q354" s="6">
        <f>HYPERLINK("https://map.naver.com/p/search/조치원읍 상리 123", "지도Link")</f>
        <v/>
      </c>
      <c r="R354" s="6">
        <f>HYPERLINK("http://www.eum.go.kr/web/ar/lu/luLandDet.jsp?pnu=3611025022101230000&amp;isNoScr=script&amp;mode=search", "토지이음")</f>
        <v/>
      </c>
      <c r="S354" s="3" t="inlineStr">
        <is>
          <t>바다</t>
        </is>
      </c>
      <c r="T354" s="4" t="n">
        <v>1</v>
      </c>
      <c r="U354" s="5" t="n">
        <v>280</v>
      </c>
      <c r="V354" s="4" t="n">
        <v>236</v>
      </c>
      <c r="W354" s="3" t="inlineStr">
        <is>
          <t>지정되지않음</t>
        </is>
      </c>
      <c r="X354" s="3" t="inlineStr">
        <is>
          <t>단독</t>
        </is>
      </c>
      <c r="Y354" s="3" t="inlineStr">
        <is>
          <t>평지</t>
        </is>
      </c>
      <c r="Z354" s="3" t="inlineStr">
        <is>
          <t>사다리형</t>
        </is>
      </c>
      <c r="AA354" s="3" t="inlineStr">
        <is>
          <t>소로각지</t>
        </is>
      </c>
    </row>
    <row r="355">
      <c r="A355" s="3" t="inlineStr">
        <is>
          <t>조치원읍 상리 124-2</t>
        </is>
      </c>
      <c r="B355" s="3" t="inlineStr">
        <is>
          <t>준주거지역</t>
        </is>
      </c>
      <c r="C355" s="3" t="inlineStr">
        <is>
          <t>대</t>
        </is>
      </c>
      <c r="D355" s="3" t="inlineStr">
        <is>
          <t>2</t>
        </is>
      </c>
      <c r="E355" s="3" t="inlineStr">
        <is>
          <t>일반원룸</t>
        </is>
      </c>
      <c r="F355" s="3" t="inlineStr">
        <is>
          <t>월세</t>
        </is>
      </c>
      <c r="G355" s="4" t="n">
        <v>200</v>
      </c>
      <c r="H355" s="4" t="n">
        <v>30</v>
      </c>
      <c r="I355" s="4" t="n">
        <v>25</v>
      </c>
      <c r="J355" s="4" t="n">
        <v>8</v>
      </c>
      <c r="K355" s="5" t="n">
        <v>3.8</v>
      </c>
      <c r="L355" s="4" t="n">
        <v>18</v>
      </c>
      <c r="M355" s="4" t="n">
        <v>5</v>
      </c>
      <c r="N355" s="5" t="n">
        <v>6</v>
      </c>
      <c r="O355" s="3" t="inlineStr">
        <is>
          <t>상리 터미날 맞은편 상태 깨끗함 즉시입주 가능합니다</t>
        </is>
      </c>
      <c r="P355" s="6">
        <f>HYPERLINK("https://fin.land.naver.com/articles/2653431981", "매물Link")</f>
        <v/>
      </c>
      <c r="Q355" s="6">
        <f>HYPERLINK("https://map.naver.com/p/search/조치원읍 상리 124-2", "지도Link")</f>
        <v/>
      </c>
      <c r="R355" s="6">
        <f>HYPERLINK("http://www.eum.go.kr/web/ar/lu/luLandDet.jsp?pnu=3611025022101240002&amp;isNoScr=script&amp;mode=search", "토지이음")</f>
        <v/>
      </c>
      <c r="S355" s="3" t="inlineStr">
        <is>
          <t>OK수</t>
        </is>
      </c>
      <c r="T355" s="4" t="n">
        <v>1</v>
      </c>
      <c r="U355" s="5" t="n">
        <v>240.7</v>
      </c>
      <c r="V355" s="4" t="n">
        <v>348</v>
      </c>
      <c r="W355" s="3" t="inlineStr">
        <is>
          <t>지정되지않음</t>
        </is>
      </c>
      <c r="X355" s="3" t="inlineStr">
        <is>
          <t>단독</t>
        </is>
      </c>
      <c r="Y355" s="3" t="inlineStr">
        <is>
          <t>평지</t>
        </is>
      </c>
      <c r="Z355" s="3" t="inlineStr">
        <is>
          <t>가로장방</t>
        </is>
      </c>
      <c r="AA355" s="3" t="inlineStr">
        <is>
          <t>세로한면(불)</t>
        </is>
      </c>
    </row>
    <row r="356">
      <c r="A356" s="3" t="inlineStr">
        <is>
          <t>조치원읍 상리 124-2</t>
        </is>
      </c>
      <c r="B356" s="3" t="inlineStr">
        <is>
          <t>준주거지역</t>
        </is>
      </c>
      <c r="C356" s="3" t="inlineStr">
        <is>
          <t>대</t>
        </is>
      </c>
      <c r="D356" s="3" t="inlineStr">
        <is>
          <t>4</t>
        </is>
      </c>
      <c r="E356" s="3" t="inlineStr">
        <is>
          <t>일반원룸</t>
        </is>
      </c>
      <c r="F356" s="3" t="inlineStr">
        <is>
          <t>월세</t>
        </is>
      </c>
      <c r="G356" s="4" t="n">
        <v>200</v>
      </c>
      <c r="H356" s="4" t="n">
        <v>30</v>
      </c>
      <c r="I356" s="4" t="n">
        <v>39</v>
      </c>
      <c r="J356" s="4" t="n">
        <v>12</v>
      </c>
      <c r="K356" s="5" t="n">
        <v>2.5</v>
      </c>
      <c r="L356" s="4" t="n">
        <v>26</v>
      </c>
      <c r="M356" s="4" t="n">
        <v>8</v>
      </c>
      <c r="N356" s="5" t="n">
        <v>3.8</v>
      </c>
      <c r="O356" s="3" t="inlineStr">
        <is>
          <t>터미널 근처.배란다가 아주큰 전망좋은 집.즉시입주 가능</t>
        </is>
      </c>
      <c r="P356" s="6">
        <f>HYPERLINK("https://fin.land.naver.com/articles/2652312867", "매물Link")</f>
        <v/>
      </c>
      <c r="Q356" s="6">
        <f>HYPERLINK("https://map.naver.com/p/search/조치원읍 상리 124-2", "지도Link")</f>
        <v/>
      </c>
      <c r="R356" s="6">
        <f>HYPERLINK("http://www.eum.go.kr/web/ar/lu/luLandDet.jsp?pnu=3611025022101240002&amp;isNoScr=script&amp;mode=search", "토지이음")</f>
        <v/>
      </c>
      <c r="S356" s="3" t="inlineStr">
        <is>
          <t>척척</t>
        </is>
      </c>
      <c r="T356" s="4" t="n">
        <v>1</v>
      </c>
      <c r="U356" s="5" t="n">
        <v>240.7</v>
      </c>
      <c r="V356" s="4" t="n">
        <v>348</v>
      </c>
      <c r="W356" s="3" t="inlineStr">
        <is>
          <t>지정되지않음</t>
        </is>
      </c>
      <c r="X356" s="3" t="inlineStr">
        <is>
          <t>단독</t>
        </is>
      </c>
      <c r="Y356" s="3" t="inlineStr">
        <is>
          <t>평지</t>
        </is>
      </c>
      <c r="Z356" s="3" t="inlineStr">
        <is>
          <t>가로장방</t>
        </is>
      </c>
      <c r="AA356" s="3" t="inlineStr">
        <is>
          <t>세로한면(불)</t>
        </is>
      </c>
    </row>
    <row r="357">
      <c r="A357" s="3" t="inlineStr">
        <is>
          <t>조치원읍 상리 124-2</t>
        </is>
      </c>
      <c r="B357" s="3" t="inlineStr">
        <is>
          <t>준주거지역</t>
        </is>
      </c>
      <c r="C357" s="3" t="inlineStr">
        <is>
          <t>대</t>
        </is>
      </c>
      <c r="D357" s="3" t="inlineStr">
        <is>
          <t>2</t>
        </is>
      </c>
      <c r="E357" s="3" t="inlineStr">
        <is>
          <t>일반원룸</t>
        </is>
      </c>
      <c r="F357" s="3" t="inlineStr">
        <is>
          <t>월세</t>
        </is>
      </c>
      <c r="G357" s="4" t="n">
        <v>200</v>
      </c>
      <c r="H357" s="4" t="n">
        <v>30</v>
      </c>
      <c r="I357" s="4" t="n">
        <v>39</v>
      </c>
      <c r="J357" s="4" t="n">
        <v>12</v>
      </c>
      <c r="K357" s="5" t="n">
        <v>2.5</v>
      </c>
      <c r="L357" s="4" t="n">
        <v>26</v>
      </c>
      <c r="M357" s="4" t="n">
        <v>8</v>
      </c>
      <c r="N357" s="5" t="n">
        <v>3.8</v>
      </c>
      <c r="O357" s="3" t="inlineStr">
        <is>
          <t>터미널 근처.예쁜룸.즉시입주 가능</t>
        </is>
      </c>
      <c r="P357" s="6">
        <f>HYPERLINK("https://fin.land.naver.com/articles/2652314109", "매물Link")</f>
        <v/>
      </c>
      <c r="Q357" s="6">
        <f>HYPERLINK("https://map.naver.com/p/search/조치원읍 상리 124-2", "지도Link")</f>
        <v/>
      </c>
      <c r="R357" s="6">
        <f>HYPERLINK("http://www.eum.go.kr/web/ar/lu/luLandDet.jsp?pnu=3611025022101240002&amp;isNoScr=script&amp;mode=search", "토지이음")</f>
        <v/>
      </c>
      <c r="S357" s="3" t="inlineStr">
        <is>
          <t>척척</t>
        </is>
      </c>
      <c r="T357" s="4" t="n">
        <v>1</v>
      </c>
      <c r="U357" s="5" t="n">
        <v>240.7</v>
      </c>
      <c r="V357" s="4" t="n">
        <v>348</v>
      </c>
      <c r="W357" s="3" t="inlineStr">
        <is>
          <t>지정되지않음</t>
        </is>
      </c>
      <c r="X357" s="3" t="inlineStr">
        <is>
          <t>단독</t>
        </is>
      </c>
      <c r="Y357" s="3" t="inlineStr">
        <is>
          <t>평지</t>
        </is>
      </c>
      <c r="Z357" s="3" t="inlineStr">
        <is>
          <t>가로장방</t>
        </is>
      </c>
      <c r="AA357" s="3" t="inlineStr">
        <is>
          <t>세로한면(불)</t>
        </is>
      </c>
    </row>
    <row r="358">
      <c r="A358" s="3" t="inlineStr">
        <is>
          <t>조치원읍 상리 132-1</t>
        </is>
      </c>
      <c r="B358" s="3" t="inlineStr">
        <is>
          <t>준주거지역</t>
        </is>
      </c>
      <c r="C358" s="3" t="inlineStr">
        <is>
          <t>대</t>
        </is>
      </c>
      <c r="D358" s="3" t="inlineStr">
        <is>
          <t>3</t>
        </is>
      </c>
      <c r="E358" s="3" t="inlineStr">
        <is>
          <t>상가주택</t>
        </is>
      </c>
      <c r="F358" s="3" t="inlineStr">
        <is>
          <t>매매</t>
        </is>
      </c>
      <c r="G358" s="4" t="n">
        <v>65000</v>
      </c>
      <c r="H358" s="4" t="n">
        <v>0</v>
      </c>
      <c r="I358" s="4" t="n">
        <v>116</v>
      </c>
      <c r="J358" s="4" t="n">
        <v>35</v>
      </c>
      <c r="K358" s="5" t="n">
        <v>1857.1</v>
      </c>
      <c r="L358" s="4" t="n">
        <v>184</v>
      </c>
      <c r="M358" s="4" t="n">
        <v>56</v>
      </c>
      <c r="N358" s="5" t="n">
        <v>1160.7</v>
      </c>
      <c r="O358" s="3" t="inlineStr">
        <is>
          <t>상리 세종문화원 맞은편 2차선 접한 전면 넓은 상가 광고효과 좋음</t>
        </is>
      </c>
      <c r="P358" s="6">
        <f>HYPERLINK("https://fin.land.naver.com/articles/2651593382", "매물Link")</f>
        <v/>
      </c>
      <c r="Q358" s="6">
        <f>HYPERLINK("https://map.naver.com/p/search/조치원읍 상리 132-1", "지도Link")</f>
        <v/>
      </c>
      <c r="R358" s="6">
        <f>HYPERLINK("http://www.eum.go.kr/web/ar/lu/luLandDet.jsp?pnu=3611025022101320001&amp;isNoScr=script&amp;mode=search", "토지이음")</f>
        <v/>
      </c>
      <c r="S358" s="3" t="inlineStr">
        <is>
          <t>OK수</t>
        </is>
      </c>
      <c r="T358" s="4" t="n">
        <v>1</v>
      </c>
      <c r="U358" s="5" t="n">
        <v>640.7</v>
      </c>
      <c r="V358" s="4" t="n">
        <v>116</v>
      </c>
      <c r="W358" s="3" t="inlineStr">
        <is>
          <t>지정되지않음</t>
        </is>
      </c>
      <c r="X358" s="3" t="inlineStr">
        <is>
          <t>상업용</t>
        </is>
      </c>
      <c r="Y358" s="3" t="inlineStr">
        <is>
          <t>평지</t>
        </is>
      </c>
      <c r="Z358" s="3" t="inlineStr">
        <is>
          <t>가로장방</t>
        </is>
      </c>
      <c r="AA358" s="3" t="inlineStr">
        <is>
          <t>중로한면</t>
        </is>
      </c>
    </row>
    <row r="359">
      <c r="A359" s="3" t="inlineStr">
        <is>
          <t>조치원읍 상리 59-1</t>
        </is>
      </c>
      <c r="B359" s="3" t="inlineStr">
        <is>
          <t>제2종일반주거지역</t>
        </is>
      </c>
      <c r="C359" s="3" t="inlineStr">
        <is>
          <t>대</t>
        </is>
      </c>
      <c r="D359" s="3" t="inlineStr">
        <is>
          <t>1</t>
        </is>
      </c>
      <c r="E359" s="3" t="inlineStr">
        <is>
          <t>다가구</t>
        </is>
      </c>
      <c r="F359" s="3" t="inlineStr">
        <is>
          <t>월세</t>
        </is>
      </c>
      <c r="G359" s="4" t="n">
        <v>1000</v>
      </c>
      <c r="H359" s="4" t="n">
        <v>65</v>
      </c>
      <c r="I359" s="4" t="n">
        <v>56</v>
      </c>
      <c r="J359" s="4" t="n">
        <v>17</v>
      </c>
      <c r="K359" s="5" t="n">
        <v>3.8</v>
      </c>
      <c r="L359" s="4" t="n">
        <v>56</v>
      </c>
      <c r="M359" s="4" t="n">
        <v>17</v>
      </c>
      <c r="N359" s="5" t="n">
        <v>3.8</v>
      </c>
      <c r="O359" s="3" t="inlineStr">
        <is>
          <t>명동초 뒤 귀한 풀옵션 투룸. 10월 중순입주. 관리비 무.</t>
        </is>
      </c>
      <c r="P359" s="6">
        <f>HYPERLINK("https://fin.land.naver.com/articles/2651216985", "매물Link")</f>
        <v/>
      </c>
      <c r="Q359" s="6">
        <f>HYPERLINK("https://map.naver.com/p/search/조치원읍 상리 59-1", "지도Link")</f>
        <v/>
      </c>
      <c r="R359" s="6">
        <f>HYPERLINK("http://www.eum.go.kr/web/ar/lu/luLandDet.jsp?pnu=3611025022100590001&amp;isNoScr=script&amp;mode=search", "토지이음")</f>
        <v/>
      </c>
      <c r="S359" s="3" t="inlineStr">
        <is>
          <t>세종대장</t>
        </is>
      </c>
      <c r="T359" s="4" t="n">
        <v>1</v>
      </c>
      <c r="U359" s="5" t="n">
        <v>207.1</v>
      </c>
      <c r="V359" s="4" t="n">
        <v>210</v>
      </c>
      <c r="W359" s="3" t="inlineStr">
        <is>
          <t>지정되지않음</t>
        </is>
      </c>
      <c r="X359" s="3" t="inlineStr">
        <is>
          <t>단독</t>
        </is>
      </c>
      <c r="Y359" s="3" t="inlineStr">
        <is>
          <t>평지</t>
        </is>
      </c>
      <c r="Z359" s="3" t="inlineStr">
        <is>
          <t>부정형</t>
        </is>
      </c>
      <c r="AA359" s="3" t="inlineStr">
        <is>
          <t>소로각지</t>
        </is>
      </c>
    </row>
    <row r="360">
      <c r="A360" s="3" t="inlineStr">
        <is>
          <t>조치원읍 상리 59-1</t>
        </is>
      </c>
      <c r="B360" s="3" t="inlineStr">
        <is>
          <t>제2종일반주거지역</t>
        </is>
      </c>
      <c r="C360" s="3" t="inlineStr">
        <is>
          <t>대</t>
        </is>
      </c>
      <c r="D360" s="3" t="inlineStr">
        <is>
          <t>3</t>
        </is>
      </c>
      <c r="E360" s="3" t="inlineStr">
        <is>
          <t>다가구</t>
        </is>
      </c>
      <c r="F360" s="3" t="inlineStr">
        <is>
          <t>매매</t>
        </is>
      </c>
      <c r="G360" s="4" t="n">
        <v>82000</v>
      </c>
      <c r="H360" s="4" t="n">
        <v>0</v>
      </c>
      <c r="I360" s="4" t="n">
        <v>210</v>
      </c>
      <c r="J360" s="4" t="n">
        <v>64</v>
      </c>
      <c r="K360" s="5" t="n">
        <v>1281.2</v>
      </c>
      <c r="L360" s="4" t="n">
        <v>305</v>
      </c>
      <c r="M360" s="4" t="n">
        <v>92</v>
      </c>
      <c r="N360" s="5" t="n">
        <v>891.3</v>
      </c>
      <c r="O360" s="3" t="inlineStr">
        <is>
          <t>상리 상생마을 옆 교통좋고 잘 지어진 다가구주택 매매.</t>
        </is>
      </c>
      <c r="P360" s="6">
        <f>HYPERLINK("https://fin.land.naver.com/articles/2654115455", "매물Link")</f>
        <v/>
      </c>
      <c r="Q360" s="6">
        <f>HYPERLINK("https://map.naver.com/p/search/조치원읍 상리 59-1", "지도Link")</f>
        <v/>
      </c>
      <c r="R360" s="6">
        <f>HYPERLINK("http://www.eum.go.kr/web/ar/lu/luLandDet.jsp?pnu=3611025022100590001&amp;isNoScr=script&amp;mode=search", "토지이음")</f>
        <v/>
      </c>
      <c r="S360" s="3" t="inlineStr">
        <is>
          <t>세종대장</t>
        </is>
      </c>
      <c r="T360" s="4" t="n">
        <v>1</v>
      </c>
      <c r="U360" s="5" t="n">
        <v>207.1</v>
      </c>
      <c r="V360" s="4" t="n">
        <v>210</v>
      </c>
      <c r="W360" s="3" t="inlineStr">
        <is>
          <t>지정되지않음</t>
        </is>
      </c>
      <c r="X360" s="3" t="inlineStr">
        <is>
          <t>단독</t>
        </is>
      </c>
      <c r="Y360" s="3" t="inlineStr">
        <is>
          <t>평지</t>
        </is>
      </c>
      <c r="Z360" s="3" t="inlineStr">
        <is>
          <t>부정형</t>
        </is>
      </c>
      <c r="AA360" s="3" t="inlineStr">
        <is>
          <t>소로각지</t>
        </is>
      </c>
    </row>
    <row r="361">
      <c r="A361" s="3" t="inlineStr">
        <is>
          <t>조치원읍 상리 67-9</t>
        </is>
      </c>
      <c r="B361" s="3" t="inlineStr">
        <is>
          <t>제2종일반주거지역</t>
        </is>
      </c>
      <c r="C361" s="3" t="inlineStr">
        <is>
          <t>대</t>
        </is>
      </c>
      <c r="D361" s="3" t="inlineStr">
        <is>
          <t>2</t>
        </is>
      </c>
      <c r="E361" s="3" t="inlineStr">
        <is>
          <t>단독</t>
        </is>
      </c>
      <c r="F361" s="3" t="inlineStr">
        <is>
          <t>월세</t>
        </is>
      </c>
      <c r="G361" s="4" t="n">
        <v>200</v>
      </c>
      <c r="H361" s="4" t="n">
        <v>25</v>
      </c>
      <c r="I361" s="4" t="n">
        <v>19</v>
      </c>
      <c r="J361" s="4" t="n">
        <v>6</v>
      </c>
      <c r="K361" s="5" t="n">
        <v>4.2</v>
      </c>
      <c r="L361" s="4" t="n">
        <v>19</v>
      </c>
      <c r="M361" s="4" t="n">
        <v>6</v>
      </c>
      <c r="N361" s="5" t="n">
        <v>4.2</v>
      </c>
      <c r="O361" s="3" t="inlineStr">
        <is>
          <t>조치원읍 상리 단독주택 2층 월세</t>
        </is>
      </c>
      <c r="P361" s="6">
        <f>HYPERLINK("https://fin.land.naver.com/articles/2652494086", "매물Link")</f>
        <v/>
      </c>
      <c r="Q361" s="6">
        <f>HYPERLINK("https://map.naver.com/p/search/조치원읍 상리 67-9", "지도Link")</f>
        <v/>
      </c>
      <c r="R361" s="6">
        <f>HYPERLINK("http://www.eum.go.kr/web/ar/lu/luLandDet.jsp?pnu=3611025022100670009&amp;isNoScr=script&amp;mode=search", "토지이음")</f>
        <v/>
      </c>
      <c r="S361" s="3" t="inlineStr">
        <is>
          <t>동원</t>
        </is>
      </c>
      <c r="T361" s="4" t="n">
        <v>1</v>
      </c>
      <c r="U361" s="5" t="n">
        <v>154</v>
      </c>
      <c r="V361" s="4" t="n">
        <v>201</v>
      </c>
      <c r="W361" s="3" t="inlineStr">
        <is>
          <t>지정되지않음</t>
        </is>
      </c>
      <c r="X361" s="3" t="inlineStr">
        <is>
          <t>단독</t>
        </is>
      </c>
      <c r="Y361" s="3" t="inlineStr">
        <is>
          <t>평지</t>
        </is>
      </c>
      <c r="Z361" s="3" t="inlineStr">
        <is>
          <t>사다리형</t>
        </is>
      </c>
      <c r="AA361" s="3" t="inlineStr">
        <is>
          <t>세로한면(불)</t>
        </is>
      </c>
    </row>
    <row r="362">
      <c r="A362" s="3" t="inlineStr">
        <is>
          <t>조치원읍 상리 79-3</t>
        </is>
      </c>
      <c r="B362" s="3" t="inlineStr">
        <is>
          <t>일반상업지역</t>
        </is>
      </c>
      <c r="C362" s="3" t="inlineStr">
        <is>
          <t>대</t>
        </is>
      </c>
      <c r="D362" s="3" t="inlineStr">
        <is>
          <t>7</t>
        </is>
      </c>
      <c r="E362" s="3" t="inlineStr">
        <is>
          <t>일반원룸</t>
        </is>
      </c>
      <c r="F362" s="3" t="inlineStr">
        <is>
          <t>전세</t>
        </is>
      </c>
      <c r="G362" s="4" t="n">
        <v>4200</v>
      </c>
      <c r="H362" s="4" t="n">
        <v>0</v>
      </c>
      <c r="I362" s="4" t="n">
        <v>30</v>
      </c>
      <c r="J362" s="4" t="n">
        <v>9</v>
      </c>
      <c r="K362" s="5" t="n">
        <v>466.7</v>
      </c>
      <c r="L362" s="4" t="n">
        <v>20</v>
      </c>
      <c r="M362" s="4" t="n">
        <v>6</v>
      </c>
      <c r="N362" s="5" t="n">
        <v>700</v>
      </c>
      <c r="O362" s="3" t="inlineStr">
        <is>
          <t>깨끗한원룸.넓은방.협의입주가능.보안철저.주차시설완비</t>
        </is>
      </c>
      <c r="P362" s="6">
        <f>HYPERLINK("https://fin.land.naver.com/articles/2651544463", "매물Link")</f>
        <v/>
      </c>
      <c r="Q362" s="6">
        <f>HYPERLINK("https://map.naver.com/p/search/조치원읍 상리 79-3", "지도Link")</f>
        <v/>
      </c>
      <c r="R362" s="6">
        <f>HYPERLINK("http://www.eum.go.kr/web/ar/lu/luLandDet.jsp?pnu=3611025022100790003&amp;isNoScr=script&amp;mode=search", "토지이음")</f>
        <v/>
      </c>
      <c r="S362" s="3" t="inlineStr">
        <is>
          <t>척척</t>
        </is>
      </c>
      <c r="T362" s="4" t="n">
        <v>1</v>
      </c>
      <c r="U362" s="5" t="n">
        <v>318.4</v>
      </c>
      <c r="V362" s="4" t="n">
        <v>465</v>
      </c>
      <c r="W362" s="3" t="inlineStr">
        <is>
          <t>지정되지않음</t>
        </is>
      </c>
      <c r="X362" s="3" t="inlineStr">
        <is>
          <t>주상기타</t>
        </is>
      </c>
      <c r="Y362" s="3" t="inlineStr">
        <is>
          <t>평지</t>
        </is>
      </c>
      <c r="Z362" s="3" t="inlineStr">
        <is>
          <t>세로장방</t>
        </is>
      </c>
      <c r="AA362" s="3" t="inlineStr">
        <is>
          <t>소로한면</t>
        </is>
      </c>
    </row>
    <row r="363">
      <c r="A363" s="3" t="inlineStr">
        <is>
          <t>조치원읍 상리 79-3</t>
        </is>
      </c>
      <c r="B363" s="3" t="inlineStr">
        <is>
          <t>일반상업지역</t>
        </is>
      </c>
      <c r="C363" s="3" t="inlineStr">
        <is>
          <t>대</t>
        </is>
      </c>
      <c r="D363" s="3" t="inlineStr">
        <is>
          <t>6</t>
        </is>
      </c>
      <c r="E363" s="3" t="inlineStr">
        <is>
          <t>도시형생활주택</t>
        </is>
      </c>
      <c r="F363" s="3" t="inlineStr">
        <is>
          <t>월세</t>
        </is>
      </c>
      <c r="G363" s="4" t="n">
        <v>300</v>
      </c>
      <c r="H363" s="4" t="n">
        <v>37</v>
      </c>
      <c r="I363" s="4" t="n">
        <v>26</v>
      </c>
      <c r="J363" s="4" t="n">
        <v>8</v>
      </c>
      <c r="K363" s="5" t="n">
        <v>4.6</v>
      </c>
      <c r="L363" s="4" t="n">
        <v>18</v>
      </c>
      <c r="M363" s="4" t="n">
        <v>5</v>
      </c>
      <c r="N363" s="5" t="n">
        <v>7.4</v>
      </c>
      <c r="O363" s="3" t="inlineStr">
        <is>
          <t>풀옵션 원룸 도시형생활주택 넓고 깔끔해요</t>
        </is>
      </c>
      <c r="P363" s="6">
        <f>HYPERLINK("https://fin.land.naver.com/articles/2650836138", "매물Link")</f>
        <v/>
      </c>
      <c r="Q363" s="6">
        <f>HYPERLINK("https://map.naver.com/p/search/조치원읍 상리 79-3", "지도Link")</f>
        <v/>
      </c>
      <c r="R363" s="6">
        <f>HYPERLINK("http://www.eum.go.kr/web/ar/lu/luLandDet.jsp?pnu=3611025022100790003&amp;isNoScr=script&amp;mode=search", "토지이음")</f>
        <v/>
      </c>
      <c r="S363" s="3" t="inlineStr">
        <is>
          <t>용죽부자</t>
        </is>
      </c>
      <c r="T363" s="4" t="n">
        <v>1</v>
      </c>
      <c r="U363" s="5" t="n">
        <v>318.4</v>
      </c>
      <c r="V363" s="4" t="n">
        <v>465</v>
      </c>
      <c r="W363" s="3" t="inlineStr">
        <is>
          <t>지정되지않음</t>
        </is>
      </c>
      <c r="X363" s="3" t="inlineStr">
        <is>
          <t>주상기타</t>
        </is>
      </c>
      <c r="Y363" s="3" t="inlineStr">
        <is>
          <t>평지</t>
        </is>
      </c>
      <c r="Z363" s="3" t="inlineStr">
        <is>
          <t>세로장방</t>
        </is>
      </c>
      <c r="AA363" s="3" t="inlineStr">
        <is>
          <t>소로한면</t>
        </is>
      </c>
    </row>
    <row r="364">
      <c r="A364" s="3" t="inlineStr">
        <is>
          <t>조치원읍 상리 79-3</t>
        </is>
      </c>
      <c r="B364" s="3" t="inlineStr">
        <is>
          <t>일반상업지역</t>
        </is>
      </c>
      <c r="C364" s="3" t="inlineStr">
        <is>
          <t>대</t>
        </is>
      </c>
      <c r="D364" s="3" t="inlineStr">
        <is>
          <t>0</t>
        </is>
      </c>
      <c r="E364" s="3" t="inlineStr">
        <is>
          <t>일반원룸</t>
        </is>
      </c>
      <c r="F364" s="3" t="inlineStr">
        <is>
          <t>월세</t>
        </is>
      </c>
      <c r="G364" s="4" t="n">
        <v>300</v>
      </c>
      <c r="H364" s="4" t="n">
        <v>36</v>
      </c>
      <c r="I364" s="4" t="n">
        <v>30</v>
      </c>
      <c r="J364" s="4" t="n">
        <v>9</v>
      </c>
      <c r="K364" s="5" t="n">
        <v>4</v>
      </c>
      <c r="L364" s="4" t="n">
        <v>20</v>
      </c>
      <c r="M364" s="4" t="n">
        <v>6</v>
      </c>
      <c r="N364" s="5" t="n">
        <v>6</v>
      </c>
      <c r="O364" s="3" t="inlineStr">
        <is>
          <t>깨끗한원룸.실사진.보안철저.주차시설완비</t>
        </is>
      </c>
      <c r="P364" s="6">
        <f>HYPERLINK("https://fin.land.naver.com/articles/2651069563", "매물Link")</f>
        <v/>
      </c>
      <c r="Q364" s="6">
        <f>HYPERLINK("https://map.naver.com/p/search/조치원읍 상리 79-3", "지도Link")</f>
        <v/>
      </c>
      <c r="R364" s="6">
        <f>HYPERLINK("http://www.eum.go.kr/web/ar/lu/luLandDet.jsp?pnu=3611025022100790003&amp;isNoScr=script&amp;mode=search", "토지이음")</f>
        <v/>
      </c>
      <c r="S364" s="3" t="inlineStr">
        <is>
          <t>척척</t>
        </is>
      </c>
      <c r="T364" s="4" t="n">
        <v>1</v>
      </c>
      <c r="U364" s="5" t="n">
        <v>318.4</v>
      </c>
      <c r="V364" s="4" t="n">
        <v>465</v>
      </c>
      <c r="W364" s="3" t="inlineStr">
        <is>
          <t>지정되지않음</t>
        </is>
      </c>
      <c r="X364" s="3" t="inlineStr">
        <is>
          <t>주상기타</t>
        </is>
      </c>
      <c r="Y364" s="3" t="inlineStr">
        <is>
          <t>평지</t>
        </is>
      </c>
      <c r="Z364" s="3" t="inlineStr">
        <is>
          <t>세로장방</t>
        </is>
      </c>
      <c r="AA364" s="3" t="inlineStr">
        <is>
          <t>소로한면</t>
        </is>
      </c>
    </row>
    <row r="365">
      <c r="A365" s="3" t="inlineStr">
        <is>
          <t>조치원읍 상리 79-3</t>
        </is>
      </c>
      <c r="B365" s="3" t="inlineStr">
        <is>
          <t>일반상업지역</t>
        </is>
      </c>
      <c r="C365" s="3" t="inlineStr">
        <is>
          <t>대</t>
        </is>
      </c>
      <c r="D365" s="3" t="inlineStr">
        <is>
          <t>6</t>
        </is>
      </c>
      <c r="E365" s="3" t="inlineStr">
        <is>
          <t>도시형생활주택</t>
        </is>
      </c>
      <c r="F365" s="3" t="inlineStr">
        <is>
          <t>월세</t>
        </is>
      </c>
      <c r="G365" s="4" t="n">
        <v>300</v>
      </c>
      <c r="H365" s="4" t="n">
        <v>37</v>
      </c>
      <c r="I365" s="4" t="n">
        <v>26</v>
      </c>
      <c r="J365" s="4" t="n">
        <v>8</v>
      </c>
      <c r="K365" s="5" t="n">
        <v>4.6</v>
      </c>
      <c r="L365" s="4" t="n">
        <v>18</v>
      </c>
      <c r="M365" s="4" t="n">
        <v>5</v>
      </c>
      <c r="N365" s="5" t="n">
        <v>7.4</v>
      </c>
      <c r="O365" s="3" t="inlineStr">
        <is>
          <t>상리 터미널인근 깨끗한 원룸</t>
        </is>
      </c>
      <c r="P365" s="6">
        <f>HYPERLINK("https://fin.land.naver.com/articles/2652419757", "매물Link")</f>
        <v/>
      </c>
      <c r="Q365" s="6">
        <f>HYPERLINK("https://map.naver.com/p/search/조치원읍 상리 79-3", "지도Link")</f>
        <v/>
      </c>
      <c r="R365" s="6">
        <f>HYPERLINK("http://www.eum.go.kr/web/ar/lu/luLandDet.jsp?pnu=3611025022100790003&amp;isNoScr=script&amp;mode=search", "토지이음")</f>
        <v/>
      </c>
      <c r="S365" s="3" t="inlineStr">
        <is>
          <t>OK수</t>
        </is>
      </c>
      <c r="T365" s="4" t="n">
        <v>1</v>
      </c>
      <c r="U365" s="5" t="n">
        <v>318.4</v>
      </c>
      <c r="V365" s="4" t="n">
        <v>465</v>
      </c>
      <c r="W365" s="3" t="inlineStr">
        <is>
          <t>지정되지않음</t>
        </is>
      </c>
      <c r="X365" s="3" t="inlineStr">
        <is>
          <t>주상기타</t>
        </is>
      </c>
      <c r="Y365" s="3" t="inlineStr">
        <is>
          <t>평지</t>
        </is>
      </c>
      <c r="Z365" s="3" t="inlineStr">
        <is>
          <t>세로장방</t>
        </is>
      </c>
      <c r="AA365" s="3" t="inlineStr">
        <is>
          <t>소로한면</t>
        </is>
      </c>
    </row>
    <row r="366">
      <c r="A366" s="3" t="inlineStr">
        <is>
          <t>조치원읍 상리 79-3</t>
        </is>
      </c>
      <c r="B366" s="3" t="inlineStr">
        <is>
          <t>일반상업지역</t>
        </is>
      </c>
      <c r="C366" s="3" t="inlineStr">
        <is>
          <t>대</t>
        </is>
      </c>
      <c r="D366" s="3" t="inlineStr">
        <is>
          <t>5</t>
        </is>
      </c>
      <c r="E366" s="3" t="inlineStr">
        <is>
          <t>도시형생활주택</t>
        </is>
      </c>
      <c r="F366" s="3" t="inlineStr">
        <is>
          <t>전세</t>
        </is>
      </c>
      <c r="G366" s="4" t="n">
        <v>4200</v>
      </c>
      <c r="H366" s="4" t="n">
        <v>0</v>
      </c>
      <c r="I366" s="4" t="n">
        <v>26</v>
      </c>
      <c r="J366" s="4" t="n">
        <v>8</v>
      </c>
      <c r="K366" s="5" t="n">
        <v>525</v>
      </c>
      <c r="L366" s="4" t="n">
        <v>18</v>
      </c>
      <c r="M366" s="4" t="n">
        <v>5</v>
      </c>
      <c r="N366" s="5" t="n">
        <v>840</v>
      </c>
      <c r="O366" s="3" t="inlineStr">
        <is>
          <t>풀옵션 깔끔한 도시형생활주택 무융자조건</t>
        </is>
      </c>
      <c r="P366" s="6">
        <f>HYPERLINK("https://fin.land.naver.com/articles/2650834927", "매물Link")</f>
        <v/>
      </c>
      <c r="Q366" s="6">
        <f>HYPERLINK("https://map.naver.com/p/search/조치원읍 상리 79-3", "지도Link")</f>
        <v/>
      </c>
      <c r="R366" s="6">
        <f>HYPERLINK("http://www.eum.go.kr/web/ar/lu/luLandDet.jsp?pnu=3611025022100790003&amp;isNoScr=script&amp;mode=search", "토지이음")</f>
        <v/>
      </c>
      <c r="S366" s="3" t="inlineStr">
        <is>
          <t>용죽부자</t>
        </is>
      </c>
      <c r="T366" s="4" t="n">
        <v>1</v>
      </c>
      <c r="U366" s="5" t="n">
        <v>318.4</v>
      </c>
      <c r="V366" s="4" t="n">
        <v>465</v>
      </c>
      <c r="W366" s="3" t="inlineStr">
        <is>
          <t>지정되지않음</t>
        </is>
      </c>
      <c r="X366" s="3" t="inlineStr">
        <is>
          <t>주상기타</t>
        </is>
      </c>
      <c r="Y366" s="3" t="inlineStr">
        <is>
          <t>평지</t>
        </is>
      </c>
      <c r="Z366" s="3" t="inlineStr">
        <is>
          <t>세로장방</t>
        </is>
      </c>
      <c r="AA366" s="3" t="inlineStr">
        <is>
          <t>소로한면</t>
        </is>
      </c>
    </row>
    <row r="367">
      <c r="A367" s="3" t="inlineStr">
        <is>
          <t>조치원읍 서창리 131-1</t>
        </is>
      </c>
      <c r="B367" s="3" t="inlineStr">
        <is>
          <t>제2종일반주거지역</t>
        </is>
      </c>
      <c r="C367" s="3" t="inlineStr">
        <is>
          <t>대</t>
        </is>
      </c>
      <c r="D367" s="3" t="inlineStr">
        <is>
          <t>3</t>
        </is>
      </c>
      <c r="E367" s="3" t="inlineStr">
        <is>
          <t>다가구</t>
        </is>
      </c>
      <c r="F367" s="3" t="inlineStr">
        <is>
          <t>매매</t>
        </is>
      </c>
      <c r="G367" s="4" t="n">
        <v>62000</v>
      </c>
      <c r="H367" s="4" t="n">
        <v>0</v>
      </c>
      <c r="I367" s="4" t="n">
        <v>184</v>
      </c>
      <c r="J367" s="4" t="n">
        <v>56</v>
      </c>
      <c r="K367" s="5" t="n">
        <v>1107.1</v>
      </c>
      <c r="L367" s="4" t="n">
        <v>294</v>
      </c>
      <c r="M367" s="4" t="n">
        <v>89</v>
      </c>
      <c r="N367" s="5" t="n">
        <v>696.6</v>
      </c>
      <c r="O367" s="3" t="inlineStr">
        <is>
          <t>nan</t>
        </is>
      </c>
      <c r="P367" s="6">
        <f>HYPERLINK("https://fin.land.naver.com/articles/2654392771", "매물Link")</f>
        <v/>
      </c>
      <c r="Q367" s="6">
        <f>HYPERLINK("https://map.naver.com/p/search/조치원읍 서창리 131-1", "지도Link")</f>
        <v/>
      </c>
      <c r="R367" s="6">
        <f>HYPERLINK("http://www.eum.go.kr/web/ar/lu/luLandDet.jsp?pnu=3611025034101310001&amp;isNoScr=script&amp;mode=search", "토지이음")</f>
        <v/>
      </c>
      <c r="S367" s="3" t="inlineStr">
        <is>
          <t>척척</t>
        </is>
      </c>
      <c r="T367" s="4" t="n">
        <v>1</v>
      </c>
      <c r="U367" s="5" t="n">
        <v>276.7</v>
      </c>
      <c r="V367" s="4" t="n">
        <v>177</v>
      </c>
      <c r="W367" s="3" t="inlineStr">
        <is>
          <t>지정되지않음</t>
        </is>
      </c>
      <c r="X367" s="3" t="inlineStr">
        <is>
          <t>단독</t>
        </is>
      </c>
      <c r="Y367" s="3" t="inlineStr">
        <is>
          <t>평지</t>
        </is>
      </c>
      <c r="Z367" s="3" t="inlineStr">
        <is>
          <t>사다리형</t>
        </is>
      </c>
      <c r="AA367" s="3" t="inlineStr">
        <is>
          <t>소로각지</t>
        </is>
      </c>
    </row>
    <row r="368">
      <c r="A368" s="3" t="inlineStr">
        <is>
          <t>조치원읍 서창리 132-7</t>
        </is>
      </c>
      <c r="B368" s="3" t="inlineStr">
        <is>
          <t>제2종일반주거지역</t>
        </is>
      </c>
      <c r="C368" s="3" t="inlineStr">
        <is>
          <t>대</t>
        </is>
      </c>
      <c r="D368" s="3" t="inlineStr">
        <is>
          <t>3</t>
        </is>
      </c>
      <c r="E368" s="3" t="inlineStr">
        <is>
          <t>다가구</t>
        </is>
      </c>
      <c r="F368" s="3" t="inlineStr">
        <is>
          <t>매매</t>
        </is>
      </c>
      <c r="G368" s="4" t="n">
        <v>70000</v>
      </c>
      <c r="H368" s="4" t="n">
        <v>0</v>
      </c>
      <c r="I368" s="4" t="n">
        <v>204</v>
      </c>
      <c r="J368" s="4" t="n">
        <v>62</v>
      </c>
      <c r="K368" s="5" t="n">
        <v>1129</v>
      </c>
      <c r="L368" s="4" t="n">
        <v>323</v>
      </c>
      <c r="M368" s="4" t="n">
        <v>98</v>
      </c>
      <c r="N368" s="5" t="n">
        <v>714.3</v>
      </c>
      <c r="O368" s="3" t="inlineStr">
        <is>
          <t>L 고대 도로변 위치좋은 건물</t>
        </is>
      </c>
      <c r="P368" s="6">
        <f>HYPERLINK("https://fin.land.naver.com/articles/2650552362", "매물Link")</f>
        <v/>
      </c>
      <c r="Q368" s="6">
        <f>HYPERLINK("https://map.naver.com/p/search/조치원읍 서창리 132-7", "지도Link")</f>
        <v/>
      </c>
      <c r="R368" s="6">
        <f>HYPERLINK("http://www.eum.go.kr/web/ar/lu/luLandDet.jsp?pnu=3611025034101320007&amp;isNoScr=script&amp;mode=search", "토지이음")</f>
        <v/>
      </c>
      <c r="S368" s="3" t="inlineStr">
        <is>
          <t>바다</t>
        </is>
      </c>
      <c r="T368" s="4" t="n">
        <v>1</v>
      </c>
      <c r="U368" s="5" t="n">
        <v>271.1</v>
      </c>
      <c r="V368" s="4" t="n">
        <v>204</v>
      </c>
      <c r="W368" s="3" t="inlineStr">
        <is>
          <t>지정되지않음</t>
        </is>
      </c>
      <c r="X368" s="3" t="inlineStr">
        <is>
          <t>단독</t>
        </is>
      </c>
      <c r="Y368" s="3" t="inlineStr">
        <is>
          <t>평지</t>
        </is>
      </c>
      <c r="Z368" s="3" t="inlineStr">
        <is>
          <t>사다리형</t>
        </is>
      </c>
      <c r="AA368" s="3" t="inlineStr">
        <is>
          <t>소로한면</t>
        </is>
      </c>
    </row>
    <row r="369">
      <c r="A369" s="3" t="inlineStr">
        <is>
          <t>조치원읍 서창리 132-7</t>
        </is>
      </c>
      <c r="B369" s="3" t="inlineStr">
        <is>
          <t>제2종일반주거지역</t>
        </is>
      </c>
      <c r="C369" s="3" t="inlineStr">
        <is>
          <t>대</t>
        </is>
      </c>
      <c r="D369" s="3" t="inlineStr">
        <is>
          <t>3</t>
        </is>
      </c>
      <c r="E369" s="3" t="inlineStr">
        <is>
          <t>단독</t>
        </is>
      </c>
      <c r="F369" s="3" t="inlineStr">
        <is>
          <t>매매</t>
        </is>
      </c>
      <c r="G369" s="4" t="n">
        <v>70000</v>
      </c>
      <c r="H369" s="4" t="n">
        <v>0</v>
      </c>
      <c r="I369" s="4" t="n">
        <v>204</v>
      </c>
      <c r="J369" s="4" t="n">
        <v>62</v>
      </c>
      <c r="K369" s="5" t="n">
        <v>1129</v>
      </c>
      <c r="L369" s="4" t="n">
        <v>323</v>
      </c>
      <c r="M369" s="4" t="n">
        <v>98</v>
      </c>
      <c r="N369" s="5" t="n">
        <v>714.3</v>
      </c>
      <c r="O369" s="3" t="inlineStr">
        <is>
          <t>대학가 원룸 통매매</t>
        </is>
      </c>
      <c r="P369" s="6">
        <f>HYPERLINK("https://fin.land.naver.com/articles/2654217651", "매물Link")</f>
        <v/>
      </c>
      <c r="Q369" s="6">
        <f>HYPERLINK("https://map.naver.com/p/search/조치원읍 서창리 132-7", "지도Link")</f>
        <v/>
      </c>
      <c r="R369" s="6">
        <f>HYPERLINK("http://www.eum.go.kr/web/ar/lu/luLandDet.jsp?pnu=3611025034101320007&amp;isNoScr=script&amp;mode=search", "토지이음")</f>
        <v/>
      </c>
      <c r="S369" s="3" t="inlineStr">
        <is>
          <t>고래</t>
        </is>
      </c>
      <c r="T369" s="4" t="n">
        <v>1</v>
      </c>
      <c r="U369" s="5" t="n">
        <v>271.1</v>
      </c>
      <c r="V369" s="4" t="n">
        <v>204</v>
      </c>
      <c r="W369" s="3" t="inlineStr">
        <is>
          <t>지정되지않음</t>
        </is>
      </c>
      <c r="X369" s="3" t="inlineStr">
        <is>
          <t>단독</t>
        </is>
      </c>
      <c r="Y369" s="3" t="inlineStr">
        <is>
          <t>평지</t>
        </is>
      </c>
      <c r="Z369" s="3" t="inlineStr">
        <is>
          <t>사다리형</t>
        </is>
      </c>
      <c r="AA369" s="3" t="inlineStr">
        <is>
          <t>소로한면</t>
        </is>
      </c>
    </row>
    <row r="370">
      <c r="A370" s="3" t="inlineStr">
        <is>
          <t>조치원읍 서창리 133-1</t>
        </is>
      </c>
      <c r="B370" s="3" t="inlineStr">
        <is>
          <t>제2종일반주거지역</t>
        </is>
      </c>
      <c r="C370" s="3" t="inlineStr">
        <is>
          <t>대</t>
        </is>
      </c>
      <c r="D370" s="3" t="inlineStr">
        <is>
          <t>4</t>
        </is>
      </c>
      <c r="E370" s="3" t="inlineStr">
        <is>
          <t>다가구</t>
        </is>
      </c>
      <c r="F370" s="3" t="inlineStr">
        <is>
          <t>매매</t>
        </is>
      </c>
      <c r="G370" s="4" t="n">
        <v>110000</v>
      </c>
      <c r="H370" s="4" t="n">
        <v>0</v>
      </c>
      <c r="I370" s="4" t="n">
        <v>430</v>
      </c>
      <c r="J370" s="4" t="n">
        <v>130</v>
      </c>
      <c r="K370" s="5" t="n">
        <v>846.2</v>
      </c>
      <c r="L370" s="4" t="n">
        <v>628</v>
      </c>
      <c r="M370" s="4" t="n">
        <v>190</v>
      </c>
      <c r="N370" s="5" t="n">
        <v>578.9</v>
      </c>
      <c r="O370" s="3" t="inlineStr">
        <is>
          <t>건물통매매 깔끔 관리잘된집 연세안정적인수입 수익률최고 급매조정해드림</t>
        </is>
      </c>
      <c r="P370" s="6">
        <f>HYPERLINK("https://fin.land.naver.com/articles/2651330727", "매물Link")</f>
        <v/>
      </c>
      <c r="Q370" s="6">
        <f>HYPERLINK("https://map.naver.com/p/search/조치원읍 서창리 133-1", "지도Link")</f>
        <v/>
      </c>
      <c r="R370" s="6">
        <f>HYPERLINK("http://www.eum.go.kr/web/ar/lu/luLandDet.jsp?pnu=3611025034101330001&amp;isNoScr=script&amp;mode=search", "토지이음")</f>
        <v/>
      </c>
      <c r="S370" s="3" t="inlineStr">
        <is>
          <t>금성</t>
        </is>
      </c>
      <c r="T370" s="4" t="n">
        <v>1</v>
      </c>
      <c r="U370" s="5" t="n">
        <v>251.3</v>
      </c>
      <c r="V370" s="4" t="n">
        <v>430</v>
      </c>
      <c r="W370" s="3" t="inlineStr">
        <is>
          <t>지정되지않음</t>
        </is>
      </c>
      <c r="X370" s="3" t="inlineStr">
        <is>
          <t>단독</t>
        </is>
      </c>
      <c r="Y370" s="3" t="inlineStr">
        <is>
          <t>평지</t>
        </is>
      </c>
      <c r="Z370" s="3" t="inlineStr">
        <is>
          <t>정방형</t>
        </is>
      </c>
      <c r="AA370" s="3" t="inlineStr">
        <is>
          <t>소로한면</t>
        </is>
      </c>
    </row>
    <row r="371">
      <c r="A371" s="3" t="inlineStr">
        <is>
          <t>조치원읍 서창리 133-25</t>
        </is>
      </c>
      <c r="B371" s="3" t="inlineStr">
        <is>
          <t>제2종일반주거지역</t>
        </is>
      </c>
      <c r="C371" s="3" t="inlineStr">
        <is>
          <t>대</t>
        </is>
      </c>
      <c r="D371" s="3" t="inlineStr">
        <is>
          <t>3</t>
        </is>
      </c>
      <c r="E371" s="3" t="inlineStr">
        <is>
          <t>다가구</t>
        </is>
      </c>
      <c r="F371" s="3" t="inlineStr">
        <is>
          <t>매매</t>
        </is>
      </c>
      <c r="G371" s="4" t="n">
        <v>67000</v>
      </c>
      <c r="H371" s="4" t="n">
        <v>0</v>
      </c>
      <c r="I371" s="4" t="n">
        <v>507</v>
      </c>
      <c r="J371" s="4" t="n">
        <v>153</v>
      </c>
      <c r="K371" s="5" t="n">
        <v>437.9</v>
      </c>
      <c r="L371" s="4" t="n">
        <v>495</v>
      </c>
      <c r="M371" s="4" t="n">
        <v>150</v>
      </c>
      <c r="N371" s="5" t="n">
        <v>446.7</v>
      </c>
      <c r="O371" s="3" t="inlineStr">
        <is>
          <t>최고 수익률 연세받는 원룸건물 고려대 세종캠퍼스 부근공실없음.</t>
        </is>
      </c>
      <c r="P371" s="6">
        <f>HYPERLINK("https://fin.land.naver.com/articles/2653540941", "매물Link")</f>
        <v/>
      </c>
      <c r="Q371" s="6">
        <f>HYPERLINK("https://map.naver.com/p/search/조치원읍 서창리 133-25", "지도Link")</f>
        <v/>
      </c>
      <c r="R371" s="6">
        <f>HYPERLINK("http://www.eum.go.kr/web/ar/lu/luLandDet.jsp?pnu=3611025034101330025&amp;isNoScr=script&amp;mode=search", "토지이음")</f>
        <v/>
      </c>
      <c r="S371" s="3" t="inlineStr">
        <is>
          <t>더나은</t>
        </is>
      </c>
      <c r="T371" s="4" t="n">
        <v>2</v>
      </c>
      <c r="U371" s="5" t="n">
        <v>236.2</v>
      </c>
      <c r="V371" s="4" t="n">
        <v>507</v>
      </c>
      <c r="W371" s="3" t="inlineStr">
        <is>
          <t>지정되지않음</t>
        </is>
      </c>
      <c r="X371" s="3" t="inlineStr">
        <is>
          <t>단독</t>
        </is>
      </c>
      <c r="Y371" s="3" t="inlineStr">
        <is>
          <t>평지</t>
        </is>
      </c>
      <c r="Z371" s="3" t="inlineStr">
        <is>
          <t>부정형</t>
        </is>
      </c>
      <c r="AA371" s="3" t="inlineStr">
        <is>
          <t>소로한면</t>
        </is>
      </c>
    </row>
    <row r="372">
      <c r="A372" s="3" t="inlineStr">
        <is>
          <t>조치원읍 서창리 133-28</t>
        </is>
      </c>
      <c r="B372" s="3" t="inlineStr">
        <is>
          <t>제2종일반주거지역</t>
        </is>
      </c>
      <c r="C372" s="3" t="inlineStr">
        <is>
          <t>대</t>
        </is>
      </c>
      <c r="D372" s="3" t="inlineStr">
        <is>
          <t>3</t>
        </is>
      </c>
      <c r="E372" s="3" t="inlineStr">
        <is>
          <t>다가구</t>
        </is>
      </c>
      <c r="F372" s="3" t="inlineStr">
        <is>
          <t>매매</t>
        </is>
      </c>
      <c r="G372" s="4" t="n">
        <v>52000</v>
      </c>
      <c r="H372" s="4" t="n">
        <v>0</v>
      </c>
      <c r="I372" s="4" t="n">
        <v>233</v>
      </c>
      <c r="J372" s="4" t="n">
        <v>70</v>
      </c>
      <c r="K372" s="5" t="n">
        <v>742.9</v>
      </c>
      <c r="L372" s="4" t="n">
        <v>312</v>
      </c>
      <c r="M372" s="4" t="n">
        <v>94</v>
      </c>
      <c r="N372" s="5" t="n">
        <v>553.2</v>
      </c>
      <c r="O372" s="3" t="inlineStr">
        <is>
          <t>nan</t>
        </is>
      </c>
      <c r="P372" s="6">
        <f>HYPERLINK("https://fin.land.naver.com/articles/2654392066", "매물Link")</f>
        <v/>
      </c>
      <c r="Q372" s="6">
        <f>HYPERLINK("https://map.naver.com/p/search/조치원읍 서창리 133-28", "지도Link")</f>
        <v/>
      </c>
      <c r="R372" s="6">
        <f>HYPERLINK("http://www.eum.go.kr/web/ar/lu/luLandDet.jsp?pnu=3611025034101330028&amp;isNoScr=script&amp;mode=search", "토지이음")</f>
        <v/>
      </c>
      <c r="S372" s="3" t="inlineStr">
        <is>
          <t>척척</t>
        </is>
      </c>
      <c r="T372" s="4" t="n">
        <v>1</v>
      </c>
      <c r="U372" s="5" t="n">
        <v>243.7</v>
      </c>
      <c r="V372" s="4" t="n">
        <v>233</v>
      </c>
      <c r="W372" s="3" t="inlineStr">
        <is>
          <t>지정되지않음</t>
        </is>
      </c>
      <c r="X372" s="3" t="inlineStr">
        <is>
          <t>단독</t>
        </is>
      </c>
      <c r="Y372" s="3" t="inlineStr">
        <is>
          <t>평지</t>
        </is>
      </c>
      <c r="Z372" s="3" t="inlineStr">
        <is>
          <t>사다리형</t>
        </is>
      </c>
      <c r="AA372" s="3" t="inlineStr">
        <is>
          <t>소로한면</t>
        </is>
      </c>
    </row>
    <row r="373">
      <c r="A373" s="3" t="inlineStr">
        <is>
          <t>조치원읍 서창리 143-4</t>
        </is>
      </c>
      <c r="B373" s="3" t="inlineStr">
        <is>
          <t>제2종일반주거지역</t>
        </is>
      </c>
      <c r="C373" s="3" t="inlineStr">
        <is>
          <t>대</t>
        </is>
      </c>
      <c r="D373" s="3" t="inlineStr">
        <is>
          <t>4</t>
        </is>
      </c>
      <c r="E373" s="3" t="inlineStr">
        <is>
          <t>일반원룸</t>
        </is>
      </c>
      <c r="F373" s="3" t="inlineStr">
        <is>
          <t>월세</t>
        </is>
      </c>
      <c r="G373" s="4" t="n">
        <v>200</v>
      </c>
      <c r="H373" s="4" t="n">
        <v>25</v>
      </c>
      <c r="I373" s="4" t="n">
        <v>0</v>
      </c>
      <c r="J373" s="4" t="n">
        <v>0</v>
      </c>
      <c r="K373" s="5" t="n">
        <v>0</v>
      </c>
      <c r="L373" s="4" t="n">
        <v>33</v>
      </c>
      <c r="M373" s="4" t="n">
        <v>10</v>
      </c>
      <c r="N373" s="5" t="n">
        <v>2.5</v>
      </c>
      <c r="O373" s="3" t="inlineStr">
        <is>
          <t>L 월25만. 역3분. 바로입주가능</t>
        </is>
      </c>
      <c r="P373" s="6">
        <f>HYPERLINK("https://fin.land.naver.com/articles/2651114519", "매물Link")</f>
        <v/>
      </c>
      <c r="Q373" s="6">
        <f>HYPERLINK("https://map.naver.com/p/search/조치원읍 서창리 143-4", "지도Link")</f>
        <v/>
      </c>
      <c r="R373" s="6">
        <f>HYPERLINK("http://www.eum.go.kr/web/ar/lu/luLandDet.jsp?pnu=3611025034101430004&amp;isNoScr=script&amp;mode=search", "토지이음")</f>
        <v/>
      </c>
      <c r="S373" s="3" t="inlineStr">
        <is>
          <t>바다</t>
        </is>
      </c>
      <c r="T373" s="4" t="n">
        <v>1</v>
      </c>
      <c r="U373" s="5" t="n">
        <v>419.8</v>
      </c>
      <c r="V373" s="4" t="n">
        <v>242</v>
      </c>
      <c r="W373" s="3" t="inlineStr">
        <is>
          <t>지정되지않음</t>
        </is>
      </c>
      <c r="X373" s="3" t="inlineStr">
        <is>
          <t>상업용</t>
        </is>
      </c>
      <c r="Y373" s="3" t="inlineStr">
        <is>
          <t>평지</t>
        </is>
      </c>
      <c r="Z373" s="3" t="inlineStr">
        <is>
          <t>부정형</t>
        </is>
      </c>
      <c r="AA373" s="3" t="inlineStr">
        <is>
          <t>중로각지</t>
        </is>
      </c>
    </row>
    <row r="374">
      <c r="A374" s="3" t="inlineStr">
        <is>
          <t>조치원읍 서창리 178-1</t>
        </is>
      </c>
      <c r="B374" s="3" t="inlineStr">
        <is>
          <t>제1종일반주거지역</t>
        </is>
      </c>
      <c r="C374" s="3" t="inlineStr">
        <is>
          <t>대</t>
        </is>
      </c>
      <c r="D374" s="3" t="inlineStr">
        <is>
          <t>4</t>
        </is>
      </c>
      <c r="E374" s="3" t="inlineStr">
        <is>
          <t>상가주택</t>
        </is>
      </c>
      <c r="F374" s="3" t="inlineStr">
        <is>
          <t>매매</t>
        </is>
      </c>
      <c r="G374" s="4" t="n">
        <v>125000</v>
      </c>
      <c r="H374" s="4" t="n">
        <v>0</v>
      </c>
      <c r="I374" s="4" t="n">
        <v>258</v>
      </c>
      <c r="J374" s="4" t="n">
        <v>78</v>
      </c>
      <c r="K374" s="5" t="n">
        <v>1602.6</v>
      </c>
      <c r="L374" s="4" t="n">
        <v>454</v>
      </c>
      <c r="M374" s="4" t="n">
        <v>137</v>
      </c>
      <c r="N374" s="5" t="n">
        <v>912.4</v>
      </c>
      <c r="O374" s="3" t="inlineStr">
        <is>
          <t>대학가 상가주택 통매매</t>
        </is>
      </c>
      <c r="P374" s="6">
        <f>HYPERLINK("https://fin.land.naver.com/articles/2654216625", "매물Link")</f>
        <v/>
      </c>
      <c r="Q374" s="6">
        <f>HYPERLINK("https://map.naver.com/p/search/조치원읍 서창리 178-1", "지도Link")</f>
        <v/>
      </c>
      <c r="R374" s="6">
        <f>HYPERLINK("http://www.eum.go.kr/web/ar/lu/luLandDet.jsp?pnu=3611025034101780001&amp;isNoScr=script&amp;mode=search", "토지이음")</f>
        <v/>
      </c>
      <c r="S374" s="3" t="inlineStr">
        <is>
          <t>고래</t>
        </is>
      </c>
      <c r="T374" s="4" t="n">
        <v>1</v>
      </c>
      <c r="U374" s="5" t="n">
        <v>227.8</v>
      </c>
      <c r="V374" s="4" t="n">
        <v>258</v>
      </c>
      <c r="W374" s="3" t="inlineStr">
        <is>
          <t>지정되지않음</t>
        </is>
      </c>
      <c r="X374" s="3" t="inlineStr">
        <is>
          <t>단독</t>
        </is>
      </c>
      <c r="Y374" s="3" t="inlineStr">
        <is>
          <t>평지</t>
        </is>
      </c>
      <c r="Z374" s="3" t="inlineStr">
        <is>
          <t>부정형</t>
        </is>
      </c>
      <c r="AA374" s="3" t="inlineStr">
        <is>
          <t>세로한면(가)</t>
        </is>
      </c>
    </row>
    <row r="375">
      <c r="A375" s="3" t="inlineStr">
        <is>
          <t>조치원읍 서창리 188-13</t>
        </is>
      </c>
      <c r="B375" s="3" t="inlineStr">
        <is>
          <t>제2종일반주거지역</t>
        </is>
      </c>
      <c r="C375" s="3" t="inlineStr">
        <is>
          <t>대</t>
        </is>
      </c>
      <c r="D375" s="3" t="inlineStr">
        <is>
          <t>3</t>
        </is>
      </c>
      <c r="E375" s="3" t="inlineStr">
        <is>
          <t>다가구</t>
        </is>
      </c>
      <c r="F375" s="3" t="inlineStr">
        <is>
          <t>매매</t>
        </is>
      </c>
      <c r="G375" s="4" t="n">
        <v>87000</v>
      </c>
      <c r="H375" s="4" t="n">
        <v>0</v>
      </c>
      <c r="I375" s="4" t="n">
        <v>286</v>
      </c>
      <c r="J375" s="4" t="n">
        <v>87</v>
      </c>
      <c r="K375" s="5" t="n">
        <v>1000</v>
      </c>
      <c r="L375" s="4" t="n">
        <v>448</v>
      </c>
      <c r="M375" s="4" t="n">
        <v>136</v>
      </c>
      <c r="N375" s="5" t="n">
        <v>639.7</v>
      </c>
      <c r="O375" s="3" t="inlineStr">
        <is>
          <t>대학가 수익률9 다가구주택</t>
        </is>
      </c>
      <c r="P375" s="6">
        <f>HYPERLINK("https://fin.land.naver.com/articles/2653931472", "매물Link")</f>
        <v/>
      </c>
      <c r="Q375" s="6">
        <f>HYPERLINK("https://map.naver.com/p/search/조치원읍 서창리 188-13", "지도Link")</f>
        <v/>
      </c>
      <c r="R375" s="6">
        <f>HYPERLINK("http://www.eum.go.kr/web/ar/lu/luLandDet.jsp?pnu=3611025034101880013&amp;isNoScr=script&amp;mode=search", "토지이음")</f>
        <v/>
      </c>
      <c r="S375" s="3" t="inlineStr">
        <is>
          <t>고래</t>
        </is>
      </c>
      <c r="T375" s="4" t="n">
        <v>1</v>
      </c>
      <c r="U375" s="5" t="n">
        <v>216.6</v>
      </c>
      <c r="V375" s="4" t="n">
        <v>286</v>
      </c>
      <c r="W375" s="3" t="inlineStr">
        <is>
          <t>지정되지않음</t>
        </is>
      </c>
      <c r="X375" s="3" t="inlineStr">
        <is>
          <t>단독</t>
        </is>
      </c>
      <c r="Y375" s="3" t="inlineStr">
        <is>
          <t>완경사</t>
        </is>
      </c>
      <c r="Z375" s="3" t="inlineStr">
        <is>
          <t>사다리형</t>
        </is>
      </c>
      <c r="AA375" s="3" t="inlineStr">
        <is>
          <t>세로한면(가)</t>
        </is>
      </c>
    </row>
    <row r="376">
      <c r="A376" s="3" t="inlineStr">
        <is>
          <t>조치원읍 서창리 188-31</t>
        </is>
      </c>
      <c r="B376" s="3" t="inlineStr">
        <is>
          <t>제2종일반주거지역</t>
        </is>
      </c>
      <c r="C376" s="3" t="inlineStr">
        <is>
          <t>대</t>
        </is>
      </c>
      <c r="D376" s="3" t="inlineStr">
        <is>
          <t>3</t>
        </is>
      </c>
      <c r="E376" s="3" t="inlineStr">
        <is>
          <t>다가구</t>
        </is>
      </c>
      <c r="F376" s="3" t="inlineStr">
        <is>
          <t>매매</t>
        </is>
      </c>
      <c r="G376" s="4" t="n">
        <v>73000</v>
      </c>
      <c r="H376" s="4" t="n">
        <v>0</v>
      </c>
      <c r="I376" s="4" t="n">
        <v>245</v>
      </c>
      <c r="J376" s="4" t="n">
        <v>74</v>
      </c>
      <c r="K376" s="5" t="n">
        <v>986.5</v>
      </c>
      <c r="L376" s="4" t="n">
        <v>382</v>
      </c>
      <c r="M376" s="4" t="n">
        <v>116</v>
      </c>
      <c r="N376" s="5" t="n">
        <v>629.3</v>
      </c>
      <c r="O376" s="3" t="inlineStr">
        <is>
          <t>월세440만원가능 다가구 건물</t>
        </is>
      </c>
      <c r="P376" s="6">
        <f>HYPERLINK("https://fin.land.naver.com/articles/2654217339", "매물Link")</f>
        <v/>
      </c>
      <c r="Q376" s="6">
        <f>HYPERLINK("https://map.naver.com/p/search/조치원읍 서창리 188-31", "지도Link")</f>
        <v/>
      </c>
      <c r="R376" s="6">
        <f>HYPERLINK("http://www.eum.go.kr/web/ar/lu/luLandDet.jsp?pnu=3611025034101880031&amp;isNoScr=script&amp;mode=search", "토지이음")</f>
        <v/>
      </c>
      <c r="S376" s="3" t="inlineStr">
        <is>
          <t>고래</t>
        </is>
      </c>
      <c r="T376" s="4" t="n">
        <v>1</v>
      </c>
      <c r="U376" s="5" t="n">
        <v>240.7</v>
      </c>
      <c r="V376" s="4" t="n">
        <v>245</v>
      </c>
      <c r="W376" s="3" t="inlineStr">
        <is>
          <t>지정되지않음</t>
        </is>
      </c>
      <c r="X376" s="3" t="inlineStr">
        <is>
          <t>단독</t>
        </is>
      </c>
      <c r="Y376" s="3" t="inlineStr">
        <is>
          <t>완경사</t>
        </is>
      </c>
      <c r="Z376" s="3" t="inlineStr">
        <is>
          <t>사다리형</t>
        </is>
      </c>
      <c r="AA376" s="3" t="inlineStr">
        <is>
          <t>소로한면</t>
        </is>
      </c>
    </row>
    <row r="377">
      <c r="A377" s="3" t="inlineStr">
        <is>
          <t>조치원읍 서창리 203-10</t>
        </is>
      </c>
      <c r="B377" s="3" t="inlineStr">
        <is>
          <t>제1종일반주거지역</t>
        </is>
      </c>
      <c r="C377" s="3" t="inlineStr">
        <is>
          <t>대</t>
        </is>
      </c>
      <c r="D377" s="3" t="inlineStr">
        <is>
          <t>3</t>
        </is>
      </c>
      <c r="E377" s="3" t="inlineStr">
        <is>
          <t>다가구</t>
        </is>
      </c>
      <c r="F377" s="3" t="inlineStr">
        <is>
          <t>매매</t>
        </is>
      </c>
      <c r="G377" s="4" t="n">
        <v>49000</v>
      </c>
      <c r="H377" s="4" t="n">
        <v>0</v>
      </c>
      <c r="I377" s="4" t="n">
        <v>654</v>
      </c>
      <c r="J377" s="4" t="n">
        <v>198</v>
      </c>
      <c r="K377" s="5" t="n">
        <v>247.5</v>
      </c>
      <c r="L377" s="4" t="n">
        <v>581</v>
      </c>
      <c r="M377" s="4" t="n">
        <v>176</v>
      </c>
      <c r="N377" s="5" t="n">
        <v>278.4</v>
      </c>
      <c r="O377" s="3" t="inlineStr">
        <is>
          <t>nan</t>
        </is>
      </c>
      <c r="P377" s="6">
        <f>HYPERLINK("https://fin.land.naver.com/articles/2654391179", "매물Link")</f>
        <v/>
      </c>
      <c r="Q377" s="6">
        <f>HYPERLINK("https://map.naver.com/p/search/조치원읍 서창리 203-10", "지도Link")</f>
        <v/>
      </c>
      <c r="R377" s="6">
        <f>HYPERLINK("http://www.eum.go.kr/web/ar/lu/luLandDet.jsp?pnu=3611025034102030010&amp;isNoScr=script&amp;mode=search", "토지이음")</f>
        <v/>
      </c>
      <c r="S377" s="3" t="inlineStr">
        <is>
          <t>척척</t>
        </is>
      </c>
      <c r="T377" s="4" t="n">
        <v>2</v>
      </c>
      <c r="U377" s="5" t="n">
        <v>205.7</v>
      </c>
      <c r="V377" s="4" t="n">
        <v>415</v>
      </c>
      <c r="W377" s="3" t="inlineStr">
        <is>
          <t>자연녹지지역</t>
        </is>
      </c>
      <c r="X377" s="3" t="inlineStr">
        <is>
          <t>다세대</t>
        </is>
      </c>
      <c r="Y377" s="3" t="inlineStr">
        <is>
          <t>평지</t>
        </is>
      </c>
      <c r="Z377" s="3" t="inlineStr">
        <is>
          <t>사다리형</t>
        </is>
      </c>
      <c r="AA377" s="3" t="inlineStr">
        <is>
          <t>세로한면(가)</t>
        </is>
      </c>
    </row>
    <row r="378">
      <c r="A378" s="3" t="inlineStr">
        <is>
          <t>조치원읍 서창리 203-6</t>
        </is>
      </c>
      <c r="B378" s="3" t="inlineStr">
        <is>
          <t>제1종일반주거지역</t>
        </is>
      </c>
      <c r="C378" s="3" t="inlineStr">
        <is>
          <t>대</t>
        </is>
      </c>
      <c r="D378" s="3" t="inlineStr">
        <is>
          <t>0</t>
        </is>
      </c>
      <c r="E378" s="3" t="inlineStr">
        <is>
          <t>일반원룸</t>
        </is>
      </c>
      <c r="F378" s="3" t="inlineStr">
        <is>
          <t>전세</t>
        </is>
      </c>
      <c r="G378" s="4" t="n">
        <v>3000</v>
      </c>
      <c r="H378" s="4" t="n">
        <v>0</v>
      </c>
      <c r="I378" s="4" t="n">
        <v>30</v>
      </c>
      <c r="J378" s="4" t="n">
        <v>9</v>
      </c>
      <c r="K378" s="5" t="n">
        <v>333.3</v>
      </c>
      <c r="L378" s="4" t="n">
        <v>30</v>
      </c>
      <c r="M378" s="4" t="n">
        <v>9</v>
      </c>
      <c r="N378" s="5" t="n">
        <v>333.3</v>
      </c>
      <c r="O378" s="3" t="inlineStr">
        <is>
          <t>위치좋고 상태 좋은 저렴한 매물 안전전세</t>
        </is>
      </c>
      <c r="P378" s="6">
        <f>HYPERLINK("https://fin.land.naver.com/articles/2653251836", "매물Link")</f>
        <v/>
      </c>
      <c r="Q378" s="6">
        <f>HYPERLINK("https://map.naver.com/p/search/조치원읍 서창리 203-6", "지도Link")</f>
        <v/>
      </c>
      <c r="R378" s="6">
        <f>HYPERLINK("http://www.eum.go.kr/web/ar/lu/luLandDet.jsp?pnu=3611025034102030006&amp;isNoScr=script&amp;mode=search", "토지이음")</f>
        <v/>
      </c>
      <c r="S378" s="3" t="inlineStr">
        <is>
          <t>부자터</t>
        </is>
      </c>
      <c r="T378" s="4" t="n">
        <v>1</v>
      </c>
      <c r="U378" s="5" t="n">
        <v>344.8</v>
      </c>
      <c r="V378" s="4" t="n">
        <v>477</v>
      </c>
      <c r="W378" s="3" t="inlineStr">
        <is>
          <t>지정되지않음</t>
        </is>
      </c>
      <c r="X378" s="3" t="inlineStr">
        <is>
          <t>주상용</t>
        </is>
      </c>
      <c r="Y378" s="3" t="inlineStr">
        <is>
          <t>평지</t>
        </is>
      </c>
      <c r="Z378" s="3" t="inlineStr">
        <is>
          <t>사다리형</t>
        </is>
      </c>
      <c r="AA378" s="3" t="inlineStr">
        <is>
          <t>중로한면</t>
        </is>
      </c>
    </row>
    <row r="379">
      <c r="A379" s="3" t="inlineStr">
        <is>
          <t>조치원읍 서창리 205</t>
        </is>
      </c>
      <c r="B379" s="3" t="inlineStr">
        <is>
          <t>자연녹지지역</t>
        </is>
      </c>
      <c r="C379" s="3" t="inlineStr">
        <is>
          <t>대</t>
        </is>
      </c>
      <c r="D379" s="3" t="inlineStr">
        <is>
          <t>2</t>
        </is>
      </c>
      <c r="E379" s="3" t="inlineStr">
        <is>
          <t>일반원룸</t>
        </is>
      </c>
      <c r="F379" s="3" t="inlineStr">
        <is>
          <t>월세</t>
        </is>
      </c>
      <c r="G379" s="4" t="n">
        <v>200</v>
      </c>
      <c r="H379" s="4" t="n">
        <v>30</v>
      </c>
      <c r="I379" s="4" t="n">
        <v>39</v>
      </c>
      <c r="J379" s="4" t="n">
        <v>12</v>
      </c>
      <c r="K379" s="5" t="n">
        <v>2.5</v>
      </c>
      <c r="L379" s="4" t="n">
        <v>19</v>
      </c>
      <c r="M379" s="4" t="n">
        <v>6</v>
      </c>
      <c r="N379" s="5" t="n">
        <v>5</v>
      </c>
      <c r="O379" s="3" t="inlineStr">
        <is>
          <t>알뜰하고 깔끔한 분리형 원룸</t>
        </is>
      </c>
      <c r="P379" s="6">
        <f>HYPERLINK("https://fin.land.naver.com/articles/2653930959", "매물Link")</f>
        <v/>
      </c>
      <c r="Q379" s="6">
        <f>HYPERLINK("https://map.naver.com/p/search/조치원읍 서창리 205", "지도Link")</f>
        <v/>
      </c>
      <c r="R379" s="6">
        <f>HYPERLINK("http://www.eum.go.kr/web/ar/lu/luLandDet.jsp?pnu=3611025034102050000&amp;isNoScr=script&amp;mode=search", "토지이음")</f>
        <v/>
      </c>
      <c r="S379" s="3" t="inlineStr">
        <is>
          <t>척척</t>
        </is>
      </c>
      <c r="T379" s="4" t="n">
        <v>1</v>
      </c>
      <c r="U379" s="5" t="n">
        <v>144.3</v>
      </c>
      <c r="V379" s="4" t="n">
        <v>796</v>
      </c>
      <c r="W379" s="3" t="inlineStr">
        <is>
          <t>제1종일반주거지역</t>
        </is>
      </c>
      <c r="X379" s="3" t="inlineStr">
        <is>
          <t>단독</t>
        </is>
      </c>
      <c r="Y379" s="3" t="inlineStr">
        <is>
          <t>평지</t>
        </is>
      </c>
      <c r="Z379" s="3" t="inlineStr">
        <is>
          <t>부정형</t>
        </is>
      </c>
      <c r="AA379" s="3" t="inlineStr">
        <is>
          <t>세로한면(가)</t>
        </is>
      </c>
    </row>
    <row r="380">
      <c r="A380" s="3" t="inlineStr">
        <is>
          <t>조치원읍 서창리 219-3</t>
        </is>
      </c>
      <c r="B380" s="3" t="inlineStr">
        <is>
          <t>제2종일반주거지역</t>
        </is>
      </c>
      <c r="C380" s="3" t="inlineStr">
        <is>
          <t>대</t>
        </is>
      </c>
      <c r="D380" s="3" t="inlineStr">
        <is>
          <t>3</t>
        </is>
      </c>
      <c r="E380" s="3" t="inlineStr">
        <is>
          <t>다가구</t>
        </is>
      </c>
      <c r="F380" s="3" t="inlineStr">
        <is>
          <t>매매</t>
        </is>
      </c>
      <c r="G380" s="4" t="n">
        <v>47000</v>
      </c>
      <c r="H380" s="4" t="n">
        <v>0</v>
      </c>
      <c r="I380" s="4" t="n">
        <v>205</v>
      </c>
      <c r="J380" s="4" t="n">
        <v>62</v>
      </c>
      <c r="K380" s="5" t="n">
        <v>758.1</v>
      </c>
      <c r="L380" s="4" t="n">
        <v>360</v>
      </c>
      <c r="M380" s="4" t="n">
        <v>109</v>
      </c>
      <c r="N380" s="5" t="n">
        <v>431.2</v>
      </c>
      <c r="O380" s="3" t="inlineStr">
        <is>
          <t>nan</t>
        </is>
      </c>
      <c r="P380" s="6">
        <f>HYPERLINK("https://fin.land.naver.com/articles/2654390965", "매물Link")</f>
        <v/>
      </c>
      <c r="Q380" s="6">
        <f>HYPERLINK("https://map.naver.com/p/search/조치원읍 서창리 219-3", "지도Link")</f>
        <v/>
      </c>
      <c r="R380" s="6">
        <f>HYPERLINK("http://www.eum.go.kr/web/ar/lu/luLandDet.jsp?pnu=3611025034102190003&amp;isNoScr=script&amp;mode=search", "토지이음")</f>
        <v/>
      </c>
      <c r="S380" s="3" t="inlineStr">
        <is>
          <t>척척</t>
        </is>
      </c>
      <c r="T380" s="4" t="n">
        <v>2</v>
      </c>
      <c r="U380" s="5" t="n">
        <v>244.1</v>
      </c>
      <c r="V380" s="4" t="n">
        <v>205</v>
      </c>
      <c r="W380" s="3" t="inlineStr">
        <is>
          <t>지정되지않음</t>
        </is>
      </c>
      <c r="X380" s="3" t="inlineStr">
        <is>
          <t>단독</t>
        </is>
      </c>
      <c r="Y380" s="3" t="inlineStr">
        <is>
          <t>평지</t>
        </is>
      </c>
      <c r="Z380" s="3" t="inlineStr">
        <is>
          <t>사다리형</t>
        </is>
      </c>
      <c r="AA380" s="3" t="inlineStr">
        <is>
          <t>세로한면(가)</t>
        </is>
      </c>
    </row>
    <row r="381">
      <c r="A381" s="3" t="inlineStr">
        <is>
          <t>조치원읍 서창리 291-3</t>
        </is>
      </c>
      <c r="B381" s="3" t="inlineStr">
        <is>
          <t>제2종일반주거지역</t>
        </is>
      </c>
      <c r="C381" s="3" t="inlineStr">
        <is>
          <t>대</t>
        </is>
      </c>
      <c r="D381" s="3" t="inlineStr">
        <is>
          <t>3</t>
        </is>
      </c>
      <c r="E381" s="3" t="inlineStr">
        <is>
          <t>일반원룸</t>
        </is>
      </c>
      <c r="F381" s="3" t="inlineStr">
        <is>
          <t>월세</t>
        </is>
      </c>
      <c r="G381" s="4" t="n">
        <v>200</v>
      </c>
      <c r="H381" s="4" t="n">
        <v>22</v>
      </c>
      <c r="I381" s="4" t="n">
        <v>0</v>
      </c>
      <c r="J381" s="4" t="n">
        <v>0</v>
      </c>
      <c r="K381" s="5" t="n">
        <v>0</v>
      </c>
      <c r="L381" s="4" t="n">
        <v>19</v>
      </c>
      <c r="M381" s="4" t="n">
        <v>6</v>
      </c>
      <c r="N381" s="5" t="n">
        <v>3.7</v>
      </c>
      <c r="O381" s="3" t="inlineStr">
        <is>
          <t>단기가능 엘리베이터 고대 도보거리</t>
        </is>
      </c>
      <c r="P381" s="6">
        <f>HYPERLINK("https://fin.land.naver.com/articles/2653942501", "매물Link")</f>
        <v/>
      </c>
      <c r="Q381" s="6">
        <f>HYPERLINK("https://map.naver.com/p/search/조치원읍 서창리 291-3", "지도Link")</f>
        <v/>
      </c>
      <c r="R381" s="6">
        <f>HYPERLINK("http://www.eum.go.kr/web/ar/lu/luLandDet.jsp?pnu=3611025034102910003&amp;isNoScr=script&amp;mode=search", "토지이음")</f>
        <v/>
      </c>
      <c r="S381" s="3" t="inlineStr">
        <is>
          <t>척척</t>
        </is>
      </c>
      <c r="T381" s="4" t="n">
        <v>1</v>
      </c>
      <c r="U381" s="5" t="n">
        <v>538.2</v>
      </c>
      <c r="V381" s="4" t="n">
        <v>221</v>
      </c>
      <c r="W381" s="3" t="inlineStr">
        <is>
          <t>지정되지않음</t>
        </is>
      </c>
      <c r="X381" s="3" t="inlineStr">
        <is>
          <t>주상용</t>
        </is>
      </c>
      <c r="Y381" s="3" t="inlineStr">
        <is>
          <t>평지</t>
        </is>
      </c>
      <c r="Z381" s="3" t="inlineStr">
        <is>
          <t>정방형</t>
        </is>
      </c>
      <c r="AA381" s="3" t="inlineStr">
        <is>
          <t>중로한면</t>
        </is>
      </c>
    </row>
    <row r="382">
      <c r="A382" s="3" t="inlineStr">
        <is>
          <t>조치원읍 서창리 292-1</t>
        </is>
      </c>
      <c r="B382" s="3" t="inlineStr">
        <is>
          <t>제2종일반주거지역</t>
        </is>
      </c>
      <c r="C382" s="3" t="inlineStr">
        <is>
          <t>대</t>
        </is>
      </c>
      <c r="D382" s="3" t="inlineStr">
        <is>
          <t>2</t>
        </is>
      </c>
      <c r="E382" s="3" t="inlineStr">
        <is>
          <t>일반원룸</t>
        </is>
      </c>
      <c r="F382" s="3" t="inlineStr">
        <is>
          <t>월세</t>
        </is>
      </c>
      <c r="G382" s="4" t="n">
        <v>100</v>
      </c>
      <c r="H382" s="4" t="n">
        <v>30</v>
      </c>
      <c r="I382" s="4" t="n">
        <v>23</v>
      </c>
      <c r="J382" s="4" t="n">
        <v>7</v>
      </c>
      <c r="K382" s="5" t="n">
        <v>4.3</v>
      </c>
      <c r="L382" s="4" t="n">
        <v>23</v>
      </c>
      <c r="M382" s="4" t="n">
        <v>7</v>
      </c>
      <c r="N382" s="5" t="n">
        <v>4.3</v>
      </c>
      <c r="O382" s="3" t="inlineStr">
        <is>
          <t>원룸 월세 저렴해요</t>
        </is>
      </c>
      <c r="P382" s="6">
        <f>HYPERLINK("https://fin.land.naver.com/articles/2653727356", "매물Link")</f>
        <v/>
      </c>
      <c r="Q382" s="6">
        <f>HYPERLINK("https://map.naver.com/p/search/조치원읍 서창리 292-1", "지도Link")</f>
        <v/>
      </c>
      <c r="R382" s="6">
        <f>HYPERLINK("http://www.eum.go.kr/web/ar/lu/luLandDet.jsp?pnu=3611025034102920001&amp;isNoScr=script&amp;mode=search", "토지이음")</f>
        <v/>
      </c>
      <c r="S382" s="3" t="inlineStr">
        <is>
          <t>김준희</t>
        </is>
      </c>
      <c r="T382" s="4" t="n">
        <v>1</v>
      </c>
      <c r="U382" s="5" t="n">
        <v>327.8</v>
      </c>
      <c r="V382" s="4" t="n">
        <v>301.5</v>
      </c>
      <c r="W382" s="3" t="inlineStr">
        <is>
          <t>지정되지않음</t>
        </is>
      </c>
      <c r="X382" s="3" t="inlineStr">
        <is>
          <t>주상용</t>
        </is>
      </c>
      <c r="Y382" s="3" t="inlineStr">
        <is>
          <t>평지</t>
        </is>
      </c>
      <c r="Z382" s="3" t="inlineStr">
        <is>
          <t>정방형</t>
        </is>
      </c>
      <c r="AA382" s="3" t="inlineStr">
        <is>
          <t>세로각지(가)</t>
        </is>
      </c>
    </row>
    <row r="383">
      <c r="A383" s="3" t="inlineStr">
        <is>
          <t>조치원읍 서창리 293-11</t>
        </is>
      </c>
      <c r="B383" s="3" t="inlineStr">
        <is>
          <t>제2종일반주거지역</t>
        </is>
      </c>
      <c r="C383" s="3" t="inlineStr">
        <is>
          <t>대</t>
        </is>
      </c>
      <c r="D383" s="3" t="inlineStr">
        <is>
          <t>2</t>
        </is>
      </c>
      <c r="E383" s="3" t="inlineStr">
        <is>
          <t>일반원룸</t>
        </is>
      </c>
      <c r="F383" s="3" t="inlineStr">
        <is>
          <t>월세</t>
        </is>
      </c>
      <c r="G383" s="4" t="n">
        <v>200</v>
      </c>
      <c r="H383" s="4" t="n">
        <v>30</v>
      </c>
      <c r="I383" s="4" t="n">
        <v>0</v>
      </c>
      <c r="J383" s="4" t="n">
        <v>0</v>
      </c>
      <c r="K383" s="5" t="n">
        <v>0</v>
      </c>
      <c r="L383" s="4" t="n">
        <v>25</v>
      </c>
      <c r="M383" s="4" t="n">
        <v>8</v>
      </c>
      <c r="N383" s="5" t="n">
        <v>3.8</v>
      </c>
      <c r="O383" s="3" t="inlineStr">
        <is>
          <t>넓고 깔끔한 풀옵션방  정남향  주차편함  짐만 챙겨오세요 교통편리</t>
        </is>
      </c>
      <c r="P383" s="6">
        <f>HYPERLINK("https://fin.land.naver.com/articles/2653291150", "매물Link")</f>
        <v/>
      </c>
      <c r="Q383" s="6">
        <f>HYPERLINK("https://map.naver.com/p/search/조치원읍 서창리 293-11", "지도Link")</f>
        <v/>
      </c>
      <c r="R383" s="6">
        <f>HYPERLINK("http://www.eum.go.kr/web/ar/lu/luLandDet.jsp?pnu=3611025034102930011&amp;isNoScr=script&amp;mode=search", "토지이음")</f>
        <v/>
      </c>
      <c r="S383" s="3" t="inlineStr">
        <is>
          <t>연서으뜸</t>
        </is>
      </c>
      <c r="T383" s="4" t="n">
        <v>1</v>
      </c>
      <c r="U383" s="5" t="n">
        <v>289.3</v>
      </c>
      <c r="V383" s="4" t="n">
        <v>222.7</v>
      </c>
      <c r="W383" s="3" t="inlineStr">
        <is>
          <t>지정되지않음</t>
        </is>
      </c>
      <c r="X383" s="3" t="inlineStr">
        <is>
          <t>단독</t>
        </is>
      </c>
      <c r="Y383" s="3" t="inlineStr">
        <is>
          <t>평지</t>
        </is>
      </c>
      <c r="Z383" s="3" t="inlineStr">
        <is>
          <t>세로장방</t>
        </is>
      </c>
      <c r="AA383" s="3" t="inlineStr">
        <is>
          <t>세로한면(가)</t>
        </is>
      </c>
    </row>
    <row r="384">
      <c r="A384" s="3" t="inlineStr">
        <is>
          <t>조치원읍 서창리 293-11</t>
        </is>
      </c>
      <c r="B384" s="3" t="inlineStr">
        <is>
          <t>제2종일반주거지역</t>
        </is>
      </c>
      <c r="C384" s="3" t="inlineStr">
        <is>
          <t>대</t>
        </is>
      </c>
      <c r="D384" s="3" t="inlineStr">
        <is>
          <t>2</t>
        </is>
      </c>
      <c r="E384" s="3" t="inlineStr">
        <is>
          <t>일반원룸</t>
        </is>
      </c>
      <c r="F384" s="3" t="inlineStr">
        <is>
          <t>월세</t>
        </is>
      </c>
      <c r="G384" s="4" t="n">
        <v>200</v>
      </c>
      <c r="H384" s="4" t="n">
        <v>28</v>
      </c>
      <c r="I384" s="4" t="n">
        <v>0</v>
      </c>
      <c r="J384" s="4" t="n">
        <v>0</v>
      </c>
      <c r="K384" s="5" t="n">
        <v>0</v>
      </c>
      <c r="L384" s="4" t="n">
        <v>23</v>
      </c>
      <c r="M384" s="4" t="n">
        <v>7</v>
      </c>
      <c r="N384" s="5" t="n">
        <v>4</v>
      </c>
      <c r="O384" s="3" t="inlineStr">
        <is>
          <t>nan</t>
        </is>
      </c>
      <c r="P384" s="6">
        <f>HYPERLINK("https://fin.land.naver.com/articles/2653917519", "매물Link")</f>
        <v/>
      </c>
      <c r="Q384" s="6">
        <f>HYPERLINK("https://map.naver.com/p/search/조치원읍 서창리 293-11", "지도Link")</f>
        <v/>
      </c>
      <c r="R384" s="6">
        <f>HYPERLINK("http://www.eum.go.kr/web/ar/lu/luLandDet.jsp?pnu=3611025034102930011&amp;isNoScr=script&amp;mode=search", "토지이음")</f>
        <v/>
      </c>
      <c r="S384" s="3" t="inlineStr">
        <is>
          <t>척척</t>
        </is>
      </c>
      <c r="T384" s="4" t="n">
        <v>1</v>
      </c>
      <c r="U384" s="5" t="n">
        <v>289.3</v>
      </c>
      <c r="V384" s="4" t="n">
        <v>222.7</v>
      </c>
      <c r="W384" s="3" t="inlineStr">
        <is>
          <t>지정되지않음</t>
        </is>
      </c>
      <c r="X384" s="3" t="inlineStr">
        <is>
          <t>단독</t>
        </is>
      </c>
      <c r="Y384" s="3" t="inlineStr">
        <is>
          <t>평지</t>
        </is>
      </c>
      <c r="Z384" s="3" t="inlineStr">
        <is>
          <t>세로장방</t>
        </is>
      </c>
      <c r="AA384" s="3" t="inlineStr">
        <is>
          <t>세로한면(가)</t>
        </is>
      </c>
    </row>
    <row r="385">
      <c r="A385" s="3" t="inlineStr">
        <is>
          <t>조치원읍 서창리 293-13</t>
        </is>
      </c>
      <c r="B385" s="3" t="inlineStr">
        <is>
          <t>제2종일반주거지역</t>
        </is>
      </c>
      <c r="C385" s="3" t="inlineStr">
        <is>
          <t>대</t>
        </is>
      </c>
      <c r="D385" s="3" t="inlineStr">
        <is>
          <t>2</t>
        </is>
      </c>
      <c r="E385" s="3" t="inlineStr">
        <is>
          <t>일반원룸</t>
        </is>
      </c>
      <c r="F385" s="3" t="inlineStr">
        <is>
          <t>월세</t>
        </is>
      </c>
      <c r="G385" s="4" t="n">
        <v>200</v>
      </c>
      <c r="H385" s="4" t="n">
        <v>30</v>
      </c>
      <c r="I385" s="4" t="n">
        <v>0</v>
      </c>
      <c r="J385" s="4" t="n">
        <v>0</v>
      </c>
      <c r="K385" s="5" t="n">
        <v>0</v>
      </c>
      <c r="L385" s="4" t="n">
        <v>29</v>
      </c>
      <c r="M385" s="4" t="n">
        <v>9</v>
      </c>
      <c r="N385" s="5" t="n">
        <v>3.3</v>
      </c>
      <c r="O385" s="3" t="inlineStr">
        <is>
          <t>투베이 빠른입주가능</t>
        </is>
      </c>
      <c r="P385" s="6">
        <f>HYPERLINK("https://fin.land.naver.com/articles/2653942086", "매물Link")</f>
        <v/>
      </c>
      <c r="Q385" s="6">
        <f>HYPERLINK("https://map.naver.com/p/search/조치원읍 서창리 293-13", "지도Link")</f>
        <v/>
      </c>
      <c r="R385" s="6">
        <f>HYPERLINK("http://www.eum.go.kr/web/ar/lu/luLandDet.jsp?pnu=3611025034102930013&amp;isNoScr=script&amp;mode=search", "토지이음")</f>
        <v/>
      </c>
      <c r="S385" s="3" t="inlineStr">
        <is>
          <t>척척</t>
        </is>
      </c>
      <c r="T385" s="4" t="n">
        <v>1</v>
      </c>
      <c r="U385" s="5" t="n">
        <v>295.1</v>
      </c>
      <c r="V385" s="4" t="n">
        <v>224.3</v>
      </c>
      <c r="W385" s="3" t="inlineStr">
        <is>
          <t>지정되지않음</t>
        </is>
      </c>
      <c r="X385" s="3" t="inlineStr">
        <is>
          <t>다세대</t>
        </is>
      </c>
      <c r="Y385" s="3" t="inlineStr">
        <is>
          <t>평지</t>
        </is>
      </c>
      <c r="Z385" s="3" t="inlineStr">
        <is>
          <t>정방형</t>
        </is>
      </c>
      <c r="AA385" s="3" t="inlineStr">
        <is>
          <t>세로한면(가)</t>
        </is>
      </c>
    </row>
    <row r="386">
      <c r="A386" s="3" t="inlineStr">
        <is>
          <t>조치원읍 서창리 293-5</t>
        </is>
      </c>
      <c r="B386" s="3" t="inlineStr">
        <is>
          <t>제2종일반주거지역</t>
        </is>
      </c>
      <c r="C386" s="3" t="inlineStr">
        <is>
          <t>대</t>
        </is>
      </c>
      <c r="D386" s="3" t="inlineStr">
        <is>
          <t>5</t>
        </is>
      </c>
      <c r="E386" s="3" t="inlineStr">
        <is>
          <t>다가구</t>
        </is>
      </c>
      <c r="F386" s="3" t="inlineStr">
        <is>
          <t>매매</t>
        </is>
      </c>
      <c r="G386" s="4" t="n">
        <v>78000</v>
      </c>
      <c r="H386" s="4" t="n">
        <v>0</v>
      </c>
      <c r="I386" s="4" t="n">
        <v>215</v>
      </c>
      <c r="J386" s="4" t="n">
        <v>65</v>
      </c>
      <c r="K386" s="5" t="n">
        <v>1200</v>
      </c>
      <c r="L386" s="4" t="n">
        <v>493</v>
      </c>
      <c r="M386" s="4" t="n">
        <v>149</v>
      </c>
      <c r="N386" s="5" t="n">
        <v>523.5</v>
      </c>
      <c r="O386" s="3" t="inlineStr">
        <is>
          <t>nan</t>
        </is>
      </c>
      <c r="P386" s="6">
        <f>HYPERLINK("https://fin.land.naver.com/articles/2654392386", "매물Link")</f>
        <v/>
      </c>
      <c r="Q386" s="6">
        <f>HYPERLINK("https://map.naver.com/p/search/조치원읍 서창리 293-5", "지도Link")</f>
        <v/>
      </c>
      <c r="R386" s="6">
        <f>HYPERLINK("http://www.eum.go.kr/web/ar/lu/luLandDet.jsp?pnu=3611025034102930005&amp;isNoScr=script&amp;mode=search", "토지이음")</f>
        <v/>
      </c>
      <c r="S386" s="3" t="inlineStr">
        <is>
          <t>척척</t>
        </is>
      </c>
      <c r="T386" s="4" t="n">
        <v>1</v>
      </c>
      <c r="U386" s="5" t="n">
        <v>295.1</v>
      </c>
      <c r="V386" s="4" t="n">
        <v>215.3</v>
      </c>
      <c r="W386" s="3" t="inlineStr">
        <is>
          <t>지정되지않음</t>
        </is>
      </c>
      <c r="X386" s="3" t="inlineStr">
        <is>
          <t>주거나지</t>
        </is>
      </c>
      <c r="Y386" s="3" t="inlineStr">
        <is>
          <t>평지</t>
        </is>
      </c>
      <c r="Z386" s="3" t="inlineStr">
        <is>
          <t>정방형</t>
        </is>
      </c>
      <c r="AA386" s="3" t="inlineStr">
        <is>
          <t>세로한면(가)</t>
        </is>
      </c>
    </row>
    <row r="387">
      <c r="A387" s="3" t="inlineStr">
        <is>
          <t>조치원읍 서창리 295-1</t>
        </is>
      </c>
      <c r="B387" s="3" t="inlineStr">
        <is>
          <t>제2종일반주거지역</t>
        </is>
      </c>
      <c r="C387" s="3" t="inlineStr">
        <is>
          <t>대</t>
        </is>
      </c>
      <c r="D387" s="3" t="inlineStr">
        <is>
          <t>2</t>
        </is>
      </c>
      <c r="E387" s="3" t="inlineStr">
        <is>
          <t>다가구</t>
        </is>
      </c>
      <c r="F387" s="3" t="inlineStr">
        <is>
          <t>월세</t>
        </is>
      </c>
      <c r="G387" s="4" t="n">
        <v>3000</v>
      </c>
      <c r="H387" s="4" t="n">
        <v>30</v>
      </c>
      <c r="I387" s="4" t="n">
        <v>49</v>
      </c>
      <c r="J387" s="4" t="n">
        <v>15</v>
      </c>
      <c r="K387" s="5" t="n">
        <v>2</v>
      </c>
      <c r="L387" s="4" t="n">
        <v>46</v>
      </c>
      <c r="M387" s="4" t="n">
        <v>14</v>
      </c>
      <c r="N387" s="5" t="n">
        <v>2.1</v>
      </c>
      <c r="O387" s="3" t="inlineStr">
        <is>
          <t>예쁜 1.5룸.넓은거실.붙박이장.3천에40만.</t>
        </is>
      </c>
      <c r="P387" s="6">
        <f>HYPERLINK("https://fin.land.naver.com/articles/2650739917", "매물Link")</f>
        <v/>
      </c>
      <c r="Q387" s="6">
        <f>HYPERLINK("https://map.naver.com/p/search/조치원읍 서창리 295-1", "지도Link")</f>
        <v/>
      </c>
      <c r="R387" s="6">
        <f>HYPERLINK("http://www.eum.go.kr/web/ar/lu/luLandDet.jsp?pnu=3611025034102950001&amp;isNoScr=script&amp;mode=search", "토지이음")</f>
        <v/>
      </c>
      <c r="S387" s="3" t="inlineStr">
        <is>
          <t>척척</t>
        </is>
      </c>
      <c r="T387" s="4" t="n">
        <v>1</v>
      </c>
      <c r="U387" s="5" t="n">
        <v>321.6</v>
      </c>
      <c r="V387" s="4" t="n">
        <v>355.2</v>
      </c>
      <c r="W387" s="3" t="inlineStr">
        <is>
          <t>지정되지않음</t>
        </is>
      </c>
      <c r="X387" s="3" t="inlineStr">
        <is>
          <t>주상용</t>
        </is>
      </c>
      <c r="Y387" s="3" t="inlineStr">
        <is>
          <t>평지</t>
        </is>
      </c>
      <c r="Z387" s="3" t="inlineStr">
        <is>
          <t>사다리형</t>
        </is>
      </c>
      <c r="AA387" s="3" t="inlineStr">
        <is>
          <t>세로각지(가)</t>
        </is>
      </c>
    </row>
    <row r="388">
      <c r="A388" s="3" t="inlineStr">
        <is>
          <t>조치원읍 서창리 296-8</t>
        </is>
      </c>
      <c r="B388" s="3" t="inlineStr">
        <is>
          <t>제2종일반주거지역</t>
        </is>
      </c>
      <c r="C388" s="3" t="inlineStr">
        <is>
          <t>대</t>
        </is>
      </c>
      <c r="D388" s="3" t="inlineStr">
        <is>
          <t>4</t>
        </is>
      </c>
      <c r="E388" s="3" t="inlineStr">
        <is>
          <t>다가구</t>
        </is>
      </c>
      <c r="F388" s="3" t="inlineStr">
        <is>
          <t>매매</t>
        </is>
      </c>
      <c r="G388" s="4" t="n">
        <v>70000</v>
      </c>
      <c r="H388" s="4" t="n">
        <v>0</v>
      </c>
      <c r="I388" s="4" t="n">
        <v>317</v>
      </c>
      <c r="J388" s="4" t="n">
        <v>96</v>
      </c>
      <c r="K388" s="5" t="n">
        <v>729.2</v>
      </c>
      <c r="L388" s="4" t="n">
        <v>481</v>
      </c>
      <c r="M388" s="4" t="n">
        <v>146</v>
      </c>
      <c r="N388" s="5" t="n">
        <v>479.5</v>
      </c>
      <c r="O388" s="3" t="inlineStr">
        <is>
          <t>다가구 매매 실투자금 약 5억</t>
        </is>
      </c>
      <c r="P388" s="6">
        <f>HYPERLINK("https://fin.land.naver.com/articles/2651340270", "매물Link")</f>
        <v/>
      </c>
      <c r="Q388" s="6">
        <f>HYPERLINK("https://map.naver.com/p/search/조치원읍 서창리 296-8", "지도Link")</f>
        <v/>
      </c>
      <c r="R388" s="6">
        <f>HYPERLINK("http://www.eum.go.kr/web/ar/lu/luLandDet.jsp?pnu=3611025034102960008&amp;isNoScr=script&amp;mode=search", "토지이음")</f>
        <v/>
      </c>
      <c r="S388" s="3" t="inlineStr">
        <is>
          <t>상희</t>
        </is>
      </c>
      <c r="T388" s="4" t="n">
        <v>1</v>
      </c>
      <c r="U388" s="5" t="n">
        <v>321.1</v>
      </c>
      <c r="V388" s="4" t="n">
        <v>317.7</v>
      </c>
      <c r="W388" s="3" t="inlineStr">
        <is>
          <t>지정되지않음</t>
        </is>
      </c>
      <c r="X388" s="3" t="inlineStr">
        <is>
          <t>단독</t>
        </is>
      </c>
      <c r="Y388" s="3" t="inlineStr">
        <is>
          <t>평지</t>
        </is>
      </c>
      <c r="Z388" s="3" t="inlineStr">
        <is>
          <t>세로장방</t>
        </is>
      </c>
      <c r="AA388" s="3" t="inlineStr">
        <is>
          <t>소로한면</t>
        </is>
      </c>
    </row>
    <row r="389">
      <c r="A389" s="3" t="inlineStr">
        <is>
          <t>조치원읍 서창리 296-8</t>
        </is>
      </c>
      <c r="B389" s="3" t="inlineStr">
        <is>
          <t>제2종일반주거지역</t>
        </is>
      </c>
      <c r="C389" s="3" t="inlineStr">
        <is>
          <t>대</t>
        </is>
      </c>
      <c r="D389" s="3" t="inlineStr">
        <is>
          <t>3</t>
        </is>
      </c>
      <c r="E389" s="3" t="inlineStr">
        <is>
          <t>일반원룸</t>
        </is>
      </c>
      <c r="F389" s="3" t="inlineStr">
        <is>
          <t>월세</t>
        </is>
      </c>
      <c r="G389" s="4" t="n">
        <v>100</v>
      </c>
      <c r="H389" s="4" t="n">
        <v>30</v>
      </c>
      <c r="I389" s="4" t="n">
        <v>23</v>
      </c>
      <c r="J389" s="4" t="n">
        <v>7</v>
      </c>
      <c r="K389" s="5" t="n">
        <v>4.3</v>
      </c>
      <c r="L389" s="4" t="n">
        <v>23</v>
      </c>
      <c r="M389" s="4" t="n">
        <v>7</v>
      </c>
      <c r="N389" s="5" t="n">
        <v>4.3</v>
      </c>
      <c r="O389" s="3" t="inlineStr">
        <is>
          <t>11월초 입주가능한 원룸</t>
        </is>
      </c>
      <c r="P389" s="6">
        <f>HYPERLINK("https://fin.land.naver.com/articles/2654006832", "매물Link")</f>
        <v/>
      </c>
      <c r="Q389" s="6">
        <f>HYPERLINK("https://map.naver.com/p/search/조치원읍 서창리 296-8", "지도Link")</f>
        <v/>
      </c>
      <c r="R389" s="6">
        <f>HYPERLINK("http://www.eum.go.kr/web/ar/lu/luLandDet.jsp?pnu=3611025034102960008&amp;isNoScr=script&amp;mode=search", "토지이음")</f>
        <v/>
      </c>
      <c r="S389" s="3" t="inlineStr">
        <is>
          <t>김준희</t>
        </is>
      </c>
      <c r="T389" s="4" t="n">
        <v>1</v>
      </c>
      <c r="U389" s="5" t="n">
        <v>321.1</v>
      </c>
      <c r="V389" s="4" t="n">
        <v>317.7</v>
      </c>
      <c r="W389" s="3" t="inlineStr">
        <is>
          <t>지정되지않음</t>
        </is>
      </c>
      <c r="X389" s="3" t="inlineStr">
        <is>
          <t>단독</t>
        </is>
      </c>
      <c r="Y389" s="3" t="inlineStr">
        <is>
          <t>평지</t>
        </is>
      </c>
      <c r="Z389" s="3" t="inlineStr">
        <is>
          <t>세로장방</t>
        </is>
      </c>
      <c r="AA389" s="3" t="inlineStr">
        <is>
          <t>소로한면</t>
        </is>
      </c>
    </row>
    <row r="390">
      <c r="A390" s="3" t="inlineStr">
        <is>
          <t>조치원읍 서창리 296-8</t>
        </is>
      </c>
      <c r="B390" s="3" t="inlineStr">
        <is>
          <t>제2종일반주거지역</t>
        </is>
      </c>
      <c r="C390" s="3" t="inlineStr">
        <is>
          <t>대</t>
        </is>
      </c>
      <c r="D390" s="3" t="inlineStr">
        <is>
          <t>4</t>
        </is>
      </c>
      <c r="E390" s="3" t="inlineStr">
        <is>
          <t>다가구</t>
        </is>
      </c>
      <c r="F390" s="3" t="inlineStr">
        <is>
          <t>매매</t>
        </is>
      </c>
      <c r="G390" s="4" t="n">
        <v>70000</v>
      </c>
      <c r="H390" s="4" t="n">
        <v>0</v>
      </c>
      <c r="I390" s="4" t="n">
        <v>317</v>
      </c>
      <c r="J390" s="4" t="n">
        <v>96</v>
      </c>
      <c r="K390" s="5" t="n">
        <v>729.2</v>
      </c>
      <c r="L390" s="4" t="n">
        <v>481</v>
      </c>
      <c r="M390" s="4" t="n">
        <v>146</v>
      </c>
      <c r="N390" s="5" t="n">
        <v>479.5</v>
      </c>
      <c r="O390" s="3" t="inlineStr">
        <is>
          <t>nan</t>
        </is>
      </c>
      <c r="P390" s="6">
        <f>HYPERLINK("https://fin.land.naver.com/articles/2654391524", "매물Link")</f>
        <v/>
      </c>
      <c r="Q390" s="6">
        <f>HYPERLINK("https://map.naver.com/p/search/조치원읍 서창리 296-8", "지도Link")</f>
        <v/>
      </c>
      <c r="R390" s="6">
        <f>HYPERLINK("http://www.eum.go.kr/web/ar/lu/luLandDet.jsp?pnu=3611025034102960008&amp;isNoScr=script&amp;mode=search", "토지이음")</f>
        <v/>
      </c>
      <c r="S390" s="3" t="inlineStr">
        <is>
          <t>척척</t>
        </is>
      </c>
      <c r="T390" s="4" t="n">
        <v>1</v>
      </c>
      <c r="U390" s="5" t="n">
        <v>321.1</v>
      </c>
      <c r="V390" s="4" t="n">
        <v>317.7</v>
      </c>
      <c r="W390" s="3" t="inlineStr">
        <is>
          <t>지정되지않음</t>
        </is>
      </c>
      <c r="X390" s="3" t="inlineStr">
        <is>
          <t>단독</t>
        </is>
      </c>
      <c r="Y390" s="3" t="inlineStr">
        <is>
          <t>평지</t>
        </is>
      </c>
      <c r="Z390" s="3" t="inlineStr">
        <is>
          <t>세로장방</t>
        </is>
      </c>
      <c r="AA390" s="3" t="inlineStr">
        <is>
          <t>소로한면</t>
        </is>
      </c>
    </row>
    <row r="391">
      <c r="A391" s="3" t="inlineStr">
        <is>
          <t>조치원읍 서창리 297-2</t>
        </is>
      </c>
      <c r="B391" s="3" t="inlineStr">
        <is>
          <t>제2종일반주거지역</t>
        </is>
      </c>
      <c r="C391" s="3" t="inlineStr">
        <is>
          <t>대</t>
        </is>
      </c>
      <c r="D391" s="3" t="inlineStr">
        <is>
          <t>4</t>
        </is>
      </c>
      <c r="E391" s="3" t="inlineStr">
        <is>
          <t>일반원룸</t>
        </is>
      </c>
      <c r="F391" s="3" t="inlineStr">
        <is>
          <t>월세</t>
        </is>
      </c>
      <c r="G391" s="4" t="n">
        <v>100</v>
      </c>
      <c r="H391" s="4" t="n">
        <v>30</v>
      </c>
      <c r="I391" s="4" t="n">
        <v>23</v>
      </c>
      <c r="J391" s="4" t="n">
        <v>7</v>
      </c>
      <c r="K391" s="5" t="n">
        <v>4.3</v>
      </c>
      <c r="L391" s="4" t="n">
        <v>23</v>
      </c>
      <c r="M391" s="4" t="n">
        <v>7</v>
      </c>
      <c r="N391" s="5" t="n">
        <v>4.3</v>
      </c>
      <c r="O391" s="3" t="inlineStr">
        <is>
          <t>nan</t>
        </is>
      </c>
      <c r="P391" s="6">
        <f>HYPERLINK("https://fin.land.naver.com/articles/2654007914", "매물Link")</f>
        <v/>
      </c>
      <c r="Q391" s="6">
        <f>HYPERLINK("https://map.naver.com/p/search/조치원읍 서창리 297-2", "지도Link")</f>
        <v/>
      </c>
      <c r="R391" s="6">
        <f>HYPERLINK("http://www.eum.go.kr/web/ar/lu/luLandDet.jsp?pnu=3611025034102970002&amp;isNoScr=script&amp;mode=search", "토지이음")</f>
        <v/>
      </c>
      <c r="S391" s="3" t="inlineStr">
        <is>
          <t>상희</t>
        </is>
      </c>
      <c r="T391" s="4" t="n">
        <v>2</v>
      </c>
      <c r="U391" s="5" t="n">
        <v>327.5</v>
      </c>
      <c r="V391" s="4" t="n">
        <v>288.8</v>
      </c>
      <c r="W391" s="3" t="inlineStr">
        <is>
          <t>지정되지않음</t>
        </is>
      </c>
      <c r="X391" s="3" t="inlineStr">
        <is>
          <t>단독</t>
        </is>
      </c>
      <c r="Y391" s="3" t="inlineStr">
        <is>
          <t>평지</t>
        </is>
      </c>
      <c r="Z391" s="3" t="inlineStr">
        <is>
          <t>정방형</t>
        </is>
      </c>
      <c r="AA391" s="3" t="inlineStr">
        <is>
          <t>소로한면</t>
        </is>
      </c>
    </row>
    <row r="392">
      <c r="A392" s="3" t="inlineStr">
        <is>
          <t>조치원읍 서창리 297-8</t>
        </is>
      </c>
      <c r="B392" s="3" t="inlineStr">
        <is>
          <t>제2종일반주거지역</t>
        </is>
      </c>
      <c r="C392" s="3" t="inlineStr">
        <is>
          <t>대</t>
        </is>
      </c>
      <c r="D392" s="3" t="inlineStr">
        <is>
          <t>4</t>
        </is>
      </c>
      <c r="E392" s="3" t="inlineStr">
        <is>
          <t>도시형생활주택</t>
        </is>
      </c>
      <c r="F392" s="3" t="inlineStr">
        <is>
          <t>월세</t>
        </is>
      </c>
      <c r="G392" s="4" t="n">
        <v>100</v>
      </c>
      <c r="H392" s="4" t="n">
        <v>26</v>
      </c>
      <c r="I392" s="4" t="n">
        <v>0</v>
      </c>
      <c r="J392" s="4" t="n">
        <v>0</v>
      </c>
      <c r="K392" s="5" t="n">
        <v>0</v>
      </c>
      <c r="L392" s="4" t="n">
        <v>16</v>
      </c>
      <c r="M392" s="4" t="n">
        <v>5</v>
      </c>
      <c r="N392" s="5" t="n">
        <v>5.2</v>
      </c>
      <c r="O392" s="3" t="inlineStr">
        <is>
          <t>채광좋은 오픈형 원룸</t>
        </is>
      </c>
      <c r="P392" s="6">
        <f>HYPERLINK("https://fin.land.naver.com/articles/2654004694", "매물Link")</f>
        <v/>
      </c>
      <c r="Q392" s="6">
        <f>HYPERLINK("https://map.naver.com/p/search/조치원읍 서창리 297-8", "지도Link")</f>
        <v/>
      </c>
      <c r="R392" s="6">
        <f>HYPERLINK("http://www.eum.go.kr/web/ar/lu/luLandDet.jsp?pnu=3611025034102970008&amp;isNoScr=script&amp;mode=search", "토지이음")</f>
        <v/>
      </c>
      <c r="S392" s="3" t="inlineStr">
        <is>
          <t>척척</t>
        </is>
      </c>
      <c r="T392" s="4" t="n">
        <v>1</v>
      </c>
      <c r="U392" s="5" t="n">
        <v>359.3</v>
      </c>
      <c r="V392" s="4" t="n">
        <v>496.5</v>
      </c>
      <c r="W392" s="3" t="inlineStr">
        <is>
          <t>지정되지않음</t>
        </is>
      </c>
      <c r="X392" s="3" t="inlineStr">
        <is>
          <t>주상기타</t>
        </is>
      </c>
      <c r="Y392" s="3" t="inlineStr">
        <is>
          <t>평지</t>
        </is>
      </c>
      <c r="Z392" s="3" t="inlineStr">
        <is>
          <t>정방형</t>
        </is>
      </c>
      <c r="AA392" s="3" t="inlineStr">
        <is>
          <t>소로각지</t>
        </is>
      </c>
    </row>
    <row r="393">
      <c r="A393" s="3" t="inlineStr">
        <is>
          <t>조치원읍 서창리 298-2</t>
        </is>
      </c>
      <c r="B393" s="3" t="inlineStr">
        <is>
          <t>제2종일반주거지역</t>
        </is>
      </c>
      <c r="C393" s="3" t="inlineStr">
        <is>
          <t>대</t>
        </is>
      </c>
      <c r="D393" s="3" t="inlineStr">
        <is>
          <t>4</t>
        </is>
      </c>
      <c r="E393" s="3" t="inlineStr">
        <is>
          <t>일반원룸</t>
        </is>
      </c>
      <c r="F393" s="3" t="inlineStr">
        <is>
          <t>월세</t>
        </is>
      </c>
      <c r="G393" s="4" t="n">
        <v>200</v>
      </c>
      <c r="H393" s="4" t="n">
        <v>28</v>
      </c>
      <c r="I393" s="4" t="n">
        <v>20</v>
      </c>
      <c r="J393" s="4" t="n">
        <v>6</v>
      </c>
      <c r="K393" s="5" t="n">
        <v>4.7</v>
      </c>
      <c r="L393" s="4" t="n">
        <v>20</v>
      </c>
      <c r="M393" s="4" t="n">
        <v>6</v>
      </c>
      <c r="N393" s="5" t="n">
        <v>4.7</v>
      </c>
      <c r="O393" s="3" t="inlineStr">
        <is>
          <t>원룸 월세 서창리</t>
        </is>
      </c>
      <c r="P393" s="6">
        <f>HYPERLINK("https://fin.land.naver.com/articles/2654528564", "매물Link")</f>
        <v/>
      </c>
      <c r="Q393" s="6">
        <f>HYPERLINK("https://map.naver.com/p/search/조치원읍 서창리 298-2", "지도Link")</f>
        <v/>
      </c>
      <c r="R393" s="6">
        <f>HYPERLINK("http://www.eum.go.kr/web/ar/lu/luLandDet.jsp?pnu=3611025034102980002&amp;isNoScr=script&amp;mode=search", "토지이음")</f>
        <v/>
      </c>
      <c r="S393" s="3" t="inlineStr">
        <is>
          <t>김준희</t>
        </is>
      </c>
      <c r="T393" s="4" t="n">
        <v>1</v>
      </c>
      <c r="U393" s="5" t="n">
        <v>347.8</v>
      </c>
      <c r="V393" s="4" t="n">
        <v>295.2</v>
      </c>
      <c r="W393" s="3" t="inlineStr">
        <is>
          <t>지정되지않음</t>
        </is>
      </c>
      <c r="X393" s="3" t="inlineStr">
        <is>
          <t>주상기타</t>
        </is>
      </c>
      <c r="Y393" s="3" t="inlineStr">
        <is>
          <t>평지</t>
        </is>
      </c>
      <c r="Z393" s="3" t="inlineStr">
        <is>
          <t>세로장방</t>
        </is>
      </c>
      <c r="AA393" s="3" t="inlineStr">
        <is>
          <t>소로한면</t>
        </is>
      </c>
    </row>
    <row r="394">
      <c r="A394" s="3" t="inlineStr">
        <is>
          <t>조치원읍 서창리 298-2</t>
        </is>
      </c>
      <c r="B394" s="3" t="inlineStr">
        <is>
          <t>제2종일반주거지역</t>
        </is>
      </c>
      <c r="C394" s="3" t="inlineStr">
        <is>
          <t>대</t>
        </is>
      </c>
      <c r="D394" s="3" t="inlineStr">
        <is>
          <t>2</t>
        </is>
      </c>
      <c r="E394" s="3" t="inlineStr">
        <is>
          <t>일반원룸</t>
        </is>
      </c>
      <c r="F394" s="3" t="inlineStr">
        <is>
          <t>월세</t>
        </is>
      </c>
      <c r="G394" s="4" t="n">
        <v>300</v>
      </c>
      <c r="H394" s="4" t="n">
        <v>35</v>
      </c>
      <c r="I394" s="4" t="n">
        <v>0</v>
      </c>
      <c r="J394" s="4" t="n">
        <v>0</v>
      </c>
      <c r="K394" s="5" t="n">
        <v>0</v>
      </c>
      <c r="L394" s="4" t="n">
        <v>26</v>
      </c>
      <c r="M394" s="4" t="n">
        <v>8</v>
      </c>
      <c r="N394" s="5" t="n">
        <v>4.4</v>
      </c>
      <c r="O394" s="3" t="inlineStr">
        <is>
          <t>L 귀한1.5룸 O역3분 O즉시입주가능</t>
        </is>
      </c>
      <c r="P394" s="6">
        <f>HYPERLINK("https://fin.land.naver.com/articles/2649999089", "매물Link")</f>
        <v/>
      </c>
      <c r="Q394" s="6">
        <f>HYPERLINK("https://map.naver.com/p/search/조치원읍 서창리 298-2", "지도Link")</f>
        <v/>
      </c>
      <c r="R394" s="6">
        <f>HYPERLINK("http://www.eum.go.kr/web/ar/lu/luLandDet.jsp?pnu=3611025034102980002&amp;isNoScr=script&amp;mode=search", "토지이음")</f>
        <v/>
      </c>
      <c r="S394" s="3" t="inlineStr">
        <is>
          <t>바다</t>
        </is>
      </c>
      <c r="T394" s="4" t="n">
        <v>1</v>
      </c>
      <c r="U394" s="5" t="n">
        <v>347.8</v>
      </c>
      <c r="V394" s="4" t="n">
        <v>295.2</v>
      </c>
      <c r="W394" s="3" t="inlineStr">
        <is>
          <t>지정되지않음</t>
        </is>
      </c>
      <c r="X394" s="3" t="inlineStr">
        <is>
          <t>주상기타</t>
        </is>
      </c>
      <c r="Y394" s="3" t="inlineStr">
        <is>
          <t>평지</t>
        </is>
      </c>
      <c r="Z394" s="3" t="inlineStr">
        <is>
          <t>세로장방</t>
        </is>
      </c>
      <c r="AA394" s="3" t="inlineStr">
        <is>
          <t>소로한면</t>
        </is>
      </c>
    </row>
    <row r="395">
      <c r="A395" s="3" t="inlineStr">
        <is>
          <t>조치원읍 서창리 298-2</t>
        </is>
      </c>
      <c r="B395" s="3" t="inlineStr">
        <is>
          <t>제2종일반주거지역</t>
        </is>
      </c>
      <c r="C395" s="3" t="inlineStr">
        <is>
          <t>대</t>
        </is>
      </c>
      <c r="D395" s="3" t="inlineStr">
        <is>
          <t>4</t>
        </is>
      </c>
      <c r="E395" s="3" t="inlineStr">
        <is>
          <t>일반원룸</t>
        </is>
      </c>
      <c r="F395" s="3" t="inlineStr">
        <is>
          <t>월세</t>
        </is>
      </c>
      <c r="G395" s="4" t="n">
        <v>200</v>
      </c>
      <c r="H395" s="4" t="n">
        <v>23</v>
      </c>
      <c r="I395" s="4" t="n">
        <v>0</v>
      </c>
      <c r="J395" s="4" t="n">
        <v>0</v>
      </c>
      <c r="K395" s="5" t="n">
        <v>0</v>
      </c>
      <c r="L395" s="4" t="n">
        <v>19</v>
      </c>
      <c r="M395" s="4" t="n">
        <v>6</v>
      </c>
      <c r="N395" s="5" t="n">
        <v>3.8</v>
      </c>
      <c r="O395" s="3" t="inlineStr">
        <is>
          <t>서창리 가성비 좋은 원룸</t>
        </is>
      </c>
      <c r="P395" s="6">
        <f>HYPERLINK("https://fin.land.naver.com/articles/2652873695", "매물Link")</f>
        <v/>
      </c>
      <c r="Q395" s="6">
        <f>HYPERLINK("https://map.naver.com/p/search/조치원읍 서창리 298-2", "지도Link")</f>
        <v/>
      </c>
      <c r="R395" s="6">
        <f>HYPERLINK("http://www.eum.go.kr/web/ar/lu/luLandDet.jsp?pnu=3611025034102980002&amp;isNoScr=script&amp;mode=search", "토지이음")</f>
        <v/>
      </c>
      <c r="S395" s="3" t="inlineStr">
        <is>
          <t>척척</t>
        </is>
      </c>
      <c r="T395" s="4" t="n">
        <v>1</v>
      </c>
      <c r="U395" s="5" t="n">
        <v>347.8</v>
      </c>
      <c r="V395" s="4" t="n">
        <v>295.2</v>
      </c>
      <c r="W395" s="3" t="inlineStr">
        <is>
          <t>지정되지않음</t>
        </is>
      </c>
      <c r="X395" s="3" t="inlineStr">
        <is>
          <t>주상기타</t>
        </is>
      </c>
      <c r="Y395" s="3" t="inlineStr">
        <is>
          <t>평지</t>
        </is>
      </c>
      <c r="Z395" s="3" t="inlineStr">
        <is>
          <t>세로장방</t>
        </is>
      </c>
      <c r="AA395" s="3" t="inlineStr">
        <is>
          <t>소로한면</t>
        </is>
      </c>
    </row>
    <row r="396">
      <c r="A396" s="3" t="inlineStr">
        <is>
          <t>조치원읍 서창리 42-143</t>
        </is>
      </c>
      <c r="B396" s="3" t="inlineStr">
        <is>
          <t>제1종일반주거지역</t>
        </is>
      </c>
      <c r="C396" s="3" t="inlineStr">
        <is>
          <t>대</t>
        </is>
      </c>
      <c r="D396" s="3" t="inlineStr">
        <is>
          <t>1</t>
        </is>
      </c>
      <c r="E396" s="3" t="inlineStr">
        <is>
          <t>단독</t>
        </is>
      </c>
      <c r="F396" s="3" t="inlineStr">
        <is>
          <t>매매</t>
        </is>
      </c>
      <c r="G396" s="4" t="n">
        <v>20000</v>
      </c>
      <c r="H396" s="4" t="n">
        <v>0</v>
      </c>
      <c r="I396" s="4" t="n">
        <v>304</v>
      </c>
      <c r="J396" s="4" t="n">
        <v>92</v>
      </c>
      <c r="K396" s="5" t="n">
        <v>217.4</v>
      </c>
      <c r="L396" s="4" t="n">
        <v>98</v>
      </c>
      <c r="M396" s="4" t="n">
        <v>30</v>
      </c>
      <c r="N396" s="5" t="n">
        <v>666.7</v>
      </c>
      <c r="O396" s="3" t="inlineStr">
        <is>
          <t>깨끗하게 관리된 집, 협의 입주 가능</t>
        </is>
      </c>
      <c r="P396" s="6">
        <f>HYPERLINK("https://fin.land.naver.com/articles/2650460317", "매물Link")</f>
        <v/>
      </c>
      <c r="Q396" s="6">
        <f>HYPERLINK("https://map.naver.com/p/search/조치원읍 서창리 42-143", "지도Link")</f>
        <v/>
      </c>
      <c r="R396" s="6">
        <f>HYPERLINK("http://www.eum.go.kr/web/ar/lu/luLandDet.jsp?pnu=3611025034100420143&amp;isNoScr=script&amp;mode=search", "토지이음")</f>
        <v/>
      </c>
      <c r="S396" s="3" t="inlineStr">
        <is>
          <t>세종공감</t>
        </is>
      </c>
      <c r="T396" s="4" t="n">
        <v>1</v>
      </c>
      <c r="U396" s="5" t="n">
        <v>126.9</v>
      </c>
      <c r="V396" s="4" t="n">
        <v>286.4</v>
      </c>
      <c r="W396" s="3" t="inlineStr">
        <is>
          <t>지정되지않음</t>
        </is>
      </c>
      <c r="X396" s="3" t="inlineStr">
        <is>
          <t>단독</t>
        </is>
      </c>
      <c r="Y396" s="3" t="inlineStr">
        <is>
          <t>평지</t>
        </is>
      </c>
      <c r="Z396" s="3" t="inlineStr">
        <is>
          <t>사다리형</t>
        </is>
      </c>
      <c r="AA396" s="3" t="inlineStr">
        <is>
          <t>세로한면(가)</t>
        </is>
      </c>
    </row>
    <row r="397">
      <c r="A397" s="3" t="inlineStr">
        <is>
          <t>조치원읍 서창리 42-260</t>
        </is>
      </c>
      <c r="B397" s="3" t="inlineStr">
        <is>
          <t>제1종일반주거지역</t>
        </is>
      </c>
      <c r="C397" s="3" t="inlineStr">
        <is>
          <t>대</t>
        </is>
      </c>
      <c r="D397" s="3" t="inlineStr">
        <is>
          <t>2</t>
        </is>
      </c>
      <c r="E397" s="3" t="inlineStr">
        <is>
          <t>일반원룸</t>
        </is>
      </c>
      <c r="F397" s="3" t="inlineStr">
        <is>
          <t>월세</t>
        </is>
      </c>
      <c r="G397" s="4" t="n">
        <v>100</v>
      </c>
      <c r="H397" s="4" t="n">
        <v>28</v>
      </c>
      <c r="I397" s="4" t="n">
        <v>0</v>
      </c>
      <c r="J397" s="4" t="n">
        <v>0</v>
      </c>
      <c r="K397" s="5" t="n">
        <v>0</v>
      </c>
      <c r="L397" s="4" t="n">
        <v>23</v>
      </c>
      <c r="M397" s="4" t="n">
        <v>7</v>
      </c>
      <c r="N397" s="5" t="n">
        <v>4</v>
      </c>
      <c r="O397" s="3" t="inlineStr">
        <is>
          <t>전의 전동 가까운 위치</t>
        </is>
      </c>
      <c r="P397" s="6">
        <f>HYPERLINK("https://fin.land.naver.com/articles/2653897833", "매물Link")</f>
        <v/>
      </c>
      <c r="Q397" s="6">
        <f>HYPERLINK("https://map.naver.com/p/search/조치원읍 서창리 42-260", "지도Link")</f>
        <v/>
      </c>
      <c r="R397" s="6">
        <f>HYPERLINK("http://www.eum.go.kr/web/ar/lu/luLandDet.jsp?pnu=3611025034100420260&amp;isNoScr=script&amp;mode=search", "토지이음")</f>
        <v/>
      </c>
      <c r="S397" s="3" t="inlineStr">
        <is>
          <t>척척</t>
        </is>
      </c>
      <c r="T397" s="4" t="n">
        <v>1</v>
      </c>
      <c r="U397" s="5" t="n">
        <v>126.9</v>
      </c>
      <c r="V397" s="4" t="n">
        <v>347.8</v>
      </c>
      <c r="W397" s="3" t="inlineStr">
        <is>
          <t>지정되지않음</t>
        </is>
      </c>
      <c r="X397" s="3" t="inlineStr">
        <is>
          <t>단독</t>
        </is>
      </c>
      <c r="Y397" s="3" t="inlineStr">
        <is>
          <t>평지</t>
        </is>
      </c>
      <c r="Z397" s="3" t="inlineStr">
        <is>
          <t>사다리형</t>
        </is>
      </c>
      <c r="AA397" s="3" t="inlineStr">
        <is>
          <t>세로한면(가)</t>
        </is>
      </c>
    </row>
    <row r="398">
      <c r="A398" s="3" t="inlineStr">
        <is>
          <t>조치원읍 서창리 66-34</t>
        </is>
      </c>
      <c r="B398" s="3" t="inlineStr">
        <is>
          <t>제1종일반주거지역</t>
        </is>
      </c>
      <c r="C398" s="3" t="inlineStr">
        <is>
          <t>대</t>
        </is>
      </c>
      <c r="D398" s="3" t="inlineStr">
        <is>
          <t>3</t>
        </is>
      </c>
      <c r="E398" s="3" t="inlineStr">
        <is>
          <t>단독</t>
        </is>
      </c>
      <c r="F398" s="3" t="inlineStr">
        <is>
          <t>매매</t>
        </is>
      </c>
      <c r="G398" s="4" t="n">
        <v>85000</v>
      </c>
      <c r="H398" s="4" t="n">
        <v>0</v>
      </c>
      <c r="I398" s="4" t="n">
        <v>192</v>
      </c>
      <c r="J398" s="4" t="n">
        <v>58</v>
      </c>
      <c r="K398" s="5" t="n">
        <v>1465.5</v>
      </c>
      <c r="L398" s="4" t="n">
        <v>254</v>
      </c>
      <c r="M398" s="4" t="n">
        <v>77</v>
      </c>
      <c r="N398" s="5" t="n">
        <v>1103.9</v>
      </c>
      <c r="O398" s="3" t="inlineStr">
        <is>
          <t>고대세종 신축급 원룸건물 매매</t>
        </is>
      </c>
      <c r="P398" s="6">
        <f>HYPERLINK("https://fin.land.naver.com/articles/2653931508", "매물Link")</f>
        <v/>
      </c>
      <c r="Q398" s="6">
        <f>HYPERLINK("https://map.naver.com/p/search/조치원읍 서창리 66-34", "지도Link")</f>
        <v/>
      </c>
      <c r="R398" s="6">
        <f>HYPERLINK("http://www.eum.go.kr/web/ar/lu/luLandDet.jsp?pnu=3611025034100660034&amp;isNoScr=script&amp;mode=search", "토지이음")</f>
        <v/>
      </c>
      <c r="S398" s="3" t="inlineStr">
        <is>
          <t>고래</t>
        </is>
      </c>
      <c r="T398" s="4" t="n">
        <v>1</v>
      </c>
      <c r="U398" s="5" t="n">
        <v>259</v>
      </c>
      <c r="V398" s="4" t="n">
        <v>192</v>
      </c>
      <c r="W398" s="3" t="inlineStr">
        <is>
          <t>지정되지않음</t>
        </is>
      </c>
      <c r="X398" s="3" t="inlineStr">
        <is>
          <t>단독</t>
        </is>
      </c>
      <c r="Y398" s="3" t="inlineStr">
        <is>
          <t>평지</t>
        </is>
      </c>
      <c r="Z398" s="3" t="inlineStr">
        <is>
          <t>세로장방</t>
        </is>
      </c>
      <c r="AA398" s="3" t="inlineStr">
        <is>
          <t>세로한면(가)</t>
        </is>
      </c>
    </row>
    <row r="399">
      <c r="A399" s="3" t="inlineStr">
        <is>
          <t>조치원읍 서창리 66-35</t>
        </is>
      </c>
      <c r="B399" s="3" t="inlineStr">
        <is>
          <t>제1종일반주거지역</t>
        </is>
      </c>
      <c r="C399" s="3" t="inlineStr">
        <is>
          <t>대</t>
        </is>
      </c>
      <c r="D399" s="3" t="inlineStr">
        <is>
          <t>3</t>
        </is>
      </c>
      <c r="E399" s="3" t="inlineStr">
        <is>
          <t>상가주택</t>
        </is>
      </c>
      <c r="F399" s="3" t="inlineStr">
        <is>
          <t>매매</t>
        </is>
      </c>
      <c r="G399" s="4" t="n">
        <v>76000</v>
      </c>
      <c r="H399" s="4" t="n">
        <v>0</v>
      </c>
      <c r="I399" s="4" t="n">
        <v>189</v>
      </c>
      <c r="J399" s="4" t="n">
        <v>57</v>
      </c>
      <c r="K399" s="5" t="n">
        <v>1333.3</v>
      </c>
      <c r="L399" s="4" t="n">
        <v>259</v>
      </c>
      <c r="M399" s="4" t="n">
        <v>78</v>
      </c>
      <c r="N399" s="5" t="n">
        <v>974.4</v>
      </c>
      <c r="O399" s="3" t="inlineStr">
        <is>
          <t>대학가 2억7천 투자 수익률7.5</t>
        </is>
      </c>
      <c r="P399" s="6">
        <f>HYPERLINK("https://fin.land.naver.com/articles/2653931569", "매물Link")</f>
        <v/>
      </c>
      <c r="Q399" s="6">
        <f>HYPERLINK("https://map.naver.com/p/search/조치원읍 서창리 66-35", "지도Link")</f>
        <v/>
      </c>
      <c r="R399" s="6">
        <f>HYPERLINK("http://www.eum.go.kr/web/ar/lu/luLandDet.jsp?pnu=3611025034100660035&amp;isNoScr=script&amp;mode=search", "토지이음")</f>
        <v/>
      </c>
      <c r="S399" s="3" t="inlineStr">
        <is>
          <t>고래</t>
        </is>
      </c>
      <c r="T399" s="4" t="n">
        <v>1</v>
      </c>
      <c r="U399" s="5" t="n">
        <v>401.7</v>
      </c>
      <c r="V399" s="4" t="n">
        <v>189</v>
      </c>
      <c r="W399" s="3" t="inlineStr">
        <is>
          <t>지정되지않음</t>
        </is>
      </c>
      <c r="X399" s="3" t="inlineStr">
        <is>
          <t>주상용</t>
        </is>
      </c>
      <c r="Y399" s="3" t="inlineStr">
        <is>
          <t>평지</t>
        </is>
      </c>
      <c r="Z399" s="3" t="inlineStr">
        <is>
          <t>가로장방</t>
        </is>
      </c>
      <c r="AA399" s="3" t="inlineStr">
        <is>
          <t>소로한면</t>
        </is>
      </c>
    </row>
    <row r="400">
      <c r="A400" s="3" t="inlineStr">
        <is>
          <t>조치원읍 신안리 146-2</t>
        </is>
      </c>
      <c r="B400" s="3" t="inlineStr">
        <is>
          <t>자연녹지지역</t>
        </is>
      </c>
      <c r="C400" s="3" t="inlineStr">
        <is>
          <t>대</t>
        </is>
      </c>
      <c r="D400" s="3" t="inlineStr">
        <is>
          <t>2</t>
        </is>
      </c>
      <c r="E400" s="3" t="inlineStr">
        <is>
          <t>단독</t>
        </is>
      </c>
      <c r="F400" s="3" t="inlineStr">
        <is>
          <t>매매</t>
        </is>
      </c>
      <c r="G400" s="4" t="n">
        <v>48000</v>
      </c>
      <c r="H400" s="4" t="n">
        <v>0</v>
      </c>
      <c r="I400" s="4" t="n">
        <v>283</v>
      </c>
      <c r="J400" s="4" t="n">
        <v>86</v>
      </c>
      <c r="K400" s="5" t="n">
        <v>558.1</v>
      </c>
      <c r="L400" s="4" t="n">
        <v>95</v>
      </c>
      <c r="M400" s="4" t="n">
        <v>29</v>
      </c>
      <c r="N400" s="5" t="n">
        <v>1655.2</v>
      </c>
      <c r="O400" s="3" t="inlineStr">
        <is>
          <t>편의성과 안락함을 다 갖춘 단독주택</t>
        </is>
      </c>
      <c r="P400" s="6">
        <f>HYPERLINK("https://fin.land.naver.com/articles/2653789650", "매물Link")</f>
        <v/>
      </c>
      <c r="Q400" s="6">
        <f>HYPERLINK("https://map.naver.com/p/search/조치원읍 신안리 146-2", "지도Link")</f>
        <v/>
      </c>
      <c r="R400" s="6">
        <f>HYPERLINK("http://www.eum.go.kr/web/ar/lu/luLandDet.jsp?pnu=3611025032101460002&amp;isNoScr=script&amp;mode=search", "토지이음")</f>
        <v/>
      </c>
      <c r="S400" s="3" t="inlineStr">
        <is>
          <t>무지개</t>
        </is>
      </c>
      <c r="T400" s="4" t="n">
        <v>1</v>
      </c>
      <c r="U400" s="5" t="n">
        <v>188.1</v>
      </c>
      <c r="V400" s="4" t="n">
        <v>247</v>
      </c>
      <c r="W400" s="3" t="inlineStr">
        <is>
          <t>지정되지않음</t>
        </is>
      </c>
      <c r="X400" s="3" t="inlineStr">
        <is>
          <t>단독</t>
        </is>
      </c>
      <c r="Y400" s="3" t="inlineStr">
        <is>
          <t>평지</t>
        </is>
      </c>
      <c r="Z400" s="3" t="inlineStr">
        <is>
          <t>사다리형</t>
        </is>
      </c>
      <c r="AA400" s="3" t="inlineStr">
        <is>
          <t>세로한면(가)</t>
        </is>
      </c>
    </row>
    <row r="401">
      <c r="A401" s="3" t="inlineStr">
        <is>
          <t>조치원읍 신안리 168-2</t>
        </is>
      </c>
      <c r="B401" s="3" t="inlineStr">
        <is>
          <t>자연녹지지역</t>
        </is>
      </c>
      <c r="C401" s="3" t="inlineStr">
        <is>
          <t>대</t>
        </is>
      </c>
      <c r="D401" s="3" t="inlineStr">
        <is>
          <t>1</t>
        </is>
      </c>
      <c r="E401" s="3" t="inlineStr">
        <is>
          <t>일반원룸</t>
        </is>
      </c>
      <c r="F401" s="3" t="inlineStr">
        <is>
          <t>월세</t>
        </is>
      </c>
      <c r="G401" s="4" t="n">
        <v>50</v>
      </c>
      <c r="H401" s="4" t="n">
        <v>23</v>
      </c>
      <c r="I401" s="4" t="n">
        <v>20</v>
      </c>
      <c r="J401" s="4" t="n">
        <v>6</v>
      </c>
      <c r="K401" s="5" t="n">
        <v>3.8</v>
      </c>
      <c r="L401" s="4" t="n">
        <v>20</v>
      </c>
      <c r="M401" s="4" t="n">
        <v>6</v>
      </c>
      <c r="N401" s="5" t="n">
        <v>3.8</v>
      </c>
      <c r="O401" s="3" t="inlineStr">
        <is>
          <t>홍익대,직장인 1번국도 인접</t>
        </is>
      </c>
      <c r="P401" s="6">
        <f>HYPERLINK("https://fin.land.naver.com/articles/2652327692", "매물Link")</f>
        <v/>
      </c>
      <c r="Q401" s="6">
        <f>HYPERLINK("https://map.naver.com/p/search/조치원읍 신안리 168-2", "지도Link")</f>
        <v/>
      </c>
      <c r="R401" s="6">
        <f>HYPERLINK("http://www.eum.go.kr/web/ar/lu/luLandDet.jsp?pnu=3611025032101680002&amp;isNoScr=script&amp;mode=search", "토지이음")</f>
        <v/>
      </c>
      <c r="S401" s="3" t="inlineStr">
        <is>
          <t>OK수</t>
        </is>
      </c>
      <c r="T401" s="4" t="n">
        <v>1</v>
      </c>
      <c r="U401" s="5" t="n">
        <v>171.6</v>
      </c>
      <c r="V401" s="4" t="n">
        <v>190</v>
      </c>
      <c r="W401" s="3" t="inlineStr">
        <is>
          <t>지정되지않음</t>
        </is>
      </c>
      <c r="X401" s="3" t="inlineStr">
        <is>
          <t>단독</t>
        </is>
      </c>
      <c r="Y401" s="3" t="inlineStr">
        <is>
          <t>평지</t>
        </is>
      </c>
      <c r="Z401" s="3" t="inlineStr">
        <is>
          <t>사다리형</t>
        </is>
      </c>
      <c r="AA401" s="3" t="inlineStr">
        <is>
          <t>세로한면(가)</t>
        </is>
      </c>
    </row>
    <row r="402">
      <c r="A402" s="3" t="inlineStr">
        <is>
          <t>조치원읍 신안리 168-4</t>
        </is>
      </c>
      <c r="B402" s="3" t="inlineStr">
        <is>
          <t>자연녹지지역</t>
        </is>
      </c>
      <c r="C402" s="3" t="inlineStr">
        <is>
          <t>대</t>
        </is>
      </c>
      <c r="D402" s="3" t="inlineStr">
        <is>
          <t>1</t>
        </is>
      </c>
      <c r="E402" s="3" t="inlineStr">
        <is>
          <t>일반원룸</t>
        </is>
      </c>
      <c r="F402" s="3" t="inlineStr">
        <is>
          <t>월세</t>
        </is>
      </c>
      <c r="G402" s="4" t="n">
        <v>30</v>
      </c>
      <c r="H402" s="4" t="n">
        <v>23</v>
      </c>
      <c r="I402" s="4" t="n">
        <v>20</v>
      </c>
      <c r="J402" s="4" t="n">
        <v>6</v>
      </c>
      <c r="K402" s="5" t="n">
        <v>3.8</v>
      </c>
      <c r="L402" s="4" t="n">
        <v>20</v>
      </c>
      <c r="M402" s="4" t="n">
        <v>6</v>
      </c>
      <c r="N402" s="5" t="n">
        <v>3.8</v>
      </c>
      <c r="O402" s="3" t="inlineStr">
        <is>
          <t>신안리 홍대국제연수원인근 저렴한원룸 즉시 입주가능합니다</t>
        </is>
      </c>
      <c r="P402" s="6">
        <f>HYPERLINK("https://fin.land.naver.com/articles/2649980274", "매물Link")</f>
        <v/>
      </c>
      <c r="Q402" s="6">
        <f>HYPERLINK("https://map.naver.com/p/search/조치원읍 신안리 168-4", "지도Link")</f>
        <v/>
      </c>
      <c r="R402" s="6">
        <f>HYPERLINK("http://www.eum.go.kr/web/ar/lu/luLandDet.jsp?pnu=3611025032101680004&amp;isNoScr=script&amp;mode=search", "토지이음")</f>
        <v/>
      </c>
      <c r="S402" s="3" t="inlineStr">
        <is>
          <t>OK수</t>
        </is>
      </c>
      <c r="T402" s="4" t="n">
        <v>1</v>
      </c>
      <c r="U402" s="5" t="n">
        <v>171.6</v>
      </c>
      <c r="V402" s="4" t="n">
        <v>217</v>
      </c>
      <c r="W402" s="3" t="inlineStr">
        <is>
          <t>지정되지않음</t>
        </is>
      </c>
      <c r="X402" s="3" t="inlineStr">
        <is>
          <t>다세대</t>
        </is>
      </c>
      <c r="Y402" s="3" t="inlineStr">
        <is>
          <t>평지</t>
        </is>
      </c>
      <c r="Z402" s="3" t="inlineStr">
        <is>
          <t>사다리형</t>
        </is>
      </c>
      <c r="AA402" s="3" t="inlineStr">
        <is>
          <t>세로한면(가)</t>
        </is>
      </c>
    </row>
    <row r="403">
      <c r="A403" s="3" t="inlineStr">
        <is>
          <t>조치원읍 신안리 179-17</t>
        </is>
      </c>
      <c r="B403" s="3" t="inlineStr">
        <is>
          <t>자연녹지지역</t>
        </is>
      </c>
      <c r="C403" s="3" t="inlineStr">
        <is>
          <t>대</t>
        </is>
      </c>
      <c r="D403" s="3" t="inlineStr">
        <is>
          <t>4</t>
        </is>
      </c>
      <c r="E403" s="3" t="inlineStr">
        <is>
          <t>빌라</t>
        </is>
      </c>
      <c r="F403" s="3" t="inlineStr">
        <is>
          <t>매매</t>
        </is>
      </c>
      <c r="G403" s="4" t="n">
        <v>16500</v>
      </c>
      <c r="H403" s="4" t="n">
        <v>0</v>
      </c>
      <c r="I403" s="4" t="n">
        <v>93</v>
      </c>
      <c r="J403" s="4" t="n">
        <v>28</v>
      </c>
      <c r="K403" s="5" t="n">
        <v>589.3</v>
      </c>
      <c r="L403" s="4" t="n">
        <v>80</v>
      </c>
      <c r="M403" s="4" t="n">
        <v>24</v>
      </c>
      <c r="N403" s="5" t="n">
        <v>687.5</v>
      </c>
      <c r="O403" s="3" t="inlineStr">
        <is>
          <t>신축,즉시입주가능, 홍대근접,엘리베이터 있음 주차장 여유, 조용한 환경</t>
        </is>
      </c>
      <c r="P403" s="6">
        <f>HYPERLINK("https://fin.land.naver.com/articles/2651286294", "매물Link")</f>
        <v/>
      </c>
      <c r="Q403" s="6">
        <f>HYPERLINK("https://map.naver.com/p/search/조치원읍 신안리 179-17", "지도Link")</f>
        <v/>
      </c>
      <c r="R403" s="6">
        <f>HYPERLINK("http://www.eum.go.kr/web/ar/lu/luLandDet.jsp?pnu=3611025032101790017&amp;isNoScr=script&amp;mode=search", "토지이음")</f>
        <v/>
      </c>
      <c r="S403" s="3" t="inlineStr">
        <is>
          <t>담뜰</t>
        </is>
      </c>
      <c r="T403" s="4" t="n">
        <v>1</v>
      </c>
      <c r="U403" s="5" t="n">
        <v>171.6</v>
      </c>
      <c r="V403" s="4" t="n">
        <v>336</v>
      </c>
      <c r="W403" s="3" t="inlineStr">
        <is>
          <t>지정되지않음</t>
        </is>
      </c>
      <c r="X403" s="3" t="inlineStr">
        <is>
          <t>다세대</t>
        </is>
      </c>
      <c r="Y403" s="3" t="inlineStr">
        <is>
          <t>평지</t>
        </is>
      </c>
      <c r="Z403" s="3" t="inlineStr">
        <is>
          <t>사다리형</t>
        </is>
      </c>
      <c r="AA403" s="3" t="inlineStr">
        <is>
          <t>세로한면(가)</t>
        </is>
      </c>
    </row>
    <row r="404">
      <c r="A404" s="3" t="inlineStr">
        <is>
          <t>조치원읍 신안리 179-17</t>
        </is>
      </c>
      <c r="B404" s="3" t="inlineStr">
        <is>
          <t>자연녹지지역</t>
        </is>
      </c>
      <c r="C404" s="3" t="inlineStr">
        <is>
          <t>대</t>
        </is>
      </c>
      <c r="D404" s="3" t="inlineStr">
        <is>
          <t>1</t>
        </is>
      </c>
      <c r="E404" s="3" t="inlineStr">
        <is>
          <t>빌라</t>
        </is>
      </c>
      <c r="F404" s="3" t="inlineStr">
        <is>
          <t>매매</t>
        </is>
      </c>
      <c r="G404" s="4" t="n">
        <v>16500</v>
      </c>
      <c r="H404" s="4" t="n">
        <v>0</v>
      </c>
      <c r="I404" s="4" t="n">
        <v>93</v>
      </c>
      <c r="J404" s="4" t="n">
        <v>28</v>
      </c>
      <c r="K404" s="5" t="n">
        <v>589.3</v>
      </c>
      <c r="L404" s="4" t="n">
        <v>80</v>
      </c>
      <c r="M404" s="4" t="n">
        <v>24</v>
      </c>
      <c r="N404" s="5" t="n">
        <v>687.5</v>
      </c>
      <c r="O404" s="3" t="inlineStr">
        <is>
          <t>전원형 주거지신축빌라, 올리모델링, 급매 1억6500만원, 역세권예정</t>
        </is>
      </c>
      <c r="P404" s="6">
        <f>HYPERLINK("https://fin.land.naver.com/articles/2651743361", "매물Link")</f>
        <v/>
      </c>
      <c r="Q404" s="6">
        <f>HYPERLINK("https://map.naver.com/p/search/조치원읍 신안리 179-17", "지도Link")</f>
        <v/>
      </c>
      <c r="R404" s="6">
        <f>HYPERLINK("http://www.eum.go.kr/web/ar/lu/luLandDet.jsp?pnu=3611025032101790017&amp;isNoScr=script&amp;mode=search", "토지이음")</f>
        <v/>
      </c>
      <c r="S404" s="3" t="inlineStr">
        <is>
          <t>대한</t>
        </is>
      </c>
      <c r="T404" s="4" t="n">
        <v>1</v>
      </c>
      <c r="U404" s="5" t="n">
        <v>171.6</v>
      </c>
      <c r="V404" s="4" t="n">
        <v>336</v>
      </c>
      <c r="W404" s="3" t="inlineStr">
        <is>
          <t>지정되지않음</t>
        </is>
      </c>
      <c r="X404" s="3" t="inlineStr">
        <is>
          <t>다세대</t>
        </is>
      </c>
      <c r="Y404" s="3" t="inlineStr">
        <is>
          <t>평지</t>
        </is>
      </c>
      <c r="Z404" s="3" t="inlineStr">
        <is>
          <t>사다리형</t>
        </is>
      </c>
      <c r="AA404" s="3" t="inlineStr">
        <is>
          <t>세로한면(가)</t>
        </is>
      </c>
    </row>
    <row r="405">
      <c r="A405" s="3" t="inlineStr">
        <is>
          <t>조치원읍 신안리 179-17</t>
        </is>
      </c>
      <c r="B405" s="3" t="inlineStr">
        <is>
          <t>자연녹지지역</t>
        </is>
      </c>
      <c r="C405" s="3" t="inlineStr">
        <is>
          <t>대</t>
        </is>
      </c>
      <c r="D405" s="3" t="inlineStr">
        <is>
          <t>4</t>
        </is>
      </c>
      <c r="E405" s="3" t="inlineStr">
        <is>
          <t>빌라</t>
        </is>
      </c>
      <c r="F405" s="3" t="inlineStr">
        <is>
          <t>매매</t>
        </is>
      </c>
      <c r="G405" s="4" t="n">
        <v>16500</v>
      </c>
      <c r="H405" s="4" t="n">
        <v>0</v>
      </c>
      <c r="I405" s="4" t="n">
        <v>99</v>
      </c>
      <c r="J405" s="4" t="n">
        <v>30</v>
      </c>
      <c r="K405" s="5" t="n">
        <v>550</v>
      </c>
      <c r="L405" s="4" t="n">
        <v>88</v>
      </c>
      <c r="M405" s="4" t="n">
        <v>27</v>
      </c>
      <c r="N405" s="5" t="n">
        <v>611.1</v>
      </c>
      <c r="O405" s="3" t="inlineStr">
        <is>
          <t>신축빌라,즉시입주가능,주차장 여유로움,올리모델링엘리베이터있음,</t>
        </is>
      </c>
      <c r="P405" s="6">
        <f>HYPERLINK("https://fin.land.naver.com/articles/2652138880", "매물Link")</f>
        <v/>
      </c>
      <c r="Q405" s="6">
        <f>HYPERLINK("https://map.naver.com/p/search/조치원읍 신안리 179-17", "지도Link")</f>
        <v/>
      </c>
      <c r="R405" s="6">
        <f>HYPERLINK("http://www.eum.go.kr/web/ar/lu/luLandDet.jsp?pnu=3611025032101790017&amp;isNoScr=script&amp;mode=search", "토지이음")</f>
        <v/>
      </c>
      <c r="S405" s="3" t="inlineStr">
        <is>
          <t>담뜰</t>
        </is>
      </c>
      <c r="T405" s="4" t="n">
        <v>3</v>
      </c>
      <c r="U405" s="5" t="n">
        <v>171.6</v>
      </c>
      <c r="V405" s="4" t="n">
        <v>336</v>
      </c>
      <c r="W405" s="3" t="inlineStr">
        <is>
          <t>지정되지않음</t>
        </is>
      </c>
      <c r="X405" s="3" t="inlineStr">
        <is>
          <t>다세대</t>
        </is>
      </c>
      <c r="Y405" s="3" t="inlineStr">
        <is>
          <t>평지</t>
        </is>
      </c>
      <c r="Z405" s="3" t="inlineStr">
        <is>
          <t>사다리형</t>
        </is>
      </c>
      <c r="AA405" s="3" t="inlineStr">
        <is>
          <t>세로한면(가)</t>
        </is>
      </c>
    </row>
    <row r="406">
      <c r="A406" s="3" t="inlineStr">
        <is>
          <t>조치원읍 신안리 179-17</t>
        </is>
      </c>
      <c r="B406" s="3" t="inlineStr">
        <is>
          <t>자연녹지지역</t>
        </is>
      </c>
      <c r="C406" s="3" t="inlineStr">
        <is>
          <t>대</t>
        </is>
      </c>
      <c r="D406" s="3" t="inlineStr">
        <is>
          <t>4</t>
        </is>
      </c>
      <c r="E406" s="3" t="inlineStr">
        <is>
          <t>다가구</t>
        </is>
      </c>
      <c r="F406" s="3" t="inlineStr">
        <is>
          <t>매매</t>
        </is>
      </c>
      <c r="G406" s="4" t="n">
        <v>16500</v>
      </c>
      <c r="H406" s="4" t="n">
        <v>0</v>
      </c>
      <c r="I406" s="4" t="n">
        <v>383</v>
      </c>
      <c r="J406" s="4" t="n">
        <v>116</v>
      </c>
      <c r="K406" s="5" t="n">
        <v>142.2</v>
      </c>
      <c r="L406" s="4" t="n">
        <v>374</v>
      </c>
      <c r="M406" s="4" t="n">
        <v>113</v>
      </c>
      <c r="N406" s="5" t="n">
        <v>146</v>
      </c>
      <c r="O406" s="3" t="inlineStr">
        <is>
          <t>자연과 어우러진 전원형 빌라주거지 세종시와 청주. 오송방면 이동이편리함</t>
        </is>
      </c>
      <c r="P406" s="6">
        <f>HYPERLINK("https://fin.land.naver.com/articles/2653251981", "매물Link")</f>
        <v/>
      </c>
      <c r="Q406" s="6">
        <f>HYPERLINK("https://map.naver.com/p/search/조치원읍 신안리 179-17", "지도Link")</f>
        <v/>
      </c>
      <c r="R406" s="6">
        <f>HYPERLINK("http://www.eum.go.kr/web/ar/lu/luLandDet.jsp?pnu=3611025032101790017&amp;isNoScr=script&amp;mode=search", "토지이음")</f>
        <v/>
      </c>
      <c r="S406" s="3" t="inlineStr">
        <is>
          <t>재원</t>
        </is>
      </c>
      <c r="T406" s="4" t="n">
        <v>1</v>
      </c>
      <c r="U406" s="5" t="n">
        <v>171.6</v>
      </c>
      <c r="V406" s="4" t="n">
        <v>336</v>
      </c>
      <c r="W406" s="3" t="inlineStr">
        <is>
          <t>지정되지않음</t>
        </is>
      </c>
      <c r="X406" s="3" t="inlineStr">
        <is>
          <t>다세대</t>
        </is>
      </c>
      <c r="Y406" s="3" t="inlineStr">
        <is>
          <t>평지</t>
        </is>
      </c>
      <c r="Z406" s="3" t="inlineStr">
        <is>
          <t>사다리형</t>
        </is>
      </c>
      <c r="AA406" s="3" t="inlineStr">
        <is>
          <t>세로한면(가)</t>
        </is>
      </c>
    </row>
    <row r="407">
      <c r="A407" s="3" t="inlineStr">
        <is>
          <t>조치원읍 신안리 179-17</t>
        </is>
      </c>
      <c r="B407" s="3" t="inlineStr">
        <is>
          <t>자연녹지지역</t>
        </is>
      </c>
      <c r="C407" s="3" t="inlineStr">
        <is>
          <t>대</t>
        </is>
      </c>
      <c r="D407" s="3" t="inlineStr">
        <is>
          <t>4</t>
        </is>
      </c>
      <c r="E407" s="3" t="inlineStr">
        <is>
          <t>빌라</t>
        </is>
      </c>
      <c r="F407" s="3" t="inlineStr">
        <is>
          <t>매매</t>
        </is>
      </c>
      <c r="G407" s="4" t="n">
        <v>16500</v>
      </c>
      <c r="H407" s="4" t="n">
        <v>0</v>
      </c>
      <c r="I407" s="4" t="n">
        <v>93</v>
      </c>
      <c r="J407" s="4" t="n">
        <v>28</v>
      </c>
      <c r="K407" s="5" t="n">
        <v>589.3</v>
      </c>
      <c r="L407" s="4" t="n">
        <v>80</v>
      </c>
      <c r="M407" s="4" t="n">
        <v>24</v>
      </c>
      <c r="N407" s="5" t="n">
        <v>687.5</v>
      </c>
      <c r="O407" s="3" t="inlineStr">
        <is>
          <t>nan</t>
        </is>
      </c>
      <c r="P407" s="6">
        <f>HYPERLINK("https://fin.land.naver.com/articles/2650337382", "매물Link")</f>
        <v/>
      </c>
      <c r="Q407" s="6">
        <f>HYPERLINK("https://map.naver.com/p/search/조치원읍 신안리 179-17", "지도Link")</f>
        <v/>
      </c>
      <c r="R407" s="6">
        <f>HYPERLINK("http://www.eum.go.kr/web/ar/lu/luLandDet.jsp?pnu=3611025032101790017&amp;isNoScr=script&amp;mode=search", "토지이음")</f>
        <v/>
      </c>
      <c r="S407" s="3" t="inlineStr">
        <is>
          <t>웰스플랜</t>
        </is>
      </c>
      <c r="T407" s="4" t="n">
        <v>1</v>
      </c>
      <c r="U407" s="5" t="n">
        <v>171.6</v>
      </c>
      <c r="V407" s="4" t="n">
        <v>336</v>
      </c>
      <c r="W407" s="3" t="inlineStr">
        <is>
          <t>지정되지않음</t>
        </is>
      </c>
      <c r="X407" s="3" t="inlineStr">
        <is>
          <t>다세대</t>
        </is>
      </c>
      <c r="Y407" s="3" t="inlineStr">
        <is>
          <t>평지</t>
        </is>
      </c>
      <c r="Z407" s="3" t="inlineStr">
        <is>
          <t>사다리형</t>
        </is>
      </c>
      <c r="AA407" s="3" t="inlineStr">
        <is>
          <t>세로한면(가)</t>
        </is>
      </c>
    </row>
    <row r="408">
      <c r="A408" s="3" t="inlineStr">
        <is>
          <t>조치원읍 신안리 179-2</t>
        </is>
      </c>
      <c r="B408" s="3" t="inlineStr">
        <is>
          <t>자연녹지지역</t>
        </is>
      </c>
      <c r="C408" s="3" t="inlineStr">
        <is>
          <t>대</t>
        </is>
      </c>
      <c r="D408" s="3" t="inlineStr">
        <is>
          <t>1</t>
        </is>
      </c>
      <c r="E408" s="3" t="inlineStr">
        <is>
          <t>전원주택</t>
        </is>
      </c>
      <c r="F408" s="3" t="inlineStr">
        <is>
          <t>매매</t>
        </is>
      </c>
      <c r="G408" s="4" t="n">
        <v>28000</v>
      </c>
      <c r="H408" s="4" t="n">
        <v>0</v>
      </c>
      <c r="I408" s="4" t="n">
        <v>360</v>
      </c>
      <c r="J408" s="4" t="n">
        <v>109</v>
      </c>
      <c r="K408" s="5" t="n">
        <v>256.9</v>
      </c>
      <c r="L408" s="4" t="n">
        <v>61</v>
      </c>
      <c r="M408" s="4" t="n">
        <v>18</v>
      </c>
      <c r="N408" s="5" t="n">
        <v>1555.6</v>
      </c>
      <c r="O408" s="3" t="inlineStr">
        <is>
          <t>세종시 홍익대 주변 농가주택 급매</t>
        </is>
      </c>
      <c r="P408" s="6">
        <f>HYPERLINK("https://fin.land.naver.com/articles/2652407093", "매물Link")</f>
        <v/>
      </c>
      <c r="Q408" s="6">
        <f>HYPERLINK("https://map.naver.com/p/search/조치원읍 신안리 179-2", "지도Link")</f>
        <v/>
      </c>
      <c r="R408" s="6">
        <f>HYPERLINK("http://www.eum.go.kr/web/ar/lu/luLandDet.jsp?pnu=3611025032101790002&amp;isNoScr=script&amp;mode=search", "토지이음")</f>
        <v/>
      </c>
      <c r="S408" s="3" t="inlineStr">
        <is>
          <t>강우림</t>
        </is>
      </c>
      <c r="T408" s="4" t="n">
        <v>1</v>
      </c>
      <c r="U408" s="5" t="n">
        <v>175</v>
      </c>
      <c r="V408" s="4" t="n">
        <v>360</v>
      </c>
      <c r="W408" s="3" t="inlineStr">
        <is>
          <t>지정되지않음</t>
        </is>
      </c>
      <c r="X408" s="3" t="inlineStr">
        <is>
          <t>단독</t>
        </is>
      </c>
      <c r="Y408" s="3" t="inlineStr">
        <is>
          <t>평지</t>
        </is>
      </c>
      <c r="Z408" s="3" t="inlineStr">
        <is>
          <t>정방형</t>
        </is>
      </c>
      <c r="AA408" s="3" t="inlineStr">
        <is>
          <t>세로한면(가)</t>
        </is>
      </c>
    </row>
    <row r="409">
      <c r="A409" s="3" t="inlineStr">
        <is>
          <t>조치원읍 신안리 197-3</t>
        </is>
      </c>
      <c r="B409" s="3" t="inlineStr">
        <is>
          <t>자연녹지지역</t>
        </is>
      </c>
      <c r="C409" s="3" t="inlineStr">
        <is>
          <t>대</t>
        </is>
      </c>
      <c r="D409" s="3" t="inlineStr">
        <is>
          <t>2</t>
        </is>
      </c>
      <c r="E409" s="3" t="inlineStr">
        <is>
          <t>다가구</t>
        </is>
      </c>
      <c r="F409" s="3" t="inlineStr">
        <is>
          <t>매매</t>
        </is>
      </c>
      <c r="G409" s="4" t="n">
        <v>70000</v>
      </c>
      <c r="H409" s="4" t="n">
        <v>0</v>
      </c>
      <c r="I409" s="4" t="n">
        <v>595</v>
      </c>
      <c r="J409" s="4" t="n">
        <v>180</v>
      </c>
      <c r="K409" s="5" t="n">
        <v>388.9</v>
      </c>
      <c r="L409" s="4" t="n">
        <v>346</v>
      </c>
      <c r="M409" s="4" t="n">
        <v>105</v>
      </c>
      <c r="N409" s="5" t="n">
        <v>666.7</v>
      </c>
      <c r="O409" s="3" t="inlineStr">
        <is>
          <t>서창역인근,주인세대전세끼고,수익형다가구매매,인근대학교,연수원</t>
        </is>
      </c>
      <c r="P409" s="6">
        <f>HYPERLINK("https://fin.land.naver.com/articles/2652964849", "매물Link")</f>
        <v/>
      </c>
      <c r="Q409" s="6">
        <f>HYPERLINK("https://map.naver.com/p/search/조치원읍 신안리 197-3", "지도Link")</f>
        <v/>
      </c>
      <c r="R409" s="6">
        <f>HYPERLINK("http://www.eum.go.kr/web/ar/lu/luLandDet.jsp?pnu=3611025032101970003&amp;isNoScr=script&amp;mode=search", "토지이음")</f>
        <v/>
      </c>
      <c r="S409" s="3" t="inlineStr">
        <is>
          <t>에이팩시티지정</t>
        </is>
      </c>
      <c r="T409" s="4" t="n">
        <v>1</v>
      </c>
      <c r="U409" s="5" t="n">
        <v>171.6</v>
      </c>
      <c r="V409" s="4" t="n">
        <v>595</v>
      </c>
      <c r="W409" s="3" t="inlineStr">
        <is>
          <t>지정되지않음</t>
        </is>
      </c>
      <c r="X409" s="3" t="inlineStr">
        <is>
          <t>다세대</t>
        </is>
      </c>
      <c r="Y409" s="3" t="inlineStr">
        <is>
          <t>평지</t>
        </is>
      </c>
      <c r="Z409" s="3" t="inlineStr">
        <is>
          <t>사다리형</t>
        </is>
      </c>
      <c r="AA409" s="3" t="inlineStr">
        <is>
          <t>세로한면(가)</t>
        </is>
      </c>
    </row>
    <row r="410">
      <c r="A410" s="3" t="inlineStr">
        <is>
          <t>조치원읍 신안리 321-61</t>
        </is>
      </c>
      <c r="B410" s="3" t="inlineStr">
        <is>
          <t>제1종일반주거지역</t>
        </is>
      </c>
      <c r="C410" s="3" t="inlineStr">
        <is>
          <t>대</t>
        </is>
      </c>
      <c r="D410" s="3" t="inlineStr">
        <is>
          <t>3</t>
        </is>
      </c>
      <c r="E410" s="3" t="inlineStr">
        <is>
          <t>다가구</t>
        </is>
      </c>
      <c r="F410" s="3" t="inlineStr">
        <is>
          <t>매매</t>
        </is>
      </c>
      <c r="G410" s="4" t="n">
        <v>115000</v>
      </c>
      <c r="H410" s="4" t="n">
        <v>0</v>
      </c>
      <c r="I410" s="4" t="n">
        <v>190</v>
      </c>
      <c r="J410" s="4" t="n">
        <v>57</v>
      </c>
      <c r="K410" s="5" t="n">
        <v>2017.5</v>
      </c>
      <c r="L410" s="4" t="n">
        <v>285</v>
      </c>
      <c r="M410" s="4" t="n">
        <v>86</v>
      </c>
      <c r="N410" s="5" t="n">
        <v>1337.2</v>
      </c>
      <c r="O410" s="3" t="inlineStr">
        <is>
          <t>홍익대학교 인근 연세 9천만원 나오는 수익률 좋은 신축 다중주택 입니다</t>
        </is>
      </c>
      <c r="P410" s="6">
        <f>HYPERLINK("https://fin.land.naver.com/articles/2653247118", "매물Link")</f>
        <v/>
      </c>
      <c r="Q410" s="6">
        <f>HYPERLINK("https://map.naver.com/p/search/조치원읍 신안리 321-61", "지도Link")</f>
        <v/>
      </c>
      <c r="R410" s="6">
        <f>HYPERLINK("http://www.eum.go.kr/web/ar/lu/luLandDet.jsp?pnu=3611025032103210061&amp;isNoScr=script&amp;mode=search", "토지이음")</f>
        <v/>
      </c>
      <c r="S410" s="3" t="inlineStr">
        <is>
          <t>스마일세종</t>
        </is>
      </c>
      <c r="T410" s="4" t="n">
        <v>1</v>
      </c>
      <c r="U410" s="5" t="n">
        <v>197.5</v>
      </c>
      <c r="V410" s="4" t="n">
        <v>190</v>
      </c>
      <c r="W410" s="3" t="inlineStr">
        <is>
          <t>지정되지않음</t>
        </is>
      </c>
      <c r="X410" s="3" t="inlineStr">
        <is>
          <t>단독</t>
        </is>
      </c>
      <c r="Y410" s="3" t="inlineStr">
        <is>
          <t>완경사</t>
        </is>
      </c>
      <c r="Z410" s="3" t="inlineStr">
        <is>
          <t>사다리형</t>
        </is>
      </c>
      <c r="AA410" s="3" t="inlineStr">
        <is>
          <t>세로한면(가)</t>
        </is>
      </c>
    </row>
    <row r="411">
      <c r="A411" s="3" t="inlineStr">
        <is>
          <t>조치원읍 신안리 321-63</t>
        </is>
      </c>
      <c r="B411" s="3" t="inlineStr">
        <is>
          <t>제1종일반주거지역</t>
        </is>
      </c>
      <c r="C411" s="3" t="inlineStr">
        <is>
          <t>대</t>
        </is>
      </c>
      <c r="D411" s="3" t="inlineStr">
        <is>
          <t>3</t>
        </is>
      </c>
      <c r="E411" s="3" t="inlineStr">
        <is>
          <t>다가구</t>
        </is>
      </c>
      <c r="F411" s="3" t="inlineStr">
        <is>
          <t>매매</t>
        </is>
      </c>
      <c r="G411" s="4" t="n">
        <v>115000</v>
      </c>
      <c r="H411" s="4" t="n">
        <v>0</v>
      </c>
      <c r="I411" s="4" t="n">
        <v>173</v>
      </c>
      <c r="J411" s="4" t="n">
        <v>52</v>
      </c>
      <c r="K411" s="5" t="n">
        <v>2211.5</v>
      </c>
      <c r="L411" s="4" t="n">
        <v>282</v>
      </c>
      <c r="M411" s="4" t="n">
        <v>85</v>
      </c>
      <c r="N411" s="5" t="n">
        <v>1352.9</v>
      </c>
      <c r="O411" s="3" t="inlineStr">
        <is>
          <t>절충가 홍익대학교 인근 연세 9천만원 나오는 풀옵션 신축 다중주택 입니다</t>
        </is>
      </c>
      <c r="P411" s="6">
        <f>HYPERLINK("https://fin.land.naver.com/articles/2650958724", "매물Link")</f>
        <v/>
      </c>
      <c r="Q411" s="6">
        <f>HYPERLINK("https://map.naver.com/p/search/조치원읍 신안리 321-63", "지도Link")</f>
        <v/>
      </c>
      <c r="R411" s="6">
        <f>HYPERLINK("http://www.eum.go.kr/web/ar/lu/luLandDet.jsp?pnu=3611025032103210063&amp;isNoScr=script&amp;mode=search", "토지이음")</f>
        <v/>
      </c>
      <c r="S411" s="3" t="inlineStr">
        <is>
          <t>스마일세종</t>
        </is>
      </c>
      <c r="T411" s="4" t="n">
        <v>1</v>
      </c>
      <c r="U411" s="5" t="n">
        <v>199.5</v>
      </c>
      <c r="V411" s="4" t="n">
        <v>173</v>
      </c>
      <c r="W411" s="3" t="inlineStr">
        <is>
          <t>지정되지않음</t>
        </is>
      </c>
      <c r="X411" s="3" t="inlineStr">
        <is>
          <t>단독</t>
        </is>
      </c>
      <c r="Y411" s="3" t="inlineStr">
        <is>
          <t>완경사</t>
        </is>
      </c>
      <c r="Z411" s="3" t="inlineStr">
        <is>
          <t>사다리형</t>
        </is>
      </c>
      <c r="AA411" s="3" t="inlineStr">
        <is>
          <t>세로한면(가)</t>
        </is>
      </c>
    </row>
    <row r="412">
      <c r="A412" s="3" t="inlineStr">
        <is>
          <t>조치원읍 신안리 321-64</t>
        </is>
      </c>
      <c r="B412" s="3" t="inlineStr">
        <is>
          <t>제1종일반주거지역</t>
        </is>
      </c>
      <c r="C412" s="3" t="inlineStr">
        <is>
          <t>대</t>
        </is>
      </c>
      <c r="D412" s="3" t="inlineStr">
        <is>
          <t>2</t>
        </is>
      </c>
      <c r="E412" s="3" t="inlineStr">
        <is>
          <t>단독</t>
        </is>
      </c>
      <c r="F412" s="3" t="inlineStr">
        <is>
          <t>매매</t>
        </is>
      </c>
      <c r="G412" s="4" t="n">
        <v>35000</v>
      </c>
      <c r="H412" s="4" t="n">
        <v>0</v>
      </c>
      <c r="I412" s="4" t="n">
        <v>166</v>
      </c>
      <c r="J412" s="4" t="n">
        <v>50</v>
      </c>
      <c r="K412" s="5" t="n">
        <v>700</v>
      </c>
      <c r="L412" s="4" t="n">
        <v>187</v>
      </c>
      <c r="M412" s="4" t="n">
        <v>57</v>
      </c>
      <c r="N412" s="5" t="n">
        <v>614</v>
      </c>
      <c r="O412" s="3" t="inlineStr">
        <is>
          <t>신축 단독 2층 주택 초급매, 현재 1층은 임대중</t>
        </is>
      </c>
      <c r="P412" s="6">
        <f>HYPERLINK("https://fin.land.naver.com/articles/2650466023", "매물Link")</f>
        <v/>
      </c>
      <c r="Q412" s="6">
        <f>HYPERLINK("https://map.naver.com/p/search/조치원읍 신안리 321-64", "지도Link")</f>
        <v/>
      </c>
      <c r="R412" s="6">
        <f>HYPERLINK("http://www.eum.go.kr/web/ar/lu/luLandDet.jsp?pnu=3611025032103210064&amp;isNoScr=script&amp;mode=search", "토지이음")</f>
        <v/>
      </c>
      <c r="S412" s="3" t="inlineStr">
        <is>
          <t>세종공감</t>
        </is>
      </c>
      <c r="T412" s="4" t="n">
        <v>1</v>
      </c>
      <c r="U412" s="5" t="n">
        <v>199.5</v>
      </c>
      <c r="V412" s="4" t="n">
        <v>166</v>
      </c>
      <c r="W412" s="3" t="inlineStr">
        <is>
          <t>지정되지않음</t>
        </is>
      </c>
      <c r="X412" s="3" t="inlineStr">
        <is>
          <t>단독</t>
        </is>
      </c>
      <c r="Y412" s="3" t="inlineStr">
        <is>
          <t>완경사</t>
        </is>
      </c>
      <c r="Z412" s="3" t="inlineStr">
        <is>
          <t>사다리형</t>
        </is>
      </c>
      <c r="AA412" s="3" t="inlineStr">
        <is>
          <t>세로한면(가)</t>
        </is>
      </c>
    </row>
    <row r="413">
      <c r="A413" s="3" t="inlineStr">
        <is>
          <t>조치원읍 신안리 341-1</t>
        </is>
      </c>
      <c r="B413" s="3" t="inlineStr">
        <is>
          <t>제2종일반주거지역</t>
        </is>
      </c>
      <c r="C413" s="3" t="inlineStr">
        <is>
          <t>대</t>
        </is>
      </c>
      <c r="D413" s="3" t="inlineStr">
        <is>
          <t>3</t>
        </is>
      </c>
      <c r="E413" s="3" t="inlineStr">
        <is>
          <t>단독</t>
        </is>
      </c>
      <c r="F413" s="3" t="inlineStr">
        <is>
          <t>매매</t>
        </is>
      </c>
      <c r="G413" s="4" t="n">
        <v>60000</v>
      </c>
      <c r="H413" s="4" t="n">
        <v>0</v>
      </c>
      <c r="I413" s="4" t="n">
        <v>271</v>
      </c>
      <c r="J413" s="4" t="n">
        <v>82</v>
      </c>
      <c r="K413" s="5" t="n">
        <v>731.7</v>
      </c>
      <c r="L413" s="4" t="n">
        <v>428</v>
      </c>
      <c r="M413" s="4" t="n">
        <v>129</v>
      </c>
      <c r="N413" s="5" t="n">
        <v>465.1</v>
      </c>
      <c r="O413" s="3" t="inlineStr">
        <is>
          <t>홍익대학생들의  입소문으로만 임대계약완료, 공실걱정 없음</t>
        </is>
      </c>
      <c r="P413" s="6">
        <f>HYPERLINK("https://fin.land.naver.com/articles/2653284306", "매물Link")</f>
        <v/>
      </c>
      <c r="Q413" s="6">
        <f>HYPERLINK("https://map.naver.com/p/search/조치원읍 신안리 341-1", "지도Link")</f>
        <v/>
      </c>
      <c r="R413" s="6">
        <f>HYPERLINK("http://www.eum.go.kr/web/ar/lu/luLandDet.jsp?pnu=3611025032103410001&amp;isNoScr=script&amp;mode=search", "토지이음")</f>
        <v/>
      </c>
      <c r="S413" s="3" t="inlineStr">
        <is>
          <t>세종공감</t>
        </is>
      </c>
      <c r="T413" s="4" t="n">
        <v>1</v>
      </c>
      <c r="U413" s="5" t="n">
        <v>227</v>
      </c>
      <c r="V413" s="4" t="n">
        <v>271</v>
      </c>
      <c r="W413" s="3" t="inlineStr">
        <is>
          <t>지정되지않음</t>
        </is>
      </c>
      <c r="X413" s="3" t="inlineStr">
        <is>
          <t>단독</t>
        </is>
      </c>
      <c r="Y413" s="3" t="inlineStr">
        <is>
          <t>평지</t>
        </is>
      </c>
      <c r="Z413" s="3" t="inlineStr">
        <is>
          <t>사다리형</t>
        </is>
      </c>
      <c r="AA413" s="3" t="inlineStr">
        <is>
          <t>세로한면(가)</t>
        </is>
      </c>
    </row>
    <row r="414">
      <c r="A414" s="3" t="inlineStr">
        <is>
          <t>조치원읍 신안리 343-5</t>
        </is>
      </c>
      <c r="B414" s="3" t="inlineStr">
        <is>
          <t>제2종일반주거지역</t>
        </is>
      </c>
      <c r="C414" s="3" t="inlineStr">
        <is>
          <t>대</t>
        </is>
      </c>
      <c r="D414" s="3" t="inlineStr">
        <is>
          <t>4</t>
        </is>
      </c>
      <c r="E414" s="3" t="inlineStr">
        <is>
          <t>단독</t>
        </is>
      </c>
      <c r="F414" s="3" t="inlineStr">
        <is>
          <t>매매</t>
        </is>
      </c>
      <c r="G414" s="4" t="n">
        <v>230000</v>
      </c>
      <c r="H414" s="4" t="n">
        <v>0</v>
      </c>
      <c r="I414" s="4" t="n">
        <v>304</v>
      </c>
      <c r="J414" s="4" t="n">
        <v>92</v>
      </c>
      <c r="K414" s="5" t="n">
        <v>2500</v>
      </c>
      <c r="L414" s="4" t="n">
        <v>331</v>
      </c>
      <c r="M414" s="4" t="n">
        <v>100</v>
      </c>
      <c r="N414" s="5" t="n">
        <v>2300</v>
      </c>
      <c r="O414" s="3" t="inlineStr">
        <is>
          <t>고객만족1위, 앞상가 동시매매,세종시 홍익대, 고려대  인근, 투자 최상</t>
        </is>
      </c>
      <c r="P414" s="6">
        <f>HYPERLINK("https://fin.land.naver.com/articles/2651986134", "매물Link")</f>
        <v/>
      </c>
      <c r="Q414" s="6">
        <f>HYPERLINK("https://map.naver.com/p/search/조치원읍 신안리 343-5", "지도Link")</f>
        <v/>
      </c>
      <c r="R414" s="6">
        <f>HYPERLINK("http://www.eum.go.kr/web/ar/lu/luLandDet.jsp?pnu=3611025032103430005&amp;isNoScr=script&amp;mode=search", "토지이음")</f>
        <v/>
      </c>
      <c r="S414" s="3" t="inlineStr">
        <is>
          <t>생생</t>
        </is>
      </c>
      <c r="T414" s="4" t="n">
        <v>1</v>
      </c>
      <c r="U414" s="5" t="n">
        <v>299.6</v>
      </c>
      <c r="V414" s="4" t="n">
        <v>304</v>
      </c>
      <c r="W414" s="3" t="inlineStr">
        <is>
          <t>지정되지않음</t>
        </is>
      </c>
      <c r="X414" s="3" t="inlineStr">
        <is>
          <t>주상용</t>
        </is>
      </c>
      <c r="Y414" s="3" t="inlineStr">
        <is>
          <t>평지</t>
        </is>
      </c>
      <c r="Z414" s="3" t="inlineStr">
        <is>
          <t>사다리형</t>
        </is>
      </c>
      <c r="AA414" s="3" t="inlineStr">
        <is>
          <t>세로한면(가)</t>
        </is>
      </c>
    </row>
    <row r="415">
      <c r="A415" s="3" t="inlineStr">
        <is>
          <t>조치원읍 신안리 346-18</t>
        </is>
      </c>
      <c r="B415" s="3" t="inlineStr">
        <is>
          <t>제2종일반주거지역</t>
        </is>
      </c>
      <c r="C415" s="3" t="inlineStr">
        <is>
          <t>대</t>
        </is>
      </c>
      <c r="D415" s="3" t="inlineStr">
        <is>
          <t>4</t>
        </is>
      </c>
      <c r="E415" s="3" t="inlineStr">
        <is>
          <t>다가구</t>
        </is>
      </c>
      <c r="F415" s="3" t="inlineStr">
        <is>
          <t>매매</t>
        </is>
      </c>
      <c r="G415" s="4" t="n">
        <v>95000</v>
      </c>
      <c r="H415" s="4" t="n">
        <v>0</v>
      </c>
      <c r="I415" s="4" t="n">
        <v>311</v>
      </c>
      <c r="J415" s="4" t="n">
        <v>94</v>
      </c>
      <c r="K415" s="5" t="n">
        <v>1010.6</v>
      </c>
      <c r="L415" s="4" t="n">
        <v>455</v>
      </c>
      <c r="M415" s="4" t="n">
        <v>138</v>
      </c>
      <c r="N415" s="5" t="n">
        <v>688.4</v>
      </c>
      <c r="O415" s="3" t="inlineStr">
        <is>
          <t>nan</t>
        </is>
      </c>
      <c r="P415" s="6">
        <f>HYPERLINK("https://fin.land.naver.com/articles/2654389716", "매물Link")</f>
        <v/>
      </c>
      <c r="Q415" s="6">
        <f>HYPERLINK("https://map.naver.com/p/search/조치원읍 신안리 346-18", "지도Link")</f>
        <v/>
      </c>
      <c r="R415" s="6">
        <f>HYPERLINK("http://www.eum.go.kr/web/ar/lu/luLandDet.jsp?pnu=3611025032103460018&amp;isNoScr=script&amp;mode=search", "토지이음")</f>
        <v/>
      </c>
      <c r="S415" s="3" t="inlineStr">
        <is>
          <t>척척</t>
        </is>
      </c>
      <c r="T415" s="4" t="n">
        <v>1</v>
      </c>
      <c r="U415" s="5" t="n">
        <v>204</v>
      </c>
      <c r="V415" s="4" t="n">
        <v>311</v>
      </c>
      <c r="W415" s="3" t="inlineStr">
        <is>
          <t>지정되지않음</t>
        </is>
      </c>
      <c r="X415" s="3" t="inlineStr">
        <is>
          <t>단독</t>
        </is>
      </c>
      <c r="Y415" s="3" t="inlineStr">
        <is>
          <t>평지</t>
        </is>
      </c>
      <c r="Z415" s="3" t="inlineStr">
        <is>
          <t>부정형</t>
        </is>
      </c>
      <c r="AA415" s="3" t="inlineStr">
        <is>
          <t>세로한면(가)</t>
        </is>
      </c>
    </row>
    <row r="416">
      <c r="A416" s="3" t="inlineStr">
        <is>
          <t>조치원읍 신안리 353-19</t>
        </is>
      </c>
      <c r="B416" s="3" t="inlineStr">
        <is>
          <t>제2종일반주거지역</t>
        </is>
      </c>
      <c r="C416" s="3" t="inlineStr">
        <is>
          <t>대</t>
        </is>
      </c>
      <c r="D416" s="3" t="inlineStr">
        <is>
          <t>3</t>
        </is>
      </c>
      <c r="E416" s="3" t="inlineStr">
        <is>
          <t>다가구</t>
        </is>
      </c>
      <c r="F416" s="3" t="inlineStr">
        <is>
          <t>매매</t>
        </is>
      </c>
      <c r="G416" s="4" t="n">
        <v>72500</v>
      </c>
      <c r="H416" s="4" t="n">
        <v>0</v>
      </c>
      <c r="I416" s="4" t="n">
        <v>156</v>
      </c>
      <c r="J416" s="4" t="n">
        <v>47</v>
      </c>
      <c r="K416" s="5" t="n">
        <v>1542.6</v>
      </c>
      <c r="L416" s="4" t="n">
        <v>264</v>
      </c>
      <c r="M416" s="4" t="n">
        <v>80</v>
      </c>
      <c r="N416" s="5" t="n">
        <v>906.2</v>
      </c>
      <c r="O416" s="3" t="inlineStr">
        <is>
          <t>고객만족1위, 홍익대부근세종캠, 고려대근방세종캠, 조치원역 부근</t>
        </is>
      </c>
      <c r="P416" s="6">
        <f>HYPERLINK("https://fin.land.naver.com/articles/2651992800", "매물Link")</f>
        <v/>
      </c>
      <c r="Q416" s="6">
        <f>HYPERLINK("https://map.naver.com/p/search/조치원읍 신안리 353-19", "지도Link")</f>
        <v/>
      </c>
      <c r="R416" s="6">
        <f>HYPERLINK("http://www.eum.go.kr/web/ar/lu/luLandDet.jsp?pnu=3611025032103530019&amp;isNoScr=script&amp;mode=search", "토지이음")</f>
        <v/>
      </c>
      <c r="S416" s="3" t="inlineStr">
        <is>
          <t>생생</t>
        </is>
      </c>
      <c r="T416" s="4" t="n">
        <v>1</v>
      </c>
      <c r="U416" s="5" t="n">
        <v>210.3</v>
      </c>
      <c r="V416" s="4" t="n">
        <v>156</v>
      </c>
      <c r="W416" s="3" t="inlineStr">
        <is>
          <t>지정되지않음</t>
        </is>
      </c>
      <c r="X416" s="3" t="inlineStr">
        <is>
          <t>단독</t>
        </is>
      </c>
      <c r="Y416" s="3" t="inlineStr">
        <is>
          <t>평지</t>
        </is>
      </c>
      <c r="Z416" s="3" t="inlineStr">
        <is>
          <t>사다리형</t>
        </is>
      </c>
      <c r="AA416" s="3" t="inlineStr">
        <is>
          <t>세로한면(가)</t>
        </is>
      </c>
    </row>
    <row r="417">
      <c r="A417" s="3" t="inlineStr">
        <is>
          <t>조치원읍 신안리 353-19</t>
        </is>
      </c>
      <c r="B417" s="3" t="inlineStr">
        <is>
          <t>제2종일반주거지역</t>
        </is>
      </c>
      <c r="C417" s="3" t="inlineStr">
        <is>
          <t>대</t>
        </is>
      </c>
      <c r="D417" s="3" t="inlineStr">
        <is>
          <t>3</t>
        </is>
      </c>
      <c r="E417" s="3" t="inlineStr">
        <is>
          <t>다가구</t>
        </is>
      </c>
      <c r="F417" s="3" t="inlineStr">
        <is>
          <t>매매</t>
        </is>
      </c>
      <c r="G417" s="4" t="n">
        <v>62000</v>
      </c>
      <c r="H417" s="4" t="n">
        <v>0</v>
      </c>
      <c r="I417" s="4" t="n">
        <v>158</v>
      </c>
      <c r="J417" s="4" t="n">
        <v>48</v>
      </c>
      <c r="K417" s="5" t="n">
        <v>1291.7</v>
      </c>
      <c r="L417" s="4" t="n">
        <v>264</v>
      </c>
      <c r="M417" s="4" t="n">
        <v>80</v>
      </c>
      <c r="N417" s="5" t="n">
        <v>775</v>
      </c>
      <c r="O417" s="3" t="inlineStr">
        <is>
          <t>nan</t>
        </is>
      </c>
      <c r="P417" s="6">
        <f>HYPERLINK("https://fin.land.naver.com/articles/2650552332", "매물Link")</f>
        <v/>
      </c>
      <c r="Q417" s="6">
        <f>HYPERLINK("https://map.naver.com/p/search/조치원읍 신안리 353-19", "지도Link")</f>
        <v/>
      </c>
      <c r="R417" s="6">
        <f>HYPERLINK("http://www.eum.go.kr/web/ar/lu/luLandDet.jsp?pnu=3611025032103530019&amp;isNoScr=script&amp;mode=search", "토지이음")</f>
        <v/>
      </c>
      <c r="S417" s="3" t="inlineStr">
        <is>
          <t>바다</t>
        </is>
      </c>
      <c r="T417" s="4" t="n">
        <v>1</v>
      </c>
      <c r="U417" s="5" t="n">
        <v>210.3</v>
      </c>
      <c r="V417" s="4" t="n">
        <v>156</v>
      </c>
      <c r="W417" s="3" t="inlineStr">
        <is>
          <t>지정되지않음</t>
        </is>
      </c>
      <c r="X417" s="3" t="inlineStr">
        <is>
          <t>단독</t>
        </is>
      </c>
      <c r="Y417" s="3" t="inlineStr">
        <is>
          <t>평지</t>
        </is>
      </c>
      <c r="Z417" s="3" t="inlineStr">
        <is>
          <t>사다리형</t>
        </is>
      </c>
      <c r="AA417" s="3" t="inlineStr">
        <is>
          <t>세로한면(가)</t>
        </is>
      </c>
    </row>
    <row r="418">
      <c r="A418" s="3" t="inlineStr">
        <is>
          <t>조치원읍 신안리 354-40</t>
        </is>
      </c>
      <c r="B418" s="3" t="inlineStr">
        <is>
          <t>제2종일반주거지역</t>
        </is>
      </c>
      <c r="C418" s="3" t="inlineStr">
        <is>
          <t>대</t>
        </is>
      </c>
      <c r="D418" s="3" t="inlineStr">
        <is>
          <t>4</t>
        </is>
      </c>
      <c r="E418" s="3" t="inlineStr">
        <is>
          <t>다가구</t>
        </is>
      </c>
      <c r="F418" s="3" t="inlineStr">
        <is>
          <t>매매</t>
        </is>
      </c>
      <c r="G418" s="4" t="n">
        <v>90000</v>
      </c>
      <c r="H418" s="4" t="n">
        <v>0</v>
      </c>
      <c r="I418" s="4" t="n">
        <v>347</v>
      </c>
      <c r="J418" s="4" t="n">
        <v>105</v>
      </c>
      <c r="K418" s="5" t="n">
        <v>857.1</v>
      </c>
      <c r="L418" s="4" t="n">
        <v>615</v>
      </c>
      <c r="M418" s="4" t="n">
        <v>186</v>
      </c>
      <c r="N418" s="5" t="n">
        <v>483.9</v>
      </c>
      <c r="O418" s="3" t="inlineStr">
        <is>
          <t>대학생들에게 인기 있고 관리가 잘된 원룸입니다.</t>
        </is>
      </c>
      <c r="P418" s="6">
        <f>HYPERLINK("https://fin.land.naver.com/articles/2653291133", "매물Link")</f>
        <v/>
      </c>
      <c r="Q418" s="6">
        <f>HYPERLINK("https://map.naver.com/p/search/조치원읍 신안리 354-40", "지도Link")</f>
        <v/>
      </c>
      <c r="R418" s="6">
        <f>HYPERLINK("http://www.eum.go.kr/web/ar/lu/luLandDet.jsp?pnu=3611025032103540040&amp;isNoScr=script&amp;mode=search", "토지이음")</f>
        <v/>
      </c>
      <c r="S418" s="3" t="inlineStr">
        <is>
          <t>세종공감</t>
        </is>
      </c>
      <c r="T418" s="4" t="n">
        <v>1</v>
      </c>
      <c r="U418" s="5" t="n">
        <v>204</v>
      </c>
      <c r="V418" s="4" t="n">
        <v>273</v>
      </c>
      <c r="W418" s="3" t="inlineStr">
        <is>
          <t>지정되지않음</t>
        </is>
      </c>
      <c r="X418" s="3" t="inlineStr">
        <is>
          <t>다세대</t>
        </is>
      </c>
      <c r="Y418" s="3" t="inlineStr">
        <is>
          <t>평지</t>
        </is>
      </c>
      <c r="Z418" s="3" t="inlineStr">
        <is>
          <t>부정형</t>
        </is>
      </c>
      <c r="AA418" s="3" t="inlineStr">
        <is>
          <t>세로한면(가)</t>
        </is>
      </c>
    </row>
    <row r="419">
      <c r="A419" s="3" t="inlineStr">
        <is>
          <t>조치원읍 신안리 355</t>
        </is>
      </c>
      <c r="B419" s="3" t="inlineStr">
        <is>
          <t>제2종일반주거지역</t>
        </is>
      </c>
      <c r="C419" s="3" t="inlineStr">
        <is>
          <t>대</t>
        </is>
      </c>
      <c r="D419" s="3" t="inlineStr">
        <is>
          <t>4</t>
        </is>
      </c>
      <c r="E419" s="3" t="inlineStr">
        <is>
          <t>단독</t>
        </is>
      </c>
      <c r="F419" s="3" t="inlineStr">
        <is>
          <t>전세</t>
        </is>
      </c>
      <c r="G419" s="4" t="n">
        <v>15000</v>
      </c>
      <c r="H419" s="4" t="n">
        <v>0</v>
      </c>
      <c r="I419" s="4" t="n">
        <v>120</v>
      </c>
      <c r="J419" s="4" t="n">
        <v>36</v>
      </c>
      <c r="K419" s="5" t="n">
        <v>416.7</v>
      </c>
      <c r="L419" s="4" t="n">
        <v>120</v>
      </c>
      <c r="M419" s="4" t="n">
        <v>36</v>
      </c>
      <c r="N419" s="5" t="n">
        <v>416.7</v>
      </c>
      <c r="O419" s="3" t="inlineStr">
        <is>
          <t>주인세대, 태양광 설치로 인한 저렴한 전기세</t>
        </is>
      </c>
      <c r="P419" s="6">
        <f>HYPERLINK("https://fin.land.naver.com/articles/2654012470", "매물Link")</f>
        <v/>
      </c>
      <c r="Q419" s="6">
        <f>HYPERLINK("https://map.naver.com/p/search/조치원읍 신안리 355", "지도Link")</f>
        <v/>
      </c>
      <c r="R419" s="6">
        <f>HYPERLINK("http://www.eum.go.kr/web/ar/lu/luLandDet.jsp?pnu=3611025032103550000&amp;isNoScr=script&amp;mode=search", "토지이음")</f>
        <v/>
      </c>
      <c r="S419" s="3" t="inlineStr">
        <is>
          <t>세종공감</t>
        </is>
      </c>
      <c r="T419" s="4" t="n">
        <v>1</v>
      </c>
      <c r="U419" s="5" t="n">
        <v>351.4</v>
      </c>
      <c r="V419" s="4" t="n">
        <v>359</v>
      </c>
      <c r="W419" s="3" t="inlineStr">
        <is>
          <t>지정되지않음</t>
        </is>
      </c>
      <c r="X419" s="3" t="inlineStr">
        <is>
          <t>주상기타</t>
        </is>
      </c>
      <c r="Y419" s="3" t="inlineStr">
        <is>
          <t>평지</t>
        </is>
      </c>
      <c r="Z419" s="3" t="inlineStr">
        <is>
          <t>사다리형</t>
        </is>
      </c>
      <c r="AA419" s="3" t="inlineStr">
        <is>
          <t>중로한면</t>
        </is>
      </c>
    </row>
    <row r="420">
      <c r="A420" s="3" t="inlineStr">
        <is>
          <t>조치원읍 신안리 355</t>
        </is>
      </c>
      <c r="B420" s="3" t="inlineStr">
        <is>
          <t>제2종일반주거지역</t>
        </is>
      </c>
      <c r="C420" s="3" t="inlineStr">
        <is>
          <t>대</t>
        </is>
      </c>
      <c r="D420" s="3" t="inlineStr">
        <is>
          <t>4</t>
        </is>
      </c>
      <c r="E420" s="3" t="inlineStr">
        <is>
          <t>단독</t>
        </is>
      </c>
      <c r="F420" s="3" t="inlineStr">
        <is>
          <t>전세</t>
        </is>
      </c>
      <c r="G420" s="4" t="n">
        <v>15000</v>
      </c>
      <c r="H420" s="4" t="n">
        <v>0</v>
      </c>
      <c r="I420" s="4" t="n">
        <v>0</v>
      </c>
      <c r="J420" s="4" t="n">
        <v>0</v>
      </c>
      <c r="K420" s="5" t="n">
        <v>0</v>
      </c>
      <c r="L420" s="4" t="n">
        <v>120</v>
      </c>
      <c r="M420" s="4" t="n">
        <v>36</v>
      </c>
      <c r="N420" s="5" t="n">
        <v>416.7</v>
      </c>
      <c r="O420" s="3" t="inlineStr">
        <is>
          <t>엘리베이터 있고 화장실2개 주인세대 남향, 태양광설치</t>
        </is>
      </c>
      <c r="P420" s="6">
        <f>HYPERLINK("https://fin.land.naver.com/articles/2654594543", "매물Link")</f>
        <v/>
      </c>
      <c r="Q420" s="6">
        <f>HYPERLINK("https://map.naver.com/p/search/조치원읍 신안리 355", "지도Link")</f>
        <v/>
      </c>
      <c r="R420" s="6">
        <f>HYPERLINK("http://www.eum.go.kr/web/ar/lu/luLandDet.jsp?pnu=3611025032103550000&amp;isNoScr=script&amp;mode=search", "토지이음")</f>
        <v/>
      </c>
      <c r="S420" s="3" t="inlineStr">
        <is>
          <t>부자터</t>
        </is>
      </c>
      <c r="T420" s="4" t="n">
        <v>1</v>
      </c>
      <c r="U420" s="5" t="n">
        <v>351.4</v>
      </c>
      <c r="V420" s="4" t="n">
        <v>359</v>
      </c>
      <c r="W420" s="3" t="inlineStr">
        <is>
          <t>지정되지않음</t>
        </is>
      </c>
      <c r="X420" s="3" t="inlineStr">
        <is>
          <t>주상기타</t>
        </is>
      </c>
      <c r="Y420" s="3" t="inlineStr">
        <is>
          <t>평지</t>
        </is>
      </c>
      <c r="Z420" s="3" t="inlineStr">
        <is>
          <t>사다리형</t>
        </is>
      </c>
      <c r="AA420" s="3" t="inlineStr">
        <is>
          <t>중로한면</t>
        </is>
      </c>
    </row>
    <row r="421">
      <c r="A421" s="3" t="inlineStr">
        <is>
          <t>조치원읍 신안리 373-1</t>
        </is>
      </c>
      <c r="B421" s="3" t="inlineStr">
        <is>
          <t>제2종일반주거지역</t>
        </is>
      </c>
      <c r="C421" s="3" t="inlineStr">
        <is>
          <t>대</t>
        </is>
      </c>
      <c r="D421" s="3" t="inlineStr">
        <is>
          <t>3</t>
        </is>
      </c>
      <c r="E421" s="3" t="inlineStr">
        <is>
          <t>다가구</t>
        </is>
      </c>
      <c r="F421" s="3" t="inlineStr">
        <is>
          <t>매매</t>
        </is>
      </c>
      <c r="G421" s="4" t="n">
        <v>80000</v>
      </c>
      <c r="H421" s="4" t="n">
        <v>0</v>
      </c>
      <c r="I421" s="4" t="n">
        <v>537</v>
      </c>
      <c r="J421" s="4" t="n">
        <v>162</v>
      </c>
      <c r="K421" s="5" t="n">
        <v>493.8</v>
      </c>
      <c r="L421" s="4" t="n">
        <v>521</v>
      </c>
      <c r="M421" s="4" t="n">
        <v>158</v>
      </c>
      <c r="N421" s="5" t="n">
        <v>506.3</v>
      </c>
      <c r="O421" s="3" t="inlineStr">
        <is>
          <t>nan</t>
        </is>
      </c>
      <c r="P421" s="6">
        <f>HYPERLINK("https://fin.land.naver.com/articles/2654390057", "매물Link")</f>
        <v/>
      </c>
      <c r="Q421" s="6">
        <f>HYPERLINK("https://map.naver.com/p/search/조치원읍 신안리 373-1", "지도Link")</f>
        <v/>
      </c>
      <c r="R421" s="6">
        <f>HYPERLINK("http://www.eum.go.kr/web/ar/lu/luLandDet.jsp?pnu=3611025032103730001&amp;isNoScr=script&amp;mode=search", "토지이음")</f>
        <v/>
      </c>
      <c r="S421" s="3" t="inlineStr">
        <is>
          <t>척척</t>
        </is>
      </c>
      <c r="T421" s="4" t="n">
        <v>1</v>
      </c>
      <c r="U421" s="5" t="n">
        <v>197.1</v>
      </c>
      <c r="V421" s="4" t="n">
        <v>588</v>
      </c>
      <c r="W421" s="3" t="inlineStr">
        <is>
          <t>지정되지않음</t>
        </is>
      </c>
      <c r="X421" s="3" t="inlineStr">
        <is>
          <t>단독</t>
        </is>
      </c>
      <c r="Y421" s="3" t="inlineStr">
        <is>
          <t>평지</t>
        </is>
      </c>
      <c r="Z421" s="3" t="inlineStr">
        <is>
          <t>자루형</t>
        </is>
      </c>
      <c r="AA421" s="3" t="inlineStr">
        <is>
          <t>세로한면(불)</t>
        </is>
      </c>
    </row>
    <row r="422">
      <c r="A422" s="3" t="inlineStr">
        <is>
          <t>조치원읍 신안리 375-1</t>
        </is>
      </c>
      <c r="B422" s="3" t="inlineStr">
        <is>
          <t>제2종일반주거지역</t>
        </is>
      </c>
      <c r="C422" s="3" t="inlineStr">
        <is>
          <t>대</t>
        </is>
      </c>
      <c r="D422" s="3" t="inlineStr">
        <is>
          <t>3</t>
        </is>
      </c>
      <c r="E422" s="3" t="inlineStr">
        <is>
          <t>다가구</t>
        </is>
      </c>
      <c r="F422" s="3" t="inlineStr">
        <is>
          <t>매매</t>
        </is>
      </c>
      <c r="G422" s="4" t="n">
        <v>160000</v>
      </c>
      <c r="H422" s="4" t="n">
        <v>0</v>
      </c>
      <c r="I422" s="4" t="n">
        <v>832</v>
      </c>
      <c r="J422" s="4" t="n">
        <v>252</v>
      </c>
      <c r="K422" s="5" t="n">
        <v>634.9</v>
      </c>
      <c r="L422" s="4" t="n">
        <v>1266</v>
      </c>
      <c r="M422" s="4" t="n">
        <v>383</v>
      </c>
      <c r="N422" s="5" t="n">
        <v>417.8</v>
      </c>
      <c r="O422" s="3" t="inlineStr">
        <is>
          <t>L홍익대 5분 O수익률 9이상</t>
        </is>
      </c>
      <c r="P422" s="6">
        <f>HYPERLINK("https://fin.land.naver.com/articles/2650552311", "매물Link")</f>
        <v/>
      </c>
      <c r="Q422" s="6">
        <f>HYPERLINK("https://map.naver.com/p/search/조치원읍 신안리 375-1", "지도Link")</f>
        <v/>
      </c>
      <c r="R422" s="6">
        <f>HYPERLINK("http://www.eum.go.kr/web/ar/lu/luLandDet.jsp?pnu=3611025032103750001&amp;isNoScr=script&amp;mode=search", "토지이음")</f>
        <v/>
      </c>
      <c r="S422" s="3" t="inlineStr">
        <is>
          <t>바다</t>
        </is>
      </c>
      <c r="T422" s="4" t="n">
        <v>1</v>
      </c>
      <c r="U422" s="5" t="n">
        <v>291.6</v>
      </c>
      <c r="V422" s="4" t="n">
        <v>368</v>
      </c>
      <c r="W422" s="3" t="inlineStr">
        <is>
          <t>지정되지않음</t>
        </is>
      </c>
      <c r="X422" s="3" t="inlineStr">
        <is>
          <t>주상용</t>
        </is>
      </c>
      <c r="Y422" s="3" t="inlineStr">
        <is>
          <t>평지</t>
        </is>
      </c>
      <c r="Z422" s="3" t="inlineStr">
        <is>
          <t>사다리형</t>
        </is>
      </c>
      <c r="AA422" s="3" t="inlineStr">
        <is>
          <t>세로한면(가)</t>
        </is>
      </c>
    </row>
    <row r="423">
      <c r="A423" s="3" t="inlineStr">
        <is>
          <t>조치원읍 신안리 383-13</t>
        </is>
      </c>
      <c r="B423" s="3" t="inlineStr">
        <is>
          <t>제2종일반주거지역</t>
        </is>
      </c>
      <c r="C423" s="3" t="inlineStr">
        <is>
          <t>대</t>
        </is>
      </c>
      <c r="D423" s="3" t="inlineStr">
        <is>
          <t>3</t>
        </is>
      </c>
      <c r="E423" s="3" t="inlineStr">
        <is>
          <t>다가구</t>
        </is>
      </c>
      <c r="F423" s="3" t="inlineStr">
        <is>
          <t>매매</t>
        </is>
      </c>
      <c r="G423" s="4" t="n">
        <v>45000</v>
      </c>
      <c r="H423" s="4" t="n">
        <v>0</v>
      </c>
      <c r="I423" s="4" t="n">
        <v>188</v>
      </c>
      <c r="J423" s="4" t="n">
        <v>57</v>
      </c>
      <c r="K423" s="5" t="n">
        <v>789.5</v>
      </c>
      <c r="L423" s="4" t="n">
        <v>326</v>
      </c>
      <c r="M423" s="4" t="n">
        <v>99</v>
      </c>
      <c r="N423" s="5" t="n">
        <v>454.5</v>
      </c>
      <c r="O423" s="3" t="inlineStr">
        <is>
          <t>리모델링 원룸 매매</t>
        </is>
      </c>
      <c r="P423" s="6">
        <f>HYPERLINK("https://fin.land.naver.com/articles/2654217692", "매물Link")</f>
        <v/>
      </c>
      <c r="Q423" s="6">
        <f>HYPERLINK("https://map.naver.com/p/search/조치원읍 신안리 383-13", "지도Link")</f>
        <v/>
      </c>
      <c r="R423" s="6">
        <f>HYPERLINK("http://www.eum.go.kr/web/ar/lu/luLandDet.jsp?pnu=3611025032103830013&amp;isNoScr=script&amp;mode=search", "토지이음")</f>
        <v/>
      </c>
      <c r="S423" s="3" t="inlineStr">
        <is>
          <t>고래</t>
        </is>
      </c>
      <c r="T423" s="4" t="n">
        <v>1</v>
      </c>
      <c r="U423" s="5" t="n">
        <v>208.6</v>
      </c>
      <c r="V423" s="4" t="n">
        <v>188</v>
      </c>
      <c r="W423" s="3" t="inlineStr">
        <is>
          <t>지정되지않음</t>
        </is>
      </c>
      <c r="X423" s="3" t="inlineStr">
        <is>
          <t>다세대</t>
        </is>
      </c>
      <c r="Y423" s="3" t="inlineStr">
        <is>
          <t>평지</t>
        </is>
      </c>
      <c r="Z423" s="3" t="inlineStr">
        <is>
          <t>사다리형</t>
        </is>
      </c>
      <c r="AA423" s="3" t="inlineStr">
        <is>
          <t>세로각지(가)</t>
        </is>
      </c>
    </row>
    <row r="424">
      <c r="A424" s="3" t="inlineStr">
        <is>
          <t>조치원읍 신안리 383-8</t>
        </is>
      </c>
      <c r="B424" s="3" t="inlineStr">
        <is>
          <t>제2종일반주거지역</t>
        </is>
      </c>
      <c r="C424" s="3" t="inlineStr">
        <is>
          <t>대</t>
        </is>
      </c>
      <c r="D424" s="3" t="inlineStr">
        <is>
          <t>2</t>
        </is>
      </c>
      <c r="E424" s="3" t="inlineStr">
        <is>
          <t>단독</t>
        </is>
      </c>
      <c r="F424" s="3" t="inlineStr">
        <is>
          <t>매매</t>
        </is>
      </c>
      <c r="G424" s="4" t="n">
        <v>45000</v>
      </c>
      <c r="H424" s="4" t="n">
        <v>0</v>
      </c>
      <c r="I424" s="4" t="n">
        <v>314</v>
      </c>
      <c r="J424" s="4" t="n">
        <v>95</v>
      </c>
      <c r="K424" s="5" t="n">
        <v>473.7</v>
      </c>
      <c r="L424" s="4" t="n">
        <v>224</v>
      </c>
      <c r="M424" s="4" t="n">
        <v>68</v>
      </c>
      <c r="N424" s="5" t="n">
        <v>661.8</v>
      </c>
      <c r="O424" s="3" t="inlineStr">
        <is>
          <t>남향, 고려대홍익대 인근 대지 넓은 2층 단독주택</t>
        </is>
      </c>
      <c r="P424" s="6">
        <f>HYPERLINK("https://fin.land.naver.com/articles/2653295743", "매물Link")</f>
        <v/>
      </c>
      <c r="Q424" s="6">
        <f>HYPERLINK("https://map.naver.com/p/search/조치원읍 신안리 383-8", "지도Link")</f>
        <v/>
      </c>
      <c r="R424" s="6">
        <f>HYPERLINK("http://www.eum.go.kr/web/ar/lu/luLandDet.jsp?pnu=3611025032103830008&amp;isNoScr=script&amp;mode=search", "토지이음")</f>
        <v/>
      </c>
      <c r="S424" s="3" t="inlineStr">
        <is>
          <t>세종공감</t>
        </is>
      </c>
      <c r="T424" s="4" t="n">
        <v>1</v>
      </c>
      <c r="U424" s="5" t="n">
        <v>200.1</v>
      </c>
      <c r="V424" s="4" t="n">
        <v>302</v>
      </c>
      <c r="W424" s="3" t="inlineStr">
        <is>
          <t>지정되지않음</t>
        </is>
      </c>
      <c r="X424" s="3" t="inlineStr">
        <is>
          <t>단독</t>
        </is>
      </c>
      <c r="Y424" s="3" t="inlineStr">
        <is>
          <t>평지</t>
        </is>
      </c>
      <c r="Z424" s="3" t="inlineStr">
        <is>
          <t>사다리형</t>
        </is>
      </c>
      <c r="AA424" s="3" t="inlineStr">
        <is>
          <t>세로한면(가)</t>
        </is>
      </c>
    </row>
    <row r="425">
      <c r="A425" s="3" t="inlineStr">
        <is>
          <t>조치원읍 신안리 385-12</t>
        </is>
      </c>
      <c r="B425" s="3" t="inlineStr">
        <is>
          <t>제2종일반주거지역</t>
        </is>
      </c>
      <c r="C425" s="3" t="inlineStr">
        <is>
          <t>대</t>
        </is>
      </c>
      <c r="D425" s="3" t="inlineStr">
        <is>
          <t>3</t>
        </is>
      </c>
      <c r="E425" s="3" t="inlineStr">
        <is>
          <t>다가구</t>
        </is>
      </c>
      <c r="F425" s="3" t="inlineStr">
        <is>
          <t>매매</t>
        </is>
      </c>
      <c r="G425" s="4" t="n">
        <v>60000</v>
      </c>
      <c r="H425" s="4" t="n">
        <v>0</v>
      </c>
      <c r="I425" s="4" t="n">
        <v>322</v>
      </c>
      <c r="J425" s="4" t="n">
        <v>97</v>
      </c>
      <c r="K425" s="5" t="n">
        <v>618.6</v>
      </c>
      <c r="L425" s="4" t="n">
        <v>493</v>
      </c>
      <c r="M425" s="4" t="n">
        <v>149</v>
      </c>
      <c r="N425" s="5" t="n">
        <v>402.7</v>
      </c>
      <c r="O425" s="3" t="inlineStr">
        <is>
          <t>홍익대학교 원룸 다가구매매.수익률잘나옴.</t>
        </is>
      </c>
      <c r="P425" s="6">
        <f>HYPERLINK("https://fin.land.naver.com/articles/2650552276", "매물Link")</f>
        <v/>
      </c>
      <c r="Q425" s="6">
        <f>HYPERLINK("https://map.naver.com/p/search/조치원읍 신안리 385-12", "지도Link")</f>
        <v/>
      </c>
      <c r="R425" s="6">
        <f>HYPERLINK("http://www.eum.go.kr/web/ar/lu/luLandDet.jsp?pnu=3611025032103850012&amp;isNoScr=script&amp;mode=search", "토지이음")</f>
        <v/>
      </c>
      <c r="S425" s="3" t="inlineStr">
        <is>
          <t>바다</t>
        </is>
      </c>
      <c r="T425" s="4" t="n">
        <v>1</v>
      </c>
      <c r="U425" s="5" t="n">
        <v>192.9</v>
      </c>
      <c r="V425" s="4" t="n">
        <v>322</v>
      </c>
      <c r="W425" s="3" t="inlineStr">
        <is>
          <t>지정되지않음</t>
        </is>
      </c>
      <c r="X425" s="3" t="inlineStr">
        <is>
          <t>단독</t>
        </is>
      </c>
      <c r="Y425" s="3" t="inlineStr">
        <is>
          <t>평지</t>
        </is>
      </c>
      <c r="Z425" s="3" t="inlineStr">
        <is>
          <t>부정형</t>
        </is>
      </c>
      <c r="AA425" s="3" t="inlineStr">
        <is>
          <t>세로한면(가)</t>
        </is>
      </c>
    </row>
    <row r="426">
      <c r="A426" s="3" t="inlineStr">
        <is>
          <t>조치원읍 신안리 385-12</t>
        </is>
      </c>
      <c r="B426" s="3" t="inlineStr">
        <is>
          <t>제2종일반주거지역</t>
        </is>
      </c>
      <c r="C426" s="3" t="inlineStr">
        <is>
          <t>대</t>
        </is>
      </c>
      <c r="D426" s="3" t="inlineStr">
        <is>
          <t>3</t>
        </is>
      </c>
      <c r="E426" s="3" t="inlineStr">
        <is>
          <t>다가구</t>
        </is>
      </c>
      <c r="F426" s="3" t="inlineStr">
        <is>
          <t>매매</t>
        </is>
      </c>
      <c r="G426" s="4" t="n">
        <v>60000</v>
      </c>
      <c r="H426" s="4" t="n">
        <v>0</v>
      </c>
      <c r="I426" s="4" t="n">
        <v>322</v>
      </c>
      <c r="J426" s="4" t="n">
        <v>97</v>
      </c>
      <c r="K426" s="5" t="n">
        <v>618.6</v>
      </c>
      <c r="L426" s="4" t="n">
        <v>493</v>
      </c>
      <c r="M426" s="4" t="n">
        <v>149</v>
      </c>
      <c r="N426" s="5" t="n">
        <v>402.7</v>
      </c>
      <c r="O426" s="3" t="inlineStr">
        <is>
          <t>홍익대학교, 고려대학교 후문쪽 위치, 공실없음</t>
        </is>
      </c>
      <c r="P426" s="6">
        <f>HYPERLINK("https://fin.land.naver.com/articles/2653295120", "매물Link")</f>
        <v/>
      </c>
      <c r="Q426" s="6">
        <f>HYPERLINK("https://map.naver.com/p/search/조치원읍 신안리 385-12", "지도Link")</f>
        <v/>
      </c>
      <c r="R426" s="6">
        <f>HYPERLINK("http://www.eum.go.kr/web/ar/lu/luLandDet.jsp?pnu=3611025032103850012&amp;isNoScr=script&amp;mode=search", "토지이음")</f>
        <v/>
      </c>
      <c r="S426" s="3" t="inlineStr">
        <is>
          <t>세종공감</t>
        </is>
      </c>
      <c r="T426" s="4" t="n">
        <v>1</v>
      </c>
      <c r="U426" s="5" t="n">
        <v>192.9</v>
      </c>
      <c r="V426" s="4" t="n">
        <v>322</v>
      </c>
      <c r="W426" s="3" t="inlineStr">
        <is>
          <t>지정되지않음</t>
        </is>
      </c>
      <c r="X426" s="3" t="inlineStr">
        <is>
          <t>단독</t>
        </is>
      </c>
      <c r="Y426" s="3" t="inlineStr">
        <is>
          <t>평지</t>
        </is>
      </c>
      <c r="Z426" s="3" t="inlineStr">
        <is>
          <t>부정형</t>
        </is>
      </c>
      <c r="AA426" s="3" t="inlineStr">
        <is>
          <t>세로한면(가)</t>
        </is>
      </c>
    </row>
    <row r="427">
      <c r="A427" s="3" t="inlineStr">
        <is>
          <t>조치원읍 신안리 385-12</t>
        </is>
      </c>
      <c r="B427" s="3" t="inlineStr">
        <is>
          <t>제2종일반주거지역</t>
        </is>
      </c>
      <c r="C427" s="3" t="inlineStr">
        <is>
          <t>대</t>
        </is>
      </c>
      <c r="D427" s="3" t="inlineStr">
        <is>
          <t>3</t>
        </is>
      </c>
      <c r="E427" s="3" t="inlineStr">
        <is>
          <t>다가구</t>
        </is>
      </c>
      <c r="F427" s="3" t="inlineStr">
        <is>
          <t>매매</t>
        </is>
      </c>
      <c r="G427" s="4" t="n">
        <v>60000</v>
      </c>
      <c r="H427" s="4" t="n">
        <v>0</v>
      </c>
      <c r="I427" s="4" t="n">
        <v>322</v>
      </c>
      <c r="J427" s="4" t="n">
        <v>97</v>
      </c>
      <c r="K427" s="5" t="n">
        <v>618.6</v>
      </c>
      <c r="L427" s="4" t="n">
        <v>493</v>
      </c>
      <c r="M427" s="4" t="n">
        <v>149</v>
      </c>
      <c r="N427" s="5" t="n">
        <v>402.7</v>
      </c>
      <c r="O427" s="3" t="inlineStr">
        <is>
          <t>nan</t>
        </is>
      </c>
      <c r="P427" s="6">
        <f>HYPERLINK("https://fin.land.naver.com/articles/2654390565", "매물Link")</f>
        <v/>
      </c>
      <c r="Q427" s="6">
        <f>HYPERLINK("https://map.naver.com/p/search/조치원읍 신안리 385-12", "지도Link")</f>
        <v/>
      </c>
      <c r="R427" s="6">
        <f>HYPERLINK("http://www.eum.go.kr/web/ar/lu/luLandDet.jsp?pnu=3611025032103850012&amp;isNoScr=script&amp;mode=search", "토지이음")</f>
        <v/>
      </c>
      <c r="S427" s="3" t="inlineStr">
        <is>
          <t>척척</t>
        </is>
      </c>
      <c r="T427" s="4" t="n">
        <v>1</v>
      </c>
      <c r="U427" s="5" t="n">
        <v>192.9</v>
      </c>
      <c r="V427" s="4" t="n">
        <v>322</v>
      </c>
      <c r="W427" s="3" t="inlineStr">
        <is>
          <t>지정되지않음</t>
        </is>
      </c>
      <c r="X427" s="3" t="inlineStr">
        <is>
          <t>단독</t>
        </is>
      </c>
      <c r="Y427" s="3" t="inlineStr">
        <is>
          <t>평지</t>
        </is>
      </c>
      <c r="Z427" s="3" t="inlineStr">
        <is>
          <t>부정형</t>
        </is>
      </c>
      <c r="AA427" s="3" t="inlineStr">
        <is>
          <t>세로한면(가)</t>
        </is>
      </c>
    </row>
    <row r="428">
      <c r="A428" s="3" t="inlineStr">
        <is>
          <t>조치원읍 신안리 386</t>
        </is>
      </c>
      <c r="B428" s="3" t="inlineStr">
        <is>
          <t>제2종일반주거지역</t>
        </is>
      </c>
      <c r="C428" s="3" t="inlineStr">
        <is>
          <t>대</t>
        </is>
      </c>
      <c r="D428" s="3" t="inlineStr">
        <is>
          <t>2</t>
        </is>
      </c>
      <c r="E428" s="3" t="inlineStr">
        <is>
          <t>다가구</t>
        </is>
      </c>
      <c r="F428" s="3" t="inlineStr">
        <is>
          <t>월세</t>
        </is>
      </c>
      <c r="G428" s="4" t="n">
        <v>100</v>
      </c>
      <c r="H428" s="4" t="n">
        <v>26</v>
      </c>
      <c r="I428" s="4" t="n">
        <v>26</v>
      </c>
      <c r="J428" s="4" t="n">
        <v>8</v>
      </c>
      <c r="K428" s="5" t="n">
        <v>3.2</v>
      </c>
      <c r="L428" s="4" t="n">
        <v>26</v>
      </c>
      <c r="M428" s="4" t="n">
        <v>8</v>
      </c>
      <c r="N428" s="5" t="n">
        <v>3.2</v>
      </c>
      <c r="O428" s="3" t="inlineStr">
        <is>
          <t>보증금과 월세가 저렴하고 넓은 방, 고려대, 홍익대 인근임</t>
        </is>
      </c>
      <c r="P428" s="6">
        <f>HYPERLINK("https://fin.land.naver.com/articles/2653990138", "매물Link")</f>
        <v/>
      </c>
      <c r="Q428" s="6">
        <f>HYPERLINK("https://map.naver.com/p/search/조치원읍 신안리 386", "지도Link")</f>
        <v/>
      </c>
      <c r="R428" s="6">
        <f>HYPERLINK("http://www.eum.go.kr/web/ar/lu/luLandDet.jsp?pnu=3611025032103860000&amp;isNoScr=script&amp;mode=search", "토지이음")</f>
        <v/>
      </c>
      <c r="S428" s="3" t="inlineStr">
        <is>
          <t>세종베스트</t>
        </is>
      </c>
      <c r="T428" s="4" t="n">
        <v>1</v>
      </c>
      <c r="U428" s="5" t="n">
        <v>192.9</v>
      </c>
      <c r="V428" s="4" t="n">
        <v>295</v>
      </c>
      <c r="W428" s="3" t="inlineStr">
        <is>
          <t>지정되지않음</t>
        </is>
      </c>
      <c r="X428" s="3" t="inlineStr">
        <is>
          <t>다세대</t>
        </is>
      </c>
      <c r="Y428" s="3" t="inlineStr">
        <is>
          <t>평지</t>
        </is>
      </c>
      <c r="Z428" s="3" t="inlineStr">
        <is>
          <t>부정형</t>
        </is>
      </c>
      <c r="AA428" s="3" t="inlineStr">
        <is>
          <t>세로한면(가)</t>
        </is>
      </c>
    </row>
    <row r="429">
      <c r="A429" s="3" t="inlineStr">
        <is>
          <t>조치원읍 신안리 387-10</t>
        </is>
      </c>
      <c r="B429" s="3" t="inlineStr">
        <is>
          <t>제2종일반주거지역</t>
        </is>
      </c>
      <c r="C429" s="3" t="inlineStr">
        <is>
          <t>대</t>
        </is>
      </c>
      <c r="D429" s="3" t="inlineStr">
        <is>
          <t>2</t>
        </is>
      </c>
      <c r="E429" s="3" t="inlineStr">
        <is>
          <t>다가구</t>
        </is>
      </c>
      <c r="F429" s="3" t="inlineStr">
        <is>
          <t>월세</t>
        </is>
      </c>
      <c r="G429" s="4" t="n">
        <v>200</v>
      </c>
      <c r="H429" s="4" t="n">
        <v>30</v>
      </c>
      <c r="I429" s="4" t="n">
        <v>33</v>
      </c>
      <c r="J429" s="4" t="n">
        <v>10</v>
      </c>
      <c r="K429" s="5" t="n">
        <v>3</v>
      </c>
      <c r="L429" s="4" t="n">
        <v>33</v>
      </c>
      <c r="M429" s="4" t="n">
        <v>10</v>
      </c>
      <c r="N429" s="5" t="n">
        <v>3</v>
      </c>
      <c r="O429" s="3" t="inlineStr">
        <is>
          <t>nan</t>
        </is>
      </c>
      <c r="P429" s="6">
        <f>HYPERLINK("https://fin.land.naver.com/articles/2651720837", "매물Link")</f>
        <v/>
      </c>
      <c r="Q429" s="6">
        <f>HYPERLINK("https://map.naver.com/p/search/조치원읍 신안리 387-10", "지도Link")</f>
        <v/>
      </c>
      <c r="R429" s="6">
        <f>HYPERLINK("http://www.eum.go.kr/web/ar/lu/luLandDet.jsp?pnu=3611025032103870010&amp;isNoScr=script&amp;mode=search", "토지이음")</f>
        <v/>
      </c>
      <c r="S429" s="3" t="inlineStr">
        <is>
          <t>-</t>
        </is>
      </c>
      <c r="T429" s="4" t="n">
        <v>1</v>
      </c>
      <c r="U429" s="5" t="n">
        <v>198.8</v>
      </c>
      <c r="V429" s="4" t="n">
        <v>294</v>
      </c>
      <c r="W429" s="3" t="inlineStr">
        <is>
          <t>지정되지않음</t>
        </is>
      </c>
      <c r="X429" s="3" t="inlineStr">
        <is>
          <t>다세대</t>
        </is>
      </c>
      <c r="Y429" s="3" t="inlineStr">
        <is>
          <t>평지</t>
        </is>
      </c>
      <c r="Z429" s="3" t="inlineStr">
        <is>
          <t>사다리형</t>
        </is>
      </c>
      <c r="AA429" s="3" t="inlineStr">
        <is>
          <t>세로한면(가)</t>
        </is>
      </c>
    </row>
    <row r="430">
      <c r="A430" s="3" t="inlineStr">
        <is>
          <t>조치원읍 신안리 387-5</t>
        </is>
      </c>
      <c r="B430" s="3" t="inlineStr">
        <is>
          <t>제2종일반주거지역</t>
        </is>
      </c>
      <c r="C430" s="3" t="inlineStr">
        <is>
          <t>대</t>
        </is>
      </c>
      <c r="D430" s="3" t="inlineStr">
        <is>
          <t>4</t>
        </is>
      </c>
      <c r="E430" s="3" t="inlineStr">
        <is>
          <t>다가구</t>
        </is>
      </c>
      <c r="F430" s="3" t="inlineStr">
        <is>
          <t>매매</t>
        </is>
      </c>
      <c r="G430" s="4" t="n">
        <v>110000</v>
      </c>
      <c r="H430" s="4" t="n">
        <v>0</v>
      </c>
      <c r="I430" s="4" t="n">
        <v>351</v>
      </c>
      <c r="J430" s="4" t="n">
        <v>106</v>
      </c>
      <c r="K430" s="5" t="n">
        <v>1037.7</v>
      </c>
      <c r="L430" s="4" t="n">
        <v>594</v>
      </c>
      <c r="M430" s="4" t="n">
        <v>180</v>
      </c>
      <c r="N430" s="5" t="n">
        <v>611.1</v>
      </c>
      <c r="O430" s="3" t="inlineStr">
        <is>
          <t>고대와 홍대사이의 인기있는 원룸으로 공실없음</t>
        </is>
      </c>
      <c r="P430" s="6">
        <f>HYPERLINK("https://fin.land.naver.com/articles/2653294943", "매물Link")</f>
        <v/>
      </c>
      <c r="Q430" s="6">
        <f>HYPERLINK("https://map.naver.com/p/search/조치원읍 신안리 387-5", "지도Link")</f>
        <v/>
      </c>
      <c r="R430" s="6">
        <f>HYPERLINK("http://www.eum.go.kr/web/ar/lu/luLandDet.jsp?pnu=3611025032103870005&amp;isNoScr=script&amp;mode=search", "토지이음")</f>
        <v/>
      </c>
      <c r="S430" s="3" t="inlineStr">
        <is>
          <t>세종공감</t>
        </is>
      </c>
      <c r="T430" s="4" t="n">
        <v>1</v>
      </c>
      <c r="U430" s="5" t="n">
        <v>182.9</v>
      </c>
      <c r="V430" s="4" t="n">
        <v>351</v>
      </c>
      <c r="W430" s="3" t="inlineStr">
        <is>
          <t>지정되지않음</t>
        </is>
      </c>
      <c r="X430" s="3" t="inlineStr">
        <is>
          <t>다세대</t>
        </is>
      </c>
      <c r="Y430" s="3" t="inlineStr">
        <is>
          <t>평지</t>
        </is>
      </c>
      <c r="Z430" s="3" t="inlineStr">
        <is>
          <t>사다리형</t>
        </is>
      </c>
      <c r="AA430" s="3" t="inlineStr">
        <is>
          <t>세로한면(불)</t>
        </is>
      </c>
    </row>
    <row r="431">
      <c r="A431" s="3" t="inlineStr">
        <is>
          <t>조치원읍 신안리 387-5</t>
        </is>
      </c>
      <c r="B431" s="3" t="inlineStr">
        <is>
          <t>제2종일반주거지역</t>
        </is>
      </c>
      <c r="C431" s="3" t="inlineStr">
        <is>
          <t>대</t>
        </is>
      </c>
      <c r="D431" s="3" t="inlineStr">
        <is>
          <t>4</t>
        </is>
      </c>
      <c r="E431" s="3" t="inlineStr">
        <is>
          <t>단독</t>
        </is>
      </c>
      <c r="F431" s="3" t="inlineStr">
        <is>
          <t>매매</t>
        </is>
      </c>
      <c r="G431" s="4" t="n">
        <v>107000</v>
      </c>
      <c r="H431" s="4" t="n">
        <v>0</v>
      </c>
      <c r="I431" s="4" t="n">
        <v>351</v>
      </c>
      <c r="J431" s="4" t="n">
        <v>106</v>
      </c>
      <c r="K431" s="5" t="n">
        <v>1009.4</v>
      </c>
      <c r="L431" s="4" t="n">
        <v>594</v>
      </c>
      <c r="M431" s="4" t="n">
        <v>180</v>
      </c>
      <c r="N431" s="5" t="n">
        <v>594.4</v>
      </c>
      <c r="O431" s="3" t="inlineStr">
        <is>
          <t>고대홍대 매년 공실X 수익율 좋은 다가구</t>
        </is>
      </c>
      <c r="P431" s="6">
        <f>HYPERLINK("https://fin.land.naver.com/articles/2653790098", "매물Link")</f>
        <v/>
      </c>
      <c r="Q431" s="6">
        <f>HYPERLINK("https://map.naver.com/p/search/조치원읍 신안리 387-5", "지도Link")</f>
        <v/>
      </c>
      <c r="R431" s="6">
        <f>HYPERLINK("http://www.eum.go.kr/web/ar/lu/luLandDet.jsp?pnu=3611025032103870005&amp;isNoScr=script&amp;mode=search", "토지이음")</f>
        <v/>
      </c>
      <c r="S431" s="3" t="inlineStr">
        <is>
          <t>무지개</t>
        </is>
      </c>
      <c r="T431" s="4" t="n">
        <v>1</v>
      </c>
      <c r="U431" s="5" t="n">
        <v>182.9</v>
      </c>
      <c r="V431" s="4" t="n">
        <v>351</v>
      </c>
      <c r="W431" s="3" t="inlineStr">
        <is>
          <t>지정되지않음</t>
        </is>
      </c>
      <c r="X431" s="3" t="inlineStr">
        <is>
          <t>다세대</t>
        </is>
      </c>
      <c r="Y431" s="3" t="inlineStr">
        <is>
          <t>평지</t>
        </is>
      </c>
      <c r="Z431" s="3" t="inlineStr">
        <is>
          <t>사다리형</t>
        </is>
      </c>
      <c r="AA431" s="3" t="inlineStr">
        <is>
          <t>세로한면(불)</t>
        </is>
      </c>
    </row>
    <row r="432">
      <c r="A432" s="3" t="inlineStr">
        <is>
          <t>조치원읍 신안리 389-8</t>
        </is>
      </c>
      <c r="B432" s="3" t="inlineStr">
        <is>
          <t>제2종일반주거지역</t>
        </is>
      </c>
      <c r="C432" s="3" t="inlineStr">
        <is>
          <t>대</t>
        </is>
      </c>
      <c r="D432" s="3" t="inlineStr">
        <is>
          <t>1</t>
        </is>
      </c>
      <c r="E432" s="3" t="inlineStr">
        <is>
          <t>일반원룸</t>
        </is>
      </c>
      <c r="F432" s="3" t="inlineStr">
        <is>
          <t>전세</t>
        </is>
      </c>
      <c r="G432" s="4" t="n">
        <v>4500</v>
      </c>
      <c r="H432" s="4" t="n">
        <v>0</v>
      </c>
      <c r="I432" s="4" t="n">
        <v>25</v>
      </c>
      <c r="J432" s="4" t="n">
        <v>8</v>
      </c>
      <c r="K432" s="5" t="n">
        <v>562.5</v>
      </c>
      <c r="L432" s="4" t="n">
        <v>25</v>
      </c>
      <c r="M432" s="4" t="n">
        <v>8</v>
      </c>
      <c r="N432" s="5" t="n">
        <v>562.5</v>
      </c>
      <c r="O432" s="3" t="inlineStr">
        <is>
          <t>공과금 모두 포함하여 1달 15만원 추가비용없음</t>
        </is>
      </c>
      <c r="P432" s="6">
        <f>HYPERLINK("https://fin.land.naver.com/articles/2653252633", "매물Link")</f>
        <v/>
      </c>
      <c r="Q432" s="6">
        <f>HYPERLINK("https://map.naver.com/p/search/조치원읍 신안리 389-8", "지도Link")</f>
        <v/>
      </c>
      <c r="R432" s="6">
        <f>HYPERLINK("http://www.eum.go.kr/web/ar/lu/luLandDet.jsp?pnu=3611025032103890008&amp;isNoScr=script&amp;mode=search", "토지이음")</f>
        <v/>
      </c>
      <c r="S432" s="3" t="inlineStr">
        <is>
          <t>부자터</t>
        </is>
      </c>
      <c r="T432" s="4" t="n">
        <v>1</v>
      </c>
      <c r="U432" s="5" t="n">
        <v>363.6</v>
      </c>
      <c r="V432" s="4" t="n">
        <v>294</v>
      </c>
      <c r="W432" s="3" t="inlineStr">
        <is>
          <t>지정되지않음</t>
        </is>
      </c>
      <c r="X432" s="3" t="inlineStr">
        <is>
          <t>주상용</t>
        </is>
      </c>
      <c r="Y432" s="3" t="inlineStr">
        <is>
          <t>평지</t>
        </is>
      </c>
      <c r="Z432" s="3" t="inlineStr">
        <is>
          <t>사다리형</t>
        </is>
      </c>
      <c r="AA432" s="3" t="inlineStr">
        <is>
          <t>중로한면</t>
        </is>
      </c>
    </row>
    <row r="433">
      <c r="A433" s="3" t="inlineStr">
        <is>
          <t>조치원읍 신안리 391-1</t>
        </is>
      </c>
      <c r="B433" s="3" t="inlineStr">
        <is>
          <t>제2종일반주거지역</t>
        </is>
      </c>
      <c r="C433" s="3" t="inlineStr">
        <is>
          <t>대</t>
        </is>
      </c>
      <c r="D433" s="3" t="inlineStr">
        <is>
          <t>1</t>
        </is>
      </c>
      <c r="E433" s="3" t="inlineStr">
        <is>
          <t>다가구</t>
        </is>
      </c>
      <c r="F433" s="3" t="inlineStr">
        <is>
          <t>월세</t>
        </is>
      </c>
      <c r="G433" s="4" t="n">
        <v>50</v>
      </c>
      <c r="H433" s="4" t="n">
        <v>27</v>
      </c>
      <c r="I433" s="4" t="n">
        <v>28</v>
      </c>
      <c r="J433" s="4" t="n">
        <v>8</v>
      </c>
      <c r="K433" s="5" t="n">
        <v>3.4</v>
      </c>
      <c r="L433" s="4" t="n">
        <v>28</v>
      </c>
      <c r="M433" s="4" t="n">
        <v>8</v>
      </c>
      <c r="N433" s="5" t="n">
        <v>3.4</v>
      </c>
      <c r="O433" s="3" t="inlineStr">
        <is>
          <t>넒은 원룸이며, 고려대학교, 홍익대학교 옆에 위치하여 교통 편리</t>
        </is>
      </c>
      <c r="P433" s="6">
        <f>HYPERLINK("https://fin.land.naver.com/articles/2651502820", "매물Link")</f>
        <v/>
      </c>
      <c r="Q433" s="6">
        <f>HYPERLINK("https://map.naver.com/p/search/조치원읍 신안리 391-1", "지도Link")</f>
        <v/>
      </c>
      <c r="R433" s="6">
        <f>HYPERLINK("http://www.eum.go.kr/web/ar/lu/luLandDet.jsp?pnu=3611025032103910001&amp;isNoScr=script&amp;mode=search", "토지이음")</f>
        <v/>
      </c>
      <c r="S433" s="3" t="inlineStr">
        <is>
          <t>세종베스트</t>
        </is>
      </c>
      <c r="T433" s="4" t="n">
        <v>1</v>
      </c>
      <c r="U433" s="5" t="n">
        <v>271.1</v>
      </c>
      <c r="V433" s="4" t="n">
        <v>315</v>
      </c>
      <c r="W433" s="3" t="inlineStr">
        <is>
          <t>지정되지않음</t>
        </is>
      </c>
      <c r="X433" s="3" t="inlineStr">
        <is>
          <t>주상용</t>
        </is>
      </c>
      <c r="Y433" s="3" t="inlineStr">
        <is>
          <t>평지</t>
        </is>
      </c>
      <c r="Z433" s="3" t="inlineStr">
        <is>
          <t>부정형</t>
        </is>
      </c>
      <c r="AA433" s="3" t="inlineStr">
        <is>
          <t>세로각지(가)</t>
        </is>
      </c>
    </row>
    <row r="434">
      <c r="A434" s="3" t="inlineStr">
        <is>
          <t>조치원읍 신안리 393-12</t>
        </is>
      </c>
      <c r="B434" s="3" t="inlineStr">
        <is>
          <t>제2종일반주거지역</t>
        </is>
      </c>
      <c r="C434" s="3" t="inlineStr">
        <is>
          <t>대</t>
        </is>
      </c>
      <c r="D434" s="3" t="inlineStr">
        <is>
          <t>1</t>
        </is>
      </c>
      <c r="E434" s="3" t="inlineStr">
        <is>
          <t>일반원룸</t>
        </is>
      </c>
      <c r="F434" s="3" t="inlineStr">
        <is>
          <t>월세</t>
        </is>
      </c>
      <c r="G434" s="4" t="n">
        <v>30</v>
      </c>
      <c r="H434" s="4" t="n">
        <v>38</v>
      </c>
      <c r="I434" s="4" t="n">
        <v>0</v>
      </c>
      <c r="J434" s="4" t="n">
        <v>0</v>
      </c>
      <c r="K434" s="5" t="n">
        <v>0</v>
      </c>
      <c r="L434" s="4" t="n">
        <v>13</v>
      </c>
      <c r="M434" s="4" t="n">
        <v>4</v>
      </c>
      <c r="N434" s="5" t="n">
        <v>9.5</v>
      </c>
      <c r="O434" s="3" t="inlineStr">
        <is>
          <t>출퇴근용으로 거주하기 좋은 저렴한 원룸단기가능모든공과금포함</t>
        </is>
      </c>
      <c r="P434" s="6">
        <f>HYPERLINK("https://fin.land.naver.com/articles/2653790476", "매물Link")</f>
        <v/>
      </c>
      <c r="Q434" s="6">
        <f>HYPERLINK("https://map.naver.com/p/search/조치원읍 신안리 393-12", "지도Link")</f>
        <v/>
      </c>
      <c r="R434" s="6">
        <f>HYPERLINK("http://www.eum.go.kr/web/ar/lu/luLandDet.jsp?pnu=3611025032103930012&amp;isNoScr=script&amp;mode=search", "토지이음")</f>
        <v/>
      </c>
      <c r="S434" s="3" t="inlineStr">
        <is>
          <t>무지개</t>
        </is>
      </c>
      <c r="T434" s="4" t="n">
        <v>1</v>
      </c>
      <c r="U434" s="5" t="n">
        <v>202.2</v>
      </c>
      <c r="V434" s="4" t="n">
        <v>319</v>
      </c>
      <c r="W434" s="3" t="inlineStr">
        <is>
          <t>지정되지않음</t>
        </is>
      </c>
      <c r="X434" s="3" t="inlineStr">
        <is>
          <t>다세대</t>
        </is>
      </c>
      <c r="Y434" s="3" t="inlineStr">
        <is>
          <t>평지</t>
        </is>
      </c>
      <c r="Z434" s="3" t="inlineStr">
        <is>
          <t>가로장방</t>
        </is>
      </c>
      <c r="AA434" s="3" t="inlineStr">
        <is>
          <t>세로한면(가)</t>
        </is>
      </c>
    </row>
    <row r="435">
      <c r="A435" s="3" t="inlineStr">
        <is>
          <t>조치원읍 신안리 393-19</t>
        </is>
      </c>
      <c r="B435" s="3" t="inlineStr">
        <is>
          <t>제2종일반주거지역</t>
        </is>
      </c>
      <c r="C435" s="3" t="inlineStr">
        <is>
          <t>대</t>
        </is>
      </c>
      <c r="D435" s="3" t="inlineStr">
        <is>
          <t>2</t>
        </is>
      </c>
      <c r="E435" s="3" t="inlineStr">
        <is>
          <t>단독</t>
        </is>
      </c>
      <c r="F435" s="3" t="inlineStr">
        <is>
          <t>월세</t>
        </is>
      </c>
      <c r="G435" s="4" t="n">
        <v>7000</v>
      </c>
      <c r="H435" s="4" t="n">
        <v>30</v>
      </c>
      <c r="I435" s="4" t="n">
        <v>0</v>
      </c>
      <c r="J435" s="4" t="n">
        <v>0</v>
      </c>
      <c r="K435" s="5" t="n">
        <v>0</v>
      </c>
      <c r="L435" s="4" t="n">
        <v>60</v>
      </c>
      <c r="M435" s="4" t="n">
        <v>18</v>
      </c>
      <c r="N435" s="5" t="n">
        <v>1.7</v>
      </c>
      <c r="O435" s="3" t="inlineStr">
        <is>
          <t>LH 대출 가능 합니다. 투룸</t>
        </is>
      </c>
      <c r="P435" s="6">
        <f>HYPERLINK("https://fin.land.naver.com/articles/2652808262", "매물Link")</f>
        <v/>
      </c>
      <c r="Q435" s="6">
        <f>HYPERLINK("https://map.naver.com/p/search/조치원읍 신안리 393-19", "지도Link")</f>
        <v/>
      </c>
      <c r="R435" s="6">
        <f>HYPERLINK("http://www.eum.go.kr/web/ar/lu/luLandDet.jsp?pnu=3611025032103930019&amp;isNoScr=script&amp;mode=search", "토지이음")</f>
        <v/>
      </c>
      <c r="S435" s="3" t="inlineStr">
        <is>
          <t>지성</t>
        </is>
      </c>
      <c r="T435" s="4" t="n">
        <v>1</v>
      </c>
      <c r="U435" s="5" t="n">
        <v>200.1</v>
      </c>
      <c r="V435" s="4" t="n">
        <v>166</v>
      </c>
      <c r="W435" s="3" t="inlineStr">
        <is>
          <t>지정되지않음</t>
        </is>
      </c>
      <c r="X435" s="3" t="inlineStr">
        <is>
          <t>단독</t>
        </is>
      </c>
      <c r="Y435" s="3" t="inlineStr">
        <is>
          <t>평지</t>
        </is>
      </c>
      <c r="Z435" s="3" t="inlineStr">
        <is>
          <t>사다리형</t>
        </is>
      </c>
      <c r="AA435" s="3" t="inlineStr">
        <is>
          <t>세로한면(가)</t>
        </is>
      </c>
    </row>
    <row r="436">
      <c r="A436" s="3" t="inlineStr">
        <is>
          <t>조치원읍 신안리 394-12</t>
        </is>
      </c>
      <c r="B436" s="3" t="inlineStr">
        <is>
          <t>제1종일반주거지역</t>
        </is>
      </c>
      <c r="C436" s="3" t="inlineStr">
        <is>
          <t>대</t>
        </is>
      </c>
      <c r="D436" s="3" t="inlineStr">
        <is>
          <t>0</t>
        </is>
      </c>
      <c r="E436" s="3" t="inlineStr">
        <is>
          <t>일반원룸</t>
        </is>
      </c>
      <c r="F436" s="3" t="inlineStr">
        <is>
          <t>월세</t>
        </is>
      </c>
      <c r="G436" s="4" t="n">
        <v>300</v>
      </c>
      <c r="H436" s="4" t="n">
        <v>30</v>
      </c>
      <c r="I436" s="4" t="n">
        <v>25</v>
      </c>
      <c r="J436" s="4" t="n">
        <v>8</v>
      </c>
      <c r="K436" s="5" t="n">
        <v>3.8</v>
      </c>
      <c r="L436" s="4" t="n">
        <v>25</v>
      </c>
      <c r="M436" s="4" t="n">
        <v>8</v>
      </c>
      <c r="N436" s="5" t="n">
        <v>3.8</v>
      </c>
      <c r="O436" s="3" t="inlineStr">
        <is>
          <t>음식점, 편의점, 버스정류장도 가까운 곳에 있는 집</t>
        </is>
      </c>
      <c r="P436" s="6">
        <f>HYPERLINK("https://fin.land.naver.com/articles/2649956802", "매물Link")</f>
        <v/>
      </c>
      <c r="Q436" s="6">
        <f>HYPERLINK("https://map.naver.com/p/search/조치원읍 신안리 394-12", "지도Link")</f>
        <v/>
      </c>
      <c r="R436" s="6">
        <f>HYPERLINK("http://www.eum.go.kr/web/ar/lu/luLandDet.jsp?pnu=3611025032103940012&amp;isNoScr=script&amp;mode=search", "토지이음")</f>
        <v/>
      </c>
      <c r="S436" s="3" t="inlineStr">
        <is>
          <t>부자터</t>
        </is>
      </c>
      <c r="T436" s="4" t="n">
        <v>1</v>
      </c>
      <c r="U436" s="5" t="n">
        <v>302.3</v>
      </c>
      <c r="V436" s="4" t="n">
        <v>222</v>
      </c>
      <c r="W436" s="3" t="inlineStr">
        <is>
          <t>지정되지않음</t>
        </is>
      </c>
      <c r="X436" s="3" t="inlineStr">
        <is>
          <t>단독</t>
        </is>
      </c>
      <c r="Y436" s="3" t="inlineStr">
        <is>
          <t>평지</t>
        </is>
      </c>
      <c r="Z436" s="3" t="inlineStr">
        <is>
          <t>부정형</t>
        </is>
      </c>
      <c r="AA436" s="3" t="inlineStr">
        <is>
          <t>중로한면</t>
        </is>
      </c>
    </row>
    <row r="437">
      <c r="A437" s="3" t="inlineStr">
        <is>
          <t>조치원읍 신안리 394-32</t>
        </is>
      </c>
      <c r="B437" s="3" t="inlineStr">
        <is>
          <t>제1종일반주거지역</t>
        </is>
      </c>
      <c r="C437" s="3" t="inlineStr">
        <is>
          <t>대</t>
        </is>
      </c>
      <c r="D437" s="3" t="inlineStr">
        <is>
          <t>2</t>
        </is>
      </c>
      <c r="E437" s="3" t="inlineStr">
        <is>
          <t>일반원룸</t>
        </is>
      </c>
      <c r="F437" s="3" t="inlineStr">
        <is>
          <t>월세</t>
        </is>
      </c>
      <c r="G437" s="4" t="n">
        <v>300</v>
      </c>
      <c r="H437" s="4" t="n">
        <v>30</v>
      </c>
      <c r="I437" s="4" t="n">
        <v>39</v>
      </c>
      <c r="J437" s="4" t="n">
        <v>12</v>
      </c>
      <c r="K437" s="5" t="n">
        <v>2.5</v>
      </c>
      <c r="L437" s="4" t="n">
        <v>23</v>
      </c>
      <c r="M437" s="4" t="n">
        <v>7</v>
      </c>
      <c r="N437" s="5" t="n">
        <v>4.3</v>
      </c>
      <c r="O437" s="3" t="inlineStr">
        <is>
          <t>반짝O신축급 귀한원룸O고홍대추천O올풀옵션완비</t>
        </is>
      </c>
      <c r="P437" s="6">
        <f>HYPERLINK("https://fin.land.naver.com/articles/2654030656", "매물Link")</f>
        <v/>
      </c>
      <c r="Q437" s="6">
        <f>HYPERLINK("https://map.naver.com/p/search/조치원읍 신안리 394-32", "지도Link")</f>
        <v/>
      </c>
      <c r="R437" s="6">
        <f>HYPERLINK("http://www.eum.go.kr/web/ar/lu/luLandDet.jsp?pnu=3611025032103940032&amp;isNoScr=script&amp;mode=search", "토지이음")</f>
        <v/>
      </c>
      <c r="S437" s="3" t="inlineStr">
        <is>
          <t>척척</t>
        </is>
      </c>
      <c r="T437" s="4" t="n">
        <v>1</v>
      </c>
      <c r="U437" s="5" t="n">
        <v>227.9</v>
      </c>
      <c r="V437" s="4" t="n">
        <v>208</v>
      </c>
      <c r="W437" s="3" t="inlineStr">
        <is>
          <t>지정되지않음</t>
        </is>
      </c>
      <c r="X437" s="3" t="inlineStr">
        <is>
          <t>단독</t>
        </is>
      </c>
      <c r="Y437" s="3" t="inlineStr">
        <is>
          <t>평지</t>
        </is>
      </c>
      <c r="Z437" s="3" t="inlineStr">
        <is>
          <t>부정형</t>
        </is>
      </c>
      <c r="AA437" s="3" t="inlineStr">
        <is>
          <t>세로한면(불)</t>
        </is>
      </c>
    </row>
    <row r="438">
      <c r="A438" s="3" t="inlineStr">
        <is>
          <t>조치원읍 신안리 394-35</t>
        </is>
      </c>
      <c r="B438" s="3" t="inlineStr">
        <is>
          <t>제1종일반주거지역</t>
        </is>
      </c>
      <c r="C438" s="3" t="inlineStr">
        <is>
          <t>대</t>
        </is>
      </c>
      <c r="D438" s="3" t="inlineStr">
        <is>
          <t>3</t>
        </is>
      </c>
      <c r="E438" s="3" t="inlineStr">
        <is>
          <t>단독</t>
        </is>
      </c>
      <c r="F438" s="3" t="inlineStr">
        <is>
          <t>매매</t>
        </is>
      </c>
      <c r="G438" s="4" t="n">
        <v>90000</v>
      </c>
      <c r="H438" s="4" t="n">
        <v>0</v>
      </c>
      <c r="I438" s="4" t="n">
        <v>311</v>
      </c>
      <c r="J438" s="4" t="n">
        <v>94</v>
      </c>
      <c r="K438" s="5" t="n">
        <v>957.4</v>
      </c>
      <c r="L438" s="4" t="n">
        <v>328</v>
      </c>
      <c r="M438" s="4" t="n">
        <v>99</v>
      </c>
      <c r="N438" s="5" t="n">
        <v>909.1</v>
      </c>
      <c r="O438" s="3" t="inlineStr">
        <is>
          <t>수익률 10 년수익 5,145만원 원룸 통매매</t>
        </is>
      </c>
      <c r="P438" s="6">
        <f>HYPERLINK("https://fin.land.naver.com/articles/2653931632", "매물Link")</f>
        <v/>
      </c>
      <c r="Q438" s="6">
        <f>HYPERLINK("https://map.naver.com/p/search/조치원읍 신안리 394-35", "지도Link")</f>
        <v/>
      </c>
      <c r="R438" s="6">
        <f>HYPERLINK("http://www.eum.go.kr/web/ar/lu/luLandDet.jsp?pnu=3611025032103940035&amp;isNoScr=script&amp;mode=search", "토지이음")</f>
        <v/>
      </c>
      <c r="S438" s="3" t="inlineStr">
        <is>
          <t>고래</t>
        </is>
      </c>
      <c r="T438" s="4" t="n">
        <v>1</v>
      </c>
      <c r="U438" s="5" t="n">
        <v>235.1</v>
      </c>
      <c r="V438" s="4" t="n">
        <v>311</v>
      </c>
      <c r="W438" s="3" t="inlineStr">
        <is>
          <t>지정되지않음</t>
        </is>
      </c>
      <c r="X438" s="3" t="inlineStr">
        <is>
          <t>다세대</t>
        </is>
      </c>
      <c r="Y438" s="3" t="inlineStr">
        <is>
          <t>평지</t>
        </is>
      </c>
      <c r="Z438" s="3" t="inlineStr">
        <is>
          <t>사다리형</t>
        </is>
      </c>
      <c r="AA438" s="3" t="inlineStr">
        <is>
          <t>세로한면(불)</t>
        </is>
      </c>
    </row>
    <row r="439">
      <c r="A439" s="3" t="inlineStr">
        <is>
          <t>조치원읍 신안리 394-38</t>
        </is>
      </c>
      <c r="B439" s="3" t="inlineStr">
        <is>
          <t>제1종일반주거지역</t>
        </is>
      </c>
      <c r="C439" s="3" t="inlineStr">
        <is>
          <t>대</t>
        </is>
      </c>
      <c r="D439" s="3" t="inlineStr">
        <is>
          <t>3</t>
        </is>
      </c>
      <c r="E439" s="3" t="inlineStr">
        <is>
          <t>다가구</t>
        </is>
      </c>
      <c r="F439" s="3" t="inlineStr">
        <is>
          <t>매매</t>
        </is>
      </c>
      <c r="G439" s="4" t="n">
        <v>100000</v>
      </c>
      <c r="H439" s="4" t="n">
        <v>0</v>
      </c>
      <c r="I439" s="4" t="n">
        <v>289</v>
      </c>
      <c r="J439" s="4" t="n">
        <v>87</v>
      </c>
      <c r="K439" s="5" t="n">
        <v>1149.4</v>
      </c>
      <c r="L439" s="4" t="n">
        <v>329</v>
      </c>
      <c r="M439" s="4" t="n">
        <v>100</v>
      </c>
      <c r="N439" s="5" t="n">
        <v>1000</v>
      </c>
      <c r="O439" s="3" t="inlineStr">
        <is>
          <t>인근 홍익대 위치로 공실없이 연세로 운영되며 수익률10프로 이상</t>
        </is>
      </c>
      <c r="P439" s="6">
        <f>HYPERLINK("https://fin.land.naver.com/articles/2651069625", "매물Link")</f>
        <v/>
      </c>
      <c r="Q439" s="6">
        <f>HYPERLINK("https://map.naver.com/p/search/조치원읍 신안리 394-38", "지도Link")</f>
        <v/>
      </c>
      <c r="R439" s="6">
        <f>HYPERLINK("http://www.eum.go.kr/web/ar/lu/luLandDet.jsp?pnu=3611025032103940038&amp;isNoScr=script&amp;mode=search", "토지이음")</f>
        <v/>
      </c>
      <c r="S439" s="3" t="inlineStr">
        <is>
          <t>한림신화</t>
        </is>
      </c>
      <c r="T439" s="4" t="n">
        <v>2</v>
      </c>
      <c r="U439" s="5" t="n">
        <v>227.9</v>
      </c>
      <c r="V439" s="4" t="n">
        <v>289</v>
      </c>
      <c r="W439" s="3" t="inlineStr">
        <is>
          <t>지정되지않음</t>
        </is>
      </c>
      <c r="X439" s="3" t="inlineStr">
        <is>
          <t>단독</t>
        </is>
      </c>
      <c r="Y439" s="3" t="inlineStr">
        <is>
          <t>평지</t>
        </is>
      </c>
      <c r="Z439" s="3" t="inlineStr">
        <is>
          <t>자루형</t>
        </is>
      </c>
      <c r="AA439" s="3" t="inlineStr">
        <is>
          <t>세로한면(불)</t>
        </is>
      </c>
    </row>
    <row r="440">
      <c r="A440" s="3" t="inlineStr">
        <is>
          <t>조치원읍 신안리 394-38</t>
        </is>
      </c>
      <c r="B440" s="3" t="inlineStr">
        <is>
          <t>제1종일반주거지역</t>
        </is>
      </c>
      <c r="C440" s="3" t="inlineStr">
        <is>
          <t>대</t>
        </is>
      </c>
      <c r="D440" s="3" t="inlineStr">
        <is>
          <t>1</t>
        </is>
      </c>
      <c r="E440" s="3" t="inlineStr">
        <is>
          <t>일반원룸</t>
        </is>
      </c>
      <c r="F440" s="3" t="inlineStr">
        <is>
          <t>전세</t>
        </is>
      </c>
      <c r="G440" s="4" t="n">
        <v>5000</v>
      </c>
      <c r="H440" s="4" t="n">
        <v>0</v>
      </c>
      <c r="I440" s="4" t="n">
        <v>20</v>
      </c>
      <c r="J440" s="4" t="n">
        <v>6</v>
      </c>
      <c r="K440" s="5" t="n">
        <v>833.3</v>
      </c>
      <c r="L440" s="4" t="n">
        <v>20</v>
      </c>
      <c r="M440" s="4" t="n">
        <v>6</v>
      </c>
      <c r="N440" s="5" t="n">
        <v>833.3</v>
      </c>
      <c r="O440" s="3" t="inlineStr">
        <is>
          <t>귀한 원룸 전세매물</t>
        </is>
      </c>
      <c r="P440" s="6">
        <f>HYPERLINK("https://fin.land.naver.com/articles/2649956631", "매물Link")</f>
        <v/>
      </c>
      <c r="Q440" s="6">
        <f>HYPERLINK("https://map.naver.com/p/search/조치원읍 신안리 394-38", "지도Link")</f>
        <v/>
      </c>
      <c r="R440" s="6">
        <f>HYPERLINK("http://www.eum.go.kr/web/ar/lu/luLandDet.jsp?pnu=3611025032103940038&amp;isNoScr=script&amp;mode=search", "토지이음")</f>
        <v/>
      </c>
      <c r="S440" s="3" t="inlineStr">
        <is>
          <t>부자터</t>
        </is>
      </c>
      <c r="T440" s="4" t="n">
        <v>1</v>
      </c>
      <c r="U440" s="5" t="n">
        <v>227.9</v>
      </c>
      <c r="V440" s="4" t="n">
        <v>289</v>
      </c>
      <c r="W440" s="3" t="inlineStr">
        <is>
          <t>지정되지않음</t>
        </is>
      </c>
      <c r="X440" s="3" t="inlineStr">
        <is>
          <t>단독</t>
        </is>
      </c>
      <c r="Y440" s="3" t="inlineStr">
        <is>
          <t>평지</t>
        </is>
      </c>
      <c r="Z440" s="3" t="inlineStr">
        <is>
          <t>자루형</t>
        </is>
      </c>
      <c r="AA440" s="3" t="inlineStr">
        <is>
          <t>세로한면(불)</t>
        </is>
      </c>
    </row>
    <row r="441">
      <c r="A441" s="3" t="inlineStr">
        <is>
          <t>조치원읍 신안리 394-8</t>
        </is>
      </c>
      <c r="B441" s="3" t="inlineStr">
        <is>
          <t>제1종일반주거지역</t>
        </is>
      </c>
      <c r="C441" s="3" t="inlineStr">
        <is>
          <t>대</t>
        </is>
      </c>
      <c r="D441" s="3" t="inlineStr">
        <is>
          <t>3</t>
        </is>
      </c>
      <c r="E441" s="3" t="inlineStr">
        <is>
          <t>다가구</t>
        </is>
      </c>
      <c r="F441" s="3" t="inlineStr">
        <is>
          <t>매매</t>
        </is>
      </c>
      <c r="G441" s="4" t="n">
        <v>97000</v>
      </c>
      <c r="H441" s="4" t="n">
        <v>0</v>
      </c>
      <c r="I441" s="4" t="n">
        <v>251</v>
      </c>
      <c r="J441" s="4" t="n">
        <v>76</v>
      </c>
      <c r="K441" s="5" t="n">
        <v>1276.3</v>
      </c>
      <c r="L441" s="4" t="n">
        <v>329</v>
      </c>
      <c r="M441" s="4" t="n">
        <v>100</v>
      </c>
      <c r="N441" s="5" t="n">
        <v>970</v>
      </c>
      <c r="O441" s="3" t="inlineStr">
        <is>
          <t>수익율 최고 18세대, 연 9.5 프로 수익율,  관리상태 최상급</t>
        </is>
      </c>
      <c r="P441" s="6">
        <f>HYPERLINK("https://fin.land.naver.com/articles/2649567909", "매물Link")</f>
        <v/>
      </c>
      <c r="Q441" s="6">
        <f>HYPERLINK("https://map.naver.com/p/search/조치원읍 신안리 394-8", "지도Link")</f>
        <v/>
      </c>
      <c r="R441" s="6">
        <f>HYPERLINK("http://www.eum.go.kr/web/ar/lu/luLandDet.jsp?pnu=3611025032103940008&amp;isNoScr=script&amp;mode=search", "토지이음")</f>
        <v/>
      </c>
      <c r="S441" s="3" t="inlineStr">
        <is>
          <t>기흥역미래</t>
        </is>
      </c>
      <c r="T441" s="4" t="n">
        <v>1</v>
      </c>
      <c r="U441" s="5" t="n">
        <v>255.5</v>
      </c>
      <c r="V441" s="4" t="n">
        <v>251</v>
      </c>
      <c r="W441" s="3" t="inlineStr">
        <is>
          <t>지정되지않음</t>
        </is>
      </c>
      <c r="X441" s="3" t="inlineStr">
        <is>
          <t>단독</t>
        </is>
      </c>
      <c r="Y441" s="3" t="inlineStr">
        <is>
          <t>평지</t>
        </is>
      </c>
      <c r="Z441" s="3" t="inlineStr">
        <is>
          <t>사다리형</t>
        </is>
      </c>
      <c r="AA441" s="3" t="inlineStr">
        <is>
          <t>세로한면(가)</t>
        </is>
      </c>
    </row>
    <row r="442">
      <c r="A442" s="3" t="inlineStr">
        <is>
          <t>조치원읍 신안리 394-8</t>
        </is>
      </c>
      <c r="B442" s="3" t="inlineStr">
        <is>
          <t>제1종일반주거지역</t>
        </is>
      </c>
      <c r="C442" s="3" t="inlineStr">
        <is>
          <t>대</t>
        </is>
      </c>
      <c r="D442" s="3" t="inlineStr">
        <is>
          <t>3</t>
        </is>
      </c>
      <c r="E442" s="3" t="inlineStr">
        <is>
          <t>다가구</t>
        </is>
      </c>
      <c r="F442" s="3" t="inlineStr">
        <is>
          <t>월세</t>
        </is>
      </c>
      <c r="G442" s="4" t="n">
        <v>200</v>
      </c>
      <c r="H442" s="4" t="n">
        <v>31</v>
      </c>
      <c r="I442" s="4" t="n">
        <v>26</v>
      </c>
      <c r="J442" s="4" t="n">
        <v>8</v>
      </c>
      <c r="K442" s="5" t="n">
        <v>3.9</v>
      </c>
      <c r="L442" s="4" t="n">
        <v>26</v>
      </c>
      <c r="M442" s="4" t="n">
        <v>8</v>
      </c>
      <c r="N442" s="5" t="n">
        <v>3.9</v>
      </c>
      <c r="O442" s="3" t="inlineStr">
        <is>
          <t>깨끗한 풀옵션  원룸이며, 고려대학교와 홍익대학교와 가까움</t>
        </is>
      </c>
      <c r="P442" s="6">
        <f>HYPERLINK("https://fin.land.naver.com/articles/2651498722", "매물Link")</f>
        <v/>
      </c>
      <c r="Q442" s="6">
        <f>HYPERLINK("https://map.naver.com/p/search/조치원읍 신안리 394-8", "지도Link")</f>
        <v/>
      </c>
      <c r="R442" s="6">
        <f>HYPERLINK("http://www.eum.go.kr/web/ar/lu/luLandDet.jsp?pnu=3611025032103940008&amp;isNoScr=script&amp;mode=search", "토지이음")</f>
        <v/>
      </c>
      <c r="S442" s="3" t="inlineStr">
        <is>
          <t>세종베스트</t>
        </is>
      </c>
      <c r="T442" s="4" t="n">
        <v>1</v>
      </c>
      <c r="U442" s="5" t="n">
        <v>255.5</v>
      </c>
      <c r="V442" s="4" t="n">
        <v>251</v>
      </c>
      <c r="W442" s="3" t="inlineStr">
        <is>
          <t>지정되지않음</t>
        </is>
      </c>
      <c r="X442" s="3" t="inlineStr">
        <is>
          <t>단독</t>
        </is>
      </c>
      <c r="Y442" s="3" t="inlineStr">
        <is>
          <t>평지</t>
        </is>
      </c>
      <c r="Z442" s="3" t="inlineStr">
        <is>
          <t>사다리형</t>
        </is>
      </c>
      <c r="AA442" s="3" t="inlineStr">
        <is>
          <t>세로한면(가)</t>
        </is>
      </c>
    </row>
    <row r="443">
      <c r="A443" s="3" t="inlineStr">
        <is>
          <t>조치원읍 신안리 432-15</t>
        </is>
      </c>
      <c r="B443" s="3" t="inlineStr">
        <is>
          <t>제2종일반주거지역</t>
        </is>
      </c>
      <c r="C443" s="3" t="inlineStr">
        <is>
          <t>대</t>
        </is>
      </c>
      <c r="D443" s="3" t="inlineStr">
        <is>
          <t>0</t>
        </is>
      </c>
      <c r="E443" s="3" t="inlineStr">
        <is>
          <t>일반원룸</t>
        </is>
      </c>
      <c r="F443" s="3" t="inlineStr">
        <is>
          <t>전세</t>
        </is>
      </c>
      <c r="G443" s="4" t="n">
        <v>4000</v>
      </c>
      <c r="H443" s="4" t="n">
        <v>0</v>
      </c>
      <c r="I443" s="4" t="n">
        <v>20</v>
      </c>
      <c r="J443" s="4" t="n">
        <v>6</v>
      </c>
      <c r="K443" s="5" t="n">
        <v>666.7</v>
      </c>
      <c r="L443" s="4" t="n">
        <v>20</v>
      </c>
      <c r="M443" s="4" t="n">
        <v>6</v>
      </c>
      <c r="N443" s="5" t="n">
        <v>666.7</v>
      </c>
      <c r="O443" s="3" t="inlineStr">
        <is>
          <t>즉시입주</t>
        </is>
      </c>
      <c r="P443" s="6">
        <f>HYPERLINK("https://fin.land.naver.com/articles/2649956345", "매물Link")</f>
        <v/>
      </c>
      <c r="Q443" s="6">
        <f>HYPERLINK("https://map.naver.com/p/search/조치원읍 신안리 432-15", "지도Link")</f>
        <v/>
      </c>
      <c r="R443" s="6">
        <f>HYPERLINK("http://www.eum.go.kr/web/ar/lu/luLandDet.jsp?pnu=3611025032104320015&amp;isNoScr=script&amp;mode=search", "토지이음")</f>
        <v/>
      </c>
      <c r="S443" s="3" t="inlineStr">
        <is>
          <t>부자터</t>
        </is>
      </c>
      <c r="T443" s="4" t="n">
        <v>1</v>
      </c>
      <c r="U443" s="5" t="n">
        <v>231.7</v>
      </c>
      <c r="V443" s="4" t="n">
        <v>222</v>
      </c>
      <c r="W443" s="3" t="inlineStr">
        <is>
          <t>지정되지않음</t>
        </is>
      </c>
      <c r="X443" s="3" t="inlineStr">
        <is>
          <t>단독</t>
        </is>
      </c>
      <c r="Y443" s="3" t="inlineStr">
        <is>
          <t>평지</t>
        </is>
      </c>
      <c r="Z443" s="3" t="inlineStr">
        <is>
          <t>가로장방</t>
        </is>
      </c>
      <c r="AA443" s="3" t="inlineStr">
        <is>
          <t>세로한면(가)</t>
        </is>
      </c>
    </row>
    <row r="444">
      <c r="A444" s="3" t="inlineStr">
        <is>
          <t>조치원읍 신안리 432-17</t>
        </is>
      </c>
      <c r="B444" s="3" t="inlineStr">
        <is>
          <t>제2종일반주거지역</t>
        </is>
      </c>
      <c r="C444" s="3" t="inlineStr">
        <is>
          <t>대</t>
        </is>
      </c>
      <c r="D444" s="3" t="inlineStr">
        <is>
          <t>3</t>
        </is>
      </c>
      <c r="E444" s="3" t="inlineStr">
        <is>
          <t>단독</t>
        </is>
      </c>
      <c r="F444" s="3" t="inlineStr">
        <is>
          <t>매매</t>
        </is>
      </c>
      <c r="G444" s="4" t="n">
        <v>95000</v>
      </c>
      <c r="H444" s="4" t="n">
        <v>0</v>
      </c>
      <c r="I444" s="4" t="n">
        <v>222</v>
      </c>
      <c r="J444" s="4" t="n">
        <v>67</v>
      </c>
      <c r="K444" s="5" t="n">
        <v>1417.9</v>
      </c>
      <c r="L444" s="4" t="n">
        <v>283</v>
      </c>
      <c r="M444" s="4" t="n">
        <v>86</v>
      </c>
      <c r="N444" s="5" t="n">
        <v>1104.7</v>
      </c>
      <c r="O444" s="3" t="inlineStr">
        <is>
          <t>L 홍익대5분 O학생선호도1위 O깨끗한건물</t>
        </is>
      </c>
      <c r="P444" s="6">
        <f>HYPERLINK("https://fin.land.naver.com/articles/2650552292", "매물Link")</f>
        <v/>
      </c>
      <c r="Q444" s="6">
        <f>HYPERLINK("https://map.naver.com/p/search/조치원읍 신안리 432-17", "지도Link")</f>
        <v/>
      </c>
      <c r="R444" s="6">
        <f>HYPERLINK("http://www.eum.go.kr/web/ar/lu/luLandDet.jsp?pnu=3611025032104320017&amp;isNoScr=script&amp;mode=search", "토지이음")</f>
        <v/>
      </c>
      <c r="S444" s="3" t="inlineStr">
        <is>
          <t>바다</t>
        </is>
      </c>
      <c r="T444" s="4" t="n">
        <v>1</v>
      </c>
      <c r="U444" s="5" t="n">
        <v>195.5</v>
      </c>
      <c r="V444" s="4" t="n">
        <v>222</v>
      </c>
      <c r="W444" s="3" t="inlineStr">
        <is>
          <t>지정되지않음</t>
        </is>
      </c>
      <c r="X444" s="3" t="inlineStr">
        <is>
          <t>단독</t>
        </is>
      </c>
      <c r="Y444" s="3" t="inlineStr">
        <is>
          <t>완경사</t>
        </is>
      </c>
      <c r="Z444" s="3" t="inlineStr">
        <is>
          <t>부정형</t>
        </is>
      </c>
      <c r="AA444" s="3" t="inlineStr">
        <is>
          <t>세로한면(가)</t>
        </is>
      </c>
    </row>
    <row r="445">
      <c r="A445" s="3" t="inlineStr">
        <is>
          <t>조치원읍 신안리 445-9</t>
        </is>
      </c>
      <c r="B445" s="3" t="inlineStr">
        <is>
          <t>제1종일반주거지역</t>
        </is>
      </c>
      <c r="C445" s="3" t="inlineStr">
        <is>
          <t>대</t>
        </is>
      </c>
      <c r="D445" s="3" t="inlineStr">
        <is>
          <t>3</t>
        </is>
      </c>
      <c r="E445" s="3" t="inlineStr">
        <is>
          <t>다가구</t>
        </is>
      </c>
      <c r="F445" s="3" t="inlineStr">
        <is>
          <t>매매</t>
        </is>
      </c>
      <c r="G445" s="4" t="n">
        <v>49000</v>
      </c>
      <c r="H445" s="4" t="n">
        <v>0</v>
      </c>
      <c r="I445" s="4" t="n">
        <v>268</v>
      </c>
      <c r="J445" s="4" t="n">
        <v>81</v>
      </c>
      <c r="K445" s="5" t="n">
        <v>604.9</v>
      </c>
      <c r="L445" s="4" t="n">
        <v>397</v>
      </c>
      <c r="M445" s="4" t="n">
        <v>120</v>
      </c>
      <c r="N445" s="5" t="n">
        <v>408.3</v>
      </c>
      <c r="O445" s="3" t="inlineStr">
        <is>
          <t>홍익대학교 도보 2분거리, 임대놓기 좋은 위치, 공실없음</t>
        </is>
      </c>
      <c r="P445" s="6">
        <f>HYPERLINK("https://fin.land.naver.com/articles/2650312958", "매물Link")</f>
        <v/>
      </c>
      <c r="Q445" s="6">
        <f>HYPERLINK("https://map.naver.com/p/search/조치원읍 신안리 445-9", "지도Link")</f>
        <v/>
      </c>
      <c r="R445" s="6">
        <f>HYPERLINK("http://www.eum.go.kr/web/ar/lu/luLandDet.jsp?pnu=3611025032104450009&amp;isNoScr=script&amp;mode=search", "토지이음")</f>
        <v/>
      </c>
      <c r="S445" s="3" t="inlineStr">
        <is>
          <t>세종공감</t>
        </is>
      </c>
      <c r="T445" s="4" t="n">
        <v>1</v>
      </c>
      <c r="U445" s="5" t="n">
        <v>217</v>
      </c>
      <c r="V445" s="4" t="n">
        <v>268</v>
      </c>
      <c r="W445" s="3" t="inlineStr">
        <is>
          <t>지정되지않음</t>
        </is>
      </c>
      <c r="X445" s="3" t="inlineStr">
        <is>
          <t>다세대</t>
        </is>
      </c>
      <c r="Y445" s="3" t="inlineStr">
        <is>
          <t>평지</t>
        </is>
      </c>
      <c r="Z445" s="3" t="inlineStr">
        <is>
          <t>사다리형</t>
        </is>
      </c>
      <c r="AA445" s="3" t="inlineStr">
        <is>
          <t>세로한면(가)</t>
        </is>
      </c>
    </row>
    <row r="446">
      <c r="A446" s="3" t="inlineStr">
        <is>
          <t>조치원읍 신안리 445-9</t>
        </is>
      </c>
      <c r="B446" s="3" t="inlineStr">
        <is>
          <t>제1종일반주거지역</t>
        </is>
      </c>
      <c r="C446" s="3" t="inlineStr">
        <is>
          <t>대</t>
        </is>
      </c>
      <c r="D446" s="3" t="inlineStr">
        <is>
          <t>3</t>
        </is>
      </c>
      <c r="E446" s="3" t="inlineStr">
        <is>
          <t>다가구</t>
        </is>
      </c>
      <c r="F446" s="3" t="inlineStr">
        <is>
          <t>매매</t>
        </is>
      </c>
      <c r="G446" s="4" t="n">
        <v>49000</v>
      </c>
      <c r="H446" s="4" t="n">
        <v>0</v>
      </c>
      <c r="I446" s="4" t="n">
        <v>268</v>
      </c>
      <c r="J446" s="4" t="n">
        <v>81</v>
      </c>
      <c r="K446" s="5" t="n">
        <v>604.9</v>
      </c>
      <c r="L446" s="4" t="n">
        <v>397</v>
      </c>
      <c r="M446" s="4" t="n">
        <v>120</v>
      </c>
      <c r="N446" s="5" t="n">
        <v>408.3</v>
      </c>
      <c r="O446" s="3" t="inlineStr">
        <is>
          <t>후문앞. 공실없는 원룸건물. 관리잘됨</t>
        </is>
      </c>
      <c r="P446" s="6">
        <f>HYPERLINK("https://fin.land.naver.com/articles/2650538930", "매물Link")</f>
        <v/>
      </c>
      <c r="Q446" s="6">
        <f>HYPERLINK("https://map.naver.com/p/search/조치원읍 신안리 445-9", "지도Link")</f>
        <v/>
      </c>
      <c r="R446" s="6">
        <f>HYPERLINK("http://www.eum.go.kr/web/ar/lu/luLandDet.jsp?pnu=3611025032104450009&amp;isNoScr=script&amp;mode=search", "토지이음")</f>
        <v/>
      </c>
      <c r="S446" s="3" t="inlineStr">
        <is>
          <t>바다</t>
        </is>
      </c>
      <c r="T446" s="4" t="n">
        <v>1</v>
      </c>
      <c r="U446" s="5" t="n">
        <v>217</v>
      </c>
      <c r="V446" s="4" t="n">
        <v>268</v>
      </c>
      <c r="W446" s="3" t="inlineStr">
        <is>
          <t>지정되지않음</t>
        </is>
      </c>
      <c r="X446" s="3" t="inlineStr">
        <is>
          <t>다세대</t>
        </is>
      </c>
      <c r="Y446" s="3" t="inlineStr">
        <is>
          <t>평지</t>
        </is>
      </c>
      <c r="Z446" s="3" t="inlineStr">
        <is>
          <t>사다리형</t>
        </is>
      </c>
      <c r="AA446" s="3" t="inlineStr">
        <is>
          <t>세로한면(가)</t>
        </is>
      </c>
    </row>
    <row r="447">
      <c r="A447" s="3" t="inlineStr">
        <is>
          <t>조치원읍 신흥리 106</t>
        </is>
      </c>
      <c r="B447" s="3" t="inlineStr">
        <is>
          <t>제3종일반주거지역</t>
        </is>
      </c>
      <c r="C447" s="3" t="inlineStr">
        <is>
          <t>대</t>
        </is>
      </c>
      <c r="D447" s="3" t="inlineStr">
        <is>
          <t>3</t>
        </is>
      </c>
      <c r="E447" s="3" t="inlineStr">
        <is>
          <t>주공신흥</t>
        </is>
      </c>
      <c r="F447" s="3" t="inlineStr">
        <is>
          <t>매매</t>
        </is>
      </c>
      <c r="G447" s="4" t="n">
        <v>30000</v>
      </c>
      <c r="H447" s="4" t="n">
        <v>0</v>
      </c>
      <c r="I447" s="4" t="n">
        <v>62</v>
      </c>
      <c r="J447" s="4" t="n">
        <v>19</v>
      </c>
      <c r="K447" s="5" t="n">
        <v>1578.9</v>
      </c>
      <c r="L447" s="4" t="n">
        <v>57</v>
      </c>
      <c r="M447" s="4" t="n">
        <v>17</v>
      </c>
      <c r="N447" s="5" t="n">
        <v>1764.7</v>
      </c>
      <c r="O447" s="3" t="inlineStr">
        <is>
          <t>재건축단지,공실,입주가능</t>
        </is>
      </c>
      <c r="P447" s="6">
        <f>HYPERLINK("https://fin.land.naver.com/articles/2652978926", "매물Link")</f>
        <v/>
      </c>
      <c r="Q447" s="6">
        <f>HYPERLINK("https://map.naver.com/p/search/조치원읍 신흥리 106", "지도Link")</f>
        <v/>
      </c>
      <c r="R447" s="6">
        <f>HYPERLINK("http://www.eum.go.kr/web/ar/lu/luLandDet.jsp?pnu=3611025029101060000&amp;isNoScr=script&amp;mode=search", "토지이음")</f>
        <v/>
      </c>
      <c r="S447" s="3" t="inlineStr">
        <is>
          <t>다산</t>
        </is>
      </c>
      <c r="T447" s="4" t="n">
        <v>1</v>
      </c>
      <c r="U447" s="5" t="n">
        <v>287</v>
      </c>
      <c r="V447" s="4" t="n">
        <v>15250</v>
      </c>
      <c r="W447" s="3" t="inlineStr">
        <is>
          <t>제2종일반주거지역</t>
        </is>
      </c>
      <c r="X447" s="3" t="inlineStr">
        <is>
          <t>아파트</t>
        </is>
      </c>
      <c r="Y447" s="3" t="inlineStr">
        <is>
          <t>평지</t>
        </is>
      </c>
      <c r="Z447" s="3" t="inlineStr">
        <is>
          <t>세로장방</t>
        </is>
      </c>
      <c r="AA447" s="3" t="inlineStr">
        <is>
          <t>광대소각</t>
        </is>
      </c>
    </row>
    <row r="448">
      <c r="A448" s="3" t="inlineStr">
        <is>
          <t>조치원읍 신흥리 106</t>
        </is>
      </c>
      <c r="B448" s="3" t="inlineStr">
        <is>
          <t>제3종일반주거지역</t>
        </is>
      </c>
      <c r="C448" s="3" t="inlineStr">
        <is>
          <t>대</t>
        </is>
      </c>
      <c r="D448" s="3" t="inlineStr">
        <is>
          <t>2</t>
        </is>
      </c>
      <c r="E448" s="3" t="inlineStr">
        <is>
          <t>주공신흥</t>
        </is>
      </c>
      <c r="F448" s="3" t="inlineStr">
        <is>
          <t>월세</t>
        </is>
      </c>
      <c r="G448" s="4" t="n">
        <v>1000</v>
      </c>
      <c r="H448" s="4" t="n">
        <v>40</v>
      </c>
      <c r="I448" s="4" t="n">
        <v>73</v>
      </c>
      <c r="J448" s="4" t="n">
        <v>22</v>
      </c>
      <c r="K448" s="5" t="n">
        <v>1.8</v>
      </c>
      <c r="L448" s="4" t="n">
        <v>67</v>
      </c>
      <c r="M448" s="4" t="n">
        <v>20</v>
      </c>
      <c r="N448" s="5" t="n">
        <v>2</v>
      </c>
      <c r="O448" s="3" t="inlineStr">
        <is>
          <t>상태양호,즉시입주,보증금 조절가능합니다.</t>
        </is>
      </c>
      <c r="P448" s="6">
        <f>HYPERLINK("https://fin.land.naver.com/articles/2654454354", "매물Link")</f>
        <v/>
      </c>
      <c r="Q448" s="6">
        <f>HYPERLINK("https://map.naver.com/p/search/조치원읍 신흥리 106", "지도Link")</f>
        <v/>
      </c>
      <c r="R448" s="6">
        <f>HYPERLINK("http://www.eum.go.kr/web/ar/lu/luLandDet.jsp?pnu=3611025029101060000&amp;isNoScr=script&amp;mode=search", "토지이음")</f>
        <v/>
      </c>
      <c r="S448" s="3" t="inlineStr">
        <is>
          <t>신안무소</t>
        </is>
      </c>
      <c r="T448" s="4" t="n">
        <v>3</v>
      </c>
      <c r="U448" s="5" t="n">
        <v>287</v>
      </c>
      <c r="V448" s="4" t="n">
        <v>15250</v>
      </c>
      <c r="W448" s="3" t="inlineStr">
        <is>
          <t>제2종일반주거지역</t>
        </is>
      </c>
      <c r="X448" s="3" t="inlineStr">
        <is>
          <t>아파트</t>
        </is>
      </c>
      <c r="Y448" s="3" t="inlineStr">
        <is>
          <t>평지</t>
        </is>
      </c>
      <c r="Z448" s="3" t="inlineStr">
        <is>
          <t>세로장방</t>
        </is>
      </c>
      <c r="AA448" s="3" t="inlineStr">
        <is>
          <t>광대소각</t>
        </is>
      </c>
    </row>
    <row r="449">
      <c r="A449" s="3" t="inlineStr">
        <is>
          <t>조치원읍 신흥리 106</t>
        </is>
      </c>
      <c r="B449" s="3" t="inlineStr">
        <is>
          <t>제3종일반주거지역</t>
        </is>
      </c>
      <c r="C449" s="3" t="inlineStr">
        <is>
          <t>대</t>
        </is>
      </c>
      <c r="D449" s="3" t="inlineStr">
        <is>
          <t>1</t>
        </is>
      </c>
      <c r="E449" s="3" t="inlineStr">
        <is>
          <t>주공신흥</t>
        </is>
      </c>
      <c r="F449" s="3" t="inlineStr">
        <is>
          <t>매매</t>
        </is>
      </c>
      <c r="G449" s="4" t="n">
        <v>25000</v>
      </c>
      <c r="H449" s="4" t="n">
        <v>0</v>
      </c>
      <c r="I449" s="4" t="n">
        <v>73</v>
      </c>
      <c r="J449" s="4" t="n">
        <v>22</v>
      </c>
      <c r="K449" s="5" t="n">
        <v>1136.4</v>
      </c>
      <c r="L449" s="4" t="n">
        <v>67</v>
      </c>
      <c r="M449" s="4" t="n">
        <v>20</v>
      </c>
      <c r="N449" s="5" t="n">
        <v>1250</v>
      </c>
      <c r="O449" s="3" t="inlineStr">
        <is>
          <t>o재건축추진o실입주가능o위치최고</t>
        </is>
      </c>
      <c r="P449" s="6">
        <f>HYPERLINK("https://fin.land.naver.com/articles/2650550533", "매물Link")</f>
        <v/>
      </c>
      <c r="Q449" s="6">
        <f>HYPERLINK("https://map.naver.com/p/search/조치원읍 신흥리 106", "지도Link")</f>
        <v/>
      </c>
      <c r="R449" s="6">
        <f>HYPERLINK("http://www.eum.go.kr/web/ar/lu/luLandDet.jsp?pnu=3611025029101060000&amp;isNoScr=script&amp;mode=search", "토지이음")</f>
        <v/>
      </c>
      <c r="S449" s="3" t="inlineStr">
        <is>
          <t>바다</t>
        </is>
      </c>
      <c r="T449" s="4" t="n">
        <v>1</v>
      </c>
      <c r="U449" s="5" t="n">
        <v>287</v>
      </c>
      <c r="V449" s="4" t="n">
        <v>15250</v>
      </c>
      <c r="W449" s="3" t="inlineStr">
        <is>
          <t>제2종일반주거지역</t>
        </is>
      </c>
      <c r="X449" s="3" t="inlineStr">
        <is>
          <t>아파트</t>
        </is>
      </c>
      <c r="Y449" s="3" t="inlineStr">
        <is>
          <t>평지</t>
        </is>
      </c>
      <c r="Z449" s="3" t="inlineStr">
        <is>
          <t>세로장방</t>
        </is>
      </c>
      <c r="AA449" s="3" t="inlineStr">
        <is>
          <t>광대소각</t>
        </is>
      </c>
    </row>
    <row r="450">
      <c r="A450" s="3" t="inlineStr">
        <is>
          <t>조치원읍 신흥리 106</t>
        </is>
      </c>
      <c r="B450" s="3" t="inlineStr">
        <is>
          <t>제3종일반주거지역</t>
        </is>
      </c>
      <c r="C450" s="3" t="inlineStr">
        <is>
          <t>대</t>
        </is>
      </c>
      <c r="D450" s="3" t="inlineStr">
        <is>
          <t>1</t>
        </is>
      </c>
      <c r="E450" s="3" t="inlineStr">
        <is>
          <t>주공신흥</t>
        </is>
      </c>
      <c r="F450" s="3" t="inlineStr">
        <is>
          <t>매매</t>
        </is>
      </c>
      <c r="G450" s="4" t="n">
        <v>37000</v>
      </c>
      <c r="H450" s="4" t="n">
        <v>0</v>
      </c>
      <c r="I450" s="4" t="n">
        <v>73</v>
      </c>
      <c r="J450" s="4" t="n">
        <v>22</v>
      </c>
      <c r="K450" s="5" t="n">
        <v>1681.8</v>
      </c>
      <c r="L450" s="4" t="n">
        <v>67</v>
      </c>
      <c r="M450" s="4" t="n">
        <v>20</v>
      </c>
      <c r="N450" s="5" t="n">
        <v>1850</v>
      </c>
      <c r="O450" s="3" t="inlineStr">
        <is>
          <t>전세3500거주중,재건축단지</t>
        </is>
      </c>
      <c r="P450" s="6">
        <f>HYPERLINK("https://fin.land.naver.com/articles/2653381041", "매물Link")</f>
        <v/>
      </c>
      <c r="Q450" s="6">
        <f>HYPERLINK("https://map.naver.com/p/search/조치원읍 신흥리 106", "지도Link")</f>
        <v/>
      </c>
      <c r="R450" s="6">
        <f>HYPERLINK("http://www.eum.go.kr/web/ar/lu/luLandDet.jsp?pnu=3611025029101060000&amp;isNoScr=script&amp;mode=search", "토지이음")</f>
        <v/>
      </c>
      <c r="S450" s="3" t="inlineStr">
        <is>
          <t>다산</t>
        </is>
      </c>
      <c r="T450" s="4" t="n">
        <v>1</v>
      </c>
      <c r="U450" s="5" t="n">
        <v>287</v>
      </c>
      <c r="V450" s="4" t="n">
        <v>15250</v>
      </c>
      <c r="W450" s="3" t="inlineStr">
        <is>
          <t>제2종일반주거지역</t>
        </is>
      </c>
      <c r="X450" s="3" t="inlineStr">
        <is>
          <t>아파트</t>
        </is>
      </c>
      <c r="Y450" s="3" t="inlineStr">
        <is>
          <t>평지</t>
        </is>
      </c>
      <c r="Z450" s="3" t="inlineStr">
        <is>
          <t>세로장방</t>
        </is>
      </c>
      <c r="AA450" s="3" t="inlineStr">
        <is>
          <t>광대소각</t>
        </is>
      </c>
    </row>
    <row r="451">
      <c r="A451" s="3" t="inlineStr">
        <is>
          <t>조치원읍 신흥리 106</t>
        </is>
      </c>
      <c r="B451" s="3" t="inlineStr">
        <is>
          <t>제3종일반주거지역</t>
        </is>
      </c>
      <c r="C451" s="3" t="inlineStr">
        <is>
          <t>대</t>
        </is>
      </c>
      <c r="D451" s="3" t="inlineStr">
        <is>
          <t>2</t>
        </is>
      </c>
      <c r="E451" s="3" t="inlineStr">
        <is>
          <t>주공신흥</t>
        </is>
      </c>
      <c r="F451" s="3" t="inlineStr">
        <is>
          <t>매매</t>
        </is>
      </c>
      <c r="G451" s="4" t="n">
        <v>22000</v>
      </c>
      <c r="H451" s="4" t="n">
        <v>0</v>
      </c>
      <c r="I451" s="4" t="n">
        <v>73</v>
      </c>
      <c r="J451" s="4" t="n">
        <v>22</v>
      </c>
      <c r="K451" s="5" t="n">
        <v>1000</v>
      </c>
      <c r="L451" s="4" t="n">
        <v>67</v>
      </c>
      <c r="M451" s="4" t="n">
        <v>20</v>
      </c>
      <c r="N451" s="5" t="n">
        <v>1100</v>
      </c>
      <c r="O451" s="3" t="inlineStr">
        <is>
          <t>급매매입니다</t>
        </is>
      </c>
      <c r="P451" s="6">
        <f>HYPERLINK("https://fin.land.naver.com/articles/2654334881", "매물Link")</f>
        <v/>
      </c>
      <c r="Q451" s="6">
        <f>HYPERLINK("https://map.naver.com/p/search/조치원읍 신흥리 106", "지도Link")</f>
        <v/>
      </c>
      <c r="R451" s="6">
        <f>HYPERLINK("http://www.eum.go.kr/web/ar/lu/luLandDet.jsp?pnu=3611025029101060000&amp;isNoScr=script&amp;mode=search", "토지이음")</f>
        <v/>
      </c>
      <c r="S451" s="3" t="inlineStr">
        <is>
          <t>커피</t>
        </is>
      </c>
      <c r="T451" s="4" t="n">
        <v>1</v>
      </c>
      <c r="U451" s="5" t="n">
        <v>287</v>
      </c>
      <c r="V451" s="4" t="n">
        <v>15250</v>
      </c>
      <c r="W451" s="3" t="inlineStr">
        <is>
          <t>제2종일반주거지역</t>
        </is>
      </c>
      <c r="X451" s="3" t="inlineStr">
        <is>
          <t>아파트</t>
        </is>
      </c>
      <c r="Y451" s="3" t="inlineStr">
        <is>
          <t>평지</t>
        </is>
      </c>
      <c r="Z451" s="3" t="inlineStr">
        <is>
          <t>세로장방</t>
        </is>
      </c>
      <c r="AA451" s="3" t="inlineStr">
        <is>
          <t>광대소각</t>
        </is>
      </c>
    </row>
    <row r="452">
      <c r="A452" s="3" t="inlineStr">
        <is>
          <t>조치원읍 신흥리 106</t>
        </is>
      </c>
      <c r="B452" s="3" t="inlineStr">
        <is>
          <t>제3종일반주거지역</t>
        </is>
      </c>
      <c r="C452" s="3" t="inlineStr">
        <is>
          <t>대</t>
        </is>
      </c>
      <c r="D452" s="3" t="inlineStr">
        <is>
          <t>1</t>
        </is>
      </c>
      <c r="E452" s="3" t="inlineStr">
        <is>
          <t>주공신흥</t>
        </is>
      </c>
      <c r="F452" s="3" t="inlineStr">
        <is>
          <t>매매</t>
        </is>
      </c>
      <c r="G452" s="4" t="n">
        <v>30000</v>
      </c>
      <c r="H452" s="4" t="n">
        <v>0</v>
      </c>
      <c r="I452" s="4" t="n">
        <v>73</v>
      </c>
      <c r="J452" s="4" t="n">
        <v>22</v>
      </c>
      <c r="K452" s="5" t="n">
        <v>1363.6</v>
      </c>
      <c r="L452" s="4" t="n">
        <v>67</v>
      </c>
      <c r="M452" s="4" t="n">
        <v>20</v>
      </c>
      <c r="N452" s="5" t="n">
        <v>1500</v>
      </c>
      <c r="O452" s="3" t="inlineStr">
        <is>
          <t>급매,실입주가능</t>
        </is>
      </c>
      <c r="P452" s="6">
        <f>HYPERLINK("https://fin.land.naver.com/articles/2649451146", "매물Link")</f>
        <v/>
      </c>
      <c r="Q452" s="6">
        <f>HYPERLINK("https://map.naver.com/p/search/조치원읍 신흥리 106", "지도Link")</f>
        <v/>
      </c>
      <c r="R452" s="6">
        <f>HYPERLINK("http://www.eum.go.kr/web/ar/lu/luLandDet.jsp?pnu=3611025029101060000&amp;isNoScr=script&amp;mode=search", "토지이음")</f>
        <v/>
      </c>
      <c r="S452" s="3" t="inlineStr">
        <is>
          <t>다산</t>
        </is>
      </c>
      <c r="T452" s="4" t="n">
        <v>1</v>
      </c>
      <c r="U452" s="5" t="n">
        <v>287</v>
      </c>
      <c r="V452" s="4" t="n">
        <v>15250</v>
      </c>
      <c r="W452" s="3" t="inlineStr">
        <is>
          <t>제2종일반주거지역</t>
        </is>
      </c>
      <c r="X452" s="3" t="inlineStr">
        <is>
          <t>아파트</t>
        </is>
      </c>
      <c r="Y452" s="3" t="inlineStr">
        <is>
          <t>평지</t>
        </is>
      </c>
      <c r="Z452" s="3" t="inlineStr">
        <is>
          <t>세로장방</t>
        </is>
      </c>
      <c r="AA452" s="3" t="inlineStr">
        <is>
          <t>광대소각</t>
        </is>
      </c>
    </row>
    <row r="453">
      <c r="A453" s="3" t="inlineStr">
        <is>
          <t>조치원읍 신흥리 106</t>
        </is>
      </c>
      <c r="B453" s="3" t="inlineStr">
        <is>
          <t>제3종일반주거지역</t>
        </is>
      </c>
      <c r="C453" s="3" t="inlineStr">
        <is>
          <t>대</t>
        </is>
      </c>
      <c r="D453" s="3" t="inlineStr">
        <is>
          <t>3</t>
        </is>
      </c>
      <c r="E453" s="3" t="inlineStr">
        <is>
          <t>주공신흥</t>
        </is>
      </c>
      <c r="F453" s="3" t="inlineStr">
        <is>
          <t>월세</t>
        </is>
      </c>
      <c r="G453" s="4" t="n">
        <v>3000</v>
      </c>
      <c r="H453" s="4" t="n">
        <v>25</v>
      </c>
      <c r="I453" s="4" t="n">
        <v>62</v>
      </c>
      <c r="J453" s="4" t="n">
        <v>19</v>
      </c>
      <c r="K453" s="5" t="n">
        <v>1.3</v>
      </c>
      <c r="L453" s="4" t="n">
        <v>57</v>
      </c>
      <c r="M453" s="4" t="n">
        <v>17</v>
      </c>
      <c r="N453" s="5" t="n">
        <v>1.5</v>
      </c>
      <c r="O453" s="3" t="inlineStr">
        <is>
          <t>남향 즉시입주 에어컨 있음</t>
        </is>
      </c>
      <c r="P453" s="6">
        <f>HYPERLINK("https://fin.land.naver.com/articles/2649439061", "매물Link")</f>
        <v/>
      </c>
      <c r="Q453" s="6">
        <f>HYPERLINK("https://map.naver.com/p/search/조치원읍 신흥리 106", "지도Link")</f>
        <v/>
      </c>
      <c r="R453" s="6">
        <f>HYPERLINK("http://www.eum.go.kr/web/ar/lu/luLandDet.jsp?pnu=3611025029101060000&amp;isNoScr=script&amp;mode=search", "토지이음")</f>
        <v/>
      </c>
      <c r="S453" s="3" t="inlineStr">
        <is>
          <t>욱일</t>
        </is>
      </c>
      <c r="T453" s="4" t="n">
        <v>2</v>
      </c>
      <c r="U453" s="5" t="n">
        <v>287</v>
      </c>
      <c r="V453" s="4" t="n">
        <v>15250</v>
      </c>
      <c r="W453" s="3" t="inlineStr">
        <is>
          <t>제2종일반주거지역</t>
        </is>
      </c>
      <c r="X453" s="3" t="inlineStr">
        <is>
          <t>아파트</t>
        </is>
      </c>
      <c r="Y453" s="3" t="inlineStr">
        <is>
          <t>평지</t>
        </is>
      </c>
      <c r="Z453" s="3" t="inlineStr">
        <is>
          <t>세로장방</t>
        </is>
      </c>
      <c r="AA453" s="3" t="inlineStr">
        <is>
          <t>광대소각</t>
        </is>
      </c>
    </row>
    <row r="454">
      <c r="A454" s="3" t="inlineStr">
        <is>
          <t>조치원읍 신흥리 106</t>
        </is>
      </c>
      <c r="B454" s="3" t="inlineStr">
        <is>
          <t>제3종일반주거지역</t>
        </is>
      </c>
      <c r="C454" s="3" t="inlineStr">
        <is>
          <t>대</t>
        </is>
      </c>
      <c r="D454" s="3" t="inlineStr">
        <is>
          <t>3</t>
        </is>
      </c>
      <c r="E454" s="3" t="inlineStr">
        <is>
          <t>주공신흥</t>
        </is>
      </c>
      <c r="F454" s="3" t="inlineStr">
        <is>
          <t>매매</t>
        </is>
      </c>
      <c r="G454" s="4" t="n">
        <v>23000</v>
      </c>
      <c r="H454" s="4" t="n">
        <v>0</v>
      </c>
      <c r="I454" s="4" t="n">
        <v>62</v>
      </c>
      <c r="J454" s="4" t="n">
        <v>19</v>
      </c>
      <c r="K454" s="5" t="n">
        <v>1210.5</v>
      </c>
      <c r="L454" s="4" t="n">
        <v>57</v>
      </c>
      <c r="M454" s="4" t="n">
        <v>17</v>
      </c>
      <c r="N454" s="5" t="n">
        <v>1352.9</v>
      </c>
      <c r="O454" s="3" t="inlineStr">
        <is>
          <t>재건축 진행중에 있는 곳입니다.</t>
        </is>
      </c>
      <c r="P454" s="6">
        <f>HYPERLINK("https://fin.land.naver.com/articles/2649704179", "매물Link")</f>
        <v/>
      </c>
      <c r="Q454" s="6">
        <f>HYPERLINK("https://map.naver.com/p/search/조치원읍 신흥리 106", "지도Link")</f>
        <v/>
      </c>
      <c r="R454" s="6">
        <f>HYPERLINK("http://www.eum.go.kr/web/ar/lu/luLandDet.jsp?pnu=3611025029101060000&amp;isNoScr=script&amp;mode=search", "토지이음")</f>
        <v/>
      </c>
      <c r="S454" s="3" t="inlineStr">
        <is>
          <t>이순이</t>
        </is>
      </c>
      <c r="T454" s="4" t="n">
        <v>1</v>
      </c>
      <c r="U454" s="5" t="n">
        <v>287</v>
      </c>
      <c r="V454" s="4" t="n">
        <v>15250</v>
      </c>
      <c r="W454" s="3" t="inlineStr">
        <is>
          <t>제2종일반주거지역</t>
        </is>
      </c>
      <c r="X454" s="3" t="inlineStr">
        <is>
          <t>아파트</t>
        </is>
      </c>
      <c r="Y454" s="3" t="inlineStr">
        <is>
          <t>평지</t>
        </is>
      </c>
      <c r="Z454" s="3" t="inlineStr">
        <is>
          <t>세로장방</t>
        </is>
      </c>
      <c r="AA454" s="3" t="inlineStr">
        <is>
          <t>광대소각</t>
        </is>
      </c>
    </row>
    <row r="455">
      <c r="A455" s="3" t="inlineStr">
        <is>
          <t>조치원읍 신흥리 11-10</t>
        </is>
      </c>
      <c r="B455" s="3" t="inlineStr">
        <is>
          <t>제2종일반주거지역</t>
        </is>
      </c>
      <c r="C455" s="3" t="inlineStr">
        <is>
          <t>대</t>
        </is>
      </c>
      <c r="D455" s="3" t="inlineStr">
        <is>
          <t>1</t>
        </is>
      </c>
      <c r="E455" s="3" t="inlineStr">
        <is>
          <t>단독</t>
        </is>
      </c>
      <c r="F455" s="3" t="inlineStr">
        <is>
          <t>매매</t>
        </is>
      </c>
      <c r="G455" s="4" t="n">
        <v>24000</v>
      </c>
      <c r="H455" s="4" t="n">
        <v>0</v>
      </c>
      <c r="I455" s="4" t="n">
        <v>160</v>
      </c>
      <c r="J455" s="4" t="n">
        <v>48</v>
      </c>
      <c r="K455" s="5" t="n">
        <v>500</v>
      </c>
      <c r="L455" s="4" t="n">
        <v>62</v>
      </c>
      <c r="M455" s="4" t="n">
        <v>19</v>
      </c>
      <c r="N455" s="5" t="n">
        <v>1263.2</v>
      </c>
      <c r="O455" s="3" t="inlineStr">
        <is>
          <t>남향. 도시가스. 신흥사랑주택 앞 최근 리모델링 완료한 단독주택 매매.</t>
        </is>
      </c>
      <c r="P455" s="6">
        <f>HYPERLINK("https://fin.land.naver.com/articles/2652914628", "매물Link")</f>
        <v/>
      </c>
      <c r="Q455" s="6">
        <f>HYPERLINK("https://map.naver.com/p/search/조치원읍 신흥리 11-10", "지도Link")</f>
        <v/>
      </c>
      <c r="R455" s="6">
        <f>HYPERLINK("http://www.eum.go.kr/web/ar/lu/luLandDet.jsp?pnu=3611025029100110010&amp;isNoScr=script&amp;mode=search", "토지이음")</f>
        <v/>
      </c>
      <c r="S455" s="3" t="inlineStr">
        <is>
          <t>세종대장</t>
        </is>
      </c>
      <c r="T455" s="4" t="n">
        <v>1</v>
      </c>
      <c r="U455" s="5" t="n">
        <v>182.9</v>
      </c>
      <c r="V455" s="4" t="n">
        <v>160</v>
      </c>
      <c r="W455" s="3" t="inlineStr">
        <is>
          <t>지정되지않음</t>
        </is>
      </c>
      <c r="X455" s="3" t="inlineStr">
        <is>
          <t>단독</t>
        </is>
      </c>
      <c r="Y455" s="3" t="inlineStr">
        <is>
          <t>평지</t>
        </is>
      </c>
      <c r="Z455" s="3" t="inlineStr">
        <is>
          <t>사다리형</t>
        </is>
      </c>
      <c r="AA455" s="3" t="inlineStr">
        <is>
          <t>소로각지</t>
        </is>
      </c>
    </row>
    <row r="456">
      <c r="A456" s="3" t="inlineStr">
        <is>
          <t>조치원읍 신흥리 11-7</t>
        </is>
      </c>
      <c r="B456" s="3" t="inlineStr">
        <is>
          <t>제2종일반주거지역</t>
        </is>
      </c>
      <c r="C456" s="3" t="inlineStr">
        <is>
          <t>대</t>
        </is>
      </c>
      <c r="D456" s="3" t="inlineStr">
        <is>
          <t>1</t>
        </is>
      </c>
      <c r="E456" s="3" t="inlineStr">
        <is>
          <t>단독</t>
        </is>
      </c>
      <c r="F456" s="3" t="inlineStr">
        <is>
          <t>매매</t>
        </is>
      </c>
      <c r="G456" s="4" t="n">
        <v>24000</v>
      </c>
      <c r="H456" s="4" t="n">
        <v>0</v>
      </c>
      <c r="I456" s="4" t="n">
        <v>122</v>
      </c>
      <c r="J456" s="4" t="n">
        <v>37</v>
      </c>
      <c r="K456" s="5" t="n">
        <v>648.6</v>
      </c>
      <c r="L456" s="4" t="n">
        <v>63</v>
      </c>
      <c r="M456" s="4" t="n">
        <v>19</v>
      </c>
      <c r="N456" s="5" t="n">
        <v>1263.2</v>
      </c>
      <c r="O456" s="3" t="inlineStr">
        <is>
          <t>신흥 단독, 협의입주, 시세저렴,각종수리 깔끔</t>
        </is>
      </c>
      <c r="P456" s="6">
        <f>HYPERLINK("https://fin.land.naver.com/articles/2653678072", "매물Link")</f>
        <v/>
      </c>
      <c r="Q456" s="6">
        <f>HYPERLINK("https://map.naver.com/p/search/조치원읍 신흥리 11-7", "지도Link")</f>
        <v/>
      </c>
      <c r="R456" s="6">
        <f>HYPERLINK("http://www.eum.go.kr/web/ar/lu/luLandDet.jsp?pnu=3611025029100110007&amp;isNoScr=script&amp;mode=search", "토지이음")</f>
        <v/>
      </c>
      <c r="S456" s="3" t="inlineStr">
        <is>
          <t>다옴</t>
        </is>
      </c>
      <c r="T456" s="4" t="n">
        <v>1</v>
      </c>
      <c r="U456" s="5" t="n">
        <v>182.9</v>
      </c>
      <c r="V456" s="4" t="n">
        <v>122</v>
      </c>
      <c r="W456" s="3" t="inlineStr">
        <is>
          <t>지정되지않음</t>
        </is>
      </c>
      <c r="X456" s="3" t="inlineStr">
        <is>
          <t>단독</t>
        </is>
      </c>
      <c r="Y456" s="3" t="inlineStr">
        <is>
          <t>평지</t>
        </is>
      </c>
      <c r="Z456" s="3" t="inlineStr">
        <is>
          <t>사다리형</t>
        </is>
      </c>
      <c r="AA456" s="3" t="inlineStr">
        <is>
          <t>소로각지</t>
        </is>
      </c>
    </row>
    <row r="457">
      <c r="A457" s="3" t="inlineStr">
        <is>
          <t>조치원읍 신흥리 20-6</t>
        </is>
      </c>
      <c r="B457" s="3" t="inlineStr">
        <is>
          <t>제2종일반주거지역</t>
        </is>
      </c>
      <c r="C457" s="3" t="inlineStr">
        <is>
          <t>대</t>
        </is>
      </c>
      <c r="D457" s="3" t="inlineStr">
        <is>
          <t>1</t>
        </is>
      </c>
      <c r="E457" s="3" t="inlineStr">
        <is>
          <t>단독</t>
        </is>
      </c>
      <c r="F457" s="3" t="inlineStr">
        <is>
          <t>매매</t>
        </is>
      </c>
      <c r="G457" s="4" t="n">
        <v>24000</v>
      </c>
      <c r="H457" s="4" t="n">
        <v>0</v>
      </c>
      <c r="I457" s="4" t="n">
        <v>179</v>
      </c>
      <c r="J457" s="4" t="n">
        <v>54</v>
      </c>
      <c r="K457" s="5" t="n">
        <v>444.4</v>
      </c>
      <c r="L457" s="4" t="n">
        <v>63</v>
      </c>
      <c r="M457" s="4" t="n">
        <v>19</v>
      </c>
      <c r="N457" s="5" t="n">
        <v>1263.2</v>
      </c>
      <c r="O457" s="3" t="inlineStr">
        <is>
          <t>신흥단독주택,협의입주,각종수리,금액협의</t>
        </is>
      </c>
      <c r="P457" s="6">
        <f>HYPERLINK("https://fin.land.naver.com/articles/2653762166", "매물Link")</f>
        <v/>
      </c>
      <c r="Q457" s="6">
        <f>HYPERLINK("https://map.naver.com/p/search/조치원읍 신흥리 20-6", "지도Link")</f>
        <v/>
      </c>
      <c r="R457" s="6">
        <f>HYPERLINK("http://www.eum.go.kr/web/ar/lu/luLandDet.jsp?pnu=3611025029100200006&amp;isNoScr=script&amp;mode=search", "토지이음")</f>
        <v/>
      </c>
      <c r="S457" s="3" t="inlineStr">
        <is>
          <t>다옴</t>
        </is>
      </c>
      <c r="T457" s="4" t="n">
        <v>1</v>
      </c>
      <c r="U457" s="5" t="n">
        <v>185.1</v>
      </c>
      <c r="V457" s="4" t="n">
        <v>179</v>
      </c>
      <c r="W457" s="3" t="inlineStr">
        <is>
          <t>지정되지않음</t>
        </is>
      </c>
      <c r="X457" s="3" t="inlineStr">
        <is>
          <t>단독</t>
        </is>
      </c>
      <c r="Y457" s="3" t="inlineStr">
        <is>
          <t>완경사</t>
        </is>
      </c>
      <c r="Z457" s="3" t="inlineStr">
        <is>
          <t>정방형</t>
        </is>
      </c>
      <c r="AA457" s="3" t="inlineStr">
        <is>
          <t>세로한면(불)</t>
        </is>
      </c>
    </row>
    <row r="458">
      <c r="A458" s="3" t="inlineStr">
        <is>
          <t>조치원읍 신흥리 26-1</t>
        </is>
      </c>
      <c r="B458" s="3" t="inlineStr">
        <is>
          <t>제2종일반주거지역</t>
        </is>
      </c>
      <c r="C458" s="3" t="inlineStr">
        <is>
          <t>대</t>
        </is>
      </c>
      <c r="D458" s="3" t="inlineStr">
        <is>
          <t>1</t>
        </is>
      </c>
      <c r="E458" s="3" t="inlineStr">
        <is>
          <t>단독</t>
        </is>
      </c>
      <c r="F458" s="3" t="inlineStr">
        <is>
          <t>매매</t>
        </is>
      </c>
      <c r="G458" s="4" t="n">
        <v>36000</v>
      </c>
      <c r="H458" s="4" t="n">
        <v>0</v>
      </c>
      <c r="I458" s="4" t="n">
        <v>284</v>
      </c>
      <c r="J458" s="4" t="n">
        <v>86</v>
      </c>
      <c r="K458" s="5" t="n">
        <v>418.6</v>
      </c>
      <c r="L458" s="4" t="n">
        <v>73</v>
      </c>
      <c r="M458" s="4" t="n">
        <v>22</v>
      </c>
      <c r="N458" s="5" t="n">
        <v>1636.4</v>
      </c>
      <c r="O458" s="3" t="inlineStr">
        <is>
          <t>신흥리 위치 좋은 곳 단독주택</t>
        </is>
      </c>
      <c r="P458" s="6">
        <f>HYPERLINK("https://fin.land.naver.com/articles/2653950163", "매물Link")</f>
        <v/>
      </c>
      <c r="Q458" s="6">
        <f>HYPERLINK("https://map.naver.com/p/search/조치원읍 신흥리 26-1", "지도Link")</f>
        <v/>
      </c>
      <c r="R458" s="6">
        <f>HYPERLINK("http://www.eum.go.kr/web/ar/lu/luLandDet.jsp?pnu=3611025029100260001&amp;isNoScr=script&amp;mode=search", "토지이음")</f>
        <v/>
      </c>
      <c r="S458" s="3" t="inlineStr">
        <is>
          <t>KB세종</t>
        </is>
      </c>
      <c r="T458" s="4" t="n">
        <v>1</v>
      </c>
      <c r="U458" s="5" t="n">
        <v>185.6</v>
      </c>
      <c r="V458" s="4" t="n">
        <v>284</v>
      </c>
      <c r="W458" s="3" t="inlineStr">
        <is>
          <t>지정되지않음</t>
        </is>
      </c>
      <c r="X458" s="3" t="inlineStr">
        <is>
          <t>단독</t>
        </is>
      </c>
      <c r="Y458" s="3" t="inlineStr">
        <is>
          <t>평지</t>
        </is>
      </c>
      <c r="Z458" s="3" t="inlineStr">
        <is>
          <t>사다리형</t>
        </is>
      </c>
      <c r="AA458" s="3" t="inlineStr">
        <is>
          <t>소로각지</t>
        </is>
      </c>
    </row>
    <row r="459">
      <c r="A459" s="3" t="inlineStr">
        <is>
          <t>조치원읍 신흥리 49-10</t>
        </is>
      </c>
      <c r="B459" s="3" t="inlineStr">
        <is>
          <t>제2종일반주거지역</t>
        </is>
      </c>
      <c r="C459" s="3" t="inlineStr">
        <is>
          <t>대</t>
        </is>
      </c>
      <c r="D459" s="3" t="inlineStr">
        <is>
          <t>2</t>
        </is>
      </c>
      <c r="E459" s="3" t="inlineStr">
        <is>
          <t>단독</t>
        </is>
      </c>
      <c r="F459" s="3" t="inlineStr">
        <is>
          <t>매매</t>
        </is>
      </c>
      <c r="G459" s="4" t="n">
        <v>33000</v>
      </c>
      <c r="H459" s="4" t="n">
        <v>0</v>
      </c>
      <c r="I459" s="4" t="n">
        <v>197</v>
      </c>
      <c r="J459" s="4" t="n">
        <v>60</v>
      </c>
      <c r="K459" s="5" t="n">
        <v>550</v>
      </c>
      <c r="L459" s="4" t="n">
        <v>144</v>
      </c>
      <c r="M459" s="4" t="n">
        <v>44</v>
      </c>
      <c r="N459" s="5" t="n">
        <v>750</v>
      </c>
      <c r="O459" s="3" t="inlineStr">
        <is>
          <t>급매,2층집으로 살기 좋은 단독주택입니다.</t>
        </is>
      </c>
      <c r="P459" s="6">
        <f>HYPERLINK("https://fin.land.naver.com/articles/2649736306", "매물Link")</f>
        <v/>
      </c>
      <c r="Q459" s="6">
        <f>HYPERLINK("https://map.naver.com/p/search/조치원읍 신흥리 49-10", "지도Link")</f>
        <v/>
      </c>
      <c r="R459" s="6">
        <f>HYPERLINK("http://www.eum.go.kr/web/ar/lu/luLandDet.jsp?pnu=3611025029100490010&amp;isNoScr=script&amp;mode=search", "토지이음")</f>
        <v/>
      </c>
      <c r="S459" s="3" t="inlineStr">
        <is>
          <t>마마</t>
        </is>
      </c>
      <c r="T459" s="4" t="n">
        <v>1</v>
      </c>
      <c r="U459" s="5" t="n">
        <v>225.9</v>
      </c>
      <c r="V459" s="4" t="n">
        <v>197</v>
      </c>
      <c r="W459" s="3" t="inlineStr">
        <is>
          <t>지정되지않음</t>
        </is>
      </c>
      <c r="X459" s="3" t="inlineStr">
        <is>
          <t>주상기타</t>
        </is>
      </c>
      <c r="Y459" s="3" t="inlineStr">
        <is>
          <t>평지</t>
        </is>
      </c>
      <c r="Z459" s="3" t="inlineStr">
        <is>
          <t>사다리형</t>
        </is>
      </c>
      <c r="AA459" s="3" t="inlineStr">
        <is>
          <t>세로한면(가)</t>
        </is>
      </c>
    </row>
    <row r="460">
      <c r="A460" s="3" t="inlineStr">
        <is>
          <t>조치원읍 신흥리 49-7</t>
        </is>
      </c>
      <c r="B460" s="3" t="inlineStr">
        <is>
          <t>제2종일반주거지역</t>
        </is>
      </c>
      <c r="C460" s="3" t="inlineStr">
        <is>
          <t>대</t>
        </is>
      </c>
      <c r="D460" s="3" t="inlineStr">
        <is>
          <t>1</t>
        </is>
      </c>
      <c r="E460" s="3" t="inlineStr">
        <is>
          <t>단독</t>
        </is>
      </c>
      <c r="F460" s="3" t="inlineStr">
        <is>
          <t>월세</t>
        </is>
      </c>
      <c r="G460" s="4" t="n">
        <v>1000</v>
      </c>
      <c r="H460" s="4" t="n">
        <v>40</v>
      </c>
      <c r="I460" s="4" t="n">
        <v>65</v>
      </c>
      <c r="J460" s="4" t="n">
        <v>20</v>
      </c>
      <c r="K460" s="5" t="n">
        <v>2</v>
      </c>
      <c r="L460" s="4" t="n">
        <v>65</v>
      </c>
      <c r="M460" s="4" t="n">
        <v>20</v>
      </c>
      <c r="N460" s="5" t="n">
        <v>2</v>
      </c>
      <c r="O460" s="3" t="inlineStr">
        <is>
          <t>신흥리 대동초등학교 인근 1층 주택 수리됨</t>
        </is>
      </c>
      <c r="P460" s="6">
        <f>HYPERLINK("https://fin.land.naver.com/articles/2652419295", "매물Link")</f>
        <v/>
      </c>
      <c r="Q460" s="6">
        <f>HYPERLINK("https://map.naver.com/p/search/조치원읍 신흥리 49-7", "지도Link")</f>
        <v/>
      </c>
      <c r="R460" s="6">
        <f>HYPERLINK("http://www.eum.go.kr/web/ar/lu/luLandDet.jsp?pnu=3611025029100490007&amp;isNoScr=script&amp;mode=search", "토지이음")</f>
        <v/>
      </c>
      <c r="S460" s="3" t="inlineStr">
        <is>
          <t>OK수</t>
        </is>
      </c>
      <c r="T460" s="4" t="n">
        <v>1</v>
      </c>
      <c r="U460" s="5" t="n">
        <v>153.5</v>
      </c>
      <c r="V460" s="4" t="n">
        <v>141</v>
      </c>
      <c r="W460" s="3" t="inlineStr">
        <is>
          <t>지정되지않음</t>
        </is>
      </c>
      <c r="X460" s="3" t="inlineStr">
        <is>
          <t>단독</t>
        </is>
      </c>
      <c r="Y460" s="3" t="inlineStr">
        <is>
          <t>평지</t>
        </is>
      </c>
      <c r="Z460" s="3" t="inlineStr">
        <is>
          <t>사다리형</t>
        </is>
      </c>
      <c r="AA460" s="3" t="inlineStr">
        <is>
          <t>세로한면(불)</t>
        </is>
      </c>
    </row>
    <row r="461">
      <c r="A461" s="3" t="inlineStr">
        <is>
          <t>조치원읍 신흥리 49-7</t>
        </is>
      </c>
      <c r="B461" s="3" t="inlineStr">
        <is>
          <t>제2종일반주거지역</t>
        </is>
      </c>
      <c r="C461" s="3" t="inlineStr">
        <is>
          <t>대</t>
        </is>
      </c>
      <c r="D461" s="3" t="inlineStr">
        <is>
          <t>1</t>
        </is>
      </c>
      <c r="E461" s="3" t="inlineStr">
        <is>
          <t>단독</t>
        </is>
      </c>
      <c r="F461" s="3" t="inlineStr">
        <is>
          <t>월세</t>
        </is>
      </c>
      <c r="G461" s="4" t="n">
        <v>1000</v>
      </c>
      <c r="H461" s="4" t="n">
        <v>40</v>
      </c>
      <c r="I461" s="4" t="n">
        <v>141</v>
      </c>
      <c r="J461" s="4" t="n">
        <v>43</v>
      </c>
      <c r="K461" s="5" t="n">
        <v>0.9</v>
      </c>
      <c r="L461" s="4" t="n">
        <v>65</v>
      </c>
      <c r="M461" s="4" t="n">
        <v>20</v>
      </c>
      <c r="N461" s="5" t="n">
        <v>2</v>
      </c>
      <c r="O461" s="3" t="inlineStr">
        <is>
          <t>단독주택 월세</t>
        </is>
      </c>
      <c r="P461" s="6">
        <f>HYPERLINK("https://fin.land.naver.com/articles/2649738571", "매물Link")</f>
        <v/>
      </c>
      <c r="Q461" s="6">
        <f>HYPERLINK("https://map.naver.com/p/search/조치원읍 신흥리 49-7", "지도Link")</f>
        <v/>
      </c>
      <c r="R461" s="6">
        <f>HYPERLINK("http://www.eum.go.kr/web/ar/lu/luLandDet.jsp?pnu=3611025029100490007&amp;isNoScr=script&amp;mode=search", "토지이음")</f>
        <v/>
      </c>
      <c r="S461" s="3" t="inlineStr">
        <is>
          <t>KB세종</t>
        </is>
      </c>
      <c r="T461" s="4" t="n">
        <v>1</v>
      </c>
      <c r="U461" s="5" t="n">
        <v>153.5</v>
      </c>
      <c r="V461" s="4" t="n">
        <v>141</v>
      </c>
      <c r="W461" s="3" t="inlineStr">
        <is>
          <t>지정되지않음</t>
        </is>
      </c>
      <c r="X461" s="3" t="inlineStr">
        <is>
          <t>단독</t>
        </is>
      </c>
      <c r="Y461" s="3" t="inlineStr">
        <is>
          <t>평지</t>
        </is>
      </c>
      <c r="Z461" s="3" t="inlineStr">
        <is>
          <t>사다리형</t>
        </is>
      </c>
      <c r="AA461" s="3" t="inlineStr">
        <is>
          <t>세로한면(불)</t>
        </is>
      </c>
    </row>
    <row r="462">
      <c r="A462" s="3" t="inlineStr">
        <is>
          <t>조치원읍 신흥리 5-3</t>
        </is>
      </c>
      <c r="B462" s="3" t="inlineStr">
        <is>
          <t>제2종일반주거지역</t>
        </is>
      </c>
      <c r="C462" s="3" t="inlineStr">
        <is>
          <t>대</t>
        </is>
      </c>
      <c r="D462" s="3" t="inlineStr">
        <is>
          <t>1</t>
        </is>
      </c>
      <c r="E462" s="3" t="inlineStr">
        <is>
          <t>단독</t>
        </is>
      </c>
      <c r="F462" s="3" t="inlineStr">
        <is>
          <t>매매</t>
        </is>
      </c>
      <c r="G462" s="4" t="n">
        <v>41000</v>
      </c>
      <c r="H462" s="4" t="n">
        <v>0</v>
      </c>
      <c r="I462" s="4" t="n">
        <v>183</v>
      </c>
      <c r="J462" s="4" t="n">
        <v>55</v>
      </c>
      <c r="K462" s="5" t="n">
        <v>745.5</v>
      </c>
      <c r="L462" s="4" t="n">
        <v>66</v>
      </c>
      <c r="M462" s="4" t="n">
        <v>20</v>
      </c>
      <c r="N462" s="5" t="n">
        <v>2050</v>
      </c>
      <c r="O462" s="3" t="inlineStr">
        <is>
          <t>협의입주. 공원이 가깝고 교통이 편리한 주택</t>
        </is>
      </c>
      <c r="P462" s="6">
        <f>HYPERLINK("https://fin.land.naver.com/articles/2653462110", "매물Link")</f>
        <v/>
      </c>
      <c r="Q462" s="6">
        <f>HYPERLINK("https://map.naver.com/p/search/조치원읍 신흥리 5-3", "지도Link")</f>
        <v/>
      </c>
      <c r="R462" s="6">
        <f>HYPERLINK("http://www.eum.go.kr/web/ar/lu/luLandDet.jsp?pnu=3611025029100050003&amp;isNoScr=script&amp;mode=search", "토지이음")</f>
        <v/>
      </c>
      <c r="S462" s="3" t="inlineStr">
        <is>
          <t>정인</t>
        </is>
      </c>
      <c r="T462" s="4" t="n">
        <v>2</v>
      </c>
      <c r="U462" s="5" t="n">
        <v>182.9</v>
      </c>
      <c r="V462" s="4" t="n">
        <v>183</v>
      </c>
      <c r="W462" s="3" t="inlineStr">
        <is>
          <t>지정되지않음</t>
        </is>
      </c>
      <c r="X462" s="3" t="inlineStr">
        <is>
          <t>단독</t>
        </is>
      </c>
      <c r="Y462" s="3" t="inlineStr">
        <is>
          <t>평지</t>
        </is>
      </c>
      <c r="Z462" s="3" t="inlineStr">
        <is>
          <t>사다리형</t>
        </is>
      </c>
      <c r="AA462" s="3" t="inlineStr">
        <is>
          <t>소로각지</t>
        </is>
      </c>
    </row>
    <row r="463">
      <c r="A463" s="3" t="inlineStr">
        <is>
          <t>조치원읍 신흥리 78-4</t>
        </is>
      </c>
      <c r="B463" s="3" t="inlineStr">
        <is>
          <t>제2종일반주거지역</t>
        </is>
      </c>
      <c r="C463" s="3" t="inlineStr">
        <is>
          <t>대</t>
        </is>
      </c>
      <c r="D463" s="3" t="inlineStr">
        <is>
          <t>1</t>
        </is>
      </c>
      <c r="E463" s="3" t="inlineStr">
        <is>
          <t>단독</t>
        </is>
      </c>
      <c r="F463" s="3" t="inlineStr">
        <is>
          <t>매매</t>
        </is>
      </c>
      <c r="G463" s="4" t="n">
        <v>32000</v>
      </c>
      <c r="H463" s="4" t="n">
        <v>0</v>
      </c>
      <c r="I463" s="4" t="n">
        <v>180</v>
      </c>
      <c r="J463" s="4" t="n">
        <v>54</v>
      </c>
      <c r="K463" s="5" t="n">
        <v>592.6</v>
      </c>
      <c r="L463" s="4" t="n">
        <v>74</v>
      </c>
      <c r="M463" s="4" t="n">
        <v>22</v>
      </c>
      <c r="N463" s="5" t="n">
        <v>1454.5</v>
      </c>
      <c r="O463" s="3" t="inlineStr">
        <is>
          <t>마당있는 단독주택</t>
        </is>
      </c>
      <c r="P463" s="6">
        <f>HYPERLINK("https://fin.land.naver.com/articles/2650859599", "매물Link")</f>
        <v/>
      </c>
      <c r="Q463" s="6">
        <f>HYPERLINK("https://map.naver.com/p/search/조치원읍 신흥리 78-4", "지도Link")</f>
        <v/>
      </c>
      <c r="R463" s="6">
        <f>HYPERLINK("http://www.eum.go.kr/web/ar/lu/luLandDet.jsp?pnu=3611025029100780004&amp;isNoScr=script&amp;mode=search", "토지이음")</f>
        <v/>
      </c>
      <c r="S463" s="3" t="inlineStr">
        <is>
          <t>세종대박</t>
        </is>
      </c>
      <c r="T463" s="4" t="n">
        <v>1</v>
      </c>
      <c r="U463" s="5" t="n">
        <v>230</v>
      </c>
      <c r="V463" s="4" t="n">
        <v>180</v>
      </c>
      <c r="W463" s="3" t="inlineStr">
        <is>
          <t>지정되지않음</t>
        </is>
      </c>
      <c r="X463" s="3" t="inlineStr">
        <is>
          <t>단독</t>
        </is>
      </c>
      <c r="Y463" s="3" t="inlineStr">
        <is>
          <t>평지</t>
        </is>
      </c>
      <c r="Z463" s="3" t="inlineStr">
        <is>
          <t>사다리형</t>
        </is>
      </c>
      <c r="AA463" s="3" t="inlineStr">
        <is>
          <t>소로한면</t>
        </is>
      </c>
    </row>
    <row r="464">
      <c r="A464" s="3" t="inlineStr">
        <is>
          <t>조치원읍 신흥리 8-7</t>
        </is>
      </c>
      <c r="B464" s="3" t="inlineStr">
        <is>
          <t>제2종일반주거지역</t>
        </is>
      </c>
      <c r="C464" s="3" t="inlineStr">
        <is>
          <t>대</t>
        </is>
      </c>
      <c r="D464" s="3" t="inlineStr">
        <is>
          <t>3</t>
        </is>
      </c>
      <c r="E464" s="3" t="inlineStr">
        <is>
          <t>빌라</t>
        </is>
      </c>
      <c r="F464" s="3" t="inlineStr">
        <is>
          <t>매매</t>
        </is>
      </c>
      <c r="G464" s="4" t="n">
        <v>9000</v>
      </c>
      <c r="H464" s="4" t="n">
        <v>0</v>
      </c>
      <c r="I464" s="4" t="n">
        <v>54</v>
      </c>
      <c r="J464" s="4" t="n">
        <v>16</v>
      </c>
      <c r="K464" s="5" t="n">
        <v>562.5</v>
      </c>
      <c r="L464" s="4" t="n">
        <v>48</v>
      </c>
      <c r="M464" s="4" t="n">
        <v>15</v>
      </c>
      <c r="N464" s="5" t="n">
        <v>600</v>
      </c>
      <c r="O464" s="3" t="inlineStr">
        <is>
          <t>올수리된 깨끗한 집, 협의입주</t>
        </is>
      </c>
      <c r="P464" s="6">
        <f>HYPERLINK("https://fin.land.naver.com/articles/2652084894", "매물Link")</f>
        <v/>
      </c>
      <c r="Q464" s="6">
        <f>HYPERLINK("https://map.naver.com/p/search/조치원읍 신흥리 8-7", "지도Link")</f>
        <v/>
      </c>
      <c r="R464" s="6">
        <f>HYPERLINK("http://www.eum.go.kr/web/ar/lu/luLandDet.jsp?pnu=3611025029100080007&amp;isNoScr=script&amp;mode=search", "토지이음")</f>
        <v/>
      </c>
      <c r="S464" s="3" t="inlineStr">
        <is>
          <t>KB세종</t>
        </is>
      </c>
      <c r="T464" s="4" t="n">
        <v>1</v>
      </c>
      <c r="U464" s="5" t="n">
        <v>192</v>
      </c>
      <c r="V464" s="4" t="n">
        <v>246</v>
      </c>
      <c r="W464" s="3" t="inlineStr">
        <is>
          <t>지정되지않음</t>
        </is>
      </c>
      <c r="X464" s="3" t="inlineStr">
        <is>
          <t>다세대</t>
        </is>
      </c>
      <c r="Y464" s="3" t="inlineStr">
        <is>
          <t>평지</t>
        </is>
      </c>
      <c r="Z464" s="3" t="inlineStr">
        <is>
          <t>세로장방</t>
        </is>
      </c>
      <c r="AA464" s="3" t="inlineStr">
        <is>
          <t>소로각지</t>
        </is>
      </c>
    </row>
    <row r="465">
      <c r="A465" s="3" t="inlineStr">
        <is>
          <t>조치원읍 신흥리 98-4</t>
        </is>
      </c>
      <c r="B465" s="3" t="inlineStr">
        <is>
          <t>제2종일반주거지역</t>
        </is>
      </c>
      <c r="C465" s="3" t="inlineStr">
        <is>
          <t>대</t>
        </is>
      </c>
      <c r="D465" s="3" t="inlineStr">
        <is>
          <t>1</t>
        </is>
      </c>
      <c r="E465" s="3" t="inlineStr">
        <is>
          <t>단독</t>
        </is>
      </c>
      <c r="F465" s="3" t="inlineStr">
        <is>
          <t>매매</t>
        </is>
      </c>
      <c r="G465" s="4" t="n">
        <v>15000</v>
      </c>
      <c r="H465" s="4" t="n">
        <v>0</v>
      </c>
      <c r="I465" s="4" t="n">
        <v>126</v>
      </c>
      <c r="J465" s="4" t="n">
        <v>38</v>
      </c>
      <c r="K465" s="5" t="n">
        <v>394.7</v>
      </c>
      <c r="L465" s="4" t="n">
        <v>50</v>
      </c>
      <c r="M465" s="4" t="n">
        <v>15</v>
      </c>
      <c r="N465" s="5" t="n">
        <v>1000</v>
      </c>
      <c r="O465" s="3" t="inlineStr">
        <is>
          <t>신흥리 대동초교 인근 올수리 주택, 가격 조율, 도시가스 즉시입주 가능</t>
        </is>
      </c>
      <c r="P465" s="6">
        <f>HYPERLINK("https://fin.land.naver.com/articles/2650905899", "매물Link")</f>
        <v/>
      </c>
      <c r="Q465" s="6">
        <f>HYPERLINK("https://map.naver.com/p/search/조치원읍 신흥리 98-4", "지도Link")</f>
        <v/>
      </c>
      <c r="R465" s="6">
        <f>HYPERLINK("http://www.eum.go.kr/web/ar/lu/luLandDet.jsp?pnu=3611025029100980004&amp;isNoScr=script&amp;mode=search", "토지이음")</f>
        <v/>
      </c>
      <c r="S465" s="3" t="inlineStr">
        <is>
          <t>하늘</t>
        </is>
      </c>
      <c r="T465" s="4" t="n">
        <v>1</v>
      </c>
      <c r="U465" s="5" t="n">
        <v>185</v>
      </c>
      <c r="V465" s="4" t="n">
        <v>126</v>
      </c>
      <c r="W465" s="3" t="inlineStr">
        <is>
          <t>지정되지않음</t>
        </is>
      </c>
      <c r="X465" s="3" t="inlineStr">
        <is>
          <t>단독</t>
        </is>
      </c>
      <c r="Y465" s="3" t="inlineStr">
        <is>
          <t>평지</t>
        </is>
      </c>
      <c r="Z465" s="3" t="inlineStr">
        <is>
          <t>부정형</t>
        </is>
      </c>
      <c r="AA465" s="3" t="inlineStr">
        <is>
          <t>세로한면(불)</t>
        </is>
      </c>
    </row>
    <row r="466">
      <c r="A466" s="3" t="inlineStr">
        <is>
          <t>조치원읍 원리 15-9</t>
        </is>
      </c>
      <c r="B466" s="3" t="inlineStr">
        <is>
          <t>일반상업지역</t>
        </is>
      </c>
      <c r="C466" s="3" t="inlineStr">
        <is>
          <t>대</t>
        </is>
      </c>
      <c r="D466" s="3" t="inlineStr">
        <is>
          <t>3</t>
        </is>
      </c>
      <c r="E466" s="3" t="inlineStr">
        <is>
          <t>상가주택</t>
        </is>
      </c>
      <c r="F466" s="3" t="inlineStr">
        <is>
          <t>매매</t>
        </is>
      </c>
      <c r="G466" s="4" t="n">
        <v>26000</v>
      </c>
      <c r="H466" s="4" t="n">
        <v>0</v>
      </c>
      <c r="I466" s="4" t="n">
        <v>67</v>
      </c>
      <c r="J466" s="4" t="n">
        <v>20</v>
      </c>
      <c r="K466" s="5" t="n">
        <v>1300</v>
      </c>
      <c r="L466" s="4" t="n">
        <v>139</v>
      </c>
      <c r="M466" s="4" t="n">
        <v>42</v>
      </c>
      <c r="N466" s="5" t="n">
        <v>619</v>
      </c>
      <c r="O466" s="3" t="inlineStr">
        <is>
          <t>원리 서독안경원 골목 먹자골목내 자기상가하면서 거주하실분 추천</t>
        </is>
      </c>
      <c r="P466" s="6">
        <f>HYPERLINK("https://fin.land.naver.com/articles/2652877281", "매물Link")</f>
        <v/>
      </c>
      <c r="Q466" s="6">
        <f>HYPERLINK("https://map.naver.com/p/search/조치원읍 원리 15-9", "지도Link")</f>
        <v/>
      </c>
      <c r="R466" s="6">
        <f>HYPERLINK("http://www.eum.go.kr/web/ar/lu/luLandDet.jsp?pnu=3611025021100150009&amp;isNoScr=script&amp;mode=search", "토지이음")</f>
        <v/>
      </c>
      <c r="S466" s="3" t="inlineStr">
        <is>
          <t>OK수</t>
        </is>
      </c>
      <c r="T466" s="4" t="n">
        <v>1</v>
      </c>
      <c r="U466" s="5" t="n">
        <v>641.3</v>
      </c>
      <c r="V466" s="4" t="n">
        <v>67.8</v>
      </c>
      <c r="W466" s="3" t="inlineStr">
        <is>
          <t>지정되지않음</t>
        </is>
      </c>
      <c r="X466" s="3" t="inlineStr">
        <is>
          <t>상업용</t>
        </is>
      </c>
      <c r="Y466" s="3" t="inlineStr">
        <is>
          <t>평지</t>
        </is>
      </c>
      <c r="Z466" s="3" t="inlineStr">
        <is>
          <t>정방형</t>
        </is>
      </c>
      <c r="AA466" s="3" t="inlineStr">
        <is>
          <t>소로한면</t>
        </is>
      </c>
    </row>
    <row r="467">
      <c r="A467" s="3" t="inlineStr">
        <is>
          <t>조치원읍 원리 2-11</t>
        </is>
      </c>
      <c r="B467" s="3" t="inlineStr">
        <is>
          <t>일반상업지역</t>
        </is>
      </c>
      <c r="C467" s="3" t="inlineStr">
        <is>
          <t>대</t>
        </is>
      </c>
      <c r="D467" s="3" t="inlineStr">
        <is>
          <t>0</t>
        </is>
      </c>
      <c r="E467" s="3" t="inlineStr">
        <is>
          <t>도시형생활주택</t>
        </is>
      </c>
      <c r="F467" s="3" t="inlineStr">
        <is>
          <t>월세</t>
        </is>
      </c>
      <c r="G467" s="4" t="n">
        <v>300</v>
      </c>
      <c r="H467" s="4" t="n">
        <v>35</v>
      </c>
      <c r="I467" s="4" t="n">
        <v>26</v>
      </c>
      <c r="J467" s="4" t="n">
        <v>8</v>
      </c>
      <c r="K467" s="5" t="n">
        <v>4.4</v>
      </c>
      <c r="L467" s="4" t="n">
        <v>15</v>
      </c>
      <c r="M467" s="4" t="n">
        <v>5</v>
      </c>
      <c r="N467" s="5" t="n">
        <v>7</v>
      </c>
      <c r="O467" s="3" t="inlineStr">
        <is>
          <t>nan</t>
        </is>
      </c>
      <c r="P467" s="6">
        <f>HYPERLINK("https://fin.land.naver.com/articles/2651547195", "매물Link")</f>
        <v/>
      </c>
      <c r="Q467" s="6">
        <f>HYPERLINK("https://map.naver.com/p/search/조치원읍 원리 2-11", "지도Link")</f>
        <v/>
      </c>
      <c r="R467" s="6">
        <f>HYPERLINK("http://www.eum.go.kr/web/ar/lu/luLandDet.jsp?pnu=3611025021100020011&amp;isNoScr=script&amp;mode=search", "토지이음")</f>
        <v/>
      </c>
      <c r="S467" s="3" t="inlineStr">
        <is>
          <t>척척</t>
        </is>
      </c>
      <c r="T467" s="4" t="n">
        <v>1</v>
      </c>
      <c r="U467" s="5" t="n">
        <v>488.9</v>
      </c>
      <c r="V467" s="4" t="n">
        <v>491.3</v>
      </c>
      <c r="W467" s="3" t="inlineStr">
        <is>
          <t>지정되지않음</t>
        </is>
      </c>
      <c r="X467" s="3" t="inlineStr">
        <is>
          <t>상업용</t>
        </is>
      </c>
      <c r="Y467" s="3" t="inlineStr">
        <is>
          <t>평지</t>
        </is>
      </c>
      <c r="Z467" s="3" t="inlineStr">
        <is>
          <t>가로장방</t>
        </is>
      </c>
      <c r="AA467" s="3" t="inlineStr">
        <is>
          <t>세로한면(가)</t>
        </is>
      </c>
    </row>
    <row r="468">
      <c r="A468" s="3" t="inlineStr">
        <is>
          <t>조치원읍 원리 2-11</t>
        </is>
      </c>
      <c r="B468" s="3" t="inlineStr">
        <is>
          <t>일반상업지역</t>
        </is>
      </c>
      <c r="C468" s="3" t="inlineStr">
        <is>
          <t>대</t>
        </is>
      </c>
      <c r="D468" s="3" t="inlineStr">
        <is>
          <t>0</t>
        </is>
      </c>
      <c r="E468" s="3" t="inlineStr">
        <is>
          <t>도시형생활주택</t>
        </is>
      </c>
      <c r="F468" s="3" t="inlineStr">
        <is>
          <t>전세</t>
        </is>
      </c>
      <c r="G468" s="4" t="n">
        <v>4000</v>
      </c>
      <c r="H468" s="4" t="n">
        <v>0</v>
      </c>
      <c r="I468" s="4" t="n">
        <v>27</v>
      </c>
      <c r="J468" s="4" t="n">
        <v>8</v>
      </c>
      <c r="K468" s="5" t="n">
        <v>500</v>
      </c>
      <c r="L468" s="4" t="n">
        <v>15</v>
      </c>
      <c r="M468" s="4" t="n">
        <v>5</v>
      </c>
      <c r="N468" s="5" t="n">
        <v>800</v>
      </c>
      <c r="O468" s="3" t="inlineStr">
        <is>
          <t>원리 국민은행 뒷편 조치원역 도보3분</t>
        </is>
      </c>
      <c r="P468" s="6">
        <f>HYPERLINK("https://fin.land.naver.com/articles/2652087907", "매물Link")</f>
        <v/>
      </c>
      <c r="Q468" s="6">
        <f>HYPERLINK("https://map.naver.com/p/search/조치원읍 원리 2-11", "지도Link")</f>
        <v/>
      </c>
      <c r="R468" s="6">
        <f>HYPERLINK("http://www.eum.go.kr/web/ar/lu/luLandDet.jsp?pnu=3611025021100020011&amp;isNoScr=script&amp;mode=search", "토지이음")</f>
        <v/>
      </c>
      <c r="S468" s="3" t="inlineStr">
        <is>
          <t>OK수</t>
        </is>
      </c>
      <c r="T468" s="4" t="n">
        <v>1</v>
      </c>
      <c r="U468" s="5" t="n">
        <v>488.9</v>
      </c>
      <c r="V468" s="4" t="n">
        <v>491.3</v>
      </c>
      <c r="W468" s="3" t="inlineStr">
        <is>
          <t>지정되지않음</t>
        </is>
      </c>
      <c r="X468" s="3" t="inlineStr">
        <is>
          <t>상업용</t>
        </is>
      </c>
      <c r="Y468" s="3" t="inlineStr">
        <is>
          <t>평지</t>
        </is>
      </c>
      <c r="Z468" s="3" t="inlineStr">
        <is>
          <t>가로장방</t>
        </is>
      </c>
      <c r="AA468" s="3" t="inlineStr">
        <is>
          <t>세로한면(가)</t>
        </is>
      </c>
    </row>
    <row r="469">
      <c r="A469" s="3" t="inlineStr">
        <is>
          <t>조치원읍 원리 4-4</t>
        </is>
      </c>
      <c r="B469" s="3" t="inlineStr">
        <is>
          <t>일반상업지역</t>
        </is>
      </c>
      <c r="C469" s="3" t="inlineStr">
        <is>
          <t>대</t>
        </is>
      </c>
      <c r="D469" s="3" t="inlineStr">
        <is>
          <t>1</t>
        </is>
      </c>
      <c r="E469" s="3" t="inlineStr">
        <is>
          <t>단독</t>
        </is>
      </c>
      <c r="F469" s="3" t="inlineStr">
        <is>
          <t>매매</t>
        </is>
      </c>
      <c r="G469" s="4" t="n">
        <v>30800</v>
      </c>
      <c r="H469" s="4" t="n">
        <v>0</v>
      </c>
      <c r="I469" s="4" t="n">
        <v>232</v>
      </c>
      <c r="J469" s="4" t="n">
        <v>70</v>
      </c>
      <c r="K469" s="5" t="n">
        <v>440</v>
      </c>
      <c r="L469" s="4" t="n">
        <v>127</v>
      </c>
      <c r="M469" s="4" t="n">
        <v>38</v>
      </c>
      <c r="N469" s="5" t="n">
        <v>810.5</v>
      </c>
      <c r="O469" s="3" t="inlineStr">
        <is>
          <t>롯데리아 뒷편 감성있는 단독주택입니다.</t>
        </is>
      </c>
      <c r="P469" s="6">
        <f>HYPERLINK("https://fin.land.naver.com/articles/2654551165", "매물Link")</f>
        <v/>
      </c>
      <c r="Q469" s="6">
        <f>HYPERLINK("https://map.naver.com/p/search/조치원읍 원리 4-4", "지도Link")</f>
        <v/>
      </c>
      <c r="R469" s="6">
        <f>HYPERLINK("http://www.eum.go.kr/web/ar/lu/luLandDet.jsp?pnu=3611025021100040004&amp;isNoScr=script&amp;mode=search", "토지이음")</f>
        <v/>
      </c>
      <c r="S469" s="3" t="inlineStr">
        <is>
          <t>이음 사무소</t>
        </is>
      </c>
      <c r="T469" s="4" t="n">
        <v>1</v>
      </c>
      <c r="U469" s="5" t="n">
        <v>438.3</v>
      </c>
      <c r="V469" s="4" t="n">
        <v>201.7</v>
      </c>
      <c r="W469" s="3" t="inlineStr">
        <is>
          <t>지정되지않음</t>
        </is>
      </c>
      <c r="X469" s="3" t="inlineStr">
        <is>
          <t>단독</t>
        </is>
      </c>
      <c r="Y469" s="3" t="inlineStr">
        <is>
          <t>평지</t>
        </is>
      </c>
      <c r="Z469" s="3" t="inlineStr">
        <is>
          <t>자루형</t>
        </is>
      </c>
      <c r="AA469" s="3" t="inlineStr">
        <is>
          <t>중로한면</t>
        </is>
      </c>
    </row>
    <row r="470">
      <c r="A470" s="3" t="inlineStr">
        <is>
          <t>조치원읍 원리 9-29</t>
        </is>
      </c>
      <c r="B470" s="3" t="inlineStr">
        <is>
          <t>일반상업지역</t>
        </is>
      </c>
      <c r="C470" s="3" t="inlineStr">
        <is>
          <t>대</t>
        </is>
      </c>
      <c r="D470" s="3" t="inlineStr">
        <is>
          <t>3</t>
        </is>
      </c>
      <c r="E470" s="3" t="inlineStr">
        <is>
          <t>상가주택</t>
        </is>
      </c>
      <c r="F470" s="3" t="inlineStr">
        <is>
          <t>매매</t>
        </is>
      </c>
      <c r="G470" s="4" t="n">
        <v>120000</v>
      </c>
      <c r="H470" s="4" t="n">
        <v>0</v>
      </c>
      <c r="I470" s="4" t="n">
        <v>149</v>
      </c>
      <c r="J470" s="4" t="n">
        <v>45</v>
      </c>
      <c r="K470" s="5" t="n">
        <v>2666.7</v>
      </c>
      <c r="L470" s="4" t="n">
        <v>360</v>
      </c>
      <c r="M470" s="4" t="n">
        <v>109</v>
      </c>
      <c r="N470" s="5" t="n">
        <v>1100.9</v>
      </c>
      <c r="O470" s="3" t="inlineStr">
        <is>
          <t>조치원역 회전교차로 인근 최상위치</t>
        </is>
      </c>
      <c r="P470" s="6">
        <f>HYPERLINK("https://fin.land.naver.com/articles/2651708568", "매물Link")</f>
        <v/>
      </c>
      <c r="Q470" s="6">
        <f>HYPERLINK("https://map.naver.com/p/search/조치원읍 원리 9-29", "지도Link")</f>
        <v/>
      </c>
      <c r="R470" s="6">
        <f>HYPERLINK("http://www.eum.go.kr/web/ar/lu/luLandDet.jsp?pnu=3611025021100090029&amp;isNoScr=script&amp;mode=search", "토지이음")</f>
        <v/>
      </c>
      <c r="S470" s="3" t="inlineStr">
        <is>
          <t>OK수</t>
        </is>
      </c>
      <c r="T470" s="4" t="n">
        <v>1</v>
      </c>
      <c r="U470" s="5" t="n">
        <v>1102.1</v>
      </c>
      <c r="V470" s="4" t="n">
        <v>134.9</v>
      </c>
      <c r="W470" s="3" t="inlineStr">
        <is>
          <t>지정되지않음</t>
        </is>
      </c>
      <c r="X470" s="3" t="inlineStr">
        <is>
          <t>상업용</t>
        </is>
      </c>
      <c r="Y470" s="3" t="inlineStr">
        <is>
          <t>평지</t>
        </is>
      </c>
      <c r="Z470" s="3" t="inlineStr">
        <is>
          <t>세로장방</t>
        </is>
      </c>
      <c r="AA470" s="3" t="inlineStr">
        <is>
          <t>중로한면</t>
        </is>
      </c>
    </row>
    <row r="471">
      <c r="A471" s="3" t="inlineStr">
        <is>
          <t>조치원읍 정리 112</t>
        </is>
      </c>
      <c r="B471" s="3" t="inlineStr">
        <is>
          <t>제2종일반주거지역</t>
        </is>
      </c>
      <c r="C471" s="3" t="inlineStr">
        <is>
          <t>대</t>
        </is>
      </c>
      <c r="D471" s="3" t="inlineStr">
        <is>
          <t>3</t>
        </is>
      </c>
      <c r="E471" s="3" t="inlineStr">
        <is>
          <t>도시형생활주택</t>
        </is>
      </c>
      <c r="F471" s="3" t="inlineStr">
        <is>
          <t>월세</t>
        </is>
      </c>
      <c r="G471" s="4" t="n">
        <v>200</v>
      </c>
      <c r="H471" s="4" t="n">
        <v>33</v>
      </c>
      <c r="I471" s="4" t="n">
        <v>38</v>
      </c>
      <c r="J471" s="4" t="n">
        <v>11</v>
      </c>
      <c r="K471" s="5" t="n">
        <v>3</v>
      </c>
      <c r="L471" s="4" t="n">
        <v>22</v>
      </c>
      <c r="M471" s="4" t="n">
        <v>7</v>
      </c>
      <c r="N471" s="5" t="n">
        <v>4.7</v>
      </c>
      <c r="O471" s="3" t="inlineStr">
        <is>
          <t>조치원역인근,남향,풀옵션 입니다.</t>
        </is>
      </c>
      <c r="P471" s="6">
        <f>HYPERLINK("https://fin.land.naver.com/articles/2654019821", "매물Link")</f>
        <v/>
      </c>
      <c r="Q471" s="6">
        <f>HYPERLINK("https://map.naver.com/p/search/조치원읍 정리 112", "지도Link")</f>
        <v/>
      </c>
      <c r="R471" s="6">
        <f>HYPERLINK("http://www.eum.go.kr/web/ar/lu/luLandDet.jsp?pnu=3611025025101120000&amp;isNoScr=script&amp;mode=search", "토지이음")</f>
        <v/>
      </c>
      <c r="S471" s="3" t="inlineStr">
        <is>
          <t>이음</t>
        </is>
      </c>
      <c r="T471" s="4" t="n">
        <v>1</v>
      </c>
      <c r="U471" s="5" t="n">
        <v>184.1</v>
      </c>
      <c r="V471" s="4" t="n">
        <v>1013</v>
      </c>
      <c r="W471" s="3" t="inlineStr">
        <is>
          <t>지정되지않음</t>
        </is>
      </c>
      <c r="X471" s="3" t="inlineStr">
        <is>
          <t>단독</t>
        </is>
      </c>
      <c r="Y471" s="3" t="inlineStr">
        <is>
          <t>평지</t>
        </is>
      </c>
      <c r="Z471" s="3" t="inlineStr">
        <is>
          <t>사다리형</t>
        </is>
      </c>
      <c r="AA471" s="3" t="inlineStr">
        <is>
          <t>소로각지</t>
        </is>
      </c>
    </row>
    <row r="472">
      <c r="A472" s="3" t="inlineStr">
        <is>
          <t>조치원읍 정리 50-7</t>
        </is>
      </c>
      <c r="B472" s="3" t="inlineStr">
        <is>
          <t>준주거지역</t>
        </is>
      </c>
      <c r="C472" s="3" t="inlineStr">
        <is>
          <t>대</t>
        </is>
      </c>
      <c r="D472" s="3" t="inlineStr">
        <is>
          <t>2</t>
        </is>
      </c>
      <c r="E472" s="3" t="inlineStr">
        <is>
          <t>일반원룸</t>
        </is>
      </c>
      <c r="F472" s="3" t="inlineStr">
        <is>
          <t>월세</t>
        </is>
      </c>
      <c r="G472" s="4" t="n">
        <v>200</v>
      </c>
      <c r="H472" s="4" t="n">
        <v>30</v>
      </c>
      <c r="I472" s="4" t="n">
        <v>28</v>
      </c>
      <c r="J472" s="4" t="n">
        <v>8</v>
      </c>
      <c r="K472" s="5" t="n">
        <v>3.8</v>
      </c>
      <c r="L472" s="4" t="n">
        <v>25</v>
      </c>
      <c r="M472" s="4" t="n">
        <v>8</v>
      </c>
      <c r="N472" s="5" t="n">
        <v>3.8</v>
      </c>
      <c r="O472" s="3" t="inlineStr">
        <is>
          <t>엘베0.분리형.전통시장 1분거리 원룸.즉시입주가능합니다.</t>
        </is>
      </c>
      <c r="P472" s="6">
        <f>HYPERLINK("https://fin.land.naver.com/articles/2650081892", "매물Link")</f>
        <v/>
      </c>
      <c r="Q472" s="6">
        <f>HYPERLINK("https://map.naver.com/p/search/조치원읍 정리 50-7", "지도Link")</f>
        <v/>
      </c>
      <c r="R472" s="6">
        <f>HYPERLINK("http://www.eum.go.kr/web/ar/lu/luLandDet.jsp?pnu=3611025025100500007&amp;isNoScr=script&amp;mode=search", "토지이음")</f>
        <v/>
      </c>
      <c r="S472" s="3" t="inlineStr">
        <is>
          <t>이음 사무소</t>
        </is>
      </c>
      <c r="T472" s="4" t="n">
        <v>1</v>
      </c>
      <c r="U472" s="5" t="n">
        <v>259.4</v>
      </c>
      <c r="V472" s="4" t="n">
        <v>307</v>
      </c>
      <c r="W472" s="3" t="inlineStr">
        <is>
          <t>지정되지않음</t>
        </is>
      </c>
      <c r="X472" s="3" t="inlineStr">
        <is>
          <t>주상용</t>
        </is>
      </c>
      <c r="Y472" s="3" t="inlineStr">
        <is>
          <t>평지</t>
        </is>
      </c>
      <c r="Z472" s="3" t="inlineStr">
        <is>
          <t>사다리형</t>
        </is>
      </c>
      <c r="AA472" s="3" t="inlineStr">
        <is>
          <t>세로한면(가)</t>
        </is>
      </c>
    </row>
    <row r="473">
      <c r="A473" s="3" t="inlineStr">
        <is>
          <t>조치원읍 죽림리 30-4</t>
        </is>
      </c>
      <c r="B473" s="3" t="inlineStr">
        <is>
          <t>제2종일반주거지역</t>
        </is>
      </c>
      <c r="C473" s="3" t="inlineStr">
        <is>
          <t>대</t>
        </is>
      </c>
      <c r="D473" s="3" t="inlineStr">
        <is>
          <t>2</t>
        </is>
      </c>
      <c r="E473" s="3" t="inlineStr">
        <is>
          <t>단독</t>
        </is>
      </c>
      <c r="F473" s="3" t="inlineStr">
        <is>
          <t>매매</t>
        </is>
      </c>
      <c r="G473" s="4" t="n">
        <v>26000</v>
      </c>
      <c r="H473" s="4" t="n">
        <v>0</v>
      </c>
      <c r="I473" s="4" t="n">
        <v>126</v>
      </c>
      <c r="J473" s="4" t="n">
        <v>38</v>
      </c>
      <c r="K473" s="5" t="n">
        <v>684.2</v>
      </c>
      <c r="L473" s="4" t="n">
        <v>123</v>
      </c>
      <c r="M473" s="4" t="n">
        <v>37</v>
      </c>
      <c r="N473" s="5" t="n">
        <v>702.7</v>
      </c>
      <c r="O473" s="3" t="inlineStr">
        <is>
          <t>nan</t>
        </is>
      </c>
      <c r="P473" s="6">
        <f>HYPERLINK("https://fin.land.naver.com/articles/2654598906", "매물Link")</f>
        <v/>
      </c>
      <c r="Q473" s="6">
        <f>HYPERLINK("https://map.naver.com/p/search/조치원읍 죽림리 30-4", "지도Link")</f>
        <v/>
      </c>
      <c r="R473" s="6">
        <f>HYPERLINK("http://www.eum.go.kr/web/ar/lu/luLandDet.jsp?pnu=3611025030100300004&amp;isNoScr=script&amp;mode=search", "토지이음")</f>
        <v/>
      </c>
      <c r="S473" s="3" t="inlineStr">
        <is>
          <t>덕천</t>
        </is>
      </c>
      <c r="T473" s="4" t="n">
        <v>2</v>
      </c>
      <c r="U473" s="5" t="n">
        <v>177.9</v>
      </c>
      <c r="V473" s="4" t="n">
        <v>118</v>
      </c>
      <c r="W473" s="3" t="inlineStr">
        <is>
          <t>지정되지않음</t>
        </is>
      </c>
      <c r="X473" s="3" t="inlineStr">
        <is>
          <t>단독</t>
        </is>
      </c>
      <c r="Y473" s="3" t="inlineStr">
        <is>
          <t>평지</t>
        </is>
      </c>
      <c r="Z473" s="3" t="inlineStr">
        <is>
          <t>사다리형</t>
        </is>
      </c>
      <c r="AA473" s="3" t="inlineStr">
        <is>
          <t>소로각지</t>
        </is>
      </c>
    </row>
    <row r="474">
      <c r="A474" s="3" t="inlineStr">
        <is>
          <t>조치원읍 죽림리 338</t>
        </is>
      </c>
      <c r="B474" s="3" t="inlineStr">
        <is>
          <t>제2종일반주거지역</t>
        </is>
      </c>
      <c r="C474" s="3" t="inlineStr">
        <is>
          <t>대</t>
        </is>
      </c>
      <c r="D474" s="3" t="inlineStr">
        <is>
          <t>4</t>
        </is>
      </c>
      <c r="E474" s="3" t="inlineStr">
        <is>
          <t>다가구</t>
        </is>
      </c>
      <c r="F474" s="3" t="inlineStr">
        <is>
          <t>매매</t>
        </is>
      </c>
      <c r="G474" s="4" t="n">
        <v>130000</v>
      </c>
      <c r="H474" s="4" t="n">
        <v>0</v>
      </c>
      <c r="I474" s="4" t="n">
        <v>420</v>
      </c>
      <c r="J474" s="4" t="n">
        <v>127</v>
      </c>
      <c r="K474" s="5" t="n">
        <v>1023.6</v>
      </c>
      <c r="L474" s="4" t="n">
        <v>649</v>
      </c>
      <c r="M474" s="4" t="n">
        <v>196</v>
      </c>
      <c r="N474" s="5" t="n">
        <v>663.3</v>
      </c>
      <c r="O474" s="3" t="inlineStr">
        <is>
          <t>nan</t>
        </is>
      </c>
      <c r="P474" s="6">
        <f>HYPERLINK("https://fin.land.naver.com/articles/2654389078", "매물Link")</f>
        <v/>
      </c>
      <c r="Q474" s="6">
        <f>HYPERLINK("https://map.naver.com/p/search/조치원읍 죽림리 338", "지도Link")</f>
        <v/>
      </c>
      <c r="R474" s="6">
        <f>HYPERLINK("http://www.eum.go.kr/web/ar/lu/luLandDet.jsp?pnu=3611025030103380000&amp;isNoScr=script&amp;mode=search", "토지이음")</f>
        <v/>
      </c>
      <c r="S474" s="3" t="inlineStr">
        <is>
          <t>척척</t>
        </is>
      </c>
      <c r="T474" s="4" t="n">
        <v>1</v>
      </c>
      <c r="U474" s="5" t="n">
        <v>270.6</v>
      </c>
      <c r="V474" s="4" t="n">
        <v>420</v>
      </c>
      <c r="W474" s="3" t="inlineStr">
        <is>
          <t>지정되지않음</t>
        </is>
      </c>
      <c r="X474" s="3" t="inlineStr">
        <is>
          <t>단독</t>
        </is>
      </c>
      <c r="Y474" s="3" t="inlineStr">
        <is>
          <t>평지</t>
        </is>
      </c>
      <c r="Z474" s="3" t="inlineStr">
        <is>
          <t>사다리형</t>
        </is>
      </c>
      <c r="AA474" s="3" t="inlineStr">
        <is>
          <t>소로한면</t>
        </is>
      </c>
    </row>
    <row r="475">
      <c r="A475" s="3" t="inlineStr">
        <is>
          <t>조치원읍 죽림리 338-2</t>
        </is>
      </c>
      <c r="B475" s="3" t="inlineStr">
        <is>
          <t>제2종일반주거지역</t>
        </is>
      </c>
      <c r="C475" s="3" t="inlineStr">
        <is>
          <t>대</t>
        </is>
      </c>
      <c r="D475" s="3" t="inlineStr">
        <is>
          <t>4</t>
        </is>
      </c>
      <c r="E475" s="3" t="inlineStr">
        <is>
          <t>다가구</t>
        </is>
      </c>
      <c r="F475" s="3" t="inlineStr">
        <is>
          <t>매매</t>
        </is>
      </c>
      <c r="G475" s="4" t="n">
        <v>130000</v>
      </c>
      <c r="H475" s="4" t="n">
        <v>0</v>
      </c>
      <c r="I475" s="4" t="n">
        <v>502</v>
      </c>
      <c r="J475" s="4" t="n">
        <v>152</v>
      </c>
      <c r="K475" s="5" t="n">
        <v>855.3</v>
      </c>
      <c r="L475" s="4" t="n">
        <v>693</v>
      </c>
      <c r="M475" s="4" t="n">
        <v>210</v>
      </c>
      <c r="N475" s="5" t="n">
        <v>619</v>
      </c>
      <c r="O475" s="3" t="inlineStr">
        <is>
          <t>nan</t>
        </is>
      </c>
      <c r="P475" s="6">
        <f>HYPERLINK("https://fin.land.naver.com/articles/2654389415", "매물Link")</f>
        <v/>
      </c>
      <c r="Q475" s="6">
        <f>HYPERLINK("https://map.naver.com/p/search/조치원읍 죽림리 338-2", "지도Link")</f>
        <v/>
      </c>
      <c r="R475" s="6">
        <f>HYPERLINK("http://www.eum.go.kr/web/ar/lu/luLandDet.jsp?pnu=3611025030103380002&amp;isNoScr=script&amp;mode=search", "토지이음")</f>
        <v/>
      </c>
      <c r="S475" s="3" t="inlineStr">
        <is>
          <t>척척</t>
        </is>
      </c>
      <c r="T475" s="4" t="n">
        <v>1</v>
      </c>
      <c r="U475" s="5" t="n">
        <v>273.3</v>
      </c>
      <c r="V475" s="4" t="n">
        <v>502</v>
      </c>
      <c r="W475" s="3" t="inlineStr">
        <is>
          <t>지정되지않음</t>
        </is>
      </c>
      <c r="X475" s="3" t="inlineStr">
        <is>
          <t>단독</t>
        </is>
      </c>
      <c r="Y475" s="3" t="inlineStr">
        <is>
          <t>평지</t>
        </is>
      </c>
      <c r="Z475" s="3" t="inlineStr">
        <is>
          <t>세로장방</t>
        </is>
      </c>
      <c r="AA475" s="3" t="inlineStr">
        <is>
          <t>소로한면</t>
        </is>
      </c>
    </row>
    <row r="476">
      <c r="A476" s="3" t="inlineStr">
        <is>
          <t>조치원읍 죽림리 37</t>
        </is>
      </c>
      <c r="B476" s="3" t="inlineStr">
        <is>
          <t>제2종일반주거지역</t>
        </is>
      </c>
      <c r="C476" s="3" t="inlineStr">
        <is>
          <t>대</t>
        </is>
      </c>
      <c r="D476" s="3" t="inlineStr">
        <is>
          <t>3</t>
        </is>
      </c>
      <c r="E476" s="3" t="inlineStr">
        <is>
          <t>다가구</t>
        </is>
      </c>
      <c r="F476" s="3" t="inlineStr">
        <is>
          <t>월세</t>
        </is>
      </c>
      <c r="G476" s="4" t="n">
        <v>100</v>
      </c>
      <c r="H476" s="4" t="n">
        <v>31</v>
      </c>
      <c r="I476" s="4" t="n">
        <v>46</v>
      </c>
      <c r="J476" s="4" t="n">
        <v>14</v>
      </c>
      <c r="K476" s="5" t="n">
        <v>2.2</v>
      </c>
      <c r="L476" s="4" t="n">
        <v>46</v>
      </c>
      <c r="M476" s="4" t="n">
        <v>14</v>
      </c>
      <c r="N476" s="5" t="n">
        <v>2.2</v>
      </c>
      <c r="O476" s="3" t="inlineStr">
        <is>
          <t>깔끔하고 넓은 원 룸으로 주변에 대형마트있으며, 대중교통편함</t>
        </is>
      </c>
      <c r="P476" s="6">
        <f>HYPERLINK("https://fin.land.naver.com/articles/2653997485", "매물Link")</f>
        <v/>
      </c>
      <c r="Q476" s="6">
        <f>HYPERLINK("https://map.naver.com/p/search/조치원읍 죽림리 37", "지도Link")</f>
        <v/>
      </c>
      <c r="R476" s="6">
        <f>HYPERLINK("http://www.eum.go.kr/web/ar/lu/luLandDet.jsp?pnu=3611025030100370000&amp;isNoScr=script&amp;mode=search", "토지이음")</f>
        <v/>
      </c>
      <c r="S476" s="3" t="inlineStr">
        <is>
          <t>세종베스트</t>
        </is>
      </c>
      <c r="T476" s="4" t="n">
        <v>1</v>
      </c>
      <c r="U476" s="5" t="n">
        <v>267.7</v>
      </c>
      <c r="V476" s="4" t="n">
        <v>382</v>
      </c>
      <c r="W476" s="3" t="inlineStr">
        <is>
          <t>지정되지않음</t>
        </is>
      </c>
      <c r="X476" s="3" t="inlineStr">
        <is>
          <t>단독</t>
        </is>
      </c>
      <c r="Y476" s="3" t="inlineStr">
        <is>
          <t>평지</t>
        </is>
      </c>
      <c r="Z476" s="3" t="inlineStr">
        <is>
          <t>사다리형</t>
        </is>
      </c>
      <c r="AA476" s="3" t="inlineStr">
        <is>
          <t>소로각지</t>
        </is>
      </c>
    </row>
    <row r="477">
      <c r="A477" s="3" t="inlineStr">
        <is>
          <t>조치원읍 죽림리 37</t>
        </is>
      </c>
      <c r="B477" s="3" t="inlineStr">
        <is>
          <t>제2종일반주거지역</t>
        </is>
      </c>
      <c r="C477" s="3" t="inlineStr">
        <is>
          <t>대</t>
        </is>
      </c>
      <c r="D477" s="3" t="inlineStr">
        <is>
          <t>4</t>
        </is>
      </c>
      <c r="E477" s="3" t="inlineStr">
        <is>
          <t>일반원룸</t>
        </is>
      </c>
      <c r="F477" s="3" t="inlineStr">
        <is>
          <t>월세</t>
        </is>
      </c>
      <c r="G477" s="4" t="n">
        <v>100</v>
      </c>
      <c r="H477" s="4" t="n">
        <v>30</v>
      </c>
      <c r="I477" s="4" t="n">
        <v>39</v>
      </c>
      <c r="J477" s="4" t="n">
        <v>12</v>
      </c>
      <c r="K477" s="5" t="n">
        <v>2.5</v>
      </c>
      <c r="L477" s="4" t="n">
        <v>26</v>
      </c>
      <c r="M477" s="4" t="n">
        <v>8</v>
      </c>
      <c r="N477" s="5" t="n">
        <v>3.8</v>
      </c>
      <c r="O477" s="3" t="inlineStr">
        <is>
          <t>죽림O우리마트1분O완전풀옵션O엘리베이터O</t>
        </is>
      </c>
      <c r="P477" s="6">
        <f>HYPERLINK("https://fin.land.naver.com/articles/2651040064", "매물Link")</f>
        <v/>
      </c>
      <c r="Q477" s="6">
        <f>HYPERLINK("https://map.naver.com/p/search/조치원읍 죽림리 37", "지도Link")</f>
        <v/>
      </c>
      <c r="R477" s="6">
        <f>HYPERLINK("http://www.eum.go.kr/web/ar/lu/luLandDet.jsp?pnu=3611025030100370000&amp;isNoScr=script&amp;mode=search", "토지이음")</f>
        <v/>
      </c>
      <c r="S477" s="3" t="inlineStr">
        <is>
          <t>척척</t>
        </is>
      </c>
      <c r="T477" s="4" t="n">
        <v>1</v>
      </c>
      <c r="U477" s="5" t="n">
        <v>267.7</v>
      </c>
      <c r="V477" s="4" t="n">
        <v>382</v>
      </c>
      <c r="W477" s="3" t="inlineStr">
        <is>
          <t>지정되지않음</t>
        </is>
      </c>
      <c r="X477" s="3" t="inlineStr">
        <is>
          <t>단독</t>
        </is>
      </c>
      <c r="Y477" s="3" t="inlineStr">
        <is>
          <t>평지</t>
        </is>
      </c>
      <c r="Z477" s="3" t="inlineStr">
        <is>
          <t>사다리형</t>
        </is>
      </c>
      <c r="AA477" s="3" t="inlineStr">
        <is>
          <t>소로각지</t>
        </is>
      </c>
    </row>
    <row r="478">
      <c r="A478" s="3" t="inlineStr">
        <is>
          <t>조치원읍 죽림리 4-17</t>
        </is>
      </c>
      <c r="B478" s="3" t="inlineStr">
        <is>
          <t>제2종일반주거지역</t>
        </is>
      </c>
      <c r="C478" s="3" t="inlineStr">
        <is>
          <t>대</t>
        </is>
      </c>
      <c r="D478" s="3" t="inlineStr">
        <is>
          <t>2</t>
        </is>
      </c>
      <c r="E478" s="3" t="inlineStr">
        <is>
          <t>상가주택</t>
        </is>
      </c>
      <c r="F478" s="3" t="inlineStr">
        <is>
          <t>매매</t>
        </is>
      </c>
      <c r="G478" s="4" t="n">
        <v>50000</v>
      </c>
      <c r="H478" s="4" t="n">
        <v>0</v>
      </c>
      <c r="I478" s="4" t="n">
        <v>249</v>
      </c>
      <c r="J478" s="4" t="n">
        <v>75</v>
      </c>
      <c r="K478" s="5" t="n">
        <v>666.7</v>
      </c>
      <c r="L478" s="4" t="n">
        <v>156</v>
      </c>
      <c r="M478" s="4" t="n">
        <v>47</v>
      </c>
      <c r="N478" s="5" t="n">
        <v>1063.8</v>
      </c>
      <c r="O478" s="3" t="inlineStr">
        <is>
          <t>1층상가 2층 주택으로 사용하고 있는 로터리 바로앞 상가주택</t>
        </is>
      </c>
      <c r="P478" s="6">
        <f>HYPERLINK("https://fin.land.naver.com/articles/2652510722", "매물Link")</f>
        <v/>
      </c>
      <c r="Q478" s="6">
        <f>HYPERLINK("https://map.naver.com/p/search/조치원읍 죽림리 4-17", "지도Link")</f>
        <v/>
      </c>
      <c r="R478" s="6">
        <f>HYPERLINK("http://www.eum.go.kr/web/ar/lu/luLandDet.jsp?pnu=3611025030100040017&amp;isNoScr=script&amp;mode=search", "토지이음")</f>
        <v/>
      </c>
      <c r="S478" s="3" t="inlineStr">
        <is>
          <t>365</t>
        </is>
      </c>
      <c r="T478" s="4" t="n">
        <v>1</v>
      </c>
      <c r="U478" s="5" t="n">
        <v>280.7</v>
      </c>
      <c r="V478" s="4" t="n">
        <v>173</v>
      </c>
      <c r="W478" s="3" t="inlineStr">
        <is>
          <t>지정되지않음</t>
        </is>
      </c>
      <c r="X478" s="3" t="inlineStr">
        <is>
          <t>상업용</t>
        </is>
      </c>
      <c r="Y478" s="3" t="inlineStr">
        <is>
          <t>평지</t>
        </is>
      </c>
      <c r="Z478" s="3" t="inlineStr">
        <is>
          <t>사다리형</t>
        </is>
      </c>
      <c r="AA478" s="3" t="inlineStr">
        <is>
          <t>세로한면(가)</t>
        </is>
      </c>
    </row>
    <row r="479">
      <c r="A479" s="3" t="inlineStr">
        <is>
          <t>조치원읍 죽림리 47-7</t>
        </is>
      </c>
      <c r="B479" s="3" t="inlineStr">
        <is>
          <t>제2종일반주거지역</t>
        </is>
      </c>
      <c r="C479" s="3" t="inlineStr">
        <is>
          <t>대</t>
        </is>
      </c>
      <c r="D479" s="3" t="inlineStr">
        <is>
          <t>1</t>
        </is>
      </c>
      <c r="E479" s="3" t="inlineStr">
        <is>
          <t>단독</t>
        </is>
      </c>
      <c r="F479" s="3" t="inlineStr">
        <is>
          <t>매매</t>
        </is>
      </c>
      <c r="G479" s="4" t="n">
        <v>38000</v>
      </c>
      <c r="H479" s="4" t="n">
        <v>0</v>
      </c>
      <c r="I479" s="4" t="n">
        <v>88</v>
      </c>
      <c r="J479" s="4" t="n">
        <v>27</v>
      </c>
      <c r="K479" s="5" t="n">
        <v>1407.4</v>
      </c>
      <c r="L479" s="4" t="n">
        <v>88</v>
      </c>
      <c r="M479" s="4" t="n">
        <v>27</v>
      </c>
      <c r="N479" s="5" t="n">
        <v>1407.4</v>
      </c>
      <c r="O479" s="3" t="inlineStr">
        <is>
          <t>죽림리 수리된 1,2층 남향주택 위치 좋습니다</t>
        </is>
      </c>
      <c r="P479" s="6">
        <f>HYPERLINK("https://fin.land.naver.com/articles/2651708550", "매물Link")</f>
        <v/>
      </c>
      <c r="Q479" s="6">
        <f>HYPERLINK("https://map.naver.com/p/search/조치원읍 죽림리 47-7", "지도Link")</f>
        <v/>
      </c>
      <c r="R479" s="6">
        <f>HYPERLINK("http://www.eum.go.kr/web/ar/lu/luLandDet.jsp?pnu=3611025030100470007&amp;isNoScr=script&amp;mode=search", "토지이음")</f>
        <v/>
      </c>
      <c r="S479" s="3" t="inlineStr">
        <is>
          <t>OK수</t>
        </is>
      </c>
      <c r="T479" s="4" t="n">
        <v>1</v>
      </c>
      <c r="U479" s="5" t="n">
        <v>262.5</v>
      </c>
      <c r="V479" s="4" t="n">
        <v>159</v>
      </c>
      <c r="W479" s="3" t="inlineStr">
        <is>
          <t>지정되지않음</t>
        </is>
      </c>
      <c r="X479" s="3" t="inlineStr">
        <is>
          <t>단독</t>
        </is>
      </c>
      <c r="Y479" s="3" t="inlineStr">
        <is>
          <t>평지</t>
        </is>
      </c>
      <c r="Z479" s="3" t="inlineStr">
        <is>
          <t>사다리형</t>
        </is>
      </c>
      <c r="AA479" s="3" t="inlineStr">
        <is>
          <t>소로한면</t>
        </is>
      </c>
    </row>
    <row r="480">
      <c r="A480" s="3" t="inlineStr">
        <is>
          <t>조치원읍 죽림리 48-2</t>
        </is>
      </c>
      <c r="B480" s="3" t="inlineStr">
        <is>
          <t>제2종일반주거지역</t>
        </is>
      </c>
      <c r="C480" s="3" t="inlineStr">
        <is>
          <t>대</t>
        </is>
      </c>
      <c r="D480" s="3" t="inlineStr">
        <is>
          <t>1</t>
        </is>
      </c>
      <c r="E480" s="3" t="inlineStr">
        <is>
          <t>단독</t>
        </is>
      </c>
      <c r="F480" s="3" t="inlineStr">
        <is>
          <t>매매</t>
        </is>
      </c>
      <c r="G480" s="4" t="n">
        <v>21000</v>
      </c>
      <c r="H480" s="4" t="n">
        <v>0</v>
      </c>
      <c r="I480" s="4" t="n">
        <v>210</v>
      </c>
      <c r="J480" s="4" t="n">
        <v>64</v>
      </c>
      <c r="K480" s="5" t="n">
        <v>328.1</v>
      </c>
      <c r="L480" s="4" t="n">
        <v>80</v>
      </c>
      <c r="M480" s="4" t="n">
        <v>24</v>
      </c>
      <c r="N480" s="5" t="n">
        <v>875</v>
      </c>
      <c r="O480" s="3" t="inlineStr">
        <is>
          <t>죽림리 위치 좋은곳 단독주택</t>
        </is>
      </c>
      <c r="P480" s="6">
        <f>HYPERLINK("https://fin.land.naver.com/articles/2653156364", "매물Link")</f>
        <v/>
      </c>
      <c r="Q480" s="6">
        <f>HYPERLINK("https://map.naver.com/p/search/조치원읍 죽림리 48-2", "지도Link")</f>
        <v/>
      </c>
      <c r="R480" s="6">
        <f>HYPERLINK("http://www.eum.go.kr/web/ar/lu/luLandDet.jsp?pnu=3611025030100480002&amp;isNoScr=script&amp;mode=search", "토지이음")</f>
        <v/>
      </c>
      <c r="S480" s="3" t="inlineStr">
        <is>
          <t>KB세종</t>
        </is>
      </c>
      <c r="T480" s="4" t="n">
        <v>1</v>
      </c>
      <c r="U480" s="5" t="n">
        <v>262.5</v>
      </c>
      <c r="V480" s="4" t="n">
        <v>210</v>
      </c>
      <c r="W480" s="3" t="inlineStr">
        <is>
          <t>지정되지않음</t>
        </is>
      </c>
      <c r="X480" s="3" t="inlineStr">
        <is>
          <t>단독</t>
        </is>
      </c>
      <c r="Y480" s="3" t="inlineStr">
        <is>
          <t>평지</t>
        </is>
      </c>
      <c r="Z480" s="3" t="inlineStr">
        <is>
          <t>사다리형</t>
        </is>
      </c>
      <c r="AA480" s="3" t="inlineStr">
        <is>
          <t>소로한면</t>
        </is>
      </c>
    </row>
    <row r="481">
      <c r="A481" s="3" t="inlineStr">
        <is>
          <t>조치원읍 죽림리 50-1</t>
        </is>
      </c>
      <c r="B481" s="3" t="inlineStr">
        <is>
          <t>제2종일반주거지역</t>
        </is>
      </c>
      <c r="C481" s="3" t="inlineStr">
        <is>
          <t>대</t>
        </is>
      </c>
      <c r="D481" s="3" t="inlineStr">
        <is>
          <t>1</t>
        </is>
      </c>
      <c r="E481" s="3" t="inlineStr">
        <is>
          <t>단독</t>
        </is>
      </c>
      <c r="F481" s="3" t="inlineStr">
        <is>
          <t>매매</t>
        </is>
      </c>
      <c r="G481" s="4" t="n">
        <v>18000</v>
      </c>
      <c r="H481" s="4" t="n">
        <v>0</v>
      </c>
      <c r="I481" s="4" t="n">
        <v>117</v>
      </c>
      <c r="J481" s="4" t="n">
        <v>35</v>
      </c>
      <c r="K481" s="5" t="n">
        <v>514.3</v>
      </c>
      <c r="L481" s="4" t="n">
        <v>61</v>
      </c>
      <c r="M481" s="4" t="n">
        <v>18</v>
      </c>
      <c r="N481" s="5" t="n">
        <v>1000</v>
      </c>
      <c r="O481" s="3" t="inlineStr">
        <is>
          <t>급매 공가</t>
        </is>
      </c>
      <c r="P481" s="6">
        <f>HYPERLINK("https://fin.land.naver.com/articles/2652059240", "매물Link")</f>
        <v/>
      </c>
      <c r="Q481" s="6">
        <f>HYPERLINK("https://map.naver.com/p/search/조치원읍 죽림리 50-1", "지도Link")</f>
        <v/>
      </c>
      <c r="R481" s="6">
        <f>HYPERLINK("http://www.eum.go.kr/web/ar/lu/luLandDet.jsp?pnu=3611025030100500001&amp;isNoScr=script&amp;mode=search", "토지이음")</f>
        <v/>
      </c>
      <c r="S481" s="3" t="inlineStr">
        <is>
          <t>제일</t>
        </is>
      </c>
      <c r="T481" s="4" t="n">
        <v>1</v>
      </c>
      <c r="U481" s="5" t="n">
        <v>262.5</v>
      </c>
      <c r="V481" s="4" t="n">
        <v>117</v>
      </c>
      <c r="W481" s="3" t="inlineStr">
        <is>
          <t>지정되지않음</t>
        </is>
      </c>
      <c r="X481" s="3" t="inlineStr">
        <is>
          <t>단독</t>
        </is>
      </c>
      <c r="Y481" s="3" t="inlineStr">
        <is>
          <t>평지</t>
        </is>
      </c>
      <c r="Z481" s="3" t="inlineStr">
        <is>
          <t>사다리형</t>
        </is>
      </c>
      <c r="AA481" s="3" t="inlineStr">
        <is>
          <t>소로한면</t>
        </is>
      </c>
    </row>
    <row r="482">
      <c r="A482" s="3" t="inlineStr">
        <is>
          <t>조치원읍 죽림리 50-16</t>
        </is>
      </c>
      <c r="B482" s="3" t="inlineStr">
        <is>
          <t>제2종일반주거지역</t>
        </is>
      </c>
      <c r="C482" s="3" t="inlineStr">
        <is>
          <t>대</t>
        </is>
      </c>
      <c r="D482" s="3" t="inlineStr">
        <is>
          <t>1</t>
        </is>
      </c>
      <c r="E482" s="3" t="inlineStr">
        <is>
          <t>단독</t>
        </is>
      </c>
      <c r="F482" s="3" t="inlineStr">
        <is>
          <t>매매</t>
        </is>
      </c>
      <c r="G482" s="4" t="n">
        <v>13000</v>
      </c>
      <c r="H482" s="4" t="n">
        <v>0</v>
      </c>
      <c r="I482" s="4" t="n">
        <v>121</v>
      </c>
      <c r="J482" s="4" t="n">
        <v>37</v>
      </c>
      <c r="K482" s="5" t="n">
        <v>351.4</v>
      </c>
      <c r="L482" s="4" t="n">
        <v>60</v>
      </c>
      <c r="M482" s="4" t="n">
        <v>18</v>
      </c>
      <c r="N482" s="5" t="n">
        <v>722.2</v>
      </c>
      <c r="O482" s="3" t="inlineStr">
        <is>
          <t>죽림리 위치 좋은 주택</t>
        </is>
      </c>
      <c r="P482" s="6">
        <f>HYPERLINK("https://fin.land.naver.com/articles/2649728501", "매물Link")</f>
        <v/>
      </c>
      <c r="Q482" s="6">
        <f>HYPERLINK("https://map.naver.com/p/search/조치원읍 죽림리 50-16", "지도Link")</f>
        <v/>
      </c>
      <c r="R482" s="6">
        <f>HYPERLINK("http://www.eum.go.kr/web/ar/lu/luLandDet.jsp?pnu=3611025030100500016&amp;isNoScr=script&amp;mode=search", "토지이음")</f>
        <v/>
      </c>
      <c r="S482" s="3" t="inlineStr">
        <is>
          <t>KB세종</t>
        </is>
      </c>
      <c r="T482" s="4" t="n">
        <v>1</v>
      </c>
      <c r="U482" s="5" t="n">
        <v>196.1</v>
      </c>
      <c r="V482" s="4" t="n">
        <v>121</v>
      </c>
      <c r="W482" s="3" t="inlineStr">
        <is>
          <t>지정되지않음</t>
        </is>
      </c>
      <c r="X482" s="3" t="inlineStr">
        <is>
          <t>단독</t>
        </is>
      </c>
      <c r="Y482" s="3" t="inlineStr">
        <is>
          <t>평지</t>
        </is>
      </c>
      <c r="Z482" s="3" t="inlineStr">
        <is>
          <t>세로장방</t>
        </is>
      </c>
      <c r="AA482" s="3" t="inlineStr">
        <is>
          <t>세로한면(가)</t>
        </is>
      </c>
    </row>
    <row r="483">
      <c r="A483" s="3" t="inlineStr">
        <is>
          <t>조치원읍 죽림리 67-9</t>
        </is>
      </c>
      <c r="B483" s="3" t="inlineStr">
        <is>
          <t>제2종일반주거지역</t>
        </is>
      </c>
      <c r="C483" s="3" t="inlineStr">
        <is>
          <t>대</t>
        </is>
      </c>
      <c r="D483" s="3" t="inlineStr">
        <is>
          <t>1</t>
        </is>
      </c>
      <c r="E483" s="3" t="inlineStr">
        <is>
          <t>단독</t>
        </is>
      </c>
      <c r="F483" s="3" t="inlineStr">
        <is>
          <t>매매</t>
        </is>
      </c>
      <c r="G483" s="4" t="n">
        <v>15000</v>
      </c>
      <c r="H483" s="4" t="n">
        <v>0</v>
      </c>
      <c r="I483" s="4" t="n">
        <v>156</v>
      </c>
      <c r="J483" s="4" t="n">
        <v>47</v>
      </c>
      <c r="K483" s="5" t="n">
        <v>319.1</v>
      </c>
      <c r="L483" s="4" t="n">
        <v>71</v>
      </c>
      <c r="M483" s="4" t="n">
        <v>21</v>
      </c>
      <c r="N483" s="5" t="n">
        <v>714.3</v>
      </c>
      <c r="O483" s="3" t="inlineStr">
        <is>
          <t>세종시 조치원읍 단독주택 급매</t>
        </is>
      </c>
      <c r="P483" s="6">
        <f>HYPERLINK("https://fin.land.naver.com/articles/2653739086", "매물Link")</f>
        <v/>
      </c>
      <c r="Q483" s="6">
        <f>HYPERLINK("https://map.naver.com/p/search/조치원읍 죽림리 67-9", "지도Link")</f>
        <v/>
      </c>
      <c r="R483" s="6">
        <f>HYPERLINK("http://www.eum.go.kr/web/ar/lu/luLandDet.jsp?pnu=3611025030100670009&amp;isNoScr=script&amp;mode=search", "토지이음")</f>
        <v/>
      </c>
      <c r="S483" s="3" t="inlineStr">
        <is>
          <t>신도시</t>
        </is>
      </c>
      <c r="T483" s="4" t="n">
        <v>7</v>
      </c>
      <c r="U483" s="5" t="n">
        <v>150.5</v>
      </c>
      <c r="V483" s="4" t="n">
        <v>156</v>
      </c>
      <c r="W483" s="3" t="inlineStr">
        <is>
          <t>지정되지않음</t>
        </is>
      </c>
      <c r="X483" s="3" t="inlineStr">
        <is>
          <t>단독</t>
        </is>
      </c>
      <c r="Y483" s="3" t="inlineStr">
        <is>
          <t>평지</t>
        </is>
      </c>
      <c r="Z483" s="3" t="inlineStr">
        <is>
          <t>정방형</t>
        </is>
      </c>
      <c r="AA483" s="3" t="inlineStr">
        <is>
          <t>세로한면(불)</t>
        </is>
      </c>
    </row>
    <row r="484">
      <c r="A484" s="3" t="inlineStr">
        <is>
          <t>조치원읍 침산리 110-6</t>
        </is>
      </c>
      <c r="B484" s="3" t="inlineStr">
        <is>
          <t>제2종일반주거지역</t>
        </is>
      </c>
      <c r="C484" s="3" t="inlineStr">
        <is>
          <t>대</t>
        </is>
      </c>
      <c r="D484" s="3" t="inlineStr">
        <is>
          <t>1</t>
        </is>
      </c>
      <c r="E484" s="3" t="inlineStr">
        <is>
          <t>단독</t>
        </is>
      </c>
      <c r="F484" s="3" t="inlineStr">
        <is>
          <t>매매</t>
        </is>
      </c>
      <c r="G484" s="4" t="n">
        <v>25000</v>
      </c>
      <c r="H484" s="4" t="n">
        <v>0</v>
      </c>
      <c r="I484" s="4" t="n">
        <v>301</v>
      </c>
      <c r="J484" s="4" t="n">
        <v>91</v>
      </c>
      <c r="K484" s="5" t="n">
        <v>274.7</v>
      </c>
      <c r="L484" s="4" t="n">
        <v>114</v>
      </c>
      <c r="M484" s="4" t="n">
        <v>34</v>
      </c>
      <c r="N484" s="5" t="n">
        <v>735.3</v>
      </c>
      <c r="O484" s="3" t="inlineStr">
        <is>
          <t>단독 주택 매매</t>
        </is>
      </c>
      <c r="P484" s="6">
        <f>HYPERLINK("https://fin.land.naver.com/articles/2650475545", "매물Link")</f>
        <v/>
      </c>
      <c r="Q484" s="6">
        <f>HYPERLINK("https://map.naver.com/p/search/조치원읍 침산리 110-6", "지도Link")</f>
        <v/>
      </c>
      <c r="R484" s="6">
        <f>HYPERLINK("http://www.eum.go.kr/web/ar/lu/luLandDet.jsp?pnu=3611025028101100006&amp;isNoScr=script&amp;mode=search", "토지이음")</f>
        <v/>
      </c>
      <c r="S484" s="3" t="inlineStr">
        <is>
          <t>세종공감</t>
        </is>
      </c>
      <c r="T484" s="4" t="n">
        <v>1</v>
      </c>
      <c r="U484" s="5" t="n">
        <v>167.8</v>
      </c>
      <c r="V484" s="4" t="n">
        <v>301</v>
      </c>
      <c r="W484" s="3" t="inlineStr">
        <is>
          <t>지정되지않음</t>
        </is>
      </c>
      <c r="X484" s="3" t="inlineStr">
        <is>
          <t>단독</t>
        </is>
      </c>
      <c r="Y484" s="3" t="inlineStr">
        <is>
          <t>평지</t>
        </is>
      </c>
      <c r="Z484" s="3" t="inlineStr">
        <is>
          <t>사다리형</t>
        </is>
      </c>
      <c r="AA484" s="3" t="inlineStr">
        <is>
          <t>세로한면(불)</t>
        </is>
      </c>
    </row>
    <row r="485">
      <c r="A485" s="3" t="inlineStr">
        <is>
          <t>조치원읍 침산리 144-9</t>
        </is>
      </c>
      <c r="B485" s="3" t="inlineStr">
        <is>
          <t>제2종일반주거지역</t>
        </is>
      </c>
      <c r="C485" s="3" t="inlineStr">
        <is>
          <t>대</t>
        </is>
      </c>
      <c r="D485" s="3" t="inlineStr">
        <is>
          <t>2</t>
        </is>
      </c>
      <c r="E485" s="3" t="inlineStr">
        <is>
          <t>상가주택</t>
        </is>
      </c>
      <c r="F485" s="3" t="inlineStr">
        <is>
          <t>매매</t>
        </is>
      </c>
      <c r="G485" s="4" t="n">
        <v>52000</v>
      </c>
      <c r="H485" s="4" t="n">
        <v>0</v>
      </c>
      <c r="I485" s="4" t="n">
        <v>129</v>
      </c>
      <c r="J485" s="4" t="n">
        <v>39</v>
      </c>
      <c r="K485" s="5" t="n">
        <v>1333.3</v>
      </c>
      <c r="L485" s="4" t="n">
        <v>144</v>
      </c>
      <c r="M485" s="4" t="n">
        <v>44</v>
      </c>
      <c r="N485" s="5" t="n">
        <v>1181.8</v>
      </c>
      <c r="O485" s="3" t="inlineStr">
        <is>
          <t>조치원역 서쪽 4차선 도로접함 1층 상가 2층 주택이용하실분 추천</t>
        </is>
      </c>
      <c r="P485" s="6">
        <f>HYPERLINK("https://fin.land.naver.com/articles/2652881315", "매물Link")</f>
        <v/>
      </c>
      <c r="Q485" s="6">
        <f>HYPERLINK("https://map.naver.com/p/search/조치원읍 침산리 144-9", "지도Link")</f>
        <v/>
      </c>
      <c r="R485" s="6">
        <f>HYPERLINK("http://www.eum.go.kr/web/ar/lu/luLandDet.jsp?pnu=3611025028101440009&amp;isNoScr=script&amp;mode=search", "토지이음")</f>
        <v/>
      </c>
      <c r="S485" s="3" t="inlineStr">
        <is>
          <t>OK수</t>
        </is>
      </c>
      <c r="T485" s="4" t="n">
        <v>1</v>
      </c>
      <c r="U485" s="5" t="n">
        <v>404.6</v>
      </c>
      <c r="V485" s="4" t="n">
        <v>129</v>
      </c>
      <c r="W485" s="3" t="inlineStr">
        <is>
          <t>지정되지않음</t>
        </is>
      </c>
      <c r="X485" s="3" t="inlineStr">
        <is>
          <t>주상용</t>
        </is>
      </c>
      <c r="Y485" s="3" t="inlineStr">
        <is>
          <t>평지</t>
        </is>
      </c>
      <c r="Z485" s="3" t="inlineStr">
        <is>
          <t>부정형</t>
        </is>
      </c>
      <c r="AA485" s="3" t="inlineStr">
        <is>
          <t>중로한면</t>
        </is>
      </c>
    </row>
    <row r="486">
      <c r="A486" s="3" t="inlineStr">
        <is>
          <t>조치원읍 침산리 145-3</t>
        </is>
      </c>
      <c r="B486" s="3" t="inlineStr">
        <is>
          <t>제2종일반주거지역</t>
        </is>
      </c>
      <c r="C486" s="3" t="inlineStr">
        <is>
          <t>대</t>
        </is>
      </c>
      <c r="D486" s="3" t="inlineStr">
        <is>
          <t>2</t>
        </is>
      </c>
      <c r="E486" s="3" t="inlineStr">
        <is>
          <t>일반원룸</t>
        </is>
      </c>
      <c r="F486" s="3" t="inlineStr">
        <is>
          <t>월세</t>
        </is>
      </c>
      <c r="G486" s="4" t="n">
        <v>400</v>
      </c>
      <c r="H486" s="4" t="n">
        <v>40</v>
      </c>
      <c r="I486" s="4" t="n">
        <v>49</v>
      </c>
      <c r="J486" s="4" t="n">
        <v>15</v>
      </c>
      <c r="K486" s="5" t="n">
        <v>2.7</v>
      </c>
      <c r="L486" s="4" t="n">
        <v>49</v>
      </c>
      <c r="M486" s="4" t="n">
        <v>15</v>
      </c>
      <c r="N486" s="5" t="n">
        <v>2.7</v>
      </c>
      <c r="O486" s="3" t="inlineStr">
        <is>
          <t>조치원역 후문 올리모델링 되어 있는 룸 입니다.</t>
        </is>
      </c>
      <c r="P486" s="6">
        <f>HYPERLINK("https://fin.land.naver.com/articles/2652694071", "매물Link")</f>
        <v/>
      </c>
      <c r="Q486" s="6">
        <f>HYPERLINK("https://map.naver.com/p/search/조치원읍 침산리 145-3", "지도Link")</f>
        <v/>
      </c>
      <c r="R486" s="6">
        <f>HYPERLINK("http://www.eum.go.kr/web/ar/lu/luLandDet.jsp?pnu=3611025028101450003&amp;isNoScr=script&amp;mode=search", "토지이음")</f>
        <v/>
      </c>
      <c r="S486" s="3" t="inlineStr">
        <is>
          <t>행복을만드는</t>
        </is>
      </c>
      <c r="T486" s="4" t="n">
        <v>1</v>
      </c>
      <c r="U486" s="5" t="n">
        <v>404.6</v>
      </c>
      <c r="V486" s="4" t="n">
        <v>358</v>
      </c>
      <c r="W486" s="3" t="inlineStr">
        <is>
          <t>지정되지않음</t>
        </is>
      </c>
      <c r="X486" s="3" t="inlineStr">
        <is>
          <t>주상용</t>
        </is>
      </c>
      <c r="Y486" s="3" t="inlineStr">
        <is>
          <t>평지</t>
        </is>
      </c>
      <c r="Z486" s="3" t="inlineStr">
        <is>
          <t>부정형</t>
        </is>
      </c>
      <c r="AA486" s="3" t="inlineStr">
        <is>
          <t>중로한면</t>
        </is>
      </c>
    </row>
    <row r="487">
      <c r="A487" s="3" t="inlineStr">
        <is>
          <t>조치원읍 침산리 145-3</t>
        </is>
      </c>
      <c r="B487" s="3" t="inlineStr">
        <is>
          <t>제2종일반주거지역</t>
        </is>
      </c>
      <c r="C487" s="3" t="inlineStr">
        <is>
          <t>대</t>
        </is>
      </c>
      <c r="D487" s="3" t="inlineStr">
        <is>
          <t>2</t>
        </is>
      </c>
      <c r="E487" s="3" t="inlineStr">
        <is>
          <t>일반원룸</t>
        </is>
      </c>
      <c r="F487" s="3" t="inlineStr">
        <is>
          <t>월세</t>
        </is>
      </c>
      <c r="G487" s="4" t="n">
        <v>300</v>
      </c>
      <c r="H487" s="4" t="n">
        <v>35</v>
      </c>
      <c r="I487" s="4" t="n">
        <v>49</v>
      </c>
      <c r="J487" s="4" t="n">
        <v>15</v>
      </c>
      <c r="K487" s="5" t="n">
        <v>2.3</v>
      </c>
      <c r="L487" s="4" t="n">
        <v>49</v>
      </c>
      <c r="M487" s="4" t="n">
        <v>15</v>
      </c>
      <c r="N487" s="5" t="n">
        <v>2.3</v>
      </c>
      <c r="O487" s="3" t="inlineStr">
        <is>
          <t>조치원역 후문 올리모델링 되어 있는 투베이 입니다.</t>
        </is>
      </c>
      <c r="P487" s="6">
        <f>HYPERLINK("https://fin.land.naver.com/articles/2652695801", "매물Link")</f>
        <v/>
      </c>
      <c r="Q487" s="6">
        <f>HYPERLINK("https://map.naver.com/p/search/조치원읍 침산리 145-3", "지도Link")</f>
        <v/>
      </c>
      <c r="R487" s="6">
        <f>HYPERLINK("http://www.eum.go.kr/web/ar/lu/luLandDet.jsp?pnu=3611025028101450003&amp;isNoScr=script&amp;mode=search", "토지이음")</f>
        <v/>
      </c>
      <c r="S487" s="3" t="inlineStr">
        <is>
          <t>행복을만드는</t>
        </is>
      </c>
      <c r="T487" s="4" t="n">
        <v>1</v>
      </c>
      <c r="U487" s="5" t="n">
        <v>404.6</v>
      </c>
      <c r="V487" s="4" t="n">
        <v>358</v>
      </c>
      <c r="W487" s="3" t="inlineStr">
        <is>
          <t>지정되지않음</t>
        </is>
      </c>
      <c r="X487" s="3" t="inlineStr">
        <is>
          <t>주상용</t>
        </is>
      </c>
      <c r="Y487" s="3" t="inlineStr">
        <is>
          <t>평지</t>
        </is>
      </c>
      <c r="Z487" s="3" t="inlineStr">
        <is>
          <t>부정형</t>
        </is>
      </c>
      <c r="AA487" s="3" t="inlineStr">
        <is>
          <t>중로한면</t>
        </is>
      </c>
    </row>
    <row r="488">
      <c r="A488" s="3" t="inlineStr">
        <is>
          <t>조치원읍 침산리 145-3</t>
        </is>
      </c>
      <c r="B488" s="3" t="inlineStr">
        <is>
          <t>제2종일반주거지역</t>
        </is>
      </c>
      <c r="C488" s="3" t="inlineStr">
        <is>
          <t>대</t>
        </is>
      </c>
      <c r="D488" s="3" t="inlineStr">
        <is>
          <t>2</t>
        </is>
      </c>
      <c r="E488" s="3" t="inlineStr">
        <is>
          <t>일반원룸</t>
        </is>
      </c>
      <c r="F488" s="3" t="inlineStr">
        <is>
          <t>월세</t>
        </is>
      </c>
      <c r="G488" s="4" t="n">
        <v>300</v>
      </c>
      <c r="H488" s="4" t="n">
        <v>38</v>
      </c>
      <c r="I488" s="4" t="n">
        <v>49</v>
      </c>
      <c r="J488" s="4" t="n">
        <v>15</v>
      </c>
      <c r="K488" s="5" t="n">
        <v>2.5</v>
      </c>
      <c r="L488" s="4" t="n">
        <v>49</v>
      </c>
      <c r="M488" s="4" t="n">
        <v>15</v>
      </c>
      <c r="N488" s="5" t="n">
        <v>2.5</v>
      </c>
      <c r="O488" s="3" t="inlineStr">
        <is>
          <t>조치원역 후문 올리모델링 되어 있는 투베이 입니다.</t>
        </is>
      </c>
      <c r="P488" s="6">
        <f>HYPERLINK("https://fin.land.naver.com/articles/2652696838", "매물Link")</f>
        <v/>
      </c>
      <c r="Q488" s="6">
        <f>HYPERLINK("https://map.naver.com/p/search/조치원읍 침산리 145-3", "지도Link")</f>
        <v/>
      </c>
      <c r="R488" s="6">
        <f>HYPERLINK("http://www.eum.go.kr/web/ar/lu/luLandDet.jsp?pnu=3611025028101450003&amp;isNoScr=script&amp;mode=search", "토지이음")</f>
        <v/>
      </c>
      <c r="S488" s="3" t="inlineStr">
        <is>
          <t>행복을만드는</t>
        </is>
      </c>
      <c r="T488" s="4" t="n">
        <v>1</v>
      </c>
      <c r="U488" s="5" t="n">
        <v>404.6</v>
      </c>
      <c r="V488" s="4" t="n">
        <v>358</v>
      </c>
      <c r="W488" s="3" t="inlineStr">
        <is>
          <t>지정되지않음</t>
        </is>
      </c>
      <c r="X488" s="3" t="inlineStr">
        <is>
          <t>주상용</t>
        </is>
      </c>
      <c r="Y488" s="3" t="inlineStr">
        <is>
          <t>평지</t>
        </is>
      </c>
      <c r="Z488" s="3" t="inlineStr">
        <is>
          <t>부정형</t>
        </is>
      </c>
      <c r="AA488" s="3" t="inlineStr">
        <is>
          <t>중로한면</t>
        </is>
      </c>
    </row>
    <row r="489">
      <c r="A489" s="3" t="inlineStr">
        <is>
          <t>조치원읍 침산리 153</t>
        </is>
      </c>
      <c r="B489" s="3" t="inlineStr">
        <is>
          <t>제2종일반주거지역</t>
        </is>
      </c>
      <c r="C489" s="3" t="inlineStr">
        <is>
          <t>대</t>
        </is>
      </c>
      <c r="D489" s="3" t="inlineStr">
        <is>
          <t>2</t>
        </is>
      </c>
      <c r="E489" s="3" t="inlineStr">
        <is>
          <t>다가구</t>
        </is>
      </c>
      <c r="F489" s="3" t="inlineStr">
        <is>
          <t>월세</t>
        </is>
      </c>
      <c r="G489" s="4" t="n">
        <v>200</v>
      </c>
      <c r="H489" s="4" t="n">
        <v>35</v>
      </c>
      <c r="I489" s="4" t="n">
        <v>30</v>
      </c>
      <c r="J489" s="4" t="n">
        <v>9</v>
      </c>
      <c r="K489" s="5" t="n">
        <v>3.9</v>
      </c>
      <c r="L489" s="4" t="n">
        <v>25</v>
      </c>
      <c r="M489" s="4" t="n">
        <v>8</v>
      </c>
      <c r="N489" s="5" t="n">
        <v>4.4</v>
      </c>
      <c r="O489" s="3" t="inlineStr">
        <is>
          <t>조치원역 인근 미니투룸 월세</t>
        </is>
      </c>
      <c r="P489" s="6">
        <f>HYPERLINK("https://fin.land.naver.com/articles/2652540224", "매물Link")</f>
        <v/>
      </c>
      <c r="Q489" s="6">
        <f>HYPERLINK("https://map.naver.com/p/search/조치원읍 침산리 153", "지도Link")</f>
        <v/>
      </c>
      <c r="R489" s="6">
        <f>HYPERLINK("http://www.eum.go.kr/web/ar/lu/luLandDet.jsp?pnu=3611025028101530000&amp;isNoScr=script&amp;mode=search", "토지이음")</f>
        <v/>
      </c>
      <c r="S489" s="3" t="inlineStr">
        <is>
          <t>무지개</t>
        </is>
      </c>
      <c r="T489" s="4" t="n">
        <v>1</v>
      </c>
      <c r="U489" s="5" t="n">
        <v>155.1</v>
      </c>
      <c r="V489" s="4" t="n">
        <v>220</v>
      </c>
      <c r="W489" s="3" t="inlineStr">
        <is>
          <t>지정되지않음</t>
        </is>
      </c>
      <c r="X489" s="3" t="inlineStr">
        <is>
          <t>단독</t>
        </is>
      </c>
      <c r="Y489" s="3" t="inlineStr">
        <is>
          <t>완경사</t>
        </is>
      </c>
      <c r="Z489" s="3" t="inlineStr">
        <is>
          <t>사다리형</t>
        </is>
      </c>
      <c r="AA489" s="3" t="inlineStr">
        <is>
          <t>세로한면(가)</t>
        </is>
      </c>
    </row>
    <row r="490">
      <c r="A490" s="3" t="inlineStr">
        <is>
          <t>조치원읍 침산리 166-57</t>
        </is>
      </c>
      <c r="B490" s="3" t="inlineStr">
        <is>
          <t>제2종일반주거지역</t>
        </is>
      </c>
      <c r="C490" s="3" t="inlineStr">
        <is>
          <t>대</t>
        </is>
      </c>
      <c r="D490" s="3" t="inlineStr">
        <is>
          <t>2</t>
        </is>
      </c>
      <c r="E490" s="3" t="inlineStr">
        <is>
          <t>단독</t>
        </is>
      </c>
      <c r="F490" s="3" t="inlineStr">
        <is>
          <t>매매</t>
        </is>
      </c>
      <c r="G490" s="4" t="n">
        <v>120000</v>
      </c>
      <c r="H490" s="4" t="n">
        <v>0</v>
      </c>
      <c r="I490" s="4" t="n">
        <v>383</v>
      </c>
      <c r="J490" s="4" t="n">
        <v>116</v>
      </c>
      <c r="K490" s="5" t="n">
        <v>1034.5</v>
      </c>
      <c r="L490" s="4" t="n">
        <v>198</v>
      </c>
      <c r="M490" s="4" t="n">
        <v>60</v>
      </c>
      <c r="N490" s="5" t="n">
        <v>2000</v>
      </c>
      <c r="O490" s="3" t="inlineStr">
        <is>
          <t>nan</t>
        </is>
      </c>
      <c r="P490" s="6">
        <f>HYPERLINK("https://fin.land.naver.com/articles/2651570688", "매물Link")</f>
        <v/>
      </c>
      <c r="Q490" s="6">
        <f>HYPERLINK("https://map.naver.com/p/search/조치원읍 침산리 166-57", "지도Link")</f>
        <v/>
      </c>
      <c r="R490" s="6">
        <f>HYPERLINK("http://www.eum.go.kr/web/ar/lu/luLandDet.jsp?pnu=3611025028101660057&amp;isNoScr=script&amp;mode=search", "토지이음")</f>
        <v/>
      </c>
      <c r="S490" s="3" t="inlineStr">
        <is>
          <t>여기로</t>
        </is>
      </c>
      <c r="T490" s="4" t="n">
        <v>1</v>
      </c>
      <c r="U490" s="5" t="n">
        <v>233.7</v>
      </c>
      <c r="V490" s="4" t="n">
        <v>383</v>
      </c>
      <c r="W490" s="3" t="inlineStr">
        <is>
          <t>지정되지않음</t>
        </is>
      </c>
      <c r="X490" s="3" t="inlineStr">
        <is>
          <t>단독</t>
        </is>
      </c>
      <c r="Y490" s="3" t="inlineStr">
        <is>
          <t>평지</t>
        </is>
      </c>
      <c r="Z490" s="3" t="inlineStr">
        <is>
          <t>사다리형</t>
        </is>
      </c>
      <c r="AA490" s="3" t="inlineStr">
        <is>
          <t>세로한면(가)</t>
        </is>
      </c>
    </row>
    <row r="491">
      <c r="A491" s="3" t="inlineStr">
        <is>
          <t>조치원읍 침산리 219-5</t>
        </is>
      </c>
      <c r="B491" s="3" t="inlineStr">
        <is>
          <t>제1종일반주거지역</t>
        </is>
      </c>
      <c r="C491" s="3" t="inlineStr">
        <is>
          <t>답</t>
        </is>
      </c>
      <c r="D491" s="3" t="inlineStr">
        <is>
          <t>3</t>
        </is>
      </c>
      <c r="E491" s="3" t="inlineStr">
        <is>
          <t>일반원룸</t>
        </is>
      </c>
      <c r="F491" s="3" t="inlineStr">
        <is>
          <t>월세</t>
        </is>
      </c>
      <c r="G491" s="4" t="n">
        <v>500</v>
      </c>
      <c r="H491" s="4" t="n">
        <v>58</v>
      </c>
      <c r="I491" s="4" t="n">
        <v>36</v>
      </c>
      <c r="J491" s="4" t="n">
        <v>11</v>
      </c>
      <c r="K491" s="5" t="n">
        <v>5.3</v>
      </c>
      <c r="L491" s="4" t="n">
        <v>36</v>
      </c>
      <c r="M491" s="4" t="n">
        <v>11</v>
      </c>
      <c r="N491" s="5" t="n">
        <v>5.3</v>
      </c>
      <c r="O491" s="3" t="inlineStr">
        <is>
          <t>투룸 침산리 하이마트근처 편의시설 많음</t>
        </is>
      </c>
      <c r="P491" s="6">
        <f>HYPERLINK("https://fin.land.naver.com/articles/2650357638", "매물Link")</f>
        <v/>
      </c>
      <c r="Q491" s="6">
        <f>HYPERLINK("https://map.naver.com/p/search/조치원읍 침산리 219-5", "지도Link")</f>
        <v/>
      </c>
      <c r="R491" s="6">
        <f>HYPERLINK("http://www.eum.go.kr/web/ar/lu/luLandDet.jsp?pnu=3611025028102190005&amp;isNoScr=script&amp;mode=search", "토지이음")</f>
        <v/>
      </c>
      <c r="S491" s="3" t="inlineStr">
        <is>
          <t>OK수</t>
        </is>
      </c>
      <c r="T491" s="4" t="n">
        <v>1</v>
      </c>
      <c r="U491" s="5" t="n">
        <v>210.2</v>
      </c>
      <c r="V491" s="4" t="n">
        <v>380</v>
      </c>
      <c r="W491" s="3" t="inlineStr">
        <is>
          <t>지정되지않음</t>
        </is>
      </c>
      <c r="X491" s="3" t="inlineStr">
        <is>
          <t>단독</t>
        </is>
      </c>
      <c r="Y491" s="3" t="inlineStr">
        <is>
          <t>평지</t>
        </is>
      </c>
      <c r="Z491" s="3" t="inlineStr">
        <is>
          <t>자루형</t>
        </is>
      </c>
      <c r="AA491" s="3" t="inlineStr">
        <is>
          <t>세로한면(가)</t>
        </is>
      </c>
    </row>
    <row r="492">
      <c r="A492" s="3" t="inlineStr">
        <is>
          <t>조치원읍 침산리 251-2</t>
        </is>
      </c>
      <c r="B492" s="3" t="inlineStr">
        <is>
          <t>제2종일반주거지역</t>
        </is>
      </c>
      <c r="C492" s="3" t="inlineStr">
        <is>
          <t>대</t>
        </is>
      </c>
      <c r="D492" s="3" t="inlineStr">
        <is>
          <t>3</t>
        </is>
      </c>
      <c r="E492" s="3" t="inlineStr">
        <is>
          <t>일반원룸</t>
        </is>
      </c>
      <c r="F492" s="3" t="inlineStr">
        <is>
          <t>월세</t>
        </is>
      </c>
      <c r="G492" s="4" t="n">
        <v>200</v>
      </c>
      <c r="H492" s="4" t="n">
        <v>32</v>
      </c>
      <c r="I492" s="4" t="n">
        <v>39</v>
      </c>
      <c r="J492" s="4" t="n">
        <v>12</v>
      </c>
      <c r="K492" s="5" t="n">
        <v>2.7</v>
      </c>
      <c r="L492" s="4" t="n">
        <v>26</v>
      </c>
      <c r="M492" s="4" t="n">
        <v>8</v>
      </c>
      <c r="N492" s="5" t="n">
        <v>4</v>
      </c>
      <c r="O492" s="3" t="inlineStr">
        <is>
          <t>위치좋은.엘베있는.깨끗한 원룸입니다.</t>
        </is>
      </c>
      <c r="P492" s="6">
        <f>HYPERLINK("https://fin.land.naver.com/articles/2654179966", "매물Link")</f>
        <v/>
      </c>
      <c r="Q492" s="6">
        <f>HYPERLINK("https://map.naver.com/p/search/조치원읍 침산리 251-2", "지도Link")</f>
        <v/>
      </c>
      <c r="R492" s="6">
        <f>HYPERLINK("http://www.eum.go.kr/web/ar/lu/luLandDet.jsp?pnu=3611025028102510002&amp;isNoScr=script&amp;mode=search", "토지이음")</f>
        <v/>
      </c>
      <c r="S492" s="3" t="inlineStr">
        <is>
          <t>척척</t>
        </is>
      </c>
      <c r="T492" s="4" t="n">
        <v>1</v>
      </c>
      <c r="U492" s="5" t="n">
        <v>526</v>
      </c>
      <c r="V492" s="4" t="n">
        <v>271.1</v>
      </c>
      <c r="W492" s="3" t="inlineStr">
        <is>
          <t>지정되지않음</t>
        </is>
      </c>
      <c r="X492" s="3" t="inlineStr">
        <is>
          <t>주상기타</t>
        </is>
      </c>
      <c r="Y492" s="3" t="inlineStr">
        <is>
          <t>평지</t>
        </is>
      </c>
      <c r="Z492" s="3" t="inlineStr">
        <is>
          <t>가로장방</t>
        </is>
      </c>
      <c r="AA492" s="3" t="inlineStr">
        <is>
          <t>중로한면</t>
        </is>
      </c>
    </row>
    <row r="493">
      <c r="A493" s="3" t="inlineStr">
        <is>
          <t>조치원읍 침산리 251-2</t>
        </is>
      </c>
      <c r="B493" s="3" t="inlineStr">
        <is>
          <t>제2종일반주거지역</t>
        </is>
      </c>
      <c r="C493" s="3" t="inlineStr">
        <is>
          <t>대</t>
        </is>
      </c>
      <c r="D493" s="3" t="inlineStr">
        <is>
          <t>3</t>
        </is>
      </c>
      <c r="E493" s="3" t="inlineStr">
        <is>
          <t>일반원룸</t>
        </is>
      </c>
      <c r="F493" s="3" t="inlineStr">
        <is>
          <t>월세</t>
        </is>
      </c>
      <c r="G493" s="4" t="n">
        <v>200</v>
      </c>
      <c r="H493" s="4" t="n">
        <v>32</v>
      </c>
      <c r="I493" s="4" t="n">
        <v>28</v>
      </c>
      <c r="J493" s="4" t="n">
        <v>8</v>
      </c>
      <c r="K493" s="5" t="n">
        <v>4</v>
      </c>
      <c r="L493" s="4" t="n">
        <v>25</v>
      </c>
      <c r="M493" s="4" t="n">
        <v>8</v>
      </c>
      <c r="N493" s="5" t="n">
        <v>4</v>
      </c>
      <c r="O493" s="3" t="inlineStr">
        <is>
          <t>분리형 원룸. 관리잘되는 원룸 입주하세요. 10월12일이후가능</t>
        </is>
      </c>
      <c r="P493" s="6">
        <f>HYPERLINK("https://fin.land.naver.com/articles/2650462032", "매물Link")</f>
        <v/>
      </c>
      <c r="Q493" s="6">
        <f>HYPERLINK("https://map.naver.com/p/search/조치원읍 침산리 251-2", "지도Link")</f>
        <v/>
      </c>
      <c r="R493" s="6">
        <f>HYPERLINK("http://www.eum.go.kr/web/ar/lu/luLandDet.jsp?pnu=3611025028102510002&amp;isNoScr=script&amp;mode=search", "토지이음")</f>
        <v/>
      </c>
      <c r="S493" s="3" t="inlineStr">
        <is>
          <t>이음</t>
        </is>
      </c>
      <c r="T493" s="4" t="n">
        <v>1</v>
      </c>
      <c r="U493" s="5" t="n">
        <v>526</v>
      </c>
      <c r="V493" s="4" t="n">
        <v>271.1</v>
      </c>
      <c r="W493" s="3" t="inlineStr">
        <is>
          <t>지정되지않음</t>
        </is>
      </c>
      <c r="X493" s="3" t="inlineStr">
        <is>
          <t>주상기타</t>
        </is>
      </c>
      <c r="Y493" s="3" t="inlineStr">
        <is>
          <t>평지</t>
        </is>
      </c>
      <c r="Z493" s="3" t="inlineStr">
        <is>
          <t>가로장방</t>
        </is>
      </c>
      <c r="AA493" s="3" t="inlineStr">
        <is>
          <t>중로한면</t>
        </is>
      </c>
    </row>
    <row r="494">
      <c r="A494" s="3" t="inlineStr">
        <is>
          <t>조치원읍 침산리 251-4</t>
        </is>
      </c>
      <c r="B494" s="3" t="inlineStr">
        <is>
          <t>제2종일반주거지역</t>
        </is>
      </c>
      <c r="C494" s="3" t="inlineStr">
        <is>
          <t>대</t>
        </is>
      </c>
      <c r="D494" s="3" t="inlineStr">
        <is>
          <t>3</t>
        </is>
      </c>
      <c r="E494" s="3" t="inlineStr">
        <is>
          <t>일반원룸</t>
        </is>
      </c>
      <c r="F494" s="3" t="inlineStr">
        <is>
          <t>월세</t>
        </is>
      </c>
      <c r="G494" s="4" t="n">
        <v>200</v>
      </c>
      <c r="H494" s="4" t="n">
        <v>30</v>
      </c>
      <c r="I494" s="4" t="n">
        <v>19</v>
      </c>
      <c r="J494" s="4" t="n">
        <v>6</v>
      </c>
      <c r="K494" s="5" t="n">
        <v>5</v>
      </c>
      <c r="L494" s="4" t="n">
        <v>13</v>
      </c>
      <c r="M494" s="4" t="n">
        <v>4</v>
      </c>
      <c r="N494" s="5" t="n">
        <v>7.5</v>
      </c>
      <c r="O494" s="3" t="inlineStr">
        <is>
          <t>침산리 원룸 월세</t>
        </is>
      </c>
      <c r="P494" s="6">
        <f>HYPERLINK("https://fin.land.naver.com/articles/2653989696", "매물Link")</f>
        <v/>
      </c>
      <c r="Q494" s="6">
        <f>HYPERLINK("https://map.naver.com/p/search/조치원읍 침산리 251-4", "지도Link")</f>
        <v/>
      </c>
      <c r="R494" s="6">
        <f>HYPERLINK("http://www.eum.go.kr/web/ar/lu/luLandDet.jsp?pnu=3611025028102510004&amp;isNoScr=script&amp;mode=search", "토지이음")</f>
        <v/>
      </c>
      <c r="S494" s="3" t="inlineStr">
        <is>
          <t>김준희</t>
        </is>
      </c>
      <c r="T494" s="4" t="n">
        <v>2</v>
      </c>
      <c r="U494" s="5" t="n">
        <v>526</v>
      </c>
      <c r="V494" s="4" t="n">
        <v>277.6</v>
      </c>
      <c r="W494" s="3" t="inlineStr">
        <is>
          <t>지정되지않음</t>
        </is>
      </c>
      <c r="X494" s="3" t="inlineStr">
        <is>
          <t>주상용</t>
        </is>
      </c>
      <c r="Y494" s="3" t="inlineStr">
        <is>
          <t>평지</t>
        </is>
      </c>
      <c r="Z494" s="3" t="inlineStr">
        <is>
          <t>가로장방</t>
        </is>
      </c>
      <c r="AA494" s="3" t="inlineStr">
        <is>
          <t>중로한면</t>
        </is>
      </c>
    </row>
    <row r="495">
      <c r="A495" s="3" t="inlineStr">
        <is>
          <t>조치원읍 침산리 251-5</t>
        </is>
      </c>
      <c r="B495" s="3" t="inlineStr">
        <is>
          <t>제2종일반주거지역</t>
        </is>
      </c>
      <c r="C495" s="3" t="inlineStr">
        <is>
          <t>대</t>
        </is>
      </c>
      <c r="D495" s="3" t="inlineStr">
        <is>
          <t>6</t>
        </is>
      </c>
      <c r="E495" s="3" t="inlineStr">
        <is>
          <t>다가구</t>
        </is>
      </c>
      <c r="F495" s="3" t="inlineStr">
        <is>
          <t>매매</t>
        </is>
      </c>
      <c r="G495" s="4" t="n">
        <v>92000</v>
      </c>
      <c r="H495" s="4" t="n">
        <v>0</v>
      </c>
      <c r="I495" s="4" t="n">
        <v>167</v>
      </c>
      <c r="J495" s="4" t="n">
        <v>51</v>
      </c>
      <c r="K495" s="5" t="n">
        <v>1803.9</v>
      </c>
      <c r="L495" s="4" t="n">
        <v>415</v>
      </c>
      <c r="M495" s="4" t="n">
        <v>126</v>
      </c>
      <c r="N495" s="5" t="n">
        <v>730.2</v>
      </c>
      <c r="O495" s="3" t="inlineStr">
        <is>
          <t>nan</t>
        </is>
      </c>
      <c r="P495" s="6">
        <f>HYPERLINK("https://fin.land.naver.com/articles/2654387726", "매물Link")</f>
        <v/>
      </c>
      <c r="Q495" s="6">
        <f>HYPERLINK("https://map.naver.com/p/search/조치원읍 침산리 251-5", "지도Link")</f>
        <v/>
      </c>
      <c r="R495" s="6">
        <f>HYPERLINK("http://www.eum.go.kr/web/ar/lu/luLandDet.jsp?pnu=3611025028102510005&amp;isNoScr=script&amp;mode=search", "토지이음")</f>
        <v/>
      </c>
      <c r="S495" s="3" t="inlineStr">
        <is>
          <t>척척</t>
        </is>
      </c>
      <c r="T495" s="4" t="n">
        <v>1</v>
      </c>
      <c r="U495" s="5" t="n">
        <v>515.7</v>
      </c>
      <c r="V495" s="4" t="n">
        <v>167.1</v>
      </c>
      <c r="W495" s="3" t="inlineStr">
        <is>
          <t>지정되지않음</t>
        </is>
      </c>
      <c r="X495" s="3" t="inlineStr">
        <is>
          <t>주상기타</t>
        </is>
      </c>
      <c r="Y495" s="3" t="inlineStr">
        <is>
          <t>평지</t>
        </is>
      </c>
      <c r="Z495" s="3" t="inlineStr">
        <is>
          <t>세로장방</t>
        </is>
      </c>
      <c r="AA495" s="3" t="inlineStr">
        <is>
          <t>중로한면</t>
        </is>
      </c>
    </row>
    <row r="496">
      <c r="A496" s="3" t="inlineStr">
        <is>
          <t>조치원읍 침산리 252-8</t>
        </is>
      </c>
      <c r="B496" s="3" t="inlineStr">
        <is>
          <t>제2종일반주거지역</t>
        </is>
      </c>
      <c r="C496" s="3" t="inlineStr">
        <is>
          <t>대</t>
        </is>
      </c>
      <c r="D496" s="3" t="inlineStr">
        <is>
          <t>2</t>
        </is>
      </c>
      <c r="E496" s="3" t="inlineStr">
        <is>
          <t>일반원룸</t>
        </is>
      </c>
      <c r="F496" s="3" t="inlineStr">
        <is>
          <t>월세</t>
        </is>
      </c>
      <c r="G496" s="4" t="n">
        <v>200</v>
      </c>
      <c r="H496" s="4" t="n">
        <v>29</v>
      </c>
      <c r="I496" s="4" t="n">
        <v>20</v>
      </c>
      <c r="J496" s="4" t="n">
        <v>6</v>
      </c>
      <c r="K496" s="5" t="n">
        <v>4.8</v>
      </c>
      <c r="L496" s="4" t="n">
        <v>20</v>
      </c>
      <c r="M496" s="4" t="n">
        <v>6</v>
      </c>
      <c r="N496" s="5" t="n">
        <v>4.8</v>
      </c>
      <c r="O496" s="3" t="inlineStr">
        <is>
          <t>원룸  일반인 학생추천 조치원역 도보가능합니다</t>
        </is>
      </c>
      <c r="P496" s="6">
        <f>HYPERLINK("https://fin.land.naver.com/articles/2649982954", "매물Link")</f>
        <v/>
      </c>
      <c r="Q496" s="6">
        <f>HYPERLINK("https://map.naver.com/p/search/조치원읍 침산리 252-8", "지도Link")</f>
        <v/>
      </c>
      <c r="R496" s="6">
        <f>HYPERLINK("http://www.eum.go.kr/web/ar/lu/luLandDet.jsp?pnu=3611025028102520008&amp;isNoScr=script&amp;mode=search", "토지이음")</f>
        <v/>
      </c>
      <c r="S496" s="3" t="inlineStr">
        <is>
          <t>OK수</t>
        </is>
      </c>
      <c r="T496" s="4" t="n">
        <v>1</v>
      </c>
      <c r="U496" s="5" t="n">
        <v>286.8</v>
      </c>
      <c r="V496" s="4" t="n">
        <v>348</v>
      </c>
      <c r="W496" s="3" t="inlineStr">
        <is>
          <t>지정되지않음</t>
        </is>
      </c>
      <c r="X496" s="3" t="inlineStr">
        <is>
          <t>주거기타</t>
        </is>
      </c>
      <c r="Y496" s="3" t="inlineStr">
        <is>
          <t>평지</t>
        </is>
      </c>
      <c r="Z496" s="3" t="inlineStr">
        <is>
          <t>세로장방</t>
        </is>
      </c>
      <c r="AA496" s="3" t="inlineStr">
        <is>
          <t>세로한면(가)</t>
        </is>
      </c>
    </row>
    <row r="497">
      <c r="A497" s="3" t="inlineStr">
        <is>
          <t>조치원읍 침산리 252-8</t>
        </is>
      </c>
      <c r="B497" s="3" t="inlineStr">
        <is>
          <t>제2종일반주거지역</t>
        </is>
      </c>
      <c r="C497" s="3" t="inlineStr">
        <is>
          <t>대</t>
        </is>
      </c>
      <c r="D497" s="3" t="inlineStr">
        <is>
          <t>4</t>
        </is>
      </c>
      <c r="E497" s="3" t="inlineStr">
        <is>
          <t>다가구</t>
        </is>
      </c>
      <c r="F497" s="3" t="inlineStr">
        <is>
          <t>매매</t>
        </is>
      </c>
      <c r="G497" s="4" t="n">
        <v>95000</v>
      </c>
      <c r="H497" s="4" t="n">
        <v>0</v>
      </c>
      <c r="I497" s="4" t="n">
        <v>348</v>
      </c>
      <c r="J497" s="4" t="n">
        <v>105</v>
      </c>
      <c r="K497" s="5" t="n">
        <v>904.8</v>
      </c>
      <c r="L497" s="4" t="n">
        <v>489</v>
      </c>
      <c r="M497" s="4" t="n">
        <v>148</v>
      </c>
      <c r="N497" s="5" t="n">
        <v>641.9</v>
      </c>
      <c r="O497" s="3" t="inlineStr">
        <is>
          <t>nan</t>
        </is>
      </c>
      <c r="P497" s="6">
        <f>HYPERLINK("https://fin.land.naver.com/articles/2654393866", "매물Link")</f>
        <v/>
      </c>
      <c r="Q497" s="6">
        <f>HYPERLINK("https://map.naver.com/p/search/조치원읍 침산리 252-8", "지도Link")</f>
        <v/>
      </c>
      <c r="R497" s="6">
        <f>HYPERLINK("http://www.eum.go.kr/web/ar/lu/luLandDet.jsp?pnu=3611025028102520008&amp;isNoScr=script&amp;mode=search", "토지이음")</f>
        <v/>
      </c>
      <c r="S497" s="3" t="inlineStr">
        <is>
          <t>척척</t>
        </is>
      </c>
      <c r="T497" s="4" t="n">
        <v>1</v>
      </c>
      <c r="U497" s="5" t="n">
        <v>286.8</v>
      </c>
      <c r="V497" s="4" t="n">
        <v>348</v>
      </c>
      <c r="W497" s="3" t="inlineStr">
        <is>
          <t>지정되지않음</t>
        </is>
      </c>
      <c r="X497" s="3" t="inlineStr">
        <is>
          <t>주거기타</t>
        </is>
      </c>
      <c r="Y497" s="3" t="inlineStr">
        <is>
          <t>평지</t>
        </is>
      </c>
      <c r="Z497" s="3" t="inlineStr">
        <is>
          <t>세로장방</t>
        </is>
      </c>
      <c r="AA497" s="3" t="inlineStr">
        <is>
          <t>세로한면(가)</t>
        </is>
      </c>
    </row>
    <row r="498">
      <c r="A498" s="3" t="inlineStr">
        <is>
          <t>조치원읍 침산리 254-1</t>
        </is>
      </c>
      <c r="B498" s="3" t="inlineStr">
        <is>
          <t>제2종일반주거지역</t>
        </is>
      </c>
      <c r="C498" s="3" t="inlineStr">
        <is>
          <t>대</t>
        </is>
      </c>
      <c r="D498" s="3" t="inlineStr">
        <is>
          <t>3</t>
        </is>
      </c>
      <c r="E498" s="3" t="inlineStr">
        <is>
          <t>다가구</t>
        </is>
      </c>
      <c r="F498" s="3" t="inlineStr">
        <is>
          <t>월세</t>
        </is>
      </c>
      <c r="G498" s="4" t="n">
        <v>500</v>
      </c>
      <c r="H498" s="4" t="n">
        <v>42</v>
      </c>
      <c r="I498" s="4" t="n">
        <v>0</v>
      </c>
      <c r="J498" s="4" t="n">
        <v>0</v>
      </c>
      <c r="K498" s="5" t="n">
        <v>0</v>
      </c>
      <c r="L498" s="4" t="n">
        <v>26</v>
      </c>
      <c r="M498" s="4" t="n">
        <v>8</v>
      </c>
      <c r="N498" s="5" t="n">
        <v>5.2</v>
      </c>
      <c r="O498" s="3" t="inlineStr">
        <is>
          <t>L조용한 위치 O투베이O 역3분</t>
        </is>
      </c>
      <c r="P498" s="6">
        <f>HYPERLINK("https://fin.land.naver.com/articles/2651114575", "매물Link")</f>
        <v/>
      </c>
      <c r="Q498" s="6">
        <f>HYPERLINK("https://map.naver.com/p/search/조치원읍 침산리 254-1", "지도Link")</f>
        <v/>
      </c>
      <c r="R498" s="6">
        <f>HYPERLINK("http://www.eum.go.kr/web/ar/lu/luLandDet.jsp?pnu=3611025028102540001&amp;isNoScr=script&amp;mode=search", "토지이음")</f>
        <v/>
      </c>
      <c r="S498" s="3" t="inlineStr">
        <is>
          <t>바다</t>
        </is>
      </c>
      <c r="T498" s="4" t="n">
        <v>1</v>
      </c>
      <c r="U498" s="5" t="n">
        <v>526.6</v>
      </c>
      <c r="V498" s="4" t="n">
        <v>419.3</v>
      </c>
      <c r="W498" s="3" t="inlineStr">
        <is>
          <t>지정되지않음</t>
        </is>
      </c>
      <c r="X498" s="3" t="inlineStr">
        <is>
          <t>주상기타</t>
        </is>
      </c>
      <c r="Y498" s="3" t="inlineStr">
        <is>
          <t>평지</t>
        </is>
      </c>
      <c r="Z498" s="3" t="inlineStr">
        <is>
          <t>사다리형</t>
        </is>
      </c>
      <c r="AA498" s="3" t="inlineStr">
        <is>
          <t>중로각지</t>
        </is>
      </c>
    </row>
    <row r="499">
      <c r="A499" s="3" t="inlineStr">
        <is>
          <t>조치원읍 침산리 255-10</t>
        </is>
      </c>
      <c r="B499" s="3" t="inlineStr">
        <is>
          <t>제2종일반주거지역</t>
        </is>
      </c>
      <c r="C499" s="3" t="inlineStr">
        <is>
          <t>대</t>
        </is>
      </c>
      <c r="D499" s="3" t="inlineStr">
        <is>
          <t>3</t>
        </is>
      </c>
      <c r="E499" s="3" t="inlineStr">
        <is>
          <t>일반원룸</t>
        </is>
      </c>
      <c r="F499" s="3" t="inlineStr">
        <is>
          <t>월세</t>
        </is>
      </c>
      <c r="G499" s="4" t="n">
        <v>300</v>
      </c>
      <c r="H499" s="4" t="n">
        <v>30</v>
      </c>
      <c r="I499" s="4" t="n">
        <v>25</v>
      </c>
      <c r="J499" s="4" t="n">
        <v>8</v>
      </c>
      <c r="K499" s="5" t="n">
        <v>3.8</v>
      </c>
      <c r="L499" s="4" t="n">
        <v>22</v>
      </c>
      <c r="M499" s="4" t="n">
        <v>7</v>
      </c>
      <c r="N499" s="5" t="n">
        <v>4.3</v>
      </c>
      <c r="O499" s="3" t="inlineStr">
        <is>
          <t>nan</t>
        </is>
      </c>
      <c r="P499" s="6">
        <f>HYPERLINK("https://fin.land.naver.com/articles/2652783653", "매물Link")</f>
        <v/>
      </c>
      <c r="Q499" s="6">
        <f>HYPERLINK("https://map.naver.com/p/search/조치원읍 침산리 255-10", "지도Link")</f>
        <v/>
      </c>
      <c r="R499" s="6">
        <f>HYPERLINK("http://www.eum.go.kr/web/ar/lu/luLandDet.jsp?pnu=3611025028102550010&amp;isNoScr=script&amp;mode=search", "토지이음")</f>
        <v/>
      </c>
      <c r="S499" s="3" t="inlineStr">
        <is>
          <t>효자</t>
        </is>
      </c>
      <c r="T499" s="4" t="n">
        <v>1</v>
      </c>
      <c r="U499" s="5" t="n">
        <v>292.7</v>
      </c>
      <c r="V499" s="4" t="n">
        <v>251.7</v>
      </c>
      <c r="W499" s="3" t="inlineStr">
        <is>
          <t>지정되지않음</t>
        </is>
      </c>
      <c r="X499" s="3" t="inlineStr">
        <is>
          <t>주거기타</t>
        </is>
      </c>
      <c r="Y499" s="3" t="inlineStr">
        <is>
          <t>평지</t>
        </is>
      </c>
      <c r="Z499" s="3" t="inlineStr">
        <is>
          <t>정방형</t>
        </is>
      </c>
      <c r="AA499" s="3" t="inlineStr">
        <is>
          <t>세로한면(가)</t>
        </is>
      </c>
    </row>
    <row r="500">
      <c r="A500" s="3" t="inlineStr">
        <is>
          <t>조치원읍 침산리 255-12</t>
        </is>
      </c>
      <c r="B500" s="3" t="inlineStr">
        <is>
          <t>제2종일반주거지역</t>
        </is>
      </c>
      <c r="C500" s="3" t="inlineStr">
        <is>
          <t>대</t>
        </is>
      </c>
      <c r="D500" s="3" t="inlineStr">
        <is>
          <t>1</t>
        </is>
      </c>
      <c r="E500" s="3" t="inlineStr">
        <is>
          <t>상가주택</t>
        </is>
      </c>
      <c r="F500" s="3" t="inlineStr">
        <is>
          <t>매매</t>
        </is>
      </c>
      <c r="G500" s="4" t="n">
        <v>36000</v>
      </c>
      <c r="H500" s="4" t="n">
        <v>0</v>
      </c>
      <c r="I500" s="4" t="n">
        <v>217</v>
      </c>
      <c r="J500" s="4" t="n">
        <v>66</v>
      </c>
      <c r="K500" s="5" t="n">
        <v>545.5</v>
      </c>
      <c r="L500" s="4" t="n">
        <v>124</v>
      </c>
      <c r="M500" s="4" t="n">
        <v>38</v>
      </c>
      <c r="N500" s="5" t="n">
        <v>947.4</v>
      </c>
      <c r="O500" s="3" t="inlineStr">
        <is>
          <t>단층 건물 매매</t>
        </is>
      </c>
      <c r="P500" s="6">
        <f>HYPERLINK("https://fin.land.naver.com/articles/2653348337", "매물Link")</f>
        <v/>
      </c>
      <c r="Q500" s="6">
        <f>HYPERLINK("https://map.naver.com/p/search/조치원읍 침산리 255-12", "지도Link")</f>
        <v/>
      </c>
      <c r="R500" s="6">
        <f>HYPERLINK("http://www.eum.go.kr/web/ar/lu/luLandDet.jsp?pnu=3611025028102550012&amp;isNoScr=script&amp;mode=search", "토지이음")</f>
        <v/>
      </c>
      <c r="S500" s="3" t="inlineStr">
        <is>
          <t>김준희</t>
        </is>
      </c>
      <c r="T500" s="4" t="n">
        <v>1</v>
      </c>
      <c r="U500" s="5" t="n">
        <v>292.7</v>
      </c>
      <c r="V500" s="4" t="n">
        <v>217</v>
      </c>
      <c r="W500" s="3" t="inlineStr">
        <is>
          <t>지정되지않음</t>
        </is>
      </c>
      <c r="X500" s="3" t="inlineStr">
        <is>
          <t>주거기타</t>
        </is>
      </c>
      <c r="Y500" s="3" t="inlineStr">
        <is>
          <t>평지</t>
        </is>
      </c>
      <c r="Z500" s="3" t="inlineStr">
        <is>
          <t>정방형</t>
        </is>
      </c>
      <c r="AA500" s="3" t="inlineStr">
        <is>
          <t>세로한면(가)</t>
        </is>
      </c>
    </row>
    <row r="501">
      <c r="A501" s="3" t="inlineStr">
        <is>
          <t>조치원읍 침산리 255-4</t>
        </is>
      </c>
      <c r="B501" s="3" t="inlineStr">
        <is>
          <t>제2종일반주거지역</t>
        </is>
      </c>
      <c r="C501" s="3" t="inlineStr">
        <is>
          <t>대</t>
        </is>
      </c>
      <c r="D501" s="3" t="inlineStr">
        <is>
          <t>3</t>
        </is>
      </c>
      <c r="E501" s="3" t="inlineStr">
        <is>
          <t>다가구</t>
        </is>
      </c>
      <c r="F501" s="3" t="inlineStr">
        <is>
          <t>월세</t>
        </is>
      </c>
      <c r="G501" s="4" t="n">
        <v>200</v>
      </c>
      <c r="H501" s="4" t="n">
        <v>45</v>
      </c>
      <c r="I501" s="4" t="n">
        <v>129</v>
      </c>
      <c r="J501" s="4" t="n">
        <v>39</v>
      </c>
      <c r="K501" s="5" t="n">
        <v>1.2</v>
      </c>
      <c r="L501" s="4" t="n">
        <v>40</v>
      </c>
      <c r="M501" s="4" t="n">
        <v>12</v>
      </c>
      <c r="N501" s="5" t="n">
        <v>3.8</v>
      </c>
      <c r="O501" s="3" t="inlineStr">
        <is>
          <t>방2 화장실2</t>
        </is>
      </c>
      <c r="P501" s="6">
        <f>HYPERLINK("https://fin.land.naver.com/articles/2650123958", "매물Link")</f>
        <v/>
      </c>
      <c r="Q501" s="6">
        <f>HYPERLINK("https://map.naver.com/p/search/조치원읍 침산리 255-4", "지도Link")</f>
        <v/>
      </c>
      <c r="R501" s="6">
        <f>HYPERLINK("http://www.eum.go.kr/web/ar/lu/luLandDet.jsp?pnu=3611025028102550004&amp;isNoScr=script&amp;mode=search", "토지이음")</f>
        <v/>
      </c>
      <c r="S501" s="3" t="inlineStr">
        <is>
          <t>김준희</t>
        </is>
      </c>
      <c r="T501" s="4" t="n">
        <v>1</v>
      </c>
      <c r="U501" s="5" t="n">
        <v>289.8</v>
      </c>
      <c r="V501" s="4" t="n">
        <v>216.9</v>
      </c>
      <c r="W501" s="3" t="inlineStr">
        <is>
          <t>지정되지않음</t>
        </is>
      </c>
      <c r="X501" s="3" t="inlineStr">
        <is>
          <t>주거기타</t>
        </is>
      </c>
      <c r="Y501" s="3" t="inlineStr">
        <is>
          <t>평지</t>
        </is>
      </c>
      <c r="Z501" s="3" t="inlineStr">
        <is>
          <t>정방형</t>
        </is>
      </c>
      <c r="AA501" s="3" t="inlineStr">
        <is>
          <t>세로한면(가)</t>
        </is>
      </c>
    </row>
    <row r="502">
      <c r="A502" s="3" t="inlineStr">
        <is>
          <t>조치원읍 침산리 255-4</t>
        </is>
      </c>
      <c r="B502" s="3" t="inlineStr">
        <is>
          <t>제2종일반주거지역</t>
        </is>
      </c>
      <c r="C502" s="3" t="inlineStr">
        <is>
          <t>대</t>
        </is>
      </c>
      <c r="D502" s="3" t="inlineStr">
        <is>
          <t>3</t>
        </is>
      </c>
      <c r="E502" s="3" t="inlineStr">
        <is>
          <t>일반원룸</t>
        </is>
      </c>
      <c r="F502" s="3" t="inlineStr">
        <is>
          <t>월세</t>
        </is>
      </c>
      <c r="G502" s="4" t="n">
        <v>200</v>
      </c>
      <c r="H502" s="4" t="n">
        <v>45</v>
      </c>
      <c r="I502" s="4" t="n">
        <v>0</v>
      </c>
      <c r="J502" s="4" t="n">
        <v>0</v>
      </c>
      <c r="K502" s="5" t="n">
        <v>0</v>
      </c>
      <c r="L502" s="4" t="n">
        <v>33</v>
      </c>
      <c r="M502" s="4" t="n">
        <v>10</v>
      </c>
      <c r="N502" s="5" t="n">
        <v>4.5</v>
      </c>
      <c r="O502" s="3" t="inlineStr">
        <is>
          <t>화장실2개 에어컨 2개    2룸</t>
        </is>
      </c>
      <c r="P502" s="6">
        <f>HYPERLINK("https://fin.land.naver.com/articles/2649435819", "매물Link")</f>
        <v/>
      </c>
      <c r="Q502" s="6">
        <f>HYPERLINK("https://map.naver.com/p/search/조치원읍 침산리 255-4", "지도Link")</f>
        <v/>
      </c>
      <c r="R502" s="6">
        <f>HYPERLINK("http://www.eum.go.kr/web/ar/lu/luLandDet.jsp?pnu=3611025028102550004&amp;isNoScr=script&amp;mode=search", "토지이음")</f>
        <v/>
      </c>
      <c r="S502" s="3" t="inlineStr">
        <is>
          <t>척척</t>
        </is>
      </c>
      <c r="T502" s="4" t="n">
        <v>1</v>
      </c>
      <c r="U502" s="5" t="n">
        <v>289.8</v>
      </c>
      <c r="V502" s="4" t="n">
        <v>216.9</v>
      </c>
      <c r="W502" s="3" t="inlineStr">
        <is>
          <t>지정되지않음</t>
        </is>
      </c>
      <c r="X502" s="3" t="inlineStr">
        <is>
          <t>주거기타</t>
        </is>
      </c>
      <c r="Y502" s="3" t="inlineStr">
        <is>
          <t>평지</t>
        </is>
      </c>
      <c r="Z502" s="3" t="inlineStr">
        <is>
          <t>정방형</t>
        </is>
      </c>
      <c r="AA502" s="3" t="inlineStr">
        <is>
          <t>세로한면(가)</t>
        </is>
      </c>
    </row>
    <row r="503">
      <c r="A503" s="3" t="inlineStr">
        <is>
          <t>조치원읍 침산리 255-4</t>
        </is>
      </c>
      <c r="B503" s="3" t="inlineStr">
        <is>
          <t>제2종일반주거지역</t>
        </is>
      </c>
      <c r="C503" s="3" t="inlineStr">
        <is>
          <t>대</t>
        </is>
      </c>
      <c r="D503" s="3" t="inlineStr">
        <is>
          <t>3</t>
        </is>
      </c>
      <c r="E503" s="3" t="inlineStr">
        <is>
          <t>일반원룸</t>
        </is>
      </c>
      <c r="F503" s="3" t="inlineStr">
        <is>
          <t>단기임대</t>
        </is>
      </c>
      <c r="G503" s="4" t="n">
        <v>200</v>
      </c>
      <c r="H503" s="4" t="n">
        <v>55</v>
      </c>
      <c r="I503" s="4" t="n">
        <v>46</v>
      </c>
      <c r="J503" s="4" t="n">
        <v>14</v>
      </c>
      <c r="K503" s="5" t="n">
        <v>14.3</v>
      </c>
      <c r="L503" s="4" t="n">
        <v>39</v>
      </c>
      <c r="M503" s="4" t="n">
        <v>12</v>
      </c>
      <c r="N503" s="5" t="n">
        <v>16.7</v>
      </c>
      <c r="O503" s="3" t="inlineStr">
        <is>
          <t>2인숙소.6개월 단기계약가능.에어컨2개.화장실2개</t>
        </is>
      </c>
      <c r="P503" s="6">
        <f>HYPERLINK("https://fin.land.naver.com/articles/2652556288", "매물Link")</f>
        <v/>
      </c>
      <c r="Q503" s="6">
        <f>HYPERLINK("https://map.naver.com/p/search/조치원읍 침산리 255-4", "지도Link")</f>
        <v/>
      </c>
      <c r="R503" s="6">
        <f>HYPERLINK("http://www.eum.go.kr/web/ar/lu/luLandDet.jsp?pnu=3611025028102550004&amp;isNoScr=script&amp;mode=search", "토지이음")</f>
        <v/>
      </c>
      <c r="S503" s="3" t="inlineStr">
        <is>
          <t>척척</t>
        </is>
      </c>
      <c r="T503" s="4" t="n">
        <v>1</v>
      </c>
      <c r="U503" s="5" t="n">
        <v>289.8</v>
      </c>
      <c r="V503" s="4" t="n">
        <v>216.9</v>
      </c>
      <c r="W503" s="3" t="inlineStr">
        <is>
          <t>지정되지않음</t>
        </is>
      </c>
      <c r="X503" s="3" t="inlineStr">
        <is>
          <t>주거기타</t>
        </is>
      </c>
      <c r="Y503" s="3" t="inlineStr">
        <is>
          <t>평지</t>
        </is>
      </c>
      <c r="Z503" s="3" t="inlineStr">
        <is>
          <t>정방형</t>
        </is>
      </c>
      <c r="AA503" s="3" t="inlineStr">
        <is>
          <t>세로한면(가)</t>
        </is>
      </c>
    </row>
    <row r="504">
      <c r="A504" s="3" t="inlineStr">
        <is>
          <t>조치원읍 침산리 256-11</t>
        </is>
      </c>
      <c r="B504" s="3" t="inlineStr">
        <is>
          <t>제2종일반주거지역</t>
        </is>
      </c>
      <c r="C504" s="3" t="inlineStr">
        <is>
          <t>대</t>
        </is>
      </c>
      <c r="D504" s="3" t="inlineStr">
        <is>
          <t>4</t>
        </is>
      </c>
      <c r="E504" s="3" t="inlineStr">
        <is>
          <t>일반원룸</t>
        </is>
      </c>
      <c r="F504" s="3" t="inlineStr">
        <is>
          <t>전세</t>
        </is>
      </c>
      <c r="G504" s="4" t="n">
        <v>5000</v>
      </c>
      <c r="H504" s="4" t="n">
        <v>0</v>
      </c>
      <c r="I504" s="4" t="n">
        <v>20</v>
      </c>
      <c r="J504" s="4" t="n">
        <v>6</v>
      </c>
      <c r="K504" s="5" t="n">
        <v>833.3</v>
      </c>
      <c r="L504" s="4" t="n">
        <v>20</v>
      </c>
      <c r="M504" s="4" t="n">
        <v>6</v>
      </c>
      <c r="N504" s="5" t="n">
        <v>833.3</v>
      </c>
      <c r="O504" s="3" t="inlineStr">
        <is>
          <t>침산리 원룸 전세 깨끗한 원룸</t>
        </is>
      </c>
      <c r="P504" s="6">
        <f>HYPERLINK("https://fin.land.naver.com/articles/2653345415", "매물Link")</f>
        <v/>
      </c>
      <c r="Q504" s="6">
        <f>HYPERLINK("https://map.naver.com/p/search/조치원읍 침산리 256-11", "지도Link")</f>
        <v/>
      </c>
      <c r="R504" s="6">
        <f>HYPERLINK("http://www.eum.go.kr/web/ar/lu/luLandDet.jsp?pnu=3611025028102560011&amp;isNoScr=script&amp;mode=search", "토지이음")</f>
        <v/>
      </c>
      <c r="S504" s="3" t="inlineStr">
        <is>
          <t>김준희</t>
        </is>
      </c>
      <c r="T504" s="4" t="n">
        <v>1</v>
      </c>
      <c r="U504" s="5" t="n">
        <v>633.1</v>
      </c>
      <c r="V504" s="4" t="n">
        <v>215.4</v>
      </c>
      <c r="W504" s="3" t="inlineStr">
        <is>
          <t>지정되지않음</t>
        </is>
      </c>
      <c r="X504" s="3" t="inlineStr">
        <is>
          <t>상업용</t>
        </is>
      </c>
      <c r="Y504" s="3" t="inlineStr">
        <is>
          <t>평지</t>
        </is>
      </c>
      <c r="Z504" s="3" t="inlineStr">
        <is>
          <t>세로장방</t>
        </is>
      </c>
      <c r="AA504" s="3" t="inlineStr">
        <is>
          <t>중로각지</t>
        </is>
      </c>
    </row>
    <row r="505">
      <c r="A505" s="3" t="inlineStr">
        <is>
          <t>조치원읍 침산리 256-11</t>
        </is>
      </c>
      <c r="B505" s="3" t="inlineStr">
        <is>
          <t>제2종일반주거지역</t>
        </is>
      </c>
      <c r="C505" s="3" t="inlineStr">
        <is>
          <t>대</t>
        </is>
      </c>
      <c r="D505" s="3" t="inlineStr">
        <is>
          <t>3</t>
        </is>
      </c>
      <c r="E505" s="3" t="inlineStr">
        <is>
          <t>다가구</t>
        </is>
      </c>
      <c r="F505" s="3" t="inlineStr">
        <is>
          <t>월세</t>
        </is>
      </c>
      <c r="G505" s="4" t="n">
        <v>200</v>
      </c>
      <c r="H505" s="4" t="n">
        <v>30</v>
      </c>
      <c r="I505" s="4" t="n">
        <v>26</v>
      </c>
      <c r="J505" s="4" t="n">
        <v>8</v>
      </c>
      <c r="K505" s="5" t="n">
        <v>3.8</v>
      </c>
      <c r="L505" s="4" t="n">
        <v>26</v>
      </c>
      <c r="M505" s="4" t="n">
        <v>8</v>
      </c>
      <c r="N505" s="5" t="n">
        <v>3.8</v>
      </c>
      <c r="O505" s="3" t="inlineStr">
        <is>
          <t>침산리 월세 풀옵션</t>
        </is>
      </c>
      <c r="P505" s="6">
        <f>HYPERLINK("https://fin.land.naver.com/articles/2652539762", "매물Link")</f>
        <v/>
      </c>
      <c r="Q505" s="6">
        <f>HYPERLINK("https://map.naver.com/p/search/조치원읍 침산리 256-11", "지도Link")</f>
        <v/>
      </c>
      <c r="R505" s="6">
        <f>HYPERLINK("http://www.eum.go.kr/web/ar/lu/luLandDet.jsp?pnu=3611025028102560011&amp;isNoScr=script&amp;mode=search", "토지이음")</f>
        <v/>
      </c>
      <c r="S505" s="3" t="inlineStr">
        <is>
          <t>김준희</t>
        </is>
      </c>
      <c r="T505" s="4" t="n">
        <v>1</v>
      </c>
      <c r="U505" s="5" t="n">
        <v>633.1</v>
      </c>
      <c r="V505" s="4" t="n">
        <v>215.4</v>
      </c>
      <c r="W505" s="3" t="inlineStr">
        <is>
          <t>지정되지않음</t>
        </is>
      </c>
      <c r="X505" s="3" t="inlineStr">
        <is>
          <t>상업용</t>
        </is>
      </c>
      <c r="Y505" s="3" t="inlineStr">
        <is>
          <t>평지</t>
        </is>
      </c>
      <c r="Z505" s="3" t="inlineStr">
        <is>
          <t>세로장방</t>
        </is>
      </c>
      <c r="AA505" s="3" t="inlineStr">
        <is>
          <t>중로각지</t>
        </is>
      </c>
    </row>
    <row r="506">
      <c r="A506" s="3" t="inlineStr">
        <is>
          <t>조치원읍 침산리 256-11</t>
        </is>
      </c>
      <c r="B506" s="3" t="inlineStr">
        <is>
          <t>제2종일반주거지역</t>
        </is>
      </c>
      <c r="C506" s="3" t="inlineStr">
        <is>
          <t>대</t>
        </is>
      </c>
      <c r="D506" s="3" t="inlineStr">
        <is>
          <t>4</t>
        </is>
      </c>
      <c r="E506" s="3" t="inlineStr">
        <is>
          <t>일반원룸</t>
        </is>
      </c>
      <c r="F506" s="3" t="inlineStr">
        <is>
          <t>월세</t>
        </is>
      </c>
      <c r="G506" s="4" t="n">
        <v>200</v>
      </c>
      <c r="H506" s="4" t="n">
        <v>30</v>
      </c>
      <c r="I506" s="4" t="n">
        <v>20</v>
      </c>
      <c r="J506" s="4" t="n">
        <v>6</v>
      </c>
      <c r="K506" s="5" t="n">
        <v>5</v>
      </c>
      <c r="L506" s="4" t="n">
        <v>20</v>
      </c>
      <c r="M506" s="4" t="n">
        <v>6</v>
      </c>
      <c r="N506" s="5" t="n">
        <v>5</v>
      </c>
      <c r="O506" s="3" t="inlineStr">
        <is>
          <t>단기가능 깨끗한 풀옵션 원룸 남향</t>
        </is>
      </c>
      <c r="P506" s="6">
        <f>HYPERLINK("https://fin.land.naver.com/articles/2653345126", "매물Link")</f>
        <v/>
      </c>
      <c r="Q506" s="6">
        <f>HYPERLINK("https://map.naver.com/p/search/조치원읍 침산리 256-11", "지도Link")</f>
        <v/>
      </c>
      <c r="R506" s="6">
        <f>HYPERLINK("http://www.eum.go.kr/web/ar/lu/luLandDet.jsp?pnu=3611025028102560011&amp;isNoScr=script&amp;mode=search", "토지이음")</f>
        <v/>
      </c>
      <c r="S506" s="3" t="inlineStr">
        <is>
          <t>김준희</t>
        </is>
      </c>
      <c r="T506" s="4" t="n">
        <v>1</v>
      </c>
      <c r="U506" s="5" t="n">
        <v>633.1</v>
      </c>
      <c r="V506" s="4" t="n">
        <v>215.4</v>
      </c>
      <c r="W506" s="3" t="inlineStr">
        <is>
          <t>지정되지않음</t>
        </is>
      </c>
      <c r="X506" s="3" t="inlineStr">
        <is>
          <t>상업용</t>
        </is>
      </c>
      <c r="Y506" s="3" t="inlineStr">
        <is>
          <t>평지</t>
        </is>
      </c>
      <c r="Z506" s="3" t="inlineStr">
        <is>
          <t>세로장방</t>
        </is>
      </c>
      <c r="AA506" s="3" t="inlineStr">
        <is>
          <t>중로각지</t>
        </is>
      </c>
    </row>
    <row r="507">
      <c r="A507" s="3" t="inlineStr">
        <is>
          <t>조치원읍 침산리 257-10</t>
        </is>
      </c>
      <c r="B507" s="3" t="inlineStr">
        <is>
          <t>제2종일반주거지역</t>
        </is>
      </c>
      <c r="C507" s="3" t="inlineStr">
        <is>
          <t>대</t>
        </is>
      </c>
      <c r="D507" s="3" t="inlineStr">
        <is>
          <t>4</t>
        </is>
      </c>
      <c r="E507" s="3" t="inlineStr">
        <is>
          <t>다가구</t>
        </is>
      </c>
      <c r="F507" s="3" t="inlineStr">
        <is>
          <t>매매</t>
        </is>
      </c>
      <c r="G507" s="4" t="n">
        <v>153000</v>
      </c>
      <c r="H507" s="4" t="n">
        <v>0</v>
      </c>
      <c r="I507" s="4" t="n">
        <v>336</v>
      </c>
      <c r="J507" s="4" t="n">
        <v>102</v>
      </c>
      <c r="K507" s="5" t="n">
        <v>1500</v>
      </c>
      <c r="L507" s="4" t="n">
        <v>567</v>
      </c>
      <c r="M507" s="4" t="n">
        <v>172</v>
      </c>
      <c r="N507" s="5" t="n">
        <v>889.5</v>
      </c>
      <c r="O507" s="3" t="inlineStr">
        <is>
          <t>nan</t>
        </is>
      </c>
      <c r="P507" s="6">
        <f>HYPERLINK("https://fin.land.naver.com/articles/2654386653", "매물Link")</f>
        <v/>
      </c>
      <c r="Q507" s="6">
        <f>HYPERLINK("https://map.naver.com/p/search/조치원읍 침산리 257-10", "지도Link")</f>
        <v/>
      </c>
      <c r="R507" s="6">
        <f>HYPERLINK("http://www.eum.go.kr/web/ar/lu/luLandDet.jsp?pnu=3611025028102570010&amp;isNoScr=script&amp;mode=search", "토지이음")</f>
        <v/>
      </c>
      <c r="S507" s="3" t="inlineStr">
        <is>
          <t>척척</t>
        </is>
      </c>
      <c r="T507" s="4" t="n">
        <v>1</v>
      </c>
      <c r="U507" s="5" t="n">
        <v>339.8</v>
      </c>
      <c r="V507" s="4" t="n">
        <v>336.7</v>
      </c>
      <c r="W507" s="3" t="inlineStr">
        <is>
          <t>지정되지않음</t>
        </is>
      </c>
      <c r="X507" s="3" t="inlineStr">
        <is>
          <t>주상용</t>
        </is>
      </c>
      <c r="Y507" s="3" t="inlineStr">
        <is>
          <t>평지</t>
        </is>
      </c>
      <c r="Z507" s="3" t="inlineStr">
        <is>
          <t>정방형</t>
        </is>
      </c>
      <c r="AA507" s="3" t="inlineStr">
        <is>
          <t>소로한면</t>
        </is>
      </c>
    </row>
    <row r="508">
      <c r="A508" s="3" t="inlineStr">
        <is>
          <t>조치원읍 침산리 257-15</t>
        </is>
      </c>
      <c r="B508" s="3" t="inlineStr">
        <is>
          <t>제2종일반주거지역</t>
        </is>
      </c>
      <c r="C508" s="3" t="inlineStr">
        <is>
          <t>대</t>
        </is>
      </c>
      <c r="D508" s="3" t="inlineStr">
        <is>
          <t>5</t>
        </is>
      </c>
      <c r="E508" s="3" t="inlineStr">
        <is>
          <t>일반원룸</t>
        </is>
      </c>
      <c r="F508" s="3" t="inlineStr">
        <is>
          <t>월세</t>
        </is>
      </c>
      <c r="G508" s="4" t="n">
        <v>200</v>
      </c>
      <c r="H508" s="4" t="n">
        <v>37</v>
      </c>
      <c r="I508" s="4" t="n">
        <v>42</v>
      </c>
      <c r="J508" s="4" t="n">
        <v>13</v>
      </c>
      <c r="K508" s="5" t="n">
        <v>2.8</v>
      </c>
      <c r="L508" s="4" t="n">
        <v>36</v>
      </c>
      <c r="M508" s="4" t="n">
        <v>11</v>
      </c>
      <c r="N508" s="5" t="n">
        <v>3.4</v>
      </c>
      <c r="O508" s="3" t="inlineStr">
        <is>
          <t>1.5룸.엘리베이터있는 건물.전자제품 옵션</t>
        </is>
      </c>
      <c r="P508" s="6">
        <f>HYPERLINK("https://fin.land.naver.com/articles/2651555465", "매물Link")</f>
        <v/>
      </c>
      <c r="Q508" s="6">
        <f>HYPERLINK("https://map.naver.com/p/search/조치원읍 침산리 257-15", "지도Link")</f>
        <v/>
      </c>
      <c r="R508" s="6">
        <f>HYPERLINK("http://www.eum.go.kr/web/ar/lu/luLandDet.jsp?pnu=3611025028102570015&amp;isNoScr=script&amp;mode=search", "토지이음")</f>
        <v/>
      </c>
      <c r="S508" s="3" t="inlineStr">
        <is>
          <t>척척</t>
        </is>
      </c>
      <c r="T508" s="4" t="n">
        <v>1</v>
      </c>
      <c r="U508" s="5" t="n">
        <v>336.2</v>
      </c>
      <c r="V508" s="4" t="n">
        <v>226.4</v>
      </c>
      <c r="W508" s="3" t="inlineStr">
        <is>
          <t>지정되지않음</t>
        </is>
      </c>
      <c r="X508" s="3" t="inlineStr">
        <is>
          <t>주상용</t>
        </is>
      </c>
      <c r="Y508" s="3" t="inlineStr">
        <is>
          <t>평지</t>
        </is>
      </c>
      <c r="Z508" s="3" t="inlineStr">
        <is>
          <t>세로장방</t>
        </is>
      </c>
      <c r="AA508" s="3" t="inlineStr">
        <is>
          <t>소로한면</t>
        </is>
      </c>
    </row>
    <row r="509">
      <c r="A509" s="3" t="inlineStr">
        <is>
          <t>조치원읍 침산리 257-15</t>
        </is>
      </c>
      <c r="B509" s="3" t="inlineStr">
        <is>
          <t>제2종일반주거지역</t>
        </is>
      </c>
      <c r="C509" s="3" t="inlineStr">
        <is>
          <t>대</t>
        </is>
      </c>
      <c r="D509" s="3" t="inlineStr">
        <is>
          <t>5</t>
        </is>
      </c>
      <c r="E509" s="3" t="inlineStr">
        <is>
          <t>일반원룸</t>
        </is>
      </c>
      <c r="F509" s="3" t="inlineStr">
        <is>
          <t>월세</t>
        </is>
      </c>
      <c r="G509" s="4" t="n">
        <v>200</v>
      </c>
      <c r="H509" s="4" t="n">
        <v>35</v>
      </c>
      <c r="I509" s="4" t="n">
        <v>0</v>
      </c>
      <c r="J509" s="4" t="n">
        <v>0</v>
      </c>
      <c r="K509" s="5" t="n">
        <v>0</v>
      </c>
      <c r="L509" s="4" t="n">
        <v>26</v>
      </c>
      <c r="M509" s="4" t="n">
        <v>8</v>
      </c>
      <c r="N509" s="5" t="n">
        <v>4.4</v>
      </c>
      <c r="O509" s="3" t="inlineStr">
        <is>
          <t>L 엘베. 역3분. 넓은룸. 위치최고</t>
        </is>
      </c>
      <c r="P509" s="6">
        <f>HYPERLINK("https://fin.land.naver.com/articles/2651114560", "매물Link")</f>
        <v/>
      </c>
      <c r="Q509" s="6">
        <f>HYPERLINK("https://map.naver.com/p/search/조치원읍 침산리 257-15", "지도Link")</f>
        <v/>
      </c>
      <c r="R509" s="6">
        <f>HYPERLINK("http://www.eum.go.kr/web/ar/lu/luLandDet.jsp?pnu=3611025028102570015&amp;isNoScr=script&amp;mode=search", "토지이음")</f>
        <v/>
      </c>
      <c r="S509" s="3" t="inlineStr">
        <is>
          <t>바다</t>
        </is>
      </c>
      <c r="T509" s="4" t="n">
        <v>1</v>
      </c>
      <c r="U509" s="5" t="n">
        <v>336.2</v>
      </c>
      <c r="V509" s="4" t="n">
        <v>226.4</v>
      </c>
      <c r="W509" s="3" t="inlineStr">
        <is>
          <t>지정되지않음</t>
        </is>
      </c>
      <c r="X509" s="3" t="inlineStr">
        <is>
          <t>주상용</t>
        </is>
      </c>
      <c r="Y509" s="3" t="inlineStr">
        <is>
          <t>평지</t>
        </is>
      </c>
      <c r="Z509" s="3" t="inlineStr">
        <is>
          <t>세로장방</t>
        </is>
      </c>
      <c r="AA509" s="3" t="inlineStr">
        <is>
          <t>소로한면</t>
        </is>
      </c>
    </row>
    <row r="510">
      <c r="A510" s="3" t="inlineStr">
        <is>
          <t>조치원읍 침산리 257-8</t>
        </is>
      </c>
      <c r="B510" s="3" t="inlineStr">
        <is>
          <t>제2종일반주거지역</t>
        </is>
      </c>
      <c r="C510" s="3" t="inlineStr">
        <is>
          <t>대</t>
        </is>
      </c>
      <c r="D510" s="3" t="inlineStr">
        <is>
          <t>3</t>
        </is>
      </c>
      <c r="E510" s="3" t="inlineStr">
        <is>
          <t>일반원룸</t>
        </is>
      </c>
      <c r="F510" s="3" t="inlineStr">
        <is>
          <t>월세</t>
        </is>
      </c>
      <c r="G510" s="4" t="n">
        <v>200</v>
      </c>
      <c r="H510" s="4" t="n">
        <v>30</v>
      </c>
      <c r="I510" s="4" t="n">
        <v>23</v>
      </c>
      <c r="J510" s="4" t="n">
        <v>7</v>
      </c>
      <c r="K510" s="5" t="n">
        <v>4.3</v>
      </c>
      <c r="L510" s="4" t="n">
        <v>23</v>
      </c>
      <c r="M510" s="4" t="n">
        <v>7</v>
      </c>
      <c r="N510" s="5" t="n">
        <v>4.3</v>
      </c>
      <c r="O510" s="3" t="inlineStr">
        <is>
          <t>침산리 원룸 월세 즉시입주 단기가능</t>
        </is>
      </c>
      <c r="P510" s="6">
        <f>HYPERLINK("https://fin.land.naver.com/articles/2652373282", "매물Link")</f>
        <v/>
      </c>
      <c r="Q510" s="6">
        <f>HYPERLINK("https://map.naver.com/p/search/조치원읍 침산리 257-8", "지도Link")</f>
        <v/>
      </c>
      <c r="R510" s="6">
        <f>HYPERLINK("http://www.eum.go.kr/web/ar/lu/luLandDet.jsp?pnu=3611025028102570008&amp;isNoScr=script&amp;mode=search", "토지이음")</f>
        <v/>
      </c>
      <c r="S510" s="3" t="inlineStr">
        <is>
          <t>김준희</t>
        </is>
      </c>
      <c r="T510" s="4" t="n">
        <v>1</v>
      </c>
      <c r="U510" s="5" t="n">
        <v>412.6</v>
      </c>
      <c r="V510" s="4" t="n">
        <v>292</v>
      </c>
      <c r="W510" s="3" t="inlineStr">
        <is>
          <t>지정되지않음</t>
        </is>
      </c>
      <c r="X510" s="3" t="inlineStr">
        <is>
          <t>주상기타</t>
        </is>
      </c>
      <c r="Y510" s="3" t="inlineStr">
        <is>
          <t>평지</t>
        </is>
      </c>
      <c r="Z510" s="3" t="inlineStr">
        <is>
          <t>정방형</t>
        </is>
      </c>
      <c r="AA510" s="3" t="inlineStr">
        <is>
          <t>세로각지(가)</t>
        </is>
      </c>
    </row>
    <row r="511">
      <c r="A511" s="3" t="inlineStr">
        <is>
          <t>조치원읍 침산리 258-1</t>
        </is>
      </c>
      <c r="B511" s="3" t="inlineStr">
        <is>
          <t>제2종일반주거지역</t>
        </is>
      </c>
      <c r="C511" s="3" t="inlineStr">
        <is>
          <t>대</t>
        </is>
      </c>
      <c r="D511" s="3" t="inlineStr">
        <is>
          <t>4</t>
        </is>
      </c>
      <c r="E511" s="3" t="inlineStr">
        <is>
          <t>일반원룸</t>
        </is>
      </c>
      <c r="F511" s="3" t="inlineStr">
        <is>
          <t>월세</t>
        </is>
      </c>
      <c r="G511" s="4" t="n">
        <v>100</v>
      </c>
      <c r="H511" s="4" t="n">
        <v>27</v>
      </c>
      <c r="I511" s="4" t="n">
        <v>19</v>
      </c>
      <c r="J511" s="4" t="n">
        <v>6</v>
      </c>
      <c r="K511" s="5" t="n">
        <v>4.5</v>
      </c>
      <c r="L511" s="4" t="n">
        <v>19</v>
      </c>
      <c r="M511" s="4" t="n">
        <v>6</v>
      </c>
      <c r="N511" s="5" t="n">
        <v>4.5</v>
      </c>
      <c r="O511" s="3" t="inlineStr">
        <is>
          <t>분리형 원룸</t>
        </is>
      </c>
      <c r="P511" s="6">
        <f>HYPERLINK("https://fin.land.naver.com/articles/2653260357", "매물Link")</f>
        <v/>
      </c>
      <c r="Q511" s="6">
        <f>HYPERLINK("https://map.naver.com/p/search/조치원읍 침산리 258-1", "지도Link")</f>
        <v/>
      </c>
      <c r="R511" s="6">
        <f>HYPERLINK("http://www.eum.go.kr/web/ar/lu/luLandDet.jsp?pnu=3611025028102580001&amp;isNoScr=script&amp;mode=search", "토지이음")</f>
        <v/>
      </c>
      <c r="S511" s="3" t="inlineStr">
        <is>
          <t>골드</t>
        </is>
      </c>
      <c r="T511" s="4" t="n">
        <v>1</v>
      </c>
      <c r="U511" s="5" t="n">
        <v>346.8</v>
      </c>
      <c r="V511" s="4" t="n">
        <v>237.5</v>
      </c>
      <c r="W511" s="3" t="inlineStr">
        <is>
          <t>지정되지않음</t>
        </is>
      </c>
      <c r="X511" s="3" t="inlineStr">
        <is>
          <t>주상기타</t>
        </is>
      </c>
      <c r="Y511" s="3" t="inlineStr">
        <is>
          <t>평지</t>
        </is>
      </c>
      <c r="Z511" s="3" t="inlineStr">
        <is>
          <t>가로장방</t>
        </is>
      </c>
      <c r="AA511" s="3" t="inlineStr">
        <is>
          <t>소로각지</t>
        </is>
      </c>
    </row>
    <row r="512">
      <c r="A512" s="3" t="inlineStr">
        <is>
          <t>조치원읍 침산리 258-7</t>
        </is>
      </c>
      <c r="B512" s="3" t="inlineStr">
        <is>
          <t>제2종일반주거지역</t>
        </is>
      </c>
      <c r="C512" s="3" t="inlineStr">
        <is>
          <t>대</t>
        </is>
      </c>
      <c r="D512" s="3" t="inlineStr">
        <is>
          <t>3</t>
        </is>
      </c>
      <c r="E512" s="3" t="inlineStr">
        <is>
          <t>일반원룸</t>
        </is>
      </c>
      <c r="F512" s="3" t="inlineStr">
        <is>
          <t>월세</t>
        </is>
      </c>
      <c r="G512" s="4" t="n">
        <v>200</v>
      </c>
      <c r="H512" s="4" t="n">
        <v>32</v>
      </c>
      <c r="I512" s="4" t="n">
        <v>0</v>
      </c>
      <c r="J512" s="4" t="n">
        <v>0</v>
      </c>
      <c r="K512" s="5" t="n">
        <v>0</v>
      </c>
      <c r="L512" s="4" t="n">
        <v>21</v>
      </c>
      <c r="M512" s="4" t="n">
        <v>6</v>
      </c>
      <c r="N512" s="5" t="n">
        <v>5.3</v>
      </c>
      <c r="O512" s="3" t="inlineStr">
        <is>
          <t>인기좋은  풀옵션완비방   엘베설치   바로입주  주차편함</t>
        </is>
      </c>
      <c r="P512" s="6">
        <f>HYPERLINK("https://fin.land.naver.com/articles/2652207760", "매물Link")</f>
        <v/>
      </c>
      <c r="Q512" s="6">
        <f>HYPERLINK("https://map.naver.com/p/search/조치원읍 침산리 258-7", "지도Link")</f>
        <v/>
      </c>
      <c r="R512" s="6">
        <f>HYPERLINK("http://www.eum.go.kr/web/ar/lu/luLandDet.jsp?pnu=3611025028102580007&amp;isNoScr=script&amp;mode=search", "토지이음")</f>
        <v/>
      </c>
      <c r="S512" s="3" t="inlineStr">
        <is>
          <t>연서으뜸</t>
        </is>
      </c>
      <c r="T512" s="4" t="n">
        <v>1</v>
      </c>
      <c r="U512" s="5" t="n">
        <v>286.5</v>
      </c>
      <c r="V512" s="4" t="n">
        <v>328.6</v>
      </c>
      <c r="W512" s="3" t="inlineStr">
        <is>
          <t>지정되지않음</t>
        </is>
      </c>
      <c r="X512" s="3" t="inlineStr">
        <is>
          <t>주상기타</t>
        </is>
      </c>
      <c r="Y512" s="3" t="inlineStr">
        <is>
          <t>평지</t>
        </is>
      </c>
      <c r="Z512" s="3" t="inlineStr">
        <is>
          <t>가로장방</t>
        </is>
      </c>
      <c r="AA512" s="3" t="inlineStr">
        <is>
          <t>세로한면(가)</t>
        </is>
      </c>
    </row>
    <row r="513">
      <c r="A513" s="3" t="inlineStr">
        <is>
          <t>조치원읍 침산리 258-7</t>
        </is>
      </c>
      <c r="B513" s="3" t="inlineStr">
        <is>
          <t>제2종일반주거지역</t>
        </is>
      </c>
      <c r="C513" s="3" t="inlineStr">
        <is>
          <t>대</t>
        </is>
      </c>
      <c r="D513" s="3" t="inlineStr">
        <is>
          <t>2</t>
        </is>
      </c>
      <c r="E513" s="3" t="inlineStr">
        <is>
          <t>다가구</t>
        </is>
      </c>
      <c r="F513" s="3" t="inlineStr">
        <is>
          <t>월세</t>
        </is>
      </c>
      <c r="G513" s="4" t="n">
        <v>200</v>
      </c>
      <c r="H513" s="4" t="n">
        <v>31</v>
      </c>
      <c r="I513" s="4" t="n">
        <v>23</v>
      </c>
      <c r="J513" s="4" t="n">
        <v>7</v>
      </c>
      <c r="K513" s="5" t="n">
        <v>4.4</v>
      </c>
      <c r="L513" s="4" t="n">
        <v>23</v>
      </c>
      <c r="M513" s="4" t="n">
        <v>7</v>
      </c>
      <c r="N513" s="5" t="n">
        <v>4.4</v>
      </c>
      <c r="O513" s="3" t="inlineStr">
        <is>
          <t>분리형 원룸이며, 조치원시장, 조치원역 옆에 위치하여 교통 편리</t>
        </is>
      </c>
      <c r="P513" s="6">
        <f>HYPERLINK("https://fin.land.naver.com/articles/2653988879", "매물Link")</f>
        <v/>
      </c>
      <c r="Q513" s="6">
        <f>HYPERLINK("https://map.naver.com/p/search/조치원읍 침산리 258-7", "지도Link")</f>
        <v/>
      </c>
      <c r="R513" s="6">
        <f>HYPERLINK("http://www.eum.go.kr/web/ar/lu/luLandDet.jsp?pnu=3611025028102580007&amp;isNoScr=script&amp;mode=search", "토지이음")</f>
        <v/>
      </c>
      <c r="S513" s="3" t="inlineStr">
        <is>
          <t>세종베스트</t>
        </is>
      </c>
      <c r="T513" s="4" t="n">
        <v>1</v>
      </c>
      <c r="U513" s="5" t="n">
        <v>286.5</v>
      </c>
      <c r="V513" s="4" t="n">
        <v>328.6</v>
      </c>
      <c r="W513" s="3" t="inlineStr">
        <is>
          <t>지정되지않음</t>
        </is>
      </c>
      <c r="X513" s="3" t="inlineStr">
        <is>
          <t>주상기타</t>
        </is>
      </c>
      <c r="Y513" s="3" t="inlineStr">
        <is>
          <t>평지</t>
        </is>
      </c>
      <c r="Z513" s="3" t="inlineStr">
        <is>
          <t>가로장방</t>
        </is>
      </c>
      <c r="AA513" s="3" t="inlineStr">
        <is>
          <t>세로한면(가)</t>
        </is>
      </c>
    </row>
    <row r="514">
      <c r="A514" s="3" t="inlineStr">
        <is>
          <t>조치원읍 침산리 265-11</t>
        </is>
      </c>
      <c r="B514" s="3" t="inlineStr">
        <is>
          <t>제2종일반주거지역</t>
        </is>
      </c>
      <c r="C514" s="3" t="inlineStr">
        <is>
          <t>대</t>
        </is>
      </c>
      <c r="D514" s="3" t="inlineStr">
        <is>
          <t>1</t>
        </is>
      </c>
      <c r="E514" s="3" t="inlineStr">
        <is>
          <t>일반원룸</t>
        </is>
      </c>
      <c r="F514" s="3" t="inlineStr">
        <is>
          <t>월세</t>
        </is>
      </c>
      <c r="G514" s="4" t="n">
        <v>150</v>
      </c>
      <c r="H514" s="4" t="n">
        <v>25</v>
      </c>
      <c r="I514" s="4" t="n">
        <v>0</v>
      </c>
      <c r="J514" s="4" t="n">
        <v>0</v>
      </c>
      <c r="K514" s="5" t="n">
        <v>0</v>
      </c>
      <c r="L514" s="4" t="n">
        <v>23</v>
      </c>
      <c r="M514" s="4" t="n">
        <v>7</v>
      </c>
      <c r="N514" s="5" t="n">
        <v>3.6</v>
      </c>
      <c r="O514" s="3" t="inlineStr">
        <is>
          <t>nan</t>
        </is>
      </c>
      <c r="P514" s="6">
        <f>HYPERLINK("https://fin.land.naver.com/articles/2649877584", "매물Link")</f>
        <v/>
      </c>
      <c r="Q514" s="6">
        <f>HYPERLINK("https://map.naver.com/p/search/조치원읍 침산리 265-11", "지도Link")</f>
        <v/>
      </c>
      <c r="R514" s="6">
        <f>HYPERLINK("http://www.eum.go.kr/web/ar/lu/luLandDet.jsp?pnu=3611025028102650011&amp;isNoScr=script&amp;mode=search", "토지이음")</f>
        <v/>
      </c>
      <c r="S514" s="3" t="inlineStr">
        <is>
          <t>척척</t>
        </is>
      </c>
      <c r="T514" s="4" t="n">
        <v>1</v>
      </c>
      <c r="U514" s="5" t="n">
        <v>415.5</v>
      </c>
      <c r="V514" s="4" t="n">
        <v>190.7</v>
      </c>
      <c r="W514" s="3" t="inlineStr">
        <is>
          <t>지정되지않음</t>
        </is>
      </c>
      <c r="X514" s="3" t="inlineStr">
        <is>
          <t>주상기타</t>
        </is>
      </c>
      <c r="Y514" s="3" t="inlineStr">
        <is>
          <t>평지</t>
        </is>
      </c>
      <c r="Z514" s="3" t="inlineStr">
        <is>
          <t>세로장방</t>
        </is>
      </c>
      <c r="AA514" s="3" t="inlineStr">
        <is>
          <t>소로한면</t>
        </is>
      </c>
    </row>
    <row r="515">
      <c r="A515" s="3" t="inlineStr">
        <is>
          <t>조치원읍 침산리 265-11</t>
        </is>
      </c>
      <c r="B515" s="3" t="inlineStr">
        <is>
          <t>제2종일반주거지역</t>
        </is>
      </c>
      <c r="C515" s="3" t="inlineStr">
        <is>
          <t>대</t>
        </is>
      </c>
      <c r="D515" s="3" t="inlineStr">
        <is>
          <t>2</t>
        </is>
      </c>
      <c r="E515" s="3" t="inlineStr">
        <is>
          <t>일반원룸</t>
        </is>
      </c>
      <c r="F515" s="3" t="inlineStr">
        <is>
          <t>월세</t>
        </is>
      </c>
      <c r="G515" s="4" t="n">
        <v>200</v>
      </c>
      <c r="H515" s="4" t="n">
        <v>28</v>
      </c>
      <c r="I515" s="4" t="n">
        <v>0</v>
      </c>
      <c r="J515" s="4" t="n">
        <v>0</v>
      </c>
      <c r="K515" s="5" t="n">
        <v>0</v>
      </c>
      <c r="L515" s="4" t="n">
        <v>23</v>
      </c>
      <c r="M515" s="4" t="n">
        <v>7</v>
      </c>
      <c r="N515" s="5" t="n">
        <v>4</v>
      </c>
      <c r="O515" s="3" t="inlineStr">
        <is>
          <t>nan</t>
        </is>
      </c>
      <c r="P515" s="6">
        <f>HYPERLINK("https://fin.land.naver.com/articles/2654006401", "매물Link")</f>
        <v/>
      </c>
      <c r="Q515" s="6">
        <f>HYPERLINK("https://map.naver.com/p/search/조치원읍 침산리 265-11", "지도Link")</f>
        <v/>
      </c>
      <c r="R515" s="6">
        <f>HYPERLINK("http://www.eum.go.kr/web/ar/lu/luLandDet.jsp?pnu=3611025028102650011&amp;isNoScr=script&amp;mode=search", "토지이음")</f>
        <v/>
      </c>
      <c r="S515" s="3" t="inlineStr">
        <is>
          <t>척척</t>
        </is>
      </c>
      <c r="T515" s="4" t="n">
        <v>1</v>
      </c>
      <c r="U515" s="5" t="n">
        <v>415.5</v>
      </c>
      <c r="V515" s="4" t="n">
        <v>190.7</v>
      </c>
      <c r="W515" s="3" t="inlineStr">
        <is>
          <t>지정되지않음</t>
        </is>
      </c>
      <c r="X515" s="3" t="inlineStr">
        <is>
          <t>주상기타</t>
        </is>
      </c>
      <c r="Y515" s="3" t="inlineStr">
        <is>
          <t>평지</t>
        </is>
      </c>
      <c r="Z515" s="3" t="inlineStr">
        <is>
          <t>세로장방</t>
        </is>
      </c>
      <c r="AA515" s="3" t="inlineStr">
        <is>
          <t>소로한면</t>
        </is>
      </c>
    </row>
    <row r="516">
      <c r="A516" s="3" t="inlineStr">
        <is>
          <t>조치원읍 침산리 265-9</t>
        </is>
      </c>
      <c r="B516" s="3" t="inlineStr">
        <is>
          <t>제2종일반주거지역</t>
        </is>
      </c>
      <c r="C516" s="3" t="inlineStr">
        <is>
          <t>대</t>
        </is>
      </c>
      <c r="D516" s="3" t="inlineStr">
        <is>
          <t>4</t>
        </is>
      </c>
      <c r="E516" s="3" t="inlineStr">
        <is>
          <t>일반원룸</t>
        </is>
      </c>
      <c r="F516" s="3" t="inlineStr">
        <is>
          <t>월세</t>
        </is>
      </c>
      <c r="G516" s="4" t="n">
        <v>300</v>
      </c>
      <c r="H516" s="4" t="n">
        <v>40</v>
      </c>
      <c r="I516" s="4" t="n">
        <v>40</v>
      </c>
      <c r="J516" s="4" t="n">
        <v>12</v>
      </c>
      <c r="K516" s="5" t="n">
        <v>3.3</v>
      </c>
      <c r="L516" s="4" t="n">
        <v>40</v>
      </c>
      <c r="M516" s="4" t="n">
        <v>12</v>
      </c>
      <c r="N516" s="5" t="n">
        <v>3.3</v>
      </c>
      <c r="O516" s="3" t="inlineStr">
        <is>
          <t>nan</t>
        </is>
      </c>
      <c r="P516" s="6">
        <f>HYPERLINK("https://fin.land.naver.com/articles/2653782511", "매물Link")</f>
        <v/>
      </c>
      <c r="Q516" s="6">
        <f>HYPERLINK("https://map.naver.com/p/search/조치원읍 침산리 265-9", "지도Link")</f>
        <v/>
      </c>
      <c r="R516" s="6">
        <f>HYPERLINK("http://www.eum.go.kr/web/ar/lu/luLandDet.jsp?pnu=3611025028102650009&amp;isNoScr=script&amp;mode=search", "토지이음")</f>
        <v/>
      </c>
      <c r="S516" s="3" t="inlineStr">
        <is>
          <t>상희</t>
        </is>
      </c>
      <c r="T516" s="4" t="n">
        <v>1</v>
      </c>
      <c r="U516" s="5" t="n">
        <v>419.8</v>
      </c>
      <c r="V516" s="4" t="n">
        <v>274.8</v>
      </c>
      <c r="W516" s="3" t="inlineStr">
        <is>
          <t>지정되지않음</t>
        </is>
      </c>
      <c r="X516" s="3" t="inlineStr">
        <is>
          <t>주상기타</t>
        </is>
      </c>
      <c r="Y516" s="3" t="inlineStr">
        <is>
          <t>평지</t>
        </is>
      </c>
      <c r="Z516" s="3" t="inlineStr">
        <is>
          <t>정방형</t>
        </is>
      </c>
      <c r="AA516" s="3" t="inlineStr">
        <is>
          <t>소로한면</t>
        </is>
      </c>
    </row>
    <row r="517">
      <c r="A517" s="3" t="inlineStr">
        <is>
          <t>조치원읍 침산리 266-13</t>
        </is>
      </c>
      <c r="B517" s="3" t="inlineStr">
        <is>
          <t>제2종일반주거지역</t>
        </is>
      </c>
      <c r="C517" s="3" t="inlineStr">
        <is>
          <t>대</t>
        </is>
      </c>
      <c r="D517" s="3" t="inlineStr">
        <is>
          <t>2</t>
        </is>
      </c>
      <c r="E517" s="3" t="inlineStr">
        <is>
          <t>일반원룸</t>
        </is>
      </c>
      <c r="F517" s="3" t="inlineStr">
        <is>
          <t>전세</t>
        </is>
      </c>
      <c r="G517" s="4" t="n">
        <v>4500</v>
      </c>
      <c r="H517" s="4" t="n">
        <v>0</v>
      </c>
      <c r="I517" s="4" t="n">
        <v>19</v>
      </c>
      <c r="J517" s="4" t="n">
        <v>6</v>
      </c>
      <c r="K517" s="5" t="n">
        <v>750</v>
      </c>
      <c r="L517" s="4" t="n">
        <v>19</v>
      </c>
      <c r="M517" s="4" t="n">
        <v>6</v>
      </c>
      <c r="N517" s="5" t="n">
        <v>750</v>
      </c>
      <c r="O517" s="3" t="inlineStr">
        <is>
          <t>원룸 전세,  LH도 가능</t>
        </is>
      </c>
      <c r="P517" s="6">
        <f>HYPERLINK("https://fin.land.naver.com/articles/2653258812", "매물Link")</f>
        <v/>
      </c>
      <c r="Q517" s="6">
        <f>HYPERLINK("https://map.naver.com/p/search/조치원읍 침산리 266-13", "지도Link")</f>
        <v/>
      </c>
      <c r="R517" s="6">
        <f>HYPERLINK("http://www.eum.go.kr/web/ar/lu/luLandDet.jsp?pnu=3611025028102660013&amp;isNoScr=script&amp;mode=search", "토지이음")</f>
        <v/>
      </c>
      <c r="S517" s="3" t="inlineStr">
        <is>
          <t>골드</t>
        </is>
      </c>
      <c r="T517" s="4" t="n">
        <v>1</v>
      </c>
      <c r="U517" s="5" t="n">
        <v>320.1</v>
      </c>
      <c r="V517" s="4" t="n">
        <v>284.8</v>
      </c>
      <c r="W517" s="3" t="inlineStr">
        <is>
          <t>지정되지않음</t>
        </is>
      </c>
      <c r="X517" s="3" t="inlineStr">
        <is>
          <t>주상용</t>
        </is>
      </c>
      <c r="Y517" s="3" t="inlineStr">
        <is>
          <t>평지</t>
        </is>
      </c>
      <c r="Z517" s="3" t="inlineStr">
        <is>
          <t>정방형</t>
        </is>
      </c>
      <c r="AA517" s="3" t="inlineStr">
        <is>
          <t>소로한면</t>
        </is>
      </c>
    </row>
    <row r="518">
      <c r="A518" s="3" t="inlineStr">
        <is>
          <t>조치원읍 침산리 266-14</t>
        </is>
      </c>
      <c r="B518" s="3" t="inlineStr">
        <is>
          <t>제2종일반주거지역</t>
        </is>
      </c>
      <c r="C518" s="3" t="inlineStr">
        <is>
          <t>대</t>
        </is>
      </c>
      <c r="D518" s="3" t="inlineStr">
        <is>
          <t>4</t>
        </is>
      </c>
      <c r="E518" s="3" t="inlineStr">
        <is>
          <t>일반원룸</t>
        </is>
      </c>
      <c r="F518" s="3" t="inlineStr">
        <is>
          <t>월세</t>
        </is>
      </c>
      <c r="G518" s="4" t="n">
        <v>100</v>
      </c>
      <c r="H518" s="4" t="n">
        <v>30</v>
      </c>
      <c r="I518" s="4" t="n">
        <v>155</v>
      </c>
      <c r="J518" s="4" t="n">
        <v>47</v>
      </c>
      <c r="K518" s="5" t="n">
        <v>0.6</v>
      </c>
      <c r="L518" s="4" t="n">
        <v>23</v>
      </c>
      <c r="M518" s="4" t="n">
        <v>7</v>
      </c>
      <c r="N518" s="5" t="n">
        <v>4.3</v>
      </c>
      <c r="O518" s="3" t="inlineStr">
        <is>
          <t>침산리 원룸 월세</t>
        </is>
      </c>
      <c r="P518" s="6">
        <f>HYPERLINK("https://fin.land.naver.com/articles/2653992117", "매물Link")</f>
        <v/>
      </c>
      <c r="Q518" s="6">
        <f>HYPERLINK("https://map.naver.com/p/search/조치원읍 침산리 266-14", "지도Link")</f>
        <v/>
      </c>
      <c r="R518" s="6">
        <f>HYPERLINK("http://www.eum.go.kr/web/ar/lu/luLandDet.jsp?pnu=3611025028102660014&amp;isNoScr=script&amp;mode=search", "토지이음")</f>
        <v/>
      </c>
      <c r="S518" s="3" t="inlineStr">
        <is>
          <t>김준희</t>
        </is>
      </c>
      <c r="T518" s="4" t="n">
        <v>1</v>
      </c>
      <c r="U518" s="5" t="n">
        <v>323.4</v>
      </c>
      <c r="V518" s="4" t="n">
        <v>162</v>
      </c>
      <c r="W518" s="3" t="inlineStr">
        <is>
          <t>지정되지않음</t>
        </is>
      </c>
      <c r="X518" s="3" t="inlineStr">
        <is>
          <t>주상기타</t>
        </is>
      </c>
      <c r="Y518" s="3" t="inlineStr">
        <is>
          <t>평지</t>
        </is>
      </c>
      <c r="Z518" s="3" t="inlineStr">
        <is>
          <t>가로장방</t>
        </is>
      </c>
      <c r="AA518" s="3" t="inlineStr">
        <is>
          <t>소로한면</t>
        </is>
      </c>
    </row>
    <row r="519">
      <c r="A519" s="3" t="inlineStr">
        <is>
          <t>조치원읍 침산리 266-4</t>
        </is>
      </c>
      <c r="B519" s="3" t="inlineStr">
        <is>
          <t>제2종일반주거지역</t>
        </is>
      </c>
      <c r="C519" s="3" t="inlineStr">
        <is>
          <t>대</t>
        </is>
      </c>
      <c r="D519" s="3" t="inlineStr">
        <is>
          <t>2</t>
        </is>
      </c>
      <c r="E519" s="3" t="inlineStr">
        <is>
          <t>일반원룸</t>
        </is>
      </c>
      <c r="F519" s="3" t="inlineStr">
        <is>
          <t>월세</t>
        </is>
      </c>
      <c r="G519" s="4" t="n">
        <v>150</v>
      </c>
      <c r="H519" s="4" t="n">
        <v>27</v>
      </c>
      <c r="I519" s="4" t="n">
        <v>126</v>
      </c>
      <c r="J519" s="4" t="n">
        <v>38</v>
      </c>
      <c r="K519" s="5" t="n">
        <v>0.7</v>
      </c>
      <c r="L519" s="4" t="n">
        <v>23</v>
      </c>
      <c r="M519" s="4" t="n">
        <v>7</v>
      </c>
      <c r="N519" s="5" t="n">
        <v>3.9</v>
      </c>
      <c r="O519" s="3" t="inlineStr">
        <is>
          <t>nan</t>
        </is>
      </c>
      <c r="P519" s="6">
        <f>HYPERLINK("https://fin.land.naver.com/articles/2652272439", "매물Link")</f>
        <v/>
      </c>
      <c r="Q519" s="6">
        <f>HYPERLINK("https://map.naver.com/p/search/조치원읍 침산리 266-4", "지도Link")</f>
        <v/>
      </c>
      <c r="R519" s="6">
        <f>HYPERLINK("http://www.eum.go.kr/web/ar/lu/luLandDet.jsp?pnu=3611025028102660004&amp;isNoScr=script&amp;mode=search", "토지이음")</f>
        <v/>
      </c>
      <c r="S519" s="3" t="inlineStr">
        <is>
          <t>상희</t>
        </is>
      </c>
      <c r="T519" s="4" t="n">
        <v>1</v>
      </c>
      <c r="U519" s="5" t="n">
        <v>286.8</v>
      </c>
      <c r="V519" s="4" t="n">
        <v>214.1</v>
      </c>
      <c r="W519" s="3" t="inlineStr">
        <is>
          <t>지정되지않음</t>
        </is>
      </c>
      <c r="X519" s="3" t="inlineStr">
        <is>
          <t>주거기타</t>
        </is>
      </c>
      <c r="Y519" s="3" t="inlineStr">
        <is>
          <t>평지</t>
        </is>
      </c>
      <c r="Z519" s="3" t="inlineStr">
        <is>
          <t>세로장방</t>
        </is>
      </c>
      <c r="AA519" s="3" t="inlineStr">
        <is>
          <t>세로한면(가)</t>
        </is>
      </c>
    </row>
    <row r="520">
      <c r="A520" s="3" t="inlineStr">
        <is>
          <t>조치원읍 침산리 266-4</t>
        </is>
      </c>
      <c r="B520" s="3" t="inlineStr">
        <is>
          <t>제2종일반주거지역</t>
        </is>
      </c>
      <c r="C520" s="3" t="inlineStr">
        <is>
          <t>대</t>
        </is>
      </c>
      <c r="D520" s="3" t="inlineStr">
        <is>
          <t>4</t>
        </is>
      </c>
      <c r="E520" s="3" t="inlineStr">
        <is>
          <t>일반원룸</t>
        </is>
      </c>
      <c r="F520" s="3" t="inlineStr">
        <is>
          <t>월세</t>
        </is>
      </c>
      <c r="G520" s="4" t="n">
        <v>150</v>
      </c>
      <c r="H520" s="4" t="n">
        <v>27</v>
      </c>
      <c r="I520" s="4" t="n">
        <v>0</v>
      </c>
      <c r="J520" s="4" t="n">
        <v>0</v>
      </c>
      <c r="K520" s="5" t="n">
        <v>0</v>
      </c>
      <c r="L520" s="4" t="n">
        <v>26</v>
      </c>
      <c r="M520" s="4" t="n">
        <v>8</v>
      </c>
      <c r="N520" s="5" t="n">
        <v>3.4</v>
      </c>
      <c r="O520" s="3" t="inlineStr">
        <is>
          <t>넓은1룸 O생활권굳 O역3분 O즉시입주가능</t>
        </is>
      </c>
      <c r="P520" s="6">
        <f>HYPERLINK("https://fin.land.naver.com/articles/2649915483", "매물Link")</f>
        <v/>
      </c>
      <c r="Q520" s="6">
        <f>HYPERLINK("https://map.naver.com/p/search/조치원읍 침산리 266-4", "지도Link")</f>
        <v/>
      </c>
      <c r="R520" s="6">
        <f>HYPERLINK("http://www.eum.go.kr/web/ar/lu/luLandDet.jsp?pnu=3611025028102660004&amp;isNoScr=script&amp;mode=search", "토지이음")</f>
        <v/>
      </c>
      <c r="S520" s="3" t="inlineStr">
        <is>
          <t>바다</t>
        </is>
      </c>
      <c r="T520" s="4" t="n">
        <v>1</v>
      </c>
      <c r="U520" s="5" t="n">
        <v>286.8</v>
      </c>
      <c r="V520" s="4" t="n">
        <v>214.1</v>
      </c>
      <c r="W520" s="3" t="inlineStr">
        <is>
          <t>지정되지않음</t>
        </is>
      </c>
      <c r="X520" s="3" t="inlineStr">
        <is>
          <t>주거기타</t>
        </is>
      </c>
      <c r="Y520" s="3" t="inlineStr">
        <is>
          <t>평지</t>
        </is>
      </c>
      <c r="Z520" s="3" t="inlineStr">
        <is>
          <t>세로장방</t>
        </is>
      </c>
      <c r="AA520" s="3" t="inlineStr">
        <is>
          <t>세로한면(가)</t>
        </is>
      </c>
    </row>
    <row r="521">
      <c r="A521" s="3" t="inlineStr">
        <is>
          <t>조치원읍 침산리 266-4</t>
        </is>
      </c>
      <c r="B521" s="3" t="inlineStr">
        <is>
          <t>제2종일반주거지역</t>
        </is>
      </c>
      <c r="C521" s="3" t="inlineStr">
        <is>
          <t>대</t>
        </is>
      </c>
      <c r="D521" s="3" t="inlineStr">
        <is>
          <t>4</t>
        </is>
      </c>
      <c r="E521" s="3" t="inlineStr">
        <is>
          <t>일반원룸</t>
        </is>
      </c>
      <c r="F521" s="3" t="inlineStr">
        <is>
          <t>월세</t>
        </is>
      </c>
      <c r="G521" s="4" t="n">
        <v>150</v>
      </c>
      <c r="H521" s="4" t="n">
        <v>27</v>
      </c>
      <c r="I521" s="4" t="n">
        <v>126</v>
      </c>
      <c r="J521" s="4" t="n">
        <v>38</v>
      </c>
      <c r="K521" s="5" t="n">
        <v>0.7</v>
      </c>
      <c r="L521" s="4" t="n">
        <v>23</v>
      </c>
      <c r="M521" s="4" t="n">
        <v>7</v>
      </c>
      <c r="N521" s="5" t="n">
        <v>3.9</v>
      </c>
      <c r="O521" s="3" t="inlineStr">
        <is>
          <t>nan</t>
        </is>
      </c>
      <c r="P521" s="6">
        <f>HYPERLINK("https://fin.land.naver.com/articles/2651344572", "매물Link")</f>
        <v/>
      </c>
      <c r="Q521" s="6">
        <f>HYPERLINK("https://map.naver.com/p/search/조치원읍 침산리 266-4", "지도Link")</f>
        <v/>
      </c>
      <c r="R521" s="6">
        <f>HYPERLINK("http://www.eum.go.kr/web/ar/lu/luLandDet.jsp?pnu=3611025028102660004&amp;isNoScr=script&amp;mode=search", "토지이음")</f>
        <v/>
      </c>
      <c r="S521" s="3" t="inlineStr">
        <is>
          <t>상희</t>
        </is>
      </c>
      <c r="T521" s="4" t="n">
        <v>1</v>
      </c>
      <c r="U521" s="5" t="n">
        <v>286.8</v>
      </c>
      <c r="V521" s="4" t="n">
        <v>214.1</v>
      </c>
      <c r="W521" s="3" t="inlineStr">
        <is>
          <t>지정되지않음</t>
        </is>
      </c>
      <c r="X521" s="3" t="inlineStr">
        <is>
          <t>주거기타</t>
        </is>
      </c>
      <c r="Y521" s="3" t="inlineStr">
        <is>
          <t>평지</t>
        </is>
      </c>
      <c r="Z521" s="3" t="inlineStr">
        <is>
          <t>세로장방</t>
        </is>
      </c>
      <c r="AA521" s="3" t="inlineStr">
        <is>
          <t>세로한면(가)</t>
        </is>
      </c>
    </row>
    <row r="522">
      <c r="A522" s="3" t="inlineStr">
        <is>
          <t>조치원읍 침산리 267-11</t>
        </is>
      </c>
      <c r="B522" s="3" t="inlineStr">
        <is>
          <t>제2종일반주거지역</t>
        </is>
      </c>
      <c r="C522" s="3" t="inlineStr">
        <is>
          <t>대</t>
        </is>
      </c>
      <c r="D522" s="3" t="inlineStr">
        <is>
          <t>4</t>
        </is>
      </c>
      <c r="E522" s="3" t="inlineStr">
        <is>
          <t>다가구</t>
        </is>
      </c>
      <c r="F522" s="3" t="inlineStr">
        <is>
          <t>월세</t>
        </is>
      </c>
      <c r="G522" s="4" t="n">
        <v>100</v>
      </c>
      <c r="H522" s="4" t="n">
        <v>30</v>
      </c>
      <c r="I522" s="4" t="n">
        <v>23</v>
      </c>
      <c r="J522" s="4" t="n">
        <v>7</v>
      </c>
      <c r="K522" s="5" t="n">
        <v>4.3</v>
      </c>
      <c r="L522" s="4" t="n">
        <v>23</v>
      </c>
      <c r="M522" s="4" t="n">
        <v>7</v>
      </c>
      <c r="N522" s="5" t="n">
        <v>4.3</v>
      </c>
      <c r="O522" s="3" t="inlineStr">
        <is>
          <t>침산리 원룸 월세</t>
        </is>
      </c>
      <c r="P522" s="6">
        <f>HYPERLINK("https://fin.land.naver.com/articles/2654213553", "매물Link")</f>
        <v/>
      </c>
      <c r="Q522" s="6">
        <f>HYPERLINK("https://map.naver.com/p/search/조치원읍 침산리 267-11", "지도Link")</f>
        <v/>
      </c>
      <c r="R522" s="6">
        <f>HYPERLINK("http://www.eum.go.kr/web/ar/lu/luLandDet.jsp?pnu=3611025028102670011&amp;isNoScr=script&amp;mode=search", "토지이음")</f>
        <v/>
      </c>
      <c r="S522" s="3" t="inlineStr">
        <is>
          <t>김준희</t>
        </is>
      </c>
      <c r="T522" s="4" t="n">
        <v>1</v>
      </c>
      <c r="U522" s="5" t="n">
        <v>286.8</v>
      </c>
      <c r="V522" s="4" t="n">
        <v>254.5</v>
      </c>
      <c r="W522" s="3" t="inlineStr">
        <is>
          <t>지정되지않음</t>
        </is>
      </c>
      <c r="X522" s="3" t="inlineStr">
        <is>
          <t>다세대</t>
        </is>
      </c>
      <c r="Y522" s="3" t="inlineStr">
        <is>
          <t>평지</t>
        </is>
      </c>
      <c r="Z522" s="3" t="inlineStr">
        <is>
          <t>세로장방</t>
        </is>
      </c>
      <c r="AA522" s="3" t="inlineStr">
        <is>
          <t>세로한면(가)</t>
        </is>
      </c>
    </row>
    <row r="523">
      <c r="A523" s="3" t="inlineStr">
        <is>
          <t>조치원읍 침산리 267-7</t>
        </is>
      </c>
      <c r="B523" s="3" t="inlineStr">
        <is>
          <t>제2종일반주거지역</t>
        </is>
      </c>
      <c r="C523" s="3" t="inlineStr">
        <is>
          <t>대</t>
        </is>
      </c>
      <c r="D523" s="3" t="inlineStr">
        <is>
          <t>2</t>
        </is>
      </c>
      <c r="E523" s="3" t="inlineStr">
        <is>
          <t>일반원룸</t>
        </is>
      </c>
      <c r="F523" s="3" t="inlineStr">
        <is>
          <t>월세</t>
        </is>
      </c>
      <c r="G523" s="4" t="n">
        <v>200</v>
      </c>
      <c r="H523" s="4" t="n">
        <v>32</v>
      </c>
      <c r="I523" s="4" t="n">
        <v>0</v>
      </c>
      <c r="J523" s="4" t="n">
        <v>0</v>
      </c>
      <c r="K523" s="5" t="n">
        <v>0</v>
      </c>
      <c r="L523" s="4" t="n">
        <v>25</v>
      </c>
      <c r="M523" s="4" t="n">
        <v>8</v>
      </c>
      <c r="N523" s="5" t="n">
        <v>4</v>
      </c>
      <c r="O523" s="3" t="inlineStr">
        <is>
          <t>넓고 깔끔한  풀옵션 완비방  엘베는기본   주방분리   조치원역 10분</t>
        </is>
      </c>
      <c r="P523" s="6">
        <f>HYPERLINK("https://fin.land.naver.com/articles/2654511745", "매물Link")</f>
        <v/>
      </c>
      <c r="Q523" s="6">
        <f>HYPERLINK("https://map.naver.com/p/search/조치원읍 침산리 267-7", "지도Link")</f>
        <v/>
      </c>
      <c r="R523" s="6">
        <f>HYPERLINK("http://www.eum.go.kr/web/ar/lu/luLandDet.jsp?pnu=3611025028102670007&amp;isNoScr=script&amp;mode=search", "토지이음")</f>
        <v/>
      </c>
      <c r="S523" s="3" t="inlineStr">
        <is>
          <t>연서으뜸</t>
        </is>
      </c>
      <c r="T523" s="4" t="n">
        <v>1</v>
      </c>
      <c r="U523" s="5" t="n">
        <v>428.4</v>
      </c>
      <c r="V523" s="4" t="n">
        <v>337.6</v>
      </c>
      <c r="W523" s="3" t="inlineStr">
        <is>
          <t>지정되지않음</t>
        </is>
      </c>
      <c r="X523" s="3" t="inlineStr">
        <is>
          <t>주상기타</t>
        </is>
      </c>
      <c r="Y523" s="3" t="inlineStr">
        <is>
          <t>평지</t>
        </is>
      </c>
      <c r="Z523" s="3" t="inlineStr">
        <is>
          <t>정방형</t>
        </is>
      </c>
      <c r="AA523" s="3" t="inlineStr">
        <is>
          <t>소로각지</t>
        </is>
      </c>
    </row>
    <row r="524">
      <c r="A524" s="3" t="inlineStr">
        <is>
          <t>조치원읍 침산리 267-9</t>
        </is>
      </c>
      <c r="B524" s="3" t="inlineStr">
        <is>
          <t>제2종일반주거지역</t>
        </is>
      </c>
      <c r="C524" s="3" t="inlineStr">
        <is>
          <t>대</t>
        </is>
      </c>
      <c r="D524" s="3" t="inlineStr">
        <is>
          <t>3</t>
        </is>
      </c>
      <c r="E524" s="3" t="inlineStr">
        <is>
          <t>일반원룸</t>
        </is>
      </c>
      <c r="F524" s="3" t="inlineStr">
        <is>
          <t>월세</t>
        </is>
      </c>
      <c r="G524" s="4" t="n">
        <v>200</v>
      </c>
      <c r="H524" s="4" t="n">
        <v>40</v>
      </c>
      <c r="I524" s="4" t="n">
        <v>23</v>
      </c>
      <c r="J524" s="4" t="n">
        <v>7</v>
      </c>
      <c r="K524" s="5" t="n">
        <v>5.7</v>
      </c>
      <c r="L524" s="4" t="n">
        <v>23</v>
      </c>
      <c r="M524" s="4" t="n">
        <v>7</v>
      </c>
      <c r="N524" s="5" t="n">
        <v>5.7</v>
      </c>
      <c r="O524" s="3" t="inlineStr">
        <is>
          <t>침산리 원룸 월세</t>
        </is>
      </c>
      <c r="P524" s="6">
        <f>HYPERLINK("https://fin.land.naver.com/articles/2653728164", "매물Link")</f>
        <v/>
      </c>
      <c r="Q524" s="6">
        <f>HYPERLINK("https://map.naver.com/p/search/조치원읍 침산리 267-9", "지도Link")</f>
        <v/>
      </c>
      <c r="R524" s="6">
        <f>HYPERLINK("http://www.eum.go.kr/web/ar/lu/luLandDet.jsp?pnu=3611025028102670009&amp;isNoScr=script&amp;mode=search", "토지이음")</f>
        <v/>
      </c>
      <c r="S524" s="3" t="inlineStr">
        <is>
          <t>김준희</t>
        </is>
      </c>
      <c r="T524" s="4" t="n">
        <v>1</v>
      </c>
      <c r="U524" s="5" t="n">
        <v>286.8</v>
      </c>
      <c r="V524" s="4" t="n">
        <v>220.1</v>
      </c>
      <c r="W524" s="3" t="inlineStr">
        <is>
          <t>지정되지않음</t>
        </is>
      </c>
      <c r="X524" s="3" t="inlineStr">
        <is>
          <t>다세대</t>
        </is>
      </c>
      <c r="Y524" s="3" t="inlineStr">
        <is>
          <t>평지</t>
        </is>
      </c>
      <c r="Z524" s="3" t="inlineStr">
        <is>
          <t>세로장방</t>
        </is>
      </c>
      <c r="AA524" s="3" t="inlineStr">
        <is>
          <t>세로한면(가)</t>
        </is>
      </c>
    </row>
    <row r="525">
      <c r="A525" s="3" t="inlineStr">
        <is>
          <t>조치원읍 침산리 267-9</t>
        </is>
      </c>
      <c r="B525" s="3" t="inlineStr">
        <is>
          <t>제2종일반주거지역</t>
        </is>
      </c>
      <c r="C525" s="3" t="inlineStr">
        <is>
          <t>대</t>
        </is>
      </c>
      <c r="D525" s="3" t="inlineStr">
        <is>
          <t>4</t>
        </is>
      </c>
      <c r="E525" s="3" t="inlineStr">
        <is>
          <t>일반원룸</t>
        </is>
      </c>
      <c r="F525" s="3" t="inlineStr">
        <is>
          <t>월세</t>
        </is>
      </c>
      <c r="G525" s="4" t="n">
        <v>200</v>
      </c>
      <c r="H525" s="4" t="n">
        <v>30</v>
      </c>
      <c r="I525" s="4" t="n">
        <v>112</v>
      </c>
      <c r="J525" s="4" t="n">
        <v>34</v>
      </c>
      <c r="K525" s="5" t="n">
        <v>0.9</v>
      </c>
      <c r="L525" s="4" t="n">
        <v>22</v>
      </c>
      <c r="M525" s="4" t="n">
        <v>7</v>
      </c>
      <c r="N525" s="5" t="n">
        <v>4.3</v>
      </c>
      <c r="O525" s="3" t="inlineStr">
        <is>
          <t>계약 후 즉시 입주 가능 원룸</t>
        </is>
      </c>
      <c r="P525" s="6">
        <f>HYPERLINK("https://fin.land.naver.com/articles/2651069877", "매물Link")</f>
        <v/>
      </c>
      <c r="Q525" s="6">
        <f>HYPERLINK("https://map.naver.com/p/search/조치원읍 침산리 267-9", "지도Link")</f>
        <v/>
      </c>
      <c r="R525" s="6">
        <f>HYPERLINK("http://www.eum.go.kr/web/ar/lu/luLandDet.jsp?pnu=3611025028102670009&amp;isNoScr=script&amp;mode=search", "토지이음")</f>
        <v/>
      </c>
      <c r="S525" s="3" t="inlineStr">
        <is>
          <t>김준희</t>
        </is>
      </c>
      <c r="T525" s="4" t="n">
        <v>1</v>
      </c>
      <c r="U525" s="5" t="n">
        <v>286.8</v>
      </c>
      <c r="V525" s="4" t="n">
        <v>220.1</v>
      </c>
      <c r="W525" s="3" t="inlineStr">
        <is>
          <t>지정되지않음</t>
        </is>
      </c>
      <c r="X525" s="3" t="inlineStr">
        <is>
          <t>다세대</t>
        </is>
      </c>
      <c r="Y525" s="3" t="inlineStr">
        <is>
          <t>평지</t>
        </is>
      </c>
      <c r="Z525" s="3" t="inlineStr">
        <is>
          <t>세로장방</t>
        </is>
      </c>
      <c r="AA525" s="3" t="inlineStr">
        <is>
          <t>세로한면(가)</t>
        </is>
      </c>
    </row>
    <row r="526">
      <c r="A526" s="3" t="inlineStr">
        <is>
          <t>조치원읍 침산리 277-1</t>
        </is>
      </c>
      <c r="B526" s="3" t="inlineStr">
        <is>
          <t>제2종일반주거지역</t>
        </is>
      </c>
      <c r="C526" s="3" t="inlineStr">
        <is>
          <t>대</t>
        </is>
      </c>
      <c r="D526" s="3" t="inlineStr">
        <is>
          <t>4</t>
        </is>
      </c>
      <c r="E526" s="3" t="inlineStr">
        <is>
          <t>다가구</t>
        </is>
      </c>
      <c r="F526" s="3" t="inlineStr">
        <is>
          <t>매매</t>
        </is>
      </c>
      <c r="G526" s="4" t="n">
        <v>105000</v>
      </c>
      <c r="H526" s="4" t="n">
        <v>0</v>
      </c>
      <c r="I526" s="4" t="n">
        <v>234</v>
      </c>
      <c r="J526" s="4" t="n">
        <v>71</v>
      </c>
      <c r="K526" s="5" t="n">
        <v>1478.9</v>
      </c>
      <c r="L526" s="4" t="n">
        <v>380</v>
      </c>
      <c r="M526" s="4" t="n">
        <v>115</v>
      </c>
      <c r="N526" s="5" t="n">
        <v>913</v>
      </c>
      <c r="O526" s="3" t="inlineStr">
        <is>
          <t>nan</t>
        </is>
      </c>
      <c r="P526" s="6">
        <f>HYPERLINK("https://fin.land.naver.com/articles/2654387062", "매물Link")</f>
        <v/>
      </c>
      <c r="Q526" s="6">
        <f>HYPERLINK("https://map.naver.com/p/search/조치원읍 침산리 277-1", "지도Link")</f>
        <v/>
      </c>
      <c r="R526" s="6">
        <f>HYPERLINK("http://www.eum.go.kr/web/ar/lu/luLandDet.jsp?pnu=3611025028102770001&amp;isNoScr=script&amp;mode=search", "토지이음")</f>
        <v/>
      </c>
      <c r="S526" s="3" t="inlineStr">
        <is>
          <t>척척</t>
        </is>
      </c>
      <c r="T526" s="4" t="n">
        <v>1</v>
      </c>
      <c r="U526" s="5" t="n">
        <v>280.3</v>
      </c>
      <c r="V526" s="4" t="n">
        <v>234</v>
      </c>
      <c r="W526" s="3" t="inlineStr">
        <is>
          <t>지정되지않음</t>
        </is>
      </c>
      <c r="X526" s="3" t="inlineStr">
        <is>
          <t>단독</t>
        </is>
      </c>
      <c r="Y526" s="3" t="inlineStr">
        <is>
          <t>평지</t>
        </is>
      </c>
      <c r="Z526" s="3" t="inlineStr">
        <is>
          <t>사다리형</t>
        </is>
      </c>
      <c r="AA526" s="3" t="inlineStr">
        <is>
          <t>세로한면(가)</t>
        </is>
      </c>
    </row>
    <row r="527">
      <c r="A527" s="3" t="inlineStr">
        <is>
          <t>조치원읍 침산리 277-15</t>
        </is>
      </c>
      <c r="B527" s="3" t="inlineStr">
        <is>
          <t>제2종일반주거지역</t>
        </is>
      </c>
      <c r="C527" s="3" t="inlineStr">
        <is>
          <t>대</t>
        </is>
      </c>
      <c r="D527" s="3" t="inlineStr">
        <is>
          <t>4</t>
        </is>
      </c>
      <c r="E527" s="3" t="inlineStr">
        <is>
          <t>다가구</t>
        </is>
      </c>
      <c r="F527" s="3" t="inlineStr">
        <is>
          <t>매매</t>
        </is>
      </c>
      <c r="G527" s="4" t="n">
        <v>93000</v>
      </c>
      <c r="H527" s="4" t="n">
        <v>0</v>
      </c>
      <c r="I527" s="4" t="n">
        <v>227</v>
      </c>
      <c r="J527" s="4" t="n">
        <v>69</v>
      </c>
      <c r="K527" s="5" t="n">
        <v>1347.8</v>
      </c>
      <c r="L527" s="4" t="n">
        <v>370</v>
      </c>
      <c r="M527" s="4" t="n">
        <v>112</v>
      </c>
      <c r="N527" s="5" t="n">
        <v>830.4</v>
      </c>
      <c r="O527" s="3" t="inlineStr">
        <is>
          <t>관리잘됨. 공실 걱정 없는 곳. 역5분</t>
        </is>
      </c>
      <c r="P527" s="6">
        <f>HYPERLINK("https://fin.land.naver.com/articles/2650553807", "매물Link")</f>
        <v/>
      </c>
      <c r="Q527" s="6">
        <f>HYPERLINK("https://map.naver.com/p/search/조치원읍 침산리 277-15", "지도Link")</f>
        <v/>
      </c>
      <c r="R527" s="6">
        <f>HYPERLINK("http://www.eum.go.kr/web/ar/lu/luLandDet.jsp?pnu=3611025028102770015&amp;isNoScr=script&amp;mode=search", "토지이음")</f>
        <v/>
      </c>
      <c r="S527" s="3" t="inlineStr">
        <is>
          <t>바다</t>
        </is>
      </c>
      <c r="T527" s="4" t="n">
        <v>1</v>
      </c>
      <c r="U527" s="5" t="n">
        <v>283.1</v>
      </c>
      <c r="V527" s="4" t="n">
        <v>227.9</v>
      </c>
      <c r="W527" s="3" t="inlineStr">
        <is>
          <t>지정되지않음</t>
        </is>
      </c>
      <c r="X527" s="3" t="inlineStr">
        <is>
          <t>단독</t>
        </is>
      </c>
      <c r="Y527" s="3" t="inlineStr">
        <is>
          <t>평지</t>
        </is>
      </c>
      <c r="Z527" s="3" t="inlineStr">
        <is>
          <t>세로장방</t>
        </is>
      </c>
      <c r="AA527" s="3" t="inlineStr">
        <is>
          <t>세로한면(가)</t>
        </is>
      </c>
    </row>
    <row r="528">
      <c r="A528" s="3" t="inlineStr">
        <is>
          <t>조치원읍 침산리 278-10</t>
        </is>
      </c>
      <c r="B528" s="3" t="inlineStr">
        <is>
          <t>제2종일반주거지역</t>
        </is>
      </c>
      <c r="C528" s="3" t="inlineStr">
        <is>
          <t>대</t>
        </is>
      </c>
      <c r="D528" s="3" t="inlineStr">
        <is>
          <t>4</t>
        </is>
      </c>
      <c r="E528" s="3" t="inlineStr">
        <is>
          <t>일반원룸</t>
        </is>
      </c>
      <c r="F528" s="3" t="inlineStr">
        <is>
          <t>월세</t>
        </is>
      </c>
      <c r="G528" s="4" t="n">
        <v>300</v>
      </c>
      <c r="H528" s="4" t="n">
        <v>34</v>
      </c>
      <c r="I528" s="4" t="n">
        <v>42</v>
      </c>
      <c r="J528" s="4" t="n">
        <v>13</v>
      </c>
      <c r="K528" s="5" t="n">
        <v>2.6</v>
      </c>
      <c r="L528" s="4" t="n">
        <v>36</v>
      </c>
      <c r="M528" s="4" t="n">
        <v>11</v>
      </c>
      <c r="N528" s="5" t="n">
        <v>3.1</v>
      </c>
      <c r="O528" s="3" t="inlineStr">
        <is>
          <t>귀한 1.5룸 월세.거주 안전한 집.협의입주 가능.</t>
        </is>
      </c>
      <c r="P528" s="6">
        <f>HYPERLINK("https://fin.land.naver.com/articles/2654585167", "매물Link")</f>
        <v/>
      </c>
      <c r="Q528" s="6">
        <f>HYPERLINK("https://map.naver.com/p/search/조치원읍 침산리 278-10", "지도Link")</f>
        <v/>
      </c>
      <c r="R528" s="6">
        <f>HYPERLINK("http://www.eum.go.kr/web/ar/lu/luLandDet.jsp?pnu=3611025028102780010&amp;isNoScr=script&amp;mode=search", "토지이음")</f>
        <v/>
      </c>
      <c r="S528" s="3" t="inlineStr">
        <is>
          <t>척척</t>
        </is>
      </c>
      <c r="T528" s="4" t="n">
        <v>1</v>
      </c>
      <c r="U528" s="5" t="n">
        <v>302.3</v>
      </c>
      <c r="V528" s="4" t="n">
        <v>281.4</v>
      </c>
      <c r="W528" s="3" t="inlineStr">
        <is>
          <t>지정되지않음</t>
        </is>
      </c>
      <c r="X528" s="3" t="inlineStr">
        <is>
          <t>단독</t>
        </is>
      </c>
      <c r="Y528" s="3" t="inlineStr">
        <is>
          <t>평지</t>
        </is>
      </c>
      <c r="Z528" s="3" t="inlineStr">
        <is>
          <t>정방형</t>
        </is>
      </c>
      <c r="AA528" s="3" t="inlineStr">
        <is>
          <t>소로각지</t>
        </is>
      </c>
    </row>
    <row r="529">
      <c r="A529" s="3" t="inlineStr">
        <is>
          <t>조치원읍 침산리 278-11</t>
        </is>
      </c>
      <c r="B529" s="3" t="inlineStr">
        <is>
          <t>제2종일반주거지역</t>
        </is>
      </c>
      <c r="C529" s="3" t="inlineStr">
        <is>
          <t>대</t>
        </is>
      </c>
      <c r="D529" s="3" t="inlineStr">
        <is>
          <t>4</t>
        </is>
      </c>
      <c r="E529" s="3" t="inlineStr">
        <is>
          <t>다가구</t>
        </is>
      </c>
      <c r="F529" s="3" t="inlineStr">
        <is>
          <t>매매</t>
        </is>
      </c>
      <c r="G529" s="4" t="n">
        <v>110000</v>
      </c>
      <c r="H529" s="4" t="n">
        <v>0</v>
      </c>
      <c r="I529" s="4" t="n">
        <v>257</v>
      </c>
      <c r="J529" s="4" t="n">
        <v>78</v>
      </c>
      <c r="K529" s="5" t="n">
        <v>1410.3</v>
      </c>
      <c r="L529" s="4" t="n">
        <v>459</v>
      </c>
      <c r="M529" s="4" t="n">
        <v>139</v>
      </c>
      <c r="N529" s="5" t="n">
        <v>791.4</v>
      </c>
      <c r="O529" s="3" t="inlineStr">
        <is>
          <t>nan</t>
        </is>
      </c>
      <c r="P529" s="6">
        <f>HYPERLINK("https://fin.land.naver.com/articles/2654388700", "매물Link")</f>
        <v/>
      </c>
      <c r="Q529" s="6">
        <f>HYPERLINK("https://map.naver.com/p/search/조치원읍 침산리 278-11", "지도Link")</f>
        <v/>
      </c>
      <c r="R529" s="6">
        <f>HYPERLINK("http://www.eum.go.kr/web/ar/lu/luLandDet.jsp?pnu=3611025028102780011&amp;isNoScr=script&amp;mode=search", "토지이음")</f>
        <v/>
      </c>
      <c r="S529" s="3" t="inlineStr">
        <is>
          <t>척척</t>
        </is>
      </c>
      <c r="T529" s="4" t="n">
        <v>1</v>
      </c>
      <c r="U529" s="5" t="n">
        <v>296.4</v>
      </c>
      <c r="V529" s="4" t="n">
        <v>257.9</v>
      </c>
      <c r="W529" s="3" t="inlineStr">
        <is>
          <t>지정되지않음</t>
        </is>
      </c>
      <c r="X529" s="3" t="inlineStr">
        <is>
          <t>단독</t>
        </is>
      </c>
      <c r="Y529" s="3" t="inlineStr">
        <is>
          <t>평지</t>
        </is>
      </c>
      <c r="Z529" s="3" t="inlineStr">
        <is>
          <t>정방형</t>
        </is>
      </c>
      <c r="AA529" s="3" t="inlineStr">
        <is>
          <t>소로한면</t>
        </is>
      </c>
    </row>
    <row r="530">
      <c r="A530" s="3" t="inlineStr">
        <is>
          <t>조치원읍 침산리 279-1</t>
        </is>
      </c>
      <c r="B530" s="3" t="inlineStr">
        <is>
          <t>제2종일반주거지역</t>
        </is>
      </c>
      <c r="C530" s="3" t="inlineStr">
        <is>
          <t>대</t>
        </is>
      </c>
      <c r="D530" s="3" t="inlineStr">
        <is>
          <t>3</t>
        </is>
      </c>
      <c r="E530" s="3" t="inlineStr">
        <is>
          <t>일반원룸</t>
        </is>
      </c>
      <c r="F530" s="3" t="inlineStr">
        <is>
          <t>월세</t>
        </is>
      </c>
      <c r="G530" s="4" t="n">
        <v>200</v>
      </c>
      <c r="H530" s="4" t="n">
        <v>29</v>
      </c>
      <c r="I530" s="4" t="n">
        <v>0</v>
      </c>
      <c r="J530" s="4" t="n">
        <v>0</v>
      </c>
      <c r="K530" s="5" t="n">
        <v>0</v>
      </c>
      <c r="L530" s="4" t="n">
        <v>20</v>
      </c>
      <c r="M530" s="4" t="n">
        <v>6</v>
      </c>
      <c r="N530" s="5" t="n">
        <v>4.8</v>
      </c>
      <c r="O530" s="3" t="inlineStr">
        <is>
          <t>L 역5분. 분리형원룸. 풀옵션. 즉시입주가능</t>
        </is>
      </c>
      <c r="P530" s="6">
        <f>HYPERLINK("https://fin.land.naver.com/articles/2650104336", "매물Link")</f>
        <v/>
      </c>
      <c r="Q530" s="6">
        <f>HYPERLINK("https://map.naver.com/p/search/조치원읍 침산리 279-1", "지도Link")</f>
        <v/>
      </c>
      <c r="R530" s="6">
        <f>HYPERLINK("http://www.eum.go.kr/web/ar/lu/luLandDet.jsp?pnu=3611025028102790001&amp;isNoScr=script&amp;mode=search", "토지이음")</f>
        <v/>
      </c>
      <c r="S530" s="3" t="inlineStr">
        <is>
          <t>바다</t>
        </is>
      </c>
      <c r="T530" s="4" t="n">
        <v>1</v>
      </c>
      <c r="U530" s="5" t="n">
        <v>290.8</v>
      </c>
      <c r="V530" s="4" t="n">
        <v>328.1</v>
      </c>
      <c r="W530" s="3" t="inlineStr">
        <is>
          <t>지정되지않음</t>
        </is>
      </c>
      <c r="X530" s="3" t="inlineStr">
        <is>
          <t>단독</t>
        </is>
      </c>
      <c r="Y530" s="3" t="inlineStr">
        <is>
          <t>평지</t>
        </is>
      </c>
      <c r="Z530" s="3" t="inlineStr">
        <is>
          <t>사다리형</t>
        </is>
      </c>
      <c r="AA530" s="3" t="inlineStr">
        <is>
          <t>소로한면</t>
        </is>
      </c>
    </row>
    <row r="531">
      <c r="A531" s="3" t="inlineStr">
        <is>
          <t>조치원읍 침산리 279-1</t>
        </is>
      </c>
      <c r="B531" s="3" t="inlineStr">
        <is>
          <t>제2종일반주거지역</t>
        </is>
      </c>
      <c r="C531" s="3" t="inlineStr">
        <is>
          <t>대</t>
        </is>
      </c>
      <c r="D531" s="3" t="inlineStr">
        <is>
          <t>2</t>
        </is>
      </c>
      <c r="E531" s="3" t="inlineStr">
        <is>
          <t>다가구</t>
        </is>
      </c>
      <c r="F531" s="3" t="inlineStr">
        <is>
          <t>월세</t>
        </is>
      </c>
      <c r="G531" s="4" t="n">
        <v>200</v>
      </c>
      <c r="H531" s="4" t="n">
        <v>29</v>
      </c>
      <c r="I531" s="4" t="n">
        <v>26</v>
      </c>
      <c r="J531" s="4" t="n">
        <v>8</v>
      </c>
      <c r="K531" s="5" t="n">
        <v>3.6</v>
      </c>
      <c r="L531" s="4" t="n">
        <v>26</v>
      </c>
      <c r="M531" s="4" t="n">
        <v>8</v>
      </c>
      <c r="N531" s="5" t="n">
        <v>3.6</v>
      </c>
      <c r="O531" s="3" t="inlineStr">
        <is>
          <t>깨끗한 원룸이며, 냉장고, 세탁기 등 옵션 있음</t>
        </is>
      </c>
      <c r="P531" s="6">
        <f>HYPERLINK("https://fin.land.naver.com/articles/2653985960", "매물Link")</f>
        <v/>
      </c>
      <c r="Q531" s="6">
        <f>HYPERLINK("https://map.naver.com/p/search/조치원읍 침산리 279-1", "지도Link")</f>
        <v/>
      </c>
      <c r="R531" s="6">
        <f>HYPERLINK("http://www.eum.go.kr/web/ar/lu/luLandDet.jsp?pnu=3611025028102790001&amp;isNoScr=script&amp;mode=search", "토지이음")</f>
        <v/>
      </c>
      <c r="S531" s="3" t="inlineStr">
        <is>
          <t>세종베스트</t>
        </is>
      </c>
      <c r="T531" s="4" t="n">
        <v>1</v>
      </c>
      <c r="U531" s="5" t="n">
        <v>290.8</v>
      </c>
      <c r="V531" s="4" t="n">
        <v>328.1</v>
      </c>
      <c r="W531" s="3" t="inlineStr">
        <is>
          <t>지정되지않음</t>
        </is>
      </c>
      <c r="X531" s="3" t="inlineStr">
        <is>
          <t>단독</t>
        </is>
      </c>
      <c r="Y531" s="3" t="inlineStr">
        <is>
          <t>평지</t>
        </is>
      </c>
      <c r="Z531" s="3" t="inlineStr">
        <is>
          <t>사다리형</t>
        </is>
      </c>
      <c r="AA531" s="3" t="inlineStr">
        <is>
          <t>소로한면</t>
        </is>
      </c>
    </row>
    <row r="532">
      <c r="A532" s="3" t="inlineStr">
        <is>
          <t>조치원읍 침산리 279-15</t>
        </is>
      </c>
      <c r="B532" s="3" t="inlineStr">
        <is>
          <t>제2종일반주거지역</t>
        </is>
      </c>
      <c r="C532" s="3" t="inlineStr">
        <is>
          <t>대</t>
        </is>
      </c>
      <c r="D532" s="3" t="inlineStr">
        <is>
          <t>4</t>
        </is>
      </c>
      <c r="E532" s="3" t="inlineStr">
        <is>
          <t>일반원룸</t>
        </is>
      </c>
      <c r="F532" s="3" t="inlineStr">
        <is>
          <t>전세</t>
        </is>
      </c>
      <c r="G532" s="4" t="n">
        <v>3000</v>
      </c>
      <c r="H532" s="4" t="n">
        <v>0</v>
      </c>
      <c r="I532" s="4" t="n">
        <v>0</v>
      </c>
      <c r="J532" s="4" t="n">
        <v>0</v>
      </c>
      <c r="K532" s="5" t="n">
        <v>0</v>
      </c>
      <c r="L532" s="4" t="n">
        <v>19</v>
      </c>
      <c r="M532" s="4" t="n">
        <v>6</v>
      </c>
      <c r="N532" s="5" t="n">
        <v>500</v>
      </c>
      <c r="O532" s="3" t="inlineStr">
        <is>
          <t>안전한 전세</t>
        </is>
      </c>
      <c r="P532" s="6">
        <f>HYPERLINK("https://fin.land.naver.com/articles/2652857402", "매물Link")</f>
        <v/>
      </c>
      <c r="Q532" s="6">
        <f>HYPERLINK("https://map.naver.com/p/search/조치원읍 침산리 279-15", "지도Link")</f>
        <v/>
      </c>
      <c r="R532" s="6">
        <f>HYPERLINK("http://www.eum.go.kr/web/ar/lu/luLandDet.jsp?pnu=3611025028102790015&amp;isNoScr=script&amp;mode=search", "토지이음")</f>
        <v/>
      </c>
      <c r="S532" s="3" t="inlineStr">
        <is>
          <t>척척</t>
        </is>
      </c>
      <c r="T532" s="4" t="n">
        <v>1</v>
      </c>
      <c r="U532" s="5" t="n">
        <v>299.6</v>
      </c>
      <c r="V532" s="4" t="n">
        <v>315</v>
      </c>
      <c r="W532" s="3" t="inlineStr">
        <is>
          <t>지정되지않음</t>
        </is>
      </c>
      <c r="X532" s="3" t="inlineStr">
        <is>
          <t>단독</t>
        </is>
      </c>
      <c r="Y532" s="3" t="inlineStr">
        <is>
          <t>평지</t>
        </is>
      </c>
      <c r="Z532" s="3" t="inlineStr">
        <is>
          <t>정방형</t>
        </is>
      </c>
      <c r="AA532" s="3" t="inlineStr">
        <is>
          <t>소로한면</t>
        </is>
      </c>
    </row>
    <row r="533">
      <c r="A533" s="3" t="inlineStr">
        <is>
          <t>조치원읍 침산리 279-15</t>
        </is>
      </c>
      <c r="B533" s="3" t="inlineStr">
        <is>
          <t>제2종일반주거지역</t>
        </is>
      </c>
      <c r="C533" s="3" t="inlineStr">
        <is>
          <t>대</t>
        </is>
      </c>
      <c r="D533" s="3" t="inlineStr">
        <is>
          <t>4</t>
        </is>
      </c>
      <c r="E533" s="3" t="inlineStr">
        <is>
          <t>단독</t>
        </is>
      </c>
      <c r="F533" s="3" t="inlineStr">
        <is>
          <t>월세</t>
        </is>
      </c>
      <c r="G533" s="4" t="n">
        <v>2000</v>
      </c>
      <c r="H533" s="4" t="n">
        <v>10</v>
      </c>
      <c r="I533" s="4" t="n">
        <v>0</v>
      </c>
      <c r="J533" s="4" t="n">
        <v>0</v>
      </c>
      <c r="K533" s="5" t="n">
        <v>0</v>
      </c>
      <c r="L533" s="4" t="n">
        <v>23</v>
      </c>
      <c r="M533" s="4" t="n">
        <v>7</v>
      </c>
      <c r="N533" s="5" t="n">
        <v>1.4</v>
      </c>
      <c r="O533" s="3" t="inlineStr">
        <is>
          <t>전세,반전세 가능 도배예정</t>
        </is>
      </c>
      <c r="P533" s="6">
        <f>HYPERLINK("https://fin.land.naver.com/articles/2652860593", "매물Link")</f>
        <v/>
      </c>
      <c r="Q533" s="6">
        <f>HYPERLINK("https://map.naver.com/p/search/조치원읍 침산리 279-15", "지도Link")</f>
        <v/>
      </c>
      <c r="R533" s="6">
        <f>HYPERLINK("http://www.eum.go.kr/web/ar/lu/luLandDet.jsp?pnu=3611025028102790015&amp;isNoScr=script&amp;mode=search", "토지이음")</f>
        <v/>
      </c>
      <c r="S533" s="3" t="inlineStr">
        <is>
          <t>척척</t>
        </is>
      </c>
      <c r="T533" s="4" t="n">
        <v>1</v>
      </c>
      <c r="U533" s="5" t="n">
        <v>299.6</v>
      </c>
      <c r="V533" s="4" t="n">
        <v>315</v>
      </c>
      <c r="W533" s="3" t="inlineStr">
        <is>
          <t>지정되지않음</t>
        </is>
      </c>
      <c r="X533" s="3" t="inlineStr">
        <is>
          <t>단독</t>
        </is>
      </c>
      <c r="Y533" s="3" t="inlineStr">
        <is>
          <t>평지</t>
        </is>
      </c>
      <c r="Z533" s="3" t="inlineStr">
        <is>
          <t>정방형</t>
        </is>
      </c>
      <c r="AA533" s="3" t="inlineStr">
        <is>
          <t>소로한면</t>
        </is>
      </c>
    </row>
    <row r="534">
      <c r="A534" s="3" t="inlineStr">
        <is>
          <t>조치원읍 침산리 279-15</t>
        </is>
      </c>
      <c r="B534" s="3" t="inlineStr">
        <is>
          <t>제2종일반주거지역</t>
        </is>
      </c>
      <c r="C534" s="3" t="inlineStr">
        <is>
          <t>대</t>
        </is>
      </c>
      <c r="D534" s="3" t="inlineStr">
        <is>
          <t>4</t>
        </is>
      </c>
      <c r="E534" s="3" t="inlineStr">
        <is>
          <t>다가구</t>
        </is>
      </c>
      <c r="F534" s="3" t="inlineStr">
        <is>
          <t>매매</t>
        </is>
      </c>
      <c r="G534" s="4" t="n">
        <v>110000</v>
      </c>
      <c r="H534" s="4" t="n">
        <v>0</v>
      </c>
      <c r="I534" s="4" t="n">
        <v>315</v>
      </c>
      <c r="J534" s="4" t="n">
        <v>95</v>
      </c>
      <c r="K534" s="5" t="n">
        <v>1157.9</v>
      </c>
      <c r="L534" s="4" t="n">
        <v>545</v>
      </c>
      <c r="M534" s="4" t="n">
        <v>165</v>
      </c>
      <c r="N534" s="5" t="n">
        <v>666.7</v>
      </c>
      <c r="O534" s="3" t="inlineStr">
        <is>
          <t>다가주주택 연수익률 8%</t>
        </is>
      </c>
      <c r="P534" s="6">
        <f>HYPERLINK("https://fin.land.naver.com/articles/2649673971", "매물Link")</f>
        <v/>
      </c>
      <c r="Q534" s="6">
        <f>HYPERLINK("https://map.naver.com/p/search/조치원읍 침산리 279-15", "지도Link")</f>
        <v/>
      </c>
      <c r="R534" s="6">
        <f>HYPERLINK("http://www.eum.go.kr/web/ar/lu/luLandDet.jsp?pnu=3611025028102790015&amp;isNoScr=script&amp;mode=search", "토지이음")</f>
        <v/>
      </c>
      <c r="S534" s="3" t="inlineStr">
        <is>
          <t>세종베스트</t>
        </is>
      </c>
      <c r="T534" s="4" t="n">
        <v>1</v>
      </c>
      <c r="U534" s="5" t="n">
        <v>299.6</v>
      </c>
      <c r="V534" s="4" t="n">
        <v>315</v>
      </c>
      <c r="W534" s="3" t="inlineStr">
        <is>
          <t>지정되지않음</t>
        </is>
      </c>
      <c r="X534" s="3" t="inlineStr">
        <is>
          <t>단독</t>
        </is>
      </c>
      <c r="Y534" s="3" t="inlineStr">
        <is>
          <t>평지</t>
        </is>
      </c>
      <c r="Z534" s="3" t="inlineStr">
        <is>
          <t>정방형</t>
        </is>
      </c>
      <c r="AA534" s="3" t="inlineStr">
        <is>
          <t>소로한면</t>
        </is>
      </c>
    </row>
    <row r="535">
      <c r="A535" s="3" t="inlineStr">
        <is>
          <t>조치원읍 침산리 279-20</t>
        </is>
      </c>
      <c r="B535" s="3" t="inlineStr">
        <is>
          <t>제2종일반주거지역</t>
        </is>
      </c>
      <c r="C535" s="3" t="inlineStr">
        <is>
          <t>대</t>
        </is>
      </c>
      <c r="D535" s="3" t="inlineStr">
        <is>
          <t>4</t>
        </is>
      </c>
      <c r="E535" s="3" t="inlineStr">
        <is>
          <t>일반원룸</t>
        </is>
      </c>
      <c r="F535" s="3" t="inlineStr">
        <is>
          <t>월세</t>
        </is>
      </c>
      <c r="G535" s="4" t="n">
        <v>200</v>
      </c>
      <c r="H535" s="4" t="n">
        <v>31</v>
      </c>
      <c r="I535" s="4" t="n">
        <v>20</v>
      </c>
      <c r="J535" s="4" t="n">
        <v>6</v>
      </c>
      <c r="K535" s="5" t="n">
        <v>5.2</v>
      </c>
      <c r="L535" s="4" t="n">
        <v>20</v>
      </c>
      <c r="M535" s="4" t="n">
        <v>6</v>
      </c>
      <c r="N535" s="5" t="n">
        <v>5.2</v>
      </c>
      <c r="O535" s="3" t="inlineStr">
        <is>
          <t>원룸 주방분리 베란다유  깨끗합니다</t>
        </is>
      </c>
      <c r="P535" s="6">
        <f>HYPERLINK("https://fin.land.naver.com/articles/2652339845", "매물Link")</f>
        <v/>
      </c>
      <c r="Q535" s="6">
        <f>HYPERLINK("https://map.naver.com/p/search/조치원읍 침산리 279-20", "지도Link")</f>
        <v/>
      </c>
      <c r="R535" s="6">
        <f>HYPERLINK("http://www.eum.go.kr/web/ar/lu/luLandDet.jsp?pnu=3611025028102790020&amp;isNoScr=script&amp;mode=search", "토지이음")</f>
        <v/>
      </c>
      <c r="S535" s="3" t="inlineStr">
        <is>
          <t>OK수</t>
        </is>
      </c>
      <c r="T535" s="4" t="n">
        <v>1</v>
      </c>
      <c r="U535" s="5" t="n">
        <v>293.8</v>
      </c>
      <c r="V535" s="4" t="n">
        <v>275.9</v>
      </c>
      <c r="W535" s="3" t="inlineStr">
        <is>
          <t>지정되지않음</t>
        </is>
      </c>
      <c r="X535" s="3" t="inlineStr">
        <is>
          <t>단독</t>
        </is>
      </c>
      <c r="Y535" s="3" t="inlineStr">
        <is>
          <t>평지</t>
        </is>
      </c>
      <c r="Z535" s="3" t="inlineStr">
        <is>
          <t>세로장방</t>
        </is>
      </c>
      <c r="AA535" s="3" t="inlineStr">
        <is>
          <t>소로한면</t>
        </is>
      </c>
    </row>
    <row r="536">
      <c r="A536" s="3" t="inlineStr">
        <is>
          <t>조치원읍 침산리 279-20</t>
        </is>
      </c>
      <c r="B536" s="3" t="inlineStr">
        <is>
          <t>제2종일반주거지역</t>
        </is>
      </c>
      <c r="C536" s="3" t="inlineStr">
        <is>
          <t>대</t>
        </is>
      </c>
      <c r="D536" s="3" t="inlineStr">
        <is>
          <t>4</t>
        </is>
      </c>
      <c r="E536" s="3" t="inlineStr">
        <is>
          <t>일반원룸</t>
        </is>
      </c>
      <c r="F536" s="3" t="inlineStr">
        <is>
          <t>월세</t>
        </is>
      </c>
      <c r="G536" s="4" t="n">
        <v>200</v>
      </c>
      <c r="H536" s="4" t="n">
        <v>31</v>
      </c>
      <c r="I536" s="4" t="n">
        <v>0</v>
      </c>
      <c r="J536" s="4" t="n">
        <v>0</v>
      </c>
      <c r="K536" s="5" t="n">
        <v>0</v>
      </c>
      <c r="L536" s="4" t="n">
        <v>20</v>
      </c>
      <c r="M536" s="4" t="n">
        <v>6</v>
      </c>
      <c r="N536" s="5" t="n">
        <v>5.2</v>
      </c>
      <c r="O536" s="3" t="inlineStr">
        <is>
          <t>L 엘베. 깔끔. 열5분. 즉시입주가능</t>
        </is>
      </c>
      <c r="P536" s="6">
        <f>HYPERLINK("https://fin.land.naver.com/articles/2652039172", "매물Link")</f>
        <v/>
      </c>
      <c r="Q536" s="6">
        <f>HYPERLINK("https://map.naver.com/p/search/조치원읍 침산리 279-20", "지도Link")</f>
        <v/>
      </c>
      <c r="R536" s="6">
        <f>HYPERLINK("http://www.eum.go.kr/web/ar/lu/luLandDet.jsp?pnu=3611025028102790020&amp;isNoScr=script&amp;mode=search", "토지이음")</f>
        <v/>
      </c>
      <c r="S536" s="3" t="inlineStr">
        <is>
          <t>바다</t>
        </is>
      </c>
      <c r="T536" s="4" t="n">
        <v>1</v>
      </c>
      <c r="U536" s="5" t="n">
        <v>293.8</v>
      </c>
      <c r="V536" s="4" t="n">
        <v>275.9</v>
      </c>
      <c r="W536" s="3" t="inlineStr">
        <is>
          <t>지정되지않음</t>
        </is>
      </c>
      <c r="X536" s="3" t="inlineStr">
        <is>
          <t>단독</t>
        </is>
      </c>
      <c r="Y536" s="3" t="inlineStr">
        <is>
          <t>평지</t>
        </is>
      </c>
      <c r="Z536" s="3" t="inlineStr">
        <is>
          <t>세로장방</t>
        </is>
      </c>
      <c r="AA536" s="3" t="inlineStr">
        <is>
          <t>소로한면</t>
        </is>
      </c>
    </row>
    <row r="537">
      <c r="A537" s="3" t="inlineStr">
        <is>
          <t>조치원읍 침산리 279-4</t>
        </is>
      </c>
      <c r="B537" s="3" t="inlineStr">
        <is>
          <t>제2종일반주거지역</t>
        </is>
      </c>
      <c r="C537" s="3" t="inlineStr">
        <is>
          <t>대</t>
        </is>
      </c>
      <c r="D537" s="3" t="inlineStr">
        <is>
          <t>3</t>
        </is>
      </c>
      <c r="E537" s="3" t="inlineStr">
        <is>
          <t>일반원룸</t>
        </is>
      </c>
      <c r="F537" s="3" t="inlineStr">
        <is>
          <t>월세</t>
        </is>
      </c>
      <c r="G537" s="4" t="n">
        <v>100</v>
      </c>
      <c r="H537" s="4" t="n">
        <v>35</v>
      </c>
      <c r="I537" s="4" t="n">
        <v>25</v>
      </c>
      <c r="J537" s="4" t="n">
        <v>8</v>
      </c>
      <c r="K537" s="5" t="n">
        <v>4.4</v>
      </c>
      <c r="L537" s="4" t="n">
        <v>21</v>
      </c>
      <c r="M537" s="4" t="n">
        <v>6</v>
      </c>
      <c r="N537" s="5" t="n">
        <v>5.8</v>
      </c>
      <c r="O537" s="3" t="inlineStr">
        <is>
          <t>보증금 100만원. 분리형 원룸. 전자제품 풀옵션. 조용한 주택가.</t>
        </is>
      </c>
      <c r="P537" s="6">
        <f>HYPERLINK("https://fin.land.naver.com/articles/2654634178", "매물Link")</f>
        <v/>
      </c>
      <c r="Q537" s="6">
        <f>HYPERLINK("https://map.naver.com/p/search/조치원읍 침산리 279-4", "지도Link")</f>
        <v/>
      </c>
      <c r="R537" s="6">
        <f>HYPERLINK("http://www.eum.go.kr/web/ar/lu/luLandDet.jsp?pnu=3611025028102790004&amp;isNoScr=script&amp;mode=search", "토지이음")</f>
        <v/>
      </c>
      <c r="S537" s="3" t="inlineStr">
        <is>
          <t>세종허재삼</t>
        </is>
      </c>
      <c r="T537" s="4" t="n">
        <v>1</v>
      </c>
      <c r="U537" s="5" t="n">
        <v>293.8</v>
      </c>
      <c r="V537" s="4" t="n">
        <v>275.8</v>
      </c>
      <c r="W537" s="3" t="inlineStr">
        <is>
          <t>지정되지않음</t>
        </is>
      </c>
      <c r="X537" s="3" t="inlineStr">
        <is>
          <t>단독</t>
        </is>
      </c>
      <c r="Y537" s="3" t="inlineStr">
        <is>
          <t>평지</t>
        </is>
      </c>
      <c r="Z537" s="3" t="inlineStr">
        <is>
          <t>세로장방</t>
        </is>
      </c>
      <c r="AA537" s="3" t="inlineStr">
        <is>
          <t>소로한면</t>
        </is>
      </c>
    </row>
    <row r="538">
      <c r="A538" s="3" t="inlineStr">
        <is>
          <t>조치원읍 침산리 280-5</t>
        </is>
      </c>
      <c r="B538" s="3" t="inlineStr">
        <is>
          <t>제2종일반주거지역</t>
        </is>
      </c>
      <c r="C538" s="3" t="inlineStr">
        <is>
          <t>대</t>
        </is>
      </c>
      <c r="D538" s="3" t="inlineStr">
        <is>
          <t>4</t>
        </is>
      </c>
      <c r="E538" s="3" t="inlineStr">
        <is>
          <t>다가구</t>
        </is>
      </c>
      <c r="F538" s="3" t="inlineStr">
        <is>
          <t>매매</t>
        </is>
      </c>
      <c r="G538" s="4" t="n">
        <v>98000</v>
      </c>
      <c r="H538" s="4" t="n">
        <v>0</v>
      </c>
      <c r="I538" s="4" t="n">
        <v>309</v>
      </c>
      <c r="J538" s="4" t="n">
        <v>93</v>
      </c>
      <c r="K538" s="5" t="n">
        <v>1053.8</v>
      </c>
      <c r="L538" s="4" t="n">
        <v>504</v>
      </c>
      <c r="M538" s="4" t="n">
        <v>152</v>
      </c>
      <c r="N538" s="5" t="n">
        <v>644.7</v>
      </c>
      <c r="O538" s="3" t="inlineStr">
        <is>
          <t>nan</t>
        </is>
      </c>
      <c r="P538" s="6">
        <f>HYPERLINK("https://fin.land.naver.com/articles/2654388079", "매물Link")</f>
        <v/>
      </c>
      <c r="Q538" s="6">
        <f>HYPERLINK("https://map.naver.com/p/search/조치원읍 침산리 280-5", "지도Link")</f>
        <v/>
      </c>
      <c r="R538" s="6">
        <f>HYPERLINK("http://www.eum.go.kr/web/ar/lu/luLandDet.jsp?pnu=3611025028102800005&amp;isNoScr=script&amp;mode=search", "토지이음")</f>
        <v/>
      </c>
      <c r="S538" s="3" t="inlineStr">
        <is>
          <t>척척</t>
        </is>
      </c>
      <c r="T538" s="4" t="n">
        <v>1</v>
      </c>
      <c r="U538" s="5" t="n">
        <v>288.8</v>
      </c>
      <c r="V538" s="4" t="n">
        <v>309.4</v>
      </c>
      <c r="W538" s="3" t="inlineStr">
        <is>
          <t>지정되지않음</t>
        </is>
      </c>
      <c r="X538" s="3" t="inlineStr">
        <is>
          <t>단독</t>
        </is>
      </c>
      <c r="Y538" s="3" t="inlineStr">
        <is>
          <t>평지</t>
        </is>
      </c>
      <c r="Z538" s="3" t="inlineStr">
        <is>
          <t>정방형</t>
        </is>
      </c>
      <c r="AA538" s="3" t="inlineStr">
        <is>
          <t>세로한면(가)</t>
        </is>
      </c>
    </row>
    <row r="539">
      <c r="A539" s="3" t="inlineStr">
        <is>
          <t>조치원읍 침산리 282-11</t>
        </is>
      </c>
      <c r="B539" s="3" t="inlineStr">
        <is>
          <t>제2종일반주거지역</t>
        </is>
      </c>
      <c r="C539" s="3" t="inlineStr">
        <is>
          <t>대</t>
        </is>
      </c>
      <c r="D539" s="3" t="inlineStr">
        <is>
          <t>2</t>
        </is>
      </c>
      <c r="E539" s="3" t="inlineStr">
        <is>
          <t>일반원룸</t>
        </is>
      </c>
      <c r="F539" s="3" t="inlineStr">
        <is>
          <t>월세</t>
        </is>
      </c>
      <c r="G539" s="4" t="n">
        <v>1000</v>
      </c>
      <c r="H539" s="4" t="n">
        <v>45</v>
      </c>
      <c r="I539" s="4" t="n">
        <v>49</v>
      </c>
      <c r="J539" s="4" t="n">
        <v>15</v>
      </c>
      <c r="K539" s="5" t="n">
        <v>3</v>
      </c>
      <c r="L539" s="4" t="n">
        <v>39</v>
      </c>
      <c r="M539" s="4" t="n">
        <v>12</v>
      </c>
      <c r="N539" s="5" t="n">
        <v>3.8</v>
      </c>
      <c r="O539" s="3" t="inlineStr">
        <is>
          <t>귀한 2룸 11월초 입주가능</t>
        </is>
      </c>
      <c r="P539" s="6">
        <f>HYPERLINK("https://fin.land.naver.com/articles/2653498155", "매물Link")</f>
        <v/>
      </c>
      <c r="Q539" s="6">
        <f>HYPERLINK("https://map.naver.com/p/search/조치원읍 침산리 282-11", "지도Link")</f>
        <v/>
      </c>
      <c r="R539" s="6">
        <f>HYPERLINK("http://www.eum.go.kr/web/ar/lu/luLandDet.jsp?pnu=3611025028102820011&amp;isNoScr=script&amp;mode=search", "토지이음")</f>
        <v/>
      </c>
      <c r="S539" s="3" t="inlineStr">
        <is>
          <t>척척</t>
        </is>
      </c>
      <c r="T539" s="4" t="n">
        <v>1</v>
      </c>
      <c r="U539" s="5" t="n">
        <v>288.8</v>
      </c>
      <c r="V539" s="4" t="n">
        <v>279.5</v>
      </c>
      <c r="W539" s="3" t="inlineStr">
        <is>
          <t>지정되지않음</t>
        </is>
      </c>
      <c r="X539" s="3" t="inlineStr">
        <is>
          <t>주거기타</t>
        </is>
      </c>
      <c r="Y539" s="3" t="inlineStr">
        <is>
          <t>평지</t>
        </is>
      </c>
      <c r="Z539" s="3" t="inlineStr">
        <is>
          <t>정방형</t>
        </is>
      </c>
      <c r="AA539" s="3" t="inlineStr">
        <is>
          <t>세로한면(가)</t>
        </is>
      </c>
    </row>
    <row r="540">
      <c r="A540" s="3" t="inlineStr">
        <is>
          <t>조치원읍 침산리 282-13</t>
        </is>
      </c>
      <c r="B540" s="3" t="inlineStr">
        <is>
          <t>제2종일반주거지역</t>
        </is>
      </c>
      <c r="C540" s="3" t="inlineStr">
        <is>
          <t>대</t>
        </is>
      </c>
      <c r="D540" s="3" t="inlineStr">
        <is>
          <t>4</t>
        </is>
      </c>
      <c r="E540" s="3" t="inlineStr">
        <is>
          <t>다가구</t>
        </is>
      </c>
      <c r="F540" s="3" t="inlineStr">
        <is>
          <t>전세</t>
        </is>
      </c>
      <c r="G540" s="4" t="n">
        <v>5000</v>
      </c>
      <c r="H540" s="4" t="n">
        <v>0</v>
      </c>
      <c r="I540" s="4" t="n">
        <v>47</v>
      </c>
      <c r="J540" s="4" t="n">
        <v>14</v>
      </c>
      <c r="K540" s="5" t="n">
        <v>357.1</v>
      </c>
      <c r="L540" s="4" t="n">
        <v>47</v>
      </c>
      <c r="M540" s="4" t="n">
        <v>14</v>
      </c>
      <c r="N540" s="5" t="n">
        <v>357.1</v>
      </c>
      <c r="O540" s="3" t="inlineStr">
        <is>
          <t>깨끗하고 넒은 원룸이며,  주저지역에 위치하여 교통 편리</t>
        </is>
      </c>
      <c r="P540" s="6">
        <f>HYPERLINK("https://fin.land.naver.com/articles/2651486371", "매물Link")</f>
        <v/>
      </c>
      <c r="Q540" s="6">
        <f>HYPERLINK("https://map.naver.com/p/search/조치원읍 침산리 282-13", "지도Link")</f>
        <v/>
      </c>
      <c r="R540" s="6">
        <f>HYPERLINK("http://www.eum.go.kr/web/ar/lu/luLandDet.jsp?pnu=3611025028102820013&amp;isNoScr=script&amp;mode=search", "토지이음")</f>
        <v/>
      </c>
      <c r="S540" s="3" t="inlineStr">
        <is>
          <t>세종베스트</t>
        </is>
      </c>
      <c r="T540" s="4" t="n">
        <v>1</v>
      </c>
      <c r="U540" s="5" t="n">
        <v>314.3</v>
      </c>
      <c r="V540" s="4" t="n">
        <v>252.9</v>
      </c>
      <c r="W540" s="3" t="inlineStr">
        <is>
          <t>지정되지않음</t>
        </is>
      </c>
      <c r="X540" s="3" t="inlineStr">
        <is>
          <t>단독</t>
        </is>
      </c>
      <c r="Y540" s="3" t="inlineStr">
        <is>
          <t>평지</t>
        </is>
      </c>
      <c r="Z540" s="3" t="inlineStr">
        <is>
          <t>세로장방</t>
        </is>
      </c>
      <c r="AA540" s="3" t="inlineStr">
        <is>
          <t>소로한면</t>
        </is>
      </c>
    </row>
    <row r="541">
      <c r="A541" s="3" t="inlineStr">
        <is>
          <t>조치원읍 침산리 283-12</t>
        </is>
      </c>
      <c r="B541" s="3" t="inlineStr">
        <is>
          <t>제2종일반주거지역</t>
        </is>
      </c>
      <c r="C541" s="3" t="inlineStr">
        <is>
          <t>대</t>
        </is>
      </c>
      <c r="D541" s="3" t="inlineStr">
        <is>
          <t>4</t>
        </is>
      </c>
      <c r="E541" s="3" t="inlineStr">
        <is>
          <t>일반원룸</t>
        </is>
      </c>
      <c r="F541" s="3" t="inlineStr">
        <is>
          <t>월세</t>
        </is>
      </c>
      <c r="G541" s="4" t="n">
        <v>200</v>
      </c>
      <c r="H541" s="4" t="n">
        <v>32</v>
      </c>
      <c r="I541" s="4" t="n">
        <v>0</v>
      </c>
      <c r="J541" s="4" t="n">
        <v>0</v>
      </c>
      <c r="K541" s="5" t="n">
        <v>0</v>
      </c>
      <c r="L541" s="4" t="n">
        <v>24</v>
      </c>
      <c r="M541" s="4" t="n">
        <v>7</v>
      </c>
      <c r="N541" s="5" t="n">
        <v>4.6</v>
      </c>
      <c r="O541" s="3" t="inlineStr">
        <is>
          <t>인기좋은  풀옵션완비 방  넓고 깔끔한 주거공간  교통편리  주차편함</t>
        </is>
      </c>
      <c r="P541" s="6">
        <f>HYPERLINK("https://fin.land.naver.com/articles/2653857832", "매물Link")</f>
        <v/>
      </c>
      <c r="Q541" s="6">
        <f>HYPERLINK("https://map.naver.com/p/search/조치원읍 침산리 283-12", "지도Link")</f>
        <v/>
      </c>
      <c r="R541" s="6">
        <f>HYPERLINK("http://www.eum.go.kr/web/ar/lu/luLandDet.jsp?pnu=3611025028102830012&amp;isNoScr=script&amp;mode=search", "토지이음")</f>
        <v/>
      </c>
      <c r="S541" s="3" t="inlineStr">
        <is>
          <t>연서으뜸</t>
        </is>
      </c>
      <c r="T541" s="4" t="n">
        <v>1</v>
      </c>
      <c r="U541" s="5" t="n">
        <v>283.1</v>
      </c>
      <c r="V541" s="4" t="n">
        <v>263.5</v>
      </c>
      <c r="W541" s="3" t="inlineStr">
        <is>
          <t>지정되지않음</t>
        </is>
      </c>
      <c r="X541" s="3" t="inlineStr">
        <is>
          <t>주거기타</t>
        </is>
      </c>
      <c r="Y541" s="3" t="inlineStr">
        <is>
          <t>평지</t>
        </is>
      </c>
      <c r="Z541" s="3" t="inlineStr">
        <is>
          <t>세로장방</t>
        </is>
      </c>
      <c r="AA541" s="3" t="inlineStr">
        <is>
          <t>세로한면(가)</t>
        </is>
      </c>
    </row>
    <row r="542">
      <c r="A542" s="3" t="inlineStr">
        <is>
          <t>조치원읍 침산리 283-14</t>
        </is>
      </c>
      <c r="B542" s="3" t="inlineStr">
        <is>
          <t>제2종일반주거지역</t>
        </is>
      </c>
      <c r="C542" s="3" t="inlineStr">
        <is>
          <t>대</t>
        </is>
      </c>
      <c r="D542" s="3" t="inlineStr">
        <is>
          <t>4</t>
        </is>
      </c>
      <c r="E542" s="3" t="inlineStr">
        <is>
          <t>다가구</t>
        </is>
      </c>
      <c r="F542" s="3" t="inlineStr">
        <is>
          <t>매매</t>
        </is>
      </c>
      <c r="G542" s="4" t="n">
        <v>80000</v>
      </c>
      <c r="H542" s="4" t="n">
        <v>0</v>
      </c>
      <c r="I542" s="4" t="n">
        <v>251</v>
      </c>
      <c r="J542" s="4" t="n">
        <v>76</v>
      </c>
      <c r="K542" s="5" t="n">
        <v>1052.6</v>
      </c>
      <c r="L542" s="4" t="n">
        <v>433</v>
      </c>
      <c r="M542" s="4" t="n">
        <v>131</v>
      </c>
      <c r="N542" s="5" t="n">
        <v>610.7</v>
      </c>
      <c r="O542" s="3" t="inlineStr">
        <is>
          <t>nan</t>
        </is>
      </c>
      <c r="P542" s="6">
        <f>HYPERLINK("https://fin.land.naver.com/articles/2654385865", "매물Link")</f>
        <v/>
      </c>
      <c r="Q542" s="6">
        <f>HYPERLINK("https://map.naver.com/p/search/조치원읍 침산리 283-14", "지도Link")</f>
        <v/>
      </c>
      <c r="R542" s="6">
        <f>HYPERLINK("http://www.eum.go.kr/web/ar/lu/luLandDet.jsp?pnu=3611025028102830014&amp;isNoScr=script&amp;mode=search", "토지이음")</f>
        <v/>
      </c>
      <c r="S542" s="3" t="inlineStr">
        <is>
          <t>척척</t>
        </is>
      </c>
      <c r="T542" s="4" t="n">
        <v>1</v>
      </c>
      <c r="U542" s="5" t="n">
        <v>283.1</v>
      </c>
      <c r="V542" s="4" t="n">
        <v>251.9</v>
      </c>
      <c r="W542" s="3" t="inlineStr">
        <is>
          <t>지정되지않음</t>
        </is>
      </c>
      <c r="X542" s="3" t="inlineStr">
        <is>
          <t>주거기타</t>
        </is>
      </c>
      <c r="Y542" s="3" t="inlineStr">
        <is>
          <t>평지</t>
        </is>
      </c>
      <c r="Z542" s="3" t="inlineStr">
        <is>
          <t>세로장방</t>
        </is>
      </c>
      <c r="AA542" s="3" t="inlineStr">
        <is>
          <t>세로한면(가)</t>
        </is>
      </c>
    </row>
    <row r="543">
      <c r="A543" s="3" t="inlineStr">
        <is>
          <t>조치원읍 침산리 283-14</t>
        </is>
      </c>
      <c r="B543" s="3" t="inlineStr">
        <is>
          <t>제2종일반주거지역</t>
        </is>
      </c>
      <c r="C543" s="3" t="inlineStr">
        <is>
          <t>대</t>
        </is>
      </c>
      <c r="D543" s="3" t="inlineStr">
        <is>
          <t>3</t>
        </is>
      </c>
      <c r="E543" s="3" t="inlineStr">
        <is>
          <t>다가구</t>
        </is>
      </c>
      <c r="F543" s="3" t="inlineStr">
        <is>
          <t>매매</t>
        </is>
      </c>
      <c r="G543" s="4" t="n">
        <v>80000</v>
      </c>
      <c r="H543" s="4" t="n">
        <v>0</v>
      </c>
      <c r="I543" s="4" t="n">
        <v>251</v>
      </c>
      <c r="J543" s="4" t="n">
        <v>76</v>
      </c>
      <c r="K543" s="5" t="n">
        <v>1052.6</v>
      </c>
      <c r="L543" s="4" t="n">
        <v>433</v>
      </c>
      <c r="M543" s="4" t="n">
        <v>131</v>
      </c>
      <c r="N543" s="5" t="n">
        <v>610.7</v>
      </c>
      <c r="O543" s="3" t="inlineStr">
        <is>
          <t>조치원읍 다가구주택 단지의 수익율 8.5% 관리샹태 양호</t>
        </is>
      </c>
      <c r="P543" s="6">
        <f>HYPERLINK("https://fin.land.naver.com/articles/2649674944", "매물Link")</f>
        <v/>
      </c>
      <c r="Q543" s="6">
        <f>HYPERLINK("https://map.naver.com/p/search/조치원읍 침산리 283-14", "지도Link")</f>
        <v/>
      </c>
      <c r="R543" s="6">
        <f>HYPERLINK("http://www.eum.go.kr/web/ar/lu/luLandDet.jsp?pnu=3611025028102830014&amp;isNoScr=script&amp;mode=search", "토지이음")</f>
        <v/>
      </c>
      <c r="S543" s="3" t="inlineStr">
        <is>
          <t>세종베스트</t>
        </is>
      </c>
      <c r="T543" s="4" t="n">
        <v>1</v>
      </c>
      <c r="U543" s="5" t="n">
        <v>283.1</v>
      </c>
      <c r="V543" s="4" t="n">
        <v>251.9</v>
      </c>
      <c r="W543" s="3" t="inlineStr">
        <is>
          <t>지정되지않음</t>
        </is>
      </c>
      <c r="X543" s="3" t="inlineStr">
        <is>
          <t>주거기타</t>
        </is>
      </c>
      <c r="Y543" s="3" t="inlineStr">
        <is>
          <t>평지</t>
        </is>
      </c>
      <c r="Z543" s="3" t="inlineStr">
        <is>
          <t>세로장방</t>
        </is>
      </c>
      <c r="AA543" s="3" t="inlineStr">
        <is>
          <t>세로한면(가)</t>
        </is>
      </c>
    </row>
    <row r="544">
      <c r="A544" s="3" t="inlineStr">
        <is>
          <t>조치원읍 침산리 283-16</t>
        </is>
      </c>
      <c r="B544" s="3" t="inlineStr">
        <is>
          <t>제2종일반주거지역</t>
        </is>
      </c>
      <c r="C544" s="3" t="inlineStr">
        <is>
          <t>대</t>
        </is>
      </c>
      <c r="D544" s="3" t="inlineStr">
        <is>
          <t>4</t>
        </is>
      </c>
      <c r="E544" s="3" t="inlineStr">
        <is>
          <t>다가구</t>
        </is>
      </c>
      <c r="F544" s="3" t="inlineStr">
        <is>
          <t>매매</t>
        </is>
      </c>
      <c r="G544" s="4" t="n">
        <v>98000</v>
      </c>
      <c r="H544" s="4" t="n">
        <v>0</v>
      </c>
      <c r="I544" s="4" t="n">
        <v>281</v>
      </c>
      <c r="J544" s="4" t="n">
        <v>85</v>
      </c>
      <c r="K544" s="5" t="n">
        <v>1152.9</v>
      </c>
      <c r="L544" s="4" t="n">
        <v>440</v>
      </c>
      <c r="M544" s="4" t="n">
        <v>133</v>
      </c>
      <c r="N544" s="5" t="n">
        <v>736.8</v>
      </c>
      <c r="O544" s="3" t="inlineStr">
        <is>
          <t>nan</t>
        </is>
      </c>
      <c r="P544" s="6">
        <f>HYPERLINK("https://fin.land.naver.com/articles/2654387392", "매물Link")</f>
        <v/>
      </c>
      <c r="Q544" s="6">
        <f>HYPERLINK("https://map.naver.com/p/search/조치원읍 침산리 283-16", "지도Link")</f>
        <v/>
      </c>
      <c r="R544" s="6">
        <f>HYPERLINK("http://www.eum.go.kr/web/ar/lu/luLandDet.jsp?pnu=3611025028102830016&amp;isNoScr=script&amp;mode=search", "토지이음")</f>
        <v/>
      </c>
      <c r="S544" s="3" t="inlineStr">
        <is>
          <t>척척</t>
        </is>
      </c>
      <c r="T544" s="4" t="n">
        <v>1</v>
      </c>
      <c r="U544" s="5" t="n">
        <v>283.1</v>
      </c>
      <c r="V544" s="4" t="n">
        <v>281</v>
      </c>
      <c r="W544" s="3" t="inlineStr">
        <is>
          <t>지정되지않음</t>
        </is>
      </c>
      <c r="X544" s="3" t="inlineStr">
        <is>
          <t>주거기타</t>
        </is>
      </c>
      <c r="Y544" s="3" t="inlineStr">
        <is>
          <t>평지</t>
        </is>
      </c>
      <c r="Z544" s="3" t="inlineStr">
        <is>
          <t>세로장방</t>
        </is>
      </c>
      <c r="AA544" s="3" t="inlineStr">
        <is>
          <t>세로한면(가)</t>
        </is>
      </c>
    </row>
    <row r="545">
      <c r="A545" s="3" t="inlineStr">
        <is>
          <t>조치원읍 침산리 283-16</t>
        </is>
      </c>
      <c r="B545" s="3" t="inlineStr">
        <is>
          <t>제2종일반주거지역</t>
        </is>
      </c>
      <c r="C545" s="3" t="inlineStr">
        <is>
          <t>대</t>
        </is>
      </c>
      <c r="D545" s="3" t="inlineStr">
        <is>
          <t>4</t>
        </is>
      </c>
      <c r="E545" s="3" t="inlineStr">
        <is>
          <t>다가구</t>
        </is>
      </c>
      <c r="F545" s="3" t="inlineStr">
        <is>
          <t>전세</t>
        </is>
      </c>
      <c r="G545" s="4" t="n">
        <v>5500</v>
      </c>
      <c r="H545" s="4" t="n">
        <v>0</v>
      </c>
      <c r="I545" s="4" t="n">
        <v>30</v>
      </c>
      <c r="J545" s="4" t="n">
        <v>9</v>
      </c>
      <c r="K545" s="5" t="n">
        <v>611.1</v>
      </c>
      <c r="L545" s="4" t="n">
        <v>30</v>
      </c>
      <c r="M545" s="4" t="n">
        <v>9</v>
      </c>
      <c r="N545" s="5" t="n">
        <v>611.1</v>
      </c>
      <c r="O545" s="3" t="inlineStr">
        <is>
          <t>nan</t>
        </is>
      </c>
      <c r="P545" s="6">
        <f>HYPERLINK("https://fin.land.naver.com/articles/2653997133", "매물Link")</f>
        <v/>
      </c>
      <c r="Q545" s="6">
        <f>HYPERLINK("https://map.naver.com/p/search/조치원읍 침산리 283-16", "지도Link")</f>
        <v/>
      </c>
      <c r="R545" s="6">
        <f>HYPERLINK("http://www.eum.go.kr/web/ar/lu/luLandDet.jsp?pnu=3611025028102830016&amp;isNoScr=script&amp;mode=search", "토지이음")</f>
        <v/>
      </c>
      <c r="S545" s="3" t="inlineStr">
        <is>
          <t>세종베스트</t>
        </is>
      </c>
      <c r="T545" s="4" t="n">
        <v>1</v>
      </c>
      <c r="U545" s="5" t="n">
        <v>283.1</v>
      </c>
      <c r="V545" s="4" t="n">
        <v>281</v>
      </c>
      <c r="W545" s="3" t="inlineStr">
        <is>
          <t>지정되지않음</t>
        </is>
      </c>
      <c r="X545" s="3" t="inlineStr">
        <is>
          <t>주거기타</t>
        </is>
      </c>
      <c r="Y545" s="3" t="inlineStr">
        <is>
          <t>평지</t>
        </is>
      </c>
      <c r="Z545" s="3" t="inlineStr">
        <is>
          <t>세로장방</t>
        </is>
      </c>
      <c r="AA545" s="3" t="inlineStr">
        <is>
          <t>세로한면(가)</t>
        </is>
      </c>
    </row>
    <row r="546">
      <c r="A546" s="3" t="inlineStr">
        <is>
          <t>조치원읍 침산리 283-17</t>
        </is>
      </c>
      <c r="B546" s="3" t="inlineStr">
        <is>
          <t>제2종일반주거지역</t>
        </is>
      </c>
      <c r="C546" s="3" t="inlineStr">
        <is>
          <t>대</t>
        </is>
      </c>
      <c r="D546" s="3" t="inlineStr">
        <is>
          <t>4</t>
        </is>
      </c>
      <c r="E546" s="3" t="inlineStr">
        <is>
          <t>단독</t>
        </is>
      </c>
      <c r="F546" s="3" t="inlineStr">
        <is>
          <t>매매</t>
        </is>
      </c>
      <c r="G546" s="4" t="n">
        <v>100000</v>
      </c>
      <c r="H546" s="4" t="n">
        <v>0</v>
      </c>
      <c r="I546" s="4" t="n">
        <v>251</v>
      </c>
      <c r="J546" s="4" t="n">
        <v>76</v>
      </c>
      <c r="K546" s="5" t="n">
        <v>1315.8</v>
      </c>
      <c r="L546" s="4" t="n">
        <v>436</v>
      </c>
      <c r="M546" s="4" t="n">
        <v>132</v>
      </c>
      <c r="N546" s="5" t="n">
        <v>757.6</v>
      </c>
      <c r="O546" s="3" t="inlineStr">
        <is>
          <t>실투 3.2억, 떠오르는 서북부 다가구주택 단지내 관리 잘된 4층 주택</t>
        </is>
      </c>
      <c r="P546" s="6">
        <f>HYPERLINK("https://fin.land.naver.com/articles/2650412869", "매물Link")</f>
        <v/>
      </c>
      <c r="Q546" s="6">
        <f>HYPERLINK("https://map.naver.com/p/search/조치원읍 침산리 283-17", "지도Link")</f>
        <v/>
      </c>
      <c r="R546" s="6">
        <f>HYPERLINK("http://www.eum.go.kr/web/ar/lu/luLandDet.jsp?pnu=3611025028102830017&amp;isNoScr=script&amp;mode=search", "토지이음")</f>
        <v/>
      </c>
      <c r="S546" s="3" t="inlineStr">
        <is>
          <t>청주모충사모1/2LH트릴로채명성</t>
        </is>
      </c>
      <c r="T546" s="4" t="n">
        <v>1</v>
      </c>
      <c r="U546" s="5" t="n">
        <v>283.1</v>
      </c>
      <c r="V546" s="4" t="n">
        <v>251.8</v>
      </c>
      <c r="W546" s="3" t="inlineStr">
        <is>
          <t>지정되지않음</t>
        </is>
      </c>
      <c r="X546" s="3" t="inlineStr">
        <is>
          <t>주거기타</t>
        </is>
      </c>
      <c r="Y546" s="3" t="inlineStr">
        <is>
          <t>평지</t>
        </is>
      </c>
      <c r="Z546" s="3" t="inlineStr">
        <is>
          <t>세로장방</t>
        </is>
      </c>
      <c r="AA546" s="3" t="inlineStr">
        <is>
          <t>세로한면(가)</t>
        </is>
      </c>
    </row>
    <row r="547">
      <c r="A547" s="3" t="inlineStr">
        <is>
          <t>조치원읍 침산리 283-3</t>
        </is>
      </c>
      <c r="B547" s="3" t="inlineStr">
        <is>
          <t>제2종일반주거지역</t>
        </is>
      </c>
      <c r="C547" s="3" t="inlineStr">
        <is>
          <t>대</t>
        </is>
      </c>
      <c r="D547" s="3" t="inlineStr">
        <is>
          <t>3</t>
        </is>
      </c>
      <c r="E547" s="3" t="inlineStr">
        <is>
          <t>도시형생활주택</t>
        </is>
      </c>
      <c r="F547" s="3" t="inlineStr">
        <is>
          <t>월세</t>
        </is>
      </c>
      <c r="G547" s="4" t="n">
        <v>200</v>
      </c>
      <c r="H547" s="4" t="n">
        <v>28</v>
      </c>
      <c r="I547" s="4" t="n">
        <v>0</v>
      </c>
      <c r="J547" s="4" t="n">
        <v>0</v>
      </c>
      <c r="K547" s="5" t="n">
        <v>0</v>
      </c>
      <c r="L547" s="4" t="n">
        <v>19</v>
      </c>
      <c r="M547" s="4" t="n">
        <v>6</v>
      </c>
      <c r="N547" s="5" t="n">
        <v>4.7</v>
      </c>
      <c r="O547" s="3" t="inlineStr">
        <is>
          <t>오픈형 넓은 풀옵션</t>
        </is>
      </c>
      <c r="P547" s="6">
        <f>HYPERLINK("https://fin.land.naver.com/articles/2654004942", "매물Link")</f>
        <v/>
      </c>
      <c r="Q547" s="6">
        <f>HYPERLINK("https://map.naver.com/p/search/조치원읍 침산리 283-3", "지도Link")</f>
        <v/>
      </c>
      <c r="R547" s="6">
        <f>HYPERLINK("http://www.eum.go.kr/web/ar/lu/luLandDet.jsp?pnu=3611025028102830003&amp;isNoScr=script&amp;mode=search", "토지이음")</f>
        <v/>
      </c>
      <c r="S547" s="3" t="inlineStr">
        <is>
          <t>척척</t>
        </is>
      </c>
      <c r="T547" s="4" t="n">
        <v>1</v>
      </c>
      <c r="U547" s="5" t="n">
        <v>283.1</v>
      </c>
      <c r="V547" s="4" t="n">
        <v>272.3</v>
      </c>
      <c r="W547" s="3" t="inlineStr">
        <is>
          <t>지정되지않음</t>
        </is>
      </c>
      <c r="X547" s="3" t="inlineStr">
        <is>
          <t>주거기타</t>
        </is>
      </c>
      <c r="Y547" s="3" t="inlineStr">
        <is>
          <t>평지</t>
        </is>
      </c>
      <c r="Z547" s="3" t="inlineStr">
        <is>
          <t>세로장방</t>
        </is>
      </c>
      <c r="AA547" s="3" t="inlineStr">
        <is>
          <t>세로한면(가)</t>
        </is>
      </c>
    </row>
    <row r="548">
      <c r="A548" s="3" t="inlineStr">
        <is>
          <t>조치원읍 침산리 283-4</t>
        </is>
      </c>
      <c r="B548" s="3" t="inlineStr">
        <is>
          <t>제2종일반주거지역</t>
        </is>
      </c>
      <c r="C548" s="3" t="inlineStr">
        <is>
          <t>대</t>
        </is>
      </c>
      <c r="D548" s="3" t="inlineStr">
        <is>
          <t>0</t>
        </is>
      </c>
      <c r="E548" s="3" t="inlineStr">
        <is>
          <t>일반원룸</t>
        </is>
      </c>
      <c r="F548" s="3" t="inlineStr">
        <is>
          <t>월세</t>
        </is>
      </c>
      <c r="G548" s="4" t="n">
        <v>200</v>
      </c>
      <c r="H548" s="4" t="n">
        <v>28</v>
      </c>
      <c r="I548" s="4" t="n">
        <v>39</v>
      </c>
      <c r="J548" s="4" t="n">
        <v>12</v>
      </c>
      <c r="K548" s="5" t="n">
        <v>2.3</v>
      </c>
      <c r="L548" s="4" t="n">
        <v>29</v>
      </c>
      <c r="M548" s="4" t="n">
        <v>9</v>
      </c>
      <c r="N548" s="5" t="n">
        <v>3.1</v>
      </c>
      <c r="O548" s="3" t="inlineStr">
        <is>
          <t>넓은방.풀셋팅원룸.몸만들어오세요</t>
        </is>
      </c>
      <c r="P548" s="6">
        <f>HYPERLINK("https://fin.land.naver.com/articles/2651070230", "매물Link")</f>
        <v/>
      </c>
      <c r="Q548" s="6">
        <f>HYPERLINK("https://map.naver.com/p/search/조치원읍 침산리 283-4", "지도Link")</f>
        <v/>
      </c>
      <c r="R548" s="6">
        <f>HYPERLINK("http://www.eum.go.kr/web/ar/lu/luLandDet.jsp?pnu=3611025028102830004&amp;isNoScr=script&amp;mode=search", "토지이음")</f>
        <v/>
      </c>
      <c r="S548" s="3" t="inlineStr">
        <is>
          <t>척척</t>
        </is>
      </c>
      <c r="T548" s="4" t="n">
        <v>1</v>
      </c>
      <c r="U548" s="5" t="n">
        <v>283.1</v>
      </c>
      <c r="V548" s="4" t="n">
        <v>272.3</v>
      </c>
      <c r="W548" s="3" t="inlineStr">
        <is>
          <t>지정되지않음</t>
        </is>
      </c>
      <c r="X548" s="3" t="inlineStr">
        <is>
          <t>주거기타</t>
        </is>
      </c>
      <c r="Y548" s="3" t="inlineStr">
        <is>
          <t>평지</t>
        </is>
      </c>
      <c r="Z548" s="3" t="inlineStr">
        <is>
          <t>세로장방</t>
        </is>
      </c>
      <c r="AA548" s="3" t="inlineStr">
        <is>
          <t>세로한면(가)</t>
        </is>
      </c>
    </row>
    <row r="549">
      <c r="A549" s="3" t="inlineStr">
        <is>
          <t>조치원읍 침산리 285-10</t>
        </is>
      </c>
      <c r="B549" s="3" t="inlineStr">
        <is>
          <t>제2종일반주거지역</t>
        </is>
      </c>
      <c r="C549" s="3" t="inlineStr">
        <is>
          <t>대</t>
        </is>
      </c>
      <c r="D549" s="3" t="inlineStr">
        <is>
          <t>4</t>
        </is>
      </c>
      <c r="E549" s="3" t="inlineStr">
        <is>
          <t>다가구</t>
        </is>
      </c>
      <c r="F549" s="3" t="inlineStr">
        <is>
          <t>매매</t>
        </is>
      </c>
      <c r="G549" s="4" t="n">
        <v>110000</v>
      </c>
      <c r="H549" s="4" t="n">
        <v>0</v>
      </c>
      <c r="I549" s="4" t="n">
        <v>266</v>
      </c>
      <c r="J549" s="4" t="n">
        <v>80</v>
      </c>
      <c r="K549" s="5" t="n">
        <v>1375</v>
      </c>
      <c r="L549" s="4" t="n">
        <v>510</v>
      </c>
      <c r="M549" s="4" t="n">
        <v>154</v>
      </c>
      <c r="N549" s="5" t="n">
        <v>714.3</v>
      </c>
      <c r="O549" s="3" t="inlineStr">
        <is>
          <t>nan</t>
        </is>
      </c>
      <c r="P549" s="6">
        <f>HYPERLINK("https://fin.land.naver.com/articles/2654386307", "매물Link")</f>
        <v/>
      </c>
      <c r="Q549" s="6">
        <f>HYPERLINK("https://map.naver.com/p/search/조치원읍 침산리 285-10", "지도Link")</f>
        <v/>
      </c>
      <c r="R549" s="6">
        <f>HYPERLINK("http://www.eum.go.kr/web/ar/lu/luLandDet.jsp?pnu=3611025028102850010&amp;isNoScr=script&amp;mode=search", "토지이음")</f>
        <v/>
      </c>
      <c r="S549" s="3" t="inlineStr">
        <is>
          <t>척척</t>
        </is>
      </c>
      <c r="T549" s="4" t="n">
        <v>1</v>
      </c>
      <c r="U549" s="5" t="n">
        <v>307.8</v>
      </c>
      <c r="V549" s="4" t="n">
        <v>266.9</v>
      </c>
      <c r="W549" s="3" t="inlineStr">
        <is>
          <t>지정되지않음</t>
        </is>
      </c>
      <c r="X549" s="3" t="inlineStr">
        <is>
          <t>주상기타</t>
        </is>
      </c>
      <c r="Y549" s="3" t="inlineStr">
        <is>
          <t>평지</t>
        </is>
      </c>
      <c r="Z549" s="3" t="inlineStr">
        <is>
          <t>정방형</t>
        </is>
      </c>
      <c r="AA549" s="3" t="inlineStr">
        <is>
          <t>소로각지</t>
        </is>
      </c>
    </row>
    <row r="550">
      <c r="A550" s="3" t="inlineStr">
        <is>
          <t>조치원읍 침산리 285-10</t>
        </is>
      </c>
      <c r="B550" s="3" t="inlineStr">
        <is>
          <t>제2종일반주거지역</t>
        </is>
      </c>
      <c r="C550" s="3" t="inlineStr">
        <is>
          <t>대</t>
        </is>
      </c>
      <c r="D550" s="3" t="inlineStr">
        <is>
          <t>2</t>
        </is>
      </c>
      <c r="E550" s="3" t="inlineStr">
        <is>
          <t>일반원룸</t>
        </is>
      </c>
      <c r="F550" s="3" t="inlineStr">
        <is>
          <t>월세</t>
        </is>
      </c>
      <c r="G550" s="4" t="n">
        <v>200</v>
      </c>
      <c r="H550" s="4" t="n">
        <v>28</v>
      </c>
      <c r="I550" s="4" t="n">
        <v>0</v>
      </c>
      <c r="J550" s="4" t="n">
        <v>0</v>
      </c>
      <c r="K550" s="5" t="n">
        <v>0</v>
      </c>
      <c r="L550" s="4" t="n">
        <v>23</v>
      </c>
      <c r="M550" s="4" t="n">
        <v>7</v>
      </c>
      <c r="N550" s="5" t="n">
        <v>4</v>
      </c>
      <c r="O550" s="3" t="inlineStr">
        <is>
          <t>주방 넓은 분리형 채광 통풍 잘되는 집</t>
        </is>
      </c>
      <c r="P550" s="6">
        <f>HYPERLINK("https://fin.land.naver.com/articles/2654004265", "매물Link")</f>
        <v/>
      </c>
      <c r="Q550" s="6">
        <f>HYPERLINK("https://map.naver.com/p/search/조치원읍 침산리 285-10", "지도Link")</f>
        <v/>
      </c>
      <c r="R550" s="6">
        <f>HYPERLINK("http://www.eum.go.kr/web/ar/lu/luLandDet.jsp?pnu=3611025028102850010&amp;isNoScr=script&amp;mode=search", "토지이음")</f>
        <v/>
      </c>
      <c r="S550" s="3" t="inlineStr">
        <is>
          <t>척척</t>
        </is>
      </c>
      <c r="T550" s="4" t="n">
        <v>1</v>
      </c>
      <c r="U550" s="5" t="n">
        <v>307.8</v>
      </c>
      <c r="V550" s="4" t="n">
        <v>266.9</v>
      </c>
      <c r="W550" s="3" t="inlineStr">
        <is>
          <t>지정되지않음</t>
        </is>
      </c>
      <c r="X550" s="3" t="inlineStr">
        <is>
          <t>주상기타</t>
        </is>
      </c>
      <c r="Y550" s="3" t="inlineStr">
        <is>
          <t>평지</t>
        </is>
      </c>
      <c r="Z550" s="3" t="inlineStr">
        <is>
          <t>정방형</t>
        </is>
      </c>
      <c r="AA550" s="3" t="inlineStr">
        <is>
          <t>소로각지</t>
        </is>
      </c>
    </row>
    <row r="551">
      <c r="A551" s="3" t="inlineStr">
        <is>
          <t>조치원읍 침산리 285-19</t>
        </is>
      </c>
      <c r="B551" s="3" t="inlineStr">
        <is>
          <t>제2종일반주거지역</t>
        </is>
      </c>
      <c r="C551" s="3" t="inlineStr">
        <is>
          <t>대</t>
        </is>
      </c>
      <c r="D551" s="3" t="inlineStr">
        <is>
          <t>4</t>
        </is>
      </c>
      <c r="E551" s="3" t="inlineStr">
        <is>
          <t>다가구</t>
        </is>
      </c>
      <c r="F551" s="3" t="inlineStr">
        <is>
          <t>매매</t>
        </is>
      </c>
      <c r="G551" s="4" t="n">
        <v>148000</v>
      </c>
      <c r="H551" s="4" t="n">
        <v>0</v>
      </c>
      <c r="I551" s="4" t="n">
        <v>300</v>
      </c>
      <c r="J551" s="4" t="n">
        <v>91</v>
      </c>
      <c r="K551" s="5" t="n">
        <v>1626.4</v>
      </c>
      <c r="L551" s="4" t="n">
        <v>593</v>
      </c>
      <c r="M551" s="4" t="n">
        <v>179</v>
      </c>
      <c r="N551" s="5" t="n">
        <v>826.8</v>
      </c>
      <c r="O551" s="3" t="inlineStr">
        <is>
          <t>신도시 스타벅스, 하이마트 옆 4층 상가 주택, 실투 5.25억</t>
        </is>
      </c>
      <c r="P551" s="6">
        <f>HYPERLINK("https://fin.land.naver.com/articles/2650412792", "매물Link")</f>
        <v/>
      </c>
      <c r="Q551" s="6">
        <f>HYPERLINK("https://map.naver.com/p/search/조치원읍 침산리 285-19", "지도Link")</f>
        <v/>
      </c>
      <c r="R551" s="6">
        <f>HYPERLINK("http://www.eum.go.kr/web/ar/lu/luLandDet.jsp?pnu=3611025028102850019&amp;isNoScr=script&amp;mode=search", "토지이음")</f>
        <v/>
      </c>
      <c r="S551" s="3" t="inlineStr">
        <is>
          <t>청주모충사모1/2LH트릴로채명성</t>
        </is>
      </c>
      <c r="T551" s="4" t="n">
        <v>1</v>
      </c>
      <c r="U551" s="5" t="n">
        <v>352.7</v>
      </c>
      <c r="V551" s="4" t="n">
        <v>300.3</v>
      </c>
      <c r="W551" s="3" t="inlineStr">
        <is>
          <t>지정되지않음</t>
        </is>
      </c>
      <c r="X551" s="3" t="inlineStr">
        <is>
          <t>상업나지</t>
        </is>
      </c>
      <c r="Y551" s="3" t="inlineStr">
        <is>
          <t>평지</t>
        </is>
      </c>
      <c r="Z551" s="3" t="inlineStr">
        <is>
          <t>정방형</t>
        </is>
      </c>
      <c r="AA551" s="3" t="inlineStr">
        <is>
          <t>소로한면</t>
        </is>
      </c>
    </row>
    <row r="552">
      <c r="A552" s="3" t="inlineStr">
        <is>
          <t>조치원읍 침산리 285-19</t>
        </is>
      </c>
      <c r="B552" s="3" t="inlineStr">
        <is>
          <t>제2종일반주거지역</t>
        </is>
      </c>
      <c r="C552" s="3" t="inlineStr">
        <is>
          <t>대</t>
        </is>
      </c>
      <c r="D552" s="3" t="inlineStr">
        <is>
          <t>4</t>
        </is>
      </c>
      <c r="E552" s="3" t="inlineStr">
        <is>
          <t>다가구</t>
        </is>
      </c>
      <c r="F552" s="3" t="inlineStr">
        <is>
          <t>매매</t>
        </is>
      </c>
      <c r="G552" s="4" t="n">
        <v>148000</v>
      </c>
      <c r="H552" s="4" t="n">
        <v>0</v>
      </c>
      <c r="I552" s="4" t="n">
        <v>300</v>
      </c>
      <c r="J552" s="4" t="n">
        <v>91</v>
      </c>
      <c r="K552" s="5" t="n">
        <v>1626.4</v>
      </c>
      <c r="L552" s="4" t="n">
        <v>593</v>
      </c>
      <c r="M552" s="4" t="n">
        <v>179</v>
      </c>
      <c r="N552" s="5" t="n">
        <v>826.8</v>
      </c>
      <c r="O552" s="3" t="inlineStr">
        <is>
          <t>nan</t>
        </is>
      </c>
      <c r="P552" s="6">
        <f>HYPERLINK("https://fin.land.naver.com/articles/2650405364", "매물Link")</f>
        <v/>
      </c>
      <c r="Q552" s="6">
        <f>HYPERLINK("https://map.naver.com/p/search/조치원읍 침산리 285-19", "지도Link")</f>
        <v/>
      </c>
      <c r="R552" s="6">
        <f>HYPERLINK("http://www.eum.go.kr/web/ar/lu/luLandDet.jsp?pnu=3611025028102850019&amp;isNoScr=script&amp;mode=search", "토지이음")</f>
        <v/>
      </c>
      <c r="S552" s="3" t="inlineStr">
        <is>
          <t>굿굿경매</t>
        </is>
      </c>
      <c r="T552" s="4" t="n">
        <v>1</v>
      </c>
      <c r="U552" s="5" t="n">
        <v>352.7</v>
      </c>
      <c r="V552" s="4" t="n">
        <v>300.3</v>
      </c>
      <c r="W552" s="3" t="inlineStr">
        <is>
          <t>지정되지않음</t>
        </is>
      </c>
      <c r="X552" s="3" t="inlineStr">
        <is>
          <t>상업나지</t>
        </is>
      </c>
      <c r="Y552" s="3" t="inlineStr">
        <is>
          <t>평지</t>
        </is>
      </c>
      <c r="Z552" s="3" t="inlineStr">
        <is>
          <t>정방형</t>
        </is>
      </c>
      <c r="AA552" s="3" t="inlineStr">
        <is>
          <t>소로한면</t>
        </is>
      </c>
    </row>
    <row r="553">
      <c r="A553" s="3" t="inlineStr">
        <is>
          <t>조치원읍 침산리 285-20</t>
        </is>
      </c>
      <c r="B553" s="3" t="inlineStr">
        <is>
          <t>제2종일반주거지역</t>
        </is>
      </c>
      <c r="C553" s="3" t="inlineStr">
        <is>
          <t>대</t>
        </is>
      </c>
      <c r="D553" s="3" t="inlineStr">
        <is>
          <t>4</t>
        </is>
      </c>
      <c r="E553" s="3" t="inlineStr">
        <is>
          <t>일반원룸</t>
        </is>
      </c>
      <c r="F553" s="3" t="inlineStr">
        <is>
          <t>월세</t>
        </is>
      </c>
      <c r="G553" s="4" t="n">
        <v>2000</v>
      </c>
      <c r="H553" s="4" t="n">
        <v>10</v>
      </c>
      <c r="I553" s="4" t="n">
        <v>39</v>
      </c>
      <c r="J553" s="4" t="n">
        <v>12</v>
      </c>
      <c r="K553" s="5" t="n">
        <v>0.8</v>
      </c>
      <c r="L553" s="4" t="n">
        <v>26</v>
      </c>
      <c r="M553" s="4" t="n">
        <v>8</v>
      </c>
      <c r="N553" s="5" t="n">
        <v>1.2</v>
      </c>
      <c r="O553" s="3" t="inlineStr">
        <is>
          <t>신축주거단지  채광좋은 분리형 원룸</t>
        </is>
      </c>
      <c r="P553" s="6">
        <f>HYPERLINK("https://fin.land.naver.com/articles/2651595721", "매물Link")</f>
        <v/>
      </c>
      <c r="Q553" s="6">
        <f>HYPERLINK("https://map.naver.com/p/search/조치원읍 침산리 285-20", "지도Link")</f>
        <v/>
      </c>
      <c r="R553" s="6">
        <f>HYPERLINK("http://www.eum.go.kr/web/ar/lu/luLandDet.jsp?pnu=3611025028102850020&amp;isNoScr=script&amp;mode=search", "토지이음")</f>
        <v/>
      </c>
      <c r="S553" s="3" t="inlineStr">
        <is>
          <t>척척</t>
        </is>
      </c>
      <c r="T553" s="4" t="n">
        <v>1</v>
      </c>
      <c r="U553" s="5" t="n">
        <v>363</v>
      </c>
      <c r="V553" s="4" t="n">
        <v>335.7</v>
      </c>
      <c r="W553" s="3" t="inlineStr">
        <is>
          <t>지정되지않음</t>
        </is>
      </c>
      <c r="X553" s="3" t="inlineStr">
        <is>
          <t>상업나지</t>
        </is>
      </c>
      <c r="Y553" s="3" t="inlineStr">
        <is>
          <t>평지</t>
        </is>
      </c>
      <c r="Z553" s="3" t="inlineStr">
        <is>
          <t>가로장방</t>
        </is>
      </c>
      <c r="AA553" s="3" t="inlineStr">
        <is>
          <t>소로각지</t>
        </is>
      </c>
    </row>
    <row r="554">
      <c r="A554" s="3" t="inlineStr">
        <is>
          <t>조치원읍 평리 107-1</t>
        </is>
      </c>
      <c r="B554" s="3" t="inlineStr">
        <is>
          <t>제2종일반주거지역</t>
        </is>
      </c>
      <c r="C554" s="3" t="inlineStr">
        <is>
          <t>대</t>
        </is>
      </c>
      <c r="D554" s="3" t="inlineStr">
        <is>
          <t>1</t>
        </is>
      </c>
      <c r="E554" s="3" t="inlineStr">
        <is>
          <t>단독</t>
        </is>
      </c>
      <c r="F554" s="3" t="inlineStr">
        <is>
          <t>매매</t>
        </is>
      </c>
      <c r="G554" s="4" t="n">
        <v>24500</v>
      </c>
      <c r="H554" s="4" t="n">
        <v>0</v>
      </c>
      <c r="I554" s="4" t="n">
        <v>161</v>
      </c>
      <c r="J554" s="4" t="n">
        <v>49</v>
      </c>
      <c r="K554" s="5" t="n">
        <v>500</v>
      </c>
      <c r="L554" s="4" t="n">
        <v>85</v>
      </c>
      <c r="M554" s="4" t="n">
        <v>26</v>
      </c>
      <c r="N554" s="5" t="n">
        <v>942.3</v>
      </c>
      <c r="O554" s="3" t="inlineStr">
        <is>
          <t>평리 터미널 맞은편 위치좋은 주택가 입니다</t>
        </is>
      </c>
      <c r="P554" s="6">
        <f>HYPERLINK("https://fin.land.naver.com/articles/2649790783", "매물Link")</f>
        <v/>
      </c>
      <c r="Q554" s="6">
        <f>HYPERLINK("https://map.naver.com/p/search/조치원읍 평리 107-1", "지도Link")</f>
        <v/>
      </c>
      <c r="R554" s="6">
        <f>HYPERLINK("http://www.eum.go.kr/web/ar/lu/luLandDet.jsp?pnu=3611025023101070001&amp;isNoScr=script&amp;mode=search", "토지이음")</f>
        <v/>
      </c>
      <c r="S554" s="3" t="inlineStr">
        <is>
          <t>OK수</t>
        </is>
      </c>
      <c r="T554" s="4" t="n">
        <v>1</v>
      </c>
      <c r="U554" s="5" t="n">
        <v>213.1</v>
      </c>
      <c r="V554" s="4" t="n">
        <v>161</v>
      </c>
      <c r="W554" s="3" t="inlineStr">
        <is>
          <t>지정되지않음</t>
        </is>
      </c>
      <c r="X554" s="3" t="inlineStr">
        <is>
          <t>단독</t>
        </is>
      </c>
      <c r="Y554" s="3" t="inlineStr">
        <is>
          <t>평지</t>
        </is>
      </c>
      <c r="Z554" s="3" t="inlineStr">
        <is>
          <t>사다리형</t>
        </is>
      </c>
      <c r="AA554" s="3" t="inlineStr">
        <is>
          <t>세로한면(가)</t>
        </is>
      </c>
    </row>
    <row r="555">
      <c r="A555" s="3" t="inlineStr">
        <is>
          <t>조치원읍 평리 23-8</t>
        </is>
      </c>
      <c r="B555" s="3" t="inlineStr">
        <is>
          <t>제2종일반주거지역</t>
        </is>
      </c>
      <c r="C555" s="3" t="inlineStr">
        <is>
          <t>대</t>
        </is>
      </c>
      <c r="D555" s="3" t="inlineStr">
        <is>
          <t>4</t>
        </is>
      </c>
      <c r="E555" s="3" t="inlineStr">
        <is>
          <t>다가구</t>
        </is>
      </c>
      <c r="F555" s="3" t="inlineStr">
        <is>
          <t>전세</t>
        </is>
      </c>
      <c r="G555" s="4" t="n">
        <v>8000</v>
      </c>
      <c r="H555" s="4" t="n">
        <v>0</v>
      </c>
      <c r="I555" s="4" t="n">
        <v>50</v>
      </c>
      <c r="J555" s="4" t="n">
        <v>15</v>
      </c>
      <c r="K555" s="5" t="n">
        <v>533.3</v>
      </c>
      <c r="L555" s="4" t="n">
        <v>43</v>
      </c>
      <c r="M555" s="4" t="n">
        <v>13</v>
      </c>
      <c r="N555" s="5" t="n">
        <v>615.4</v>
      </c>
      <c r="O555" s="3" t="inlineStr">
        <is>
          <t>보증보험소독청결완벽한 풀옵 이방pick</t>
        </is>
      </c>
      <c r="P555" s="6">
        <f>HYPERLINK("https://fin.land.naver.com/articles/2651394456", "매물Link")</f>
        <v/>
      </c>
      <c r="Q555" s="6">
        <f>HYPERLINK("https://map.naver.com/p/search/조치원읍 평리 23-8", "지도Link")</f>
        <v/>
      </c>
      <c r="R555" s="6">
        <f>HYPERLINK("http://www.eum.go.kr/web/ar/lu/luLandDet.jsp?pnu=3611025023100230008&amp;isNoScr=script&amp;mode=search", "토지이음")</f>
        <v/>
      </c>
      <c r="S555" s="3" t="inlineStr">
        <is>
          <t>마이룸</t>
        </is>
      </c>
      <c r="T555" s="4" t="n">
        <v>1</v>
      </c>
      <c r="U555" s="5" t="n">
        <v>219.2</v>
      </c>
      <c r="V555" s="4" t="n">
        <v>115.7</v>
      </c>
      <c r="W555" s="3" t="inlineStr">
        <is>
          <t>지정되지않음</t>
        </is>
      </c>
      <c r="X555" s="3" t="inlineStr">
        <is>
          <t>연립</t>
        </is>
      </c>
      <c r="Y555" s="3" t="inlineStr">
        <is>
          <t>평지</t>
        </is>
      </c>
      <c r="Z555" s="3" t="inlineStr">
        <is>
          <t>사다리형</t>
        </is>
      </c>
      <c r="AA555" s="3" t="inlineStr">
        <is>
          <t>세로각지(가)</t>
        </is>
      </c>
    </row>
    <row r="556">
      <c r="A556" s="3" t="inlineStr">
        <is>
          <t>조치원읍 평리 54-2</t>
        </is>
      </c>
      <c r="B556" s="3" t="inlineStr">
        <is>
          <t>제2종일반주거지역</t>
        </is>
      </c>
      <c r="C556" s="3" t="inlineStr">
        <is>
          <t>대</t>
        </is>
      </c>
      <c r="D556" s="3" t="inlineStr">
        <is>
          <t>0</t>
        </is>
      </c>
      <c r="E556" s="3" t="inlineStr">
        <is>
          <t>다가구</t>
        </is>
      </c>
      <c r="F556" s="3" t="inlineStr">
        <is>
          <t>월세</t>
        </is>
      </c>
      <c r="G556" s="4" t="n">
        <v>500</v>
      </c>
      <c r="H556" s="4" t="n">
        <v>55</v>
      </c>
      <c r="I556" s="4" t="n">
        <v>0</v>
      </c>
      <c r="J556" s="4" t="n">
        <v>0</v>
      </c>
      <c r="K556" s="5" t="n">
        <v>0</v>
      </c>
      <c r="L556" s="4" t="n">
        <v>38</v>
      </c>
      <c r="M556" s="4" t="n">
        <v>11</v>
      </c>
      <c r="N556" s="5" t="n">
        <v>5</v>
      </c>
      <c r="O556" s="3" t="inlineStr">
        <is>
          <t>투룸, 협의 입주</t>
        </is>
      </c>
      <c r="P556" s="6">
        <f>HYPERLINK("https://fin.land.naver.com/articles/2652579240", "매물Link")</f>
        <v/>
      </c>
      <c r="Q556" s="6">
        <f>HYPERLINK("https://map.naver.com/p/search/조치원읍 평리 54-2", "지도Link")</f>
        <v/>
      </c>
      <c r="R556" s="6">
        <f>HYPERLINK("http://www.eum.go.kr/web/ar/lu/luLandDet.jsp?pnu=3611025023100540002&amp;isNoScr=script&amp;mode=search", "토지이음")</f>
        <v/>
      </c>
      <c r="S556" s="3" t="inlineStr">
        <is>
          <t>골드</t>
        </is>
      </c>
      <c r="T556" s="4" t="n">
        <v>1</v>
      </c>
      <c r="U556" s="5" t="n">
        <v>206.6</v>
      </c>
      <c r="V556" s="4" t="n">
        <v>324</v>
      </c>
      <c r="W556" s="3" t="inlineStr">
        <is>
          <t>지정되지않음</t>
        </is>
      </c>
      <c r="X556" s="3" t="inlineStr">
        <is>
          <t>단독</t>
        </is>
      </c>
      <c r="Y556" s="3" t="inlineStr">
        <is>
          <t>평지</t>
        </is>
      </c>
      <c r="Z556" s="3" t="inlineStr">
        <is>
          <t>부정형</t>
        </is>
      </c>
      <c r="AA556" s="3" t="inlineStr">
        <is>
          <t>세로한면(가)</t>
        </is>
      </c>
    </row>
    <row r="557">
      <c r="A557" s="3" t="inlineStr">
        <is>
          <t>조치원읍 평리 56-2</t>
        </is>
      </c>
      <c r="B557" s="3" t="inlineStr">
        <is>
          <t>제2종일반주거지역</t>
        </is>
      </c>
      <c r="C557" s="3" t="inlineStr">
        <is>
          <t>대</t>
        </is>
      </c>
      <c r="D557" s="3" t="inlineStr">
        <is>
          <t>3</t>
        </is>
      </c>
      <c r="E557" s="3" t="inlineStr">
        <is>
          <t>일반원룸</t>
        </is>
      </c>
      <c r="F557" s="3" t="inlineStr">
        <is>
          <t>월세</t>
        </is>
      </c>
      <c r="G557" s="4" t="n">
        <v>200</v>
      </c>
      <c r="H557" s="4" t="n">
        <v>30</v>
      </c>
      <c r="I557" s="4" t="n">
        <v>39</v>
      </c>
      <c r="J557" s="4" t="n">
        <v>12</v>
      </c>
      <c r="K557" s="5" t="n">
        <v>2.5</v>
      </c>
      <c r="L557" s="4" t="n">
        <v>26</v>
      </c>
      <c r="M557" s="4" t="n">
        <v>8</v>
      </c>
      <c r="N557" s="5" t="n">
        <v>3.8</v>
      </c>
      <c r="O557" s="3" t="inlineStr">
        <is>
          <t>조치원터미널근방.엘리베이터있음.공동주차시설완비</t>
        </is>
      </c>
      <c r="P557" s="6">
        <f>HYPERLINK("https://fin.land.naver.com/articles/2651626263", "매물Link")</f>
        <v/>
      </c>
      <c r="Q557" s="6">
        <f>HYPERLINK("https://map.naver.com/p/search/조치원읍 평리 56-2", "지도Link")</f>
        <v/>
      </c>
      <c r="R557" s="6">
        <f>HYPERLINK("http://www.eum.go.kr/web/ar/lu/luLandDet.jsp?pnu=3611025023100560002&amp;isNoScr=script&amp;mode=search", "토지이음")</f>
        <v/>
      </c>
      <c r="S557" s="3" t="inlineStr">
        <is>
          <t>척척</t>
        </is>
      </c>
      <c r="T557" s="4" t="n">
        <v>1</v>
      </c>
      <c r="U557" s="5" t="n">
        <v>206.6</v>
      </c>
      <c r="V557" s="4" t="n">
        <v>575</v>
      </c>
      <c r="W557" s="3" t="inlineStr">
        <is>
          <t>지정되지않음</t>
        </is>
      </c>
      <c r="X557" s="3" t="inlineStr">
        <is>
          <t>단독</t>
        </is>
      </c>
      <c r="Y557" s="3" t="inlineStr">
        <is>
          <t>평지</t>
        </is>
      </c>
      <c r="Z557" s="3" t="inlineStr">
        <is>
          <t>부정형</t>
        </is>
      </c>
      <c r="AA557" s="3" t="inlineStr">
        <is>
          <t>세로한면(가)</t>
        </is>
      </c>
    </row>
    <row r="558">
      <c r="A558" s="3" t="inlineStr">
        <is>
          <t>조치원읍 평리 73-1</t>
        </is>
      </c>
      <c r="B558" s="3" t="inlineStr">
        <is>
          <t>제2종일반주거지역</t>
        </is>
      </c>
      <c r="C558" s="3" t="inlineStr">
        <is>
          <t>대</t>
        </is>
      </c>
      <c r="D558" s="3" t="inlineStr">
        <is>
          <t>1</t>
        </is>
      </c>
      <c r="E558" s="3" t="inlineStr">
        <is>
          <t>단독</t>
        </is>
      </c>
      <c r="F558" s="3" t="inlineStr">
        <is>
          <t>매매</t>
        </is>
      </c>
      <c r="G558" s="4" t="n">
        <v>19500</v>
      </c>
      <c r="H558" s="4" t="n">
        <v>0</v>
      </c>
      <c r="I558" s="4" t="n">
        <v>188</v>
      </c>
      <c r="J558" s="4" t="n">
        <v>57</v>
      </c>
      <c r="K558" s="5" t="n">
        <v>342.1</v>
      </c>
      <c r="L558" s="4" t="n">
        <v>49</v>
      </c>
      <c r="M558" s="4" t="n">
        <v>15</v>
      </c>
      <c r="N558" s="5" t="n">
        <v>1300</v>
      </c>
      <c r="O558" s="3" t="inlineStr">
        <is>
          <t>조치원읍 평리 단독주택 저렴하게 나왔어요.</t>
        </is>
      </c>
      <c r="P558" s="6">
        <f>HYPERLINK("https://fin.land.naver.com/articles/2649552536", "매물Link")</f>
        <v/>
      </c>
      <c r="Q558" s="6">
        <f>HYPERLINK("https://map.naver.com/p/search/조치원읍 평리 73-1", "지도Link")</f>
        <v/>
      </c>
      <c r="R558" s="6">
        <f>HYPERLINK("http://www.eum.go.kr/web/ar/lu/luLandDet.jsp?pnu=3611025023100730001&amp;isNoScr=script&amp;mode=search", "토지이음")</f>
        <v/>
      </c>
      <c r="S558" s="3" t="inlineStr">
        <is>
          <t>세종대장</t>
        </is>
      </c>
      <c r="T558" s="4" t="n">
        <v>1</v>
      </c>
      <c r="U558" s="5" t="n">
        <v>120.4</v>
      </c>
      <c r="V558" s="4" t="n">
        <v>188</v>
      </c>
      <c r="W558" s="3" t="inlineStr">
        <is>
          <t>지정되지않음</t>
        </is>
      </c>
      <c r="X558" s="3" t="inlineStr">
        <is>
          <t>단독</t>
        </is>
      </c>
      <c r="Y558" s="3" t="inlineStr">
        <is>
          <t>평지</t>
        </is>
      </c>
      <c r="Z558" s="3" t="inlineStr">
        <is>
          <t>부정형</t>
        </is>
      </c>
      <c r="AA558" s="3" t="inlineStr">
        <is>
          <t>세로한면(불)</t>
        </is>
      </c>
    </row>
    <row r="559">
      <c r="A559" s="3" t="inlineStr">
        <is>
          <t>한솔동 1069</t>
        </is>
      </c>
      <c r="B559" s="3" t="inlineStr">
        <is>
          <t>제1종전용주거지역</t>
        </is>
      </c>
      <c r="C559" s="3" t="inlineStr">
        <is>
          <t>대</t>
        </is>
      </c>
      <c r="D559" s="3" t="inlineStr">
        <is>
          <t>2</t>
        </is>
      </c>
      <c r="E559" s="3" t="inlineStr">
        <is>
          <t>단독</t>
        </is>
      </c>
      <c r="F559" s="3" t="inlineStr">
        <is>
          <t>매매</t>
        </is>
      </c>
      <c r="G559" s="4" t="n">
        <v>155000</v>
      </c>
      <c r="H559" s="4" t="n">
        <v>0</v>
      </c>
      <c r="I559" s="4" t="n">
        <v>324</v>
      </c>
      <c r="J559" s="4" t="n">
        <v>98</v>
      </c>
      <c r="K559" s="5" t="n">
        <v>1581.6</v>
      </c>
      <c r="L559" s="4" t="n">
        <v>249</v>
      </c>
      <c r="M559" s="4" t="n">
        <v>75</v>
      </c>
      <c r="N559" s="5" t="n">
        <v>2066.7</v>
      </c>
      <c r="O559" s="3" t="inlineStr">
        <is>
          <t>해외건축가가 설계한 멋진집, 한솔동,새롬동상권이용편리,보시면 반할집</t>
        </is>
      </c>
      <c r="P559" s="6">
        <f>HYPERLINK("https://fin.land.naver.com/articles/2653835626", "매물Link")</f>
        <v/>
      </c>
      <c r="Q559" s="6">
        <f>HYPERLINK("https://map.naver.com/p/search/한솔동 1069", "지도Link")</f>
        <v/>
      </c>
      <c r="R559" s="6">
        <f>HYPERLINK("http://www.eum.go.kr/web/ar/lu/luLandDet.jsp?pnu=3611010600110690000&amp;isNoScr=script&amp;mode=search", "토지이음")</f>
        <v/>
      </c>
      <c r="S559" s="3" t="inlineStr">
        <is>
          <t>세종제일</t>
        </is>
      </c>
      <c r="T559" s="4" t="n">
        <v>1</v>
      </c>
      <c r="U559" s="5" t="n">
        <v>373.6</v>
      </c>
      <c r="V559" s="4" t="n">
        <v>324.7</v>
      </c>
      <c r="W559" s="3" t="inlineStr">
        <is>
          <t>지정되지않음</t>
        </is>
      </c>
      <c r="X559" s="3" t="inlineStr">
        <is>
          <t>단독</t>
        </is>
      </c>
      <c r="Y559" s="3" t="inlineStr">
        <is>
          <t>평지</t>
        </is>
      </c>
      <c r="Z559" s="3" t="inlineStr">
        <is>
          <t>세로장방</t>
        </is>
      </c>
      <c r="AA559" s="3" t="inlineStr">
        <is>
          <t>소로한면</t>
        </is>
      </c>
    </row>
    <row r="560">
      <c r="A560" s="3" t="inlineStr">
        <is>
          <t>한솔동 1069</t>
        </is>
      </c>
      <c r="B560" s="3" t="inlineStr">
        <is>
          <t>제1종전용주거지역</t>
        </is>
      </c>
      <c r="C560" s="3" t="inlineStr">
        <is>
          <t>대</t>
        </is>
      </c>
      <c r="D560" s="3" t="inlineStr">
        <is>
          <t>2</t>
        </is>
      </c>
      <c r="E560" s="3" t="inlineStr">
        <is>
          <t>단독</t>
        </is>
      </c>
      <c r="F560" s="3" t="inlineStr">
        <is>
          <t>매매</t>
        </is>
      </c>
      <c r="G560" s="4" t="n">
        <v>155000</v>
      </c>
      <c r="H560" s="4" t="n">
        <v>0</v>
      </c>
      <c r="I560" s="4" t="n">
        <v>324</v>
      </c>
      <c r="J560" s="4" t="n">
        <v>98</v>
      </c>
      <c r="K560" s="5" t="n">
        <v>1581.6</v>
      </c>
      <c r="L560" s="4" t="n">
        <v>249</v>
      </c>
      <c r="M560" s="4" t="n">
        <v>75</v>
      </c>
      <c r="N560" s="5" t="n">
        <v>2066.7</v>
      </c>
      <c r="O560" s="3" t="inlineStr">
        <is>
          <t>방6개, 화장실4개, 근린공원 인근, 고급 단독주택</t>
        </is>
      </c>
      <c r="P560" s="6">
        <f>HYPERLINK("https://fin.land.naver.com/articles/2652839061", "매물Link")</f>
        <v/>
      </c>
      <c r="Q560" s="6">
        <f>HYPERLINK("https://map.naver.com/p/search/한솔동 1069", "지도Link")</f>
        <v/>
      </c>
      <c r="R560" s="6">
        <f>HYPERLINK("http://www.eum.go.kr/web/ar/lu/luLandDet.jsp?pnu=3611010600110690000&amp;isNoScr=script&amp;mode=search", "토지이음")</f>
        <v/>
      </c>
      <c r="S560" s="3" t="inlineStr">
        <is>
          <t>세종무지개</t>
        </is>
      </c>
      <c r="T560" s="4" t="n">
        <v>1</v>
      </c>
      <c r="U560" s="5" t="n">
        <v>373.6</v>
      </c>
      <c r="V560" s="4" t="n">
        <v>324.7</v>
      </c>
      <c r="W560" s="3" t="inlineStr">
        <is>
          <t>지정되지않음</t>
        </is>
      </c>
      <c r="X560" s="3" t="inlineStr">
        <is>
          <t>단독</t>
        </is>
      </c>
      <c r="Y560" s="3" t="inlineStr">
        <is>
          <t>평지</t>
        </is>
      </c>
      <c r="Z560" s="3" t="inlineStr">
        <is>
          <t>세로장방</t>
        </is>
      </c>
      <c r="AA560" s="3" t="inlineStr">
        <is>
          <t>소로한면</t>
        </is>
      </c>
    </row>
    <row r="561">
      <c r="A561" s="3" t="inlineStr">
        <is>
          <t>한솔동 1069</t>
        </is>
      </c>
      <c r="B561" s="3" t="inlineStr">
        <is>
          <t>제1종전용주거지역</t>
        </is>
      </c>
      <c r="C561" s="3" t="inlineStr">
        <is>
          <t>대</t>
        </is>
      </c>
      <c r="D561" s="3" t="inlineStr">
        <is>
          <t>2</t>
        </is>
      </c>
      <c r="E561" s="3" t="inlineStr">
        <is>
          <t>단독</t>
        </is>
      </c>
      <c r="F561" s="3" t="inlineStr">
        <is>
          <t>매매</t>
        </is>
      </c>
      <c r="G561" s="4" t="n">
        <v>155000</v>
      </c>
      <c r="H561" s="4" t="n">
        <v>0</v>
      </c>
      <c r="I561" s="4" t="n">
        <v>324</v>
      </c>
      <c r="J561" s="4" t="n">
        <v>98</v>
      </c>
      <c r="K561" s="5" t="n">
        <v>1581.6</v>
      </c>
      <c r="L561" s="4" t="n">
        <v>249</v>
      </c>
      <c r="M561" s="4" t="n">
        <v>75</v>
      </c>
      <c r="N561" s="5" t="n">
        <v>2066.7</v>
      </c>
      <c r="O561" s="3" t="inlineStr">
        <is>
          <t>한솔동 고급 2층단독주택 위치좋은 조용하고 쾌적한 환경</t>
        </is>
      </c>
      <c r="P561" s="6">
        <f>HYPERLINK("https://fin.land.naver.com/articles/2651896310", "매물Link")</f>
        <v/>
      </c>
      <c r="Q561" s="6">
        <f>HYPERLINK("https://map.naver.com/p/search/한솔동 1069", "지도Link")</f>
        <v/>
      </c>
      <c r="R561" s="6">
        <f>HYPERLINK("http://www.eum.go.kr/web/ar/lu/luLandDet.jsp?pnu=3611010600110690000&amp;isNoScr=script&amp;mode=search", "토지이음")</f>
        <v/>
      </c>
      <c r="S561" s="3" t="inlineStr">
        <is>
          <t>고운동리치세종</t>
        </is>
      </c>
      <c r="T561" s="4" t="n">
        <v>1</v>
      </c>
      <c r="U561" s="5" t="n">
        <v>373.6</v>
      </c>
      <c r="V561" s="4" t="n">
        <v>324.7</v>
      </c>
      <c r="W561" s="3" t="inlineStr">
        <is>
          <t>지정되지않음</t>
        </is>
      </c>
      <c r="X561" s="3" t="inlineStr">
        <is>
          <t>단독</t>
        </is>
      </c>
      <c r="Y561" s="3" t="inlineStr">
        <is>
          <t>평지</t>
        </is>
      </c>
      <c r="Z561" s="3" t="inlineStr">
        <is>
          <t>세로장방</t>
        </is>
      </c>
      <c r="AA561" s="3" t="inlineStr">
        <is>
          <t>소로한면</t>
        </is>
      </c>
    </row>
    <row r="562">
      <c r="A562" s="3" t="inlineStr">
        <is>
          <t>한솔동 1069</t>
        </is>
      </c>
      <c r="B562" s="3" t="inlineStr">
        <is>
          <t>제1종전용주거지역</t>
        </is>
      </c>
      <c r="C562" s="3" t="inlineStr">
        <is>
          <t>대</t>
        </is>
      </c>
      <c r="D562" s="3" t="inlineStr">
        <is>
          <t>2</t>
        </is>
      </c>
      <c r="E562" s="3" t="inlineStr">
        <is>
          <t>단독</t>
        </is>
      </c>
      <c r="F562" s="3" t="inlineStr">
        <is>
          <t>매매</t>
        </is>
      </c>
      <c r="G562" s="4" t="n">
        <v>155000</v>
      </c>
      <c r="H562" s="4" t="n">
        <v>0</v>
      </c>
      <c r="I562" s="4" t="n">
        <v>324</v>
      </c>
      <c r="J562" s="4" t="n">
        <v>98</v>
      </c>
      <c r="K562" s="5" t="n">
        <v>1581.6</v>
      </c>
      <c r="L562" s="4" t="n">
        <v>249</v>
      </c>
      <c r="M562" s="4" t="n">
        <v>75</v>
      </c>
      <c r="N562" s="5" t="n">
        <v>2066.7</v>
      </c>
      <c r="O562" s="3" t="inlineStr">
        <is>
          <t>전용75.5p, 방6개, 화장실4개, 해외건축가가 설계한 멋진집</t>
        </is>
      </c>
      <c r="P562" s="6">
        <f>HYPERLINK("https://fin.land.naver.com/articles/2651918512", "매물Link")</f>
        <v/>
      </c>
      <c r="Q562" s="6">
        <f>HYPERLINK("https://map.naver.com/p/search/한솔동 1069", "지도Link")</f>
        <v/>
      </c>
      <c r="R562" s="6">
        <f>HYPERLINK("http://www.eum.go.kr/web/ar/lu/luLandDet.jsp?pnu=3611010600110690000&amp;isNoScr=script&amp;mode=search", "토지이음")</f>
        <v/>
      </c>
      <c r="S562" s="3" t="inlineStr">
        <is>
          <t>명진</t>
        </is>
      </c>
      <c r="T562" s="4" t="n">
        <v>1</v>
      </c>
      <c r="U562" s="5" t="n">
        <v>373.6</v>
      </c>
      <c r="V562" s="4" t="n">
        <v>324.7</v>
      </c>
      <c r="W562" s="3" t="inlineStr">
        <is>
          <t>지정되지않음</t>
        </is>
      </c>
      <c r="X562" s="3" t="inlineStr">
        <is>
          <t>단독</t>
        </is>
      </c>
      <c r="Y562" s="3" t="inlineStr">
        <is>
          <t>평지</t>
        </is>
      </c>
      <c r="Z562" s="3" t="inlineStr">
        <is>
          <t>세로장방</t>
        </is>
      </c>
      <c r="AA562" s="3" t="inlineStr">
        <is>
          <t>소로한면</t>
        </is>
      </c>
    </row>
    <row r="563">
      <c r="A563" s="3" t="inlineStr">
        <is>
          <t>한솔동 1118</t>
        </is>
      </c>
      <c r="B563" s="3" t="inlineStr">
        <is>
          <t>제1종전용주거지역</t>
        </is>
      </c>
      <c r="C563" s="3" t="inlineStr">
        <is>
          <t>대</t>
        </is>
      </c>
      <c r="D563" s="3" t="inlineStr">
        <is>
          <t>2</t>
        </is>
      </c>
      <c r="E563" s="3" t="inlineStr">
        <is>
          <t>단독</t>
        </is>
      </c>
      <c r="F563" s="3" t="inlineStr">
        <is>
          <t>매매</t>
        </is>
      </c>
      <c r="G563" s="4" t="n">
        <v>127000</v>
      </c>
      <c r="H563" s="4" t="n">
        <v>0</v>
      </c>
      <c r="I563" s="4" t="n">
        <v>331</v>
      </c>
      <c r="J563" s="4" t="n">
        <v>100</v>
      </c>
      <c r="K563" s="5" t="n">
        <v>1270</v>
      </c>
      <c r="L563" s="4" t="n">
        <v>164</v>
      </c>
      <c r="M563" s="4" t="n">
        <v>50</v>
      </c>
      <c r="N563" s="5" t="n">
        <v>2540</v>
      </c>
      <c r="O563" s="3" t="inlineStr">
        <is>
          <t>급매 주인거주할려고 초현대식 정성들여  대지넓어요 몸만들어가면 돼요</t>
        </is>
      </c>
      <c r="P563" s="6">
        <f>HYPERLINK("https://fin.land.naver.com/articles/2654420153", "매물Link")</f>
        <v/>
      </c>
      <c r="Q563" s="6">
        <f>HYPERLINK("https://map.naver.com/p/search/한솔동 1118", "지도Link")</f>
        <v/>
      </c>
      <c r="R563" s="6">
        <f>HYPERLINK("http://www.eum.go.kr/web/ar/lu/luLandDet.jsp?pnu=3611010600111180000&amp;isNoScr=script&amp;mode=search", "토지이음")</f>
        <v/>
      </c>
      <c r="S563" s="3" t="inlineStr">
        <is>
          <t>세종시삼성래미안</t>
        </is>
      </c>
      <c r="T563" s="4" t="n">
        <v>2</v>
      </c>
      <c r="U563" s="5" t="n">
        <v>373.6</v>
      </c>
      <c r="V563" s="4" t="n">
        <v>331.3</v>
      </c>
      <c r="W563" s="3" t="inlineStr">
        <is>
          <t>지정되지않음</t>
        </is>
      </c>
      <c r="X563" s="3" t="inlineStr">
        <is>
          <t>단독</t>
        </is>
      </c>
      <c r="Y563" s="3" t="inlineStr">
        <is>
          <t>평지</t>
        </is>
      </c>
      <c r="Z563" s="3" t="inlineStr">
        <is>
          <t>정방형</t>
        </is>
      </c>
      <c r="AA563" s="3" t="inlineStr">
        <is>
          <t>소로한면</t>
        </is>
      </c>
    </row>
    <row r="564">
      <c r="A564" s="3" t="inlineStr">
        <is>
          <t>한솔동 1118</t>
        </is>
      </c>
      <c r="B564" s="3" t="inlineStr">
        <is>
          <t>제1종전용주거지역</t>
        </is>
      </c>
      <c r="C564" s="3" t="inlineStr">
        <is>
          <t>대</t>
        </is>
      </c>
      <c r="D564" s="3" t="inlineStr">
        <is>
          <t>2</t>
        </is>
      </c>
      <c r="E564" s="3" t="inlineStr">
        <is>
          <t>단독</t>
        </is>
      </c>
      <c r="F564" s="3" t="inlineStr">
        <is>
          <t>매매</t>
        </is>
      </c>
      <c r="G564" s="4" t="n">
        <v>127000</v>
      </c>
      <c r="H564" s="4" t="n">
        <v>0</v>
      </c>
      <c r="I564" s="4" t="n">
        <v>331</v>
      </c>
      <c r="J564" s="4" t="n">
        <v>100</v>
      </c>
      <c r="K564" s="5" t="n">
        <v>1270</v>
      </c>
      <c r="L564" s="4" t="n">
        <v>164</v>
      </c>
      <c r="M564" s="4" t="n">
        <v>50</v>
      </c>
      <c r="N564" s="5" t="n">
        <v>2540</v>
      </c>
      <c r="O564" s="3" t="inlineStr">
        <is>
          <t>공원을 접한 단독주택, 여유로움을 누려보세요</t>
        </is>
      </c>
      <c r="P564" s="6">
        <f>HYPERLINK("https://fin.land.naver.com/articles/2652853639", "매물Link")</f>
        <v/>
      </c>
      <c r="Q564" s="6">
        <f>HYPERLINK("https://map.naver.com/p/search/한솔동 1118", "지도Link")</f>
        <v/>
      </c>
      <c r="R564" s="6">
        <f>HYPERLINK("http://www.eum.go.kr/web/ar/lu/luLandDet.jsp?pnu=3611010600111180000&amp;isNoScr=script&amp;mode=search", "토지이음")</f>
        <v/>
      </c>
      <c r="S564" s="3" t="inlineStr">
        <is>
          <t>최무연</t>
        </is>
      </c>
      <c r="T564" s="4" t="n">
        <v>2</v>
      </c>
      <c r="U564" s="5" t="n">
        <v>373.6</v>
      </c>
      <c r="V564" s="4" t="n">
        <v>331.3</v>
      </c>
      <c r="W564" s="3" t="inlineStr">
        <is>
          <t>지정되지않음</t>
        </is>
      </c>
      <c r="X564" s="3" t="inlineStr">
        <is>
          <t>단독</t>
        </is>
      </c>
      <c r="Y564" s="3" t="inlineStr">
        <is>
          <t>평지</t>
        </is>
      </c>
      <c r="Z564" s="3" t="inlineStr">
        <is>
          <t>정방형</t>
        </is>
      </c>
      <c r="AA564" s="3" t="inlineStr">
        <is>
          <t>소로한면</t>
        </is>
      </c>
    </row>
    <row r="565">
      <c r="A565" s="3" t="inlineStr">
        <is>
          <t>한솔동 1118</t>
        </is>
      </c>
      <c r="B565" s="3" t="inlineStr">
        <is>
          <t>제1종전용주거지역</t>
        </is>
      </c>
      <c r="C565" s="3" t="inlineStr">
        <is>
          <t>대</t>
        </is>
      </c>
      <c r="D565" s="3" t="inlineStr">
        <is>
          <t>2</t>
        </is>
      </c>
      <c r="E565" s="3" t="inlineStr">
        <is>
          <t>단독</t>
        </is>
      </c>
      <c r="F565" s="3" t="inlineStr">
        <is>
          <t>매매</t>
        </is>
      </c>
      <c r="G565" s="4" t="n">
        <v>127000</v>
      </c>
      <c r="H565" s="4" t="n">
        <v>0</v>
      </c>
      <c r="I565" s="4" t="n">
        <v>331</v>
      </c>
      <c r="J565" s="4" t="n">
        <v>100</v>
      </c>
      <c r="K565" s="5" t="n">
        <v>1270</v>
      </c>
      <c r="L565" s="4" t="n">
        <v>164</v>
      </c>
      <c r="M565" s="4" t="n">
        <v>50</v>
      </c>
      <c r="N565" s="5" t="n">
        <v>2540</v>
      </c>
      <c r="O565" s="3" t="inlineStr">
        <is>
          <t>세종시 상권이용편리한 단독주택  앞뒤뻥</t>
        </is>
      </c>
      <c r="P565" s="6">
        <f>HYPERLINK("https://fin.land.naver.com/articles/2651811636", "매물Link")</f>
        <v/>
      </c>
      <c r="Q565" s="6">
        <f>HYPERLINK("https://map.naver.com/p/search/한솔동 1118", "지도Link")</f>
        <v/>
      </c>
      <c r="R565" s="6">
        <f>HYPERLINK("http://www.eum.go.kr/web/ar/lu/luLandDet.jsp?pnu=3611010600111180000&amp;isNoScr=script&amp;mode=search", "토지이음")</f>
        <v/>
      </c>
      <c r="S565" s="3" t="inlineStr">
        <is>
          <t>세종믿음</t>
        </is>
      </c>
      <c r="T565" s="4" t="n">
        <v>1</v>
      </c>
      <c r="U565" s="5" t="n">
        <v>373.6</v>
      </c>
      <c r="V565" s="4" t="n">
        <v>331.3</v>
      </c>
      <c r="W565" s="3" t="inlineStr">
        <is>
          <t>지정되지않음</t>
        </is>
      </c>
      <c r="X565" s="3" t="inlineStr">
        <is>
          <t>단독</t>
        </is>
      </c>
      <c r="Y565" s="3" t="inlineStr">
        <is>
          <t>평지</t>
        </is>
      </c>
      <c r="Z565" s="3" t="inlineStr">
        <is>
          <t>정방형</t>
        </is>
      </c>
      <c r="AA565" s="3" t="inlineStr">
        <is>
          <t>소로한면</t>
        </is>
      </c>
    </row>
    <row r="566">
      <c r="A566" s="3" t="inlineStr">
        <is>
          <t>한솔동 1156</t>
        </is>
      </c>
      <c r="B566" s="3" t="inlineStr">
        <is>
          <t>제1종전용주거지역</t>
        </is>
      </c>
      <c r="C566" s="3" t="inlineStr">
        <is>
          <t>대</t>
        </is>
      </c>
      <c r="D566" s="3" t="inlineStr">
        <is>
          <t>2</t>
        </is>
      </c>
      <c r="E566" s="3" t="inlineStr">
        <is>
          <t>단독</t>
        </is>
      </c>
      <c r="F566" s="3" t="inlineStr">
        <is>
          <t>매매</t>
        </is>
      </c>
      <c r="G566" s="4" t="n">
        <v>135000</v>
      </c>
      <c r="H566" s="4" t="n">
        <v>0</v>
      </c>
      <c r="I566" s="4" t="n">
        <v>295</v>
      </c>
      <c r="J566" s="4" t="n">
        <v>89</v>
      </c>
      <c r="K566" s="5" t="n">
        <v>1516.9</v>
      </c>
      <c r="L566" s="4" t="n">
        <v>181</v>
      </c>
      <c r="M566" s="4" t="n">
        <v>55</v>
      </c>
      <c r="N566" s="5" t="n">
        <v>2454.5</v>
      </c>
      <c r="O566" s="3" t="inlineStr">
        <is>
          <t>급매 설계시공  대단한 건축가작품 입주 유용하게 구조 잘 지었어요</t>
        </is>
      </c>
      <c r="P566" s="6">
        <f>HYPERLINK("https://fin.land.naver.com/articles/2652797647", "매물Link")</f>
        <v/>
      </c>
      <c r="Q566" s="6">
        <f>HYPERLINK("https://map.naver.com/p/search/한솔동 1156", "지도Link")</f>
        <v/>
      </c>
      <c r="R566" s="6">
        <f>HYPERLINK("http://www.eum.go.kr/web/ar/lu/luLandDet.jsp?pnu=3611010600111560000&amp;isNoScr=script&amp;mode=search", "토지이음")</f>
        <v/>
      </c>
      <c r="S566" s="3" t="inlineStr">
        <is>
          <t>삼성래미안</t>
        </is>
      </c>
      <c r="T566" s="4" t="n">
        <v>3</v>
      </c>
      <c r="U566" s="5" t="n">
        <v>391.7</v>
      </c>
      <c r="V566" s="4" t="n">
        <v>303.1</v>
      </c>
      <c r="W566" s="3" t="inlineStr">
        <is>
          <t>지정되지않음</t>
        </is>
      </c>
      <c r="X566" s="3" t="inlineStr">
        <is>
          <t>주거나지</t>
        </is>
      </c>
      <c r="Y566" s="3" t="inlineStr">
        <is>
          <t>평지</t>
        </is>
      </c>
      <c r="Z566" s="3" t="inlineStr">
        <is>
          <t>세로장방</t>
        </is>
      </c>
      <c r="AA566" s="3" t="inlineStr">
        <is>
          <t>소로각지</t>
        </is>
      </c>
    </row>
    <row r="567">
      <c r="A567" s="3" t="inlineStr">
        <is>
          <t>한솔동 1156</t>
        </is>
      </c>
      <c r="B567" s="3" t="inlineStr">
        <is>
          <t>제1종전용주거지역</t>
        </is>
      </c>
      <c r="C567" s="3" t="inlineStr">
        <is>
          <t>대</t>
        </is>
      </c>
      <c r="D567" s="3" t="inlineStr">
        <is>
          <t>2</t>
        </is>
      </c>
      <c r="E567" s="3" t="inlineStr">
        <is>
          <t>단독</t>
        </is>
      </c>
      <c r="F567" s="3" t="inlineStr">
        <is>
          <t>매매</t>
        </is>
      </c>
      <c r="G567" s="4" t="n">
        <v>135000</v>
      </c>
      <c r="H567" s="4" t="n">
        <v>0</v>
      </c>
      <c r="I567" s="4" t="n">
        <v>295</v>
      </c>
      <c r="J567" s="4" t="n">
        <v>89</v>
      </c>
      <c r="K567" s="5" t="n">
        <v>1516.9</v>
      </c>
      <c r="L567" s="4" t="n">
        <v>181</v>
      </c>
      <c r="M567" s="4" t="n">
        <v>55</v>
      </c>
      <c r="N567" s="5" t="n">
        <v>2454.5</v>
      </c>
      <c r="O567" s="3" t="inlineStr">
        <is>
          <t>유명건축가 멋지게 지은 집. 방4. 화장실3. 위치 최고</t>
        </is>
      </c>
      <c r="P567" s="6">
        <f>HYPERLINK("https://fin.land.naver.com/articles/2652331501", "매물Link")</f>
        <v/>
      </c>
      <c r="Q567" s="6">
        <f>HYPERLINK("https://map.naver.com/p/search/한솔동 1156", "지도Link")</f>
        <v/>
      </c>
      <c r="R567" s="6">
        <f>HYPERLINK("http://www.eum.go.kr/web/ar/lu/luLandDet.jsp?pnu=3611010600111560000&amp;isNoScr=script&amp;mode=search", "토지이음")</f>
        <v/>
      </c>
      <c r="S567" s="3" t="inlineStr">
        <is>
          <t>세종금밭</t>
        </is>
      </c>
      <c r="T567" s="4" t="n">
        <v>1</v>
      </c>
      <c r="U567" s="5" t="n">
        <v>391.7</v>
      </c>
      <c r="V567" s="4" t="n">
        <v>303.1</v>
      </c>
      <c r="W567" s="3" t="inlineStr">
        <is>
          <t>지정되지않음</t>
        </is>
      </c>
      <c r="X567" s="3" t="inlineStr">
        <is>
          <t>주거나지</t>
        </is>
      </c>
      <c r="Y567" s="3" t="inlineStr">
        <is>
          <t>평지</t>
        </is>
      </c>
      <c r="Z567" s="3" t="inlineStr">
        <is>
          <t>세로장방</t>
        </is>
      </c>
      <c r="AA567" s="3" t="inlineStr">
        <is>
          <t>소로각지</t>
        </is>
      </c>
    </row>
    <row r="568">
      <c r="A568" s="3" t="inlineStr">
        <is>
          <t>한솔동 1219</t>
        </is>
      </c>
      <c r="B568" s="3" t="inlineStr">
        <is>
          <t>제1종전용주거지역</t>
        </is>
      </c>
      <c r="C568" s="3" t="inlineStr">
        <is>
          <t>대</t>
        </is>
      </c>
      <c r="D568" s="3" t="inlineStr">
        <is>
          <t>1</t>
        </is>
      </c>
      <c r="E568" s="3" t="inlineStr">
        <is>
          <t>단독</t>
        </is>
      </c>
      <c r="F568" s="3" t="inlineStr">
        <is>
          <t>매매</t>
        </is>
      </c>
      <c r="G568" s="4" t="n">
        <v>85000</v>
      </c>
      <c r="H568" s="4" t="n">
        <v>0</v>
      </c>
      <c r="I568" s="4" t="n">
        <v>394</v>
      </c>
      <c r="J568" s="4" t="n">
        <v>119</v>
      </c>
      <c r="K568" s="5" t="n">
        <v>714.3</v>
      </c>
      <c r="L568" s="4" t="n">
        <v>99</v>
      </c>
      <c r="M568" s="4" t="n">
        <v>30</v>
      </c>
      <c r="N568" s="5" t="n">
        <v>2833.3</v>
      </c>
      <c r="O568" s="3" t="inlineStr">
        <is>
          <t>급매 추가조율협의가능 단층 철근콘크리트 가성비 주택</t>
        </is>
      </c>
      <c r="P568" s="6">
        <f>HYPERLINK("https://fin.land.naver.com/articles/2649375331", "매물Link")</f>
        <v/>
      </c>
      <c r="Q568" s="6">
        <f>HYPERLINK("https://map.naver.com/p/search/한솔동 1219", "지도Link")</f>
        <v/>
      </c>
      <c r="R568" s="6">
        <f>HYPERLINK("http://www.eum.go.kr/web/ar/lu/luLandDet.jsp?pnu=3611010600112190000&amp;isNoScr=script&amp;mode=search", "토지이음")</f>
        <v/>
      </c>
      <c r="S568" s="3" t="inlineStr">
        <is>
          <t>세종스타</t>
        </is>
      </c>
      <c r="T568" s="4" t="n">
        <v>1</v>
      </c>
      <c r="U568" s="5" t="n">
        <v>373.6</v>
      </c>
      <c r="V568" s="4" t="n">
        <v>394.7</v>
      </c>
      <c r="W568" s="3" t="inlineStr">
        <is>
          <t>지정되지않음</t>
        </is>
      </c>
      <c r="X568" s="3" t="inlineStr">
        <is>
          <t>단독</t>
        </is>
      </c>
      <c r="Y568" s="3" t="inlineStr">
        <is>
          <t>평지</t>
        </is>
      </c>
      <c r="Z568" s="3" t="inlineStr">
        <is>
          <t>세로장방</t>
        </is>
      </c>
      <c r="AA568" s="3" t="inlineStr">
        <is>
          <t>소로한면</t>
        </is>
      </c>
    </row>
    <row r="569">
      <c r="A569" s="3" t="inlineStr">
        <is>
          <t>한솔동 1219</t>
        </is>
      </c>
      <c r="B569" s="3" t="inlineStr">
        <is>
          <t>제1종전용주거지역</t>
        </is>
      </c>
      <c r="C569" s="3" t="inlineStr">
        <is>
          <t>대</t>
        </is>
      </c>
      <c r="D569" s="3" t="inlineStr">
        <is>
          <t>1</t>
        </is>
      </c>
      <c r="E569" s="3" t="inlineStr">
        <is>
          <t>단독</t>
        </is>
      </c>
      <c r="F569" s="3" t="inlineStr">
        <is>
          <t>매매</t>
        </is>
      </c>
      <c r="G569" s="4" t="n">
        <v>85000</v>
      </c>
      <c r="H569" s="4" t="n">
        <v>0</v>
      </c>
      <c r="I569" s="4" t="n">
        <v>394</v>
      </c>
      <c r="J569" s="4" t="n">
        <v>119</v>
      </c>
      <c r="K569" s="5" t="n">
        <v>714.3</v>
      </c>
      <c r="L569" s="4" t="n">
        <v>99</v>
      </c>
      <c r="M569" s="4" t="n">
        <v>30</v>
      </c>
      <c r="N569" s="5" t="n">
        <v>2833.3</v>
      </c>
      <c r="O569" s="3" t="inlineStr">
        <is>
          <t>정원이 잘 가꾸어진 주택. 초,중, 고 도보권</t>
        </is>
      </c>
      <c r="P569" s="6">
        <f>HYPERLINK("https://fin.land.naver.com/articles/2649457945", "매물Link")</f>
        <v/>
      </c>
      <c r="Q569" s="6">
        <f>HYPERLINK("https://map.naver.com/p/search/한솔동 1219", "지도Link")</f>
        <v/>
      </c>
      <c r="R569" s="6">
        <f>HYPERLINK("http://www.eum.go.kr/web/ar/lu/luLandDet.jsp?pnu=3611010600112190000&amp;isNoScr=script&amp;mode=search", "토지이음")</f>
        <v/>
      </c>
      <c r="S569" s="3" t="inlineStr">
        <is>
          <t>세종삼촌</t>
        </is>
      </c>
      <c r="T569" s="4" t="n">
        <v>1</v>
      </c>
      <c r="U569" s="5" t="n">
        <v>373.6</v>
      </c>
      <c r="V569" s="4" t="n">
        <v>394.7</v>
      </c>
      <c r="W569" s="3" t="inlineStr">
        <is>
          <t>지정되지않음</t>
        </is>
      </c>
      <c r="X569" s="3" t="inlineStr">
        <is>
          <t>단독</t>
        </is>
      </c>
      <c r="Y569" s="3" t="inlineStr">
        <is>
          <t>평지</t>
        </is>
      </c>
      <c r="Z569" s="3" t="inlineStr">
        <is>
          <t>세로장방</t>
        </is>
      </c>
      <c r="AA569" s="3" t="inlineStr">
        <is>
          <t>소로한면</t>
        </is>
      </c>
    </row>
    <row r="570">
      <c r="A570" s="3" t="inlineStr">
        <is>
          <t>한솔동 867</t>
        </is>
      </c>
      <c r="B570" s="3" t="inlineStr">
        <is>
          <t>제1종전용주거지역</t>
        </is>
      </c>
      <c r="C570" s="3" t="inlineStr">
        <is>
          <t>대</t>
        </is>
      </c>
      <c r="D570" s="3" t="inlineStr">
        <is>
          <t>2</t>
        </is>
      </c>
      <c r="E570" s="3" t="inlineStr">
        <is>
          <t>단독</t>
        </is>
      </c>
      <c r="F570" s="3" t="inlineStr">
        <is>
          <t>매매</t>
        </is>
      </c>
      <c r="G570" s="4" t="n">
        <v>95000</v>
      </c>
      <c r="H570" s="4" t="n">
        <v>0</v>
      </c>
      <c r="I570" s="4" t="n">
        <v>293</v>
      </c>
      <c r="J570" s="4" t="n">
        <v>89</v>
      </c>
      <c r="K570" s="5" t="n">
        <v>1067.4</v>
      </c>
      <c r="L570" s="4" t="n">
        <v>182</v>
      </c>
      <c r="M570" s="4" t="n">
        <v>55</v>
      </c>
      <c r="N570" s="5" t="n">
        <v>1727.3</v>
      </c>
      <c r="O570" s="3" t="inlineStr">
        <is>
          <t>막힘없이 좋아요 좋은 위치 brt 가까운 위치 입니다 방3, 화장실 2</t>
        </is>
      </c>
      <c r="P570" s="6">
        <f>HYPERLINK("https://fin.land.naver.com/articles/2651491871", "매물Link")</f>
        <v/>
      </c>
      <c r="Q570" s="6">
        <f>HYPERLINK("https://map.naver.com/p/search/한솔동 867", "지도Link")</f>
        <v/>
      </c>
      <c r="R570" s="6">
        <f>HYPERLINK("http://www.eum.go.kr/web/ar/lu/luLandDet.jsp?pnu=3611010600108670000&amp;isNoScr=script&amp;mode=search", "토지이음")</f>
        <v/>
      </c>
      <c r="S570" s="3" t="inlineStr">
        <is>
          <t>은성</t>
        </is>
      </c>
      <c r="T570" s="4" t="n">
        <v>1</v>
      </c>
      <c r="U570" s="5" t="n">
        <v>427.1</v>
      </c>
      <c r="V570" s="4" t="n">
        <v>293.3</v>
      </c>
      <c r="W570" s="3" t="inlineStr">
        <is>
          <t>지정되지않음</t>
        </is>
      </c>
      <c r="X570" s="3" t="inlineStr">
        <is>
          <t>단독</t>
        </is>
      </c>
      <c r="Y570" s="3" t="inlineStr">
        <is>
          <t>평지</t>
        </is>
      </c>
      <c r="Z570" s="3" t="inlineStr">
        <is>
          <t>가로장방</t>
        </is>
      </c>
      <c r="AA570" s="3" t="inlineStr">
        <is>
          <t>소로각지</t>
        </is>
      </c>
    </row>
    <row r="571">
      <c r="A571" s="3" t="inlineStr">
        <is>
          <t>한솔동 899</t>
        </is>
      </c>
      <c r="B571" s="3" t="inlineStr">
        <is>
          <t>제1종전용주거지역</t>
        </is>
      </c>
      <c r="C571" s="3" t="inlineStr">
        <is>
          <t>대</t>
        </is>
      </c>
      <c r="D571" s="3" t="inlineStr">
        <is>
          <t>3</t>
        </is>
      </c>
      <c r="E571" s="3" t="inlineStr">
        <is>
          <t>단독</t>
        </is>
      </c>
      <c r="F571" s="3" t="inlineStr">
        <is>
          <t>매매</t>
        </is>
      </c>
      <c r="G571" s="4" t="n">
        <v>120000</v>
      </c>
      <c r="H571" s="4" t="n">
        <v>0</v>
      </c>
      <c r="I571" s="4" t="n">
        <v>269</v>
      </c>
      <c r="J571" s="4" t="n">
        <v>81</v>
      </c>
      <c r="K571" s="5" t="n">
        <v>1481.5</v>
      </c>
      <c r="L571" s="4" t="n">
        <v>201</v>
      </c>
      <c r="M571" s="4" t="n">
        <v>61</v>
      </c>
      <c r="N571" s="5" t="n">
        <v>1967.2</v>
      </c>
      <c r="O571" s="3" t="inlineStr">
        <is>
          <t>입지 좋고 공간활용도가 높은 한솔동 단독주택 매매</t>
        </is>
      </c>
      <c r="P571" s="6">
        <f>HYPERLINK("https://fin.land.naver.com/articles/2651191540", "매물Link")</f>
        <v/>
      </c>
      <c r="Q571" s="6">
        <f>HYPERLINK("https://map.naver.com/p/search/한솔동 899", "지도Link")</f>
        <v/>
      </c>
      <c r="R571" s="6">
        <f>HYPERLINK("http://www.eum.go.kr/web/ar/lu/luLandDet.jsp?pnu=3611010600108990000&amp;isNoScr=script&amp;mode=search", "토지이음")</f>
        <v/>
      </c>
      <c r="S571" s="3" t="inlineStr">
        <is>
          <t>명진</t>
        </is>
      </c>
      <c r="T571" s="4" t="n">
        <v>1</v>
      </c>
      <c r="U571" s="5" t="n">
        <v>418.8</v>
      </c>
      <c r="V571" s="4" t="n">
        <v>269.1</v>
      </c>
      <c r="W571" s="3" t="inlineStr">
        <is>
          <t>지정되지않음</t>
        </is>
      </c>
      <c r="X571" s="3" t="inlineStr">
        <is>
          <t>단독</t>
        </is>
      </c>
      <c r="Y571" s="3" t="inlineStr">
        <is>
          <t>평지</t>
        </is>
      </c>
      <c r="Z571" s="3" t="inlineStr">
        <is>
          <t>사다리형</t>
        </is>
      </c>
      <c r="AA571" s="3" t="inlineStr">
        <is>
          <t>소로각지</t>
        </is>
      </c>
    </row>
    <row r="572">
      <c r="A572" s="3" t="inlineStr">
        <is>
          <t>한솔동 899</t>
        </is>
      </c>
      <c r="B572" s="3" t="inlineStr">
        <is>
          <t>제1종전용주거지역</t>
        </is>
      </c>
      <c r="C572" s="3" t="inlineStr">
        <is>
          <t>대</t>
        </is>
      </c>
      <c r="D572" s="3" t="inlineStr">
        <is>
          <t>3</t>
        </is>
      </c>
      <c r="E572" s="3" t="inlineStr">
        <is>
          <t>단독</t>
        </is>
      </c>
      <c r="F572" s="3" t="inlineStr">
        <is>
          <t>매매</t>
        </is>
      </c>
      <c r="G572" s="4" t="n">
        <v>120000</v>
      </c>
      <c r="H572" s="4" t="n">
        <v>0</v>
      </c>
      <c r="I572" s="4" t="n">
        <v>269</v>
      </c>
      <c r="J572" s="4" t="n">
        <v>81</v>
      </c>
      <c r="K572" s="5" t="n">
        <v>1481.5</v>
      </c>
      <c r="L572" s="4" t="n">
        <v>201</v>
      </c>
      <c r="M572" s="4" t="n">
        <v>61</v>
      </c>
      <c r="N572" s="5" t="n">
        <v>1967.2</v>
      </c>
      <c r="O572" s="3" t="inlineStr">
        <is>
          <t>태양광, 풀에어컨, 주차2대, 한솔동 입지 좋은 주택 매매</t>
        </is>
      </c>
      <c r="P572" s="6">
        <f>HYPERLINK("https://fin.land.naver.com/articles/2650428908", "매물Link")</f>
        <v/>
      </c>
      <c r="Q572" s="6">
        <f>HYPERLINK("https://map.naver.com/p/search/한솔동 899", "지도Link")</f>
        <v/>
      </c>
      <c r="R572" s="6">
        <f>HYPERLINK("http://www.eum.go.kr/web/ar/lu/luLandDet.jsp?pnu=3611010600108990000&amp;isNoScr=script&amp;mode=search", "토지이음")</f>
        <v/>
      </c>
      <c r="S572" s="3" t="inlineStr">
        <is>
          <t>세종무지개</t>
        </is>
      </c>
      <c r="T572" s="4" t="n">
        <v>1</v>
      </c>
      <c r="U572" s="5" t="n">
        <v>418.8</v>
      </c>
      <c r="V572" s="4" t="n">
        <v>269.1</v>
      </c>
      <c r="W572" s="3" t="inlineStr">
        <is>
          <t>지정되지않음</t>
        </is>
      </c>
      <c r="X572" s="3" t="inlineStr">
        <is>
          <t>단독</t>
        </is>
      </c>
      <c r="Y572" s="3" t="inlineStr">
        <is>
          <t>평지</t>
        </is>
      </c>
      <c r="Z572" s="3" t="inlineStr">
        <is>
          <t>사다리형</t>
        </is>
      </c>
      <c r="AA572" s="3" t="inlineStr">
        <is>
          <t>소로각지</t>
        </is>
      </c>
    </row>
    <row r="573">
      <c r="A573" s="3" t="inlineStr">
        <is>
          <t>한솔동 899</t>
        </is>
      </c>
      <c r="B573" s="3" t="inlineStr">
        <is>
          <t>제1종전용주거지역</t>
        </is>
      </c>
      <c r="C573" s="3" t="inlineStr">
        <is>
          <t>대</t>
        </is>
      </c>
      <c r="D573" s="3" t="inlineStr">
        <is>
          <t>3</t>
        </is>
      </c>
      <c r="E573" s="3" t="inlineStr">
        <is>
          <t>단독</t>
        </is>
      </c>
      <c r="F573" s="3" t="inlineStr">
        <is>
          <t>매매</t>
        </is>
      </c>
      <c r="G573" s="4" t="n">
        <v>120000</v>
      </c>
      <c r="H573" s="4" t="n">
        <v>0</v>
      </c>
      <c r="I573" s="4" t="n">
        <v>269</v>
      </c>
      <c r="J573" s="4" t="n">
        <v>81</v>
      </c>
      <c r="K573" s="5" t="n">
        <v>1481.5</v>
      </c>
      <c r="L573" s="4" t="n">
        <v>201</v>
      </c>
      <c r="M573" s="4" t="n">
        <v>61</v>
      </c>
      <c r="N573" s="5" t="n">
        <v>1967.2</v>
      </c>
      <c r="O573" s="3" t="inlineStr">
        <is>
          <t>공원옆 코너각지 남향 가격조절가 태양열 전기차충전기 정원에카페사용공간있음</t>
        </is>
      </c>
      <c r="P573" s="6">
        <f>HYPERLINK("https://fin.land.naver.com/articles/2649425303", "매물Link")</f>
        <v/>
      </c>
      <c r="Q573" s="6">
        <f>HYPERLINK("https://map.naver.com/p/search/한솔동 899", "지도Link")</f>
        <v/>
      </c>
      <c r="R573" s="6">
        <f>HYPERLINK("http://www.eum.go.kr/web/ar/lu/luLandDet.jsp?pnu=3611010600108990000&amp;isNoScr=script&amp;mode=search", "토지이음")</f>
        <v/>
      </c>
      <c r="S573" s="3" t="inlineStr">
        <is>
          <t>세종시해냄</t>
        </is>
      </c>
      <c r="T573" s="4" t="n">
        <v>1</v>
      </c>
      <c r="U573" s="5" t="n">
        <v>418.8</v>
      </c>
      <c r="V573" s="4" t="n">
        <v>269.1</v>
      </c>
      <c r="W573" s="3" t="inlineStr">
        <is>
          <t>지정되지않음</t>
        </is>
      </c>
      <c r="X573" s="3" t="inlineStr">
        <is>
          <t>단독</t>
        </is>
      </c>
      <c r="Y573" s="3" t="inlineStr">
        <is>
          <t>평지</t>
        </is>
      </c>
      <c r="Z573" s="3" t="inlineStr">
        <is>
          <t>사다리형</t>
        </is>
      </c>
      <c r="AA573" s="3" t="inlineStr">
        <is>
          <t>소로각지</t>
        </is>
      </c>
    </row>
    <row r="574">
      <c r="A574" s="3" t="inlineStr">
        <is>
          <t>한솔동 903</t>
        </is>
      </c>
      <c r="B574" s="3" t="inlineStr">
        <is>
          <t>제1종전용주거지역</t>
        </is>
      </c>
      <c r="C574" s="3" t="inlineStr">
        <is>
          <t>대</t>
        </is>
      </c>
      <c r="D574" s="3" t="inlineStr">
        <is>
          <t>2</t>
        </is>
      </c>
      <c r="E574" s="3" t="inlineStr">
        <is>
          <t>단독</t>
        </is>
      </c>
      <c r="F574" s="3" t="inlineStr">
        <is>
          <t>매매</t>
        </is>
      </c>
      <c r="G574" s="4" t="n">
        <v>115000</v>
      </c>
      <c r="H574" s="4" t="n">
        <v>0</v>
      </c>
      <c r="I574" s="4" t="n">
        <v>256</v>
      </c>
      <c r="J574" s="4" t="n">
        <v>77</v>
      </c>
      <c r="K574" s="5" t="n">
        <v>1493.5</v>
      </c>
      <c r="L574" s="4" t="n">
        <v>183</v>
      </c>
      <c r="M574" s="4" t="n">
        <v>55</v>
      </c>
      <c r="N574" s="5" t="n">
        <v>2090.9</v>
      </c>
      <c r="O574" s="3" t="inlineStr">
        <is>
          <t>신축 단독주택, 학원가 도보 가능, 태양광</t>
        </is>
      </c>
      <c r="P574" s="6">
        <f>HYPERLINK("https://fin.land.naver.com/articles/2653580243", "매물Link")</f>
        <v/>
      </c>
      <c r="Q574" s="6">
        <f>HYPERLINK("https://map.naver.com/p/search/한솔동 903", "지도Link")</f>
        <v/>
      </c>
      <c r="R574" s="6">
        <f>HYPERLINK("http://www.eum.go.kr/web/ar/lu/luLandDet.jsp?pnu=3611010600109030000&amp;isNoScr=script&amp;mode=search", "토지이음")</f>
        <v/>
      </c>
      <c r="S574" s="3" t="inlineStr">
        <is>
          <t>세종무지개</t>
        </is>
      </c>
      <c r="T574" s="4" t="n">
        <v>1</v>
      </c>
      <c r="U574" s="5" t="n">
        <v>427.1</v>
      </c>
      <c r="V574" s="4" t="n">
        <v>256.8</v>
      </c>
      <c r="W574" s="3" t="inlineStr">
        <is>
          <t>지정되지않음</t>
        </is>
      </c>
      <c r="X574" s="3" t="inlineStr">
        <is>
          <t>단독</t>
        </is>
      </c>
      <c r="Y574" s="3" t="inlineStr">
        <is>
          <t>평지</t>
        </is>
      </c>
      <c r="Z574" s="3" t="inlineStr">
        <is>
          <t>가로장방</t>
        </is>
      </c>
      <c r="AA574" s="3" t="inlineStr">
        <is>
          <t>소로각지</t>
        </is>
      </c>
    </row>
    <row r="575">
      <c r="A575" s="3" t="inlineStr">
        <is>
          <t>한솔동 903</t>
        </is>
      </c>
      <c r="B575" s="3" t="inlineStr">
        <is>
          <t>제1종전용주거지역</t>
        </is>
      </c>
      <c r="C575" s="3" t="inlineStr">
        <is>
          <t>대</t>
        </is>
      </c>
      <c r="D575" s="3" t="inlineStr">
        <is>
          <t>2</t>
        </is>
      </c>
      <c r="E575" s="3" t="inlineStr">
        <is>
          <t>단독</t>
        </is>
      </c>
      <c r="F575" s="3" t="inlineStr">
        <is>
          <t>매매</t>
        </is>
      </c>
      <c r="G575" s="4" t="n">
        <v>115000</v>
      </c>
      <c r="H575" s="4" t="n">
        <v>0</v>
      </c>
      <c r="I575" s="4" t="n">
        <v>256</v>
      </c>
      <c r="J575" s="4" t="n">
        <v>77</v>
      </c>
      <c r="K575" s="5" t="n">
        <v>1493.5</v>
      </c>
      <c r="L575" s="4" t="n">
        <v>183</v>
      </c>
      <c r="M575" s="4" t="n">
        <v>55</v>
      </c>
      <c r="N575" s="5" t="n">
        <v>2090.9</v>
      </c>
      <c r="O575" s="3" t="inlineStr">
        <is>
          <t>입지좋은 단독주택 층고높고 태양광설치 가격조정가능</t>
        </is>
      </c>
      <c r="P575" s="6">
        <f>HYPERLINK("https://fin.land.naver.com/articles/2651806916", "매물Link")</f>
        <v/>
      </c>
      <c r="Q575" s="6">
        <f>HYPERLINK("https://map.naver.com/p/search/한솔동 903", "지도Link")</f>
        <v/>
      </c>
      <c r="R575" s="6">
        <f>HYPERLINK("http://www.eum.go.kr/web/ar/lu/luLandDet.jsp?pnu=3611010600109030000&amp;isNoScr=script&amp;mode=search", "토지이음")</f>
        <v/>
      </c>
      <c r="S575" s="3" t="inlineStr">
        <is>
          <t>고운동리치세종</t>
        </is>
      </c>
      <c r="T575" s="4" t="n">
        <v>2</v>
      </c>
      <c r="U575" s="5" t="n">
        <v>427.1</v>
      </c>
      <c r="V575" s="4" t="n">
        <v>256.8</v>
      </c>
      <c r="W575" s="3" t="inlineStr">
        <is>
          <t>지정되지않음</t>
        </is>
      </c>
      <c r="X575" s="3" t="inlineStr">
        <is>
          <t>단독</t>
        </is>
      </c>
      <c r="Y575" s="3" t="inlineStr">
        <is>
          <t>평지</t>
        </is>
      </c>
      <c r="Z575" s="3" t="inlineStr">
        <is>
          <t>가로장방</t>
        </is>
      </c>
      <c r="AA575" s="3" t="inlineStr">
        <is>
          <t>소로각지</t>
        </is>
      </c>
    </row>
    <row r="576">
      <c r="A576" s="3" t="inlineStr">
        <is>
          <t>한솔동 964</t>
        </is>
      </c>
      <c r="B576" s="3" t="inlineStr">
        <is>
          <t>준주거지역</t>
        </is>
      </c>
      <c r="C576" s="3" t="inlineStr">
        <is>
          <t>대</t>
        </is>
      </c>
      <c r="D576" s="3" t="inlineStr">
        <is>
          <t>2</t>
        </is>
      </c>
      <c r="E576" s="3" t="inlineStr">
        <is>
          <t>단독</t>
        </is>
      </c>
      <c r="F576" s="3" t="inlineStr">
        <is>
          <t>매매</t>
        </is>
      </c>
      <c r="G576" s="4" t="n">
        <v>135000</v>
      </c>
      <c r="H576" s="4" t="n">
        <v>0</v>
      </c>
      <c r="I576" s="4" t="n">
        <v>295</v>
      </c>
      <c r="J576" s="4" t="n">
        <v>89</v>
      </c>
      <c r="K576" s="5" t="n">
        <v>1516.9</v>
      </c>
      <c r="L576" s="4" t="n">
        <v>181</v>
      </c>
      <c r="M576" s="4" t="n">
        <v>55</v>
      </c>
      <c r="N576" s="5" t="n">
        <v>2454.5</v>
      </c>
      <c r="O576" s="3" t="inlineStr">
        <is>
          <t>한솔동 단독주택 햇빛 잘들고 조용한집</t>
        </is>
      </c>
      <c r="P576" s="6">
        <f>HYPERLINK("https://fin.land.naver.com/articles/2651495321", "매물Link")</f>
        <v/>
      </c>
      <c r="Q576" s="6">
        <f>HYPERLINK("https://map.naver.com/p/search/한솔동 964", "지도Link")</f>
        <v/>
      </c>
      <c r="R576" s="6">
        <f>HYPERLINK("http://www.eum.go.kr/web/ar/lu/luLandDet.jsp?pnu=3611010600109640000&amp;isNoScr=script&amp;mode=search", "토지이음")</f>
        <v/>
      </c>
      <c r="S576" s="3" t="inlineStr">
        <is>
          <t>세종믿음</t>
        </is>
      </c>
      <c r="T576" s="4" t="n">
        <v>1</v>
      </c>
      <c r="U576" s="5" t="n">
        <v>985.8</v>
      </c>
      <c r="V576" s="4" t="n">
        <v>2623.4</v>
      </c>
      <c r="W576" s="3" t="inlineStr">
        <is>
          <t>지정되지않음</t>
        </is>
      </c>
      <c r="X576" s="3" t="inlineStr">
        <is>
          <t>업무용</t>
        </is>
      </c>
      <c r="Y576" s="3" t="inlineStr">
        <is>
          <t>평지</t>
        </is>
      </c>
      <c r="Z576" s="3" t="inlineStr">
        <is>
          <t>부정형</t>
        </is>
      </c>
      <c r="AA576" s="3" t="inlineStr">
        <is>
          <t>중로한면</t>
        </is>
      </c>
    </row>
    <row r="577">
      <c r="A577" s="3" t="inlineStr">
        <is>
          <t>한솔동 996</t>
        </is>
      </c>
      <c r="B577" s="3" t="inlineStr">
        <is>
          <t>제1종전용주거지역</t>
        </is>
      </c>
      <c r="C577" s="3" t="inlineStr">
        <is>
          <t>대</t>
        </is>
      </c>
      <c r="D577" s="3" t="inlineStr">
        <is>
          <t>1</t>
        </is>
      </c>
      <c r="E577" s="3" t="inlineStr">
        <is>
          <t>단독</t>
        </is>
      </c>
      <c r="F577" s="3" t="inlineStr">
        <is>
          <t>매매</t>
        </is>
      </c>
      <c r="G577" s="4" t="n">
        <v>120000</v>
      </c>
      <c r="H577" s="4" t="n">
        <v>0</v>
      </c>
      <c r="I577" s="4" t="n">
        <v>396</v>
      </c>
      <c r="J577" s="4" t="n">
        <v>120</v>
      </c>
      <c r="K577" s="5" t="n">
        <v>1000</v>
      </c>
      <c r="L577" s="4" t="n">
        <v>154</v>
      </c>
      <c r="M577" s="4" t="n">
        <v>47</v>
      </c>
      <c r="N577" s="5" t="n">
        <v>2553.2</v>
      </c>
      <c r="O577" s="3" t="inlineStr">
        <is>
          <t>nan</t>
        </is>
      </c>
      <c r="P577" s="6">
        <f>HYPERLINK("https://fin.land.naver.com/articles/2652015648", "매물Link")</f>
        <v/>
      </c>
      <c r="Q577" s="6">
        <f>HYPERLINK("https://map.naver.com/p/search/한솔동 996", "지도Link")</f>
        <v/>
      </c>
      <c r="R577" s="6">
        <f>HYPERLINK("http://www.eum.go.kr/web/ar/lu/luLandDet.jsp?pnu=3611010600109960000&amp;isNoScr=script&amp;mode=search", "토지이음")</f>
        <v/>
      </c>
      <c r="S577" s="3" t="inlineStr">
        <is>
          <t>그래그</t>
        </is>
      </c>
      <c r="T577" s="4" t="n">
        <v>1</v>
      </c>
      <c r="U577" s="5" t="n">
        <v>296.8</v>
      </c>
      <c r="V577" s="4" t="n">
        <v>396</v>
      </c>
      <c r="W577" s="3" t="inlineStr">
        <is>
          <t>지정되지않음</t>
        </is>
      </c>
      <c r="X577" s="3" t="inlineStr">
        <is>
          <t>단독</t>
        </is>
      </c>
      <c r="Y577" s="3" t="inlineStr">
        <is>
          <t>평지</t>
        </is>
      </c>
      <c r="Z577" s="3" t="inlineStr">
        <is>
          <t>사다리형</t>
        </is>
      </c>
      <c r="AA577" s="3" t="inlineStr">
        <is>
          <t>소로한면</t>
        </is>
      </c>
    </row>
    <row r="578">
      <c r="A578" s="3" t="inlineStr">
        <is>
          <t>한솔동 997</t>
        </is>
      </c>
      <c r="B578" s="3" t="inlineStr">
        <is>
          <t>제1종전용주거지역</t>
        </is>
      </c>
      <c r="C578" s="3" t="inlineStr">
        <is>
          <t>대</t>
        </is>
      </c>
      <c r="D578" s="3" t="inlineStr">
        <is>
          <t>2</t>
        </is>
      </c>
      <c r="E578" s="3" t="inlineStr">
        <is>
          <t>단독</t>
        </is>
      </c>
      <c r="F578" s="3" t="inlineStr">
        <is>
          <t>매매</t>
        </is>
      </c>
      <c r="G578" s="4" t="n">
        <v>130000</v>
      </c>
      <c r="H578" s="4" t="n">
        <v>0</v>
      </c>
      <c r="I578" s="4" t="n">
        <v>393</v>
      </c>
      <c r="J578" s="4" t="n">
        <v>119</v>
      </c>
      <c r="K578" s="5" t="n">
        <v>1092.4</v>
      </c>
      <c r="L578" s="4" t="n">
        <v>196</v>
      </c>
      <c r="M578" s="4" t="n">
        <v>59</v>
      </c>
      <c r="N578" s="5" t="n">
        <v>2203.4</v>
      </c>
      <c r="O578" s="3" t="inlineStr">
        <is>
          <t>급매 1년차 최신축 현대식 세련된 내부인테리어 방3개 욕실3개</t>
        </is>
      </c>
      <c r="P578" s="6">
        <f>HYPERLINK("https://fin.land.naver.com/articles/2652943099", "매물Link")</f>
        <v/>
      </c>
      <c r="Q578" s="6">
        <f>HYPERLINK("https://map.naver.com/p/search/한솔동 997", "지도Link")</f>
        <v/>
      </c>
      <c r="R578" s="6">
        <f>HYPERLINK("http://www.eum.go.kr/web/ar/lu/luLandDet.jsp?pnu=3611010600109970000&amp;isNoScr=script&amp;mode=search", "토지이음")</f>
        <v/>
      </c>
      <c r="S578" s="3" t="inlineStr">
        <is>
          <t>세종스타</t>
        </is>
      </c>
      <c r="T578" s="4" t="n">
        <v>1</v>
      </c>
      <c r="U578" s="5" t="n">
        <v>302.8</v>
      </c>
      <c r="V578" s="4" t="n">
        <v>393</v>
      </c>
      <c r="W578" s="3" t="inlineStr">
        <is>
          <t>지정되지않음</t>
        </is>
      </c>
      <c r="X578" s="3" t="inlineStr">
        <is>
          <t>주거나지</t>
        </is>
      </c>
      <c r="Y578" s="3" t="inlineStr">
        <is>
          <t>평지</t>
        </is>
      </c>
      <c r="Z578" s="3" t="inlineStr">
        <is>
          <t>정방형</t>
        </is>
      </c>
      <c r="AA578" s="3" t="inlineStr">
        <is>
          <t>소로한면</t>
        </is>
      </c>
    </row>
    <row r="579">
      <c r="A579" s="3" t="inlineStr">
        <is>
          <t>해밀동 674</t>
        </is>
      </c>
      <c r="B579" s="3" t="inlineStr">
        <is>
          <t>제1종전용주거지역</t>
        </is>
      </c>
      <c r="C579" s="3" t="inlineStr">
        <is>
          <t>대</t>
        </is>
      </c>
      <c r="D579" s="3" t="inlineStr">
        <is>
          <t>2</t>
        </is>
      </c>
      <c r="E579" s="3" t="inlineStr">
        <is>
          <t>단독</t>
        </is>
      </c>
      <c r="F579" s="3" t="inlineStr">
        <is>
          <t>월세</t>
        </is>
      </c>
      <c r="G579" s="4" t="n">
        <v>50000</v>
      </c>
      <c r="H579" s="4" t="n">
        <v>120</v>
      </c>
      <c r="I579" s="4" t="n">
        <v>241</v>
      </c>
      <c r="J579" s="4" t="n">
        <v>73</v>
      </c>
      <c r="K579" s="5" t="n">
        <v>1.6</v>
      </c>
      <c r="L579" s="4" t="n">
        <v>232</v>
      </c>
      <c r="M579" s="4" t="n">
        <v>70</v>
      </c>
      <c r="N579" s="5" t="n">
        <v>1.7</v>
      </c>
      <c r="O579" s="3" t="inlineStr">
        <is>
          <t>리즈데이즈 12월말부터 입주가능 보증금월세 탄력조율</t>
        </is>
      </c>
      <c r="P579" s="6">
        <f>HYPERLINK("https://fin.land.naver.com/articles/2651299492", "매물Link")</f>
        <v/>
      </c>
      <c r="Q579" s="6">
        <f>HYPERLINK("https://map.naver.com/p/search/해밀동 674", "지도Link")</f>
        <v/>
      </c>
      <c r="R579" s="6">
        <f>HYPERLINK("http://www.eum.go.kr/web/ar/lu/luLandDet.jsp?pnu=3611011600106740000&amp;isNoScr=script&amp;mode=search", "토지이음")</f>
        <v/>
      </c>
      <c r="S579" s="3" t="inlineStr">
        <is>
          <t>세종스타</t>
        </is>
      </c>
      <c r="T579" s="4" t="n">
        <v>1</v>
      </c>
      <c r="U579" s="5" t="n">
        <v>243.4</v>
      </c>
      <c r="V579" s="4" t="n">
        <v>9076.4</v>
      </c>
      <c r="W579" s="3" t="inlineStr">
        <is>
          <t>지정되지않음</t>
        </is>
      </c>
      <c r="X579" s="3" t="inlineStr">
        <is>
          <t>주거나지</t>
        </is>
      </c>
      <c r="Y579" s="3" t="inlineStr">
        <is>
          <t>평지</t>
        </is>
      </c>
      <c r="Z579" s="3" t="inlineStr">
        <is>
          <t>사다리형</t>
        </is>
      </c>
      <c r="AA579" s="3" t="inlineStr">
        <is>
          <t>중로각지</t>
        </is>
      </c>
    </row>
    <row r="580">
      <c r="A580" s="3" t="inlineStr">
        <is>
          <t>해밀동 692</t>
        </is>
      </c>
      <c r="B580" s="3" t="inlineStr">
        <is>
          <t>제1종전용주거지역</t>
        </is>
      </c>
      <c r="C580" s="3" t="inlineStr">
        <is>
          <t>대</t>
        </is>
      </c>
      <c r="D580" s="3" t="inlineStr">
        <is>
          <t>1</t>
        </is>
      </c>
      <c r="E580" s="3" t="inlineStr">
        <is>
          <t>단독</t>
        </is>
      </c>
      <c r="F580" s="3" t="inlineStr">
        <is>
          <t>전세</t>
        </is>
      </c>
      <c r="G580" s="4" t="n">
        <v>100000</v>
      </c>
      <c r="H580" s="4" t="n">
        <v>0</v>
      </c>
      <c r="I580" s="4" t="n">
        <v>118</v>
      </c>
      <c r="J580" s="4" t="n">
        <v>36</v>
      </c>
      <c r="K580" s="5" t="n">
        <v>2777.8</v>
      </c>
      <c r="L580" s="4" t="n">
        <v>106</v>
      </c>
      <c r="M580" s="4" t="n">
        <v>32</v>
      </c>
      <c r="N580" s="5" t="n">
        <v>3125</v>
      </c>
      <c r="O580" s="3" t="inlineStr">
        <is>
          <t>해밀동 고급 타운하우스 시그니매종 전세 010 3819 3805</t>
        </is>
      </c>
      <c r="P580" s="6">
        <f>HYPERLINK("https://fin.land.naver.com/articles/2653180854", "매물Link")</f>
        <v/>
      </c>
      <c r="Q580" s="6">
        <f>HYPERLINK("https://map.naver.com/p/search/해밀동 692", "지도Link")</f>
        <v/>
      </c>
      <c r="R580" s="6">
        <f>HYPERLINK("http://www.eum.go.kr/web/ar/lu/luLandDet.jsp?pnu=3611011600106920000&amp;isNoScr=script&amp;mode=search", "토지이음")</f>
        <v/>
      </c>
      <c r="S580" s="3" t="inlineStr">
        <is>
          <t>국제</t>
        </is>
      </c>
      <c r="T580" s="4" t="n">
        <v>1</v>
      </c>
      <c r="U580" s="5" t="n">
        <v>243.4</v>
      </c>
      <c r="V580" s="4" t="n">
        <v>6242.7</v>
      </c>
      <c r="W580" s="3" t="inlineStr">
        <is>
          <t>지정되지않음</t>
        </is>
      </c>
      <c r="X580" s="3" t="inlineStr">
        <is>
          <t>주거나지</t>
        </is>
      </c>
      <c r="Y580" s="3" t="inlineStr">
        <is>
          <t>평지</t>
        </is>
      </c>
      <c r="Z580" s="3" t="inlineStr">
        <is>
          <t>사다리형</t>
        </is>
      </c>
      <c r="AA580" s="3" t="inlineStr">
        <is>
          <t>중로각지</t>
        </is>
      </c>
    </row>
    <row r="581">
      <c r="A581" s="3" t="inlineStr">
        <is>
          <t>해밀동 692</t>
        </is>
      </c>
      <c r="B581" s="3" t="inlineStr">
        <is>
          <t>제1종전용주거지역</t>
        </is>
      </c>
      <c r="C581" s="3" t="inlineStr">
        <is>
          <t>대</t>
        </is>
      </c>
      <c r="D581" s="3" t="inlineStr">
        <is>
          <t>2</t>
        </is>
      </c>
      <c r="E581" s="3" t="inlineStr">
        <is>
          <t>단독</t>
        </is>
      </c>
      <c r="F581" s="3" t="inlineStr">
        <is>
          <t>전세</t>
        </is>
      </c>
      <c r="G581" s="4" t="n">
        <v>100000</v>
      </c>
      <c r="H581" s="4" t="n">
        <v>0</v>
      </c>
      <c r="I581" s="4" t="n">
        <v>558</v>
      </c>
      <c r="J581" s="4" t="n">
        <v>169</v>
      </c>
      <c r="K581" s="5" t="n">
        <v>591.7</v>
      </c>
      <c r="L581" s="4" t="n">
        <v>222</v>
      </c>
      <c r="M581" s="4" t="n">
        <v>67</v>
      </c>
      <c r="N581" s="5" t="n">
        <v>1492.5</v>
      </c>
      <c r="O581" s="3" t="inlineStr">
        <is>
          <t>해밀동 고급 타운하우스 시그니매종 전세 010 3819 3805</t>
        </is>
      </c>
      <c r="P581" s="6">
        <f>HYPERLINK("https://fin.land.naver.com/articles/2654473736", "매물Link")</f>
        <v/>
      </c>
      <c r="Q581" s="6">
        <f>HYPERLINK("https://map.naver.com/p/search/해밀동 692", "지도Link")</f>
        <v/>
      </c>
      <c r="R581" s="6">
        <f>HYPERLINK("http://www.eum.go.kr/web/ar/lu/luLandDet.jsp?pnu=3611011600106920000&amp;isNoScr=script&amp;mode=search", "토지이음")</f>
        <v/>
      </c>
      <c r="S581" s="3" t="inlineStr">
        <is>
          <t>국제</t>
        </is>
      </c>
      <c r="T581" s="4" t="n">
        <v>1</v>
      </c>
      <c r="U581" s="5" t="n">
        <v>243.4</v>
      </c>
      <c r="V581" s="4" t="n">
        <v>6242.7</v>
      </c>
      <c r="W581" s="3" t="inlineStr">
        <is>
          <t>지정되지않음</t>
        </is>
      </c>
      <c r="X581" s="3" t="inlineStr">
        <is>
          <t>주거나지</t>
        </is>
      </c>
      <c r="Y581" s="3" t="inlineStr">
        <is>
          <t>평지</t>
        </is>
      </c>
      <c r="Z581" s="3" t="inlineStr">
        <is>
          <t>사다리형</t>
        </is>
      </c>
      <c r="AA581" s="3" t="inlineStr">
        <is>
          <t>중로각지</t>
        </is>
      </c>
    </row>
    <row r="582">
      <c r="A582" s="3" t="inlineStr">
        <is>
          <t>해밀동 692</t>
        </is>
      </c>
      <c r="B582" s="3" t="inlineStr">
        <is>
          <t>제1종전용주거지역</t>
        </is>
      </c>
      <c r="C582" s="3" t="inlineStr">
        <is>
          <t>대</t>
        </is>
      </c>
      <c r="D582" s="3" t="inlineStr">
        <is>
          <t>1</t>
        </is>
      </c>
      <c r="E582" s="3" t="inlineStr">
        <is>
          <t>단독</t>
        </is>
      </c>
      <c r="F582" s="3" t="inlineStr">
        <is>
          <t>전세</t>
        </is>
      </c>
      <c r="G582" s="4" t="n">
        <v>100000</v>
      </c>
      <c r="H582" s="4" t="n">
        <v>0</v>
      </c>
      <c r="I582" s="4" t="n">
        <v>257</v>
      </c>
      <c r="J582" s="4" t="n">
        <v>78</v>
      </c>
      <c r="K582" s="5" t="n">
        <v>1282.1</v>
      </c>
      <c r="L582" s="4" t="n">
        <v>219</v>
      </c>
      <c r="M582" s="4" t="n">
        <v>66</v>
      </c>
      <c r="N582" s="5" t="n">
        <v>1515.2</v>
      </c>
      <c r="O582" s="3" t="inlineStr">
        <is>
          <t>융무귀한전세매물, 방4, 화장실3</t>
        </is>
      </c>
      <c r="P582" s="6">
        <f>HYPERLINK("https://fin.land.naver.com/articles/2652916996", "매물Link")</f>
        <v/>
      </c>
      <c r="Q582" s="6">
        <f>HYPERLINK("https://map.naver.com/p/search/해밀동 692", "지도Link")</f>
        <v/>
      </c>
      <c r="R582" s="6">
        <f>HYPERLINK("http://www.eum.go.kr/web/ar/lu/luLandDet.jsp?pnu=3611011600106920000&amp;isNoScr=script&amp;mode=search", "토지이음")</f>
        <v/>
      </c>
      <c r="S582" s="3" t="inlineStr">
        <is>
          <t>세종국제</t>
        </is>
      </c>
      <c r="T582" s="4" t="n">
        <v>1</v>
      </c>
      <c r="U582" s="5" t="n">
        <v>243.4</v>
      </c>
      <c r="V582" s="4" t="n">
        <v>6242.7</v>
      </c>
      <c r="W582" s="3" t="inlineStr">
        <is>
          <t>지정되지않음</t>
        </is>
      </c>
      <c r="X582" s="3" t="inlineStr">
        <is>
          <t>주거나지</t>
        </is>
      </c>
      <c r="Y582" s="3" t="inlineStr">
        <is>
          <t>평지</t>
        </is>
      </c>
      <c r="Z582" s="3" t="inlineStr">
        <is>
          <t>사다리형</t>
        </is>
      </c>
      <c r="AA582" s="3" t="inlineStr">
        <is>
          <t>중로각지</t>
        </is>
      </c>
    </row>
    <row r="583">
      <c r="A583" s="3" t="inlineStr">
        <is>
          <t>해밀동 692</t>
        </is>
      </c>
      <c r="B583" s="3" t="inlineStr">
        <is>
          <t>제1종전용주거지역</t>
        </is>
      </c>
      <c r="C583" s="3" t="inlineStr">
        <is>
          <t>대</t>
        </is>
      </c>
      <c r="D583" s="3" t="inlineStr">
        <is>
          <t>1</t>
        </is>
      </c>
      <c r="E583" s="3" t="inlineStr">
        <is>
          <t>단독</t>
        </is>
      </c>
      <c r="F583" s="3" t="inlineStr">
        <is>
          <t>전세</t>
        </is>
      </c>
      <c r="G583" s="4" t="n">
        <v>100000</v>
      </c>
      <c r="H583" s="4" t="n">
        <v>0</v>
      </c>
      <c r="I583" s="4" t="n">
        <v>0</v>
      </c>
      <c r="J583" s="4" t="n">
        <v>0</v>
      </c>
      <c r="K583" s="5" t="n">
        <v>0</v>
      </c>
      <c r="L583" s="4" t="n">
        <v>219</v>
      </c>
      <c r="M583" s="4" t="n">
        <v>66</v>
      </c>
      <c r="N583" s="5" t="n">
        <v>1515.2</v>
      </c>
      <c r="O583" s="3" t="inlineStr">
        <is>
          <t>복층형 누다락써비스공간 방4 화장실3 내집마당 테라스2 융무전세</t>
        </is>
      </c>
      <c r="P583" s="6">
        <f>HYPERLINK("https://fin.land.naver.com/articles/2653793299", "매물Link")</f>
        <v/>
      </c>
      <c r="Q583" s="6">
        <f>HYPERLINK("https://map.naver.com/p/search/해밀동 692", "지도Link")</f>
        <v/>
      </c>
      <c r="R583" s="6">
        <f>HYPERLINK("http://www.eum.go.kr/web/ar/lu/luLandDet.jsp?pnu=3611011600106920000&amp;isNoScr=script&amp;mode=search", "토지이음")</f>
        <v/>
      </c>
      <c r="S583" s="3" t="inlineStr">
        <is>
          <t>홍기표</t>
        </is>
      </c>
      <c r="T583" s="4" t="n">
        <v>1</v>
      </c>
      <c r="U583" s="5" t="n">
        <v>243.4</v>
      </c>
      <c r="V583" s="4" t="n">
        <v>6242.7</v>
      </c>
      <c r="W583" s="3" t="inlineStr">
        <is>
          <t>지정되지않음</t>
        </is>
      </c>
      <c r="X583" s="3" t="inlineStr">
        <is>
          <t>주거나지</t>
        </is>
      </c>
      <c r="Y583" s="3" t="inlineStr">
        <is>
          <t>평지</t>
        </is>
      </c>
      <c r="Z583" s="3" t="inlineStr">
        <is>
          <t>사다리형</t>
        </is>
      </c>
      <c r="AA583" s="3" t="inlineStr">
        <is>
          <t>중로각지</t>
        </is>
      </c>
    </row>
    <row r="584">
      <c r="A584" s="3" t="inlineStr">
        <is>
          <t>해밀동 692</t>
        </is>
      </c>
      <c r="B584" s="3" t="inlineStr">
        <is>
          <t>제1종전용주거지역</t>
        </is>
      </c>
      <c r="C584" s="3" t="inlineStr">
        <is>
          <t>대</t>
        </is>
      </c>
      <c r="D584" s="3" t="inlineStr">
        <is>
          <t>1</t>
        </is>
      </c>
      <c r="E584" s="3" t="inlineStr">
        <is>
          <t>단독</t>
        </is>
      </c>
      <c r="F584" s="3" t="inlineStr">
        <is>
          <t>전세</t>
        </is>
      </c>
      <c r="G584" s="4" t="n">
        <v>90000</v>
      </c>
      <c r="H584" s="4" t="n">
        <v>0</v>
      </c>
      <c r="I584" s="4" t="n">
        <v>231</v>
      </c>
      <c r="J584" s="4" t="n">
        <v>70</v>
      </c>
      <c r="K584" s="5" t="n">
        <v>1285.7</v>
      </c>
      <c r="L584" s="4" t="n">
        <v>219</v>
      </c>
      <c r="M584" s="4" t="n">
        <v>66</v>
      </c>
      <c r="N584" s="5" t="n">
        <v>1363.6</v>
      </c>
      <c r="O584" s="3" t="inlineStr">
        <is>
          <t>nan</t>
        </is>
      </c>
      <c r="P584" s="6">
        <f>HYPERLINK("https://fin.land.naver.com/articles/2650183763", "매물Link")</f>
        <v/>
      </c>
      <c r="Q584" s="6">
        <f>HYPERLINK("https://map.naver.com/p/search/해밀동 692", "지도Link")</f>
        <v/>
      </c>
      <c r="R584" s="6">
        <f>HYPERLINK("http://www.eum.go.kr/web/ar/lu/luLandDet.jsp?pnu=3611011600106920000&amp;isNoScr=script&amp;mode=search", "토지이음")</f>
        <v/>
      </c>
      <c r="S584" s="3" t="inlineStr">
        <is>
          <t>세종스타</t>
        </is>
      </c>
      <c r="T584" s="4" t="n">
        <v>1</v>
      </c>
      <c r="U584" s="5" t="n">
        <v>243.4</v>
      </c>
      <c r="V584" s="4" t="n">
        <v>6242.7</v>
      </c>
      <c r="W584" s="3" t="inlineStr">
        <is>
          <t>지정되지않음</t>
        </is>
      </c>
      <c r="X584" s="3" t="inlineStr">
        <is>
          <t>주거나지</t>
        </is>
      </c>
      <c r="Y584" s="3" t="inlineStr">
        <is>
          <t>평지</t>
        </is>
      </c>
      <c r="Z584" s="3" t="inlineStr">
        <is>
          <t>사다리형</t>
        </is>
      </c>
      <c r="AA584" s="3" t="inlineStr">
        <is>
          <t>중로각지</t>
        </is>
      </c>
    </row>
    <row r="585">
      <c r="A585" s="3" t="inlineStr">
        <is>
          <t>해밀동 694</t>
        </is>
      </c>
      <c r="B585" s="3" t="inlineStr">
        <is>
          <t>제1종전용주거지역</t>
        </is>
      </c>
      <c r="C585" s="3" t="inlineStr">
        <is>
          <t>대</t>
        </is>
      </c>
      <c r="D585" s="3" t="inlineStr">
        <is>
          <t>1</t>
        </is>
      </c>
      <c r="E585" s="3" t="inlineStr">
        <is>
          <t>단독</t>
        </is>
      </c>
      <c r="F585" s="3" t="inlineStr">
        <is>
          <t>전세</t>
        </is>
      </c>
      <c r="G585" s="4" t="n">
        <v>65000</v>
      </c>
      <c r="H585" s="4" t="n">
        <v>0</v>
      </c>
      <c r="I585" s="4" t="n">
        <v>0</v>
      </c>
      <c r="J585" s="4" t="n">
        <v>0</v>
      </c>
      <c r="K585" s="5" t="n">
        <v>0</v>
      </c>
      <c r="L585" s="4" t="n">
        <v>173</v>
      </c>
      <c r="M585" s="4" t="n">
        <v>52</v>
      </c>
      <c r="N585" s="5" t="n">
        <v>1250</v>
      </c>
      <c r="O585" s="3" t="inlineStr">
        <is>
          <t>신축 즉시입주가능 방4개 욕실3개 태양광시공</t>
        </is>
      </c>
      <c r="P585" s="6">
        <f>HYPERLINK("https://fin.land.naver.com/articles/2652918023", "매물Link")</f>
        <v/>
      </c>
      <c r="Q585" s="6">
        <f>HYPERLINK("https://map.naver.com/p/search/해밀동 694", "지도Link")</f>
        <v/>
      </c>
      <c r="R585" s="6">
        <f>HYPERLINK("http://www.eum.go.kr/web/ar/lu/luLandDet.jsp?pnu=3611011600106940000&amp;isNoScr=script&amp;mode=search", "토지이음")</f>
        <v/>
      </c>
      <c r="S585" s="3" t="inlineStr">
        <is>
          <t>세종스타</t>
        </is>
      </c>
      <c r="T585" s="4" t="n">
        <v>2</v>
      </c>
      <c r="U585" s="5" t="n">
        <v>227.3</v>
      </c>
      <c r="V585" s="4" t="n">
        <v>7358.1</v>
      </c>
      <c r="W585" s="3" t="inlineStr">
        <is>
          <t>지정되지않음</t>
        </is>
      </c>
      <c r="X585" s="3" t="inlineStr">
        <is>
          <t>단독</t>
        </is>
      </c>
      <c r="Y585" s="3" t="inlineStr">
        <is>
          <t>평지</t>
        </is>
      </c>
      <c r="Z585" s="3" t="inlineStr">
        <is>
          <t>부정형</t>
        </is>
      </c>
      <c r="AA585" s="3" t="inlineStr">
        <is>
          <t>중로한면</t>
        </is>
      </c>
    </row>
    <row r="586">
      <c r="A586" s="3" t="inlineStr">
        <is>
          <t>해밀동 701</t>
        </is>
      </c>
      <c r="B586" s="3" t="inlineStr">
        <is>
          <t>제1종전용주거지역</t>
        </is>
      </c>
      <c r="C586" s="3" t="inlineStr">
        <is>
          <t>대</t>
        </is>
      </c>
      <c r="D586" s="3" t="inlineStr">
        <is>
          <t>1</t>
        </is>
      </c>
      <c r="E586" s="3" t="inlineStr">
        <is>
          <t>단독</t>
        </is>
      </c>
      <c r="F586" s="3" t="inlineStr">
        <is>
          <t>월세</t>
        </is>
      </c>
      <c r="G586" s="4" t="n">
        <v>5000</v>
      </c>
      <c r="H586" s="4" t="n">
        <v>250</v>
      </c>
      <c r="I586" s="4" t="n">
        <v>0</v>
      </c>
      <c r="J586" s="4" t="n">
        <v>0</v>
      </c>
      <c r="K586" s="5" t="n">
        <v>0</v>
      </c>
      <c r="L586" s="4" t="n">
        <v>167</v>
      </c>
      <c r="M586" s="4" t="n">
        <v>51</v>
      </c>
      <c r="N586" s="5" t="n">
        <v>4.9</v>
      </c>
      <c r="O586" s="3" t="inlineStr">
        <is>
          <t>방3, 가족실, 거실, 테라스, 에어컨6대, 조용한 복층 타운하우스</t>
        </is>
      </c>
      <c r="P586" s="6">
        <f>HYPERLINK("https://fin.land.naver.com/articles/2650740639", "매물Link")</f>
        <v/>
      </c>
      <c r="Q586" s="6">
        <f>HYPERLINK("https://map.naver.com/p/search/해밀동 701", "지도Link")</f>
        <v/>
      </c>
      <c r="R586" s="6">
        <f>HYPERLINK("http://www.eum.go.kr/web/ar/lu/luLandDet.jsp?pnu=3611011600107010000&amp;isNoScr=script&amp;mode=search", "토지이음")</f>
        <v/>
      </c>
      <c r="S586" s="3" t="inlineStr">
        <is>
          <t>다정한길</t>
        </is>
      </c>
      <c r="T586" s="4" t="n">
        <v>1</v>
      </c>
      <c r="U586" s="5" t="n">
        <v>219.8</v>
      </c>
      <c r="V586" s="4" t="n">
        <v>3265.3</v>
      </c>
      <c r="W586" s="3" t="inlineStr">
        <is>
          <t>지정되지않음</t>
        </is>
      </c>
      <c r="X586" s="3" t="inlineStr">
        <is>
          <t>주거나지</t>
        </is>
      </c>
      <c r="Y586" s="3" t="inlineStr">
        <is>
          <t>평지</t>
        </is>
      </c>
      <c r="Z586" s="3" t="inlineStr">
        <is>
          <t>사다리형</t>
        </is>
      </c>
      <c r="AA586" s="3" t="inlineStr">
        <is>
          <t>소로한면</t>
        </is>
      </c>
    </row>
  </sheetData>
  <autoFilter ref="A1:AA5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74"/>
  <sheetViews>
    <sheetView topLeftCell="A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43" customWidth="1" min="11" max="11"/>
  </cols>
  <sheetData>
    <row r="1">
      <c r="A1" s="2" t="inlineStr">
        <is>
          <t>지번주소</t>
        </is>
      </c>
      <c r="B1" s="2" t="inlineStr">
        <is>
          <t>용도지역명1</t>
        </is>
      </c>
      <c r="C1" s="2" t="inlineStr">
        <is>
          <t>지목</t>
        </is>
      </c>
      <c r="D1" s="2" t="inlineStr">
        <is>
          <t>매물상세</t>
        </is>
      </c>
      <c r="E1" s="2" t="inlineStr">
        <is>
          <t>구분</t>
        </is>
      </c>
      <c r="F1" s="2" t="inlineStr">
        <is>
          <t>가격</t>
        </is>
      </c>
      <c r="G1" s="2" t="inlineStr">
        <is>
          <t>대지면적</t>
        </is>
      </c>
      <c r="H1" s="2" t="inlineStr">
        <is>
          <t>대지평</t>
        </is>
      </c>
      <c r="I1" s="2" t="inlineStr">
        <is>
          <t>평당가</t>
        </is>
      </c>
      <c r="J1" s="2" t="inlineStr">
        <is>
          <t>평공시가</t>
        </is>
      </c>
      <c r="K1" s="2" t="inlineStr">
        <is>
          <t>매물특징</t>
        </is>
      </c>
      <c r="L1" s="2" t="inlineStr">
        <is>
          <t>매물보기</t>
        </is>
      </c>
      <c r="M1" s="2" t="inlineStr">
        <is>
          <t>지도보기</t>
        </is>
      </c>
      <c r="N1" s="2" t="inlineStr">
        <is>
          <t>토지이용계획</t>
        </is>
      </c>
      <c r="O1" s="2" t="inlineStr">
        <is>
          <t>업소</t>
        </is>
      </c>
      <c r="P1" s="2" t="inlineStr">
        <is>
          <t>중개사</t>
        </is>
      </c>
      <c r="Q1" s="2" t="inlineStr">
        <is>
          <t>토지면적</t>
        </is>
      </c>
      <c r="R1" s="2" t="inlineStr">
        <is>
          <t>용도지역명2</t>
        </is>
      </c>
      <c r="S1" s="2" t="inlineStr">
        <is>
          <t>토지이용상황</t>
        </is>
      </c>
      <c r="T1" s="2" t="inlineStr">
        <is>
          <t>지형높이</t>
        </is>
      </c>
      <c r="U1" s="2" t="inlineStr">
        <is>
          <t>지형형상</t>
        </is>
      </c>
      <c r="V1" s="2" t="inlineStr">
        <is>
          <t>도로접면</t>
        </is>
      </c>
    </row>
    <row r="2">
      <c r="A2" s="3" t="inlineStr">
        <is>
          <t>강내면 궁현리 12-9</t>
        </is>
      </c>
      <c r="B2" s="3" t="inlineStr">
        <is>
          <t>계획관리지역</t>
        </is>
      </c>
      <c r="C2" s="3" t="inlineStr">
        <is>
          <t>임야</t>
        </is>
      </c>
      <c r="D2" s="3" t="inlineStr">
        <is>
          <t>전</t>
        </is>
      </c>
      <c r="E2" s="3" t="inlineStr">
        <is>
          <t>매매</t>
        </is>
      </c>
      <c r="F2" s="4" t="n">
        <v>17500</v>
      </c>
      <c r="G2" s="4" t="n">
        <v>481</v>
      </c>
      <c r="H2" s="4" t="n">
        <v>146</v>
      </c>
      <c r="I2" s="5" t="n">
        <v>119.9</v>
      </c>
      <c r="J2" s="5" t="n">
        <v>7.5</v>
      </c>
      <c r="K2" s="3" t="inlineStr">
        <is>
          <t>연정교차로 3분거리 궁현리 조용한 전원주택지</t>
        </is>
      </c>
      <c r="L2" s="6">
        <f>HYPERLINK("https://fin.land.naver.com/articles/2649893305", "매물Link")</f>
        <v/>
      </c>
      <c r="M2" s="6">
        <f>HYPERLINK("https://map.naver.com/p/search/강내면 궁현리 12-9", "지도Link")</f>
        <v/>
      </c>
      <c r="N2" s="6">
        <f>HYPERLINK("http://www.eum.go.kr/web/ar/lu/luLandDet.jsp?pnu=4311331022100120009&amp;isNoScr=script&amp;mode=search", "토지이음")</f>
        <v/>
      </c>
      <c r="O2" s="3" t="inlineStr">
        <is>
          <t>플러스자이합동</t>
        </is>
      </c>
      <c r="P2" s="4" t="n">
        <v>2</v>
      </c>
      <c r="Q2" s="4" t="n">
        <v>481</v>
      </c>
      <c r="R2" s="3" t="inlineStr">
        <is>
          <t>지정되지않음</t>
        </is>
      </c>
      <c r="S2" s="3" t="inlineStr">
        <is>
          <t>토지임야</t>
        </is>
      </c>
      <c r="T2" s="3" t="inlineStr">
        <is>
          <t>완경사</t>
        </is>
      </c>
      <c r="U2" s="3" t="inlineStr">
        <is>
          <t>사다리형</t>
        </is>
      </c>
      <c r="V2" s="3" t="inlineStr">
        <is>
          <t>세로한면(가)</t>
        </is>
      </c>
    </row>
    <row r="3">
      <c r="A3" s="3" t="inlineStr">
        <is>
          <t>강내면 궁현리 172</t>
        </is>
      </c>
      <c r="B3" s="3" t="inlineStr">
        <is>
          <t>농림지역</t>
        </is>
      </c>
      <c r="C3" s="3" t="inlineStr">
        <is>
          <t>답</t>
        </is>
      </c>
      <c r="D3" s="3" t="inlineStr">
        <is>
          <t>답</t>
        </is>
      </c>
      <c r="E3" s="3" t="inlineStr">
        <is>
          <t>매매</t>
        </is>
      </c>
      <c r="F3" s="4" t="n">
        <v>97200</v>
      </c>
      <c r="G3" s="4" t="n">
        <v>5357</v>
      </c>
      <c r="H3" s="4" t="n">
        <v>1620</v>
      </c>
      <c r="I3" s="5" t="n">
        <v>60</v>
      </c>
      <c r="J3" s="5" t="n">
        <v>15.3</v>
      </c>
      <c r="K3" s="3" t="inlineStr">
        <is>
          <t>6m 도로 접한 농지 매매 물건</t>
        </is>
      </c>
      <c r="L3" s="6">
        <f>HYPERLINK("https://fin.land.naver.com/articles/2651759568", "매물Link")</f>
        <v/>
      </c>
      <c r="M3" s="6">
        <f>HYPERLINK("https://map.naver.com/p/search/강내면 궁현리 172", "지도Link")</f>
        <v/>
      </c>
      <c r="N3" s="6">
        <f>HYPERLINK("http://www.eum.go.kr/web/ar/lu/luLandDet.jsp?pnu=4311331022101720000&amp;isNoScr=script&amp;mode=search", "토지이음")</f>
        <v/>
      </c>
      <c r="O3" s="3" t="inlineStr">
        <is>
          <t>딜  중개</t>
        </is>
      </c>
      <c r="P3" s="4" t="n">
        <v>1</v>
      </c>
      <c r="Q3" s="4" t="n">
        <v>4654</v>
      </c>
      <c r="R3" s="3" t="inlineStr">
        <is>
          <t>지정되지않음</t>
        </is>
      </c>
      <c r="S3" s="3" t="inlineStr">
        <is>
          <t>답</t>
        </is>
      </c>
      <c r="T3" s="3" t="inlineStr">
        <is>
          <t>평지</t>
        </is>
      </c>
      <c r="U3" s="3" t="inlineStr">
        <is>
          <t>부정형</t>
        </is>
      </c>
      <c r="V3" s="3" t="inlineStr">
        <is>
          <t>세로한면(가)</t>
        </is>
      </c>
    </row>
    <row r="4">
      <c r="A4" s="3" t="inlineStr">
        <is>
          <t>강내면 궁현리 213-28</t>
        </is>
      </c>
      <c r="B4" s="3" t="inlineStr">
        <is>
          <t>계획관리지역</t>
        </is>
      </c>
      <c r="C4" s="3" t="inlineStr">
        <is>
          <t>전</t>
        </is>
      </c>
      <c r="D4" s="3" t="inlineStr">
        <is>
          <t>전</t>
        </is>
      </c>
      <c r="E4" s="3" t="inlineStr">
        <is>
          <t>매매</t>
        </is>
      </c>
      <c r="F4" s="4" t="n">
        <v>17000</v>
      </c>
      <c r="G4" s="4" t="n">
        <v>550</v>
      </c>
      <c r="H4" s="4" t="n">
        <v>166</v>
      </c>
      <c r="I4" s="5" t="n">
        <v>102.4</v>
      </c>
      <c r="J4" s="5" t="n">
        <v>31.1</v>
      </c>
      <c r="K4" s="3" t="inlineStr">
        <is>
          <t>계획관리. 전원주택지.주말농장</t>
        </is>
      </c>
      <c r="L4" s="6">
        <f>HYPERLINK("https://fin.land.naver.com/articles/2653502086", "매물Link")</f>
        <v/>
      </c>
      <c r="M4" s="6">
        <f>HYPERLINK("https://map.naver.com/p/search/강내면 궁현리 213-28", "지도Link")</f>
        <v/>
      </c>
      <c r="N4" s="6">
        <f>HYPERLINK("http://www.eum.go.kr/web/ar/lu/luLandDet.jsp?pnu=4311331022102130028&amp;isNoScr=script&amp;mode=search", "토지이음")</f>
        <v/>
      </c>
      <c r="O4" s="3" t="inlineStr">
        <is>
          <t>둥지</t>
        </is>
      </c>
      <c r="P4" s="4" t="n">
        <v>1</v>
      </c>
      <c r="Q4" s="4" t="n">
        <v>551</v>
      </c>
      <c r="R4" s="3" t="inlineStr">
        <is>
          <t>지정되지않음</t>
        </is>
      </c>
      <c r="S4" s="3" t="inlineStr">
        <is>
          <t>전</t>
        </is>
      </c>
      <c r="T4" s="3" t="inlineStr">
        <is>
          <t>평지</t>
        </is>
      </c>
      <c r="U4" s="3" t="inlineStr">
        <is>
          <t>사다리형</t>
        </is>
      </c>
      <c r="V4" s="3" t="inlineStr">
        <is>
          <t>세로한면(가)</t>
        </is>
      </c>
    </row>
    <row r="5">
      <c r="A5" s="3" t="inlineStr">
        <is>
          <t>강내면 궁현리 213-30</t>
        </is>
      </c>
      <c r="B5" s="3" t="inlineStr">
        <is>
          <t>계획관리지역</t>
        </is>
      </c>
      <c r="C5" s="3" t="inlineStr">
        <is>
          <t>전</t>
        </is>
      </c>
      <c r="D5" s="3" t="inlineStr">
        <is>
          <t>전</t>
        </is>
      </c>
      <c r="E5" s="3" t="inlineStr">
        <is>
          <t>매매</t>
        </is>
      </c>
      <c r="F5" s="4" t="n">
        <v>25800</v>
      </c>
      <c r="G5" s="4" t="n">
        <v>899</v>
      </c>
      <c r="H5" s="4" t="n">
        <v>272</v>
      </c>
      <c r="I5" s="5" t="n">
        <v>94.90000000000001</v>
      </c>
      <c r="J5" s="5" t="n">
        <v>30.2</v>
      </c>
      <c r="K5" s="3" t="inlineStr">
        <is>
          <t>도심 인근 전원주택 단지로 이름난곳으로, 근생시설도 가능함.</t>
        </is>
      </c>
      <c r="L5" s="6">
        <f>HYPERLINK("https://fin.land.naver.com/articles/2652042582", "매물Link")</f>
        <v/>
      </c>
      <c r="M5" s="6">
        <f>HYPERLINK("https://map.naver.com/p/search/강내면 궁현리 213-30", "지도Link")</f>
        <v/>
      </c>
      <c r="N5" s="6">
        <f>HYPERLINK("http://www.eum.go.kr/web/ar/lu/luLandDet.jsp?pnu=4311331022102130030&amp;isNoScr=script&amp;mode=search", "토지이음")</f>
        <v/>
      </c>
      <c r="O5" s="3" t="inlineStr">
        <is>
          <t>포시즌</t>
        </is>
      </c>
      <c r="P5" s="4" t="n">
        <v>1</v>
      </c>
      <c r="Q5" s="4" t="n">
        <v>899</v>
      </c>
      <c r="R5" s="3" t="inlineStr">
        <is>
          <t>지정되지않음</t>
        </is>
      </c>
      <c r="S5" s="3" t="inlineStr">
        <is>
          <t>전</t>
        </is>
      </c>
      <c r="T5" s="3" t="inlineStr">
        <is>
          <t>평지</t>
        </is>
      </c>
      <c r="U5" s="3" t="inlineStr">
        <is>
          <t>사다리형</t>
        </is>
      </c>
      <c r="V5" s="3" t="inlineStr">
        <is>
          <t>세로한면(가)</t>
        </is>
      </c>
    </row>
    <row r="6">
      <c r="A6" s="3" t="inlineStr">
        <is>
          <t>강내면 궁현리 213-30</t>
        </is>
      </c>
      <c r="B6" s="3" t="inlineStr">
        <is>
          <t>계획관리지역</t>
        </is>
      </c>
      <c r="C6" s="3" t="inlineStr">
        <is>
          <t>전</t>
        </is>
      </c>
      <c r="D6" s="3" t="inlineStr">
        <is>
          <t>전</t>
        </is>
      </c>
      <c r="E6" s="3" t="inlineStr">
        <is>
          <t>매매</t>
        </is>
      </c>
      <c r="F6" s="4" t="n">
        <v>27200</v>
      </c>
      <c r="G6" s="4" t="n">
        <v>900</v>
      </c>
      <c r="H6" s="4" t="n">
        <v>272</v>
      </c>
      <c r="I6" s="5" t="n">
        <v>100</v>
      </c>
      <c r="J6" s="5" t="n">
        <v>30.2</v>
      </c>
      <c r="K6" s="3" t="inlineStr">
        <is>
          <t>조용한 전원주택지.주말농장</t>
        </is>
      </c>
      <c r="L6" s="6">
        <f>HYPERLINK("https://fin.land.naver.com/articles/2653765955", "매물Link")</f>
        <v/>
      </c>
      <c r="M6" s="6">
        <f>HYPERLINK("https://map.naver.com/p/search/강내면 궁현리 213-30", "지도Link")</f>
        <v/>
      </c>
      <c r="N6" s="6">
        <f>HYPERLINK("http://www.eum.go.kr/web/ar/lu/luLandDet.jsp?pnu=4311331022102130030&amp;isNoScr=script&amp;mode=search", "토지이음")</f>
        <v/>
      </c>
      <c r="O6" s="3" t="inlineStr">
        <is>
          <t>둥지</t>
        </is>
      </c>
      <c r="P6" s="4" t="n">
        <v>3</v>
      </c>
      <c r="Q6" s="4" t="n">
        <v>899</v>
      </c>
      <c r="R6" s="3" t="inlineStr">
        <is>
          <t>지정되지않음</t>
        </is>
      </c>
      <c r="S6" s="3" t="inlineStr">
        <is>
          <t>전</t>
        </is>
      </c>
      <c r="T6" s="3" t="inlineStr">
        <is>
          <t>평지</t>
        </is>
      </c>
      <c r="U6" s="3" t="inlineStr">
        <is>
          <t>사다리형</t>
        </is>
      </c>
      <c r="V6" s="3" t="inlineStr">
        <is>
          <t>세로한면(가)</t>
        </is>
      </c>
    </row>
    <row r="7">
      <c r="A7" s="3" t="inlineStr">
        <is>
          <t>강내면 궁현리 215-9</t>
        </is>
      </c>
      <c r="B7" s="3" t="inlineStr">
        <is>
          <t>계획관리지역</t>
        </is>
      </c>
      <c r="C7" s="3" t="inlineStr">
        <is>
          <t>전</t>
        </is>
      </c>
      <c r="D7" s="3" t="inlineStr">
        <is>
          <t>전</t>
        </is>
      </c>
      <c r="E7" s="3" t="inlineStr">
        <is>
          <t>매매</t>
        </is>
      </c>
      <c r="F7" s="4" t="n">
        <v>41000</v>
      </c>
      <c r="G7" s="4" t="n">
        <v>1009</v>
      </c>
      <c r="H7" s="4" t="n">
        <v>305</v>
      </c>
      <c r="I7" s="5" t="n">
        <v>134.4</v>
      </c>
      <c r="J7" s="5" t="n">
        <v>34.8</v>
      </c>
      <c r="K7" s="3" t="inlineStr">
        <is>
          <t>궁현리 연꽃마을 전원주택부지및 카페.창고부지 매매.</t>
        </is>
      </c>
      <c r="L7" s="6">
        <f>HYPERLINK("https://fin.land.naver.com/articles/2649506344", "매물Link")</f>
        <v/>
      </c>
      <c r="M7" s="6">
        <f>HYPERLINK("https://map.naver.com/p/search/강내면 궁현리 215-9", "지도Link")</f>
        <v/>
      </c>
      <c r="N7" s="6">
        <f>HYPERLINK("http://www.eum.go.kr/web/ar/lu/luLandDet.jsp?pnu=4311331022102150009&amp;isNoScr=script&amp;mode=search", "토지이음")</f>
        <v/>
      </c>
      <c r="O7" s="3" t="inlineStr">
        <is>
          <t>동행사무소</t>
        </is>
      </c>
      <c r="P7" s="4" t="n">
        <v>1</v>
      </c>
      <c r="Q7" s="4" t="n">
        <v>453</v>
      </c>
      <c r="R7" s="3" t="inlineStr">
        <is>
          <t>지정되지않음</t>
        </is>
      </c>
      <c r="S7" s="3" t="inlineStr">
        <is>
          <t>전</t>
        </is>
      </c>
      <c r="T7" s="3" t="inlineStr">
        <is>
          <t>평지</t>
        </is>
      </c>
      <c r="U7" s="3" t="inlineStr">
        <is>
          <t>사다리형</t>
        </is>
      </c>
      <c r="V7" s="3" t="inlineStr">
        <is>
          <t>세로한면(가)</t>
        </is>
      </c>
    </row>
    <row r="8">
      <c r="A8" s="3" t="inlineStr">
        <is>
          <t>강내면 궁현리 217-4</t>
        </is>
      </c>
      <c r="B8" s="3" t="inlineStr">
        <is>
          <t>계획관리지역</t>
        </is>
      </c>
      <c r="C8" s="3" t="inlineStr">
        <is>
          <t>전</t>
        </is>
      </c>
      <c r="D8" s="3" t="inlineStr">
        <is>
          <t>전</t>
        </is>
      </c>
      <c r="E8" s="3" t="inlineStr">
        <is>
          <t>매매</t>
        </is>
      </c>
      <c r="F8" s="4" t="n">
        <v>143400</v>
      </c>
      <c r="G8" s="4" t="n">
        <v>5926</v>
      </c>
      <c r="H8" s="4" t="n">
        <v>1793</v>
      </c>
      <c r="I8" s="5" t="n">
        <v>80</v>
      </c>
      <c r="J8" s="5" t="n">
        <v>24.9</v>
      </c>
      <c r="K8" s="3" t="inlineStr">
        <is>
          <t>청주강내산업단지 5분,연접한3필지 계획관리,창고,음식점, 소규모주택단지</t>
        </is>
      </c>
      <c r="L8" s="6">
        <f>HYPERLINK("https://fin.land.naver.com/articles/2650360767", "매물Link")</f>
        <v/>
      </c>
      <c r="M8" s="6">
        <f>HYPERLINK("https://map.naver.com/p/search/강내면 궁현리 217-4", "지도Link")</f>
        <v/>
      </c>
      <c r="N8" s="6">
        <f>HYPERLINK("http://www.eum.go.kr/web/ar/lu/luLandDet.jsp?pnu=4311331022102170004&amp;isNoScr=script&amp;mode=search", "토지이음")</f>
        <v/>
      </c>
      <c r="O8" s="3" t="inlineStr">
        <is>
          <t>바로그</t>
        </is>
      </c>
      <c r="P8" s="4" t="n">
        <v>1</v>
      </c>
      <c r="Q8" s="4" t="n">
        <v>1621</v>
      </c>
      <c r="R8" s="3" t="inlineStr">
        <is>
          <t>지정되지않음</t>
        </is>
      </c>
      <c r="S8" s="3" t="inlineStr">
        <is>
          <t>전</t>
        </is>
      </c>
      <c r="T8" s="3" t="inlineStr">
        <is>
          <t>완경사</t>
        </is>
      </c>
      <c r="U8" s="3" t="inlineStr">
        <is>
          <t>부정형</t>
        </is>
      </c>
      <c r="V8" s="3" t="inlineStr">
        <is>
          <t>세로한면(불)</t>
        </is>
      </c>
    </row>
    <row r="9">
      <c r="A9" s="3" t="inlineStr">
        <is>
          <t>강내면 궁현리 232-3</t>
        </is>
      </c>
      <c r="B9" s="3" t="inlineStr">
        <is>
          <t>계획관리지역</t>
        </is>
      </c>
      <c r="C9" s="3" t="inlineStr">
        <is>
          <t>전</t>
        </is>
      </c>
      <c r="D9" s="3" t="inlineStr">
        <is>
          <t>전</t>
        </is>
      </c>
      <c r="E9" s="3" t="inlineStr">
        <is>
          <t>매매</t>
        </is>
      </c>
      <c r="F9" s="4" t="n">
        <v>25400</v>
      </c>
      <c r="G9" s="4" t="n">
        <v>1122</v>
      </c>
      <c r="H9" s="4" t="n">
        <v>339</v>
      </c>
      <c r="I9" s="5" t="n">
        <v>74.90000000000001</v>
      </c>
      <c r="J9" s="5" t="n">
        <v>36.4</v>
      </c>
      <c r="K9" s="3" t="inlineStr">
        <is>
          <t>nan</t>
        </is>
      </c>
      <c r="L9" s="6">
        <f>HYPERLINK("https://fin.land.naver.com/articles/2650862775", "매물Link")</f>
        <v/>
      </c>
      <c r="M9" s="6">
        <f>HYPERLINK("https://map.naver.com/p/search/강내면 궁현리 232-3", "지도Link")</f>
        <v/>
      </c>
      <c r="N9" s="6">
        <f>HYPERLINK("http://www.eum.go.kr/web/ar/lu/luLandDet.jsp?pnu=4311331022102320003&amp;isNoScr=script&amp;mode=search", "토지이음")</f>
        <v/>
      </c>
      <c r="O9" s="3" t="inlineStr">
        <is>
          <t>프로</t>
        </is>
      </c>
      <c r="P9" s="4" t="n">
        <v>1</v>
      </c>
      <c r="Q9" s="4" t="n">
        <v>1122</v>
      </c>
      <c r="R9" s="3" t="inlineStr">
        <is>
          <t>지정되지않음</t>
        </is>
      </c>
      <c r="S9" s="3" t="inlineStr">
        <is>
          <t>전</t>
        </is>
      </c>
      <c r="T9" s="3" t="inlineStr">
        <is>
          <t>평지</t>
        </is>
      </c>
      <c r="U9" s="3" t="inlineStr">
        <is>
          <t>부정형</t>
        </is>
      </c>
      <c r="V9" s="3" t="inlineStr">
        <is>
          <t>소로한면</t>
        </is>
      </c>
    </row>
    <row r="10">
      <c r="A10" s="3" t="inlineStr">
        <is>
          <t>강내면 궁현리 24-1</t>
        </is>
      </c>
      <c r="B10" s="3" t="inlineStr">
        <is>
          <t>계획관리지역</t>
        </is>
      </c>
      <c r="C10" s="3" t="inlineStr">
        <is>
          <t>대</t>
        </is>
      </c>
      <c r="D10" s="3" t="inlineStr">
        <is>
          <t>대</t>
        </is>
      </c>
      <c r="E10" s="3" t="inlineStr">
        <is>
          <t>매매</t>
        </is>
      </c>
      <c r="F10" s="4" t="n">
        <v>8500</v>
      </c>
      <c r="G10" s="4" t="n">
        <v>278</v>
      </c>
      <c r="H10" s="4" t="n">
        <v>84</v>
      </c>
      <c r="I10" s="5" t="n">
        <v>101.2</v>
      </c>
      <c r="J10" s="5" t="n">
        <v>46.7</v>
      </c>
      <c r="K10" s="3" t="inlineStr">
        <is>
          <t>소형주택 건축용 궁현리 대 매매</t>
        </is>
      </c>
      <c r="L10" s="6">
        <f>HYPERLINK("https://fin.land.naver.com/articles/2653824344", "매물Link")</f>
        <v/>
      </c>
      <c r="M10" s="6">
        <f>HYPERLINK("https://map.naver.com/p/search/강내면 궁현리 24-1", "지도Link")</f>
        <v/>
      </c>
      <c r="N10" s="6">
        <f>HYPERLINK("http://www.eum.go.kr/web/ar/lu/luLandDet.jsp?pnu=4311331022100240001&amp;isNoScr=script&amp;mode=search", "토지이음")</f>
        <v/>
      </c>
      <c r="O10" s="3" t="inlineStr">
        <is>
          <t>광장</t>
        </is>
      </c>
      <c r="P10" s="4" t="n">
        <v>1</v>
      </c>
      <c r="Q10" s="4" t="n">
        <v>278</v>
      </c>
      <c r="R10" s="3" t="inlineStr">
        <is>
          <t>지정되지않음</t>
        </is>
      </c>
      <c r="S10" s="3" t="inlineStr">
        <is>
          <t>단독</t>
        </is>
      </c>
      <c r="T10" s="3" t="inlineStr">
        <is>
          <t>평지</t>
        </is>
      </c>
      <c r="U10" s="3" t="inlineStr">
        <is>
          <t>사다리형</t>
        </is>
      </c>
      <c r="V10" s="3" t="inlineStr">
        <is>
          <t>세로한면(불)</t>
        </is>
      </c>
    </row>
    <row r="11">
      <c r="A11" s="3" t="inlineStr">
        <is>
          <t>강내면 궁현리 297</t>
        </is>
      </c>
      <c r="B11" s="3" t="inlineStr">
        <is>
          <t>농림지역</t>
        </is>
      </c>
      <c r="C11" s="3" t="inlineStr">
        <is>
          <t>목장용지</t>
        </is>
      </c>
      <c r="D11" s="3" t="inlineStr">
        <is>
          <t>목장용지</t>
        </is>
      </c>
      <c r="E11" s="3" t="inlineStr">
        <is>
          <t>매매</t>
        </is>
      </c>
      <c r="F11" s="4" t="n">
        <v>30000</v>
      </c>
      <c r="G11" s="4" t="n">
        <v>1643</v>
      </c>
      <c r="H11" s="4" t="n">
        <v>497</v>
      </c>
      <c r="I11" s="5" t="n">
        <v>60.4</v>
      </c>
      <c r="J11" s="5" t="n">
        <v>17.3</v>
      </c>
      <c r="K11" s="3" t="inlineStr">
        <is>
          <t>농림 지역 목장 용지 평지 도로 세로 인접. 다른 필지와 함께 매도 가능</t>
        </is>
      </c>
      <c r="L11" s="6">
        <f>HYPERLINK("https://fin.land.naver.com/articles/2653080440", "매물Link")</f>
        <v/>
      </c>
      <c r="M11" s="6">
        <f>HYPERLINK("https://map.naver.com/p/search/강내면 궁현리 297", "지도Link")</f>
        <v/>
      </c>
      <c r="N11" s="6">
        <f>HYPERLINK("http://www.eum.go.kr/web/ar/lu/luLandDet.jsp?pnu=4311331022102970000&amp;isNoScr=script&amp;mode=search", "토지이음")</f>
        <v/>
      </c>
      <c r="O11" s="3" t="inlineStr">
        <is>
          <t>오송퍼스트영웅</t>
        </is>
      </c>
      <c r="P11" s="4" t="n">
        <v>1</v>
      </c>
      <c r="Q11" s="4" t="n">
        <v>1643</v>
      </c>
      <c r="R11" s="3" t="inlineStr">
        <is>
          <t>지정되지않음</t>
        </is>
      </c>
      <c r="S11" s="3" t="inlineStr">
        <is>
          <t>전축사</t>
        </is>
      </c>
      <c r="T11" s="3" t="inlineStr">
        <is>
          <t>평지</t>
        </is>
      </c>
      <c r="U11" s="3" t="inlineStr">
        <is>
          <t>부정형</t>
        </is>
      </c>
      <c r="V11" s="3" t="inlineStr">
        <is>
          <t>세로한면(가)</t>
        </is>
      </c>
    </row>
    <row r="12">
      <c r="A12" s="3" t="inlineStr">
        <is>
          <t>강내면 궁현리 297-1</t>
        </is>
      </c>
      <c r="B12" s="3" t="inlineStr">
        <is>
          <t>계획관리지역</t>
        </is>
      </c>
      <c r="C12" s="3" t="inlineStr">
        <is>
          <t>잡종지</t>
        </is>
      </c>
      <c r="D12" s="3" t="inlineStr">
        <is>
          <t>잡종지</t>
        </is>
      </c>
      <c r="E12" s="3" t="inlineStr">
        <is>
          <t>매매</t>
        </is>
      </c>
      <c r="F12" s="4" t="n">
        <v>60500</v>
      </c>
      <c r="G12" s="4" t="n">
        <v>2489</v>
      </c>
      <c r="H12" s="4" t="n">
        <v>753</v>
      </c>
      <c r="I12" s="5" t="n">
        <v>80.3</v>
      </c>
      <c r="J12" s="5" t="n">
        <v>47.6</v>
      </c>
      <c r="K12" s="3" t="inlineStr">
        <is>
          <t>계획관리지역 , 성장관리계획구역 잡종지 다른 필지 같이 매도 가능</t>
        </is>
      </c>
      <c r="L12" s="6">
        <f>HYPERLINK("https://fin.land.naver.com/articles/2653081037", "매물Link")</f>
        <v/>
      </c>
      <c r="M12" s="6">
        <f>HYPERLINK("https://map.naver.com/p/search/강내면 궁현리 297-1", "지도Link")</f>
        <v/>
      </c>
      <c r="N12" s="6">
        <f>HYPERLINK("http://www.eum.go.kr/web/ar/lu/luLandDet.jsp?pnu=4311331022102970001&amp;isNoScr=script&amp;mode=search", "토지이음")</f>
        <v/>
      </c>
      <c r="O12" s="3" t="inlineStr">
        <is>
          <t>오송퍼스트영웅</t>
        </is>
      </c>
      <c r="P12" s="4" t="n">
        <v>1</v>
      </c>
      <c r="Q12" s="4" t="n">
        <v>2489</v>
      </c>
      <c r="R12" s="3" t="inlineStr">
        <is>
          <t>지정되지않음</t>
        </is>
      </c>
      <c r="S12" s="3" t="inlineStr">
        <is>
          <t>주거기타</t>
        </is>
      </c>
      <c r="T12" s="3" t="inlineStr">
        <is>
          <t>평지</t>
        </is>
      </c>
      <c r="U12" s="3" t="inlineStr">
        <is>
          <t>사다리형</t>
        </is>
      </c>
      <c r="V12" s="3" t="inlineStr">
        <is>
          <t>세로한면(가)</t>
        </is>
      </c>
    </row>
    <row r="13">
      <c r="A13" s="3" t="inlineStr">
        <is>
          <t>강내면 궁현리 297-2</t>
        </is>
      </c>
      <c r="B13" s="3" t="inlineStr">
        <is>
          <t>농림지역</t>
        </is>
      </c>
      <c r="C13" s="3" t="inlineStr">
        <is>
          <t>전</t>
        </is>
      </c>
      <c r="D13" s="3" t="inlineStr">
        <is>
          <t>전</t>
        </is>
      </c>
      <c r="E13" s="3" t="inlineStr">
        <is>
          <t>매매</t>
        </is>
      </c>
      <c r="F13" s="4" t="n">
        <v>11450</v>
      </c>
      <c r="G13" s="4" t="n">
        <v>757</v>
      </c>
      <c r="H13" s="4" t="n">
        <v>229</v>
      </c>
      <c r="I13" s="5" t="n">
        <v>50</v>
      </c>
      <c r="J13" s="5" t="n">
        <v>14.9</v>
      </c>
      <c r="K13" s="3" t="inlineStr">
        <is>
          <t>농림지역 지목 전 매도 다른 필지와 같이 매도 가능</t>
        </is>
      </c>
      <c r="L13" s="6">
        <f>HYPERLINK("https://fin.land.naver.com/articles/2653080879", "매물Link")</f>
        <v/>
      </c>
      <c r="M13" s="6">
        <f>HYPERLINK("https://map.naver.com/p/search/강내면 궁현리 297-2", "지도Link")</f>
        <v/>
      </c>
      <c r="N13" s="6">
        <f>HYPERLINK("http://www.eum.go.kr/web/ar/lu/luLandDet.jsp?pnu=4311331022102970002&amp;isNoScr=script&amp;mode=search", "토지이음")</f>
        <v/>
      </c>
      <c r="O13" s="3" t="inlineStr">
        <is>
          <t>오송퍼스트영웅</t>
        </is>
      </c>
      <c r="P13" s="4" t="n">
        <v>1</v>
      </c>
      <c r="Q13" s="4" t="n">
        <v>757</v>
      </c>
      <c r="R13" s="3" t="inlineStr">
        <is>
          <t>지정되지않음</t>
        </is>
      </c>
      <c r="S13" s="3" t="inlineStr">
        <is>
          <t>전기타</t>
        </is>
      </c>
      <c r="T13" s="3" t="inlineStr">
        <is>
          <t>평지</t>
        </is>
      </c>
      <c r="U13" s="3" t="inlineStr">
        <is>
          <t>부정형</t>
        </is>
      </c>
      <c r="V13" s="3" t="inlineStr">
        <is>
          <t>세로한면(가)</t>
        </is>
      </c>
    </row>
    <row r="14">
      <c r="A14" s="3" t="inlineStr">
        <is>
          <t>강내면 궁현리 307-1</t>
        </is>
      </c>
      <c r="B14" s="3" t="inlineStr">
        <is>
          <t>계획관리지역</t>
        </is>
      </c>
      <c r="C14" s="3" t="inlineStr">
        <is>
          <t>전</t>
        </is>
      </c>
      <c r="D14" s="3" t="inlineStr">
        <is>
          <t>전</t>
        </is>
      </c>
      <c r="E14" s="3" t="inlineStr">
        <is>
          <t>매매</t>
        </is>
      </c>
      <c r="F14" s="4" t="n">
        <v>85900</v>
      </c>
      <c r="G14" s="4" t="n">
        <v>1896</v>
      </c>
      <c r="H14" s="4" t="n">
        <v>574</v>
      </c>
      <c r="I14" s="5" t="n">
        <v>149.7</v>
      </c>
      <c r="J14" s="5" t="n">
        <v>28.3</v>
      </c>
      <c r="K14" s="3" t="inlineStr">
        <is>
          <t>청주 공장,창고용지분양, 처웆시 흥덕구 강내면 관리지역에 공장,창고 근생</t>
        </is>
      </c>
      <c r="L14" s="6">
        <f>HYPERLINK("https://fin.land.naver.com/articles/2652460682", "매물Link")</f>
        <v/>
      </c>
      <c r="M14" s="6">
        <f>HYPERLINK("https://map.naver.com/p/search/강내면 궁현리 307-1", "지도Link")</f>
        <v/>
      </c>
      <c r="N14" s="6">
        <f>HYPERLINK("http://www.eum.go.kr/web/ar/lu/luLandDet.jsp?pnu=4311331022103070001&amp;isNoScr=script&amp;mode=search", "토지이음")</f>
        <v/>
      </c>
      <c r="O14" s="3" t="inlineStr">
        <is>
          <t>좋은선택</t>
        </is>
      </c>
      <c r="P14" s="4" t="n">
        <v>1</v>
      </c>
      <c r="Q14" s="4" t="n">
        <v>891</v>
      </c>
      <c r="R14" s="3" t="inlineStr">
        <is>
          <t>지정되지않음</t>
        </is>
      </c>
      <c r="S14" s="3" t="inlineStr">
        <is>
          <t>전</t>
        </is>
      </c>
      <c r="T14" s="3" t="inlineStr">
        <is>
          <t>평지</t>
        </is>
      </c>
      <c r="U14" s="3" t="inlineStr">
        <is>
          <t>사다리형</t>
        </is>
      </c>
      <c r="V14" s="3" t="inlineStr">
        <is>
          <t>소로한면</t>
        </is>
      </c>
    </row>
    <row r="15">
      <c r="A15" s="3" t="inlineStr">
        <is>
          <t>강내면 궁현리 367</t>
        </is>
      </c>
      <c r="B15" s="3" t="inlineStr">
        <is>
          <t>계획관리지역</t>
        </is>
      </c>
      <c r="C15" s="3" t="inlineStr">
        <is>
          <t>대</t>
        </is>
      </c>
      <c r="D15" s="3" t="inlineStr">
        <is>
          <t>대</t>
        </is>
      </c>
      <c r="E15" s="3" t="inlineStr">
        <is>
          <t>매매</t>
        </is>
      </c>
      <c r="F15" s="4" t="n">
        <v>20000</v>
      </c>
      <c r="G15" s="4" t="n">
        <v>410</v>
      </c>
      <c r="H15" s="4" t="n">
        <v>124</v>
      </c>
      <c r="I15" s="5" t="n">
        <v>161.3</v>
      </c>
      <c r="J15" s="5" t="n">
        <v>65.90000000000001</v>
      </c>
      <c r="K15" s="3" t="inlineStr">
        <is>
          <t>청주 도심과 오송역에서 가까운 여유있는 삶이 있는 주택지 궁현 연꽃마을</t>
        </is>
      </c>
      <c r="L15" s="6">
        <f>HYPERLINK("https://fin.land.naver.com/articles/2654364939", "매물Link")</f>
        <v/>
      </c>
      <c r="M15" s="6">
        <f>HYPERLINK("https://map.naver.com/p/search/강내면 궁현리 367", "지도Link")</f>
        <v/>
      </c>
      <c r="N15" s="6">
        <f>HYPERLINK("http://www.eum.go.kr/web/ar/lu/luLandDet.jsp?pnu=4311331022103670000&amp;isNoScr=script&amp;mode=search", "토지이음")</f>
        <v/>
      </c>
      <c r="O15" s="3" t="inlineStr">
        <is>
          <t>OK파라곤</t>
        </is>
      </c>
      <c r="P15" s="4" t="n">
        <v>2</v>
      </c>
      <c r="Q15" s="4" t="n">
        <v>410.9</v>
      </c>
      <c r="R15" s="3" t="inlineStr">
        <is>
          <t>지정되지않음</t>
        </is>
      </c>
      <c r="S15" s="3" t="inlineStr">
        <is>
          <t>주거나지</t>
        </is>
      </c>
      <c r="T15" s="3" t="inlineStr">
        <is>
          <t>평지</t>
        </is>
      </c>
      <c r="U15" s="3" t="inlineStr">
        <is>
          <t>사다리형</t>
        </is>
      </c>
      <c r="V15" s="3" t="inlineStr">
        <is>
          <t>세로각지(가)</t>
        </is>
      </c>
    </row>
    <row r="16">
      <c r="A16" s="3" t="inlineStr">
        <is>
          <t>강내면 궁현리 86</t>
        </is>
      </c>
      <c r="B16" s="3" t="inlineStr">
        <is>
          <t>계획관리지역</t>
        </is>
      </c>
      <c r="C16" s="3" t="inlineStr">
        <is>
          <t>전</t>
        </is>
      </c>
      <c r="D16" s="3" t="inlineStr">
        <is>
          <t>전</t>
        </is>
      </c>
      <c r="E16" s="3" t="inlineStr">
        <is>
          <t>매매</t>
        </is>
      </c>
      <c r="F16" s="4" t="n">
        <v>38000</v>
      </c>
      <c r="G16" s="4" t="n">
        <v>1236</v>
      </c>
      <c r="H16" s="4" t="n">
        <v>374</v>
      </c>
      <c r="I16" s="5" t="n">
        <v>101.6</v>
      </c>
      <c r="J16" s="5" t="n">
        <v>19.9</v>
      </c>
      <c r="K16" s="3" t="inlineStr">
        <is>
          <t>nan</t>
        </is>
      </c>
      <c r="L16" s="6">
        <f>HYPERLINK("https://fin.land.naver.com/articles/2651762528", "매물Link")</f>
        <v/>
      </c>
      <c r="M16" s="6">
        <f>HYPERLINK("https://map.naver.com/p/search/강내면 궁현리 86", "지도Link")</f>
        <v/>
      </c>
      <c r="N16" s="6">
        <f>HYPERLINK("http://www.eum.go.kr/web/ar/lu/luLandDet.jsp?pnu=4311331022100860000&amp;isNoScr=script&amp;mode=search", "토지이음")</f>
        <v/>
      </c>
      <c r="O16" s="3" t="inlineStr">
        <is>
          <t>대지</t>
        </is>
      </c>
      <c r="P16" s="4" t="n">
        <v>1</v>
      </c>
      <c r="Q16" s="4" t="n">
        <v>1236</v>
      </c>
      <c r="R16" s="3" t="inlineStr">
        <is>
          <t>지정되지않음</t>
        </is>
      </c>
      <c r="S16" s="3" t="inlineStr">
        <is>
          <t>답</t>
        </is>
      </c>
      <c r="T16" s="3" t="inlineStr">
        <is>
          <t>평지</t>
        </is>
      </c>
      <c r="U16" s="3" t="inlineStr">
        <is>
          <t>사다리형</t>
        </is>
      </c>
      <c r="V16" s="3" t="inlineStr">
        <is>
          <t>세로한면(불)</t>
        </is>
      </c>
    </row>
    <row r="17">
      <c r="A17" s="3" t="inlineStr">
        <is>
          <t>강내면 궁현리 89</t>
        </is>
      </c>
      <c r="B17" s="3" t="inlineStr">
        <is>
          <t>계획관리지역</t>
        </is>
      </c>
      <c r="C17" s="3" t="inlineStr">
        <is>
          <t>전</t>
        </is>
      </c>
      <c r="D17" s="3" t="inlineStr">
        <is>
          <t>전</t>
        </is>
      </c>
      <c r="E17" s="3" t="inlineStr">
        <is>
          <t>매매</t>
        </is>
      </c>
      <c r="F17" s="4" t="n">
        <v>50000</v>
      </c>
      <c r="G17" s="4" t="n">
        <v>1620</v>
      </c>
      <c r="H17" s="4" t="n">
        <v>490</v>
      </c>
      <c r="I17" s="5" t="n">
        <v>102</v>
      </c>
      <c r="J17" s="5" t="n">
        <v>19.1</v>
      </c>
      <c r="K17" s="3" t="inlineStr">
        <is>
          <t>nan</t>
        </is>
      </c>
      <c r="L17" s="6">
        <f>HYPERLINK("https://fin.land.naver.com/articles/2651764431", "매물Link")</f>
        <v/>
      </c>
      <c r="M17" s="6">
        <f>HYPERLINK("https://map.naver.com/p/search/강내면 궁현리 89", "지도Link")</f>
        <v/>
      </c>
      <c r="N17" s="6">
        <f>HYPERLINK("http://www.eum.go.kr/web/ar/lu/luLandDet.jsp?pnu=4311331022100890000&amp;isNoScr=script&amp;mode=search", "토지이음")</f>
        <v/>
      </c>
      <c r="O17" s="3" t="inlineStr">
        <is>
          <t>대지</t>
        </is>
      </c>
      <c r="P17" s="4" t="n">
        <v>1</v>
      </c>
      <c r="Q17" s="4" t="n">
        <v>1620</v>
      </c>
      <c r="R17" s="3" t="inlineStr">
        <is>
          <t>지정되지않음</t>
        </is>
      </c>
      <c r="S17" s="3" t="inlineStr">
        <is>
          <t>전</t>
        </is>
      </c>
      <c r="T17" s="3" t="inlineStr">
        <is>
          <t>평지</t>
        </is>
      </c>
      <c r="U17" s="3" t="inlineStr">
        <is>
          <t>부정형</t>
        </is>
      </c>
      <c r="V17" s="3" t="inlineStr">
        <is>
          <t>세로한면(불)</t>
        </is>
      </c>
    </row>
    <row r="18">
      <c r="A18" s="3" t="inlineStr">
        <is>
          <t>강내면 궁현리 산 55-33</t>
        </is>
      </c>
      <c r="B18" s="3" t="inlineStr">
        <is>
          <t>보전관리지역</t>
        </is>
      </c>
      <c r="C18" s="3" t="inlineStr">
        <is>
          <t>묘지</t>
        </is>
      </c>
      <c r="D18" s="3" t="inlineStr">
        <is>
          <t>묘지</t>
        </is>
      </c>
      <c r="E18" s="3" t="inlineStr">
        <is>
          <t>매매</t>
        </is>
      </c>
      <c r="F18" s="4" t="n">
        <v>25000</v>
      </c>
      <c r="G18" s="4" t="n">
        <v>619</v>
      </c>
      <c r="H18" s="4" t="n">
        <v>187</v>
      </c>
      <c r="I18" s="5" t="n">
        <v>133.7</v>
      </c>
      <c r="J18" s="5" t="n">
        <v>4.3</v>
      </c>
      <c r="K18" s="3" t="inlineStr">
        <is>
          <t>청주 도심과 오송역이 가까운, 연꽃공원과 주변 전원주택이 완성된 주택지</t>
        </is>
      </c>
      <c r="L18" s="6">
        <f>HYPERLINK("https://fin.land.naver.com/articles/2653326226", "매물Link")</f>
        <v/>
      </c>
      <c r="M18" s="6">
        <f>HYPERLINK("https://map.naver.com/p/search/강내면 궁현리 산 55-33", "지도Link")</f>
        <v/>
      </c>
      <c r="N18" s="6">
        <f>HYPERLINK("http://www.eum.go.kr/web/ar/lu/luLandDet.jsp?pnu=4311331022200550033&amp;isNoScr=script&amp;mode=search", "토지이음")</f>
        <v/>
      </c>
      <c r="O18" s="3" t="inlineStr">
        <is>
          <t>OK파라곤</t>
        </is>
      </c>
      <c r="P18" s="4" t="n">
        <v>1</v>
      </c>
      <c r="Q18" s="4" t="n">
        <v>619</v>
      </c>
      <c r="R18" s="3" t="inlineStr">
        <is>
          <t>지정되지않음</t>
        </is>
      </c>
      <c r="S18" s="3" t="inlineStr">
        <is>
          <t>임야기타</t>
        </is>
      </c>
      <c r="T18" s="3" t="inlineStr">
        <is>
          <t>완경사</t>
        </is>
      </c>
      <c r="U18" s="3" t="inlineStr">
        <is>
          <t>세로장방</t>
        </is>
      </c>
      <c r="V18" s="3" t="inlineStr">
        <is>
          <t>세로한면(가)</t>
        </is>
      </c>
    </row>
    <row r="19">
      <c r="A19" s="3" t="inlineStr">
        <is>
          <t>강내면 궁현리 산56-1</t>
        </is>
      </c>
      <c r="B19" s="3" t="inlineStr">
        <is>
          <t>계획관리지역</t>
        </is>
      </c>
      <c r="C19" s="3" t="inlineStr">
        <is>
          <t>임야</t>
        </is>
      </c>
      <c r="D19" s="3" t="inlineStr">
        <is>
          <t>임야</t>
        </is>
      </c>
      <c r="E19" s="3" t="inlineStr">
        <is>
          <t>매매</t>
        </is>
      </c>
      <c r="F19" s="4" t="n">
        <v>520000</v>
      </c>
      <c r="G19" s="4" t="n">
        <v>13223</v>
      </c>
      <c r="H19" s="4" t="n">
        <v>4000</v>
      </c>
      <c r="I19" s="5" t="n">
        <v>130</v>
      </c>
      <c r="J19" s="5" t="n">
        <v>6.3</v>
      </c>
      <c r="K19" s="3" t="inlineStr">
        <is>
          <t>물류창고 허가득, 토목공사완료, 청주I.C 15분거리</t>
        </is>
      </c>
      <c r="L19" s="6">
        <f>HYPERLINK("https://fin.land.naver.com/articles/2649892885", "매물Link")</f>
        <v/>
      </c>
      <c r="M19" s="6">
        <f>HYPERLINK("https://map.naver.com/p/search/강내면 궁현리 산56-1", "지도Link")</f>
        <v/>
      </c>
      <c r="N19" s="6">
        <f>HYPERLINK("http://www.eum.go.kr/web/ar/lu/luLandDet.jsp?pnu=4311331022200560001&amp;isNoScr=script&amp;mode=search", "토지이음")</f>
        <v/>
      </c>
      <c r="O19" s="3" t="inlineStr">
        <is>
          <t>플러스자이합동</t>
        </is>
      </c>
      <c r="P19" s="4" t="n">
        <v>2</v>
      </c>
      <c r="Q19" s="4" t="n">
        <v>13126</v>
      </c>
      <c r="R19" s="3" t="inlineStr">
        <is>
          <t>지정되지않음</t>
        </is>
      </c>
      <c r="S19" s="3" t="inlineStr">
        <is>
          <t>토지임야</t>
        </is>
      </c>
      <c r="T19" s="3" t="inlineStr">
        <is>
          <t>완경사</t>
        </is>
      </c>
      <c r="U19" s="3" t="inlineStr">
        <is>
          <t>부정형</t>
        </is>
      </c>
      <c r="V19" s="3" t="inlineStr">
        <is>
          <t>세로한면(가)</t>
        </is>
      </c>
    </row>
    <row r="20">
      <c r="A20" s="3" t="inlineStr">
        <is>
          <t>강내면 궁현리 산56-1</t>
        </is>
      </c>
      <c r="B20" s="3" t="inlineStr">
        <is>
          <t>계획관리지역</t>
        </is>
      </c>
      <c r="C20" s="3" t="inlineStr">
        <is>
          <t>임야</t>
        </is>
      </c>
      <c r="D20" s="3" t="inlineStr">
        <is>
          <t>임야</t>
        </is>
      </c>
      <c r="E20" s="3" t="inlineStr">
        <is>
          <t>매매</t>
        </is>
      </c>
      <c r="F20" s="4" t="n">
        <v>526000</v>
      </c>
      <c r="G20" s="4" t="n">
        <v>13382</v>
      </c>
      <c r="H20" s="4" t="n">
        <v>4048</v>
      </c>
      <c r="I20" s="5" t="n">
        <v>129.9</v>
      </c>
      <c r="J20" s="5" t="n">
        <v>6.3</v>
      </c>
      <c r="K20" s="3" t="inlineStr">
        <is>
          <t>nan</t>
        </is>
      </c>
      <c r="L20" s="6">
        <f>HYPERLINK("https://fin.land.naver.com/articles/2652460339", "매물Link")</f>
        <v/>
      </c>
      <c r="M20" s="6">
        <f>HYPERLINK("https://map.naver.com/p/search/강내면 궁현리 산56-1", "지도Link")</f>
        <v/>
      </c>
      <c r="N20" s="6">
        <f>HYPERLINK("http://www.eum.go.kr/web/ar/lu/luLandDet.jsp?pnu=4311331022200560001&amp;isNoScr=script&amp;mode=search", "토지이음")</f>
        <v/>
      </c>
      <c r="O20" s="3" t="inlineStr">
        <is>
          <t>좋은선택</t>
        </is>
      </c>
      <c r="P20" s="4" t="n">
        <v>1</v>
      </c>
      <c r="Q20" s="4" t="n">
        <v>13126</v>
      </c>
      <c r="R20" s="3" t="inlineStr">
        <is>
          <t>지정되지않음</t>
        </is>
      </c>
      <c r="S20" s="3" t="inlineStr">
        <is>
          <t>토지임야</t>
        </is>
      </c>
      <c r="T20" s="3" t="inlineStr">
        <is>
          <t>완경사</t>
        </is>
      </c>
      <c r="U20" s="3" t="inlineStr">
        <is>
          <t>부정형</t>
        </is>
      </c>
      <c r="V20" s="3" t="inlineStr">
        <is>
          <t>세로한면(가)</t>
        </is>
      </c>
    </row>
    <row r="21">
      <c r="A21" s="3" t="inlineStr">
        <is>
          <t>강내면 궁현리 산56-7</t>
        </is>
      </c>
      <c r="B21" s="3" t="inlineStr">
        <is>
          <t>계획관리지역</t>
        </is>
      </c>
      <c r="C21" s="3" t="inlineStr">
        <is>
          <t>임야</t>
        </is>
      </c>
      <c r="D21" s="3" t="inlineStr">
        <is>
          <t>임야</t>
        </is>
      </c>
      <c r="E21" s="3" t="inlineStr">
        <is>
          <t>매매</t>
        </is>
      </c>
      <c r="F21" s="4" t="n">
        <v>535000</v>
      </c>
      <c r="G21" s="4" t="n">
        <v>13624</v>
      </c>
      <c r="H21" s="4" t="n">
        <v>4121</v>
      </c>
      <c r="I21" s="5" t="n">
        <v>129.8</v>
      </c>
      <c r="J21" s="5" t="n">
        <v>6.3</v>
      </c>
      <c r="K21" s="3" t="inlineStr">
        <is>
          <t>청주 공장,창고용지 청주시 흥덕구 강내면 계획관리지역 공장,창고용 용지</t>
        </is>
      </c>
      <c r="L21" s="6">
        <f>HYPERLINK("https://fin.land.naver.com/articles/2652460071", "매물Link")</f>
        <v/>
      </c>
      <c r="M21" s="6">
        <f>HYPERLINK("https://map.naver.com/p/search/강내면 궁현리 산56-7", "지도Link")</f>
        <v/>
      </c>
      <c r="N21" s="6">
        <f>HYPERLINK("http://www.eum.go.kr/web/ar/lu/luLandDet.jsp?pnu=4311331022200560007&amp;isNoScr=script&amp;mode=search", "토지이음")</f>
        <v/>
      </c>
      <c r="O21" s="3" t="inlineStr">
        <is>
          <t>좋은선택</t>
        </is>
      </c>
      <c r="P21" s="4" t="n">
        <v>1</v>
      </c>
      <c r="Q21" s="4" t="n">
        <v>13274</v>
      </c>
      <c r="R21" s="3" t="inlineStr">
        <is>
          <t>지정되지않음</t>
        </is>
      </c>
      <c r="S21" s="3" t="inlineStr">
        <is>
          <t>토지임야</t>
        </is>
      </c>
      <c r="T21" s="3" t="inlineStr">
        <is>
          <t>완경사</t>
        </is>
      </c>
      <c r="U21" s="3" t="inlineStr">
        <is>
          <t>부정형</t>
        </is>
      </c>
      <c r="V21" s="3" t="inlineStr">
        <is>
          <t>세로한면(가)</t>
        </is>
      </c>
    </row>
    <row r="22">
      <c r="A22" s="3" t="inlineStr">
        <is>
          <t>강내면 다락리 110-9</t>
        </is>
      </c>
      <c r="B22" s="3" t="inlineStr">
        <is>
          <t>계획관리지역</t>
        </is>
      </c>
      <c r="C22" s="3" t="inlineStr">
        <is>
          <t>공장용지</t>
        </is>
      </c>
      <c r="D22" s="3" t="inlineStr">
        <is>
          <t>공장용지</t>
        </is>
      </c>
      <c r="E22" s="3" t="inlineStr">
        <is>
          <t>매매</t>
        </is>
      </c>
      <c r="F22" s="4" t="n">
        <v>600000</v>
      </c>
      <c r="G22" s="4" t="n">
        <v>5870</v>
      </c>
      <c r="H22" s="4" t="n">
        <v>1776</v>
      </c>
      <c r="I22" s="5" t="n">
        <v>337.8</v>
      </c>
      <c r="J22" s="5" t="n">
        <v>67</v>
      </c>
      <c r="K22" s="3" t="inlineStr">
        <is>
          <t>청주하이테크밸리 접해있는 대형평수 공장부지 매매 상세정보 정확한내용 확인</t>
        </is>
      </c>
      <c r="L22" s="6">
        <f>HYPERLINK("https://fin.land.naver.com/articles/2651987578", "매물Link")</f>
        <v/>
      </c>
      <c r="M22" s="6">
        <f>HYPERLINK("https://map.naver.com/p/search/강내면 다락리 110-9", "지도Link")</f>
        <v/>
      </c>
      <c r="N22" s="6">
        <f>HYPERLINK("http://www.eum.go.kr/web/ar/lu/luLandDet.jsp?pnu=4311331026101100009&amp;isNoScr=script&amp;mode=search", "토지이음")</f>
        <v/>
      </c>
      <c r="O22" s="3" t="inlineStr">
        <is>
          <t>태광</t>
        </is>
      </c>
      <c r="P22" s="4" t="n">
        <v>1</v>
      </c>
      <c r="Q22" s="4" t="n">
        <v>2740</v>
      </c>
      <c r="R22" s="3" t="inlineStr">
        <is>
          <t>지정되지않음</t>
        </is>
      </c>
      <c r="S22" s="3" t="inlineStr">
        <is>
          <t>공업용</t>
        </is>
      </c>
      <c r="T22" s="3" t="inlineStr">
        <is>
          <t>완경사</t>
        </is>
      </c>
      <c r="U22" s="3" t="inlineStr">
        <is>
          <t>사다리형</t>
        </is>
      </c>
      <c r="V22" s="3" t="inlineStr">
        <is>
          <t>세로한면(가)</t>
        </is>
      </c>
    </row>
    <row r="23">
      <c r="A23" s="3" t="inlineStr">
        <is>
          <t>강내면 다락리 16-19</t>
        </is>
      </c>
      <c r="B23" s="3" t="inlineStr">
        <is>
          <t>계획관리지역</t>
        </is>
      </c>
      <c r="C23" s="3" t="inlineStr">
        <is>
          <t>전</t>
        </is>
      </c>
      <c r="D23" s="3" t="inlineStr">
        <is>
          <t>전</t>
        </is>
      </c>
      <c r="E23" s="3" t="inlineStr">
        <is>
          <t>매매</t>
        </is>
      </c>
      <c r="F23" s="4" t="n">
        <v>74000</v>
      </c>
      <c r="G23" s="4" t="n">
        <v>1203</v>
      </c>
      <c r="H23" s="4" t="n">
        <v>364</v>
      </c>
      <c r="I23" s="5" t="n">
        <v>203.3</v>
      </c>
      <c r="J23" s="5" t="n">
        <v>53</v>
      </c>
      <c r="K23" s="3" t="inlineStr">
        <is>
          <t>해당매물 포함 연접 3필지 포함 매매가입니다</t>
        </is>
      </c>
      <c r="L23" s="6">
        <f>HYPERLINK("https://fin.land.naver.com/articles/2652788006", "매물Link")</f>
        <v/>
      </c>
      <c r="M23" s="6">
        <f>HYPERLINK("https://map.naver.com/p/search/강내면 다락리 16-19", "지도Link")</f>
        <v/>
      </c>
      <c r="N23" s="6">
        <f>HYPERLINK("http://www.eum.go.kr/web/ar/lu/luLandDet.jsp?pnu=4311331026100160019&amp;isNoScr=script&amp;mode=search", "토지이음")</f>
        <v/>
      </c>
      <c r="O23" s="3" t="inlineStr">
        <is>
          <t>산울파트너스</t>
        </is>
      </c>
      <c r="P23" s="4" t="n">
        <v>1</v>
      </c>
      <c r="Q23" s="4" t="n">
        <v>1203</v>
      </c>
      <c r="R23" s="3" t="inlineStr">
        <is>
          <t>지정되지않음</t>
        </is>
      </c>
      <c r="S23" s="3" t="inlineStr">
        <is>
          <t>주거나지</t>
        </is>
      </c>
      <c r="T23" s="3" t="inlineStr">
        <is>
          <t>평지</t>
        </is>
      </c>
      <c r="U23" s="3" t="inlineStr">
        <is>
          <t>사다리형</t>
        </is>
      </c>
      <c r="V23" s="3" t="inlineStr">
        <is>
          <t>세로한면(가)</t>
        </is>
      </c>
    </row>
    <row r="24">
      <c r="A24" s="3" t="inlineStr">
        <is>
          <t>강내면 다락리 16-19</t>
        </is>
      </c>
      <c r="B24" s="3" t="inlineStr">
        <is>
          <t>계획관리지역</t>
        </is>
      </c>
      <c r="C24" s="3" t="inlineStr">
        <is>
          <t>전</t>
        </is>
      </c>
      <c r="D24" s="3" t="inlineStr">
        <is>
          <t>전</t>
        </is>
      </c>
      <c r="E24" s="3" t="inlineStr">
        <is>
          <t>매매</t>
        </is>
      </c>
      <c r="F24" s="4" t="n">
        <v>81000</v>
      </c>
      <c r="G24" s="4" t="n">
        <v>2064</v>
      </c>
      <c r="H24" s="4" t="n">
        <v>624</v>
      </c>
      <c r="I24" s="5" t="n">
        <v>129.8</v>
      </c>
      <c r="J24" s="5" t="n">
        <v>53</v>
      </c>
      <c r="K24" s="3" t="inlineStr">
        <is>
          <t>전원주택 지을수 있는 계획관리구역</t>
        </is>
      </c>
      <c r="L24" s="6">
        <f>HYPERLINK("https://fin.land.naver.com/articles/2649624500", "매물Link")</f>
        <v/>
      </c>
      <c r="M24" s="6">
        <f>HYPERLINK("https://map.naver.com/p/search/강내면 다락리 16-19", "지도Link")</f>
        <v/>
      </c>
      <c r="N24" s="6">
        <f>HYPERLINK("http://www.eum.go.kr/web/ar/lu/luLandDet.jsp?pnu=4311331026100160019&amp;isNoScr=script&amp;mode=search", "토지이음")</f>
        <v/>
      </c>
      <c r="O24" s="3" t="inlineStr">
        <is>
          <t>월천한성여왕</t>
        </is>
      </c>
      <c r="P24" s="4" t="n">
        <v>1</v>
      </c>
      <c r="Q24" s="4" t="n">
        <v>1203</v>
      </c>
      <c r="R24" s="3" t="inlineStr">
        <is>
          <t>지정되지않음</t>
        </is>
      </c>
      <c r="S24" s="3" t="inlineStr">
        <is>
          <t>주거나지</t>
        </is>
      </c>
      <c r="T24" s="3" t="inlineStr">
        <is>
          <t>평지</t>
        </is>
      </c>
      <c r="U24" s="3" t="inlineStr">
        <is>
          <t>사다리형</t>
        </is>
      </c>
      <c r="V24" s="3" t="inlineStr">
        <is>
          <t>세로한면(가)</t>
        </is>
      </c>
    </row>
    <row r="25">
      <c r="A25" s="3" t="inlineStr">
        <is>
          <t>강내면 다락리 295</t>
        </is>
      </c>
      <c r="B25" s="3" t="inlineStr">
        <is>
          <t>농림지역</t>
        </is>
      </c>
      <c r="C25" s="3" t="inlineStr">
        <is>
          <t>답</t>
        </is>
      </c>
      <c r="D25" s="3" t="inlineStr">
        <is>
          <t>답</t>
        </is>
      </c>
      <c r="E25" s="3" t="inlineStr">
        <is>
          <t>매매</t>
        </is>
      </c>
      <c r="F25" s="4" t="n">
        <v>100000</v>
      </c>
      <c r="G25" s="4" t="n">
        <v>4087</v>
      </c>
      <c r="H25" s="4" t="n">
        <v>1236</v>
      </c>
      <c r="I25" s="5" t="n">
        <v>80.90000000000001</v>
      </c>
      <c r="J25" s="5" t="n">
        <v>24.9</v>
      </c>
      <c r="K25" s="3" t="inlineStr">
        <is>
          <t>하이테크밸리 산업단지 부근 농림지역내 농지</t>
        </is>
      </c>
      <c r="L25" s="6">
        <f>HYPERLINK("https://fin.land.naver.com/articles/2653445363", "매물Link")</f>
        <v/>
      </c>
      <c r="M25" s="6">
        <f>HYPERLINK("https://map.naver.com/p/search/강내면 다락리 295", "지도Link")</f>
        <v/>
      </c>
      <c r="N25" s="6">
        <f>HYPERLINK("http://www.eum.go.kr/web/ar/lu/luLandDet.jsp?pnu=4311331026102950000&amp;isNoScr=script&amp;mode=search", "토지이음")</f>
        <v/>
      </c>
      <c r="O25" s="3" t="inlineStr">
        <is>
          <t>제이</t>
        </is>
      </c>
      <c r="P25" s="4" t="n">
        <v>1</v>
      </c>
      <c r="Q25" s="4" t="n">
        <v>4087</v>
      </c>
      <c r="R25" s="3" t="inlineStr">
        <is>
          <t>지정되지않음</t>
        </is>
      </c>
      <c r="S25" s="3" t="inlineStr">
        <is>
          <t>전</t>
        </is>
      </c>
      <c r="T25" s="3" t="inlineStr">
        <is>
          <t>평지</t>
        </is>
      </c>
      <c r="U25" s="3" t="inlineStr">
        <is>
          <t>사다리형</t>
        </is>
      </c>
      <c r="V25" s="3" t="inlineStr">
        <is>
          <t>세로한면(가)</t>
        </is>
      </c>
    </row>
    <row r="26">
      <c r="A26" s="3" t="inlineStr">
        <is>
          <t>강내면 다락리 315-3</t>
        </is>
      </c>
      <c r="B26" s="3" t="inlineStr">
        <is>
          <t>계획관리지역</t>
        </is>
      </c>
      <c r="C26" s="3" t="inlineStr">
        <is>
          <t>대</t>
        </is>
      </c>
      <c r="D26" s="3" t="inlineStr">
        <is>
          <t>대</t>
        </is>
      </c>
      <c r="E26" s="3" t="inlineStr">
        <is>
          <t>매매</t>
        </is>
      </c>
      <c r="F26" s="4" t="n">
        <v>39200</v>
      </c>
      <c r="G26" s="4" t="n">
        <v>765</v>
      </c>
      <c r="H26" s="4" t="n">
        <v>231</v>
      </c>
      <c r="I26" s="5" t="n">
        <v>169.7</v>
      </c>
      <c r="J26" s="5" t="n">
        <v>67.59999999999999</v>
      </c>
      <c r="K26" s="3" t="inlineStr">
        <is>
          <t>전원주택, 다가구 부지 등으로 추천</t>
        </is>
      </c>
      <c r="L26" s="6">
        <f>HYPERLINK("https://fin.land.naver.com/articles/2651537278", "매물Link")</f>
        <v/>
      </c>
      <c r="M26" s="6">
        <f>HYPERLINK("https://map.naver.com/p/search/강내면 다락리 315-3", "지도Link")</f>
        <v/>
      </c>
      <c r="N26" s="6">
        <f>HYPERLINK("http://www.eum.go.kr/web/ar/lu/luLandDet.jsp?pnu=4311331026103150003&amp;isNoScr=script&amp;mode=search", "토지이음")</f>
        <v/>
      </c>
      <c r="O26" s="3" t="inlineStr">
        <is>
          <t>제이</t>
        </is>
      </c>
      <c r="P26" s="4" t="n">
        <v>1</v>
      </c>
      <c r="Q26" s="4" t="n">
        <v>765</v>
      </c>
      <c r="R26" s="3" t="inlineStr">
        <is>
          <t>지정되지않음</t>
        </is>
      </c>
      <c r="S26" s="3" t="inlineStr">
        <is>
          <t>단독</t>
        </is>
      </c>
      <c r="T26" s="3" t="inlineStr">
        <is>
          <t>평지</t>
        </is>
      </c>
      <c r="U26" s="3" t="inlineStr">
        <is>
          <t>사다리형</t>
        </is>
      </c>
      <c r="V26" s="3" t="inlineStr">
        <is>
          <t>세로한면(가)</t>
        </is>
      </c>
    </row>
    <row r="27">
      <c r="A27" s="3" t="inlineStr">
        <is>
          <t>강내면 다락리 315-6</t>
        </is>
      </c>
      <c r="B27" s="3" t="inlineStr">
        <is>
          <t>계획관리지역</t>
        </is>
      </c>
      <c r="C27" s="3" t="inlineStr">
        <is>
          <t>대</t>
        </is>
      </c>
      <c r="D27" s="3" t="inlineStr">
        <is>
          <t>대</t>
        </is>
      </c>
      <c r="E27" s="3" t="inlineStr">
        <is>
          <t>매매</t>
        </is>
      </c>
      <c r="F27" s="4" t="n">
        <v>13400</v>
      </c>
      <c r="G27" s="4" t="n">
        <v>261</v>
      </c>
      <c r="H27" s="4" t="n">
        <v>79</v>
      </c>
      <c r="I27" s="5" t="n">
        <v>169.6</v>
      </c>
      <c r="J27" s="5" t="n">
        <v>67.59999999999999</v>
      </c>
      <c r="K27" s="3" t="inlineStr">
        <is>
          <t>세컨하우스 부지로 추천</t>
        </is>
      </c>
      <c r="L27" s="6">
        <f>HYPERLINK("https://fin.land.naver.com/articles/2651537154", "매물Link")</f>
        <v/>
      </c>
      <c r="M27" s="6">
        <f>HYPERLINK("https://map.naver.com/p/search/강내면 다락리 315-6", "지도Link")</f>
        <v/>
      </c>
      <c r="N27" s="6">
        <f>HYPERLINK("http://www.eum.go.kr/web/ar/lu/luLandDet.jsp?pnu=4311331026103150006&amp;isNoScr=script&amp;mode=search", "토지이음")</f>
        <v/>
      </c>
      <c r="O27" s="3" t="inlineStr">
        <is>
          <t>제이</t>
        </is>
      </c>
      <c r="P27" s="4" t="n">
        <v>1</v>
      </c>
      <c r="Q27" s="4" t="n">
        <v>261</v>
      </c>
      <c r="R27" s="3" t="inlineStr">
        <is>
          <t>지정되지않음</t>
        </is>
      </c>
      <c r="S27" s="3" t="inlineStr">
        <is>
          <t>단독</t>
        </is>
      </c>
      <c r="T27" s="3" t="inlineStr">
        <is>
          <t>평지</t>
        </is>
      </c>
      <c r="U27" s="3" t="inlineStr">
        <is>
          <t>사다리형</t>
        </is>
      </c>
      <c r="V27" s="3" t="inlineStr">
        <is>
          <t>세로한면(가)</t>
        </is>
      </c>
    </row>
    <row r="28">
      <c r="A28" s="3" t="inlineStr">
        <is>
          <t>강내면 다락리 328-2</t>
        </is>
      </c>
      <c r="B28" s="3" t="inlineStr">
        <is>
          <t>계획관리지역</t>
        </is>
      </c>
      <c r="C28" s="3" t="inlineStr">
        <is>
          <t>전</t>
        </is>
      </c>
      <c r="D28" s="3" t="inlineStr">
        <is>
          <t>전</t>
        </is>
      </c>
      <c r="E28" s="3" t="inlineStr">
        <is>
          <t>매매</t>
        </is>
      </c>
      <c r="F28" s="4" t="n">
        <v>50000</v>
      </c>
      <c r="G28" s="4" t="n">
        <v>1553</v>
      </c>
      <c r="H28" s="4" t="n">
        <v>470</v>
      </c>
      <c r="I28" s="5" t="n">
        <v>106.4</v>
      </c>
      <c r="J28" s="5" t="n">
        <v>34</v>
      </c>
      <c r="K28" s="3" t="inlineStr">
        <is>
          <t>금액 조율 가능, 전원주택 부지, 청주하이테크밸리산업단지 인근</t>
        </is>
      </c>
      <c r="L28" s="6">
        <f>HYPERLINK("https://fin.land.naver.com/articles/2652679047", "매물Link")</f>
        <v/>
      </c>
      <c r="M28" s="6">
        <f>HYPERLINK("https://map.naver.com/p/search/강내면 다락리 328-2", "지도Link")</f>
        <v/>
      </c>
      <c r="N28" s="6">
        <f>HYPERLINK("http://www.eum.go.kr/web/ar/lu/luLandDet.jsp?pnu=4311331026103280002&amp;isNoScr=script&amp;mode=search", "토지이음")</f>
        <v/>
      </c>
      <c r="O28" s="3" t="inlineStr">
        <is>
          <t>제이</t>
        </is>
      </c>
      <c r="P28" s="4" t="n">
        <v>1</v>
      </c>
      <c r="Q28" s="4" t="n">
        <v>1507</v>
      </c>
      <c r="R28" s="3" t="inlineStr">
        <is>
          <t>지정되지않음</t>
        </is>
      </c>
      <c r="S28" s="3" t="inlineStr">
        <is>
          <t>전</t>
        </is>
      </c>
      <c r="T28" s="3" t="inlineStr">
        <is>
          <t>완경사</t>
        </is>
      </c>
      <c r="U28" s="3" t="inlineStr">
        <is>
          <t>사다리형</t>
        </is>
      </c>
      <c r="V28" s="3" t="inlineStr">
        <is>
          <t>세로한면(가)</t>
        </is>
      </c>
    </row>
    <row r="29">
      <c r="A29" s="3" t="inlineStr">
        <is>
          <t>강내면 다락리 70-4</t>
        </is>
      </c>
      <c r="B29" s="3" t="inlineStr">
        <is>
          <t>보전관리지역</t>
        </is>
      </c>
      <c r="C29" s="3" t="inlineStr">
        <is>
          <t>임야</t>
        </is>
      </c>
      <c r="D29" s="3" t="inlineStr">
        <is>
          <t>임야</t>
        </is>
      </c>
      <c r="E29" s="3" t="inlineStr">
        <is>
          <t>매매</t>
        </is>
      </c>
      <c r="F29" s="4" t="n">
        <v>42500</v>
      </c>
      <c r="G29" s="4" t="n">
        <v>1047</v>
      </c>
      <c r="H29" s="4" t="n">
        <v>317</v>
      </c>
      <c r="I29" s="5" t="n">
        <v>134.1</v>
      </c>
      <c r="J29" s="5" t="n">
        <v>5.9</v>
      </c>
      <c r="K29" s="3" t="inlineStr">
        <is>
          <t>전원주택지 추천</t>
        </is>
      </c>
      <c r="L29" s="6">
        <f>HYPERLINK("https://fin.land.naver.com/articles/2653494079", "매물Link")</f>
        <v/>
      </c>
      <c r="M29" s="6">
        <f>HYPERLINK("https://map.naver.com/p/search/강내면 다락리 70-4", "지도Link")</f>
        <v/>
      </c>
      <c r="N29" s="6">
        <f>HYPERLINK("http://www.eum.go.kr/web/ar/lu/luLandDet.jsp?pnu=4311331026100700004&amp;isNoScr=script&amp;mode=search", "토지이음")</f>
        <v/>
      </c>
      <c r="O29" s="3" t="inlineStr">
        <is>
          <t>금호사랑</t>
        </is>
      </c>
      <c r="P29" s="4" t="n">
        <v>1</v>
      </c>
      <c r="Q29" s="4" t="n">
        <v>716</v>
      </c>
      <c r="R29" s="3" t="inlineStr">
        <is>
          <t>지정되지않음</t>
        </is>
      </c>
      <c r="S29" s="3" t="inlineStr">
        <is>
          <t>자연림</t>
        </is>
      </c>
      <c r="T29" s="3" t="inlineStr">
        <is>
          <t>완경사</t>
        </is>
      </c>
      <c r="U29" s="3" t="inlineStr">
        <is>
          <t>사다리형</t>
        </is>
      </c>
      <c r="V29" s="3" t="inlineStr">
        <is>
          <t>세로한면(가)</t>
        </is>
      </c>
    </row>
    <row r="30">
      <c r="A30" s="3" t="inlineStr">
        <is>
          <t>강내면 다락리 74</t>
        </is>
      </c>
      <c r="B30" s="3" t="inlineStr">
        <is>
          <t>계획관리지역</t>
        </is>
      </c>
      <c r="C30" s="3" t="inlineStr">
        <is>
          <t>전</t>
        </is>
      </c>
      <c r="D30" s="3" t="inlineStr">
        <is>
          <t>전</t>
        </is>
      </c>
      <c r="E30" s="3" t="inlineStr">
        <is>
          <t>매매</t>
        </is>
      </c>
      <c r="F30" s="4" t="n">
        <v>20000</v>
      </c>
      <c r="G30" s="4" t="n">
        <v>636</v>
      </c>
      <c r="H30" s="4" t="n">
        <v>192</v>
      </c>
      <c r="I30" s="5" t="n">
        <v>104.2</v>
      </c>
      <c r="J30" s="5" t="n">
        <v>25.4</v>
      </c>
      <c r="K30" s="3" t="inlineStr">
        <is>
          <t>산업단지 바로 접한 토지</t>
        </is>
      </c>
      <c r="L30" s="6">
        <f>HYPERLINK("https://fin.land.naver.com/articles/2654016902", "매물Link")</f>
        <v/>
      </c>
      <c r="M30" s="6">
        <f>HYPERLINK("https://map.naver.com/p/search/강내면 다락리 74", "지도Link")</f>
        <v/>
      </c>
      <c r="N30" s="6">
        <f>HYPERLINK("http://www.eum.go.kr/web/ar/lu/luLandDet.jsp?pnu=4311331026100740000&amp;isNoScr=script&amp;mode=search", "토지이음")</f>
        <v/>
      </c>
      <c r="O30" s="3" t="inlineStr">
        <is>
          <t>KB세종</t>
        </is>
      </c>
      <c r="P30" s="4" t="n">
        <v>1</v>
      </c>
      <c r="Q30" s="4" t="n">
        <v>636</v>
      </c>
      <c r="R30" s="3" t="inlineStr">
        <is>
          <t>지정되지않음</t>
        </is>
      </c>
      <c r="S30" s="3" t="inlineStr">
        <is>
          <t>전</t>
        </is>
      </c>
      <c r="T30" s="3" t="inlineStr">
        <is>
          <t>완경사</t>
        </is>
      </c>
      <c r="U30" s="3" t="inlineStr">
        <is>
          <t>부정형</t>
        </is>
      </c>
      <c r="V30" s="3" t="inlineStr">
        <is>
          <t>소로한면</t>
        </is>
      </c>
    </row>
    <row r="31">
      <c r="A31" s="3" t="inlineStr">
        <is>
          <t>강내면 당곡리 26-29</t>
        </is>
      </c>
      <c r="B31" s="3" t="inlineStr">
        <is>
          <t>계획관리지역</t>
        </is>
      </c>
      <c r="C31" s="3" t="inlineStr">
        <is>
          <t>전</t>
        </is>
      </c>
      <c r="D31" s="3" t="inlineStr">
        <is>
          <t>전</t>
        </is>
      </c>
      <c r="E31" s="3" t="inlineStr">
        <is>
          <t>매매</t>
        </is>
      </c>
      <c r="F31" s="4" t="n">
        <v>20000</v>
      </c>
      <c r="G31" s="4" t="n">
        <v>373</v>
      </c>
      <c r="H31" s="4" t="n">
        <v>113</v>
      </c>
      <c r="I31" s="5" t="n">
        <v>177</v>
      </c>
      <c r="J31" s="5" t="n">
        <v>41.6</v>
      </c>
      <c r="K31" s="3" t="inlineStr">
        <is>
          <t>4미터 포장된 도로 진입가능한 밭으로 사용중인 토지</t>
        </is>
      </c>
      <c r="L31" s="6">
        <f>HYPERLINK("https://fin.land.naver.com/articles/2649556630", "매물Link")</f>
        <v/>
      </c>
      <c r="M31" s="6">
        <f>HYPERLINK("https://map.naver.com/p/search/강내면 당곡리 26-29", "지도Link")</f>
        <v/>
      </c>
      <c r="N31" s="6">
        <f>HYPERLINK("http://www.eum.go.kr/web/ar/lu/luLandDet.jsp?pnu=4311331024100260029&amp;isNoScr=script&amp;mode=search", "토지이음")</f>
        <v/>
      </c>
      <c r="O31" s="3" t="inlineStr">
        <is>
          <t>보람최고</t>
        </is>
      </c>
      <c r="P31" s="4" t="n">
        <v>1</v>
      </c>
      <c r="Q31" s="4" t="n">
        <v>373</v>
      </c>
      <c r="R31" s="3" t="inlineStr">
        <is>
          <t>지정되지않음</t>
        </is>
      </c>
      <c r="S31" s="3" t="inlineStr">
        <is>
          <t>주거나지</t>
        </is>
      </c>
      <c r="T31" s="3" t="inlineStr">
        <is>
          <t>평지</t>
        </is>
      </c>
      <c r="U31" s="3" t="inlineStr">
        <is>
          <t>정방형</t>
        </is>
      </c>
      <c r="V31" s="3" t="inlineStr">
        <is>
          <t>세로한면(가)</t>
        </is>
      </c>
    </row>
    <row r="32">
      <c r="A32" s="3" t="inlineStr">
        <is>
          <t>강내면 당곡리 26-29</t>
        </is>
      </c>
      <c r="B32" s="3" t="inlineStr">
        <is>
          <t>계획관리지역</t>
        </is>
      </c>
      <c r="C32" s="3" t="inlineStr">
        <is>
          <t>전</t>
        </is>
      </c>
      <c r="D32" s="3" t="inlineStr">
        <is>
          <t>전</t>
        </is>
      </c>
      <c r="E32" s="3" t="inlineStr">
        <is>
          <t>매매</t>
        </is>
      </c>
      <c r="F32" s="4" t="n">
        <v>20000</v>
      </c>
      <c r="G32" s="4" t="n">
        <v>373</v>
      </c>
      <c r="H32" s="4" t="n">
        <v>113</v>
      </c>
      <c r="I32" s="5" t="n">
        <v>177</v>
      </c>
      <c r="J32" s="5" t="n">
        <v>41.6</v>
      </c>
      <c r="K32" s="3" t="inlineStr">
        <is>
          <t>세종오송 접근 좋은 도로지분 포함 자연취락형 주택부지</t>
        </is>
      </c>
      <c r="L32" s="6">
        <f>HYPERLINK("https://fin.land.naver.com/articles/2650902295", "매물Link")</f>
        <v/>
      </c>
      <c r="M32" s="6">
        <f>HYPERLINK("https://map.naver.com/p/search/강내면 당곡리 26-29", "지도Link")</f>
        <v/>
      </c>
      <c r="N32" s="6">
        <f>HYPERLINK("http://www.eum.go.kr/web/ar/lu/luLandDet.jsp?pnu=4311331024100260029&amp;isNoScr=script&amp;mode=search", "토지이음")</f>
        <v/>
      </c>
      <c r="O32" s="3" t="inlineStr">
        <is>
          <t>세종소담황금</t>
        </is>
      </c>
      <c r="P32" s="4" t="n">
        <v>1</v>
      </c>
      <c r="Q32" s="4" t="n">
        <v>373</v>
      </c>
      <c r="R32" s="3" t="inlineStr">
        <is>
          <t>지정되지않음</t>
        </is>
      </c>
      <c r="S32" s="3" t="inlineStr">
        <is>
          <t>주거나지</t>
        </is>
      </c>
      <c r="T32" s="3" t="inlineStr">
        <is>
          <t>평지</t>
        </is>
      </c>
      <c r="U32" s="3" t="inlineStr">
        <is>
          <t>정방형</t>
        </is>
      </c>
      <c r="V32" s="3" t="inlineStr">
        <is>
          <t>세로한면(가)</t>
        </is>
      </c>
    </row>
    <row r="33">
      <c r="A33" s="3" t="inlineStr">
        <is>
          <t>강내면 당곡리 4-5</t>
        </is>
      </c>
      <c r="B33" s="3" t="inlineStr">
        <is>
          <t>보전관리지역</t>
        </is>
      </c>
      <c r="C33" s="3" t="inlineStr">
        <is>
          <t>과수원</t>
        </is>
      </c>
      <c r="D33" s="3" t="inlineStr">
        <is>
          <t>과수원</t>
        </is>
      </c>
      <c r="E33" s="3" t="inlineStr">
        <is>
          <t>매매</t>
        </is>
      </c>
      <c r="F33" s="4" t="n">
        <v>20328</v>
      </c>
      <c r="G33" s="4" t="n">
        <v>1008</v>
      </c>
      <c r="H33" s="4" t="n">
        <v>305</v>
      </c>
      <c r="I33" s="5" t="n">
        <v>66.59999999999999</v>
      </c>
      <c r="J33" s="5" t="n">
        <v>10.2</v>
      </c>
      <c r="K33" s="3" t="inlineStr">
        <is>
          <t>세종시  5생활권과 4km거리의 체류형쉼터용 토지</t>
        </is>
      </c>
      <c r="L33" s="6">
        <f>HYPERLINK("https://fin.land.naver.com/articles/2649586030", "매물Link")</f>
        <v/>
      </c>
      <c r="M33" s="6">
        <f>HYPERLINK("https://map.naver.com/p/search/강내면 당곡리 4-5", "지도Link")</f>
        <v/>
      </c>
      <c r="N33" s="6">
        <f>HYPERLINK("http://www.eum.go.kr/web/ar/lu/luLandDet.jsp?pnu=4311331024100040005&amp;isNoScr=script&amp;mode=search", "토지이음")</f>
        <v/>
      </c>
      <c r="O33" s="3" t="inlineStr">
        <is>
          <t>천억사사무소</t>
        </is>
      </c>
      <c r="P33" s="4" t="n">
        <v>1</v>
      </c>
      <c r="Q33" s="4" t="n">
        <v>1008</v>
      </c>
      <c r="R33" s="3" t="inlineStr">
        <is>
          <t>지정되지않음</t>
        </is>
      </c>
      <c r="S33" s="3" t="inlineStr">
        <is>
          <t>과수원</t>
        </is>
      </c>
      <c r="T33" s="3" t="inlineStr">
        <is>
          <t>급경사</t>
        </is>
      </c>
      <c r="U33" s="3" t="inlineStr">
        <is>
          <t>사다리형</t>
        </is>
      </c>
      <c r="V33" s="3" t="inlineStr">
        <is>
          <t>세로한면(불)</t>
        </is>
      </c>
    </row>
    <row r="34">
      <c r="A34" s="3" t="inlineStr">
        <is>
          <t>강내면 당곡리 4-9</t>
        </is>
      </c>
      <c r="B34" s="3" t="inlineStr">
        <is>
          <t>보전관리지역</t>
        </is>
      </c>
      <c r="C34" s="3" t="inlineStr">
        <is>
          <t>전</t>
        </is>
      </c>
      <c r="D34" s="3" t="inlineStr">
        <is>
          <t>전</t>
        </is>
      </c>
      <c r="E34" s="3" t="inlineStr">
        <is>
          <t>매매</t>
        </is>
      </c>
      <c r="F34" s="4" t="n">
        <v>14520</v>
      </c>
      <c r="G34" s="4" t="n">
        <v>800</v>
      </c>
      <c r="H34" s="4" t="n">
        <v>242</v>
      </c>
      <c r="I34" s="5" t="n">
        <v>60</v>
      </c>
      <c r="J34" s="5" t="n">
        <v>10.2</v>
      </c>
      <c r="K34" s="3" t="inlineStr">
        <is>
          <t>뷰좋음,남향,건축가능한토지,체류형쉼터가능,주말농장.6미터도로개설확정</t>
        </is>
      </c>
      <c r="L34" s="6">
        <f>HYPERLINK("https://fin.land.naver.com/articles/2653426390", "매물Link")</f>
        <v/>
      </c>
      <c r="M34" s="6">
        <f>HYPERLINK("https://map.naver.com/p/search/강내면 당곡리 4-9", "지도Link")</f>
        <v/>
      </c>
      <c r="N34" s="6">
        <f>HYPERLINK("http://www.eum.go.kr/web/ar/lu/luLandDet.jsp?pnu=4311331024100040009&amp;isNoScr=script&amp;mode=search", "토지이음")</f>
        <v/>
      </c>
      <c r="O34" s="3" t="inlineStr">
        <is>
          <t>담뜰</t>
        </is>
      </c>
      <c r="P34" s="4" t="n">
        <v>1</v>
      </c>
      <c r="Q34" s="4" t="n">
        <v>708</v>
      </c>
      <c r="R34" s="3" t="inlineStr">
        <is>
          <t>지정되지않음</t>
        </is>
      </c>
      <c r="S34" s="3" t="inlineStr">
        <is>
          <t>전</t>
        </is>
      </c>
      <c r="T34" s="3" t="inlineStr">
        <is>
          <t>급경사</t>
        </is>
      </c>
      <c r="U34" s="3" t="inlineStr">
        <is>
          <t>사다리형</t>
        </is>
      </c>
      <c r="V34" s="3" t="inlineStr">
        <is>
          <t>세로한면(불)</t>
        </is>
      </c>
    </row>
    <row r="35">
      <c r="A35" s="3" t="inlineStr">
        <is>
          <t>강내면 당곡리 48-1</t>
        </is>
      </c>
      <c r="B35" s="3" t="inlineStr">
        <is>
          <t>농림지역</t>
        </is>
      </c>
      <c r="C35" s="3" t="inlineStr">
        <is>
          <t>답</t>
        </is>
      </c>
      <c r="D35" s="3" t="inlineStr">
        <is>
          <t>답</t>
        </is>
      </c>
      <c r="E35" s="3" t="inlineStr">
        <is>
          <t>매매</t>
        </is>
      </c>
      <c r="F35" s="4" t="n">
        <v>9000</v>
      </c>
      <c r="G35" s="4" t="n">
        <v>871</v>
      </c>
      <c r="H35" s="4" t="n">
        <v>263</v>
      </c>
      <c r="I35" s="5" t="n">
        <v>34.2</v>
      </c>
      <c r="J35" s="5" t="n">
        <v>14</v>
      </c>
      <c r="K35" s="3" t="inlineStr">
        <is>
          <t>강내면 당곡리 작은땅 매매 사실상 밭 텃밭용 체류형쉼터용등</t>
        </is>
      </c>
      <c r="L35" s="6">
        <f>HYPERLINK("https://fin.land.naver.com/articles/2651259197", "매물Link")</f>
        <v/>
      </c>
      <c r="M35" s="6">
        <f>HYPERLINK("https://map.naver.com/p/search/강내면 당곡리 48-1", "지도Link")</f>
        <v/>
      </c>
      <c r="N35" s="6">
        <f>HYPERLINK("http://www.eum.go.kr/web/ar/lu/luLandDet.jsp?pnu=4311331024100480001&amp;isNoScr=script&amp;mode=search", "토지이음")</f>
        <v/>
      </c>
      <c r="O35" s="3" t="inlineStr">
        <is>
          <t>그린</t>
        </is>
      </c>
      <c r="P35" s="4" t="n">
        <v>1</v>
      </c>
      <c r="Q35" s="4" t="n">
        <v>871</v>
      </c>
      <c r="R35" s="3" t="inlineStr">
        <is>
          <t>지정되지않음</t>
        </is>
      </c>
      <c r="S35" s="3" t="inlineStr">
        <is>
          <t>답</t>
        </is>
      </c>
      <c r="T35" s="3" t="inlineStr">
        <is>
          <t>평지</t>
        </is>
      </c>
      <c r="U35" s="3" t="inlineStr">
        <is>
          <t>사다리형</t>
        </is>
      </c>
      <c r="V35" s="3" t="inlineStr">
        <is>
          <t>세로한면(가)</t>
        </is>
      </c>
    </row>
    <row r="36">
      <c r="A36" s="3" t="inlineStr">
        <is>
          <t>강내면 당곡리 60-1</t>
        </is>
      </c>
      <c r="B36" s="3" t="inlineStr">
        <is>
          <t>생산관리지역</t>
        </is>
      </c>
      <c r="C36" s="3" t="inlineStr">
        <is>
          <t>답</t>
        </is>
      </c>
      <c r="D36" s="3" t="inlineStr">
        <is>
          <t>답</t>
        </is>
      </c>
      <c r="E36" s="3" t="inlineStr">
        <is>
          <t>매매</t>
        </is>
      </c>
      <c r="F36" s="4" t="n">
        <v>38000</v>
      </c>
      <c r="G36" s="4" t="n">
        <v>2082</v>
      </c>
      <c r="H36" s="4" t="n">
        <v>630</v>
      </c>
      <c r="I36" s="5" t="n">
        <v>60.3</v>
      </c>
      <c r="J36" s="5" t="n">
        <v>20.5</v>
      </c>
      <c r="K36" s="3" t="inlineStr">
        <is>
          <t>급매 2차선및 6M도로접 투자및 창고 추천</t>
        </is>
      </c>
      <c r="L36" s="6">
        <f>HYPERLINK("https://fin.land.naver.com/articles/2650436765", "매물Link")</f>
        <v/>
      </c>
      <c r="M36" s="6">
        <f>HYPERLINK("https://map.naver.com/p/search/강내면 당곡리 60-1", "지도Link")</f>
        <v/>
      </c>
      <c r="N36" s="6">
        <f>HYPERLINK("http://www.eum.go.kr/web/ar/lu/luLandDet.jsp?pnu=4311331024100600001&amp;isNoScr=script&amp;mode=search", "토지이음")</f>
        <v/>
      </c>
      <c r="O36" s="3" t="inlineStr">
        <is>
          <t>플러스태양</t>
        </is>
      </c>
      <c r="P36" s="4" t="n">
        <v>1</v>
      </c>
      <c r="Q36" s="4" t="n">
        <v>1877</v>
      </c>
      <c r="R36" s="3" t="inlineStr">
        <is>
          <t>지정되지않음</t>
        </is>
      </c>
      <c r="S36" s="3" t="inlineStr">
        <is>
          <t>답</t>
        </is>
      </c>
      <c r="T36" s="3" t="inlineStr">
        <is>
          <t>평지</t>
        </is>
      </c>
      <c r="U36" s="3" t="inlineStr">
        <is>
          <t>부정형</t>
        </is>
      </c>
      <c r="V36" s="3" t="inlineStr">
        <is>
          <t>소로한면</t>
        </is>
      </c>
    </row>
    <row r="37">
      <c r="A37" s="3" t="inlineStr">
        <is>
          <t>강내면 당곡리 91-1</t>
        </is>
      </c>
      <c r="B37" s="3" t="inlineStr">
        <is>
          <t>농림지역</t>
        </is>
      </c>
      <c r="C37" s="3" t="inlineStr">
        <is>
          <t>답</t>
        </is>
      </c>
      <c r="D37" s="3" t="inlineStr">
        <is>
          <t>답</t>
        </is>
      </c>
      <c r="E37" s="3" t="inlineStr">
        <is>
          <t>매매</t>
        </is>
      </c>
      <c r="F37" s="4" t="n">
        <v>28000</v>
      </c>
      <c r="G37" s="4" t="n">
        <v>1851</v>
      </c>
      <c r="H37" s="4" t="n">
        <v>560</v>
      </c>
      <c r="I37" s="5" t="n">
        <v>50</v>
      </c>
      <c r="J37" s="5" t="n">
        <v>19.4</v>
      </c>
      <c r="K37" s="3" t="inlineStr">
        <is>
          <t>농사지으면서 투자 가능, 세종 및 청주 접근성 좋음, 2차선도로접</t>
        </is>
      </c>
      <c r="L37" s="6">
        <f>HYPERLINK("https://fin.land.naver.com/articles/2650378840", "매물Link")</f>
        <v/>
      </c>
      <c r="M37" s="6">
        <f>HYPERLINK("https://map.naver.com/p/search/강내면 당곡리 91-1", "지도Link")</f>
        <v/>
      </c>
      <c r="N37" s="6">
        <f>HYPERLINK("http://www.eum.go.kr/web/ar/lu/luLandDet.jsp?pnu=4311331024100910001&amp;isNoScr=script&amp;mode=search", "토지이음")</f>
        <v/>
      </c>
      <c r="O37" s="3" t="inlineStr">
        <is>
          <t>제이</t>
        </is>
      </c>
      <c r="P37" s="4" t="n">
        <v>1</v>
      </c>
      <c r="Q37" s="4" t="n">
        <v>1851</v>
      </c>
      <c r="R37" s="3" t="inlineStr">
        <is>
          <t>지정되지않음</t>
        </is>
      </c>
      <c r="S37" s="3" t="inlineStr">
        <is>
          <t>답</t>
        </is>
      </c>
      <c r="T37" s="3" t="inlineStr">
        <is>
          <t>평지</t>
        </is>
      </c>
      <c r="U37" s="3" t="inlineStr">
        <is>
          <t>세로장방</t>
        </is>
      </c>
      <c r="V37" s="3" t="inlineStr">
        <is>
          <t>소로각지</t>
        </is>
      </c>
    </row>
    <row r="38">
      <c r="A38" s="3" t="inlineStr">
        <is>
          <t>강내면 당곡리 산 36</t>
        </is>
      </c>
      <c r="B38" s="3" t="inlineStr">
        <is>
          <t>생산관리지역</t>
        </is>
      </c>
      <c r="C38" s="3" t="inlineStr">
        <is>
          <t>임야</t>
        </is>
      </c>
      <c r="D38" s="3" t="inlineStr">
        <is>
          <t>임야</t>
        </is>
      </c>
      <c r="E38" s="3" t="inlineStr">
        <is>
          <t>매매</t>
        </is>
      </c>
      <c r="F38" s="4" t="n">
        <v>260000</v>
      </c>
      <c r="G38" s="4" t="n">
        <v>7834</v>
      </c>
      <c r="H38" s="4" t="n">
        <v>2370</v>
      </c>
      <c r="I38" s="5" t="n">
        <v>109.7</v>
      </c>
      <c r="J38" s="5" t="n">
        <v>5.4</v>
      </c>
      <c r="K38" s="3" t="inlineStr">
        <is>
          <t>창주시와 세종시 경계의 두 필지 임야. 도로접. 경사낮음</t>
        </is>
      </c>
      <c r="L38" s="6">
        <f>HYPERLINK("https://fin.land.naver.com/articles/2652039864", "매물Link")</f>
        <v/>
      </c>
      <c r="M38" s="6">
        <f>HYPERLINK("https://map.naver.com/p/search/강내면 당곡리 산 36", "지도Link")</f>
        <v/>
      </c>
      <c r="N38" s="6">
        <f>HYPERLINK("http://www.eum.go.kr/web/ar/lu/luLandDet.jsp?pnu=4311331024200360000&amp;isNoScr=script&amp;mode=search", "토지이음")</f>
        <v/>
      </c>
      <c r="O38" s="3" t="inlineStr">
        <is>
          <t>미스터홈즈강남지사</t>
        </is>
      </c>
      <c r="P38" s="4" t="n">
        <v>1</v>
      </c>
      <c r="Q38" s="4" t="n">
        <v>4921</v>
      </c>
      <c r="R38" s="3" t="inlineStr">
        <is>
          <t>지정되지않음</t>
        </is>
      </c>
      <c r="S38" s="3" t="inlineStr">
        <is>
          <t>자연림</t>
        </is>
      </c>
      <c r="T38" s="3" t="inlineStr">
        <is>
          <t>완경사</t>
        </is>
      </c>
      <c r="U38" s="3" t="inlineStr">
        <is>
          <t>부정형</t>
        </is>
      </c>
      <c r="V38" s="3" t="inlineStr">
        <is>
          <t>소로한면</t>
        </is>
      </c>
    </row>
    <row r="39">
      <c r="A39" s="3" t="inlineStr">
        <is>
          <t>강내면 사곡리 259</t>
        </is>
      </c>
      <c r="B39" s="3" t="inlineStr">
        <is>
          <t>농림지역</t>
        </is>
      </c>
      <c r="C39" s="3" t="inlineStr">
        <is>
          <t>답</t>
        </is>
      </c>
      <c r="D39" s="3" t="inlineStr">
        <is>
          <t>답</t>
        </is>
      </c>
      <c r="E39" s="3" t="inlineStr">
        <is>
          <t>매매</t>
        </is>
      </c>
      <c r="F39" s="4" t="n">
        <v>39500</v>
      </c>
      <c r="G39" s="4" t="n">
        <v>2179</v>
      </c>
      <c r="H39" s="4" t="n">
        <v>659</v>
      </c>
      <c r="I39" s="5" t="n">
        <v>59.9</v>
      </c>
      <c r="J39" s="5" t="n">
        <v>21.1</v>
      </c>
      <c r="K39" s="3" t="inlineStr">
        <is>
          <t>진입로 있음, 농림지역, 농업진흥구역, 농촌형 체류형 쉼터로 추천</t>
        </is>
      </c>
      <c r="L39" s="6">
        <f>HYPERLINK("https://fin.land.naver.com/articles/2654099524", "매물Link")</f>
        <v/>
      </c>
      <c r="M39" s="6">
        <f>HYPERLINK("https://map.naver.com/p/search/강내면 사곡리 259", "지도Link")</f>
        <v/>
      </c>
      <c r="N39" s="6">
        <f>HYPERLINK("http://www.eum.go.kr/web/ar/lu/luLandDet.jsp?pnu=4311331028102590000&amp;isNoScr=script&amp;mode=search", "토지이음")</f>
        <v/>
      </c>
      <c r="O39" s="3" t="inlineStr">
        <is>
          <t>제이</t>
        </is>
      </c>
      <c r="P39" s="4" t="n">
        <v>2</v>
      </c>
      <c r="Q39" s="4" t="n">
        <v>2179</v>
      </c>
      <c r="R39" s="3" t="inlineStr">
        <is>
          <t>지정되지않음</t>
        </is>
      </c>
      <c r="S39" s="3" t="inlineStr">
        <is>
          <t>답</t>
        </is>
      </c>
      <c r="T39" s="3" t="inlineStr">
        <is>
          <t>평지</t>
        </is>
      </c>
      <c r="U39" s="3" t="inlineStr">
        <is>
          <t>부정형</t>
        </is>
      </c>
      <c r="V39" s="3" t="inlineStr">
        <is>
          <t>세로한면(가)</t>
        </is>
      </c>
    </row>
    <row r="40">
      <c r="A40" s="3" t="inlineStr">
        <is>
          <t>강내면 사곡리 267-2</t>
        </is>
      </c>
      <c r="B40" s="3" t="inlineStr">
        <is>
          <t>농림지역</t>
        </is>
      </c>
      <c r="C40" s="3" t="inlineStr">
        <is>
          <t>답</t>
        </is>
      </c>
      <c r="D40" s="3" t="inlineStr">
        <is>
          <t>답</t>
        </is>
      </c>
      <c r="E40" s="3" t="inlineStr">
        <is>
          <t>매매</t>
        </is>
      </c>
      <c r="F40" s="4" t="n">
        <v>58000</v>
      </c>
      <c r="G40" s="4" t="n">
        <v>3193</v>
      </c>
      <c r="H40" s="4" t="n">
        <v>966</v>
      </c>
      <c r="I40" s="5" t="n">
        <v>60</v>
      </c>
      <c r="J40" s="5" t="n">
        <v>20.1</v>
      </c>
      <c r="K40" s="3" t="inlineStr">
        <is>
          <t>도로접 성토한토지</t>
        </is>
      </c>
      <c r="L40" s="6">
        <f>HYPERLINK("https://fin.land.naver.com/articles/2654090972", "매물Link")</f>
        <v/>
      </c>
      <c r="M40" s="6">
        <f>HYPERLINK("https://map.naver.com/p/search/강내면 사곡리 267-2", "지도Link")</f>
        <v/>
      </c>
      <c r="N40" s="6">
        <f>HYPERLINK("http://www.eum.go.kr/web/ar/lu/luLandDet.jsp?pnu=4311331028102670002&amp;isNoScr=script&amp;mode=search", "토지이음")</f>
        <v/>
      </c>
      <c r="O40" s="3" t="inlineStr">
        <is>
          <t>수풀림</t>
        </is>
      </c>
      <c r="P40" s="4" t="n">
        <v>1</v>
      </c>
      <c r="Q40" s="4" t="n">
        <v>3193</v>
      </c>
      <c r="R40" s="3" t="inlineStr">
        <is>
          <t>지정되지않음</t>
        </is>
      </c>
      <c r="S40" s="3" t="inlineStr">
        <is>
          <t>답</t>
        </is>
      </c>
      <c r="T40" s="3" t="inlineStr">
        <is>
          <t>평지</t>
        </is>
      </c>
      <c r="U40" s="3" t="inlineStr">
        <is>
          <t>부정형</t>
        </is>
      </c>
      <c r="V40" s="3" t="inlineStr">
        <is>
          <t>세로한면(불)</t>
        </is>
      </c>
    </row>
    <row r="41">
      <c r="A41" s="3" t="inlineStr">
        <is>
          <t>강내면 사곡리 317-6</t>
        </is>
      </c>
      <c r="B41" s="3" t="inlineStr">
        <is>
          <t>계획관리지역</t>
        </is>
      </c>
      <c r="C41" s="3" t="inlineStr">
        <is>
          <t>전</t>
        </is>
      </c>
      <c r="D41" s="3" t="inlineStr">
        <is>
          <t>전</t>
        </is>
      </c>
      <c r="E41" s="3" t="inlineStr">
        <is>
          <t>매매</t>
        </is>
      </c>
      <c r="F41" s="4" t="n">
        <v>86000</v>
      </c>
      <c r="G41" s="4" t="n">
        <v>1893</v>
      </c>
      <c r="H41" s="4" t="n">
        <v>573</v>
      </c>
      <c r="I41" s="5" t="n">
        <v>150.1</v>
      </c>
      <c r="J41" s="5" t="n">
        <v>43.4</v>
      </c>
      <c r="K41" s="3" t="inlineStr">
        <is>
          <t>대로변 계획관리</t>
        </is>
      </c>
      <c r="L41" s="6">
        <f>HYPERLINK("https://fin.land.naver.com/articles/2654091472", "매물Link")</f>
        <v/>
      </c>
      <c r="M41" s="6">
        <f>HYPERLINK("https://map.naver.com/p/search/강내면 사곡리 317-6", "지도Link")</f>
        <v/>
      </c>
      <c r="N41" s="6">
        <f>HYPERLINK("http://www.eum.go.kr/web/ar/lu/luLandDet.jsp?pnu=4311331028103170006&amp;isNoScr=script&amp;mode=search", "토지이음")</f>
        <v/>
      </c>
      <c r="O41" s="3" t="inlineStr">
        <is>
          <t>수풀림</t>
        </is>
      </c>
      <c r="P41" s="4" t="n">
        <v>1</v>
      </c>
      <c r="Q41" s="4" t="n">
        <v>1893.4</v>
      </c>
      <c r="R41" s="3" t="inlineStr">
        <is>
          <t>지정되지않음</t>
        </is>
      </c>
      <c r="S41" s="3" t="inlineStr">
        <is>
          <t>전</t>
        </is>
      </c>
      <c r="T41" s="3" t="inlineStr">
        <is>
          <t>평지</t>
        </is>
      </c>
      <c r="U41" s="3" t="inlineStr">
        <is>
          <t>사다리형</t>
        </is>
      </c>
      <c r="V41" s="3" t="inlineStr">
        <is>
          <t>소로각지</t>
        </is>
      </c>
    </row>
    <row r="42">
      <c r="A42" s="3" t="inlineStr">
        <is>
          <t>강내면 사곡리 374-3</t>
        </is>
      </c>
      <c r="B42" s="3" t="inlineStr">
        <is>
          <t>보전관리지역</t>
        </is>
      </c>
      <c r="C42" s="3" t="inlineStr">
        <is>
          <t>전</t>
        </is>
      </c>
      <c r="D42" s="3" t="inlineStr">
        <is>
          <t>전</t>
        </is>
      </c>
      <c r="E42" s="3" t="inlineStr">
        <is>
          <t>매매</t>
        </is>
      </c>
      <c r="F42" s="4" t="n">
        <v>335000</v>
      </c>
      <c r="G42" s="4" t="n">
        <v>12790</v>
      </c>
      <c r="H42" s="4" t="n">
        <v>3869</v>
      </c>
      <c r="I42" s="5" t="n">
        <v>86.59999999999999</v>
      </c>
      <c r="J42" s="5" t="n">
        <v>19.7</v>
      </c>
      <c r="K42" s="3" t="inlineStr">
        <is>
          <t>청주 흥덕구 미호강 인근 계획관리지역내 활용도 높은 대형 토지 매매</t>
        </is>
      </c>
      <c r="L42" s="6">
        <f>HYPERLINK("https://fin.land.naver.com/articles/2652121838", "매물Link")</f>
        <v/>
      </c>
      <c r="M42" s="6">
        <f>HYPERLINK("https://map.naver.com/p/search/강내면 사곡리 374-3", "지도Link")</f>
        <v/>
      </c>
      <c r="N42" s="6">
        <f>HYPERLINK("http://www.eum.go.kr/web/ar/lu/luLandDet.jsp?pnu=4311331028103740003&amp;isNoScr=script&amp;mode=search", "토지이음")</f>
        <v/>
      </c>
      <c r="O42" s="3" t="inlineStr">
        <is>
          <t>SK랜드</t>
        </is>
      </c>
      <c r="P42" s="4" t="n">
        <v>1</v>
      </c>
      <c r="Q42" s="4" t="n">
        <v>4460</v>
      </c>
      <c r="R42" s="3" t="inlineStr">
        <is>
          <t>지정되지않음</t>
        </is>
      </c>
      <c r="S42" s="3" t="inlineStr">
        <is>
          <t>전</t>
        </is>
      </c>
      <c r="T42" s="3" t="inlineStr">
        <is>
          <t>평지</t>
        </is>
      </c>
      <c r="U42" s="3" t="inlineStr">
        <is>
          <t>부정형</t>
        </is>
      </c>
      <c r="V42" s="3" t="inlineStr">
        <is>
          <t>세로한면(불)</t>
        </is>
      </c>
    </row>
    <row r="43">
      <c r="A43" s="3" t="inlineStr">
        <is>
          <t>강내면 사곡리 374-7</t>
        </is>
      </c>
      <c r="B43" s="3" t="inlineStr">
        <is>
          <t>보전관리지역</t>
        </is>
      </c>
      <c r="C43" s="3" t="inlineStr">
        <is>
          <t>임야</t>
        </is>
      </c>
      <c r="D43" s="3" t="inlineStr">
        <is>
          <t>임야</t>
        </is>
      </c>
      <c r="E43" s="3" t="inlineStr">
        <is>
          <t>매매</t>
        </is>
      </c>
      <c r="F43" s="4" t="n">
        <v>320000</v>
      </c>
      <c r="G43" s="4" t="n">
        <v>10578</v>
      </c>
      <c r="H43" s="4" t="n">
        <v>3200</v>
      </c>
      <c r="I43" s="5" t="n">
        <v>100</v>
      </c>
      <c r="J43" s="5" t="n">
        <v>5.2</v>
      </c>
      <c r="K43" s="3" t="inlineStr">
        <is>
          <t>미호강 뷰 최상, 세종, 오송, 조치원 , 청주 인접</t>
        </is>
      </c>
      <c r="L43" s="6">
        <f>HYPERLINK("https://fin.land.naver.com/articles/2653530037", "매물Link")</f>
        <v/>
      </c>
      <c r="M43" s="6">
        <f>HYPERLINK("https://map.naver.com/p/search/강내면 사곡리 374-7", "지도Link")</f>
        <v/>
      </c>
      <c r="N43" s="6">
        <f>HYPERLINK("http://www.eum.go.kr/web/ar/lu/luLandDet.jsp?pnu=4311331028103740007&amp;isNoScr=script&amp;mode=search", "토지이음")</f>
        <v/>
      </c>
      <c r="O43" s="3" t="inlineStr">
        <is>
          <t>황제</t>
        </is>
      </c>
      <c r="P43" s="4" t="n">
        <v>1</v>
      </c>
      <c r="Q43" s="4" t="n">
        <v>5378</v>
      </c>
      <c r="R43" s="3" t="inlineStr">
        <is>
          <t>지정되지않음</t>
        </is>
      </c>
      <c r="S43" s="3" t="inlineStr">
        <is>
          <t>토지임야</t>
        </is>
      </c>
      <c r="T43" s="3" t="inlineStr">
        <is>
          <t>완경사</t>
        </is>
      </c>
      <c r="U43" s="3" t="inlineStr">
        <is>
          <t>부정형</t>
        </is>
      </c>
      <c r="V43" s="3" t="inlineStr">
        <is>
          <t>맹지</t>
        </is>
      </c>
    </row>
    <row r="44">
      <c r="A44" s="3" t="inlineStr">
        <is>
          <t>강내면 사곡리 417-7</t>
        </is>
      </c>
      <c r="B44" s="3" t="inlineStr">
        <is>
          <t>보전관리지역</t>
        </is>
      </c>
      <c r="C44" s="3" t="inlineStr">
        <is>
          <t>전</t>
        </is>
      </c>
      <c r="D44" s="3" t="inlineStr">
        <is>
          <t>임야</t>
        </is>
      </c>
      <c r="E44" s="3" t="inlineStr">
        <is>
          <t>매매</t>
        </is>
      </c>
      <c r="F44" s="4" t="n">
        <v>19000</v>
      </c>
      <c r="G44" s="4" t="n">
        <v>509</v>
      </c>
      <c r="H44" s="4" t="n">
        <v>154</v>
      </c>
      <c r="I44" s="5" t="n">
        <v>123.4</v>
      </c>
      <c r="J44" s="5" t="n">
        <v>15.6</v>
      </c>
      <c r="K44" s="3" t="inlineStr">
        <is>
          <t>청주 강내 전원주택용지, 오송역 조치원역 10분 소요</t>
        </is>
      </c>
      <c r="L44" s="6">
        <f>HYPERLINK("https://fin.land.naver.com/articles/2649345647", "매물Link")</f>
        <v/>
      </c>
      <c r="M44" s="6">
        <f>HYPERLINK("https://map.naver.com/p/search/강내면 사곡리 417-7", "지도Link")</f>
        <v/>
      </c>
      <c r="N44" s="6">
        <f>HYPERLINK("http://www.eum.go.kr/web/ar/lu/luLandDet.jsp?pnu=4311331028104170007&amp;isNoScr=script&amp;mode=search", "토지이음")</f>
        <v/>
      </c>
      <c r="O44" s="3" t="inlineStr">
        <is>
          <t>라인</t>
        </is>
      </c>
      <c r="P44" s="4" t="n">
        <v>1</v>
      </c>
      <c r="Q44" s="4" t="n">
        <v>208</v>
      </c>
      <c r="R44" s="3" t="inlineStr">
        <is>
          <t>지정되지않음</t>
        </is>
      </c>
      <c r="S44" s="3" t="inlineStr">
        <is>
          <t>전</t>
        </is>
      </c>
      <c r="T44" s="3" t="inlineStr">
        <is>
          <t>완경사</t>
        </is>
      </c>
      <c r="U44" s="3" t="inlineStr">
        <is>
          <t>사다리형</t>
        </is>
      </c>
      <c r="V44" s="3" t="inlineStr">
        <is>
          <t>세로한면(불)</t>
        </is>
      </c>
    </row>
    <row r="45">
      <c r="A45" s="3" t="inlineStr">
        <is>
          <t>강내면 사곡리 97</t>
        </is>
      </c>
      <c r="B45" s="3" t="inlineStr">
        <is>
          <t>계획관리지역</t>
        </is>
      </c>
      <c r="C45" s="3" t="inlineStr">
        <is>
          <t>대</t>
        </is>
      </c>
      <c r="D45" s="3" t="inlineStr">
        <is>
          <t>대</t>
        </is>
      </c>
      <c r="E45" s="3" t="inlineStr">
        <is>
          <t>매매</t>
        </is>
      </c>
      <c r="F45" s="4" t="n">
        <v>92000</v>
      </c>
      <c r="G45" s="4" t="n">
        <v>1314</v>
      </c>
      <c r="H45" s="4" t="n">
        <v>397</v>
      </c>
      <c r="I45" s="5" t="n">
        <v>231.7</v>
      </c>
      <c r="J45" s="5" t="n">
        <v>49.4</v>
      </c>
      <c r="K45" s="3" t="inlineStr">
        <is>
          <t>지목 대(단독주택), 전 일괄매매</t>
        </is>
      </c>
      <c r="L45" s="6">
        <f>HYPERLINK("https://fin.land.naver.com/articles/2653732950", "매물Link")</f>
        <v/>
      </c>
      <c r="M45" s="6">
        <f>HYPERLINK("https://map.naver.com/p/search/강내면 사곡리 97", "지도Link")</f>
        <v/>
      </c>
      <c r="N45" s="6">
        <f>HYPERLINK("http://www.eum.go.kr/web/ar/lu/luLandDet.jsp?pnu=4311331028100970000&amp;isNoScr=script&amp;mode=search", "토지이음")</f>
        <v/>
      </c>
      <c r="O45" s="3" t="inlineStr">
        <is>
          <t>세종큰길</t>
        </is>
      </c>
      <c r="P45" s="4" t="n">
        <v>1</v>
      </c>
      <c r="Q45" s="4" t="n">
        <v>300</v>
      </c>
      <c r="R45" s="3" t="inlineStr">
        <is>
          <t>지정되지않음</t>
        </is>
      </c>
      <c r="S45" s="3" t="inlineStr">
        <is>
          <t>단독</t>
        </is>
      </c>
      <c r="T45" s="3" t="inlineStr">
        <is>
          <t>평지</t>
        </is>
      </c>
      <c r="U45" s="3" t="inlineStr">
        <is>
          <t>사다리형</t>
        </is>
      </c>
      <c r="V45" s="3" t="inlineStr">
        <is>
          <t>세로한면(가)</t>
        </is>
      </c>
    </row>
    <row r="46">
      <c r="A46" s="3" t="inlineStr">
        <is>
          <t>강내면 사인리 109-1</t>
        </is>
      </c>
      <c r="B46" s="3" t="inlineStr">
        <is>
          <t>자연녹지지역</t>
        </is>
      </c>
      <c r="C46" s="3" t="inlineStr">
        <is>
          <t>전</t>
        </is>
      </c>
      <c r="D46" s="3" t="inlineStr">
        <is>
          <t>전</t>
        </is>
      </c>
      <c r="E46" s="3" t="inlineStr">
        <is>
          <t>매매</t>
        </is>
      </c>
      <c r="F46" s="4" t="n">
        <v>35000</v>
      </c>
      <c r="G46" s="4" t="n">
        <v>888</v>
      </c>
      <c r="H46" s="4" t="n">
        <v>269</v>
      </c>
      <c r="I46" s="5" t="n">
        <v>130.1</v>
      </c>
      <c r="J46" s="5" t="n">
        <v>35</v>
      </c>
      <c r="K46" s="3" t="inlineStr">
        <is>
          <t>nan</t>
        </is>
      </c>
      <c r="L46" s="6">
        <f>HYPERLINK("https://fin.land.naver.com/articles/2653405657", "매물Link")</f>
        <v/>
      </c>
      <c r="M46" s="6">
        <f>HYPERLINK("https://map.naver.com/p/search/강내면 사인리 109-1", "지도Link")</f>
        <v/>
      </c>
      <c r="N46" s="6">
        <f>HYPERLINK("http://www.eum.go.kr/web/ar/lu/luLandDet.jsp?pnu=4311331033101090001&amp;isNoScr=script&amp;mode=search", "토지이음")</f>
        <v/>
      </c>
      <c r="O46" s="3" t="inlineStr">
        <is>
          <t>G세계로무소</t>
        </is>
      </c>
      <c r="P46" s="4" t="n">
        <v>1</v>
      </c>
      <c r="Q46" s="4" t="n">
        <v>888</v>
      </c>
      <c r="R46" s="3" t="inlineStr">
        <is>
          <t>지정되지않음</t>
        </is>
      </c>
      <c r="S46" s="3" t="inlineStr">
        <is>
          <t>전</t>
        </is>
      </c>
      <c r="T46" s="3" t="inlineStr">
        <is>
          <t>평지</t>
        </is>
      </c>
      <c r="U46" s="3" t="inlineStr">
        <is>
          <t>사다리형</t>
        </is>
      </c>
      <c r="V46" s="3" t="inlineStr">
        <is>
          <t>세로한면(가)</t>
        </is>
      </c>
    </row>
    <row r="47">
      <c r="A47" s="3" t="inlineStr">
        <is>
          <t>강내면 사인리 118</t>
        </is>
      </c>
      <c r="B47" s="3" t="inlineStr">
        <is>
          <t>자연녹지지역</t>
        </is>
      </c>
      <c r="C47" s="3" t="inlineStr">
        <is>
          <t>임야</t>
        </is>
      </c>
      <c r="D47" s="3" t="inlineStr">
        <is>
          <t>임야</t>
        </is>
      </c>
      <c r="E47" s="3" t="inlineStr">
        <is>
          <t>매매</t>
        </is>
      </c>
      <c r="F47" s="4" t="n">
        <v>240000</v>
      </c>
      <c r="G47" s="4" t="n">
        <v>8179</v>
      </c>
      <c r="H47" s="4" t="n">
        <v>2474</v>
      </c>
      <c r="I47" s="5" t="n">
        <v>97</v>
      </c>
      <c r="J47" s="5" t="n">
        <v>20.9</v>
      </c>
      <c r="K47" s="3" t="inlineStr">
        <is>
          <t>도로 접한 토지라 이용활용 좋아요. 공장용지 최적</t>
        </is>
      </c>
      <c r="L47" s="6">
        <f>HYPERLINK("https://fin.land.naver.com/articles/2652010542", "매물Link")</f>
        <v/>
      </c>
      <c r="M47" s="6">
        <f>HYPERLINK("https://map.naver.com/p/search/강내면 사인리 118", "지도Link")</f>
        <v/>
      </c>
      <c r="N47" s="6">
        <f>HYPERLINK("http://www.eum.go.kr/web/ar/lu/luLandDet.jsp?pnu=4311331033101180000&amp;isNoScr=script&amp;mode=search", "토지이음")</f>
        <v/>
      </c>
      <c r="O47" s="3" t="inlineStr">
        <is>
          <t>지웰썬</t>
        </is>
      </c>
      <c r="P47" s="4" t="n">
        <v>2</v>
      </c>
      <c r="Q47" s="4" t="n">
        <v>8179</v>
      </c>
      <c r="R47" s="3" t="inlineStr">
        <is>
          <t>생산녹지지역</t>
        </is>
      </c>
      <c r="S47" s="3" t="inlineStr">
        <is>
          <t>전</t>
        </is>
      </c>
      <c r="T47" s="3" t="inlineStr">
        <is>
          <t>평지</t>
        </is>
      </c>
      <c r="U47" s="3" t="inlineStr">
        <is>
          <t>부정형</t>
        </is>
      </c>
      <c r="V47" s="3" t="inlineStr">
        <is>
          <t>세로한면(가)</t>
        </is>
      </c>
    </row>
    <row r="48">
      <c r="A48" s="3" t="inlineStr">
        <is>
          <t>강내면 사인리 118</t>
        </is>
      </c>
      <c r="B48" s="3" t="inlineStr">
        <is>
          <t>자연녹지지역</t>
        </is>
      </c>
      <c r="C48" s="3" t="inlineStr">
        <is>
          <t>임야</t>
        </is>
      </c>
      <c r="D48" s="3" t="inlineStr">
        <is>
          <t>임야</t>
        </is>
      </c>
      <c r="E48" s="3" t="inlineStr">
        <is>
          <t>매매</t>
        </is>
      </c>
      <c r="F48" s="4" t="n">
        <v>247400</v>
      </c>
      <c r="G48" s="4" t="n">
        <v>8179</v>
      </c>
      <c r="H48" s="4" t="n">
        <v>2474</v>
      </c>
      <c r="I48" s="5" t="n">
        <v>100</v>
      </c>
      <c r="J48" s="5" t="n">
        <v>20.9</v>
      </c>
      <c r="K48" s="3" t="inlineStr">
        <is>
          <t>흥덕구청, 고속도로 1키로 이내 접한 귀한 매물</t>
        </is>
      </c>
      <c r="L48" s="6">
        <f>HYPERLINK("https://fin.land.naver.com/articles/2654594615", "매물Link")</f>
        <v/>
      </c>
      <c r="M48" s="6">
        <f>HYPERLINK("https://map.naver.com/p/search/강내면 사인리 118", "지도Link")</f>
        <v/>
      </c>
      <c r="N48" s="6">
        <f>HYPERLINK("http://www.eum.go.kr/web/ar/lu/luLandDet.jsp?pnu=4311331033101180000&amp;isNoScr=script&amp;mode=search", "토지이음")</f>
        <v/>
      </c>
      <c r="O48" s="3" t="inlineStr">
        <is>
          <t>바로그</t>
        </is>
      </c>
      <c r="P48" s="4" t="n">
        <v>1</v>
      </c>
      <c r="Q48" s="4" t="n">
        <v>8179</v>
      </c>
      <c r="R48" s="3" t="inlineStr">
        <is>
          <t>생산녹지지역</t>
        </is>
      </c>
      <c r="S48" s="3" t="inlineStr">
        <is>
          <t>전</t>
        </is>
      </c>
      <c r="T48" s="3" t="inlineStr">
        <is>
          <t>평지</t>
        </is>
      </c>
      <c r="U48" s="3" t="inlineStr">
        <is>
          <t>부정형</t>
        </is>
      </c>
      <c r="V48" s="3" t="inlineStr">
        <is>
          <t>세로한면(가)</t>
        </is>
      </c>
    </row>
    <row r="49">
      <c r="A49" s="3" t="inlineStr">
        <is>
          <t>강내면 사인리 185-1</t>
        </is>
      </c>
      <c r="B49" s="3" t="inlineStr">
        <is>
          <t>생산녹지지역</t>
        </is>
      </c>
      <c r="C49" s="3" t="inlineStr">
        <is>
          <t>답</t>
        </is>
      </c>
      <c r="D49" s="3" t="inlineStr">
        <is>
          <t>답</t>
        </is>
      </c>
      <c r="E49" s="3" t="inlineStr">
        <is>
          <t>매매</t>
        </is>
      </c>
      <c r="F49" s="4" t="n">
        <v>30000</v>
      </c>
      <c r="G49" s="4" t="n">
        <v>2426</v>
      </c>
      <c r="H49" s="4" t="n">
        <v>734</v>
      </c>
      <c r="I49" s="5" t="n">
        <v>40.9</v>
      </c>
      <c r="J49" s="5" t="n">
        <v>16</v>
      </c>
      <c r="K49" s="3" t="inlineStr">
        <is>
          <t>생산녹지 지역.</t>
        </is>
      </c>
      <c r="L49" s="6">
        <f>HYPERLINK("https://fin.land.naver.com/articles/2651782507", "매물Link")</f>
        <v/>
      </c>
      <c r="M49" s="6">
        <f>HYPERLINK("https://map.naver.com/p/search/강내면 사인리 185-1", "지도Link")</f>
        <v/>
      </c>
      <c r="N49" s="6">
        <f>HYPERLINK("http://www.eum.go.kr/web/ar/lu/luLandDet.jsp?pnu=4311331033101850001&amp;isNoScr=script&amp;mode=search", "토지이음")</f>
        <v/>
      </c>
      <c r="O49" s="3" t="inlineStr">
        <is>
          <t>수풀림</t>
        </is>
      </c>
      <c r="P49" s="4" t="n">
        <v>1</v>
      </c>
      <c r="Q49" s="4" t="n">
        <v>2426</v>
      </c>
      <c r="R49" s="3" t="inlineStr">
        <is>
          <t>지정되지않음</t>
        </is>
      </c>
      <c r="S49" s="3" t="inlineStr">
        <is>
          <t>답</t>
        </is>
      </c>
      <c r="T49" s="3" t="inlineStr">
        <is>
          <t>평지</t>
        </is>
      </c>
      <c r="U49" s="3" t="inlineStr">
        <is>
          <t>세로장방</t>
        </is>
      </c>
      <c r="V49" s="3" t="inlineStr">
        <is>
          <t>세로한면(가)</t>
        </is>
      </c>
    </row>
    <row r="50">
      <c r="A50" s="3" t="inlineStr">
        <is>
          <t>강내면 사인리 228-2</t>
        </is>
      </c>
      <c r="B50" s="3" t="inlineStr">
        <is>
          <t>자연녹지지역</t>
        </is>
      </c>
      <c r="C50" s="3" t="inlineStr">
        <is>
          <t>임야</t>
        </is>
      </c>
      <c r="D50" s="3" t="inlineStr">
        <is>
          <t>임야</t>
        </is>
      </c>
      <c r="E50" s="3" t="inlineStr">
        <is>
          <t>매매</t>
        </is>
      </c>
      <c r="F50" s="4" t="n">
        <v>92000</v>
      </c>
      <c r="G50" s="4" t="n">
        <v>7603</v>
      </c>
      <c r="H50" s="4" t="n">
        <v>2300</v>
      </c>
      <c r="I50" s="5" t="n">
        <v>40</v>
      </c>
      <c r="J50" s="5" t="n">
        <v>10.3</v>
      </c>
      <c r="K50" s="3" t="inlineStr">
        <is>
          <t>흥덕구청 인근 가치 급상승 강내면 사인리 투자개발용 토지 매매</t>
        </is>
      </c>
      <c r="L50" s="6">
        <f>HYPERLINK("https://fin.land.naver.com/articles/2651583348", "매물Link")</f>
        <v/>
      </c>
      <c r="M50" s="6">
        <f>HYPERLINK("https://map.naver.com/p/search/강내면 사인리 228-2", "지도Link")</f>
        <v/>
      </c>
      <c r="N50" s="6">
        <f>HYPERLINK("http://www.eum.go.kr/web/ar/lu/luLandDet.jsp?pnu=4311331033102280002&amp;isNoScr=script&amp;mode=search", "토지이음")</f>
        <v/>
      </c>
      <c r="O50" s="3" t="inlineStr">
        <is>
          <t>명지</t>
        </is>
      </c>
      <c r="P50" s="4" t="n">
        <v>1</v>
      </c>
      <c r="Q50" s="4" t="n">
        <v>13206</v>
      </c>
      <c r="R50" s="3" t="inlineStr">
        <is>
          <t>지정되지않음</t>
        </is>
      </c>
      <c r="S50" s="3" t="inlineStr">
        <is>
          <t>자연림</t>
        </is>
      </c>
      <c r="T50" s="3" t="inlineStr">
        <is>
          <t>완경사</t>
        </is>
      </c>
      <c r="U50" s="3" t="inlineStr">
        <is>
          <t>부정형</t>
        </is>
      </c>
      <c r="V50" s="3" t="inlineStr">
        <is>
          <t>세로한면(불)</t>
        </is>
      </c>
    </row>
    <row r="51">
      <c r="A51" s="3" t="inlineStr">
        <is>
          <t>강내면 사인리 248-9</t>
        </is>
      </c>
      <c r="B51" s="3" t="inlineStr">
        <is>
          <t>자연녹지지역</t>
        </is>
      </c>
      <c r="C51" s="3" t="inlineStr">
        <is>
          <t>대</t>
        </is>
      </c>
      <c r="D51" s="3" t="inlineStr">
        <is>
          <t>대</t>
        </is>
      </c>
      <c r="E51" s="3" t="inlineStr">
        <is>
          <t>매매</t>
        </is>
      </c>
      <c r="F51" s="4" t="n">
        <v>13500</v>
      </c>
      <c r="G51" s="4" t="n">
        <v>271</v>
      </c>
      <c r="H51" s="4" t="n">
        <v>82</v>
      </c>
      <c r="I51" s="5" t="n">
        <v>164.6</v>
      </c>
      <c r="J51" s="5" t="n">
        <v>55.3</v>
      </c>
      <c r="K51" s="3" t="inlineStr">
        <is>
          <t>흥덕구청 주변지역,남향이면서 작은집 지을실분 추천합니다</t>
        </is>
      </c>
      <c r="L51" s="6">
        <f>HYPERLINK("https://fin.land.naver.com/articles/2653181078", "매물Link")</f>
        <v/>
      </c>
      <c r="M51" s="6">
        <f>HYPERLINK("https://map.naver.com/p/search/강내면 사인리 248-9", "지도Link")</f>
        <v/>
      </c>
      <c r="N51" s="6">
        <f>HYPERLINK("http://www.eum.go.kr/web/ar/lu/luLandDet.jsp?pnu=4311331033102480009&amp;isNoScr=script&amp;mode=search", "토지이음")</f>
        <v/>
      </c>
      <c r="O51" s="3" t="inlineStr">
        <is>
          <t>황금빛</t>
        </is>
      </c>
      <c r="P51" s="4" t="n">
        <v>1</v>
      </c>
      <c r="Q51" s="4" t="n">
        <v>271</v>
      </c>
      <c r="R51" s="3" t="inlineStr">
        <is>
          <t>지정되지않음</t>
        </is>
      </c>
      <c r="S51" s="3" t="inlineStr">
        <is>
          <t>단독</t>
        </is>
      </c>
      <c r="T51" s="3" t="inlineStr">
        <is>
          <t>평지</t>
        </is>
      </c>
      <c r="U51" s="3" t="inlineStr">
        <is>
          <t>사다리형</t>
        </is>
      </c>
      <c r="V51" s="3" t="inlineStr">
        <is>
          <t>세로한면(가)</t>
        </is>
      </c>
    </row>
    <row r="52">
      <c r="A52" s="3" t="inlineStr">
        <is>
          <t>강내면 사인리 279-1</t>
        </is>
      </c>
      <c r="B52" s="3" t="inlineStr">
        <is>
          <t>생산녹지지역</t>
        </is>
      </c>
      <c r="C52" s="3" t="inlineStr">
        <is>
          <t>전</t>
        </is>
      </c>
      <c r="D52" s="3" t="inlineStr">
        <is>
          <t>전</t>
        </is>
      </c>
      <c r="E52" s="3" t="inlineStr">
        <is>
          <t>매매</t>
        </is>
      </c>
      <c r="F52" s="4" t="n">
        <v>140000</v>
      </c>
      <c r="G52" s="4" t="n">
        <v>2860</v>
      </c>
      <c r="H52" s="4" t="n">
        <v>865</v>
      </c>
      <c r="I52" s="5" t="n">
        <v>161.8</v>
      </c>
      <c r="J52" s="5" t="n">
        <v>37.3</v>
      </c>
      <c r="K52" s="3" t="inlineStr">
        <is>
          <t>급매 2차선코너도로 접함 시세이하</t>
        </is>
      </c>
      <c r="L52" s="6">
        <f>HYPERLINK("https://fin.land.naver.com/articles/2652065365", "매물Link")</f>
        <v/>
      </c>
      <c r="M52" s="6">
        <f>HYPERLINK("https://map.naver.com/p/search/강내면 사인리 279-1", "지도Link")</f>
        <v/>
      </c>
      <c r="N52" s="6">
        <f>HYPERLINK("http://www.eum.go.kr/web/ar/lu/luLandDet.jsp?pnu=4311331033102790001&amp;isNoScr=script&amp;mode=search", "토지이음")</f>
        <v/>
      </c>
      <c r="O52" s="3" t="inlineStr">
        <is>
          <t>플러스태양</t>
        </is>
      </c>
      <c r="P52" s="4" t="n">
        <v>2</v>
      </c>
      <c r="Q52" s="4" t="n">
        <v>2862</v>
      </c>
      <c r="R52" s="3" t="inlineStr">
        <is>
          <t>지정되지않음</t>
        </is>
      </c>
      <c r="S52" s="3" t="inlineStr">
        <is>
          <t>답</t>
        </is>
      </c>
      <c r="T52" s="3" t="inlineStr">
        <is>
          <t>평지</t>
        </is>
      </c>
      <c r="U52" s="3" t="inlineStr">
        <is>
          <t>사다리형</t>
        </is>
      </c>
      <c r="V52" s="3" t="inlineStr">
        <is>
          <t>세로한면(가)</t>
        </is>
      </c>
    </row>
    <row r="53">
      <c r="A53" s="3" t="inlineStr">
        <is>
          <t>강내면 사인리 279-1</t>
        </is>
      </c>
      <c r="B53" s="3" t="inlineStr">
        <is>
          <t>생산녹지지역</t>
        </is>
      </c>
      <c r="C53" s="3" t="inlineStr">
        <is>
          <t>전</t>
        </is>
      </c>
      <c r="D53" s="3" t="inlineStr">
        <is>
          <t>전</t>
        </is>
      </c>
      <c r="E53" s="3" t="inlineStr">
        <is>
          <t>매매</t>
        </is>
      </c>
      <c r="F53" s="4" t="n">
        <v>190000</v>
      </c>
      <c r="G53" s="4" t="n">
        <v>2862</v>
      </c>
      <c r="H53" s="4" t="n">
        <v>866</v>
      </c>
      <c r="I53" s="5" t="n">
        <v>219.4</v>
      </c>
      <c r="J53" s="5" t="n">
        <v>37.3</v>
      </c>
      <c r="K53" s="3" t="inlineStr">
        <is>
          <t>nan</t>
        </is>
      </c>
      <c r="L53" s="6">
        <f>HYPERLINK("https://fin.land.naver.com/articles/2653409860", "매물Link")</f>
        <v/>
      </c>
      <c r="M53" s="6">
        <f>HYPERLINK("https://map.naver.com/p/search/강내면 사인리 279-1", "지도Link")</f>
        <v/>
      </c>
      <c r="N53" s="6">
        <f>HYPERLINK("http://www.eum.go.kr/web/ar/lu/luLandDet.jsp?pnu=4311331033102790001&amp;isNoScr=script&amp;mode=search", "토지이음")</f>
        <v/>
      </c>
      <c r="O53" s="3" t="inlineStr">
        <is>
          <t>G세계로무소</t>
        </is>
      </c>
      <c r="P53" s="4" t="n">
        <v>1</v>
      </c>
      <c r="Q53" s="4" t="n">
        <v>2862</v>
      </c>
      <c r="R53" s="3" t="inlineStr">
        <is>
          <t>지정되지않음</t>
        </is>
      </c>
      <c r="S53" s="3" t="inlineStr">
        <is>
          <t>답</t>
        </is>
      </c>
      <c r="T53" s="3" t="inlineStr">
        <is>
          <t>평지</t>
        </is>
      </c>
      <c r="U53" s="3" t="inlineStr">
        <is>
          <t>사다리형</t>
        </is>
      </c>
      <c r="V53" s="3" t="inlineStr">
        <is>
          <t>세로한면(가)</t>
        </is>
      </c>
    </row>
    <row r="54">
      <c r="A54" s="3" t="inlineStr">
        <is>
          <t>강내면 사인리 41-2</t>
        </is>
      </c>
      <c r="B54" s="3" t="inlineStr">
        <is>
          <t>자연녹지지역</t>
        </is>
      </c>
      <c r="C54" s="3" t="inlineStr">
        <is>
          <t>답</t>
        </is>
      </c>
      <c r="D54" s="3" t="inlineStr">
        <is>
          <t>답</t>
        </is>
      </c>
      <c r="E54" s="3" t="inlineStr">
        <is>
          <t>매매</t>
        </is>
      </c>
      <c r="F54" s="4" t="n">
        <v>118200</v>
      </c>
      <c r="G54" s="4" t="n">
        <v>2443</v>
      </c>
      <c r="H54" s="4" t="n">
        <v>739</v>
      </c>
      <c r="I54" s="5" t="n">
        <v>159.9</v>
      </c>
      <c r="J54" s="5" t="n">
        <v>44.2</v>
      </c>
      <c r="K54" s="3" t="inlineStr">
        <is>
          <t>흥덕구청에서 도보 1분거리</t>
        </is>
      </c>
      <c r="L54" s="6">
        <f>HYPERLINK("https://fin.land.naver.com/articles/2653407075", "매물Link")</f>
        <v/>
      </c>
      <c r="M54" s="6">
        <f>HYPERLINK("https://map.naver.com/p/search/강내면 사인리 41-2", "지도Link")</f>
        <v/>
      </c>
      <c r="N54" s="6">
        <f>HYPERLINK("http://www.eum.go.kr/web/ar/lu/luLandDet.jsp?pnu=4311331033100410002&amp;isNoScr=script&amp;mode=search", "토지이음")</f>
        <v/>
      </c>
      <c r="O54" s="3" t="inlineStr">
        <is>
          <t>G세계로무소</t>
        </is>
      </c>
      <c r="P54" s="4" t="n">
        <v>1</v>
      </c>
      <c r="Q54" s="4" t="n">
        <v>2443</v>
      </c>
      <c r="R54" s="3" t="inlineStr">
        <is>
          <t>지정되지않음</t>
        </is>
      </c>
      <c r="S54" s="3" t="inlineStr">
        <is>
          <t>답</t>
        </is>
      </c>
      <c r="T54" s="3" t="inlineStr">
        <is>
          <t>평지</t>
        </is>
      </c>
      <c r="U54" s="3" t="inlineStr">
        <is>
          <t>부정형</t>
        </is>
      </c>
      <c r="V54" s="3" t="inlineStr">
        <is>
          <t>소로한면</t>
        </is>
      </c>
    </row>
    <row r="55">
      <c r="A55" s="3" t="inlineStr">
        <is>
          <t>강내면 산단리 109</t>
        </is>
      </c>
      <c r="B55" s="3" t="inlineStr">
        <is>
          <t>계획관리지역</t>
        </is>
      </c>
      <c r="C55" s="3" t="inlineStr">
        <is>
          <t>공장용지</t>
        </is>
      </c>
      <c r="D55" s="3" t="inlineStr">
        <is>
          <t>공장용지</t>
        </is>
      </c>
      <c r="E55" s="3" t="inlineStr">
        <is>
          <t>매매</t>
        </is>
      </c>
      <c r="F55" s="4" t="n">
        <v>378000</v>
      </c>
      <c r="G55" s="4" t="n">
        <v>10413</v>
      </c>
      <c r="H55" s="4" t="n">
        <v>3150</v>
      </c>
      <c r="I55" s="5" t="n">
        <v>120</v>
      </c>
      <c r="J55" s="5" t="n">
        <v>77.3</v>
      </c>
      <c r="K55" s="3" t="inlineStr">
        <is>
          <t>6M도로접 물류창고추천 민원없음</t>
        </is>
      </c>
      <c r="L55" s="6">
        <f>HYPERLINK("https://fin.land.naver.com/articles/2650480306", "매물Link")</f>
        <v/>
      </c>
      <c r="M55" s="6">
        <f>HYPERLINK("https://map.naver.com/p/search/강내면 산단리 109", "지도Link")</f>
        <v/>
      </c>
      <c r="N55" s="6">
        <f>HYPERLINK("http://www.eum.go.kr/web/ar/lu/luLandDet.jsp?pnu=4311331025101090000&amp;isNoScr=script&amp;mode=search", "토지이음")</f>
        <v/>
      </c>
      <c r="O55" s="3" t="inlineStr">
        <is>
          <t>플러스태양</t>
        </is>
      </c>
      <c r="P55" s="4" t="n">
        <v>1</v>
      </c>
      <c r="Q55" s="4" t="n">
        <v>2984</v>
      </c>
      <c r="R55" s="3" t="inlineStr">
        <is>
          <t>지정되지않음</t>
        </is>
      </c>
      <c r="S55" s="3" t="inlineStr">
        <is>
          <t>공업용</t>
        </is>
      </c>
      <c r="T55" s="3" t="inlineStr">
        <is>
          <t>평지</t>
        </is>
      </c>
      <c r="U55" s="3" t="inlineStr">
        <is>
          <t>사다리형</t>
        </is>
      </c>
      <c r="V55" s="3" t="inlineStr">
        <is>
          <t>세로한면(가)</t>
        </is>
      </c>
    </row>
    <row r="56">
      <c r="A56" s="3" t="inlineStr">
        <is>
          <t>강내면 산단리 135-5</t>
        </is>
      </c>
      <c r="B56" s="3" t="inlineStr">
        <is>
          <t>계획관리지역</t>
        </is>
      </c>
      <c r="C56" s="3" t="inlineStr">
        <is>
          <t>임야</t>
        </is>
      </c>
      <c r="D56" s="3" t="inlineStr">
        <is>
          <t>임야</t>
        </is>
      </c>
      <c r="E56" s="3" t="inlineStr">
        <is>
          <t>매매</t>
        </is>
      </c>
      <c r="F56" s="4" t="n">
        <v>135000</v>
      </c>
      <c r="G56" s="4" t="n">
        <v>4066</v>
      </c>
      <c r="H56" s="4" t="n">
        <v>1230</v>
      </c>
      <c r="I56" s="5" t="n">
        <v>109.8</v>
      </c>
      <c r="J56" s="5" t="n">
        <v>57.8</v>
      </c>
      <c r="K56" s="3" t="inlineStr">
        <is>
          <t>위치  태성삼거리 부근  전망좋음</t>
        </is>
      </c>
      <c r="L56" s="6">
        <f>HYPERLINK("https://fin.land.naver.com/articles/2650295891", "매물Link")</f>
        <v/>
      </c>
      <c r="M56" s="6">
        <f>HYPERLINK("https://map.naver.com/p/search/강내면 산단리 135-5", "지도Link")</f>
        <v/>
      </c>
      <c r="N56" s="6">
        <f>HYPERLINK("http://www.eum.go.kr/web/ar/lu/luLandDet.jsp?pnu=4311331025101350005&amp;isNoScr=script&amp;mode=search", "토지이음")</f>
        <v/>
      </c>
      <c r="O56" s="3" t="inlineStr">
        <is>
          <t>한진인사무소</t>
        </is>
      </c>
      <c r="P56" s="4" t="n">
        <v>1</v>
      </c>
      <c r="Q56" s="4" t="n">
        <v>3476</v>
      </c>
      <c r="R56" s="3" t="inlineStr">
        <is>
          <t>지정되지않음</t>
        </is>
      </c>
      <c r="S56" s="3" t="inlineStr">
        <is>
          <t>주거기타</t>
        </is>
      </c>
      <c r="T56" s="3" t="inlineStr">
        <is>
          <t>완경사</t>
        </is>
      </c>
      <c r="U56" s="3" t="inlineStr">
        <is>
          <t>부정형</t>
        </is>
      </c>
      <c r="V56" s="3" t="inlineStr">
        <is>
          <t>세로한면(가)</t>
        </is>
      </c>
    </row>
    <row r="57">
      <c r="A57" s="3" t="inlineStr">
        <is>
          <t>강내면 산단리 139-2</t>
        </is>
      </c>
      <c r="B57" s="3" t="inlineStr">
        <is>
          <t>농림지역</t>
        </is>
      </c>
      <c r="C57" s="3" t="inlineStr">
        <is>
          <t>답</t>
        </is>
      </c>
      <c r="D57" s="3" t="inlineStr">
        <is>
          <t>답</t>
        </is>
      </c>
      <c r="E57" s="3" t="inlineStr">
        <is>
          <t>매매</t>
        </is>
      </c>
      <c r="F57" s="4" t="n">
        <v>99000</v>
      </c>
      <c r="G57" s="4" t="n">
        <v>7276</v>
      </c>
      <c r="H57" s="4" t="n">
        <v>2201</v>
      </c>
      <c r="I57" s="5" t="n">
        <v>45</v>
      </c>
      <c r="J57" s="5" t="n">
        <v>17.1</v>
      </c>
      <c r="K57" s="3" t="inlineStr">
        <is>
          <t>경작,대토, 투자용, 추천, 주변 개발호재 많은 토지</t>
        </is>
      </c>
      <c r="L57" s="6">
        <f>HYPERLINK("https://fin.land.naver.com/articles/2651327705", "매물Link")</f>
        <v/>
      </c>
      <c r="M57" s="6">
        <f>HYPERLINK("https://map.naver.com/p/search/강내면 산단리 139-2", "지도Link")</f>
        <v/>
      </c>
      <c r="N57" s="6">
        <f>HYPERLINK("http://www.eum.go.kr/web/ar/lu/luLandDet.jsp?pnu=4311331025101390002&amp;isNoScr=script&amp;mode=search", "토지이음")</f>
        <v/>
      </c>
      <c r="O57" s="3" t="inlineStr">
        <is>
          <t>세종큰길</t>
        </is>
      </c>
      <c r="P57" s="4" t="n">
        <v>1</v>
      </c>
      <c r="Q57" s="4" t="n">
        <v>2922</v>
      </c>
      <c r="R57" s="3" t="inlineStr">
        <is>
          <t>지정되지않음</t>
        </is>
      </c>
      <c r="S57" s="3" t="inlineStr">
        <is>
          <t>답</t>
        </is>
      </c>
      <c r="T57" s="3" t="inlineStr">
        <is>
          <t>평지</t>
        </is>
      </c>
      <c r="U57" s="3" t="inlineStr">
        <is>
          <t>부정형</t>
        </is>
      </c>
      <c r="V57" s="3" t="inlineStr">
        <is>
          <t>세로한면(불)</t>
        </is>
      </c>
    </row>
    <row r="58">
      <c r="A58" s="3" t="inlineStr">
        <is>
          <t>강내면 산단리 142</t>
        </is>
      </c>
      <c r="B58" s="3" t="inlineStr">
        <is>
          <t>농림지역</t>
        </is>
      </c>
      <c r="C58" s="3" t="inlineStr">
        <is>
          <t>답</t>
        </is>
      </c>
      <c r="D58" s="3" t="inlineStr">
        <is>
          <t>답</t>
        </is>
      </c>
      <c r="E58" s="3" t="inlineStr">
        <is>
          <t>매매</t>
        </is>
      </c>
      <c r="F58" s="4" t="n">
        <v>93700</v>
      </c>
      <c r="G58" s="4" t="n">
        <v>6890</v>
      </c>
      <c r="H58" s="4" t="n">
        <v>2084</v>
      </c>
      <c r="I58" s="5" t="n">
        <v>45</v>
      </c>
      <c r="J58" s="5" t="n">
        <v>18.5</v>
      </c>
      <c r="K58" s="3" t="inlineStr">
        <is>
          <t>대토, 투자용, 주변호재많은 토지</t>
        </is>
      </c>
      <c r="L58" s="6">
        <f>HYPERLINK("https://fin.land.naver.com/articles/2651327862", "매물Link")</f>
        <v/>
      </c>
      <c r="M58" s="6">
        <f>HYPERLINK("https://map.naver.com/p/search/강내면 산단리 142", "지도Link")</f>
        <v/>
      </c>
      <c r="N58" s="6">
        <f>HYPERLINK("http://www.eum.go.kr/web/ar/lu/luLandDet.jsp?pnu=4311331025101420000&amp;isNoScr=script&amp;mode=search", "토지이음")</f>
        <v/>
      </c>
      <c r="O58" s="3" t="inlineStr">
        <is>
          <t>세종큰길</t>
        </is>
      </c>
      <c r="P58" s="4" t="n">
        <v>1</v>
      </c>
      <c r="Q58" s="4" t="n">
        <v>206</v>
      </c>
      <c r="R58" s="3" t="inlineStr">
        <is>
          <t>지정되지않음</t>
        </is>
      </c>
      <c r="S58" s="3" t="inlineStr">
        <is>
          <t>답</t>
        </is>
      </c>
      <c r="T58" s="3" t="inlineStr">
        <is>
          <t>평지</t>
        </is>
      </c>
      <c r="U58" s="3" t="inlineStr">
        <is>
          <t>부정형</t>
        </is>
      </c>
      <c r="V58" s="3" t="inlineStr">
        <is>
          <t>세로한면(가)</t>
        </is>
      </c>
    </row>
    <row r="59">
      <c r="A59" s="3" t="inlineStr">
        <is>
          <t>강내면 산단리 151-1</t>
        </is>
      </c>
      <c r="B59" s="3" t="inlineStr">
        <is>
          <t>농림지역</t>
        </is>
      </c>
      <c r="C59" s="3" t="inlineStr">
        <is>
          <t>목장용지</t>
        </is>
      </c>
      <c r="D59" s="3" t="inlineStr">
        <is>
          <t>목장용지</t>
        </is>
      </c>
      <c r="E59" s="3" t="inlineStr">
        <is>
          <t>매매</t>
        </is>
      </c>
      <c r="F59" s="4" t="n">
        <v>22000</v>
      </c>
      <c r="G59" s="4" t="n">
        <v>1618</v>
      </c>
      <c r="H59" s="4" t="n">
        <v>489</v>
      </c>
      <c r="I59" s="5" t="n">
        <v>45</v>
      </c>
      <c r="J59" s="5" t="n">
        <v>21.7</v>
      </c>
      <c r="K59" s="3" t="inlineStr">
        <is>
          <t>목장용지</t>
        </is>
      </c>
      <c r="L59" s="6">
        <f>HYPERLINK("https://fin.land.naver.com/articles/2651307358", "매물Link")</f>
        <v/>
      </c>
      <c r="M59" s="6">
        <f>HYPERLINK("https://map.naver.com/p/search/강내면 산단리 151-1", "지도Link")</f>
        <v/>
      </c>
      <c r="N59" s="6">
        <f>HYPERLINK("http://www.eum.go.kr/web/ar/lu/luLandDet.jsp?pnu=4311331025101510001&amp;isNoScr=script&amp;mode=search", "토지이음")</f>
        <v/>
      </c>
      <c r="O59" s="3" t="inlineStr">
        <is>
          <t>세종큰길</t>
        </is>
      </c>
      <c r="P59" s="4" t="n">
        <v>1</v>
      </c>
      <c r="Q59" s="4" t="n">
        <v>1618</v>
      </c>
      <c r="R59" s="3" t="inlineStr">
        <is>
          <t>지정되지않음</t>
        </is>
      </c>
      <c r="S59" s="3" t="inlineStr">
        <is>
          <t>답창고</t>
        </is>
      </c>
      <c r="T59" s="3" t="inlineStr">
        <is>
          <t>평지</t>
        </is>
      </c>
      <c r="U59" s="3" t="inlineStr">
        <is>
          <t>부정형</t>
        </is>
      </c>
      <c r="V59" s="3" t="inlineStr">
        <is>
          <t>세로한면(가)</t>
        </is>
      </c>
    </row>
    <row r="60">
      <c r="A60" s="3" t="inlineStr">
        <is>
          <t>강내면 산단리 2</t>
        </is>
      </c>
      <c r="B60" s="3" t="inlineStr">
        <is>
          <t>농림지역</t>
        </is>
      </c>
      <c r="C60" s="3" t="inlineStr">
        <is>
          <t>전</t>
        </is>
      </c>
      <c r="D60" s="3" t="inlineStr">
        <is>
          <t>전</t>
        </is>
      </c>
      <c r="E60" s="3" t="inlineStr">
        <is>
          <t>매매</t>
        </is>
      </c>
      <c r="F60" s="4" t="n">
        <v>27000</v>
      </c>
      <c r="G60" s="4" t="n">
        <v>1811</v>
      </c>
      <c r="H60" s="4" t="n">
        <v>548</v>
      </c>
      <c r="I60" s="5" t="n">
        <v>49.3</v>
      </c>
      <c r="J60" s="5" t="n">
        <v>17.1</v>
      </c>
      <c r="K60" s="3" t="inlineStr">
        <is>
          <t>모양좋은 도로접한 농지</t>
        </is>
      </c>
      <c r="L60" s="6">
        <f>HYPERLINK("https://fin.land.naver.com/articles/2650047631", "매물Link")</f>
        <v/>
      </c>
      <c r="M60" s="6">
        <f>HYPERLINK("https://map.naver.com/p/search/강내면 산단리 2", "지도Link")</f>
        <v/>
      </c>
      <c r="N60" s="6">
        <f>HYPERLINK("http://www.eum.go.kr/web/ar/lu/luLandDet.jsp?pnu=4311331025100020000&amp;isNoScr=script&amp;mode=search", "토지이음")</f>
        <v/>
      </c>
      <c r="O60" s="3" t="inlineStr">
        <is>
          <t>조은</t>
        </is>
      </c>
      <c r="P60" s="4" t="n">
        <v>1</v>
      </c>
      <c r="Q60" s="4" t="n">
        <v>1811</v>
      </c>
      <c r="R60" s="3" t="inlineStr">
        <is>
          <t>지정되지않음</t>
        </is>
      </c>
      <c r="S60" s="3" t="inlineStr">
        <is>
          <t>전</t>
        </is>
      </c>
      <c r="T60" s="3" t="inlineStr">
        <is>
          <t>평지</t>
        </is>
      </c>
      <c r="U60" s="3" t="inlineStr">
        <is>
          <t>부정형</t>
        </is>
      </c>
      <c r="V60" s="3" t="inlineStr">
        <is>
          <t>세로한면(불)</t>
        </is>
      </c>
    </row>
    <row r="61">
      <c r="A61" s="3" t="inlineStr">
        <is>
          <t>강내면 산단리 2-15</t>
        </is>
      </c>
      <c r="B61" s="3" t="inlineStr">
        <is>
          <t>계획관리지역</t>
        </is>
      </c>
      <c r="C61" s="3" t="inlineStr">
        <is>
          <t>전</t>
        </is>
      </c>
      <c r="D61" s="3" t="inlineStr">
        <is>
          <t>전</t>
        </is>
      </c>
      <c r="E61" s="3" t="inlineStr">
        <is>
          <t>매매</t>
        </is>
      </c>
      <c r="F61" s="4" t="n">
        <v>25500</v>
      </c>
      <c r="G61" s="4" t="n">
        <v>1000</v>
      </c>
      <c r="H61" s="4" t="n">
        <v>302</v>
      </c>
      <c r="I61" s="5" t="n">
        <v>84.40000000000001</v>
      </c>
      <c r="J61" s="5" t="n">
        <v>30.4</v>
      </c>
      <c r="K61" s="3" t="inlineStr">
        <is>
          <t>진입로 있음, 주말농장하면서 장기투자 추천, 계획관리</t>
        </is>
      </c>
      <c r="L61" s="6">
        <f>HYPERLINK("https://fin.land.naver.com/articles/2652676486", "매물Link")</f>
        <v/>
      </c>
      <c r="M61" s="6">
        <f>HYPERLINK("https://map.naver.com/p/search/강내면 산단리 2-15", "지도Link")</f>
        <v/>
      </c>
      <c r="N61" s="6">
        <f>HYPERLINK("http://www.eum.go.kr/web/ar/lu/luLandDet.jsp?pnu=4311331025100020015&amp;isNoScr=script&amp;mode=search", "토지이음")</f>
        <v/>
      </c>
      <c r="O61" s="3" t="inlineStr">
        <is>
          <t>제이</t>
        </is>
      </c>
      <c r="P61" s="4" t="n">
        <v>2</v>
      </c>
      <c r="Q61" s="4" t="n">
        <v>1000</v>
      </c>
      <c r="R61" s="3" t="inlineStr">
        <is>
          <t>지정되지않음</t>
        </is>
      </c>
      <c r="S61" s="3" t="inlineStr">
        <is>
          <t>전</t>
        </is>
      </c>
      <c r="T61" s="3" t="inlineStr">
        <is>
          <t>완경사</t>
        </is>
      </c>
      <c r="U61" s="3" t="inlineStr">
        <is>
          <t>사다리형</t>
        </is>
      </c>
      <c r="V61" s="3" t="inlineStr">
        <is>
          <t>세로한면(가)</t>
        </is>
      </c>
    </row>
    <row r="62">
      <c r="A62" s="3" t="inlineStr">
        <is>
          <t>강내면 산단리 2-16</t>
        </is>
      </c>
      <c r="B62" s="3" t="inlineStr">
        <is>
          <t>계획관리지역</t>
        </is>
      </c>
      <c r="C62" s="3" t="inlineStr">
        <is>
          <t>전</t>
        </is>
      </c>
      <c r="D62" s="3" t="inlineStr">
        <is>
          <t>전</t>
        </is>
      </c>
      <c r="E62" s="3" t="inlineStr">
        <is>
          <t>매매</t>
        </is>
      </c>
      <c r="F62" s="4" t="n">
        <v>56000</v>
      </c>
      <c r="G62" s="4" t="n">
        <v>2179</v>
      </c>
      <c r="H62" s="4" t="n">
        <v>659</v>
      </c>
      <c r="I62" s="5" t="n">
        <v>85</v>
      </c>
      <c r="J62" s="5" t="n">
        <v>30.4</v>
      </c>
      <c r="K62" s="3" t="inlineStr">
        <is>
          <t>강내산업단지 주변  주택이나 창고 신축가능</t>
        </is>
      </c>
      <c r="L62" s="6">
        <f>HYPERLINK("https://fin.land.naver.com/articles/2649591977", "매물Link")</f>
        <v/>
      </c>
      <c r="M62" s="6">
        <f>HYPERLINK("https://map.naver.com/p/search/강내면 산단리 2-16", "지도Link")</f>
        <v/>
      </c>
      <c r="N62" s="6">
        <f>HYPERLINK("http://www.eum.go.kr/web/ar/lu/luLandDet.jsp?pnu=4311331025100020016&amp;isNoScr=script&amp;mode=search", "토지이음")</f>
        <v/>
      </c>
      <c r="O62" s="3" t="inlineStr">
        <is>
          <t>청산</t>
        </is>
      </c>
      <c r="P62" s="4" t="n">
        <v>1</v>
      </c>
      <c r="Q62" s="4" t="n">
        <v>2179</v>
      </c>
      <c r="R62" s="3" t="inlineStr">
        <is>
          <t>지정되지않음</t>
        </is>
      </c>
      <c r="S62" s="3" t="inlineStr">
        <is>
          <t>전</t>
        </is>
      </c>
      <c r="T62" s="3" t="inlineStr">
        <is>
          <t>완경사</t>
        </is>
      </c>
      <c r="U62" s="3" t="inlineStr">
        <is>
          <t>사다리형</t>
        </is>
      </c>
      <c r="V62" s="3" t="inlineStr">
        <is>
          <t>세로한면(가)</t>
        </is>
      </c>
    </row>
    <row r="63">
      <c r="A63" s="3" t="inlineStr">
        <is>
          <t>강내면 산단리 271</t>
        </is>
      </c>
      <c r="B63" s="3" t="inlineStr">
        <is>
          <t>농림지역</t>
        </is>
      </c>
      <c r="C63" s="3" t="inlineStr">
        <is>
          <t>답</t>
        </is>
      </c>
      <c r="D63" s="3" t="inlineStr">
        <is>
          <t>답</t>
        </is>
      </c>
      <c r="E63" s="3" t="inlineStr">
        <is>
          <t>매매</t>
        </is>
      </c>
      <c r="F63" s="4" t="n">
        <v>74500</v>
      </c>
      <c r="G63" s="4" t="n">
        <v>5470</v>
      </c>
      <c r="H63" s="4" t="n">
        <v>1655</v>
      </c>
      <c r="I63" s="5" t="n">
        <v>45</v>
      </c>
      <c r="J63" s="5" t="n">
        <v>16.1</v>
      </c>
      <c r="K63" s="3" t="inlineStr">
        <is>
          <t>nan</t>
        </is>
      </c>
      <c r="L63" s="6">
        <f>HYPERLINK("https://fin.land.naver.com/articles/2651307270", "매물Link")</f>
        <v/>
      </c>
      <c r="M63" s="6">
        <f>HYPERLINK("https://map.naver.com/p/search/강내면 산단리 271", "지도Link")</f>
        <v/>
      </c>
      <c r="N63" s="6">
        <f>HYPERLINK("http://www.eum.go.kr/web/ar/lu/luLandDet.jsp?pnu=4311331025102710000&amp;isNoScr=script&amp;mode=search", "토지이음")</f>
        <v/>
      </c>
      <c r="O63" s="3" t="inlineStr">
        <is>
          <t>세종큰길</t>
        </is>
      </c>
      <c r="P63" s="4" t="n">
        <v>1</v>
      </c>
      <c r="Q63" s="4" t="n">
        <v>5470.6</v>
      </c>
      <c r="R63" s="3" t="inlineStr">
        <is>
          <t>지정되지않음</t>
        </is>
      </c>
      <c r="S63" s="3" t="inlineStr">
        <is>
          <t>답</t>
        </is>
      </c>
      <c r="T63" s="3" t="inlineStr">
        <is>
          <t>평지</t>
        </is>
      </c>
      <c r="U63" s="3" t="inlineStr">
        <is>
          <t>사다리형</t>
        </is>
      </c>
      <c r="V63" s="3" t="inlineStr">
        <is>
          <t>세로한면(가)</t>
        </is>
      </c>
    </row>
    <row r="64">
      <c r="A64" s="3" t="inlineStr">
        <is>
          <t>강내면 산단리 275</t>
        </is>
      </c>
      <c r="B64" s="3" t="inlineStr">
        <is>
          <t>농림지역</t>
        </is>
      </c>
      <c r="C64" s="3" t="inlineStr">
        <is>
          <t>답</t>
        </is>
      </c>
      <c r="D64" s="3" t="inlineStr">
        <is>
          <t>답</t>
        </is>
      </c>
      <c r="E64" s="3" t="inlineStr">
        <is>
          <t>매매</t>
        </is>
      </c>
      <c r="F64" s="4" t="n">
        <v>45300</v>
      </c>
      <c r="G64" s="4" t="n">
        <v>3326</v>
      </c>
      <c r="H64" s="4" t="n">
        <v>1006</v>
      </c>
      <c r="I64" s="5" t="n">
        <v>45</v>
      </c>
      <c r="J64" s="5" t="n">
        <v>16.3</v>
      </c>
      <c r="K64" s="3" t="inlineStr">
        <is>
          <t>nan</t>
        </is>
      </c>
      <c r="L64" s="6">
        <f>HYPERLINK("https://fin.land.naver.com/articles/2651307501", "매물Link")</f>
        <v/>
      </c>
      <c r="M64" s="6">
        <f>HYPERLINK("https://map.naver.com/p/search/강내면 산단리 275", "지도Link")</f>
        <v/>
      </c>
      <c r="N64" s="6">
        <f>HYPERLINK("http://www.eum.go.kr/web/ar/lu/luLandDet.jsp?pnu=4311331025102750000&amp;isNoScr=script&amp;mode=search", "토지이음")</f>
        <v/>
      </c>
      <c r="O64" s="3" t="inlineStr">
        <is>
          <t>세종큰길</t>
        </is>
      </c>
      <c r="P64" s="4" t="n">
        <v>1</v>
      </c>
      <c r="Q64" s="4" t="n">
        <v>3326.8</v>
      </c>
      <c r="R64" s="3" t="inlineStr">
        <is>
          <t>지정되지않음</t>
        </is>
      </c>
      <c r="S64" s="3" t="inlineStr">
        <is>
          <t>답</t>
        </is>
      </c>
      <c r="T64" s="3" t="inlineStr">
        <is>
          <t>평지</t>
        </is>
      </c>
      <c r="U64" s="3" t="inlineStr">
        <is>
          <t>세로장방</t>
        </is>
      </c>
      <c r="V64" s="3" t="inlineStr">
        <is>
          <t>세로한면(가)</t>
        </is>
      </c>
    </row>
    <row r="65">
      <c r="A65" s="3" t="inlineStr">
        <is>
          <t>강내면 산단리 278</t>
        </is>
      </c>
      <c r="B65" s="3" t="inlineStr">
        <is>
          <t>농림지역</t>
        </is>
      </c>
      <c r="C65" s="3" t="inlineStr">
        <is>
          <t>답</t>
        </is>
      </c>
      <c r="D65" s="3" t="inlineStr">
        <is>
          <t>답</t>
        </is>
      </c>
      <c r="E65" s="3" t="inlineStr">
        <is>
          <t>매매</t>
        </is>
      </c>
      <c r="F65" s="4" t="n">
        <v>54900</v>
      </c>
      <c r="G65" s="4" t="n">
        <v>4032</v>
      </c>
      <c r="H65" s="4" t="n">
        <v>1220</v>
      </c>
      <c r="I65" s="5" t="n">
        <v>45</v>
      </c>
      <c r="J65" s="5" t="n">
        <v>16.9</v>
      </c>
      <c r="K65" s="3" t="inlineStr">
        <is>
          <t>nan</t>
        </is>
      </c>
      <c r="L65" s="6">
        <f>HYPERLINK("https://fin.land.naver.com/articles/2651309612", "매물Link")</f>
        <v/>
      </c>
      <c r="M65" s="6">
        <f>HYPERLINK("https://map.naver.com/p/search/강내면 산단리 278", "지도Link")</f>
        <v/>
      </c>
      <c r="N65" s="6">
        <f>HYPERLINK("http://www.eum.go.kr/web/ar/lu/luLandDet.jsp?pnu=4311331025102780000&amp;isNoScr=script&amp;mode=search", "토지이음")</f>
        <v/>
      </c>
      <c r="O65" s="3" t="inlineStr">
        <is>
          <t>세종큰길</t>
        </is>
      </c>
      <c r="P65" s="4" t="n">
        <v>1</v>
      </c>
      <c r="Q65" s="4" t="n">
        <v>4032.6</v>
      </c>
      <c r="R65" s="3" t="inlineStr">
        <is>
          <t>지정되지않음</t>
        </is>
      </c>
      <c r="S65" s="3" t="inlineStr">
        <is>
          <t>답</t>
        </is>
      </c>
      <c r="T65" s="3" t="inlineStr">
        <is>
          <t>평지</t>
        </is>
      </c>
      <c r="U65" s="3" t="inlineStr">
        <is>
          <t>사다리형</t>
        </is>
      </c>
      <c r="V65" s="3" t="inlineStr">
        <is>
          <t>세로각지(가)</t>
        </is>
      </c>
    </row>
    <row r="66">
      <c r="A66" s="3" t="inlineStr">
        <is>
          <t>강내면 산단리 309</t>
        </is>
      </c>
      <c r="B66" s="3" t="inlineStr">
        <is>
          <t>농림지역</t>
        </is>
      </c>
      <c r="C66" s="3" t="inlineStr">
        <is>
          <t>답</t>
        </is>
      </c>
      <c r="D66" s="3" t="inlineStr">
        <is>
          <t>답</t>
        </is>
      </c>
      <c r="E66" s="3" t="inlineStr">
        <is>
          <t>매매</t>
        </is>
      </c>
      <c r="F66" s="4" t="n">
        <v>39820</v>
      </c>
      <c r="G66" s="4" t="n">
        <v>2188</v>
      </c>
      <c r="H66" s="4" t="n">
        <v>662</v>
      </c>
      <c r="I66" s="5" t="n">
        <v>60.2</v>
      </c>
      <c r="J66" s="5" t="n">
        <v>20.9</v>
      </c>
      <c r="K66" s="3" t="inlineStr">
        <is>
          <t>2차선도로접 옆포장농로도로있음</t>
        </is>
      </c>
      <c r="L66" s="6">
        <f>HYPERLINK("https://fin.land.naver.com/articles/2650293981", "매물Link")</f>
        <v/>
      </c>
      <c r="M66" s="6">
        <f>HYPERLINK("https://map.naver.com/p/search/강내면 산단리 309", "지도Link")</f>
        <v/>
      </c>
      <c r="N66" s="6">
        <f>HYPERLINK("http://www.eum.go.kr/web/ar/lu/luLandDet.jsp?pnu=4311331025103090000&amp;isNoScr=script&amp;mode=search", "토지이음")</f>
        <v/>
      </c>
      <c r="O66" s="3" t="inlineStr">
        <is>
          <t>한진인사무소</t>
        </is>
      </c>
      <c r="P66" s="4" t="n">
        <v>1</v>
      </c>
      <c r="Q66" s="4" t="n">
        <v>2188.2</v>
      </c>
      <c r="R66" s="3" t="inlineStr">
        <is>
          <t>지정되지않음</t>
        </is>
      </c>
      <c r="S66" s="3" t="inlineStr">
        <is>
          <t>답</t>
        </is>
      </c>
      <c r="T66" s="3" t="inlineStr">
        <is>
          <t>평지</t>
        </is>
      </c>
      <c r="U66" s="3" t="inlineStr">
        <is>
          <t>사다리형</t>
        </is>
      </c>
      <c r="V66" s="3" t="inlineStr">
        <is>
          <t>소로각지</t>
        </is>
      </c>
    </row>
    <row r="67">
      <c r="A67" s="3" t="inlineStr">
        <is>
          <t>강내면 산단리 315</t>
        </is>
      </c>
      <c r="B67" s="3" t="inlineStr">
        <is>
          <t>농림지역</t>
        </is>
      </c>
      <c r="C67" s="3" t="inlineStr">
        <is>
          <t>답</t>
        </is>
      </c>
      <c r="D67" s="3" t="inlineStr">
        <is>
          <t>답</t>
        </is>
      </c>
      <c r="E67" s="3" t="inlineStr">
        <is>
          <t>매매</t>
        </is>
      </c>
      <c r="F67" s="4" t="n">
        <v>21000</v>
      </c>
      <c r="G67" s="4" t="n">
        <v>1981</v>
      </c>
      <c r="H67" s="4" t="n">
        <v>599</v>
      </c>
      <c r="I67" s="5" t="n">
        <v>35.1</v>
      </c>
      <c r="J67" s="5" t="n">
        <v>16.2</v>
      </c>
      <c r="K67" s="3" t="inlineStr">
        <is>
          <t>청주,세종,오송 인접 투자하기 좋은 물건</t>
        </is>
      </c>
      <c r="L67" s="6">
        <f>HYPERLINK("https://fin.land.naver.com/articles/2653356336", "매물Link")</f>
        <v/>
      </c>
      <c r="M67" s="6">
        <f>HYPERLINK("https://map.naver.com/p/search/강내면 산단리 315", "지도Link")</f>
        <v/>
      </c>
      <c r="N67" s="6">
        <f>HYPERLINK("http://www.eum.go.kr/web/ar/lu/luLandDet.jsp?pnu=4311331025103150000&amp;isNoScr=script&amp;mode=search", "토지이음")</f>
        <v/>
      </c>
      <c r="O67" s="3" t="inlineStr">
        <is>
          <t>-</t>
        </is>
      </c>
      <c r="P67" s="4" t="n">
        <v>1</v>
      </c>
      <c r="Q67" s="4" t="n">
        <v>1981.1</v>
      </c>
      <c r="R67" s="3" t="inlineStr">
        <is>
          <t>지정되지않음</t>
        </is>
      </c>
      <c r="S67" s="3" t="inlineStr">
        <is>
          <t>답</t>
        </is>
      </c>
      <c r="T67" s="3" t="inlineStr">
        <is>
          <t>평지</t>
        </is>
      </c>
      <c r="U67" s="3" t="inlineStr">
        <is>
          <t>사다리형</t>
        </is>
      </c>
      <c r="V67" s="3" t="inlineStr">
        <is>
          <t>세로한면(가)</t>
        </is>
      </c>
    </row>
    <row r="68">
      <c r="A68" s="3" t="inlineStr">
        <is>
          <t>강내면 산단리 산26</t>
        </is>
      </c>
      <c r="B68" s="3" t="inlineStr">
        <is>
          <t>계획관리지역</t>
        </is>
      </c>
      <c r="C68" s="3" t="inlineStr">
        <is>
          <t>임야</t>
        </is>
      </c>
      <c r="D68" s="3" t="inlineStr">
        <is>
          <t>임야</t>
        </is>
      </c>
      <c r="E68" s="3" t="inlineStr">
        <is>
          <t>매매</t>
        </is>
      </c>
      <c r="F68" s="4" t="n">
        <v>407000</v>
      </c>
      <c r="G68" s="4" t="n">
        <v>12210</v>
      </c>
      <c r="H68" s="4" t="n">
        <v>3694</v>
      </c>
      <c r="I68" s="5" t="n">
        <v>110.2</v>
      </c>
      <c r="J68" s="5" t="n">
        <v>4.1</v>
      </c>
      <c r="K68" s="3" t="inlineStr">
        <is>
          <t>청주 강내면 산단리 조성완료부지 매매</t>
        </is>
      </c>
      <c r="L68" s="6">
        <f>HYPERLINK("https://fin.land.naver.com/articles/2650745443", "매물Link")</f>
        <v/>
      </c>
      <c r="M68" s="6">
        <f>HYPERLINK("https://map.naver.com/p/search/강내면 산단리 산26", "지도Link")</f>
        <v/>
      </c>
      <c r="N68" s="6">
        <f>HYPERLINK("http://www.eum.go.kr/web/ar/lu/luLandDet.jsp?pnu=4311331025200260000&amp;isNoScr=script&amp;mode=search", "토지이음")</f>
        <v/>
      </c>
      <c r="O68" s="3" t="inlineStr">
        <is>
          <t>일등</t>
        </is>
      </c>
      <c r="P68" s="4" t="n">
        <v>1</v>
      </c>
      <c r="Q68" s="4" t="n">
        <v>18923</v>
      </c>
      <c r="R68" s="3" t="inlineStr">
        <is>
          <t>보전관리지역</t>
        </is>
      </c>
      <c r="S68" s="3" t="inlineStr">
        <is>
          <t>자연림</t>
        </is>
      </c>
      <c r="T68" s="3" t="inlineStr">
        <is>
          <t>급경사</t>
        </is>
      </c>
      <c r="U68" s="3" t="inlineStr">
        <is>
          <t>부정형</t>
        </is>
      </c>
      <c r="V68" s="3" t="inlineStr">
        <is>
          <t>세로한면(불)</t>
        </is>
      </c>
    </row>
    <row r="69">
      <c r="A69" s="3" t="inlineStr">
        <is>
          <t>강내면 산단리 산26</t>
        </is>
      </c>
      <c r="B69" s="3" t="inlineStr">
        <is>
          <t>계획관리지역</t>
        </is>
      </c>
      <c r="C69" s="3" t="inlineStr">
        <is>
          <t>임야</t>
        </is>
      </c>
      <c r="D69" s="3" t="inlineStr">
        <is>
          <t>임야</t>
        </is>
      </c>
      <c r="E69" s="3" t="inlineStr">
        <is>
          <t>매매</t>
        </is>
      </c>
      <c r="F69" s="4" t="n">
        <v>926000</v>
      </c>
      <c r="G69" s="4" t="n">
        <v>31005</v>
      </c>
      <c r="H69" s="4" t="n">
        <v>9379</v>
      </c>
      <c r="I69" s="5" t="n">
        <v>98.7</v>
      </c>
      <c r="J69" s="5" t="n">
        <v>4.1</v>
      </c>
      <c r="K69" s="3" t="inlineStr">
        <is>
          <t>청주 하이테크산업단재 인근, 공장허가득, 토목공사 완료</t>
        </is>
      </c>
      <c r="L69" s="6">
        <f>HYPERLINK("https://fin.land.naver.com/articles/2651061747", "매물Link")</f>
        <v/>
      </c>
      <c r="M69" s="6">
        <f>HYPERLINK("https://map.naver.com/p/search/강내면 산단리 산26", "지도Link")</f>
        <v/>
      </c>
      <c r="N69" s="6">
        <f>HYPERLINK("http://www.eum.go.kr/web/ar/lu/luLandDet.jsp?pnu=4311331025200260000&amp;isNoScr=script&amp;mode=search", "토지이음")</f>
        <v/>
      </c>
      <c r="O69" s="3" t="inlineStr">
        <is>
          <t>플러스자이합동</t>
        </is>
      </c>
      <c r="P69" s="4" t="n">
        <v>2</v>
      </c>
      <c r="Q69" s="4" t="n">
        <v>18923</v>
      </c>
      <c r="R69" s="3" t="inlineStr">
        <is>
          <t>보전관리지역</t>
        </is>
      </c>
      <c r="S69" s="3" t="inlineStr">
        <is>
          <t>자연림</t>
        </is>
      </c>
      <c r="T69" s="3" t="inlineStr">
        <is>
          <t>급경사</t>
        </is>
      </c>
      <c r="U69" s="3" t="inlineStr">
        <is>
          <t>부정형</t>
        </is>
      </c>
      <c r="V69" s="3" t="inlineStr">
        <is>
          <t>세로한면(불)</t>
        </is>
      </c>
    </row>
    <row r="70">
      <c r="A70" s="3" t="inlineStr">
        <is>
          <t>강내면 산단리 산41-2</t>
        </is>
      </c>
      <c r="B70" s="3" t="inlineStr">
        <is>
          <t>보전관리지역</t>
        </is>
      </c>
      <c r="C70" s="3" t="inlineStr">
        <is>
          <t>임야</t>
        </is>
      </c>
      <c r="D70" s="3" t="inlineStr">
        <is>
          <t>임야</t>
        </is>
      </c>
      <c r="E70" s="3" t="inlineStr">
        <is>
          <t>매매</t>
        </is>
      </c>
      <c r="F70" s="4" t="n">
        <v>50000</v>
      </c>
      <c r="G70" s="4" t="n">
        <v>6615</v>
      </c>
      <c r="H70" s="4" t="n">
        <v>2001</v>
      </c>
      <c r="I70" s="5" t="n">
        <v>25</v>
      </c>
      <c r="J70" s="5" t="n">
        <v>3.1</v>
      </c>
      <c r="K70" s="3" t="inlineStr">
        <is>
          <t>5m 아스팔트 도로접한 완만한 야산, 주변 산업단지 개발등 호재지역.</t>
        </is>
      </c>
      <c r="L70" s="6">
        <f>HYPERLINK("https://fin.land.naver.com/articles/2652326769", "매물Link")</f>
        <v/>
      </c>
      <c r="M70" s="6">
        <f>HYPERLINK("https://map.naver.com/p/search/강내면 산단리 산41-2", "지도Link")</f>
        <v/>
      </c>
      <c r="N70" s="6">
        <f>HYPERLINK("http://www.eum.go.kr/web/ar/lu/luLandDet.jsp?pnu=4311331025200410002&amp;isNoScr=script&amp;mode=search", "토지이음")</f>
        <v/>
      </c>
      <c r="O70" s="3" t="inlineStr">
        <is>
          <t>엘림</t>
        </is>
      </c>
      <c r="P70" s="4" t="n">
        <v>1</v>
      </c>
      <c r="Q70" s="4" t="n">
        <v>6615</v>
      </c>
      <c r="R70" s="3" t="inlineStr">
        <is>
          <t>지정되지않음</t>
        </is>
      </c>
      <c r="S70" s="3" t="inlineStr">
        <is>
          <t>자연림</t>
        </is>
      </c>
      <c r="T70" s="3" t="inlineStr">
        <is>
          <t>급경사</t>
        </is>
      </c>
      <c r="U70" s="3" t="inlineStr">
        <is>
          <t>부정형</t>
        </is>
      </c>
      <c r="V70" s="3" t="inlineStr">
        <is>
          <t>맹지</t>
        </is>
      </c>
    </row>
    <row r="71">
      <c r="A71" s="3" t="inlineStr">
        <is>
          <t>강내면 석화리 10-11</t>
        </is>
      </c>
      <c r="B71" s="3" t="inlineStr">
        <is>
          <t>자연녹지지역</t>
        </is>
      </c>
      <c r="C71" s="3" t="inlineStr">
        <is>
          <t>답</t>
        </is>
      </c>
      <c r="D71" s="3" t="inlineStr">
        <is>
          <t>대</t>
        </is>
      </c>
      <c r="E71" s="3" t="inlineStr">
        <is>
          <t>매매</t>
        </is>
      </c>
      <c r="F71" s="4" t="n">
        <v>25000</v>
      </c>
      <c r="G71" s="4" t="n">
        <v>558</v>
      </c>
      <c r="H71" s="4" t="n">
        <v>169</v>
      </c>
      <c r="I71" s="5" t="n">
        <v>147.9</v>
      </c>
      <c r="J71" s="5" t="n">
        <v>27</v>
      </c>
      <c r="K71" s="3" t="inlineStr">
        <is>
          <t>전원주택 착공</t>
        </is>
      </c>
      <c r="L71" s="6">
        <f>HYPERLINK("https://fin.land.naver.com/articles/2650555711", "매물Link")</f>
        <v/>
      </c>
      <c r="M71" s="6">
        <f>HYPERLINK("https://map.naver.com/p/search/강내면 석화리 10-11", "지도Link")</f>
        <v/>
      </c>
      <c r="N71" s="6">
        <f>HYPERLINK("http://www.eum.go.kr/web/ar/lu/luLandDet.jsp?pnu=4311331032100100011&amp;isNoScr=script&amp;mode=search", "토지이음")</f>
        <v/>
      </c>
      <c r="O71" s="3" t="inlineStr">
        <is>
          <t>현담</t>
        </is>
      </c>
      <c r="P71" s="4" t="n">
        <v>1</v>
      </c>
      <c r="Q71" s="4" t="n">
        <v>558</v>
      </c>
      <c r="R71" s="3" t="inlineStr">
        <is>
          <t>지정되지않음</t>
        </is>
      </c>
      <c r="S71" s="3" t="inlineStr">
        <is>
          <t>답</t>
        </is>
      </c>
      <c r="T71" s="3" t="inlineStr">
        <is>
          <t>평지</t>
        </is>
      </c>
      <c r="U71" s="3" t="inlineStr">
        <is>
          <t>부정형</t>
        </is>
      </c>
      <c r="V71" s="3" t="inlineStr">
        <is>
          <t>세로한면(불)</t>
        </is>
      </c>
    </row>
    <row r="72">
      <c r="A72" s="3" t="inlineStr">
        <is>
          <t>강내면 석화리 10-3</t>
        </is>
      </c>
      <c r="B72" s="3" t="inlineStr">
        <is>
          <t>자연녹지지역</t>
        </is>
      </c>
      <c r="C72" s="3" t="inlineStr">
        <is>
          <t>답</t>
        </is>
      </c>
      <c r="D72" s="3" t="inlineStr">
        <is>
          <t>답</t>
        </is>
      </c>
      <c r="E72" s="3" t="inlineStr">
        <is>
          <t>매매</t>
        </is>
      </c>
      <c r="F72" s="4" t="n">
        <v>18000</v>
      </c>
      <c r="G72" s="4" t="n">
        <v>400</v>
      </c>
      <c r="H72" s="4" t="n">
        <v>121</v>
      </c>
      <c r="I72" s="5" t="n">
        <v>148.8</v>
      </c>
      <c r="J72" s="5" t="n">
        <v>34.7</v>
      </c>
      <c r="K72" s="3" t="inlineStr">
        <is>
          <t>급매매, 흥덕구청 인접, 전원주택부지 추천</t>
        </is>
      </c>
      <c r="L72" s="6">
        <f>HYPERLINK("https://fin.land.naver.com/articles/2652864063", "매물Link")</f>
        <v/>
      </c>
      <c r="M72" s="6">
        <f>HYPERLINK("https://map.naver.com/p/search/강내면 석화리 10-3", "지도Link")</f>
        <v/>
      </c>
      <c r="N72" s="6">
        <f>HYPERLINK("http://www.eum.go.kr/web/ar/lu/luLandDet.jsp?pnu=4311331032100100003&amp;isNoScr=script&amp;mode=search", "토지이음")</f>
        <v/>
      </c>
      <c r="O72" s="3" t="inlineStr">
        <is>
          <t>뉴대원합동사무소</t>
        </is>
      </c>
      <c r="P72" s="4" t="n">
        <v>1</v>
      </c>
      <c r="Q72" s="4" t="n">
        <v>400</v>
      </c>
      <c r="R72" s="3" t="inlineStr">
        <is>
          <t>지정되지않음</t>
        </is>
      </c>
      <c r="S72" s="3" t="inlineStr">
        <is>
          <t>답</t>
        </is>
      </c>
      <c r="T72" s="3" t="inlineStr">
        <is>
          <t>평지</t>
        </is>
      </c>
      <c r="U72" s="3" t="inlineStr">
        <is>
          <t>사다리형</t>
        </is>
      </c>
      <c r="V72" s="3" t="inlineStr">
        <is>
          <t>세로한면(가)</t>
        </is>
      </c>
    </row>
    <row r="73">
      <c r="A73" s="3" t="inlineStr">
        <is>
          <t>강내면 석화리 117-3</t>
        </is>
      </c>
      <c r="B73" s="3" t="inlineStr">
        <is>
          <t>자연녹지지역</t>
        </is>
      </c>
      <c r="C73" s="3" t="inlineStr">
        <is>
          <t>대</t>
        </is>
      </c>
      <c r="D73" s="3" t="inlineStr">
        <is>
          <t>대</t>
        </is>
      </c>
      <c r="E73" s="3" t="inlineStr">
        <is>
          <t>매매</t>
        </is>
      </c>
      <c r="F73" s="4" t="n">
        <v>13390</v>
      </c>
      <c r="G73" s="4" t="n">
        <v>340</v>
      </c>
      <c r="H73" s="4" t="n">
        <v>103</v>
      </c>
      <c r="I73" s="5" t="n">
        <v>130</v>
      </c>
      <c r="J73" s="5" t="n">
        <v>57.2</v>
      </c>
      <c r="K73" s="3" t="inlineStr">
        <is>
          <t>마을 가운데 조용히 전원생활 하실분 강추</t>
        </is>
      </c>
      <c r="L73" s="6">
        <f>HYPERLINK("https://fin.land.naver.com/articles/2653269927", "매물Link")</f>
        <v/>
      </c>
      <c r="M73" s="6">
        <f>HYPERLINK("https://map.naver.com/p/search/강내면 석화리 117-3", "지도Link")</f>
        <v/>
      </c>
      <c r="N73" s="6">
        <f>HYPERLINK("http://www.eum.go.kr/web/ar/lu/luLandDet.jsp?pnu=4311331032101170003&amp;isNoScr=script&amp;mode=search", "토지이음")</f>
        <v/>
      </c>
      <c r="O73" s="3" t="inlineStr">
        <is>
          <t>프로</t>
        </is>
      </c>
      <c r="P73" s="4" t="n">
        <v>1</v>
      </c>
      <c r="Q73" s="4" t="n">
        <v>340</v>
      </c>
      <c r="R73" s="3" t="inlineStr">
        <is>
          <t>지정되지않음</t>
        </is>
      </c>
      <c r="S73" s="3" t="inlineStr">
        <is>
          <t>단독</t>
        </is>
      </c>
      <c r="T73" s="3" t="inlineStr">
        <is>
          <t>평지</t>
        </is>
      </c>
      <c r="U73" s="3" t="inlineStr">
        <is>
          <t>사다리형</t>
        </is>
      </c>
      <c r="V73" s="3" t="inlineStr">
        <is>
          <t>세로한면(가)</t>
        </is>
      </c>
    </row>
    <row r="74">
      <c r="A74" s="3" t="inlineStr">
        <is>
          <t>강내면 석화리 196-6</t>
        </is>
      </c>
      <c r="B74" s="3" t="inlineStr">
        <is>
          <t>자연녹지지역</t>
        </is>
      </c>
      <c r="C74" s="3" t="inlineStr">
        <is>
          <t>전</t>
        </is>
      </c>
      <c r="D74" s="3" t="inlineStr">
        <is>
          <t>전</t>
        </is>
      </c>
      <c r="E74" s="3" t="inlineStr">
        <is>
          <t>매매</t>
        </is>
      </c>
      <c r="F74" s="4" t="n">
        <v>53000</v>
      </c>
      <c r="G74" s="4" t="n">
        <v>2731</v>
      </c>
      <c r="H74" s="4" t="n">
        <v>826</v>
      </c>
      <c r="I74" s="5" t="n">
        <v>64.2</v>
      </c>
      <c r="J74" s="5" t="n">
        <v>32.9</v>
      </c>
      <c r="K74" s="3" t="inlineStr">
        <is>
          <t>도시지역 자연녹지지역 투자가치우수</t>
        </is>
      </c>
      <c r="L74" s="6">
        <f>HYPERLINK("https://fin.land.naver.com/articles/2651674330", "매물Link")</f>
        <v/>
      </c>
      <c r="M74" s="6">
        <f>HYPERLINK("https://map.naver.com/p/search/강내면 석화리 196-6", "지도Link")</f>
        <v/>
      </c>
      <c r="N74" s="6">
        <f>HYPERLINK("http://www.eum.go.kr/web/ar/lu/luLandDet.jsp?pnu=4311331032101960006&amp;isNoScr=script&amp;mode=search", "토지이음")</f>
        <v/>
      </c>
      <c r="O74" s="3" t="inlineStr">
        <is>
          <t>오송원</t>
        </is>
      </c>
      <c r="P74" s="4" t="n">
        <v>1</v>
      </c>
      <c r="Q74" s="4" t="n">
        <v>2731</v>
      </c>
      <c r="R74" s="3" t="inlineStr">
        <is>
          <t>지정되지않음</t>
        </is>
      </c>
      <c r="S74" s="3" t="inlineStr">
        <is>
          <t>전</t>
        </is>
      </c>
      <c r="T74" s="3" t="inlineStr">
        <is>
          <t>평지</t>
        </is>
      </c>
      <c r="U74" s="3" t="inlineStr">
        <is>
          <t>부정형</t>
        </is>
      </c>
      <c r="V74" s="3" t="inlineStr">
        <is>
          <t>세로한면(가)</t>
        </is>
      </c>
    </row>
    <row r="75">
      <c r="A75" s="3" t="inlineStr">
        <is>
          <t>강내면 석화리 297</t>
        </is>
      </c>
      <c r="B75" s="3" t="inlineStr">
        <is>
          <t>보전관리지역</t>
        </is>
      </c>
      <c r="C75" s="3" t="inlineStr">
        <is>
          <t>전</t>
        </is>
      </c>
      <c r="D75" s="3" t="inlineStr">
        <is>
          <t>전</t>
        </is>
      </c>
      <c r="E75" s="3" t="inlineStr">
        <is>
          <t>매매</t>
        </is>
      </c>
      <c r="F75" s="4" t="n">
        <v>306000</v>
      </c>
      <c r="G75" s="4" t="n">
        <v>4043</v>
      </c>
      <c r="H75" s="4" t="n">
        <v>1223</v>
      </c>
      <c r="I75" s="5" t="n">
        <v>250.2</v>
      </c>
      <c r="J75" s="5" t="n">
        <v>45.2</v>
      </c>
      <c r="K75" s="3" t="inlineStr">
        <is>
          <t>본 토지 옆 건물과 일괄매매 미호강에 접한 희소성 높은 토지</t>
        </is>
      </c>
      <c r="L75" s="6">
        <f>HYPERLINK("https://fin.land.naver.com/articles/2651574700", "매물Link")</f>
        <v/>
      </c>
      <c r="M75" s="6">
        <f>HYPERLINK("https://map.naver.com/p/search/강내면 석화리 297", "지도Link")</f>
        <v/>
      </c>
      <c r="N75" s="6">
        <f>HYPERLINK("http://www.eum.go.kr/web/ar/lu/luLandDet.jsp?pnu=4311331032102970000&amp;isNoScr=script&amp;mode=search", "토지이음")</f>
        <v/>
      </c>
      <c r="O75" s="3" t="inlineStr">
        <is>
          <t>여기로</t>
        </is>
      </c>
      <c r="P75" s="4" t="n">
        <v>1</v>
      </c>
      <c r="Q75" s="4" t="n">
        <v>3522</v>
      </c>
      <c r="R75" s="3" t="inlineStr">
        <is>
          <t>자연녹지지역</t>
        </is>
      </c>
      <c r="S75" s="3" t="inlineStr">
        <is>
          <t>전</t>
        </is>
      </c>
      <c r="T75" s="3" t="inlineStr">
        <is>
          <t>평지</t>
        </is>
      </c>
      <c r="U75" s="3" t="inlineStr">
        <is>
          <t>부정형</t>
        </is>
      </c>
      <c r="V75" s="3" t="inlineStr">
        <is>
          <t>세로한면(가)</t>
        </is>
      </c>
    </row>
    <row r="76">
      <c r="A76" s="3" t="inlineStr">
        <is>
          <t>강내면 석화리 89</t>
        </is>
      </c>
      <c r="B76" s="3" t="inlineStr">
        <is>
          <t>생산녹지지역</t>
        </is>
      </c>
      <c r="C76" s="3" t="inlineStr">
        <is>
          <t>답</t>
        </is>
      </c>
      <c r="D76" s="3" t="inlineStr">
        <is>
          <t>답</t>
        </is>
      </c>
      <c r="E76" s="3" t="inlineStr">
        <is>
          <t>매매</t>
        </is>
      </c>
      <c r="F76" s="4" t="n">
        <v>85000</v>
      </c>
      <c r="G76" s="4" t="n">
        <v>3191</v>
      </c>
      <c r="H76" s="4" t="n">
        <v>965</v>
      </c>
      <c r="I76" s="5" t="n">
        <v>88.09999999999999</v>
      </c>
      <c r="J76" s="5" t="n">
        <v>25.7</v>
      </c>
      <c r="K76" s="3" t="inlineStr">
        <is>
          <t>조율가능 흥덕구청 신청사인근 투자용 대토용</t>
        </is>
      </c>
      <c r="L76" s="6">
        <f>HYPERLINK("https://fin.land.naver.com/articles/2651086909", "매물Link")</f>
        <v/>
      </c>
      <c r="M76" s="6">
        <f>HYPERLINK("https://map.naver.com/p/search/강내면 석화리 89", "지도Link")</f>
        <v/>
      </c>
      <c r="N76" s="6">
        <f>HYPERLINK("http://www.eum.go.kr/web/ar/lu/luLandDet.jsp?pnu=4311331032100890000&amp;isNoScr=script&amp;mode=search", "토지이음")</f>
        <v/>
      </c>
      <c r="O76" s="3" t="inlineStr">
        <is>
          <t>세종스타</t>
        </is>
      </c>
      <c r="P76" s="4" t="n">
        <v>1</v>
      </c>
      <c r="Q76" s="4" t="n">
        <v>2949</v>
      </c>
      <c r="R76" s="3" t="inlineStr">
        <is>
          <t>지정되지않음</t>
        </is>
      </c>
      <c r="S76" s="3" t="inlineStr">
        <is>
          <t>답</t>
        </is>
      </c>
      <c r="T76" s="3" t="inlineStr">
        <is>
          <t>평지</t>
        </is>
      </c>
      <c r="U76" s="3" t="inlineStr">
        <is>
          <t>부정형</t>
        </is>
      </c>
      <c r="V76" s="3" t="inlineStr">
        <is>
          <t>세로한면(가)</t>
        </is>
      </c>
    </row>
    <row r="77">
      <c r="A77" s="3" t="inlineStr">
        <is>
          <t>강내면 석화리 99-2</t>
        </is>
      </c>
      <c r="B77" s="3" t="inlineStr">
        <is>
          <t>생산녹지지역</t>
        </is>
      </c>
      <c r="C77" s="3" t="inlineStr">
        <is>
          <t>답</t>
        </is>
      </c>
      <c r="D77" s="3" t="inlineStr">
        <is>
          <t>답</t>
        </is>
      </c>
      <c r="E77" s="3" t="inlineStr">
        <is>
          <t>매매</t>
        </is>
      </c>
      <c r="F77" s="4" t="n">
        <v>12000</v>
      </c>
      <c r="G77" s="4" t="n">
        <v>394</v>
      </c>
      <c r="H77" s="4" t="n">
        <v>119</v>
      </c>
      <c r="I77" s="5" t="n">
        <v>100.8</v>
      </c>
      <c r="J77" s="5" t="n">
        <v>25.5</v>
      </c>
      <c r="K77" s="3" t="inlineStr">
        <is>
          <t>nan</t>
        </is>
      </c>
      <c r="L77" s="6">
        <f>HYPERLINK("https://fin.land.naver.com/articles/2653084393", "매물Link")</f>
        <v/>
      </c>
      <c r="M77" s="6">
        <f>HYPERLINK("https://map.naver.com/p/search/강내면 석화리 99-2", "지도Link")</f>
        <v/>
      </c>
      <c r="N77" s="6">
        <f>HYPERLINK("http://www.eum.go.kr/web/ar/lu/luLandDet.jsp?pnu=4311331032100990002&amp;isNoScr=script&amp;mode=search", "토지이음")</f>
        <v/>
      </c>
      <c r="O77" s="3" t="inlineStr">
        <is>
          <t>현담</t>
        </is>
      </c>
      <c r="P77" s="4" t="n">
        <v>2</v>
      </c>
      <c r="Q77" s="4" t="n">
        <v>394</v>
      </c>
      <c r="R77" s="3" t="inlineStr">
        <is>
          <t>지정되지않음</t>
        </is>
      </c>
      <c r="S77" s="3" t="inlineStr">
        <is>
          <t>답</t>
        </is>
      </c>
      <c r="T77" s="3" t="inlineStr">
        <is>
          <t>평지</t>
        </is>
      </c>
      <c r="U77" s="3" t="inlineStr">
        <is>
          <t>부정형</t>
        </is>
      </c>
      <c r="V77" s="3" t="inlineStr">
        <is>
          <t>세로한면(가)</t>
        </is>
      </c>
    </row>
    <row r="78">
      <c r="A78" s="3" t="inlineStr">
        <is>
          <t>강내면 연정리 142-4</t>
        </is>
      </c>
      <c r="B78" s="3" t="inlineStr">
        <is>
          <t>계획관리지역</t>
        </is>
      </c>
      <c r="C78" s="3" t="inlineStr">
        <is>
          <t>잡종지</t>
        </is>
      </c>
      <c r="D78" s="3" t="inlineStr">
        <is>
          <t>잡종지</t>
        </is>
      </c>
      <c r="E78" s="3" t="inlineStr">
        <is>
          <t>매매</t>
        </is>
      </c>
      <c r="F78" s="4" t="n">
        <v>172800</v>
      </c>
      <c r="G78" s="4" t="n">
        <v>5712</v>
      </c>
      <c r="H78" s="4" t="n">
        <v>1728</v>
      </c>
      <c r="I78" s="5" t="n">
        <v>100</v>
      </c>
      <c r="J78" s="5" t="n">
        <v>47.7</v>
      </c>
      <c r="K78" s="3" t="inlineStr">
        <is>
          <t>청주IC인근 공장, 창고 등 활용도 좋은 토지</t>
        </is>
      </c>
      <c r="L78" s="6">
        <f>HYPERLINK("https://fin.land.naver.com/articles/2653660276", "매물Link")</f>
        <v/>
      </c>
      <c r="M78" s="6">
        <f>HYPERLINK("https://map.naver.com/p/search/강내면 연정리 142-4", "지도Link")</f>
        <v/>
      </c>
      <c r="N78" s="6">
        <f>HYPERLINK("http://www.eum.go.kr/web/ar/lu/luLandDet.jsp?pnu=4311331021101420004&amp;isNoScr=script&amp;mode=search", "토지이음")</f>
        <v/>
      </c>
      <c r="O78" s="3" t="inlineStr">
        <is>
          <t>(주)미르</t>
        </is>
      </c>
      <c r="P78" s="4" t="n">
        <v>1</v>
      </c>
      <c r="Q78" s="4" t="n">
        <v>106</v>
      </c>
      <c r="R78" s="3" t="inlineStr">
        <is>
          <t>지정되지않음</t>
        </is>
      </c>
      <c r="S78" s="3" t="inlineStr">
        <is>
          <t>주거기타</t>
        </is>
      </c>
      <c r="T78" s="3" t="inlineStr">
        <is>
          <t>완경사</t>
        </is>
      </c>
      <c r="U78" s="3" t="inlineStr">
        <is>
          <t>세로장방</t>
        </is>
      </c>
      <c r="V78" s="3" t="inlineStr">
        <is>
          <t>세로한면(가)</t>
        </is>
      </c>
    </row>
    <row r="79">
      <c r="A79" s="3" t="inlineStr">
        <is>
          <t>강내면 연정리 157-2</t>
        </is>
      </c>
      <c r="B79" s="3" t="inlineStr">
        <is>
          <t>계획관리지역</t>
        </is>
      </c>
      <c r="C79" s="3" t="inlineStr">
        <is>
          <t>대</t>
        </is>
      </c>
      <c r="D79" s="3" t="inlineStr">
        <is>
          <t>대</t>
        </is>
      </c>
      <c r="E79" s="3" t="inlineStr">
        <is>
          <t>매매</t>
        </is>
      </c>
      <c r="F79" s="4" t="n">
        <v>32880</v>
      </c>
      <c r="G79" s="4" t="n">
        <v>906</v>
      </c>
      <c r="H79" s="4" t="n">
        <v>274</v>
      </c>
      <c r="I79" s="5" t="n">
        <v>120</v>
      </c>
      <c r="J79" s="5" t="n">
        <v>55.4</v>
      </c>
      <c r="K79" s="3" t="inlineStr">
        <is>
          <t>도로 접한 계획관리, 상수도, 전기 가능</t>
        </is>
      </c>
      <c r="L79" s="6">
        <f>HYPERLINK("https://fin.land.naver.com/articles/2653530149", "매물Link")</f>
        <v/>
      </c>
      <c r="M79" s="6">
        <f>HYPERLINK("https://map.naver.com/p/search/강내면 연정리 157-2", "지도Link")</f>
        <v/>
      </c>
      <c r="N79" s="6">
        <f>HYPERLINK("http://www.eum.go.kr/web/ar/lu/luLandDet.jsp?pnu=4311331021101570002&amp;isNoScr=script&amp;mode=search", "토지이음")</f>
        <v/>
      </c>
      <c r="O79" s="3" t="inlineStr">
        <is>
          <t>황제</t>
        </is>
      </c>
      <c r="P79" s="4" t="n">
        <v>1</v>
      </c>
      <c r="Q79" s="4" t="n">
        <v>906</v>
      </c>
      <c r="R79" s="3" t="inlineStr">
        <is>
          <t>지정되지않음</t>
        </is>
      </c>
      <c r="S79" s="3" t="inlineStr">
        <is>
          <t>주거나지</t>
        </is>
      </c>
      <c r="T79" s="3" t="inlineStr">
        <is>
          <t>평지</t>
        </is>
      </c>
      <c r="U79" s="3" t="inlineStr">
        <is>
          <t>사다리형</t>
        </is>
      </c>
      <c r="V79" s="3" t="inlineStr">
        <is>
          <t>세로한면(가)</t>
        </is>
      </c>
    </row>
    <row r="80">
      <c r="A80" s="3" t="inlineStr">
        <is>
          <t>강내면 연정리 160-1</t>
        </is>
      </c>
      <c r="B80" s="3" t="inlineStr">
        <is>
          <t>계획관리지역</t>
        </is>
      </c>
      <c r="C80" s="3" t="inlineStr">
        <is>
          <t>공장용지</t>
        </is>
      </c>
      <c r="D80" s="3" t="inlineStr">
        <is>
          <t>공장용지</t>
        </is>
      </c>
      <c r="E80" s="3" t="inlineStr">
        <is>
          <t>매매</t>
        </is>
      </c>
      <c r="F80" s="4" t="n">
        <v>288000</v>
      </c>
      <c r="G80" s="4" t="n">
        <v>4142</v>
      </c>
      <c r="H80" s="4" t="n">
        <v>1253</v>
      </c>
      <c r="I80" s="5" t="n">
        <v>229.8</v>
      </c>
      <c r="J80" s="5" t="n">
        <v>51.7</v>
      </c>
      <c r="K80" s="3" t="inlineStr">
        <is>
          <t>공장용지로 현재 컨테이너 야적장으로 사용중입니다</t>
        </is>
      </c>
      <c r="L80" s="6">
        <f>HYPERLINK("https://fin.land.naver.com/articles/2653099334", "매물Link")</f>
        <v/>
      </c>
      <c r="M80" s="6">
        <f>HYPERLINK("https://map.naver.com/p/search/강내면 연정리 160-1", "지도Link")</f>
        <v/>
      </c>
      <c r="N80" s="6">
        <f>HYPERLINK("http://www.eum.go.kr/web/ar/lu/luLandDet.jsp?pnu=4311331021101600001&amp;isNoScr=script&amp;mode=search", "토지이음")</f>
        <v/>
      </c>
      <c r="O80" s="3" t="inlineStr">
        <is>
          <t>복댕이</t>
        </is>
      </c>
      <c r="P80" s="4" t="n">
        <v>1</v>
      </c>
      <c r="Q80" s="4" t="n">
        <v>2870</v>
      </c>
      <c r="R80" s="3" t="inlineStr">
        <is>
          <t>지정되지않음</t>
        </is>
      </c>
      <c r="S80" s="3" t="inlineStr">
        <is>
          <t>공업용</t>
        </is>
      </c>
      <c r="T80" s="3" t="inlineStr">
        <is>
          <t>평지</t>
        </is>
      </c>
      <c r="U80" s="3" t="inlineStr">
        <is>
          <t>사다리형</t>
        </is>
      </c>
      <c r="V80" s="3" t="inlineStr">
        <is>
          <t>세로한면(가)</t>
        </is>
      </c>
    </row>
    <row r="81">
      <c r="A81" s="3" t="inlineStr">
        <is>
          <t>강내면 연정리 18-1</t>
        </is>
      </c>
      <c r="B81" s="3" t="inlineStr">
        <is>
          <t>계획관리지역</t>
        </is>
      </c>
      <c r="C81" s="3" t="inlineStr">
        <is>
          <t>답</t>
        </is>
      </c>
      <c r="D81" s="3" t="inlineStr">
        <is>
          <t>답</t>
        </is>
      </c>
      <c r="E81" s="3" t="inlineStr">
        <is>
          <t>매매</t>
        </is>
      </c>
      <c r="F81" s="4" t="n">
        <v>63000</v>
      </c>
      <c r="G81" s="4" t="n">
        <v>1300</v>
      </c>
      <c r="H81" s="4" t="n">
        <v>393</v>
      </c>
      <c r="I81" s="5" t="n">
        <v>160.3</v>
      </c>
      <c r="J81" s="5" t="n">
        <v>27</v>
      </c>
      <c r="K81" s="3" t="inlineStr">
        <is>
          <t>4차선및 8M도로 코너접 신설강내ic 바로부근</t>
        </is>
      </c>
      <c r="L81" s="6">
        <f>HYPERLINK("https://fin.land.naver.com/articles/2650436238", "매물Link")</f>
        <v/>
      </c>
      <c r="M81" s="6">
        <f>HYPERLINK("https://map.naver.com/p/search/강내면 연정리 18-1", "지도Link")</f>
        <v/>
      </c>
      <c r="N81" s="6">
        <f>HYPERLINK("http://www.eum.go.kr/web/ar/lu/luLandDet.jsp?pnu=4311331021100180001&amp;isNoScr=script&amp;mode=search", "토지이음")</f>
        <v/>
      </c>
      <c r="O81" s="3" t="inlineStr">
        <is>
          <t>플러스태양</t>
        </is>
      </c>
      <c r="P81" s="4" t="n">
        <v>1</v>
      </c>
      <c r="Q81" s="4" t="n">
        <v>1299</v>
      </c>
      <c r="R81" s="3" t="inlineStr">
        <is>
          <t>지정되지않음</t>
        </is>
      </c>
      <c r="S81" s="3" t="inlineStr">
        <is>
          <t>답</t>
        </is>
      </c>
      <c r="T81" s="3" t="inlineStr">
        <is>
          <t>평지</t>
        </is>
      </c>
      <c r="U81" s="3" t="inlineStr">
        <is>
          <t>부정형</t>
        </is>
      </c>
      <c r="V81" s="3" t="inlineStr">
        <is>
          <t>세로한면(불)</t>
        </is>
      </c>
    </row>
    <row r="82">
      <c r="A82" s="3" t="inlineStr">
        <is>
          <t>강내면 연정리 206</t>
        </is>
      </c>
      <c r="B82" s="3" t="inlineStr">
        <is>
          <t>계획관리지역</t>
        </is>
      </c>
      <c r="C82" s="3" t="inlineStr">
        <is>
          <t>전</t>
        </is>
      </c>
      <c r="D82" s="3" t="inlineStr">
        <is>
          <t>전</t>
        </is>
      </c>
      <c r="E82" s="3" t="inlineStr">
        <is>
          <t>매매</t>
        </is>
      </c>
      <c r="F82" s="4" t="n">
        <v>119000</v>
      </c>
      <c r="G82" s="4" t="n">
        <v>2916</v>
      </c>
      <c r="H82" s="4" t="n">
        <v>882</v>
      </c>
      <c r="I82" s="5" t="n">
        <v>134.9</v>
      </c>
      <c r="J82" s="5" t="n">
        <v>21.7</v>
      </c>
      <c r="K82" s="3" t="inlineStr">
        <is>
          <t>2차선 2차선 코너도로접 강내ic 바로인접지역</t>
        </is>
      </c>
      <c r="L82" s="6">
        <f>HYPERLINK("https://fin.land.naver.com/articles/2650429532", "매물Link")</f>
        <v/>
      </c>
      <c r="M82" s="6">
        <f>HYPERLINK("https://map.naver.com/p/search/강내면 연정리 206", "지도Link")</f>
        <v/>
      </c>
      <c r="N82" s="6">
        <f>HYPERLINK("http://www.eum.go.kr/web/ar/lu/luLandDet.jsp?pnu=4311331021102060000&amp;isNoScr=script&amp;mode=search", "토지이음")</f>
        <v/>
      </c>
      <c r="O82" s="3" t="inlineStr">
        <is>
          <t>플러스태양</t>
        </is>
      </c>
      <c r="P82" s="4" t="n">
        <v>1</v>
      </c>
      <c r="Q82" s="4" t="n">
        <v>2815</v>
      </c>
      <c r="R82" s="3" t="inlineStr">
        <is>
          <t>지정되지않음</t>
        </is>
      </c>
      <c r="S82" s="3" t="inlineStr">
        <is>
          <t>전</t>
        </is>
      </c>
      <c r="T82" s="3" t="inlineStr">
        <is>
          <t>평지</t>
        </is>
      </c>
      <c r="U82" s="3" t="inlineStr">
        <is>
          <t>사다리형</t>
        </is>
      </c>
      <c r="V82" s="3" t="inlineStr">
        <is>
          <t>세로한면(가)</t>
        </is>
      </c>
    </row>
    <row r="83">
      <c r="A83" s="3" t="inlineStr">
        <is>
          <t>강내면 연정리 산3-4</t>
        </is>
      </c>
      <c r="B83" s="3" t="inlineStr">
        <is>
          <t>계획관리지역</t>
        </is>
      </c>
      <c r="C83" s="3" t="inlineStr">
        <is>
          <t>임야</t>
        </is>
      </c>
      <c r="D83" s="3" t="inlineStr">
        <is>
          <t>임야</t>
        </is>
      </c>
      <c r="E83" s="3" t="inlineStr">
        <is>
          <t>매매</t>
        </is>
      </c>
      <c r="F83" s="4" t="n">
        <v>6000</v>
      </c>
      <c r="G83" s="4" t="n">
        <v>396</v>
      </c>
      <c r="H83" s="4" t="n">
        <v>120</v>
      </c>
      <c r="I83" s="5" t="n">
        <v>50</v>
      </c>
      <c r="J83" s="5" t="n">
        <v>6.4</v>
      </c>
      <c r="K83" s="3" t="inlineStr">
        <is>
          <t>매매 청주 흥덕구 강내면 연정리 임야</t>
        </is>
      </c>
      <c r="L83" s="6">
        <f>HYPERLINK("https://fin.land.naver.com/articles/2652090474", "매물Link")</f>
        <v/>
      </c>
      <c r="M83" s="6">
        <f>HYPERLINK("https://map.naver.com/p/search/강내면 연정리 산3-4", "지도Link")</f>
        <v/>
      </c>
      <c r="N83" s="6">
        <f>HYPERLINK("http://www.eum.go.kr/web/ar/lu/luLandDet.jsp?pnu=4311331021200030004&amp;isNoScr=script&amp;mode=search", "토지이음")</f>
        <v/>
      </c>
      <c r="O83" s="3" t="inlineStr">
        <is>
          <t>일등</t>
        </is>
      </c>
      <c r="P83" s="4" t="n">
        <v>1</v>
      </c>
      <c r="Q83" s="4" t="n">
        <v>898</v>
      </c>
      <c r="R83" s="3" t="inlineStr">
        <is>
          <t>지정되지않음</t>
        </is>
      </c>
      <c r="S83" s="3" t="inlineStr">
        <is>
          <t>자연림</t>
        </is>
      </c>
      <c r="T83" s="3" t="inlineStr">
        <is>
          <t>완경사</t>
        </is>
      </c>
      <c r="U83" s="3" t="inlineStr">
        <is>
          <t>부정형</t>
        </is>
      </c>
      <c r="V83" s="3" t="inlineStr">
        <is>
          <t>세로한면(불)</t>
        </is>
      </c>
    </row>
    <row r="84">
      <c r="A84" s="3" t="inlineStr">
        <is>
          <t>강내면 연정리 산3-4</t>
        </is>
      </c>
      <c r="B84" s="3" t="inlineStr">
        <is>
          <t>계획관리지역</t>
        </is>
      </c>
      <c r="C84" s="3" t="inlineStr">
        <is>
          <t>임야</t>
        </is>
      </c>
      <c r="D84" s="3" t="inlineStr">
        <is>
          <t>대</t>
        </is>
      </c>
      <c r="E84" s="3" t="inlineStr">
        <is>
          <t>매매</t>
        </is>
      </c>
      <c r="F84" s="4" t="n">
        <v>19000</v>
      </c>
      <c r="G84" s="4" t="n">
        <v>899</v>
      </c>
      <c r="H84" s="4" t="n">
        <v>272</v>
      </c>
      <c r="I84" s="5" t="n">
        <v>69.90000000000001</v>
      </c>
      <c r="J84" s="5" t="n">
        <v>6.4</v>
      </c>
      <c r="K84" s="3" t="inlineStr">
        <is>
          <t>토목완료 건축허가득 정남향 급매</t>
        </is>
      </c>
      <c r="L84" s="6">
        <f>HYPERLINK("https://fin.land.naver.com/articles/2650887261", "매물Link")</f>
        <v/>
      </c>
      <c r="M84" s="6">
        <f>HYPERLINK("https://map.naver.com/p/search/강내면 연정리 산3-4", "지도Link")</f>
        <v/>
      </c>
      <c r="N84" s="6">
        <f>HYPERLINK("http://www.eum.go.kr/web/ar/lu/luLandDet.jsp?pnu=4311331021200030004&amp;isNoScr=script&amp;mode=search", "토지이음")</f>
        <v/>
      </c>
      <c r="O84" s="3" t="inlineStr">
        <is>
          <t>플러스태양</t>
        </is>
      </c>
      <c r="P84" s="4" t="n">
        <v>1</v>
      </c>
      <c r="Q84" s="4" t="n">
        <v>898</v>
      </c>
      <c r="R84" s="3" t="inlineStr">
        <is>
          <t>지정되지않음</t>
        </is>
      </c>
      <c r="S84" s="3" t="inlineStr">
        <is>
          <t>자연림</t>
        </is>
      </c>
      <c r="T84" s="3" t="inlineStr">
        <is>
          <t>완경사</t>
        </is>
      </c>
      <c r="U84" s="3" t="inlineStr">
        <is>
          <t>부정형</t>
        </is>
      </c>
      <c r="V84" s="3" t="inlineStr">
        <is>
          <t>세로한면(불)</t>
        </is>
      </c>
    </row>
    <row r="85">
      <c r="A85" s="3" t="inlineStr">
        <is>
          <t>강내면 월곡리 139-5</t>
        </is>
      </c>
      <c r="B85" s="3" t="inlineStr">
        <is>
          <t>제2종일반주거지역</t>
        </is>
      </c>
      <c r="C85" s="3" t="inlineStr">
        <is>
          <t>대</t>
        </is>
      </c>
      <c r="D85" s="3" t="inlineStr">
        <is>
          <t>대</t>
        </is>
      </c>
      <c r="E85" s="3" t="inlineStr">
        <is>
          <t>매매</t>
        </is>
      </c>
      <c r="F85" s="4" t="n">
        <v>38000</v>
      </c>
      <c r="G85" s="4" t="n">
        <v>342</v>
      </c>
      <c r="H85" s="4" t="n">
        <v>103</v>
      </c>
      <c r="I85" s="5" t="n">
        <v>368.9</v>
      </c>
      <c r="J85" s="5" t="n">
        <v>153.2</v>
      </c>
      <c r="K85" s="3" t="inlineStr">
        <is>
          <t>대 , 성토완료 , 진입도로 있음  , 주택부지 추천</t>
        </is>
      </c>
      <c r="L85" s="6">
        <f>HYPERLINK("https://fin.land.naver.com/articles/2651978767", "매물Link")</f>
        <v/>
      </c>
      <c r="M85" s="6">
        <f>HYPERLINK("https://map.naver.com/p/search/강내면 월곡리 139-5", "지도Link")</f>
        <v/>
      </c>
      <c r="N85" s="6">
        <f>HYPERLINK("http://www.eum.go.kr/web/ar/lu/luLandDet.jsp?pnu=4311331034101390005&amp;isNoScr=script&amp;mode=search", "토지이음")</f>
        <v/>
      </c>
      <c r="O85" s="3" t="inlineStr">
        <is>
          <t>센트럴</t>
        </is>
      </c>
      <c r="P85" s="4" t="n">
        <v>1</v>
      </c>
      <c r="Q85" s="4" t="n">
        <v>342</v>
      </c>
      <c r="R85" s="3" t="inlineStr">
        <is>
          <t>지정되지않음</t>
        </is>
      </c>
      <c r="S85" s="3" t="inlineStr">
        <is>
          <t>단독</t>
        </is>
      </c>
      <c r="T85" s="3" t="inlineStr">
        <is>
          <t>평지</t>
        </is>
      </c>
      <c r="U85" s="3" t="inlineStr">
        <is>
          <t>사다리형</t>
        </is>
      </c>
      <c r="V85" s="3" t="inlineStr">
        <is>
          <t>세로한면(가)</t>
        </is>
      </c>
    </row>
    <row r="86">
      <c r="A86" s="3" t="inlineStr">
        <is>
          <t>강내면 월곡리 181</t>
        </is>
      </c>
      <c r="B86" s="3" t="inlineStr">
        <is>
          <t>생산녹지지역</t>
        </is>
      </c>
      <c r="C86" s="3" t="inlineStr">
        <is>
          <t>공장용지</t>
        </is>
      </c>
      <c r="D86" s="3" t="inlineStr">
        <is>
          <t>대</t>
        </is>
      </c>
      <c r="E86" s="3" t="inlineStr">
        <is>
          <t>매매</t>
        </is>
      </c>
      <c r="F86" s="4" t="n">
        <v>445000</v>
      </c>
      <c r="G86" s="4" t="n">
        <v>2271</v>
      </c>
      <c r="H86" s="4" t="n">
        <v>687</v>
      </c>
      <c r="I86" s="5" t="n">
        <v>647.7</v>
      </c>
      <c r="J86" s="5" t="n">
        <v>132.8</v>
      </c>
      <c r="K86" s="3" t="inlineStr">
        <is>
          <t>nan</t>
        </is>
      </c>
      <c r="L86" s="6">
        <f>HYPERLINK("https://fin.land.naver.com/articles/2649588199", "매물Link")</f>
        <v/>
      </c>
      <c r="M86" s="6">
        <f>HYPERLINK("https://map.naver.com/p/search/강내면 월곡리 181", "지도Link")</f>
        <v/>
      </c>
      <c r="N86" s="6">
        <f>HYPERLINK("http://www.eum.go.kr/web/ar/lu/luLandDet.jsp?pnu=4311331034101810000&amp;isNoScr=script&amp;mode=search", "토지이음")</f>
        <v/>
      </c>
      <c r="O86" s="3" t="inlineStr">
        <is>
          <t>세종땅전문</t>
        </is>
      </c>
      <c r="P86" s="4" t="n">
        <v>1</v>
      </c>
      <c r="Q86" s="4" t="n">
        <v>2175</v>
      </c>
      <c r="R86" s="3" t="inlineStr">
        <is>
          <t>자연녹지지역</t>
        </is>
      </c>
      <c r="S86" s="3" t="inlineStr">
        <is>
          <t>공업용</t>
        </is>
      </c>
      <c r="T86" s="3" t="inlineStr">
        <is>
          <t>평지</t>
        </is>
      </c>
      <c r="U86" s="3" t="inlineStr">
        <is>
          <t>부정형</t>
        </is>
      </c>
      <c r="V86" s="3" t="inlineStr">
        <is>
          <t>중로한면</t>
        </is>
      </c>
    </row>
    <row r="87">
      <c r="A87" s="3" t="inlineStr">
        <is>
          <t>강내면 월곡리 194-1</t>
        </is>
      </c>
      <c r="B87" s="3" t="inlineStr">
        <is>
          <t>생산녹지지역</t>
        </is>
      </c>
      <c r="C87" s="3" t="inlineStr">
        <is>
          <t>답</t>
        </is>
      </c>
      <c r="D87" s="3" t="inlineStr">
        <is>
          <t>대</t>
        </is>
      </c>
      <c r="E87" s="3" t="inlineStr">
        <is>
          <t>매매</t>
        </is>
      </c>
      <c r="F87" s="4" t="n">
        <v>190000</v>
      </c>
      <c r="G87" s="4" t="n">
        <v>5113</v>
      </c>
      <c r="H87" s="4" t="n">
        <v>1547</v>
      </c>
      <c r="I87" s="5" t="n">
        <v>122.8</v>
      </c>
      <c r="J87" s="5" t="n">
        <v>30.9</v>
      </c>
      <c r="K87" s="3" t="inlineStr">
        <is>
          <t>흥덕구청 주변의 충청대 진입로 옆 대로변입니다.</t>
        </is>
      </c>
      <c r="L87" s="6">
        <f>HYPERLINK("https://fin.land.naver.com/articles/2649766878", "매물Link")</f>
        <v/>
      </c>
      <c r="M87" s="6">
        <f>HYPERLINK("https://map.naver.com/p/search/강내면 월곡리 194-1", "지도Link")</f>
        <v/>
      </c>
      <c r="N87" s="6">
        <f>HYPERLINK("http://www.eum.go.kr/web/ar/lu/luLandDet.jsp?pnu=4311331034101940001&amp;isNoScr=script&amp;mode=search", "토지이음")</f>
        <v/>
      </c>
      <c r="O87" s="3" t="inlineStr">
        <is>
          <t>현대</t>
        </is>
      </c>
      <c r="P87" s="4" t="n">
        <v>1</v>
      </c>
      <c r="Q87" s="4" t="n">
        <v>1915</v>
      </c>
      <c r="R87" s="3" t="inlineStr">
        <is>
          <t>지정되지않음</t>
        </is>
      </c>
      <c r="S87" s="3" t="inlineStr">
        <is>
          <t>답</t>
        </is>
      </c>
      <c r="T87" s="3" t="inlineStr">
        <is>
          <t>평지</t>
        </is>
      </c>
      <c r="U87" s="3" t="inlineStr">
        <is>
          <t>세로장방</t>
        </is>
      </c>
      <c r="V87" s="3" t="inlineStr">
        <is>
          <t>세로한면(가)</t>
        </is>
      </c>
    </row>
    <row r="88">
      <c r="A88" s="3" t="inlineStr">
        <is>
          <t>강내면 월곡리 208-1</t>
        </is>
      </c>
      <c r="B88" s="3" t="inlineStr">
        <is>
          <t>생산녹지지역</t>
        </is>
      </c>
      <c r="C88" s="3" t="inlineStr">
        <is>
          <t>답</t>
        </is>
      </c>
      <c r="D88" s="3" t="inlineStr">
        <is>
          <t>답</t>
        </is>
      </c>
      <c r="E88" s="3" t="inlineStr">
        <is>
          <t>매매</t>
        </is>
      </c>
      <c r="F88" s="4" t="n">
        <v>88000</v>
      </c>
      <c r="G88" s="4" t="n">
        <v>2434</v>
      </c>
      <c r="H88" s="4" t="n">
        <v>736</v>
      </c>
      <c r="I88" s="5" t="n">
        <v>119.6</v>
      </c>
      <c r="J88" s="5" t="n">
        <v>30.6</v>
      </c>
      <c r="K88" s="3" t="inlineStr">
        <is>
          <t>도시지역 생산녹지지역 흥덕구청  충청전문대 있는 인근  투자가치 뿜뿜</t>
        </is>
      </c>
      <c r="L88" s="6">
        <f>HYPERLINK("https://fin.land.naver.com/articles/2651291195", "매물Link")</f>
        <v/>
      </c>
      <c r="M88" s="6">
        <f>HYPERLINK("https://map.naver.com/p/search/강내면 월곡리 208-1", "지도Link")</f>
        <v/>
      </c>
      <c r="N88" s="6">
        <f>HYPERLINK("http://www.eum.go.kr/web/ar/lu/luLandDet.jsp?pnu=4311331034102080001&amp;isNoScr=script&amp;mode=search", "토지이음")</f>
        <v/>
      </c>
      <c r="O88" s="3" t="inlineStr">
        <is>
          <t>오송퍼스트영웅</t>
        </is>
      </c>
      <c r="P88" s="4" t="n">
        <v>1</v>
      </c>
      <c r="Q88" s="4" t="n">
        <v>2291</v>
      </c>
      <c r="R88" s="3" t="inlineStr">
        <is>
          <t>지정되지않음</t>
        </is>
      </c>
      <c r="S88" s="3" t="inlineStr">
        <is>
          <t>답</t>
        </is>
      </c>
      <c r="T88" s="3" t="inlineStr">
        <is>
          <t>평지</t>
        </is>
      </c>
      <c r="U88" s="3" t="inlineStr">
        <is>
          <t>세로장방</t>
        </is>
      </c>
      <c r="V88" s="3" t="inlineStr">
        <is>
          <t>세로한면(가)</t>
        </is>
      </c>
    </row>
    <row r="89">
      <c r="A89" s="3" t="inlineStr">
        <is>
          <t>강내면 월곡리 331-15</t>
        </is>
      </c>
      <c r="B89" s="3" t="inlineStr">
        <is>
          <t>제1종일반주거지역</t>
        </is>
      </c>
      <c r="C89" s="3" t="inlineStr">
        <is>
          <t>대</t>
        </is>
      </c>
      <c r="D89" s="3" t="inlineStr">
        <is>
          <t>대</t>
        </is>
      </c>
      <c r="E89" s="3" t="inlineStr">
        <is>
          <t>매매</t>
        </is>
      </c>
      <c r="F89" s="4" t="n">
        <v>30000</v>
      </c>
      <c r="G89" s="4" t="n">
        <v>414</v>
      </c>
      <c r="H89" s="4" t="n">
        <v>125</v>
      </c>
      <c r="I89" s="5" t="n">
        <v>240</v>
      </c>
      <c r="J89" s="5" t="n">
        <v>149.1</v>
      </c>
      <c r="K89" s="3" t="inlineStr">
        <is>
          <t>충청대 바로 옆 나대지</t>
        </is>
      </c>
      <c r="L89" s="6">
        <f>HYPERLINK("https://fin.land.naver.com/articles/2650136338", "매물Link")</f>
        <v/>
      </c>
      <c r="M89" s="6">
        <f>HYPERLINK("https://map.naver.com/p/search/강내면 월곡리 331-15", "지도Link")</f>
        <v/>
      </c>
      <c r="N89" s="6">
        <f>HYPERLINK("http://www.eum.go.kr/web/ar/lu/luLandDet.jsp?pnu=4311331034103310015&amp;isNoScr=script&amp;mode=search", "토지이음")</f>
        <v/>
      </c>
      <c r="O89" s="3" t="inlineStr">
        <is>
          <t>정민</t>
        </is>
      </c>
      <c r="P89" s="4" t="n">
        <v>2</v>
      </c>
      <c r="Q89" s="4" t="n">
        <v>414</v>
      </c>
      <c r="R89" s="3" t="inlineStr">
        <is>
          <t>지정되지않음</t>
        </is>
      </c>
      <c r="S89" s="3" t="inlineStr">
        <is>
          <t>주거기타</t>
        </is>
      </c>
      <c r="T89" s="3" t="inlineStr">
        <is>
          <t>평지</t>
        </is>
      </c>
      <c r="U89" s="3" t="inlineStr">
        <is>
          <t>사다리형</t>
        </is>
      </c>
      <c r="V89" s="3" t="inlineStr">
        <is>
          <t>세로한면(가)</t>
        </is>
      </c>
    </row>
    <row r="90">
      <c r="A90" s="3" t="inlineStr">
        <is>
          <t>강내면 월곡리 363</t>
        </is>
      </c>
      <c r="B90" s="3" t="inlineStr">
        <is>
          <t>제2종일반주거지역</t>
        </is>
      </c>
      <c r="C90" s="3" t="inlineStr">
        <is>
          <t>답</t>
        </is>
      </c>
      <c r="D90" s="3" t="inlineStr">
        <is>
          <t>답</t>
        </is>
      </c>
      <c r="E90" s="3" t="inlineStr">
        <is>
          <t>매매</t>
        </is>
      </c>
      <c r="F90" s="4" t="n">
        <v>40000</v>
      </c>
      <c r="G90" s="4" t="n">
        <v>329</v>
      </c>
      <c r="H90" s="4" t="n">
        <v>100</v>
      </c>
      <c r="I90" s="5" t="n">
        <v>400</v>
      </c>
      <c r="J90" s="5" t="n">
        <v>151.5</v>
      </c>
      <c r="K90" s="3" t="inlineStr">
        <is>
          <t>사차선 코너 자리 상가자리</t>
        </is>
      </c>
      <c r="L90" s="6">
        <f>HYPERLINK("https://fin.land.naver.com/articles/2653407996", "매물Link")</f>
        <v/>
      </c>
      <c r="M90" s="6">
        <f>HYPERLINK("https://map.naver.com/p/search/강내면 월곡리 363", "지도Link")</f>
        <v/>
      </c>
      <c r="N90" s="6">
        <f>HYPERLINK("http://www.eum.go.kr/web/ar/lu/luLandDet.jsp?pnu=4311331034103630000&amp;isNoScr=script&amp;mode=search", "토지이음")</f>
        <v/>
      </c>
      <c r="O90" s="3" t="inlineStr">
        <is>
          <t>G세계로무소</t>
        </is>
      </c>
      <c r="P90" s="4" t="n">
        <v>1</v>
      </c>
      <c r="Q90" s="4" t="n">
        <v>329</v>
      </c>
      <c r="R90" s="3" t="inlineStr">
        <is>
          <t>지정되지않음</t>
        </is>
      </c>
      <c r="S90" s="3" t="inlineStr">
        <is>
          <t>주거나지</t>
        </is>
      </c>
      <c r="T90" s="3" t="inlineStr">
        <is>
          <t>평지</t>
        </is>
      </c>
      <c r="U90" s="3" t="inlineStr">
        <is>
          <t>부정형</t>
        </is>
      </c>
      <c r="V90" s="3" t="inlineStr">
        <is>
          <t>중로한면</t>
        </is>
      </c>
    </row>
    <row r="91">
      <c r="A91" s="3" t="inlineStr">
        <is>
          <t>강내면 월곡리 385-2</t>
        </is>
      </c>
      <c r="B91" s="3" t="inlineStr">
        <is>
          <t>자연녹지지역</t>
        </is>
      </c>
      <c r="C91" s="3" t="inlineStr">
        <is>
          <t>답</t>
        </is>
      </c>
      <c r="D91" s="3" t="inlineStr">
        <is>
          <t>답</t>
        </is>
      </c>
      <c r="E91" s="3" t="inlineStr">
        <is>
          <t>매매</t>
        </is>
      </c>
      <c r="F91" s="4" t="n">
        <v>80000</v>
      </c>
      <c r="G91" s="4" t="n">
        <v>3124</v>
      </c>
      <c r="H91" s="4" t="n">
        <v>945</v>
      </c>
      <c r="I91" s="5" t="n">
        <v>84.7</v>
      </c>
      <c r="J91" s="5" t="n">
        <v>42</v>
      </c>
      <c r="K91" s="3" t="inlineStr">
        <is>
          <t>콘크리트 포장된 농로 접해 있음</t>
        </is>
      </c>
      <c r="L91" s="6">
        <f>HYPERLINK("https://fin.land.naver.com/articles/2653445731", "매물Link")</f>
        <v/>
      </c>
      <c r="M91" s="6">
        <f>HYPERLINK("https://map.naver.com/p/search/강내면 월곡리 385-2", "지도Link")</f>
        <v/>
      </c>
      <c r="N91" s="6">
        <f>HYPERLINK("http://www.eum.go.kr/web/ar/lu/luLandDet.jsp?pnu=4311331034103850002&amp;isNoScr=script&amp;mode=search", "토지이음")</f>
        <v/>
      </c>
      <c r="O91" s="3" t="inlineStr">
        <is>
          <t>제이</t>
        </is>
      </c>
      <c r="P91" s="4" t="n">
        <v>1</v>
      </c>
      <c r="Q91" s="4" t="n">
        <v>3124</v>
      </c>
      <c r="R91" s="3" t="inlineStr">
        <is>
          <t>지정되지않음</t>
        </is>
      </c>
      <c r="S91" s="3" t="inlineStr">
        <is>
          <t>답</t>
        </is>
      </c>
      <c r="T91" s="3" t="inlineStr">
        <is>
          <t>평지</t>
        </is>
      </c>
      <c r="U91" s="3" t="inlineStr">
        <is>
          <t>부정형</t>
        </is>
      </c>
      <c r="V91" s="3" t="inlineStr">
        <is>
          <t>맹지</t>
        </is>
      </c>
    </row>
    <row r="92">
      <c r="A92" s="3" t="inlineStr">
        <is>
          <t>강내면 월곡리 74-1</t>
        </is>
      </c>
      <c r="B92" s="3" t="inlineStr">
        <is>
          <t>자연녹지지역</t>
        </is>
      </c>
      <c r="C92" s="3" t="inlineStr">
        <is>
          <t>대</t>
        </is>
      </c>
      <c r="D92" s="3" t="inlineStr">
        <is>
          <t>대</t>
        </is>
      </c>
      <c r="E92" s="3" t="inlineStr">
        <is>
          <t>매매</t>
        </is>
      </c>
      <c r="F92" s="4" t="n">
        <v>120000</v>
      </c>
      <c r="G92" s="4" t="n">
        <v>1322</v>
      </c>
      <c r="H92" s="4" t="n">
        <v>400</v>
      </c>
      <c r="I92" s="5" t="n">
        <v>300</v>
      </c>
      <c r="J92" s="5" t="n">
        <v>82.40000000000001</v>
      </c>
      <c r="K92" s="3" t="inlineStr">
        <is>
          <t>청주 ic, 흥덕구청, 충청대 인근에 위치</t>
        </is>
      </c>
      <c r="L92" s="6">
        <f>HYPERLINK("https://fin.land.naver.com/articles/2650914307", "매물Link")</f>
        <v/>
      </c>
      <c r="M92" s="6">
        <f>HYPERLINK("https://map.naver.com/p/search/강내면 월곡리 74-1", "지도Link")</f>
        <v/>
      </c>
      <c r="N92" s="6">
        <f>HYPERLINK("http://www.eum.go.kr/web/ar/lu/luLandDet.jsp?pnu=4311331034100740001&amp;isNoScr=script&amp;mode=search", "토지이음")</f>
        <v/>
      </c>
      <c r="O92" s="3" t="inlineStr">
        <is>
          <t>제이</t>
        </is>
      </c>
      <c r="P92" s="4" t="n">
        <v>1</v>
      </c>
      <c r="Q92" s="4" t="n">
        <v>1322</v>
      </c>
      <c r="R92" s="3" t="inlineStr">
        <is>
          <t>지정되지않음</t>
        </is>
      </c>
      <c r="S92" s="3" t="inlineStr">
        <is>
          <t>주거기타</t>
        </is>
      </c>
      <c r="T92" s="3" t="inlineStr">
        <is>
          <t>평지</t>
        </is>
      </c>
      <c r="U92" s="3" t="inlineStr">
        <is>
          <t>사다리형</t>
        </is>
      </c>
      <c r="V92" s="3" t="inlineStr">
        <is>
          <t>세로한면(가)</t>
        </is>
      </c>
    </row>
    <row r="93">
      <c r="A93" s="3" t="inlineStr">
        <is>
          <t>강내면 월탄리 131-1</t>
        </is>
      </c>
      <c r="B93" s="3" t="inlineStr">
        <is>
          <t>생산관리지역</t>
        </is>
      </c>
      <c r="C93" s="3" t="inlineStr">
        <is>
          <t>답</t>
        </is>
      </c>
      <c r="D93" s="3" t="inlineStr">
        <is>
          <t>답</t>
        </is>
      </c>
      <c r="E93" s="3" t="inlineStr">
        <is>
          <t>매매</t>
        </is>
      </c>
      <c r="F93" s="4" t="n">
        <v>49500</v>
      </c>
      <c r="G93" s="4" t="n">
        <v>1090</v>
      </c>
      <c r="H93" s="4" t="n">
        <v>330</v>
      </c>
      <c r="I93" s="5" t="n">
        <v>150</v>
      </c>
      <c r="J93" s="5" t="n">
        <v>20.6</v>
      </c>
      <c r="K93" s="3" t="inlineStr">
        <is>
          <t>미호천 제방공사 후 지가상승 예상</t>
        </is>
      </c>
      <c r="L93" s="6">
        <f>HYPERLINK("https://fin.land.naver.com/articles/2649617360", "매물Link")</f>
        <v/>
      </c>
      <c r="M93" s="6">
        <f>HYPERLINK("https://map.naver.com/p/search/강내면 월탄리 131-1", "지도Link")</f>
        <v/>
      </c>
      <c r="N93" s="6">
        <f>HYPERLINK("http://www.eum.go.kr/web/ar/lu/luLandDet.jsp?pnu=4311331030101310001&amp;isNoScr=script&amp;mode=search", "토지이음")</f>
        <v/>
      </c>
      <c r="O93" s="3" t="inlineStr">
        <is>
          <t>조은</t>
        </is>
      </c>
      <c r="P93" s="4" t="n">
        <v>1</v>
      </c>
      <c r="Q93" s="4" t="n">
        <v>1090</v>
      </c>
      <c r="R93" s="3" t="inlineStr">
        <is>
          <t>지정되지않음</t>
        </is>
      </c>
      <c r="S93" s="3" t="inlineStr">
        <is>
          <t>답</t>
        </is>
      </c>
      <c r="T93" s="3" t="inlineStr">
        <is>
          <t>평지</t>
        </is>
      </c>
      <c r="U93" s="3" t="inlineStr">
        <is>
          <t>부정형</t>
        </is>
      </c>
      <c r="V93" s="3" t="inlineStr">
        <is>
          <t>세로한면(가)</t>
        </is>
      </c>
    </row>
    <row r="94">
      <c r="A94" s="3" t="inlineStr">
        <is>
          <t>강내면 월탄리 131-1</t>
        </is>
      </c>
      <c r="B94" s="3" t="inlineStr">
        <is>
          <t>생산관리지역</t>
        </is>
      </c>
      <c r="C94" s="3" t="inlineStr">
        <is>
          <t>답</t>
        </is>
      </c>
      <c r="D94" s="3" t="inlineStr">
        <is>
          <t>답</t>
        </is>
      </c>
      <c r="E94" s="3" t="inlineStr">
        <is>
          <t>매매</t>
        </is>
      </c>
      <c r="F94" s="4" t="n">
        <v>49500</v>
      </c>
      <c r="G94" s="4" t="n">
        <v>1090</v>
      </c>
      <c r="H94" s="4" t="n">
        <v>330</v>
      </c>
      <c r="I94" s="5" t="n">
        <v>150</v>
      </c>
      <c r="J94" s="5" t="n">
        <v>20.6</v>
      </c>
      <c r="K94" s="3" t="inlineStr">
        <is>
          <t>오송근교 오송역ktx역, 국가오송3단지 차량 5분거리 미호강부근</t>
        </is>
      </c>
      <c r="L94" s="6">
        <f>HYPERLINK("https://fin.land.naver.com/articles/2651704276", "매물Link")</f>
        <v/>
      </c>
      <c r="M94" s="6">
        <f>HYPERLINK("https://map.naver.com/p/search/강내면 월탄리 131-1", "지도Link")</f>
        <v/>
      </c>
      <c r="N94" s="6">
        <f>HYPERLINK("http://www.eum.go.kr/web/ar/lu/luLandDet.jsp?pnu=4311331030101310001&amp;isNoScr=script&amp;mode=search", "토지이음")</f>
        <v/>
      </c>
      <c r="O94" s="3" t="inlineStr">
        <is>
          <t>-</t>
        </is>
      </c>
      <c r="P94" s="4" t="n">
        <v>1</v>
      </c>
      <c r="Q94" s="4" t="n">
        <v>1090</v>
      </c>
      <c r="R94" s="3" t="inlineStr">
        <is>
          <t>지정되지않음</t>
        </is>
      </c>
      <c r="S94" s="3" t="inlineStr">
        <is>
          <t>답</t>
        </is>
      </c>
      <c r="T94" s="3" t="inlineStr">
        <is>
          <t>평지</t>
        </is>
      </c>
      <c r="U94" s="3" t="inlineStr">
        <is>
          <t>부정형</t>
        </is>
      </c>
      <c r="V94" s="3" t="inlineStr">
        <is>
          <t>세로한면(가)</t>
        </is>
      </c>
    </row>
    <row r="95">
      <c r="A95" s="3" t="inlineStr">
        <is>
          <t>강내면 월탄리 131-1</t>
        </is>
      </c>
      <c r="B95" s="3" t="inlineStr">
        <is>
          <t>생산관리지역</t>
        </is>
      </c>
      <c r="C95" s="3" t="inlineStr">
        <is>
          <t>답</t>
        </is>
      </c>
      <c r="D95" s="3" t="inlineStr">
        <is>
          <t>답</t>
        </is>
      </c>
      <c r="E95" s="3" t="inlineStr">
        <is>
          <t>매매</t>
        </is>
      </c>
      <c r="F95" s="4" t="n">
        <v>49500</v>
      </c>
      <c r="G95" s="4" t="n">
        <v>1090</v>
      </c>
      <c r="H95" s="4" t="n">
        <v>330</v>
      </c>
      <c r="I95" s="5" t="n">
        <v>150</v>
      </c>
      <c r="J95" s="5" t="n">
        <v>20.6</v>
      </c>
      <c r="K95" s="3" t="inlineStr">
        <is>
          <t>도로에접 생산관리 오송역 인근 토지로 장래 투자가치 있어요</t>
        </is>
      </c>
      <c r="L95" s="6">
        <f>HYPERLINK("https://fin.land.naver.com/articles/2652339427", "매물Link")</f>
        <v/>
      </c>
      <c r="M95" s="6">
        <f>HYPERLINK("https://map.naver.com/p/search/강내면 월탄리 131-1", "지도Link")</f>
        <v/>
      </c>
      <c r="N95" s="6">
        <f>HYPERLINK("http://www.eum.go.kr/web/ar/lu/luLandDet.jsp?pnu=4311331030101310001&amp;isNoScr=script&amp;mode=search", "토지이음")</f>
        <v/>
      </c>
      <c r="O95" s="3" t="inlineStr">
        <is>
          <t>병천참조은</t>
        </is>
      </c>
      <c r="P95" s="4" t="n">
        <v>1</v>
      </c>
      <c r="Q95" s="4" t="n">
        <v>1090</v>
      </c>
      <c r="R95" s="3" t="inlineStr">
        <is>
          <t>지정되지않음</t>
        </is>
      </c>
      <c r="S95" s="3" t="inlineStr">
        <is>
          <t>답</t>
        </is>
      </c>
      <c r="T95" s="3" t="inlineStr">
        <is>
          <t>평지</t>
        </is>
      </c>
      <c r="U95" s="3" t="inlineStr">
        <is>
          <t>부정형</t>
        </is>
      </c>
      <c r="V95" s="3" t="inlineStr">
        <is>
          <t>세로한면(가)</t>
        </is>
      </c>
    </row>
    <row r="96">
      <c r="A96" s="3" t="inlineStr">
        <is>
          <t>강내면 월탄리 131-1</t>
        </is>
      </c>
      <c r="B96" s="3" t="inlineStr">
        <is>
          <t>생산관리지역</t>
        </is>
      </c>
      <c r="C96" s="3" t="inlineStr">
        <is>
          <t>답</t>
        </is>
      </c>
      <c r="D96" s="3" t="inlineStr">
        <is>
          <t>답</t>
        </is>
      </c>
      <c r="E96" s="3" t="inlineStr">
        <is>
          <t>매매</t>
        </is>
      </c>
      <c r="F96" s="4" t="n">
        <v>49500</v>
      </c>
      <c r="G96" s="4" t="n">
        <v>1090</v>
      </c>
      <c r="H96" s="4" t="n">
        <v>330</v>
      </c>
      <c r="I96" s="5" t="n">
        <v>150</v>
      </c>
      <c r="J96" s="5" t="n">
        <v>20.6</v>
      </c>
      <c r="K96" s="3" t="inlineStr">
        <is>
          <t>강내면 월탄리 토지매매 1차선도로 구거접</t>
        </is>
      </c>
      <c r="L96" s="6">
        <f>HYPERLINK("https://fin.land.naver.com/articles/2652079092", "매물Link")</f>
        <v/>
      </c>
      <c r="M96" s="6">
        <f>HYPERLINK("https://map.naver.com/p/search/강내면 월탄리 131-1", "지도Link")</f>
        <v/>
      </c>
      <c r="N96" s="6">
        <f>HYPERLINK("http://www.eum.go.kr/web/ar/lu/luLandDet.jsp?pnu=4311331030101310001&amp;isNoScr=script&amp;mode=search", "토지이음")</f>
        <v/>
      </c>
      <c r="O96" s="3" t="inlineStr">
        <is>
          <t>탄탄</t>
        </is>
      </c>
      <c r="P96" s="4" t="n">
        <v>1</v>
      </c>
      <c r="Q96" s="4" t="n">
        <v>1090</v>
      </c>
      <c r="R96" s="3" t="inlineStr">
        <is>
          <t>지정되지않음</t>
        </is>
      </c>
      <c r="S96" s="3" t="inlineStr">
        <is>
          <t>답</t>
        </is>
      </c>
      <c r="T96" s="3" t="inlineStr">
        <is>
          <t>평지</t>
        </is>
      </c>
      <c r="U96" s="3" t="inlineStr">
        <is>
          <t>부정형</t>
        </is>
      </c>
      <c r="V96" s="3" t="inlineStr">
        <is>
          <t>세로한면(가)</t>
        </is>
      </c>
    </row>
    <row r="97">
      <c r="A97" s="3" t="inlineStr">
        <is>
          <t>강내면 월탄리 135-12</t>
        </is>
      </c>
      <c r="B97" s="3" t="inlineStr">
        <is>
          <t>계획관리지역</t>
        </is>
      </c>
      <c r="C97" s="3" t="inlineStr">
        <is>
          <t>대</t>
        </is>
      </c>
      <c r="D97" s="3" t="inlineStr">
        <is>
          <t>대</t>
        </is>
      </c>
      <c r="E97" s="3" t="inlineStr">
        <is>
          <t>매매</t>
        </is>
      </c>
      <c r="F97" s="4" t="n">
        <v>700000</v>
      </c>
      <c r="G97" s="4" t="n">
        <v>6974</v>
      </c>
      <c r="H97" s="4" t="n">
        <v>2110</v>
      </c>
      <c r="I97" s="5" t="n">
        <v>331.8</v>
      </c>
      <c r="J97" s="5" t="n">
        <v>91.40000000000001</v>
      </c>
      <c r="K97" s="3" t="inlineStr">
        <is>
          <t>M 해당토지외 8필지 포함. 대로변 위치 좋은 토지 매매 M</t>
        </is>
      </c>
      <c r="L97" s="6">
        <f>HYPERLINK("https://fin.land.naver.com/articles/2651130600", "매물Link")</f>
        <v/>
      </c>
      <c r="M97" s="6">
        <f>HYPERLINK("https://map.naver.com/p/search/강내면 월탄리 135-12", "지도Link")</f>
        <v/>
      </c>
      <c r="N97" s="6">
        <f>HYPERLINK("http://www.eum.go.kr/web/ar/lu/luLandDet.jsp?pnu=4311331030101350012&amp;isNoScr=script&amp;mode=search", "토지이음")</f>
        <v/>
      </c>
      <c r="O97" s="3" t="inlineStr">
        <is>
          <t>채움</t>
        </is>
      </c>
      <c r="P97" s="4" t="n">
        <v>1</v>
      </c>
      <c r="Q97" s="4" t="n">
        <v>1486</v>
      </c>
      <c r="R97" s="3" t="inlineStr">
        <is>
          <t>자연녹지지역</t>
        </is>
      </c>
      <c r="S97" s="3" t="inlineStr">
        <is>
          <t>주거기타</t>
        </is>
      </c>
      <c r="T97" s="3" t="inlineStr">
        <is>
          <t>평지</t>
        </is>
      </c>
      <c r="U97" s="3" t="inlineStr">
        <is>
          <t>부정형</t>
        </is>
      </c>
      <c r="V97" s="3" t="inlineStr">
        <is>
          <t>중로한면</t>
        </is>
      </c>
    </row>
    <row r="98">
      <c r="A98" s="3" t="inlineStr">
        <is>
          <t>강내면 월탄리 231</t>
        </is>
      </c>
      <c r="B98" s="3" t="inlineStr">
        <is>
          <t>자연녹지지역</t>
        </is>
      </c>
      <c r="C98" s="3" t="inlineStr">
        <is>
          <t>임야</t>
        </is>
      </c>
      <c r="D98" s="3" t="inlineStr">
        <is>
          <t>임야</t>
        </is>
      </c>
      <c r="E98" s="3" t="inlineStr">
        <is>
          <t>매매</t>
        </is>
      </c>
      <c r="F98" s="4" t="n">
        <v>98000</v>
      </c>
      <c r="G98" s="4" t="n">
        <v>785</v>
      </c>
      <c r="H98" s="4" t="n">
        <v>237</v>
      </c>
      <c r="I98" s="5" t="n">
        <v>413.5</v>
      </c>
      <c r="J98" s="5" t="n">
        <v>30.6</v>
      </c>
      <c r="K98" s="3" t="inlineStr">
        <is>
          <t>미호강 강조망 근생허가 희소 토지 조율가능</t>
        </is>
      </c>
      <c r="L98" s="6">
        <f>HYPERLINK("https://fin.land.naver.com/articles/2652136996", "매물Link")</f>
        <v/>
      </c>
      <c r="M98" s="6">
        <f>HYPERLINK("https://map.naver.com/p/search/강내면 월탄리 231", "지도Link")</f>
        <v/>
      </c>
      <c r="N98" s="6">
        <f>HYPERLINK("http://www.eum.go.kr/web/ar/lu/luLandDet.jsp?pnu=4311331030102310000&amp;isNoScr=script&amp;mode=search", "토지이음")</f>
        <v/>
      </c>
      <c r="O98" s="3" t="inlineStr">
        <is>
          <t>세종스타</t>
        </is>
      </c>
      <c r="P98" s="4" t="n">
        <v>1</v>
      </c>
      <c r="Q98" s="4" t="n">
        <v>785</v>
      </c>
      <c r="R98" s="3" t="inlineStr">
        <is>
          <t>지정되지않음</t>
        </is>
      </c>
      <c r="S98" s="3" t="inlineStr">
        <is>
          <t>전기타</t>
        </is>
      </c>
      <c r="T98" s="3" t="inlineStr">
        <is>
          <t>완경사</t>
        </is>
      </c>
      <c r="U98" s="3" t="inlineStr">
        <is>
          <t>부정형</t>
        </is>
      </c>
      <c r="V98" s="3" t="inlineStr">
        <is>
          <t>세로한면(불)</t>
        </is>
      </c>
    </row>
    <row r="99">
      <c r="A99" s="3" t="inlineStr">
        <is>
          <t>강내면 월탄리 49-18</t>
        </is>
      </c>
      <c r="B99" s="3" t="inlineStr">
        <is>
          <t>계획관리지역</t>
        </is>
      </c>
      <c r="C99" s="3" t="inlineStr">
        <is>
          <t>답</t>
        </is>
      </c>
      <c r="D99" s="3" t="inlineStr">
        <is>
          <t>답</t>
        </is>
      </c>
      <c r="E99" s="3" t="inlineStr">
        <is>
          <t>매매</t>
        </is>
      </c>
      <c r="F99" s="4" t="n">
        <v>175000</v>
      </c>
      <c r="G99" s="4" t="n">
        <v>1706</v>
      </c>
      <c r="H99" s="4" t="n">
        <v>516</v>
      </c>
      <c r="I99" s="5" t="n">
        <v>339.1</v>
      </c>
      <c r="J99" s="5" t="n">
        <v>48.2</v>
      </c>
      <c r="K99" s="3" t="inlineStr">
        <is>
          <t>3동 다가구 건축 가능한 토지 ,대학가 옆에 위치한 땅</t>
        </is>
      </c>
      <c r="L99" s="6">
        <f>HYPERLINK("https://fin.land.naver.com/articles/2653292859", "매물Link")</f>
        <v/>
      </c>
      <c r="M99" s="6">
        <f>HYPERLINK("https://map.naver.com/p/search/강내면 월탄리 49-18", "지도Link")</f>
        <v/>
      </c>
      <c r="N99" s="6">
        <f>HYPERLINK("http://www.eum.go.kr/web/ar/lu/luLandDet.jsp?pnu=4311331030100490018&amp;isNoScr=script&amp;mode=search", "토지이음")</f>
        <v/>
      </c>
      <c r="O99" s="3" t="inlineStr">
        <is>
          <t>동남이지</t>
        </is>
      </c>
      <c r="P99" s="4" t="n">
        <v>1</v>
      </c>
      <c r="Q99" s="4" t="n">
        <v>1706</v>
      </c>
      <c r="R99" s="3" t="inlineStr">
        <is>
          <t>지정되지않음</t>
        </is>
      </c>
      <c r="S99" s="3" t="inlineStr">
        <is>
          <t>답</t>
        </is>
      </c>
      <c r="T99" s="3" t="inlineStr">
        <is>
          <t>평지</t>
        </is>
      </c>
      <c r="U99" s="3" t="inlineStr">
        <is>
          <t>부정형</t>
        </is>
      </c>
      <c r="V99" s="3" t="inlineStr">
        <is>
          <t>세로각지(가)</t>
        </is>
      </c>
    </row>
    <row r="100">
      <c r="A100" s="3" t="inlineStr">
        <is>
          <t>강내면 월탄리 85</t>
        </is>
      </c>
      <c r="B100" s="3" t="inlineStr">
        <is>
          <t>계획관리지역</t>
        </is>
      </c>
      <c r="C100" s="3" t="inlineStr">
        <is>
          <t>전</t>
        </is>
      </c>
      <c r="D100" s="3" t="inlineStr">
        <is>
          <t>전</t>
        </is>
      </c>
      <c r="E100" s="3" t="inlineStr">
        <is>
          <t>매매</t>
        </is>
      </c>
      <c r="F100" s="4" t="n">
        <v>16300</v>
      </c>
      <c r="G100" s="4" t="n">
        <v>450</v>
      </c>
      <c r="H100" s="4" t="n">
        <v>136</v>
      </c>
      <c r="I100" s="5" t="n">
        <v>119.9</v>
      </c>
      <c r="J100" s="5" t="n">
        <v>42.4</v>
      </c>
      <c r="K100" s="3" t="inlineStr">
        <is>
          <t>한국교원대 인근 수익성 다가구주택 건축 추천</t>
        </is>
      </c>
      <c r="L100" s="6">
        <f>HYPERLINK("https://fin.land.naver.com/articles/2651792442", "매물Link")</f>
        <v/>
      </c>
      <c r="M100" s="6">
        <f>HYPERLINK("https://map.naver.com/p/search/강내면 월탄리 85", "지도Link")</f>
        <v/>
      </c>
      <c r="N100" s="6">
        <f>HYPERLINK("http://www.eum.go.kr/web/ar/lu/luLandDet.jsp?pnu=4311331030100850000&amp;isNoScr=script&amp;mode=search", "토지이음")</f>
        <v/>
      </c>
      <c r="O100" s="3" t="inlineStr">
        <is>
          <t>더원</t>
        </is>
      </c>
      <c r="P100" s="4" t="n">
        <v>1</v>
      </c>
      <c r="Q100" s="4" t="n">
        <v>450</v>
      </c>
      <c r="R100" s="3" t="inlineStr">
        <is>
          <t>지정되지않음</t>
        </is>
      </c>
      <c r="S100" s="3" t="inlineStr">
        <is>
          <t>전기타</t>
        </is>
      </c>
      <c r="T100" s="3" t="inlineStr">
        <is>
          <t>완경사</t>
        </is>
      </c>
      <c r="U100" s="3" t="inlineStr">
        <is>
          <t>사다리형</t>
        </is>
      </c>
      <c r="V100" s="3" t="inlineStr">
        <is>
          <t>세로한면(가)</t>
        </is>
      </c>
    </row>
    <row r="101">
      <c r="A101" s="3" t="inlineStr">
        <is>
          <t>강내면 월탄리 산6</t>
        </is>
      </c>
      <c r="B101" s="3" t="inlineStr">
        <is>
          <t>자연녹지지역</t>
        </is>
      </c>
      <c r="C101" s="3" t="inlineStr">
        <is>
          <t>임야</t>
        </is>
      </c>
      <c r="D101" s="3" t="inlineStr">
        <is>
          <t>임야</t>
        </is>
      </c>
      <c r="E101" s="3" t="inlineStr">
        <is>
          <t>매매</t>
        </is>
      </c>
      <c r="F101" s="4" t="n">
        <v>59000</v>
      </c>
      <c r="G101" s="4" t="n">
        <v>840</v>
      </c>
      <c r="H101" s="4" t="n">
        <v>254</v>
      </c>
      <c r="I101" s="5" t="n">
        <v>232.3</v>
      </c>
      <c r="J101" s="5" t="n">
        <v>15.7</v>
      </c>
      <c r="K101" s="3" t="inlineStr">
        <is>
          <t>강내면 월탄리 임야 매매 대로변 2종근생 건축승인 자동차관련 창고등</t>
        </is>
      </c>
      <c r="L101" s="6">
        <f>HYPERLINK("https://fin.land.naver.com/articles/2652718670", "매물Link")</f>
        <v/>
      </c>
      <c r="M101" s="6">
        <f>HYPERLINK("https://map.naver.com/p/search/강내면 월탄리 산6", "지도Link")</f>
        <v/>
      </c>
      <c r="N101" s="6">
        <f>HYPERLINK("http://www.eum.go.kr/web/ar/lu/luLandDet.jsp?pnu=4311331030200060000&amp;isNoScr=script&amp;mode=search", "토지이음")</f>
        <v/>
      </c>
      <c r="O101" s="3" t="inlineStr">
        <is>
          <t>그린</t>
        </is>
      </c>
      <c r="P101" s="4" t="n">
        <v>1</v>
      </c>
      <c r="Q101" s="4" t="n">
        <v>746</v>
      </c>
      <c r="R101" s="3" t="inlineStr">
        <is>
          <t>지정되지않음</t>
        </is>
      </c>
      <c r="S101" s="3" t="inlineStr">
        <is>
          <t>자연림</t>
        </is>
      </c>
      <c r="T101" s="3" t="inlineStr">
        <is>
          <t>완경사</t>
        </is>
      </c>
      <c r="U101" s="3" t="inlineStr">
        <is>
          <t>부정형</t>
        </is>
      </c>
      <c r="V101" s="3" t="inlineStr">
        <is>
          <t>중로한면</t>
        </is>
      </c>
    </row>
    <row r="102">
      <c r="A102" s="3" t="inlineStr">
        <is>
          <t>강내면 월탄리 산6</t>
        </is>
      </c>
      <c r="B102" s="3" t="inlineStr">
        <is>
          <t>자연녹지지역</t>
        </is>
      </c>
      <c r="C102" s="3" t="inlineStr">
        <is>
          <t>임야</t>
        </is>
      </c>
      <c r="D102" s="3" t="inlineStr">
        <is>
          <t>임야</t>
        </is>
      </c>
      <c r="E102" s="3" t="inlineStr">
        <is>
          <t>매매</t>
        </is>
      </c>
      <c r="F102" s="4" t="n">
        <v>59000</v>
      </c>
      <c r="G102" s="4" t="n">
        <v>839</v>
      </c>
      <c r="H102" s="4" t="n">
        <v>254</v>
      </c>
      <c r="I102" s="5" t="n">
        <v>232.3</v>
      </c>
      <c r="J102" s="5" t="n">
        <v>15.7</v>
      </c>
      <c r="K102" s="3" t="inlineStr">
        <is>
          <t>제2종근린생활시설 허가 득함, 4차선 대로변에 접함, 사무소 추천</t>
        </is>
      </c>
      <c r="L102" s="6">
        <f>HYPERLINK("https://fin.land.naver.com/articles/2653397113", "매물Link")</f>
        <v/>
      </c>
      <c r="M102" s="6">
        <f>HYPERLINK("https://map.naver.com/p/search/강내면 월탄리 산6", "지도Link")</f>
        <v/>
      </c>
      <c r="N102" s="6">
        <f>HYPERLINK("http://www.eum.go.kr/web/ar/lu/luLandDet.jsp?pnu=4311331030200060000&amp;isNoScr=script&amp;mode=search", "토지이음")</f>
        <v/>
      </c>
      <c r="O102" s="3" t="inlineStr">
        <is>
          <t>제이</t>
        </is>
      </c>
      <c r="P102" s="4" t="n">
        <v>1</v>
      </c>
      <c r="Q102" s="4" t="n">
        <v>746</v>
      </c>
      <c r="R102" s="3" t="inlineStr">
        <is>
          <t>지정되지않음</t>
        </is>
      </c>
      <c r="S102" s="3" t="inlineStr">
        <is>
          <t>자연림</t>
        </is>
      </c>
      <c r="T102" s="3" t="inlineStr">
        <is>
          <t>완경사</t>
        </is>
      </c>
      <c r="U102" s="3" t="inlineStr">
        <is>
          <t>부정형</t>
        </is>
      </c>
      <c r="V102" s="3" t="inlineStr">
        <is>
          <t>중로한면</t>
        </is>
      </c>
    </row>
    <row r="103">
      <c r="A103" s="3" t="inlineStr">
        <is>
          <t>강내면 저산리 105-9</t>
        </is>
      </c>
      <c r="B103" s="3" t="inlineStr">
        <is>
          <t>계획관리지역</t>
        </is>
      </c>
      <c r="C103" s="3" t="inlineStr">
        <is>
          <t>답</t>
        </is>
      </c>
      <c r="D103" s="3" t="inlineStr">
        <is>
          <t>답</t>
        </is>
      </c>
      <c r="E103" s="3" t="inlineStr">
        <is>
          <t>매매</t>
        </is>
      </c>
      <c r="F103" s="4" t="n">
        <v>59000</v>
      </c>
      <c r="G103" s="4" t="n">
        <v>2387</v>
      </c>
      <c r="H103" s="4" t="n">
        <v>722</v>
      </c>
      <c r="I103" s="5" t="n">
        <v>81.7</v>
      </c>
      <c r="J103" s="5" t="n">
        <v>23.3</v>
      </c>
      <c r="K103" s="3" t="inlineStr">
        <is>
          <t>전원주택,농업용시설 등 다양한 활용 가능한 계획관리지역 토지매매</t>
        </is>
      </c>
      <c r="L103" s="6">
        <f>HYPERLINK("https://fin.land.naver.com/articles/2650156118", "매물Link")</f>
        <v/>
      </c>
      <c r="M103" s="6">
        <f>HYPERLINK("https://map.naver.com/p/search/강내면 저산리 105-9", "지도Link")</f>
        <v/>
      </c>
      <c r="N103" s="6">
        <f>HYPERLINK("http://www.eum.go.kr/web/ar/lu/luLandDet.jsp?pnu=4311331023101050009&amp;isNoScr=script&amp;mode=search", "토지이음")</f>
        <v/>
      </c>
      <c r="O103" s="3" t="inlineStr">
        <is>
          <t>e교차로합동</t>
        </is>
      </c>
      <c r="P103" s="4" t="n">
        <v>1</v>
      </c>
      <c r="Q103" s="4" t="n">
        <v>2387</v>
      </c>
      <c r="R103" s="3" t="inlineStr">
        <is>
          <t>지정되지않음</t>
        </is>
      </c>
      <c r="S103" s="3" t="inlineStr">
        <is>
          <t>답</t>
        </is>
      </c>
      <c r="T103" s="3" t="inlineStr">
        <is>
          <t>평지</t>
        </is>
      </c>
      <c r="U103" s="3" t="inlineStr">
        <is>
          <t>부정형</t>
        </is>
      </c>
      <c r="V103" s="3" t="inlineStr">
        <is>
          <t>맹지</t>
        </is>
      </c>
    </row>
    <row r="104">
      <c r="A104" s="3" t="inlineStr">
        <is>
          <t>강내면 저산리 107-2</t>
        </is>
      </c>
      <c r="B104" s="3" t="inlineStr">
        <is>
          <t>계획관리지역</t>
        </is>
      </c>
      <c r="C104" s="3" t="inlineStr">
        <is>
          <t>공장용지</t>
        </is>
      </c>
      <c r="D104" s="3" t="inlineStr">
        <is>
          <t>공장용지</t>
        </is>
      </c>
      <c r="E104" s="3" t="inlineStr">
        <is>
          <t>월세</t>
        </is>
      </c>
      <c r="F104" s="4" t="n">
        <v>2000</v>
      </c>
      <c r="G104" s="4" t="n">
        <v>1652</v>
      </c>
      <c r="H104" s="4" t="n">
        <v>500</v>
      </c>
      <c r="I104" s="5" t="n">
        <v>0.2</v>
      </c>
      <c r="J104" s="5" t="n">
        <v>41.7</v>
      </c>
      <c r="K104" s="3" t="inlineStr">
        <is>
          <t>강내면 저산리 토지임대 현 나대지 야적장추천 진입로좋아요</t>
        </is>
      </c>
      <c r="L104" s="6">
        <f>HYPERLINK("https://fin.land.naver.com/articles/2653718934", "매물Link")</f>
        <v/>
      </c>
      <c r="M104" s="6">
        <f>HYPERLINK("https://map.naver.com/p/search/강내면 저산리 107-2", "지도Link")</f>
        <v/>
      </c>
      <c r="N104" s="6">
        <f>HYPERLINK("http://www.eum.go.kr/web/ar/lu/luLandDet.jsp?pnu=4311331023101070002&amp;isNoScr=script&amp;mode=search", "토지이음")</f>
        <v/>
      </c>
      <c r="O104" s="3" t="inlineStr">
        <is>
          <t>탄탄</t>
        </is>
      </c>
      <c r="P104" s="4" t="n">
        <v>1</v>
      </c>
      <c r="Q104" s="4" t="n">
        <v>3394</v>
      </c>
      <c r="R104" s="3" t="inlineStr">
        <is>
          <t>지정되지않음</t>
        </is>
      </c>
      <c r="S104" s="3" t="inlineStr">
        <is>
          <t>주거기타</t>
        </is>
      </c>
      <c r="T104" s="3" t="inlineStr">
        <is>
          <t>평지</t>
        </is>
      </c>
      <c r="U104" s="3" t="inlineStr">
        <is>
          <t>사다리형</t>
        </is>
      </c>
      <c r="V104" s="3" t="inlineStr">
        <is>
          <t>세로한면(가)</t>
        </is>
      </c>
    </row>
    <row r="105">
      <c r="A105" s="3" t="inlineStr">
        <is>
          <t>강내면 저산리 131</t>
        </is>
      </c>
      <c r="B105" s="3" t="inlineStr">
        <is>
          <t>농림지역</t>
        </is>
      </c>
      <c r="C105" s="3" t="inlineStr">
        <is>
          <t>전</t>
        </is>
      </c>
      <c r="D105" s="3" t="inlineStr">
        <is>
          <t>전</t>
        </is>
      </c>
      <c r="E105" s="3" t="inlineStr">
        <is>
          <t>매매</t>
        </is>
      </c>
      <c r="F105" s="4" t="n">
        <v>123000</v>
      </c>
      <c r="G105" s="4" t="n">
        <v>3685</v>
      </c>
      <c r="H105" s="4" t="n">
        <v>1115</v>
      </c>
      <c r="I105" s="5" t="n">
        <v>110.3</v>
      </c>
      <c r="J105" s="5" t="n">
        <v>14.2</v>
      </c>
      <c r="K105" s="3" t="inlineStr">
        <is>
          <t>2차선 도로변에 접한 농림지역, 농업보호구역</t>
        </is>
      </c>
      <c r="L105" s="6">
        <f>HYPERLINK("https://fin.land.naver.com/articles/2652677550", "매물Link")</f>
        <v/>
      </c>
      <c r="M105" s="6">
        <f>HYPERLINK("https://map.naver.com/p/search/강내면 저산리 131", "지도Link")</f>
        <v/>
      </c>
      <c r="N105" s="6">
        <f>HYPERLINK("http://www.eum.go.kr/web/ar/lu/luLandDet.jsp?pnu=4311331023101310000&amp;isNoScr=script&amp;mode=search", "토지이음")</f>
        <v/>
      </c>
      <c r="O105" s="3" t="inlineStr">
        <is>
          <t>제이</t>
        </is>
      </c>
      <c r="P105" s="4" t="n">
        <v>1</v>
      </c>
      <c r="Q105" s="4" t="n">
        <v>3685</v>
      </c>
      <c r="R105" s="3" t="inlineStr">
        <is>
          <t>지정되지않음</t>
        </is>
      </c>
      <c r="S105" s="3" t="inlineStr">
        <is>
          <t>전</t>
        </is>
      </c>
      <c r="T105" s="3" t="inlineStr">
        <is>
          <t>완경사</t>
        </is>
      </c>
      <c r="U105" s="3" t="inlineStr">
        <is>
          <t>부정형</t>
        </is>
      </c>
      <c r="V105" s="3" t="inlineStr">
        <is>
          <t>소로한면</t>
        </is>
      </c>
    </row>
    <row r="106">
      <c r="A106" s="3" t="inlineStr">
        <is>
          <t>강내면 저산리 134-24</t>
        </is>
      </c>
      <c r="B106" s="3" t="inlineStr">
        <is>
          <t>계획관리지역</t>
        </is>
      </c>
      <c r="C106" s="3" t="inlineStr">
        <is>
          <t>전</t>
        </is>
      </c>
      <c r="D106" s="3" t="inlineStr">
        <is>
          <t>전</t>
        </is>
      </c>
      <c r="E106" s="3" t="inlineStr">
        <is>
          <t>매매</t>
        </is>
      </c>
      <c r="F106" s="4" t="n">
        <v>20000</v>
      </c>
      <c r="G106" s="4" t="n">
        <v>452</v>
      </c>
      <c r="H106" s="4" t="n">
        <v>137</v>
      </c>
      <c r="I106" s="5" t="n">
        <v>146</v>
      </c>
      <c r="J106" s="5" t="n">
        <v>37.9</v>
      </c>
      <c r="K106" s="3" t="inlineStr">
        <is>
          <t>전원주택 부지로 추천, 도로지분 있음</t>
        </is>
      </c>
      <c r="L106" s="6">
        <f>HYPERLINK("https://fin.land.naver.com/articles/2651536616", "매물Link")</f>
        <v/>
      </c>
      <c r="M106" s="6">
        <f>HYPERLINK("https://map.naver.com/p/search/강내면 저산리 134-24", "지도Link")</f>
        <v/>
      </c>
      <c r="N106" s="6">
        <f>HYPERLINK("http://www.eum.go.kr/web/ar/lu/luLandDet.jsp?pnu=4311331023101340024&amp;isNoScr=script&amp;mode=search", "토지이음")</f>
        <v/>
      </c>
      <c r="O106" s="3" t="inlineStr">
        <is>
          <t>제이</t>
        </is>
      </c>
      <c r="P106" s="4" t="n">
        <v>1</v>
      </c>
      <c r="Q106" s="4" t="n">
        <v>444</v>
      </c>
      <c r="R106" s="3" t="inlineStr">
        <is>
          <t>지정되지않음</t>
        </is>
      </c>
      <c r="S106" s="3" t="inlineStr">
        <is>
          <t>주거나지</t>
        </is>
      </c>
      <c r="T106" s="3" t="inlineStr">
        <is>
          <t>완경사</t>
        </is>
      </c>
      <c r="U106" s="3" t="inlineStr">
        <is>
          <t>사다리형</t>
        </is>
      </c>
      <c r="V106" s="3" t="inlineStr">
        <is>
          <t>세로한면(가)</t>
        </is>
      </c>
    </row>
    <row r="107">
      <c r="A107" s="3" t="inlineStr">
        <is>
          <t>강내면 저산리 136-2</t>
        </is>
      </c>
      <c r="B107" s="3" t="inlineStr">
        <is>
          <t>계획관리지역</t>
        </is>
      </c>
      <c r="C107" s="3" t="inlineStr">
        <is>
          <t>답</t>
        </is>
      </c>
      <c r="D107" s="3" t="inlineStr">
        <is>
          <t>답</t>
        </is>
      </c>
      <c r="E107" s="3" t="inlineStr">
        <is>
          <t>매매</t>
        </is>
      </c>
      <c r="F107" s="4" t="n">
        <v>19700</v>
      </c>
      <c r="G107" s="4" t="n">
        <v>465</v>
      </c>
      <c r="H107" s="4" t="n">
        <v>141</v>
      </c>
      <c r="I107" s="5" t="n">
        <v>139.7</v>
      </c>
      <c r="J107" s="5" t="n">
        <v>28.2</v>
      </c>
      <c r="K107" s="3" t="inlineStr">
        <is>
          <t>인근 청주하이티크벨리산업단지 조성으로 토지가치상승과 근린시설 수요증가</t>
        </is>
      </c>
      <c r="L107" s="6">
        <f>HYPERLINK("https://fin.land.naver.com/articles/2650671105", "매물Link")</f>
        <v/>
      </c>
      <c r="M107" s="6">
        <f>HYPERLINK("https://map.naver.com/p/search/강내면 저산리 136-2", "지도Link")</f>
        <v/>
      </c>
      <c r="N107" s="6">
        <f>HYPERLINK("http://www.eum.go.kr/web/ar/lu/luLandDet.jsp?pnu=4311331023101360002&amp;isNoScr=script&amp;mode=search", "토지이음")</f>
        <v/>
      </c>
      <c r="O107" s="3" t="inlineStr">
        <is>
          <t>대화탑</t>
        </is>
      </c>
      <c r="P107" s="4" t="n">
        <v>1</v>
      </c>
      <c r="Q107" s="4" t="n">
        <v>465</v>
      </c>
      <c r="R107" s="3" t="inlineStr">
        <is>
          <t>지정되지않음</t>
        </is>
      </c>
      <c r="S107" s="3" t="inlineStr">
        <is>
          <t>답</t>
        </is>
      </c>
      <c r="T107" s="3" t="inlineStr">
        <is>
          <t>평지</t>
        </is>
      </c>
      <c r="U107" s="3" t="inlineStr">
        <is>
          <t>부정형</t>
        </is>
      </c>
      <c r="V107" s="3" t="inlineStr">
        <is>
          <t>세로한면(불)</t>
        </is>
      </c>
    </row>
    <row r="108">
      <c r="A108" s="3" t="inlineStr">
        <is>
          <t>강내면 저산리 136-9</t>
        </is>
      </c>
      <c r="B108" s="3" t="inlineStr">
        <is>
          <t>계획관리지역</t>
        </is>
      </c>
      <c r="C108" s="3" t="inlineStr">
        <is>
          <t>답</t>
        </is>
      </c>
      <c r="D108" s="3" t="inlineStr">
        <is>
          <t>답</t>
        </is>
      </c>
      <c r="E108" s="3" t="inlineStr">
        <is>
          <t>매매</t>
        </is>
      </c>
      <c r="F108" s="4" t="n">
        <v>20000</v>
      </c>
      <c r="G108" s="4" t="n">
        <v>375</v>
      </c>
      <c r="H108" s="4" t="n">
        <v>113</v>
      </c>
      <c r="I108" s="5" t="n">
        <v>177</v>
      </c>
      <c r="J108" s="5" t="n">
        <v>28.2</v>
      </c>
      <c r="K108" s="3" t="inlineStr">
        <is>
          <t>계획관리지역  건축가능</t>
        </is>
      </c>
      <c r="L108" s="6">
        <f>HYPERLINK("https://fin.land.naver.com/articles/2649605591", "매물Link")</f>
        <v/>
      </c>
      <c r="M108" s="6">
        <f>HYPERLINK("https://map.naver.com/p/search/강내면 저산리 136-9", "지도Link")</f>
        <v/>
      </c>
      <c r="N108" s="6">
        <f>HYPERLINK("http://www.eum.go.kr/web/ar/lu/luLandDet.jsp?pnu=4311331023101360009&amp;isNoScr=script&amp;mode=search", "토지이음")</f>
        <v/>
      </c>
      <c r="O108" s="3" t="inlineStr">
        <is>
          <t>그래그</t>
        </is>
      </c>
      <c r="P108" s="4" t="n">
        <v>1</v>
      </c>
      <c r="Q108" s="4" t="n">
        <v>375</v>
      </c>
      <c r="R108" s="3" t="inlineStr">
        <is>
          <t>지정되지않음</t>
        </is>
      </c>
      <c r="S108" s="3" t="inlineStr">
        <is>
          <t>답</t>
        </is>
      </c>
      <c r="T108" s="3" t="inlineStr">
        <is>
          <t>평지</t>
        </is>
      </c>
      <c r="U108" s="3" t="inlineStr">
        <is>
          <t>부정형</t>
        </is>
      </c>
      <c r="V108" s="3" t="inlineStr">
        <is>
          <t>세로한면(불)</t>
        </is>
      </c>
    </row>
    <row r="109">
      <c r="A109" s="3" t="inlineStr">
        <is>
          <t>강내면 저산리 137-10</t>
        </is>
      </c>
      <c r="B109" s="3" t="inlineStr">
        <is>
          <t>계획관리지역</t>
        </is>
      </c>
      <c r="C109" s="3" t="inlineStr">
        <is>
          <t>전</t>
        </is>
      </c>
      <c r="D109" s="3" t="inlineStr">
        <is>
          <t>전</t>
        </is>
      </c>
      <c r="E109" s="3" t="inlineStr">
        <is>
          <t>매매</t>
        </is>
      </c>
      <c r="F109" s="4" t="n">
        <v>6500</v>
      </c>
      <c r="G109" s="4" t="n">
        <v>120</v>
      </c>
      <c r="H109" s="4" t="n">
        <v>36</v>
      </c>
      <c r="I109" s="5" t="n">
        <v>180.6</v>
      </c>
      <c r="J109" s="5" t="n">
        <v>28.2</v>
      </c>
      <c r="K109" s="3" t="inlineStr">
        <is>
          <t>계획관리지역  건축가능</t>
        </is>
      </c>
      <c r="L109" s="6">
        <f>HYPERLINK("https://fin.land.naver.com/articles/2649620352", "매물Link")</f>
        <v/>
      </c>
      <c r="M109" s="6">
        <f>HYPERLINK("https://map.naver.com/p/search/강내면 저산리 137-10", "지도Link")</f>
        <v/>
      </c>
      <c r="N109" s="6">
        <f>HYPERLINK("http://www.eum.go.kr/web/ar/lu/luLandDet.jsp?pnu=4311331023101370010&amp;isNoScr=script&amp;mode=search", "토지이음")</f>
        <v/>
      </c>
      <c r="O109" s="3" t="inlineStr">
        <is>
          <t>그래그</t>
        </is>
      </c>
      <c r="P109" s="4" t="n">
        <v>1</v>
      </c>
      <c r="Q109" s="4" t="n">
        <v>120</v>
      </c>
      <c r="R109" s="3" t="inlineStr">
        <is>
          <t>지정되지않음</t>
        </is>
      </c>
      <c r="S109" s="3" t="inlineStr">
        <is>
          <t>전</t>
        </is>
      </c>
      <c r="T109" s="3" t="inlineStr">
        <is>
          <t>평지</t>
        </is>
      </c>
      <c r="U109" s="3" t="inlineStr">
        <is>
          <t>부정형</t>
        </is>
      </c>
      <c r="V109" s="3" t="inlineStr">
        <is>
          <t>세로한면(불)</t>
        </is>
      </c>
    </row>
    <row r="110">
      <c r="A110" s="3" t="inlineStr">
        <is>
          <t>강내면 저산리 143-1</t>
        </is>
      </c>
      <c r="B110" s="3" t="inlineStr">
        <is>
          <t>계획관리지역</t>
        </is>
      </c>
      <c r="C110" s="3" t="inlineStr">
        <is>
          <t>임야</t>
        </is>
      </c>
      <c r="D110" s="3" t="inlineStr">
        <is>
          <t>임야</t>
        </is>
      </c>
      <c r="E110" s="3" t="inlineStr">
        <is>
          <t>매매</t>
        </is>
      </c>
      <c r="F110" s="4" t="n">
        <v>1100000</v>
      </c>
      <c r="G110" s="4" t="n">
        <v>46836</v>
      </c>
      <c r="H110" s="4" t="n">
        <v>14168</v>
      </c>
      <c r="I110" s="5" t="n">
        <v>77.59999999999999</v>
      </c>
      <c r="J110" s="5" t="n">
        <v>22.7</v>
      </c>
      <c r="K110" s="3" t="inlineStr">
        <is>
          <t>계획관리,6m도로접,분할매매가,대형커피숍,제빵소추천,세종시5생활권인접</t>
        </is>
      </c>
      <c r="L110" s="6">
        <f>HYPERLINK("https://fin.land.naver.com/articles/2652719047", "매물Link")</f>
        <v/>
      </c>
      <c r="M110" s="6">
        <f>HYPERLINK("https://map.naver.com/p/search/강내면 저산리 143-1", "지도Link")</f>
        <v/>
      </c>
      <c r="N110" s="6">
        <f>HYPERLINK("http://www.eum.go.kr/web/ar/lu/luLandDet.jsp?pnu=4311331023101430001&amp;isNoScr=script&amp;mode=search", "토지이음")</f>
        <v/>
      </c>
      <c r="O110" s="3" t="inlineStr">
        <is>
          <t>세종지원</t>
        </is>
      </c>
      <c r="P110" s="4" t="n">
        <v>1</v>
      </c>
      <c r="Q110" s="4" t="n">
        <v>15495</v>
      </c>
      <c r="R110" s="3" t="inlineStr">
        <is>
          <t>지정되지않음</t>
        </is>
      </c>
      <c r="S110" s="3" t="inlineStr">
        <is>
          <t>전</t>
        </is>
      </c>
      <c r="T110" s="3" t="inlineStr">
        <is>
          <t>완경사</t>
        </is>
      </c>
      <c r="U110" s="3" t="inlineStr">
        <is>
          <t>부정형</t>
        </is>
      </c>
      <c r="V110" s="3" t="inlineStr">
        <is>
          <t>세로한면(불)</t>
        </is>
      </c>
    </row>
    <row r="111">
      <c r="A111" s="3" t="inlineStr">
        <is>
          <t>강내면 저산리 159</t>
        </is>
      </c>
      <c r="B111" s="3" t="inlineStr">
        <is>
          <t>계획관리지역</t>
        </is>
      </c>
      <c r="C111" s="3" t="inlineStr">
        <is>
          <t>대</t>
        </is>
      </c>
      <c r="D111" s="3" t="inlineStr">
        <is>
          <t>대</t>
        </is>
      </c>
      <c r="E111" s="3" t="inlineStr">
        <is>
          <t>매매</t>
        </is>
      </c>
      <c r="F111" s="4" t="n">
        <v>130000</v>
      </c>
      <c r="G111" s="4" t="n">
        <v>59428</v>
      </c>
      <c r="H111" s="4" t="n">
        <v>17977</v>
      </c>
      <c r="I111" s="5" t="n">
        <v>7.2</v>
      </c>
      <c r="J111" s="5" t="n">
        <v>41.3</v>
      </c>
      <c r="K111" s="3" t="inlineStr">
        <is>
          <t>nan</t>
        </is>
      </c>
      <c r="L111" s="6">
        <f>HYPERLINK("https://fin.land.naver.com/articles/2650116537", "매물Link")</f>
        <v/>
      </c>
      <c r="M111" s="6">
        <f>HYPERLINK("https://map.naver.com/p/search/강내면 저산리 159", "지도Link")</f>
        <v/>
      </c>
      <c r="N111" s="6">
        <f>HYPERLINK("http://www.eum.go.kr/web/ar/lu/luLandDet.jsp?pnu=4311331023101590000&amp;isNoScr=script&amp;mode=search", "토지이음")</f>
        <v/>
      </c>
      <c r="O111" s="3" t="inlineStr">
        <is>
          <t>세종운좋은</t>
        </is>
      </c>
      <c r="P111" s="4" t="n">
        <v>1</v>
      </c>
      <c r="Q111" s="4" t="n">
        <v>7107</v>
      </c>
      <c r="R111" s="3" t="inlineStr">
        <is>
          <t>지정되지않음</t>
        </is>
      </c>
      <c r="S111" s="3" t="inlineStr">
        <is>
          <t>단독</t>
        </is>
      </c>
      <c r="T111" s="3" t="inlineStr">
        <is>
          <t>평지</t>
        </is>
      </c>
      <c r="U111" s="3" t="inlineStr">
        <is>
          <t>부정형</t>
        </is>
      </c>
      <c r="V111" s="3" t="inlineStr">
        <is>
          <t>세로한면(가)</t>
        </is>
      </c>
    </row>
    <row r="112">
      <c r="A112" s="3" t="inlineStr">
        <is>
          <t>강내면 저산리 171-1</t>
        </is>
      </c>
      <c r="B112" s="3" t="inlineStr">
        <is>
          <t>계획관리지역</t>
        </is>
      </c>
      <c r="C112" s="3" t="inlineStr">
        <is>
          <t>대</t>
        </is>
      </c>
      <c r="D112" s="3" t="inlineStr">
        <is>
          <t>대</t>
        </is>
      </c>
      <c r="E112" s="3" t="inlineStr">
        <is>
          <t>매매</t>
        </is>
      </c>
      <c r="F112" s="4" t="n">
        <v>60000</v>
      </c>
      <c r="G112" s="4" t="n">
        <v>1320</v>
      </c>
      <c r="H112" s="4" t="n">
        <v>399</v>
      </c>
      <c r="I112" s="5" t="n">
        <v>150.4</v>
      </c>
      <c r="J112" s="5" t="n">
        <v>43.6</v>
      </c>
      <c r="K112" s="3" t="inlineStr">
        <is>
          <t>nan</t>
        </is>
      </c>
      <c r="L112" s="6">
        <f>HYPERLINK("https://fin.land.naver.com/articles/2653996821", "매물Link")</f>
        <v/>
      </c>
      <c r="M112" s="6">
        <f>HYPERLINK("https://map.naver.com/p/search/강내면 저산리 171-1", "지도Link")</f>
        <v/>
      </c>
      <c r="N112" s="6">
        <f>HYPERLINK("http://www.eum.go.kr/web/ar/lu/luLandDet.jsp?pnu=4311331023101710001&amp;isNoScr=script&amp;mode=search", "토지이음")</f>
        <v/>
      </c>
      <c r="O112" s="3" t="inlineStr">
        <is>
          <t>세종운좋은</t>
        </is>
      </c>
      <c r="P112" s="4" t="n">
        <v>1</v>
      </c>
      <c r="Q112" s="4" t="n">
        <v>1047</v>
      </c>
      <c r="R112" s="3" t="inlineStr">
        <is>
          <t>지정되지않음</t>
        </is>
      </c>
      <c r="S112" s="3" t="inlineStr">
        <is>
          <t>단독</t>
        </is>
      </c>
      <c r="T112" s="3" t="inlineStr">
        <is>
          <t>평지</t>
        </is>
      </c>
      <c r="U112" s="3" t="inlineStr">
        <is>
          <t>사다리형</t>
        </is>
      </c>
      <c r="V112" s="3" t="inlineStr">
        <is>
          <t>소로한면</t>
        </is>
      </c>
    </row>
    <row r="113">
      <c r="A113" s="3" t="inlineStr">
        <is>
          <t>강내면 저산리 190</t>
        </is>
      </c>
      <c r="B113" s="3" t="inlineStr">
        <is>
          <t>계획관리지역</t>
        </is>
      </c>
      <c r="C113" s="3" t="inlineStr">
        <is>
          <t>전</t>
        </is>
      </c>
      <c r="D113" s="3" t="inlineStr">
        <is>
          <t>전</t>
        </is>
      </c>
      <c r="E113" s="3" t="inlineStr">
        <is>
          <t>매매</t>
        </is>
      </c>
      <c r="F113" s="4" t="n">
        <v>30360</v>
      </c>
      <c r="G113" s="4" t="n">
        <v>1673</v>
      </c>
      <c r="H113" s="4" t="n">
        <v>506</v>
      </c>
      <c r="I113" s="5" t="n">
        <v>60</v>
      </c>
      <c r="J113" s="5" t="n">
        <v>18.6</v>
      </c>
      <c r="K113" s="3" t="inlineStr">
        <is>
          <t>a 세종시10분 현지목 전 계획관리지역</t>
        </is>
      </c>
      <c r="L113" s="6">
        <f>HYPERLINK("https://fin.land.naver.com/articles/2651263807", "매물Link")</f>
        <v/>
      </c>
      <c r="M113" s="6">
        <f>HYPERLINK("https://map.naver.com/p/search/강내면 저산리 190", "지도Link")</f>
        <v/>
      </c>
      <c r="N113" s="6">
        <f>HYPERLINK("http://www.eum.go.kr/web/ar/lu/luLandDet.jsp?pnu=4311331023101900000&amp;isNoScr=script&amp;mode=search", "토지이음")</f>
        <v/>
      </c>
      <c r="O113" s="3" t="inlineStr">
        <is>
          <t>메가캐슬</t>
        </is>
      </c>
      <c r="P113" s="4" t="n">
        <v>1</v>
      </c>
      <c r="Q113" s="4" t="n">
        <v>1673</v>
      </c>
      <c r="R113" s="3" t="inlineStr">
        <is>
          <t>지정되지않음</t>
        </is>
      </c>
      <c r="S113" s="3" t="inlineStr">
        <is>
          <t>전</t>
        </is>
      </c>
      <c r="T113" s="3" t="inlineStr">
        <is>
          <t>평지</t>
        </is>
      </c>
      <c r="U113" s="3" t="inlineStr">
        <is>
          <t>부정형</t>
        </is>
      </c>
      <c r="V113" s="3" t="inlineStr">
        <is>
          <t>맹지</t>
        </is>
      </c>
    </row>
    <row r="114">
      <c r="A114" s="3" t="inlineStr">
        <is>
          <t>강내면 저산리 192</t>
        </is>
      </c>
      <c r="B114" s="3" t="inlineStr">
        <is>
          <t>계획관리지역</t>
        </is>
      </c>
      <c r="C114" s="3" t="inlineStr">
        <is>
          <t>전</t>
        </is>
      </c>
      <c r="D114" s="3" t="inlineStr">
        <is>
          <t>전</t>
        </is>
      </c>
      <c r="E114" s="3" t="inlineStr">
        <is>
          <t>매매</t>
        </is>
      </c>
      <c r="F114" s="4" t="n">
        <v>35000</v>
      </c>
      <c r="G114" s="4" t="n">
        <v>1061</v>
      </c>
      <c r="H114" s="4" t="n">
        <v>321</v>
      </c>
      <c r="I114" s="5" t="n">
        <v>109</v>
      </c>
      <c r="J114" s="5" t="n">
        <v>23.6</v>
      </c>
      <c r="K114" s="3" t="inlineStr">
        <is>
          <t>4미터 도로에 접함, 공장 및 창고 부지로 추천</t>
        </is>
      </c>
      <c r="L114" s="6">
        <f>HYPERLINK("https://fin.land.naver.com/articles/2654578566", "매물Link")</f>
        <v/>
      </c>
      <c r="M114" s="6">
        <f>HYPERLINK("https://map.naver.com/p/search/강내면 저산리 192", "지도Link")</f>
        <v/>
      </c>
      <c r="N114" s="6">
        <f>HYPERLINK("http://www.eum.go.kr/web/ar/lu/luLandDet.jsp?pnu=4311331023101920000&amp;isNoScr=script&amp;mode=search", "토지이음")</f>
        <v/>
      </c>
      <c r="O114" s="3" t="inlineStr">
        <is>
          <t>제이</t>
        </is>
      </c>
      <c r="P114" s="4" t="n">
        <v>1</v>
      </c>
      <c r="Q114" s="4" t="n">
        <v>1061</v>
      </c>
      <c r="R114" s="3" t="inlineStr">
        <is>
          <t>지정되지않음</t>
        </is>
      </c>
      <c r="S114" s="3" t="inlineStr">
        <is>
          <t>전</t>
        </is>
      </c>
      <c r="T114" s="3" t="inlineStr">
        <is>
          <t>평지</t>
        </is>
      </c>
      <c r="U114" s="3" t="inlineStr">
        <is>
          <t>사다리형</t>
        </is>
      </c>
      <c r="V114" s="3" t="inlineStr">
        <is>
          <t>세로한면(가)</t>
        </is>
      </c>
    </row>
    <row r="115">
      <c r="A115" s="3" t="inlineStr">
        <is>
          <t>강내면 저산리 22-1</t>
        </is>
      </c>
      <c r="B115" s="3" t="inlineStr">
        <is>
          <t>계획관리지역</t>
        </is>
      </c>
      <c r="C115" s="3" t="inlineStr">
        <is>
          <t>대</t>
        </is>
      </c>
      <c r="D115" s="3" t="inlineStr">
        <is>
          <t>대</t>
        </is>
      </c>
      <c r="E115" s="3" t="inlineStr">
        <is>
          <t>매매</t>
        </is>
      </c>
      <c r="F115" s="4" t="n">
        <v>22000</v>
      </c>
      <c r="G115" s="4" t="n">
        <v>787</v>
      </c>
      <c r="H115" s="4" t="n">
        <v>238</v>
      </c>
      <c r="I115" s="5" t="n">
        <v>92.40000000000001</v>
      </c>
      <c r="J115" s="5" t="n">
        <v>41.7</v>
      </c>
      <c r="K115" s="3" t="inlineStr">
        <is>
          <t>정남향 도로접한  계획관리.성장관리지역 알토란 토지,다용도 사용가능</t>
        </is>
      </c>
      <c r="L115" s="6">
        <f>HYPERLINK("https://fin.land.naver.com/articles/2651744749", "매물Link")</f>
        <v/>
      </c>
      <c r="M115" s="6">
        <f>HYPERLINK("https://map.naver.com/p/search/강내면 저산리 22-1", "지도Link")</f>
        <v/>
      </c>
      <c r="N115" s="6">
        <f>HYPERLINK("http://www.eum.go.kr/web/ar/lu/luLandDet.jsp?pnu=4311331023100220001&amp;isNoScr=script&amp;mode=search", "토지이음")</f>
        <v/>
      </c>
      <c r="O115" s="3" t="inlineStr">
        <is>
          <t>고운맘</t>
        </is>
      </c>
      <c r="P115" s="4" t="n">
        <v>1</v>
      </c>
      <c r="Q115" s="4" t="n">
        <v>787</v>
      </c>
      <c r="R115" s="3" t="inlineStr">
        <is>
          <t>지정되지않음</t>
        </is>
      </c>
      <c r="S115" s="3" t="inlineStr">
        <is>
          <t>단독</t>
        </is>
      </c>
      <c r="T115" s="3" t="inlineStr">
        <is>
          <t>평지</t>
        </is>
      </c>
      <c r="U115" s="3" t="inlineStr">
        <is>
          <t>사다리형</t>
        </is>
      </c>
      <c r="V115" s="3" t="inlineStr">
        <is>
          <t>세로한면(가)</t>
        </is>
      </c>
    </row>
    <row r="116">
      <c r="A116" s="3" t="inlineStr">
        <is>
          <t>강내면 저산리 248-6</t>
        </is>
      </c>
      <c r="B116" s="3" t="inlineStr">
        <is>
          <t>보전관리지역</t>
        </is>
      </c>
      <c r="C116" s="3" t="inlineStr">
        <is>
          <t>임야</t>
        </is>
      </c>
      <c r="D116" s="3" t="inlineStr">
        <is>
          <t>전</t>
        </is>
      </c>
      <c r="E116" s="3" t="inlineStr">
        <is>
          <t>매매</t>
        </is>
      </c>
      <c r="F116" s="4" t="n">
        <v>14000</v>
      </c>
      <c r="G116" s="4" t="n">
        <v>541</v>
      </c>
      <c r="H116" s="4" t="n">
        <v>164</v>
      </c>
      <c r="I116" s="5" t="n">
        <v>85.40000000000001</v>
      </c>
      <c r="J116" s="5" t="n">
        <v>6.6</v>
      </c>
      <c r="K116" s="3" t="inlineStr">
        <is>
          <t>급매, 가격절충,건축허가득</t>
        </is>
      </c>
      <c r="L116" s="6">
        <f>HYPERLINK("https://fin.land.naver.com/articles/2651440176", "매물Link")</f>
        <v/>
      </c>
      <c r="M116" s="6">
        <f>HYPERLINK("https://map.naver.com/p/search/강내면 저산리 248-6", "지도Link")</f>
        <v/>
      </c>
      <c r="N116" s="6">
        <f>HYPERLINK("http://www.eum.go.kr/web/ar/lu/luLandDet.jsp?pnu=4311331023102480006&amp;isNoScr=script&amp;mode=search", "토지이음")</f>
        <v/>
      </c>
      <c r="O116" s="3" t="inlineStr">
        <is>
          <t>보석</t>
        </is>
      </c>
      <c r="P116" s="4" t="n">
        <v>1</v>
      </c>
      <c r="Q116" s="4" t="n">
        <v>102</v>
      </c>
      <c r="R116" s="3" t="inlineStr">
        <is>
          <t>지정되지않음</t>
        </is>
      </c>
      <c r="S116" s="3" t="inlineStr">
        <is>
          <t>토지임야</t>
        </is>
      </c>
      <c r="T116" s="3" t="inlineStr">
        <is>
          <t>완경사</t>
        </is>
      </c>
      <c r="U116" s="3" t="inlineStr">
        <is>
          <t>사다리형</t>
        </is>
      </c>
      <c r="V116" s="3" t="inlineStr">
        <is>
          <t>세로각지(가)</t>
        </is>
      </c>
    </row>
    <row r="117">
      <c r="A117" s="3" t="inlineStr">
        <is>
          <t>강내면 저산리 318</t>
        </is>
      </c>
      <c r="B117" s="3" t="inlineStr">
        <is>
          <t>농림지역</t>
        </is>
      </c>
      <c r="C117" s="3" t="inlineStr">
        <is>
          <t>답</t>
        </is>
      </c>
      <c r="D117" s="3" t="inlineStr">
        <is>
          <t>답</t>
        </is>
      </c>
      <c r="E117" s="3" t="inlineStr">
        <is>
          <t>매매</t>
        </is>
      </c>
      <c r="F117" s="4" t="n">
        <v>30500</v>
      </c>
      <c r="G117" s="4" t="n">
        <v>2877</v>
      </c>
      <c r="H117" s="4" t="n">
        <v>870</v>
      </c>
      <c r="I117" s="5" t="n">
        <v>35.1</v>
      </c>
      <c r="J117" s="5" t="n">
        <v>14.6</v>
      </c>
      <c r="K117" s="3" t="inlineStr">
        <is>
          <t>2차선 도로접 주말농장 대토용 적합</t>
        </is>
      </c>
      <c r="L117" s="6">
        <f>HYPERLINK("https://fin.land.naver.com/articles/2649582207", "매물Link")</f>
        <v/>
      </c>
      <c r="M117" s="6">
        <f>HYPERLINK("https://map.naver.com/p/search/강내면 저산리 318", "지도Link")</f>
        <v/>
      </c>
      <c r="N117" s="6">
        <f>HYPERLINK("http://www.eum.go.kr/web/ar/lu/luLandDet.jsp?pnu=4311331023103180000&amp;isNoScr=script&amp;mode=search", "토지이음")</f>
        <v/>
      </c>
      <c r="O117" s="3" t="inlineStr">
        <is>
          <t>수풀림</t>
        </is>
      </c>
      <c r="P117" s="4" t="n">
        <v>1</v>
      </c>
      <c r="Q117" s="4" t="n">
        <v>2877.5</v>
      </c>
      <c r="R117" s="3" t="inlineStr">
        <is>
          <t>지정되지않음</t>
        </is>
      </c>
      <c r="S117" s="3" t="inlineStr">
        <is>
          <t>답</t>
        </is>
      </c>
      <c r="T117" s="3" t="inlineStr">
        <is>
          <t>평지</t>
        </is>
      </c>
      <c r="U117" s="3" t="inlineStr">
        <is>
          <t>세로장방</t>
        </is>
      </c>
      <c r="V117" s="3" t="inlineStr">
        <is>
          <t>세로한면(가)</t>
        </is>
      </c>
    </row>
    <row r="118">
      <c r="A118" s="3" t="inlineStr">
        <is>
          <t>강내면 저산리 406</t>
        </is>
      </c>
      <c r="B118" s="3" t="inlineStr">
        <is>
          <t>농림지역</t>
        </is>
      </c>
      <c r="C118" s="3" t="inlineStr">
        <is>
          <t>답</t>
        </is>
      </c>
      <c r="D118" s="3" t="inlineStr">
        <is>
          <t>답</t>
        </is>
      </c>
      <c r="E118" s="3" t="inlineStr">
        <is>
          <t>매매</t>
        </is>
      </c>
      <c r="F118" s="4" t="n">
        <v>84500</v>
      </c>
      <c r="G118" s="4" t="n">
        <v>4635</v>
      </c>
      <c r="H118" s="4" t="n">
        <v>1402</v>
      </c>
      <c r="I118" s="5" t="n">
        <v>60.3</v>
      </c>
      <c r="J118" s="5" t="n">
        <v>16.3</v>
      </c>
      <c r="K118" s="3" t="inlineStr">
        <is>
          <t>농업경영에 이용하면서 장기투자하실 분께 추천, 농림지역, 농업진흥구역</t>
        </is>
      </c>
      <c r="L118" s="6">
        <f>HYPERLINK("https://fin.land.naver.com/articles/2652678725", "매물Link")</f>
        <v/>
      </c>
      <c r="M118" s="6">
        <f>HYPERLINK("https://map.naver.com/p/search/강내면 저산리 406", "지도Link")</f>
        <v/>
      </c>
      <c r="N118" s="6">
        <f>HYPERLINK("http://www.eum.go.kr/web/ar/lu/luLandDet.jsp?pnu=4311331023104060000&amp;isNoScr=script&amp;mode=search", "토지이음")</f>
        <v/>
      </c>
      <c r="O118" s="3" t="inlineStr">
        <is>
          <t>제이</t>
        </is>
      </c>
      <c r="P118" s="4" t="n">
        <v>1</v>
      </c>
      <c r="Q118" s="4" t="n">
        <v>4635.2</v>
      </c>
      <c r="R118" s="3" t="inlineStr">
        <is>
          <t>지정되지않음</t>
        </is>
      </c>
      <c r="S118" s="3" t="inlineStr">
        <is>
          <t>답</t>
        </is>
      </c>
      <c r="T118" s="3" t="inlineStr">
        <is>
          <t>평지</t>
        </is>
      </c>
      <c r="U118" s="3" t="inlineStr">
        <is>
          <t>사다리형</t>
        </is>
      </c>
      <c r="V118" s="3" t="inlineStr">
        <is>
          <t>소로한면</t>
        </is>
      </c>
    </row>
    <row r="119">
      <c r="A119" s="3" t="inlineStr">
        <is>
          <t>강내면 저산리 7-13</t>
        </is>
      </c>
      <c r="B119" s="3" t="inlineStr">
        <is>
          <t>계획관리지역</t>
        </is>
      </c>
      <c r="C119" s="3" t="inlineStr">
        <is>
          <t>전</t>
        </is>
      </c>
      <c r="D119" s="3" t="inlineStr">
        <is>
          <t>전</t>
        </is>
      </c>
      <c r="E119" s="3" t="inlineStr">
        <is>
          <t>매매</t>
        </is>
      </c>
      <c r="F119" s="4" t="n">
        <v>40000</v>
      </c>
      <c r="G119" s="4" t="n">
        <v>1125</v>
      </c>
      <c r="H119" s="4" t="n">
        <v>340</v>
      </c>
      <c r="I119" s="5" t="n">
        <v>117.6</v>
      </c>
      <c r="J119" s="5" t="n">
        <v>21.6</v>
      </c>
      <c r="K119" s="3" t="inlineStr">
        <is>
          <t>저산리에 위치한 진입도로 6m 확보된 전원주택지 매매</t>
        </is>
      </c>
      <c r="L119" s="6">
        <f>HYPERLINK("https://fin.land.naver.com/articles/2650045966", "매물Link")</f>
        <v/>
      </c>
      <c r="M119" s="6">
        <f>HYPERLINK("https://map.naver.com/p/search/강내면 저산리 7-13", "지도Link")</f>
        <v/>
      </c>
      <c r="N119" s="6">
        <f>HYPERLINK("http://www.eum.go.kr/web/ar/lu/luLandDet.jsp?pnu=4311331023100070013&amp;isNoScr=script&amp;mode=search", "토지이음")</f>
        <v/>
      </c>
      <c r="O119" s="3" t="inlineStr">
        <is>
          <t>대지</t>
        </is>
      </c>
      <c r="P119" s="4" t="n">
        <v>1</v>
      </c>
      <c r="Q119" s="4" t="n">
        <v>495</v>
      </c>
      <c r="R119" s="3" t="inlineStr">
        <is>
          <t>지정되지않음</t>
        </is>
      </c>
      <c r="S119" s="3" t="inlineStr">
        <is>
          <t>전</t>
        </is>
      </c>
      <c r="T119" s="3" t="inlineStr">
        <is>
          <t>평지</t>
        </is>
      </c>
      <c r="U119" s="3" t="inlineStr">
        <is>
          <t>세로장방</t>
        </is>
      </c>
      <c r="V119" s="3" t="inlineStr">
        <is>
          <t>세로한면(불)</t>
        </is>
      </c>
    </row>
    <row r="120">
      <c r="A120" s="3" t="inlineStr">
        <is>
          <t>강내면 저산리 81-1</t>
        </is>
      </c>
      <c r="B120" s="3" t="inlineStr">
        <is>
          <t>계획관리지역</t>
        </is>
      </c>
      <c r="C120" s="3" t="inlineStr">
        <is>
          <t>대</t>
        </is>
      </c>
      <c r="D120" s="3" t="inlineStr">
        <is>
          <t>대</t>
        </is>
      </c>
      <c r="E120" s="3" t="inlineStr">
        <is>
          <t>매매</t>
        </is>
      </c>
      <c r="F120" s="4" t="n">
        <v>27000</v>
      </c>
      <c r="G120" s="4" t="n">
        <v>747</v>
      </c>
      <c r="H120" s="4" t="n">
        <v>226</v>
      </c>
      <c r="I120" s="5" t="n">
        <v>119.5</v>
      </c>
      <c r="J120" s="5" t="n">
        <v>33</v>
      </c>
      <c r="K120" s="3" t="inlineStr">
        <is>
          <t>세종시 10분거리 투자가치 좋은 전원주택지</t>
        </is>
      </c>
      <c r="L120" s="6">
        <f>HYPERLINK("https://fin.land.naver.com/articles/2654622344", "매물Link")</f>
        <v/>
      </c>
      <c r="M120" s="6">
        <f>HYPERLINK("https://map.naver.com/p/search/강내면 저산리 81-1", "지도Link")</f>
        <v/>
      </c>
      <c r="N120" s="6">
        <f>HYPERLINK("http://www.eum.go.kr/web/ar/lu/luLandDet.jsp?pnu=4311331023100810001&amp;isNoScr=script&amp;mode=search", "토지이음")</f>
        <v/>
      </c>
      <c r="O120" s="3" t="inlineStr">
        <is>
          <t>토담</t>
        </is>
      </c>
      <c r="P120" s="4" t="n">
        <v>1</v>
      </c>
      <c r="Q120" s="4" t="n">
        <v>230</v>
      </c>
      <c r="R120" s="3" t="inlineStr">
        <is>
          <t>지정되지않음</t>
        </is>
      </c>
      <c r="S120" s="3" t="inlineStr">
        <is>
          <t>단독</t>
        </is>
      </c>
      <c r="T120" s="3" t="inlineStr">
        <is>
          <t>완경사</t>
        </is>
      </c>
      <c r="U120" s="3" t="inlineStr">
        <is>
          <t>사다리형</t>
        </is>
      </c>
      <c r="V120" s="3" t="inlineStr">
        <is>
          <t>세로한면(불)</t>
        </is>
      </c>
    </row>
    <row r="121">
      <c r="A121" s="3" t="inlineStr">
        <is>
          <t>강내면 저산리 90</t>
        </is>
      </c>
      <c r="B121" s="3" t="inlineStr">
        <is>
          <t>계획관리지역</t>
        </is>
      </c>
      <c r="C121" s="3" t="inlineStr">
        <is>
          <t>전</t>
        </is>
      </c>
      <c r="D121" s="3" t="inlineStr">
        <is>
          <t>전</t>
        </is>
      </c>
      <c r="E121" s="3" t="inlineStr">
        <is>
          <t>매매</t>
        </is>
      </c>
      <c r="F121" s="4" t="n">
        <v>20220</v>
      </c>
      <c r="G121" s="4" t="n">
        <v>1114</v>
      </c>
      <c r="H121" s="4" t="n">
        <v>337</v>
      </c>
      <c r="I121" s="5" t="n">
        <v>60</v>
      </c>
      <c r="J121" s="5" t="n">
        <v>22.8</v>
      </c>
      <c r="K121" s="3" t="inlineStr">
        <is>
          <t>a 세종시10분 현지목 전 계획관리지역 마을진입위치</t>
        </is>
      </c>
      <c r="L121" s="6">
        <f>HYPERLINK("https://fin.land.naver.com/articles/2649810898", "매물Link")</f>
        <v/>
      </c>
      <c r="M121" s="6">
        <f>HYPERLINK("https://map.naver.com/p/search/강내면 저산리 90", "지도Link")</f>
        <v/>
      </c>
      <c r="N121" s="6">
        <f>HYPERLINK("http://www.eum.go.kr/web/ar/lu/luLandDet.jsp?pnu=4311331023100900000&amp;isNoScr=script&amp;mode=search", "토지이음")</f>
        <v/>
      </c>
      <c r="O121" s="3" t="inlineStr">
        <is>
          <t>메가캐슬</t>
        </is>
      </c>
      <c r="P121" s="4" t="n">
        <v>1</v>
      </c>
      <c r="Q121" s="4" t="n">
        <v>1114</v>
      </c>
      <c r="R121" s="3" t="inlineStr">
        <is>
          <t>지정되지않음</t>
        </is>
      </c>
      <c r="S121" s="3" t="inlineStr">
        <is>
          <t>전</t>
        </is>
      </c>
      <c r="T121" s="3" t="inlineStr">
        <is>
          <t>완경사</t>
        </is>
      </c>
      <c r="U121" s="3" t="inlineStr">
        <is>
          <t>부정형</t>
        </is>
      </c>
      <c r="V121" s="3" t="inlineStr">
        <is>
          <t>맹지</t>
        </is>
      </c>
    </row>
    <row r="122">
      <c r="A122" s="3" t="inlineStr">
        <is>
          <t>강내면 저산리 산 36-15</t>
        </is>
      </c>
      <c r="B122" s="3" t="inlineStr">
        <is>
          <t>계획관리지역</t>
        </is>
      </c>
      <c r="C122" s="3" t="inlineStr">
        <is>
          <t>임야</t>
        </is>
      </c>
      <c r="D122" s="3" t="inlineStr">
        <is>
          <t>임야</t>
        </is>
      </c>
      <c r="E122" s="3" t="inlineStr">
        <is>
          <t>매매</t>
        </is>
      </c>
      <c r="F122" s="4" t="n">
        <v>32000</v>
      </c>
      <c r="G122" s="4" t="n">
        <v>990</v>
      </c>
      <c r="H122" s="4" t="n">
        <v>299</v>
      </c>
      <c r="I122" s="5" t="n">
        <v>107</v>
      </c>
      <c r="J122" s="5" t="n">
        <v>7.5</v>
      </c>
      <c r="K122" s="3" t="inlineStr">
        <is>
          <t>청주인근접근성좋음 정남향</t>
        </is>
      </c>
      <c r="L122" s="6">
        <f>HYPERLINK("https://fin.land.naver.com/articles/2649354281", "매물Link")</f>
        <v/>
      </c>
      <c r="M122" s="6">
        <f>HYPERLINK("https://map.naver.com/p/search/강내면 저산리 산 36-15", "지도Link")</f>
        <v/>
      </c>
      <c r="N122" s="6">
        <f>HYPERLINK("http://www.eum.go.kr/web/ar/lu/luLandDet.jsp?pnu=4311331023200360015&amp;isNoScr=script&amp;mode=search", "토지이음")</f>
        <v/>
      </c>
      <c r="O122" s="3" t="inlineStr">
        <is>
          <t>우미린다온</t>
        </is>
      </c>
      <c r="P122" s="4" t="n">
        <v>1</v>
      </c>
      <c r="Q122" s="4" t="n">
        <v>990</v>
      </c>
      <c r="R122" s="3" t="inlineStr">
        <is>
          <t>지정되지않음</t>
        </is>
      </c>
      <c r="S122" s="3" t="inlineStr">
        <is>
          <t>자연림</t>
        </is>
      </c>
      <c r="T122" s="3" t="inlineStr">
        <is>
          <t>완경사</t>
        </is>
      </c>
      <c r="U122" s="3" t="inlineStr">
        <is>
          <t>부정형</t>
        </is>
      </c>
      <c r="V122" s="3" t="inlineStr">
        <is>
          <t>세로각지(가)</t>
        </is>
      </c>
    </row>
    <row r="123">
      <c r="A123" s="3" t="inlineStr">
        <is>
          <t>강내면 저산리 산 43-27</t>
        </is>
      </c>
      <c r="B123" s="3" t="inlineStr">
        <is>
          <t>보전관리지역</t>
        </is>
      </c>
      <c r="C123" s="3" t="inlineStr">
        <is>
          <t>임야</t>
        </is>
      </c>
      <c r="D123" s="3" t="inlineStr">
        <is>
          <t>임야</t>
        </is>
      </c>
      <c r="E123" s="3" t="inlineStr">
        <is>
          <t>매매</t>
        </is>
      </c>
      <c r="F123" s="4" t="n">
        <v>25500</v>
      </c>
      <c r="G123" s="4" t="n">
        <v>514</v>
      </c>
      <c r="H123" s="4" t="n">
        <v>155</v>
      </c>
      <c r="I123" s="5" t="n">
        <v>164.5</v>
      </c>
      <c r="J123" s="5" t="n">
        <v>22.2</v>
      </c>
      <c r="K123" s="3" t="inlineStr">
        <is>
          <t>임야. 보전관리지역. 23년 제1종근랜생활시설 인허가 받았음.</t>
        </is>
      </c>
      <c r="L123" s="6">
        <f>HYPERLINK("https://fin.land.naver.com/articles/2650180922", "매물Link")</f>
        <v/>
      </c>
      <c r="M123" s="6">
        <f>HYPERLINK("https://map.naver.com/p/search/강내면 저산리 산 43-27", "지도Link")</f>
        <v/>
      </c>
      <c r="N123" s="6">
        <f>HYPERLINK("http://www.eum.go.kr/web/ar/lu/luLandDet.jsp?pnu=4311331023200430027&amp;isNoScr=script&amp;mode=search", "토지이음")</f>
        <v/>
      </c>
      <c r="O123" s="3" t="inlineStr">
        <is>
          <t>브레인시티유진</t>
        </is>
      </c>
      <c r="P123" s="4" t="n">
        <v>1</v>
      </c>
      <c r="Q123" s="4" t="n">
        <v>514</v>
      </c>
      <c r="R123" s="3" t="inlineStr">
        <is>
          <t>지정되지않음</t>
        </is>
      </c>
      <c r="S123" s="3" t="inlineStr">
        <is>
          <t>전기타</t>
        </is>
      </c>
      <c r="T123" s="3" t="inlineStr">
        <is>
          <t>평지</t>
        </is>
      </c>
      <c r="U123" s="3" t="inlineStr">
        <is>
          <t>부정형</t>
        </is>
      </c>
      <c r="V123" s="3" t="inlineStr">
        <is>
          <t>세로한면(불)</t>
        </is>
      </c>
    </row>
    <row r="124">
      <c r="A124" s="3" t="inlineStr">
        <is>
          <t>강내면 저산리 산 43-30</t>
        </is>
      </c>
      <c r="B124" s="3" t="inlineStr">
        <is>
          <t>보전관리지역</t>
        </is>
      </c>
      <c r="C124" s="3" t="inlineStr">
        <is>
          <t>임야</t>
        </is>
      </c>
      <c r="D124" s="3" t="inlineStr">
        <is>
          <t>임야</t>
        </is>
      </c>
      <c r="E124" s="3" t="inlineStr">
        <is>
          <t>매매</t>
        </is>
      </c>
      <c r="F124" s="4" t="n">
        <v>25500</v>
      </c>
      <c r="G124" s="4" t="n">
        <v>514</v>
      </c>
      <c r="H124" s="4" t="n">
        <v>155</v>
      </c>
      <c r="I124" s="5" t="n">
        <v>164.5</v>
      </c>
      <c r="J124" s="5" t="n">
        <v>22.2</v>
      </c>
      <c r="K124" s="3" t="inlineStr">
        <is>
          <t>nan</t>
        </is>
      </c>
      <c r="L124" s="6">
        <f>HYPERLINK("https://fin.land.naver.com/articles/2650181957", "매물Link")</f>
        <v/>
      </c>
      <c r="M124" s="6">
        <f>HYPERLINK("https://map.naver.com/p/search/강내면 저산리 산 43-30", "지도Link")</f>
        <v/>
      </c>
      <c r="N124" s="6">
        <f>HYPERLINK("http://www.eum.go.kr/web/ar/lu/luLandDet.jsp?pnu=4311331023200430030&amp;isNoScr=script&amp;mode=search", "토지이음")</f>
        <v/>
      </c>
      <c r="O124" s="3" t="inlineStr">
        <is>
          <t>브레인시티유진</t>
        </is>
      </c>
      <c r="P124" s="4" t="n">
        <v>1</v>
      </c>
      <c r="Q124" s="4" t="n">
        <v>514</v>
      </c>
      <c r="R124" s="3" t="inlineStr">
        <is>
          <t>지정되지않음</t>
        </is>
      </c>
      <c r="S124" s="3" t="inlineStr">
        <is>
          <t>전기타</t>
        </is>
      </c>
      <c r="T124" s="3" t="inlineStr">
        <is>
          <t>평지</t>
        </is>
      </c>
      <c r="U124" s="3" t="inlineStr">
        <is>
          <t>부정형</t>
        </is>
      </c>
      <c r="V124" s="3" t="inlineStr">
        <is>
          <t>세로한면(불)</t>
        </is>
      </c>
    </row>
    <row r="125">
      <c r="A125" s="3" t="inlineStr">
        <is>
          <t>강내면 저산리 산 60-23</t>
        </is>
      </c>
      <c r="B125" s="3" t="inlineStr">
        <is>
          <t>보전관리지역</t>
        </is>
      </c>
      <c r="C125" s="3" t="inlineStr">
        <is>
          <t>임야</t>
        </is>
      </c>
      <c r="D125" s="3" t="inlineStr">
        <is>
          <t>임야</t>
        </is>
      </c>
      <c r="E125" s="3" t="inlineStr">
        <is>
          <t>매매</t>
        </is>
      </c>
      <c r="F125" s="4" t="n">
        <v>14000</v>
      </c>
      <c r="G125" s="4" t="n">
        <v>541</v>
      </c>
      <c r="H125" s="4" t="n">
        <v>164</v>
      </c>
      <c r="I125" s="5" t="n">
        <v>85.40000000000001</v>
      </c>
      <c r="J125" s="5" t="n">
        <v>6.3</v>
      </c>
      <c r="K125" s="3" t="inlineStr">
        <is>
          <t>전원주택 또는 소형 근린생활시설 부지로 추천</t>
        </is>
      </c>
      <c r="L125" s="6">
        <f>HYPERLINK("https://fin.land.naver.com/articles/2651537028", "매물Link")</f>
        <v/>
      </c>
      <c r="M125" s="6">
        <f>HYPERLINK("https://map.naver.com/p/search/강내면 저산리 산 60-23", "지도Link")</f>
        <v/>
      </c>
      <c r="N125" s="6">
        <f>HYPERLINK("http://www.eum.go.kr/web/ar/lu/luLandDet.jsp?pnu=4311331023200600023&amp;isNoScr=script&amp;mode=search", "토지이음")</f>
        <v/>
      </c>
      <c r="O125" s="3" t="inlineStr">
        <is>
          <t>제이</t>
        </is>
      </c>
      <c r="P125" s="4" t="n">
        <v>1</v>
      </c>
      <c r="Q125" s="4" t="n">
        <v>466</v>
      </c>
      <c r="R125" s="3" t="inlineStr">
        <is>
          <t>지정되지않음</t>
        </is>
      </c>
      <c r="S125" s="3" t="inlineStr">
        <is>
          <t>토지임야</t>
        </is>
      </c>
      <c r="T125" s="3" t="inlineStr">
        <is>
          <t>완경사</t>
        </is>
      </c>
      <c r="U125" s="3" t="inlineStr">
        <is>
          <t>사다리형</t>
        </is>
      </c>
      <c r="V125" s="3" t="inlineStr">
        <is>
          <t>세로한면(가)</t>
        </is>
      </c>
    </row>
    <row r="126">
      <c r="A126" s="3" t="inlineStr">
        <is>
          <t>강내면 저산리 산43-25</t>
        </is>
      </c>
      <c r="B126" s="3" t="inlineStr">
        <is>
          <t>보전관리지역</t>
        </is>
      </c>
      <c r="C126" s="3" t="inlineStr">
        <is>
          <t>임야</t>
        </is>
      </c>
      <c r="D126" s="3" t="inlineStr">
        <is>
          <t>임야</t>
        </is>
      </c>
      <c r="E126" s="3" t="inlineStr">
        <is>
          <t>매매</t>
        </is>
      </c>
      <c r="F126" s="4" t="n">
        <v>33000</v>
      </c>
      <c r="G126" s="4" t="n">
        <v>665</v>
      </c>
      <c r="H126" s="4" t="n">
        <v>201</v>
      </c>
      <c r="I126" s="5" t="n">
        <v>164.2</v>
      </c>
      <c r="J126" s="5" t="n">
        <v>22.2</v>
      </c>
      <c r="K126" s="3" t="inlineStr">
        <is>
          <t>강내면 저산리 전원주택단지내 토지매매 앞뒤 탁트인조망</t>
        </is>
      </c>
      <c r="L126" s="6">
        <f>HYPERLINK("https://fin.land.naver.com/articles/2649951795", "매물Link")</f>
        <v/>
      </c>
      <c r="M126" s="6">
        <f>HYPERLINK("https://map.naver.com/p/search/강내면 저산리 산43-25", "지도Link")</f>
        <v/>
      </c>
      <c r="N126" s="6">
        <f>HYPERLINK("http://www.eum.go.kr/web/ar/lu/luLandDet.jsp?pnu=4311331023200430025&amp;isNoScr=script&amp;mode=search", "토지이음")</f>
        <v/>
      </c>
      <c r="O126" s="3" t="inlineStr">
        <is>
          <t>탄탄</t>
        </is>
      </c>
      <c r="P126" s="4" t="n">
        <v>1</v>
      </c>
      <c r="Q126" s="4" t="n">
        <v>605</v>
      </c>
      <c r="R126" s="3" t="inlineStr">
        <is>
          <t>지정되지않음</t>
        </is>
      </c>
      <c r="S126" s="3" t="inlineStr">
        <is>
          <t>전기타</t>
        </is>
      </c>
      <c r="T126" s="3" t="inlineStr">
        <is>
          <t>평지</t>
        </is>
      </c>
      <c r="U126" s="3" t="inlineStr">
        <is>
          <t>부정형</t>
        </is>
      </c>
      <c r="V126" s="3" t="inlineStr">
        <is>
          <t>세로한면(불)</t>
        </is>
      </c>
    </row>
    <row r="127">
      <c r="A127" s="3" t="inlineStr">
        <is>
          <t>강내면 저산리 산43-25</t>
        </is>
      </c>
      <c r="B127" s="3" t="inlineStr">
        <is>
          <t>보전관리지역</t>
        </is>
      </c>
      <c r="C127" s="3" t="inlineStr">
        <is>
          <t>임야</t>
        </is>
      </c>
      <c r="D127" s="3" t="inlineStr">
        <is>
          <t>임야</t>
        </is>
      </c>
      <c r="E127" s="3" t="inlineStr">
        <is>
          <t>매매</t>
        </is>
      </c>
      <c r="F127" s="4" t="n">
        <v>27000</v>
      </c>
      <c r="G127" s="4" t="n">
        <v>605</v>
      </c>
      <c r="H127" s="4" t="n">
        <v>183</v>
      </c>
      <c r="I127" s="5" t="n">
        <v>147.5</v>
      </c>
      <c r="J127" s="5" t="n">
        <v>22.2</v>
      </c>
      <c r="K127" s="3" t="inlineStr">
        <is>
          <t>세종시 인접된 별지마을 전원주택지 매도</t>
        </is>
      </c>
      <c r="L127" s="6">
        <f>HYPERLINK("https://fin.land.naver.com/articles/2651885054", "매물Link")</f>
        <v/>
      </c>
      <c r="M127" s="6">
        <f>HYPERLINK("https://map.naver.com/p/search/강내면 저산리 산43-25", "지도Link")</f>
        <v/>
      </c>
      <c r="N127" s="6">
        <f>HYPERLINK("http://www.eum.go.kr/web/ar/lu/luLandDet.jsp?pnu=4311331023200430025&amp;isNoScr=script&amp;mode=search", "토지이음")</f>
        <v/>
      </c>
      <c r="O127" s="3" t="inlineStr">
        <is>
          <t>e교차로</t>
        </is>
      </c>
      <c r="P127" s="4" t="n">
        <v>1</v>
      </c>
      <c r="Q127" s="4" t="n">
        <v>605</v>
      </c>
      <c r="R127" s="3" t="inlineStr">
        <is>
          <t>지정되지않음</t>
        </is>
      </c>
      <c r="S127" s="3" t="inlineStr">
        <is>
          <t>전기타</t>
        </is>
      </c>
      <c r="T127" s="3" t="inlineStr">
        <is>
          <t>평지</t>
        </is>
      </c>
      <c r="U127" s="3" t="inlineStr">
        <is>
          <t>부정형</t>
        </is>
      </c>
      <c r="V127" s="3" t="inlineStr">
        <is>
          <t>세로한면(불)</t>
        </is>
      </c>
    </row>
    <row r="128">
      <c r="A128" s="3" t="inlineStr">
        <is>
          <t>강내면 저산리 산43-63</t>
        </is>
      </c>
      <c r="B128" s="3" t="inlineStr">
        <is>
          <t>보전관리지역</t>
        </is>
      </c>
      <c r="C128" s="3" t="inlineStr">
        <is>
          <t>임야</t>
        </is>
      </c>
      <c r="D128" s="3" t="inlineStr">
        <is>
          <t>임야</t>
        </is>
      </c>
      <c r="E128" s="3" t="inlineStr">
        <is>
          <t>매매</t>
        </is>
      </c>
      <c r="F128" s="4" t="n">
        <v>21000</v>
      </c>
      <c r="G128" s="4" t="n">
        <v>567</v>
      </c>
      <c r="H128" s="4" t="n">
        <v>172</v>
      </c>
      <c r="I128" s="5" t="n">
        <v>122.1</v>
      </c>
      <c r="J128" s="5" t="n">
        <v>4.7</v>
      </c>
      <c r="K128" s="3" t="inlineStr">
        <is>
          <t>nan</t>
        </is>
      </c>
      <c r="L128" s="6">
        <f>HYPERLINK("https://fin.land.naver.com/articles/2652961866", "매물Link")</f>
        <v/>
      </c>
      <c r="M128" s="6">
        <f>HYPERLINK("https://map.naver.com/p/search/강내면 저산리 산43-63", "지도Link")</f>
        <v/>
      </c>
      <c r="N128" s="6">
        <f>HYPERLINK("http://www.eum.go.kr/web/ar/lu/luLandDet.jsp?pnu=4311331023200430063&amp;isNoScr=script&amp;mode=search", "토지이음")</f>
        <v/>
      </c>
      <c r="O128" s="3" t="inlineStr">
        <is>
          <t>e교차로</t>
        </is>
      </c>
      <c r="P128" s="4" t="n">
        <v>1</v>
      </c>
      <c r="Q128" s="4" t="n">
        <v>568</v>
      </c>
      <c r="R128" s="3" t="inlineStr">
        <is>
          <t>지정되지않음</t>
        </is>
      </c>
      <c r="S128" s="3" t="inlineStr">
        <is>
          <t>자연림</t>
        </is>
      </c>
      <c r="T128" s="3" t="inlineStr">
        <is>
          <t>급경사</t>
        </is>
      </c>
      <c r="U128" s="3" t="inlineStr">
        <is>
          <t>부정형</t>
        </is>
      </c>
      <c r="V128" s="3" t="inlineStr">
        <is>
          <t>세로한면(불)</t>
        </is>
      </c>
    </row>
    <row r="129">
      <c r="A129" s="3" t="inlineStr">
        <is>
          <t>강내면 저산리 산43-9</t>
        </is>
      </c>
      <c r="B129" s="3" t="inlineStr">
        <is>
          <t>보전관리지역</t>
        </is>
      </c>
      <c r="C129" s="3" t="inlineStr">
        <is>
          <t>임야</t>
        </is>
      </c>
      <c r="D129" s="3" t="inlineStr">
        <is>
          <t>임야</t>
        </is>
      </c>
      <c r="E129" s="3" t="inlineStr">
        <is>
          <t>매매</t>
        </is>
      </c>
      <c r="F129" s="4" t="n">
        <v>22000</v>
      </c>
      <c r="G129" s="4" t="n">
        <v>656</v>
      </c>
      <c r="H129" s="4" t="n">
        <v>198</v>
      </c>
      <c r="I129" s="5" t="n">
        <v>111.1</v>
      </c>
      <c r="J129" s="5" t="n">
        <v>22.2</v>
      </c>
      <c r="K129" s="3" t="inlineStr">
        <is>
          <t>부강역 10분, 세종 집현동 15분, 전원주택 건축 추천 건축허가</t>
        </is>
      </c>
      <c r="L129" s="6">
        <f>HYPERLINK("https://fin.land.naver.com/articles/2653517514", "매물Link")</f>
        <v/>
      </c>
      <c r="M129" s="6">
        <f>HYPERLINK("https://map.naver.com/p/search/강내면 저산리 산43-9", "지도Link")</f>
        <v/>
      </c>
      <c r="N129" s="6">
        <f>HYPERLINK("http://www.eum.go.kr/web/ar/lu/luLandDet.jsp?pnu=4311331023200430009&amp;isNoScr=script&amp;mode=search", "토지이음")</f>
        <v/>
      </c>
      <c r="O129" s="3" t="inlineStr">
        <is>
          <t>나침반</t>
        </is>
      </c>
      <c r="P129" s="4" t="n">
        <v>1</v>
      </c>
      <c r="Q129" s="4" t="n">
        <v>596</v>
      </c>
      <c r="R129" s="3" t="inlineStr">
        <is>
          <t>지정되지않음</t>
        </is>
      </c>
      <c r="S129" s="3" t="inlineStr">
        <is>
          <t>전기타</t>
        </is>
      </c>
      <c r="T129" s="3" t="inlineStr">
        <is>
          <t>평지</t>
        </is>
      </c>
      <c r="U129" s="3" t="inlineStr">
        <is>
          <t>부정형</t>
        </is>
      </c>
      <c r="V129" s="3" t="inlineStr">
        <is>
          <t>세로한면(불)</t>
        </is>
      </c>
    </row>
    <row r="130">
      <c r="A130" s="3" t="inlineStr">
        <is>
          <t>강내면 저산리 산55-12</t>
        </is>
      </c>
      <c r="B130" s="3" t="inlineStr">
        <is>
          <t>보전관리지역</t>
        </is>
      </c>
      <c r="C130" s="3" t="inlineStr">
        <is>
          <t>임야</t>
        </is>
      </c>
      <c r="D130" s="3" t="inlineStr">
        <is>
          <t>임야</t>
        </is>
      </c>
      <c r="E130" s="3" t="inlineStr">
        <is>
          <t>매매</t>
        </is>
      </c>
      <c r="F130" s="4" t="n">
        <v>145000</v>
      </c>
      <c r="G130" s="4" t="n">
        <v>5389</v>
      </c>
      <c r="H130" s="4" t="n">
        <v>1630</v>
      </c>
      <c r="I130" s="5" t="n">
        <v>89</v>
      </c>
      <c r="J130" s="5" t="n">
        <v>6.8</v>
      </c>
      <c r="K130" s="3" t="inlineStr">
        <is>
          <t>토목공사 완료, 진입로 확보, 개발행위허가 후 즉시 사용, 매매가 절충</t>
        </is>
      </c>
      <c r="L130" s="6">
        <f>HYPERLINK("https://fin.land.naver.com/articles/2649345419", "매물Link")</f>
        <v/>
      </c>
      <c r="M130" s="6">
        <f>HYPERLINK("https://map.naver.com/p/search/강내면 저산리 산55-12", "지도Link")</f>
        <v/>
      </c>
      <c r="N130" s="6">
        <f>HYPERLINK("http://www.eum.go.kr/web/ar/lu/luLandDet.jsp?pnu=4311331023200550012&amp;isNoScr=script&amp;mode=search", "토지이음")</f>
        <v/>
      </c>
      <c r="O130" s="3" t="inlineStr">
        <is>
          <t>라인</t>
        </is>
      </c>
      <c r="P130" s="4" t="n">
        <v>1</v>
      </c>
      <c r="Q130" s="4" t="n">
        <v>3547</v>
      </c>
      <c r="R130" s="3" t="inlineStr">
        <is>
          <t>지정되지않음</t>
        </is>
      </c>
      <c r="S130" s="3" t="inlineStr">
        <is>
          <t>임야기타</t>
        </is>
      </c>
      <c r="T130" s="3" t="inlineStr">
        <is>
          <t>완경사</t>
        </is>
      </c>
      <c r="U130" s="3" t="inlineStr">
        <is>
          <t>사다리형</t>
        </is>
      </c>
      <c r="V130" s="3" t="inlineStr">
        <is>
          <t>소로한면</t>
        </is>
      </c>
    </row>
    <row r="131">
      <c r="A131" s="3" t="inlineStr">
        <is>
          <t>강내면 탑연리 101-17</t>
        </is>
      </c>
      <c r="B131" s="3" t="inlineStr">
        <is>
          <t>자연녹지지역</t>
        </is>
      </c>
      <c r="C131" s="3" t="inlineStr">
        <is>
          <t>임야</t>
        </is>
      </c>
      <c r="D131" s="3" t="inlineStr">
        <is>
          <t>임야</t>
        </is>
      </c>
      <c r="E131" s="3" t="inlineStr">
        <is>
          <t>매매</t>
        </is>
      </c>
      <c r="F131" s="4" t="n">
        <v>176000</v>
      </c>
      <c r="G131" s="4" t="n">
        <v>1662</v>
      </c>
      <c r="H131" s="4" t="n">
        <v>503</v>
      </c>
      <c r="I131" s="5" t="n">
        <v>349.9</v>
      </c>
      <c r="J131" s="5" t="n">
        <v>22.3</v>
      </c>
      <c r="K131" s="3" t="inlineStr">
        <is>
          <t>사진有 강내면 탑연리 4차선 도로 접한 토지. 전원주택부지. 식당부지</t>
        </is>
      </c>
      <c r="L131" s="6">
        <f>HYPERLINK("https://fin.land.naver.com/articles/2649947059", "매물Link")</f>
        <v/>
      </c>
      <c r="M131" s="6">
        <f>HYPERLINK("https://map.naver.com/p/search/강내면 탑연리 101-17", "지도Link")</f>
        <v/>
      </c>
      <c r="N131" s="6">
        <f>HYPERLINK("http://www.eum.go.kr/web/ar/lu/luLandDet.jsp?pnu=4311331031101010017&amp;isNoScr=script&amp;mode=search", "토지이음")</f>
        <v/>
      </c>
      <c r="O131" s="3" t="inlineStr">
        <is>
          <t>행복도시</t>
        </is>
      </c>
      <c r="P131" s="4" t="n">
        <v>1</v>
      </c>
      <c r="Q131" s="4" t="n">
        <v>590</v>
      </c>
      <c r="R131" s="3" t="inlineStr">
        <is>
          <t>지정되지않음</t>
        </is>
      </c>
      <c r="S131" s="3" t="inlineStr">
        <is>
          <t>토지임야</t>
        </is>
      </c>
      <c r="T131" s="3" t="inlineStr">
        <is>
          <t>평지</t>
        </is>
      </c>
      <c r="U131" s="3" t="inlineStr">
        <is>
          <t>부정형</t>
        </is>
      </c>
      <c r="V131" s="3" t="inlineStr">
        <is>
          <t>세로한면(가)</t>
        </is>
      </c>
    </row>
    <row r="132">
      <c r="A132" s="3" t="inlineStr">
        <is>
          <t>강내면 탑연리 13-2</t>
        </is>
      </c>
      <c r="B132" s="3" t="inlineStr">
        <is>
          <t>자연녹지지역</t>
        </is>
      </c>
      <c r="C132" s="3" t="inlineStr">
        <is>
          <t>전</t>
        </is>
      </c>
      <c r="D132" s="3" t="inlineStr">
        <is>
          <t>전</t>
        </is>
      </c>
      <c r="E132" s="3" t="inlineStr">
        <is>
          <t>매매</t>
        </is>
      </c>
      <c r="F132" s="4" t="n">
        <v>51500</v>
      </c>
      <c r="G132" s="4" t="n">
        <v>1309</v>
      </c>
      <c r="H132" s="4" t="n">
        <v>396</v>
      </c>
      <c r="I132" s="5" t="n">
        <v>130.1</v>
      </c>
      <c r="J132" s="5" t="n">
        <v>41.4</v>
      </c>
      <c r="K132" s="3" t="inlineStr">
        <is>
          <t>조용한 전원주택지</t>
        </is>
      </c>
      <c r="L132" s="6">
        <f>HYPERLINK("https://fin.land.naver.com/articles/2653407760", "매물Link")</f>
        <v/>
      </c>
      <c r="M132" s="6">
        <f>HYPERLINK("https://map.naver.com/p/search/강내면 탑연리 13-2", "지도Link")</f>
        <v/>
      </c>
      <c r="N132" s="6">
        <f>HYPERLINK("http://www.eum.go.kr/web/ar/lu/luLandDet.jsp?pnu=4311331031100130002&amp;isNoScr=script&amp;mode=search", "토지이음")</f>
        <v/>
      </c>
      <c r="O132" s="3" t="inlineStr">
        <is>
          <t>G세계로무소</t>
        </is>
      </c>
      <c r="P132" s="4" t="n">
        <v>1</v>
      </c>
      <c r="Q132" s="4" t="n">
        <v>1309</v>
      </c>
      <c r="R132" s="3" t="inlineStr">
        <is>
          <t>지정되지않음</t>
        </is>
      </c>
      <c r="S132" s="3" t="inlineStr">
        <is>
          <t>전</t>
        </is>
      </c>
      <c r="T132" s="3" t="inlineStr">
        <is>
          <t>평지</t>
        </is>
      </c>
      <c r="U132" s="3" t="inlineStr">
        <is>
          <t>부정형</t>
        </is>
      </c>
      <c r="V132" s="3" t="inlineStr">
        <is>
          <t>세로한면(가)</t>
        </is>
      </c>
    </row>
    <row r="133">
      <c r="A133" s="3" t="inlineStr">
        <is>
          <t>강내면 탑연리 135-7</t>
        </is>
      </c>
      <c r="B133" s="3" t="inlineStr">
        <is>
          <t>자연녹지지역</t>
        </is>
      </c>
      <c r="C133" s="3" t="inlineStr">
        <is>
          <t>전</t>
        </is>
      </c>
      <c r="D133" s="3" t="inlineStr">
        <is>
          <t>전</t>
        </is>
      </c>
      <c r="E133" s="3" t="inlineStr">
        <is>
          <t>매매</t>
        </is>
      </c>
      <c r="F133" s="4" t="n">
        <v>32000</v>
      </c>
      <c r="G133" s="4" t="n">
        <v>397</v>
      </c>
      <c r="H133" s="4" t="n">
        <v>120</v>
      </c>
      <c r="I133" s="5" t="n">
        <v>266.7</v>
      </c>
      <c r="J133" s="5" t="n">
        <v>72.7</v>
      </c>
      <c r="K133" s="3" t="inlineStr">
        <is>
          <t>강내면 탑연리 토지매매, 건페율 60, 건축가능</t>
        </is>
      </c>
      <c r="L133" s="6">
        <f>HYPERLINK("https://fin.land.naver.com/articles/2653852233", "매물Link")</f>
        <v/>
      </c>
      <c r="M133" s="6">
        <f>HYPERLINK("https://map.naver.com/p/search/강내면 탑연리 135-7", "지도Link")</f>
        <v/>
      </c>
      <c r="N133" s="6">
        <f>HYPERLINK("http://www.eum.go.kr/web/ar/lu/luLandDet.jsp?pnu=4311331031101350007&amp;isNoScr=script&amp;mode=search", "토지이음")</f>
        <v/>
      </c>
      <c r="O133" s="3" t="inlineStr">
        <is>
          <t>진</t>
        </is>
      </c>
      <c r="P133" s="4" t="n">
        <v>1</v>
      </c>
      <c r="Q133" s="4" t="n">
        <v>397</v>
      </c>
      <c r="R133" s="3" t="inlineStr">
        <is>
          <t>지정되지않음</t>
        </is>
      </c>
      <c r="S133" s="3" t="inlineStr">
        <is>
          <t>전</t>
        </is>
      </c>
      <c r="T133" s="3" t="inlineStr">
        <is>
          <t>평지</t>
        </is>
      </c>
      <c r="U133" s="3" t="inlineStr">
        <is>
          <t>부정형</t>
        </is>
      </c>
      <c r="V133" s="3" t="inlineStr">
        <is>
          <t>세로한면(가)</t>
        </is>
      </c>
    </row>
    <row r="134">
      <c r="A134" s="3" t="inlineStr">
        <is>
          <t>강내면 탑연리 205-1</t>
        </is>
      </c>
      <c r="B134" s="3" t="inlineStr">
        <is>
          <t>생산녹지지역</t>
        </is>
      </c>
      <c r="C134" s="3" t="inlineStr">
        <is>
          <t>답</t>
        </is>
      </c>
      <c r="D134" s="3" t="inlineStr">
        <is>
          <t>답</t>
        </is>
      </c>
      <c r="E134" s="3" t="inlineStr">
        <is>
          <t>매매</t>
        </is>
      </c>
      <c r="F134" s="4" t="n">
        <v>70000</v>
      </c>
      <c r="G134" s="4" t="n">
        <v>1908</v>
      </c>
      <c r="H134" s="4" t="n">
        <v>577</v>
      </c>
      <c r="I134" s="5" t="n">
        <v>121.3</v>
      </c>
      <c r="J134" s="5" t="n">
        <v>23.7</v>
      </c>
      <c r="K134" s="3" t="inlineStr">
        <is>
          <t>생산녹지 토지매매, 강내우체국 맞은</t>
        </is>
      </c>
      <c r="L134" s="6">
        <f>HYPERLINK("https://fin.land.naver.com/articles/2650140388", "매물Link")</f>
        <v/>
      </c>
      <c r="M134" s="6">
        <f>HYPERLINK("https://map.naver.com/p/search/강내면 탑연리 205-1", "지도Link")</f>
        <v/>
      </c>
      <c r="N134" s="6">
        <f>HYPERLINK("http://www.eum.go.kr/web/ar/lu/luLandDet.jsp?pnu=4311331031102050001&amp;isNoScr=script&amp;mode=search", "토지이음")</f>
        <v/>
      </c>
      <c r="O134" s="3" t="inlineStr">
        <is>
          <t>토마토</t>
        </is>
      </c>
      <c r="P134" s="4" t="n">
        <v>1</v>
      </c>
      <c r="Q134" s="4" t="n">
        <v>1908</v>
      </c>
      <c r="R134" s="3" t="inlineStr">
        <is>
          <t>지정되지않음</t>
        </is>
      </c>
      <c r="S134" s="3" t="inlineStr">
        <is>
          <t>답</t>
        </is>
      </c>
      <c r="T134" s="3" t="inlineStr">
        <is>
          <t>평지</t>
        </is>
      </c>
      <c r="U134" s="3" t="inlineStr">
        <is>
          <t>사다리형</t>
        </is>
      </c>
      <c r="V134" s="3" t="inlineStr">
        <is>
          <t>세로한면(가)</t>
        </is>
      </c>
    </row>
    <row r="135">
      <c r="A135" s="3" t="inlineStr">
        <is>
          <t>강내면 탑연리 279-2</t>
        </is>
      </c>
      <c r="B135" s="3" t="inlineStr">
        <is>
          <t>제2종일반주거지역</t>
        </is>
      </c>
      <c r="C135" s="3" t="inlineStr">
        <is>
          <t>답</t>
        </is>
      </c>
      <c r="D135" s="3" t="inlineStr">
        <is>
          <t>답</t>
        </is>
      </c>
      <c r="E135" s="3" t="inlineStr">
        <is>
          <t>매매</t>
        </is>
      </c>
      <c r="F135" s="4" t="n">
        <v>97000</v>
      </c>
      <c r="G135" s="4" t="n">
        <v>1070</v>
      </c>
      <c r="H135" s="4" t="n">
        <v>324</v>
      </c>
      <c r="I135" s="5" t="n">
        <v>299.4</v>
      </c>
      <c r="J135" s="5" t="n">
        <v>122.8</v>
      </c>
      <c r="K135" s="3" t="inlineStr">
        <is>
          <t>인근 시세보다 저렴, 2차선 도시계획도로에 한면이 접함, 지가 상승 예상</t>
        </is>
      </c>
      <c r="L135" s="6">
        <f>HYPERLINK("https://fin.land.naver.com/articles/2651478715", "매물Link")</f>
        <v/>
      </c>
      <c r="M135" s="6">
        <f>HYPERLINK("https://map.naver.com/p/search/강내면 탑연리 279-2", "지도Link")</f>
        <v/>
      </c>
      <c r="N135" s="6">
        <f>HYPERLINK("http://www.eum.go.kr/web/ar/lu/luLandDet.jsp?pnu=4311331031102790002&amp;isNoScr=script&amp;mode=search", "토지이음")</f>
        <v/>
      </c>
      <c r="O135" s="3" t="inlineStr">
        <is>
          <t>제이</t>
        </is>
      </c>
      <c r="P135" s="4" t="n">
        <v>1</v>
      </c>
      <c r="Q135" s="4" t="n">
        <v>1070</v>
      </c>
      <c r="R135" s="3" t="inlineStr">
        <is>
          <t>지정되지않음</t>
        </is>
      </c>
      <c r="S135" s="3" t="inlineStr">
        <is>
          <t>전</t>
        </is>
      </c>
      <c r="T135" s="3" t="inlineStr">
        <is>
          <t>평지</t>
        </is>
      </c>
      <c r="U135" s="3" t="inlineStr">
        <is>
          <t>부정형</t>
        </is>
      </c>
      <c r="V135" s="3" t="inlineStr">
        <is>
          <t>소로한면</t>
        </is>
      </c>
    </row>
    <row r="136">
      <c r="A136" s="3" t="inlineStr">
        <is>
          <t>강내면 탑연리 29-12</t>
        </is>
      </c>
      <c r="B136" s="3" t="inlineStr">
        <is>
          <t>자연녹지지역</t>
        </is>
      </c>
      <c r="C136" s="3" t="inlineStr">
        <is>
          <t>답</t>
        </is>
      </c>
      <c r="D136" s="3" t="inlineStr">
        <is>
          <t>답</t>
        </is>
      </c>
      <c r="E136" s="3" t="inlineStr">
        <is>
          <t>매매</t>
        </is>
      </c>
      <c r="F136" s="4" t="n">
        <v>22000</v>
      </c>
      <c r="G136" s="4" t="n">
        <v>550</v>
      </c>
      <c r="H136" s="4" t="n">
        <v>166</v>
      </c>
      <c r="I136" s="5" t="n">
        <v>132.5</v>
      </c>
      <c r="J136" s="5" t="n">
        <v>57.1</v>
      </c>
      <c r="K136" s="3" t="inlineStr">
        <is>
          <t>nan</t>
        </is>
      </c>
      <c r="L136" s="6">
        <f>HYPERLINK("https://fin.land.naver.com/articles/2651949514", "매물Link")</f>
        <v/>
      </c>
      <c r="M136" s="6">
        <f>HYPERLINK("https://map.naver.com/p/search/강내면 탑연리 29-12", "지도Link")</f>
        <v/>
      </c>
      <c r="N136" s="6">
        <f>HYPERLINK("http://www.eum.go.kr/web/ar/lu/luLandDet.jsp?pnu=4311331031100290012&amp;isNoScr=script&amp;mode=search", "토지이음")</f>
        <v/>
      </c>
      <c r="O136" s="3" t="inlineStr">
        <is>
          <t>창성</t>
        </is>
      </c>
      <c r="P136" s="4" t="n">
        <v>1</v>
      </c>
      <c r="Q136" s="4" t="n">
        <v>550</v>
      </c>
      <c r="R136" s="3" t="inlineStr">
        <is>
          <t>지정되지않음</t>
        </is>
      </c>
      <c r="S136" s="3" t="inlineStr">
        <is>
          <t>답</t>
        </is>
      </c>
      <c r="T136" s="3" t="inlineStr">
        <is>
          <t>평지</t>
        </is>
      </c>
      <c r="U136" s="3" t="inlineStr">
        <is>
          <t>사다리형</t>
        </is>
      </c>
      <c r="V136" s="3" t="inlineStr">
        <is>
          <t>세로한면(가)</t>
        </is>
      </c>
    </row>
    <row r="137">
      <c r="A137" s="3" t="inlineStr">
        <is>
          <t>강내면 탑연리 290-5</t>
        </is>
      </c>
      <c r="B137" s="3" t="inlineStr">
        <is>
          <t>계획관리지역</t>
        </is>
      </c>
      <c r="C137" s="3" t="inlineStr">
        <is>
          <t>전</t>
        </is>
      </c>
      <c r="D137" s="3" t="inlineStr">
        <is>
          <t>전</t>
        </is>
      </c>
      <c r="E137" s="3" t="inlineStr">
        <is>
          <t>매매</t>
        </is>
      </c>
      <c r="F137" s="4" t="n">
        <v>245000</v>
      </c>
      <c r="G137" s="4" t="n">
        <v>2105</v>
      </c>
      <c r="H137" s="4" t="n">
        <v>637</v>
      </c>
      <c r="I137" s="5" t="n">
        <v>384.6</v>
      </c>
      <c r="J137" s="5" t="n">
        <v>180.5</v>
      </c>
      <c r="K137" s="3" t="inlineStr">
        <is>
          <t>nan</t>
        </is>
      </c>
      <c r="L137" s="6">
        <f>HYPERLINK("https://fin.land.naver.com/articles/2652009126", "매물Link")</f>
        <v/>
      </c>
      <c r="M137" s="6">
        <f>HYPERLINK("https://map.naver.com/p/search/강내면 탑연리 290-5", "지도Link")</f>
        <v/>
      </c>
      <c r="N137" s="6">
        <f>HYPERLINK("http://www.eum.go.kr/web/ar/lu/luLandDet.jsp?pnu=4311331031102900005&amp;isNoScr=script&amp;mode=search", "토지이음")</f>
        <v/>
      </c>
      <c r="O137" s="3" t="inlineStr">
        <is>
          <t>오너스</t>
        </is>
      </c>
      <c r="P137" s="4" t="n">
        <v>1</v>
      </c>
      <c r="Q137" s="4" t="n">
        <v>1728</v>
      </c>
      <c r="R137" s="3" t="inlineStr">
        <is>
          <t>지정되지않음</t>
        </is>
      </c>
      <c r="S137" s="3" t="inlineStr">
        <is>
          <t>주상나지</t>
        </is>
      </c>
      <c r="T137" s="3" t="inlineStr">
        <is>
          <t>평지</t>
        </is>
      </c>
      <c r="U137" s="3" t="inlineStr">
        <is>
          <t>부정형</t>
        </is>
      </c>
      <c r="V137" s="3" t="inlineStr">
        <is>
          <t>중로한면</t>
        </is>
      </c>
    </row>
    <row r="138">
      <c r="A138" s="3" t="inlineStr">
        <is>
          <t>강내면 탑연리 330-9</t>
        </is>
      </c>
      <c r="B138" s="3" t="inlineStr">
        <is>
          <t>계획관리지역</t>
        </is>
      </c>
      <c r="C138" s="3" t="inlineStr">
        <is>
          <t>대</t>
        </is>
      </c>
      <c r="D138" s="3" t="inlineStr">
        <is>
          <t>대</t>
        </is>
      </c>
      <c r="E138" s="3" t="inlineStr">
        <is>
          <t>매매</t>
        </is>
      </c>
      <c r="F138" s="4" t="n">
        <v>1200000</v>
      </c>
      <c r="G138" s="4" t="n">
        <v>9564</v>
      </c>
      <c r="H138" s="4" t="n">
        <v>2893</v>
      </c>
      <c r="I138" s="5" t="n">
        <v>414.8</v>
      </c>
      <c r="J138" s="5" t="n">
        <v>147.8</v>
      </c>
      <c r="K138" s="3" t="inlineStr">
        <is>
          <t>M 해당토지외 15필지 포함. 공장 및 토지 매매 M</t>
        </is>
      </c>
      <c r="L138" s="6">
        <f>HYPERLINK("https://fin.land.naver.com/articles/2651128763", "매물Link")</f>
        <v/>
      </c>
      <c r="M138" s="6">
        <f>HYPERLINK("https://map.naver.com/p/search/강내면 탑연리 330-9", "지도Link")</f>
        <v/>
      </c>
      <c r="N138" s="6">
        <f>HYPERLINK("http://www.eum.go.kr/web/ar/lu/luLandDet.jsp?pnu=4311331031103300009&amp;isNoScr=script&amp;mode=search", "토지이음")</f>
        <v/>
      </c>
      <c r="O138" s="3" t="inlineStr">
        <is>
          <t>채움</t>
        </is>
      </c>
      <c r="P138" s="4" t="n">
        <v>1</v>
      </c>
      <c r="Q138" s="4" t="n">
        <v>1590</v>
      </c>
      <c r="R138" s="3" t="inlineStr">
        <is>
          <t>자연녹지지역</t>
        </is>
      </c>
      <c r="S138" s="3" t="inlineStr">
        <is>
          <t>공업용</t>
        </is>
      </c>
      <c r="T138" s="3" t="inlineStr">
        <is>
          <t>평지</t>
        </is>
      </c>
      <c r="U138" s="3" t="inlineStr">
        <is>
          <t>사다리형</t>
        </is>
      </c>
      <c r="V138" s="3" t="inlineStr">
        <is>
          <t>중로한면</t>
        </is>
      </c>
    </row>
    <row r="139">
      <c r="A139" s="3" t="inlineStr">
        <is>
          <t>강내면 탑연리 333-4</t>
        </is>
      </c>
      <c r="B139" s="3" t="inlineStr">
        <is>
          <t>자연녹지지역</t>
        </is>
      </c>
      <c r="C139" s="3" t="inlineStr">
        <is>
          <t>답</t>
        </is>
      </c>
      <c r="D139" s="3" t="inlineStr">
        <is>
          <t>답</t>
        </is>
      </c>
      <c r="E139" s="3" t="inlineStr">
        <is>
          <t>매매</t>
        </is>
      </c>
      <c r="F139" s="4" t="n">
        <v>147000</v>
      </c>
      <c r="G139" s="4" t="n">
        <v>1950</v>
      </c>
      <c r="H139" s="4" t="n">
        <v>590</v>
      </c>
      <c r="I139" s="5" t="n">
        <v>249.2</v>
      </c>
      <c r="J139" s="5" t="n">
        <v>92.59999999999999</v>
      </c>
      <c r="K139" s="3" t="inlineStr">
        <is>
          <t>탑연리 자연녹지 카페.자동차관련.1.2종근생.운동시설관련등 추천</t>
        </is>
      </c>
      <c r="L139" s="6">
        <f>HYPERLINK("https://fin.land.naver.com/articles/2652976662", "매물Link")</f>
        <v/>
      </c>
      <c r="M139" s="6">
        <f>HYPERLINK("https://map.naver.com/p/search/강내면 탑연리 333-4", "지도Link")</f>
        <v/>
      </c>
      <c r="N139" s="6">
        <f>HYPERLINK("http://www.eum.go.kr/web/ar/lu/luLandDet.jsp?pnu=4311331031103330004&amp;isNoScr=script&amp;mode=search", "토지이음")</f>
        <v/>
      </c>
      <c r="O139" s="3" t="inlineStr">
        <is>
          <t>그린</t>
        </is>
      </c>
      <c r="P139" s="4" t="n">
        <v>1</v>
      </c>
      <c r="Q139" s="4" t="n">
        <v>1610</v>
      </c>
      <c r="R139" s="3" t="inlineStr">
        <is>
          <t>지정되지않음</t>
        </is>
      </c>
      <c r="S139" s="3" t="inlineStr">
        <is>
          <t>답</t>
        </is>
      </c>
      <c r="T139" s="3" t="inlineStr">
        <is>
          <t>평지</t>
        </is>
      </c>
      <c r="U139" s="3" t="inlineStr">
        <is>
          <t>부정형</t>
        </is>
      </c>
      <c r="V139" s="3" t="inlineStr">
        <is>
          <t>맹지</t>
        </is>
      </c>
    </row>
    <row r="140">
      <c r="A140" s="3" t="inlineStr">
        <is>
          <t>강내면 탑연리 334-2</t>
        </is>
      </c>
      <c r="B140" s="3" t="inlineStr">
        <is>
          <t>자연녹지지역</t>
        </is>
      </c>
      <c r="C140" s="3" t="inlineStr">
        <is>
          <t>답</t>
        </is>
      </c>
      <c r="D140" s="3" t="inlineStr">
        <is>
          <t>답</t>
        </is>
      </c>
      <c r="E140" s="3" t="inlineStr">
        <is>
          <t>매매</t>
        </is>
      </c>
      <c r="F140" s="4" t="n">
        <v>354600</v>
      </c>
      <c r="G140" s="4" t="n">
        <v>3908</v>
      </c>
      <c r="H140" s="4" t="n">
        <v>1182</v>
      </c>
      <c r="I140" s="5" t="n">
        <v>300</v>
      </c>
      <c r="J140" s="5" t="n">
        <v>133</v>
      </c>
      <c r="K140" s="3" t="inlineStr">
        <is>
          <t>nan</t>
        </is>
      </c>
      <c r="L140" s="6">
        <f>HYPERLINK("https://fin.land.naver.com/articles/2652470487", "매물Link")</f>
        <v/>
      </c>
      <c r="M140" s="6">
        <f>HYPERLINK("https://map.naver.com/p/search/강내면 탑연리 334-2", "지도Link")</f>
        <v/>
      </c>
      <c r="N140" s="6">
        <f>HYPERLINK("http://www.eum.go.kr/web/ar/lu/luLandDet.jsp?pnu=4311331031103340002&amp;isNoScr=script&amp;mode=search", "토지이음")</f>
        <v/>
      </c>
      <c r="O140" s="3" t="inlineStr">
        <is>
          <t>천석</t>
        </is>
      </c>
      <c r="P140" s="4" t="n">
        <v>1</v>
      </c>
      <c r="Q140" s="4" t="n">
        <v>448</v>
      </c>
      <c r="R140" s="3" t="inlineStr">
        <is>
          <t>지정되지않음</t>
        </is>
      </c>
      <c r="S140" s="3" t="inlineStr">
        <is>
          <t>답</t>
        </is>
      </c>
      <c r="T140" s="3" t="inlineStr">
        <is>
          <t>평지</t>
        </is>
      </c>
      <c r="U140" s="3" t="inlineStr">
        <is>
          <t>부정형</t>
        </is>
      </c>
      <c r="V140" s="3" t="inlineStr">
        <is>
          <t>중로한면</t>
        </is>
      </c>
    </row>
    <row r="141">
      <c r="A141" s="3" t="inlineStr">
        <is>
          <t>강내면 탑연리 335</t>
        </is>
      </c>
      <c r="B141" s="3" t="inlineStr">
        <is>
          <t>자연녹지지역</t>
        </is>
      </c>
      <c r="C141" s="3" t="inlineStr">
        <is>
          <t>답</t>
        </is>
      </c>
      <c r="D141" s="3" t="inlineStr">
        <is>
          <t>답</t>
        </is>
      </c>
      <c r="E141" s="3" t="inlineStr">
        <is>
          <t>매매</t>
        </is>
      </c>
      <c r="F141" s="4" t="n">
        <v>208500</v>
      </c>
      <c r="G141" s="4" t="n">
        <v>2298</v>
      </c>
      <c r="H141" s="4" t="n">
        <v>695</v>
      </c>
      <c r="I141" s="5" t="n">
        <v>300</v>
      </c>
      <c r="J141" s="5" t="n">
        <v>135.4</v>
      </c>
      <c r="K141" s="3" t="inlineStr">
        <is>
          <t>자동차 써비스관련 시설등 하기 좋은 땅</t>
        </is>
      </c>
      <c r="L141" s="6">
        <f>HYPERLINK("https://fin.land.naver.com/articles/2654358551", "매물Link")</f>
        <v/>
      </c>
      <c r="M141" s="6">
        <f>HYPERLINK("https://map.naver.com/p/search/강내면 탑연리 335", "지도Link")</f>
        <v/>
      </c>
      <c r="N141" s="6">
        <f>HYPERLINK("http://www.eum.go.kr/web/ar/lu/luLandDet.jsp?pnu=4311331031103350000&amp;isNoScr=script&amp;mode=search", "토지이음")</f>
        <v/>
      </c>
      <c r="O141" s="3" t="inlineStr">
        <is>
          <t>천석</t>
        </is>
      </c>
      <c r="P141" s="4" t="n">
        <v>1</v>
      </c>
      <c r="Q141" s="4" t="n">
        <v>1850</v>
      </c>
      <c r="R141" s="3" t="inlineStr">
        <is>
          <t>지정되지않음</t>
        </is>
      </c>
      <c r="S141" s="3" t="inlineStr">
        <is>
          <t>답</t>
        </is>
      </c>
      <c r="T141" s="3" t="inlineStr">
        <is>
          <t>평지</t>
        </is>
      </c>
      <c r="U141" s="3" t="inlineStr">
        <is>
          <t>부정형</t>
        </is>
      </c>
      <c r="V141" s="3" t="inlineStr">
        <is>
          <t>중로한면</t>
        </is>
      </c>
    </row>
    <row r="142">
      <c r="A142" s="3" t="inlineStr">
        <is>
          <t>강내면 태성리 121-2</t>
        </is>
      </c>
      <c r="B142" s="3" t="inlineStr">
        <is>
          <t>계획관리지역</t>
        </is>
      </c>
      <c r="C142" s="3" t="inlineStr">
        <is>
          <t>임야</t>
        </is>
      </c>
      <c r="D142" s="3" t="inlineStr">
        <is>
          <t>임야</t>
        </is>
      </c>
      <c r="E142" s="3" t="inlineStr">
        <is>
          <t>매매</t>
        </is>
      </c>
      <c r="F142" s="4" t="n">
        <v>330000</v>
      </c>
      <c r="G142" s="4" t="n">
        <v>7300</v>
      </c>
      <c r="H142" s="4" t="n">
        <v>2208</v>
      </c>
      <c r="I142" s="5" t="n">
        <v>149.5</v>
      </c>
      <c r="J142" s="5" t="n">
        <v>72.2</v>
      </c>
      <c r="K142" s="3" t="inlineStr">
        <is>
          <t>2차선도로접 현재 차고지 사용중</t>
        </is>
      </c>
      <c r="L142" s="6">
        <f>HYPERLINK("https://fin.land.naver.com/articles/2652176994", "매물Link")</f>
        <v/>
      </c>
      <c r="M142" s="6">
        <f>HYPERLINK("https://map.naver.com/p/search/강내면 태성리 121-2", "지도Link")</f>
        <v/>
      </c>
      <c r="N142" s="6">
        <f>HYPERLINK("http://www.eum.go.kr/web/ar/lu/luLandDet.jsp?pnu=4311331027101210002&amp;isNoScr=script&amp;mode=search", "토지이음")</f>
        <v/>
      </c>
      <c r="O142" s="3" t="inlineStr">
        <is>
          <t>플러스태양</t>
        </is>
      </c>
      <c r="P142" s="4" t="n">
        <v>1</v>
      </c>
      <c r="Q142" s="4" t="n">
        <v>1805</v>
      </c>
      <c r="R142" s="3" t="inlineStr">
        <is>
          <t>지정되지않음</t>
        </is>
      </c>
      <c r="S142" s="3" t="inlineStr">
        <is>
          <t>공업용</t>
        </is>
      </c>
      <c r="T142" s="3" t="inlineStr">
        <is>
          <t>완경사</t>
        </is>
      </c>
      <c r="U142" s="3" t="inlineStr">
        <is>
          <t>사다리형</t>
        </is>
      </c>
      <c r="V142" s="3" t="inlineStr">
        <is>
          <t>소로한면</t>
        </is>
      </c>
    </row>
    <row r="143">
      <c r="A143" s="3" t="inlineStr">
        <is>
          <t>강내면 태성리 142-2</t>
        </is>
      </c>
      <c r="B143" s="3" t="inlineStr">
        <is>
          <t>계획관리지역</t>
        </is>
      </c>
      <c r="C143" s="3" t="inlineStr">
        <is>
          <t>공장용지</t>
        </is>
      </c>
      <c r="D143" s="3" t="inlineStr">
        <is>
          <t>공장용지</t>
        </is>
      </c>
      <c r="E143" s="3" t="inlineStr">
        <is>
          <t>매매</t>
        </is>
      </c>
      <c r="F143" s="4" t="n">
        <v>80000</v>
      </c>
      <c r="G143" s="4" t="n">
        <v>1325</v>
      </c>
      <c r="H143" s="4" t="n">
        <v>401</v>
      </c>
      <c r="I143" s="5" t="n">
        <v>199.5</v>
      </c>
      <c r="J143" s="5" t="n">
        <v>67</v>
      </c>
      <c r="K143" s="3" t="inlineStr">
        <is>
          <t>강내 하이테크밸리 산단 연접 공장용지 매매</t>
        </is>
      </c>
      <c r="L143" s="6">
        <f>HYPERLINK("https://fin.land.naver.com/articles/2650595323", "매물Link")</f>
        <v/>
      </c>
      <c r="M143" s="6">
        <f>HYPERLINK("https://map.naver.com/p/search/강내면 태성리 142-2", "지도Link")</f>
        <v/>
      </c>
      <c r="N143" s="6">
        <f>HYPERLINK("http://www.eum.go.kr/web/ar/lu/luLandDet.jsp?pnu=4311331027101420002&amp;isNoScr=script&amp;mode=search", "토지이음")</f>
        <v/>
      </c>
      <c r="O143" s="3" t="inlineStr">
        <is>
          <t>광장</t>
        </is>
      </c>
      <c r="P143" s="4" t="n">
        <v>1</v>
      </c>
      <c r="Q143" s="4" t="n">
        <v>1325</v>
      </c>
      <c r="R143" s="3" t="inlineStr">
        <is>
          <t>지정되지않음</t>
        </is>
      </c>
      <c r="S143" s="3" t="inlineStr">
        <is>
          <t>공업용</t>
        </is>
      </c>
      <c r="T143" s="3" t="inlineStr">
        <is>
          <t>완경사</t>
        </is>
      </c>
      <c r="U143" s="3" t="inlineStr">
        <is>
          <t>사다리형</t>
        </is>
      </c>
      <c r="V143" s="3" t="inlineStr">
        <is>
          <t>세로한면(가)</t>
        </is>
      </c>
    </row>
    <row r="144">
      <c r="A144" s="3" t="inlineStr">
        <is>
          <t>강내면 태성리 233</t>
        </is>
      </c>
      <c r="B144" s="3" t="inlineStr">
        <is>
          <t>계획관리지역</t>
        </is>
      </c>
      <c r="C144" s="3" t="inlineStr">
        <is>
          <t>공장용지</t>
        </is>
      </c>
      <c r="D144" s="3" t="inlineStr">
        <is>
          <t>공장용지</t>
        </is>
      </c>
      <c r="E144" s="3" t="inlineStr">
        <is>
          <t>월세</t>
        </is>
      </c>
      <c r="F144" s="4" t="n">
        <v>13500</v>
      </c>
      <c r="G144" s="4" t="n">
        <v>8903</v>
      </c>
      <c r="H144" s="4" t="n">
        <v>2693</v>
      </c>
      <c r="I144" s="5" t="n">
        <v>0.5</v>
      </c>
      <c r="J144" s="5" t="n">
        <v>62.4</v>
      </c>
      <c r="K144" s="3" t="inlineStr">
        <is>
          <t>남청주ic10분거리로접근성좋아 물류이동최적 야적장가능</t>
        </is>
      </c>
      <c r="L144" s="6">
        <f>HYPERLINK("https://fin.land.naver.com/articles/2652625500", "매물Link")</f>
        <v/>
      </c>
      <c r="M144" s="6">
        <f>HYPERLINK("https://map.naver.com/p/search/강내면 태성리 233", "지도Link")</f>
        <v/>
      </c>
      <c r="N144" s="6">
        <f>HYPERLINK("http://www.eum.go.kr/web/ar/lu/luLandDet.jsp?pnu=4311331027102330000&amp;isNoScr=script&amp;mode=search", "토지이음")</f>
        <v/>
      </c>
      <c r="O144" s="3" t="inlineStr">
        <is>
          <t>더원</t>
        </is>
      </c>
      <c r="P144" s="4" t="n">
        <v>1</v>
      </c>
      <c r="Q144" s="4" t="n">
        <v>209096</v>
      </c>
      <c r="R144" s="3" t="inlineStr">
        <is>
          <t>지정되지않음</t>
        </is>
      </c>
      <c r="S144" s="3" t="inlineStr">
        <is>
          <t>공업용</t>
        </is>
      </c>
      <c r="T144" s="3" t="inlineStr">
        <is>
          <t>평지</t>
        </is>
      </c>
      <c r="U144" s="3" t="inlineStr">
        <is>
          <t>사다리형</t>
        </is>
      </c>
      <c r="V144" s="3" t="inlineStr">
        <is>
          <t>소로한면</t>
        </is>
      </c>
    </row>
    <row r="145">
      <c r="A145" s="3" t="inlineStr">
        <is>
          <t>강내면 태성리 261</t>
        </is>
      </c>
      <c r="B145" s="3" t="inlineStr">
        <is>
          <t>계획관리지역</t>
        </is>
      </c>
      <c r="C145" s="3" t="inlineStr">
        <is>
          <t>전</t>
        </is>
      </c>
      <c r="D145" s="3" t="inlineStr">
        <is>
          <t>전</t>
        </is>
      </c>
      <c r="E145" s="3" t="inlineStr">
        <is>
          <t>매매</t>
        </is>
      </c>
      <c r="F145" s="4" t="n">
        <v>49800</v>
      </c>
      <c r="G145" s="4" t="n">
        <v>1547</v>
      </c>
      <c r="H145" s="4" t="n">
        <v>468</v>
      </c>
      <c r="I145" s="5" t="n">
        <v>106.4</v>
      </c>
      <c r="J145" s="5" t="n">
        <v>29.5</v>
      </c>
      <c r="K145" s="3" t="inlineStr">
        <is>
          <t>계획관리지역, 전468p, 용도변경 가능, 공장,창고 고물상 추천합니다.</t>
        </is>
      </c>
      <c r="L145" s="6">
        <f>HYPERLINK("https://fin.land.naver.com/articles/2653129196", "매물Link")</f>
        <v/>
      </c>
      <c r="M145" s="6">
        <f>HYPERLINK("https://map.naver.com/p/search/강내면 태성리 261", "지도Link")</f>
        <v/>
      </c>
      <c r="N145" s="6">
        <f>HYPERLINK("http://www.eum.go.kr/web/ar/lu/luLandDet.jsp?pnu=4311331027102610000&amp;isNoScr=script&amp;mode=search", "토지이음")</f>
        <v/>
      </c>
      <c r="O145" s="3" t="inlineStr">
        <is>
          <t>지성</t>
        </is>
      </c>
      <c r="P145" s="4" t="n">
        <v>1</v>
      </c>
      <c r="Q145" s="4" t="n">
        <v>1498</v>
      </c>
      <c r="R145" s="3" t="inlineStr">
        <is>
          <t>지정되지않음</t>
        </is>
      </c>
      <c r="S145" s="3" t="inlineStr">
        <is>
          <t>답</t>
        </is>
      </c>
      <c r="T145" s="3" t="inlineStr">
        <is>
          <t>평지</t>
        </is>
      </c>
      <c r="U145" s="3" t="inlineStr">
        <is>
          <t>부정형</t>
        </is>
      </c>
      <c r="V145" s="3" t="inlineStr">
        <is>
          <t>맹지</t>
        </is>
      </c>
    </row>
    <row r="146">
      <c r="A146" s="3" t="inlineStr">
        <is>
          <t>강내면 태성리 265-6</t>
        </is>
      </c>
      <c r="B146" s="3" t="inlineStr">
        <is>
          <t>계획관리지역</t>
        </is>
      </c>
      <c r="C146" s="3" t="inlineStr">
        <is>
          <t>대</t>
        </is>
      </c>
      <c r="D146" s="3" t="inlineStr">
        <is>
          <t>대</t>
        </is>
      </c>
      <c r="E146" s="3" t="inlineStr">
        <is>
          <t>매매</t>
        </is>
      </c>
      <c r="F146" s="4" t="n">
        <v>115000</v>
      </c>
      <c r="G146" s="4" t="n">
        <v>1874</v>
      </c>
      <c r="H146" s="4" t="n">
        <v>567</v>
      </c>
      <c r="I146" s="5" t="n">
        <v>202.8</v>
      </c>
      <c r="J146" s="5" t="n">
        <v>57.9</v>
      </c>
      <c r="K146" s="3" t="inlineStr">
        <is>
          <t>단층주택도 있어요 주택포함된 매매 입니다</t>
        </is>
      </c>
      <c r="L146" s="6">
        <f>HYPERLINK("https://fin.land.naver.com/articles/2652940857", "매물Link")</f>
        <v/>
      </c>
      <c r="M146" s="6">
        <f>HYPERLINK("https://map.naver.com/p/search/강내면 태성리 265-6", "지도Link")</f>
        <v/>
      </c>
      <c r="N146" s="6">
        <f>HYPERLINK("http://www.eum.go.kr/web/ar/lu/luLandDet.jsp?pnu=4311331027102650006&amp;isNoScr=script&amp;mode=search", "토지이음")</f>
        <v/>
      </c>
      <c r="O146" s="3" t="inlineStr">
        <is>
          <t>신화</t>
        </is>
      </c>
      <c r="P146" s="4" t="n">
        <v>1</v>
      </c>
      <c r="Q146" s="4" t="n">
        <v>815</v>
      </c>
      <c r="R146" s="3" t="inlineStr">
        <is>
          <t>지정되지않음</t>
        </is>
      </c>
      <c r="S146" s="3" t="inlineStr">
        <is>
          <t>단독</t>
        </is>
      </c>
      <c r="T146" s="3" t="inlineStr">
        <is>
          <t>평지</t>
        </is>
      </c>
      <c r="U146" s="3" t="inlineStr">
        <is>
          <t>사다리형</t>
        </is>
      </c>
      <c r="V146" s="3" t="inlineStr">
        <is>
          <t>세로한면(가)</t>
        </is>
      </c>
    </row>
    <row r="147">
      <c r="A147" s="3" t="inlineStr">
        <is>
          <t>강내면 태성리 271-2</t>
        </is>
      </c>
      <c r="B147" s="3" t="inlineStr">
        <is>
          <t>계획관리지역</t>
        </is>
      </c>
      <c r="C147" s="3" t="inlineStr">
        <is>
          <t>전</t>
        </is>
      </c>
      <c r="D147" s="3" t="inlineStr">
        <is>
          <t>전</t>
        </is>
      </c>
      <c r="E147" s="3" t="inlineStr">
        <is>
          <t>매매</t>
        </is>
      </c>
      <c r="F147" s="4" t="n">
        <v>95000</v>
      </c>
      <c r="G147" s="4" t="n">
        <v>2085</v>
      </c>
      <c r="H147" s="4" t="n">
        <v>631</v>
      </c>
      <c r="I147" s="5" t="n">
        <v>150.6</v>
      </c>
      <c r="J147" s="5" t="n">
        <v>40.1</v>
      </c>
      <c r="K147" s="3" t="inlineStr">
        <is>
          <t>강내산업단지 맞은편 최고 요지,공장,물류센터,근린시설 강추</t>
        </is>
      </c>
      <c r="L147" s="6">
        <f>HYPERLINK("https://fin.land.naver.com/articles/2654631134", "매물Link")</f>
        <v/>
      </c>
      <c r="M147" s="6">
        <f>HYPERLINK("https://map.naver.com/p/search/강내면 태성리 271-2", "지도Link")</f>
        <v/>
      </c>
      <c r="N147" s="6">
        <f>HYPERLINK("http://www.eum.go.kr/web/ar/lu/luLandDet.jsp?pnu=4311331027102710002&amp;isNoScr=script&amp;mode=search", "토지이음")</f>
        <v/>
      </c>
      <c r="O147" s="3" t="inlineStr">
        <is>
          <t>청주모충주공사모1·2재개발명성</t>
        </is>
      </c>
      <c r="P147" s="4" t="n">
        <v>2</v>
      </c>
      <c r="Q147" s="4" t="n">
        <v>2085</v>
      </c>
      <c r="R147" s="3" t="inlineStr">
        <is>
          <t>지정되지않음</t>
        </is>
      </c>
      <c r="S147" s="3" t="inlineStr">
        <is>
          <t>전</t>
        </is>
      </c>
      <c r="T147" s="3" t="inlineStr">
        <is>
          <t>평지</t>
        </is>
      </c>
      <c r="U147" s="3" t="inlineStr">
        <is>
          <t>부정형</t>
        </is>
      </c>
      <c r="V147" s="3" t="inlineStr">
        <is>
          <t>소로한면</t>
        </is>
      </c>
    </row>
    <row r="148">
      <c r="A148" s="3" t="inlineStr">
        <is>
          <t>강내면 태성리 271-2</t>
        </is>
      </c>
      <c r="B148" s="3" t="inlineStr">
        <is>
          <t>계획관리지역</t>
        </is>
      </c>
      <c r="C148" s="3" t="inlineStr">
        <is>
          <t>전</t>
        </is>
      </c>
      <c r="D148" s="3" t="inlineStr">
        <is>
          <t>전</t>
        </is>
      </c>
      <c r="E148" s="3" t="inlineStr">
        <is>
          <t>매매</t>
        </is>
      </c>
      <c r="F148" s="4" t="n">
        <v>100000</v>
      </c>
      <c r="G148" s="4" t="n">
        <v>2085</v>
      </c>
      <c r="H148" s="4" t="n">
        <v>631</v>
      </c>
      <c r="I148" s="5" t="n">
        <v>158.5</v>
      </c>
      <c r="J148" s="5" t="n">
        <v>40.1</v>
      </c>
      <c r="K148" s="3" t="inlineStr">
        <is>
          <t>강내산업단지 맞은편 최고 요지, 공장, 물류센터, 근린생활시설 추천</t>
        </is>
      </c>
      <c r="L148" s="6">
        <f>HYPERLINK("https://fin.land.naver.com/articles/2650412952", "매물Link")</f>
        <v/>
      </c>
      <c r="M148" s="6">
        <f>HYPERLINK("https://map.naver.com/p/search/강내면 태성리 271-2", "지도Link")</f>
        <v/>
      </c>
      <c r="N148" s="6">
        <f>HYPERLINK("http://www.eum.go.kr/web/ar/lu/luLandDet.jsp?pnu=4311331027102710002&amp;isNoScr=script&amp;mode=search", "토지이음")</f>
        <v/>
      </c>
      <c r="O148" s="3" t="inlineStr">
        <is>
          <t>청주모충사모1/2LH트릴로채명성</t>
        </is>
      </c>
      <c r="P148" s="4" t="n">
        <v>1</v>
      </c>
      <c r="Q148" s="4" t="n">
        <v>2085</v>
      </c>
      <c r="R148" s="3" t="inlineStr">
        <is>
          <t>지정되지않음</t>
        </is>
      </c>
      <c r="S148" s="3" t="inlineStr">
        <is>
          <t>전</t>
        </is>
      </c>
      <c r="T148" s="3" t="inlineStr">
        <is>
          <t>평지</t>
        </is>
      </c>
      <c r="U148" s="3" t="inlineStr">
        <is>
          <t>부정형</t>
        </is>
      </c>
      <c r="V148" s="3" t="inlineStr">
        <is>
          <t>소로한면</t>
        </is>
      </c>
    </row>
    <row r="149">
      <c r="A149" s="3" t="inlineStr">
        <is>
          <t>강내면 태성리 323</t>
        </is>
      </c>
      <c r="B149" s="3" t="inlineStr">
        <is>
          <t>계획관리지역</t>
        </is>
      </c>
      <c r="C149" s="3" t="inlineStr">
        <is>
          <t>답</t>
        </is>
      </c>
      <c r="D149" s="3" t="inlineStr">
        <is>
          <t>답</t>
        </is>
      </c>
      <c r="E149" s="3" t="inlineStr">
        <is>
          <t>매매</t>
        </is>
      </c>
      <c r="F149" s="4" t="n">
        <v>270000</v>
      </c>
      <c r="G149" s="4" t="n">
        <v>4478</v>
      </c>
      <c r="H149" s="4" t="n">
        <v>1355</v>
      </c>
      <c r="I149" s="5" t="n">
        <v>199.3</v>
      </c>
      <c r="J149" s="5" t="n">
        <v>33.9</v>
      </c>
      <c r="K149" s="3" t="inlineStr">
        <is>
          <t>nan</t>
        </is>
      </c>
      <c r="L149" s="6">
        <f>HYPERLINK("https://fin.land.naver.com/articles/2651272503", "매물Link")</f>
        <v/>
      </c>
      <c r="M149" s="6">
        <f>HYPERLINK("https://map.naver.com/p/search/강내면 태성리 323", "지도Link")</f>
        <v/>
      </c>
      <c r="N149" s="6">
        <f>HYPERLINK("http://www.eum.go.kr/web/ar/lu/luLandDet.jsp?pnu=4311331027103230000&amp;isNoScr=script&amp;mode=search", "토지이음")</f>
        <v/>
      </c>
      <c r="O149" s="3" t="inlineStr">
        <is>
          <t>오송퍼스트영웅</t>
        </is>
      </c>
      <c r="P149" s="4" t="n">
        <v>1</v>
      </c>
      <c r="Q149" s="4" t="n">
        <v>4478</v>
      </c>
      <c r="R149" s="3" t="inlineStr">
        <is>
          <t>지정되지않음</t>
        </is>
      </c>
      <c r="S149" s="3" t="inlineStr">
        <is>
          <t>답</t>
        </is>
      </c>
      <c r="T149" s="3" t="inlineStr">
        <is>
          <t>평지</t>
        </is>
      </c>
      <c r="U149" s="3" t="inlineStr">
        <is>
          <t>부정형</t>
        </is>
      </c>
      <c r="V149" s="3" t="inlineStr">
        <is>
          <t>소로한면</t>
        </is>
      </c>
    </row>
    <row r="150">
      <c r="A150" s="3" t="inlineStr">
        <is>
          <t>강내면 태성리 407-3</t>
        </is>
      </c>
      <c r="B150" s="3" t="inlineStr">
        <is>
          <t>계획관리지역</t>
        </is>
      </c>
      <c r="C150" s="3" t="inlineStr">
        <is>
          <t>전</t>
        </is>
      </c>
      <c r="D150" s="3" t="inlineStr">
        <is>
          <t>전</t>
        </is>
      </c>
      <c r="E150" s="3" t="inlineStr">
        <is>
          <t>매매</t>
        </is>
      </c>
      <c r="F150" s="4" t="n">
        <v>33300</v>
      </c>
      <c r="G150" s="4" t="n">
        <v>1102</v>
      </c>
      <c r="H150" s="4" t="n">
        <v>333</v>
      </c>
      <c r="I150" s="5" t="n">
        <v>100</v>
      </c>
      <c r="J150" s="5" t="n">
        <v>39.1</v>
      </c>
      <c r="K150" s="3" t="inlineStr">
        <is>
          <t>nan</t>
        </is>
      </c>
      <c r="L150" s="6">
        <f>HYPERLINK("https://fin.land.naver.com/articles/2653268685", "매물Link")</f>
        <v/>
      </c>
      <c r="M150" s="6">
        <f>HYPERLINK("https://map.naver.com/p/search/강내면 태성리 407-3", "지도Link")</f>
        <v/>
      </c>
      <c r="N150" s="6">
        <f>HYPERLINK("http://www.eum.go.kr/web/ar/lu/luLandDet.jsp?pnu=4311331027104070003&amp;isNoScr=script&amp;mode=search", "토지이음")</f>
        <v/>
      </c>
      <c r="O150" s="3" t="inlineStr">
        <is>
          <t>프로</t>
        </is>
      </c>
      <c r="P150" s="4" t="n">
        <v>3</v>
      </c>
      <c r="Q150" s="4" t="n">
        <v>1102</v>
      </c>
      <c r="R150" s="3" t="inlineStr">
        <is>
          <t>지정되지않음</t>
        </is>
      </c>
      <c r="S150" s="3" t="inlineStr">
        <is>
          <t>전</t>
        </is>
      </c>
      <c r="T150" s="3" t="inlineStr">
        <is>
          <t>완경사</t>
        </is>
      </c>
      <c r="U150" s="3" t="inlineStr">
        <is>
          <t>부정형</t>
        </is>
      </c>
      <c r="V150" s="3" t="inlineStr">
        <is>
          <t>세로한면(가)</t>
        </is>
      </c>
    </row>
    <row r="151">
      <c r="A151" s="3" t="inlineStr">
        <is>
          <t>강내면 태성리 410</t>
        </is>
      </c>
      <c r="B151" s="3" t="inlineStr">
        <is>
          <t>계획관리지역</t>
        </is>
      </c>
      <c r="C151" s="3" t="inlineStr">
        <is>
          <t>전</t>
        </is>
      </c>
      <c r="D151" s="3" t="inlineStr">
        <is>
          <t>전</t>
        </is>
      </c>
      <c r="E151" s="3" t="inlineStr">
        <is>
          <t>매매</t>
        </is>
      </c>
      <c r="F151" s="4" t="n">
        <v>66000</v>
      </c>
      <c r="G151" s="4" t="n">
        <v>1623</v>
      </c>
      <c r="H151" s="4" t="n">
        <v>491</v>
      </c>
      <c r="I151" s="5" t="n">
        <v>134.4</v>
      </c>
      <c r="J151" s="5" t="n">
        <v>39.1</v>
      </c>
      <c r="K151" s="3" t="inlineStr">
        <is>
          <t>전망 좋은 전원주택지</t>
        </is>
      </c>
      <c r="L151" s="6">
        <f>HYPERLINK("https://fin.land.naver.com/articles/2649807201", "매물Link")</f>
        <v/>
      </c>
      <c r="M151" s="6">
        <f>HYPERLINK("https://map.naver.com/p/search/강내면 태성리 410", "지도Link")</f>
        <v/>
      </c>
      <c r="N151" s="6">
        <f>HYPERLINK("http://www.eum.go.kr/web/ar/lu/luLandDet.jsp?pnu=4311331027104100000&amp;isNoScr=script&amp;mode=search", "토지이음")</f>
        <v/>
      </c>
      <c r="O151" s="3" t="inlineStr">
        <is>
          <t>초이스</t>
        </is>
      </c>
      <c r="P151" s="4" t="n">
        <v>2</v>
      </c>
      <c r="Q151" s="4" t="n">
        <v>1623</v>
      </c>
      <c r="R151" s="3" t="inlineStr">
        <is>
          <t>지정되지않음</t>
        </is>
      </c>
      <c r="S151" s="3" t="inlineStr">
        <is>
          <t>전</t>
        </is>
      </c>
      <c r="T151" s="3" t="inlineStr">
        <is>
          <t>완경사</t>
        </is>
      </c>
      <c r="U151" s="3" t="inlineStr">
        <is>
          <t>부정형</t>
        </is>
      </c>
      <c r="V151" s="3" t="inlineStr">
        <is>
          <t>세로한면(가)</t>
        </is>
      </c>
    </row>
    <row r="152">
      <c r="A152" s="3" t="inlineStr">
        <is>
          <t>강내면 태성리 410</t>
        </is>
      </c>
      <c r="B152" s="3" t="inlineStr">
        <is>
          <t>계획관리지역</t>
        </is>
      </c>
      <c r="C152" s="3" t="inlineStr">
        <is>
          <t>전</t>
        </is>
      </c>
      <c r="D152" s="3" t="inlineStr">
        <is>
          <t>전</t>
        </is>
      </c>
      <c r="E152" s="3" t="inlineStr">
        <is>
          <t>매매</t>
        </is>
      </c>
      <c r="F152" s="4" t="n">
        <v>66000</v>
      </c>
      <c r="G152" s="4" t="n">
        <v>1623</v>
      </c>
      <c r="H152" s="4" t="n">
        <v>491</v>
      </c>
      <c r="I152" s="5" t="n">
        <v>134.4</v>
      </c>
      <c r="J152" s="5" t="n">
        <v>39.1</v>
      </c>
      <c r="K152" s="3" t="inlineStr">
        <is>
          <t>계획관리지역, 성장관리계획구역, 근처는 대지, 옆에 전원주택지</t>
        </is>
      </c>
      <c r="L152" s="6">
        <f>HYPERLINK("https://fin.land.naver.com/articles/2653856468", "매물Link")</f>
        <v/>
      </c>
      <c r="M152" s="6">
        <f>HYPERLINK("https://map.naver.com/p/search/강내면 태성리 410", "지도Link")</f>
        <v/>
      </c>
      <c r="N152" s="6">
        <f>HYPERLINK("http://www.eum.go.kr/web/ar/lu/luLandDet.jsp?pnu=4311331027104100000&amp;isNoScr=script&amp;mode=search", "토지이음")</f>
        <v/>
      </c>
      <c r="O152" s="3" t="inlineStr">
        <is>
          <t>금백</t>
        </is>
      </c>
      <c r="P152" s="4" t="n">
        <v>1</v>
      </c>
      <c r="Q152" s="4" t="n">
        <v>1623</v>
      </c>
      <c r="R152" s="3" t="inlineStr">
        <is>
          <t>지정되지않음</t>
        </is>
      </c>
      <c r="S152" s="3" t="inlineStr">
        <is>
          <t>전</t>
        </is>
      </c>
      <c r="T152" s="3" t="inlineStr">
        <is>
          <t>완경사</t>
        </is>
      </c>
      <c r="U152" s="3" t="inlineStr">
        <is>
          <t>부정형</t>
        </is>
      </c>
      <c r="V152" s="3" t="inlineStr">
        <is>
          <t>세로한면(가)</t>
        </is>
      </c>
    </row>
    <row r="153">
      <c r="A153" s="3" t="inlineStr">
        <is>
          <t>강내면 태성리 421</t>
        </is>
      </c>
      <c r="B153" s="3" t="inlineStr">
        <is>
          <t>계획관리지역</t>
        </is>
      </c>
      <c r="C153" s="3" t="inlineStr">
        <is>
          <t>답</t>
        </is>
      </c>
      <c r="D153" s="3" t="inlineStr">
        <is>
          <t>답</t>
        </is>
      </c>
      <c r="E153" s="3" t="inlineStr">
        <is>
          <t>매매</t>
        </is>
      </c>
      <c r="F153" s="4" t="n">
        <v>85000</v>
      </c>
      <c r="G153" s="4" t="n">
        <v>1871</v>
      </c>
      <c r="H153" s="4" t="n">
        <v>566</v>
      </c>
      <c r="I153" s="5" t="n">
        <v>150.2</v>
      </c>
      <c r="J153" s="5" t="n">
        <v>36.3</v>
      </c>
      <c r="K153" s="3" t="inlineStr">
        <is>
          <t>계획관리지역 내 토지매매</t>
        </is>
      </c>
      <c r="L153" s="6">
        <f>HYPERLINK("https://fin.land.naver.com/articles/2651254455", "매물Link")</f>
        <v/>
      </c>
      <c r="M153" s="6">
        <f>HYPERLINK("https://map.naver.com/p/search/강내면 태성리 421", "지도Link")</f>
        <v/>
      </c>
      <c r="N153" s="6">
        <f>HYPERLINK("http://www.eum.go.kr/web/ar/lu/luLandDet.jsp?pnu=4311331027104210000&amp;isNoScr=script&amp;mode=search", "토지이음")</f>
        <v/>
      </c>
      <c r="O153" s="3" t="inlineStr">
        <is>
          <t>럭키</t>
        </is>
      </c>
      <c r="P153" s="4" t="n">
        <v>1</v>
      </c>
      <c r="Q153" s="4" t="n">
        <v>1871</v>
      </c>
      <c r="R153" s="3" t="inlineStr">
        <is>
          <t>지정되지않음</t>
        </is>
      </c>
      <c r="S153" s="3" t="inlineStr">
        <is>
          <t>답</t>
        </is>
      </c>
      <c r="T153" s="3" t="inlineStr">
        <is>
          <t>평지</t>
        </is>
      </c>
      <c r="U153" s="3" t="inlineStr">
        <is>
          <t>사다리형</t>
        </is>
      </c>
      <c r="V153" s="3" t="inlineStr">
        <is>
          <t>소로한면</t>
        </is>
      </c>
    </row>
    <row r="154">
      <c r="A154" s="3" t="inlineStr">
        <is>
          <t>강내면 태성리 454</t>
        </is>
      </c>
      <c r="B154" s="3" t="inlineStr">
        <is>
          <t>농림지역</t>
        </is>
      </c>
      <c r="C154" s="3" t="inlineStr">
        <is>
          <t>답</t>
        </is>
      </c>
      <c r="D154" s="3" t="inlineStr">
        <is>
          <t>답</t>
        </is>
      </c>
      <c r="E154" s="3" t="inlineStr">
        <is>
          <t>매매</t>
        </is>
      </c>
      <c r="F154" s="4" t="n">
        <v>55000</v>
      </c>
      <c r="G154" s="4" t="n">
        <v>3495</v>
      </c>
      <c r="H154" s="4" t="n">
        <v>1057</v>
      </c>
      <c r="I154" s="5" t="n">
        <v>52</v>
      </c>
      <c r="J154" s="5" t="n">
        <v>14.6</v>
      </c>
      <c r="K154" s="3" t="inlineStr">
        <is>
          <t>가로장방형으로 경지정리된 답, 2면 도로 농로접합</t>
        </is>
      </c>
      <c r="L154" s="6">
        <f>HYPERLINK("https://fin.land.naver.com/articles/2649530932", "매물Link")</f>
        <v/>
      </c>
      <c r="M154" s="6">
        <f>HYPERLINK("https://map.naver.com/p/search/강내면 태성리 454", "지도Link")</f>
        <v/>
      </c>
      <c r="N154" s="6">
        <f>HYPERLINK("http://www.eum.go.kr/web/ar/lu/luLandDet.jsp?pnu=4311331027104540000&amp;isNoScr=script&amp;mode=search", "토지이음")</f>
        <v/>
      </c>
      <c r="O154" s="3" t="inlineStr">
        <is>
          <t>행복한마을</t>
        </is>
      </c>
      <c r="P154" s="4" t="n">
        <v>1</v>
      </c>
      <c r="Q154" s="4" t="n">
        <v>3495.7</v>
      </c>
      <c r="R154" s="3" t="inlineStr">
        <is>
          <t>지정되지않음</t>
        </is>
      </c>
      <c r="S154" s="3" t="inlineStr">
        <is>
          <t>답</t>
        </is>
      </c>
      <c r="T154" s="3" t="inlineStr">
        <is>
          <t>평지</t>
        </is>
      </c>
      <c r="U154" s="3" t="inlineStr">
        <is>
          <t>세로장방</t>
        </is>
      </c>
      <c r="V154" s="3" t="inlineStr">
        <is>
          <t>세로각지(가)</t>
        </is>
      </c>
    </row>
    <row r="155">
      <c r="A155" s="3" t="inlineStr">
        <is>
          <t>강내면 태성리 산29-11</t>
        </is>
      </c>
      <c r="B155" s="3" t="inlineStr">
        <is>
          <t>계획관리지역</t>
        </is>
      </c>
      <c r="C155" s="3" t="inlineStr">
        <is>
          <t>임야</t>
        </is>
      </c>
      <c r="D155" s="3" t="inlineStr">
        <is>
          <t>임야</t>
        </is>
      </c>
      <c r="E155" s="3" t="inlineStr">
        <is>
          <t>매매</t>
        </is>
      </c>
      <c r="F155" s="4" t="n">
        <v>19000</v>
      </c>
      <c r="G155" s="4" t="n">
        <v>631</v>
      </c>
      <c r="H155" s="4" t="n">
        <v>191</v>
      </c>
      <c r="I155" s="5" t="n">
        <v>99.5</v>
      </c>
      <c r="J155" s="5" t="n">
        <v>5.6</v>
      </c>
      <c r="K155" s="3" t="inlineStr">
        <is>
          <t>청주시 강내면 태성사거리 가까운 곳에 있는 공장 창고부지</t>
        </is>
      </c>
      <c r="L155" s="6">
        <f>HYPERLINK("https://fin.land.naver.com/articles/2653497978", "매물Link")</f>
        <v/>
      </c>
      <c r="M155" s="6">
        <f>HYPERLINK("https://map.naver.com/p/search/강내면 태성리 산29-11", "지도Link")</f>
        <v/>
      </c>
      <c r="N155" s="6">
        <f>HYPERLINK("http://www.eum.go.kr/web/ar/lu/luLandDet.jsp?pnu=4311331027200290011&amp;isNoScr=script&amp;mode=search", "토지이음")</f>
        <v/>
      </c>
      <c r="O155" s="3" t="inlineStr">
        <is>
          <t>청주114</t>
        </is>
      </c>
      <c r="P155" s="4" t="n">
        <v>2</v>
      </c>
      <c r="Q155" s="4" t="n">
        <v>631</v>
      </c>
      <c r="R155" s="3" t="inlineStr">
        <is>
          <t>지정되지않음</t>
        </is>
      </c>
      <c r="S155" s="3" t="inlineStr">
        <is>
          <t>토지임야</t>
        </is>
      </c>
      <c r="T155" s="3" t="inlineStr">
        <is>
          <t>완경사</t>
        </is>
      </c>
      <c r="U155" s="3" t="inlineStr">
        <is>
          <t>부정형</t>
        </is>
      </c>
      <c r="V155" s="3" t="inlineStr">
        <is>
          <t>세로한면(불)</t>
        </is>
      </c>
    </row>
    <row r="156">
      <c r="A156" s="3" t="inlineStr">
        <is>
          <t>강내면 태성리 산38-22</t>
        </is>
      </c>
      <c r="B156" s="3" t="inlineStr">
        <is>
          <t>계획관리지역</t>
        </is>
      </c>
      <c r="C156" s="3" t="inlineStr">
        <is>
          <t>임야</t>
        </is>
      </c>
      <c r="D156" s="3" t="inlineStr">
        <is>
          <t>임야</t>
        </is>
      </c>
      <c r="E156" s="3" t="inlineStr">
        <is>
          <t>매매</t>
        </is>
      </c>
      <c r="F156" s="4" t="n">
        <v>475000</v>
      </c>
      <c r="G156" s="4" t="n">
        <v>10456</v>
      </c>
      <c r="H156" s="4" t="n">
        <v>3163</v>
      </c>
      <c r="I156" s="5" t="n">
        <v>150.2</v>
      </c>
      <c r="J156" s="5" t="n">
        <v>7</v>
      </c>
      <c r="K156" s="3" t="inlineStr">
        <is>
          <t>2차선도로와 접한 제조업소 허가 득한 토지 계획관리지역, 성장관리구역</t>
        </is>
      </c>
      <c r="L156" s="6">
        <f>HYPERLINK("https://fin.land.naver.com/articles/2653371592", "매물Link")</f>
        <v/>
      </c>
      <c r="M156" s="6">
        <f>HYPERLINK("https://map.naver.com/p/search/강내면 태성리 산38-22", "지도Link")</f>
        <v/>
      </c>
      <c r="N156" s="6">
        <f>HYPERLINK("http://www.eum.go.kr/web/ar/lu/luLandDet.jsp?pnu=4311331027200380022&amp;isNoScr=script&amp;mode=search", "토지이음")</f>
        <v/>
      </c>
      <c r="O156" s="3" t="inlineStr">
        <is>
          <t>태성</t>
        </is>
      </c>
      <c r="P156" s="4" t="n">
        <v>2</v>
      </c>
      <c r="Q156" s="4" t="n">
        <v>5506</v>
      </c>
      <c r="R156" s="3" t="inlineStr">
        <is>
          <t>지정되지않음</t>
        </is>
      </c>
      <c r="S156" s="3" t="inlineStr">
        <is>
          <t>자연림</t>
        </is>
      </c>
      <c r="T156" s="3" t="inlineStr">
        <is>
          <t>완경사</t>
        </is>
      </c>
      <c r="U156" s="3" t="inlineStr">
        <is>
          <t>사다리형</t>
        </is>
      </c>
      <c r="V156" s="3" t="inlineStr">
        <is>
          <t>소로한면</t>
        </is>
      </c>
    </row>
    <row r="157">
      <c r="A157" s="3" t="inlineStr">
        <is>
          <t>강내면 태성리 산71-10</t>
        </is>
      </c>
      <c r="B157" s="3" t="inlineStr">
        <is>
          <t>계획관리지역</t>
        </is>
      </c>
      <c r="C157" s="3" t="inlineStr">
        <is>
          <t>임야</t>
        </is>
      </c>
      <c r="D157" s="3" t="inlineStr">
        <is>
          <t>임야</t>
        </is>
      </c>
      <c r="E157" s="3" t="inlineStr">
        <is>
          <t>매매</t>
        </is>
      </c>
      <c r="F157" s="4" t="n">
        <v>463000</v>
      </c>
      <c r="G157" s="4" t="n">
        <v>15333</v>
      </c>
      <c r="H157" s="4" t="n">
        <v>4638</v>
      </c>
      <c r="I157" s="5" t="n">
        <v>99.8</v>
      </c>
      <c r="J157" s="5" t="n">
        <v>4.1</v>
      </c>
      <c r="K157" s="3" t="inlineStr">
        <is>
          <t>강내 하이테크밸리 인근 토목공사완료 공장부지</t>
        </is>
      </c>
      <c r="L157" s="6">
        <f>HYPERLINK("https://fin.land.naver.com/articles/2652625482", "매물Link")</f>
        <v/>
      </c>
      <c r="M157" s="6">
        <f>HYPERLINK("https://map.naver.com/p/search/강내면 태성리 산71-10", "지도Link")</f>
        <v/>
      </c>
      <c r="N157" s="6">
        <f>HYPERLINK("http://www.eum.go.kr/web/ar/lu/luLandDet.jsp?pnu=4311331027200710010&amp;isNoScr=script&amp;mode=search", "토지이음")</f>
        <v/>
      </c>
      <c r="O157" s="3" t="inlineStr">
        <is>
          <t>더원</t>
        </is>
      </c>
      <c r="P157" s="4" t="n">
        <v>1</v>
      </c>
      <c r="Q157" s="4" t="n">
        <v>15333</v>
      </c>
      <c r="R157" s="3" t="inlineStr">
        <is>
          <t>지정되지않음</t>
        </is>
      </c>
      <c r="S157" s="3" t="inlineStr">
        <is>
          <t>자연림</t>
        </is>
      </c>
      <c r="T157" s="3" t="inlineStr">
        <is>
          <t>급경사</t>
        </is>
      </c>
      <c r="U157" s="3" t="inlineStr">
        <is>
          <t>부정형</t>
        </is>
      </c>
      <c r="V157" s="3" t="inlineStr">
        <is>
          <t>세로한면(불)</t>
        </is>
      </c>
    </row>
    <row r="158">
      <c r="A158" s="3" t="inlineStr">
        <is>
          <t>강내면 학천리 19</t>
        </is>
      </c>
      <c r="B158" s="3" t="inlineStr">
        <is>
          <t>자연녹지지역</t>
        </is>
      </c>
      <c r="C158" s="3" t="inlineStr">
        <is>
          <t>답</t>
        </is>
      </c>
      <c r="D158" s="3" t="inlineStr">
        <is>
          <t>답</t>
        </is>
      </c>
      <c r="E158" s="3" t="inlineStr">
        <is>
          <t>매매</t>
        </is>
      </c>
      <c r="F158" s="4" t="n">
        <v>30000</v>
      </c>
      <c r="G158" s="4" t="n">
        <v>2790</v>
      </c>
      <c r="H158" s="4" t="n">
        <v>844</v>
      </c>
      <c r="I158" s="5" t="n">
        <v>35.5</v>
      </c>
      <c r="J158" s="5" t="n">
        <v>16.4</v>
      </c>
      <c r="K158" s="3" t="inlineStr">
        <is>
          <t>진입로 있는 지목 답 자연녹지지역</t>
        </is>
      </c>
      <c r="L158" s="6">
        <f>HYPERLINK("https://fin.land.naver.com/articles/2651727712", "매물Link")</f>
        <v/>
      </c>
      <c r="M158" s="6">
        <f>HYPERLINK("https://map.naver.com/p/search/강내면 학천리 19", "지도Link")</f>
        <v/>
      </c>
      <c r="N158" s="6">
        <f>HYPERLINK("http://www.eum.go.kr/web/ar/lu/luLandDet.jsp?pnu=4311331035100190000&amp;isNoScr=script&amp;mode=search", "토지이음")</f>
        <v/>
      </c>
      <c r="O158" s="3" t="inlineStr">
        <is>
          <t>해모로더센트라</t>
        </is>
      </c>
      <c r="P158" s="4" t="n">
        <v>1</v>
      </c>
      <c r="Q158" s="4" t="n">
        <v>2790</v>
      </c>
      <c r="R158" s="3" t="inlineStr">
        <is>
          <t>보전녹지지역</t>
        </is>
      </c>
      <c r="S158" s="3" t="inlineStr">
        <is>
          <t>답</t>
        </is>
      </c>
      <c r="T158" s="3" t="inlineStr">
        <is>
          <t>완경사</t>
        </is>
      </c>
      <c r="U158" s="3" t="inlineStr">
        <is>
          <t>부정형</t>
        </is>
      </c>
      <c r="V158" s="3" t="inlineStr">
        <is>
          <t>맹지</t>
        </is>
      </c>
    </row>
    <row r="159">
      <c r="A159" s="3" t="inlineStr">
        <is>
          <t>강내면 학천리 198-3</t>
        </is>
      </c>
      <c r="B159" s="3" t="inlineStr">
        <is>
          <t>자연녹지지역</t>
        </is>
      </c>
      <c r="C159" s="3" t="inlineStr">
        <is>
          <t>전</t>
        </is>
      </c>
      <c r="D159" s="3" t="inlineStr">
        <is>
          <t>전</t>
        </is>
      </c>
      <c r="E159" s="3" t="inlineStr">
        <is>
          <t>매매</t>
        </is>
      </c>
      <c r="F159" s="4" t="n">
        <v>67000</v>
      </c>
      <c r="G159" s="4" t="n">
        <v>2463</v>
      </c>
      <c r="H159" s="4" t="n">
        <v>745</v>
      </c>
      <c r="I159" s="5" t="n">
        <v>89.90000000000001</v>
      </c>
      <c r="J159" s="5" t="n">
        <v>42.4</v>
      </c>
      <c r="K159" s="3" t="inlineStr">
        <is>
          <t>쿠팡물류창고 바로 인접 4M도로접</t>
        </is>
      </c>
      <c r="L159" s="6">
        <f>HYPERLINK("https://fin.land.naver.com/articles/2653619236", "매물Link")</f>
        <v/>
      </c>
      <c r="M159" s="6">
        <f>HYPERLINK("https://map.naver.com/p/search/강내면 학천리 198-3", "지도Link")</f>
        <v/>
      </c>
      <c r="N159" s="6">
        <f>HYPERLINK("http://www.eum.go.kr/web/ar/lu/luLandDet.jsp?pnu=4311331035101980003&amp;isNoScr=script&amp;mode=search", "토지이음")</f>
        <v/>
      </c>
      <c r="O159" s="3" t="inlineStr">
        <is>
          <t>플러스태양</t>
        </is>
      </c>
      <c r="P159" s="4" t="n">
        <v>1</v>
      </c>
      <c r="Q159" s="4" t="n">
        <v>999</v>
      </c>
      <c r="R159" s="3" t="inlineStr">
        <is>
          <t>지정되지않음</t>
        </is>
      </c>
      <c r="S159" s="3" t="inlineStr">
        <is>
          <t>전</t>
        </is>
      </c>
      <c r="T159" s="3" t="inlineStr">
        <is>
          <t>평지</t>
        </is>
      </c>
      <c r="U159" s="3" t="inlineStr">
        <is>
          <t>사다리형</t>
        </is>
      </c>
      <c r="V159" s="3" t="inlineStr">
        <is>
          <t>세로한면(불)</t>
        </is>
      </c>
    </row>
    <row r="160">
      <c r="A160" s="3" t="inlineStr">
        <is>
          <t>강내면 학천리 220-19</t>
        </is>
      </c>
      <c r="B160" s="3" t="inlineStr">
        <is>
          <t>자연녹지지역</t>
        </is>
      </c>
      <c r="C160" s="3" t="inlineStr">
        <is>
          <t>전</t>
        </is>
      </c>
      <c r="D160" s="3" t="inlineStr">
        <is>
          <t>전</t>
        </is>
      </c>
      <c r="E160" s="3" t="inlineStr">
        <is>
          <t>매매</t>
        </is>
      </c>
      <c r="F160" s="4" t="n">
        <v>79800</v>
      </c>
      <c r="G160" s="4" t="n">
        <v>800</v>
      </c>
      <c r="H160" s="4" t="n">
        <v>242</v>
      </c>
      <c r="I160" s="5" t="n">
        <v>329.8</v>
      </c>
      <c r="J160" s="5" t="n">
        <v>53.7</v>
      </c>
      <c r="K160" s="3" t="inlineStr">
        <is>
          <t>도로접함, 위치좋고 땅모양 좋음,</t>
        </is>
      </c>
      <c r="L160" s="6">
        <f>HYPERLINK("https://fin.land.naver.com/articles/2649628623", "매물Link")</f>
        <v/>
      </c>
      <c r="M160" s="6">
        <f>HYPERLINK("https://map.naver.com/p/search/강내면 학천리 220-19", "지도Link")</f>
        <v/>
      </c>
      <c r="N160" s="6">
        <f>HYPERLINK("http://www.eum.go.kr/web/ar/lu/luLandDet.jsp?pnu=4311331035102200019&amp;isNoScr=script&amp;mode=search", "토지이음")</f>
        <v/>
      </c>
      <c r="O160" s="3" t="inlineStr">
        <is>
          <t>동남이지</t>
        </is>
      </c>
      <c r="P160" s="4" t="n">
        <v>1</v>
      </c>
      <c r="Q160" s="4" t="n">
        <v>818</v>
      </c>
      <c r="R160" s="3" t="inlineStr">
        <is>
          <t>지정되지않음</t>
        </is>
      </c>
      <c r="S160" s="3" t="inlineStr">
        <is>
          <t>전</t>
        </is>
      </c>
      <c r="T160" s="3" t="inlineStr">
        <is>
          <t>평지</t>
        </is>
      </c>
      <c r="U160" s="3" t="inlineStr">
        <is>
          <t>사다리형</t>
        </is>
      </c>
      <c r="V160" s="3" t="inlineStr">
        <is>
          <t>세로한면(가)</t>
        </is>
      </c>
    </row>
    <row r="161">
      <c r="A161" s="3" t="inlineStr">
        <is>
          <t>강내면 학천리 305-5</t>
        </is>
      </c>
      <c r="B161" s="3" t="inlineStr">
        <is>
          <t>자연녹지지역</t>
        </is>
      </c>
      <c r="C161" s="3" t="inlineStr">
        <is>
          <t>전</t>
        </is>
      </c>
      <c r="D161" s="3" t="inlineStr">
        <is>
          <t>전</t>
        </is>
      </c>
      <c r="E161" s="3" t="inlineStr">
        <is>
          <t>매매</t>
        </is>
      </c>
      <c r="F161" s="4" t="n">
        <v>100000</v>
      </c>
      <c r="G161" s="4" t="n">
        <v>3082</v>
      </c>
      <c r="H161" s="4" t="n">
        <v>932</v>
      </c>
      <c r="I161" s="5" t="n">
        <v>107.3</v>
      </c>
      <c r="J161" s="5" t="n">
        <v>36.8</v>
      </c>
      <c r="K161" s="3" t="inlineStr">
        <is>
          <t>흥덕구청 인근, 다목적 체육관 인접, 투자, 공장,창고추천</t>
        </is>
      </c>
      <c r="L161" s="6">
        <f>HYPERLINK("https://fin.land.naver.com/articles/2651058854", "매물Link")</f>
        <v/>
      </c>
      <c r="M161" s="6">
        <f>HYPERLINK("https://map.naver.com/p/search/강내면 학천리 305-5", "지도Link")</f>
        <v/>
      </c>
      <c r="N161" s="6">
        <f>HYPERLINK("http://www.eum.go.kr/web/ar/lu/luLandDet.jsp?pnu=4311331035103050005&amp;isNoScr=script&amp;mode=search", "토지이음")</f>
        <v/>
      </c>
      <c r="O161" s="3" t="inlineStr">
        <is>
          <t>플러스자이합동</t>
        </is>
      </c>
      <c r="P161" s="4" t="n">
        <v>1</v>
      </c>
      <c r="Q161" s="4" t="n">
        <v>3082</v>
      </c>
      <c r="R161" s="3" t="inlineStr">
        <is>
          <t>지정되지않음</t>
        </is>
      </c>
      <c r="S161" s="3" t="inlineStr">
        <is>
          <t>전</t>
        </is>
      </c>
      <c r="T161" s="3" t="inlineStr">
        <is>
          <t>완경사</t>
        </is>
      </c>
      <c r="U161" s="3" t="inlineStr">
        <is>
          <t>부정형</t>
        </is>
      </c>
      <c r="V161" s="3" t="inlineStr">
        <is>
          <t>세로한면(가)</t>
        </is>
      </c>
    </row>
    <row r="162">
      <c r="A162" s="3" t="inlineStr">
        <is>
          <t>강내면 학천리 307-1</t>
        </is>
      </c>
      <c r="B162" s="3" t="inlineStr">
        <is>
          <t>자연녹지지역</t>
        </is>
      </c>
      <c r="C162" s="3" t="inlineStr">
        <is>
          <t>전</t>
        </is>
      </c>
      <c r="D162" s="3" t="inlineStr">
        <is>
          <t>전</t>
        </is>
      </c>
      <c r="E162" s="3" t="inlineStr">
        <is>
          <t>매매</t>
        </is>
      </c>
      <c r="F162" s="4" t="n">
        <v>227000</v>
      </c>
      <c r="G162" s="4" t="n">
        <v>2686</v>
      </c>
      <c r="H162" s="4" t="n">
        <v>813</v>
      </c>
      <c r="I162" s="5" t="n">
        <v>279.2</v>
      </c>
      <c r="J162" s="5" t="n">
        <v>35</v>
      </c>
      <c r="K162" s="3" t="inlineStr">
        <is>
          <t>4차선 대로변 연접, 진입로 有, 경부고속도로 노출효과 뛰어남, 구청인근</t>
        </is>
      </c>
      <c r="L162" s="6">
        <f>HYPERLINK("https://fin.land.naver.com/articles/2653398950", "매물Link")</f>
        <v/>
      </c>
      <c r="M162" s="6">
        <f>HYPERLINK("https://map.naver.com/p/search/강내면 학천리 307-1", "지도Link")</f>
        <v/>
      </c>
      <c r="N162" s="6">
        <f>HYPERLINK("http://www.eum.go.kr/web/ar/lu/luLandDet.jsp?pnu=4311331035103070001&amp;isNoScr=script&amp;mode=search", "토지이음")</f>
        <v/>
      </c>
      <c r="O162" s="3" t="inlineStr">
        <is>
          <t>제이</t>
        </is>
      </c>
      <c r="P162" s="4" t="n">
        <v>2</v>
      </c>
      <c r="Q162" s="4" t="n">
        <v>2686</v>
      </c>
      <c r="R162" s="3" t="inlineStr">
        <is>
          <t>지정되지않음</t>
        </is>
      </c>
      <c r="S162" s="3" t="inlineStr">
        <is>
          <t>답</t>
        </is>
      </c>
      <c r="T162" s="3" t="inlineStr">
        <is>
          <t>완경사</t>
        </is>
      </c>
      <c r="U162" s="3" t="inlineStr">
        <is>
          <t>부정형</t>
        </is>
      </c>
      <c r="V162" s="3" t="inlineStr">
        <is>
          <t>세로한면(불)</t>
        </is>
      </c>
    </row>
    <row r="163">
      <c r="A163" s="3" t="inlineStr">
        <is>
          <t>강내면 학천리 308-11</t>
        </is>
      </c>
      <c r="B163" s="3" t="inlineStr">
        <is>
          <t>자연녹지지역</t>
        </is>
      </c>
      <c r="C163" s="3" t="inlineStr">
        <is>
          <t>답</t>
        </is>
      </c>
      <c r="D163" s="3" t="inlineStr">
        <is>
          <t>답</t>
        </is>
      </c>
      <c r="E163" s="3" t="inlineStr">
        <is>
          <t>매매</t>
        </is>
      </c>
      <c r="F163" s="4" t="n">
        <v>1140000</v>
      </c>
      <c r="G163" s="4" t="n">
        <v>15078</v>
      </c>
      <c r="H163" s="4" t="n">
        <v>4561</v>
      </c>
      <c r="I163" s="5" t="n">
        <v>249.9</v>
      </c>
      <c r="J163" s="5" t="n">
        <v>17.1</v>
      </c>
      <c r="K163" s="3" t="inlineStr">
        <is>
          <t>4차선 도로접 흥덕구청부근 물류창고추천</t>
        </is>
      </c>
      <c r="L163" s="6">
        <f>HYPERLINK("https://fin.land.naver.com/articles/2650429056", "매물Link")</f>
        <v/>
      </c>
      <c r="M163" s="6">
        <f>HYPERLINK("https://map.naver.com/p/search/강내면 학천리 308-11", "지도Link")</f>
        <v/>
      </c>
      <c r="N163" s="6">
        <f>HYPERLINK("http://www.eum.go.kr/web/ar/lu/luLandDet.jsp?pnu=4311331035103080011&amp;isNoScr=script&amp;mode=search", "토지이음")</f>
        <v/>
      </c>
      <c r="O163" s="3" t="inlineStr">
        <is>
          <t>플러스태양</t>
        </is>
      </c>
      <c r="P163" s="4" t="n">
        <v>1</v>
      </c>
      <c r="Q163" s="4" t="n">
        <v>13967</v>
      </c>
      <c r="R163" s="3" t="inlineStr">
        <is>
          <t>지정되지않음</t>
        </is>
      </c>
      <c r="S163" s="3" t="inlineStr">
        <is>
          <t>답</t>
        </is>
      </c>
      <c r="T163" s="3" t="inlineStr">
        <is>
          <t>완경사</t>
        </is>
      </c>
      <c r="U163" s="3" t="inlineStr">
        <is>
          <t>부정형</t>
        </is>
      </c>
      <c r="V163" s="3" t="inlineStr">
        <is>
          <t>세로한면(불)</t>
        </is>
      </c>
    </row>
    <row r="164">
      <c r="A164" s="3" t="inlineStr">
        <is>
          <t>강내면 학천리 317</t>
        </is>
      </c>
      <c r="B164" s="3" t="inlineStr">
        <is>
          <t>보전녹지지역</t>
        </is>
      </c>
      <c r="C164" s="3" t="inlineStr">
        <is>
          <t>전</t>
        </is>
      </c>
      <c r="D164" s="3" t="inlineStr">
        <is>
          <t>전</t>
        </is>
      </c>
      <c r="E164" s="3" t="inlineStr">
        <is>
          <t>매매</t>
        </is>
      </c>
      <c r="F164" s="4" t="n">
        <v>13000</v>
      </c>
      <c r="G164" s="4" t="n">
        <v>1110</v>
      </c>
      <c r="H164" s="4" t="n">
        <v>336</v>
      </c>
      <c r="I164" s="5" t="n">
        <v>38.7</v>
      </c>
      <c r="J164" s="5" t="n">
        <v>11.3</v>
      </c>
      <c r="K164" s="3" t="inlineStr">
        <is>
          <t>흥덕구청 주변이며 주말농장 ,벌꿀채집하면 좋은곳이며 컨테이너 ,전기있음.</t>
        </is>
      </c>
      <c r="L164" s="6">
        <f>HYPERLINK("https://fin.land.naver.com/articles/2653177353", "매물Link")</f>
        <v/>
      </c>
      <c r="M164" s="6">
        <f>HYPERLINK("https://map.naver.com/p/search/강내면 학천리 317", "지도Link")</f>
        <v/>
      </c>
      <c r="N164" s="6">
        <f>HYPERLINK("http://www.eum.go.kr/web/ar/lu/luLandDet.jsp?pnu=4311331035103170000&amp;isNoScr=script&amp;mode=search", "토지이음")</f>
        <v/>
      </c>
      <c r="O164" s="3" t="inlineStr">
        <is>
          <t>황금빛</t>
        </is>
      </c>
      <c r="P164" s="4" t="n">
        <v>1</v>
      </c>
      <c r="Q164" s="4" t="n">
        <v>1111</v>
      </c>
      <c r="R164" s="3" t="inlineStr">
        <is>
          <t>지정되지않음</t>
        </is>
      </c>
      <c r="S164" s="3" t="inlineStr">
        <is>
          <t>전</t>
        </is>
      </c>
      <c r="T164" s="3" t="inlineStr">
        <is>
          <t>완경사</t>
        </is>
      </c>
      <c r="U164" s="3" t="inlineStr">
        <is>
          <t>부정형</t>
        </is>
      </c>
      <c r="V164" s="3" t="inlineStr">
        <is>
          <t>세로한면(불)</t>
        </is>
      </c>
    </row>
    <row r="165">
      <c r="A165" s="3" t="inlineStr">
        <is>
          <t>강내면 학천리 335</t>
        </is>
      </c>
      <c r="B165" s="3" t="inlineStr">
        <is>
          <t>생산녹지지역</t>
        </is>
      </c>
      <c r="C165" s="3" t="inlineStr">
        <is>
          <t>답</t>
        </is>
      </c>
      <c r="D165" s="3" t="inlineStr">
        <is>
          <t>답</t>
        </is>
      </c>
      <c r="E165" s="3" t="inlineStr">
        <is>
          <t>매매</t>
        </is>
      </c>
      <c r="F165" s="4" t="n">
        <v>210000</v>
      </c>
      <c r="G165" s="4" t="n">
        <v>3421</v>
      </c>
      <c r="H165" s="4" t="n">
        <v>1035</v>
      </c>
      <c r="I165" s="5" t="n">
        <v>202.9</v>
      </c>
      <c r="J165" s="5" t="n">
        <v>35.6</v>
      </c>
      <c r="K165" s="3" t="inlineStr">
        <is>
          <t>흥덕구청 뒷편으로 추후 상가나 주택용지로 적합한 토지</t>
        </is>
      </c>
      <c r="L165" s="6">
        <f>HYPERLINK("https://fin.land.naver.com/articles/2653410377", "매물Link")</f>
        <v/>
      </c>
      <c r="M165" s="6">
        <f>HYPERLINK("https://map.naver.com/p/search/강내면 학천리 335", "지도Link")</f>
        <v/>
      </c>
      <c r="N165" s="6">
        <f>HYPERLINK("http://www.eum.go.kr/web/ar/lu/luLandDet.jsp?pnu=4311331035103350000&amp;isNoScr=script&amp;mode=search", "토지이음")</f>
        <v/>
      </c>
      <c r="O165" s="3" t="inlineStr">
        <is>
          <t>G세계로무소</t>
        </is>
      </c>
      <c r="P165" s="4" t="n">
        <v>1</v>
      </c>
      <c r="Q165" s="4" t="n">
        <v>3421</v>
      </c>
      <c r="R165" s="3" t="inlineStr">
        <is>
          <t>지정되지않음</t>
        </is>
      </c>
      <c r="S165" s="3" t="inlineStr">
        <is>
          <t>답</t>
        </is>
      </c>
      <c r="T165" s="3" t="inlineStr">
        <is>
          <t>평지</t>
        </is>
      </c>
      <c r="U165" s="3" t="inlineStr">
        <is>
          <t>부정형</t>
        </is>
      </c>
      <c r="V165" s="3" t="inlineStr">
        <is>
          <t>세로한면(가)</t>
        </is>
      </c>
    </row>
    <row r="166">
      <c r="A166" s="3" t="inlineStr">
        <is>
          <t>강내면 학천리 380</t>
        </is>
      </c>
      <c r="B166" s="3" t="inlineStr">
        <is>
          <t>생산녹지지역</t>
        </is>
      </c>
      <c r="C166" s="3" t="inlineStr">
        <is>
          <t>답</t>
        </is>
      </c>
      <c r="D166" s="3" t="inlineStr">
        <is>
          <t>답</t>
        </is>
      </c>
      <c r="E166" s="3" t="inlineStr">
        <is>
          <t>매매</t>
        </is>
      </c>
      <c r="F166" s="4" t="n">
        <v>74000</v>
      </c>
      <c r="G166" s="4" t="n">
        <v>2040</v>
      </c>
      <c r="H166" s="4" t="n">
        <v>617</v>
      </c>
      <c r="I166" s="5" t="n">
        <v>119.9</v>
      </c>
      <c r="J166" s="5" t="n">
        <v>16.9</v>
      </c>
      <c r="K166" s="3" t="inlineStr">
        <is>
          <t>흥덕구청 뒷편 체육관예정지 인근 저수지 앞 1종근생 허가 득한 토지</t>
        </is>
      </c>
      <c r="L166" s="6">
        <f>HYPERLINK("https://fin.land.naver.com/articles/2650898101", "매물Link")</f>
        <v/>
      </c>
      <c r="M166" s="6">
        <f>HYPERLINK("https://map.naver.com/p/search/강내면 학천리 380", "지도Link")</f>
        <v/>
      </c>
      <c r="N166" s="6">
        <f>HYPERLINK("http://www.eum.go.kr/web/ar/lu/luLandDet.jsp?pnu=4311331035103800000&amp;isNoScr=script&amp;mode=search", "토지이음")</f>
        <v/>
      </c>
      <c r="O166" s="3" t="inlineStr">
        <is>
          <t>태성</t>
        </is>
      </c>
      <c r="P166" s="4" t="n">
        <v>2</v>
      </c>
      <c r="Q166" s="4" t="n">
        <v>2040</v>
      </c>
      <c r="R166" s="3" t="inlineStr">
        <is>
          <t>지정되지않음</t>
        </is>
      </c>
      <c r="S166" s="3" t="inlineStr">
        <is>
          <t>답</t>
        </is>
      </c>
      <c r="T166" s="3" t="inlineStr">
        <is>
          <t>평지</t>
        </is>
      </c>
      <c r="U166" s="3" t="inlineStr">
        <is>
          <t>부정형</t>
        </is>
      </c>
      <c r="V166" s="3" t="inlineStr">
        <is>
          <t>세로한면(불)</t>
        </is>
      </c>
    </row>
    <row r="167">
      <c r="A167" s="3" t="inlineStr">
        <is>
          <t>강내면 학천리 385</t>
        </is>
      </c>
      <c r="B167" s="3" t="inlineStr">
        <is>
          <t>생산녹지지역</t>
        </is>
      </c>
      <c r="C167" s="3" t="inlineStr">
        <is>
          <t>답</t>
        </is>
      </c>
      <c r="D167" s="3" t="inlineStr">
        <is>
          <t>대</t>
        </is>
      </c>
      <c r="E167" s="3" t="inlineStr">
        <is>
          <t>매매</t>
        </is>
      </c>
      <c r="F167" s="4" t="n">
        <v>30078</v>
      </c>
      <c r="G167" s="4" t="n">
        <v>1418</v>
      </c>
      <c r="H167" s="4" t="n">
        <v>429</v>
      </c>
      <c r="I167" s="5" t="n">
        <v>70.09999999999999</v>
      </c>
      <c r="J167" s="5" t="n">
        <v>15.2</v>
      </c>
      <c r="K167" s="3" t="inlineStr">
        <is>
          <t>투자목적으로 추천 드림</t>
        </is>
      </c>
      <c r="L167" s="6">
        <f>HYPERLINK("https://fin.land.naver.com/articles/2653395250", "매물Link")</f>
        <v/>
      </c>
      <c r="M167" s="6">
        <f>HYPERLINK("https://map.naver.com/p/search/강내면 학천리 385", "지도Link")</f>
        <v/>
      </c>
      <c r="N167" s="6">
        <f>HYPERLINK("http://www.eum.go.kr/web/ar/lu/luLandDet.jsp?pnu=4311331035103850000&amp;isNoScr=script&amp;mode=search", "토지이음")</f>
        <v/>
      </c>
      <c r="O167" s="3" t="inlineStr">
        <is>
          <t>제이</t>
        </is>
      </c>
      <c r="P167" s="4" t="n">
        <v>1</v>
      </c>
      <c r="Q167" s="4" t="n">
        <v>1418</v>
      </c>
      <c r="R167" s="3" t="inlineStr">
        <is>
          <t>지정되지않음</t>
        </is>
      </c>
      <c r="S167" s="3" t="inlineStr">
        <is>
          <t>답</t>
        </is>
      </c>
      <c r="T167" s="3" t="inlineStr">
        <is>
          <t>평지</t>
        </is>
      </c>
      <c r="U167" s="3" t="inlineStr">
        <is>
          <t>부정형</t>
        </is>
      </c>
      <c r="V167" s="3" t="inlineStr">
        <is>
          <t>맹지</t>
        </is>
      </c>
    </row>
    <row r="168">
      <c r="A168" s="3" t="inlineStr">
        <is>
          <t>강내면 학천리 490-2</t>
        </is>
      </c>
      <c r="B168" s="3" t="inlineStr">
        <is>
          <t>생산녹지지역</t>
        </is>
      </c>
      <c r="C168" s="3" t="inlineStr">
        <is>
          <t>답</t>
        </is>
      </c>
      <c r="D168" s="3" t="inlineStr">
        <is>
          <t>답</t>
        </is>
      </c>
      <c r="E168" s="3" t="inlineStr">
        <is>
          <t>매매</t>
        </is>
      </c>
      <c r="F168" s="4" t="n">
        <v>42000</v>
      </c>
      <c r="G168" s="4" t="n">
        <v>3511</v>
      </c>
      <c r="H168" s="4" t="n">
        <v>1062</v>
      </c>
      <c r="I168" s="5" t="n">
        <v>39.5</v>
      </c>
      <c r="J168" s="5" t="n">
        <v>21.6</v>
      </c>
      <c r="K168" s="3" t="inlineStr">
        <is>
          <t>도시지역 근교위치한 토지.접근성편리.농사. 대토</t>
        </is>
      </c>
      <c r="L168" s="6">
        <f>HYPERLINK("https://fin.land.naver.com/articles/2653097754", "매물Link")</f>
        <v/>
      </c>
      <c r="M168" s="6">
        <f>HYPERLINK("https://map.naver.com/p/search/강내면 학천리 490-2", "지도Link")</f>
        <v/>
      </c>
      <c r="N168" s="6">
        <f>HYPERLINK("http://www.eum.go.kr/web/ar/lu/luLandDet.jsp?pnu=4311331035104900002&amp;isNoScr=script&amp;mode=search", "토지이음")</f>
        <v/>
      </c>
      <c r="O168" s="3" t="inlineStr">
        <is>
          <t>자연</t>
        </is>
      </c>
      <c r="P168" s="4" t="n">
        <v>1</v>
      </c>
      <c r="Q168" s="4" t="n">
        <v>3511</v>
      </c>
      <c r="R168" s="3" t="inlineStr">
        <is>
          <t>지정되지않음</t>
        </is>
      </c>
      <c r="S168" s="3" t="inlineStr">
        <is>
          <t>답</t>
        </is>
      </c>
      <c r="T168" s="3" t="inlineStr">
        <is>
          <t>평지</t>
        </is>
      </c>
      <c r="U168" s="3" t="inlineStr">
        <is>
          <t>부정형</t>
        </is>
      </c>
      <c r="V168" s="3" t="inlineStr">
        <is>
          <t>소로한면</t>
        </is>
      </c>
    </row>
    <row r="169">
      <c r="A169" s="3" t="inlineStr">
        <is>
          <t>강내면 학천리 490-2</t>
        </is>
      </c>
      <c r="B169" s="3" t="inlineStr">
        <is>
          <t>생산녹지지역</t>
        </is>
      </c>
      <c r="C169" s="3" t="inlineStr">
        <is>
          <t>답</t>
        </is>
      </c>
      <c r="D169" s="3" t="inlineStr">
        <is>
          <t>답</t>
        </is>
      </c>
      <c r="E169" s="3" t="inlineStr">
        <is>
          <t>매매</t>
        </is>
      </c>
      <c r="F169" s="4" t="n">
        <v>42000</v>
      </c>
      <c r="G169" s="4" t="n">
        <v>3511</v>
      </c>
      <c r="H169" s="4" t="n">
        <v>1062</v>
      </c>
      <c r="I169" s="5" t="n">
        <v>39.5</v>
      </c>
      <c r="J169" s="5" t="n">
        <v>21.6</v>
      </c>
      <c r="K169" s="3" t="inlineStr">
        <is>
          <t>nan</t>
        </is>
      </c>
      <c r="L169" s="6">
        <f>HYPERLINK("https://fin.land.naver.com/articles/2651427299", "매물Link")</f>
        <v/>
      </c>
      <c r="M169" s="6">
        <f>HYPERLINK("https://map.naver.com/p/search/강내면 학천리 490-2", "지도Link")</f>
        <v/>
      </c>
      <c r="N169" s="6">
        <f>HYPERLINK("http://www.eum.go.kr/web/ar/lu/luLandDet.jsp?pnu=4311331035104900002&amp;isNoScr=script&amp;mode=search", "토지이음")</f>
        <v/>
      </c>
      <c r="O169" s="3" t="inlineStr">
        <is>
          <t>보석</t>
        </is>
      </c>
      <c r="P169" s="4" t="n">
        <v>1</v>
      </c>
      <c r="Q169" s="4" t="n">
        <v>3511</v>
      </c>
      <c r="R169" s="3" t="inlineStr">
        <is>
          <t>지정되지않음</t>
        </is>
      </c>
      <c r="S169" s="3" t="inlineStr">
        <is>
          <t>답</t>
        </is>
      </c>
      <c r="T169" s="3" t="inlineStr">
        <is>
          <t>평지</t>
        </is>
      </c>
      <c r="U169" s="3" t="inlineStr">
        <is>
          <t>부정형</t>
        </is>
      </c>
      <c r="V169" s="3" t="inlineStr">
        <is>
          <t>소로한면</t>
        </is>
      </c>
    </row>
    <row r="170">
      <c r="A170" s="3" t="inlineStr">
        <is>
          <t>강내면 학천리 500-1</t>
        </is>
      </c>
      <c r="B170" s="3" t="inlineStr">
        <is>
          <t>생산녹지지역</t>
        </is>
      </c>
      <c r="C170" s="3" t="inlineStr">
        <is>
          <t>답</t>
        </is>
      </c>
      <c r="D170" s="3" t="inlineStr">
        <is>
          <t>답</t>
        </is>
      </c>
      <c r="E170" s="3" t="inlineStr">
        <is>
          <t>매매</t>
        </is>
      </c>
      <c r="F170" s="4" t="n">
        <v>53000</v>
      </c>
      <c r="G170" s="4" t="n">
        <v>2187</v>
      </c>
      <c r="H170" s="4" t="n">
        <v>662</v>
      </c>
      <c r="I170" s="5" t="n">
        <v>80.09999999999999</v>
      </c>
      <c r="J170" s="5" t="n">
        <v>20.7</v>
      </c>
      <c r="K170" s="3" t="inlineStr">
        <is>
          <t>4차선 도로와 연접함, 생산녹지, 진흥구역</t>
        </is>
      </c>
      <c r="L170" s="6">
        <f>HYPERLINK("https://fin.land.naver.com/articles/2652680187", "매물Link")</f>
        <v/>
      </c>
      <c r="M170" s="6">
        <f>HYPERLINK("https://map.naver.com/p/search/강내면 학천리 500-1", "지도Link")</f>
        <v/>
      </c>
      <c r="N170" s="6">
        <f>HYPERLINK("http://www.eum.go.kr/web/ar/lu/luLandDet.jsp?pnu=4311331035105000001&amp;isNoScr=script&amp;mode=search", "토지이음")</f>
        <v/>
      </c>
      <c r="O170" s="3" t="inlineStr">
        <is>
          <t>제이</t>
        </is>
      </c>
      <c r="P170" s="4" t="n">
        <v>1</v>
      </c>
      <c r="Q170" s="4" t="n">
        <v>978</v>
      </c>
      <c r="R170" s="3" t="inlineStr">
        <is>
          <t>지정되지않음</t>
        </is>
      </c>
      <c r="S170" s="3" t="inlineStr">
        <is>
          <t>답</t>
        </is>
      </c>
      <c r="T170" s="3" t="inlineStr">
        <is>
          <t>평지</t>
        </is>
      </c>
      <c r="U170" s="3" t="inlineStr">
        <is>
          <t>사다리형</t>
        </is>
      </c>
      <c r="V170" s="3" t="inlineStr">
        <is>
          <t>소로한면</t>
        </is>
      </c>
    </row>
    <row r="171">
      <c r="A171" s="3" t="inlineStr">
        <is>
          <t>강내면 학천리 538-1</t>
        </is>
      </c>
      <c r="B171" s="3" t="inlineStr">
        <is>
          <t>생산녹지지역</t>
        </is>
      </c>
      <c r="C171" s="3" t="inlineStr">
        <is>
          <t>답</t>
        </is>
      </c>
      <c r="D171" s="3" t="inlineStr">
        <is>
          <t>답</t>
        </is>
      </c>
      <c r="E171" s="3" t="inlineStr">
        <is>
          <t>매매</t>
        </is>
      </c>
      <c r="F171" s="4" t="n">
        <v>38800</v>
      </c>
      <c r="G171" s="4" t="n">
        <v>2422</v>
      </c>
      <c r="H171" s="4" t="n">
        <v>733</v>
      </c>
      <c r="I171" s="5" t="n">
        <v>52.9</v>
      </c>
      <c r="J171" s="5" t="n">
        <v>20.6</v>
      </c>
      <c r="K171" s="3" t="inlineStr">
        <is>
          <t>도로접 생산녹지 잠사박물관인근 농업진흥구역 대토좋음</t>
        </is>
      </c>
      <c r="L171" s="6">
        <f>HYPERLINK("https://fin.land.naver.com/articles/2651224488", "매물Link")</f>
        <v/>
      </c>
      <c r="M171" s="6">
        <f>HYPERLINK("https://map.naver.com/p/search/강내면 학천리 538-1", "지도Link")</f>
        <v/>
      </c>
      <c r="N171" s="6">
        <f>HYPERLINK("http://www.eum.go.kr/web/ar/lu/luLandDet.jsp?pnu=4311331035105380001&amp;isNoScr=script&amp;mode=search", "토지이음")</f>
        <v/>
      </c>
      <c r="O171" s="3" t="inlineStr">
        <is>
          <t>명장</t>
        </is>
      </c>
      <c r="P171" s="4" t="n">
        <v>2</v>
      </c>
      <c r="Q171" s="4" t="n">
        <v>2422</v>
      </c>
      <c r="R171" s="3" t="inlineStr">
        <is>
          <t>지정되지않음</t>
        </is>
      </c>
      <c r="S171" s="3" t="inlineStr">
        <is>
          <t>답</t>
        </is>
      </c>
      <c r="T171" s="3" t="inlineStr">
        <is>
          <t>평지</t>
        </is>
      </c>
      <c r="U171" s="3" t="inlineStr">
        <is>
          <t>세로장방</t>
        </is>
      </c>
      <c r="V171" s="3" t="inlineStr">
        <is>
          <t>소로각지</t>
        </is>
      </c>
    </row>
    <row r="172">
      <c r="A172" s="3" t="inlineStr">
        <is>
          <t>강내면 학천리 549-1</t>
        </is>
      </c>
      <c r="B172" s="3" t="inlineStr">
        <is>
          <t>생산녹지지역</t>
        </is>
      </c>
      <c r="C172" s="3" t="inlineStr">
        <is>
          <t>답</t>
        </is>
      </c>
      <c r="D172" s="3" t="inlineStr">
        <is>
          <t>답</t>
        </is>
      </c>
      <c r="E172" s="3" t="inlineStr">
        <is>
          <t>매매</t>
        </is>
      </c>
      <c r="F172" s="4" t="n">
        <v>86000</v>
      </c>
      <c r="G172" s="4" t="n">
        <v>5670</v>
      </c>
      <c r="H172" s="4" t="n">
        <v>1715</v>
      </c>
      <c r="I172" s="5" t="n">
        <v>50.1</v>
      </c>
      <c r="J172" s="5" t="n">
        <v>17.2</v>
      </c>
      <c r="K172" s="3" t="inlineStr">
        <is>
          <t>생산녹지지역</t>
        </is>
      </c>
      <c r="L172" s="6">
        <f>HYPERLINK("https://fin.land.naver.com/articles/2653379944", "매물Link")</f>
        <v/>
      </c>
      <c r="M172" s="6">
        <f>HYPERLINK("https://map.naver.com/p/search/강내면 학천리 549-1", "지도Link")</f>
        <v/>
      </c>
      <c r="N172" s="6">
        <f>HYPERLINK("http://www.eum.go.kr/web/ar/lu/luLandDet.jsp?pnu=4311331035105490001&amp;isNoScr=script&amp;mode=search", "토지이음")</f>
        <v/>
      </c>
      <c r="O172" s="3" t="inlineStr">
        <is>
          <t>수풀림</t>
        </is>
      </c>
      <c r="P172" s="4" t="n">
        <v>1</v>
      </c>
      <c r="Q172" s="4" t="n">
        <v>1884</v>
      </c>
      <c r="R172" s="3" t="inlineStr">
        <is>
          <t>지정되지않음</t>
        </is>
      </c>
      <c r="S172" s="3" t="inlineStr">
        <is>
          <t>답</t>
        </is>
      </c>
      <c r="T172" s="3" t="inlineStr">
        <is>
          <t>평지</t>
        </is>
      </c>
      <c r="U172" s="3" t="inlineStr">
        <is>
          <t>세로장방</t>
        </is>
      </c>
      <c r="V172" s="3" t="inlineStr">
        <is>
          <t>세로한면(가)</t>
        </is>
      </c>
    </row>
    <row r="173">
      <c r="A173" s="3" t="inlineStr">
        <is>
          <t>강내면 학천리 565-1</t>
        </is>
      </c>
      <c r="B173" s="3" t="inlineStr">
        <is>
          <t>생산녹지지역</t>
        </is>
      </c>
      <c r="C173" s="3" t="inlineStr">
        <is>
          <t>답</t>
        </is>
      </c>
      <c r="D173" s="3" t="inlineStr">
        <is>
          <t>답</t>
        </is>
      </c>
      <c r="E173" s="3" t="inlineStr">
        <is>
          <t>매매</t>
        </is>
      </c>
      <c r="F173" s="4" t="n">
        <v>25662</v>
      </c>
      <c r="G173" s="4" t="n">
        <v>1805</v>
      </c>
      <c r="H173" s="4" t="n">
        <v>546</v>
      </c>
      <c r="I173" s="5" t="n">
        <v>47</v>
      </c>
      <c r="J173" s="5" t="n">
        <v>16.1</v>
      </c>
      <c r="K173" s="3" t="inlineStr">
        <is>
          <t>nan</t>
        </is>
      </c>
      <c r="L173" s="6">
        <f>HYPERLINK("https://fin.land.naver.com/articles/2649943022", "매물Link")</f>
        <v/>
      </c>
      <c r="M173" s="6">
        <f>HYPERLINK("https://map.naver.com/p/search/강내면 학천리 565-1", "지도Link")</f>
        <v/>
      </c>
      <c r="N173" s="6">
        <f>HYPERLINK("http://www.eum.go.kr/web/ar/lu/luLandDet.jsp?pnu=4311331035105650001&amp;isNoScr=script&amp;mode=search", "토지이음")</f>
        <v/>
      </c>
      <c r="O173" s="3" t="inlineStr">
        <is>
          <t>달인무소</t>
        </is>
      </c>
      <c r="P173" s="4" t="n">
        <v>1</v>
      </c>
      <c r="Q173" s="4" t="n">
        <v>1369</v>
      </c>
      <c r="R173" s="3" t="inlineStr">
        <is>
          <t>지정되지않음</t>
        </is>
      </c>
      <c r="S173" s="3" t="inlineStr">
        <is>
          <t>답</t>
        </is>
      </c>
      <c r="T173" s="3" t="inlineStr">
        <is>
          <t>평지</t>
        </is>
      </c>
      <c r="U173" s="3" t="inlineStr">
        <is>
          <t>세로장방</t>
        </is>
      </c>
      <c r="V173" s="3" t="inlineStr">
        <is>
          <t>세로한면(가)</t>
        </is>
      </c>
    </row>
    <row r="174">
      <c r="A174" s="3" t="inlineStr">
        <is>
          <t>강내면 학천리 90-3</t>
        </is>
      </c>
      <c r="B174" s="3" t="inlineStr">
        <is>
          <t>자연녹지지역</t>
        </is>
      </c>
      <c r="C174" s="3" t="inlineStr">
        <is>
          <t>전</t>
        </is>
      </c>
      <c r="D174" s="3" t="inlineStr">
        <is>
          <t>전</t>
        </is>
      </c>
      <c r="E174" s="3" t="inlineStr">
        <is>
          <t>매매</t>
        </is>
      </c>
      <c r="F174" s="4" t="n">
        <v>134000</v>
      </c>
      <c r="G174" s="4" t="n">
        <v>1923</v>
      </c>
      <c r="H174" s="4" t="n">
        <v>582</v>
      </c>
      <c r="I174" s="5" t="n">
        <v>230.2</v>
      </c>
      <c r="J174" s="5" t="n">
        <v>59.9</v>
      </c>
      <c r="K174" s="3" t="inlineStr">
        <is>
          <t>청주역부근 4차선 대도로접 매장 공장추천 시세이하</t>
        </is>
      </c>
      <c r="L174" s="6">
        <f>HYPERLINK("https://fin.land.naver.com/articles/2653012585", "매물Link")</f>
        <v/>
      </c>
      <c r="M174" s="6">
        <f>HYPERLINK("https://map.naver.com/p/search/강내면 학천리 90-3", "지도Link")</f>
        <v/>
      </c>
      <c r="N174" s="6">
        <f>HYPERLINK("http://www.eum.go.kr/web/ar/lu/luLandDet.jsp?pnu=4311331035100900003&amp;isNoScr=script&amp;mode=search", "토지이음")</f>
        <v/>
      </c>
      <c r="O174" s="3" t="inlineStr">
        <is>
          <t>플러스태양</t>
        </is>
      </c>
      <c r="P174" s="4" t="n">
        <v>1</v>
      </c>
      <c r="Q174" s="4" t="n">
        <v>1923</v>
      </c>
      <c r="R174" s="3" t="inlineStr">
        <is>
          <t>지정되지않음</t>
        </is>
      </c>
      <c r="S174" s="3" t="inlineStr">
        <is>
          <t>전</t>
        </is>
      </c>
      <c r="T174" s="3" t="inlineStr">
        <is>
          <t>평지</t>
        </is>
      </c>
      <c r="U174" s="3" t="inlineStr">
        <is>
          <t>부정형</t>
        </is>
      </c>
      <c r="V174" s="3" t="inlineStr">
        <is>
          <t>중로한면</t>
        </is>
      </c>
    </row>
    <row r="175">
      <c r="A175" s="3" t="inlineStr">
        <is>
          <t>강내면 황탄리 192</t>
        </is>
      </c>
      <c r="B175" s="3" t="inlineStr">
        <is>
          <t>보전관리지역</t>
        </is>
      </c>
      <c r="C175" s="3" t="inlineStr">
        <is>
          <t>전</t>
        </is>
      </c>
      <c r="D175" s="3" t="inlineStr">
        <is>
          <t>전</t>
        </is>
      </c>
      <c r="E175" s="3" t="inlineStr">
        <is>
          <t>매매</t>
        </is>
      </c>
      <c r="F175" s="4" t="n">
        <v>10200</v>
      </c>
      <c r="G175" s="4" t="n">
        <v>1402</v>
      </c>
      <c r="H175" s="4" t="n">
        <v>424</v>
      </c>
      <c r="I175" s="5" t="n">
        <v>24.1</v>
      </c>
      <c r="J175" s="5" t="n">
        <v>16.8</v>
      </c>
      <c r="K175" s="3" t="inlineStr">
        <is>
          <t>황탄리 보전관리지역 밭이지만 논으로 사용중, 농업경영체 등록 가능</t>
        </is>
      </c>
      <c r="L175" s="6">
        <f>HYPERLINK("https://fin.land.naver.com/articles/2653690009", "매물Link")</f>
        <v/>
      </c>
      <c r="M175" s="6">
        <f>HYPERLINK("https://map.naver.com/p/search/강내면 황탄리 192", "지도Link")</f>
        <v/>
      </c>
      <c r="N175" s="6">
        <f>HYPERLINK("http://www.eum.go.kr/web/ar/lu/luLandDet.jsp?pnu=4311331029101920000&amp;isNoScr=script&amp;mode=search", "토지이음")</f>
        <v/>
      </c>
      <c r="O175" s="3" t="inlineStr">
        <is>
          <t>지성</t>
        </is>
      </c>
      <c r="P175" s="4" t="n">
        <v>1</v>
      </c>
      <c r="Q175" s="4" t="n">
        <v>1402</v>
      </c>
      <c r="R175" s="3" t="inlineStr">
        <is>
          <t>지정되지않음</t>
        </is>
      </c>
      <c r="S175" s="3" t="inlineStr">
        <is>
          <t>답</t>
        </is>
      </c>
      <c r="T175" s="3" t="inlineStr">
        <is>
          <t>평지</t>
        </is>
      </c>
      <c r="U175" s="3" t="inlineStr">
        <is>
          <t>부정형</t>
        </is>
      </c>
      <c r="V175" s="3" t="inlineStr">
        <is>
          <t>맹지</t>
        </is>
      </c>
    </row>
    <row r="176">
      <c r="A176" s="3" t="inlineStr">
        <is>
          <t>강내면 황탄리 471</t>
        </is>
      </c>
      <c r="B176" s="3" t="inlineStr">
        <is>
          <t>농림지역</t>
        </is>
      </c>
      <c r="C176" s="3" t="inlineStr">
        <is>
          <t>답</t>
        </is>
      </c>
      <c r="D176" s="3" t="inlineStr">
        <is>
          <t>답</t>
        </is>
      </c>
      <c r="E176" s="3" t="inlineStr">
        <is>
          <t>매매</t>
        </is>
      </c>
      <c r="F176" s="4" t="n">
        <v>36000</v>
      </c>
      <c r="G176" s="4" t="n">
        <v>3698</v>
      </c>
      <c r="H176" s="4" t="n">
        <v>1119</v>
      </c>
      <c r="I176" s="5" t="n">
        <v>32.2</v>
      </c>
      <c r="J176" s="5" t="n">
        <v>15</v>
      </c>
      <c r="K176" s="3" t="inlineStr">
        <is>
          <t>체류형쉼터,스마트팜시설.</t>
        </is>
      </c>
      <c r="L176" s="6">
        <f>HYPERLINK("https://fin.land.naver.com/articles/2653465273", "매물Link")</f>
        <v/>
      </c>
      <c r="M176" s="6">
        <f>HYPERLINK("https://map.naver.com/p/search/강내면 황탄리 471", "지도Link")</f>
        <v/>
      </c>
      <c r="N176" s="6">
        <f>HYPERLINK("http://www.eum.go.kr/web/ar/lu/luLandDet.jsp?pnu=4311331029104710000&amp;isNoScr=script&amp;mode=search", "토지이음")</f>
        <v/>
      </c>
      <c r="O176" s="3" t="inlineStr">
        <is>
          <t>햇빛</t>
        </is>
      </c>
      <c r="P176" s="4" t="n">
        <v>1</v>
      </c>
      <c r="Q176" s="4" t="n">
        <v>3698.1</v>
      </c>
      <c r="R176" s="3" t="inlineStr">
        <is>
          <t>지정되지않음</t>
        </is>
      </c>
      <c r="S176" s="3" t="inlineStr">
        <is>
          <t>답</t>
        </is>
      </c>
      <c r="T176" s="3" t="inlineStr">
        <is>
          <t>평지</t>
        </is>
      </c>
      <c r="U176" s="3" t="inlineStr">
        <is>
          <t>세로장방</t>
        </is>
      </c>
      <c r="V176" s="3" t="inlineStr">
        <is>
          <t>세로한면(가)</t>
        </is>
      </c>
    </row>
    <row r="177">
      <c r="A177" s="3" t="inlineStr">
        <is>
          <t>강내면 황탄리 63-1</t>
        </is>
      </c>
      <c r="B177" s="3" t="inlineStr">
        <is>
          <t>계획관리지역</t>
        </is>
      </c>
      <c r="C177" s="3" t="inlineStr">
        <is>
          <t>대</t>
        </is>
      </c>
      <c r="D177" s="3" t="inlineStr">
        <is>
          <t>대</t>
        </is>
      </c>
      <c r="E177" s="3" t="inlineStr">
        <is>
          <t>매매</t>
        </is>
      </c>
      <c r="F177" s="4" t="n">
        <v>55000</v>
      </c>
      <c r="G177" s="4" t="n">
        <v>1173</v>
      </c>
      <c r="H177" s="4" t="n">
        <v>355</v>
      </c>
      <c r="I177" s="5" t="n">
        <v>154.9</v>
      </c>
      <c r="J177" s="5" t="n">
        <v>52.4</v>
      </c>
      <c r="K177" s="3" t="inlineStr">
        <is>
          <t>2차선도로, 계획관리지역 건물 있는 토지</t>
        </is>
      </c>
      <c r="L177" s="6">
        <f>HYPERLINK("https://fin.land.naver.com/articles/2651975156", "매물Link")</f>
        <v/>
      </c>
      <c r="M177" s="6">
        <f>HYPERLINK("https://map.naver.com/p/search/강내면 황탄리 63-1", "지도Link")</f>
        <v/>
      </c>
      <c r="N177" s="6">
        <f>HYPERLINK("http://www.eum.go.kr/web/ar/lu/luLandDet.jsp?pnu=4311331029100630001&amp;isNoScr=script&amp;mode=search", "토지이음")</f>
        <v/>
      </c>
      <c r="O177" s="3" t="inlineStr">
        <is>
          <t>지성</t>
        </is>
      </c>
      <c r="P177" s="4" t="n">
        <v>1</v>
      </c>
      <c r="Q177" s="4" t="n">
        <v>1173</v>
      </c>
      <c r="R177" s="3" t="inlineStr">
        <is>
          <t>지정되지않음</t>
        </is>
      </c>
      <c r="S177" s="3" t="inlineStr">
        <is>
          <t>단독</t>
        </is>
      </c>
      <c r="T177" s="3" t="inlineStr">
        <is>
          <t>평지</t>
        </is>
      </c>
      <c r="U177" s="3" t="inlineStr">
        <is>
          <t>사다리형</t>
        </is>
      </c>
      <c r="V177" s="3" t="inlineStr">
        <is>
          <t>소로한면</t>
        </is>
      </c>
    </row>
    <row r="178">
      <c r="A178" s="3" t="inlineStr">
        <is>
          <t>강내면 황탄리 64</t>
        </is>
      </c>
      <c r="B178" s="3" t="inlineStr">
        <is>
          <t>계획관리지역</t>
        </is>
      </c>
      <c r="C178" s="3" t="inlineStr">
        <is>
          <t>전</t>
        </is>
      </c>
      <c r="D178" s="3" t="inlineStr">
        <is>
          <t>전</t>
        </is>
      </c>
      <c r="E178" s="3" t="inlineStr">
        <is>
          <t>매매</t>
        </is>
      </c>
      <c r="F178" s="4" t="n">
        <v>43200</v>
      </c>
      <c r="G178" s="4" t="n">
        <v>1298</v>
      </c>
      <c r="H178" s="4" t="n">
        <v>393</v>
      </c>
      <c r="I178" s="5" t="n">
        <v>109.9</v>
      </c>
      <c r="J178" s="5" t="n">
        <v>29.5</v>
      </c>
      <c r="K178" s="3" t="inlineStr">
        <is>
          <t>2차선도로접 잘생긴 토지 공장 투자추천</t>
        </is>
      </c>
      <c r="L178" s="6">
        <f>HYPERLINK("https://fin.land.naver.com/articles/2650439817", "매물Link")</f>
        <v/>
      </c>
      <c r="M178" s="6">
        <f>HYPERLINK("https://map.naver.com/p/search/강내면 황탄리 64", "지도Link")</f>
        <v/>
      </c>
      <c r="N178" s="6">
        <f>HYPERLINK("http://www.eum.go.kr/web/ar/lu/luLandDet.jsp?pnu=4311331029100640000&amp;isNoScr=script&amp;mode=search", "토지이음")</f>
        <v/>
      </c>
      <c r="O178" s="3" t="inlineStr">
        <is>
          <t>플러스태양</t>
        </is>
      </c>
      <c r="P178" s="4" t="n">
        <v>1</v>
      </c>
      <c r="Q178" s="4" t="n">
        <v>1298</v>
      </c>
      <c r="R178" s="3" t="inlineStr">
        <is>
          <t>지정되지않음</t>
        </is>
      </c>
      <c r="S178" s="3" t="inlineStr">
        <is>
          <t>전</t>
        </is>
      </c>
      <c r="T178" s="3" t="inlineStr">
        <is>
          <t>완경사</t>
        </is>
      </c>
      <c r="U178" s="3" t="inlineStr">
        <is>
          <t>사다리형</t>
        </is>
      </c>
      <c r="V178" s="3" t="inlineStr">
        <is>
          <t>소로한면</t>
        </is>
      </c>
    </row>
    <row r="179">
      <c r="A179" s="3" t="inlineStr">
        <is>
          <t>강내면 황탄리 95-2</t>
        </is>
      </c>
      <c r="B179" s="3" t="inlineStr">
        <is>
          <t>보전관리지역</t>
        </is>
      </c>
      <c r="C179" s="3" t="inlineStr">
        <is>
          <t>답</t>
        </is>
      </c>
      <c r="D179" s="3" t="inlineStr">
        <is>
          <t>답</t>
        </is>
      </c>
      <c r="E179" s="3" t="inlineStr">
        <is>
          <t>매매</t>
        </is>
      </c>
      <c r="F179" s="4" t="n">
        <v>70000</v>
      </c>
      <c r="G179" s="4" t="n">
        <v>7857</v>
      </c>
      <c r="H179" s="4" t="n">
        <v>2377</v>
      </c>
      <c r="I179" s="5" t="n">
        <v>29.4</v>
      </c>
      <c r="J179" s="5" t="n">
        <v>14.9</v>
      </c>
      <c r="K179" s="3" t="inlineStr">
        <is>
          <t>전원주택단지 개발 ,태양광부지로 적합</t>
        </is>
      </c>
      <c r="L179" s="6">
        <f>HYPERLINK("https://fin.land.naver.com/articles/2654544043", "매물Link")</f>
        <v/>
      </c>
      <c r="M179" s="6">
        <f>HYPERLINK("https://map.naver.com/p/search/강내면 황탄리 95-2", "지도Link")</f>
        <v/>
      </c>
      <c r="N179" s="6">
        <f>HYPERLINK("http://www.eum.go.kr/web/ar/lu/luLandDet.jsp?pnu=4311331029100950002&amp;isNoScr=script&amp;mode=search", "토지이음")</f>
        <v/>
      </c>
      <c r="O179" s="3" t="inlineStr">
        <is>
          <t>산들</t>
        </is>
      </c>
      <c r="P179" s="4" t="n">
        <v>1</v>
      </c>
      <c r="Q179" s="4" t="n">
        <v>2007</v>
      </c>
      <c r="R179" s="3" t="inlineStr">
        <is>
          <t>지정되지않음</t>
        </is>
      </c>
      <c r="S179" s="3" t="inlineStr">
        <is>
          <t>답</t>
        </is>
      </c>
      <c r="T179" s="3" t="inlineStr">
        <is>
          <t>완경사</t>
        </is>
      </c>
      <c r="U179" s="3" t="inlineStr">
        <is>
          <t>부정형</t>
        </is>
      </c>
      <c r="V179" s="3" t="inlineStr">
        <is>
          <t>맹지</t>
        </is>
      </c>
    </row>
    <row r="180">
      <c r="A180" s="3" t="inlineStr">
        <is>
          <t>고운동 1010</t>
        </is>
      </c>
      <c r="B180" s="3" t="inlineStr">
        <is>
          <t>제1종전용주거지역</t>
        </is>
      </c>
      <c r="C180" s="3" t="inlineStr">
        <is>
          <t>대</t>
        </is>
      </c>
      <c r="D180" s="3" t="inlineStr">
        <is>
          <t>대</t>
        </is>
      </c>
      <c r="E180" s="3" t="inlineStr">
        <is>
          <t>매매</t>
        </is>
      </c>
      <c r="F180" s="4" t="n">
        <v>67000</v>
      </c>
      <c r="G180" s="4" t="n">
        <v>319</v>
      </c>
      <c r="H180" s="4" t="n">
        <v>96</v>
      </c>
      <c r="I180" s="5" t="n">
        <v>697.9</v>
      </c>
      <c r="J180" s="5" t="n">
        <v>358.7</v>
      </c>
      <c r="K180" s="3" t="inlineStr">
        <is>
          <t>총 96.9p, 길가 코너자리, 정남향</t>
        </is>
      </c>
      <c r="L180" s="6">
        <f>HYPERLINK("https://fin.land.naver.com/articles/2654228986", "매물Link")</f>
        <v/>
      </c>
      <c r="M180" s="6">
        <f>HYPERLINK("https://map.naver.com/p/search/고운동 1010", "지도Link")</f>
        <v/>
      </c>
      <c r="N180" s="6">
        <f>HYPERLINK("http://www.eum.go.kr/web/ar/lu/luLandDet.jsp?pnu=3611011200110100000&amp;isNoScr=script&amp;mode=search", "토지이음")</f>
        <v/>
      </c>
      <c r="O180" s="3" t="inlineStr">
        <is>
          <t>명진</t>
        </is>
      </c>
      <c r="P180" s="4" t="n">
        <v>1</v>
      </c>
      <c r="Q180" s="4" t="n">
        <v>319.8</v>
      </c>
      <c r="R180" s="3" t="inlineStr">
        <is>
          <t>지정되지않음</t>
        </is>
      </c>
      <c r="S180" s="3" t="inlineStr">
        <is>
          <t>주거나지</t>
        </is>
      </c>
      <c r="T180" s="3" t="inlineStr">
        <is>
          <t>평지</t>
        </is>
      </c>
      <c r="U180" s="3" t="inlineStr">
        <is>
          <t>정방형</t>
        </is>
      </c>
      <c r="V180" s="3" t="inlineStr">
        <is>
          <t>중로각지</t>
        </is>
      </c>
    </row>
    <row r="181">
      <c r="A181" s="3" t="inlineStr">
        <is>
          <t>고운동 1031</t>
        </is>
      </c>
      <c r="B181" s="3" t="inlineStr">
        <is>
          <t>제1종전용주거지역</t>
        </is>
      </c>
      <c r="C181" s="3" t="inlineStr">
        <is>
          <t>대</t>
        </is>
      </c>
      <c r="D181" s="3" t="inlineStr">
        <is>
          <t>대</t>
        </is>
      </c>
      <c r="E181" s="3" t="inlineStr">
        <is>
          <t>매매</t>
        </is>
      </c>
      <c r="F181" s="4" t="n">
        <v>70000</v>
      </c>
      <c r="G181" s="4" t="n">
        <v>388</v>
      </c>
      <c r="H181" s="4" t="n">
        <v>117</v>
      </c>
      <c r="I181" s="5" t="n">
        <v>598.3</v>
      </c>
      <c r="J181" s="5" t="n">
        <v>317.5</v>
      </c>
      <c r="K181" s="3" t="inlineStr">
        <is>
          <t>nan</t>
        </is>
      </c>
      <c r="L181" s="6">
        <f>HYPERLINK("https://fin.land.naver.com/articles/2651032769", "매물Link")</f>
        <v/>
      </c>
      <c r="M181" s="6">
        <f>HYPERLINK("https://map.naver.com/p/search/고운동 1031", "지도Link")</f>
        <v/>
      </c>
      <c r="N181" s="6">
        <f>HYPERLINK("http://www.eum.go.kr/web/ar/lu/luLandDet.jsp?pnu=3611011200110310000&amp;isNoScr=script&amp;mode=search", "토지이음")</f>
        <v/>
      </c>
      <c r="O181" s="3" t="inlineStr">
        <is>
          <t>디아트성심</t>
        </is>
      </c>
      <c r="P181" s="4" t="n">
        <v>1</v>
      </c>
      <c r="Q181" s="4" t="n">
        <v>388.8</v>
      </c>
      <c r="R181" s="3" t="inlineStr">
        <is>
          <t>지정되지않음</t>
        </is>
      </c>
      <c r="S181" s="3" t="inlineStr">
        <is>
          <t>주거나지</t>
        </is>
      </c>
      <c r="T181" s="3" t="inlineStr">
        <is>
          <t>평지</t>
        </is>
      </c>
      <c r="U181" s="3" t="inlineStr">
        <is>
          <t>세로장방</t>
        </is>
      </c>
      <c r="V181" s="3" t="inlineStr">
        <is>
          <t>소로한면</t>
        </is>
      </c>
    </row>
    <row r="182">
      <c r="A182" s="3" t="inlineStr">
        <is>
          <t>고운동 1031</t>
        </is>
      </c>
      <c r="B182" s="3" t="inlineStr">
        <is>
          <t>제1종전용주거지역</t>
        </is>
      </c>
      <c r="C182" s="3" t="inlineStr">
        <is>
          <t>대</t>
        </is>
      </c>
      <c r="D182" s="3" t="inlineStr">
        <is>
          <t>대</t>
        </is>
      </c>
      <c r="E182" s="3" t="inlineStr">
        <is>
          <t>매매</t>
        </is>
      </c>
      <c r="F182" s="4" t="n">
        <v>70000</v>
      </c>
      <c r="G182" s="4" t="n">
        <v>388</v>
      </c>
      <c r="H182" s="4" t="n">
        <v>117</v>
      </c>
      <c r="I182" s="5" t="n">
        <v>598.3</v>
      </c>
      <c r="J182" s="5" t="n">
        <v>317.5</v>
      </c>
      <c r="K182" s="3" t="inlineStr">
        <is>
          <t>급매 공원조망 큰평수 위치최상</t>
        </is>
      </c>
      <c r="L182" s="6">
        <f>HYPERLINK("https://fin.land.naver.com/articles/2652917969", "매물Link")</f>
        <v/>
      </c>
      <c r="M182" s="6">
        <f>HYPERLINK("https://map.naver.com/p/search/고운동 1031", "지도Link")</f>
        <v/>
      </c>
      <c r="N182" s="6">
        <f>HYPERLINK("http://www.eum.go.kr/web/ar/lu/luLandDet.jsp?pnu=3611011200110310000&amp;isNoScr=script&amp;mode=search", "토지이음")</f>
        <v/>
      </c>
      <c r="O182" s="3" t="inlineStr">
        <is>
          <t>세종스타</t>
        </is>
      </c>
      <c r="P182" s="4" t="n">
        <v>2</v>
      </c>
      <c r="Q182" s="4" t="n">
        <v>388.8</v>
      </c>
      <c r="R182" s="3" t="inlineStr">
        <is>
          <t>지정되지않음</t>
        </is>
      </c>
      <c r="S182" s="3" t="inlineStr">
        <is>
          <t>주거나지</t>
        </is>
      </c>
      <c r="T182" s="3" t="inlineStr">
        <is>
          <t>평지</t>
        </is>
      </c>
      <c r="U182" s="3" t="inlineStr">
        <is>
          <t>세로장방</t>
        </is>
      </c>
      <c r="V182" s="3" t="inlineStr">
        <is>
          <t>소로한면</t>
        </is>
      </c>
    </row>
    <row r="183">
      <c r="A183" s="3" t="inlineStr">
        <is>
          <t>고운동 1050</t>
        </is>
      </c>
      <c r="B183" s="3" t="inlineStr">
        <is>
          <t>제1종전용주거지역</t>
        </is>
      </c>
      <c r="C183" s="3" t="inlineStr">
        <is>
          <t>대</t>
        </is>
      </c>
      <c r="D183" s="3" t="inlineStr">
        <is>
          <t>대</t>
        </is>
      </c>
      <c r="E183" s="3" t="inlineStr">
        <is>
          <t>매매</t>
        </is>
      </c>
      <c r="F183" s="4" t="n">
        <v>50000</v>
      </c>
      <c r="G183" s="4" t="n">
        <v>347</v>
      </c>
      <c r="H183" s="4" t="n">
        <v>105</v>
      </c>
      <c r="I183" s="5" t="n">
        <v>476.2</v>
      </c>
      <c r="J183" s="5" t="n">
        <v>317.5</v>
      </c>
      <c r="K183" s="3" t="inlineStr">
        <is>
          <t>초급매, 학군, 중심상권 생활권 편리한 위치,어린이공원앞 택지</t>
        </is>
      </c>
      <c r="L183" s="6">
        <f>HYPERLINK("https://fin.land.naver.com/articles/2653547243", "매물Link")</f>
        <v/>
      </c>
      <c r="M183" s="6">
        <f>HYPERLINK("https://map.naver.com/p/search/고운동 1050", "지도Link")</f>
        <v/>
      </c>
      <c r="N183" s="6">
        <f>HYPERLINK("http://www.eum.go.kr/web/ar/lu/luLandDet.jsp?pnu=3611011200110500000&amp;isNoScr=script&amp;mode=search", "토지이음")</f>
        <v/>
      </c>
      <c r="O183" s="3" t="inlineStr">
        <is>
          <t>고운맘</t>
        </is>
      </c>
      <c r="P183" s="4" t="n">
        <v>1</v>
      </c>
      <c r="Q183" s="4" t="n">
        <v>347.5</v>
      </c>
      <c r="R183" s="3" t="inlineStr">
        <is>
          <t>지정되지않음</t>
        </is>
      </c>
      <c r="S183" s="3" t="inlineStr">
        <is>
          <t>주거나지</t>
        </is>
      </c>
      <c r="T183" s="3" t="inlineStr">
        <is>
          <t>평지</t>
        </is>
      </c>
      <c r="U183" s="3" t="inlineStr">
        <is>
          <t>세로장방</t>
        </is>
      </c>
      <c r="V183" s="3" t="inlineStr">
        <is>
          <t>소로한면</t>
        </is>
      </c>
    </row>
    <row r="184">
      <c r="A184" s="3" t="inlineStr">
        <is>
          <t>고운동 1050</t>
        </is>
      </c>
      <c r="B184" s="3" t="inlineStr">
        <is>
          <t>제1종전용주거지역</t>
        </is>
      </c>
      <c r="C184" s="3" t="inlineStr">
        <is>
          <t>대</t>
        </is>
      </c>
      <c r="D184" s="3" t="inlineStr">
        <is>
          <t>대</t>
        </is>
      </c>
      <c r="E184" s="3" t="inlineStr">
        <is>
          <t>매매</t>
        </is>
      </c>
      <c r="F184" s="4" t="n">
        <v>55000</v>
      </c>
      <c r="G184" s="4" t="n">
        <v>347</v>
      </c>
      <c r="H184" s="4" t="n">
        <v>105</v>
      </c>
      <c r="I184" s="5" t="n">
        <v>523.8</v>
      </c>
      <c r="J184" s="5" t="n">
        <v>317.5</v>
      </c>
      <c r="K184" s="3" t="inlineStr">
        <is>
          <t>가격조절가능 넓은공원이 있는 단독주택지 매매</t>
        </is>
      </c>
      <c r="L184" s="6">
        <f>HYPERLINK("https://fin.land.naver.com/articles/2651997925", "매물Link")</f>
        <v/>
      </c>
      <c r="M184" s="6">
        <f>HYPERLINK("https://map.naver.com/p/search/고운동 1050", "지도Link")</f>
        <v/>
      </c>
      <c r="N184" s="6">
        <f>HYPERLINK("http://www.eum.go.kr/web/ar/lu/luLandDet.jsp?pnu=3611011200110500000&amp;isNoScr=script&amp;mode=search", "토지이음")</f>
        <v/>
      </c>
      <c r="O184" s="3" t="inlineStr">
        <is>
          <t>세종시토지</t>
        </is>
      </c>
      <c r="P184" s="4" t="n">
        <v>1</v>
      </c>
      <c r="Q184" s="4" t="n">
        <v>347.5</v>
      </c>
      <c r="R184" s="3" t="inlineStr">
        <is>
          <t>지정되지않음</t>
        </is>
      </c>
      <c r="S184" s="3" t="inlineStr">
        <is>
          <t>주거나지</t>
        </is>
      </c>
      <c r="T184" s="3" t="inlineStr">
        <is>
          <t>평지</t>
        </is>
      </c>
      <c r="U184" s="3" t="inlineStr">
        <is>
          <t>세로장방</t>
        </is>
      </c>
      <c r="V184" s="3" t="inlineStr">
        <is>
          <t>소로한면</t>
        </is>
      </c>
    </row>
    <row r="185">
      <c r="A185" s="3" t="inlineStr">
        <is>
          <t>고운동 1051</t>
        </is>
      </c>
      <c r="B185" s="3" t="inlineStr">
        <is>
          <t>제1종전용주거지역</t>
        </is>
      </c>
      <c r="C185" s="3" t="inlineStr">
        <is>
          <t>대</t>
        </is>
      </c>
      <c r="D185" s="3" t="inlineStr">
        <is>
          <t>대</t>
        </is>
      </c>
      <c r="E185" s="3" t="inlineStr">
        <is>
          <t>매매</t>
        </is>
      </c>
      <c r="F185" s="4" t="n">
        <v>52000</v>
      </c>
      <c r="G185" s="4" t="n">
        <v>347</v>
      </c>
      <c r="H185" s="4" t="n">
        <v>105</v>
      </c>
      <c r="I185" s="5" t="n">
        <v>495.2</v>
      </c>
      <c r="J185" s="5" t="n">
        <v>317.5</v>
      </c>
      <c r="K185" s="3" t="inlineStr">
        <is>
          <t>급매 I 넓은 공원옆 I 생활권이용편리 I 조율가능</t>
        </is>
      </c>
      <c r="L185" s="6">
        <f>HYPERLINK("https://fin.land.naver.com/articles/2651301509", "매물Link")</f>
        <v/>
      </c>
      <c r="M185" s="6">
        <f>HYPERLINK("https://map.naver.com/p/search/고운동 1051", "지도Link")</f>
        <v/>
      </c>
      <c r="N185" s="6">
        <f>HYPERLINK("http://www.eum.go.kr/web/ar/lu/luLandDet.jsp?pnu=3611011200110510000&amp;isNoScr=script&amp;mode=search", "토지이음")</f>
        <v/>
      </c>
      <c r="O185" s="3" t="inlineStr">
        <is>
          <t>힐스테이트으뜸원</t>
        </is>
      </c>
      <c r="P185" s="4" t="n">
        <v>1</v>
      </c>
      <c r="Q185" s="4" t="n">
        <v>347.6</v>
      </c>
      <c r="R185" s="3" t="inlineStr">
        <is>
          <t>지정되지않음</t>
        </is>
      </c>
      <c r="S185" s="3" t="inlineStr">
        <is>
          <t>주거나지</t>
        </is>
      </c>
      <c r="T185" s="3" t="inlineStr">
        <is>
          <t>평지</t>
        </is>
      </c>
      <c r="U185" s="3" t="inlineStr">
        <is>
          <t>세로장방</t>
        </is>
      </c>
      <c r="V185" s="3" t="inlineStr">
        <is>
          <t>소로한면</t>
        </is>
      </c>
    </row>
    <row r="186">
      <c r="A186" s="3" t="inlineStr">
        <is>
          <t>고운동 1053</t>
        </is>
      </c>
      <c r="B186" s="3" t="inlineStr">
        <is>
          <t>제1종전용주거지역</t>
        </is>
      </c>
      <c r="C186" s="3" t="inlineStr">
        <is>
          <t>대</t>
        </is>
      </c>
      <c r="D186" s="3" t="inlineStr">
        <is>
          <t>대</t>
        </is>
      </c>
      <c r="E186" s="3" t="inlineStr">
        <is>
          <t>매매</t>
        </is>
      </c>
      <c r="F186" s="4" t="n">
        <v>57000</v>
      </c>
      <c r="G186" s="4" t="n">
        <v>347</v>
      </c>
      <c r="H186" s="4" t="n">
        <v>105</v>
      </c>
      <c r="I186" s="5" t="n">
        <v>542.9</v>
      </c>
      <c r="J186" s="5" t="n">
        <v>333.2</v>
      </c>
      <c r="K186" s="3" t="inlineStr">
        <is>
          <t>고운동단독택지로 입지최상 학군 상권 복컴 생활하기편리</t>
        </is>
      </c>
      <c r="L186" s="6">
        <f>HYPERLINK("https://fin.land.naver.com/articles/2651032335", "매물Link")</f>
        <v/>
      </c>
      <c r="M186" s="6">
        <f>HYPERLINK("https://map.naver.com/p/search/고운동 1053", "지도Link")</f>
        <v/>
      </c>
      <c r="N186" s="6">
        <f>HYPERLINK("http://www.eum.go.kr/web/ar/lu/luLandDet.jsp?pnu=3611011200110530000&amp;isNoScr=script&amp;mode=search", "토지이음")</f>
        <v/>
      </c>
      <c r="O186" s="3" t="inlineStr">
        <is>
          <t>고운동리치세종</t>
        </is>
      </c>
      <c r="P186" s="4" t="n">
        <v>1</v>
      </c>
      <c r="Q186" s="4" t="n">
        <v>347.5</v>
      </c>
      <c r="R186" s="3" t="inlineStr">
        <is>
          <t>지정되지않음</t>
        </is>
      </c>
      <c r="S186" s="3" t="inlineStr">
        <is>
          <t>주거나지</t>
        </is>
      </c>
      <c r="T186" s="3" t="inlineStr">
        <is>
          <t>평지</t>
        </is>
      </c>
      <c r="U186" s="3" t="inlineStr">
        <is>
          <t>세로장방</t>
        </is>
      </c>
      <c r="V186" s="3" t="inlineStr">
        <is>
          <t>소로각지</t>
        </is>
      </c>
    </row>
    <row r="187">
      <c r="A187" s="3" t="inlineStr">
        <is>
          <t>고운동 1058</t>
        </is>
      </c>
      <c r="B187" s="3" t="inlineStr">
        <is>
          <t>제1종전용주거지역</t>
        </is>
      </c>
      <c r="C187" s="3" t="inlineStr">
        <is>
          <t>대</t>
        </is>
      </c>
      <c r="D187" s="3" t="inlineStr">
        <is>
          <t>대</t>
        </is>
      </c>
      <c r="E187" s="3" t="inlineStr">
        <is>
          <t>매매</t>
        </is>
      </c>
      <c r="F187" s="4" t="n">
        <v>65000</v>
      </c>
      <c r="G187" s="4" t="n">
        <v>358</v>
      </c>
      <c r="H187" s="4" t="n">
        <v>108</v>
      </c>
      <c r="I187" s="5" t="n">
        <v>601.9</v>
      </c>
      <c r="J187" s="5" t="n">
        <v>342.8</v>
      </c>
      <c r="K187" s="3" t="inlineStr">
        <is>
          <t>nan</t>
        </is>
      </c>
      <c r="L187" s="6">
        <f>HYPERLINK("https://fin.land.naver.com/articles/2651033013", "매물Link")</f>
        <v/>
      </c>
      <c r="M187" s="6">
        <f>HYPERLINK("https://map.naver.com/p/search/고운동 1058", "지도Link")</f>
        <v/>
      </c>
      <c r="N187" s="6">
        <f>HYPERLINK("http://www.eum.go.kr/web/ar/lu/luLandDet.jsp?pnu=3611011200110580000&amp;isNoScr=script&amp;mode=search", "토지이음")</f>
        <v/>
      </c>
      <c r="O187" s="3" t="inlineStr">
        <is>
          <t>디아트성심</t>
        </is>
      </c>
      <c r="P187" s="4" t="n">
        <v>1</v>
      </c>
      <c r="Q187" s="4" t="n">
        <v>357.6</v>
      </c>
      <c r="R187" s="3" t="inlineStr">
        <is>
          <t>지정되지않음</t>
        </is>
      </c>
      <c r="S187" s="3" t="inlineStr">
        <is>
          <t>주거나지</t>
        </is>
      </c>
      <c r="T187" s="3" t="inlineStr">
        <is>
          <t>평지</t>
        </is>
      </c>
      <c r="U187" s="3" t="inlineStr">
        <is>
          <t>세로장방</t>
        </is>
      </c>
      <c r="V187" s="3" t="inlineStr">
        <is>
          <t>중로한면</t>
        </is>
      </c>
    </row>
    <row r="188">
      <c r="A188" s="3" t="inlineStr">
        <is>
          <t>고운동 1058</t>
        </is>
      </c>
      <c r="B188" s="3" t="inlineStr">
        <is>
          <t>제1종전용주거지역</t>
        </is>
      </c>
      <c r="C188" s="3" t="inlineStr">
        <is>
          <t>대</t>
        </is>
      </c>
      <c r="D188" s="3" t="inlineStr">
        <is>
          <t>대</t>
        </is>
      </c>
      <c r="E188" s="3" t="inlineStr">
        <is>
          <t>매매</t>
        </is>
      </c>
      <c r="F188" s="4" t="n">
        <v>65000</v>
      </c>
      <c r="G188" s="4" t="n">
        <v>357</v>
      </c>
      <c r="H188" s="4" t="n">
        <v>108</v>
      </c>
      <c r="I188" s="5" t="n">
        <v>601.9</v>
      </c>
      <c r="J188" s="5" t="n">
        <v>342.8</v>
      </c>
      <c r="K188" s="3" t="inlineStr">
        <is>
          <t>도로,인도,버스정류장 인접, 공영주차장옆</t>
        </is>
      </c>
      <c r="L188" s="6">
        <f>HYPERLINK("https://fin.land.naver.com/articles/2654420330", "매물Link")</f>
        <v/>
      </c>
      <c r="M188" s="6">
        <f>HYPERLINK("https://map.naver.com/p/search/고운동 1058", "지도Link")</f>
        <v/>
      </c>
      <c r="N188" s="6">
        <f>HYPERLINK("http://www.eum.go.kr/web/ar/lu/luLandDet.jsp?pnu=3611011200110580000&amp;isNoScr=script&amp;mode=search", "토지이음")</f>
        <v/>
      </c>
      <c r="O188" s="3" t="inlineStr">
        <is>
          <t>세종제일1</t>
        </is>
      </c>
      <c r="P188" s="4" t="n">
        <v>1</v>
      </c>
      <c r="Q188" s="4" t="n">
        <v>357.6</v>
      </c>
      <c r="R188" s="3" t="inlineStr">
        <is>
          <t>지정되지않음</t>
        </is>
      </c>
      <c r="S188" s="3" t="inlineStr">
        <is>
          <t>주거나지</t>
        </is>
      </c>
      <c r="T188" s="3" t="inlineStr">
        <is>
          <t>평지</t>
        </is>
      </c>
      <c r="U188" s="3" t="inlineStr">
        <is>
          <t>세로장방</t>
        </is>
      </c>
      <c r="V188" s="3" t="inlineStr">
        <is>
          <t>중로한면</t>
        </is>
      </c>
    </row>
    <row r="189">
      <c r="A189" s="3" t="inlineStr">
        <is>
          <t>고운동 1067</t>
        </is>
      </c>
      <c r="B189" s="3" t="inlineStr">
        <is>
          <t>제1종전용주거지역</t>
        </is>
      </c>
      <c r="C189" s="3" t="inlineStr">
        <is>
          <t>대</t>
        </is>
      </c>
      <c r="D189" s="3" t="inlineStr">
        <is>
          <t>대</t>
        </is>
      </c>
      <c r="E189" s="3" t="inlineStr">
        <is>
          <t>매매</t>
        </is>
      </c>
      <c r="F189" s="4" t="n">
        <v>60000</v>
      </c>
      <c r="G189" s="4" t="n">
        <v>333</v>
      </c>
      <c r="H189" s="4" t="n">
        <v>101</v>
      </c>
      <c r="I189" s="5" t="n">
        <v>594.1</v>
      </c>
      <c r="J189" s="5" t="n">
        <v>346.4</v>
      </c>
      <c r="K189" s="3" t="inlineStr">
        <is>
          <t>3면코너각지, 공원조망, 조율가능 가락초 두루고 바로옆</t>
        </is>
      </c>
      <c r="L189" s="6">
        <f>HYPERLINK("https://fin.land.naver.com/articles/2652418799", "매물Link")</f>
        <v/>
      </c>
      <c r="M189" s="6">
        <f>HYPERLINK("https://map.naver.com/p/search/고운동 1067", "지도Link")</f>
        <v/>
      </c>
      <c r="N189" s="6">
        <f>HYPERLINK("http://www.eum.go.kr/web/ar/lu/luLandDet.jsp?pnu=3611011200110670000&amp;isNoScr=script&amp;mode=search", "토지이음")</f>
        <v/>
      </c>
      <c r="O189" s="3" t="inlineStr">
        <is>
          <t>세종스타</t>
        </is>
      </c>
      <c r="P189" s="4" t="n">
        <v>1</v>
      </c>
      <c r="Q189" s="4" t="n">
        <v>333.6</v>
      </c>
      <c r="R189" s="3" t="inlineStr">
        <is>
          <t>지정되지않음</t>
        </is>
      </c>
      <c r="S189" s="3" t="inlineStr">
        <is>
          <t>주거나지</t>
        </is>
      </c>
      <c r="T189" s="3" t="inlineStr">
        <is>
          <t>평지</t>
        </is>
      </c>
      <c r="U189" s="3" t="inlineStr">
        <is>
          <t>정방형</t>
        </is>
      </c>
      <c r="V189" s="3" t="inlineStr">
        <is>
          <t>중로각지</t>
        </is>
      </c>
    </row>
    <row r="190">
      <c r="A190" s="3" t="inlineStr">
        <is>
          <t>고운동 1068</t>
        </is>
      </c>
      <c r="B190" s="3" t="inlineStr">
        <is>
          <t>제1종전용주거지역</t>
        </is>
      </c>
      <c r="C190" s="3" t="inlineStr">
        <is>
          <t>대</t>
        </is>
      </c>
      <c r="D190" s="3" t="inlineStr">
        <is>
          <t>대</t>
        </is>
      </c>
      <c r="E190" s="3" t="inlineStr">
        <is>
          <t>매매</t>
        </is>
      </c>
      <c r="F190" s="4" t="n">
        <v>61800</v>
      </c>
      <c r="G190" s="4" t="n">
        <v>338</v>
      </c>
      <c r="H190" s="4" t="n">
        <v>102</v>
      </c>
      <c r="I190" s="5" t="n">
        <v>605.9</v>
      </c>
      <c r="J190" s="5" t="n">
        <v>346.4</v>
      </c>
      <c r="K190" s="3" t="inlineStr">
        <is>
          <t>코너 위치. 근린공원과 함께 멋스러운 여유 .금액조율가능.</t>
        </is>
      </c>
      <c r="L190" s="6">
        <f>HYPERLINK("https://fin.land.naver.com/articles/2653119333", "매물Link")</f>
        <v/>
      </c>
      <c r="M190" s="6">
        <f>HYPERLINK("https://map.naver.com/p/search/고운동 1068", "지도Link")</f>
        <v/>
      </c>
      <c r="N190" s="6">
        <f>HYPERLINK("http://www.eum.go.kr/web/ar/lu/luLandDet.jsp?pnu=3611011200110680000&amp;isNoScr=script&amp;mode=search", "토지이음")</f>
        <v/>
      </c>
      <c r="O190" s="3" t="inlineStr">
        <is>
          <t>세종올리브</t>
        </is>
      </c>
      <c r="P190" s="4" t="n">
        <v>2</v>
      </c>
      <c r="Q190" s="4" t="n">
        <v>338.9</v>
      </c>
      <c r="R190" s="3" t="inlineStr">
        <is>
          <t>지정되지않음</t>
        </is>
      </c>
      <c r="S190" s="3" t="inlineStr">
        <is>
          <t>주거나지</t>
        </is>
      </c>
      <c r="T190" s="3" t="inlineStr">
        <is>
          <t>평지</t>
        </is>
      </c>
      <c r="U190" s="3" t="inlineStr">
        <is>
          <t>세로장방</t>
        </is>
      </c>
      <c r="V190" s="3" t="inlineStr">
        <is>
          <t>중로각지</t>
        </is>
      </c>
    </row>
    <row r="191">
      <c r="A191" s="3" t="inlineStr">
        <is>
          <t>고운동 1069</t>
        </is>
      </c>
      <c r="B191" s="3" t="inlineStr">
        <is>
          <t>제1종전용주거지역</t>
        </is>
      </c>
      <c r="C191" s="3" t="inlineStr">
        <is>
          <t>대</t>
        </is>
      </c>
      <c r="D191" s="3" t="inlineStr">
        <is>
          <t>대</t>
        </is>
      </c>
      <c r="E191" s="3" t="inlineStr">
        <is>
          <t>매매</t>
        </is>
      </c>
      <c r="F191" s="4" t="n">
        <v>51600</v>
      </c>
      <c r="G191" s="4" t="n">
        <v>341</v>
      </c>
      <c r="H191" s="4" t="n">
        <v>103</v>
      </c>
      <c r="I191" s="5" t="n">
        <v>501</v>
      </c>
      <c r="J191" s="5" t="n">
        <v>330.5</v>
      </c>
      <c r="K191" s="3" t="inlineStr">
        <is>
          <t>nan</t>
        </is>
      </c>
      <c r="L191" s="6">
        <f>HYPERLINK("https://fin.land.naver.com/articles/2651033320", "매물Link")</f>
        <v/>
      </c>
      <c r="M191" s="6">
        <f>HYPERLINK("https://map.naver.com/p/search/고운동 1069", "지도Link")</f>
        <v/>
      </c>
      <c r="N191" s="6">
        <f>HYPERLINK("http://www.eum.go.kr/web/ar/lu/luLandDet.jsp?pnu=3611011200110690000&amp;isNoScr=script&amp;mode=search", "토지이음")</f>
        <v/>
      </c>
      <c r="O191" s="3" t="inlineStr">
        <is>
          <t>디아트성심</t>
        </is>
      </c>
      <c r="P191" s="4" t="n">
        <v>2</v>
      </c>
      <c r="Q191" s="4" t="n">
        <v>341</v>
      </c>
      <c r="R191" s="3" t="inlineStr">
        <is>
          <t>지정되지않음</t>
        </is>
      </c>
      <c r="S191" s="3" t="inlineStr">
        <is>
          <t>주거나지</t>
        </is>
      </c>
      <c r="T191" s="3" t="inlineStr">
        <is>
          <t>평지</t>
        </is>
      </c>
      <c r="U191" s="3" t="inlineStr">
        <is>
          <t>세로장방</t>
        </is>
      </c>
      <c r="V191" s="3" t="inlineStr">
        <is>
          <t>중로한면</t>
        </is>
      </c>
    </row>
    <row r="192">
      <c r="A192" s="3" t="inlineStr">
        <is>
          <t>고운동 1069</t>
        </is>
      </c>
      <c r="B192" s="3" t="inlineStr">
        <is>
          <t>제1종전용주거지역</t>
        </is>
      </c>
      <c r="C192" s="3" t="inlineStr">
        <is>
          <t>대</t>
        </is>
      </c>
      <c r="D192" s="3" t="inlineStr">
        <is>
          <t>대</t>
        </is>
      </c>
      <c r="E192" s="3" t="inlineStr">
        <is>
          <t>매매</t>
        </is>
      </c>
      <c r="F192" s="4" t="n">
        <v>51500</v>
      </c>
      <c r="G192" s="4" t="n">
        <v>341</v>
      </c>
      <c r="H192" s="4" t="n">
        <v>103</v>
      </c>
      <c r="I192" s="5" t="n">
        <v>500</v>
      </c>
      <c r="J192" s="5" t="n">
        <v>330.5</v>
      </c>
      <c r="K192" s="3" t="inlineStr">
        <is>
          <t>급매매,단독주택밀집.건너편 공원뷰</t>
        </is>
      </c>
      <c r="L192" s="6">
        <f>HYPERLINK("https://fin.land.naver.com/articles/2650539320", "매물Link")</f>
        <v/>
      </c>
      <c r="M192" s="6">
        <f>HYPERLINK("https://map.naver.com/p/search/고운동 1069", "지도Link")</f>
        <v/>
      </c>
      <c r="N192" s="6">
        <f>HYPERLINK("http://www.eum.go.kr/web/ar/lu/luLandDet.jsp?pnu=3611011200110690000&amp;isNoScr=script&amp;mode=search", "토지이음")</f>
        <v/>
      </c>
      <c r="O192" s="3" t="inlineStr">
        <is>
          <t>킹세종</t>
        </is>
      </c>
      <c r="P192" s="4" t="n">
        <v>3</v>
      </c>
      <c r="Q192" s="4" t="n">
        <v>341</v>
      </c>
      <c r="R192" s="3" t="inlineStr">
        <is>
          <t>지정되지않음</t>
        </is>
      </c>
      <c r="S192" s="3" t="inlineStr">
        <is>
          <t>주거나지</t>
        </is>
      </c>
      <c r="T192" s="3" t="inlineStr">
        <is>
          <t>평지</t>
        </is>
      </c>
      <c r="U192" s="3" t="inlineStr">
        <is>
          <t>세로장방</t>
        </is>
      </c>
      <c r="V192" s="3" t="inlineStr">
        <is>
          <t>중로한면</t>
        </is>
      </c>
    </row>
    <row r="193">
      <c r="A193" s="3" t="inlineStr">
        <is>
          <t>고운동 1070</t>
        </is>
      </c>
      <c r="B193" s="3" t="inlineStr">
        <is>
          <t>제1종전용주거지역</t>
        </is>
      </c>
      <c r="C193" s="3" t="inlineStr">
        <is>
          <t>대</t>
        </is>
      </c>
      <c r="D193" s="3" t="inlineStr">
        <is>
          <t>대</t>
        </is>
      </c>
      <c r="E193" s="3" t="inlineStr">
        <is>
          <t>매매</t>
        </is>
      </c>
      <c r="F193" s="4" t="n">
        <v>69000</v>
      </c>
      <c r="G193" s="4" t="n">
        <v>341</v>
      </c>
      <c r="H193" s="4" t="n">
        <v>103</v>
      </c>
      <c r="I193" s="5" t="n">
        <v>669.9</v>
      </c>
      <c r="J193" s="5" t="n">
        <v>330.5</v>
      </c>
      <c r="K193" s="3" t="inlineStr">
        <is>
          <t>필지 뒷편이 공원, 가락초,두루고와 근접, 아파트 단지상가와 가까움</t>
        </is>
      </c>
      <c r="L193" s="6">
        <f>HYPERLINK("https://fin.land.naver.com/articles/2654473718", "매물Link")</f>
        <v/>
      </c>
      <c r="M193" s="6">
        <f>HYPERLINK("https://map.naver.com/p/search/고운동 1070", "지도Link")</f>
        <v/>
      </c>
      <c r="N193" s="6">
        <f>HYPERLINK("http://www.eum.go.kr/web/ar/lu/luLandDet.jsp?pnu=3611011200110700000&amp;isNoScr=script&amp;mode=search", "토지이음")</f>
        <v/>
      </c>
      <c r="O193" s="3" t="inlineStr">
        <is>
          <t>국제</t>
        </is>
      </c>
      <c r="P193" s="4" t="n">
        <v>1</v>
      </c>
      <c r="Q193" s="4" t="n">
        <v>341</v>
      </c>
      <c r="R193" s="3" t="inlineStr">
        <is>
          <t>지정되지않음</t>
        </is>
      </c>
      <c r="S193" s="3" t="inlineStr">
        <is>
          <t>주거나지</t>
        </is>
      </c>
      <c r="T193" s="3" t="inlineStr">
        <is>
          <t>평지</t>
        </is>
      </c>
      <c r="U193" s="3" t="inlineStr">
        <is>
          <t>세로장방</t>
        </is>
      </c>
      <c r="V193" s="3" t="inlineStr">
        <is>
          <t>중로한면</t>
        </is>
      </c>
    </row>
    <row r="194">
      <c r="A194" s="3" t="inlineStr">
        <is>
          <t>고운동 1070</t>
        </is>
      </c>
      <c r="B194" s="3" t="inlineStr">
        <is>
          <t>제1종전용주거지역</t>
        </is>
      </c>
      <c r="C194" s="3" t="inlineStr">
        <is>
          <t>대</t>
        </is>
      </c>
      <c r="D194" s="3" t="inlineStr">
        <is>
          <t>대</t>
        </is>
      </c>
      <c r="E194" s="3" t="inlineStr">
        <is>
          <t>매매</t>
        </is>
      </c>
      <c r="F194" s="4" t="n">
        <v>69000</v>
      </c>
      <c r="G194" s="4" t="n">
        <v>341</v>
      </c>
      <c r="H194" s="4" t="n">
        <v>103</v>
      </c>
      <c r="I194" s="5" t="n">
        <v>669.9</v>
      </c>
      <c r="J194" s="5" t="n">
        <v>330.5</v>
      </c>
      <c r="K194" s="3" t="inlineStr">
        <is>
          <t>공원과 주차장 옆으로 입지 좋은 고운동 단독주택지</t>
        </is>
      </c>
      <c r="L194" s="6">
        <f>HYPERLINK("https://fin.land.naver.com/articles/2651189122", "매물Link")</f>
        <v/>
      </c>
      <c r="M194" s="6">
        <f>HYPERLINK("https://map.naver.com/p/search/고운동 1070", "지도Link")</f>
        <v/>
      </c>
      <c r="N194" s="6">
        <f>HYPERLINK("http://www.eum.go.kr/web/ar/lu/luLandDet.jsp?pnu=3611011200110700000&amp;isNoScr=script&amp;mode=search", "토지이음")</f>
        <v/>
      </c>
      <c r="O194" s="3" t="inlineStr">
        <is>
          <t>세종무지개</t>
        </is>
      </c>
      <c r="P194" s="4" t="n">
        <v>1</v>
      </c>
      <c r="Q194" s="4" t="n">
        <v>341</v>
      </c>
      <c r="R194" s="3" t="inlineStr">
        <is>
          <t>지정되지않음</t>
        </is>
      </c>
      <c r="S194" s="3" t="inlineStr">
        <is>
          <t>주거나지</t>
        </is>
      </c>
      <c r="T194" s="3" t="inlineStr">
        <is>
          <t>평지</t>
        </is>
      </c>
      <c r="U194" s="3" t="inlineStr">
        <is>
          <t>세로장방</t>
        </is>
      </c>
      <c r="V194" s="3" t="inlineStr">
        <is>
          <t>중로한면</t>
        </is>
      </c>
    </row>
    <row r="195">
      <c r="A195" s="3" t="inlineStr">
        <is>
          <t>고운동 1070</t>
        </is>
      </c>
      <c r="B195" s="3" t="inlineStr">
        <is>
          <t>제1종전용주거지역</t>
        </is>
      </c>
      <c r="C195" s="3" t="inlineStr">
        <is>
          <t>대</t>
        </is>
      </c>
      <c r="D195" s="3" t="inlineStr">
        <is>
          <t>대</t>
        </is>
      </c>
      <c r="E195" s="3" t="inlineStr">
        <is>
          <t>매매</t>
        </is>
      </c>
      <c r="F195" s="4" t="n">
        <v>69000</v>
      </c>
      <c r="G195" s="4" t="n">
        <v>341</v>
      </c>
      <c r="H195" s="4" t="n">
        <v>103</v>
      </c>
      <c r="I195" s="5" t="n">
        <v>669.9</v>
      </c>
      <c r="J195" s="5" t="n">
        <v>330.5</v>
      </c>
      <c r="K195" s="3" t="inlineStr">
        <is>
          <t>고운동 입지 좋은 단독주택 매매, 공원 근처</t>
        </is>
      </c>
      <c r="L195" s="6">
        <f>HYPERLINK("https://fin.land.naver.com/articles/2651901460", "매물Link")</f>
        <v/>
      </c>
      <c r="M195" s="6">
        <f>HYPERLINK("https://map.naver.com/p/search/고운동 1070", "지도Link")</f>
        <v/>
      </c>
      <c r="N195" s="6">
        <f>HYPERLINK("http://www.eum.go.kr/web/ar/lu/luLandDet.jsp?pnu=3611011200110700000&amp;isNoScr=script&amp;mode=search", "토지이음")</f>
        <v/>
      </c>
      <c r="O195" s="3" t="inlineStr">
        <is>
          <t>명진</t>
        </is>
      </c>
      <c r="P195" s="4" t="n">
        <v>1</v>
      </c>
      <c r="Q195" s="4" t="n">
        <v>341</v>
      </c>
      <c r="R195" s="3" t="inlineStr">
        <is>
          <t>지정되지않음</t>
        </is>
      </c>
      <c r="S195" s="3" t="inlineStr">
        <is>
          <t>주거나지</t>
        </is>
      </c>
      <c r="T195" s="3" t="inlineStr">
        <is>
          <t>평지</t>
        </is>
      </c>
      <c r="U195" s="3" t="inlineStr">
        <is>
          <t>세로장방</t>
        </is>
      </c>
      <c r="V195" s="3" t="inlineStr">
        <is>
          <t>중로한면</t>
        </is>
      </c>
    </row>
    <row r="196">
      <c r="A196" s="3" t="inlineStr">
        <is>
          <t>고운동 1072</t>
        </is>
      </c>
      <c r="B196" s="3" t="inlineStr">
        <is>
          <t>제1종전용주거지역</t>
        </is>
      </c>
      <c r="C196" s="3" t="inlineStr">
        <is>
          <t>대</t>
        </is>
      </c>
      <c r="D196" s="3" t="inlineStr">
        <is>
          <t>대</t>
        </is>
      </c>
      <c r="E196" s="3" t="inlineStr">
        <is>
          <t>매매</t>
        </is>
      </c>
      <c r="F196" s="4" t="n">
        <v>65000</v>
      </c>
      <c r="G196" s="4" t="n">
        <v>336</v>
      </c>
      <c r="H196" s="4" t="n">
        <v>102</v>
      </c>
      <c r="I196" s="5" t="n">
        <v>637.3</v>
      </c>
      <c r="J196" s="5" t="n">
        <v>346.4</v>
      </c>
      <c r="K196" s="3" t="inlineStr">
        <is>
          <t>급매위치좋은코너자리고운동학교 상권 이용편리</t>
        </is>
      </c>
      <c r="L196" s="6">
        <f>HYPERLINK("https://fin.land.naver.com/articles/2652006650", "매물Link")</f>
        <v/>
      </c>
      <c r="M196" s="6">
        <f>HYPERLINK("https://map.naver.com/p/search/고운동 1072", "지도Link")</f>
        <v/>
      </c>
      <c r="N196" s="6">
        <f>HYPERLINK("http://www.eum.go.kr/web/ar/lu/luLandDet.jsp?pnu=3611011200110720000&amp;isNoScr=script&amp;mode=search", "토지이음")</f>
        <v/>
      </c>
      <c r="O196" s="3" t="inlineStr">
        <is>
          <t>세종시토지</t>
        </is>
      </c>
      <c r="P196" s="4" t="n">
        <v>1</v>
      </c>
      <c r="Q196" s="4" t="n">
        <v>336.9</v>
      </c>
      <c r="R196" s="3" t="inlineStr">
        <is>
          <t>지정되지않음</t>
        </is>
      </c>
      <c r="S196" s="3" t="inlineStr">
        <is>
          <t>주거나지</t>
        </is>
      </c>
      <c r="T196" s="3" t="inlineStr">
        <is>
          <t>평지</t>
        </is>
      </c>
      <c r="U196" s="3" t="inlineStr">
        <is>
          <t>세로장방</t>
        </is>
      </c>
      <c r="V196" s="3" t="inlineStr">
        <is>
          <t>중로각지</t>
        </is>
      </c>
    </row>
    <row r="197">
      <c r="A197" s="3" t="inlineStr">
        <is>
          <t>고운동 1072</t>
        </is>
      </c>
      <c r="B197" s="3" t="inlineStr">
        <is>
          <t>제1종전용주거지역</t>
        </is>
      </c>
      <c r="C197" s="3" t="inlineStr">
        <is>
          <t>대</t>
        </is>
      </c>
      <c r="D197" s="3" t="inlineStr">
        <is>
          <t>대</t>
        </is>
      </c>
      <c r="E197" s="3" t="inlineStr">
        <is>
          <t>매매</t>
        </is>
      </c>
      <c r="F197" s="4" t="n">
        <v>65000</v>
      </c>
      <c r="G197" s="4" t="n">
        <v>336</v>
      </c>
      <c r="H197" s="4" t="n">
        <v>102</v>
      </c>
      <c r="I197" s="5" t="n">
        <v>637.3</v>
      </c>
      <c r="J197" s="5" t="n">
        <v>346.4</v>
      </c>
      <c r="K197" s="3" t="inlineStr">
        <is>
          <t>사거리 코너 각지 위치, 입지 좋은 토지매매</t>
        </is>
      </c>
      <c r="L197" s="6">
        <f>HYPERLINK("https://fin.land.naver.com/articles/2651778717", "매물Link")</f>
        <v/>
      </c>
      <c r="M197" s="6">
        <f>HYPERLINK("https://map.naver.com/p/search/고운동 1072", "지도Link")</f>
        <v/>
      </c>
      <c r="N197" s="6">
        <f>HYPERLINK("http://www.eum.go.kr/web/ar/lu/luLandDet.jsp?pnu=3611011200110720000&amp;isNoScr=script&amp;mode=search", "토지이음")</f>
        <v/>
      </c>
      <c r="O197" s="3" t="inlineStr">
        <is>
          <t>세종무지개</t>
        </is>
      </c>
      <c r="P197" s="4" t="n">
        <v>1</v>
      </c>
      <c r="Q197" s="4" t="n">
        <v>336.9</v>
      </c>
      <c r="R197" s="3" t="inlineStr">
        <is>
          <t>지정되지않음</t>
        </is>
      </c>
      <c r="S197" s="3" t="inlineStr">
        <is>
          <t>주거나지</t>
        </is>
      </c>
      <c r="T197" s="3" t="inlineStr">
        <is>
          <t>평지</t>
        </is>
      </c>
      <c r="U197" s="3" t="inlineStr">
        <is>
          <t>세로장방</t>
        </is>
      </c>
      <c r="V197" s="3" t="inlineStr">
        <is>
          <t>중로각지</t>
        </is>
      </c>
    </row>
    <row r="198">
      <c r="A198" s="3" t="inlineStr">
        <is>
          <t>고운동 1072</t>
        </is>
      </c>
      <c r="B198" s="3" t="inlineStr">
        <is>
          <t>제1종전용주거지역</t>
        </is>
      </c>
      <c r="C198" s="3" t="inlineStr">
        <is>
          <t>대</t>
        </is>
      </c>
      <c r="D198" s="3" t="inlineStr">
        <is>
          <t>대</t>
        </is>
      </c>
      <c r="E198" s="3" t="inlineStr">
        <is>
          <t>매매</t>
        </is>
      </c>
      <c r="F198" s="4" t="n">
        <v>65000</v>
      </c>
      <c r="G198" s="4" t="n">
        <v>336</v>
      </c>
      <c r="H198" s="4" t="n">
        <v>102</v>
      </c>
      <c r="I198" s="5" t="n">
        <v>637.3</v>
      </c>
      <c r="J198" s="5" t="n">
        <v>346.4</v>
      </c>
      <c r="K198" s="3" t="inlineStr">
        <is>
          <t>고운동 사거리 코너 각지 위치한 토지매매</t>
        </is>
      </c>
      <c r="L198" s="6">
        <f>HYPERLINK("https://fin.land.naver.com/articles/2651943645", "매물Link")</f>
        <v/>
      </c>
      <c r="M198" s="6">
        <f>HYPERLINK("https://map.naver.com/p/search/고운동 1072", "지도Link")</f>
        <v/>
      </c>
      <c r="N198" s="6">
        <f>HYPERLINK("http://www.eum.go.kr/web/ar/lu/luLandDet.jsp?pnu=3611011200110720000&amp;isNoScr=script&amp;mode=search", "토지이음")</f>
        <v/>
      </c>
      <c r="O198" s="3" t="inlineStr">
        <is>
          <t>명진</t>
        </is>
      </c>
      <c r="P198" s="4" t="n">
        <v>1</v>
      </c>
      <c r="Q198" s="4" t="n">
        <v>336.9</v>
      </c>
      <c r="R198" s="3" t="inlineStr">
        <is>
          <t>지정되지않음</t>
        </is>
      </c>
      <c r="S198" s="3" t="inlineStr">
        <is>
          <t>주거나지</t>
        </is>
      </c>
      <c r="T198" s="3" t="inlineStr">
        <is>
          <t>평지</t>
        </is>
      </c>
      <c r="U198" s="3" t="inlineStr">
        <is>
          <t>세로장방</t>
        </is>
      </c>
      <c r="V198" s="3" t="inlineStr">
        <is>
          <t>중로각지</t>
        </is>
      </c>
    </row>
    <row r="199">
      <c r="A199" s="3" t="inlineStr">
        <is>
          <t>고운동 1090</t>
        </is>
      </c>
      <c r="B199" s="3" t="inlineStr">
        <is>
          <t>제1종전용주거지역</t>
        </is>
      </c>
      <c r="C199" s="3" t="inlineStr">
        <is>
          <t>대</t>
        </is>
      </c>
      <c r="D199" s="3" t="inlineStr">
        <is>
          <t>대</t>
        </is>
      </c>
      <c r="E199" s="3" t="inlineStr">
        <is>
          <t>매매</t>
        </is>
      </c>
      <c r="F199" s="4" t="n">
        <v>43000</v>
      </c>
      <c r="G199" s="4" t="n">
        <v>331</v>
      </c>
      <c r="H199" s="4" t="n">
        <v>100</v>
      </c>
      <c r="I199" s="5" t="n">
        <v>430</v>
      </c>
      <c r="J199" s="5" t="n">
        <v>320.9</v>
      </c>
      <c r="K199" s="3" t="inlineStr">
        <is>
          <t>급매 3면코너 위치최상 보행로접함 경사지</t>
        </is>
      </c>
      <c r="L199" s="6">
        <f>HYPERLINK("https://fin.land.naver.com/articles/2651086856", "매물Link")</f>
        <v/>
      </c>
      <c r="M199" s="6">
        <f>HYPERLINK("https://map.naver.com/p/search/고운동 1090", "지도Link")</f>
        <v/>
      </c>
      <c r="N199" s="6">
        <f>HYPERLINK("http://www.eum.go.kr/web/ar/lu/luLandDet.jsp?pnu=3611011200110900000&amp;isNoScr=script&amp;mode=search", "토지이음")</f>
        <v/>
      </c>
      <c r="O199" s="3" t="inlineStr">
        <is>
          <t>세종스타</t>
        </is>
      </c>
      <c r="P199" s="4" t="n">
        <v>1</v>
      </c>
      <c r="Q199" s="4" t="n">
        <v>331.5</v>
      </c>
      <c r="R199" s="3" t="inlineStr">
        <is>
          <t>지정되지않음</t>
        </is>
      </c>
      <c r="S199" s="3" t="inlineStr">
        <is>
          <t>주거나지</t>
        </is>
      </c>
      <c r="T199" s="3" t="inlineStr">
        <is>
          <t>평지</t>
        </is>
      </c>
      <c r="U199" s="3" t="inlineStr">
        <is>
          <t>정방형</t>
        </is>
      </c>
      <c r="V199" s="3" t="inlineStr">
        <is>
          <t>소로각지</t>
        </is>
      </c>
    </row>
    <row r="200">
      <c r="A200" s="3" t="inlineStr">
        <is>
          <t>고운동 1093</t>
        </is>
      </c>
      <c r="B200" s="3" t="inlineStr">
        <is>
          <t>제1종전용주거지역</t>
        </is>
      </c>
      <c r="C200" s="3" t="inlineStr">
        <is>
          <t>대</t>
        </is>
      </c>
      <c r="D200" s="3" t="inlineStr">
        <is>
          <t>대</t>
        </is>
      </c>
      <c r="E200" s="3" t="inlineStr">
        <is>
          <t>매매</t>
        </is>
      </c>
      <c r="F200" s="4" t="n">
        <v>43500</v>
      </c>
      <c r="G200" s="4" t="n">
        <v>338</v>
      </c>
      <c r="H200" s="4" t="n">
        <v>102</v>
      </c>
      <c r="I200" s="5" t="n">
        <v>426.5</v>
      </c>
      <c r="J200" s="5" t="n">
        <v>346.4</v>
      </c>
      <c r="K200" s="3" t="inlineStr">
        <is>
          <t>급매, 조정가, 공원앞으로 상권 학교 이용편리</t>
        </is>
      </c>
      <c r="L200" s="6">
        <f>HYPERLINK("https://fin.land.naver.com/articles/2653643957", "매물Link")</f>
        <v/>
      </c>
      <c r="M200" s="6">
        <f>HYPERLINK("https://map.naver.com/p/search/고운동 1093", "지도Link")</f>
        <v/>
      </c>
      <c r="N200" s="6">
        <f>HYPERLINK("http://www.eum.go.kr/web/ar/lu/luLandDet.jsp?pnu=3611011200110930000&amp;isNoScr=script&amp;mode=search", "토지이음")</f>
        <v/>
      </c>
      <c r="O200" s="3" t="inlineStr">
        <is>
          <t>고운동리치세종</t>
        </is>
      </c>
      <c r="P200" s="4" t="n">
        <v>1</v>
      </c>
      <c r="Q200" s="4" t="n">
        <v>338.9</v>
      </c>
      <c r="R200" s="3" t="inlineStr">
        <is>
          <t>지정되지않음</t>
        </is>
      </c>
      <c r="S200" s="3" t="inlineStr">
        <is>
          <t>주거나지</t>
        </is>
      </c>
      <c r="T200" s="3" t="inlineStr">
        <is>
          <t>평지</t>
        </is>
      </c>
      <c r="U200" s="3" t="inlineStr">
        <is>
          <t>정방형</t>
        </is>
      </c>
      <c r="V200" s="3" t="inlineStr">
        <is>
          <t>중로각지</t>
        </is>
      </c>
    </row>
    <row r="201">
      <c r="A201" s="3" t="inlineStr">
        <is>
          <t>고운동 1105</t>
        </is>
      </c>
      <c r="B201" s="3" t="inlineStr">
        <is>
          <t>제1종전용주거지역</t>
        </is>
      </c>
      <c r="C201" s="3" t="inlineStr">
        <is>
          <t>대</t>
        </is>
      </c>
      <c r="D201" s="3" t="inlineStr">
        <is>
          <t>대</t>
        </is>
      </c>
      <c r="E201" s="3" t="inlineStr">
        <is>
          <t>매매</t>
        </is>
      </c>
      <c r="F201" s="4" t="n">
        <v>60000</v>
      </c>
      <c r="G201" s="4" t="n">
        <v>364</v>
      </c>
      <c r="H201" s="4" t="n">
        <v>110</v>
      </c>
      <c r="I201" s="5" t="n">
        <v>545.5</v>
      </c>
      <c r="J201" s="5" t="n">
        <v>346.4</v>
      </c>
      <c r="K201" s="3" t="inlineStr">
        <is>
          <t>코너자리로 입지최고 고운동학교 상권이용편리 가격조정가능</t>
        </is>
      </c>
      <c r="L201" s="6">
        <f>HYPERLINK("https://fin.land.naver.com/articles/2651803985", "매물Link")</f>
        <v/>
      </c>
      <c r="M201" s="6">
        <f>HYPERLINK("https://map.naver.com/p/search/고운동 1105", "지도Link")</f>
        <v/>
      </c>
      <c r="N201" s="6">
        <f>HYPERLINK("http://www.eum.go.kr/web/ar/lu/luLandDet.jsp?pnu=3611011200111050000&amp;isNoScr=script&amp;mode=search", "토지이음")</f>
        <v/>
      </c>
      <c r="O201" s="3" t="inlineStr">
        <is>
          <t>고운동리치세종</t>
        </is>
      </c>
      <c r="P201" s="4" t="n">
        <v>2</v>
      </c>
      <c r="Q201" s="4" t="n">
        <v>360.9</v>
      </c>
      <c r="R201" s="3" t="inlineStr">
        <is>
          <t>지정되지않음</t>
        </is>
      </c>
      <c r="S201" s="3" t="inlineStr">
        <is>
          <t>주거나지</t>
        </is>
      </c>
      <c r="T201" s="3" t="inlineStr">
        <is>
          <t>평지</t>
        </is>
      </c>
      <c r="U201" s="3" t="inlineStr">
        <is>
          <t>정방형</t>
        </is>
      </c>
      <c r="V201" s="3" t="inlineStr">
        <is>
          <t>중로각지</t>
        </is>
      </c>
    </row>
    <row r="202">
      <c r="A202" s="3" t="inlineStr">
        <is>
          <t>고운동 1105</t>
        </is>
      </c>
      <c r="B202" s="3" t="inlineStr">
        <is>
          <t>제1종전용주거지역</t>
        </is>
      </c>
      <c r="C202" s="3" t="inlineStr">
        <is>
          <t>대</t>
        </is>
      </c>
      <c r="D202" s="3" t="inlineStr">
        <is>
          <t>대</t>
        </is>
      </c>
      <c r="E202" s="3" t="inlineStr">
        <is>
          <t>매매</t>
        </is>
      </c>
      <c r="F202" s="4" t="n">
        <v>60000</v>
      </c>
      <c r="G202" s="4" t="n">
        <v>360</v>
      </c>
      <c r="H202" s="4" t="n">
        <v>109</v>
      </c>
      <c r="I202" s="5" t="n">
        <v>550.5</v>
      </c>
      <c r="J202" s="5" t="n">
        <v>346.4</v>
      </c>
      <c r="K202" s="3" t="inlineStr">
        <is>
          <t>학교 인근 입지 좋은 토지, 사거리 코너</t>
        </is>
      </c>
      <c r="L202" s="6">
        <f>HYPERLINK("https://fin.land.naver.com/articles/2651904310", "매물Link")</f>
        <v/>
      </c>
      <c r="M202" s="6">
        <f>HYPERLINK("https://map.naver.com/p/search/고운동 1105", "지도Link")</f>
        <v/>
      </c>
      <c r="N202" s="6">
        <f>HYPERLINK("http://www.eum.go.kr/web/ar/lu/luLandDet.jsp?pnu=3611011200111050000&amp;isNoScr=script&amp;mode=search", "토지이음")</f>
        <v/>
      </c>
      <c r="O202" s="3" t="inlineStr">
        <is>
          <t>명진</t>
        </is>
      </c>
      <c r="P202" s="4" t="n">
        <v>1</v>
      </c>
      <c r="Q202" s="4" t="n">
        <v>360.9</v>
      </c>
      <c r="R202" s="3" t="inlineStr">
        <is>
          <t>지정되지않음</t>
        </is>
      </c>
      <c r="S202" s="3" t="inlineStr">
        <is>
          <t>주거나지</t>
        </is>
      </c>
      <c r="T202" s="3" t="inlineStr">
        <is>
          <t>평지</t>
        </is>
      </c>
      <c r="U202" s="3" t="inlineStr">
        <is>
          <t>정방형</t>
        </is>
      </c>
      <c r="V202" s="3" t="inlineStr">
        <is>
          <t>중로각지</t>
        </is>
      </c>
    </row>
    <row r="203">
      <c r="A203" s="3" t="inlineStr">
        <is>
          <t>고운동 1105</t>
        </is>
      </c>
      <c r="B203" s="3" t="inlineStr">
        <is>
          <t>제1종전용주거지역</t>
        </is>
      </c>
      <c r="C203" s="3" t="inlineStr">
        <is>
          <t>대</t>
        </is>
      </c>
      <c r="D203" s="3" t="inlineStr">
        <is>
          <t>대</t>
        </is>
      </c>
      <c r="E203" s="3" t="inlineStr">
        <is>
          <t>매매</t>
        </is>
      </c>
      <c r="F203" s="4" t="n">
        <v>60000</v>
      </c>
      <c r="G203" s="4" t="n">
        <v>360</v>
      </c>
      <c r="H203" s="4" t="n">
        <v>109</v>
      </c>
      <c r="I203" s="5" t="n">
        <v>550.5</v>
      </c>
      <c r="J203" s="5" t="n">
        <v>346.4</v>
      </c>
      <c r="K203" s="3" t="inlineStr">
        <is>
          <t>사거리 코너, 입지 좋은 토지, 3면 각지, 전원주택지 토지매매</t>
        </is>
      </c>
      <c r="L203" s="6">
        <f>HYPERLINK("https://fin.land.naver.com/articles/2651189033", "매물Link")</f>
        <v/>
      </c>
      <c r="M203" s="6">
        <f>HYPERLINK("https://map.naver.com/p/search/고운동 1105", "지도Link")</f>
        <v/>
      </c>
      <c r="N203" s="6">
        <f>HYPERLINK("http://www.eum.go.kr/web/ar/lu/luLandDet.jsp?pnu=3611011200111050000&amp;isNoScr=script&amp;mode=search", "토지이음")</f>
        <v/>
      </c>
      <c r="O203" s="3" t="inlineStr">
        <is>
          <t>세종무지개</t>
        </is>
      </c>
      <c r="P203" s="4" t="n">
        <v>1</v>
      </c>
      <c r="Q203" s="4" t="n">
        <v>360.9</v>
      </c>
      <c r="R203" s="3" t="inlineStr">
        <is>
          <t>지정되지않음</t>
        </is>
      </c>
      <c r="S203" s="3" t="inlineStr">
        <is>
          <t>주거나지</t>
        </is>
      </c>
      <c r="T203" s="3" t="inlineStr">
        <is>
          <t>평지</t>
        </is>
      </c>
      <c r="U203" s="3" t="inlineStr">
        <is>
          <t>정방형</t>
        </is>
      </c>
      <c r="V203" s="3" t="inlineStr">
        <is>
          <t>중로각지</t>
        </is>
      </c>
    </row>
    <row r="204">
      <c r="A204" s="3" t="inlineStr">
        <is>
          <t>고운동 1109</t>
        </is>
      </c>
      <c r="B204" s="3" t="inlineStr">
        <is>
          <t>제1종전용주거지역</t>
        </is>
      </c>
      <c r="C204" s="3" t="inlineStr">
        <is>
          <t>대</t>
        </is>
      </c>
      <c r="D204" s="3" t="inlineStr">
        <is>
          <t>대</t>
        </is>
      </c>
      <c r="E204" s="3" t="inlineStr">
        <is>
          <t>매매</t>
        </is>
      </c>
      <c r="F204" s="4" t="n">
        <v>50000</v>
      </c>
      <c r="G204" s="4" t="n">
        <v>330</v>
      </c>
      <c r="H204" s="4" t="n">
        <v>100</v>
      </c>
      <c r="I204" s="5" t="n">
        <v>500</v>
      </c>
      <c r="J204" s="5" t="n">
        <v>346.4</v>
      </c>
      <c r="K204" s="3" t="inlineStr">
        <is>
          <t>nan</t>
        </is>
      </c>
      <c r="L204" s="6">
        <f>HYPERLINK("https://fin.land.naver.com/articles/2649599583", "매물Link")</f>
        <v/>
      </c>
      <c r="M204" s="6">
        <f>HYPERLINK("https://map.naver.com/p/search/고운동 1109", "지도Link")</f>
        <v/>
      </c>
      <c r="N204" s="6">
        <f>HYPERLINK("http://www.eum.go.kr/web/ar/lu/luLandDet.jsp?pnu=3611011200111090000&amp;isNoScr=script&amp;mode=search", "토지이음")</f>
        <v/>
      </c>
      <c r="O204" s="3" t="inlineStr">
        <is>
          <t>성훈</t>
        </is>
      </c>
      <c r="P204" s="4" t="n">
        <v>1</v>
      </c>
      <c r="Q204" s="4" t="n">
        <v>330</v>
      </c>
      <c r="R204" s="3" t="inlineStr">
        <is>
          <t>지정되지않음</t>
        </is>
      </c>
      <c r="S204" s="3" t="inlineStr">
        <is>
          <t>주거나지</t>
        </is>
      </c>
      <c r="T204" s="3" t="inlineStr">
        <is>
          <t>평지</t>
        </is>
      </c>
      <c r="U204" s="3" t="inlineStr">
        <is>
          <t>세로장방</t>
        </is>
      </c>
      <c r="V204" s="3" t="inlineStr">
        <is>
          <t>중로각지</t>
        </is>
      </c>
    </row>
    <row r="205">
      <c r="A205" s="3" t="inlineStr">
        <is>
          <t>고운동 1138</t>
        </is>
      </c>
      <c r="B205" s="3" t="inlineStr">
        <is>
          <t>제1종전용주거지역</t>
        </is>
      </c>
      <c r="C205" s="3" t="inlineStr">
        <is>
          <t>대</t>
        </is>
      </c>
      <c r="D205" s="3" t="inlineStr">
        <is>
          <t>대</t>
        </is>
      </c>
      <c r="E205" s="3" t="inlineStr">
        <is>
          <t>매매</t>
        </is>
      </c>
      <c r="F205" s="4" t="n">
        <v>60000</v>
      </c>
      <c r="G205" s="4" t="n">
        <v>361</v>
      </c>
      <c r="H205" s="4" t="n">
        <v>109</v>
      </c>
      <c r="I205" s="5" t="n">
        <v>550.5</v>
      </c>
      <c r="J205" s="5" t="n">
        <v>308</v>
      </c>
      <c r="K205" s="3" t="inlineStr">
        <is>
          <t>nan</t>
        </is>
      </c>
      <c r="L205" s="6">
        <f>HYPERLINK("https://fin.land.naver.com/articles/2651033529", "매물Link")</f>
        <v/>
      </c>
      <c r="M205" s="6">
        <f>HYPERLINK("https://map.naver.com/p/search/고운동 1138", "지도Link")</f>
        <v/>
      </c>
      <c r="N205" s="6">
        <f>HYPERLINK("http://www.eum.go.kr/web/ar/lu/luLandDet.jsp?pnu=3611011200111380000&amp;isNoScr=script&amp;mode=search", "토지이음")</f>
        <v/>
      </c>
      <c r="O205" s="3" t="inlineStr">
        <is>
          <t>디아트성심</t>
        </is>
      </c>
      <c r="P205" s="4" t="n">
        <v>1</v>
      </c>
      <c r="Q205" s="4" t="n">
        <v>361.6</v>
      </c>
      <c r="R205" s="3" t="inlineStr">
        <is>
          <t>지정되지않음</t>
        </is>
      </c>
      <c r="S205" s="3" t="inlineStr">
        <is>
          <t>주거나지</t>
        </is>
      </c>
      <c r="T205" s="3" t="inlineStr">
        <is>
          <t>평지</t>
        </is>
      </c>
      <c r="U205" s="3" t="inlineStr">
        <is>
          <t>정방형</t>
        </is>
      </c>
      <c r="V205" s="3" t="inlineStr">
        <is>
          <t>소로한면</t>
        </is>
      </c>
    </row>
    <row r="206">
      <c r="A206" s="3" t="inlineStr">
        <is>
          <t>고운동 1142</t>
        </is>
      </c>
      <c r="B206" s="3" t="inlineStr">
        <is>
          <t>제1종전용주거지역</t>
        </is>
      </c>
      <c r="C206" s="3" t="inlineStr">
        <is>
          <t>대</t>
        </is>
      </c>
      <c r="D206" s="3" t="inlineStr">
        <is>
          <t>대</t>
        </is>
      </c>
      <c r="E206" s="3" t="inlineStr">
        <is>
          <t>매매</t>
        </is>
      </c>
      <c r="F206" s="4" t="n">
        <v>60000</v>
      </c>
      <c r="G206" s="4" t="n">
        <v>345</v>
      </c>
      <c r="H206" s="4" t="n">
        <v>104</v>
      </c>
      <c r="I206" s="5" t="n">
        <v>576.9</v>
      </c>
      <c r="J206" s="5" t="n">
        <v>304.8</v>
      </c>
      <c r="K206" s="3" t="inlineStr">
        <is>
          <t>nan</t>
        </is>
      </c>
      <c r="L206" s="6">
        <f>HYPERLINK("https://fin.land.naver.com/articles/2651033947", "매물Link")</f>
        <v/>
      </c>
      <c r="M206" s="6">
        <f>HYPERLINK("https://map.naver.com/p/search/고운동 1142", "지도Link")</f>
        <v/>
      </c>
      <c r="N206" s="6">
        <f>HYPERLINK("http://www.eum.go.kr/web/ar/lu/luLandDet.jsp?pnu=3611011200111420000&amp;isNoScr=script&amp;mode=search", "토지이음")</f>
        <v/>
      </c>
      <c r="O206" s="3" t="inlineStr">
        <is>
          <t>디아트성심</t>
        </is>
      </c>
      <c r="P206" s="4" t="n">
        <v>1</v>
      </c>
      <c r="Q206" s="4" t="n">
        <v>344.6</v>
      </c>
      <c r="R206" s="3" t="inlineStr">
        <is>
          <t>지정되지않음</t>
        </is>
      </c>
      <c r="S206" s="3" t="inlineStr">
        <is>
          <t>주거나지</t>
        </is>
      </c>
      <c r="T206" s="3" t="inlineStr">
        <is>
          <t>평지</t>
        </is>
      </c>
      <c r="U206" s="3" t="inlineStr">
        <is>
          <t>사다리형</t>
        </is>
      </c>
      <c r="V206" s="3" t="inlineStr">
        <is>
          <t>소로한면</t>
        </is>
      </c>
    </row>
    <row r="207">
      <c r="A207" s="3" t="inlineStr">
        <is>
          <t>고운동 1142</t>
        </is>
      </c>
      <c r="B207" s="3" t="inlineStr">
        <is>
          <t>제1종전용주거지역</t>
        </is>
      </c>
      <c r="C207" s="3" t="inlineStr">
        <is>
          <t>대</t>
        </is>
      </c>
      <c r="D207" s="3" t="inlineStr">
        <is>
          <t>대</t>
        </is>
      </c>
      <c r="E207" s="3" t="inlineStr">
        <is>
          <t>매매</t>
        </is>
      </c>
      <c r="F207" s="4" t="n">
        <v>52000</v>
      </c>
      <c r="G207" s="4" t="n">
        <v>343</v>
      </c>
      <c r="H207" s="4" t="n">
        <v>104</v>
      </c>
      <c r="I207" s="5" t="n">
        <v>500</v>
      </c>
      <c r="J207" s="5" t="n">
        <v>304.8</v>
      </c>
      <c r="K207" s="3" t="inlineStr">
        <is>
          <t>두루고 앞, 고운동 단독주택지 매매</t>
        </is>
      </c>
      <c r="L207" s="6">
        <f>HYPERLINK("https://fin.land.naver.com/articles/2651776855", "매물Link")</f>
        <v/>
      </c>
      <c r="M207" s="6">
        <f>HYPERLINK("https://map.naver.com/p/search/고운동 1142", "지도Link")</f>
        <v/>
      </c>
      <c r="N207" s="6">
        <f>HYPERLINK("http://www.eum.go.kr/web/ar/lu/luLandDet.jsp?pnu=3611011200111420000&amp;isNoScr=script&amp;mode=search", "토지이음")</f>
        <v/>
      </c>
      <c r="O207" s="3" t="inlineStr">
        <is>
          <t>세종무지개</t>
        </is>
      </c>
      <c r="P207" s="4" t="n">
        <v>1</v>
      </c>
      <c r="Q207" s="4" t="n">
        <v>344.6</v>
      </c>
      <c r="R207" s="3" t="inlineStr">
        <is>
          <t>지정되지않음</t>
        </is>
      </c>
      <c r="S207" s="3" t="inlineStr">
        <is>
          <t>주거나지</t>
        </is>
      </c>
      <c r="T207" s="3" t="inlineStr">
        <is>
          <t>평지</t>
        </is>
      </c>
      <c r="U207" s="3" t="inlineStr">
        <is>
          <t>사다리형</t>
        </is>
      </c>
      <c r="V207" s="3" t="inlineStr">
        <is>
          <t>소로한면</t>
        </is>
      </c>
    </row>
    <row r="208">
      <c r="A208" s="3" t="inlineStr">
        <is>
          <t>고운동 1142</t>
        </is>
      </c>
      <c r="B208" s="3" t="inlineStr">
        <is>
          <t>제1종전용주거지역</t>
        </is>
      </c>
      <c r="C208" s="3" t="inlineStr">
        <is>
          <t>대</t>
        </is>
      </c>
      <c r="D208" s="3" t="inlineStr">
        <is>
          <t>대</t>
        </is>
      </c>
      <c r="E208" s="3" t="inlineStr">
        <is>
          <t>매매</t>
        </is>
      </c>
      <c r="F208" s="4" t="n">
        <v>52000</v>
      </c>
      <c r="G208" s="4" t="n">
        <v>343</v>
      </c>
      <c r="H208" s="4" t="n">
        <v>104</v>
      </c>
      <c r="I208" s="5" t="n">
        <v>500</v>
      </c>
      <c r="J208" s="5" t="n">
        <v>304.8</v>
      </c>
      <c r="K208" s="3" t="inlineStr">
        <is>
          <t>고운동 단독주택지 매매, 두루고 인근, 위치 추천</t>
        </is>
      </c>
      <c r="L208" s="6">
        <f>HYPERLINK("https://fin.land.naver.com/articles/2651940575", "매물Link")</f>
        <v/>
      </c>
      <c r="M208" s="6">
        <f>HYPERLINK("https://map.naver.com/p/search/고운동 1142", "지도Link")</f>
        <v/>
      </c>
      <c r="N208" s="6">
        <f>HYPERLINK("http://www.eum.go.kr/web/ar/lu/luLandDet.jsp?pnu=3611011200111420000&amp;isNoScr=script&amp;mode=search", "토지이음")</f>
        <v/>
      </c>
      <c r="O208" s="3" t="inlineStr">
        <is>
          <t>명진</t>
        </is>
      </c>
      <c r="P208" s="4" t="n">
        <v>1</v>
      </c>
      <c r="Q208" s="4" t="n">
        <v>344.6</v>
      </c>
      <c r="R208" s="3" t="inlineStr">
        <is>
          <t>지정되지않음</t>
        </is>
      </c>
      <c r="S208" s="3" t="inlineStr">
        <is>
          <t>주거나지</t>
        </is>
      </c>
      <c r="T208" s="3" t="inlineStr">
        <is>
          <t>평지</t>
        </is>
      </c>
      <c r="U208" s="3" t="inlineStr">
        <is>
          <t>사다리형</t>
        </is>
      </c>
      <c r="V208" s="3" t="inlineStr">
        <is>
          <t>소로한면</t>
        </is>
      </c>
    </row>
    <row r="209">
      <c r="A209" s="3" t="inlineStr">
        <is>
          <t>고운동 1142</t>
        </is>
      </c>
      <c r="B209" s="3" t="inlineStr">
        <is>
          <t>제1종전용주거지역</t>
        </is>
      </c>
      <c r="C209" s="3" t="inlineStr">
        <is>
          <t>대</t>
        </is>
      </c>
      <c r="D209" s="3" t="inlineStr">
        <is>
          <t>대</t>
        </is>
      </c>
      <c r="E209" s="3" t="inlineStr">
        <is>
          <t>매매</t>
        </is>
      </c>
      <c r="F209" s="4" t="n">
        <v>52000</v>
      </c>
      <c r="G209" s="4" t="n">
        <v>343</v>
      </c>
      <c r="H209" s="4" t="n">
        <v>104</v>
      </c>
      <c r="I209" s="5" t="n">
        <v>500</v>
      </c>
      <c r="J209" s="5" t="n">
        <v>304.8</v>
      </c>
      <c r="K209" s="3" t="inlineStr">
        <is>
          <t>o택지추천o 두루고 가락초 인근. 남향. 네모 반듯.</t>
        </is>
      </c>
      <c r="L209" s="6">
        <f>HYPERLINK("https://fin.land.naver.com/articles/2652096465", "매물Link")</f>
        <v/>
      </c>
      <c r="M209" s="6">
        <f>HYPERLINK("https://map.naver.com/p/search/고운동 1142", "지도Link")</f>
        <v/>
      </c>
      <c r="N209" s="6">
        <f>HYPERLINK("http://www.eum.go.kr/web/ar/lu/luLandDet.jsp?pnu=3611011200111420000&amp;isNoScr=script&amp;mode=search", "토지이음")</f>
        <v/>
      </c>
      <c r="O209" s="3" t="inlineStr">
        <is>
          <t>세종썬</t>
        </is>
      </c>
      <c r="P209" s="4" t="n">
        <v>3</v>
      </c>
      <c r="Q209" s="4" t="n">
        <v>344.6</v>
      </c>
      <c r="R209" s="3" t="inlineStr">
        <is>
          <t>지정되지않음</t>
        </is>
      </c>
      <c r="S209" s="3" t="inlineStr">
        <is>
          <t>주거나지</t>
        </is>
      </c>
      <c r="T209" s="3" t="inlineStr">
        <is>
          <t>평지</t>
        </is>
      </c>
      <c r="U209" s="3" t="inlineStr">
        <is>
          <t>사다리형</t>
        </is>
      </c>
      <c r="V209" s="3" t="inlineStr">
        <is>
          <t>소로한면</t>
        </is>
      </c>
    </row>
    <row r="210">
      <c r="A210" s="3" t="inlineStr">
        <is>
          <t>고운동 1145</t>
        </is>
      </c>
      <c r="B210" s="3" t="inlineStr">
        <is>
          <t>제1종전용주거지역</t>
        </is>
      </c>
      <c r="C210" s="3" t="inlineStr">
        <is>
          <t>대</t>
        </is>
      </c>
      <c r="D210" s="3" t="inlineStr">
        <is>
          <t>대</t>
        </is>
      </c>
      <c r="E210" s="3" t="inlineStr">
        <is>
          <t>매매</t>
        </is>
      </c>
      <c r="F210" s="4" t="n">
        <v>80000</v>
      </c>
      <c r="G210" s="4" t="n">
        <v>383</v>
      </c>
      <c r="H210" s="4" t="n">
        <v>116</v>
      </c>
      <c r="I210" s="5" t="n">
        <v>689.7</v>
      </c>
      <c r="J210" s="5" t="n">
        <v>279.2</v>
      </c>
      <c r="K210" s="3" t="inlineStr">
        <is>
          <t>고운동북측 전용주택지 , 상권,학교 인접 생활인프라 좋음.</t>
        </is>
      </c>
      <c r="L210" s="6">
        <f>HYPERLINK("https://fin.land.naver.com/articles/2653378922", "매물Link")</f>
        <v/>
      </c>
      <c r="M210" s="6">
        <f>HYPERLINK("https://map.naver.com/p/search/고운동 1145", "지도Link")</f>
        <v/>
      </c>
      <c r="N210" s="6">
        <f>HYPERLINK("http://www.eum.go.kr/web/ar/lu/luLandDet.jsp?pnu=3611011200111450000&amp;isNoScr=script&amp;mode=search", "토지이음")</f>
        <v/>
      </c>
      <c r="O210" s="3" t="inlineStr">
        <is>
          <t>세종만세</t>
        </is>
      </c>
      <c r="P210" s="4" t="n">
        <v>1</v>
      </c>
      <c r="Q210" s="4" t="n">
        <v>383.2</v>
      </c>
      <c r="R210" s="3" t="inlineStr">
        <is>
          <t>지정되지않음</t>
        </is>
      </c>
      <c r="S210" s="3" t="inlineStr">
        <is>
          <t>주거나지</t>
        </is>
      </c>
      <c r="T210" s="3" t="inlineStr">
        <is>
          <t>평지</t>
        </is>
      </c>
      <c r="U210" s="3" t="inlineStr">
        <is>
          <t>정방형</t>
        </is>
      </c>
      <c r="V210" s="3" t="inlineStr">
        <is>
          <t>세로한면(가)</t>
        </is>
      </c>
    </row>
    <row r="211">
      <c r="A211" s="3" t="inlineStr">
        <is>
          <t>고운동 1179</t>
        </is>
      </c>
      <c r="B211" s="3" t="inlineStr">
        <is>
          <t>제1종전용주거지역</t>
        </is>
      </c>
      <c r="C211" s="3" t="inlineStr">
        <is>
          <t>대</t>
        </is>
      </c>
      <c r="D211" s="3" t="inlineStr">
        <is>
          <t>대</t>
        </is>
      </c>
      <c r="E211" s="3" t="inlineStr">
        <is>
          <t>매매</t>
        </is>
      </c>
      <c r="F211" s="4" t="n">
        <v>45000</v>
      </c>
      <c r="G211" s="4" t="n">
        <v>332</v>
      </c>
      <c r="H211" s="4" t="n">
        <v>100</v>
      </c>
      <c r="I211" s="5" t="n">
        <v>450</v>
      </c>
      <c r="J211" s="5" t="n">
        <v>308</v>
      </c>
      <c r="K211" s="3" t="inlineStr">
        <is>
          <t>상가근접한 입지좋은택지,</t>
        </is>
      </c>
      <c r="L211" s="6">
        <f>HYPERLINK("https://fin.land.naver.com/articles/2653085815", "매물Link")</f>
        <v/>
      </c>
      <c r="M211" s="6">
        <f>HYPERLINK("https://map.naver.com/p/search/고운동 1179", "지도Link")</f>
        <v/>
      </c>
      <c r="N211" s="6">
        <f>HYPERLINK("http://www.eum.go.kr/web/ar/lu/luLandDet.jsp?pnu=3611011200111790000&amp;isNoScr=script&amp;mode=search", "토지이음")</f>
        <v/>
      </c>
      <c r="O211" s="3" t="inlineStr">
        <is>
          <t>세종황소</t>
        </is>
      </c>
      <c r="P211" s="4" t="n">
        <v>2</v>
      </c>
      <c r="Q211" s="4" t="n">
        <v>332.1</v>
      </c>
      <c r="R211" s="3" t="inlineStr">
        <is>
          <t>지정되지않음</t>
        </is>
      </c>
      <c r="S211" s="3" t="inlineStr">
        <is>
          <t>주거나지</t>
        </is>
      </c>
      <c r="T211" s="3" t="inlineStr">
        <is>
          <t>평지</t>
        </is>
      </c>
      <c r="U211" s="3" t="inlineStr">
        <is>
          <t>정방형</t>
        </is>
      </c>
      <c r="V211" s="3" t="inlineStr">
        <is>
          <t>소로한면</t>
        </is>
      </c>
    </row>
    <row r="212">
      <c r="A212" s="3" t="inlineStr">
        <is>
          <t>고운동 1179</t>
        </is>
      </c>
      <c r="B212" s="3" t="inlineStr">
        <is>
          <t>제1종전용주거지역</t>
        </is>
      </c>
      <c r="C212" s="3" t="inlineStr">
        <is>
          <t>대</t>
        </is>
      </c>
      <c r="D212" s="3" t="inlineStr">
        <is>
          <t>대</t>
        </is>
      </c>
      <c r="E212" s="3" t="inlineStr">
        <is>
          <t>매매</t>
        </is>
      </c>
      <c r="F212" s="4" t="n">
        <v>45000</v>
      </c>
      <c r="G212" s="4" t="n">
        <v>332</v>
      </c>
      <c r="H212" s="4" t="n">
        <v>100</v>
      </c>
      <c r="I212" s="5" t="n">
        <v>450</v>
      </c>
      <c r="J212" s="5" t="n">
        <v>308</v>
      </c>
      <c r="K212" s="3" t="inlineStr">
        <is>
          <t>급매, 고운동 입지 좋은 단독주택지</t>
        </is>
      </c>
      <c r="L212" s="6">
        <f>HYPERLINK("https://fin.land.naver.com/articles/2651944037", "매물Link")</f>
        <v/>
      </c>
      <c r="M212" s="6">
        <f>HYPERLINK("https://map.naver.com/p/search/고운동 1179", "지도Link")</f>
        <v/>
      </c>
      <c r="N212" s="6">
        <f>HYPERLINK("http://www.eum.go.kr/web/ar/lu/luLandDet.jsp?pnu=3611011200111790000&amp;isNoScr=script&amp;mode=search", "토지이음")</f>
        <v/>
      </c>
      <c r="O212" s="3" t="inlineStr">
        <is>
          <t>명진</t>
        </is>
      </c>
      <c r="P212" s="4" t="n">
        <v>1</v>
      </c>
      <c r="Q212" s="4" t="n">
        <v>332.1</v>
      </c>
      <c r="R212" s="3" t="inlineStr">
        <is>
          <t>지정되지않음</t>
        </is>
      </c>
      <c r="S212" s="3" t="inlineStr">
        <is>
          <t>주거나지</t>
        </is>
      </c>
      <c r="T212" s="3" t="inlineStr">
        <is>
          <t>평지</t>
        </is>
      </c>
      <c r="U212" s="3" t="inlineStr">
        <is>
          <t>정방형</t>
        </is>
      </c>
      <c r="V212" s="3" t="inlineStr">
        <is>
          <t>소로한면</t>
        </is>
      </c>
    </row>
    <row r="213">
      <c r="A213" s="3" t="inlineStr">
        <is>
          <t>고운동 1179</t>
        </is>
      </c>
      <c r="B213" s="3" t="inlineStr">
        <is>
          <t>제1종전용주거지역</t>
        </is>
      </c>
      <c r="C213" s="3" t="inlineStr">
        <is>
          <t>대</t>
        </is>
      </c>
      <c r="D213" s="3" t="inlineStr">
        <is>
          <t>대</t>
        </is>
      </c>
      <c r="E213" s="3" t="inlineStr">
        <is>
          <t>매매</t>
        </is>
      </c>
      <c r="F213" s="4" t="n">
        <v>45000</v>
      </c>
      <c r="G213" s="4" t="n">
        <v>332</v>
      </c>
      <c r="H213" s="4" t="n">
        <v>100</v>
      </c>
      <c r="I213" s="5" t="n">
        <v>450</v>
      </c>
      <c r="J213" s="5" t="n">
        <v>308</v>
      </c>
      <c r="K213" s="3" t="inlineStr">
        <is>
          <t>항아리상권 가까운 생활인프라 좋은 토지 매매</t>
        </is>
      </c>
      <c r="L213" s="6">
        <f>HYPERLINK("https://fin.land.naver.com/articles/2651188831", "매물Link")</f>
        <v/>
      </c>
      <c r="M213" s="6">
        <f>HYPERLINK("https://map.naver.com/p/search/고운동 1179", "지도Link")</f>
        <v/>
      </c>
      <c r="N213" s="6">
        <f>HYPERLINK("http://www.eum.go.kr/web/ar/lu/luLandDet.jsp?pnu=3611011200111790000&amp;isNoScr=script&amp;mode=search", "토지이음")</f>
        <v/>
      </c>
      <c r="O213" s="3" t="inlineStr">
        <is>
          <t>세종무지개</t>
        </is>
      </c>
      <c r="P213" s="4" t="n">
        <v>1</v>
      </c>
      <c r="Q213" s="4" t="n">
        <v>332.1</v>
      </c>
      <c r="R213" s="3" t="inlineStr">
        <is>
          <t>지정되지않음</t>
        </is>
      </c>
      <c r="S213" s="3" t="inlineStr">
        <is>
          <t>주거나지</t>
        </is>
      </c>
      <c r="T213" s="3" t="inlineStr">
        <is>
          <t>평지</t>
        </is>
      </c>
      <c r="U213" s="3" t="inlineStr">
        <is>
          <t>정방형</t>
        </is>
      </c>
      <c r="V213" s="3" t="inlineStr">
        <is>
          <t>소로한면</t>
        </is>
      </c>
    </row>
    <row r="214">
      <c r="A214" s="3" t="inlineStr">
        <is>
          <t>고운동 1236</t>
        </is>
      </c>
      <c r="B214" s="3" t="inlineStr">
        <is>
          <t>제1종전용주거지역</t>
        </is>
      </c>
      <c r="C214" s="3" t="inlineStr">
        <is>
          <t>대</t>
        </is>
      </c>
      <c r="D214" s="3" t="inlineStr">
        <is>
          <t>대</t>
        </is>
      </c>
      <c r="E214" s="3" t="inlineStr">
        <is>
          <t>매매</t>
        </is>
      </c>
      <c r="F214" s="4" t="n">
        <v>75000</v>
      </c>
      <c r="G214" s="4" t="n">
        <v>338</v>
      </c>
      <c r="H214" s="4" t="n">
        <v>102</v>
      </c>
      <c r="I214" s="5" t="n">
        <v>735.3</v>
      </c>
      <c r="J214" s="5" t="n">
        <v>308</v>
      </c>
      <c r="K214" s="3" t="inlineStr">
        <is>
          <t>공원근접.초등학교 가까운 위치.조용한 전원주택지 ,투자추천</t>
        </is>
      </c>
      <c r="L214" s="6">
        <f>HYPERLINK("https://fin.land.naver.com/articles/2652951622", "매물Link")</f>
        <v/>
      </c>
      <c r="M214" s="6">
        <f>HYPERLINK("https://map.naver.com/p/search/고운동 1236", "지도Link")</f>
        <v/>
      </c>
      <c r="N214" s="6">
        <f>HYPERLINK("http://www.eum.go.kr/web/ar/lu/luLandDet.jsp?pnu=3611011200112360000&amp;isNoScr=script&amp;mode=search", "토지이음")</f>
        <v/>
      </c>
      <c r="O214" s="3" t="inlineStr">
        <is>
          <t>세종보물</t>
        </is>
      </c>
      <c r="P214" s="4" t="n">
        <v>1</v>
      </c>
      <c r="Q214" s="4" t="n">
        <v>338.8</v>
      </c>
      <c r="R214" s="3" t="inlineStr">
        <is>
          <t>지정되지않음</t>
        </is>
      </c>
      <c r="S214" s="3" t="inlineStr">
        <is>
          <t>주거나지</t>
        </is>
      </c>
      <c r="T214" s="3" t="inlineStr">
        <is>
          <t>평지</t>
        </is>
      </c>
      <c r="U214" s="3" t="inlineStr">
        <is>
          <t>세로장방</t>
        </is>
      </c>
      <c r="V214" s="3" t="inlineStr">
        <is>
          <t>소로한면</t>
        </is>
      </c>
    </row>
    <row r="215">
      <c r="A215" s="3" t="inlineStr">
        <is>
          <t>고운동 1238</t>
        </is>
      </c>
      <c r="B215" s="3" t="inlineStr">
        <is>
          <t>제1종전용주거지역</t>
        </is>
      </c>
      <c r="C215" s="3" t="inlineStr">
        <is>
          <t>대</t>
        </is>
      </c>
      <c r="D215" s="3" t="inlineStr">
        <is>
          <t>대</t>
        </is>
      </c>
      <c r="E215" s="3" t="inlineStr">
        <is>
          <t>매매</t>
        </is>
      </c>
      <c r="F215" s="4" t="n">
        <v>69000</v>
      </c>
      <c r="G215" s="4" t="n">
        <v>348</v>
      </c>
      <c r="H215" s="4" t="n">
        <v>105</v>
      </c>
      <c r="I215" s="5" t="n">
        <v>657.1</v>
      </c>
      <c r="J215" s="5" t="n">
        <v>320.9</v>
      </c>
      <c r="K215" s="3" t="inlineStr">
        <is>
          <t>최상급 전원주택부지로 주민센터와 근린생활시설 인근에 위치, 가격조정 가능</t>
        </is>
      </c>
      <c r="L215" s="6">
        <f>HYPERLINK("https://fin.land.naver.com/articles/2652432869", "매물Link")</f>
        <v/>
      </c>
      <c r="M215" s="6">
        <f>HYPERLINK("https://map.naver.com/p/search/고운동 1238", "지도Link")</f>
        <v/>
      </c>
      <c r="N215" s="6">
        <f>HYPERLINK("http://www.eum.go.kr/web/ar/lu/luLandDet.jsp?pnu=3611011200112380000&amp;isNoScr=script&amp;mode=search", "토지이음")</f>
        <v/>
      </c>
      <c r="O215" s="3" t="inlineStr">
        <is>
          <t>수성</t>
        </is>
      </c>
      <c r="P215" s="4" t="n">
        <v>1</v>
      </c>
      <c r="Q215" s="4" t="n">
        <v>348.5</v>
      </c>
      <c r="R215" s="3" t="inlineStr">
        <is>
          <t>지정되지않음</t>
        </is>
      </c>
      <c r="S215" s="3" t="inlineStr">
        <is>
          <t>주거나지</t>
        </is>
      </c>
      <c r="T215" s="3" t="inlineStr">
        <is>
          <t>평지</t>
        </is>
      </c>
      <c r="U215" s="3" t="inlineStr">
        <is>
          <t>가로장방</t>
        </is>
      </c>
      <c r="V215" s="3" t="inlineStr">
        <is>
          <t>소로각지</t>
        </is>
      </c>
    </row>
    <row r="216">
      <c r="A216" s="3" t="inlineStr">
        <is>
          <t>고운동 1242</t>
        </is>
      </c>
      <c r="B216" s="3" t="inlineStr">
        <is>
          <t>제1종전용주거지역</t>
        </is>
      </c>
      <c r="C216" s="3" t="inlineStr">
        <is>
          <t>대</t>
        </is>
      </c>
      <c r="D216" s="3" t="inlineStr">
        <is>
          <t>대</t>
        </is>
      </c>
      <c r="E216" s="3" t="inlineStr">
        <is>
          <t>매매</t>
        </is>
      </c>
      <c r="F216" s="4" t="n">
        <v>59000</v>
      </c>
      <c r="G216" s="4" t="n">
        <v>339</v>
      </c>
      <c r="H216" s="4" t="n">
        <v>103</v>
      </c>
      <c r="I216" s="5" t="n">
        <v>572.8</v>
      </c>
      <c r="J216" s="5" t="n">
        <v>320.9</v>
      </c>
      <c r="K216" s="3" t="inlineStr">
        <is>
          <t>위치좋고 저렴한 코너각지 남향의 최 상급 주택부지</t>
        </is>
      </c>
      <c r="L216" s="6">
        <f>HYPERLINK("https://fin.land.naver.com/articles/2652931210", "매물Link")</f>
        <v/>
      </c>
      <c r="M216" s="6">
        <f>HYPERLINK("https://map.naver.com/p/search/고운동 1242", "지도Link")</f>
        <v/>
      </c>
      <c r="N216" s="6">
        <f>HYPERLINK("http://www.eum.go.kr/web/ar/lu/luLandDet.jsp?pnu=3611011200112420000&amp;isNoScr=script&amp;mode=search", "토지이음")</f>
        <v/>
      </c>
      <c r="O216" s="3" t="inlineStr">
        <is>
          <t>대전토지로무소</t>
        </is>
      </c>
      <c r="P216" s="4" t="n">
        <v>1</v>
      </c>
      <c r="Q216" s="4" t="n">
        <v>339.4</v>
      </c>
      <c r="R216" s="3" t="inlineStr">
        <is>
          <t>지정되지않음</t>
        </is>
      </c>
      <c r="S216" s="3" t="inlineStr">
        <is>
          <t>주거나지</t>
        </is>
      </c>
      <c r="T216" s="3" t="inlineStr">
        <is>
          <t>평지</t>
        </is>
      </c>
      <c r="U216" s="3" t="inlineStr">
        <is>
          <t>가로장방</t>
        </is>
      </c>
      <c r="V216" s="3" t="inlineStr">
        <is>
          <t>소로각지</t>
        </is>
      </c>
    </row>
    <row r="217">
      <c r="A217" s="3" t="inlineStr">
        <is>
          <t>고운동 1248</t>
        </is>
      </c>
      <c r="B217" s="3" t="inlineStr">
        <is>
          <t>제1종전용주거지역</t>
        </is>
      </c>
      <c r="C217" s="3" t="inlineStr">
        <is>
          <t>대</t>
        </is>
      </c>
      <c r="D217" s="3" t="inlineStr">
        <is>
          <t>대</t>
        </is>
      </c>
      <c r="E217" s="3" t="inlineStr">
        <is>
          <t>매매</t>
        </is>
      </c>
      <c r="F217" s="4" t="n">
        <v>150000</v>
      </c>
      <c r="G217" s="4" t="n">
        <v>327</v>
      </c>
      <c r="H217" s="4" t="n">
        <v>99</v>
      </c>
      <c r="I217" s="5" t="n">
        <v>1515.2</v>
      </c>
      <c r="J217" s="5" t="n">
        <v>804</v>
      </c>
      <c r="K217" s="3" t="inlineStr">
        <is>
          <t>대로변 코너각지 위치 최상의 귀한 근생부지 매매</t>
        </is>
      </c>
      <c r="L217" s="6">
        <f>HYPERLINK("https://fin.land.naver.com/articles/2652674815", "매물Link")</f>
        <v/>
      </c>
      <c r="M217" s="6">
        <f>HYPERLINK("https://map.naver.com/p/search/고운동 1248", "지도Link")</f>
        <v/>
      </c>
      <c r="N217" s="6">
        <f>HYPERLINK("http://www.eum.go.kr/web/ar/lu/luLandDet.jsp?pnu=3611011200112480000&amp;isNoScr=script&amp;mode=search", "토지이음")</f>
        <v/>
      </c>
      <c r="O217" s="3" t="inlineStr">
        <is>
          <t>(주)정민근</t>
        </is>
      </c>
      <c r="P217" s="4" t="n">
        <v>3</v>
      </c>
      <c r="Q217" s="4" t="n">
        <v>327.8</v>
      </c>
      <c r="R217" s="3" t="inlineStr">
        <is>
          <t>지정되지않음</t>
        </is>
      </c>
      <c r="S217" s="3" t="inlineStr">
        <is>
          <t>상업용</t>
        </is>
      </c>
      <c r="T217" s="3" t="inlineStr">
        <is>
          <t>평지</t>
        </is>
      </c>
      <c r="U217" s="3" t="inlineStr">
        <is>
          <t>정방형</t>
        </is>
      </c>
      <c r="V217" s="3" t="inlineStr">
        <is>
          <t>중로각지</t>
        </is>
      </c>
    </row>
    <row r="218">
      <c r="A218" s="3" t="inlineStr">
        <is>
          <t>고운동 1262</t>
        </is>
      </c>
      <c r="B218" s="3" t="inlineStr">
        <is>
          <t>제1종전용주거지역</t>
        </is>
      </c>
      <c r="C218" s="3" t="inlineStr">
        <is>
          <t>대</t>
        </is>
      </c>
      <c r="D218" s="3" t="inlineStr">
        <is>
          <t>대</t>
        </is>
      </c>
      <c r="E218" s="3" t="inlineStr">
        <is>
          <t>매매</t>
        </is>
      </c>
      <c r="F218" s="4" t="n">
        <v>58000</v>
      </c>
      <c r="G218" s="4" t="n">
        <v>348</v>
      </c>
      <c r="H218" s="4" t="n">
        <v>105</v>
      </c>
      <c r="I218" s="5" t="n">
        <v>552.4</v>
      </c>
      <c r="J218" s="5" t="n">
        <v>383.8</v>
      </c>
      <c r="K218" s="3" t="inlineStr">
        <is>
          <t>코너자리로좋은위치단독주택 고운동상권학교복컴이용편리 가격조정가능</t>
        </is>
      </c>
      <c r="L218" s="6">
        <f>HYPERLINK("https://fin.land.naver.com/articles/2654127667", "매물Link")</f>
        <v/>
      </c>
      <c r="M218" s="6">
        <f>HYPERLINK("https://map.naver.com/p/search/고운동 1262", "지도Link")</f>
        <v/>
      </c>
      <c r="N218" s="6">
        <f>HYPERLINK("http://www.eum.go.kr/web/ar/lu/luLandDet.jsp?pnu=3611011200112620000&amp;isNoScr=script&amp;mode=search", "토지이음")</f>
        <v/>
      </c>
      <c r="O218" s="3" t="inlineStr">
        <is>
          <t>고운동리치세종</t>
        </is>
      </c>
      <c r="P218" s="4" t="n">
        <v>2</v>
      </c>
      <c r="Q218" s="4" t="n">
        <v>348.5</v>
      </c>
      <c r="R218" s="3" t="inlineStr">
        <is>
          <t>지정되지않음</t>
        </is>
      </c>
      <c r="S218" s="3" t="inlineStr">
        <is>
          <t>주거나지</t>
        </is>
      </c>
      <c r="T218" s="3" t="inlineStr">
        <is>
          <t>평지</t>
        </is>
      </c>
      <c r="U218" s="3" t="inlineStr">
        <is>
          <t>정방형</t>
        </is>
      </c>
      <c r="V218" s="3" t="inlineStr">
        <is>
          <t>중로각지</t>
        </is>
      </c>
    </row>
    <row r="219">
      <c r="A219" s="3" t="inlineStr">
        <is>
          <t>고운동 1272</t>
        </is>
      </c>
      <c r="B219" s="3" t="inlineStr">
        <is>
          <t>제1종전용주거지역</t>
        </is>
      </c>
      <c r="C219" s="3" t="inlineStr">
        <is>
          <t>대</t>
        </is>
      </c>
      <c r="D219" s="3" t="inlineStr">
        <is>
          <t>대</t>
        </is>
      </c>
      <c r="E219" s="3" t="inlineStr">
        <is>
          <t>매매</t>
        </is>
      </c>
      <c r="F219" s="4" t="n">
        <v>80000</v>
      </c>
      <c r="G219" s="4" t="n">
        <v>329</v>
      </c>
      <c r="H219" s="4" t="n">
        <v>100</v>
      </c>
      <c r="I219" s="5" t="n">
        <v>800</v>
      </c>
      <c r="J219" s="5" t="n">
        <v>383.8</v>
      </c>
      <c r="K219" s="3" t="inlineStr">
        <is>
          <t>삼거리 코너, 토지매매, 실개천 인근</t>
        </is>
      </c>
      <c r="L219" s="6">
        <f>HYPERLINK("https://fin.land.naver.com/articles/2651948549", "매물Link")</f>
        <v/>
      </c>
      <c r="M219" s="6">
        <f>HYPERLINK("https://map.naver.com/p/search/고운동 1272", "지도Link")</f>
        <v/>
      </c>
      <c r="N219" s="6">
        <f>HYPERLINK("http://www.eum.go.kr/web/ar/lu/luLandDet.jsp?pnu=3611011200112720000&amp;isNoScr=script&amp;mode=search", "토지이음")</f>
        <v/>
      </c>
      <c r="O219" s="3" t="inlineStr">
        <is>
          <t>명진</t>
        </is>
      </c>
      <c r="P219" s="4" t="n">
        <v>1</v>
      </c>
      <c r="Q219" s="4" t="n">
        <v>330.7</v>
      </c>
      <c r="R219" s="3" t="inlineStr">
        <is>
          <t>지정되지않음</t>
        </is>
      </c>
      <c r="S219" s="3" t="inlineStr">
        <is>
          <t>주거나지</t>
        </is>
      </c>
      <c r="T219" s="3" t="inlineStr">
        <is>
          <t>평지</t>
        </is>
      </c>
      <c r="U219" s="3" t="inlineStr">
        <is>
          <t>정방형</t>
        </is>
      </c>
      <c r="V219" s="3" t="inlineStr">
        <is>
          <t>중로각지</t>
        </is>
      </c>
    </row>
    <row r="220">
      <c r="A220" s="3" t="inlineStr">
        <is>
          <t>고운동 1272</t>
        </is>
      </c>
      <c r="B220" s="3" t="inlineStr">
        <is>
          <t>제1종전용주거지역</t>
        </is>
      </c>
      <c r="C220" s="3" t="inlineStr">
        <is>
          <t>대</t>
        </is>
      </c>
      <c r="D220" s="3" t="inlineStr">
        <is>
          <t>대</t>
        </is>
      </c>
      <c r="E220" s="3" t="inlineStr">
        <is>
          <t>매매</t>
        </is>
      </c>
      <c r="F220" s="4" t="n">
        <v>80000</v>
      </c>
      <c r="G220" s="4" t="n">
        <v>330</v>
      </c>
      <c r="H220" s="4" t="n">
        <v>100</v>
      </c>
      <c r="I220" s="5" t="n">
        <v>800</v>
      </c>
      <c r="J220" s="5" t="n">
        <v>383.8</v>
      </c>
      <c r="K220" s="3" t="inlineStr">
        <is>
          <t>코너각지, 실개천 주변으로 입지 좋은 토지매매</t>
        </is>
      </c>
      <c r="L220" s="6">
        <f>HYPERLINK("https://fin.land.naver.com/articles/2651778921", "매물Link")</f>
        <v/>
      </c>
      <c r="M220" s="6">
        <f>HYPERLINK("https://map.naver.com/p/search/고운동 1272", "지도Link")</f>
        <v/>
      </c>
      <c r="N220" s="6">
        <f>HYPERLINK("http://www.eum.go.kr/web/ar/lu/luLandDet.jsp?pnu=3611011200112720000&amp;isNoScr=script&amp;mode=search", "토지이음")</f>
        <v/>
      </c>
      <c r="O220" s="3" t="inlineStr">
        <is>
          <t>세종무지개</t>
        </is>
      </c>
      <c r="P220" s="4" t="n">
        <v>1</v>
      </c>
      <c r="Q220" s="4" t="n">
        <v>330.7</v>
      </c>
      <c r="R220" s="3" t="inlineStr">
        <is>
          <t>지정되지않음</t>
        </is>
      </c>
      <c r="S220" s="3" t="inlineStr">
        <is>
          <t>주거나지</t>
        </is>
      </c>
      <c r="T220" s="3" t="inlineStr">
        <is>
          <t>평지</t>
        </is>
      </c>
      <c r="U220" s="3" t="inlineStr">
        <is>
          <t>정방형</t>
        </is>
      </c>
      <c r="V220" s="3" t="inlineStr">
        <is>
          <t>중로각지</t>
        </is>
      </c>
    </row>
    <row r="221">
      <c r="A221" s="3" t="inlineStr">
        <is>
          <t>고운동 1293</t>
        </is>
      </c>
      <c r="B221" s="3" t="inlineStr">
        <is>
          <t>제1종전용주거지역</t>
        </is>
      </c>
      <c r="C221" s="3" t="inlineStr">
        <is>
          <t>대</t>
        </is>
      </c>
      <c r="D221" s="3" t="inlineStr">
        <is>
          <t>대</t>
        </is>
      </c>
      <c r="E221" s="3" t="inlineStr">
        <is>
          <t>매매</t>
        </is>
      </c>
      <c r="F221" s="4" t="n">
        <v>95000</v>
      </c>
      <c r="G221" s="4" t="n">
        <v>332</v>
      </c>
      <c r="H221" s="4" t="n">
        <v>100</v>
      </c>
      <c r="I221" s="5" t="n">
        <v>950</v>
      </c>
      <c r="J221" s="5" t="n">
        <v>336.5</v>
      </c>
      <c r="K221" s="3" t="inlineStr">
        <is>
          <t>100.91p, 개방감 좋은 실개천 인근 토지</t>
        </is>
      </c>
      <c r="L221" s="6">
        <f>HYPERLINK("https://fin.land.naver.com/articles/2650893334", "매물Link")</f>
        <v/>
      </c>
      <c r="M221" s="6">
        <f>HYPERLINK("https://map.naver.com/p/search/고운동 1293", "지도Link")</f>
        <v/>
      </c>
      <c r="N221" s="6">
        <f>HYPERLINK("http://www.eum.go.kr/web/ar/lu/luLandDet.jsp?pnu=3611011200112930000&amp;isNoScr=script&amp;mode=search", "토지이음")</f>
        <v/>
      </c>
      <c r="O221" s="3" t="inlineStr">
        <is>
          <t>세종무지개</t>
        </is>
      </c>
      <c r="P221" s="4" t="n">
        <v>1</v>
      </c>
      <c r="Q221" s="4" t="n">
        <v>330</v>
      </c>
      <c r="R221" s="3" t="inlineStr">
        <is>
          <t>지정되지않음</t>
        </is>
      </c>
      <c r="S221" s="3" t="inlineStr">
        <is>
          <t>주거나지</t>
        </is>
      </c>
      <c r="T221" s="3" t="inlineStr">
        <is>
          <t>평지</t>
        </is>
      </c>
      <c r="U221" s="3" t="inlineStr">
        <is>
          <t>정방형</t>
        </is>
      </c>
      <c r="V221" s="3" t="inlineStr">
        <is>
          <t>소로한면</t>
        </is>
      </c>
    </row>
    <row r="222">
      <c r="A222" s="3" t="inlineStr">
        <is>
          <t>고운동 1297</t>
        </is>
      </c>
      <c r="B222" s="3" t="inlineStr">
        <is>
          <t>제1종전용주거지역</t>
        </is>
      </c>
      <c r="C222" s="3" t="inlineStr">
        <is>
          <t>대</t>
        </is>
      </c>
      <c r="D222" s="3" t="inlineStr">
        <is>
          <t>대</t>
        </is>
      </c>
      <c r="E222" s="3" t="inlineStr">
        <is>
          <t>매매</t>
        </is>
      </c>
      <c r="F222" s="4" t="n">
        <v>56000</v>
      </c>
      <c r="G222" s="4" t="n">
        <v>338</v>
      </c>
      <c r="H222" s="4" t="n">
        <v>102</v>
      </c>
      <c r="I222" s="5" t="n">
        <v>549</v>
      </c>
      <c r="J222" s="5" t="n">
        <v>369.3</v>
      </c>
      <c r="K222" s="3" t="inlineStr">
        <is>
          <t>공원바로옆 실개천옆고운동학군 상권 이용편리저렴한매매</t>
        </is>
      </c>
      <c r="L222" s="6">
        <f>HYPERLINK("https://fin.land.naver.com/articles/2652001713", "매물Link")</f>
        <v/>
      </c>
      <c r="M222" s="6">
        <f>HYPERLINK("https://map.naver.com/p/search/고운동 1297", "지도Link")</f>
        <v/>
      </c>
      <c r="N222" s="6">
        <f>HYPERLINK("http://www.eum.go.kr/web/ar/lu/luLandDet.jsp?pnu=3611011200112970000&amp;isNoScr=script&amp;mode=search", "토지이음")</f>
        <v/>
      </c>
      <c r="O222" s="3" t="inlineStr">
        <is>
          <t>세종시토지</t>
        </is>
      </c>
      <c r="P222" s="4" t="n">
        <v>1</v>
      </c>
      <c r="Q222" s="4" t="n">
        <v>338</v>
      </c>
      <c r="R222" s="3" t="inlineStr">
        <is>
          <t>지정되지않음</t>
        </is>
      </c>
      <c r="S222" s="3" t="inlineStr">
        <is>
          <t>주거나지</t>
        </is>
      </c>
      <c r="T222" s="3" t="inlineStr">
        <is>
          <t>평지</t>
        </is>
      </c>
      <c r="U222" s="3" t="inlineStr">
        <is>
          <t>정방형</t>
        </is>
      </c>
      <c r="V222" s="3" t="inlineStr">
        <is>
          <t>중로한면</t>
        </is>
      </c>
    </row>
    <row r="223">
      <c r="A223" s="3" t="inlineStr">
        <is>
          <t>고운동 1302</t>
        </is>
      </c>
      <c r="B223" s="3" t="inlineStr">
        <is>
          <t>제1종전용주거지역</t>
        </is>
      </c>
      <c r="C223" s="3" t="inlineStr">
        <is>
          <t>대</t>
        </is>
      </c>
      <c r="D223" s="3" t="inlineStr">
        <is>
          <t>대</t>
        </is>
      </c>
      <c r="E223" s="3" t="inlineStr">
        <is>
          <t>매매</t>
        </is>
      </c>
      <c r="F223" s="4" t="n">
        <v>85000</v>
      </c>
      <c r="G223" s="4" t="n">
        <v>351</v>
      </c>
      <c r="H223" s="4" t="n">
        <v>106</v>
      </c>
      <c r="I223" s="5" t="n">
        <v>801.9</v>
      </c>
      <c r="J223" s="5" t="n">
        <v>336.5</v>
      </c>
      <c r="K223" s="3" t="inlineStr">
        <is>
          <t>106.3p, 실개천 앞, 공원인근</t>
        </is>
      </c>
      <c r="L223" s="6">
        <f>HYPERLINK("https://fin.land.naver.com/articles/2650427456", "매물Link")</f>
        <v/>
      </c>
      <c r="M223" s="6">
        <f>HYPERLINK("https://map.naver.com/p/search/고운동 1302", "지도Link")</f>
        <v/>
      </c>
      <c r="N223" s="6">
        <f>HYPERLINK("http://www.eum.go.kr/web/ar/lu/luLandDet.jsp?pnu=3611011200113020000&amp;isNoScr=script&amp;mode=search", "토지이음")</f>
        <v/>
      </c>
      <c r="O223" s="3" t="inlineStr">
        <is>
          <t>세종무지개</t>
        </is>
      </c>
      <c r="P223" s="4" t="n">
        <v>1</v>
      </c>
      <c r="Q223" s="4" t="n">
        <v>351</v>
      </c>
      <c r="R223" s="3" t="inlineStr">
        <is>
          <t>지정되지않음</t>
        </is>
      </c>
      <c r="S223" s="3" t="inlineStr">
        <is>
          <t>주거나지</t>
        </is>
      </c>
      <c r="T223" s="3" t="inlineStr">
        <is>
          <t>평지</t>
        </is>
      </c>
      <c r="U223" s="3" t="inlineStr">
        <is>
          <t>정방형</t>
        </is>
      </c>
      <c r="V223" s="3" t="inlineStr">
        <is>
          <t>소로한면</t>
        </is>
      </c>
    </row>
    <row r="224">
      <c r="A224" s="3" t="inlineStr">
        <is>
          <t>고운동 1306</t>
        </is>
      </c>
      <c r="B224" s="3" t="inlineStr">
        <is>
          <t>제1종전용주거지역</t>
        </is>
      </c>
      <c r="C224" s="3" t="inlineStr">
        <is>
          <t>대</t>
        </is>
      </c>
      <c r="D224" s="3" t="inlineStr">
        <is>
          <t>대</t>
        </is>
      </c>
      <c r="E224" s="3" t="inlineStr">
        <is>
          <t>매매</t>
        </is>
      </c>
      <c r="F224" s="4" t="n">
        <v>68000</v>
      </c>
      <c r="G224" s="4" t="n">
        <v>351</v>
      </c>
      <c r="H224" s="4" t="n">
        <v>106</v>
      </c>
      <c r="I224" s="5" t="n">
        <v>641.5</v>
      </c>
      <c r="J224" s="5" t="n">
        <v>336.5</v>
      </c>
      <c r="K224" s="3" t="inlineStr">
        <is>
          <t>최선호 실개천 주택지 공원 넓게접함</t>
        </is>
      </c>
      <c r="L224" s="6">
        <f>HYPERLINK("https://fin.land.naver.com/articles/2654332417", "매물Link")</f>
        <v/>
      </c>
      <c r="M224" s="6">
        <f>HYPERLINK("https://map.naver.com/p/search/고운동 1306", "지도Link")</f>
        <v/>
      </c>
      <c r="N224" s="6">
        <f>HYPERLINK("http://www.eum.go.kr/web/ar/lu/luLandDet.jsp?pnu=3611011200113060000&amp;isNoScr=script&amp;mode=search", "토지이음")</f>
        <v/>
      </c>
      <c r="O224" s="3" t="inlineStr">
        <is>
          <t>세종스타</t>
        </is>
      </c>
      <c r="P224" s="4" t="n">
        <v>1</v>
      </c>
      <c r="Q224" s="4" t="n">
        <v>351</v>
      </c>
      <c r="R224" s="3" t="inlineStr">
        <is>
          <t>지정되지않음</t>
        </is>
      </c>
      <c r="S224" s="3" t="inlineStr">
        <is>
          <t>주거나지</t>
        </is>
      </c>
      <c r="T224" s="3" t="inlineStr">
        <is>
          <t>평지</t>
        </is>
      </c>
      <c r="U224" s="3" t="inlineStr">
        <is>
          <t>정방형</t>
        </is>
      </c>
      <c r="V224" s="3" t="inlineStr">
        <is>
          <t>소로한면</t>
        </is>
      </c>
    </row>
    <row r="225">
      <c r="A225" s="3" t="inlineStr">
        <is>
          <t>고운동 1310</t>
        </is>
      </c>
      <c r="B225" s="3" t="inlineStr">
        <is>
          <t>제1종전용주거지역</t>
        </is>
      </c>
      <c r="C225" s="3" t="inlineStr">
        <is>
          <t>대</t>
        </is>
      </c>
      <c r="D225" s="3" t="inlineStr">
        <is>
          <t>대</t>
        </is>
      </c>
      <c r="E225" s="3" t="inlineStr">
        <is>
          <t>매매</t>
        </is>
      </c>
      <c r="F225" s="4" t="n">
        <v>70000</v>
      </c>
      <c r="G225" s="4" t="n">
        <v>351</v>
      </c>
      <c r="H225" s="4" t="n">
        <v>106</v>
      </c>
      <c r="I225" s="5" t="n">
        <v>660.4</v>
      </c>
      <c r="J225" s="5" t="n">
        <v>336.5</v>
      </c>
      <c r="K225" s="3" t="inlineStr">
        <is>
          <t>전원주택지 산책로 및 실개천에 연접한 좋은위치 단독택지, 가락초 인근</t>
        </is>
      </c>
      <c r="L225" s="6">
        <f>HYPERLINK("https://fin.land.naver.com/articles/2650441767", "매물Link")</f>
        <v/>
      </c>
      <c r="M225" s="6">
        <f>HYPERLINK("https://map.naver.com/p/search/고운동 1310", "지도Link")</f>
        <v/>
      </c>
      <c r="N225" s="6">
        <f>HYPERLINK("http://www.eum.go.kr/web/ar/lu/luLandDet.jsp?pnu=3611011200113100000&amp;isNoScr=script&amp;mode=search", "토지이음")</f>
        <v/>
      </c>
      <c r="O225" s="3" t="inlineStr">
        <is>
          <t>온뜰</t>
        </is>
      </c>
      <c r="P225" s="4" t="n">
        <v>1</v>
      </c>
      <c r="Q225" s="4" t="n">
        <v>351</v>
      </c>
      <c r="R225" s="3" t="inlineStr">
        <is>
          <t>지정되지않음</t>
        </is>
      </c>
      <c r="S225" s="3" t="inlineStr">
        <is>
          <t>주거나지</t>
        </is>
      </c>
      <c r="T225" s="3" t="inlineStr">
        <is>
          <t>평지</t>
        </is>
      </c>
      <c r="U225" s="3" t="inlineStr">
        <is>
          <t>정방형</t>
        </is>
      </c>
      <c r="V225" s="3" t="inlineStr">
        <is>
          <t>소로한면</t>
        </is>
      </c>
    </row>
    <row r="226">
      <c r="A226" s="3" t="inlineStr">
        <is>
          <t>고운동 1319</t>
        </is>
      </c>
      <c r="B226" s="3" t="inlineStr">
        <is>
          <t>제1종전용주거지역</t>
        </is>
      </c>
      <c r="C226" s="3" t="inlineStr">
        <is>
          <t>대</t>
        </is>
      </c>
      <c r="D226" s="3" t="inlineStr">
        <is>
          <t>대</t>
        </is>
      </c>
      <c r="E226" s="3" t="inlineStr">
        <is>
          <t>매매</t>
        </is>
      </c>
      <c r="F226" s="4" t="n">
        <v>58000</v>
      </c>
      <c r="G226" s="4" t="n">
        <v>365</v>
      </c>
      <c r="H226" s="4" t="n">
        <v>110</v>
      </c>
      <c r="I226" s="5" t="n">
        <v>527.3</v>
      </c>
      <c r="J226" s="5" t="n">
        <v>336.5</v>
      </c>
      <c r="K226" s="3" t="inlineStr">
        <is>
          <t>위치좋고 저렴한 단독주택 용지 추천드립니다</t>
        </is>
      </c>
      <c r="L226" s="6">
        <f>HYPERLINK("https://fin.land.naver.com/articles/2650692446", "매물Link")</f>
        <v/>
      </c>
      <c r="M226" s="6">
        <f>HYPERLINK("https://map.naver.com/p/search/고운동 1319", "지도Link")</f>
        <v/>
      </c>
      <c r="N226" s="6">
        <f>HYPERLINK("http://www.eum.go.kr/web/ar/lu/luLandDet.jsp?pnu=3611011200113190000&amp;isNoScr=script&amp;mode=search", "토지이음")</f>
        <v/>
      </c>
      <c r="O226" s="3" t="inlineStr">
        <is>
          <t>골드클래스</t>
        </is>
      </c>
      <c r="P226" s="4" t="n">
        <v>2</v>
      </c>
      <c r="Q226" s="4" t="n">
        <v>365.3</v>
      </c>
      <c r="R226" s="3" t="inlineStr">
        <is>
          <t>지정되지않음</t>
        </is>
      </c>
      <c r="S226" s="3" t="inlineStr">
        <is>
          <t>주거나지</t>
        </is>
      </c>
      <c r="T226" s="3" t="inlineStr">
        <is>
          <t>평지</t>
        </is>
      </c>
      <c r="U226" s="3" t="inlineStr">
        <is>
          <t>정방형</t>
        </is>
      </c>
      <c r="V226" s="3" t="inlineStr">
        <is>
          <t>소로한면</t>
        </is>
      </c>
    </row>
    <row r="227">
      <c r="A227" s="3" t="inlineStr">
        <is>
          <t>고운동 1320</t>
        </is>
      </c>
      <c r="B227" s="3" t="inlineStr">
        <is>
          <t>제1종전용주거지역</t>
        </is>
      </c>
      <c r="C227" s="3" t="inlineStr">
        <is>
          <t>대</t>
        </is>
      </c>
      <c r="D227" s="3" t="inlineStr">
        <is>
          <t>대</t>
        </is>
      </c>
      <c r="E227" s="3" t="inlineStr">
        <is>
          <t>매매</t>
        </is>
      </c>
      <c r="F227" s="4" t="n">
        <v>65000</v>
      </c>
      <c r="G227" s="4" t="n">
        <v>353</v>
      </c>
      <c r="H227" s="4" t="n">
        <v>107</v>
      </c>
      <c r="I227" s="5" t="n">
        <v>607.5</v>
      </c>
      <c r="J227" s="5" t="n">
        <v>353.1</v>
      </c>
      <c r="K227" s="3" t="inlineStr">
        <is>
          <t>코너자리로 입지 최고  공원옆  실개천옆 학군 상권이용편리</t>
        </is>
      </c>
      <c r="L227" s="6">
        <f>HYPERLINK("https://fin.land.naver.com/articles/2651998602", "매물Link")</f>
        <v/>
      </c>
      <c r="M227" s="6">
        <f>HYPERLINK("https://map.naver.com/p/search/고운동 1320", "지도Link")</f>
        <v/>
      </c>
      <c r="N227" s="6">
        <f>HYPERLINK("http://www.eum.go.kr/web/ar/lu/luLandDet.jsp?pnu=3611011200113200000&amp;isNoScr=script&amp;mode=search", "토지이음")</f>
        <v/>
      </c>
      <c r="O227" s="3" t="inlineStr">
        <is>
          <t>세종시토지</t>
        </is>
      </c>
      <c r="P227" s="4" t="n">
        <v>1</v>
      </c>
      <c r="Q227" s="4" t="n">
        <v>353.3</v>
      </c>
      <c r="R227" s="3" t="inlineStr">
        <is>
          <t>지정되지않음</t>
        </is>
      </c>
      <c r="S227" s="3" t="inlineStr">
        <is>
          <t>주거나지</t>
        </is>
      </c>
      <c r="T227" s="3" t="inlineStr">
        <is>
          <t>평지</t>
        </is>
      </c>
      <c r="U227" s="3" t="inlineStr">
        <is>
          <t>정방형</t>
        </is>
      </c>
      <c r="V227" s="3" t="inlineStr">
        <is>
          <t>소로각지</t>
        </is>
      </c>
    </row>
    <row r="228">
      <c r="A228" s="3" t="inlineStr">
        <is>
          <t>고운동 1323</t>
        </is>
      </c>
      <c r="B228" s="3" t="inlineStr">
        <is>
          <t>제1종전용주거지역</t>
        </is>
      </c>
      <c r="C228" s="3" t="inlineStr">
        <is>
          <t>대</t>
        </is>
      </c>
      <c r="D228" s="3" t="inlineStr">
        <is>
          <t>대</t>
        </is>
      </c>
      <c r="E228" s="3" t="inlineStr">
        <is>
          <t>매매</t>
        </is>
      </c>
      <c r="F228" s="4" t="n">
        <v>60000</v>
      </c>
      <c r="G228" s="4" t="n">
        <v>361</v>
      </c>
      <c r="H228" s="4" t="n">
        <v>109</v>
      </c>
      <c r="I228" s="5" t="n">
        <v>550.5</v>
      </c>
      <c r="J228" s="5" t="n">
        <v>336.5</v>
      </c>
      <c r="K228" s="3" t="inlineStr">
        <is>
          <t>총 109.3p, 고운동 생활인프라 좋은 위치 토지매매</t>
        </is>
      </c>
      <c r="L228" s="6">
        <f>HYPERLINK("https://fin.land.naver.com/articles/2651942130", "매물Link")</f>
        <v/>
      </c>
      <c r="M228" s="6">
        <f>HYPERLINK("https://map.naver.com/p/search/고운동 1323", "지도Link")</f>
        <v/>
      </c>
      <c r="N228" s="6">
        <f>HYPERLINK("http://www.eum.go.kr/web/ar/lu/luLandDet.jsp?pnu=3611011200113230000&amp;isNoScr=script&amp;mode=search", "토지이음")</f>
        <v/>
      </c>
      <c r="O228" s="3" t="inlineStr">
        <is>
          <t>명진</t>
        </is>
      </c>
      <c r="P228" s="4" t="n">
        <v>1</v>
      </c>
      <c r="Q228" s="4" t="n">
        <v>361</v>
      </c>
      <c r="R228" s="3" t="inlineStr">
        <is>
          <t>지정되지않음</t>
        </is>
      </c>
      <c r="S228" s="3" t="inlineStr">
        <is>
          <t>주거나지</t>
        </is>
      </c>
      <c r="T228" s="3" t="inlineStr">
        <is>
          <t>평지</t>
        </is>
      </c>
      <c r="U228" s="3" t="inlineStr">
        <is>
          <t>정방형</t>
        </is>
      </c>
      <c r="V228" s="3" t="inlineStr">
        <is>
          <t>소로한면</t>
        </is>
      </c>
    </row>
    <row r="229">
      <c r="A229" s="3" t="inlineStr">
        <is>
          <t>고운동 1323</t>
        </is>
      </c>
      <c r="B229" s="3" t="inlineStr">
        <is>
          <t>제1종전용주거지역</t>
        </is>
      </c>
      <c r="C229" s="3" t="inlineStr">
        <is>
          <t>대</t>
        </is>
      </c>
      <c r="D229" s="3" t="inlineStr">
        <is>
          <t>대</t>
        </is>
      </c>
      <c r="E229" s="3" t="inlineStr">
        <is>
          <t>매매</t>
        </is>
      </c>
      <c r="F229" s="4" t="n">
        <v>60000</v>
      </c>
      <c r="G229" s="4" t="n">
        <v>361</v>
      </c>
      <c r="H229" s="4" t="n">
        <v>109</v>
      </c>
      <c r="I229" s="5" t="n">
        <v>550.5</v>
      </c>
      <c r="J229" s="5" t="n">
        <v>336.5</v>
      </c>
      <c r="K229" s="3" t="inlineStr">
        <is>
          <t>급매 추가조율가능 넓은평수 뒤로보행로접</t>
        </is>
      </c>
      <c r="L229" s="6">
        <f>HYPERLINK("https://fin.land.naver.com/articles/2652418961", "매물Link")</f>
        <v/>
      </c>
      <c r="M229" s="6">
        <f>HYPERLINK("https://map.naver.com/p/search/고운동 1323", "지도Link")</f>
        <v/>
      </c>
      <c r="N229" s="6">
        <f>HYPERLINK("http://www.eum.go.kr/web/ar/lu/luLandDet.jsp?pnu=3611011200113230000&amp;isNoScr=script&amp;mode=search", "토지이음")</f>
        <v/>
      </c>
      <c r="O229" s="3" t="inlineStr">
        <is>
          <t>세종스타</t>
        </is>
      </c>
      <c r="P229" s="4" t="n">
        <v>2</v>
      </c>
      <c r="Q229" s="4" t="n">
        <v>361</v>
      </c>
      <c r="R229" s="3" t="inlineStr">
        <is>
          <t>지정되지않음</t>
        </is>
      </c>
      <c r="S229" s="3" t="inlineStr">
        <is>
          <t>주거나지</t>
        </is>
      </c>
      <c r="T229" s="3" t="inlineStr">
        <is>
          <t>평지</t>
        </is>
      </c>
      <c r="U229" s="3" t="inlineStr">
        <is>
          <t>정방형</t>
        </is>
      </c>
      <c r="V229" s="3" t="inlineStr">
        <is>
          <t>소로한면</t>
        </is>
      </c>
    </row>
    <row r="230">
      <c r="A230" s="3" t="inlineStr">
        <is>
          <t>고운동 1323</t>
        </is>
      </c>
      <c r="B230" s="3" t="inlineStr">
        <is>
          <t>제1종전용주거지역</t>
        </is>
      </c>
      <c r="C230" s="3" t="inlineStr">
        <is>
          <t>대</t>
        </is>
      </c>
      <c r="D230" s="3" t="inlineStr">
        <is>
          <t>대</t>
        </is>
      </c>
      <c r="E230" s="3" t="inlineStr">
        <is>
          <t>매매</t>
        </is>
      </c>
      <c r="F230" s="4" t="n">
        <v>60000</v>
      </c>
      <c r="G230" s="4" t="n">
        <v>361</v>
      </c>
      <c r="H230" s="4" t="n">
        <v>109</v>
      </c>
      <c r="I230" s="5" t="n">
        <v>550.5</v>
      </c>
      <c r="J230" s="5" t="n">
        <v>336.5</v>
      </c>
      <c r="K230" s="3" t="inlineStr">
        <is>
          <t>총 109.3p, 위치 좋은 단독주택지, 공원인근</t>
        </is>
      </c>
      <c r="L230" s="6">
        <f>HYPERLINK("https://fin.land.naver.com/articles/2649613023", "매물Link")</f>
        <v/>
      </c>
      <c r="M230" s="6">
        <f>HYPERLINK("https://map.naver.com/p/search/고운동 1323", "지도Link")</f>
        <v/>
      </c>
      <c r="N230" s="6">
        <f>HYPERLINK("http://www.eum.go.kr/web/ar/lu/luLandDet.jsp?pnu=3611011200113230000&amp;isNoScr=script&amp;mode=search", "토지이음")</f>
        <v/>
      </c>
      <c r="O230" s="3" t="inlineStr">
        <is>
          <t>세종무지개</t>
        </is>
      </c>
      <c r="P230" s="4" t="n">
        <v>1</v>
      </c>
      <c r="Q230" s="4" t="n">
        <v>361</v>
      </c>
      <c r="R230" s="3" t="inlineStr">
        <is>
          <t>지정되지않음</t>
        </is>
      </c>
      <c r="S230" s="3" t="inlineStr">
        <is>
          <t>주거나지</t>
        </is>
      </c>
      <c r="T230" s="3" t="inlineStr">
        <is>
          <t>평지</t>
        </is>
      </c>
      <c r="U230" s="3" t="inlineStr">
        <is>
          <t>정방형</t>
        </is>
      </c>
      <c r="V230" s="3" t="inlineStr">
        <is>
          <t>소로한면</t>
        </is>
      </c>
    </row>
    <row r="231">
      <c r="A231" s="3" t="inlineStr">
        <is>
          <t>고운동 1328</t>
        </is>
      </c>
      <c r="B231" s="3" t="inlineStr">
        <is>
          <t>제1종전용주거지역</t>
        </is>
      </c>
      <c r="C231" s="3" t="inlineStr">
        <is>
          <t>대</t>
        </is>
      </c>
      <c r="D231" s="3" t="inlineStr">
        <is>
          <t>대</t>
        </is>
      </c>
      <c r="E231" s="3" t="inlineStr">
        <is>
          <t>매매</t>
        </is>
      </c>
      <c r="F231" s="4" t="n">
        <v>65000</v>
      </c>
      <c r="G231" s="4" t="n">
        <v>352</v>
      </c>
      <c r="H231" s="4" t="n">
        <v>106</v>
      </c>
      <c r="I231" s="5" t="n">
        <v>613.2</v>
      </c>
      <c r="J231" s="5" t="n">
        <v>353.1</v>
      </c>
      <c r="K231" s="3" t="inlineStr">
        <is>
          <t>106.8p, 삼거리 코너 위치 토지매매</t>
        </is>
      </c>
      <c r="L231" s="6">
        <f>HYPERLINK("https://fin.land.naver.com/articles/2653686910", "매물Link")</f>
        <v/>
      </c>
      <c r="M231" s="6">
        <f>HYPERLINK("https://map.naver.com/p/search/고운동 1328", "지도Link")</f>
        <v/>
      </c>
      <c r="N231" s="6">
        <f>HYPERLINK("http://www.eum.go.kr/web/ar/lu/luLandDet.jsp?pnu=3611011200113280000&amp;isNoScr=script&amp;mode=search", "토지이음")</f>
        <v/>
      </c>
      <c r="O231" s="3" t="inlineStr">
        <is>
          <t>명진</t>
        </is>
      </c>
      <c r="P231" s="4" t="n">
        <v>1</v>
      </c>
      <c r="Q231" s="4" t="n">
        <v>352.7</v>
      </c>
      <c r="R231" s="3" t="inlineStr">
        <is>
          <t>지정되지않음</t>
        </is>
      </c>
      <c r="S231" s="3" t="inlineStr">
        <is>
          <t>주거나지</t>
        </is>
      </c>
      <c r="T231" s="3" t="inlineStr">
        <is>
          <t>평지</t>
        </is>
      </c>
      <c r="U231" s="3" t="inlineStr">
        <is>
          <t>가로장방</t>
        </is>
      </c>
      <c r="V231" s="3" t="inlineStr">
        <is>
          <t>소로각지</t>
        </is>
      </c>
    </row>
    <row r="232">
      <c r="A232" s="3" t="inlineStr">
        <is>
          <t>고운동 1328</t>
        </is>
      </c>
      <c r="B232" s="3" t="inlineStr">
        <is>
          <t>제1종전용주거지역</t>
        </is>
      </c>
      <c r="C232" s="3" t="inlineStr">
        <is>
          <t>대</t>
        </is>
      </c>
      <c r="D232" s="3" t="inlineStr">
        <is>
          <t>대</t>
        </is>
      </c>
      <c r="E232" s="3" t="inlineStr">
        <is>
          <t>매매</t>
        </is>
      </c>
      <c r="F232" s="4" t="n">
        <v>65000</v>
      </c>
      <c r="G232" s="4" t="n">
        <v>352</v>
      </c>
      <c r="H232" s="4" t="n">
        <v>106</v>
      </c>
      <c r="I232" s="5" t="n">
        <v>613.2</v>
      </c>
      <c r="J232" s="5" t="n">
        <v>353.1</v>
      </c>
      <c r="K232" s="3" t="inlineStr">
        <is>
          <t>실개천 가깝고 코너각지 위치 좋은 단독주택지, 조정가능</t>
        </is>
      </c>
      <c r="L232" s="6">
        <f>HYPERLINK("https://fin.land.naver.com/articles/2649699066", "매물Link")</f>
        <v/>
      </c>
      <c r="M232" s="6">
        <f>HYPERLINK("https://map.naver.com/p/search/고운동 1328", "지도Link")</f>
        <v/>
      </c>
      <c r="N232" s="6">
        <f>HYPERLINK("http://www.eum.go.kr/web/ar/lu/luLandDet.jsp?pnu=3611011200113280000&amp;isNoScr=script&amp;mode=search", "토지이음")</f>
        <v/>
      </c>
      <c r="O232" s="3" t="inlineStr">
        <is>
          <t>온뜰</t>
        </is>
      </c>
      <c r="P232" s="4" t="n">
        <v>1</v>
      </c>
      <c r="Q232" s="4" t="n">
        <v>352.7</v>
      </c>
      <c r="R232" s="3" t="inlineStr">
        <is>
          <t>지정되지않음</t>
        </is>
      </c>
      <c r="S232" s="3" t="inlineStr">
        <is>
          <t>주거나지</t>
        </is>
      </c>
      <c r="T232" s="3" t="inlineStr">
        <is>
          <t>평지</t>
        </is>
      </c>
      <c r="U232" s="3" t="inlineStr">
        <is>
          <t>가로장방</t>
        </is>
      </c>
      <c r="V232" s="3" t="inlineStr">
        <is>
          <t>소로각지</t>
        </is>
      </c>
    </row>
    <row r="233">
      <c r="A233" s="3" t="inlineStr">
        <is>
          <t>고운동 1328</t>
        </is>
      </c>
      <c r="B233" s="3" t="inlineStr">
        <is>
          <t>제1종전용주거지역</t>
        </is>
      </c>
      <c r="C233" s="3" t="inlineStr">
        <is>
          <t>대</t>
        </is>
      </c>
      <c r="D233" s="3" t="inlineStr">
        <is>
          <t>대</t>
        </is>
      </c>
      <c r="E233" s="3" t="inlineStr">
        <is>
          <t>매매</t>
        </is>
      </c>
      <c r="F233" s="4" t="n">
        <v>65000</v>
      </c>
      <c r="G233" s="4" t="n">
        <v>352</v>
      </c>
      <c r="H233" s="4" t="n">
        <v>106</v>
      </c>
      <c r="I233" s="5" t="n">
        <v>613.2</v>
      </c>
      <c r="J233" s="5" t="n">
        <v>353.1</v>
      </c>
      <c r="K233" s="3" t="inlineStr">
        <is>
          <t>106.8p, 실개천 근처, 위치 좋은 토지, 공원 인근</t>
        </is>
      </c>
      <c r="L233" s="6">
        <f>HYPERLINK("https://fin.land.naver.com/articles/2650893554", "매물Link")</f>
        <v/>
      </c>
      <c r="M233" s="6">
        <f>HYPERLINK("https://map.naver.com/p/search/고운동 1328", "지도Link")</f>
        <v/>
      </c>
      <c r="N233" s="6">
        <f>HYPERLINK("http://www.eum.go.kr/web/ar/lu/luLandDet.jsp?pnu=3611011200113280000&amp;isNoScr=script&amp;mode=search", "토지이음")</f>
        <v/>
      </c>
      <c r="O233" s="3" t="inlineStr">
        <is>
          <t>세종무지개</t>
        </is>
      </c>
      <c r="P233" s="4" t="n">
        <v>1</v>
      </c>
      <c r="Q233" s="4" t="n">
        <v>352.7</v>
      </c>
      <c r="R233" s="3" t="inlineStr">
        <is>
          <t>지정되지않음</t>
        </is>
      </c>
      <c r="S233" s="3" t="inlineStr">
        <is>
          <t>주거나지</t>
        </is>
      </c>
      <c r="T233" s="3" t="inlineStr">
        <is>
          <t>평지</t>
        </is>
      </c>
      <c r="U233" s="3" t="inlineStr">
        <is>
          <t>가로장방</t>
        </is>
      </c>
      <c r="V233" s="3" t="inlineStr">
        <is>
          <t>소로각지</t>
        </is>
      </c>
    </row>
    <row r="234">
      <c r="A234" s="3" t="inlineStr">
        <is>
          <t>고운동 1330</t>
        </is>
      </c>
      <c r="B234" s="3" t="inlineStr">
        <is>
          <t>제1종전용주거지역</t>
        </is>
      </c>
      <c r="C234" s="3" t="inlineStr">
        <is>
          <t>대</t>
        </is>
      </c>
      <c r="D234" s="3" t="inlineStr">
        <is>
          <t>대</t>
        </is>
      </c>
      <c r="E234" s="3" t="inlineStr">
        <is>
          <t>매매</t>
        </is>
      </c>
      <c r="F234" s="4" t="n">
        <v>60000</v>
      </c>
      <c r="G234" s="4" t="n">
        <v>336</v>
      </c>
      <c r="H234" s="4" t="n">
        <v>102</v>
      </c>
      <c r="I234" s="5" t="n">
        <v>588.2</v>
      </c>
      <c r="J234" s="5" t="n">
        <v>336.5</v>
      </c>
      <c r="K234" s="3" t="inlineStr">
        <is>
          <t>햇빛 잘 들고 학교, 상가 가까워 생활 편리, 조율 가능</t>
        </is>
      </c>
      <c r="L234" s="6">
        <f>HYPERLINK("https://fin.land.naver.com/articles/2651034506", "매물Link")</f>
        <v/>
      </c>
      <c r="M234" s="6">
        <f>HYPERLINK("https://map.naver.com/p/search/고운동 1330", "지도Link")</f>
        <v/>
      </c>
      <c r="N234" s="6">
        <f>HYPERLINK("http://www.eum.go.kr/web/ar/lu/luLandDet.jsp?pnu=3611011200113300000&amp;isNoScr=script&amp;mode=search", "토지이음")</f>
        <v/>
      </c>
      <c r="O234" s="3" t="inlineStr">
        <is>
          <t>온뜰</t>
        </is>
      </c>
      <c r="P234" s="4" t="n">
        <v>1</v>
      </c>
      <c r="Q234" s="4" t="n">
        <v>336.7</v>
      </c>
      <c r="R234" s="3" t="inlineStr">
        <is>
          <t>지정되지않음</t>
        </is>
      </c>
      <c r="S234" s="3" t="inlineStr">
        <is>
          <t>주거나지</t>
        </is>
      </c>
      <c r="T234" s="3" t="inlineStr">
        <is>
          <t>평지</t>
        </is>
      </c>
      <c r="U234" s="3" t="inlineStr">
        <is>
          <t>세로장방</t>
        </is>
      </c>
      <c r="V234" s="3" t="inlineStr">
        <is>
          <t>소로한면</t>
        </is>
      </c>
    </row>
    <row r="235">
      <c r="A235" s="3" t="inlineStr">
        <is>
          <t>고운동 1331</t>
        </is>
      </c>
      <c r="B235" s="3" t="inlineStr">
        <is>
          <t>제1종전용주거지역</t>
        </is>
      </c>
      <c r="C235" s="3" t="inlineStr">
        <is>
          <t>대</t>
        </is>
      </c>
      <c r="D235" s="3" t="inlineStr">
        <is>
          <t>대</t>
        </is>
      </c>
      <c r="E235" s="3" t="inlineStr">
        <is>
          <t>매매</t>
        </is>
      </c>
      <c r="F235" s="4" t="n">
        <v>60000</v>
      </c>
      <c r="G235" s="4" t="n">
        <v>333</v>
      </c>
      <c r="H235" s="4" t="n">
        <v>101</v>
      </c>
      <c r="I235" s="5" t="n">
        <v>594.1</v>
      </c>
      <c r="J235" s="5" t="n">
        <v>380.2</v>
      </c>
      <c r="K235" s="3" t="inlineStr">
        <is>
          <t>nan</t>
        </is>
      </c>
      <c r="L235" s="6">
        <f>HYPERLINK("https://fin.land.naver.com/articles/2651034907", "매물Link")</f>
        <v/>
      </c>
      <c r="M235" s="6">
        <f>HYPERLINK("https://map.naver.com/p/search/고운동 1331", "지도Link")</f>
        <v/>
      </c>
      <c r="N235" s="6">
        <f>HYPERLINK("http://www.eum.go.kr/web/ar/lu/luLandDet.jsp?pnu=3611011200113310000&amp;isNoScr=script&amp;mode=search", "토지이음")</f>
        <v/>
      </c>
      <c r="O235" s="3" t="inlineStr">
        <is>
          <t>디아트성심</t>
        </is>
      </c>
      <c r="P235" s="4" t="n">
        <v>1</v>
      </c>
      <c r="Q235" s="4" t="n">
        <v>333.6</v>
      </c>
      <c r="R235" s="3" t="inlineStr">
        <is>
          <t>지정되지않음</t>
        </is>
      </c>
      <c r="S235" s="3" t="inlineStr">
        <is>
          <t>주거나지</t>
        </is>
      </c>
      <c r="T235" s="3" t="inlineStr">
        <is>
          <t>평지</t>
        </is>
      </c>
      <c r="U235" s="3" t="inlineStr">
        <is>
          <t>가로장방</t>
        </is>
      </c>
      <c r="V235" s="3" t="inlineStr">
        <is>
          <t>중로각지</t>
        </is>
      </c>
    </row>
    <row r="236">
      <c r="A236" s="3" t="inlineStr">
        <is>
          <t>고운동 1331</t>
        </is>
      </c>
      <c r="B236" s="3" t="inlineStr">
        <is>
          <t>제1종전용주거지역</t>
        </is>
      </c>
      <c r="C236" s="3" t="inlineStr">
        <is>
          <t>대</t>
        </is>
      </c>
      <c r="D236" s="3" t="inlineStr">
        <is>
          <t>대</t>
        </is>
      </c>
      <c r="E236" s="3" t="inlineStr">
        <is>
          <t>매매</t>
        </is>
      </c>
      <c r="F236" s="4" t="n">
        <v>60000</v>
      </c>
      <c r="G236" s="4" t="n">
        <v>333</v>
      </c>
      <c r="H236" s="4" t="n">
        <v>101</v>
      </c>
      <c r="I236" s="5" t="n">
        <v>594.1</v>
      </c>
      <c r="J236" s="5" t="n">
        <v>380.2</v>
      </c>
      <c r="K236" s="3" t="inlineStr">
        <is>
          <t>코너각지 위치 좋은 단독주택지</t>
        </is>
      </c>
      <c r="L236" s="6">
        <f>HYPERLINK("https://fin.land.naver.com/articles/2649698053", "매물Link")</f>
        <v/>
      </c>
      <c r="M236" s="6">
        <f>HYPERLINK("https://map.naver.com/p/search/고운동 1331", "지도Link")</f>
        <v/>
      </c>
      <c r="N236" s="6">
        <f>HYPERLINK("http://www.eum.go.kr/web/ar/lu/luLandDet.jsp?pnu=3611011200113310000&amp;isNoScr=script&amp;mode=search", "토지이음")</f>
        <v/>
      </c>
      <c r="O236" s="3" t="inlineStr">
        <is>
          <t>온뜰</t>
        </is>
      </c>
      <c r="P236" s="4" t="n">
        <v>1</v>
      </c>
      <c r="Q236" s="4" t="n">
        <v>333.6</v>
      </c>
      <c r="R236" s="3" t="inlineStr">
        <is>
          <t>지정되지않음</t>
        </is>
      </c>
      <c r="S236" s="3" t="inlineStr">
        <is>
          <t>주거나지</t>
        </is>
      </c>
      <c r="T236" s="3" t="inlineStr">
        <is>
          <t>평지</t>
        </is>
      </c>
      <c r="U236" s="3" t="inlineStr">
        <is>
          <t>가로장방</t>
        </is>
      </c>
      <c r="V236" s="3" t="inlineStr">
        <is>
          <t>중로각지</t>
        </is>
      </c>
    </row>
    <row r="237">
      <c r="A237" s="3" t="inlineStr">
        <is>
          <t>고운동 1331</t>
        </is>
      </c>
      <c r="B237" s="3" t="inlineStr">
        <is>
          <t>제1종전용주거지역</t>
        </is>
      </c>
      <c r="C237" s="3" t="inlineStr">
        <is>
          <t>대</t>
        </is>
      </c>
      <c r="D237" s="3" t="inlineStr">
        <is>
          <t>대</t>
        </is>
      </c>
      <c r="E237" s="3" t="inlineStr">
        <is>
          <t>매매</t>
        </is>
      </c>
      <c r="F237" s="4" t="n">
        <v>60000</v>
      </c>
      <c r="G237" s="4" t="n">
        <v>333</v>
      </c>
      <c r="H237" s="4" t="n">
        <v>101</v>
      </c>
      <c r="I237" s="5" t="n">
        <v>594.1</v>
      </c>
      <c r="J237" s="5" t="n">
        <v>380.2</v>
      </c>
      <c r="K237" s="3" t="inlineStr">
        <is>
          <t>급매 추가조율가능 남향 코너각지</t>
        </is>
      </c>
      <c r="L237" s="6">
        <f>HYPERLINK("https://fin.land.naver.com/articles/2651115923", "매물Link")</f>
        <v/>
      </c>
      <c r="M237" s="6">
        <f>HYPERLINK("https://map.naver.com/p/search/고운동 1331", "지도Link")</f>
        <v/>
      </c>
      <c r="N237" s="6">
        <f>HYPERLINK("http://www.eum.go.kr/web/ar/lu/luLandDet.jsp?pnu=3611011200113310000&amp;isNoScr=script&amp;mode=search", "토지이음")</f>
        <v/>
      </c>
      <c r="O237" s="3" t="inlineStr">
        <is>
          <t>세종스타</t>
        </is>
      </c>
      <c r="P237" s="4" t="n">
        <v>1</v>
      </c>
      <c r="Q237" s="4" t="n">
        <v>333.6</v>
      </c>
      <c r="R237" s="3" t="inlineStr">
        <is>
          <t>지정되지않음</t>
        </is>
      </c>
      <c r="S237" s="3" t="inlineStr">
        <is>
          <t>주거나지</t>
        </is>
      </c>
      <c r="T237" s="3" t="inlineStr">
        <is>
          <t>평지</t>
        </is>
      </c>
      <c r="U237" s="3" t="inlineStr">
        <is>
          <t>가로장방</t>
        </is>
      </c>
      <c r="V237" s="3" t="inlineStr">
        <is>
          <t>중로각지</t>
        </is>
      </c>
    </row>
    <row r="238">
      <c r="A238" s="3" t="inlineStr">
        <is>
          <t>고운동 1334</t>
        </is>
      </c>
      <c r="B238" s="3" t="inlineStr">
        <is>
          <t>제1종전용주거지역</t>
        </is>
      </c>
      <c r="C238" s="3" t="inlineStr">
        <is>
          <t>대</t>
        </is>
      </c>
      <c r="D238" s="3" t="inlineStr">
        <is>
          <t>대</t>
        </is>
      </c>
      <c r="E238" s="3" t="inlineStr">
        <is>
          <t>매매</t>
        </is>
      </c>
      <c r="F238" s="4" t="n">
        <v>43000</v>
      </c>
      <c r="G238" s="4" t="n">
        <v>329</v>
      </c>
      <c r="H238" s="4" t="n">
        <v>100</v>
      </c>
      <c r="I238" s="5" t="n">
        <v>430</v>
      </c>
      <c r="J238" s="5" t="n">
        <v>336.5</v>
      </c>
      <c r="K238" s="3" t="inlineStr">
        <is>
          <t>급매 실개천 가락초 인근</t>
        </is>
      </c>
      <c r="L238" s="6">
        <f>HYPERLINK("https://fin.land.naver.com/articles/2650372143", "매물Link")</f>
        <v/>
      </c>
      <c r="M238" s="6">
        <f>HYPERLINK("https://map.naver.com/p/search/고운동 1334", "지도Link")</f>
        <v/>
      </c>
      <c r="N238" s="6">
        <f>HYPERLINK("http://www.eum.go.kr/web/ar/lu/luLandDet.jsp?pnu=3611011200113340000&amp;isNoScr=script&amp;mode=search", "토지이음")</f>
        <v/>
      </c>
      <c r="O238" s="3" t="inlineStr">
        <is>
          <t>세종스타</t>
        </is>
      </c>
      <c r="P238" s="4" t="n">
        <v>2</v>
      </c>
      <c r="Q238" s="4" t="n">
        <v>329.7</v>
      </c>
      <c r="R238" s="3" t="inlineStr">
        <is>
          <t>지정되지않음</t>
        </is>
      </c>
      <c r="S238" s="3" t="inlineStr">
        <is>
          <t>주거나지</t>
        </is>
      </c>
      <c r="T238" s="3" t="inlineStr">
        <is>
          <t>평지</t>
        </is>
      </c>
      <c r="U238" s="3" t="inlineStr">
        <is>
          <t>세로장방</t>
        </is>
      </c>
      <c r="V238" s="3" t="inlineStr">
        <is>
          <t>소로한면</t>
        </is>
      </c>
    </row>
    <row r="239">
      <c r="A239" s="3" t="inlineStr">
        <is>
          <t>고운동 1343</t>
        </is>
      </c>
      <c r="B239" s="3" t="inlineStr">
        <is>
          <t>제1종전용주거지역</t>
        </is>
      </c>
      <c r="C239" s="3" t="inlineStr">
        <is>
          <t>대</t>
        </is>
      </c>
      <c r="D239" s="3" t="inlineStr">
        <is>
          <t>대</t>
        </is>
      </c>
      <c r="E239" s="3" t="inlineStr">
        <is>
          <t>매매</t>
        </is>
      </c>
      <c r="F239" s="4" t="n">
        <v>80000</v>
      </c>
      <c r="G239" s="4" t="n">
        <v>386</v>
      </c>
      <c r="H239" s="4" t="n">
        <v>117</v>
      </c>
      <c r="I239" s="5" t="n">
        <v>683.8</v>
      </c>
      <c r="J239" s="5" t="n">
        <v>349.4</v>
      </c>
      <c r="K239" s="3" t="inlineStr">
        <is>
          <t>넓은 평수 3면 도로접 개방감 최고, 학교 아파트 상가 가까워 생활편리</t>
        </is>
      </c>
      <c r="L239" s="6">
        <f>HYPERLINK("https://fin.land.naver.com/articles/2649698505", "매물Link")</f>
        <v/>
      </c>
      <c r="M239" s="6">
        <f>HYPERLINK("https://map.naver.com/p/search/고운동 1343", "지도Link")</f>
        <v/>
      </c>
      <c r="N239" s="6">
        <f>HYPERLINK("http://www.eum.go.kr/web/ar/lu/luLandDet.jsp?pnu=3611011200113430000&amp;isNoScr=script&amp;mode=search", "토지이음")</f>
        <v/>
      </c>
      <c r="O239" s="3" t="inlineStr">
        <is>
          <t>온뜰</t>
        </is>
      </c>
      <c r="P239" s="4" t="n">
        <v>1</v>
      </c>
      <c r="Q239" s="4" t="n">
        <v>386.8</v>
      </c>
      <c r="R239" s="3" t="inlineStr">
        <is>
          <t>지정되지않음</t>
        </is>
      </c>
      <c r="S239" s="3" t="inlineStr">
        <is>
          <t>주거나지</t>
        </is>
      </c>
      <c r="T239" s="3" t="inlineStr">
        <is>
          <t>평지</t>
        </is>
      </c>
      <c r="U239" s="3" t="inlineStr">
        <is>
          <t>사다리형</t>
        </is>
      </c>
      <c r="V239" s="3" t="inlineStr">
        <is>
          <t>소로각지</t>
        </is>
      </c>
    </row>
    <row r="240">
      <c r="A240" s="3" t="inlineStr">
        <is>
          <t>고운동 1343</t>
        </is>
      </c>
      <c r="B240" s="3" t="inlineStr">
        <is>
          <t>제1종전용주거지역</t>
        </is>
      </c>
      <c r="C240" s="3" t="inlineStr">
        <is>
          <t>대</t>
        </is>
      </c>
      <c r="D240" s="3" t="inlineStr">
        <is>
          <t>대</t>
        </is>
      </c>
      <c r="E240" s="3" t="inlineStr">
        <is>
          <t>매매</t>
        </is>
      </c>
      <c r="F240" s="4" t="n">
        <v>80000</v>
      </c>
      <c r="G240" s="4" t="n">
        <v>386</v>
      </c>
      <c r="H240" s="4" t="n">
        <v>117</v>
      </c>
      <c r="I240" s="5" t="n">
        <v>683.8</v>
      </c>
      <c r="J240" s="5" t="n">
        <v>349.4</v>
      </c>
      <c r="K240" s="3" t="inlineStr">
        <is>
          <t>코너가지로 상가 학교 이용하기 편리한 위치</t>
        </is>
      </c>
      <c r="L240" s="6">
        <f>HYPERLINK("https://fin.land.naver.com/articles/2651804547", "매물Link")</f>
        <v/>
      </c>
      <c r="M240" s="6">
        <f>HYPERLINK("https://map.naver.com/p/search/고운동 1343", "지도Link")</f>
        <v/>
      </c>
      <c r="N240" s="6">
        <f>HYPERLINK("http://www.eum.go.kr/web/ar/lu/luLandDet.jsp?pnu=3611011200113430000&amp;isNoScr=script&amp;mode=search", "토지이음")</f>
        <v/>
      </c>
      <c r="O240" s="3" t="inlineStr">
        <is>
          <t>고운동리치세종</t>
        </is>
      </c>
      <c r="P240" s="4" t="n">
        <v>1</v>
      </c>
      <c r="Q240" s="4" t="n">
        <v>386.8</v>
      </c>
      <c r="R240" s="3" t="inlineStr">
        <is>
          <t>지정되지않음</t>
        </is>
      </c>
      <c r="S240" s="3" t="inlineStr">
        <is>
          <t>주거나지</t>
        </is>
      </c>
      <c r="T240" s="3" t="inlineStr">
        <is>
          <t>평지</t>
        </is>
      </c>
      <c r="U240" s="3" t="inlineStr">
        <is>
          <t>사다리형</t>
        </is>
      </c>
      <c r="V240" s="3" t="inlineStr">
        <is>
          <t>소로각지</t>
        </is>
      </c>
    </row>
    <row r="241">
      <c r="A241" s="3" t="inlineStr">
        <is>
          <t>고운동 1344</t>
        </is>
      </c>
      <c r="B241" s="3" t="inlineStr">
        <is>
          <t>제1종전용주거지역</t>
        </is>
      </c>
      <c r="C241" s="3" t="inlineStr">
        <is>
          <t>대</t>
        </is>
      </c>
      <c r="D241" s="3" t="inlineStr">
        <is>
          <t>대</t>
        </is>
      </c>
      <c r="E241" s="3" t="inlineStr">
        <is>
          <t>매매</t>
        </is>
      </c>
      <c r="F241" s="4" t="n">
        <v>63000</v>
      </c>
      <c r="G241" s="4" t="n">
        <v>348</v>
      </c>
      <c r="H241" s="4" t="n">
        <v>105</v>
      </c>
      <c r="I241" s="5" t="n">
        <v>600</v>
      </c>
      <c r="J241" s="5" t="n">
        <v>332.9</v>
      </c>
      <c r="K241" s="3" t="inlineStr">
        <is>
          <t>주택에 정원 설계가 용이한 토지 모양, 편의시설 가까워 생활편리</t>
        </is>
      </c>
      <c r="L241" s="6">
        <f>HYPERLINK("https://fin.land.naver.com/articles/2649699764", "매물Link")</f>
        <v/>
      </c>
      <c r="M241" s="6">
        <f>HYPERLINK("https://map.naver.com/p/search/고운동 1344", "지도Link")</f>
        <v/>
      </c>
      <c r="N241" s="6">
        <f>HYPERLINK("http://www.eum.go.kr/web/ar/lu/luLandDet.jsp?pnu=3611011200113440000&amp;isNoScr=script&amp;mode=search", "토지이음")</f>
        <v/>
      </c>
      <c r="O241" s="3" t="inlineStr">
        <is>
          <t>온뜰</t>
        </is>
      </c>
      <c r="P241" s="4" t="n">
        <v>1</v>
      </c>
      <c r="Q241" s="4" t="n">
        <v>348.8</v>
      </c>
      <c r="R241" s="3" t="inlineStr">
        <is>
          <t>지정되지않음</t>
        </is>
      </c>
      <c r="S241" s="3" t="inlineStr">
        <is>
          <t>주거나지</t>
        </is>
      </c>
      <c r="T241" s="3" t="inlineStr">
        <is>
          <t>평지</t>
        </is>
      </c>
      <c r="U241" s="3" t="inlineStr">
        <is>
          <t>사다리형</t>
        </is>
      </c>
      <c r="V241" s="3" t="inlineStr">
        <is>
          <t>소로한면</t>
        </is>
      </c>
    </row>
    <row r="242">
      <c r="A242" s="3" t="inlineStr">
        <is>
          <t>고운동 1344</t>
        </is>
      </c>
      <c r="B242" s="3" t="inlineStr">
        <is>
          <t>제1종전용주거지역</t>
        </is>
      </c>
      <c r="C242" s="3" t="inlineStr">
        <is>
          <t>대</t>
        </is>
      </c>
      <c r="D242" s="3" t="inlineStr">
        <is>
          <t>대</t>
        </is>
      </c>
      <c r="E242" s="3" t="inlineStr">
        <is>
          <t>매매</t>
        </is>
      </c>
      <c r="F242" s="4" t="n">
        <v>64000</v>
      </c>
      <c r="G242" s="4" t="n">
        <v>348</v>
      </c>
      <c r="H242" s="4" t="n">
        <v>105</v>
      </c>
      <c r="I242" s="5" t="n">
        <v>609.5</v>
      </c>
      <c r="J242" s="5" t="n">
        <v>332.9</v>
      </c>
      <c r="K242" s="3" t="inlineStr">
        <is>
          <t>총 105.7p, 정남향, 상가인근 토지</t>
        </is>
      </c>
      <c r="L242" s="6">
        <f>HYPERLINK("https://fin.land.naver.com/articles/2653682023", "매물Link")</f>
        <v/>
      </c>
      <c r="M242" s="6">
        <f>HYPERLINK("https://map.naver.com/p/search/고운동 1344", "지도Link")</f>
        <v/>
      </c>
      <c r="N242" s="6">
        <f>HYPERLINK("http://www.eum.go.kr/web/ar/lu/luLandDet.jsp?pnu=3611011200113440000&amp;isNoScr=script&amp;mode=search", "토지이음")</f>
        <v/>
      </c>
      <c r="O242" s="3" t="inlineStr">
        <is>
          <t>명진</t>
        </is>
      </c>
      <c r="P242" s="4" t="n">
        <v>1</v>
      </c>
      <c r="Q242" s="4" t="n">
        <v>348.8</v>
      </c>
      <c r="R242" s="3" t="inlineStr">
        <is>
          <t>지정되지않음</t>
        </is>
      </c>
      <c r="S242" s="3" t="inlineStr">
        <is>
          <t>주거나지</t>
        </is>
      </c>
      <c r="T242" s="3" t="inlineStr">
        <is>
          <t>평지</t>
        </is>
      </c>
      <c r="U242" s="3" t="inlineStr">
        <is>
          <t>사다리형</t>
        </is>
      </c>
      <c r="V242" s="3" t="inlineStr">
        <is>
          <t>소로한면</t>
        </is>
      </c>
    </row>
    <row r="243">
      <c r="A243" s="3" t="inlineStr">
        <is>
          <t>고운동 1433</t>
        </is>
      </c>
      <c r="B243" s="3" t="inlineStr">
        <is>
          <t>제1종전용주거지역</t>
        </is>
      </c>
      <c r="C243" s="3" t="inlineStr">
        <is>
          <t>대</t>
        </is>
      </c>
      <c r="D243" s="3" t="inlineStr">
        <is>
          <t>대</t>
        </is>
      </c>
      <c r="E243" s="3" t="inlineStr">
        <is>
          <t>매매</t>
        </is>
      </c>
      <c r="F243" s="4" t="n">
        <v>65000</v>
      </c>
      <c r="G243" s="4" t="n">
        <v>334</v>
      </c>
      <c r="H243" s="4" t="n">
        <v>101</v>
      </c>
      <c r="I243" s="5" t="n">
        <v>643.6</v>
      </c>
      <c r="J243" s="5" t="n">
        <v>334.9</v>
      </c>
      <c r="K243" s="3" t="inlineStr">
        <is>
          <t>nan</t>
        </is>
      </c>
      <c r="L243" s="6">
        <f>HYPERLINK("https://fin.land.naver.com/articles/2649619098", "매물Link")</f>
        <v/>
      </c>
      <c r="M243" s="6">
        <f>HYPERLINK("https://map.naver.com/p/search/고운동 1433", "지도Link")</f>
        <v/>
      </c>
      <c r="N243" s="6">
        <f>HYPERLINK("http://www.eum.go.kr/web/ar/lu/luLandDet.jsp?pnu=3611011200114330000&amp;isNoScr=script&amp;mode=search", "토지이음")</f>
        <v/>
      </c>
      <c r="O243" s="3" t="inlineStr">
        <is>
          <t>세종스타</t>
        </is>
      </c>
      <c r="P243" s="4" t="n">
        <v>1</v>
      </c>
      <c r="Q243" s="4" t="n">
        <v>334</v>
      </c>
      <c r="R243" s="3" t="inlineStr">
        <is>
          <t>지정되지않음</t>
        </is>
      </c>
      <c r="S243" s="3" t="inlineStr">
        <is>
          <t>주거나지</t>
        </is>
      </c>
      <c r="T243" s="3" t="inlineStr">
        <is>
          <t>평지</t>
        </is>
      </c>
      <c r="U243" s="3" t="inlineStr">
        <is>
          <t>가로장방</t>
        </is>
      </c>
      <c r="V243" s="3" t="inlineStr">
        <is>
          <t>소로한면</t>
        </is>
      </c>
    </row>
    <row r="244">
      <c r="A244" s="3" t="inlineStr">
        <is>
          <t>고운동 1462</t>
        </is>
      </c>
      <c r="B244" s="3" t="inlineStr">
        <is>
          <t>제1종전용주거지역</t>
        </is>
      </c>
      <c r="C244" s="3" t="inlineStr">
        <is>
          <t>대</t>
        </is>
      </c>
      <c r="D244" s="3" t="inlineStr">
        <is>
          <t>대</t>
        </is>
      </c>
      <c r="E244" s="3" t="inlineStr">
        <is>
          <t>매매</t>
        </is>
      </c>
      <c r="F244" s="4" t="n">
        <v>60000</v>
      </c>
      <c r="G244" s="4" t="n">
        <v>358</v>
      </c>
      <c r="H244" s="4" t="n">
        <v>108</v>
      </c>
      <c r="I244" s="5" t="n">
        <v>555.6</v>
      </c>
      <c r="J244" s="5" t="n">
        <v>334.9</v>
      </c>
      <c r="K244" s="3" t="inlineStr">
        <is>
          <t>고운동단독택지매매 지대높고 가격조정가능</t>
        </is>
      </c>
      <c r="L244" s="6">
        <f>HYPERLINK("https://fin.land.naver.com/articles/2654626693", "매물Link")</f>
        <v/>
      </c>
      <c r="M244" s="6">
        <f>HYPERLINK("https://map.naver.com/p/search/고운동 1462", "지도Link")</f>
        <v/>
      </c>
      <c r="N244" s="6">
        <f>HYPERLINK("http://www.eum.go.kr/web/ar/lu/luLandDet.jsp?pnu=3611011200114620000&amp;isNoScr=script&amp;mode=search", "토지이음")</f>
        <v/>
      </c>
      <c r="O244" s="3" t="inlineStr">
        <is>
          <t>고운동리치세종</t>
        </is>
      </c>
      <c r="P244" s="4" t="n">
        <v>1</v>
      </c>
      <c r="Q244" s="4" t="n">
        <v>358</v>
      </c>
      <c r="R244" s="3" t="inlineStr">
        <is>
          <t>지정되지않음</t>
        </is>
      </c>
      <c r="S244" s="3" t="inlineStr">
        <is>
          <t>주거나지</t>
        </is>
      </c>
      <c r="T244" s="3" t="inlineStr">
        <is>
          <t>평지</t>
        </is>
      </c>
      <c r="U244" s="3" t="inlineStr">
        <is>
          <t>정방형</t>
        </is>
      </c>
      <c r="V244" s="3" t="inlineStr">
        <is>
          <t>소로한면</t>
        </is>
      </c>
    </row>
    <row r="245">
      <c r="A245" s="3" t="inlineStr">
        <is>
          <t>고운동 1463</t>
        </is>
      </c>
      <c r="B245" s="3" t="inlineStr">
        <is>
          <t>제1종전용주거지역</t>
        </is>
      </c>
      <c r="C245" s="3" t="inlineStr">
        <is>
          <t>대</t>
        </is>
      </c>
      <c r="D245" s="3" t="inlineStr">
        <is>
          <t>대</t>
        </is>
      </c>
      <c r="E245" s="3" t="inlineStr">
        <is>
          <t>매매</t>
        </is>
      </c>
      <c r="F245" s="4" t="n">
        <v>69000</v>
      </c>
      <c r="G245" s="4" t="n">
        <v>356</v>
      </c>
      <c r="H245" s="4" t="n">
        <v>108</v>
      </c>
      <c r="I245" s="5" t="n">
        <v>638.9</v>
      </c>
      <c r="J245" s="5" t="n">
        <v>334.9</v>
      </c>
      <c r="K245" s="3" t="inlineStr">
        <is>
          <t>고운동 단독주택지 저렴한 매물</t>
        </is>
      </c>
      <c r="L245" s="6">
        <f>HYPERLINK("https://fin.land.naver.com/articles/2654240406", "매물Link")</f>
        <v/>
      </c>
      <c r="M245" s="6">
        <f>HYPERLINK("https://map.naver.com/p/search/고운동 1463", "지도Link")</f>
        <v/>
      </c>
      <c r="N245" s="6">
        <f>HYPERLINK("http://www.eum.go.kr/web/ar/lu/luLandDet.jsp?pnu=3611011200114630000&amp;isNoScr=script&amp;mode=search", "토지이음")</f>
        <v/>
      </c>
      <c r="O245" s="3" t="inlineStr">
        <is>
          <t>명품시티</t>
        </is>
      </c>
      <c r="P245" s="4" t="n">
        <v>1</v>
      </c>
      <c r="Q245" s="4" t="n">
        <v>356</v>
      </c>
      <c r="R245" s="3" t="inlineStr">
        <is>
          <t>지정되지않음</t>
        </is>
      </c>
      <c r="S245" s="3" t="inlineStr">
        <is>
          <t>주거나지</t>
        </is>
      </c>
      <c r="T245" s="3" t="inlineStr">
        <is>
          <t>평지</t>
        </is>
      </c>
      <c r="U245" s="3" t="inlineStr">
        <is>
          <t>정방형</t>
        </is>
      </c>
      <c r="V245" s="3" t="inlineStr">
        <is>
          <t>소로한면</t>
        </is>
      </c>
    </row>
    <row r="246">
      <c r="A246" s="3" t="inlineStr">
        <is>
          <t>고운동 1464</t>
        </is>
      </c>
      <c r="B246" s="3" t="inlineStr">
        <is>
          <t>제1종전용주거지역</t>
        </is>
      </c>
      <c r="C246" s="3" t="inlineStr">
        <is>
          <t>대</t>
        </is>
      </c>
      <c r="D246" s="3" t="inlineStr">
        <is>
          <t>대</t>
        </is>
      </c>
      <c r="E246" s="3" t="inlineStr">
        <is>
          <t>매매</t>
        </is>
      </c>
      <c r="F246" s="4" t="n">
        <v>60000</v>
      </c>
      <c r="G246" s="4" t="n">
        <v>357</v>
      </c>
      <c r="H246" s="4" t="n">
        <v>108</v>
      </c>
      <c r="I246" s="5" t="n">
        <v>555.6</v>
      </c>
      <c r="J246" s="5" t="n">
        <v>334.9</v>
      </c>
      <c r="K246" s="3" t="inlineStr">
        <is>
          <t>급매 우측시유지 넓은접함 조율가능</t>
        </is>
      </c>
      <c r="L246" s="6">
        <f>HYPERLINK("https://fin.land.naver.com/articles/2651088249", "매물Link")</f>
        <v/>
      </c>
      <c r="M246" s="6">
        <f>HYPERLINK("https://map.naver.com/p/search/고운동 1464", "지도Link")</f>
        <v/>
      </c>
      <c r="N246" s="6">
        <f>HYPERLINK("http://www.eum.go.kr/web/ar/lu/luLandDet.jsp?pnu=3611011200114640000&amp;isNoScr=script&amp;mode=search", "토지이음")</f>
        <v/>
      </c>
      <c r="O246" s="3" t="inlineStr">
        <is>
          <t>세종스타</t>
        </is>
      </c>
      <c r="P246" s="4" t="n">
        <v>1</v>
      </c>
      <c r="Q246" s="4" t="n">
        <v>357</v>
      </c>
      <c r="R246" s="3" t="inlineStr">
        <is>
          <t>지정되지않음</t>
        </is>
      </c>
      <c r="S246" s="3" t="inlineStr">
        <is>
          <t>주거나지</t>
        </is>
      </c>
      <c r="T246" s="3" t="inlineStr">
        <is>
          <t>평지</t>
        </is>
      </c>
      <c r="U246" s="3" t="inlineStr">
        <is>
          <t>정방형</t>
        </is>
      </c>
      <c r="V246" s="3" t="inlineStr">
        <is>
          <t>소로한면</t>
        </is>
      </c>
    </row>
    <row r="247">
      <c r="A247" s="3" t="inlineStr">
        <is>
          <t>고운동 1464</t>
        </is>
      </c>
      <c r="B247" s="3" t="inlineStr">
        <is>
          <t>제1종전용주거지역</t>
        </is>
      </c>
      <c r="C247" s="3" t="inlineStr">
        <is>
          <t>대</t>
        </is>
      </c>
      <c r="D247" s="3" t="inlineStr">
        <is>
          <t>대</t>
        </is>
      </c>
      <c r="E247" s="3" t="inlineStr">
        <is>
          <t>매매</t>
        </is>
      </c>
      <c r="F247" s="4" t="n">
        <v>61000</v>
      </c>
      <c r="G247" s="4" t="n">
        <v>357</v>
      </c>
      <c r="H247" s="4" t="n">
        <v>108</v>
      </c>
      <c r="I247" s="5" t="n">
        <v>564.8</v>
      </c>
      <c r="J247" s="5" t="n">
        <v>334.9</v>
      </c>
      <c r="K247" s="3" t="inlineStr">
        <is>
          <t>향후 투자수익 목적등 모두를 이룰 세종시 길가 주택입니다</t>
        </is>
      </c>
      <c r="L247" s="6">
        <f>HYPERLINK("https://fin.land.naver.com/articles/2653370340", "매물Link")</f>
        <v/>
      </c>
      <c r="M247" s="6">
        <f>HYPERLINK("https://map.naver.com/p/search/고운동 1464", "지도Link")</f>
        <v/>
      </c>
      <c r="N247" s="6">
        <f>HYPERLINK("http://www.eum.go.kr/web/ar/lu/luLandDet.jsp?pnu=3611011200114640000&amp;isNoScr=script&amp;mode=search", "토지이음")</f>
        <v/>
      </c>
      <c r="O247" s="3" t="inlineStr">
        <is>
          <t>럭키</t>
        </is>
      </c>
      <c r="P247" s="4" t="n">
        <v>1</v>
      </c>
      <c r="Q247" s="4" t="n">
        <v>357</v>
      </c>
      <c r="R247" s="3" t="inlineStr">
        <is>
          <t>지정되지않음</t>
        </is>
      </c>
      <c r="S247" s="3" t="inlineStr">
        <is>
          <t>주거나지</t>
        </is>
      </c>
      <c r="T247" s="3" t="inlineStr">
        <is>
          <t>평지</t>
        </is>
      </c>
      <c r="U247" s="3" t="inlineStr">
        <is>
          <t>정방형</t>
        </is>
      </c>
      <c r="V247" s="3" t="inlineStr">
        <is>
          <t>소로한면</t>
        </is>
      </c>
    </row>
    <row r="248">
      <c r="A248" s="3" t="inlineStr">
        <is>
          <t>고운동 1491</t>
        </is>
      </c>
      <c r="B248" s="3" t="inlineStr">
        <is>
          <t>제1종전용주거지역</t>
        </is>
      </c>
      <c r="C248" s="3" t="inlineStr">
        <is>
          <t>대</t>
        </is>
      </c>
      <c r="D248" s="3" t="inlineStr">
        <is>
          <t>대</t>
        </is>
      </c>
      <c r="E248" s="3" t="inlineStr">
        <is>
          <t>매매</t>
        </is>
      </c>
      <c r="F248" s="4" t="n">
        <v>60000</v>
      </c>
      <c r="G248" s="4" t="n">
        <v>325</v>
      </c>
      <c r="H248" s="4" t="n">
        <v>98</v>
      </c>
      <c r="I248" s="5" t="n">
        <v>612.2</v>
      </c>
      <c r="J248" s="5" t="n">
        <v>351.4</v>
      </c>
      <c r="K248" s="3" t="inlineStr">
        <is>
          <t>코너각지로 상가와복컴,학교가까운 위치좋은택지</t>
        </is>
      </c>
      <c r="L248" s="6">
        <f>HYPERLINK("https://fin.land.naver.com/articles/2649416314", "매물Link")</f>
        <v/>
      </c>
      <c r="M248" s="6">
        <f>HYPERLINK("https://map.naver.com/p/search/고운동 1491", "지도Link")</f>
        <v/>
      </c>
      <c r="N248" s="6">
        <f>HYPERLINK("http://www.eum.go.kr/web/ar/lu/luLandDet.jsp?pnu=3611011200114910000&amp;isNoScr=script&amp;mode=search", "토지이음")</f>
        <v/>
      </c>
      <c r="O248" s="3" t="inlineStr">
        <is>
          <t>세종황소</t>
        </is>
      </c>
      <c r="P248" s="4" t="n">
        <v>1</v>
      </c>
      <c r="Q248" s="4" t="n">
        <v>325.6</v>
      </c>
      <c r="R248" s="3" t="inlineStr">
        <is>
          <t>지정되지않음</t>
        </is>
      </c>
      <c r="S248" s="3" t="inlineStr">
        <is>
          <t>주거나지</t>
        </is>
      </c>
      <c r="T248" s="3" t="inlineStr">
        <is>
          <t>평지</t>
        </is>
      </c>
      <c r="U248" s="3" t="inlineStr">
        <is>
          <t>정방형</t>
        </is>
      </c>
      <c r="V248" s="3" t="inlineStr">
        <is>
          <t>소로각지</t>
        </is>
      </c>
    </row>
    <row r="249">
      <c r="A249" s="3" t="inlineStr">
        <is>
          <t>고운동 1524</t>
        </is>
      </c>
      <c r="B249" s="3" t="inlineStr">
        <is>
          <t>제1종전용주거지역</t>
        </is>
      </c>
      <c r="C249" s="3" t="inlineStr">
        <is>
          <t>대</t>
        </is>
      </c>
      <c r="D249" s="3" t="inlineStr">
        <is>
          <t>대</t>
        </is>
      </c>
      <c r="E249" s="3" t="inlineStr">
        <is>
          <t>매매</t>
        </is>
      </c>
      <c r="F249" s="4" t="n">
        <v>112000</v>
      </c>
      <c r="G249" s="4" t="n">
        <v>409</v>
      </c>
      <c r="H249" s="4" t="n">
        <v>124</v>
      </c>
      <c r="I249" s="5" t="n">
        <v>903.2</v>
      </c>
      <c r="J249" s="5" t="n">
        <v>787.1</v>
      </c>
      <c r="K249" s="3" t="inlineStr">
        <is>
          <t>귀한 근생용지o완전급매o</t>
        </is>
      </c>
      <c r="L249" s="6">
        <f>HYPERLINK("https://fin.land.naver.com/articles/2653032547", "매물Link")</f>
        <v/>
      </c>
      <c r="M249" s="6">
        <f>HYPERLINK("https://map.naver.com/p/search/고운동 1524", "지도Link")</f>
        <v/>
      </c>
      <c r="N249" s="6">
        <f>HYPERLINK("http://www.eum.go.kr/web/ar/lu/luLandDet.jsp?pnu=3611011200115240000&amp;isNoScr=script&amp;mode=search", "토지이음")</f>
        <v/>
      </c>
      <c r="O249" s="3" t="inlineStr">
        <is>
          <t>가치잇는</t>
        </is>
      </c>
      <c r="P249" s="4" t="n">
        <v>3</v>
      </c>
      <c r="Q249" s="4" t="n">
        <v>409.3</v>
      </c>
      <c r="R249" s="3" t="inlineStr">
        <is>
          <t>지정되지않음</t>
        </is>
      </c>
      <c r="S249" s="3" t="inlineStr">
        <is>
          <t>상업용</t>
        </is>
      </c>
      <c r="T249" s="3" t="inlineStr">
        <is>
          <t>평지</t>
        </is>
      </c>
      <c r="U249" s="3" t="inlineStr">
        <is>
          <t>가로장방</t>
        </is>
      </c>
      <c r="V249" s="3" t="inlineStr">
        <is>
          <t>중로한면</t>
        </is>
      </c>
    </row>
    <row r="250">
      <c r="A250" s="3" t="inlineStr">
        <is>
          <t>고운동 1531</t>
        </is>
      </c>
      <c r="B250" s="3" t="inlineStr">
        <is>
          <t>제1종전용주거지역</t>
        </is>
      </c>
      <c r="C250" s="3" t="inlineStr">
        <is>
          <t>대</t>
        </is>
      </c>
      <c r="D250" s="3" t="inlineStr">
        <is>
          <t>대</t>
        </is>
      </c>
      <c r="E250" s="3" t="inlineStr">
        <is>
          <t>매매</t>
        </is>
      </c>
      <c r="F250" s="4" t="n">
        <v>110000</v>
      </c>
      <c r="G250" s="4" t="n">
        <v>361</v>
      </c>
      <c r="H250" s="4" t="n">
        <v>109</v>
      </c>
      <c r="I250" s="5" t="n">
        <v>1009.2</v>
      </c>
      <c r="J250" s="5" t="n">
        <v>771.9</v>
      </c>
      <c r="K250" s="3" t="inlineStr">
        <is>
          <t>대로변 근생부지 매매</t>
        </is>
      </c>
      <c r="L250" s="6">
        <f>HYPERLINK("https://fin.land.naver.com/articles/2651891397", "매물Link")</f>
        <v/>
      </c>
      <c r="M250" s="6">
        <f>HYPERLINK("https://map.naver.com/p/search/고운동 1531", "지도Link")</f>
        <v/>
      </c>
      <c r="N250" s="6">
        <f>HYPERLINK("http://www.eum.go.kr/web/ar/lu/luLandDet.jsp?pnu=3611011200115310000&amp;isNoScr=script&amp;mode=search", "토지이음")</f>
        <v/>
      </c>
      <c r="O250" s="3" t="inlineStr">
        <is>
          <t>창고의여왕</t>
        </is>
      </c>
      <c r="P250" s="4" t="n">
        <v>1</v>
      </c>
      <c r="Q250" s="4" t="n">
        <v>361.8</v>
      </c>
      <c r="R250" s="3" t="inlineStr">
        <is>
          <t>지정되지않음</t>
        </is>
      </c>
      <c r="S250" s="3" t="inlineStr">
        <is>
          <t>상업나지</t>
        </is>
      </c>
      <c r="T250" s="3" t="inlineStr">
        <is>
          <t>평지</t>
        </is>
      </c>
      <c r="U250" s="3" t="inlineStr">
        <is>
          <t>정방형</t>
        </is>
      </c>
      <c r="V250" s="3" t="inlineStr">
        <is>
          <t>중로한면</t>
        </is>
      </c>
    </row>
    <row r="251">
      <c r="A251" s="3" t="inlineStr">
        <is>
          <t>고운동 1531</t>
        </is>
      </c>
      <c r="B251" s="3" t="inlineStr">
        <is>
          <t>제1종전용주거지역</t>
        </is>
      </c>
      <c r="C251" s="3" t="inlineStr">
        <is>
          <t>대</t>
        </is>
      </c>
      <c r="D251" s="3" t="inlineStr">
        <is>
          <t>대</t>
        </is>
      </c>
      <c r="E251" s="3" t="inlineStr">
        <is>
          <t>매매</t>
        </is>
      </c>
      <c r="F251" s="4" t="n">
        <v>99000</v>
      </c>
      <c r="G251" s="4" t="n">
        <v>361</v>
      </c>
      <c r="H251" s="4" t="n">
        <v>109</v>
      </c>
      <c r="I251" s="5" t="n">
        <v>908.3</v>
      </c>
      <c r="J251" s="5" t="n">
        <v>771.9</v>
      </c>
      <c r="K251" s="3" t="inlineStr">
        <is>
          <t>I 급매 I 먹자골목 메인 대로변 파격 급매 근생용지, 직접 지어서 운영</t>
        </is>
      </c>
      <c r="L251" s="6">
        <f>HYPERLINK("https://fin.land.naver.com/articles/2654556399", "매물Link")</f>
        <v/>
      </c>
      <c r="M251" s="6">
        <f>HYPERLINK("https://map.naver.com/p/search/고운동 1531", "지도Link")</f>
        <v/>
      </c>
      <c r="N251" s="6">
        <f>HYPERLINK("http://www.eum.go.kr/web/ar/lu/luLandDet.jsp?pnu=3611011200115310000&amp;isNoScr=script&amp;mode=search", "토지이음")</f>
        <v/>
      </c>
      <c r="O251" s="3" t="inlineStr">
        <is>
          <t>세종신한</t>
        </is>
      </c>
      <c r="P251" s="4" t="n">
        <v>1</v>
      </c>
      <c r="Q251" s="4" t="n">
        <v>361.8</v>
      </c>
      <c r="R251" s="3" t="inlineStr">
        <is>
          <t>지정되지않음</t>
        </is>
      </c>
      <c r="S251" s="3" t="inlineStr">
        <is>
          <t>상업나지</t>
        </is>
      </c>
      <c r="T251" s="3" t="inlineStr">
        <is>
          <t>평지</t>
        </is>
      </c>
      <c r="U251" s="3" t="inlineStr">
        <is>
          <t>정방형</t>
        </is>
      </c>
      <c r="V251" s="3" t="inlineStr">
        <is>
          <t>중로한면</t>
        </is>
      </c>
    </row>
    <row r="252">
      <c r="A252" s="3" t="inlineStr">
        <is>
          <t>고운동 1539</t>
        </is>
      </c>
      <c r="B252" s="3" t="inlineStr">
        <is>
          <t>제1종전용주거지역</t>
        </is>
      </c>
      <c r="C252" s="3" t="inlineStr">
        <is>
          <t>대</t>
        </is>
      </c>
      <c r="D252" s="3" t="inlineStr">
        <is>
          <t>대</t>
        </is>
      </c>
      <c r="E252" s="3" t="inlineStr">
        <is>
          <t>매매</t>
        </is>
      </c>
      <c r="F252" s="4" t="n">
        <v>50000</v>
      </c>
      <c r="G252" s="4" t="n">
        <v>377</v>
      </c>
      <c r="H252" s="4" t="n">
        <v>114</v>
      </c>
      <c r="I252" s="5" t="n">
        <v>438.6</v>
      </c>
      <c r="J252" s="5" t="n">
        <v>340.2</v>
      </c>
      <c r="K252" s="3" t="inlineStr">
        <is>
          <t>급매 추가조율협의됨 넓은필지</t>
        </is>
      </c>
      <c r="L252" s="6">
        <f>HYPERLINK("https://fin.land.naver.com/articles/2651115388", "매물Link")</f>
        <v/>
      </c>
      <c r="M252" s="6">
        <f>HYPERLINK("https://map.naver.com/p/search/고운동 1539", "지도Link")</f>
        <v/>
      </c>
      <c r="N252" s="6">
        <f>HYPERLINK("http://www.eum.go.kr/web/ar/lu/luLandDet.jsp?pnu=3611011200115390000&amp;isNoScr=script&amp;mode=search", "토지이음")</f>
        <v/>
      </c>
      <c r="O252" s="3" t="inlineStr">
        <is>
          <t>세종스타</t>
        </is>
      </c>
      <c r="P252" s="4" t="n">
        <v>1</v>
      </c>
      <c r="Q252" s="4" t="n">
        <v>377.1</v>
      </c>
      <c r="R252" s="3" t="inlineStr">
        <is>
          <t>지정되지않음</t>
        </is>
      </c>
      <c r="S252" s="3" t="inlineStr">
        <is>
          <t>주거나지</t>
        </is>
      </c>
      <c r="T252" s="3" t="inlineStr">
        <is>
          <t>평지</t>
        </is>
      </c>
      <c r="U252" s="3" t="inlineStr">
        <is>
          <t>가로장방</t>
        </is>
      </c>
      <c r="V252" s="3" t="inlineStr">
        <is>
          <t>소로각지</t>
        </is>
      </c>
    </row>
    <row r="253">
      <c r="A253" s="3" t="inlineStr">
        <is>
          <t>고운동 1551</t>
        </is>
      </c>
      <c r="B253" s="3" t="inlineStr">
        <is>
          <t>제1종전용주거지역</t>
        </is>
      </c>
      <c r="C253" s="3" t="inlineStr">
        <is>
          <t>대</t>
        </is>
      </c>
      <c r="D253" s="3" t="inlineStr">
        <is>
          <t>대</t>
        </is>
      </c>
      <c r="E253" s="3" t="inlineStr">
        <is>
          <t>매매</t>
        </is>
      </c>
      <c r="F253" s="4" t="n">
        <v>50000</v>
      </c>
      <c r="G253" s="4" t="n">
        <v>395</v>
      </c>
      <c r="H253" s="4" t="n">
        <v>119</v>
      </c>
      <c r="I253" s="5" t="n">
        <v>420.2</v>
      </c>
      <c r="J253" s="5" t="n">
        <v>324.2</v>
      </c>
      <c r="K253" s="3" t="inlineStr">
        <is>
          <t>급매,복합커뮤니티센터,중심상권,학군도보가능 생활권 편리</t>
        </is>
      </c>
      <c r="L253" s="6">
        <f>HYPERLINK("https://fin.land.naver.com/articles/2650851019", "매물Link")</f>
        <v/>
      </c>
      <c r="M253" s="6">
        <f>HYPERLINK("https://map.naver.com/p/search/고운동 1551", "지도Link")</f>
        <v/>
      </c>
      <c r="N253" s="6">
        <f>HYPERLINK("http://www.eum.go.kr/web/ar/lu/luLandDet.jsp?pnu=3611011200115510000&amp;isNoScr=script&amp;mode=search", "토지이음")</f>
        <v/>
      </c>
      <c r="O253" s="3" t="inlineStr">
        <is>
          <t>고운맘</t>
        </is>
      </c>
      <c r="P253" s="4" t="n">
        <v>1</v>
      </c>
      <c r="Q253" s="4" t="n">
        <v>395.6</v>
      </c>
      <c r="R253" s="3" t="inlineStr">
        <is>
          <t>지정되지않음</t>
        </is>
      </c>
      <c r="S253" s="3" t="inlineStr">
        <is>
          <t>주거나지</t>
        </is>
      </c>
      <c r="T253" s="3" t="inlineStr">
        <is>
          <t>평지</t>
        </is>
      </c>
      <c r="U253" s="3" t="inlineStr">
        <is>
          <t>가로장방</t>
        </is>
      </c>
      <c r="V253" s="3" t="inlineStr">
        <is>
          <t>소로한면</t>
        </is>
      </c>
    </row>
    <row r="254">
      <c r="A254" s="3" t="inlineStr">
        <is>
          <t>고운동 1551</t>
        </is>
      </c>
      <c r="B254" s="3" t="inlineStr">
        <is>
          <t>제1종전용주거지역</t>
        </is>
      </c>
      <c r="C254" s="3" t="inlineStr">
        <is>
          <t>대</t>
        </is>
      </c>
      <c r="D254" s="3" t="inlineStr">
        <is>
          <t>대</t>
        </is>
      </c>
      <c r="E254" s="3" t="inlineStr">
        <is>
          <t>매매</t>
        </is>
      </c>
      <c r="F254" s="4" t="n">
        <v>50000</v>
      </c>
      <c r="G254" s="4" t="n">
        <v>395</v>
      </c>
      <c r="H254" s="4" t="n">
        <v>119</v>
      </c>
      <c r="I254" s="5" t="n">
        <v>420.2</v>
      </c>
      <c r="J254" s="5" t="n">
        <v>324.2</v>
      </c>
      <c r="K254" s="3" t="inlineStr">
        <is>
          <t>총 119.9p, 상가인근토지, 삼거리 위치</t>
        </is>
      </c>
      <c r="L254" s="6">
        <f>HYPERLINK("https://fin.land.naver.com/articles/2652843053", "매물Link")</f>
        <v/>
      </c>
      <c r="M254" s="6">
        <f>HYPERLINK("https://map.naver.com/p/search/고운동 1551", "지도Link")</f>
        <v/>
      </c>
      <c r="N254" s="6">
        <f>HYPERLINK("http://www.eum.go.kr/web/ar/lu/luLandDet.jsp?pnu=3611011200115510000&amp;isNoScr=script&amp;mode=search", "토지이음")</f>
        <v/>
      </c>
      <c r="O254" s="3" t="inlineStr">
        <is>
          <t>세종무지개</t>
        </is>
      </c>
      <c r="P254" s="4" t="n">
        <v>1</v>
      </c>
      <c r="Q254" s="4" t="n">
        <v>395.6</v>
      </c>
      <c r="R254" s="3" t="inlineStr">
        <is>
          <t>지정되지않음</t>
        </is>
      </c>
      <c r="S254" s="3" t="inlineStr">
        <is>
          <t>주거나지</t>
        </is>
      </c>
      <c r="T254" s="3" t="inlineStr">
        <is>
          <t>평지</t>
        </is>
      </c>
      <c r="U254" s="3" t="inlineStr">
        <is>
          <t>가로장방</t>
        </is>
      </c>
      <c r="V254" s="3" t="inlineStr">
        <is>
          <t>소로한면</t>
        </is>
      </c>
    </row>
    <row r="255">
      <c r="A255" s="3" t="inlineStr">
        <is>
          <t>고운동 1551</t>
        </is>
      </c>
      <c r="B255" s="3" t="inlineStr">
        <is>
          <t>제1종전용주거지역</t>
        </is>
      </c>
      <c r="C255" s="3" t="inlineStr">
        <is>
          <t>대</t>
        </is>
      </c>
      <c r="D255" s="3" t="inlineStr">
        <is>
          <t>대</t>
        </is>
      </c>
      <c r="E255" s="3" t="inlineStr">
        <is>
          <t>매매</t>
        </is>
      </c>
      <c r="F255" s="4" t="n">
        <v>50000</v>
      </c>
      <c r="G255" s="4" t="n">
        <v>395</v>
      </c>
      <c r="H255" s="4" t="n">
        <v>119</v>
      </c>
      <c r="I255" s="5" t="n">
        <v>420.2</v>
      </c>
      <c r="J255" s="5" t="n">
        <v>324.2</v>
      </c>
      <c r="K255" s="3" t="inlineStr">
        <is>
          <t>nan</t>
        </is>
      </c>
      <c r="L255" s="6">
        <f>HYPERLINK("https://fin.land.naver.com/articles/2651035209", "매물Link")</f>
        <v/>
      </c>
      <c r="M255" s="6">
        <f>HYPERLINK("https://map.naver.com/p/search/고운동 1551", "지도Link")</f>
        <v/>
      </c>
      <c r="N255" s="6">
        <f>HYPERLINK("http://www.eum.go.kr/web/ar/lu/luLandDet.jsp?pnu=3611011200115510000&amp;isNoScr=script&amp;mode=search", "토지이음")</f>
        <v/>
      </c>
      <c r="O255" s="3" t="inlineStr">
        <is>
          <t>디아트성심</t>
        </is>
      </c>
      <c r="P255" s="4" t="n">
        <v>1</v>
      </c>
      <c r="Q255" s="4" t="n">
        <v>395.6</v>
      </c>
      <c r="R255" s="3" t="inlineStr">
        <is>
          <t>지정되지않음</t>
        </is>
      </c>
      <c r="S255" s="3" t="inlineStr">
        <is>
          <t>주거나지</t>
        </is>
      </c>
      <c r="T255" s="3" t="inlineStr">
        <is>
          <t>평지</t>
        </is>
      </c>
      <c r="U255" s="3" t="inlineStr">
        <is>
          <t>가로장방</t>
        </is>
      </c>
      <c r="V255" s="3" t="inlineStr">
        <is>
          <t>소로한면</t>
        </is>
      </c>
    </row>
    <row r="256">
      <c r="A256" s="3" t="inlineStr">
        <is>
          <t>고운동 1551</t>
        </is>
      </c>
      <c r="B256" s="3" t="inlineStr">
        <is>
          <t>제1종전용주거지역</t>
        </is>
      </c>
      <c r="C256" s="3" t="inlineStr">
        <is>
          <t>대</t>
        </is>
      </c>
      <c r="D256" s="3" t="inlineStr">
        <is>
          <t>대</t>
        </is>
      </c>
      <c r="E256" s="3" t="inlineStr">
        <is>
          <t>매매</t>
        </is>
      </c>
      <c r="F256" s="4" t="n">
        <v>50000</v>
      </c>
      <c r="G256" s="4" t="n">
        <v>395</v>
      </c>
      <c r="H256" s="4" t="n">
        <v>119</v>
      </c>
      <c r="I256" s="5" t="n">
        <v>420.2</v>
      </c>
      <c r="J256" s="5" t="n">
        <v>324.2</v>
      </c>
      <c r="K256" s="3" t="inlineStr">
        <is>
          <t>nan</t>
        </is>
      </c>
      <c r="L256" s="6">
        <f>HYPERLINK("https://fin.land.naver.com/articles/2653669129", "매물Link")</f>
        <v/>
      </c>
      <c r="M256" s="6">
        <f>HYPERLINK("https://map.naver.com/p/search/고운동 1551", "지도Link")</f>
        <v/>
      </c>
      <c r="N256" s="6">
        <f>HYPERLINK("http://www.eum.go.kr/web/ar/lu/luLandDet.jsp?pnu=3611011200115510000&amp;isNoScr=script&amp;mode=search", "토지이음")</f>
        <v/>
      </c>
      <c r="O256" s="3" t="inlineStr">
        <is>
          <t>세종스타</t>
        </is>
      </c>
      <c r="P256" s="4" t="n">
        <v>2</v>
      </c>
      <c r="Q256" s="4" t="n">
        <v>395.6</v>
      </c>
      <c r="R256" s="3" t="inlineStr">
        <is>
          <t>지정되지않음</t>
        </is>
      </c>
      <c r="S256" s="3" t="inlineStr">
        <is>
          <t>주거나지</t>
        </is>
      </c>
      <c r="T256" s="3" t="inlineStr">
        <is>
          <t>평지</t>
        </is>
      </c>
      <c r="U256" s="3" t="inlineStr">
        <is>
          <t>가로장방</t>
        </is>
      </c>
      <c r="V256" s="3" t="inlineStr">
        <is>
          <t>소로한면</t>
        </is>
      </c>
    </row>
    <row r="257">
      <c r="A257" s="3" t="inlineStr">
        <is>
          <t>고운동 1556</t>
        </is>
      </c>
      <c r="B257" s="3" t="inlineStr">
        <is>
          <t>제1종전용주거지역</t>
        </is>
      </c>
      <c r="C257" s="3" t="inlineStr">
        <is>
          <t>대</t>
        </is>
      </c>
      <c r="D257" s="3" t="inlineStr">
        <is>
          <t>대</t>
        </is>
      </c>
      <c r="E257" s="3" t="inlineStr">
        <is>
          <t>매매</t>
        </is>
      </c>
      <c r="F257" s="4" t="n">
        <v>55000</v>
      </c>
      <c r="G257" s="4" t="n">
        <v>340</v>
      </c>
      <c r="H257" s="4" t="n">
        <v>103</v>
      </c>
      <c r="I257" s="5" t="n">
        <v>534</v>
      </c>
      <c r="J257" s="5" t="n">
        <v>322.6</v>
      </c>
      <c r="K257" s="3" t="inlineStr">
        <is>
          <t>급매.상권가까운 저렴한 택지.</t>
        </is>
      </c>
      <c r="L257" s="6">
        <f>HYPERLINK("https://fin.land.naver.com/articles/2654578032", "매물Link")</f>
        <v/>
      </c>
      <c r="M257" s="6">
        <f>HYPERLINK("https://map.naver.com/p/search/고운동 1556", "지도Link")</f>
        <v/>
      </c>
      <c r="N257" s="6">
        <f>HYPERLINK("http://www.eum.go.kr/web/ar/lu/luLandDet.jsp?pnu=3611011200115560000&amp;isNoScr=script&amp;mode=search", "토지이음")</f>
        <v/>
      </c>
      <c r="O257" s="3" t="inlineStr">
        <is>
          <t>킹</t>
        </is>
      </c>
      <c r="P257" s="4" t="n">
        <v>1</v>
      </c>
      <c r="Q257" s="4" t="n">
        <v>340.8</v>
      </c>
      <c r="R257" s="3" t="inlineStr">
        <is>
          <t>지정되지않음</t>
        </is>
      </c>
      <c r="S257" s="3" t="inlineStr">
        <is>
          <t>주거나지</t>
        </is>
      </c>
      <c r="T257" s="3" t="inlineStr">
        <is>
          <t>평지</t>
        </is>
      </c>
      <c r="U257" s="3" t="inlineStr">
        <is>
          <t>가로장방</t>
        </is>
      </c>
      <c r="V257" s="3" t="inlineStr">
        <is>
          <t>중로한면</t>
        </is>
      </c>
    </row>
    <row r="258">
      <c r="A258" s="3" t="inlineStr">
        <is>
          <t>고운동 1560</t>
        </is>
      </c>
      <c r="B258" s="3" t="inlineStr">
        <is>
          <t>제1종전용주거지역</t>
        </is>
      </c>
      <c r="C258" s="3" t="inlineStr">
        <is>
          <t>대</t>
        </is>
      </c>
      <c r="D258" s="3" t="inlineStr">
        <is>
          <t>대</t>
        </is>
      </c>
      <c r="E258" s="3" t="inlineStr">
        <is>
          <t>매매</t>
        </is>
      </c>
      <c r="F258" s="4" t="n">
        <v>65000</v>
      </c>
      <c r="G258" s="4" t="n">
        <v>342</v>
      </c>
      <c r="H258" s="4" t="n">
        <v>103</v>
      </c>
      <c r="I258" s="5" t="n">
        <v>631.1</v>
      </c>
      <c r="J258" s="5" t="n">
        <v>335.2</v>
      </c>
      <c r="K258" s="3" t="inlineStr">
        <is>
          <t>2면도로 접한 코너땅,근린상가 근접 이용편의</t>
        </is>
      </c>
      <c r="L258" s="6">
        <f>HYPERLINK("https://fin.land.naver.com/articles/2649660852", "매물Link")</f>
        <v/>
      </c>
      <c r="M258" s="6">
        <f>HYPERLINK("https://map.naver.com/p/search/고운동 1560", "지도Link")</f>
        <v/>
      </c>
      <c r="N258" s="6">
        <f>HYPERLINK("http://www.eum.go.kr/web/ar/lu/luLandDet.jsp?pnu=3611011200115600000&amp;isNoScr=script&amp;mode=search", "토지이음")</f>
        <v/>
      </c>
      <c r="O258" s="3" t="inlineStr">
        <is>
          <t>킹세종</t>
        </is>
      </c>
      <c r="P258" s="4" t="n">
        <v>1</v>
      </c>
      <c r="Q258" s="4" t="n">
        <v>342.9</v>
      </c>
      <c r="R258" s="3" t="inlineStr">
        <is>
          <t>지정되지않음</t>
        </is>
      </c>
      <c r="S258" s="3" t="inlineStr">
        <is>
          <t>주거나지</t>
        </is>
      </c>
      <c r="T258" s="3" t="inlineStr">
        <is>
          <t>평지</t>
        </is>
      </c>
      <c r="U258" s="3" t="inlineStr">
        <is>
          <t>세로장방</t>
        </is>
      </c>
      <c r="V258" s="3" t="inlineStr">
        <is>
          <t>중로각지</t>
        </is>
      </c>
    </row>
    <row r="259">
      <c r="A259" s="3" t="inlineStr">
        <is>
          <t>고운동 1568</t>
        </is>
      </c>
      <c r="B259" s="3" t="inlineStr">
        <is>
          <t>제1종전용주거지역</t>
        </is>
      </c>
      <c r="C259" s="3" t="inlineStr">
        <is>
          <t>대</t>
        </is>
      </c>
      <c r="D259" s="3" t="inlineStr">
        <is>
          <t>대</t>
        </is>
      </c>
      <c r="E259" s="3" t="inlineStr">
        <is>
          <t>매매</t>
        </is>
      </c>
      <c r="F259" s="4" t="n">
        <v>55000</v>
      </c>
      <c r="G259" s="4" t="n">
        <v>356</v>
      </c>
      <c r="H259" s="4" t="n">
        <v>108</v>
      </c>
      <c r="I259" s="5" t="n">
        <v>509.3</v>
      </c>
      <c r="J259" s="5" t="n">
        <v>324.2</v>
      </c>
      <c r="K259" s="3" t="inlineStr">
        <is>
          <t>급매, 위치좋은 토지매매, 108.1p</t>
        </is>
      </c>
      <c r="L259" s="6">
        <f>HYPERLINK("https://fin.land.naver.com/articles/2652838759", "매물Link")</f>
        <v/>
      </c>
      <c r="M259" s="6">
        <f>HYPERLINK("https://map.naver.com/p/search/고운동 1568", "지도Link")</f>
        <v/>
      </c>
      <c r="N259" s="6">
        <f>HYPERLINK("http://www.eum.go.kr/web/ar/lu/luLandDet.jsp?pnu=3611011200115680000&amp;isNoScr=script&amp;mode=search", "토지이음")</f>
        <v/>
      </c>
      <c r="O259" s="3" t="inlineStr">
        <is>
          <t>세종무지개</t>
        </is>
      </c>
      <c r="P259" s="4" t="n">
        <v>1</v>
      </c>
      <c r="Q259" s="4" t="n">
        <v>356.8</v>
      </c>
      <c r="R259" s="3" t="inlineStr">
        <is>
          <t>지정되지않음</t>
        </is>
      </c>
      <c r="S259" s="3" t="inlineStr">
        <is>
          <t>주거나지</t>
        </is>
      </c>
      <c r="T259" s="3" t="inlineStr">
        <is>
          <t>평지</t>
        </is>
      </c>
      <c r="U259" s="3" t="inlineStr">
        <is>
          <t>정방형</t>
        </is>
      </c>
      <c r="V259" s="3" t="inlineStr">
        <is>
          <t>소로한면</t>
        </is>
      </c>
    </row>
    <row r="260">
      <c r="A260" s="3" t="inlineStr">
        <is>
          <t>고운동 1568</t>
        </is>
      </c>
      <c r="B260" s="3" t="inlineStr">
        <is>
          <t>제1종전용주거지역</t>
        </is>
      </c>
      <c r="C260" s="3" t="inlineStr">
        <is>
          <t>대</t>
        </is>
      </c>
      <c r="D260" s="3" t="inlineStr">
        <is>
          <t>대</t>
        </is>
      </c>
      <c r="E260" s="3" t="inlineStr">
        <is>
          <t>매매</t>
        </is>
      </c>
      <c r="F260" s="4" t="n">
        <v>55000</v>
      </c>
      <c r="G260" s="4" t="n">
        <v>356</v>
      </c>
      <c r="H260" s="4" t="n">
        <v>108</v>
      </c>
      <c r="I260" s="5" t="n">
        <v>509.3</v>
      </c>
      <c r="J260" s="5" t="n">
        <v>324.2</v>
      </c>
      <c r="K260" s="3" t="inlineStr">
        <is>
          <t>108.1p, 급매, 고운동 위치좋은 토지매매</t>
        </is>
      </c>
      <c r="L260" s="6">
        <f>HYPERLINK("https://fin.land.naver.com/articles/2651940835", "매물Link")</f>
        <v/>
      </c>
      <c r="M260" s="6">
        <f>HYPERLINK("https://map.naver.com/p/search/고운동 1568", "지도Link")</f>
        <v/>
      </c>
      <c r="N260" s="6">
        <f>HYPERLINK("http://www.eum.go.kr/web/ar/lu/luLandDet.jsp?pnu=3611011200115680000&amp;isNoScr=script&amp;mode=search", "토지이음")</f>
        <v/>
      </c>
      <c r="O260" s="3" t="inlineStr">
        <is>
          <t>명진</t>
        </is>
      </c>
      <c r="P260" s="4" t="n">
        <v>1</v>
      </c>
      <c r="Q260" s="4" t="n">
        <v>356.8</v>
      </c>
      <c r="R260" s="3" t="inlineStr">
        <is>
          <t>지정되지않음</t>
        </is>
      </c>
      <c r="S260" s="3" t="inlineStr">
        <is>
          <t>주거나지</t>
        </is>
      </c>
      <c r="T260" s="3" t="inlineStr">
        <is>
          <t>평지</t>
        </is>
      </c>
      <c r="U260" s="3" t="inlineStr">
        <is>
          <t>정방형</t>
        </is>
      </c>
      <c r="V260" s="3" t="inlineStr">
        <is>
          <t>소로한면</t>
        </is>
      </c>
    </row>
    <row r="261">
      <c r="A261" s="3" t="inlineStr">
        <is>
          <t>고운동 1578</t>
        </is>
      </c>
      <c r="B261" s="3" t="inlineStr">
        <is>
          <t>제1종전용주거지역</t>
        </is>
      </c>
      <c r="C261" s="3" t="inlineStr">
        <is>
          <t>대</t>
        </is>
      </c>
      <c r="D261" s="3" t="inlineStr">
        <is>
          <t>대</t>
        </is>
      </c>
      <c r="E261" s="3" t="inlineStr">
        <is>
          <t>매매</t>
        </is>
      </c>
      <c r="F261" s="4" t="n">
        <v>80000</v>
      </c>
      <c r="G261" s="4" t="n">
        <v>362</v>
      </c>
      <c r="H261" s="4" t="n">
        <v>110</v>
      </c>
      <c r="I261" s="5" t="n">
        <v>727.3</v>
      </c>
      <c r="J261" s="5" t="n">
        <v>340.2</v>
      </c>
      <c r="K261" s="3" t="inlineStr">
        <is>
          <t>조율가능 실개천 남향 코너각지</t>
        </is>
      </c>
      <c r="L261" s="6">
        <f>HYPERLINK("https://fin.land.naver.com/articles/2652418802", "매물Link")</f>
        <v/>
      </c>
      <c r="M261" s="6">
        <f>HYPERLINK("https://map.naver.com/p/search/고운동 1578", "지도Link")</f>
        <v/>
      </c>
      <c r="N261" s="6">
        <f>HYPERLINK("http://www.eum.go.kr/web/ar/lu/luLandDet.jsp?pnu=3611011200115780000&amp;isNoScr=script&amp;mode=search", "토지이음")</f>
        <v/>
      </c>
      <c r="O261" s="3" t="inlineStr">
        <is>
          <t>세종스타</t>
        </is>
      </c>
      <c r="P261" s="4" t="n">
        <v>1</v>
      </c>
      <c r="Q261" s="4" t="n">
        <v>362.1</v>
      </c>
      <c r="R261" s="3" t="inlineStr">
        <is>
          <t>지정되지않음</t>
        </is>
      </c>
      <c r="S261" s="3" t="inlineStr">
        <is>
          <t>주거나지</t>
        </is>
      </c>
      <c r="T261" s="3" t="inlineStr">
        <is>
          <t>평지</t>
        </is>
      </c>
      <c r="U261" s="3" t="inlineStr">
        <is>
          <t>정방형</t>
        </is>
      </c>
      <c r="V261" s="3" t="inlineStr">
        <is>
          <t>소로각지</t>
        </is>
      </c>
    </row>
    <row r="262">
      <c r="A262" s="3" t="inlineStr">
        <is>
          <t>고운동 1595</t>
        </is>
      </c>
      <c r="B262" s="3" t="inlineStr">
        <is>
          <t>제1종전용주거지역</t>
        </is>
      </c>
      <c r="C262" s="3" t="inlineStr">
        <is>
          <t>대</t>
        </is>
      </c>
      <c r="D262" s="3" t="inlineStr">
        <is>
          <t>대</t>
        </is>
      </c>
      <c r="E262" s="3" t="inlineStr">
        <is>
          <t>매매</t>
        </is>
      </c>
      <c r="F262" s="4" t="n">
        <v>53000</v>
      </c>
      <c r="G262" s="4" t="n">
        <v>393</v>
      </c>
      <c r="H262" s="4" t="n">
        <v>119</v>
      </c>
      <c r="I262" s="5" t="n">
        <v>445.4</v>
      </c>
      <c r="J262" s="5" t="n">
        <v>330.3</v>
      </c>
      <c r="K262" s="3" t="inlineStr">
        <is>
          <t>급매,학교앞 위치좋은곳,대지면적넓음</t>
        </is>
      </c>
      <c r="L262" s="6">
        <f>HYPERLINK("https://fin.land.naver.com/articles/2649455123", "매물Link")</f>
        <v/>
      </c>
      <c r="M262" s="6">
        <f>HYPERLINK("https://map.naver.com/p/search/고운동 1595", "지도Link")</f>
        <v/>
      </c>
      <c r="N262" s="6">
        <f>HYPERLINK("http://www.eum.go.kr/web/ar/lu/luLandDet.jsp?pnu=3611011200115950000&amp;isNoScr=script&amp;mode=search", "토지이음")</f>
        <v/>
      </c>
      <c r="O262" s="3" t="inlineStr">
        <is>
          <t>세종황소</t>
        </is>
      </c>
      <c r="P262" s="4" t="n">
        <v>1</v>
      </c>
      <c r="Q262" s="4" t="n">
        <v>393.6</v>
      </c>
      <c r="R262" s="3" t="inlineStr">
        <is>
          <t>지정되지않음</t>
        </is>
      </c>
      <c r="S262" s="3" t="inlineStr">
        <is>
          <t>주거나지</t>
        </is>
      </c>
      <c r="T262" s="3" t="inlineStr">
        <is>
          <t>평지</t>
        </is>
      </c>
      <c r="U262" s="3" t="inlineStr">
        <is>
          <t>부정형</t>
        </is>
      </c>
      <c r="V262" s="3" t="inlineStr">
        <is>
          <t>소로각지</t>
        </is>
      </c>
    </row>
    <row r="263">
      <c r="A263" s="3" t="inlineStr">
        <is>
          <t>고운동 1598</t>
        </is>
      </c>
      <c r="B263" s="3" t="inlineStr">
        <is>
          <t>제1종전용주거지역</t>
        </is>
      </c>
      <c r="C263" s="3" t="inlineStr">
        <is>
          <t>대</t>
        </is>
      </c>
      <c r="D263" s="3" t="inlineStr">
        <is>
          <t>대</t>
        </is>
      </c>
      <c r="E263" s="3" t="inlineStr">
        <is>
          <t>매매</t>
        </is>
      </c>
      <c r="F263" s="4" t="n">
        <v>58000</v>
      </c>
      <c r="G263" s="4" t="n">
        <v>340</v>
      </c>
      <c r="H263" s="4" t="n">
        <v>103</v>
      </c>
      <c r="I263" s="5" t="n">
        <v>563.1</v>
      </c>
      <c r="J263" s="5" t="n">
        <v>366</v>
      </c>
      <c r="K263" s="3" t="inlineStr">
        <is>
          <t>남향,코너,완충녹지,보행로 접, 초교,고교,상권,공원 근접합니다.</t>
        </is>
      </c>
      <c r="L263" s="6">
        <f>HYPERLINK("https://fin.land.naver.com/articles/2651035408", "매물Link")</f>
        <v/>
      </c>
      <c r="M263" s="6">
        <f>HYPERLINK("https://map.naver.com/p/search/고운동 1598", "지도Link")</f>
        <v/>
      </c>
      <c r="N263" s="6">
        <f>HYPERLINK("http://www.eum.go.kr/web/ar/lu/luLandDet.jsp?pnu=3611011200115980000&amp;isNoScr=script&amp;mode=search", "토지이음")</f>
        <v/>
      </c>
      <c r="O263" s="3" t="inlineStr">
        <is>
          <t>디아트성심</t>
        </is>
      </c>
      <c r="P263" s="4" t="n">
        <v>1</v>
      </c>
      <c r="Q263" s="4" t="n">
        <v>340</v>
      </c>
      <c r="R263" s="3" t="inlineStr">
        <is>
          <t>지정되지않음</t>
        </is>
      </c>
      <c r="S263" s="3" t="inlineStr">
        <is>
          <t>주거나지</t>
        </is>
      </c>
      <c r="T263" s="3" t="inlineStr">
        <is>
          <t>평지</t>
        </is>
      </c>
      <c r="U263" s="3" t="inlineStr">
        <is>
          <t>가로장방</t>
        </is>
      </c>
      <c r="V263" s="3" t="inlineStr">
        <is>
          <t>중로각지</t>
        </is>
      </c>
    </row>
    <row r="264">
      <c r="A264" s="3" t="inlineStr">
        <is>
          <t>고운동 1618</t>
        </is>
      </c>
      <c r="B264" s="3" t="inlineStr">
        <is>
          <t>제1종전용주거지역</t>
        </is>
      </c>
      <c r="C264" s="3" t="inlineStr">
        <is>
          <t>대</t>
        </is>
      </c>
      <c r="D264" s="3" t="inlineStr">
        <is>
          <t>대</t>
        </is>
      </c>
      <c r="E264" s="3" t="inlineStr">
        <is>
          <t>매매</t>
        </is>
      </c>
      <c r="F264" s="4" t="n">
        <v>80000</v>
      </c>
      <c r="G264" s="4" t="n">
        <v>401</v>
      </c>
      <c r="H264" s="4" t="n">
        <v>121</v>
      </c>
      <c r="I264" s="5" t="n">
        <v>661.2</v>
      </c>
      <c r="J264" s="5" t="n">
        <v>326.7</v>
      </c>
      <c r="K264" s="3" t="inlineStr">
        <is>
          <t>조율가능 남향 실개천옆 최선호위치</t>
        </is>
      </c>
      <c r="L264" s="6">
        <f>HYPERLINK("https://fin.land.naver.com/articles/2649618762", "매물Link")</f>
        <v/>
      </c>
      <c r="M264" s="6">
        <f>HYPERLINK("https://map.naver.com/p/search/고운동 1618", "지도Link")</f>
        <v/>
      </c>
      <c r="N264" s="6">
        <f>HYPERLINK("http://www.eum.go.kr/web/ar/lu/luLandDet.jsp?pnu=3611011200116180000&amp;isNoScr=script&amp;mode=search", "토지이음")</f>
        <v/>
      </c>
      <c r="O264" s="3" t="inlineStr">
        <is>
          <t>세종스타</t>
        </is>
      </c>
      <c r="P264" s="4" t="n">
        <v>1</v>
      </c>
      <c r="Q264" s="4" t="n">
        <v>401</v>
      </c>
      <c r="R264" s="3" t="inlineStr">
        <is>
          <t>지정되지않음</t>
        </is>
      </c>
      <c r="S264" s="3" t="inlineStr">
        <is>
          <t>주거나지</t>
        </is>
      </c>
      <c r="T264" s="3" t="inlineStr">
        <is>
          <t>평지</t>
        </is>
      </c>
      <c r="U264" s="3" t="inlineStr">
        <is>
          <t>자루형</t>
        </is>
      </c>
      <c r="V264" s="3" t="inlineStr">
        <is>
          <t>소로각지</t>
        </is>
      </c>
    </row>
    <row r="265">
      <c r="A265" s="3" t="inlineStr">
        <is>
          <t>고운동 1629</t>
        </is>
      </c>
      <c r="B265" s="3" t="inlineStr">
        <is>
          <t>제1종전용주거지역</t>
        </is>
      </c>
      <c r="C265" s="3" t="inlineStr">
        <is>
          <t>대</t>
        </is>
      </c>
      <c r="D265" s="3" t="inlineStr">
        <is>
          <t>대</t>
        </is>
      </c>
      <c r="E265" s="3" t="inlineStr">
        <is>
          <t>매매</t>
        </is>
      </c>
      <c r="F265" s="4" t="n">
        <v>51000</v>
      </c>
      <c r="G265" s="4" t="n">
        <v>347</v>
      </c>
      <c r="H265" s="4" t="n">
        <v>105</v>
      </c>
      <c r="I265" s="5" t="n">
        <v>485.7</v>
      </c>
      <c r="J265" s="5" t="n">
        <v>336.2</v>
      </c>
      <c r="K265" s="3" t="inlineStr">
        <is>
          <t>전원주택을 지을수있는 위치좋은 대지</t>
        </is>
      </c>
      <c r="L265" s="6">
        <f>HYPERLINK("https://fin.land.naver.com/articles/2649719558", "매물Link")</f>
        <v/>
      </c>
      <c r="M265" s="6">
        <f>HYPERLINK("https://map.naver.com/p/search/고운동 1629", "지도Link")</f>
        <v/>
      </c>
      <c r="N265" s="6">
        <f>HYPERLINK("http://www.eum.go.kr/web/ar/lu/luLandDet.jsp?pnu=3611011200116290000&amp;isNoScr=script&amp;mode=search", "토지이음")</f>
        <v/>
      </c>
      <c r="O265" s="3" t="inlineStr">
        <is>
          <t>대한</t>
        </is>
      </c>
      <c r="P265" s="4" t="n">
        <v>1</v>
      </c>
      <c r="Q265" s="4" t="n">
        <v>347</v>
      </c>
      <c r="R265" s="3" t="inlineStr">
        <is>
          <t>지정되지않음</t>
        </is>
      </c>
      <c r="S265" s="3" t="inlineStr">
        <is>
          <t>주거나지</t>
        </is>
      </c>
      <c r="T265" s="3" t="inlineStr">
        <is>
          <t>평지</t>
        </is>
      </c>
      <c r="U265" s="3" t="inlineStr">
        <is>
          <t>세로장방</t>
        </is>
      </c>
      <c r="V265" s="3" t="inlineStr">
        <is>
          <t>중로각지</t>
        </is>
      </c>
    </row>
    <row r="266">
      <c r="A266" s="3" t="inlineStr">
        <is>
          <t>고운동 1642</t>
        </is>
      </c>
      <c r="B266" s="3" t="inlineStr">
        <is>
          <t>제1종전용주거지역</t>
        </is>
      </c>
      <c r="C266" s="3" t="inlineStr">
        <is>
          <t>대</t>
        </is>
      </c>
      <c r="D266" s="3" t="inlineStr">
        <is>
          <t>대</t>
        </is>
      </c>
      <c r="E266" s="3" t="inlineStr">
        <is>
          <t>매매</t>
        </is>
      </c>
      <c r="F266" s="4" t="n">
        <v>172000</v>
      </c>
      <c r="G266" s="4" t="n">
        <v>391</v>
      </c>
      <c r="H266" s="4" t="n">
        <v>118</v>
      </c>
      <c r="I266" s="5" t="n">
        <v>1457.6</v>
      </c>
      <c r="J266" s="5" t="n">
        <v>802.6</v>
      </c>
      <c r="K266" s="3" t="inlineStr">
        <is>
          <t>근생토지, 맛집 라인에 위치한 입지 좋은 토지</t>
        </is>
      </c>
      <c r="L266" s="6">
        <f>HYPERLINK("https://fin.land.naver.com/articles/2650427880", "매물Link")</f>
        <v/>
      </c>
      <c r="M266" s="6">
        <f>HYPERLINK("https://map.naver.com/p/search/고운동 1642", "지도Link")</f>
        <v/>
      </c>
      <c r="N266" s="6">
        <f>HYPERLINK("http://www.eum.go.kr/web/ar/lu/luLandDet.jsp?pnu=3611011200116420000&amp;isNoScr=script&amp;mode=search", "토지이음")</f>
        <v/>
      </c>
      <c r="O266" s="3" t="inlineStr">
        <is>
          <t>세종무지개</t>
        </is>
      </c>
      <c r="P266" s="4" t="n">
        <v>1</v>
      </c>
      <c r="Q266" s="4" t="n">
        <v>391.3</v>
      </c>
      <c r="R266" s="3" t="inlineStr">
        <is>
          <t>지정되지않음</t>
        </is>
      </c>
      <c r="S266" s="3" t="inlineStr">
        <is>
          <t>상업용</t>
        </is>
      </c>
      <c r="T266" s="3" t="inlineStr">
        <is>
          <t>평지</t>
        </is>
      </c>
      <c r="U266" s="3" t="inlineStr">
        <is>
          <t>정방형</t>
        </is>
      </c>
      <c r="V266" s="3" t="inlineStr">
        <is>
          <t>중로각지</t>
        </is>
      </c>
    </row>
    <row r="267">
      <c r="A267" s="3" t="inlineStr">
        <is>
          <t>고운동 1653</t>
        </is>
      </c>
      <c r="B267" s="3" t="inlineStr">
        <is>
          <t>제1종전용주거지역</t>
        </is>
      </c>
      <c r="C267" s="3" t="inlineStr">
        <is>
          <t>대</t>
        </is>
      </c>
      <c r="D267" s="3" t="inlineStr">
        <is>
          <t>대</t>
        </is>
      </c>
      <c r="E267" s="3" t="inlineStr">
        <is>
          <t>매매</t>
        </is>
      </c>
      <c r="F267" s="4" t="n">
        <v>58000</v>
      </c>
      <c r="G267" s="4" t="n">
        <v>337</v>
      </c>
      <c r="H267" s="4" t="n">
        <v>102</v>
      </c>
      <c r="I267" s="5" t="n">
        <v>568.6</v>
      </c>
      <c r="J267" s="5" t="n">
        <v>312.9</v>
      </c>
      <c r="K267" s="3" t="inlineStr">
        <is>
          <t>총 102.1p, 사거리 코너, 입지 좋은 단독주택지</t>
        </is>
      </c>
      <c r="L267" s="6">
        <f>HYPERLINK("https://fin.land.naver.com/articles/2651944760", "매물Link")</f>
        <v/>
      </c>
      <c r="M267" s="6">
        <f>HYPERLINK("https://map.naver.com/p/search/고운동 1653", "지도Link")</f>
        <v/>
      </c>
      <c r="N267" s="6">
        <f>HYPERLINK("http://www.eum.go.kr/web/ar/lu/luLandDet.jsp?pnu=3611011200116530000&amp;isNoScr=script&amp;mode=search", "토지이음")</f>
        <v/>
      </c>
      <c r="O267" s="3" t="inlineStr">
        <is>
          <t>명진</t>
        </is>
      </c>
      <c r="P267" s="4" t="n">
        <v>1</v>
      </c>
      <c r="Q267" s="4" t="n">
        <v>337</v>
      </c>
      <c r="R267" s="3" t="inlineStr">
        <is>
          <t>지정되지않음</t>
        </is>
      </c>
      <c r="S267" s="3" t="inlineStr">
        <is>
          <t>주거나지</t>
        </is>
      </c>
      <c r="T267" s="3" t="inlineStr">
        <is>
          <t>평지</t>
        </is>
      </c>
      <c r="U267" s="3" t="inlineStr">
        <is>
          <t>정방형</t>
        </is>
      </c>
      <c r="V267" s="3" t="inlineStr">
        <is>
          <t>소로각지</t>
        </is>
      </c>
    </row>
    <row r="268">
      <c r="A268" s="3" t="inlineStr">
        <is>
          <t>고운동 1664</t>
        </is>
      </c>
      <c r="B268" s="3" t="inlineStr">
        <is>
          <t>제1종전용주거지역</t>
        </is>
      </c>
      <c r="C268" s="3" t="inlineStr">
        <is>
          <t>대</t>
        </is>
      </c>
      <c r="D268" s="3" t="inlineStr">
        <is>
          <t>대</t>
        </is>
      </c>
      <c r="E268" s="3" t="inlineStr">
        <is>
          <t>매매</t>
        </is>
      </c>
      <c r="F268" s="4" t="n">
        <v>60000</v>
      </c>
      <c r="G268" s="4" t="n">
        <v>348</v>
      </c>
      <c r="H268" s="4" t="n">
        <v>105</v>
      </c>
      <c r="I268" s="5" t="n">
        <v>571.4</v>
      </c>
      <c r="J268" s="5" t="n">
        <v>312.7</v>
      </c>
      <c r="K268" s="3" t="inlineStr">
        <is>
          <t>총 105.5p, 공원 앞, 위치좋은 토지</t>
        </is>
      </c>
      <c r="L268" s="6">
        <f>HYPERLINK("https://fin.land.naver.com/articles/2652842395", "매물Link")</f>
        <v/>
      </c>
      <c r="M268" s="6">
        <f>HYPERLINK("https://map.naver.com/p/search/고운동 1664", "지도Link")</f>
        <v/>
      </c>
      <c r="N268" s="6">
        <f>HYPERLINK("http://www.eum.go.kr/web/ar/lu/luLandDet.jsp?pnu=3611011200116640000&amp;isNoScr=script&amp;mode=search", "토지이음")</f>
        <v/>
      </c>
      <c r="O268" s="3" t="inlineStr">
        <is>
          <t>세종무지개</t>
        </is>
      </c>
      <c r="P268" s="4" t="n">
        <v>1</v>
      </c>
      <c r="Q268" s="4" t="n">
        <v>348</v>
      </c>
      <c r="R268" s="3" t="inlineStr">
        <is>
          <t>지정되지않음</t>
        </is>
      </c>
      <c r="S268" s="3" t="inlineStr">
        <is>
          <t>주거나지</t>
        </is>
      </c>
      <c r="T268" s="3" t="inlineStr">
        <is>
          <t>평지</t>
        </is>
      </c>
      <c r="U268" s="3" t="inlineStr">
        <is>
          <t>정방형</t>
        </is>
      </c>
      <c r="V268" s="3" t="inlineStr">
        <is>
          <t>소로각지</t>
        </is>
      </c>
    </row>
    <row r="269">
      <c r="A269" s="3" t="inlineStr">
        <is>
          <t>고운동 1664</t>
        </is>
      </c>
      <c r="B269" s="3" t="inlineStr">
        <is>
          <t>제1종전용주거지역</t>
        </is>
      </c>
      <c r="C269" s="3" t="inlineStr">
        <is>
          <t>대</t>
        </is>
      </c>
      <c r="D269" s="3" t="inlineStr">
        <is>
          <t>대</t>
        </is>
      </c>
      <c r="E269" s="3" t="inlineStr">
        <is>
          <t>매매</t>
        </is>
      </c>
      <c r="F269" s="4" t="n">
        <v>60000</v>
      </c>
      <c r="G269" s="4" t="n">
        <v>348</v>
      </c>
      <c r="H269" s="4" t="n">
        <v>105</v>
      </c>
      <c r="I269" s="5" t="n">
        <v>571.4</v>
      </c>
      <c r="J269" s="5" t="n">
        <v>312.7</v>
      </c>
      <c r="K269" s="3" t="inlineStr">
        <is>
          <t>105.5p, 공원 옆 전망 좋은 단독주택 토지 매매</t>
        </is>
      </c>
      <c r="L269" s="6">
        <f>HYPERLINK("https://fin.land.naver.com/articles/2654232136", "매물Link")</f>
        <v/>
      </c>
      <c r="M269" s="6">
        <f>HYPERLINK("https://map.naver.com/p/search/고운동 1664", "지도Link")</f>
        <v/>
      </c>
      <c r="N269" s="6">
        <f>HYPERLINK("http://www.eum.go.kr/web/ar/lu/luLandDet.jsp?pnu=3611011200116640000&amp;isNoScr=script&amp;mode=search", "토지이음")</f>
        <v/>
      </c>
      <c r="O269" s="3" t="inlineStr">
        <is>
          <t>명진</t>
        </is>
      </c>
      <c r="P269" s="4" t="n">
        <v>1</v>
      </c>
      <c r="Q269" s="4" t="n">
        <v>348</v>
      </c>
      <c r="R269" s="3" t="inlineStr">
        <is>
          <t>지정되지않음</t>
        </is>
      </c>
      <c r="S269" s="3" t="inlineStr">
        <is>
          <t>주거나지</t>
        </is>
      </c>
      <c r="T269" s="3" t="inlineStr">
        <is>
          <t>평지</t>
        </is>
      </c>
      <c r="U269" s="3" t="inlineStr">
        <is>
          <t>정방형</t>
        </is>
      </c>
      <c r="V269" s="3" t="inlineStr">
        <is>
          <t>소로각지</t>
        </is>
      </c>
    </row>
    <row r="270">
      <c r="A270" s="3" t="inlineStr">
        <is>
          <t>고운동 1742</t>
        </is>
      </c>
      <c r="B270" s="3" t="inlineStr">
        <is>
          <t>제1종전용주거지역</t>
        </is>
      </c>
      <c r="C270" s="3" t="inlineStr">
        <is>
          <t>대</t>
        </is>
      </c>
      <c r="D270" s="3" t="inlineStr">
        <is>
          <t>대</t>
        </is>
      </c>
      <c r="E270" s="3" t="inlineStr">
        <is>
          <t>매매</t>
        </is>
      </c>
      <c r="F270" s="4" t="n">
        <v>60000</v>
      </c>
      <c r="G270" s="4" t="n">
        <v>345</v>
      </c>
      <c r="H270" s="4" t="n">
        <v>104</v>
      </c>
      <c r="I270" s="5" t="n">
        <v>576.9</v>
      </c>
      <c r="J270" s="5" t="n">
        <v>297.1</v>
      </c>
      <c r="K270" s="3" t="inlineStr">
        <is>
          <t>조율가능 남향 해잘드는곳 학교 상권 가까운위치</t>
        </is>
      </c>
      <c r="L270" s="6">
        <f>HYPERLINK("https://fin.land.naver.com/articles/2651087896", "매물Link")</f>
        <v/>
      </c>
      <c r="M270" s="6">
        <f>HYPERLINK("https://map.naver.com/p/search/고운동 1742", "지도Link")</f>
        <v/>
      </c>
      <c r="N270" s="6">
        <f>HYPERLINK("http://www.eum.go.kr/web/ar/lu/luLandDet.jsp?pnu=3611011200117420000&amp;isNoScr=script&amp;mode=search", "토지이음")</f>
        <v/>
      </c>
      <c r="O270" s="3" t="inlineStr">
        <is>
          <t>세종스타</t>
        </is>
      </c>
      <c r="P270" s="4" t="n">
        <v>1</v>
      </c>
      <c r="Q270" s="4" t="n">
        <v>345</v>
      </c>
      <c r="R270" s="3" t="inlineStr">
        <is>
          <t>지정되지않음</t>
        </is>
      </c>
      <c r="S270" s="3" t="inlineStr">
        <is>
          <t>주거나지</t>
        </is>
      </c>
      <c r="T270" s="3" t="inlineStr">
        <is>
          <t>평지</t>
        </is>
      </c>
      <c r="U270" s="3" t="inlineStr">
        <is>
          <t>정방형</t>
        </is>
      </c>
      <c r="V270" s="3" t="inlineStr">
        <is>
          <t>소로한면</t>
        </is>
      </c>
    </row>
    <row r="271">
      <c r="A271" s="3" t="inlineStr">
        <is>
          <t>고운동 1761</t>
        </is>
      </c>
      <c r="B271" s="3" t="inlineStr">
        <is>
          <t>제1종전용주거지역</t>
        </is>
      </c>
      <c r="C271" s="3" t="inlineStr">
        <is>
          <t>대</t>
        </is>
      </c>
      <c r="D271" s="3" t="inlineStr">
        <is>
          <t>대</t>
        </is>
      </c>
      <c r="E271" s="3" t="inlineStr">
        <is>
          <t>매매</t>
        </is>
      </c>
      <c r="F271" s="4" t="n">
        <v>60000</v>
      </c>
      <c r="G271" s="4" t="n">
        <v>356</v>
      </c>
      <c r="H271" s="4" t="n">
        <v>108</v>
      </c>
      <c r="I271" s="5" t="n">
        <v>555.6</v>
      </c>
      <c r="J271" s="5" t="n">
        <v>297.1</v>
      </c>
      <c r="K271" s="3" t="inlineStr">
        <is>
          <t>살기좋은 고운동 단독주택지. 하루종일 해 잘드는 위치</t>
        </is>
      </c>
      <c r="L271" s="6">
        <f>HYPERLINK("https://fin.land.naver.com/articles/2654272418", "매물Link")</f>
        <v/>
      </c>
      <c r="M271" s="6">
        <f>HYPERLINK("https://map.naver.com/p/search/고운동 1761", "지도Link")</f>
        <v/>
      </c>
      <c r="N271" s="6">
        <f>HYPERLINK("http://www.eum.go.kr/web/ar/lu/luLandDet.jsp?pnu=3611011200117610000&amp;isNoScr=script&amp;mode=search", "토지이음")</f>
        <v/>
      </c>
      <c r="O271" s="3" t="inlineStr">
        <is>
          <t>미스터홈즈강남지사</t>
        </is>
      </c>
      <c r="P271" s="4" t="n">
        <v>2</v>
      </c>
      <c r="Q271" s="4" t="n">
        <v>356</v>
      </c>
      <c r="R271" s="3" t="inlineStr">
        <is>
          <t>지정되지않음</t>
        </is>
      </c>
      <c r="S271" s="3" t="inlineStr">
        <is>
          <t>주거나지</t>
        </is>
      </c>
      <c r="T271" s="3" t="inlineStr">
        <is>
          <t>평지</t>
        </is>
      </c>
      <c r="U271" s="3" t="inlineStr">
        <is>
          <t>정방형</t>
        </is>
      </c>
      <c r="V271" s="3" t="inlineStr">
        <is>
          <t>소로한면</t>
        </is>
      </c>
    </row>
    <row r="272">
      <c r="A272" s="3" t="inlineStr">
        <is>
          <t>고운동 1767</t>
        </is>
      </c>
      <c r="B272" s="3" t="inlineStr">
        <is>
          <t>제1종전용주거지역</t>
        </is>
      </c>
      <c r="C272" s="3" t="inlineStr">
        <is>
          <t>대</t>
        </is>
      </c>
      <c r="D272" s="3" t="inlineStr">
        <is>
          <t>대</t>
        </is>
      </c>
      <c r="E272" s="3" t="inlineStr">
        <is>
          <t>매매</t>
        </is>
      </c>
      <c r="F272" s="4" t="n">
        <v>57000</v>
      </c>
      <c r="G272" s="4" t="n">
        <v>333</v>
      </c>
      <c r="H272" s="4" t="n">
        <v>101</v>
      </c>
      <c r="I272" s="5" t="n">
        <v>564.4</v>
      </c>
      <c r="J272" s="5" t="n">
        <v>297.1</v>
      </c>
      <c r="K272" s="3" t="inlineStr">
        <is>
          <t>저렴하게 나온 매물 , 예쁜집 지을수 있는 토지 . 쌀때 사서 집지으세요</t>
        </is>
      </c>
      <c r="L272" s="6">
        <f>HYPERLINK("https://fin.land.naver.com/articles/2652951847", "매물Link")</f>
        <v/>
      </c>
      <c r="M272" s="6">
        <f>HYPERLINK("https://map.naver.com/p/search/고운동 1767", "지도Link")</f>
        <v/>
      </c>
      <c r="N272" s="6">
        <f>HYPERLINK("http://www.eum.go.kr/web/ar/lu/luLandDet.jsp?pnu=3611011200117670000&amp;isNoScr=script&amp;mode=search", "토지이음")</f>
        <v/>
      </c>
      <c r="O272" s="3" t="inlineStr">
        <is>
          <t>세종보물</t>
        </is>
      </c>
      <c r="P272" s="4" t="n">
        <v>1</v>
      </c>
      <c r="Q272" s="4" t="n">
        <v>334.4</v>
      </c>
      <c r="R272" s="3" t="inlineStr">
        <is>
          <t>지정되지않음</t>
        </is>
      </c>
      <c r="S272" s="3" t="inlineStr">
        <is>
          <t>주거나지</t>
        </is>
      </c>
      <c r="T272" s="3" t="inlineStr">
        <is>
          <t>평지</t>
        </is>
      </c>
      <c r="U272" s="3" t="inlineStr">
        <is>
          <t>정방형</t>
        </is>
      </c>
      <c r="V272" s="3" t="inlineStr">
        <is>
          <t>소로한면</t>
        </is>
      </c>
    </row>
    <row r="273">
      <c r="A273" s="3" t="inlineStr">
        <is>
          <t>고운동 1768</t>
        </is>
      </c>
      <c r="B273" s="3" t="inlineStr">
        <is>
          <t>제1종전용주거지역</t>
        </is>
      </c>
      <c r="C273" s="3" t="inlineStr">
        <is>
          <t>대</t>
        </is>
      </c>
      <c r="D273" s="3" t="inlineStr">
        <is>
          <t>대</t>
        </is>
      </c>
      <c r="E273" s="3" t="inlineStr">
        <is>
          <t>매매</t>
        </is>
      </c>
      <c r="F273" s="4" t="n">
        <v>95000</v>
      </c>
      <c r="G273" s="4" t="n">
        <v>336</v>
      </c>
      <c r="H273" s="4" t="n">
        <v>102</v>
      </c>
      <c r="I273" s="5" t="n">
        <v>931.4</v>
      </c>
      <c r="J273" s="5" t="n">
        <v>297.1</v>
      </c>
      <c r="K273" s="3" t="inlineStr">
        <is>
          <t>세종시 행복도시내 단독주택부지</t>
        </is>
      </c>
      <c r="L273" s="6">
        <f>HYPERLINK("https://fin.land.naver.com/articles/2652885247", "매물Link")</f>
        <v/>
      </c>
      <c r="M273" s="6">
        <f>HYPERLINK("https://map.naver.com/p/search/고운동 1768", "지도Link")</f>
        <v/>
      </c>
      <c r="N273" s="6">
        <f>HYPERLINK("http://www.eum.go.kr/web/ar/lu/luLandDet.jsp?pnu=3611011200117680000&amp;isNoScr=script&amp;mode=search", "토지이음")</f>
        <v/>
      </c>
      <c r="O273" s="3" t="inlineStr">
        <is>
          <t>명품시티</t>
        </is>
      </c>
      <c r="P273" s="4" t="n">
        <v>1</v>
      </c>
      <c r="Q273" s="4" t="n">
        <v>335.5</v>
      </c>
      <c r="R273" s="3" t="inlineStr">
        <is>
          <t>지정되지않음</t>
        </is>
      </c>
      <c r="S273" s="3" t="inlineStr">
        <is>
          <t>주거나지</t>
        </is>
      </c>
      <c r="T273" s="3" t="inlineStr">
        <is>
          <t>평지</t>
        </is>
      </c>
      <c r="U273" s="3" t="inlineStr">
        <is>
          <t>정방형</t>
        </is>
      </c>
      <c r="V273" s="3" t="inlineStr">
        <is>
          <t>소로한면</t>
        </is>
      </c>
    </row>
    <row r="274">
      <c r="A274" s="3" t="inlineStr">
        <is>
          <t>고운동 1780</t>
        </is>
      </c>
      <c r="B274" s="3" t="inlineStr">
        <is>
          <t>제1종전용주거지역</t>
        </is>
      </c>
      <c r="C274" s="3" t="inlineStr">
        <is>
          <t>대</t>
        </is>
      </c>
      <c r="D274" s="3" t="inlineStr">
        <is>
          <t>대</t>
        </is>
      </c>
      <c r="E274" s="3" t="inlineStr">
        <is>
          <t>매매</t>
        </is>
      </c>
      <c r="F274" s="4" t="n">
        <v>70000</v>
      </c>
      <c r="G274" s="4" t="n">
        <v>377</v>
      </c>
      <c r="H274" s="4" t="n">
        <v>114</v>
      </c>
      <c r="I274" s="5" t="n">
        <v>614</v>
      </c>
      <c r="J274" s="5" t="n">
        <v>324.3</v>
      </c>
      <c r="K274" s="3" t="inlineStr">
        <is>
          <t>3면이 도로인 개방감 넘치는 토지</t>
        </is>
      </c>
      <c r="L274" s="6">
        <f>HYPERLINK("https://fin.land.naver.com/articles/2649748261", "매물Link")</f>
        <v/>
      </c>
      <c r="M274" s="6">
        <f>HYPERLINK("https://map.naver.com/p/search/고운동 1780", "지도Link")</f>
        <v/>
      </c>
      <c r="N274" s="6">
        <f>HYPERLINK("http://www.eum.go.kr/web/ar/lu/luLandDet.jsp?pnu=3611011200117800000&amp;isNoScr=script&amp;mode=search", "토지이음")</f>
        <v/>
      </c>
      <c r="O274" s="3" t="inlineStr">
        <is>
          <t>킹세종</t>
        </is>
      </c>
      <c r="P274" s="4" t="n">
        <v>1</v>
      </c>
      <c r="Q274" s="4" t="n">
        <v>377</v>
      </c>
      <c r="R274" s="3" t="inlineStr">
        <is>
          <t>지정되지않음</t>
        </is>
      </c>
      <c r="S274" s="3" t="inlineStr">
        <is>
          <t>주거나지</t>
        </is>
      </c>
      <c r="T274" s="3" t="inlineStr">
        <is>
          <t>평지</t>
        </is>
      </c>
      <c r="U274" s="3" t="inlineStr">
        <is>
          <t>부정형</t>
        </is>
      </c>
      <c r="V274" s="3" t="inlineStr">
        <is>
          <t>중로각지</t>
        </is>
      </c>
    </row>
    <row r="275">
      <c r="A275" s="3" t="inlineStr">
        <is>
          <t>고운동 1827</t>
        </is>
      </c>
      <c r="B275" s="3" t="inlineStr">
        <is>
          <t>제1종전용주거지역</t>
        </is>
      </c>
      <c r="C275" s="3" t="inlineStr">
        <is>
          <t>대</t>
        </is>
      </c>
      <c r="D275" s="3" t="inlineStr">
        <is>
          <t>대</t>
        </is>
      </c>
      <c r="E275" s="3" t="inlineStr">
        <is>
          <t>매매</t>
        </is>
      </c>
      <c r="F275" s="4" t="n">
        <v>150000</v>
      </c>
      <c r="G275" s="4" t="n">
        <v>656</v>
      </c>
      <c r="H275" s="4" t="n">
        <v>198</v>
      </c>
      <c r="I275" s="5" t="n">
        <v>757.6</v>
      </c>
      <c r="J275" s="5" t="n">
        <v>309.2</v>
      </c>
      <c r="K275" s="3" t="inlineStr">
        <is>
          <t>nan</t>
        </is>
      </c>
      <c r="L275" s="6">
        <f>HYPERLINK("https://fin.land.naver.com/articles/2652917967", "매물Link")</f>
        <v/>
      </c>
      <c r="M275" s="6">
        <f>HYPERLINK("https://map.naver.com/p/search/고운동 1827", "지도Link")</f>
        <v/>
      </c>
      <c r="N275" s="6">
        <f>HYPERLINK("http://www.eum.go.kr/web/ar/lu/luLandDet.jsp?pnu=3611011200118270000&amp;isNoScr=script&amp;mode=search", "토지이음")</f>
        <v/>
      </c>
      <c r="O275" s="3" t="inlineStr">
        <is>
          <t>세종스타</t>
        </is>
      </c>
      <c r="P275" s="4" t="n">
        <v>2</v>
      </c>
      <c r="Q275" s="4" t="n">
        <v>656.5</v>
      </c>
      <c r="R275" s="3" t="inlineStr">
        <is>
          <t>지정되지않음</t>
        </is>
      </c>
      <c r="S275" s="3" t="inlineStr">
        <is>
          <t>주거나지</t>
        </is>
      </c>
      <c r="T275" s="3" t="inlineStr">
        <is>
          <t>평지</t>
        </is>
      </c>
      <c r="U275" s="3" t="inlineStr">
        <is>
          <t>세로장방</t>
        </is>
      </c>
      <c r="V275" s="3" t="inlineStr">
        <is>
          <t>소로한면</t>
        </is>
      </c>
    </row>
    <row r="276">
      <c r="A276" s="3" t="inlineStr">
        <is>
          <t>고운동 1830</t>
        </is>
      </c>
      <c r="B276" s="3" t="inlineStr">
        <is>
          <t>제1종전용주거지역</t>
        </is>
      </c>
      <c r="C276" s="3" t="inlineStr">
        <is>
          <t>대</t>
        </is>
      </c>
      <c r="D276" s="3" t="inlineStr">
        <is>
          <t>대</t>
        </is>
      </c>
      <c r="E276" s="3" t="inlineStr">
        <is>
          <t>매매</t>
        </is>
      </c>
      <c r="F276" s="4" t="n">
        <v>88000</v>
      </c>
      <c r="G276" s="4" t="n">
        <v>568</v>
      </c>
      <c r="H276" s="4" t="n">
        <v>172</v>
      </c>
      <c r="I276" s="5" t="n">
        <v>511.6</v>
      </c>
      <c r="J276" s="5" t="n">
        <v>309.7</v>
      </c>
      <c r="K276" s="3" t="inlineStr">
        <is>
          <t>nan</t>
        </is>
      </c>
      <c r="L276" s="6">
        <f>HYPERLINK("https://fin.land.naver.com/articles/2654025362", "매물Link")</f>
        <v/>
      </c>
      <c r="M276" s="6">
        <f>HYPERLINK("https://map.naver.com/p/search/고운동 1830", "지도Link")</f>
        <v/>
      </c>
      <c r="N276" s="6">
        <f>HYPERLINK("http://www.eum.go.kr/web/ar/lu/luLandDet.jsp?pnu=3611011200118300000&amp;isNoScr=script&amp;mode=search", "토지이음")</f>
        <v/>
      </c>
      <c r="O276" s="3" t="inlineStr">
        <is>
          <t>세종지평</t>
        </is>
      </c>
      <c r="P276" s="4" t="n">
        <v>1</v>
      </c>
      <c r="Q276" s="4" t="n">
        <v>568.3</v>
      </c>
      <c r="R276" s="3" t="inlineStr">
        <is>
          <t>지정되지않음</t>
        </is>
      </c>
      <c r="S276" s="3" t="inlineStr">
        <is>
          <t>주거나지</t>
        </is>
      </c>
      <c r="T276" s="3" t="inlineStr">
        <is>
          <t>평지</t>
        </is>
      </c>
      <c r="U276" s="3" t="inlineStr">
        <is>
          <t>세로장방</t>
        </is>
      </c>
      <c r="V276" s="3" t="inlineStr">
        <is>
          <t>소로한면</t>
        </is>
      </c>
    </row>
    <row r="277">
      <c r="A277" s="3" t="inlineStr">
        <is>
          <t>고운동 1830</t>
        </is>
      </c>
      <c r="B277" s="3" t="inlineStr">
        <is>
          <t>제1종전용주거지역</t>
        </is>
      </c>
      <c r="C277" s="3" t="inlineStr">
        <is>
          <t>대</t>
        </is>
      </c>
      <c r="D277" s="3" t="inlineStr">
        <is>
          <t>대</t>
        </is>
      </c>
      <c r="E277" s="3" t="inlineStr">
        <is>
          <t>매매</t>
        </is>
      </c>
      <c r="F277" s="4" t="n">
        <v>88000</v>
      </c>
      <c r="G277" s="4" t="n">
        <v>568</v>
      </c>
      <c r="H277" s="4" t="n">
        <v>172</v>
      </c>
      <c r="I277" s="5" t="n">
        <v>511.6</v>
      </c>
      <c r="J277" s="5" t="n">
        <v>309.7</v>
      </c>
      <c r="K277" s="3" t="inlineStr">
        <is>
          <t>급매 대형면적 공원접한 위치최상</t>
        </is>
      </c>
      <c r="L277" s="6">
        <f>HYPERLINK("https://fin.land.naver.com/articles/2650369741", "매물Link")</f>
        <v/>
      </c>
      <c r="M277" s="6">
        <f>HYPERLINK("https://map.naver.com/p/search/고운동 1830", "지도Link")</f>
        <v/>
      </c>
      <c r="N277" s="6">
        <f>HYPERLINK("http://www.eum.go.kr/web/ar/lu/luLandDet.jsp?pnu=3611011200118300000&amp;isNoScr=script&amp;mode=search", "토지이음")</f>
        <v/>
      </c>
      <c r="O277" s="3" t="inlineStr">
        <is>
          <t>세종스타</t>
        </is>
      </c>
      <c r="P277" s="4" t="n">
        <v>1</v>
      </c>
      <c r="Q277" s="4" t="n">
        <v>568.3</v>
      </c>
      <c r="R277" s="3" t="inlineStr">
        <is>
          <t>지정되지않음</t>
        </is>
      </c>
      <c r="S277" s="3" t="inlineStr">
        <is>
          <t>주거나지</t>
        </is>
      </c>
      <c r="T277" s="3" t="inlineStr">
        <is>
          <t>평지</t>
        </is>
      </c>
      <c r="U277" s="3" t="inlineStr">
        <is>
          <t>세로장방</t>
        </is>
      </c>
      <c r="V277" s="3" t="inlineStr">
        <is>
          <t>소로한면</t>
        </is>
      </c>
    </row>
    <row r="278">
      <c r="A278" s="3" t="inlineStr">
        <is>
          <t>고운동 1835</t>
        </is>
      </c>
      <c r="B278" s="3" t="inlineStr">
        <is>
          <t>제1종전용주거지역</t>
        </is>
      </c>
      <c r="C278" s="3" t="inlineStr">
        <is>
          <t>대</t>
        </is>
      </c>
      <c r="D278" s="3" t="inlineStr">
        <is>
          <t>대</t>
        </is>
      </c>
      <c r="E278" s="3" t="inlineStr">
        <is>
          <t>매매</t>
        </is>
      </c>
      <c r="F278" s="4" t="n">
        <v>150000</v>
      </c>
      <c r="G278" s="4" t="n">
        <v>677</v>
      </c>
      <c r="H278" s="4" t="n">
        <v>205</v>
      </c>
      <c r="I278" s="5" t="n">
        <v>731.7</v>
      </c>
      <c r="J278" s="5" t="n">
        <v>309.2</v>
      </c>
      <c r="K278" s="3" t="inlineStr">
        <is>
          <t>지하주차장가능하여 개방감 있는 토지</t>
        </is>
      </c>
      <c r="L278" s="6">
        <f>HYPERLINK("https://fin.land.naver.com/articles/2654120394", "매물Link")</f>
        <v/>
      </c>
      <c r="M278" s="6">
        <f>HYPERLINK("https://map.naver.com/p/search/고운동 1835", "지도Link")</f>
        <v/>
      </c>
      <c r="N278" s="6">
        <f>HYPERLINK("http://www.eum.go.kr/web/ar/lu/luLandDet.jsp?pnu=3611011200118350000&amp;isNoScr=script&amp;mode=search", "토지이음")</f>
        <v/>
      </c>
      <c r="O278" s="3" t="inlineStr">
        <is>
          <t>킹세종</t>
        </is>
      </c>
      <c r="P278" s="4" t="n">
        <v>1</v>
      </c>
      <c r="Q278" s="4" t="n">
        <v>677.4</v>
      </c>
      <c r="R278" s="3" t="inlineStr">
        <is>
          <t>지정되지않음</t>
        </is>
      </c>
      <c r="S278" s="3" t="inlineStr">
        <is>
          <t>주거나지</t>
        </is>
      </c>
      <c r="T278" s="3" t="inlineStr">
        <is>
          <t>평지</t>
        </is>
      </c>
      <c r="U278" s="3" t="inlineStr">
        <is>
          <t>세로장방</t>
        </is>
      </c>
      <c r="V278" s="3" t="inlineStr">
        <is>
          <t>소로한면</t>
        </is>
      </c>
    </row>
    <row r="279">
      <c r="A279" s="3" t="inlineStr">
        <is>
          <t>고운동 1850</t>
        </is>
      </c>
      <c r="B279" s="3" t="inlineStr">
        <is>
          <t>제1종전용주거지역</t>
        </is>
      </c>
      <c r="C279" s="3" t="inlineStr">
        <is>
          <t>대</t>
        </is>
      </c>
      <c r="D279" s="3" t="inlineStr">
        <is>
          <t>대</t>
        </is>
      </c>
      <c r="E279" s="3" t="inlineStr">
        <is>
          <t>매매</t>
        </is>
      </c>
      <c r="F279" s="4" t="n">
        <v>75000</v>
      </c>
      <c r="G279" s="4" t="n">
        <v>511</v>
      </c>
      <c r="H279" s="4" t="n">
        <v>155</v>
      </c>
      <c r="I279" s="5" t="n">
        <v>483.9</v>
      </c>
      <c r="J279" s="5" t="n">
        <v>309.7</v>
      </c>
      <c r="K279" s="3" t="inlineStr">
        <is>
          <t>급매, 고급주택이 가능한 택지, 정남향</t>
        </is>
      </c>
      <c r="L279" s="6">
        <f>HYPERLINK("https://fin.land.naver.com/articles/2652909561", "매물Link")</f>
        <v/>
      </c>
      <c r="M279" s="6">
        <f>HYPERLINK("https://map.naver.com/p/search/고운동 1850", "지도Link")</f>
        <v/>
      </c>
      <c r="N279" s="6">
        <f>HYPERLINK("http://www.eum.go.kr/web/ar/lu/luLandDet.jsp?pnu=3611011200118500000&amp;isNoScr=script&amp;mode=search", "토지이음")</f>
        <v/>
      </c>
      <c r="O279" s="3" t="inlineStr">
        <is>
          <t>최무연</t>
        </is>
      </c>
      <c r="P279" s="4" t="n">
        <v>1</v>
      </c>
      <c r="Q279" s="4" t="n">
        <v>512</v>
      </c>
      <c r="R279" s="3" t="inlineStr">
        <is>
          <t>지정되지않음</t>
        </is>
      </c>
      <c r="S279" s="3" t="inlineStr">
        <is>
          <t>주거나지</t>
        </is>
      </c>
      <c r="T279" s="3" t="inlineStr">
        <is>
          <t>평지</t>
        </is>
      </c>
      <c r="U279" s="3" t="inlineStr">
        <is>
          <t>세로장방</t>
        </is>
      </c>
      <c r="V279" s="3" t="inlineStr">
        <is>
          <t>소로한면</t>
        </is>
      </c>
    </row>
    <row r="280">
      <c r="A280" s="3" t="inlineStr">
        <is>
          <t>고운동 1906</t>
        </is>
      </c>
      <c r="B280" s="3" t="inlineStr">
        <is>
          <t>제1종전용주거지역</t>
        </is>
      </c>
      <c r="C280" s="3" t="inlineStr">
        <is>
          <t>대</t>
        </is>
      </c>
      <c r="D280" s="3" t="inlineStr">
        <is>
          <t>대</t>
        </is>
      </c>
      <c r="E280" s="3" t="inlineStr">
        <is>
          <t>매매</t>
        </is>
      </c>
      <c r="F280" s="4" t="n">
        <v>200000</v>
      </c>
      <c r="G280" s="4" t="n">
        <v>528</v>
      </c>
      <c r="H280" s="4" t="n">
        <v>160</v>
      </c>
      <c r="I280" s="5" t="n">
        <v>1250</v>
      </c>
      <c r="J280" s="5" t="n">
        <v>879</v>
      </c>
      <c r="K280" s="3" t="inlineStr">
        <is>
          <t>고운동 근생용지 코너위치 3면 접근용이 근생시설최적지</t>
        </is>
      </c>
      <c r="L280" s="6">
        <f>HYPERLINK("https://fin.land.naver.com/articles/2649447450", "매물Link")</f>
        <v/>
      </c>
      <c r="M280" s="6">
        <f>HYPERLINK("https://map.naver.com/p/search/고운동 1906", "지도Link")</f>
        <v/>
      </c>
      <c r="N280" s="6">
        <f>HYPERLINK("http://www.eum.go.kr/web/ar/lu/luLandDet.jsp?pnu=3611011200119060000&amp;isNoScr=script&amp;mode=search", "토지이음")</f>
        <v/>
      </c>
      <c r="O280" s="3" t="inlineStr">
        <is>
          <t>서초만땅</t>
        </is>
      </c>
      <c r="P280" s="4" t="n">
        <v>1</v>
      </c>
      <c r="Q280" s="4" t="n">
        <v>528.3</v>
      </c>
      <c r="R280" s="3" t="inlineStr">
        <is>
          <t>지정되지않음</t>
        </is>
      </c>
      <c r="S280" s="3" t="inlineStr">
        <is>
          <t>상업용</t>
        </is>
      </c>
      <c r="T280" s="3" t="inlineStr">
        <is>
          <t>평지</t>
        </is>
      </c>
      <c r="U280" s="3" t="inlineStr">
        <is>
          <t>세로장방</t>
        </is>
      </c>
      <c r="V280" s="3" t="inlineStr">
        <is>
          <t>중로각지</t>
        </is>
      </c>
    </row>
    <row r="281">
      <c r="A281" s="3" t="inlineStr">
        <is>
          <t>고운동 1934</t>
        </is>
      </c>
      <c r="B281" s="3" t="inlineStr">
        <is>
          <t>제1종전용주거지역</t>
        </is>
      </c>
      <c r="C281" s="3" t="inlineStr">
        <is>
          <t>대</t>
        </is>
      </c>
      <c r="D281" s="3" t="inlineStr">
        <is>
          <t>대</t>
        </is>
      </c>
      <c r="E281" s="3" t="inlineStr">
        <is>
          <t>매매</t>
        </is>
      </c>
      <c r="F281" s="4" t="n">
        <v>85000</v>
      </c>
      <c r="G281" s="4" t="n">
        <v>331</v>
      </c>
      <c r="H281" s="4" t="n">
        <v>100</v>
      </c>
      <c r="I281" s="5" t="n">
        <v>850</v>
      </c>
      <c r="J281" s="5" t="n">
        <v>297.2</v>
      </c>
      <c r="K281" s="3" t="inlineStr">
        <is>
          <t>인근 고급단독주택형성된 남향의 반듯한 단독주택부지, 가격조율가능</t>
        </is>
      </c>
      <c r="L281" s="6">
        <f>HYPERLINK("https://fin.land.naver.com/articles/2652888518", "매물Link")</f>
        <v/>
      </c>
      <c r="M281" s="6">
        <f>HYPERLINK("https://map.naver.com/p/search/고운동 1934", "지도Link")</f>
        <v/>
      </c>
      <c r="N281" s="6">
        <f>HYPERLINK("http://www.eum.go.kr/web/ar/lu/luLandDet.jsp?pnu=3611011200119340000&amp;isNoScr=script&amp;mode=search", "토지이음")</f>
        <v/>
      </c>
      <c r="O281" s="3" t="inlineStr">
        <is>
          <t>명품시티</t>
        </is>
      </c>
      <c r="P281" s="4" t="n">
        <v>1</v>
      </c>
      <c r="Q281" s="4" t="n">
        <v>331</v>
      </c>
      <c r="R281" s="3" t="inlineStr">
        <is>
          <t>지정되지않음</t>
        </is>
      </c>
      <c r="S281" s="3" t="inlineStr">
        <is>
          <t>주거나지</t>
        </is>
      </c>
      <c r="T281" s="3" t="inlineStr">
        <is>
          <t>평지</t>
        </is>
      </c>
      <c r="U281" s="3" t="inlineStr">
        <is>
          <t>세로장방</t>
        </is>
      </c>
      <c r="V281" s="3" t="inlineStr">
        <is>
          <t>소로한면</t>
        </is>
      </c>
    </row>
    <row r="282">
      <c r="A282" s="3" t="inlineStr">
        <is>
          <t>고운동 1940</t>
        </is>
      </c>
      <c r="B282" s="3" t="inlineStr">
        <is>
          <t>제1종전용주거지역</t>
        </is>
      </c>
      <c r="C282" s="3" t="inlineStr">
        <is>
          <t>대</t>
        </is>
      </c>
      <c r="D282" s="3" t="inlineStr">
        <is>
          <t>대</t>
        </is>
      </c>
      <c r="E282" s="3" t="inlineStr">
        <is>
          <t>매매</t>
        </is>
      </c>
      <c r="F282" s="4" t="n">
        <v>54000</v>
      </c>
      <c r="G282" s="4" t="n">
        <v>355</v>
      </c>
      <c r="H282" s="4" t="n">
        <v>107</v>
      </c>
      <c r="I282" s="5" t="n">
        <v>504.7</v>
      </c>
      <c r="J282" s="5" t="n">
        <v>335.5</v>
      </c>
      <c r="K282" s="3" t="inlineStr">
        <is>
          <t>nan</t>
        </is>
      </c>
      <c r="L282" s="6">
        <f>HYPERLINK("https://fin.land.naver.com/articles/2654393716", "매물Link")</f>
        <v/>
      </c>
      <c r="M282" s="6">
        <f>HYPERLINK("https://map.naver.com/p/search/고운동 1940", "지도Link")</f>
        <v/>
      </c>
      <c r="N282" s="6">
        <f>HYPERLINK("http://www.eum.go.kr/web/ar/lu/luLandDet.jsp?pnu=3611011200119400000&amp;isNoScr=script&amp;mode=search", "토지이음")</f>
        <v/>
      </c>
      <c r="O282" s="3" t="inlineStr">
        <is>
          <t>백프로</t>
        </is>
      </c>
      <c r="P282" s="4" t="n">
        <v>1</v>
      </c>
      <c r="Q282" s="4" t="n">
        <v>355.9</v>
      </c>
      <c r="R282" s="3" t="inlineStr">
        <is>
          <t>지정되지않음</t>
        </is>
      </c>
      <c r="S282" s="3" t="inlineStr">
        <is>
          <t>주거나지</t>
        </is>
      </c>
      <c r="T282" s="3" t="inlineStr">
        <is>
          <t>평지</t>
        </is>
      </c>
      <c r="U282" s="3" t="inlineStr">
        <is>
          <t>세로장방</t>
        </is>
      </c>
      <c r="V282" s="3" t="inlineStr">
        <is>
          <t>중로각지</t>
        </is>
      </c>
    </row>
    <row r="283">
      <c r="A283" s="3" t="inlineStr">
        <is>
          <t>고운동 1951</t>
        </is>
      </c>
      <c r="B283" s="3" t="inlineStr">
        <is>
          <t>제1종전용주거지역</t>
        </is>
      </c>
      <c r="C283" s="3" t="inlineStr">
        <is>
          <t>대</t>
        </is>
      </c>
      <c r="D283" s="3" t="inlineStr">
        <is>
          <t>대</t>
        </is>
      </c>
      <c r="E283" s="3" t="inlineStr">
        <is>
          <t>매매</t>
        </is>
      </c>
      <c r="F283" s="4" t="n">
        <v>52000</v>
      </c>
      <c r="G283" s="4" t="n">
        <v>334</v>
      </c>
      <c r="H283" s="4" t="n">
        <v>101</v>
      </c>
      <c r="I283" s="5" t="n">
        <v>514.9</v>
      </c>
      <c r="J283" s="5" t="n">
        <v>308.7</v>
      </c>
      <c r="K283" s="3" t="inlineStr">
        <is>
          <t>코너각지에 보행자도로 접하고 남향으로 반듯한 단독주택부지, 가격조정 가능</t>
        </is>
      </c>
      <c r="L283" s="6">
        <f>HYPERLINK("https://fin.land.naver.com/articles/2649697362", "매물Link")</f>
        <v/>
      </c>
      <c r="M283" s="6">
        <f>HYPERLINK("https://map.naver.com/p/search/고운동 1951", "지도Link")</f>
        <v/>
      </c>
      <c r="N283" s="6">
        <f>HYPERLINK("http://www.eum.go.kr/web/ar/lu/luLandDet.jsp?pnu=3611011200119510000&amp;isNoScr=script&amp;mode=search", "토지이음")</f>
        <v/>
      </c>
      <c r="O283" s="3" t="inlineStr">
        <is>
          <t>온뜰</t>
        </is>
      </c>
      <c r="P283" s="4" t="n">
        <v>1</v>
      </c>
      <c r="Q283" s="4" t="n">
        <v>334</v>
      </c>
      <c r="R283" s="3" t="inlineStr">
        <is>
          <t>지정되지않음</t>
        </is>
      </c>
      <c r="S283" s="3" t="inlineStr">
        <is>
          <t>주거나지</t>
        </is>
      </c>
      <c r="T283" s="3" t="inlineStr">
        <is>
          <t>평지</t>
        </is>
      </c>
      <c r="U283" s="3" t="inlineStr">
        <is>
          <t>사다리형</t>
        </is>
      </c>
      <c r="V283" s="3" t="inlineStr">
        <is>
          <t>소로각지</t>
        </is>
      </c>
    </row>
    <row r="284">
      <c r="A284" s="3" t="inlineStr">
        <is>
          <t>고운동 1951</t>
        </is>
      </c>
      <c r="B284" s="3" t="inlineStr">
        <is>
          <t>제1종전용주거지역</t>
        </is>
      </c>
      <c r="C284" s="3" t="inlineStr">
        <is>
          <t>대</t>
        </is>
      </c>
      <c r="D284" s="3" t="inlineStr">
        <is>
          <t>대</t>
        </is>
      </c>
      <c r="E284" s="3" t="inlineStr">
        <is>
          <t>매매</t>
        </is>
      </c>
      <c r="F284" s="4" t="n">
        <v>50000</v>
      </c>
      <c r="G284" s="4" t="n">
        <v>334</v>
      </c>
      <c r="H284" s="4" t="n">
        <v>101</v>
      </c>
      <c r="I284" s="5" t="n">
        <v>495</v>
      </c>
      <c r="J284" s="5" t="n">
        <v>308.7</v>
      </c>
      <c r="K284" s="3" t="inlineStr">
        <is>
          <t>급매,막힘없는 코너각지,주민센터 및 항아리중심상권</t>
        </is>
      </c>
      <c r="L284" s="6">
        <f>HYPERLINK("https://fin.land.naver.com/articles/2650851183", "매물Link")</f>
        <v/>
      </c>
      <c r="M284" s="6">
        <f>HYPERLINK("https://map.naver.com/p/search/고운동 1951", "지도Link")</f>
        <v/>
      </c>
      <c r="N284" s="6">
        <f>HYPERLINK("http://www.eum.go.kr/web/ar/lu/luLandDet.jsp?pnu=3611011200119510000&amp;isNoScr=script&amp;mode=search", "토지이음")</f>
        <v/>
      </c>
      <c r="O284" s="3" t="inlineStr">
        <is>
          <t>고운맘</t>
        </is>
      </c>
      <c r="P284" s="4" t="n">
        <v>1</v>
      </c>
      <c r="Q284" s="4" t="n">
        <v>334</v>
      </c>
      <c r="R284" s="3" t="inlineStr">
        <is>
          <t>지정되지않음</t>
        </is>
      </c>
      <c r="S284" s="3" t="inlineStr">
        <is>
          <t>주거나지</t>
        </is>
      </c>
      <c r="T284" s="3" t="inlineStr">
        <is>
          <t>평지</t>
        </is>
      </c>
      <c r="U284" s="3" t="inlineStr">
        <is>
          <t>사다리형</t>
        </is>
      </c>
      <c r="V284" s="3" t="inlineStr">
        <is>
          <t>소로각지</t>
        </is>
      </c>
    </row>
    <row r="285">
      <c r="A285" s="3" t="inlineStr">
        <is>
          <t>고운동 1951</t>
        </is>
      </c>
      <c r="B285" s="3" t="inlineStr">
        <is>
          <t>제1종전용주거지역</t>
        </is>
      </c>
      <c r="C285" s="3" t="inlineStr">
        <is>
          <t>대</t>
        </is>
      </c>
      <c r="D285" s="3" t="inlineStr">
        <is>
          <t>대</t>
        </is>
      </c>
      <c r="E285" s="3" t="inlineStr">
        <is>
          <t>매매</t>
        </is>
      </c>
      <c r="F285" s="4" t="n">
        <v>50000</v>
      </c>
      <c r="G285" s="4" t="n">
        <v>334</v>
      </c>
      <c r="H285" s="4" t="n">
        <v>101</v>
      </c>
      <c r="I285" s="5" t="n">
        <v>495</v>
      </c>
      <c r="J285" s="5" t="n">
        <v>308.7</v>
      </c>
      <c r="K285" s="3" t="inlineStr">
        <is>
          <t>급매 코너각지 상권 학교 가까움 추가조율가능</t>
        </is>
      </c>
      <c r="L285" s="6">
        <f>HYPERLINK("https://fin.land.naver.com/articles/2652289680", "매물Link")</f>
        <v/>
      </c>
      <c r="M285" s="6">
        <f>HYPERLINK("https://map.naver.com/p/search/고운동 1951", "지도Link")</f>
        <v/>
      </c>
      <c r="N285" s="6">
        <f>HYPERLINK("http://www.eum.go.kr/web/ar/lu/luLandDet.jsp?pnu=3611011200119510000&amp;isNoScr=script&amp;mode=search", "토지이음")</f>
        <v/>
      </c>
      <c r="O285" s="3" t="inlineStr">
        <is>
          <t>세종스타</t>
        </is>
      </c>
      <c r="P285" s="4" t="n">
        <v>1</v>
      </c>
      <c r="Q285" s="4" t="n">
        <v>334</v>
      </c>
      <c r="R285" s="3" t="inlineStr">
        <is>
          <t>지정되지않음</t>
        </is>
      </c>
      <c r="S285" s="3" t="inlineStr">
        <is>
          <t>주거나지</t>
        </is>
      </c>
      <c r="T285" s="3" t="inlineStr">
        <is>
          <t>평지</t>
        </is>
      </c>
      <c r="U285" s="3" t="inlineStr">
        <is>
          <t>사다리형</t>
        </is>
      </c>
      <c r="V285" s="3" t="inlineStr">
        <is>
          <t>소로각지</t>
        </is>
      </c>
    </row>
    <row r="286">
      <c r="A286" s="3" t="inlineStr">
        <is>
          <t>고운동 1954</t>
        </is>
      </c>
      <c r="B286" s="3" t="inlineStr">
        <is>
          <t>제1종전용주거지역</t>
        </is>
      </c>
      <c r="C286" s="3" t="inlineStr">
        <is>
          <t>대</t>
        </is>
      </c>
      <c r="D286" s="3" t="inlineStr">
        <is>
          <t>대</t>
        </is>
      </c>
      <c r="E286" s="3" t="inlineStr">
        <is>
          <t>매매</t>
        </is>
      </c>
      <c r="F286" s="4" t="n">
        <v>63000</v>
      </c>
      <c r="G286" s="4" t="n">
        <v>375</v>
      </c>
      <c r="H286" s="4" t="n">
        <v>113</v>
      </c>
      <c r="I286" s="5" t="n">
        <v>557.5</v>
      </c>
      <c r="J286" s="5" t="n">
        <v>297.1</v>
      </c>
      <c r="K286" s="3" t="inlineStr">
        <is>
          <t>급매,전원형 주택단지 남향필지</t>
        </is>
      </c>
      <c r="L286" s="6">
        <f>HYPERLINK("https://fin.land.naver.com/articles/2649745305", "매물Link")</f>
        <v/>
      </c>
      <c r="M286" s="6">
        <f>HYPERLINK("https://map.naver.com/p/search/고운동 1954", "지도Link")</f>
        <v/>
      </c>
      <c r="N286" s="6">
        <f>HYPERLINK("http://www.eum.go.kr/web/ar/lu/luLandDet.jsp?pnu=3611011200119540000&amp;isNoScr=script&amp;mode=search", "토지이음")</f>
        <v/>
      </c>
      <c r="O286" s="3" t="inlineStr">
        <is>
          <t>킹세종</t>
        </is>
      </c>
      <c r="P286" s="4" t="n">
        <v>1</v>
      </c>
      <c r="Q286" s="4" t="n">
        <v>375.4</v>
      </c>
      <c r="R286" s="3" t="inlineStr">
        <is>
          <t>지정되지않음</t>
        </is>
      </c>
      <c r="S286" s="3" t="inlineStr">
        <is>
          <t>주거나지</t>
        </is>
      </c>
      <c r="T286" s="3" t="inlineStr">
        <is>
          <t>평지</t>
        </is>
      </c>
      <c r="U286" s="3" t="inlineStr">
        <is>
          <t>세로장방</t>
        </is>
      </c>
      <c r="V286" s="3" t="inlineStr">
        <is>
          <t>소로한면</t>
        </is>
      </c>
    </row>
    <row r="287">
      <c r="A287" s="3" t="inlineStr">
        <is>
          <t>고운동 1955</t>
        </is>
      </c>
      <c r="B287" s="3" t="inlineStr">
        <is>
          <t>제1종전용주거지역</t>
        </is>
      </c>
      <c r="C287" s="3" t="inlineStr">
        <is>
          <t>대</t>
        </is>
      </c>
      <c r="D287" s="3" t="inlineStr">
        <is>
          <t>대</t>
        </is>
      </c>
      <c r="E287" s="3" t="inlineStr">
        <is>
          <t>매매</t>
        </is>
      </c>
      <c r="F287" s="4" t="n">
        <v>63000</v>
      </c>
      <c r="G287" s="4" t="n">
        <v>375</v>
      </c>
      <c r="H287" s="4" t="n">
        <v>113</v>
      </c>
      <c r="I287" s="5" t="n">
        <v>557.5</v>
      </c>
      <c r="J287" s="5" t="n">
        <v>297.1</v>
      </c>
      <c r="K287" s="3" t="inlineStr">
        <is>
          <t>남향필지 위치좋은곳 초중고학교 도보가능 외부출퇴근 용이한곳</t>
        </is>
      </c>
      <c r="L287" s="6">
        <f>HYPERLINK("https://fin.land.naver.com/articles/2652418901", "매물Link")</f>
        <v/>
      </c>
      <c r="M287" s="6">
        <f>HYPERLINK("https://map.naver.com/p/search/고운동 1955", "지도Link")</f>
        <v/>
      </c>
      <c r="N287" s="6">
        <f>HYPERLINK("http://www.eum.go.kr/web/ar/lu/luLandDet.jsp?pnu=3611011200119550000&amp;isNoScr=script&amp;mode=search", "토지이음")</f>
        <v/>
      </c>
      <c r="O287" s="3" t="inlineStr">
        <is>
          <t>세종스타</t>
        </is>
      </c>
      <c r="P287" s="4" t="n">
        <v>2</v>
      </c>
      <c r="Q287" s="4" t="n">
        <v>375.4</v>
      </c>
      <c r="R287" s="3" t="inlineStr">
        <is>
          <t>지정되지않음</t>
        </is>
      </c>
      <c r="S287" s="3" t="inlineStr">
        <is>
          <t>주거나지</t>
        </is>
      </c>
      <c r="T287" s="3" t="inlineStr">
        <is>
          <t>평지</t>
        </is>
      </c>
      <c r="U287" s="3" t="inlineStr">
        <is>
          <t>세로장방</t>
        </is>
      </c>
      <c r="V287" s="3" t="inlineStr">
        <is>
          <t>소로한면</t>
        </is>
      </c>
    </row>
    <row r="288">
      <c r="A288" s="3" t="inlineStr">
        <is>
          <t>고운동 1959</t>
        </is>
      </c>
      <c r="B288" s="3" t="inlineStr">
        <is>
          <t>제1종전용주거지역</t>
        </is>
      </c>
      <c r="C288" s="3" t="inlineStr">
        <is>
          <t>대</t>
        </is>
      </c>
      <c r="D288" s="3" t="inlineStr">
        <is>
          <t>대</t>
        </is>
      </c>
      <c r="E288" s="3" t="inlineStr">
        <is>
          <t>매매</t>
        </is>
      </c>
      <c r="F288" s="4" t="n">
        <v>65000</v>
      </c>
      <c r="G288" s="4" t="n">
        <v>352</v>
      </c>
      <c r="H288" s="4" t="n">
        <v>106</v>
      </c>
      <c r="I288" s="5" t="n">
        <v>613.2</v>
      </c>
      <c r="J288" s="5" t="n">
        <v>297.1</v>
      </c>
      <c r="K288" s="3" t="inlineStr">
        <is>
          <t>공원조망 정남향 최고위치 조율가능</t>
        </is>
      </c>
      <c r="L288" s="6">
        <f>HYPERLINK("https://fin.land.naver.com/articles/2651087463", "매물Link")</f>
        <v/>
      </c>
      <c r="M288" s="6">
        <f>HYPERLINK("https://map.naver.com/p/search/고운동 1959", "지도Link")</f>
        <v/>
      </c>
      <c r="N288" s="6">
        <f>HYPERLINK("http://www.eum.go.kr/web/ar/lu/luLandDet.jsp?pnu=3611011200119590000&amp;isNoScr=script&amp;mode=search", "토지이음")</f>
        <v/>
      </c>
      <c r="O288" s="3" t="inlineStr">
        <is>
          <t>세종스타</t>
        </is>
      </c>
      <c r="P288" s="4" t="n">
        <v>1</v>
      </c>
      <c r="Q288" s="4" t="n">
        <v>352</v>
      </c>
      <c r="R288" s="3" t="inlineStr">
        <is>
          <t>지정되지않음</t>
        </is>
      </c>
      <c r="S288" s="3" t="inlineStr">
        <is>
          <t>주거나지</t>
        </is>
      </c>
      <c r="T288" s="3" t="inlineStr">
        <is>
          <t>평지</t>
        </is>
      </c>
      <c r="U288" s="3" t="inlineStr">
        <is>
          <t>세로장방</t>
        </is>
      </c>
      <c r="V288" s="3" t="inlineStr">
        <is>
          <t>소로한면</t>
        </is>
      </c>
    </row>
    <row r="289">
      <c r="A289" s="3" t="inlineStr">
        <is>
          <t>고운동 1967</t>
        </is>
      </c>
      <c r="B289" s="3" t="inlineStr">
        <is>
          <t>제1종전용주거지역</t>
        </is>
      </c>
      <c r="C289" s="3" t="inlineStr">
        <is>
          <t>대</t>
        </is>
      </c>
      <c r="D289" s="3" t="inlineStr">
        <is>
          <t>대</t>
        </is>
      </c>
      <c r="E289" s="3" t="inlineStr">
        <is>
          <t>매매</t>
        </is>
      </c>
      <c r="F289" s="4" t="n">
        <v>62000</v>
      </c>
      <c r="G289" s="4" t="n">
        <v>390</v>
      </c>
      <c r="H289" s="4" t="n">
        <v>118</v>
      </c>
      <c r="I289" s="5" t="n">
        <v>525.4</v>
      </c>
      <c r="J289" s="5" t="n">
        <v>297.2</v>
      </c>
      <c r="K289" s="3" t="inlineStr">
        <is>
          <t>가격내림. 위치 좋은 큰 면적 단독주택지 매매</t>
        </is>
      </c>
      <c r="L289" s="6">
        <f>HYPERLINK("https://fin.land.naver.com/articles/2652599829", "매물Link")</f>
        <v/>
      </c>
      <c r="M289" s="6">
        <f>HYPERLINK("https://map.naver.com/p/search/고운동 1967", "지도Link")</f>
        <v/>
      </c>
      <c r="N289" s="6">
        <f>HYPERLINK("http://www.eum.go.kr/web/ar/lu/luLandDet.jsp?pnu=3611011200119670000&amp;isNoScr=script&amp;mode=search", "토지이음")</f>
        <v/>
      </c>
      <c r="O289" s="3" t="inlineStr">
        <is>
          <t>로데오상가</t>
        </is>
      </c>
      <c r="P289" s="4" t="n">
        <v>1</v>
      </c>
      <c r="Q289" s="4" t="n">
        <v>390</v>
      </c>
      <c r="R289" s="3" t="inlineStr">
        <is>
          <t>지정되지않음</t>
        </is>
      </c>
      <c r="S289" s="3" t="inlineStr">
        <is>
          <t>주거나지</t>
        </is>
      </c>
      <c r="T289" s="3" t="inlineStr">
        <is>
          <t>평지</t>
        </is>
      </c>
      <c r="U289" s="3" t="inlineStr">
        <is>
          <t>세로장방</t>
        </is>
      </c>
      <c r="V289" s="3" t="inlineStr">
        <is>
          <t>소로한면</t>
        </is>
      </c>
    </row>
    <row r="290">
      <c r="A290" s="3" t="inlineStr">
        <is>
          <t>고운동 1980</t>
        </is>
      </c>
      <c r="B290" s="3" t="inlineStr">
        <is>
          <t>제1종전용주거지역</t>
        </is>
      </c>
      <c r="C290" s="3" t="inlineStr">
        <is>
          <t>대</t>
        </is>
      </c>
      <c r="D290" s="3" t="inlineStr">
        <is>
          <t>대</t>
        </is>
      </c>
      <c r="E290" s="3" t="inlineStr">
        <is>
          <t>매매</t>
        </is>
      </c>
      <c r="F290" s="4" t="n">
        <v>75000</v>
      </c>
      <c r="G290" s="4" t="n">
        <v>362</v>
      </c>
      <c r="H290" s="4" t="n">
        <v>110</v>
      </c>
      <c r="I290" s="5" t="n">
        <v>681.8</v>
      </c>
      <c r="J290" s="5" t="n">
        <v>297.2</v>
      </c>
      <c r="K290" s="3" t="inlineStr">
        <is>
          <t>I 신한 I 일조권 최상, 햇살 가득한 정남향 단독주택 필지</t>
        </is>
      </c>
      <c r="L290" s="6">
        <f>HYPERLINK("https://fin.land.naver.com/articles/2651984559", "매물Link")</f>
        <v/>
      </c>
      <c r="M290" s="6">
        <f>HYPERLINK("https://map.naver.com/p/search/고운동 1980", "지도Link")</f>
        <v/>
      </c>
      <c r="N290" s="6">
        <f>HYPERLINK("http://www.eum.go.kr/web/ar/lu/luLandDet.jsp?pnu=3611011200119800000&amp;isNoScr=script&amp;mode=search", "토지이음")</f>
        <v/>
      </c>
      <c r="O290" s="3" t="inlineStr">
        <is>
          <t>세종신한</t>
        </is>
      </c>
      <c r="P290" s="4" t="n">
        <v>1</v>
      </c>
      <c r="Q290" s="4" t="n">
        <v>362.1</v>
      </c>
      <c r="R290" s="3" t="inlineStr">
        <is>
          <t>지정되지않음</t>
        </is>
      </c>
      <c r="S290" s="3" t="inlineStr">
        <is>
          <t>주거나지</t>
        </is>
      </c>
      <c r="T290" s="3" t="inlineStr">
        <is>
          <t>평지</t>
        </is>
      </c>
      <c r="U290" s="3" t="inlineStr">
        <is>
          <t>세로장방</t>
        </is>
      </c>
      <c r="V290" s="3" t="inlineStr">
        <is>
          <t>소로한면</t>
        </is>
      </c>
    </row>
    <row r="291">
      <c r="A291" s="3" t="inlineStr">
        <is>
          <t>고운동 2014</t>
        </is>
      </c>
      <c r="B291" s="3" t="inlineStr">
        <is>
          <t>제1종전용주거지역</t>
        </is>
      </c>
      <c r="C291" s="3" t="inlineStr">
        <is>
          <t>대</t>
        </is>
      </c>
      <c r="D291" s="3" t="inlineStr">
        <is>
          <t>대</t>
        </is>
      </c>
      <c r="E291" s="3" t="inlineStr">
        <is>
          <t>매매</t>
        </is>
      </c>
      <c r="F291" s="4" t="n">
        <v>65000</v>
      </c>
      <c r="G291" s="4" t="n">
        <v>389</v>
      </c>
      <c r="H291" s="4" t="n">
        <v>118</v>
      </c>
      <c r="I291" s="5" t="n">
        <v>550.8</v>
      </c>
      <c r="J291" s="5" t="n">
        <v>297.2</v>
      </c>
      <c r="K291" s="3" t="inlineStr">
        <is>
          <t>추가조율가능 연결녹지 접한위치 귀한큰평수</t>
        </is>
      </c>
      <c r="L291" s="6">
        <f>HYPERLINK("https://fin.land.naver.com/articles/2652442351", "매물Link")</f>
        <v/>
      </c>
      <c r="M291" s="6">
        <f>HYPERLINK("https://map.naver.com/p/search/고운동 2014", "지도Link")</f>
        <v/>
      </c>
      <c r="N291" s="6">
        <f>HYPERLINK("http://www.eum.go.kr/web/ar/lu/luLandDet.jsp?pnu=3611011200120140000&amp;isNoScr=script&amp;mode=search", "토지이음")</f>
        <v/>
      </c>
      <c r="O291" s="3" t="inlineStr">
        <is>
          <t>세종스타</t>
        </is>
      </c>
      <c r="P291" s="4" t="n">
        <v>2</v>
      </c>
      <c r="Q291" s="4" t="n">
        <v>389.7</v>
      </c>
      <c r="R291" s="3" t="inlineStr">
        <is>
          <t>지정되지않음</t>
        </is>
      </c>
      <c r="S291" s="3" t="inlineStr">
        <is>
          <t>주거나지</t>
        </is>
      </c>
      <c r="T291" s="3" t="inlineStr">
        <is>
          <t>평지</t>
        </is>
      </c>
      <c r="U291" s="3" t="inlineStr">
        <is>
          <t>세로장방</t>
        </is>
      </c>
      <c r="V291" s="3" t="inlineStr">
        <is>
          <t>소로한면</t>
        </is>
      </c>
    </row>
    <row r="292">
      <c r="A292" s="3" t="inlineStr">
        <is>
          <t>고운동 2025</t>
        </is>
      </c>
      <c r="B292" s="3" t="inlineStr">
        <is>
          <t>제1종전용주거지역</t>
        </is>
      </c>
      <c r="C292" s="3" t="inlineStr">
        <is>
          <t>대</t>
        </is>
      </c>
      <c r="D292" s="3" t="inlineStr">
        <is>
          <t>대</t>
        </is>
      </c>
      <c r="E292" s="3" t="inlineStr">
        <is>
          <t>매매</t>
        </is>
      </c>
      <c r="F292" s="4" t="n">
        <v>101920</v>
      </c>
      <c r="G292" s="4" t="n">
        <v>345</v>
      </c>
      <c r="H292" s="4" t="n">
        <v>104</v>
      </c>
      <c r="I292" s="5" t="n">
        <v>980</v>
      </c>
      <c r="J292" s="5" t="n">
        <v>297.2</v>
      </c>
      <c r="K292" s="3" t="inlineStr">
        <is>
          <t>고운동 1종 전용주거지역 단독주택지 매매,정남향,뻥뷰</t>
        </is>
      </c>
      <c r="L292" s="6">
        <f>HYPERLINK("https://fin.land.naver.com/articles/2651616970", "매물Link")</f>
        <v/>
      </c>
      <c r="M292" s="6">
        <f>HYPERLINK("https://map.naver.com/p/search/고운동 2025", "지도Link")</f>
        <v/>
      </c>
      <c r="N292" s="6">
        <f>HYPERLINK("http://www.eum.go.kr/web/ar/lu/luLandDet.jsp?pnu=3611011200120250000&amp;isNoScr=script&amp;mode=search", "토지이음")</f>
        <v/>
      </c>
      <c r="O292" s="3" t="inlineStr">
        <is>
          <t>천재원</t>
        </is>
      </c>
      <c r="P292" s="4" t="n">
        <v>1</v>
      </c>
      <c r="Q292" s="4" t="n">
        <v>345</v>
      </c>
      <c r="R292" s="3" t="inlineStr">
        <is>
          <t>지정되지않음</t>
        </is>
      </c>
      <c r="S292" s="3" t="inlineStr">
        <is>
          <t>주거나지</t>
        </is>
      </c>
      <c r="T292" s="3" t="inlineStr">
        <is>
          <t>평지</t>
        </is>
      </c>
      <c r="U292" s="3" t="inlineStr">
        <is>
          <t>세로장방</t>
        </is>
      </c>
      <c r="V292" s="3" t="inlineStr">
        <is>
          <t>소로한면</t>
        </is>
      </c>
    </row>
    <row r="293">
      <c r="A293" s="3" t="inlineStr">
        <is>
          <t>고운동 2025</t>
        </is>
      </c>
      <c r="B293" s="3" t="inlineStr">
        <is>
          <t>제1종전용주거지역</t>
        </is>
      </c>
      <c r="C293" s="3" t="inlineStr">
        <is>
          <t>대</t>
        </is>
      </c>
      <c r="D293" s="3" t="inlineStr">
        <is>
          <t>대</t>
        </is>
      </c>
      <c r="E293" s="3" t="inlineStr">
        <is>
          <t>매매</t>
        </is>
      </c>
      <c r="F293" s="4" t="n">
        <v>79000</v>
      </c>
      <c r="G293" s="4" t="n">
        <v>345</v>
      </c>
      <c r="H293" s="4" t="n">
        <v>104</v>
      </c>
      <c r="I293" s="5" t="n">
        <v>759.6</v>
      </c>
      <c r="J293" s="5" t="n">
        <v>297.2</v>
      </c>
      <c r="K293" s="3" t="inlineStr">
        <is>
          <t>고운동 남측, 인기좋은 단독주택지, 주변에 예쁜 주택 지어져 있음</t>
        </is>
      </c>
      <c r="L293" s="6">
        <f>HYPERLINK("https://fin.land.naver.com/articles/2652887919", "매물Link")</f>
        <v/>
      </c>
      <c r="M293" s="6">
        <f>HYPERLINK("https://map.naver.com/p/search/고운동 2025", "지도Link")</f>
        <v/>
      </c>
      <c r="N293" s="6">
        <f>HYPERLINK("http://www.eum.go.kr/web/ar/lu/luLandDet.jsp?pnu=3611011200120250000&amp;isNoScr=script&amp;mode=search", "토지이음")</f>
        <v/>
      </c>
      <c r="O293" s="3" t="inlineStr">
        <is>
          <t>명품시티</t>
        </is>
      </c>
      <c r="P293" s="4" t="n">
        <v>1</v>
      </c>
      <c r="Q293" s="4" t="n">
        <v>345</v>
      </c>
      <c r="R293" s="3" t="inlineStr">
        <is>
          <t>지정되지않음</t>
        </is>
      </c>
      <c r="S293" s="3" t="inlineStr">
        <is>
          <t>주거나지</t>
        </is>
      </c>
      <c r="T293" s="3" t="inlineStr">
        <is>
          <t>평지</t>
        </is>
      </c>
      <c r="U293" s="3" t="inlineStr">
        <is>
          <t>세로장방</t>
        </is>
      </c>
      <c r="V293" s="3" t="inlineStr">
        <is>
          <t>소로한면</t>
        </is>
      </c>
    </row>
    <row r="294">
      <c r="A294" s="3" t="inlineStr">
        <is>
          <t>고운동 2025</t>
        </is>
      </c>
      <c r="B294" s="3" t="inlineStr">
        <is>
          <t>제1종전용주거지역</t>
        </is>
      </c>
      <c r="C294" s="3" t="inlineStr">
        <is>
          <t>대</t>
        </is>
      </c>
      <c r="D294" s="3" t="inlineStr">
        <is>
          <t>대</t>
        </is>
      </c>
      <c r="E294" s="3" t="inlineStr">
        <is>
          <t>매매</t>
        </is>
      </c>
      <c r="F294" s="4" t="n">
        <v>91000</v>
      </c>
      <c r="G294" s="4" t="n">
        <v>345</v>
      </c>
      <c r="H294" s="4" t="n">
        <v>104</v>
      </c>
      <c r="I294" s="5" t="n">
        <v>875</v>
      </c>
      <c r="J294" s="5" t="n">
        <v>297.2</v>
      </c>
      <c r="K294" s="3" t="inlineStr">
        <is>
          <t>도로 접한 남향 주택 건축하기좋은 면적과 모양</t>
        </is>
      </c>
      <c r="L294" s="6">
        <f>HYPERLINK("https://fin.land.naver.com/articles/2650774064", "매물Link")</f>
        <v/>
      </c>
      <c r="M294" s="6">
        <f>HYPERLINK("https://map.naver.com/p/search/고운동 2025", "지도Link")</f>
        <v/>
      </c>
      <c r="N294" s="6">
        <f>HYPERLINK("http://www.eum.go.kr/web/ar/lu/luLandDet.jsp?pnu=3611011200120250000&amp;isNoScr=script&amp;mode=search", "토지이음")</f>
        <v/>
      </c>
      <c r="O294" s="3" t="inlineStr">
        <is>
          <t>학하랜드</t>
        </is>
      </c>
      <c r="P294" s="4" t="n">
        <v>1</v>
      </c>
      <c r="Q294" s="4" t="n">
        <v>345</v>
      </c>
      <c r="R294" s="3" t="inlineStr">
        <is>
          <t>지정되지않음</t>
        </is>
      </c>
      <c r="S294" s="3" t="inlineStr">
        <is>
          <t>주거나지</t>
        </is>
      </c>
      <c r="T294" s="3" t="inlineStr">
        <is>
          <t>평지</t>
        </is>
      </c>
      <c r="U294" s="3" t="inlineStr">
        <is>
          <t>세로장방</t>
        </is>
      </c>
      <c r="V294" s="3" t="inlineStr">
        <is>
          <t>소로한면</t>
        </is>
      </c>
    </row>
    <row r="295">
      <c r="A295" s="3" t="inlineStr">
        <is>
          <t>고운동 2035</t>
        </is>
      </c>
      <c r="B295" s="3" t="inlineStr">
        <is>
          <t>제1종전용주거지역</t>
        </is>
      </c>
      <c r="C295" s="3" t="inlineStr">
        <is>
          <t>대</t>
        </is>
      </c>
      <c r="D295" s="3" t="inlineStr">
        <is>
          <t>대</t>
        </is>
      </c>
      <c r="E295" s="3" t="inlineStr">
        <is>
          <t>매매</t>
        </is>
      </c>
      <c r="F295" s="4" t="n">
        <v>57000</v>
      </c>
      <c r="G295" s="4" t="n">
        <v>349</v>
      </c>
      <c r="H295" s="4" t="n">
        <v>106</v>
      </c>
      <c r="I295" s="5" t="n">
        <v>537.7</v>
      </c>
      <c r="J295" s="5" t="n">
        <v>297.1</v>
      </c>
      <c r="K295" s="3" t="inlineStr">
        <is>
          <t>급매 뒷편 넓은공원 남쪽 연결녹지 시유지접함</t>
        </is>
      </c>
      <c r="L295" s="6">
        <f>HYPERLINK("https://fin.land.naver.com/articles/2649812086", "매물Link")</f>
        <v/>
      </c>
      <c r="M295" s="6">
        <f>HYPERLINK("https://map.naver.com/p/search/고운동 2035", "지도Link")</f>
        <v/>
      </c>
      <c r="N295" s="6">
        <f>HYPERLINK("http://www.eum.go.kr/web/ar/lu/luLandDet.jsp?pnu=3611011200120350000&amp;isNoScr=script&amp;mode=search", "토지이음")</f>
        <v/>
      </c>
      <c r="O295" s="3" t="inlineStr">
        <is>
          <t>세종스타</t>
        </is>
      </c>
      <c r="P295" s="4" t="n">
        <v>1</v>
      </c>
      <c r="Q295" s="4" t="n">
        <v>349.7</v>
      </c>
      <c r="R295" s="3" t="inlineStr">
        <is>
          <t>지정되지않음</t>
        </is>
      </c>
      <c r="S295" s="3" t="inlineStr">
        <is>
          <t>주거나지</t>
        </is>
      </c>
      <c r="T295" s="3" t="inlineStr">
        <is>
          <t>평지</t>
        </is>
      </c>
      <c r="U295" s="3" t="inlineStr">
        <is>
          <t>세로장방</t>
        </is>
      </c>
      <c r="V295" s="3" t="inlineStr">
        <is>
          <t>소로한면</t>
        </is>
      </c>
    </row>
    <row r="296">
      <c r="A296" s="3" t="inlineStr">
        <is>
          <t>고운동 2043</t>
        </is>
      </c>
      <c r="B296" s="3" t="inlineStr">
        <is>
          <t>제1종전용주거지역</t>
        </is>
      </c>
      <c r="C296" s="3" t="inlineStr">
        <is>
          <t>대</t>
        </is>
      </c>
      <c r="D296" s="3" t="inlineStr">
        <is>
          <t>대</t>
        </is>
      </c>
      <c r="E296" s="3" t="inlineStr">
        <is>
          <t>매매</t>
        </is>
      </c>
      <c r="F296" s="4" t="n">
        <v>70000</v>
      </c>
      <c r="G296" s="4" t="n">
        <v>392</v>
      </c>
      <c r="H296" s="4" t="n">
        <v>119</v>
      </c>
      <c r="I296" s="5" t="n">
        <v>588.2</v>
      </c>
      <c r="J296" s="5" t="n">
        <v>308.7</v>
      </c>
      <c r="K296" s="3" t="inlineStr">
        <is>
          <t>코너각지 정남향 고운동 선호도 높은 D8구역 단독주택지</t>
        </is>
      </c>
      <c r="L296" s="6">
        <f>HYPERLINK("https://fin.land.naver.com/articles/2652136676", "매물Link")</f>
        <v/>
      </c>
      <c r="M296" s="6">
        <f>HYPERLINK("https://map.naver.com/p/search/고운동 2043", "지도Link")</f>
        <v/>
      </c>
      <c r="N296" s="6">
        <f>HYPERLINK("http://www.eum.go.kr/web/ar/lu/luLandDet.jsp?pnu=3611011200120430000&amp;isNoScr=script&amp;mode=search", "토지이음")</f>
        <v/>
      </c>
      <c r="O296" s="3" t="inlineStr">
        <is>
          <t>세종스타</t>
        </is>
      </c>
      <c r="P296" s="4" t="n">
        <v>1</v>
      </c>
      <c r="Q296" s="4" t="n">
        <v>392.2</v>
      </c>
      <c r="R296" s="3" t="inlineStr">
        <is>
          <t>지정되지않음</t>
        </is>
      </c>
      <c r="S296" s="3" t="inlineStr">
        <is>
          <t>주거나지</t>
        </is>
      </c>
      <c r="T296" s="3" t="inlineStr">
        <is>
          <t>평지</t>
        </is>
      </c>
      <c r="U296" s="3" t="inlineStr">
        <is>
          <t>사다리형</t>
        </is>
      </c>
      <c r="V296" s="3" t="inlineStr">
        <is>
          <t>소로각지</t>
        </is>
      </c>
    </row>
    <row r="297">
      <c r="A297" s="3" t="inlineStr">
        <is>
          <t>고운동 2098</t>
        </is>
      </c>
      <c r="B297" s="3" t="inlineStr">
        <is>
          <t>일반상업지역</t>
        </is>
      </c>
      <c r="C297" s="3" t="inlineStr">
        <is>
          <t>대</t>
        </is>
      </c>
      <c r="D297" s="3" t="inlineStr">
        <is>
          <t>대</t>
        </is>
      </c>
      <c r="E297" s="3" t="inlineStr">
        <is>
          <t>매매</t>
        </is>
      </c>
      <c r="F297" s="4" t="n">
        <v>539400</v>
      </c>
      <c r="G297" s="4" t="n">
        <v>615</v>
      </c>
      <c r="H297" s="4" t="n">
        <v>186</v>
      </c>
      <c r="I297" s="5" t="n">
        <v>2900</v>
      </c>
      <c r="J297" s="5" t="n">
        <v>1021.2</v>
      </c>
      <c r="K297" s="3" t="inlineStr">
        <is>
          <t>세종시 고운동 상업지역 토지 매매</t>
        </is>
      </c>
      <c r="L297" s="6">
        <f>HYPERLINK("https://fin.land.naver.com/articles/2649606368", "매물Link")</f>
        <v/>
      </c>
      <c r="M297" s="6">
        <f>HYPERLINK("https://map.naver.com/p/search/고운동 2098", "지도Link")</f>
        <v/>
      </c>
      <c r="N297" s="6">
        <f>HYPERLINK("http://www.eum.go.kr/web/ar/lu/luLandDet.jsp?pnu=3611011200120980000&amp;isNoScr=script&amp;mode=search", "토지이음")</f>
        <v/>
      </c>
      <c r="O297" s="3" t="inlineStr">
        <is>
          <t>행복가득한</t>
        </is>
      </c>
      <c r="P297" s="4" t="n">
        <v>1</v>
      </c>
      <c r="Q297" s="4" t="n">
        <v>615.5</v>
      </c>
      <c r="R297" s="3" t="inlineStr">
        <is>
          <t>지정되지않음</t>
        </is>
      </c>
      <c r="S297" s="3" t="inlineStr">
        <is>
          <t>상업나지</t>
        </is>
      </c>
      <c r="T297" s="3" t="inlineStr">
        <is>
          <t>평지</t>
        </is>
      </c>
      <c r="U297" s="3" t="inlineStr">
        <is>
          <t>세로장방</t>
        </is>
      </c>
      <c r="V297" s="3" t="inlineStr">
        <is>
          <t>중로한면</t>
        </is>
      </c>
    </row>
    <row r="298">
      <c r="A298" s="3" t="inlineStr">
        <is>
          <t>고운동 2098</t>
        </is>
      </c>
      <c r="B298" s="3" t="inlineStr">
        <is>
          <t>일반상업지역</t>
        </is>
      </c>
      <c r="C298" s="3" t="inlineStr">
        <is>
          <t>대</t>
        </is>
      </c>
      <c r="D298" s="3" t="inlineStr">
        <is>
          <t>대</t>
        </is>
      </c>
      <c r="E298" s="3" t="inlineStr">
        <is>
          <t>매매</t>
        </is>
      </c>
      <c r="F298" s="4" t="n">
        <v>483600</v>
      </c>
      <c r="G298" s="4" t="n">
        <v>615</v>
      </c>
      <c r="H298" s="4" t="n">
        <v>186</v>
      </c>
      <c r="I298" s="5" t="n">
        <v>2600</v>
      </c>
      <c r="J298" s="5" t="n">
        <v>1021.2</v>
      </c>
      <c r="K298" s="3" t="inlineStr">
        <is>
          <t>세종 행복도시 상업지역 내 귀한 토지</t>
        </is>
      </c>
      <c r="L298" s="6">
        <f>HYPERLINK("https://fin.land.naver.com/articles/2650459401", "매물Link")</f>
        <v/>
      </c>
      <c r="M298" s="6">
        <f>HYPERLINK("https://map.naver.com/p/search/고운동 2098", "지도Link")</f>
        <v/>
      </c>
      <c r="N298" s="6">
        <f>HYPERLINK("http://www.eum.go.kr/web/ar/lu/luLandDet.jsp?pnu=3611011200120980000&amp;isNoScr=script&amp;mode=search", "토지이음")</f>
        <v/>
      </c>
      <c r="O298" s="3" t="inlineStr">
        <is>
          <t>수자인시티</t>
        </is>
      </c>
      <c r="P298" s="4" t="n">
        <v>2</v>
      </c>
      <c r="Q298" s="4" t="n">
        <v>615.5</v>
      </c>
      <c r="R298" s="3" t="inlineStr">
        <is>
          <t>지정되지않음</t>
        </is>
      </c>
      <c r="S298" s="3" t="inlineStr">
        <is>
          <t>상업나지</t>
        </is>
      </c>
      <c r="T298" s="3" t="inlineStr">
        <is>
          <t>평지</t>
        </is>
      </c>
      <c r="U298" s="3" t="inlineStr">
        <is>
          <t>세로장방</t>
        </is>
      </c>
      <c r="V298" s="3" t="inlineStr">
        <is>
          <t>중로한면</t>
        </is>
      </c>
    </row>
    <row r="299">
      <c r="A299" s="3" t="inlineStr">
        <is>
          <t>고운동 2098</t>
        </is>
      </c>
      <c r="B299" s="3" t="inlineStr">
        <is>
          <t>일반상업지역</t>
        </is>
      </c>
      <c r="C299" s="3" t="inlineStr">
        <is>
          <t>대</t>
        </is>
      </c>
      <c r="D299" s="3" t="inlineStr">
        <is>
          <t>대</t>
        </is>
      </c>
      <c r="E299" s="3" t="inlineStr">
        <is>
          <t>매매</t>
        </is>
      </c>
      <c r="F299" s="4" t="n">
        <v>539400</v>
      </c>
      <c r="G299" s="4" t="n">
        <v>615</v>
      </c>
      <c r="H299" s="4" t="n">
        <v>186</v>
      </c>
      <c r="I299" s="5" t="n">
        <v>2900</v>
      </c>
      <c r="J299" s="5" t="n">
        <v>1021.2</v>
      </c>
      <c r="K299" s="3" t="inlineStr">
        <is>
          <t>고운동 일반상업지 시립도서 다이소본점 옆 건축, 투자용 나대지 매매</t>
        </is>
      </c>
      <c r="L299" s="6">
        <f>HYPERLINK("https://fin.land.naver.com/articles/2653517413", "매물Link")</f>
        <v/>
      </c>
      <c r="M299" s="6">
        <f>HYPERLINK("https://map.naver.com/p/search/고운동 2098", "지도Link")</f>
        <v/>
      </c>
      <c r="N299" s="6">
        <f>HYPERLINK("http://www.eum.go.kr/web/ar/lu/luLandDet.jsp?pnu=3611011200120980000&amp;isNoScr=script&amp;mode=search", "토지이음")</f>
        <v/>
      </c>
      <c r="O299" s="3" t="inlineStr">
        <is>
          <t>나침반</t>
        </is>
      </c>
      <c r="P299" s="4" t="n">
        <v>4</v>
      </c>
      <c r="Q299" s="4" t="n">
        <v>615.5</v>
      </c>
      <c r="R299" s="3" t="inlineStr">
        <is>
          <t>지정되지않음</t>
        </is>
      </c>
      <c r="S299" s="3" t="inlineStr">
        <is>
          <t>상업나지</t>
        </is>
      </c>
      <c r="T299" s="3" t="inlineStr">
        <is>
          <t>평지</t>
        </is>
      </c>
      <c r="U299" s="3" t="inlineStr">
        <is>
          <t>세로장방</t>
        </is>
      </c>
      <c r="V299" s="3" t="inlineStr">
        <is>
          <t>중로한면</t>
        </is>
      </c>
    </row>
    <row r="300">
      <c r="A300" s="3" t="inlineStr">
        <is>
          <t>고운동 2098</t>
        </is>
      </c>
      <c r="B300" s="3" t="inlineStr">
        <is>
          <t>일반상업지역</t>
        </is>
      </c>
      <c r="C300" s="3" t="inlineStr">
        <is>
          <t>대</t>
        </is>
      </c>
      <c r="D300" s="3" t="inlineStr">
        <is>
          <t>대</t>
        </is>
      </c>
      <c r="E300" s="3" t="inlineStr">
        <is>
          <t>매매</t>
        </is>
      </c>
      <c r="F300" s="4" t="n">
        <v>530000</v>
      </c>
      <c r="G300" s="4" t="n">
        <v>615</v>
      </c>
      <c r="H300" s="4" t="n">
        <v>186</v>
      </c>
      <c r="I300" s="5" t="n">
        <v>2849.5</v>
      </c>
      <c r="J300" s="5" t="n">
        <v>1021.2</v>
      </c>
      <c r="K300" s="3" t="inlineStr">
        <is>
          <t>세종시 일반상업지 토지, 메디컬 및 상가빌딩 건축부지 추천</t>
        </is>
      </c>
      <c r="L300" s="6">
        <f>HYPERLINK("https://fin.land.naver.com/articles/2652799255", "매물Link")</f>
        <v/>
      </c>
      <c r="M300" s="6">
        <f>HYPERLINK("https://map.naver.com/p/search/고운동 2098", "지도Link")</f>
        <v/>
      </c>
      <c r="N300" s="6">
        <f>HYPERLINK("http://www.eum.go.kr/web/ar/lu/luLandDet.jsp?pnu=3611011200120980000&amp;isNoScr=script&amp;mode=search", "토지이음")</f>
        <v/>
      </c>
      <c r="O300" s="3" t="inlineStr">
        <is>
          <t>혜성</t>
        </is>
      </c>
      <c r="P300" s="4" t="n">
        <v>1</v>
      </c>
      <c r="Q300" s="4" t="n">
        <v>615.5</v>
      </c>
      <c r="R300" s="3" t="inlineStr">
        <is>
          <t>지정되지않음</t>
        </is>
      </c>
      <c r="S300" s="3" t="inlineStr">
        <is>
          <t>상업나지</t>
        </is>
      </c>
      <c r="T300" s="3" t="inlineStr">
        <is>
          <t>평지</t>
        </is>
      </c>
      <c r="U300" s="3" t="inlineStr">
        <is>
          <t>세로장방</t>
        </is>
      </c>
      <c r="V300" s="3" t="inlineStr">
        <is>
          <t>중로한면</t>
        </is>
      </c>
    </row>
    <row r="301">
      <c r="A301" s="3" t="inlineStr">
        <is>
          <t>고운동 2098</t>
        </is>
      </c>
      <c r="B301" s="3" t="inlineStr">
        <is>
          <t>일반상업지역</t>
        </is>
      </c>
      <c r="C301" s="3" t="inlineStr">
        <is>
          <t>대</t>
        </is>
      </c>
      <c r="D301" s="3" t="inlineStr">
        <is>
          <t>대</t>
        </is>
      </c>
      <c r="E301" s="3" t="inlineStr">
        <is>
          <t>매매</t>
        </is>
      </c>
      <c r="F301" s="4" t="n">
        <v>540000</v>
      </c>
      <c r="G301" s="4" t="n">
        <v>615</v>
      </c>
      <c r="H301" s="4" t="n">
        <v>186</v>
      </c>
      <c r="I301" s="5" t="n">
        <v>2903.2</v>
      </c>
      <c r="J301" s="5" t="n">
        <v>1021.2</v>
      </c>
      <c r="K301" s="3" t="inlineStr">
        <is>
          <t>귀한 상업지 토지, 병원,근생, 주요도로 접근성유리 ,향후 상권활성화</t>
        </is>
      </c>
      <c r="L301" s="6">
        <f>HYPERLINK("https://fin.land.naver.com/articles/2652471199", "매물Link")</f>
        <v/>
      </c>
      <c r="M301" s="6">
        <f>HYPERLINK("https://map.naver.com/p/search/고운동 2098", "지도Link")</f>
        <v/>
      </c>
      <c r="N301" s="6">
        <f>HYPERLINK("http://www.eum.go.kr/web/ar/lu/luLandDet.jsp?pnu=3611011200120980000&amp;isNoScr=script&amp;mode=search", "토지이음")</f>
        <v/>
      </c>
      <c r="O301" s="3" t="inlineStr">
        <is>
          <t>세종보물</t>
        </is>
      </c>
      <c r="P301" s="4" t="n">
        <v>1</v>
      </c>
      <c r="Q301" s="4" t="n">
        <v>615.5</v>
      </c>
      <c r="R301" s="3" t="inlineStr">
        <is>
          <t>지정되지않음</t>
        </is>
      </c>
      <c r="S301" s="3" t="inlineStr">
        <is>
          <t>상업나지</t>
        </is>
      </c>
      <c r="T301" s="3" t="inlineStr">
        <is>
          <t>평지</t>
        </is>
      </c>
      <c r="U301" s="3" t="inlineStr">
        <is>
          <t>세로장방</t>
        </is>
      </c>
      <c r="V301" s="3" t="inlineStr">
        <is>
          <t>중로한면</t>
        </is>
      </c>
    </row>
    <row r="302">
      <c r="A302" s="3" t="inlineStr">
        <is>
          <t>고운동 2106-12</t>
        </is>
      </c>
      <c r="B302" s="3" t="inlineStr">
        <is>
          <t>제1종전용주거지역</t>
        </is>
      </c>
      <c r="C302" s="3" t="inlineStr">
        <is>
          <t>대</t>
        </is>
      </c>
      <c r="D302" s="3" t="inlineStr">
        <is>
          <t>대</t>
        </is>
      </c>
      <c r="E302" s="3" t="inlineStr">
        <is>
          <t>매매</t>
        </is>
      </c>
      <c r="F302" s="4" t="n">
        <v>80000</v>
      </c>
      <c r="G302" s="4" t="n">
        <v>386</v>
      </c>
      <c r="H302" s="4" t="n">
        <v>117</v>
      </c>
      <c r="I302" s="5" t="n">
        <v>683.8</v>
      </c>
      <c r="J302" s="5" t="n">
        <v>290.5</v>
      </c>
      <c r="K302" s="3" t="inlineStr">
        <is>
          <t>총 117p, 파크힐즈, 조율가능, 입지좋은 곳</t>
        </is>
      </c>
      <c r="L302" s="6">
        <f>HYPERLINK("https://fin.land.naver.com/articles/2654430493", "매물Link")</f>
        <v/>
      </c>
      <c r="M302" s="6">
        <f>HYPERLINK("https://map.naver.com/p/search/고운동 2106-12", "지도Link")</f>
        <v/>
      </c>
      <c r="N302" s="6">
        <f>HYPERLINK("http://www.eum.go.kr/web/ar/lu/luLandDet.jsp?pnu=3611011200121060012&amp;isNoScr=script&amp;mode=search", "토지이음")</f>
        <v/>
      </c>
      <c r="O302" s="3" t="inlineStr">
        <is>
          <t>명진</t>
        </is>
      </c>
      <c r="P302" s="4" t="n">
        <v>1</v>
      </c>
      <c r="Q302" s="4" t="n">
        <v>386</v>
      </c>
      <c r="R302" s="3" t="inlineStr">
        <is>
          <t>지정되지않음</t>
        </is>
      </c>
      <c r="S302" s="3" t="inlineStr">
        <is>
          <t>주거나지</t>
        </is>
      </c>
      <c r="T302" s="3" t="inlineStr">
        <is>
          <t>평지</t>
        </is>
      </c>
      <c r="U302" s="3" t="inlineStr">
        <is>
          <t>사다리형</t>
        </is>
      </c>
      <c r="V302" s="3" t="inlineStr">
        <is>
          <t>중로각지</t>
        </is>
      </c>
    </row>
    <row r="303">
      <c r="A303" s="3" t="inlineStr">
        <is>
          <t>고운동 2106-19</t>
        </is>
      </c>
      <c r="B303" s="3" t="inlineStr">
        <is>
          <t>제1종전용주거지역</t>
        </is>
      </c>
      <c r="C303" s="3" t="inlineStr">
        <is>
          <t>대</t>
        </is>
      </c>
      <c r="D303" s="3" t="inlineStr">
        <is>
          <t>대</t>
        </is>
      </c>
      <c r="E303" s="3" t="inlineStr">
        <is>
          <t>매매</t>
        </is>
      </c>
      <c r="F303" s="4" t="n">
        <v>85000</v>
      </c>
      <c r="G303" s="4" t="n">
        <v>398</v>
      </c>
      <c r="H303" s="4" t="n">
        <v>120</v>
      </c>
      <c r="I303" s="5" t="n">
        <v>708.3</v>
      </c>
      <c r="J303" s="5" t="n">
        <v>293.4</v>
      </c>
      <c r="K303" s="3" t="inlineStr">
        <is>
          <t>전용 120.9p, 파크힐즈 단독주택 토지 매매</t>
        </is>
      </c>
      <c r="L303" s="6">
        <f>HYPERLINK("https://fin.land.naver.com/articles/2650891002", "매물Link")</f>
        <v/>
      </c>
      <c r="M303" s="6">
        <f>HYPERLINK("https://map.naver.com/p/search/고운동 2106-19", "지도Link")</f>
        <v/>
      </c>
      <c r="N303" s="6">
        <f>HYPERLINK("http://www.eum.go.kr/web/ar/lu/luLandDet.jsp?pnu=3611011200121060019&amp;isNoScr=script&amp;mode=search", "토지이음")</f>
        <v/>
      </c>
      <c r="O303" s="3" t="inlineStr">
        <is>
          <t>세종무지개</t>
        </is>
      </c>
      <c r="P303" s="4" t="n">
        <v>1</v>
      </c>
      <c r="Q303" s="4" t="n">
        <v>398.9</v>
      </c>
      <c r="R303" s="3" t="inlineStr">
        <is>
          <t>지정되지않음</t>
        </is>
      </c>
      <c r="S303" s="3" t="inlineStr">
        <is>
          <t>주거나지</t>
        </is>
      </c>
      <c r="T303" s="3" t="inlineStr">
        <is>
          <t>평지</t>
        </is>
      </c>
      <c r="U303" s="3" t="inlineStr">
        <is>
          <t>세로장방</t>
        </is>
      </c>
      <c r="V303" s="3" t="inlineStr">
        <is>
          <t>중로각지</t>
        </is>
      </c>
    </row>
    <row r="304">
      <c r="A304" s="3" t="inlineStr">
        <is>
          <t>고운동 2106-19</t>
        </is>
      </c>
      <c r="B304" s="3" t="inlineStr">
        <is>
          <t>제1종전용주거지역</t>
        </is>
      </c>
      <c r="C304" s="3" t="inlineStr">
        <is>
          <t>대</t>
        </is>
      </c>
      <c r="D304" s="3" t="inlineStr">
        <is>
          <t>대</t>
        </is>
      </c>
      <c r="E304" s="3" t="inlineStr">
        <is>
          <t>매매</t>
        </is>
      </c>
      <c r="F304" s="4" t="n">
        <v>80000</v>
      </c>
      <c r="G304" s="4" t="n">
        <v>398</v>
      </c>
      <c r="H304" s="4" t="n">
        <v>120</v>
      </c>
      <c r="I304" s="5" t="n">
        <v>666.7</v>
      </c>
      <c r="J304" s="5" t="n">
        <v>293.4</v>
      </c>
      <c r="K304" s="3" t="inlineStr">
        <is>
          <t>타운하우스내 대지, 고운뜰공원산책로 및 상권 인접</t>
        </is>
      </c>
      <c r="L304" s="6">
        <f>HYPERLINK("https://fin.land.naver.com/articles/2649399557", "매물Link")</f>
        <v/>
      </c>
      <c r="M304" s="6">
        <f>HYPERLINK("https://map.naver.com/p/search/고운동 2106-19", "지도Link")</f>
        <v/>
      </c>
      <c r="N304" s="6">
        <f>HYPERLINK("http://www.eum.go.kr/web/ar/lu/luLandDet.jsp?pnu=3611011200121060019&amp;isNoScr=script&amp;mode=search", "토지이음")</f>
        <v/>
      </c>
      <c r="O304" s="3" t="inlineStr">
        <is>
          <t>세종해비치</t>
        </is>
      </c>
      <c r="P304" s="4" t="n">
        <v>1</v>
      </c>
      <c r="Q304" s="4" t="n">
        <v>398.9</v>
      </c>
      <c r="R304" s="3" t="inlineStr">
        <is>
          <t>지정되지않음</t>
        </is>
      </c>
      <c r="S304" s="3" t="inlineStr">
        <is>
          <t>주거나지</t>
        </is>
      </c>
      <c r="T304" s="3" t="inlineStr">
        <is>
          <t>평지</t>
        </is>
      </c>
      <c r="U304" s="3" t="inlineStr">
        <is>
          <t>세로장방</t>
        </is>
      </c>
      <c r="V304" s="3" t="inlineStr">
        <is>
          <t>중로각지</t>
        </is>
      </c>
    </row>
    <row r="305">
      <c r="A305" s="3" t="inlineStr">
        <is>
          <t>고운동 2106-19</t>
        </is>
      </c>
      <c r="B305" s="3" t="inlineStr">
        <is>
          <t>제1종전용주거지역</t>
        </is>
      </c>
      <c r="C305" s="3" t="inlineStr">
        <is>
          <t>대</t>
        </is>
      </c>
      <c r="D305" s="3" t="inlineStr">
        <is>
          <t>대</t>
        </is>
      </c>
      <c r="E305" s="3" t="inlineStr">
        <is>
          <t>매매</t>
        </is>
      </c>
      <c r="F305" s="4" t="n">
        <v>85000</v>
      </c>
      <c r="G305" s="4" t="n">
        <v>398</v>
      </c>
      <c r="H305" s="4" t="n">
        <v>120</v>
      </c>
      <c r="I305" s="5" t="n">
        <v>708.3</v>
      </c>
      <c r="J305" s="5" t="n">
        <v>293.4</v>
      </c>
      <c r="K305" s="3" t="inlineStr">
        <is>
          <t>총 120.9p, 파크힐즈 단독주택 토지, 네모반듯</t>
        </is>
      </c>
      <c r="L305" s="6">
        <f>HYPERLINK("https://fin.land.naver.com/articles/2654220921", "매물Link")</f>
        <v/>
      </c>
      <c r="M305" s="6">
        <f>HYPERLINK("https://map.naver.com/p/search/고운동 2106-19", "지도Link")</f>
        <v/>
      </c>
      <c r="N305" s="6">
        <f>HYPERLINK("http://www.eum.go.kr/web/ar/lu/luLandDet.jsp?pnu=3611011200121060019&amp;isNoScr=script&amp;mode=search", "토지이음")</f>
        <v/>
      </c>
      <c r="O305" s="3" t="inlineStr">
        <is>
          <t>명진</t>
        </is>
      </c>
      <c r="P305" s="4" t="n">
        <v>1</v>
      </c>
      <c r="Q305" s="4" t="n">
        <v>398.9</v>
      </c>
      <c r="R305" s="3" t="inlineStr">
        <is>
          <t>지정되지않음</t>
        </is>
      </c>
      <c r="S305" s="3" t="inlineStr">
        <is>
          <t>주거나지</t>
        </is>
      </c>
      <c r="T305" s="3" t="inlineStr">
        <is>
          <t>평지</t>
        </is>
      </c>
      <c r="U305" s="3" t="inlineStr">
        <is>
          <t>세로장방</t>
        </is>
      </c>
      <c r="V305" s="3" t="inlineStr">
        <is>
          <t>중로각지</t>
        </is>
      </c>
    </row>
    <row r="306">
      <c r="A306" s="3" t="inlineStr">
        <is>
          <t>고운동 2106-2</t>
        </is>
      </c>
      <c r="B306" s="3" t="inlineStr">
        <is>
          <t>제1종전용주거지역</t>
        </is>
      </c>
      <c r="C306" s="3" t="inlineStr">
        <is>
          <t>대</t>
        </is>
      </c>
      <c r="D306" s="3" t="inlineStr">
        <is>
          <t>대</t>
        </is>
      </c>
      <c r="E306" s="3" t="inlineStr">
        <is>
          <t>매매</t>
        </is>
      </c>
      <c r="F306" s="4" t="n">
        <v>110000</v>
      </c>
      <c r="G306" s="4" t="n">
        <v>378</v>
      </c>
      <c r="H306" s="4" t="n">
        <v>114</v>
      </c>
      <c r="I306" s="5" t="n">
        <v>964.9</v>
      </c>
      <c r="J306" s="5" t="n">
        <v>282.1</v>
      </c>
      <c r="K306" s="3" t="inlineStr">
        <is>
          <t>조율가능 벙커주차장가능 파크힐즈내 위치최상</t>
        </is>
      </c>
      <c r="L306" s="6">
        <f>HYPERLINK("https://fin.land.naver.com/articles/2649812012", "매물Link")</f>
        <v/>
      </c>
      <c r="M306" s="6">
        <f>HYPERLINK("https://map.naver.com/p/search/고운동 2106-2", "지도Link")</f>
        <v/>
      </c>
      <c r="N306" s="6">
        <f>HYPERLINK("http://www.eum.go.kr/web/ar/lu/luLandDet.jsp?pnu=3611011200121060002&amp;isNoScr=script&amp;mode=search", "토지이음")</f>
        <v/>
      </c>
      <c r="O306" s="3" t="inlineStr">
        <is>
          <t>세종스타</t>
        </is>
      </c>
      <c r="P306" s="4" t="n">
        <v>1</v>
      </c>
      <c r="Q306" s="4" t="n">
        <v>378</v>
      </c>
      <c r="R306" s="3" t="inlineStr">
        <is>
          <t>지정되지않음</t>
        </is>
      </c>
      <c r="S306" s="3" t="inlineStr">
        <is>
          <t>주거나지</t>
        </is>
      </c>
      <c r="T306" s="3" t="inlineStr">
        <is>
          <t>평지</t>
        </is>
      </c>
      <c r="U306" s="3" t="inlineStr">
        <is>
          <t>사다리형</t>
        </is>
      </c>
      <c r="V306" s="3" t="inlineStr">
        <is>
          <t>소로한면</t>
        </is>
      </c>
    </row>
    <row r="307">
      <c r="A307" s="3" t="inlineStr">
        <is>
          <t>고운동 2106-24</t>
        </is>
      </c>
      <c r="B307" s="3" t="inlineStr">
        <is>
          <t>제1종전용주거지역</t>
        </is>
      </c>
      <c r="C307" s="3" t="inlineStr">
        <is>
          <t>대</t>
        </is>
      </c>
      <c r="D307" s="3" t="inlineStr">
        <is>
          <t>대</t>
        </is>
      </c>
      <c r="E307" s="3" t="inlineStr">
        <is>
          <t>매매</t>
        </is>
      </c>
      <c r="F307" s="4" t="n">
        <v>90000</v>
      </c>
      <c r="G307" s="4" t="n">
        <v>371</v>
      </c>
      <c r="H307" s="4" t="n">
        <v>112</v>
      </c>
      <c r="I307" s="5" t="n">
        <v>803.6</v>
      </c>
      <c r="J307" s="5" t="n">
        <v>282.1</v>
      </c>
      <c r="K307" s="3" t="inlineStr">
        <is>
          <t>nan</t>
        </is>
      </c>
      <c r="L307" s="6">
        <f>HYPERLINK("https://fin.land.naver.com/articles/2652888251", "매물Link")</f>
        <v/>
      </c>
      <c r="M307" s="6">
        <f>HYPERLINK("https://map.naver.com/p/search/고운동 2106-24", "지도Link")</f>
        <v/>
      </c>
      <c r="N307" s="6">
        <f>HYPERLINK("http://www.eum.go.kr/web/ar/lu/luLandDet.jsp?pnu=3611011200121060024&amp;isNoScr=script&amp;mode=search", "토지이음")</f>
        <v/>
      </c>
      <c r="O307" s="3" t="inlineStr">
        <is>
          <t>명품시티</t>
        </is>
      </c>
      <c r="P307" s="4" t="n">
        <v>1</v>
      </c>
      <c r="Q307" s="4" t="n">
        <v>371.1</v>
      </c>
      <c r="R307" s="3" t="inlineStr">
        <is>
          <t>지정되지않음</t>
        </is>
      </c>
      <c r="S307" s="3" t="inlineStr">
        <is>
          <t>주거나지</t>
        </is>
      </c>
      <c r="T307" s="3" t="inlineStr">
        <is>
          <t>평지</t>
        </is>
      </c>
      <c r="U307" s="3" t="inlineStr">
        <is>
          <t>사다리형</t>
        </is>
      </c>
      <c r="V307" s="3" t="inlineStr">
        <is>
          <t>소로한면</t>
        </is>
      </c>
    </row>
    <row r="308">
      <c r="A308" s="3" t="inlineStr">
        <is>
          <t>고운동 2106-26</t>
        </is>
      </c>
      <c r="B308" s="3" t="inlineStr">
        <is>
          <t>제1종전용주거지역</t>
        </is>
      </c>
      <c r="C308" s="3" t="inlineStr">
        <is>
          <t>대</t>
        </is>
      </c>
      <c r="D308" s="3" t="inlineStr">
        <is>
          <t>대</t>
        </is>
      </c>
      <c r="E308" s="3" t="inlineStr">
        <is>
          <t>매매</t>
        </is>
      </c>
      <c r="F308" s="4" t="n">
        <v>69000</v>
      </c>
      <c r="G308" s="4" t="n">
        <v>367</v>
      </c>
      <c r="H308" s="4" t="n">
        <v>111</v>
      </c>
      <c r="I308" s="5" t="n">
        <v>621.6</v>
      </c>
      <c r="J308" s="5" t="n">
        <v>285</v>
      </c>
      <c r="K308" s="3" t="inlineStr">
        <is>
          <t>급매 고급 타운하우스 파크힐즈 최저가</t>
        </is>
      </c>
      <c r="L308" s="6">
        <f>HYPERLINK("https://fin.land.naver.com/articles/2649812113", "매물Link")</f>
        <v/>
      </c>
      <c r="M308" s="6">
        <f>HYPERLINK("https://map.naver.com/p/search/고운동 2106-26", "지도Link")</f>
        <v/>
      </c>
      <c r="N308" s="6">
        <f>HYPERLINK("http://www.eum.go.kr/web/ar/lu/luLandDet.jsp?pnu=3611011200121060026&amp;isNoScr=script&amp;mode=search", "토지이음")</f>
        <v/>
      </c>
      <c r="O308" s="3" t="inlineStr">
        <is>
          <t>세종스타</t>
        </is>
      </c>
      <c r="P308" s="4" t="n">
        <v>1</v>
      </c>
      <c r="Q308" s="4" t="n">
        <v>367.4</v>
      </c>
      <c r="R308" s="3" t="inlineStr">
        <is>
          <t>지정되지않음</t>
        </is>
      </c>
      <c r="S308" s="3" t="inlineStr">
        <is>
          <t>주거나지</t>
        </is>
      </c>
      <c r="T308" s="3" t="inlineStr">
        <is>
          <t>평지</t>
        </is>
      </c>
      <c r="U308" s="3" t="inlineStr">
        <is>
          <t>세로장방</t>
        </is>
      </c>
      <c r="V308" s="3" t="inlineStr">
        <is>
          <t>소로한면</t>
        </is>
      </c>
    </row>
    <row r="309">
      <c r="A309" s="3" t="inlineStr">
        <is>
          <t>고운동 2106-8</t>
        </is>
      </c>
      <c r="B309" s="3" t="inlineStr">
        <is>
          <t>제1종전용주거지역</t>
        </is>
      </c>
      <c r="C309" s="3" t="inlineStr">
        <is>
          <t>대</t>
        </is>
      </c>
      <c r="D309" s="3" t="inlineStr">
        <is>
          <t>대</t>
        </is>
      </c>
      <c r="E309" s="3" t="inlineStr">
        <is>
          <t>매매</t>
        </is>
      </c>
      <c r="F309" s="4" t="n">
        <v>120000</v>
      </c>
      <c r="G309" s="4" t="n">
        <v>387</v>
      </c>
      <c r="H309" s="4" t="n">
        <v>117</v>
      </c>
      <c r="I309" s="5" t="n">
        <v>1025.6</v>
      </c>
      <c r="J309" s="5" t="n">
        <v>282.1</v>
      </c>
      <c r="K309" s="3" t="inlineStr">
        <is>
          <t>벙커형 주차장가능 최고로얄필지 사생활보호최고 뒷마당 넓은곳</t>
        </is>
      </c>
      <c r="L309" s="6">
        <f>HYPERLINK("https://fin.land.naver.com/articles/2652918007", "매물Link")</f>
        <v/>
      </c>
      <c r="M309" s="6">
        <f>HYPERLINK("https://map.naver.com/p/search/고운동 2106-8", "지도Link")</f>
        <v/>
      </c>
      <c r="N309" s="6">
        <f>HYPERLINK("http://www.eum.go.kr/web/ar/lu/luLandDet.jsp?pnu=3611011200121060008&amp;isNoScr=script&amp;mode=search", "토지이음")</f>
        <v/>
      </c>
      <c r="O309" s="3" t="inlineStr">
        <is>
          <t>세종스타</t>
        </is>
      </c>
      <c r="P309" s="4" t="n">
        <v>1</v>
      </c>
      <c r="Q309" s="4" t="n">
        <v>386.7</v>
      </c>
      <c r="R309" s="3" t="inlineStr">
        <is>
          <t>지정되지않음</t>
        </is>
      </c>
      <c r="S309" s="3" t="inlineStr">
        <is>
          <t>주거나지</t>
        </is>
      </c>
      <c r="T309" s="3" t="inlineStr">
        <is>
          <t>평지</t>
        </is>
      </c>
      <c r="U309" s="3" t="inlineStr">
        <is>
          <t>사다리형</t>
        </is>
      </c>
      <c r="V309" s="3" t="inlineStr">
        <is>
          <t>소로한면</t>
        </is>
      </c>
    </row>
    <row r="310">
      <c r="A310" s="3" t="inlineStr">
        <is>
          <t>고운동 2106-8</t>
        </is>
      </c>
      <c r="B310" s="3" t="inlineStr">
        <is>
          <t>제1종전용주거지역</t>
        </is>
      </c>
      <c r="C310" s="3" t="inlineStr">
        <is>
          <t>대</t>
        </is>
      </c>
      <c r="D310" s="3" t="inlineStr">
        <is>
          <t>대</t>
        </is>
      </c>
      <c r="E310" s="3" t="inlineStr">
        <is>
          <t>매매</t>
        </is>
      </c>
      <c r="F310" s="4" t="n">
        <v>120000</v>
      </c>
      <c r="G310" s="4" t="n">
        <v>386</v>
      </c>
      <c r="H310" s="4" t="n">
        <v>117</v>
      </c>
      <c r="I310" s="5" t="n">
        <v>1025.6</v>
      </c>
      <c r="J310" s="5" t="n">
        <v>282.1</v>
      </c>
      <c r="K310" s="3" t="inlineStr">
        <is>
          <t>117.2p, 벙커주차장 가능한 단독토지, 고급타운하우스</t>
        </is>
      </c>
      <c r="L310" s="6">
        <f>HYPERLINK("https://fin.land.naver.com/articles/2650892488", "매물Link")</f>
        <v/>
      </c>
      <c r="M310" s="6">
        <f>HYPERLINK("https://map.naver.com/p/search/고운동 2106-8", "지도Link")</f>
        <v/>
      </c>
      <c r="N310" s="6">
        <f>HYPERLINK("http://www.eum.go.kr/web/ar/lu/luLandDet.jsp?pnu=3611011200121060008&amp;isNoScr=script&amp;mode=search", "토지이음")</f>
        <v/>
      </c>
      <c r="O310" s="3" t="inlineStr">
        <is>
          <t>세종무지개</t>
        </is>
      </c>
      <c r="P310" s="4" t="n">
        <v>1</v>
      </c>
      <c r="Q310" s="4" t="n">
        <v>386.7</v>
      </c>
      <c r="R310" s="3" t="inlineStr">
        <is>
          <t>지정되지않음</t>
        </is>
      </c>
      <c r="S310" s="3" t="inlineStr">
        <is>
          <t>주거나지</t>
        </is>
      </c>
      <c r="T310" s="3" t="inlineStr">
        <is>
          <t>평지</t>
        </is>
      </c>
      <c r="U310" s="3" t="inlineStr">
        <is>
          <t>사다리형</t>
        </is>
      </c>
      <c r="V310" s="3" t="inlineStr">
        <is>
          <t>소로한면</t>
        </is>
      </c>
    </row>
    <row r="311">
      <c r="A311" s="3" t="inlineStr">
        <is>
          <t>고운동 2108-11</t>
        </is>
      </c>
      <c r="B311" s="3" t="inlineStr">
        <is>
          <t>제1종전용주거지역</t>
        </is>
      </c>
      <c r="C311" s="3" t="inlineStr">
        <is>
          <t>대</t>
        </is>
      </c>
      <c r="D311" s="3" t="inlineStr">
        <is>
          <t>대</t>
        </is>
      </c>
      <c r="E311" s="3" t="inlineStr">
        <is>
          <t>매매</t>
        </is>
      </c>
      <c r="F311" s="4" t="n">
        <v>90000</v>
      </c>
      <c r="G311" s="4" t="n">
        <v>400</v>
      </c>
      <c r="H311" s="4" t="n">
        <v>121</v>
      </c>
      <c r="I311" s="5" t="n">
        <v>743.8</v>
      </c>
      <c r="J311" s="5" t="n">
        <v>271.2</v>
      </c>
      <c r="K311" s="3" t="inlineStr">
        <is>
          <t>리안비채 토지 매매, 벙커주차장가능, 입지 굿</t>
        </is>
      </c>
      <c r="L311" s="6">
        <f>HYPERLINK("https://fin.land.naver.com/articles/2654049762", "매물Link")</f>
        <v/>
      </c>
      <c r="M311" s="6">
        <f>HYPERLINK("https://map.naver.com/p/search/고운동 2108-11", "지도Link")</f>
        <v/>
      </c>
      <c r="N311" s="6">
        <f>HYPERLINK("http://www.eum.go.kr/web/ar/lu/luLandDet.jsp?pnu=3611011200121080011&amp;isNoScr=script&amp;mode=search", "토지이음")</f>
        <v/>
      </c>
      <c r="O311" s="3" t="inlineStr">
        <is>
          <t>세종무지개</t>
        </is>
      </c>
      <c r="P311" s="4" t="n">
        <v>1</v>
      </c>
      <c r="Q311" s="4" t="n">
        <v>400</v>
      </c>
      <c r="R311" s="3" t="inlineStr">
        <is>
          <t>지정되지않음</t>
        </is>
      </c>
      <c r="S311" s="3" t="inlineStr">
        <is>
          <t>주거나지</t>
        </is>
      </c>
      <c r="T311" s="3" t="inlineStr">
        <is>
          <t>평지</t>
        </is>
      </c>
      <c r="U311" s="3" t="inlineStr">
        <is>
          <t>사다리형</t>
        </is>
      </c>
      <c r="V311" s="3" t="inlineStr">
        <is>
          <t>소로한면</t>
        </is>
      </c>
    </row>
    <row r="312">
      <c r="A312" s="3" t="inlineStr">
        <is>
          <t>고운동 2108-38</t>
        </is>
      </c>
      <c r="B312" s="3" t="inlineStr">
        <is>
          <t>제1종전용주거지역</t>
        </is>
      </c>
      <c r="C312" s="3" t="inlineStr">
        <is>
          <t>대</t>
        </is>
      </c>
      <c r="D312" s="3" t="inlineStr">
        <is>
          <t>대</t>
        </is>
      </c>
      <c r="E312" s="3" t="inlineStr">
        <is>
          <t>매매</t>
        </is>
      </c>
      <c r="F312" s="4" t="n">
        <v>70000</v>
      </c>
      <c r="G312" s="4" t="n">
        <v>392</v>
      </c>
      <c r="H312" s="4" t="n">
        <v>119</v>
      </c>
      <c r="I312" s="5" t="n">
        <v>588.2</v>
      </c>
      <c r="J312" s="5" t="n">
        <v>284.7</v>
      </c>
      <c r="K312" s="3" t="inlineStr">
        <is>
          <t>세종시 블록형 리안비채힐즈 단독택지</t>
        </is>
      </c>
      <c r="L312" s="6">
        <f>HYPERLINK("https://fin.land.naver.com/articles/2651559979", "매물Link")</f>
        <v/>
      </c>
      <c r="M312" s="6">
        <f>HYPERLINK("https://map.naver.com/p/search/고운동 2108-38", "지도Link")</f>
        <v/>
      </c>
      <c r="N312" s="6">
        <f>HYPERLINK("http://www.eum.go.kr/web/ar/lu/luLandDet.jsp?pnu=3611011200121080038&amp;isNoScr=script&amp;mode=search", "토지이음")</f>
        <v/>
      </c>
      <c r="O312" s="3" t="inlineStr">
        <is>
          <t>부엉이</t>
        </is>
      </c>
      <c r="P312" s="4" t="n">
        <v>1</v>
      </c>
      <c r="Q312" s="4" t="n">
        <v>392.1</v>
      </c>
      <c r="R312" s="3" t="inlineStr">
        <is>
          <t>지정되지않음</t>
        </is>
      </c>
      <c r="S312" s="3" t="inlineStr">
        <is>
          <t>주거나지</t>
        </is>
      </c>
      <c r="T312" s="3" t="inlineStr">
        <is>
          <t>평지</t>
        </is>
      </c>
      <c r="U312" s="3" t="inlineStr">
        <is>
          <t>사다리형</t>
        </is>
      </c>
      <c r="V312" s="3" t="inlineStr">
        <is>
          <t>소로각지</t>
        </is>
      </c>
    </row>
    <row r="313">
      <c r="A313" s="3" t="inlineStr">
        <is>
          <t>고운동 2108-38</t>
        </is>
      </c>
      <c r="B313" s="3" t="inlineStr">
        <is>
          <t>제1종전용주거지역</t>
        </is>
      </c>
      <c r="C313" s="3" t="inlineStr">
        <is>
          <t>대</t>
        </is>
      </c>
      <c r="D313" s="3" t="inlineStr">
        <is>
          <t>대</t>
        </is>
      </c>
      <c r="E313" s="3" t="inlineStr">
        <is>
          <t>매매</t>
        </is>
      </c>
      <c r="F313" s="4" t="n">
        <v>70000</v>
      </c>
      <c r="G313" s="4" t="n">
        <v>392</v>
      </c>
      <c r="H313" s="4" t="n">
        <v>119</v>
      </c>
      <c r="I313" s="5" t="n">
        <v>588.2</v>
      </c>
      <c r="J313" s="5" t="n">
        <v>284.7</v>
      </c>
      <c r="K313" s="3" t="inlineStr">
        <is>
          <t>생명나무,리안비체힐즈 타운하우스 부지</t>
        </is>
      </c>
      <c r="L313" s="6">
        <f>HYPERLINK("https://fin.land.naver.com/articles/2650736949", "매물Link")</f>
        <v/>
      </c>
      <c r="M313" s="6">
        <f>HYPERLINK("https://map.naver.com/p/search/고운동 2108-38", "지도Link")</f>
        <v/>
      </c>
      <c r="N313" s="6">
        <f>HYPERLINK("http://www.eum.go.kr/web/ar/lu/luLandDet.jsp?pnu=3611011200121080038&amp;isNoScr=script&amp;mode=search", "토지이음")</f>
        <v/>
      </c>
      <c r="O313" s="3" t="inlineStr">
        <is>
          <t>생명나무</t>
        </is>
      </c>
      <c r="P313" s="4" t="n">
        <v>1</v>
      </c>
      <c r="Q313" s="4" t="n">
        <v>392.1</v>
      </c>
      <c r="R313" s="3" t="inlineStr">
        <is>
          <t>지정되지않음</t>
        </is>
      </c>
      <c r="S313" s="3" t="inlineStr">
        <is>
          <t>주거나지</t>
        </is>
      </c>
      <c r="T313" s="3" t="inlineStr">
        <is>
          <t>평지</t>
        </is>
      </c>
      <c r="U313" s="3" t="inlineStr">
        <is>
          <t>사다리형</t>
        </is>
      </c>
      <c r="V313" s="3" t="inlineStr">
        <is>
          <t>소로각지</t>
        </is>
      </c>
    </row>
    <row r="314">
      <c r="A314" s="3" t="inlineStr">
        <is>
          <t>고운동 2108-38</t>
        </is>
      </c>
      <c r="B314" s="3" t="inlineStr">
        <is>
          <t>제1종전용주거지역</t>
        </is>
      </c>
      <c r="C314" s="3" t="inlineStr">
        <is>
          <t>대</t>
        </is>
      </c>
      <c r="D314" s="3" t="inlineStr">
        <is>
          <t>대</t>
        </is>
      </c>
      <c r="E314" s="3" t="inlineStr">
        <is>
          <t>매매</t>
        </is>
      </c>
      <c r="F314" s="4" t="n">
        <v>70000</v>
      </c>
      <c r="G314" s="4" t="n">
        <v>392</v>
      </c>
      <c r="H314" s="4" t="n">
        <v>119</v>
      </c>
      <c r="I314" s="5" t="n">
        <v>588.2</v>
      </c>
      <c r="J314" s="5" t="n">
        <v>284.7</v>
      </c>
      <c r="K314" s="3" t="inlineStr">
        <is>
          <t>118.8p, 비안비채힐즈 블록형 타운하우스 단독주택 토지매매</t>
        </is>
      </c>
      <c r="L314" s="6">
        <f>HYPERLINK("https://fin.land.naver.com/articles/2650427238", "매물Link")</f>
        <v/>
      </c>
      <c r="M314" s="6">
        <f>HYPERLINK("https://map.naver.com/p/search/고운동 2108-38", "지도Link")</f>
        <v/>
      </c>
      <c r="N314" s="6">
        <f>HYPERLINK("http://www.eum.go.kr/web/ar/lu/luLandDet.jsp?pnu=3611011200121080038&amp;isNoScr=script&amp;mode=search", "토지이음")</f>
        <v/>
      </c>
      <c r="O314" s="3" t="inlineStr">
        <is>
          <t>세종무지개</t>
        </is>
      </c>
      <c r="P314" s="4" t="n">
        <v>1</v>
      </c>
      <c r="Q314" s="4" t="n">
        <v>392.1</v>
      </c>
      <c r="R314" s="3" t="inlineStr">
        <is>
          <t>지정되지않음</t>
        </is>
      </c>
      <c r="S314" s="3" t="inlineStr">
        <is>
          <t>주거나지</t>
        </is>
      </c>
      <c r="T314" s="3" t="inlineStr">
        <is>
          <t>평지</t>
        </is>
      </c>
      <c r="U314" s="3" t="inlineStr">
        <is>
          <t>사다리형</t>
        </is>
      </c>
      <c r="V314" s="3" t="inlineStr">
        <is>
          <t>소로각지</t>
        </is>
      </c>
    </row>
    <row r="315">
      <c r="A315" s="3" t="inlineStr">
        <is>
          <t>고운동 2108-45</t>
        </is>
      </c>
      <c r="B315" s="3" t="inlineStr">
        <is>
          <t>제1종전용주거지역</t>
        </is>
      </c>
      <c r="C315" s="3" t="inlineStr">
        <is>
          <t>대</t>
        </is>
      </c>
      <c r="D315" s="3" t="inlineStr">
        <is>
          <t>대</t>
        </is>
      </c>
      <c r="E315" s="3" t="inlineStr">
        <is>
          <t>매매</t>
        </is>
      </c>
      <c r="F315" s="4" t="n">
        <v>85000</v>
      </c>
      <c r="G315" s="4" t="n">
        <v>380</v>
      </c>
      <c r="H315" s="4" t="n">
        <v>115</v>
      </c>
      <c r="I315" s="5" t="n">
        <v>739.1</v>
      </c>
      <c r="J315" s="5" t="n">
        <v>286.8</v>
      </c>
      <c r="K315" s="3" t="inlineStr">
        <is>
          <t>115.2p, 리안비채힐즈 토지, 조율가능, 앞쪽 위치</t>
        </is>
      </c>
      <c r="L315" s="6">
        <f>HYPERLINK("https://fin.land.naver.com/articles/2650427164", "매물Link")</f>
        <v/>
      </c>
      <c r="M315" s="6">
        <f>HYPERLINK("https://map.naver.com/p/search/고운동 2108-45", "지도Link")</f>
        <v/>
      </c>
      <c r="N315" s="6">
        <f>HYPERLINK("http://www.eum.go.kr/web/ar/lu/luLandDet.jsp?pnu=3611011200121080045&amp;isNoScr=script&amp;mode=search", "토지이음")</f>
        <v/>
      </c>
      <c r="O315" s="3" t="inlineStr">
        <is>
          <t>세종무지개</t>
        </is>
      </c>
      <c r="P315" s="4" t="n">
        <v>1</v>
      </c>
      <c r="Q315" s="4" t="n">
        <v>380</v>
      </c>
      <c r="R315" s="3" t="inlineStr">
        <is>
          <t>지정되지않음</t>
        </is>
      </c>
      <c r="S315" s="3" t="inlineStr">
        <is>
          <t>주거나지</t>
        </is>
      </c>
      <c r="T315" s="3" t="inlineStr">
        <is>
          <t>평지</t>
        </is>
      </c>
      <c r="U315" s="3" t="inlineStr">
        <is>
          <t>사다리형</t>
        </is>
      </c>
      <c r="V315" s="3" t="inlineStr">
        <is>
          <t>중로각지</t>
        </is>
      </c>
    </row>
    <row r="316">
      <c r="A316" s="3" t="inlineStr">
        <is>
          <t>고운동 2108-51</t>
        </is>
      </c>
      <c r="B316" s="3" t="inlineStr">
        <is>
          <t>제1종전용주거지역</t>
        </is>
      </c>
      <c r="C316" s="3" t="inlineStr">
        <is>
          <t>대</t>
        </is>
      </c>
      <c r="D316" s="3" t="inlineStr">
        <is>
          <t>대</t>
        </is>
      </c>
      <c r="E316" s="3" t="inlineStr">
        <is>
          <t>매매</t>
        </is>
      </c>
      <c r="F316" s="4" t="n">
        <v>90000</v>
      </c>
      <c r="G316" s="4" t="n">
        <v>395</v>
      </c>
      <c r="H316" s="4" t="n">
        <v>119</v>
      </c>
      <c r="I316" s="5" t="n">
        <v>756.3</v>
      </c>
      <c r="J316" s="5" t="n">
        <v>286.8</v>
      </c>
      <c r="K316" s="3" t="inlineStr">
        <is>
          <t>119.7p, 리안비채힐즈 토지매매</t>
        </is>
      </c>
      <c r="L316" s="6">
        <f>HYPERLINK("https://fin.land.naver.com/articles/2650891441", "매물Link")</f>
        <v/>
      </c>
      <c r="M316" s="6">
        <f>HYPERLINK("https://map.naver.com/p/search/고운동 2108-51", "지도Link")</f>
        <v/>
      </c>
      <c r="N316" s="6">
        <f>HYPERLINK("http://www.eum.go.kr/web/ar/lu/luLandDet.jsp?pnu=3611011200121080051&amp;isNoScr=script&amp;mode=search", "토지이음")</f>
        <v/>
      </c>
      <c r="O316" s="3" t="inlineStr">
        <is>
          <t>세종무지개</t>
        </is>
      </c>
      <c r="P316" s="4" t="n">
        <v>1</v>
      </c>
      <c r="Q316" s="4" t="n">
        <v>395</v>
      </c>
      <c r="R316" s="3" t="inlineStr">
        <is>
          <t>지정되지않음</t>
        </is>
      </c>
      <c r="S316" s="3" t="inlineStr">
        <is>
          <t>주거나지</t>
        </is>
      </c>
      <c r="T316" s="3" t="inlineStr">
        <is>
          <t>평지</t>
        </is>
      </c>
      <c r="U316" s="3" t="inlineStr">
        <is>
          <t>사다리형</t>
        </is>
      </c>
      <c r="V316" s="3" t="inlineStr">
        <is>
          <t>중로각지</t>
        </is>
      </c>
    </row>
    <row r="317">
      <c r="A317" s="3" t="inlineStr">
        <is>
          <t>고운동 2110-36</t>
        </is>
      </c>
      <c r="B317" s="3" t="inlineStr">
        <is>
          <t>제1종전용주거지역</t>
        </is>
      </c>
      <c r="C317" s="3" t="inlineStr">
        <is>
          <t>대</t>
        </is>
      </c>
      <c r="D317" s="3" t="inlineStr">
        <is>
          <t>대</t>
        </is>
      </c>
      <c r="E317" s="3" t="inlineStr">
        <is>
          <t>매매</t>
        </is>
      </c>
      <c r="F317" s="4" t="n">
        <v>50000</v>
      </c>
      <c r="G317" s="4" t="n">
        <v>376</v>
      </c>
      <c r="H317" s="4" t="n">
        <v>114</v>
      </c>
      <c r="I317" s="5" t="n">
        <v>438.6</v>
      </c>
      <c r="J317" s="5" t="n">
        <v>333.9</v>
      </c>
      <c r="K317" s="3" t="inlineStr">
        <is>
          <t>nan</t>
        </is>
      </c>
      <c r="L317" s="6">
        <f>HYPERLINK("https://fin.land.naver.com/articles/2654038772", "매물Link")</f>
        <v/>
      </c>
      <c r="M317" s="6">
        <f>HYPERLINK("https://map.naver.com/p/search/고운동 2110-36", "지도Link")</f>
        <v/>
      </c>
      <c r="N317" s="6">
        <f>HYPERLINK("http://www.eum.go.kr/web/ar/lu/luLandDet.jsp?pnu=3611011200121100036&amp;isNoScr=script&amp;mode=search", "토지이음")</f>
        <v/>
      </c>
      <c r="O317" s="3" t="inlineStr">
        <is>
          <t>세종스타</t>
        </is>
      </c>
      <c r="P317" s="4" t="n">
        <v>1</v>
      </c>
      <c r="Q317" s="4" t="n">
        <v>376.5</v>
      </c>
      <c r="R317" s="3" t="inlineStr">
        <is>
          <t>지정되지않음</t>
        </is>
      </c>
      <c r="S317" s="3" t="inlineStr">
        <is>
          <t>주거나지</t>
        </is>
      </c>
      <c r="T317" s="3" t="inlineStr">
        <is>
          <t>평지</t>
        </is>
      </c>
      <c r="U317" s="3" t="inlineStr">
        <is>
          <t>세로장방</t>
        </is>
      </c>
      <c r="V317" s="3" t="inlineStr">
        <is>
          <t>소로한면</t>
        </is>
      </c>
    </row>
    <row r="318">
      <c r="A318" s="3" t="inlineStr">
        <is>
          <t>고운동 2110-6</t>
        </is>
      </c>
      <c r="B318" s="3" t="inlineStr">
        <is>
          <t>제1종전용주거지역</t>
        </is>
      </c>
      <c r="C318" s="3" t="inlineStr">
        <is>
          <t>대</t>
        </is>
      </c>
      <c r="D318" s="3" t="inlineStr">
        <is>
          <t>대</t>
        </is>
      </c>
      <c r="E318" s="3" t="inlineStr">
        <is>
          <t>매매</t>
        </is>
      </c>
      <c r="F318" s="4" t="n">
        <v>70000</v>
      </c>
      <c r="G318" s="4" t="n">
        <v>357</v>
      </c>
      <c r="H318" s="4" t="n">
        <v>108</v>
      </c>
      <c r="I318" s="5" t="n">
        <v>648.1</v>
      </c>
      <c r="J318" s="5" t="n">
        <v>357.7</v>
      </c>
      <c r="K318" s="3" t="inlineStr">
        <is>
          <t>108.3p, 노블테라스 토지매매, 분양가 이하</t>
        </is>
      </c>
      <c r="L318" s="6">
        <f>HYPERLINK("https://fin.land.naver.com/articles/2650890897", "매물Link")</f>
        <v/>
      </c>
      <c r="M318" s="6">
        <f>HYPERLINK("https://map.naver.com/p/search/고운동 2110-6", "지도Link")</f>
        <v/>
      </c>
      <c r="N318" s="6">
        <f>HYPERLINK("http://www.eum.go.kr/web/ar/lu/luLandDet.jsp?pnu=3611011200121100006&amp;isNoScr=script&amp;mode=search", "토지이음")</f>
        <v/>
      </c>
      <c r="O318" s="3" t="inlineStr">
        <is>
          <t>세종무지개</t>
        </is>
      </c>
      <c r="P318" s="4" t="n">
        <v>1</v>
      </c>
      <c r="Q318" s="4" t="n">
        <v>357.5</v>
      </c>
      <c r="R318" s="3" t="inlineStr">
        <is>
          <t>지정되지않음</t>
        </is>
      </c>
      <c r="S318" s="3" t="inlineStr">
        <is>
          <t>주거나지</t>
        </is>
      </c>
      <c r="T318" s="3" t="inlineStr">
        <is>
          <t>평지</t>
        </is>
      </c>
      <c r="U318" s="3" t="inlineStr">
        <is>
          <t>세로장방</t>
        </is>
      </c>
      <c r="V318" s="3" t="inlineStr">
        <is>
          <t>중로각지</t>
        </is>
      </c>
    </row>
    <row r="319">
      <c r="A319" s="3" t="inlineStr">
        <is>
          <t>고운동 2110-6</t>
        </is>
      </c>
      <c r="B319" s="3" t="inlineStr">
        <is>
          <t>제1종전용주거지역</t>
        </is>
      </c>
      <c r="C319" s="3" t="inlineStr">
        <is>
          <t>대</t>
        </is>
      </c>
      <c r="D319" s="3" t="inlineStr">
        <is>
          <t>대</t>
        </is>
      </c>
      <c r="E319" s="3" t="inlineStr">
        <is>
          <t>매매</t>
        </is>
      </c>
      <c r="F319" s="4" t="n">
        <v>70000</v>
      </c>
      <c r="G319" s="4" t="n">
        <v>357</v>
      </c>
      <c r="H319" s="4" t="n">
        <v>108</v>
      </c>
      <c r="I319" s="5" t="n">
        <v>648.1</v>
      </c>
      <c r="J319" s="5" t="n">
        <v>357.7</v>
      </c>
      <c r="K319" s="3" t="inlineStr">
        <is>
          <t>고운동 노블테라스 토지매매</t>
        </is>
      </c>
      <c r="L319" s="6">
        <f>HYPERLINK("https://fin.land.naver.com/articles/2650517055", "매물Link")</f>
        <v/>
      </c>
      <c r="M319" s="6">
        <f>HYPERLINK("https://map.naver.com/p/search/고운동 2110-6", "지도Link")</f>
        <v/>
      </c>
      <c r="N319" s="6">
        <f>HYPERLINK("http://www.eum.go.kr/web/ar/lu/luLandDet.jsp?pnu=3611011200121100006&amp;isNoScr=script&amp;mode=search", "토지이음")</f>
        <v/>
      </c>
      <c r="O319" s="3" t="inlineStr">
        <is>
          <t>고운동리치세종</t>
        </is>
      </c>
      <c r="P319" s="4" t="n">
        <v>1</v>
      </c>
      <c r="Q319" s="4" t="n">
        <v>357.5</v>
      </c>
      <c r="R319" s="3" t="inlineStr">
        <is>
          <t>지정되지않음</t>
        </is>
      </c>
      <c r="S319" s="3" t="inlineStr">
        <is>
          <t>주거나지</t>
        </is>
      </c>
      <c r="T319" s="3" t="inlineStr">
        <is>
          <t>평지</t>
        </is>
      </c>
      <c r="U319" s="3" t="inlineStr">
        <is>
          <t>세로장방</t>
        </is>
      </c>
      <c r="V319" s="3" t="inlineStr">
        <is>
          <t>중로각지</t>
        </is>
      </c>
    </row>
    <row r="320">
      <c r="A320" s="3" t="inlineStr">
        <is>
          <t>고운동 2110-7</t>
        </is>
      </c>
      <c r="B320" s="3" t="inlineStr">
        <is>
          <t>제1종전용주거지역</t>
        </is>
      </c>
      <c r="C320" s="3" t="inlineStr">
        <is>
          <t>대</t>
        </is>
      </c>
      <c r="D320" s="3" t="inlineStr">
        <is>
          <t>대</t>
        </is>
      </c>
      <c r="E320" s="3" t="inlineStr">
        <is>
          <t>매매</t>
        </is>
      </c>
      <c r="F320" s="4" t="n">
        <v>60000</v>
      </c>
      <c r="G320" s="4" t="n">
        <v>357</v>
      </c>
      <c r="H320" s="4" t="n">
        <v>108</v>
      </c>
      <c r="I320" s="5" t="n">
        <v>555.6</v>
      </c>
      <c r="J320" s="5" t="n">
        <v>357.7</v>
      </c>
      <c r="K320" s="3" t="inlineStr">
        <is>
          <t>108.3p, 노블테라스, 단독주택 토지매매</t>
        </is>
      </c>
      <c r="L320" s="6">
        <f>HYPERLINK("https://fin.land.naver.com/articles/2650891045", "매물Link")</f>
        <v/>
      </c>
      <c r="M320" s="6">
        <f>HYPERLINK("https://map.naver.com/p/search/고운동 2110-7", "지도Link")</f>
        <v/>
      </c>
      <c r="N320" s="6">
        <f>HYPERLINK("http://www.eum.go.kr/web/ar/lu/luLandDet.jsp?pnu=3611011200121100007&amp;isNoScr=script&amp;mode=search", "토지이음")</f>
        <v/>
      </c>
      <c r="O320" s="3" t="inlineStr">
        <is>
          <t>세종무지개</t>
        </is>
      </c>
      <c r="P320" s="4" t="n">
        <v>1</v>
      </c>
      <c r="Q320" s="4" t="n">
        <v>357.5</v>
      </c>
      <c r="R320" s="3" t="inlineStr">
        <is>
          <t>지정되지않음</t>
        </is>
      </c>
      <c r="S320" s="3" t="inlineStr">
        <is>
          <t>주거나지</t>
        </is>
      </c>
      <c r="T320" s="3" t="inlineStr">
        <is>
          <t>평지</t>
        </is>
      </c>
      <c r="U320" s="3" t="inlineStr">
        <is>
          <t>세로장방</t>
        </is>
      </c>
      <c r="V320" s="3" t="inlineStr">
        <is>
          <t>중로각지</t>
        </is>
      </c>
    </row>
    <row r="321">
      <c r="A321" s="3" t="inlineStr">
        <is>
          <t>고운동 2110-7</t>
        </is>
      </c>
      <c r="B321" s="3" t="inlineStr">
        <is>
          <t>제1종전용주거지역</t>
        </is>
      </c>
      <c r="C321" s="3" t="inlineStr">
        <is>
          <t>대</t>
        </is>
      </c>
      <c r="D321" s="3" t="inlineStr">
        <is>
          <t>대</t>
        </is>
      </c>
      <c r="E321" s="3" t="inlineStr">
        <is>
          <t>매매</t>
        </is>
      </c>
      <c r="F321" s="4" t="n">
        <v>65000</v>
      </c>
      <c r="G321" s="4" t="n">
        <v>357</v>
      </c>
      <c r="H321" s="4" t="n">
        <v>108</v>
      </c>
      <c r="I321" s="5" t="n">
        <v>601.9</v>
      </c>
      <c r="J321" s="5" t="n">
        <v>357.7</v>
      </c>
      <c r="K321" s="3" t="inlineStr">
        <is>
          <t>전용108.3p, 노블테라스, 건축기한없음</t>
        </is>
      </c>
      <c r="L321" s="6">
        <f>HYPERLINK("https://fin.land.naver.com/articles/2654226084", "매물Link")</f>
        <v/>
      </c>
      <c r="M321" s="6">
        <f>HYPERLINK("https://map.naver.com/p/search/고운동 2110-7", "지도Link")</f>
        <v/>
      </c>
      <c r="N321" s="6">
        <f>HYPERLINK("http://www.eum.go.kr/web/ar/lu/luLandDet.jsp?pnu=3611011200121100007&amp;isNoScr=script&amp;mode=search", "토지이음")</f>
        <v/>
      </c>
      <c r="O321" s="3" t="inlineStr">
        <is>
          <t>명진</t>
        </is>
      </c>
      <c r="P321" s="4" t="n">
        <v>1</v>
      </c>
      <c r="Q321" s="4" t="n">
        <v>357.5</v>
      </c>
      <c r="R321" s="3" t="inlineStr">
        <is>
          <t>지정되지않음</t>
        </is>
      </c>
      <c r="S321" s="3" t="inlineStr">
        <is>
          <t>주거나지</t>
        </is>
      </c>
      <c r="T321" s="3" t="inlineStr">
        <is>
          <t>평지</t>
        </is>
      </c>
      <c r="U321" s="3" t="inlineStr">
        <is>
          <t>세로장방</t>
        </is>
      </c>
      <c r="V321" s="3" t="inlineStr">
        <is>
          <t>중로각지</t>
        </is>
      </c>
    </row>
    <row r="322">
      <c r="A322" s="3" t="inlineStr">
        <is>
          <t>고운동 2110-9</t>
        </is>
      </c>
      <c r="B322" s="3" t="inlineStr">
        <is>
          <t>제1종전용주거지역</t>
        </is>
      </c>
      <c r="C322" s="3" t="inlineStr">
        <is>
          <t>대</t>
        </is>
      </c>
      <c r="D322" s="3" t="inlineStr">
        <is>
          <t>대</t>
        </is>
      </c>
      <c r="E322" s="3" t="inlineStr">
        <is>
          <t>매매</t>
        </is>
      </c>
      <c r="F322" s="4" t="n">
        <v>55000</v>
      </c>
      <c r="G322" s="4" t="n">
        <v>357</v>
      </c>
      <c r="H322" s="4" t="n">
        <v>108</v>
      </c>
      <c r="I322" s="5" t="n">
        <v>509.3</v>
      </c>
      <c r="J322" s="5" t="n">
        <v>357.7</v>
      </c>
      <c r="K322" s="3" t="inlineStr">
        <is>
          <t>108.3P, 노블테라스, 도로변으로 앞쪽에 위치함</t>
        </is>
      </c>
      <c r="L322" s="6">
        <f>HYPERLINK("https://fin.land.naver.com/articles/2653681788", "매물Link")</f>
        <v/>
      </c>
      <c r="M322" s="6">
        <f>HYPERLINK("https://map.naver.com/p/search/고운동 2110-9", "지도Link")</f>
        <v/>
      </c>
      <c r="N322" s="6">
        <f>HYPERLINK("http://www.eum.go.kr/web/ar/lu/luLandDet.jsp?pnu=3611011200121100009&amp;isNoScr=script&amp;mode=search", "토지이음")</f>
        <v/>
      </c>
      <c r="O322" s="3" t="inlineStr">
        <is>
          <t>명진</t>
        </is>
      </c>
      <c r="P322" s="4" t="n">
        <v>1</v>
      </c>
      <c r="Q322" s="4" t="n">
        <v>357.5</v>
      </c>
      <c r="R322" s="3" t="inlineStr">
        <is>
          <t>지정되지않음</t>
        </is>
      </c>
      <c r="S322" s="3" t="inlineStr">
        <is>
          <t>주거나지</t>
        </is>
      </c>
      <c r="T322" s="3" t="inlineStr">
        <is>
          <t>평지</t>
        </is>
      </c>
      <c r="U322" s="3" t="inlineStr">
        <is>
          <t>세로장방</t>
        </is>
      </c>
      <c r="V322" s="3" t="inlineStr">
        <is>
          <t>중로각지</t>
        </is>
      </c>
    </row>
    <row r="323">
      <c r="A323" s="3" t="inlineStr">
        <is>
          <t>고운동 2128</t>
        </is>
      </c>
      <c r="B323" s="3" t="inlineStr">
        <is>
          <t>제1종전용주거지역</t>
        </is>
      </c>
      <c r="C323" s="3" t="inlineStr">
        <is>
          <t>대</t>
        </is>
      </c>
      <c r="D323" s="3" t="inlineStr">
        <is>
          <t>대</t>
        </is>
      </c>
      <c r="E323" s="3" t="inlineStr">
        <is>
          <t>매매</t>
        </is>
      </c>
      <c r="F323" s="4" t="n">
        <v>49955</v>
      </c>
      <c r="G323" s="4" t="n">
        <v>300</v>
      </c>
      <c r="H323" s="4" t="n">
        <v>91</v>
      </c>
      <c r="I323" s="5" t="n">
        <v>549</v>
      </c>
      <c r="J323" s="5" t="n">
        <v>249.7</v>
      </c>
      <c r="K323" s="3" t="inlineStr">
        <is>
          <t>코너각지 지대높음 정자조망</t>
        </is>
      </c>
      <c r="L323" s="6">
        <f>HYPERLINK("https://fin.land.naver.com/articles/2652418949", "매물Link")</f>
        <v/>
      </c>
      <c r="M323" s="6">
        <f>HYPERLINK("https://map.naver.com/p/search/고운동 2128", "지도Link")</f>
        <v/>
      </c>
      <c r="N323" s="6">
        <f>HYPERLINK("http://www.eum.go.kr/web/ar/lu/luLandDet.jsp?pnu=3611011200121280000&amp;isNoScr=script&amp;mode=search", "토지이음")</f>
        <v/>
      </c>
      <c r="O323" s="3" t="inlineStr">
        <is>
          <t>세종스타</t>
        </is>
      </c>
      <c r="P323" s="4" t="n">
        <v>1</v>
      </c>
      <c r="Q323" s="4" t="n">
        <v>300</v>
      </c>
      <c r="R323" s="3" t="inlineStr">
        <is>
          <t>지정되지않음</t>
        </is>
      </c>
      <c r="S323" s="3" t="inlineStr">
        <is>
          <t>주거나지</t>
        </is>
      </c>
      <c r="T323" s="3" t="inlineStr">
        <is>
          <t>평지</t>
        </is>
      </c>
      <c r="U323" s="3" t="inlineStr">
        <is>
          <t>사다리형</t>
        </is>
      </c>
      <c r="V323" s="3" t="inlineStr">
        <is>
          <t>세로한면(가)</t>
        </is>
      </c>
    </row>
    <row r="324">
      <c r="A324" s="3" t="inlineStr">
        <is>
          <t>고운동 2128</t>
        </is>
      </c>
      <c r="B324" s="3" t="inlineStr">
        <is>
          <t>제1종전용주거지역</t>
        </is>
      </c>
      <c r="C324" s="3" t="inlineStr">
        <is>
          <t>대</t>
        </is>
      </c>
      <c r="D324" s="3" t="inlineStr">
        <is>
          <t>대</t>
        </is>
      </c>
      <c r="E324" s="3" t="inlineStr">
        <is>
          <t>매매</t>
        </is>
      </c>
      <c r="F324" s="4" t="n">
        <v>49955</v>
      </c>
      <c r="G324" s="4" t="n">
        <v>300</v>
      </c>
      <c r="H324" s="4" t="n">
        <v>91</v>
      </c>
      <c r="I324" s="5" t="n">
        <v>549</v>
      </c>
      <c r="J324" s="5" t="n">
        <v>249.7</v>
      </c>
      <c r="K324" s="3" t="inlineStr">
        <is>
          <t>90.9p, 지대 높은 한옥 마을 토지매매</t>
        </is>
      </c>
      <c r="L324" s="6">
        <f>HYPERLINK("https://fin.land.naver.com/articles/2650891216", "매물Link")</f>
        <v/>
      </c>
      <c r="M324" s="6">
        <f>HYPERLINK("https://map.naver.com/p/search/고운동 2128", "지도Link")</f>
        <v/>
      </c>
      <c r="N324" s="6">
        <f>HYPERLINK("http://www.eum.go.kr/web/ar/lu/luLandDet.jsp?pnu=3611011200121280000&amp;isNoScr=script&amp;mode=search", "토지이음")</f>
        <v/>
      </c>
      <c r="O324" s="3" t="inlineStr">
        <is>
          <t>세종무지개</t>
        </is>
      </c>
      <c r="P324" s="4" t="n">
        <v>1</v>
      </c>
      <c r="Q324" s="4" t="n">
        <v>300</v>
      </c>
      <c r="R324" s="3" t="inlineStr">
        <is>
          <t>지정되지않음</t>
        </is>
      </c>
      <c r="S324" s="3" t="inlineStr">
        <is>
          <t>주거나지</t>
        </is>
      </c>
      <c r="T324" s="3" t="inlineStr">
        <is>
          <t>평지</t>
        </is>
      </c>
      <c r="U324" s="3" t="inlineStr">
        <is>
          <t>사다리형</t>
        </is>
      </c>
      <c r="V324" s="3" t="inlineStr">
        <is>
          <t>세로한면(가)</t>
        </is>
      </c>
    </row>
    <row r="325">
      <c r="A325" s="3" t="inlineStr">
        <is>
          <t>고운동 2137</t>
        </is>
      </c>
      <c r="B325" s="3" t="inlineStr">
        <is>
          <t>제1종전용주거지역</t>
        </is>
      </c>
      <c r="C325" s="3" t="inlineStr">
        <is>
          <t>대</t>
        </is>
      </c>
      <c r="D325" s="3" t="inlineStr">
        <is>
          <t>대</t>
        </is>
      </c>
      <c r="E325" s="3" t="inlineStr">
        <is>
          <t>매매</t>
        </is>
      </c>
      <c r="F325" s="4" t="n">
        <v>50000</v>
      </c>
      <c r="G325" s="4" t="n">
        <v>295</v>
      </c>
      <c r="H325" s="4" t="n">
        <v>89</v>
      </c>
      <c r="I325" s="5" t="n">
        <v>561.8</v>
      </c>
      <c r="J325" s="5" t="n">
        <v>249.7</v>
      </c>
      <c r="K325" s="3" t="inlineStr">
        <is>
          <t>급매 산접한 최상위치 건축하기 좋은 토지모양</t>
        </is>
      </c>
      <c r="L325" s="6">
        <f>HYPERLINK("https://fin.land.naver.com/articles/2649424986", "매물Link")</f>
        <v/>
      </c>
      <c r="M325" s="6">
        <f>HYPERLINK("https://map.naver.com/p/search/고운동 2137", "지도Link")</f>
        <v/>
      </c>
      <c r="N325" s="6">
        <f>HYPERLINK("http://www.eum.go.kr/web/ar/lu/luLandDet.jsp?pnu=3611011200121370000&amp;isNoScr=script&amp;mode=search", "토지이음")</f>
        <v/>
      </c>
      <c r="O325" s="3" t="inlineStr">
        <is>
          <t>세종스타</t>
        </is>
      </c>
      <c r="P325" s="4" t="n">
        <v>1</v>
      </c>
      <c r="Q325" s="4" t="n">
        <v>295</v>
      </c>
      <c r="R325" s="3" t="inlineStr">
        <is>
          <t>지정되지않음</t>
        </is>
      </c>
      <c r="S325" s="3" t="inlineStr">
        <is>
          <t>주거나지</t>
        </is>
      </c>
      <c r="T325" s="3" t="inlineStr">
        <is>
          <t>평지</t>
        </is>
      </c>
      <c r="U325" s="3" t="inlineStr">
        <is>
          <t>사다리형</t>
        </is>
      </c>
      <c r="V325" s="3" t="inlineStr">
        <is>
          <t>세로한면(가)</t>
        </is>
      </c>
    </row>
    <row r="326">
      <c r="A326" s="3" t="inlineStr">
        <is>
          <t>고운동 2137</t>
        </is>
      </c>
      <c r="B326" s="3" t="inlineStr">
        <is>
          <t>제1종전용주거지역</t>
        </is>
      </c>
      <c r="C326" s="3" t="inlineStr">
        <is>
          <t>대</t>
        </is>
      </c>
      <c r="D326" s="3" t="inlineStr">
        <is>
          <t>대</t>
        </is>
      </c>
      <c r="E326" s="3" t="inlineStr">
        <is>
          <t>매매</t>
        </is>
      </c>
      <c r="F326" s="4" t="n">
        <v>50000</v>
      </c>
      <c r="G326" s="4" t="n">
        <v>290</v>
      </c>
      <c r="H326" s="4" t="n">
        <v>88</v>
      </c>
      <c r="I326" s="5" t="n">
        <v>568.2</v>
      </c>
      <c r="J326" s="5" t="n">
        <v>249.7</v>
      </c>
      <c r="K326" s="3" t="inlineStr">
        <is>
          <t>한옥마을토지 급매, 조율도 가능합니다</t>
        </is>
      </c>
      <c r="L326" s="6">
        <f>HYPERLINK("https://fin.land.naver.com/articles/2653573708", "매물Link")</f>
        <v/>
      </c>
      <c r="M326" s="6">
        <f>HYPERLINK("https://map.naver.com/p/search/고운동 2137", "지도Link")</f>
        <v/>
      </c>
      <c r="N326" s="6">
        <f>HYPERLINK("http://www.eum.go.kr/web/ar/lu/luLandDet.jsp?pnu=3611011200121370000&amp;isNoScr=script&amp;mode=search", "토지이음")</f>
        <v/>
      </c>
      <c r="O326" s="3" t="inlineStr">
        <is>
          <t>세종무지개</t>
        </is>
      </c>
      <c r="P326" s="4" t="n">
        <v>1</v>
      </c>
      <c r="Q326" s="4" t="n">
        <v>295</v>
      </c>
      <c r="R326" s="3" t="inlineStr">
        <is>
          <t>지정되지않음</t>
        </is>
      </c>
      <c r="S326" s="3" t="inlineStr">
        <is>
          <t>주거나지</t>
        </is>
      </c>
      <c r="T326" s="3" t="inlineStr">
        <is>
          <t>평지</t>
        </is>
      </c>
      <c r="U326" s="3" t="inlineStr">
        <is>
          <t>사다리형</t>
        </is>
      </c>
      <c r="V326" s="3" t="inlineStr">
        <is>
          <t>세로한면(가)</t>
        </is>
      </c>
    </row>
    <row r="327">
      <c r="A327" s="3" t="inlineStr">
        <is>
          <t>고운동 2162</t>
        </is>
      </c>
      <c r="B327" s="3" t="inlineStr">
        <is>
          <t>제1종전용주거지역</t>
        </is>
      </c>
      <c r="C327" s="3" t="inlineStr">
        <is>
          <t>대</t>
        </is>
      </c>
      <c r="D327" s="3" t="inlineStr">
        <is>
          <t>대</t>
        </is>
      </c>
      <c r="E327" s="3" t="inlineStr">
        <is>
          <t>매매</t>
        </is>
      </c>
      <c r="F327" s="4" t="n">
        <v>150000</v>
      </c>
      <c r="G327" s="4" t="n">
        <v>317</v>
      </c>
      <c r="H327" s="4" t="n">
        <v>96</v>
      </c>
      <c r="I327" s="5" t="n">
        <v>1562.5</v>
      </c>
      <c r="J327" s="5" t="n">
        <v>735.5</v>
      </c>
      <c r="K327" s="3" t="inlineStr">
        <is>
          <t>한옥마을  귀한 근생 용지 .   커피숍 ,식당 등추천, 주변 아파트밀집</t>
        </is>
      </c>
      <c r="L327" s="6">
        <f>HYPERLINK("https://fin.land.naver.com/articles/2650760466", "매물Link")</f>
        <v/>
      </c>
      <c r="M327" s="6">
        <f>HYPERLINK("https://map.naver.com/p/search/고운동 2162", "지도Link")</f>
        <v/>
      </c>
      <c r="N327" s="6">
        <f>HYPERLINK("http://www.eum.go.kr/web/ar/lu/luLandDet.jsp?pnu=3611011200121620000&amp;isNoScr=script&amp;mode=search", "토지이음")</f>
        <v/>
      </c>
      <c r="O327" s="3" t="inlineStr">
        <is>
          <t>세종특별시</t>
        </is>
      </c>
      <c r="P327" s="4" t="n">
        <v>1</v>
      </c>
      <c r="Q327" s="4" t="n">
        <v>317.2</v>
      </c>
      <c r="R327" s="3" t="inlineStr">
        <is>
          <t>지정되지않음</t>
        </is>
      </c>
      <c r="S327" s="3" t="inlineStr">
        <is>
          <t>상업나지</t>
        </is>
      </c>
      <c r="T327" s="3" t="inlineStr">
        <is>
          <t>평지</t>
        </is>
      </c>
      <c r="U327" s="3" t="inlineStr">
        <is>
          <t>가로장방</t>
        </is>
      </c>
      <c r="V327" s="3" t="inlineStr">
        <is>
          <t>소로각지</t>
        </is>
      </c>
    </row>
    <row r="328">
      <c r="A328" s="3" t="inlineStr">
        <is>
          <t>고운동 2162</t>
        </is>
      </c>
      <c r="B328" s="3" t="inlineStr">
        <is>
          <t>제1종전용주거지역</t>
        </is>
      </c>
      <c r="C328" s="3" t="inlineStr">
        <is>
          <t>대</t>
        </is>
      </c>
      <c r="D328" s="3" t="inlineStr">
        <is>
          <t>대</t>
        </is>
      </c>
      <c r="E328" s="3" t="inlineStr">
        <is>
          <t>매매</t>
        </is>
      </c>
      <c r="F328" s="4" t="n">
        <v>150000</v>
      </c>
      <c r="G328" s="4" t="n">
        <v>317</v>
      </c>
      <c r="H328" s="4" t="n">
        <v>96</v>
      </c>
      <c r="I328" s="5" t="n">
        <v>1562.5</v>
      </c>
      <c r="J328" s="5" t="n">
        <v>735.5</v>
      </c>
      <c r="K328" s="3" t="inlineStr">
        <is>
          <t>고운동한옥마을 근생용지 도로변인접 노출이 잘되는 입지</t>
        </is>
      </c>
      <c r="L328" s="6">
        <f>HYPERLINK("https://fin.land.naver.com/articles/2651808448", "매물Link")</f>
        <v/>
      </c>
      <c r="M328" s="6">
        <f>HYPERLINK("https://map.naver.com/p/search/고운동 2162", "지도Link")</f>
        <v/>
      </c>
      <c r="N328" s="6">
        <f>HYPERLINK("http://www.eum.go.kr/web/ar/lu/luLandDet.jsp?pnu=3611011200121620000&amp;isNoScr=script&amp;mode=search", "토지이음")</f>
        <v/>
      </c>
      <c r="O328" s="3" t="inlineStr">
        <is>
          <t>고운동리치세종</t>
        </is>
      </c>
      <c r="P328" s="4" t="n">
        <v>1</v>
      </c>
      <c r="Q328" s="4" t="n">
        <v>317.2</v>
      </c>
      <c r="R328" s="3" t="inlineStr">
        <is>
          <t>지정되지않음</t>
        </is>
      </c>
      <c r="S328" s="3" t="inlineStr">
        <is>
          <t>상업나지</t>
        </is>
      </c>
      <c r="T328" s="3" t="inlineStr">
        <is>
          <t>평지</t>
        </is>
      </c>
      <c r="U328" s="3" t="inlineStr">
        <is>
          <t>가로장방</t>
        </is>
      </c>
      <c r="V328" s="3" t="inlineStr">
        <is>
          <t>소로각지</t>
        </is>
      </c>
    </row>
    <row r="329">
      <c r="A329" s="3" t="inlineStr">
        <is>
          <t>고운동 2162</t>
        </is>
      </c>
      <c r="B329" s="3" t="inlineStr">
        <is>
          <t>제1종전용주거지역</t>
        </is>
      </c>
      <c r="C329" s="3" t="inlineStr">
        <is>
          <t>대</t>
        </is>
      </c>
      <c r="D329" s="3" t="inlineStr">
        <is>
          <t>대</t>
        </is>
      </c>
      <c r="E329" s="3" t="inlineStr">
        <is>
          <t>매매</t>
        </is>
      </c>
      <c r="F329" s="4" t="n">
        <v>150000</v>
      </c>
      <c r="G329" s="4" t="n">
        <v>317</v>
      </c>
      <c r="H329" s="4" t="n">
        <v>96</v>
      </c>
      <c r="I329" s="5" t="n">
        <v>1562.5</v>
      </c>
      <c r="J329" s="5" t="n">
        <v>735.5</v>
      </c>
      <c r="K329" s="3" t="inlineStr">
        <is>
          <t>96.1p, 한옥마을 근생토지, 위치 좋고 노출 좋은 토지</t>
        </is>
      </c>
      <c r="L329" s="6">
        <f>HYPERLINK("https://fin.land.naver.com/articles/2649596569", "매물Link")</f>
        <v/>
      </c>
      <c r="M329" s="6">
        <f>HYPERLINK("https://map.naver.com/p/search/고운동 2162", "지도Link")</f>
        <v/>
      </c>
      <c r="N329" s="6">
        <f>HYPERLINK("http://www.eum.go.kr/web/ar/lu/luLandDet.jsp?pnu=3611011200121620000&amp;isNoScr=script&amp;mode=search", "토지이음")</f>
        <v/>
      </c>
      <c r="O329" s="3" t="inlineStr">
        <is>
          <t>세종무지개</t>
        </is>
      </c>
      <c r="P329" s="4" t="n">
        <v>1</v>
      </c>
      <c r="Q329" s="4" t="n">
        <v>317.2</v>
      </c>
      <c r="R329" s="3" t="inlineStr">
        <is>
          <t>지정되지않음</t>
        </is>
      </c>
      <c r="S329" s="3" t="inlineStr">
        <is>
          <t>상업나지</t>
        </is>
      </c>
      <c r="T329" s="3" t="inlineStr">
        <is>
          <t>평지</t>
        </is>
      </c>
      <c r="U329" s="3" t="inlineStr">
        <is>
          <t>가로장방</t>
        </is>
      </c>
      <c r="V329" s="3" t="inlineStr">
        <is>
          <t>소로각지</t>
        </is>
      </c>
    </row>
    <row r="330">
      <c r="A330" s="3" t="inlineStr">
        <is>
          <t>고운동 2163</t>
        </is>
      </c>
      <c r="B330" s="3" t="inlineStr">
        <is>
          <t>제1종전용주거지역</t>
        </is>
      </c>
      <c r="C330" s="3" t="inlineStr">
        <is>
          <t>대</t>
        </is>
      </c>
      <c r="D330" s="3" t="inlineStr">
        <is>
          <t>대</t>
        </is>
      </c>
      <c r="E330" s="3" t="inlineStr">
        <is>
          <t>매매</t>
        </is>
      </c>
      <c r="F330" s="4" t="n">
        <v>160000</v>
      </c>
      <c r="G330" s="4" t="n">
        <v>363</v>
      </c>
      <c r="H330" s="4" t="n">
        <v>110</v>
      </c>
      <c r="I330" s="5" t="n">
        <v>1454.5</v>
      </c>
      <c r="J330" s="5" t="n">
        <v>707.1</v>
      </c>
      <c r="K330" s="3" t="inlineStr">
        <is>
          <t>한옥마을내 상가부지 희소한 상업용지</t>
        </is>
      </c>
      <c r="L330" s="6">
        <f>HYPERLINK("https://fin.land.naver.com/articles/2653842345", "매물Link")</f>
        <v/>
      </c>
      <c r="M330" s="6">
        <f>HYPERLINK("https://map.naver.com/p/search/고운동 2163", "지도Link")</f>
        <v/>
      </c>
      <c r="N330" s="6">
        <f>HYPERLINK("http://www.eum.go.kr/web/ar/lu/luLandDet.jsp?pnu=3611011200121630000&amp;isNoScr=script&amp;mode=search", "토지이음")</f>
        <v/>
      </c>
      <c r="O330" s="3" t="inlineStr">
        <is>
          <t>세종스타</t>
        </is>
      </c>
      <c r="P330" s="4" t="n">
        <v>1</v>
      </c>
      <c r="Q330" s="4" t="n">
        <v>362.8</v>
      </c>
      <c r="R330" s="3" t="inlineStr">
        <is>
          <t>지정되지않음</t>
        </is>
      </c>
      <c r="S330" s="3" t="inlineStr">
        <is>
          <t>상업나지</t>
        </is>
      </c>
      <c r="T330" s="3" t="inlineStr">
        <is>
          <t>평지</t>
        </is>
      </c>
      <c r="U330" s="3" t="inlineStr">
        <is>
          <t>사다리형</t>
        </is>
      </c>
      <c r="V330" s="3" t="inlineStr">
        <is>
          <t>소로각지</t>
        </is>
      </c>
    </row>
    <row r="331">
      <c r="A331" s="3" t="inlineStr">
        <is>
          <t>고운동 893-10</t>
        </is>
      </c>
      <c r="B331" s="3" t="inlineStr">
        <is>
          <t>제1종전용주거지역</t>
        </is>
      </c>
      <c r="C331" s="3" t="inlineStr">
        <is>
          <t>대</t>
        </is>
      </c>
      <c r="D331" s="3" t="inlineStr">
        <is>
          <t>대</t>
        </is>
      </c>
      <c r="E331" s="3" t="inlineStr">
        <is>
          <t>매매</t>
        </is>
      </c>
      <c r="F331" s="4" t="n">
        <v>56000</v>
      </c>
      <c r="G331" s="4" t="n">
        <v>374</v>
      </c>
      <c r="H331" s="4" t="n">
        <v>113</v>
      </c>
      <c r="I331" s="5" t="n">
        <v>495.6</v>
      </c>
      <c r="J331" s="5" t="n">
        <v>319.6</v>
      </c>
      <c r="K331" s="3" t="inlineStr">
        <is>
          <t>고운동 단독주택지</t>
        </is>
      </c>
      <c r="L331" s="6">
        <f>HYPERLINK("https://fin.land.naver.com/articles/2654024875", "매물Link")</f>
        <v/>
      </c>
      <c r="M331" s="6">
        <f>HYPERLINK("https://map.naver.com/p/search/고운동 893-10", "지도Link")</f>
        <v/>
      </c>
      <c r="N331" s="6">
        <f>HYPERLINK("http://www.eum.go.kr/web/ar/lu/luLandDet.jsp?pnu=3611011200108930010&amp;isNoScr=script&amp;mode=search", "토지이음")</f>
        <v/>
      </c>
      <c r="O331" s="3" t="inlineStr">
        <is>
          <t>현대파라곤</t>
        </is>
      </c>
      <c r="P331" s="4" t="n">
        <v>1</v>
      </c>
      <c r="Q331" s="4" t="n">
        <v>256.3</v>
      </c>
      <c r="R331" s="3" t="inlineStr">
        <is>
          <t>지정되지않음</t>
        </is>
      </c>
      <c r="S331" s="3" t="inlineStr">
        <is>
          <t>주거나지</t>
        </is>
      </c>
      <c r="T331" s="3" t="inlineStr">
        <is>
          <t>평지</t>
        </is>
      </c>
      <c r="U331" s="3" t="inlineStr">
        <is>
          <t>가로장방</t>
        </is>
      </c>
      <c r="V331" s="3" t="inlineStr">
        <is>
          <t>소로한면</t>
        </is>
      </c>
    </row>
    <row r="332">
      <c r="A332" s="3" t="inlineStr">
        <is>
          <t>고운동 893-10</t>
        </is>
      </c>
      <c r="B332" s="3" t="inlineStr">
        <is>
          <t>제1종전용주거지역</t>
        </is>
      </c>
      <c r="C332" s="3" t="inlineStr">
        <is>
          <t>대</t>
        </is>
      </c>
      <c r="D332" s="3" t="inlineStr">
        <is>
          <t>대</t>
        </is>
      </c>
      <c r="E332" s="3" t="inlineStr">
        <is>
          <t>매매</t>
        </is>
      </c>
      <c r="F332" s="4" t="n">
        <v>56000</v>
      </c>
      <c r="G332" s="4" t="n">
        <v>256</v>
      </c>
      <c r="H332" s="4" t="n">
        <v>77</v>
      </c>
      <c r="I332" s="5" t="n">
        <v>727.3</v>
      </c>
      <c r="J332" s="5" t="n">
        <v>319.6</v>
      </c>
      <c r="K332" s="3" t="inlineStr">
        <is>
          <t>코지빌 단독주택지, 도로지분 별도</t>
        </is>
      </c>
      <c r="L332" s="6">
        <f>HYPERLINK("https://fin.land.naver.com/articles/2653683054", "매물Link")</f>
        <v/>
      </c>
      <c r="M332" s="6">
        <f>HYPERLINK("https://map.naver.com/p/search/고운동 893-10", "지도Link")</f>
        <v/>
      </c>
      <c r="N332" s="6">
        <f>HYPERLINK("http://www.eum.go.kr/web/ar/lu/luLandDet.jsp?pnu=3611011200108930010&amp;isNoScr=script&amp;mode=search", "토지이음")</f>
        <v/>
      </c>
      <c r="O332" s="3" t="inlineStr">
        <is>
          <t>명진</t>
        </is>
      </c>
      <c r="P332" s="4" t="n">
        <v>1</v>
      </c>
      <c r="Q332" s="4" t="n">
        <v>256.3</v>
      </c>
      <c r="R332" s="3" t="inlineStr">
        <is>
          <t>지정되지않음</t>
        </is>
      </c>
      <c r="S332" s="3" t="inlineStr">
        <is>
          <t>주거나지</t>
        </is>
      </c>
      <c r="T332" s="3" t="inlineStr">
        <is>
          <t>평지</t>
        </is>
      </c>
      <c r="U332" s="3" t="inlineStr">
        <is>
          <t>가로장방</t>
        </is>
      </c>
      <c r="V332" s="3" t="inlineStr">
        <is>
          <t>소로한면</t>
        </is>
      </c>
    </row>
    <row r="333">
      <c r="A333" s="3" t="inlineStr">
        <is>
          <t>고운동 893-10</t>
        </is>
      </c>
      <c r="B333" s="3" t="inlineStr">
        <is>
          <t>제1종전용주거지역</t>
        </is>
      </c>
      <c r="C333" s="3" t="inlineStr">
        <is>
          <t>대</t>
        </is>
      </c>
      <c r="D333" s="3" t="inlineStr">
        <is>
          <t>대</t>
        </is>
      </c>
      <c r="E333" s="3" t="inlineStr">
        <is>
          <t>매매</t>
        </is>
      </c>
      <c r="F333" s="4" t="n">
        <v>56000</v>
      </c>
      <c r="G333" s="4" t="n">
        <v>256</v>
      </c>
      <c r="H333" s="4" t="n">
        <v>77</v>
      </c>
      <c r="I333" s="5" t="n">
        <v>727.3</v>
      </c>
      <c r="J333" s="5" t="n">
        <v>319.6</v>
      </c>
      <c r="K333" s="3" t="inlineStr">
        <is>
          <t>타운하우스 내 단독주택 토지 매매</t>
        </is>
      </c>
      <c r="L333" s="6">
        <f>HYPERLINK("https://fin.land.naver.com/articles/2654237070", "매물Link")</f>
        <v/>
      </c>
      <c r="M333" s="6">
        <f>HYPERLINK("https://map.naver.com/p/search/고운동 893-10", "지도Link")</f>
        <v/>
      </c>
      <c r="N333" s="6">
        <f>HYPERLINK("http://www.eum.go.kr/web/ar/lu/luLandDet.jsp?pnu=3611011200108930010&amp;isNoScr=script&amp;mode=search", "토지이음")</f>
        <v/>
      </c>
      <c r="O333" s="3" t="inlineStr">
        <is>
          <t>찬스</t>
        </is>
      </c>
      <c r="P333" s="4" t="n">
        <v>1</v>
      </c>
      <c r="Q333" s="4" t="n">
        <v>256.3</v>
      </c>
      <c r="R333" s="3" t="inlineStr">
        <is>
          <t>지정되지않음</t>
        </is>
      </c>
      <c r="S333" s="3" t="inlineStr">
        <is>
          <t>주거나지</t>
        </is>
      </c>
      <c r="T333" s="3" t="inlineStr">
        <is>
          <t>평지</t>
        </is>
      </c>
      <c r="U333" s="3" t="inlineStr">
        <is>
          <t>가로장방</t>
        </is>
      </c>
      <c r="V333" s="3" t="inlineStr">
        <is>
          <t>소로한면</t>
        </is>
      </c>
    </row>
    <row r="334">
      <c r="A334" s="3" t="inlineStr">
        <is>
          <t>고운동 893-20</t>
        </is>
      </c>
      <c r="B334" s="3" t="inlineStr">
        <is>
          <t>제1종전용주거지역</t>
        </is>
      </c>
      <c r="C334" s="3" t="inlineStr">
        <is>
          <t>대</t>
        </is>
      </c>
      <c r="D334" s="3" t="inlineStr">
        <is>
          <t>대</t>
        </is>
      </c>
      <c r="E334" s="3" t="inlineStr">
        <is>
          <t>매매</t>
        </is>
      </c>
      <c r="F334" s="4" t="n">
        <v>43000</v>
      </c>
      <c r="G334" s="4" t="n">
        <v>251</v>
      </c>
      <c r="H334" s="4" t="n">
        <v>76</v>
      </c>
      <c r="I334" s="5" t="n">
        <v>565.8</v>
      </c>
      <c r="J334" s="5" t="n">
        <v>319.6</v>
      </c>
      <c r="K334" s="3" t="inlineStr">
        <is>
          <t>급매, 조망 좋은 고운동에 있는 세종네이플리브 단독주택지 입니다</t>
        </is>
      </c>
      <c r="L334" s="6">
        <f>HYPERLINK("https://fin.land.naver.com/articles/2652193954", "매물Link")</f>
        <v/>
      </c>
      <c r="M334" s="6">
        <f>HYPERLINK("https://map.naver.com/p/search/고운동 893-20", "지도Link")</f>
        <v/>
      </c>
      <c r="N334" s="6">
        <f>HYPERLINK("http://www.eum.go.kr/web/ar/lu/luLandDet.jsp?pnu=3611011200108930020&amp;isNoScr=script&amp;mode=search", "토지이음")</f>
        <v/>
      </c>
      <c r="O334" s="3" t="inlineStr">
        <is>
          <t>스마일세종</t>
        </is>
      </c>
      <c r="P334" s="4" t="n">
        <v>1</v>
      </c>
      <c r="Q334" s="4" t="n">
        <v>251.1</v>
      </c>
      <c r="R334" s="3" t="inlineStr">
        <is>
          <t>지정되지않음</t>
        </is>
      </c>
      <c r="S334" s="3" t="inlineStr">
        <is>
          <t>주거나지</t>
        </is>
      </c>
      <c r="T334" s="3" t="inlineStr">
        <is>
          <t>평지</t>
        </is>
      </c>
      <c r="U334" s="3" t="inlineStr">
        <is>
          <t>가로장방</t>
        </is>
      </c>
      <c r="V334" s="3" t="inlineStr">
        <is>
          <t>소로한면</t>
        </is>
      </c>
    </row>
    <row r="335">
      <c r="A335" s="3" t="inlineStr">
        <is>
          <t>고운동 893-27</t>
        </is>
      </c>
      <c r="B335" s="3" t="inlineStr">
        <is>
          <t>제1종전용주거지역</t>
        </is>
      </c>
      <c r="C335" s="3" t="inlineStr">
        <is>
          <t>대</t>
        </is>
      </c>
      <c r="D335" s="3" t="inlineStr">
        <is>
          <t>대</t>
        </is>
      </c>
      <c r="E335" s="3" t="inlineStr">
        <is>
          <t>매매</t>
        </is>
      </c>
      <c r="F335" s="4" t="n">
        <v>45000</v>
      </c>
      <c r="G335" s="4" t="n">
        <v>252</v>
      </c>
      <c r="H335" s="4" t="n">
        <v>76</v>
      </c>
      <c r="I335" s="5" t="n">
        <v>592.1</v>
      </c>
      <c r="J335" s="5" t="n">
        <v>319.6</v>
      </c>
      <c r="K335" s="3" t="inlineStr">
        <is>
          <t>네이플리브 토지매매, 76.3p 도로지분 35p 별도</t>
        </is>
      </c>
      <c r="L335" s="6">
        <f>HYPERLINK("https://fin.land.naver.com/articles/2652839705", "매물Link")</f>
        <v/>
      </c>
      <c r="M335" s="6">
        <f>HYPERLINK("https://map.naver.com/p/search/고운동 893-27", "지도Link")</f>
        <v/>
      </c>
      <c r="N335" s="6">
        <f>HYPERLINK("http://www.eum.go.kr/web/ar/lu/luLandDet.jsp?pnu=3611011200108930027&amp;isNoScr=script&amp;mode=search", "토지이음")</f>
        <v/>
      </c>
      <c r="O335" s="3" t="inlineStr">
        <is>
          <t>세종무지개</t>
        </is>
      </c>
      <c r="P335" s="4" t="n">
        <v>1</v>
      </c>
      <c r="Q335" s="4" t="n">
        <v>252.1</v>
      </c>
      <c r="R335" s="3" t="inlineStr">
        <is>
          <t>지정되지않음</t>
        </is>
      </c>
      <c r="S335" s="3" t="inlineStr">
        <is>
          <t>주거나지</t>
        </is>
      </c>
      <c r="T335" s="3" t="inlineStr">
        <is>
          <t>평지</t>
        </is>
      </c>
      <c r="U335" s="3" t="inlineStr">
        <is>
          <t>가로장방</t>
        </is>
      </c>
      <c r="V335" s="3" t="inlineStr">
        <is>
          <t>소로한면</t>
        </is>
      </c>
    </row>
    <row r="336">
      <c r="A336" s="3" t="inlineStr">
        <is>
          <t>고운동 893-41</t>
        </is>
      </c>
      <c r="B336" s="3" t="inlineStr">
        <is>
          <t>제1종전용주거지역</t>
        </is>
      </c>
      <c r="C336" s="3" t="inlineStr">
        <is>
          <t>공원</t>
        </is>
      </c>
      <c r="D336" s="3" t="inlineStr">
        <is>
          <t>대</t>
        </is>
      </c>
      <c r="E336" s="3" t="inlineStr">
        <is>
          <t>매매</t>
        </is>
      </c>
      <c r="F336" s="4" t="n">
        <v>66000</v>
      </c>
      <c r="G336" s="4" t="n">
        <v>364</v>
      </c>
      <c r="H336" s="4" t="n">
        <v>110</v>
      </c>
      <c r="I336" s="5" t="n">
        <v>600</v>
      </c>
      <c r="J336" s="5" t="n">
        <v>223.7</v>
      </c>
      <c r="K336" s="3" t="inlineStr">
        <is>
          <t>nan</t>
        </is>
      </c>
      <c r="L336" s="6">
        <f>HYPERLINK("https://fin.land.naver.com/articles/2651025996", "매물Link")</f>
        <v/>
      </c>
      <c r="M336" s="6">
        <f>HYPERLINK("https://map.naver.com/p/search/고운동 893-41", "지도Link")</f>
        <v/>
      </c>
      <c r="N336" s="6">
        <f>HYPERLINK("http://www.eum.go.kr/web/ar/lu/luLandDet.jsp?pnu=3611011200108930041&amp;isNoScr=script&amp;mode=search", "토지이음")</f>
        <v/>
      </c>
      <c r="O336" s="3" t="inlineStr">
        <is>
          <t>디아트성심</t>
        </is>
      </c>
      <c r="P336" s="4" t="n">
        <v>1</v>
      </c>
      <c r="Q336" s="4" t="n">
        <v>286.7</v>
      </c>
      <c r="R336" s="3" t="inlineStr">
        <is>
          <t>지정되지않음</t>
        </is>
      </c>
      <c r="S336" s="3" t="inlineStr">
        <is>
          <t>주차장등</t>
        </is>
      </c>
      <c r="T336" s="3" t="inlineStr">
        <is>
          <t>평지</t>
        </is>
      </c>
      <c r="U336" s="3" t="inlineStr">
        <is>
          <t>가로장방</t>
        </is>
      </c>
      <c r="V336" s="3" t="inlineStr">
        <is>
          <t>지정되지않음</t>
        </is>
      </c>
    </row>
    <row r="337">
      <c r="A337" s="3" t="inlineStr">
        <is>
          <t>고운동 893-7</t>
        </is>
      </c>
      <c r="B337" s="3" t="inlineStr">
        <is>
          <t>제1종전용주거지역</t>
        </is>
      </c>
      <c r="C337" s="3" t="inlineStr">
        <is>
          <t>대</t>
        </is>
      </c>
      <c r="D337" s="3" t="inlineStr">
        <is>
          <t>대</t>
        </is>
      </c>
      <c r="E337" s="3" t="inlineStr">
        <is>
          <t>매매</t>
        </is>
      </c>
      <c r="F337" s="4" t="n">
        <v>49500</v>
      </c>
      <c r="G337" s="4" t="n">
        <v>256</v>
      </c>
      <c r="H337" s="4" t="n">
        <v>77</v>
      </c>
      <c r="I337" s="5" t="n">
        <v>642.9</v>
      </c>
      <c r="J337" s="5" t="n">
        <v>319.6</v>
      </c>
      <c r="K337" s="3" t="inlineStr">
        <is>
          <t>타운하우스부지 a타입 건축가능 합니다</t>
        </is>
      </c>
      <c r="L337" s="6">
        <f>HYPERLINK("https://fin.land.naver.com/articles/2651511916", "매물Link")</f>
        <v/>
      </c>
      <c r="M337" s="6">
        <f>HYPERLINK("https://map.naver.com/p/search/고운동 893-7", "지도Link")</f>
        <v/>
      </c>
      <c r="N337" s="6">
        <f>HYPERLINK("http://www.eum.go.kr/web/ar/lu/luLandDet.jsp?pnu=3611011200108930007&amp;isNoScr=script&amp;mode=search", "토지이음")</f>
        <v/>
      </c>
      <c r="O337" s="3" t="inlineStr">
        <is>
          <t>은성</t>
        </is>
      </c>
      <c r="P337" s="4" t="n">
        <v>1</v>
      </c>
      <c r="Q337" s="4" t="n">
        <v>256.8</v>
      </c>
      <c r="R337" s="3" t="inlineStr">
        <is>
          <t>지정되지않음</t>
        </is>
      </c>
      <c r="S337" s="3" t="inlineStr">
        <is>
          <t>주거나지</t>
        </is>
      </c>
      <c r="T337" s="3" t="inlineStr">
        <is>
          <t>평지</t>
        </is>
      </c>
      <c r="U337" s="3" t="inlineStr">
        <is>
          <t>가로장방</t>
        </is>
      </c>
      <c r="V337" s="3" t="inlineStr">
        <is>
          <t>소로한면</t>
        </is>
      </c>
    </row>
    <row r="338">
      <c r="A338" s="3" t="inlineStr">
        <is>
          <t>고운동 894-1</t>
        </is>
      </c>
      <c r="B338" s="3" t="inlineStr">
        <is>
          <t>제1종전용주거지역</t>
        </is>
      </c>
      <c r="C338" s="3" t="inlineStr">
        <is>
          <t>대</t>
        </is>
      </c>
      <c r="D338" s="3" t="inlineStr">
        <is>
          <t>대</t>
        </is>
      </c>
      <c r="E338" s="3" t="inlineStr">
        <is>
          <t>매매</t>
        </is>
      </c>
      <c r="F338" s="4" t="n">
        <v>38000</v>
      </c>
      <c r="G338" s="4" t="n">
        <v>250</v>
      </c>
      <c r="H338" s="4" t="n">
        <v>76</v>
      </c>
      <c r="I338" s="5" t="n">
        <v>500</v>
      </c>
      <c r="J338" s="5" t="n">
        <v>319.6</v>
      </c>
      <c r="K338" s="3" t="inlineStr">
        <is>
          <t>고운동 사진O 고운동 코지빌 타운하우스 내 A타입 건축가능토지 매매</t>
        </is>
      </c>
      <c r="L338" s="6">
        <f>HYPERLINK("https://fin.land.naver.com/articles/2649499148", "매물Link")</f>
        <v/>
      </c>
      <c r="M338" s="6">
        <f>HYPERLINK("https://map.naver.com/p/search/고운동 894-1", "지도Link")</f>
        <v/>
      </c>
      <c r="N338" s="6">
        <f>HYPERLINK("http://www.eum.go.kr/web/ar/lu/luLandDet.jsp?pnu=3611011200108940001&amp;isNoScr=script&amp;mode=search", "토지이음")</f>
        <v/>
      </c>
      <c r="O338" s="3" t="inlineStr">
        <is>
          <t>리슈빌대주</t>
        </is>
      </c>
      <c r="P338" s="4" t="n">
        <v>1</v>
      </c>
      <c r="Q338" s="4" t="n">
        <v>250.2</v>
      </c>
      <c r="R338" s="3" t="inlineStr">
        <is>
          <t>지정되지않음</t>
        </is>
      </c>
      <c r="S338" s="3" t="inlineStr">
        <is>
          <t>주거나지</t>
        </is>
      </c>
      <c r="T338" s="3" t="inlineStr">
        <is>
          <t>평지</t>
        </is>
      </c>
      <c r="U338" s="3" t="inlineStr">
        <is>
          <t>세로장방</t>
        </is>
      </c>
      <c r="V338" s="3" t="inlineStr">
        <is>
          <t>소로한면</t>
        </is>
      </c>
    </row>
    <row r="339">
      <c r="A339" s="3" t="inlineStr">
        <is>
          <t>고운동 894-1</t>
        </is>
      </c>
      <c r="B339" s="3" t="inlineStr">
        <is>
          <t>제1종전용주거지역</t>
        </is>
      </c>
      <c r="C339" s="3" t="inlineStr">
        <is>
          <t>대</t>
        </is>
      </c>
      <c r="D339" s="3" t="inlineStr">
        <is>
          <t>대</t>
        </is>
      </c>
      <c r="E339" s="3" t="inlineStr">
        <is>
          <t>매매</t>
        </is>
      </c>
      <c r="F339" s="4" t="n">
        <v>38000</v>
      </c>
      <c r="G339" s="4" t="n">
        <v>250</v>
      </c>
      <c r="H339" s="4" t="n">
        <v>76</v>
      </c>
      <c r="I339" s="5" t="n">
        <v>500</v>
      </c>
      <c r="J339" s="5" t="n">
        <v>319.6</v>
      </c>
      <c r="K339" s="3" t="inlineStr">
        <is>
          <t>고운동 코지빌 택지</t>
        </is>
      </c>
      <c r="L339" s="6">
        <f>HYPERLINK("https://fin.land.naver.com/articles/2651277381", "매물Link")</f>
        <v/>
      </c>
      <c r="M339" s="6">
        <f>HYPERLINK("https://map.naver.com/p/search/고운동 894-1", "지도Link")</f>
        <v/>
      </c>
      <c r="N339" s="6">
        <f>HYPERLINK("http://www.eum.go.kr/web/ar/lu/luLandDet.jsp?pnu=3611011200108940001&amp;isNoScr=script&amp;mode=search", "토지이음")</f>
        <v/>
      </c>
      <c r="O339" s="3" t="inlineStr">
        <is>
          <t>강아지풀</t>
        </is>
      </c>
      <c r="P339" s="4" t="n">
        <v>1</v>
      </c>
      <c r="Q339" s="4" t="n">
        <v>250.2</v>
      </c>
      <c r="R339" s="3" t="inlineStr">
        <is>
          <t>지정되지않음</t>
        </is>
      </c>
      <c r="S339" s="3" t="inlineStr">
        <is>
          <t>주거나지</t>
        </is>
      </c>
      <c r="T339" s="3" t="inlineStr">
        <is>
          <t>평지</t>
        </is>
      </c>
      <c r="U339" s="3" t="inlineStr">
        <is>
          <t>세로장방</t>
        </is>
      </c>
      <c r="V339" s="3" t="inlineStr">
        <is>
          <t>소로한면</t>
        </is>
      </c>
    </row>
    <row r="340">
      <c r="A340" s="3" t="inlineStr">
        <is>
          <t>고운동 894-1</t>
        </is>
      </c>
      <c r="B340" s="3" t="inlineStr">
        <is>
          <t>제1종전용주거지역</t>
        </is>
      </c>
      <c r="C340" s="3" t="inlineStr">
        <is>
          <t>대</t>
        </is>
      </c>
      <c r="D340" s="3" t="inlineStr">
        <is>
          <t>대</t>
        </is>
      </c>
      <c r="E340" s="3" t="inlineStr">
        <is>
          <t>매매</t>
        </is>
      </c>
      <c r="F340" s="4" t="n">
        <v>38000</v>
      </c>
      <c r="G340" s="4" t="n">
        <v>250</v>
      </c>
      <c r="H340" s="4" t="n">
        <v>76</v>
      </c>
      <c r="I340" s="5" t="n">
        <v>500</v>
      </c>
      <c r="J340" s="5" t="n">
        <v>319.6</v>
      </c>
      <c r="K340" s="3" t="inlineStr">
        <is>
          <t>급매 남서향 타운하우스  A타입 단독주택지</t>
        </is>
      </c>
      <c r="L340" s="6">
        <f>HYPERLINK("https://fin.land.naver.com/articles/2653033687", "매물Link")</f>
        <v/>
      </c>
      <c r="M340" s="6">
        <f>HYPERLINK("https://map.naver.com/p/search/고운동 894-1", "지도Link")</f>
        <v/>
      </c>
      <c r="N340" s="6">
        <f>HYPERLINK("http://www.eum.go.kr/web/ar/lu/luLandDet.jsp?pnu=3611011200108940001&amp;isNoScr=script&amp;mode=search", "토지이음")</f>
        <v/>
      </c>
      <c r="O340" s="3" t="inlineStr">
        <is>
          <t>SD</t>
        </is>
      </c>
      <c r="P340" s="4" t="n">
        <v>1</v>
      </c>
      <c r="Q340" s="4" t="n">
        <v>250.2</v>
      </c>
      <c r="R340" s="3" t="inlineStr">
        <is>
          <t>지정되지않음</t>
        </is>
      </c>
      <c r="S340" s="3" t="inlineStr">
        <is>
          <t>주거나지</t>
        </is>
      </c>
      <c r="T340" s="3" t="inlineStr">
        <is>
          <t>평지</t>
        </is>
      </c>
      <c r="U340" s="3" t="inlineStr">
        <is>
          <t>세로장방</t>
        </is>
      </c>
      <c r="V340" s="3" t="inlineStr">
        <is>
          <t>소로한면</t>
        </is>
      </c>
    </row>
    <row r="341">
      <c r="A341" s="3" t="inlineStr">
        <is>
          <t>고운동 894-17</t>
        </is>
      </c>
      <c r="B341" s="3" t="inlineStr">
        <is>
          <t>제1종전용주거지역</t>
        </is>
      </c>
      <c r="C341" s="3" t="inlineStr">
        <is>
          <t>대</t>
        </is>
      </c>
      <c r="D341" s="3" t="inlineStr">
        <is>
          <t>대</t>
        </is>
      </c>
      <c r="E341" s="3" t="inlineStr">
        <is>
          <t>매매</t>
        </is>
      </c>
      <c r="F341" s="4" t="n">
        <v>53000</v>
      </c>
      <c r="G341" s="4" t="n">
        <v>244</v>
      </c>
      <c r="H341" s="4" t="n">
        <v>74</v>
      </c>
      <c r="I341" s="5" t="n">
        <v>716.2</v>
      </c>
      <c r="J341" s="5" t="n">
        <v>319.6</v>
      </c>
      <c r="K341" s="3" t="inlineStr">
        <is>
          <t>고운동 단독주택지 매매 합니다</t>
        </is>
      </c>
      <c r="L341" s="6">
        <f>HYPERLINK("https://fin.land.naver.com/articles/2653338048", "매물Link")</f>
        <v/>
      </c>
      <c r="M341" s="6">
        <f>HYPERLINK("https://map.naver.com/p/search/고운동 894-17", "지도Link")</f>
        <v/>
      </c>
      <c r="N341" s="6">
        <f>HYPERLINK("http://www.eum.go.kr/web/ar/lu/luLandDet.jsp?pnu=3611011200108940017&amp;isNoScr=script&amp;mode=search", "토지이음")</f>
        <v/>
      </c>
      <c r="O341" s="3" t="inlineStr">
        <is>
          <t>태양투</t>
        </is>
      </c>
      <c r="P341" s="4" t="n">
        <v>1</v>
      </c>
      <c r="Q341" s="4" t="n">
        <v>244.8</v>
      </c>
      <c r="R341" s="3" t="inlineStr">
        <is>
          <t>지정되지않음</t>
        </is>
      </c>
      <c r="S341" s="3" t="inlineStr">
        <is>
          <t>주거나지</t>
        </is>
      </c>
      <c r="T341" s="3" t="inlineStr">
        <is>
          <t>평지</t>
        </is>
      </c>
      <c r="U341" s="3" t="inlineStr">
        <is>
          <t>세로장방</t>
        </is>
      </c>
      <c r="V341" s="3" t="inlineStr">
        <is>
          <t>소로한면</t>
        </is>
      </c>
    </row>
    <row r="342">
      <c r="A342" s="3" t="inlineStr">
        <is>
          <t>고운동 894-21</t>
        </is>
      </c>
      <c r="B342" s="3" t="inlineStr">
        <is>
          <t>제1종전용주거지역</t>
        </is>
      </c>
      <c r="C342" s="3" t="inlineStr">
        <is>
          <t>대</t>
        </is>
      </c>
      <c r="D342" s="3" t="inlineStr">
        <is>
          <t>대</t>
        </is>
      </c>
      <c r="E342" s="3" t="inlineStr">
        <is>
          <t>매매</t>
        </is>
      </c>
      <c r="F342" s="4" t="n">
        <v>49000</v>
      </c>
      <c r="G342" s="4" t="n">
        <v>244</v>
      </c>
      <c r="H342" s="4" t="n">
        <v>74</v>
      </c>
      <c r="I342" s="5" t="n">
        <v>662.2</v>
      </c>
      <c r="J342" s="5" t="n">
        <v>319.6</v>
      </c>
      <c r="K342" s="3" t="inlineStr">
        <is>
          <t>고운동 코지빌 토지매매</t>
        </is>
      </c>
      <c r="L342" s="6">
        <f>HYPERLINK("https://fin.land.naver.com/articles/2649595000", "매물Link")</f>
        <v/>
      </c>
      <c r="M342" s="6">
        <f>HYPERLINK("https://map.naver.com/p/search/고운동 894-21", "지도Link")</f>
        <v/>
      </c>
      <c r="N342" s="6">
        <f>HYPERLINK("http://www.eum.go.kr/web/ar/lu/luLandDet.jsp?pnu=3611011200108940021&amp;isNoScr=script&amp;mode=search", "토지이음")</f>
        <v/>
      </c>
      <c r="O342" s="3" t="inlineStr">
        <is>
          <t>황금도장</t>
        </is>
      </c>
      <c r="P342" s="4" t="n">
        <v>1</v>
      </c>
      <c r="Q342" s="4" t="n">
        <v>244.8</v>
      </c>
      <c r="R342" s="3" t="inlineStr">
        <is>
          <t>지정되지않음</t>
        </is>
      </c>
      <c r="S342" s="3" t="inlineStr">
        <is>
          <t>주거나지</t>
        </is>
      </c>
      <c r="T342" s="3" t="inlineStr">
        <is>
          <t>평지</t>
        </is>
      </c>
      <c r="U342" s="3" t="inlineStr">
        <is>
          <t>세로장방</t>
        </is>
      </c>
      <c r="V342" s="3" t="inlineStr">
        <is>
          <t>소로한면</t>
        </is>
      </c>
    </row>
    <row r="343">
      <c r="A343" s="3" t="inlineStr">
        <is>
          <t>고운동 894-25</t>
        </is>
      </c>
      <c r="B343" s="3" t="inlineStr">
        <is>
          <t>제1종전용주거지역</t>
        </is>
      </c>
      <c r="C343" s="3" t="inlineStr">
        <is>
          <t>대</t>
        </is>
      </c>
      <c r="D343" s="3" t="inlineStr">
        <is>
          <t>대</t>
        </is>
      </c>
      <c r="E343" s="3" t="inlineStr">
        <is>
          <t>매매</t>
        </is>
      </c>
      <c r="F343" s="4" t="n">
        <v>49000</v>
      </c>
      <c r="G343" s="4" t="n">
        <v>244</v>
      </c>
      <c r="H343" s="4" t="n">
        <v>74</v>
      </c>
      <c r="I343" s="5" t="n">
        <v>662.2</v>
      </c>
      <c r="J343" s="5" t="n">
        <v>319.6</v>
      </c>
      <c r="K343" s="3" t="inlineStr">
        <is>
          <t>고운동타운하우스토지매매 가격조정가능</t>
        </is>
      </c>
      <c r="L343" s="6">
        <f>HYPERLINK("https://fin.land.naver.com/articles/2651892602", "매물Link")</f>
        <v/>
      </c>
      <c r="M343" s="6">
        <f>HYPERLINK("https://map.naver.com/p/search/고운동 894-25", "지도Link")</f>
        <v/>
      </c>
      <c r="N343" s="6">
        <f>HYPERLINK("http://www.eum.go.kr/web/ar/lu/luLandDet.jsp?pnu=3611011200108940025&amp;isNoScr=script&amp;mode=search", "토지이음")</f>
        <v/>
      </c>
      <c r="O343" s="3" t="inlineStr">
        <is>
          <t>고운동리치세종</t>
        </is>
      </c>
      <c r="P343" s="4" t="n">
        <v>1</v>
      </c>
      <c r="Q343" s="4" t="n">
        <v>244.8</v>
      </c>
      <c r="R343" s="3" t="inlineStr">
        <is>
          <t>지정되지않음</t>
        </is>
      </c>
      <c r="S343" s="3" t="inlineStr">
        <is>
          <t>주거나지</t>
        </is>
      </c>
      <c r="T343" s="3" t="inlineStr">
        <is>
          <t>평지</t>
        </is>
      </c>
      <c r="U343" s="3" t="inlineStr">
        <is>
          <t>세로장방</t>
        </is>
      </c>
      <c r="V343" s="3" t="inlineStr">
        <is>
          <t>소로한면</t>
        </is>
      </c>
    </row>
    <row r="344">
      <c r="A344" s="3" t="inlineStr">
        <is>
          <t>고운동 894-26</t>
        </is>
      </c>
      <c r="B344" s="3" t="inlineStr">
        <is>
          <t>제1종전용주거지역</t>
        </is>
      </c>
      <c r="C344" s="3" t="inlineStr">
        <is>
          <t>대</t>
        </is>
      </c>
      <c r="D344" s="3" t="inlineStr">
        <is>
          <t>대</t>
        </is>
      </c>
      <c r="E344" s="3" t="inlineStr">
        <is>
          <t>매매</t>
        </is>
      </c>
      <c r="F344" s="4" t="n">
        <v>50000</v>
      </c>
      <c r="G344" s="4" t="n">
        <v>244</v>
      </c>
      <c r="H344" s="4" t="n">
        <v>74</v>
      </c>
      <c r="I344" s="5" t="n">
        <v>675.7</v>
      </c>
      <c r="J344" s="5" t="n">
        <v>319.6</v>
      </c>
      <c r="K344" s="3" t="inlineStr">
        <is>
          <t>코지빌 토지매매, 74.18p, 도로지분 별도, 조율가능</t>
        </is>
      </c>
      <c r="L344" s="6">
        <f>HYPERLINK("https://fin.land.naver.com/articles/2652841596", "매물Link")</f>
        <v/>
      </c>
      <c r="M344" s="6">
        <f>HYPERLINK("https://map.naver.com/p/search/고운동 894-26", "지도Link")</f>
        <v/>
      </c>
      <c r="N344" s="6">
        <f>HYPERLINK("http://www.eum.go.kr/web/ar/lu/luLandDet.jsp?pnu=3611011200108940026&amp;isNoScr=script&amp;mode=search", "토지이음")</f>
        <v/>
      </c>
      <c r="O344" s="3" t="inlineStr">
        <is>
          <t>세종무지개</t>
        </is>
      </c>
      <c r="P344" s="4" t="n">
        <v>1</v>
      </c>
      <c r="Q344" s="4" t="n">
        <v>244.8</v>
      </c>
      <c r="R344" s="3" t="inlineStr">
        <is>
          <t>지정되지않음</t>
        </is>
      </c>
      <c r="S344" s="3" t="inlineStr">
        <is>
          <t>주거나지</t>
        </is>
      </c>
      <c r="T344" s="3" t="inlineStr">
        <is>
          <t>평지</t>
        </is>
      </c>
      <c r="U344" s="3" t="inlineStr">
        <is>
          <t>세로장방</t>
        </is>
      </c>
      <c r="V344" s="3" t="inlineStr">
        <is>
          <t>소로한면</t>
        </is>
      </c>
    </row>
    <row r="345">
      <c r="A345" s="3" t="inlineStr">
        <is>
          <t>고운동 894-35</t>
        </is>
      </c>
      <c r="B345" s="3" t="inlineStr">
        <is>
          <t>제1종전용주거지역</t>
        </is>
      </c>
      <c r="C345" s="3" t="inlineStr">
        <is>
          <t>대</t>
        </is>
      </c>
      <c r="D345" s="3" t="inlineStr">
        <is>
          <t>대</t>
        </is>
      </c>
      <c r="E345" s="3" t="inlineStr">
        <is>
          <t>매매</t>
        </is>
      </c>
      <c r="F345" s="4" t="n">
        <v>44000</v>
      </c>
      <c r="G345" s="4" t="n">
        <v>290</v>
      </c>
      <c r="H345" s="4" t="n">
        <v>88</v>
      </c>
      <c r="I345" s="5" t="n">
        <v>500</v>
      </c>
      <c r="J345" s="5" t="n">
        <v>319.6</v>
      </c>
      <c r="K345" s="3" t="inlineStr">
        <is>
          <t>코지빌 토지매매, 공원 옆, 앞쪽 입지 좋은 토지</t>
        </is>
      </c>
      <c r="L345" s="6">
        <f>HYPERLINK("https://fin.land.naver.com/articles/2651770499", "매물Link")</f>
        <v/>
      </c>
      <c r="M345" s="6">
        <f>HYPERLINK("https://map.naver.com/p/search/고운동 894-35", "지도Link")</f>
        <v/>
      </c>
      <c r="N345" s="6">
        <f>HYPERLINK("http://www.eum.go.kr/web/ar/lu/luLandDet.jsp?pnu=3611011200108940035&amp;isNoScr=script&amp;mode=search", "토지이음")</f>
        <v/>
      </c>
      <c r="O345" s="3" t="inlineStr">
        <is>
          <t>세종무지개</t>
        </is>
      </c>
      <c r="P345" s="4" t="n">
        <v>1</v>
      </c>
      <c r="Q345" s="4" t="n">
        <v>290.7</v>
      </c>
      <c r="R345" s="3" t="inlineStr">
        <is>
          <t>지정되지않음</t>
        </is>
      </c>
      <c r="S345" s="3" t="inlineStr">
        <is>
          <t>주거나지</t>
        </is>
      </c>
      <c r="T345" s="3" t="inlineStr">
        <is>
          <t>평지</t>
        </is>
      </c>
      <c r="U345" s="3" t="inlineStr">
        <is>
          <t>세로장방</t>
        </is>
      </c>
      <c r="V345" s="3" t="inlineStr">
        <is>
          <t>소로한면</t>
        </is>
      </c>
    </row>
    <row r="346">
      <c r="A346" s="3" t="inlineStr">
        <is>
          <t>고운동 894-35</t>
        </is>
      </c>
      <c r="B346" s="3" t="inlineStr">
        <is>
          <t>제1종전용주거지역</t>
        </is>
      </c>
      <c r="C346" s="3" t="inlineStr">
        <is>
          <t>대</t>
        </is>
      </c>
      <c r="D346" s="3" t="inlineStr">
        <is>
          <t>대</t>
        </is>
      </c>
      <c r="E346" s="3" t="inlineStr">
        <is>
          <t>매매</t>
        </is>
      </c>
      <c r="F346" s="4" t="n">
        <v>44000</v>
      </c>
      <c r="G346" s="4" t="n">
        <v>288</v>
      </c>
      <c r="H346" s="4" t="n">
        <v>87</v>
      </c>
      <c r="I346" s="5" t="n">
        <v>505.7</v>
      </c>
      <c r="J346" s="5" t="n">
        <v>319.6</v>
      </c>
      <c r="K346" s="3" t="inlineStr">
        <is>
          <t>급매, 코지빌 단독주택지 토지매매</t>
        </is>
      </c>
      <c r="L346" s="6">
        <f>HYPERLINK("https://fin.land.naver.com/articles/2651946502", "매물Link")</f>
        <v/>
      </c>
      <c r="M346" s="6">
        <f>HYPERLINK("https://map.naver.com/p/search/고운동 894-35", "지도Link")</f>
        <v/>
      </c>
      <c r="N346" s="6">
        <f>HYPERLINK("http://www.eum.go.kr/web/ar/lu/luLandDet.jsp?pnu=3611011200108940035&amp;isNoScr=script&amp;mode=search", "토지이음")</f>
        <v/>
      </c>
      <c r="O346" s="3" t="inlineStr">
        <is>
          <t>명진</t>
        </is>
      </c>
      <c r="P346" s="4" t="n">
        <v>1</v>
      </c>
      <c r="Q346" s="4" t="n">
        <v>290.7</v>
      </c>
      <c r="R346" s="3" t="inlineStr">
        <is>
          <t>지정되지않음</t>
        </is>
      </c>
      <c r="S346" s="3" t="inlineStr">
        <is>
          <t>주거나지</t>
        </is>
      </c>
      <c r="T346" s="3" t="inlineStr">
        <is>
          <t>평지</t>
        </is>
      </c>
      <c r="U346" s="3" t="inlineStr">
        <is>
          <t>세로장방</t>
        </is>
      </c>
      <c r="V346" s="3" t="inlineStr">
        <is>
          <t>소로한면</t>
        </is>
      </c>
    </row>
    <row r="347">
      <c r="A347" s="3" t="inlineStr">
        <is>
          <t>고운동 894-35</t>
        </is>
      </c>
      <c r="B347" s="3" t="inlineStr">
        <is>
          <t>제1종전용주거지역</t>
        </is>
      </c>
      <c r="C347" s="3" t="inlineStr">
        <is>
          <t>대</t>
        </is>
      </c>
      <c r="D347" s="3" t="inlineStr">
        <is>
          <t>대</t>
        </is>
      </c>
      <c r="E347" s="3" t="inlineStr">
        <is>
          <t>매매</t>
        </is>
      </c>
      <c r="F347" s="4" t="n">
        <v>44000</v>
      </c>
      <c r="G347" s="4" t="n">
        <v>290</v>
      </c>
      <c r="H347" s="4" t="n">
        <v>88</v>
      </c>
      <c r="I347" s="5" t="n">
        <v>500</v>
      </c>
      <c r="J347" s="5" t="n">
        <v>319.6</v>
      </c>
      <c r="K347" s="3" t="inlineStr">
        <is>
          <t>nan</t>
        </is>
      </c>
      <c r="L347" s="6">
        <f>HYPERLINK("https://fin.land.naver.com/articles/2650960095", "매물Link")</f>
        <v/>
      </c>
      <c r="M347" s="6">
        <f>HYPERLINK("https://map.naver.com/p/search/고운동 894-35", "지도Link")</f>
        <v/>
      </c>
      <c r="N347" s="6">
        <f>HYPERLINK("http://www.eum.go.kr/web/ar/lu/luLandDet.jsp?pnu=3611011200108940035&amp;isNoScr=script&amp;mode=search", "토지이음")</f>
        <v/>
      </c>
      <c r="O347" s="3" t="inlineStr">
        <is>
          <t>고운동리치세종</t>
        </is>
      </c>
      <c r="P347" s="4" t="n">
        <v>1</v>
      </c>
      <c r="Q347" s="4" t="n">
        <v>290.7</v>
      </c>
      <c r="R347" s="3" t="inlineStr">
        <is>
          <t>지정되지않음</t>
        </is>
      </c>
      <c r="S347" s="3" t="inlineStr">
        <is>
          <t>주거나지</t>
        </is>
      </c>
      <c r="T347" s="3" t="inlineStr">
        <is>
          <t>평지</t>
        </is>
      </c>
      <c r="U347" s="3" t="inlineStr">
        <is>
          <t>세로장방</t>
        </is>
      </c>
      <c r="V347" s="3" t="inlineStr">
        <is>
          <t>소로한면</t>
        </is>
      </c>
    </row>
    <row r="348">
      <c r="A348" s="3" t="inlineStr">
        <is>
          <t>고운동 894-37</t>
        </is>
      </c>
      <c r="B348" s="3" t="inlineStr">
        <is>
          <t>제1종전용주거지역</t>
        </is>
      </c>
      <c r="C348" s="3" t="inlineStr">
        <is>
          <t>대</t>
        </is>
      </c>
      <c r="D348" s="3" t="inlineStr">
        <is>
          <t>대</t>
        </is>
      </c>
      <c r="E348" s="3" t="inlineStr">
        <is>
          <t>매매</t>
        </is>
      </c>
      <c r="F348" s="4" t="n">
        <v>66000</v>
      </c>
      <c r="G348" s="4" t="n">
        <v>290</v>
      </c>
      <c r="H348" s="4" t="n">
        <v>88</v>
      </c>
      <c r="I348" s="5" t="n">
        <v>750</v>
      </c>
      <c r="J348" s="5" t="n">
        <v>319.6</v>
      </c>
      <c r="K348" s="3" t="inlineStr">
        <is>
          <t>고운동 코지빌 입구쪽 코너 타운하우스 택지</t>
        </is>
      </c>
      <c r="L348" s="6">
        <f>HYPERLINK("https://fin.land.naver.com/articles/2650894171", "매물Link")</f>
        <v/>
      </c>
      <c r="M348" s="6">
        <f>HYPERLINK("https://map.naver.com/p/search/고운동 894-37", "지도Link")</f>
        <v/>
      </c>
      <c r="N348" s="6">
        <f>HYPERLINK("http://www.eum.go.kr/web/ar/lu/luLandDet.jsp?pnu=3611011200108940037&amp;isNoScr=script&amp;mode=search", "토지이음")</f>
        <v/>
      </c>
      <c r="O348" s="3" t="inlineStr">
        <is>
          <t>세종무지개</t>
        </is>
      </c>
      <c r="P348" s="4" t="n">
        <v>1</v>
      </c>
      <c r="Q348" s="4" t="n">
        <v>290.7</v>
      </c>
      <c r="R348" s="3" t="inlineStr">
        <is>
          <t>지정되지않음</t>
        </is>
      </c>
      <c r="S348" s="3" t="inlineStr">
        <is>
          <t>주거나지</t>
        </is>
      </c>
      <c r="T348" s="3" t="inlineStr">
        <is>
          <t>평지</t>
        </is>
      </c>
      <c r="U348" s="3" t="inlineStr">
        <is>
          <t>세로장방</t>
        </is>
      </c>
      <c r="V348" s="3" t="inlineStr">
        <is>
          <t>소로한면</t>
        </is>
      </c>
    </row>
    <row r="349">
      <c r="A349" s="3" t="inlineStr">
        <is>
          <t>고운동 894-42</t>
        </is>
      </c>
      <c r="B349" s="3" t="inlineStr">
        <is>
          <t>제1종전용주거지역</t>
        </is>
      </c>
      <c r="C349" s="3" t="inlineStr">
        <is>
          <t>대</t>
        </is>
      </c>
      <c r="D349" s="3" t="inlineStr">
        <is>
          <t>대</t>
        </is>
      </c>
      <c r="E349" s="3" t="inlineStr">
        <is>
          <t>매매</t>
        </is>
      </c>
      <c r="F349" s="4" t="n">
        <v>42000</v>
      </c>
      <c r="G349" s="4" t="n">
        <v>463</v>
      </c>
      <c r="H349" s="4" t="n">
        <v>140</v>
      </c>
      <c r="I349" s="5" t="n">
        <v>300</v>
      </c>
      <c r="J349" s="5" t="n">
        <v>319.6</v>
      </c>
      <c r="K349" s="3" t="inlineStr">
        <is>
          <t>고운동 세종코지빌 타운하우스  투자하기 좋은</t>
        </is>
      </c>
      <c r="L349" s="6">
        <f>HYPERLINK("https://fin.land.naver.com/articles/2649937236", "매물Link")</f>
        <v/>
      </c>
      <c r="M349" s="6">
        <f>HYPERLINK("https://map.naver.com/p/search/고운동 894-42", "지도Link")</f>
        <v/>
      </c>
      <c r="N349" s="6">
        <f>HYPERLINK("http://www.eum.go.kr/web/ar/lu/luLandDet.jsp?pnu=3611011200108940042&amp;isNoScr=script&amp;mode=search", "토지이음")</f>
        <v/>
      </c>
      <c r="O349" s="3" t="inlineStr">
        <is>
          <t>은성</t>
        </is>
      </c>
      <c r="P349" s="4" t="n">
        <v>1</v>
      </c>
      <c r="Q349" s="4" t="n">
        <v>463.1</v>
      </c>
      <c r="R349" s="3" t="inlineStr">
        <is>
          <t>지정되지않음</t>
        </is>
      </c>
      <c r="S349" s="3" t="inlineStr">
        <is>
          <t>주거나지</t>
        </is>
      </c>
      <c r="T349" s="3" t="inlineStr">
        <is>
          <t>평지</t>
        </is>
      </c>
      <c r="U349" s="3" t="inlineStr">
        <is>
          <t>가로장방</t>
        </is>
      </c>
      <c r="V349" s="3" t="inlineStr">
        <is>
          <t>소로한면</t>
        </is>
      </c>
    </row>
    <row r="350">
      <c r="A350" s="3" t="inlineStr">
        <is>
          <t>고운동 894-42</t>
        </is>
      </c>
      <c r="B350" s="3" t="inlineStr">
        <is>
          <t>제1종전용주거지역</t>
        </is>
      </c>
      <c r="C350" s="3" t="inlineStr">
        <is>
          <t>대</t>
        </is>
      </c>
      <c r="D350" s="3" t="inlineStr">
        <is>
          <t>대</t>
        </is>
      </c>
      <c r="E350" s="3" t="inlineStr">
        <is>
          <t>매매</t>
        </is>
      </c>
      <c r="F350" s="4" t="n">
        <v>42000</v>
      </c>
      <c r="G350" s="4" t="n">
        <v>463</v>
      </c>
      <c r="H350" s="4" t="n">
        <v>140</v>
      </c>
      <c r="I350" s="5" t="n">
        <v>300</v>
      </c>
      <c r="J350" s="5" t="n">
        <v>319.6</v>
      </c>
      <c r="K350" s="3" t="inlineStr">
        <is>
          <t>고운동타운하스토지매매 가격조정가능</t>
        </is>
      </c>
      <c r="L350" s="6">
        <f>HYPERLINK("https://fin.land.naver.com/articles/2650003835", "매물Link")</f>
        <v/>
      </c>
      <c r="M350" s="6">
        <f>HYPERLINK("https://map.naver.com/p/search/고운동 894-42", "지도Link")</f>
        <v/>
      </c>
      <c r="N350" s="6">
        <f>HYPERLINK("http://www.eum.go.kr/web/ar/lu/luLandDet.jsp?pnu=3611011200108940042&amp;isNoScr=script&amp;mode=search", "토지이음")</f>
        <v/>
      </c>
      <c r="O350" s="3" t="inlineStr">
        <is>
          <t>고운동리치세종</t>
        </is>
      </c>
      <c r="P350" s="4" t="n">
        <v>2</v>
      </c>
      <c r="Q350" s="4" t="n">
        <v>463.1</v>
      </c>
      <c r="R350" s="3" t="inlineStr">
        <is>
          <t>지정되지않음</t>
        </is>
      </c>
      <c r="S350" s="3" t="inlineStr">
        <is>
          <t>주거나지</t>
        </is>
      </c>
      <c r="T350" s="3" t="inlineStr">
        <is>
          <t>평지</t>
        </is>
      </c>
      <c r="U350" s="3" t="inlineStr">
        <is>
          <t>가로장방</t>
        </is>
      </c>
      <c r="V350" s="3" t="inlineStr">
        <is>
          <t>소로한면</t>
        </is>
      </c>
    </row>
    <row r="351">
      <c r="A351" s="3" t="inlineStr">
        <is>
          <t>고운동 904</t>
        </is>
      </c>
      <c r="B351" s="3" t="inlineStr">
        <is>
          <t>제1종전용주거지역</t>
        </is>
      </c>
      <c r="C351" s="3" t="inlineStr">
        <is>
          <t>대</t>
        </is>
      </c>
      <c r="D351" s="3" t="inlineStr">
        <is>
          <t>대</t>
        </is>
      </c>
      <c r="E351" s="3" t="inlineStr">
        <is>
          <t>매매</t>
        </is>
      </c>
      <c r="F351" s="4" t="n">
        <v>62000</v>
      </c>
      <c r="G351" s="4" t="n">
        <v>344</v>
      </c>
      <c r="H351" s="4" t="n">
        <v>104</v>
      </c>
      <c r="I351" s="5" t="n">
        <v>596.2</v>
      </c>
      <c r="J351" s="5" t="n">
        <v>354.4</v>
      </c>
      <c r="K351" s="3" t="inlineStr">
        <is>
          <t>완충녹지 접한 3면코너각지</t>
        </is>
      </c>
      <c r="L351" s="6">
        <f>HYPERLINK("https://fin.land.naver.com/articles/2652418819", "매물Link")</f>
        <v/>
      </c>
      <c r="M351" s="6">
        <f>HYPERLINK("https://map.naver.com/p/search/고운동 904", "지도Link")</f>
        <v/>
      </c>
      <c r="N351" s="6">
        <f>HYPERLINK("http://www.eum.go.kr/web/ar/lu/luLandDet.jsp?pnu=3611011200109040000&amp;isNoScr=script&amp;mode=search", "토지이음")</f>
        <v/>
      </c>
      <c r="O351" s="3" t="inlineStr">
        <is>
          <t>세종스타</t>
        </is>
      </c>
      <c r="P351" s="4" t="n">
        <v>1</v>
      </c>
      <c r="Q351" s="4" t="n">
        <v>344.9</v>
      </c>
      <c r="R351" s="3" t="inlineStr">
        <is>
          <t>지정되지않음</t>
        </is>
      </c>
      <c r="S351" s="3" t="inlineStr">
        <is>
          <t>주거나지</t>
        </is>
      </c>
      <c r="T351" s="3" t="inlineStr">
        <is>
          <t>평지</t>
        </is>
      </c>
      <c r="U351" s="3" t="inlineStr">
        <is>
          <t>정방형</t>
        </is>
      </c>
      <c r="V351" s="3" t="inlineStr">
        <is>
          <t>중로각지</t>
        </is>
      </c>
    </row>
    <row r="352">
      <c r="A352" s="3" t="inlineStr">
        <is>
          <t>고운동 916</t>
        </is>
      </c>
      <c r="B352" s="3" t="inlineStr">
        <is>
          <t>제1종전용주거지역</t>
        </is>
      </c>
      <c r="C352" s="3" t="inlineStr">
        <is>
          <t>대</t>
        </is>
      </c>
      <c r="D352" s="3" t="inlineStr">
        <is>
          <t>대</t>
        </is>
      </c>
      <c r="E352" s="3" t="inlineStr">
        <is>
          <t>매매</t>
        </is>
      </c>
      <c r="F352" s="4" t="n">
        <v>52000</v>
      </c>
      <c r="G352" s="4" t="n">
        <v>344</v>
      </c>
      <c r="H352" s="4" t="n">
        <v>104</v>
      </c>
      <c r="I352" s="5" t="n">
        <v>500</v>
      </c>
      <c r="J352" s="5" t="n">
        <v>315.1</v>
      </c>
      <c r="K352" s="3" t="inlineStr">
        <is>
          <t>아파트 단지 바로 옆, 생활 인프라 좋은 토지매매</t>
        </is>
      </c>
      <c r="L352" s="6">
        <f>HYPERLINK("https://fin.land.naver.com/articles/2653683220", "매물Link")</f>
        <v/>
      </c>
      <c r="M352" s="6">
        <f>HYPERLINK("https://map.naver.com/p/search/고운동 916", "지도Link")</f>
        <v/>
      </c>
      <c r="N352" s="6">
        <f>HYPERLINK("http://www.eum.go.kr/web/ar/lu/luLandDet.jsp?pnu=3611011200109160000&amp;isNoScr=script&amp;mode=search", "토지이음")</f>
        <v/>
      </c>
      <c r="O352" s="3" t="inlineStr">
        <is>
          <t>명진</t>
        </is>
      </c>
      <c r="P352" s="4" t="n">
        <v>1</v>
      </c>
      <c r="Q352" s="4" t="n">
        <v>344.7</v>
      </c>
      <c r="R352" s="3" t="inlineStr">
        <is>
          <t>지정되지않음</t>
        </is>
      </c>
      <c r="S352" s="3" t="inlineStr">
        <is>
          <t>주거나지</t>
        </is>
      </c>
      <c r="T352" s="3" t="inlineStr">
        <is>
          <t>평지</t>
        </is>
      </c>
      <c r="U352" s="3" t="inlineStr">
        <is>
          <t>세로장방</t>
        </is>
      </c>
      <c r="V352" s="3" t="inlineStr">
        <is>
          <t>소로한면</t>
        </is>
      </c>
    </row>
    <row r="353">
      <c r="A353" s="3" t="inlineStr">
        <is>
          <t>고운동 916</t>
        </is>
      </c>
      <c r="B353" s="3" t="inlineStr">
        <is>
          <t>제1종전용주거지역</t>
        </is>
      </c>
      <c r="C353" s="3" t="inlineStr">
        <is>
          <t>대</t>
        </is>
      </c>
      <c r="D353" s="3" t="inlineStr">
        <is>
          <t>대</t>
        </is>
      </c>
      <c r="E353" s="3" t="inlineStr">
        <is>
          <t>매매</t>
        </is>
      </c>
      <c r="F353" s="4" t="n">
        <v>52000</v>
      </c>
      <c r="G353" s="4" t="n">
        <v>344</v>
      </c>
      <c r="H353" s="4" t="n">
        <v>104</v>
      </c>
      <c r="I353" s="5" t="n">
        <v>500</v>
      </c>
      <c r="J353" s="5" t="n">
        <v>315.1</v>
      </c>
      <c r="K353" s="3" t="inlineStr">
        <is>
          <t>고운동 인프라 활용편한 단독주택지, 입지 좋은 토지</t>
        </is>
      </c>
      <c r="L353" s="6">
        <f>HYPERLINK("https://fin.land.naver.com/articles/2653568386", "매물Link")</f>
        <v/>
      </c>
      <c r="M353" s="6">
        <f>HYPERLINK("https://map.naver.com/p/search/고운동 916", "지도Link")</f>
        <v/>
      </c>
      <c r="N353" s="6">
        <f>HYPERLINK("http://www.eum.go.kr/web/ar/lu/luLandDet.jsp?pnu=3611011200109160000&amp;isNoScr=script&amp;mode=search", "토지이음")</f>
        <v/>
      </c>
      <c r="O353" s="3" t="inlineStr">
        <is>
          <t>세종무지개</t>
        </is>
      </c>
      <c r="P353" s="4" t="n">
        <v>1</v>
      </c>
      <c r="Q353" s="4" t="n">
        <v>344.7</v>
      </c>
      <c r="R353" s="3" t="inlineStr">
        <is>
          <t>지정되지않음</t>
        </is>
      </c>
      <c r="S353" s="3" t="inlineStr">
        <is>
          <t>주거나지</t>
        </is>
      </c>
      <c r="T353" s="3" t="inlineStr">
        <is>
          <t>평지</t>
        </is>
      </c>
      <c r="U353" s="3" t="inlineStr">
        <is>
          <t>세로장방</t>
        </is>
      </c>
      <c r="V353" s="3" t="inlineStr">
        <is>
          <t>소로한면</t>
        </is>
      </c>
    </row>
    <row r="354">
      <c r="A354" s="3" t="inlineStr">
        <is>
          <t>고운동 916</t>
        </is>
      </c>
      <c r="B354" s="3" t="inlineStr">
        <is>
          <t>제1종전용주거지역</t>
        </is>
      </c>
      <c r="C354" s="3" t="inlineStr">
        <is>
          <t>대</t>
        </is>
      </c>
      <c r="D354" s="3" t="inlineStr">
        <is>
          <t>대</t>
        </is>
      </c>
      <c r="E354" s="3" t="inlineStr">
        <is>
          <t>매매</t>
        </is>
      </c>
      <c r="F354" s="4" t="n">
        <v>52000</v>
      </c>
      <c r="G354" s="4" t="n">
        <v>344</v>
      </c>
      <c r="H354" s="4" t="n">
        <v>104</v>
      </c>
      <c r="I354" s="5" t="n">
        <v>500</v>
      </c>
      <c r="J354" s="5" t="n">
        <v>315.1</v>
      </c>
      <c r="K354" s="3" t="inlineStr">
        <is>
          <t>급매,넓은평수,복합커뮤니티센터,항아리중심상권 생활권 편리</t>
        </is>
      </c>
      <c r="L354" s="6">
        <f>HYPERLINK("https://fin.land.naver.com/articles/2650943280", "매물Link")</f>
        <v/>
      </c>
      <c r="M354" s="6">
        <f>HYPERLINK("https://map.naver.com/p/search/고운동 916", "지도Link")</f>
        <v/>
      </c>
      <c r="N354" s="6">
        <f>HYPERLINK("http://www.eum.go.kr/web/ar/lu/luLandDet.jsp?pnu=3611011200109160000&amp;isNoScr=script&amp;mode=search", "토지이음")</f>
        <v/>
      </c>
      <c r="O354" s="3" t="inlineStr">
        <is>
          <t>고운맘</t>
        </is>
      </c>
      <c r="P354" s="4" t="n">
        <v>1</v>
      </c>
      <c r="Q354" s="4" t="n">
        <v>344.7</v>
      </c>
      <c r="R354" s="3" t="inlineStr">
        <is>
          <t>지정되지않음</t>
        </is>
      </c>
      <c r="S354" s="3" t="inlineStr">
        <is>
          <t>주거나지</t>
        </is>
      </c>
      <c r="T354" s="3" t="inlineStr">
        <is>
          <t>평지</t>
        </is>
      </c>
      <c r="U354" s="3" t="inlineStr">
        <is>
          <t>세로장방</t>
        </is>
      </c>
      <c r="V354" s="3" t="inlineStr">
        <is>
          <t>소로한면</t>
        </is>
      </c>
    </row>
    <row r="355">
      <c r="A355" s="3" t="inlineStr">
        <is>
          <t>고운동 917</t>
        </is>
      </c>
      <c r="B355" s="3" t="inlineStr">
        <is>
          <t>제1종전용주거지역</t>
        </is>
      </c>
      <c r="C355" s="3" t="inlineStr">
        <is>
          <t>대</t>
        </is>
      </c>
      <c r="D355" s="3" t="inlineStr">
        <is>
          <t>대</t>
        </is>
      </c>
      <c r="E355" s="3" t="inlineStr">
        <is>
          <t>매매</t>
        </is>
      </c>
      <c r="F355" s="4" t="n">
        <v>59000</v>
      </c>
      <c r="G355" s="4" t="n">
        <v>332</v>
      </c>
      <c r="H355" s="4" t="n">
        <v>100</v>
      </c>
      <c r="I355" s="5" t="n">
        <v>590</v>
      </c>
      <c r="J355" s="5" t="n">
        <v>328.2</v>
      </c>
      <c r="K355" s="3" t="inlineStr">
        <is>
          <t>삼거리 코너각지, 아파트단지 주변으로 생활 인프라 훌륭함</t>
        </is>
      </c>
      <c r="L355" s="6">
        <f>HYPERLINK("https://fin.land.naver.com/articles/2650428855", "매물Link")</f>
        <v/>
      </c>
      <c r="M355" s="6">
        <f>HYPERLINK("https://map.naver.com/p/search/고운동 917", "지도Link")</f>
        <v/>
      </c>
      <c r="N355" s="6">
        <f>HYPERLINK("http://www.eum.go.kr/web/ar/lu/luLandDet.jsp?pnu=3611011200109170000&amp;isNoScr=script&amp;mode=search", "토지이음")</f>
        <v/>
      </c>
      <c r="O355" s="3" t="inlineStr">
        <is>
          <t>세종무지개</t>
        </is>
      </c>
      <c r="P355" s="4" t="n">
        <v>1</v>
      </c>
      <c r="Q355" s="4" t="n">
        <v>332.7</v>
      </c>
      <c r="R355" s="3" t="inlineStr">
        <is>
          <t>지정되지않음</t>
        </is>
      </c>
      <c r="S355" s="3" t="inlineStr">
        <is>
          <t>주거나지</t>
        </is>
      </c>
      <c r="T355" s="3" t="inlineStr">
        <is>
          <t>평지</t>
        </is>
      </c>
      <c r="U355" s="3" t="inlineStr">
        <is>
          <t>세로장방</t>
        </is>
      </c>
      <c r="V355" s="3" t="inlineStr">
        <is>
          <t>소로각지</t>
        </is>
      </c>
    </row>
    <row r="356">
      <c r="A356" s="3" t="inlineStr">
        <is>
          <t>고운동 927</t>
        </is>
      </c>
      <c r="B356" s="3" t="inlineStr">
        <is>
          <t>제1종전용주거지역</t>
        </is>
      </c>
      <c r="C356" s="3" t="inlineStr">
        <is>
          <t>대</t>
        </is>
      </c>
      <c r="D356" s="3" t="inlineStr">
        <is>
          <t>대</t>
        </is>
      </c>
      <c r="E356" s="3" t="inlineStr">
        <is>
          <t>매매</t>
        </is>
      </c>
      <c r="F356" s="4" t="n">
        <v>79000</v>
      </c>
      <c r="G356" s="4" t="n">
        <v>345</v>
      </c>
      <c r="H356" s="4" t="n">
        <v>104</v>
      </c>
      <c r="I356" s="5" t="n">
        <v>759.6</v>
      </c>
      <c r="J356" s="5" t="n">
        <v>328.2</v>
      </c>
      <c r="K356" s="3" t="inlineStr">
        <is>
          <t>nan</t>
        </is>
      </c>
      <c r="L356" s="6">
        <f>HYPERLINK("https://fin.land.naver.com/articles/2651026477", "매물Link")</f>
        <v/>
      </c>
      <c r="M356" s="6">
        <f>HYPERLINK("https://map.naver.com/p/search/고운동 927", "지도Link")</f>
        <v/>
      </c>
      <c r="N356" s="6">
        <f>HYPERLINK("http://www.eum.go.kr/web/ar/lu/luLandDet.jsp?pnu=3611011200109270000&amp;isNoScr=script&amp;mode=search", "토지이음")</f>
        <v/>
      </c>
      <c r="O356" s="3" t="inlineStr">
        <is>
          <t>디아트성심</t>
        </is>
      </c>
      <c r="P356" s="4" t="n">
        <v>1</v>
      </c>
      <c r="Q356" s="4" t="n">
        <v>344.9</v>
      </c>
      <c r="R356" s="3" t="inlineStr">
        <is>
          <t>지정되지않음</t>
        </is>
      </c>
      <c r="S356" s="3" t="inlineStr">
        <is>
          <t>주거나지</t>
        </is>
      </c>
      <c r="T356" s="3" t="inlineStr">
        <is>
          <t>평지</t>
        </is>
      </c>
      <c r="U356" s="3" t="inlineStr">
        <is>
          <t>세로장방</t>
        </is>
      </c>
      <c r="V356" s="3" t="inlineStr">
        <is>
          <t>소로각지</t>
        </is>
      </c>
    </row>
    <row r="357">
      <c r="A357" s="3" t="inlineStr">
        <is>
          <t>고운동 935</t>
        </is>
      </c>
      <c r="B357" s="3" t="inlineStr">
        <is>
          <t>제1종전용주거지역</t>
        </is>
      </c>
      <c r="C357" s="3" t="inlineStr">
        <is>
          <t>대</t>
        </is>
      </c>
      <c r="D357" s="3" t="inlineStr">
        <is>
          <t>대</t>
        </is>
      </c>
      <c r="E357" s="3" t="inlineStr">
        <is>
          <t>매매</t>
        </is>
      </c>
      <c r="F357" s="4" t="n">
        <v>69000</v>
      </c>
      <c r="G357" s="4" t="n">
        <v>360</v>
      </c>
      <c r="H357" s="4" t="n">
        <v>109</v>
      </c>
      <c r="I357" s="5" t="n">
        <v>633</v>
      </c>
      <c r="J357" s="5" t="n">
        <v>315.1</v>
      </c>
      <c r="K357" s="3" t="inlineStr">
        <is>
          <t>명성공인, 고운동 18단지 옆 단독주택부지, 벙커주차장가능 추천 매물</t>
        </is>
      </c>
      <c r="L357" s="6">
        <f>HYPERLINK("https://fin.land.naver.com/articles/2654058087", "매물Link")</f>
        <v/>
      </c>
      <c r="M357" s="6">
        <f>HYPERLINK("https://map.naver.com/p/search/고운동 935", "지도Link")</f>
        <v/>
      </c>
      <c r="N357" s="6">
        <f>HYPERLINK("http://www.eum.go.kr/web/ar/lu/luLandDet.jsp?pnu=3611011200109350000&amp;isNoScr=script&amp;mode=search", "토지이음")</f>
        <v/>
      </c>
      <c r="O357" s="3" t="inlineStr">
        <is>
          <t>명성</t>
        </is>
      </c>
      <c r="P357" s="4" t="n">
        <v>4</v>
      </c>
      <c r="Q357" s="4" t="n">
        <v>360.1</v>
      </c>
      <c r="R357" s="3" t="inlineStr">
        <is>
          <t>지정되지않음</t>
        </is>
      </c>
      <c r="S357" s="3" t="inlineStr">
        <is>
          <t>주거나지</t>
        </is>
      </c>
      <c r="T357" s="3" t="inlineStr">
        <is>
          <t>평지</t>
        </is>
      </c>
      <c r="U357" s="3" t="inlineStr">
        <is>
          <t>세로장방</t>
        </is>
      </c>
      <c r="V357" s="3" t="inlineStr">
        <is>
          <t>소로한면</t>
        </is>
      </c>
    </row>
    <row r="358">
      <c r="A358" s="3" t="inlineStr">
        <is>
          <t>고운동 935</t>
        </is>
      </c>
      <c r="B358" s="3" t="inlineStr">
        <is>
          <t>제1종전용주거지역</t>
        </is>
      </c>
      <c r="C358" s="3" t="inlineStr">
        <is>
          <t>대</t>
        </is>
      </c>
      <c r="D358" s="3" t="inlineStr">
        <is>
          <t>대</t>
        </is>
      </c>
      <c r="E358" s="3" t="inlineStr">
        <is>
          <t>매매</t>
        </is>
      </c>
      <c r="F358" s="4" t="n">
        <v>69000</v>
      </c>
      <c r="G358" s="4" t="n">
        <v>360</v>
      </c>
      <c r="H358" s="4" t="n">
        <v>109</v>
      </c>
      <c r="I358" s="5" t="n">
        <v>633</v>
      </c>
      <c r="J358" s="5" t="n">
        <v>315.1</v>
      </c>
      <c r="K358" s="3" t="inlineStr">
        <is>
          <t>도로에서단차가있는토지로벙커주차장가능한귀한땅,측량완료,상가,학교가까움</t>
        </is>
      </c>
      <c r="L358" s="6">
        <f>HYPERLINK("https://fin.land.naver.com/articles/2654061300", "매물Link")</f>
        <v/>
      </c>
      <c r="M358" s="6">
        <f>HYPERLINK("https://map.naver.com/p/search/고운동 935", "지도Link")</f>
        <v/>
      </c>
      <c r="N358" s="6">
        <f>HYPERLINK("http://www.eum.go.kr/web/ar/lu/luLandDet.jsp?pnu=3611011200109350000&amp;isNoScr=script&amp;mode=search", "토지이음")</f>
        <v/>
      </c>
      <c r="O358" s="3" t="inlineStr">
        <is>
          <t>김하나</t>
        </is>
      </c>
      <c r="P358" s="4" t="n">
        <v>1</v>
      </c>
      <c r="Q358" s="4" t="n">
        <v>360.1</v>
      </c>
      <c r="R358" s="3" t="inlineStr">
        <is>
          <t>지정되지않음</t>
        </is>
      </c>
      <c r="S358" s="3" t="inlineStr">
        <is>
          <t>주거나지</t>
        </is>
      </c>
      <c r="T358" s="3" t="inlineStr">
        <is>
          <t>평지</t>
        </is>
      </c>
      <c r="U358" s="3" t="inlineStr">
        <is>
          <t>세로장방</t>
        </is>
      </c>
      <c r="V358" s="3" t="inlineStr">
        <is>
          <t>소로한면</t>
        </is>
      </c>
    </row>
    <row r="359">
      <c r="A359" s="3" t="inlineStr">
        <is>
          <t>고운동 935</t>
        </is>
      </c>
      <c r="B359" s="3" t="inlineStr">
        <is>
          <t>제1종전용주거지역</t>
        </is>
      </c>
      <c r="C359" s="3" t="inlineStr">
        <is>
          <t>대</t>
        </is>
      </c>
      <c r="D359" s="3" t="inlineStr">
        <is>
          <t>대</t>
        </is>
      </c>
      <c r="E359" s="3" t="inlineStr">
        <is>
          <t>매매</t>
        </is>
      </c>
      <c r="F359" s="4" t="n">
        <v>69000</v>
      </c>
      <c r="G359" s="4" t="n">
        <v>360</v>
      </c>
      <c r="H359" s="4" t="n">
        <v>109</v>
      </c>
      <c r="I359" s="5" t="n">
        <v>633</v>
      </c>
      <c r="J359" s="5" t="n">
        <v>315.1</v>
      </c>
      <c r="K359" s="3" t="inlineStr">
        <is>
          <t>학교 상가 대중교통이용편리,지하벙커주차장가능,측량완료</t>
        </is>
      </c>
      <c r="L359" s="6">
        <f>HYPERLINK("https://fin.land.naver.com/articles/2650885657", "매물Link")</f>
        <v/>
      </c>
      <c r="M359" s="6">
        <f>HYPERLINK("https://map.naver.com/p/search/고운동 935", "지도Link")</f>
        <v/>
      </c>
      <c r="N359" s="6">
        <f>HYPERLINK("http://www.eum.go.kr/web/ar/lu/luLandDet.jsp?pnu=3611011200109350000&amp;isNoScr=script&amp;mode=search", "토지이음")</f>
        <v/>
      </c>
      <c r="O359" s="3" t="inlineStr">
        <is>
          <t>세종제일</t>
        </is>
      </c>
      <c r="P359" s="4" t="n">
        <v>1</v>
      </c>
      <c r="Q359" s="4" t="n">
        <v>360.1</v>
      </c>
      <c r="R359" s="3" t="inlineStr">
        <is>
          <t>지정되지않음</t>
        </is>
      </c>
      <c r="S359" s="3" t="inlineStr">
        <is>
          <t>주거나지</t>
        </is>
      </c>
      <c r="T359" s="3" t="inlineStr">
        <is>
          <t>평지</t>
        </is>
      </c>
      <c r="U359" s="3" t="inlineStr">
        <is>
          <t>세로장방</t>
        </is>
      </c>
      <c r="V359" s="3" t="inlineStr">
        <is>
          <t>소로한면</t>
        </is>
      </c>
    </row>
    <row r="360">
      <c r="A360" s="3" t="inlineStr">
        <is>
          <t>고운동 951</t>
        </is>
      </c>
      <c r="B360" s="3" t="inlineStr">
        <is>
          <t>제1종전용주거지역</t>
        </is>
      </c>
      <c r="C360" s="3" t="inlineStr">
        <is>
          <t>대</t>
        </is>
      </c>
      <c r="D360" s="3" t="inlineStr">
        <is>
          <t>대</t>
        </is>
      </c>
      <c r="E360" s="3" t="inlineStr">
        <is>
          <t>매매</t>
        </is>
      </c>
      <c r="F360" s="4" t="n">
        <v>60000</v>
      </c>
      <c r="G360" s="4" t="n">
        <v>364</v>
      </c>
      <c r="H360" s="4" t="n">
        <v>110</v>
      </c>
      <c r="I360" s="5" t="n">
        <v>545.5</v>
      </c>
      <c r="J360" s="5" t="n">
        <v>358.7</v>
      </c>
      <c r="K360" s="3" t="inlineStr">
        <is>
          <t>접근성 좋은 위치, 고운동 북측 상권 이용 편리, 초중고 도보이용</t>
        </is>
      </c>
      <c r="L360" s="6">
        <f>HYPERLINK("https://fin.land.naver.com/articles/2653917538", "매물Link")</f>
        <v/>
      </c>
      <c r="M360" s="6">
        <f>HYPERLINK("https://map.naver.com/p/search/고운동 951", "지도Link")</f>
        <v/>
      </c>
      <c r="N360" s="6">
        <f>HYPERLINK("http://www.eum.go.kr/web/ar/lu/luLandDet.jsp?pnu=3611011200109510000&amp;isNoScr=script&amp;mode=search", "토지이음")</f>
        <v/>
      </c>
      <c r="O360" s="3" t="inlineStr">
        <is>
          <t>현대파라곤</t>
        </is>
      </c>
      <c r="P360" s="4" t="n">
        <v>3</v>
      </c>
      <c r="Q360" s="4" t="n">
        <v>364.1</v>
      </c>
      <c r="R360" s="3" t="inlineStr">
        <is>
          <t>지정되지않음</t>
        </is>
      </c>
      <c r="S360" s="3" t="inlineStr">
        <is>
          <t>주거나지</t>
        </is>
      </c>
      <c r="T360" s="3" t="inlineStr">
        <is>
          <t>평지</t>
        </is>
      </c>
      <c r="U360" s="3" t="inlineStr">
        <is>
          <t>정방형</t>
        </is>
      </c>
      <c r="V360" s="3" t="inlineStr">
        <is>
          <t>중로각지</t>
        </is>
      </c>
    </row>
    <row r="361">
      <c r="A361" s="3" t="inlineStr">
        <is>
          <t>고운동 954</t>
        </is>
      </c>
      <c r="B361" s="3" t="inlineStr">
        <is>
          <t>제1종전용주거지역</t>
        </is>
      </c>
      <c r="C361" s="3" t="inlineStr">
        <is>
          <t>대</t>
        </is>
      </c>
      <c r="D361" s="3" t="inlineStr">
        <is>
          <t>대</t>
        </is>
      </c>
      <c r="E361" s="3" t="inlineStr">
        <is>
          <t>매매</t>
        </is>
      </c>
      <c r="F361" s="4" t="n">
        <v>60000</v>
      </c>
      <c r="G361" s="4" t="n">
        <v>367</v>
      </c>
      <c r="H361" s="4" t="n">
        <v>111</v>
      </c>
      <c r="I361" s="5" t="n">
        <v>540.5</v>
      </c>
      <c r="J361" s="5" t="n">
        <v>358.7</v>
      </c>
      <c r="K361" s="3" t="inlineStr">
        <is>
          <t>지대높아 전망좋은 토지</t>
        </is>
      </c>
      <c r="L361" s="6">
        <f>HYPERLINK("https://fin.land.naver.com/articles/2649578017", "매물Link")</f>
        <v/>
      </c>
      <c r="M361" s="6">
        <f>HYPERLINK("https://map.naver.com/p/search/고운동 954", "지도Link")</f>
        <v/>
      </c>
      <c r="N361" s="6">
        <f>HYPERLINK("http://www.eum.go.kr/web/ar/lu/luLandDet.jsp?pnu=3611011200109540000&amp;isNoScr=script&amp;mode=search", "토지이음")</f>
        <v/>
      </c>
      <c r="O361" s="3" t="inlineStr">
        <is>
          <t>킹세종</t>
        </is>
      </c>
      <c r="P361" s="4" t="n">
        <v>1</v>
      </c>
      <c r="Q361" s="4" t="n">
        <v>367.1</v>
      </c>
      <c r="R361" s="3" t="inlineStr">
        <is>
          <t>지정되지않음</t>
        </is>
      </c>
      <c r="S361" s="3" t="inlineStr">
        <is>
          <t>주거나지</t>
        </is>
      </c>
      <c r="T361" s="3" t="inlineStr">
        <is>
          <t>평지</t>
        </is>
      </c>
      <c r="U361" s="3" t="inlineStr">
        <is>
          <t>정방형</t>
        </is>
      </c>
      <c r="V361" s="3" t="inlineStr">
        <is>
          <t>중로각지</t>
        </is>
      </c>
    </row>
    <row r="362">
      <c r="A362" s="3" t="inlineStr">
        <is>
          <t>고운동 954</t>
        </is>
      </c>
      <c r="B362" s="3" t="inlineStr">
        <is>
          <t>제1종전용주거지역</t>
        </is>
      </c>
      <c r="C362" s="3" t="inlineStr">
        <is>
          <t>대</t>
        </is>
      </c>
      <c r="D362" s="3" t="inlineStr">
        <is>
          <t>대</t>
        </is>
      </c>
      <c r="E362" s="3" t="inlineStr">
        <is>
          <t>매매</t>
        </is>
      </c>
      <c r="F362" s="4" t="n">
        <v>60000</v>
      </c>
      <c r="G362" s="4" t="n">
        <v>366</v>
      </c>
      <c r="H362" s="4" t="n">
        <v>111</v>
      </c>
      <c r="I362" s="5" t="n">
        <v>540.5</v>
      </c>
      <c r="J362" s="5" t="n">
        <v>358.7</v>
      </c>
      <c r="K362" s="3" t="inlineStr">
        <is>
          <t>고운동 단독주택지, 최대 조율가능, 입지 좋은 넓은 평형</t>
        </is>
      </c>
      <c r="L362" s="6">
        <f>HYPERLINK("https://fin.land.naver.com/articles/2653682839", "매물Link")</f>
        <v/>
      </c>
      <c r="M362" s="6">
        <f>HYPERLINK("https://map.naver.com/p/search/고운동 954", "지도Link")</f>
        <v/>
      </c>
      <c r="N362" s="6">
        <f>HYPERLINK("http://www.eum.go.kr/web/ar/lu/luLandDet.jsp?pnu=3611011200109540000&amp;isNoScr=script&amp;mode=search", "토지이음")</f>
        <v/>
      </c>
      <c r="O362" s="3" t="inlineStr">
        <is>
          <t>명진</t>
        </is>
      </c>
      <c r="P362" s="4" t="n">
        <v>1</v>
      </c>
      <c r="Q362" s="4" t="n">
        <v>367.1</v>
      </c>
      <c r="R362" s="3" t="inlineStr">
        <is>
          <t>지정되지않음</t>
        </is>
      </c>
      <c r="S362" s="3" t="inlineStr">
        <is>
          <t>주거나지</t>
        </is>
      </c>
      <c r="T362" s="3" t="inlineStr">
        <is>
          <t>평지</t>
        </is>
      </c>
      <c r="U362" s="3" t="inlineStr">
        <is>
          <t>정방형</t>
        </is>
      </c>
      <c r="V362" s="3" t="inlineStr">
        <is>
          <t>중로각지</t>
        </is>
      </c>
    </row>
    <row r="363">
      <c r="A363" s="3" t="inlineStr">
        <is>
          <t>고운동 954</t>
        </is>
      </c>
      <c r="B363" s="3" t="inlineStr">
        <is>
          <t>제1종전용주거지역</t>
        </is>
      </c>
      <c r="C363" s="3" t="inlineStr">
        <is>
          <t>대</t>
        </is>
      </c>
      <c r="D363" s="3" t="inlineStr">
        <is>
          <t>대</t>
        </is>
      </c>
      <c r="E363" s="3" t="inlineStr">
        <is>
          <t>매매</t>
        </is>
      </c>
      <c r="F363" s="4" t="n">
        <v>60000</v>
      </c>
      <c r="G363" s="4" t="n">
        <v>367</v>
      </c>
      <c r="H363" s="4" t="n">
        <v>111</v>
      </c>
      <c r="I363" s="5" t="n">
        <v>540.5</v>
      </c>
      <c r="J363" s="5" t="n">
        <v>358.7</v>
      </c>
      <c r="K363" s="3" t="inlineStr">
        <is>
          <t>111.2p, 최대 조율가능한 대형평형 토지매매</t>
        </is>
      </c>
      <c r="L363" s="6">
        <f>HYPERLINK("https://fin.land.naver.com/articles/2649610616", "매물Link")</f>
        <v/>
      </c>
      <c r="M363" s="6">
        <f>HYPERLINK("https://map.naver.com/p/search/고운동 954", "지도Link")</f>
        <v/>
      </c>
      <c r="N363" s="6">
        <f>HYPERLINK("http://www.eum.go.kr/web/ar/lu/luLandDet.jsp?pnu=3611011200109540000&amp;isNoScr=script&amp;mode=search", "토지이음")</f>
        <v/>
      </c>
      <c r="O363" s="3" t="inlineStr">
        <is>
          <t>세종무지개</t>
        </is>
      </c>
      <c r="P363" s="4" t="n">
        <v>1</v>
      </c>
      <c r="Q363" s="4" t="n">
        <v>367.1</v>
      </c>
      <c r="R363" s="3" t="inlineStr">
        <is>
          <t>지정되지않음</t>
        </is>
      </c>
      <c r="S363" s="3" t="inlineStr">
        <is>
          <t>주거나지</t>
        </is>
      </c>
      <c r="T363" s="3" t="inlineStr">
        <is>
          <t>평지</t>
        </is>
      </c>
      <c r="U363" s="3" t="inlineStr">
        <is>
          <t>정방형</t>
        </is>
      </c>
      <c r="V363" s="3" t="inlineStr">
        <is>
          <t>중로각지</t>
        </is>
      </c>
    </row>
    <row r="364">
      <c r="A364" s="3" t="inlineStr">
        <is>
          <t>고운동 954</t>
        </is>
      </c>
      <c r="B364" s="3" t="inlineStr">
        <is>
          <t>제1종전용주거지역</t>
        </is>
      </c>
      <c r="C364" s="3" t="inlineStr">
        <is>
          <t>대</t>
        </is>
      </c>
      <c r="D364" s="3" t="inlineStr">
        <is>
          <t>대</t>
        </is>
      </c>
      <c r="E364" s="3" t="inlineStr">
        <is>
          <t>매매</t>
        </is>
      </c>
      <c r="F364" s="4" t="n">
        <v>60000</v>
      </c>
      <c r="G364" s="4" t="n">
        <v>367</v>
      </c>
      <c r="H364" s="4" t="n">
        <v>111</v>
      </c>
      <c r="I364" s="5" t="n">
        <v>540.5</v>
      </c>
      <c r="J364" s="5" t="n">
        <v>358.7</v>
      </c>
      <c r="K364" s="3" t="inlineStr">
        <is>
          <t>급매,넓은평수,복합커뮤니티센터,항아리중심상권 생활권 편리</t>
        </is>
      </c>
      <c r="L364" s="6">
        <f>HYPERLINK("https://fin.land.naver.com/articles/2650851671", "매물Link")</f>
        <v/>
      </c>
      <c r="M364" s="6">
        <f>HYPERLINK("https://map.naver.com/p/search/고운동 954", "지도Link")</f>
        <v/>
      </c>
      <c r="N364" s="6">
        <f>HYPERLINK("http://www.eum.go.kr/web/ar/lu/luLandDet.jsp?pnu=3611011200109540000&amp;isNoScr=script&amp;mode=search", "토지이음")</f>
        <v/>
      </c>
      <c r="O364" s="3" t="inlineStr">
        <is>
          <t>고운맘</t>
        </is>
      </c>
      <c r="P364" s="4" t="n">
        <v>1</v>
      </c>
      <c r="Q364" s="4" t="n">
        <v>367.1</v>
      </c>
      <c r="R364" s="3" t="inlineStr">
        <is>
          <t>지정되지않음</t>
        </is>
      </c>
      <c r="S364" s="3" t="inlineStr">
        <is>
          <t>주거나지</t>
        </is>
      </c>
      <c r="T364" s="3" t="inlineStr">
        <is>
          <t>평지</t>
        </is>
      </c>
      <c r="U364" s="3" t="inlineStr">
        <is>
          <t>정방형</t>
        </is>
      </c>
      <c r="V364" s="3" t="inlineStr">
        <is>
          <t>중로각지</t>
        </is>
      </c>
    </row>
    <row r="365">
      <c r="A365" s="3" t="inlineStr">
        <is>
          <t>고운동 969</t>
        </is>
      </c>
      <c r="B365" s="3" t="inlineStr">
        <is>
          <t>제1종전용주거지역</t>
        </is>
      </c>
      <c r="C365" s="3" t="inlineStr">
        <is>
          <t>대</t>
        </is>
      </c>
      <c r="D365" s="3" t="inlineStr">
        <is>
          <t>대</t>
        </is>
      </c>
      <c r="E365" s="3" t="inlineStr">
        <is>
          <t>매매</t>
        </is>
      </c>
      <c r="F365" s="4" t="n">
        <v>62000</v>
      </c>
      <c r="G365" s="4" t="n">
        <v>345</v>
      </c>
      <c r="H365" s="4" t="n">
        <v>104</v>
      </c>
      <c r="I365" s="5" t="n">
        <v>596.2</v>
      </c>
      <c r="J365" s="5" t="n">
        <v>329.9</v>
      </c>
      <c r="K365" s="3" t="inlineStr">
        <is>
          <t>입지 좋은 고운동 토지매매, 코너 각지 위치</t>
        </is>
      </c>
      <c r="L365" s="6">
        <f>HYPERLINK("https://fin.land.naver.com/articles/2651905795", "매물Link")</f>
        <v/>
      </c>
      <c r="M365" s="6">
        <f>HYPERLINK("https://map.naver.com/p/search/고운동 969", "지도Link")</f>
        <v/>
      </c>
      <c r="N365" s="6">
        <f>HYPERLINK("http://www.eum.go.kr/web/ar/lu/luLandDet.jsp?pnu=3611011200109690000&amp;isNoScr=script&amp;mode=search", "토지이음")</f>
        <v/>
      </c>
      <c r="O365" s="3" t="inlineStr">
        <is>
          <t>명진</t>
        </is>
      </c>
      <c r="P365" s="4" t="n">
        <v>1</v>
      </c>
      <c r="Q365" s="4" t="n">
        <v>347.6</v>
      </c>
      <c r="R365" s="3" t="inlineStr">
        <is>
          <t>지정되지않음</t>
        </is>
      </c>
      <c r="S365" s="3" t="inlineStr">
        <is>
          <t>주거나지</t>
        </is>
      </c>
      <c r="T365" s="3" t="inlineStr">
        <is>
          <t>평지</t>
        </is>
      </c>
      <c r="U365" s="3" t="inlineStr">
        <is>
          <t>사다리형</t>
        </is>
      </c>
      <c r="V365" s="3" t="inlineStr">
        <is>
          <t>소로각지</t>
        </is>
      </c>
    </row>
    <row r="366">
      <c r="A366" s="3" t="inlineStr">
        <is>
          <t>고운동 969</t>
        </is>
      </c>
      <c r="B366" s="3" t="inlineStr">
        <is>
          <t>제1종전용주거지역</t>
        </is>
      </c>
      <c r="C366" s="3" t="inlineStr">
        <is>
          <t>대</t>
        </is>
      </c>
      <c r="D366" s="3" t="inlineStr">
        <is>
          <t>대</t>
        </is>
      </c>
      <c r="E366" s="3" t="inlineStr">
        <is>
          <t>매매</t>
        </is>
      </c>
      <c r="F366" s="4" t="n">
        <v>62000</v>
      </c>
      <c r="G366" s="4" t="n">
        <v>347</v>
      </c>
      <c r="H366" s="4" t="n">
        <v>105</v>
      </c>
      <c r="I366" s="5" t="n">
        <v>590.5</v>
      </c>
      <c r="J366" s="5" t="n">
        <v>329.9</v>
      </c>
      <c r="K366" s="3" t="inlineStr">
        <is>
          <t>삼거리 코너 각지, 입지 좋은 토지매매</t>
        </is>
      </c>
      <c r="L366" s="6">
        <f>HYPERLINK("https://fin.land.naver.com/articles/2651188999", "매물Link")</f>
        <v/>
      </c>
      <c r="M366" s="6">
        <f>HYPERLINK("https://map.naver.com/p/search/고운동 969", "지도Link")</f>
        <v/>
      </c>
      <c r="N366" s="6">
        <f>HYPERLINK("http://www.eum.go.kr/web/ar/lu/luLandDet.jsp?pnu=3611011200109690000&amp;isNoScr=script&amp;mode=search", "토지이음")</f>
        <v/>
      </c>
      <c r="O366" s="3" t="inlineStr">
        <is>
          <t>세종무지개</t>
        </is>
      </c>
      <c r="P366" s="4" t="n">
        <v>1</v>
      </c>
      <c r="Q366" s="4" t="n">
        <v>347.6</v>
      </c>
      <c r="R366" s="3" t="inlineStr">
        <is>
          <t>지정되지않음</t>
        </is>
      </c>
      <c r="S366" s="3" t="inlineStr">
        <is>
          <t>주거나지</t>
        </is>
      </c>
      <c r="T366" s="3" t="inlineStr">
        <is>
          <t>평지</t>
        </is>
      </c>
      <c r="U366" s="3" t="inlineStr">
        <is>
          <t>사다리형</t>
        </is>
      </c>
      <c r="V366" s="3" t="inlineStr">
        <is>
          <t>소로각지</t>
        </is>
      </c>
    </row>
    <row r="367">
      <c r="A367" s="3" t="inlineStr">
        <is>
          <t>고운동 969</t>
        </is>
      </c>
      <c r="B367" s="3" t="inlineStr">
        <is>
          <t>제1종전용주거지역</t>
        </is>
      </c>
      <c r="C367" s="3" t="inlineStr">
        <is>
          <t>대</t>
        </is>
      </c>
      <c r="D367" s="3" t="inlineStr">
        <is>
          <t>대</t>
        </is>
      </c>
      <c r="E367" s="3" t="inlineStr">
        <is>
          <t>매매</t>
        </is>
      </c>
      <c r="F367" s="4" t="n">
        <v>62000</v>
      </c>
      <c r="G367" s="4" t="n">
        <v>347</v>
      </c>
      <c r="H367" s="4" t="n">
        <v>105</v>
      </c>
      <c r="I367" s="5" t="n">
        <v>590.5</v>
      </c>
      <c r="J367" s="5" t="n">
        <v>329.9</v>
      </c>
      <c r="K367" s="3" t="inlineStr">
        <is>
          <t>코너각지,복합커뮤니티센터,항아리중심상권 생활권 편리,가격조정가능</t>
        </is>
      </c>
      <c r="L367" s="6">
        <f>HYPERLINK("https://fin.land.naver.com/articles/2650947653", "매물Link")</f>
        <v/>
      </c>
      <c r="M367" s="6">
        <f>HYPERLINK("https://map.naver.com/p/search/고운동 969", "지도Link")</f>
        <v/>
      </c>
      <c r="N367" s="6">
        <f>HYPERLINK("http://www.eum.go.kr/web/ar/lu/luLandDet.jsp?pnu=3611011200109690000&amp;isNoScr=script&amp;mode=search", "토지이음")</f>
        <v/>
      </c>
      <c r="O367" s="3" t="inlineStr">
        <is>
          <t>고운맘</t>
        </is>
      </c>
      <c r="P367" s="4" t="n">
        <v>1</v>
      </c>
      <c r="Q367" s="4" t="n">
        <v>347.6</v>
      </c>
      <c r="R367" s="3" t="inlineStr">
        <is>
          <t>지정되지않음</t>
        </is>
      </c>
      <c r="S367" s="3" t="inlineStr">
        <is>
          <t>주거나지</t>
        </is>
      </c>
      <c r="T367" s="3" t="inlineStr">
        <is>
          <t>평지</t>
        </is>
      </c>
      <c r="U367" s="3" t="inlineStr">
        <is>
          <t>사다리형</t>
        </is>
      </c>
      <c r="V367" s="3" t="inlineStr">
        <is>
          <t>소로각지</t>
        </is>
      </c>
    </row>
    <row r="368">
      <c r="A368" s="3" t="inlineStr">
        <is>
          <t>고운동 976</t>
        </is>
      </c>
      <c r="B368" s="3" t="inlineStr">
        <is>
          <t>제1종전용주거지역</t>
        </is>
      </c>
      <c r="C368" s="3" t="inlineStr">
        <is>
          <t>대</t>
        </is>
      </c>
      <c r="D368" s="3" t="inlineStr">
        <is>
          <t>대</t>
        </is>
      </c>
      <c r="E368" s="3" t="inlineStr">
        <is>
          <t>매매</t>
        </is>
      </c>
      <c r="F368" s="4" t="n">
        <v>60000</v>
      </c>
      <c r="G368" s="4" t="n">
        <v>375</v>
      </c>
      <c r="H368" s="4" t="n">
        <v>113</v>
      </c>
      <c r="I368" s="5" t="n">
        <v>531</v>
      </c>
      <c r="J368" s="5" t="n">
        <v>317.5</v>
      </c>
      <c r="K368" s="3" t="inlineStr">
        <is>
          <t>nan</t>
        </is>
      </c>
      <c r="L368" s="6">
        <f>HYPERLINK("https://fin.land.naver.com/articles/2651977335", "매물Link")</f>
        <v/>
      </c>
      <c r="M368" s="6">
        <f>HYPERLINK("https://map.naver.com/p/search/고운동 976", "지도Link")</f>
        <v/>
      </c>
      <c r="N368" s="6">
        <f>HYPERLINK("http://www.eum.go.kr/web/ar/lu/luLandDet.jsp?pnu=3611011200109760000&amp;isNoScr=script&amp;mode=search", "토지이음")</f>
        <v/>
      </c>
      <c r="O368" s="3" t="inlineStr">
        <is>
          <t>세종올리브</t>
        </is>
      </c>
      <c r="P368" s="4" t="n">
        <v>2</v>
      </c>
      <c r="Q368" s="4" t="n">
        <v>375.9</v>
      </c>
      <c r="R368" s="3" t="inlineStr">
        <is>
          <t>지정되지않음</t>
        </is>
      </c>
      <c r="S368" s="3" t="inlineStr">
        <is>
          <t>주거나지</t>
        </is>
      </c>
      <c r="T368" s="3" t="inlineStr">
        <is>
          <t>평지</t>
        </is>
      </c>
      <c r="U368" s="3" t="inlineStr">
        <is>
          <t>정방형</t>
        </is>
      </c>
      <c r="V368" s="3" t="inlineStr">
        <is>
          <t>소로한면</t>
        </is>
      </c>
    </row>
    <row r="369">
      <c r="A369" s="3" t="inlineStr">
        <is>
          <t>고운동 978</t>
        </is>
      </c>
      <c r="B369" s="3" t="inlineStr">
        <is>
          <t>제1종전용주거지역</t>
        </is>
      </c>
      <c r="C369" s="3" t="inlineStr">
        <is>
          <t>대</t>
        </is>
      </c>
      <c r="D369" s="3" t="inlineStr">
        <is>
          <t>대</t>
        </is>
      </c>
      <c r="E369" s="3" t="inlineStr">
        <is>
          <t>매매</t>
        </is>
      </c>
      <c r="F369" s="4" t="n">
        <v>70000</v>
      </c>
      <c r="G369" s="4" t="n">
        <v>332</v>
      </c>
      <c r="H369" s="4" t="n">
        <v>100</v>
      </c>
      <c r="I369" s="5" t="n">
        <v>700</v>
      </c>
      <c r="J369" s="5" t="n">
        <v>358.7</v>
      </c>
      <c r="K369" s="3" t="inlineStr">
        <is>
          <t>세종시 고운동 주택지 매매</t>
        </is>
      </c>
      <c r="L369" s="6">
        <f>HYPERLINK("https://fin.land.naver.com/articles/2653862784", "매물Link")</f>
        <v/>
      </c>
      <c r="M369" s="6">
        <f>HYPERLINK("https://map.naver.com/p/search/고운동 978", "지도Link")</f>
        <v/>
      </c>
      <c r="N369" s="6">
        <f>HYPERLINK("http://www.eum.go.kr/web/ar/lu/luLandDet.jsp?pnu=3611011200109780000&amp;isNoScr=script&amp;mode=search", "토지이음")</f>
        <v/>
      </c>
      <c r="O369" s="3" t="inlineStr">
        <is>
          <t>길운</t>
        </is>
      </c>
      <c r="P369" s="4" t="n">
        <v>1</v>
      </c>
      <c r="Q369" s="4" t="n">
        <v>332.8</v>
      </c>
      <c r="R369" s="3" t="inlineStr">
        <is>
          <t>지정되지않음</t>
        </is>
      </c>
      <c r="S369" s="3" t="inlineStr">
        <is>
          <t>주거나지</t>
        </is>
      </c>
      <c r="T369" s="3" t="inlineStr">
        <is>
          <t>평지</t>
        </is>
      </c>
      <c r="U369" s="3" t="inlineStr">
        <is>
          <t>가로장방</t>
        </is>
      </c>
      <c r="V369" s="3" t="inlineStr">
        <is>
          <t>중로각지</t>
        </is>
      </c>
    </row>
    <row r="370">
      <c r="A370" s="3" t="inlineStr">
        <is>
          <t>고운동 984</t>
        </is>
      </c>
      <c r="B370" s="3" t="inlineStr">
        <is>
          <t>제1종전용주거지역</t>
        </is>
      </c>
      <c r="C370" s="3" t="inlineStr">
        <is>
          <t>대</t>
        </is>
      </c>
      <c r="D370" s="3" t="inlineStr">
        <is>
          <t>대</t>
        </is>
      </c>
      <c r="E370" s="3" t="inlineStr">
        <is>
          <t>매매</t>
        </is>
      </c>
      <c r="F370" s="4" t="n">
        <v>69000</v>
      </c>
      <c r="G370" s="4" t="n">
        <v>338</v>
      </c>
      <c r="H370" s="4" t="n">
        <v>102</v>
      </c>
      <c r="I370" s="5" t="n">
        <v>676.5</v>
      </c>
      <c r="J370" s="5" t="n">
        <v>317.5</v>
      </c>
      <c r="K370" s="3" t="inlineStr">
        <is>
          <t>nan</t>
        </is>
      </c>
      <c r="L370" s="6">
        <f>HYPERLINK("https://fin.land.naver.com/articles/2651027546", "매물Link")</f>
        <v/>
      </c>
      <c r="M370" s="6">
        <f>HYPERLINK("https://map.naver.com/p/search/고운동 984", "지도Link")</f>
        <v/>
      </c>
      <c r="N370" s="6">
        <f>HYPERLINK("http://www.eum.go.kr/web/ar/lu/luLandDet.jsp?pnu=3611011200109840000&amp;isNoScr=script&amp;mode=search", "토지이음")</f>
        <v/>
      </c>
      <c r="O370" s="3" t="inlineStr">
        <is>
          <t>디아트성심</t>
        </is>
      </c>
      <c r="P370" s="4" t="n">
        <v>1</v>
      </c>
      <c r="Q370" s="4" t="n">
        <v>338.6</v>
      </c>
      <c r="R370" s="3" t="inlineStr">
        <is>
          <t>지정되지않음</t>
        </is>
      </c>
      <c r="S370" s="3" t="inlineStr">
        <is>
          <t>주거나지</t>
        </is>
      </c>
      <c r="T370" s="3" t="inlineStr">
        <is>
          <t>평지</t>
        </is>
      </c>
      <c r="U370" s="3" t="inlineStr">
        <is>
          <t>세로장방</t>
        </is>
      </c>
      <c r="V370" s="3" t="inlineStr">
        <is>
          <t>소로한면</t>
        </is>
      </c>
    </row>
    <row r="371">
      <c r="A371" s="3" t="inlineStr">
        <is>
          <t>고운동 994</t>
        </is>
      </c>
      <c r="B371" s="3" t="inlineStr">
        <is>
          <t>제1종전용주거지역</t>
        </is>
      </c>
      <c r="C371" s="3" t="inlineStr">
        <is>
          <t>대</t>
        </is>
      </c>
      <c r="D371" s="3" t="inlineStr">
        <is>
          <t>대</t>
        </is>
      </c>
      <c r="E371" s="3" t="inlineStr">
        <is>
          <t>매매</t>
        </is>
      </c>
      <c r="F371" s="4" t="n">
        <v>57000</v>
      </c>
      <c r="G371" s="4" t="n">
        <v>359</v>
      </c>
      <c r="H371" s="4" t="n">
        <v>109</v>
      </c>
      <c r="I371" s="5" t="n">
        <v>522.9</v>
      </c>
      <c r="J371" s="5" t="n">
        <v>358.7</v>
      </c>
      <c r="K371" s="3" t="inlineStr">
        <is>
          <t>nan</t>
        </is>
      </c>
      <c r="L371" s="6">
        <f>HYPERLINK("https://fin.land.naver.com/articles/2651029069", "매물Link")</f>
        <v/>
      </c>
      <c r="M371" s="6">
        <f>HYPERLINK("https://map.naver.com/p/search/고운동 994", "지도Link")</f>
        <v/>
      </c>
      <c r="N371" s="6">
        <f>HYPERLINK("http://www.eum.go.kr/web/ar/lu/luLandDet.jsp?pnu=3611011200109940000&amp;isNoScr=script&amp;mode=search", "토지이음")</f>
        <v/>
      </c>
      <c r="O371" s="3" t="inlineStr">
        <is>
          <t>디아트성심</t>
        </is>
      </c>
      <c r="P371" s="4" t="n">
        <v>1</v>
      </c>
      <c r="Q371" s="4" t="n">
        <v>359.7</v>
      </c>
      <c r="R371" s="3" t="inlineStr">
        <is>
          <t>지정되지않음</t>
        </is>
      </c>
      <c r="S371" s="3" t="inlineStr">
        <is>
          <t>주거나지</t>
        </is>
      </c>
      <c r="T371" s="3" t="inlineStr">
        <is>
          <t>평지</t>
        </is>
      </c>
      <c r="U371" s="3" t="inlineStr">
        <is>
          <t>세로장방</t>
        </is>
      </c>
      <c r="V371" s="3" t="inlineStr">
        <is>
          <t>중로각지</t>
        </is>
      </c>
    </row>
    <row r="372">
      <c r="A372" s="3" t="inlineStr">
        <is>
          <t>고운동 994</t>
        </is>
      </c>
      <c r="B372" s="3" t="inlineStr">
        <is>
          <t>제1종전용주거지역</t>
        </is>
      </c>
      <c r="C372" s="3" t="inlineStr">
        <is>
          <t>대</t>
        </is>
      </c>
      <c r="D372" s="3" t="inlineStr">
        <is>
          <t>대</t>
        </is>
      </c>
      <c r="E372" s="3" t="inlineStr">
        <is>
          <t>매매</t>
        </is>
      </c>
      <c r="F372" s="4" t="n">
        <v>57000</v>
      </c>
      <c r="G372" s="4" t="n">
        <v>359</v>
      </c>
      <c r="H372" s="4" t="n">
        <v>109</v>
      </c>
      <c r="I372" s="5" t="n">
        <v>522.9</v>
      </c>
      <c r="J372" s="5" t="n">
        <v>358.7</v>
      </c>
      <c r="K372" s="3" t="inlineStr">
        <is>
          <t>코너각지  학교 근린생활시설 가까운 토지</t>
        </is>
      </c>
      <c r="L372" s="6">
        <f>HYPERLINK("https://fin.land.naver.com/articles/2654597621", "매물Link")</f>
        <v/>
      </c>
      <c r="M372" s="6">
        <f>HYPERLINK("https://map.naver.com/p/search/고운동 994", "지도Link")</f>
        <v/>
      </c>
      <c r="N372" s="6">
        <f>HYPERLINK("http://www.eum.go.kr/web/ar/lu/luLandDet.jsp?pnu=3611011200109940000&amp;isNoScr=script&amp;mode=search", "토지이음")</f>
        <v/>
      </c>
      <c r="O372" s="3" t="inlineStr">
        <is>
          <t>고운힐스테이트</t>
        </is>
      </c>
      <c r="P372" s="4" t="n">
        <v>4</v>
      </c>
      <c r="Q372" s="4" t="n">
        <v>359.7</v>
      </c>
      <c r="R372" s="3" t="inlineStr">
        <is>
          <t>지정되지않음</t>
        </is>
      </c>
      <c r="S372" s="3" t="inlineStr">
        <is>
          <t>주거나지</t>
        </is>
      </c>
      <c r="T372" s="3" t="inlineStr">
        <is>
          <t>평지</t>
        </is>
      </c>
      <c r="U372" s="3" t="inlineStr">
        <is>
          <t>세로장방</t>
        </is>
      </c>
      <c r="V372" s="3" t="inlineStr">
        <is>
          <t>중로각지</t>
        </is>
      </c>
    </row>
    <row r="373">
      <c r="A373" s="3" t="inlineStr">
        <is>
          <t>남이면 가마리 146-1</t>
        </is>
      </c>
      <c r="B373" s="3" t="inlineStr">
        <is>
          <t>자연녹지지역</t>
        </is>
      </c>
      <c r="C373" s="3" t="inlineStr">
        <is>
          <t>답</t>
        </is>
      </c>
      <c r="D373" s="3" t="inlineStr">
        <is>
          <t>전</t>
        </is>
      </c>
      <c r="E373" s="3" t="inlineStr">
        <is>
          <t>매매</t>
        </is>
      </c>
      <c r="F373" s="4" t="n">
        <v>300000</v>
      </c>
      <c r="G373" s="4" t="n">
        <v>3752</v>
      </c>
      <c r="H373" s="4" t="n">
        <v>1135</v>
      </c>
      <c r="I373" s="5" t="n">
        <v>264.3</v>
      </c>
      <c r="J373" s="5" t="n">
        <v>96.40000000000001</v>
      </c>
      <c r="K373" s="3" t="inlineStr">
        <is>
          <t>4차선접토지.산남동 아파트단지인근</t>
        </is>
      </c>
      <c r="L373" s="6">
        <f>HYPERLINK("https://fin.land.naver.com/articles/2654609968", "매물Link")</f>
        <v/>
      </c>
      <c r="M373" s="6">
        <f>HYPERLINK("https://map.naver.com/p/search/남이면 가마리 146-1", "지도Link")</f>
        <v/>
      </c>
      <c r="N373" s="6">
        <f>HYPERLINK("http://www.eum.go.kr/web/ar/lu/luLandDet.jsp?pnu=4311231038101460001&amp;isNoScr=script&amp;mode=search", "토지이음")</f>
        <v/>
      </c>
      <c r="O373" s="3" t="inlineStr">
        <is>
          <t>둥지</t>
        </is>
      </c>
      <c r="P373" s="4" t="n">
        <v>2</v>
      </c>
      <c r="Q373" s="4" t="n">
        <v>3352</v>
      </c>
      <c r="R373" s="3" t="inlineStr">
        <is>
          <t>지정되지않음</t>
        </is>
      </c>
      <c r="S373" s="3" t="inlineStr">
        <is>
          <t>답</t>
        </is>
      </c>
      <c r="T373" s="3" t="inlineStr">
        <is>
          <t>평지</t>
        </is>
      </c>
      <c r="U373" s="3" t="inlineStr">
        <is>
          <t>부정형</t>
        </is>
      </c>
      <c r="V373" s="3" t="inlineStr">
        <is>
          <t>세로한면(가)</t>
        </is>
      </c>
    </row>
    <row r="374">
      <c r="A374" s="3" t="inlineStr">
        <is>
          <t>남이면 가마리 148-1</t>
        </is>
      </c>
      <c r="B374" s="3" t="inlineStr">
        <is>
          <t>자연녹지지역</t>
        </is>
      </c>
      <c r="C374" s="3" t="inlineStr">
        <is>
          <t>답</t>
        </is>
      </c>
      <c r="D374" s="3" t="inlineStr">
        <is>
          <t>답</t>
        </is>
      </c>
      <c r="E374" s="3" t="inlineStr">
        <is>
          <t>매매</t>
        </is>
      </c>
      <c r="F374" s="4" t="n">
        <v>105000</v>
      </c>
      <c r="G374" s="4" t="n">
        <v>866</v>
      </c>
      <c r="H374" s="4" t="n">
        <v>262</v>
      </c>
      <c r="I374" s="5" t="n">
        <v>400.8</v>
      </c>
      <c r="J374" s="5" t="n">
        <v>113.5</v>
      </c>
      <c r="K374" s="3" t="inlineStr">
        <is>
          <t>가마리 4차선 대로변 토지매매</t>
        </is>
      </c>
      <c r="L374" s="6">
        <f>HYPERLINK("https://fin.land.naver.com/articles/2651766992", "매물Link")</f>
        <v/>
      </c>
      <c r="M374" s="6">
        <f>HYPERLINK("https://map.naver.com/p/search/남이면 가마리 148-1", "지도Link")</f>
        <v/>
      </c>
      <c r="N374" s="6">
        <f>HYPERLINK("http://www.eum.go.kr/web/ar/lu/luLandDet.jsp?pnu=4311231038101480001&amp;isNoScr=script&amp;mode=search", "토지이음")</f>
        <v/>
      </c>
      <c r="O374" s="3" t="inlineStr">
        <is>
          <t>한아름</t>
        </is>
      </c>
      <c r="P374" s="4" t="n">
        <v>1</v>
      </c>
      <c r="Q374" s="4" t="n">
        <v>781</v>
      </c>
      <c r="R374" s="3" t="inlineStr">
        <is>
          <t>지정되지않음</t>
        </is>
      </c>
      <c r="S374" s="3" t="inlineStr">
        <is>
          <t>답</t>
        </is>
      </c>
      <c r="T374" s="3" t="inlineStr">
        <is>
          <t>평지</t>
        </is>
      </c>
      <c r="U374" s="3" t="inlineStr">
        <is>
          <t>부정형</t>
        </is>
      </c>
      <c r="V374" s="3" t="inlineStr">
        <is>
          <t>중로한면</t>
        </is>
      </c>
    </row>
    <row r="375">
      <c r="A375" s="3" t="inlineStr">
        <is>
          <t>남이면 가마리 149-1</t>
        </is>
      </c>
      <c r="B375" s="3" t="inlineStr">
        <is>
          <t>자연녹지지역</t>
        </is>
      </c>
      <c r="C375" s="3" t="inlineStr">
        <is>
          <t>답</t>
        </is>
      </c>
      <c r="D375" s="3" t="inlineStr">
        <is>
          <t>답</t>
        </is>
      </c>
      <c r="E375" s="3" t="inlineStr">
        <is>
          <t>매매</t>
        </is>
      </c>
      <c r="F375" s="4" t="n">
        <v>220000</v>
      </c>
      <c r="G375" s="4" t="n">
        <v>2103</v>
      </c>
      <c r="H375" s="4" t="n">
        <v>636</v>
      </c>
      <c r="I375" s="5" t="n">
        <v>345.9</v>
      </c>
      <c r="J375" s="5" t="n">
        <v>168.3</v>
      </c>
      <c r="K375" s="3" t="inlineStr">
        <is>
          <t>현재 화훼농원이며 건물신축 최적지</t>
        </is>
      </c>
      <c r="L375" s="6">
        <f>HYPERLINK("https://fin.land.naver.com/articles/2653881055", "매물Link")</f>
        <v/>
      </c>
      <c r="M375" s="6">
        <f>HYPERLINK("https://map.naver.com/p/search/남이면 가마리 149-1", "지도Link")</f>
        <v/>
      </c>
      <c r="N375" s="6">
        <f>HYPERLINK("http://www.eum.go.kr/web/ar/lu/luLandDet.jsp?pnu=4311231038101490001&amp;isNoScr=script&amp;mode=search", "토지이음")</f>
        <v/>
      </c>
      <c r="O375" s="3" t="inlineStr">
        <is>
          <t>산들</t>
        </is>
      </c>
      <c r="P375" s="4" t="n">
        <v>1</v>
      </c>
      <c r="Q375" s="4" t="n">
        <v>645</v>
      </c>
      <c r="R375" s="3" t="inlineStr">
        <is>
          <t>지정되지않음</t>
        </is>
      </c>
      <c r="S375" s="3" t="inlineStr">
        <is>
          <t>상업용</t>
        </is>
      </c>
      <c r="T375" s="3" t="inlineStr">
        <is>
          <t>평지</t>
        </is>
      </c>
      <c r="U375" s="3" t="inlineStr">
        <is>
          <t>부정형</t>
        </is>
      </c>
      <c r="V375" s="3" t="inlineStr">
        <is>
          <t>세로한면(불)</t>
        </is>
      </c>
    </row>
    <row r="376">
      <c r="A376" s="3" t="inlineStr">
        <is>
          <t>남이면 가마리 156</t>
        </is>
      </c>
      <c r="B376" s="3" t="inlineStr">
        <is>
          <t>자연녹지지역</t>
        </is>
      </c>
      <c r="C376" s="3" t="inlineStr">
        <is>
          <t>전</t>
        </is>
      </c>
      <c r="D376" s="3" t="inlineStr">
        <is>
          <t>전</t>
        </is>
      </c>
      <c r="E376" s="3" t="inlineStr">
        <is>
          <t>매매</t>
        </is>
      </c>
      <c r="F376" s="4" t="n">
        <v>250000</v>
      </c>
      <c r="G376" s="4" t="n">
        <v>5481</v>
      </c>
      <c r="H376" s="4" t="n">
        <v>1658</v>
      </c>
      <c r="I376" s="5" t="n">
        <v>150.8</v>
      </c>
      <c r="J376" s="5" t="n">
        <v>69.3</v>
      </c>
      <c r="K376" s="3" t="inlineStr">
        <is>
          <t>남이면 가마리에 위치한 토지 매매</t>
        </is>
      </c>
      <c r="L376" s="6">
        <f>HYPERLINK("https://fin.land.naver.com/articles/2651761333", "매물Link")</f>
        <v/>
      </c>
      <c r="M376" s="6">
        <f>HYPERLINK("https://map.naver.com/p/search/남이면 가마리 156", "지도Link")</f>
        <v/>
      </c>
      <c r="N376" s="6">
        <f>HYPERLINK("http://www.eum.go.kr/web/ar/lu/luLandDet.jsp?pnu=4311231038101560000&amp;isNoScr=script&amp;mode=search", "토지이음")</f>
        <v/>
      </c>
      <c r="O376" s="3" t="inlineStr">
        <is>
          <t>대지</t>
        </is>
      </c>
      <c r="P376" s="4" t="n">
        <v>1</v>
      </c>
      <c r="Q376" s="4" t="n">
        <v>2446</v>
      </c>
      <c r="R376" s="3" t="inlineStr">
        <is>
          <t>지정되지않음</t>
        </is>
      </c>
      <c r="S376" s="3" t="inlineStr">
        <is>
          <t>전</t>
        </is>
      </c>
      <c r="T376" s="3" t="inlineStr">
        <is>
          <t>평지</t>
        </is>
      </c>
      <c r="U376" s="3" t="inlineStr">
        <is>
          <t>부정형</t>
        </is>
      </c>
      <c r="V376" s="3" t="inlineStr">
        <is>
          <t>세로한면(가)</t>
        </is>
      </c>
    </row>
    <row r="377">
      <c r="A377" s="3" t="inlineStr">
        <is>
          <t>남이면 가마리 160</t>
        </is>
      </c>
      <c r="B377" s="3" t="inlineStr">
        <is>
          <t>자연녹지지역</t>
        </is>
      </c>
      <c r="C377" s="3" t="inlineStr">
        <is>
          <t>답</t>
        </is>
      </c>
      <c r="D377" s="3" t="inlineStr">
        <is>
          <t>공장용지</t>
        </is>
      </c>
      <c r="E377" s="3" t="inlineStr">
        <is>
          <t>매매</t>
        </is>
      </c>
      <c r="F377" s="4" t="n">
        <v>67000</v>
      </c>
      <c r="G377" s="4" t="n">
        <v>1104</v>
      </c>
      <c r="H377" s="4" t="n">
        <v>334</v>
      </c>
      <c r="I377" s="5" t="n">
        <v>200.6</v>
      </c>
      <c r="J377" s="5" t="n">
        <v>58.5</v>
      </c>
      <c r="K377" s="3" t="inlineStr">
        <is>
          <t>사진 有, 토목공사 일부 완료된 공장용지 334형 매매</t>
        </is>
      </c>
      <c r="L377" s="6">
        <f>HYPERLINK("https://fin.land.naver.com/articles/2651813817", "매물Link")</f>
        <v/>
      </c>
      <c r="M377" s="6">
        <f>HYPERLINK("https://map.naver.com/p/search/남이면 가마리 160", "지도Link")</f>
        <v/>
      </c>
      <c r="N377" s="6">
        <f>HYPERLINK("http://www.eum.go.kr/web/ar/lu/luLandDet.jsp?pnu=4311231038101600000&amp;isNoScr=script&amp;mode=search", "토지이음")</f>
        <v/>
      </c>
      <c r="O377" s="3" t="inlineStr">
        <is>
          <t>태성</t>
        </is>
      </c>
      <c r="P377" s="4" t="n">
        <v>1</v>
      </c>
      <c r="Q377" s="4" t="n">
        <v>2787</v>
      </c>
      <c r="R377" s="3" t="inlineStr">
        <is>
          <t>지정되지않음</t>
        </is>
      </c>
      <c r="S377" s="3" t="inlineStr">
        <is>
          <t>답</t>
        </is>
      </c>
      <c r="T377" s="3" t="inlineStr">
        <is>
          <t>평지</t>
        </is>
      </c>
      <c r="U377" s="3" t="inlineStr">
        <is>
          <t>부정형</t>
        </is>
      </c>
      <c r="V377" s="3" t="inlineStr">
        <is>
          <t>세로한면(가)</t>
        </is>
      </c>
    </row>
    <row r="378">
      <c r="A378" s="3" t="inlineStr">
        <is>
          <t>남이면 가마리 160</t>
        </is>
      </c>
      <c r="B378" s="3" t="inlineStr">
        <is>
          <t>자연녹지지역</t>
        </is>
      </c>
      <c r="C378" s="3" t="inlineStr">
        <is>
          <t>답</t>
        </is>
      </c>
      <c r="D378" s="3" t="inlineStr">
        <is>
          <t>대</t>
        </is>
      </c>
      <c r="E378" s="3" t="inlineStr">
        <is>
          <t>매매</t>
        </is>
      </c>
      <c r="F378" s="4" t="n">
        <v>67000</v>
      </c>
      <c r="G378" s="4" t="n">
        <v>1124</v>
      </c>
      <c r="H378" s="4" t="n">
        <v>340</v>
      </c>
      <c r="I378" s="5" t="n">
        <v>197.1</v>
      </c>
      <c r="J378" s="5" t="n">
        <v>58.5</v>
      </c>
      <c r="K378" s="3" t="inlineStr">
        <is>
          <t>남이면 2순환로 인근, 토목완료, 2종근생가능, 제조업 창고 건축 용도</t>
        </is>
      </c>
      <c r="L378" s="6">
        <f>HYPERLINK("https://fin.land.naver.com/articles/2649540693", "매물Link")</f>
        <v/>
      </c>
      <c r="M378" s="6">
        <f>HYPERLINK("https://map.naver.com/p/search/남이면 가마리 160", "지도Link")</f>
        <v/>
      </c>
      <c r="N378" s="6">
        <f>HYPERLINK("http://www.eum.go.kr/web/ar/lu/luLandDet.jsp?pnu=4311231038101600000&amp;isNoScr=script&amp;mode=search", "토지이음")</f>
        <v/>
      </c>
      <c r="O378" s="3" t="inlineStr">
        <is>
          <t>라인</t>
        </is>
      </c>
      <c r="P378" s="4" t="n">
        <v>1</v>
      </c>
      <c r="Q378" s="4" t="n">
        <v>2787</v>
      </c>
      <c r="R378" s="3" t="inlineStr">
        <is>
          <t>지정되지않음</t>
        </is>
      </c>
      <c r="S378" s="3" t="inlineStr">
        <is>
          <t>답</t>
        </is>
      </c>
      <c r="T378" s="3" t="inlineStr">
        <is>
          <t>평지</t>
        </is>
      </c>
      <c r="U378" s="3" t="inlineStr">
        <is>
          <t>부정형</t>
        </is>
      </c>
      <c r="V378" s="3" t="inlineStr">
        <is>
          <t>세로한면(가)</t>
        </is>
      </c>
    </row>
    <row r="379">
      <c r="A379" s="3" t="inlineStr">
        <is>
          <t>남이면 가마리 168-3</t>
        </is>
      </c>
      <c r="B379" s="3" t="inlineStr">
        <is>
          <t>자연녹지지역</t>
        </is>
      </c>
      <c r="C379" s="3" t="inlineStr">
        <is>
          <t>답</t>
        </is>
      </c>
      <c r="D379" s="3" t="inlineStr">
        <is>
          <t>답</t>
        </is>
      </c>
      <c r="E379" s="3" t="inlineStr">
        <is>
          <t>매매</t>
        </is>
      </c>
      <c r="F379" s="4" t="n">
        <v>47250</v>
      </c>
      <c r="G379" s="4" t="n">
        <v>1041</v>
      </c>
      <c r="H379" s="4" t="n">
        <v>315</v>
      </c>
      <c r="I379" s="5" t="n">
        <v>150</v>
      </c>
      <c r="J379" s="5" t="n">
        <v>46.8</v>
      </c>
      <c r="K379" s="3" t="inlineStr">
        <is>
          <t>투자용 농지로 추천드리며,도로접해있고 옆에 개울도 있습니다</t>
        </is>
      </c>
      <c r="L379" s="6">
        <f>HYPERLINK("https://fin.land.naver.com/articles/2653080924", "매물Link")</f>
        <v/>
      </c>
      <c r="M379" s="6">
        <f>HYPERLINK("https://map.naver.com/p/search/남이면 가마리 168-3", "지도Link")</f>
        <v/>
      </c>
      <c r="N379" s="6">
        <f>HYPERLINK("http://www.eum.go.kr/web/ar/lu/luLandDet.jsp?pnu=4311231038101680003&amp;isNoScr=script&amp;mode=search", "토지이음")</f>
        <v/>
      </c>
      <c r="O379" s="3" t="inlineStr">
        <is>
          <t>대성합동사무소</t>
        </is>
      </c>
      <c r="P379" s="4" t="n">
        <v>1</v>
      </c>
      <c r="Q379" s="4" t="n">
        <v>1041</v>
      </c>
      <c r="R379" s="3" t="inlineStr">
        <is>
          <t>지정되지않음</t>
        </is>
      </c>
      <c r="S379" s="3" t="inlineStr">
        <is>
          <t>답</t>
        </is>
      </c>
      <c r="T379" s="3" t="inlineStr">
        <is>
          <t>평지</t>
        </is>
      </c>
      <c r="U379" s="3" t="inlineStr">
        <is>
          <t>부정형</t>
        </is>
      </c>
      <c r="V379" s="3" t="inlineStr">
        <is>
          <t>세로한면(불)</t>
        </is>
      </c>
    </row>
    <row r="380">
      <c r="A380" s="3" t="inlineStr">
        <is>
          <t>남이면 가마리 180-2</t>
        </is>
      </c>
      <c r="B380" s="3" t="inlineStr">
        <is>
          <t>자연녹지지역</t>
        </is>
      </c>
      <c r="C380" s="3" t="inlineStr">
        <is>
          <t>답</t>
        </is>
      </c>
      <c r="D380" s="3" t="inlineStr">
        <is>
          <t>전</t>
        </is>
      </c>
      <c r="E380" s="3" t="inlineStr">
        <is>
          <t>매매</t>
        </is>
      </c>
      <c r="F380" s="4" t="n">
        <v>49100</v>
      </c>
      <c r="G380" s="4" t="n">
        <v>2701</v>
      </c>
      <c r="H380" s="4" t="n">
        <v>817</v>
      </c>
      <c r="I380" s="5" t="n">
        <v>60.1</v>
      </c>
      <c r="J380" s="5" t="n">
        <v>48.1</v>
      </c>
      <c r="K380" s="3" t="inlineStr">
        <is>
          <t>진입도로 있어  경작하기 좋습니다.</t>
        </is>
      </c>
      <c r="L380" s="6">
        <f>HYPERLINK("https://fin.land.naver.com/articles/2653260647", "매물Link")</f>
        <v/>
      </c>
      <c r="M380" s="6">
        <f>HYPERLINK("https://map.naver.com/p/search/남이면 가마리 180-2", "지도Link")</f>
        <v/>
      </c>
      <c r="N380" s="6">
        <f>HYPERLINK("http://www.eum.go.kr/web/ar/lu/luLandDet.jsp?pnu=4311231038101800002&amp;isNoScr=script&amp;mode=search", "토지이음")</f>
        <v/>
      </c>
      <c r="O380" s="3" t="inlineStr">
        <is>
          <t>파트너아이파크</t>
        </is>
      </c>
      <c r="P380" s="4" t="n">
        <v>1</v>
      </c>
      <c r="Q380" s="4" t="n">
        <v>2701</v>
      </c>
      <c r="R380" s="3" t="inlineStr">
        <is>
          <t>지정되지않음</t>
        </is>
      </c>
      <c r="S380" s="3" t="inlineStr">
        <is>
          <t>답</t>
        </is>
      </c>
      <c r="T380" s="3" t="inlineStr">
        <is>
          <t>완경사</t>
        </is>
      </c>
      <c r="U380" s="3" t="inlineStr">
        <is>
          <t>부정형</t>
        </is>
      </c>
      <c r="V380" s="3" t="inlineStr">
        <is>
          <t>세로한면(가)</t>
        </is>
      </c>
    </row>
    <row r="381">
      <c r="A381" s="3" t="inlineStr">
        <is>
          <t>남이면 가마리 182-2</t>
        </is>
      </c>
      <c r="B381" s="3" t="inlineStr">
        <is>
          <t>보전녹지지역</t>
        </is>
      </c>
      <c r="C381" s="3" t="inlineStr">
        <is>
          <t>전</t>
        </is>
      </c>
      <c r="D381" s="3" t="inlineStr">
        <is>
          <t>전</t>
        </is>
      </c>
      <c r="E381" s="3" t="inlineStr">
        <is>
          <t>매매</t>
        </is>
      </c>
      <c r="F381" s="4" t="n">
        <v>29000</v>
      </c>
      <c r="G381" s="4" t="n">
        <v>1157</v>
      </c>
      <c r="H381" s="4" t="n">
        <v>350</v>
      </c>
      <c r="I381" s="5" t="n">
        <v>82.90000000000001</v>
      </c>
      <c r="J381" s="5" t="n">
        <v>26.1</v>
      </c>
      <c r="K381" s="3" t="inlineStr">
        <is>
          <t>2순환도로 가마삼거리에서 가까운 전원주택지</t>
        </is>
      </c>
      <c r="L381" s="6">
        <f>HYPERLINK("https://fin.land.naver.com/articles/2653497885", "매물Link")</f>
        <v/>
      </c>
      <c r="M381" s="6">
        <f>HYPERLINK("https://map.naver.com/p/search/남이면 가마리 182-2", "지도Link")</f>
        <v/>
      </c>
      <c r="N381" s="6">
        <f>HYPERLINK("http://www.eum.go.kr/web/ar/lu/luLandDet.jsp?pnu=4311231038101820002&amp;isNoScr=script&amp;mode=search", "토지이음")</f>
        <v/>
      </c>
      <c r="O381" s="3" t="inlineStr">
        <is>
          <t>청주114</t>
        </is>
      </c>
      <c r="P381" s="4" t="n">
        <v>1</v>
      </c>
      <c r="Q381" s="4" t="n">
        <v>1142</v>
      </c>
      <c r="R381" s="3" t="inlineStr">
        <is>
          <t>지정되지않음</t>
        </is>
      </c>
      <c r="S381" s="3" t="inlineStr">
        <is>
          <t>전</t>
        </is>
      </c>
      <c r="T381" s="3" t="inlineStr">
        <is>
          <t>완경사</t>
        </is>
      </c>
      <c r="U381" s="3" t="inlineStr">
        <is>
          <t>사다리형</t>
        </is>
      </c>
      <c r="V381" s="3" t="inlineStr">
        <is>
          <t>세로한면(가)</t>
        </is>
      </c>
    </row>
    <row r="382">
      <c r="A382" s="3" t="inlineStr">
        <is>
          <t>남이면 가마리 190-1</t>
        </is>
      </c>
      <c r="B382" s="3" t="inlineStr">
        <is>
          <t>자연녹지지역</t>
        </is>
      </c>
      <c r="C382" s="3" t="inlineStr">
        <is>
          <t>답</t>
        </is>
      </c>
      <c r="D382" s="3" t="inlineStr">
        <is>
          <t>답</t>
        </is>
      </c>
      <c r="E382" s="3" t="inlineStr">
        <is>
          <t>매매</t>
        </is>
      </c>
      <c r="F382" s="4" t="n">
        <v>107360</v>
      </c>
      <c r="G382" s="4" t="n">
        <v>4436</v>
      </c>
      <c r="H382" s="4" t="n">
        <v>1342</v>
      </c>
      <c r="I382" s="5" t="n">
        <v>80</v>
      </c>
      <c r="J382" s="5" t="n">
        <v>41.8</v>
      </c>
      <c r="K382" s="3" t="inlineStr">
        <is>
          <t>양촌jc 인근 시세보다 저렴한 투자용 토지</t>
        </is>
      </c>
      <c r="L382" s="6">
        <f>HYPERLINK("https://fin.land.naver.com/articles/2654622382", "매물Link")</f>
        <v/>
      </c>
      <c r="M382" s="6">
        <f>HYPERLINK("https://map.naver.com/p/search/남이면 가마리 190-1", "지도Link")</f>
        <v/>
      </c>
      <c r="N382" s="6">
        <f>HYPERLINK("http://www.eum.go.kr/web/ar/lu/luLandDet.jsp?pnu=4311231038101900001&amp;isNoScr=script&amp;mode=search", "토지이음")</f>
        <v/>
      </c>
      <c r="O382" s="3" t="inlineStr">
        <is>
          <t>토담</t>
        </is>
      </c>
      <c r="P382" s="4" t="n">
        <v>1</v>
      </c>
      <c r="Q382" s="4" t="n">
        <v>1355</v>
      </c>
      <c r="R382" s="3" t="inlineStr">
        <is>
          <t>지정되지않음</t>
        </is>
      </c>
      <c r="S382" s="3" t="inlineStr">
        <is>
          <t>답</t>
        </is>
      </c>
      <c r="T382" s="3" t="inlineStr">
        <is>
          <t>완경사</t>
        </is>
      </c>
      <c r="U382" s="3" t="inlineStr">
        <is>
          <t>부정형</t>
        </is>
      </c>
      <c r="V382" s="3" t="inlineStr">
        <is>
          <t>세로한면(불)</t>
        </is>
      </c>
    </row>
    <row r="383">
      <c r="A383" s="3" t="inlineStr">
        <is>
          <t>남이면 가마리 234-2</t>
        </is>
      </c>
      <c r="B383" s="3" t="inlineStr">
        <is>
          <t>자연녹지지역</t>
        </is>
      </c>
      <c r="C383" s="3" t="inlineStr">
        <is>
          <t>답</t>
        </is>
      </c>
      <c r="D383" s="3" t="inlineStr">
        <is>
          <t>답</t>
        </is>
      </c>
      <c r="E383" s="3" t="inlineStr">
        <is>
          <t>매매</t>
        </is>
      </c>
      <c r="F383" s="4" t="n">
        <v>115000</v>
      </c>
      <c r="G383" s="4" t="n">
        <v>1061</v>
      </c>
      <c r="H383" s="4" t="n">
        <v>321</v>
      </c>
      <c r="I383" s="5" t="n">
        <v>358.3</v>
      </c>
      <c r="J383" s="5" t="n">
        <v>74.2</v>
      </c>
      <c r="K383" s="3" t="inlineStr">
        <is>
          <t>2차우회도로접   상가  근생용지</t>
        </is>
      </c>
      <c r="L383" s="6">
        <f>HYPERLINK("https://fin.land.naver.com/articles/2652150694", "매물Link")</f>
        <v/>
      </c>
      <c r="M383" s="6">
        <f>HYPERLINK("https://map.naver.com/p/search/남이면 가마리 234-2", "지도Link")</f>
        <v/>
      </c>
      <c r="N383" s="6">
        <f>HYPERLINK("http://www.eum.go.kr/web/ar/lu/luLandDet.jsp?pnu=4311231038102340002&amp;isNoScr=script&amp;mode=search", "토지이음")</f>
        <v/>
      </c>
      <c r="O383" s="3" t="inlineStr">
        <is>
          <t>대길</t>
        </is>
      </c>
      <c r="P383" s="4" t="n">
        <v>1</v>
      </c>
      <c r="Q383" s="4" t="n">
        <v>476</v>
      </c>
      <c r="R383" s="3" t="inlineStr">
        <is>
          <t>지정되지않음</t>
        </is>
      </c>
      <c r="S383" s="3" t="inlineStr">
        <is>
          <t>답</t>
        </is>
      </c>
      <c r="T383" s="3" t="inlineStr">
        <is>
          <t>평지</t>
        </is>
      </c>
      <c r="U383" s="3" t="inlineStr">
        <is>
          <t>부정형</t>
        </is>
      </c>
      <c r="V383" s="3" t="inlineStr">
        <is>
          <t>세로한면(불)</t>
        </is>
      </c>
    </row>
    <row r="384">
      <c r="A384" s="3" t="inlineStr">
        <is>
          <t>남이면 가마리 235-5</t>
        </is>
      </c>
      <c r="B384" s="3" t="inlineStr">
        <is>
          <t>자연녹지지역</t>
        </is>
      </c>
      <c r="C384" s="3" t="inlineStr">
        <is>
          <t>전</t>
        </is>
      </c>
      <c r="D384" s="3" t="inlineStr">
        <is>
          <t>전</t>
        </is>
      </c>
      <c r="E384" s="3" t="inlineStr">
        <is>
          <t>매매</t>
        </is>
      </c>
      <c r="F384" s="4" t="n">
        <v>55000</v>
      </c>
      <c r="G384" s="4" t="n">
        <v>585</v>
      </c>
      <c r="H384" s="4" t="n">
        <v>177</v>
      </c>
      <c r="I384" s="5" t="n">
        <v>310.7</v>
      </c>
      <c r="J384" s="5" t="n">
        <v>102.4</v>
      </c>
      <c r="K384" s="3" t="inlineStr">
        <is>
          <t>nan</t>
        </is>
      </c>
      <c r="L384" s="6">
        <f>HYPERLINK("https://fin.land.naver.com/articles/2651710388", "매물Link")</f>
        <v/>
      </c>
      <c r="M384" s="6">
        <f>HYPERLINK("https://map.naver.com/p/search/남이면 가마리 235-5", "지도Link")</f>
        <v/>
      </c>
      <c r="N384" s="6">
        <f>HYPERLINK("http://www.eum.go.kr/web/ar/lu/luLandDet.jsp?pnu=4311231038102350005&amp;isNoScr=script&amp;mode=search", "토지이음")</f>
        <v/>
      </c>
      <c r="O384" s="3" t="inlineStr">
        <is>
          <t>대길</t>
        </is>
      </c>
      <c r="P384" s="4" t="n">
        <v>1</v>
      </c>
      <c r="Q384" s="4" t="n">
        <v>355</v>
      </c>
      <c r="R384" s="3" t="inlineStr">
        <is>
          <t>지정되지않음</t>
        </is>
      </c>
      <c r="S384" s="3" t="inlineStr">
        <is>
          <t>전</t>
        </is>
      </c>
      <c r="T384" s="3" t="inlineStr">
        <is>
          <t>평지</t>
        </is>
      </c>
      <c r="U384" s="3" t="inlineStr">
        <is>
          <t>부정형</t>
        </is>
      </c>
      <c r="V384" s="3" t="inlineStr">
        <is>
          <t>광대로한면</t>
        </is>
      </c>
    </row>
    <row r="385">
      <c r="A385" s="3" t="inlineStr">
        <is>
          <t>남이면 가마리 24-2</t>
        </is>
      </c>
      <c r="B385" s="3" t="inlineStr">
        <is>
          <t>자연녹지지역</t>
        </is>
      </c>
      <c r="C385" s="3" t="inlineStr">
        <is>
          <t>전</t>
        </is>
      </c>
      <c r="D385" s="3" t="inlineStr">
        <is>
          <t>전</t>
        </is>
      </c>
      <c r="E385" s="3" t="inlineStr">
        <is>
          <t>매매</t>
        </is>
      </c>
      <c r="F385" s="4" t="n">
        <v>230000</v>
      </c>
      <c r="G385" s="4" t="n">
        <v>1293</v>
      </c>
      <c r="H385" s="4" t="n">
        <v>391</v>
      </c>
      <c r="I385" s="5" t="n">
        <v>588.2</v>
      </c>
      <c r="J385" s="5" t="n">
        <v>100.9</v>
      </c>
      <c r="K385" s="3" t="inlineStr">
        <is>
          <t>가마리 가마교차로인근 6차선도로변접 대로변에 길게 접함</t>
        </is>
      </c>
      <c r="L385" s="6">
        <f>HYPERLINK("https://fin.land.naver.com/articles/2651209994", "매물Link")</f>
        <v/>
      </c>
      <c r="M385" s="6">
        <f>HYPERLINK("https://map.naver.com/p/search/남이면 가마리 24-2", "지도Link")</f>
        <v/>
      </c>
      <c r="N385" s="6">
        <f>HYPERLINK("http://www.eum.go.kr/web/ar/lu/luLandDet.jsp?pnu=4311231038100240002&amp;isNoScr=script&amp;mode=search", "토지이음")</f>
        <v/>
      </c>
      <c r="O385" s="3" t="inlineStr">
        <is>
          <t>프라임</t>
        </is>
      </c>
      <c r="P385" s="4" t="n">
        <v>1</v>
      </c>
      <c r="Q385" s="4" t="n">
        <v>1054</v>
      </c>
      <c r="R385" s="3" t="inlineStr">
        <is>
          <t>지정되지않음</t>
        </is>
      </c>
      <c r="S385" s="3" t="inlineStr">
        <is>
          <t>전</t>
        </is>
      </c>
      <c r="T385" s="3" t="inlineStr">
        <is>
          <t>평지</t>
        </is>
      </c>
      <c r="U385" s="3" t="inlineStr">
        <is>
          <t>가로장방</t>
        </is>
      </c>
      <c r="V385" s="3" t="inlineStr">
        <is>
          <t>중로한면</t>
        </is>
      </c>
    </row>
    <row r="386">
      <c r="A386" s="3" t="inlineStr">
        <is>
          <t>남이면 가마리 245</t>
        </is>
      </c>
      <c r="B386" s="3" t="inlineStr">
        <is>
          <t>자연녹지지역</t>
        </is>
      </c>
      <c r="C386" s="3" t="inlineStr">
        <is>
          <t>답</t>
        </is>
      </c>
      <c r="D386" s="3" t="inlineStr">
        <is>
          <t>답</t>
        </is>
      </c>
      <c r="E386" s="3" t="inlineStr">
        <is>
          <t>매매</t>
        </is>
      </c>
      <c r="F386" s="4" t="n">
        <v>322000</v>
      </c>
      <c r="G386" s="4" t="n">
        <v>3576</v>
      </c>
      <c r="H386" s="4" t="n">
        <v>1082</v>
      </c>
      <c r="I386" s="5" t="n">
        <v>297.6</v>
      </c>
      <c r="J386" s="5" t="n">
        <v>69.09999999999999</v>
      </c>
      <c r="K386" s="3" t="inlineStr">
        <is>
          <t>신설4차선접  2종근생허가득</t>
        </is>
      </c>
      <c r="L386" s="6">
        <f>HYPERLINK("https://fin.land.naver.com/articles/2652151003", "매물Link")</f>
        <v/>
      </c>
      <c r="M386" s="6">
        <f>HYPERLINK("https://map.naver.com/p/search/남이면 가마리 245", "지도Link")</f>
        <v/>
      </c>
      <c r="N386" s="6">
        <f>HYPERLINK("http://www.eum.go.kr/web/ar/lu/luLandDet.jsp?pnu=4311231038102450000&amp;isNoScr=script&amp;mode=search", "토지이음")</f>
        <v/>
      </c>
      <c r="O386" s="3" t="inlineStr">
        <is>
          <t>대길</t>
        </is>
      </c>
      <c r="P386" s="4" t="n">
        <v>1</v>
      </c>
      <c r="Q386" s="4" t="n">
        <v>1102</v>
      </c>
      <c r="R386" s="3" t="inlineStr">
        <is>
          <t>지정되지않음</t>
        </is>
      </c>
      <c r="S386" s="3" t="inlineStr">
        <is>
          <t>답</t>
        </is>
      </c>
      <c r="T386" s="3" t="inlineStr">
        <is>
          <t>평지</t>
        </is>
      </c>
      <c r="U386" s="3" t="inlineStr">
        <is>
          <t>부정형</t>
        </is>
      </c>
      <c r="V386" s="3" t="inlineStr">
        <is>
          <t>맹지</t>
        </is>
      </c>
    </row>
    <row r="387">
      <c r="A387" s="3" t="inlineStr">
        <is>
          <t>남이면 가마리 246</t>
        </is>
      </c>
      <c r="B387" s="3" t="inlineStr">
        <is>
          <t>자연녹지지역</t>
        </is>
      </c>
      <c r="C387" s="3" t="inlineStr">
        <is>
          <t>답</t>
        </is>
      </c>
      <c r="D387" s="3" t="inlineStr">
        <is>
          <t>전</t>
        </is>
      </c>
      <c r="E387" s="3" t="inlineStr">
        <is>
          <t>매매</t>
        </is>
      </c>
      <c r="F387" s="4" t="n">
        <v>260000</v>
      </c>
      <c r="G387" s="4" t="n">
        <v>2475</v>
      </c>
      <c r="H387" s="4" t="n">
        <v>749</v>
      </c>
      <c r="I387" s="5" t="n">
        <v>347.1</v>
      </c>
      <c r="J387" s="5" t="n">
        <v>69.09999999999999</v>
      </c>
      <c r="K387" s="3" t="inlineStr">
        <is>
          <t>신설4차선접, 2종근생허가득,토목완료</t>
        </is>
      </c>
      <c r="L387" s="6">
        <f>HYPERLINK("https://fin.land.naver.com/articles/2652150872", "매물Link")</f>
        <v/>
      </c>
      <c r="M387" s="6">
        <f>HYPERLINK("https://map.naver.com/p/search/남이면 가마리 246", "지도Link")</f>
        <v/>
      </c>
      <c r="N387" s="6">
        <f>HYPERLINK("http://www.eum.go.kr/web/ar/lu/luLandDet.jsp?pnu=4311231038102460000&amp;isNoScr=script&amp;mode=search", "토지이음")</f>
        <v/>
      </c>
      <c r="O387" s="3" t="inlineStr">
        <is>
          <t>대길</t>
        </is>
      </c>
      <c r="P387" s="4" t="n">
        <v>1</v>
      </c>
      <c r="Q387" s="4" t="n">
        <v>1222.2</v>
      </c>
      <c r="R387" s="3" t="inlineStr">
        <is>
          <t>지정되지않음</t>
        </is>
      </c>
      <c r="S387" s="3" t="inlineStr">
        <is>
          <t>답</t>
        </is>
      </c>
      <c r="T387" s="3" t="inlineStr">
        <is>
          <t>평지</t>
        </is>
      </c>
      <c r="U387" s="3" t="inlineStr">
        <is>
          <t>부정형</t>
        </is>
      </c>
      <c r="V387" s="3" t="inlineStr">
        <is>
          <t>맹지</t>
        </is>
      </c>
    </row>
    <row r="388">
      <c r="A388" s="3" t="inlineStr">
        <is>
          <t>남이면 가마리 264</t>
        </is>
      </c>
      <c r="B388" s="3" t="inlineStr">
        <is>
          <t>자연녹지지역</t>
        </is>
      </c>
      <c r="C388" s="3" t="inlineStr">
        <is>
          <t>답</t>
        </is>
      </c>
      <c r="D388" s="3" t="inlineStr">
        <is>
          <t>답</t>
        </is>
      </c>
      <c r="E388" s="3" t="inlineStr">
        <is>
          <t>매매</t>
        </is>
      </c>
      <c r="F388" s="4" t="n">
        <v>105000</v>
      </c>
      <c r="G388" s="4" t="n">
        <v>1739</v>
      </c>
      <c r="H388" s="4" t="n">
        <v>526</v>
      </c>
      <c r="I388" s="5" t="n">
        <v>199.6</v>
      </c>
      <c r="J388" s="5" t="n">
        <v>58.5</v>
      </c>
      <c r="K388" s="3" t="inlineStr">
        <is>
          <t>nan</t>
        </is>
      </c>
      <c r="L388" s="6">
        <f>HYPERLINK("https://fin.land.naver.com/articles/2651061295", "매물Link")</f>
        <v/>
      </c>
      <c r="M388" s="6">
        <f>HYPERLINK("https://map.naver.com/p/search/남이면 가마리 264", "지도Link")</f>
        <v/>
      </c>
      <c r="N388" s="6">
        <f>HYPERLINK("http://www.eum.go.kr/web/ar/lu/luLandDet.jsp?pnu=4311231038102640000&amp;isNoScr=script&amp;mode=search", "토지이음")</f>
        <v/>
      </c>
      <c r="O388" s="3" t="inlineStr">
        <is>
          <t>행복도시</t>
        </is>
      </c>
      <c r="P388" s="4" t="n">
        <v>1</v>
      </c>
      <c r="Q388" s="4" t="n">
        <v>1343</v>
      </c>
      <c r="R388" s="3" t="inlineStr">
        <is>
          <t>지정되지않음</t>
        </is>
      </c>
      <c r="S388" s="3" t="inlineStr">
        <is>
          <t>답</t>
        </is>
      </c>
      <c r="T388" s="3" t="inlineStr">
        <is>
          <t>평지</t>
        </is>
      </c>
      <c r="U388" s="3" t="inlineStr">
        <is>
          <t>부정형</t>
        </is>
      </c>
      <c r="V388" s="3" t="inlineStr">
        <is>
          <t>세로한면(가)</t>
        </is>
      </c>
    </row>
    <row r="389">
      <c r="A389" s="3" t="inlineStr">
        <is>
          <t>남이면 가마리 301</t>
        </is>
      </c>
      <c r="B389" s="3" t="inlineStr">
        <is>
          <t>자연녹지지역</t>
        </is>
      </c>
      <c r="C389" s="3" t="inlineStr">
        <is>
          <t>답</t>
        </is>
      </c>
      <c r="D389" s="3" t="inlineStr">
        <is>
          <t>답</t>
        </is>
      </c>
      <c r="E389" s="3" t="inlineStr">
        <is>
          <t>매매</t>
        </is>
      </c>
      <c r="F389" s="4" t="n">
        <v>290000</v>
      </c>
      <c r="G389" s="4" t="n">
        <v>4720</v>
      </c>
      <c r="H389" s="4" t="n">
        <v>1428</v>
      </c>
      <c r="I389" s="5" t="n">
        <v>203.1</v>
      </c>
      <c r="J389" s="5" t="n">
        <v>59.7</v>
      </c>
      <c r="K389" s="3" t="inlineStr">
        <is>
          <t>제2순환로에서 250미터 인접한  자연녹지,자연취락지구</t>
        </is>
      </c>
      <c r="L389" s="6">
        <f>HYPERLINK("https://fin.land.naver.com/articles/2650856471", "매물Link")</f>
        <v/>
      </c>
      <c r="M389" s="6">
        <f>HYPERLINK("https://map.naver.com/p/search/남이면 가마리 301", "지도Link")</f>
        <v/>
      </c>
      <c r="N389" s="6">
        <f>HYPERLINK("http://www.eum.go.kr/web/ar/lu/luLandDet.jsp?pnu=4311231038103010000&amp;isNoScr=script&amp;mode=search", "토지이음")</f>
        <v/>
      </c>
      <c r="O389" s="3" t="inlineStr">
        <is>
          <t>강산</t>
        </is>
      </c>
      <c r="P389" s="4" t="n">
        <v>1</v>
      </c>
      <c r="Q389" s="4" t="n">
        <v>4720</v>
      </c>
      <c r="R389" s="3" t="inlineStr">
        <is>
          <t>지정되지않음</t>
        </is>
      </c>
      <c r="S389" s="3" t="inlineStr">
        <is>
          <t>답</t>
        </is>
      </c>
      <c r="T389" s="3" t="inlineStr">
        <is>
          <t>평지</t>
        </is>
      </c>
      <c r="U389" s="3" t="inlineStr">
        <is>
          <t>부정형</t>
        </is>
      </c>
      <c r="V389" s="3" t="inlineStr">
        <is>
          <t>세로각지(가)</t>
        </is>
      </c>
    </row>
    <row r="390">
      <c r="A390" s="3" t="inlineStr">
        <is>
          <t>남이면 가마리 338</t>
        </is>
      </c>
      <c r="B390" s="3" t="inlineStr">
        <is>
          <t>자연녹지지역</t>
        </is>
      </c>
      <c r="C390" s="3" t="inlineStr">
        <is>
          <t>대</t>
        </is>
      </c>
      <c r="D390" s="3" t="inlineStr">
        <is>
          <t>대</t>
        </is>
      </c>
      <c r="E390" s="3" t="inlineStr">
        <is>
          <t>매매</t>
        </is>
      </c>
      <c r="F390" s="4" t="n">
        <v>104850</v>
      </c>
      <c r="G390" s="4" t="n">
        <v>2310</v>
      </c>
      <c r="H390" s="4" t="n">
        <v>699</v>
      </c>
      <c r="I390" s="5" t="n">
        <v>150</v>
      </c>
      <c r="J390" s="5" t="n">
        <v>98.09999999999999</v>
      </c>
      <c r="K390" s="3" t="inlineStr">
        <is>
          <t>양촌jc에서 반경1.6km이내 풀스윙배팅센터 인근 조용한곳</t>
        </is>
      </c>
      <c r="L390" s="6">
        <f>HYPERLINK("https://fin.land.naver.com/articles/2651484070", "매물Link")</f>
        <v/>
      </c>
      <c r="M390" s="6">
        <f>HYPERLINK("https://map.naver.com/p/search/남이면 가마리 338", "지도Link")</f>
        <v/>
      </c>
      <c r="N390" s="6">
        <f>HYPERLINK("http://www.eum.go.kr/web/ar/lu/luLandDet.jsp?pnu=4311231038103380000&amp;isNoScr=script&amp;mode=search", "토지이음")</f>
        <v/>
      </c>
      <c r="O390" s="3" t="inlineStr">
        <is>
          <t>윤슬</t>
        </is>
      </c>
      <c r="P390" s="4" t="n">
        <v>1</v>
      </c>
      <c r="Q390" s="4" t="n">
        <v>2311</v>
      </c>
      <c r="R390" s="3" t="inlineStr">
        <is>
          <t>지정되지않음</t>
        </is>
      </c>
      <c r="S390" s="3" t="inlineStr">
        <is>
          <t>단독</t>
        </is>
      </c>
      <c r="T390" s="3" t="inlineStr">
        <is>
          <t>평지</t>
        </is>
      </c>
      <c r="U390" s="3" t="inlineStr">
        <is>
          <t>자루형</t>
        </is>
      </c>
      <c r="V390" s="3" t="inlineStr">
        <is>
          <t>세로한면(가)</t>
        </is>
      </c>
    </row>
    <row r="391">
      <c r="A391" s="3" t="inlineStr">
        <is>
          <t>남이면 가마리 338</t>
        </is>
      </c>
      <c r="B391" s="3" t="inlineStr">
        <is>
          <t>자연녹지지역</t>
        </is>
      </c>
      <c r="C391" s="3" t="inlineStr">
        <is>
          <t>대</t>
        </is>
      </c>
      <c r="D391" s="3" t="inlineStr">
        <is>
          <t>대</t>
        </is>
      </c>
      <c r="E391" s="3" t="inlineStr">
        <is>
          <t>매매</t>
        </is>
      </c>
      <c r="F391" s="4" t="n">
        <v>68502</v>
      </c>
      <c r="G391" s="4" t="n">
        <v>2311</v>
      </c>
      <c r="H391" s="4" t="n">
        <v>699</v>
      </c>
      <c r="I391" s="5" t="n">
        <v>98</v>
      </c>
      <c r="J391" s="5" t="n">
        <v>98.09999999999999</v>
      </c>
      <c r="K391" s="3" t="inlineStr">
        <is>
          <t>가마리 자연취락지구, 대지</t>
        </is>
      </c>
      <c r="L391" s="6">
        <f>HYPERLINK("https://fin.land.naver.com/articles/2654622248", "매물Link")</f>
        <v/>
      </c>
      <c r="M391" s="6">
        <f>HYPERLINK("https://map.naver.com/p/search/남이면 가마리 338", "지도Link")</f>
        <v/>
      </c>
      <c r="N391" s="6">
        <f>HYPERLINK("http://www.eum.go.kr/web/ar/lu/luLandDet.jsp?pnu=4311231038103380000&amp;isNoScr=script&amp;mode=search", "토지이음")</f>
        <v/>
      </c>
      <c r="O391" s="3" t="inlineStr">
        <is>
          <t>토담</t>
        </is>
      </c>
      <c r="P391" s="4" t="n">
        <v>1</v>
      </c>
      <c r="Q391" s="4" t="n">
        <v>2311</v>
      </c>
      <c r="R391" s="3" t="inlineStr">
        <is>
          <t>지정되지않음</t>
        </is>
      </c>
      <c r="S391" s="3" t="inlineStr">
        <is>
          <t>단독</t>
        </is>
      </c>
      <c r="T391" s="3" t="inlineStr">
        <is>
          <t>평지</t>
        </is>
      </c>
      <c r="U391" s="3" t="inlineStr">
        <is>
          <t>자루형</t>
        </is>
      </c>
      <c r="V391" s="3" t="inlineStr">
        <is>
          <t>세로한면(가)</t>
        </is>
      </c>
    </row>
    <row r="392">
      <c r="A392" s="3" t="inlineStr">
        <is>
          <t>남이면 가마리 342-2</t>
        </is>
      </c>
      <c r="B392" s="3" t="inlineStr">
        <is>
          <t>자연녹지지역</t>
        </is>
      </c>
      <c r="C392" s="3" t="inlineStr">
        <is>
          <t>대</t>
        </is>
      </c>
      <c r="D392" s="3" t="inlineStr">
        <is>
          <t>대</t>
        </is>
      </c>
      <c r="E392" s="3" t="inlineStr">
        <is>
          <t>매매</t>
        </is>
      </c>
      <c r="F392" s="4" t="n">
        <v>60000</v>
      </c>
      <c r="G392" s="4" t="n">
        <v>1288</v>
      </c>
      <c r="H392" s="4" t="n">
        <v>390</v>
      </c>
      <c r="I392" s="5" t="n">
        <v>153.8</v>
      </c>
      <c r="J392" s="5" t="n">
        <v>88.2</v>
      </c>
      <c r="K392" s="3" t="inlineStr">
        <is>
          <t>2순환로 접근성 좋은 토지매매</t>
        </is>
      </c>
      <c r="L392" s="6">
        <f>HYPERLINK("https://fin.land.naver.com/articles/2651121463", "매물Link")</f>
        <v/>
      </c>
      <c r="M392" s="6">
        <f>HYPERLINK("https://map.naver.com/p/search/남이면 가마리 342-2", "지도Link")</f>
        <v/>
      </c>
      <c r="N392" s="6">
        <f>HYPERLINK("http://www.eum.go.kr/web/ar/lu/luLandDet.jsp?pnu=4311231038103420002&amp;isNoScr=script&amp;mode=search", "토지이음")</f>
        <v/>
      </c>
      <c r="O392" s="3" t="inlineStr">
        <is>
          <t>원탑</t>
        </is>
      </c>
      <c r="P392" s="4" t="n">
        <v>1</v>
      </c>
      <c r="Q392" s="4" t="n">
        <v>1288</v>
      </c>
      <c r="R392" s="3" t="inlineStr">
        <is>
          <t>지정되지않음</t>
        </is>
      </c>
      <c r="S392" s="3" t="inlineStr">
        <is>
          <t>단독</t>
        </is>
      </c>
      <c r="T392" s="3" t="inlineStr">
        <is>
          <t>완경사</t>
        </is>
      </c>
      <c r="U392" s="3" t="inlineStr">
        <is>
          <t>부정형</t>
        </is>
      </c>
      <c r="V392" s="3" t="inlineStr">
        <is>
          <t>세로한면(가)</t>
        </is>
      </c>
    </row>
    <row r="393">
      <c r="A393" s="3" t="inlineStr">
        <is>
          <t>남이면 가마리 산 6-17</t>
        </is>
      </c>
      <c r="B393" s="3" t="inlineStr">
        <is>
          <t>보전녹지지역</t>
        </is>
      </c>
      <c r="C393" s="3" t="inlineStr">
        <is>
          <t>임야</t>
        </is>
      </c>
      <c r="D393" s="3" t="inlineStr">
        <is>
          <t>임야</t>
        </is>
      </c>
      <c r="E393" s="3" t="inlineStr">
        <is>
          <t>매매</t>
        </is>
      </c>
      <c r="F393" s="4" t="n">
        <v>26100</v>
      </c>
      <c r="G393" s="4" t="n">
        <v>595</v>
      </c>
      <c r="H393" s="4" t="n">
        <v>180</v>
      </c>
      <c r="I393" s="5" t="n">
        <v>145</v>
      </c>
      <c r="J393" s="5" t="n">
        <v>52</v>
      </c>
      <c r="K393" s="3" t="inlineStr">
        <is>
          <t>청주 2순환로와 인접, 완전 시내권 전원주택지 시세대비 아주저렴</t>
        </is>
      </c>
      <c r="L393" s="6">
        <f>HYPERLINK("https://fin.land.naver.com/articles/2650170917", "매물Link")</f>
        <v/>
      </c>
      <c r="M393" s="6">
        <f>HYPERLINK("https://map.naver.com/p/search/남이면 가마리 산 6-17", "지도Link")</f>
        <v/>
      </c>
      <c r="N393" s="6">
        <f>HYPERLINK("http://www.eum.go.kr/web/ar/lu/luLandDet.jsp?pnu=4311231038200060017&amp;isNoScr=script&amp;mode=search", "토지이음")</f>
        <v/>
      </c>
      <c r="O393" s="3" t="inlineStr">
        <is>
          <t>좋은선택</t>
        </is>
      </c>
      <c r="P393" s="4" t="n">
        <v>1</v>
      </c>
      <c r="Q393" s="4" t="n">
        <v>510</v>
      </c>
      <c r="R393" s="3" t="inlineStr">
        <is>
          <t>지정되지않음</t>
        </is>
      </c>
      <c r="S393" s="3" t="inlineStr">
        <is>
          <t>주거나지</t>
        </is>
      </c>
      <c r="T393" s="3" t="inlineStr">
        <is>
          <t>완경사</t>
        </is>
      </c>
      <c r="U393" s="3" t="inlineStr">
        <is>
          <t>세로장방</t>
        </is>
      </c>
      <c r="V393" s="3" t="inlineStr">
        <is>
          <t>세로한면(가)</t>
        </is>
      </c>
    </row>
    <row r="394">
      <c r="A394" s="3" t="inlineStr">
        <is>
          <t>남이면 가마리 산 6-2</t>
        </is>
      </c>
      <c r="B394" s="3" t="inlineStr">
        <is>
          <t>보전녹지지역</t>
        </is>
      </c>
      <c r="C394" s="3" t="inlineStr">
        <is>
          <t>임야</t>
        </is>
      </c>
      <c r="D394" s="3" t="inlineStr">
        <is>
          <t>임야</t>
        </is>
      </c>
      <c r="E394" s="3" t="inlineStr">
        <is>
          <t>매매</t>
        </is>
      </c>
      <c r="F394" s="4" t="n">
        <v>40000</v>
      </c>
      <c r="G394" s="4" t="n">
        <v>661</v>
      </c>
      <c r="H394" s="4" t="n">
        <v>200</v>
      </c>
      <c r="I394" s="5" t="n">
        <v>200</v>
      </c>
      <c r="J394" s="5" t="n">
        <v>57.1</v>
      </c>
      <c r="K394" s="3" t="inlineStr">
        <is>
          <t>nan</t>
        </is>
      </c>
      <c r="L394" s="6">
        <f>HYPERLINK("https://fin.land.naver.com/articles/2649939735", "매물Link")</f>
        <v/>
      </c>
      <c r="M394" s="6">
        <f>HYPERLINK("https://map.naver.com/p/search/남이면 가마리 산 6-2", "지도Link")</f>
        <v/>
      </c>
      <c r="N394" s="6">
        <f>HYPERLINK("http://www.eum.go.kr/web/ar/lu/luLandDet.jsp?pnu=4311231038200060002&amp;isNoScr=script&amp;mode=search", "토지이음")</f>
        <v/>
      </c>
      <c r="O394" s="3" t="inlineStr">
        <is>
          <t>일등</t>
        </is>
      </c>
      <c r="P394" s="4" t="n">
        <v>1</v>
      </c>
      <c r="Q394" s="4" t="n">
        <v>1065</v>
      </c>
      <c r="R394" s="3" t="inlineStr">
        <is>
          <t>자연녹지지역</t>
        </is>
      </c>
      <c r="S394" s="3" t="inlineStr">
        <is>
          <t>주거나지</t>
        </is>
      </c>
      <c r="T394" s="3" t="inlineStr">
        <is>
          <t>완경사</t>
        </is>
      </c>
      <c r="U394" s="3" t="inlineStr">
        <is>
          <t>사다리형</t>
        </is>
      </c>
      <c r="V394" s="3" t="inlineStr">
        <is>
          <t>세로한면(가)</t>
        </is>
      </c>
    </row>
    <row r="395">
      <c r="A395" s="3" t="inlineStr">
        <is>
          <t>남이면 가마리 산6-6</t>
        </is>
      </c>
      <c r="B395" s="3" t="inlineStr">
        <is>
          <t>보전녹지지역</t>
        </is>
      </c>
      <c r="C395" s="3" t="inlineStr">
        <is>
          <t>임야</t>
        </is>
      </c>
      <c r="D395" s="3" t="inlineStr">
        <is>
          <t>임야</t>
        </is>
      </c>
      <c r="E395" s="3" t="inlineStr">
        <is>
          <t>매매</t>
        </is>
      </c>
      <c r="F395" s="4" t="n">
        <v>45000</v>
      </c>
      <c r="G395" s="4" t="n">
        <v>876</v>
      </c>
      <c r="H395" s="4" t="n">
        <v>265</v>
      </c>
      <c r="I395" s="5" t="n">
        <v>169.8</v>
      </c>
      <c r="J395" s="5" t="n">
        <v>41.7</v>
      </c>
      <c r="K395" s="3" t="inlineStr">
        <is>
          <t>청주 서원 남이 가마리 2순환로 인근 전원주택용지 매매, 다양한면적 보유</t>
        </is>
      </c>
      <c r="L395" s="6">
        <f>HYPERLINK("https://fin.land.naver.com/articles/2649345544", "매물Link")</f>
        <v/>
      </c>
      <c r="M395" s="6">
        <f>HYPERLINK("https://map.naver.com/p/search/남이면 가마리 산6-6", "지도Link")</f>
        <v/>
      </c>
      <c r="N395" s="6">
        <f>HYPERLINK("http://www.eum.go.kr/web/ar/lu/luLandDet.jsp?pnu=4311231038200060006&amp;isNoScr=script&amp;mode=search", "토지이음")</f>
        <v/>
      </c>
      <c r="O395" s="3" t="inlineStr">
        <is>
          <t>라인</t>
        </is>
      </c>
      <c r="P395" s="4" t="n">
        <v>1</v>
      </c>
      <c r="Q395" s="4" t="n">
        <v>678</v>
      </c>
      <c r="R395" s="3" t="inlineStr">
        <is>
          <t>지정되지않음</t>
        </is>
      </c>
      <c r="S395" s="3" t="inlineStr">
        <is>
          <t>주거나지</t>
        </is>
      </c>
      <c r="T395" s="3" t="inlineStr">
        <is>
          <t>완경사</t>
        </is>
      </c>
      <c r="U395" s="3" t="inlineStr">
        <is>
          <t>사다리형</t>
        </is>
      </c>
      <c r="V395" s="3" t="inlineStr">
        <is>
          <t>세로한면(불)</t>
        </is>
      </c>
    </row>
    <row r="396">
      <c r="A396" s="3" t="inlineStr">
        <is>
          <t>남이면 가좌리 122</t>
        </is>
      </c>
      <c r="B396" s="3" t="inlineStr">
        <is>
          <t>자연녹지지역</t>
        </is>
      </c>
      <c r="C396" s="3" t="inlineStr">
        <is>
          <t>전</t>
        </is>
      </c>
      <c r="D396" s="3" t="inlineStr">
        <is>
          <t>전</t>
        </is>
      </c>
      <c r="E396" s="3" t="inlineStr">
        <is>
          <t>매매</t>
        </is>
      </c>
      <c r="F396" s="4" t="n">
        <v>54000</v>
      </c>
      <c r="G396" s="4" t="n">
        <v>1983</v>
      </c>
      <c r="H396" s="4" t="n">
        <v>600</v>
      </c>
      <c r="I396" s="5" t="n">
        <v>90</v>
      </c>
      <c r="J396" s="5" t="n">
        <v>26.8</v>
      </c>
      <c r="K396" s="3" t="inlineStr">
        <is>
          <t>자연녹지 도로접 주택지등</t>
        </is>
      </c>
      <c r="L396" s="6">
        <f>HYPERLINK("https://fin.land.naver.com/articles/2649473928", "매물Link")</f>
        <v/>
      </c>
      <c r="M396" s="6">
        <f>HYPERLINK("https://map.naver.com/p/search/남이면 가좌리 122", "지도Link")</f>
        <v/>
      </c>
      <c r="N396" s="6">
        <f>HYPERLINK("http://www.eum.go.kr/web/ar/lu/luLandDet.jsp?pnu=4311231036101220000&amp;isNoScr=script&amp;mode=search", "토지이음")</f>
        <v/>
      </c>
      <c r="O396" s="3" t="inlineStr">
        <is>
          <t>명장</t>
        </is>
      </c>
      <c r="P396" s="4" t="n">
        <v>1</v>
      </c>
      <c r="Q396" s="4" t="n">
        <v>1478</v>
      </c>
      <c r="R396" s="3" t="inlineStr">
        <is>
          <t>지정되지않음</t>
        </is>
      </c>
      <c r="S396" s="3" t="inlineStr">
        <is>
          <t>전</t>
        </is>
      </c>
      <c r="T396" s="3" t="inlineStr">
        <is>
          <t>완경사</t>
        </is>
      </c>
      <c r="U396" s="3" t="inlineStr">
        <is>
          <t>부정형</t>
        </is>
      </c>
      <c r="V396" s="3" t="inlineStr">
        <is>
          <t>세로한면(가)</t>
        </is>
      </c>
    </row>
    <row r="397">
      <c r="A397" s="3" t="inlineStr">
        <is>
          <t>남이면 가좌리 129</t>
        </is>
      </c>
      <c r="B397" s="3" t="inlineStr">
        <is>
          <t>자연녹지지역</t>
        </is>
      </c>
      <c r="C397" s="3" t="inlineStr">
        <is>
          <t>전</t>
        </is>
      </c>
      <c r="D397" s="3" t="inlineStr">
        <is>
          <t>전</t>
        </is>
      </c>
      <c r="E397" s="3" t="inlineStr">
        <is>
          <t>매매</t>
        </is>
      </c>
      <c r="F397" s="4" t="n">
        <v>37000</v>
      </c>
      <c r="G397" s="4" t="n">
        <v>1170</v>
      </c>
      <c r="H397" s="4" t="n">
        <v>354</v>
      </c>
      <c r="I397" s="5" t="n">
        <v>104.5</v>
      </c>
      <c r="J397" s="5" t="n">
        <v>26.8</v>
      </c>
      <c r="K397" s="3" t="inlineStr">
        <is>
          <t>시내 인접토지.창고, 공장. 주말농장</t>
        </is>
      </c>
      <c r="L397" s="6">
        <f>HYPERLINK("https://fin.land.naver.com/articles/2653502250", "매물Link")</f>
        <v/>
      </c>
      <c r="M397" s="6">
        <f>HYPERLINK("https://map.naver.com/p/search/남이면 가좌리 129", "지도Link")</f>
        <v/>
      </c>
      <c r="N397" s="6">
        <f>HYPERLINK("http://www.eum.go.kr/web/ar/lu/luLandDet.jsp?pnu=4311231036101290000&amp;isNoScr=script&amp;mode=search", "토지이음")</f>
        <v/>
      </c>
      <c r="O397" s="3" t="inlineStr">
        <is>
          <t>둥지</t>
        </is>
      </c>
      <c r="P397" s="4" t="n">
        <v>1</v>
      </c>
      <c r="Q397" s="4" t="n">
        <v>1092</v>
      </c>
      <c r="R397" s="3" t="inlineStr">
        <is>
          <t>지정되지않음</t>
        </is>
      </c>
      <c r="S397" s="3" t="inlineStr">
        <is>
          <t>전</t>
        </is>
      </c>
      <c r="T397" s="3" t="inlineStr">
        <is>
          <t>완경사</t>
        </is>
      </c>
      <c r="U397" s="3" t="inlineStr">
        <is>
          <t>부정형</t>
        </is>
      </c>
      <c r="V397" s="3" t="inlineStr">
        <is>
          <t>세로한면(가)</t>
        </is>
      </c>
    </row>
    <row r="398">
      <c r="A398" s="3" t="inlineStr">
        <is>
          <t>남이면 가좌리 129</t>
        </is>
      </c>
      <c r="B398" s="3" t="inlineStr">
        <is>
          <t>자연녹지지역</t>
        </is>
      </c>
      <c r="C398" s="3" t="inlineStr">
        <is>
          <t>전</t>
        </is>
      </c>
      <c r="D398" s="3" t="inlineStr">
        <is>
          <t>전</t>
        </is>
      </c>
      <c r="E398" s="3" t="inlineStr">
        <is>
          <t>매매</t>
        </is>
      </c>
      <c r="F398" s="4" t="n">
        <v>28400</v>
      </c>
      <c r="G398" s="4" t="n">
        <v>1174</v>
      </c>
      <c r="H398" s="4" t="n">
        <v>355</v>
      </c>
      <c r="I398" s="5" t="n">
        <v>80</v>
      </c>
      <c r="J398" s="5" t="n">
        <v>26.8</v>
      </c>
      <c r="K398" s="3" t="inlineStr">
        <is>
          <t>2차선 도로에 접한 자연녹지지역의 전원주택 및 근린생활용지</t>
        </is>
      </c>
      <c r="L398" s="6">
        <f>HYPERLINK("https://fin.land.naver.com/articles/2649508253", "매물Link")</f>
        <v/>
      </c>
      <c r="M398" s="6">
        <f>HYPERLINK("https://map.naver.com/p/search/남이면 가좌리 129", "지도Link")</f>
        <v/>
      </c>
      <c r="N398" s="6">
        <f>HYPERLINK("http://www.eum.go.kr/web/ar/lu/luLandDet.jsp?pnu=4311231036101290000&amp;isNoScr=script&amp;mode=search", "토지이음")</f>
        <v/>
      </c>
      <c r="O398" s="3" t="inlineStr">
        <is>
          <t>강문구</t>
        </is>
      </c>
      <c r="P398" s="4" t="n">
        <v>2</v>
      </c>
      <c r="Q398" s="4" t="n">
        <v>1092</v>
      </c>
      <c r="R398" s="3" t="inlineStr">
        <is>
          <t>지정되지않음</t>
        </is>
      </c>
      <c r="S398" s="3" t="inlineStr">
        <is>
          <t>전</t>
        </is>
      </c>
      <c r="T398" s="3" t="inlineStr">
        <is>
          <t>완경사</t>
        </is>
      </c>
      <c r="U398" s="3" t="inlineStr">
        <is>
          <t>부정형</t>
        </is>
      </c>
      <c r="V398" s="3" t="inlineStr">
        <is>
          <t>세로한면(가)</t>
        </is>
      </c>
    </row>
    <row r="399">
      <c r="A399" s="3" t="inlineStr">
        <is>
          <t>남이면 가좌리 134-49</t>
        </is>
      </c>
      <c r="B399" s="3" t="inlineStr">
        <is>
          <t>보전녹지지역</t>
        </is>
      </c>
      <c r="C399" s="3" t="inlineStr">
        <is>
          <t>전</t>
        </is>
      </c>
      <c r="D399" s="3" t="inlineStr">
        <is>
          <t>전</t>
        </is>
      </c>
      <c r="E399" s="3" t="inlineStr">
        <is>
          <t>매매</t>
        </is>
      </c>
      <c r="F399" s="4" t="n">
        <v>120000</v>
      </c>
      <c r="G399" s="4" t="n">
        <v>6357</v>
      </c>
      <c r="H399" s="4" t="n">
        <v>1923</v>
      </c>
      <c r="I399" s="5" t="n">
        <v>62.4</v>
      </c>
      <c r="J399" s="5" t="n">
        <v>25.4</v>
      </c>
      <c r="K399" s="3" t="inlineStr">
        <is>
          <t>17번 국도 가까운 부지(급매)</t>
        </is>
      </c>
      <c r="L399" s="6">
        <f>HYPERLINK("https://fin.land.naver.com/articles/2651877519", "매물Link")</f>
        <v/>
      </c>
      <c r="M399" s="6">
        <f>HYPERLINK("https://map.naver.com/p/search/남이면 가좌리 134-49", "지도Link")</f>
        <v/>
      </c>
      <c r="N399" s="6">
        <f>HYPERLINK("http://www.eum.go.kr/web/ar/lu/luLandDet.jsp?pnu=4311231036101340049&amp;isNoScr=script&amp;mode=search", "토지이음")</f>
        <v/>
      </c>
      <c r="O399" s="3" t="inlineStr">
        <is>
          <t>조은</t>
        </is>
      </c>
      <c r="P399" s="4" t="n">
        <v>1</v>
      </c>
      <c r="Q399" s="4" t="n">
        <v>1953</v>
      </c>
      <c r="R399" s="3" t="inlineStr">
        <is>
          <t>자연녹지지역</t>
        </is>
      </c>
      <c r="S399" s="3" t="inlineStr">
        <is>
          <t>전</t>
        </is>
      </c>
      <c r="T399" s="3" t="inlineStr">
        <is>
          <t>완경사</t>
        </is>
      </c>
      <c r="U399" s="3" t="inlineStr">
        <is>
          <t>부정형</t>
        </is>
      </c>
      <c r="V399" s="3" t="inlineStr">
        <is>
          <t>세로한면(가)</t>
        </is>
      </c>
    </row>
    <row r="400">
      <c r="A400" s="3" t="inlineStr">
        <is>
          <t>남이면 가좌리 134-49</t>
        </is>
      </c>
      <c r="B400" s="3" t="inlineStr">
        <is>
          <t>보전녹지지역</t>
        </is>
      </c>
      <c r="C400" s="3" t="inlineStr">
        <is>
          <t>전</t>
        </is>
      </c>
      <c r="D400" s="3" t="inlineStr">
        <is>
          <t>전</t>
        </is>
      </c>
      <c r="E400" s="3" t="inlineStr">
        <is>
          <t>매매</t>
        </is>
      </c>
      <c r="F400" s="4" t="n">
        <v>120000</v>
      </c>
      <c r="G400" s="4" t="n">
        <v>6358</v>
      </c>
      <c r="H400" s="4" t="n">
        <v>1923</v>
      </c>
      <c r="I400" s="5" t="n">
        <v>62.4</v>
      </c>
      <c r="J400" s="5" t="n">
        <v>25.4</v>
      </c>
      <c r="K400" s="3" t="inlineStr">
        <is>
          <t>가좌리에 위치한 전원주택지 토지 급매</t>
        </is>
      </c>
      <c r="L400" s="6">
        <f>HYPERLINK("https://fin.land.naver.com/articles/2650047649", "매물Link")</f>
        <v/>
      </c>
      <c r="M400" s="6">
        <f>HYPERLINK("https://map.naver.com/p/search/남이면 가좌리 134-49", "지도Link")</f>
        <v/>
      </c>
      <c r="N400" s="6">
        <f>HYPERLINK("http://www.eum.go.kr/web/ar/lu/luLandDet.jsp?pnu=4311231036101340049&amp;isNoScr=script&amp;mode=search", "토지이음")</f>
        <v/>
      </c>
      <c r="O400" s="3" t="inlineStr">
        <is>
          <t>대지</t>
        </is>
      </c>
      <c r="P400" s="4" t="n">
        <v>1</v>
      </c>
      <c r="Q400" s="4" t="n">
        <v>1953</v>
      </c>
      <c r="R400" s="3" t="inlineStr">
        <is>
          <t>자연녹지지역</t>
        </is>
      </c>
      <c r="S400" s="3" t="inlineStr">
        <is>
          <t>전</t>
        </is>
      </c>
      <c r="T400" s="3" t="inlineStr">
        <is>
          <t>완경사</t>
        </is>
      </c>
      <c r="U400" s="3" t="inlineStr">
        <is>
          <t>부정형</t>
        </is>
      </c>
      <c r="V400" s="3" t="inlineStr">
        <is>
          <t>세로한면(가)</t>
        </is>
      </c>
    </row>
    <row r="401">
      <c r="A401" s="3" t="inlineStr">
        <is>
          <t>남이면 가좌리 191</t>
        </is>
      </c>
      <c r="B401" s="3" t="inlineStr">
        <is>
          <t>자연녹지지역</t>
        </is>
      </c>
      <c r="C401" s="3" t="inlineStr">
        <is>
          <t>전</t>
        </is>
      </c>
      <c r="D401" s="3" t="inlineStr">
        <is>
          <t>전</t>
        </is>
      </c>
      <c r="E401" s="3" t="inlineStr">
        <is>
          <t>매매</t>
        </is>
      </c>
      <c r="F401" s="4" t="n">
        <v>64000</v>
      </c>
      <c r="G401" s="4" t="n">
        <v>1514</v>
      </c>
      <c r="H401" s="4" t="n">
        <v>458</v>
      </c>
      <c r="I401" s="5" t="n">
        <v>139.7</v>
      </c>
      <c r="J401" s="5" t="n">
        <v>34.5</v>
      </c>
      <c r="K401" s="3" t="inlineStr">
        <is>
          <t>남청주 IC 10분, 2차선 도로변, 성토 완료 공장창고 최적지</t>
        </is>
      </c>
      <c r="L401" s="6">
        <f>HYPERLINK("https://fin.land.naver.com/articles/2652919050", "매물Link")</f>
        <v/>
      </c>
      <c r="M401" s="6">
        <f>HYPERLINK("https://map.naver.com/p/search/남이면 가좌리 191", "지도Link")</f>
        <v/>
      </c>
      <c r="N401" s="6">
        <f>HYPERLINK("http://www.eum.go.kr/web/ar/lu/luLandDet.jsp?pnu=4311231036101910000&amp;isNoScr=script&amp;mode=search", "토지이음")</f>
        <v/>
      </c>
      <c r="O401" s="3" t="inlineStr">
        <is>
          <t>대성오투그란데</t>
        </is>
      </c>
      <c r="P401" s="4" t="n">
        <v>1</v>
      </c>
      <c r="Q401" s="4" t="n">
        <v>1514</v>
      </c>
      <c r="R401" s="3" t="inlineStr">
        <is>
          <t>지정되지않음</t>
        </is>
      </c>
      <c r="S401" s="3" t="inlineStr">
        <is>
          <t>답</t>
        </is>
      </c>
      <c r="T401" s="3" t="inlineStr">
        <is>
          <t>완경사</t>
        </is>
      </c>
      <c r="U401" s="3" t="inlineStr">
        <is>
          <t>부정형</t>
        </is>
      </c>
      <c r="V401" s="3" t="inlineStr">
        <is>
          <t>세로한면(가)</t>
        </is>
      </c>
    </row>
    <row r="402">
      <c r="A402" s="3" t="inlineStr">
        <is>
          <t>남이면 가좌리 191-2</t>
        </is>
      </c>
      <c r="B402" s="3" t="inlineStr">
        <is>
          <t>자연녹지지역</t>
        </is>
      </c>
      <c r="C402" s="3" t="inlineStr">
        <is>
          <t>전</t>
        </is>
      </c>
      <c r="D402" s="3" t="inlineStr">
        <is>
          <t>전</t>
        </is>
      </c>
      <c r="E402" s="3" t="inlineStr">
        <is>
          <t>매매</t>
        </is>
      </c>
      <c r="F402" s="4" t="n">
        <v>98500</v>
      </c>
      <c r="G402" s="4" t="n">
        <v>993</v>
      </c>
      <c r="H402" s="4" t="n">
        <v>300</v>
      </c>
      <c r="I402" s="5" t="n">
        <v>328.3</v>
      </c>
      <c r="J402" s="5" t="n">
        <v>34.5</v>
      </c>
      <c r="K402" s="3" t="inlineStr">
        <is>
          <t>2차선 도로 접한 물류창고 최적 입지, 남청주IC 10분,</t>
        </is>
      </c>
      <c r="L402" s="6">
        <f>HYPERLINK("https://fin.land.naver.com/articles/2650782580", "매물Link")</f>
        <v/>
      </c>
      <c r="M402" s="6">
        <f>HYPERLINK("https://map.naver.com/p/search/남이면 가좌리 191-2", "지도Link")</f>
        <v/>
      </c>
      <c r="N402" s="6">
        <f>HYPERLINK("http://www.eum.go.kr/web/ar/lu/luLandDet.jsp?pnu=4311231036101910002&amp;isNoScr=script&amp;mode=search", "토지이음")</f>
        <v/>
      </c>
      <c r="O402" s="3" t="inlineStr">
        <is>
          <t>대성오투그란데</t>
        </is>
      </c>
      <c r="P402" s="4" t="n">
        <v>1</v>
      </c>
      <c r="Q402" s="4" t="n">
        <v>993</v>
      </c>
      <c r="R402" s="3" t="inlineStr">
        <is>
          <t>지정되지않음</t>
        </is>
      </c>
      <c r="S402" s="3" t="inlineStr">
        <is>
          <t>답</t>
        </is>
      </c>
      <c r="T402" s="3" t="inlineStr">
        <is>
          <t>완경사</t>
        </is>
      </c>
      <c r="U402" s="3" t="inlineStr">
        <is>
          <t>부정형</t>
        </is>
      </c>
      <c r="V402" s="3" t="inlineStr">
        <is>
          <t>세로한면(가)</t>
        </is>
      </c>
    </row>
    <row r="403">
      <c r="A403" s="3" t="inlineStr">
        <is>
          <t>남이면 가좌리 219-1</t>
        </is>
      </c>
      <c r="B403" s="3" t="inlineStr">
        <is>
          <t>자연녹지지역</t>
        </is>
      </c>
      <c r="C403" s="3" t="inlineStr">
        <is>
          <t>전</t>
        </is>
      </c>
      <c r="D403" s="3" t="inlineStr">
        <is>
          <t>전</t>
        </is>
      </c>
      <c r="E403" s="3" t="inlineStr">
        <is>
          <t>매매</t>
        </is>
      </c>
      <c r="F403" s="4" t="n">
        <v>55000</v>
      </c>
      <c r="G403" s="4" t="n">
        <v>2922</v>
      </c>
      <c r="H403" s="4" t="n">
        <v>884</v>
      </c>
      <c r="I403" s="5" t="n">
        <v>62.2</v>
      </c>
      <c r="J403" s="5" t="n">
        <v>25.9</v>
      </c>
      <c r="K403" s="3" t="inlineStr">
        <is>
          <t>전원주택, 창고용지,미래가치,도시지역</t>
        </is>
      </c>
      <c r="L403" s="6">
        <f>HYPERLINK("https://fin.land.naver.com/articles/2653495797", "매물Link")</f>
        <v/>
      </c>
      <c r="M403" s="6">
        <f>HYPERLINK("https://map.naver.com/p/search/남이면 가좌리 219-1", "지도Link")</f>
        <v/>
      </c>
      <c r="N403" s="6">
        <f>HYPERLINK("http://www.eum.go.kr/web/ar/lu/luLandDet.jsp?pnu=4311231036102190001&amp;isNoScr=script&amp;mode=search", "토지이음")</f>
        <v/>
      </c>
      <c r="O403" s="3" t="inlineStr">
        <is>
          <t>이박사</t>
        </is>
      </c>
      <c r="P403" s="4" t="n">
        <v>1</v>
      </c>
      <c r="Q403" s="4" t="n">
        <v>2922</v>
      </c>
      <c r="R403" s="3" t="inlineStr">
        <is>
          <t>지정되지않음</t>
        </is>
      </c>
      <c r="S403" s="3" t="inlineStr">
        <is>
          <t>전</t>
        </is>
      </c>
      <c r="T403" s="3" t="inlineStr">
        <is>
          <t>완경사</t>
        </is>
      </c>
      <c r="U403" s="3" t="inlineStr">
        <is>
          <t>부정형</t>
        </is>
      </c>
      <c r="V403" s="3" t="inlineStr">
        <is>
          <t>세로한면(불)</t>
        </is>
      </c>
    </row>
    <row r="404">
      <c r="A404" s="3" t="inlineStr">
        <is>
          <t>남이면 가좌리 223-160</t>
        </is>
      </c>
      <c r="B404" s="3" t="inlineStr">
        <is>
          <t>자연녹지지역</t>
        </is>
      </c>
      <c r="C404" s="3" t="inlineStr">
        <is>
          <t>임야</t>
        </is>
      </c>
      <c r="D404" s="3" t="inlineStr">
        <is>
          <t>임야</t>
        </is>
      </c>
      <c r="E404" s="3" t="inlineStr">
        <is>
          <t>매매</t>
        </is>
      </c>
      <c r="F404" s="4" t="n">
        <v>11000</v>
      </c>
      <c r="G404" s="4" t="n">
        <v>454</v>
      </c>
      <c r="H404" s="4" t="n">
        <v>137</v>
      </c>
      <c r="I404" s="5" t="n">
        <v>80.3</v>
      </c>
      <c r="J404" s="5" t="n">
        <v>70.40000000000001</v>
      </c>
      <c r="K404" s="3" t="inlineStr">
        <is>
          <t>청주 남이 가좌리 어덕마을 전원주택지</t>
        </is>
      </c>
      <c r="L404" s="6">
        <f>HYPERLINK("https://fin.land.naver.com/articles/2652455060", "매물Link")</f>
        <v/>
      </c>
      <c r="M404" s="6">
        <f>HYPERLINK("https://map.naver.com/p/search/남이면 가좌리 223-160", "지도Link")</f>
        <v/>
      </c>
      <c r="N404" s="6">
        <f>HYPERLINK("http://www.eum.go.kr/web/ar/lu/luLandDet.jsp?pnu=4311231036102230160&amp;isNoScr=script&amp;mode=search", "토지이음")</f>
        <v/>
      </c>
      <c r="O404" s="3" t="inlineStr">
        <is>
          <t>좋은선택</t>
        </is>
      </c>
      <c r="P404" s="4" t="n">
        <v>1</v>
      </c>
      <c r="Q404" s="4" t="n">
        <v>146</v>
      </c>
      <c r="R404" s="3" t="inlineStr">
        <is>
          <t>지정되지않음</t>
        </is>
      </c>
      <c r="S404" s="3" t="inlineStr">
        <is>
          <t>주거나지</t>
        </is>
      </c>
      <c r="T404" s="3" t="inlineStr">
        <is>
          <t>완경사</t>
        </is>
      </c>
      <c r="U404" s="3" t="inlineStr">
        <is>
          <t>사다리형</t>
        </is>
      </c>
      <c r="V404" s="3" t="inlineStr">
        <is>
          <t>세로한면(가)</t>
        </is>
      </c>
    </row>
    <row r="405">
      <c r="A405" s="3" t="inlineStr">
        <is>
          <t>남이면 가좌리 223-163</t>
        </is>
      </c>
      <c r="B405" s="3" t="inlineStr">
        <is>
          <t>자연녹지지역</t>
        </is>
      </c>
      <c r="C405" s="3" t="inlineStr">
        <is>
          <t>임야</t>
        </is>
      </c>
      <c r="D405" s="3" t="inlineStr">
        <is>
          <t>임야</t>
        </is>
      </c>
      <c r="E405" s="3" t="inlineStr">
        <is>
          <t>매매</t>
        </is>
      </c>
      <c r="F405" s="4" t="n">
        <v>13000</v>
      </c>
      <c r="G405" s="4" t="n">
        <v>540</v>
      </c>
      <c r="H405" s="4" t="n">
        <v>163</v>
      </c>
      <c r="I405" s="5" t="n">
        <v>79.8</v>
      </c>
      <c r="J405" s="5" t="n">
        <v>69.2</v>
      </c>
      <c r="K405" s="3" t="inlineStr">
        <is>
          <t>청주시 서원구 남이면 가좌리 어덕마을 전원주택지내 전원주택용 토지</t>
        </is>
      </c>
      <c r="L405" s="6">
        <f>HYPERLINK("https://fin.land.naver.com/articles/2652455294", "매물Link")</f>
        <v/>
      </c>
      <c r="M405" s="6">
        <f>HYPERLINK("https://map.naver.com/p/search/남이면 가좌리 223-163", "지도Link")</f>
        <v/>
      </c>
      <c r="N405" s="6">
        <f>HYPERLINK("http://www.eum.go.kr/web/ar/lu/luLandDet.jsp?pnu=4311231036102230163&amp;isNoScr=script&amp;mode=search", "토지이음")</f>
        <v/>
      </c>
      <c r="O405" s="3" t="inlineStr">
        <is>
          <t>좋은선택</t>
        </is>
      </c>
      <c r="P405" s="4" t="n">
        <v>1</v>
      </c>
      <c r="Q405" s="4" t="n">
        <v>474</v>
      </c>
      <c r="R405" s="3" t="inlineStr">
        <is>
          <t>지정되지않음</t>
        </is>
      </c>
      <c r="S405" s="3" t="inlineStr">
        <is>
          <t>주거나지</t>
        </is>
      </c>
      <c r="T405" s="3" t="inlineStr">
        <is>
          <t>완경사</t>
        </is>
      </c>
      <c r="U405" s="3" t="inlineStr">
        <is>
          <t>사다리형</t>
        </is>
      </c>
      <c r="V405" s="3" t="inlineStr">
        <is>
          <t>세로한면(가)</t>
        </is>
      </c>
    </row>
    <row r="406">
      <c r="A406" s="3" t="inlineStr">
        <is>
          <t>남이면 가좌리 223-163</t>
        </is>
      </c>
      <c r="B406" s="3" t="inlineStr">
        <is>
          <t>자연녹지지역</t>
        </is>
      </c>
      <c r="C406" s="3" t="inlineStr">
        <is>
          <t>임야</t>
        </is>
      </c>
      <c r="D406" s="3" t="inlineStr">
        <is>
          <t>임야</t>
        </is>
      </c>
      <c r="E406" s="3" t="inlineStr">
        <is>
          <t>매매</t>
        </is>
      </c>
      <c r="F406" s="4" t="n">
        <v>13000</v>
      </c>
      <c r="G406" s="4" t="n">
        <v>540</v>
      </c>
      <c r="H406" s="4" t="n">
        <v>163</v>
      </c>
      <c r="I406" s="5" t="n">
        <v>79.8</v>
      </c>
      <c r="J406" s="5" t="n">
        <v>69.2</v>
      </c>
      <c r="K406" s="3" t="inlineStr">
        <is>
          <t>청주시 서원구 남이면 가좌리 어덕마을 전원주택지내 전원주택용 토지</t>
        </is>
      </c>
      <c r="L406" s="6">
        <f>HYPERLINK("https://fin.land.naver.com/articles/2649323311", "매물Link")</f>
        <v/>
      </c>
      <c r="M406" s="6">
        <f>HYPERLINK("https://map.naver.com/p/search/남이면 가좌리 223-163", "지도Link")</f>
        <v/>
      </c>
      <c r="N406" s="6">
        <f>HYPERLINK("http://www.eum.go.kr/web/ar/lu/luLandDet.jsp?pnu=4311231036102230163&amp;isNoScr=script&amp;mode=search", "토지이음")</f>
        <v/>
      </c>
      <c r="O406" s="3" t="inlineStr">
        <is>
          <t>좋은선택</t>
        </is>
      </c>
      <c r="P406" s="4" t="n">
        <v>1</v>
      </c>
      <c r="Q406" s="4" t="n">
        <v>474</v>
      </c>
      <c r="R406" s="3" t="inlineStr">
        <is>
          <t>지정되지않음</t>
        </is>
      </c>
      <c r="S406" s="3" t="inlineStr">
        <is>
          <t>주거나지</t>
        </is>
      </c>
      <c r="T406" s="3" t="inlineStr">
        <is>
          <t>완경사</t>
        </is>
      </c>
      <c r="U406" s="3" t="inlineStr">
        <is>
          <t>사다리형</t>
        </is>
      </c>
      <c r="V406" s="3" t="inlineStr">
        <is>
          <t>세로한면(가)</t>
        </is>
      </c>
    </row>
    <row r="407">
      <c r="A407" s="3" t="inlineStr">
        <is>
          <t>남이면 가좌리 223-28</t>
        </is>
      </c>
      <c r="B407" s="3" t="inlineStr">
        <is>
          <t>자연녹지지역</t>
        </is>
      </c>
      <c r="C407" s="3" t="inlineStr">
        <is>
          <t>임야</t>
        </is>
      </c>
      <c r="D407" s="3" t="inlineStr">
        <is>
          <t>임야</t>
        </is>
      </c>
      <c r="E407" s="3" t="inlineStr">
        <is>
          <t>매매</t>
        </is>
      </c>
      <c r="F407" s="4" t="n">
        <v>18900</v>
      </c>
      <c r="G407" s="4" t="n">
        <v>126</v>
      </c>
      <c r="H407" s="4" t="n">
        <v>38</v>
      </c>
      <c r="I407" s="5" t="n">
        <v>497.4</v>
      </c>
      <c r="J407" s="5" t="n">
        <v>69.2</v>
      </c>
      <c r="K407" s="3" t="inlineStr">
        <is>
          <t>단독주택지 한가운데 위치한 토지, 탁트인 뷰, 카페자리추천</t>
        </is>
      </c>
      <c r="L407" s="6">
        <f>HYPERLINK("https://fin.land.naver.com/articles/2649972309", "매물Link")</f>
        <v/>
      </c>
      <c r="M407" s="6">
        <f>HYPERLINK("https://map.naver.com/p/search/남이면 가좌리 223-28", "지도Link")</f>
        <v/>
      </c>
      <c r="N407" s="6">
        <f>HYPERLINK("http://www.eum.go.kr/web/ar/lu/luLandDet.jsp?pnu=4311231036102230028&amp;isNoScr=script&amp;mode=search", "토지이음")</f>
        <v/>
      </c>
      <c r="O407" s="3" t="inlineStr">
        <is>
          <t>명진</t>
        </is>
      </c>
      <c r="P407" s="4" t="n">
        <v>1</v>
      </c>
      <c r="Q407" s="4" t="n">
        <v>416</v>
      </c>
      <c r="R407" s="3" t="inlineStr">
        <is>
          <t>지정되지않음</t>
        </is>
      </c>
      <c r="S407" s="3" t="inlineStr">
        <is>
          <t>주거나지</t>
        </is>
      </c>
      <c r="T407" s="3" t="inlineStr">
        <is>
          <t>완경사</t>
        </is>
      </c>
      <c r="U407" s="3" t="inlineStr">
        <is>
          <t>사다리형</t>
        </is>
      </c>
      <c r="V407" s="3" t="inlineStr">
        <is>
          <t>세로한면(가)</t>
        </is>
      </c>
    </row>
    <row r="408">
      <c r="A408" s="3" t="inlineStr">
        <is>
          <t>남이면 가좌리 223-37</t>
        </is>
      </c>
      <c r="B408" s="3" t="inlineStr">
        <is>
          <t>자연녹지지역</t>
        </is>
      </c>
      <c r="C408" s="3" t="inlineStr">
        <is>
          <t>임야</t>
        </is>
      </c>
      <c r="D408" s="3" t="inlineStr">
        <is>
          <t>임야</t>
        </is>
      </c>
      <c r="E408" s="3" t="inlineStr">
        <is>
          <t>매매</t>
        </is>
      </c>
      <c r="F408" s="4" t="n">
        <v>16900</v>
      </c>
      <c r="G408" s="4" t="n">
        <v>538</v>
      </c>
      <c r="H408" s="4" t="n">
        <v>163</v>
      </c>
      <c r="I408" s="5" t="n">
        <v>103.7</v>
      </c>
      <c r="J408" s="5" t="n">
        <v>69.2</v>
      </c>
      <c r="K408" s="3" t="inlineStr">
        <is>
          <t>남이면 가좌리 어덕마을 전원주택부지 매매</t>
        </is>
      </c>
      <c r="L408" s="6">
        <f>HYPERLINK("https://fin.land.naver.com/articles/2649936591", "매물Link")</f>
        <v/>
      </c>
      <c r="M408" s="6">
        <f>HYPERLINK("https://map.naver.com/p/search/남이면 가좌리 223-37", "지도Link")</f>
        <v/>
      </c>
      <c r="N408" s="6">
        <f>HYPERLINK("http://www.eum.go.kr/web/ar/lu/luLandDet.jsp?pnu=4311231036102230037&amp;isNoScr=script&amp;mode=search", "토지이음")</f>
        <v/>
      </c>
      <c r="O408" s="3" t="inlineStr">
        <is>
          <t>탄탄</t>
        </is>
      </c>
      <c r="P408" s="4" t="n">
        <v>1</v>
      </c>
      <c r="Q408" s="4" t="n">
        <v>473</v>
      </c>
      <c r="R408" s="3" t="inlineStr">
        <is>
          <t>지정되지않음</t>
        </is>
      </c>
      <c r="S408" s="3" t="inlineStr">
        <is>
          <t>주거나지</t>
        </is>
      </c>
      <c r="T408" s="3" t="inlineStr">
        <is>
          <t>완경사</t>
        </is>
      </c>
      <c r="U408" s="3" t="inlineStr">
        <is>
          <t>사다리형</t>
        </is>
      </c>
      <c r="V408" s="3" t="inlineStr">
        <is>
          <t>세로한면(가)</t>
        </is>
      </c>
    </row>
    <row r="409">
      <c r="A409" s="3" t="inlineStr">
        <is>
          <t>남이면 가좌리 235</t>
        </is>
      </c>
      <c r="B409" s="3" t="inlineStr">
        <is>
          <t>자연녹지지역</t>
        </is>
      </c>
      <c r="C409" s="3" t="inlineStr">
        <is>
          <t>대</t>
        </is>
      </c>
      <c r="D409" s="3" t="inlineStr">
        <is>
          <t>대</t>
        </is>
      </c>
      <c r="E409" s="3" t="inlineStr">
        <is>
          <t>매매</t>
        </is>
      </c>
      <c r="F409" s="4" t="n">
        <v>200000</v>
      </c>
      <c r="G409" s="4" t="n">
        <v>3130</v>
      </c>
      <c r="H409" s="4" t="n">
        <v>947</v>
      </c>
      <c r="I409" s="5" t="n">
        <v>211.2</v>
      </c>
      <c r="J409" s="5" t="n">
        <v>96.59999999999999</v>
      </c>
      <c r="K409" s="3" t="inlineStr">
        <is>
          <t>1층식당, 2층 주택, 대전 청주 17번 국도변에 위치</t>
        </is>
      </c>
      <c r="L409" s="6">
        <f>HYPERLINK("https://fin.land.naver.com/articles/2653353135", "매물Link")</f>
        <v/>
      </c>
      <c r="M409" s="6">
        <f>HYPERLINK("https://map.naver.com/p/search/남이면 가좌리 235", "지도Link")</f>
        <v/>
      </c>
      <c r="N409" s="6">
        <f>HYPERLINK("http://www.eum.go.kr/web/ar/lu/luLandDet.jsp?pnu=4311231036102350000&amp;isNoScr=script&amp;mode=search", "토지이음")</f>
        <v/>
      </c>
      <c r="O409" s="3" t="inlineStr">
        <is>
          <t>황제</t>
        </is>
      </c>
      <c r="P409" s="4" t="n">
        <v>1</v>
      </c>
      <c r="Q409" s="4" t="n">
        <v>3130</v>
      </c>
      <c r="R409" s="3" t="inlineStr">
        <is>
          <t>지정되지않음</t>
        </is>
      </c>
      <c r="S409" s="3" t="inlineStr">
        <is>
          <t>상업용</t>
        </is>
      </c>
      <c r="T409" s="3" t="inlineStr">
        <is>
          <t>평지</t>
        </is>
      </c>
      <c r="U409" s="3" t="inlineStr">
        <is>
          <t>부정형</t>
        </is>
      </c>
      <c r="V409" s="3" t="inlineStr">
        <is>
          <t>세로한면(가)</t>
        </is>
      </c>
    </row>
    <row r="410">
      <c r="A410" s="3" t="inlineStr">
        <is>
          <t>남이면 가좌리 259</t>
        </is>
      </c>
      <c r="B410" s="3" t="inlineStr">
        <is>
          <t>자연녹지지역</t>
        </is>
      </c>
      <c r="C410" s="3" t="inlineStr">
        <is>
          <t>전</t>
        </is>
      </c>
      <c r="D410" s="3" t="inlineStr">
        <is>
          <t>전</t>
        </is>
      </c>
      <c r="E410" s="3" t="inlineStr">
        <is>
          <t>매매</t>
        </is>
      </c>
      <c r="F410" s="4" t="n">
        <v>131000</v>
      </c>
      <c r="G410" s="4" t="n">
        <v>1237</v>
      </c>
      <c r="H410" s="4" t="n">
        <v>374</v>
      </c>
      <c r="I410" s="5" t="n">
        <v>350.3</v>
      </c>
      <c r="J410" s="5" t="n">
        <v>31.6</v>
      </c>
      <c r="K410" s="3" t="inlineStr">
        <is>
          <t>대도로변 위치했어요. 다용도 건축가능. 절충가능해요.</t>
        </is>
      </c>
      <c r="L410" s="6">
        <f>HYPERLINK("https://fin.land.naver.com/articles/2649503128", "매물Link")</f>
        <v/>
      </c>
      <c r="M410" s="6">
        <f>HYPERLINK("https://map.naver.com/p/search/남이면 가좌리 259", "지도Link")</f>
        <v/>
      </c>
      <c r="N410" s="6">
        <f>HYPERLINK("http://www.eum.go.kr/web/ar/lu/luLandDet.jsp?pnu=4311231036102590000&amp;isNoScr=script&amp;mode=search", "토지이음")</f>
        <v/>
      </c>
      <c r="O410" s="3" t="inlineStr">
        <is>
          <t>하니힐데스</t>
        </is>
      </c>
      <c r="P410" s="4" t="n">
        <v>1</v>
      </c>
      <c r="Q410" s="4" t="n">
        <v>1237</v>
      </c>
      <c r="R410" s="3" t="inlineStr">
        <is>
          <t>보전녹지지역</t>
        </is>
      </c>
      <c r="S410" s="3" t="inlineStr">
        <is>
          <t>전</t>
        </is>
      </c>
      <c r="T410" s="3" t="inlineStr">
        <is>
          <t>평지</t>
        </is>
      </c>
      <c r="U410" s="3" t="inlineStr">
        <is>
          <t>부정형</t>
        </is>
      </c>
      <c r="V410" s="3" t="inlineStr">
        <is>
          <t>중로한면</t>
        </is>
      </c>
    </row>
    <row r="411">
      <c r="A411" s="3" t="inlineStr">
        <is>
          <t>남이면 가좌리 259</t>
        </is>
      </c>
      <c r="B411" s="3" t="inlineStr">
        <is>
          <t>자연녹지지역</t>
        </is>
      </c>
      <c r="C411" s="3" t="inlineStr">
        <is>
          <t>전</t>
        </is>
      </c>
      <c r="D411" s="3" t="inlineStr">
        <is>
          <t>전</t>
        </is>
      </c>
      <c r="E411" s="3" t="inlineStr">
        <is>
          <t>매매</t>
        </is>
      </c>
      <c r="F411" s="4" t="n">
        <v>100000</v>
      </c>
      <c r="G411" s="4" t="n">
        <v>1237</v>
      </c>
      <c r="H411" s="4" t="n">
        <v>374</v>
      </c>
      <c r="I411" s="5" t="n">
        <v>267.4</v>
      </c>
      <c r="J411" s="5" t="n">
        <v>31.6</v>
      </c>
      <c r="K411" s="3" t="inlineStr">
        <is>
          <t>남이면 가좌리 광고효과 좋은 대로변 토지 매매.</t>
        </is>
      </c>
      <c r="L411" s="6">
        <f>HYPERLINK("https://fin.land.naver.com/articles/2654154168", "매물Link")</f>
        <v/>
      </c>
      <c r="M411" s="6">
        <f>HYPERLINK("https://map.naver.com/p/search/남이면 가좌리 259", "지도Link")</f>
        <v/>
      </c>
      <c r="N411" s="6">
        <f>HYPERLINK("http://www.eum.go.kr/web/ar/lu/luLandDet.jsp?pnu=4311231036102590000&amp;isNoScr=script&amp;mode=search", "토지이음")</f>
        <v/>
      </c>
      <c r="O411" s="3" t="inlineStr">
        <is>
          <t>방서에이스</t>
        </is>
      </c>
      <c r="P411" s="4" t="n">
        <v>1</v>
      </c>
      <c r="Q411" s="4" t="n">
        <v>1237</v>
      </c>
      <c r="R411" s="3" t="inlineStr">
        <is>
          <t>보전녹지지역</t>
        </is>
      </c>
      <c r="S411" s="3" t="inlineStr">
        <is>
          <t>전</t>
        </is>
      </c>
      <c r="T411" s="3" t="inlineStr">
        <is>
          <t>평지</t>
        </is>
      </c>
      <c r="U411" s="3" t="inlineStr">
        <is>
          <t>부정형</t>
        </is>
      </c>
      <c r="V411" s="3" t="inlineStr">
        <is>
          <t>중로한면</t>
        </is>
      </c>
    </row>
    <row r="412">
      <c r="A412" s="3" t="inlineStr">
        <is>
          <t>남이면 가좌리 308</t>
        </is>
      </c>
      <c r="B412" s="3" t="inlineStr">
        <is>
          <t>자연녹지지역</t>
        </is>
      </c>
      <c r="C412" s="3" t="inlineStr">
        <is>
          <t>답</t>
        </is>
      </c>
      <c r="D412" s="3" t="inlineStr">
        <is>
          <t>답</t>
        </is>
      </c>
      <c r="E412" s="3" t="inlineStr">
        <is>
          <t>매매</t>
        </is>
      </c>
      <c r="F412" s="4" t="n">
        <v>110000</v>
      </c>
      <c r="G412" s="4" t="n">
        <v>4692</v>
      </c>
      <c r="H412" s="4" t="n">
        <v>1419</v>
      </c>
      <c r="I412" s="5" t="n">
        <v>77.5</v>
      </c>
      <c r="J412" s="5" t="n">
        <v>25.1</v>
      </c>
      <c r="K412" s="3" t="inlineStr">
        <is>
          <t>남이면 가좌리 토목공사 완료된 토지 매매.제조업가능.</t>
        </is>
      </c>
      <c r="L412" s="6">
        <f>HYPERLINK("https://fin.land.naver.com/articles/2649624673", "매물Link")</f>
        <v/>
      </c>
      <c r="M412" s="6">
        <f>HYPERLINK("https://map.naver.com/p/search/남이면 가좌리 308", "지도Link")</f>
        <v/>
      </c>
      <c r="N412" s="6">
        <f>HYPERLINK("http://www.eum.go.kr/web/ar/lu/luLandDet.jsp?pnu=4311231036103080000&amp;isNoScr=script&amp;mode=search", "토지이음")</f>
        <v/>
      </c>
      <c r="O412" s="3" t="inlineStr">
        <is>
          <t>방서에이스</t>
        </is>
      </c>
      <c r="P412" s="4" t="n">
        <v>1</v>
      </c>
      <c r="Q412" s="4" t="n">
        <v>1711</v>
      </c>
      <c r="R412" s="3" t="inlineStr">
        <is>
          <t>지정되지않음</t>
        </is>
      </c>
      <c r="S412" s="3" t="inlineStr">
        <is>
          <t>답</t>
        </is>
      </c>
      <c r="T412" s="3" t="inlineStr">
        <is>
          <t>완경사</t>
        </is>
      </c>
      <c r="U412" s="3" t="inlineStr">
        <is>
          <t>부정형</t>
        </is>
      </c>
      <c r="V412" s="3" t="inlineStr">
        <is>
          <t>세로한면(불)</t>
        </is>
      </c>
    </row>
    <row r="413">
      <c r="A413" s="3" t="inlineStr">
        <is>
          <t>남이면 가좌리 54</t>
        </is>
      </c>
      <c r="B413" s="3" t="inlineStr">
        <is>
          <t>자연녹지지역</t>
        </is>
      </c>
      <c r="C413" s="3" t="inlineStr">
        <is>
          <t>전</t>
        </is>
      </c>
      <c r="D413" s="3" t="inlineStr">
        <is>
          <t>전</t>
        </is>
      </c>
      <c r="E413" s="3" t="inlineStr">
        <is>
          <t>매매</t>
        </is>
      </c>
      <c r="F413" s="4" t="n">
        <v>46600</v>
      </c>
      <c r="G413" s="4" t="n">
        <v>2371</v>
      </c>
      <c r="H413" s="4" t="n">
        <v>717</v>
      </c>
      <c r="I413" s="5" t="n">
        <v>65</v>
      </c>
      <c r="J413" s="5" t="n">
        <v>24</v>
      </c>
      <c r="K413" s="3" t="inlineStr">
        <is>
          <t>nan</t>
        </is>
      </c>
      <c r="L413" s="6">
        <f>HYPERLINK("https://fin.land.naver.com/articles/2651710438", "매물Link")</f>
        <v/>
      </c>
      <c r="M413" s="6">
        <f>HYPERLINK("https://map.naver.com/p/search/남이면 가좌리 54", "지도Link")</f>
        <v/>
      </c>
      <c r="N413" s="6">
        <f>HYPERLINK("http://www.eum.go.kr/web/ar/lu/luLandDet.jsp?pnu=4311231036100540000&amp;isNoScr=script&amp;mode=search", "토지이음")</f>
        <v/>
      </c>
      <c r="O413" s="3" t="inlineStr">
        <is>
          <t>대길</t>
        </is>
      </c>
      <c r="P413" s="4" t="n">
        <v>1</v>
      </c>
      <c r="Q413" s="4" t="n">
        <v>2371</v>
      </c>
      <c r="R413" s="3" t="inlineStr">
        <is>
          <t>지정되지않음</t>
        </is>
      </c>
      <c r="S413" s="3" t="inlineStr">
        <is>
          <t>전</t>
        </is>
      </c>
      <c r="T413" s="3" t="inlineStr">
        <is>
          <t>완경사</t>
        </is>
      </c>
      <c r="U413" s="3" t="inlineStr">
        <is>
          <t>부정형</t>
        </is>
      </c>
      <c r="V413" s="3" t="inlineStr">
        <is>
          <t>세로한면(불)</t>
        </is>
      </c>
    </row>
    <row r="414">
      <c r="A414" s="3" t="inlineStr">
        <is>
          <t>남이면 가좌리 97-2</t>
        </is>
      </c>
      <c r="B414" s="3" t="inlineStr">
        <is>
          <t>자연녹지지역</t>
        </is>
      </c>
      <c r="C414" s="3" t="inlineStr">
        <is>
          <t>대</t>
        </is>
      </c>
      <c r="D414" s="3" t="inlineStr">
        <is>
          <t>대</t>
        </is>
      </c>
      <c r="E414" s="3" t="inlineStr">
        <is>
          <t>매매</t>
        </is>
      </c>
      <c r="F414" s="4" t="n">
        <v>35000</v>
      </c>
      <c r="G414" s="4" t="n">
        <v>655</v>
      </c>
      <c r="H414" s="4" t="n">
        <v>198</v>
      </c>
      <c r="I414" s="5" t="n">
        <v>176.8</v>
      </c>
      <c r="J414" s="5" t="n">
        <v>69.7</v>
      </c>
      <c r="K414" s="3" t="inlineStr">
        <is>
          <t>가좌리 도심접근성좋은 전원주택지 조용하고 쾌적한 전원생활</t>
        </is>
      </c>
      <c r="L414" s="6">
        <f>HYPERLINK("https://fin.land.naver.com/articles/2651026619", "매물Link")</f>
        <v/>
      </c>
      <c r="M414" s="6">
        <f>HYPERLINK("https://map.naver.com/p/search/남이면 가좌리 97-2", "지도Link")</f>
        <v/>
      </c>
      <c r="N414" s="6">
        <f>HYPERLINK("http://www.eum.go.kr/web/ar/lu/luLandDet.jsp?pnu=4311231036100970002&amp;isNoScr=script&amp;mode=search", "토지이음")</f>
        <v/>
      </c>
      <c r="O414" s="3" t="inlineStr">
        <is>
          <t>프라임</t>
        </is>
      </c>
      <c r="P414" s="4" t="n">
        <v>1</v>
      </c>
      <c r="Q414" s="4" t="n">
        <v>655</v>
      </c>
      <c r="R414" s="3" t="inlineStr">
        <is>
          <t>지정되지않음</t>
        </is>
      </c>
      <c r="S414" s="3" t="inlineStr">
        <is>
          <t>주거나지</t>
        </is>
      </c>
      <c r="T414" s="3" t="inlineStr">
        <is>
          <t>평지</t>
        </is>
      </c>
      <c r="U414" s="3" t="inlineStr">
        <is>
          <t>부정형</t>
        </is>
      </c>
      <c r="V414" s="3" t="inlineStr">
        <is>
          <t>소로각지</t>
        </is>
      </c>
    </row>
    <row r="415">
      <c r="A415" s="3" t="inlineStr">
        <is>
          <t>남이면 가좌리 산 70-3</t>
        </is>
      </c>
      <c r="B415" s="3" t="inlineStr">
        <is>
          <t>보전녹지지역</t>
        </is>
      </c>
      <c r="C415" s="3" t="inlineStr">
        <is>
          <t>임야</t>
        </is>
      </c>
      <c r="D415" s="3" t="inlineStr">
        <is>
          <t>임야</t>
        </is>
      </c>
      <c r="E415" s="3" t="inlineStr">
        <is>
          <t>매매</t>
        </is>
      </c>
      <c r="F415" s="4" t="n">
        <v>131800</v>
      </c>
      <c r="G415" s="4" t="n">
        <v>4990</v>
      </c>
      <c r="H415" s="4" t="n">
        <v>1509</v>
      </c>
      <c r="I415" s="5" t="n">
        <v>87.3</v>
      </c>
      <c r="J415" s="5" t="n">
        <v>3.7</v>
      </c>
      <c r="K415" s="3" t="inlineStr">
        <is>
          <t>사진 有 남청주ic구 청원ic 8분 접근성 좋은 창고부지</t>
        </is>
      </c>
      <c r="L415" s="6">
        <f>HYPERLINK("https://fin.land.naver.com/articles/2650890338", "매물Link")</f>
        <v/>
      </c>
      <c r="M415" s="6">
        <f>HYPERLINK("https://map.naver.com/p/search/남이면 가좌리 산 70-3", "지도Link")</f>
        <v/>
      </c>
      <c r="N415" s="6">
        <f>HYPERLINK("http://www.eum.go.kr/web/ar/lu/luLandDet.jsp?pnu=4311231036200700003&amp;isNoScr=script&amp;mode=search", "토지이음")</f>
        <v/>
      </c>
      <c r="O415" s="3" t="inlineStr">
        <is>
          <t>청주대장</t>
        </is>
      </c>
      <c r="P415" s="4" t="n">
        <v>1</v>
      </c>
      <c r="Q415" s="4" t="n">
        <v>2483</v>
      </c>
      <c r="R415" s="3" t="inlineStr">
        <is>
          <t>지정되지않음</t>
        </is>
      </c>
      <c r="S415" s="3" t="inlineStr">
        <is>
          <t>자연림</t>
        </is>
      </c>
      <c r="T415" s="3" t="inlineStr">
        <is>
          <t>급경사</t>
        </is>
      </c>
      <c r="U415" s="3" t="inlineStr">
        <is>
          <t>부정형</t>
        </is>
      </c>
      <c r="V415" s="3" t="inlineStr">
        <is>
          <t>세로한면(가)</t>
        </is>
      </c>
    </row>
    <row r="416">
      <c r="A416" s="3" t="inlineStr">
        <is>
          <t>남이면 가좌리 산63-22</t>
        </is>
      </c>
      <c r="B416" s="3" t="inlineStr">
        <is>
          <t>보전녹지지역</t>
        </is>
      </c>
      <c r="C416" s="3" t="inlineStr">
        <is>
          <t>임야</t>
        </is>
      </c>
      <c r="D416" s="3" t="inlineStr">
        <is>
          <t>임야</t>
        </is>
      </c>
      <c r="E416" s="3" t="inlineStr">
        <is>
          <t>매매</t>
        </is>
      </c>
      <c r="F416" s="4" t="n">
        <v>11000</v>
      </c>
      <c r="G416" s="4" t="n">
        <v>409</v>
      </c>
      <c r="H416" s="4" t="n">
        <v>124</v>
      </c>
      <c r="I416" s="5" t="n">
        <v>88.7</v>
      </c>
      <c r="J416" s="5" t="n">
        <v>19.5</v>
      </c>
      <c r="K416" s="3" t="inlineStr">
        <is>
          <t>nan</t>
        </is>
      </c>
      <c r="L416" s="6">
        <f>HYPERLINK("https://fin.land.naver.com/articles/2652058035", "매물Link")</f>
        <v/>
      </c>
      <c r="M416" s="6">
        <f>HYPERLINK("https://map.naver.com/p/search/남이면 가좌리 산63-22", "지도Link")</f>
        <v/>
      </c>
      <c r="N416" s="6">
        <f>HYPERLINK("http://www.eum.go.kr/web/ar/lu/luLandDet.jsp?pnu=4311231036200630022&amp;isNoScr=script&amp;mode=search", "토지이음")</f>
        <v/>
      </c>
      <c r="O416" s="3" t="inlineStr">
        <is>
          <t>거림</t>
        </is>
      </c>
      <c r="P416" s="4" t="n">
        <v>1</v>
      </c>
      <c r="Q416" s="4" t="n">
        <v>282</v>
      </c>
      <c r="R416" s="3" t="inlineStr">
        <is>
          <t>지정되지않음</t>
        </is>
      </c>
      <c r="S416" s="3" t="inlineStr">
        <is>
          <t>주거나지</t>
        </is>
      </c>
      <c r="T416" s="3" t="inlineStr">
        <is>
          <t>완경사</t>
        </is>
      </c>
      <c r="U416" s="3" t="inlineStr">
        <is>
          <t>사다리형</t>
        </is>
      </c>
      <c r="V416" s="3" t="inlineStr">
        <is>
          <t>세로한면(가)</t>
        </is>
      </c>
    </row>
    <row r="417">
      <c r="A417" s="3" t="inlineStr">
        <is>
          <t>남이면 갈원리 207-3</t>
        </is>
      </c>
      <c r="B417" s="3" t="inlineStr">
        <is>
          <t>계획관리지역</t>
        </is>
      </c>
      <c r="C417" s="3" t="inlineStr">
        <is>
          <t>주유소용지</t>
        </is>
      </c>
      <c r="D417" s="3" t="inlineStr">
        <is>
          <t>주유소용지</t>
        </is>
      </c>
      <c r="E417" s="3" t="inlineStr">
        <is>
          <t>매매</t>
        </is>
      </c>
      <c r="F417" s="4" t="n">
        <v>180000</v>
      </c>
      <c r="G417" s="4" t="n">
        <v>1805</v>
      </c>
      <c r="H417" s="4" t="n">
        <v>546</v>
      </c>
      <c r="I417" s="5" t="n">
        <v>329.7</v>
      </c>
      <c r="J417" s="5" t="n">
        <v>66.2</v>
      </c>
      <c r="K417" s="3" t="inlineStr">
        <is>
          <t>갈원리 계획관리지역의 위치 좋은 주유소용지 매매이예요</t>
        </is>
      </c>
      <c r="L417" s="6">
        <f>HYPERLINK("https://fin.land.naver.com/articles/2651068722", "매물Link")</f>
        <v/>
      </c>
      <c r="M417" s="6">
        <f>HYPERLINK("https://map.naver.com/p/search/남이면 갈원리 207-3", "지도Link")</f>
        <v/>
      </c>
      <c r="N417" s="6">
        <f>HYPERLINK("http://www.eum.go.kr/web/ar/lu/luLandDet.jsp?pnu=4311231029102070003&amp;isNoScr=script&amp;mode=search", "토지이음")</f>
        <v/>
      </c>
      <c r="O417" s="3" t="inlineStr">
        <is>
          <t>4989명품</t>
        </is>
      </c>
      <c r="P417" s="4" t="n">
        <v>1</v>
      </c>
      <c r="Q417" s="4" t="n">
        <v>1484</v>
      </c>
      <c r="R417" s="3" t="inlineStr">
        <is>
          <t>지정되지않음</t>
        </is>
      </c>
      <c r="S417" s="3" t="inlineStr">
        <is>
          <t>상업용</t>
        </is>
      </c>
      <c r="T417" s="3" t="inlineStr">
        <is>
          <t>평지</t>
        </is>
      </c>
      <c r="U417" s="3" t="inlineStr">
        <is>
          <t>부정형</t>
        </is>
      </c>
      <c r="V417" s="3" t="inlineStr">
        <is>
          <t>소로한면</t>
        </is>
      </c>
    </row>
    <row r="418">
      <c r="A418" s="3" t="inlineStr">
        <is>
          <t>남이면 갈원리 276</t>
        </is>
      </c>
      <c r="B418" s="3" t="inlineStr">
        <is>
          <t>생산관리지역</t>
        </is>
      </c>
      <c r="C418" s="3" t="inlineStr">
        <is>
          <t>전</t>
        </is>
      </c>
      <c r="D418" s="3" t="inlineStr">
        <is>
          <t>전</t>
        </is>
      </c>
      <c r="E418" s="3" t="inlineStr">
        <is>
          <t>매매</t>
        </is>
      </c>
      <c r="F418" s="4" t="n">
        <v>15000</v>
      </c>
      <c r="G418" s="4" t="n">
        <v>1033</v>
      </c>
      <c r="H418" s="4" t="n">
        <v>312</v>
      </c>
      <c r="I418" s="5" t="n">
        <v>48.1</v>
      </c>
      <c r="J418" s="5" t="n">
        <v>12.8</v>
      </c>
      <c r="K418" s="3" t="inlineStr">
        <is>
          <t>전, 생산관리, 갈원초 남쪽 길건너 인근, 접근성 양호</t>
        </is>
      </c>
      <c r="L418" s="6">
        <f>HYPERLINK("https://fin.land.naver.com/articles/2654355044", "매물Link")</f>
        <v/>
      </c>
      <c r="M418" s="6">
        <f>HYPERLINK("https://map.naver.com/p/search/남이면 갈원리 276", "지도Link")</f>
        <v/>
      </c>
      <c r="N418" s="6">
        <f>HYPERLINK("http://www.eum.go.kr/web/ar/lu/luLandDet.jsp?pnu=4311231029102760000&amp;isNoScr=script&amp;mode=search", "토지이음")</f>
        <v/>
      </c>
      <c r="O418" s="3" t="inlineStr">
        <is>
          <t>서일</t>
        </is>
      </c>
      <c r="P418" s="4" t="n">
        <v>1</v>
      </c>
      <c r="Q418" s="4" t="n">
        <v>1033</v>
      </c>
      <c r="R418" s="3" t="inlineStr">
        <is>
          <t>지정되지않음</t>
        </is>
      </c>
      <c r="S418" s="3" t="inlineStr">
        <is>
          <t>전</t>
        </is>
      </c>
      <c r="T418" s="3" t="inlineStr">
        <is>
          <t>완경사</t>
        </is>
      </c>
      <c r="U418" s="3" t="inlineStr">
        <is>
          <t>부정형</t>
        </is>
      </c>
      <c r="V418" s="3" t="inlineStr">
        <is>
          <t>세로한면(불)</t>
        </is>
      </c>
    </row>
    <row r="419">
      <c r="A419" s="3" t="inlineStr">
        <is>
          <t>남이면 갈원리 6</t>
        </is>
      </c>
      <c r="B419" s="3" t="inlineStr">
        <is>
          <t>자연녹지지역</t>
        </is>
      </c>
      <c r="C419" s="3" t="inlineStr">
        <is>
          <t>전</t>
        </is>
      </c>
      <c r="D419" s="3" t="inlineStr">
        <is>
          <t>전</t>
        </is>
      </c>
      <c r="E419" s="3" t="inlineStr">
        <is>
          <t>매매</t>
        </is>
      </c>
      <c r="F419" s="4" t="n">
        <v>30000</v>
      </c>
      <c r="G419" s="4" t="n">
        <v>1907</v>
      </c>
      <c r="H419" s="4" t="n">
        <v>577</v>
      </c>
      <c r="I419" s="5" t="n">
        <v>52</v>
      </c>
      <c r="J419" s="5" t="n">
        <v>21.8</v>
      </c>
      <c r="K419" s="3" t="inlineStr">
        <is>
          <t>남이면 주말농장 소개해드립니다</t>
        </is>
      </c>
      <c r="L419" s="6">
        <f>HYPERLINK("https://fin.land.naver.com/articles/2651733436", "매물Link")</f>
        <v/>
      </c>
      <c r="M419" s="6">
        <f>HYPERLINK("https://map.naver.com/p/search/남이면 갈원리 6", "지도Link")</f>
        <v/>
      </c>
      <c r="N419" s="6">
        <f>HYPERLINK("http://www.eum.go.kr/web/ar/lu/luLandDet.jsp?pnu=4311231029100060000&amp;isNoScr=script&amp;mode=search", "토지이음")</f>
        <v/>
      </c>
      <c r="O419" s="3" t="inlineStr">
        <is>
          <t>이로운 사무소</t>
        </is>
      </c>
      <c r="P419" s="4" t="n">
        <v>1</v>
      </c>
      <c r="Q419" s="4" t="n">
        <v>1907</v>
      </c>
      <c r="R419" s="3" t="inlineStr">
        <is>
          <t>지정되지않음</t>
        </is>
      </c>
      <c r="S419" s="3" t="inlineStr">
        <is>
          <t>전</t>
        </is>
      </c>
      <c r="T419" s="3" t="inlineStr">
        <is>
          <t>완경사</t>
        </is>
      </c>
      <c r="U419" s="3" t="inlineStr">
        <is>
          <t>부정형</t>
        </is>
      </c>
      <c r="V419" s="3" t="inlineStr">
        <is>
          <t>세로한면(가)</t>
        </is>
      </c>
    </row>
    <row r="420">
      <c r="A420" s="3" t="inlineStr">
        <is>
          <t>남이면 구미리 189</t>
        </is>
      </c>
      <c r="B420" s="3" t="inlineStr">
        <is>
          <t>계획관리지역</t>
        </is>
      </c>
      <c r="C420" s="3" t="inlineStr">
        <is>
          <t>답</t>
        </is>
      </c>
      <c r="D420" s="3" t="inlineStr">
        <is>
          <t>대</t>
        </is>
      </c>
      <c r="E420" s="3" t="inlineStr">
        <is>
          <t>매매</t>
        </is>
      </c>
      <c r="F420" s="4" t="n">
        <v>205000</v>
      </c>
      <c r="G420" s="4" t="n">
        <v>4159</v>
      </c>
      <c r="H420" s="4" t="n">
        <v>1258</v>
      </c>
      <c r="I420" s="5" t="n">
        <v>163</v>
      </c>
      <c r="J420" s="5" t="n">
        <v>21.5</v>
      </c>
      <c r="K420" s="3" t="inlineStr">
        <is>
          <t>청주시 남이면 구미리 2차선도로변 근린생활시설허가 토지</t>
        </is>
      </c>
      <c r="L420" s="6">
        <f>HYPERLINK("https://fin.land.naver.com/articles/2650771236", "매물Link")</f>
        <v/>
      </c>
      <c r="M420" s="6">
        <f>HYPERLINK("https://map.naver.com/p/search/남이면 구미리 189", "지도Link")</f>
        <v/>
      </c>
      <c r="N420" s="6">
        <f>HYPERLINK("http://www.eum.go.kr/web/ar/lu/luLandDet.jsp?pnu=4311231027101890000&amp;isNoScr=script&amp;mode=search", "토지이음")</f>
        <v/>
      </c>
      <c r="O420" s="3" t="inlineStr">
        <is>
          <t>좋은선택</t>
        </is>
      </c>
      <c r="P420" s="4" t="n">
        <v>1</v>
      </c>
      <c r="Q420" s="4" t="n">
        <v>2144</v>
      </c>
      <c r="R420" s="3" t="inlineStr">
        <is>
          <t>지정되지않음</t>
        </is>
      </c>
      <c r="S420" s="3" t="inlineStr">
        <is>
          <t>전</t>
        </is>
      </c>
      <c r="T420" s="3" t="inlineStr">
        <is>
          <t>평지</t>
        </is>
      </c>
      <c r="U420" s="3" t="inlineStr">
        <is>
          <t>부정형</t>
        </is>
      </c>
      <c r="V420" s="3" t="inlineStr">
        <is>
          <t>소로한면</t>
        </is>
      </c>
    </row>
    <row r="421">
      <c r="A421" s="3" t="inlineStr">
        <is>
          <t>남이면 구미리 189</t>
        </is>
      </c>
      <c r="B421" s="3" t="inlineStr">
        <is>
          <t>계획관리지역</t>
        </is>
      </c>
      <c r="C421" s="3" t="inlineStr">
        <is>
          <t>답</t>
        </is>
      </c>
      <c r="D421" s="3" t="inlineStr">
        <is>
          <t>공장용지</t>
        </is>
      </c>
      <c r="E421" s="3" t="inlineStr">
        <is>
          <t>매매</t>
        </is>
      </c>
      <c r="F421" s="4" t="n">
        <v>544000</v>
      </c>
      <c r="G421" s="4" t="n">
        <v>11240</v>
      </c>
      <c r="H421" s="4" t="n">
        <v>3400</v>
      </c>
      <c r="I421" s="5" t="n">
        <v>160</v>
      </c>
      <c r="J421" s="5" t="n">
        <v>21.5</v>
      </c>
      <c r="K421" s="3" t="inlineStr">
        <is>
          <t>공장 인허가 완료된 토지매매</t>
        </is>
      </c>
      <c r="L421" s="6">
        <f>HYPERLINK("https://fin.land.naver.com/articles/2652774322", "매물Link")</f>
        <v/>
      </c>
      <c r="M421" s="6">
        <f>HYPERLINK("https://map.naver.com/p/search/남이면 구미리 189", "지도Link")</f>
        <v/>
      </c>
      <c r="N421" s="6">
        <f>HYPERLINK("http://www.eum.go.kr/web/ar/lu/luLandDet.jsp?pnu=4311231027101890000&amp;isNoScr=script&amp;mode=search", "토지이음")</f>
        <v/>
      </c>
      <c r="O421" s="3" t="inlineStr">
        <is>
          <t>금화랜드</t>
        </is>
      </c>
      <c r="P421" s="4" t="n">
        <v>1</v>
      </c>
      <c r="Q421" s="4" t="n">
        <v>2144</v>
      </c>
      <c r="R421" s="3" t="inlineStr">
        <is>
          <t>지정되지않음</t>
        </is>
      </c>
      <c r="S421" s="3" t="inlineStr">
        <is>
          <t>전</t>
        </is>
      </c>
      <c r="T421" s="3" t="inlineStr">
        <is>
          <t>평지</t>
        </is>
      </c>
      <c r="U421" s="3" t="inlineStr">
        <is>
          <t>부정형</t>
        </is>
      </c>
      <c r="V421" s="3" t="inlineStr">
        <is>
          <t>소로한면</t>
        </is>
      </c>
    </row>
    <row r="422">
      <c r="A422" s="3" t="inlineStr">
        <is>
          <t>남이면 구미리 192-3</t>
        </is>
      </c>
      <c r="B422" s="3" t="inlineStr">
        <is>
          <t>계획관리지역</t>
        </is>
      </c>
      <c r="C422" s="3" t="inlineStr">
        <is>
          <t>임야</t>
        </is>
      </c>
      <c r="D422" s="3" t="inlineStr">
        <is>
          <t>임야</t>
        </is>
      </c>
      <c r="E422" s="3" t="inlineStr">
        <is>
          <t>매매</t>
        </is>
      </c>
      <c r="F422" s="4" t="n">
        <v>736000</v>
      </c>
      <c r="G422" s="4" t="n">
        <v>18719</v>
      </c>
      <c r="H422" s="4" t="n">
        <v>5662</v>
      </c>
      <c r="I422" s="5" t="n">
        <v>130</v>
      </c>
      <c r="J422" s="5" t="n">
        <v>34.8</v>
      </c>
      <c r="K422" s="3" t="inlineStr">
        <is>
          <t>청주 남이면 구미리 2차선 도로접, 공장허가득한 토</t>
        </is>
      </c>
      <c r="L422" s="6">
        <f>HYPERLINK("https://fin.land.naver.com/articles/2652739615", "매물Link")</f>
        <v/>
      </c>
      <c r="M422" s="6">
        <f>HYPERLINK("https://map.naver.com/p/search/남이면 구미리 192-3", "지도Link")</f>
        <v/>
      </c>
      <c r="N422" s="6">
        <f>HYPERLINK("http://www.eum.go.kr/web/ar/lu/luLandDet.jsp?pnu=4311231027101920003&amp;isNoScr=script&amp;mode=search", "토지이음")</f>
        <v/>
      </c>
      <c r="O422" s="3" t="inlineStr">
        <is>
          <t>좋은선택</t>
        </is>
      </c>
      <c r="P422" s="4" t="n">
        <v>1</v>
      </c>
      <c r="Q422" s="4" t="n">
        <v>18455</v>
      </c>
      <c r="R422" s="3" t="inlineStr">
        <is>
          <t>농림지역</t>
        </is>
      </c>
      <c r="S422" s="3" t="inlineStr">
        <is>
          <t>공업나지</t>
        </is>
      </c>
      <c r="T422" s="3" t="inlineStr">
        <is>
          <t>완경사</t>
        </is>
      </c>
      <c r="U422" s="3" t="inlineStr">
        <is>
          <t>부정형</t>
        </is>
      </c>
      <c r="V422" s="3" t="inlineStr">
        <is>
          <t>세로한면(가)</t>
        </is>
      </c>
    </row>
    <row r="423">
      <c r="A423" s="3" t="inlineStr">
        <is>
          <t>남이면 구미리 223-1</t>
        </is>
      </c>
      <c r="B423" s="3" t="inlineStr">
        <is>
          <t>농림지역</t>
        </is>
      </c>
      <c r="C423" s="3" t="inlineStr">
        <is>
          <t>전</t>
        </is>
      </c>
      <c r="D423" s="3" t="inlineStr">
        <is>
          <t>전</t>
        </is>
      </c>
      <c r="E423" s="3" t="inlineStr">
        <is>
          <t>매매</t>
        </is>
      </c>
      <c r="F423" s="4" t="n">
        <v>51000</v>
      </c>
      <c r="G423" s="4" t="n">
        <v>5058</v>
      </c>
      <c r="H423" s="4" t="n">
        <v>1530</v>
      </c>
      <c r="I423" s="5" t="n">
        <v>33.3</v>
      </c>
      <c r="J423" s="5" t="n">
        <v>13.1</v>
      </c>
      <c r="K423" s="3" t="inlineStr">
        <is>
          <t>nan</t>
        </is>
      </c>
      <c r="L423" s="6">
        <f>HYPERLINK("https://fin.land.naver.com/articles/2650538806", "매물Link")</f>
        <v/>
      </c>
      <c r="M423" s="6">
        <f>HYPERLINK("https://map.naver.com/p/search/남이면 구미리 223-1", "지도Link")</f>
        <v/>
      </c>
      <c r="N423" s="6">
        <f>HYPERLINK("http://www.eum.go.kr/web/ar/lu/luLandDet.jsp?pnu=4311231027102230001&amp;isNoScr=script&amp;mode=search", "토지이음")</f>
        <v/>
      </c>
      <c r="O423" s="3" t="inlineStr">
        <is>
          <t>세종큰길</t>
        </is>
      </c>
      <c r="P423" s="4" t="n">
        <v>1</v>
      </c>
      <c r="Q423" s="4" t="n">
        <v>5058</v>
      </c>
      <c r="R423" s="3" t="inlineStr">
        <is>
          <t>지정되지않음</t>
        </is>
      </c>
      <c r="S423" s="3" t="inlineStr">
        <is>
          <t>답</t>
        </is>
      </c>
      <c r="T423" s="3" t="inlineStr">
        <is>
          <t>평지</t>
        </is>
      </c>
      <c r="U423" s="3" t="inlineStr">
        <is>
          <t>부정형</t>
        </is>
      </c>
      <c r="V423" s="3" t="inlineStr">
        <is>
          <t>세로한면(가)</t>
        </is>
      </c>
    </row>
    <row r="424">
      <c r="A424" s="3" t="inlineStr">
        <is>
          <t>남이면 구미리 223-1</t>
        </is>
      </c>
      <c r="B424" s="3" t="inlineStr">
        <is>
          <t>농림지역</t>
        </is>
      </c>
      <c r="C424" s="3" t="inlineStr">
        <is>
          <t>전</t>
        </is>
      </c>
      <c r="D424" s="3" t="inlineStr">
        <is>
          <t>전</t>
        </is>
      </c>
      <c r="E424" s="3" t="inlineStr">
        <is>
          <t>매매</t>
        </is>
      </c>
      <c r="F424" s="4" t="n">
        <v>50000</v>
      </c>
      <c r="G424" s="4" t="n">
        <v>5058</v>
      </c>
      <c r="H424" s="4" t="n">
        <v>1530</v>
      </c>
      <c r="I424" s="5" t="n">
        <v>32.7</v>
      </c>
      <c r="J424" s="5" t="n">
        <v>13.1</v>
      </c>
      <c r="K424" s="3" t="inlineStr">
        <is>
          <t>농막, 지하수, 전기 인입된 투자용 토지</t>
        </is>
      </c>
      <c r="L424" s="6">
        <f>HYPERLINK("https://fin.land.naver.com/articles/2653240662", "매물Link")</f>
        <v/>
      </c>
      <c r="M424" s="6">
        <f>HYPERLINK("https://map.naver.com/p/search/남이면 구미리 223-1", "지도Link")</f>
        <v/>
      </c>
      <c r="N424" s="6">
        <f>HYPERLINK("http://www.eum.go.kr/web/ar/lu/luLandDet.jsp?pnu=4311231027102230001&amp;isNoScr=script&amp;mode=search", "토지이음")</f>
        <v/>
      </c>
      <c r="O424" s="3" t="inlineStr">
        <is>
          <t>산들</t>
        </is>
      </c>
      <c r="P424" s="4" t="n">
        <v>2</v>
      </c>
      <c r="Q424" s="4" t="n">
        <v>5058</v>
      </c>
      <c r="R424" s="3" t="inlineStr">
        <is>
          <t>지정되지않음</t>
        </is>
      </c>
      <c r="S424" s="3" t="inlineStr">
        <is>
          <t>답</t>
        </is>
      </c>
      <c r="T424" s="3" t="inlineStr">
        <is>
          <t>평지</t>
        </is>
      </c>
      <c r="U424" s="3" t="inlineStr">
        <is>
          <t>부정형</t>
        </is>
      </c>
      <c r="V424" s="3" t="inlineStr">
        <is>
          <t>세로한면(가)</t>
        </is>
      </c>
    </row>
    <row r="425">
      <c r="A425" s="3" t="inlineStr">
        <is>
          <t>남이면 구미리 302</t>
        </is>
      </c>
      <c r="B425" s="3" t="inlineStr">
        <is>
          <t>계획관리지역</t>
        </is>
      </c>
      <c r="C425" s="3" t="inlineStr">
        <is>
          <t>답</t>
        </is>
      </c>
      <c r="D425" s="3" t="inlineStr">
        <is>
          <t>답</t>
        </is>
      </c>
      <c r="E425" s="3" t="inlineStr">
        <is>
          <t>매매</t>
        </is>
      </c>
      <c r="F425" s="4" t="n">
        <v>439600</v>
      </c>
      <c r="G425" s="4" t="n">
        <v>7276</v>
      </c>
      <c r="H425" s="4" t="n">
        <v>2201</v>
      </c>
      <c r="I425" s="5" t="n">
        <v>199.7</v>
      </c>
      <c r="J425" s="5" t="n">
        <v>20.2</v>
      </c>
      <c r="K425" s="3" t="inlineStr">
        <is>
          <t>남이면 구미리 토지매매 왕복2차선 도로접</t>
        </is>
      </c>
      <c r="L425" s="6">
        <f>HYPERLINK("https://fin.land.naver.com/articles/2652822357", "매물Link")</f>
        <v/>
      </c>
      <c r="M425" s="6">
        <f>HYPERLINK("https://map.naver.com/p/search/남이면 구미리 302", "지도Link")</f>
        <v/>
      </c>
      <c r="N425" s="6">
        <f>HYPERLINK("http://www.eum.go.kr/web/ar/lu/luLandDet.jsp?pnu=4311231027103020000&amp;isNoScr=script&amp;mode=search", "토지이음")</f>
        <v/>
      </c>
      <c r="O425" s="3" t="inlineStr">
        <is>
          <t>탄탄</t>
        </is>
      </c>
      <c r="P425" s="4" t="n">
        <v>1</v>
      </c>
      <c r="Q425" s="4" t="n">
        <v>668</v>
      </c>
      <c r="R425" s="3" t="inlineStr">
        <is>
          <t>지정되지않음</t>
        </is>
      </c>
      <c r="S425" s="3" t="inlineStr">
        <is>
          <t>전</t>
        </is>
      </c>
      <c r="T425" s="3" t="inlineStr">
        <is>
          <t>완경사</t>
        </is>
      </c>
      <c r="U425" s="3" t="inlineStr">
        <is>
          <t>사다리형</t>
        </is>
      </c>
      <c r="V425" s="3" t="inlineStr">
        <is>
          <t>소로한면</t>
        </is>
      </c>
    </row>
    <row r="426">
      <c r="A426" s="3" t="inlineStr">
        <is>
          <t>남이면 구미리 86</t>
        </is>
      </c>
      <c r="B426" s="3" t="inlineStr">
        <is>
          <t>계획관리지역</t>
        </is>
      </c>
      <c r="C426" s="3" t="inlineStr">
        <is>
          <t>전</t>
        </is>
      </c>
      <c r="D426" s="3" t="inlineStr">
        <is>
          <t>전</t>
        </is>
      </c>
      <c r="E426" s="3" t="inlineStr">
        <is>
          <t>매매</t>
        </is>
      </c>
      <c r="F426" s="4" t="n">
        <v>31000</v>
      </c>
      <c r="G426" s="4" t="n">
        <v>1402</v>
      </c>
      <c r="H426" s="4" t="n">
        <v>424</v>
      </c>
      <c r="I426" s="5" t="n">
        <v>73.09999999999999</v>
      </c>
      <c r="J426" s="5" t="n">
        <v>17.3</v>
      </c>
      <c r="K426" s="3" t="inlineStr">
        <is>
          <t>건축가능 계획관리지역</t>
        </is>
      </c>
      <c r="L426" s="6">
        <f>HYPERLINK("https://fin.land.naver.com/articles/2649471467", "매물Link")</f>
        <v/>
      </c>
      <c r="M426" s="6">
        <f>HYPERLINK("https://map.naver.com/p/search/남이면 구미리 86", "지도Link")</f>
        <v/>
      </c>
      <c r="N426" s="6">
        <f>HYPERLINK("http://www.eum.go.kr/web/ar/lu/luLandDet.jsp?pnu=4311231027100860000&amp;isNoScr=script&amp;mode=search", "토지이음")</f>
        <v/>
      </c>
      <c r="O426" s="3" t="inlineStr">
        <is>
          <t>오송원</t>
        </is>
      </c>
      <c r="P426" s="4" t="n">
        <v>1</v>
      </c>
      <c r="Q426" s="4" t="n">
        <v>1402</v>
      </c>
      <c r="R426" s="3" t="inlineStr">
        <is>
          <t>지정되지않음</t>
        </is>
      </c>
      <c r="S426" s="3" t="inlineStr">
        <is>
          <t>전</t>
        </is>
      </c>
      <c r="T426" s="3" t="inlineStr">
        <is>
          <t>완경사</t>
        </is>
      </c>
      <c r="U426" s="3" t="inlineStr">
        <is>
          <t>사다리형</t>
        </is>
      </c>
      <c r="V426" s="3" t="inlineStr">
        <is>
          <t>세로한면(불)</t>
        </is>
      </c>
    </row>
    <row r="427">
      <c r="A427" s="3" t="inlineStr">
        <is>
          <t>남이면 구미리 산19-9</t>
        </is>
      </c>
      <c r="B427" s="3" t="inlineStr">
        <is>
          <t>계획관리지역</t>
        </is>
      </c>
      <c r="C427" s="3" t="inlineStr">
        <is>
          <t>임야</t>
        </is>
      </c>
      <c r="D427" s="3" t="inlineStr">
        <is>
          <t>임야</t>
        </is>
      </c>
      <c r="E427" s="3" t="inlineStr">
        <is>
          <t>매매</t>
        </is>
      </c>
      <c r="F427" s="4" t="n">
        <v>62000</v>
      </c>
      <c r="G427" s="4" t="n">
        <v>2357</v>
      </c>
      <c r="H427" s="4" t="n">
        <v>713</v>
      </c>
      <c r="I427" s="5" t="n">
        <v>87</v>
      </c>
      <c r="J427" s="5" t="n">
        <v>8.5</v>
      </c>
      <c r="K427" s="3" t="inlineStr">
        <is>
          <t>계획관리지역 공장,창고 추천</t>
        </is>
      </c>
      <c r="L427" s="6">
        <f>HYPERLINK("https://fin.land.naver.com/articles/2651068418", "매물Link")</f>
        <v/>
      </c>
      <c r="M427" s="6">
        <f>HYPERLINK("https://map.naver.com/p/search/남이면 구미리 산19-9", "지도Link")</f>
        <v/>
      </c>
      <c r="N427" s="6">
        <f>HYPERLINK("http://www.eum.go.kr/web/ar/lu/luLandDet.jsp?pnu=4311231027200190009&amp;isNoScr=script&amp;mode=search", "토지이음")</f>
        <v/>
      </c>
      <c r="O427" s="3" t="inlineStr">
        <is>
          <t>새로이</t>
        </is>
      </c>
      <c r="P427" s="4" t="n">
        <v>1</v>
      </c>
      <c r="Q427" s="4" t="n">
        <v>2262</v>
      </c>
      <c r="R427" s="3" t="inlineStr">
        <is>
          <t>지정되지않음</t>
        </is>
      </c>
      <c r="S427" s="3" t="inlineStr">
        <is>
          <t>임야기타</t>
        </is>
      </c>
      <c r="T427" s="3" t="inlineStr">
        <is>
          <t>완경사</t>
        </is>
      </c>
      <c r="U427" s="3" t="inlineStr">
        <is>
          <t>부정형</t>
        </is>
      </c>
      <c r="V427" s="3" t="inlineStr">
        <is>
          <t>맹지</t>
        </is>
      </c>
    </row>
    <row r="428">
      <c r="A428" s="3" t="inlineStr">
        <is>
          <t>남이면 구암리 103-2</t>
        </is>
      </c>
      <c r="B428" s="3" t="inlineStr">
        <is>
          <t>자연녹지지역</t>
        </is>
      </c>
      <c r="C428" s="3" t="inlineStr">
        <is>
          <t>답</t>
        </is>
      </c>
      <c r="D428" s="3" t="inlineStr">
        <is>
          <t>답</t>
        </is>
      </c>
      <c r="E428" s="3" t="inlineStr">
        <is>
          <t>매매</t>
        </is>
      </c>
      <c r="F428" s="4" t="n">
        <v>107000</v>
      </c>
      <c r="G428" s="4" t="n">
        <v>2354</v>
      </c>
      <c r="H428" s="4" t="n">
        <v>712</v>
      </c>
      <c r="I428" s="5" t="n">
        <v>150.3</v>
      </c>
      <c r="J428" s="5" t="n">
        <v>42.8</v>
      </c>
      <c r="K428" s="3" t="inlineStr">
        <is>
          <t>청주 세종간 4차선도로변 공장부지 근린생활시설</t>
        </is>
      </c>
      <c r="L428" s="6">
        <f>HYPERLINK("https://fin.land.naver.com/articles/2650505679", "매물Link")</f>
        <v/>
      </c>
      <c r="M428" s="6">
        <f>HYPERLINK("https://map.naver.com/p/search/남이면 구암리 103-2", "지도Link")</f>
        <v/>
      </c>
      <c r="N428" s="6">
        <f>HYPERLINK("http://www.eum.go.kr/web/ar/lu/luLandDet.jsp?pnu=4311231032101030002&amp;isNoScr=script&amp;mode=search", "토지이음")</f>
        <v/>
      </c>
      <c r="O428" s="3" t="inlineStr">
        <is>
          <t>두원</t>
        </is>
      </c>
      <c r="P428" s="4" t="n">
        <v>1</v>
      </c>
      <c r="Q428" s="4" t="n">
        <v>2095</v>
      </c>
      <c r="R428" s="3" t="inlineStr">
        <is>
          <t>지정되지않음</t>
        </is>
      </c>
      <c r="S428" s="3" t="inlineStr">
        <is>
          <t>답</t>
        </is>
      </c>
      <c r="T428" s="3" t="inlineStr">
        <is>
          <t>평지</t>
        </is>
      </c>
      <c r="U428" s="3" t="inlineStr">
        <is>
          <t>사다리형</t>
        </is>
      </c>
      <c r="V428" s="3" t="inlineStr">
        <is>
          <t>세로한면(가)</t>
        </is>
      </c>
    </row>
    <row r="429">
      <c r="A429" s="3" t="inlineStr">
        <is>
          <t>남이면 구암리 103-2</t>
        </is>
      </c>
      <c r="B429" s="3" t="inlineStr">
        <is>
          <t>자연녹지지역</t>
        </is>
      </c>
      <c r="C429" s="3" t="inlineStr">
        <is>
          <t>답</t>
        </is>
      </c>
      <c r="D429" s="3" t="inlineStr">
        <is>
          <t>답</t>
        </is>
      </c>
      <c r="E429" s="3" t="inlineStr">
        <is>
          <t>매매</t>
        </is>
      </c>
      <c r="F429" s="4" t="n">
        <v>105000</v>
      </c>
      <c r="G429" s="4" t="n">
        <v>2354</v>
      </c>
      <c r="H429" s="4" t="n">
        <v>712</v>
      </c>
      <c r="I429" s="5" t="n">
        <v>147.5</v>
      </c>
      <c r="J429" s="5" t="n">
        <v>42.8</v>
      </c>
      <c r="K429" s="3" t="inlineStr">
        <is>
          <t>급매추천 세종청주 잇는 골든라인, 남이면 구암리 토지 매매</t>
        </is>
      </c>
      <c r="L429" s="6">
        <f>HYPERLINK("https://fin.land.naver.com/articles/2649862899", "매물Link")</f>
        <v/>
      </c>
      <c r="M429" s="6">
        <f>HYPERLINK("https://map.naver.com/p/search/남이면 구암리 103-2", "지도Link")</f>
        <v/>
      </c>
      <c r="N429" s="6">
        <f>HYPERLINK("http://www.eum.go.kr/web/ar/lu/luLandDet.jsp?pnu=4311231032101030002&amp;isNoScr=script&amp;mode=search", "토지이음")</f>
        <v/>
      </c>
      <c r="O429" s="3" t="inlineStr">
        <is>
          <t>그랜드사무소</t>
        </is>
      </c>
      <c r="P429" s="4" t="n">
        <v>1</v>
      </c>
      <c r="Q429" s="4" t="n">
        <v>2095</v>
      </c>
      <c r="R429" s="3" t="inlineStr">
        <is>
          <t>지정되지않음</t>
        </is>
      </c>
      <c r="S429" s="3" t="inlineStr">
        <is>
          <t>답</t>
        </is>
      </c>
      <c r="T429" s="3" t="inlineStr">
        <is>
          <t>평지</t>
        </is>
      </c>
      <c r="U429" s="3" t="inlineStr">
        <is>
          <t>사다리형</t>
        </is>
      </c>
      <c r="V429" s="3" t="inlineStr">
        <is>
          <t>세로한면(가)</t>
        </is>
      </c>
    </row>
    <row r="430">
      <c r="A430" s="3" t="inlineStr">
        <is>
          <t>남이면 구암리 11-1</t>
        </is>
      </c>
      <c r="B430" s="3" t="inlineStr">
        <is>
          <t>자연녹지지역</t>
        </is>
      </c>
      <c r="C430" s="3" t="inlineStr">
        <is>
          <t>전</t>
        </is>
      </c>
      <c r="D430" s="3" t="inlineStr">
        <is>
          <t>전</t>
        </is>
      </c>
      <c r="E430" s="3" t="inlineStr">
        <is>
          <t>매매</t>
        </is>
      </c>
      <c r="F430" s="4" t="n">
        <v>103560</v>
      </c>
      <c r="G430" s="4" t="n">
        <v>2848</v>
      </c>
      <c r="H430" s="4" t="n">
        <v>862</v>
      </c>
      <c r="I430" s="5" t="n">
        <v>120.1</v>
      </c>
      <c r="J430" s="5" t="n">
        <v>17.3</v>
      </c>
      <c r="K430" s="3" t="inlineStr">
        <is>
          <t>석곡사거리 진입편리한 창고부지</t>
        </is>
      </c>
      <c r="L430" s="6">
        <f>HYPERLINK("https://fin.land.naver.com/articles/2649483994", "매물Link")</f>
        <v/>
      </c>
      <c r="M430" s="6">
        <f>HYPERLINK("https://map.naver.com/p/search/남이면 구암리 11-1", "지도Link")</f>
        <v/>
      </c>
      <c r="N430" s="6">
        <f>HYPERLINK("http://www.eum.go.kr/web/ar/lu/luLandDet.jsp?pnu=4311231032100110001&amp;isNoScr=script&amp;mode=search", "토지이음")</f>
        <v/>
      </c>
      <c r="O430" s="3" t="inlineStr">
        <is>
          <t>토담</t>
        </is>
      </c>
      <c r="P430" s="4" t="n">
        <v>1</v>
      </c>
      <c r="Q430" s="4" t="n">
        <v>2758</v>
      </c>
      <c r="R430" s="3" t="inlineStr">
        <is>
          <t>지정되지않음</t>
        </is>
      </c>
      <c r="S430" s="3" t="inlineStr">
        <is>
          <t>전</t>
        </is>
      </c>
      <c r="T430" s="3" t="inlineStr">
        <is>
          <t>완경사</t>
        </is>
      </c>
      <c r="U430" s="3" t="inlineStr">
        <is>
          <t>부정형</t>
        </is>
      </c>
      <c r="V430" s="3" t="inlineStr">
        <is>
          <t>세로한면(불)</t>
        </is>
      </c>
    </row>
    <row r="431">
      <c r="A431" s="3" t="inlineStr">
        <is>
          <t>남이면 구암리 123-1</t>
        </is>
      </c>
      <c r="B431" s="3" t="inlineStr">
        <is>
          <t>자연녹지지역</t>
        </is>
      </c>
      <c r="C431" s="3" t="inlineStr">
        <is>
          <t>답</t>
        </is>
      </c>
      <c r="D431" s="3" t="inlineStr">
        <is>
          <t>대</t>
        </is>
      </c>
      <c r="E431" s="3" t="inlineStr">
        <is>
          <t>매매</t>
        </is>
      </c>
      <c r="F431" s="4" t="n">
        <v>178800</v>
      </c>
      <c r="G431" s="4" t="n">
        <v>3940</v>
      </c>
      <c r="H431" s="4" t="n">
        <v>1192</v>
      </c>
      <c r="I431" s="5" t="n">
        <v>150</v>
      </c>
      <c r="J431" s="5" t="n">
        <v>46.1</v>
      </c>
      <c r="K431" s="3" t="inlineStr">
        <is>
          <t>nan</t>
        </is>
      </c>
      <c r="L431" s="6">
        <f>HYPERLINK("https://fin.land.naver.com/articles/2652111791", "매물Link")</f>
        <v/>
      </c>
      <c r="M431" s="6">
        <f>HYPERLINK("https://map.naver.com/p/search/남이면 구암리 123-1", "지도Link")</f>
        <v/>
      </c>
      <c r="N431" s="6">
        <f>HYPERLINK("http://www.eum.go.kr/web/ar/lu/luLandDet.jsp?pnu=4311231032101230001&amp;isNoScr=script&amp;mode=search", "토지이음")</f>
        <v/>
      </c>
      <c r="O431" s="3" t="inlineStr">
        <is>
          <t>교차로</t>
        </is>
      </c>
      <c r="P431" s="4" t="n">
        <v>1</v>
      </c>
      <c r="Q431" s="4" t="n">
        <v>3011</v>
      </c>
      <c r="R431" s="3" t="inlineStr">
        <is>
          <t>지정되지않음</t>
        </is>
      </c>
      <c r="S431" s="3" t="inlineStr">
        <is>
          <t>답</t>
        </is>
      </c>
      <c r="T431" s="3" t="inlineStr">
        <is>
          <t>평지</t>
        </is>
      </c>
      <c r="U431" s="3" t="inlineStr">
        <is>
          <t>부정형</t>
        </is>
      </c>
      <c r="V431" s="3" t="inlineStr">
        <is>
          <t>소로한면</t>
        </is>
      </c>
    </row>
    <row r="432">
      <c r="A432" s="3" t="inlineStr">
        <is>
          <t>남이면 구암리 143-3</t>
        </is>
      </c>
      <c r="B432" s="3" t="inlineStr">
        <is>
          <t>자연녹지지역</t>
        </is>
      </c>
      <c r="C432" s="3" t="inlineStr">
        <is>
          <t>전</t>
        </is>
      </c>
      <c r="D432" s="3" t="inlineStr">
        <is>
          <t>전</t>
        </is>
      </c>
      <c r="E432" s="3" t="inlineStr">
        <is>
          <t>매매</t>
        </is>
      </c>
      <c r="F432" s="4" t="n">
        <v>60000</v>
      </c>
      <c r="G432" s="4" t="n">
        <v>2791</v>
      </c>
      <c r="H432" s="4" t="n">
        <v>844</v>
      </c>
      <c r="I432" s="5" t="n">
        <v>71.09999999999999</v>
      </c>
      <c r="J432" s="5" t="n">
        <v>30.6</v>
      </c>
      <c r="K432" s="3" t="inlineStr">
        <is>
          <t>혜화학교 인근 자연녹지 토지로 활용도 많은 땅임.</t>
        </is>
      </c>
      <c r="L432" s="6">
        <f>HYPERLINK("https://fin.land.naver.com/articles/2654382340", "매물Link")</f>
        <v/>
      </c>
      <c r="M432" s="6">
        <f>HYPERLINK("https://map.naver.com/p/search/남이면 구암리 143-3", "지도Link")</f>
        <v/>
      </c>
      <c r="N432" s="6">
        <f>HYPERLINK("http://www.eum.go.kr/web/ar/lu/luLandDet.jsp?pnu=4311231032101430003&amp;isNoScr=script&amp;mode=search", "토지이음")</f>
        <v/>
      </c>
      <c r="O432" s="3" t="inlineStr">
        <is>
          <t>포시즌</t>
        </is>
      </c>
      <c r="P432" s="4" t="n">
        <v>1</v>
      </c>
      <c r="Q432" s="4" t="n">
        <v>2791</v>
      </c>
      <c r="R432" s="3" t="inlineStr">
        <is>
          <t>지정되지않음</t>
        </is>
      </c>
      <c r="S432" s="3" t="inlineStr">
        <is>
          <t>전</t>
        </is>
      </c>
      <c r="T432" s="3" t="inlineStr">
        <is>
          <t>완경사</t>
        </is>
      </c>
      <c r="U432" s="3" t="inlineStr">
        <is>
          <t>부정형</t>
        </is>
      </c>
      <c r="V432" s="3" t="inlineStr">
        <is>
          <t>세로한면(가)</t>
        </is>
      </c>
    </row>
    <row r="433">
      <c r="A433" s="3" t="inlineStr">
        <is>
          <t>남이면 구암리 232-31</t>
        </is>
      </c>
      <c r="B433" s="3" t="inlineStr">
        <is>
          <t>보전녹지지역</t>
        </is>
      </c>
      <c r="C433" s="3" t="inlineStr">
        <is>
          <t>임야</t>
        </is>
      </c>
      <c r="D433" s="3" t="inlineStr">
        <is>
          <t>임야</t>
        </is>
      </c>
      <c r="E433" s="3" t="inlineStr">
        <is>
          <t>매매</t>
        </is>
      </c>
      <c r="F433" s="4" t="n">
        <v>19000</v>
      </c>
      <c r="G433" s="4" t="n">
        <v>431</v>
      </c>
      <c r="H433" s="4" t="n">
        <v>130</v>
      </c>
      <c r="I433" s="5" t="n">
        <v>146.2</v>
      </c>
      <c r="J433" s="5" t="n">
        <v>7.1</v>
      </c>
      <c r="K433" s="3" t="inlineStr">
        <is>
          <t>신축하기 좋은 전원주택 부지를 저렴하게 매매합니다.</t>
        </is>
      </c>
      <c r="L433" s="6">
        <f>HYPERLINK("https://fin.land.naver.com/articles/2651905087", "매물Link")</f>
        <v/>
      </c>
      <c r="M433" s="6">
        <f>HYPERLINK("https://map.naver.com/p/search/남이면 구암리 232-31", "지도Link")</f>
        <v/>
      </c>
      <c r="N433" s="6">
        <f>HYPERLINK("http://www.eum.go.kr/web/ar/lu/luLandDet.jsp?pnu=4311231032102320031&amp;isNoScr=script&amp;mode=search", "토지이음")</f>
        <v/>
      </c>
      <c r="O433" s="3" t="inlineStr">
        <is>
          <t>대전</t>
        </is>
      </c>
      <c r="P433" s="4" t="n">
        <v>1</v>
      </c>
      <c r="Q433" s="4" t="n">
        <v>4771</v>
      </c>
      <c r="R433" s="3" t="inlineStr">
        <is>
          <t>지정되지않음</t>
        </is>
      </c>
      <c r="S433" s="3" t="inlineStr">
        <is>
          <t>임야기타</t>
        </is>
      </c>
      <c r="T433" s="3" t="inlineStr">
        <is>
          <t>완경사</t>
        </is>
      </c>
      <c r="U433" s="3" t="inlineStr">
        <is>
          <t>사다리형</t>
        </is>
      </c>
      <c r="V433" s="3" t="inlineStr">
        <is>
          <t>세로한면(가)</t>
        </is>
      </c>
    </row>
    <row r="434">
      <c r="A434" s="3" t="inlineStr">
        <is>
          <t>남이면 구암리 272-3</t>
        </is>
      </c>
      <c r="B434" s="3" t="inlineStr">
        <is>
          <t>자연녹지지역</t>
        </is>
      </c>
      <c r="C434" s="3" t="inlineStr">
        <is>
          <t>대</t>
        </is>
      </c>
      <c r="D434" s="3" t="inlineStr">
        <is>
          <t>대</t>
        </is>
      </c>
      <c r="E434" s="3" t="inlineStr">
        <is>
          <t>매매</t>
        </is>
      </c>
      <c r="F434" s="4" t="n">
        <v>33000</v>
      </c>
      <c r="G434" s="4" t="n">
        <v>842</v>
      </c>
      <c r="H434" s="4" t="n">
        <v>255</v>
      </c>
      <c r="I434" s="5" t="n">
        <v>129.4</v>
      </c>
      <c r="J434" s="5" t="n">
        <v>60.6</v>
      </c>
      <c r="K434" s="3" t="inlineStr">
        <is>
          <t>2차선 도로에 접한 대지임,분할매매 가능함</t>
        </is>
      </c>
      <c r="L434" s="6">
        <f>HYPERLINK("https://fin.land.naver.com/articles/2652673956", "매물Link")</f>
        <v/>
      </c>
      <c r="M434" s="6">
        <f>HYPERLINK("https://map.naver.com/p/search/남이면 구암리 272-3", "지도Link")</f>
        <v/>
      </c>
      <c r="N434" s="6">
        <f>HYPERLINK("http://www.eum.go.kr/web/ar/lu/luLandDet.jsp?pnu=4311231032102720003&amp;isNoScr=script&amp;mode=search", "토지이음")</f>
        <v/>
      </c>
      <c r="O434" s="3" t="inlineStr">
        <is>
          <t>포시즌</t>
        </is>
      </c>
      <c r="P434" s="4" t="n">
        <v>2</v>
      </c>
      <c r="Q434" s="4" t="n">
        <v>842</v>
      </c>
      <c r="R434" s="3" t="inlineStr">
        <is>
          <t>지정되지않음</t>
        </is>
      </c>
      <c r="S434" s="3" t="inlineStr">
        <is>
          <t>주거나지</t>
        </is>
      </c>
      <c r="T434" s="3" t="inlineStr">
        <is>
          <t>평지</t>
        </is>
      </c>
      <c r="U434" s="3" t="inlineStr">
        <is>
          <t>부정형</t>
        </is>
      </c>
      <c r="V434" s="3" t="inlineStr">
        <is>
          <t>소로한면</t>
        </is>
      </c>
    </row>
    <row r="435">
      <c r="A435" s="3" t="inlineStr">
        <is>
          <t>남이면 구암리 93-2</t>
        </is>
      </c>
      <c r="B435" s="3" t="inlineStr">
        <is>
          <t>자연녹지지역</t>
        </is>
      </c>
      <c r="C435" s="3" t="inlineStr">
        <is>
          <t>답</t>
        </is>
      </c>
      <c r="D435" s="3" t="inlineStr">
        <is>
          <t>전</t>
        </is>
      </c>
      <c r="E435" s="3" t="inlineStr">
        <is>
          <t>매매</t>
        </is>
      </c>
      <c r="F435" s="4" t="n">
        <v>17500</v>
      </c>
      <c r="G435" s="4" t="n">
        <v>1448</v>
      </c>
      <c r="H435" s="4" t="n">
        <v>438</v>
      </c>
      <c r="I435" s="5" t="n">
        <v>40</v>
      </c>
      <c r="J435" s="5" t="n">
        <v>35.5</v>
      </c>
      <c r="K435" s="3" t="inlineStr">
        <is>
          <t>전원 주택지 적합</t>
        </is>
      </c>
      <c r="L435" s="6">
        <f>HYPERLINK("https://fin.land.naver.com/articles/2651956458", "매물Link")</f>
        <v/>
      </c>
      <c r="M435" s="6">
        <f>HYPERLINK("https://map.naver.com/p/search/남이면 구암리 93-2", "지도Link")</f>
        <v/>
      </c>
      <c r="N435" s="6">
        <f>HYPERLINK("http://www.eum.go.kr/web/ar/lu/luLandDet.jsp?pnu=4311231032100930002&amp;isNoScr=script&amp;mode=search", "토지이음")</f>
        <v/>
      </c>
      <c r="O435" s="3" t="inlineStr">
        <is>
          <t>효성</t>
        </is>
      </c>
      <c r="P435" s="4" t="n">
        <v>2</v>
      </c>
      <c r="Q435" s="4" t="n">
        <v>1448</v>
      </c>
      <c r="R435" s="3" t="inlineStr">
        <is>
          <t>지정되지않음</t>
        </is>
      </c>
      <c r="S435" s="3" t="inlineStr">
        <is>
          <t>답</t>
        </is>
      </c>
      <c r="T435" s="3" t="inlineStr">
        <is>
          <t>평지</t>
        </is>
      </c>
      <c r="U435" s="3" t="inlineStr">
        <is>
          <t>부정형</t>
        </is>
      </c>
      <c r="V435" s="3" t="inlineStr">
        <is>
          <t>세로한면(불)</t>
        </is>
      </c>
    </row>
    <row r="436">
      <c r="A436" s="3" t="inlineStr">
        <is>
          <t>남이면 구암리 산 14-1</t>
        </is>
      </c>
      <c r="B436" s="3" t="inlineStr">
        <is>
          <t>보전녹지지역</t>
        </is>
      </c>
      <c r="C436" s="3" t="inlineStr">
        <is>
          <t>임야</t>
        </is>
      </c>
      <c r="D436" s="3" t="inlineStr">
        <is>
          <t>임야</t>
        </is>
      </c>
      <c r="E436" s="3" t="inlineStr">
        <is>
          <t>매매</t>
        </is>
      </c>
      <c r="F436" s="4" t="n">
        <v>74500</v>
      </c>
      <c r="G436" s="4" t="n">
        <v>41068</v>
      </c>
      <c r="H436" s="4" t="n">
        <v>12423</v>
      </c>
      <c r="I436" s="5" t="n">
        <v>6</v>
      </c>
      <c r="J436" s="5" t="n">
        <v>2.6</v>
      </c>
      <c r="K436" s="3" t="inlineStr">
        <is>
          <t>지목  임야     전</t>
        </is>
      </c>
      <c r="L436" s="6">
        <f>HYPERLINK("https://fin.land.naver.com/articles/2653746352", "매물Link")</f>
        <v/>
      </c>
      <c r="M436" s="6">
        <f>HYPERLINK("https://map.naver.com/p/search/남이면 구암리 산 14-1", "지도Link")</f>
        <v/>
      </c>
      <c r="N436" s="6">
        <f>HYPERLINK("http://www.eum.go.kr/web/ar/lu/luLandDet.jsp?pnu=4311231032200140001&amp;isNoScr=script&amp;mode=search", "토지이음")</f>
        <v/>
      </c>
      <c r="O436" s="3" t="inlineStr">
        <is>
          <t>단지내 구현대</t>
        </is>
      </c>
      <c r="P436" s="4" t="n">
        <v>1</v>
      </c>
      <c r="Q436" s="4" t="n">
        <v>39372</v>
      </c>
      <c r="R436" s="3" t="inlineStr">
        <is>
          <t>지정되지않음</t>
        </is>
      </c>
      <c r="S436" s="3" t="inlineStr">
        <is>
          <t>자연림</t>
        </is>
      </c>
      <c r="T436" s="3" t="inlineStr">
        <is>
          <t>완경사</t>
        </is>
      </c>
      <c r="U436" s="3" t="inlineStr">
        <is>
          <t>부정형</t>
        </is>
      </c>
      <c r="V436" s="3" t="inlineStr">
        <is>
          <t>맹지</t>
        </is>
      </c>
    </row>
    <row r="437">
      <c r="A437" s="3" t="inlineStr">
        <is>
          <t>남이면 구암리 산 14-1</t>
        </is>
      </c>
      <c r="B437" s="3" t="inlineStr">
        <is>
          <t>보전녹지지역</t>
        </is>
      </c>
      <c r="C437" s="3" t="inlineStr">
        <is>
          <t>임야</t>
        </is>
      </c>
      <c r="D437" s="3" t="inlineStr">
        <is>
          <t>임야</t>
        </is>
      </c>
      <c r="E437" s="3" t="inlineStr">
        <is>
          <t>매매</t>
        </is>
      </c>
      <c r="F437" s="4" t="n">
        <v>80000</v>
      </c>
      <c r="G437" s="4" t="n">
        <v>41068</v>
      </c>
      <c r="H437" s="4" t="n">
        <v>12423</v>
      </c>
      <c r="I437" s="5" t="n">
        <v>6.4</v>
      </c>
      <c r="J437" s="5" t="n">
        <v>2.6</v>
      </c>
      <c r="K437" s="3" t="inlineStr">
        <is>
          <t>도시지역.보전녹지. 전.있음</t>
        </is>
      </c>
      <c r="L437" s="6">
        <f>HYPERLINK("https://fin.land.naver.com/articles/2654581431", "매물Link")</f>
        <v/>
      </c>
      <c r="M437" s="6">
        <f>HYPERLINK("https://map.naver.com/p/search/남이면 구암리 산 14-1", "지도Link")</f>
        <v/>
      </c>
      <c r="N437" s="6">
        <f>HYPERLINK("http://www.eum.go.kr/web/ar/lu/luLandDet.jsp?pnu=4311231032200140001&amp;isNoScr=script&amp;mode=search", "토지이음")</f>
        <v/>
      </c>
      <c r="O437" s="3" t="inlineStr">
        <is>
          <t>단지내 구현대</t>
        </is>
      </c>
      <c r="P437" s="4" t="n">
        <v>1</v>
      </c>
      <c r="Q437" s="4" t="n">
        <v>39372</v>
      </c>
      <c r="R437" s="3" t="inlineStr">
        <is>
          <t>지정되지않음</t>
        </is>
      </c>
      <c r="S437" s="3" t="inlineStr">
        <is>
          <t>자연림</t>
        </is>
      </c>
      <c r="T437" s="3" t="inlineStr">
        <is>
          <t>완경사</t>
        </is>
      </c>
      <c r="U437" s="3" t="inlineStr">
        <is>
          <t>부정형</t>
        </is>
      </c>
      <c r="V437" s="3" t="inlineStr">
        <is>
          <t>맹지</t>
        </is>
      </c>
    </row>
    <row r="438">
      <c r="A438" s="3" t="inlineStr">
        <is>
          <t>남이면 구암리 산 23-2</t>
        </is>
      </c>
      <c r="B438" s="3" t="inlineStr">
        <is>
          <t>보전녹지지역</t>
        </is>
      </c>
      <c r="C438" s="3" t="inlineStr">
        <is>
          <t>임야</t>
        </is>
      </c>
      <c r="D438" s="3" t="inlineStr">
        <is>
          <t>임야</t>
        </is>
      </c>
      <c r="E438" s="3" t="inlineStr">
        <is>
          <t>매매</t>
        </is>
      </c>
      <c r="F438" s="4" t="n">
        <v>18700</v>
      </c>
      <c r="G438" s="4" t="n">
        <v>2470</v>
      </c>
      <c r="H438" s="4" t="n">
        <v>747</v>
      </c>
      <c r="I438" s="5" t="n">
        <v>25</v>
      </c>
      <c r="J438" s="5" t="n">
        <v>3.1</v>
      </c>
      <c r="K438" s="3" t="inlineStr">
        <is>
          <t>남이면 구암리 임야 매매</t>
        </is>
      </c>
      <c r="L438" s="6">
        <f>HYPERLINK("https://fin.land.naver.com/articles/2651762000", "매물Link")</f>
        <v/>
      </c>
      <c r="M438" s="6">
        <f>HYPERLINK("https://map.naver.com/p/search/남이면 구암리 산 23-2", "지도Link")</f>
        <v/>
      </c>
      <c r="N438" s="6">
        <f>HYPERLINK("http://www.eum.go.kr/web/ar/lu/luLandDet.jsp?pnu=4311231032200230002&amp;isNoScr=script&amp;mode=search", "토지이음")</f>
        <v/>
      </c>
      <c r="O438" s="3" t="inlineStr">
        <is>
          <t>대지</t>
        </is>
      </c>
      <c r="P438" s="4" t="n">
        <v>1</v>
      </c>
      <c r="Q438" s="4" t="n">
        <v>2470</v>
      </c>
      <c r="R438" s="3" t="inlineStr">
        <is>
          <t>지정되지않음</t>
        </is>
      </c>
      <c r="S438" s="3" t="inlineStr">
        <is>
          <t>임야기타</t>
        </is>
      </c>
      <c r="T438" s="3" t="inlineStr">
        <is>
          <t>완경사</t>
        </is>
      </c>
      <c r="U438" s="3" t="inlineStr">
        <is>
          <t>사다리형</t>
        </is>
      </c>
      <c r="V438" s="3" t="inlineStr">
        <is>
          <t>세로한면(불)</t>
        </is>
      </c>
    </row>
    <row r="439">
      <c r="A439" s="3" t="inlineStr">
        <is>
          <t>남이면 구암리 산 65-2</t>
        </is>
      </c>
      <c r="B439" s="3" t="inlineStr">
        <is>
          <t>보전녹지지역</t>
        </is>
      </c>
      <c r="C439" s="3" t="inlineStr">
        <is>
          <t>임야</t>
        </is>
      </c>
      <c r="D439" s="3" t="inlineStr">
        <is>
          <t>임야</t>
        </is>
      </c>
      <c r="E439" s="3" t="inlineStr">
        <is>
          <t>매매</t>
        </is>
      </c>
      <c r="F439" s="4" t="n">
        <v>182000</v>
      </c>
      <c r="G439" s="4" t="n">
        <v>4628</v>
      </c>
      <c r="H439" s="4" t="n">
        <v>1400</v>
      </c>
      <c r="I439" s="5" t="n">
        <v>130</v>
      </c>
      <c r="J439" s="5" t="n">
        <v>2.7</v>
      </c>
      <c r="K439" s="3" t="inlineStr">
        <is>
          <t>사진有.청주 서부권 산업물류우수지, 토목완료된 개발사업지. 대형차량가능.</t>
        </is>
      </c>
      <c r="L439" s="6">
        <f>HYPERLINK("https://fin.land.naver.com/articles/2650206505", "매물Link")</f>
        <v/>
      </c>
      <c r="M439" s="6">
        <f>HYPERLINK("https://map.naver.com/p/search/남이면 구암리 산 65-2", "지도Link")</f>
        <v/>
      </c>
      <c r="N439" s="6">
        <f>HYPERLINK("http://www.eum.go.kr/web/ar/lu/luLandDet.jsp?pnu=4311231032200650002&amp;isNoScr=script&amp;mode=search", "토지이음")</f>
        <v/>
      </c>
      <c r="O439" s="3" t="inlineStr">
        <is>
          <t>오너스</t>
        </is>
      </c>
      <c r="P439" s="4" t="n">
        <v>1</v>
      </c>
      <c r="Q439" s="4" t="n">
        <v>6080</v>
      </c>
      <c r="R439" s="3" t="inlineStr">
        <is>
          <t>자연녹지지역</t>
        </is>
      </c>
      <c r="S439" s="3" t="inlineStr">
        <is>
          <t>자연림</t>
        </is>
      </c>
      <c r="T439" s="3" t="inlineStr">
        <is>
          <t>완경사</t>
        </is>
      </c>
      <c r="U439" s="3" t="inlineStr">
        <is>
          <t>부정형</t>
        </is>
      </c>
      <c r="V439" s="3" t="inlineStr">
        <is>
          <t>맹지</t>
        </is>
      </c>
    </row>
    <row r="440">
      <c r="A440" s="3" t="inlineStr">
        <is>
          <t>남이면 구암리 산21</t>
        </is>
      </c>
      <c r="B440" s="3" t="inlineStr">
        <is>
          <t>자연녹지지역</t>
        </is>
      </c>
      <c r="C440" s="3" t="inlineStr">
        <is>
          <t>임야</t>
        </is>
      </c>
      <c r="D440" s="3" t="inlineStr">
        <is>
          <t>임야</t>
        </is>
      </c>
      <c r="E440" s="3" t="inlineStr">
        <is>
          <t>매매</t>
        </is>
      </c>
      <c r="F440" s="4" t="n">
        <v>38000</v>
      </c>
      <c r="G440" s="4" t="n">
        <v>1667</v>
      </c>
      <c r="H440" s="4" t="n">
        <v>504</v>
      </c>
      <c r="I440" s="5" t="n">
        <v>75.40000000000001</v>
      </c>
      <c r="J440" s="5" t="n">
        <v>17.8</v>
      </c>
      <c r="K440" s="3" t="inlineStr">
        <is>
          <t>남청주 IC 인근, 청주 외곽순환로 접근성 최상 입지 토지 급매</t>
        </is>
      </c>
      <c r="L440" s="6">
        <f>HYPERLINK("https://fin.land.naver.com/articles/2653087489", "매물Link")</f>
        <v/>
      </c>
      <c r="M440" s="6">
        <f>HYPERLINK("https://map.naver.com/p/search/남이면 구암리 산21", "지도Link")</f>
        <v/>
      </c>
      <c r="N440" s="6">
        <f>HYPERLINK("http://www.eum.go.kr/web/ar/lu/luLandDet.jsp?pnu=4311231032200210000&amp;isNoScr=script&amp;mode=search", "토지이음")</f>
        <v/>
      </c>
      <c r="O440" s="3" t="inlineStr">
        <is>
          <t>대지</t>
        </is>
      </c>
      <c r="P440" s="4" t="n">
        <v>4</v>
      </c>
      <c r="Q440" s="4" t="n">
        <v>1667</v>
      </c>
      <c r="R440" s="3" t="inlineStr">
        <is>
          <t>지정되지않음</t>
        </is>
      </c>
      <c r="S440" s="3" t="inlineStr">
        <is>
          <t>자연림</t>
        </is>
      </c>
      <c r="T440" s="3" t="inlineStr">
        <is>
          <t>완경사</t>
        </is>
      </c>
      <c r="U440" s="3" t="inlineStr">
        <is>
          <t>부정형</t>
        </is>
      </c>
      <c r="V440" s="3" t="inlineStr">
        <is>
          <t>소로한면</t>
        </is>
      </c>
    </row>
    <row r="441">
      <c r="A441" s="3" t="inlineStr">
        <is>
          <t>남이면 구암리 산21</t>
        </is>
      </c>
      <c r="B441" s="3" t="inlineStr">
        <is>
          <t>자연녹지지역</t>
        </is>
      </c>
      <c r="C441" s="3" t="inlineStr">
        <is>
          <t>임야</t>
        </is>
      </c>
      <c r="D441" s="3" t="inlineStr">
        <is>
          <t>임야</t>
        </is>
      </c>
      <c r="E441" s="3" t="inlineStr">
        <is>
          <t>매매</t>
        </is>
      </c>
      <c r="F441" s="4" t="n">
        <v>50000</v>
      </c>
      <c r="G441" s="4" t="n">
        <v>1667</v>
      </c>
      <c r="H441" s="4" t="n">
        <v>504</v>
      </c>
      <c r="I441" s="5" t="n">
        <v>99.2</v>
      </c>
      <c r="J441" s="5" t="n">
        <v>17.8</v>
      </c>
      <c r="K441" s="3" t="inlineStr">
        <is>
          <t>급매,추천,도로접함,위치좋음</t>
        </is>
      </c>
      <c r="L441" s="6">
        <f>HYPERLINK("https://fin.land.naver.com/articles/2651876026", "매물Link")</f>
        <v/>
      </c>
      <c r="M441" s="6">
        <f>HYPERLINK("https://map.naver.com/p/search/남이면 구암리 산21", "지도Link")</f>
        <v/>
      </c>
      <c r="N441" s="6">
        <f>HYPERLINK("http://www.eum.go.kr/web/ar/lu/luLandDet.jsp?pnu=4311231032200210000&amp;isNoScr=script&amp;mode=search", "토지이음")</f>
        <v/>
      </c>
      <c r="O441" s="3" t="inlineStr">
        <is>
          <t>가경아이파크5단지일타</t>
        </is>
      </c>
      <c r="P441" s="4" t="n">
        <v>1</v>
      </c>
      <c r="Q441" s="4" t="n">
        <v>1667</v>
      </c>
      <c r="R441" s="3" t="inlineStr">
        <is>
          <t>지정되지않음</t>
        </is>
      </c>
      <c r="S441" s="3" t="inlineStr">
        <is>
          <t>자연림</t>
        </is>
      </c>
      <c r="T441" s="3" t="inlineStr">
        <is>
          <t>완경사</t>
        </is>
      </c>
      <c r="U441" s="3" t="inlineStr">
        <is>
          <t>부정형</t>
        </is>
      </c>
      <c r="V441" s="3" t="inlineStr">
        <is>
          <t>소로한면</t>
        </is>
      </c>
    </row>
    <row r="442">
      <c r="A442" s="3" t="inlineStr">
        <is>
          <t>남이면 구암리 산21</t>
        </is>
      </c>
      <c r="B442" s="3" t="inlineStr">
        <is>
          <t>자연녹지지역</t>
        </is>
      </c>
      <c r="C442" s="3" t="inlineStr">
        <is>
          <t>임야</t>
        </is>
      </c>
      <c r="D442" s="3" t="inlineStr">
        <is>
          <t>임야</t>
        </is>
      </c>
      <c r="E442" s="3" t="inlineStr">
        <is>
          <t>매매</t>
        </is>
      </c>
      <c r="F442" s="4" t="n">
        <v>38000</v>
      </c>
      <c r="G442" s="4" t="n">
        <v>1665</v>
      </c>
      <c r="H442" s="4" t="n">
        <v>504</v>
      </c>
      <c r="I442" s="5" t="n">
        <v>75.40000000000001</v>
      </c>
      <c r="J442" s="5" t="n">
        <v>17.8</v>
      </c>
      <c r="K442" s="3" t="inlineStr">
        <is>
          <t>2차선도로접,석곡사거리에서2km로 5분거리,토목공사완료</t>
        </is>
      </c>
      <c r="L442" s="6">
        <f>HYPERLINK("https://fin.land.naver.com/articles/2653652351", "매물Link")</f>
        <v/>
      </c>
      <c r="M442" s="6">
        <f>HYPERLINK("https://map.naver.com/p/search/남이면 구암리 산21", "지도Link")</f>
        <v/>
      </c>
      <c r="N442" s="6">
        <f>HYPERLINK("http://www.eum.go.kr/web/ar/lu/luLandDet.jsp?pnu=4311231032200210000&amp;isNoScr=script&amp;mode=search", "토지이음")</f>
        <v/>
      </c>
      <c r="O442" s="3" t="inlineStr">
        <is>
          <t>GS자이</t>
        </is>
      </c>
      <c r="P442" s="4" t="n">
        <v>1</v>
      </c>
      <c r="Q442" s="4" t="n">
        <v>1667</v>
      </c>
      <c r="R442" s="3" t="inlineStr">
        <is>
          <t>지정되지않음</t>
        </is>
      </c>
      <c r="S442" s="3" t="inlineStr">
        <is>
          <t>자연림</t>
        </is>
      </c>
      <c r="T442" s="3" t="inlineStr">
        <is>
          <t>완경사</t>
        </is>
      </c>
      <c r="U442" s="3" t="inlineStr">
        <is>
          <t>부정형</t>
        </is>
      </c>
      <c r="V442" s="3" t="inlineStr">
        <is>
          <t>소로한면</t>
        </is>
      </c>
    </row>
    <row r="443">
      <c r="A443" s="3" t="inlineStr">
        <is>
          <t>남이면 구암리 산65</t>
        </is>
      </c>
      <c r="B443" s="3" t="inlineStr">
        <is>
          <t>보전녹지지역</t>
        </is>
      </c>
      <c r="C443" s="3" t="inlineStr">
        <is>
          <t>임야</t>
        </is>
      </c>
      <c r="D443" s="3" t="inlineStr">
        <is>
          <t>임야</t>
        </is>
      </c>
      <c r="E443" s="3" t="inlineStr">
        <is>
          <t>매매</t>
        </is>
      </c>
      <c r="F443" s="4" t="n">
        <v>117000</v>
      </c>
      <c r="G443" s="4" t="n">
        <v>2975</v>
      </c>
      <c r="H443" s="4" t="n">
        <v>900</v>
      </c>
      <c r="I443" s="5" t="n">
        <v>130</v>
      </c>
      <c r="J443" s="5" t="n">
        <v>2.8</v>
      </c>
      <c r="K443" s="3" t="inlineStr">
        <is>
          <t>석곡4거리 4분거리, 제1종근생허가득, 창고추천</t>
        </is>
      </c>
      <c r="L443" s="6">
        <f>HYPERLINK("https://fin.land.naver.com/articles/2649887116", "매물Link")</f>
        <v/>
      </c>
      <c r="M443" s="6">
        <f>HYPERLINK("https://map.naver.com/p/search/남이면 구암리 산65", "지도Link")</f>
        <v/>
      </c>
      <c r="N443" s="6">
        <f>HYPERLINK("http://www.eum.go.kr/web/ar/lu/luLandDet.jsp?pnu=4311231032200650000&amp;isNoScr=script&amp;mode=search", "토지이음")</f>
        <v/>
      </c>
      <c r="O443" s="3" t="inlineStr">
        <is>
          <t>플러스자이합동</t>
        </is>
      </c>
      <c r="P443" s="4" t="n">
        <v>1</v>
      </c>
      <c r="Q443" s="4" t="n">
        <v>956</v>
      </c>
      <c r="R443" s="3" t="inlineStr">
        <is>
          <t>지정되지않음</t>
        </is>
      </c>
      <c r="S443" s="3" t="inlineStr">
        <is>
          <t>자연림</t>
        </is>
      </c>
      <c r="T443" s="3" t="inlineStr">
        <is>
          <t>완경사</t>
        </is>
      </c>
      <c r="U443" s="3" t="inlineStr">
        <is>
          <t>부정형</t>
        </is>
      </c>
      <c r="V443" s="3" t="inlineStr">
        <is>
          <t>맹지</t>
        </is>
      </c>
    </row>
    <row r="444">
      <c r="A444" s="3" t="inlineStr">
        <is>
          <t>남이면 대련리 105</t>
        </is>
      </c>
      <c r="B444" s="3" t="inlineStr">
        <is>
          <t>자연녹지지역</t>
        </is>
      </c>
      <c r="C444" s="3" t="inlineStr">
        <is>
          <t>전</t>
        </is>
      </c>
      <c r="D444" s="3" t="inlineStr">
        <is>
          <t>대</t>
        </is>
      </c>
      <c r="E444" s="3" t="inlineStr">
        <is>
          <t>매매</t>
        </is>
      </c>
      <c r="F444" s="4" t="n">
        <v>10700</v>
      </c>
      <c r="G444" s="4" t="n">
        <v>806</v>
      </c>
      <c r="H444" s="4" t="n">
        <v>244</v>
      </c>
      <c r="I444" s="5" t="n">
        <v>43.9</v>
      </c>
      <c r="J444" s="5" t="n">
        <v>17.5</v>
      </c>
      <c r="K444" s="3" t="inlineStr">
        <is>
          <t>도심근교 전원주택지에 있는  대지와 밭이 있는 땅임 .</t>
        </is>
      </c>
      <c r="L444" s="6">
        <f>HYPERLINK("https://fin.land.naver.com/articles/2649496090", "매물Link")</f>
        <v/>
      </c>
      <c r="M444" s="6">
        <f>HYPERLINK("https://map.naver.com/p/search/남이면 대련리 105", "지도Link")</f>
        <v/>
      </c>
      <c r="N444" s="6">
        <f>HYPERLINK("http://www.eum.go.kr/web/ar/lu/luLandDet.jsp?pnu=4311231035101050000&amp;isNoScr=script&amp;mode=search", "토지이음")</f>
        <v/>
      </c>
      <c r="O444" s="3" t="inlineStr">
        <is>
          <t>포시즌</t>
        </is>
      </c>
      <c r="P444" s="4" t="n">
        <v>1</v>
      </c>
      <c r="Q444" s="4" t="n">
        <v>446</v>
      </c>
      <c r="R444" s="3" t="inlineStr">
        <is>
          <t>보전녹지지역</t>
        </is>
      </c>
      <c r="S444" s="3" t="inlineStr">
        <is>
          <t>전</t>
        </is>
      </c>
      <c r="T444" s="3" t="inlineStr">
        <is>
          <t>완경사</t>
        </is>
      </c>
      <c r="U444" s="3" t="inlineStr">
        <is>
          <t>부정형</t>
        </is>
      </c>
      <c r="V444" s="3" t="inlineStr">
        <is>
          <t>맹지</t>
        </is>
      </c>
    </row>
    <row r="445">
      <c r="A445" s="3" t="inlineStr">
        <is>
          <t>남이면 대련리 224-3</t>
        </is>
      </c>
      <c r="B445" s="3" t="inlineStr">
        <is>
          <t>자연녹지지역</t>
        </is>
      </c>
      <c r="C445" s="3" t="inlineStr">
        <is>
          <t>전</t>
        </is>
      </c>
      <c r="D445" s="3" t="inlineStr">
        <is>
          <t>전</t>
        </is>
      </c>
      <c r="E445" s="3" t="inlineStr">
        <is>
          <t>매매</t>
        </is>
      </c>
      <c r="F445" s="4" t="n">
        <v>27000</v>
      </c>
      <c r="G445" s="4" t="n">
        <v>1001</v>
      </c>
      <c r="H445" s="4" t="n">
        <v>303</v>
      </c>
      <c r="I445" s="5" t="n">
        <v>89.09999999999999</v>
      </c>
      <c r="J445" s="5" t="n">
        <v>23.6</v>
      </c>
      <c r="K445" s="3" t="inlineStr">
        <is>
          <t>남이초 인근 대련리 토지매매</t>
        </is>
      </c>
      <c r="L445" s="6">
        <f>HYPERLINK("https://fin.land.naver.com/articles/2653467124", "매물Link")</f>
        <v/>
      </c>
      <c r="M445" s="6">
        <f>HYPERLINK("https://map.naver.com/p/search/남이면 대련리 224-3", "지도Link")</f>
        <v/>
      </c>
      <c r="N445" s="6">
        <f>HYPERLINK("http://www.eum.go.kr/web/ar/lu/luLandDet.jsp?pnu=4311231035102240003&amp;isNoScr=script&amp;mode=search", "토지이음")</f>
        <v/>
      </c>
      <c r="O445" s="3" t="inlineStr">
        <is>
          <t>원탑</t>
        </is>
      </c>
      <c r="P445" s="4" t="n">
        <v>2</v>
      </c>
      <c r="Q445" s="4" t="n">
        <v>1001</v>
      </c>
      <c r="R445" s="3" t="inlineStr">
        <is>
          <t>지정되지않음</t>
        </is>
      </c>
      <c r="S445" s="3" t="inlineStr">
        <is>
          <t>전기타</t>
        </is>
      </c>
      <c r="T445" s="3" t="inlineStr">
        <is>
          <t>완경사</t>
        </is>
      </c>
      <c r="U445" s="3" t="inlineStr">
        <is>
          <t>사다리형</t>
        </is>
      </c>
      <c r="V445" s="3" t="inlineStr">
        <is>
          <t>세로한면(가)</t>
        </is>
      </c>
    </row>
    <row r="446">
      <c r="A446" s="3" t="inlineStr">
        <is>
          <t>남이면 대련리 270-1</t>
        </is>
      </c>
      <c r="B446" s="3" t="inlineStr">
        <is>
          <t>자연녹지지역</t>
        </is>
      </c>
      <c r="C446" s="3" t="inlineStr">
        <is>
          <t>잡종지</t>
        </is>
      </c>
      <c r="D446" s="3" t="inlineStr">
        <is>
          <t>잡종지</t>
        </is>
      </c>
      <c r="E446" s="3" t="inlineStr">
        <is>
          <t>매매</t>
        </is>
      </c>
      <c r="F446" s="4" t="n">
        <v>270000</v>
      </c>
      <c r="G446" s="4" t="n">
        <v>2062</v>
      </c>
      <c r="H446" s="4" t="n">
        <v>624</v>
      </c>
      <c r="I446" s="5" t="n">
        <v>432.7</v>
      </c>
      <c r="J446" s="5" t="n">
        <v>86</v>
      </c>
      <c r="K446" s="3" t="inlineStr">
        <is>
          <t>대도로변 접, 다용도 활용가능한 잡종지, 유통 물류, 광고효과</t>
        </is>
      </c>
      <c r="L446" s="6">
        <f>HYPERLINK("https://fin.land.naver.com/articles/2650955489", "매물Link")</f>
        <v/>
      </c>
      <c r="M446" s="6">
        <f>HYPERLINK("https://map.naver.com/p/search/남이면 대련리 270-1", "지도Link")</f>
        <v/>
      </c>
      <c r="N446" s="6">
        <f>HYPERLINK("http://www.eum.go.kr/web/ar/lu/luLandDet.jsp?pnu=4311231035102700001&amp;isNoScr=script&amp;mode=search", "토지이음")</f>
        <v/>
      </c>
      <c r="O446" s="3" t="inlineStr">
        <is>
          <t>두진하트</t>
        </is>
      </c>
      <c r="P446" s="4" t="n">
        <v>1</v>
      </c>
      <c r="Q446" s="4" t="n">
        <v>987</v>
      </c>
      <c r="R446" s="3" t="inlineStr">
        <is>
          <t>지정되지않음</t>
        </is>
      </c>
      <c r="S446" s="3" t="inlineStr">
        <is>
          <t>공업용</t>
        </is>
      </c>
      <c r="T446" s="3" t="inlineStr">
        <is>
          <t>평지</t>
        </is>
      </c>
      <c r="U446" s="3" t="inlineStr">
        <is>
          <t>부정형</t>
        </is>
      </c>
      <c r="V446" s="3" t="inlineStr">
        <is>
          <t>중로한면</t>
        </is>
      </c>
    </row>
    <row r="447">
      <c r="A447" s="3" t="inlineStr">
        <is>
          <t>남이면 대련리 270-1</t>
        </is>
      </c>
      <c r="B447" s="3" t="inlineStr">
        <is>
          <t>자연녹지지역</t>
        </is>
      </c>
      <c r="C447" s="3" t="inlineStr">
        <is>
          <t>잡종지</t>
        </is>
      </c>
      <c r="D447" s="3" t="inlineStr">
        <is>
          <t>잡종지</t>
        </is>
      </c>
      <c r="E447" s="3" t="inlineStr">
        <is>
          <t>매매</t>
        </is>
      </c>
      <c r="F447" s="4" t="n">
        <v>220000</v>
      </c>
      <c r="G447" s="4" t="n">
        <v>2062</v>
      </c>
      <c r="H447" s="4" t="n">
        <v>624</v>
      </c>
      <c r="I447" s="5" t="n">
        <v>352.6</v>
      </c>
      <c r="J447" s="5" t="n">
        <v>86</v>
      </c>
      <c r="K447" s="3" t="inlineStr">
        <is>
          <t>nan</t>
        </is>
      </c>
      <c r="L447" s="6">
        <f>HYPERLINK("https://fin.land.naver.com/articles/2651957545", "매물Link")</f>
        <v/>
      </c>
      <c r="M447" s="6">
        <f>HYPERLINK("https://map.naver.com/p/search/남이면 대련리 270-1", "지도Link")</f>
        <v/>
      </c>
      <c r="N447" s="6">
        <f>HYPERLINK("http://www.eum.go.kr/web/ar/lu/luLandDet.jsp?pnu=4311231035102700001&amp;isNoScr=script&amp;mode=search", "토지이음")</f>
        <v/>
      </c>
      <c r="O447" s="3" t="inlineStr">
        <is>
          <t>청주 합동</t>
        </is>
      </c>
      <c r="P447" s="4" t="n">
        <v>1</v>
      </c>
      <c r="Q447" s="4" t="n">
        <v>987</v>
      </c>
      <c r="R447" s="3" t="inlineStr">
        <is>
          <t>지정되지않음</t>
        </is>
      </c>
      <c r="S447" s="3" t="inlineStr">
        <is>
          <t>공업용</t>
        </is>
      </c>
      <c r="T447" s="3" t="inlineStr">
        <is>
          <t>평지</t>
        </is>
      </c>
      <c r="U447" s="3" t="inlineStr">
        <is>
          <t>부정형</t>
        </is>
      </c>
      <c r="V447" s="3" t="inlineStr">
        <is>
          <t>중로한면</t>
        </is>
      </c>
    </row>
    <row r="448">
      <c r="A448" s="3" t="inlineStr">
        <is>
          <t>남이면 대련리 270-1</t>
        </is>
      </c>
      <c r="B448" s="3" t="inlineStr">
        <is>
          <t>자연녹지지역</t>
        </is>
      </c>
      <c r="C448" s="3" t="inlineStr">
        <is>
          <t>잡종지</t>
        </is>
      </c>
      <c r="D448" s="3" t="inlineStr">
        <is>
          <t>잡종지</t>
        </is>
      </c>
      <c r="E448" s="3" t="inlineStr">
        <is>
          <t>매매</t>
        </is>
      </c>
      <c r="F448" s="4" t="n">
        <v>260000</v>
      </c>
      <c r="G448" s="4" t="n">
        <v>2066</v>
      </c>
      <c r="H448" s="4" t="n">
        <v>625</v>
      </c>
      <c r="I448" s="5" t="n">
        <v>416</v>
      </c>
      <c r="J448" s="5" t="n">
        <v>86</v>
      </c>
      <c r="K448" s="3" t="inlineStr">
        <is>
          <t>청주에서 대전가는 대도로변  가격조정가능</t>
        </is>
      </c>
      <c r="L448" s="6">
        <f>HYPERLINK("https://fin.land.naver.com/articles/2649614716", "매물Link")</f>
        <v/>
      </c>
      <c r="M448" s="6">
        <f>HYPERLINK("https://map.naver.com/p/search/남이면 대련리 270-1", "지도Link")</f>
        <v/>
      </c>
      <c r="N448" s="6">
        <f>HYPERLINK("http://www.eum.go.kr/web/ar/lu/luLandDet.jsp?pnu=4311231035102700001&amp;isNoScr=script&amp;mode=search", "토지이음")</f>
        <v/>
      </c>
      <c r="O448" s="3" t="inlineStr">
        <is>
          <t>청산</t>
        </is>
      </c>
      <c r="P448" s="4" t="n">
        <v>1</v>
      </c>
      <c r="Q448" s="4" t="n">
        <v>987</v>
      </c>
      <c r="R448" s="3" t="inlineStr">
        <is>
          <t>지정되지않음</t>
        </is>
      </c>
      <c r="S448" s="3" t="inlineStr">
        <is>
          <t>공업용</t>
        </is>
      </c>
      <c r="T448" s="3" t="inlineStr">
        <is>
          <t>평지</t>
        </is>
      </c>
      <c r="U448" s="3" t="inlineStr">
        <is>
          <t>부정형</t>
        </is>
      </c>
      <c r="V448" s="3" t="inlineStr">
        <is>
          <t>중로한면</t>
        </is>
      </c>
    </row>
    <row r="449">
      <c r="A449" s="3" t="inlineStr">
        <is>
          <t>남이면 대련리 75</t>
        </is>
      </c>
      <c r="B449" s="3" t="inlineStr">
        <is>
          <t>자연녹지지역</t>
        </is>
      </c>
      <c r="C449" s="3" t="inlineStr">
        <is>
          <t>답</t>
        </is>
      </c>
      <c r="D449" s="3" t="inlineStr">
        <is>
          <t>답</t>
        </is>
      </c>
      <c r="E449" s="3" t="inlineStr">
        <is>
          <t>매매</t>
        </is>
      </c>
      <c r="F449" s="4" t="n">
        <v>168800</v>
      </c>
      <c r="G449" s="4" t="n">
        <v>3487</v>
      </c>
      <c r="H449" s="4" t="n">
        <v>1055</v>
      </c>
      <c r="I449" s="5" t="n">
        <v>160</v>
      </c>
      <c r="J449" s="5" t="n">
        <v>35.5</v>
      </c>
      <c r="K449" s="3" t="inlineStr">
        <is>
          <t>nan</t>
        </is>
      </c>
      <c r="L449" s="6">
        <f>HYPERLINK("https://fin.land.naver.com/articles/2652941172", "매물Link")</f>
        <v/>
      </c>
      <c r="M449" s="6">
        <f>HYPERLINK("https://map.naver.com/p/search/남이면 대련리 75", "지도Link")</f>
        <v/>
      </c>
      <c r="N449" s="6">
        <f>HYPERLINK("http://www.eum.go.kr/web/ar/lu/luLandDet.jsp?pnu=4311231035100750000&amp;isNoScr=script&amp;mode=search", "토지이음")</f>
        <v/>
      </c>
      <c r="O449" s="3" t="inlineStr">
        <is>
          <t>신화</t>
        </is>
      </c>
      <c r="P449" s="4" t="n">
        <v>1</v>
      </c>
      <c r="Q449" s="4" t="n">
        <v>3487</v>
      </c>
      <c r="R449" s="3" t="inlineStr">
        <is>
          <t>지정되지않음</t>
        </is>
      </c>
      <c r="S449" s="3" t="inlineStr">
        <is>
          <t>답</t>
        </is>
      </c>
      <c r="T449" s="3" t="inlineStr">
        <is>
          <t>평지</t>
        </is>
      </c>
      <c r="U449" s="3" t="inlineStr">
        <is>
          <t>자루형</t>
        </is>
      </c>
      <c r="V449" s="3" t="inlineStr">
        <is>
          <t>세로한면(가)</t>
        </is>
      </c>
    </row>
    <row r="450">
      <c r="A450" s="3" t="inlineStr">
        <is>
          <t>남이면 대련리 75</t>
        </is>
      </c>
      <c r="B450" s="3" t="inlineStr">
        <is>
          <t>자연녹지지역</t>
        </is>
      </c>
      <c r="C450" s="3" t="inlineStr">
        <is>
          <t>답</t>
        </is>
      </c>
      <c r="D450" s="3" t="inlineStr">
        <is>
          <t>답</t>
        </is>
      </c>
      <c r="E450" s="3" t="inlineStr">
        <is>
          <t>매매</t>
        </is>
      </c>
      <c r="F450" s="4" t="n">
        <v>137020</v>
      </c>
      <c r="G450" s="4" t="n">
        <v>3487</v>
      </c>
      <c r="H450" s="4" t="n">
        <v>1055</v>
      </c>
      <c r="I450" s="5" t="n">
        <v>129.9</v>
      </c>
      <c r="J450" s="5" t="n">
        <v>35.5</v>
      </c>
      <c r="K450" s="3" t="inlineStr">
        <is>
          <t>도로와 접한 모양 좋은 토지, 주변에 소규모공장 산재,공장,창고 등 추천</t>
        </is>
      </c>
      <c r="L450" s="6">
        <f>HYPERLINK("https://fin.land.naver.com/articles/2654599913", "매물Link")</f>
        <v/>
      </c>
      <c r="M450" s="6">
        <f>HYPERLINK("https://map.naver.com/p/search/남이면 대련리 75", "지도Link")</f>
        <v/>
      </c>
      <c r="N450" s="6">
        <f>HYPERLINK("http://www.eum.go.kr/web/ar/lu/luLandDet.jsp?pnu=4311231035100750000&amp;isNoScr=script&amp;mode=search", "토지이음")</f>
        <v/>
      </c>
      <c r="O450" s="3" t="inlineStr">
        <is>
          <t>바로그</t>
        </is>
      </c>
      <c r="P450" s="4" t="n">
        <v>1</v>
      </c>
      <c r="Q450" s="4" t="n">
        <v>3487</v>
      </c>
      <c r="R450" s="3" t="inlineStr">
        <is>
          <t>지정되지않음</t>
        </is>
      </c>
      <c r="S450" s="3" t="inlineStr">
        <is>
          <t>답</t>
        </is>
      </c>
      <c r="T450" s="3" t="inlineStr">
        <is>
          <t>평지</t>
        </is>
      </c>
      <c r="U450" s="3" t="inlineStr">
        <is>
          <t>자루형</t>
        </is>
      </c>
      <c r="V450" s="3" t="inlineStr">
        <is>
          <t>세로한면(가)</t>
        </is>
      </c>
    </row>
    <row r="451">
      <c r="A451" s="3" t="inlineStr">
        <is>
          <t>남이면 대련리 98-2</t>
        </is>
      </c>
      <c r="B451" s="3" t="inlineStr">
        <is>
          <t>자연녹지지역</t>
        </is>
      </c>
      <c r="C451" s="3" t="inlineStr">
        <is>
          <t>답</t>
        </is>
      </c>
      <c r="D451" s="3" t="inlineStr">
        <is>
          <t>전</t>
        </is>
      </c>
      <c r="E451" s="3" t="inlineStr">
        <is>
          <t>매매</t>
        </is>
      </c>
      <c r="F451" s="4" t="n">
        <v>40000</v>
      </c>
      <c r="G451" s="4" t="n">
        <v>1884</v>
      </c>
      <c r="H451" s="4" t="n">
        <v>570</v>
      </c>
      <c r="I451" s="5" t="n">
        <v>70.2</v>
      </c>
      <c r="J451" s="5" t="n">
        <v>24.5</v>
      </c>
      <c r="K451" s="3" t="inlineStr">
        <is>
          <t>시내권  다양한용도 개발가능 급매</t>
        </is>
      </c>
      <c r="L451" s="6">
        <f>HYPERLINK("https://fin.land.naver.com/articles/2654005871", "매물Link")</f>
        <v/>
      </c>
      <c r="M451" s="6">
        <f>HYPERLINK("https://map.naver.com/p/search/남이면 대련리 98-2", "지도Link")</f>
        <v/>
      </c>
      <c r="N451" s="6">
        <f>HYPERLINK("http://www.eum.go.kr/web/ar/lu/luLandDet.jsp?pnu=4311231035100980002&amp;isNoScr=script&amp;mode=search", "토지이음")</f>
        <v/>
      </c>
      <c r="O451" s="3" t="inlineStr">
        <is>
          <t>청주지웰프로</t>
        </is>
      </c>
      <c r="P451" s="4" t="n">
        <v>1</v>
      </c>
      <c r="Q451" s="4" t="n">
        <v>1884</v>
      </c>
      <c r="R451" s="3" t="inlineStr">
        <is>
          <t>지정되지않음</t>
        </is>
      </c>
      <c r="S451" s="3" t="inlineStr">
        <is>
          <t>전</t>
        </is>
      </c>
      <c r="T451" s="3" t="inlineStr">
        <is>
          <t>평지</t>
        </is>
      </c>
      <c r="U451" s="3" t="inlineStr">
        <is>
          <t>부정형</t>
        </is>
      </c>
      <c r="V451" s="3" t="inlineStr">
        <is>
          <t>세로한면(불)</t>
        </is>
      </c>
    </row>
    <row r="452">
      <c r="A452" s="3" t="inlineStr">
        <is>
          <t>남이면 대련리 산 56-3</t>
        </is>
      </c>
      <c r="B452" s="3" t="inlineStr">
        <is>
          <t>보전녹지지역</t>
        </is>
      </c>
      <c r="C452" s="3" t="inlineStr">
        <is>
          <t>임야</t>
        </is>
      </c>
      <c r="D452" s="3" t="inlineStr">
        <is>
          <t>임야</t>
        </is>
      </c>
      <c r="E452" s="3" t="inlineStr">
        <is>
          <t>매매</t>
        </is>
      </c>
      <c r="F452" s="4" t="n">
        <v>40000</v>
      </c>
      <c r="G452" s="4" t="n">
        <v>6557</v>
      </c>
      <c r="H452" s="4" t="n">
        <v>1983</v>
      </c>
      <c r="I452" s="5" t="n">
        <v>20.2</v>
      </c>
      <c r="J452" s="5" t="n">
        <v>3.3</v>
      </c>
      <c r="K452" s="3" t="inlineStr">
        <is>
          <t>남이면 대련리 임야 매매 차량 진입 원활 일부 밭 사용 가능 도시공원</t>
        </is>
      </c>
      <c r="L452" s="6">
        <f>HYPERLINK("https://fin.land.naver.com/articles/2652211222", "매물Link")</f>
        <v/>
      </c>
      <c r="M452" s="6">
        <f>HYPERLINK("https://map.naver.com/p/search/남이면 대련리 산 56-3", "지도Link")</f>
        <v/>
      </c>
      <c r="N452" s="6">
        <f>HYPERLINK("http://www.eum.go.kr/web/ar/lu/luLandDet.jsp?pnu=4311231035200560003&amp;isNoScr=script&amp;mode=search", "토지이음")</f>
        <v/>
      </c>
      <c r="O452" s="3" t="inlineStr">
        <is>
          <t>그린</t>
        </is>
      </c>
      <c r="P452" s="4" t="n">
        <v>1</v>
      </c>
      <c r="Q452" s="4" t="n">
        <v>6557</v>
      </c>
      <c r="R452" s="3" t="inlineStr">
        <is>
          <t>자연녹지지역</t>
        </is>
      </c>
      <c r="S452" s="3" t="inlineStr">
        <is>
          <t>자연림</t>
        </is>
      </c>
      <c r="T452" s="3" t="inlineStr">
        <is>
          <t>급경사</t>
        </is>
      </c>
      <c r="U452" s="3" t="inlineStr">
        <is>
          <t>부정형</t>
        </is>
      </c>
      <c r="V452" s="3" t="inlineStr">
        <is>
          <t>세로한면(불)</t>
        </is>
      </c>
    </row>
    <row r="453">
      <c r="A453" s="3" t="inlineStr">
        <is>
          <t>남이면 문동리 143-1</t>
        </is>
      </c>
      <c r="B453" s="3" t="inlineStr">
        <is>
          <t>생산관리지역</t>
        </is>
      </c>
      <c r="C453" s="3" t="inlineStr">
        <is>
          <t>답</t>
        </is>
      </c>
      <c r="D453" s="3" t="inlineStr">
        <is>
          <t>답</t>
        </is>
      </c>
      <c r="E453" s="3" t="inlineStr">
        <is>
          <t>매매</t>
        </is>
      </c>
      <c r="F453" s="4" t="n">
        <v>29500</v>
      </c>
      <c r="G453" s="4" t="n">
        <v>978</v>
      </c>
      <c r="H453" s="4" t="n">
        <v>296</v>
      </c>
      <c r="I453" s="5" t="n">
        <v>99.7</v>
      </c>
      <c r="J453" s="5" t="n">
        <v>14.7</v>
      </c>
      <c r="K453" s="3" t="inlineStr">
        <is>
          <t>문동리 2차선도로 접합, 세리모텔근처, 충청살수환경옆</t>
        </is>
      </c>
      <c r="L453" s="6">
        <f>HYPERLINK("https://fin.land.naver.com/articles/2652439169", "매물Link")</f>
        <v/>
      </c>
      <c r="M453" s="6">
        <f>HYPERLINK("https://map.naver.com/p/search/남이면 문동리 143-1", "지도Link")</f>
        <v/>
      </c>
      <c r="N453" s="6">
        <f>HYPERLINK("http://www.eum.go.kr/web/ar/lu/luLandDet.jsp?pnu=4311231023101430001&amp;isNoScr=script&amp;mode=search", "토지이음")</f>
        <v/>
      </c>
      <c r="O453" s="3" t="inlineStr">
        <is>
          <t>길</t>
        </is>
      </c>
      <c r="P453" s="4" t="n">
        <v>1</v>
      </c>
      <c r="Q453" s="4" t="n">
        <v>978</v>
      </c>
      <c r="R453" s="3" t="inlineStr">
        <is>
          <t>지정되지않음</t>
        </is>
      </c>
      <c r="S453" s="3" t="inlineStr">
        <is>
          <t>답</t>
        </is>
      </c>
      <c r="T453" s="3" t="inlineStr">
        <is>
          <t>평지</t>
        </is>
      </c>
      <c r="U453" s="3" t="inlineStr">
        <is>
          <t>부정형</t>
        </is>
      </c>
      <c r="V453" s="3" t="inlineStr">
        <is>
          <t>소로한면</t>
        </is>
      </c>
    </row>
    <row r="454">
      <c r="A454" s="3" t="inlineStr">
        <is>
          <t>남이면 문동리 192-1</t>
        </is>
      </c>
      <c r="B454" s="3" t="inlineStr">
        <is>
          <t>자연녹지지역</t>
        </is>
      </c>
      <c r="C454" s="3" t="inlineStr">
        <is>
          <t>잡종지</t>
        </is>
      </c>
      <c r="D454" s="3" t="inlineStr">
        <is>
          <t>잡종지</t>
        </is>
      </c>
      <c r="E454" s="3" t="inlineStr">
        <is>
          <t>매매</t>
        </is>
      </c>
      <c r="F454" s="4" t="n">
        <v>130000</v>
      </c>
      <c r="G454" s="4" t="n">
        <v>2395</v>
      </c>
      <c r="H454" s="4" t="n">
        <v>724</v>
      </c>
      <c r="I454" s="5" t="n">
        <v>179.6</v>
      </c>
      <c r="J454" s="5" t="n">
        <v>36.5</v>
      </c>
      <c r="K454" s="3" t="inlineStr">
        <is>
          <t>고물상, 쓰레기처리시설 추천</t>
        </is>
      </c>
      <c r="L454" s="6">
        <f>HYPERLINK("https://fin.land.naver.com/articles/2653577537", "매물Link")</f>
        <v/>
      </c>
      <c r="M454" s="6">
        <f>HYPERLINK("https://map.naver.com/p/search/남이면 문동리 192-1", "지도Link")</f>
        <v/>
      </c>
      <c r="N454" s="6">
        <f>HYPERLINK("http://www.eum.go.kr/web/ar/lu/luLandDet.jsp?pnu=4311231023101920001&amp;isNoScr=script&amp;mode=search", "토지이음")</f>
        <v/>
      </c>
      <c r="O454" s="3" t="inlineStr">
        <is>
          <t>노블</t>
        </is>
      </c>
      <c r="P454" s="4" t="n">
        <v>1</v>
      </c>
      <c r="Q454" s="4" t="n">
        <v>1520</v>
      </c>
      <c r="R454" s="3" t="inlineStr">
        <is>
          <t>지정되지않음</t>
        </is>
      </c>
      <c r="S454" s="3" t="inlineStr">
        <is>
          <t>주거기타</t>
        </is>
      </c>
      <c r="T454" s="3" t="inlineStr">
        <is>
          <t>완경사</t>
        </is>
      </c>
      <c r="U454" s="3" t="inlineStr">
        <is>
          <t>부정형</t>
        </is>
      </c>
      <c r="V454" s="3" t="inlineStr">
        <is>
          <t>소로한면</t>
        </is>
      </c>
    </row>
    <row r="455">
      <c r="A455" s="3" t="inlineStr">
        <is>
          <t>남이면 문동리 205</t>
        </is>
      </c>
      <c r="B455" s="3" t="inlineStr">
        <is>
          <t>생산관리지역</t>
        </is>
      </c>
      <c r="C455" s="3" t="inlineStr">
        <is>
          <t>대</t>
        </is>
      </c>
      <c r="D455" s="3" t="inlineStr">
        <is>
          <t>대</t>
        </is>
      </c>
      <c r="E455" s="3" t="inlineStr">
        <is>
          <t>매매</t>
        </is>
      </c>
      <c r="F455" s="4" t="n">
        <v>38000</v>
      </c>
      <c r="G455" s="4" t="n">
        <v>1300</v>
      </c>
      <c r="H455" s="4" t="n">
        <v>393</v>
      </c>
      <c r="I455" s="5" t="n">
        <v>96.7</v>
      </c>
      <c r="J455" s="5" t="n">
        <v>80.8</v>
      </c>
      <c r="K455" s="3" t="inlineStr">
        <is>
          <t>nan</t>
        </is>
      </c>
      <c r="L455" s="6">
        <f>HYPERLINK("https://fin.land.naver.com/articles/2650890944", "매물Link")</f>
        <v/>
      </c>
      <c r="M455" s="6">
        <f>HYPERLINK("https://map.naver.com/p/search/남이면 문동리 205", "지도Link")</f>
        <v/>
      </c>
      <c r="N455" s="6">
        <f>HYPERLINK("http://www.eum.go.kr/web/ar/lu/luLandDet.jsp?pnu=4311231023102050000&amp;isNoScr=script&amp;mode=search", "토지이음")</f>
        <v/>
      </c>
      <c r="O455" s="3" t="inlineStr">
        <is>
          <t>대웅</t>
        </is>
      </c>
      <c r="P455" s="4" t="n">
        <v>1</v>
      </c>
      <c r="Q455" s="4" t="n">
        <v>940</v>
      </c>
      <c r="R455" s="3" t="inlineStr">
        <is>
          <t>지정되지않음</t>
        </is>
      </c>
      <c r="S455" s="3" t="inlineStr">
        <is>
          <t>상업용</t>
        </is>
      </c>
      <c r="T455" s="3" t="inlineStr">
        <is>
          <t>완경사</t>
        </is>
      </c>
      <c r="U455" s="3" t="inlineStr">
        <is>
          <t>부정형</t>
        </is>
      </c>
      <c r="V455" s="3" t="inlineStr">
        <is>
          <t>소로한면</t>
        </is>
      </c>
    </row>
    <row r="456">
      <c r="A456" s="3" t="inlineStr">
        <is>
          <t>남이면 문동리 21-1</t>
        </is>
      </c>
      <c r="B456" s="3" t="inlineStr">
        <is>
          <t>자연녹지지역</t>
        </is>
      </c>
      <c r="C456" s="3" t="inlineStr">
        <is>
          <t>전</t>
        </is>
      </c>
      <c r="D456" s="3" t="inlineStr">
        <is>
          <t>대</t>
        </is>
      </c>
      <c r="E456" s="3" t="inlineStr">
        <is>
          <t>매매</t>
        </is>
      </c>
      <c r="F456" s="4" t="n">
        <v>11500</v>
      </c>
      <c r="G456" s="4" t="n">
        <v>760</v>
      </c>
      <c r="H456" s="4" t="n">
        <v>230</v>
      </c>
      <c r="I456" s="5" t="n">
        <v>50</v>
      </c>
      <c r="J456" s="5" t="n">
        <v>15.7</v>
      </c>
      <c r="K456" s="3" t="inlineStr">
        <is>
          <t>정남향의 전원주택지.바로옆에 도랑이 사계절 흐름.</t>
        </is>
      </c>
      <c r="L456" s="6">
        <f>HYPERLINK("https://fin.land.naver.com/articles/2651081704", "매물Link")</f>
        <v/>
      </c>
      <c r="M456" s="6">
        <f>HYPERLINK("https://map.naver.com/p/search/남이면 문동리 21-1", "지도Link")</f>
        <v/>
      </c>
      <c r="N456" s="6">
        <f>HYPERLINK("http://www.eum.go.kr/web/ar/lu/luLandDet.jsp?pnu=4311231023100210001&amp;isNoScr=script&amp;mode=search", "토지이음")</f>
        <v/>
      </c>
      <c r="O456" s="3" t="inlineStr">
        <is>
          <t>청와대합동사무소</t>
        </is>
      </c>
      <c r="P456" s="4" t="n">
        <v>1</v>
      </c>
      <c r="Q456" s="4" t="n">
        <v>261</v>
      </c>
      <c r="R456" s="3" t="inlineStr">
        <is>
          <t>지정되지않음</t>
        </is>
      </c>
      <c r="S456" s="3" t="inlineStr">
        <is>
          <t>전기타</t>
        </is>
      </c>
      <c r="T456" s="3" t="inlineStr">
        <is>
          <t>완경사</t>
        </is>
      </c>
      <c r="U456" s="3" t="inlineStr">
        <is>
          <t>부정형</t>
        </is>
      </c>
      <c r="V456" s="3" t="inlineStr">
        <is>
          <t>맹지</t>
        </is>
      </c>
    </row>
    <row r="457">
      <c r="A457" s="3" t="inlineStr">
        <is>
          <t>남이면 문동리 234</t>
        </is>
      </c>
      <c r="B457" s="3" t="inlineStr">
        <is>
          <t>생산관리지역</t>
        </is>
      </c>
      <c r="C457" s="3" t="inlineStr">
        <is>
          <t>전</t>
        </is>
      </c>
      <c r="D457" s="3" t="inlineStr">
        <is>
          <t>전</t>
        </is>
      </c>
      <c r="E457" s="3" t="inlineStr">
        <is>
          <t>매매</t>
        </is>
      </c>
      <c r="F457" s="4" t="n">
        <v>23000</v>
      </c>
      <c r="G457" s="4" t="n">
        <v>3492</v>
      </c>
      <c r="H457" s="4" t="n">
        <v>1056</v>
      </c>
      <c r="I457" s="5" t="n">
        <v>21.8</v>
      </c>
      <c r="J457" s="5" t="n">
        <v>8.5</v>
      </c>
      <c r="K457" s="3" t="inlineStr">
        <is>
          <t>문동1리 북측, 블루베리 470주, 농막 포함.</t>
        </is>
      </c>
      <c r="L457" s="6">
        <f>HYPERLINK("https://fin.land.naver.com/articles/2654633261", "매물Link")</f>
        <v/>
      </c>
      <c r="M457" s="6">
        <f>HYPERLINK("https://map.naver.com/p/search/남이면 문동리 234", "지도Link")</f>
        <v/>
      </c>
      <c r="N457" s="6">
        <f>HYPERLINK("http://www.eum.go.kr/web/ar/lu/luLandDet.jsp?pnu=4311231023102340000&amp;isNoScr=script&amp;mode=search", "토지이음")</f>
        <v/>
      </c>
      <c r="O457" s="3" t="inlineStr">
        <is>
          <t>청주모충주공사모1·2재개발명성</t>
        </is>
      </c>
      <c r="P457" s="4" t="n">
        <v>1</v>
      </c>
      <c r="Q457" s="4" t="n">
        <v>1980</v>
      </c>
      <c r="R457" s="3" t="inlineStr">
        <is>
          <t>지정되지않음</t>
        </is>
      </c>
      <c r="S457" s="3" t="inlineStr">
        <is>
          <t>전</t>
        </is>
      </c>
      <c r="T457" s="3" t="inlineStr">
        <is>
          <t>완경사</t>
        </is>
      </c>
      <c r="U457" s="3" t="inlineStr">
        <is>
          <t>부정형</t>
        </is>
      </c>
      <c r="V457" s="3" t="inlineStr">
        <is>
          <t>맹지</t>
        </is>
      </c>
    </row>
    <row r="458">
      <c r="A458" s="3" t="inlineStr">
        <is>
          <t>남이면 문동리 259-2</t>
        </is>
      </c>
      <c r="B458" s="3" t="inlineStr">
        <is>
          <t>생산관리지역</t>
        </is>
      </c>
      <c r="C458" s="3" t="inlineStr">
        <is>
          <t>답</t>
        </is>
      </c>
      <c r="D458" s="3" t="inlineStr">
        <is>
          <t>답</t>
        </is>
      </c>
      <c r="E458" s="3" t="inlineStr">
        <is>
          <t>매매</t>
        </is>
      </c>
      <c r="F458" s="4" t="n">
        <v>12100</v>
      </c>
      <c r="G458" s="4" t="n">
        <v>800</v>
      </c>
      <c r="H458" s="4" t="n">
        <v>242</v>
      </c>
      <c r="I458" s="5" t="n">
        <v>50</v>
      </c>
      <c r="J458" s="5" t="n">
        <v>14.5</v>
      </c>
      <c r="K458" s="3" t="inlineStr">
        <is>
          <t>전원주택 및 주말농장으로 추천 남향토지매매</t>
        </is>
      </c>
      <c r="L458" s="6">
        <f>HYPERLINK("https://fin.land.naver.com/articles/2649434016", "매물Link")</f>
        <v/>
      </c>
      <c r="M458" s="6">
        <f>HYPERLINK("https://map.naver.com/p/search/남이면 문동리 259-2", "지도Link")</f>
        <v/>
      </c>
      <c r="N458" s="6">
        <f>HYPERLINK("http://www.eum.go.kr/web/ar/lu/luLandDet.jsp?pnu=4311231023102590002&amp;isNoScr=script&amp;mode=search", "토지이음")</f>
        <v/>
      </c>
      <c r="O458" s="3" t="inlineStr">
        <is>
          <t>대운</t>
        </is>
      </c>
      <c r="P458" s="4" t="n">
        <v>1</v>
      </c>
      <c r="Q458" s="4" t="n">
        <v>800</v>
      </c>
      <c r="R458" s="3" t="inlineStr">
        <is>
          <t>지정되지않음</t>
        </is>
      </c>
      <c r="S458" s="3" t="inlineStr">
        <is>
          <t>답</t>
        </is>
      </c>
      <c r="T458" s="3" t="inlineStr">
        <is>
          <t>평지</t>
        </is>
      </c>
      <c r="U458" s="3" t="inlineStr">
        <is>
          <t>사다리형</t>
        </is>
      </c>
      <c r="V458" s="3" t="inlineStr">
        <is>
          <t>세로한면(가)</t>
        </is>
      </c>
    </row>
    <row r="459">
      <c r="A459" s="3" t="inlineStr">
        <is>
          <t>남이면 문동리 262-1</t>
        </is>
      </c>
      <c r="B459" s="3" t="inlineStr">
        <is>
          <t>생산관리지역</t>
        </is>
      </c>
      <c r="C459" s="3" t="inlineStr">
        <is>
          <t>대</t>
        </is>
      </c>
      <c r="D459" s="3" t="inlineStr">
        <is>
          <t>대</t>
        </is>
      </c>
      <c r="E459" s="3" t="inlineStr">
        <is>
          <t>매매</t>
        </is>
      </c>
      <c r="F459" s="4" t="n">
        <v>12000</v>
      </c>
      <c r="G459" s="4" t="n">
        <v>629</v>
      </c>
      <c r="H459" s="4" t="n">
        <v>190</v>
      </c>
      <c r="I459" s="5" t="n">
        <v>63.2</v>
      </c>
      <c r="J459" s="5" t="n">
        <v>32.6</v>
      </c>
      <c r="K459" s="3" t="inlineStr">
        <is>
          <t>서원구 남이면 문동리 위치한 전원주택지입니다.</t>
        </is>
      </c>
      <c r="L459" s="6">
        <f>HYPERLINK("https://fin.land.naver.com/articles/2649649052", "매물Link")</f>
        <v/>
      </c>
      <c r="M459" s="6">
        <f>HYPERLINK("https://map.naver.com/p/search/남이면 문동리 262-1", "지도Link")</f>
        <v/>
      </c>
      <c r="N459" s="6">
        <f>HYPERLINK("http://www.eum.go.kr/web/ar/lu/luLandDet.jsp?pnu=4311231023102620001&amp;isNoScr=script&amp;mode=search", "토지이음")</f>
        <v/>
      </c>
      <c r="O459" s="3" t="inlineStr">
        <is>
          <t>세원</t>
        </is>
      </c>
      <c r="P459" s="4" t="n">
        <v>1</v>
      </c>
      <c r="Q459" s="4" t="n">
        <v>629</v>
      </c>
      <c r="R459" s="3" t="inlineStr">
        <is>
          <t>지정되지않음</t>
        </is>
      </c>
      <c r="S459" s="3" t="inlineStr">
        <is>
          <t>주거나지</t>
        </is>
      </c>
      <c r="T459" s="3" t="inlineStr">
        <is>
          <t>평지</t>
        </is>
      </c>
      <c r="U459" s="3" t="inlineStr">
        <is>
          <t>사다리형</t>
        </is>
      </c>
      <c r="V459" s="3" t="inlineStr">
        <is>
          <t>세로한면(가)</t>
        </is>
      </c>
    </row>
    <row r="460">
      <c r="A460" s="3" t="inlineStr">
        <is>
          <t>남이면 문동리 264-3</t>
        </is>
      </c>
      <c r="B460" s="3" t="inlineStr">
        <is>
          <t>생산관리지역</t>
        </is>
      </c>
      <c r="C460" s="3" t="inlineStr">
        <is>
          <t>대</t>
        </is>
      </c>
      <c r="D460" s="3" t="inlineStr">
        <is>
          <t>대</t>
        </is>
      </c>
      <c r="E460" s="3" t="inlineStr">
        <is>
          <t>매매</t>
        </is>
      </c>
      <c r="F460" s="4" t="n">
        <v>10100</v>
      </c>
      <c r="G460" s="4" t="n">
        <v>555</v>
      </c>
      <c r="H460" s="4" t="n">
        <v>168</v>
      </c>
      <c r="I460" s="5" t="n">
        <v>60.1</v>
      </c>
      <c r="J460" s="5" t="n">
        <v>32.9</v>
      </c>
      <c r="K460" s="3" t="inlineStr">
        <is>
          <t>남향으로 한적하고 주변경관이 좋은 전원주택부지매매</t>
        </is>
      </c>
      <c r="L460" s="6">
        <f>HYPERLINK("https://fin.land.naver.com/articles/2649433800", "매물Link")</f>
        <v/>
      </c>
      <c r="M460" s="6">
        <f>HYPERLINK("https://map.naver.com/p/search/남이면 문동리 264-3", "지도Link")</f>
        <v/>
      </c>
      <c r="N460" s="6">
        <f>HYPERLINK("http://www.eum.go.kr/web/ar/lu/luLandDet.jsp?pnu=4311231023102640003&amp;isNoScr=script&amp;mode=search", "토지이음")</f>
        <v/>
      </c>
      <c r="O460" s="3" t="inlineStr">
        <is>
          <t>대운</t>
        </is>
      </c>
      <c r="P460" s="4" t="n">
        <v>1</v>
      </c>
      <c r="Q460" s="4" t="n">
        <v>555</v>
      </c>
      <c r="R460" s="3" t="inlineStr">
        <is>
          <t>지정되지않음</t>
        </is>
      </c>
      <c r="S460" s="3" t="inlineStr">
        <is>
          <t>단독</t>
        </is>
      </c>
      <c r="T460" s="3" t="inlineStr">
        <is>
          <t>평지</t>
        </is>
      </c>
      <c r="U460" s="3" t="inlineStr">
        <is>
          <t>사다리형</t>
        </is>
      </c>
      <c r="V460" s="3" t="inlineStr">
        <is>
          <t>세로각지(가)</t>
        </is>
      </c>
    </row>
    <row r="461">
      <c r="A461" s="3" t="inlineStr">
        <is>
          <t>남이면 문동리 344</t>
        </is>
      </c>
      <c r="B461" s="3" t="inlineStr">
        <is>
          <t>자연환경보전지역</t>
        </is>
      </c>
      <c r="C461" s="3" t="inlineStr">
        <is>
          <t>전</t>
        </is>
      </c>
      <c r="D461" s="3" t="inlineStr">
        <is>
          <t>전</t>
        </is>
      </c>
      <c r="E461" s="3" t="inlineStr">
        <is>
          <t>매매</t>
        </is>
      </c>
      <c r="F461" s="4" t="n">
        <v>17000</v>
      </c>
      <c r="G461" s="4" t="n">
        <v>2939</v>
      </c>
      <c r="H461" s="4" t="n">
        <v>889</v>
      </c>
      <c r="I461" s="5" t="n">
        <v>19.1</v>
      </c>
      <c r="J461" s="5" t="n">
        <v>8.9</v>
      </c>
      <c r="K461" s="3" t="inlineStr">
        <is>
          <t>남이면 문동리 전 매매</t>
        </is>
      </c>
      <c r="L461" s="6">
        <f>HYPERLINK("https://fin.land.naver.com/articles/2650251867", "매물Link")</f>
        <v/>
      </c>
      <c r="M461" s="6">
        <f>HYPERLINK("https://map.naver.com/p/search/남이면 문동리 344", "지도Link")</f>
        <v/>
      </c>
      <c r="N461" s="6">
        <f>HYPERLINK("http://www.eum.go.kr/web/ar/lu/luLandDet.jsp?pnu=4311231023103440000&amp;isNoScr=script&amp;mode=search", "토지이음")</f>
        <v/>
      </c>
      <c r="O461" s="3" t="inlineStr">
        <is>
          <t>터와뜰</t>
        </is>
      </c>
      <c r="P461" s="4" t="n">
        <v>1</v>
      </c>
      <c r="Q461" s="4" t="n">
        <v>2939</v>
      </c>
      <c r="R461" s="3" t="inlineStr">
        <is>
          <t>지정되지않음</t>
        </is>
      </c>
      <c r="S461" s="3" t="inlineStr">
        <is>
          <t>전</t>
        </is>
      </c>
      <c r="T461" s="3" t="inlineStr">
        <is>
          <t>완경사</t>
        </is>
      </c>
      <c r="U461" s="3" t="inlineStr">
        <is>
          <t>부정형</t>
        </is>
      </c>
      <c r="V461" s="3" t="inlineStr">
        <is>
          <t>맹지</t>
        </is>
      </c>
    </row>
    <row r="462">
      <c r="A462" s="3" t="inlineStr">
        <is>
          <t>남이면 문동리 477</t>
        </is>
      </c>
      <c r="B462" s="3" t="inlineStr">
        <is>
          <t>자연환경보전지역</t>
        </is>
      </c>
      <c r="C462" s="3" t="inlineStr">
        <is>
          <t>대</t>
        </is>
      </c>
      <c r="D462" s="3" t="inlineStr">
        <is>
          <t>대</t>
        </is>
      </c>
      <c r="E462" s="3" t="inlineStr">
        <is>
          <t>매매</t>
        </is>
      </c>
      <c r="F462" s="4" t="n">
        <v>9000</v>
      </c>
      <c r="G462" s="4" t="n">
        <v>734</v>
      </c>
      <c r="H462" s="4" t="n">
        <v>222</v>
      </c>
      <c r="I462" s="5" t="n">
        <v>40.5</v>
      </c>
      <c r="J462" s="5" t="n">
        <v>23</v>
      </c>
      <c r="K462" s="3" t="inlineStr">
        <is>
          <t>남청주 iC 에서 차로 15분 내 진입가능 토목공사 완료 됨 건축가능</t>
        </is>
      </c>
      <c r="L462" s="6">
        <f>HYPERLINK("https://fin.land.naver.com/articles/2650931497", "매물Link")</f>
        <v/>
      </c>
      <c r="M462" s="6">
        <f>HYPERLINK("https://map.naver.com/p/search/남이면 문동리 477", "지도Link")</f>
        <v/>
      </c>
      <c r="N462" s="6">
        <f>HYPERLINK("http://www.eum.go.kr/web/ar/lu/luLandDet.jsp?pnu=4311231023104770000&amp;isNoScr=script&amp;mode=search", "토지이음")</f>
        <v/>
      </c>
      <c r="O462" s="3" t="inlineStr">
        <is>
          <t>하나</t>
        </is>
      </c>
      <c r="P462" s="4" t="n">
        <v>1</v>
      </c>
      <c r="Q462" s="4" t="n">
        <v>734</v>
      </c>
      <c r="R462" s="3" t="inlineStr">
        <is>
          <t>지정되지않음</t>
        </is>
      </c>
      <c r="S462" s="3" t="inlineStr">
        <is>
          <t>주거나지</t>
        </is>
      </c>
      <c r="T462" s="3" t="inlineStr">
        <is>
          <t>완경사</t>
        </is>
      </c>
      <c r="U462" s="3" t="inlineStr">
        <is>
          <t>자루형</t>
        </is>
      </c>
      <c r="V462" s="3" t="inlineStr">
        <is>
          <t>세로한면(불)</t>
        </is>
      </c>
    </row>
    <row r="463">
      <c r="A463" s="3" t="inlineStr">
        <is>
          <t>남이면 문동리 산 26</t>
        </is>
      </c>
      <c r="B463" s="3" t="inlineStr">
        <is>
          <t>보전녹지지역</t>
        </is>
      </c>
      <c r="C463" s="3" t="inlineStr">
        <is>
          <t>임야</t>
        </is>
      </c>
      <c r="D463" s="3" t="inlineStr">
        <is>
          <t>임야</t>
        </is>
      </c>
      <c r="E463" s="3" t="inlineStr">
        <is>
          <t>매매</t>
        </is>
      </c>
      <c r="F463" s="4" t="n">
        <v>78000</v>
      </c>
      <c r="G463" s="4" t="n">
        <v>3224</v>
      </c>
      <c r="H463" s="4" t="n">
        <v>975</v>
      </c>
      <c r="I463" s="5" t="n">
        <v>80</v>
      </c>
      <c r="J463" s="5" t="n">
        <v>30</v>
      </c>
      <c r="K463" s="3" t="inlineStr">
        <is>
          <t>nan</t>
        </is>
      </c>
      <c r="L463" s="6">
        <f>HYPERLINK("https://fin.land.naver.com/articles/2650275971", "매물Link")</f>
        <v/>
      </c>
      <c r="M463" s="6">
        <f>HYPERLINK("https://map.naver.com/p/search/남이면 문동리 산 26", "지도Link")</f>
        <v/>
      </c>
      <c r="N463" s="6">
        <f>HYPERLINK("http://www.eum.go.kr/web/ar/lu/luLandDet.jsp?pnu=4311231023200260000&amp;isNoScr=script&amp;mode=search", "토지이음")</f>
        <v/>
      </c>
      <c r="O463" s="3" t="inlineStr">
        <is>
          <t>일등</t>
        </is>
      </c>
      <c r="P463" s="4" t="n">
        <v>1</v>
      </c>
      <c r="Q463" s="4" t="n">
        <v>772</v>
      </c>
      <c r="R463" s="3" t="inlineStr">
        <is>
          <t>지정되지않음</t>
        </is>
      </c>
      <c r="S463" s="3" t="inlineStr">
        <is>
          <t>주거나지</t>
        </is>
      </c>
      <c r="T463" s="3" t="inlineStr">
        <is>
          <t>완경사</t>
        </is>
      </c>
      <c r="U463" s="3" t="inlineStr">
        <is>
          <t>사다리형</t>
        </is>
      </c>
      <c r="V463" s="3" t="inlineStr">
        <is>
          <t>세로한면(가)</t>
        </is>
      </c>
    </row>
    <row r="464">
      <c r="A464" s="3" t="inlineStr">
        <is>
          <t>남이면 문동리 산 26-51</t>
        </is>
      </c>
      <c r="B464" s="3" t="inlineStr">
        <is>
          <t>보전녹지지역</t>
        </is>
      </c>
      <c r="C464" s="3" t="inlineStr">
        <is>
          <t>임야</t>
        </is>
      </c>
      <c r="D464" s="3" t="inlineStr">
        <is>
          <t>임야</t>
        </is>
      </c>
      <c r="E464" s="3" t="inlineStr">
        <is>
          <t>매매</t>
        </is>
      </c>
      <c r="F464" s="4" t="n">
        <v>17000</v>
      </c>
      <c r="G464" s="4" t="n">
        <v>718</v>
      </c>
      <c r="H464" s="4" t="n">
        <v>217</v>
      </c>
      <c r="I464" s="5" t="n">
        <v>78.3</v>
      </c>
      <c r="J464" s="5" t="n">
        <v>30</v>
      </c>
      <c r="K464" s="3" t="inlineStr">
        <is>
          <t>남이면 문동리 토목공사 완료된 택지 매매 주택 세컨드하우스등 추천</t>
        </is>
      </c>
      <c r="L464" s="6">
        <f>HYPERLINK("https://fin.land.naver.com/articles/2652464628", "매물Link")</f>
        <v/>
      </c>
      <c r="M464" s="6">
        <f>HYPERLINK("https://map.naver.com/p/search/남이면 문동리 산 26-51", "지도Link")</f>
        <v/>
      </c>
      <c r="N464" s="6">
        <f>HYPERLINK("http://www.eum.go.kr/web/ar/lu/luLandDet.jsp?pnu=4311231023200260051&amp;isNoScr=script&amp;mode=search", "토지이음")</f>
        <v/>
      </c>
      <c r="O464" s="3" t="inlineStr">
        <is>
          <t>그린</t>
        </is>
      </c>
      <c r="P464" s="4" t="n">
        <v>1</v>
      </c>
      <c r="Q464" s="4" t="n">
        <v>652</v>
      </c>
      <c r="R464" s="3" t="inlineStr">
        <is>
          <t>지정되지않음</t>
        </is>
      </c>
      <c r="S464" s="3" t="inlineStr">
        <is>
          <t>주거나지</t>
        </is>
      </c>
      <c r="T464" s="3" t="inlineStr">
        <is>
          <t>완경사</t>
        </is>
      </c>
      <c r="U464" s="3" t="inlineStr">
        <is>
          <t>사다리형</t>
        </is>
      </c>
      <c r="V464" s="3" t="inlineStr">
        <is>
          <t>세로한면(가)</t>
        </is>
      </c>
    </row>
    <row r="465">
      <c r="A465" s="3" t="inlineStr">
        <is>
          <t>남이면 문동리 산 59-7</t>
        </is>
      </c>
      <c r="B465" s="3" t="inlineStr">
        <is>
          <t>생산관리지역</t>
        </is>
      </c>
      <c r="C465" s="3" t="inlineStr">
        <is>
          <t>임야</t>
        </is>
      </c>
      <c r="D465" s="3" t="inlineStr">
        <is>
          <t>임야</t>
        </is>
      </c>
      <c r="E465" s="3" t="inlineStr">
        <is>
          <t>매매</t>
        </is>
      </c>
      <c r="F465" s="4" t="n">
        <v>45000</v>
      </c>
      <c r="G465" s="4" t="n">
        <v>3019</v>
      </c>
      <c r="H465" s="4" t="n">
        <v>913</v>
      </c>
      <c r="I465" s="5" t="n">
        <v>49.3</v>
      </c>
      <c r="J465" s="5" t="n">
        <v>2.6</v>
      </c>
      <c r="K465" s="3" t="inlineStr">
        <is>
          <t>nan</t>
        </is>
      </c>
      <c r="L465" s="6">
        <f>HYPERLINK("https://fin.land.naver.com/articles/2649486291", "매물Link")</f>
        <v/>
      </c>
      <c r="M465" s="6">
        <f>HYPERLINK("https://map.naver.com/p/search/남이면 문동리 산 59-7", "지도Link")</f>
        <v/>
      </c>
      <c r="N465" s="6">
        <f>HYPERLINK("http://www.eum.go.kr/web/ar/lu/luLandDet.jsp?pnu=4311231023200590007&amp;isNoScr=script&amp;mode=search", "토지이음")</f>
        <v/>
      </c>
      <c r="O465" s="3" t="inlineStr">
        <is>
          <t>금맥</t>
        </is>
      </c>
      <c r="P465" s="4" t="n">
        <v>3</v>
      </c>
      <c r="Q465" s="4" t="n">
        <v>1805</v>
      </c>
      <c r="R465" s="3" t="inlineStr">
        <is>
          <t>지정되지않음</t>
        </is>
      </c>
      <c r="S465" s="3" t="inlineStr">
        <is>
          <t>자연림</t>
        </is>
      </c>
      <c r="T465" s="3" t="inlineStr">
        <is>
          <t>완경사</t>
        </is>
      </c>
      <c r="U465" s="3" t="inlineStr">
        <is>
          <t>부정형</t>
        </is>
      </c>
      <c r="V465" s="3" t="inlineStr">
        <is>
          <t>소로한면</t>
        </is>
      </c>
    </row>
    <row r="466">
      <c r="A466" s="3" t="inlineStr">
        <is>
          <t>남이면 문동리 산26-20</t>
        </is>
      </c>
      <c r="B466" s="3" t="inlineStr">
        <is>
          <t>보전녹지지역</t>
        </is>
      </c>
      <c r="C466" s="3" t="inlineStr">
        <is>
          <t>임야</t>
        </is>
      </c>
      <c r="D466" s="3" t="inlineStr">
        <is>
          <t>임야</t>
        </is>
      </c>
      <c r="E466" s="3" t="inlineStr">
        <is>
          <t>매매</t>
        </is>
      </c>
      <c r="F466" s="4" t="n">
        <v>25000</v>
      </c>
      <c r="G466" s="4" t="n">
        <v>1528</v>
      </c>
      <c r="H466" s="4" t="n">
        <v>462</v>
      </c>
      <c r="I466" s="5" t="n">
        <v>54.1</v>
      </c>
      <c r="J466" s="5" t="n">
        <v>29.7</v>
      </c>
      <c r="K466" s="3" t="inlineStr">
        <is>
          <t>문동리 토목공사 완료된 전원주택지 매매, 1종근생가능</t>
        </is>
      </c>
      <c r="L466" s="6">
        <f>HYPERLINK("https://fin.land.naver.com/articles/2653456144", "매물Link")</f>
        <v/>
      </c>
      <c r="M466" s="6">
        <f>HYPERLINK("https://map.naver.com/p/search/남이면 문동리 산26-20", "지도Link")</f>
        <v/>
      </c>
      <c r="N466" s="6">
        <f>HYPERLINK("http://www.eum.go.kr/web/ar/lu/luLandDet.jsp?pnu=4311231023200260020&amp;isNoScr=script&amp;mode=search", "토지이음")</f>
        <v/>
      </c>
      <c r="O466" s="3" t="inlineStr">
        <is>
          <t>원탑</t>
        </is>
      </c>
      <c r="P466" s="4" t="n">
        <v>1</v>
      </c>
      <c r="Q466" s="4" t="n">
        <v>1528</v>
      </c>
      <c r="R466" s="3" t="inlineStr">
        <is>
          <t>지정되지않음</t>
        </is>
      </c>
      <c r="S466" s="3" t="inlineStr">
        <is>
          <t>주거나지</t>
        </is>
      </c>
      <c r="T466" s="3" t="inlineStr">
        <is>
          <t>완경사</t>
        </is>
      </c>
      <c r="U466" s="3" t="inlineStr">
        <is>
          <t>사다리형</t>
        </is>
      </c>
      <c r="V466" s="3" t="inlineStr">
        <is>
          <t>세로한면(가)</t>
        </is>
      </c>
    </row>
    <row r="467">
      <c r="A467" s="3" t="inlineStr">
        <is>
          <t>남이면 문동리 산26-20</t>
        </is>
      </c>
      <c r="B467" s="3" t="inlineStr">
        <is>
          <t>보전녹지지역</t>
        </is>
      </c>
      <c r="C467" s="3" t="inlineStr">
        <is>
          <t>임야</t>
        </is>
      </c>
      <c r="D467" s="3" t="inlineStr">
        <is>
          <t>임야</t>
        </is>
      </c>
      <c r="E467" s="3" t="inlineStr">
        <is>
          <t>매매</t>
        </is>
      </c>
      <c r="F467" s="4" t="n">
        <v>25000</v>
      </c>
      <c r="G467" s="4" t="n">
        <v>1749</v>
      </c>
      <c r="H467" s="4" t="n">
        <v>529</v>
      </c>
      <c r="I467" s="5" t="n">
        <v>47.3</v>
      </c>
      <c r="J467" s="5" t="n">
        <v>29.7</v>
      </c>
      <c r="K467" s="3" t="inlineStr">
        <is>
          <t>남이면 문동리 택지 매매 토목공사 완료 주택지 창고 근생등</t>
        </is>
      </c>
      <c r="L467" s="6">
        <f>HYPERLINK("https://fin.land.naver.com/articles/2652463956", "매물Link")</f>
        <v/>
      </c>
      <c r="M467" s="6">
        <f>HYPERLINK("https://map.naver.com/p/search/남이면 문동리 산26-20", "지도Link")</f>
        <v/>
      </c>
      <c r="N467" s="6">
        <f>HYPERLINK("http://www.eum.go.kr/web/ar/lu/luLandDet.jsp?pnu=4311231023200260020&amp;isNoScr=script&amp;mode=search", "토지이음")</f>
        <v/>
      </c>
      <c r="O467" s="3" t="inlineStr">
        <is>
          <t>그린</t>
        </is>
      </c>
      <c r="P467" s="4" t="n">
        <v>1</v>
      </c>
      <c r="Q467" s="4" t="n">
        <v>1528</v>
      </c>
      <c r="R467" s="3" t="inlineStr">
        <is>
          <t>지정되지않음</t>
        </is>
      </c>
      <c r="S467" s="3" t="inlineStr">
        <is>
          <t>주거나지</t>
        </is>
      </c>
      <c r="T467" s="3" t="inlineStr">
        <is>
          <t>완경사</t>
        </is>
      </c>
      <c r="U467" s="3" t="inlineStr">
        <is>
          <t>사다리형</t>
        </is>
      </c>
      <c r="V467" s="3" t="inlineStr">
        <is>
          <t>세로한면(가)</t>
        </is>
      </c>
    </row>
    <row r="468">
      <c r="A468" s="3" t="inlineStr">
        <is>
          <t>남이면 부용외천리 1069</t>
        </is>
      </c>
      <c r="B468" s="3" t="inlineStr">
        <is>
          <t>계획관리지역</t>
        </is>
      </c>
      <c r="C468" s="3" t="inlineStr">
        <is>
          <t>전</t>
        </is>
      </c>
      <c r="D468" s="3" t="inlineStr">
        <is>
          <t>대</t>
        </is>
      </c>
      <c r="E468" s="3" t="inlineStr">
        <is>
          <t>매매</t>
        </is>
      </c>
      <c r="F468" s="4" t="n">
        <v>170000</v>
      </c>
      <c r="G468" s="4" t="n">
        <v>4513</v>
      </c>
      <c r="H468" s="4" t="n">
        <v>1365</v>
      </c>
      <c r="I468" s="5" t="n">
        <v>124.5</v>
      </c>
      <c r="J468" s="5" t="n">
        <v>45.3</v>
      </c>
      <c r="K468" s="3" t="inlineStr">
        <is>
          <t>즉시 건축 가능한 계획 관리 공장 및 창고부지 매매, 4차선 도로 인접</t>
        </is>
      </c>
      <c r="L468" s="6">
        <f>HYPERLINK("https://fin.land.naver.com/articles/2650884786", "매물Link")</f>
        <v/>
      </c>
      <c r="M468" s="6">
        <f>HYPERLINK("https://map.naver.com/p/search/남이면 부용외천리 1069", "지도Link")</f>
        <v/>
      </c>
      <c r="N468" s="6">
        <f>HYPERLINK("http://www.eum.go.kr/web/ar/lu/luLandDet.jsp?pnu=4311231040110690000&amp;isNoScr=script&amp;mode=search", "토지이음")</f>
        <v/>
      </c>
      <c r="O468" s="3" t="inlineStr">
        <is>
          <t>대전토지로무소</t>
        </is>
      </c>
      <c r="P468" s="4" t="n">
        <v>1</v>
      </c>
      <c r="Q468" s="4" t="n">
        <v>2801</v>
      </c>
      <c r="R468" s="3" t="inlineStr">
        <is>
          <t>지정되지않음</t>
        </is>
      </c>
      <c r="S468" s="3" t="inlineStr">
        <is>
          <t>전</t>
        </is>
      </c>
      <c r="T468" s="3" t="inlineStr">
        <is>
          <t>평지</t>
        </is>
      </c>
      <c r="U468" s="3" t="inlineStr">
        <is>
          <t>세로장방</t>
        </is>
      </c>
      <c r="V468" s="3" t="inlineStr">
        <is>
          <t>세로한면(가)</t>
        </is>
      </c>
    </row>
    <row r="469">
      <c r="A469" s="3" t="inlineStr">
        <is>
          <t>남이면 부용외천리 254</t>
        </is>
      </c>
      <c r="B469" s="3" t="inlineStr">
        <is>
          <t>계획관리지역</t>
        </is>
      </c>
      <c r="C469" s="3" t="inlineStr">
        <is>
          <t>전</t>
        </is>
      </c>
      <c r="D469" s="3" t="inlineStr">
        <is>
          <t>전</t>
        </is>
      </c>
      <c r="E469" s="3" t="inlineStr">
        <is>
          <t>매매</t>
        </is>
      </c>
      <c r="F469" s="4" t="n">
        <v>49700</v>
      </c>
      <c r="G469" s="4" t="n">
        <v>607</v>
      </c>
      <c r="H469" s="4" t="n">
        <v>184</v>
      </c>
      <c r="I469" s="5" t="n">
        <v>270.1</v>
      </c>
      <c r="J469" s="5" t="n">
        <v>67.09999999999999</v>
      </c>
      <c r="K469" s="3" t="inlineStr">
        <is>
          <t>남청주IC 인근 대로 접한 계획관리 토지</t>
        </is>
      </c>
      <c r="L469" s="6">
        <f>HYPERLINK("https://fin.land.naver.com/articles/2650137056", "매물Link")</f>
        <v/>
      </c>
      <c r="M469" s="6">
        <f>HYPERLINK("https://map.naver.com/p/search/남이면 부용외천리 254", "지도Link")</f>
        <v/>
      </c>
      <c r="N469" s="6">
        <f>HYPERLINK("http://www.eum.go.kr/web/ar/lu/luLandDet.jsp?pnu=4311231040102540000&amp;isNoScr=script&amp;mode=search", "토지이음")</f>
        <v/>
      </c>
      <c r="O469" s="3" t="inlineStr">
        <is>
          <t>정민</t>
        </is>
      </c>
      <c r="P469" s="4" t="n">
        <v>1</v>
      </c>
      <c r="Q469" s="4" t="n">
        <v>607</v>
      </c>
      <c r="R469" s="3" t="inlineStr">
        <is>
          <t>지정되지않음</t>
        </is>
      </c>
      <c r="S469" s="3" t="inlineStr">
        <is>
          <t>주거나지</t>
        </is>
      </c>
      <c r="T469" s="3" t="inlineStr">
        <is>
          <t>평지</t>
        </is>
      </c>
      <c r="U469" s="3" t="inlineStr">
        <is>
          <t>부정형</t>
        </is>
      </c>
      <c r="V469" s="3" t="inlineStr">
        <is>
          <t>중로한면</t>
        </is>
      </c>
    </row>
    <row r="470">
      <c r="A470" s="3" t="inlineStr">
        <is>
          <t>남이면 부용외천리 63-1</t>
        </is>
      </c>
      <c r="B470" s="3" t="inlineStr">
        <is>
          <t>계획관리지역</t>
        </is>
      </c>
      <c r="C470" s="3" t="inlineStr">
        <is>
          <t>창고용지</t>
        </is>
      </c>
      <c r="D470" s="3" t="inlineStr">
        <is>
          <t>창고용지</t>
        </is>
      </c>
      <c r="E470" s="3" t="inlineStr">
        <is>
          <t>매매</t>
        </is>
      </c>
      <c r="F470" s="4" t="n">
        <v>250000</v>
      </c>
      <c r="G470" s="4" t="n">
        <v>5703</v>
      </c>
      <c r="H470" s="4" t="n">
        <v>1725</v>
      </c>
      <c r="I470" s="5" t="n">
        <v>144.9</v>
      </c>
      <c r="J470" s="5" t="n">
        <v>33.1</v>
      </c>
      <c r="K470" s="3" t="inlineStr">
        <is>
          <t>남청주IC 인근, 토지 및 건축물 매매, 가격절충가능</t>
        </is>
      </c>
      <c r="L470" s="6">
        <f>HYPERLINK("https://fin.land.naver.com/articles/2651985023", "매물Link")</f>
        <v/>
      </c>
      <c r="M470" s="6">
        <f>HYPERLINK("https://map.naver.com/p/search/남이면 부용외천리 63-1", "지도Link")</f>
        <v/>
      </c>
      <c r="N470" s="6">
        <f>HYPERLINK("http://www.eum.go.kr/web/ar/lu/luLandDet.jsp?pnu=4311231040100630001&amp;isNoScr=script&amp;mode=search", "토지이음")</f>
        <v/>
      </c>
      <c r="O470" s="3" t="inlineStr">
        <is>
          <t>라인</t>
        </is>
      </c>
      <c r="P470" s="4" t="n">
        <v>1</v>
      </c>
      <c r="Q470" s="4" t="n">
        <v>4923</v>
      </c>
      <c r="R470" s="3" t="inlineStr">
        <is>
          <t>지정되지않음</t>
        </is>
      </c>
      <c r="S470" s="3" t="inlineStr">
        <is>
          <t>주거기타</t>
        </is>
      </c>
      <c r="T470" s="3" t="inlineStr">
        <is>
          <t>완경사</t>
        </is>
      </c>
      <c r="U470" s="3" t="inlineStr">
        <is>
          <t>부정형</t>
        </is>
      </c>
      <c r="V470" s="3" t="inlineStr">
        <is>
          <t>세로한면(가)</t>
        </is>
      </c>
    </row>
    <row r="471">
      <c r="A471" s="3" t="inlineStr">
        <is>
          <t>남이면 부용외천리 634</t>
        </is>
      </c>
      <c r="B471" s="3" t="inlineStr">
        <is>
          <t>계획관리지역</t>
        </is>
      </c>
      <c r="C471" s="3" t="inlineStr">
        <is>
          <t>전</t>
        </is>
      </c>
      <c r="D471" s="3" t="inlineStr">
        <is>
          <t>체육용지</t>
        </is>
      </c>
      <c r="E471" s="3" t="inlineStr">
        <is>
          <t>매매</t>
        </is>
      </c>
      <c r="F471" s="4" t="n">
        <v>850000</v>
      </c>
      <c r="G471" s="4" t="n">
        <v>103313</v>
      </c>
      <c r="H471" s="4" t="n">
        <v>31252</v>
      </c>
      <c r="I471" s="5" t="n">
        <v>27.2</v>
      </c>
      <c r="J471" s="5" t="n">
        <v>16.4</v>
      </c>
      <c r="K471" s="3" t="inlineStr">
        <is>
          <t>골프연습장, 공장.창고부지  급매물 입니다</t>
        </is>
      </c>
      <c r="L471" s="6">
        <f>HYPERLINK("https://fin.land.naver.com/articles/2651017851", "매물Link")</f>
        <v/>
      </c>
      <c r="M471" s="6">
        <f>HYPERLINK("https://map.naver.com/p/search/남이면 부용외천리 634", "지도Link")</f>
        <v/>
      </c>
      <c r="N471" s="6">
        <f>HYPERLINK("http://www.eum.go.kr/web/ar/lu/luLandDet.jsp?pnu=4311231040106340000&amp;isNoScr=script&amp;mode=search", "토지이음")</f>
        <v/>
      </c>
      <c r="O471" s="3" t="inlineStr">
        <is>
          <t>대일</t>
        </is>
      </c>
      <c r="P471" s="4" t="n">
        <v>1</v>
      </c>
      <c r="Q471" s="4" t="n">
        <v>1481</v>
      </c>
      <c r="R471" s="3" t="inlineStr">
        <is>
          <t>지정되지않음</t>
        </is>
      </c>
      <c r="S471" s="3" t="inlineStr">
        <is>
          <t>전</t>
        </is>
      </c>
      <c r="T471" s="3" t="inlineStr">
        <is>
          <t>고지</t>
        </is>
      </c>
      <c r="U471" s="3" t="inlineStr">
        <is>
          <t>사다리형</t>
        </is>
      </c>
      <c r="V471" s="3" t="inlineStr">
        <is>
          <t>맹지</t>
        </is>
      </c>
    </row>
    <row r="472">
      <c r="A472" s="3" t="inlineStr">
        <is>
          <t>남이면 부용외천리 634-1</t>
        </is>
      </c>
      <c r="B472" s="3" t="inlineStr">
        <is>
          <t>계획관리지역</t>
        </is>
      </c>
      <c r="C472" s="3" t="inlineStr">
        <is>
          <t>체육용지</t>
        </is>
      </c>
      <c r="D472" s="3" t="inlineStr">
        <is>
          <t>공장용지</t>
        </is>
      </c>
      <c r="E472" s="3" t="inlineStr">
        <is>
          <t>매매</t>
        </is>
      </c>
      <c r="F472" s="4" t="n">
        <v>950000</v>
      </c>
      <c r="G472" s="4" t="n">
        <v>103313</v>
      </c>
      <c r="H472" s="4" t="n">
        <v>31252</v>
      </c>
      <c r="I472" s="5" t="n">
        <v>30.4</v>
      </c>
      <c r="J472" s="5" t="n">
        <v>114.9</v>
      </c>
      <c r="K472" s="3" t="inlineStr">
        <is>
          <t>남청주IC에서 가까워 진출입이 편리한곳,온천수 확인됨,공장용지로 허가</t>
        </is>
      </c>
      <c r="L472" s="6">
        <f>HYPERLINK("https://fin.land.naver.com/articles/2650347016", "매물Link")</f>
        <v/>
      </c>
      <c r="M472" s="6">
        <f>HYPERLINK("https://map.naver.com/p/search/남이면 부용외천리 634-1", "지도Link")</f>
        <v/>
      </c>
      <c r="N472" s="6">
        <f>HYPERLINK("http://www.eum.go.kr/web/ar/lu/luLandDet.jsp?pnu=4311231040106340001&amp;isNoScr=script&amp;mode=search", "토지이음")</f>
        <v/>
      </c>
      <c r="O472" s="3" t="inlineStr">
        <is>
          <t>(주)미르</t>
        </is>
      </c>
      <c r="P472" s="4" t="n">
        <v>1</v>
      </c>
      <c r="Q472" s="4" t="n">
        <v>17690</v>
      </c>
      <c r="R472" s="3" t="inlineStr">
        <is>
          <t>지정되지않음</t>
        </is>
      </c>
      <c r="S472" s="3" t="inlineStr">
        <is>
          <t>상업용</t>
        </is>
      </c>
      <c r="T472" s="3" t="inlineStr">
        <is>
          <t>완경사</t>
        </is>
      </c>
      <c r="U472" s="3" t="inlineStr">
        <is>
          <t>부정형</t>
        </is>
      </c>
      <c r="V472" s="3" t="inlineStr">
        <is>
          <t>세로한면(가)</t>
        </is>
      </c>
    </row>
    <row r="473">
      <c r="A473" s="3" t="inlineStr">
        <is>
          <t>남이면 부용외천리 634-1</t>
        </is>
      </c>
      <c r="B473" s="3" t="inlineStr">
        <is>
          <t>계획관리지역</t>
        </is>
      </c>
      <c r="C473" s="3" t="inlineStr">
        <is>
          <t>체육용지</t>
        </is>
      </c>
      <c r="D473" s="3" t="inlineStr">
        <is>
          <t>체육용지</t>
        </is>
      </c>
      <c r="E473" s="3" t="inlineStr">
        <is>
          <t>매매</t>
        </is>
      </c>
      <c r="F473" s="4" t="n">
        <v>1100000</v>
      </c>
      <c r="G473" s="4" t="n">
        <v>103313</v>
      </c>
      <c r="H473" s="4" t="n">
        <v>31252</v>
      </c>
      <c r="I473" s="5" t="n">
        <v>35.2</v>
      </c>
      <c r="J473" s="5" t="n">
        <v>114.9</v>
      </c>
      <c r="K473" s="3" t="inlineStr">
        <is>
          <t>골프연습장으로 사용중이며,농림지역은 공장허가받아 토목공사 중</t>
        </is>
      </c>
      <c r="L473" s="6">
        <f>HYPERLINK("https://fin.land.naver.com/articles/2653530919", "매물Link")</f>
        <v/>
      </c>
      <c r="M473" s="6">
        <f>HYPERLINK("https://map.naver.com/p/search/남이면 부용외천리 634-1", "지도Link")</f>
        <v/>
      </c>
      <c r="N473" s="6">
        <f>HYPERLINK("http://www.eum.go.kr/web/ar/lu/luLandDet.jsp?pnu=4311231040106340001&amp;isNoScr=script&amp;mode=search", "토지이음")</f>
        <v/>
      </c>
      <c r="O473" s="3" t="inlineStr">
        <is>
          <t>황제</t>
        </is>
      </c>
      <c r="P473" s="4" t="n">
        <v>1</v>
      </c>
      <c r="Q473" s="4" t="n">
        <v>17690</v>
      </c>
      <c r="R473" s="3" t="inlineStr">
        <is>
          <t>지정되지않음</t>
        </is>
      </c>
      <c r="S473" s="3" t="inlineStr">
        <is>
          <t>상업용</t>
        </is>
      </c>
      <c r="T473" s="3" t="inlineStr">
        <is>
          <t>완경사</t>
        </is>
      </c>
      <c r="U473" s="3" t="inlineStr">
        <is>
          <t>부정형</t>
        </is>
      </c>
      <c r="V473" s="3" t="inlineStr">
        <is>
          <t>세로한면(가)</t>
        </is>
      </c>
    </row>
    <row r="474">
      <c r="A474" s="3" t="inlineStr">
        <is>
          <t>남이면 부용외천리 825</t>
        </is>
      </c>
      <c r="B474" s="3" t="inlineStr">
        <is>
          <t>계획관리지역</t>
        </is>
      </c>
      <c r="C474" s="3" t="inlineStr">
        <is>
          <t>답</t>
        </is>
      </c>
      <c r="D474" s="3" t="inlineStr">
        <is>
          <t>답</t>
        </is>
      </c>
      <c r="E474" s="3" t="inlineStr">
        <is>
          <t>매매</t>
        </is>
      </c>
      <c r="F474" s="4" t="n">
        <v>90000</v>
      </c>
      <c r="G474" s="4" t="n">
        <v>2192</v>
      </c>
      <c r="H474" s="4" t="n">
        <v>663</v>
      </c>
      <c r="I474" s="5" t="n">
        <v>135.7</v>
      </c>
      <c r="J474" s="5" t="n">
        <v>39.6</v>
      </c>
      <c r="K474" s="3" t="inlineStr">
        <is>
          <t>남청주IC 100M 이내,  토지 매매</t>
        </is>
      </c>
      <c r="L474" s="6">
        <f>HYPERLINK("https://fin.land.naver.com/articles/2649569513", "매물Link")</f>
        <v/>
      </c>
      <c r="M474" s="6">
        <f>HYPERLINK("https://map.naver.com/p/search/남이면 부용외천리 825", "지도Link")</f>
        <v/>
      </c>
      <c r="N474" s="6">
        <f>HYPERLINK("http://www.eum.go.kr/web/ar/lu/luLandDet.jsp?pnu=4311231040108250000&amp;isNoScr=script&amp;mode=search", "토지이음")</f>
        <v/>
      </c>
      <c r="O474" s="3" t="inlineStr">
        <is>
          <t>금화랜드</t>
        </is>
      </c>
      <c r="P474" s="4" t="n">
        <v>1</v>
      </c>
      <c r="Q474" s="4" t="n">
        <v>2192</v>
      </c>
      <c r="R474" s="3" t="inlineStr">
        <is>
          <t>지정되지않음</t>
        </is>
      </c>
      <c r="S474" s="3" t="inlineStr">
        <is>
          <t>답</t>
        </is>
      </c>
      <c r="T474" s="3" t="inlineStr">
        <is>
          <t>평지</t>
        </is>
      </c>
      <c r="U474" s="3" t="inlineStr">
        <is>
          <t>자루형</t>
        </is>
      </c>
      <c r="V474" s="3" t="inlineStr">
        <is>
          <t>세로한면(가)</t>
        </is>
      </c>
    </row>
    <row r="475">
      <c r="A475" s="3" t="inlineStr">
        <is>
          <t>남이면 부용외천리 866</t>
        </is>
      </c>
      <c r="B475" s="3" t="inlineStr">
        <is>
          <t>계획관리지역</t>
        </is>
      </c>
      <c r="C475" s="3" t="inlineStr">
        <is>
          <t>전</t>
        </is>
      </c>
      <c r="D475" s="3" t="inlineStr">
        <is>
          <t>대</t>
        </is>
      </c>
      <c r="E475" s="3" t="inlineStr">
        <is>
          <t>매매</t>
        </is>
      </c>
      <c r="F475" s="4" t="n">
        <v>200000</v>
      </c>
      <c r="G475" s="4" t="n">
        <v>4423</v>
      </c>
      <c r="H475" s="4" t="n">
        <v>1338</v>
      </c>
      <c r="I475" s="5" t="n">
        <v>149.5</v>
      </c>
      <c r="J475" s="5" t="n">
        <v>37.3</v>
      </c>
      <c r="K475" s="3" t="inlineStr">
        <is>
          <t>남청주IC 삼거리 부근으로 접근성 좋고, 투자가치 좋은 부지</t>
        </is>
      </c>
      <c r="L475" s="6">
        <f>HYPERLINK("https://fin.land.naver.com/articles/2650347215", "매물Link")</f>
        <v/>
      </c>
      <c r="M475" s="6">
        <f>HYPERLINK("https://map.naver.com/p/search/남이면 부용외천리 866", "지도Link")</f>
        <v/>
      </c>
      <c r="N475" s="6">
        <f>HYPERLINK("http://www.eum.go.kr/web/ar/lu/luLandDet.jsp?pnu=4311231040108660000&amp;isNoScr=script&amp;mode=search", "토지이음")</f>
        <v/>
      </c>
      <c r="O475" s="3" t="inlineStr">
        <is>
          <t>(주)미르</t>
        </is>
      </c>
      <c r="P475" s="4" t="n">
        <v>1</v>
      </c>
      <c r="Q475" s="4" t="n">
        <v>1656</v>
      </c>
      <c r="R475" s="3" t="inlineStr">
        <is>
          <t>지정되지않음</t>
        </is>
      </c>
      <c r="S475" s="3" t="inlineStr">
        <is>
          <t>전</t>
        </is>
      </c>
      <c r="T475" s="3" t="inlineStr">
        <is>
          <t>평지</t>
        </is>
      </c>
      <c r="U475" s="3" t="inlineStr">
        <is>
          <t>부정형</t>
        </is>
      </c>
      <c r="V475" s="3" t="inlineStr">
        <is>
          <t>맹지</t>
        </is>
      </c>
    </row>
    <row r="476">
      <c r="A476" s="3" t="inlineStr">
        <is>
          <t>남이면 부용외천리 866-3</t>
        </is>
      </c>
      <c r="B476" s="3" t="inlineStr">
        <is>
          <t>계획관리지역</t>
        </is>
      </c>
      <c r="C476" s="3" t="inlineStr">
        <is>
          <t>대</t>
        </is>
      </c>
      <c r="D476" s="3" t="inlineStr">
        <is>
          <t>대</t>
        </is>
      </c>
      <c r="E476" s="3" t="inlineStr">
        <is>
          <t>매매</t>
        </is>
      </c>
      <c r="F476" s="4" t="n">
        <v>170000</v>
      </c>
      <c r="G476" s="4" t="n">
        <v>4423</v>
      </c>
      <c r="H476" s="4" t="n">
        <v>1338</v>
      </c>
      <c r="I476" s="5" t="n">
        <v>127.1</v>
      </c>
      <c r="J476" s="5" t="n">
        <v>75.09999999999999</v>
      </c>
      <c r="K476" s="3" t="inlineStr">
        <is>
          <t>공장,창고 추천,계획관리지역,차량진출입 용이,남청주IC 바로 앞</t>
        </is>
      </c>
      <c r="L476" s="6">
        <f>HYPERLINK("https://fin.land.naver.com/articles/2651579592", "매물Link")</f>
        <v/>
      </c>
      <c r="M476" s="6">
        <f>HYPERLINK("https://map.naver.com/p/search/남이면 부용외천리 866-3", "지도Link")</f>
        <v/>
      </c>
      <c r="N476" s="6">
        <f>HYPERLINK("http://www.eum.go.kr/web/ar/lu/luLandDet.jsp?pnu=4311231040108660003&amp;isNoScr=script&amp;mode=search", "토지이음")</f>
        <v/>
      </c>
      <c r="O476" s="3" t="inlineStr">
        <is>
          <t>금화랜드</t>
        </is>
      </c>
      <c r="P476" s="4" t="n">
        <v>1</v>
      </c>
      <c r="Q476" s="4" t="n">
        <v>556</v>
      </c>
      <c r="R476" s="3" t="inlineStr">
        <is>
          <t>지정되지않음</t>
        </is>
      </c>
      <c r="S476" s="3" t="inlineStr">
        <is>
          <t>단독</t>
        </is>
      </c>
      <c r="T476" s="3" t="inlineStr">
        <is>
          <t>평지</t>
        </is>
      </c>
      <c r="U476" s="3" t="inlineStr">
        <is>
          <t>사다리형</t>
        </is>
      </c>
      <c r="V476" s="3" t="inlineStr">
        <is>
          <t>세로한면(가)</t>
        </is>
      </c>
    </row>
    <row r="477">
      <c r="A477" s="3" t="inlineStr">
        <is>
          <t>남이면 부용외천리 866-3</t>
        </is>
      </c>
      <c r="B477" s="3" t="inlineStr">
        <is>
          <t>계획관리지역</t>
        </is>
      </c>
      <c r="C477" s="3" t="inlineStr">
        <is>
          <t>대</t>
        </is>
      </c>
      <c r="D477" s="3" t="inlineStr">
        <is>
          <t>대</t>
        </is>
      </c>
      <c r="E477" s="3" t="inlineStr">
        <is>
          <t>매매</t>
        </is>
      </c>
      <c r="F477" s="4" t="n">
        <v>170000</v>
      </c>
      <c r="G477" s="4" t="n">
        <v>4410</v>
      </c>
      <c r="H477" s="4" t="n">
        <v>1334</v>
      </c>
      <c r="I477" s="5" t="n">
        <v>127.4</v>
      </c>
      <c r="J477" s="5" t="n">
        <v>75.09999999999999</v>
      </c>
      <c r="K477" s="3" t="inlineStr">
        <is>
          <t>남청주IC 인근 계획관리  공장 창고, 회사사옥 등 투자가치 높은땅</t>
        </is>
      </c>
      <c r="L477" s="6">
        <f>HYPERLINK("https://fin.land.naver.com/articles/2650688603", "매물Link")</f>
        <v/>
      </c>
      <c r="M477" s="6">
        <f>HYPERLINK("https://map.naver.com/p/search/남이면 부용외천리 866-3", "지도Link")</f>
        <v/>
      </c>
      <c r="N477" s="6">
        <f>HYPERLINK("http://www.eum.go.kr/web/ar/lu/luLandDet.jsp?pnu=4311231040108660003&amp;isNoScr=script&amp;mode=search", "토지이음")</f>
        <v/>
      </c>
      <c r="O477" s="3" t="inlineStr">
        <is>
          <t>대전토지로무소</t>
        </is>
      </c>
      <c r="P477" s="4" t="n">
        <v>1</v>
      </c>
      <c r="Q477" s="4" t="n">
        <v>556</v>
      </c>
      <c r="R477" s="3" t="inlineStr">
        <is>
          <t>지정되지않음</t>
        </is>
      </c>
      <c r="S477" s="3" t="inlineStr">
        <is>
          <t>단독</t>
        </is>
      </c>
      <c r="T477" s="3" t="inlineStr">
        <is>
          <t>평지</t>
        </is>
      </c>
      <c r="U477" s="3" t="inlineStr">
        <is>
          <t>사다리형</t>
        </is>
      </c>
      <c r="V477" s="3" t="inlineStr">
        <is>
          <t>세로한면(가)</t>
        </is>
      </c>
    </row>
    <row r="478">
      <c r="A478" s="3" t="inlineStr">
        <is>
          <t>남이면 부용외천리 90</t>
        </is>
      </c>
      <c r="B478" s="3" t="inlineStr">
        <is>
          <t>계획관리지역</t>
        </is>
      </c>
      <c r="C478" s="3" t="inlineStr">
        <is>
          <t>공장용지</t>
        </is>
      </c>
      <c r="D478" s="3" t="inlineStr">
        <is>
          <t>공장용지</t>
        </is>
      </c>
      <c r="E478" s="3" t="inlineStr">
        <is>
          <t>매매</t>
        </is>
      </c>
      <c r="F478" s="4" t="n">
        <v>63540</v>
      </c>
      <c r="G478" s="4" t="n">
        <v>2334</v>
      </c>
      <c r="H478" s="4" t="n">
        <v>706</v>
      </c>
      <c r="I478" s="5" t="n">
        <v>90</v>
      </c>
      <c r="J478" s="5" t="n">
        <v>37</v>
      </c>
      <c r="K478" s="3" t="inlineStr">
        <is>
          <t>남이면 부용외천리 공장용지 매매 철거후신축추천</t>
        </is>
      </c>
      <c r="L478" s="6">
        <f>HYPERLINK("https://fin.land.naver.com/articles/2649649104", "매물Link")</f>
        <v/>
      </c>
      <c r="M478" s="6">
        <f>HYPERLINK("https://map.naver.com/p/search/남이면 부용외천리 90", "지도Link")</f>
        <v/>
      </c>
      <c r="N478" s="6">
        <f>HYPERLINK("http://www.eum.go.kr/web/ar/lu/luLandDet.jsp?pnu=4311231040100900000&amp;isNoScr=script&amp;mode=search", "토지이음")</f>
        <v/>
      </c>
      <c r="O478" s="3" t="inlineStr">
        <is>
          <t>탄탄</t>
        </is>
      </c>
      <c r="P478" s="4" t="n">
        <v>1</v>
      </c>
      <c r="Q478" s="4" t="n">
        <v>221</v>
      </c>
      <c r="R478" s="3" t="inlineStr">
        <is>
          <t>지정되지않음</t>
        </is>
      </c>
      <c r="S478" s="3" t="inlineStr">
        <is>
          <t>공업용</t>
        </is>
      </c>
      <c r="T478" s="3" t="inlineStr">
        <is>
          <t>완경사</t>
        </is>
      </c>
      <c r="U478" s="3" t="inlineStr">
        <is>
          <t>부정형</t>
        </is>
      </c>
      <c r="V478" s="3" t="inlineStr">
        <is>
          <t>세로한면(가)</t>
        </is>
      </c>
    </row>
    <row r="479">
      <c r="A479" s="3" t="inlineStr">
        <is>
          <t>남이면 부용외천리 산 153-24</t>
        </is>
      </c>
      <c r="B479" s="3" t="inlineStr">
        <is>
          <t>계획관리지역</t>
        </is>
      </c>
      <c r="C479" s="3" t="inlineStr">
        <is>
          <t>임야</t>
        </is>
      </c>
      <c r="D479" s="3" t="inlineStr">
        <is>
          <t>임야</t>
        </is>
      </c>
      <c r="E479" s="3" t="inlineStr">
        <is>
          <t>매매</t>
        </is>
      </c>
      <c r="F479" s="4" t="n">
        <v>749999</v>
      </c>
      <c r="G479" s="4" t="n">
        <v>22318</v>
      </c>
      <c r="H479" s="4" t="n">
        <v>6751</v>
      </c>
      <c r="I479" s="5" t="n">
        <v>111.1</v>
      </c>
      <c r="J479" s="5" t="n">
        <v>4.6</v>
      </c>
      <c r="K479" s="3" t="inlineStr">
        <is>
          <t>nan</t>
        </is>
      </c>
      <c r="L479" s="6">
        <f>HYPERLINK("https://fin.land.naver.com/articles/2653531052", "매물Link")</f>
        <v/>
      </c>
      <c r="M479" s="6">
        <f>HYPERLINK("https://map.naver.com/p/search/남이면 부용외천리 산 153-24", "지도Link")</f>
        <v/>
      </c>
      <c r="N479" s="6">
        <f>HYPERLINK("http://www.eum.go.kr/web/ar/lu/luLandDet.jsp?pnu=4311231040201530024&amp;isNoScr=script&amp;mode=search", "토지이음")</f>
        <v/>
      </c>
      <c r="O479" s="3" t="inlineStr">
        <is>
          <t>황제</t>
        </is>
      </c>
      <c r="P479" s="4" t="n">
        <v>1</v>
      </c>
      <c r="Q479" s="4" t="n">
        <v>20281</v>
      </c>
      <c r="R479" s="3" t="inlineStr">
        <is>
          <t>지정되지않음</t>
        </is>
      </c>
      <c r="S479" s="3" t="inlineStr">
        <is>
          <t>자연림</t>
        </is>
      </c>
      <c r="T479" s="3" t="inlineStr">
        <is>
          <t>급경사</t>
        </is>
      </c>
      <c r="U479" s="3" t="inlineStr">
        <is>
          <t>부정형</t>
        </is>
      </c>
      <c r="V479" s="3" t="inlineStr">
        <is>
          <t>세로한면(불)</t>
        </is>
      </c>
    </row>
    <row r="480">
      <c r="A480" s="3" t="inlineStr">
        <is>
          <t>남이면 부용외천리 산183-3</t>
        </is>
      </c>
      <c r="B480" s="3" t="inlineStr">
        <is>
          <t>농림지역</t>
        </is>
      </c>
      <c r="C480" s="3" t="inlineStr">
        <is>
          <t>임야</t>
        </is>
      </c>
      <c r="D480" s="3" t="inlineStr">
        <is>
          <t>임야</t>
        </is>
      </c>
      <c r="E480" s="3" t="inlineStr">
        <is>
          <t>매매</t>
        </is>
      </c>
      <c r="F480" s="4" t="n">
        <v>400000</v>
      </c>
      <c r="G480" s="4" t="n">
        <v>76991</v>
      </c>
      <c r="H480" s="4" t="n">
        <v>23290</v>
      </c>
      <c r="I480" s="5" t="n">
        <v>17.2</v>
      </c>
      <c r="J480" s="5" t="n">
        <v>1.1</v>
      </c>
      <c r="K480" s="3" t="inlineStr">
        <is>
          <t>공장허가 완료, 토목공사 90</t>
        </is>
      </c>
      <c r="L480" s="6">
        <f>HYPERLINK("https://fin.land.naver.com/articles/2653353121", "매물Link")</f>
        <v/>
      </c>
      <c r="M480" s="6">
        <f>HYPERLINK("https://map.naver.com/p/search/남이면 부용외천리 산183-3", "지도Link")</f>
        <v/>
      </c>
      <c r="N480" s="6">
        <f>HYPERLINK("http://www.eum.go.kr/web/ar/lu/luLandDet.jsp?pnu=4311231040201830003&amp;isNoScr=script&amp;mode=search", "토지이음")</f>
        <v/>
      </c>
      <c r="O480" s="3" t="inlineStr">
        <is>
          <t>황제</t>
        </is>
      </c>
      <c r="P480" s="4" t="n">
        <v>1</v>
      </c>
      <c r="Q480" s="4" t="n">
        <v>76991</v>
      </c>
      <c r="R480" s="3" t="inlineStr">
        <is>
          <t>지정되지않음</t>
        </is>
      </c>
      <c r="S480" s="3" t="inlineStr">
        <is>
          <t>자연림</t>
        </is>
      </c>
      <c r="T480" s="3" t="inlineStr">
        <is>
          <t>급경사</t>
        </is>
      </c>
      <c r="U480" s="3" t="inlineStr">
        <is>
          <t>부정형</t>
        </is>
      </c>
      <c r="V480" s="3" t="inlineStr">
        <is>
          <t>맹지</t>
        </is>
      </c>
    </row>
    <row r="481">
      <c r="A481" s="3" t="inlineStr">
        <is>
          <t>남이면 부용외천리 산183-3</t>
        </is>
      </c>
      <c r="B481" s="3" t="inlineStr">
        <is>
          <t>농림지역</t>
        </is>
      </c>
      <c r="C481" s="3" t="inlineStr">
        <is>
          <t>임야</t>
        </is>
      </c>
      <c r="D481" s="3" t="inlineStr">
        <is>
          <t>임야</t>
        </is>
      </c>
      <c r="E481" s="3" t="inlineStr">
        <is>
          <t>매매</t>
        </is>
      </c>
      <c r="F481" s="4" t="n">
        <v>320000</v>
      </c>
      <c r="G481" s="4" t="n">
        <v>83047</v>
      </c>
      <c r="H481" s="4" t="n">
        <v>25122</v>
      </c>
      <c r="I481" s="5" t="n">
        <v>12.7</v>
      </c>
      <c r="J481" s="5" t="n">
        <v>1.1</v>
      </c>
      <c r="K481" s="3" t="inlineStr">
        <is>
          <t>남청주IC에서 5분, 세종시 6분거리 급매물 공장.창고용지입니다</t>
        </is>
      </c>
      <c r="L481" s="6">
        <f>HYPERLINK("https://fin.land.naver.com/articles/2653004025", "매물Link")</f>
        <v/>
      </c>
      <c r="M481" s="6">
        <f>HYPERLINK("https://map.naver.com/p/search/남이면 부용외천리 산183-3", "지도Link")</f>
        <v/>
      </c>
      <c r="N481" s="6">
        <f>HYPERLINK("http://www.eum.go.kr/web/ar/lu/luLandDet.jsp?pnu=4311231040201830003&amp;isNoScr=script&amp;mode=search", "토지이음")</f>
        <v/>
      </c>
      <c r="O481" s="3" t="inlineStr">
        <is>
          <t>대일</t>
        </is>
      </c>
      <c r="P481" s="4" t="n">
        <v>1</v>
      </c>
      <c r="Q481" s="4" t="n">
        <v>76991</v>
      </c>
      <c r="R481" s="3" t="inlineStr">
        <is>
          <t>지정되지않음</t>
        </is>
      </c>
      <c r="S481" s="3" t="inlineStr">
        <is>
          <t>자연림</t>
        </is>
      </c>
      <c r="T481" s="3" t="inlineStr">
        <is>
          <t>급경사</t>
        </is>
      </c>
      <c r="U481" s="3" t="inlineStr">
        <is>
          <t>부정형</t>
        </is>
      </c>
      <c r="V481" s="3" t="inlineStr">
        <is>
          <t>맹지</t>
        </is>
      </c>
    </row>
    <row r="482">
      <c r="A482" s="3" t="inlineStr">
        <is>
          <t>남이면 비룡리 181-1</t>
        </is>
      </c>
      <c r="B482" s="3" t="inlineStr">
        <is>
          <t>생산관리지역</t>
        </is>
      </c>
      <c r="C482" s="3" t="inlineStr">
        <is>
          <t>답</t>
        </is>
      </c>
      <c r="D482" s="3" t="inlineStr">
        <is>
          <t>답</t>
        </is>
      </c>
      <c r="E482" s="3" t="inlineStr">
        <is>
          <t>매매</t>
        </is>
      </c>
      <c r="F482" s="4" t="n">
        <v>32050</v>
      </c>
      <c r="G482" s="4" t="n">
        <v>4238</v>
      </c>
      <c r="H482" s="4" t="n">
        <v>1282</v>
      </c>
      <c r="I482" s="5" t="n">
        <v>25</v>
      </c>
      <c r="J482" s="5" t="n">
        <v>9.4</v>
      </c>
      <c r="K482" s="3" t="inlineStr">
        <is>
          <t>nan</t>
        </is>
      </c>
      <c r="L482" s="6">
        <f>HYPERLINK("https://fin.land.naver.com/articles/2649834524", "매물Link")</f>
        <v/>
      </c>
      <c r="M482" s="6">
        <f>HYPERLINK("https://map.naver.com/p/search/남이면 비룡리 181-1", "지도Link")</f>
        <v/>
      </c>
      <c r="N482" s="6">
        <f>HYPERLINK("http://www.eum.go.kr/web/ar/lu/luLandDet.jsp?pnu=4311231026101810001&amp;isNoScr=script&amp;mode=search", "토지이음")</f>
        <v/>
      </c>
      <c r="O482" s="3" t="inlineStr">
        <is>
          <t>소소사무소</t>
        </is>
      </c>
      <c r="P482" s="4" t="n">
        <v>1</v>
      </c>
      <c r="Q482" s="4" t="n">
        <v>516</v>
      </c>
      <c r="R482" s="3" t="inlineStr">
        <is>
          <t>지정되지않음</t>
        </is>
      </c>
      <c r="S482" s="3" t="inlineStr">
        <is>
          <t>답</t>
        </is>
      </c>
      <c r="T482" s="3" t="inlineStr">
        <is>
          <t>완경사</t>
        </is>
      </c>
      <c r="U482" s="3" t="inlineStr">
        <is>
          <t>부정형</t>
        </is>
      </c>
      <c r="V482" s="3" t="inlineStr">
        <is>
          <t>맹지</t>
        </is>
      </c>
    </row>
    <row r="483">
      <c r="A483" s="3" t="inlineStr">
        <is>
          <t>남이면 비룡리 218-3</t>
        </is>
      </c>
      <c r="B483" s="3" t="inlineStr">
        <is>
          <t>계획관리지역</t>
        </is>
      </c>
      <c r="C483" s="3" t="inlineStr">
        <is>
          <t>전</t>
        </is>
      </c>
      <c r="D483" s="3" t="inlineStr">
        <is>
          <t>답</t>
        </is>
      </c>
      <c r="E483" s="3" t="inlineStr">
        <is>
          <t>매매</t>
        </is>
      </c>
      <c r="F483" s="4" t="n">
        <v>105000</v>
      </c>
      <c r="G483" s="4" t="n">
        <v>2038</v>
      </c>
      <c r="H483" s="4" t="n">
        <v>616</v>
      </c>
      <c r="I483" s="5" t="n">
        <v>170.5</v>
      </c>
      <c r="J483" s="5" t="n">
        <v>14.3</v>
      </c>
      <c r="K483" s="3" t="inlineStr">
        <is>
          <t>토지급매 세종청주 고속도로 강내IC2030년 예정 최대 수혜</t>
        </is>
      </c>
      <c r="L483" s="6">
        <f>HYPERLINK("https://fin.land.naver.com/articles/2651661050", "매물Link")</f>
        <v/>
      </c>
      <c r="M483" s="6">
        <f>HYPERLINK("https://map.naver.com/p/search/남이면 비룡리 218-3", "지도Link")</f>
        <v/>
      </c>
      <c r="N483" s="6">
        <f>HYPERLINK("http://www.eum.go.kr/web/ar/lu/luLandDet.jsp?pnu=4311231026102180003&amp;isNoScr=script&amp;mode=search", "토지이음")</f>
        <v/>
      </c>
      <c r="O483" s="3" t="inlineStr">
        <is>
          <t>타임합동사무소</t>
        </is>
      </c>
      <c r="P483" s="4" t="n">
        <v>1</v>
      </c>
      <c r="Q483" s="4" t="n">
        <v>147</v>
      </c>
      <c r="R483" s="3" t="inlineStr">
        <is>
          <t>지정되지않음</t>
        </is>
      </c>
      <c r="S483" s="3" t="inlineStr">
        <is>
          <t>도로등</t>
        </is>
      </c>
      <c r="T483" s="3" t="inlineStr">
        <is>
          <t>완경사</t>
        </is>
      </c>
      <c r="U483" s="3" t="inlineStr">
        <is>
          <t>사다리형</t>
        </is>
      </c>
      <c r="V483" s="3" t="inlineStr">
        <is>
          <t>세로한면(가)</t>
        </is>
      </c>
    </row>
    <row r="484">
      <c r="A484" s="3" t="inlineStr">
        <is>
          <t>남이면 비룡리 32</t>
        </is>
      </c>
      <c r="B484" s="3" t="inlineStr">
        <is>
          <t>생산관리지역</t>
        </is>
      </c>
      <c r="C484" s="3" t="inlineStr">
        <is>
          <t>전</t>
        </is>
      </c>
      <c r="D484" s="3" t="inlineStr">
        <is>
          <t>전</t>
        </is>
      </c>
      <c r="E484" s="3" t="inlineStr">
        <is>
          <t>매매</t>
        </is>
      </c>
      <c r="F484" s="4" t="n">
        <v>15000</v>
      </c>
      <c r="G484" s="4" t="n">
        <v>2160</v>
      </c>
      <c r="H484" s="4" t="n">
        <v>653</v>
      </c>
      <c r="I484" s="5" t="n">
        <v>23</v>
      </c>
      <c r="J484" s="5" t="n">
        <v>10</v>
      </c>
      <c r="K484" s="3" t="inlineStr">
        <is>
          <t>공기좋은 비룡리토지 비닐하우스 안 컨테이너농막 풍부한지하수 주말농장추천</t>
        </is>
      </c>
      <c r="L484" s="6">
        <f>HYPERLINK("https://fin.land.naver.com/articles/2653069463", "매물Link")</f>
        <v/>
      </c>
      <c r="M484" s="6">
        <f>HYPERLINK("https://map.naver.com/p/search/남이면 비룡리 32", "지도Link")</f>
        <v/>
      </c>
      <c r="N484" s="6">
        <f>HYPERLINK("http://www.eum.go.kr/web/ar/lu/luLandDet.jsp?pnu=4311231026100320000&amp;isNoScr=script&amp;mode=search", "토지이음")</f>
        <v/>
      </c>
      <c r="O484" s="3" t="inlineStr">
        <is>
          <t>행복도시</t>
        </is>
      </c>
      <c r="P484" s="4" t="n">
        <v>2</v>
      </c>
      <c r="Q484" s="4" t="n">
        <v>2160</v>
      </c>
      <c r="R484" s="3" t="inlineStr">
        <is>
          <t>지정되지않음</t>
        </is>
      </c>
      <c r="S484" s="3" t="inlineStr">
        <is>
          <t>전</t>
        </is>
      </c>
      <c r="T484" s="3" t="inlineStr">
        <is>
          <t>완경사</t>
        </is>
      </c>
      <c r="U484" s="3" t="inlineStr">
        <is>
          <t>부정형</t>
        </is>
      </c>
      <c r="V484" s="3" t="inlineStr">
        <is>
          <t>맹지</t>
        </is>
      </c>
    </row>
    <row r="485">
      <c r="A485" s="3" t="inlineStr">
        <is>
          <t>남이면 비룡리 325-3</t>
        </is>
      </c>
      <c r="B485" s="3" t="inlineStr">
        <is>
          <t>계획관리지역</t>
        </is>
      </c>
      <c r="C485" s="3" t="inlineStr">
        <is>
          <t>답</t>
        </is>
      </c>
      <c r="D485" s="3" t="inlineStr">
        <is>
          <t>공장용지</t>
        </is>
      </c>
      <c r="E485" s="3" t="inlineStr">
        <is>
          <t>매매</t>
        </is>
      </c>
      <c r="F485" s="4" t="n">
        <v>185000</v>
      </c>
      <c r="G485" s="4" t="n">
        <v>585</v>
      </c>
      <c r="H485" s="4" t="n">
        <v>177</v>
      </c>
      <c r="I485" s="5" t="n">
        <v>1045.2</v>
      </c>
      <c r="J485" s="5" t="n">
        <v>28.9</v>
      </c>
      <c r="K485" s="3" t="inlineStr">
        <is>
          <t>o사진o 계획관리 도로접한 공장용지</t>
        </is>
      </c>
      <c r="L485" s="6">
        <f>HYPERLINK("https://fin.land.naver.com/articles/2654399449", "매물Link")</f>
        <v/>
      </c>
      <c r="M485" s="6">
        <f>HYPERLINK("https://map.naver.com/p/search/남이면 비룡리 325-3", "지도Link")</f>
        <v/>
      </c>
      <c r="N485" s="6">
        <f>HYPERLINK("http://www.eum.go.kr/web/ar/lu/luLandDet.jsp?pnu=4311231026103250003&amp;isNoScr=script&amp;mode=search", "토지이음")</f>
        <v/>
      </c>
      <c r="O485" s="3" t="inlineStr">
        <is>
          <t>서초만땅</t>
        </is>
      </c>
      <c r="P485" s="4" t="n">
        <v>1</v>
      </c>
      <c r="Q485" s="4" t="n">
        <v>2630</v>
      </c>
      <c r="R485" s="3" t="inlineStr">
        <is>
          <t>지정되지않음</t>
        </is>
      </c>
      <c r="S485" s="3" t="inlineStr">
        <is>
          <t>답</t>
        </is>
      </c>
      <c r="T485" s="3" t="inlineStr">
        <is>
          <t>평지</t>
        </is>
      </c>
      <c r="U485" s="3" t="inlineStr">
        <is>
          <t>부정형</t>
        </is>
      </c>
      <c r="V485" s="3" t="inlineStr">
        <is>
          <t>세로한면(가)</t>
        </is>
      </c>
    </row>
    <row r="486">
      <c r="A486" s="3" t="inlineStr">
        <is>
          <t>남이면 비룡리 325-3</t>
        </is>
      </c>
      <c r="B486" s="3" t="inlineStr">
        <is>
          <t>계획관리지역</t>
        </is>
      </c>
      <c r="C486" s="3" t="inlineStr">
        <is>
          <t>답</t>
        </is>
      </c>
      <c r="D486" s="3" t="inlineStr">
        <is>
          <t>공장용지</t>
        </is>
      </c>
      <c r="E486" s="3" t="inlineStr">
        <is>
          <t>매매</t>
        </is>
      </c>
      <c r="F486" s="4" t="n">
        <v>185000</v>
      </c>
      <c r="G486" s="4" t="n">
        <v>4066</v>
      </c>
      <c r="H486" s="4" t="n">
        <v>1230</v>
      </c>
      <c r="I486" s="5" t="n">
        <v>150.4</v>
      </c>
      <c r="J486" s="5" t="n">
        <v>28.9</v>
      </c>
      <c r="K486" s="3" t="inlineStr">
        <is>
          <t>만땅 1230 p 개발행위 득한 도로접한 나대지 계획관리</t>
        </is>
      </c>
      <c r="L486" s="6">
        <f>HYPERLINK("https://fin.land.naver.com/articles/2654561971", "매물Link")</f>
        <v/>
      </c>
      <c r="M486" s="6">
        <f>HYPERLINK("https://map.naver.com/p/search/남이면 비룡리 325-3", "지도Link")</f>
        <v/>
      </c>
      <c r="N486" s="6">
        <f>HYPERLINK("http://www.eum.go.kr/web/ar/lu/luLandDet.jsp?pnu=4311231026103250003&amp;isNoScr=script&amp;mode=search", "토지이음")</f>
        <v/>
      </c>
      <c r="O486" s="3" t="inlineStr">
        <is>
          <t>서초만땅</t>
        </is>
      </c>
      <c r="P486" s="4" t="n">
        <v>1</v>
      </c>
      <c r="Q486" s="4" t="n">
        <v>2630</v>
      </c>
      <c r="R486" s="3" t="inlineStr">
        <is>
          <t>지정되지않음</t>
        </is>
      </c>
      <c r="S486" s="3" t="inlineStr">
        <is>
          <t>답</t>
        </is>
      </c>
      <c r="T486" s="3" t="inlineStr">
        <is>
          <t>평지</t>
        </is>
      </c>
      <c r="U486" s="3" t="inlineStr">
        <is>
          <t>부정형</t>
        </is>
      </c>
      <c r="V486" s="3" t="inlineStr">
        <is>
          <t>세로한면(가)</t>
        </is>
      </c>
    </row>
    <row r="487">
      <c r="A487" s="3" t="inlineStr">
        <is>
          <t>남이면 비룡리 463</t>
        </is>
      </c>
      <c r="B487" s="3" t="inlineStr">
        <is>
          <t>생산관리지역</t>
        </is>
      </c>
      <c r="C487" s="3" t="inlineStr">
        <is>
          <t>답</t>
        </is>
      </c>
      <c r="D487" s="3" t="inlineStr">
        <is>
          <t>답</t>
        </is>
      </c>
      <c r="E487" s="3" t="inlineStr">
        <is>
          <t>매매</t>
        </is>
      </c>
      <c r="F487" s="4" t="n">
        <v>27000</v>
      </c>
      <c r="G487" s="4" t="n">
        <v>2441</v>
      </c>
      <c r="H487" s="4" t="n">
        <v>738</v>
      </c>
      <c r="I487" s="5" t="n">
        <v>36.6</v>
      </c>
      <c r="J487" s="5" t="n">
        <v>19.9</v>
      </c>
      <c r="K487" s="3" t="inlineStr">
        <is>
          <t>생산관리 토지 매매</t>
        </is>
      </c>
      <c r="L487" s="6">
        <f>HYPERLINK("https://fin.land.naver.com/articles/2653037411", "매물Link")</f>
        <v/>
      </c>
      <c r="M487" s="6">
        <f>HYPERLINK("https://map.naver.com/p/search/남이면 비룡리 463", "지도Link")</f>
        <v/>
      </c>
      <c r="N487" s="6">
        <f>HYPERLINK("http://www.eum.go.kr/web/ar/lu/luLandDet.jsp?pnu=4311231026104630000&amp;isNoScr=script&amp;mode=search", "토지이음")</f>
        <v/>
      </c>
      <c r="O487" s="3" t="inlineStr">
        <is>
          <t>정민</t>
        </is>
      </c>
      <c r="P487" s="4" t="n">
        <v>1</v>
      </c>
      <c r="Q487" s="4" t="n">
        <v>2441.7</v>
      </c>
      <c r="R487" s="3" t="inlineStr">
        <is>
          <t>농림지역</t>
        </is>
      </c>
      <c r="S487" s="3" t="inlineStr">
        <is>
          <t>답</t>
        </is>
      </c>
      <c r="T487" s="3" t="inlineStr">
        <is>
          <t>평지</t>
        </is>
      </c>
      <c r="U487" s="3" t="inlineStr">
        <is>
          <t>부정형</t>
        </is>
      </c>
      <c r="V487" s="3" t="inlineStr">
        <is>
          <t>세로한면(가)</t>
        </is>
      </c>
    </row>
    <row r="488">
      <c r="A488" s="3" t="inlineStr">
        <is>
          <t>남이면 사동리 128-1</t>
        </is>
      </c>
      <c r="B488" s="3" t="inlineStr">
        <is>
          <t>보전녹지지역</t>
        </is>
      </c>
      <c r="C488" s="3" t="inlineStr">
        <is>
          <t>답</t>
        </is>
      </c>
      <c r="D488" s="3" t="inlineStr">
        <is>
          <t>전</t>
        </is>
      </c>
      <c r="E488" s="3" t="inlineStr">
        <is>
          <t>매매</t>
        </is>
      </c>
      <c r="F488" s="4" t="n">
        <v>15000</v>
      </c>
      <c r="G488" s="4" t="n">
        <v>960</v>
      </c>
      <c r="H488" s="4" t="n">
        <v>290</v>
      </c>
      <c r="I488" s="5" t="n">
        <v>51.7</v>
      </c>
      <c r="J488" s="5" t="n">
        <v>17</v>
      </c>
      <c r="K488" s="3" t="inlineStr">
        <is>
          <t>2필지(전,답)으로 구성된 토지로 투자용 매매 적극 추천 합니다</t>
        </is>
      </c>
      <c r="L488" s="6">
        <f>HYPERLINK("https://fin.land.naver.com/articles/2653019296", "매물Link")</f>
        <v/>
      </c>
      <c r="M488" s="6">
        <f>HYPERLINK("https://map.naver.com/p/search/남이면 사동리 128-1", "지도Link")</f>
        <v/>
      </c>
      <c r="N488" s="6">
        <f>HYPERLINK("http://www.eum.go.kr/web/ar/lu/luLandDet.jsp?pnu=4311231028101280001&amp;isNoScr=script&amp;mode=search", "토지이음")</f>
        <v/>
      </c>
      <c r="O488" s="3" t="inlineStr">
        <is>
          <t>투자</t>
        </is>
      </c>
      <c r="P488" s="4" t="n">
        <v>1</v>
      </c>
      <c r="Q488" s="4" t="n">
        <v>250</v>
      </c>
      <c r="R488" s="3" t="inlineStr">
        <is>
          <t>지정되지않음</t>
        </is>
      </c>
      <c r="S488" s="3" t="inlineStr">
        <is>
          <t>전</t>
        </is>
      </c>
      <c r="T488" s="3" t="inlineStr">
        <is>
          <t>완경사</t>
        </is>
      </c>
      <c r="U488" s="3" t="inlineStr">
        <is>
          <t>부정형</t>
        </is>
      </c>
      <c r="V488" s="3" t="inlineStr">
        <is>
          <t>소로한면</t>
        </is>
      </c>
    </row>
    <row r="489">
      <c r="A489" s="3" t="inlineStr">
        <is>
          <t>남이면 산막리 247-1</t>
        </is>
      </c>
      <c r="B489" s="3" t="inlineStr">
        <is>
          <t>생산관리지역</t>
        </is>
      </c>
      <c r="C489" s="3" t="inlineStr">
        <is>
          <t>답</t>
        </is>
      </c>
      <c r="D489" s="3" t="inlineStr">
        <is>
          <t>답</t>
        </is>
      </c>
      <c r="E489" s="3" t="inlineStr">
        <is>
          <t>매매</t>
        </is>
      </c>
      <c r="F489" s="4" t="n">
        <v>18000</v>
      </c>
      <c r="G489" s="4" t="n">
        <v>1464</v>
      </c>
      <c r="H489" s="4" t="n">
        <v>443</v>
      </c>
      <c r="I489" s="5" t="n">
        <v>40.6</v>
      </c>
      <c r="J489" s="5" t="n">
        <v>12.3</v>
      </c>
      <c r="K489" s="3" t="inlineStr">
        <is>
          <t>남이면 산막리 도로접한 토지 매매</t>
        </is>
      </c>
      <c r="L489" s="6">
        <f>HYPERLINK("https://fin.land.naver.com/articles/2651762335", "매물Link")</f>
        <v/>
      </c>
      <c r="M489" s="6">
        <f>HYPERLINK("https://map.naver.com/p/search/남이면 산막리 247-1", "지도Link")</f>
        <v/>
      </c>
      <c r="N489" s="6">
        <f>HYPERLINK("http://www.eum.go.kr/web/ar/lu/luLandDet.jsp?pnu=4311231025102470001&amp;isNoScr=script&amp;mode=search", "토지이음")</f>
        <v/>
      </c>
      <c r="O489" s="3" t="inlineStr">
        <is>
          <t>대지</t>
        </is>
      </c>
      <c r="P489" s="4" t="n">
        <v>1</v>
      </c>
      <c r="Q489" s="4" t="n">
        <v>1464</v>
      </c>
      <c r="R489" s="3" t="inlineStr">
        <is>
          <t>지정되지않음</t>
        </is>
      </c>
      <c r="S489" s="3" t="inlineStr">
        <is>
          <t>답</t>
        </is>
      </c>
      <c r="T489" s="3" t="inlineStr">
        <is>
          <t>완경사</t>
        </is>
      </c>
      <c r="U489" s="3" t="inlineStr">
        <is>
          <t>부정형</t>
        </is>
      </c>
      <c r="V489" s="3" t="inlineStr">
        <is>
          <t>세로한면(가)</t>
        </is>
      </c>
    </row>
    <row r="490">
      <c r="A490" s="3" t="inlineStr">
        <is>
          <t>남이면 산막리 263-2</t>
        </is>
      </c>
      <c r="B490" s="3" t="inlineStr">
        <is>
          <t>생산관리지역</t>
        </is>
      </c>
      <c r="C490" s="3" t="inlineStr">
        <is>
          <t>답</t>
        </is>
      </c>
      <c r="D490" s="3" t="inlineStr">
        <is>
          <t>답</t>
        </is>
      </c>
      <c r="E490" s="3" t="inlineStr">
        <is>
          <t>매매</t>
        </is>
      </c>
      <c r="F490" s="4" t="n">
        <v>16000</v>
      </c>
      <c r="G490" s="4" t="n">
        <v>1326</v>
      </c>
      <c r="H490" s="4" t="n">
        <v>401</v>
      </c>
      <c r="I490" s="5" t="n">
        <v>39.9</v>
      </c>
      <c r="J490" s="5" t="n">
        <v>12.3</v>
      </c>
      <c r="K490" s="3" t="inlineStr">
        <is>
          <t>남이면 산막리 시도21호선 접한 토지 매매</t>
        </is>
      </c>
      <c r="L490" s="6">
        <f>HYPERLINK("https://fin.land.naver.com/articles/2651761606", "매물Link")</f>
        <v/>
      </c>
      <c r="M490" s="6">
        <f>HYPERLINK("https://map.naver.com/p/search/남이면 산막리 263-2", "지도Link")</f>
        <v/>
      </c>
      <c r="N490" s="6">
        <f>HYPERLINK("http://www.eum.go.kr/web/ar/lu/luLandDet.jsp?pnu=4311231025102630002&amp;isNoScr=script&amp;mode=search", "토지이음")</f>
        <v/>
      </c>
      <c r="O490" s="3" t="inlineStr">
        <is>
          <t>대지</t>
        </is>
      </c>
      <c r="P490" s="4" t="n">
        <v>1</v>
      </c>
      <c r="Q490" s="4" t="n">
        <v>1326</v>
      </c>
      <c r="R490" s="3" t="inlineStr">
        <is>
          <t>지정되지않음</t>
        </is>
      </c>
      <c r="S490" s="3" t="inlineStr">
        <is>
          <t>답</t>
        </is>
      </c>
      <c r="T490" s="3" t="inlineStr">
        <is>
          <t>완경사</t>
        </is>
      </c>
      <c r="U490" s="3" t="inlineStr">
        <is>
          <t>부정형</t>
        </is>
      </c>
      <c r="V490" s="3" t="inlineStr">
        <is>
          <t>세로한면(가)</t>
        </is>
      </c>
    </row>
    <row r="491">
      <c r="A491" s="3" t="inlineStr">
        <is>
          <t>남이면 산막리 37</t>
        </is>
      </c>
      <c r="B491" s="3" t="inlineStr">
        <is>
          <t>농림지역</t>
        </is>
      </c>
      <c r="C491" s="3" t="inlineStr">
        <is>
          <t>전</t>
        </is>
      </c>
      <c r="D491" s="3" t="inlineStr">
        <is>
          <t>전</t>
        </is>
      </c>
      <c r="E491" s="3" t="inlineStr">
        <is>
          <t>매매</t>
        </is>
      </c>
      <c r="F491" s="4" t="n">
        <v>1360</v>
      </c>
      <c r="G491" s="4" t="n">
        <v>450</v>
      </c>
      <c r="H491" s="4" t="n">
        <v>136</v>
      </c>
      <c r="I491" s="5" t="n">
        <v>10</v>
      </c>
      <c r="J491" s="5" t="n">
        <v>8.800000000000001</v>
      </c>
      <c r="K491" s="3" t="inlineStr">
        <is>
          <t>농업진흥구역의 농림지역 주말농장으로추천함. 구거접함</t>
        </is>
      </c>
      <c r="L491" s="6">
        <f>HYPERLINK("https://fin.land.naver.com/articles/2651088390", "매물Link")</f>
        <v/>
      </c>
      <c r="M491" s="6">
        <f>HYPERLINK("https://map.naver.com/p/search/남이면 산막리 37", "지도Link")</f>
        <v/>
      </c>
      <c r="N491" s="6">
        <f>HYPERLINK("http://www.eum.go.kr/web/ar/lu/luLandDet.jsp?pnu=4311231025100370000&amp;isNoScr=script&amp;mode=search", "토지이음")</f>
        <v/>
      </c>
      <c r="O491" s="3" t="inlineStr">
        <is>
          <t>청주원</t>
        </is>
      </c>
      <c r="P491" s="4" t="n">
        <v>1</v>
      </c>
      <c r="Q491" s="4" t="n">
        <v>414</v>
      </c>
      <c r="R491" s="3" t="inlineStr">
        <is>
          <t>지정되지않음</t>
        </is>
      </c>
      <c r="S491" s="3" t="inlineStr">
        <is>
          <t>전</t>
        </is>
      </c>
      <c r="T491" s="3" t="inlineStr">
        <is>
          <t>평지</t>
        </is>
      </c>
      <c r="U491" s="3" t="inlineStr">
        <is>
          <t>부정형</t>
        </is>
      </c>
      <c r="V491" s="3" t="inlineStr">
        <is>
          <t>맹지</t>
        </is>
      </c>
    </row>
    <row r="492">
      <c r="A492" s="3" t="inlineStr">
        <is>
          <t>남이면 산막리 52-2</t>
        </is>
      </c>
      <c r="B492" s="3" t="inlineStr">
        <is>
          <t>생산관리지역</t>
        </is>
      </c>
      <c r="C492" s="3" t="inlineStr">
        <is>
          <t>대</t>
        </is>
      </c>
      <c r="D492" s="3" t="inlineStr">
        <is>
          <t>대</t>
        </is>
      </c>
      <c r="E492" s="3" t="inlineStr">
        <is>
          <t>매매</t>
        </is>
      </c>
      <c r="F492" s="4" t="n">
        <v>25000</v>
      </c>
      <c r="G492" s="4" t="n">
        <v>1515</v>
      </c>
      <c r="H492" s="4" t="n">
        <v>458</v>
      </c>
      <c r="I492" s="5" t="n">
        <v>54.6</v>
      </c>
      <c r="J492" s="5" t="n">
        <v>16.5</v>
      </c>
      <c r="K492" s="3" t="inlineStr">
        <is>
          <t>한적한 곳에 전원주택및부지, 인접 전,도로용지 포 3필지,주말농장 활용</t>
        </is>
      </c>
      <c r="L492" s="6">
        <f>HYPERLINK("https://fin.land.naver.com/articles/2654411697", "매물Link")</f>
        <v/>
      </c>
      <c r="M492" s="6">
        <f>HYPERLINK("https://map.naver.com/p/search/남이면 산막리 52-2", "지도Link")</f>
        <v/>
      </c>
      <c r="N492" s="6">
        <f>HYPERLINK("http://www.eum.go.kr/web/ar/lu/luLandDet.jsp?pnu=4311231025100520002&amp;isNoScr=script&amp;mode=search", "토지이음")</f>
        <v/>
      </c>
      <c r="O492" s="3" t="inlineStr">
        <is>
          <t>우리</t>
        </is>
      </c>
      <c r="P492" s="4" t="n">
        <v>1</v>
      </c>
      <c r="Q492" s="4" t="n">
        <v>980</v>
      </c>
      <c r="R492" s="3" t="inlineStr">
        <is>
          <t>지정되지않음</t>
        </is>
      </c>
      <c r="S492" s="3" t="inlineStr">
        <is>
          <t>단독</t>
        </is>
      </c>
      <c r="T492" s="3" t="inlineStr">
        <is>
          <t>완경사</t>
        </is>
      </c>
      <c r="U492" s="3" t="inlineStr">
        <is>
          <t>사다리형</t>
        </is>
      </c>
      <c r="V492" s="3" t="inlineStr">
        <is>
          <t>세로한면(불)</t>
        </is>
      </c>
    </row>
    <row r="493">
      <c r="A493" s="3" t="inlineStr">
        <is>
          <t>남이면 상발리 108</t>
        </is>
      </c>
      <c r="B493" s="3" t="inlineStr">
        <is>
          <t>자연녹지지역</t>
        </is>
      </c>
      <c r="C493" s="3" t="inlineStr">
        <is>
          <t>답</t>
        </is>
      </c>
      <c r="D493" s="3" t="inlineStr">
        <is>
          <t>답</t>
        </is>
      </c>
      <c r="E493" s="3" t="inlineStr">
        <is>
          <t>매매</t>
        </is>
      </c>
      <c r="F493" s="4" t="n">
        <v>55000</v>
      </c>
      <c r="G493" s="4" t="n">
        <v>2603</v>
      </c>
      <c r="H493" s="4" t="n">
        <v>787</v>
      </c>
      <c r="I493" s="5" t="n">
        <v>69.90000000000001</v>
      </c>
      <c r="J493" s="5" t="n">
        <v>16.7</v>
      </c>
      <c r="K493" s="3" t="inlineStr">
        <is>
          <t>상발리 토지매매</t>
        </is>
      </c>
      <c r="L493" s="6">
        <f>HYPERLINK("https://fin.land.naver.com/articles/2653622570", "매물Link")</f>
        <v/>
      </c>
      <c r="M493" s="6">
        <f>HYPERLINK("https://map.naver.com/p/search/남이면 상발리 108", "지도Link")</f>
        <v/>
      </c>
      <c r="N493" s="6">
        <f>HYPERLINK("http://www.eum.go.kr/web/ar/lu/luLandDet.jsp?pnu=4311231031101080000&amp;isNoScr=script&amp;mode=search", "토지이음")</f>
        <v/>
      </c>
      <c r="O493" s="3" t="inlineStr">
        <is>
          <t>스피드</t>
        </is>
      </c>
      <c r="P493" s="4" t="n">
        <v>1</v>
      </c>
      <c r="Q493" s="4" t="n">
        <v>2603</v>
      </c>
      <c r="R493" s="3" t="inlineStr">
        <is>
          <t>보전녹지지역</t>
        </is>
      </c>
      <c r="S493" s="3" t="inlineStr">
        <is>
          <t>답</t>
        </is>
      </c>
      <c r="T493" s="3" t="inlineStr">
        <is>
          <t>완경사</t>
        </is>
      </c>
      <c r="U493" s="3" t="inlineStr">
        <is>
          <t>부정형</t>
        </is>
      </c>
      <c r="V493" s="3" t="inlineStr">
        <is>
          <t>세로한면(불)</t>
        </is>
      </c>
    </row>
    <row r="494">
      <c r="A494" s="3" t="inlineStr">
        <is>
          <t>남이면 상발리 108</t>
        </is>
      </c>
      <c r="B494" s="3" t="inlineStr">
        <is>
          <t>자연녹지지역</t>
        </is>
      </c>
      <c r="C494" s="3" t="inlineStr">
        <is>
          <t>답</t>
        </is>
      </c>
      <c r="D494" s="3" t="inlineStr">
        <is>
          <t>답</t>
        </is>
      </c>
      <c r="E494" s="3" t="inlineStr">
        <is>
          <t>매매</t>
        </is>
      </c>
      <c r="F494" s="4" t="n">
        <v>55090</v>
      </c>
      <c r="G494" s="4" t="n">
        <v>2603</v>
      </c>
      <c r="H494" s="4" t="n">
        <v>787</v>
      </c>
      <c r="I494" s="5" t="n">
        <v>70</v>
      </c>
      <c r="J494" s="5" t="n">
        <v>16.7</v>
      </c>
      <c r="K494" s="3" t="inlineStr">
        <is>
          <t>남이면 상발리 토지매매</t>
        </is>
      </c>
      <c r="L494" s="6">
        <f>HYPERLINK("https://fin.land.naver.com/articles/2649645214", "매물Link")</f>
        <v/>
      </c>
      <c r="M494" s="6">
        <f>HYPERLINK("https://map.naver.com/p/search/남이면 상발리 108", "지도Link")</f>
        <v/>
      </c>
      <c r="N494" s="6">
        <f>HYPERLINK("http://www.eum.go.kr/web/ar/lu/luLandDet.jsp?pnu=4311231031101080000&amp;isNoScr=script&amp;mode=search", "토지이음")</f>
        <v/>
      </c>
      <c r="O494" s="3" t="inlineStr">
        <is>
          <t>탄탄</t>
        </is>
      </c>
      <c r="P494" s="4" t="n">
        <v>1</v>
      </c>
      <c r="Q494" s="4" t="n">
        <v>2603</v>
      </c>
      <c r="R494" s="3" t="inlineStr">
        <is>
          <t>보전녹지지역</t>
        </is>
      </c>
      <c r="S494" s="3" t="inlineStr">
        <is>
          <t>답</t>
        </is>
      </c>
      <c r="T494" s="3" t="inlineStr">
        <is>
          <t>완경사</t>
        </is>
      </c>
      <c r="U494" s="3" t="inlineStr">
        <is>
          <t>부정형</t>
        </is>
      </c>
      <c r="V494" s="3" t="inlineStr">
        <is>
          <t>세로한면(불)</t>
        </is>
      </c>
    </row>
    <row r="495">
      <c r="A495" s="3" t="inlineStr">
        <is>
          <t>남이면 상발리 108</t>
        </is>
      </c>
      <c r="B495" s="3" t="inlineStr">
        <is>
          <t>자연녹지지역</t>
        </is>
      </c>
      <c r="C495" s="3" t="inlineStr">
        <is>
          <t>답</t>
        </is>
      </c>
      <c r="D495" s="3" t="inlineStr">
        <is>
          <t>답</t>
        </is>
      </c>
      <c r="E495" s="3" t="inlineStr">
        <is>
          <t>매매</t>
        </is>
      </c>
      <c r="F495" s="4" t="n">
        <v>55000</v>
      </c>
      <c r="G495" s="4" t="n">
        <v>2603</v>
      </c>
      <c r="H495" s="4" t="n">
        <v>787</v>
      </c>
      <c r="I495" s="5" t="n">
        <v>69.90000000000001</v>
      </c>
      <c r="J495" s="5" t="n">
        <v>16.7</v>
      </c>
      <c r="K495" s="3" t="inlineStr">
        <is>
          <t>남이면 상발리에 위치한 도로 접한 토지 매매</t>
        </is>
      </c>
      <c r="L495" s="6">
        <f>HYPERLINK("https://fin.land.naver.com/articles/2651110651", "매물Link")</f>
        <v/>
      </c>
      <c r="M495" s="6">
        <f>HYPERLINK("https://map.naver.com/p/search/남이면 상발리 108", "지도Link")</f>
        <v/>
      </c>
      <c r="N495" s="6">
        <f>HYPERLINK("http://www.eum.go.kr/web/ar/lu/luLandDet.jsp?pnu=4311231031101080000&amp;isNoScr=script&amp;mode=search", "토지이음")</f>
        <v/>
      </c>
      <c r="O495" s="3" t="inlineStr">
        <is>
          <t>대지</t>
        </is>
      </c>
      <c r="P495" s="4" t="n">
        <v>5</v>
      </c>
      <c r="Q495" s="4" t="n">
        <v>2603</v>
      </c>
      <c r="R495" s="3" t="inlineStr">
        <is>
          <t>보전녹지지역</t>
        </is>
      </c>
      <c r="S495" s="3" t="inlineStr">
        <is>
          <t>답</t>
        </is>
      </c>
      <c r="T495" s="3" t="inlineStr">
        <is>
          <t>완경사</t>
        </is>
      </c>
      <c r="U495" s="3" t="inlineStr">
        <is>
          <t>부정형</t>
        </is>
      </c>
      <c r="V495" s="3" t="inlineStr">
        <is>
          <t>세로한면(불)</t>
        </is>
      </c>
    </row>
    <row r="496">
      <c r="A496" s="3" t="inlineStr">
        <is>
          <t>남이면 상발리 16-2</t>
        </is>
      </c>
      <c r="B496" s="3" t="inlineStr">
        <is>
          <t>자연녹지지역</t>
        </is>
      </c>
      <c r="C496" s="3" t="inlineStr">
        <is>
          <t>답</t>
        </is>
      </c>
      <c r="D496" s="3" t="inlineStr">
        <is>
          <t>답</t>
        </is>
      </c>
      <c r="E496" s="3" t="inlineStr">
        <is>
          <t>매매</t>
        </is>
      </c>
      <c r="F496" s="4" t="n">
        <v>245000</v>
      </c>
      <c r="G496" s="4" t="n">
        <v>8008</v>
      </c>
      <c r="H496" s="4" t="n">
        <v>2422</v>
      </c>
      <c r="I496" s="5" t="n">
        <v>101.2</v>
      </c>
      <c r="J496" s="5" t="n">
        <v>31.6</v>
      </c>
      <c r="K496" s="3" t="inlineStr">
        <is>
          <t>청주 남이면 상발리, 투자개발 최적지 토지 매매</t>
        </is>
      </c>
      <c r="L496" s="6">
        <f>HYPERLINK("https://fin.land.naver.com/articles/2650045640", "매물Link")</f>
        <v/>
      </c>
      <c r="M496" s="6">
        <f>HYPERLINK("https://map.naver.com/p/search/남이면 상발리 16-2", "지도Link")</f>
        <v/>
      </c>
      <c r="N496" s="6">
        <f>HYPERLINK("http://www.eum.go.kr/web/ar/lu/luLandDet.jsp?pnu=4311231031100160002&amp;isNoScr=script&amp;mode=search", "토지이음")</f>
        <v/>
      </c>
      <c r="O496" s="3" t="inlineStr">
        <is>
          <t>대지</t>
        </is>
      </c>
      <c r="P496" s="4" t="n">
        <v>1</v>
      </c>
      <c r="Q496" s="4" t="n">
        <v>2865</v>
      </c>
      <c r="R496" s="3" t="inlineStr">
        <is>
          <t>지정되지않음</t>
        </is>
      </c>
      <c r="S496" s="3" t="inlineStr">
        <is>
          <t>답</t>
        </is>
      </c>
      <c r="T496" s="3" t="inlineStr">
        <is>
          <t>평지</t>
        </is>
      </c>
      <c r="U496" s="3" t="inlineStr">
        <is>
          <t>부정형</t>
        </is>
      </c>
      <c r="V496" s="3" t="inlineStr">
        <is>
          <t>세로각지(가)</t>
        </is>
      </c>
    </row>
    <row r="497">
      <c r="A497" s="3" t="inlineStr">
        <is>
          <t>남이면 상발리 27-1</t>
        </is>
      </c>
      <c r="B497" s="3" t="inlineStr">
        <is>
          <t>자연녹지지역</t>
        </is>
      </c>
      <c r="C497" s="3" t="inlineStr">
        <is>
          <t>전</t>
        </is>
      </c>
      <c r="D497" s="3" t="inlineStr">
        <is>
          <t>전</t>
        </is>
      </c>
      <c r="E497" s="3" t="inlineStr">
        <is>
          <t>매매</t>
        </is>
      </c>
      <c r="F497" s="4" t="n">
        <v>48000</v>
      </c>
      <c r="G497" s="4" t="n">
        <v>990</v>
      </c>
      <c r="H497" s="4" t="n">
        <v>299</v>
      </c>
      <c r="I497" s="5" t="n">
        <v>160.5</v>
      </c>
      <c r="J497" s="5" t="n">
        <v>37.7</v>
      </c>
      <c r="K497" s="3" t="inlineStr">
        <is>
          <t>남이면 상발리 2차선 도로접한 자연녹지 토지 매매</t>
        </is>
      </c>
      <c r="L497" s="6">
        <f>HYPERLINK("https://fin.land.naver.com/articles/2651764848", "매물Link")</f>
        <v/>
      </c>
      <c r="M497" s="6">
        <f>HYPERLINK("https://map.naver.com/p/search/남이면 상발리 27-1", "지도Link")</f>
        <v/>
      </c>
      <c r="N497" s="6">
        <f>HYPERLINK("http://www.eum.go.kr/web/ar/lu/luLandDet.jsp?pnu=4311231031100270001&amp;isNoScr=script&amp;mode=search", "토지이음")</f>
        <v/>
      </c>
      <c r="O497" s="3" t="inlineStr">
        <is>
          <t>대지</t>
        </is>
      </c>
      <c r="P497" s="4" t="n">
        <v>3</v>
      </c>
      <c r="Q497" s="4" t="n">
        <v>990</v>
      </c>
      <c r="R497" s="3" t="inlineStr">
        <is>
          <t>지정되지않음</t>
        </is>
      </c>
      <c r="S497" s="3" t="inlineStr">
        <is>
          <t>전</t>
        </is>
      </c>
      <c r="T497" s="3" t="inlineStr">
        <is>
          <t>평지</t>
        </is>
      </c>
      <c r="U497" s="3" t="inlineStr">
        <is>
          <t>가로장방</t>
        </is>
      </c>
      <c r="V497" s="3" t="inlineStr">
        <is>
          <t>소로한면</t>
        </is>
      </c>
    </row>
    <row r="498">
      <c r="A498" s="3" t="inlineStr">
        <is>
          <t>남이면 석실리 121-1</t>
        </is>
      </c>
      <c r="B498" s="3" t="inlineStr">
        <is>
          <t>자연녹지지역</t>
        </is>
      </c>
      <c r="C498" s="3" t="inlineStr">
        <is>
          <t>전</t>
        </is>
      </c>
      <c r="D498" s="3" t="inlineStr">
        <is>
          <t>전</t>
        </is>
      </c>
      <c r="E498" s="3" t="inlineStr">
        <is>
          <t>매매</t>
        </is>
      </c>
      <c r="F498" s="4" t="n">
        <v>73780</v>
      </c>
      <c r="G498" s="4" t="n">
        <v>1745</v>
      </c>
      <c r="H498" s="4" t="n">
        <v>528</v>
      </c>
      <c r="I498" s="5" t="n">
        <v>139.7</v>
      </c>
      <c r="J498" s="5" t="n">
        <v>43.2</v>
      </c>
      <c r="K498" s="3" t="inlineStr">
        <is>
          <t>nan</t>
        </is>
      </c>
      <c r="L498" s="6">
        <f>HYPERLINK("https://fin.land.naver.com/articles/2654549139", "매물Link")</f>
        <v/>
      </c>
      <c r="M498" s="6">
        <f>HYPERLINK("https://map.naver.com/p/search/남이면 석실리 121-1", "지도Link")</f>
        <v/>
      </c>
      <c r="N498" s="6">
        <f>HYPERLINK("http://www.eum.go.kr/web/ar/lu/luLandDet.jsp?pnu=4311231033101210001&amp;isNoScr=script&amp;mode=search", "토지이음")</f>
        <v/>
      </c>
      <c r="O498" s="3" t="inlineStr">
        <is>
          <t>백양</t>
        </is>
      </c>
      <c r="P498" s="4" t="n">
        <v>1</v>
      </c>
      <c r="Q498" s="4" t="n">
        <v>1745</v>
      </c>
      <c r="R498" s="3" t="inlineStr">
        <is>
          <t>지정되지않음</t>
        </is>
      </c>
      <c r="S498" s="3" t="inlineStr">
        <is>
          <t>전</t>
        </is>
      </c>
      <c r="T498" s="3" t="inlineStr">
        <is>
          <t>완경사</t>
        </is>
      </c>
      <c r="U498" s="3" t="inlineStr">
        <is>
          <t>부정형</t>
        </is>
      </c>
      <c r="V498" s="3" t="inlineStr">
        <is>
          <t>중로한면</t>
        </is>
      </c>
    </row>
    <row r="499">
      <c r="A499" s="3" t="inlineStr">
        <is>
          <t>남이면 석실리 198</t>
        </is>
      </c>
      <c r="B499" s="3" t="inlineStr">
        <is>
          <t>자연녹지지역</t>
        </is>
      </c>
      <c r="C499" s="3" t="inlineStr">
        <is>
          <t>대</t>
        </is>
      </c>
      <c r="D499" s="3" t="inlineStr">
        <is>
          <t>대</t>
        </is>
      </c>
      <c r="E499" s="3" t="inlineStr">
        <is>
          <t>매매</t>
        </is>
      </c>
      <c r="F499" s="4" t="n">
        <v>25000</v>
      </c>
      <c r="G499" s="4" t="n">
        <v>591</v>
      </c>
      <c r="H499" s="4" t="n">
        <v>179</v>
      </c>
      <c r="I499" s="5" t="n">
        <v>139.7</v>
      </c>
      <c r="J499" s="5" t="n">
        <v>62.1</v>
      </c>
      <c r="K499" s="3" t="inlineStr">
        <is>
          <t>석실리  전원생활 꿈꾸시는분께 추천합니다.</t>
        </is>
      </c>
      <c r="L499" s="6">
        <f>HYPERLINK("https://fin.land.naver.com/articles/2650276733", "매물Link")</f>
        <v/>
      </c>
      <c r="M499" s="6">
        <f>HYPERLINK("https://map.naver.com/p/search/남이면 석실리 198", "지도Link")</f>
        <v/>
      </c>
      <c r="N499" s="6">
        <f>HYPERLINK("http://www.eum.go.kr/web/ar/lu/luLandDet.jsp?pnu=4311231033101980000&amp;isNoScr=script&amp;mode=search", "토지이음")</f>
        <v/>
      </c>
      <c r="O499" s="3" t="inlineStr">
        <is>
          <t>용암해온</t>
        </is>
      </c>
      <c r="P499" s="4" t="n">
        <v>1</v>
      </c>
      <c r="Q499" s="4" t="n">
        <v>591</v>
      </c>
      <c r="R499" s="3" t="inlineStr">
        <is>
          <t>지정되지않음</t>
        </is>
      </c>
      <c r="S499" s="3" t="inlineStr">
        <is>
          <t>주거나지</t>
        </is>
      </c>
      <c r="T499" s="3" t="inlineStr">
        <is>
          <t>평지</t>
        </is>
      </c>
      <c r="U499" s="3" t="inlineStr">
        <is>
          <t>사다리형</t>
        </is>
      </c>
      <c r="V499" s="3" t="inlineStr">
        <is>
          <t>세로한면(가)</t>
        </is>
      </c>
    </row>
    <row r="500">
      <c r="A500" s="3" t="inlineStr">
        <is>
          <t>남이면 석실리 222-6</t>
        </is>
      </c>
      <c r="B500" s="3" t="inlineStr">
        <is>
          <t>자연녹지지역</t>
        </is>
      </c>
      <c r="C500" s="3" t="inlineStr">
        <is>
          <t>대</t>
        </is>
      </c>
      <c r="D500" s="3" t="inlineStr">
        <is>
          <t>대</t>
        </is>
      </c>
      <c r="E500" s="3" t="inlineStr">
        <is>
          <t>월세</t>
        </is>
      </c>
      <c r="F500" s="4" t="n">
        <v>1000</v>
      </c>
      <c r="G500" s="4" t="n">
        <v>975</v>
      </c>
      <c r="H500" s="4" t="n">
        <v>295</v>
      </c>
      <c r="I500" s="5" t="n">
        <v>0.4</v>
      </c>
      <c r="J500" s="5" t="n">
        <v>94</v>
      </c>
      <c r="K500" s="3" t="inlineStr">
        <is>
          <t>나대지 토지 295형 임대</t>
        </is>
      </c>
      <c r="L500" s="6">
        <f>HYPERLINK("https://fin.land.naver.com/articles/2649343452", "매물Link")</f>
        <v/>
      </c>
      <c r="M500" s="6">
        <f>HYPERLINK("https://map.naver.com/p/search/남이면 석실리 222-6", "지도Link")</f>
        <v/>
      </c>
      <c r="N500" s="6">
        <f>HYPERLINK("http://www.eum.go.kr/web/ar/lu/luLandDet.jsp?pnu=4311231033102220006&amp;isNoScr=script&amp;mode=search", "토지이음")</f>
        <v/>
      </c>
      <c r="O500" s="3" t="inlineStr">
        <is>
          <t>위더스</t>
        </is>
      </c>
      <c r="P500" s="4" t="n">
        <v>1</v>
      </c>
      <c r="Q500" s="4" t="n">
        <v>976</v>
      </c>
      <c r="R500" s="3" t="inlineStr">
        <is>
          <t>지정되지않음</t>
        </is>
      </c>
      <c r="S500" s="3" t="inlineStr">
        <is>
          <t>주거나지</t>
        </is>
      </c>
      <c r="T500" s="3" t="inlineStr">
        <is>
          <t>평지</t>
        </is>
      </c>
      <c r="U500" s="3" t="inlineStr">
        <is>
          <t>부정형</t>
        </is>
      </c>
      <c r="V500" s="3" t="inlineStr">
        <is>
          <t>소로한면</t>
        </is>
      </c>
    </row>
    <row r="501">
      <c r="A501" s="3" t="inlineStr">
        <is>
          <t>남이면 석실리 222-6</t>
        </is>
      </c>
      <c r="B501" s="3" t="inlineStr">
        <is>
          <t>자연녹지지역</t>
        </is>
      </c>
      <c r="C501" s="3" t="inlineStr">
        <is>
          <t>대</t>
        </is>
      </c>
      <c r="D501" s="3" t="inlineStr">
        <is>
          <t>대</t>
        </is>
      </c>
      <c r="E501" s="3" t="inlineStr">
        <is>
          <t>월세</t>
        </is>
      </c>
      <c r="F501" s="4" t="n">
        <v>1000</v>
      </c>
      <c r="G501" s="4" t="n">
        <v>976</v>
      </c>
      <c r="H501" s="4" t="n">
        <v>295</v>
      </c>
      <c r="I501" s="5" t="n">
        <v>0.3</v>
      </c>
      <c r="J501" s="5" t="n">
        <v>94</v>
      </c>
      <c r="K501" s="3" t="inlineStr">
        <is>
          <t>2차로 접한 야적장 주차장, 대형차 진입</t>
        </is>
      </c>
      <c r="L501" s="6">
        <f>HYPERLINK("https://fin.land.naver.com/articles/2650307502", "매물Link")</f>
        <v/>
      </c>
      <c r="M501" s="6">
        <f>HYPERLINK("https://map.naver.com/p/search/남이면 석실리 222-6", "지도Link")</f>
        <v/>
      </c>
      <c r="N501" s="6">
        <f>HYPERLINK("http://www.eum.go.kr/web/ar/lu/luLandDet.jsp?pnu=4311231033102220006&amp;isNoScr=script&amp;mode=search", "토지이음")</f>
        <v/>
      </c>
      <c r="O501" s="3" t="inlineStr">
        <is>
          <t>노블</t>
        </is>
      </c>
      <c r="P501" s="4" t="n">
        <v>1</v>
      </c>
      <c r="Q501" s="4" t="n">
        <v>976</v>
      </c>
      <c r="R501" s="3" t="inlineStr">
        <is>
          <t>지정되지않음</t>
        </is>
      </c>
      <c r="S501" s="3" t="inlineStr">
        <is>
          <t>주거나지</t>
        </is>
      </c>
      <c r="T501" s="3" t="inlineStr">
        <is>
          <t>평지</t>
        </is>
      </c>
      <c r="U501" s="3" t="inlineStr">
        <is>
          <t>부정형</t>
        </is>
      </c>
      <c r="V501" s="3" t="inlineStr">
        <is>
          <t>소로한면</t>
        </is>
      </c>
    </row>
    <row r="502">
      <c r="A502" s="3" t="inlineStr">
        <is>
          <t>남이면 석실리 261</t>
        </is>
      </c>
      <c r="B502" s="3" t="inlineStr">
        <is>
          <t>자연녹지지역</t>
        </is>
      </c>
      <c r="C502" s="3" t="inlineStr">
        <is>
          <t>전</t>
        </is>
      </c>
      <c r="D502" s="3" t="inlineStr">
        <is>
          <t>대</t>
        </is>
      </c>
      <c r="E502" s="3" t="inlineStr">
        <is>
          <t>매매</t>
        </is>
      </c>
      <c r="F502" s="4" t="n">
        <v>15000</v>
      </c>
      <c r="G502" s="4" t="n">
        <v>450</v>
      </c>
      <c r="H502" s="4" t="n">
        <v>136</v>
      </c>
      <c r="I502" s="5" t="n">
        <v>110.3</v>
      </c>
      <c r="J502" s="5" t="n">
        <v>37.9</v>
      </c>
      <c r="K502" s="3" t="inlineStr">
        <is>
          <t>비닐하우스에 전기 .화장실있음.농막사용가능</t>
        </is>
      </c>
      <c r="L502" s="6">
        <f>HYPERLINK("https://fin.land.naver.com/articles/2651478225", "매물Link")</f>
        <v/>
      </c>
      <c r="M502" s="6">
        <f>HYPERLINK("https://map.naver.com/p/search/남이면 석실리 261", "지도Link")</f>
        <v/>
      </c>
      <c r="N502" s="6">
        <f>HYPERLINK("http://www.eum.go.kr/web/ar/lu/luLandDet.jsp?pnu=4311231033102610000&amp;isNoScr=script&amp;mode=search", "토지이음")</f>
        <v/>
      </c>
      <c r="O502" s="3" t="inlineStr">
        <is>
          <t>주공3단지</t>
        </is>
      </c>
      <c r="P502" s="4" t="n">
        <v>1</v>
      </c>
      <c r="Q502" s="4" t="n">
        <v>450</v>
      </c>
      <c r="R502" s="3" t="inlineStr">
        <is>
          <t>지정되지않음</t>
        </is>
      </c>
      <c r="S502" s="3" t="inlineStr">
        <is>
          <t>전</t>
        </is>
      </c>
      <c r="T502" s="3" t="inlineStr">
        <is>
          <t>완경사</t>
        </is>
      </c>
      <c r="U502" s="3" t="inlineStr">
        <is>
          <t>부정형</t>
        </is>
      </c>
      <c r="V502" s="3" t="inlineStr">
        <is>
          <t>세로한면(가)</t>
        </is>
      </c>
    </row>
    <row r="503">
      <c r="A503" s="3" t="inlineStr">
        <is>
          <t>남이면 석실리 339-2</t>
        </is>
      </c>
      <c r="B503" s="3" t="inlineStr">
        <is>
          <t>자연녹지지역</t>
        </is>
      </c>
      <c r="C503" s="3" t="inlineStr">
        <is>
          <t>대</t>
        </is>
      </c>
      <c r="D503" s="3" t="inlineStr">
        <is>
          <t>대</t>
        </is>
      </c>
      <c r="E503" s="3" t="inlineStr">
        <is>
          <t>월세</t>
        </is>
      </c>
      <c r="F503" s="4" t="n">
        <v>1000</v>
      </c>
      <c r="G503" s="4" t="n">
        <v>873</v>
      </c>
      <c r="H503" s="4" t="n">
        <v>264</v>
      </c>
      <c r="I503" s="5" t="n">
        <v>0.5</v>
      </c>
      <c r="J503" s="5" t="n">
        <v>101.7</v>
      </c>
      <c r="K503" s="3" t="inlineStr">
        <is>
          <t>무인운영 천연잔디 애견카페 인테리어 최상 매매도 가능</t>
        </is>
      </c>
      <c r="L503" s="6">
        <f>HYPERLINK("https://fin.land.naver.com/articles/2652477469", "매물Link")</f>
        <v/>
      </c>
      <c r="M503" s="6">
        <f>HYPERLINK("https://map.naver.com/p/search/남이면 석실리 339-2", "지도Link")</f>
        <v/>
      </c>
      <c r="N503" s="6">
        <f>HYPERLINK("http://www.eum.go.kr/web/ar/lu/luLandDet.jsp?pnu=4311231033103390002&amp;isNoScr=script&amp;mode=search", "토지이음")</f>
        <v/>
      </c>
      <c r="O503" s="3" t="inlineStr">
        <is>
          <t>라라랜드  사무소</t>
        </is>
      </c>
      <c r="P503" s="4" t="n">
        <v>1</v>
      </c>
      <c r="Q503" s="4" t="n">
        <v>873</v>
      </c>
      <c r="R503" s="3" t="inlineStr">
        <is>
          <t>지정되지않음</t>
        </is>
      </c>
      <c r="S503" s="3" t="inlineStr">
        <is>
          <t>공업용</t>
        </is>
      </c>
      <c r="T503" s="3" t="inlineStr">
        <is>
          <t>평지</t>
        </is>
      </c>
      <c r="U503" s="3" t="inlineStr">
        <is>
          <t>사다리형</t>
        </is>
      </c>
      <c r="V503" s="3" t="inlineStr">
        <is>
          <t>소로한면</t>
        </is>
      </c>
    </row>
    <row r="504">
      <c r="A504" s="3" t="inlineStr">
        <is>
          <t>남이면 석실리 352-3</t>
        </is>
      </c>
      <c r="B504" s="3" t="inlineStr">
        <is>
          <t>자연녹지지역</t>
        </is>
      </c>
      <c r="C504" s="3" t="inlineStr">
        <is>
          <t>전</t>
        </is>
      </c>
      <c r="D504" s="3" t="inlineStr">
        <is>
          <t>전</t>
        </is>
      </c>
      <c r="E504" s="3" t="inlineStr">
        <is>
          <t>매매</t>
        </is>
      </c>
      <c r="F504" s="4" t="n">
        <v>160000</v>
      </c>
      <c r="G504" s="4" t="n">
        <v>3300</v>
      </c>
      <c r="H504" s="4" t="n">
        <v>998</v>
      </c>
      <c r="I504" s="5" t="n">
        <v>160.3</v>
      </c>
      <c r="J504" s="5" t="n">
        <v>45.2</v>
      </c>
      <c r="K504" s="3" t="inlineStr">
        <is>
          <t>도로 접해있는 활용도 높은 토지</t>
        </is>
      </c>
      <c r="L504" s="6">
        <f>HYPERLINK("https://fin.land.naver.com/articles/2653999246", "매물Link")</f>
        <v/>
      </c>
      <c r="M504" s="6">
        <f>HYPERLINK("https://map.naver.com/p/search/남이면 석실리 352-3", "지도Link")</f>
        <v/>
      </c>
      <c r="N504" s="6">
        <f>HYPERLINK("http://www.eum.go.kr/web/ar/lu/luLandDet.jsp?pnu=4311231033103520003&amp;isNoScr=script&amp;mode=search", "토지이음")</f>
        <v/>
      </c>
      <c r="O504" s="3" t="inlineStr">
        <is>
          <t>오송스타</t>
        </is>
      </c>
      <c r="P504" s="4" t="n">
        <v>1</v>
      </c>
      <c r="Q504" s="4" t="n">
        <v>3300</v>
      </c>
      <c r="R504" s="3" t="inlineStr">
        <is>
          <t>지정되지않음</t>
        </is>
      </c>
      <c r="S504" s="3" t="inlineStr">
        <is>
          <t>전</t>
        </is>
      </c>
      <c r="T504" s="3" t="inlineStr">
        <is>
          <t>평지</t>
        </is>
      </c>
      <c r="U504" s="3" t="inlineStr">
        <is>
          <t>사다리형</t>
        </is>
      </c>
      <c r="V504" s="3" t="inlineStr">
        <is>
          <t>소로한면</t>
        </is>
      </c>
    </row>
    <row r="505">
      <c r="A505" s="3" t="inlineStr">
        <is>
          <t>남이면 석실리 367-3</t>
        </is>
      </c>
      <c r="B505" s="3" t="inlineStr">
        <is>
          <t>자연녹지지역</t>
        </is>
      </c>
      <c r="C505" s="3" t="inlineStr">
        <is>
          <t>답</t>
        </is>
      </c>
      <c r="D505" s="3" t="inlineStr">
        <is>
          <t>답</t>
        </is>
      </c>
      <c r="E505" s="3" t="inlineStr">
        <is>
          <t>매매</t>
        </is>
      </c>
      <c r="F505" s="4" t="n">
        <v>17900</v>
      </c>
      <c r="G505" s="4" t="n">
        <v>1478</v>
      </c>
      <c r="H505" s="4" t="n">
        <v>447</v>
      </c>
      <c r="I505" s="5" t="n">
        <v>40</v>
      </c>
      <c r="J505" s="5" t="n">
        <v>16.6</v>
      </c>
      <c r="K505" s="3" t="inlineStr">
        <is>
          <t>대토용 토지, 주말농장으로 추천. 전기,농막있음</t>
        </is>
      </c>
      <c r="L505" s="6">
        <f>HYPERLINK("https://fin.land.naver.com/articles/2649835083", "매물Link")</f>
        <v/>
      </c>
      <c r="M505" s="6">
        <f>HYPERLINK("https://map.naver.com/p/search/남이면 석실리 367-3", "지도Link")</f>
        <v/>
      </c>
      <c r="N505" s="6">
        <f>HYPERLINK("http://www.eum.go.kr/web/ar/lu/luLandDet.jsp?pnu=4311231033103670003&amp;isNoScr=script&amp;mode=search", "토지이음")</f>
        <v/>
      </c>
      <c r="O505" s="3" t="inlineStr">
        <is>
          <t>소소사무소</t>
        </is>
      </c>
      <c r="P505" s="4" t="n">
        <v>1</v>
      </c>
      <c r="Q505" s="4" t="n">
        <v>1478</v>
      </c>
      <c r="R505" s="3" t="inlineStr">
        <is>
          <t>지정되지않음</t>
        </is>
      </c>
      <c r="S505" s="3" t="inlineStr">
        <is>
          <t>답</t>
        </is>
      </c>
      <c r="T505" s="3" t="inlineStr">
        <is>
          <t>완경사</t>
        </is>
      </c>
      <c r="U505" s="3" t="inlineStr">
        <is>
          <t>부정형</t>
        </is>
      </c>
      <c r="V505" s="3" t="inlineStr">
        <is>
          <t>세로한면(불)</t>
        </is>
      </c>
    </row>
    <row r="506">
      <c r="A506" s="3" t="inlineStr">
        <is>
          <t>남이면 석실리 376</t>
        </is>
      </c>
      <c r="B506" s="3" t="inlineStr">
        <is>
          <t>자연녹지지역</t>
        </is>
      </c>
      <c r="C506" s="3" t="inlineStr">
        <is>
          <t>창고용지</t>
        </is>
      </c>
      <c r="D506" s="3" t="inlineStr">
        <is>
          <t>창고용지</t>
        </is>
      </c>
      <c r="E506" s="3" t="inlineStr">
        <is>
          <t>매매</t>
        </is>
      </c>
      <c r="F506" s="4" t="n">
        <v>230000</v>
      </c>
      <c r="G506" s="4" t="n">
        <v>5728</v>
      </c>
      <c r="H506" s="4" t="n">
        <v>1733</v>
      </c>
      <c r="I506" s="5" t="n">
        <v>132.7</v>
      </c>
      <c r="J506" s="5" t="n">
        <v>51.2</v>
      </c>
      <c r="K506" s="3" t="inlineStr">
        <is>
          <t>남이면 석실리 2차선 도로접한 광고효과 좋은 토지매매</t>
        </is>
      </c>
      <c r="L506" s="6">
        <f>HYPERLINK("https://fin.land.naver.com/articles/2651764275", "매물Link")</f>
        <v/>
      </c>
      <c r="M506" s="6">
        <f>HYPERLINK("https://map.naver.com/p/search/남이면 석실리 376", "지도Link")</f>
        <v/>
      </c>
      <c r="N506" s="6">
        <f>HYPERLINK("http://www.eum.go.kr/web/ar/lu/luLandDet.jsp?pnu=4311231033103760000&amp;isNoScr=script&amp;mode=search", "토지이음")</f>
        <v/>
      </c>
      <c r="O506" s="3" t="inlineStr">
        <is>
          <t>대지</t>
        </is>
      </c>
      <c r="P506" s="4" t="n">
        <v>1</v>
      </c>
      <c r="Q506" s="4" t="n">
        <v>705</v>
      </c>
      <c r="R506" s="3" t="inlineStr">
        <is>
          <t>지정되지않음</t>
        </is>
      </c>
      <c r="S506" s="3" t="inlineStr">
        <is>
          <t>전창고</t>
        </is>
      </c>
      <c r="T506" s="3" t="inlineStr">
        <is>
          <t>평지</t>
        </is>
      </c>
      <c r="U506" s="3" t="inlineStr">
        <is>
          <t>사다리형</t>
        </is>
      </c>
      <c r="V506" s="3" t="inlineStr">
        <is>
          <t>세로한면(가)</t>
        </is>
      </c>
    </row>
    <row r="507">
      <c r="A507" s="3" t="inlineStr">
        <is>
          <t>남이면 석실리 산 2-1</t>
        </is>
      </c>
      <c r="B507" s="3" t="inlineStr">
        <is>
          <t>보전녹지지역</t>
        </is>
      </c>
      <c r="C507" s="3" t="inlineStr">
        <is>
          <t>임야</t>
        </is>
      </c>
      <c r="D507" s="3" t="inlineStr">
        <is>
          <t>전</t>
        </is>
      </c>
      <c r="E507" s="3" t="inlineStr">
        <is>
          <t>매매</t>
        </is>
      </c>
      <c r="F507" s="4" t="n">
        <v>150000</v>
      </c>
      <c r="G507" s="4" t="n">
        <v>4972</v>
      </c>
      <c r="H507" s="4" t="n">
        <v>1504</v>
      </c>
      <c r="I507" s="5" t="n">
        <v>99.7</v>
      </c>
      <c r="J507" s="5" t="n">
        <v>7.6</v>
      </c>
      <c r="K507" s="3" t="inlineStr">
        <is>
          <t>6m도로접,제2종근생제조업 허가득,공장,창고,등 다용도활용가능</t>
        </is>
      </c>
      <c r="L507" s="6">
        <f>HYPERLINK("https://fin.land.naver.com/articles/2651059878", "매물Link")</f>
        <v/>
      </c>
      <c r="M507" s="6">
        <f>HYPERLINK("https://map.naver.com/p/search/남이면 석실리 산 2-1", "지도Link")</f>
        <v/>
      </c>
      <c r="N507" s="6">
        <f>HYPERLINK("http://www.eum.go.kr/web/ar/lu/luLandDet.jsp?pnu=4311231033200020001&amp;isNoScr=script&amp;mode=search", "토지이음")</f>
        <v/>
      </c>
      <c r="O507" s="3" t="inlineStr">
        <is>
          <t>플러스자이합동</t>
        </is>
      </c>
      <c r="P507" s="4" t="n">
        <v>1</v>
      </c>
      <c r="Q507" s="4" t="n">
        <v>20887</v>
      </c>
      <c r="R507" s="3" t="inlineStr">
        <is>
          <t>자연녹지지역</t>
        </is>
      </c>
      <c r="S507" s="3" t="inlineStr">
        <is>
          <t>자연림</t>
        </is>
      </c>
      <c r="T507" s="3" t="inlineStr">
        <is>
          <t>급경사</t>
        </is>
      </c>
      <c r="U507" s="3" t="inlineStr">
        <is>
          <t>부정형</t>
        </is>
      </c>
      <c r="V507" s="3" t="inlineStr">
        <is>
          <t>세로한면(불)</t>
        </is>
      </c>
    </row>
    <row r="508">
      <c r="A508" s="3" t="inlineStr">
        <is>
          <t>남이면 석실리 산 78-8</t>
        </is>
      </c>
      <c r="B508" s="3" t="inlineStr">
        <is>
          <t>보전녹지지역</t>
        </is>
      </c>
      <c r="C508" s="3" t="inlineStr">
        <is>
          <t>임야</t>
        </is>
      </c>
      <c r="D508" s="3" t="inlineStr">
        <is>
          <t>임야</t>
        </is>
      </c>
      <c r="E508" s="3" t="inlineStr">
        <is>
          <t>매매</t>
        </is>
      </c>
      <c r="F508" s="4" t="n">
        <v>305000</v>
      </c>
      <c r="G508" s="4" t="n">
        <v>6740</v>
      </c>
      <c r="H508" s="4" t="n">
        <v>2039</v>
      </c>
      <c r="I508" s="5" t="n">
        <v>149.6</v>
      </c>
      <c r="J508" s="5" t="n">
        <v>2.4</v>
      </c>
      <c r="K508" s="3" t="inlineStr">
        <is>
          <t>nan</t>
        </is>
      </c>
      <c r="L508" s="6">
        <f>HYPERLINK("https://fin.land.naver.com/articles/2652140110", "매물Link")</f>
        <v/>
      </c>
      <c r="M508" s="6">
        <f>HYPERLINK("https://map.naver.com/p/search/남이면 석실리 산 78-8", "지도Link")</f>
        <v/>
      </c>
      <c r="N508" s="6">
        <f>HYPERLINK("http://www.eum.go.kr/web/ar/lu/luLandDet.jsp?pnu=4311231033200780008&amp;isNoScr=script&amp;mode=search", "토지이음")</f>
        <v/>
      </c>
      <c r="O508" s="3" t="inlineStr">
        <is>
          <t>정</t>
        </is>
      </c>
      <c r="P508" s="4" t="n">
        <v>1</v>
      </c>
      <c r="Q508" s="4" t="n">
        <v>3770</v>
      </c>
      <c r="R508" s="3" t="inlineStr">
        <is>
          <t>지정되지않음</t>
        </is>
      </c>
      <c r="S508" s="3" t="inlineStr">
        <is>
          <t>자연림</t>
        </is>
      </c>
      <c r="T508" s="3" t="inlineStr">
        <is>
          <t>완경사</t>
        </is>
      </c>
      <c r="U508" s="3" t="inlineStr">
        <is>
          <t>부정형</t>
        </is>
      </c>
      <c r="V508" s="3" t="inlineStr">
        <is>
          <t>소로한면</t>
        </is>
      </c>
    </row>
    <row r="509">
      <c r="A509" s="3" t="inlineStr">
        <is>
          <t>남이면 석실리 산78-7</t>
        </is>
      </c>
      <c r="B509" s="3" t="inlineStr">
        <is>
          <t>보전녹지지역</t>
        </is>
      </c>
      <c r="C509" s="3" t="inlineStr">
        <is>
          <t>임야</t>
        </is>
      </c>
      <c r="D509" s="3" t="inlineStr">
        <is>
          <t>임야</t>
        </is>
      </c>
      <c r="E509" s="3" t="inlineStr">
        <is>
          <t>매매</t>
        </is>
      </c>
      <c r="F509" s="4" t="n">
        <v>200000</v>
      </c>
      <c r="G509" s="4" t="n">
        <v>4238</v>
      </c>
      <c r="H509" s="4" t="n">
        <v>1282</v>
      </c>
      <c r="I509" s="5" t="n">
        <v>156</v>
      </c>
      <c r="J509" s="5" t="n">
        <v>2.5</v>
      </c>
      <c r="K509" s="3" t="inlineStr">
        <is>
          <t>청주시 서원구 남이면 석실리 2차선도로변토지매매</t>
        </is>
      </c>
      <c r="L509" s="6">
        <f>HYPERLINK("https://fin.land.naver.com/articles/2650376518", "매물Link")</f>
        <v/>
      </c>
      <c r="M509" s="6">
        <f>HYPERLINK("https://map.naver.com/p/search/남이면 석실리 산78-7", "지도Link")</f>
        <v/>
      </c>
      <c r="N509" s="6">
        <f>HYPERLINK("http://www.eum.go.kr/web/ar/lu/luLandDet.jsp?pnu=4311231033200780007&amp;isNoScr=script&amp;mode=search", "토지이음")</f>
        <v/>
      </c>
      <c r="O509" s="3" t="inlineStr">
        <is>
          <t>충대</t>
        </is>
      </c>
      <c r="P509" s="4" t="n">
        <v>1</v>
      </c>
      <c r="Q509" s="4" t="n">
        <v>2185</v>
      </c>
      <c r="R509" s="3" t="inlineStr">
        <is>
          <t>지정되지않음</t>
        </is>
      </c>
      <c r="S509" s="3" t="inlineStr">
        <is>
          <t>자연림</t>
        </is>
      </c>
      <c r="T509" s="3" t="inlineStr">
        <is>
          <t>완경사</t>
        </is>
      </c>
      <c r="U509" s="3" t="inlineStr">
        <is>
          <t>부정형</t>
        </is>
      </c>
      <c r="V509" s="3" t="inlineStr">
        <is>
          <t>소로한면</t>
        </is>
      </c>
    </row>
    <row r="510">
      <c r="A510" s="3" t="inlineStr">
        <is>
          <t>남이면 석판리 129-1</t>
        </is>
      </c>
      <c r="B510" s="3" t="inlineStr">
        <is>
          <t>자연녹지지역</t>
        </is>
      </c>
      <c r="C510" s="3" t="inlineStr">
        <is>
          <t>답</t>
        </is>
      </c>
      <c r="D510" s="3" t="inlineStr">
        <is>
          <t>답</t>
        </is>
      </c>
      <c r="E510" s="3" t="inlineStr">
        <is>
          <t>매매</t>
        </is>
      </c>
      <c r="F510" s="4" t="n">
        <v>88000</v>
      </c>
      <c r="G510" s="4" t="n">
        <v>1007</v>
      </c>
      <c r="H510" s="4" t="n">
        <v>305</v>
      </c>
      <c r="I510" s="5" t="n">
        <v>288.5</v>
      </c>
      <c r="J510" s="5" t="n">
        <v>47.5</v>
      </c>
      <c r="K510" s="3" t="inlineStr">
        <is>
          <t>사진有 석판리 2차선 도로옆 토지매매 공장창고 상가건물 추천</t>
        </is>
      </c>
      <c r="L510" s="6">
        <f>HYPERLINK("https://fin.land.naver.com/articles/2653063879", "매물Link")</f>
        <v/>
      </c>
      <c r="M510" s="6">
        <f>HYPERLINK("https://map.naver.com/p/search/남이면 석판리 129-1", "지도Link")</f>
        <v/>
      </c>
      <c r="N510" s="6">
        <f>HYPERLINK("http://www.eum.go.kr/web/ar/lu/luLandDet.jsp?pnu=4311231034101290001&amp;isNoScr=script&amp;mode=search", "토지이음")</f>
        <v/>
      </c>
      <c r="O510" s="3" t="inlineStr">
        <is>
          <t>행복도시</t>
        </is>
      </c>
      <c r="P510" s="4" t="n">
        <v>1</v>
      </c>
      <c r="Q510" s="4" t="n">
        <v>562</v>
      </c>
      <c r="R510" s="3" t="inlineStr">
        <is>
          <t>지정되지않음</t>
        </is>
      </c>
      <c r="S510" s="3" t="inlineStr">
        <is>
          <t>답</t>
        </is>
      </c>
      <c r="T510" s="3" t="inlineStr">
        <is>
          <t>평지</t>
        </is>
      </c>
      <c r="U510" s="3" t="inlineStr">
        <is>
          <t>부정형</t>
        </is>
      </c>
      <c r="V510" s="3" t="inlineStr">
        <is>
          <t>세로한면(가)</t>
        </is>
      </c>
    </row>
    <row r="511">
      <c r="A511" s="3" t="inlineStr">
        <is>
          <t>남이면 석판리 131-1</t>
        </is>
      </c>
      <c r="B511" s="3" t="inlineStr">
        <is>
          <t>자연녹지지역</t>
        </is>
      </c>
      <c r="C511" s="3" t="inlineStr">
        <is>
          <t>답</t>
        </is>
      </c>
      <c r="D511" s="3" t="inlineStr">
        <is>
          <t>답</t>
        </is>
      </c>
      <c r="E511" s="3" t="inlineStr">
        <is>
          <t>매매</t>
        </is>
      </c>
      <c r="F511" s="4" t="n">
        <v>403000</v>
      </c>
      <c r="G511" s="4" t="n">
        <v>5795</v>
      </c>
      <c r="H511" s="4" t="n">
        <v>1753</v>
      </c>
      <c r="I511" s="5" t="n">
        <v>229.9</v>
      </c>
      <c r="J511" s="5" t="n">
        <v>47.5</v>
      </c>
      <c r="K511" s="3" t="inlineStr">
        <is>
          <t>2차선도로접 성토완료 4필지매매 시세이하 투자및 공장추천</t>
        </is>
      </c>
      <c r="L511" s="6">
        <f>HYPERLINK("https://fin.land.naver.com/articles/2654056470", "매물Link")</f>
        <v/>
      </c>
      <c r="M511" s="6">
        <f>HYPERLINK("https://map.naver.com/p/search/남이면 석판리 131-1", "지도Link")</f>
        <v/>
      </c>
      <c r="N511" s="6">
        <f>HYPERLINK("http://www.eum.go.kr/web/ar/lu/luLandDet.jsp?pnu=4311231034101310001&amp;isNoScr=script&amp;mode=search", "토지이음")</f>
        <v/>
      </c>
      <c r="O511" s="3" t="inlineStr">
        <is>
          <t>플러스태양</t>
        </is>
      </c>
      <c r="P511" s="4" t="n">
        <v>1</v>
      </c>
      <c r="Q511" s="4" t="n">
        <v>1854</v>
      </c>
      <c r="R511" s="3" t="inlineStr">
        <is>
          <t>지정되지않음</t>
        </is>
      </c>
      <c r="S511" s="3" t="inlineStr">
        <is>
          <t>답</t>
        </is>
      </c>
      <c r="T511" s="3" t="inlineStr">
        <is>
          <t>평지</t>
        </is>
      </c>
      <c r="U511" s="3" t="inlineStr">
        <is>
          <t>부정형</t>
        </is>
      </c>
      <c r="V511" s="3" t="inlineStr">
        <is>
          <t>세로한면(가)</t>
        </is>
      </c>
    </row>
    <row r="512">
      <c r="A512" s="3" t="inlineStr">
        <is>
          <t>남이면 석판리 139-5</t>
        </is>
      </c>
      <c r="B512" s="3" t="inlineStr">
        <is>
          <t>자연녹지지역</t>
        </is>
      </c>
      <c r="C512" s="3" t="inlineStr">
        <is>
          <t>대</t>
        </is>
      </c>
      <c r="D512" s="3" t="inlineStr">
        <is>
          <t>답</t>
        </is>
      </c>
      <c r="E512" s="3" t="inlineStr">
        <is>
          <t>매매</t>
        </is>
      </c>
      <c r="F512" s="4" t="n">
        <v>438000</v>
      </c>
      <c r="G512" s="4" t="n">
        <v>5791</v>
      </c>
      <c r="H512" s="4" t="n">
        <v>1752</v>
      </c>
      <c r="I512" s="5" t="n">
        <v>250</v>
      </c>
      <c r="J512" s="5" t="n">
        <v>116.5</v>
      </c>
      <c r="K512" s="3" t="inlineStr">
        <is>
          <t>돈되는 투자처 모든 개발호재 독식 석판리 제2종근생 제조 개발허가득</t>
        </is>
      </c>
      <c r="L512" s="6">
        <f>HYPERLINK("https://fin.land.naver.com/articles/2652823732", "매물Link")</f>
        <v/>
      </c>
      <c r="M512" s="6">
        <f>HYPERLINK("https://map.naver.com/p/search/남이면 석판리 139-5", "지도Link")</f>
        <v/>
      </c>
      <c r="N512" s="6">
        <f>HYPERLINK("http://www.eum.go.kr/web/ar/lu/luLandDet.jsp?pnu=4311231034101390005&amp;isNoScr=script&amp;mode=search", "토지이음")</f>
        <v/>
      </c>
      <c r="O512" s="3" t="inlineStr">
        <is>
          <t>그랜드사무소</t>
        </is>
      </c>
      <c r="P512" s="4" t="n">
        <v>1</v>
      </c>
      <c r="Q512" s="4" t="n">
        <v>3120</v>
      </c>
      <c r="R512" s="3" t="inlineStr">
        <is>
          <t>지정되지않음</t>
        </is>
      </c>
      <c r="S512" s="3" t="inlineStr">
        <is>
          <t>주상기타</t>
        </is>
      </c>
      <c r="T512" s="3" t="inlineStr">
        <is>
          <t>평지</t>
        </is>
      </c>
      <c r="U512" s="3" t="inlineStr">
        <is>
          <t>부정형</t>
        </is>
      </c>
      <c r="V512" s="3" t="inlineStr">
        <is>
          <t>세로한면(가)</t>
        </is>
      </c>
    </row>
    <row r="513">
      <c r="A513" s="3" t="inlineStr">
        <is>
          <t>남이면 석판리 222</t>
        </is>
      </c>
      <c r="B513" s="3" t="inlineStr">
        <is>
          <t>자연녹지지역</t>
        </is>
      </c>
      <c r="C513" s="3" t="inlineStr">
        <is>
          <t>답</t>
        </is>
      </c>
      <c r="D513" s="3" t="inlineStr">
        <is>
          <t>답</t>
        </is>
      </c>
      <c r="E513" s="3" t="inlineStr">
        <is>
          <t>매매</t>
        </is>
      </c>
      <c r="F513" s="4" t="n">
        <v>17000</v>
      </c>
      <c r="G513" s="4" t="n">
        <v>420</v>
      </c>
      <c r="H513" s="4" t="n">
        <v>127</v>
      </c>
      <c r="I513" s="5" t="n">
        <v>133.9</v>
      </c>
      <c r="J513" s="5" t="n">
        <v>38.7</v>
      </c>
      <c r="K513" s="3" t="inlineStr">
        <is>
          <t>밭, 포장도로 접, 가격 절충, 주말농장 하다가 전원주택 지을 분 환영</t>
        </is>
      </c>
      <c r="L513" s="6">
        <f>HYPERLINK("https://fin.land.naver.com/articles/2649852025", "매물Link")</f>
        <v/>
      </c>
      <c r="M513" s="6">
        <f>HYPERLINK("https://map.naver.com/p/search/남이면 석판리 222", "지도Link")</f>
        <v/>
      </c>
      <c r="N513" s="6">
        <f>HYPERLINK("http://www.eum.go.kr/web/ar/lu/luLandDet.jsp?pnu=4311231034102220000&amp;isNoScr=script&amp;mode=search", "토지이음")</f>
        <v/>
      </c>
      <c r="O513" s="3" t="inlineStr">
        <is>
          <t>큰터</t>
        </is>
      </c>
      <c r="P513" s="4" t="n">
        <v>1</v>
      </c>
      <c r="Q513" s="4" t="n">
        <v>420</v>
      </c>
      <c r="R513" s="3" t="inlineStr">
        <is>
          <t>지정되지않음</t>
        </is>
      </c>
      <c r="S513" s="3" t="inlineStr">
        <is>
          <t>답</t>
        </is>
      </c>
      <c r="T513" s="3" t="inlineStr">
        <is>
          <t>완경사</t>
        </is>
      </c>
      <c r="U513" s="3" t="inlineStr">
        <is>
          <t>부정형</t>
        </is>
      </c>
      <c r="V513" s="3" t="inlineStr">
        <is>
          <t>세로한면(불)</t>
        </is>
      </c>
    </row>
    <row r="514">
      <c r="A514" s="3" t="inlineStr">
        <is>
          <t>남이면 석판리 248-1</t>
        </is>
      </c>
      <c r="B514" s="3" t="inlineStr">
        <is>
          <t>자연녹지지역</t>
        </is>
      </c>
      <c r="C514" s="3" t="inlineStr">
        <is>
          <t>전</t>
        </is>
      </c>
      <c r="D514" s="3" t="inlineStr">
        <is>
          <t>전</t>
        </is>
      </c>
      <c r="E514" s="3" t="inlineStr">
        <is>
          <t>매매</t>
        </is>
      </c>
      <c r="F514" s="4" t="n">
        <v>49600</v>
      </c>
      <c r="G514" s="4" t="n">
        <v>1364</v>
      </c>
      <c r="H514" s="4" t="n">
        <v>413</v>
      </c>
      <c r="I514" s="5" t="n">
        <v>120.1</v>
      </c>
      <c r="J514" s="5" t="n">
        <v>23.1</v>
      </c>
      <c r="K514" s="3" t="inlineStr">
        <is>
          <t>nan</t>
        </is>
      </c>
      <c r="L514" s="6">
        <f>HYPERLINK("https://fin.land.naver.com/articles/2651049567", "매물Link")</f>
        <v/>
      </c>
      <c r="M514" s="6">
        <f>HYPERLINK("https://map.naver.com/p/search/남이면 석판리 248-1", "지도Link")</f>
        <v/>
      </c>
      <c r="N514" s="6">
        <f>HYPERLINK("http://www.eum.go.kr/web/ar/lu/luLandDet.jsp?pnu=4311231034102480001&amp;isNoScr=script&amp;mode=search", "토지이음")</f>
        <v/>
      </c>
      <c r="O514" s="3" t="inlineStr">
        <is>
          <t>오송파라곤하늘</t>
        </is>
      </c>
      <c r="P514" s="4" t="n">
        <v>1</v>
      </c>
      <c r="Q514" s="4" t="n">
        <v>1364.4</v>
      </c>
      <c r="R514" s="3" t="inlineStr">
        <is>
          <t>보전녹지지역</t>
        </is>
      </c>
      <c r="S514" s="3" t="inlineStr">
        <is>
          <t>전</t>
        </is>
      </c>
      <c r="T514" s="3" t="inlineStr">
        <is>
          <t>급경사</t>
        </is>
      </c>
      <c r="U514" s="3" t="inlineStr">
        <is>
          <t>부정형</t>
        </is>
      </c>
      <c r="V514" s="3" t="inlineStr">
        <is>
          <t>맹지</t>
        </is>
      </c>
    </row>
    <row r="515">
      <c r="A515" s="3" t="inlineStr">
        <is>
          <t>남이면 석판리 26-1</t>
        </is>
      </c>
      <c r="B515" s="3" t="inlineStr">
        <is>
          <t>자연녹지지역</t>
        </is>
      </c>
      <c r="C515" s="3" t="inlineStr">
        <is>
          <t>잡종지</t>
        </is>
      </c>
      <c r="D515" s="3" t="inlineStr">
        <is>
          <t>잡종지</t>
        </is>
      </c>
      <c r="E515" s="3" t="inlineStr">
        <is>
          <t>매매</t>
        </is>
      </c>
      <c r="F515" s="4" t="n">
        <v>169400</v>
      </c>
      <c r="G515" s="4" t="n">
        <v>1600</v>
      </c>
      <c r="H515" s="4" t="n">
        <v>484</v>
      </c>
      <c r="I515" s="5" t="n">
        <v>350</v>
      </c>
      <c r="J515" s="5" t="n">
        <v>140.4</v>
      </c>
      <c r="K515" s="3" t="inlineStr">
        <is>
          <t>석판리 대로변 토지 매매 .광고효과 최고</t>
        </is>
      </c>
      <c r="L515" s="6">
        <f>HYPERLINK("https://fin.land.naver.com/articles/2653458319", "매물Link")</f>
        <v/>
      </c>
      <c r="M515" s="6">
        <f>HYPERLINK("https://map.naver.com/p/search/남이면 석판리 26-1", "지도Link")</f>
        <v/>
      </c>
      <c r="N515" s="6">
        <f>HYPERLINK("http://www.eum.go.kr/web/ar/lu/luLandDet.jsp?pnu=4311231034100260001&amp;isNoScr=script&amp;mode=search", "토지이음")</f>
        <v/>
      </c>
      <c r="O515" s="3" t="inlineStr">
        <is>
          <t>방서에이스</t>
        </is>
      </c>
      <c r="P515" s="4" t="n">
        <v>1</v>
      </c>
      <c r="Q515" s="4" t="n">
        <v>660</v>
      </c>
      <c r="R515" s="3" t="inlineStr">
        <is>
          <t>지정되지않음</t>
        </is>
      </c>
      <c r="S515" s="3" t="inlineStr">
        <is>
          <t>상업용</t>
        </is>
      </c>
      <c r="T515" s="3" t="inlineStr">
        <is>
          <t>평지</t>
        </is>
      </c>
      <c r="U515" s="3" t="inlineStr">
        <is>
          <t>부정형</t>
        </is>
      </c>
      <c r="V515" s="3" t="inlineStr">
        <is>
          <t>소로한면</t>
        </is>
      </c>
    </row>
    <row r="516">
      <c r="A516" s="3" t="inlineStr">
        <is>
          <t>남이면 석판리 3-1</t>
        </is>
      </c>
      <c r="B516" s="3" t="inlineStr">
        <is>
          <t>자연녹지지역</t>
        </is>
      </c>
      <c r="C516" s="3" t="inlineStr">
        <is>
          <t>대</t>
        </is>
      </c>
      <c r="D516" s="3" t="inlineStr">
        <is>
          <t>대</t>
        </is>
      </c>
      <c r="E516" s="3" t="inlineStr">
        <is>
          <t>매매</t>
        </is>
      </c>
      <c r="F516" s="4" t="n">
        <v>220000</v>
      </c>
      <c r="G516" s="4" t="n">
        <v>1462</v>
      </c>
      <c r="H516" s="4" t="n">
        <v>442</v>
      </c>
      <c r="I516" s="5" t="n">
        <v>497.7</v>
      </c>
      <c r="J516" s="5" t="n">
        <v>210</v>
      </c>
      <c r="K516" s="3" t="inlineStr">
        <is>
          <t>2종 근생건물 토지 제조업 허가 매매 향후 투자가치 좋음</t>
        </is>
      </c>
      <c r="L516" s="6">
        <f>HYPERLINK("https://fin.land.naver.com/articles/2652729659", "매물Link")</f>
        <v/>
      </c>
      <c r="M516" s="6">
        <f>HYPERLINK("https://map.naver.com/p/search/남이면 석판리 3-1", "지도Link")</f>
        <v/>
      </c>
      <c r="N516" s="6">
        <f>HYPERLINK("http://www.eum.go.kr/web/ar/lu/luLandDet.jsp?pnu=4311231034100030001&amp;isNoScr=script&amp;mode=search", "토지이음")</f>
        <v/>
      </c>
      <c r="O516" s="3" t="inlineStr">
        <is>
          <t>반석</t>
        </is>
      </c>
      <c r="P516" s="4" t="n">
        <v>1</v>
      </c>
      <c r="Q516" s="4" t="n">
        <v>1462</v>
      </c>
      <c r="R516" s="3" t="inlineStr">
        <is>
          <t>지정되지않음</t>
        </is>
      </c>
      <c r="S516" s="3" t="inlineStr">
        <is>
          <t>상업기타</t>
        </is>
      </c>
      <c r="T516" s="3" t="inlineStr">
        <is>
          <t>평지</t>
        </is>
      </c>
      <c r="U516" s="3" t="inlineStr">
        <is>
          <t>부정형</t>
        </is>
      </c>
      <c r="V516" s="3" t="inlineStr">
        <is>
          <t>중로한면</t>
        </is>
      </c>
    </row>
    <row r="517">
      <c r="A517" s="3" t="inlineStr">
        <is>
          <t>남이면 석판리 313-2</t>
        </is>
      </c>
      <c r="B517" s="3" t="inlineStr">
        <is>
          <t>자연녹지지역</t>
        </is>
      </c>
      <c r="C517" s="3" t="inlineStr">
        <is>
          <t>답</t>
        </is>
      </c>
      <c r="D517" s="3" t="inlineStr">
        <is>
          <t>답</t>
        </is>
      </c>
      <c r="E517" s="3" t="inlineStr">
        <is>
          <t>매매</t>
        </is>
      </c>
      <c r="F517" s="4" t="n">
        <v>70000</v>
      </c>
      <c r="G517" s="4" t="n">
        <v>2014</v>
      </c>
      <c r="H517" s="4" t="n">
        <v>609</v>
      </c>
      <c r="I517" s="5" t="n">
        <v>114.9</v>
      </c>
      <c r="J517" s="5" t="n">
        <v>49.9</v>
      </c>
      <c r="K517" s="3" t="inlineStr">
        <is>
          <t>nan</t>
        </is>
      </c>
      <c r="L517" s="6">
        <f>HYPERLINK("https://fin.land.naver.com/articles/2649701405", "매물Link")</f>
        <v/>
      </c>
      <c r="M517" s="6">
        <f>HYPERLINK("https://map.naver.com/p/search/남이면 석판리 313-2", "지도Link")</f>
        <v/>
      </c>
      <c r="N517" s="6">
        <f>HYPERLINK("http://www.eum.go.kr/web/ar/lu/luLandDet.jsp?pnu=4311231034103130002&amp;isNoScr=script&amp;mode=search", "토지이음")</f>
        <v/>
      </c>
      <c r="O517" s="3" t="inlineStr">
        <is>
          <t>일품</t>
        </is>
      </c>
      <c r="P517" s="4" t="n">
        <v>1</v>
      </c>
      <c r="Q517" s="4" t="n">
        <v>2014.9</v>
      </c>
      <c r="R517" s="3" t="inlineStr">
        <is>
          <t>지정되지않음</t>
        </is>
      </c>
      <c r="S517" s="3" t="inlineStr">
        <is>
          <t>답</t>
        </is>
      </c>
      <c r="T517" s="3" t="inlineStr">
        <is>
          <t>평지</t>
        </is>
      </c>
      <c r="U517" s="3" t="inlineStr">
        <is>
          <t>사다리형</t>
        </is>
      </c>
      <c r="V517" s="3" t="inlineStr">
        <is>
          <t>세로한면(가)</t>
        </is>
      </c>
    </row>
    <row r="518">
      <c r="A518" s="3" t="inlineStr">
        <is>
          <t>남이면 석판리 354-1</t>
        </is>
      </c>
      <c r="B518" s="3" t="inlineStr">
        <is>
          <t>자연녹지지역</t>
        </is>
      </c>
      <c r="C518" s="3" t="inlineStr">
        <is>
          <t>전</t>
        </is>
      </c>
      <c r="D518" s="3" t="inlineStr">
        <is>
          <t>전</t>
        </is>
      </c>
      <c r="E518" s="3" t="inlineStr">
        <is>
          <t>매매</t>
        </is>
      </c>
      <c r="F518" s="4" t="n">
        <v>77000</v>
      </c>
      <c r="G518" s="4" t="n">
        <v>3266</v>
      </c>
      <c r="H518" s="4" t="n">
        <v>988</v>
      </c>
      <c r="I518" s="5" t="n">
        <v>77.90000000000001</v>
      </c>
      <c r="J518" s="5" t="n">
        <v>34.9</v>
      </c>
      <c r="K518" s="3" t="inlineStr">
        <is>
          <t>nan</t>
        </is>
      </c>
      <c r="L518" s="6">
        <f>HYPERLINK("https://fin.land.naver.com/articles/2649525018", "매물Link")</f>
        <v/>
      </c>
      <c r="M518" s="6">
        <f>HYPERLINK("https://map.naver.com/p/search/남이면 석판리 354-1", "지도Link")</f>
        <v/>
      </c>
      <c r="N518" s="6">
        <f>HYPERLINK("http://www.eum.go.kr/web/ar/lu/luLandDet.jsp?pnu=4311231034103540001&amp;isNoScr=script&amp;mode=search", "토지이음")</f>
        <v/>
      </c>
      <c r="O518" s="3" t="inlineStr">
        <is>
          <t>일등</t>
        </is>
      </c>
      <c r="P518" s="4" t="n">
        <v>1</v>
      </c>
      <c r="Q518" s="4" t="n">
        <v>3266</v>
      </c>
      <c r="R518" s="3" t="inlineStr">
        <is>
          <t>지정되지않음</t>
        </is>
      </c>
      <c r="S518" s="3" t="inlineStr">
        <is>
          <t>전</t>
        </is>
      </c>
      <c r="T518" s="3" t="inlineStr">
        <is>
          <t>완경사</t>
        </is>
      </c>
      <c r="U518" s="3" t="inlineStr">
        <is>
          <t>사다리형</t>
        </is>
      </c>
      <c r="V518" s="3" t="inlineStr">
        <is>
          <t>세로한면(불)</t>
        </is>
      </c>
    </row>
    <row r="519">
      <c r="A519" s="3" t="inlineStr">
        <is>
          <t>남이면 석판리 61</t>
        </is>
      </c>
      <c r="B519" s="3" t="inlineStr">
        <is>
          <t>자연녹지지역</t>
        </is>
      </c>
      <c r="C519" s="3" t="inlineStr">
        <is>
          <t>전</t>
        </is>
      </c>
      <c r="D519" s="3" t="inlineStr">
        <is>
          <t>전</t>
        </is>
      </c>
      <c r="E519" s="3" t="inlineStr">
        <is>
          <t>매매</t>
        </is>
      </c>
      <c r="F519" s="4" t="n">
        <v>45000</v>
      </c>
      <c r="G519" s="4" t="n">
        <v>946</v>
      </c>
      <c r="H519" s="4" t="n">
        <v>286</v>
      </c>
      <c r="I519" s="5" t="n">
        <v>157.3</v>
      </c>
      <c r="J519" s="5" t="n">
        <v>56.9</v>
      </c>
      <c r="K519" s="3" t="inlineStr">
        <is>
          <t>석판리 전원주택지 매매. 도로접.코너위치. 접근성 좋아요.</t>
        </is>
      </c>
      <c r="L519" s="6">
        <f>HYPERLINK("https://fin.land.naver.com/articles/2653458772", "매물Link")</f>
        <v/>
      </c>
      <c r="M519" s="6">
        <f>HYPERLINK("https://map.naver.com/p/search/남이면 석판리 61", "지도Link")</f>
        <v/>
      </c>
      <c r="N519" s="6">
        <f>HYPERLINK("http://www.eum.go.kr/web/ar/lu/luLandDet.jsp?pnu=4311231034100610000&amp;isNoScr=script&amp;mode=search", "토지이음")</f>
        <v/>
      </c>
      <c r="O519" s="3" t="inlineStr">
        <is>
          <t>방서에이스</t>
        </is>
      </c>
      <c r="P519" s="4" t="n">
        <v>3</v>
      </c>
      <c r="Q519" s="4" t="n">
        <v>946</v>
      </c>
      <c r="R519" s="3" t="inlineStr">
        <is>
          <t>지정되지않음</t>
        </is>
      </c>
      <c r="S519" s="3" t="inlineStr">
        <is>
          <t>전</t>
        </is>
      </c>
      <c r="T519" s="3" t="inlineStr">
        <is>
          <t>평지</t>
        </is>
      </c>
      <c r="U519" s="3" t="inlineStr">
        <is>
          <t>부정형</t>
        </is>
      </c>
      <c r="V519" s="3" t="inlineStr">
        <is>
          <t>세로한면(가)</t>
        </is>
      </c>
    </row>
    <row r="520">
      <c r="A520" s="3" t="inlineStr">
        <is>
          <t>남이면 석판리 산22-6</t>
        </is>
      </c>
      <c r="B520" s="3" t="inlineStr">
        <is>
          <t>자연녹지지역</t>
        </is>
      </c>
      <c r="C520" s="3" t="inlineStr">
        <is>
          <t>임야</t>
        </is>
      </c>
      <c r="D520" s="3" t="inlineStr">
        <is>
          <t>임야</t>
        </is>
      </c>
      <c r="E520" s="3" t="inlineStr">
        <is>
          <t>매매</t>
        </is>
      </c>
      <c r="F520" s="4" t="n">
        <v>25400</v>
      </c>
      <c r="G520" s="4" t="n">
        <v>560</v>
      </c>
      <c r="H520" s="4" t="n">
        <v>169</v>
      </c>
      <c r="I520" s="5" t="n">
        <v>150.3</v>
      </c>
      <c r="J520" s="5" t="n">
        <v>22.9</v>
      </c>
      <c r="K520" s="3" t="inlineStr">
        <is>
          <t>허가득한 토지로 바로 건축가능합니다.</t>
        </is>
      </c>
      <c r="L520" s="6">
        <f>HYPERLINK("https://fin.land.naver.com/articles/2651705689", "매물Link")</f>
        <v/>
      </c>
      <c r="M520" s="6">
        <f>HYPERLINK("https://map.naver.com/p/search/남이면 석판리 산22-6", "지도Link")</f>
        <v/>
      </c>
      <c r="N520" s="6">
        <f>HYPERLINK("http://www.eum.go.kr/web/ar/lu/luLandDet.jsp?pnu=4311231034200220006&amp;isNoScr=script&amp;mode=search", "토지이음")</f>
        <v/>
      </c>
      <c r="O520" s="3" t="inlineStr">
        <is>
          <t>터사랑</t>
        </is>
      </c>
      <c r="P520" s="4" t="n">
        <v>1</v>
      </c>
      <c r="Q520" s="4" t="n">
        <v>498</v>
      </c>
      <c r="R520" s="3" t="inlineStr">
        <is>
          <t>지정되지않음</t>
        </is>
      </c>
      <c r="S520" s="3" t="inlineStr">
        <is>
          <t>자연림</t>
        </is>
      </c>
      <c r="T520" s="3" t="inlineStr">
        <is>
          <t>완경사</t>
        </is>
      </c>
      <c r="U520" s="3" t="inlineStr">
        <is>
          <t>사다리형</t>
        </is>
      </c>
      <c r="V520" s="3" t="inlineStr">
        <is>
          <t>세로한면(가)</t>
        </is>
      </c>
    </row>
    <row r="521">
      <c r="A521" s="3" t="inlineStr">
        <is>
          <t>남이면 석판리 산22-9</t>
        </is>
      </c>
      <c r="B521" s="3" t="inlineStr">
        <is>
          <t>자연녹지지역</t>
        </is>
      </c>
      <c r="C521" s="3" t="inlineStr">
        <is>
          <t>임야</t>
        </is>
      </c>
      <c r="D521" s="3" t="inlineStr">
        <is>
          <t>임야</t>
        </is>
      </c>
      <c r="E521" s="3" t="inlineStr">
        <is>
          <t>매매</t>
        </is>
      </c>
      <c r="F521" s="4" t="n">
        <v>25900</v>
      </c>
      <c r="G521" s="4" t="n">
        <v>560</v>
      </c>
      <c r="H521" s="4" t="n">
        <v>169</v>
      </c>
      <c r="I521" s="5" t="n">
        <v>153.3</v>
      </c>
      <c r="J521" s="5" t="n">
        <v>22.9</v>
      </c>
      <c r="K521" s="3" t="inlineStr">
        <is>
          <t>석판리 전원주택지, 토목공사 완료, 바로건축가능</t>
        </is>
      </c>
      <c r="L521" s="6">
        <f>HYPERLINK("https://fin.land.naver.com/articles/2649893068", "매물Link")</f>
        <v/>
      </c>
      <c r="M521" s="6">
        <f>HYPERLINK("https://map.naver.com/p/search/남이면 석판리 산22-9", "지도Link")</f>
        <v/>
      </c>
      <c r="N521" s="6">
        <f>HYPERLINK("http://www.eum.go.kr/web/ar/lu/luLandDet.jsp?pnu=4311231034200220009&amp;isNoScr=script&amp;mode=search", "토지이음")</f>
        <v/>
      </c>
      <c r="O521" s="3" t="inlineStr">
        <is>
          <t>플러스자이합동</t>
        </is>
      </c>
      <c r="P521" s="4" t="n">
        <v>1</v>
      </c>
      <c r="Q521" s="4" t="n">
        <v>499</v>
      </c>
      <c r="R521" s="3" t="inlineStr">
        <is>
          <t>지정되지않음</t>
        </is>
      </c>
      <c r="S521" s="3" t="inlineStr">
        <is>
          <t>임야기타</t>
        </is>
      </c>
      <c r="T521" s="3" t="inlineStr">
        <is>
          <t>완경사</t>
        </is>
      </c>
      <c r="U521" s="3" t="inlineStr">
        <is>
          <t>사다리형</t>
        </is>
      </c>
      <c r="V521" s="3" t="inlineStr">
        <is>
          <t>세로한면(가)</t>
        </is>
      </c>
    </row>
    <row r="522">
      <c r="A522" s="3" t="inlineStr">
        <is>
          <t>남이면 석판리 산50</t>
        </is>
      </c>
      <c r="B522" s="3" t="inlineStr">
        <is>
          <t>자연녹지지역</t>
        </is>
      </c>
      <c r="C522" s="3" t="inlineStr">
        <is>
          <t>임야</t>
        </is>
      </c>
      <c r="D522" s="3" t="inlineStr">
        <is>
          <t>임야</t>
        </is>
      </c>
      <c r="E522" s="3" t="inlineStr">
        <is>
          <t>매매</t>
        </is>
      </c>
      <c r="F522" s="4" t="n">
        <v>49000</v>
      </c>
      <c r="G522" s="4" t="n">
        <v>1077</v>
      </c>
      <c r="H522" s="4" t="n">
        <v>326</v>
      </c>
      <c r="I522" s="5" t="n">
        <v>150.3</v>
      </c>
      <c r="J522" s="5" t="n">
        <v>22.9</v>
      </c>
      <c r="K522" s="3" t="inlineStr">
        <is>
          <t>석판리 전원주택부지로 최상,</t>
        </is>
      </c>
      <c r="L522" s="6">
        <f>HYPERLINK("https://fin.land.naver.com/articles/2649891548", "매물Link")</f>
        <v/>
      </c>
      <c r="M522" s="6">
        <f>HYPERLINK("https://map.naver.com/p/search/남이면 석판리 산50", "지도Link")</f>
        <v/>
      </c>
      <c r="N522" s="6">
        <f>HYPERLINK("http://www.eum.go.kr/web/ar/lu/luLandDet.jsp?pnu=4311231034200500000&amp;isNoScr=script&amp;mode=search", "토지이음")</f>
        <v/>
      </c>
      <c r="O522" s="3" t="inlineStr">
        <is>
          <t>플러스자이합동</t>
        </is>
      </c>
      <c r="P522" s="4" t="n">
        <v>1</v>
      </c>
      <c r="Q522" s="4" t="n">
        <v>893</v>
      </c>
      <c r="R522" s="3" t="inlineStr">
        <is>
          <t>지정되지않음</t>
        </is>
      </c>
      <c r="S522" s="3" t="inlineStr">
        <is>
          <t>자연림</t>
        </is>
      </c>
      <c r="T522" s="3" t="inlineStr">
        <is>
          <t>완경사</t>
        </is>
      </c>
      <c r="U522" s="3" t="inlineStr">
        <is>
          <t>부정형</t>
        </is>
      </c>
      <c r="V522" s="3" t="inlineStr">
        <is>
          <t>세로한면(가)</t>
        </is>
      </c>
    </row>
    <row r="523">
      <c r="A523" s="3" t="inlineStr">
        <is>
          <t>남이면 수대리 1-29</t>
        </is>
      </c>
      <c r="B523" s="3" t="inlineStr">
        <is>
          <t>자연녹지지역</t>
        </is>
      </c>
      <c r="C523" s="3" t="inlineStr">
        <is>
          <t>임야</t>
        </is>
      </c>
      <c r="D523" s="3" t="inlineStr">
        <is>
          <t>임야</t>
        </is>
      </c>
      <c r="E523" s="3" t="inlineStr">
        <is>
          <t>매매</t>
        </is>
      </c>
      <c r="F523" s="4" t="n">
        <v>42000</v>
      </c>
      <c r="G523" s="4" t="n">
        <v>1000</v>
      </c>
      <c r="H523" s="4" t="n">
        <v>302</v>
      </c>
      <c r="I523" s="5" t="n">
        <v>139.1</v>
      </c>
      <c r="J523" s="5" t="n">
        <v>69.2</v>
      </c>
      <c r="K523" s="3" t="inlineStr">
        <is>
          <t>남이면수대리위치좋은토지저렴하게매매,금액협의</t>
        </is>
      </c>
      <c r="L523" s="6">
        <f>HYPERLINK("https://fin.land.naver.com/articles/2653463929", "매물Link")</f>
        <v/>
      </c>
      <c r="M523" s="6">
        <f>HYPERLINK("https://map.naver.com/p/search/남이면 수대리 1-29", "지도Link")</f>
        <v/>
      </c>
      <c r="N523" s="6">
        <f>HYPERLINK("http://www.eum.go.kr/web/ar/lu/luLandDet.jsp?pnu=4311231039100010029&amp;isNoScr=script&amp;mode=search", "토지이음")</f>
        <v/>
      </c>
      <c r="O523" s="3" t="inlineStr">
        <is>
          <t>금호스마트</t>
        </is>
      </c>
      <c r="P523" s="4" t="n">
        <v>1</v>
      </c>
      <c r="Q523" s="4" t="n">
        <v>584</v>
      </c>
      <c r="R523" s="3" t="inlineStr">
        <is>
          <t>지정되지않음</t>
        </is>
      </c>
      <c r="S523" s="3" t="inlineStr">
        <is>
          <t>주거나지</t>
        </is>
      </c>
      <c r="T523" s="3" t="inlineStr">
        <is>
          <t>완경사</t>
        </is>
      </c>
      <c r="U523" s="3" t="inlineStr">
        <is>
          <t>사다리형</t>
        </is>
      </c>
      <c r="V523" s="3" t="inlineStr">
        <is>
          <t>세로한면(가)</t>
        </is>
      </c>
    </row>
    <row r="524">
      <c r="A524" s="3" t="inlineStr">
        <is>
          <t>남이면 수대리 1-29</t>
        </is>
      </c>
      <c r="B524" s="3" t="inlineStr">
        <is>
          <t>자연녹지지역</t>
        </is>
      </c>
      <c r="C524" s="3" t="inlineStr">
        <is>
          <t>임야</t>
        </is>
      </c>
      <c r="D524" s="3" t="inlineStr">
        <is>
          <t>임야</t>
        </is>
      </c>
      <c r="E524" s="3" t="inlineStr">
        <is>
          <t>매매</t>
        </is>
      </c>
      <c r="F524" s="4" t="n">
        <v>26500</v>
      </c>
      <c r="G524" s="4" t="n">
        <v>584</v>
      </c>
      <c r="H524" s="4" t="n">
        <v>177</v>
      </c>
      <c r="I524" s="5" t="n">
        <v>149.7</v>
      </c>
      <c r="J524" s="5" t="n">
        <v>69.2</v>
      </c>
      <c r="K524" s="3" t="inlineStr">
        <is>
          <t>단독주택지 한가운데 위치한 토지, 탁트인 뷰, 카페자리추천</t>
        </is>
      </c>
      <c r="L524" s="6">
        <f>HYPERLINK("https://fin.land.naver.com/articles/2649972551", "매물Link")</f>
        <v/>
      </c>
      <c r="M524" s="6">
        <f>HYPERLINK("https://map.naver.com/p/search/남이면 수대리 1-29", "지도Link")</f>
        <v/>
      </c>
      <c r="N524" s="6">
        <f>HYPERLINK("http://www.eum.go.kr/web/ar/lu/luLandDet.jsp?pnu=4311231039100010029&amp;isNoScr=script&amp;mode=search", "토지이음")</f>
        <v/>
      </c>
      <c r="O524" s="3" t="inlineStr">
        <is>
          <t>명진</t>
        </is>
      </c>
      <c r="P524" s="4" t="n">
        <v>1</v>
      </c>
      <c r="Q524" s="4" t="n">
        <v>584</v>
      </c>
      <c r="R524" s="3" t="inlineStr">
        <is>
          <t>지정되지않음</t>
        </is>
      </c>
      <c r="S524" s="3" t="inlineStr">
        <is>
          <t>주거나지</t>
        </is>
      </c>
      <c r="T524" s="3" t="inlineStr">
        <is>
          <t>완경사</t>
        </is>
      </c>
      <c r="U524" s="3" t="inlineStr">
        <is>
          <t>사다리형</t>
        </is>
      </c>
      <c r="V524" s="3" t="inlineStr">
        <is>
          <t>세로한면(가)</t>
        </is>
      </c>
    </row>
    <row r="525">
      <c r="A525" s="3" t="inlineStr">
        <is>
          <t>남이면 수대리 11</t>
        </is>
      </c>
      <c r="B525" s="3" t="inlineStr">
        <is>
          <t>자연녹지지역</t>
        </is>
      </c>
      <c r="C525" s="3" t="inlineStr">
        <is>
          <t>전</t>
        </is>
      </c>
      <c r="D525" s="3" t="inlineStr">
        <is>
          <t>전</t>
        </is>
      </c>
      <c r="E525" s="3" t="inlineStr">
        <is>
          <t>매매</t>
        </is>
      </c>
      <c r="F525" s="4" t="n">
        <v>66000</v>
      </c>
      <c r="G525" s="4" t="n">
        <v>731</v>
      </c>
      <c r="H525" s="4" t="n">
        <v>221</v>
      </c>
      <c r="I525" s="5" t="n">
        <v>298.6</v>
      </c>
      <c r="J525" s="5" t="n">
        <v>60.8</v>
      </c>
      <c r="K525" s="3" t="inlineStr">
        <is>
          <t>4차로변 광고효과 탁월, 상가건물 추천</t>
        </is>
      </c>
      <c r="L525" s="6">
        <f>HYPERLINK("https://fin.land.naver.com/articles/2650137179", "매물Link")</f>
        <v/>
      </c>
      <c r="M525" s="6">
        <f>HYPERLINK("https://map.naver.com/p/search/남이면 수대리 11", "지도Link")</f>
        <v/>
      </c>
      <c r="N525" s="6">
        <f>HYPERLINK("http://www.eum.go.kr/web/ar/lu/luLandDet.jsp?pnu=4311231039100110000&amp;isNoScr=script&amp;mode=search", "토지이음")</f>
        <v/>
      </c>
      <c r="O525" s="3" t="inlineStr">
        <is>
          <t>정민</t>
        </is>
      </c>
      <c r="P525" s="4" t="n">
        <v>1</v>
      </c>
      <c r="Q525" s="4" t="n">
        <v>560</v>
      </c>
      <c r="R525" s="3" t="inlineStr">
        <is>
          <t>지정되지않음</t>
        </is>
      </c>
      <c r="S525" s="3" t="inlineStr">
        <is>
          <t>전기타</t>
        </is>
      </c>
      <c r="T525" s="3" t="inlineStr">
        <is>
          <t>평지</t>
        </is>
      </c>
      <c r="U525" s="3" t="inlineStr">
        <is>
          <t>사다리형</t>
        </is>
      </c>
      <c r="V525" s="3" t="inlineStr">
        <is>
          <t>중로한면</t>
        </is>
      </c>
    </row>
    <row r="526">
      <c r="A526" s="3" t="inlineStr">
        <is>
          <t>남이면 수대리 11</t>
        </is>
      </c>
      <c r="B526" s="3" t="inlineStr">
        <is>
          <t>자연녹지지역</t>
        </is>
      </c>
      <c r="C526" s="3" t="inlineStr">
        <is>
          <t>전</t>
        </is>
      </c>
      <c r="D526" s="3" t="inlineStr">
        <is>
          <t>전</t>
        </is>
      </c>
      <c r="E526" s="3" t="inlineStr">
        <is>
          <t>매매</t>
        </is>
      </c>
      <c r="F526" s="4" t="n">
        <v>66000</v>
      </c>
      <c r="G526" s="4" t="n">
        <v>731</v>
      </c>
      <c r="H526" s="4" t="n">
        <v>221</v>
      </c>
      <c r="I526" s="5" t="n">
        <v>298.6</v>
      </c>
      <c r="J526" s="5" t="n">
        <v>60.8</v>
      </c>
      <c r="K526" s="3" t="inlineStr">
        <is>
          <t>남이면 수대리 대로변 자연녹지 매매 창고 근생 자동차관련등 추천</t>
        </is>
      </c>
      <c r="L526" s="6">
        <f>HYPERLINK("https://fin.land.naver.com/articles/2654131214", "매물Link")</f>
        <v/>
      </c>
      <c r="M526" s="6">
        <f>HYPERLINK("https://map.naver.com/p/search/남이면 수대리 11", "지도Link")</f>
        <v/>
      </c>
      <c r="N526" s="6">
        <f>HYPERLINK("http://www.eum.go.kr/web/ar/lu/luLandDet.jsp?pnu=4311231039100110000&amp;isNoScr=script&amp;mode=search", "토지이음")</f>
        <v/>
      </c>
      <c r="O526" s="3" t="inlineStr">
        <is>
          <t>그린</t>
        </is>
      </c>
      <c r="P526" s="4" t="n">
        <v>1</v>
      </c>
      <c r="Q526" s="4" t="n">
        <v>560</v>
      </c>
      <c r="R526" s="3" t="inlineStr">
        <is>
          <t>지정되지않음</t>
        </is>
      </c>
      <c r="S526" s="3" t="inlineStr">
        <is>
          <t>전기타</t>
        </is>
      </c>
      <c r="T526" s="3" t="inlineStr">
        <is>
          <t>평지</t>
        </is>
      </c>
      <c r="U526" s="3" t="inlineStr">
        <is>
          <t>사다리형</t>
        </is>
      </c>
      <c r="V526" s="3" t="inlineStr">
        <is>
          <t>중로한면</t>
        </is>
      </c>
    </row>
    <row r="527">
      <c r="A527" s="3" t="inlineStr">
        <is>
          <t>남이면 수대리 114-7</t>
        </is>
      </c>
      <c r="B527" s="3" t="inlineStr">
        <is>
          <t>자연녹지지역</t>
        </is>
      </c>
      <c r="C527" s="3" t="inlineStr">
        <is>
          <t>전</t>
        </is>
      </c>
      <c r="D527" s="3" t="inlineStr">
        <is>
          <t>전</t>
        </is>
      </c>
      <c r="E527" s="3" t="inlineStr">
        <is>
          <t>매매</t>
        </is>
      </c>
      <c r="F527" s="4" t="n">
        <v>13000</v>
      </c>
      <c r="G527" s="4" t="n">
        <v>508</v>
      </c>
      <c r="H527" s="4" t="n">
        <v>154</v>
      </c>
      <c r="I527" s="5" t="n">
        <v>84.40000000000001</v>
      </c>
      <c r="J527" s="5" t="n">
        <v>25.3</v>
      </c>
      <c r="K527" s="3" t="inlineStr">
        <is>
          <t>도심근교  주말쉼터 , 세컨하우스 좋은곳임.</t>
        </is>
      </c>
      <c r="L527" s="6">
        <f>HYPERLINK("https://fin.land.naver.com/articles/2651814384", "매물Link")</f>
        <v/>
      </c>
      <c r="M527" s="6">
        <f>HYPERLINK("https://map.naver.com/p/search/남이면 수대리 114-7", "지도Link")</f>
        <v/>
      </c>
      <c r="N527" s="6">
        <f>HYPERLINK("http://www.eum.go.kr/web/ar/lu/luLandDet.jsp?pnu=4311231039101140007&amp;isNoScr=script&amp;mode=search", "토지이음")</f>
        <v/>
      </c>
      <c r="O527" s="3" t="inlineStr">
        <is>
          <t>포시즌</t>
        </is>
      </c>
      <c r="P527" s="4" t="n">
        <v>2</v>
      </c>
      <c r="Q527" s="4" t="n">
        <v>445.3</v>
      </c>
      <c r="R527" s="3" t="inlineStr">
        <is>
          <t>지정되지않음</t>
        </is>
      </c>
      <c r="S527" s="3" t="inlineStr">
        <is>
          <t>전</t>
        </is>
      </c>
      <c r="T527" s="3" t="inlineStr">
        <is>
          <t>완경사</t>
        </is>
      </c>
      <c r="U527" s="3" t="inlineStr">
        <is>
          <t>부정형</t>
        </is>
      </c>
      <c r="V527" s="3" t="inlineStr">
        <is>
          <t>세로한면(가)</t>
        </is>
      </c>
    </row>
    <row r="528">
      <c r="A528" s="3" t="inlineStr">
        <is>
          <t>남이면 수대리 115-6</t>
        </is>
      </c>
      <c r="B528" s="3" t="inlineStr">
        <is>
          <t>자연녹지지역</t>
        </is>
      </c>
      <c r="C528" s="3" t="inlineStr">
        <is>
          <t>전</t>
        </is>
      </c>
      <c r="D528" s="3" t="inlineStr">
        <is>
          <t>대</t>
        </is>
      </c>
      <c r="E528" s="3" t="inlineStr">
        <is>
          <t>매매</t>
        </is>
      </c>
      <c r="F528" s="4" t="n">
        <v>80200</v>
      </c>
      <c r="G528" s="4" t="n">
        <v>2283</v>
      </c>
      <c r="H528" s="4" t="n">
        <v>691</v>
      </c>
      <c r="I528" s="5" t="n">
        <v>116.1</v>
      </c>
      <c r="J528" s="5" t="n">
        <v>28.8</v>
      </c>
      <c r="K528" s="3" t="inlineStr">
        <is>
          <t>수대리 진입도로있음 산 밑햇볕잘들고 현재 비닐하우스농장으로사용중</t>
        </is>
      </c>
      <c r="L528" s="6">
        <f>HYPERLINK("https://fin.land.naver.com/articles/2649952440", "매물Link")</f>
        <v/>
      </c>
      <c r="M528" s="6">
        <f>HYPERLINK("https://map.naver.com/p/search/남이면 수대리 115-6", "지도Link")</f>
        <v/>
      </c>
      <c r="N528" s="6">
        <f>HYPERLINK("http://www.eum.go.kr/web/ar/lu/luLandDet.jsp?pnu=4311231039101150006&amp;isNoScr=script&amp;mode=search", "토지이음")</f>
        <v/>
      </c>
      <c r="O528" s="3" t="inlineStr">
        <is>
          <t>건우다솔무소</t>
        </is>
      </c>
      <c r="P528" s="4" t="n">
        <v>1</v>
      </c>
      <c r="Q528" s="4" t="n">
        <v>2283</v>
      </c>
      <c r="R528" s="3" t="inlineStr">
        <is>
          <t>지정되지않음</t>
        </is>
      </c>
      <c r="S528" s="3" t="inlineStr">
        <is>
          <t>전</t>
        </is>
      </c>
      <c r="T528" s="3" t="inlineStr">
        <is>
          <t>완경사</t>
        </is>
      </c>
      <c r="U528" s="3" t="inlineStr">
        <is>
          <t>부정형</t>
        </is>
      </c>
      <c r="V528" s="3" t="inlineStr">
        <is>
          <t>세로한면(가)</t>
        </is>
      </c>
    </row>
    <row r="529">
      <c r="A529" s="3" t="inlineStr">
        <is>
          <t>남이면 수대리 170</t>
        </is>
      </c>
      <c r="B529" s="3" t="inlineStr">
        <is>
          <t>자연녹지지역</t>
        </is>
      </c>
      <c r="C529" s="3" t="inlineStr">
        <is>
          <t>전</t>
        </is>
      </c>
      <c r="D529" s="3" t="inlineStr">
        <is>
          <t>전</t>
        </is>
      </c>
      <c r="E529" s="3" t="inlineStr">
        <is>
          <t>매매</t>
        </is>
      </c>
      <c r="F529" s="4" t="n">
        <v>27000</v>
      </c>
      <c r="G529" s="4" t="n">
        <v>1785</v>
      </c>
      <c r="H529" s="4" t="n">
        <v>540</v>
      </c>
      <c r="I529" s="5" t="n">
        <v>50</v>
      </c>
      <c r="J529" s="5" t="n">
        <v>22.4</v>
      </c>
      <c r="K529" s="3" t="inlineStr">
        <is>
          <t>청주 서원구 남이면 수대리 토지  매매</t>
        </is>
      </c>
      <c r="L529" s="6">
        <f>HYPERLINK("https://fin.land.naver.com/articles/2652888421", "매물Link")</f>
        <v/>
      </c>
      <c r="M529" s="6">
        <f>HYPERLINK("https://map.naver.com/p/search/남이면 수대리 170", "지도Link")</f>
        <v/>
      </c>
      <c r="N529" s="6">
        <f>HYPERLINK("http://www.eum.go.kr/web/ar/lu/luLandDet.jsp?pnu=4311231039101700000&amp;isNoScr=script&amp;mode=search", "토지이음")</f>
        <v/>
      </c>
      <c r="O529" s="3" t="inlineStr">
        <is>
          <t>일등무소</t>
        </is>
      </c>
      <c r="P529" s="4" t="n">
        <v>1</v>
      </c>
      <c r="Q529" s="4" t="n">
        <v>1785</v>
      </c>
      <c r="R529" s="3" t="inlineStr">
        <is>
          <t>보전녹지지역</t>
        </is>
      </c>
      <c r="S529" s="3" t="inlineStr">
        <is>
          <t>전</t>
        </is>
      </c>
      <c r="T529" s="3" t="inlineStr">
        <is>
          <t>완경사</t>
        </is>
      </c>
      <c r="U529" s="3" t="inlineStr">
        <is>
          <t>부정형</t>
        </is>
      </c>
      <c r="V529" s="3" t="inlineStr">
        <is>
          <t>맹지</t>
        </is>
      </c>
    </row>
    <row r="530">
      <c r="A530" s="3" t="inlineStr">
        <is>
          <t>남이면 수대리 186</t>
        </is>
      </c>
      <c r="B530" s="3" t="inlineStr">
        <is>
          <t>자연녹지지역</t>
        </is>
      </c>
      <c r="C530" s="3" t="inlineStr">
        <is>
          <t>답</t>
        </is>
      </c>
      <c r="D530" s="3" t="inlineStr">
        <is>
          <t>답</t>
        </is>
      </c>
      <c r="E530" s="3" t="inlineStr">
        <is>
          <t>매매</t>
        </is>
      </c>
      <c r="F530" s="4" t="n">
        <v>130000</v>
      </c>
      <c r="G530" s="4" t="n">
        <v>5031</v>
      </c>
      <c r="H530" s="4" t="n">
        <v>1522</v>
      </c>
      <c r="I530" s="5" t="n">
        <v>85.40000000000001</v>
      </c>
      <c r="J530" s="5" t="n">
        <v>32</v>
      </c>
      <c r="K530" s="3" t="inlineStr">
        <is>
          <t>수대리 도로접한 토지 매매.</t>
        </is>
      </c>
      <c r="L530" s="6">
        <f>HYPERLINK("https://fin.land.naver.com/articles/2653458378", "매물Link")</f>
        <v/>
      </c>
      <c r="M530" s="6">
        <f>HYPERLINK("https://map.naver.com/p/search/남이면 수대리 186", "지도Link")</f>
        <v/>
      </c>
      <c r="N530" s="6">
        <f>HYPERLINK("http://www.eum.go.kr/web/ar/lu/luLandDet.jsp?pnu=4311231039101860000&amp;isNoScr=script&amp;mode=search", "토지이음")</f>
        <v/>
      </c>
      <c r="O530" s="3" t="inlineStr">
        <is>
          <t>방서에이스</t>
        </is>
      </c>
      <c r="P530" s="4" t="n">
        <v>1</v>
      </c>
      <c r="Q530" s="4" t="n">
        <v>3233</v>
      </c>
      <c r="R530" s="3" t="inlineStr">
        <is>
          <t>지정되지않음</t>
        </is>
      </c>
      <c r="S530" s="3" t="inlineStr">
        <is>
          <t>답</t>
        </is>
      </c>
      <c r="T530" s="3" t="inlineStr">
        <is>
          <t>평지</t>
        </is>
      </c>
      <c r="U530" s="3" t="inlineStr">
        <is>
          <t>부정형</t>
        </is>
      </c>
      <c r="V530" s="3" t="inlineStr">
        <is>
          <t>세로한면(가)</t>
        </is>
      </c>
    </row>
    <row r="531">
      <c r="A531" s="3" t="inlineStr">
        <is>
          <t>남이면 수대리 20-1</t>
        </is>
      </c>
      <c r="B531" s="3" t="inlineStr">
        <is>
          <t>자연녹지지역</t>
        </is>
      </c>
      <c r="C531" s="3" t="inlineStr">
        <is>
          <t>답</t>
        </is>
      </c>
      <c r="D531" s="3" t="inlineStr">
        <is>
          <t>답</t>
        </is>
      </c>
      <c r="E531" s="3" t="inlineStr">
        <is>
          <t>매매</t>
        </is>
      </c>
      <c r="F531" s="4" t="n">
        <v>250000</v>
      </c>
      <c r="G531" s="4" t="n">
        <v>3048</v>
      </c>
      <c r="H531" s="4" t="n">
        <v>922</v>
      </c>
      <c r="I531" s="5" t="n">
        <v>271.1</v>
      </c>
      <c r="J531" s="5" t="n">
        <v>38.3</v>
      </c>
      <c r="K531" s="3" t="inlineStr">
        <is>
          <t>6차선도로바로옆 건물건축후임대수익또는직접사용가능 전시장,아울렛등추천</t>
        </is>
      </c>
      <c r="L531" s="6">
        <f>HYPERLINK("https://fin.land.naver.com/articles/2653653132", "매물Link")</f>
        <v/>
      </c>
      <c r="M531" s="6">
        <f>HYPERLINK("https://map.naver.com/p/search/남이면 수대리 20-1", "지도Link")</f>
        <v/>
      </c>
      <c r="N531" s="6">
        <f>HYPERLINK("http://www.eum.go.kr/web/ar/lu/luLandDet.jsp?pnu=4311231039100200001&amp;isNoScr=script&amp;mode=search", "토지이음")</f>
        <v/>
      </c>
      <c r="O531" s="3" t="inlineStr">
        <is>
          <t>하트리움</t>
        </is>
      </c>
      <c r="P531" s="4" t="n">
        <v>1</v>
      </c>
      <c r="Q531" s="4" t="n">
        <v>1831</v>
      </c>
      <c r="R531" s="3" t="inlineStr">
        <is>
          <t>지정되지않음</t>
        </is>
      </c>
      <c r="S531" s="3" t="inlineStr">
        <is>
          <t>답</t>
        </is>
      </c>
      <c r="T531" s="3" t="inlineStr">
        <is>
          <t>평지</t>
        </is>
      </c>
      <c r="U531" s="3" t="inlineStr">
        <is>
          <t>부정형</t>
        </is>
      </c>
      <c r="V531" s="3" t="inlineStr">
        <is>
          <t>세로한면(불)</t>
        </is>
      </c>
    </row>
    <row r="532">
      <c r="A532" s="3" t="inlineStr">
        <is>
          <t>남이면 수대리 229-1</t>
        </is>
      </c>
      <c r="B532" s="3" t="inlineStr">
        <is>
          <t>보전녹지지역</t>
        </is>
      </c>
      <c r="C532" s="3" t="inlineStr">
        <is>
          <t>임야</t>
        </is>
      </c>
      <c r="D532" s="3" t="inlineStr">
        <is>
          <t>임야</t>
        </is>
      </c>
      <c r="E532" s="3" t="inlineStr">
        <is>
          <t>매매</t>
        </is>
      </c>
      <c r="F532" s="4" t="n">
        <v>140000</v>
      </c>
      <c r="G532" s="4" t="n">
        <v>4423</v>
      </c>
      <c r="H532" s="4" t="n">
        <v>1338</v>
      </c>
      <c r="I532" s="5" t="n">
        <v>104.6</v>
      </c>
      <c r="J532" s="5" t="n">
        <v>3.2</v>
      </c>
      <c r="K532" s="3" t="inlineStr">
        <is>
          <t>4차선 도로접 토지</t>
        </is>
      </c>
      <c r="L532" s="6">
        <f>HYPERLINK("https://fin.land.naver.com/articles/2650759433", "매물Link")</f>
        <v/>
      </c>
      <c r="M532" s="6">
        <f>HYPERLINK("https://map.naver.com/p/search/남이면 수대리 229-1", "지도Link")</f>
        <v/>
      </c>
      <c r="N532" s="6">
        <f>HYPERLINK("http://www.eum.go.kr/web/ar/lu/luLandDet.jsp?pnu=4311231039102290001&amp;isNoScr=script&amp;mode=search", "토지이음")</f>
        <v/>
      </c>
      <c r="O532" s="3" t="inlineStr">
        <is>
          <t>김창수</t>
        </is>
      </c>
      <c r="P532" s="4" t="n">
        <v>1</v>
      </c>
      <c r="Q532" s="4" t="n">
        <v>3933</v>
      </c>
      <c r="R532" s="3" t="inlineStr">
        <is>
          <t>자연녹지지역</t>
        </is>
      </c>
      <c r="S532" s="3" t="inlineStr">
        <is>
          <t>자연림</t>
        </is>
      </c>
      <c r="T532" s="3" t="inlineStr">
        <is>
          <t>급경사</t>
        </is>
      </c>
      <c r="U532" s="3" t="inlineStr">
        <is>
          <t>부정형</t>
        </is>
      </c>
      <c r="V532" s="3" t="inlineStr">
        <is>
          <t>맹지</t>
        </is>
      </c>
    </row>
    <row r="533">
      <c r="A533" s="3" t="inlineStr">
        <is>
          <t>남이면 수대리 25-1</t>
        </is>
      </c>
      <c r="B533" s="3" t="inlineStr">
        <is>
          <t>자연녹지지역</t>
        </is>
      </c>
      <c r="C533" s="3" t="inlineStr">
        <is>
          <t>답</t>
        </is>
      </c>
      <c r="D533" s="3" t="inlineStr">
        <is>
          <t>답</t>
        </is>
      </c>
      <c r="E533" s="3" t="inlineStr">
        <is>
          <t>매매</t>
        </is>
      </c>
      <c r="F533" s="4" t="n">
        <v>68000</v>
      </c>
      <c r="G533" s="4" t="n">
        <v>2988</v>
      </c>
      <c r="H533" s="4" t="n">
        <v>904</v>
      </c>
      <c r="I533" s="5" t="n">
        <v>75.2</v>
      </c>
      <c r="J533" s="5" t="n">
        <v>25.3</v>
      </c>
      <c r="K533" s="3" t="inlineStr">
        <is>
          <t>도시지역 자연녹지지역</t>
        </is>
      </c>
      <c r="L533" s="6">
        <f>HYPERLINK("https://fin.land.naver.com/articles/2652234500", "매물Link")</f>
        <v/>
      </c>
      <c r="M533" s="6">
        <f>HYPERLINK("https://map.naver.com/p/search/남이면 수대리 25-1", "지도Link")</f>
        <v/>
      </c>
      <c r="N533" s="6">
        <f>HYPERLINK("http://www.eum.go.kr/web/ar/lu/luLandDet.jsp?pnu=4311231039100250001&amp;isNoScr=script&amp;mode=search", "토지이음")</f>
        <v/>
      </c>
      <c r="O533" s="3" t="inlineStr">
        <is>
          <t>김창수</t>
        </is>
      </c>
      <c r="P533" s="4" t="n">
        <v>1</v>
      </c>
      <c r="Q533" s="4" t="n">
        <v>2988</v>
      </c>
      <c r="R533" s="3" t="inlineStr">
        <is>
          <t>지정되지않음</t>
        </is>
      </c>
      <c r="S533" s="3" t="inlineStr">
        <is>
          <t>답</t>
        </is>
      </c>
      <c r="T533" s="3" t="inlineStr">
        <is>
          <t>평지</t>
        </is>
      </c>
      <c r="U533" s="3" t="inlineStr">
        <is>
          <t>부정형</t>
        </is>
      </c>
      <c r="V533" s="3" t="inlineStr">
        <is>
          <t>세로한면(불)</t>
        </is>
      </c>
    </row>
    <row r="534">
      <c r="A534" s="3" t="inlineStr">
        <is>
          <t>남이면 수대리 282-1</t>
        </is>
      </c>
      <c r="B534" s="3" t="inlineStr">
        <is>
          <t>자연녹지지역</t>
        </is>
      </c>
      <c r="C534" s="3" t="inlineStr">
        <is>
          <t>전</t>
        </is>
      </c>
      <c r="D534" s="3" t="inlineStr">
        <is>
          <t>전</t>
        </is>
      </c>
      <c r="E534" s="3" t="inlineStr">
        <is>
          <t>매매</t>
        </is>
      </c>
      <c r="F534" s="4" t="n">
        <v>150000</v>
      </c>
      <c r="G534" s="4" t="n">
        <v>19500</v>
      </c>
      <c r="H534" s="4" t="n">
        <v>5899</v>
      </c>
      <c r="I534" s="5" t="n">
        <v>25.4</v>
      </c>
      <c r="J534" s="5" t="n">
        <v>37.1</v>
      </c>
      <c r="K534" s="3" t="inlineStr">
        <is>
          <t>남이면 수대리 전, 임야 2필지 매매</t>
        </is>
      </c>
      <c r="L534" s="6">
        <f>HYPERLINK("https://fin.land.naver.com/articles/2651321062", "매물Link")</f>
        <v/>
      </c>
      <c r="M534" s="6">
        <f>HYPERLINK("https://map.naver.com/p/search/남이면 수대리 282-1", "지도Link")</f>
        <v/>
      </c>
      <c r="N534" s="6">
        <f>HYPERLINK("http://www.eum.go.kr/web/ar/lu/luLandDet.jsp?pnu=4311231039102820001&amp;isNoScr=script&amp;mode=search", "토지이음")</f>
        <v/>
      </c>
      <c r="O534" s="3" t="inlineStr">
        <is>
          <t>서초</t>
        </is>
      </c>
      <c r="P534" s="4" t="n">
        <v>1</v>
      </c>
      <c r="Q534" s="4" t="n">
        <v>1622</v>
      </c>
      <c r="R534" s="3" t="inlineStr">
        <is>
          <t>지정되지않음</t>
        </is>
      </c>
      <c r="S534" s="3" t="inlineStr">
        <is>
          <t>전</t>
        </is>
      </c>
      <c r="T534" s="3" t="inlineStr">
        <is>
          <t>완경사</t>
        </is>
      </c>
      <c r="U534" s="3" t="inlineStr">
        <is>
          <t>부정형</t>
        </is>
      </c>
      <c r="V534" s="3" t="inlineStr">
        <is>
          <t>세로한면(불)</t>
        </is>
      </c>
    </row>
    <row r="535">
      <c r="A535" s="3" t="inlineStr">
        <is>
          <t>남이면 수대리 95-2</t>
        </is>
      </c>
      <c r="B535" s="3" t="inlineStr">
        <is>
          <t>자연녹지지역</t>
        </is>
      </c>
      <c r="C535" s="3" t="inlineStr">
        <is>
          <t>전</t>
        </is>
      </c>
      <c r="D535" s="3" t="inlineStr">
        <is>
          <t>전</t>
        </is>
      </c>
      <c r="E535" s="3" t="inlineStr">
        <is>
          <t>매매</t>
        </is>
      </c>
      <c r="F535" s="4" t="n">
        <v>34000</v>
      </c>
      <c r="G535" s="4" t="n">
        <v>1439</v>
      </c>
      <c r="H535" s="4" t="n">
        <v>435</v>
      </c>
      <c r="I535" s="5" t="n">
        <v>78.2</v>
      </c>
      <c r="J535" s="5" t="n">
        <v>20.4</v>
      </c>
      <c r="K535" s="3" t="inlineStr">
        <is>
          <t>수대리 자연녹지 밭 매매 주택 쉼터용 주말용등 추천</t>
        </is>
      </c>
      <c r="L535" s="6">
        <f>HYPERLINK("https://fin.land.naver.com/articles/2649621870", "매물Link")</f>
        <v/>
      </c>
      <c r="M535" s="6">
        <f>HYPERLINK("https://map.naver.com/p/search/남이면 수대리 95-2", "지도Link")</f>
        <v/>
      </c>
      <c r="N535" s="6">
        <f>HYPERLINK("http://www.eum.go.kr/web/ar/lu/luLandDet.jsp?pnu=4311231039100950002&amp;isNoScr=script&amp;mode=search", "토지이음")</f>
        <v/>
      </c>
      <c r="O535" s="3" t="inlineStr">
        <is>
          <t>그린</t>
        </is>
      </c>
      <c r="P535" s="4" t="n">
        <v>1</v>
      </c>
      <c r="Q535" s="4" t="n">
        <v>660</v>
      </c>
      <c r="R535" s="3" t="inlineStr">
        <is>
          <t>지정되지않음</t>
        </is>
      </c>
      <c r="S535" s="3" t="inlineStr">
        <is>
          <t>전</t>
        </is>
      </c>
      <c r="T535" s="3" t="inlineStr">
        <is>
          <t>완경사</t>
        </is>
      </c>
      <c r="U535" s="3" t="inlineStr">
        <is>
          <t>부정형</t>
        </is>
      </c>
      <c r="V535" s="3" t="inlineStr">
        <is>
          <t>맹지</t>
        </is>
      </c>
    </row>
    <row r="536">
      <c r="A536" s="3" t="inlineStr">
        <is>
          <t>남이면 수대리 산 26-1</t>
        </is>
      </c>
      <c r="B536" s="3" t="inlineStr">
        <is>
          <t>보전녹지지역</t>
        </is>
      </c>
      <c r="C536" s="3" t="inlineStr">
        <is>
          <t>임야</t>
        </is>
      </c>
      <c r="D536" s="3" t="inlineStr">
        <is>
          <t>임야</t>
        </is>
      </c>
      <c r="E536" s="3" t="inlineStr">
        <is>
          <t>매매</t>
        </is>
      </c>
      <c r="F536" s="4" t="n">
        <v>33000</v>
      </c>
      <c r="G536" s="4" t="n">
        <v>3361</v>
      </c>
      <c r="H536" s="4" t="n">
        <v>1017</v>
      </c>
      <c r="I536" s="5" t="n">
        <v>32.4</v>
      </c>
      <c r="J536" s="5" t="n">
        <v>2.6</v>
      </c>
      <c r="K536" s="3" t="inlineStr">
        <is>
          <t>선산,물류센터,전원주택단지 추천</t>
        </is>
      </c>
      <c r="L536" s="6">
        <f>HYPERLINK("https://fin.land.naver.com/articles/2652445357", "매물Link")</f>
        <v/>
      </c>
      <c r="M536" s="6">
        <f>HYPERLINK("https://map.naver.com/p/search/남이면 수대리 산 26-1", "지도Link")</f>
        <v/>
      </c>
      <c r="N536" s="6">
        <f>HYPERLINK("http://www.eum.go.kr/web/ar/lu/luLandDet.jsp?pnu=4311231039200260001&amp;isNoScr=script&amp;mode=search", "토지이음")</f>
        <v/>
      </c>
      <c r="O536" s="3" t="inlineStr">
        <is>
          <t>건국</t>
        </is>
      </c>
      <c r="P536" s="4" t="n">
        <v>1</v>
      </c>
      <c r="Q536" s="4" t="n">
        <v>3361</v>
      </c>
      <c r="R536" s="3" t="inlineStr">
        <is>
          <t>지정되지않음</t>
        </is>
      </c>
      <c r="S536" s="3" t="inlineStr">
        <is>
          <t>자연림</t>
        </is>
      </c>
      <c r="T536" s="3" t="inlineStr">
        <is>
          <t>급경사</t>
        </is>
      </c>
      <c r="U536" s="3" t="inlineStr">
        <is>
          <t>부정형</t>
        </is>
      </c>
      <c r="V536" s="3" t="inlineStr">
        <is>
          <t>맹지</t>
        </is>
      </c>
    </row>
    <row r="537">
      <c r="A537" s="3" t="inlineStr">
        <is>
          <t>남이면 수대리 산4</t>
        </is>
      </c>
      <c r="B537" s="3" t="inlineStr">
        <is>
          <t>보전녹지지역</t>
        </is>
      </c>
      <c r="C537" s="3" t="inlineStr">
        <is>
          <t>임야</t>
        </is>
      </c>
      <c r="D537" s="3" t="inlineStr">
        <is>
          <t>임야</t>
        </is>
      </c>
      <c r="E537" s="3" t="inlineStr">
        <is>
          <t>매매</t>
        </is>
      </c>
      <c r="F537" s="4" t="n">
        <v>63000</v>
      </c>
      <c r="G537" s="4" t="n">
        <v>5157</v>
      </c>
      <c r="H537" s="4" t="n">
        <v>1560</v>
      </c>
      <c r="I537" s="5" t="n">
        <v>40.4</v>
      </c>
      <c r="J537" s="5" t="n">
        <v>4.1</v>
      </c>
      <c r="K537" s="3" t="inlineStr">
        <is>
          <t>청주시 서원구 남이면 수대리 토지 매매</t>
        </is>
      </c>
      <c r="L537" s="6">
        <f>HYPERLINK("https://fin.land.naver.com/articles/2652887612", "매물Link")</f>
        <v/>
      </c>
      <c r="M537" s="6">
        <f>HYPERLINK("https://map.naver.com/p/search/남이면 수대리 산4", "지도Link")</f>
        <v/>
      </c>
      <c r="N537" s="6">
        <f>HYPERLINK("http://www.eum.go.kr/web/ar/lu/luLandDet.jsp?pnu=4311231039200040000&amp;isNoScr=script&amp;mode=search", "토지이음")</f>
        <v/>
      </c>
      <c r="O537" s="3" t="inlineStr">
        <is>
          <t>일등무소</t>
        </is>
      </c>
      <c r="P537" s="4" t="n">
        <v>1</v>
      </c>
      <c r="Q537" s="4" t="n">
        <v>5157</v>
      </c>
      <c r="R537" s="3" t="inlineStr">
        <is>
          <t>자연녹지지역</t>
        </is>
      </c>
      <c r="S537" s="3" t="inlineStr">
        <is>
          <t>자연림</t>
        </is>
      </c>
      <c r="T537" s="3" t="inlineStr">
        <is>
          <t>급경사</t>
        </is>
      </c>
      <c r="U537" s="3" t="inlineStr">
        <is>
          <t>부정형</t>
        </is>
      </c>
      <c r="V537" s="3" t="inlineStr">
        <is>
          <t>맹지</t>
        </is>
      </c>
    </row>
    <row r="538">
      <c r="A538" s="3" t="inlineStr">
        <is>
          <t>남이면 양촌리 125-3</t>
        </is>
      </c>
      <c r="B538" s="3" t="inlineStr">
        <is>
          <t>자연녹지지역</t>
        </is>
      </c>
      <c r="C538" s="3" t="inlineStr">
        <is>
          <t>답</t>
        </is>
      </c>
      <c r="D538" s="3" t="inlineStr">
        <is>
          <t>답</t>
        </is>
      </c>
      <c r="E538" s="3" t="inlineStr">
        <is>
          <t>매매</t>
        </is>
      </c>
      <c r="F538" s="4" t="n">
        <v>140000</v>
      </c>
      <c r="G538" s="4" t="n">
        <v>2099</v>
      </c>
      <c r="H538" s="4" t="n">
        <v>635</v>
      </c>
      <c r="I538" s="5" t="n">
        <v>220.5</v>
      </c>
      <c r="J538" s="5" t="n">
        <v>56.6</v>
      </c>
      <c r="K538" s="3" t="inlineStr">
        <is>
          <t>청주시내 접근성 좋은 남이면 양촌리 근생으로 개발하면 좋을 토지매매</t>
        </is>
      </c>
      <c r="L538" s="6">
        <f>HYPERLINK("https://fin.land.naver.com/articles/2649722883", "매물Link")</f>
        <v/>
      </c>
      <c r="M538" s="6">
        <f>HYPERLINK("https://map.naver.com/p/search/남이면 양촌리 125-3", "지도Link")</f>
        <v/>
      </c>
      <c r="N538" s="6">
        <f>HYPERLINK("http://www.eum.go.kr/web/ar/lu/luLandDet.jsp?pnu=4311231037101250003&amp;isNoScr=script&amp;mode=search", "토지이음")</f>
        <v/>
      </c>
      <c r="O538" s="3" t="inlineStr">
        <is>
          <t>좋은선택</t>
        </is>
      </c>
      <c r="P538" s="4" t="n">
        <v>1</v>
      </c>
      <c r="Q538" s="4" t="n">
        <v>2099</v>
      </c>
      <c r="R538" s="3" t="inlineStr">
        <is>
          <t>지정되지않음</t>
        </is>
      </c>
      <c r="S538" s="3" t="inlineStr">
        <is>
          <t>답</t>
        </is>
      </c>
      <c r="T538" s="3" t="inlineStr">
        <is>
          <t>평지</t>
        </is>
      </c>
      <c r="U538" s="3" t="inlineStr">
        <is>
          <t>부정형</t>
        </is>
      </c>
      <c r="V538" s="3" t="inlineStr">
        <is>
          <t>세로한면(가)</t>
        </is>
      </c>
    </row>
    <row r="539">
      <c r="A539" s="3" t="inlineStr">
        <is>
          <t>남이면 양촌리 152</t>
        </is>
      </c>
      <c r="B539" s="3" t="inlineStr">
        <is>
          <t>자연녹지지역</t>
        </is>
      </c>
      <c r="C539" s="3" t="inlineStr">
        <is>
          <t>대</t>
        </is>
      </c>
      <c r="D539" s="3" t="inlineStr">
        <is>
          <t>대</t>
        </is>
      </c>
      <c r="E539" s="3" t="inlineStr">
        <is>
          <t>매매</t>
        </is>
      </c>
      <c r="F539" s="4" t="n">
        <v>168000</v>
      </c>
      <c r="G539" s="4" t="n">
        <v>5293</v>
      </c>
      <c r="H539" s="4" t="n">
        <v>1601</v>
      </c>
      <c r="I539" s="5" t="n">
        <v>104.9</v>
      </c>
      <c r="J539" s="5" t="n">
        <v>65.40000000000001</v>
      </c>
      <c r="K539" s="3" t="inlineStr">
        <is>
          <t>3차 우회도로 인근 공장 및 창고부지로 추천함</t>
        </is>
      </c>
      <c r="L539" s="6">
        <f>HYPERLINK("https://fin.land.naver.com/articles/2651557248", "매물Link")</f>
        <v/>
      </c>
      <c r="M539" s="6">
        <f>HYPERLINK("https://map.naver.com/p/search/남이면 양촌리 152", "지도Link")</f>
        <v/>
      </c>
      <c r="N539" s="6">
        <f>HYPERLINK("http://www.eum.go.kr/web/ar/lu/luLandDet.jsp?pnu=4311231037101520000&amp;isNoScr=script&amp;mode=search", "토지이음")</f>
        <v/>
      </c>
      <c r="O539" s="3" t="inlineStr">
        <is>
          <t>청주원</t>
        </is>
      </c>
      <c r="P539" s="4" t="n">
        <v>1</v>
      </c>
      <c r="Q539" s="4" t="n">
        <v>2302</v>
      </c>
      <c r="R539" s="3" t="inlineStr">
        <is>
          <t>지정되지않음</t>
        </is>
      </c>
      <c r="S539" s="3" t="inlineStr">
        <is>
          <t>주거기타</t>
        </is>
      </c>
      <c r="T539" s="3" t="inlineStr">
        <is>
          <t>평지</t>
        </is>
      </c>
      <c r="U539" s="3" t="inlineStr">
        <is>
          <t>사다리형</t>
        </is>
      </c>
      <c r="V539" s="3" t="inlineStr">
        <is>
          <t>세로한면(가)</t>
        </is>
      </c>
    </row>
    <row r="540">
      <c r="A540" s="3" t="inlineStr">
        <is>
          <t>남이면 양촌리 165</t>
        </is>
      </c>
      <c r="B540" s="3" t="inlineStr">
        <is>
          <t>자연녹지지역</t>
        </is>
      </c>
      <c r="C540" s="3" t="inlineStr">
        <is>
          <t>전</t>
        </is>
      </c>
      <c r="D540" s="3" t="inlineStr">
        <is>
          <t>전</t>
        </is>
      </c>
      <c r="E540" s="3" t="inlineStr">
        <is>
          <t>매매</t>
        </is>
      </c>
      <c r="F540" s="4" t="n">
        <v>11940</v>
      </c>
      <c r="G540" s="4" t="n">
        <v>394</v>
      </c>
      <c r="H540" s="4" t="n">
        <v>119</v>
      </c>
      <c r="I540" s="5" t="n">
        <v>100.3</v>
      </c>
      <c r="J540" s="5" t="n">
        <v>36.1</v>
      </c>
      <c r="K540" s="3" t="inlineStr">
        <is>
          <t>단독주택짓기 좋은 부지</t>
        </is>
      </c>
      <c r="L540" s="6">
        <f>HYPERLINK("https://fin.land.naver.com/articles/2649551990", "매물Link")</f>
        <v/>
      </c>
      <c r="M540" s="6">
        <f>HYPERLINK("https://map.naver.com/p/search/남이면 양촌리 165", "지도Link")</f>
        <v/>
      </c>
      <c r="N540" s="6">
        <f>HYPERLINK("http://www.eum.go.kr/web/ar/lu/luLandDet.jsp?pnu=4311231037101650000&amp;isNoScr=script&amp;mode=search", "토지이음")</f>
        <v/>
      </c>
      <c r="O540" s="3" t="inlineStr">
        <is>
          <t>홍길동</t>
        </is>
      </c>
      <c r="P540" s="4" t="n">
        <v>1</v>
      </c>
      <c r="Q540" s="4" t="n">
        <v>394</v>
      </c>
      <c r="R540" s="3" t="inlineStr">
        <is>
          <t>지정되지않음</t>
        </is>
      </c>
      <c r="S540" s="3" t="inlineStr">
        <is>
          <t>전</t>
        </is>
      </c>
      <c r="T540" s="3" t="inlineStr">
        <is>
          <t>평지</t>
        </is>
      </c>
      <c r="U540" s="3" t="inlineStr">
        <is>
          <t>부정형</t>
        </is>
      </c>
      <c r="V540" s="3" t="inlineStr">
        <is>
          <t>세로한면(가)</t>
        </is>
      </c>
    </row>
    <row r="541">
      <c r="A541" s="3" t="inlineStr">
        <is>
          <t>남이면 양촌리 268-6</t>
        </is>
      </c>
      <c r="B541" s="3" t="inlineStr">
        <is>
          <t>자연녹지지역</t>
        </is>
      </c>
      <c r="C541" s="3" t="inlineStr">
        <is>
          <t>대</t>
        </is>
      </c>
      <c r="D541" s="3" t="inlineStr">
        <is>
          <t>대</t>
        </is>
      </c>
      <c r="E541" s="3" t="inlineStr">
        <is>
          <t>매매</t>
        </is>
      </c>
      <c r="F541" s="4" t="n">
        <v>70000</v>
      </c>
      <c r="G541" s="4" t="n">
        <v>626</v>
      </c>
      <c r="H541" s="4" t="n">
        <v>189</v>
      </c>
      <c r="I541" s="5" t="n">
        <v>370.4</v>
      </c>
      <c r="J541" s="5" t="n">
        <v>133.1</v>
      </c>
      <c r="K541" s="3" t="inlineStr">
        <is>
          <t>양촌카플주차장 인근, 인접토지건물 연계 매매23억원, 가격 절충</t>
        </is>
      </c>
      <c r="L541" s="6">
        <f>HYPERLINK("https://fin.land.naver.com/articles/2653650190", "매물Link")</f>
        <v/>
      </c>
      <c r="M541" s="6">
        <f>HYPERLINK("https://map.naver.com/p/search/남이면 양촌리 268-6", "지도Link")</f>
        <v/>
      </c>
      <c r="N541" s="6">
        <f>HYPERLINK("http://www.eum.go.kr/web/ar/lu/luLandDet.jsp?pnu=4311231037102680006&amp;isNoScr=script&amp;mode=search", "토지이음")</f>
        <v/>
      </c>
      <c r="O541" s="3" t="inlineStr">
        <is>
          <t>라인</t>
        </is>
      </c>
      <c r="P541" s="4" t="n">
        <v>1</v>
      </c>
      <c r="Q541" s="4" t="n">
        <v>626</v>
      </c>
      <c r="R541" s="3" t="inlineStr">
        <is>
          <t>지정되지않음</t>
        </is>
      </c>
      <c r="S541" s="3" t="inlineStr">
        <is>
          <t>상업용</t>
        </is>
      </c>
      <c r="T541" s="3" t="inlineStr">
        <is>
          <t>평지</t>
        </is>
      </c>
      <c r="U541" s="3" t="inlineStr">
        <is>
          <t>부정형</t>
        </is>
      </c>
      <c r="V541" s="3" t="inlineStr">
        <is>
          <t>세로한면(가)</t>
        </is>
      </c>
    </row>
    <row r="542">
      <c r="A542" s="3" t="inlineStr">
        <is>
          <t>남이면 양촌리 317-2</t>
        </is>
      </c>
      <c r="B542" s="3" t="inlineStr">
        <is>
          <t>자연녹지지역</t>
        </is>
      </c>
      <c r="C542" s="3" t="inlineStr">
        <is>
          <t>전</t>
        </is>
      </c>
      <c r="D542" s="3" t="inlineStr">
        <is>
          <t>전</t>
        </is>
      </c>
      <c r="E542" s="3" t="inlineStr">
        <is>
          <t>매매</t>
        </is>
      </c>
      <c r="F542" s="4" t="n">
        <v>53000</v>
      </c>
      <c r="G542" s="4" t="n">
        <v>1309</v>
      </c>
      <c r="H542" s="4" t="n">
        <v>396</v>
      </c>
      <c r="I542" s="5" t="n">
        <v>133.8</v>
      </c>
      <c r="J542" s="5" t="n">
        <v>48.1</v>
      </c>
      <c r="K542" s="3" t="inlineStr">
        <is>
          <t>남이면 양촌리 도로 접한 자연녹지 밭 매매 창고.근생등 추천</t>
        </is>
      </c>
      <c r="L542" s="6">
        <f>HYPERLINK("https://fin.land.naver.com/articles/2651924628", "매물Link")</f>
        <v/>
      </c>
      <c r="M542" s="6">
        <f>HYPERLINK("https://map.naver.com/p/search/남이면 양촌리 317-2", "지도Link")</f>
        <v/>
      </c>
      <c r="N542" s="6">
        <f>HYPERLINK("http://www.eum.go.kr/web/ar/lu/luLandDet.jsp?pnu=4311231037103170002&amp;isNoScr=script&amp;mode=search", "토지이음")</f>
        <v/>
      </c>
      <c r="O542" s="3" t="inlineStr">
        <is>
          <t>그린</t>
        </is>
      </c>
      <c r="P542" s="4" t="n">
        <v>1</v>
      </c>
      <c r="Q542" s="4" t="n">
        <v>1309</v>
      </c>
      <c r="R542" s="3" t="inlineStr">
        <is>
          <t>지정되지않음</t>
        </is>
      </c>
      <c r="S542" s="3" t="inlineStr">
        <is>
          <t>전</t>
        </is>
      </c>
      <c r="T542" s="3" t="inlineStr">
        <is>
          <t>완경사</t>
        </is>
      </c>
      <c r="U542" s="3" t="inlineStr">
        <is>
          <t>부정형</t>
        </is>
      </c>
      <c r="V542" s="3" t="inlineStr">
        <is>
          <t>세로한면(가)</t>
        </is>
      </c>
    </row>
    <row r="543">
      <c r="A543" s="3" t="inlineStr">
        <is>
          <t>남이면 양촌리 393</t>
        </is>
      </c>
      <c r="B543" s="3" t="inlineStr">
        <is>
          <t>자연녹지지역</t>
        </is>
      </c>
      <c r="C543" s="3" t="inlineStr">
        <is>
          <t>답</t>
        </is>
      </c>
      <c r="D543" s="3" t="inlineStr">
        <is>
          <t>답</t>
        </is>
      </c>
      <c r="E543" s="3" t="inlineStr">
        <is>
          <t>매매</t>
        </is>
      </c>
      <c r="F543" s="4" t="n">
        <v>61600</v>
      </c>
      <c r="G543" s="4" t="n">
        <v>2038</v>
      </c>
      <c r="H543" s="4" t="n">
        <v>616</v>
      </c>
      <c r="I543" s="5" t="n">
        <v>100</v>
      </c>
      <c r="J543" s="5" t="n">
        <v>38.5</v>
      </c>
      <c r="K543" s="3" t="inlineStr">
        <is>
          <t>넓은대지 평면지형 접근성 좋음</t>
        </is>
      </c>
      <c r="L543" s="6">
        <f>HYPERLINK("https://fin.land.naver.com/articles/2649743865", "매물Link")</f>
        <v/>
      </c>
      <c r="M543" s="6">
        <f>HYPERLINK("https://map.naver.com/p/search/남이면 양촌리 393", "지도Link")</f>
        <v/>
      </c>
      <c r="N543" s="6">
        <f>HYPERLINK("http://www.eum.go.kr/web/ar/lu/luLandDet.jsp?pnu=4311231037103930000&amp;isNoScr=script&amp;mode=search", "토지이음")</f>
        <v/>
      </c>
      <c r="O543" s="3" t="inlineStr">
        <is>
          <t>학사</t>
        </is>
      </c>
      <c r="P543" s="4" t="n">
        <v>1</v>
      </c>
      <c r="Q543" s="4" t="n">
        <v>2038</v>
      </c>
      <c r="R543" s="3" t="inlineStr">
        <is>
          <t>지정되지않음</t>
        </is>
      </c>
      <c r="S543" s="3" t="inlineStr">
        <is>
          <t>답</t>
        </is>
      </c>
      <c r="T543" s="3" t="inlineStr">
        <is>
          <t>완경사</t>
        </is>
      </c>
      <c r="U543" s="3" t="inlineStr">
        <is>
          <t>부정형</t>
        </is>
      </c>
      <c r="V543" s="3" t="inlineStr">
        <is>
          <t>세로각지(가)</t>
        </is>
      </c>
    </row>
    <row r="544">
      <c r="A544" s="3" t="inlineStr">
        <is>
          <t>남이면 양촌리 395-1</t>
        </is>
      </c>
      <c r="B544" s="3" t="inlineStr">
        <is>
          <t>자연녹지지역</t>
        </is>
      </c>
      <c r="C544" s="3" t="inlineStr">
        <is>
          <t>답</t>
        </is>
      </c>
      <c r="D544" s="3" t="inlineStr">
        <is>
          <t>답</t>
        </is>
      </c>
      <c r="E544" s="3" t="inlineStr">
        <is>
          <t>매매</t>
        </is>
      </c>
      <c r="F544" s="4" t="n">
        <v>29000</v>
      </c>
      <c r="G544" s="4" t="n">
        <v>684</v>
      </c>
      <c r="H544" s="4" t="n">
        <v>207</v>
      </c>
      <c r="I544" s="5" t="n">
        <v>140.1</v>
      </c>
      <c r="J544" s="5" t="n">
        <v>42.1</v>
      </c>
      <c r="K544" s="3" t="inlineStr">
        <is>
          <t>남향토지로 접근성 우수</t>
        </is>
      </c>
      <c r="L544" s="6">
        <f>HYPERLINK("https://fin.land.naver.com/articles/2651705474", "매물Link")</f>
        <v/>
      </c>
      <c r="M544" s="6">
        <f>HYPERLINK("https://map.naver.com/p/search/남이면 양촌리 395-1", "지도Link")</f>
        <v/>
      </c>
      <c r="N544" s="6">
        <f>HYPERLINK("http://www.eum.go.kr/web/ar/lu/luLandDet.jsp?pnu=4311231037103950001&amp;isNoScr=script&amp;mode=search", "토지이음")</f>
        <v/>
      </c>
      <c r="O544" s="3" t="inlineStr">
        <is>
          <t>터사랑</t>
        </is>
      </c>
      <c r="P544" s="4" t="n">
        <v>2</v>
      </c>
      <c r="Q544" s="4" t="n">
        <v>684</v>
      </c>
      <c r="R544" s="3" t="inlineStr">
        <is>
          <t>지정되지않음</t>
        </is>
      </c>
      <c r="S544" s="3" t="inlineStr">
        <is>
          <t>답</t>
        </is>
      </c>
      <c r="T544" s="3" t="inlineStr">
        <is>
          <t>평지</t>
        </is>
      </c>
      <c r="U544" s="3" t="inlineStr">
        <is>
          <t>부정형</t>
        </is>
      </c>
      <c r="V544" s="3" t="inlineStr">
        <is>
          <t>세로한면(가)</t>
        </is>
      </c>
    </row>
    <row r="545">
      <c r="A545" s="3" t="inlineStr">
        <is>
          <t>남이면 양촌리 419-4</t>
        </is>
      </c>
      <c r="B545" s="3" t="inlineStr">
        <is>
          <t>자연녹지지역</t>
        </is>
      </c>
      <c r="C545" s="3" t="inlineStr">
        <is>
          <t>전</t>
        </is>
      </c>
      <c r="D545" s="3" t="inlineStr">
        <is>
          <t>전</t>
        </is>
      </c>
      <c r="E545" s="3" t="inlineStr">
        <is>
          <t>매매</t>
        </is>
      </c>
      <c r="F545" s="4" t="n">
        <v>220000</v>
      </c>
      <c r="G545" s="4" t="n">
        <v>4540</v>
      </c>
      <c r="H545" s="4" t="n">
        <v>1373</v>
      </c>
      <c r="I545" s="5" t="n">
        <v>160.2</v>
      </c>
      <c r="J545" s="5" t="n">
        <v>37.5</v>
      </c>
      <c r="K545" s="3" t="inlineStr">
        <is>
          <t>제2종근생 허가득,토목공사 완료,오폐수직관,3순환로인접,공장 음식점</t>
        </is>
      </c>
      <c r="L545" s="6">
        <f>HYPERLINK("https://fin.land.naver.com/articles/2651557955", "매물Link")</f>
        <v/>
      </c>
      <c r="M545" s="6">
        <f>HYPERLINK("https://map.naver.com/p/search/남이면 양촌리 419-4", "지도Link")</f>
        <v/>
      </c>
      <c r="N545" s="6">
        <f>HYPERLINK("http://www.eum.go.kr/web/ar/lu/luLandDet.jsp?pnu=4311231037104190004&amp;isNoScr=script&amp;mode=search", "토지이음")</f>
        <v/>
      </c>
      <c r="O545" s="3" t="inlineStr">
        <is>
          <t>라인</t>
        </is>
      </c>
      <c r="P545" s="4" t="n">
        <v>1</v>
      </c>
      <c r="Q545" s="4" t="n">
        <v>911</v>
      </c>
      <c r="R545" s="3" t="inlineStr">
        <is>
          <t>지정되지않음</t>
        </is>
      </c>
      <c r="S545" s="3" t="inlineStr">
        <is>
          <t>전</t>
        </is>
      </c>
      <c r="T545" s="3" t="inlineStr">
        <is>
          <t>완경사</t>
        </is>
      </c>
      <c r="U545" s="3" t="inlineStr">
        <is>
          <t>부정형</t>
        </is>
      </c>
      <c r="V545" s="3" t="inlineStr">
        <is>
          <t>세로한면(가)</t>
        </is>
      </c>
    </row>
    <row r="546">
      <c r="A546" s="3" t="inlineStr">
        <is>
          <t>남이면 양촌리 53-69</t>
        </is>
      </c>
      <c r="B546" s="3" t="inlineStr">
        <is>
          <t>자연녹지지역</t>
        </is>
      </c>
      <c r="C546" s="3" t="inlineStr">
        <is>
          <t>임야</t>
        </is>
      </c>
      <c r="D546" s="3" t="inlineStr">
        <is>
          <t>임야</t>
        </is>
      </c>
      <c r="E546" s="3" t="inlineStr">
        <is>
          <t>매매</t>
        </is>
      </c>
      <c r="F546" s="4" t="n">
        <v>33460</v>
      </c>
      <c r="G546" s="4" t="n">
        <v>791</v>
      </c>
      <c r="H546" s="4" t="n">
        <v>239</v>
      </c>
      <c r="I546" s="5" t="n">
        <v>140</v>
      </c>
      <c r="J546" s="5" t="n">
        <v>103.6</v>
      </c>
      <c r="K546" s="3" t="inlineStr">
        <is>
          <t>청주 서원구 남이면 양촌리 가마리 인근 전원마을 토목공사완료 주택건축</t>
        </is>
      </c>
      <c r="L546" s="6">
        <f>HYPERLINK("https://fin.land.naver.com/articles/2653517521", "매물Link")</f>
        <v/>
      </c>
      <c r="M546" s="6">
        <f>HYPERLINK("https://map.naver.com/p/search/남이면 양촌리 53-69", "지도Link")</f>
        <v/>
      </c>
      <c r="N546" s="6">
        <f>HYPERLINK("http://www.eum.go.kr/web/ar/lu/luLandDet.jsp?pnu=4311231037100530069&amp;isNoScr=script&amp;mode=search", "토지이음")</f>
        <v/>
      </c>
      <c r="O546" s="3" t="inlineStr">
        <is>
          <t>나침반</t>
        </is>
      </c>
      <c r="P546" s="4" t="n">
        <v>1</v>
      </c>
      <c r="Q546" s="4" t="n">
        <v>685</v>
      </c>
      <c r="R546" s="3" t="inlineStr">
        <is>
          <t>지정되지않음</t>
        </is>
      </c>
      <c r="S546" s="3" t="inlineStr">
        <is>
          <t>주거나지</t>
        </is>
      </c>
      <c r="T546" s="3" t="inlineStr">
        <is>
          <t>완경사</t>
        </is>
      </c>
      <c r="U546" s="3" t="inlineStr">
        <is>
          <t>부정형</t>
        </is>
      </c>
      <c r="V546" s="3" t="inlineStr">
        <is>
          <t>세로한면(가)</t>
        </is>
      </c>
    </row>
    <row r="547">
      <c r="A547" s="3" t="inlineStr">
        <is>
          <t>남이면 양촌리 53-96</t>
        </is>
      </c>
      <c r="B547" s="3" t="inlineStr">
        <is>
          <t>자연녹지지역</t>
        </is>
      </c>
      <c r="C547" s="3" t="inlineStr">
        <is>
          <t>전</t>
        </is>
      </c>
      <c r="D547" s="3" t="inlineStr">
        <is>
          <t>전</t>
        </is>
      </c>
      <c r="E547" s="3" t="inlineStr">
        <is>
          <t>매매</t>
        </is>
      </c>
      <c r="F547" s="4" t="n">
        <v>32300</v>
      </c>
      <c r="G547" s="4" t="n">
        <v>631</v>
      </c>
      <c r="H547" s="4" t="n">
        <v>191</v>
      </c>
      <c r="I547" s="5" t="n">
        <v>169.1</v>
      </c>
      <c r="J547" s="5" t="n">
        <v>43.5</v>
      </c>
      <c r="K547" s="3" t="inlineStr">
        <is>
          <t>nan</t>
        </is>
      </c>
      <c r="L547" s="6">
        <f>HYPERLINK("https://fin.land.naver.com/articles/2649723455", "매물Link")</f>
        <v/>
      </c>
      <c r="M547" s="6">
        <f>HYPERLINK("https://map.naver.com/p/search/남이면 양촌리 53-96", "지도Link")</f>
        <v/>
      </c>
      <c r="N547" s="6">
        <f>HYPERLINK("http://www.eum.go.kr/web/ar/lu/luLandDet.jsp?pnu=4311231037100530096&amp;isNoScr=script&amp;mode=search", "토지이음")</f>
        <v/>
      </c>
      <c r="O547" s="3" t="inlineStr">
        <is>
          <t>좋은선택</t>
        </is>
      </c>
      <c r="P547" s="4" t="n">
        <v>1</v>
      </c>
      <c r="Q547" s="4" t="n">
        <v>631</v>
      </c>
      <c r="R547" s="3" t="inlineStr">
        <is>
          <t>지정되지않음</t>
        </is>
      </c>
      <c r="S547" s="3" t="inlineStr">
        <is>
          <t>전</t>
        </is>
      </c>
      <c r="T547" s="3" t="inlineStr">
        <is>
          <t>완경사</t>
        </is>
      </c>
      <c r="U547" s="3" t="inlineStr">
        <is>
          <t>사다리형</t>
        </is>
      </c>
      <c r="V547" s="3" t="inlineStr">
        <is>
          <t>맹지</t>
        </is>
      </c>
    </row>
    <row r="548">
      <c r="A548" s="3" t="inlineStr">
        <is>
          <t>남이면 양촌리 64-4</t>
        </is>
      </c>
      <c r="B548" s="3" t="inlineStr">
        <is>
          <t>자연녹지지역</t>
        </is>
      </c>
      <c r="C548" s="3" t="inlineStr">
        <is>
          <t>대</t>
        </is>
      </c>
      <c r="D548" s="3" t="inlineStr">
        <is>
          <t>대</t>
        </is>
      </c>
      <c r="E548" s="3" t="inlineStr">
        <is>
          <t>매매</t>
        </is>
      </c>
      <c r="F548" s="4" t="n">
        <v>180000</v>
      </c>
      <c r="G548" s="4" t="n">
        <v>5731</v>
      </c>
      <c r="H548" s="4" t="n">
        <v>1734</v>
      </c>
      <c r="I548" s="5" t="n">
        <v>103.8</v>
      </c>
      <c r="J548" s="5" t="n">
        <v>76.40000000000001</v>
      </c>
      <c r="K548" s="3" t="inlineStr">
        <is>
          <t>nan</t>
        </is>
      </c>
      <c r="L548" s="6">
        <f>HYPERLINK("https://fin.land.naver.com/articles/2650045759", "매물Link")</f>
        <v/>
      </c>
      <c r="M548" s="6">
        <f>HYPERLINK("https://map.naver.com/p/search/남이면 양촌리 64-4", "지도Link")</f>
        <v/>
      </c>
      <c r="N548" s="6">
        <f>HYPERLINK("http://www.eum.go.kr/web/ar/lu/luLandDet.jsp?pnu=4311231037100640004&amp;isNoScr=script&amp;mode=search", "토지이음")</f>
        <v/>
      </c>
      <c r="O548" s="3" t="inlineStr">
        <is>
          <t>대지</t>
        </is>
      </c>
      <c r="P548" s="4" t="n">
        <v>1</v>
      </c>
      <c r="Q548" s="4" t="n">
        <v>460</v>
      </c>
      <c r="R548" s="3" t="inlineStr">
        <is>
          <t>지정되지않음</t>
        </is>
      </c>
      <c r="S548" s="3" t="inlineStr">
        <is>
          <t>주거나지</t>
        </is>
      </c>
      <c r="T548" s="3" t="inlineStr">
        <is>
          <t>평지</t>
        </is>
      </c>
      <c r="U548" s="3" t="inlineStr">
        <is>
          <t>부정형</t>
        </is>
      </c>
      <c r="V548" s="3" t="inlineStr">
        <is>
          <t>세로한면(불)</t>
        </is>
      </c>
    </row>
    <row r="549">
      <c r="A549" s="3" t="inlineStr">
        <is>
          <t>남이면 양촌리 83-16</t>
        </is>
      </c>
      <c r="B549" s="3" t="inlineStr">
        <is>
          <t>자연녹지지역</t>
        </is>
      </c>
      <c r="C549" s="3" t="inlineStr">
        <is>
          <t>전</t>
        </is>
      </c>
      <c r="D549" s="3" t="inlineStr">
        <is>
          <t>전</t>
        </is>
      </c>
      <c r="E549" s="3" t="inlineStr">
        <is>
          <t>매매</t>
        </is>
      </c>
      <c r="F549" s="4" t="n">
        <v>130000</v>
      </c>
      <c r="G549" s="4" t="n">
        <v>2586</v>
      </c>
      <c r="H549" s="4" t="n">
        <v>782</v>
      </c>
      <c r="I549" s="5" t="n">
        <v>166.2</v>
      </c>
      <c r="J549" s="5" t="n">
        <v>56.6</v>
      </c>
      <c r="K549" s="3" t="inlineStr">
        <is>
          <t>주택을 품은 넓은토지 광고효과 좋음</t>
        </is>
      </c>
      <c r="L549" s="6">
        <f>HYPERLINK("https://fin.land.naver.com/articles/2649738597", "매물Link")</f>
        <v/>
      </c>
      <c r="M549" s="6">
        <f>HYPERLINK("https://map.naver.com/p/search/남이면 양촌리 83-16", "지도Link")</f>
        <v/>
      </c>
      <c r="N549" s="6">
        <f>HYPERLINK("http://www.eum.go.kr/web/ar/lu/luLandDet.jsp?pnu=4311231037100830016&amp;isNoScr=script&amp;mode=search", "토지이음")</f>
        <v/>
      </c>
      <c r="O549" s="3" t="inlineStr">
        <is>
          <t>학사</t>
        </is>
      </c>
      <c r="P549" s="4" t="n">
        <v>1</v>
      </c>
      <c r="Q549" s="4" t="n">
        <v>706</v>
      </c>
      <c r="R549" s="3" t="inlineStr">
        <is>
          <t>지정되지않음</t>
        </is>
      </c>
      <c r="S549" s="3" t="inlineStr">
        <is>
          <t>전</t>
        </is>
      </c>
      <c r="T549" s="3" t="inlineStr">
        <is>
          <t>평지</t>
        </is>
      </c>
      <c r="U549" s="3" t="inlineStr">
        <is>
          <t>부정형</t>
        </is>
      </c>
      <c r="V549" s="3" t="inlineStr">
        <is>
          <t>세로한면(가)</t>
        </is>
      </c>
    </row>
    <row r="550">
      <c r="A550" s="3" t="inlineStr">
        <is>
          <t>남이면 양촌리 산 12-5</t>
        </is>
      </c>
      <c r="B550" s="3" t="inlineStr">
        <is>
          <t>보전녹지지역</t>
        </is>
      </c>
      <c r="C550" s="3" t="inlineStr">
        <is>
          <t>임야</t>
        </is>
      </c>
      <c r="D550" s="3" t="inlineStr">
        <is>
          <t>임야</t>
        </is>
      </c>
      <c r="E550" s="3" t="inlineStr">
        <is>
          <t>매매</t>
        </is>
      </c>
      <c r="F550" s="4" t="n">
        <v>87800</v>
      </c>
      <c r="G550" s="4" t="n">
        <v>2233</v>
      </c>
      <c r="H550" s="4" t="n">
        <v>675</v>
      </c>
      <c r="I550" s="5" t="n">
        <v>130.1</v>
      </c>
      <c r="J550" s="5" t="n">
        <v>3.5</v>
      </c>
      <c r="K550" s="3" t="inlineStr">
        <is>
          <t>청주 시내뷰를 가진 시내권 전원주택</t>
        </is>
      </c>
      <c r="L550" s="6">
        <f>HYPERLINK("https://fin.land.naver.com/articles/2652742861", "매물Link")</f>
        <v/>
      </c>
      <c r="M550" s="6">
        <f>HYPERLINK("https://map.naver.com/p/search/남이면 양촌리 산 12-5", "지도Link")</f>
        <v/>
      </c>
      <c r="N550" s="6">
        <f>HYPERLINK("http://www.eum.go.kr/web/ar/lu/luLandDet.jsp?pnu=4311231037200120005&amp;isNoScr=script&amp;mode=search", "토지이음")</f>
        <v/>
      </c>
      <c r="O550" s="3" t="inlineStr">
        <is>
          <t>좋은선택</t>
        </is>
      </c>
      <c r="P550" s="4" t="n">
        <v>1</v>
      </c>
      <c r="Q550" s="4" t="n">
        <v>1910</v>
      </c>
      <c r="R550" s="3" t="inlineStr">
        <is>
          <t>지정되지않음</t>
        </is>
      </c>
      <c r="S550" s="3" t="inlineStr">
        <is>
          <t>자연림</t>
        </is>
      </c>
      <c r="T550" s="3" t="inlineStr">
        <is>
          <t>완경사</t>
        </is>
      </c>
      <c r="U550" s="3" t="inlineStr">
        <is>
          <t>부정형</t>
        </is>
      </c>
      <c r="V550" s="3" t="inlineStr">
        <is>
          <t>맹지</t>
        </is>
      </c>
    </row>
    <row r="551">
      <c r="A551" s="3" t="inlineStr">
        <is>
          <t>남이면 양촌리 산8-26</t>
        </is>
      </c>
      <c r="B551" s="3" t="inlineStr">
        <is>
          <t>자연녹지지역</t>
        </is>
      </c>
      <c r="C551" s="3" t="inlineStr">
        <is>
          <t>임야</t>
        </is>
      </c>
      <c r="D551" s="3" t="inlineStr">
        <is>
          <t>임야</t>
        </is>
      </c>
      <c r="E551" s="3" t="inlineStr">
        <is>
          <t>매매</t>
        </is>
      </c>
      <c r="F551" s="4" t="n">
        <v>21000</v>
      </c>
      <c r="G551" s="4" t="n">
        <v>425</v>
      </c>
      <c r="H551" s="4" t="n">
        <v>129</v>
      </c>
      <c r="I551" s="5" t="n">
        <v>162.8</v>
      </c>
      <c r="J551" s="5" t="n">
        <v>74.3</v>
      </c>
      <c r="K551" s="3" t="inlineStr">
        <is>
          <t>도심 근교 주택부지</t>
        </is>
      </c>
      <c r="L551" s="6">
        <f>HYPERLINK("https://fin.land.naver.com/articles/2649630918", "매물Link")</f>
        <v/>
      </c>
      <c r="M551" s="6">
        <f>HYPERLINK("https://map.naver.com/p/search/남이면 양촌리 산8-26", "지도Link")</f>
        <v/>
      </c>
      <c r="N551" s="6">
        <f>HYPERLINK("http://www.eum.go.kr/web/ar/lu/luLandDet.jsp?pnu=4311231037200080026&amp;isNoScr=script&amp;mode=search", "토지이음")</f>
        <v/>
      </c>
      <c r="O551" s="3" t="inlineStr">
        <is>
          <t>조은</t>
        </is>
      </c>
      <c r="P551" s="4" t="n">
        <v>1</v>
      </c>
      <c r="Q551" s="4" t="n">
        <v>388</v>
      </c>
      <c r="R551" s="3" t="inlineStr">
        <is>
          <t>지정되지않음</t>
        </is>
      </c>
      <c r="S551" s="3" t="inlineStr">
        <is>
          <t>주거나지</t>
        </is>
      </c>
      <c r="T551" s="3" t="inlineStr">
        <is>
          <t>완경사</t>
        </is>
      </c>
      <c r="U551" s="3" t="inlineStr">
        <is>
          <t>사다리형</t>
        </is>
      </c>
      <c r="V551" s="3" t="inlineStr">
        <is>
          <t>세로한면(가)</t>
        </is>
      </c>
    </row>
    <row r="552">
      <c r="A552" s="3" t="inlineStr">
        <is>
          <t>남이면 외천리 121</t>
        </is>
      </c>
      <c r="B552" s="3" t="inlineStr">
        <is>
          <t>계획관리지역</t>
        </is>
      </c>
      <c r="C552" s="3" t="inlineStr">
        <is>
          <t>답</t>
        </is>
      </c>
      <c r="D552" s="3" t="inlineStr">
        <is>
          <t>답</t>
        </is>
      </c>
      <c r="E552" s="3" t="inlineStr">
        <is>
          <t>매매</t>
        </is>
      </c>
      <c r="F552" s="4" t="n">
        <v>285000</v>
      </c>
      <c r="G552" s="4" t="n">
        <v>6282</v>
      </c>
      <c r="H552" s="4" t="n">
        <v>1900</v>
      </c>
      <c r="I552" s="5" t="n">
        <v>150</v>
      </c>
      <c r="J552" s="5" t="n">
        <v>18.5</v>
      </c>
      <c r="K552" s="3" t="inlineStr">
        <is>
          <t>청주시 남이면 경부,중부,당진영덕고속도로 ic,jc로 바로연결 가능</t>
        </is>
      </c>
      <c r="L552" s="6">
        <f>HYPERLINK("https://fin.land.naver.com/articles/2652451277", "매물Link")</f>
        <v/>
      </c>
      <c r="M552" s="6">
        <f>HYPERLINK("https://map.naver.com/p/search/남이면 외천리 121", "지도Link")</f>
        <v/>
      </c>
      <c r="N552" s="6">
        <f>HYPERLINK("http://www.eum.go.kr/web/ar/lu/luLandDet.jsp?pnu=4311231022101210000&amp;isNoScr=script&amp;mode=search", "토지이음")</f>
        <v/>
      </c>
      <c r="O552" s="3" t="inlineStr">
        <is>
          <t>좋은선택</t>
        </is>
      </c>
      <c r="P552" s="4" t="n">
        <v>1</v>
      </c>
      <c r="Q552" s="4" t="n">
        <v>2280</v>
      </c>
      <c r="R552" s="3" t="inlineStr">
        <is>
          <t>지정되지않음</t>
        </is>
      </c>
      <c r="S552" s="3" t="inlineStr">
        <is>
          <t>답</t>
        </is>
      </c>
      <c r="T552" s="3" t="inlineStr">
        <is>
          <t>완경사</t>
        </is>
      </c>
      <c r="U552" s="3" t="inlineStr">
        <is>
          <t>사다리형</t>
        </is>
      </c>
      <c r="V552" s="3" t="inlineStr">
        <is>
          <t>세로한면(가)</t>
        </is>
      </c>
    </row>
    <row r="553">
      <c r="A553" s="3" t="inlineStr">
        <is>
          <t>남이면 외천리 276-2</t>
        </is>
      </c>
      <c r="B553" s="3" t="inlineStr">
        <is>
          <t>계획관리지역</t>
        </is>
      </c>
      <c r="C553" s="3" t="inlineStr">
        <is>
          <t>전</t>
        </is>
      </c>
      <c r="D553" s="3" t="inlineStr">
        <is>
          <t>전</t>
        </is>
      </c>
      <c r="E553" s="3" t="inlineStr">
        <is>
          <t>매매</t>
        </is>
      </c>
      <c r="F553" s="4" t="n">
        <v>3700</v>
      </c>
      <c r="G553" s="4" t="n">
        <v>384</v>
      </c>
      <c r="H553" s="4" t="n">
        <v>116</v>
      </c>
      <c r="I553" s="5" t="n">
        <v>31.9</v>
      </c>
      <c r="J553" s="5" t="n">
        <v>30</v>
      </c>
      <c r="K553" s="3" t="inlineStr">
        <is>
          <t>외천리 계획관리지역내의 반듯한 모양의 작은 토지 매매이예요</t>
        </is>
      </c>
      <c r="L553" s="6">
        <f>HYPERLINK("https://fin.land.naver.com/articles/2651072689", "매물Link")</f>
        <v/>
      </c>
      <c r="M553" s="6">
        <f>HYPERLINK("https://map.naver.com/p/search/남이면 외천리 276-2", "지도Link")</f>
        <v/>
      </c>
      <c r="N553" s="6">
        <f>HYPERLINK("http://www.eum.go.kr/web/ar/lu/luLandDet.jsp?pnu=4311231022102760002&amp;isNoScr=script&amp;mode=search", "토지이음")</f>
        <v/>
      </c>
      <c r="O553" s="3" t="inlineStr">
        <is>
          <t>4989명품</t>
        </is>
      </c>
      <c r="P553" s="4" t="n">
        <v>1</v>
      </c>
      <c r="Q553" s="4" t="n">
        <v>384</v>
      </c>
      <c r="R553" s="3" t="inlineStr">
        <is>
          <t>지정되지않음</t>
        </is>
      </c>
      <c r="S553" s="3" t="inlineStr">
        <is>
          <t>전</t>
        </is>
      </c>
      <c r="T553" s="3" t="inlineStr">
        <is>
          <t>완경사</t>
        </is>
      </c>
      <c r="U553" s="3" t="inlineStr">
        <is>
          <t>부정형</t>
        </is>
      </c>
      <c r="V553" s="3" t="inlineStr">
        <is>
          <t>세로한면(불)</t>
        </is>
      </c>
    </row>
    <row r="554">
      <c r="A554" s="3" t="inlineStr">
        <is>
          <t>남이면 외천리 276-2</t>
        </is>
      </c>
      <c r="B554" s="3" t="inlineStr">
        <is>
          <t>계획관리지역</t>
        </is>
      </c>
      <c r="C554" s="3" t="inlineStr">
        <is>
          <t>전</t>
        </is>
      </c>
      <c r="D554" s="3" t="inlineStr">
        <is>
          <t>전</t>
        </is>
      </c>
      <c r="E554" s="3" t="inlineStr">
        <is>
          <t>매매</t>
        </is>
      </c>
      <c r="F554" s="4" t="n">
        <v>3700</v>
      </c>
      <c r="G554" s="4" t="n">
        <v>384</v>
      </c>
      <c r="H554" s="4" t="n">
        <v>116</v>
      </c>
      <c r="I554" s="5" t="n">
        <v>31.9</v>
      </c>
      <c r="J554" s="5" t="n">
        <v>30</v>
      </c>
      <c r="K554" s="3" t="inlineStr">
        <is>
          <t>남이면 외천리 작은 밭 급매 지적도상 도로 접미개설 주말농장등</t>
        </is>
      </c>
      <c r="L554" s="6">
        <f>HYPERLINK("https://fin.land.naver.com/articles/2650746620", "매물Link")</f>
        <v/>
      </c>
      <c r="M554" s="6">
        <f>HYPERLINK("https://map.naver.com/p/search/남이면 외천리 276-2", "지도Link")</f>
        <v/>
      </c>
      <c r="N554" s="6">
        <f>HYPERLINK("http://www.eum.go.kr/web/ar/lu/luLandDet.jsp?pnu=4311231022102760002&amp;isNoScr=script&amp;mode=search", "토지이음")</f>
        <v/>
      </c>
      <c r="O554" s="3" t="inlineStr">
        <is>
          <t>그린</t>
        </is>
      </c>
      <c r="P554" s="4" t="n">
        <v>1</v>
      </c>
      <c r="Q554" s="4" t="n">
        <v>384</v>
      </c>
      <c r="R554" s="3" t="inlineStr">
        <is>
          <t>지정되지않음</t>
        </is>
      </c>
      <c r="S554" s="3" t="inlineStr">
        <is>
          <t>전</t>
        </is>
      </c>
      <c r="T554" s="3" t="inlineStr">
        <is>
          <t>완경사</t>
        </is>
      </c>
      <c r="U554" s="3" t="inlineStr">
        <is>
          <t>부정형</t>
        </is>
      </c>
      <c r="V554" s="3" t="inlineStr">
        <is>
          <t>세로한면(불)</t>
        </is>
      </c>
    </row>
    <row r="555">
      <c r="A555" s="3" t="inlineStr">
        <is>
          <t>남이면 외천리 276-2</t>
        </is>
      </c>
      <c r="B555" s="3" t="inlineStr">
        <is>
          <t>계획관리지역</t>
        </is>
      </c>
      <c r="C555" s="3" t="inlineStr">
        <is>
          <t>전</t>
        </is>
      </c>
      <c r="D555" s="3" t="inlineStr">
        <is>
          <t>전</t>
        </is>
      </c>
      <c r="E555" s="3" t="inlineStr">
        <is>
          <t>매매</t>
        </is>
      </c>
      <c r="F555" s="4" t="n">
        <v>3700</v>
      </c>
      <c r="G555" s="4" t="n">
        <v>384</v>
      </c>
      <c r="H555" s="4" t="n">
        <v>116</v>
      </c>
      <c r="I555" s="5" t="n">
        <v>31.9</v>
      </c>
      <c r="J555" s="5" t="n">
        <v>30</v>
      </c>
      <c r="K555" s="3" t="inlineStr">
        <is>
          <t>nan</t>
        </is>
      </c>
      <c r="L555" s="6">
        <f>HYPERLINK("https://fin.land.naver.com/articles/2651009859", "매물Link")</f>
        <v/>
      </c>
      <c r="M555" s="6">
        <f>HYPERLINK("https://map.naver.com/p/search/남이면 외천리 276-2", "지도Link")</f>
        <v/>
      </c>
      <c r="N555" s="6">
        <f>HYPERLINK("http://www.eum.go.kr/web/ar/lu/luLandDet.jsp?pnu=4311231022102760002&amp;isNoScr=script&amp;mode=search", "토지이음")</f>
        <v/>
      </c>
      <c r="O555" s="3" t="inlineStr">
        <is>
          <t>노른자</t>
        </is>
      </c>
      <c r="P555" s="4" t="n">
        <v>1</v>
      </c>
      <c r="Q555" s="4" t="n">
        <v>384</v>
      </c>
      <c r="R555" s="3" t="inlineStr">
        <is>
          <t>지정되지않음</t>
        </is>
      </c>
      <c r="S555" s="3" t="inlineStr">
        <is>
          <t>전</t>
        </is>
      </c>
      <c r="T555" s="3" t="inlineStr">
        <is>
          <t>완경사</t>
        </is>
      </c>
      <c r="U555" s="3" t="inlineStr">
        <is>
          <t>부정형</t>
        </is>
      </c>
      <c r="V555" s="3" t="inlineStr">
        <is>
          <t>세로한면(불)</t>
        </is>
      </c>
    </row>
    <row r="556">
      <c r="A556" s="3" t="inlineStr">
        <is>
          <t>남이면 외천리 279</t>
        </is>
      </c>
      <c r="B556" s="3" t="inlineStr">
        <is>
          <t>계획관리지역</t>
        </is>
      </c>
      <c r="C556" s="3" t="inlineStr">
        <is>
          <t>대</t>
        </is>
      </c>
      <c r="D556" s="3" t="inlineStr">
        <is>
          <t>대</t>
        </is>
      </c>
      <c r="E556" s="3" t="inlineStr">
        <is>
          <t>매매</t>
        </is>
      </c>
      <c r="F556" s="4" t="n">
        <v>31200</v>
      </c>
      <c r="G556" s="4" t="n">
        <v>687</v>
      </c>
      <c r="H556" s="4" t="n">
        <v>208</v>
      </c>
      <c r="I556" s="5" t="n">
        <v>150</v>
      </c>
      <c r="J556" s="5" t="n">
        <v>54.7</v>
      </c>
      <c r="K556" s="3" t="inlineStr">
        <is>
          <t>nan</t>
        </is>
      </c>
      <c r="L556" s="6">
        <f>HYPERLINK("https://fin.land.naver.com/articles/2649747219", "매물Link")</f>
        <v/>
      </c>
      <c r="M556" s="6">
        <f>HYPERLINK("https://map.naver.com/p/search/남이면 외천리 279", "지도Link")</f>
        <v/>
      </c>
      <c r="N556" s="6">
        <f>HYPERLINK("http://www.eum.go.kr/web/ar/lu/luLandDet.jsp?pnu=4311231022102790000&amp;isNoScr=script&amp;mode=search", "토지이음")</f>
        <v/>
      </c>
      <c r="O556" s="3" t="inlineStr">
        <is>
          <t>지웰선우</t>
        </is>
      </c>
      <c r="P556" s="4" t="n">
        <v>1</v>
      </c>
      <c r="Q556" s="4" t="n">
        <v>689</v>
      </c>
      <c r="R556" s="3" t="inlineStr">
        <is>
          <t>지정되지않음</t>
        </is>
      </c>
      <c r="S556" s="3" t="inlineStr">
        <is>
          <t>단독</t>
        </is>
      </c>
      <c r="T556" s="3" t="inlineStr">
        <is>
          <t>완경사</t>
        </is>
      </c>
      <c r="U556" s="3" t="inlineStr">
        <is>
          <t>사다리형</t>
        </is>
      </c>
      <c r="V556" s="3" t="inlineStr">
        <is>
          <t>세로한면(가)</t>
        </is>
      </c>
    </row>
    <row r="557">
      <c r="A557" s="3" t="inlineStr">
        <is>
          <t>남이면 외천리 296</t>
        </is>
      </c>
      <c r="B557" s="3" t="inlineStr">
        <is>
          <t>계획관리지역</t>
        </is>
      </c>
      <c r="C557" s="3" t="inlineStr">
        <is>
          <t>대</t>
        </is>
      </c>
      <c r="D557" s="3" t="inlineStr">
        <is>
          <t>대</t>
        </is>
      </c>
      <c r="E557" s="3" t="inlineStr">
        <is>
          <t>매매</t>
        </is>
      </c>
      <c r="F557" s="4" t="n">
        <v>23000</v>
      </c>
      <c r="G557" s="4" t="n">
        <v>620</v>
      </c>
      <c r="H557" s="4" t="n">
        <v>188</v>
      </c>
      <c r="I557" s="5" t="n">
        <v>122.3</v>
      </c>
      <c r="J557" s="5" t="n">
        <v>55.7</v>
      </c>
      <c r="K557" s="3" t="inlineStr">
        <is>
          <t>남이면 코너 대지 매매</t>
        </is>
      </c>
      <c r="L557" s="6">
        <f>HYPERLINK("https://fin.land.naver.com/articles/2651167055", "매물Link")</f>
        <v/>
      </c>
      <c r="M557" s="6">
        <f>HYPERLINK("https://map.naver.com/p/search/남이면 외천리 296", "지도Link")</f>
        <v/>
      </c>
      <c r="N557" s="6">
        <f>HYPERLINK("http://www.eum.go.kr/web/ar/lu/luLandDet.jsp?pnu=4311231022102960000&amp;isNoScr=script&amp;mode=search", "토지이음")</f>
        <v/>
      </c>
      <c r="O557" s="3" t="inlineStr">
        <is>
          <t>더공감</t>
        </is>
      </c>
      <c r="P557" s="4" t="n">
        <v>1</v>
      </c>
      <c r="Q557" s="4" t="n">
        <v>620</v>
      </c>
      <c r="R557" s="3" t="inlineStr">
        <is>
          <t>지정되지않음</t>
        </is>
      </c>
      <c r="S557" s="3" t="inlineStr">
        <is>
          <t>단독</t>
        </is>
      </c>
      <c r="T557" s="3" t="inlineStr">
        <is>
          <t>완경사</t>
        </is>
      </c>
      <c r="U557" s="3" t="inlineStr">
        <is>
          <t>사다리형</t>
        </is>
      </c>
      <c r="V557" s="3" t="inlineStr">
        <is>
          <t>세로각지(가)</t>
        </is>
      </c>
    </row>
    <row r="558">
      <c r="A558" s="3" t="inlineStr">
        <is>
          <t>남이면 외천리 296</t>
        </is>
      </c>
      <c r="B558" s="3" t="inlineStr">
        <is>
          <t>계획관리지역</t>
        </is>
      </c>
      <c r="C558" s="3" t="inlineStr">
        <is>
          <t>대</t>
        </is>
      </c>
      <c r="D558" s="3" t="inlineStr">
        <is>
          <t>대</t>
        </is>
      </c>
      <c r="E558" s="3" t="inlineStr">
        <is>
          <t>매매</t>
        </is>
      </c>
      <c r="F558" s="4" t="n">
        <v>20600</v>
      </c>
      <c r="G558" s="4" t="n">
        <v>620</v>
      </c>
      <c r="H558" s="4" t="n">
        <v>188</v>
      </c>
      <c r="I558" s="5" t="n">
        <v>109.6</v>
      </c>
      <c r="J558" s="5" t="n">
        <v>55.7</v>
      </c>
      <c r="K558" s="3" t="inlineStr">
        <is>
          <t>계획관리지역, 도로인접, 신탄진네거리에서 차량으로 20분 거리</t>
        </is>
      </c>
      <c r="L558" s="6">
        <f>HYPERLINK("https://fin.land.naver.com/articles/2654547410", "매물Link")</f>
        <v/>
      </c>
      <c r="M558" s="6">
        <f>HYPERLINK("https://map.naver.com/p/search/남이면 외천리 296", "지도Link")</f>
        <v/>
      </c>
      <c r="N558" s="6">
        <f>HYPERLINK("http://www.eum.go.kr/web/ar/lu/luLandDet.jsp?pnu=4311231022102960000&amp;isNoScr=script&amp;mode=search", "토지이음")</f>
        <v/>
      </c>
      <c r="O558" s="3" t="inlineStr">
        <is>
          <t>대지</t>
        </is>
      </c>
      <c r="P558" s="4" t="n">
        <v>2</v>
      </c>
      <c r="Q558" s="4" t="n">
        <v>620</v>
      </c>
      <c r="R558" s="3" t="inlineStr">
        <is>
          <t>지정되지않음</t>
        </is>
      </c>
      <c r="S558" s="3" t="inlineStr">
        <is>
          <t>단독</t>
        </is>
      </c>
      <c r="T558" s="3" t="inlineStr">
        <is>
          <t>완경사</t>
        </is>
      </c>
      <c r="U558" s="3" t="inlineStr">
        <is>
          <t>사다리형</t>
        </is>
      </c>
      <c r="V558" s="3" t="inlineStr">
        <is>
          <t>세로각지(가)</t>
        </is>
      </c>
    </row>
    <row r="559">
      <c r="A559" s="3" t="inlineStr">
        <is>
          <t>남이면 외천리 296</t>
        </is>
      </c>
      <c r="B559" s="3" t="inlineStr">
        <is>
          <t>계획관리지역</t>
        </is>
      </c>
      <c r="C559" s="3" t="inlineStr">
        <is>
          <t>대</t>
        </is>
      </c>
      <c r="D559" s="3" t="inlineStr">
        <is>
          <t>대</t>
        </is>
      </c>
      <c r="E559" s="3" t="inlineStr">
        <is>
          <t>매매</t>
        </is>
      </c>
      <c r="F559" s="4" t="n">
        <v>22500</v>
      </c>
      <c r="G559" s="4" t="n">
        <v>620</v>
      </c>
      <c r="H559" s="4" t="n">
        <v>188</v>
      </c>
      <c r="I559" s="5" t="n">
        <v>119.7</v>
      </c>
      <c r="J559" s="5" t="n">
        <v>55.7</v>
      </c>
      <c r="K559" s="3" t="inlineStr">
        <is>
          <t>계획관리. 나대지</t>
        </is>
      </c>
      <c r="L559" s="6">
        <f>HYPERLINK("https://fin.land.naver.com/articles/2650136996", "매물Link")</f>
        <v/>
      </c>
      <c r="M559" s="6">
        <f>HYPERLINK("https://map.naver.com/p/search/남이면 외천리 296", "지도Link")</f>
        <v/>
      </c>
      <c r="N559" s="6">
        <f>HYPERLINK("http://www.eum.go.kr/web/ar/lu/luLandDet.jsp?pnu=4311231022102960000&amp;isNoScr=script&amp;mode=search", "토지이음")</f>
        <v/>
      </c>
      <c r="O559" s="3" t="inlineStr">
        <is>
          <t>정민</t>
        </is>
      </c>
      <c r="P559" s="4" t="n">
        <v>1</v>
      </c>
      <c r="Q559" s="4" t="n">
        <v>620</v>
      </c>
      <c r="R559" s="3" t="inlineStr">
        <is>
          <t>지정되지않음</t>
        </is>
      </c>
      <c r="S559" s="3" t="inlineStr">
        <is>
          <t>단독</t>
        </is>
      </c>
      <c r="T559" s="3" t="inlineStr">
        <is>
          <t>완경사</t>
        </is>
      </c>
      <c r="U559" s="3" t="inlineStr">
        <is>
          <t>사다리형</t>
        </is>
      </c>
      <c r="V559" s="3" t="inlineStr">
        <is>
          <t>세로각지(가)</t>
        </is>
      </c>
    </row>
    <row r="560">
      <c r="A560" s="3" t="inlineStr">
        <is>
          <t>남이면 외천리 37-5</t>
        </is>
      </c>
      <c r="B560" s="3" t="inlineStr">
        <is>
          <t>계획관리지역</t>
        </is>
      </c>
      <c r="C560" s="3" t="inlineStr">
        <is>
          <t>전</t>
        </is>
      </c>
      <c r="D560" s="3" t="inlineStr">
        <is>
          <t>전</t>
        </is>
      </c>
      <c r="E560" s="3" t="inlineStr">
        <is>
          <t>매매</t>
        </is>
      </c>
      <c r="F560" s="4" t="n">
        <v>310000</v>
      </c>
      <c r="G560" s="4" t="n">
        <v>6841</v>
      </c>
      <c r="H560" s="4" t="n">
        <v>2069</v>
      </c>
      <c r="I560" s="5" t="n">
        <v>149.8</v>
      </c>
      <c r="J560" s="5" t="n">
        <v>34.8</v>
      </c>
      <c r="K560" s="3" t="inlineStr">
        <is>
          <t>계획관리지역, 공장 및 창고, 물류센터용 토지 매매</t>
        </is>
      </c>
      <c r="L560" s="6">
        <f>HYPERLINK("https://fin.land.naver.com/articles/2649505546", "매물Link")</f>
        <v/>
      </c>
      <c r="M560" s="6">
        <f>HYPERLINK("https://map.naver.com/p/search/남이면 외천리 37-5", "지도Link")</f>
        <v/>
      </c>
      <c r="N560" s="6">
        <f>HYPERLINK("http://www.eum.go.kr/web/ar/lu/luLandDet.jsp?pnu=4311231022100370005&amp;isNoScr=script&amp;mode=search", "토지이음")</f>
        <v/>
      </c>
      <c r="O560" s="3" t="inlineStr">
        <is>
          <t>금화랜드</t>
        </is>
      </c>
      <c r="P560" s="4" t="n">
        <v>1</v>
      </c>
      <c r="Q560" s="4" t="n">
        <v>2790</v>
      </c>
      <c r="R560" s="3" t="inlineStr">
        <is>
          <t>지정되지않음</t>
        </is>
      </c>
      <c r="S560" s="3" t="inlineStr">
        <is>
          <t>전</t>
        </is>
      </c>
      <c r="T560" s="3" t="inlineStr">
        <is>
          <t>완경사</t>
        </is>
      </c>
      <c r="U560" s="3" t="inlineStr">
        <is>
          <t>부정형</t>
        </is>
      </c>
      <c r="V560" s="3" t="inlineStr">
        <is>
          <t>세로한면(가)</t>
        </is>
      </c>
    </row>
    <row r="561">
      <c r="A561" s="3" t="inlineStr">
        <is>
          <t>남이면 외천리 428</t>
        </is>
      </c>
      <c r="B561" s="3" t="inlineStr">
        <is>
          <t>계획관리지역</t>
        </is>
      </c>
      <c r="C561" s="3" t="inlineStr">
        <is>
          <t>전</t>
        </is>
      </c>
      <c r="D561" s="3" t="inlineStr">
        <is>
          <t>전</t>
        </is>
      </c>
      <c r="E561" s="3" t="inlineStr">
        <is>
          <t>매매</t>
        </is>
      </c>
      <c r="F561" s="4" t="n">
        <v>146000</v>
      </c>
      <c r="G561" s="4" t="n">
        <v>3570</v>
      </c>
      <c r="H561" s="4" t="n">
        <v>1080</v>
      </c>
      <c r="I561" s="5" t="n">
        <v>135.2</v>
      </c>
      <c r="J561" s="5" t="n">
        <v>16.4</v>
      </c>
      <c r="K561" s="3" t="inlineStr">
        <is>
          <t>남청주IC 청남로 인근 토지  대, 전  계획관리지역, 성장관리계획.</t>
        </is>
      </c>
      <c r="L561" s="6">
        <f>HYPERLINK("https://fin.land.naver.com/articles/2651725704", "매물Link")</f>
        <v/>
      </c>
      <c r="M561" s="6">
        <f>HYPERLINK("https://map.naver.com/p/search/남이면 외천리 428", "지도Link")</f>
        <v/>
      </c>
      <c r="N561" s="6">
        <f>HYPERLINK("http://www.eum.go.kr/web/ar/lu/luLandDet.jsp?pnu=4311231022104280000&amp;isNoScr=script&amp;mode=search", "토지이음")</f>
        <v/>
      </c>
      <c r="O561" s="3" t="inlineStr">
        <is>
          <t>두꺼비</t>
        </is>
      </c>
      <c r="P561" s="4" t="n">
        <v>1</v>
      </c>
      <c r="Q561" s="4" t="n">
        <v>1613</v>
      </c>
      <c r="R561" s="3" t="inlineStr">
        <is>
          <t>지정되지않음</t>
        </is>
      </c>
      <c r="S561" s="3" t="inlineStr">
        <is>
          <t>전</t>
        </is>
      </c>
      <c r="T561" s="3" t="inlineStr">
        <is>
          <t>완경사</t>
        </is>
      </c>
      <c r="U561" s="3" t="inlineStr">
        <is>
          <t>부정형</t>
        </is>
      </c>
      <c r="V561" s="3" t="inlineStr">
        <is>
          <t>세로한면(불)</t>
        </is>
      </c>
    </row>
    <row r="562">
      <c r="A562" s="3" t="inlineStr">
        <is>
          <t>남이면 외천리 93-3</t>
        </is>
      </c>
      <c r="B562" s="3" t="inlineStr">
        <is>
          <t>계획관리지역</t>
        </is>
      </c>
      <c r="C562" s="3" t="inlineStr">
        <is>
          <t>대</t>
        </is>
      </c>
      <c r="D562" s="3" t="inlineStr">
        <is>
          <t>대</t>
        </is>
      </c>
      <c r="E562" s="3" t="inlineStr">
        <is>
          <t>매매</t>
        </is>
      </c>
      <c r="F562" s="4" t="n">
        <v>282000</v>
      </c>
      <c r="G562" s="4" t="n">
        <v>6230</v>
      </c>
      <c r="H562" s="4" t="n">
        <v>1885</v>
      </c>
      <c r="I562" s="5" t="n">
        <v>149.6</v>
      </c>
      <c r="J562" s="5" t="n">
        <v>61.2</v>
      </c>
      <c r="K562" s="3" t="inlineStr">
        <is>
          <t>총10필지이며 대지 및 답으로 되어 있으나  현황은 전체 대지처럼 사용함</t>
        </is>
      </c>
      <c r="L562" s="6">
        <f>HYPERLINK("https://fin.land.naver.com/articles/2652762140", "매물Link")</f>
        <v/>
      </c>
      <c r="M562" s="6">
        <f>HYPERLINK("https://map.naver.com/p/search/남이면 외천리 93-3", "지도Link")</f>
        <v/>
      </c>
      <c r="N562" s="6">
        <f>HYPERLINK("http://www.eum.go.kr/web/ar/lu/luLandDet.jsp?pnu=4311231022100930003&amp;isNoScr=script&amp;mode=search", "토지이음")</f>
        <v/>
      </c>
      <c r="O562" s="3" t="inlineStr">
        <is>
          <t>포시즌</t>
        </is>
      </c>
      <c r="P562" s="4" t="n">
        <v>1</v>
      </c>
      <c r="Q562" s="4" t="n">
        <v>766</v>
      </c>
      <c r="R562" s="3" t="inlineStr">
        <is>
          <t>지정되지않음</t>
        </is>
      </c>
      <c r="S562" s="3" t="inlineStr">
        <is>
          <t>단독</t>
        </is>
      </c>
      <c r="T562" s="3" t="inlineStr">
        <is>
          <t>완경사</t>
        </is>
      </c>
      <c r="U562" s="3" t="inlineStr">
        <is>
          <t>사다리형</t>
        </is>
      </c>
      <c r="V562" s="3" t="inlineStr">
        <is>
          <t>세로한면(가)</t>
        </is>
      </c>
    </row>
    <row r="563">
      <c r="A563" s="3" t="inlineStr">
        <is>
          <t>남이면 척북리 108-5</t>
        </is>
      </c>
      <c r="B563" s="3" t="inlineStr">
        <is>
          <t>계획관리지역</t>
        </is>
      </c>
      <c r="C563" s="3" t="inlineStr">
        <is>
          <t>답</t>
        </is>
      </c>
      <c r="D563" s="3" t="inlineStr">
        <is>
          <t>답</t>
        </is>
      </c>
      <c r="E563" s="3" t="inlineStr">
        <is>
          <t>매매</t>
        </is>
      </c>
      <c r="F563" s="4" t="n">
        <v>31000</v>
      </c>
      <c r="G563" s="4" t="n">
        <v>1018</v>
      </c>
      <c r="H563" s="4" t="n">
        <v>308</v>
      </c>
      <c r="I563" s="5" t="n">
        <v>100.6</v>
      </c>
      <c r="J563" s="5" t="n">
        <v>26.9</v>
      </c>
      <c r="K563" s="3" t="inlineStr">
        <is>
          <t>6M도로 코너접 공장 창고추천 민원없음</t>
        </is>
      </c>
      <c r="L563" s="6">
        <f>HYPERLINK("https://fin.land.naver.com/articles/2649833833", "매물Link")</f>
        <v/>
      </c>
      <c r="M563" s="6">
        <f>HYPERLINK("https://map.naver.com/p/search/남이면 척북리 108-5", "지도Link")</f>
        <v/>
      </c>
      <c r="N563" s="6">
        <f>HYPERLINK("http://www.eum.go.kr/web/ar/lu/luLandDet.jsp?pnu=4311231024101080005&amp;isNoScr=script&amp;mode=search", "토지이음")</f>
        <v/>
      </c>
      <c r="O563" s="3" t="inlineStr">
        <is>
          <t>플러스태양</t>
        </is>
      </c>
      <c r="P563" s="4" t="n">
        <v>1</v>
      </c>
      <c r="Q563" s="4" t="n">
        <v>1018</v>
      </c>
      <c r="R563" s="3" t="inlineStr">
        <is>
          <t>지정되지않음</t>
        </is>
      </c>
      <c r="S563" s="3" t="inlineStr">
        <is>
          <t>답</t>
        </is>
      </c>
      <c r="T563" s="3" t="inlineStr">
        <is>
          <t>완경사</t>
        </is>
      </c>
      <c r="U563" s="3" t="inlineStr">
        <is>
          <t>부정형</t>
        </is>
      </c>
      <c r="V563" s="3" t="inlineStr">
        <is>
          <t>세로한면(가)</t>
        </is>
      </c>
    </row>
    <row r="564">
      <c r="A564" s="3" t="inlineStr">
        <is>
          <t>남이면 척북리 74-2</t>
        </is>
      </c>
      <c r="B564" s="3" t="inlineStr">
        <is>
          <t>계획관리지역</t>
        </is>
      </c>
      <c r="C564" s="3" t="inlineStr">
        <is>
          <t>전</t>
        </is>
      </c>
      <c r="D564" s="3" t="inlineStr">
        <is>
          <t>전</t>
        </is>
      </c>
      <c r="E564" s="3" t="inlineStr">
        <is>
          <t>매매</t>
        </is>
      </c>
      <c r="F564" s="4" t="n">
        <v>96600</v>
      </c>
      <c r="G564" s="4" t="n">
        <v>2268</v>
      </c>
      <c r="H564" s="4" t="n">
        <v>686</v>
      </c>
      <c r="I564" s="5" t="n">
        <v>140.8</v>
      </c>
      <c r="J564" s="5" t="n">
        <v>35.2</v>
      </c>
      <c r="K564" s="3" t="inlineStr">
        <is>
          <t>nan</t>
        </is>
      </c>
      <c r="L564" s="6">
        <f>HYPERLINK("https://fin.land.naver.com/articles/2654000462", "매물Link")</f>
        <v/>
      </c>
      <c r="M564" s="6">
        <f>HYPERLINK("https://map.naver.com/p/search/남이면 척북리 74-2", "지도Link")</f>
        <v/>
      </c>
      <c r="N564" s="6">
        <f>HYPERLINK("http://www.eum.go.kr/web/ar/lu/luLandDet.jsp?pnu=4311231024100740002&amp;isNoScr=script&amp;mode=search", "토지이음")</f>
        <v/>
      </c>
      <c r="O564" s="3" t="inlineStr">
        <is>
          <t>오송스타</t>
        </is>
      </c>
      <c r="P564" s="4" t="n">
        <v>2</v>
      </c>
      <c r="Q564" s="4" t="n">
        <v>2268</v>
      </c>
      <c r="R564" s="3" t="inlineStr">
        <is>
          <t>지정되지않음</t>
        </is>
      </c>
      <c r="S564" s="3" t="inlineStr">
        <is>
          <t>전</t>
        </is>
      </c>
      <c r="T564" s="3" t="inlineStr">
        <is>
          <t>완경사</t>
        </is>
      </c>
      <c r="U564" s="3" t="inlineStr">
        <is>
          <t>사다리형</t>
        </is>
      </c>
      <c r="V564" s="3" t="inlineStr">
        <is>
          <t>소로각지</t>
        </is>
      </c>
    </row>
    <row r="565">
      <c r="A565" s="3" t="inlineStr">
        <is>
          <t>남이면 척북리 86-2</t>
        </is>
      </c>
      <c r="B565" s="3" t="inlineStr">
        <is>
          <t>자연녹지지역</t>
        </is>
      </c>
      <c r="C565" s="3" t="inlineStr">
        <is>
          <t>답</t>
        </is>
      </c>
      <c r="D565" s="3" t="inlineStr">
        <is>
          <t>전</t>
        </is>
      </c>
      <c r="E565" s="3" t="inlineStr">
        <is>
          <t>매매</t>
        </is>
      </c>
      <c r="F565" s="4" t="n">
        <v>18100</v>
      </c>
      <c r="G565" s="4" t="n">
        <v>750</v>
      </c>
      <c r="H565" s="4" t="n">
        <v>227</v>
      </c>
      <c r="I565" s="5" t="n">
        <v>79.7</v>
      </c>
      <c r="J565" s="5" t="n">
        <v>31.6</v>
      </c>
      <c r="K565" s="3" t="inlineStr">
        <is>
          <t>대로근접,남청주icr근거리,주말농장,체류형쉼터,투자추천</t>
        </is>
      </c>
      <c r="L565" s="6">
        <f>HYPERLINK("https://fin.land.naver.com/articles/2649474109", "매물Link")</f>
        <v/>
      </c>
      <c r="M565" s="6">
        <f>HYPERLINK("https://map.naver.com/p/search/남이면 척북리 86-2", "지도Link")</f>
        <v/>
      </c>
      <c r="N565" s="6">
        <f>HYPERLINK("http://www.eum.go.kr/web/ar/lu/luLandDet.jsp?pnu=4311231024100860002&amp;isNoScr=script&amp;mode=search", "토지이음")</f>
        <v/>
      </c>
      <c r="O565" s="3" t="inlineStr">
        <is>
          <t>대학합동사무소</t>
        </is>
      </c>
      <c r="P565" s="4" t="n">
        <v>1</v>
      </c>
      <c r="Q565" s="4" t="n">
        <v>750</v>
      </c>
      <c r="R565" s="3" t="inlineStr">
        <is>
          <t>농림지역</t>
        </is>
      </c>
      <c r="S565" s="3" t="inlineStr">
        <is>
          <t>답</t>
        </is>
      </c>
      <c r="T565" s="3" t="inlineStr">
        <is>
          <t>평지</t>
        </is>
      </c>
      <c r="U565" s="3" t="inlineStr">
        <is>
          <t>세로장방</t>
        </is>
      </c>
      <c r="V565" s="3" t="inlineStr">
        <is>
          <t>맹지</t>
        </is>
      </c>
    </row>
    <row r="566">
      <c r="A566" s="3" t="inlineStr">
        <is>
          <t>남이면 척북리 산 30-6</t>
        </is>
      </c>
      <c r="B566" s="3" t="inlineStr">
        <is>
          <t>계획관리지역</t>
        </is>
      </c>
      <c r="C566" s="3" t="inlineStr">
        <is>
          <t>임야</t>
        </is>
      </c>
      <c r="D566" s="3" t="inlineStr">
        <is>
          <t>임야</t>
        </is>
      </c>
      <c r="E566" s="3" t="inlineStr">
        <is>
          <t>매매</t>
        </is>
      </c>
      <c r="F566" s="4" t="n">
        <v>25000</v>
      </c>
      <c r="G566" s="4" t="n">
        <v>557</v>
      </c>
      <c r="H566" s="4" t="n">
        <v>168</v>
      </c>
      <c r="I566" s="5" t="n">
        <v>148.8</v>
      </c>
      <c r="J566" s="5" t="n">
        <v>18.8</v>
      </c>
      <c r="K566" s="3" t="inlineStr">
        <is>
          <t>2차선도접 성토및 옹벽공사완료</t>
        </is>
      </c>
      <c r="L566" s="6">
        <f>HYPERLINK("https://fin.land.naver.com/articles/2650429265", "매물Link")</f>
        <v/>
      </c>
      <c r="M566" s="6">
        <f>HYPERLINK("https://map.naver.com/p/search/남이면 척북리 산 30-6", "지도Link")</f>
        <v/>
      </c>
      <c r="N566" s="6">
        <f>HYPERLINK("http://www.eum.go.kr/web/ar/lu/luLandDet.jsp?pnu=4311231024200300006&amp;isNoScr=script&amp;mode=search", "토지이음")</f>
        <v/>
      </c>
      <c r="O566" s="3" t="inlineStr">
        <is>
          <t>플러스태양</t>
        </is>
      </c>
      <c r="P566" s="4" t="n">
        <v>1</v>
      </c>
      <c r="Q566" s="4" t="n">
        <v>557</v>
      </c>
      <c r="R566" s="3" t="inlineStr">
        <is>
          <t>지정되지않음</t>
        </is>
      </c>
      <c r="S566" s="3" t="inlineStr">
        <is>
          <t>도로등</t>
        </is>
      </c>
      <c r="T566" s="3" t="inlineStr">
        <is>
          <t>완경사</t>
        </is>
      </c>
      <c r="U566" s="3" t="inlineStr">
        <is>
          <t>부정형</t>
        </is>
      </c>
      <c r="V566" s="3" t="inlineStr">
        <is>
          <t>소로한면</t>
        </is>
      </c>
    </row>
    <row r="567">
      <c r="A567" s="3" t="inlineStr">
        <is>
          <t>남이면 척산리 241</t>
        </is>
      </c>
      <c r="B567" s="3" t="inlineStr">
        <is>
          <t>계획관리지역</t>
        </is>
      </c>
      <c r="C567" s="3" t="inlineStr">
        <is>
          <t>답</t>
        </is>
      </c>
      <c r="D567" s="3" t="inlineStr">
        <is>
          <t>답</t>
        </is>
      </c>
      <c r="E567" s="3" t="inlineStr">
        <is>
          <t>매매</t>
        </is>
      </c>
      <c r="F567" s="4" t="n">
        <v>105000</v>
      </c>
      <c r="G567" s="4" t="n">
        <v>3678</v>
      </c>
      <c r="H567" s="4" t="n">
        <v>1113</v>
      </c>
      <c r="I567" s="5" t="n">
        <v>94.3</v>
      </c>
      <c r="J567" s="5" t="n">
        <v>26.4</v>
      </c>
      <c r="K567" s="3" t="inlineStr">
        <is>
          <t>척산면 면사무소근처 분할매매가능 도로조건좋은 계획관리 토지</t>
        </is>
      </c>
      <c r="L567" s="6">
        <f>HYPERLINK("https://fin.land.naver.com/articles/2650997047", "매물Link")</f>
        <v/>
      </c>
      <c r="M567" s="6">
        <f>HYPERLINK("https://map.naver.com/p/search/남이면 척산리 241", "지도Link")</f>
        <v/>
      </c>
      <c r="N567" s="6">
        <f>HYPERLINK("http://www.eum.go.kr/web/ar/lu/luLandDet.jsp?pnu=4311231021102410000&amp;isNoScr=script&amp;mode=search", "토지이음")</f>
        <v/>
      </c>
      <c r="O567" s="3" t="inlineStr">
        <is>
          <t>두원</t>
        </is>
      </c>
      <c r="P567" s="4" t="n">
        <v>1</v>
      </c>
      <c r="Q567" s="4" t="n">
        <v>3678</v>
      </c>
      <c r="R567" s="3" t="inlineStr">
        <is>
          <t>지정되지않음</t>
        </is>
      </c>
      <c r="S567" s="3" t="inlineStr">
        <is>
          <t>답</t>
        </is>
      </c>
      <c r="T567" s="3" t="inlineStr">
        <is>
          <t>완경사</t>
        </is>
      </c>
      <c r="U567" s="3" t="inlineStr">
        <is>
          <t>부정형</t>
        </is>
      </c>
      <c r="V567" s="3" t="inlineStr">
        <is>
          <t>세로한면(불)</t>
        </is>
      </c>
    </row>
    <row r="568">
      <c r="A568" s="3" t="inlineStr">
        <is>
          <t>남이면 척산리 41-2</t>
        </is>
      </c>
      <c r="B568" s="3" t="inlineStr">
        <is>
          <t>계획관리지역</t>
        </is>
      </c>
      <c r="C568" s="3" t="inlineStr">
        <is>
          <t>공장용지</t>
        </is>
      </c>
      <c r="D568" s="3" t="inlineStr">
        <is>
          <t>공장용지</t>
        </is>
      </c>
      <c r="E568" s="3" t="inlineStr">
        <is>
          <t>매매</t>
        </is>
      </c>
      <c r="F568" s="4" t="n">
        <v>220000</v>
      </c>
      <c r="G568" s="4" t="n">
        <v>3761</v>
      </c>
      <c r="H568" s="4" t="n">
        <v>1138</v>
      </c>
      <c r="I568" s="5" t="n">
        <v>193.3</v>
      </c>
      <c r="J568" s="5" t="n">
        <v>65.7</v>
      </c>
      <c r="K568" s="3" t="inlineStr">
        <is>
          <t>청주 서원구 남이면 척산리 토지 매매</t>
        </is>
      </c>
      <c r="L568" s="6">
        <f>HYPERLINK("https://fin.land.naver.com/articles/2650405233", "매물Link")</f>
        <v/>
      </c>
      <c r="M568" s="6">
        <f>HYPERLINK("https://map.naver.com/p/search/남이면 척산리 41-2", "지도Link")</f>
        <v/>
      </c>
      <c r="N568" s="6">
        <f>HYPERLINK("http://www.eum.go.kr/web/ar/lu/luLandDet.jsp?pnu=4311231021100410002&amp;isNoScr=script&amp;mode=search", "토지이음")</f>
        <v/>
      </c>
      <c r="O568" s="3" t="inlineStr">
        <is>
          <t>일등무소</t>
        </is>
      </c>
      <c r="P568" s="4" t="n">
        <v>1</v>
      </c>
      <c r="Q568" s="4" t="n">
        <v>1648</v>
      </c>
      <c r="R568" s="3" t="inlineStr">
        <is>
          <t>지정되지않음</t>
        </is>
      </c>
      <c r="S568" s="3" t="inlineStr">
        <is>
          <t>공업용</t>
        </is>
      </c>
      <c r="T568" s="3" t="inlineStr">
        <is>
          <t>평지</t>
        </is>
      </c>
      <c r="U568" s="3" t="inlineStr">
        <is>
          <t>부정형</t>
        </is>
      </c>
      <c r="V568" s="3" t="inlineStr">
        <is>
          <t>소로한면</t>
        </is>
      </c>
    </row>
    <row r="569">
      <c r="A569" s="3" t="inlineStr">
        <is>
          <t>남이면 척산리 528-4</t>
        </is>
      </c>
      <c r="B569" s="3" t="inlineStr">
        <is>
          <t>계획관리지역</t>
        </is>
      </c>
      <c r="C569" s="3" t="inlineStr">
        <is>
          <t>대</t>
        </is>
      </c>
      <c r="D569" s="3" t="inlineStr">
        <is>
          <t>대</t>
        </is>
      </c>
      <c r="E569" s="3" t="inlineStr">
        <is>
          <t>매매</t>
        </is>
      </c>
      <c r="F569" s="4" t="n">
        <v>21000</v>
      </c>
      <c r="G569" s="4" t="n">
        <v>635</v>
      </c>
      <c r="H569" s="4" t="n">
        <v>192</v>
      </c>
      <c r="I569" s="5" t="n">
        <v>109.4</v>
      </c>
      <c r="J569" s="5" t="n">
        <v>54.9</v>
      </c>
      <c r="K569" s="3" t="inlineStr">
        <is>
          <t>남이면 사무소근처 척산리 전원주택부지 대지 매매</t>
        </is>
      </c>
      <c r="L569" s="6">
        <f>HYPERLINK("https://fin.land.naver.com/articles/2651683218", "매물Link")</f>
        <v/>
      </c>
      <c r="M569" s="6">
        <f>HYPERLINK("https://map.naver.com/p/search/남이면 척산리 528-4", "지도Link")</f>
        <v/>
      </c>
      <c r="N569" s="6">
        <f>HYPERLINK("http://www.eum.go.kr/web/ar/lu/luLandDet.jsp?pnu=4311231021105280004&amp;isNoScr=script&amp;mode=search", "토지이음")</f>
        <v/>
      </c>
      <c r="O569" s="3" t="inlineStr">
        <is>
          <t>두원</t>
        </is>
      </c>
      <c r="P569" s="4" t="n">
        <v>1</v>
      </c>
      <c r="Q569" s="4" t="n">
        <v>635</v>
      </c>
      <c r="R569" s="3" t="inlineStr">
        <is>
          <t>지정되지않음</t>
        </is>
      </c>
      <c r="S569" s="3" t="inlineStr">
        <is>
          <t>주거나지</t>
        </is>
      </c>
      <c r="T569" s="3" t="inlineStr">
        <is>
          <t>완경사</t>
        </is>
      </c>
      <c r="U569" s="3" t="inlineStr">
        <is>
          <t>부정형</t>
        </is>
      </c>
      <c r="V569" s="3" t="inlineStr">
        <is>
          <t>세로한면(가)</t>
        </is>
      </c>
    </row>
    <row r="570">
      <c r="A570" s="3" t="inlineStr">
        <is>
          <t>남이면 척산리 693</t>
        </is>
      </c>
      <c r="B570" s="3" t="inlineStr">
        <is>
          <t>생산관리지역</t>
        </is>
      </c>
      <c r="C570" s="3" t="inlineStr">
        <is>
          <t>답</t>
        </is>
      </c>
      <c r="D570" s="3" t="inlineStr">
        <is>
          <t>답</t>
        </is>
      </c>
      <c r="E570" s="3" t="inlineStr">
        <is>
          <t>매매</t>
        </is>
      </c>
      <c r="F570" s="4" t="n">
        <v>16200</v>
      </c>
      <c r="G570" s="4" t="n">
        <v>1785</v>
      </c>
      <c r="H570" s="4" t="n">
        <v>540</v>
      </c>
      <c r="I570" s="5" t="n">
        <v>30</v>
      </c>
      <c r="J570" s="5" t="n">
        <v>11.9</v>
      </c>
      <c r="K570" s="3" t="inlineStr">
        <is>
          <t>nan</t>
        </is>
      </c>
      <c r="L570" s="6">
        <f>HYPERLINK("https://fin.land.naver.com/articles/2651478139", "매물Link")</f>
        <v/>
      </c>
      <c r="M570" s="6">
        <f>HYPERLINK("https://map.naver.com/p/search/남이면 척산리 693", "지도Link")</f>
        <v/>
      </c>
      <c r="N570" s="6">
        <f>HYPERLINK("http://www.eum.go.kr/web/ar/lu/luLandDet.jsp?pnu=4311231021106930000&amp;isNoScr=script&amp;mode=search", "토지이음")</f>
        <v/>
      </c>
      <c r="O570" s="3" t="inlineStr">
        <is>
          <t>주공3단지</t>
        </is>
      </c>
      <c r="P570" s="4" t="n">
        <v>1</v>
      </c>
      <c r="Q570" s="4" t="n">
        <v>1785</v>
      </c>
      <c r="R570" s="3" t="inlineStr">
        <is>
          <t>지정되지않음</t>
        </is>
      </c>
      <c r="S570" s="3" t="inlineStr">
        <is>
          <t>답</t>
        </is>
      </c>
      <c r="T570" s="3" t="inlineStr">
        <is>
          <t>급경사</t>
        </is>
      </c>
      <c r="U570" s="3" t="inlineStr">
        <is>
          <t>부정형</t>
        </is>
      </c>
      <c r="V570" s="3" t="inlineStr">
        <is>
          <t>세로한면(가)</t>
        </is>
      </c>
    </row>
    <row r="571">
      <c r="A571" s="3" t="inlineStr">
        <is>
          <t>남이면 척산리 산 117-1</t>
        </is>
      </c>
      <c r="B571" s="3" t="inlineStr">
        <is>
          <t>보전관리지역</t>
        </is>
      </c>
      <c r="C571" s="3" t="inlineStr">
        <is>
          <t>임야</t>
        </is>
      </c>
      <c r="D571" s="3" t="inlineStr">
        <is>
          <t>임야</t>
        </is>
      </c>
      <c r="E571" s="3" t="inlineStr">
        <is>
          <t>매매</t>
        </is>
      </c>
      <c r="F571" s="4" t="n">
        <v>200000</v>
      </c>
      <c r="G571" s="4" t="n">
        <v>11508</v>
      </c>
      <c r="H571" s="4" t="n">
        <v>3481</v>
      </c>
      <c r="I571" s="5" t="n">
        <v>57.5</v>
      </c>
      <c r="J571" s="5" t="n">
        <v>5.7</v>
      </c>
      <c r="K571" s="3" t="inlineStr">
        <is>
          <t>nan</t>
        </is>
      </c>
      <c r="L571" s="6">
        <f>HYPERLINK("https://fin.land.naver.com/articles/2649486293", "매물Link")</f>
        <v/>
      </c>
      <c r="M571" s="6">
        <f>HYPERLINK("https://map.naver.com/p/search/남이면 척산리 산 117-1", "지도Link")</f>
        <v/>
      </c>
      <c r="N571" s="6">
        <f>HYPERLINK("http://www.eum.go.kr/web/ar/lu/luLandDet.jsp?pnu=4311231021201170001&amp;isNoScr=script&amp;mode=search", "토지이음")</f>
        <v/>
      </c>
      <c r="O571" s="3" t="inlineStr">
        <is>
          <t>금맥</t>
        </is>
      </c>
      <c r="P571" s="4" t="n">
        <v>2</v>
      </c>
      <c r="Q571" s="4" t="n">
        <v>9534</v>
      </c>
      <c r="R571" s="3" t="inlineStr">
        <is>
          <t>계획관리지역</t>
        </is>
      </c>
      <c r="S571" s="3" t="inlineStr">
        <is>
          <t>자연림</t>
        </is>
      </c>
      <c r="T571" s="3" t="inlineStr">
        <is>
          <t>완경사</t>
        </is>
      </c>
      <c r="U571" s="3" t="inlineStr">
        <is>
          <t>부정형</t>
        </is>
      </c>
      <c r="V571" s="3" t="inlineStr">
        <is>
          <t>세로한면(불)</t>
        </is>
      </c>
    </row>
    <row r="572">
      <c r="A572" s="3" t="inlineStr">
        <is>
          <t>남이면 척산리 산 117-1</t>
        </is>
      </c>
      <c r="B572" s="3" t="inlineStr">
        <is>
          <t>보전관리지역</t>
        </is>
      </c>
      <c r="C572" s="3" t="inlineStr">
        <is>
          <t>임야</t>
        </is>
      </c>
      <c r="D572" s="3" t="inlineStr">
        <is>
          <t>임야</t>
        </is>
      </c>
      <c r="E572" s="3" t="inlineStr">
        <is>
          <t>매매</t>
        </is>
      </c>
      <c r="F572" s="4" t="n">
        <v>174000</v>
      </c>
      <c r="G572" s="4" t="n">
        <v>11508</v>
      </c>
      <c r="H572" s="4" t="n">
        <v>3481</v>
      </c>
      <c r="I572" s="5" t="n">
        <v>50</v>
      </c>
      <c r="J572" s="5" t="n">
        <v>5.7</v>
      </c>
      <c r="K572" s="3" t="inlineStr">
        <is>
          <t>6M도로접 2필지매매 야산 대도로 인접함</t>
        </is>
      </c>
      <c r="L572" s="6">
        <f>HYPERLINK("https://fin.land.naver.com/articles/2653628121", "매물Link")</f>
        <v/>
      </c>
      <c r="M572" s="6">
        <f>HYPERLINK("https://map.naver.com/p/search/남이면 척산리 산 117-1", "지도Link")</f>
        <v/>
      </c>
      <c r="N572" s="6">
        <f>HYPERLINK("http://www.eum.go.kr/web/ar/lu/luLandDet.jsp?pnu=4311231021201170001&amp;isNoScr=script&amp;mode=search", "토지이음")</f>
        <v/>
      </c>
      <c r="O572" s="3" t="inlineStr">
        <is>
          <t>플러스태양</t>
        </is>
      </c>
      <c r="P572" s="4" t="n">
        <v>1</v>
      </c>
      <c r="Q572" s="4" t="n">
        <v>9534</v>
      </c>
      <c r="R572" s="3" t="inlineStr">
        <is>
          <t>계획관리지역</t>
        </is>
      </c>
      <c r="S572" s="3" t="inlineStr">
        <is>
          <t>자연림</t>
        </is>
      </c>
      <c r="T572" s="3" t="inlineStr">
        <is>
          <t>완경사</t>
        </is>
      </c>
      <c r="U572" s="3" t="inlineStr">
        <is>
          <t>부정형</t>
        </is>
      </c>
      <c r="V572" s="3" t="inlineStr">
        <is>
          <t>세로한면(불)</t>
        </is>
      </c>
    </row>
    <row r="573">
      <c r="A573" s="3" t="inlineStr">
        <is>
          <t>남이면 척산리 산147-1</t>
        </is>
      </c>
      <c r="B573" s="3" t="inlineStr">
        <is>
          <t>보전관리지역</t>
        </is>
      </c>
      <c r="C573" s="3" t="inlineStr">
        <is>
          <t>묘지</t>
        </is>
      </c>
      <c r="D573" s="3" t="inlineStr">
        <is>
          <t>묘지</t>
        </is>
      </c>
      <c r="E573" s="3" t="inlineStr">
        <is>
          <t>매매</t>
        </is>
      </c>
      <c r="F573" s="4" t="n">
        <v>29320</v>
      </c>
      <c r="G573" s="4" t="n">
        <v>2425</v>
      </c>
      <c r="H573" s="4" t="n">
        <v>734</v>
      </c>
      <c r="I573" s="5" t="n">
        <v>39.9</v>
      </c>
      <c r="J573" s="5" t="n">
        <v>1.9</v>
      </c>
      <c r="K573" s="3" t="inlineStr">
        <is>
          <t>가족묘지조성하기에 적합한임야이며 민원소지가 전혀없음</t>
        </is>
      </c>
      <c r="L573" s="6">
        <f>HYPERLINK("https://fin.land.naver.com/articles/2649787057", "매물Link")</f>
        <v/>
      </c>
      <c r="M573" s="6">
        <f>HYPERLINK("https://map.naver.com/p/search/남이면 척산리 산147-1", "지도Link")</f>
        <v/>
      </c>
      <c r="N573" s="6">
        <f>HYPERLINK("http://www.eum.go.kr/web/ar/lu/luLandDet.jsp?pnu=4311231021201470001&amp;isNoScr=script&amp;mode=search", "토지이음")</f>
        <v/>
      </c>
      <c r="O573" s="3" t="inlineStr">
        <is>
          <t>호반2블럭</t>
        </is>
      </c>
      <c r="P573" s="4" t="n">
        <v>1</v>
      </c>
      <c r="Q573" s="4" t="n">
        <v>2425</v>
      </c>
      <c r="R573" s="3" t="inlineStr">
        <is>
          <t>지정되지않음</t>
        </is>
      </c>
      <c r="S573" s="3" t="inlineStr">
        <is>
          <t>임야기타</t>
        </is>
      </c>
      <c r="T573" s="3" t="inlineStr">
        <is>
          <t>급경사</t>
        </is>
      </c>
      <c r="U573" s="3" t="inlineStr">
        <is>
          <t>사다리형</t>
        </is>
      </c>
      <c r="V573" s="3" t="inlineStr">
        <is>
          <t>맹지</t>
        </is>
      </c>
    </row>
    <row r="574">
      <c r="A574" s="3" t="inlineStr">
        <is>
          <t>남이면 척산리 산92</t>
        </is>
      </c>
      <c r="B574" s="3" t="inlineStr">
        <is>
          <t>보전관리지역</t>
        </is>
      </c>
      <c r="C574" s="3" t="inlineStr">
        <is>
          <t>임야</t>
        </is>
      </c>
      <c r="D574" s="3" t="inlineStr">
        <is>
          <t>임야</t>
        </is>
      </c>
      <c r="E574" s="3" t="inlineStr">
        <is>
          <t>매매</t>
        </is>
      </c>
      <c r="F574" s="4" t="n">
        <v>59000</v>
      </c>
      <c r="G574" s="4" t="n">
        <v>7008</v>
      </c>
      <c r="H574" s="4" t="n">
        <v>2120</v>
      </c>
      <c r="I574" s="5" t="n">
        <v>27.8</v>
      </c>
      <c r="J574" s="5" t="n">
        <v>3.2</v>
      </c>
      <c r="K574" s="3" t="inlineStr">
        <is>
          <t>도로접한 임야 매매 합니다</t>
        </is>
      </c>
      <c r="L574" s="6">
        <f>HYPERLINK("https://fin.land.naver.com/articles/2651026639", "매물Link")</f>
        <v/>
      </c>
      <c r="M574" s="6">
        <f>HYPERLINK("https://map.naver.com/p/search/남이면 척산리 산92", "지도Link")</f>
        <v/>
      </c>
      <c r="N574" s="6">
        <f>HYPERLINK("http://www.eum.go.kr/web/ar/lu/luLandDet.jsp?pnu=4311231021200920000&amp;isNoScr=script&amp;mode=search", "토지이음")</f>
        <v/>
      </c>
      <c r="O574" s="3" t="inlineStr">
        <is>
          <t>수피아</t>
        </is>
      </c>
      <c r="P574" s="4" t="n">
        <v>1</v>
      </c>
      <c r="Q574" s="4" t="n">
        <v>4400</v>
      </c>
      <c r="R574" s="3" t="inlineStr">
        <is>
          <t>지정되지않음</t>
        </is>
      </c>
      <c r="S574" s="3" t="inlineStr">
        <is>
          <t>자연림</t>
        </is>
      </c>
      <c r="T574" s="3" t="inlineStr">
        <is>
          <t>완경사</t>
        </is>
      </c>
      <c r="U574" s="3" t="inlineStr">
        <is>
          <t>사다리형</t>
        </is>
      </c>
      <c r="V574" s="3" t="inlineStr">
        <is>
          <t>세로한면(가)</t>
        </is>
      </c>
    </row>
    <row r="575">
      <c r="A575" s="3" t="inlineStr">
        <is>
          <t>남이면 팔봉리 101-3</t>
        </is>
      </c>
      <c r="B575" s="3" t="inlineStr">
        <is>
          <t>자연녹지지역</t>
        </is>
      </c>
      <c r="C575" s="3" t="inlineStr">
        <is>
          <t>답</t>
        </is>
      </c>
      <c r="D575" s="3" t="inlineStr">
        <is>
          <t>답</t>
        </is>
      </c>
      <c r="E575" s="3" t="inlineStr">
        <is>
          <t>매매</t>
        </is>
      </c>
      <c r="F575" s="4" t="n">
        <v>83600</v>
      </c>
      <c r="G575" s="4" t="n">
        <v>3253</v>
      </c>
      <c r="H575" s="4" t="n">
        <v>984</v>
      </c>
      <c r="I575" s="5" t="n">
        <v>85</v>
      </c>
      <c r="J575" s="5" t="n">
        <v>22.4</v>
      </c>
      <c r="K575" s="3" t="inlineStr">
        <is>
          <t>8M 도로접 투자성 높은 토지매매</t>
        </is>
      </c>
      <c r="L575" s="6">
        <f>HYPERLINK("https://fin.land.naver.com/articles/2653630483", "매물Link")</f>
        <v/>
      </c>
      <c r="M575" s="6">
        <f>HYPERLINK("https://map.naver.com/p/search/남이면 팔봉리 101-3", "지도Link")</f>
        <v/>
      </c>
      <c r="N575" s="6">
        <f>HYPERLINK("http://www.eum.go.kr/web/ar/lu/luLandDet.jsp?pnu=4311231030101010003&amp;isNoScr=script&amp;mode=search", "토지이음")</f>
        <v/>
      </c>
      <c r="O575" s="3" t="inlineStr">
        <is>
          <t>학사</t>
        </is>
      </c>
      <c r="P575" s="4" t="n">
        <v>1</v>
      </c>
      <c r="Q575" s="4" t="n">
        <v>1775</v>
      </c>
      <c r="R575" s="3" t="inlineStr">
        <is>
          <t>지정되지않음</t>
        </is>
      </c>
      <c r="S575" s="3" t="inlineStr">
        <is>
          <t>답</t>
        </is>
      </c>
      <c r="T575" s="3" t="inlineStr">
        <is>
          <t>완경사</t>
        </is>
      </c>
      <c r="U575" s="3" t="inlineStr">
        <is>
          <t>부정형</t>
        </is>
      </c>
      <c r="V575" s="3" t="inlineStr">
        <is>
          <t>세로한면(가)</t>
        </is>
      </c>
    </row>
    <row r="576">
      <c r="A576" s="3" t="inlineStr">
        <is>
          <t>남이면 팔봉리 122-1</t>
        </is>
      </c>
      <c r="B576" s="3" t="inlineStr">
        <is>
          <t>자연녹지지역</t>
        </is>
      </c>
      <c r="C576" s="3" t="inlineStr">
        <is>
          <t>전</t>
        </is>
      </c>
      <c r="D576" s="3" t="inlineStr">
        <is>
          <t>전</t>
        </is>
      </c>
      <c r="E576" s="3" t="inlineStr">
        <is>
          <t>매매</t>
        </is>
      </c>
      <c r="F576" s="4" t="n">
        <v>25000</v>
      </c>
      <c r="G576" s="4" t="n">
        <v>793</v>
      </c>
      <c r="H576" s="4" t="n">
        <v>240</v>
      </c>
      <c r="I576" s="5" t="n">
        <v>104.2</v>
      </c>
      <c r="J576" s="5" t="n">
        <v>25.2</v>
      </c>
      <c r="K576" s="3" t="inlineStr">
        <is>
          <t>자연녹지 도로접 주택지 창고부지등 추천</t>
        </is>
      </c>
      <c r="L576" s="6">
        <f>HYPERLINK("https://fin.land.naver.com/articles/2649941376", "매물Link")</f>
        <v/>
      </c>
      <c r="M576" s="6">
        <f>HYPERLINK("https://map.naver.com/p/search/남이면 팔봉리 122-1", "지도Link")</f>
        <v/>
      </c>
      <c r="N576" s="6">
        <f>HYPERLINK("http://www.eum.go.kr/web/ar/lu/luLandDet.jsp?pnu=4311231030101220001&amp;isNoScr=script&amp;mode=search", "토지이음")</f>
        <v/>
      </c>
      <c r="O576" s="3" t="inlineStr">
        <is>
          <t>명장</t>
        </is>
      </c>
      <c r="P576" s="4" t="n">
        <v>1</v>
      </c>
      <c r="Q576" s="4" t="n">
        <v>793</v>
      </c>
      <c r="R576" s="3" t="inlineStr">
        <is>
          <t>지정되지않음</t>
        </is>
      </c>
      <c r="S576" s="3" t="inlineStr">
        <is>
          <t>전</t>
        </is>
      </c>
      <c r="T576" s="3" t="inlineStr">
        <is>
          <t>평지</t>
        </is>
      </c>
      <c r="U576" s="3" t="inlineStr">
        <is>
          <t>부정형</t>
        </is>
      </c>
      <c r="V576" s="3" t="inlineStr">
        <is>
          <t>세로한면(가)</t>
        </is>
      </c>
    </row>
    <row r="577">
      <c r="A577" s="3" t="inlineStr">
        <is>
          <t>남이면 팔봉리 147-4</t>
        </is>
      </c>
      <c r="B577" s="3" t="inlineStr">
        <is>
          <t>자연녹지지역</t>
        </is>
      </c>
      <c r="C577" s="3" t="inlineStr">
        <is>
          <t>전</t>
        </is>
      </c>
      <c r="D577" s="3" t="inlineStr">
        <is>
          <t>전</t>
        </is>
      </c>
      <c r="E577" s="3" t="inlineStr">
        <is>
          <t>매매</t>
        </is>
      </c>
      <c r="F577" s="4" t="n">
        <v>59700</v>
      </c>
      <c r="G577" s="4" t="n">
        <v>2015</v>
      </c>
      <c r="H577" s="4" t="n">
        <v>610</v>
      </c>
      <c r="I577" s="5" t="n">
        <v>97.90000000000001</v>
      </c>
      <c r="J577" s="5" t="n">
        <v>15.3</v>
      </c>
      <c r="K577" s="3" t="inlineStr">
        <is>
          <t>2차선접 남향 활용도 높은 토지</t>
        </is>
      </c>
      <c r="L577" s="6">
        <f>HYPERLINK("https://fin.land.naver.com/articles/2649741316", "매물Link")</f>
        <v/>
      </c>
      <c r="M577" s="6">
        <f>HYPERLINK("https://map.naver.com/p/search/남이면 팔봉리 147-4", "지도Link")</f>
        <v/>
      </c>
      <c r="N577" s="6">
        <f>HYPERLINK("http://www.eum.go.kr/web/ar/lu/luLandDet.jsp?pnu=4311231030101470004&amp;isNoScr=script&amp;mode=search", "토지이음")</f>
        <v/>
      </c>
      <c r="O577" s="3" t="inlineStr">
        <is>
          <t>학사</t>
        </is>
      </c>
      <c r="P577" s="4" t="n">
        <v>1</v>
      </c>
      <c r="Q577" s="4" t="n">
        <v>1076</v>
      </c>
      <c r="R577" s="3" t="inlineStr">
        <is>
          <t>지정되지않음</t>
        </is>
      </c>
      <c r="S577" s="3" t="inlineStr">
        <is>
          <t>전</t>
        </is>
      </c>
      <c r="T577" s="3" t="inlineStr">
        <is>
          <t>완경사</t>
        </is>
      </c>
      <c r="U577" s="3" t="inlineStr">
        <is>
          <t>부정형</t>
        </is>
      </c>
      <c r="V577" s="3" t="inlineStr">
        <is>
          <t>맹지</t>
        </is>
      </c>
    </row>
    <row r="578">
      <c r="A578" s="3" t="inlineStr">
        <is>
          <t>남이면 팔봉리 264-5</t>
        </is>
      </c>
      <c r="B578" s="3" t="inlineStr">
        <is>
          <t>자연녹지지역</t>
        </is>
      </c>
      <c r="C578" s="3" t="inlineStr">
        <is>
          <t>전</t>
        </is>
      </c>
      <c r="D578" s="3" t="inlineStr">
        <is>
          <t>전</t>
        </is>
      </c>
      <c r="E578" s="3" t="inlineStr">
        <is>
          <t>매매</t>
        </is>
      </c>
      <c r="F578" s="4" t="n">
        <v>45360</v>
      </c>
      <c r="G578" s="4" t="n">
        <v>1874</v>
      </c>
      <c r="H578" s="4" t="n">
        <v>567</v>
      </c>
      <c r="I578" s="5" t="n">
        <v>80</v>
      </c>
      <c r="J578" s="5" t="n">
        <v>20.4</v>
      </c>
      <c r="K578" s="3" t="inlineStr">
        <is>
          <t>급매,2차선 도로접함,투자,창고용도 추천</t>
        </is>
      </c>
      <c r="L578" s="6">
        <f>HYPERLINK("https://fin.land.naver.com/articles/2651873712", "매물Link")</f>
        <v/>
      </c>
      <c r="M578" s="6">
        <f>HYPERLINK("https://map.naver.com/p/search/남이면 팔봉리 264-5", "지도Link")</f>
        <v/>
      </c>
      <c r="N578" s="6">
        <f>HYPERLINK("http://www.eum.go.kr/web/ar/lu/luLandDet.jsp?pnu=4311231030102640005&amp;isNoScr=script&amp;mode=search", "토지이음")</f>
        <v/>
      </c>
      <c r="O578" s="3" t="inlineStr">
        <is>
          <t>가경아이파크5단지일타</t>
        </is>
      </c>
      <c r="P578" s="4" t="n">
        <v>1</v>
      </c>
      <c r="Q578" s="4" t="n">
        <v>1874</v>
      </c>
      <c r="R578" s="3" t="inlineStr">
        <is>
          <t>지정되지않음</t>
        </is>
      </c>
      <c r="S578" s="3" t="inlineStr">
        <is>
          <t>전</t>
        </is>
      </c>
      <c r="T578" s="3" t="inlineStr">
        <is>
          <t>평지</t>
        </is>
      </c>
      <c r="U578" s="3" t="inlineStr">
        <is>
          <t>부정형</t>
        </is>
      </c>
      <c r="V578" s="3" t="inlineStr">
        <is>
          <t>소로한면</t>
        </is>
      </c>
    </row>
    <row r="579">
      <c r="A579" s="3" t="inlineStr">
        <is>
          <t>남이면 팔봉리 329</t>
        </is>
      </c>
      <c r="B579" s="3" t="inlineStr">
        <is>
          <t>자연녹지지역</t>
        </is>
      </c>
      <c r="C579" s="3" t="inlineStr">
        <is>
          <t>답</t>
        </is>
      </c>
      <c r="D579" s="3" t="inlineStr">
        <is>
          <t>답</t>
        </is>
      </c>
      <c r="E579" s="3" t="inlineStr">
        <is>
          <t>매매</t>
        </is>
      </c>
      <c r="F579" s="4" t="n">
        <v>33400</v>
      </c>
      <c r="G579" s="4" t="n">
        <v>1006</v>
      </c>
      <c r="H579" s="4" t="n">
        <v>304</v>
      </c>
      <c r="I579" s="5" t="n">
        <v>109.9</v>
      </c>
      <c r="J579" s="5" t="n">
        <v>20.4</v>
      </c>
      <c r="K579" s="3" t="inlineStr">
        <is>
          <t>청주 팔봉리 토지매매, 2차선 도로접합, 영농 주말농장, 개발, 투자용</t>
        </is>
      </c>
      <c r="L579" s="6">
        <f>HYPERLINK("https://fin.land.naver.com/articles/2652179682", "매물Link")</f>
        <v/>
      </c>
      <c r="M579" s="6">
        <f>HYPERLINK("https://map.naver.com/p/search/남이면 팔봉리 329", "지도Link")</f>
        <v/>
      </c>
      <c r="N579" s="6">
        <f>HYPERLINK("http://www.eum.go.kr/web/ar/lu/luLandDet.jsp?pnu=4311231030103290000&amp;isNoScr=script&amp;mode=search", "토지이음")</f>
        <v/>
      </c>
      <c r="O579" s="3" t="inlineStr">
        <is>
          <t>라인</t>
        </is>
      </c>
      <c r="P579" s="4" t="n">
        <v>1</v>
      </c>
      <c r="Q579" s="4" t="n">
        <v>591</v>
      </c>
      <c r="R579" s="3" t="inlineStr">
        <is>
          <t>지정되지않음</t>
        </is>
      </c>
      <c r="S579" s="3" t="inlineStr">
        <is>
          <t>답</t>
        </is>
      </c>
      <c r="T579" s="3" t="inlineStr">
        <is>
          <t>평지</t>
        </is>
      </c>
      <c r="U579" s="3" t="inlineStr">
        <is>
          <t>부정형</t>
        </is>
      </c>
      <c r="V579" s="3" t="inlineStr">
        <is>
          <t>소로한면</t>
        </is>
      </c>
    </row>
    <row r="580">
      <c r="A580" s="3" t="inlineStr">
        <is>
          <t>남이면 팔봉리 51-11</t>
        </is>
      </c>
      <c r="B580" s="3" t="inlineStr">
        <is>
          <t>자연녹지지역</t>
        </is>
      </c>
      <c r="C580" s="3" t="inlineStr">
        <is>
          <t>전</t>
        </is>
      </c>
      <c r="D580" s="3" t="inlineStr">
        <is>
          <t>전</t>
        </is>
      </c>
      <c r="E580" s="3" t="inlineStr">
        <is>
          <t>매매</t>
        </is>
      </c>
      <c r="F580" s="4" t="n">
        <v>22000</v>
      </c>
      <c r="G580" s="4" t="n">
        <v>840</v>
      </c>
      <c r="H580" s="4" t="n">
        <v>254</v>
      </c>
      <c r="I580" s="5" t="n">
        <v>86.59999999999999</v>
      </c>
      <c r="J580" s="5" t="n">
        <v>50.2</v>
      </c>
      <c r="K580" s="3" t="inlineStr">
        <is>
          <t>청주 팔봉리 전원주택용지 매매,시내접근성 우수,가격절충,도로지분포함</t>
        </is>
      </c>
      <c r="L580" s="6">
        <f>HYPERLINK("https://fin.land.naver.com/articles/2653376919", "매물Link")</f>
        <v/>
      </c>
      <c r="M580" s="6">
        <f>HYPERLINK("https://map.naver.com/p/search/남이면 팔봉리 51-11", "지도Link")</f>
        <v/>
      </c>
      <c r="N580" s="6">
        <f>HYPERLINK("http://www.eum.go.kr/web/ar/lu/luLandDet.jsp?pnu=4311231030100510011&amp;isNoScr=script&amp;mode=search", "토지이음")</f>
        <v/>
      </c>
      <c r="O580" s="3" t="inlineStr">
        <is>
          <t>라인</t>
        </is>
      </c>
      <c r="P580" s="4" t="n">
        <v>1</v>
      </c>
      <c r="Q580" s="4" t="n">
        <v>732</v>
      </c>
      <c r="R580" s="3" t="inlineStr">
        <is>
          <t>지정되지않음</t>
        </is>
      </c>
      <c r="S580" s="3" t="inlineStr">
        <is>
          <t>주거나지</t>
        </is>
      </c>
      <c r="T580" s="3" t="inlineStr">
        <is>
          <t>완경사</t>
        </is>
      </c>
      <c r="U580" s="3" t="inlineStr">
        <is>
          <t>사다리형</t>
        </is>
      </c>
      <c r="V580" s="3" t="inlineStr">
        <is>
          <t>세로한면(가)</t>
        </is>
      </c>
    </row>
    <row r="581">
      <c r="A581" s="3" t="inlineStr">
        <is>
          <t>남이면 팔봉리 산 23-14</t>
        </is>
      </c>
      <c r="B581" s="3" t="inlineStr">
        <is>
          <t>보전녹지지역</t>
        </is>
      </c>
      <c r="C581" s="3" t="inlineStr">
        <is>
          <t>임야</t>
        </is>
      </c>
      <c r="D581" s="3" t="inlineStr">
        <is>
          <t>임야</t>
        </is>
      </c>
      <c r="E581" s="3" t="inlineStr">
        <is>
          <t>매매</t>
        </is>
      </c>
      <c r="F581" s="4" t="n">
        <v>22000</v>
      </c>
      <c r="G581" s="4" t="n">
        <v>865</v>
      </c>
      <c r="H581" s="4" t="n">
        <v>262</v>
      </c>
      <c r="I581" s="5" t="n">
        <v>84</v>
      </c>
      <c r="J581" s="5" t="n">
        <v>40.1</v>
      </c>
      <c r="K581" s="3" t="inlineStr">
        <is>
          <t>급매, 팔봉리 전원주택 토지매매</t>
        </is>
      </c>
      <c r="L581" s="6">
        <f>HYPERLINK("https://fin.land.naver.com/articles/2650589873", "매물Link")</f>
        <v/>
      </c>
      <c r="M581" s="6">
        <f>HYPERLINK("https://map.naver.com/p/search/남이면 팔봉리 산 23-14", "지도Link")</f>
        <v/>
      </c>
      <c r="N581" s="6">
        <f>HYPERLINK("http://www.eum.go.kr/web/ar/lu/luLandDet.jsp?pnu=4311231030200230014&amp;isNoScr=script&amp;mode=search", "토지이음")</f>
        <v/>
      </c>
      <c r="O581" s="3" t="inlineStr">
        <is>
          <t>강남하택</t>
        </is>
      </c>
      <c r="P581" s="4" t="n">
        <v>1</v>
      </c>
      <c r="Q581" s="4" t="n">
        <v>865</v>
      </c>
      <c r="R581" s="3" t="inlineStr">
        <is>
          <t>자연녹지지역</t>
        </is>
      </c>
      <c r="S581" s="3" t="inlineStr">
        <is>
          <t>주거나지</t>
        </is>
      </c>
      <c r="T581" s="3" t="inlineStr">
        <is>
          <t>완경사</t>
        </is>
      </c>
      <c r="U581" s="3" t="inlineStr">
        <is>
          <t>사다리형</t>
        </is>
      </c>
      <c r="V581" s="3" t="inlineStr">
        <is>
          <t>세로한면(가)</t>
        </is>
      </c>
    </row>
    <row r="582">
      <c r="A582" s="3" t="inlineStr">
        <is>
          <t>남이면 팔봉리 산22-11</t>
        </is>
      </c>
      <c r="B582" s="3" t="inlineStr">
        <is>
          <t>보전녹지지역</t>
        </is>
      </c>
      <c r="C582" s="3" t="inlineStr">
        <is>
          <t>임야</t>
        </is>
      </c>
      <c r="D582" s="3" t="inlineStr">
        <is>
          <t>임야</t>
        </is>
      </c>
      <c r="E582" s="3" t="inlineStr">
        <is>
          <t>매매</t>
        </is>
      </c>
      <c r="F582" s="4" t="n">
        <v>18000</v>
      </c>
      <c r="G582" s="4" t="n">
        <v>650</v>
      </c>
      <c r="H582" s="4" t="n">
        <v>197</v>
      </c>
      <c r="I582" s="5" t="n">
        <v>91.40000000000001</v>
      </c>
      <c r="J582" s="5" t="n">
        <v>41</v>
      </c>
      <c r="K582" s="3" t="inlineStr">
        <is>
          <t>전원주택 최적지 매매 저렴한금액 가격조정가능 도로지분있음</t>
        </is>
      </c>
      <c r="L582" s="6">
        <f>HYPERLINK("https://fin.land.naver.com/articles/2651030939", "매물Link")</f>
        <v/>
      </c>
      <c r="M582" s="6">
        <f>HYPERLINK("https://map.naver.com/p/search/남이면 팔봉리 산22-11", "지도Link")</f>
        <v/>
      </c>
      <c r="N582" s="6">
        <f>HYPERLINK("http://www.eum.go.kr/web/ar/lu/luLandDet.jsp?pnu=4311231030200220011&amp;isNoScr=script&amp;mode=search", "토지이음")</f>
        <v/>
      </c>
      <c r="O582" s="3" t="inlineStr">
        <is>
          <t>고운동리치세종</t>
        </is>
      </c>
      <c r="P582" s="4" t="n">
        <v>1</v>
      </c>
      <c r="Q582" s="4" t="n">
        <v>650</v>
      </c>
      <c r="R582" s="3" t="inlineStr">
        <is>
          <t>자연녹지지역</t>
        </is>
      </c>
      <c r="S582" s="3" t="inlineStr">
        <is>
          <t>주거나지</t>
        </is>
      </c>
      <c r="T582" s="3" t="inlineStr">
        <is>
          <t>완경사</t>
        </is>
      </c>
      <c r="U582" s="3" t="inlineStr">
        <is>
          <t>사다리형</t>
        </is>
      </c>
      <c r="V582" s="3" t="inlineStr">
        <is>
          <t>세로각지(가)</t>
        </is>
      </c>
    </row>
    <row r="583">
      <c r="A583" s="3" t="inlineStr">
        <is>
          <t>남이면 팔봉리 산40-16</t>
        </is>
      </c>
      <c r="B583" s="3" t="inlineStr">
        <is>
          <t>보전녹지지역</t>
        </is>
      </c>
      <c r="C583" s="3" t="inlineStr">
        <is>
          <t>임야</t>
        </is>
      </c>
      <c r="D583" s="3" t="inlineStr">
        <is>
          <t>임야</t>
        </is>
      </c>
      <c r="E583" s="3" t="inlineStr">
        <is>
          <t>매매</t>
        </is>
      </c>
      <c r="F583" s="4" t="n">
        <v>60000</v>
      </c>
      <c r="G583" s="4" t="n">
        <v>35282</v>
      </c>
      <c r="H583" s="4" t="n">
        <v>10673</v>
      </c>
      <c r="I583" s="5" t="n">
        <v>5.6</v>
      </c>
      <c r="J583" s="5" t="n">
        <v>1.7</v>
      </c>
      <c r="K583" s="3" t="inlineStr">
        <is>
          <t>남이면 팔봉리에 위치한 임야 급매</t>
        </is>
      </c>
      <c r="L583" s="6">
        <f>HYPERLINK("https://fin.land.naver.com/articles/2653402243", "매물Link")</f>
        <v/>
      </c>
      <c r="M583" s="6">
        <f>HYPERLINK("https://map.naver.com/p/search/남이면 팔봉리 산40-16", "지도Link")</f>
        <v/>
      </c>
      <c r="N583" s="6">
        <f>HYPERLINK("http://www.eum.go.kr/web/ar/lu/luLandDet.jsp?pnu=4311231030200400016&amp;isNoScr=script&amp;mode=search", "토지이음")</f>
        <v/>
      </c>
      <c r="O583" s="3" t="inlineStr">
        <is>
          <t>대지</t>
        </is>
      </c>
      <c r="P583" s="4" t="n">
        <v>1</v>
      </c>
      <c r="Q583" s="4" t="n">
        <v>35282</v>
      </c>
      <c r="R583" s="3" t="inlineStr">
        <is>
          <t>지정되지않음</t>
        </is>
      </c>
      <c r="S583" s="3" t="inlineStr">
        <is>
          <t>자연림</t>
        </is>
      </c>
      <c r="T583" s="3" t="inlineStr">
        <is>
          <t>완경사</t>
        </is>
      </c>
      <c r="U583" s="3" t="inlineStr">
        <is>
          <t>부정형</t>
        </is>
      </c>
      <c r="V583" s="3" t="inlineStr">
        <is>
          <t>맹지</t>
        </is>
      </c>
    </row>
    <row r="584">
      <c r="A584" s="3" t="inlineStr">
        <is>
          <t>다정동 641</t>
        </is>
      </c>
      <c r="B584" s="3" t="inlineStr">
        <is>
          <t>제1종전용주거지역</t>
        </is>
      </c>
      <c r="C584" s="3" t="inlineStr">
        <is>
          <t>대</t>
        </is>
      </c>
      <c r="D584" s="3" t="inlineStr">
        <is>
          <t>대</t>
        </is>
      </c>
      <c r="E584" s="3" t="inlineStr">
        <is>
          <t>매매</t>
        </is>
      </c>
      <c r="F584" s="4" t="n">
        <v>60000</v>
      </c>
      <c r="G584" s="4" t="n">
        <v>409</v>
      </c>
      <c r="H584" s="4" t="n">
        <v>124</v>
      </c>
      <c r="I584" s="5" t="n">
        <v>483.9</v>
      </c>
      <c r="J584" s="5" t="n">
        <v>324.8</v>
      </c>
      <c r="K584" s="3" t="inlineStr">
        <is>
          <t>3면코너각지 대형필지 조율가능</t>
        </is>
      </c>
      <c r="L584" s="6">
        <f>HYPERLINK("https://fin.land.naver.com/articles/2653668178", "매물Link")</f>
        <v/>
      </c>
      <c r="M584" s="6">
        <f>HYPERLINK("https://map.naver.com/p/search/다정동 641", "지도Link")</f>
        <v/>
      </c>
      <c r="N584" s="6">
        <f>HYPERLINK("http://www.eum.go.kr/web/ar/lu/luLandDet.jsp?pnu=3611010900106410000&amp;isNoScr=script&amp;mode=search", "토지이음")</f>
        <v/>
      </c>
      <c r="O584" s="3" t="inlineStr">
        <is>
          <t>세종스타</t>
        </is>
      </c>
      <c r="P584" s="4" t="n">
        <v>1</v>
      </c>
      <c r="Q584" s="4" t="n">
        <v>408.8</v>
      </c>
      <c r="R584" s="3" t="inlineStr">
        <is>
          <t>지정되지않음</t>
        </is>
      </c>
      <c r="S584" s="3" t="inlineStr">
        <is>
          <t>주거나지</t>
        </is>
      </c>
      <c r="T584" s="3" t="inlineStr">
        <is>
          <t>평지</t>
        </is>
      </c>
      <c r="U584" s="3" t="inlineStr">
        <is>
          <t>세로장방</t>
        </is>
      </c>
      <c r="V584" s="3" t="inlineStr">
        <is>
          <t>중로각지</t>
        </is>
      </c>
    </row>
    <row r="585">
      <c r="A585" s="3" t="inlineStr">
        <is>
          <t>다정동 643</t>
        </is>
      </c>
      <c r="B585" s="3" t="inlineStr">
        <is>
          <t>제1종전용주거지역</t>
        </is>
      </c>
      <c r="C585" s="3" t="inlineStr">
        <is>
          <t>대</t>
        </is>
      </c>
      <c r="D585" s="3" t="inlineStr">
        <is>
          <t>대</t>
        </is>
      </c>
      <c r="E585" s="3" t="inlineStr">
        <is>
          <t>매매</t>
        </is>
      </c>
      <c r="F585" s="4" t="n">
        <v>68000</v>
      </c>
      <c r="G585" s="4" t="n">
        <v>643</v>
      </c>
      <c r="H585" s="4" t="n">
        <v>195</v>
      </c>
      <c r="I585" s="5" t="n">
        <v>348.7</v>
      </c>
      <c r="J585" s="5" t="n">
        <v>278</v>
      </c>
      <c r="K585" s="3" t="inlineStr">
        <is>
          <t>급매매 큰땅입니다</t>
        </is>
      </c>
      <c r="L585" s="6">
        <f>HYPERLINK("https://fin.land.naver.com/articles/2654114661", "매물Link")</f>
        <v/>
      </c>
      <c r="M585" s="6">
        <f>HYPERLINK("https://map.naver.com/p/search/다정동 643", "지도Link")</f>
        <v/>
      </c>
      <c r="N585" s="6">
        <f>HYPERLINK("http://www.eum.go.kr/web/ar/lu/luLandDet.jsp?pnu=3611010900106430000&amp;isNoScr=script&amp;mode=search", "토지이음")</f>
        <v/>
      </c>
      <c r="O585" s="3" t="inlineStr">
        <is>
          <t>킹세종</t>
        </is>
      </c>
      <c r="P585" s="4" t="n">
        <v>1</v>
      </c>
      <c r="Q585" s="4" t="n">
        <v>535</v>
      </c>
      <c r="R585" s="3" t="inlineStr">
        <is>
          <t>지정되지않음</t>
        </is>
      </c>
      <c r="S585" s="3" t="inlineStr">
        <is>
          <t>주거나지</t>
        </is>
      </c>
      <c r="T585" s="3" t="inlineStr">
        <is>
          <t>평지</t>
        </is>
      </c>
      <c r="U585" s="3" t="inlineStr">
        <is>
          <t>부정형</t>
        </is>
      </c>
      <c r="V585" s="3" t="inlineStr">
        <is>
          <t>소로한면</t>
        </is>
      </c>
    </row>
    <row r="586">
      <c r="A586" s="3" t="inlineStr">
        <is>
          <t>다정동 643</t>
        </is>
      </c>
      <c r="B586" s="3" t="inlineStr">
        <is>
          <t>제1종전용주거지역</t>
        </is>
      </c>
      <c r="C586" s="3" t="inlineStr">
        <is>
          <t>대</t>
        </is>
      </c>
      <c r="D586" s="3" t="inlineStr">
        <is>
          <t>대</t>
        </is>
      </c>
      <c r="E586" s="3" t="inlineStr">
        <is>
          <t>매매</t>
        </is>
      </c>
      <c r="F586" s="4" t="n">
        <v>68000</v>
      </c>
      <c r="G586" s="4" t="n">
        <v>534</v>
      </c>
      <c r="H586" s="4" t="n">
        <v>162</v>
      </c>
      <c r="I586" s="5" t="n">
        <v>419.8</v>
      </c>
      <c r="J586" s="5" t="n">
        <v>278</v>
      </c>
      <c r="K586" s="3" t="inlineStr">
        <is>
          <t>공원 인근 다정동 단독주택지, 넓은 면적 추천</t>
        </is>
      </c>
      <c r="L586" s="6">
        <f>HYPERLINK("https://fin.land.naver.com/articles/2650427943", "매물Link")</f>
        <v/>
      </c>
      <c r="M586" s="6">
        <f>HYPERLINK("https://map.naver.com/p/search/다정동 643", "지도Link")</f>
        <v/>
      </c>
      <c r="N586" s="6">
        <f>HYPERLINK("http://www.eum.go.kr/web/ar/lu/luLandDet.jsp?pnu=3611010900106430000&amp;isNoScr=script&amp;mode=search", "토지이음")</f>
        <v/>
      </c>
      <c r="O586" s="3" t="inlineStr">
        <is>
          <t>세종무지개</t>
        </is>
      </c>
      <c r="P586" s="4" t="n">
        <v>1</v>
      </c>
      <c r="Q586" s="4" t="n">
        <v>535</v>
      </c>
      <c r="R586" s="3" t="inlineStr">
        <is>
          <t>지정되지않음</t>
        </is>
      </c>
      <c r="S586" s="3" t="inlineStr">
        <is>
          <t>주거나지</t>
        </is>
      </c>
      <c r="T586" s="3" t="inlineStr">
        <is>
          <t>평지</t>
        </is>
      </c>
      <c r="U586" s="3" t="inlineStr">
        <is>
          <t>부정형</t>
        </is>
      </c>
      <c r="V586" s="3" t="inlineStr">
        <is>
          <t>소로한면</t>
        </is>
      </c>
    </row>
    <row r="587">
      <c r="A587" s="3" t="inlineStr">
        <is>
          <t>다정동 651</t>
        </is>
      </c>
      <c r="B587" s="3" t="inlineStr">
        <is>
          <t>제1종전용주거지역</t>
        </is>
      </c>
      <c r="C587" s="3" t="inlineStr">
        <is>
          <t>대</t>
        </is>
      </c>
      <c r="D587" s="3" t="inlineStr">
        <is>
          <t>대</t>
        </is>
      </c>
      <c r="E587" s="3" t="inlineStr">
        <is>
          <t>매매</t>
        </is>
      </c>
      <c r="F587" s="4" t="n">
        <v>60000</v>
      </c>
      <c r="G587" s="4" t="n">
        <v>300</v>
      </c>
      <c r="H587" s="4" t="n">
        <v>91</v>
      </c>
      <c r="I587" s="5" t="n">
        <v>659.3</v>
      </c>
      <c r="J587" s="5" t="n">
        <v>292.7</v>
      </c>
      <c r="K587" s="3" t="inlineStr">
        <is>
          <t>급매 정남향 넓은 시유지접함 조율가능</t>
        </is>
      </c>
      <c r="L587" s="6">
        <f>HYPERLINK("https://fin.land.naver.com/articles/2652136487", "매물Link")</f>
        <v/>
      </c>
      <c r="M587" s="6">
        <f>HYPERLINK("https://map.naver.com/p/search/다정동 651", "지도Link")</f>
        <v/>
      </c>
      <c r="N587" s="6">
        <f>HYPERLINK("http://www.eum.go.kr/web/ar/lu/luLandDet.jsp?pnu=3611010900106510000&amp;isNoScr=script&amp;mode=search", "토지이음")</f>
        <v/>
      </c>
      <c r="O587" s="3" t="inlineStr">
        <is>
          <t>세종스타</t>
        </is>
      </c>
      <c r="P587" s="4" t="n">
        <v>1</v>
      </c>
      <c r="Q587" s="4" t="n">
        <v>300</v>
      </c>
      <c r="R587" s="3" t="inlineStr">
        <is>
          <t>지정되지않음</t>
        </is>
      </c>
      <c r="S587" s="3" t="inlineStr">
        <is>
          <t>주거나지</t>
        </is>
      </c>
      <c r="T587" s="3" t="inlineStr">
        <is>
          <t>평지</t>
        </is>
      </c>
      <c r="U587" s="3" t="inlineStr">
        <is>
          <t>정방형</t>
        </is>
      </c>
      <c r="V587" s="3" t="inlineStr">
        <is>
          <t>소로한면</t>
        </is>
      </c>
    </row>
    <row r="588">
      <c r="A588" s="3" t="inlineStr">
        <is>
          <t>다정동 651</t>
        </is>
      </c>
      <c r="B588" s="3" t="inlineStr">
        <is>
          <t>제1종전용주거지역</t>
        </is>
      </c>
      <c r="C588" s="3" t="inlineStr">
        <is>
          <t>대</t>
        </is>
      </c>
      <c r="D588" s="3" t="inlineStr">
        <is>
          <t>대</t>
        </is>
      </c>
      <c r="E588" s="3" t="inlineStr">
        <is>
          <t>매매</t>
        </is>
      </c>
      <c r="F588" s="4" t="n">
        <v>60000</v>
      </c>
      <c r="G588" s="4" t="n">
        <v>300</v>
      </c>
      <c r="H588" s="4" t="n">
        <v>91</v>
      </c>
      <c r="I588" s="5" t="n">
        <v>659.3</v>
      </c>
      <c r="J588" s="5" t="n">
        <v>292.7</v>
      </c>
      <c r="K588" s="3" t="inlineStr">
        <is>
          <t>총 90.9p, 다정동 조용한 단독주택지, 정남향</t>
        </is>
      </c>
      <c r="L588" s="6">
        <f>HYPERLINK("https://fin.land.naver.com/articles/2652842480", "매물Link")</f>
        <v/>
      </c>
      <c r="M588" s="6">
        <f>HYPERLINK("https://map.naver.com/p/search/다정동 651", "지도Link")</f>
        <v/>
      </c>
      <c r="N588" s="6">
        <f>HYPERLINK("http://www.eum.go.kr/web/ar/lu/luLandDet.jsp?pnu=3611010900106510000&amp;isNoScr=script&amp;mode=search", "토지이음")</f>
        <v/>
      </c>
      <c r="O588" s="3" t="inlineStr">
        <is>
          <t>세종무지개</t>
        </is>
      </c>
      <c r="P588" s="4" t="n">
        <v>1</v>
      </c>
      <c r="Q588" s="4" t="n">
        <v>300</v>
      </c>
      <c r="R588" s="3" t="inlineStr">
        <is>
          <t>지정되지않음</t>
        </is>
      </c>
      <c r="S588" s="3" t="inlineStr">
        <is>
          <t>주거나지</t>
        </is>
      </c>
      <c r="T588" s="3" t="inlineStr">
        <is>
          <t>평지</t>
        </is>
      </c>
      <c r="U588" s="3" t="inlineStr">
        <is>
          <t>정방형</t>
        </is>
      </c>
      <c r="V588" s="3" t="inlineStr">
        <is>
          <t>소로한면</t>
        </is>
      </c>
    </row>
    <row r="589">
      <c r="A589" s="3" t="inlineStr">
        <is>
          <t>다정동 667</t>
        </is>
      </c>
      <c r="B589" s="3" t="inlineStr">
        <is>
          <t>제1종전용주거지역</t>
        </is>
      </c>
      <c r="C589" s="3" t="inlineStr">
        <is>
          <t>대</t>
        </is>
      </c>
      <c r="D589" s="3" t="inlineStr">
        <is>
          <t>대</t>
        </is>
      </c>
      <c r="E589" s="3" t="inlineStr">
        <is>
          <t>매매</t>
        </is>
      </c>
      <c r="F589" s="4" t="n">
        <v>62000</v>
      </c>
      <c r="G589" s="4" t="n">
        <v>336</v>
      </c>
      <c r="H589" s="4" t="n">
        <v>102</v>
      </c>
      <c r="I589" s="5" t="n">
        <v>607.8</v>
      </c>
      <c r="J589" s="5" t="n">
        <v>324.8</v>
      </c>
      <c r="K589" s="3" t="inlineStr">
        <is>
          <t>다정동 단독상가 매매, 입지 좋은 조용한 위치</t>
        </is>
      </c>
      <c r="L589" s="6">
        <f>HYPERLINK("https://fin.land.naver.com/articles/2653565556", "매물Link")</f>
        <v/>
      </c>
      <c r="M589" s="6">
        <f>HYPERLINK("https://map.naver.com/p/search/다정동 667", "지도Link")</f>
        <v/>
      </c>
      <c r="N589" s="6">
        <f>HYPERLINK("http://www.eum.go.kr/web/ar/lu/luLandDet.jsp?pnu=3611010900106670000&amp;isNoScr=script&amp;mode=search", "토지이음")</f>
        <v/>
      </c>
      <c r="O589" s="3" t="inlineStr">
        <is>
          <t>세종무지개</t>
        </is>
      </c>
      <c r="P589" s="4" t="n">
        <v>1</v>
      </c>
      <c r="Q589" s="4" t="n">
        <v>336.3</v>
      </c>
      <c r="R589" s="3" t="inlineStr">
        <is>
          <t>지정되지않음</t>
        </is>
      </c>
      <c r="S589" s="3" t="inlineStr">
        <is>
          <t>주거나지</t>
        </is>
      </c>
      <c r="T589" s="3" t="inlineStr">
        <is>
          <t>평지</t>
        </is>
      </c>
      <c r="U589" s="3" t="inlineStr">
        <is>
          <t>세로장방</t>
        </is>
      </c>
      <c r="V589" s="3" t="inlineStr">
        <is>
          <t>중로각지</t>
        </is>
      </c>
    </row>
    <row r="590">
      <c r="A590" s="3" t="inlineStr">
        <is>
          <t>다정동 674</t>
        </is>
      </c>
      <c r="B590" s="3" t="inlineStr">
        <is>
          <t>제1종전용주거지역</t>
        </is>
      </c>
      <c r="C590" s="3" t="inlineStr">
        <is>
          <t>대</t>
        </is>
      </c>
      <c r="D590" s="3" t="inlineStr">
        <is>
          <t>대</t>
        </is>
      </c>
      <c r="E590" s="3" t="inlineStr">
        <is>
          <t>매매</t>
        </is>
      </c>
      <c r="F590" s="4" t="n">
        <v>43000</v>
      </c>
      <c r="G590" s="4" t="n">
        <v>290</v>
      </c>
      <c r="H590" s="4" t="n">
        <v>88</v>
      </c>
      <c r="I590" s="5" t="n">
        <v>488.6</v>
      </c>
      <c r="J590" s="5" t="n">
        <v>292.7</v>
      </c>
      <c r="K590" s="3" t="inlineStr">
        <is>
          <t>저렴한급매매 다정동단독주택지</t>
        </is>
      </c>
      <c r="L590" s="6">
        <f>HYPERLINK("https://fin.land.naver.com/articles/2654260695", "매물Link")</f>
        <v/>
      </c>
      <c r="M590" s="6">
        <f>HYPERLINK("https://map.naver.com/p/search/다정동 674", "지도Link")</f>
        <v/>
      </c>
      <c r="N590" s="6">
        <f>HYPERLINK("http://www.eum.go.kr/web/ar/lu/luLandDet.jsp?pnu=3611010900106740000&amp;isNoScr=script&amp;mode=search", "토지이음")</f>
        <v/>
      </c>
      <c r="O590" s="3" t="inlineStr">
        <is>
          <t>새롬스마트</t>
        </is>
      </c>
      <c r="P590" s="4" t="n">
        <v>2</v>
      </c>
      <c r="Q590" s="4" t="n">
        <v>290</v>
      </c>
      <c r="R590" s="3" t="inlineStr">
        <is>
          <t>지정되지않음</t>
        </is>
      </c>
      <c r="S590" s="3" t="inlineStr">
        <is>
          <t>주거나지</t>
        </is>
      </c>
      <c r="T590" s="3" t="inlineStr">
        <is>
          <t>평지</t>
        </is>
      </c>
      <c r="U590" s="3" t="inlineStr">
        <is>
          <t>가로장방</t>
        </is>
      </c>
      <c r="V590" s="3" t="inlineStr">
        <is>
          <t>소로한면</t>
        </is>
      </c>
    </row>
    <row r="591">
      <c r="A591" s="3" t="inlineStr">
        <is>
          <t>다정동 674</t>
        </is>
      </c>
      <c r="B591" s="3" t="inlineStr">
        <is>
          <t>제1종전용주거지역</t>
        </is>
      </c>
      <c r="C591" s="3" t="inlineStr">
        <is>
          <t>대</t>
        </is>
      </c>
      <c r="D591" s="3" t="inlineStr">
        <is>
          <t>대</t>
        </is>
      </c>
      <c r="E591" s="3" t="inlineStr">
        <is>
          <t>매매</t>
        </is>
      </c>
      <c r="F591" s="4" t="n">
        <v>43000</v>
      </c>
      <c r="G591" s="4" t="n">
        <v>290</v>
      </c>
      <c r="H591" s="4" t="n">
        <v>88</v>
      </c>
      <c r="I591" s="5" t="n">
        <v>488.6</v>
      </c>
      <c r="J591" s="5" t="n">
        <v>292.7</v>
      </c>
      <c r="K591" s="3" t="inlineStr">
        <is>
          <t>총 87.9p, 다정동 저렴한 단독주택지 매매</t>
        </is>
      </c>
      <c r="L591" s="6">
        <f>HYPERLINK("https://fin.land.naver.com/articles/2652839084", "매물Link")</f>
        <v/>
      </c>
      <c r="M591" s="6">
        <f>HYPERLINK("https://map.naver.com/p/search/다정동 674", "지도Link")</f>
        <v/>
      </c>
      <c r="N591" s="6">
        <f>HYPERLINK("http://www.eum.go.kr/web/ar/lu/luLandDet.jsp?pnu=3611010900106740000&amp;isNoScr=script&amp;mode=search", "토지이음")</f>
        <v/>
      </c>
      <c r="O591" s="3" t="inlineStr">
        <is>
          <t>세종무지개</t>
        </is>
      </c>
      <c r="P591" s="4" t="n">
        <v>1</v>
      </c>
      <c r="Q591" s="4" t="n">
        <v>290</v>
      </c>
      <c r="R591" s="3" t="inlineStr">
        <is>
          <t>지정되지않음</t>
        </is>
      </c>
      <c r="S591" s="3" t="inlineStr">
        <is>
          <t>주거나지</t>
        </is>
      </c>
      <c r="T591" s="3" t="inlineStr">
        <is>
          <t>평지</t>
        </is>
      </c>
      <c r="U591" s="3" t="inlineStr">
        <is>
          <t>가로장방</t>
        </is>
      </c>
      <c r="V591" s="3" t="inlineStr">
        <is>
          <t>소로한면</t>
        </is>
      </c>
    </row>
    <row r="592">
      <c r="A592" s="3" t="inlineStr">
        <is>
          <t>다정동 688</t>
        </is>
      </c>
      <c r="B592" s="3" t="inlineStr">
        <is>
          <t>제1종전용주거지역</t>
        </is>
      </c>
      <c r="C592" s="3" t="inlineStr">
        <is>
          <t>대</t>
        </is>
      </c>
      <c r="D592" s="3" t="inlineStr">
        <is>
          <t>대</t>
        </is>
      </c>
      <c r="E592" s="3" t="inlineStr">
        <is>
          <t>매매</t>
        </is>
      </c>
      <c r="F592" s="4" t="n">
        <v>45000</v>
      </c>
      <c r="G592" s="4" t="n">
        <v>273</v>
      </c>
      <c r="H592" s="4" t="n">
        <v>83</v>
      </c>
      <c r="I592" s="5" t="n">
        <v>542.2</v>
      </c>
      <c r="J592" s="5" t="n">
        <v>313.1</v>
      </c>
      <c r="K592" s="3" t="inlineStr">
        <is>
          <t>조용한 단독주택지,급매</t>
        </is>
      </c>
      <c r="L592" s="6">
        <f>HYPERLINK("https://fin.land.naver.com/articles/2654512640", "매물Link")</f>
        <v/>
      </c>
      <c r="M592" s="6">
        <f>HYPERLINK("https://map.naver.com/p/search/다정동 688", "지도Link")</f>
        <v/>
      </c>
      <c r="N592" s="6">
        <f>HYPERLINK("http://www.eum.go.kr/web/ar/lu/luLandDet.jsp?pnu=3611010900106880000&amp;isNoScr=script&amp;mode=search", "토지이음")</f>
        <v/>
      </c>
      <c r="O592" s="3" t="inlineStr">
        <is>
          <t>세종금주</t>
        </is>
      </c>
      <c r="P592" s="4" t="n">
        <v>1</v>
      </c>
      <c r="Q592" s="4" t="n">
        <v>273</v>
      </c>
      <c r="R592" s="3" t="inlineStr">
        <is>
          <t>지정되지않음</t>
        </is>
      </c>
      <c r="S592" s="3" t="inlineStr">
        <is>
          <t>주거나지</t>
        </is>
      </c>
      <c r="T592" s="3" t="inlineStr">
        <is>
          <t>평지</t>
        </is>
      </c>
      <c r="U592" s="3" t="inlineStr">
        <is>
          <t>가로장방</t>
        </is>
      </c>
      <c r="V592" s="3" t="inlineStr">
        <is>
          <t>중로한면</t>
        </is>
      </c>
    </row>
    <row r="593">
      <c r="A593" s="3" t="inlineStr">
        <is>
          <t>다정동 688</t>
        </is>
      </c>
      <c r="B593" s="3" t="inlineStr">
        <is>
          <t>제1종전용주거지역</t>
        </is>
      </c>
      <c r="C593" s="3" t="inlineStr">
        <is>
          <t>대</t>
        </is>
      </c>
      <c r="D593" s="3" t="inlineStr">
        <is>
          <t>대</t>
        </is>
      </c>
      <c r="E593" s="3" t="inlineStr">
        <is>
          <t>매매</t>
        </is>
      </c>
      <c r="F593" s="4" t="n">
        <v>45000</v>
      </c>
      <c r="G593" s="4" t="n">
        <v>273</v>
      </c>
      <c r="H593" s="4" t="n">
        <v>83</v>
      </c>
      <c r="I593" s="5" t="n">
        <v>542.2</v>
      </c>
      <c r="J593" s="5" t="n">
        <v>313.1</v>
      </c>
      <c r="K593" s="3" t="inlineStr">
        <is>
          <t>조율가능 편의시설옆 건축하기 좋은 모양</t>
        </is>
      </c>
      <c r="L593" s="6">
        <f>HYPERLINK("https://fin.land.naver.com/articles/2651087752", "매물Link")</f>
        <v/>
      </c>
      <c r="M593" s="6">
        <f>HYPERLINK("https://map.naver.com/p/search/다정동 688", "지도Link")</f>
        <v/>
      </c>
      <c r="N593" s="6">
        <f>HYPERLINK("http://www.eum.go.kr/web/ar/lu/luLandDet.jsp?pnu=3611010900106880000&amp;isNoScr=script&amp;mode=search", "토지이음")</f>
        <v/>
      </c>
      <c r="O593" s="3" t="inlineStr">
        <is>
          <t>세종스타</t>
        </is>
      </c>
      <c r="P593" s="4" t="n">
        <v>1</v>
      </c>
      <c r="Q593" s="4" t="n">
        <v>273</v>
      </c>
      <c r="R593" s="3" t="inlineStr">
        <is>
          <t>지정되지않음</t>
        </is>
      </c>
      <c r="S593" s="3" t="inlineStr">
        <is>
          <t>주거나지</t>
        </is>
      </c>
      <c r="T593" s="3" t="inlineStr">
        <is>
          <t>평지</t>
        </is>
      </c>
      <c r="U593" s="3" t="inlineStr">
        <is>
          <t>가로장방</t>
        </is>
      </c>
      <c r="V593" s="3" t="inlineStr">
        <is>
          <t>중로한면</t>
        </is>
      </c>
    </row>
    <row r="594">
      <c r="A594" s="3" t="inlineStr">
        <is>
          <t>다정동 729</t>
        </is>
      </c>
      <c r="B594" s="3" t="inlineStr">
        <is>
          <t>제1종전용주거지역</t>
        </is>
      </c>
      <c r="C594" s="3" t="inlineStr">
        <is>
          <t>대</t>
        </is>
      </c>
      <c r="D594" s="3" t="inlineStr">
        <is>
          <t>대</t>
        </is>
      </c>
      <c r="E594" s="3" t="inlineStr">
        <is>
          <t>매매</t>
        </is>
      </c>
      <c r="F594" s="4" t="n">
        <v>67000</v>
      </c>
      <c r="G594" s="4" t="n">
        <v>368</v>
      </c>
      <c r="H594" s="4" t="n">
        <v>111</v>
      </c>
      <c r="I594" s="5" t="n">
        <v>603.6</v>
      </c>
      <c r="J594" s="5" t="n">
        <v>341.2</v>
      </c>
      <c r="K594" s="3" t="inlineStr">
        <is>
          <t>111.8p, 삼거리 코너, 정남향, 다정동 단독주택 토지매매</t>
        </is>
      </c>
      <c r="L594" s="6">
        <f>HYPERLINK("https://fin.land.naver.com/articles/2654225284", "매물Link")</f>
        <v/>
      </c>
      <c r="M594" s="6">
        <f>HYPERLINK("https://map.naver.com/p/search/다정동 729", "지도Link")</f>
        <v/>
      </c>
      <c r="N594" s="6">
        <f>HYPERLINK("http://www.eum.go.kr/web/ar/lu/luLandDet.jsp?pnu=3611010900107290000&amp;isNoScr=script&amp;mode=search", "토지이음")</f>
        <v/>
      </c>
      <c r="O594" s="3" t="inlineStr">
        <is>
          <t>명진</t>
        </is>
      </c>
      <c r="P594" s="4" t="n">
        <v>1</v>
      </c>
      <c r="Q594" s="4" t="n">
        <v>369</v>
      </c>
      <c r="R594" s="3" t="inlineStr">
        <is>
          <t>지정되지않음</t>
        </is>
      </c>
      <c r="S594" s="3" t="inlineStr">
        <is>
          <t>주거나지</t>
        </is>
      </c>
      <c r="T594" s="3" t="inlineStr">
        <is>
          <t>평지</t>
        </is>
      </c>
      <c r="U594" s="3" t="inlineStr">
        <is>
          <t>정방형</t>
        </is>
      </c>
      <c r="V594" s="3" t="inlineStr">
        <is>
          <t>중로한면</t>
        </is>
      </c>
    </row>
    <row r="595">
      <c r="A595" s="3" t="inlineStr">
        <is>
          <t>다정동 729</t>
        </is>
      </c>
      <c r="B595" s="3" t="inlineStr">
        <is>
          <t>제1종전용주거지역</t>
        </is>
      </c>
      <c r="C595" s="3" t="inlineStr">
        <is>
          <t>대</t>
        </is>
      </c>
      <c r="D595" s="3" t="inlineStr">
        <is>
          <t>대</t>
        </is>
      </c>
      <c r="E595" s="3" t="inlineStr">
        <is>
          <t>매매</t>
        </is>
      </c>
      <c r="F595" s="4" t="n">
        <v>67000</v>
      </c>
      <c r="G595" s="4" t="n">
        <v>369</v>
      </c>
      <c r="H595" s="4" t="n">
        <v>112</v>
      </c>
      <c r="I595" s="5" t="n">
        <v>598.2</v>
      </c>
      <c r="J595" s="5" t="n">
        <v>341.2</v>
      </c>
      <c r="K595" s="3" t="inlineStr">
        <is>
          <t>다정동 단독주택토지, 코너입지, 111.8p</t>
        </is>
      </c>
      <c r="L595" s="6">
        <f>HYPERLINK("https://fin.land.naver.com/articles/2652838896", "매물Link")</f>
        <v/>
      </c>
      <c r="M595" s="6">
        <f>HYPERLINK("https://map.naver.com/p/search/다정동 729", "지도Link")</f>
        <v/>
      </c>
      <c r="N595" s="6">
        <f>HYPERLINK("http://www.eum.go.kr/web/ar/lu/luLandDet.jsp?pnu=3611010900107290000&amp;isNoScr=script&amp;mode=search", "토지이음")</f>
        <v/>
      </c>
      <c r="O595" s="3" t="inlineStr">
        <is>
          <t>세종무지개</t>
        </is>
      </c>
      <c r="P595" s="4" t="n">
        <v>1</v>
      </c>
      <c r="Q595" s="4" t="n">
        <v>369</v>
      </c>
      <c r="R595" s="3" t="inlineStr">
        <is>
          <t>지정되지않음</t>
        </is>
      </c>
      <c r="S595" s="3" t="inlineStr">
        <is>
          <t>주거나지</t>
        </is>
      </c>
      <c r="T595" s="3" t="inlineStr">
        <is>
          <t>평지</t>
        </is>
      </c>
      <c r="U595" s="3" t="inlineStr">
        <is>
          <t>정방형</t>
        </is>
      </c>
      <c r="V595" s="3" t="inlineStr">
        <is>
          <t>중로한면</t>
        </is>
      </c>
    </row>
    <row r="596">
      <c r="A596" s="3" t="inlineStr">
        <is>
          <t>다정동 729</t>
        </is>
      </c>
      <c r="B596" s="3" t="inlineStr">
        <is>
          <t>제1종전용주거지역</t>
        </is>
      </c>
      <c r="C596" s="3" t="inlineStr">
        <is>
          <t>대</t>
        </is>
      </c>
      <c r="D596" s="3" t="inlineStr">
        <is>
          <t>대</t>
        </is>
      </c>
      <c r="E596" s="3" t="inlineStr">
        <is>
          <t>매매</t>
        </is>
      </c>
      <c r="F596" s="4" t="n">
        <v>67000</v>
      </c>
      <c r="G596" s="4" t="n">
        <v>369</v>
      </c>
      <c r="H596" s="4" t="n">
        <v>112</v>
      </c>
      <c r="I596" s="5" t="n">
        <v>598.2</v>
      </c>
      <c r="J596" s="5" t="n">
        <v>341.2</v>
      </c>
      <c r="K596" s="3" t="inlineStr">
        <is>
          <t>2면도로 접,주변 60m가로 공원근접함</t>
        </is>
      </c>
      <c r="L596" s="6">
        <f>HYPERLINK("https://fin.land.naver.com/articles/2649639476", "매물Link")</f>
        <v/>
      </c>
      <c r="M596" s="6">
        <f>HYPERLINK("https://map.naver.com/p/search/다정동 729", "지도Link")</f>
        <v/>
      </c>
      <c r="N596" s="6">
        <f>HYPERLINK("http://www.eum.go.kr/web/ar/lu/luLandDet.jsp?pnu=3611010900107290000&amp;isNoScr=script&amp;mode=search", "토지이음")</f>
        <v/>
      </c>
      <c r="O596" s="3" t="inlineStr">
        <is>
          <t>킹세종</t>
        </is>
      </c>
      <c r="P596" s="4" t="n">
        <v>1</v>
      </c>
      <c r="Q596" s="4" t="n">
        <v>369</v>
      </c>
      <c r="R596" s="3" t="inlineStr">
        <is>
          <t>지정되지않음</t>
        </is>
      </c>
      <c r="S596" s="3" t="inlineStr">
        <is>
          <t>주거나지</t>
        </is>
      </c>
      <c r="T596" s="3" t="inlineStr">
        <is>
          <t>평지</t>
        </is>
      </c>
      <c r="U596" s="3" t="inlineStr">
        <is>
          <t>정방형</t>
        </is>
      </c>
      <c r="V596" s="3" t="inlineStr">
        <is>
          <t>중로한면</t>
        </is>
      </c>
    </row>
    <row r="597">
      <c r="A597" s="3" t="inlineStr">
        <is>
          <t>다정동 751</t>
        </is>
      </c>
      <c r="B597" s="3" t="inlineStr">
        <is>
          <t>제1종전용주거지역</t>
        </is>
      </c>
      <c r="C597" s="3" t="inlineStr">
        <is>
          <t>대</t>
        </is>
      </c>
      <c r="D597" s="3" t="inlineStr">
        <is>
          <t>대</t>
        </is>
      </c>
      <c r="E597" s="3" t="inlineStr">
        <is>
          <t>매매</t>
        </is>
      </c>
      <c r="F597" s="4" t="n">
        <v>49000</v>
      </c>
      <c r="G597" s="4" t="n">
        <v>278</v>
      </c>
      <c r="H597" s="4" t="n">
        <v>84</v>
      </c>
      <c r="I597" s="5" t="n">
        <v>583.3</v>
      </c>
      <c r="J597" s="5" t="n">
        <v>337.9</v>
      </c>
      <c r="K597" s="3" t="inlineStr">
        <is>
          <t>코너각지, 가격조율가능, 위치좋음, 모양좋음, 전화주세요.</t>
        </is>
      </c>
      <c r="L597" s="6">
        <f>HYPERLINK("https://fin.land.naver.com/articles/2654035759", "매물Link")</f>
        <v/>
      </c>
      <c r="M597" s="6">
        <f>HYPERLINK("https://map.naver.com/p/search/다정동 751", "지도Link")</f>
        <v/>
      </c>
      <c r="N597" s="6">
        <f>HYPERLINK("http://www.eum.go.kr/web/ar/lu/luLandDet.jsp?pnu=3611010900107510000&amp;isNoScr=script&amp;mode=search", "토지이음")</f>
        <v/>
      </c>
      <c r="O597" s="3" t="inlineStr">
        <is>
          <t>다정동첫번째</t>
        </is>
      </c>
      <c r="P597" s="4" t="n">
        <v>1</v>
      </c>
      <c r="Q597" s="4" t="n">
        <v>278</v>
      </c>
      <c r="R597" s="3" t="inlineStr">
        <is>
          <t>지정되지않음</t>
        </is>
      </c>
      <c r="S597" s="3" t="inlineStr">
        <is>
          <t>주거나지</t>
        </is>
      </c>
      <c r="T597" s="3" t="inlineStr">
        <is>
          <t>평지</t>
        </is>
      </c>
      <c r="U597" s="3" t="inlineStr">
        <is>
          <t>정방형</t>
        </is>
      </c>
      <c r="V597" s="3" t="inlineStr">
        <is>
          <t>중로각지</t>
        </is>
      </c>
    </row>
    <row r="598">
      <c r="A598" s="3" t="inlineStr">
        <is>
          <t>다정동 756</t>
        </is>
      </c>
      <c r="B598" s="3" t="inlineStr">
        <is>
          <t>제1종전용주거지역</t>
        </is>
      </c>
      <c r="C598" s="3" t="inlineStr">
        <is>
          <t>대</t>
        </is>
      </c>
      <c r="D598" s="3" t="inlineStr">
        <is>
          <t>대</t>
        </is>
      </c>
      <c r="E598" s="3" t="inlineStr">
        <is>
          <t>매매</t>
        </is>
      </c>
      <c r="F598" s="4" t="n">
        <v>83000</v>
      </c>
      <c r="G598" s="4" t="n">
        <v>368</v>
      </c>
      <c r="H598" s="4" t="n">
        <v>111</v>
      </c>
      <c r="I598" s="5" t="n">
        <v>747.7</v>
      </c>
      <c r="J598" s="5" t="n">
        <v>326</v>
      </c>
      <c r="K598" s="3" t="inlineStr">
        <is>
          <t>다정동 조용한 위치 단독주택 매매, 코너위치</t>
        </is>
      </c>
      <c r="L598" s="6">
        <f>HYPERLINK("https://fin.land.naver.com/articles/2650890648", "매물Link")</f>
        <v/>
      </c>
      <c r="M598" s="6">
        <f>HYPERLINK("https://map.naver.com/p/search/다정동 756", "지도Link")</f>
        <v/>
      </c>
      <c r="N598" s="6">
        <f>HYPERLINK("http://www.eum.go.kr/web/ar/lu/luLandDet.jsp?pnu=3611010900107560000&amp;isNoScr=script&amp;mode=search", "토지이음")</f>
        <v/>
      </c>
      <c r="O598" s="3" t="inlineStr">
        <is>
          <t>세종무지개</t>
        </is>
      </c>
      <c r="P598" s="4" t="n">
        <v>1</v>
      </c>
      <c r="Q598" s="4" t="n">
        <v>368</v>
      </c>
      <c r="R598" s="3" t="inlineStr">
        <is>
          <t>지정되지않음</t>
        </is>
      </c>
      <c r="S598" s="3" t="inlineStr">
        <is>
          <t>주거나지</t>
        </is>
      </c>
      <c r="T598" s="3" t="inlineStr">
        <is>
          <t>평지</t>
        </is>
      </c>
      <c r="U598" s="3" t="inlineStr">
        <is>
          <t>정방형</t>
        </is>
      </c>
      <c r="V598" s="3" t="inlineStr">
        <is>
          <t>중로한면</t>
        </is>
      </c>
    </row>
    <row r="599">
      <c r="A599" s="3" t="inlineStr">
        <is>
          <t>다정동 756</t>
        </is>
      </c>
      <c r="B599" s="3" t="inlineStr">
        <is>
          <t>제1종전용주거지역</t>
        </is>
      </c>
      <c r="C599" s="3" t="inlineStr">
        <is>
          <t>대</t>
        </is>
      </c>
      <c r="D599" s="3" t="inlineStr">
        <is>
          <t>대</t>
        </is>
      </c>
      <c r="E599" s="3" t="inlineStr">
        <is>
          <t>매매</t>
        </is>
      </c>
      <c r="F599" s="4" t="n">
        <v>83625</v>
      </c>
      <c r="G599" s="4" t="n">
        <v>368</v>
      </c>
      <c r="H599" s="4" t="n">
        <v>111</v>
      </c>
      <c r="I599" s="5" t="n">
        <v>753.4</v>
      </c>
      <c r="J599" s="5" t="n">
        <v>326</v>
      </c>
      <c r="K599" s="3" t="inlineStr">
        <is>
          <t>코너자리 위치 좋음, 넓은토지</t>
        </is>
      </c>
      <c r="L599" s="6">
        <f>HYPERLINK("https://fin.land.naver.com/articles/2654222787", "매물Link")</f>
        <v/>
      </c>
      <c r="M599" s="6">
        <f>HYPERLINK("https://map.naver.com/p/search/다정동 756", "지도Link")</f>
        <v/>
      </c>
      <c r="N599" s="6">
        <f>HYPERLINK("http://www.eum.go.kr/web/ar/lu/luLandDet.jsp?pnu=3611010900107560000&amp;isNoScr=script&amp;mode=search", "토지이음")</f>
        <v/>
      </c>
      <c r="O599" s="3" t="inlineStr">
        <is>
          <t>명진</t>
        </is>
      </c>
      <c r="P599" s="4" t="n">
        <v>1</v>
      </c>
      <c r="Q599" s="4" t="n">
        <v>368</v>
      </c>
      <c r="R599" s="3" t="inlineStr">
        <is>
          <t>지정되지않음</t>
        </is>
      </c>
      <c r="S599" s="3" t="inlineStr">
        <is>
          <t>주거나지</t>
        </is>
      </c>
      <c r="T599" s="3" t="inlineStr">
        <is>
          <t>평지</t>
        </is>
      </c>
      <c r="U599" s="3" t="inlineStr">
        <is>
          <t>정방형</t>
        </is>
      </c>
      <c r="V599" s="3" t="inlineStr">
        <is>
          <t>중로한면</t>
        </is>
      </c>
    </row>
    <row r="600">
      <c r="A600" s="3" t="inlineStr">
        <is>
          <t>다정동 769</t>
        </is>
      </c>
      <c r="B600" s="3" t="inlineStr">
        <is>
          <t>제1종전용주거지역</t>
        </is>
      </c>
      <c r="C600" s="3" t="inlineStr">
        <is>
          <t>대</t>
        </is>
      </c>
      <c r="D600" s="3" t="inlineStr">
        <is>
          <t>대</t>
        </is>
      </c>
      <c r="E600" s="3" t="inlineStr">
        <is>
          <t>매매</t>
        </is>
      </c>
      <c r="F600" s="4" t="n">
        <v>50000</v>
      </c>
      <c r="G600" s="4" t="n">
        <v>269</v>
      </c>
      <c r="H600" s="4" t="n">
        <v>81</v>
      </c>
      <c r="I600" s="5" t="n">
        <v>617.3</v>
      </c>
      <c r="J600" s="5" t="n">
        <v>313.8</v>
      </c>
      <c r="K600" s="3" t="inlineStr">
        <is>
          <t>세종시 다정동 안쪽 코너각지 나대지</t>
        </is>
      </c>
      <c r="L600" s="6">
        <f>HYPERLINK("https://fin.land.naver.com/articles/2651425080", "매물Link")</f>
        <v/>
      </c>
      <c r="M600" s="6">
        <f>HYPERLINK("https://map.naver.com/p/search/다정동 769", "지도Link")</f>
        <v/>
      </c>
      <c r="N600" s="6">
        <f>HYPERLINK("http://www.eum.go.kr/web/ar/lu/luLandDet.jsp?pnu=3611010900107690000&amp;isNoScr=script&amp;mode=search", "토지이음")</f>
        <v/>
      </c>
      <c r="O600" s="3" t="inlineStr">
        <is>
          <t>청명</t>
        </is>
      </c>
      <c r="P600" s="4" t="n">
        <v>1</v>
      </c>
      <c r="Q600" s="4" t="n">
        <v>269.7</v>
      </c>
      <c r="R600" s="3" t="inlineStr">
        <is>
          <t>지정되지않음</t>
        </is>
      </c>
      <c r="S600" s="3" t="inlineStr">
        <is>
          <t>주거나지</t>
        </is>
      </c>
      <c r="T600" s="3" t="inlineStr">
        <is>
          <t>평지</t>
        </is>
      </c>
      <c r="U600" s="3" t="inlineStr">
        <is>
          <t>정방형</t>
        </is>
      </c>
      <c r="V600" s="3" t="inlineStr">
        <is>
          <t>소로각지</t>
        </is>
      </c>
    </row>
    <row r="601">
      <c r="A601" s="3" t="inlineStr">
        <is>
          <t>다정동 772</t>
        </is>
      </c>
      <c r="B601" s="3" t="inlineStr">
        <is>
          <t>제1종전용주거지역</t>
        </is>
      </c>
      <c r="C601" s="3" t="inlineStr">
        <is>
          <t>대</t>
        </is>
      </c>
      <c r="D601" s="3" t="inlineStr">
        <is>
          <t>대</t>
        </is>
      </c>
      <c r="E601" s="3" t="inlineStr">
        <is>
          <t>매매</t>
        </is>
      </c>
      <c r="F601" s="4" t="n">
        <v>69500</v>
      </c>
      <c r="G601" s="4" t="n">
        <v>279</v>
      </c>
      <c r="H601" s="4" t="n">
        <v>84</v>
      </c>
      <c r="I601" s="5" t="n">
        <v>827.4</v>
      </c>
      <c r="J601" s="5" t="n">
        <v>304.6</v>
      </c>
      <c r="K601" s="3" t="inlineStr">
        <is>
          <t>84.8p, 정남향, 다정동 단독주택지</t>
        </is>
      </c>
      <c r="L601" s="6">
        <f>HYPERLINK("https://fin.land.naver.com/articles/2653565355", "매물Link")</f>
        <v/>
      </c>
      <c r="M601" s="6">
        <f>HYPERLINK("https://map.naver.com/p/search/다정동 772", "지도Link")</f>
        <v/>
      </c>
      <c r="N601" s="6">
        <f>HYPERLINK("http://www.eum.go.kr/web/ar/lu/luLandDet.jsp?pnu=3611010900107720000&amp;isNoScr=script&amp;mode=search", "토지이음")</f>
        <v/>
      </c>
      <c r="O601" s="3" t="inlineStr">
        <is>
          <t>세종무지개</t>
        </is>
      </c>
      <c r="P601" s="4" t="n">
        <v>1</v>
      </c>
      <c r="Q601" s="4" t="n">
        <v>279.7</v>
      </c>
      <c r="R601" s="3" t="inlineStr">
        <is>
          <t>지정되지않음</t>
        </is>
      </c>
      <c r="S601" s="3" t="inlineStr">
        <is>
          <t>주거나지</t>
        </is>
      </c>
      <c r="T601" s="3" t="inlineStr">
        <is>
          <t>평지</t>
        </is>
      </c>
      <c r="U601" s="3" t="inlineStr">
        <is>
          <t>정방형</t>
        </is>
      </c>
      <c r="V601" s="3" t="inlineStr">
        <is>
          <t>소로한면</t>
        </is>
      </c>
    </row>
    <row r="602">
      <c r="A602" s="3" t="inlineStr">
        <is>
          <t>다정동 772</t>
        </is>
      </c>
      <c r="B602" s="3" t="inlineStr">
        <is>
          <t>제1종전용주거지역</t>
        </is>
      </c>
      <c r="C602" s="3" t="inlineStr">
        <is>
          <t>대</t>
        </is>
      </c>
      <c r="D602" s="3" t="inlineStr">
        <is>
          <t>대</t>
        </is>
      </c>
      <c r="E602" s="3" t="inlineStr">
        <is>
          <t>매매</t>
        </is>
      </c>
      <c r="F602" s="4" t="n">
        <v>69700</v>
      </c>
      <c r="G602" s="4" t="n">
        <v>279</v>
      </c>
      <c r="H602" s="4" t="n">
        <v>84</v>
      </c>
      <c r="I602" s="5" t="n">
        <v>829.8</v>
      </c>
      <c r="J602" s="5" t="n">
        <v>304.6</v>
      </c>
      <c r="K602" s="3" t="inlineStr">
        <is>
          <t>다정동 접근성 좋은 주택지 매매</t>
        </is>
      </c>
      <c r="L602" s="6">
        <f>HYPERLINK("https://fin.land.naver.com/articles/2652651256", "매물Link")</f>
        <v/>
      </c>
      <c r="M602" s="6">
        <f>HYPERLINK("https://map.naver.com/p/search/다정동 772", "지도Link")</f>
        <v/>
      </c>
      <c r="N602" s="6">
        <f>HYPERLINK("http://www.eum.go.kr/web/ar/lu/luLandDet.jsp?pnu=3611010900107720000&amp;isNoScr=script&amp;mode=search", "토지이음")</f>
        <v/>
      </c>
      <c r="O602" s="3" t="inlineStr">
        <is>
          <t>태양</t>
        </is>
      </c>
      <c r="P602" s="4" t="n">
        <v>1</v>
      </c>
      <c r="Q602" s="4" t="n">
        <v>279.7</v>
      </c>
      <c r="R602" s="3" t="inlineStr">
        <is>
          <t>지정되지않음</t>
        </is>
      </c>
      <c r="S602" s="3" t="inlineStr">
        <is>
          <t>주거나지</t>
        </is>
      </c>
      <c r="T602" s="3" t="inlineStr">
        <is>
          <t>평지</t>
        </is>
      </c>
      <c r="U602" s="3" t="inlineStr">
        <is>
          <t>정방형</t>
        </is>
      </c>
      <c r="V602" s="3" t="inlineStr">
        <is>
          <t>소로한면</t>
        </is>
      </c>
    </row>
    <row r="603">
      <c r="A603" s="3" t="inlineStr">
        <is>
          <t>다정동 773</t>
        </is>
      </c>
      <c r="B603" s="3" t="inlineStr">
        <is>
          <t>제1종전용주거지역</t>
        </is>
      </c>
      <c r="C603" s="3" t="inlineStr">
        <is>
          <t>대</t>
        </is>
      </c>
      <c r="D603" s="3" t="inlineStr">
        <is>
          <t>대</t>
        </is>
      </c>
      <c r="E603" s="3" t="inlineStr">
        <is>
          <t>매매</t>
        </is>
      </c>
      <c r="F603" s="4" t="n">
        <v>44000</v>
      </c>
      <c r="G603" s="4" t="n">
        <v>279</v>
      </c>
      <c r="H603" s="4" t="n">
        <v>84</v>
      </c>
      <c r="I603" s="5" t="n">
        <v>523.8</v>
      </c>
      <c r="J603" s="5" t="n">
        <v>304.6</v>
      </c>
      <c r="K603" s="3" t="inlineStr">
        <is>
          <t>급매 남향 택지 조용한위치 상권 학교 가까움</t>
        </is>
      </c>
      <c r="L603" s="6">
        <f>HYPERLINK("https://fin.land.naver.com/articles/2649375100", "매물Link")</f>
        <v/>
      </c>
      <c r="M603" s="6">
        <f>HYPERLINK("https://map.naver.com/p/search/다정동 773", "지도Link")</f>
        <v/>
      </c>
      <c r="N603" s="6">
        <f>HYPERLINK("http://www.eum.go.kr/web/ar/lu/luLandDet.jsp?pnu=3611010900107730000&amp;isNoScr=script&amp;mode=search", "토지이음")</f>
        <v/>
      </c>
      <c r="O603" s="3" t="inlineStr">
        <is>
          <t>세종스타</t>
        </is>
      </c>
      <c r="P603" s="4" t="n">
        <v>2</v>
      </c>
      <c r="Q603" s="4" t="n">
        <v>279.7</v>
      </c>
      <c r="R603" s="3" t="inlineStr">
        <is>
          <t>지정되지않음</t>
        </is>
      </c>
      <c r="S603" s="3" t="inlineStr">
        <is>
          <t>주거나지</t>
        </is>
      </c>
      <c r="T603" s="3" t="inlineStr">
        <is>
          <t>평지</t>
        </is>
      </c>
      <c r="U603" s="3" t="inlineStr">
        <is>
          <t>정방형</t>
        </is>
      </c>
      <c r="V603" s="3" t="inlineStr">
        <is>
          <t>소로한면</t>
        </is>
      </c>
    </row>
    <row r="604">
      <c r="A604" s="3" t="inlineStr">
        <is>
          <t>다정동 773</t>
        </is>
      </c>
      <c r="B604" s="3" t="inlineStr">
        <is>
          <t>제1종전용주거지역</t>
        </is>
      </c>
      <c r="C604" s="3" t="inlineStr">
        <is>
          <t>대</t>
        </is>
      </c>
      <c r="D604" s="3" t="inlineStr">
        <is>
          <t>대</t>
        </is>
      </c>
      <c r="E604" s="3" t="inlineStr">
        <is>
          <t>매매</t>
        </is>
      </c>
      <c r="F604" s="4" t="n">
        <v>69500</v>
      </c>
      <c r="G604" s="4" t="n">
        <v>280</v>
      </c>
      <c r="H604" s="4" t="n">
        <v>85</v>
      </c>
      <c r="I604" s="5" t="n">
        <v>817.6</v>
      </c>
      <c r="J604" s="5" t="n">
        <v>304.6</v>
      </c>
      <c r="K604" s="3" t="inlineStr">
        <is>
          <t>nan</t>
        </is>
      </c>
      <c r="L604" s="6">
        <f>HYPERLINK("https://fin.land.naver.com/articles/2651035742", "매물Link")</f>
        <v/>
      </c>
      <c r="M604" s="6">
        <f>HYPERLINK("https://map.naver.com/p/search/다정동 773", "지도Link")</f>
        <v/>
      </c>
      <c r="N604" s="6">
        <f>HYPERLINK("http://www.eum.go.kr/web/ar/lu/luLandDet.jsp?pnu=3611010900107730000&amp;isNoScr=script&amp;mode=search", "토지이음")</f>
        <v/>
      </c>
      <c r="O604" s="3" t="inlineStr">
        <is>
          <t>디아트성심</t>
        </is>
      </c>
      <c r="P604" s="4" t="n">
        <v>1</v>
      </c>
      <c r="Q604" s="4" t="n">
        <v>279.7</v>
      </c>
      <c r="R604" s="3" t="inlineStr">
        <is>
          <t>지정되지않음</t>
        </is>
      </c>
      <c r="S604" s="3" t="inlineStr">
        <is>
          <t>주거나지</t>
        </is>
      </c>
      <c r="T604" s="3" t="inlineStr">
        <is>
          <t>평지</t>
        </is>
      </c>
      <c r="U604" s="3" t="inlineStr">
        <is>
          <t>정방형</t>
        </is>
      </c>
      <c r="V604" s="3" t="inlineStr">
        <is>
          <t>소로한면</t>
        </is>
      </c>
    </row>
    <row r="605">
      <c r="A605" s="3" t="inlineStr">
        <is>
          <t>다정동 779</t>
        </is>
      </c>
      <c r="B605" s="3" t="inlineStr">
        <is>
          <t>제1종전용주거지역</t>
        </is>
      </c>
      <c r="C605" s="3" t="inlineStr">
        <is>
          <t>대</t>
        </is>
      </c>
      <c r="D605" s="3" t="inlineStr">
        <is>
          <t>대</t>
        </is>
      </c>
      <c r="E605" s="3" t="inlineStr">
        <is>
          <t>매매</t>
        </is>
      </c>
      <c r="F605" s="4" t="n">
        <v>50000</v>
      </c>
      <c r="G605" s="4" t="n">
        <v>297</v>
      </c>
      <c r="H605" s="4" t="n">
        <v>90</v>
      </c>
      <c r="I605" s="5" t="n">
        <v>555.6</v>
      </c>
      <c r="J605" s="5" t="n">
        <v>304.6</v>
      </c>
      <c r="K605" s="3" t="inlineStr">
        <is>
          <t>I 신한 I  급매  Iㅑ채광 좋은 남향 단독주택용지</t>
        </is>
      </c>
      <c r="L605" s="6">
        <f>HYPERLINK("https://fin.land.naver.com/articles/2650851726", "매물Link")</f>
        <v/>
      </c>
      <c r="M605" s="6">
        <f>HYPERLINK("https://map.naver.com/p/search/다정동 779", "지도Link")</f>
        <v/>
      </c>
      <c r="N605" s="6">
        <f>HYPERLINK("http://www.eum.go.kr/web/ar/lu/luLandDet.jsp?pnu=3611010900107790000&amp;isNoScr=script&amp;mode=search", "토지이음")</f>
        <v/>
      </c>
      <c r="O605" s="3" t="inlineStr">
        <is>
          <t>세종신한</t>
        </is>
      </c>
      <c r="P605" s="4" t="n">
        <v>1</v>
      </c>
      <c r="Q605" s="4" t="n">
        <v>297.3</v>
      </c>
      <c r="R605" s="3" t="inlineStr">
        <is>
          <t>지정되지않음</t>
        </is>
      </c>
      <c r="S605" s="3" t="inlineStr">
        <is>
          <t>주거나지</t>
        </is>
      </c>
      <c r="T605" s="3" t="inlineStr">
        <is>
          <t>평지</t>
        </is>
      </c>
      <c r="U605" s="3" t="inlineStr">
        <is>
          <t>정방형</t>
        </is>
      </c>
      <c r="V605" s="3" t="inlineStr">
        <is>
          <t>소로한면</t>
        </is>
      </c>
    </row>
    <row r="606">
      <c r="A606" s="3" t="inlineStr">
        <is>
          <t>다정동 781</t>
        </is>
      </c>
      <c r="B606" s="3" t="inlineStr">
        <is>
          <t>제1종전용주거지역</t>
        </is>
      </c>
      <c r="C606" s="3" t="inlineStr">
        <is>
          <t>대</t>
        </is>
      </c>
      <c r="D606" s="3" t="inlineStr">
        <is>
          <t>대</t>
        </is>
      </c>
      <c r="E606" s="3" t="inlineStr">
        <is>
          <t>매매</t>
        </is>
      </c>
      <c r="F606" s="4" t="n">
        <v>42000</v>
      </c>
      <c r="G606" s="4" t="n">
        <v>254</v>
      </c>
      <c r="H606" s="4" t="n">
        <v>77</v>
      </c>
      <c r="I606" s="5" t="n">
        <v>545.5</v>
      </c>
      <c r="J606" s="5" t="n">
        <v>313.8</v>
      </c>
      <c r="K606" s="3" t="inlineStr">
        <is>
          <t>급매 코너각지 정남향 최저가 조율협의가능</t>
        </is>
      </c>
      <c r="L606" s="6">
        <f>HYPERLINK("https://fin.land.naver.com/articles/2652943070", "매물Link")</f>
        <v/>
      </c>
      <c r="M606" s="6">
        <f>HYPERLINK("https://map.naver.com/p/search/다정동 781", "지도Link")</f>
        <v/>
      </c>
      <c r="N606" s="6">
        <f>HYPERLINK("http://www.eum.go.kr/web/ar/lu/luLandDet.jsp?pnu=3611010900107810000&amp;isNoScr=script&amp;mode=search", "토지이음")</f>
        <v/>
      </c>
      <c r="O606" s="3" t="inlineStr">
        <is>
          <t>세종스타</t>
        </is>
      </c>
      <c r="P606" s="4" t="n">
        <v>1</v>
      </c>
      <c r="Q606" s="4" t="n">
        <v>254.3</v>
      </c>
      <c r="R606" s="3" t="inlineStr">
        <is>
          <t>지정되지않음</t>
        </is>
      </c>
      <c r="S606" s="3" t="inlineStr">
        <is>
          <t>주거나지</t>
        </is>
      </c>
      <c r="T606" s="3" t="inlineStr">
        <is>
          <t>평지</t>
        </is>
      </c>
      <c r="U606" s="3" t="inlineStr">
        <is>
          <t>정방형</t>
        </is>
      </c>
      <c r="V606" s="3" t="inlineStr">
        <is>
          <t>소로각지</t>
        </is>
      </c>
    </row>
    <row r="607">
      <c r="A607" s="3" t="inlineStr">
        <is>
          <t>다정동 783</t>
        </is>
      </c>
      <c r="B607" s="3" t="inlineStr">
        <is>
          <t>제1종전용주거지역</t>
        </is>
      </c>
      <c r="C607" s="3" t="inlineStr">
        <is>
          <t>대</t>
        </is>
      </c>
      <c r="D607" s="3" t="inlineStr">
        <is>
          <t>대</t>
        </is>
      </c>
      <c r="E607" s="3" t="inlineStr">
        <is>
          <t>매매</t>
        </is>
      </c>
      <c r="F607" s="4" t="n">
        <v>50000</v>
      </c>
      <c r="G607" s="4" t="n">
        <v>297</v>
      </c>
      <c r="H607" s="4" t="n">
        <v>90</v>
      </c>
      <c r="I607" s="5" t="n">
        <v>555.6</v>
      </c>
      <c r="J607" s="5" t="n">
        <v>304.6</v>
      </c>
      <c r="K607" s="3" t="inlineStr">
        <is>
          <t>조율가능 정남향 토지모양최상</t>
        </is>
      </c>
      <c r="L607" s="6">
        <f>HYPERLINK("https://fin.land.naver.com/articles/2649812025", "매물Link")</f>
        <v/>
      </c>
      <c r="M607" s="6">
        <f>HYPERLINK("https://map.naver.com/p/search/다정동 783", "지도Link")</f>
        <v/>
      </c>
      <c r="N607" s="6">
        <f>HYPERLINK("http://www.eum.go.kr/web/ar/lu/luLandDet.jsp?pnu=3611010900107830000&amp;isNoScr=script&amp;mode=search", "토지이음")</f>
        <v/>
      </c>
      <c r="O607" s="3" t="inlineStr">
        <is>
          <t>세종스타</t>
        </is>
      </c>
      <c r="P607" s="4" t="n">
        <v>1</v>
      </c>
      <c r="Q607" s="4" t="n">
        <v>297.3</v>
      </c>
      <c r="R607" s="3" t="inlineStr">
        <is>
          <t>지정되지않음</t>
        </is>
      </c>
      <c r="S607" s="3" t="inlineStr">
        <is>
          <t>주거나지</t>
        </is>
      </c>
      <c r="T607" s="3" t="inlineStr">
        <is>
          <t>평지</t>
        </is>
      </c>
      <c r="U607" s="3" t="inlineStr">
        <is>
          <t>정방형</t>
        </is>
      </c>
      <c r="V607" s="3" t="inlineStr">
        <is>
          <t>소로한면</t>
        </is>
      </c>
    </row>
    <row r="608">
      <c r="A608" s="3" t="inlineStr">
        <is>
          <t>다정동 793</t>
        </is>
      </c>
      <c r="B608" s="3" t="inlineStr">
        <is>
          <t>제1종전용주거지역</t>
        </is>
      </c>
      <c r="C608" s="3" t="inlineStr">
        <is>
          <t>대</t>
        </is>
      </c>
      <c r="D608" s="3" t="inlineStr">
        <is>
          <t>대</t>
        </is>
      </c>
      <c r="E608" s="3" t="inlineStr">
        <is>
          <t>매매</t>
        </is>
      </c>
      <c r="F608" s="4" t="n">
        <v>75000</v>
      </c>
      <c r="G608" s="4" t="n">
        <v>315</v>
      </c>
      <c r="H608" s="4" t="n">
        <v>95</v>
      </c>
      <c r="I608" s="5" t="n">
        <v>789.5</v>
      </c>
      <c r="J608" s="5" t="n">
        <v>313.8</v>
      </c>
      <c r="K608" s="3" t="inlineStr">
        <is>
          <t>코너각지,선호하는 위치 모양좋은 대지,가격조율가능</t>
        </is>
      </c>
      <c r="L608" s="6">
        <f>HYPERLINK("https://fin.land.naver.com/articles/2652735525", "매물Link")</f>
        <v/>
      </c>
      <c r="M608" s="6">
        <f>HYPERLINK("https://map.naver.com/p/search/다정동 793", "지도Link")</f>
        <v/>
      </c>
      <c r="N608" s="6">
        <f>HYPERLINK("http://www.eum.go.kr/web/ar/lu/luLandDet.jsp?pnu=3611010900107930000&amp;isNoScr=script&amp;mode=search", "토지이음")</f>
        <v/>
      </c>
      <c r="O608" s="3" t="inlineStr">
        <is>
          <t>다정동첫번째</t>
        </is>
      </c>
      <c r="P608" s="4" t="n">
        <v>1</v>
      </c>
      <c r="Q608" s="4" t="n">
        <v>315.9</v>
      </c>
      <c r="R608" s="3" t="inlineStr">
        <is>
          <t>지정되지않음</t>
        </is>
      </c>
      <c r="S608" s="3" t="inlineStr">
        <is>
          <t>주거나지</t>
        </is>
      </c>
      <c r="T608" s="3" t="inlineStr">
        <is>
          <t>평지</t>
        </is>
      </c>
      <c r="U608" s="3" t="inlineStr">
        <is>
          <t>정방형</t>
        </is>
      </c>
      <c r="V608" s="3" t="inlineStr">
        <is>
          <t>소로각지</t>
        </is>
      </c>
    </row>
    <row r="609">
      <c r="A609" s="3" t="inlineStr">
        <is>
          <t>다정동 810</t>
        </is>
      </c>
      <c r="B609" s="3" t="inlineStr">
        <is>
          <t>제1종전용주거지역</t>
        </is>
      </c>
      <c r="C609" s="3" t="inlineStr">
        <is>
          <t>대</t>
        </is>
      </c>
      <c r="D609" s="3" t="inlineStr">
        <is>
          <t>대</t>
        </is>
      </c>
      <c r="E609" s="3" t="inlineStr">
        <is>
          <t>매매</t>
        </is>
      </c>
      <c r="F609" s="4" t="n">
        <v>59500</v>
      </c>
      <c r="G609" s="4" t="n">
        <v>314</v>
      </c>
      <c r="H609" s="4" t="n">
        <v>95</v>
      </c>
      <c r="I609" s="5" t="n">
        <v>626.3</v>
      </c>
      <c r="J609" s="5" t="n">
        <v>298.2</v>
      </c>
      <c r="K609" s="3" t="inlineStr">
        <is>
          <t>추가조율가능 남향택지 상권접근성 용이한 위치</t>
        </is>
      </c>
      <c r="L609" s="6">
        <f>HYPERLINK("https://fin.land.naver.com/articles/2649618939", "매물Link")</f>
        <v/>
      </c>
      <c r="M609" s="6">
        <f>HYPERLINK("https://map.naver.com/p/search/다정동 810", "지도Link")</f>
        <v/>
      </c>
      <c r="N609" s="6">
        <f>HYPERLINK("http://www.eum.go.kr/web/ar/lu/luLandDet.jsp?pnu=3611010900108100000&amp;isNoScr=script&amp;mode=search", "토지이음")</f>
        <v/>
      </c>
      <c r="O609" s="3" t="inlineStr">
        <is>
          <t>세종스타</t>
        </is>
      </c>
      <c r="P609" s="4" t="n">
        <v>1</v>
      </c>
      <c r="Q609" s="4" t="n">
        <v>314.8</v>
      </c>
      <c r="R609" s="3" t="inlineStr">
        <is>
          <t>지정되지않음</t>
        </is>
      </c>
      <c r="S609" s="3" t="inlineStr">
        <is>
          <t>주거나지</t>
        </is>
      </c>
      <c r="T609" s="3" t="inlineStr">
        <is>
          <t>평지</t>
        </is>
      </c>
      <c r="U609" s="3" t="inlineStr">
        <is>
          <t>세로장방</t>
        </is>
      </c>
      <c r="V609" s="3" t="inlineStr">
        <is>
          <t>소로한면</t>
        </is>
      </c>
    </row>
    <row r="610">
      <c r="A610" s="3" t="inlineStr">
        <is>
          <t>다정동 818</t>
        </is>
      </c>
      <c r="B610" s="3" t="inlineStr">
        <is>
          <t>제1종전용주거지역</t>
        </is>
      </c>
      <c r="C610" s="3" t="inlineStr">
        <is>
          <t>대</t>
        </is>
      </c>
      <c r="D610" s="3" t="inlineStr">
        <is>
          <t>대</t>
        </is>
      </c>
      <c r="E610" s="3" t="inlineStr">
        <is>
          <t>매매</t>
        </is>
      </c>
      <c r="F610" s="4" t="n">
        <v>83500</v>
      </c>
      <c r="G610" s="4" t="n">
        <v>394</v>
      </c>
      <c r="H610" s="4" t="n">
        <v>119</v>
      </c>
      <c r="I610" s="5" t="n">
        <v>701.7</v>
      </c>
      <c r="J610" s="5" t="n">
        <v>353.7</v>
      </c>
      <c r="K610" s="3" t="inlineStr">
        <is>
          <t>사거리 코너, 입지 좋은토지, 조율가능</t>
        </is>
      </c>
      <c r="L610" s="6">
        <f>HYPERLINK("https://fin.land.naver.com/articles/2653568831", "매물Link")</f>
        <v/>
      </c>
      <c r="M610" s="6">
        <f>HYPERLINK("https://map.naver.com/p/search/다정동 818", "지도Link")</f>
        <v/>
      </c>
      <c r="N610" s="6">
        <f>HYPERLINK("http://www.eum.go.kr/web/ar/lu/luLandDet.jsp?pnu=3611010900108180000&amp;isNoScr=script&amp;mode=search", "토지이음")</f>
        <v/>
      </c>
      <c r="O610" s="3" t="inlineStr">
        <is>
          <t>세종무지개</t>
        </is>
      </c>
      <c r="P610" s="4" t="n">
        <v>1</v>
      </c>
      <c r="Q610" s="4" t="n">
        <v>394</v>
      </c>
      <c r="R610" s="3" t="inlineStr">
        <is>
          <t>지정되지않음</t>
        </is>
      </c>
      <c r="S610" s="3" t="inlineStr">
        <is>
          <t>주거나지</t>
        </is>
      </c>
      <c r="T610" s="3" t="inlineStr">
        <is>
          <t>평지</t>
        </is>
      </c>
      <c r="U610" s="3" t="inlineStr">
        <is>
          <t>정방형</t>
        </is>
      </c>
      <c r="V610" s="3" t="inlineStr">
        <is>
          <t>중로각지</t>
        </is>
      </c>
    </row>
    <row r="611">
      <c r="A611" s="3" t="inlineStr">
        <is>
          <t>다정동 823</t>
        </is>
      </c>
      <c r="B611" s="3" t="inlineStr">
        <is>
          <t>제1종전용주거지역</t>
        </is>
      </c>
      <c r="C611" s="3" t="inlineStr">
        <is>
          <t>대</t>
        </is>
      </c>
      <c r="D611" s="3" t="inlineStr">
        <is>
          <t>대</t>
        </is>
      </c>
      <c r="E611" s="3" t="inlineStr">
        <is>
          <t>매매</t>
        </is>
      </c>
      <c r="F611" s="4" t="n">
        <v>64000</v>
      </c>
      <c r="G611" s="4" t="n">
        <v>315</v>
      </c>
      <c r="H611" s="4" t="n">
        <v>95</v>
      </c>
      <c r="I611" s="5" t="n">
        <v>673.7</v>
      </c>
      <c r="J611" s="5" t="n">
        <v>341.2</v>
      </c>
      <c r="K611" s="3" t="inlineStr">
        <is>
          <t>다정동 인기있는 단독주택, 명당터, 공원과 유치원 근처, 힐링</t>
        </is>
      </c>
      <c r="L611" s="6">
        <f>HYPERLINK("https://fin.land.naver.com/articles/2654623538", "매물Link")</f>
        <v/>
      </c>
      <c r="M611" s="6">
        <f>HYPERLINK("https://map.naver.com/p/search/다정동 823", "지도Link")</f>
        <v/>
      </c>
      <c r="N611" s="6">
        <f>HYPERLINK("http://www.eum.go.kr/web/ar/lu/luLandDet.jsp?pnu=3611010900108230000&amp;isNoScr=script&amp;mode=search", "토지이음")</f>
        <v/>
      </c>
      <c r="O611" s="3" t="inlineStr">
        <is>
          <t>풍경채대지</t>
        </is>
      </c>
      <c r="P611" s="4" t="n">
        <v>1</v>
      </c>
      <c r="Q611" s="4" t="n">
        <v>315</v>
      </c>
      <c r="R611" s="3" t="inlineStr">
        <is>
          <t>지정되지않음</t>
        </is>
      </c>
      <c r="S611" s="3" t="inlineStr">
        <is>
          <t>주거나지</t>
        </is>
      </c>
      <c r="T611" s="3" t="inlineStr">
        <is>
          <t>평지</t>
        </is>
      </c>
      <c r="U611" s="3" t="inlineStr">
        <is>
          <t>세로장방</t>
        </is>
      </c>
      <c r="V611" s="3" t="inlineStr">
        <is>
          <t>중로한면</t>
        </is>
      </c>
    </row>
    <row r="612">
      <c r="A612" s="3" t="inlineStr">
        <is>
          <t>다정동 842</t>
        </is>
      </c>
      <c r="B612" s="3" t="inlineStr">
        <is>
          <t>제1종전용주거지역</t>
        </is>
      </c>
      <c r="C612" s="3" t="inlineStr">
        <is>
          <t>대</t>
        </is>
      </c>
      <c r="D612" s="3" t="inlineStr">
        <is>
          <t>대</t>
        </is>
      </c>
      <c r="E612" s="3" t="inlineStr">
        <is>
          <t>매매</t>
        </is>
      </c>
      <c r="F612" s="4" t="n">
        <v>49000</v>
      </c>
      <c r="G612" s="4" t="n">
        <v>315</v>
      </c>
      <c r="H612" s="4" t="n">
        <v>95</v>
      </c>
      <c r="I612" s="5" t="n">
        <v>515.8</v>
      </c>
      <c r="J612" s="5" t="n">
        <v>318.9</v>
      </c>
      <c r="K612" s="3" t="inlineStr">
        <is>
          <t>급매 조율가능 조용한 선호하는 안쪽위치</t>
        </is>
      </c>
      <c r="L612" s="6">
        <f>HYPERLINK("https://fin.land.naver.com/articles/2652419011", "매물Link")</f>
        <v/>
      </c>
      <c r="M612" s="6">
        <f>HYPERLINK("https://map.naver.com/p/search/다정동 842", "지도Link")</f>
        <v/>
      </c>
      <c r="N612" s="6">
        <f>HYPERLINK("http://www.eum.go.kr/web/ar/lu/luLandDet.jsp?pnu=3611010900108420000&amp;isNoScr=script&amp;mode=search", "토지이음")</f>
        <v/>
      </c>
      <c r="O612" s="3" t="inlineStr">
        <is>
          <t>세종스타</t>
        </is>
      </c>
      <c r="P612" s="4" t="n">
        <v>2</v>
      </c>
      <c r="Q612" s="4" t="n">
        <v>315</v>
      </c>
      <c r="R612" s="3" t="inlineStr">
        <is>
          <t>지정되지않음</t>
        </is>
      </c>
      <c r="S612" s="3" t="inlineStr">
        <is>
          <t>주거나지</t>
        </is>
      </c>
      <c r="T612" s="3" t="inlineStr">
        <is>
          <t>평지</t>
        </is>
      </c>
      <c r="U612" s="3" t="inlineStr">
        <is>
          <t>세로장방</t>
        </is>
      </c>
      <c r="V612" s="3" t="inlineStr">
        <is>
          <t>소로한면</t>
        </is>
      </c>
    </row>
    <row r="613">
      <c r="A613" s="3" t="inlineStr">
        <is>
          <t>다정동 842</t>
        </is>
      </c>
      <c r="B613" s="3" t="inlineStr">
        <is>
          <t>제1종전용주거지역</t>
        </is>
      </c>
      <c r="C613" s="3" t="inlineStr">
        <is>
          <t>대</t>
        </is>
      </c>
      <c r="D613" s="3" t="inlineStr">
        <is>
          <t>대</t>
        </is>
      </c>
      <c r="E613" s="3" t="inlineStr">
        <is>
          <t>매매</t>
        </is>
      </c>
      <c r="F613" s="4" t="n">
        <v>64000</v>
      </c>
      <c r="G613" s="4" t="n">
        <v>315</v>
      </c>
      <c r="H613" s="4" t="n">
        <v>95</v>
      </c>
      <c r="I613" s="5" t="n">
        <v>673.7</v>
      </c>
      <c r="J613" s="5" t="n">
        <v>318.9</v>
      </c>
      <c r="K613" s="3" t="inlineStr">
        <is>
          <t>총 95.5p, 유치원 인근 다정동 토지매매</t>
        </is>
      </c>
      <c r="L613" s="6">
        <f>HYPERLINK("https://fin.land.naver.com/articles/2649571368", "매물Link")</f>
        <v/>
      </c>
      <c r="M613" s="6">
        <f>HYPERLINK("https://map.naver.com/p/search/다정동 842", "지도Link")</f>
        <v/>
      </c>
      <c r="N613" s="6">
        <f>HYPERLINK("http://www.eum.go.kr/web/ar/lu/luLandDet.jsp?pnu=3611010900108420000&amp;isNoScr=script&amp;mode=search", "토지이음")</f>
        <v/>
      </c>
      <c r="O613" s="3" t="inlineStr">
        <is>
          <t>세종무지개</t>
        </is>
      </c>
      <c r="P613" s="4" t="n">
        <v>1</v>
      </c>
      <c r="Q613" s="4" t="n">
        <v>315</v>
      </c>
      <c r="R613" s="3" t="inlineStr">
        <is>
          <t>지정되지않음</t>
        </is>
      </c>
      <c r="S613" s="3" t="inlineStr">
        <is>
          <t>주거나지</t>
        </is>
      </c>
      <c r="T613" s="3" t="inlineStr">
        <is>
          <t>평지</t>
        </is>
      </c>
      <c r="U613" s="3" t="inlineStr">
        <is>
          <t>세로장방</t>
        </is>
      </c>
      <c r="V613" s="3" t="inlineStr">
        <is>
          <t>소로한면</t>
        </is>
      </c>
    </row>
    <row r="614">
      <c r="A614" s="3" t="inlineStr">
        <is>
          <t>다정동 852</t>
        </is>
      </c>
      <c r="B614" s="3" t="inlineStr">
        <is>
          <t>제1종전용주거지역</t>
        </is>
      </c>
      <c r="C614" s="3" t="inlineStr">
        <is>
          <t>대</t>
        </is>
      </c>
      <c r="D614" s="3" t="inlineStr">
        <is>
          <t>대</t>
        </is>
      </c>
      <c r="E614" s="3" t="inlineStr">
        <is>
          <t>매매</t>
        </is>
      </c>
      <c r="F614" s="4" t="n">
        <v>48000</v>
      </c>
      <c r="G614" s="4" t="n">
        <v>298</v>
      </c>
      <c r="H614" s="4" t="n">
        <v>90</v>
      </c>
      <c r="I614" s="5" t="n">
        <v>533.3</v>
      </c>
      <c r="J614" s="5" t="n">
        <v>298.2</v>
      </c>
      <c r="K614" s="3" t="inlineStr">
        <is>
          <t>nan</t>
        </is>
      </c>
      <c r="L614" s="6">
        <f>HYPERLINK("https://fin.land.naver.com/articles/2649625468", "매물Link")</f>
        <v/>
      </c>
      <c r="M614" s="6">
        <f>HYPERLINK("https://map.naver.com/p/search/다정동 852", "지도Link")</f>
        <v/>
      </c>
      <c r="N614" s="6">
        <f>HYPERLINK("http://www.eum.go.kr/web/ar/lu/luLandDet.jsp?pnu=3611010900108520000&amp;isNoScr=script&amp;mode=search", "토지이음")</f>
        <v/>
      </c>
      <c r="O614" s="3" t="inlineStr">
        <is>
          <t>세종리더스</t>
        </is>
      </c>
      <c r="P614" s="4" t="n">
        <v>1</v>
      </c>
      <c r="Q614" s="4" t="n">
        <v>293.7</v>
      </c>
      <c r="R614" s="3" t="inlineStr">
        <is>
          <t>지정되지않음</t>
        </is>
      </c>
      <c r="S614" s="3" t="inlineStr">
        <is>
          <t>주거나지</t>
        </is>
      </c>
      <c r="T614" s="3" t="inlineStr">
        <is>
          <t>평지</t>
        </is>
      </c>
      <c r="U614" s="3" t="inlineStr">
        <is>
          <t>세로장방</t>
        </is>
      </c>
      <c r="V614" s="3" t="inlineStr">
        <is>
          <t>소로한면</t>
        </is>
      </c>
    </row>
    <row r="615">
      <c r="A615" s="3" t="inlineStr">
        <is>
          <t>다정동 885</t>
        </is>
      </c>
      <c r="B615" s="3" t="inlineStr">
        <is>
          <t>제1종전용주거지역</t>
        </is>
      </c>
      <c r="C615" s="3" t="inlineStr">
        <is>
          <t>대</t>
        </is>
      </c>
      <c r="D615" s="3" t="inlineStr">
        <is>
          <t>대</t>
        </is>
      </c>
      <c r="E615" s="3" t="inlineStr">
        <is>
          <t>매매</t>
        </is>
      </c>
      <c r="F615" s="4" t="n">
        <v>48000</v>
      </c>
      <c r="G615" s="4" t="n">
        <v>397</v>
      </c>
      <c r="H615" s="4" t="n">
        <v>120</v>
      </c>
      <c r="I615" s="5" t="n">
        <v>400</v>
      </c>
      <c r="J615" s="5" t="n">
        <v>353.7</v>
      </c>
      <c r="K615" s="3" t="inlineStr">
        <is>
          <t>다정동 3면 도로 접한 1종전용주거 대지, 초급매, 코너각지</t>
        </is>
      </c>
      <c r="L615" s="6">
        <f>HYPERLINK("https://fin.land.naver.com/articles/2654022147", "매물Link")</f>
        <v/>
      </c>
      <c r="M615" s="6">
        <f>HYPERLINK("https://map.naver.com/p/search/다정동 885", "지도Link")</f>
        <v/>
      </c>
      <c r="N615" s="6">
        <f>HYPERLINK("http://www.eum.go.kr/web/ar/lu/luLandDet.jsp?pnu=3611010900108850000&amp;isNoScr=script&amp;mode=search", "토지이음")</f>
        <v/>
      </c>
      <c r="O615" s="3" t="inlineStr">
        <is>
          <t>스카이</t>
        </is>
      </c>
      <c r="P615" s="4" t="n">
        <v>2</v>
      </c>
      <c r="Q615" s="4" t="n">
        <v>397</v>
      </c>
      <c r="R615" s="3" t="inlineStr">
        <is>
          <t>지정되지않음</t>
        </is>
      </c>
      <c r="S615" s="3" t="inlineStr">
        <is>
          <t>주거나지</t>
        </is>
      </c>
      <c r="T615" s="3" t="inlineStr">
        <is>
          <t>평지</t>
        </is>
      </c>
      <c r="U615" s="3" t="inlineStr">
        <is>
          <t>세로장방</t>
        </is>
      </c>
      <c r="V615" s="3" t="inlineStr">
        <is>
          <t>중로각지</t>
        </is>
      </c>
    </row>
    <row r="616">
      <c r="A616" s="3" t="inlineStr">
        <is>
          <t>다정동 887</t>
        </is>
      </c>
      <c r="B616" s="3" t="inlineStr">
        <is>
          <t>제1종전용주거지역</t>
        </is>
      </c>
      <c r="C616" s="3" t="inlineStr">
        <is>
          <t>대</t>
        </is>
      </c>
      <c r="D616" s="3" t="inlineStr">
        <is>
          <t>대</t>
        </is>
      </c>
      <c r="E616" s="3" t="inlineStr">
        <is>
          <t>매매</t>
        </is>
      </c>
      <c r="F616" s="4" t="n">
        <v>41000</v>
      </c>
      <c r="G616" s="4" t="n">
        <v>374</v>
      </c>
      <c r="H616" s="4" t="n">
        <v>113</v>
      </c>
      <c r="I616" s="5" t="n">
        <v>362.8</v>
      </c>
      <c r="J616" s="5" t="n">
        <v>353.7</v>
      </c>
      <c r="K616" s="3" t="inlineStr">
        <is>
          <t>세종 다정동 단독주택 부지로 주목할 대지 매매</t>
        </is>
      </c>
      <c r="L616" s="6">
        <f>HYPERLINK("https://fin.land.naver.com/articles/2654266239", "매물Link")</f>
        <v/>
      </c>
      <c r="M616" s="6">
        <f>HYPERLINK("https://map.naver.com/p/search/다정동 887", "지도Link")</f>
        <v/>
      </c>
      <c r="N616" s="6">
        <f>HYPERLINK("http://www.eum.go.kr/web/ar/lu/luLandDet.jsp?pnu=3611010900108870000&amp;isNoScr=script&amp;mode=search", "토지이음")</f>
        <v/>
      </c>
      <c r="O616" s="3" t="inlineStr">
        <is>
          <t>세종몽땅</t>
        </is>
      </c>
      <c r="P616" s="4" t="n">
        <v>1</v>
      </c>
      <c r="Q616" s="4" t="n">
        <v>374</v>
      </c>
      <c r="R616" s="3" t="inlineStr">
        <is>
          <t>지정되지않음</t>
        </is>
      </c>
      <c r="S616" s="3" t="inlineStr">
        <is>
          <t>주거나지</t>
        </is>
      </c>
      <c r="T616" s="3" t="inlineStr">
        <is>
          <t>평지</t>
        </is>
      </c>
      <c r="U616" s="3" t="inlineStr">
        <is>
          <t>세로장방</t>
        </is>
      </c>
      <c r="V616" s="3" t="inlineStr">
        <is>
          <t>중로각지</t>
        </is>
      </c>
    </row>
    <row r="617">
      <c r="A617" s="3" t="inlineStr">
        <is>
          <t>다정동 887</t>
        </is>
      </c>
      <c r="B617" s="3" t="inlineStr">
        <is>
          <t>제1종전용주거지역</t>
        </is>
      </c>
      <c r="C617" s="3" t="inlineStr">
        <is>
          <t>대</t>
        </is>
      </c>
      <c r="D617" s="3" t="inlineStr">
        <is>
          <t>대</t>
        </is>
      </c>
      <c r="E617" s="3" t="inlineStr">
        <is>
          <t>매매</t>
        </is>
      </c>
      <c r="F617" s="4" t="n">
        <v>41000</v>
      </c>
      <c r="G617" s="4" t="n">
        <v>374</v>
      </c>
      <c r="H617" s="4" t="n">
        <v>113</v>
      </c>
      <c r="I617" s="5" t="n">
        <v>362.8</v>
      </c>
      <c r="J617" s="5" t="n">
        <v>353.7</v>
      </c>
      <c r="K617" s="3" t="inlineStr">
        <is>
          <t>급매 큰평수 남서향으로 트인위치 추가조율가능</t>
        </is>
      </c>
      <c r="L617" s="6">
        <f>HYPERLINK("https://fin.land.naver.com/articles/2653840659", "매물Link")</f>
        <v/>
      </c>
      <c r="M617" s="6">
        <f>HYPERLINK("https://map.naver.com/p/search/다정동 887", "지도Link")</f>
        <v/>
      </c>
      <c r="N617" s="6">
        <f>HYPERLINK("http://www.eum.go.kr/web/ar/lu/luLandDet.jsp?pnu=3611010900108870000&amp;isNoScr=script&amp;mode=search", "토지이음")</f>
        <v/>
      </c>
      <c r="O617" s="3" t="inlineStr">
        <is>
          <t>세종스타</t>
        </is>
      </c>
      <c r="P617" s="4" t="n">
        <v>3</v>
      </c>
      <c r="Q617" s="4" t="n">
        <v>374</v>
      </c>
      <c r="R617" s="3" t="inlineStr">
        <is>
          <t>지정되지않음</t>
        </is>
      </c>
      <c r="S617" s="3" t="inlineStr">
        <is>
          <t>주거나지</t>
        </is>
      </c>
      <c r="T617" s="3" t="inlineStr">
        <is>
          <t>평지</t>
        </is>
      </c>
      <c r="U617" s="3" t="inlineStr">
        <is>
          <t>세로장방</t>
        </is>
      </c>
      <c r="V617" s="3" t="inlineStr">
        <is>
          <t>중로각지</t>
        </is>
      </c>
    </row>
    <row r="618">
      <c r="A618" s="3" t="inlineStr">
        <is>
          <t>다정동 887</t>
        </is>
      </c>
      <c r="B618" s="3" t="inlineStr">
        <is>
          <t>제1종전용주거지역</t>
        </is>
      </c>
      <c r="C618" s="3" t="inlineStr">
        <is>
          <t>대</t>
        </is>
      </c>
      <c r="D618" s="3" t="inlineStr">
        <is>
          <t>대</t>
        </is>
      </c>
      <c r="E618" s="3" t="inlineStr">
        <is>
          <t>매매</t>
        </is>
      </c>
      <c r="F618" s="4" t="n">
        <v>41000</v>
      </c>
      <c r="G618" s="4" t="n">
        <v>374</v>
      </c>
      <c r="H618" s="4" t="n">
        <v>113</v>
      </c>
      <c r="I618" s="5" t="n">
        <v>362.8</v>
      </c>
      <c r="J618" s="5" t="n">
        <v>353.7</v>
      </c>
      <c r="K618" s="3" t="inlineStr">
        <is>
          <t>급매 다정동 전원주택토지임.</t>
        </is>
      </c>
      <c r="L618" s="6">
        <f>HYPERLINK("https://fin.land.naver.com/articles/2653163964", "매물Link")</f>
        <v/>
      </c>
      <c r="M618" s="6">
        <f>HYPERLINK("https://map.naver.com/p/search/다정동 887", "지도Link")</f>
        <v/>
      </c>
      <c r="N618" s="6">
        <f>HYPERLINK("http://www.eum.go.kr/web/ar/lu/luLandDet.jsp?pnu=3611010900108870000&amp;isNoScr=script&amp;mode=search", "토지이음")</f>
        <v/>
      </c>
      <c r="O618" s="3" t="inlineStr">
        <is>
          <t>태흥</t>
        </is>
      </c>
      <c r="P618" s="4" t="n">
        <v>1</v>
      </c>
      <c r="Q618" s="4" t="n">
        <v>374</v>
      </c>
      <c r="R618" s="3" t="inlineStr">
        <is>
          <t>지정되지않음</t>
        </is>
      </c>
      <c r="S618" s="3" t="inlineStr">
        <is>
          <t>주거나지</t>
        </is>
      </c>
      <c r="T618" s="3" t="inlineStr">
        <is>
          <t>평지</t>
        </is>
      </c>
      <c r="U618" s="3" t="inlineStr">
        <is>
          <t>세로장방</t>
        </is>
      </c>
      <c r="V618" s="3" t="inlineStr">
        <is>
          <t>중로각지</t>
        </is>
      </c>
    </row>
    <row r="619">
      <c r="A619" s="3" t="inlineStr">
        <is>
          <t>다정동 887</t>
        </is>
      </c>
      <c r="B619" s="3" t="inlineStr">
        <is>
          <t>제1종전용주거지역</t>
        </is>
      </c>
      <c r="C619" s="3" t="inlineStr">
        <is>
          <t>대</t>
        </is>
      </c>
      <c r="D619" s="3" t="inlineStr">
        <is>
          <t>대</t>
        </is>
      </c>
      <c r="E619" s="3" t="inlineStr">
        <is>
          <t>매매</t>
        </is>
      </c>
      <c r="F619" s="4" t="n">
        <v>41000</v>
      </c>
      <c r="G619" s="4" t="n">
        <v>374</v>
      </c>
      <c r="H619" s="4" t="n">
        <v>113</v>
      </c>
      <c r="I619" s="5" t="n">
        <v>362.8</v>
      </c>
      <c r="J619" s="5" t="n">
        <v>353.7</v>
      </c>
      <c r="K619" s="3" t="inlineStr">
        <is>
          <t>총 113.3p, 조율가능, 주유소인근, 다정동 단독주택지</t>
        </is>
      </c>
      <c r="L619" s="6">
        <f>HYPERLINK("https://fin.land.naver.com/articles/2653561661", "매물Link")</f>
        <v/>
      </c>
      <c r="M619" s="6">
        <f>HYPERLINK("https://map.naver.com/p/search/다정동 887", "지도Link")</f>
        <v/>
      </c>
      <c r="N619" s="6">
        <f>HYPERLINK("http://www.eum.go.kr/web/ar/lu/luLandDet.jsp?pnu=3611010900108870000&amp;isNoScr=script&amp;mode=search", "토지이음")</f>
        <v/>
      </c>
      <c r="O619" s="3" t="inlineStr">
        <is>
          <t>세종무지개</t>
        </is>
      </c>
      <c r="P619" s="4" t="n">
        <v>1</v>
      </c>
      <c r="Q619" s="4" t="n">
        <v>374</v>
      </c>
      <c r="R619" s="3" t="inlineStr">
        <is>
          <t>지정되지않음</t>
        </is>
      </c>
      <c r="S619" s="3" t="inlineStr">
        <is>
          <t>주거나지</t>
        </is>
      </c>
      <c r="T619" s="3" t="inlineStr">
        <is>
          <t>평지</t>
        </is>
      </c>
      <c r="U619" s="3" t="inlineStr">
        <is>
          <t>세로장방</t>
        </is>
      </c>
      <c r="V619" s="3" t="inlineStr">
        <is>
          <t>중로각지</t>
        </is>
      </c>
    </row>
    <row r="620">
      <c r="A620" s="3" t="inlineStr">
        <is>
          <t>다정동 897</t>
        </is>
      </c>
      <c r="B620" s="3" t="inlineStr">
        <is>
          <t>제1종전용주거지역</t>
        </is>
      </c>
      <c r="C620" s="3" t="inlineStr">
        <is>
          <t>대</t>
        </is>
      </c>
      <c r="D620" s="3" t="inlineStr">
        <is>
          <t>대</t>
        </is>
      </c>
      <c r="E620" s="3" t="inlineStr">
        <is>
          <t>매매</t>
        </is>
      </c>
      <c r="F620" s="4" t="n">
        <v>194000</v>
      </c>
      <c r="G620" s="4" t="n">
        <v>641</v>
      </c>
      <c r="H620" s="4" t="n">
        <v>194</v>
      </c>
      <c r="I620" s="5" t="n">
        <v>1000</v>
      </c>
      <c r="J620" s="5" t="n">
        <v>763</v>
      </c>
      <c r="K620" s="3" t="inlineStr">
        <is>
          <t>다정동 코너 위치한 근생 토지매매, 조율가능, 입지 최고</t>
        </is>
      </c>
      <c r="L620" s="6">
        <f>HYPERLINK("https://fin.land.naver.com/articles/2649608618", "매물Link")</f>
        <v/>
      </c>
      <c r="M620" s="6">
        <f>HYPERLINK("https://map.naver.com/p/search/다정동 897", "지도Link")</f>
        <v/>
      </c>
      <c r="N620" s="6">
        <f>HYPERLINK("http://www.eum.go.kr/web/ar/lu/luLandDet.jsp?pnu=3611010900108970000&amp;isNoScr=script&amp;mode=search", "토지이음")</f>
        <v/>
      </c>
      <c r="O620" s="3" t="inlineStr">
        <is>
          <t>세종무지개</t>
        </is>
      </c>
      <c r="P620" s="4" t="n">
        <v>1</v>
      </c>
      <c r="Q620" s="4" t="n">
        <v>641</v>
      </c>
      <c r="R620" s="3" t="inlineStr">
        <is>
          <t>지정되지않음</t>
        </is>
      </c>
      <c r="S620" s="3" t="inlineStr">
        <is>
          <t>상업나지</t>
        </is>
      </c>
      <c r="T620" s="3" t="inlineStr">
        <is>
          <t>평지</t>
        </is>
      </c>
      <c r="U620" s="3" t="inlineStr">
        <is>
          <t>정방형</t>
        </is>
      </c>
      <c r="V620" s="3" t="inlineStr">
        <is>
          <t>중로각지</t>
        </is>
      </c>
    </row>
    <row r="621">
      <c r="A621" s="3" t="inlineStr">
        <is>
          <t>다정동 897</t>
        </is>
      </c>
      <c r="B621" s="3" t="inlineStr">
        <is>
          <t>제1종전용주거지역</t>
        </is>
      </c>
      <c r="C621" s="3" t="inlineStr">
        <is>
          <t>대</t>
        </is>
      </c>
      <c r="D621" s="3" t="inlineStr">
        <is>
          <t>대</t>
        </is>
      </c>
      <c r="E621" s="3" t="inlineStr">
        <is>
          <t>매매</t>
        </is>
      </c>
      <c r="F621" s="4" t="n">
        <v>194000</v>
      </c>
      <c r="G621" s="4" t="n">
        <v>641</v>
      </c>
      <c r="H621" s="4" t="n">
        <v>194</v>
      </c>
      <c r="I621" s="5" t="n">
        <v>1000</v>
      </c>
      <c r="J621" s="5" t="n">
        <v>763</v>
      </c>
      <c r="K621" s="3" t="inlineStr">
        <is>
          <t>총 194.2p, 코너자리, 다정동 위치좋은 근생토지</t>
        </is>
      </c>
      <c r="L621" s="6">
        <f>HYPERLINK("https://fin.land.naver.com/articles/2653057250", "매물Link")</f>
        <v/>
      </c>
      <c r="M621" s="6">
        <f>HYPERLINK("https://map.naver.com/p/search/다정동 897", "지도Link")</f>
        <v/>
      </c>
      <c r="N621" s="6">
        <f>HYPERLINK("http://www.eum.go.kr/web/ar/lu/luLandDet.jsp?pnu=3611010900108970000&amp;isNoScr=script&amp;mode=search", "토지이음")</f>
        <v/>
      </c>
      <c r="O621" s="3" t="inlineStr">
        <is>
          <t>명진</t>
        </is>
      </c>
      <c r="P621" s="4" t="n">
        <v>1</v>
      </c>
      <c r="Q621" s="4" t="n">
        <v>641</v>
      </c>
      <c r="R621" s="3" t="inlineStr">
        <is>
          <t>지정되지않음</t>
        </is>
      </c>
      <c r="S621" s="3" t="inlineStr">
        <is>
          <t>상업나지</t>
        </is>
      </c>
      <c r="T621" s="3" t="inlineStr">
        <is>
          <t>평지</t>
        </is>
      </c>
      <c r="U621" s="3" t="inlineStr">
        <is>
          <t>정방형</t>
        </is>
      </c>
      <c r="V621" s="3" t="inlineStr">
        <is>
          <t>중로각지</t>
        </is>
      </c>
    </row>
    <row r="622">
      <c r="A622" s="3" t="inlineStr">
        <is>
          <t>다정동 897</t>
        </is>
      </c>
      <c r="B622" s="3" t="inlineStr">
        <is>
          <t>제1종전용주거지역</t>
        </is>
      </c>
      <c r="C622" s="3" t="inlineStr">
        <is>
          <t>대</t>
        </is>
      </c>
      <c r="D622" s="3" t="inlineStr">
        <is>
          <t>대</t>
        </is>
      </c>
      <c r="E622" s="3" t="inlineStr">
        <is>
          <t>매매</t>
        </is>
      </c>
      <c r="F622" s="4" t="n">
        <v>194000</v>
      </c>
      <c r="G622" s="4" t="n">
        <v>641</v>
      </c>
      <c r="H622" s="4" t="n">
        <v>194</v>
      </c>
      <c r="I622" s="5" t="n">
        <v>1000</v>
      </c>
      <c r="J622" s="5" t="n">
        <v>763</v>
      </c>
      <c r="K622" s="3" t="inlineStr">
        <is>
          <t>코너자리로입지최고  가격조정가능</t>
        </is>
      </c>
      <c r="L622" s="6">
        <f>HYPERLINK("https://fin.land.naver.com/articles/2654625808", "매물Link")</f>
        <v/>
      </c>
      <c r="M622" s="6">
        <f>HYPERLINK("https://map.naver.com/p/search/다정동 897", "지도Link")</f>
        <v/>
      </c>
      <c r="N622" s="6">
        <f>HYPERLINK("http://www.eum.go.kr/web/ar/lu/luLandDet.jsp?pnu=3611010900108970000&amp;isNoScr=script&amp;mode=search", "토지이음")</f>
        <v/>
      </c>
      <c r="O622" s="3" t="inlineStr">
        <is>
          <t>고운동리치세종</t>
        </is>
      </c>
      <c r="P622" s="4" t="n">
        <v>4</v>
      </c>
      <c r="Q622" s="4" t="n">
        <v>641</v>
      </c>
      <c r="R622" s="3" t="inlineStr">
        <is>
          <t>지정되지않음</t>
        </is>
      </c>
      <c r="S622" s="3" t="inlineStr">
        <is>
          <t>상업나지</t>
        </is>
      </c>
      <c r="T622" s="3" t="inlineStr">
        <is>
          <t>평지</t>
        </is>
      </c>
      <c r="U622" s="3" t="inlineStr">
        <is>
          <t>정방형</t>
        </is>
      </c>
      <c r="V622" s="3" t="inlineStr">
        <is>
          <t>중로각지</t>
        </is>
      </c>
    </row>
    <row r="623">
      <c r="A623" s="3" t="inlineStr">
        <is>
          <t>다정동 900</t>
        </is>
      </c>
      <c r="B623" s="3" t="inlineStr">
        <is>
          <t>제1종전용주거지역</t>
        </is>
      </c>
      <c r="C623" s="3" t="inlineStr">
        <is>
          <t>대</t>
        </is>
      </c>
      <c r="D623" s="3" t="inlineStr">
        <is>
          <t>대</t>
        </is>
      </c>
      <c r="E623" s="3" t="inlineStr">
        <is>
          <t>매매</t>
        </is>
      </c>
      <c r="F623" s="4" t="n">
        <v>250000</v>
      </c>
      <c r="G623" s="4" t="n">
        <v>594</v>
      </c>
      <c r="H623" s="4" t="n">
        <v>180</v>
      </c>
      <c r="I623" s="5" t="n">
        <v>1388.9</v>
      </c>
      <c r="J623" s="5" t="n">
        <v>763</v>
      </c>
      <c r="K623" s="3" t="inlineStr">
        <is>
          <t>대단지아파트 주변 근린생활시설용지,근생단독건물건축용지</t>
        </is>
      </c>
      <c r="L623" s="6">
        <f>HYPERLINK("https://fin.land.naver.com/articles/2652144502", "매물Link")</f>
        <v/>
      </c>
      <c r="M623" s="6">
        <f>HYPERLINK("https://map.naver.com/p/search/다정동 900", "지도Link")</f>
        <v/>
      </c>
      <c r="N623" s="6">
        <f>HYPERLINK("http://www.eum.go.kr/web/ar/lu/luLandDet.jsp?pnu=3611010900109000000&amp;isNoScr=script&amp;mode=search", "토지이음")</f>
        <v/>
      </c>
      <c r="O623" s="3" t="inlineStr">
        <is>
          <t>세종지원</t>
        </is>
      </c>
      <c r="P623" s="4" t="n">
        <v>1</v>
      </c>
      <c r="Q623" s="4" t="n">
        <v>594</v>
      </c>
      <c r="R623" s="3" t="inlineStr">
        <is>
          <t>지정되지않음</t>
        </is>
      </c>
      <c r="S623" s="3" t="inlineStr">
        <is>
          <t>상업나지</t>
        </is>
      </c>
      <c r="T623" s="3" t="inlineStr">
        <is>
          <t>평지</t>
        </is>
      </c>
      <c r="U623" s="3" t="inlineStr">
        <is>
          <t>정방형</t>
        </is>
      </c>
      <c r="V623" s="3" t="inlineStr">
        <is>
          <t>중로각지</t>
        </is>
      </c>
    </row>
    <row r="624">
      <c r="A624" s="3" t="inlineStr">
        <is>
          <t>다정동 902</t>
        </is>
      </c>
      <c r="B624" s="3" t="inlineStr">
        <is>
          <t>제1종전용주거지역</t>
        </is>
      </c>
      <c r="C624" s="3" t="inlineStr">
        <is>
          <t>대</t>
        </is>
      </c>
      <c r="D624" s="3" t="inlineStr">
        <is>
          <t>대</t>
        </is>
      </c>
      <c r="E624" s="3" t="inlineStr">
        <is>
          <t>매매</t>
        </is>
      </c>
      <c r="F624" s="4" t="n">
        <v>396000</v>
      </c>
      <c r="G624" s="4" t="n">
        <v>654</v>
      </c>
      <c r="H624" s="4" t="n">
        <v>198</v>
      </c>
      <c r="I624" s="5" t="n">
        <v>2000</v>
      </c>
      <c r="J624" s="5" t="n">
        <v>763</v>
      </c>
      <c r="K624" s="3" t="inlineStr">
        <is>
          <t>근생용지,코너각지땅으로 대단지 아파트초인근임</t>
        </is>
      </c>
      <c r="L624" s="6">
        <f>HYPERLINK("https://fin.land.naver.com/articles/2649789570", "매물Link")</f>
        <v/>
      </c>
      <c r="M624" s="6">
        <f>HYPERLINK("https://map.naver.com/p/search/다정동 902", "지도Link")</f>
        <v/>
      </c>
      <c r="N624" s="6">
        <f>HYPERLINK("http://www.eum.go.kr/web/ar/lu/luLandDet.jsp?pnu=3611010900109020000&amp;isNoScr=script&amp;mode=search", "토지이음")</f>
        <v/>
      </c>
      <c r="O624" s="3" t="inlineStr">
        <is>
          <t>세종대명</t>
        </is>
      </c>
      <c r="P624" s="4" t="n">
        <v>1</v>
      </c>
      <c r="Q624" s="4" t="n">
        <v>654.6</v>
      </c>
      <c r="R624" s="3" t="inlineStr">
        <is>
          <t>지정되지않음</t>
        </is>
      </c>
      <c r="S624" s="3" t="inlineStr">
        <is>
          <t>상업나지</t>
        </is>
      </c>
      <c r="T624" s="3" t="inlineStr">
        <is>
          <t>평지</t>
        </is>
      </c>
      <c r="U624" s="3" t="inlineStr">
        <is>
          <t>정방형</t>
        </is>
      </c>
      <c r="V624" s="3" t="inlineStr">
        <is>
          <t>중로각지</t>
        </is>
      </c>
    </row>
    <row r="625">
      <c r="A625" s="3" t="inlineStr">
        <is>
          <t>다정동 902</t>
        </is>
      </c>
      <c r="B625" s="3" t="inlineStr">
        <is>
          <t>제1종전용주거지역</t>
        </is>
      </c>
      <c r="C625" s="3" t="inlineStr">
        <is>
          <t>대</t>
        </is>
      </c>
      <c r="D625" s="3" t="inlineStr">
        <is>
          <t>대</t>
        </is>
      </c>
      <c r="E625" s="3" t="inlineStr">
        <is>
          <t>매매</t>
        </is>
      </c>
      <c r="F625" s="4" t="n">
        <v>396000</v>
      </c>
      <c r="G625" s="4" t="n">
        <v>654</v>
      </c>
      <c r="H625" s="4" t="n">
        <v>198</v>
      </c>
      <c r="I625" s="5" t="n">
        <v>2000</v>
      </c>
      <c r="J625" s="5" t="n">
        <v>763</v>
      </c>
      <c r="K625" s="3" t="inlineStr">
        <is>
          <t>코너 입지한 근린생활용지 토지 매매, 위치 좋음</t>
        </is>
      </c>
      <c r="L625" s="6">
        <f>HYPERLINK("https://fin.land.naver.com/articles/2650893996", "매물Link")</f>
        <v/>
      </c>
      <c r="M625" s="6">
        <f>HYPERLINK("https://map.naver.com/p/search/다정동 902", "지도Link")</f>
        <v/>
      </c>
      <c r="N625" s="6">
        <f>HYPERLINK("http://www.eum.go.kr/web/ar/lu/luLandDet.jsp?pnu=3611010900109020000&amp;isNoScr=script&amp;mode=search", "토지이음")</f>
        <v/>
      </c>
      <c r="O625" s="3" t="inlineStr">
        <is>
          <t>세종무지개</t>
        </is>
      </c>
      <c r="P625" s="4" t="n">
        <v>1</v>
      </c>
      <c r="Q625" s="4" t="n">
        <v>654.6</v>
      </c>
      <c r="R625" s="3" t="inlineStr">
        <is>
          <t>지정되지않음</t>
        </is>
      </c>
      <c r="S625" s="3" t="inlineStr">
        <is>
          <t>상업나지</t>
        </is>
      </c>
      <c r="T625" s="3" t="inlineStr">
        <is>
          <t>평지</t>
        </is>
      </c>
      <c r="U625" s="3" t="inlineStr">
        <is>
          <t>정방형</t>
        </is>
      </c>
      <c r="V625" s="3" t="inlineStr">
        <is>
          <t>중로각지</t>
        </is>
      </c>
    </row>
    <row r="626">
      <c r="A626" s="3" t="inlineStr">
        <is>
          <t>도담동 410</t>
        </is>
      </c>
      <c r="B626" s="3" t="inlineStr">
        <is>
          <t>제1종전용주거지역</t>
        </is>
      </c>
      <c r="C626" s="3" t="inlineStr">
        <is>
          <t>대</t>
        </is>
      </c>
      <c r="D626" s="3" t="inlineStr">
        <is>
          <t>대</t>
        </is>
      </c>
      <c r="E626" s="3" t="inlineStr">
        <is>
          <t>매매</t>
        </is>
      </c>
      <c r="F626" s="4" t="n">
        <v>100000</v>
      </c>
      <c r="G626" s="4" t="n">
        <v>330</v>
      </c>
      <c r="H626" s="4" t="n">
        <v>100</v>
      </c>
      <c r="I626" s="5" t="n">
        <v>1000</v>
      </c>
      <c r="J626" s="5" t="n">
        <v>362</v>
      </c>
      <c r="K626" s="3" t="inlineStr">
        <is>
          <t>100p, 도담동 말발굽토지, 왼쪽 사거리 코너자리</t>
        </is>
      </c>
      <c r="L626" s="6">
        <f>HYPERLINK("https://fin.land.naver.com/articles/2653566973", "매물Link")</f>
        <v/>
      </c>
      <c r="M626" s="6">
        <f>HYPERLINK("https://map.naver.com/p/search/도담동 410", "지도Link")</f>
        <v/>
      </c>
      <c r="N626" s="6">
        <f>HYPERLINK("http://www.eum.go.kr/web/ar/lu/luLandDet.jsp?pnu=3611011400104100000&amp;isNoScr=script&amp;mode=search", "토지이음")</f>
        <v/>
      </c>
      <c r="O626" s="3" t="inlineStr">
        <is>
          <t>세종무지개</t>
        </is>
      </c>
      <c r="P626" s="4" t="n">
        <v>1</v>
      </c>
      <c r="Q626" s="4" t="n">
        <v>330</v>
      </c>
      <c r="R626" s="3" t="inlineStr">
        <is>
          <t>지정되지않음</t>
        </is>
      </c>
      <c r="S626" s="3" t="inlineStr">
        <is>
          <t>주거나지</t>
        </is>
      </c>
      <c r="T626" s="3" t="inlineStr">
        <is>
          <t>평지</t>
        </is>
      </c>
      <c r="U626" s="3" t="inlineStr">
        <is>
          <t>정방형</t>
        </is>
      </c>
      <c r="V626" s="3" t="inlineStr">
        <is>
          <t>소로한면</t>
        </is>
      </c>
    </row>
    <row r="627">
      <c r="A627" s="3" t="inlineStr">
        <is>
          <t>도담동 419</t>
        </is>
      </c>
      <c r="B627" s="3" t="inlineStr">
        <is>
          <t>제1종전용주거지역</t>
        </is>
      </c>
      <c r="C627" s="3" t="inlineStr">
        <is>
          <t>대</t>
        </is>
      </c>
      <c r="D627" s="3" t="inlineStr">
        <is>
          <t>대</t>
        </is>
      </c>
      <c r="E627" s="3" t="inlineStr">
        <is>
          <t>매매</t>
        </is>
      </c>
      <c r="F627" s="4" t="n">
        <v>100000</v>
      </c>
      <c r="G627" s="4" t="n">
        <v>327</v>
      </c>
      <c r="H627" s="4" t="n">
        <v>99</v>
      </c>
      <c r="I627" s="5" t="n">
        <v>1010.1</v>
      </c>
      <c r="J627" s="5" t="n">
        <v>358.3</v>
      </c>
      <c r="K627" s="3" t="inlineStr">
        <is>
          <t>nan</t>
        </is>
      </c>
      <c r="L627" s="6">
        <f>HYPERLINK("https://fin.land.naver.com/articles/2652567664", "매물Link")</f>
        <v/>
      </c>
      <c r="M627" s="6">
        <f>HYPERLINK("https://map.naver.com/p/search/도담동 419", "지도Link")</f>
        <v/>
      </c>
      <c r="N627" s="6">
        <f>HYPERLINK("http://www.eum.go.kr/web/ar/lu/luLandDet.jsp?pnu=3611011400104190000&amp;isNoScr=script&amp;mode=search", "토지이음")</f>
        <v/>
      </c>
      <c r="O627" s="3" t="inlineStr">
        <is>
          <t>진달래</t>
        </is>
      </c>
      <c r="P627" s="4" t="n">
        <v>2</v>
      </c>
      <c r="Q627" s="4" t="n">
        <v>327</v>
      </c>
      <c r="R627" s="3" t="inlineStr">
        <is>
          <t>지정되지않음</t>
        </is>
      </c>
      <c r="S627" s="3" t="inlineStr">
        <is>
          <t>주거나지</t>
        </is>
      </c>
      <c r="T627" s="3" t="inlineStr">
        <is>
          <t>평지</t>
        </is>
      </c>
      <c r="U627" s="3" t="inlineStr">
        <is>
          <t>사다리형</t>
        </is>
      </c>
      <c r="V627" s="3" t="inlineStr">
        <is>
          <t>소로한면</t>
        </is>
      </c>
    </row>
    <row r="628">
      <c r="A628" s="3" t="inlineStr">
        <is>
          <t>도담동 419</t>
        </is>
      </c>
      <c r="B628" s="3" t="inlineStr">
        <is>
          <t>제1종전용주거지역</t>
        </is>
      </c>
      <c r="C628" s="3" t="inlineStr">
        <is>
          <t>대</t>
        </is>
      </c>
      <c r="D628" s="3" t="inlineStr">
        <is>
          <t>대</t>
        </is>
      </c>
      <c r="E628" s="3" t="inlineStr">
        <is>
          <t>매매</t>
        </is>
      </c>
      <c r="F628" s="4" t="n">
        <v>100000</v>
      </c>
      <c r="G628" s="4" t="n">
        <v>327</v>
      </c>
      <c r="H628" s="4" t="n">
        <v>99</v>
      </c>
      <c r="I628" s="5" t="n">
        <v>1010.1</v>
      </c>
      <c r="J628" s="5" t="n">
        <v>358.3</v>
      </c>
      <c r="K628" s="3" t="inlineStr">
        <is>
          <t>99.1p, 도담동 말발굽 토지, 공원 보행로 접해 있음</t>
        </is>
      </c>
      <c r="L628" s="6">
        <f>HYPERLINK("https://fin.land.naver.com/articles/2653565954", "매물Link")</f>
        <v/>
      </c>
      <c r="M628" s="6">
        <f>HYPERLINK("https://map.naver.com/p/search/도담동 419", "지도Link")</f>
        <v/>
      </c>
      <c r="N628" s="6">
        <f>HYPERLINK("http://www.eum.go.kr/web/ar/lu/luLandDet.jsp?pnu=3611011400104190000&amp;isNoScr=script&amp;mode=search", "토지이음")</f>
        <v/>
      </c>
      <c r="O628" s="3" t="inlineStr">
        <is>
          <t>세종무지개</t>
        </is>
      </c>
      <c r="P628" s="4" t="n">
        <v>1</v>
      </c>
      <c r="Q628" s="4" t="n">
        <v>327</v>
      </c>
      <c r="R628" s="3" t="inlineStr">
        <is>
          <t>지정되지않음</t>
        </is>
      </c>
      <c r="S628" s="3" t="inlineStr">
        <is>
          <t>주거나지</t>
        </is>
      </c>
      <c r="T628" s="3" t="inlineStr">
        <is>
          <t>평지</t>
        </is>
      </c>
      <c r="U628" s="3" t="inlineStr">
        <is>
          <t>사다리형</t>
        </is>
      </c>
      <c r="V628" s="3" t="inlineStr">
        <is>
          <t>소로한면</t>
        </is>
      </c>
    </row>
    <row r="629">
      <c r="A629" s="3" t="inlineStr">
        <is>
          <t>도담동 419</t>
        </is>
      </c>
      <c r="B629" s="3" t="inlineStr">
        <is>
          <t>제1종전용주거지역</t>
        </is>
      </c>
      <c r="C629" s="3" t="inlineStr">
        <is>
          <t>대</t>
        </is>
      </c>
      <c r="D629" s="3" t="inlineStr">
        <is>
          <t>대</t>
        </is>
      </c>
      <c r="E629" s="3" t="inlineStr">
        <is>
          <t>매매</t>
        </is>
      </c>
      <c r="F629" s="4" t="n">
        <v>100000</v>
      </c>
      <c r="G629" s="4" t="n">
        <v>327</v>
      </c>
      <c r="H629" s="4" t="n">
        <v>99</v>
      </c>
      <c r="I629" s="5" t="n">
        <v>1010.1</v>
      </c>
      <c r="J629" s="5" t="n">
        <v>358.3</v>
      </c>
      <c r="K629" s="3" t="inlineStr">
        <is>
          <t>말발굽 정남향 귀한 토지, 조율가능</t>
        </is>
      </c>
      <c r="L629" s="6">
        <f>HYPERLINK("https://fin.land.naver.com/articles/2651903895", "매물Link")</f>
        <v/>
      </c>
      <c r="M629" s="6">
        <f>HYPERLINK("https://map.naver.com/p/search/도담동 419", "지도Link")</f>
        <v/>
      </c>
      <c r="N629" s="6">
        <f>HYPERLINK("http://www.eum.go.kr/web/ar/lu/luLandDet.jsp?pnu=3611011400104190000&amp;isNoScr=script&amp;mode=search", "토지이음")</f>
        <v/>
      </c>
      <c r="O629" s="3" t="inlineStr">
        <is>
          <t>명진</t>
        </is>
      </c>
      <c r="P629" s="4" t="n">
        <v>1</v>
      </c>
      <c r="Q629" s="4" t="n">
        <v>327</v>
      </c>
      <c r="R629" s="3" t="inlineStr">
        <is>
          <t>지정되지않음</t>
        </is>
      </c>
      <c r="S629" s="3" t="inlineStr">
        <is>
          <t>주거나지</t>
        </is>
      </c>
      <c r="T629" s="3" t="inlineStr">
        <is>
          <t>평지</t>
        </is>
      </c>
      <c r="U629" s="3" t="inlineStr">
        <is>
          <t>사다리형</t>
        </is>
      </c>
      <c r="V629" s="3" t="inlineStr">
        <is>
          <t>소로한면</t>
        </is>
      </c>
    </row>
    <row r="630">
      <c r="A630" s="3" t="inlineStr">
        <is>
          <t>도담동 424</t>
        </is>
      </c>
      <c r="B630" s="3" t="inlineStr">
        <is>
          <t>제1종전용주거지역</t>
        </is>
      </c>
      <c r="C630" s="3" t="inlineStr">
        <is>
          <t>대</t>
        </is>
      </c>
      <c r="D630" s="3" t="inlineStr">
        <is>
          <t>대</t>
        </is>
      </c>
      <c r="E630" s="3" t="inlineStr">
        <is>
          <t>매매</t>
        </is>
      </c>
      <c r="F630" s="4" t="n">
        <v>115000</v>
      </c>
      <c r="G630" s="4" t="n">
        <v>305</v>
      </c>
      <c r="H630" s="4" t="n">
        <v>92</v>
      </c>
      <c r="I630" s="5" t="n">
        <v>1250</v>
      </c>
      <c r="J630" s="5" t="n">
        <v>358.3</v>
      </c>
      <c r="K630" s="3" t="inlineStr">
        <is>
          <t>조율가능 공원접함 최선호 반원호내 단독주택지</t>
        </is>
      </c>
      <c r="L630" s="6">
        <f>HYPERLINK("https://fin.land.naver.com/articles/2652136867", "매물Link")</f>
        <v/>
      </c>
      <c r="M630" s="6">
        <f>HYPERLINK("https://map.naver.com/p/search/도담동 424", "지도Link")</f>
        <v/>
      </c>
      <c r="N630" s="6">
        <f>HYPERLINK("http://www.eum.go.kr/web/ar/lu/luLandDet.jsp?pnu=3611011400104240000&amp;isNoScr=script&amp;mode=search", "토지이음")</f>
        <v/>
      </c>
      <c r="O630" s="3" t="inlineStr">
        <is>
          <t>세종스타</t>
        </is>
      </c>
      <c r="P630" s="4" t="n">
        <v>1</v>
      </c>
      <c r="Q630" s="4" t="n">
        <v>305</v>
      </c>
      <c r="R630" s="3" t="inlineStr">
        <is>
          <t>지정되지않음</t>
        </is>
      </c>
      <c r="S630" s="3" t="inlineStr">
        <is>
          <t>주거나지</t>
        </is>
      </c>
      <c r="T630" s="3" t="inlineStr">
        <is>
          <t>평지</t>
        </is>
      </c>
      <c r="U630" s="3" t="inlineStr">
        <is>
          <t>사다리형</t>
        </is>
      </c>
      <c r="V630" s="3" t="inlineStr">
        <is>
          <t>소로한면</t>
        </is>
      </c>
    </row>
    <row r="631">
      <c r="A631" s="3" t="inlineStr">
        <is>
          <t>도담동 425</t>
        </is>
      </c>
      <c r="B631" s="3" t="inlineStr">
        <is>
          <t>제1종전용주거지역</t>
        </is>
      </c>
      <c r="C631" s="3" t="inlineStr">
        <is>
          <t>대</t>
        </is>
      </c>
      <c r="D631" s="3" t="inlineStr">
        <is>
          <t>대</t>
        </is>
      </c>
      <c r="E631" s="3" t="inlineStr">
        <is>
          <t>매매</t>
        </is>
      </c>
      <c r="F631" s="4" t="n">
        <v>110000</v>
      </c>
      <c r="G631" s="4" t="n">
        <v>304</v>
      </c>
      <c r="H631" s="4" t="n">
        <v>92</v>
      </c>
      <c r="I631" s="5" t="n">
        <v>1195.7</v>
      </c>
      <c r="J631" s="5" t="n">
        <v>358.3</v>
      </c>
      <c r="K631" s="3" t="inlineStr">
        <is>
          <t>급매진행 조율최대가능  도담동 말발급주택지 원수산아래 넓은 녹지공간</t>
        </is>
      </c>
      <c r="L631" s="6">
        <f>HYPERLINK("https://fin.land.naver.com/articles/2653792732", "매물Link")</f>
        <v/>
      </c>
      <c r="M631" s="6">
        <f>HYPERLINK("https://map.naver.com/p/search/도담동 425", "지도Link")</f>
        <v/>
      </c>
      <c r="N631" s="6">
        <f>HYPERLINK("http://www.eum.go.kr/web/ar/lu/luLandDet.jsp?pnu=3611011400104250000&amp;isNoScr=script&amp;mode=search", "토지이음")</f>
        <v/>
      </c>
      <c r="O631" s="3" t="inlineStr">
        <is>
          <t>홍기표</t>
        </is>
      </c>
      <c r="P631" s="4" t="n">
        <v>3</v>
      </c>
      <c r="Q631" s="4" t="n">
        <v>304</v>
      </c>
      <c r="R631" s="3" t="inlineStr">
        <is>
          <t>지정되지않음</t>
        </is>
      </c>
      <c r="S631" s="3" t="inlineStr">
        <is>
          <t>주거나지</t>
        </is>
      </c>
      <c r="T631" s="3" t="inlineStr">
        <is>
          <t>평지</t>
        </is>
      </c>
      <c r="U631" s="3" t="inlineStr">
        <is>
          <t>사다리형</t>
        </is>
      </c>
      <c r="V631" s="3" t="inlineStr">
        <is>
          <t>소로한면</t>
        </is>
      </c>
    </row>
    <row r="632">
      <c r="A632" s="3" t="inlineStr">
        <is>
          <t>도담동 425</t>
        </is>
      </c>
      <c r="B632" s="3" t="inlineStr">
        <is>
          <t>제1종전용주거지역</t>
        </is>
      </c>
      <c r="C632" s="3" t="inlineStr">
        <is>
          <t>대</t>
        </is>
      </c>
      <c r="D632" s="3" t="inlineStr">
        <is>
          <t>대</t>
        </is>
      </c>
      <c r="E632" s="3" t="inlineStr">
        <is>
          <t>매매</t>
        </is>
      </c>
      <c r="F632" s="4" t="n">
        <v>110000</v>
      </c>
      <c r="G632" s="4" t="n">
        <v>303</v>
      </c>
      <c r="H632" s="4" t="n">
        <v>92</v>
      </c>
      <c r="I632" s="5" t="n">
        <v>1195.7</v>
      </c>
      <c r="J632" s="5" t="n">
        <v>358.3</v>
      </c>
      <c r="K632" s="3" t="inlineStr">
        <is>
          <t>도담동 말발굽토지 매매, 공원 인근, 선호도 높은 토지</t>
        </is>
      </c>
      <c r="L632" s="6">
        <f>HYPERLINK("https://fin.land.naver.com/articles/2650427607", "매물Link")</f>
        <v/>
      </c>
      <c r="M632" s="6">
        <f>HYPERLINK("https://map.naver.com/p/search/도담동 425", "지도Link")</f>
        <v/>
      </c>
      <c r="N632" s="6">
        <f>HYPERLINK("http://www.eum.go.kr/web/ar/lu/luLandDet.jsp?pnu=3611011400104250000&amp;isNoScr=script&amp;mode=search", "토지이음")</f>
        <v/>
      </c>
      <c r="O632" s="3" t="inlineStr">
        <is>
          <t>세종무지개</t>
        </is>
      </c>
      <c r="P632" s="4" t="n">
        <v>1</v>
      </c>
      <c r="Q632" s="4" t="n">
        <v>304</v>
      </c>
      <c r="R632" s="3" t="inlineStr">
        <is>
          <t>지정되지않음</t>
        </is>
      </c>
      <c r="S632" s="3" t="inlineStr">
        <is>
          <t>주거나지</t>
        </is>
      </c>
      <c r="T632" s="3" t="inlineStr">
        <is>
          <t>평지</t>
        </is>
      </c>
      <c r="U632" s="3" t="inlineStr">
        <is>
          <t>사다리형</t>
        </is>
      </c>
      <c r="V632" s="3" t="inlineStr">
        <is>
          <t>소로한면</t>
        </is>
      </c>
    </row>
    <row r="633">
      <c r="A633" s="3" t="inlineStr">
        <is>
          <t>도담동 425</t>
        </is>
      </c>
      <c r="B633" s="3" t="inlineStr">
        <is>
          <t>제1종전용주거지역</t>
        </is>
      </c>
      <c r="C633" s="3" t="inlineStr">
        <is>
          <t>대</t>
        </is>
      </c>
      <c r="D633" s="3" t="inlineStr">
        <is>
          <t>대</t>
        </is>
      </c>
      <c r="E633" s="3" t="inlineStr">
        <is>
          <t>매매</t>
        </is>
      </c>
      <c r="F633" s="4" t="n">
        <v>110000</v>
      </c>
      <c r="G633" s="4" t="n">
        <v>304</v>
      </c>
      <c r="H633" s="4" t="n">
        <v>92</v>
      </c>
      <c r="I633" s="5" t="n">
        <v>1195.7</v>
      </c>
      <c r="J633" s="5" t="n">
        <v>358.3</v>
      </c>
      <c r="K633" s="3" t="inlineStr">
        <is>
          <t>총 92.1p, 말발굽 최고입지, 넓은 공원 인근</t>
        </is>
      </c>
      <c r="L633" s="6">
        <f>HYPERLINK("https://fin.land.naver.com/articles/2653682295", "매물Link")</f>
        <v/>
      </c>
      <c r="M633" s="6">
        <f>HYPERLINK("https://map.naver.com/p/search/도담동 425", "지도Link")</f>
        <v/>
      </c>
      <c r="N633" s="6">
        <f>HYPERLINK("http://www.eum.go.kr/web/ar/lu/luLandDet.jsp?pnu=3611011400104250000&amp;isNoScr=script&amp;mode=search", "토지이음")</f>
        <v/>
      </c>
      <c r="O633" s="3" t="inlineStr">
        <is>
          <t>명진</t>
        </is>
      </c>
      <c r="P633" s="4" t="n">
        <v>1</v>
      </c>
      <c r="Q633" s="4" t="n">
        <v>304</v>
      </c>
      <c r="R633" s="3" t="inlineStr">
        <is>
          <t>지정되지않음</t>
        </is>
      </c>
      <c r="S633" s="3" t="inlineStr">
        <is>
          <t>주거나지</t>
        </is>
      </c>
      <c r="T633" s="3" t="inlineStr">
        <is>
          <t>평지</t>
        </is>
      </c>
      <c r="U633" s="3" t="inlineStr">
        <is>
          <t>사다리형</t>
        </is>
      </c>
      <c r="V633" s="3" t="inlineStr">
        <is>
          <t>소로한면</t>
        </is>
      </c>
    </row>
    <row r="634">
      <c r="A634" s="3" t="inlineStr">
        <is>
          <t>도담동 455</t>
        </is>
      </c>
      <c r="B634" s="3" t="inlineStr">
        <is>
          <t>제1종전용주거지역</t>
        </is>
      </c>
      <c r="C634" s="3" t="inlineStr">
        <is>
          <t>대</t>
        </is>
      </c>
      <c r="D634" s="3" t="inlineStr">
        <is>
          <t>대</t>
        </is>
      </c>
      <c r="E634" s="3" t="inlineStr">
        <is>
          <t>매매</t>
        </is>
      </c>
      <c r="F634" s="4" t="n">
        <v>93000</v>
      </c>
      <c r="G634" s="4" t="n">
        <v>335</v>
      </c>
      <c r="H634" s="4" t="n">
        <v>101</v>
      </c>
      <c r="I634" s="5" t="n">
        <v>920.8</v>
      </c>
      <c r="J634" s="5" t="n">
        <v>358.3</v>
      </c>
      <c r="K634" s="3" t="inlineStr">
        <is>
          <t>조율가능한 말발굽 위치 좋은 토지 매매, 코너각지</t>
        </is>
      </c>
      <c r="L634" s="6">
        <f>HYPERLINK("https://fin.land.naver.com/articles/2650427728", "매물Link")</f>
        <v/>
      </c>
      <c r="M634" s="6">
        <f>HYPERLINK("https://map.naver.com/p/search/도담동 455", "지도Link")</f>
        <v/>
      </c>
      <c r="N634" s="6">
        <f>HYPERLINK("http://www.eum.go.kr/web/ar/lu/luLandDet.jsp?pnu=3611011400104550000&amp;isNoScr=script&amp;mode=search", "토지이음")</f>
        <v/>
      </c>
      <c r="O634" s="3" t="inlineStr">
        <is>
          <t>세종무지개</t>
        </is>
      </c>
      <c r="P634" s="4" t="n">
        <v>1</v>
      </c>
      <c r="Q634" s="4" t="n">
        <v>337</v>
      </c>
      <c r="R634" s="3" t="inlineStr">
        <is>
          <t>지정되지않음</t>
        </is>
      </c>
      <c r="S634" s="3" t="inlineStr">
        <is>
          <t>주거나지</t>
        </is>
      </c>
      <c r="T634" s="3" t="inlineStr">
        <is>
          <t>평지</t>
        </is>
      </c>
      <c r="U634" s="3" t="inlineStr">
        <is>
          <t>사다리형</t>
        </is>
      </c>
      <c r="V634" s="3" t="inlineStr">
        <is>
          <t>소로한면</t>
        </is>
      </c>
    </row>
    <row r="635">
      <c r="A635" s="3" t="inlineStr">
        <is>
          <t>도담동 496</t>
        </is>
      </c>
      <c r="B635" s="3" t="inlineStr">
        <is>
          <t>제1종전용주거지역</t>
        </is>
      </c>
      <c r="C635" s="3" t="inlineStr">
        <is>
          <t>대</t>
        </is>
      </c>
      <c r="D635" s="3" t="inlineStr">
        <is>
          <t>대</t>
        </is>
      </c>
      <c r="E635" s="3" t="inlineStr">
        <is>
          <t>매매</t>
        </is>
      </c>
      <c r="F635" s="4" t="n">
        <v>75000</v>
      </c>
      <c r="G635" s="4" t="n">
        <v>319</v>
      </c>
      <c r="H635" s="4" t="n">
        <v>96</v>
      </c>
      <c r="I635" s="5" t="n">
        <v>781.2</v>
      </c>
      <c r="J635" s="5" t="n">
        <v>366.9</v>
      </c>
      <c r="K635" s="3" t="inlineStr">
        <is>
          <t>0강추,초급매, 추천매물,도담동 말발굽지,공원가깝고  학교유지원인접</t>
        </is>
      </c>
      <c r="L635" s="6">
        <f>HYPERLINK("https://fin.land.naver.com/articles/2653537493", "매물Link")</f>
        <v/>
      </c>
      <c r="M635" s="6">
        <f>HYPERLINK("https://map.naver.com/p/search/도담동 496", "지도Link")</f>
        <v/>
      </c>
      <c r="N635" s="6">
        <f>HYPERLINK("http://www.eum.go.kr/web/ar/lu/luLandDet.jsp?pnu=3611011400104960000&amp;isNoScr=script&amp;mode=search", "토지이음")</f>
        <v/>
      </c>
      <c r="O635" s="3" t="inlineStr">
        <is>
          <t>세종산울랜드마크</t>
        </is>
      </c>
      <c r="P635" s="4" t="n">
        <v>2</v>
      </c>
      <c r="Q635" s="4" t="n">
        <v>319.9</v>
      </c>
      <c r="R635" s="3" t="inlineStr">
        <is>
          <t>지정되지않음</t>
        </is>
      </c>
      <c r="S635" s="3" t="inlineStr">
        <is>
          <t>주거나지</t>
        </is>
      </c>
      <c r="T635" s="3" t="inlineStr">
        <is>
          <t>평지</t>
        </is>
      </c>
      <c r="U635" s="3" t="inlineStr">
        <is>
          <t>정방형</t>
        </is>
      </c>
      <c r="V635" s="3" t="inlineStr">
        <is>
          <t>소로한면</t>
        </is>
      </c>
    </row>
    <row r="636">
      <c r="A636" s="3" t="inlineStr">
        <is>
          <t>도담동 546</t>
        </is>
      </c>
      <c r="B636" s="3" t="inlineStr">
        <is>
          <t>제1종전용주거지역</t>
        </is>
      </c>
      <c r="C636" s="3" t="inlineStr">
        <is>
          <t>대</t>
        </is>
      </c>
      <c r="D636" s="3" t="inlineStr">
        <is>
          <t>대</t>
        </is>
      </c>
      <c r="E636" s="3" t="inlineStr">
        <is>
          <t>매매</t>
        </is>
      </c>
      <c r="F636" s="4" t="n">
        <v>80000</v>
      </c>
      <c r="G636" s="4" t="n">
        <v>330</v>
      </c>
      <c r="H636" s="4" t="n">
        <v>100</v>
      </c>
      <c r="I636" s="5" t="n">
        <v>800</v>
      </c>
      <c r="J636" s="5" t="n">
        <v>366.9</v>
      </c>
      <c r="K636" s="3" t="inlineStr">
        <is>
          <t>양지초 양지유치원 정문 건너편 최선호 위치 주변시세보다 저렴 추천매물</t>
        </is>
      </c>
      <c r="L636" s="6">
        <f>HYPERLINK("https://fin.land.naver.com/articles/2649479494", "매물Link")</f>
        <v/>
      </c>
      <c r="M636" s="6">
        <f>HYPERLINK("https://map.naver.com/p/search/도담동 546", "지도Link")</f>
        <v/>
      </c>
      <c r="N636" s="6">
        <f>HYPERLINK("http://www.eum.go.kr/web/ar/lu/luLandDet.jsp?pnu=3611011400105460000&amp;isNoScr=script&amp;mode=search", "토지이음")</f>
        <v/>
      </c>
      <c r="O636" s="3" t="inlineStr">
        <is>
          <t>세종스타</t>
        </is>
      </c>
      <c r="P636" s="4" t="n">
        <v>1</v>
      </c>
      <c r="Q636" s="4" t="n">
        <v>329.8</v>
      </c>
      <c r="R636" s="3" t="inlineStr">
        <is>
          <t>지정되지않음</t>
        </is>
      </c>
      <c r="S636" s="3" t="inlineStr">
        <is>
          <t>주거나지</t>
        </is>
      </c>
      <c r="T636" s="3" t="inlineStr">
        <is>
          <t>평지</t>
        </is>
      </c>
      <c r="U636" s="3" t="inlineStr">
        <is>
          <t>세로장방</t>
        </is>
      </c>
      <c r="V636" s="3" t="inlineStr">
        <is>
          <t>소로한면</t>
        </is>
      </c>
    </row>
    <row r="637">
      <c r="A637" s="3" t="inlineStr">
        <is>
          <t>도담동 546</t>
        </is>
      </c>
      <c r="B637" s="3" t="inlineStr">
        <is>
          <t>제1종전용주거지역</t>
        </is>
      </c>
      <c r="C637" s="3" t="inlineStr">
        <is>
          <t>대</t>
        </is>
      </c>
      <c r="D637" s="3" t="inlineStr">
        <is>
          <t>대</t>
        </is>
      </c>
      <c r="E637" s="3" t="inlineStr">
        <is>
          <t>매매</t>
        </is>
      </c>
      <c r="F637" s="4" t="n">
        <v>80000</v>
      </c>
      <c r="G637" s="4" t="n">
        <v>329</v>
      </c>
      <c r="H637" s="4" t="n">
        <v>100</v>
      </c>
      <c r="I637" s="5" t="n">
        <v>800</v>
      </c>
      <c r="J637" s="5" t="n">
        <v>366.9</v>
      </c>
      <c r="K637" s="3" t="inlineStr">
        <is>
          <t>도담동 택지. 초등학교,충남대병원 가까운거리 위치</t>
        </is>
      </c>
      <c r="L637" s="6">
        <f>HYPERLINK("https://fin.land.naver.com/articles/2650945757", "매물Link")</f>
        <v/>
      </c>
      <c r="M637" s="6">
        <f>HYPERLINK("https://map.naver.com/p/search/도담동 546", "지도Link")</f>
        <v/>
      </c>
      <c r="N637" s="6">
        <f>HYPERLINK("http://www.eum.go.kr/web/ar/lu/luLandDet.jsp?pnu=3611011400105460000&amp;isNoScr=script&amp;mode=search", "토지이음")</f>
        <v/>
      </c>
      <c r="O637" s="3" t="inlineStr">
        <is>
          <t>OK세종 사무소</t>
        </is>
      </c>
      <c r="P637" s="4" t="n">
        <v>1</v>
      </c>
      <c r="Q637" s="4" t="n">
        <v>329.8</v>
      </c>
      <c r="R637" s="3" t="inlineStr">
        <is>
          <t>지정되지않음</t>
        </is>
      </c>
      <c r="S637" s="3" t="inlineStr">
        <is>
          <t>주거나지</t>
        </is>
      </c>
      <c r="T637" s="3" t="inlineStr">
        <is>
          <t>평지</t>
        </is>
      </c>
      <c r="U637" s="3" t="inlineStr">
        <is>
          <t>세로장방</t>
        </is>
      </c>
      <c r="V637" s="3" t="inlineStr">
        <is>
          <t>소로한면</t>
        </is>
      </c>
    </row>
    <row r="638">
      <c r="A638" s="3" t="inlineStr">
        <is>
          <t>도담동 561</t>
        </is>
      </c>
      <c r="B638" s="3" t="inlineStr">
        <is>
          <t>제1종전용주거지역</t>
        </is>
      </c>
      <c r="C638" s="3" t="inlineStr">
        <is>
          <t>대</t>
        </is>
      </c>
      <c r="D638" s="3" t="inlineStr">
        <is>
          <t>대</t>
        </is>
      </c>
      <c r="E638" s="3" t="inlineStr">
        <is>
          <t>매매</t>
        </is>
      </c>
      <c r="F638" s="4" t="n">
        <v>85000</v>
      </c>
      <c r="G638" s="4" t="n">
        <v>382</v>
      </c>
      <c r="H638" s="4" t="n">
        <v>116</v>
      </c>
      <c r="I638" s="5" t="n">
        <v>732.8</v>
      </c>
      <c r="J638" s="5" t="n">
        <v>363</v>
      </c>
      <c r="K638" s="3" t="inlineStr">
        <is>
          <t>급매, 총 116p, 대형토지, 도담동 말발굽토지, 조율가능</t>
        </is>
      </c>
      <c r="L638" s="6">
        <f>HYPERLINK("https://fin.land.naver.com/articles/2651944411", "매물Link")</f>
        <v/>
      </c>
      <c r="M638" s="6">
        <f>HYPERLINK("https://map.naver.com/p/search/도담동 561", "지도Link")</f>
        <v/>
      </c>
      <c r="N638" s="6">
        <f>HYPERLINK("http://www.eum.go.kr/web/ar/lu/luLandDet.jsp?pnu=3611011400105610000&amp;isNoScr=script&amp;mode=search", "토지이음")</f>
        <v/>
      </c>
      <c r="O638" s="3" t="inlineStr">
        <is>
          <t>명진</t>
        </is>
      </c>
      <c r="P638" s="4" t="n">
        <v>1</v>
      </c>
      <c r="Q638" s="4" t="n">
        <v>382.9</v>
      </c>
      <c r="R638" s="3" t="inlineStr">
        <is>
          <t>지정되지않음</t>
        </is>
      </c>
      <c r="S638" s="3" t="inlineStr">
        <is>
          <t>주거나지</t>
        </is>
      </c>
      <c r="T638" s="3" t="inlineStr">
        <is>
          <t>평지</t>
        </is>
      </c>
      <c r="U638" s="3" t="inlineStr">
        <is>
          <t>사다리형</t>
        </is>
      </c>
      <c r="V638" s="3" t="inlineStr">
        <is>
          <t>소로한면</t>
        </is>
      </c>
    </row>
    <row r="639">
      <c r="A639" s="3" t="inlineStr">
        <is>
          <t>도담동 561</t>
        </is>
      </c>
      <c r="B639" s="3" t="inlineStr">
        <is>
          <t>제1종전용주거지역</t>
        </is>
      </c>
      <c r="C639" s="3" t="inlineStr">
        <is>
          <t>대</t>
        </is>
      </c>
      <c r="D639" s="3" t="inlineStr">
        <is>
          <t>대</t>
        </is>
      </c>
      <c r="E639" s="3" t="inlineStr">
        <is>
          <t>매매</t>
        </is>
      </c>
      <c r="F639" s="4" t="n">
        <v>85000</v>
      </c>
      <c r="G639" s="4" t="n">
        <v>382</v>
      </c>
      <c r="H639" s="4" t="n">
        <v>116</v>
      </c>
      <c r="I639" s="5" t="n">
        <v>732.8</v>
      </c>
      <c r="J639" s="5" t="n">
        <v>363</v>
      </c>
      <c r="K639" s="3" t="inlineStr">
        <is>
          <t>말발굽토지 급매, 사거리 코너 최고 입지, 총 116p</t>
        </is>
      </c>
      <c r="L639" s="6">
        <f>HYPERLINK("https://fin.land.naver.com/articles/2650892606", "매물Link")</f>
        <v/>
      </c>
      <c r="M639" s="6">
        <f>HYPERLINK("https://map.naver.com/p/search/도담동 561", "지도Link")</f>
        <v/>
      </c>
      <c r="N639" s="6">
        <f>HYPERLINK("http://www.eum.go.kr/web/ar/lu/luLandDet.jsp?pnu=3611011400105610000&amp;isNoScr=script&amp;mode=search", "토지이음")</f>
        <v/>
      </c>
      <c r="O639" s="3" t="inlineStr">
        <is>
          <t>세종무지개</t>
        </is>
      </c>
      <c r="P639" s="4" t="n">
        <v>1</v>
      </c>
      <c r="Q639" s="4" t="n">
        <v>382.9</v>
      </c>
      <c r="R639" s="3" t="inlineStr">
        <is>
          <t>지정되지않음</t>
        </is>
      </c>
      <c r="S639" s="3" t="inlineStr">
        <is>
          <t>주거나지</t>
        </is>
      </c>
      <c r="T639" s="3" t="inlineStr">
        <is>
          <t>평지</t>
        </is>
      </c>
      <c r="U639" s="3" t="inlineStr">
        <is>
          <t>사다리형</t>
        </is>
      </c>
      <c r="V639" s="3" t="inlineStr">
        <is>
          <t>소로한면</t>
        </is>
      </c>
    </row>
    <row r="640">
      <c r="A640" s="3" t="inlineStr">
        <is>
          <t>도담동 561</t>
        </is>
      </c>
      <c r="B640" s="3" t="inlineStr">
        <is>
          <t>제1종전용주거지역</t>
        </is>
      </c>
      <c r="C640" s="3" t="inlineStr">
        <is>
          <t>대</t>
        </is>
      </c>
      <c r="D640" s="3" t="inlineStr">
        <is>
          <t>대</t>
        </is>
      </c>
      <c r="E640" s="3" t="inlineStr">
        <is>
          <t>매매</t>
        </is>
      </c>
      <c r="F640" s="4" t="n">
        <v>120000</v>
      </c>
      <c r="G640" s="4" t="n">
        <v>382</v>
      </c>
      <c r="H640" s="4" t="n">
        <v>116</v>
      </c>
      <c r="I640" s="5" t="n">
        <v>1034.5</v>
      </c>
      <c r="J640" s="5" t="n">
        <v>363</v>
      </c>
      <c r="K640" s="3" t="inlineStr">
        <is>
          <t>nan</t>
        </is>
      </c>
      <c r="L640" s="6">
        <f>HYPERLINK("https://fin.land.naver.com/articles/2653535457", "매물Link")</f>
        <v/>
      </c>
      <c r="M640" s="6">
        <f>HYPERLINK("https://map.naver.com/p/search/도담동 561", "지도Link")</f>
        <v/>
      </c>
      <c r="N640" s="6">
        <f>HYPERLINK("http://www.eum.go.kr/web/ar/lu/luLandDet.jsp?pnu=3611011400105610000&amp;isNoScr=script&amp;mode=search", "토지이음")</f>
        <v/>
      </c>
      <c r="O640" s="3" t="inlineStr">
        <is>
          <t>세종산울랜드마크</t>
        </is>
      </c>
      <c r="P640" s="4" t="n">
        <v>3</v>
      </c>
      <c r="Q640" s="4" t="n">
        <v>382.9</v>
      </c>
      <c r="R640" s="3" t="inlineStr">
        <is>
          <t>지정되지않음</t>
        </is>
      </c>
      <c r="S640" s="3" t="inlineStr">
        <is>
          <t>주거나지</t>
        </is>
      </c>
      <c r="T640" s="3" t="inlineStr">
        <is>
          <t>평지</t>
        </is>
      </c>
      <c r="U640" s="3" t="inlineStr">
        <is>
          <t>사다리형</t>
        </is>
      </c>
      <c r="V640" s="3" t="inlineStr">
        <is>
          <t>소로한면</t>
        </is>
      </c>
    </row>
    <row r="641">
      <c r="A641" s="3" t="inlineStr">
        <is>
          <t>도담동 580</t>
        </is>
      </c>
      <c r="B641" s="3" t="inlineStr">
        <is>
          <t>제1종전용주거지역</t>
        </is>
      </c>
      <c r="C641" s="3" t="inlineStr">
        <is>
          <t>대</t>
        </is>
      </c>
      <c r="D641" s="3" t="inlineStr">
        <is>
          <t>대</t>
        </is>
      </c>
      <c r="E641" s="3" t="inlineStr">
        <is>
          <t>매매</t>
        </is>
      </c>
      <c r="F641" s="4" t="n">
        <v>320000</v>
      </c>
      <c r="G641" s="4" t="n">
        <v>500</v>
      </c>
      <c r="H641" s="4" t="n">
        <v>151</v>
      </c>
      <c r="I641" s="5" t="n">
        <v>2119.2</v>
      </c>
      <c r="J641" s="5" t="n">
        <v>735.9</v>
      </c>
      <c r="K641" s="3" t="inlineStr">
        <is>
          <t>명성공인, 도담동 근생용지 추천 매물</t>
        </is>
      </c>
      <c r="L641" s="6">
        <f>HYPERLINK("https://fin.land.naver.com/articles/2654061409", "매물Link")</f>
        <v/>
      </c>
      <c r="M641" s="6">
        <f>HYPERLINK("https://map.naver.com/p/search/도담동 580", "지도Link")</f>
        <v/>
      </c>
      <c r="N641" s="6">
        <f>HYPERLINK("http://www.eum.go.kr/web/ar/lu/luLandDet.jsp?pnu=3611011400105800000&amp;isNoScr=script&amp;mode=search", "토지이음")</f>
        <v/>
      </c>
      <c r="O641" s="3" t="inlineStr">
        <is>
          <t>명성</t>
        </is>
      </c>
      <c r="P641" s="4" t="n">
        <v>1</v>
      </c>
      <c r="Q641" s="4" t="n">
        <v>500.6</v>
      </c>
      <c r="R641" s="3" t="inlineStr">
        <is>
          <t>지정되지않음</t>
        </is>
      </c>
      <c r="S641" s="3" t="inlineStr">
        <is>
          <t>상업용</t>
        </is>
      </c>
      <c r="T641" s="3" t="inlineStr">
        <is>
          <t>평지</t>
        </is>
      </c>
      <c r="U641" s="3" t="inlineStr">
        <is>
          <t>정방형</t>
        </is>
      </c>
      <c r="V641" s="3" t="inlineStr">
        <is>
          <t>중로각지</t>
        </is>
      </c>
    </row>
    <row r="642">
      <c r="A642" s="3" t="inlineStr">
        <is>
          <t>도담동 580</t>
        </is>
      </c>
      <c r="B642" s="3" t="inlineStr">
        <is>
          <t>제1종전용주거지역</t>
        </is>
      </c>
      <c r="C642" s="3" t="inlineStr">
        <is>
          <t>대</t>
        </is>
      </c>
      <c r="D642" s="3" t="inlineStr">
        <is>
          <t>대</t>
        </is>
      </c>
      <c r="E642" s="3" t="inlineStr">
        <is>
          <t>매매</t>
        </is>
      </c>
      <c r="F642" s="4" t="n">
        <v>263000</v>
      </c>
      <c r="G642" s="4" t="n">
        <v>500</v>
      </c>
      <c r="H642" s="4" t="n">
        <v>151</v>
      </c>
      <c r="I642" s="5" t="n">
        <v>1741.7</v>
      </c>
      <c r="J642" s="5" t="n">
        <v>735.9</v>
      </c>
      <c r="K642" s="3" t="inlineStr">
        <is>
          <t>nan</t>
        </is>
      </c>
      <c r="L642" s="6">
        <f>HYPERLINK("https://fin.land.naver.com/articles/2653506334", "매물Link")</f>
        <v/>
      </c>
      <c r="M642" s="6">
        <f>HYPERLINK("https://map.naver.com/p/search/도담동 580", "지도Link")</f>
        <v/>
      </c>
      <c r="N642" s="6">
        <f>HYPERLINK("http://www.eum.go.kr/web/ar/lu/luLandDet.jsp?pnu=3611011400105800000&amp;isNoScr=script&amp;mode=search", "토지이음")</f>
        <v/>
      </c>
      <c r="O642" s="3" t="inlineStr">
        <is>
          <t>해밀세종신도시</t>
        </is>
      </c>
      <c r="P642" s="4" t="n">
        <v>1</v>
      </c>
      <c r="Q642" s="4" t="n">
        <v>500.6</v>
      </c>
      <c r="R642" s="3" t="inlineStr">
        <is>
          <t>지정되지않음</t>
        </is>
      </c>
      <c r="S642" s="3" t="inlineStr">
        <is>
          <t>상업용</t>
        </is>
      </c>
      <c r="T642" s="3" t="inlineStr">
        <is>
          <t>평지</t>
        </is>
      </c>
      <c r="U642" s="3" t="inlineStr">
        <is>
          <t>정방형</t>
        </is>
      </c>
      <c r="V642" s="3" t="inlineStr">
        <is>
          <t>중로각지</t>
        </is>
      </c>
    </row>
    <row r="643">
      <c r="A643" s="3" t="inlineStr">
        <is>
          <t>도담동 580</t>
        </is>
      </c>
      <c r="B643" s="3" t="inlineStr">
        <is>
          <t>제1종전용주거지역</t>
        </is>
      </c>
      <c r="C643" s="3" t="inlineStr">
        <is>
          <t>대</t>
        </is>
      </c>
      <c r="D643" s="3" t="inlineStr">
        <is>
          <t>대</t>
        </is>
      </c>
      <c r="E643" s="3" t="inlineStr">
        <is>
          <t>매매</t>
        </is>
      </c>
      <c r="F643" s="4" t="n">
        <v>263000</v>
      </c>
      <c r="G643" s="4" t="n">
        <v>500</v>
      </c>
      <c r="H643" s="4" t="n">
        <v>151</v>
      </c>
      <c r="I643" s="5" t="n">
        <v>1741.7</v>
      </c>
      <c r="J643" s="5" t="n">
        <v>735.9</v>
      </c>
      <c r="K643" s="3" t="inlineStr">
        <is>
          <t>도담동 근린생활용지 토지매매, 사거리 코너입지</t>
        </is>
      </c>
      <c r="L643" s="6">
        <f>HYPERLINK("https://fin.land.naver.com/articles/2649607332", "매물Link")</f>
        <v/>
      </c>
      <c r="M643" s="6">
        <f>HYPERLINK("https://map.naver.com/p/search/도담동 580", "지도Link")</f>
        <v/>
      </c>
      <c r="N643" s="6">
        <f>HYPERLINK("http://www.eum.go.kr/web/ar/lu/luLandDet.jsp?pnu=3611011400105800000&amp;isNoScr=script&amp;mode=search", "토지이음")</f>
        <v/>
      </c>
      <c r="O643" s="3" t="inlineStr">
        <is>
          <t>세종무지개</t>
        </is>
      </c>
      <c r="P643" s="4" t="n">
        <v>1</v>
      </c>
      <c r="Q643" s="4" t="n">
        <v>500.6</v>
      </c>
      <c r="R643" s="3" t="inlineStr">
        <is>
          <t>지정되지않음</t>
        </is>
      </c>
      <c r="S643" s="3" t="inlineStr">
        <is>
          <t>상업용</t>
        </is>
      </c>
      <c r="T643" s="3" t="inlineStr">
        <is>
          <t>평지</t>
        </is>
      </c>
      <c r="U643" s="3" t="inlineStr">
        <is>
          <t>정방형</t>
        </is>
      </c>
      <c r="V643" s="3" t="inlineStr">
        <is>
          <t>중로각지</t>
        </is>
      </c>
    </row>
    <row r="644">
      <c r="A644" s="3" t="inlineStr">
        <is>
          <t>도담동 588</t>
        </is>
      </c>
      <c r="B644" s="3" t="inlineStr">
        <is>
          <t>제1종전용주거지역</t>
        </is>
      </c>
      <c r="C644" s="3" t="inlineStr">
        <is>
          <t>대</t>
        </is>
      </c>
      <c r="D644" s="3" t="inlineStr">
        <is>
          <t>대</t>
        </is>
      </c>
      <c r="E644" s="3" t="inlineStr">
        <is>
          <t>매매</t>
        </is>
      </c>
      <c r="F644" s="4" t="n">
        <v>85000</v>
      </c>
      <c r="G644" s="4" t="n">
        <v>348</v>
      </c>
      <c r="H644" s="4" t="n">
        <v>105</v>
      </c>
      <c r="I644" s="5" t="n">
        <v>809.5</v>
      </c>
      <c r="J644" s="5" t="n">
        <v>433.7</v>
      </c>
      <c r="K644" s="3" t="inlineStr">
        <is>
          <t>도로에 접해 있으며, 위치좋은 단독주택자리, 충남대병원인근</t>
        </is>
      </c>
      <c r="L644" s="6">
        <f>HYPERLINK("https://fin.land.naver.com/articles/2653269862", "매물Link")</f>
        <v/>
      </c>
      <c r="M644" s="6">
        <f>HYPERLINK("https://map.naver.com/p/search/도담동 588", "지도Link")</f>
        <v/>
      </c>
      <c r="N644" s="6">
        <f>HYPERLINK("http://www.eum.go.kr/web/ar/lu/luLandDet.jsp?pnu=3611011400105880000&amp;isNoScr=script&amp;mode=search", "토지이음")</f>
        <v/>
      </c>
      <c r="O644" s="3" t="inlineStr">
        <is>
          <t>사이다</t>
        </is>
      </c>
      <c r="P644" s="4" t="n">
        <v>1</v>
      </c>
      <c r="Q644" s="4" t="n">
        <v>348</v>
      </c>
      <c r="R644" s="3" t="inlineStr">
        <is>
          <t>지정되지않음</t>
        </is>
      </c>
      <c r="S644" s="3" t="inlineStr">
        <is>
          <t>주거나지</t>
        </is>
      </c>
      <c r="T644" s="3" t="inlineStr">
        <is>
          <t>평지</t>
        </is>
      </c>
      <c r="U644" s="3" t="inlineStr">
        <is>
          <t>정방형</t>
        </is>
      </c>
      <c r="V644" s="3" t="inlineStr">
        <is>
          <t>소로한면</t>
        </is>
      </c>
    </row>
    <row r="645">
      <c r="A645" s="3" t="inlineStr">
        <is>
          <t>도담동 620</t>
        </is>
      </c>
      <c r="B645" s="3" t="inlineStr">
        <is>
          <t>제1종전용주거지역</t>
        </is>
      </c>
      <c r="C645" s="3" t="inlineStr">
        <is>
          <t>대</t>
        </is>
      </c>
      <c r="D645" s="3" t="inlineStr">
        <is>
          <t>대</t>
        </is>
      </c>
      <c r="E645" s="3" t="inlineStr">
        <is>
          <t>매매</t>
        </is>
      </c>
      <c r="F645" s="4" t="n">
        <v>85000</v>
      </c>
      <c r="G645" s="4" t="n">
        <v>326</v>
      </c>
      <c r="H645" s="4" t="n">
        <v>99</v>
      </c>
      <c r="I645" s="5" t="n">
        <v>858.6</v>
      </c>
      <c r="J645" s="5" t="n">
        <v>453.2</v>
      </c>
      <c r="K645" s="3" t="inlineStr">
        <is>
          <t>충남대 병원 인접, 중앙청사 도보로 출퇴근 가능</t>
        </is>
      </c>
      <c r="L645" s="6">
        <f>HYPERLINK("https://fin.land.naver.com/articles/2652967371", "매물Link")</f>
        <v/>
      </c>
      <c r="M645" s="6">
        <f>HYPERLINK("https://map.naver.com/p/search/도담동 620", "지도Link")</f>
        <v/>
      </c>
      <c r="N645" s="6">
        <f>HYPERLINK("http://www.eum.go.kr/web/ar/lu/luLandDet.jsp?pnu=3611011400106200000&amp;isNoScr=script&amp;mode=search", "토지이음")</f>
        <v/>
      </c>
      <c r="O645" s="3" t="inlineStr">
        <is>
          <t>오케이태복</t>
        </is>
      </c>
      <c r="P645" s="4" t="n">
        <v>2</v>
      </c>
      <c r="Q645" s="4" t="n">
        <v>326.5</v>
      </c>
      <c r="R645" s="3" t="inlineStr">
        <is>
          <t>지정되지않음</t>
        </is>
      </c>
      <c r="S645" s="3" t="inlineStr">
        <is>
          <t>주거나지</t>
        </is>
      </c>
      <c r="T645" s="3" t="inlineStr">
        <is>
          <t>평지</t>
        </is>
      </c>
      <c r="U645" s="3" t="inlineStr">
        <is>
          <t>정방형</t>
        </is>
      </c>
      <c r="V645" s="3" t="inlineStr">
        <is>
          <t>소로각지</t>
        </is>
      </c>
    </row>
    <row r="646">
      <c r="A646" s="3" t="inlineStr">
        <is>
          <t>도담동 620</t>
        </is>
      </c>
      <c r="B646" s="3" t="inlineStr">
        <is>
          <t>제1종전용주거지역</t>
        </is>
      </c>
      <c r="C646" s="3" t="inlineStr">
        <is>
          <t>대</t>
        </is>
      </c>
      <c r="D646" s="3" t="inlineStr">
        <is>
          <t>대</t>
        </is>
      </c>
      <c r="E646" s="3" t="inlineStr">
        <is>
          <t>매매</t>
        </is>
      </c>
      <c r="F646" s="4" t="n">
        <v>85000</v>
      </c>
      <c r="G646" s="4" t="n">
        <v>326</v>
      </c>
      <c r="H646" s="4" t="n">
        <v>99</v>
      </c>
      <c r="I646" s="5" t="n">
        <v>858.6</v>
      </c>
      <c r="J646" s="5" t="n">
        <v>453.2</v>
      </c>
      <c r="K646" s="3" t="inlineStr">
        <is>
          <t>총 98.9p, 도담동 아파트 단지 옆, 삼거리 코너</t>
        </is>
      </c>
      <c r="L646" s="6">
        <f>HYPERLINK("https://fin.land.naver.com/articles/2652839523", "매물Link")</f>
        <v/>
      </c>
      <c r="M646" s="6">
        <f>HYPERLINK("https://map.naver.com/p/search/도담동 620", "지도Link")</f>
        <v/>
      </c>
      <c r="N646" s="6">
        <f>HYPERLINK("http://www.eum.go.kr/web/ar/lu/luLandDet.jsp?pnu=3611011400106200000&amp;isNoScr=script&amp;mode=search", "토지이음")</f>
        <v/>
      </c>
      <c r="O646" s="3" t="inlineStr">
        <is>
          <t>세종무지개</t>
        </is>
      </c>
      <c r="P646" s="4" t="n">
        <v>1</v>
      </c>
      <c r="Q646" s="4" t="n">
        <v>326.5</v>
      </c>
      <c r="R646" s="3" t="inlineStr">
        <is>
          <t>지정되지않음</t>
        </is>
      </c>
      <c r="S646" s="3" t="inlineStr">
        <is>
          <t>주거나지</t>
        </is>
      </c>
      <c r="T646" s="3" t="inlineStr">
        <is>
          <t>평지</t>
        </is>
      </c>
      <c r="U646" s="3" t="inlineStr">
        <is>
          <t>정방형</t>
        </is>
      </c>
      <c r="V646" s="3" t="inlineStr">
        <is>
          <t>소로각지</t>
        </is>
      </c>
    </row>
    <row r="647">
      <c r="A647" s="3" t="inlineStr">
        <is>
          <t>도담동 693</t>
        </is>
      </c>
      <c r="B647" s="3" t="inlineStr">
        <is>
          <t>제1종전용주거지역</t>
        </is>
      </c>
      <c r="C647" s="3" t="inlineStr">
        <is>
          <t>대</t>
        </is>
      </c>
      <c r="D647" s="3" t="inlineStr">
        <is>
          <t>대</t>
        </is>
      </c>
      <c r="E647" s="3" t="inlineStr">
        <is>
          <t>매매</t>
        </is>
      </c>
      <c r="F647" s="4" t="n">
        <v>90000</v>
      </c>
      <c r="G647" s="4" t="n">
        <v>319</v>
      </c>
      <c r="H647" s="4" t="n">
        <v>96</v>
      </c>
      <c r="I647" s="5" t="n">
        <v>937.5</v>
      </c>
      <c r="J647" s="5" t="n">
        <v>382.1</v>
      </c>
      <c r="K647" s="3" t="inlineStr">
        <is>
          <t>위치최상 정남향 늘봄초앞 남북트인곳</t>
        </is>
      </c>
      <c r="L647" s="6">
        <f>HYPERLINK("https://fin.land.naver.com/articles/2653670273", "매물Link")</f>
        <v/>
      </c>
      <c r="M647" s="6">
        <f>HYPERLINK("https://map.naver.com/p/search/도담동 693", "지도Link")</f>
        <v/>
      </c>
      <c r="N647" s="6">
        <f>HYPERLINK("http://www.eum.go.kr/web/ar/lu/luLandDet.jsp?pnu=3611011400106930000&amp;isNoScr=script&amp;mode=search", "토지이음")</f>
        <v/>
      </c>
      <c r="O647" s="3" t="inlineStr">
        <is>
          <t>세종스타</t>
        </is>
      </c>
      <c r="P647" s="4" t="n">
        <v>1</v>
      </c>
      <c r="Q647" s="4" t="n">
        <v>319.6</v>
      </c>
      <c r="R647" s="3" t="inlineStr">
        <is>
          <t>지정되지않음</t>
        </is>
      </c>
      <c r="S647" s="3" t="inlineStr">
        <is>
          <t>주거나지</t>
        </is>
      </c>
      <c r="T647" s="3" t="inlineStr">
        <is>
          <t>평지</t>
        </is>
      </c>
      <c r="U647" s="3" t="inlineStr">
        <is>
          <t>정방형</t>
        </is>
      </c>
      <c r="V647" s="3" t="inlineStr">
        <is>
          <t>소로한면</t>
        </is>
      </c>
    </row>
    <row r="648">
      <c r="A648" s="3" t="inlineStr">
        <is>
          <t>도담동 705</t>
        </is>
      </c>
      <c r="B648" s="3" t="inlineStr">
        <is>
          <t>제1종전용주거지역</t>
        </is>
      </c>
      <c r="C648" s="3" t="inlineStr">
        <is>
          <t>대</t>
        </is>
      </c>
      <c r="D648" s="3" t="inlineStr">
        <is>
          <t>대</t>
        </is>
      </c>
      <c r="E648" s="3" t="inlineStr">
        <is>
          <t>매매</t>
        </is>
      </c>
      <c r="F648" s="4" t="n">
        <v>84000</v>
      </c>
      <c r="G648" s="4" t="n">
        <v>276</v>
      </c>
      <c r="H648" s="4" t="n">
        <v>83</v>
      </c>
      <c r="I648" s="5" t="n">
        <v>1012</v>
      </c>
      <c r="J648" s="5" t="n">
        <v>382.1</v>
      </c>
      <c r="K648" s="3" t="inlineStr">
        <is>
          <t>조율가능 남향 늘봄초앞 BRT도보가능</t>
        </is>
      </c>
      <c r="L648" s="6">
        <f>HYPERLINK("https://fin.land.naver.com/articles/2652943779", "매물Link")</f>
        <v/>
      </c>
      <c r="M648" s="6">
        <f>HYPERLINK("https://map.naver.com/p/search/도담동 705", "지도Link")</f>
        <v/>
      </c>
      <c r="N648" s="6">
        <f>HYPERLINK("http://www.eum.go.kr/web/ar/lu/luLandDet.jsp?pnu=3611011400107050000&amp;isNoScr=script&amp;mode=search", "토지이음")</f>
        <v/>
      </c>
      <c r="O648" s="3" t="inlineStr">
        <is>
          <t>세종스타</t>
        </is>
      </c>
      <c r="P648" s="4" t="n">
        <v>1</v>
      </c>
      <c r="Q648" s="4" t="n">
        <v>276.9</v>
      </c>
      <c r="R648" s="3" t="inlineStr">
        <is>
          <t>지정되지않음</t>
        </is>
      </c>
      <c r="S648" s="3" t="inlineStr">
        <is>
          <t>주거나지</t>
        </is>
      </c>
      <c r="T648" s="3" t="inlineStr">
        <is>
          <t>평지</t>
        </is>
      </c>
      <c r="U648" s="3" t="inlineStr">
        <is>
          <t>정방형</t>
        </is>
      </c>
      <c r="V648" s="3" t="inlineStr">
        <is>
          <t>소로한면</t>
        </is>
      </c>
    </row>
    <row r="649">
      <c r="A649" s="3" t="inlineStr">
        <is>
          <t>도담동 712</t>
        </is>
      </c>
      <c r="B649" s="3" t="inlineStr">
        <is>
          <t>제1종전용주거지역</t>
        </is>
      </c>
      <c r="C649" s="3" t="inlineStr">
        <is>
          <t>대</t>
        </is>
      </c>
      <c r="D649" s="3" t="inlineStr">
        <is>
          <t>대</t>
        </is>
      </c>
      <c r="E649" s="3" t="inlineStr">
        <is>
          <t>매매</t>
        </is>
      </c>
      <c r="F649" s="4" t="n">
        <v>87000</v>
      </c>
      <c r="G649" s="4" t="n">
        <v>276</v>
      </c>
      <c r="H649" s="4" t="n">
        <v>83</v>
      </c>
      <c r="I649" s="5" t="n">
        <v>1048.2</v>
      </c>
      <c r="J649" s="5" t="n">
        <v>394</v>
      </c>
      <c r="K649" s="3" t="inlineStr">
        <is>
          <t>삼거리 코너 입지, 도담동 단독주택 매매</t>
        </is>
      </c>
      <c r="L649" s="6">
        <f>HYPERLINK("https://fin.land.naver.com/articles/2654218536", "매물Link")</f>
        <v/>
      </c>
      <c r="M649" s="6">
        <f>HYPERLINK("https://map.naver.com/p/search/도담동 712", "지도Link")</f>
        <v/>
      </c>
      <c r="N649" s="6">
        <f>HYPERLINK("http://www.eum.go.kr/web/ar/lu/luLandDet.jsp?pnu=3611011400107120000&amp;isNoScr=script&amp;mode=search", "토지이음")</f>
        <v/>
      </c>
      <c r="O649" s="3" t="inlineStr">
        <is>
          <t>명진</t>
        </is>
      </c>
      <c r="P649" s="4" t="n">
        <v>1</v>
      </c>
      <c r="Q649" s="4" t="n">
        <v>276.5</v>
      </c>
      <c r="R649" s="3" t="inlineStr">
        <is>
          <t>지정되지않음</t>
        </is>
      </c>
      <c r="S649" s="3" t="inlineStr">
        <is>
          <t>주거나지</t>
        </is>
      </c>
      <c r="T649" s="3" t="inlineStr">
        <is>
          <t>평지</t>
        </is>
      </c>
      <c r="U649" s="3" t="inlineStr">
        <is>
          <t>사다리형</t>
        </is>
      </c>
      <c r="V649" s="3" t="inlineStr">
        <is>
          <t>소로각지</t>
        </is>
      </c>
    </row>
    <row r="650">
      <c r="A650" s="3" t="inlineStr">
        <is>
          <t>도담동 712</t>
        </is>
      </c>
      <c r="B650" s="3" t="inlineStr">
        <is>
          <t>제1종전용주거지역</t>
        </is>
      </c>
      <c r="C650" s="3" t="inlineStr">
        <is>
          <t>대</t>
        </is>
      </c>
      <c r="D650" s="3" t="inlineStr">
        <is>
          <t>대</t>
        </is>
      </c>
      <c r="E650" s="3" t="inlineStr">
        <is>
          <t>매매</t>
        </is>
      </c>
      <c r="F650" s="4" t="n">
        <v>87000</v>
      </c>
      <c r="G650" s="4" t="n">
        <v>276</v>
      </c>
      <c r="H650" s="4" t="n">
        <v>83</v>
      </c>
      <c r="I650" s="5" t="n">
        <v>1048.2</v>
      </c>
      <c r="J650" s="5" t="n">
        <v>394</v>
      </c>
      <c r="K650" s="3" t="inlineStr">
        <is>
          <t>도담동 입지 좋은 단독주택지, 조율가능</t>
        </is>
      </c>
      <c r="L650" s="6">
        <f>HYPERLINK("https://fin.land.naver.com/articles/2654049634", "매물Link")</f>
        <v/>
      </c>
      <c r="M650" s="6">
        <f>HYPERLINK("https://map.naver.com/p/search/도담동 712", "지도Link")</f>
        <v/>
      </c>
      <c r="N650" s="6">
        <f>HYPERLINK("http://www.eum.go.kr/web/ar/lu/luLandDet.jsp?pnu=3611011400107120000&amp;isNoScr=script&amp;mode=search", "토지이음")</f>
        <v/>
      </c>
      <c r="O650" s="3" t="inlineStr">
        <is>
          <t>세종무지개</t>
        </is>
      </c>
      <c r="P650" s="4" t="n">
        <v>1</v>
      </c>
      <c r="Q650" s="4" t="n">
        <v>276.5</v>
      </c>
      <c r="R650" s="3" t="inlineStr">
        <is>
          <t>지정되지않음</t>
        </is>
      </c>
      <c r="S650" s="3" t="inlineStr">
        <is>
          <t>주거나지</t>
        </is>
      </c>
      <c r="T650" s="3" t="inlineStr">
        <is>
          <t>평지</t>
        </is>
      </c>
      <c r="U650" s="3" t="inlineStr">
        <is>
          <t>사다리형</t>
        </is>
      </c>
      <c r="V650" s="3" t="inlineStr">
        <is>
          <t>소로각지</t>
        </is>
      </c>
    </row>
    <row r="651">
      <c r="A651" s="3" t="inlineStr">
        <is>
          <t>도담동 712</t>
        </is>
      </c>
      <c r="B651" s="3" t="inlineStr">
        <is>
          <t>제1종전용주거지역</t>
        </is>
      </c>
      <c r="C651" s="3" t="inlineStr">
        <is>
          <t>대</t>
        </is>
      </c>
      <c r="D651" s="3" t="inlineStr">
        <is>
          <t>대</t>
        </is>
      </c>
      <c r="E651" s="3" t="inlineStr">
        <is>
          <t>매매</t>
        </is>
      </c>
      <c r="F651" s="4" t="n">
        <v>87000</v>
      </c>
      <c r="G651" s="4" t="n">
        <v>276</v>
      </c>
      <c r="H651" s="4" t="n">
        <v>83</v>
      </c>
      <c r="I651" s="5" t="n">
        <v>1048.2</v>
      </c>
      <c r="J651" s="5" t="n">
        <v>394</v>
      </c>
      <c r="K651" s="3" t="inlineStr">
        <is>
          <t>산조망 코너각지 정남향 입지최상</t>
        </is>
      </c>
      <c r="L651" s="6">
        <f>HYPERLINK("https://fin.land.naver.com/articles/2649479678", "매물Link")</f>
        <v/>
      </c>
      <c r="M651" s="6">
        <f>HYPERLINK("https://map.naver.com/p/search/도담동 712", "지도Link")</f>
        <v/>
      </c>
      <c r="N651" s="6">
        <f>HYPERLINK("http://www.eum.go.kr/web/ar/lu/luLandDet.jsp?pnu=3611011400107120000&amp;isNoScr=script&amp;mode=search", "토지이음")</f>
        <v/>
      </c>
      <c r="O651" s="3" t="inlineStr">
        <is>
          <t>세종스타</t>
        </is>
      </c>
      <c r="P651" s="4" t="n">
        <v>1</v>
      </c>
      <c r="Q651" s="4" t="n">
        <v>276.5</v>
      </c>
      <c r="R651" s="3" t="inlineStr">
        <is>
          <t>지정되지않음</t>
        </is>
      </c>
      <c r="S651" s="3" t="inlineStr">
        <is>
          <t>주거나지</t>
        </is>
      </c>
      <c r="T651" s="3" t="inlineStr">
        <is>
          <t>평지</t>
        </is>
      </c>
      <c r="U651" s="3" t="inlineStr">
        <is>
          <t>사다리형</t>
        </is>
      </c>
      <c r="V651" s="3" t="inlineStr">
        <is>
          <t>소로각지</t>
        </is>
      </c>
    </row>
    <row r="652">
      <c r="A652" s="3" t="inlineStr">
        <is>
          <t>도담동 716</t>
        </is>
      </c>
      <c r="B652" s="3" t="inlineStr">
        <is>
          <t>제1종전용주거지역</t>
        </is>
      </c>
      <c r="C652" s="3" t="inlineStr">
        <is>
          <t>대</t>
        </is>
      </c>
      <c r="D652" s="3" t="inlineStr">
        <is>
          <t>대</t>
        </is>
      </c>
      <c r="E652" s="3" t="inlineStr">
        <is>
          <t>매매</t>
        </is>
      </c>
      <c r="F652" s="4" t="n">
        <v>175000</v>
      </c>
      <c r="G652" s="4" t="n">
        <v>420</v>
      </c>
      <c r="H652" s="4" t="n">
        <v>127</v>
      </c>
      <c r="I652" s="5" t="n">
        <v>1378</v>
      </c>
      <c r="J652" s="5" t="n">
        <v>796</v>
      </c>
      <c r="K652" s="3" t="inlineStr">
        <is>
          <t>도담동 입지우수한 근생 용지 부지, 매매의사 확실,가격조율가능</t>
        </is>
      </c>
      <c r="L652" s="6">
        <f>HYPERLINK("https://fin.land.naver.com/articles/2653451371", "매물Link")</f>
        <v/>
      </c>
      <c r="M652" s="6">
        <f>HYPERLINK("https://map.naver.com/p/search/도담동 716", "지도Link")</f>
        <v/>
      </c>
      <c r="N652" s="6">
        <f>HYPERLINK("http://www.eum.go.kr/web/ar/lu/luLandDet.jsp?pnu=3611011400107160000&amp;isNoScr=script&amp;mode=search", "토지이음")</f>
        <v/>
      </c>
      <c r="O652" s="3" t="inlineStr">
        <is>
          <t>짱</t>
        </is>
      </c>
      <c r="P652" s="4" t="n">
        <v>1</v>
      </c>
      <c r="Q652" s="4" t="n">
        <v>420.4</v>
      </c>
      <c r="R652" s="3" t="inlineStr">
        <is>
          <t>지정되지않음</t>
        </is>
      </c>
      <c r="S652" s="3" t="inlineStr">
        <is>
          <t>상업용</t>
        </is>
      </c>
      <c r="T652" s="3" t="inlineStr">
        <is>
          <t>평지</t>
        </is>
      </c>
      <c r="U652" s="3" t="inlineStr">
        <is>
          <t>사다리형</t>
        </is>
      </c>
      <c r="V652" s="3" t="inlineStr">
        <is>
          <t>소로각지</t>
        </is>
      </c>
    </row>
    <row r="653">
      <c r="A653" s="3" t="inlineStr">
        <is>
          <t>도담동 716</t>
        </is>
      </c>
      <c r="B653" s="3" t="inlineStr">
        <is>
          <t>제1종전용주거지역</t>
        </is>
      </c>
      <c r="C653" s="3" t="inlineStr">
        <is>
          <t>대</t>
        </is>
      </c>
      <c r="D653" s="3" t="inlineStr">
        <is>
          <t>대</t>
        </is>
      </c>
      <c r="E653" s="3" t="inlineStr">
        <is>
          <t>매매</t>
        </is>
      </c>
      <c r="F653" s="4" t="n">
        <v>175000</v>
      </c>
      <c r="G653" s="4" t="n">
        <v>420</v>
      </c>
      <c r="H653" s="4" t="n">
        <v>127</v>
      </c>
      <c r="I653" s="5" t="n">
        <v>1378</v>
      </c>
      <c r="J653" s="5" t="n">
        <v>796</v>
      </c>
      <c r="K653" s="3" t="inlineStr">
        <is>
          <t>도담동 근린생활용지</t>
        </is>
      </c>
      <c r="L653" s="6">
        <f>HYPERLINK("https://fin.land.naver.com/articles/2653002307", "매물Link")</f>
        <v/>
      </c>
      <c r="M653" s="6">
        <f>HYPERLINK("https://map.naver.com/p/search/도담동 716", "지도Link")</f>
        <v/>
      </c>
      <c r="N653" s="6">
        <f>HYPERLINK("http://www.eum.go.kr/web/ar/lu/luLandDet.jsp?pnu=3611011400107160000&amp;isNoScr=script&amp;mode=search", "토지이음")</f>
        <v/>
      </c>
      <c r="O653" s="3" t="inlineStr">
        <is>
          <t>OK세종 사무소</t>
        </is>
      </c>
      <c r="P653" s="4" t="n">
        <v>2</v>
      </c>
      <c r="Q653" s="4" t="n">
        <v>420.4</v>
      </c>
      <c r="R653" s="3" t="inlineStr">
        <is>
          <t>지정되지않음</t>
        </is>
      </c>
      <c r="S653" s="3" t="inlineStr">
        <is>
          <t>상업용</t>
        </is>
      </c>
      <c r="T653" s="3" t="inlineStr">
        <is>
          <t>평지</t>
        </is>
      </c>
      <c r="U653" s="3" t="inlineStr">
        <is>
          <t>사다리형</t>
        </is>
      </c>
      <c r="V653" s="3" t="inlineStr">
        <is>
          <t>소로각지</t>
        </is>
      </c>
    </row>
    <row r="654">
      <c r="A654" s="3" t="inlineStr">
        <is>
          <t>도담동 716</t>
        </is>
      </c>
      <c r="B654" s="3" t="inlineStr">
        <is>
          <t>제1종전용주거지역</t>
        </is>
      </c>
      <c r="C654" s="3" t="inlineStr">
        <is>
          <t>대</t>
        </is>
      </c>
      <c r="D654" s="3" t="inlineStr">
        <is>
          <t>대</t>
        </is>
      </c>
      <c r="E654" s="3" t="inlineStr">
        <is>
          <t>매매</t>
        </is>
      </c>
      <c r="F654" s="4" t="n">
        <v>175000</v>
      </c>
      <c r="G654" s="4" t="n">
        <v>420</v>
      </c>
      <c r="H654" s="4" t="n">
        <v>127</v>
      </c>
      <c r="I654" s="5" t="n">
        <v>1378</v>
      </c>
      <c r="J654" s="5" t="n">
        <v>796</v>
      </c>
      <c r="K654" s="3" t="inlineStr">
        <is>
          <t>입지 좋은 도담동 근린생활용지 토지 매매, 대로변</t>
        </is>
      </c>
      <c r="L654" s="6">
        <f>HYPERLINK("https://fin.land.naver.com/articles/2649607976", "매물Link")</f>
        <v/>
      </c>
      <c r="M654" s="6">
        <f>HYPERLINK("https://map.naver.com/p/search/도담동 716", "지도Link")</f>
        <v/>
      </c>
      <c r="N654" s="6">
        <f>HYPERLINK("http://www.eum.go.kr/web/ar/lu/luLandDet.jsp?pnu=3611011400107160000&amp;isNoScr=script&amp;mode=search", "토지이음")</f>
        <v/>
      </c>
      <c r="O654" s="3" t="inlineStr">
        <is>
          <t>세종무지개</t>
        </is>
      </c>
      <c r="P654" s="4" t="n">
        <v>1</v>
      </c>
      <c r="Q654" s="4" t="n">
        <v>420.4</v>
      </c>
      <c r="R654" s="3" t="inlineStr">
        <is>
          <t>지정되지않음</t>
        </is>
      </c>
      <c r="S654" s="3" t="inlineStr">
        <is>
          <t>상업용</t>
        </is>
      </c>
      <c r="T654" s="3" t="inlineStr">
        <is>
          <t>평지</t>
        </is>
      </c>
      <c r="U654" s="3" t="inlineStr">
        <is>
          <t>사다리형</t>
        </is>
      </c>
      <c r="V654" s="3" t="inlineStr">
        <is>
          <t>소로각지</t>
        </is>
      </c>
    </row>
    <row r="655">
      <c r="A655" s="3" t="inlineStr">
        <is>
          <t>도담동 716</t>
        </is>
      </c>
      <c r="B655" s="3" t="inlineStr">
        <is>
          <t>제1종전용주거지역</t>
        </is>
      </c>
      <c r="C655" s="3" t="inlineStr">
        <is>
          <t>대</t>
        </is>
      </c>
      <c r="D655" s="3" t="inlineStr">
        <is>
          <t>대</t>
        </is>
      </c>
      <c r="E655" s="3" t="inlineStr">
        <is>
          <t>매매</t>
        </is>
      </c>
      <c r="F655" s="4" t="n">
        <v>175000</v>
      </c>
      <c r="G655" s="4" t="n">
        <v>420</v>
      </c>
      <c r="H655" s="4" t="n">
        <v>127</v>
      </c>
      <c r="I655" s="5" t="n">
        <v>1378</v>
      </c>
      <c r="J655" s="5" t="n">
        <v>796</v>
      </c>
      <c r="K655" s="3" t="inlineStr">
        <is>
          <t>도담동근생용지 주변입지좋아요. 가격조정가능</t>
        </is>
      </c>
      <c r="L655" s="6">
        <f>HYPERLINK("https://fin.land.naver.com/articles/2650454199", "매물Link")</f>
        <v/>
      </c>
      <c r="M655" s="6">
        <f>HYPERLINK("https://map.naver.com/p/search/도담동 716", "지도Link")</f>
        <v/>
      </c>
      <c r="N655" s="6">
        <f>HYPERLINK("http://www.eum.go.kr/web/ar/lu/luLandDet.jsp?pnu=3611011400107160000&amp;isNoScr=script&amp;mode=search", "토지이음")</f>
        <v/>
      </c>
      <c r="O655" s="3" t="inlineStr">
        <is>
          <t>고운동리치세종</t>
        </is>
      </c>
      <c r="P655" s="4" t="n">
        <v>1</v>
      </c>
      <c r="Q655" s="4" t="n">
        <v>420.4</v>
      </c>
      <c r="R655" s="3" t="inlineStr">
        <is>
          <t>지정되지않음</t>
        </is>
      </c>
      <c r="S655" s="3" t="inlineStr">
        <is>
          <t>상업용</t>
        </is>
      </c>
      <c r="T655" s="3" t="inlineStr">
        <is>
          <t>평지</t>
        </is>
      </c>
      <c r="U655" s="3" t="inlineStr">
        <is>
          <t>사다리형</t>
        </is>
      </c>
      <c r="V655" s="3" t="inlineStr">
        <is>
          <t>소로각지</t>
        </is>
      </c>
    </row>
    <row r="656">
      <c r="A656" s="3" t="inlineStr">
        <is>
          <t>도담동 730</t>
        </is>
      </c>
      <c r="B656" s="3" t="inlineStr">
        <is>
          <t>제1종전용주거지역</t>
        </is>
      </c>
      <c r="C656" s="3" t="inlineStr">
        <is>
          <t>대</t>
        </is>
      </c>
      <c r="D656" s="3" t="inlineStr">
        <is>
          <t>대</t>
        </is>
      </c>
      <c r="E656" s="3" t="inlineStr">
        <is>
          <t>매매</t>
        </is>
      </c>
      <c r="F656" s="4" t="n">
        <v>77000</v>
      </c>
      <c r="G656" s="4" t="n">
        <v>319</v>
      </c>
      <c r="H656" s="4" t="n">
        <v>96</v>
      </c>
      <c r="I656" s="5" t="n">
        <v>802.1</v>
      </c>
      <c r="J656" s="5" t="n">
        <v>382.1</v>
      </c>
      <c r="K656" s="3" t="inlineStr">
        <is>
          <t>급매 도담동 최고입지 프라이버스 완벽하고 지대높은 위치최상</t>
        </is>
      </c>
      <c r="L656" s="6">
        <f>HYPERLINK("https://fin.land.naver.com/articles/2651087923", "매물Link")</f>
        <v/>
      </c>
      <c r="M656" s="6">
        <f>HYPERLINK("https://map.naver.com/p/search/도담동 730", "지도Link")</f>
        <v/>
      </c>
      <c r="N656" s="6">
        <f>HYPERLINK("http://www.eum.go.kr/web/ar/lu/luLandDet.jsp?pnu=3611011400107300000&amp;isNoScr=script&amp;mode=search", "토지이음")</f>
        <v/>
      </c>
      <c r="O656" s="3" t="inlineStr">
        <is>
          <t>세종스타</t>
        </is>
      </c>
      <c r="P656" s="4" t="n">
        <v>1</v>
      </c>
      <c r="Q656" s="4" t="n">
        <v>319.5</v>
      </c>
      <c r="R656" s="3" t="inlineStr">
        <is>
          <t>지정되지않음</t>
        </is>
      </c>
      <c r="S656" s="3" t="inlineStr">
        <is>
          <t>주거나지</t>
        </is>
      </c>
      <c r="T656" s="3" t="inlineStr">
        <is>
          <t>평지</t>
        </is>
      </c>
      <c r="U656" s="3" t="inlineStr">
        <is>
          <t>정방형</t>
        </is>
      </c>
      <c r="V656" s="3" t="inlineStr">
        <is>
          <t>소로한면</t>
        </is>
      </c>
    </row>
    <row r="657">
      <c r="A657" s="3" t="inlineStr">
        <is>
          <t>도담동 757</t>
        </is>
      </c>
      <c r="B657" s="3" t="inlineStr">
        <is>
          <t>제1종전용주거지역</t>
        </is>
      </c>
      <c r="C657" s="3" t="inlineStr">
        <is>
          <t>대</t>
        </is>
      </c>
      <c r="D657" s="3" t="inlineStr">
        <is>
          <t>대</t>
        </is>
      </c>
      <c r="E657" s="3" t="inlineStr">
        <is>
          <t>매매</t>
        </is>
      </c>
      <c r="F657" s="4" t="n">
        <v>92000</v>
      </c>
      <c r="G657" s="4" t="n">
        <v>324</v>
      </c>
      <c r="H657" s="4" t="n">
        <v>98</v>
      </c>
      <c r="I657" s="5" t="n">
        <v>938.8</v>
      </c>
      <c r="J657" s="5" t="n">
        <v>410.6</v>
      </c>
      <c r="K657" s="3" t="inlineStr">
        <is>
          <t>홈플러스와 충대병원사이에 위치함 3면코너각지 청사및체육시설근거리이용</t>
        </is>
      </c>
      <c r="L657" s="6">
        <f>HYPERLINK("https://fin.land.naver.com/articles/2653646623", "매물Link")</f>
        <v/>
      </c>
      <c r="M657" s="6">
        <f>HYPERLINK("https://map.naver.com/p/search/도담동 757", "지도Link")</f>
        <v/>
      </c>
      <c r="N657" s="6">
        <f>HYPERLINK("http://www.eum.go.kr/web/ar/lu/luLandDet.jsp?pnu=3611011400107570000&amp;isNoScr=script&amp;mode=search", "토지이음")</f>
        <v/>
      </c>
      <c r="O657" s="3" t="inlineStr">
        <is>
          <t>세종마당</t>
        </is>
      </c>
      <c r="P657" s="4" t="n">
        <v>1</v>
      </c>
      <c r="Q657" s="4" t="n">
        <v>324.6</v>
      </c>
      <c r="R657" s="3" t="inlineStr">
        <is>
          <t>지정되지않음</t>
        </is>
      </c>
      <c r="S657" s="3" t="inlineStr">
        <is>
          <t>주거나지</t>
        </is>
      </c>
      <c r="T657" s="3" t="inlineStr">
        <is>
          <t>평지</t>
        </is>
      </c>
      <c r="U657" s="3" t="inlineStr">
        <is>
          <t>정방형</t>
        </is>
      </c>
      <c r="V657" s="3" t="inlineStr">
        <is>
          <t>소로각지</t>
        </is>
      </c>
    </row>
    <row r="658">
      <c r="A658" s="3" t="inlineStr">
        <is>
          <t>도담동 763</t>
        </is>
      </c>
      <c r="B658" s="3" t="inlineStr">
        <is>
          <t>제1종전용주거지역</t>
        </is>
      </c>
      <c r="C658" s="3" t="inlineStr">
        <is>
          <t>대</t>
        </is>
      </c>
      <c r="D658" s="3" t="inlineStr">
        <is>
          <t>대</t>
        </is>
      </c>
      <c r="E658" s="3" t="inlineStr">
        <is>
          <t>매매</t>
        </is>
      </c>
      <c r="F658" s="4" t="n">
        <v>80000</v>
      </c>
      <c r="G658" s="4" t="n">
        <v>295</v>
      </c>
      <c r="H658" s="4" t="n">
        <v>89</v>
      </c>
      <c r="I658" s="5" t="n">
        <v>898.9</v>
      </c>
      <c r="J658" s="5" t="n">
        <v>410.6</v>
      </c>
      <c r="K658" s="3" t="inlineStr">
        <is>
          <t>89.5p, 사거리 코너 입지, 위치 굿, 단지 바로 앞</t>
        </is>
      </c>
      <c r="L658" s="6">
        <f>HYPERLINK("https://fin.land.naver.com/articles/2654220003", "매물Link")</f>
        <v/>
      </c>
      <c r="M658" s="6">
        <f>HYPERLINK("https://map.naver.com/p/search/도담동 763", "지도Link")</f>
        <v/>
      </c>
      <c r="N658" s="6">
        <f>HYPERLINK("http://www.eum.go.kr/web/ar/lu/luLandDet.jsp?pnu=3611011400107630000&amp;isNoScr=script&amp;mode=search", "토지이음")</f>
        <v/>
      </c>
      <c r="O658" s="3" t="inlineStr">
        <is>
          <t>명진</t>
        </is>
      </c>
      <c r="P658" s="4" t="n">
        <v>1</v>
      </c>
      <c r="Q658" s="4" t="n">
        <v>295.5</v>
      </c>
      <c r="R658" s="3" t="inlineStr">
        <is>
          <t>지정되지않음</t>
        </is>
      </c>
      <c r="S658" s="3" t="inlineStr">
        <is>
          <t>주거나지</t>
        </is>
      </c>
      <c r="T658" s="3" t="inlineStr">
        <is>
          <t>평지</t>
        </is>
      </c>
      <c r="U658" s="3" t="inlineStr">
        <is>
          <t>정방형</t>
        </is>
      </c>
      <c r="V658" s="3" t="inlineStr">
        <is>
          <t>소로각지</t>
        </is>
      </c>
    </row>
    <row r="659">
      <c r="A659" s="3" t="inlineStr">
        <is>
          <t>도담동 763</t>
        </is>
      </c>
      <c r="B659" s="3" t="inlineStr">
        <is>
          <t>제1종전용주거지역</t>
        </is>
      </c>
      <c r="C659" s="3" t="inlineStr">
        <is>
          <t>대</t>
        </is>
      </c>
      <c r="D659" s="3" t="inlineStr">
        <is>
          <t>대</t>
        </is>
      </c>
      <c r="E659" s="3" t="inlineStr">
        <is>
          <t>매매</t>
        </is>
      </c>
      <c r="F659" s="4" t="n">
        <v>80000</v>
      </c>
      <c r="G659" s="4" t="n">
        <v>295</v>
      </c>
      <c r="H659" s="4" t="n">
        <v>89</v>
      </c>
      <c r="I659" s="5" t="n">
        <v>898.9</v>
      </c>
      <c r="J659" s="5" t="n">
        <v>410.6</v>
      </c>
      <c r="K659" s="3" t="inlineStr">
        <is>
          <t>최적의 위치,정남향으로 단독주택수있는 예쁜 토지</t>
        </is>
      </c>
      <c r="L659" s="6">
        <f>HYPERLINK("https://fin.land.naver.com/articles/2652106915", "매물Link")</f>
        <v/>
      </c>
      <c r="M659" s="6">
        <f>HYPERLINK("https://map.naver.com/p/search/도담동 763", "지도Link")</f>
        <v/>
      </c>
      <c r="N659" s="6">
        <f>HYPERLINK("http://www.eum.go.kr/web/ar/lu/luLandDet.jsp?pnu=3611011400107630000&amp;isNoScr=script&amp;mode=search", "토지이음")</f>
        <v/>
      </c>
      <c r="O659" s="3" t="inlineStr">
        <is>
          <t>대한</t>
        </is>
      </c>
      <c r="P659" s="4" t="n">
        <v>2</v>
      </c>
      <c r="Q659" s="4" t="n">
        <v>295.5</v>
      </c>
      <c r="R659" s="3" t="inlineStr">
        <is>
          <t>지정되지않음</t>
        </is>
      </c>
      <c r="S659" s="3" t="inlineStr">
        <is>
          <t>주거나지</t>
        </is>
      </c>
      <c r="T659" s="3" t="inlineStr">
        <is>
          <t>평지</t>
        </is>
      </c>
      <c r="U659" s="3" t="inlineStr">
        <is>
          <t>정방형</t>
        </is>
      </c>
      <c r="V659" s="3" t="inlineStr">
        <is>
          <t>소로각지</t>
        </is>
      </c>
    </row>
    <row r="660">
      <c r="A660" s="3" t="inlineStr">
        <is>
          <t>도담동 763</t>
        </is>
      </c>
      <c r="B660" s="3" t="inlineStr">
        <is>
          <t>제1종전용주거지역</t>
        </is>
      </c>
      <c r="C660" s="3" t="inlineStr">
        <is>
          <t>대</t>
        </is>
      </c>
      <c r="D660" s="3" t="inlineStr">
        <is>
          <t>대</t>
        </is>
      </c>
      <c r="E660" s="3" t="inlineStr">
        <is>
          <t>매매</t>
        </is>
      </c>
      <c r="F660" s="4" t="n">
        <v>80000</v>
      </c>
      <c r="G660" s="4" t="n">
        <v>295</v>
      </c>
      <c r="H660" s="4" t="n">
        <v>89</v>
      </c>
      <c r="I660" s="5" t="n">
        <v>898.9</v>
      </c>
      <c r="J660" s="5" t="n">
        <v>410.6</v>
      </c>
      <c r="K660" s="3" t="inlineStr">
        <is>
          <t>입지 좋은 도담동 단독주택 토지매매</t>
        </is>
      </c>
      <c r="L660" s="6">
        <f>HYPERLINK("https://fin.land.naver.com/articles/2650427773", "매물Link")</f>
        <v/>
      </c>
      <c r="M660" s="6">
        <f>HYPERLINK("https://map.naver.com/p/search/도담동 763", "지도Link")</f>
        <v/>
      </c>
      <c r="N660" s="6">
        <f>HYPERLINK("http://www.eum.go.kr/web/ar/lu/luLandDet.jsp?pnu=3611011400107630000&amp;isNoScr=script&amp;mode=search", "토지이음")</f>
        <v/>
      </c>
      <c r="O660" s="3" t="inlineStr">
        <is>
          <t>세종무지개</t>
        </is>
      </c>
      <c r="P660" s="4" t="n">
        <v>1</v>
      </c>
      <c r="Q660" s="4" t="n">
        <v>295.5</v>
      </c>
      <c r="R660" s="3" t="inlineStr">
        <is>
          <t>지정되지않음</t>
        </is>
      </c>
      <c r="S660" s="3" t="inlineStr">
        <is>
          <t>주거나지</t>
        </is>
      </c>
      <c r="T660" s="3" t="inlineStr">
        <is>
          <t>평지</t>
        </is>
      </c>
      <c r="U660" s="3" t="inlineStr">
        <is>
          <t>정방형</t>
        </is>
      </c>
      <c r="V660" s="3" t="inlineStr">
        <is>
          <t>소로각지</t>
        </is>
      </c>
    </row>
    <row r="661">
      <c r="A661" s="3" t="inlineStr">
        <is>
          <t>도담동 776</t>
        </is>
      </c>
      <c r="B661" s="3" t="inlineStr">
        <is>
          <t>제1종전용주거지역</t>
        </is>
      </c>
      <c r="C661" s="3" t="inlineStr">
        <is>
          <t>대</t>
        </is>
      </c>
      <c r="D661" s="3" t="inlineStr">
        <is>
          <t>대</t>
        </is>
      </c>
      <c r="E661" s="3" t="inlineStr">
        <is>
          <t>매매</t>
        </is>
      </c>
      <c r="F661" s="4" t="n">
        <v>97000</v>
      </c>
      <c r="G661" s="4" t="n">
        <v>321</v>
      </c>
      <c r="H661" s="4" t="n">
        <v>97</v>
      </c>
      <c r="I661" s="5" t="n">
        <v>1000</v>
      </c>
      <c r="J661" s="5" t="n">
        <v>406.6</v>
      </c>
      <c r="K661" s="3" t="inlineStr">
        <is>
          <t>생명나무,도담동 홈플러스 근접거리  귀한 단독주택자리</t>
        </is>
      </c>
      <c r="L661" s="6">
        <f>HYPERLINK("https://fin.land.naver.com/articles/2651385820", "매물Link")</f>
        <v/>
      </c>
      <c r="M661" s="6">
        <f>HYPERLINK("https://map.naver.com/p/search/도담동 776", "지도Link")</f>
        <v/>
      </c>
      <c r="N661" s="6">
        <f>HYPERLINK("http://www.eum.go.kr/web/ar/lu/luLandDet.jsp?pnu=3611011400107760000&amp;isNoScr=script&amp;mode=search", "토지이음")</f>
        <v/>
      </c>
      <c r="O661" s="3" t="inlineStr">
        <is>
          <t>생명나무</t>
        </is>
      </c>
      <c r="P661" s="4" t="n">
        <v>1</v>
      </c>
      <c r="Q661" s="4" t="n">
        <v>321.7</v>
      </c>
      <c r="R661" s="3" t="inlineStr">
        <is>
          <t>지정되지않음</t>
        </is>
      </c>
      <c r="S661" s="3" t="inlineStr">
        <is>
          <t>주거나지</t>
        </is>
      </c>
      <c r="T661" s="3" t="inlineStr">
        <is>
          <t>평지</t>
        </is>
      </c>
      <c r="U661" s="3" t="inlineStr">
        <is>
          <t>사다리형</t>
        </is>
      </c>
      <c r="V661" s="3" t="inlineStr">
        <is>
          <t>소로각지</t>
        </is>
      </c>
    </row>
    <row r="662">
      <c r="A662" s="3" t="inlineStr">
        <is>
          <t>도담동 778</t>
        </is>
      </c>
      <c r="B662" s="3" t="inlineStr">
        <is>
          <t>제1종전용주거지역</t>
        </is>
      </c>
      <c r="C662" s="3" t="inlineStr">
        <is>
          <t>대</t>
        </is>
      </c>
      <c r="D662" s="3" t="inlineStr">
        <is>
          <t>대</t>
        </is>
      </c>
      <c r="E662" s="3" t="inlineStr">
        <is>
          <t>매매</t>
        </is>
      </c>
      <c r="F662" s="4" t="n">
        <v>95000</v>
      </c>
      <c r="G662" s="4" t="n">
        <v>320</v>
      </c>
      <c r="H662" s="4" t="n">
        <v>97</v>
      </c>
      <c r="I662" s="5" t="n">
        <v>979.4</v>
      </c>
      <c r="J662" s="5" t="n">
        <v>391.1</v>
      </c>
      <c r="K662" s="3" t="inlineStr">
        <is>
          <t>홈플러스 가까운 도담동 위치좋은 주택지</t>
        </is>
      </c>
      <c r="L662" s="6">
        <f>HYPERLINK("https://fin.land.naver.com/articles/2653001478", "매물Link")</f>
        <v/>
      </c>
      <c r="M662" s="6">
        <f>HYPERLINK("https://map.naver.com/p/search/도담동 778", "지도Link")</f>
        <v/>
      </c>
      <c r="N662" s="6">
        <f>HYPERLINK("http://www.eum.go.kr/web/ar/lu/luLandDet.jsp?pnu=3611011400107780000&amp;isNoScr=script&amp;mode=search", "토지이음")</f>
        <v/>
      </c>
      <c r="O662" s="3" t="inlineStr">
        <is>
          <t>OK세종 사무소</t>
        </is>
      </c>
      <c r="P662" s="4" t="n">
        <v>1</v>
      </c>
      <c r="Q662" s="4" t="n">
        <v>320.6</v>
      </c>
      <c r="R662" s="3" t="inlineStr">
        <is>
          <t>지정되지않음</t>
        </is>
      </c>
      <c r="S662" s="3" t="inlineStr">
        <is>
          <t>주거나지</t>
        </is>
      </c>
      <c r="T662" s="3" t="inlineStr">
        <is>
          <t>평지</t>
        </is>
      </c>
      <c r="U662" s="3" t="inlineStr">
        <is>
          <t>정방형</t>
        </is>
      </c>
      <c r="V662" s="3" t="inlineStr">
        <is>
          <t>소로한면</t>
        </is>
      </c>
    </row>
    <row r="663">
      <c r="A663" s="3" t="inlineStr">
        <is>
          <t>도담동 779</t>
        </is>
      </c>
      <c r="B663" s="3" t="inlineStr">
        <is>
          <t>제1종전용주거지역</t>
        </is>
      </c>
      <c r="C663" s="3" t="inlineStr">
        <is>
          <t>대</t>
        </is>
      </c>
      <c r="D663" s="3" t="inlineStr">
        <is>
          <t>대</t>
        </is>
      </c>
      <c r="E663" s="3" t="inlineStr">
        <is>
          <t>매매</t>
        </is>
      </c>
      <c r="F663" s="4" t="n">
        <v>90000</v>
      </c>
      <c r="G663" s="4" t="n">
        <v>320</v>
      </c>
      <c r="H663" s="4" t="n">
        <v>97</v>
      </c>
      <c r="I663" s="5" t="n">
        <v>927.8</v>
      </c>
      <c r="J663" s="5" t="n">
        <v>410.6</v>
      </c>
      <c r="K663" s="3" t="inlineStr">
        <is>
          <t>BRT라인 상권,방축천 라인,청사,홈플러스,충대병원과 근접한 생활권 위치</t>
        </is>
      </c>
      <c r="L663" s="6">
        <f>HYPERLINK("https://fin.land.naver.com/articles/2652105304", "매물Link")</f>
        <v/>
      </c>
      <c r="M663" s="6">
        <f>HYPERLINK("https://map.naver.com/p/search/도담동 779", "지도Link")</f>
        <v/>
      </c>
      <c r="N663" s="6">
        <f>HYPERLINK("http://www.eum.go.kr/web/ar/lu/luLandDet.jsp?pnu=3611011400107790000&amp;isNoScr=script&amp;mode=search", "토지이음")</f>
        <v/>
      </c>
      <c r="O663" s="3" t="inlineStr">
        <is>
          <t>세종웅진</t>
        </is>
      </c>
      <c r="P663" s="4" t="n">
        <v>1</v>
      </c>
      <c r="Q663" s="4" t="n">
        <v>320.6</v>
      </c>
      <c r="R663" s="3" t="inlineStr">
        <is>
          <t>지정되지않음</t>
        </is>
      </c>
      <c r="S663" s="3" t="inlineStr">
        <is>
          <t>주거나지</t>
        </is>
      </c>
      <c r="T663" s="3" t="inlineStr">
        <is>
          <t>평지</t>
        </is>
      </c>
      <c r="U663" s="3" t="inlineStr">
        <is>
          <t>정방형</t>
        </is>
      </c>
      <c r="V663" s="3" t="inlineStr">
        <is>
          <t>소로각지</t>
        </is>
      </c>
    </row>
    <row r="664">
      <c r="A664" s="3" t="inlineStr">
        <is>
          <t>도담동 784</t>
        </is>
      </c>
      <c r="B664" s="3" t="inlineStr">
        <is>
          <t>제1종전용주거지역</t>
        </is>
      </c>
      <c r="C664" s="3" t="inlineStr">
        <is>
          <t>대</t>
        </is>
      </c>
      <c r="D664" s="3" t="inlineStr">
        <is>
          <t>대</t>
        </is>
      </c>
      <c r="E664" s="3" t="inlineStr">
        <is>
          <t>매매</t>
        </is>
      </c>
      <c r="F664" s="4" t="n">
        <v>77000</v>
      </c>
      <c r="G664" s="4" t="n">
        <v>341</v>
      </c>
      <c r="H664" s="4" t="n">
        <v>103</v>
      </c>
      <c r="I664" s="5" t="n">
        <v>747.6</v>
      </c>
      <c r="J664" s="5" t="n">
        <v>410.6</v>
      </c>
      <c r="K664" s="3" t="inlineStr">
        <is>
          <t>도담동 생활권 입지 좋은 단독주택지 매매</t>
        </is>
      </c>
      <c r="L664" s="6">
        <f>HYPERLINK("https://fin.land.naver.com/articles/2653567685", "매물Link")</f>
        <v/>
      </c>
      <c r="M664" s="6">
        <f>HYPERLINK("https://map.naver.com/p/search/도담동 784", "지도Link")</f>
        <v/>
      </c>
      <c r="N664" s="6">
        <f>HYPERLINK("http://www.eum.go.kr/web/ar/lu/luLandDet.jsp?pnu=3611011400107840000&amp;isNoScr=script&amp;mode=search", "토지이음")</f>
        <v/>
      </c>
      <c r="O664" s="3" t="inlineStr">
        <is>
          <t>세종무지개</t>
        </is>
      </c>
      <c r="P664" s="4" t="n">
        <v>1</v>
      </c>
      <c r="Q664" s="4" t="n">
        <v>341.5</v>
      </c>
      <c r="R664" s="3" t="inlineStr">
        <is>
          <t>지정되지않음</t>
        </is>
      </c>
      <c r="S664" s="3" t="inlineStr">
        <is>
          <t>주거나지</t>
        </is>
      </c>
      <c r="T664" s="3" t="inlineStr">
        <is>
          <t>평지</t>
        </is>
      </c>
      <c r="U664" s="3" t="inlineStr">
        <is>
          <t>가로장방</t>
        </is>
      </c>
      <c r="V664" s="3" t="inlineStr">
        <is>
          <t>소로각지</t>
        </is>
      </c>
    </row>
    <row r="665">
      <c r="A665" s="3" t="inlineStr">
        <is>
          <t>도담동 784</t>
        </is>
      </c>
      <c r="B665" s="3" t="inlineStr">
        <is>
          <t>제1종전용주거지역</t>
        </is>
      </c>
      <c r="C665" s="3" t="inlineStr">
        <is>
          <t>대</t>
        </is>
      </c>
      <c r="D665" s="3" t="inlineStr">
        <is>
          <t>대</t>
        </is>
      </c>
      <c r="E665" s="3" t="inlineStr">
        <is>
          <t>매매</t>
        </is>
      </c>
      <c r="F665" s="4" t="n">
        <v>77000</v>
      </c>
      <c r="G665" s="4" t="n">
        <v>341</v>
      </c>
      <c r="H665" s="4" t="n">
        <v>103</v>
      </c>
      <c r="I665" s="5" t="n">
        <v>747.6</v>
      </c>
      <c r="J665" s="5" t="n">
        <v>410.6</v>
      </c>
      <c r="K665" s="3" t="inlineStr">
        <is>
          <t>사거리 코너, 생활권 좋은 위치 단독주택지</t>
        </is>
      </c>
      <c r="L665" s="6">
        <f>HYPERLINK("https://fin.land.naver.com/articles/2653681062", "매물Link")</f>
        <v/>
      </c>
      <c r="M665" s="6">
        <f>HYPERLINK("https://map.naver.com/p/search/도담동 784", "지도Link")</f>
        <v/>
      </c>
      <c r="N665" s="6">
        <f>HYPERLINK("http://www.eum.go.kr/web/ar/lu/luLandDet.jsp?pnu=3611011400107840000&amp;isNoScr=script&amp;mode=search", "토지이음")</f>
        <v/>
      </c>
      <c r="O665" s="3" t="inlineStr">
        <is>
          <t>명진</t>
        </is>
      </c>
      <c r="P665" s="4" t="n">
        <v>1</v>
      </c>
      <c r="Q665" s="4" t="n">
        <v>341.5</v>
      </c>
      <c r="R665" s="3" t="inlineStr">
        <is>
          <t>지정되지않음</t>
        </is>
      </c>
      <c r="S665" s="3" t="inlineStr">
        <is>
          <t>주거나지</t>
        </is>
      </c>
      <c r="T665" s="3" t="inlineStr">
        <is>
          <t>평지</t>
        </is>
      </c>
      <c r="U665" s="3" t="inlineStr">
        <is>
          <t>가로장방</t>
        </is>
      </c>
      <c r="V665" s="3" t="inlineStr">
        <is>
          <t>소로각지</t>
        </is>
      </c>
    </row>
    <row r="666">
      <c r="A666" s="3" t="inlineStr">
        <is>
          <t>도담동 784</t>
        </is>
      </c>
      <c r="B666" s="3" t="inlineStr">
        <is>
          <t>제1종전용주거지역</t>
        </is>
      </c>
      <c r="C666" s="3" t="inlineStr">
        <is>
          <t>대</t>
        </is>
      </c>
      <c r="D666" s="3" t="inlineStr">
        <is>
          <t>대</t>
        </is>
      </c>
      <c r="E666" s="3" t="inlineStr">
        <is>
          <t>매매</t>
        </is>
      </c>
      <c r="F666" s="4" t="n">
        <v>77000</v>
      </c>
      <c r="G666" s="4" t="n">
        <v>341</v>
      </c>
      <c r="H666" s="4" t="n">
        <v>103</v>
      </c>
      <c r="I666" s="5" t="n">
        <v>747.6</v>
      </c>
      <c r="J666" s="5" t="n">
        <v>410.6</v>
      </c>
      <c r="K666" s="3" t="inlineStr">
        <is>
          <t>코너 유치원 홈플러스 늘봄초인근 조율가능</t>
        </is>
      </c>
      <c r="L666" s="6">
        <f>HYPERLINK("https://fin.land.naver.com/articles/2649812078", "매물Link")</f>
        <v/>
      </c>
      <c r="M666" s="6">
        <f>HYPERLINK("https://map.naver.com/p/search/도담동 784", "지도Link")</f>
        <v/>
      </c>
      <c r="N666" s="6">
        <f>HYPERLINK("http://www.eum.go.kr/web/ar/lu/luLandDet.jsp?pnu=3611011400107840000&amp;isNoScr=script&amp;mode=search", "토지이음")</f>
        <v/>
      </c>
      <c r="O666" s="3" t="inlineStr">
        <is>
          <t>세종스타</t>
        </is>
      </c>
      <c r="P666" s="4" t="n">
        <v>1</v>
      </c>
      <c r="Q666" s="4" t="n">
        <v>341.5</v>
      </c>
      <c r="R666" s="3" t="inlineStr">
        <is>
          <t>지정되지않음</t>
        </is>
      </c>
      <c r="S666" s="3" t="inlineStr">
        <is>
          <t>주거나지</t>
        </is>
      </c>
      <c r="T666" s="3" t="inlineStr">
        <is>
          <t>평지</t>
        </is>
      </c>
      <c r="U666" s="3" t="inlineStr">
        <is>
          <t>가로장방</t>
        </is>
      </c>
      <c r="V666" s="3" t="inlineStr">
        <is>
          <t>소로각지</t>
        </is>
      </c>
    </row>
    <row r="667">
      <c r="A667" s="3" t="inlineStr">
        <is>
          <t>도담동 790</t>
        </is>
      </c>
      <c r="B667" s="3" t="inlineStr">
        <is>
          <t>제1종전용주거지역</t>
        </is>
      </c>
      <c r="C667" s="3" t="inlineStr">
        <is>
          <t>대</t>
        </is>
      </c>
      <c r="D667" s="3" t="inlineStr">
        <is>
          <t>대</t>
        </is>
      </c>
      <c r="E667" s="3" t="inlineStr">
        <is>
          <t>매매</t>
        </is>
      </c>
      <c r="F667" s="4" t="n">
        <v>104000</v>
      </c>
      <c r="G667" s="4" t="n">
        <v>342</v>
      </c>
      <c r="H667" s="4" t="n">
        <v>103</v>
      </c>
      <c r="I667" s="5" t="n">
        <v>1009.7</v>
      </c>
      <c r="J667" s="5" t="n">
        <v>410.6</v>
      </c>
      <c r="K667" s="3" t="inlineStr">
        <is>
          <t>총 103.7p, 정남향, 충대병원 홈플러스 인근</t>
        </is>
      </c>
      <c r="L667" s="6">
        <f>HYPERLINK("https://fin.land.naver.com/articles/2653683816", "매물Link")</f>
        <v/>
      </c>
      <c r="M667" s="6">
        <f>HYPERLINK("https://map.naver.com/p/search/도담동 790", "지도Link")</f>
        <v/>
      </c>
      <c r="N667" s="6">
        <f>HYPERLINK("http://www.eum.go.kr/web/ar/lu/luLandDet.jsp?pnu=3611011400107900000&amp;isNoScr=script&amp;mode=search", "토지이음")</f>
        <v/>
      </c>
      <c r="O667" s="3" t="inlineStr">
        <is>
          <t>명진</t>
        </is>
      </c>
      <c r="P667" s="4" t="n">
        <v>1</v>
      </c>
      <c r="Q667" s="4" t="n">
        <v>342.1</v>
      </c>
      <c r="R667" s="3" t="inlineStr">
        <is>
          <t>지정되지않음</t>
        </is>
      </c>
      <c r="S667" s="3" t="inlineStr">
        <is>
          <t>주거나지</t>
        </is>
      </c>
      <c r="T667" s="3" t="inlineStr">
        <is>
          <t>평지</t>
        </is>
      </c>
      <c r="U667" s="3" t="inlineStr">
        <is>
          <t>정방형</t>
        </is>
      </c>
      <c r="V667" s="3" t="inlineStr">
        <is>
          <t>소로각지</t>
        </is>
      </c>
    </row>
    <row r="668">
      <c r="A668" s="3" t="inlineStr">
        <is>
          <t>도담동 808</t>
        </is>
      </c>
      <c r="B668" s="3" t="inlineStr">
        <is>
          <t>제1종전용주거지역</t>
        </is>
      </c>
      <c r="C668" s="3" t="inlineStr">
        <is>
          <t>대</t>
        </is>
      </c>
      <c r="D668" s="3" t="inlineStr">
        <is>
          <t>대</t>
        </is>
      </c>
      <c r="E668" s="3" t="inlineStr">
        <is>
          <t>매매</t>
        </is>
      </c>
      <c r="F668" s="4" t="n">
        <v>62500</v>
      </c>
      <c r="G668" s="4" t="n">
        <v>318</v>
      </c>
      <c r="H668" s="4" t="n">
        <v>96</v>
      </c>
      <c r="I668" s="5" t="n">
        <v>651</v>
      </c>
      <c r="J668" s="5" t="n">
        <v>391.1</v>
      </c>
      <c r="K668" s="3" t="inlineStr">
        <is>
          <t>급매 도로접한 모양좋은 대지  홈플러스 청사인접</t>
        </is>
      </c>
      <c r="L668" s="6">
        <f>HYPERLINK("https://fin.land.naver.com/articles/2651702853", "매물Link")</f>
        <v/>
      </c>
      <c r="M668" s="6">
        <f>HYPERLINK("https://map.naver.com/p/search/도담동 808", "지도Link")</f>
        <v/>
      </c>
      <c r="N668" s="6">
        <f>HYPERLINK("http://www.eum.go.kr/web/ar/lu/luLandDet.jsp?pnu=3611011400108080000&amp;isNoScr=script&amp;mode=search", "토지이음")</f>
        <v/>
      </c>
      <c r="O668" s="3" t="inlineStr">
        <is>
          <t>예예</t>
        </is>
      </c>
      <c r="P668" s="4" t="n">
        <v>2</v>
      </c>
      <c r="Q668" s="4" t="n">
        <v>318.7</v>
      </c>
      <c r="R668" s="3" t="inlineStr">
        <is>
          <t>지정되지않음</t>
        </is>
      </c>
      <c r="S668" s="3" t="inlineStr">
        <is>
          <t>주거나지</t>
        </is>
      </c>
      <c r="T668" s="3" t="inlineStr">
        <is>
          <t>평지</t>
        </is>
      </c>
      <c r="U668" s="3" t="inlineStr">
        <is>
          <t>정방형</t>
        </is>
      </c>
      <c r="V668" s="3" t="inlineStr">
        <is>
          <t>소로한면</t>
        </is>
      </c>
    </row>
    <row r="669">
      <c r="A669" s="3" t="inlineStr">
        <is>
          <t>도담동 813</t>
        </is>
      </c>
      <c r="B669" s="3" t="inlineStr">
        <is>
          <t>제1종전용주거지역</t>
        </is>
      </c>
      <c r="C669" s="3" t="inlineStr">
        <is>
          <t>대</t>
        </is>
      </c>
      <c r="D669" s="3" t="inlineStr">
        <is>
          <t>대</t>
        </is>
      </c>
      <c r="E669" s="3" t="inlineStr">
        <is>
          <t>매매</t>
        </is>
      </c>
      <c r="F669" s="4" t="n">
        <v>95000</v>
      </c>
      <c r="G669" s="4" t="n">
        <v>333</v>
      </c>
      <c r="H669" s="4" t="n">
        <v>101</v>
      </c>
      <c r="I669" s="5" t="n">
        <v>940.6</v>
      </c>
      <c r="J669" s="5" t="n">
        <v>391.1</v>
      </c>
      <c r="K669" s="3" t="inlineStr">
        <is>
          <t>도담동 위치좋은 주택지</t>
        </is>
      </c>
      <c r="L669" s="6">
        <f>HYPERLINK("https://fin.land.naver.com/articles/2653001833", "매물Link")</f>
        <v/>
      </c>
      <c r="M669" s="6">
        <f>HYPERLINK("https://map.naver.com/p/search/도담동 813", "지도Link")</f>
        <v/>
      </c>
      <c r="N669" s="6">
        <f>HYPERLINK("http://www.eum.go.kr/web/ar/lu/luLandDet.jsp?pnu=3611011400108130000&amp;isNoScr=script&amp;mode=search", "토지이음")</f>
        <v/>
      </c>
      <c r="O669" s="3" t="inlineStr">
        <is>
          <t>OK세종 사무소</t>
        </is>
      </c>
      <c r="P669" s="4" t="n">
        <v>1</v>
      </c>
      <c r="Q669" s="4" t="n">
        <v>333.7</v>
      </c>
      <c r="R669" s="3" t="inlineStr">
        <is>
          <t>지정되지않음</t>
        </is>
      </c>
      <c r="S669" s="3" t="inlineStr">
        <is>
          <t>주거나지</t>
        </is>
      </c>
      <c r="T669" s="3" t="inlineStr">
        <is>
          <t>평지</t>
        </is>
      </c>
      <c r="U669" s="3" t="inlineStr">
        <is>
          <t>정방형</t>
        </is>
      </c>
      <c r="V669" s="3" t="inlineStr">
        <is>
          <t>소로한면</t>
        </is>
      </c>
    </row>
    <row r="670">
      <c r="A670" s="3" t="inlineStr">
        <is>
          <t>도담동 837</t>
        </is>
      </c>
      <c r="B670" s="3" t="inlineStr">
        <is>
          <t>제1종전용주거지역</t>
        </is>
      </c>
      <c r="C670" s="3" t="inlineStr">
        <is>
          <t>대</t>
        </is>
      </c>
      <c r="D670" s="3" t="inlineStr">
        <is>
          <t>대</t>
        </is>
      </c>
      <c r="E670" s="3" t="inlineStr">
        <is>
          <t>매매</t>
        </is>
      </c>
      <c r="F670" s="4" t="n">
        <v>70000</v>
      </c>
      <c r="G670" s="4" t="n">
        <v>315</v>
      </c>
      <c r="H670" s="4" t="n">
        <v>95</v>
      </c>
      <c r="I670" s="5" t="n">
        <v>736.8</v>
      </c>
      <c r="J670" s="5" t="n">
        <v>391.1</v>
      </c>
      <c r="K670" s="3" t="inlineStr">
        <is>
          <t>강추매물, 가격좋은 토지, 홈플인접</t>
        </is>
      </c>
      <c r="L670" s="6">
        <f>HYPERLINK("https://fin.land.naver.com/articles/2651289273", "매물Link")</f>
        <v/>
      </c>
      <c r="M670" s="6">
        <f>HYPERLINK("https://map.naver.com/p/search/도담동 837", "지도Link")</f>
        <v/>
      </c>
      <c r="N670" s="6">
        <f>HYPERLINK("http://www.eum.go.kr/web/ar/lu/luLandDet.jsp?pnu=3611011400108370000&amp;isNoScr=script&amp;mode=search", "토지이음")</f>
        <v/>
      </c>
      <c r="O670" s="3" t="inlineStr">
        <is>
          <t>사이다</t>
        </is>
      </c>
      <c r="P670" s="4" t="n">
        <v>1</v>
      </c>
      <c r="Q670" s="4" t="n">
        <v>315.9</v>
      </c>
      <c r="R670" s="3" t="inlineStr">
        <is>
          <t>지정되지않음</t>
        </is>
      </c>
      <c r="S670" s="3" t="inlineStr">
        <is>
          <t>주거나지</t>
        </is>
      </c>
      <c r="T670" s="3" t="inlineStr">
        <is>
          <t>평지</t>
        </is>
      </c>
      <c r="U670" s="3" t="inlineStr">
        <is>
          <t>정방형</t>
        </is>
      </c>
      <c r="V670" s="3" t="inlineStr">
        <is>
          <t>소로한면</t>
        </is>
      </c>
    </row>
    <row r="671">
      <c r="A671" s="3" t="inlineStr">
        <is>
          <t>도담동 837</t>
        </is>
      </c>
      <c r="B671" s="3" t="inlineStr">
        <is>
          <t>제1종전용주거지역</t>
        </is>
      </c>
      <c r="C671" s="3" t="inlineStr">
        <is>
          <t>대</t>
        </is>
      </c>
      <c r="D671" s="3" t="inlineStr">
        <is>
          <t>대</t>
        </is>
      </c>
      <c r="E671" s="3" t="inlineStr">
        <is>
          <t>매매</t>
        </is>
      </c>
      <c r="F671" s="4" t="n">
        <v>90000</v>
      </c>
      <c r="G671" s="4" t="n">
        <v>315</v>
      </c>
      <c r="H671" s="4" t="n">
        <v>95</v>
      </c>
      <c r="I671" s="5" t="n">
        <v>947.4</v>
      </c>
      <c r="J671" s="5" t="n">
        <v>391.1</v>
      </c>
      <c r="K671" s="3" t="inlineStr">
        <is>
          <t>도담동 위치 좋은 단독주택, 홈플러스 인근</t>
        </is>
      </c>
      <c r="L671" s="6">
        <f>HYPERLINK("https://fin.land.naver.com/articles/2650892389", "매물Link")</f>
        <v/>
      </c>
      <c r="M671" s="6">
        <f>HYPERLINK("https://map.naver.com/p/search/도담동 837", "지도Link")</f>
        <v/>
      </c>
      <c r="N671" s="6">
        <f>HYPERLINK("http://www.eum.go.kr/web/ar/lu/luLandDet.jsp?pnu=3611011400108370000&amp;isNoScr=script&amp;mode=search", "토지이음")</f>
        <v/>
      </c>
      <c r="O671" s="3" t="inlineStr">
        <is>
          <t>세종무지개</t>
        </is>
      </c>
      <c r="P671" s="4" t="n">
        <v>1</v>
      </c>
      <c r="Q671" s="4" t="n">
        <v>315.9</v>
      </c>
      <c r="R671" s="3" t="inlineStr">
        <is>
          <t>지정되지않음</t>
        </is>
      </c>
      <c r="S671" s="3" t="inlineStr">
        <is>
          <t>주거나지</t>
        </is>
      </c>
      <c r="T671" s="3" t="inlineStr">
        <is>
          <t>평지</t>
        </is>
      </c>
      <c r="U671" s="3" t="inlineStr">
        <is>
          <t>정방형</t>
        </is>
      </c>
      <c r="V671" s="3" t="inlineStr">
        <is>
          <t>소로한면</t>
        </is>
      </c>
    </row>
    <row r="672">
      <c r="A672" s="3" t="inlineStr">
        <is>
          <t>도담동 897-1</t>
        </is>
      </c>
      <c r="B672" s="3" t="inlineStr">
        <is>
          <t>제1종전용주거지역</t>
        </is>
      </c>
      <c r="C672" s="3" t="inlineStr">
        <is>
          <t>대</t>
        </is>
      </c>
      <c r="D672" s="3" t="inlineStr">
        <is>
          <t>대</t>
        </is>
      </c>
      <c r="E672" s="3" t="inlineStr">
        <is>
          <t>매매</t>
        </is>
      </c>
      <c r="F672" s="4" t="n">
        <v>140000</v>
      </c>
      <c r="G672" s="4" t="n">
        <v>400</v>
      </c>
      <c r="H672" s="4" t="n">
        <v>121</v>
      </c>
      <c r="I672" s="5" t="n">
        <v>1157</v>
      </c>
      <c r="J672" s="5" t="n">
        <v>353.1</v>
      </c>
      <c r="K672" s="3" t="inlineStr">
        <is>
          <t>트로아힐스 건축 가능한 토지 매매</t>
        </is>
      </c>
      <c r="L672" s="6">
        <f>HYPERLINK("https://fin.land.naver.com/articles/2650423114", "매물Link")</f>
        <v/>
      </c>
      <c r="M672" s="6">
        <f>HYPERLINK("https://map.naver.com/p/search/도담동 897-1", "지도Link")</f>
        <v/>
      </c>
      <c r="N672" s="6">
        <f>HYPERLINK("http://www.eum.go.kr/web/ar/lu/luLandDet.jsp?pnu=3611011400108970001&amp;isNoScr=script&amp;mode=search", "토지이음")</f>
        <v/>
      </c>
      <c r="O672" s="3" t="inlineStr">
        <is>
          <t>세종시티</t>
        </is>
      </c>
      <c r="P672" s="4" t="n">
        <v>1</v>
      </c>
      <c r="Q672" s="4" t="n">
        <v>400</v>
      </c>
      <c r="R672" s="3" t="inlineStr">
        <is>
          <t>지정되지않음</t>
        </is>
      </c>
      <c r="S672" s="3" t="inlineStr">
        <is>
          <t>주거나지</t>
        </is>
      </c>
      <c r="T672" s="3" t="inlineStr">
        <is>
          <t>평지</t>
        </is>
      </c>
      <c r="U672" s="3" t="inlineStr">
        <is>
          <t>사다리형</t>
        </is>
      </c>
      <c r="V672" s="3" t="inlineStr">
        <is>
          <t>소로한면</t>
        </is>
      </c>
    </row>
    <row r="673">
      <c r="A673" s="3" t="inlineStr">
        <is>
          <t>도담동 897-18</t>
        </is>
      </c>
      <c r="B673" s="3" t="inlineStr">
        <is>
          <t>제1종전용주거지역</t>
        </is>
      </c>
      <c r="C673" s="3" t="inlineStr">
        <is>
          <t>대</t>
        </is>
      </c>
      <c r="D673" s="3" t="inlineStr">
        <is>
          <t>대</t>
        </is>
      </c>
      <c r="E673" s="3" t="inlineStr">
        <is>
          <t>매매</t>
        </is>
      </c>
      <c r="F673" s="4" t="n">
        <v>140000</v>
      </c>
      <c r="G673" s="4" t="n">
        <v>400</v>
      </c>
      <c r="H673" s="4" t="n">
        <v>121</v>
      </c>
      <c r="I673" s="5" t="n">
        <v>1157</v>
      </c>
      <c r="J673" s="5" t="n">
        <v>356.7</v>
      </c>
      <c r="K673" s="3" t="inlineStr">
        <is>
          <t>세종 고급 타운하우스 선호 필지 매매</t>
        </is>
      </c>
      <c r="L673" s="6">
        <f>HYPERLINK("https://fin.land.naver.com/articles/2650423079", "매물Link")</f>
        <v/>
      </c>
      <c r="M673" s="6">
        <f>HYPERLINK("https://map.naver.com/p/search/도담동 897-18", "지도Link")</f>
        <v/>
      </c>
      <c r="N673" s="6">
        <f>HYPERLINK("http://www.eum.go.kr/web/ar/lu/luLandDet.jsp?pnu=3611011400108970018&amp;isNoScr=script&amp;mode=search", "토지이음")</f>
        <v/>
      </c>
      <c r="O673" s="3" t="inlineStr">
        <is>
          <t>세종시티</t>
        </is>
      </c>
      <c r="P673" s="4" t="n">
        <v>1</v>
      </c>
      <c r="Q673" s="4" t="n">
        <v>400</v>
      </c>
      <c r="R673" s="3" t="inlineStr">
        <is>
          <t>지정되지않음</t>
        </is>
      </c>
      <c r="S673" s="3" t="inlineStr">
        <is>
          <t>주거나지</t>
        </is>
      </c>
      <c r="T673" s="3" t="inlineStr">
        <is>
          <t>평지</t>
        </is>
      </c>
      <c r="U673" s="3" t="inlineStr">
        <is>
          <t>세로장방</t>
        </is>
      </c>
      <c r="V673" s="3" t="inlineStr">
        <is>
          <t>소로한면</t>
        </is>
      </c>
    </row>
    <row r="674">
      <c r="A674" s="3" t="inlineStr">
        <is>
          <t>도담동 897-20</t>
        </is>
      </c>
      <c r="B674" s="3" t="inlineStr">
        <is>
          <t>제1종전용주거지역</t>
        </is>
      </c>
      <c r="C674" s="3" t="inlineStr">
        <is>
          <t>대</t>
        </is>
      </c>
      <c r="D674" s="3" t="inlineStr">
        <is>
          <t>대</t>
        </is>
      </c>
      <c r="E674" s="3" t="inlineStr">
        <is>
          <t>매매</t>
        </is>
      </c>
      <c r="F674" s="4" t="n">
        <v>140000</v>
      </c>
      <c r="G674" s="4" t="n">
        <v>400</v>
      </c>
      <c r="H674" s="4" t="n">
        <v>121</v>
      </c>
      <c r="I674" s="5" t="n">
        <v>1157</v>
      </c>
      <c r="J674" s="5" t="n">
        <v>356.7</v>
      </c>
      <c r="K674" s="3" t="inlineStr">
        <is>
          <t>세종 도담동 고급 전원주택 단지 앞이 트여 있어 좋아요.</t>
        </is>
      </c>
      <c r="L674" s="6">
        <f>HYPERLINK("https://fin.land.naver.com/articles/2649482553", "매물Link")</f>
        <v/>
      </c>
      <c r="M674" s="6">
        <f>HYPERLINK("https://map.naver.com/p/search/도담동 897-20", "지도Link")</f>
        <v/>
      </c>
      <c r="N674" s="6">
        <f>HYPERLINK("http://www.eum.go.kr/web/ar/lu/luLandDet.jsp?pnu=3611011400108970020&amp;isNoScr=script&amp;mode=search", "토지이음")</f>
        <v/>
      </c>
      <c r="O674" s="3" t="inlineStr">
        <is>
          <t>세종조이</t>
        </is>
      </c>
      <c r="P674" s="4" t="n">
        <v>1</v>
      </c>
      <c r="Q674" s="4" t="n">
        <v>400</v>
      </c>
      <c r="R674" s="3" t="inlineStr">
        <is>
          <t>지정되지않음</t>
        </is>
      </c>
      <c r="S674" s="3" t="inlineStr">
        <is>
          <t>주거나지</t>
        </is>
      </c>
      <c r="T674" s="3" t="inlineStr">
        <is>
          <t>평지</t>
        </is>
      </c>
      <c r="U674" s="3" t="inlineStr">
        <is>
          <t>세로장방</t>
        </is>
      </c>
      <c r="V674" s="3" t="inlineStr">
        <is>
          <t>소로한면</t>
        </is>
      </c>
    </row>
    <row r="675">
      <c r="A675" s="3" t="inlineStr">
        <is>
          <t>도담동 897-24</t>
        </is>
      </c>
      <c r="B675" s="3" t="inlineStr">
        <is>
          <t>제1종전용주거지역</t>
        </is>
      </c>
      <c r="C675" s="3" t="inlineStr">
        <is>
          <t>대</t>
        </is>
      </c>
      <c r="D675" s="3" t="inlineStr">
        <is>
          <t>대</t>
        </is>
      </c>
      <c r="E675" s="3" t="inlineStr">
        <is>
          <t>매매</t>
        </is>
      </c>
      <c r="F675" s="4" t="n">
        <v>150000</v>
      </c>
      <c r="G675" s="4" t="n">
        <v>400</v>
      </c>
      <c r="H675" s="4" t="n">
        <v>121</v>
      </c>
      <c r="I675" s="5" t="n">
        <v>1239.7</v>
      </c>
      <c r="J675" s="5" t="n">
        <v>356.7</v>
      </c>
      <c r="K675" s="3" t="inlineStr">
        <is>
          <t>nan</t>
        </is>
      </c>
      <c r="L675" s="6">
        <f>HYPERLINK("https://fin.land.naver.com/articles/2653840859", "매물Link")</f>
        <v/>
      </c>
      <c r="M675" s="6">
        <f>HYPERLINK("https://map.naver.com/p/search/도담동 897-24", "지도Link")</f>
        <v/>
      </c>
      <c r="N675" s="6">
        <f>HYPERLINK("http://www.eum.go.kr/web/ar/lu/luLandDet.jsp?pnu=3611011400108970024&amp;isNoScr=script&amp;mode=search", "토지이음")</f>
        <v/>
      </c>
      <c r="O675" s="3" t="inlineStr">
        <is>
          <t>세종스타</t>
        </is>
      </c>
      <c r="P675" s="4" t="n">
        <v>2</v>
      </c>
      <c r="Q675" s="4" t="n">
        <v>400</v>
      </c>
      <c r="R675" s="3" t="inlineStr">
        <is>
          <t>지정되지않음</t>
        </is>
      </c>
      <c r="S675" s="3" t="inlineStr">
        <is>
          <t>주거나지</t>
        </is>
      </c>
      <c r="T675" s="3" t="inlineStr">
        <is>
          <t>평지</t>
        </is>
      </c>
      <c r="U675" s="3" t="inlineStr">
        <is>
          <t>세로장방</t>
        </is>
      </c>
      <c r="V675" s="3" t="inlineStr">
        <is>
          <t>소로한면</t>
        </is>
      </c>
    </row>
    <row r="676">
      <c r="A676" s="3" t="inlineStr">
        <is>
          <t>반곡동 1003</t>
        </is>
      </c>
      <c r="B676" s="3" t="inlineStr">
        <is>
          <t>제1종전용주거지역</t>
        </is>
      </c>
      <c r="C676" s="3" t="inlineStr">
        <is>
          <t>대</t>
        </is>
      </c>
      <c r="D676" s="3" t="inlineStr">
        <is>
          <t>대</t>
        </is>
      </c>
      <c r="E676" s="3" t="inlineStr">
        <is>
          <t>매매</t>
        </is>
      </c>
      <c r="F676" s="4" t="n">
        <v>45000</v>
      </c>
      <c r="G676" s="4" t="n">
        <v>190</v>
      </c>
      <c r="H676" s="4" t="n">
        <v>57</v>
      </c>
      <c r="I676" s="5" t="n">
        <v>789.5</v>
      </c>
      <c r="J676" s="5" t="n">
        <v>262.3</v>
      </c>
      <c r="K676" s="3" t="inlineStr">
        <is>
          <t>반곡동D3 소형 건폐율50 가격조율 협의가능</t>
        </is>
      </c>
      <c r="L676" s="6">
        <f>HYPERLINK("https://fin.land.naver.com/articles/2651086283", "매물Link")</f>
        <v/>
      </c>
      <c r="M676" s="6">
        <f>HYPERLINK("https://map.naver.com/p/search/반곡동 1003", "지도Link")</f>
        <v/>
      </c>
      <c r="N676" s="6">
        <f>HYPERLINK("http://www.eum.go.kr/web/ar/lu/luLandDet.jsp?pnu=3611010100110030000&amp;isNoScr=script&amp;mode=search", "토지이음")</f>
        <v/>
      </c>
      <c r="O676" s="3" t="inlineStr">
        <is>
          <t>세종스타</t>
        </is>
      </c>
      <c r="P676" s="4" t="n">
        <v>2</v>
      </c>
      <c r="Q676" s="4" t="n">
        <v>190</v>
      </c>
      <c r="R676" s="3" t="inlineStr">
        <is>
          <t>지정되지않음</t>
        </is>
      </c>
      <c r="S676" s="3" t="inlineStr">
        <is>
          <t>주거나지</t>
        </is>
      </c>
      <c r="T676" s="3" t="inlineStr">
        <is>
          <t>평지</t>
        </is>
      </c>
      <c r="U676" s="3" t="inlineStr">
        <is>
          <t>사다리형</t>
        </is>
      </c>
      <c r="V676" s="3" t="inlineStr">
        <is>
          <t>소로한면</t>
        </is>
      </c>
    </row>
    <row r="677">
      <c r="A677" s="3" t="inlineStr">
        <is>
          <t>반곡동 1005</t>
        </is>
      </c>
      <c r="B677" s="3" t="inlineStr">
        <is>
          <t>제1종전용주거지역</t>
        </is>
      </c>
      <c r="C677" s="3" t="inlineStr">
        <is>
          <t>대</t>
        </is>
      </c>
      <c r="D677" s="3" t="inlineStr">
        <is>
          <t>대</t>
        </is>
      </c>
      <c r="E677" s="3" t="inlineStr">
        <is>
          <t>매매</t>
        </is>
      </c>
      <c r="F677" s="4" t="n">
        <v>35000</v>
      </c>
      <c r="G677" s="4" t="n">
        <v>154</v>
      </c>
      <c r="H677" s="4" t="n">
        <v>47</v>
      </c>
      <c r="I677" s="5" t="n">
        <v>744.7</v>
      </c>
      <c r="J677" s="5" t="n">
        <v>262.3</v>
      </c>
      <c r="K677" s="3" t="inlineStr">
        <is>
          <t>조율가능 코너각지 소형 건폐율50프로</t>
        </is>
      </c>
      <c r="L677" s="6">
        <f>HYPERLINK("https://fin.land.naver.com/articles/2650653499", "매물Link")</f>
        <v/>
      </c>
      <c r="M677" s="6">
        <f>HYPERLINK("https://map.naver.com/p/search/반곡동 1005", "지도Link")</f>
        <v/>
      </c>
      <c r="N677" s="6">
        <f>HYPERLINK("http://www.eum.go.kr/web/ar/lu/luLandDet.jsp?pnu=3611010100110050000&amp;isNoScr=script&amp;mode=search", "토지이음")</f>
        <v/>
      </c>
      <c r="O677" s="3" t="inlineStr">
        <is>
          <t>세종스타</t>
        </is>
      </c>
      <c r="P677" s="4" t="n">
        <v>1</v>
      </c>
      <c r="Q677" s="4" t="n">
        <v>154</v>
      </c>
      <c r="R677" s="3" t="inlineStr">
        <is>
          <t>지정되지않음</t>
        </is>
      </c>
      <c r="S677" s="3" t="inlineStr">
        <is>
          <t>주거나지</t>
        </is>
      </c>
      <c r="T677" s="3" t="inlineStr">
        <is>
          <t>평지</t>
        </is>
      </c>
      <c r="U677" s="3" t="inlineStr">
        <is>
          <t>사다리형</t>
        </is>
      </c>
      <c r="V677" s="3" t="inlineStr">
        <is>
          <t>소로한면</t>
        </is>
      </c>
    </row>
    <row r="678">
      <c r="A678" s="3" t="inlineStr">
        <is>
          <t>반곡동 1061</t>
        </is>
      </c>
      <c r="B678" s="3" t="inlineStr">
        <is>
          <t>제1종전용주거지역</t>
        </is>
      </c>
      <c r="C678" s="3" t="inlineStr">
        <is>
          <t>대</t>
        </is>
      </c>
      <c r="D678" s="3" t="inlineStr">
        <is>
          <t>대</t>
        </is>
      </c>
      <c r="E678" s="3" t="inlineStr">
        <is>
          <t>매매</t>
        </is>
      </c>
      <c r="F678" s="4" t="n">
        <v>70000</v>
      </c>
      <c r="G678" s="4" t="n">
        <v>478</v>
      </c>
      <c r="H678" s="4" t="n">
        <v>145</v>
      </c>
      <c r="I678" s="5" t="n">
        <v>482.8</v>
      </c>
      <c r="J678" s="5" t="n">
        <v>302.2</v>
      </c>
      <c r="K678" s="3" t="inlineStr">
        <is>
          <t>급매 KDI옆 반곡동D2 넓은평수 144.71p</t>
        </is>
      </c>
      <c r="L678" s="6">
        <f>HYPERLINK("https://fin.land.naver.com/articles/2649626883", "매물Link")</f>
        <v/>
      </c>
      <c r="M678" s="6">
        <f>HYPERLINK("https://map.naver.com/p/search/반곡동 1061", "지도Link")</f>
        <v/>
      </c>
      <c r="N678" s="6">
        <f>HYPERLINK("http://www.eum.go.kr/web/ar/lu/luLandDet.jsp?pnu=3611010100110610000&amp;isNoScr=script&amp;mode=search", "토지이음")</f>
        <v/>
      </c>
      <c r="O678" s="3" t="inlineStr">
        <is>
          <t>세종스타</t>
        </is>
      </c>
      <c r="P678" s="4" t="n">
        <v>1</v>
      </c>
      <c r="Q678" s="4" t="n">
        <v>478.4</v>
      </c>
      <c r="R678" s="3" t="inlineStr">
        <is>
          <t>지정되지않음</t>
        </is>
      </c>
      <c r="S678" s="3" t="inlineStr">
        <is>
          <t>단독</t>
        </is>
      </c>
      <c r="T678" s="3" t="inlineStr">
        <is>
          <t>평지</t>
        </is>
      </c>
      <c r="U678" s="3" t="inlineStr">
        <is>
          <t>가로장방</t>
        </is>
      </c>
      <c r="V678" s="3" t="inlineStr">
        <is>
          <t>소로한면</t>
        </is>
      </c>
    </row>
    <row r="679">
      <c r="A679" s="3" t="inlineStr">
        <is>
          <t>반곡동 1077</t>
        </is>
      </c>
      <c r="B679" s="3" t="inlineStr">
        <is>
          <t>제1종전용주거지역</t>
        </is>
      </c>
      <c r="C679" s="3" t="inlineStr">
        <is>
          <t>대</t>
        </is>
      </c>
      <c r="D679" s="3" t="inlineStr">
        <is>
          <t>대</t>
        </is>
      </c>
      <c r="E679" s="3" t="inlineStr">
        <is>
          <t>매매</t>
        </is>
      </c>
      <c r="F679" s="4" t="n">
        <v>65000</v>
      </c>
      <c r="G679" s="4" t="n">
        <v>445</v>
      </c>
      <c r="H679" s="4" t="n">
        <v>135</v>
      </c>
      <c r="I679" s="5" t="n">
        <v>481.5</v>
      </c>
      <c r="J679" s="5" t="n">
        <v>308</v>
      </c>
      <c r="K679" s="3" t="inlineStr">
        <is>
          <t>가격조율가능,코너각지,최고자리</t>
        </is>
      </c>
      <c r="L679" s="6">
        <f>HYPERLINK("https://fin.land.naver.com/articles/2654216115", "매물Link")</f>
        <v/>
      </c>
      <c r="M679" s="6">
        <f>HYPERLINK("https://map.naver.com/p/search/반곡동 1077", "지도Link")</f>
        <v/>
      </c>
      <c r="N679" s="6">
        <f>HYPERLINK("http://www.eum.go.kr/web/ar/lu/luLandDet.jsp?pnu=3611010100110770000&amp;isNoScr=script&amp;mode=search", "토지이음")</f>
        <v/>
      </c>
      <c r="O679" s="3" t="inlineStr">
        <is>
          <t>늘푸른</t>
        </is>
      </c>
      <c r="P679" s="4" t="n">
        <v>2</v>
      </c>
      <c r="Q679" s="4" t="n">
        <v>445.5</v>
      </c>
      <c r="R679" s="3" t="inlineStr">
        <is>
          <t>지정되지않음</t>
        </is>
      </c>
      <c r="S679" s="3" t="inlineStr">
        <is>
          <t>단독</t>
        </is>
      </c>
      <c r="T679" s="3" t="inlineStr">
        <is>
          <t>평지</t>
        </is>
      </c>
      <c r="U679" s="3" t="inlineStr">
        <is>
          <t>사다리형</t>
        </is>
      </c>
      <c r="V679" s="3" t="inlineStr">
        <is>
          <t>소로각지</t>
        </is>
      </c>
    </row>
    <row r="680">
      <c r="A680" s="3" t="inlineStr">
        <is>
          <t>반곡동 1077</t>
        </is>
      </c>
      <c r="B680" s="3" t="inlineStr">
        <is>
          <t>제1종전용주거지역</t>
        </is>
      </c>
      <c r="C680" s="3" t="inlineStr">
        <is>
          <t>대</t>
        </is>
      </c>
      <c r="D680" s="3" t="inlineStr">
        <is>
          <t>대</t>
        </is>
      </c>
      <c r="E680" s="3" t="inlineStr">
        <is>
          <t>매매</t>
        </is>
      </c>
      <c r="F680" s="4" t="n">
        <v>80000</v>
      </c>
      <c r="G680" s="4" t="n">
        <v>445</v>
      </c>
      <c r="H680" s="4" t="n">
        <v>135</v>
      </c>
      <c r="I680" s="5" t="n">
        <v>592.6</v>
      </c>
      <c r="J680" s="5" t="n">
        <v>308</v>
      </c>
      <c r="K680" s="3" t="inlineStr">
        <is>
          <t>135p, 넓은 단독주택 토지매매, 공원앞, 입지 굿</t>
        </is>
      </c>
      <c r="L680" s="6">
        <f>HYPERLINK("https://fin.land.naver.com/articles/2653687042", "매물Link")</f>
        <v/>
      </c>
      <c r="M680" s="6">
        <f>HYPERLINK("https://map.naver.com/p/search/반곡동 1077", "지도Link")</f>
        <v/>
      </c>
      <c r="N680" s="6">
        <f>HYPERLINK("http://www.eum.go.kr/web/ar/lu/luLandDet.jsp?pnu=3611010100110770000&amp;isNoScr=script&amp;mode=search", "토지이음")</f>
        <v/>
      </c>
      <c r="O680" s="3" t="inlineStr">
        <is>
          <t>명진</t>
        </is>
      </c>
      <c r="P680" s="4" t="n">
        <v>1</v>
      </c>
      <c r="Q680" s="4" t="n">
        <v>445.5</v>
      </c>
      <c r="R680" s="3" t="inlineStr">
        <is>
          <t>지정되지않음</t>
        </is>
      </c>
      <c r="S680" s="3" t="inlineStr">
        <is>
          <t>단독</t>
        </is>
      </c>
      <c r="T680" s="3" t="inlineStr">
        <is>
          <t>평지</t>
        </is>
      </c>
      <c r="U680" s="3" t="inlineStr">
        <is>
          <t>사다리형</t>
        </is>
      </c>
      <c r="V680" s="3" t="inlineStr">
        <is>
          <t>소로각지</t>
        </is>
      </c>
    </row>
    <row r="681">
      <c r="A681" s="3" t="inlineStr">
        <is>
          <t>반곡동 1077</t>
        </is>
      </c>
      <c r="B681" s="3" t="inlineStr">
        <is>
          <t>제1종전용주거지역</t>
        </is>
      </c>
      <c r="C681" s="3" t="inlineStr">
        <is>
          <t>대</t>
        </is>
      </c>
      <c r="D681" s="3" t="inlineStr">
        <is>
          <t>대</t>
        </is>
      </c>
      <c r="E681" s="3" t="inlineStr">
        <is>
          <t>매매</t>
        </is>
      </c>
      <c r="F681" s="4" t="n">
        <v>65000</v>
      </c>
      <c r="G681" s="4" t="n">
        <v>445</v>
      </c>
      <c r="H681" s="4" t="n">
        <v>135</v>
      </c>
      <c r="I681" s="5" t="n">
        <v>481.5</v>
      </c>
      <c r="J681" s="5" t="n">
        <v>308</v>
      </c>
      <c r="K681" s="3" t="inlineStr">
        <is>
          <t>공원 앞, 사거리 코너 각지 위치, 입지 좋은 토지</t>
        </is>
      </c>
      <c r="L681" s="6">
        <f>HYPERLINK("https://fin.land.naver.com/articles/2653567967", "매물Link")</f>
        <v/>
      </c>
      <c r="M681" s="6">
        <f>HYPERLINK("https://map.naver.com/p/search/반곡동 1077", "지도Link")</f>
        <v/>
      </c>
      <c r="N681" s="6">
        <f>HYPERLINK("http://www.eum.go.kr/web/ar/lu/luLandDet.jsp?pnu=3611010100110770000&amp;isNoScr=script&amp;mode=search", "토지이음")</f>
        <v/>
      </c>
      <c r="O681" s="3" t="inlineStr">
        <is>
          <t>세종무지개</t>
        </is>
      </c>
      <c r="P681" s="4" t="n">
        <v>1</v>
      </c>
      <c r="Q681" s="4" t="n">
        <v>445.5</v>
      </c>
      <c r="R681" s="3" t="inlineStr">
        <is>
          <t>지정되지않음</t>
        </is>
      </c>
      <c r="S681" s="3" t="inlineStr">
        <is>
          <t>단독</t>
        </is>
      </c>
      <c r="T681" s="3" t="inlineStr">
        <is>
          <t>평지</t>
        </is>
      </c>
      <c r="U681" s="3" t="inlineStr">
        <is>
          <t>사다리형</t>
        </is>
      </c>
      <c r="V681" s="3" t="inlineStr">
        <is>
          <t>소로각지</t>
        </is>
      </c>
    </row>
    <row r="682">
      <c r="A682" s="3" t="inlineStr">
        <is>
          <t>반곡동 1107</t>
        </is>
      </c>
      <c r="B682" s="3" t="inlineStr">
        <is>
          <t>제1종전용주거지역</t>
        </is>
      </c>
      <c r="C682" s="3" t="inlineStr">
        <is>
          <t>대</t>
        </is>
      </c>
      <c r="D682" s="3" t="inlineStr">
        <is>
          <t>대</t>
        </is>
      </c>
      <c r="E682" s="3" t="inlineStr">
        <is>
          <t>매매</t>
        </is>
      </c>
      <c r="F682" s="4" t="n">
        <v>67000</v>
      </c>
      <c r="G682" s="4" t="n">
        <v>436</v>
      </c>
      <c r="H682" s="4" t="n">
        <v>132</v>
      </c>
      <c r="I682" s="5" t="n">
        <v>507.6</v>
      </c>
      <c r="J682" s="5" t="n">
        <v>311.3</v>
      </c>
      <c r="K682" s="3" t="inlineStr">
        <is>
          <t>급매 코너각지 132p 추가조율가능</t>
        </is>
      </c>
      <c r="L682" s="6">
        <f>HYPERLINK("https://fin.land.naver.com/articles/2649805637", "매물Link")</f>
        <v/>
      </c>
      <c r="M682" s="6">
        <f>HYPERLINK("https://map.naver.com/p/search/반곡동 1107", "지도Link")</f>
        <v/>
      </c>
      <c r="N682" s="6">
        <f>HYPERLINK("http://www.eum.go.kr/web/ar/lu/luLandDet.jsp?pnu=3611010100111070000&amp;isNoScr=script&amp;mode=search", "토지이음")</f>
        <v/>
      </c>
      <c r="O682" s="3" t="inlineStr">
        <is>
          <t>세종스타</t>
        </is>
      </c>
      <c r="P682" s="4" t="n">
        <v>1</v>
      </c>
      <c r="Q682" s="4" t="n">
        <v>436</v>
      </c>
      <c r="R682" s="3" t="inlineStr">
        <is>
          <t>지정되지않음</t>
        </is>
      </c>
      <c r="S682" s="3" t="inlineStr">
        <is>
          <t>단독</t>
        </is>
      </c>
      <c r="T682" s="3" t="inlineStr">
        <is>
          <t>평지</t>
        </is>
      </c>
      <c r="U682" s="3" t="inlineStr">
        <is>
          <t>가로장방</t>
        </is>
      </c>
      <c r="V682" s="3" t="inlineStr">
        <is>
          <t>소로각지</t>
        </is>
      </c>
    </row>
    <row r="683">
      <c r="A683" s="3" t="inlineStr">
        <is>
          <t>반곡동 1129</t>
        </is>
      </c>
      <c r="B683" s="3" t="inlineStr">
        <is>
          <t>제1종일반주거지역</t>
        </is>
      </c>
      <c r="C683" s="3" t="inlineStr">
        <is>
          <t>대</t>
        </is>
      </c>
      <c r="D683" s="3" t="inlineStr">
        <is>
          <t>대</t>
        </is>
      </c>
      <c r="E683" s="3" t="inlineStr">
        <is>
          <t>매매</t>
        </is>
      </c>
      <c r="F683" s="4" t="n">
        <v>74400</v>
      </c>
      <c r="G683" s="4" t="n">
        <v>184</v>
      </c>
      <c r="H683" s="4" t="n">
        <v>56</v>
      </c>
      <c r="I683" s="5" t="n">
        <v>1328.6</v>
      </c>
      <c r="J683" s="5" t="n">
        <v>406.3</v>
      </c>
      <c r="K683" s="3" t="inlineStr">
        <is>
          <t>상가주택용 토지,설계도면무료제공</t>
        </is>
      </c>
      <c r="L683" s="6">
        <f>HYPERLINK("https://fin.land.naver.com/articles/2650423010", "매물Link")</f>
        <v/>
      </c>
      <c r="M683" s="6">
        <f>HYPERLINK("https://map.naver.com/p/search/반곡동 1129", "지도Link")</f>
        <v/>
      </c>
      <c r="N683" s="6">
        <f>HYPERLINK("http://www.eum.go.kr/web/ar/lu/luLandDet.jsp?pnu=3611010100111290000&amp;isNoScr=script&amp;mode=search", "토지이음")</f>
        <v/>
      </c>
      <c r="O683" s="3" t="inlineStr">
        <is>
          <t>세종시티</t>
        </is>
      </c>
      <c r="P683" s="4" t="n">
        <v>1</v>
      </c>
      <c r="Q683" s="4" t="n">
        <v>184.4</v>
      </c>
      <c r="R683" s="3" t="inlineStr">
        <is>
          <t>지정되지않음</t>
        </is>
      </c>
      <c r="S683" s="3" t="inlineStr">
        <is>
          <t>주상나지</t>
        </is>
      </c>
      <c r="T683" s="3" t="inlineStr">
        <is>
          <t>평지</t>
        </is>
      </c>
      <c r="U683" s="3" t="inlineStr">
        <is>
          <t>사다리형</t>
        </is>
      </c>
      <c r="V683" s="3" t="inlineStr">
        <is>
          <t>소로한면</t>
        </is>
      </c>
    </row>
    <row r="684">
      <c r="A684" s="3" t="inlineStr">
        <is>
          <t>반곡동 1130</t>
        </is>
      </c>
      <c r="B684" s="3" t="inlineStr">
        <is>
          <t>제1종일반주거지역</t>
        </is>
      </c>
      <c r="C684" s="3" t="inlineStr">
        <is>
          <t>대</t>
        </is>
      </c>
      <c r="D684" s="3" t="inlineStr">
        <is>
          <t>대</t>
        </is>
      </c>
      <c r="E684" s="3" t="inlineStr">
        <is>
          <t>매매</t>
        </is>
      </c>
      <c r="F684" s="4" t="n">
        <v>76000</v>
      </c>
      <c r="G684" s="4" t="n">
        <v>186</v>
      </c>
      <c r="H684" s="4" t="n">
        <v>56</v>
      </c>
      <c r="I684" s="5" t="n">
        <v>1357.1</v>
      </c>
      <c r="J684" s="5" t="n">
        <v>406.3</v>
      </c>
      <c r="K684" s="3" t="inlineStr">
        <is>
          <t>상가주택지매매, 협의가능, 설계도면제공원할시.
자세한건 사무실로 연락~</t>
        </is>
      </c>
      <c r="L684" s="6">
        <f>HYPERLINK("https://fin.land.naver.com/articles/2650423044", "매물Link")</f>
        <v/>
      </c>
      <c r="M684" s="6">
        <f>HYPERLINK("https://map.naver.com/p/search/반곡동 1130", "지도Link")</f>
        <v/>
      </c>
      <c r="N684" s="6">
        <f>HYPERLINK("http://www.eum.go.kr/web/ar/lu/luLandDet.jsp?pnu=3611010100111300000&amp;isNoScr=script&amp;mode=search", "토지이음")</f>
        <v/>
      </c>
      <c r="O684" s="3" t="inlineStr">
        <is>
          <t>세종시티</t>
        </is>
      </c>
      <c r="P684" s="4" t="n">
        <v>1</v>
      </c>
      <c r="Q684" s="4" t="n">
        <v>186.4</v>
      </c>
      <c r="R684" s="3" t="inlineStr">
        <is>
          <t>지정되지않음</t>
        </is>
      </c>
      <c r="S684" s="3" t="inlineStr">
        <is>
          <t>주상나지</t>
        </is>
      </c>
      <c r="T684" s="3" t="inlineStr">
        <is>
          <t>평지</t>
        </is>
      </c>
      <c r="U684" s="3" t="inlineStr">
        <is>
          <t>사다리형</t>
        </is>
      </c>
      <c r="V684" s="3" t="inlineStr">
        <is>
          <t>소로한면</t>
        </is>
      </c>
    </row>
    <row r="685">
      <c r="A685" s="3" t="inlineStr">
        <is>
          <t>반곡동 1137</t>
        </is>
      </c>
      <c r="B685" s="3" t="inlineStr">
        <is>
          <t>제1종일반주거지역</t>
        </is>
      </c>
      <c r="C685" s="3" t="inlineStr">
        <is>
          <t>대</t>
        </is>
      </c>
      <c r="D685" s="3" t="inlineStr">
        <is>
          <t>대</t>
        </is>
      </c>
      <c r="E685" s="3" t="inlineStr">
        <is>
          <t>매매</t>
        </is>
      </c>
      <c r="F685" s="4" t="n">
        <v>80000</v>
      </c>
      <c r="G685" s="4" t="n">
        <v>231</v>
      </c>
      <c r="H685" s="4" t="n">
        <v>70</v>
      </c>
      <c r="I685" s="5" t="n">
        <v>1142.9</v>
      </c>
      <c r="J685" s="5" t="n">
        <v>450.6</v>
      </c>
      <c r="K685" s="3" t="inlineStr">
        <is>
          <t>세종시 유일 점포 주택, 반곡동 단독주택지  괴화산 수루배마을 중심부</t>
        </is>
      </c>
      <c r="L685" s="6">
        <f>HYPERLINK("https://fin.land.naver.com/articles/2650832993", "매물Link")</f>
        <v/>
      </c>
      <c r="M685" s="6">
        <f>HYPERLINK("https://map.naver.com/p/search/반곡동 1137", "지도Link")</f>
        <v/>
      </c>
      <c r="N685" s="6">
        <f>HYPERLINK("http://www.eum.go.kr/web/ar/lu/luLandDet.jsp?pnu=3611010100111370000&amp;isNoScr=script&amp;mode=search", "토지이음")</f>
        <v/>
      </c>
      <c r="O685" s="3" t="inlineStr">
        <is>
          <t>세종디아트114</t>
        </is>
      </c>
      <c r="P685" s="4" t="n">
        <v>1</v>
      </c>
      <c r="Q685" s="4" t="n">
        <v>230.7</v>
      </c>
      <c r="R685" s="3" t="inlineStr">
        <is>
          <t>지정되지않음</t>
        </is>
      </c>
      <c r="S685" s="3" t="inlineStr">
        <is>
          <t>주상나지</t>
        </is>
      </c>
      <c r="T685" s="3" t="inlineStr">
        <is>
          <t>평지</t>
        </is>
      </c>
      <c r="U685" s="3" t="inlineStr">
        <is>
          <t>사다리형</t>
        </is>
      </c>
      <c r="V685" s="3" t="inlineStr">
        <is>
          <t>중로각지</t>
        </is>
      </c>
    </row>
    <row r="686">
      <c r="A686" s="3" t="inlineStr">
        <is>
          <t>반곡동 1156</t>
        </is>
      </c>
      <c r="B686" s="3" t="inlineStr">
        <is>
          <t>제1종전용주거지역</t>
        </is>
      </c>
      <c r="C686" s="3" t="inlineStr">
        <is>
          <t>대</t>
        </is>
      </c>
      <c r="D686" s="3" t="inlineStr">
        <is>
          <t>대</t>
        </is>
      </c>
      <c r="E686" s="3" t="inlineStr">
        <is>
          <t>매매</t>
        </is>
      </c>
      <c r="F686" s="4" t="n">
        <v>210000</v>
      </c>
      <c r="G686" s="4" t="n">
        <v>617</v>
      </c>
      <c r="H686" s="4" t="n">
        <v>187</v>
      </c>
      <c r="I686" s="5" t="n">
        <v>1123</v>
      </c>
      <c r="J686" s="5" t="n">
        <v>581.2</v>
      </c>
      <c r="K686" s="3" t="inlineStr">
        <is>
          <t>명성공인, 전용186.64, 근생용지 추천 매물</t>
        </is>
      </c>
      <c r="L686" s="6">
        <f>HYPERLINK("https://fin.land.naver.com/articles/2652073710", "매물Link")</f>
        <v/>
      </c>
      <c r="M686" s="6">
        <f>HYPERLINK("https://map.naver.com/p/search/반곡동 1156", "지도Link")</f>
        <v/>
      </c>
      <c r="N686" s="6">
        <f>HYPERLINK("http://www.eum.go.kr/web/ar/lu/luLandDet.jsp?pnu=3611010100111560000&amp;isNoScr=script&amp;mode=search", "토지이음")</f>
        <v/>
      </c>
      <c r="O686" s="3" t="inlineStr">
        <is>
          <t>명성</t>
        </is>
      </c>
      <c r="P686" s="4" t="n">
        <v>1</v>
      </c>
      <c r="Q686" s="4" t="n">
        <v>617</v>
      </c>
      <c r="R686" s="3" t="inlineStr">
        <is>
          <t>지정되지않음</t>
        </is>
      </c>
      <c r="S686" s="3" t="inlineStr">
        <is>
          <t>상업나지</t>
        </is>
      </c>
      <c r="T686" s="3" t="inlineStr">
        <is>
          <t>평지</t>
        </is>
      </c>
      <c r="U686" s="3" t="inlineStr">
        <is>
          <t>정방형</t>
        </is>
      </c>
      <c r="V686" s="3" t="inlineStr">
        <is>
          <t>중로각지</t>
        </is>
      </c>
    </row>
    <row r="687">
      <c r="A687" s="3" t="inlineStr">
        <is>
          <t>반곡동 1156</t>
        </is>
      </c>
      <c r="B687" s="3" t="inlineStr">
        <is>
          <t>제1종전용주거지역</t>
        </is>
      </c>
      <c r="C687" s="3" t="inlineStr">
        <is>
          <t>대</t>
        </is>
      </c>
      <c r="D687" s="3" t="inlineStr">
        <is>
          <t>대</t>
        </is>
      </c>
      <c r="E687" s="3" t="inlineStr">
        <is>
          <t>매매</t>
        </is>
      </c>
      <c r="F687" s="4" t="n">
        <v>210000</v>
      </c>
      <c r="G687" s="4" t="n">
        <v>617</v>
      </c>
      <c r="H687" s="4" t="n">
        <v>187</v>
      </c>
      <c r="I687" s="5" t="n">
        <v>1123</v>
      </c>
      <c r="J687" s="5" t="n">
        <v>581.2</v>
      </c>
      <c r="K687" s="3" t="inlineStr">
        <is>
          <t>nan</t>
        </is>
      </c>
      <c r="L687" s="6">
        <f>HYPERLINK("https://fin.land.naver.com/articles/2651653557", "매물Link")</f>
        <v/>
      </c>
      <c r="M687" s="6">
        <f>HYPERLINK("https://map.naver.com/p/search/반곡동 1156", "지도Link")</f>
        <v/>
      </c>
      <c r="N687" s="6">
        <f>HYPERLINK("http://www.eum.go.kr/web/ar/lu/luLandDet.jsp?pnu=3611010100111560000&amp;isNoScr=script&amp;mode=search", "토지이음")</f>
        <v/>
      </c>
      <c r="O687" s="3" t="inlineStr">
        <is>
          <t>국제</t>
        </is>
      </c>
      <c r="P687" s="4" t="n">
        <v>2</v>
      </c>
      <c r="Q687" s="4" t="n">
        <v>617</v>
      </c>
      <c r="R687" s="3" t="inlineStr">
        <is>
          <t>지정되지않음</t>
        </is>
      </c>
      <c r="S687" s="3" t="inlineStr">
        <is>
          <t>상업나지</t>
        </is>
      </c>
      <c r="T687" s="3" t="inlineStr">
        <is>
          <t>평지</t>
        </is>
      </c>
      <c r="U687" s="3" t="inlineStr">
        <is>
          <t>정방형</t>
        </is>
      </c>
      <c r="V687" s="3" t="inlineStr">
        <is>
          <t>중로각지</t>
        </is>
      </c>
    </row>
    <row r="688">
      <c r="A688" s="3" t="inlineStr">
        <is>
          <t>반곡동 901</t>
        </is>
      </c>
      <c r="B688" s="3" t="inlineStr">
        <is>
          <t>제1종전용주거지역</t>
        </is>
      </c>
      <c r="C688" s="3" t="inlineStr">
        <is>
          <t>대</t>
        </is>
      </c>
      <c r="D688" s="3" t="inlineStr">
        <is>
          <t>대</t>
        </is>
      </c>
      <c r="E688" s="3" t="inlineStr">
        <is>
          <t>매매</t>
        </is>
      </c>
      <c r="F688" s="4" t="n">
        <v>88000</v>
      </c>
      <c r="G688" s="4" t="n">
        <v>289</v>
      </c>
      <c r="H688" s="4" t="n">
        <v>87</v>
      </c>
      <c r="I688" s="5" t="n">
        <v>1011.5</v>
      </c>
      <c r="J688" s="5" t="n">
        <v>262.6</v>
      </c>
      <c r="K688" s="3" t="inlineStr">
        <is>
          <t>세종시 반곡동 초품아 단독주택용지 I 숲세권, 공지 인접 최상급 위치</t>
        </is>
      </c>
      <c r="L688" s="6">
        <f>HYPERLINK("https://fin.land.naver.com/articles/2652173646", "매물Link")</f>
        <v/>
      </c>
      <c r="M688" s="6">
        <f>HYPERLINK("https://map.naver.com/p/search/반곡동 901", "지도Link")</f>
        <v/>
      </c>
      <c r="N688" s="6">
        <f>HYPERLINK("http://www.eum.go.kr/web/ar/lu/luLandDet.jsp?pnu=3611010100109010000&amp;isNoScr=script&amp;mode=search", "토지이음")</f>
        <v/>
      </c>
      <c r="O688" s="3" t="inlineStr">
        <is>
          <t>세종신한</t>
        </is>
      </c>
      <c r="P688" s="4" t="n">
        <v>1</v>
      </c>
      <c r="Q688" s="4" t="n">
        <v>289</v>
      </c>
      <c r="R688" s="3" t="inlineStr">
        <is>
          <t>지정되지않음</t>
        </is>
      </c>
      <c r="S688" s="3" t="inlineStr">
        <is>
          <t>주거나지</t>
        </is>
      </c>
      <c r="T688" s="3" t="inlineStr">
        <is>
          <t>평지</t>
        </is>
      </c>
      <c r="U688" s="3" t="inlineStr">
        <is>
          <t>사다리형</t>
        </is>
      </c>
      <c r="V688" s="3" t="inlineStr">
        <is>
          <t>소로한면</t>
        </is>
      </c>
    </row>
    <row r="689">
      <c r="A689" s="3" t="inlineStr">
        <is>
          <t>반곡동 908</t>
        </is>
      </c>
      <c r="B689" s="3" t="inlineStr">
        <is>
          <t>제1종전용주거지역</t>
        </is>
      </c>
      <c r="C689" s="3" t="inlineStr">
        <is>
          <t>대</t>
        </is>
      </c>
      <c r="D689" s="3" t="inlineStr">
        <is>
          <t>대</t>
        </is>
      </c>
      <c r="E689" s="3" t="inlineStr">
        <is>
          <t>매매</t>
        </is>
      </c>
      <c r="F689" s="4" t="n">
        <v>80000</v>
      </c>
      <c r="G689" s="4" t="n">
        <v>321</v>
      </c>
      <c r="H689" s="4" t="n">
        <v>97</v>
      </c>
      <c r="I689" s="5" t="n">
        <v>824.7</v>
      </c>
      <c r="J689" s="5" t="n">
        <v>270.5</v>
      </c>
      <c r="K689" s="3" t="inlineStr">
        <is>
          <t>3면코너 시유지접함 위치최상</t>
        </is>
      </c>
      <c r="L689" s="6">
        <f>HYPERLINK("https://fin.land.naver.com/articles/2649625832", "매물Link")</f>
        <v/>
      </c>
      <c r="M689" s="6">
        <f>HYPERLINK("https://map.naver.com/p/search/반곡동 908", "지도Link")</f>
        <v/>
      </c>
      <c r="N689" s="6">
        <f>HYPERLINK("http://www.eum.go.kr/web/ar/lu/luLandDet.jsp?pnu=3611010100109080000&amp;isNoScr=script&amp;mode=search", "토지이음")</f>
        <v/>
      </c>
      <c r="O689" s="3" t="inlineStr">
        <is>
          <t>세종스타</t>
        </is>
      </c>
      <c r="P689" s="4" t="n">
        <v>1</v>
      </c>
      <c r="Q689" s="4" t="n">
        <v>321</v>
      </c>
      <c r="R689" s="3" t="inlineStr">
        <is>
          <t>지정되지않음</t>
        </is>
      </c>
      <c r="S689" s="3" t="inlineStr">
        <is>
          <t>주거나지</t>
        </is>
      </c>
      <c r="T689" s="3" t="inlineStr">
        <is>
          <t>평지</t>
        </is>
      </c>
      <c r="U689" s="3" t="inlineStr">
        <is>
          <t>사다리형</t>
        </is>
      </c>
      <c r="V689" s="3" t="inlineStr">
        <is>
          <t>소로각지</t>
        </is>
      </c>
    </row>
    <row r="690">
      <c r="A690" s="3" t="inlineStr">
        <is>
          <t>반곡동 913</t>
        </is>
      </c>
      <c r="B690" s="3" t="inlineStr">
        <is>
          <t>제1종전용주거지역</t>
        </is>
      </c>
      <c r="C690" s="3" t="inlineStr">
        <is>
          <t>대</t>
        </is>
      </c>
      <c r="D690" s="3" t="inlineStr">
        <is>
          <t>대</t>
        </is>
      </c>
      <c r="E690" s="3" t="inlineStr">
        <is>
          <t>매매</t>
        </is>
      </c>
      <c r="F690" s="4" t="n">
        <v>64000</v>
      </c>
      <c r="G690" s="4" t="n">
        <v>294</v>
      </c>
      <c r="H690" s="4" t="n">
        <v>89</v>
      </c>
      <c r="I690" s="5" t="n">
        <v>719.1</v>
      </c>
      <c r="J690" s="5" t="n">
        <v>262.6</v>
      </c>
      <c r="K690" s="3" t="inlineStr">
        <is>
          <t>괴화산과 공지 품은 힐링되는 귀한 반곡동 단독주택 필지</t>
        </is>
      </c>
      <c r="L690" s="6">
        <f>HYPERLINK("https://fin.land.naver.com/articles/2650850082", "매물Link")</f>
        <v/>
      </c>
      <c r="M690" s="6">
        <f>HYPERLINK("https://map.naver.com/p/search/반곡동 913", "지도Link")</f>
        <v/>
      </c>
      <c r="N690" s="6">
        <f>HYPERLINK("http://www.eum.go.kr/web/ar/lu/luLandDet.jsp?pnu=3611010100109130000&amp;isNoScr=script&amp;mode=search", "토지이음")</f>
        <v/>
      </c>
      <c r="O690" s="3" t="inlineStr">
        <is>
          <t>세종신한</t>
        </is>
      </c>
      <c r="P690" s="4" t="n">
        <v>1</v>
      </c>
      <c r="Q690" s="4" t="n">
        <v>294</v>
      </c>
      <c r="R690" s="3" t="inlineStr">
        <is>
          <t>지정되지않음</t>
        </is>
      </c>
      <c r="S690" s="3" t="inlineStr">
        <is>
          <t>주거나지</t>
        </is>
      </c>
      <c r="T690" s="3" t="inlineStr">
        <is>
          <t>평지</t>
        </is>
      </c>
      <c r="U690" s="3" t="inlineStr">
        <is>
          <t>사다리형</t>
        </is>
      </c>
      <c r="V690" s="3" t="inlineStr">
        <is>
          <t>소로한면</t>
        </is>
      </c>
    </row>
    <row r="691">
      <c r="A691" s="3" t="inlineStr">
        <is>
          <t>반곡동 915</t>
        </is>
      </c>
      <c r="B691" s="3" t="inlineStr">
        <is>
          <t>제1종전용주거지역</t>
        </is>
      </c>
      <c r="C691" s="3" t="inlineStr">
        <is>
          <t>대</t>
        </is>
      </c>
      <c r="D691" s="3" t="inlineStr">
        <is>
          <t>대</t>
        </is>
      </c>
      <c r="E691" s="3" t="inlineStr">
        <is>
          <t>매매</t>
        </is>
      </c>
      <c r="F691" s="4" t="n">
        <v>65000</v>
      </c>
      <c r="G691" s="4" t="n">
        <v>295</v>
      </c>
      <c r="H691" s="4" t="n">
        <v>89</v>
      </c>
      <c r="I691" s="5" t="n">
        <v>730.3</v>
      </c>
      <c r="J691" s="5" t="n">
        <v>262.6</v>
      </c>
      <c r="K691" s="3" t="inlineStr">
        <is>
          <t>산접한곳 숲유치원 초등학교 인근</t>
        </is>
      </c>
      <c r="L691" s="6">
        <f>HYPERLINK("https://fin.land.naver.com/articles/2649626129", "매물Link")</f>
        <v/>
      </c>
      <c r="M691" s="6">
        <f>HYPERLINK("https://map.naver.com/p/search/반곡동 915", "지도Link")</f>
        <v/>
      </c>
      <c r="N691" s="6">
        <f>HYPERLINK("http://www.eum.go.kr/web/ar/lu/luLandDet.jsp?pnu=3611010100109150000&amp;isNoScr=script&amp;mode=search", "토지이음")</f>
        <v/>
      </c>
      <c r="O691" s="3" t="inlineStr">
        <is>
          <t>세종스타</t>
        </is>
      </c>
      <c r="P691" s="4" t="n">
        <v>1</v>
      </c>
      <c r="Q691" s="4" t="n">
        <v>295</v>
      </c>
      <c r="R691" s="3" t="inlineStr">
        <is>
          <t>지정되지않음</t>
        </is>
      </c>
      <c r="S691" s="3" t="inlineStr">
        <is>
          <t>주거나지</t>
        </is>
      </c>
      <c r="T691" s="3" t="inlineStr">
        <is>
          <t>평지</t>
        </is>
      </c>
      <c r="U691" s="3" t="inlineStr">
        <is>
          <t>사다리형</t>
        </is>
      </c>
      <c r="V691" s="3" t="inlineStr">
        <is>
          <t>소로한면</t>
        </is>
      </c>
    </row>
    <row r="692">
      <c r="A692" s="3" t="inlineStr">
        <is>
          <t>반곡동 932</t>
        </is>
      </c>
      <c r="B692" s="3" t="inlineStr">
        <is>
          <t>제1종전용주거지역</t>
        </is>
      </c>
      <c r="C692" s="3" t="inlineStr">
        <is>
          <t>대</t>
        </is>
      </c>
      <c r="D692" s="3" t="inlineStr">
        <is>
          <t>대</t>
        </is>
      </c>
      <c r="E692" s="3" t="inlineStr">
        <is>
          <t>매매</t>
        </is>
      </c>
      <c r="F692" s="4" t="n">
        <v>97000</v>
      </c>
      <c r="G692" s="4" t="n">
        <v>321</v>
      </c>
      <c r="H692" s="4" t="n">
        <v>97</v>
      </c>
      <c r="I692" s="5" t="n">
        <v>1000</v>
      </c>
      <c r="J692" s="5" t="n">
        <v>262.3</v>
      </c>
      <c r="K692" s="3" t="inlineStr">
        <is>
          <t>시유지접한 코너각지 조용한위치 조율가능</t>
        </is>
      </c>
      <c r="L692" s="6">
        <f>HYPERLINK("https://fin.land.naver.com/articles/2651085953", "매물Link")</f>
        <v/>
      </c>
      <c r="M692" s="6">
        <f>HYPERLINK("https://map.naver.com/p/search/반곡동 932", "지도Link")</f>
        <v/>
      </c>
      <c r="N692" s="6">
        <f>HYPERLINK("http://www.eum.go.kr/web/ar/lu/luLandDet.jsp?pnu=3611010100109320000&amp;isNoScr=script&amp;mode=search", "토지이음")</f>
        <v/>
      </c>
      <c r="O692" s="3" t="inlineStr">
        <is>
          <t>세종스타</t>
        </is>
      </c>
      <c r="P692" s="4" t="n">
        <v>1</v>
      </c>
      <c r="Q692" s="4" t="n">
        <v>321</v>
      </c>
      <c r="R692" s="3" t="inlineStr">
        <is>
          <t>지정되지않음</t>
        </is>
      </c>
      <c r="S692" s="3" t="inlineStr">
        <is>
          <t>주거나지</t>
        </is>
      </c>
      <c r="T692" s="3" t="inlineStr">
        <is>
          <t>평지</t>
        </is>
      </c>
      <c r="U692" s="3" t="inlineStr">
        <is>
          <t>사다리형</t>
        </is>
      </c>
      <c r="V692" s="3" t="inlineStr">
        <is>
          <t>소로한면</t>
        </is>
      </c>
    </row>
    <row r="693">
      <c r="A693" s="3" t="inlineStr">
        <is>
          <t>반곡동 932</t>
        </is>
      </c>
      <c r="B693" s="3" t="inlineStr">
        <is>
          <t>제1종전용주거지역</t>
        </is>
      </c>
      <c r="C693" s="3" t="inlineStr">
        <is>
          <t>대</t>
        </is>
      </c>
      <c r="D693" s="3" t="inlineStr">
        <is>
          <t>대</t>
        </is>
      </c>
      <c r="E693" s="3" t="inlineStr">
        <is>
          <t>매매</t>
        </is>
      </c>
      <c r="F693" s="4" t="n">
        <v>97000</v>
      </c>
      <c r="G693" s="4" t="n">
        <v>321</v>
      </c>
      <c r="H693" s="4" t="n">
        <v>97</v>
      </c>
      <c r="I693" s="5" t="n">
        <v>1000</v>
      </c>
      <c r="J693" s="5" t="n">
        <v>262.3</v>
      </c>
      <c r="K693" s="3" t="inlineStr">
        <is>
          <t>위치좋은 지대높은 토지, 97.2p, 시유지 40p 사용가능</t>
        </is>
      </c>
      <c r="L693" s="6">
        <f>HYPERLINK("https://fin.land.naver.com/articles/2651189098", "매물Link")</f>
        <v/>
      </c>
      <c r="M693" s="6">
        <f>HYPERLINK("https://map.naver.com/p/search/반곡동 932", "지도Link")</f>
        <v/>
      </c>
      <c r="N693" s="6">
        <f>HYPERLINK("http://www.eum.go.kr/web/ar/lu/luLandDet.jsp?pnu=3611010100109320000&amp;isNoScr=script&amp;mode=search", "토지이음")</f>
        <v/>
      </c>
      <c r="O693" s="3" t="inlineStr">
        <is>
          <t>세종무지개</t>
        </is>
      </c>
      <c r="P693" s="4" t="n">
        <v>1</v>
      </c>
      <c r="Q693" s="4" t="n">
        <v>321</v>
      </c>
      <c r="R693" s="3" t="inlineStr">
        <is>
          <t>지정되지않음</t>
        </is>
      </c>
      <c r="S693" s="3" t="inlineStr">
        <is>
          <t>주거나지</t>
        </is>
      </c>
      <c r="T693" s="3" t="inlineStr">
        <is>
          <t>평지</t>
        </is>
      </c>
      <c r="U693" s="3" t="inlineStr">
        <is>
          <t>사다리형</t>
        </is>
      </c>
      <c r="V693" s="3" t="inlineStr">
        <is>
          <t>소로한면</t>
        </is>
      </c>
    </row>
    <row r="694">
      <c r="A694" s="3" t="inlineStr">
        <is>
          <t>반곡동 943</t>
        </is>
      </c>
      <c r="B694" s="3" t="inlineStr">
        <is>
          <t>제1종전용주거지역</t>
        </is>
      </c>
      <c r="C694" s="3" t="inlineStr">
        <is>
          <t>대</t>
        </is>
      </c>
      <c r="D694" s="3" t="inlineStr">
        <is>
          <t>대</t>
        </is>
      </c>
      <c r="E694" s="3" t="inlineStr">
        <is>
          <t>매매</t>
        </is>
      </c>
      <c r="F694" s="4" t="n">
        <v>73000</v>
      </c>
      <c r="G694" s="4" t="n">
        <v>350</v>
      </c>
      <c r="H694" s="4" t="n">
        <v>106</v>
      </c>
      <c r="I694" s="5" t="n">
        <v>688.7</v>
      </c>
      <c r="J694" s="5" t="n">
        <v>262.3</v>
      </c>
      <c r="K694" s="3" t="inlineStr">
        <is>
          <t>실개천옆 벙커주차장 설계가능 적극조율 협의가능</t>
        </is>
      </c>
      <c r="L694" s="6">
        <f>HYPERLINK("https://fin.land.naver.com/articles/2649625471", "매물Link")</f>
        <v/>
      </c>
      <c r="M694" s="6">
        <f>HYPERLINK("https://map.naver.com/p/search/반곡동 943", "지도Link")</f>
        <v/>
      </c>
      <c r="N694" s="6">
        <f>HYPERLINK("http://www.eum.go.kr/web/ar/lu/luLandDet.jsp?pnu=3611010100109430000&amp;isNoScr=script&amp;mode=search", "토지이음")</f>
        <v/>
      </c>
      <c r="O694" s="3" t="inlineStr">
        <is>
          <t>세종스타</t>
        </is>
      </c>
      <c r="P694" s="4" t="n">
        <v>1</v>
      </c>
      <c r="Q694" s="4" t="n">
        <v>350</v>
      </c>
      <c r="R694" s="3" t="inlineStr">
        <is>
          <t>지정되지않음</t>
        </is>
      </c>
      <c r="S694" s="3" t="inlineStr">
        <is>
          <t>주거나지</t>
        </is>
      </c>
      <c r="T694" s="3" t="inlineStr">
        <is>
          <t>평지</t>
        </is>
      </c>
      <c r="U694" s="3" t="inlineStr">
        <is>
          <t>사다리형</t>
        </is>
      </c>
      <c r="V694" s="3" t="inlineStr">
        <is>
          <t>소로한면</t>
        </is>
      </c>
    </row>
    <row r="695">
      <c r="A695" s="3" t="inlineStr">
        <is>
          <t>반곡동 947</t>
        </is>
      </c>
      <c r="B695" s="3" t="inlineStr">
        <is>
          <t>제1종전용주거지역</t>
        </is>
      </c>
      <c r="C695" s="3" t="inlineStr">
        <is>
          <t>대</t>
        </is>
      </c>
      <c r="D695" s="3" t="inlineStr">
        <is>
          <t>대</t>
        </is>
      </c>
      <c r="E695" s="3" t="inlineStr">
        <is>
          <t>매매</t>
        </is>
      </c>
      <c r="F695" s="4" t="n">
        <v>83000</v>
      </c>
      <c r="G695" s="4" t="n">
        <v>343</v>
      </c>
      <c r="H695" s="4" t="n">
        <v>104</v>
      </c>
      <c r="I695" s="5" t="n">
        <v>798.1</v>
      </c>
      <c r="J695" s="5" t="n">
        <v>262.3</v>
      </c>
      <c r="K695" s="3" t="inlineStr">
        <is>
          <t>조율가능 산조망 조용한곳 땅모양 네모반듯</t>
        </is>
      </c>
      <c r="L695" s="6">
        <f>HYPERLINK("https://fin.land.naver.com/articles/2650653583", "매물Link")</f>
        <v/>
      </c>
      <c r="M695" s="6">
        <f>HYPERLINK("https://map.naver.com/p/search/반곡동 947", "지도Link")</f>
        <v/>
      </c>
      <c r="N695" s="6">
        <f>HYPERLINK("http://www.eum.go.kr/web/ar/lu/luLandDet.jsp?pnu=3611010100109470000&amp;isNoScr=script&amp;mode=search", "토지이음")</f>
        <v/>
      </c>
      <c r="O695" s="3" t="inlineStr">
        <is>
          <t>세종스타</t>
        </is>
      </c>
      <c r="P695" s="4" t="n">
        <v>1</v>
      </c>
      <c r="Q695" s="4" t="n">
        <v>343</v>
      </c>
      <c r="R695" s="3" t="inlineStr">
        <is>
          <t>지정되지않음</t>
        </is>
      </c>
      <c r="S695" s="3" t="inlineStr">
        <is>
          <t>주거나지</t>
        </is>
      </c>
      <c r="T695" s="3" t="inlineStr">
        <is>
          <t>평지</t>
        </is>
      </c>
      <c r="U695" s="3" t="inlineStr">
        <is>
          <t>사다리형</t>
        </is>
      </c>
      <c r="V695" s="3" t="inlineStr">
        <is>
          <t>소로한면</t>
        </is>
      </c>
    </row>
    <row r="696">
      <c r="A696" s="3" t="inlineStr">
        <is>
          <t>반곡동 959</t>
        </is>
      </c>
      <c r="B696" s="3" t="inlineStr">
        <is>
          <t>제1종전용주거지역</t>
        </is>
      </c>
      <c r="C696" s="3" t="inlineStr">
        <is>
          <t>대</t>
        </is>
      </c>
      <c r="D696" s="3" t="inlineStr">
        <is>
          <t>대</t>
        </is>
      </c>
      <c r="E696" s="3" t="inlineStr">
        <is>
          <t>매매</t>
        </is>
      </c>
      <c r="F696" s="4" t="n">
        <v>88000</v>
      </c>
      <c r="G696" s="4" t="n">
        <v>361</v>
      </c>
      <c r="H696" s="4" t="n">
        <v>109</v>
      </c>
      <c r="I696" s="5" t="n">
        <v>807.3</v>
      </c>
      <c r="J696" s="5" t="n">
        <v>262.3</v>
      </c>
      <c r="K696" s="3" t="inlineStr">
        <is>
          <t>추가조율가능 벙커주차장가능 지대높고 개인사생활최상</t>
        </is>
      </c>
      <c r="L696" s="6">
        <f>HYPERLINK("https://fin.land.naver.com/articles/2651086630", "매물Link")</f>
        <v/>
      </c>
      <c r="M696" s="6">
        <f>HYPERLINK("https://map.naver.com/p/search/반곡동 959", "지도Link")</f>
        <v/>
      </c>
      <c r="N696" s="6">
        <f>HYPERLINK("http://www.eum.go.kr/web/ar/lu/luLandDet.jsp?pnu=3611010100109590000&amp;isNoScr=script&amp;mode=search", "토지이음")</f>
        <v/>
      </c>
      <c r="O696" s="3" t="inlineStr">
        <is>
          <t>세종스타</t>
        </is>
      </c>
      <c r="P696" s="4" t="n">
        <v>1</v>
      </c>
      <c r="Q696" s="4" t="n">
        <v>361</v>
      </c>
      <c r="R696" s="3" t="inlineStr">
        <is>
          <t>지정되지않음</t>
        </is>
      </c>
      <c r="S696" s="3" t="inlineStr">
        <is>
          <t>주거나지</t>
        </is>
      </c>
      <c r="T696" s="3" t="inlineStr">
        <is>
          <t>평지</t>
        </is>
      </c>
      <c r="U696" s="3" t="inlineStr">
        <is>
          <t>사다리형</t>
        </is>
      </c>
      <c r="V696" s="3" t="inlineStr">
        <is>
          <t>소로한면</t>
        </is>
      </c>
    </row>
    <row r="697">
      <c r="A697" s="3" t="inlineStr">
        <is>
          <t>반곡동 963</t>
        </is>
      </c>
      <c r="B697" s="3" t="inlineStr">
        <is>
          <t>제1종전용주거지역</t>
        </is>
      </c>
      <c r="C697" s="3" t="inlineStr">
        <is>
          <t>대</t>
        </is>
      </c>
      <c r="D697" s="3" t="inlineStr">
        <is>
          <t>대</t>
        </is>
      </c>
      <c r="E697" s="3" t="inlineStr">
        <is>
          <t>매매</t>
        </is>
      </c>
      <c r="F697" s="4" t="n">
        <v>90000</v>
      </c>
      <c r="G697" s="4" t="n">
        <v>423</v>
      </c>
      <c r="H697" s="4" t="n">
        <v>128</v>
      </c>
      <c r="I697" s="5" t="n">
        <v>703.1</v>
      </c>
      <c r="J697" s="5" t="n">
        <v>262.3</v>
      </c>
      <c r="K697" s="3" t="inlineStr">
        <is>
          <t>넓은평수,넓은지하주차장가능,고급 단독주택지,조율가</t>
        </is>
      </c>
      <c r="L697" s="6">
        <f>HYPERLINK("https://fin.land.naver.com/articles/2650422992", "매물Link")</f>
        <v/>
      </c>
      <c r="M697" s="6">
        <f>HYPERLINK("https://map.naver.com/p/search/반곡동 963", "지도Link")</f>
        <v/>
      </c>
      <c r="N697" s="6">
        <f>HYPERLINK("http://www.eum.go.kr/web/ar/lu/luLandDet.jsp?pnu=3611010100109630000&amp;isNoScr=script&amp;mode=search", "토지이음")</f>
        <v/>
      </c>
      <c r="O697" s="3" t="inlineStr">
        <is>
          <t>세종시티</t>
        </is>
      </c>
      <c r="P697" s="4" t="n">
        <v>1</v>
      </c>
      <c r="Q697" s="4" t="n">
        <v>423</v>
      </c>
      <c r="R697" s="3" t="inlineStr">
        <is>
          <t>지정되지않음</t>
        </is>
      </c>
      <c r="S697" s="3" t="inlineStr">
        <is>
          <t>주거나지</t>
        </is>
      </c>
      <c r="T697" s="3" t="inlineStr">
        <is>
          <t>평지</t>
        </is>
      </c>
      <c r="U697" s="3" t="inlineStr">
        <is>
          <t>사다리형</t>
        </is>
      </c>
      <c r="V697" s="3" t="inlineStr">
        <is>
          <t>소로한면</t>
        </is>
      </c>
    </row>
    <row r="698">
      <c r="A698" s="3" t="inlineStr">
        <is>
          <t>반곡동 963</t>
        </is>
      </c>
      <c r="B698" s="3" t="inlineStr">
        <is>
          <t>제1종전용주거지역</t>
        </is>
      </c>
      <c r="C698" s="3" t="inlineStr">
        <is>
          <t>대</t>
        </is>
      </c>
      <c r="D698" s="3" t="inlineStr">
        <is>
          <t>대</t>
        </is>
      </c>
      <c r="E698" s="3" t="inlineStr">
        <is>
          <t>매매</t>
        </is>
      </c>
      <c r="F698" s="4" t="n">
        <v>90000</v>
      </c>
      <c r="G698" s="4" t="n">
        <v>423</v>
      </c>
      <c r="H698" s="4" t="n">
        <v>128</v>
      </c>
      <c r="I698" s="5" t="n">
        <v>703.1</v>
      </c>
      <c r="J698" s="5" t="n">
        <v>262.3</v>
      </c>
      <c r="K698" s="3" t="inlineStr">
        <is>
          <t>I 신한 I  국회 집무실 인근  BRT 상권 학교 모두 품은 귀한 택지</t>
        </is>
      </c>
      <c r="L698" s="6">
        <f>HYPERLINK("https://fin.land.naver.com/articles/2650547909", "매물Link")</f>
        <v/>
      </c>
      <c r="M698" s="6">
        <f>HYPERLINK("https://map.naver.com/p/search/반곡동 963", "지도Link")</f>
        <v/>
      </c>
      <c r="N698" s="6">
        <f>HYPERLINK("http://www.eum.go.kr/web/ar/lu/luLandDet.jsp?pnu=3611010100109630000&amp;isNoScr=script&amp;mode=search", "토지이음")</f>
        <v/>
      </c>
      <c r="O698" s="3" t="inlineStr">
        <is>
          <t>세종신한</t>
        </is>
      </c>
      <c r="P698" s="4" t="n">
        <v>1</v>
      </c>
      <c r="Q698" s="4" t="n">
        <v>423</v>
      </c>
      <c r="R698" s="3" t="inlineStr">
        <is>
          <t>지정되지않음</t>
        </is>
      </c>
      <c r="S698" s="3" t="inlineStr">
        <is>
          <t>주거나지</t>
        </is>
      </c>
      <c r="T698" s="3" t="inlineStr">
        <is>
          <t>평지</t>
        </is>
      </c>
      <c r="U698" s="3" t="inlineStr">
        <is>
          <t>사다리형</t>
        </is>
      </c>
      <c r="V698" s="3" t="inlineStr">
        <is>
          <t>소로한면</t>
        </is>
      </c>
    </row>
    <row r="699">
      <c r="A699" s="3" t="inlineStr">
        <is>
          <t>반곡동 979</t>
        </is>
      </c>
      <c r="B699" s="3" t="inlineStr">
        <is>
          <t>제1종전용주거지역</t>
        </is>
      </c>
      <c r="C699" s="3" t="inlineStr">
        <is>
          <t>대</t>
        </is>
      </c>
      <c r="D699" s="3" t="inlineStr">
        <is>
          <t>대</t>
        </is>
      </c>
      <c r="E699" s="3" t="inlineStr">
        <is>
          <t>매매</t>
        </is>
      </c>
      <c r="F699" s="4" t="n">
        <v>68000</v>
      </c>
      <c r="G699" s="4" t="n">
        <v>324</v>
      </c>
      <c r="H699" s="4" t="n">
        <v>98</v>
      </c>
      <c r="I699" s="5" t="n">
        <v>693.9</v>
      </c>
      <c r="J699" s="5" t="n">
        <v>262.3</v>
      </c>
      <c r="K699" s="3" t="inlineStr">
        <is>
          <t>급매 3면코너 최고위치 조율협의가능</t>
        </is>
      </c>
      <c r="L699" s="6">
        <f>HYPERLINK("https://fin.land.naver.com/articles/2649625260", "매물Link")</f>
        <v/>
      </c>
      <c r="M699" s="6">
        <f>HYPERLINK("https://map.naver.com/p/search/반곡동 979", "지도Link")</f>
        <v/>
      </c>
      <c r="N699" s="6">
        <f>HYPERLINK("http://www.eum.go.kr/web/ar/lu/luLandDet.jsp?pnu=3611010100109790000&amp;isNoScr=script&amp;mode=search", "토지이음")</f>
        <v/>
      </c>
      <c r="O699" s="3" t="inlineStr">
        <is>
          <t>세종스타</t>
        </is>
      </c>
      <c r="P699" s="4" t="n">
        <v>1</v>
      </c>
      <c r="Q699" s="4" t="n">
        <v>324.4</v>
      </c>
      <c r="R699" s="3" t="inlineStr">
        <is>
          <t>지정되지않음</t>
        </is>
      </c>
      <c r="S699" s="3" t="inlineStr">
        <is>
          <t>주거나지</t>
        </is>
      </c>
      <c r="T699" s="3" t="inlineStr">
        <is>
          <t>평지</t>
        </is>
      </c>
      <c r="U699" s="3" t="inlineStr">
        <is>
          <t>사다리형</t>
        </is>
      </c>
      <c r="V699" s="3" t="inlineStr">
        <is>
          <t>소로한면</t>
        </is>
      </c>
    </row>
    <row r="700">
      <c r="A700" s="3" t="inlineStr">
        <is>
          <t>반곡동 994</t>
        </is>
      </c>
      <c r="B700" s="3" t="inlineStr">
        <is>
          <t>제1종전용주거지역</t>
        </is>
      </c>
      <c r="C700" s="3" t="inlineStr">
        <is>
          <t>대</t>
        </is>
      </c>
      <c r="D700" s="3" t="inlineStr">
        <is>
          <t>대</t>
        </is>
      </c>
      <c r="E700" s="3" t="inlineStr">
        <is>
          <t>매매</t>
        </is>
      </c>
      <c r="F700" s="4" t="n">
        <v>35000</v>
      </c>
      <c r="G700" s="4" t="n">
        <v>162</v>
      </c>
      <c r="H700" s="4" t="n">
        <v>49</v>
      </c>
      <c r="I700" s="5" t="n">
        <v>714.3</v>
      </c>
      <c r="J700" s="5" t="n">
        <v>262.3</v>
      </c>
      <c r="K700" s="3" t="inlineStr">
        <is>
          <t>급매 추가조율협의가능 네모반듯 소형택지</t>
        </is>
      </c>
      <c r="L700" s="6">
        <f>HYPERLINK("https://fin.land.naver.com/articles/2653171946", "매물Link")</f>
        <v/>
      </c>
      <c r="M700" s="6">
        <f>HYPERLINK("https://map.naver.com/p/search/반곡동 994", "지도Link")</f>
        <v/>
      </c>
      <c r="N700" s="6">
        <f>HYPERLINK("http://www.eum.go.kr/web/ar/lu/luLandDet.jsp?pnu=3611010100109940000&amp;isNoScr=script&amp;mode=search", "토지이음")</f>
        <v/>
      </c>
      <c r="O700" s="3" t="inlineStr">
        <is>
          <t>세종스타</t>
        </is>
      </c>
      <c r="P700" s="4" t="n">
        <v>1</v>
      </c>
      <c r="Q700" s="4" t="n">
        <v>162</v>
      </c>
      <c r="R700" s="3" t="inlineStr">
        <is>
          <t>지정되지않음</t>
        </is>
      </c>
      <c r="S700" s="3" t="inlineStr">
        <is>
          <t>주거나지</t>
        </is>
      </c>
      <c r="T700" s="3" t="inlineStr">
        <is>
          <t>평지</t>
        </is>
      </c>
      <c r="U700" s="3" t="inlineStr">
        <is>
          <t>사다리형</t>
        </is>
      </c>
      <c r="V700" s="3" t="inlineStr">
        <is>
          <t>소로한면</t>
        </is>
      </c>
    </row>
    <row r="701">
      <c r="A701" s="3" t="inlineStr">
        <is>
          <t>반곡동 995</t>
        </is>
      </c>
      <c r="B701" s="3" t="inlineStr">
        <is>
          <t>제1종전용주거지역</t>
        </is>
      </c>
      <c r="C701" s="3" t="inlineStr">
        <is>
          <t>대</t>
        </is>
      </c>
      <c r="D701" s="3" t="inlineStr">
        <is>
          <t>대</t>
        </is>
      </c>
      <c r="E701" s="3" t="inlineStr">
        <is>
          <t>매매</t>
        </is>
      </c>
      <c r="F701" s="4" t="n">
        <v>50000</v>
      </c>
      <c r="G701" s="4" t="n">
        <v>168</v>
      </c>
      <c r="H701" s="4" t="n">
        <v>51</v>
      </c>
      <c r="I701" s="5" t="n">
        <v>980.4</v>
      </c>
      <c r="J701" s="5" t="n">
        <v>265</v>
      </c>
      <c r="K701" s="3" t="inlineStr">
        <is>
          <t>나대지,  전용주거지역, 조용하고 깨끗한 도시</t>
        </is>
      </c>
      <c r="L701" s="6">
        <f>HYPERLINK("https://fin.land.naver.com/articles/2650584726", "매물Link")</f>
        <v/>
      </c>
      <c r="M701" s="6">
        <f>HYPERLINK("https://map.naver.com/p/search/반곡동 995", "지도Link")</f>
        <v/>
      </c>
      <c r="N701" s="6">
        <f>HYPERLINK("http://www.eum.go.kr/web/ar/lu/luLandDet.jsp?pnu=3611010100109950000&amp;isNoScr=script&amp;mode=search", "토지이음")</f>
        <v/>
      </c>
      <c r="O701" s="3" t="inlineStr">
        <is>
          <t>상계랜드 무소</t>
        </is>
      </c>
      <c r="P701" s="4" t="n">
        <v>1</v>
      </c>
      <c r="Q701" s="4" t="n">
        <v>168</v>
      </c>
      <c r="R701" s="3" t="inlineStr">
        <is>
          <t>지정되지않음</t>
        </is>
      </c>
      <c r="S701" s="3" t="inlineStr">
        <is>
          <t>주거나지</t>
        </is>
      </c>
      <c r="T701" s="3" t="inlineStr">
        <is>
          <t>평지</t>
        </is>
      </c>
      <c r="U701" s="3" t="inlineStr">
        <is>
          <t>세로장방</t>
        </is>
      </c>
      <c r="V701" s="3" t="inlineStr">
        <is>
          <t>소로한면</t>
        </is>
      </c>
    </row>
    <row r="702">
      <c r="A702" s="3" t="inlineStr">
        <is>
          <t>부강면 갈산리 162-2</t>
        </is>
      </c>
      <c r="B702" s="3" t="inlineStr">
        <is>
          <t>계획관리지역</t>
        </is>
      </c>
      <c r="C702" s="3" t="inlineStr">
        <is>
          <t>전</t>
        </is>
      </c>
      <c r="D702" s="3" t="inlineStr">
        <is>
          <t>전</t>
        </is>
      </c>
      <c r="E702" s="3" t="inlineStr">
        <is>
          <t>매매</t>
        </is>
      </c>
      <c r="F702" s="4" t="n">
        <v>208600</v>
      </c>
      <c r="G702" s="4" t="n">
        <v>1724</v>
      </c>
      <c r="H702" s="4" t="n">
        <v>522</v>
      </c>
      <c r="I702" s="5" t="n">
        <v>399.6</v>
      </c>
      <c r="J702" s="5" t="n">
        <v>56.7</v>
      </c>
      <c r="K702" s="3" t="inlineStr">
        <is>
          <t>갈산리 대도로접한 토지 매매, 세차장,타이어판매점,음식점 추천</t>
        </is>
      </c>
      <c r="L702" s="6">
        <f>HYPERLINK("https://fin.land.naver.com/articles/2654473677", "매물Link")</f>
        <v/>
      </c>
      <c r="M702" s="6">
        <f>HYPERLINK("https://map.naver.com/p/search/부강면 갈산리 162-2", "지도Link")</f>
        <v/>
      </c>
      <c r="N702" s="6">
        <f>HYPERLINK("http://www.eum.go.kr/web/ar/lu/luLandDet.jsp?pnu=3611033024101620002&amp;isNoScr=script&amp;mode=search", "토지이음")</f>
        <v/>
      </c>
      <c r="O702" s="3" t="inlineStr">
        <is>
          <t>국제</t>
        </is>
      </c>
      <c r="P702" s="4" t="n">
        <v>1</v>
      </c>
      <c r="Q702" s="4" t="n">
        <v>1724</v>
      </c>
      <c r="R702" s="3" t="inlineStr">
        <is>
          <t>지정되지않음</t>
        </is>
      </c>
      <c r="S702" s="3" t="inlineStr">
        <is>
          <t>답기타</t>
        </is>
      </c>
      <c r="T702" s="3" t="inlineStr">
        <is>
          <t>평지</t>
        </is>
      </c>
      <c r="U702" s="3" t="inlineStr">
        <is>
          <t>사다리형</t>
        </is>
      </c>
      <c r="V702" s="3" t="inlineStr">
        <is>
          <t>소로한면</t>
        </is>
      </c>
    </row>
    <row r="703">
      <c r="A703" s="3" t="inlineStr">
        <is>
          <t>부강면 갈산리 176-3</t>
        </is>
      </c>
      <c r="B703" s="3" t="inlineStr">
        <is>
          <t>계획관리지역</t>
        </is>
      </c>
      <c r="C703" s="3" t="inlineStr">
        <is>
          <t>전</t>
        </is>
      </c>
      <c r="D703" s="3" t="inlineStr">
        <is>
          <t>전</t>
        </is>
      </c>
      <c r="E703" s="3" t="inlineStr">
        <is>
          <t>매매</t>
        </is>
      </c>
      <c r="F703" s="4" t="n">
        <v>27000</v>
      </c>
      <c r="G703" s="4" t="n">
        <v>494</v>
      </c>
      <c r="H703" s="4" t="n">
        <v>149</v>
      </c>
      <c r="I703" s="5" t="n">
        <v>181.2</v>
      </c>
      <c r="J703" s="5" t="n">
        <v>43.4</v>
      </c>
      <c r="K703" s="3" t="inlineStr">
        <is>
          <t>nan</t>
        </is>
      </c>
      <c r="L703" s="6">
        <f>HYPERLINK("https://fin.land.naver.com/articles/2651704286", "매물Link")</f>
        <v/>
      </c>
      <c r="M703" s="6">
        <f>HYPERLINK("https://map.naver.com/p/search/부강면 갈산리 176-3", "지도Link")</f>
        <v/>
      </c>
      <c r="N703" s="6">
        <f>HYPERLINK("http://www.eum.go.kr/web/ar/lu/luLandDet.jsp?pnu=3611033024101760003&amp;isNoScr=script&amp;mode=search", "토지이음")</f>
        <v/>
      </c>
      <c r="O703" s="3" t="inlineStr">
        <is>
          <t>장원</t>
        </is>
      </c>
      <c r="P703" s="4" t="n">
        <v>1</v>
      </c>
      <c r="Q703" s="4" t="n">
        <v>494</v>
      </c>
      <c r="R703" s="3" t="inlineStr">
        <is>
          <t>지정되지않음</t>
        </is>
      </c>
      <c r="S703" s="3" t="inlineStr">
        <is>
          <t>답</t>
        </is>
      </c>
      <c r="T703" s="3" t="inlineStr">
        <is>
          <t>완경사</t>
        </is>
      </c>
      <c r="U703" s="3" t="inlineStr">
        <is>
          <t>사다리형</t>
        </is>
      </c>
      <c r="V703" s="3" t="inlineStr">
        <is>
          <t>세로한면(가)</t>
        </is>
      </c>
    </row>
    <row r="704">
      <c r="A704" s="3" t="inlineStr">
        <is>
          <t>부강면 갈산리 212-1</t>
        </is>
      </c>
      <c r="B704" s="3" t="inlineStr">
        <is>
          <t>계획관리지역</t>
        </is>
      </c>
      <c r="C704" s="3" t="inlineStr">
        <is>
          <t>전</t>
        </is>
      </c>
      <c r="D704" s="3" t="inlineStr">
        <is>
          <t>전</t>
        </is>
      </c>
      <c r="E704" s="3" t="inlineStr">
        <is>
          <t>매매</t>
        </is>
      </c>
      <c r="F704" s="4" t="n">
        <v>35000</v>
      </c>
      <c r="G704" s="4" t="n">
        <v>654</v>
      </c>
      <c r="H704" s="4" t="n">
        <v>198</v>
      </c>
      <c r="I704" s="5" t="n">
        <v>176.8</v>
      </c>
      <c r="J704" s="5" t="n">
        <v>40.6</v>
      </c>
      <c r="K704" s="3" t="inlineStr">
        <is>
          <t>수도,전기  시설물 하우스 전원주택지로 최상입니다.</t>
        </is>
      </c>
      <c r="L704" s="6">
        <f>HYPERLINK("https://fin.land.naver.com/articles/2652967855", "매물Link")</f>
        <v/>
      </c>
      <c r="M704" s="6">
        <f>HYPERLINK("https://map.naver.com/p/search/부강면 갈산리 212-1", "지도Link")</f>
        <v/>
      </c>
      <c r="N704" s="6">
        <f>HYPERLINK("http://www.eum.go.kr/web/ar/lu/luLandDet.jsp?pnu=3611033024102120001&amp;isNoScr=script&amp;mode=search", "토지이음")</f>
        <v/>
      </c>
      <c r="O704" s="3" t="inlineStr">
        <is>
          <t>강남뜰</t>
        </is>
      </c>
      <c r="P704" s="4" t="n">
        <v>1</v>
      </c>
      <c r="Q704" s="4" t="n">
        <v>654</v>
      </c>
      <c r="R704" s="3" t="inlineStr">
        <is>
          <t>지정되지않음</t>
        </is>
      </c>
      <c r="S704" s="3" t="inlineStr">
        <is>
          <t>전</t>
        </is>
      </c>
      <c r="T704" s="3" t="inlineStr">
        <is>
          <t>평지</t>
        </is>
      </c>
      <c r="U704" s="3" t="inlineStr">
        <is>
          <t>부정형</t>
        </is>
      </c>
      <c r="V704" s="3" t="inlineStr">
        <is>
          <t>세로각지(가)</t>
        </is>
      </c>
    </row>
    <row r="705">
      <c r="A705" s="3" t="inlineStr">
        <is>
          <t>부강면 갈산리 240-1</t>
        </is>
      </c>
      <c r="B705" s="3" t="inlineStr">
        <is>
          <t>계획관리지역</t>
        </is>
      </c>
      <c r="C705" s="3" t="inlineStr">
        <is>
          <t>전</t>
        </is>
      </c>
      <c r="D705" s="3" t="inlineStr">
        <is>
          <t>임야</t>
        </is>
      </c>
      <c r="E705" s="3" t="inlineStr">
        <is>
          <t>매매</t>
        </is>
      </c>
      <c r="F705" s="4" t="n">
        <v>1900000</v>
      </c>
      <c r="G705" s="4" t="n">
        <v>81653</v>
      </c>
      <c r="H705" s="4" t="n">
        <v>24700</v>
      </c>
      <c r="I705" s="5" t="n">
        <v>76.90000000000001</v>
      </c>
      <c r="J705" s="5" t="n">
        <v>51</v>
      </c>
      <c r="K705" s="3" t="inlineStr">
        <is>
          <t>갈산리 복합물류단지 인접</t>
        </is>
      </c>
      <c r="L705" s="6">
        <f>HYPERLINK("https://fin.land.naver.com/articles/2653531918", "매물Link")</f>
        <v/>
      </c>
      <c r="M705" s="6">
        <f>HYPERLINK("https://map.naver.com/p/search/부강면 갈산리 240-1", "지도Link")</f>
        <v/>
      </c>
      <c r="N705" s="6">
        <f>HYPERLINK("http://www.eum.go.kr/web/ar/lu/luLandDet.jsp?pnu=3611033024102400001&amp;isNoScr=script&amp;mode=search", "토지이음")</f>
        <v/>
      </c>
      <c r="O705" s="3" t="inlineStr">
        <is>
          <t>황제</t>
        </is>
      </c>
      <c r="P705" s="4" t="n">
        <v>1</v>
      </c>
      <c r="Q705" s="4" t="n">
        <v>398</v>
      </c>
      <c r="R705" s="3" t="inlineStr">
        <is>
          <t>지정되지않음</t>
        </is>
      </c>
      <c r="S705" s="3" t="inlineStr">
        <is>
          <t>전</t>
        </is>
      </c>
      <c r="T705" s="3" t="inlineStr">
        <is>
          <t>완경사</t>
        </is>
      </c>
      <c r="U705" s="3" t="inlineStr">
        <is>
          <t>부정형</t>
        </is>
      </c>
      <c r="V705" s="3" t="inlineStr">
        <is>
          <t>중로한면</t>
        </is>
      </c>
    </row>
    <row r="706">
      <c r="A706" s="3" t="inlineStr">
        <is>
          <t>부강면 갈산리 260</t>
        </is>
      </c>
      <c r="B706" s="3" t="inlineStr">
        <is>
          <t>계획관리지역</t>
        </is>
      </c>
      <c r="C706" s="3" t="inlineStr">
        <is>
          <t>전</t>
        </is>
      </c>
      <c r="D706" s="3" t="inlineStr">
        <is>
          <t>전</t>
        </is>
      </c>
      <c r="E706" s="3" t="inlineStr">
        <is>
          <t>매매</t>
        </is>
      </c>
      <c r="F706" s="4" t="n">
        <v>57000</v>
      </c>
      <c r="G706" s="4" t="n">
        <v>1190</v>
      </c>
      <c r="H706" s="4" t="n">
        <v>360</v>
      </c>
      <c r="I706" s="5" t="n">
        <v>158.3</v>
      </c>
      <c r="J706" s="5" t="n">
        <v>32.6</v>
      </c>
      <c r="K706" s="3" t="inlineStr">
        <is>
          <t>청주 및 남청주ic에서 세종 진입하는 도로에 접한 광고성 좋은 토지</t>
        </is>
      </c>
      <c r="L706" s="6">
        <f>HYPERLINK("https://fin.land.naver.com/articles/2652067827", "매물Link")</f>
        <v/>
      </c>
      <c r="M706" s="6">
        <f>HYPERLINK("https://map.naver.com/p/search/부강면 갈산리 260", "지도Link")</f>
        <v/>
      </c>
      <c r="N706" s="6">
        <f>HYPERLINK("http://www.eum.go.kr/web/ar/lu/luLandDet.jsp?pnu=3611033024102600000&amp;isNoScr=script&amp;mode=search", "토지이음")</f>
        <v/>
      </c>
      <c r="O706" s="3" t="inlineStr">
        <is>
          <t>연동스카이</t>
        </is>
      </c>
      <c r="P706" s="4" t="n">
        <v>2</v>
      </c>
      <c r="Q706" s="4" t="n">
        <v>1190</v>
      </c>
      <c r="R706" s="3" t="inlineStr">
        <is>
          <t>지정되지않음</t>
        </is>
      </c>
      <c r="S706" s="3" t="inlineStr">
        <is>
          <t>전</t>
        </is>
      </c>
      <c r="T706" s="3" t="inlineStr">
        <is>
          <t>평지</t>
        </is>
      </c>
      <c r="U706" s="3" t="inlineStr">
        <is>
          <t>부정형</t>
        </is>
      </c>
      <c r="V706" s="3" t="inlineStr">
        <is>
          <t>세로한면(불)</t>
        </is>
      </c>
    </row>
    <row r="707">
      <c r="A707" s="3" t="inlineStr">
        <is>
          <t>부강면 갈산리 395</t>
        </is>
      </c>
      <c r="B707" s="3" t="inlineStr">
        <is>
          <t>계획관리지역</t>
        </is>
      </c>
      <c r="C707" s="3" t="inlineStr">
        <is>
          <t>공장용지</t>
        </is>
      </c>
      <c r="D707" s="3" t="inlineStr">
        <is>
          <t>공장용지</t>
        </is>
      </c>
      <c r="E707" s="3" t="inlineStr">
        <is>
          <t>매매</t>
        </is>
      </c>
      <c r="F707" s="4" t="n">
        <v>630000</v>
      </c>
      <c r="G707" s="4" t="n">
        <v>13872</v>
      </c>
      <c r="H707" s="4" t="n">
        <v>4196</v>
      </c>
      <c r="I707" s="5" t="n">
        <v>150.1</v>
      </c>
      <c r="J707" s="5" t="n">
        <v>79.40000000000001</v>
      </c>
      <c r="K707" s="3" t="inlineStr">
        <is>
          <t>남청주 ic 5분, 2차선에서 진입가능한 공장부지</t>
        </is>
      </c>
      <c r="L707" s="6">
        <f>HYPERLINK("https://fin.land.naver.com/articles/2649865459", "매물Link")</f>
        <v/>
      </c>
      <c r="M707" s="6">
        <f>HYPERLINK("https://map.naver.com/p/search/부강면 갈산리 395", "지도Link")</f>
        <v/>
      </c>
      <c r="N707" s="6">
        <f>HYPERLINK("http://www.eum.go.kr/web/ar/lu/luLandDet.jsp?pnu=3611033024103950000&amp;isNoScr=script&amp;mode=search", "토지이음")</f>
        <v/>
      </c>
      <c r="O707" s="3" t="inlineStr">
        <is>
          <t>토담</t>
        </is>
      </c>
      <c r="P707" s="4" t="n">
        <v>1</v>
      </c>
      <c r="Q707" s="4" t="n">
        <v>1283</v>
      </c>
      <c r="R707" s="3" t="inlineStr">
        <is>
          <t>지정되지않음</t>
        </is>
      </c>
      <c r="S707" s="3" t="inlineStr">
        <is>
          <t>공업용</t>
        </is>
      </c>
      <c r="T707" s="3" t="inlineStr">
        <is>
          <t>완경사</t>
        </is>
      </c>
      <c r="U707" s="3" t="inlineStr">
        <is>
          <t>부정형</t>
        </is>
      </c>
      <c r="V707" s="3" t="inlineStr">
        <is>
          <t>소로한면</t>
        </is>
      </c>
    </row>
    <row r="708">
      <c r="A708" s="3" t="inlineStr">
        <is>
          <t>부강면 갈산리 395</t>
        </is>
      </c>
      <c r="B708" s="3" t="inlineStr">
        <is>
          <t>계획관리지역</t>
        </is>
      </c>
      <c r="C708" s="3" t="inlineStr">
        <is>
          <t>공장용지</t>
        </is>
      </c>
      <c r="D708" s="3" t="inlineStr">
        <is>
          <t>공장용지</t>
        </is>
      </c>
      <c r="E708" s="3" t="inlineStr">
        <is>
          <t>매매</t>
        </is>
      </c>
      <c r="F708" s="4" t="n">
        <v>630000</v>
      </c>
      <c r="G708" s="4" t="n">
        <v>13872</v>
      </c>
      <c r="H708" s="4" t="n">
        <v>4196</v>
      </c>
      <c r="I708" s="5" t="n">
        <v>150.1</v>
      </c>
      <c r="J708" s="5" t="n">
        <v>79.40000000000001</v>
      </c>
      <c r="K708" s="3" t="inlineStr">
        <is>
          <t>4200 남청주ic 5분 공장용지 물류센터 창고</t>
        </is>
      </c>
      <c r="L708" s="6">
        <f>HYPERLINK("https://fin.land.naver.com/articles/2650949462", "매물Link")</f>
        <v/>
      </c>
      <c r="M708" s="6">
        <f>HYPERLINK("https://map.naver.com/p/search/부강면 갈산리 395", "지도Link")</f>
        <v/>
      </c>
      <c r="N708" s="6">
        <f>HYPERLINK("http://www.eum.go.kr/web/ar/lu/luLandDet.jsp?pnu=3611033024103950000&amp;isNoScr=script&amp;mode=search", "토지이음")</f>
        <v/>
      </c>
      <c r="O708" s="3" t="inlineStr">
        <is>
          <t>반포더드림</t>
        </is>
      </c>
      <c r="P708" s="4" t="n">
        <v>1</v>
      </c>
      <c r="Q708" s="4" t="n">
        <v>1283</v>
      </c>
      <c r="R708" s="3" t="inlineStr">
        <is>
          <t>지정되지않음</t>
        </is>
      </c>
      <c r="S708" s="3" t="inlineStr">
        <is>
          <t>공업용</t>
        </is>
      </c>
      <c r="T708" s="3" t="inlineStr">
        <is>
          <t>완경사</t>
        </is>
      </c>
      <c r="U708" s="3" t="inlineStr">
        <is>
          <t>부정형</t>
        </is>
      </c>
      <c r="V708" s="3" t="inlineStr">
        <is>
          <t>소로한면</t>
        </is>
      </c>
    </row>
    <row r="709">
      <c r="A709" s="3" t="inlineStr">
        <is>
          <t>부강면 갈산리 398-4</t>
        </is>
      </c>
      <c r="B709" s="3" t="inlineStr">
        <is>
          <t>계획관리지역</t>
        </is>
      </c>
      <c r="C709" s="3" t="inlineStr">
        <is>
          <t>공장용지</t>
        </is>
      </c>
      <c r="D709" s="3" t="inlineStr">
        <is>
          <t>공장용지</t>
        </is>
      </c>
      <c r="E709" s="3" t="inlineStr">
        <is>
          <t>매매</t>
        </is>
      </c>
      <c r="F709" s="4" t="n">
        <v>630000</v>
      </c>
      <c r="G709" s="4" t="n">
        <v>13896</v>
      </c>
      <c r="H709" s="4" t="n">
        <v>4204</v>
      </c>
      <c r="I709" s="5" t="n">
        <v>149.9</v>
      </c>
      <c r="J709" s="5" t="n">
        <v>80.3</v>
      </c>
      <c r="K709" s="3" t="inlineStr">
        <is>
          <t>nan</t>
        </is>
      </c>
      <c r="L709" s="6">
        <f>HYPERLINK("https://fin.land.naver.com/articles/2652010967", "매물Link")</f>
        <v/>
      </c>
      <c r="M709" s="6">
        <f>HYPERLINK("https://map.naver.com/p/search/부강면 갈산리 398-4", "지도Link")</f>
        <v/>
      </c>
      <c r="N709" s="6">
        <f>HYPERLINK("http://www.eum.go.kr/web/ar/lu/luLandDet.jsp?pnu=3611033024103980004&amp;isNoScr=script&amp;mode=search", "토지이음")</f>
        <v/>
      </c>
      <c r="O709" s="3" t="inlineStr">
        <is>
          <t>오너스</t>
        </is>
      </c>
      <c r="P709" s="4" t="n">
        <v>1</v>
      </c>
      <c r="Q709" s="4" t="n">
        <v>7677</v>
      </c>
      <c r="R709" s="3" t="inlineStr">
        <is>
          <t>지정되지않음</t>
        </is>
      </c>
      <c r="S709" s="3" t="inlineStr">
        <is>
          <t>공업용</t>
        </is>
      </c>
      <c r="T709" s="3" t="inlineStr">
        <is>
          <t>완경사</t>
        </is>
      </c>
      <c r="U709" s="3" t="inlineStr">
        <is>
          <t>부정형</t>
        </is>
      </c>
      <c r="V709" s="3" t="inlineStr">
        <is>
          <t>소로한면</t>
        </is>
      </c>
    </row>
    <row r="710">
      <c r="A710" s="3" t="inlineStr">
        <is>
          <t>부강면 갈산리 398-4</t>
        </is>
      </c>
      <c r="B710" s="3" t="inlineStr">
        <is>
          <t>계획관리지역</t>
        </is>
      </c>
      <c r="C710" s="3" t="inlineStr">
        <is>
          <t>공장용지</t>
        </is>
      </c>
      <c r="D710" s="3" t="inlineStr">
        <is>
          <t>공장용지</t>
        </is>
      </c>
      <c r="E710" s="3" t="inlineStr">
        <is>
          <t>매매</t>
        </is>
      </c>
      <c r="F710" s="4" t="n">
        <v>630000</v>
      </c>
      <c r="G710" s="4" t="n">
        <v>13872</v>
      </c>
      <c r="H710" s="4" t="n">
        <v>4196</v>
      </c>
      <c r="I710" s="5" t="n">
        <v>150.1</v>
      </c>
      <c r="J710" s="5" t="n">
        <v>80.3</v>
      </c>
      <c r="K710" s="3" t="inlineStr">
        <is>
          <t>갈산리 교차로에 인접하여 교통여건이 편리함</t>
        </is>
      </c>
      <c r="L710" s="6">
        <f>HYPERLINK("https://fin.land.naver.com/articles/2653353120", "매물Link")</f>
        <v/>
      </c>
      <c r="M710" s="6">
        <f>HYPERLINK("https://map.naver.com/p/search/부강면 갈산리 398-4", "지도Link")</f>
        <v/>
      </c>
      <c r="N710" s="6">
        <f>HYPERLINK("http://www.eum.go.kr/web/ar/lu/luLandDet.jsp?pnu=3611033024103980004&amp;isNoScr=script&amp;mode=search", "토지이음")</f>
        <v/>
      </c>
      <c r="O710" s="3" t="inlineStr">
        <is>
          <t>황제</t>
        </is>
      </c>
      <c r="P710" s="4" t="n">
        <v>1</v>
      </c>
      <c r="Q710" s="4" t="n">
        <v>7677</v>
      </c>
      <c r="R710" s="3" t="inlineStr">
        <is>
          <t>지정되지않음</t>
        </is>
      </c>
      <c r="S710" s="3" t="inlineStr">
        <is>
          <t>공업용</t>
        </is>
      </c>
      <c r="T710" s="3" t="inlineStr">
        <is>
          <t>완경사</t>
        </is>
      </c>
      <c r="U710" s="3" t="inlineStr">
        <is>
          <t>부정형</t>
        </is>
      </c>
      <c r="V710" s="3" t="inlineStr">
        <is>
          <t>소로한면</t>
        </is>
      </c>
    </row>
    <row r="711">
      <c r="A711" s="3" t="inlineStr">
        <is>
          <t>부강면 갈산리 66-6</t>
        </is>
      </c>
      <c r="B711" s="3" t="inlineStr">
        <is>
          <t>계획관리지역</t>
        </is>
      </c>
      <c r="C711" s="3" t="inlineStr">
        <is>
          <t>전</t>
        </is>
      </c>
      <c r="D711" s="3" t="inlineStr">
        <is>
          <t>전</t>
        </is>
      </c>
      <c r="E711" s="3" t="inlineStr">
        <is>
          <t>매매</t>
        </is>
      </c>
      <c r="F711" s="4" t="n">
        <v>59500</v>
      </c>
      <c r="G711" s="4" t="n">
        <v>1964</v>
      </c>
      <c r="H711" s="4" t="n">
        <v>594</v>
      </c>
      <c r="I711" s="5" t="n">
        <v>100.2</v>
      </c>
      <c r="J711" s="5" t="n">
        <v>43.6</v>
      </c>
      <c r="K711" s="3" t="inlineStr">
        <is>
          <t>급매,투자추천,도로접,계획관리.</t>
        </is>
      </c>
      <c r="L711" s="6">
        <f>HYPERLINK("https://fin.land.naver.com/articles/2650666463", "매물Link")</f>
        <v/>
      </c>
      <c r="M711" s="6">
        <f>HYPERLINK("https://map.naver.com/p/search/부강면 갈산리 66-6", "지도Link")</f>
        <v/>
      </c>
      <c r="N711" s="6">
        <f>HYPERLINK("http://www.eum.go.kr/web/ar/lu/luLandDet.jsp?pnu=3611033024100660006&amp;isNoScr=script&amp;mode=search", "토지이음")</f>
        <v/>
      </c>
      <c r="O711" s="3" t="inlineStr">
        <is>
          <t>새롬공간</t>
        </is>
      </c>
      <c r="P711" s="4" t="n">
        <v>1</v>
      </c>
      <c r="Q711" s="4" t="n">
        <v>1964</v>
      </c>
      <c r="R711" s="3" t="inlineStr">
        <is>
          <t>지정되지않음</t>
        </is>
      </c>
      <c r="S711" s="3" t="inlineStr">
        <is>
          <t>전</t>
        </is>
      </c>
      <c r="T711" s="3" t="inlineStr">
        <is>
          <t>평지</t>
        </is>
      </c>
      <c r="U711" s="3" t="inlineStr">
        <is>
          <t>가로장방</t>
        </is>
      </c>
      <c r="V711" s="3" t="inlineStr">
        <is>
          <t>세로각지(가)</t>
        </is>
      </c>
    </row>
    <row r="712">
      <c r="A712" s="3" t="inlineStr">
        <is>
          <t>부강면 갈산리 산51-12</t>
        </is>
      </c>
      <c r="B712" s="3" t="inlineStr">
        <is>
          <t>계획관리지역</t>
        </is>
      </c>
      <c r="C712" s="3" t="inlineStr">
        <is>
          <t>임야</t>
        </is>
      </c>
      <c r="D712" s="3" t="inlineStr">
        <is>
          <t>임야</t>
        </is>
      </c>
      <c r="E712" s="3" t="inlineStr">
        <is>
          <t>매매</t>
        </is>
      </c>
      <c r="F712" s="4" t="n">
        <v>32000</v>
      </c>
      <c r="G712" s="4" t="n">
        <v>833</v>
      </c>
      <c r="H712" s="4" t="n">
        <v>252</v>
      </c>
      <c r="I712" s="5" t="n">
        <v>127</v>
      </c>
      <c r="J712" s="5" t="n">
        <v>11</v>
      </c>
      <c r="K712" s="3" t="inlineStr">
        <is>
          <t>소규모 공장이나 창고, 주차장 추천</t>
        </is>
      </c>
      <c r="L712" s="6">
        <f>HYPERLINK("https://fin.land.naver.com/articles/2652093328", "매물Link")</f>
        <v/>
      </c>
      <c r="M712" s="6">
        <f>HYPERLINK("https://map.naver.com/p/search/부강면 갈산리 산51-12", "지도Link")</f>
        <v/>
      </c>
      <c r="N712" s="6">
        <f>HYPERLINK("http://www.eum.go.kr/web/ar/lu/luLandDet.jsp?pnu=3611033024200510012&amp;isNoScr=script&amp;mode=search", "토지이음")</f>
        <v/>
      </c>
      <c r="O712" s="3" t="inlineStr">
        <is>
          <t>연동스카이</t>
        </is>
      </c>
      <c r="P712" s="4" t="n">
        <v>1</v>
      </c>
      <c r="Q712" s="4" t="n">
        <v>832</v>
      </c>
      <c r="R712" s="3" t="inlineStr">
        <is>
          <t>지정되지않음</t>
        </is>
      </c>
      <c r="S712" s="3" t="inlineStr">
        <is>
          <t>자연림</t>
        </is>
      </c>
      <c r="T712" s="3" t="inlineStr">
        <is>
          <t>완경사</t>
        </is>
      </c>
      <c r="U712" s="3" t="inlineStr">
        <is>
          <t>부정형</t>
        </is>
      </c>
      <c r="V712" s="3" t="inlineStr">
        <is>
          <t>중로한면</t>
        </is>
      </c>
    </row>
    <row r="713">
      <c r="A713" s="3" t="inlineStr">
        <is>
          <t>부강면 금호리 100</t>
        </is>
      </c>
      <c r="B713" s="3" t="inlineStr">
        <is>
          <t>생산관리지역</t>
        </is>
      </c>
      <c r="C713" s="3" t="inlineStr">
        <is>
          <t>대</t>
        </is>
      </c>
      <c r="D713" s="3" t="inlineStr">
        <is>
          <t>대</t>
        </is>
      </c>
      <c r="E713" s="3" t="inlineStr">
        <is>
          <t>매매</t>
        </is>
      </c>
      <c r="F713" s="4" t="n">
        <v>125000</v>
      </c>
      <c r="G713" s="4" t="n">
        <v>1390</v>
      </c>
      <c r="H713" s="4" t="n">
        <v>420</v>
      </c>
      <c r="I713" s="5" t="n">
        <v>297.6</v>
      </c>
      <c r="J713" s="5" t="n">
        <v>75.59999999999999</v>
      </c>
      <c r="K713" s="3" t="inlineStr">
        <is>
          <t>nan</t>
        </is>
      </c>
      <c r="L713" s="6">
        <f>HYPERLINK("https://fin.land.naver.com/articles/2649462827", "매물Link")</f>
        <v/>
      </c>
      <c r="M713" s="6">
        <f>HYPERLINK("https://map.naver.com/p/search/부강면 금호리 100", "지도Link")</f>
        <v/>
      </c>
      <c r="N713" s="6">
        <f>HYPERLINK("http://www.eum.go.kr/web/ar/lu/luLandDet.jsp?pnu=3611033028101000000&amp;isNoScr=script&amp;mode=search", "토지이음")</f>
        <v/>
      </c>
      <c r="O713" s="3" t="inlineStr">
        <is>
          <t>이레</t>
        </is>
      </c>
      <c r="P713" s="4" t="n">
        <v>1</v>
      </c>
      <c r="Q713" s="4" t="n">
        <v>791</v>
      </c>
      <c r="R713" s="3" t="inlineStr">
        <is>
          <t>지정되지않음</t>
        </is>
      </c>
      <c r="S713" s="3" t="inlineStr">
        <is>
          <t>단독</t>
        </is>
      </c>
      <c r="T713" s="3" t="inlineStr">
        <is>
          <t>완경사</t>
        </is>
      </c>
      <c r="U713" s="3" t="inlineStr">
        <is>
          <t>사다리형</t>
        </is>
      </c>
      <c r="V713" s="3" t="inlineStr">
        <is>
          <t>소로한면</t>
        </is>
      </c>
    </row>
    <row r="714">
      <c r="A714" s="3" t="inlineStr">
        <is>
          <t>부강면 금호리 100-5</t>
        </is>
      </c>
      <c r="B714" s="3" t="inlineStr">
        <is>
          <t>생산관리지역</t>
        </is>
      </c>
      <c r="C714" s="3" t="inlineStr">
        <is>
          <t>전</t>
        </is>
      </c>
      <c r="D714" s="3" t="inlineStr">
        <is>
          <t>대</t>
        </is>
      </c>
      <c r="E714" s="3" t="inlineStr">
        <is>
          <t>매매</t>
        </is>
      </c>
      <c r="F714" s="4" t="n">
        <v>380000</v>
      </c>
      <c r="G714" s="4" t="n">
        <v>13605</v>
      </c>
      <c r="H714" s="4" t="n">
        <v>4116</v>
      </c>
      <c r="I714" s="5" t="n">
        <v>92.3</v>
      </c>
      <c r="J714" s="5" t="n">
        <v>40.7</v>
      </c>
      <c r="K714" s="3" t="inlineStr">
        <is>
          <t>nan</t>
        </is>
      </c>
      <c r="L714" s="6">
        <f>HYPERLINK("https://fin.land.naver.com/articles/2651714892", "매물Link")</f>
        <v/>
      </c>
      <c r="M714" s="6">
        <f>HYPERLINK("https://map.naver.com/p/search/부강면 금호리 100-5", "지도Link")</f>
        <v/>
      </c>
      <c r="N714" s="6">
        <f>HYPERLINK("http://www.eum.go.kr/web/ar/lu/luLandDet.jsp?pnu=3611033028101000005&amp;isNoScr=script&amp;mode=search", "토지이음")</f>
        <v/>
      </c>
      <c r="O714" s="3" t="inlineStr">
        <is>
          <t>이레</t>
        </is>
      </c>
      <c r="P714" s="4" t="n">
        <v>1</v>
      </c>
      <c r="Q714" s="4" t="n">
        <v>81</v>
      </c>
      <c r="R714" s="3" t="inlineStr">
        <is>
          <t>지정되지않음</t>
        </is>
      </c>
      <c r="S714" s="3" t="inlineStr">
        <is>
          <t>전</t>
        </is>
      </c>
      <c r="T714" s="3" t="inlineStr">
        <is>
          <t>완경사</t>
        </is>
      </c>
      <c r="U714" s="3" t="inlineStr">
        <is>
          <t>부정형</t>
        </is>
      </c>
      <c r="V714" s="3" t="inlineStr">
        <is>
          <t>소로한면</t>
        </is>
      </c>
    </row>
    <row r="715">
      <c r="A715" s="3" t="inlineStr">
        <is>
          <t>부강면 금호리 110</t>
        </is>
      </c>
      <c r="B715" s="3" t="inlineStr">
        <is>
          <t>생산관리지역</t>
        </is>
      </c>
      <c r="C715" s="3" t="inlineStr">
        <is>
          <t>전</t>
        </is>
      </c>
      <c r="D715" s="3" t="inlineStr">
        <is>
          <t>전</t>
        </is>
      </c>
      <c r="E715" s="3" t="inlineStr">
        <is>
          <t>매매</t>
        </is>
      </c>
      <c r="F715" s="4" t="n">
        <v>22000</v>
      </c>
      <c r="G715" s="4" t="n">
        <v>307</v>
      </c>
      <c r="H715" s="4" t="n">
        <v>93</v>
      </c>
      <c r="I715" s="5" t="n">
        <v>236.6</v>
      </c>
      <c r="J715" s="5" t="n">
        <v>29.5</v>
      </c>
      <c r="K715" s="3" t="inlineStr">
        <is>
          <t>주변토지 전원주택지 조성중 대도로 금강 인접함</t>
        </is>
      </c>
      <c r="L715" s="6">
        <f>HYPERLINK("https://fin.land.naver.com/articles/2651904858", "매물Link")</f>
        <v/>
      </c>
      <c r="M715" s="6">
        <f>HYPERLINK("https://map.naver.com/p/search/부강면 금호리 110", "지도Link")</f>
        <v/>
      </c>
      <c r="N715" s="6">
        <f>HYPERLINK("http://www.eum.go.kr/web/ar/lu/luLandDet.jsp?pnu=3611033028101100000&amp;isNoScr=script&amp;mode=search", "토지이음")</f>
        <v/>
      </c>
      <c r="O715" s="3" t="inlineStr">
        <is>
          <t>광장(프라자)</t>
        </is>
      </c>
      <c r="P715" s="4" t="n">
        <v>1</v>
      </c>
      <c r="Q715" s="4" t="n">
        <v>307</v>
      </c>
      <c r="R715" s="3" t="inlineStr">
        <is>
          <t>지정되지않음</t>
        </is>
      </c>
      <c r="S715" s="3" t="inlineStr">
        <is>
          <t>전</t>
        </is>
      </c>
      <c r="T715" s="3" t="inlineStr">
        <is>
          <t>완경사</t>
        </is>
      </c>
      <c r="U715" s="3" t="inlineStr">
        <is>
          <t>부정형</t>
        </is>
      </c>
      <c r="V715" s="3" t="inlineStr">
        <is>
          <t>맹지</t>
        </is>
      </c>
    </row>
    <row r="716">
      <c r="A716" s="3" t="inlineStr">
        <is>
          <t>부강면 금호리 155-6</t>
        </is>
      </c>
      <c r="B716" s="3" t="inlineStr">
        <is>
          <t>계획관리지역</t>
        </is>
      </c>
      <c r="C716" s="3" t="inlineStr">
        <is>
          <t>전</t>
        </is>
      </c>
      <c r="D716" s="3" t="inlineStr">
        <is>
          <t>전</t>
        </is>
      </c>
      <c r="E716" s="3" t="inlineStr">
        <is>
          <t>매매</t>
        </is>
      </c>
      <c r="F716" s="4" t="n">
        <v>250000</v>
      </c>
      <c r="G716" s="4" t="n">
        <v>4257</v>
      </c>
      <c r="H716" s="4" t="n">
        <v>1288</v>
      </c>
      <c r="I716" s="5" t="n">
        <v>194.1</v>
      </c>
      <c r="J716" s="5" t="n">
        <v>42.9</v>
      </c>
      <c r="K716" s="3" t="inlineStr">
        <is>
          <t>근생허가받은 토지. 북대전ic~ 부강 4차선 도로 예정
급매</t>
        </is>
      </c>
      <c r="L716" s="6">
        <f>HYPERLINK("https://fin.land.naver.com/articles/2651714945", "매물Link")</f>
        <v/>
      </c>
      <c r="M716" s="6">
        <f>HYPERLINK("https://map.naver.com/p/search/부강면 금호리 155-6", "지도Link")</f>
        <v/>
      </c>
      <c r="N716" s="6">
        <f>HYPERLINK("http://www.eum.go.kr/web/ar/lu/luLandDet.jsp?pnu=3611033028101550006&amp;isNoScr=script&amp;mode=search", "토지이음")</f>
        <v/>
      </c>
      <c r="O716" s="3" t="inlineStr">
        <is>
          <t>이레</t>
        </is>
      </c>
      <c r="P716" s="4" t="n">
        <v>1</v>
      </c>
      <c r="Q716" s="4" t="n">
        <v>874</v>
      </c>
      <c r="R716" s="3" t="inlineStr">
        <is>
          <t>지정되지않음</t>
        </is>
      </c>
      <c r="S716" s="3" t="inlineStr">
        <is>
          <t>전</t>
        </is>
      </c>
      <c r="T716" s="3" t="inlineStr">
        <is>
          <t>평지</t>
        </is>
      </c>
      <c r="U716" s="3" t="inlineStr">
        <is>
          <t>부정형</t>
        </is>
      </c>
      <c r="V716" s="3" t="inlineStr">
        <is>
          <t>맹지</t>
        </is>
      </c>
    </row>
    <row r="717">
      <c r="A717" s="3" t="inlineStr">
        <is>
          <t>부강면 금호리 157-4</t>
        </is>
      </c>
      <c r="B717" s="3" t="inlineStr">
        <is>
          <t>계획관리지역</t>
        </is>
      </c>
      <c r="C717" s="3" t="inlineStr">
        <is>
          <t>전</t>
        </is>
      </c>
      <c r="D717" s="3" t="inlineStr">
        <is>
          <t>전</t>
        </is>
      </c>
      <c r="E717" s="3" t="inlineStr">
        <is>
          <t>매매</t>
        </is>
      </c>
      <c r="F717" s="4" t="n">
        <v>120000</v>
      </c>
      <c r="G717" s="4" t="n">
        <v>2060</v>
      </c>
      <c r="H717" s="4" t="n">
        <v>623</v>
      </c>
      <c r="I717" s="5" t="n">
        <v>192.6</v>
      </c>
      <c r="J717" s="5" t="n">
        <v>42.9</v>
      </c>
      <c r="K717" s="3" t="inlineStr">
        <is>
          <t>근생허가 받은 계획관리 토지.  뷱대전 ic 4차선 연결 도로 인근</t>
        </is>
      </c>
      <c r="L717" s="6">
        <f>HYPERLINK("https://fin.land.naver.com/articles/2651714913", "매물Link")</f>
        <v/>
      </c>
      <c r="M717" s="6">
        <f>HYPERLINK("https://map.naver.com/p/search/부강면 금호리 157-4", "지도Link")</f>
        <v/>
      </c>
      <c r="N717" s="6">
        <f>HYPERLINK("http://www.eum.go.kr/web/ar/lu/luLandDet.jsp?pnu=3611033028101570004&amp;isNoScr=script&amp;mode=search", "토지이음")</f>
        <v/>
      </c>
      <c r="O717" s="3" t="inlineStr">
        <is>
          <t>이레</t>
        </is>
      </c>
      <c r="P717" s="4" t="n">
        <v>1</v>
      </c>
      <c r="Q717" s="4" t="n">
        <v>1723</v>
      </c>
      <c r="R717" s="3" t="inlineStr">
        <is>
          <t>지정되지않음</t>
        </is>
      </c>
      <c r="S717" s="3" t="inlineStr">
        <is>
          <t>전</t>
        </is>
      </c>
      <c r="T717" s="3" t="inlineStr">
        <is>
          <t>평지</t>
        </is>
      </c>
      <c r="U717" s="3" t="inlineStr">
        <is>
          <t>부정형</t>
        </is>
      </c>
      <c r="V717" s="3" t="inlineStr">
        <is>
          <t>맹지</t>
        </is>
      </c>
    </row>
    <row r="718">
      <c r="A718" s="3" t="inlineStr">
        <is>
          <t>부강면 금호리 165-1</t>
        </is>
      </c>
      <c r="B718" s="3" t="inlineStr">
        <is>
          <t>계획관리지역</t>
        </is>
      </c>
      <c r="C718" s="3" t="inlineStr">
        <is>
          <t>대</t>
        </is>
      </c>
      <c r="D718" s="3" t="inlineStr">
        <is>
          <t>대</t>
        </is>
      </c>
      <c r="E718" s="3" t="inlineStr">
        <is>
          <t>매매</t>
        </is>
      </c>
      <c r="F718" s="4" t="n">
        <v>55000</v>
      </c>
      <c r="G718" s="4" t="n">
        <v>1038</v>
      </c>
      <c r="H718" s="4" t="n">
        <v>314</v>
      </c>
      <c r="I718" s="5" t="n">
        <v>175.2</v>
      </c>
      <c r="J718" s="5" t="n">
        <v>78.7</v>
      </c>
      <c r="K718" s="3" t="inlineStr">
        <is>
          <t>급매, 단독주택 포함 매매, 총 314p</t>
        </is>
      </c>
      <c r="L718" s="6">
        <f>HYPERLINK("https://fin.land.naver.com/articles/2651773765", "매물Link")</f>
        <v/>
      </c>
      <c r="M718" s="6">
        <f>HYPERLINK("https://map.naver.com/p/search/부강면 금호리 165-1", "지도Link")</f>
        <v/>
      </c>
      <c r="N718" s="6">
        <f>HYPERLINK("http://www.eum.go.kr/web/ar/lu/luLandDet.jsp?pnu=3611033028101650001&amp;isNoScr=script&amp;mode=search", "토지이음")</f>
        <v/>
      </c>
      <c r="O718" s="3" t="inlineStr">
        <is>
          <t>세종무지개</t>
        </is>
      </c>
      <c r="P718" s="4" t="n">
        <v>1</v>
      </c>
      <c r="Q718" s="4" t="n">
        <v>359</v>
      </c>
      <c r="R718" s="3" t="inlineStr">
        <is>
          <t>지정되지않음</t>
        </is>
      </c>
      <c r="S718" s="3" t="inlineStr">
        <is>
          <t>단독</t>
        </is>
      </c>
      <c r="T718" s="3" t="inlineStr">
        <is>
          <t>완경사</t>
        </is>
      </c>
      <c r="U718" s="3" t="inlineStr">
        <is>
          <t>부정형</t>
        </is>
      </c>
      <c r="V718" s="3" t="inlineStr">
        <is>
          <t>세로한면(가)</t>
        </is>
      </c>
    </row>
    <row r="719">
      <c r="A719" s="3" t="inlineStr">
        <is>
          <t>부강면 금호리 167</t>
        </is>
      </c>
      <c r="B719" s="3" t="inlineStr">
        <is>
          <t>계획관리지역</t>
        </is>
      </c>
      <c r="C719" s="3" t="inlineStr">
        <is>
          <t>전</t>
        </is>
      </c>
      <c r="D719" s="3" t="inlineStr">
        <is>
          <t>전</t>
        </is>
      </c>
      <c r="E719" s="3" t="inlineStr">
        <is>
          <t>매매</t>
        </is>
      </c>
      <c r="F719" s="4" t="n">
        <v>31500</v>
      </c>
      <c r="G719" s="4" t="n">
        <v>694</v>
      </c>
      <c r="H719" s="4" t="n">
        <v>210</v>
      </c>
      <c r="I719" s="5" t="n">
        <v>150</v>
      </c>
      <c r="J719" s="5" t="n">
        <v>44.2</v>
      </c>
      <c r="K719" s="3" t="inlineStr">
        <is>
          <t>추천,   양쪽으로 차량통행 가능한 도로 접한 토지</t>
        </is>
      </c>
      <c r="L719" s="6">
        <f>HYPERLINK("https://fin.land.naver.com/articles/2653939476", "매물Link")</f>
        <v/>
      </c>
      <c r="M719" s="6">
        <f>HYPERLINK("https://map.naver.com/p/search/부강면 금호리 167", "지도Link")</f>
        <v/>
      </c>
      <c r="N719" s="6">
        <f>HYPERLINK("http://www.eum.go.kr/web/ar/lu/luLandDet.jsp?pnu=3611033028101670000&amp;isNoScr=script&amp;mode=search", "토지이음")</f>
        <v/>
      </c>
      <c r="O719" s="3" t="inlineStr">
        <is>
          <t>세종땅사랑</t>
        </is>
      </c>
      <c r="P719" s="4" t="n">
        <v>1</v>
      </c>
      <c r="Q719" s="4" t="n">
        <v>463</v>
      </c>
      <c r="R719" s="3" t="inlineStr">
        <is>
          <t>지정되지않음</t>
        </is>
      </c>
      <c r="S719" s="3" t="inlineStr">
        <is>
          <t>전</t>
        </is>
      </c>
      <c r="T719" s="3" t="inlineStr">
        <is>
          <t>완경사</t>
        </is>
      </c>
      <c r="U719" s="3" t="inlineStr">
        <is>
          <t>부정형</t>
        </is>
      </c>
      <c r="V719" s="3" t="inlineStr">
        <is>
          <t>세로한면(가)</t>
        </is>
      </c>
    </row>
    <row r="720">
      <c r="A720" s="3" t="inlineStr">
        <is>
          <t>부강면 금호리 172</t>
        </is>
      </c>
      <c r="B720" s="3" t="inlineStr">
        <is>
          <t>계획관리지역</t>
        </is>
      </c>
      <c r="C720" s="3" t="inlineStr">
        <is>
          <t>대</t>
        </is>
      </c>
      <c r="D720" s="3" t="inlineStr">
        <is>
          <t>대</t>
        </is>
      </c>
      <c r="E720" s="3" t="inlineStr">
        <is>
          <t>매매</t>
        </is>
      </c>
      <c r="F720" s="4" t="n">
        <v>67000</v>
      </c>
      <c r="G720" s="4" t="n">
        <v>797</v>
      </c>
      <c r="H720" s="4" t="n">
        <v>241</v>
      </c>
      <c r="I720" s="5" t="n">
        <v>278</v>
      </c>
      <c r="J720" s="5" t="n">
        <v>78.7</v>
      </c>
      <c r="K720" s="3" t="inlineStr">
        <is>
          <t>금강 뷰가 내려 보이는 조망 최고의 전원주택 부지. 신도심 접근성 용이</t>
        </is>
      </c>
      <c r="L720" s="6">
        <f>HYPERLINK("https://fin.land.naver.com/articles/2652917254", "매물Link")</f>
        <v/>
      </c>
      <c r="M720" s="6">
        <f>HYPERLINK("https://map.naver.com/p/search/부강면 금호리 172", "지도Link")</f>
        <v/>
      </c>
      <c r="N720" s="6">
        <f>HYPERLINK("http://www.eum.go.kr/web/ar/lu/luLandDet.jsp?pnu=3611033028101720000&amp;isNoScr=script&amp;mode=search", "토지이음")</f>
        <v/>
      </c>
      <c r="O720" s="3" t="inlineStr">
        <is>
          <t>신영</t>
        </is>
      </c>
      <c r="P720" s="4" t="n">
        <v>1</v>
      </c>
      <c r="Q720" s="4" t="n">
        <v>797</v>
      </c>
      <c r="R720" s="3" t="inlineStr">
        <is>
          <t>지정되지않음</t>
        </is>
      </c>
      <c r="S720" s="3" t="inlineStr">
        <is>
          <t>주거기타</t>
        </is>
      </c>
      <c r="T720" s="3" t="inlineStr">
        <is>
          <t>완경사</t>
        </is>
      </c>
      <c r="U720" s="3" t="inlineStr">
        <is>
          <t>부정형</t>
        </is>
      </c>
      <c r="V720" s="3" t="inlineStr">
        <is>
          <t>세로한면(가)</t>
        </is>
      </c>
    </row>
    <row r="721">
      <c r="A721" s="3" t="inlineStr">
        <is>
          <t>부강면 금호리 188-2</t>
        </is>
      </c>
      <c r="B721" s="3" t="inlineStr">
        <is>
          <t>계획관리지역</t>
        </is>
      </c>
      <c r="C721" s="3" t="inlineStr">
        <is>
          <t>전</t>
        </is>
      </c>
      <c r="D721" s="3" t="inlineStr">
        <is>
          <t>전</t>
        </is>
      </c>
      <c r="E721" s="3" t="inlineStr">
        <is>
          <t>매매</t>
        </is>
      </c>
      <c r="F721" s="4" t="n">
        <v>150000</v>
      </c>
      <c r="G721" s="4" t="n">
        <v>3368</v>
      </c>
      <c r="H721" s="4" t="n">
        <v>1019</v>
      </c>
      <c r="I721" s="5" t="n">
        <v>147.2</v>
      </c>
      <c r="J721" s="5" t="n">
        <v>38</v>
      </c>
      <c r="K721" s="3" t="inlineStr">
        <is>
          <t>nan</t>
        </is>
      </c>
      <c r="L721" s="6">
        <f>HYPERLINK("https://fin.land.naver.com/articles/2654051627", "매물Link")</f>
        <v/>
      </c>
      <c r="M721" s="6">
        <f>HYPERLINK("https://map.naver.com/p/search/부강면 금호리 188-2", "지도Link")</f>
        <v/>
      </c>
      <c r="N721" s="6">
        <f>HYPERLINK("http://www.eum.go.kr/web/ar/lu/luLandDet.jsp?pnu=3611033028101880002&amp;isNoScr=script&amp;mode=search", "토지이음")</f>
        <v/>
      </c>
      <c r="O721" s="3" t="inlineStr">
        <is>
          <t>대박</t>
        </is>
      </c>
      <c r="P721" s="4" t="n">
        <v>1</v>
      </c>
      <c r="Q721" s="4" t="n">
        <v>1821</v>
      </c>
      <c r="R721" s="3" t="inlineStr">
        <is>
          <t>지정되지않음</t>
        </is>
      </c>
      <c r="S721" s="3" t="inlineStr">
        <is>
          <t>전</t>
        </is>
      </c>
      <c r="T721" s="3" t="inlineStr">
        <is>
          <t>완경사</t>
        </is>
      </c>
      <c r="U721" s="3" t="inlineStr">
        <is>
          <t>부정형</t>
        </is>
      </c>
      <c r="V721" s="3" t="inlineStr">
        <is>
          <t>맹지</t>
        </is>
      </c>
    </row>
    <row r="722">
      <c r="A722" s="3" t="inlineStr">
        <is>
          <t>부강면 금호리 207-3</t>
        </is>
      </c>
      <c r="B722" s="3" t="inlineStr">
        <is>
          <t>계획관리지역</t>
        </is>
      </c>
      <c r="C722" s="3" t="inlineStr">
        <is>
          <t>답</t>
        </is>
      </c>
      <c r="D722" s="3" t="inlineStr">
        <is>
          <t>답</t>
        </is>
      </c>
      <c r="E722" s="3" t="inlineStr">
        <is>
          <t>매매</t>
        </is>
      </c>
      <c r="F722" s="4" t="n">
        <v>82000</v>
      </c>
      <c r="G722" s="4" t="n">
        <v>2707</v>
      </c>
      <c r="H722" s="4" t="n">
        <v>819</v>
      </c>
      <c r="I722" s="5" t="n">
        <v>100.1</v>
      </c>
      <c r="J722" s="5" t="n">
        <v>42.9</v>
      </c>
      <c r="K722" s="3" t="inlineStr">
        <is>
          <t>계획관리 답. 4미터 도로 접. 부강일반산단 옆</t>
        </is>
      </c>
      <c r="L722" s="6">
        <f>HYPERLINK("https://fin.land.naver.com/articles/2654261924", "매물Link")</f>
        <v/>
      </c>
      <c r="M722" s="6">
        <f>HYPERLINK("https://map.naver.com/p/search/부강면 금호리 207-3", "지도Link")</f>
        <v/>
      </c>
      <c r="N722" s="6">
        <f>HYPERLINK("http://www.eum.go.kr/web/ar/lu/luLandDet.jsp?pnu=3611033028102070003&amp;isNoScr=script&amp;mode=search", "토지이음")</f>
        <v/>
      </c>
      <c r="O722" s="3" t="inlineStr">
        <is>
          <t>미스터홈즈강남지사</t>
        </is>
      </c>
      <c r="P722" s="4" t="n">
        <v>2</v>
      </c>
      <c r="Q722" s="4" t="n">
        <v>2707</v>
      </c>
      <c r="R722" s="3" t="inlineStr">
        <is>
          <t>지정되지않음</t>
        </is>
      </c>
      <c r="S722" s="3" t="inlineStr">
        <is>
          <t>답</t>
        </is>
      </c>
      <c r="T722" s="3" t="inlineStr">
        <is>
          <t>완경사</t>
        </is>
      </c>
      <c r="U722" s="3" t="inlineStr">
        <is>
          <t>부정형</t>
        </is>
      </c>
      <c r="V722" s="3" t="inlineStr">
        <is>
          <t>세로한면(가)</t>
        </is>
      </c>
    </row>
    <row r="723">
      <c r="A723" s="3" t="inlineStr">
        <is>
          <t>부강면 금호리 234-5</t>
        </is>
      </c>
      <c r="B723" s="3" t="inlineStr">
        <is>
          <t>계획관리지역</t>
        </is>
      </c>
      <c r="C723" s="3" t="inlineStr">
        <is>
          <t>대</t>
        </is>
      </c>
      <c r="D723" s="3" t="inlineStr">
        <is>
          <t>대</t>
        </is>
      </c>
      <c r="E723" s="3" t="inlineStr">
        <is>
          <t>매매</t>
        </is>
      </c>
      <c r="F723" s="4" t="n">
        <v>109000</v>
      </c>
      <c r="G723" s="4" t="n">
        <v>939</v>
      </c>
      <c r="H723" s="4" t="n">
        <v>284</v>
      </c>
      <c r="I723" s="5" t="n">
        <v>383.8</v>
      </c>
      <c r="J723" s="5" t="n">
        <v>89.90000000000001</v>
      </c>
      <c r="K723" s="3" t="inlineStr">
        <is>
          <t>인테리어 걱정 없는 완벽한 카페 건물 및 조경 포함</t>
        </is>
      </c>
      <c r="L723" s="6">
        <f>HYPERLINK("https://fin.land.naver.com/articles/2650931748", "매물Link")</f>
        <v/>
      </c>
      <c r="M723" s="6">
        <f>HYPERLINK("https://map.naver.com/p/search/부강면 금호리 234-5", "지도Link")</f>
        <v/>
      </c>
      <c r="N723" s="6">
        <f>HYPERLINK("http://www.eum.go.kr/web/ar/lu/luLandDet.jsp?pnu=3611033028102340005&amp;isNoScr=script&amp;mode=search", "토지이음")</f>
        <v/>
      </c>
      <c r="O723" s="3" t="inlineStr">
        <is>
          <t>하임</t>
        </is>
      </c>
      <c r="P723" s="4" t="n">
        <v>1</v>
      </c>
      <c r="Q723" s="4" t="n">
        <v>939</v>
      </c>
      <c r="R723" s="3" t="inlineStr">
        <is>
          <t>지정되지않음</t>
        </is>
      </c>
      <c r="S723" s="3" t="inlineStr">
        <is>
          <t>주거기타</t>
        </is>
      </c>
      <c r="T723" s="3" t="inlineStr">
        <is>
          <t>평지</t>
        </is>
      </c>
      <c r="U723" s="3" t="inlineStr">
        <is>
          <t>사다리형</t>
        </is>
      </c>
      <c r="V723" s="3" t="inlineStr">
        <is>
          <t>세로한면(가)</t>
        </is>
      </c>
    </row>
    <row r="724">
      <c r="A724" s="3" t="inlineStr">
        <is>
          <t>부강면 금호리 240-10</t>
        </is>
      </c>
      <c r="B724" s="3" t="inlineStr">
        <is>
          <t>계획관리지역</t>
        </is>
      </c>
      <c r="C724" s="3" t="inlineStr">
        <is>
          <t>전</t>
        </is>
      </c>
      <c r="D724" s="3" t="inlineStr">
        <is>
          <t>전</t>
        </is>
      </c>
      <c r="E724" s="3" t="inlineStr">
        <is>
          <t>매매</t>
        </is>
      </c>
      <c r="F724" s="4" t="n">
        <v>82500</v>
      </c>
      <c r="G724" s="4" t="n">
        <v>819</v>
      </c>
      <c r="H724" s="4" t="n">
        <v>248</v>
      </c>
      <c r="I724" s="5" t="n">
        <v>332.7</v>
      </c>
      <c r="J724" s="5" t="n">
        <v>59.7</v>
      </c>
      <c r="K724" s="3" t="inlineStr">
        <is>
          <t>계획관리지역. 성장관리계획구역. 기존산업단지와 연결되는 인접 토지 매매</t>
        </is>
      </c>
      <c r="L724" s="6">
        <f>HYPERLINK("https://fin.land.naver.com/articles/2654068216", "매물Link")</f>
        <v/>
      </c>
      <c r="M724" s="6">
        <f>HYPERLINK("https://map.naver.com/p/search/부강면 금호리 240-10", "지도Link")</f>
        <v/>
      </c>
      <c r="N724" s="6">
        <f>HYPERLINK("http://www.eum.go.kr/web/ar/lu/luLandDet.jsp?pnu=3611033028102400010&amp;isNoScr=script&amp;mode=search", "토지이음")</f>
        <v/>
      </c>
      <c r="O724" s="3" t="inlineStr">
        <is>
          <t>진행</t>
        </is>
      </c>
      <c r="P724" s="4" t="n">
        <v>1</v>
      </c>
      <c r="Q724" s="4" t="n">
        <v>819</v>
      </c>
      <c r="R724" s="3" t="inlineStr">
        <is>
          <t>지정되지않음</t>
        </is>
      </c>
      <c r="S724" s="3" t="inlineStr">
        <is>
          <t>전</t>
        </is>
      </c>
      <c r="T724" s="3" t="inlineStr">
        <is>
          <t>평지</t>
        </is>
      </c>
      <c r="U724" s="3" t="inlineStr">
        <is>
          <t>부정형</t>
        </is>
      </c>
      <c r="V724" s="3" t="inlineStr">
        <is>
          <t>세로한면(가)</t>
        </is>
      </c>
    </row>
    <row r="725">
      <c r="A725" s="3" t="inlineStr">
        <is>
          <t>부강면 금호리 30-2</t>
        </is>
      </c>
      <c r="B725" s="3" t="inlineStr">
        <is>
          <t>계획관리지역</t>
        </is>
      </c>
      <c r="C725" s="3" t="inlineStr">
        <is>
          <t>공장용지</t>
        </is>
      </c>
      <c r="D725" s="3" t="inlineStr">
        <is>
          <t>공장용지</t>
        </is>
      </c>
      <c r="E725" s="3" t="inlineStr">
        <is>
          <t>매매</t>
        </is>
      </c>
      <c r="F725" s="4" t="n">
        <v>210000</v>
      </c>
      <c r="G725" s="4" t="n">
        <v>4328</v>
      </c>
      <c r="H725" s="4" t="n">
        <v>1309</v>
      </c>
      <c r="I725" s="5" t="n">
        <v>160.4</v>
      </c>
      <c r="J725" s="5" t="n">
        <v>80.7</v>
      </c>
      <c r="K725" s="3" t="inlineStr">
        <is>
          <t>공장용지로 지리적위치 접근성이좋고 산업폐기물 인.허가 득하여 투자성이좋음</t>
        </is>
      </c>
      <c r="L725" s="6">
        <f>HYPERLINK("https://fin.land.naver.com/articles/2650435382", "매물Link")</f>
        <v/>
      </c>
      <c r="M725" s="6">
        <f>HYPERLINK("https://map.naver.com/p/search/부강면 금호리 30-2", "지도Link")</f>
        <v/>
      </c>
      <c r="N725" s="6">
        <f>HYPERLINK("http://www.eum.go.kr/web/ar/lu/luLandDet.jsp?pnu=3611033028100300002&amp;isNoScr=script&amp;mode=search", "토지이음")</f>
        <v/>
      </c>
      <c r="O725" s="3" t="inlineStr">
        <is>
          <t>오투그린1</t>
        </is>
      </c>
      <c r="P725" s="4" t="n">
        <v>1</v>
      </c>
      <c r="Q725" s="4" t="n">
        <v>4328</v>
      </c>
      <c r="R725" s="3" t="inlineStr">
        <is>
          <t>지정되지않음</t>
        </is>
      </c>
      <c r="S725" s="3" t="inlineStr">
        <is>
          <t>공업기타</t>
        </is>
      </c>
      <c r="T725" s="3" t="inlineStr">
        <is>
          <t>완경사</t>
        </is>
      </c>
      <c r="U725" s="3" t="inlineStr">
        <is>
          <t>부정형</t>
        </is>
      </c>
      <c r="V725" s="3" t="inlineStr">
        <is>
          <t>세로한면(가)</t>
        </is>
      </c>
    </row>
    <row r="726">
      <c r="A726" s="3" t="inlineStr">
        <is>
          <t>부강면 금호리 353-2</t>
        </is>
      </c>
      <c r="B726" s="3" t="inlineStr">
        <is>
          <t>보전관리지역</t>
        </is>
      </c>
      <c r="C726" s="3" t="inlineStr">
        <is>
          <t>임야</t>
        </is>
      </c>
      <c r="D726" s="3" t="inlineStr">
        <is>
          <t>임야</t>
        </is>
      </c>
      <c r="E726" s="3" t="inlineStr">
        <is>
          <t>매매</t>
        </is>
      </c>
      <c r="F726" s="4" t="n">
        <v>26800</v>
      </c>
      <c r="G726" s="4" t="n">
        <v>1362</v>
      </c>
      <c r="H726" s="4" t="n">
        <v>412</v>
      </c>
      <c r="I726" s="5" t="n">
        <v>65</v>
      </c>
      <c r="J726" s="5" t="n">
        <v>5.3</v>
      </c>
      <c r="K726" s="3" t="inlineStr">
        <is>
          <t>세종시5분 금강변의 햇볕 잘 드는 토지</t>
        </is>
      </c>
      <c r="L726" s="6">
        <f>HYPERLINK("https://fin.land.naver.com/articles/2653852269", "매물Link")</f>
        <v/>
      </c>
      <c r="M726" s="6">
        <f>HYPERLINK("https://map.naver.com/p/search/부강면 금호리 353-2", "지도Link")</f>
        <v/>
      </c>
      <c r="N726" s="6">
        <f>HYPERLINK("http://www.eum.go.kr/web/ar/lu/luLandDet.jsp?pnu=3611033028103530002&amp;isNoScr=script&amp;mode=search", "토지이음")</f>
        <v/>
      </c>
      <c r="O726" s="3" t="inlineStr">
        <is>
          <t>천억사사무소</t>
        </is>
      </c>
      <c r="P726" s="4" t="n">
        <v>1</v>
      </c>
      <c r="Q726" s="4" t="n">
        <v>1806</v>
      </c>
      <c r="R726" s="3" t="inlineStr">
        <is>
          <t>지정되지않음</t>
        </is>
      </c>
      <c r="S726" s="3" t="inlineStr">
        <is>
          <t>자연림</t>
        </is>
      </c>
      <c r="T726" s="3" t="inlineStr">
        <is>
          <t>완경사</t>
        </is>
      </c>
      <c r="U726" s="3" t="inlineStr">
        <is>
          <t>부정형</t>
        </is>
      </c>
      <c r="V726" s="3" t="inlineStr">
        <is>
          <t>맹지</t>
        </is>
      </c>
    </row>
    <row r="727">
      <c r="A727" s="3" t="inlineStr">
        <is>
          <t>부강면 금호리 358-4</t>
        </is>
      </c>
      <c r="B727" s="3" t="inlineStr">
        <is>
          <t>보전관리지역</t>
        </is>
      </c>
      <c r="C727" s="3" t="inlineStr">
        <is>
          <t>임야</t>
        </is>
      </c>
      <c r="D727" s="3" t="inlineStr">
        <is>
          <t>임야</t>
        </is>
      </c>
      <c r="E727" s="3" t="inlineStr">
        <is>
          <t>매매</t>
        </is>
      </c>
      <c r="F727" s="4" t="n">
        <v>25000</v>
      </c>
      <c r="G727" s="4" t="n">
        <v>1263</v>
      </c>
      <c r="H727" s="4" t="n">
        <v>382</v>
      </c>
      <c r="I727" s="5" t="n">
        <v>65.40000000000001</v>
      </c>
      <c r="J727" s="5" t="n">
        <v>5.2</v>
      </c>
      <c r="K727" s="3" t="inlineStr">
        <is>
          <t>즉시 신축 가능 매매 급매물 상.하수도 전기 기반공사 완료돼있고 건축허가</t>
        </is>
      </c>
      <c r="L727" s="6">
        <f>HYPERLINK("https://fin.land.naver.com/articles/2654190350", "매물Link")</f>
        <v/>
      </c>
      <c r="M727" s="6">
        <f>HYPERLINK("https://map.naver.com/p/search/부강면 금호리 358-4", "지도Link")</f>
        <v/>
      </c>
      <c r="N727" s="6">
        <f>HYPERLINK("http://www.eum.go.kr/web/ar/lu/luLandDet.jsp?pnu=3611033028103580004&amp;isNoScr=script&amp;mode=search", "토지이음")</f>
        <v/>
      </c>
      <c r="O727" s="3" t="inlineStr">
        <is>
          <t>세종시삼성래미안</t>
        </is>
      </c>
      <c r="P727" s="4" t="n">
        <v>1</v>
      </c>
      <c r="Q727" s="4" t="n">
        <v>995</v>
      </c>
      <c r="R727" s="3" t="inlineStr">
        <is>
          <t>지정되지않음</t>
        </is>
      </c>
      <c r="S727" s="3" t="inlineStr">
        <is>
          <t>자연림</t>
        </is>
      </c>
      <c r="T727" s="3" t="inlineStr">
        <is>
          <t>완경사</t>
        </is>
      </c>
      <c r="U727" s="3" t="inlineStr">
        <is>
          <t>정방형</t>
        </is>
      </c>
      <c r="V727" s="3" t="inlineStr">
        <is>
          <t>맹지</t>
        </is>
      </c>
    </row>
    <row r="728">
      <c r="A728" s="3" t="inlineStr">
        <is>
          <t>부강면 금호리 377-8</t>
        </is>
      </c>
      <c r="B728" s="3" t="inlineStr">
        <is>
          <t>계획관리지역</t>
        </is>
      </c>
      <c r="C728" s="3" t="inlineStr">
        <is>
          <t>대</t>
        </is>
      </c>
      <c r="D728" s="3" t="inlineStr">
        <is>
          <t>대</t>
        </is>
      </c>
      <c r="E728" s="3" t="inlineStr">
        <is>
          <t>매매</t>
        </is>
      </c>
      <c r="F728" s="4" t="n">
        <v>49000</v>
      </c>
      <c r="G728" s="4" t="n">
        <v>648</v>
      </c>
      <c r="H728" s="4" t="n">
        <v>196</v>
      </c>
      <c r="I728" s="5" t="n">
        <v>250</v>
      </c>
      <c r="J728" s="5" t="n">
        <v>79.90000000000001</v>
      </c>
      <c r="K728" s="3" t="inlineStr">
        <is>
          <t>계획관리지역 나대지로 투자가치 양호함.</t>
        </is>
      </c>
      <c r="L728" s="6">
        <f>HYPERLINK("https://fin.land.naver.com/articles/2652853734", "매물Link")</f>
        <v/>
      </c>
      <c r="M728" s="6">
        <f>HYPERLINK("https://map.naver.com/p/search/부강면 금호리 377-8", "지도Link")</f>
        <v/>
      </c>
      <c r="N728" s="6">
        <f>HYPERLINK("http://www.eum.go.kr/web/ar/lu/luLandDet.jsp?pnu=3611033028103770008&amp;isNoScr=script&amp;mode=search", "토지이음")</f>
        <v/>
      </c>
      <c r="O728" s="3" t="inlineStr">
        <is>
          <t>다정현대</t>
        </is>
      </c>
      <c r="P728" s="4" t="n">
        <v>1</v>
      </c>
      <c r="Q728" s="4" t="n">
        <v>390</v>
      </c>
      <c r="R728" s="3" t="inlineStr">
        <is>
          <t>지정되지않음</t>
        </is>
      </c>
      <c r="S728" s="3" t="inlineStr">
        <is>
          <t>단독</t>
        </is>
      </c>
      <c r="T728" s="3" t="inlineStr">
        <is>
          <t>평지</t>
        </is>
      </c>
      <c r="U728" s="3" t="inlineStr">
        <is>
          <t>정방형</t>
        </is>
      </c>
      <c r="V728" s="3" t="inlineStr">
        <is>
          <t>세로한면(가)</t>
        </is>
      </c>
    </row>
    <row r="729">
      <c r="A729" s="3" t="inlineStr">
        <is>
          <t>부강면 금호리 389-1</t>
        </is>
      </c>
      <c r="B729" s="3" t="inlineStr">
        <is>
          <t>계획관리지역</t>
        </is>
      </c>
      <c r="C729" s="3" t="inlineStr">
        <is>
          <t>대</t>
        </is>
      </c>
      <c r="D729" s="3" t="inlineStr">
        <is>
          <t>대</t>
        </is>
      </c>
      <c r="E729" s="3" t="inlineStr">
        <is>
          <t>매매</t>
        </is>
      </c>
      <c r="F729" s="4" t="n">
        <v>194000</v>
      </c>
      <c r="G729" s="4" t="n">
        <v>1941</v>
      </c>
      <c r="H729" s="4" t="n">
        <v>587</v>
      </c>
      <c r="I729" s="5" t="n">
        <v>330.5</v>
      </c>
      <c r="J729" s="5" t="n">
        <v>79.90000000000001</v>
      </c>
      <c r="K729" s="3" t="inlineStr">
        <is>
          <t>도로접한 모양좋은 토지, 카페나, 식당, 주택지로도 좋음</t>
        </is>
      </c>
      <c r="L729" s="6">
        <f>HYPERLINK("https://fin.land.naver.com/articles/2652042892", "매물Link")</f>
        <v/>
      </c>
      <c r="M729" s="6">
        <f>HYPERLINK("https://map.naver.com/p/search/부강면 금호리 389-1", "지도Link")</f>
        <v/>
      </c>
      <c r="N729" s="6">
        <f>HYPERLINK("http://www.eum.go.kr/web/ar/lu/luLandDet.jsp?pnu=3611033028103890001&amp;isNoScr=script&amp;mode=search", "토지이음")</f>
        <v/>
      </c>
      <c r="O729" s="3" t="inlineStr">
        <is>
          <t>미스터홈즈강남지사</t>
        </is>
      </c>
      <c r="P729" s="4" t="n">
        <v>1</v>
      </c>
      <c r="Q729" s="4" t="n">
        <v>662</v>
      </c>
      <c r="R729" s="3" t="inlineStr">
        <is>
          <t>지정되지않음</t>
        </is>
      </c>
      <c r="S729" s="3" t="inlineStr">
        <is>
          <t>주거기타</t>
        </is>
      </c>
      <c r="T729" s="3" t="inlineStr">
        <is>
          <t>평지</t>
        </is>
      </c>
      <c r="U729" s="3" t="inlineStr">
        <is>
          <t>사다리형</t>
        </is>
      </c>
      <c r="V729" s="3" t="inlineStr">
        <is>
          <t>세로한면(가)</t>
        </is>
      </c>
    </row>
    <row r="730">
      <c r="A730" s="3" t="inlineStr">
        <is>
          <t>부강면 금호리 389-10</t>
        </is>
      </c>
      <c r="B730" s="3" t="inlineStr">
        <is>
          <t>계획관리지역</t>
        </is>
      </c>
      <c r="C730" s="3" t="inlineStr">
        <is>
          <t>대</t>
        </is>
      </c>
      <c r="D730" s="3" t="inlineStr">
        <is>
          <t>대</t>
        </is>
      </c>
      <c r="E730" s="3" t="inlineStr">
        <is>
          <t>매매</t>
        </is>
      </c>
      <c r="F730" s="4" t="n">
        <v>194000</v>
      </c>
      <c r="G730" s="4" t="n">
        <v>1941</v>
      </c>
      <c r="H730" s="4" t="n">
        <v>587</v>
      </c>
      <c r="I730" s="5" t="n">
        <v>330.5</v>
      </c>
      <c r="J730" s="5" t="n">
        <v>79.09999999999999</v>
      </c>
      <c r="K730" s="3" t="inlineStr">
        <is>
          <t>도로접하고 부강일반사업단지근교, 남i주10분이내,사옥,공장물류창고 적합.</t>
        </is>
      </c>
      <c r="L730" s="6">
        <f>HYPERLINK("https://fin.land.naver.com/articles/2651044965", "매물Link")</f>
        <v/>
      </c>
      <c r="M730" s="6">
        <f>HYPERLINK("https://map.naver.com/p/search/부강면 금호리 389-10", "지도Link")</f>
        <v/>
      </c>
      <c r="N730" s="6">
        <f>HYPERLINK("http://www.eum.go.kr/web/ar/lu/luLandDet.jsp?pnu=3611033028103890010&amp;isNoScr=script&amp;mode=search", "토지이음")</f>
        <v/>
      </c>
      <c r="O730" s="3" t="inlineStr">
        <is>
          <t>원내</t>
        </is>
      </c>
      <c r="P730" s="4" t="n">
        <v>1</v>
      </c>
      <c r="Q730" s="4" t="n">
        <v>656</v>
      </c>
      <c r="R730" s="3" t="inlineStr">
        <is>
          <t>지정되지않음</t>
        </is>
      </c>
      <c r="S730" s="3" t="inlineStr">
        <is>
          <t>주거기타</t>
        </is>
      </c>
      <c r="T730" s="3" t="inlineStr">
        <is>
          <t>평지</t>
        </is>
      </c>
      <c r="U730" s="3" t="inlineStr">
        <is>
          <t>사다리형</t>
        </is>
      </c>
      <c r="V730" s="3" t="inlineStr">
        <is>
          <t>세로한면(가)</t>
        </is>
      </c>
    </row>
    <row r="731">
      <c r="A731" s="3" t="inlineStr">
        <is>
          <t>부강면 금호리 389-6</t>
        </is>
      </c>
      <c r="B731" s="3" t="inlineStr">
        <is>
          <t>계획관리지역</t>
        </is>
      </c>
      <c r="C731" s="3" t="inlineStr">
        <is>
          <t>답</t>
        </is>
      </c>
      <c r="D731" s="3" t="inlineStr">
        <is>
          <t>답</t>
        </is>
      </c>
      <c r="E731" s="3" t="inlineStr">
        <is>
          <t>매매</t>
        </is>
      </c>
      <c r="F731" s="4" t="n">
        <v>55000</v>
      </c>
      <c r="G731" s="4" t="n">
        <v>529</v>
      </c>
      <c r="H731" s="4" t="n">
        <v>160</v>
      </c>
      <c r="I731" s="5" t="n">
        <v>343.8</v>
      </c>
      <c r="J731" s="5" t="n">
        <v>53.4</v>
      </c>
      <c r="K731" s="3" t="inlineStr">
        <is>
          <t>세종 행복도시 43생활권 차로 7분10분대,연접토지동시매매가능</t>
        </is>
      </c>
      <c r="L731" s="6">
        <f>HYPERLINK("https://fin.land.naver.com/articles/2653999798", "매물Link")</f>
        <v/>
      </c>
      <c r="M731" s="6">
        <f>HYPERLINK("https://map.naver.com/p/search/부강면 금호리 389-6", "지도Link")</f>
        <v/>
      </c>
      <c r="N731" s="6">
        <f>HYPERLINK("http://www.eum.go.kr/web/ar/lu/luLandDet.jsp?pnu=3611033028103890006&amp;isNoScr=script&amp;mode=search", "토지이음")</f>
        <v/>
      </c>
      <c r="O731" s="3" t="inlineStr">
        <is>
          <t>구암양지</t>
        </is>
      </c>
      <c r="P731" s="4" t="n">
        <v>1</v>
      </c>
      <c r="Q731" s="4" t="n">
        <v>529</v>
      </c>
      <c r="R731" s="3" t="inlineStr">
        <is>
          <t>지정되지않음</t>
        </is>
      </c>
      <c r="S731" s="3" t="inlineStr">
        <is>
          <t>답</t>
        </is>
      </c>
      <c r="T731" s="3" t="inlineStr">
        <is>
          <t>평지</t>
        </is>
      </c>
      <c r="U731" s="3" t="inlineStr">
        <is>
          <t>사다리형</t>
        </is>
      </c>
      <c r="V731" s="3" t="inlineStr">
        <is>
          <t>세로한면(가)</t>
        </is>
      </c>
    </row>
    <row r="732">
      <c r="A732" s="3" t="inlineStr">
        <is>
          <t>부강면 금호리 389-6</t>
        </is>
      </c>
      <c r="B732" s="3" t="inlineStr">
        <is>
          <t>계획관리지역</t>
        </is>
      </c>
      <c r="C732" s="3" t="inlineStr">
        <is>
          <t>답</t>
        </is>
      </c>
      <c r="D732" s="3" t="inlineStr">
        <is>
          <t>답</t>
        </is>
      </c>
      <c r="E732" s="3" t="inlineStr">
        <is>
          <t>매매</t>
        </is>
      </c>
      <c r="F732" s="4" t="n">
        <v>160000</v>
      </c>
      <c r="G732" s="4" t="n">
        <v>1058</v>
      </c>
      <c r="H732" s="4" t="n">
        <v>320</v>
      </c>
      <c r="I732" s="5" t="n">
        <v>500</v>
      </c>
      <c r="J732" s="5" t="n">
        <v>53.4</v>
      </c>
      <c r="K732" s="3" t="inlineStr">
        <is>
          <t>현재 전으로 사용중 두필지 전원주택분양 좋음, 사업용사용가능창고,사옥공장</t>
        </is>
      </c>
      <c r="L732" s="6">
        <f>HYPERLINK("https://fin.land.naver.com/articles/2651044105", "매물Link")</f>
        <v/>
      </c>
      <c r="M732" s="6">
        <f>HYPERLINK("https://map.naver.com/p/search/부강면 금호리 389-6", "지도Link")</f>
        <v/>
      </c>
      <c r="N732" s="6">
        <f>HYPERLINK("http://www.eum.go.kr/web/ar/lu/luLandDet.jsp?pnu=3611033028103890006&amp;isNoScr=script&amp;mode=search", "토지이음")</f>
        <v/>
      </c>
      <c r="O732" s="3" t="inlineStr">
        <is>
          <t>원내</t>
        </is>
      </c>
      <c r="P732" s="4" t="n">
        <v>1</v>
      </c>
      <c r="Q732" s="4" t="n">
        <v>529</v>
      </c>
      <c r="R732" s="3" t="inlineStr">
        <is>
          <t>지정되지않음</t>
        </is>
      </c>
      <c r="S732" s="3" t="inlineStr">
        <is>
          <t>답</t>
        </is>
      </c>
      <c r="T732" s="3" t="inlineStr">
        <is>
          <t>평지</t>
        </is>
      </c>
      <c r="U732" s="3" t="inlineStr">
        <is>
          <t>사다리형</t>
        </is>
      </c>
      <c r="V732" s="3" t="inlineStr">
        <is>
          <t>세로한면(가)</t>
        </is>
      </c>
    </row>
    <row r="733">
      <c r="A733" s="3" t="inlineStr">
        <is>
          <t>부강면 금호리 389-6</t>
        </is>
      </c>
      <c r="B733" s="3" t="inlineStr">
        <is>
          <t>계획관리지역</t>
        </is>
      </c>
      <c r="C733" s="3" t="inlineStr">
        <is>
          <t>답</t>
        </is>
      </c>
      <c r="D733" s="3" t="inlineStr">
        <is>
          <t>답</t>
        </is>
      </c>
      <c r="E733" s="3" t="inlineStr">
        <is>
          <t>매매</t>
        </is>
      </c>
      <c r="F733" s="4" t="n">
        <v>112000</v>
      </c>
      <c r="G733" s="4" t="n">
        <v>1058</v>
      </c>
      <c r="H733" s="4" t="n">
        <v>320</v>
      </c>
      <c r="I733" s="5" t="n">
        <v>350</v>
      </c>
      <c r="J733" s="5" t="n">
        <v>53.4</v>
      </c>
      <c r="K733" s="3" t="inlineStr">
        <is>
          <t>정남향 도로접한 계획관리.성장관리지역 알토란 토지,가격조정가능</t>
        </is>
      </c>
      <c r="L733" s="6">
        <f>HYPERLINK("https://fin.land.naver.com/articles/2649493705", "매물Link")</f>
        <v/>
      </c>
      <c r="M733" s="6">
        <f>HYPERLINK("https://map.naver.com/p/search/부강면 금호리 389-6", "지도Link")</f>
        <v/>
      </c>
      <c r="N733" s="6">
        <f>HYPERLINK("http://www.eum.go.kr/web/ar/lu/luLandDet.jsp?pnu=3611033028103890006&amp;isNoScr=script&amp;mode=search", "토지이음")</f>
        <v/>
      </c>
      <c r="O733" s="3" t="inlineStr">
        <is>
          <t>고운맘</t>
        </is>
      </c>
      <c r="P733" s="4" t="n">
        <v>1</v>
      </c>
      <c r="Q733" s="4" t="n">
        <v>529</v>
      </c>
      <c r="R733" s="3" t="inlineStr">
        <is>
          <t>지정되지않음</t>
        </is>
      </c>
      <c r="S733" s="3" t="inlineStr">
        <is>
          <t>답</t>
        </is>
      </c>
      <c r="T733" s="3" t="inlineStr">
        <is>
          <t>평지</t>
        </is>
      </c>
      <c r="U733" s="3" t="inlineStr">
        <is>
          <t>사다리형</t>
        </is>
      </c>
      <c r="V733" s="3" t="inlineStr">
        <is>
          <t>세로한면(가)</t>
        </is>
      </c>
    </row>
    <row r="734">
      <c r="A734" s="3" t="inlineStr">
        <is>
          <t>부강면 금호리 436</t>
        </is>
      </c>
      <c r="B734" s="3" t="inlineStr">
        <is>
          <t>생산관리지역</t>
        </is>
      </c>
      <c r="C734" s="3" t="inlineStr">
        <is>
          <t>답</t>
        </is>
      </c>
      <c r="D734" s="3" t="inlineStr">
        <is>
          <t>답</t>
        </is>
      </c>
      <c r="E734" s="3" t="inlineStr">
        <is>
          <t>매매</t>
        </is>
      </c>
      <c r="F734" s="4" t="n">
        <v>118000</v>
      </c>
      <c r="G734" s="4" t="n">
        <v>1957</v>
      </c>
      <c r="H734" s="4" t="n">
        <v>592</v>
      </c>
      <c r="I734" s="5" t="n">
        <v>199.3</v>
      </c>
      <c r="J734" s="5" t="n">
        <v>36</v>
      </c>
      <c r="K734" s="3" t="inlineStr">
        <is>
          <t>도로인접, 부용농공단지인근, 생산관리지역, 답</t>
        </is>
      </c>
      <c r="L734" s="6">
        <f>HYPERLINK("https://fin.land.naver.com/articles/2653055028", "매물Link")</f>
        <v/>
      </c>
      <c r="M734" s="6">
        <f>HYPERLINK("https://map.naver.com/p/search/부강면 금호리 436", "지도Link")</f>
        <v/>
      </c>
      <c r="N734" s="6">
        <f>HYPERLINK("http://www.eum.go.kr/web/ar/lu/luLandDet.jsp?pnu=3611033028104360000&amp;isNoScr=script&amp;mode=search", "토지이음")</f>
        <v/>
      </c>
      <c r="O734" s="3" t="inlineStr">
        <is>
          <t>Home</t>
        </is>
      </c>
      <c r="P734" s="4" t="n">
        <v>1</v>
      </c>
      <c r="Q734" s="4" t="n">
        <v>1957</v>
      </c>
      <c r="R734" s="3" t="inlineStr">
        <is>
          <t>지정되지않음</t>
        </is>
      </c>
      <c r="S734" s="3" t="inlineStr">
        <is>
          <t>답</t>
        </is>
      </c>
      <c r="T734" s="3" t="inlineStr">
        <is>
          <t>평지</t>
        </is>
      </c>
      <c r="U734" s="3" t="inlineStr">
        <is>
          <t>가로장방</t>
        </is>
      </c>
      <c r="V734" s="3" t="inlineStr">
        <is>
          <t>세로한면(가)</t>
        </is>
      </c>
    </row>
    <row r="735">
      <c r="A735" s="3" t="inlineStr">
        <is>
          <t>부강면 금호리 442</t>
        </is>
      </c>
      <c r="B735" s="3" t="inlineStr">
        <is>
          <t>계획관리지역</t>
        </is>
      </c>
      <c r="C735" s="3" t="inlineStr">
        <is>
          <t>전</t>
        </is>
      </c>
      <c r="D735" s="3" t="inlineStr">
        <is>
          <t>전</t>
        </is>
      </c>
      <c r="E735" s="3" t="inlineStr">
        <is>
          <t>매매</t>
        </is>
      </c>
      <c r="F735" s="4" t="n">
        <v>62000</v>
      </c>
      <c r="G735" s="4" t="n">
        <v>1649</v>
      </c>
      <c r="H735" s="4" t="n">
        <v>499</v>
      </c>
      <c r="I735" s="5" t="n">
        <v>124.2</v>
      </c>
      <c r="J735" s="5" t="n">
        <v>50.7</v>
      </c>
      <c r="K735" s="3" t="inlineStr">
        <is>
          <t>남향의 반듯한 계획관리 토지. 투자용추천</t>
        </is>
      </c>
      <c r="L735" s="6">
        <f>HYPERLINK("https://fin.land.naver.com/articles/2653462486", "매물Link")</f>
        <v/>
      </c>
      <c r="M735" s="6">
        <f>HYPERLINK("https://map.naver.com/p/search/부강면 금호리 442", "지도Link")</f>
        <v/>
      </c>
      <c r="N735" s="6">
        <f>HYPERLINK("http://www.eum.go.kr/web/ar/lu/luLandDet.jsp?pnu=3611033028104420000&amp;isNoScr=script&amp;mode=search", "토지이음")</f>
        <v/>
      </c>
      <c r="O735" s="3" t="inlineStr">
        <is>
          <t>세종금밭</t>
        </is>
      </c>
      <c r="P735" s="4" t="n">
        <v>1</v>
      </c>
      <c r="Q735" s="4" t="n">
        <v>1649</v>
      </c>
      <c r="R735" s="3" t="inlineStr">
        <is>
          <t>지정되지않음</t>
        </is>
      </c>
      <c r="S735" s="3" t="inlineStr">
        <is>
          <t>전</t>
        </is>
      </c>
      <c r="T735" s="3" t="inlineStr">
        <is>
          <t>평지</t>
        </is>
      </c>
      <c r="U735" s="3" t="inlineStr">
        <is>
          <t>부정형</t>
        </is>
      </c>
      <c r="V735" s="3" t="inlineStr">
        <is>
          <t>세로한면(가)</t>
        </is>
      </c>
    </row>
    <row r="736">
      <c r="A736" s="3" t="inlineStr">
        <is>
          <t>부강면 금호리 442</t>
        </is>
      </c>
      <c r="B736" s="3" t="inlineStr">
        <is>
          <t>계획관리지역</t>
        </is>
      </c>
      <c r="C736" s="3" t="inlineStr">
        <is>
          <t>전</t>
        </is>
      </c>
      <c r="D736" s="3" t="inlineStr">
        <is>
          <t>전</t>
        </is>
      </c>
      <c r="E736" s="3" t="inlineStr">
        <is>
          <t>매매</t>
        </is>
      </c>
      <c r="F736" s="4" t="n">
        <v>62000</v>
      </c>
      <c r="G736" s="4" t="n">
        <v>1649</v>
      </c>
      <c r="H736" s="4" t="n">
        <v>499</v>
      </c>
      <c r="I736" s="5" t="n">
        <v>124.2</v>
      </c>
      <c r="J736" s="5" t="n">
        <v>50.7</v>
      </c>
      <c r="K736" s="3" t="inlineStr">
        <is>
          <t>금강변 부강금호로 인접, 약2km거리 철도 매포역과 부강생활체육공원 있음</t>
        </is>
      </c>
      <c r="L736" s="6">
        <f>HYPERLINK("https://fin.land.naver.com/articles/2650433611", "매물Link")</f>
        <v/>
      </c>
      <c r="M736" s="6">
        <f>HYPERLINK("https://map.naver.com/p/search/부강면 금호리 442", "지도Link")</f>
        <v/>
      </c>
      <c r="N736" s="6">
        <f>HYPERLINK("http://www.eum.go.kr/web/ar/lu/luLandDet.jsp?pnu=3611033028104420000&amp;isNoScr=script&amp;mode=search", "토지이음")</f>
        <v/>
      </c>
      <c r="O736" s="3" t="inlineStr">
        <is>
          <t>월평랜드</t>
        </is>
      </c>
      <c r="P736" s="4" t="n">
        <v>1</v>
      </c>
      <c r="Q736" s="4" t="n">
        <v>1649</v>
      </c>
      <c r="R736" s="3" t="inlineStr">
        <is>
          <t>지정되지않음</t>
        </is>
      </c>
      <c r="S736" s="3" t="inlineStr">
        <is>
          <t>전</t>
        </is>
      </c>
      <c r="T736" s="3" t="inlineStr">
        <is>
          <t>평지</t>
        </is>
      </c>
      <c r="U736" s="3" t="inlineStr">
        <is>
          <t>부정형</t>
        </is>
      </c>
      <c r="V736" s="3" t="inlineStr">
        <is>
          <t>세로한면(가)</t>
        </is>
      </c>
    </row>
    <row r="737">
      <c r="A737" s="3" t="inlineStr">
        <is>
          <t>부강면 금호리 613</t>
        </is>
      </c>
      <c r="B737" s="3" t="inlineStr">
        <is>
          <t>계획관리지역</t>
        </is>
      </c>
      <c r="C737" s="3" t="inlineStr">
        <is>
          <t>대</t>
        </is>
      </c>
      <c r="D737" s="3" t="inlineStr">
        <is>
          <t>대</t>
        </is>
      </c>
      <c r="E737" s="3" t="inlineStr">
        <is>
          <t>매매</t>
        </is>
      </c>
      <c r="F737" s="4" t="n">
        <v>50000</v>
      </c>
      <c r="G737" s="4" t="n">
        <v>679</v>
      </c>
      <c r="H737" s="4" t="n">
        <v>205</v>
      </c>
      <c r="I737" s="5" t="n">
        <v>243.9</v>
      </c>
      <c r="J737" s="5" t="n">
        <v>88</v>
      </c>
      <c r="K737" s="3" t="inlineStr">
        <is>
          <t>주택, 텃밭, 카페 추천</t>
        </is>
      </c>
      <c r="L737" s="6">
        <f>HYPERLINK("https://fin.land.naver.com/articles/2653353132", "매물Link")</f>
        <v/>
      </c>
      <c r="M737" s="6">
        <f>HYPERLINK("https://map.naver.com/p/search/부강면 금호리 613", "지도Link")</f>
        <v/>
      </c>
      <c r="N737" s="6">
        <f>HYPERLINK("http://www.eum.go.kr/web/ar/lu/luLandDet.jsp?pnu=3611033028106130000&amp;isNoScr=script&amp;mode=search", "토지이음")</f>
        <v/>
      </c>
      <c r="O737" s="3" t="inlineStr">
        <is>
          <t>황제</t>
        </is>
      </c>
      <c r="P737" s="4" t="n">
        <v>1</v>
      </c>
      <c r="Q737" s="4" t="n">
        <v>679</v>
      </c>
      <c r="R737" s="3" t="inlineStr">
        <is>
          <t>지정되지않음</t>
        </is>
      </c>
      <c r="S737" s="3" t="inlineStr">
        <is>
          <t>단독</t>
        </is>
      </c>
      <c r="T737" s="3" t="inlineStr">
        <is>
          <t>평지</t>
        </is>
      </c>
      <c r="U737" s="3" t="inlineStr">
        <is>
          <t>부정형</t>
        </is>
      </c>
      <c r="V737" s="3" t="inlineStr">
        <is>
          <t>세로한면(가)</t>
        </is>
      </c>
    </row>
    <row r="738">
      <c r="A738" s="3" t="inlineStr">
        <is>
          <t>부강면 금호리 614-1</t>
        </is>
      </c>
      <c r="B738" s="3" t="inlineStr">
        <is>
          <t>보전관리지역</t>
        </is>
      </c>
      <c r="C738" s="3" t="inlineStr">
        <is>
          <t>임야</t>
        </is>
      </c>
      <c r="D738" s="3" t="inlineStr">
        <is>
          <t>임야</t>
        </is>
      </c>
      <c r="E738" s="3" t="inlineStr">
        <is>
          <t>매매</t>
        </is>
      </c>
      <c r="F738" s="4" t="n">
        <v>180000</v>
      </c>
      <c r="G738" s="4" t="n">
        <v>7235</v>
      </c>
      <c r="H738" s="4" t="n">
        <v>2189</v>
      </c>
      <c r="I738" s="5" t="n">
        <v>82.2</v>
      </c>
      <c r="J738" s="5" t="n">
        <v>4.9</v>
      </c>
      <c r="K738" s="3" t="inlineStr">
        <is>
          <t>개발가능한 임야</t>
        </is>
      </c>
      <c r="L738" s="6">
        <f>HYPERLINK("https://fin.land.naver.com/articles/2653365134", "매물Link")</f>
        <v/>
      </c>
      <c r="M738" s="6">
        <f>HYPERLINK("https://map.naver.com/p/search/부강면 금호리 614-1", "지도Link")</f>
        <v/>
      </c>
      <c r="N738" s="6">
        <f>HYPERLINK("http://www.eum.go.kr/web/ar/lu/luLandDet.jsp?pnu=3611033028106140001&amp;isNoScr=script&amp;mode=search", "토지이음")</f>
        <v/>
      </c>
      <c r="O738" s="3" t="inlineStr">
        <is>
          <t>골든타임</t>
        </is>
      </c>
      <c r="P738" s="4" t="n">
        <v>1</v>
      </c>
      <c r="Q738" s="4" t="n">
        <v>6576</v>
      </c>
      <c r="R738" s="3" t="inlineStr">
        <is>
          <t>지정되지않음</t>
        </is>
      </c>
      <c r="S738" s="3" t="inlineStr">
        <is>
          <t>자연림</t>
        </is>
      </c>
      <c r="T738" s="3" t="inlineStr">
        <is>
          <t>완경사</t>
        </is>
      </c>
      <c r="U738" s="3" t="inlineStr">
        <is>
          <t>부정형</t>
        </is>
      </c>
      <c r="V738" s="3" t="inlineStr">
        <is>
          <t>맹지</t>
        </is>
      </c>
    </row>
    <row r="739">
      <c r="A739" s="3" t="inlineStr">
        <is>
          <t>부강면 금호리 649-2</t>
        </is>
      </c>
      <c r="B739" s="3" t="inlineStr">
        <is>
          <t>계획관리지역</t>
        </is>
      </c>
      <c r="C739" s="3" t="inlineStr">
        <is>
          <t>대</t>
        </is>
      </c>
      <c r="D739" s="3" t="inlineStr">
        <is>
          <t>대</t>
        </is>
      </c>
      <c r="E739" s="3" t="inlineStr">
        <is>
          <t>매매</t>
        </is>
      </c>
      <c r="F739" s="4" t="n">
        <v>94000</v>
      </c>
      <c r="G739" s="4" t="n">
        <v>1111</v>
      </c>
      <c r="H739" s="4" t="n">
        <v>336</v>
      </c>
      <c r="I739" s="5" t="n">
        <v>279.8</v>
      </c>
      <c r="J739" s="5" t="n">
        <v>85.59999999999999</v>
      </c>
      <c r="K739" s="3" t="inlineStr">
        <is>
          <t>부강 산단 초입 계획관리 토지</t>
        </is>
      </c>
      <c r="L739" s="6">
        <f>HYPERLINK("https://fin.land.naver.com/articles/2653362507", "매물Link")</f>
        <v/>
      </c>
      <c r="M739" s="6">
        <f>HYPERLINK("https://map.naver.com/p/search/부강면 금호리 649-2", "지도Link")</f>
        <v/>
      </c>
      <c r="N739" s="6">
        <f>HYPERLINK("http://www.eum.go.kr/web/ar/lu/luLandDet.jsp?pnu=3611033028106490002&amp;isNoScr=script&amp;mode=search", "토지이음")</f>
        <v/>
      </c>
      <c r="O739" s="3" t="inlineStr">
        <is>
          <t>이레</t>
        </is>
      </c>
      <c r="P739" s="4" t="n">
        <v>1</v>
      </c>
      <c r="Q739" s="4" t="n">
        <v>1111</v>
      </c>
      <c r="R739" s="3" t="inlineStr">
        <is>
          <t>지정되지않음</t>
        </is>
      </c>
      <c r="S739" s="3" t="inlineStr">
        <is>
          <t>단독</t>
        </is>
      </c>
      <c r="T739" s="3" t="inlineStr">
        <is>
          <t>평지</t>
        </is>
      </c>
      <c r="U739" s="3" t="inlineStr">
        <is>
          <t>부정형</t>
        </is>
      </c>
      <c r="V739" s="3" t="inlineStr">
        <is>
          <t>세로한면(가)</t>
        </is>
      </c>
    </row>
    <row r="740">
      <c r="A740" s="3" t="inlineStr">
        <is>
          <t>부강면 금호리 652</t>
        </is>
      </c>
      <c r="B740" s="3" t="inlineStr">
        <is>
          <t>계획관리지역</t>
        </is>
      </c>
      <c r="C740" s="3" t="inlineStr">
        <is>
          <t>대</t>
        </is>
      </c>
      <c r="D740" s="3" t="inlineStr">
        <is>
          <t>대</t>
        </is>
      </c>
      <c r="E740" s="3" t="inlineStr">
        <is>
          <t>매매</t>
        </is>
      </c>
      <c r="F740" s="4" t="n">
        <v>40000</v>
      </c>
      <c r="G740" s="4" t="n">
        <v>525</v>
      </c>
      <c r="H740" s="4" t="n">
        <v>159</v>
      </c>
      <c r="I740" s="5" t="n">
        <v>251.6</v>
      </c>
      <c r="J740" s="5" t="n">
        <v>92.5</v>
      </c>
      <c r="K740" s="3" t="inlineStr">
        <is>
          <t>세종시 부강면 금호리  토지 매매</t>
        </is>
      </c>
      <c r="L740" s="6">
        <f>HYPERLINK("https://fin.land.naver.com/articles/2650695624", "매물Link")</f>
        <v/>
      </c>
      <c r="M740" s="6">
        <f>HYPERLINK("https://map.naver.com/p/search/부강면 금호리 652", "지도Link")</f>
        <v/>
      </c>
      <c r="N740" s="6">
        <f>HYPERLINK("http://www.eum.go.kr/web/ar/lu/luLandDet.jsp?pnu=3611033028106520000&amp;isNoScr=script&amp;mode=search", "토지이음")</f>
        <v/>
      </c>
      <c r="O740" s="3" t="inlineStr">
        <is>
          <t>세종행복한</t>
        </is>
      </c>
      <c r="P740" s="4" t="n">
        <v>1</v>
      </c>
      <c r="Q740" s="4" t="n">
        <v>403</v>
      </c>
      <c r="R740" s="3" t="inlineStr">
        <is>
          <t>지정되지않음</t>
        </is>
      </c>
      <c r="S740" s="3" t="inlineStr">
        <is>
          <t>단독</t>
        </is>
      </c>
      <c r="T740" s="3" t="inlineStr">
        <is>
          <t>평지</t>
        </is>
      </c>
      <c r="U740" s="3" t="inlineStr">
        <is>
          <t>사다리형</t>
        </is>
      </c>
      <c r="V740" s="3" t="inlineStr">
        <is>
          <t>세로한면(가)</t>
        </is>
      </c>
    </row>
    <row r="741">
      <c r="A741" s="3" t="inlineStr">
        <is>
          <t>부강면 금호리 700-17</t>
        </is>
      </c>
      <c r="B741" s="3" t="inlineStr">
        <is>
          <t>계획관리지역</t>
        </is>
      </c>
      <c r="C741" s="3" t="inlineStr">
        <is>
          <t>잡종지</t>
        </is>
      </c>
      <c r="D741" s="3" t="inlineStr">
        <is>
          <t>잡종지</t>
        </is>
      </c>
      <c r="E741" s="3" t="inlineStr">
        <is>
          <t>매매</t>
        </is>
      </c>
      <c r="F741" s="4" t="n">
        <v>80000</v>
      </c>
      <c r="G741" s="4" t="n">
        <v>660</v>
      </c>
      <c r="H741" s="4" t="n">
        <v>200</v>
      </c>
      <c r="I741" s="5" t="n">
        <v>400</v>
      </c>
      <c r="J741" s="5" t="n">
        <v>112.4</v>
      </c>
      <c r="K741" s="3" t="inlineStr">
        <is>
          <t>2차선도로변 계획관리. 5생활권 대학부지 10분이내거리</t>
        </is>
      </c>
      <c r="L741" s="6">
        <f>HYPERLINK("https://fin.land.naver.com/articles/2654036270", "매물Link")</f>
        <v/>
      </c>
      <c r="M741" s="6">
        <f>HYPERLINK("https://map.naver.com/p/search/부강면 금호리 700-17", "지도Link")</f>
        <v/>
      </c>
      <c r="N741" s="6">
        <f>HYPERLINK("http://www.eum.go.kr/web/ar/lu/luLandDet.jsp?pnu=3611033028107000017&amp;isNoScr=script&amp;mode=search", "토지이음")</f>
        <v/>
      </c>
      <c r="O741" s="3" t="inlineStr">
        <is>
          <t>황금나무</t>
        </is>
      </c>
      <c r="P741" s="4" t="n">
        <v>1</v>
      </c>
      <c r="Q741" s="4" t="n">
        <v>660</v>
      </c>
      <c r="R741" s="3" t="inlineStr">
        <is>
          <t>지정되지않음</t>
        </is>
      </c>
      <c r="S741" s="3" t="inlineStr">
        <is>
          <t>공업용</t>
        </is>
      </c>
      <c r="T741" s="3" t="inlineStr">
        <is>
          <t>평지</t>
        </is>
      </c>
      <c r="U741" s="3" t="inlineStr">
        <is>
          <t>가로장방</t>
        </is>
      </c>
      <c r="V741" s="3" t="inlineStr">
        <is>
          <t>소로한면</t>
        </is>
      </c>
    </row>
    <row r="742">
      <c r="A742" s="3" t="inlineStr">
        <is>
          <t>부강면 금호리 708-2</t>
        </is>
      </c>
      <c r="B742" s="3" t="inlineStr">
        <is>
          <t>계획관리지역</t>
        </is>
      </c>
      <c r="C742" s="3" t="inlineStr">
        <is>
          <t>임야</t>
        </is>
      </c>
      <c r="D742" s="3" t="inlineStr">
        <is>
          <t>전</t>
        </is>
      </c>
      <c r="E742" s="3" t="inlineStr">
        <is>
          <t>매매</t>
        </is>
      </c>
      <c r="F742" s="4" t="n">
        <v>52400</v>
      </c>
      <c r="G742" s="4" t="n">
        <v>867</v>
      </c>
      <c r="H742" s="4" t="n">
        <v>262</v>
      </c>
      <c r="I742" s="5" t="n">
        <v>200</v>
      </c>
      <c r="J742" s="5" t="n">
        <v>59.7</v>
      </c>
      <c r="K742" s="3" t="inlineStr">
        <is>
          <t>nan</t>
        </is>
      </c>
      <c r="L742" s="6">
        <f>HYPERLINK("https://fin.land.naver.com/articles/2649528902", "매물Link")</f>
        <v/>
      </c>
      <c r="M742" s="6">
        <f>HYPERLINK("https://map.naver.com/p/search/부강면 금호리 708-2", "지도Link")</f>
        <v/>
      </c>
      <c r="N742" s="6">
        <f>HYPERLINK("http://www.eum.go.kr/web/ar/lu/luLandDet.jsp?pnu=3611033028107080002&amp;isNoScr=script&amp;mode=search", "토지이음")</f>
        <v/>
      </c>
      <c r="O742" s="3" t="inlineStr">
        <is>
          <t>경남아너스빌</t>
        </is>
      </c>
      <c r="P742" s="4" t="n">
        <v>1</v>
      </c>
      <c r="Q742" s="4" t="n">
        <v>434</v>
      </c>
      <c r="R742" s="3" t="inlineStr">
        <is>
          <t>지정되지않음</t>
        </is>
      </c>
      <c r="S742" s="3" t="inlineStr">
        <is>
          <t>전기타</t>
        </is>
      </c>
      <c r="T742" s="3" t="inlineStr">
        <is>
          <t>평지</t>
        </is>
      </c>
      <c r="U742" s="3" t="inlineStr">
        <is>
          <t>가로장방</t>
        </is>
      </c>
      <c r="V742" s="3" t="inlineStr">
        <is>
          <t>소로한면</t>
        </is>
      </c>
    </row>
    <row r="743">
      <c r="A743" s="3" t="inlineStr">
        <is>
          <t>부강면 금호리 712-16</t>
        </is>
      </c>
      <c r="B743" s="3" t="inlineStr">
        <is>
          <t>계획관리지역</t>
        </is>
      </c>
      <c r="C743" s="3" t="inlineStr">
        <is>
          <t>대</t>
        </is>
      </c>
      <c r="D743" s="3" t="inlineStr">
        <is>
          <t>대</t>
        </is>
      </c>
      <c r="E743" s="3" t="inlineStr">
        <is>
          <t>매매</t>
        </is>
      </c>
      <c r="F743" s="4" t="n">
        <v>35000</v>
      </c>
      <c r="G743" s="4" t="n">
        <v>379</v>
      </c>
      <c r="H743" s="4" t="n">
        <v>115</v>
      </c>
      <c r="I743" s="5" t="n">
        <v>304.3</v>
      </c>
      <c r="J743" s="5" t="n">
        <v>94.5</v>
      </c>
      <c r="K743" s="3" t="inlineStr">
        <is>
          <t>계획관리자연취락 대지 및 기존주택, 산단세종오송 접근 우수</t>
        </is>
      </c>
      <c r="L743" s="6">
        <f>HYPERLINK("https://fin.land.naver.com/articles/2650898603", "매물Link")</f>
        <v/>
      </c>
      <c r="M743" s="6">
        <f>HYPERLINK("https://map.naver.com/p/search/부강면 금호리 712-16", "지도Link")</f>
        <v/>
      </c>
      <c r="N743" s="6">
        <f>HYPERLINK("http://www.eum.go.kr/web/ar/lu/luLandDet.jsp?pnu=3611033028107120016&amp;isNoScr=script&amp;mode=search", "토지이음")</f>
        <v/>
      </c>
      <c r="O743" s="3" t="inlineStr">
        <is>
          <t>세종소담황금</t>
        </is>
      </c>
      <c r="P743" s="4" t="n">
        <v>1</v>
      </c>
      <c r="Q743" s="4" t="n">
        <v>379</v>
      </c>
      <c r="R743" s="3" t="inlineStr">
        <is>
          <t>지정되지않음</t>
        </is>
      </c>
      <c r="S743" s="3" t="inlineStr">
        <is>
          <t>단독</t>
        </is>
      </c>
      <c r="T743" s="3" t="inlineStr">
        <is>
          <t>평지</t>
        </is>
      </c>
      <c r="U743" s="3" t="inlineStr">
        <is>
          <t>사다리형</t>
        </is>
      </c>
      <c r="V743" s="3" t="inlineStr">
        <is>
          <t>세로한면(가)</t>
        </is>
      </c>
    </row>
    <row r="744">
      <c r="A744" s="3" t="inlineStr">
        <is>
          <t>부강면 금호리 731</t>
        </is>
      </c>
      <c r="B744" s="3" t="inlineStr">
        <is>
          <t>계획관리지역</t>
        </is>
      </c>
      <c r="C744" s="3" t="inlineStr">
        <is>
          <t>답</t>
        </is>
      </c>
      <c r="D744" s="3" t="inlineStr">
        <is>
          <t>답</t>
        </is>
      </c>
      <c r="E744" s="3" t="inlineStr">
        <is>
          <t>매매</t>
        </is>
      </c>
      <c r="F744" s="4" t="n">
        <v>174600</v>
      </c>
      <c r="G744" s="4" t="n">
        <v>2885</v>
      </c>
      <c r="H744" s="4" t="n">
        <v>873</v>
      </c>
      <c r="I744" s="5" t="n">
        <v>200</v>
      </c>
      <c r="J744" s="5" t="n">
        <v>64.59999999999999</v>
      </c>
      <c r="K744" s="3" t="inlineStr">
        <is>
          <t>세종시 부강면 산업단지 인근 시세보다 저렴한 토지 매매</t>
        </is>
      </c>
      <c r="L744" s="6">
        <f>HYPERLINK("https://fin.land.naver.com/articles/2649751521", "매물Link")</f>
        <v/>
      </c>
      <c r="M744" s="6">
        <f>HYPERLINK("https://map.naver.com/p/search/부강면 금호리 731", "지도Link")</f>
        <v/>
      </c>
      <c r="N744" s="6">
        <f>HYPERLINK("http://www.eum.go.kr/web/ar/lu/luLandDet.jsp?pnu=3611033028107310000&amp;isNoScr=script&amp;mode=search", "토지이음")</f>
        <v/>
      </c>
      <c r="O744" s="3" t="inlineStr">
        <is>
          <t>뉴스카이</t>
        </is>
      </c>
      <c r="P744" s="4" t="n">
        <v>1</v>
      </c>
      <c r="Q744" s="4" t="n">
        <v>1274</v>
      </c>
      <c r="R744" s="3" t="inlineStr">
        <is>
          <t>지정되지않음</t>
        </is>
      </c>
      <c r="S744" s="3" t="inlineStr">
        <is>
          <t>답</t>
        </is>
      </c>
      <c r="T744" s="3" t="inlineStr">
        <is>
          <t>평지</t>
        </is>
      </c>
      <c r="U744" s="3" t="inlineStr">
        <is>
          <t>사다리형</t>
        </is>
      </c>
      <c r="V744" s="3" t="inlineStr">
        <is>
          <t>세로한면(가)</t>
        </is>
      </c>
    </row>
    <row r="745">
      <c r="A745" s="3" t="inlineStr">
        <is>
          <t>부강면 금호리 산10-1</t>
        </is>
      </c>
      <c r="B745" s="3" t="inlineStr">
        <is>
          <t>생산관리지역</t>
        </is>
      </c>
      <c r="C745" s="3" t="inlineStr">
        <is>
          <t>임야</t>
        </is>
      </c>
      <c r="D745" s="3" t="inlineStr">
        <is>
          <t>임야</t>
        </is>
      </c>
      <c r="E745" s="3" t="inlineStr">
        <is>
          <t>매매</t>
        </is>
      </c>
      <c r="F745" s="4" t="n">
        <v>30000</v>
      </c>
      <c r="G745" s="4" t="n">
        <v>992</v>
      </c>
      <c r="H745" s="4" t="n">
        <v>300</v>
      </c>
      <c r="I745" s="5" t="n">
        <v>100</v>
      </c>
      <c r="J745" s="5" t="n">
        <v>5.4</v>
      </c>
      <c r="K745" s="3" t="inlineStr">
        <is>
          <t>nan</t>
        </is>
      </c>
      <c r="L745" s="6">
        <f>HYPERLINK("https://fin.land.naver.com/articles/2651583522", "매물Link")</f>
        <v/>
      </c>
      <c r="M745" s="6">
        <f>HYPERLINK("https://map.naver.com/p/search/부강면 금호리 산10-1", "지도Link")</f>
        <v/>
      </c>
      <c r="N745" s="6">
        <f>HYPERLINK("http://www.eum.go.kr/web/ar/lu/luLandDet.jsp?pnu=3611033028200100001&amp;isNoScr=script&amp;mode=search", "토지이음")</f>
        <v/>
      </c>
      <c r="O745" s="3" t="inlineStr">
        <is>
          <t>세종몽땅</t>
        </is>
      </c>
      <c r="P745" s="4" t="n">
        <v>1</v>
      </c>
      <c r="Q745" s="4" t="n">
        <v>992</v>
      </c>
      <c r="R745" s="3" t="inlineStr">
        <is>
          <t>지정되지않음</t>
        </is>
      </c>
      <c r="S745" s="3" t="inlineStr">
        <is>
          <t>자연림</t>
        </is>
      </c>
      <c r="T745" s="3" t="inlineStr">
        <is>
          <t>완경사</t>
        </is>
      </c>
      <c r="U745" s="3" t="inlineStr">
        <is>
          <t>사다리형</t>
        </is>
      </c>
      <c r="V745" s="3" t="inlineStr">
        <is>
          <t>맹지</t>
        </is>
      </c>
    </row>
    <row r="746">
      <c r="A746" s="3" t="inlineStr">
        <is>
          <t>부강면 금호리 산46-4</t>
        </is>
      </c>
      <c r="B746" s="3" t="inlineStr">
        <is>
          <t>보전관리지역</t>
        </is>
      </c>
      <c r="C746" s="3" t="inlineStr">
        <is>
          <t>임야</t>
        </is>
      </c>
      <c r="D746" s="3" t="inlineStr">
        <is>
          <t>임야</t>
        </is>
      </c>
      <c r="E746" s="3" t="inlineStr">
        <is>
          <t>매매</t>
        </is>
      </c>
      <c r="F746" s="4" t="n">
        <v>65000</v>
      </c>
      <c r="G746" s="4" t="n">
        <v>4247</v>
      </c>
      <c r="H746" s="4" t="n">
        <v>1285</v>
      </c>
      <c r="I746" s="5" t="n">
        <v>50.6</v>
      </c>
      <c r="J746" s="5" t="n">
        <v>6</v>
      </c>
      <c r="K746" s="3" t="inlineStr">
        <is>
          <t>부강면 금호리는 4생활권에서 5분거리, 금호교건너면 바로앞 금강임.</t>
        </is>
      </c>
      <c r="L746" s="6">
        <f>HYPERLINK("https://fin.land.naver.com/articles/2653348907", "매물Link")</f>
        <v/>
      </c>
      <c r="M746" s="6">
        <f>HYPERLINK("https://map.naver.com/p/search/부강면 금호리 산46-4", "지도Link")</f>
        <v/>
      </c>
      <c r="N746" s="6">
        <f>HYPERLINK("http://www.eum.go.kr/web/ar/lu/luLandDet.jsp?pnu=3611033028200460004&amp;isNoScr=script&amp;mode=search", "토지이음")</f>
        <v/>
      </c>
      <c r="O746" s="3" t="inlineStr">
        <is>
          <t>꿈드림</t>
        </is>
      </c>
      <c r="P746" s="4" t="n">
        <v>1</v>
      </c>
      <c r="Q746" s="4" t="n">
        <v>1653</v>
      </c>
      <c r="R746" s="3" t="inlineStr">
        <is>
          <t>계획관리지역</t>
        </is>
      </c>
      <c r="S746" s="3" t="inlineStr">
        <is>
          <t>자연림</t>
        </is>
      </c>
      <c r="T746" s="3" t="inlineStr">
        <is>
          <t>완경사</t>
        </is>
      </c>
      <c r="U746" s="3" t="inlineStr">
        <is>
          <t>부정형</t>
        </is>
      </c>
      <c r="V746" s="3" t="inlineStr">
        <is>
          <t>맹지</t>
        </is>
      </c>
    </row>
    <row r="747">
      <c r="A747" s="3" t="inlineStr">
        <is>
          <t>부강면 금호리 산5</t>
        </is>
      </c>
      <c r="B747" s="3" t="inlineStr">
        <is>
          <t>생산관리지역</t>
        </is>
      </c>
      <c r="C747" s="3" t="inlineStr">
        <is>
          <t>임야</t>
        </is>
      </c>
      <c r="D747" s="3" t="inlineStr">
        <is>
          <t>임야</t>
        </is>
      </c>
      <c r="E747" s="3" t="inlineStr">
        <is>
          <t>매매</t>
        </is>
      </c>
      <c r="F747" s="4" t="n">
        <v>250000</v>
      </c>
      <c r="G747" s="4" t="n">
        <v>11846</v>
      </c>
      <c r="H747" s="4" t="n">
        <v>3583</v>
      </c>
      <c r="I747" s="5" t="n">
        <v>69.8</v>
      </c>
      <c r="J747" s="5" t="n">
        <v>3.6</v>
      </c>
      <c r="K747" s="3" t="inlineStr">
        <is>
          <t>nan</t>
        </is>
      </c>
      <c r="L747" s="6">
        <f>HYPERLINK("https://fin.land.naver.com/articles/2651714956", "매물Link")</f>
        <v/>
      </c>
      <c r="M747" s="6">
        <f>HYPERLINK("https://map.naver.com/p/search/부강면 금호리 산5", "지도Link")</f>
        <v/>
      </c>
      <c r="N747" s="6">
        <f>HYPERLINK("http://www.eum.go.kr/web/ar/lu/luLandDet.jsp?pnu=3611033028200050000&amp;isNoScr=script&amp;mode=search", "토지이음")</f>
        <v/>
      </c>
      <c r="O747" s="3" t="inlineStr">
        <is>
          <t>이레</t>
        </is>
      </c>
      <c r="P747" s="4" t="n">
        <v>1</v>
      </c>
      <c r="Q747" s="4" t="n">
        <v>11603</v>
      </c>
      <c r="R747" s="3" t="inlineStr">
        <is>
          <t>지정되지않음</t>
        </is>
      </c>
      <c r="S747" s="3" t="inlineStr">
        <is>
          <t>자연림</t>
        </is>
      </c>
      <c r="T747" s="3" t="inlineStr">
        <is>
          <t>완경사</t>
        </is>
      </c>
      <c r="U747" s="3" t="inlineStr">
        <is>
          <t>사다리형</t>
        </is>
      </c>
      <c r="V747" s="3" t="inlineStr">
        <is>
          <t>세로한면(불)</t>
        </is>
      </c>
    </row>
    <row r="748">
      <c r="A748" s="3" t="inlineStr">
        <is>
          <t>부강면 노호리 24</t>
        </is>
      </c>
      <c r="B748" s="3" t="inlineStr">
        <is>
          <t>계획관리지역</t>
        </is>
      </c>
      <c r="C748" s="3" t="inlineStr">
        <is>
          <t>답</t>
        </is>
      </c>
      <c r="D748" s="3" t="inlineStr">
        <is>
          <t>답</t>
        </is>
      </c>
      <c r="E748" s="3" t="inlineStr">
        <is>
          <t>매매</t>
        </is>
      </c>
      <c r="F748" s="4" t="n">
        <v>250000</v>
      </c>
      <c r="G748" s="4" t="n">
        <v>13113</v>
      </c>
      <c r="H748" s="4" t="n">
        <v>3967</v>
      </c>
      <c r="I748" s="5" t="n">
        <v>63</v>
      </c>
      <c r="J748" s="5" t="n">
        <v>23.2</v>
      </c>
      <c r="K748" s="3" t="inlineStr">
        <is>
          <t>공장,창고 건축 가능, 도로 접함</t>
        </is>
      </c>
      <c r="L748" s="6">
        <f>HYPERLINK("https://fin.land.naver.com/articles/2654441939", "매물Link")</f>
        <v/>
      </c>
      <c r="M748" s="6">
        <f>HYPERLINK("https://map.naver.com/p/search/부강면 노호리 24", "지도Link")</f>
        <v/>
      </c>
      <c r="N748" s="6">
        <f>HYPERLINK("http://www.eum.go.kr/web/ar/lu/luLandDet.jsp?pnu=3611033027100240000&amp;isNoScr=script&amp;mode=search", "토지이음")</f>
        <v/>
      </c>
      <c r="O748" s="3" t="inlineStr">
        <is>
          <t>나릿재슬기로운</t>
        </is>
      </c>
      <c r="P748" s="4" t="n">
        <v>1</v>
      </c>
      <c r="Q748" s="4" t="n">
        <v>2278</v>
      </c>
      <c r="R748" s="3" t="inlineStr">
        <is>
          <t>지정되지않음</t>
        </is>
      </c>
      <c r="S748" s="3" t="inlineStr">
        <is>
          <t>답</t>
        </is>
      </c>
      <c r="T748" s="3" t="inlineStr">
        <is>
          <t>완경사</t>
        </is>
      </c>
      <c r="U748" s="3" t="inlineStr">
        <is>
          <t>부정형</t>
        </is>
      </c>
      <c r="V748" s="3" t="inlineStr">
        <is>
          <t>세로한면(가)</t>
        </is>
      </c>
    </row>
    <row r="749">
      <c r="A749" s="3" t="inlineStr">
        <is>
          <t>부강면 노호리 356-1</t>
        </is>
      </c>
      <c r="B749" s="3" t="inlineStr">
        <is>
          <t>생산관리지역</t>
        </is>
      </c>
      <c r="C749" s="3" t="inlineStr">
        <is>
          <t>답</t>
        </is>
      </c>
      <c r="D749" s="3" t="inlineStr">
        <is>
          <t>답</t>
        </is>
      </c>
      <c r="E749" s="3" t="inlineStr">
        <is>
          <t>매매</t>
        </is>
      </c>
      <c r="F749" s="4" t="n">
        <v>71930</v>
      </c>
      <c r="G749" s="4" t="n">
        <v>3963</v>
      </c>
      <c r="H749" s="4" t="n">
        <v>1199</v>
      </c>
      <c r="I749" s="5" t="n">
        <v>60</v>
      </c>
      <c r="J749" s="5" t="n">
        <v>25.8</v>
      </c>
      <c r="K749" s="3" t="inlineStr">
        <is>
          <t>매포역 인근 금강 변, 국도 인접 생산관리지역, 개발호재 많은 투자 물건</t>
        </is>
      </c>
      <c r="L749" s="6">
        <f>HYPERLINK("https://fin.land.naver.com/articles/2650180451", "매물Link")</f>
        <v/>
      </c>
      <c r="M749" s="6">
        <f>HYPERLINK("https://map.naver.com/p/search/부강면 노호리 356-1", "지도Link")</f>
        <v/>
      </c>
      <c r="N749" s="6">
        <f>HYPERLINK("http://www.eum.go.kr/web/ar/lu/luLandDet.jsp?pnu=3611033027103560001&amp;isNoScr=script&amp;mode=search", "토지이음")</f>
        <v/>
      </c>
      <c r="O749" s="3" t="inlineStr">
        <is>
          <t>오송3산단  사무소</t>
        </is>
      </c>
      <c r="P749" s="4" t="n">
        <v>1</v>
      </c>
      <c r="Q749" s="4" t="n">
        <v>2446</v>
      </c>
      <c r="R749" s="3" t="inlineStr">
        <is>
          <t>지정되지않음</t>
        </is>
      </c>
      <c r="S749" s="3" t="inlineStr">
        <is>
          <t>답</t>
        </is>
      </c>
      <c r="T749" s="3" t="inlineStr">
        <is>
          <t>평지</t>
        </is>
      </c>
      <c r="U749" s="3" t="inlineStr">
        <is>
          <t>부정형</t>
        </is>
      </c>
      <c r="V749" s="3" t="inlineStr">
        <is>
          <t>세로한면(가)</t>
        </is>
      </c>
    </row>
    <row r="750">
      <c r="A750" s="3" t="inlineStr">
        <is>
          <t>부강면 노호리 55-3</t>
        </is>
      </c>
      <c r="B750" s="3" t="inlineStr">
        <is>
          <t>계획관리지역</t>
        </is>
      </c>
      <c r="C750" s="3" t="inlineStr">
        <is>
          <t>대</t>
        </is>
      </c>
      <c r="D750" s="3" t="inlineStr">
        <is>
          <t>대</t>
        </is>
      </c>
      <c r="E750" s="3" t="inlineStr">
        <is>
          <t>매매</t>
        </is>
      </c>
      <c r="F750" s="4" t="n">
        <v>23000</v>
      </c>
      <c r="G750" s="4" t="n">
        <v>1336</v>
      </c>
      <c r="H750" s="4" t="n">
        <v>404</v>
      </c>
      <c r="I750" s="5" t="n">
        <v>56.9</v>
      </c>
      <c r="J750" s="5" t="n">
        <v>38.5</v>
      </c>
      <c r="K750" s="3" t="inlineStr">
        <is>
          <t>부강면 노호리에 있는 계획관리지역의 지목이 대지입니다.</t>
        </is>
      </c>
      <c r="L750" s="6">
        <f>HYPERLINK("https://fin.land.naver.com/articles/2650952485", "매물Link")</f>
        <v/>
      </c>
      <c r="M750" s="6">
        <f>HYPERLINK("https://map.naver.com/p/search/부강면 노호리 55-3", "지도Link")</f>
        <v/>
      </c>
      <c r="N750" s="6">
        <f>HYPERLINK("http://www.eum.go.kr/web/ar/lu/luLandDet.jsp?pnu=3611033027100550003&amp;isNoScr=script&amp;mode=search", "토지이음")</f>
        <v/>
      </c>
      <c r="O750" s="3" t="inlineStr">
        <is>
          <t>스마일세종</t>
        </is>
      </c>
      <c r="P750" s="4" t="n">
        <v>1</v>
      </c>
      <c r="Q750" s="4" t="n">
        <v>1336</v>
      </c>
      <c r="R750" s="3" t="inlineStr">
        <is>
          <t>지정되지않음</t>
        </is>
      </c>
      <c r="S750" s="3" t="inlineStr">
        <is>
          <t>주거나지</t>
        </is>
      </c>
      <c r="T750" s="3" t="inlineStr">
        <is>
          <t>완경사</t>
        </is>
      </c>
      <c r="U750" s="3" t="inlineStr">
        <is>
          <t>부정형</t>
        </is>
      </c>
      <c r="V750" s="3" t="inlineStr">
        <is>
          <t>세로한면(가)</t>
        </is>
      </c>
    </row>
    <row r="751">
      <c r="A751" s="3" t="inlineStr">
        <is>
          <t>부강면 노호리 산66-16</t>
        </is>
      </c>
      <c r="B751" s="3" t="inlineStr">
        <is>
          <t>계획관리지역</t>
        </is>
      </c>
      <c r="C751" s="3" t="inlineStr">
        <is>
          <t>임야</t>
        </is>
      </c>
      <c r="D751" s="3" t="inlineStr">
        <is>
          <t>임야</t>
        </is>
      </c>
      <c r="E751" s="3" t="inlineStr">
        <is>
          <t>매매</t>
        </is>
      </c>
      <c r="F751" s="4" t="n">
        <v>49000</v>
      </c>
      <c r="G751" s="4" t="n">
        <v>2813</v>
      </c>
      <c r="H751" s="4" t="n">
        <v>851</v>
      </c>
      <c r="I751" s="5" t="n">
        <v>57.6</v>
      </c>
      <c r="J751" s="5" t="n">
        <v>5.1</v>
      </c>
      <c r="K751" s="3" t="inlineStr">
        <is>
          <t>계획관리지역 최고의 전원주택부지 인접지역이 개발호재가 많아 미래가치있음</t>
        </is>
      </c>
      <c r="L751" s="6">
        <f>HYPERLINK("https://fin.land.naver.com/articles/2653591285", "매물Link")</f>
        <v/>
      </c>
      <c r="M751" s="6">
        <f>HYPERLINK("https://map.naver.com/p/search/부강면 노호리 산66-16", "지도Link")</f>
        <v/>
      </c>
      <c r="N751" s="6">
        <f>HYPERLINK("http://www.eum.go.kr/web/ar/lu/luLandDet.jsp?pnu=3611033027200660016&amp;isNoScr=script&amp;mode=search", "토지이음")</f>
        <v/>
      </c>
      <c r="O751" s="3" t="inlineStr">
        <is>
          <t>대전토지로무소</t>
        </is>
      </c>
      <c r="P751" s="4" t="n">
        <v>1</v>
      </c>
      <c r="Q751" s="4" t="n">
        <v>2813</v>
      </c>
      <c r="R751" s="3" t="inlineStr">
        <is>
          <t>지정되지않음</t>
        </is>
      </c>
      <c r="S751" s="3" t="inlineStr">
        <is>
          <t>자연림</t>
        </is>
      </c>
      <c r="T751" s="3" t="inlineStr">
        <is>
          <t>급경사</t>
        </is>
      </c>
      <c r="U751" s="3" t="inlineStr">
        <is>
          <t>부정형</t>
        </is>
      </c>
      <c r="V751" s="3" t="inlineStr">
        <is>
          <t>세로한면(가)</t>
        </is>
      </c>
    </row>
    <row r="752">
      <c r="A752" s="3" t="inlineStr">
        <is>
          <t>부강면 등곡리 112-1</t>
        </is>
      </c>
      <c r="B752" s="3" t="inlineStr">
        <is>
          <t>계획관리지역</t>
        </is>
      </c>
      <c r="C752" s="3" t="inlineStr">
        <is>
          <t>전</t>
        </is>
      </c>
      <c r="D752" s="3" t="inlineStr">
        <is>
          <t>전</t>
        </is>
      </c>
      <c r="E752" s="3" t="inlineStr">
        <is>
          <t>매매</t>
        </is>
      </c>
      <c r="F752" s="4" t="n">
        <v>28900</v>
      </c>
      <c r="G752" s="4" t="n">
        <v>832</v>
      </c>
      <c r="H752" s="4" t="n">
        <v>252</v>
      </c>
      <c r="I752" s="5" t="n">
        <v>114.7</v>
      </c>
      <c r="J752" s="5" t="n">
        <v>24.5</v>
      </c>
      <c r="K752" s="3" t="inlineStr">
        <is>
          <t>7m포장도로에접함,땅모양좋은토지,투자용및전원주택지추천</t>
        </is>
      </c>
      <c r="L752" s="6">
        <f>HYPERLINK("https://fin.land.naver.com/articles/2650813413", "매물Link")</f>
        <v/>
      </c>
      <c r="M752" s="6">
        <f>HYPERLINK("https://map.naver.com/p/search/부강면 등곡리 112-1", "지도Link")</f>
        <v/>
      </c>
      <c r="N752" s="6">
        <f>HYPERLINK("http://www.eum.go.kr/web/ar/lu/luLandDet.jsp?pnu=3611033026101120001&amp;isNoScr=script&amp;mode=search", "토지이음")</f>
        <v/>
      </c>
      <c r="O752" s="3" t="inlineStr">
        <is>
          <t>타이밍</t>
        </is>
      </c>
      <c r="P752" s="4" t="n">
        <v>1</v>
      </c>
      <c r="Q752" s="4" t="n">
        <v>833</v>
      </c>
      <c r="R752" s="3" t="inlineStr">
        <is>
          <t>지정되지않음</t>
        </is>
      </c>
      <c r="S752" s="3" t="inlineStr">
        <is>
          <t>전</t>
        </is>
      </c>
      <c r="T752" s="3" t="inlineStr">
        <is>
          <t>완경사</t>
        </is>
      </c>
      <c r="U752" s="3" t="inlineStr">
        <is>
          <t>부정형</t>
        </is>
      </c>
      <c r="V752" s="3" t="inlineStr">
        <is>
          <t>세로한면(가)</t>
        </is>
      </c>
    </row>
    <row r="753">
      <c r="A753" s="3" t="inlineStr">
        <is>
          <t>부강면 등곡리 178</t>
        </is>
      </c>
      <c r="B753" s="3" t="inlineStr">
        <is>
          <t>계획관리지역</t>
        </is>
      </c>
      <c r="C753" s="3" t="inlineStr">
        <is>
          <t>대</t>
        </is>
      </c>
      <c r="D753" s="3" t="inlineStr">
        <is>
          <t>대</t>
        </is>
      </c>
      <c r="E753" s="3" t="inlineStr">
        <is>
          <t>매매</t>
        </is>
      </c>
      <c r="F753" s="4" t="n">
        <v>16500</v>
      </c>
      <c r="G753" s="4" t="n">
        <v>681</v>
      </c>
      <c r="H753" s="4" t="n">
        <v>206</v>
      </c>
      <c r="I753" s="5" t="n">
        <v>80.09999999999999</v>
      </c>
      <c r="J753" s="5" t="n">
        <v>36.8</v>
      </c>
      <c r="K753" s="3" t="inlineStr">
        <is>
          <t>나대지</t>
        </is>
      </c>
      <c r="L753" s="6">
        <f>HYPERLINK("https://fin.land.naver.com/articles/2653391600", "매물Link")</f>
        <v/>
      </c>
      <c r="M753" s="6">
        <f>HYPERLINK("https://map.naver.com/p/search/부강면 등곡리 178", "지도Link")</f>
        <v/>
      </c>
      <c r="N753" s="6">
        <f>HYPERLINK("http://www.eum.go.kr/web/ar/lu/luLandDet.jsp?pnu=3611033026101780000&amp;isNoScr=script&amp;mode=search", "토지이음")</f>
        <v/>
      </c>
      <c r="O753" s="3" t="inlineStr">
        <is>
          <t>다산</t>
        </is>
      </c>
      <c r="P753" s="4" t="n">
        <v>1</v>
      </c>
      <c r="Q753" s="4" t="n">
        <v>681</v>
      </c>
      <c r="R753" s="3" t="inlineStr">
        <is>
          <t>지정되지않음</t>
        </is>
      </c>
      <c r="S753" s="3" t="inlineStr">
        <is>
          <t>단독</t>
        </is>
      </c>
      <c r="T753" s="3" t="inlineStr">
        <is>
          <t>완경사</t>
        </is>
      </c>
      <c r="U753" s="3" t="inlineStr">
        <is>
          <t>부정형</t>
        </is>
      </c>
      <c r="V753" s="3" t="inlineStr">
        <is>
          <t>세로한면(가)</t>
        </is>
      </c>
    </row>
    <row r="754">
      <c r="A754" s="3" t="inlineStr">
        <is>
          <t>부강면 등곡리 452</t>
        </is>
      </c>
      <c r="B754" s="3" t="inlineStr">
        <is>
          <t>생산관리지역</t>
        </is>
      </c>
      <c r="C754" s="3" t="inlineStr">
        <is>
          <t>전</t>
        </is>
      </c>
      <c r="D754" s="3" t="inlineStr">
        <is>
          <t>전</t>
        </is>
      </c>
      <c r="E754" s="3" t="inlineStr">
        <is>
          <t>매매</t>
        </is>
      </c>
      <c r="F754" s="4" t="n">
        <v>15000</v>
      </c>
      <c r="G754" s="4" t="n">
        <v>2099</v>
      </c>
      <c r="H754" s="4" t="n">
        <v>635</v>
      </c>
      <c r="I754" s="5" t="n">
        <v>23.6</v>
      </c>
      <c r="J754" s="5" t="n">
        <v>10.7</v>
      </c>
      <c r="K754" s="3" t="inlineStr">
        <is>
          <t>급매도,현재밭으로 경작중,매포역가까움,밭으로 들어가는 흙길있음</t>
        </is>
      </c>
      <c r="L754" s="6">
        <f>HYPERLINK("https://fin.land.naver.com/articles/2651836449", "매물Link")</f>
        <v/>
      </c>
      <c r="M754" s="6">
        <f>HYPERLINK("https://map.naver.com/p/search/부강면 등곡리 452", "지도Link")</f>
        <v/>
      </c>
      <c r="N754" s="6">
        <f>HYPERLINK("http://www.eum.go.kr/web/ar/lu/luLandDet.jsp?pnu=3611033026104520000&amp;isNoScr=script&amp;mode=search", "토지이음")</f>
        <v/>
      </c>
      <c r="O754" s="3" t="inlineStr">
        <is>
          <t>배곧행복</t>
        </is>
      </c>
      <c r="P754" s="4" t="n">
        <v>1</v>
      </c>
      <c r="Q754" s="4" t="n">
        <v>2099</v>
      </c>
      <c r="R754" s="3" t="inlineStr">
        <is>
          <t>지정되지않음</t>
        </is>
      </c>
      <c r="S754" s="3" t="inlineStr">
        <is>
          <t>전</t>
        </is>
      </c>
      <c r="T754" s="3" t="inlineStr">
        <is>
          <t>평지</t>
        </is>
      </c>
      <c r="U754" s="3" t="inlineStr">
        <is>
          <t>사다리형</t>
        </is>
      </c>
      <c r="V754" s="3" t="inlineStr">
        <is>
          <t>맹지</t>
        </is>
      </c>
    </row>
    <row r="755">
      <c r="A755" s="3" t="inlineStr">
        <is>
          <t>부강면 등곡리 461</t>
        </is>
      </c>
      <c r="B755" s="3" t="inlineStr">
        <is>
          <t>생산관리지역</t>
        </is>
      </c>
      <c r="C755" s="3" t="inlineStr">
        <is>
          <t>답</t>
        </is>
      </c>
      <c r="D755" s="3" t="inlineStr">
        <is>
          <t>답</t>
        </is>
      </c>
      <c r="E755" s="3" t="inlineStr">
        <is>
          <t>매매</t>
        </is>
      </c>
      <c r="F755" s="4" t="n">
        <v>135000</v>
      </c>
      <c r="G755" s="4" t="n">
        <v>4488</v>
      </c>
      <c r="H755" s="4" t="n">
        <v>1358</v>
      </c>
      <c r="I755" s="5" t="n">
        <v>99.40000000000001</v>
      </c>
      <c r="J755" s="5" t="n">
        <v>19.5</v>
      </c>
      <c r="K755" s="3" t="inlineStr">
        <is>
          <t>2차선 부근의  금강뷰 좋은 건축허가 가능한 정남향의 토지</t>
        </is>
      </c>
      <c r="L755" s="6">
        <f>HYPERLINK("https://fin.land.naver.com/articles/2652068759", "매물Link")</f>
        <v/>
      </c>
      <c r="M755" s="6">
        <f>HYPERLINK("https://map.naver.com/p/search/부강면 등곡리 461", "지도Link")</f>
        <v/>
      </c>
      <c r="N755" s="6">
        <f>HYPERLINK("http://www.eum.go.kr/web/ar/lu/luLandDet.jsp?pnu=3611033026104610000&amp;isNoScr=script&amp;mode=search", "토지이음")</f>
        <v/>
      </c>
      <c r="O755" s="3" t="inlineStr">
        <is>
          <t>연동스카이</t>
        </is>
      </c>
      <c r="P755" s="4" t="n">
        <v>1</v>
      </c>
      <c r="Q755" s="4" t="n">
        <v>2000</v>
      </c>
      <c r="R755" s="3" t="inlineStr">
        <is>
          <t>지정되지않음</t>
        </is>
      </c>
      <c r="S755" s="3" t="inlineStr">
        <is>
          <t>전</t>
        </is>
      </c>
      <c r="T755" s="3" t="inlineStr">
        <is>
          <t>평지</t>
        </is>
      </c>
      <c r="U755" s="3" t="inlineStr">
        <is>
          <t>부정형</t>
        </is>
      </c>
      <c r="V755" s="3" t="inlineStr">
        <is>
          <t>세로한면(불)</t>
        </is>
      </c>
    </row>
    <row r="756">
      <c r="A756" s="3" t="inlineStr">
        <is>
          <t>부강면 등곡리 55</t>
        </is>
      </c>
      <c r="B756" s="3" t="inlineStr">
        <is>
          <t>계획관리지역</t>
        </is>
      </c>
      <c r="C756" s="3" t="inlineStr">
        <is>
          <t>답</t>
        </is>
      </c>
      <c r="D756" s="3" t="inlineStr">
        <is>
          <t>답</t>
        </is>
      </c>
      <c r="E756" s="3" t="inlineStr">
        <is>
          <t>매매</t>
        </is>
      </c>
      <c r="F756" s="4" t="n">
        <v>19000</v>
      </c>
      <c r="G756" s="4" t="n">
        <v>1835</v>
      </c>
      <c r="H756" s="4" t="n">
        <v>555</v>
      </c>
      <c r="I756" s="5" t="n">
        <v>34.2</v>
      </c>
      <c r="J756" s="5" t="n">
        <v>18.8</v>
      </c>
      <c r="K756" s="3" t="inlineStr">
        <is>
          <t>접근성좋고 주말농장이나 전원주택 용지로도좋음.</t>
        </is>
      </c>
      <c r="L756" s="6">
        <f>HYPERLINK("https://fin.land.naver.com/articles/2650849101", "매물Link")</f>
        <v/>
      </c>
      <c r="M756" s="6">
        <f>HYPERLINK("https://map.naver.com/p/search/부강면 등곡리 55", "지도Link")</f>
        <v/>
      </c>
      <c r="N756" s="6">
        <f>HYPERLINK("http://www.eum.go.kr/web/ar/lu/luLandDet.jsp?pnu=3611033026100550000&amp;isNoScr=script&amp;mode=search", "토지이음")</f>
        <v/>
      </c>
      <c r="O756" s="3" t="inlineStr">
        <is>
          <t>오투그린1</t>
        </is>
      </c>
      <c r="P756" s="4" t="n">
        <v>1</v>
      </c>
      <c r="Q756" s="4" t="n">
        <v>1835</v>
      </c>
      <c r="R756" s="3" t="inlineStr">
        <is>
          <t>지정되지않음</t>
        </is>
      </c>
      <c r="S756" s="3" t="inlineStr">
        <is>
          <t>답</t>
        </is>
      </c>
      <c r="T756" s="3" t="inlineStr">
        <is>
          <t>완경사</t>
        </is>
      </c>
      <c r="U756" s="3" t="inlineStr">
        <is>
          <t>사다리형</t>
        </is>
      </c>
      <c r="V756" s="3" t="inlineStr">
        <is>
          <t>맹지</t>
        </is>
      </c>
    </row>
    <row r="757">
      <c r="A757" s="3" t="inlineStr">
        <is>
          <t>부강면 문곡리 1060-3</t>
        </is>
      </c>
      <c r="B757" s="3" t="inlineStr">
        <is>
          <t>계획관리지역</t>
        </is>
      </c>
      <c r="C757" s="3" t="inlineStr">
        <is>
          <t>대</t>
        </is>
      </c>
      <c r="D757" s="3" t="inlineStr">
        <is>
          <t>대</t>
        </is>
      </c>
      <c r="E757" s="3" t="inlineStr">
        <is>
          <t>매매</t>
        </is>
      </c>
      <c r="F757" s="4" t="n">
        <v>25000</v>
      </c>
      <c r="G757" s="4" t="n">
        <v>323</v>
      </c>
      <c r="H757" s="4" t="n">
        <v>98</v>
      </c>
      <c r="I757" s="5" t="n">
        <v>255.1</v>
      </c>
      <c r="J757" s="5" t="n">
        <v>92.40000000000001</v>
      </c>
      <c r="K757" s="3" t="inlineStr">
        <is>
          <t>대지 토지 매매</t>
        </is>
      </c>
      <c r="L757" s="6">
        <f>HYPERLINK("https://fin.land.naver.com/articles/2653175461", "매물Link")</f>
        <v/>
      </c>
      <c r="M757" s="6">
        <f>HYPERLINK("https://map.naver.com/p/search/부강면 문곡리 1060-3", "지도Link")</f>
        <v/>
      </c>
      <c r="N757" s="6">
        <f>HYPERLINK("http://www.eum.go.kr/web/ar/lu/luLandDet.jsp?pnu=3611033025110600003&amp;isNoScr=script&amp;mode=search", "토지이음")</f>
        <v/>
      </c>
      <c r="O757" s="3" t="inlineStr">
        <is>
          <t>주식회사넥서스</t>
        </is>
      </c>
      <c r="P757" s="4" t="n">
        <v>1</v>
      </c>
      <c r="Q757" s="4" t="n">
        <v>323</v>
      </c>
      <c r="R757" s="3" t="inlineStr">
        <is>
          <t>지정되지않음</t>
        </is>
      </c>
      <c r="S757" s="3" t="inlineStr">
        <is>
          <t>주거기타</t>
        </is>
      </c>
      <c r="T757" s="3" t="inlineStr">
        <is>
          <t>평지</t>
        </is>
      </c>
      <c r="U757" s="3" t="inlineStr">
        <is>
          <t>사다리형</t>
        </is>
      </c>
      <c r="V757" s="3" t="inlineStr">
        <is>
          <t>세로한면(가)</t>
        </is>
      </c>
    </row>
    <row r="758">
      <c r="A758" s="3" t="inlineStr">
        <is>
          <t>부강면 문곡리 1064</t>
        </is>
      </c>
      <c r="B758" s="3" t="inlineStr">
        <is>
          <t>계획관리지역</t>
        </is>
      </c>
      <c r="C758" s="3" t="inlineStr">
        <is>
          <t>답</t>
        </is>
      </c>
      <c r="D758" s="3" t="inlineStr">
        <is>
          <t>답</t>
        </is>
      </c>
      <c r="E758" s="3" t="inlineStr">
        <is>
          <t>매매</t>
        </is>
      </c>
      <c r="F758" s="4" t="n">
        <v>410000</v>
      </c>
      <c r="G758" s="4" t="n">
        <v>5026</v>
      </c>
      <c r="H758" s="4" t="n">
        <v>1520</v>
      </c>
      <c r="I758" s="5" t="n">
        <v>269.7</v>
      </c>
      <c r="J758" s="5" t="n">
        <v>71.2</v>
      </c>
      <c r="K758" s="3" t="inlineStr">
        <is>
          <t>남청주IC 3분거리, 2차선 접한 토지, 대형차량 진출입 용이</t>
        </is>
      </c>
      <c r="L758" s="6">
        <f>HYPERLINK("https://fin.land.naver.com/articles/2652777976", "매물Link")</f>
        <v/>
      </c>
      <c r="M758" s="6">
        <f>HYPERLINK("https://map.naver.com/p/search/부강면 문곡리 1064", "지도Link")</f>
        <v/>
      </c>
      <c r="N758" s="6">
        <f>HYPERLINK("http://www.eum.go.kr/web/ar/lu/luLandDet.jsp?pnu=3611033025110640000&amp;isNoScr=script&amp;mode=search", "토지이음")</f>
        <v/>
      </c>
      <c r="O758" s="3" t="inlineStr">
        <is>
          <t>금화랜드</t>
        </is>
      </c>
      <c r="P758" s="4" t="n">
        <v>3</v>
      </c>
      <c r="Q758" s="4" t="n">
        <v>4344</v>
      </c>
      <c r="R758" s="3" t="inlineStr">
        <is>
          <t>지정되지않음</t>
        </is>
      </c>
      <c r="S758" s="3" t="inlineStr">
        <is>
          <t>답</t>
        </is>
      </c>
      <c r="T758" s="3" t="inlineStr">
        <is>
          <t>평지</t>
        </is>
      </c>
      <c r="U758" s="3" t="inlineStr">
        <is>
          <t>부정형</t>
        </is>
      </c>
      <c r="V758" s="3" t="inlineStr">
        <is>
          <t>맹지</t>
        </is>
      </c>
    </row>
    <row r="759">
      <c r="A759" s="3" t="inlineStr">
        <is>
          <t>부강면 문곡리 1064-1</t>
        </is>
      </c>
      <c r="B759" s="3" t="inlineStr">
        <is>
          <t>계획관리지역</t>
        </is>
      </c>
      <c r="C759" s="3" t="inlineStr">
        <is>
          <t>답</t>
        </is>
      </c>
      <c r="D759" s="3" t="inlineStr">
        <is>
          <t>답</t>
        </is>
      </c>
      <c r="E759" s="3" t="inlineStr">
        <is>
          <t>매매</t>
        </is>
      </c>
      <c r="F759" s="4" t="n">
        <v>159000</v>
      </c>
      <c r="G759" s="4" t="n">
        <v>1752</v>
      </c>
      <c r="H759" s="4" t="n">
        <v>530</v>
      </c>
      <c r="I759" s="5" t="n">
        <v>300</v>
      </c>
      <c r="J759" s="5" t="n">
        <v>70.40000000000001</v>
      </c>
      <c r="K759" s="3" t="inlineStr">
        <is>
          <t>세종과 남청주IC 도로 인근에 위치하여 진출입이 용이한 곳</t>
        </is>
      </c>
      <c r="L759" s="6">
        <f>HYPERLINK("https://fin.land.naver.com/articles/2651115525", "매물Link")</f>
        <v/>
      </c>
      <c r="M759" s="6">
        <f>HYPERLINK("https://map.naver.com/p/search/부강면 문곡리 1064-1", "지도Link")</f>
        <v/>
      </c>
      <c r="N759" s="6">
        <f>HYPERLINK("http://www.eum.go.kr/web/ar/lu/luLandDet.jsp?pnu=3611033025110640001&amp;isNoScr=script&amp;mode=search", "토지이음")</f>
        <v/>
      </c>
      <c r="O759" s="3" t="inlineStr">
        <is>
          <t>(주)미르</t>
        </is>
      </c>
      <c r="P759" s="4" t="n">
        <v>1</v>
      </c>
      <c r="Q759" s="4" t="n">
        <v>200</v>
      </c>
      <c r="R759" s="3" t="inlineStr">
        <is>
          <t>지정되지않음</t>
        </is>
      </c>
      <c r="S759" s="3" t="inlineStr">
        <is>
          <t>답</t>
        </is>
      </c>
      <c r="T759" s="3" t="inlineStr">
        <is>
          <t>평지</t>
        </is>
      </c>
      <c r="U759" s="3" t="inlineStr">
        <is>
          <t>부정형</t>
        </is>
      </c>
      <c r="V759" s="3" t="inlineStr">
        <is>
          <t>맹지</t>
        </is>
      </c>
    </row>
    <row r="760">
      <c r="A760" s="3" t="inlineStr">
        <is>
          <t>부강면 문곡리 1066</t>
        </is>
      </c>
      <c r="B760" s="3" t="inlineStr">
        <is>
          <t>계획관리지역</t>
        </is>
      </c>
      <c r="C760" s="3" t="inlineStr">
        <is>
          <t>답</t>
        </is>
      </c>
      <c r="D760" s="3" t="inlineStr">
        <is>
          <t>답</t>
        </is>
      </c>
      <c r="E760" s="3" t="inlineStr">
        <is>
          <t>매매</t>
        </is>
      </c>
      <c r="F760" s="4" t="n">
        <v>159000</v>
      </c>
      <c r="G760" s="4" t="n">
        <v>1752</v>
      </c>
      <c r="H760" s="4" t="n">
        <v>530</v>
      </c>
      <c r="I760" s="5" t="n">
        <v>300</v>
      </c>
      <c r="J760" s="5" t="n">
        <v>95.2</v>
      </c>
      <c r="K760" s="3" t="inlineStr">
        <is>
          <t>공장,창고로 추천,남청주IC 5분거리,대형차량 진출입 편리</t>
        </is>
      </c>
      <c r="L760" s="6">
        <f>HYPERLINK("https://fin.land.naver.com/articles/2653177971", "매물Link")</f>
        <v/>
      </c>
      <c r="M760" s="6">
        <f>HYPERLINK("https://map.naver.com/p/search/부강면 문곡리 1066", "지도Link")</f>
        <v/>
      </c>
      <c r="N760" s="6">
        <f>HYPERLINK("http://www.eum.go.kr/web/ar/lu/luLandDet.jsp?pnu=3611033025110660000&amp;isNoScr=script&amp;mode=search", "토지이음")</f>
        <v/>
      </c>
      <c r="O760" s="3" t="inlineStr">
        <is>
          <t>금화랜드</t>
        </is>
      </c>
      <c r="P760" s="4" t="n">
        <v>1</v>
      </c>
      <c r="Q760" s="4" t="n">
        <v>1616</v>
      </c>
      <c r="R760" s="3" t="inlineStr">
        <is>
          <t>지정되지않음</t>
        </is>
      </c>
      <c r="S760" s="3" t="inlineStr">
        <is>
          <t>답</t>
        </is>
      </c>
      <c r="T760" s="3" t="inlineStr">
        <is>
          <t>평지</t>
        </is>
      </c>
      <c r="U760" s="3" t="inlineStr">
        <is>
          <t>부정형</t>
        </is>
      </c>
      <c r="V760" s="3" t="inlineStr">
        <is>
          <t>소로한면</t>
        </is>
      </c>
    </row>
    <row r="761">
      <c r="A761" s="3" t="inlineStr">
        <is>
          <t>부강면 문곡리 114</t>
        </is>
      </c>
      <c r="B761" s="3" t="inlineStr">
        <is>
          <t>계획관리지역</t>
        </is>
      </c>
      <c r="C761" s="3" t="inlineStr">
        <is>
          <t>답</t>
        </is>
      </c>
      <c r="D761" s="3" t="inlineStr">
        <is>
          <t>답</t>
        </is>
      </c>
      <c r="E761" s="3" t="inlineStr">
        <is>
          <t>매매</t>
        </is>
      </c>
      <c r="F761" s="4" t="n">
        <v>500000</v>
      </c>
      <c r="G761" s="4" t="n">
        <v>8992</v>
      </c>
      <c r="H761" s="4" t="n">
        <v>2720</v>
      </c>
      <c r="I761" s="5" t="n">
        <v>183.8</v>
      </c>
      <c r="J761" s="5" t="n">
        <v>55.3</v>
      </c>
      <c r="K761" s="3" t="inlineStr">
        <is>
          <t>2차선 도로와 연결로 대형차 진출입이 편리, 남청주IC인근에 위치</t>
        </is>
      </c>
      <c r="L761" s="6">
        <f>HYPERLINK("https://fin.land.naver.com/articles/2651013918", "매물Link")</f>
        <v/>
      </c>
      <c r="M761" s="6">
        <f>HYPERLINK("https://map.naver.com/p/search/부강면 문곡리 114", "지도Link")</f>
        <v/>
      </c>
      <c r="N761" s="6">
        <f>HYPERLINK("http://www.eum.go.kr/web/ar/lu/luLandDet.jsp?pnu=3611033025101140000&amp;isNoScr=script&amp;mode=search", "토지이음")</f>
        <v/>
      </c>
      <c r="O761" s="3" t="inlineStr">
        <is>
          <t>(주)미르</t>
        </is>
      </c>
      <c r="P761" s="4" t="n">
        <v>1</v>
      </c>
      <c r="Q761" s="4" t="n">
        <v>2435</v>
      </c>
      <c r="R761" s="3" t="inlineStr">
        <is>
          <t>지정되지않음</t>
        </is>
      </c>
      <c r="S761" s="3" t="inlineStr">
        <is>
          <t>답</t>
        </is>
      </c>
      <c r="T761" s="3" t="inlineStr">
        <is>
          <t>평지</t>
        </is>
      </c>
      <c r="U761" s="3" t="inlineStr">
        <is>
          <t>부정형</t>
        </is>
      </c>
      <c r="V761" s="3" t="inlineStr">
        <is>
          <t>세로한면(불)</t>
        </is>
      </c>
    </row>
    <row r="762">
      <c r="A762" s="3" t="inlineStr">
        <is>
          <t>부강면 문곡리 205</t>
        </is>
      </c>
      <c r="B762" s="3" t="inlineStr">
        <is>
          <t>계획관리지역</t>
        </is>
      </c>
      <c r="C762" s="3" t="inlineStr">
        <is>
          <t>대</t>
        </is>
      </c>
      <c r="D762" s="3" t="inlineStr">
        <is>
          <t>대</t>
        </is>
      </c>
      <c r="E762" s="3" t="inlineStr">
        <is>
          <t>매매</t>
        </is>
      </c>
      <c r="F762" s="4" t="n">
        <v>27000</v>
      </c>
      <c r="G762" s="4" t="n">
        <v>849</v>
      </c>
      <c r="H762" s="4" t="n">
        <v>257</v>
      </c>
      <c r="I762" s="5" t="n">
        <v>105.1</v>
      </c>
      <c r="J762" s="5" t="n">
        <v>63.7</v>
      </c>
      <c r="K762" s="3" t="inlineStr">
        <is>
          <t>정남향의 지대높고 예쁜마을에 있는 단독주택</t>
        </is>
      </c>
      <c r="L762" s="6">
        <f>HYPERLINK("https://fin.land.naver.com/articles/2652071617", "매물Link")</f>
        <v/>
      </c>
      <c r="M762" s="6">
        <f>HYPERLINK("https://map.naver.com/p/search/부강면 문곡리 205", "지도Link")</f>
        <v/>
      </c>
      <c r="N762" s="6">
        <f>HYPERLINK("http://www.eum.go.kr/web/ar/lu/luLandDet.jsp?pnu=3611033025102050000&amp;isNoScr=script&amp;mode=search", "토지이음")</f>
        <v/>
      </c>
      <c r="O762" s="3" t="inlineStr">
        <is>
          <t>연동스카이</t>
        </is>
      </c>
      <c r="P762" s="4" t="n">
        <v>1</v>
      </c>
      <c r="Q762" s="4" t="n">
        <v>848</v>
      </c>
      <c r="R762" s="3" t="inlineStr">
        <is>
          <t>지정되지않음</t>
        </is>
      </c>
      <c r="S762" s="3" t="inlineStr">
        <is>
          <t>단독</t>
        </is>
      </c>
      <c r="T762" s="3" t="inlineStr">
        <is>
          <t>완경사</t>
        </is>
      </c>
      <c r="U762" s="3" t="inlineStr">
        <is>
          <t>부정형</t>
        </is>
      </c>
      <c r="V762" s="3" t="inlineStr">
        <is>
          <t>세로각지(가)</t>
        </is>
      </c>
    </row>
    <row r="763">
      <c r="A763" s="3" t="inlineStr">
        <is>
          <t>부강면 문곡리 240-1</t>
        </is>
      </c>
      <c r="B763" s="3" t="inlineStr">
        <is>
          <t>보전관리지역</t>
        </is>
      </c>
      <c r="C763" s="3" t="inlineStr">
        <is>
          <t>임야</t>
        </is>
      </c>
      <c r="D763" s="3" t="inlineStr">
        <is>
          <t>임야</t>
        </is>
      </c>
      <c r="E763" s="3" t="inlineStr">
        <is>
          <t>매매</t>
        </is>
      </c>
      <c r="F763" s="4" t="n">
        <v>130000</v>
      </c>
      <c r="G763" s="4" t="n">
        <v>1470</v>
      </c>
      <c r="H763" s="4" t="n">
        <v>445</v>
      </c>
      <c r="I763" s="5" t="n">
        <v>292.1</v>
      </c>
      <c r="J763" s="5" t="n">
        <v>46.1</v>
      </c>
      <c r="K763" s="3" t="inlineStr">
        <is>
          <t>1층단독한옥주택 준공완료,일괄매매,친환경 힐링하실분,뻥뷰</t>
        </is>
      </c>
      <c r="L763" s="6">
        <f>HYPERLINK("https://fin.land.naver.com/articles/2650882939", "매물Link")</f>
        <v/>
      </c>
      <c r="M763" s="6">
        <f>HYPERLINK("https://map.naver.com/p/search/부강면 문곡리 240-1", "지도Link")</f>
        <v/>
      </c>
      <c r="N763" s="6">
        <f>HYPERLINK("http://www.eum.go.kr/web/ar/lu/luLandDet.jsp?pnu=3611033025102400001&amp;isNoScr=script&amp;mode=search", "토지이음")</f>
        <v/>
      </c>
      <c r="O763" s="3" t="inlineStr">
        <is>
          <t>힐스테이트행복</t>
        </is>
      </c>
      <c r="P763" s="4" t="n">
        <v>1</v>
      </c>
      <c r="Q763" s="4" t="n">
        <v>1470</v>
      </c>
      <c r="R763" s="3" t="inlineStr">
        <is>
          <t>지정되지않음</t>
        </is>
      </c>
      <c r="S763" s="3" t="inlineStr">
        <is>
          <t>단독</t>
        </is>
      </c>
      <c r="T763" s="3" t="inlineStr">
        <is>
          <t>완경사</t>
        </is>
      </c>
      <c r="U763" s="3" t="inlineStr">
        <is>
          <t>부정형</t>
        </is>
      </c>
      <c r="V763" s="3" t="inlineStr">
        <is>
          <t>세로한면(가)</t>
        </is>
      </c>
    </row>
    <row r="764">
      <c r="A764" s="3" t="inlineStr">
        <is>
          <t>부강면 문곡리 364</t>
        </is>
      </c>
      <c r="B764" s="3" t="inlineStr">
        <is>
          <t>계획관리지역</t>
        </is>
      </c>
      <c r="C764" s="3" t="inlineStr">
        <is>
          <t>답</t>
        </is>
      </c>
      <c r="D764" s="3" t="inlineStr">
        <is>
          <t>답</t>
        </is>
      </c>
      <c r="E764" s="3" t="inlineStr">
        <is>
          <t>매매</t>
        </is>
      </c>
      <c r="F764" s="4" t="n">
        <v>30000</v>
      </c>
      <c r="G764" s="4" t="n">
        <v>966</v>
      </c>
      <c r="H764" s="4" t="n">
        <v>292</v>
      </c>
      <c r="I764" s="5" t="n">
        <v>102.7</v>
      </c>
      <c r="J764" s="5" t="n">
        <v>36.1</v>
      </c>
      <c r="K764" s="3" t="inlineStr">
        <is>
          <t>계획관리지역 주목</t>
        </is>
      </c>
      <c r="L764" s="6">
        <f>HYPERLINK("https://fin.land.naver.com/articles/2649735022", "매물Link")</f>
        <v/>
      </c>
      <c r="M764" s="6">
        <f>HYPERLINK("https://map.naver.com/p/search/부강면 문곡리 364", "지도Link")</f>
        <v/>
      </c>
      <c r="N764" s="6">
        <f>HYPERLINK("http://www.eum.go.kr/web/ar/lu/luLandDet.jsp?pnu=3611033025103640000&amp;isNoScr=script&amp;mode=search", "토지이음")</f>
        <v/>
      </c>
      <c r="O764" s="3" t="inlineStr">
        <is>
          <t>세종몽땅</t>
        </is>
      </c>
      <c r="P764" s="4" t="n">
        <v>1</v>
      </c>
      <c r="Q764" s="4" t="n">
        <v>966</v>
      </c>
      <c r="R764" s="3" t="inlineStr">
        <is>
          <t>지정되지않음</t>
        </is>
      </c>
      <c r="S764" s="3" t="inlineStr">
        <is>
          <t>전</t>
        </is>
      </c>
      <c r="T764" s="3" t="inlineStr">
        <is>
          <t>완경사</t>
        </is>
      </c>
      <c r="U764" s="3" t="inlineStr">
        <is>
          <t>부정형</t>
        </is>
      </c>
      <c r="V764" s="3" t="inlineStr">
        <is>
          <t>소로한면</t>
        </is>
      </c>
    </row>
    <row r="765">
      <c r="A765" s="3" t="inlineStr">
        <is>
          <t>부강면 문곡리 370</t>
        </is>
      </c>
      <c r="B765" s="3" t="inlineStr">
        <is>
          <t>계획관리지역</t>
        </is>
      </c>
      <c r="C765" s="3" t="inlineStr">
        <is>
          <t>답</t>
        </is>
      </c>
      <c r="D765" s="3" t="inlineStr">
        <is>
          <t>답</t>
        </is>
      </c>
      <c r="E765" s="3" t="inlineStr">
        <is>
          <t>매매</t>
        </is>
      </c>
      <c r="F765" s="4" t="n">
        <v>14000</v>
      </c>
      <c r="G765" s="4" t="n">
        <v>592</v>
      </c>
      <c r="H765" s="4" t="n">
        <v>179</v>
      </c>
      <c r="I765" s="5" t="n">
        <v>78.2</v>
      </c>
      <c r="J765" s="5" t="n">
        <v>28.1</v>
      </c>
      <c r="K765" s="3" t="inlineStr">
        <is>
          <t>문곡리 대국터, 계획관리지역, 성장관리계획구역, 매매가 협의 가능</t>
        </is>
      </c>
      <c r="L765" s="6">
        <f>HYPERLINK("https://fin.land.naver.com/articles/2650784515", "매물Link")</f>
        <v/>
      </c>
      <c r="M765" s="6">
        <f>HYPERLINK("https://map.naver.com/p/search/부강면 문곡리 370", "지도Link")</f>
        <v/>
      </c>
      <c r="N765" s="6">
        <f>HYPERLINK("http://www.eum.go.kr/web/ar/lu/luLandDet.jsp?pnu=3611033025103700000&amp;isNoScr=script&amp;mode=search", "토지이음")</f>
        <v/>
      </c>
      <c r="O765" s="3" t="inlineStr">
        <is>
          <t>탑</t>
        </is>
      </c>
      <c r="P765" s="4" t="n">
        <v>1</v>
      </c>
      <c r="Q765" s="4" t="n">
        <v>592</v>
      </c>
      <c r="R765" s="3" t="inlineStr">
        <is>
          <t>지정되지않음</t>
        </is>
      </c>
      <c r="S765" s="3" t="inlineStr">
        <is>
          <t>답</t>
        </is>
      </c>
      <c r="T765" s="3" t="inlineStr">
        <is>
          <t>완경사</t>
        </is>
      </c>
      <c r="U765" s="3" t="inlineStr">
        <is>
          <t>가로장방</t>
        </is>
      </c>
      <c r="V765" s="3" t="inlineStr">
        <is>
          <t>맹지</t>
        </is>
      </c>
    </row>
    <row r="766">
      <c r="A766" s="3" t="inlineStr">
        <is>
          <t>부강면 문곡리 446</t>
        </is>
      </c>
      <c r="B766" s="3" t="inlineStr">
        <is>
          <t>계획관리지역</t>
        </is>
      </c>
      <c r="C766" s="3" t="inlineStr">
        <is>
          <t>전</t>
        </is>
      </c>
      <c r="D766" s="3" t="inlineStr">
        <is>
          <t>전</t>
        </is>
      </c>
      <c r="E766" s="3" t="inlineStr">
        <is>
          <t>매매</t>
        </is>
      </c>
      <c r="F766" s="4" t="n">
        <v>28700</v>
      </c>
      <c r="G766" s="4" t="n">
        <v>1355</v>
      </c>
      <c r="H766" s="4" t="n">
        <v>410</v>
      </c>
      <c r="I766" s="5" t="n">
        <v>70</v>
      </c>
      <c r="J766" s="5" t="n">
        <v>27.7</v>
      </c>
      <c r="K766" s="3" t="inlineStr">
        <is>
          <t>계획관리지역 토지 매매</t>
        </is>
      </c>
      <c r="L766" s="6">
        <f>HYPERLINK("https://fin.land.naver.com/articles/2651646118", "매물Link")</f>
        <v/>
      </c>
      <c r="M766" s="6">
        <f>HYPERLINK("https://map.naver.com/p/search/부강면 문곡리 446", "지도Link")</f>
        <v/>
      </c>
      <c r="N766" s="6">
        <f>HYPERLINK("http://www.eum.go.kr/web/ar/lu/luLandDet.jsp?pnu=3611033025104460000&amp;isNoScr=script&amp;mode=search", "토지이음")</f>
        <v/>
      </c>
      <c r="O766" s="3" t="inlineStr">
        <is>
          <t>THE행복</t>
        </is>
      </c>
      <c r="P766" s="4" t="n">
        <v>2</v>
      </c>
      <c r="Q766" s="4" t="n">
        <v>226</v>
      </c>
      <c r="R766" s="3" t="inlineStr">
        <is>
          <t>지정되지않음</t>
        </is>
      </c>
      <c r="S766" s="3" t="inlineStr">
        <is>
          <t>전</t>
        </is>
      </c>
      <c r="T766" s="3" t="inlineStr">
        <is>
          <t>완경사</t>
        </is>
      </c>
      <c r="U766" s="3" t="inlineStr">
        <is>
          <t>사다리형</t>
        </is>
      </c>
      <c r="V766" s="3" t="inlineStr">
        <is>
          <t>세로한면(가)</t>
        </is>
      </c>
    </row>
    <row r="767">
      <c r="A767" s="3" t="inlineStr">
        <is>
          <t>부강면 문곡리 456</t>
        </is>
      </c>
      <c r="B767" s="3" t="inlineStr">
        <is>
          <t>계획관리지역</t>
        </is>
      </c>
      <c r="C767" s="3" t="inlineStr">
        <is>
          <t>전</t>
        </is>
      </c>
      <c r="D767" s="3" t="inlineStr">
        <is>
          <t>전</t>
        </is>
      </c>
      <c r="E767" s="3" t="inlineStr">
        <is>
          <t>매매</t>
        </is>
      </c>
      <c r="F767" s="4" t="n">
        <v>56000</v>
      </c>
      <c r="G767" s="4" t="n">
        <v>1544</v>
      </c>
      <c r="H767" s="4" t="n">
        <v>467</v>
      </c>
      <c r="I767" s="5" t="n">
        <v>119.9</v>
      </c>
      <c r="J767" s="5" t="n">
        <v>24.3</v>
      </c>
      <c r="K767" s="3" t="inlineStr">
        <is>
          <t>2차선 도로에 접하고, 관정 비닐하우스도 있음, 지하고속철도 진동없음</t>
        </is>
      </c>
      <c r="L767" s="6">
        <f>HYPERLINK("https://fin.land.naver.com/articles/2652070167", "매물Link")</f>
        <v/>
      </c>
      <c r="M767" s="6">
        <f>HYPERLINK("https://map.naver.com/p/search/부강면 문곡리 456", "지도Link")</f>
        <v/>
      </c>
      <c r="N767" s="6">
        <f>HYPERLINK("http://www.eum.go.kr/web/ar/lu/luLandDet.jsp?pnu=3611033025104560000&amp;isNoScr=script&amp;mode=search", "토지이음")</f>
        <v/>
      </c>
      <c r="O767" s="3" t="inlineStr">
        <is>
          <t>연동스카이</t>
        </is>
      </c>
      <c r="P767" s="4" t="n">
        <v>1</v>
      </c>
      <c r="Q767" s="4" t="n">
        <v>1544</v>
      </c>
      <c r="R767" s="3" t="inlineStr">
        <is>
          <t>지정되지않음</t>
        </is>
      </c>
      <c r="S767" s="3" t="inlineStr">
        <is>
          <t>전</t>
        </is>
      </c>
      <c r="T767" s="3" t="inlineStr">
        <is>
          <t>완경사</t>
        </is>
      </c>
      <c r="U767" s="3" t="inlineStr">
        <is>
          <t>부정형</t>
        </is>
      </c>
      <c r="V767" s="3" t="inlineStr">
        <is>
          <t>세로한면(불)</t>
        </is>
      </c>
    </row>
    <row r="768">
      <c r="A768" s="3" t="inlineStr">
        <is>
          <t>부강면 문곡리 756-4</t>
        </is>
      </c>
      <c r="B768" s="3" t="inlineStr">
        <is>
          <t>계획관리지역</t>
        </is>
      </c>
      <c r="C768" s="3" t="inlineStr">
        <is>
          <t>답</t>
        </is>
      </c>
      <c r="D768" s="3" t="inlineStr">
        <is>
          <t>답</t>
        </is>
      </c>
      <c r="E768" s="3" t="inlineStr">
        <is>
          <t>매매</t>
        </is>
      </c>
      <c r="F768" s="4" t="n">
        <v>50000</v>
      </c>
      <c r="G768" s="4" t="n">
        <v>663</v>
      </c>
      <c r="H768" s="4" t="n">
        <v>201</v>
      </c>
      <c r="I768" s="5" t="n">
        <v>248.8</v>
      </c>
      <c r="J768" s="5" t="n">
        <v>81.90000000000001</v>
      </c>
      <c r="K768" s="3" t="inlineStr">
        <is>
          <t>남청주IC 근처, 접근성 좋은 작은 토지 매매</t>
        </is>
      </c>
      <c r="L768" s="6">
        <f>HYPERLINK("https://fin.land.naver.com/articles/2651713801", "매물Link")</f>
        <v/>
      </c>
      <c r="M768" s="6">
        <f>HYPERLINK("https://map.naver.com/p/search/부강면 문곡리 756-4", "지도Link")</f>
        <v/>
      </c>
      <c r="N768" s="6">
        <f>HYPERLINK("http://www.eum.go.kr/web/ar/lu/luLandDet.jsp?pnu=3611033025107560004&amp;isNoScr=script&amp;mode=search", "토지이음")</f>
        <v/>
      </c>
      <c r="O768" s="3" t="inlineStr">
        <is>
          <t>금화랜드</t>
        </is>
      </c>
      <c r="P768" s="4" t="n">
        <v>1</v>
      </c>
      <c r="Q768" s="4" t="n">
        <v>663</v>
      </c>
      <c r="R768" s="3" t="inlineStr">
        <is>
          <t>지정되지않음</t>
        </is>
      </c>
      <c r="S768" s="3" t="inlineStr">
        <is>
          <t>답</t>
        </is>
      </c>
      <c r="T768" s="3" t="inlineStr">
        <is>
          <t>평지</t>
        </is>
      </c>
      <c r="U768" s="3" t="inlineStr">
        <is>
          <t>부정형</t>
        </is>
      </c>
      <c r="V768" s="3" t="inlineStr">
        <is>
          <t>세로한면(가)</t>
        </is>
      </c>
    </row>
    <row r="769">
      <c r="A769" s="3" t="inlineStr">
        <is>
          <t>부강면 문곡리 802</t>
        </is>
      </c>
      <c r="B769" s="3" t="inlineStr">
        <is>
          <t>생산관리지역</t>
        </is>
      </c>
      <c r="C769" s="3" t="inlineStr">
        <is>
          <t>대</t>
        </is>
      </c>
      <c r="D769" s="3" t="inlineStr">
        <is>
          <t>대</t>
        </is>
      </c>
      <c r="E769" s="3" t="inlineStr">
        <is>
          <t>매매</t>
        </is>
      </c>
      <c r="F769" s="4" t="n">
        <v>40000</v>
      </c>
      <c r="G769" s="4" t="n">
        <v>2079</v>
      </c>
      <c r="H769" s="4" t="n">
        <v>629</v>
      </c>
      <c r="I769" s="5" t="n">
        <v>63.6</v>
      </c>
      <c r="J769" s="5" t="n">
        <v>44.2</v>
      </c>
      <c r="K769" s="3" t="inlineStr">
        <is>
          <t>nan</t>
        </is>
      </c>
      <c r="L769" s="6">
        <f>HYPERLINK("https://fin.land.naver.com/articles/2651247437", "매물Link")</f>
        <v/>
      </c>
      <c r="M769" s="6">
        <f>HYPERLINK("https://map.naver.com/p/search/부강면 문곡리 802", "지도Link")</f>
        <v/>
      </c>
      <c r="N769" s="6">
        <f>HYPERLINK("http://www.eum.go.kr/web/ar/lu/luLandDet.jsp?pnu=3611033025108020000&amp;isNoScr=script&amp;mode=search", "토지이음")</f>
        <v/>
      </c>
      <c r="O769" s="3" t="inlineStr">
        <is>
          <t>대웅</t>
        </is>
      </c>
      <c r="P769" s="4" t="n">
        <v>1</v>
      </c>
      <c r="Q769" s="4" t="n">
        <v>1061</v>
      </c>
      <c r="R769" s="3" t="inlineStr">
        <is>
          <t>지정되지않음</t>
        </is>
      </c>
      <c r="S769" s="3" t="inlineStr">
        <is>
          <t>주거나지</t>
        </is>
      </c>
      <c r="T769" s="3" t="inlineStr">
        <is>
          <t>완경사</t>
        </is>
      </c>
      <c r="U769" s="3" t="inlineStr">
        <is>
          <t>부정형</t>
        </is>
      </c>
      <c r="V769" s="3" t="inlineStr">
        <is>
          <t>세로한면(불)</t>
        </is>
      </c>
    </row>
    <row r="770">
      <c r="A770" s="3" t="inlineStr">
        <is>
          <t>부강면 문곡리 81</t>
        </is>
      </c>
      <c r="B770" s="3" t="inlineStr">
        <is>
          <t>계획관리지역</t>
        </is>
      </c>
      <c r="C770" s="3" t="inlineStr">
        <is>
          <t>답</t>
        </is>
      </c>
      <c r="D770" s="3" t="inlineStr">
        <is>
          <t>전</t>
        </is>
      </c>
      <c r="E770" s="3" t="inlineStr">
        <is>
          <t>매매</t>
        </is>
      </c>
      <c r="F770" s="4" t="n">
        <v>41000</v>
      </c>
      <c r="G770" s="4" t="n">
        <v>1038</v>
      </c>
      <c r="H770" s="4" t="n">
        <v>314</v>
      </c>
      <c r="I770" s="5" t="n">
        <v>130.6</v>
      </c>
      <c r="J770" s="5" t="n">
        <v>29.9</v>
      </c>
      <c r="K770" s="3" t="inlineStr">
        <is>
          <t>2차선 도로옆으로 남청주 IC 3km</t>
        </is>
      </c>
      <c r="L770" s="6">
        <f>HYPERLINK("https://fin.land.naver.com/articles/2651423441", "매물Link")</f>
        <v/>
      </c>
      <c r="M770" s="6">
        <f>HYPERLINK("https://map.naver.com/p/search/부강면 문곡리 81", "지도Link")</f>
        <v/>
      </c>
      <c r="N770" s="6">
        <f>HYPERLINK("http://www.eum.go.kr/web/ar/lu/luLandDet.jsp?pnu=3611033025100810000&amp;isNoScr=script&amp;mode=search", "토지이음")</f>
        <v/>
      </c>
      <c r="O770" s="3" t="inlineStr">
        <is>
          <t>대웅</t>
        </is>
      </c>
      <c r="P770" s="4" t="n">
        <v>1</v>
      </c>
      <c r="Q770" s="4" t="n">
        <v>635</v>
      </c>
      <c r="R770" s="3" t="inlineStr">
        <is>
          <t>지정되지않음</t>
        </is>
      </c>
      <c r="S770" s="3" t="inlineStr">
        <is>
          <t>답</t>
        </is>
      </c>
      <c r="T770" s="3" t="inlineStr">
        <is>
          <t>완경사</t>
        </is>
      </c>
      <c r="U770" s="3" t="inlineStr">
        <is>
          <t>부정형</t>
        </is>
      </c>
      <c r="V770" s="3" t="inlineStr">
        <is>
          <t>소로한면</t>
        </is>
      </c>
    </row>
    <row r="771">
      <c r="A771" s="3" t="inlineStr">
        <is>
          <t>부강면 문곡리 836-2</t>
        </is>
      </c>
      <c r="B771" s="3" t="inlineStr">
        <is>
          <t>계획관리지역</t>
        </is>
      </c>
      <c r="C771" s="3" t="inlineStr">
        <is>
          <t>답</t>
        </is>
      </c>
      <c r="D771" s="3" t="inlineStr">
        <is>
          <t>대</t>
        </is>
      </c>
      <c r="E771" s="3" t="inlineStr">
        <is>
          <t>매매</t>
        </is>
      </c>
      <c r="F771" s="4" t="n">
        <v>50000</v>
      </c>
      <c r="G771" s="4" t="n">
        <v>1815</v>
      </c>
      <c r="H771" s="4" t="n">
        <v>549</v>
      </c>
      <c r="I771" s="5" t="n">
        <v>91.09999999999999</v>
      </c>
      <c r="J771" s="5" t="n">
        <v>25.9</v>
      </c>
      <c r="K771" s="3" t="inlineStr">
        <is>
          <t>계획관리지역,  세종에서 10분이내거리</t>
        </is>
      </c>
      <c r="L771" s="6">
        <f>HYPERLINK("https://fin.land.naver.com/articles/2654450920", "매물Link")</f>
        <v/>
      </c>
      <c r="M771" s="6">
        <f>HYPERLINK("https://map.naver.com/p/search/부강면 문곡리 836-2", "지도Link")</f>
        <v/>
      </c>
      <c r="N771" s="6">
        <f>HYPERLINK("http://www.eum.go.kr/web/ar/lu/luLandDet.jsp?pnu=3611033025108360002&amp;isNoScr=script&amp;mode=search", "토지이음")</f>
        <v/>
      </c>
      <c r="O771" s="3" t="inlineStr">
        <is>
          <t>이담</t>
        </is>
      </c>
      <c r="P771" s="4" t="n">
        <v>2</v>
      </c>
      <c r="Q771" s="4" t="n">
        <v>1815</v>
      </c>
      <c r="R771" s="3" t="inlineStr">
        <is>
          <t>지정되지않음</t>
        </is>
      </c>
      <c r="S771" s="3" t="inlineStr">
        <is>
          <t>답</t>
        </is>
      </c>
      <c r="T771" s="3" t="inlineStr">
        <is>
          <t>완경사</t>
        </is>
      </c>
      <c r="U771" s="3" t="inlineStr">
        <is>
          <t>가로장방</t>
        </is>
      </c>
      <c r="V771" s="3" t="inlineStr">
        <is>
          <t>세로한면(가)</t>
        </is>
      </c>
    </row>
    <row r="772">
      <c r="A772" s="3" t="inlineStr">
        <is>
          <t>부강면 문곡리 901</t>
        </is>
      </c>
      <c r="B772" s="3" t="inlineStr">
        <is>
          <t>계획관리지역</t>
        </is>
      </c>
      <c r="C772" s="3" t="inlineStr">
        <is>
          <t>답</t>
        </is>
      </c>
      <c r="D772" s="3" t="inlineStr">
        <is>
          <t>답</t>
        </is>
      </c>
      <c r="E772" s="3" t="inlineStr">
        <is>
          <t>매매</t>
        </is>
      </c>
      <c r="F772" s="4" t="n">
        <v>123000</v>
      </c>
      <c r="G772" s="4" t="n">
        <v>2710</v>
      </c>
      <c r="H772" s="4" t="n">
        <v>820</v>
      </c>
      <c r="I772" s="5" t="n">
        <v>150</v>
      </c>
      <c r="J772" s="5" t="n">
        <v>22.5</v>
      </c>
      <c r="K772" s="3" t="inlineStr">
        <is>
          <t>도로에 접한 계획관리 토지공장허가득함</t>
        </is>
      </c>
      <c r="L772" s="6">
        <f>HYPERLINK("https://fin.land.naver.com/articles/2650858523", "매물Link")</f>
        <v/>
      </c>
      <c r="M772" s="6">
        <f>HYPERLINK("https://map.naver.com/p/search/부강면 문곡리 901", "지도Link")</f>
        <v/>
      </c>
      <c r="N772" s="6">
        <f>HYPERLINK("http://www.eum.go.kr/web/ar/lu/luLandDet.jsp?pnu=3611033025109010000&amp;isNoScr=script&amp;mode=search", "토지이음")</f>
        <v/>
      </c>
      <c r="O772" s="3" t="inlineStr">
        <is>
          <t>세종대박</t>
        </is>
      </c>
      <c r="P772" s="4" t="n">
        <v>1</v>
      </c>
      <c r="Q772" s="4" t="n">
        <v>2147</v>
      </c>
      <c r="R772" s="3" t="inlineStr">
        <is>
          <t>지정되지않음</t>
        </is>
      </c>
      <c r="S772" s="3" t="inlineStr">
        <is>
          <t>답</t>
        </is>
      </c>
      <c r="T772" s="3" t="inlineStr">
        <is>
          <t>완경사</t>
        </is>
      </c>
      <c r="U772" s="3" t="inlineStr">
        <is>
          <t>부정형</t>
        </is>
      </c>
      <c r="V772" s="3" t="inlineStr">
        <is>
          <t>세로한면(불)</t>
        </is>
      </c>
    </row>
    <row r="773">
      <c r="A773" s="3" t="inlineStr">
        <is>
          <t>부강면 문곡리 902-1</t>
        </is>
      </c>
      <c r="B773" s="3" t="inlineStr">
        <is>
          <t>계획관리지역</t>
        </is>
      </c>
      <c r="C773" s="3" t="inlineStr">
        <is>
          <t>답</t>
        </is>
      </c>
      <c r="D773" s="3" t="inlineStr">
        <is>
          <t>답</t>
        </is>
      </c>
      <c r="E773" s="3" t="inlineStr">
        <is>
          <t>매매</t>
        </is>
      </c>
      <c r="F773" s="4" t="n">
        <v>98800</v>
      </c>
      <c r="G773" s="4" t="n">
        <v>2334</v>
      </c>
      <c r="H773" s="4" t="n">
        <v>706</v>
      </c>
      <c r="I773" s="5" t="n">
        <v>139.9</v>
      </c>
      <c r="J773" s="5" t="n">
        <v>24.7</v>
      </c>
      <c r="K773" s="3" t="inlineStr">
        <is>
          <t>남청주IC 인근 대형 계획관리 토지</t>
        </is>
      </c>
      <c r="L773" s="6">
        <f>HYPERLINK("https://fin.land.naver.com/articles/2651936276", "매물Link")</f>
        <v/>
      </c>
      <c r="M773" s="6">
        <f>HYPERLINK("https://map.naver.com/p/search/부강면 문곡리 902-1", "지도Link")</f>
        <v/>
      </c>
      <c r="N773" s="6">
        <f>HYPERLINK("http://www.eum.go.kr/web/ar/lu/luLandDet.jsp?pnu=3611033025109020001&amp;isNoScr=script&amp;mode=search", "토지이음")</f>
        <v/>
      </c>
      <c r="O773" s="3" t="inlineStr">
        <is>
          <t>강아지풀</t>
        </is>
      </c>
      <c r="P773" s="4" t="n">
        <v>3</v>
      </c>
      <c r="Q773" s="4" t="n">
        <v>2334</v>
      </c>
      <c r="R773" s="3" t="inlineStr">
        <is>
          <t>지정되지않음</t>
        </is>
      </c>
      <c r="S773" s="3" t="inlineStr">
        <is>
          <t>답</t>
        </is>
      </c>
      <c r="T773" s="3" t="inlineStr">
        <is>
          <t>완경사</t>
        </is>
      </c>
      <c r="U773" s="3" t="inlineStr">
        <is>
          <t>부정형</t>
        </is>
      </c>
      <c r="V773" s="3" t="inlineStr">
        <is>
          <t>세로한면(가)</t>
        </is>
      </c>
    </row>
    <row r="774">
      <c r="A774" s="3" t="inlineStr">
        <is>
          <t>부강면 문곡리 903-3</t>
        </is>
      </c>
      <c r="B774" s="3" t="inlineStr">
        <is>
          <t>계획관리지역</t>
        </is>
      </c>
      <c r="C774" s="3" t="inlineStr">
        <is>
          <t>답</t>
        </is>
      </c>
      <c r="D774" s="3" t="inlineStr">
        <is>
          <t>답</t>
        </is>
      </c>
      <c r="E774" s="3" t="inlineStr">
        <is>
          <t>매매</t>
        </is>
      </c>
      <c r="F774" s="4" t="n">
        <v>136000</v>
      </c>
      <c r="G774" s="4" t="n">
        <v>3505</v>
      </c>
      <c r="H774" s="4" t="n">
        <v>1060</v>
      </c>
      <c r="I774" s="5" t="n">
        <v>128.3</v>
      </c>
      <c r="J774" s="5" t="n">
        <v>22.5</v>
      </c>
      <c r="K774" s="3" t="inlineStr">
        <is>
          <t>즉시 건축 가능한 공장 및 창고부지 계획관리지역 남청주 IC인근</t>
        </is>
      </c>
      <c r="L774" s="6">
        <f>HYPERLINK("https://fin.land.naver.com/articles/2651924940", "매물Link")</f>
        <v/>
      </c>
      <c r="M774" s="6">
        <f>HYPERLINK("https://map.naver.com/p/search/부강면 문곡리 903-3", "지도Link")</f>
        <v/>
      </c>
      <c r="N774" s="6">
        <f>HYPERLINK("http://www.eum.go.kr/web/ar/lu/luLandDet.jsp?pnu=3611033025109030003&amp;isNoScr=script&amp;mode=search", "토지이음")</f>
        <v/>
      </c>
      <c r="O774" s="3" t="inlineStr">
        <is>
          <t>대전토지로무소</t>
        </is>
      </c>
      <c r="P774" s="4" t="n">
        <v>1</v>
      </c>
      <c r="Q774" s="4" t="n">
        <v>3505</v>
      </c>
      <c r="R774" s="3" t="inlineStr">
        <is>
          <t>지정되지않음</t>
        </is>
      </c>
      <c r="S774" s="3" t="inlineStr">
        <is>
          <t>답</t>
        </is>
      </c>
      <c r="T774" s="3" t="inlineStr">
        <is>
          <t>완경사</t>
        </is>
      </c>
      <c r="U774" s="3" t="inlineStr">
        <is>
          <t>부정형</t>
        </is>
      </c>
      <c r="V774" s="3" t="inlineStr">
        <is>
          <t>세로한면(불)</t>
        </is>
      </c>
    </row>
    <row r="775">
      <c r="A775" s="3" t="inlineStr">
        <is>
          <t>부강면 문곡리 903-3</t>
        </is>
      </c>
      <c r="B775" s="3" t="inlineStr">
        <is>
          <t>계획관리지역</t>
        </is>
      </c>
      <c r="C775" s="3" t="inlineStr">
        <is>
          <t>답</t>
        </is>
      </c>
      <c r="D775" s="3" t="inlineStr">
        <is>
          <t>답</t>
        </is>
      </c>
      <c r="E775" s="3" t="inlineStr">
        <is>
          <t>매매</t>
        </is>
      </c>
      <c r="F775" s="4" t="n">
        <v>136000</v>
      </c>
      <c r="G775" s="4" t="n">
        <v>3505</v>
      </c>
      <c r="H775" s="4" t="n">
        <v>1060</v>
      </c>
      <c r="I775" s="5" t="n">
        <v>128.3</v>
      </c>
      <c r="J775" s="5" t="n">
        <v>22.5</v>
      </c>
      <c r="K775" s="3" t="inlineStr">
        <is>
          <t>남청주IC와 가까워 물류센터,공장 추천,계획관리지역의 토지</t>
        </is>
      </c>
      <c r="L775" s="6">
        <f>HYPERLINK("https://fin.land.naver.com/articles/2654295080", "매물Link")</f>
        <v/>
      </c>
      <c r="M775" s="6">
        <f>HYPERLINK("https://map.naver.com/p/search/부강면 문곡리 903-3", "지도Link")</f>
        <v/>
      </c>
      <c r="N775" s="6">
        <f>HYPERLINK("http://www.eum.go.kr/web/ar/lu/luLandDet.jsp?pnu=3611033025109030003&amp;isNoScr=script&amp;mode=search", "토지이음")</f>
        <v/>
      </c>
      <c r="O775" s="3" t="inlineStr">
        <is>
          <t>(주)미르</t>
        </is>
      </c>
      <c r="P775" s="4" t="n">
        <v>1</v>
      </c>
      <c r="Q775" s="4" t="n">
        <v>3505</v>
      </c>
      <c r="R775" s="3" t="inlineStr">
        <is>
          <t>지정되지않음</t>
        </is>
      </c>
      <c r="S775" s="3" t="inlineStr">
        <is>
          <t>답</t>
        </is>
      </c>
      <c r="T775" s="3" t="inlineStr">
        <is>
          <t>완경사</t>
        </is>
      </c>
      <c r="U775" s="3" t="inlineStr">
        <is>
          <t>부정형</t>
        </is>
      </c>
      <c r="V775" s="3" t="inlineStr">
        <is>
          <t>세로한면(불)</t>
        </is>
      </c>
    </row>
    <row r="776">
      <c r="A776" s="3" t="inlineStr">
        <is>
          <t>부강면 문곡리 918-1</t>
        </is>
      </c>
      <c r="B776" s="3" t="inlineStr">
        <is>
          <t>계획관리지역</t>
        </is>
      </c>
      <c r="C776" s="3" t="inlineStr">
        <is>
          <t>답</t>
        </is>
      </c>
      <c r="D776" s="3" t="inlineStr">
        <is>
          <t>답</t>
        </is>
      </c>
      <c r="E776" s="3" t="inlineStr">
        <is>
          <t>매매</t>
        </is>
      </c>
      <c r="F776" s="4" t="n">
        <v>250000</v>
      </c>
      <c r="G776" s="4" t="n">
        <v>2991</v>
      </c>
      <c r="H776" s="4" t="n">
        <v>905</v>
      </c>
      <c r="I776" s="5" t="n">
        <v>276.2</v>
      </c>
      <c r="J776" s="5" t="n">
        <v>96.2</v>
      </c>
      <c r="K776" s="3" t="inlineStr">
        <is>
          <t>조율가능 2차선변 진입로넓음 토지모양 평탄화 컨디션최상</t>
        </is>
      </c>
      <c r="L776" s="6">
        <f>HYPERLINK("https://fin.land.naver.com/articles/2652943481", "매물Link")</f>
        <v/>
      </c>
      <c r="M776" s="6">
        <f>HYPERLINK("https://map.naver.com/p/search/부강면 문곡리 918-1", "지도Link")</f>
        <v/>
      </c>
      <c r="N776" s="6">
        <f>HYPERLINK("http://www.eum.go.kr/web/ar/lu/luLandDet.jsp?pnu=3611033025109180001&amp;isNoScr=script&amp;mode=search", "토지이음")</f>
        <v/>
      </c>
      <c r="O776" s="3" t="inlineStr">
        <is>
          <t>세종스타</t>
        </is>
      </c>
      <c r="P776" s="4" t="n">
        <v>1</v>
      </c>
      <c r="Q776" s="4" t="n">
        <v>2063</v>
      </c>
      <c r="R776" s="3" t="inlineStr">
        <is>
          <t>지정되지않음</t>
        </is>
      </c>
      <c r="S776" s="3" t="inlineStr">
        <is>
          <t>답</t>
        </is>
      </c>
      <c r="T776" s="3" t="inlineStr">
        <is>
          <t>평지</t>
        </is>
      </c>
      <c r="U776" s="3" t="inlineStr">
        <is>
          <t>부정형</t>
        </is>
      </c>
      <c r="V776" s="3" t="inlineStr">
        <is>
          <t>소로한면</t>
        </is>
      </c>
    </row>
    <row r="777">
      <c r="A777" s="3" t="inlineStr">
        <is>
          <t>부강면 문곡리 산79</t>
        </is>
      </c>
      <c r="B777" s="3" t="inlineStr">
        <is>
          <t>보전관리지역</t>
        </is>
      </c>
      <c r="C777" s="3" t="inlineStr">
        <is>
          <t>임야</t>
        </is>
      </c>
      <c r="D777" s="3" t="inlineStr">
        <is>
          <t>임야</t>
        </is>
      </c>
      <c r="E777" s="3" t="inlineStr">
        <is>
          <t>매매</t>
        </is>
      </c>
      <c r="F777" s="4" t="n">
        <v>630000</v>
      </c>
      <c r="G777" s="4" t="n">
        <v>25033</v>
      </c>
      <c r="H777" s="4" t="n">
        <v>7572</v>
      </c>
      <c r="I777" s="5" t="n">
        <v>83.2</v>
      </c>
      <c r="J777" s="5" t="n">
        <v>7.7</v>
      </c>
      <c r="K777" s="3" t="inlineStr">
        <is>
          <t>5생활권과 남청주IC 중간에 위치한 보전관리 토지</t>
        </is>
      </c>
      <c r="L777" s="6">
        <f>HYPERLINK("https://fin.land.naver.com/articles/2653532400", "매물Link")</f>
        <v/>
      </c>
      <c r="M777" s="6">
        <f>HYPERLINK("https://map.naver.com/p/search/부강면 문곡리 산79", "지도Link")</f>
        <v/>
      </c>
      <c r="N777" s="6">
        <f>HYPERLINK("http://www.eum.go.kr/web/ar/lu/luLandDet.jsp?pnu=3611033025200790000&amp;isNoScr=script&amp;mode=search", "토지이음")</f>
        <v/>
      </c>
      <c r="O777" s="3" t="inlineStr">
        <is>
          <t>황제</t>
        </is>
      </c>
      <c r="P777" s="4" t="n">
        <v>1</v>
      </c>
      <c r="Q777" s="4" t="n">
        <v>25033</v>
      </c>
      <c r="R777" s="3" t="inlineStr">
        <is>
          <t>지정되지않음</t>
        </is>
      </c>
      <c r="S777" s="3" t="inlineStr">
        <is>
          <t>자연림</t>
        </is>
      </c>
      <c r="T777" s="3" t="inlineStr">
        <is>
          <t>완경사</t>
        </is>
      </c>
      <c r="U777" s="3" t="inlineStr">
        <is>
          <t>부정형</t>
        </is>
      </c>
      <c r="V777" s="3" t="inlineStr">
        <is>
          <t>소로한면</t>
        </is>
      </c>
    </row>
    <row r="778">
      <c r="A778" s="3" t="inlineStr">
        <is>
          <t>부강면 부강리 1003-3</t>
        </is>
      </c>
      <c r="B778" s="3" t="inlineStr">
        <is>
          <t>제1종일반주거지역</t>
        </is>
      </c>
      <c r="C778" s="3" t="inlineStr">
        <is>
          <t>잡종지</t>
        </is>
      </c>
      <c r="D778" s="3" t="inlineStr">
        <is>
          <t>잡종지</t>
        </is>
      </c>
      <c r="E778" s="3" t="inlineStr">
        <is>
          <t>월세</t>
        </is>
      </c>
      <c r="F778" s="4" t="n">
        <v>3000</v>
      </c>
      <c r="G778" s="4" t="n">
        <v>2345</v>
      </c>
      <c r="H778" s="4" t="n">
        <v>709</v>
      </c>
      <c r="I778" s="5" t="n">
        <v>0.4</v>
      </c>
      <c r="J778" s="5" t="n">
        <v>291.4</v>
      </c>
      <c r="K778" s="3" t="inlineStr">
        <is>
          <t>2차선도로에서 진입 대형화물차도 진입가능합니다.</t>
        </is>
      </c>
      <c r="L778" s="6">
        <f>HYPERLINK("https://fin.land.naver.com/articles/2651013568", "매물Link")</f>
        <v/>
      </c>
      <c r="M778" s="6">
        <f>HYPERLINK("https://map.naver.com/p/search/부강면 부강리 1003-3", "지도Link")</f>
        <v/>
      </c>
      <c r="N778" s="6">
        <f>HYPERLINK("http://www.eum.go.kr/web/ar/lu/luLandDet.jsp?pnu=3611033021110030003&amp;isNoScr=script&amp;mode=search", "토지이음")</f>
        <v/>
      </c>
      <c r="O778" s="3" t="inlineStr">
        <is>
          <t>연동스카이</t>
        </is>
      </c>
      <c r="P778" s="4" t="n">
        <v>1</v>
      </c>
      <c r="Q778" s="4" t="n">
        <v>1494</v>
      </c>
      <c r="R778" s="3" t="inlineStr">
        <is>
          <t>지정되지않음</t>
        </is>
      </c>
      <c r="S778" s="3" t="inlineStr">
        <is>
          <t>상업용</t>
        </is>
      </c>
      <c r="T778" s="3" t="inlineStr">
        <is>
          <t>평지</t>
        </is>
      </c>
      <c r="U778" s="3" t="inlineStr">
        <is>
          <t>부정형</t>
        </is>
      </c>
      <c r="V778" s="3" t="inlineStr">
        <is>
          <t>소로한면</t>
        </is>
      </c>
    </row>
    <row r="779">
      <c r="A779" s="3" t="inlineStr">
        <is>
          <t>부강면 부강리 1046-1</t>
        </is>
      </c>
      <c r="B779" s="3" t="inlineStr">
        <is>
          <t>자연녹지지역</t>
        </is>
      </c>
      <c r="C779" s="3" t="inlineStr">
        <is>
          <t>대</t>
        </is>
      </c>
      <c r="D779" s="3" t="inlineStr">
        <is>
          <t>전</t>
        </is>
      </c>
      <c r="E779" s="3" t="inlineStr">
        <is>
          <t>매매</t>
        </is>
      </c>
      <c r="F779" s="4" t="n">
        <v>70000</v>
      </c>
      <c r="G779" s="4" t="n">
        <v>1521</v>
      </c>
      <c r="H779" s="4" t="n">
        <v>460</v>
      </c>
      <c r="I779" s="5" t="n">
        <v>152.2</v>
      </c>
      <c r="J779" s="5" t="n">
        <v>90.59999999999999</v>
      </c>
      <c r="K779" s="3" t="inlineStr">
        <is>
          <t>nan</t>
        </is>
      </c>
      <c r="L779" s="6">
        <f>HYPERLINK("https://fin.land.naver.com/articles/2651729349", "매물Link")</f>
        <v/>
      </c>
      <c r="M779" s="6">
        <f>HYPERLINK("https://map.naver.com/p/search/부강면 부강리 1046-1", "지도Link")</f>
        <v/>
      </c>
      <c r="N779" s="6">
        <f>HYPERLINK("http://www.eum.go.kr/web/ar/lu/luLandDet.jsp?pnu=3611033021110460001&amp;isNoScr=script&amp;mode=search", "토지이음")</f>
        <v/>
      </c>
      <c r="O779" s="3" t="inlineStr">
        <is>
          <t>세종땅전문</t>
        </is>
      </c>
      <c r="P779" s="4" t="n">
        <v>1</v>
      </c>
      <c r="Q779" s="4" t="n">
        <v>125</v>
      </c>
      <c r="R779" s="3" t="inlineStr">
        <is>
          <t>지정되지않음</t>
        </is>
      </c>
      <c r="S779" s="3" t="inlineStr">
        <is>
          <t>주거기타</t>
        </is>
      </c>
      <c r="T779" s="3" t="inlineStr">
        <is>
          <t>평지</t>
        </is>
      </c>
      <c r="U779" s="3" t="inlineStr">
        <is>
          <t>부정형</t>
        </is>
      </c>
      <c r="V779" s="3" t="inlineStr">
        <is>
          <t>세로한면(가)</t>
        </is>
      </c>
    </row>
    <row r="780">
      <c r="A780" s="3" t="inlineStr">
        <is>
          <t>부강면 부강리 1060-4</t>
        </is>
      </c>
      <c r="B780" s="3" t="inlineStr">
        <is>
          <t>자연녹지지역</t>
        </is>
      </c>
      <c r="C780" s="3" t="inlineStr">
        <is>
          <t>주차장</t>
        </is>
      </c>
      <c r="D780" s="3" t="inlineStr">
        <is>
          <t>주차장</t>
        </is>
      </c>
      <c r="E780" s="3" t="inlineStr">
        <is>
          <t>월세</t>
        </is>
      </c>
      <c r="F780" s="4" t="n">
        <v>1000</v>
      </c>
      <c r="G780" s="4" t="n">
        <v>1024</v>
      </c>
      <c r="H780" s="4" t="n">
        <v>310</v>
      </c>
      <c r="I780" s="5" t="n">
        <v>0.4</v>
      </c>
      <c r="J780" s="5" t="n">
        <v>62.8</v>
      </c>
      <c r="K780" s="3" t="inlineStr">
        <is>
          <t>버스 .대형차 차고지 사용하실분 환영 (사무실용도 27㎡)포함임</t>
        </is>
      </c>
      <c r="L780" s="6">
        <f>HYPERLINK("https://fin.land.naver.com/articles/2653206582", "매물Link")</f>
        <v/>
      </c>
      <c r="M780" s="6">
        <f>HYPERLINK("https://map.naver.com/p/search/부강면 부강리 1060-4", "지도Link")</f>
        <v/>
      </c>
      <c r="N780" s="6">
        <f>HYPERLINK("http://www.eum.go.kr/web/ar/lu/luLandDet.jsp?pnu=3611033021110600004&amp;isNoScr=script&amp;mode=search", "토지이음")</f>
        <v/>
      </c>
      <c r="O780" s="3" t="inlineStr">
        <is>
          <t>대박</t>
        </is>
      </c>
      <c r="P780" s="4" t="n">
        <v>1</v>
      </c>
      <c r="Q780" s="4" t="n">
        <v>1024</v>
      </c>
      <c r="R780" s="3" t="inlineStr">
        <is>
          <t>지정되지않음</t>
        </is>
      </c>
      <c r="S780" s="3" t="inlineStr">
        <is>
          <t>전기타</t>
        </is>
      </c>
      <c r="T780" s="3" t="inlineStr">
        <is>
          <t>완경사</t>
        </is>
      </c>
      <c r="U780" s="3" t="inlineStr">
        <is>
          <t>부정형</t>
        </is>
      </c>
      <c r="V780" s="3" t="inlineStr">
        <is>
          <t>세로한면(가)</t>
        </is>
      </c>
    </row>
    <row r="781">
      <c r="A781" s="3" t="inlineStr">
        <is>
          <t>부강면 부강리 1078</t>
        </is>
      </c>
      <c r="B781" s="3" t="inlineStr">
        <is>
          <t>계획관리지역</t>
        </is>
      </c>
      <c r="C781" s="3" t="inlineStr">
        <is>
          <t>전</t>
        </is>
      </c>
      <c r="D781" s="3" t="inlineStr">
        <is>
          <t>전</t>
        </is>
      </c>
      <c r="E781" s="3" t="inlineStr">
        <is>
          <t>매매</t>
        </is>
      </c>
      <c r="F781" s="4" t="n">
        <v>75200</v>
      </c>
      <c r="G781" s="4" t="n">
        <v>3110</v>
      </c>
      <c r="H781" s="4" t="n">
        <v>941</v>
      </c>
      <c r="I781" s="5" t="n">
        <v>79.90000000000001</v>
      </c>
      <c r="J781" s="5" t="n">
        <v>34.5</v>
      </c>
      <c r="K781" s="3" t="inlineStr">
        <is>
          <t>투자용 토지</t>
        </is>
      </c>
      <c r="L781" s="6">
        <f>HYPERLINK("https://fin.land.naver.com/articles/2653769241", "매물Link")</f>
        <v/>
      </c>
      <c r="M781" s="6">
        <f>HYPERLINK("https://map.naver.com/p/search/부강면 부강리 1078", "지도Link")</f>
        <v/>
      </c>
      <c r="N781" s="6">
        <f>HYPERLINK("http://www.eum.go.kr/web/ar/lu/luLandDet.jsp?pnu=3611033021110780000&amp;isNoScr=script&amp;mode=search", "토지이음")</f>
        <v/>
      </c>
      <c r="O781" s="3" t="inlineStr">
        <is>
          <t>일오삼</t>
        </is>
      </c>
      <c r="P781" s="4" t="n">
        <v>1</v>
      </c>
      <c r="Q781" s="4" t="n">
        <v>902</v>
      </c>
      <c r="R781" s="3" t="inlineStr">
        <is>
          <t>지정되지않음</t>
        </is>
      </c>
      <c r="S781" s="3" t="inlineStr">
        <is>
          <t>전</t>
        </is>
      </c>
      <c r="T781" s="3" t="inlineStr">
        <is>
          <t>평지</t>
        </is>
      </c>
      <c r="U781" s="3" t="inlineStr">
        <is>
          <t>부정형</t>
        </is>
      </c>
      <c r="V781" s="3" t="inlineStr">
        <is>
          <t>맹지</t>
        </is>
      </c>
    </row>
    <row r="782">
      <c r="A782" s="3" t="inlineStr">
        <is>
          <t>부강면 부강리 1215-2</t>
        </is>
      </c>
      <c r="B782" s="3" t="inlineStr">
        <is>
          <t>계획관리지역</t>
        </is>
      </c>
      <c r="C782" s="3" t="inlineStr">
        <is>
          <t>답</t>
        </is>
      </c>
      <c r="D782" s="3" t="inlineStr">
        <is>
          <t>답</t>
        </is>
      </c>
      <c r="E782" s="3" t="inlineStr">
        <is>
          <t>매매</t>
        </is>
      </c>
      <c r="F782" s="4" t="n">
        <v>58000</v>
      </c>
      <c r="G782" s="4" t="n">
        <v>766</v>
      </c>
      <c r="H782" s="4" t="n">
        <v>232</v>
      </c>
      <c r="I782" s="5" t="n">
        <v>250</v>
      </c>
      <c r="J782" s="5" t="n">
        <v>40</v>
      </c>
      <c r="K782" s="3" t="inlineStr">
        <is>
          <t>대토추천, 세로한면불토지</t>
        </is>
      </c>
      <c r="L782" s="6">
        <f>HYPERLINK("https://fin.land.naver.com/articles/2650179837", "매물Link")</f>
        <v/>
      </c>
      <c r="M782" s="6">
        <f>HYPERLINK("https://map.naver.com/p/search/부강면 부강리 1215-2", "지도Link")</f>
        <v/>
      </c>
      <c r="N782" s="6">
        <f>HYPERLINK("http://www.eum.go.kr/web/ar/lu/luLandDet.jsp?pnu=3611033021112150002&amp;isNoScr=script&amp;mode=search", "토지이음")</f>
        <v/>
      </c>
      <c r="O782" s="3" t="inlineStr">
        <is>
          <t>연동스카이</t>
        </is>
      </c>
      <c r="P782" s="4" t="n">
        <v>1</v>
      </c>
      <c r="Q782" s="4" t="n">
        <v>766</v>
      </c>
      <c r="R782" s="3" t="inlineStr">
        <is>
          <t>지정되지않음</t>
        </is>
      </c>
      <c r="S782" s="3" t="inlineStr">
        <is>
          <t>답</t>
        </is>
      </c>
      <c r="T782" s="3" t="inlineStr">
        <is>
          <t>평지</t>
        </is>
      </c>
      <c r="U782" s="3" t="inlineStr">
        <is>
          <t>부정형</t>
        </is>
      </c>
      <c r="V782" s="3" t="inlineStr">
        <is>
          <t>세로한면(불)</t>
        </is>
      </c>
    </row>
    <row r="783">
      <c r="A783" s="3" t="inlineStr">
        <is>
          <t>부강면 부강리 1230</t>
        </is>
      </c>
      <c r="B783" s="3" t="inlineStr">
        <is>
          <t>계획관리지역</t>
        </is>
      </c>
      <c r="C783" s="3" t="inlineStr">
        <is>
          <t>답</t>
        </is>
      </c>
      <c r="D783" s="3" t="inlineStr">
        <is>
          <t>답</t>
        </is>
      </c>
      <c r="E783" s="3" t="inlineStr">
        <is>
          <t>매매</t>
        </is>
      </c>
      <c r="F783" s="4" t="n">
        <v>170000</v>
      </c>
      <c r="G783" s="4" t="n">
        <v>2365</v>
      </c>
      <c r="H783" s="4" t="n">
        <v>715</v>
      </c>
      <c r="I783" s="5" t="n">
        <v>237.8</v>
      </c>
      <c r="J783" s="5" t="n">
        <v>37.7</v>
      </c>
      <c r="K783" s="3" t="inlineStr">
        <is>
          <t>계획관리지역, 농막, 비닐하우스, 성토완료, 지하수있음</t>
        </is>
      </c>
      <c r="L783" s="6">
        <f>HYPERLINK("https://fin.land.naver.com/articles/2654450912", "매물Link")</f>
        <v/>
      </c>
      <c r="M783" s="6">
        <f>HYPERLINK("https://map.naver.com/p/search/부강면 부강리 1230", "지도Link")</f>
        <v/>
      </c>
      <c r="N783" s="6">
        <f>HYPERLINK("http://www.eum.go.kr/web/ar/lu/luLandDet.jsp?pnu=3611033021112300000&amp;isNoScr=script&amp;mode=search", "토지이음")</f>
        <v/>
      </c>
      <c r="O783" s="3" t="inlineStr">
        <is>
          <t>이담</t>
        </is>
      </c>
      <c r="P783" s="4" t="n">
        <v>1</v>
      </c>
      <c r="Q783" s="4" t="n">
        <v>2365</v>
      </c>
      <c r="R783" s="3" t="inlineStr">
        <is>
          <t>지정되지않음</t>
        </is>
      </c>
      <c r="S783" s="3" t="inlineStr">
        <is>
          <t>답</t>
        </is>
      </c>
      <c r="T783" s="3" t="inlineStr">
        <is>
          <t>평지</t>
        </is>
      </c>
      <c r="U783" s="3" t="inlineStr">
        <is>
          <t>부정형</t>
        </is>
      </c>
      <c r="V783" s="3" t="inlineStr">
        <is>
          <t>맹지</t>
        </is>
      </c>
    </row>
    <row r="784">
      <c r="A784" s="3" t="inlineStr">
        <is>
          <t>부강면 부강리 1252</t>
        </is>
      </c>
      <c r="B784" s="3" t="inlineStr">
        <is>
          <t>계획관리지역</t>
        </is>
      </c>
      <c r="C784" s="3" t="inlineStr">
        <is>
          <t>잡종지</t>
        </is>
      </c>
      <c r="D784" s="3" t="inlineStr">
        <is>
          <t>잡종지</t>
        </is>
      </c>
      <c r="E784" s="3" t="inlineStr">
        <is>
          <t>매매</t>
        </is>
      </c>
      <c r="F784" s="4" t="n">
        <v>1000000</v>
      </c>
      <c r="G784" s="4" t="n">
        <v>8347</v>
      </c>
      <c r="H784" s="4" t="n">
        <v>2525</v>
      </c>
      <c r="I784" s="5" t="n">
        <v>396</v>
      </c>
      <c r="J784" s="5" t="n">
        <v>97.40000000000001</v>
      </c>
      <c r="K784" s="3" t="inlineStr">
        <is>
          <t>세종 부강면 부강리 소재 토지 잡종지라 활용 방향 검토 폭이 넓은 편 계</t>
        </is>
      </c>
      <c r="L784" s="6">
        <f>HYPERLINK("https://fin.land.naver.com/articles/2651604812", "매물Link")</f>
        <v/>
      </c>
      <c r="M784" s="6">
        <f>HYPERLINK("https://map.naver.com/p/search/부강면 부강리 1252", "지도Link")</f>
        <v/>
      </c>
      <c r="N784" s="6">
        <f>HYPERLINK("http://www.eum.go.kr/web/ar/lu/luLandDet.jsp?pnu=3611033021112520000&amp;isNoScr=script&amp;mode=search", "토지이음")</f>
        <v/>
      </c>
      <c r="O784" s="3" t="inlineStr">
        <is>
          <t>세종몽땅</t>
        </is>
      </c>
      <c r="P784" s="4" t="n">
        <v>1</v>
      </c>
      <c r="Q784" s="4" t="n">
        <v>4832</v>
      </c>
      <c r="R784" s="3" t="inlineStr">
        <is>
          <t>지정되지않음</t>
        </is>
      </c>
      <c r="S784" s="3" t="inlineStr">
        <is>
          <t>공업나지</t>
        </is>
      </c>
      <c r="T784" s="3" t="inlineStr">
        <is>
          <t>평지</t>
        </is>
      </c>
      <c r="U784" s="3" t="inlineStr">
        <is>
          <t>부정형</t>
        </is>
      </c>
      <c r="V784" s="3" t="inlineStr">
        <is>
          <t>세로한면(가)</t>
        </is>
      </c>
    </row>
    <row r="785">
      <c r="A785" s="3" t="inlineStr">
        <is>
          <t>부강면 부강리 343-1</t>
        </is>
      </c>
      <c r="B785" s="3" t="inlineStr">
        <is>
          <t>제2종일반주거지역</t>
        </is>
      </c>
      <c r="C785" s="3" t="inlineStr">
        <is>
          <t>대</t>
        </is>
      </c>
      <c r="D785" s="3" t="inlineStr">
        <is>
          <t>대</t>
        </is>
      </c>
      <c r="E785" s="3" t="inlineStr">
        <is>
          <t>매매</t>
        </is>
      </c>
      <c r="F785" s="4" t="n">
        <v>29500</v>
      </c>
      <c r="G785" s="4" t="n">
        <v>420</v>
      </c>
      <c r="H785" s="4" t="n">
        <v>127</v>
      </c>
      <c r="I785" s="5" t="n">
        <v>232.3</v>
      </c>
      <c r="J785" s="5" t="n">
        <v>94.90000000000001</v>
      </c>
      <c r="K785" s="3" t="inlineStr">
        <is>
          <t>코너각지땅모양예쁜땅,지대가높아확트인조망,행복도시10분이내</t>
        </is>
      </c>
      <c r="L785" s="6">
        <f>HYPERLINK("https://fin.land.naver.com/articles/2651590776", "매물Link")</f>
        <v/>
      </c>
      <c r="M785" s="6">
        <f>HYPERLINK("https://map.naver.com/p/search/부강면 부강리 343-1", "지도Link")</f>
        <v/>
      </c>
      <c r="N785" s="6">
        <f>HYPERLINK("http://www.eum.go.kr/web/ar/lu/luLandDet.jsp?pnu=3611033021103430001&amp;isNoScr=script&amp;mode=search", "토지이음")</f>
        <v/>
      </c>
      <c r="O785" s="3" t="inlineStr">
        <is>
          <t>타이밍</t>
        </is>
      </c>
      <c r="P785" s="4" t="n">
        <v>1</v>
      </c>
      <c r="Q785" s="4" t="n">
        <v>420</v>
      </c>
      <c r="R785" s="3" t="inlineStr">
        <is>
          <t>지정되지않음</t>
        </is>
      </c>
      <c r="S785" s="3" t="inlineStr">
        <is>
          <t>단독</t>
        </is>
      </c>
      <c r="T785" s="3" t="inlineStr">
        <is>
          <t>평지</t>
        </is>
      </c>
      <c r="U785" s="3" t="inlineStr">
        <is>
          <t>사다리형</t>
        </is>
      </c>
      <c r="V785" s="3" t="inlineStr">
        <is>
          <t>세로한면(가)</t>
        </is>
      </c>
    </row>
    <row r="786">
      <c r="A786" s="3" t="inlineStr">
        <is>
          <t>부강면 부강리 386</t>
        </is>
      </c>
      <c r="B786" s="3" t="inlineStr">
        <is>
          <t>제2종일반주거지역</t>
        </is>
      </c>
      <c r="C786" s="3" t="inlineStr">
        <is>
          <t>대</t>
        </is>
      </c>
      <c r="D786" s="3" t="inlineStr">
        <is>
          <t>대</t>
        </is>
      </c>
      <c r="E786" s="3" t="inlineStr">
        <is>
          <t>매매</t>
        </is>
      </c>
      <c r="F786" s="4" t="n">
        <v>50000</v>
      </c>
      <c r="G786" s="4" t="n">
        <v>664</v>
      </c>
      <c r="H786" s="4" t="n">
        <v>201</v>
      </c>
      <c r="I786" s="5" t="n">
        <v>248.8</v>
      </c>
      <c r="J786" s="5" t="n">
        <v>110</v>
      </c>
      <c r="K786" s="3" t="inlineStr">
        <is>
          <t>부강면 나대지 매매, 부강역, 부강면사무소 인근, 근생 및 단독주택 건축</t>
        </is>
      </c>
      <c r="L786" s="6">
        <f>HYPERLINK("https://fin.land.naver.com/articles/2654026451", "매물Link")</f>
        <v/>
      </c>
      <c r="M786" s="6">
        <f>HYPERLINK("https://map.naver.com/p/search/부강면 부강리 386", "지도Link")</f>
        <v/>
      </c>
      <c r="N786" s="6">
        <f>HYPERLINK("http://www.eum.go.kr/web/ar/lu/luLandDet.jsp?pnu=3611033021103860000&amp;isNoScr=script&amp;mode=search", "토지이음")</f>
        <v/>
      </c>
      <c r="O786" s="3" t="inlineStr">
        <is>
          <t>스카이</t>
        </is>
      </c>
      <c r="P786" s="4" t="n">
        <v>1</v>
      </c>
      <c r="Q786" s="4" t="n">
        <v>664</v>
      </c>
      <c r="R786" s="3" t="inlineStr">
        <is>
          <t>지정되지않음</t>
        </is>
      </c>
      <c r="S786" s="3" t="inlineStr">
        <is>
          <t>단독</t>
        </is>
      </c>
      <c r="T786" s="3" t="inlineStr">
        <is>
          <t>평지</t>
        </is>
      </c>
      <c r="U786" s="3" t="inlineStr">
        <is>
          <t>사다리형</t>
        </is>
      </c>
      <c r="V786" s="3" t="inlineStr">
        <is>
          <t>세로한면(가)</t>
        </is>
      </c>
    </row>
    <row r="787">
      <c r="A787" s="3" t="inlineStr">
        <is>
          <t>부강면 부강리 446-13</t>
        </is>
      </c>
      <c r="B787" s="3" t="inlineStr">
        <is>
          <t>일반상업지역</t>
        </is>
      </c>
      <c r="C787" s="3" t="inlineStr">
        <is>
          <t>대</t>
        </is>
      </c>
      <c r="D787" s="3" t="inlineStr">
        <is>
          <t>대</t>
        </is>
      </c>
      <c r="E787" s="3" t="inlineStr">
        <is>
          <t>매매</t>
        </is>
      </c>
      <c r="F787" s="4" t="n">
        <v>140000</v>
      </c>
      <c r="G787" s="4" t="n">
        <v>522</v>
      </c>
      <c r="H787" s="4" t="n">
        <v>158</v>
      </c>
      <c r="I787" s="5" t="n">
        <v>886.1</v>
      </c>
      <c r="J787" s="5" t="n">
        <v>502.5</v>
      </c>
      <c r="K787" s="3" t="inlineStr">
        <is>
          <t>추천.  현재 식당 운영 입지좋은 위치 상업시설 짓기 좋은 곳</t>
        </is>
      </c>
      <c r="L787" s="6">
        <f>HYPERLINK("https://fin.land.naver.com/articles/2652475989", "매물Link")</f>
        <v/>
      </c>
      <c r="M787" s="6">
        <f>HYPERLINK("https://map.naver.com/p/search/부강면 부강리 446-13", "지도Link")</f>
        <v/>
      </c>
      <c r="N787" s="6">
        <f>HYPERLINK("http://www.eum.go.kr/web/ar/lu/luLandDet.jsp?pnu=3611033021104460013&amp;isNoScr=script&amp;mode=search", "토지이음")</f>
        <v/>
      </c>
      <c r="O787" s="3" t="inlineStr">
        <is>
          <t>한강롯데(단지내)</t>
        </is>
      </c>
      <c r="P787" s="4" t="n">
        <v>1</v>
      </c>
      <c r="Q787" s="4" t="n">
        <v>522</v>
      </c>
      <c r="R787" s="3" t="inlineStr">
        <is>
          <t>지정되지않음</t>
        </is>
      </c>
      <c r="S787" s="3" t="inlineStr">
        <is>
          <t>상업용</t>
        </is>
      </c>
      <c r="T787" s="3" t="inlineStr">
        <is>
          <t>평지</t>
        </is>
      </c>
      <c r="U787" s="3" t="inlineStr">
        <is>
          <t>사다리형</t>
        </is>
      </c>
      <c r="V787" s="3" t="inlineStr">
        <is>
          <t>소로각지</t>
        </is>
      </c>
    </row>
    <row r="788">
      <c r="A788" s="3" t="inlineStr">
        <is>
          <t>부강면 부강리 457-3</t>
        </is>
      </c>
      <c r="B788" s="3" t="inlineStr">
        <is>
          <t>일반상업지역</t>
        </is>
      </c>
      <c r="C788" s="3" t="inlineStr">
        <is>
          <t>대</t>
        </is>
      </c>
      <c r="D788" s="3" t="inlineStr">
        <is>
          <t>대</t>
        </is>
      </c>
      <c r="E788" s="3" t="inlineStr">
        <is>
          <t>매매</t>
        </is>
      </c>
      <c r="F788" s="4" t="n">
        <v>95000</v>
      </c>
      <c r="G788" s="4" t="n">
        <v>767</v>
      </c>
      <c r="H788" s="4" t="n">
        <v>232</v>
      </c>
      <c r="I788" s="5" t="n">
        <v>409.5</v>
      </c>
      <c r="J788" s="5" t="n">
        <v>311.3</v>
      </c>
      <c r="K788" s="3" t="inlineStr">
        <is>
          <t>세종시의 주거 상업용지로  개발가치및 인프라좋은 저렴한 매물</t>
        </is>
      </c>
      <c r="L788" s="6">
        <f>HYPERLINK("https://fin.land.naver.com/articles/2651952349", "매물Link")</f>
        <v/>
      </c>
      <c r="M788" s="6">
        <f>HYPERLINK("https://map.naver.com/p/search/부강면 부강리 457-3", "지도Link")</f>
        <v/>
      </c>
      <c r="N788" s="6">
        <f>HYPERLINK("http://www.eum.go.kr/web/ar/lu/luLandDet.jsp?pnu=3611033021104570003&amp;isNoScr=script&amp;mode=search", "토지이음")</f>
        <v/>
      </c>
      <c r="O788" s="3" t="inlineStr">
        <is>
          <t>매그놀리아</t>
        </is>
      </c>
      <c r="P788" s="4" t="n">
        <v>2</v>
      </c>
      <c r="Q788" s="4" t="n">
        <v>767</v>
      </c>
      <c r="R788" s="3" t="inlineStr">
        <is>
          <t>지정되지않음</t>
        </is>
      </c>
      <c r="S788" s="3" t="inlineStr">
        <is>
          <t>단독</t>
        </is>
      </c>
      <c r="T788" s="3" t="inlineStr">
        <is>
          <t>평지</t>
        </is>
      </c>
      <c r="U788" s="3" t="inlineStr">
        <is>
          <t>사다리형</t>
        </is>
      </c>
      <c r="V788" s="3" t="inlineStr">
        <is>
          <t>소로한면</t>
        </is>
      </c>
    </row>
    <row r="789">
      <c r="A789" s="3" t="inlineStr">
        <is>
          <t>부강면 부강리 486-3</t>
        </is>
      </c>
      <c r="B789" s="3" t="inlineStr">
        <is>
          <t>제2종일반주거지역</t>
        </is>
      </c>
      <c r="C789" s="3" t="inlineStr">
        <is>
          <t>대</t>
        </is>
      </c>
      <c r="D789" s="3" t="inlineStr">
        <is>
          <t>대</t>
        </is>
      </c>
      <c r="E789" s="3" t="inlineStr">
        <is>
          <t>매매</t>
        </is>
      </c>
      <c r="F789" s="4" t="n">
        <v>68000</v>
      </c>
      <c r="G789" s="4" t="n">
        <v>545</v>
      </c>
      <c r="H789" s="4" t="n">
        <v>165</v>
      </c>
      <c r="I789" s="5" t="n">
        <v>412.1</v>
      </c>
      <c r="J789" s="5" t="n">
        <v>204.5</v>
      </c>
      <c r="K789" s="3" t="inlineStr">
        <is>
          <t>부강초등학교 인근에 있는 일반주거지역으로 다가구주택 부지로 좋은 대지</t>
        </is>
      </c>
      <c r="L789" s="6">
        <f>HYPERLINK("https://fin.land.naver.com/articles/2651241494", "매물Link")</f>
        <v/>
      </c>
      <c r="M789" s="6">
        <f>HYPERLINK("https://map.naver.com/p/search/부강면 부강리 486-3", "지도Link")</f>
        <v/>
      </c>
      <c r="N789" s="6">
        <f>HYPERLINK("http://www.eum.go.kr/web/ar/lu/luLandDet.jsp?pnu=3611033021104860003&amp;isNoScr=script&amp;mode=search", "토지이음")</f>
        <v/>
      </c>
      <c r="O789" s="3" t="inlineStr">
        <is>
          <t>스마일세종</t>
        </is>
      </c>
      <c r="P789" s="4" t="n">
        <v>1</v>
      </c>
      <c r="Q789" s="4" t="n">
        <v>545</v>
      </c>
      <c r="R789" s="3" t="inlineStr">
        <is>
          <t>지정되지않음</t>
        </is>
      </c>
      <c r="S789" s="3" t="inlineStr">
        <is>
          <t>단독</t>
        </is>
      </c>
      <c r="T789" s="3" t="inlineStr">
        <is>
          <t>평지</t>
        </is>
      </c>
      <c r="U789" s="3" t="inlineStr">
        <is>
          <t>사다리형</t>
        </is>
      </c>
      <c r="V789" s="3" t="inlineStr">
        <is>
          <t>소로한면</t>
        </is>
      </c>
    </row>
    <row r="790">
      <c r="A790" s="3" t="inlineStr">
        <is>
          <t>부강면 부강리 580-1</t>
        </is>
      </c>
      <c r="B790" s="3" t="inlineStr">
        <is>
          <t>일반공업지역</t>
        </is>
      </c>
      <c r="C790" s="3" t="inlineStr">
        <is>
          <t>답</t>
        </is>
      </c>
      <c r="D790" s="3" t="inlineStr">
        <is>
          <t>공장용지</t>
        </is>
      </c>
      <c r="E790" s="3" t="inlineStr">
        <is>
          <t>매매</t>
        </is>
      </c>
      <c r="F790" s="4" t="n">
        <v>346000</v>
      </c>
      <c r="G790" s="4" t="n">
        <v>3808</v>
      </c>
      <c r="H790" s="4" t="n">
        <v>1152</v>
      </c>
      <c r="I790" s="5" t="n">
        <v>300.3</v>
      </c>
      <c r="J790" s="5" t="n">
        <v>40.9</v>
      </c>
      <c r="K790" s="3" t="inlineStr">
        <is>
          <t>입지 좋은 접근성 최상의 토지, 대로 2류 착공 예정, 가격 상승 기대</t>
        </is>
      </c>
      <c r="L790" s="6">
        <f>HYPERLINK("https://fin.land.naver.com/articles/2651106962", "매물Link")</f>
        <v/>
      </c>
      <c r="M790" s="6">
        <f>HYPERLINK("https://map.naver.com/p/search/부강면 부강리 580-1", "지도Link")</f>
        <v/>
      </c>
      <c r="N790" s="6">
        <f>HYPERLINK("http://www.eum.go.kr/web/ar/lu/luLandDet.jsp?pnu=3611033021105800001&amp;isNoScr=script&amp;mode=search", "토지이음")</f>
        <v/>
      </c>
      <c r="O790" s="3" t="inlineStr">
        <is>
          <t>행복한무소</t>
        </is>
      </c>
      <c r="P790" s="4" t="n">
        <v>1</v>
      </c>
      <c r="Q790" s="4" t="n">
        <v>3127</v>
      </c>
      <c r="R790" s="3" t="inlineStr">
        <is>
          <t>지정되지않음</t>
        </is>
      </c>
      <c r="S790" s="3" t="inlineStr">
        <is>
          <t>답</t>
        </is>
      </c>
      <c r="T790" s="3" t="inlineStr">
        <is>
          <t>평지</t>
        </is>
      </c>
      <c r="U790" s="3" t="inlineStr">
        <is>
          <t>사다리형</t>
        </is>
      </c>
      <c r="V790" s="3" t="inlineStr">
        <is>
          <t>세로한면(불)</t>
        </is>
      </c>
    </row>
    <row r="791">
      <c r="A791" s="3" t="inlineStr">
        <is>
          <t>부강면 부강리 717</t>
        </is>
      </c>
      <c r="B791" s="3" t="inlineStr">
        <is>
          <t>계획관리지역</t>
        </is>
      </c>
      <c r="C791" s="3" t="inlineStr">
        <is>
          <t>대</t>
        </is>
      </c>
      <c r="D791" s="3" t="inlineStr">
        <is>
          <t>대</t>
        </is>
      </c>
      <c r="E791" s="3" t="inlineStr">
        <is>
          <t>매매</t>
        </is>
      </c>
      <c r="F791" s="4" t="n">
        <v>66000</v>
      </c>
      <c r="G791" s="4" t="n">
        <v>545</v>
      </c>
      <c r="H791" s="4" t="n">
        <v>165</v>
      </c>
      <c r="I791" s="5" t="n">
        <v>400</v>
      </c>
      <c r="J791" s="5" t="n">
        <v>80.90000000000001</v>
      </c>
      <c r="K791" s="3" t="inlineStr">
        <is>
          <t>다용도로사용가능.현재사무실및창고용건물존재116.64제곱.금강변인접</t>
        </is>
      </c>
      <c r="L791" s="6">
        <f>HYPERLINK("https://fin.land.naver.com/articles/2653859208", "매물Link")</f>
        <v/>
      </c>
      <c r="M791" s="6">
        <f>HYPERLINK("https://map.naver.com/p/search/부강면 부강리 717", "지도Link")</f>
        <v/>
      </c>
      <c r="N791" s="6">
        <f>HYPERLINK("http://www.eum.go.kr/web/ar/lu/luLandDet.jsp?pnu=3611033021107170000&amp;isNoScr=script&amp;mode=search", "토지이음")</f>
        <v/>
      </c>
      <c r="O791" s="3" t="inlineStr">
        <is>
          <t>돈방석</t>
        </is>
      </c>
      <c r="P791" s="4" t="n">
        <v>1</v>
      </c>
      <c r="Q791" s="4" t="n">
        <v>545</v>
      </c>
      <c r="R791" s="3" t="inlineStr">
        <is>
          <t>지정되지않음</t>
        </is>
      </c>
      <c r="S791" s="3" t="inlineStr">
        <is>
          <t>주거나지</t>
        </is>
      </c>
      <c r="T791" s="3" t="inlineStr">
        <is>
          <t>평지</t>
        </is>
      </c>
      <c r="U791" s="3" t="inlineStr">
        <is>
          <t>세로장방</t>
        </is>
      </c>
      <c r="V791" s="3" t="inlineStr">
        <is>
          <t>세로한면(가)</t>
        </is>
      </c>
    </row>
    <row r="792">
      <c r="A792" s="3" t="inlineStr">
        <is>
          <t>부강면 부강리 729</t>
        </is>
      </c>
      <c r="B792" s="3" t="inlineStr">
        <is>
          <t>계획관리지역</t>
        </is>
      </c>
      <c r="C792" s="3" t="inlineStr">
        <is>
          <t>대</t>
        </is>
      </c>
      <c r="D792" s="3" t="inlineStr">
        <is>
          <t>대</t>
        </is>
      </c>
      <c r="E792" s="3" t="inlineStr">
        <is>
          <t>매매</t>
        </is>
      </c>
      <c r="F792" s="4" t="n">
        <v>34000</v>
      </c>
      <c r="G792" s="4" t="n">
        <v>894</v>
      </c>
      <c r="H792" s="4" t="n">
        <v>270</v>
      </c>
      <c r="I792" s="5" t="n">
        <v>125.9</v>
      </c>
      <c r="J792" s="5" t="n">
        <v>77.59999999999999</v>
      </c>
      <c r="K792" s="3" t="inlineStr">
        <is>
          <t>부강면과 북대전IC간 광역도로 개통 호재 있는 부강면 계획관리 대지 급매</t>
        </is>
      </c>
      <c r="L792" s="6">
        <f>HYPERLINK("https://fin.land.naver.com/articles/2651693416", "매물Link")</f>
        <v/>
      </c>
      <c r="M792" s="6">
        <f>HYPERLINK("https://map.naver.com/p/search/부강면 부강리 729", "지도Link")</f>
        <v/>
      </c>
      <c r="N792" s="6">
        <f>HYPERLINK("http://www.eum.go.kr/web/ar/lu/luLandDet.jsp?pnu=3611033021107290000&amp;isNoScr=script&amp;mode=search", "토지이음")</f>
        <v/>
      </c>
      <c r="O792" s="3" t="inlineStr">
        <is>
          <t>청담</t>
        </is>
      </c>
      <c r="P792" s="4" t="n">
        <v>1</v>
      </c>
      <c r="Q792" s="4" t="n">
        <v>600</v>
      </c>
      <c r="R792" s="3" t="inlineStr">
        <is>
          <t>지정되지않음</t>
        </is>
      </c>
      <c r="S792" s="3" t="inlineStr">
        <is>
          <t>주거나지</t>
        </is>
      </c>
      <c r="T792" s="3" t="inlineStr">
        <is>
          <t>평지</t>
        </is>
      </c>
      <c r="U792" s="3" t="inlineStr">
        <is>
          <t>부정형</t>
        </is>
      </c>
      <c r="V792" s="3" t="inlineStr">
        <is>
          <t>세로한면(가)</t>
        </is>
      </c>
    </row>
    <row r="793">
      <c r="A793" s="3" t="inlineStr">
        <is>
          <t>부강면 부강리 745</t>
        </is>
      </c>
      <c r="B793" s="3" t="inlineStr">
        <is>
          <t>계획관리지역</t>
        </is>
      </c>
      <c r="C793" s="3" t="inlineStr">
        <is>
          <t>답</t>
        </is>
      </c>
      <c r="D793" s="3" t="inlineStr">
        <is>
          <t>답</t>
        </is>
      </c>
      <c r="E793" s="3" t="inlineStr">
        <is>
          <t>매매</t>
        </is>
      </c>
      <c r="F793" s="4" t="n">
        <v>50000</v>
      </c>
      <c r="G793" s="4" t="n">
        <v>1421</v>
      </c>
      <c r="H793" s="4" t="n">
        <v>430</v>
      </c>
      <c r="I793" s="5" t="n">
        <v>116.3</v>
      </c>
      <c r="J793" s="5" t="n">
        <v>36.3</v>
      </c>
      <c r="K793" s="3" t="inlineStr">
        <is>
          <t>세종 부강면 진입로 있는 토지,전기 인입등 투자용 토지</t>
        </is>
      </c>
      <c r="L793" s="6">
        <f>HYPERLINK("https://fin.land.naver.com/articles/2653416921", "매물Link")</f>
        <v/>
      </c>
      <c r="M793" s="6">
        <f>HYPERLINK("https://map.naver.com/p/search/부강면 부강리 745", "지도Link")</f>
        <v/>
      </c>
      <c r="N793" s="6">
        <f>HYPERLINK("http://www.eum.go.kr/web/ar/lu/luLandDet.jsp?pnu=3611033021107450000&amp;isNoScr=script&amp;mode=search", "토지이음")</f>
        <v/>
      </c>
      <c r="O793" s="3" t="inlineStr">
        <is>
          <t>민트</t>
        </is>
      </c>
      <c r="P793" s="4" t="n">
        <v>1</v>
      </c>
      <c r="Q793" s="4" t="n">
        <v>1421</v>
      </c>
      <c r="R793" s="3" t="inlineStr">
        <is>
          <t>지정되지않음</t>
        </is>
      </c>
      <c r="S793" s="3" t="inlineStr">
        <is>
          <t>전</t>
        </is>
      </c>
      <c r="T793" s="3" t="inlineStr">
        <is>
          <t>완경사</t>
        </is>
      </c>
      <c r="U793" s="3" t="inlineStr">
        <is>
          <t>부정형</t>
        </is>
      </c>
      <c r="V793" s="3" t="inlineStr">
        <is>
          <t>세로한면(불)</t>
        </is>
      </c>
    </row>
    <row r="794">
      <c r="A794" s="3" t="inlineStr">
        <is>
          <t>부강면 부강리 758</t>
        </is>
      </c>
      <c r="B794" s="3" t="inlineStr">
        <is>
          <t>계획관리지역</t>
        </is>
      </c>
      <c r="C794" s="3" t="inlineStr">
        <is>
          <t>전</t>
        </is>
      </c>
      <c r="D794" s="3" t="inlineStr">
        <is>
          <t>전</t>
        </is>
      </c>
      <c r="E794" s="3" t="inlineStr">
        <is>
          <t>매매</t>
        </is>
      </c>
      <c r="F794" s="4" t="n">
        <v>28000</v>
      </c>
      <c r="G794" s="4" t="n">
        <v>634</v>
      </c>
      <c r="H794" s="4" t="n">
        <v>192</v>
      </c>
      <c r="I794" s="5" t="n">
        <v>145.8</v>
      </c>
      <c r="J794" s="5" t="n">
        <v>40.8</v>
      </c>
      <c r="K794" s="3" t="inlineStr">
        <is>
          <t>도로 인접</t>
        </is>
      </c>
      <c r="L794" s="6">
        <f>HYPERLINK("https://fin.land.naver.com/articles/2654420621", "매물Link")</f>
        <v/>
      </c>
      <c r="M794" s="6">
        <f>HYPERLINK("https://map.naver.com/p/search/부강면 부강리 758", "지도Link")</f>
        <v/>
      </c>
      <c r="N794" s="6">
        <f>HYPERLINK("http://www.eum.go.kr/web/ar/lu/luLandDet.jsp?pnu=3611033021107580000&amp;isNoScr=script&amp;mode=search", "토지이음")</f>
        <v/>
      </c>
      <c r="O794" s="3" t="inlineStr">
        <is>
          <t>세종제일1</t>
        </is>
      </c>
      <c r="P794" s="4" t="n">
        <v>3</v>
      </c>
      <c r="Q794" s="4" t="n">
        <v>631</v>
      </c>
      <c r="R794" s="3" t="inlineStr">
        <is>
          <t>지정되지않음</t>
        </is>
      </c>
      <c r="S794" s="3" t="inlineStr">
        <is>
          <t>전</t>
        </is>
      </c>
      <c r="T794" s="3" t="inlineStr">
        <is>
          <t>완경사</t>
        </is>
      </c>
      <c r="U794" s="3" t="inlineStr">
        <is>
          <t>부정형</t>
        </is>
      </c>
      <c r="V794" s="3" t="inlineStr">
        <is>
          <t>세로한면(가)</t>
        </is>
      </c>
    </row>
    <row r="795">
      <c r="A795" s="3" t="inlineStr">
        <is>
          <t>부강면 부강리 825-4</t>
        </is>
      </c>
      <c r="B795" s="3" t="inlineStr">
        <is>
          <t>생산녹지지역</t>
        </is>
      </c>
      <c r="C795" s="3" t="inlineStr">
        <is>
          <t>전</t>
        </is>
      </c>
      <c r="D795" s="3" t="inlineStr">
        <is>
          <t>전</t>
        </is>
      </c>
      <c r="E795" s="3" t="inlineStr">
        <is>
          <t>매매</t>
        </is>
      </c>
      <c r="F795" s="4" t="n">
        <v>45000</v>
      </c>
      <c r="G795" s="4" t="n">
        <v>1337</v>
      </c>
      <c r="H795" s="4" t="n">
        <v>404</v>
      </c>
      <c r="I795" s="5" t="n">
        <v>111.4</v>
      </c>
      <c r="J795" s="5" t="n">
        <v>30.9</v>
      </c>
      <c r="K795" s="3" t="inlineStr">
        <is>
          <t>급매,가격협의가능, 대토 또는 투자로 추천</t>
        </is>
      </c>
      <c r="L795" s="6">
        <f>HYPERLINK("https://fin.land.naver.com/articles/2652281535", "매물Link")</f>
        <v/>
      </c>
      <c r="M795" s="6">
        <f>HYPERLINK("https://map.naver.com/p/search/부강면 부강리 825-4", "지도Link")</f>
        <v/>
      </c>
      <c r="N795" s="6">
        <f>HYPERLINK("http://www.eum.go.kr/web/ar/lu/luLandDet.jsp?pnu=3611033021108250004&amp;isNoScr=script&amp;mode=search", "토지이음")</f>
        <v/>
      </c>
      <c r="O795" s="3" t="inlineStr">
        <is>
          <t>담뜰</t>
        </is>
      </c>
      <c r="P795" s="4" t="n">
        <v>1</v>
      </c>
      <c r="Q795" s="4" t="n">
        <v>1337</v>
      </c>
      <c r="R795" s="3" t="inlineStr">
        <is>
          <t>지정되지않음</t>
        </is>
      </c>
      <c r="S795" s="3" t="inlineStr">
        <is>
          <t>답</t>
        </is>
      </c>
      <c r="T795" s="3" t="inlineStr">
        <is>
          <t>평지</t>
        </is>
      </c>
      <c r="U795" s="3" t="inlineStr">
        <is>
          <t>사다리형</t>
        </is>
      </c>
      <c r="V795" s="3" t="inlineStr">
        <is>
          <t>맹지</t>
        </is>
      </c>
    </row>
    <row r="796">
      <c r="A796" s="3" t="inlineStr">
        <is>
          <t>부강면 부강리 885</t>
        </is>
      </c>
      <c r="B796" s="3" t="inlineStr">
        <is>
          <t>생산녹지지역</t>
        </is>
      </c>
      <c r="C796" s="3" t="inlineStr">
        <is>
          <t>답</t>
        </is>
      </c>
      <c r="D796" s="3" t="inlineStr">
        <is>
          <t>답</t>
        </is>
      </c>
      <c r="E796" s="3" t="inlineStr">
        <is>
          <t>매매</t>
        </is>
      </c>
      <c r="F796" s="4" t="n">
        <v>279000</v>
      </c>
      <c r="G796" s="4" t="n">
        <v>3075</v>
      </c>
      <c r="H796" s="4" t="n">
        <v>930</v>
      </c>
      <c r="I796" s="5" t="n">
        <v>300</v>
      </c>
      <c r="J796" s="5" t="n">
        <v>34.4</v>
      </c>
      <c r="K796" s="3" t="inlineStr">
        <is>
          <t>도시지역,2차선접,땅모양좋아요</t>
        </is>
      </c>
      <c r="L796" s="6">
        <f>HYPERLINK("https://fin.land.naver.com/articles/2650425544", "매물Link")</f>
        <v/>
      </c>
      <c r="M796" s="6">
        <f>HYPERLINK("https://map.naver.com/p/search/부강면 부강리 885", "지도Link")</f>
        <v/>
      </c>
      <c r="N796" s="6">
        <f>HYPERLINK("http://www.eum.go.kr/web/ar/lu/luLandDet.jsp?pnu=3611033021108850000&amp;isNoScr=script&amp;mode=search", "토지이음")</f>
        <v/>
      </c>
      <c r="O796" s="3" t="inlineStr">
        <is>
          <t>힐스테이트행복</t>
        </is>
      </c>
      <c r="P796" s="4" t="n">
        <v>1</v>
      </c>
      <c r="Q796" s="4" t="n">
        <v>833</v>
      </c>
      <c r="R796" s="3" t="inlineStr">
        <is>
          <t>지정되지않음</t>
        </is>
      </c>
      <c r="S796" s="3" t="inlineStr">
        <is>
          <t>답</t>
        </is>
      </c>
      <c r="T796" s="3" t="inlineStr">
        <is>
          <t>평지</t>
        </is>
      </c>
      <c r="U796" s="3" t="inlineStr">
        <is>
          <t>부정형</t>
        </is>
      </c>
      <c r="V796" s="3" t="inlineStr">
        <is>
          <t>세로한면(불)</t>
        </is>
      </c>
    </row>
    <row r="797">
      <c r="A797" s="3" t="inlineStr">
        <is>
          <t>부강면 부강리 888-1</t>
        </is>
      </c>
      <c r="B797" s="3" t="inlineStr">
        <is>
          <t>생산녹지지역</t>
        </is>
      </c>
      <c r="C797" s="3" t="inlineStr">
        <is>
          <t>답</t>
        </is>
      </c>
      <c r="D797" s="3" t="inlineStr">
        <is>
          <t>답</t>
        </is>
      </c>
      <c r="E797" s="3" t="inlineStr">
        <is>
          <t>매매</t>
        </is>
      </c>
      <c r="F797" s="4" t="n">
        <v>58000</v>
      </c>
      <c r="G797" s="4" t="n">
        <v>1758</v>
      </c>
      <c r="H797" s="4" t="n">
        <v>532</v>
      </c>
      <c r="I797" s="5" t="n">
        <v>109</v>
      </c>
      <c r="J797" s="5" t="n">
        <v>38.9</v>
      </c>
      <c r="K797" s="3" t="inlineStr">
        <is>
          <t>행복도시완성시  큰그림을 그릴수있는 위치의 토지로 주택이나 장기투자</t>
        </is>
      </c>
      <c r="L797" s="6">
        <f>HYPERLINK("https://fin.land.naver.com/articles/2652072270", "매물Link")</f>
        <v/>
      </c>
      <c r="M797" s="6">
        <f>HYPERLINK("https://map.naver.com/p/search/부강면 부강리 888-1", "지도Link")</f>
        <v/>
      </c>
      <c r="N797" s="6">
        <f>HYPERLINK("http://www.eum.go.kr/web/ar/lu/luLandDet.jsp?pnu=3611033021108880001&amp;isNoScr=script&amp;mode=search", "토지이음")</f>
        <v/>
      </c>
      <c r="O797" s="3" t="inlineStr">
        <is>
          <t>연동스카이</t>
        </is>
      </c>
      <c r="P797" s="4" t="n">
        <v>1</v>
      </c>
      <c r="Q797" s="4" t="n">
        <v>1759</v>
      </c>
      <c r="R797" s="3" t="inlineStr">
        <is>
          <t>지정되지않음</t>
        </is>
      </c>
      <c r="S797" s="3" t="inlineStr">
        <is>
          <t>답</t>
        </is>
      </c>
      <c r="T797" s="3" t="inlineStr">
        <is>
          <t>평지</t>
        </is>
      </c>
      <c r="U797" s="3" t="inlineStr">
        <is>
          <t>부정형</t>
        </is>
      </c>
      <c r="V797" s="3" t="inlineStr">
        <is>
          <t>세로한면(불)</t>
        </is>
      </c>
    </row>
    <row r="798">
      <c r="A798" s="3" t="inlineStr">
        <is>
          <t>부강면 부강리 894</t>
        </is>
      </c>
      <c r="B798" s="3" t="inlineStr">
        <is>
          <t>생산녹지지역</t>
        </is>
      </c>
      <c r="C798" s="3" t="inlineStr">
        <is>
          <t>답</t>
        </is>
      </c>
      <c r="D798" s="3" t="inlineStr">
        <is>
          <t>답</t>
        </is>
      </c>
      <c r="E798" s="3" t="inlineStr">
        <is>
          <t>매매</t>
        </is>
      </c>
      <c r="F798" s="4" t="n">
        <v>28000</v>
      </c>
      <c r="G798" s="4" t="n">
        <v>733</v>
      </c>
      <c r="H798" s="4" t="n">
        <v>222</v>
      </c>
      <c r="I798" s="5" t="n">
        <v>126.1</v>
      </c>
      <c r="J798" s="5" t="n">
        <v>40.9</v>
      </c>
      <c r="K798" s="3" t="inlineStr">
        <is>
          <t>소액으로 투자할수있는 가격저렴한 작은토지로 최상</t>
        </is>
      </c>
      <c r="L798" s="6">
        <f>HYPERLINK("https://fin.land.naver.com/articles/2650178056", "매물Link")</f>
        <v/>
      </c>
      <c r="M798" s="6">
        <f>HYPERLINK("https://map.naver.com/p/search/부강면 부강리 894", "지도Link")</f>
        <v/>
      </c>
      <c r="N798" s="6">
        <f>HYPERLINK("http://www.eum.go.kr/web/ar/lu/luLandDet.jsp?pnu=3611033021108940000&amp;isNoScr=script&amp;mode=search", "토지이음")</f>
        <v/>
      </c>
      <c r="O798" s="3" t="inlineStr">
        <is>
          <t>연동스카이</t>
        </is>
      </c>
      <c r="P798" s="4" t="n">
        <v>1</v>
      </c>
      <c r="Q798" s="4" t="n">
        <v>735</v>
      </c>
      <c r="R798" s="3" t="inlineStr">
        <is>
          <t>지정되지않음</t>
        </is>
      </c>
      <c r="S798" s="3" t="inlineStr">
        <is>
          <t>답</t>
        </is>
      </c>
      <c r="T798" s="3" t="inlineStr">
        <is>
          <t>평지</t>
        </is>
      </c>
      <c r="U798" s="3" t="inlineStr">
        <is>
          <t>가로장방</t>
        </is>
      </c>
      <c r="V798" s="3" t="inlineStr">
        <is>
          <t>세로한면(불)</t>
        </is>
      </c>
    </row>
    <row r="799">
      <c r="A799" s="3" t="inlineStr">
        <is>
          <t>부강면 부강리 951</t>
        </is>
      </c>
      <c r="B799" s="3" t="inlineStr">
        <is>
          <t>제2종일반주거지역</t>
        </is>
      </c>
      <c r="C799" s="3" t="inlineStr">
        <is>
          <t>답</t>
        </is>
      </c>
      <c r="D799" s="3" t="inlineStr">
        <is>
          <t>답</t>
        </is>
      </c>
      <c r="E799" s="3" t="inlineStr">
        <is>
          <t>매매</t>
        </is>
      </c>
      <c r="F799" s="4" t="n">
        <v>35000</v>
      </c>
      <c r="G799" s="4" t="n">
        <v>288</v>
      </c>
      <c r="H799" s="4" t="n">
        <v>87</v>
      </c>
      <c r="I799" s="5" t="n">
        <v>402.3</v>
      </c>
      <c r="J799" s="5" t="n">
        <v>172.3</v>
      </c>
      <c r="K799" s="3" t="inlineStr">
        <is>
          <t>급매, 절충가능한 다가구 주택 부지로 적합한 제2종일반주거지역의 토지</t>
        </is>
      </c>
      <c r="L799" s="6">
        <f>HYPERLINK("https://fin.land.naver.com/articles/2653441628", "매물Link")</f>
        <v/>
      </c>
      <c r="M799" s="6">
        <f>HYPERLINK("https://map.naver.com/p/search/부강면 부강리 951", "지도Link")</f>
        <v/>
      </c>
      <c r="N799" s="6">
        <f>HYPERLINK("http://www.eum.go.kr/web/ar/lu/luLandDet.jsp?pnu=3611033021109510000&amp;isNoScr=script&amp;mode=search", "토지이음")</f>
        <v/>
      </c>
      <c r="O799" s="3" t="inlineStr">
        <is>
          <t>스마일세종</t>
        </is>
      </c>
      <c r="P799" s="4" t="n">
        <v>1</v>
      </c>
      <c r="Q799" s="4" t="n">
        <v>288</v>
      </c>
      <c r="R799" s="3" t="inlineStr">
        <is>
          <t>지정되지않음</t>
        </is>
      </c>
      <c r="S799" s="3" t="inlineStr">
        <is>
          <t>주거나지</t>
        </is>
      </c>
      <c r="T799" s="3" t="inlineStr">
        <is>
          <t>평지</t>
        </is>
      </c>
      <c r="U799" s="3" t="inlineStr">
        <is>
          <t>부정형</t>
        </is>
      </c>
      <c r="V799" s="3" t="inlineStr">
        <is>
          <t>세로한면(가)</t>
        </is>
      </c>
    </row>
    <row r="800">
      <c r="A800" s="3" t="inlineStr">
        <is>
          <t>부강면 부강리 955-1</t>
        </is>
      </c>
      <c r="B800" s="3" t="inlineStr">
        <is>
          <t>생산녹지지역</t>
        </is>
      </c>
      <c r="C800" s="3" t="inlineStr">
        <is>
          <t>답</t>
        </is>
      </c>
      <c r="D800" s="3" t="inlineStr">
        <is>
          <t>답</t>
        </is>
      </c>
      <c r="E800" s="3" t="inlineStr">
        <is>
          <t>매매</t>
        </is>
      </c>
      <c r="F800" s="4" t="n">
        <v>85000</v>
      </c>
      <c r="G800" s="4" t="n">
        <v>1002</v>
      </c>
      <c r="H800" s="4" t="n">
        <v>303</v>
      </c>
      <c r="I800" s="5" t="n">
        <v>280.5</v>
      </c>
      <c r="J800" s="5" t="n">
        <v>50.6</v>
      </c>
      <c r="K800" s="3" t="inlineStr">
        <is>
          <t>nan</t>
        </is>
      </c>
      <c r="L800" s="6">
        <f>HYPERLINK("https://fin.land.naver.com/articles/2650177835", "매물Link")</f>
        <v/>
      </c>
      <c r="M800" s="6">
        <f>HYPERLINK("https://map.naver.com/p/search/부강면 부강리 955-1", "지도Link")</f>
        <v/>
      </c>
      <c r="N800" s="6">
        <f>HYPERLINK("http://www.eum.go.kr/web/ar/lu/luLandDet.jsp?pnu=3611033021109550001&amp;isNoScr=script&amp;mode=search", "토지이음")</f>
        <v/>
      </c>
      <c r="O800" s="3" t="inlineStr">
        <is>
          <t>연동스카이</t>
        </is>
      </c>
      <c r="P800" s="4" t="n">
        <v>1</v>
      </c>
      <c r="Q800" s="4" t="n">
        <v>1002</v>
      </c>
      <c r="R800" s="3" t="inlineStr">
        <is>
          <t>지정되지않음</t>
        </is>
      </c>
      <c r="S800" s="3" t="inlineStr">
        <is>
          <t>답</t>
        </is>
      </c>
      <c r="T800" s="3" t="inlineStr">
        <is>
          <t>평지</t>
        </is>
      </c>
      <c r="U800" s="3" t="inlineStr">
        <is>
          <t>부정형</t>
        </is>
      </c>
      <c r="V800" s="3" t="inlineStr">
        <is>
          <t>중로한면</t>
        </is>
      </c>
    </row>
    <row r="801">
      <c r="A801" s="3" t="inlineStr">
        <is>
          <t>부강면 부강리 961-1</t>
        </is>
      </c>
      <c r="B801" s="3" t="inlineStr">
        <is>
          <t>제2종일반주거지역</t>
        </is>
      </c>
      <c r="C801" s="3" t="inlineStr">
        <is>
          <t>전</t>
        </is>
      </c>
      <c r="D801" s="3" t="inlineStr">
        <is>
          <t>전</t>
        </is>
      </c>
      <c r="E801" s="3" t="inlineStr">
        <is>
          <t>매매</t>
        </is>
      </c>
      <c r="F801" s="4" t="n">
        <v>200000</v>
      </c>
      <c r="G801" s="4" t="n">
        <v>1220</v>
      </c>
      <c r="H801" s="4" t="n">
        <v>369</v>
      </c>
      <c r="I801" s="5" t="n">
        <v>542</v>
      </c>
      <c r="J801" s="5" t="n">
        <v>172.3</v>
      </c>
      <c r="K801" s="3" t="inlineStr">
        <is>
          <t>부강리 제2종일반주거지역으로 다가구 주택을 지으면 수익율 좋은 토지입니다</t>
        </is>
      </c>
      <c r="L801" s="6">
        <f>HYPERLINK("https://fin.land.naver.com/articles/2651928780", "매물Link")</f>
        <v/>
      </c>
      <c r="M801" s="6">
        <f>HYPERLINK("https://map.naver.com/p/search/부강면 부강리 961-1", "지도Link")</f>
        <v/>
      </c>
      <c r="N801" s="6">
        <f>HYPERLINK("http://www.eum.go.kr/web/ar/lu/luLandDet.jsp?pnu=3611033021109610001&amp;isNoScr=script&amp;mode=search", "토지이음")</f>
        <v/>
      </c>
      <c r="O801" s="3" t="inlineStr">
        <is>
          <t>스마일세종</t>
        </is>
      </c>
      <c r="P801" s="4" t="n">
        <v>1</v>
      </c>
      <c r="Q801" s="4" t="n">
        <v>1049</v>
      </c>
      <c r="R801" s="3" t="inlineStr">
        <is>
          <t>지정되지않음</t>
        </is>
      </c>
      <c r="S801" s="3" t="inlineStr">
        <is>
          <t>주거나지</t>
        </is>
      </c>
      <c r="T801" s="3" t="inlineStr">
        <is>
          <t>평지</t>
        </is>
      </c>
      <c r="U801" s="3" t="inlineStr">
        <is>
          <t>부정형</t>
        </is>
      </c>
      <c r="V801" s="3" t="inlineStr">
        <is>
          <t>세로한면(가)</t>
        </is>
      </c>
    </row>
    <row r="802">
      <c r="A802" s="3" t="inlineStr">
        <is>
          <t>부강면 부강리 967-4</t>
        </is>
      </c>
      <c r="B802" s="3" t="inlineStr">
        <is>
          <t>제2종일반주거지역</t>
        </is>
      </c>
      <c r="C802" s="3" t="inlineStr">
        <is>
          <t>답</t>
        </is>
      </c>
      <c r="D802" s="3" t="inlineStr">
        <is>
          <t>답</t>
        </is>
      </c>
      <c r="E802" s="3" t="inlineStr">
        <is>
          <t>매매</t>
        </is>
      </c>
      <c r="F802" s="4" t="n">
        <v>120000</v>
      </c>
      <c r="G802" s="4" t="n">
        <v>990</v>
      </c>
      <c r="H802" s="4" t="n">
        <v>299</v>
      </c>
      <c r="I802" s="5" t="n">
        <v>401.3</v>
      </c>
      <c r="J802" s="5" t="n">
        <v>179.6</v>
      </c>
      <c r="K802" s="3" t="inlineStr">
        <is>
          <t>nan</t>
        </is>
      </c>
      <c r="L802" s="6">
        <f>HYPERLINK("https://fin.land.naver.com/articles/2653453130", "매물Link")</f>
        <v/>
      </c>
      <c r="M802" s="6">
        <f>HYPERLINK("https://map.naver.com/p/search/부강면 부강리 967-4", "지도Link")</f>
        <v/>
      </c>
      <c r="N802" s="6">
        <f>HYPERLINK("http://www.eum.go.kr/web/ar/lu/luLandDet.jsp?pnu=3611033021109670004&amp;isNoScr=script&amp;mode=search", "토지이음")</f>
        <v/>
      </c>
      <c r="O802" s="3" t="inlineStr">
        <is>
          <t>안성대로</t>
        </is>
      </c>
      <c r="P802" s="4" t="n">
        <v>1</v>
      </c>
      <c r="Q802" s="4" t="n">
        <v>990</v>
      </c>
      <c r="R802" s="3" t="inlineStr">
        <is>
          <t>지정되지않음</t>
        </is>
      </c>
      <c r="S802" s="3" t="inlineStr">
        <is>
          <t>주거나지</t>
        </is>
      </c>
      <c r="T802" s="3" t="inlineStr">
        <is>
          <t>평지</t>
        </is>
      </c>
      <c r="U802" s="3" t="inlineStr">
        <is>
          <t>사다리형</t>
        </is>
      </c>
      <c r="V802" s="3" t="inlineStr">
        <is>
          <t>세로한면(가)</t>
        </is>
      </c>
    </row>
    <row r="803">
      <c r="A803" s="3" t="inlineStr">
        <is>
          <t>부강면 부강리 973-26</t>
        </is>
      </c>
      <c r="B803" s="3" t="inlineStr">
        <is>
          <t>제2종일반주거지역</t>
        </is>
      </c>
      <c r="C803" s="3" t="inlineStr">
        <is>
          <t>답</t>
        </is>
      </c>
      <c r="D803" s="3" t="inlineStr">
        <is>
          <t>답</t>
        </is>
      </c>
      <c r="E803" s="3" t="inlineStr">
        <is>
          <t>매매</t>
        </is>
      </c>
      <c r="F803" s="4" t="n">
        <v>40000</v>
      </c>
      <c r="G803" s="4" t="n">
        <v>331</v>
      </c>
      <c r="H803" s="4" t="n">
        <v>100</v>
      </c>
      <c r="I803" s="5" t="n">
        <v>400</v>
      </c>
      <c r="J803" s="5" t="n">
        <v>179.6</v>
      </c>
      <c r="K803" s="3" t="inlineStr">
        <is>
          <t>8미터 계획도로접한 2종일반주거 다가구,상가 건축가능 오배수연결완료됨</t>
        </is>
      </c>
      <c r="L803" s="6">
        <f>HYPERLINK("https://fin.land.naver.com/articles/2652983558", "매물Link")</f>
        <v/>
      </c>
      <c r="M803" s="6">
        <f>HYPERLINK("https://map.naver.com/p/search/부강면 부강리 973-26", "지도Link")</f>
        <v/>
      </c>
      <c r="N803" s="6">
        <f>HYPERLINK("http://www.eum.go.kr/web/ar/lu/luLandDet.jsp?pnu=3611033021109730026&amp;isNoScr=script&amp;mode=search", "토지이음")</f>
        <v/>
      </c>
      <c r="O803" s="3" t="inlineStr">
        <is>
          <t>향기나는방</t>
        </is>
      </c>
      <c r="P803" s="4" t="n">
        <v>1</v>
      </c>
      <c r="Q803" s="4" t="n">
        <v>311</v>
      </c>
      <c r="R803" s="3" t="inlineStr">
        <is>
          <t>지정되지않음</t>
        </is>
      </c>
      <c r="S803" s="3" t="inlineStr">
        <is>
          <t>주거나지</t>
        </is>
      </c>
      <c r="T803" s="3" t="inlineStr">
        <is>
          <t>평지</t>
        </is>
      </c>
      <c r="U803" s="3" t="inlineStr">
        <is>
          <t>사다리형</t>
        </is>
      </c>
      <c r="V803" s="3" t="inlineStr">
        <is>
          <t>세로한면(가)</t>
        </is>
      </c>
    </row>
    <row r="804">
      <c r="A804" s="3" t="inlineStr">
        <is>
          <t>부강면 부강리 973-3</t>
        </is>
      </c>
      <c r="B804" s="3" t="inlineStr">
        <is>
          <t>제2종일반주거지역</t>
        </is>
      </c>
      <c r="C804" s="3" t="inlineStr">
        <is>
          <t>답</t>
        </is>
      </c>
      <c r="D804" s="3" t="inlineStr">
        <is>
          <t>답</t>
        </is>
      </c>
      <c r="E804" s="3" t="inlineStr">
        <is>
          <t>매매</t>
        </is>
      </c>
      <c r="F804" s="4" t="n">
        <v>35000</v>
      </c>
      <c r="G804" s="4" t="n">
        <v>263</v>
      </c>
      <c r="H804" s="4" t="n">
        <v>80</v>
      </c>
      <c r="I804" s="5" t="n">
        <v>437.5</v>
      </c>
      <c r="J804" s="5" t="n">
        <v>179.6</v>
      </c>
      <c r="K804" s="3" t="inlineStr">
        <is>
          <t>8미터 계획도로접한 2종일반주거 다가구,상가 건축가능 오배수연결완료됨</t>
        </is>
      </c>
      <c r="L804" s="6">
        <f>HYPERLINK("https://fin.land.naver.com/articles/2652983187", "매물Link")</f>
        <v/>
      </c>
      <c r="M804" s="6">
        <f>HYPERLINK("https://map.naver.com/p/search/부강면 부강리 973-3", "지도Link")</f>
        <v/>
      </c>
      <c r="N804" s="6">
        <f>HYPERLINK("http://www.eum.go.kr/web/ar/lu/luLandDet.jsp?pnu=3611033021109730003&amp;isNoScr=script&amp;mode=search", "토지이음")</f>
        <v/>
      </c>
      <c r="O804" s="3" t="inlineStr">
        <is>
          <t>향기나는방</t>
        </is>
      </c>
      <c r="P804" s="4" t="n">
        <v>1</v>
      </c>
      <c r="Q804" s="4" t="n">
        <v>263</v>
      </c>
      <c r="R804" s="3" t="inlineStr">
        <is>
          <t>지정되지않음</t>
        </is>
      </c>
      <c r="S804" s="3" t="inlineStr">
        <is>
          <t>주거나지</t>
        </is>
      </c>
      <c r="T804" s="3" t="inlineStr">
        <is>
          <t>평지</t>
        </is>
      </c>
      <c r="U804" s="3" t="inlineStr">
        <is>
          <t>사다리형</t>
        </is>
      </c>
      <c r="V804" s="3" t="inlineStr">
        <is>
          <t>세로한면(가)</t>
        </is>
      </c>
    </row>
    <row r="805">
      <c r="A805" s="3" t="inlineStr">
        <is>
          <t>부강면 산수리 128</t>
        </is>
      </c>
      <c r="B805" s="3" t="inlineStr">
        <is>
          <t>계획관리지역</t>
        </is>
      </c>
      <c r="C805" s="3" t="inlineStr">
        <is>
          <t>대</t>
        </is>
      </c>
      <c r="D805" s="3" t="inlineStr">
        <is>
          <t>대</t>
        </is>
      </c>
      <c r="E805" s="3" t="inlineStr">
        <is>
          <t>매매</t>
        </is>
      </c>
      <c r="F805" s="4" t="n">
        <v>42500</v>
      </c>
      <c r="G805" s="4" t="n">
        <v>934</v>
      </c>
      <c r="H805" s="4" t="n">
        <v>283</v>
      </c>
      <c r="I805" s="5" t="n">
        <v>150.2</v>
      </c>
      <c r="J805" s="5" t="n">
        <v>53.5</v>
      </c>
      <c r="K805" s="3" t="inlineStr">
        <is>
          <t>계획관리 대지 전원주택용 투자처로 추천</t>
        </is>
      </c>
      <c r="L805" s="6">
        <f>HYPERLINK("https://fin.land.naver.com/articles/2652998399", "매물Link")</f>
        <v/>
      </c>
      <c r="M805" s="6">
        <f>HYPERLINK("https://map.naver.com/p/search/부강면 산수리 128", "지도Link")</f>
        <v/>
      </c>
      <c r="N805" s="6">
        <f>HYPERLINK("http://www.eum.go.kr/web/ar/lu/luLandDet.jsp?pnu=3611033023101280000&amp;isNoScr=script&amp;mode=search", "토지이음")</f>
        <v/>
      </c>
      <c r="O805" s="3" t="inlineStr">
        <is>
          <t>뉴엘리트탑</t>
        </is>
      </c>
      <c r="P805" s="4" t="n">
        <v>1</v>
      </c>
      <c r="Q805" s="4" t="n">
        <v>934</v>
      </c>
      <c r="R805" s="3" t="inlineStr">
        <is>
          <t>지정되지않음</t>
        </is>
      </c>
      <c r="S805" s="3" t="inlineStr">
        <is>
          <t>단독</t>
        </is>
      </c>
      <c r="T805" s="3" t="inlineStr">
        <is>
          <t>평지</t>
        </is>
      </c>
      <c r="U805" s="3" t="inlineStr">
        <is>
          <t>부정형</t>
        </is>
      </c>
      <c r="V805" s="3" t="inlineStr">
        <is>
          <t>세로한면(가)</t>
        </is>
      </c>
    </row>
    <row r="806">
      <c r="A806" s="3" t="inlineStr">
        <is>
          <t>부강면 산수리 162-1</t>
        </is>
      </c>
      <c r="B806" s="3" t="inlineStr">
        <is>
          <t>계획관리지역</t>
        </is>
      </c>
      <c r="C806" s="3" t="inlineStr">
        <is>
          <t>전</t>
        </is>
      </c>
      <c r="D806" s="3" t="inlineStr">
        <is>
          <t>전</t>
        </is>
      </c>
      <c r="E806" s="3" t="inlineStr">
        <is>
          <t>매매</t>
        </is>
      </c>
      <c r="F806" s="4" t="n">
        <v>42000</v>
      </c>
      <c r="G806" s="4" t="n">
        <v>1712</v>
      </c>
      <c r="H806" s="4" t="n">
        <v>518</v>
      </c>
      <c r="I806" s="5" t="n">
        <v>81.09999999999999</v>
      </c>
      <c r="J806" s="5" t="n">
        <v>35.2</v>
      </c>
      <c r="K806" s="3" t="inlineStr">
        <is>
          <t>식재된 나무 포함한 가격이며, 정남향의 아늑한토지</t>
        </is>
      </c>
      <c r="L806" s="6">
        <f>HYPERLINK("https://fin.land.naver.com/articles/2652065200", "매물Link")</f>
        <v/>
      </c>
      <c r="M806" s="6">
        <f>HYPERLINK("https://map.naver.com/p/search/부강면 산수리 162-1", "지도Link")</f>
        <v/>
      </c>
      <c r="N806" s="6">
        <f>HYPERLINK("http://www.eum.go.kr/web/ar/lu/luLandDet.jsp?pnu=3611033023101620001&amp;isNoScr=script&amp;mode=search", "토지이음")</f>
        <v/>
      </c>
      <c r="O806" s="3" t="inlineStr">
        <is>
          <t>연동스카이</t>
        </is>
      </c>
      <c r="P806" s="4" t="n">
        <v>1</v>
      </c>
      <c r="Q806" s="4" t="n">
        <v>1228</v>
      </c>
      <c r="R806" s="3" t="inlineStr">
        <is>
          <t>지정되지않음</t>
        </is>
      </c>
      <c r="S806" s="3" t="inlineStr">
        <is>
          <t>전</t>
        </is>
      </c>
      <c r="T806" s="3" t="inlineStr">
        <is>
          <t>평지</t>
        </is>
      </c>
      <c r="U806" s="3" t="inlineStr">
        <is>
          <t>부정형</t>
        </is>
      </c>
      <c r="V806" s="3" t="inlineStr">
        <is>
          <t>세로한면(가)</t>
        </is>
      </c>
    </row>
    <row r="807">
      <c r="A807" s="3" t="inlineStr">
        <is>
          <t>부강면 산수리 243</t>
        </is>
      </c>
      <c r="B807" s="3" t="inlineStr">
        <is>
          <t>계획관리지역</t>
        </is>
      </c>
      <c r="C807" s="3" t="inlineStr">
        <is>
          <t>대</t>
        </is>
      </c>
      <c r="D807" s="3" t="inlineStr">
        <is>
          <t>대</t>
        </is>
      </c>
      <c r="E807" s="3" t="inlineStr">
        <is>
          <t>매매</t>
        </is>
      </c>
      <c r="F807" s="4" t="n">
        <v>100000</v>
      </c>
      <c r="G807" s="4" t="n">
        <v>5421</v>
      </c>
      <c r="H807" s="4" t="n">
        <v>1640</v>
      </c>
      <c r="I807" s="5" t="n">
        <v>61</v>
      </c>
      <c r="J807" s="5" t="n">
        <v>64.59999999999999</v>
      </c>
      <c r="K807" s="3" t="inlineStr">
        <is>
          <t>주택허가축사경작지 일괄, 축산승계귀농농장 추천</t>
        </is>
      </c>
      <c r="L807" s="6">
        <f>HYPERLINK("https://fin.land.naver.com/articles/2649836388", "매물Link")</f>
        <v/>
      </c>
      <c r="M807" s="6">
        <f>HYPERLINK("https://map.naver.com/p/search/부강면 산수리 243", "지도Link")</f>
        <v/>
      </c>
      <c r="N807" s="6">
        <f>HYPERLINK("http://www.eum.go.kr/web/ar/lu/luLandDet.jsp?pnu=3611033023102430000&amp;isNoScr=script&amp;mode=search", "토지이음")</f>
        <v/>
      </c>
      <c r="O807" s="3" t="inlineStr">
        <is>
          <t>세종소담황금</t>
        </is>
      </c>
      <c r="P807" s="4" t="n">
        <v>1</v>
      </c>
      <c r="Q807" s="4" t="n">
        <v>660</v>
      </c>
      <c r="R807" s="3" t="inlineStr">
        <is>
          <t>지정되지않음</t>
        </is>
      </c>
      <c r="S807" s="3" t="inlineStr">
        <is>
          <t>단독</t>
        </is>
      </c>
      <c r="T807" s="3" t="inlineStr">
        <is>
          <t>평지</t>
        </is>
      </c>
      <c r="U807" s="3" t="inlineStr">
        <is>
          <t>가로장방</t>
        </is>
      </c>
      <c r="V807" s="3" t="inlineStr">
        <is>
          <t>세로한면(가)</t>
        </is>
      </c>
    </row>
    <row r="808">
      <c r="A808" s="3" t="inlineStr">
        <is>
          <t>부강면 산수리 243</t>
        </is>
      </c>
      <c r="B808" s="3" t="inlineStr">
        <is>
          <t>계획관리지역</t>
        </is>
      </c>
      <c r="C808" s="3" t="inlineStr">
        <is>
          <t>대</t>
        </is>
      </c>
      <c r="D808" s="3" t="inlineStr">
        <is>
          <t>대</t>
        </is>
      </c>
      <c r="E808" s="3" t="inlineStr">
        <is>
          <t>매매</t>
        </is>
      </c>
      <c r="F808" s="4" t="n">
        <v>100000</v>
      </c>
      <c r="G808" s="4" t="n">
        <v>5421</v>
      </c>
      <c r="H808" s="4" t="n">
        <v>1640</v>
      </c>
      <c r="I808" s="5" t="n">
        <v>61</v>
      </c>
      <c r="J808" s="5" t="n">
        <v>64.59999999999999</v>
      </c>
      <c r="K808" s="3" t="inlineStr">
        <is>
          <t>세종시 부강면 주택, 축사·부속시설, 전 사통팔달 교통,계획관리알짜 급매</t>
        </is>
      </c>
      <c r="L808" s="6">
        <f>HYPERLINK("https://fin.land.naver.com/articles/2650006026", "매물Link")</f>
        <v/>
      </c>
      <c r="M808" s="6">
        <f>HYPERLINK("https://map.naver.com/p/search/부강면 산수리 243", "지도Link")</f>
        <v/>
      </c>
      <c r="N808" s="6">
        <f>HYPERLINK("http://www.eum.go.kr/web/ar/lu/luLandDet.jsp?pnu=3611033023102430000&amp;isNoScr=script&amp;mode=search", "토지이음")</f>
        <v/>
      </c>
      <c r="O808" s="3" t="inlineStr">
        <is>
          <t>세종</t>
        </is>
      </c>
      <c r="P808" s="4" t="n">
        <v>2</v>
      </c>
      <c r="Q808" s="4" t="n">
        <v>660</v>
      </c>
      <c r="R808" s="3" t="inlineStr">
        <is>
          <t>지정되지않음</t>
        </is>
      </c>
      <c r="S808" s="3" t="inlineStr">
        <is>
          <t>단독</t>
        </is>
      </c>
      <c r="T808" s="3" t="inlineStr">
        <is>
          <t>평지</t>
        </is>
      </c>
      <c r="U808" s="3" t="inlineStr">
        <is>
          <t>가로장방</t>
        </is>
      </c>
      <c r="V808" s="3" t="inlineStr">
        <is>
          <t>세로한면(가)</t>
        </is>
      </c>
    </row>
    <row r="809">
      <c r="A809" s="3" t="inlineStr">
        <is>
          <t>부강면 산수리 243-2</t>
        </is>
      </c>
      <c r="B809" s="3" t="inlineStr">
        <is>
          <t>계획관리지역</t>
        </is>
      </c>
      <c r="C809" s="3" t="inlineStr">
        <is>
          <t>목장용지</t>
        </is>
      </c>
      <c r="D809" s="3" t="inlineStr">
        <is>
          <t>목장용지</t>
        </is>
      </c>
      <c r="E809" s="3" t="inlineStr">
        <is>
          <t>매매</t>
        </is>
      </c>
      <c r="F809" s="4" t="n">
        <v>100000</v>
      </c>
      <c r="G809" s="4" t="n">
        <v>5429</v>
      </c>
      <c r="H809" s="4" t="n">
        <v>1642</v>
      </c>
      <c r="I809" s="5" t="n">
        <v>60.9</v>
      </c>
      <c r="J809" s="5" t="n">
        <v>33.6</v>
      </c>
      <c r="K809" s="3" t="inlineStr">
        <is>
          <t>세종시 부강면 목장용지, 단독주택, 전으로 구성된 4필지 통매매가 10억</t>
        </is>
      </c>
      <c r="L809" s="6">
        <f>HYPERLINK("https://fin.land.naver.com/articles/2650228512", "매물Link")</f>
        <v/>
      </c>
      <c r="M809" s="6">
        <f>HYPERLINK("https://map.naver.com/p/search/부강면 산수리 243-2", "지도Link")</f>
        <v/>
      </c>
      <c r="N809" s="6">
        <f>HYPERLINK("http://www.eum.go.kr/web/ar/lu/luLandDet.jsp?pnu=3611033023102430002&amp;isNoScr=script&amp;mode=search", "토지이음")</f>
        <v/>
      </c>
      <c r="O809" s="3" t="inlineStr">
        <is>
          <t>5프로</t>
        </is>
      </c>
      <c r="P809" s="4" t="n">
        <v>1</v>
      </c>
      <c r="Q809" s="4" t="n">
        <v>2503</v>
      </c>
      <c r="R809" s="3" t="inlineStr">
        <is>
          <t>지정되지않음</t>
        </is>
      </c>
      <c r="S809" s="3" t="inlineStr">
        <is>
          <t>전축사</t>
        </is>
      </c>
      <c r="T809" s="3" t="inlineStr">
        <is>
          <t>평지</t>
        </is>
      </c>
      <c r="U809" s="3" t="inlineStr">
        <is>
          <t>부정형</t>
        </is>
      </c>
      <c r="V809" s="3" t="inlineStr">
        <is>
          <t>세로한면(가)</t>
        </is>
      </c>
    </row>
    <row r="810">
      <c r="A810" s="3" t="inlineStr">
        <is>
          <t>부강면 산수리 35-7</t>
        </is>
      </c>
      <c r="B810" s="3" t="inlineStr">
        <is>
          <t>농림지역</t>
        </is>
      </c>
      <c r="C810" s="3" t="inlineStr">
        <is>
          <t>창고용지</t>
        </is>
      </c>
      <c r="D810" s="3" t="inlineStr">
        <is>
          <t>창고용지</t>
        </is>
      </c>
      <c r="E810" s="3" t="inlineStr">
        <is>
          <t>매매</t>
        </is>
      </c>
      <c r="F810" s="4" t="n">
        <v>56000</v>
      </c>
      <c r="G810" s="4" t="n">
        <v>1237</v>
      </c>
      <c r="H810" s="4" t="n">
        <v>374</v>
      </c>
      <c r="I810" s="5" t="n">
        <v>149.7</v>
      </c>
      <c r="J810" s="5" t="n">
        <v>24.3</v>
      </c>
      <c r="K810" s="3" t="inlineStr">
        <is>
          <t>농림지역, 현 창고 ,산수삼거리 인접, 창고, 편의점, 소매, 고물상추천</t>
        </is>
      </c>
      <c r="L810" s="6">
        <f>HYPERLINK("https://fin.land.naver.com/articles/2650412987", "매물Link")</f>
        <v/>
      </c>
      <c r="M810" s="6">
        <f>HYPERLINK("https://map.naver.com/p/search/부강면 산수리 35-7", "지도Link")</f>
        <v/>
      </c>
      <c r="N810" s="6">
        <f>HYPERLINK("http://www.eum.go.kr/web/ar/lu/luLandDet.jsp?pnu=3611033023100350007&amp;isNoScr=script&amp;mode=search", "토지이음")</f>
        <v/>
      </c>
      <c r="O810" s="3" t="inlineStr">
        <is>
          <t>청주모충사모1/2LH트릴로채명성</t>
        </is>
      </c>
      <c r="P810" s="4" t="n">
        <v>1</v>
      </c>
      <c r="Q810" s="4" t="n">
        <v>1237</v>
      </c>
      <c r="R810" s="3" t="inlineStr">
        <is>
          <t>지정되지않음</t>
        </is>
      </c>
      <c r="S810" s="3" t="inlineStr">
        <is>
          <t>전창고</t>
        </is>
      </c>
      <c r="T810" s="3" t="inlineStr">
        <is>
          <t>평지</t>
        </is>
      </c>
      <c r="U810" s="3" t="inlineStr">
        <is>
          <t>사다리형</t>
        </is>
      </c>
      <c r="V810" s="3" t="inlineStr">
        <is>
          <t>소로한면</t>
        </is>
      </c>
    </row>
    <row r="811">
      <c r="A811" s="3" t="inlineStr">
        <is>
          <t>부강면 산수리 366</t>
        </is>
      </c>
      <c r="B811" s="3" t="inlineStr">
        <is>
          <t>농림지역</t>
        </is>
      </c>
      <c r="C811" s="3" t="inlineStr">
        <is>
          <t>답</t>
        </is>
      </c>
      <c r="D811" s="3" t="inlineStr">
        <is>
          <t>답</t>
        </is>
      </c>
      <c r="E811" s="3" t="inlineStr">
        <is>
          <t>매매</t>
        </is>
      </c>
      <c r="F811" s="4" t="n">
        <v>40000</v>
      </c>
      <c r="G811" s="4" t="n">
        <v>3719</v>
      </c>
      <c r="H811" s="4" t="n">
        <v>1125</v>
      </c>
      <c r="I811" s="5" t="n">
        <v>35.6</v>
      </c>
      <c r="J811" s="5" t="n">
        <v>17.6</v>
      </c>
      <c r="K811" s="3" t="inlineStr">
        <is>
          <t>nan</t>
        </is>
      </c>
      <c r="L811" s="6">
        <f>HYPERLINK("https://fin.land.naver.com/articles/2649606859", "매물Link")</f>
        <v/>
      </c>
      <c r="M811" s="6">
        <f>HYPERLINK("https://map.naver.com/p/search/부강면 산수리 366", "지도Link")</f>
        <v/>
      </c>
      <c r="N811" s="6">
        <f>HYPERLINK("http://www.eum.go.kr/web/ar/lu/luLandDet.jsp?pnu=3611033023103660000&amp;isNoScr=script&amp;mode=search", "토지이음")</f>
        <v/>
      </c>
      <c r="O811" s="3" t="inlineStr">
        <is>
          <t>행복가득한</t>
        </is>
      </c>
      <c r="P811" s="4" t="n">
        <v>1</v>
      </c>
      <c r="Q811" s="4" t="n">
        <v>3719.7</v>
      </c>
      <c r="R811" s="3" t="inlineStr">
        <is>
          <t>지정되지않음</t>
        </is>
      </c>
      <c r="S811" s="3" t="inlineStr">
        <is>
          <t>답</t>
        </is>
      </c>
      <c r="T811" s="3" t="inlineStr">
        <is>
          <t>평지</t>
        </is>
      </c>
      <c r="U811" s="3" t="inlineStr">
        <is>
          <t>세로장방</t>
        </is>
      </c>
      <c r="V811" s="3" t="inlineStr">
        <is>
          <t>세로한면(불)</t>
        </is>
      </c>
    </row>
    <row r="812">
      <c r="A812" s="3" t="inlineStr">
        <is>
          <t>부강면 산수리 397</t>
        </is>
      </c>
      <c r="B812" s="3" t="inlineStr">
        <is>
          <t>농림지역</t>
        </is>
      </c>
      <c r="C812" s="3" t="inlineStr">
        <is>
          <t>답</t>
        </is>
      </c>
      <c r="D812" s="3" t="inlineStr">
        <is>
          <t>답</t>
        </is>
      </c>
      <c r="E812" s="3" t="inlineStr">
        <is>
          <t>매매</t>
        </is>
      </c>
      <c r="F812" s="4" t="n">
        <v>31000</v>
      </c>
      <c r="G812" s="4" t="n">
        <v>3650</v>
      </c>
      <c r="H812" s="4" t="n">
        <v>1104</v>
      </c>
      <c r="I812" s="5" t="n">
        <v>28.1</v>
      </c>
      <c r="J812" s="5" t="n">
        <v>18</v>
      </c>
      <c r="K812" s="3" t="inlineStr">
        <is>
          <t>농지 급매  세종시 농지 매도합니다. 대토 추천</t>
        </is>
      </c>
      <c r="L812" s="6">
        <f>HYPERLINK("https://fin.land.naver.com/articles/2649906361", "매물Link")</f>
        <v/>
      </c>
      <c r="M812" s="6">
        <f>HYPERLINK("https://map.naver.com/p/search/부강면 산수리 397", "지도Link")</f>
        <v/>
      </c>
      <c r="N812" s="6">
        <f>HYPERLINK("http://www.eum.go.kr/web/ar/lu/luLandDet.jsp?pnu=3611033023103970000&amp;isNoScr=script&amp;mode=search", "토지이음")</f>
        <v/>
      </c>
      <c r="O812" s="3" t="inlineStr">
        <is>
          <t>미스터홈즈강남지사</t>
        </is>
      </c>
      <c r="P812" s="4" t="n">
        <v>1</v>
      </c>
      <c r="Q812" s="4" t="n">
        <v>3650.9</v>
      </c>
      <c r="R812" s="3" t="inlineStr">
        <is>
          <t>지정되지않음</t>
        </is>
      </c>
      <c r="S812" s="3" t="inlineStr">
        <is>
          <t>답</t>
        </is>
      </c>
      <c r="T812" s="3" t="inlineStr">
        <is>
          <t>평지</t>
        </is>
      </c>
      <c r="U812" s="3" t="inlineStr">
        <is>
          <t>사다리형</t>
        </is>
      </c>
      <c r="V812" s="3" t="inlineStr">
        <is>
          <t>세로한면(가)</t>
        </is>
      </c>
    </row>
    <row r="813">
      <c r="A813" s="3" t="inlineStr">
        <is>
          <t>부강면 산수리 539</t>
        </is>
      </c>
      <c r="B813" s="3" t="inlineStr">
        <is>
          <t>농림지역</t>
        </is>
      </c>
      <c r="C813" s="3" t="inlineStr">
        <is>
          <t>답</t>
        </is>
      </c>
      <c r="D813" s="3" t="inlineStr">
        <is>
          <t>답</t>
        </is>
      </c>
      <c r="E813" s="3" t="inlineStr">
        <is>
          <t>매매</t>
        </is>
      </c>
      <c r="F813" s="4" t="n">
        <v>40000</v>
      </c>
      <c r="G813" s="4" t="n">
        <v>2201</v>
      </c>
      <c r="H813" s="4" t="n">
        <v>666</v>
      </c>
      <c r="I813" s="5" t="n">
        <v>60.1</v>
      </c>
      <c r="J813" s="5" t="n">
        <v>17.9</v>
      </c>
      <c r="K813" s="3" t="inlineStr">
        <is>
          <t>세종시 부강면에 위치한 토지 매매</t>
        </is>
      </c>
      <c r="L813" s="6">
        <f>HYPERLINK("https://fin.land.naver.com/articles/2653396017", "매물Link")</f>
        <v/>
      </c>
      <c r="M813" s="6">
        <f>HYPERLINK("https://map.naver.com/p/search/부강면 산수리 539", "지도Link")</f>
        <v/>
      </c>
      <c r="N813" s="6">
        <f>HYPERLINK("http://www.eum.go.kr/web/ar/lu/luLandDet.jsp?pnu=3611033023105390000&amp;isNoScr=script&amp;mode=search", "토지이음")</f>
        <v/>
      </c>
      <c r="O813" s="3" t="inlineStr">
        <is>
          <t>대지</t>
        </is>
      </c>
      <c r="P813" s="4" t="n">
        <v>1</v>
      </c>
      <c r="Q813" s="4" t="n">
        <v>2201</v>
      </c>
      <c r="R813" s="3" t="inlineStr">
        <is>
          <t>지정되지않음</t>
        </is>
      </c>
      <c r="S813" s="3" t="inlineStr">
        <is>
          <t>답</t>
        </is>
      </c>
      <c r="T813" s="3" t="inlineStr">
        <is>
          <t>평지</t>
        </is>
      </c>
      <c r="U813" s="3" t="inlineStr">
        <is>
          <t>세로장방</t>
        </is>
      </c>
      <c r="V813" s="3" t="inlineStr">
        <is>
          <t>세로한면(가)</t>
        </is>
      </c>
    </row>
    <row r="814">
      <c r="A814" s="3" t="inlineStr">
        <is>
          <t>부강면 산수리 92-2</t>
        </is>
      </c>
      <c r="B814" s="3" t="inlineStr">
        <is>
          <t>계획관리지역</t>
        </is>
      </c>
      <c r="C814" s="3" t="inlineStr">
        <is>
          <t>전</t>
        </is>
      </c>
      <c r="D814" s="3" t="inlineStr">
        <is>
          <t>대</t>
        </is>
      </c>
      <c r="E814" s="3" t="inlineStr">
        <is>
          <t>매매</t>
        </is>
      </c>
      <c r="F814" s="4" t="n">
        <v>35000</v>
      </c>
      <c r="G814" s="4" t="n">
        <v>1352</v>
      </c>
      <c r="H814" s="4" t="n">
        <v>409</v>
      </c>
      <c r="I814" s="5" t="n">
        <v>85.59999999999999</v>
      </c>
      <c r="J814" s="5" t="n">
        <v>37.2</v>
      </c>
      <c r="K814" s="3" t="inlineStr">
        <is>
          <t>산수리 계획관리지역 대지 전 매매</t>
        </is>
      </c>
      <c r="L814" s="6">
        <f>HYPERLINK("https://fin.land.naver.com/articles/2652837621", "매물Link")</f>
        <v/>
      </c>
      <c r="M814" s="6">
        <f>HYPERLINK("https://map.naver.com/p/search/부강면 산수리 92-2", "지도Link")</f>
        <v/>
      </c>
      <c r="N814" s="6">
        <f>HYPERLINK("http://www.eum.go.kr/web/ar/lu/luLandDet.jsp?pnu=3611033023100920002&amp;isNoScr=script&amp;mode=search", "토지이음")</f>
        <v/>
      </c>
      <c r="O814" s="3" t="inlineStr">
        <is>
          <t>진성</t>
        </is>
      </c>
      <c r="P814" s="4" t="n">
        <v>1</v>
      </c>
      <c r="Q814" s="4" t="n">
        <v>939</v>
      </c>
      <c r="R814" s="3" t="inlineStr">
        <is>
          <t>지정되지않음</t>
        </is>
      </c>
      <c r="S814" s="3" t="inlineStr">
        <is>
          <t>전</t>
        </is>
      </c>
      <c r="T814" s="3" t="inlineStr">
        <is>
          <t>평지</t>
        </is>
      </c>
      <c r="U814" s="3" t="inlineStr">
        <is>
          <t>부정형</t>
        </is>
      </c>
      <c r="V814" s="3" t="inlineStr">
        <is>
          <t>세로한면(가)</t>
        </is>
      </c>
    </row>
    <row r="815">
      <c r="A815" s="3" t="inlineStr">
        <is>
          <t>부강면 산수리 92-2</t>
        </is>
      </c>
      <c r="B815" s="3" t="inlineStr">
        <is>
          <t>계획관리지역</t>
        </is>
      </c>
      <c r="C815" s="3" t="inlineStr">
        <is>
          <t>전</t>
        </is>
      </c>
      <c r="D815" s="3" t="inlineStr">
        <is>
          <t>전</t>
        </is>
      </c>
      <c r="E815" s="3" t="inlineStr">
        <is>
          <t>매매</t>
        </is>
      </c>
      <c r="F815" s="4" t="n">
        <v>35000</v>
      </c>
      <c r="G815" s="4" t="n">
        <v>1352</v>
      </c>
      <c r="H815" s="4" t="n">
        <v>409</v>
      </c>
      <c r="I815" s="5" t="n">
        <v>85.59999999999999</v>
      </c>
      <c r="J815" s="5" t="n">
        <v>37.2</v>
      </c>
      <c r="K815" s="3" t="inlineStr">
        <is>
          <t>산수리 계획관리지역으로 전과 대로 이뤄진 2필지 급매</t>
        </is>
      </c>
      <c r="L815" s="6">
        <f>HYPERLINK("https://fin.land.naver.com/articles/2652535526", "매물Link")</f>
        <v/>
      </c>
      <c r="M815" s="6">
        <f>HYPERLINK("https://map.naver.com/p/search/부강면 산수리 92-2", "지도Link")</f>
        <v/>
      </c>
      <c r="N815" s="6">
        <f>HYPERLINK("http://www.eum.go.kr/web/ar/lu/luLandDet.jsp?pnu=3611033023100920002&amp;isNoScr=script&amp;mode=search", "토지이음")</f>
        <v/>
      </c>
      <c r="O815" s="3" t="inlineStr">
        <is>
          <t>세종대장</t>
        </is>
      </c>
      <c r="P815" s="4" t="n">
        <v>1</v>
      </c>
      <c r="Q815" s="4" t="n">
        <v>939</v>
      </c>
      <c r="R815" s="3" t="inlineStr">
        <is>
          <t>지정되지않음</t>
        </is>
      </c>
      <c r="S815" s="3" t="inlineStr">
        <is>
          <t>전</t>
        </is>
      </c>
      <c r="T815" s="3" t="inlineStr">
        <is>
          <t>평지</t>
        </is>
      </c>
      <c r="U815" s="3" t="inlineStr">
        <is>
          <t>부정형</t>
        </is>
      </c>
      <c r="V815" s="3" t="inlineStr">
        <is>
          <t>세로한면(가)</t>
        </is>
      </c>
    </row>
    <row r="816">
      <c r="A816" s="3" t="inlineStr">
        <is>
          <t>부강면 산수리 산 47-10</t>
        </is>
      </c>
      <c r="B816" s="3" t="inlineStr">
        <is>
          <t>보전관리지역</t>
        </is>
      </c>
      <c r="C816" s="3" t="inlineStr">
        <is>
          <t>임야</t>
        </is>
      </c>
      <c r="D816" s="3" t="inlineStr">
        <is>
          <t>임야</t>
        </is>
      </c>
      <c r="E816" s="3" t="inlineStr">
        <is>
          <t>매매</t>
        </is>
      </c>
      <c r="F816" s="4" t="n">
        <v>23000</v>
      </c>
      <c r="G816" s="4" t="n">
        <v>606</v>
      </c>
      <c r="H816" s="4" t="n">
        <v>183</v>
      </c>
      <c r="I816" s="5" t="n">
        <v>125.7</v>
      </c>
      <c r="J816" s="5" t="n">
        <v>7.6</v>
      </c>
      <c r="K816" s="3" t="inlineStr">
        <is>
          <t>nan</t>
        </is>
      </c>
      <c r="L816" s="6">
        <f>HYPERLINK("https://fin.land.naver.com/articles/2654002362", "매물Link")</f>
        <v/>
      </c>
      <c r="M816" s="6">
        <f>HYPERLINK("https://map.naver.com/p/search/부강면 산수리 산 47-10", "지도Link")</f>
        <v/>
      </c>
      <c r="N816" s="6">
        <f>HYPERLINK("http://www.eum.go.kr/web/ar/lu/luLandDet.jsp?pnu=3611033023200470010&amp;isNoScr=script&amp;mode=search", "토지이음")</f>
        <v/>
      </c>
      <c r="O816" s="3" t="inlineStr">
        <is>
          <t>세종운좋은</t>
        </is>
      </c>
      <c r="P816" s="4" t="n">
        <v>1</v>
      </c>
      <c r="Q816" s="4" t="n">
        <v>376</v>
      </c>
      <c r="R816" s="3" t="inlineStr">
        <is>
          <t>지정되지않음</t>
        </is>
      </c>
      <c r="S816" s="3" t="inlineStr">
        <is>
          <t>자연림</t>
        </is>
      </c>
      <c r="T816" s="3" t="inlineStr">
        <is>
          <t>완경사</t>
        </is>
      </c>
      <c r="U816" s="3" t="inlineStr">
        <is>
          <t>부정형</t>
        </is>
      </c>
      <c r="V816" s="3" t="inlineStr">
        <is>
          <t>맹지</t>
        </is>
      </c>
    </row>
    <row r="817">
      <c r="A817" s="3" t="inlineStr">
        <is>
          <t>부강면 행산리 118-11</t>
        </is>
      </c>
      <c r="B817" s="3" t="inlineStr">
        <is>
          <t>계획관리지역</t>
        </is>
      </c>
      <c r="C817" s="3" t="inlineStr">
        <is>
          <t>대</t>
        </is>
      </c>
      <c r="D817" s="3" t="inlineStr">
        <is>
          <t>대</t>
        </is>
      </c>
      <c r="E817" s="3" t="inlineStr">
        <is>
          <t>매매</t>
        </is>
      </c>
      <c r="F817" s="4" t="n">
        <v>16000</v>
      </c>
      <c r="G817" s="4" t="n">
        <v>155</v>
      </c>
      <c r="H817" s="4" t="n">
        <v>47</v>
      </c>
      <c r="I817" s="5" t="n">
        <v>340.4</v>
      </c>
      <c r="J817" s="5" t="n">
        <v>53.8</v>
      </c>
      <c r="K817" s="3" t="inlineStr">
        <is>
          <t>nan</t>
        </is>
      </c>
      <c r="L817" s="6">
        <f>HYPERLINK("https://fin.land.naver.com/articles/2653076920", "매물Link")</f>
        <v/>
      </c>
      <c r="M817" s="6">
        <f>HYPERLINK("https://map.naver.com/p/search/부강면 행산리 118-11", "지도Link")</f>
        <v/>
      </c>
      <c r="N817" s="6">
        <f>HYPERLINK("http://www.eum.go.kr/web/ar/lu/luLandDet.jsp?pnu=3611033022101180011&amp;isNoScr=script&amp;mode=search", "토지이음")</f>
        <v/>
      </c>
      <c r="O817" s="3" t="inlineStr">
        <is>
          <t>세종제일1</t>
        </is>
      </c>
      <c r="P817" s="4" t="n">
        <v>1</v>
      </c>
      <c r="Q817" s="4" t="n">
        <v>155</v>
      </c>
      <c r="R817" s="3" t="inlineStr">
        <is>
          <t>지정되지않음</t>
        </is>
      </c>
      <c r="S817" s="3" t="inlineStr">
        <is>
          <t>단독</t>
        </is>
      </c>
      <c r="T817" s="3" t="inlineStr">
        <is>
          <t>평지</t>
        </is>
      </c>
      <c r="U817" s="3" t="inlineStr">
        <is>
          <t>사다리형</t>
        </is>
      </c>
      <c r="V817" s="3" t="inlineStr">
        <is>
          <t>세로한면(가)</t>
        </is>
      </c>
    </row>
    <row r="818">
      <c r="A818" s="3" t="inlineStr">
        <is>
          <t>부강면 행산리 141-11</t>
        </is>
      </c>
      <c r="B818" s="3" t="inlineStr">
        <is>
          <t>계획관리지역</t>
        </is>
      </c>
      <c r="C818" s="3" t="inlineStr">
        <is>
          <t>전</t>
        </is>
      </c>
      <c r="D818" s="3" t="inlineStr">
        <is>
          <t>전</t>
        </is>
      </c>
      <c r="E818" s="3" t="inlineStr">
        <is>
          <t>매매</t>
        </is>
      </c>
      <c r="F818" s="4" t="n">
        <v>18800</v>
      </c>
      <c r="G818" s="4" t="n">
        <v>1130</v>
      </c>
      <c r="H818" s="4" t="n">
        <v>342</v>
      </c>
      <c r="I818" s="5" t="n">
        <v>55</v>
      </c>
      <c r="J818" s="5" t="n">
        <v>25</v>
      </c>
      <c r="K818" s="3" t="inlineStr">
        <is>
          <t>nan</t>
        </is>
      </c>
      <c r="L818" s="6">
        <f>HYPERLINK("https://fin.land.naver.com/articles/2653999588", "매물Link")</f>
        <v/>
      </c>
      <c r="M818" s="6">
        <f>HYPERLINK("https://map.naver.com/p/search/부강면 행산리 141-11", "지도Link")</f>
        <v/>
      </c>
      <c r="N818" s="6">
        <f>HYPERLINK("http://www.eum.go.kr/web/ar/lu/luLandDet.jsp?pnu=3611033022101410011&amp;isNoScr=script&amp;mode=search", "토지이음")</f>
        <v/>
      </c>
      <c r="O818" s="3" t="inlineStr">
        <is>
          <t>세종운좋은</t>
        </is>
      </c>
      <c r="P818" s="4" t="n">
        <v>1</v>
      </c>
      <c r="Q818" s="4" t="n">
        <v>1130</v>
      </c>
      <c r="R818" s="3" t="inlineStr">
        <is>
          <t>지정되지않음</t>
        </is>
      </c>
      <c r="S818" s="3" t="inlineStr">
        <is>
          <t>전</t>
        </is>
      </c>
      <c r="T818" s="3" t="inlineStr">
        <is>
          <t>평지</t>
        </is>
      </c>
      <c r="U818" s="3" t="inlineStr">
        <is>
          <t>부정형</t>
        </is>
      </c>
      <c r="V818" s="3" t="inlineStr">
        <is>
          <t>맹지</t>
        </is>
      </c>
    </row>
    <row r="819">
      <c r="A819" s="3" t="inlineStr">
        <is>
          <t>부강면 행산리 141-11</t>
        </is>
      </c>
      <c r="B819" s="3" t="inlineStr">
        <is>
          <t>계획관리지역</t>
        </is>
      </c>
      <c r="C819" s="3" t="inlineStr">
        <is>
          <t>전</t>
        </is>
      </c>
      <c r="D819" s="3" t="inlineStr">
        <is>
          <t>전</t>
        </is>
      </c>
      <c r="E819" s="3" t="inlineStr">
        <is>
          <t>매매</t>
        </is>
      </c>
      <c r="F819" s="4" t="n">
        <v>33900</v>
      </c>
      <c r="G819" s="4" t="n">
        <v>1130</v>
      </c>
      <c r="H819" s="4" t="n">
        <v>342</v>
      </c>
      <c r="I819" s="5" t="n">
        <v>99.09999999999999</v>
      </c>
      <c r="J819" s="5" t="n">
        <v>25</v>
      </c>
      <c r="K819" s="3" t="inlineStr">
        <is>
          <t>농사짓는 도로 인접</t>
        </is>
      </c>
      <c r="L819" s="6">
        <f>HYPERLINK("https://fin.land.naver.com/articles/2653077327", "매물Link")</f>
        <v/>
      </c>
      <c r="M819" s="6">
        <f>HYPERLINK("https://map.naver.com/p/search/부강면 행산리 141-11", "지도Link")</f>
        <v/>
      </c>
      <c r="N819" s="6">
        <f>HYPERLINK("http://www.eum.go.kr/web/ar/lu/luLandDet.jsp?pnu=3611033022101410011&amp;isNoScr=script&amp;mode=search", "토지이음")</f>
        <v/>
      </c>
      <c r="O819" s="3" t="inlineStr">
        <is>
          <t>세종제일1</t>
        </is>
      </c>
      <c r="P819" s="4" t="n">
        <v>1</v>
      </c>
      <c r="Q819" s="4" t="n">
        <v>1130</v>
      </c>
      <c r="R819" s="3" t="inlineStr">
        <is>
          <t>지정되지않음</t>
        </is>
      </c>
      <c r="S819" s="3" t="inlineStr">
        <is>
          <t>전</t>
        </is>
      </c>
      <c r="T819" s="3" t="inlineStr">
        <is>
          <t>평지</t>
        </is>
      </c>
      <c r="U819" s="3" t="inlineStr">
        <is>
          <t>부정형</t>
        </is>
      </c>
      <c r="V819" s="3" t="inlineStr">
        <is>
          <t>맹지</t>
        </is>
      </c>
    </row>
    <row r="820">
      <c r="A820" s="3" t="inlineStr">
        <is>
          <t>부강면 행산리 162-3</t>
        </is>
      </c>
      <c r="B820" s="3" t="inlineStr">
        <is>
          <t>계획관리지역</t>
        </is>
      </c>
      <c r="C820" s="3" t="inlineStr">
        <is>
          <t>과수원</t>
        </is>
      </c>
      <c r="D820" s="3" t="inlineStr">
        <is>
          <t>과수원</t>
        </is>
      </c>
      <c r="E820" s="3" t="inlineStr">
        <is>
          <t>매매</t>
        </is>
      </c>
      <c r="F820" s="4" t="n">
        <v>390000</v>
      </c>
      <c r="G820" s="4" t="n">
        <v>8024</v>
      </c>
      <c r="H820" s="4" t="n">
        <v>2427</v>
      </c>
      <c r="I820" s="5" t="n">
        <v>160.7</v>
      </c>
      <c r="J820" s="5" t="n">
        <v>41.2</v>
      </c>
      <c r="K820" s="3" t="inlineStr">
        <is>
          <t>공장 및 창고용지로 추천합니다</t>
        </is>
      </c>
      <c r="L820" s="6">
        <f>HYPERLINK("https://fin.land.naver.com/articles/2653810140", "매물Link")</f>
        <v/>
      </c>
      <c r="M820" s="6">
        <f>HYPERLINK("https://map.naver.com/p/search/부강면 행산리 162-3", "지도Link")</f>
        <v/>
      </c>
      <c r="N820" s="6">
        <f>HYPERLINK("http://www.eum.go.kr/web/ar/lu/luLandDet.jsp?pnu=3611033022101620003&amp;isNoScr=script&amp;mode=search", "토지이음")</f>
        <v/>
      </c>
      <c r="O820" s="3" t="inlineStr">
        <is>
          <t>금화</t>
        </is>
      </c>
      <c r="P820" s="4" t="n">
        <v>1</v>
      </c>
      <c r="Q820" s="4" t="n">
        <v>8024</v>
      </c>
      <c r="R820" s="3" t="inlineStr">
        <is>
          <t>지정되지않음</t>
        </is>
      </c>
      <c r="S820" s="3" t="inlineStr">
        <is>
          <t>과수원</t>
        </is>
      </c>
      <c r="T820" s="3" t="inlineStr">
        <is>
          <t>완경사</t>
        </is>
      </c>
      <c r="U820" s="3" t="inlineStr">
        <is>
          <t>부정형</t>
        </is>
      </c>
      <c r="V820" s="3" t="inlineStr">
        <is>
          <t>소로한면</t>
        </is>
      </c>
    </row>
    <row r="821">
      <c r="A821" s="3" t="inlineStr">
        <is>
          <t>부강면 행산리 162-3</t>
        </is>
      </c>
      <c r="B821" s="3" t="inlineStr">
        <is>
          <t>계획관리지역</t>
        </is>
      </c>
      <c r="C821" s="3" t="inlineStr">
        <is>
          <t>과수원</t>
        </is>
      </c>
      <c r="D821" s="3" t="inlineStr">
        <is>
          <t>과수원</t>
        </is>
      </c>
      <c r="E821" s="3" t="inlineStr">
        <is>
          <t>매매</t>
        </is>
      </c>
      <c r="F821" s="4" t="n">
        <v>504000</v>
      </c>
      <c r="G821" s="4" t="n">
        <v>11751</v>
      </c>
      <c r="H821" s="4" t="n">
        <v>3555</v>
      </c>
      <c r="I821" s="5" t="n">
        <v>141.8</v>
      </c>
      <c r="J821" s="5" t="n">
        <v>41.2</v>
      </c>
      <c r="K821" s="3" t="inlineStr">
        <is>
          <t>세종시 부근에서 공장부지로 최상</t>
        </is>
      </c>
      <c r="L821" s="6">
        <f>HYPERLINK("https://fin.land.naver.com/articles/2653810262", "매물Link")</f>
        <v/>
      </c>
      <c r="M821" s="6">
        <f>HYPERLINK("https://map.naver.com/p/search/부강면 행산리 162-3", "지도Link")</f>
        <v/>
      </c>
      <c r="N821" s="6">
        <f>HYPERLINK("http://www.eum.go.kr/web/ar/lu/luLandDet.jsp?pnu=3611033022101620003&amp;isNoScr=script&amp;mode=search", "토지이음")</f>
        <v/>
      </c>
      <c r="O821" s="3" t="inlineStr">
        <is>
          <t>금화</t>
        </is>
      </c>
      <c r="P821" s="4" t="n">
        <v>1</v>
      </c>
      <c r="Q821" s="4" t="n">
        <v>8024</v>
      </c>
      <c r="R821" s="3" t="inlineStr">
        <is>
          <t>지정되지않음</t>
        </is>
      </c>
      <c r="S821" s="3" t="inlineStr">
        <is>
          <t>과수원</t>
        </is>
      </c>
      <c r="T821" s="3" t="inlineStr">
        <is>
          <t>완경사</t>
        </is>
      </c>
      <c r="U821" s="3" t="inlineStr">
        <is>
          <t>부정형</t>
        </is>
      </c>
      <c r="V821" s="3" t="inlineStr">
        <is>
          <t>소로한면</t>
        </is>
      </c>
    </row>
    <row r="822">
      <c r="A822" s="3" t="inlineStr">
        <is>
          <t>부강면 행산리 163</t>
        </is>
      </c>
      <c r="B822" s="3" t="inlineStr">
        <is>
          <t>계획관리지역</t>
        </is>
      </c>
      <c r="C822" s="3" t="inlineStr">
        <is>
          <t>전</t>
        </is>
      </c>
      <c r="D822" s="3" t="inlineStr">
        <is>
          <t>전</t>
        </is>
      </c>
      <c r="E822" s="3" t="inlineStr">
        <is>
          <t>매매</t>
        </is>
      </c>
      <c r="F822" s="4" t="n">
        <v>33000</v>
      </c>
      <c r="G822" s="4" t="n">
        <v>1359</v>
      </c>
      <c r="H822" s="4" t="n">
        <v>411</v>
      </c>
      <c r="I822" s="5" t="n">
        <v>80.3</v>
      </c>
      <c r="J822" s="5" t="n">
        <v>38</v>
      </c>
      <c r="K822" s="3" t="inlineStr">
        <is>
          <t>청주전용도로 부근의 작고 아담한 계획관리 토지</t>
        </is>
      </c>
      <c r="L822" s="6">
        <f>HYPERLINK("https://fin.land.naver.com/articles/2650177374", "매물Link")</f>
        <v/>
      </c>
      <c r="M822" s="6">
        <f>HYPERLINK("https://map.naver.com/p/search/부강면 행산리 163", "지도Link")</f>
        <v/>
      </c>
      <c r="N822" s="6">
        <f>HYPERLINK("http://www.eum.go.kr/web/ar/lu/luLandDet.jsp?pnu=3611033022101630000&amp;isNoScr=script&amp;mode=search", "토지이음")</f>
        <v/>
      </c>
      <c r="O822" s="3" t="inlineStr">
        <is>
          <t>연동스카이</t>
        </is>
      </c>
      <c r="P822" s="4" t="n">
        <v>1</v>
      </c>
      <c r="Q822" s="4" t="n">
        <v>1359</v>
      </c>
      <c r="R822" s="3" t="inlineStr">
        <is>
          <t>농림지역</t>
        </is>
      </c>
      <c r="S822" s="3" t="inlineStr">
        <is>
          <t>전</t>
        </is>
      </c>
      <c r="T822" s="3" t="inlineStr">
        <is>
          <t>평지</t>
        </is>
      </c>
      <c r="U822" s="3" t="inlineStr">
        <is>
          <t>부정형</t>
        </is>
      </c>
      <c r="V822" s="3" t="inlineStr">
        <is>
          <t>세로한면(가)</t>
        </is>
      </c>
    </row>
    <row r="823">
      <c r="A823" s="3" t="inlineStr">
        <is>
          <t>부강면 행산리 224</t>
        </is>
      </c>
      <c r="B823" s="3" t="inlineStr">
        <is>
          <t>계획관리지역</t>
        </is>
      </c>
      <c r="C823" s="3" t="inlineStr">
        <is>
          <t>답</t>
        </is>
      </c>
      <c r="D823" s="3" t="inlineStr">
        <is>
          <t>답</t>
        </is>
      </c>
      <c r="E823" s="3" t="inlineStr">
        <is>
          <t>매매</t>
        </is>
      </c>
      <c r="F823" s="4" t="n">
        <v>85000</v>
      </c>
      <c r="G823" s="4" t="n">
        <v>1660</v>
      </c>
      <c r="H823" s="4" t="n">
        <v>502</v>
      </c>
      <c r="I823" s="5" t="n">
        <v>169.3</v>
      </c>
      <c r="J823" s="5" t="n">
        <v>34.1</v>
      </c>
      <c r="K823" s="3" t="inlineStr">
        <is>
          <t>세종시 부강면 행산리 2차선 도로변  토지 매매</t>
        </is>
      </c>
      <c r="L823" s="6">
        <f>HYPERLINK("https://fin.land.naver.com/articles/2650697330", "매물Link")</f>
        <v/>
      </c>
      <c r="M823" s="6">
        <f>HYPERLINK("https://map.naver.com/p/search/부강면 행산리 224", "지도Link")</f>
        <v/>
      </c>
      <c r="N823" s="6">
        <f>HYPERLINK("http://www.eum.go.kr/web/ar/lu/luLandDet.jsp?pnu=3611033022102240000&amp;isNoScr=script&amp;mode=search", "토지이음")</f>
        <v/>
      </c>
      <c r="O823" s="3" t="inlineStr">
        <is>
          <t>세종행복한</t>
        </is>
      </c>
      <c r="P823" s="4" t="n">
        <v>1</v>
      </c>
      <c r="Q823" s="4" t="n">
        <v>1660</v>
      </c>
      <c r="R823" s="3" t="inlineStr">
        <is>
          <t>지정되지않음</t>
        </is>
      </c>
      <c r="S823" s="3" t="inlineStr">
        <is>
          <t>답</t>
        </is>
      </c>
      <c r="T823" s="3" t="inlineStr">
        <is>
          <t>완경사</t>
        </is>
      </c>
      <c r="U823" s="3" t="inlineStr">
        <is>
          <t>부정형</t>
        </is>
      </c>
      <c r="V823" s="3" t="inlineStr">
        <is>
          <t>소로한면</t>
        </is>
      </c>
    </row>
    <row r="824">
      <c r="A824" s="3" t="inlineStr">
        <is>
          <t>부강면 행산리 296</t>
        </is>
      </c>
      <c r="B824" s="3" t="inlineStr">
        <is>
          <t>계획관리지역</t>
        </is>
      </c>
      <c r="C824" s="3" t="inlineStr">
        <is>
          <t>목장용지</t>
        </is>
      </c>
      <c r="D824" s="3" t="inlineStr">
        <is>
          <t>목장용지</t>
        </is>
      </c>
      <c r="E824" s="3" t="inlineStr">
        <is>
          <t>매매</t>
        </is>
      </c>
      <c r="F824" s="4" t="n">
        <v>196500</v>
      </c>
      <c r="G824" s="4" t="n">
        <v>5143</v>
      </c>
      <c r="H824" s="4" t="n">
        <v>1556</v>
      </c>
      <c r="I824" s="5" t="n">
        <v>126.3</v>
      </c>
      <c r="J824" s="5" t="n">
        <v>71.5</v>
      </c>
      <c r="K824" s="3" t="inlineStr">
        <is>
          <t>2차선 도로에 접한 계획관리</t>
        </is>
      </c>
      <c r="L824" s="6">
        <f>HYPERLINK("https://fin.land.naver.com/articles/2653353126", "매물Link")</f>
        <v/>
      </c>
      <c r="M824" s="6">
        <f>HYPERLINK("https://map.naver.com/p/search/부강면 행산리 296", "지도Link")</f>
        <v/>
      </c>
      <c r="N824" s="6">
        <f>HYPERLINK("http://www.eum.go.kr/web/ar/lu/luLandDet.jsp?pnu=3611033022102960000&amp;isNoScr=script&amp;mode=search", "토지이음")</f>
        <v/>
      </c>
      <c r="O824" s="3" t="inlineStr">
        <is>
          <t>황제</t>
        </is>
      </c>
      <c r="P824" s="4" t="n">
        <v>1</v>
      </c>
      <c r="Q824" s="4" t="n">
        <v>2713</v>
      </c>
      <c r="R824" s="3" t="inlineStr">
        <is>
          <t>지정되지않음</t>
        </is>
      </c>
      <c r="S824" s="3" t="inlineStr">
        <is>
          <t>단독</t>
        </is>
      </c>
      <c r="T824" s="3" t="inlineStr">
        <is>
          <t>평지</t>
        </is>
      </c>
      <c r="U824" s="3" t="inlineStr">
        <is>
          <t>사다리형</t>
        </is>
      </c>
      <c r="V824" s="3" t="inlineStr">
        <is>
          <t>소로한면</t>
        </is>
      </c>
    </row>
    <row r="825">
      <c r="A825" s="3" t="inlineStr">
        <is>
          <t>부강면 행산리 389</t>
        </is>
      </c>
      <c r="B825" s="3" t="inlineStr">
        <is>
          <t>계획관리지역</t>
        </is>
      </c>
      <c r="C825" s="3" t="inlineStr">
        <is>
          <t>과수원</t>
        </is>
      </c>
      <c r="D825" s="3" t="inlineStr">
        <is>
          <t>과수원</t>
        </is>
      </c>
      <c r="E825" s="3" t="inlineStr">
        <is>
          <t>매매</t>
        </is>
      </c>
      <c r="F825" s="4" t="n">
        <v>52000</v>
      </c>
      <c r="G825" s="4" t="n">
        <v>1725</v>
      </c>
      <c r="H825" s="4" t="n">
        <v>522</v>
      </c>
      <c r="I825" s="5" t="n">
        <v>99.59999999999999</v>
      </c>
      <c r="J825" s="5" t="n">
        <v>24.8</v>
      </c>
      <c r="K825" s="3" t="inlineStr">
        <is>
          <t>급매,도로접한 계획관리지역,다용도 사용목적 가능,투자용 추천</t>
        </is>
      </c>
      <c r="L825" s="6">
        <f>HYPERLINK("https://fin.land.naver.com/articles/2649493659", "매물Link")</f>
        <v/>
      </c>
      <c r="M825" s="6">
        <f>HYPERLINK("https://map.naver.com/p/search/부강면 행산리 389", "지도Link")</f>
        <v/>
      </c>
      <c r="N825" s="6">
        <f>HYPERLINK("http://www.eum.go.kr/web/ar/lu/luLandDet.jsp?pnu=3611033022103890000&amp;isNoScr=script&amp;mode=search", "토지이음")</f>
        <v/>
      </c>
      <c r="O825" s="3" t="inlineStr">
        <is>
          <t>고운맘</t>
        </is>
      </c>
      <c r="P825" s="4" t="n">
        <v>1</v>
      </c>
      <c r="Q825" s="4" t="n">
        <v>1725</v>
      </c>
      <c r="R825" s="3" t="inlineStr">
        <is>
          <t>지정되지않음</t>
        </is>
      </c>
      <c r="S825" s="3" t="inlineStr">
        <is>
          <t>과수원</t>
        </is>
      </c>
      <c r="T825" s="3" t="inlineStr">
        <is>
          <t>완경사</t>
        </is>
      </c>
      <c r="U825" s="3" t="inlineStr">
        <is>
          <t>부정형</t>
        </is>
      </c>
      <c r="V825" s="3" t="inlineStr">
        <is>
          <t>세로한면(가)</t>
        </is>
      </c>
    </row>
    <row r="826">
      <c r="A826" s="3" t="inlineStr">
        <is>
          <t>부강면 행산리 389</t>
        </is>
      </c>
      <c r="B826" s="3" t="inlineStr">
        <is>
          <t>계획관리지역</t>
        </is>
      </c>
      <c r="C826" s="3" t="inlineStr">
        <is>
          <t>과수원</t>
        </is>
      </c>
      <c r="D826" s="3" t="inlineStr">
        <is>
          <t>과수원</t>
        </is>
      </c>
      <c r="E826" s="3" t="inlineStr">
        <is>
          <t>매매</t>
        </is>
      </c>
      <c r="F826" s="4" t="n">
        <v>52000</v>
      </c>
      <c r="G826" s="4" t="n">
        <v>1725</v>
      </c>
      <c r="H826" s="4" t="n">
        <v>522</v>
      </c>
      <c r="I826" s="5" t="n">
        <v>99.59999999999999</v>
      </c>
      <c r="J826" s="5" t="n">
        <v>24.8</v>
      </c>
      <c r="K826" s="3" t="inlineStr">
        <is>
          <t>계획관리지역의 과수원으로 전기 및 인터넷, 상수도 배수시설이 완비된 토지</t>
        </is>
      </c>
      <c r="L826" s="6">
        <f>HYPERLINK("https://fin.land.naver.com/articles/2649861654", "매물Link")</f>
        <v/>
      </c>
      <c r="M826" s="6">
        <f>HYPERLINK("https://map.naver.com/p/search/부강면 행산리 389", "지도Link")</f>
        <v/>
      </c>
      <c r="N826" s="6">
        <f>HYPERLINK("http://www.eum.go.kr/web/ar/lu/luLandDet.jsp?pnu=3611033022103890000&amp;isNoScr=script&amp;mode=search", "토지이음")</f>
        <v/>
      </c>
      <c r="O826" s="3" t="inlineStr">
        <is>
          <t>스마일세종</t>
        </is>
      </c>
      <c r="P826" s="4" t="n">
        <v>2</v>
      </c>
      <c r="Q826" s="4" t="n">
        <v>1725</v>
      </c>
      <c r="R826" s="3" t="inlineStr">
        <is>
          <t>지정되지않음</t>
        </is>
      </c>
      <c r="S826" s="3" t="inlineStr">
        <is>
          <t>과수원</t>
        </is>
      </c>
      <c r="T826" s="3" t="inlineStr">
        <is>
          <t>완경사</t>
        </is>
      </c>
      <c r="U826" s="3" t="inlineStr">
        <is>
          <t>부정형</t>
        </is>
      </c>
      <c r="V826" s="3" t="inlineStr">
        <is>
          <t>세로한면(가)</t>
        </is>
      </c>
    </row>
    <row r="827">
      <c r="A827" s="3" t="inlineStr">
        <is>
          <t>부강면 행산리 389-3</t>
        </is>
      </c>
      <c r="B827" s="3" t="inlineStr">
        <is>
          <t>계획관리지역</t>
        </is>
      </c>
      <c r="C827" s="3" t="inlineStr">
        <is>
          <t>과수원</t>
        </is>
      </c>
      <c r="D827" s="3" t="inlineStr">
        <is>
          <t>과수원</t>
        </is>
      </c>
      <c r="E827" s="3" t="inlineStr">
        <is>
          <t>매매</t>
        </is>
      </c>
      <c r="F827" s="4" t="n">
        <v>38500</v>
      </c>
      <c r="G827" s="4" t="n">
        <v>1273</v>
      </c>
      <c r="H827" s="4" t="n">
        <v>385</v>
      </c>
      <c r="I827" s="5" t="n">
        <v>100</v>
      </c>
      <c r="J827" s="5" t="n">
        <v>24.8</v>
      </c>
      <c r="K827" s="3" t="inlineStr">
        <is>
          <t>감나무 블루베리 등이 식재되어 5생활권 5분거리 과수원</t>
        </is>
      </c>
      <c r="L827" s="6">
        <f>HYPERLINK("https://fin.land.naver.com/articles/2653686533", "매물Link")</f>
        <v/>
      </c>
      <c r="M827" s="6">
        <f>HYPERLINK("https://map.naver.com/p/search/부강면 행산리 389-3", "지도Link")</f>
        <v/>
      </c>
      <c r="N827" s="6">
        <f>HYPERLINK("http://www.eum.go.kr/web/ar/lu/luLandDet.jsp?pnu=3611033022103890003&amp;isNoScr=script&amp;mode=search", "토지이음")</f>
        <v/>
      </c>
      <c r="O827" s="3" t="inlineStr">
        <is>
          <t>지성</t>
        </is>
      </c>
      <c r="P827" s="4" t="n">
        <v>1</v>
      </c>
      <c r="Q827" s="4" t="n">
        <v>779</v>
      </c>
      <c r="R827" s="3" t="inlineStr">
        <is>
          <t>지정되지않음</t>
        </is>
      </c>
      <c r="S827" s="3" t="inlineStr">
        <is>
          <t>과수원</t>
        </is>
      </c>
      <c r="T827" s="3" t="inlineStr">
        <is>
          <t>완경사</t>
        </is>
      </c>
      <c r="U827" s="3" t="inlineStr">
        <is>
          <t>부정형</t>
        </is>
      </c>
      <c r="V827" s="3" t="inlineStr">
        <is>
          <t>세로한면(가)</t>
        </is>
      </c>
    </row>
    <row r="828">
      <c r="A828" s="3" t="inlineStr">
        <is>
          <t>부강면 행산리 389-3</t>
        </is>
      </c>
      <c r="B828" s="3" t="inlineStr">
        <is>
          <t>계획관리지역</t>
        </is>
      </c>
      <c r="C828" s="3" t="inlineStr">
        <is>
          <t>과수원</t>
        </is>
      </c>
      <c r="D828" s="3" t="inlineStr">
        <is>
          <t>과수원</t>
        </is>
      </c>
      <c r="E828" s="3" t="inlineStr">
        <is>
          <t>매매</t>
        </is>
      </c>
      <c r="F828" s="4" t="n">
        <v>23600</v>
      </c>
      <c r="G828" s="4" t="n">
        <v>779</v>
      </c>
      <c r="H828" s="4" t="n">
        <v>236</v>
      </c>
      <c r="I828" s="5" t="n">
        <v>100</v>
      </c>
      <c r="J828" s="5" t="n">
        <v>24.8</v>
      </c>
      <c r="K828" s="3" t="inlineStr">
        <is>
          <t>계획관리지역의 과수원으로 농촌 체류형 쉼터나 공방 및 전원주택지로 좋은</t>
        </is>
      </c>
      <c r="L828" s="6">
        <f>HYPERLINK("https://fin.land.naver.com/articles/2650242112", "매물Link")</f>
        <v/>
      </c>
      <c r="M828" s="6">
        <f>HYPERLINK("https://map.naver.com/p/search/부강면 행산리 389-3", "지도Link")</f>
        <v/>
      </c>
      <c r="N828" s="6">
        <f>HYPERLINK("http://www.eum.go.kr/web/ar/lu/luLandDet.jsp?pnu=3611033022103890003&amp;isNoScr=script&amp;mode=search", "토지이음")</f>
        <v/>
      </c>
      <c r="O828" s="3" t="inlineStr">
        <is>
          <t>스마일세종</t>
        </is>
      </c>
      <c r="P828" s="4" t="n">
        <v>1</v>
      </c>
      <c r="Q828" s="4" t="n">
        <v>779</v>
      </c>
      <c r="R828" s="3" t="inlineStr">
        <is>
          <t>지정되지않음</t>
        </is>
      </c>
      <c r="S828" s="3" t="inlineStr">
        <is>
          <t>과수원</t>
        </is>
      </c>
      <c r="T828" s="3" t="inlineStr">
        <is>
          <t>완경사</t>
        </is>
      </c>
      <c r="U828" s="3" t="inlineStr">
        <is>
          <t>부정형</t>
        </is>
      </c>
      <c r="V828" s="3" t="inlineStr">
        <is>
          <t>세로한면(가)</t>
        </is>
      </c>
    </row>
    <row r="829">
      <c r="A829" s="3" t="inlineStr">
        <is>
          <t>부강면 행산리 389-4</t>
        </is>
      </c>
      <c r="B829" s="3" t="inlineStr">
        <is>
          <t>계획관리지역</t>
        </is>
      </c>
      <c r="C829" s="3" t="inlineStr">
        <is>
          <t>과수원</t>
        </is>
      </c>
      <c r="D829" s="3" t="inlineStr">
        <is>
          <t>과수원</t>
        </is>
      </c>
      <c r="E829" s="3" t="inlineStr">
        <is>
          <t>매매</t>
        </is>
      </c>
      <c r="F829" s="4" t="n">
        <v>15000</v>
      </c>
      <c r="G829" s="4" t="n">
        <v>494</v>
      </c>
      <c r="H829" s="4" t="n">
        <v>149</v>
      </c>
      <c r="I829" s="5" t="n">
        <v>100.7</v>
      </c>
      <c r="J829" s="5" t="n">
        <v>24.8</v>
      </c>
      <c r="K829" s="3" t="inlineStr">
        <is>
          <t>행산리 황금필지, 세종5생활권의 최대의 수익지 , 건축바로가능</t>
        </is>
      </c>
      <c r="L829" s="6">
        <f>HYPERLINK("https://fin.land.naver.com/articles/2652566007", "매물Link")</f>
        <v/>
      </c>
      <c r="M829" s="6">
        <f>HYPERLINK("https://map.naver.com/p/search/부강면 행산리 389-4", "지도Link")</f>
        <v/>
      </c>
      <c r="N829" s="6">
        <f>HYPERLINK("http://www.eum.go.kr/web/ar/lu/luLandDet.jsp?pnu=3611033022103890004&amp;isNoScr=script&amp;mode=search", "토지이음")</f>
        <v/>
      </c>
      <c r="O829" s="3" t="inlineStr">
        <is>
          <t>이담</t>
        </is>
      </c>
      <c r="P829" s="4" t="n">
        <v>3</v>
      </c>
      <c r="Q829" s="4" t="n">
        <v>494</v>
      </c>
      <c r="R829" s="3" t="inlineStr">
        <is>
          <t>지정되지않음</t>
        </is>
      </c>
      <c r="S829" s="3" t="inlineStr">
        <is>
          <t>과수원</t>
        </is>
      </c>
      <c r="T829" s="3" t="inlineStr">
        <is>
          <t>완경사</t>
        </is>
      </c>
      <c r="U829" s="3" t="inlineStr">
        <is>
          <t>부정형</t>
        </is>
      </c>
      <c r="V829" s="3" t="inlineStr">
        <is>
          <t>세로한면(가)</t>
        </is>
      </c>
    </row>
    <row r="830">
      <c r="A830" s="3" t="inlineStr">
        <is>
          <t>부강면 행산리 393</t>
        </is>
      </c>
      <c r="B830" s="3" t="inlineStr">
        <is>
          <t>계획관리지역</t>
        </is>
      </c>
      <c r="C830" s="3" t="inlineStr">
        <is>
          <t>답</t>
        </is>
      </c>
      <c r="D830" s="3" t="inlineStr">
        <is>
          <t>답</t>
        </is>
      </c>
      <c r="E830" s="3" t="inlineStr">
        <is>
          <t>매매</t>
        </is>
      </c>
      <c r="F830" s="4" t="n">
        <v>82000</v>
      </c>
      <c r="G830" s="4" t="n">
        <v>8984</v>
      </c>
      <c r="H830" s="4" t="n">
        <v>2718</v>
      </c>
      <c r="I830" s="5" t="n">
        <v>30.2</v>
      </c>
      <c r="J830" s="5" t="n">
        <v>19.6</v>
      </c>
      <c r="K830" s="3" t="inlineStr">
        <is>
          <t>nan</t>
        </is>
      </c>
      <c r="L830" s="6">
        <f>HYPERLINK("https://fin.land.naver.com/articles/2650179359", "매물Link")</f>
        <v/>
      </c>
      <c r="M830" s="6">
        <f>HYPERLINK("https://map.naver.com/p/search/부강면 행산리 393", "지도Link")</f>
        <v/>
      </c>
      <c r="N830" s="6">
        <f>HYPERLINK("http://www.eum.go.kr/web/ar/lu/luLandDet.jsp?pnu=3611033022103930000&amp;isNoScr=script&amp;mode=search", "토지이음")</f>
        <v/>
      </c>
      <c r="O830" s="3" t="inlineStr">
        <is>
          <t>연동스카이</t>
        </is>
      </c>
      <c r="P830" s="4" t="n">
        <v>1</v>
      </c>
      <c r="Q830" s="4" t="n">
        <v>3269</v>
      </c>
      <c r="R830" s="3" t="inlineStr">
        <is>
          <t>지정되지않음</t>
        </is>
      </c>
      <c r="S830" s="3" t="inlineStr">
        <is>
          <t>답</t>
        </is>
      </c>
      <c r="T830" s="3" t="inlineStr">
        <is>
          <t>완경사</t>
        </is>
      </c>
      <c r="U830" s="3" t="inlineStr">
        <is>
          <t>부정형</t>
        </is>
      </c>
      <c r="V830" s="3" t="inlineStr">
        <is>
          <t>세로한면(가)</t>
        </is>
      </c>
    </row>
    <row r="831">
      <c r="A831" s="3" t="inlineStr">
        <is>
          <t>부강면 행산리 447</t>
        </is>
      </c>
      <c r="B831" s="3" t="inlineStr">
        <is>
          <t>농림지역</t>
        </is>
      </c>
      <c r="C831" s="3" t="inlineStr">
        <is>
          <t>답</t>
        </is>
      </c>
      <c r="D831" s="3" t="inlineStr">
        <is>
          <t>답</t>
        </is>
      </c>
      <c r="E831" s="3" t="inlineStr">
        <is>
          <t>매매</t>
        </is>
      </c>
      <c r="F831" s="4" t="n">
        <v>24800</v>
      </c>
      <c r="G831" s="4" t="n">
        <v>1491</v>
      </c>
      <c r="H831" s="4" t="n">
        <v>451</v>
      </c>
      <c r="I831" s="5" t="n">
        <v>55</v>
      </c>
      <c r="J831" s="5" t="n">
        <v>18.3</v>
      </c>
      <c r="K831" s="3" t="inlineStr">
        <is>
          <t>매매가 할인2,200만원 대토농지</t>
        </is>
      </c>
      <c r="L831" s="6">
        <f>HYPERLINK("https://fin.land.naver.com/articles/2651396371", "매물Link")</f>
        <v/>
      </c>
      <c r="M831" s="6">
        <f>HYPERLINK("https://map.naver.com/p/search/부강면 행산리 447", "지도Link")</f>
        <v/>
      </c>
      <c r="N831" s="6">
        <f>HYPERLINK("http://www.eum.go.kr/web/ar/lu/luLandDet.jsp?pnu=3611033022104470000&amp;isNoScr=script&amp;mode=search", "토지이음")</f>
        <v/>
      </c>
      <c r="O831" s="3" t="inlineStr">
        <is>
          <t>로데오상가</t>
        </is>
      </c>
      <c r="P831" s="4" t="n">
        <v>1</v>
      </c>
      <c r="Q831" s="4" t="n">
        <v>1490.7</v>
      </c>
      <c r="R831" s="3" t="inlineStr">
        <is>
          <t>지정되지않음</t>
        </is>
      </c>
      <c r="S831" s="3" t="inlineStr">
        <is>
          <t>답</t>
        </is>
      </c>
      <c r="T831" s="3" t="inlineStr">
        <is>
          <t>평지</t>
        </is>
      </c>
      <c r="U831" s="3" t="inlineStr">
        <is>
          <t>세로장방</t>
        </is>
      </c>
      <c r="V831" s="3" t="inlineStr">
        <is>
          <t>세로한면(가)</t>
        </is>
      </c>
    </row>
    <row r="832">
      <c r="A832" s="3" t="inlineStr">
        <is>
          <t>부강면 행산리 447</t>
        </is>
      </c>
      <c r="B832" s="3" t="inlineStr">
        <is>
          <t>농림지역</t>
        </is>
      </c>
      <c r="C832" s="3" t="inlineStr">
        <is>
          <t>답</t>
        </is>
      </c>
      <c r="D832" s="3" t="inlineStr">
        <is>
          <t>답</t>
        </is>
      </c>
      <c r="E832" s="3" t="inlineStr">
        <is>
          <t>매매</t>
        </is>
      </c>
      <c r="F832" s="4" t="n">
        <v>24800</v>
      </c>
      <c r="G832" s="4" t="n">
        <v>1490</v>
      </c>
      <c r="H832" s="4" t="n">
        <v>451</v>
      </c>
      <c r="I832" s="5" t="n">
        <v>55</v>
      </c>
      <c r="J832" s="5" t="n">
        <v>18.3</v>
      </c>
      <c r="K832" s="3" t="inlineStr">
        <is>
          <t>대토농지로 추천</t>
        </is>
      </c>
      <c r="L832" s="6">
        <f>HYPERLINK("https://fin.land.naver.com/articles/2651993752", "매물Link")</f>
        <v/>
      </c>
      <c r="M832" s="6">
        <f>HYPERLINK("https://map.naver.com/p/search/부강면 행산리 447", "지도Link")</f>
        <v/>
      </c>
      <c r="N832" s="6">
        <f>HYPERLINK("http://www.eum.go.kr/web/ar/lu/luLandDet.jsp?pnu=3611033022104470000&amp;isNoScr=script&amp;mode=search", "토지이음")</f>
        <v/>
      </c>
      <c r="O832" s="3" t="inlineStr">
        <is>
          <t>담뜰</t>
        </is>
      </c>
      <c r="P832" s="4" t="n">
        <v>2</v>
      </c>
      <c r="Q832" s="4" t="n">
        <v>1490.7</v>
      </c>
      <c r="R832" s="3" t="inlineStr">
        <is>
          <t>지정되지않음</t>
        </is>
      </c>
      <c r="S832" s="3" t="inlineStr">
        <is>
          <t>답</t>
        </is>
      </c>
      <c r="T832" s="3" t="inlineStr">
        <is>
          <t>평지</t>
        </is>
      </c>
      <c r="U832" s="3" t="inlineStr">
        <is>
          <t>세로장방</t>
        </is>
      </c>
      <c r="V832" s="3" t="inlineStr">
        <is>
          <t>세로한면(가)</t>
        </is>
      </c>
    </row>
    <row r="833">
      <c r="A833" s="3" t="inlineStr">
        <is>
          <t>부강면 행산리 448</t>
        </is>
      </c>
      <c r="B833" s="3" t="inlineStr">
        <is>
          <t>농림지역</t>
        </is>
      </c>
      <c r="C833" s="3" t="inlineStr">
        <is>
          <t>답</t>
        </is>
      </c>
      <c r="D833" s="3" t="inlineStr">
        <is>
          <t>답</t>
        </is>
      </c>
      <c r="E833" s="3" t="inlineStr">
        <is>
          <t>매매</t>
        </is>
      </c>
      <c r="F833" s="4" t="n">
        <v>141000</v>
      </c>
      <c r="G833" s="4" t="n">
        <v>7790</v>
      </c>
      <c r="H833" s="4" t="n">
        <v>2356</v>
      </c>
      <c r="I833" s="5" t="n">
        <v>59.8</v>
      </c>
      <c r="J833" s="5" t="n">
        <v>18.3</v>
      </c>
      <c r="K833" s="3" t="inlineStr">
        <is>
          <t>2차선 도로 인접 토지 매매</t>
        </is>
      </c>
      <c r="L833" s="6">
        <f>HYPERLINK("https://fin.land.naver.com/articles/2653135877", "매물Link")</f>
        <v/>
      </c>
      <c r="M833" s="6">
        <f>HYPERLINK("https://map.naver.com/p/search/부강면 행산리 448", "지도Link")</f>
        <v/>
      </c>
      <c r="N833" s="6">
        <f>HYPERLINK("http://www.eum.go.kr/web/ar/lu/luLandDet.jsp?pnu=3611033022104480000&amp;isNoScr=script&amp;mode=search", "토지이음")</f>
        <v/>
      </c>
      <c r="O833" s="3" t="inlineStr">
        <is>
          <t>주식회사넥서스</t>
        </is>
      </c>
      <c r="P833" s="4" t="n">
        <v>3</v>
      </c>
      <c r="Q833" s="4" t="n">
        <v>7790.7</v>
      </c>
      <c r="R833" s="3" t="inlineStr">
        <is>
          <t>지정되지않음</t>
        </is>
      </c>
      <c r="S833" s="3" t="inlineStr">
        <is>
          <t>답</t>
        </is>
      </c>
      <c r="T833" s="3" t="inlineStr">
        <is>
          <t>평지</t>
        </is>
      </c>
      <c r="U833" s="3" t="inlineStr">
        <is>
          <t>세로장방</t>
        </is>
      </c>
      <c r="V833" s="3" t="inlineStr">
        <is>
          <t>세로한면(가)</t>
        </is>
      </c>
    </row>
    <row r="834">
      <c r="A834" s="3" t="inlineStr">
        <is>
          <t>부강면 행산리 448</t>
        </is>
      </c>
      <c r="B834" s="3" t="inlineStr">
        <is>
          <t>농림지역</t>
        </is>
      </c>
      <c r="C834" s="3" t="inlineStr">
        <is>
          <t>답</t>
        </is>
      </c>
      <c r="D834" s="3" t="inlineStr">
        <is>
          <t>답</t>
        </is>
      </c>
      <c r="E834" s="3" t="inlineStr">
        <is>
          <t>매매</t>
        </is>
      </c>
      <c r="F834" s="4" t="n">
        <v>129600</v>
      </c>
      <c r="G834" s="4" t="n">
        <v>7791</v>
      </c>
      <c r="H834" s="4" t="n">
        <v>2357</v>
      </c>
      <c r="I834" s="5" t="n">
        <v>55</v>
      </c>
      <c r="J834" s="5" t="n">
        <v>18.3</v>
      </c>
      <c r="K834" s="3" t="inlineStr">
        <is>
          <t>행산리 농림지역 대토 농지 논 답</t>
        </is>
      </c>
      <c r="L834" s="6">
        <f>HYPERLINK("https://fin.land.naver.com/articles/2651396542", "매물Link")</f>
        <v/>
      </c>
      <c r="M834" s="6">
        <f>HYPERLINK("https://map.naver.com/p/search/부강면 행산리 448", "지도Link")</f>
        <v/>
      </c>
      <c r="N834" s="6">
        <f>HYPERLINK("http://www.eum.go.kr/web/ar/lu/luLandDet.jsp?pnu=3611033022104480000&amp;isNoScr=script&amp;mode=search", "토지이음")</f>
        <v/>
      </c>
      <c r="O834" s="3" t="inlineStr">
        <is>
          <t>로데오상가</t>
        </is>
      </c>
      <c r="P834" s="4" t="n">
        <v>2</v>
      </c>
      <c r="Q834" s="4" t="n">
        <v>7790.7</v>
      </c>
      <c r="R834" s="3" t="inlineStr">
        <is>
          <t>지정되지않음</t>
        </is>
      </c>
      <c r="S834" s="3" t="inlineStr">
        <is>
          <t>답</t>
        </is>
      </c>
      <c r="T834" s="3" t="inlineStr">
        <is>
          <t>평지</t>
        </is>
      </c>
      <c r="U834" s="3" t="inlineStr">
        <is>
          <t>세로장방</t>
        </is>
      </c>
      <c r="V834" s="3" t="inlineStr">
        <is>
          <t>세로한면(가)</t>
        </is>
      </c>
    </row>
    <row r="835">
      <c r="A835" s="3" t="inlineStr">
        <is>
          <t>부강면 행산리 448</t>
        </is>
      </c>
      <c r="B835" s="3" t="inlineStr">
        <is>
          <t>농림지역</t>
        </is>
      </c>
      <c r="C835" s="3" t="inlineStr">
        <is>
          <t>답</t>
        </is>
      </c>
      <c r="D835" s="3" t="inlineStr">
        <is>
          <t>답</t>
        </is>
      </c>
      <c r="E835" s="3" t="inlineStr">
        <is>
          <t>매매</t>
        </is>
      </c>
      <c r="F835" s="4" t="n">
        <v>129000</v>
      </c>
      <c r="G835" s="4" t="n">
        <v>7790</v>
      </c>
      <c r="H835" s="4" t="n">
        <v>2356</v>
      </c>
      <c r="I835" s="5" t="n">
        <v>54.8</v>
      </c>
      <c r="J835" s="5" t="n">
        <v>18.3</v>
      </c>
      <c r="K835" s="3" t="inlineStr">
        <is>
          <t>부강면 행산리 2차선 도로에 접한 투자용 토지 급매물입니다</t>
        </is>
      </c>
      <c r="L835" s="6">
        <f>HYPERLINK("https://fin.land.naver.com/articles/2651951463", "매물Link")</f>
        <v/>
      </c>
      <c r="M835" s="6">
        <f>HYPERLINK("https://map.naver.com/p/search/부강면 행산리 448", "지도Link")</f>
        <v/>
      </c>
      <c r="N835" s="6">
        <f>HYPERLINK("http://www.eum.go.kr/web/ar/lu/luLandDet.jsp?pnu=3611033022104480000&amp;isNoScr=script&amp;mode=search", "토지이음")</f>
        <v/>
      </c>
      <c r="O835" s="3" t="inlineStr">
        <is>
          <t>스마일세종</t>
        </is>
      </c>
      <c r="P835" s="4" t="n">
        <v>3</v>
      </c>
      <c r="Q835" s="4" t="n">
        <v>7790.7</v>
      </c>
      <c r="R835" s="3" t="inlineStr">
        <is>
          <t>지정되지않음</t>
        </is>
      </c>
      <c r="S835" s="3" t="inlineStr">
        <is>
          <t>답</t>
        </is>
      </c>
      <c r="T835" s="3" t="inlineStr">
        <is>
          <t>평지</t>
        </is>
      </c>
      <c r="U835" s="3" t="inlineStr">
        <is>
          <t>세로장방</t>
        </is>
      </c>
      <c r="V835" s="3" t="inlineStr">
        <is>
          <t>세로한면(가)</t>
        </is>
      </c>
    </row>
    <row r="836">
      <c r="A836" s="3" t="inlineStr">
        <is>
          <t>부강면 행산리 552</t>
        </is>
      </c>
      <c r="B836" s="3" t="inlineStr">
        <is>
          <t>농림지역</t>
        </is>
      </c>
      <c r="C836" s="3" t="inlineStr">
        <is>
          <t>답</t>
        </is>
      </c>
      <c r="D836" s="3" t="inlineStr">
        <is>
          <t>답</t>
        </is>
      </c>
      <c r="E836" s="3" t="inlineStr">
        <is>
          <t>매매</t>
        </is>
      </c>
      <c r="F836" s="4" t="n">
        <v>38000</v>
      </c>
      <c r="G836" s="4" t="n">
        <v>2853</v>
      </c>
      <c r="H836" s="4" t="n">
        <v>863</v>
      </c>
      <c r="I836" s="5" t="n">
        <v>44</v>
      </c>
      <c r="J836" s="5" t="n">
        <v>16.9</v>
      </c>
      <c r="K836" s="3" t="inlineStr">
        <is>
          <t>급매물 입니다 평당 45만원 입니다.</t>
        </is>
      </c>
      <c r="L836" s="6">
        <f>HYPERLINK("https://fin.land.naver.com/articles/2649632999", "매물Link")</f>
        <v/>
      </c>
      <c r="M836" s="6">
        <f>HYPERLINK("https://map.naver.com/p/search/부강면 행산리 552", "지도Link")</f>
        <v/>
      </c>
      <c r="N836" s="6">
        <f>HYPERLINK("http://www.eum.go.kr/web/ar/lu/luLandDet.jsp?pnu=3611033022105520000&amp;isNoScr=script&amp;mode=search", "토지이음")</f>
        <v/>
      </c>
      <c r="O836" s="3" t="inlineStr">
        <is>
          <t>승미</t>
        </is>
      </c>
      <c r="P836" s="4" t="n">
        <v>1</v>
      </c>
      <c r="Q836" s="4" t="n">
        <v>2853.3</v>
      </c>
      <c r="R836" s="3" t="inlineStr">
        <is>
          <t>지정되지않음</t>
        </is>
      </c>
      <c r="S836" s="3" t="inlineStr">
        <is>
          <t>답</t>
        </is>
      </c>
      <c r="T836" s="3" t="inlineStr">
        <is>
          <t>평지</t>
        </is>
      </c>
      <c r="U836" s="3" t="inlineStr">
        <is>
          <t>세로장방</t>
        </is>
      </c>
      <c r="V836" s="3" t="inlineStr">
        <is>
          <t>세로한면(가)</t>
        </is>
      </c>
    </row>
    <row r="837">
      <c r="A837" s="3" t="inlineStr">
        <is>
          <t>부강면 행산리 615</t>
        </is>
      </c>
      <c r="B837" s="3" t="inlineStr">
        <is>
          <t>농림지역</t>
        </is>
      </c>
      <c r="C837" s="3" t="inlineStr">
        <is>
          <t>답</t>
        </is>
      </c>
      <c r="D837" s="3" t="inlineStr">
        <is>
          <t>답</t>
        </is>
      </c>
      <c r="E837" s="3" t="inlineStr">
        <is>
          <t>매매</t>
        </is>
      </c>
      <c r="F837" s="4" t="n">
        <v>57000</v>
      </c>
      <c r="G837" s="4" t="n">
        <v>1871</v>
      </c>
      <c r="H837" s="4" t="n">
        <v>566</v>
      </c>
      <c r="I837" s="5" t="n">
        <v>100.7</v>
      </c>
      <c r="J837" s="5" t="n">
        <v>18.1</v>
      </c>
      <c r="K837" s="3" t="inlineStr">
        <is>
          <t>2차선변 위치,마을인접,토지바로앞에 버스정류장 있어요</t>
        </is>
      </c>
      <c r="L837" s="6">
        <f>HYPERLINK("https://fin.land.naver.com/articles/2654217846", "매물Link")</f>
        <v/>
      </c>
      <c r="M837" s="6">
        <f>HYPERLINK("https://map.naver.com/p/search/부강면 행산리 615", "지도Link")</f>
        <v/>
      </c>
      <c r="N837" s="6">
        <f>HYPERLINK("http://www.eum.go.kr/web/ar/lu/luLandDet.jsp?pnu=3611033022106150000&amp;isNoScr=script&amp;mode=search", "토지이음")</f>
        <v/>
      </c>
      <c r="O837" s="3" t="inlineStr">
        <is>
          <t>가치잇는</t>
        </is>
      </c>
      <c r="P837" s="4" t="n">
        <v>5</v>
      </c>
      <c r="Q837" s="4" t="n">
        <v>1871.1</v>
      </c>
      <c r="R837" s="3" t="inlineStr">
        <is>
          <t>지정되지않음</t>
        </is>
      </c>
      <c r="S837" s="3" t="inlineStr">
        <is>
          <t>답</t>
        </is>
      </c>
      <c r="T837" s="3" t="inlineStr">
        <is>
          <t>평지</t>
        </is>
      </c>
      <c r="U837" s="3" t="inlineStr">
        <is>
          <t>사다리형</t>
        </is>
      </c>
      <c r="V837" s="3" t="inlineStr">
        <is>
          <t>세로한면(가)</t>
        </is>
      </c>
    </row>
    <row r="838">
      <c r="A838" s="3" t="inlineStr">
        <is>
          <t>부강면 행산리 산65</t>
        </is>
      </c>
      <c r="B838" s="3" t="inlineStr">
        <is>
          <t>보전관리지역</t>
        </is>
      </c>
      <c r="C838" s="3" t="inlineStr">
        <is>
          <t>임야</t>
        </is>
      </c>
      <c r="D838" s="3" t="inlineStr">
        <is>
          <t>임야</t>
        </is>
      </c>
      <c r="E838" s="3" t="inlineStr">
        <is>
          <t>매매</t>
        </is>
      </c>
      <c r="F838" s="4" t="n">
        <v>18300</v>
      </c>
      <c r="G838" s="4" t="n">
        <v>6236</v>
      </c>
      <c r="H838" s="4" t="n">
        <v>1886</v>
      </c>
      <c r="I838" s="5" t="n">
        <v>9.699999999999999</v>
      </c>
      <c r="J838" s="5" t="n">
        <v>2.6</v>
      </c>
      <c r="K838" s="3" t="inlineStr">
        <is>
          <t>현황도로 접, 뽕나무 등 식재, 자연인  이나 휴식용공간으로 추천</t>
        </is>
      </c>
      <c r="L838" s="6">
        <f>HYPERLINK("https://fin.land.naver.com/articles/2649547090", "매물Link")</f>
        <v/>
      </c>
      <c r="M838" s="6">
        <f>HYPERLINK("https://map.naver.com/p/search/부강면 행산리 산65", "지도Link")</f>
        <v/>
      </c>
      <c r="N838" s="6">
        <f>HYPERLINK("http://www.eum.go.kr/web/ar/lu/luLandDet.jsp?pnu=3611033022200650000&amp;isNoScr=script&amp;mode=search", "토지이음")</f>
        <v/>
      </c>
      <c r="O838" s="3" t="inlineStr">
        <is>
          <t>박단아사사무소</t>
        </is>
      </c>
      <c r="P838" s="4" t="n">
        <v>1</v>
      </c>
      <c r="Q838" s="4" t="n">
        <v>6236</v>
      </c>
      <c r="R838" s="3" t="inlineStr">
        <is>
          <t>지정되지않음</t>
        </is>
      </c>
      <c r="S838" s="3" t="inlineStr">
        <is>
          <t>자연림</t>
        </is>
      </c>
      <c r="T838" s="3" t="inlineStr">
        <is>
          <t>완경사</t>
        </is>
      </c>
      <c r="U838" s="3" t="inlineStr">
        <is>
          <t>부정형</t>
        </is>
      </c>
      <c r="V838" s="3" t="inlineStr">
        <is>
          <t>맹지</t>
        </is>
      </c>
    </row>
    <row r="839">
      <c r="A839" s="3" t="inlineStr">
        <is>
          <t>아름동 1016</t>
        </is>
      </c>
      <c r="B839" s="3" t="inlineStr">
        <is>
          <t>제1종전용주거지역</t>
        </is>
      </c>
      <c r="C839" s="3" t="inlineStr">
        <is>
          <t>대</t>
        </is>
      </c>
      <c r="D839" s="3" t="inlineStr">
        <is>
          <t>대</t>
        </is>
      </c>
      <c r="E839" s="3" t="inlineStr">
        <is>
          <t>매매</t>
        </is>
      </c>
      <c r="F839" s="4" t="n">
        <v>51000</v>
      </c>
      <c r="G839" s="4" t="n">
        <v>291</v>
      </c>
      <c r="H839" s="4" t="n">
        <v>88</v>
      </c>
      <c r="I839" s="5" t="n">
        <v>579.5</v>
      </c>
      <c r="J839" s="5" t="n">
        <v>331.9</v>
      </c>
      <c r="K839" s="3" t="inlineStr">
        <is>
          <t>동문에 남향 집 지을 수 있는 땅</t>
        </is>
      </c>
      <c r="L839" s="6">
        <f>HYPERLINK("https://fin.land.naver.com/articles/2652409741", "매물Link")</f>
        <v/>
      </c>
      <c r="M839" s="6">
        <f>HYPERLINK("https://map.naver.com/p/search/아름동 1016", "지도Link")</f>
        <v/>
      </c>
      <c r="N839" s="6">
        <f>HYPERLINK("http://www.eum.go.kr/web/ar/lu/luLandDet.jsp?pnu=3611011300110160000&amp;isNoScr=script&amp;mode=search", "토지이음")</f>
        <v/>
      </c>
      <c r="O839" s="3" t="inlineStr">
        <is>
          <t>세종다정랜드</t>
        </is>
      </c>
      <c r="P839" s="4" t="n">
        <v>1</v>
      </c>
      <c r="Q839" s="4" t="n">
        <v>291.5</v>
      </c>
      <c r="R839" s="3" t="inlineStr">
        <is>
          <t>지정되지않음</t>
        </is>
      </c>
      <c r="S839" s="3" t="inlineStr">
        <is>
          <t>주거나지</t>
        </is>
      </c>
      <c r="T839" s="3" t="inlineStr">
        <is>
          <t>평지</t>
        </is>
      </c>
      <c r="U839" s="3" t="inlineStr">
        <is>
          <t>사다리형</t>
        </is>
      </c>
      <c r="V839" s="3" t="inlineStr">
        <is>
          <t>소로한면</t>
        </is>
      </c>
    </row>
    <row r="840">
      <c r="A840" s="3" t="inlineStr">
        <is>
          <t>아름동 1037</t>
        </is>
      </c>
      <c r="B840" s="3" t="inlineStr">
        <is>
          <t>제1종전용주거지역</t>
        </is>
      </c>
      <c r="C840" s="3" t="inlineStr">
        <is>
          <t>대</t>
        </is>
      </c>
      <c r="D840" s="3" t="inlineStr">
        <is>
          <t>대</t>
        </is>
      </c>
      <c r="E840" s="3" t="inlineStr">
        <is>
          <t>매매</t>
        </is>
      </c>
      <c r="F840" s="4" t="n">
        <v>65000</v>
      </c>
      <c r="G840" s="4" t="n">
        <v>331</v>
      </c>
      <c r="H840" s="4" t="n">
        <v>100</v>
      </c>
      <c r="I840" s="5" t="n">
        <v>650</v>
      </c>
      <c r="J840" s="5" t="n">
        <v>335.5</v>
      </c>
      <c r="K840" s="3" t="inlineStr">
        <is>
          <t>전용100.5p, 국제고인근, 아름동 단독주택지</t>
        </is>
      </c>
      <c r="L840" s="6">
        <f>HYPERLINK("https://fin.land.naver.com/articles/2652837740", "매물Link")</f>
        <v/>
      </c>
      <c r="M840" s="6">
        <f>HYPERLINK("https://map.naver.com/p/search/아름동 1037", "지도Link")</f>
        <v/>
      </c>
      <c r="N840" s="6">
        <f>HYPERLINK("http://www.eum.go.kr/web/ar/lu/luLandDet.jsp?pnu=3611011300110370000&amp;isNoScr=script&amp;mode=search", "토지이음")</f>
        <v/>
      </c>
      <c r="O840" s="3" t="inlineStr">
        <is>
          <t>세종무지개</t>
        </is>
      </c>
      <c r="P840" s="4" t="n">
        <v>1</v>
      </c>
      <c r="Q840" s="4" t="n">
        <v>331.9</v>
      </c>
      <c r="R840" s="3" t="inlineStr">
        <is>
          <t>지정되지않음</t>
        </is>
      </c>
      <c r="S840" s="3" t="inlineStr">
        <is>
          <t>주거나지</t>
        </is>
      </c>
      <c r="T840" s="3" t="inlineStr">
        <is>
          <t>평지</t>
        </is>
      </c>
      <c r="U840" s="3" t="inlineStr">
        <is>
          <t>가로장방</t>
        </is>
      </c>
      <c r="V840" s="3" t="inlineStr">
        <is>
          <t>소로한면</t>
        </is>
      </c>
    </row>
    <row r="841">
      <c r="A841" s="3" t="inlineStr">
        <is>
          <t>아름동 1049</t>
        </is>
      </c>
      <c r="B841" s="3" t="inlineStr">
        <is>
          <t>제1종전용주거지역</t>
        </is>
      </c>
      <c r="C841" s="3" t="inlineStr">
        <is>
          <t>대</t>
        </is>
      </c>
      <c r="D841" s="3" t="inlineStr">
        <is>
          <t>대</t>
        </is>
      </c>
      <c r="E841" s="3" t="inlineStr">
        <is>
          <t>매매</t>
        </is>
      </c>
      <c r="F841" s="4" t="n">
        <v>83000</v>
      </c>
      <c r="G841" s="4" t="n">
        <v>363</v>
      </c>
      <c r="H841" s="4" t="n">
        <v>110</v>
      </c>
      <c r="I841" s="5" t="n">
        <v>754.5</v>
      </c>
      <c r="J841" s="5" t="n">
        <v>366.6</v>
      </c>
      <c r="K841" s="3" t="inlineStr">
        <is>
          <t>nan</t>
        </is>
      </c>
      <c r="L841" s="6">
        <f>HYPERLINK("https://fin.land.naver.com/articles/2652410495", "매물Link")</f>
        <v/>
      </c>
      <c r="M841" s="6">
        <f>HYPERLINK("https://map.naver.com/p/search/아름동 1049", "지도Link")</f>
        <v/>
      </c>
      <c r="N841" s="6">
        <f>HYPERLINK("http://www.eum.go.kr/web/ar/lu/luLandDet.jsp?pnu=3611011300110490000&amp;isNoScr=script&amp;mode=search", "토지이음")</f>
        <v/>
      </c>
      <c r="O841" s="3" t="inlineStr">
        <is>
          <t>생명나무</t>
        </is>
      </c>
      <c r="P841" s="4" t="n">
        <v>1</v>
      </c>
      <c r="Q841" s="4" t="n">
        <v>363.6</v>
      </c>
      <c r="R841" s="3" t="inlineStr">
        <is>
          <t>지정되지않음</t>
        </is>
      </c>
      <c r="S841" s="3" t="inlineStr">
        <is>
          <t>주거나지</t>
        </is>
      </c>
      <c r="T841" s="3" t="inlineStr">
        <is>
          <t>평지</t>
        </is>
      </c>
      <c r="U841" s="3" t="inlineStr">
        <is>
          <t>사다리형</t>
        </is>
      </c>
      <c r="V841" s="3" t="inlineStr">
        <is>
          <t>소로각지</t>
        </is>
      </c>
    </row>
    <row r="842">
      <c r="A842" s="3" t="inlineStr">
        <is>
          <t>아름동 1079</t>
        </is>
      </c>
      <c r="B842" s="3" t="inlineStr">
        <is>
          <t>제1종전용주거지역</t>
        </is>
      </c>
      <c r="C842" s="3" t="inlineStr">
        <is>
          <t>대</t>
        </is>
      </c>
      <c r="D842" s="3" t="inlineStr">
        <is>
          <t>대</t>
        </is>
      </c>
      <c r="E842" s="3" t="inlineStr">
        <is>
          <t>매매</t>
        </is>
      </c>
      <c r="F842" s="4" t="n">
        <v>65000</v>
      </c>
      <c r="G842" s="4" t="n">
        <v>357</v>
      </c>
      <c r="H842" s="4" t="n">
        <v>108</v>
      </c>
      <c r="I842" s="5" t="n">
        <v>601.9</v>
      </c>
      <c r="J842" s="5" t="n">
        <v>353.1</v>
      </c>
      <c r="K842" s="3" t="inlineStr">
        <is>
          <t>위치최상 벙커주차장가능 언덕 탁트인시야</t>
        </is>
      </c>
      <c r="L842" s="6">
        <f>HYPERLINK("https://fin.land.naver.com/articles/2653670515", "매물Link")</f>
        <v/>
      </c>
      <c r="M842" s="6">
        <f>HYPERLINK("https://map.naver.com/p/search/아름동 1079", "지도Link")</f>
        <v/>
      </c>
      <c r="N842" s="6">
        <f>HYPERLINK("http://www.eum.go.kr/web/ar/lu/luLandDet.jsp?pnu=3611011300110790000&amp;isNoScr=script&amp;mode=search", "토지이음")</f>
        <v/>
      </c>
      <c r="O842" s="3" t="inlineStr">
        <is>
          <t>세종스타</t>
        </is>
      </c>
      <c r="P842" s="4" t="n">
        <v>1</v>
      </c>
      <c r="Q842" s="4" t="n">
        <v>357.1</v>
      </c>
      <c r="R842" s="3" t="inlineStr">
        <is>
          <t>지정되지않음</t>
        </is>
      </c>
      <c r="S842" s="3" t="inlineStr">
        <is>
          <t>주거나지</t>
        </is>
      </c>
      <c r="T842" s="3" t="inlineStr">
        <is>
          <t>평지</t>
        </is>
      </c>
      <c r="U842" s="3" t="inlineStr">
        <is>
          <t>가로장방</t>
        </is>
      </c>
      <c r="V842" s="3" t="inlineStr">
        <is>
          <t>소로한면</t>
        </is>
      </c>
    </row>
    <row r="843">
      <c r="A843" s="3" t="inlineStr">
        <is>
          <t>아름동 1116</t>
        </is>
      </c>
      <c r="B843" s="3" t="inlineStr">
        <is>
          <t>제1종전용주거지역</t>
        </is>
      </c>
      <c r="C843" s="3" t="inlineStr">
        <is>
          <t>대</t>
        </is>
      </c>
      <c r="D843" s="3" t="inlineStr">
        <is>
          <t>대</t>
        </is>
      </c>
      <c r="E843" s="3" t="inlineStr">
        <is>
          <t>매매</t>
        </is>
      </c>
      <c r="F843" s="4" t="n">
        <v>83000</v>
      </c>
      <c r="G843" s="4" t="n">
        <v>359</v>
      </c>
      <c r="H843" s="4" t="n">
        <v>109</v>
      </c>
      <c r="I843" s="5" t="n">
        <v>761.5</v>
      </c>
      <c r="J843" s="5" t="n">
        <v>373.9</v>
      </c>
      <c r="K843" s="3" t="inlineStr">
        <is>
          <t>총 108.9p, 사거리코너 위치좋은 입지</t>
        </is>
      </c>
      <c r="L843" s="6">
        <f>HYPERLINK("https://fin.land.naver.com/articles/2653682969", "매물Link")</f>
        <v/>
      </c>
      <c r="M843" s="6">
        <f>HYPERLINK("https://map.naver.com/p/search/아름동 1116", "지도Link")</f>
        <v/>
      </c>
      <c r="N843" s="6">
        <f>HYPERLINK("http://www.eum.go.kr/web/ar/lu/luLandDet.jsp?pnu=3611011300111160000&amp;isNoScr=script&amp;mode=search", "토지이음")</f>
        <v/>
      </c>
      <c r="O843" s="3" t="inlineStr">
        <is>
          <t>명진</t>
        </is>
      </c>
      <c r="P843" s="4" t="n">
        <v>1</v>
      </c>
      <c r="Q843" s="4" t="n">
        <v>359.5</v>
      </c>
      <c r="R843" s="3" t="inlineStr">
        <is>
          <t>지정되지않음</t>
        </is>
      </c>
      <c r="S843" s="3" t="inlineStr">
        <is>
          <t>주거나지</t>
        </is>
      </c>
      <c r="T843" s="3" t="inlineStr">
        <is>
          <t>평지</t>
        </is>
      </c>
      <c r="U843" s="3" t="inlineStr">
        <is>
          <t>가로장방</t>
        </is>
      </c>
      <c r="V843" s="3" t="inlineStr">
        <is>
          <t>소로각지</t>
        </is>
      </c>
    </row>
    <row r="844">
      <c r="A844" s="3" t="inlineStr">
        <is>
          <t>아름동 1118</t>
        </is>
      </c>
      <c r="B844" s="3" t="inlineStr">
        <is>
          <t>제1종전용주거지역</t>
        </is>
      </c>
      <c r="C844" s="3" t="inlineStr">
        <is>
          <t>대</t>
        </is>
      </c>
      <c r="D844" s="3" t="inlineStr">
        <is>
          <t>대</t>
        </is>
      </c>
      <c r="E844" s="3" t="inlineStr">
        <is>
          <t>매매</t>
        </is>
      </c>
      <c r="F844" s="4" t="n">
        <v>57000</v>
      </c>
      <c r="G844" s="4" t="n">
        <v>327</v>
      </c>
      <c r="H844" s="4" t="n">
        <v>99</v>
      </c>
      <c r="I844" s="5" t="n">
        <v>575.8</v>
      </c>
      <c r="J844" s="5" t="n">
        <v>373.9</v>
      </c>
      <c r="K844" s="3" t="inlineStr">
        <is>
          <t>코너 정남향 위치최상 조율가능</t>
        </is>
      </c>
      <c r="L844" s="6">
        <f>HYPERLINK("https://fin.land.naver.com/articles/2652418851", "매물Link")</f>
        <v/>
      </c>
      <c r="M844" s="6">
        <f>HYPERLINK("https://map.naver.com/p/search/아름동 1118", "지도Link")</f>
        <v/>
      </c>
      <c r="N844" s="6">
        <f>HYPERLINK("http://www.eum.go.kr/web/ar/lu/luLandDet.jsp?pnu=3611011300111180000&amp;isNoScr=script&amp;mode=search", "토지이음")</f>
        <v/>
      </c>
      <c r="O844" s="3" t="inlineStr">
        <is>
          <t>세종스타</t>
        </is>
      </c>
      <c r="P844" s="4" t="n">
        <v>2</v>
      </c>
      <c r="Q844" s="4" t="n">
        <v>327.4</v>
      </c>
      <c r="R844" s="3" t="inlineStr">
        <is>
          <t>지정되지않음</t>
        </is>
      </c>
      <c r="S844" s="3" t="inlineStr">
        <is>
          <t>주거나지</t>
        </is>
      </c>
      <c r="T844" s="3" t="inlineStr">
        <is>
          <t>평지</t>
        </is>
      </c>
      <c r="U844" s="3" t="inlineStr">
        <is>
          <t>가로장방</t>
        </is>
      </c>
      <c r="V844" s="3" t="inlineStr">
        <is>
          <t>소로각지</t>
        </is>
      </c>
    </row>
    <row r="845">
      <c r="A845" s="3" t="inlineStr">
        <is>
          <t>아름동 1121</t>
        </is>
      </c>
      <c r="B845" s="3" t="inlineStr">
        <is>
          <t>제1종전용주거지역</t>
        </is>
      </c>
      <c r="C845" s="3" t="inlineStr">
        <is>
          <t>대</t>
        </is>
      </c>
      <c r="D845" s="3" t="inlineStr">
        <is>
          <t>대</t>
        </is>
      </c>
      <c r="E845" s="3" t="inlineStr">
        <is>
          <t>매매</t>
        </is>
      </c>
      <c r="F845" s="4" t="n">
        <v>60000</v>
      </c>
      <c r="G845" s="4" t="n">
        <v>355</v>
      </c>
      <c r="H845" s="4" t="n">
        <v>107</v>
      </c>
      <c r="I845" s="5" t="n">
        <v>560.7</v>
      </c>
      <c r="J845" s="5" t="n">
        <v>373.9</v>
      </c>
      <c r="K845" s="3" t="inlineStr">
        <is>
          <t>공원옆 큰평수 추가조율가능</t>
        </is>
      </c>
      <c r="L845" s="6">
        <f>HYPERLINK("https://fin.land.naver.com/articles/2652289224", "매물Link")</f>
        <v/>
      </c>
      <c r="M845" s="6">
        <f>HYPERLINK("https://map.naver.com/p/search/아름동 1121", "지도Link")</f>
        <v/>
      </c>
      <c r="N845" s="6">
        <f>HYPERLINK("http://www.eum.go.kr/web/ar/lu/luLandDet.jsp?pnu=3611011300111210000&amp;isNoScr=script&amp;mode=search", "토지이음")</f>
        <v/>
      </c>
      <c r="O845" s="3" t="inlineStr">
        <is>
          <t>세종스타</t>
        </is>
      </c>
      <c r="P845" s="4" t="n">
        <v>1</v>
      </c>
      <c r="Q845" s="4" t="n">
        <v>355.4</v>
      </c>
      <c r="R845" s="3" t="inlineStr">
        <is>
          <t>지정되지않음</t>
        </is>
      </c>
      <c r="S845" s="3" t="inlineStr">
        <is>
          <t>주거나지</t>
        </is>
      </c>
      <c r="T845" s="3" t="inlineStr">
        <is>
          <t>평지</t>
        </is>
      </c>
      <c r="U845" s="3" t="inlineStr">
        <is>
          <t>가로장방</t>
        </is>
      </c>
      <c r="V845" s="3" t="inlineStr">
        <is>
          <t>소로각지</t>
        </is>
      </c>
    </row>
    <row r="846">
      <c r="A846" s="3" t="inlineStr">
        <is>
          <t>아름동 1130</t>
        </is>
      </c>
      <c r="B846" s="3" t="inlineStr">
        <is>
          <t>제1종전용주거지역</t>
        </is>
      </c>
      <c r="C846" s="3" t="inlineStr">
        <is>
          <t>대</t>
        </is>
      </c>
      <c r="D846" s="3" t="inlineStr">
        <is>
          <t>대</t>
        </is>
      </c>
      <c r="E846" s="3" t="inlineStr">
        <is>
          <t>매매</t>
        </is>
      </c>
      <c r="F846" s="4" t="n">
        <v>85000</v>
      </c>
      <c r="G846" s="4" t="n">
        <v>348</v>
      </c>
      <c r="H846" s="4" t="n">
        <v>105</v>
      </c>
      <c r="I846" s="5" t="n">
        <v>809.5</v>
      </c>
      <c r="J846" s="5" t="n">
        <v>356.4</v>
      </c>
      <c r="K846" s="3" t="inlineStr">
        <is>
          <t>어린이공원 접한 주택지, 위치 좋아요, 가격 잘 맞춰보겠습니다</t>
        </is>
      </c>
      <c r="L846" s="6">
        <f>HYPERLINK("https://fin.land.naver.com/articles/2653004367", "매물Link")</f>
        <v/>
      </c>
      <c r="M846" s="6">
        <f>HYPERLINK("https://map.naver.com/p/search/아름동 1130", "지도Link")</f>
        <v/>
      </c>
      <c r="N846" s="6">
        <f>HYPERLINK("http://www.eum.go.kr/web/ar/lu/luLandDet.jsp?pnu=3611011300111300000&amp;isNoScr=script&amp;mode=search", "토지이음")</f>
        <v/>
      </c>
      <c r="O846" s="3" t="inlineStr">
        <is>
          <t>OK세종 사무소</t>
        </is>
      </c>
      <c r="P846" s="4" t="n">
        <v>1</v>
      </c>
      <c r="Q846" s="4" t="n">
        <v>348.3</v>
      </c>
      <c r="R846" s="3" t="inlineStr">
        <is>
          <t>지정되지않음</t>
        </is>
      </c>
      <c r="S846" s="3" t="inlineStr">
        <is>
          <t>주거나지</t>
        </is>
      </c>
      <c r="T846" s="3" t="inlineStr">
        <is>
          <t>평지</t>
        </is>
      </c>
      <c r="U846" s="3" t="inlineStr">
        <is>
          <t>가로장방</t>
        </is>
      </c>
      <c r="V846" s="3" t="inlineStr">
        <is>
          <t>소로한면</t>
        </is>
      </c>
    </row>
    <row r="847">
      <c r="A847" s="3" t="inlineStr">
        <is>
          <t>아름동 1135</t>
        </is>
      </c>
      <c r="B847" s="3" t="inlineStr">
        <is>
          <t>제1종전용주거지역</t>
        </is>
      </c>
      <c r="C847" s="3" t="inlineStr">
        <is>
          <t>대</t>
        </is>
      </c>
      <c r="D847" s="3" t="inlineStr">
        <is>
          <t>대</t>
        </is>
      </c>
      <c r="E847" s="3" t="inlineStr">
        <is>
          <t>매매</t>
        </is>
      </c>
      <c r="F847" s="4" t="n">
        <v>83000</v>
      </c>
      <c r="G847" s="4" t="n">
        <v>343</v>
      </c>
      <c r="H847" s="4" t="n">
        <v>104</v>
      </c>
      <c r="I847" s="5" t="n">
        <v>798.1</v>
      </c>
      <c r="J847" s="5" t="n">
        <v>356.4</v>
      </c>
      <c r="K847" s="3" t="inlineStr">
        <is>
          <t>아름동 위치좋은 주택지 급매</t>
        </is>
      </c>
      <c r="L847" s="6">
        <f>HYPERLINK("https://fin.land.naver.com/articles/2653003944", "매물Link")</f>
        <v/>
      </c>
      <c r="M847" s="6">
        <f>HYPERLINK("https://map.naver.com/p/search/아름동 1135", "지도Link")</f>
        <v/>
      </c>
      <c r="N847" s="6">
        <f>HYPERLINK("http://www.eum.go.kr/web/ar/lu/luLandDet.jsp?pnu=3611011300111350000&amp;isNoScr=script&amp;mode=search", "토지이음")</f>
        <v/>
      </c>
      <c r="O847" s="3" t="inlineStr">
        <is>
          <t>OK세종 사무소</t>
        </is>
      </c>
      <c r="P847" s="4" t="n">
        <v>1</v>
      </c>
      <c r="Q847" s="4" t="n">
        <v>343</v>
      </c>
      <c r="R847" s="3" t="inlineStr">
        <is>
          <t>지정되지않음</t>
        </is>
      </c>
      <c r="S847" s="3" t="inlineStr">
        <is>
          <t>주거나지</t>
        </is>
      </c>
      <c r="T847" s="3" t="inlineStr">
        <is>
          <t>평지</t>
        </is>
      </c>
      <c r="U847" s="3" t="inlineStr">
        <is>
          <t>가로장방</t>
        </is>
      </c>
      <c r="V847" s="3" t="inlineStr">
        <is>
          <t>소로한면</t>
        </is>
      </c>
    </row>
    <row r="848">
      <c r="A848" s="3" t="inlineStr">
        <is>
          <t>아름동 1142</t>
        </is>
      </c>
      <c r="B848" s="3" t="inlineStr">
        <is>
          <t>제1종전용주거지역</t>
        </is>
      </c>
      <c r="C848" s="3" t="inlineStr">
        <is>
          <t>대</t>
        </is>
      </c>
      <c r="D848" s="3" t="inlineStr">
        <is>
          <t>대</t>
        </is>
      </c>
      <c r="E848" s="3" t="inlineStr">
        <is>
          <t>매매</t>
        </is>
      </c>
      <c r="F848" s="4" t="n">
        <v>52000</v>
      </c>
      <c r="G848" s="4" t="n">
        <v>321</v>
      </c>
      <c r="H848" s="4" t="n">
        <v>97</v>
      </c>
      <c r="I848" s="5" t="n">
        <v>536.1</v>
      </c>
      <c r="J848" s="5" t="n">
        <v>356.4</v>
      </c>
      <c r="K848" s="3" t="inlineStr">
        <is>
          <t>충대병원 인근 가격 좋은 토지, 조율도 가능</t>
        </is>
      </c>
      <c r="L848" s="6">
        <f>HYPERLINK("https://fin.land.naver.com/articles/2650429475", "매물Link")</f>
        <v/>
      </c>
      <c r="M848" s="6">
        <f>HYPERLINK("https://map.naver.com/p/search/아름동 1142", "지도Link")</f>
        <v/>
      </c>
      <c r="N848" s="6">
        <f>HYPERLINK("http://www.eum.go.kr/web/ar/lu/luLandDet.jsp?pnu=3611011300111420000&amp;isNoScr=script&amp;mode=search", "토지이음")</f>
        <v/>
      </c>
      <c r="O848" s="3" t="inlineStr">
        <is>
          <t>세종무지개</t>
        </is>
      </c>
      <c r="P848" s="4" t="n">
        <v>1</v>
      </c>
      <c r="Q848" s="4" t="n">
        <v>321</v>
      </c>
      <c r="R848" s="3" t="inlineStr">
        <is>
          <t>지정되지않음</t>
        </is>
      </c>
      <c r="S848" s="3" t="inlineStr">
        <is>
          <t>주거나지</t>
        </is>
      </c>
      <c r="T848" s="3" t="inlineStr">
        <is>
          <t>평지</t>
        </is>
      </c>
      <c r="U848" s="3" t="inlineStr">
        <is>
          <t>가로장방</t>
        </is>
      </c>
      <c r="V848" s="3" t="inlineStr">
        <is>
          <t>소로한면</t>
        </is>
      </c>
    </row>
    <row r="849">
      <c r="A849" s="3" t="inlineStr">
        <is>
          <t>아름동 1142</t>
        </is>
      </c>
      <c r="B849" s="3" t="inlineStr">
        <is>
          <t>제1종전용주거지역</t>
        </is>
      </c>
      <c r="C849" s="3" t="inlineStr">
        <is>
          <t>대</t>
        </is>
      </c>
      <c r="D849" s="3" t="inlineStr">
        <is>
          <t>대</t>
        </is>
      </c>
      <c r="E849" s="3" t="inlineStr">
        <is>
          <t>매매</t>
        </is>
      </c>
      <c r="F849" s="4" t="n">
        <v>52000</v>
      </c>
      <c r="G849" s="4" t="n">
        <v>321</v>
      </c>
      <c r="H849" s="4" t="n">
        <v>97</v>
      </c>
      <c r="I849" s="5" t="n">
        <v>536.1</v>
      </c>
      <c r="J849" s="5" t="n">
        <v>356.4</v>
      </c>
      <c r="K849" s="3" t="inlineStr">
        <is>
          <t>급매 추가조율가능 입지좋은 충대병원인근</t>
        </is>
      </c>
      <c r="L849" s="6">
        <f>HYPERLINK("https://fin.land.naver.com/articles/2651133638", "매물Link")</f>
        <v/>
      </c>
      <c r="M849" s="6">
        <f>HYPERLINK("https://map.naver.com/p/search/아름동 1142", "지도Link")</f>
        <v/>
      </c>
      <c r="N849" s="6">
        <f>HYPERLINK("http://www.eum.go.kr/web/ar/lu/luLandDet.jsp?pnu=3611011300111420000&amp;isNoScr=script&amp;mode=search", "토지이음")</f>
        <v/>
      </c>
      <c r="O849" s="3" t="inlineStr">
        <is>
          <t>세종스타</t>
        </is>
      </c>
      <c r="P849" s="4" t="n">
        <v>1</v>
      </c>
      <c r="Q849" s="4" t="n">
        <v>321</v>
      </c>
      <c r="R849" s="3" t="inlineStr">
        <is>
          <t>지정되지않음</t>
        </is>
      </c>
      <c r="S849" s="3" t="inlineStr">
        <is>
          <t>주거나지</t>
        </is>
      </c>
      <c r="T849" s="3" t="inlineStr">
        <is>
          <t>평지</t>
        </is>
      </c>
      <c r="U849" s="3" t="inlineStr">
        <is>
          <t>가로장방</t>
        </is>
      </c>
      <c r="V849" s="3" t="inlineStr">
        <is>
          <t>소로한면</t>
        </is>
      </c>
    </row>
    <row r="850">
      <c r="A850" s="3" t="inlineStr">
        <is>
          <t>아름동 1142</t>
        </is>
      </c>
      <c r="B850" s="3" t="inlineStr">
        <is>
          <t>제1종전용주거지역</t>
        </is>
      </c>
      <c r="C850" s="3" t="inlineStr">
        <is>
          <t>대</t>
        </is>
      </c>
      <c r="D850" s="3" t="inlineStr">
        <is>
          <t>대</t>
        </is>
      </c>
      <c r="E850" s="3" t="inlineStr">
        <is>
          <t>매매</t>
        </is>
      </c>
      <c r="F850" s="4" t="n">
        <v>52000</v>
      </c>
      <c r="G850" s="4" t="n">
        <v>321</v>
      </c>
      <c r="H850" s="4" t="n">
        <v>97</v>
      </c>
      <c r="I850" s="5" t="n">
        <v>536.1</v>
      </c>
      <c r="J850" s="5" t="n">
        <v>356.4</v>
      </c>
      <c r="K850" s="3" t="inlineStr">
        <is>
          <t>97.6p, 충대병원 인근 토지 급매, 조율도가능</t>
        </is>
      </c>
      <c r="L850" s="6">
        <f>HYPERLINK("https://fin.land.naver.com/articles/2653682221", "매물Link")</f>
        <v/>
      </c>
      <c r="M850" s="6">
        <f>HYPERLINK("https://map.naver.com/p/search/아름동 1142", "지도Link")</f>
        <v/>
      </c>
      <c r="N850" s="6">
        <f>HYPERLINK("http://www.eum.go.kr/web/ar/lu/luLandDet.jsp?pnu=3611011300111420000&amp;isNoScr=script&amp;mode=search", "토지이음")</f>
        <v/>
      </c>
      <c r="O850" s="3" t="inlineStr">
        <is>
          <t>명진</t>
        </is>
      </c>
      <c r="P850" s="4" t="n">
        <v>1</v>
      </c>
      <c r="Q850" s="4" t="n">
        <v>321</v>
      </c>
      <c r="R850" s="3" t="inlineStr">
        <is>
          <t>지정되지않음</t>
        </is>
      </c>
      <c r="S850" s="3" t="inlineStr">
        <is>
          <t>주거나지</t>
        </is>
      </c>
      <c r="T850" s="3" t="inlineStr">
        <is>
          <t>평지</t>
        </is>
      </c>
      <c r="U850" s="3" t="inlineStr">
        <is>
          <t>가로장방</t>
        </is>
      </c>
      <c r="V850" s="3" t="inlineStr">
        <is>
          <t>소로한면</t>
        </is>
      </c>
    </row>
    <row r="851">
      <c r="A851" s="3" t="inlineStr">
        <is>
          <t>아름동 1144</t>
        </is>
      </c>
      <c r="B851" s="3" t="inlineStr">
        <is>
          <t>제1종전용주거지역</t>
        </is>
      </c>
      <c r="C851" s="3" t="inlineStr">
        <is>
          <t>대</t>
        </is>
      </c>
      <c r="D851" s="3" t="inlineStr">
        <is>
          <t>대</t>
        </is>
      </c>
      <c r="E851" s="3" t="inlineStr">
        <is>
          <t>매매</t>
        </is>
      </c>
      <c r="F851" s="4" t="n">
        <v>60000</v>
      </c>
      <c r="G851" s="4" t="n">
        <v>348</v>
      </c>
      <c r="H851" s="4" t="n">
        <v>105</v>
      </c>
      <c r="I851" s="5" t="n">
        <v>571.4</v>
      </c>
      <c r="J851" s="5" t="n">
        <v>373.9</v>
      </c>
      <c r="K851" s="3" t="inlineStr">
        <is>
          <t>최상 단독주택 용지, 입지 매우 좋음, 생활 인프라 등 학군 우수 지역</t>
        </is>
      </c>
      <c r="L851" s="6">
        <f>HYPERLINK("https://fin.land.naver.com/articles/2652685471", "매물Link")</f>
        <v/>
      </c>
      <c r="M851" s="6">
        <f>HYPERLINK("https://map.naver.com/p/search/아름동 1144", "지도Link")</f>
        <v/>
      </c>
      <c r="N851" s="6">
        <f>HYPERLINK("http://www.eum.go.kr/web/ar/lu/luLandDet.jsp?pnu=3611011300111440000&amp;isNoScr=script&amp;mode=search", "토지이음")</f>
        <v/>
      </c>
      <c r="O851" s="3" t="inlineStr">
        <is>
          <t>방배탑</t>
        </is>
      </c>
      <c r="P851" s="4" t="n">
        <v>1</v>
      </c>
      <c r="Q851" s="4" t="n">
        <v>348.5</v>
      </c>
      <c r="R851" s="3" t="inlineStr">
        <is>
          <t>지정되지않음</t>
        </is>
      </c>
      <c r="S851" s="3" t="inlineStr">
        <is>
          <t>주거나지</t>
        </is>
      </c>
      <c r="T851" s="3" t="inlineStr">
        <is>
          <t>평지</t>
        </is>
      </c>
      <c r="U851" s="3" t="inlineStr">
        <is>
          <t>세로장방</t>
        </is>
      </c>
      <c r="V851" s="3" t="inlineStr">
        <is>
          <t>소로각지</t>
        </is>
      </c>
    </row>
    <row r="852">
      <c r="A852" s="3" t="inlineStr">
        <is>
          <t>아름동 1154</t>
        </is>
      </c>
      <c r="B852" s="3" t="inlineStr">
        <is>
          <t>제1종전용주거지역</t>
        </is>
      </c>
      <c r="C852" s="3" t="inlineStr">
        <is>
          <t>대</t>
        </is>
      </c>
      <c r="D852" s="3" t="inlineStr">
        <is>
          <t>대</t>
        </is>
      </c>
      <c r="E852" s="3" t="inlineStr">
        <is>
          <t>매매</t>
        </is>
      </c>
      <c r="F852" s="4" t="n">
        <v>70000</v>
      </c>
      <c r="G852" s="4" t="n">
        <v>342</v>
      </c>
      <c r="H852" s="4" t="n">
        <v>103</v>
      </c>
      <c r="I852" s="5" t="n">
        <v>679.6</v>
      </c>
      <c r="J852" s="5" t="n">
        <v>356.4</v>
      </c>
      <c r="K852" s="3" t="inlineStr">
        <is>
          <t>공원인근, 조용한 단독주택 토지</t>
        </is>
      </c>
      <c r="L852" s="6">
        <f>HYPERLINK("https://fin.land.naver.com/articles/2652115592", "매물Link")</f>
        <v/>
      </c>
      <c r="M852" s="6">
        <f>HYPERLINK("https://map.naver.com/p/search/아름동 1154", "지도Link")</f>
        <v/>
      </c>
      <c r="N852" s="6">
        <f>HYPERLINK("http://www.eum.go.kr/web/ar/lu/luLandDet.jsp?pnu=3611011300111540000&amp;isNoScr=script&amp;mode=search", "토지이음")</f>
        <v/>
      </c>
      <c r="O852" s="3" t="inlineStr">
        <is>
          <t>세종무지개</t>
        </is>
      </c>
      <c r="P852" s="4" t="n">
        <v>1</v>
      </c>
      <c r="Q852" s="4" t="n">
        <v>342.4</v>
      </c>
      <c r="R852" s="3" t="inlineStr">
        <is>
          <t>지정되지않음</t>
        </is>
      </c>
      <c r="S852" s="3" t="inlineStr">
        <is>
          <t>주거나지</t>
        </is>
      </c>
      <c r="T852" s="3" t="inlineStr">
        <is>
          <t>평지</t>
        </is>
      </c>
      <c r="U852" s="3" t="inlineStr">
        <is>
          <t>정방형</t>
        </is>
      </c>
      <c r="V852" s="3" t="inlineStr">
        <is>
          <t>소로한면</t>
        </is>
      </c>
    </row>
    <row r="853">
      <c r="A853" s="3" t="inlineStr">
        <is>
          <t>아름동 1154</t>
        </is>
      </c>
      <c r="B853" s="3" t="inlineStr">
        <is>
          <t>제1종전용주거지역</t>
        </is>
      </c>
      <c r="C853" s="3" t="inlineStr">
        <is>
          <t>대</t>
        </is>
      </c>
      <c r="D853" s="3" t="inlineStr">
        <is>
          <t>대</t>
        </is>
      </c>
      <c r="E853" s="3" t="inlineStr">
        <is>
          <t>매매</t>
        </is>
      </c>
      <c r="F853" s="4" t="n">
        <v>70000</v>
      </c>
      <c r="G853" s="4" t="n">
        <v>342</v>
      </c>
      <c r="H853" s="4" t="n">
        <v>103</v>
      </c>
      <c r="I853" s="5" t="n">
        <v>679.6</v>
      </c>
      <c r="J853" s="5" t="n">
        <v>356.4</v>
      </c>
      <c r="K853" s="3" t="inlineStr">
        <is>
          <t>야산을 품은 아름동 단독주택지</t>
        </is>
      </c>
      <c r="L853" s="6">
        <f>HYPERLINK("https://fin.land.naver.com/articles/2654124683", "매물Link")</f>
        <v/>
      </c>
      <c r="M853" s="6">
        <f>HYPERLINK("https://map.naver.com/p/search/아름동 1154", "지도Link")</f>
        <v/>
      </c>
      <c r="N853" s="6">
        <f>HYPERLINK("http://www.eum.go.kr/web/ar/lu/luLandDet.jsp?pnu=3611011300111540000&amp;isNoScr=script&amp;mode=search", "토지이음")</f>
        <v/>
      </c>
      <c r="O853" s="3" t="inlineStr">
        <is>
          <t>킹세종</t>
        </is>
      </c>
      <c r="P853" s="4" t="n">
        <v>2</v>
      </c>
      <c r="Q853" s="4" t="n">
        <v>342.4</v>
      </c>
      <c r="R853" s="3" t="inlineStr">
        <is>
          <t>지정되지않음</t>
        </is>
      </c>
      <c r="S853" s="3" t="inlineStr">
        <is>
          <t>주거나지</t>
        </is>
      </c>
      <c r="T853" s="3" t="inlineStr">
        <is>
          <t>평지</t>
        </is>
      </c>
      <c r="U853" s="3" t="inlineStr">
        <is>
          <t>정방형</t>
        </is>
      </c>
      <c r="V853" s="3" t="inlineStr">
        <is>
          <t>소로한면</t>
        </is>
      </c>
    </row>
    <row r="854">
      <c r="A854" s="3" t="inlineStr">
        <is>
          <t>아름동 1163</t>
        </is>
      </c>
      <c r="B854" s="3" t="inlineStr">
        <is>
          <t>제1종전용주거지역</t>
        </is>
      </c>
      <c r="C854" s="3" t="inlineStr">
        <is>
          <t>대</t>
        </is>
      </c>
      <c r="D854" s="3" t="inlineStr">
        <is>
          <t>대</t>
        </is>
      </c>
      <c r="E854" s="3" t="inlineStr">
        <is>
          <t>매매</t>
        </is>
      </c>
      <c r="F854" s="4" t="n">
        <v>180000</v>
      </c>
      <c r="G854" s="4" t="n">
        <v>293</v>
      </c>
      <c r="H854" s="4" t="n">
        <v>89</v>
      </c>
      <c r="I854" s="5" t="n">
        <v>2022.5</v>
      </c>
      <c r="J854" s="5" t="n">
        <v>734.2</v>
      </c>
      <c r="K854" s="3" t="inlineStr">
        <is>
          <t>충대병원, 약국추천자리, 근생토지, 대로변 노출 좋은 자리</t>
        </is>
      </c>
      <c r="L854" s="6">
        <f>HYPERLINK("https://fin.land.naver.com/articles/2651770352", "매물Link")</f>
        <v/>
      </c>
      <c r="M854" s="6">
        <f>HYPERLINK("https://map.naver.com/p/search/아름동 1163", "지도Link")</f>
        <v/>
      </c>
      <c r="N854" s="6">
        <f>HYPERLINK("http://www.eum.go.kr/web/ar/lu/luLandDet.jsp?pnu=3611011300111630000&amp;isNoScr=script&amp;mode=search", "토지이음")</f>
        <v/>
      </c>
      <c r="O854" s="3" t="inlineStr">
        <is>
          <t>세종무지개</t>
        </is>
      </c>
      <c r="P854" s="4" t="n">
        <v>1</v>
      </c>
      <c r="Q854" s="4" t="n">
        <v>293.7</v>
      </c>
      <c r="R854" s="3" t="inlineStr">
        <is>
          <t>지정되지않음</t>
        </is>
      </c>
      <c r="S854" s="3" t="inlineStr">
        <is>
          <t>상업용</t>
        </is>
      </c>
      <c r="T854" s="3" t="inlineStr">
        <is>
          <t>평지</t>
        </is>
      </c>
      <c r="U854" s="3" t="inlineStr">
        <is>
          <t>세로장방</t>
        </is>
      </c>
      <c r="V854" s="3" t="inlineStr">
        <is>
          <t>소로각지</t>
        </is>
      </c>
    </row>
    <row r="855">
      <c r="A855" s="3" t="inlineStr">
        <is>
          <t>아름동 1163</t>
        </is>
      </c>
      <c r="B855" s="3" t="inlineStr">
        <is>
          <t>제1종전용주거지역</t>
        </is>
      </c>
      <c r="C855" s="3" t="inlineStr">
        <is>
          <t>대</t>
        </is>
      </c>
      <c r="D855" s="3" t="inlineStr">
        <is>
          <t>대</t>
        </is>
      </c>
      <c r="E855" s="3" t="inlineStr">
        <is>
          <t>매매</t>
        </is>
      </c>
      <c r="F855" s="4" t="n">
        <v>180000</v>
      </c>
      <c r="G855" s="4" t="n">
        <v>293</v>
      </c>
      <c r="H855" s="4" t="n">
        <v>89</v>
      </c>
      <c r="I855" s="5" t="n">
        <v>2022.5</v>
      </c>
      <c r="J855" s="5" t="n">
        <v>734.2</v>
      </c>
      <c r="K855" s="3" t="inlineStr">
        <is>
          <t>대로변 코너 노출 좋은 입지좋은 근생 토지 매매</t>
        </is>
      </c>
      <c r="L855" s="6">
        <f>HYPERLINK("https://fin.land.naver.com/articles/2651943193", "매물Link")</f>
        <v/>
      </c>
      <c r="M855" s="6">
        <f>HYPERLINK("https://map.naver.com/p/search/아름동 1163", "지도Link")</f>
        <v/>
      </c>
      <c r="N855" s="6">
        <f>HYPERLINK("http://www.eum.go.kr/web/ar/lu/luLandDet.jsp?pnu=3611011300111630000&amp;isNoScr=script&amp;mode=search", "토지이음")</f>
        <v/>
      </c>
      <c r="O855" s="3" t="inlineStr">
        <is>
          <t>명진</t>
        </is>
      </c>
      <c r="P855" s="4" t="n">
        <v>1</v>
      </c>
      <c r="Q855" s="4" t="n">
        <v>293.7</v>
      </c>
      <c r="R855" s="3" t="inlineStr">
        <is>
          <t>지정되지않음</t>
        </is>
      </c>
      <c r="S855" s="3" t="inlineStr">
        <is>
          <t>상업용</t>
        </is>
      </c>
      <c r="T855" s="3" t="inlineStr">
        <is>
          <t>평지</t>
        </is>
      </c>
      <c r="U855" s="3" t="inlineStr">
        <is>
          <t>세로장방</t>
        </is>
      </c>
      <c r="V855" s="3" t="inlineStr">
        <is>
          <t>소로각지</t>
        </is>
      </c>
    </row>
    <row r="856">
      <c r="A856" s="3" t="inlineStr">
        <is>
          <t>아름동 1163</t>
        </is>
      </c>
      <c r="B856" s="3" t="inlineStr">
        <is>
          <t>제1종전용주거지역</t>
        </is>
      </c>
      <c r="C856" s="3" t="inlineStr">
        <is>
          <t>대</t>
        </is>
      </c>
      <c r="D856" s="3" t="inlineStr">
        <is>
          <t>대</t>
        </is>
      </c>
      <c r="E856" s="3" t="inlineStr">
        <is>
          <t>매매</t>
        </is>
      </c>
      <c r="F856" s="4" t="n">
        <v>180000</v>
      </c>
      <c r="G856" s="4" t="n">
        <v>293</v>
      </c>
      <c r="H856" s="4" t="n">
        <v>89</v>
      </c>
      <c r="I856" s="5" t="n">
        <v>2022.5</v>
      </c>
      <c r="J856" s="5" t="n">
        <v>734.2</v>
      </c>
      <c r="K856" s="3" t="inlineStr">
        <is>
          <t>충대병원 인접한 아름동 근생용지, 약국위치로 좋아요</t>
        </is>
      </c>
      <c r="L856" s="6">
        <f>HYPERLINK("https://fin.land.naver.com/articles/2650939008", "매물Link")</f>
        <v/>
      </c>
      <c r="M856" s="6">
        <f>HYPERLINK("https://map.naver.com/p/search/아름동 1163", "지도Link")</f>
        <v/>
      </c>
      <c r="N856" s="6">
        <f>HYPERLINK("http://www.eum.go.kr/web/ar/lu/luLandDet.jsp?pnu=3611011300111630000&amp;isNoScr=script&amp;mode=search", "토지이음")</f>
        <v/>
      </c>
      <c r="O856" s="3" t="inlineStr">
        <is>
          <t>OK세종 사무소</t>
        </is>
      </c>
      <c r="P856" s="4" t="n">
        <v>1</v>
      </c>
      <c r="Q856" s="4" t="n">
        <v>293.7</v>
      </c>
      <c r="R856" s="3" t="inlineStr">
        <is>
          <t>지정되지않음</t>
        </is>
      </c>
      <c r="S856" s="3" t="inlineStr">
        <is>
          <t>상업용</t>
        </is>
      </c>
      <c r="T856" s="3" t="inlineStr">
        <is>
          <t>평지</t>
        </is>
      </c>
      <c r="U856" s="3" t="inlineStr">
        <is>
          <t>세로장방</t>
        </is>
      </c>
      <c r="V856" s="3" t="inlineStr">
        <is>
          <t>소로각지</t>
        </is>
      </c>
    </row>
    <row r="857">
      <c r="A857" s="3" t="inlineStr">
        <is>
          <t>아름동 1182</t>
        </is>
      </c>
      <c r="B857" s="3" t="inlineStr">
        <is>
          <t>제1종전용주거지역</t>
        </is>
      </c>
      <c r="C857" s="3" t="inlineStr">
        <is>
          <t>대</t>
        </is>
      </c>
      <c r="D857" s="3" t="inlineStr">
        <is>
          <t>대</t>
        </is>
      </c>
      <c r="E857" s="3" t="inlineStr">
        <is>
          <t>매매</t>
        </is>
      </c>
      <c r="F857" s="4" t="n">
        <v>150000</v>
      </c>
      <c r="G857" s="4" t="n">
        <v>317</v>
      </c>
      <c r="H857" s="4" t="n">
        <v>96</v>
      </c>
      <c r="I857" s="5" t="n">
        <v>1562.5</v>
      </c>
      <c r="J857" s="5" t="n">
        <v>756.7</v>
      </c>
      <c r="K857" s="3" t="inlineStr">
        <is>
          <t>근생용지, 도로변 광고효과 및 상권우수, 조율가능</t>
        </is>
      </c>
      <c r="L857" s="6">
        <f>HYPERLINK("https://fin.land.naver.com/articles/2651035239", "매물Link")</f>
        <v/>
      </c>
      <c r="M857" s="6">
        <f>HYPERLINK("https://map.naver.com/p/search/아름동 1182", "지도Link")</f>
        <v/>
      </c>
      <c r="N857" s="6">
        <f>HYPERLINK("http://www.eum.go.kr/web/ar/lu/luLandDet.jsp?pnu=3611011300111820000&amp;isNoScr=script&amp;mode=search", "토지이음")</f>
        <v/>
      </c>
      <c r="O857" s="3" t="inlineStr">
        <is>
          <t>한방</t>
        </is>
      </c>
      <c r="P857" s="4" t="n">
        <v>2</v>
      </c>
      <c r="Q857" s="4" t="n">
        <v>317.1</v>
      </c>
      <c r="R857" s="3" t="inlineStr">
        <is>
          <t>지정되지않음</t>
        </is>
      </c>
      <c r="S857" s="3" t="inlineStr">
        <is>
          <t>상업용</t>
        </is>
      </c>
      <c r="T857" s="3" t="inlineStr">
        <is>
          <t>평지</t>
        </is>
      </c>
      <c r="U857" s="3" t="inlineStr">
        <is>
          <t>가로장방</t>
        </is>
      </c>
      <c r="V857" s="3" t="inlineStr">
        <is>
          <t>소로각지</t>
        </is>
      </c>
    </row>
    <row r="858">
      <c r="A858" s="3" t="inlineStr">
        <is>
          <t>아름동 1183</t>
        </is>
      </c>
      <c r="B858" s="3" t="inlineStr">
        <is>
          <t>제1종전용주거지역</t>
        </is>
      </c>
      <c r="C858" s="3" t="inlineStr">
        <is>
          <t>대</t>
        </is>
      </c>
      <c r="D858" s="3" t="inlineStr">
        <is>
          <t>대</t>
        </is>
      </c>
      <c r="E858" s="3" t="inlineStr">
        <is>
          <t>매매</t>
        </is>
      </c>
      <c r="F858" s="4" t="n">
        <v>150000</v>
      </c>
      <c r="G858" s="4" t="n">
        <v>317</v>
      </c>
      <c r="H858" s="4" t="n">
        <v>96</v>
      </c>
      <c r="I858" s="5" t="n">
        <v>1562.5</v>
      </c>
      <c r="J858" s="5" t="n">
        <v>724</v>
      </c>
      <c r="K858" s="3" t="inlineStr">
        <is>
          <t>96.1p, 근생용지, 도로변 위치 굿, 건축허가완료</t>
        </is>
      </c>
      <c r="L858" s="6">
        <f>HYPERLINK("https://fin.land.naver.com/articles/2653681862", "매물Link")</f>
        <v/>
      </c>
      <c r="M858" s="6">
        <f>HYPERLINK("https://map.naver.com/p/search/아름동 1183", "지도Link")</f>
        <v/>
      </c>
      <c r="N858" s="6">
        <f>HYPERLINK("http://www.eum.go.kr/web/ar/lu/luLandDet.jsp?pnu=3611011300111830000&amp;isNoScr=script&amp;mode=search", "토지이음")</f>
        <v/>
      </c>
      <c r="O858" s="3" t="inlineStr">
        <is>
          <t>명진</t>
        </is>
      </c>
      <c r="P858" s="4" t="n">
        <v>1</v>
      </c>
      <c r="Q858" s="4" t="n">
        <v>317.2</v>
      </c>
      <c r="R858" s="3" t="inlineStr">
        <is>
          <t>지정되지않음</t>
        </is>
      </c>
      <c r="S858" s="3" t="inlineStr">
        <is>
          <t>상업용</t>
        </is>
      </c>
      <c r="T858" s="3" t="inlineStr">
        <is>
          <t>평지</t>
        </is>
      </c>
      <c r="U858" s="3" t="inlineStr">
        <is>
          <t>가로장방</t>
        </is>
      </c>
      <c r="V858" s="3" t="inlineStr">
        <is>
          <t>소로한면</t>
        </is>
      </c>
    </row>
    <row r="859">
      <c r="A859" s="3" t="inlineStr">
        <is>
          <t>아름동 1183</t>
        </is>
      </c>
      <c r="B859" s="3" t="inlineStr">
        <is>
          <t>제1종전용주거지역</t>
        </is>
      </c>
      <c r="C859" s="3" t="inlineStr">
        <is>
          <t>대</t>
        </is>
      </c>
      <c r="D859" s="3" t="inlineStr">
        <is>
          <t>대</t>
        </is>
      </c>
      <c r="E859" s="3" t="inlineStr">
        <is>
          <t>매매</t>
        </is>
      </c>
      <c r="F859" s="4" t="n">
        <v>145000</v>
      </c>
      <c r="G859" s="4" t="n">
        <v>317</v>
      </c>
      <c r="H859" s="4" t="n">
        <v>96</v>
      </c>
      <c r="I859" s="5" t="n">
        <v>1510.4</v>
      </c>
      <c r="J859" s="5" t="n">
        <v>724</v>
      </c>
      <c r="K859" s="3" t="inlineStr">
        <is>
          <t>근린생활시설 용지로서 대단위 아파트 전면에 위치하여 최고의 상권</t>
        </is>
      </c>
      <c r="L859" s="6">
        <f>HYPERLINK("https://fin.land.naver.com/articles/2651956271", "매물Link")</f>
        <v/>
      </c>
      <c r="M859" s="6">
        <f>HYPERLINK("https://map.naver.com/p/search/아름동 1183", "지도Link")</f>
        <v/>
      </c>
      <c r="N859" s="6">
        <f>HYPERLINK("http://www.eum.go.kr/web/ar/lu/luLandDet.jsp?pnu=3611011300111830000&amp;isNoScr=script&amp;mode=search", "토지이음")</f>
        <v/>
      </c>
      <c r="O859" s="3" t="inlineStr">
        <is>
          <t>대우마을</t>
        </is>
      </c>
      <c r="P859" s="4" t="n">
        <v>1</v>
      </c>
      <c r="Q859" s="4" t="n">
        <v>317.2</v>
      </c>
      <c r="R859" s="3" t="inlineStr">
        <is>
          <t>지정되지않음</t>
        </is>
      </c>
      <c r="S859" s="3" t="inlineStr">
        <is>
          <t>상업용</t>
        </is>
      </c>
      <c r="T859" s="3" t="inlineStr">
        <is>
          <t>평지</t>
        </is>
      </c>
      <c r="U859" s="3" t="inlineStr">
        <is>
          <t>가로장방</t>
        </is>
      </c>
      <c r="V859" s="3" t="inlineStr">
        <is>
          <t>소로한면</t>
        </is>
      </c>
    </row>
    <row r="860">
      <c r="A860" s="3" t="inlineStr">
        <is>
          <t>아름동 1183</t>
        </is>
      </c>
      <c r="B860" s="3" t="inlineStr">
        <is>
          <t>제1종전용주거지역</t>
        </is>
      </c>
      <c r="C860" s="3" t="inlineStr">
        <is>
          <t>대</t>
        </is>
      </c>
      <c r="D860" s="3" t="inlineStr">
        <is>
          <t>대</t>
        </is>
      </c>
      <c r="E860" s="3" t="inlineStr">
        <is>
          <t>매매</t>
        </is>
      </c>
      <c r="F860" s="4" t="n">
        <v>150000</v>
      </c>
      <c r="G860" s="4" t="n">
        <v>317</v>
      </c>
      <c r="H860" s="4" t="n">
        <v>96</v>
      </c>
      <c r="I860" s="5" t="n">
        <v>1562.5</v>
      </c>
      <c r="J860" s="5" t="n">
        <v>724</v>
      </c>
      <c r="K860" s="3" t="inlineStr">
        <is>
          <t>아름동 대로변 근생용지, 96.1p</t>
        </is>
      </c>
      <c r="L860" s="6">
        <f>HYPERLINK("https://fin.land.naver.com/articles/2652839304", "매물Link")</f>
        <v/>
      </c>
      <c r="M860" s="6">
        <f>HYPERLINK("https://map.naver.com/p/search/아름동 1183", "지도Link")</f>
        <v/>
      </c>
      <c r="N860" s="6">
        <f>HYPERLINK("http://www.eum.go.kr/web/ar/lu/luLandDet.jsp?pnu=3611011300111830000&amp;isNoScr=script&amp;mode=search", "토지이음")</f>
        <v/>
      </c>
      <c r="O860" s="3" t="inlineStr">
        <is>
          <t>세종무지개</t>
        </is>
      </c>
      <c r="P860" s="4" t="n">
        <v>1</v>
      </c>
      <c r="Q860" s="4" t="n">
        <v>317.2</v>
      </c>
      <c r="R860" s="3" t="inlineStr">
        <is>
          <t>지정되지않음</t>
        </is>
      </c>
      <c r="S860" s="3" t="inlineStr">
        <is>
          <t>상업용</t>
        </is>
      </c>
      <c r="T860" s="3" t="inlineStr">
        <is>
          <t>평지</t>
        </is>
      </c>
      <c r="U860" s="3" t="inlineStr">
        <is>
          <t>가로장방</t>
        </is>
      </c>
      <c r="V860" s="3" t="inlineStr">
        <is>
          <t>소로한면</t>
        </is>
      </c>
    </row>
    <row r="861">
      <c r="A861" s="3" t="inlineStr">
        <is>
          <t>아름동 1191</t>
        </is>
      </c>
      <c r="B861" s="3" t="inlineStr">
        <is>
          <t>제1종전용주거지역</t>
        </is>
      </c>
      <c r="C861" s="3" t="inlineStr">
        <is>
          <t>대</t>
        </is>
      </c>
      <c r="D861" s="3" t="inlineStr">
        <is>
          <t>대</t>
        </is>
      </c>
      <c r="E861" s="3" t="inlineStr">
        <is>
          <t>매매</t>
        </is>
      </c>
      <c r="F861" s="4" t="n">
        <v>75000</v>
      </c>
      <c r="G861" s="4" t="n">
        <v>360</v>
      </c>
      <c r="H861" s="4" t="n">
        <v>109</v>
      </c>
      <c r="I861" s="5" t="n">
        <v>688.1</v>
      </c>
      <c r="J861" s="5" t="n">
        <v>349.4</v>
      </c>
      <c r="K861" s="3" t="inlineStr">
        <is>
          <t>총 109.3p, 사거리코너자리, 충대병원 인접 토지</t>
        </is>
      </c>
      <c r="L861" s="6">
        <f>HYPERLINK("https://fin.land.naver.com/articles/2654224772", "매물Link")</f>
        <v/>
      </c>
      <c r="M861" s="6">
        <f>HYPERLINK("https://map.naver.com/p/search/아름동 1191", "지도Link")</f>
        <v/>
      </c>
      <c r="N861" s="6">
        <f>HYPERLINK("http://www.eum.go.kr/web/ar/lu/luLandDet.jsp?pnu=3611011300111910000&amp;isNoScr=script&amp;mode=search", "토지이음")</f>
        <v/>
      </c>
      <c r="O861" s="3" t="inlineStr">
        <is>
          <t>명진</t>
        </is>
      </c>
      <c r="P861" s="4" t="n">
        <v>1</v>
      </c>
      <c r="Q861" s="4" t="n">
        <v>360.6</v>
      </c>
      <c r="R861" s="3" t="inlineStr">
        <is>
          <t>지정되지않음</t>
        </is>
      </c>
      <c r="S861" s="3" t="inlineStr">
        <is>
          <t>주거나지</t>
        </is>
      </c>
      <c r="T861" s="3" t="inlineStr">
        <is>
          <t>평지</t>
        </is>
      </c>
      <c r="U861" s="3" t="inlineStr">
        <is>
          <t>가로장방</t>
        </is>
      </c>
      <c r="V861" s="3" t="inlineStr">
        <is>
          <t>소로각지</t>
        </is>
      </c>
    </row>
    <row r="862">
      <c r="A862" s="3" t="inlineStr">
        <is>
          <t>아름동 1191</t>
        </is>
      </c>
      <c r="B862" s="3" t="inlineStr">
        <is>
          <t>제1종전용주거지역</t>
        </is>
      </c>
      <c r="C862" s="3" t="inlineStr">
        <is>
          <t>대</t>
        </is>
      </c>
      <c r="D862" s="3" t="inlineStr">
        <is>
          <t>대</t>
        </is>
      </c>
      <c r="E862" s="3" t="inlineStr">
        <is>
          <t>매매</t>
        </is>
      </c>
      <c r="F862" s="4" t="n">
        <v>75000</v>
      </c>
      <c r="G862" s="4" t="n">
        <v>360</v>
      </c>
      <c r="H862" s="4" t="n">
        <v>109</v>
      </c>
      <c r="I862" s="5" t="n">
        <v>688.1</v>
      </c>
      <c r="J862" s="5" t="n">
        <v>349.4</v>
      </c>
      <c r="K862" s="3" t="inlineStr">
        <is>
          <t>nan</t>
        </is>
      </c>
      <c r="L862" s="6">
        <f>HYPERLINK("https://fin.land.naver.com/articles/2654324387", "매물Link")</f>
        <v/>
      </c>
      <c r="M862" s="6">
        <f>HYPERLINK("https://map.naver.com/p/search/아름동 1191", "지도Link")</f>
        <v/>
      </c>
      <c r="N862" s="6">
        <f>HYPERLINK("http://www.eum.go.kr/web/ar/lu/luLandDet.jsp?pnu=3611011300111910000&amp;isNoScr=script&amp;mode=search", "토지이음")</f>
        <v/>
      </c>
      <c r="O862" s="3" t="inlineStr">
        <is>
          <t>세종시삼성래미안</t>
        </is>
      </c>
      <c r="P862" s="4" t="n">
        <v>2</v>
      </c>
      <c r="Q862" s="4" t="n">
        <v>360.6</v>
      </c>
      <c r="R862" s="3" t="inlineStr">
        <is>
          <t>지정되지않음</t>
        </is>
      </c>
      <c r="S862" s="3" t="inlineStr">
        <is>
          <t>주거나지</t>
        </is>
      </c>
      <c r="T862" s="3" t="inlineStr">
        <is>
          <t>평지</t>
        </is>
      </c>
      <c r="U862" s="3" t="inlineStr">
        <is>
          <t>가로장방</t>
        </is>
      </c>
      <c r="V862" s="3" t="inlineStr">
        <is>
          <t>소로각지</t>
        </is>
      </c>
    </row>
    <row r="863">
      <c r="A863" s="3" t="inlineStr">
        <is>
          <t>아름동 1192</t>
        </is>
      </c>
      <c r="B863" s="3" t="inlineStr">
        <is>
          <t>제1종전용주거지역</t>
        </is>
      </c>
      <c r="C863" s="3" t="inlineStr">
        <is>
          <t>대</t>
        </is>
      </c>
      <c r="D863" s="3" t="inlineStr">
        <is>
          <t>대</t>
        </is>
      </c>
      <c r="E863" s="3" t="inlineStr">
        <is>
          <t>매매</t>
        </is>
      </c>
      <c r="F863" s="4" t="n">
        <v>70000</v>
      </c>
      <c r="G863" s="4" t="n">
        <v>374</v>
      </c>
      <c r="H863" s="4" t="n">
        <v>113</v>
      </c>
      <c r="I863" s="5" t="n">
        <v>619.5</v>
      </c>
      <c r="J863" s="5" t="n">
        <v>349.4</v>
      </c>
      <c r="K863" s="3" t="inlineStr">
        <is>
          <t>4거리 코너땅,야산 인접 쾌적함</t>
        </is>
      </c>
      <c r="L863" s="6">
        <f>HYPERLINK("https://fin.land.naver.com/articles/2654118594", "매물Link")</f>
        <v/>
      </c>
      <c r="M863" s="6">
        <f>HYPERLINK("https://map.naver.com/p/search/아름동 1192", "지도Link")</f>
        <v/>
      </c>
      <c r="N863" s="6">
        <f>HYPERLINK("http://www.eum.go.kr/web/ar/lu/luLandDet.jsp?pnu=3611011300111920000&amp;isNoScr=script&amp;mode=search", "토지이음")</f>
        <v/>
      </c>
      <c r="O863" s="3" t="inlineStr">
        <is>
          <t>킹세종</t>
        </is>
      </c>
      <c r="P863" s="4" t="n">
        <v>2</v>
      </c>
      <c r="Q863" s="4" t="n">
        <v>374.8</v>
      </c>
      <c r="R863" s="3" t="inlineStr">
        <is>
          <t>지정되지않음</t>
        </is>
      </c>
      <c r="S863" s="3" t="inlineStr">
        <is>
          <t>주거나지</t>
        </is>
      </c>
      <c r="T863" s="3" t="inlineStr">
        <is>
          <t>평지</t>
        </is>
      </c>
      <c r="U863" s="3" t="inlineStr">
        <is>
          <t>가로장방</t>
        </is>
      </c>
      <c r="V863" s="3" t="inlineStr">
        <is>
          <t>소로각지</t>
        </is>
      </c>
    </row>
    <row r="864">
      <c r="A864" s="3" t="inlineStr">
        <is>
          <t>아름동 1193</t>
        </is>
      </c>
      <c r="B864" s="3" t="inlineStr">
        <is>
          <t>제1종전용주거지역</t>
        </is>
      </c>
      <c r="C864" s="3" t="inlineStr">
        <is>
          <t>대</t>
        </is>
      </c>
      <c r="D864" s="3" t="inlineStr">
        <is>
          <t>대</t>
        </is>
      </c>
      <c r="E864" s="3" t="inlineStr">
        <is>
          <t>매매</t>
        </is>
      </c>
      <c r="F864" s="4" t="n">
        <v>68000</v>
      </c>
      <c r="G864" s="4" t="n">
        <v>374</v>
      </c>
      <c r="H864" s="4" t="n">
        <v>113</v>
      </c>
      <c r="I864" s="5" t="n">
        <v>601.8</v>
      </c>
      <c r="J864" s="5" t="n">
        <v>335.2</v>
      </c>
      <c r="K864" s="3" t="inlineStr">
        <is>
          <t>아름초인근 언덕 개방감좋음 추가조율가능</t>
        </is>
      </c>
      <c r="L864" s="6">
        <f>HYPERLINK("https://fin.land.naver.com/articles/2653667192", "매물Link")</f>
        <v/>
      </c>
      <c r="M864" s="6">
        <f>HYPERLINK("https://map.naver.com/p/search/아름동 1193", "지도Link")</f>
        <v/>
      </c>
      <c r="N864" s="6">
        <f>HYPERLINK("http://www.eum.go.kr/web/ar/lu/luLandDet.jsp?pnu=3611011300111930000&amp;isNoScr=script&amp;mode=search", "토지이음")</f>
        <v/>
      </c>
      <c r="O864" s="3" t="inlineStr">
        <is>
          <t>세종스타</t>
        </is>
      </c>
      <c r="P864" s="4" t="n">
        <v>2</v>
      </c>
      <c r="Q864" s="4" t="n">
        <v>374.7</v>
      </c>
      <c r="R864" s="3" t="inlineStr">
        <is>
          <t>지정되지않음</t>
        </is>
      </c>
      <c r="S864" s="3" t="inlineStr">
        <is>
          <t>주거나지</t>
        </is>
      </c>
      <c r="T864" s="3" t="inlineStr">
        <is>
          <t>평지</t>
        </is>
      </c>
      <c r="U864" s="3" t="inlineStr">
        <is>
          <t>가로장방</t>
        </is>
      </c>
      <c r="V864" s="3" t="inlineStr">
        <is>
          <t>소로한면</t>
        </is>
      </c>
    </row>
    <row r="865">
      <c r="A865" s="3" t="inlineStr">
        <is>
          <t>아름동 1204</t>
        </is>
      </c>
      <c r="B865" s="3" t="inlineStr">
        <is>
          <t>제1종전용주거지역</t>
        </is>
      </c>
      <c r="C865" s="3" t="inlineStr">
        <is>
          <t>대</t>
        </is>
      </c>
      <c r="D865" s="3" t="inlineStr">
        <is>
          <t>대</t>
        </is>
      </c>
      <c r="E865" s="3" t="inlineStr">
        <is>
          <t>매매</t>
        </is>
      </c>
      <c r="F865" s="4" t="n">
        <v>60000</v>
      </c>
      <c r="G865" s="4" t="n">
        <v>308</v>
      </c>
      <c r="H865" s="4" t="n">
        <v>93</v>
      </c>
      <c r="I865" s="5" t="n">
        <v>645.2</v>
      </c>
      <c r="J865" s="5" t="n">
        <v>349.4</v>
      </c>
      <c r="K865" s="3" t="inlineStr">
        <is>
          <t>코너,대단지인접,충남대병원도보5분,조율가능</t>
        </is>
      </c>
      <c r="L865" s="6">
        <f>HYPERLINK("https://fin.land.naver.com/articles/2650482125", "매물Link")</f>
        <v/>
      </c>
      <c r="M865" s="6">
        <f>HYPERLINK("https://map.naver.com/p/search/아름동 1204", "지도Link")</f>
        <v/>
      </c>
      <c r="N865" s="6">
        <f>HYPERLINK("http://www.eum.go.kr/web/ar/lu/luLandDet.jsp?pnu=3611011300112040000&amp;isNoScr=script&amp;mode=search", "토지이음")</f>
        <v/>
      </c>
      <c r="O865" s="3" t="inlineStr">
        <is>
          <t>똑똑</t>
        </is>
      </c>
      <c r="P865" s="4" t="n">
        <v>2</v>
      </c>
      <c r="Q865" s="4" t="n">
        <v>308</v>
      </c>
      <c r="R865" s="3" t="inlineStr">
        <is>
          <t>지정되지않음</t>
        </is>
      </c>
      <c r="S865" s="3" t="inlineStr">
        <is>
          <t>주거나지</t>
        </is>
      </c>
      <c r="T865" s="3" t="inlineStr">
        <is>
          <t>평지</t>
        </is>
      </c>
      <c r="U865" s="3" t="inlineStr">
        <is>
          <t>가로장방</t>
        </is>
      </c>
      <c r="V865" s="3" t="inlineStr">
        <is>
          <t>소로각지</t>
        </is>
      </c>
    </row>
    <row r="866">
      <c r="A866" s="3" t="inlineStr">
        <is>
          <t>아름동 1219</t>
        </is>
      </c>
      <c r="B866" s="3" t="inlineStr">
        <is>
          <t>제1종전용주거지역</t>
        </is>
      </c>
      <c r="C866" s="3" t="inlineStr">
        <is>
          <t>대</t>
        </is>
      </c>
      <c r="D866" s="3" t="inlineStr">
        <is>
          <t>대</t>
        </is>
      </c>
      <c r="E866" s="3" t="inlineStr">
        <is>
          <t>매매</t>
        </is>
      </c>
      <c r="F866" s="4" t="n">
        <v>68200</v>
      </c>
      <c r="G866" s="4" t="n">
        <v>364</v>
      </c>
      <c r="H866" s="4" t="n">
        <v>110</v>
      </c>
      <c r="I866" s="5" t="n">
        <v>620</v>
      </c>
      <c r="J866" s="5" t="n">
        <v>349.4</v>
      </c>
      <c r="K866" s="3" t="inlineStr">
        <is>
          <t>뒤에는 산 앞에는 멋진 도시뷰,즉시 건축가능함</t>
        </is>
      </c>
      <c r="L866" s="6">
        <f>HYPERLINK("https://fin.land.naver.com/articles/2653891417", "매물Link")</f>
        <v/>
      </c>
      <c r="M866" s="6">
        <f>HYPERLINK("https://map.naver.com/p/search/아름동 1219", "지도Link")</f>
        <v/>
      </c>
      <c r="N866" s="6">
        <f>HYPERLINK("http://www.eum.go.kr/web/ar/lu/luLandDet.jsp?pnu=3611011300112190000&amp;isNoScr=script&amp;mode=search", "토지이음")</f>
        <v/>
      </c>
      <c r="O866" s="3" t="inlineStr">
        <is>
          <t>세종공주제일</t>
        </is>
      </c>
      <c r="P866" s="4" t="n">
        <v>1</v>
      </c>
      <c r="Q866" s="4" t="n">
        <v>364</v>
      </c>
      <c r="R866" s="3" t="inlineStr">
        <is>
          <t>지정되지않음</t>
        </is>
      </c>
      <c r="S866" s="3" t="inlineStr">
        <is>
          <t>주거나지</t>
        </is>
      </c>
      <c r="T866" s="3" t="inlineStr">
        <is>
          <t>평지</t>
        </is>
      </c>
      <c r="U866" s="3" t="inlineStr">
        <is>
          <t>가로장방</t>
        </is>
      </c>
      <c r="V866" s="3" t="inlineStr">
        <is>
          <t>소로각지</t>
        </is>
      </c>
    </row>
    <row r="867">
      <c r="A867" s="3" t="inlineStr">
        <is>
          <t>아름동 1219</t>
        </is>
      </c>
      <c r="B867" s="3" t="inlineStr">
        <is>
          <t>제1종전용주거지역</t>
        </is>
      </c>
      <c r="C867" s="3" t="inlineStr">
        <is>
          <t>대</t>
        </is>
      </c>
      <c r="D867" s="3" t="inlineStr">
        <is>
          <t>대</t>
        </is>
      </c>
      <c r="E867" s="3" t="inlineStr">
        <is>
          <t>매매</t>
        </is>
      </c>
      <c r="F867" s="4" t="n">
        <v>67100</v>
      </c>
      <c r="G867" s="4" t="n">
        <v>364</v>
      </c>
      <c r="H867" s="4" t="n">
        <v>110</v>
      </c>
      <c r="I867" s="5" t="n">
        <v>610</v>
      </c>
      <c r="J867" s="5" t="n">
        <v>349.4</v>
      </c>
      <c r="K867" s="3" t="inlineStr">
        <is>
          <t>조망이 아주 뛰어납니다.확 트인 시야</t>
        </is>
      </c>
      <c r="L867" s="6">
        <f>HYPERLINK("https://fin.land.naver.com/articles/2652406933", "매물Link")</f>
        <v/>
      </c>
      <c r="M867" s="6">
        <f>HYPERLINK("https://map.naver.com/p/search/아름동 1219", "지도Link")</f>
        <v/>
      </c>
      <c r="N867" s="6">
        <f>HYPERLINK("http://www.eum.go.kr/web/ar/lu/luLandDet.jsp?pnu=3611011300112190000&amp;isNoScr=script&amp;mode=search", "토지이음")</f>
        <v/>
      </c>
      <c r="O867" s="3" t="inlineStr">
        <is>
          <t>세종공주제일</t>
        </is>
      </c>
      <c r="P867" s="4" t="n">
        <v>1</v>
      </c>
      <c r="Q867" s="4" t="n">
        <v>364</v>
      </c>
      <c r="R867" s="3" t="inlineStr">
        <is>
          <t>지정되지않음</t>
        </is>
      </c>
      <c r="S867" s="3" t="inlineStr">
        <is>
          <t>주거나지</t>
        </is>
      </c>
      <c r="T867" s="3" t="inlineStr">
        <is>
          <t>평지</t>
        </is>
      </c>
      <c r="U867" s="3" t="inlineStr">
        <is>
          <t>가로장방</t>
        </is>
      </c>
      <c r="V867" s="3" t="inlineStr">
        <is>
          <t>소로각지</t>
        </is>
      </c>
    </row>
    <row r="868">
      <c r="A868" s="3" t="inlineStr">
        <is>
          <t>아름동 1221</t>
        </is>
      </c>
      <c r="B868" s="3" t="inlineStr">
        <is>
          <t>제1종전용주거지역</t>
        </is>
      </c>
      <c r="C868" s="3" t="inlineStr">
        <is>
          <t>대</t>
        </is>
      </c>
      <c r="D868" s="3" t="inlineStr">
        <is>
          <t>대</t>
        </is>
      </c>
      <c r="E868" s="3" t="inlineStr">
        <is>
          <t>매매</t>
        </is>
      </c>
      <c r="F868" s="4" t="n">
        <v>65000</v>
      </c>
      <c r="G868" s="4" t="n">
        <v>364</v>
      </c>
      <c r="H868" s="4" t="n">
        <v>110</v>
      </c>
      <c r="I868" s="5" t="n">
        <v>590.9</v>
      </c>
      <c r="J868" s="5" t="n">
        <v>335.2</v>
      </c>
      <c r="K868" s="3" t="inlineStr">
        <is>
          <t>nan</t>
        </is>
      </c>
      <c r="L868" s="6">
        <f>HYPERLINK("https://fin.land.naver.com/articles/2651708627", "매물Link")</f>
        <v/>
      </c>
      <c r="M868" s="6">
        <f>HYPERLINK("https://map.naver.com/p/search/아름동 1221", "지도Link")</f>
        <v/>
      </c>
      <c r="N868" s="6">
        <f>HYPERLINK("http://www.eum.go.kr/web/ar/lu/luLandDet.jsp?pnu=3611011300112210000&amp;isNoScr=script&amp;mode=search", "토지이음")</f>
        <v/>
      </c>
      <c r="O868" s="3" t="inlineStr">
        <is>
          <t>세종시삼성래미안</t>
        </is>
      </c>
      <c r="P868" s="4" t="n">
        <v>1</v>
      </c>
      <c r="Q868" s="4" t="n">
        <v>364.4</v>
      </c>
      <c r="R868" s="3" t="inlineStr">
        <is>
          <t>지정되지않음</t>
        </is>
      </c>
      <c r="S868" s="3" t="inlineStr">
        <is>
          <t>주거나지</t>
        </is>
      </c>
      <c r="T868" s="3" t="inlineStr">
        <is>
          <t>평지</t>
        </is>
      </c>
      <c r="U868" s="3" t="inlineStr">
        <is>
          <t>가로장방</t>
        </is>
      </c>
      <c r="V868" s="3" t="inlineStr">
        <is>
          <t>소로한면</t>
        </is>
      </c>
    </row>
    <row r="869">
      <c r="A869" s="3" t="inlineStr">
        <is>
          <t>아름동 1231</t>
        </is>
      </c>
      <c r="B869" s="3" t="inlineStr">
        <is>
          <t>제1종전용주거지역</t>
        </is>
      </c>
      <c r="C869" s="3" t="inlineStr">
        <is>
          <t>대</t>
        </is>
      </c>
      <c r="D869" s="3" t="inlineStr">
        <is>
          <t>대</t>
        </is>
      </c>
      <c r="E869" s="3" t="inlineStr">
        <is>
          <t>매매</t>
        </is>
      </c>
      <c r="F869" s="4" t="n">
        <v>60000</v>
      </c>
      <c r="G869" s="4" t="n">
        <v>365</v>
      </c>
      <c r="H869" s="4" t="n">
        <v>110</v>
      </c>
      <c r="I869" s="5" t="n">
        <v>545.5</v>
      </c>
      <c r="J869" s="5" t="n">
        <v>343.1</v>
      </c>
      <c r="K869" s="3" t="inlineStr">
        <is>
          <t>정남향 가운데 필지</t>
        </is>
      </c>
      <c r="L869" s="6">
        <f>HYPERLINK("https://fin.land.naver.com/articles/2654115734", "매물Link")</f>
        <v/>
      </c>
      <c r="M869" s="6">
        <f>HYPERLINK("https://map.naver.com/p/search/아름동 1231", "지도Link")</f>
        <v/>
      </c>
      <c r="N869" s="6">
        <f>HYPERLINK("http://www.eum.go.kr/web/ar/lu/luLandDet.jsp?pnu=3611011300112310000&amp;isNoScr=script&amp;mode=search", "토지이음")</f>
        <v/>
      </c>
      <c r="O869" s="3" t="inlineStr">
        <is>
          <t>킹세종</t>
        </is>
      </c>
      <c r="P869" s="4" t="n">
        <v>2</v>
      </c>
      <c r="Q869" s="4" t="n">
        <v>365.4</v>
      </c>
      <c r="R869" s="3" t="inlineStr">
        <is>
          <t>지정되지않음</t>
        </is>
      </c>
      <c r="S869" s="3" t="inlineStr">
        <is>
          <t>주거나지</t>
        </is>
      </c>
      <c r="T869" s="3" t="inlineStr">
        <is>
          <t>평지</t>
        </is>
      </c>
      <c r="U869" s="3" t="inlineStr">
        <is>
          <t>가로장방</t>
        </is>
      </c>
      <c r="V869" s="3" t="inlineStr">
        <is>
          <t>소로한면</t>
        </is>
      </c>
    </row>
    <row r="870">
      <c r="A870" s="3" t="inlineStr">
        <is>
          <t>아름동 1231</t>
        </is>
      </c>
      <c r="B870" s="3" t="inlineStr">
        <is>
          <t>제1종전용주거지역</t>
        </is>
      </c>
      <c r="C870" s="3" t="inlineStr">
        <is>
          <t>대</t>
        </is>
      </c>
      <c r="D870" s="3" t="inlineStr">
        <is>
          <t>대</t>
        </is>
      </c>
      <c r="E870" s="3" t="inlineStr">
        <is>
          <t>매매</t>
        </is>
      </c>
      <c r="F870" s="4" t="n">
        <v>60000</v>
      </c>
      <c r="G870" s="4" t="n">
        <v>365</v>
      </c>
      <c r="H870" s="4" t="n">
        <v>110</v>
      </c>
      <c r="I870" s="5" t="n">
        <v>545.5</v>
      </c>
      <c r="J870" s="5" t="n">
        <v>343.1</v>
      </c>
      <c r="K870" s="3" t="inlineStr">
        <is>
          <t>아름동 학교 가까운 주택지</t>
        </is>
      </c>
      <c r="L870" s="6">
        <f>HYPERLINK("https://fin.land.naver.com/articles/2653003576", "매물Link")</f>
        <v/>
      </c>
      <c r="M870" s="6">
        <f>HYPERLINK("https://map.naver.com/p/search/아름동 1231", "지도Link")</f>
        <v/>
      </c>
      <c r="N870" s="6">
        <f>HYPERLINK("http://www.eum.go.kr/web/ar/lu/luLandDet.jsp?pnu=3611011300112310000&amp;isNoScr=script&amp;mode=search", "토지이음")</f>
        <v/>
      </c>
      <c r="O870" s="3" t="inlineStr">
        <is>
          <t>OK세종 사무소</t>
        </is>
      </c>
      <c r="P870" s="4" t="n">
        <v>1</v>
      </c>
      <c r="Q870" s="4" t="n">
        <v>365.4</v>
      </c>
      <c r="R870" s="3" t="inlineStr">
        <is>
          <t>지정되지않음</t>
        </is>
      </c>
      <c r="S870" s="3" t="inlineStr">
        <is>
          <t>주거나지</t>
        </is>
      </c>
      <c r="T870" s="3" t="inlineStr">
        <is>
          <t>평지</t>
        </is>
      </c>
      <c r="U870" s="3" t="inlineStr">
        <is>
          <t>가로장방</t>
        </is>
      </c>
      <c r="V870" s="3" t="inlineStr">
        <is>
          <t>소로한면</t>
        </is>
      </c>
    </row>
    <row r="871">
      <c r="A871" s="3" t="inlineStr">
        <is>
          <t>아름동 1231</t>
        </is>
      </c>
      <c r="B871" s="3" t="inlineStr">
        <is>
          <t>제1종전용주거지역</t>
        </is>
      </c>
      <c r="C871" s="3" t="inlineStr">
        <is>
          <t>대</t>
        </is>
      </c>
      <c r="D871" s="3" t="inlineStr">
        <is>
          <t>대</t>
        </is>
      </c>
      <c r="E871" s="3" t="inlineStr">
        <is>
          <t>매매</t>
        </is>
      </c>
      <c r="F871" s="4" t="n">
        <v>60000</v>
      </c>
      <c r="G871" s="4" t="n">
        <v>365</v>
      </c>
      <c r="H871" s="4" t="n">
        <v>110</v>
      </c>
      <c r="I871" s="5" t="n">
        <v>545.5</v>
      </c>
      <c r="J871" s="5" t="n">
        <v>343.1</v>
      </c>
      <c r="K871" s="3" t="inlineStr">
        <is>
          <t>급매 아름동학원가, 상권이용편리로얄택지, 금액조율가능, 추천매매</t>
        </is>
      </c>
      <c r="L871" s="6">
        <f>HYPERLINK("https://fin.land.naver.com/articles/2653093272", "매물Link")</f>
        <v/>
      </c>
      <c r="M871" s="6">
        <f>HYPERLINK("https://map.naver.com/p/search/아름동 1231", "지도Link")</f>
        <v/>
      </c>
      <c r="N871" s="6">
        <f>HYPERLINK("http://www.eum.go.kr/web/ar/lu/luLandDet.jsp?pnu=3611011300112310000&amp;isNoScr=script&amp;mode=search", "토지이음")</f>
        <v/>
      </c>
      <c r="O871" s="3" t="inlineStr">
        <is>
          <t>한방</t>
        </is>
      </c>
      <c r="P871" s="4" t="n">
        <v>1</v>
      </c>
      <c r="Q871" s="4" t="n">
        <v>365.4</v>
      </c>
      <c r="R871" s="3" t="inlineStr">
        <is>
          <t>지정되지않음</t>
        </is>
      </c>
      <c r="S871" s="3" t="inlineStr">
        <is>
          <t>주거나지</t>
        </is>
      </c>
      <c r="T871" s="3" t="inlineStr">
        <is>
          <t>평지</t>
        </is>
      </c>
      <c r="U871" s="3" t="inlineStr">
        <is>
          <t>가로장방</t>
        </is>
      </c>
      <c r="V871" s="3" t="inlineStr">
        <is>
          <t>소로한면</t>
        </is>
      </c>
    </row>
    <row r="872">
      <c r="A872" s="3" t="inlineStr">
        <is>
          <t>아름동 1231</t>
        </is>
      </c>
      <c r="B872" s="3" t="inlineStr">
        <is>
          <t>제1종전용주거지역</t>
        </is>
      </c>
      <c r="C872" s="3" t="inlineStr">
        <is>
          <t>대</t>
        </is>
      </c>
      <c r="D872" s="3" t="inlineStr">
        <is>
          <t>대</t>
        </is>
      </c>
      <c r="E872" s="3" t="inlineStr">
        <is>
          <t>매매</t>
        </is>
      </c>
      <c r="F872" s="4" t="n">
        <v>60000</v>
      </c>
      <c r="G872" s="4" t="n">
        <v>365</v>
      </c>
      <c r="H872" s="4" t="n">
        <v>110</v>
      </c>
      <c r="I872" s="5" t="n">
        <v>545.5</v>
      </c>
      <c r="J872" s="5" t="n">
        <v>343.1</v>
      </c>
      <c r="K872" s="3" t="inlineStr">
        <is>
          <t>총 110.7p, 아파트 단지 옆, 아름초 인근, 위치좋고 가격좋은 토지</t>
        </is>
      </c>
      <c r="L872" s="6">
        <f>HYPERLINK("https://fin.land.naver.com/articles/2652842649", "매물Link")</f>
        <v/>
      </c>
      <c r="M872" s="6">
        <f>HYPERLINK("https://map.naver.com/p/search/아름동 1231", "지도Link")</f>
        <v/>
      </c>
      <c r="N872" s="6">
        <f>HYPERLINK("http://www.eum.go.kr/web/ar/lu/luLandDet.jsp?pnu=3611011300112310000&amp;isNoScr=script&amp;mode=search", "토지이음")</f>
        <v/>
      </c>
      <c r="O872" s="3" t="inlineStr">
        <is>
          <t>세종무지개</t>
        </is>
      </c>
      <c r="P872" s="4" t="n">
        <v>1</v>
      </c>
      <c r="Q872" s="4" t="n">
        <v>365.4</v>
      </c>
      <c r="R872" s="3" t="inlineStr">
        <is>
          <t>지정되지않음</t>
        </is>
      </c>
      <c r="S872" s="3" t="inlineStr">
        <is>
          <t>주거나지</t>
        </is>
      </c>
      <c r="T872" s="3" t="inlineStr">
        <is>
          <t>평지</t>
        </is>
      </c>
      <c r="U872" s="3" t="inlineStr">
        <is>
          <t>가로장방</t>
        </is>
      </c>
      <c r="V872" s="3" t="inlineStr">
        <is>
          <t>소로한면</t>
        </is>
      </c>
    </row>
    <row r="873">
      <c r="A873" s="3" t="inlineStr">
        <is>
          <t>아름동 1256</t>
        </is>
      </c>
      <c r="B873" s="3" t="inlineStr">
        <is>
          <t>제1종전용주거지역</t>
        </is>
      </c>
      <c r="C873" s="3" t="inlineStr">
        <is>
          <t>대</t>
        </is>
      </c>
      <c r="D873" s="3" t="inlineStr">
        <is>
          <t>대</t>
        </is>
      </c>
      <c r="E873" s="3" t="inlineStr">
        <is>
          <t>매매</t>
        </is>
      </c>
      <c r="F873" s="4" t="n">
        <v>70000</v>
      </c>
      <c r="G873" s="4" t="n">
        <v>354</v>
      </c>
      <c r="H873" s="4" t="n">
        <v>107</v>
      </c>
      <c r="I873" s="5" t="n">
        <v>654.2</v>
      </c>
      <c r="J873" s="5" t="n">
        <v>343.1</v>
      </c>
      <c r="K873" s="3" t="inlineStr">
        <is>
          <t>총 107.4p, 아름초인근, 위치좋은 단독주택지 추천</t>
        </is>
      </c>
      <c r="L873" s="6">
        <f>HYPERLINK("https://fin.land.naver.com/articles/2651902228", "매물Link")</f>
        <v/>
      </c>
      <c r="M873" s="6">
        <f>HYPERLINK("https://map.naver.com/p/search/아름동 1256", "지도Link")</f>
        <v/>
      </c>
      <c r="N873" s="6">
        <f>HYPERLINK("http://www.eum.go.kr/web/ar/lu/luLandDet.jsp?pnu=3611011300112560000&amp;isNoScr=script&amp;mode=search", "토지이음")</f>
        <v/>
      </c>
      <c r="O873" s="3" t="inlineStr">
        <is>
          <t>명진</t>
        </is>
      </c>
      <c r="P873" s="4" t="n">
        <v>1</v>
      </c>
      <c r="Q873" s="4" t="n">
        <v>354.3</v>
      </c>
      <c r="R873" s="3" t="inlineStr">
        <is>
          <t>지정되지않음</t>
        </is>
      </c>
      <c r="S873" s="3" t="inlineStr">
        <is>
          <t>주거나지</t>
        </is>
      </c>
      <c r="T873" s="3" t="inlineStr">
        <is>
          <t>평지</t>
        </is>
      </c>
      <c r="U873" s="3" t="inlineStr">
        <is>
          <t>가로장방</t>
        </is>
      </c>
      <c r="V873" s="3" t="inlineStr">
        <is>
          <t>소로한면</t>
        </is>
      </c>
    </row>
    <row r="874">
      <c r="A874" s="3" t="inlineStr">
        <is>
          <t>아름동 1256</t>
        </is>
      </c>
      <c r="B874" s="3" t="inlineStr">
        <is>
          <t>제1종전용주거지역</t>
        </is>
      </c>
      <c r="C874" s="3" t="inlineStr">
        <is>
          <t>대</t>
        </is>
      </c>
      <c r="D874" s="3" t="inlineStr">
        <is>
          <t>대</t>
        </is>
      </c>
      <c r="E874" s="3" t="inlineStr">
        <is>
          <t>매매</t>
        </is>
      </c>
      <c r="F874" s="4" t="n">
        <v>70000</v>
      </c>
      <c r="G874" s="4" t="n">
        <v>353</v>
      </c>
      <c r="H874" s="4" t="n">
        <v>107</v>
      </c>
      <c r="I874" s="5" t="n">
        <v>654.2</v>
      </c>
      <c r="J874" s="5" t="n">
        <v>343.1</v>
      </c>
      <c r="K874" s="3" t="inlineStr">
        <is>
          <t>초등학교인접, 대단지 맞은편 아름동 단독주택</t>
        </is>
      </c>
      <c r="L874" s="6">
        <f>HYPERLINK("https://fin.land.naver.com/articles/2650427506", "매물Link")</f>
        <v/>
      </c>
      <c r="M874" s="6">
        <f>HYPERLINK("https://map.naver.com/p/search/아름동 1256", "지도Link")</f>
        <v/>
      </c>
      <c r="N874" s="6">
        <f>HYPERLINK("http://www.eum.go.kr/web/ar/lu/luLandDet.jsp?pnu=3611011300112560000&amp;isNoScr=script&amp;mode=search", "토지이음")</f>
        <v/>
      </c>
      <c r="O874" s="3" t="inlineStr">
        <is>
          <t>세종무지개</t>
        </is>
      </c>
      <c r="P874" s="4" t="n">
        <v>1</v>
      </c>
      <c r="Q874" s="4" t="n">
        <v>354.3</v>
      </c>
      <c r="R874" s="3" t="inlineStr">
        <is>
          <t>지정되지않음</t>
        </is>
      </c>
      <c r="S874" s="3" t="inlineStr">
        <is>
          <t>주거나지</t>
        </is>
      </c>
      <c r="T874" s="3" t="inlineStr">
        <is>
          <t>평지</t>
        </is>
      </c>
      <c r="U874" s="3" t="inlineStr">
        <is>
          <t>가로장방</t>
        </is>
      </c>
      <c r="V874" s="3" t="inlineStr">
        <is>
          <t>소로한면</t>
        </is>
      </c>
    </row>
    <row r="875">
      <c r="A875" s="3" t="inlineStr">
        <is>
          <t>아름동 1365</t>
        </is>
      </c>
      <c r="B875" s="3" t="inlineStr">
        <is>
          <t>제1종전용주거지역</t>
        </is>
      </c>
      <c r="C875" s="3" t="inlineStr">
        <is>
          <t>대</t>
        </is>
      </c>
      <c r="D875" s="3" t="inlineStr">
        <is>
          <t>대</t>
        </is>
      </c>
      <c r="E875" s="3" t="inlineStr">
        <is>
          <t>매매</t>
        </is>
      </c>
      <c r="F875" s="4" t="n">
        <v>52000</v>
      </c>
      <c r="G875" s="4" t="n">
        <v>342</v>
      </c>
      <c r="H875" s="4" t="n">
        <v>103</v>
      </c>
      <c r="I875" s="5" t="n">
        <v>504.9</v>
      </c>
      <c r="J875" s="5" t="n">
        <v>380.5</v>
      </c>
      <c r="K875" s="3" t="inlineStr">
        <is>
          <t>조율가능 학원가최인접 땅모양 건축하기 좋음</t>
        </is>
      </c>
      <c r="L875" s="6">
        <f>HYPERLINK("https://fin.land.naver.com/articles/2653670024", "매물Link")</f>
        <v/>
      </c>
      <c r="M875" s="6">
        <f>HYPERLINK("https://map.naver.com/p/search/아름동 1365", "지도Link")</f>
        <v/>
      </c>
      <c r="N875" s="6">
        <f>HYPERLINK("http://www.eum.go.kr/web/ar/lu/luLandDet.jsp?pnu=3611011300113650000&amp;isNoScr=script&amp;mode=search", "토지이음")</f>
        <v/>
      </c>
      <c r="O875" s="3" t="inlineStr">
        <is>
          <t>세종스타</t>
        </is>
      </c>
      <c r="P875" s="4" t="n">
        <v>4</v>
      </c>
      <c r="Q875" s="4" t="n">
        <v>342.1</v>
      </c>
      <c r="R875" s="3" t="inlineStr">
        <is>
          <t>지정되지않음</t>
        </is>
      </c>
      <c r="S875" s="3" t="inlineStr">
        <is>
          <t>주거나지</t>
        </is>
      </c>
      <c r="T875" s="3" t="inlineStr">
        <is>
          <t>평지</t>
        </is>
      </c>
      <c r="U875" s="3" t="inlineStr">
        <is>
          <t>가로장방</t>
        </is>
      </c>
      <c r="V875" s="3" t="inlineStr">
        <is>
          <t>중로각지</t>
        </is>
      </c>
    </row>
    <row r="876">
      <c r="A876" s="3" t="inlineStr">
        <is>
          <t>아름동 1365</t>
        </is>
      </c>
      <c r="B876" s="3" t="inlineStr">
        <is>
          <t>제1종전용주거지역</t>
        </is>
      </c>
      <c r="C876" s="3" t="inlineStr">
        <is>
          <t>대</t>
        </is>
      </c>
      <c r="D876" s="3" t="inlineStr">
        <is>
          <t>대</t>
        </is>
      </c>
      <c r="E876" s="3" t="inlineStr">
        <is>
          <t>매매</t>
        </is>
      </c>
      <c r="F876" s="4" t="n">
        <v>52000</v>
      </c>
      <c r="G876" s="4" t="n">
        <v>342</v>
      </c>
      <c r="H876" s="4" t="n">
        <v>103</v>
      </c>
      <c r="I876" s="5" t="n">
        <v>504.9</v>
      </c>
      <c r="J876" s="5" t="n">
        <v>380.5</v>
      </c>
      <c r="K876" s="3" t="inlineStr">
        <is>
          <t>총 103.7p, 아름동 삼거리 코너, 아파트 단지 근처</t>
        </is>
      </c>
      <c r="L876" s="6">
        <f>HYPERLINK("https://fin.land.naver.com/articles/2652842249", "매물Link")</f>
        <v/>
      </c>
      <c r="M876" s="6">
        <f>HYPERLINK("https://map.naver.com/p/search/아름동 1365", "지도Link")</f>
        <v/>
      </c>
      <c r="N876" s="6">
        <f>HYPERLINK("http://www.eum.go.kr/web/ar/lu/luLandDet.jsp?pnu=3611011300113650000&amp;isNoScr=script&amp;mode=search", "토지이음")</f>
        <v/>
      </c>
      <c r="O876" s="3" t="inlineStr">
        <is>
          <t>세종무지개</t>
        </is>
      </c>
      <c r="P876" s="4" t="n">
        <v>1</v>
      </c>
      <c r="Q876" s="4" t="n">
        <v>342.1</v>
      </c>
      <c r="R876" s="3" t="inlineStr">
        <is>
          <t>지정되지않음</t>
        </is>
      </c>
      <c r="S876" s="3" t="inlineStr">
        <is>
          <t>주거나지</t>
        </is>
      </c>
      <c r="T876" s="3" t="inlineStr">
        <is>
          <t>평지</t>
        </is>
      </c>
      <c r="U876" s="3" t="inlineStr">
        <is>
          <t>가로장방</t>
        </is>
      </c>
      <c r="V876" s="3" t="inlineStr">
        <is>
          <t>중로각지</t>
        </is>
      </c>
    </row>
    <row r="877">
      <c r="A877" s="3" t="inlineStr">
        <is>
          <t>아름동 1370</t>
        </is>
      </c>
      <c r="B877" s="3" t="inlineStr">
        <is>
          <t>제1종전용주거지역</t>
        </is>
      </c>
      <c r="C877" s="3" t="inlineStr">
        <is>
          <t>대</t>
        </is>
      </c>
      <c r="D877" s="3" t="inlineStr">
        <is>
          <t>대</t>
        </is>
      </c>
      <c r="E877" s="3" t="inlineStr">
        <is>
          <t>매매</t>
        </is>
      </c>
      <c r="F877" s="4" t="n">
        <v>60000</v>
      </c>
      <c r="G877" s="4" t="n">
        <v>363</v>
      </c>
      <c r="H877" s="4" t="n">
        <v>110</v>
      </c>
      <c r="I877" s="5" t="n">
        <v>545.5</v>
      </c>
      <c r="J877" s="5" t="n">
        <v>338.2</v>
      </c>
      <c r="K877" s="3" t="inlineStr">
        <is>
          <t>아름동 단독주택 토지매매, 위치 좋은 자리</t>
        </is>
      </c>
      <c r="L877" s="6">
        <f>HYPERLINK("https://fin.land.naver.com/articles/2649577908", "매물Link")</f>
        <v/>
      </c>
      <c r="M877" s="6">
        <f>HYPERLINK("https://map.naver.com/p/search/아름동 1370", "지도Link")</f>
        <v/>
      </c>
      <c r="N877" s="6">
        <f>HYPERLINK("http://www.eum.go.kr/web/ar/lu/luLandDet.jsp?pnu=3611011300113700000&amp;isNoScr=script&amp;mode=search", "토지이음")</f>
        <v/>
      </c>
      <c r="O877" s="3" t="inlineStr">
        <is>
          <t>세종무지개</t>
        </is>
      </c>
      <c r="P877" s="4" t="n">
        <v>1</v>
      </c>
      <c r="Q877" s="4" t="n">
        <v>365</v>
      </c>
      <c r="R877" s="3" t="inlineStr">
        <is>
          <t>지정되지않음</t>
        </is>
      </c>
      <c r="S877" s="3" t="inlineStr">
        <is>
          <t>주거나지</t>
        </is>
      </c>
      <c r="T877" s="3" t="inlineStr">
        <is>
          <t>평지</t>
        </is>
      </c>
      <c r="U877" s="3" t="inlineStr">
        <is>
          <t>가로장방</t>
        </is>
      </c>
      <c r="V877" s="3" t="inlineStr">
        <is>
          <t>소로한면</t>
        </is>
      </c>
    </row>
    <row r="878">
      <c r="A878" s="3" t="inlineStr">
        <is>
          <t>아름동 1370</t>
        </is>
      </c>
      <c r="B878" s="3" t="inlineStr">
        <is>
          <t>제1종전용주거지역</t>
        </is>
      </c>
      <c r="C878" s="3" t="inlineStr">
        <is>
          <t>대</t>
        </is>
      </c>
      <c r="D878" s="3" t="inlineStr">
        <is>
          <t>대</t>
        </is>
      </c>
      <c r="E878" s="3" t="inlineStr">
        <is>
          <t>매매</t>
        </is>
      </c>
      <c r="F878" s="4" t="n">
        <v>60000</v>
      </c>
      <c r="G878" s="4" t="n">
        <v>365</v>
      </c>
      <c r="H878" s="4" t="n">
        <v>110</v>
      </c>
      <c r="I878" s="5" t="n">
        <v>545.5</v>
      </c>
      <c r="J878" s="5" t="n">
        <v>338.2</v>
      </c>
      <c r="K878" s="3" t="inlineStr">
        <is>
          <t>4단지 맞은편, 단독주택 토지 매매</t>
        </is>
      </c>
      <c r="L878" s="6">
        <f>HYPERLINK("https://fin.land.naver.com/articles/2649878133", "매물Link")</f>
        <v/>
      </c>
      <c r="M878" s="6">
        <f>HYPERLINK("https://map.naver.com/p/search/아름동 1370", "지도Link")</f>
        <v/>
      </c>
      <c r="N878" s="6">
        <f>HYPERLINK("http://www.eum.go.kr/web/ar/lu/luLandDet.jsp?pnu=3611011300113700000&amp;isNoScr=script&amp;mode=search", "토지이음")</f>
        <v/>
      </c>
      <c r="O878" s="3" t="inlineStr">
        <is>
          <t>명진</t>
        </is>
      </c>
      <c r="P878" s="4" t="n">
        <v>1</v>
      </c>
      <c r="Q878" s="4" t="n">
        <v>365</v>
      </c>
      <c r="R878" s="3" t="inlineStr">
        <is>
          <t>지정되지않음</t>
        </is>
      </c>
      <c r="S878" s="3" t="inlineStr">
        <is>
          <t>주거나지</t>
        </is>
      </c>
      <c r="T878" s="3" t="inlineStr">
        <is>
          <t>평지</t>
        </is>
      </c>
      <c r="U878" s="3" t="inlineStr">
        <is>
          <t>가로장방</t>
        </is>
      </c>
      <c r="V878" s="3" t="inlineStr">
        <is>
          <t>소로한면</t>
        </is>
      </c>
    </row>
    <row r="879">
      <c r="A879" s="3" t="inlineStr">
        <is>
          <t>아름동 1370</t>
        </is>
      </c>
      <c r="B879" s="3" t="inlineStr">
        <is>
          <t>제1종전용주거지역</t>
        </is>
      </c>
      <c r="C879" s="3" t="inlineStr">
        <is>
          <t>대</t>
        </is>
      </c>
      <c r="D879" s="3" t="inlineStr">
        <is>
          <t>대</t>
        </is>
      </c>
      <c r="E879" s="3" t="inlineStr">
        <is>
          <t>매매</t>
        </is>
      </c>
      <c r="F879" s="4" t="n">
        <v>66000</v>
      </c>
      <c r="G879" s="4" t="n">
        <v>365</v>
      </c>
      <c r="H879" s="4" t="n">
        <v>110</v>
      </c>
      <c r="I879" s="5" t="n">
        <v>600</v>
      </c>
      <c r="J879" s="5" t="n">
        <v>338.2</v>
      </c>
      <c r="K879" s="3" t="inlineStr">
        <is>
          <t>(급매) 단독주택 건축을 고려하시면 추천합니다.</t>
        </is>
      </c>
      <c r="L879" s="6">
        <f>HYPERLINK("https://fin.land.naver.com/articles/2650054888", "매물Link")</f>
        <v/>
      </c>
      <c r="M879" s="6">
        <f>HYPERLINK("https://map.naver.com/p/search/아름동 1370", "지도Link")</f>
        <v/>
      </c>
      <c r="N879" s="6">
        <f>HYPERLINK("http://www.eum.go.kr/web/ar/lu/luLandDet.jsp?pnu=3611011300113700000&amp;isNoScr=script&amp;mode=search", "토지이음")</f>
        <v/>
      </c>
      <c r="O879" s="3" t="inlineStr">
        <is>
          <t>리치빌아주</t>
        </is>
      </c>
      <c r="P879" s="4" t="n">
        <v>1</v>
      </c>
      <c r="Q879" s="4" t="n">
        <v>365</v>
      </c>
      <c r="R879" s="3" t="inlineStr">
        <is>
          <t>지정되지않음</t>
        </is>
      </c>
      <c r="S879" s="3" t="inlineStr">
        <is>
          <t>주거나지</t>
        </is>
      </c>
      <c r="T879" s="3" t="inlineStr">
        <is>
          <t>평지</t>
        </is>
      </c>
      <c r="U879" s="3" t="inlineStr">
        <is>
          <t>가로장방</t>
        </is>
      </c>
      <c r="V879" s="3" t="inlineStr">
        <is>
          <t>소로한면</t>
        </is>
      </c>
    </row>
    <row r="880">
      <c r="A880" s="3" t="inlineStr">
        <is>
          <t>아름동 1380</t>
        </is>
      </c>
      <c r="B880" s="3" t="inlineStr">
        <is>
          <t>제1종전용주거지역</t>
        </is>
      </c>
      <c r="C880" s="3" t="inlineStr">
        <is>
          <t>대</t>
        </is>
      </c>
      <c r="D880" s="3" t="inlineStr">
        <is>
          <t>대</t>
        </is>
      </c>
      <c r="E880" s="3" t="inlineStr">
        <is>
          <t>매매</t>
        </is>
      </c>
      <c r="F880" s="4" t="n">
        <v>45000</v>
      </c>
      <c r="G880" s="4" t="n">
        <v>300</v>
      </c>
      <c r="H880" s="4" t="n">
        <v>91</v>
      </c>
      <c r="I880" s="5" t="n">
        <v>494.5</v>
      </c>
      <c r="J880" s="5" t="n">
        <v>352.4</v>
      </c>
      <c r="K880" s="3" t="inlineStr">
        <is>
          <t>추천급매  가격조율가능  코너각지   생활 편리한 근린상가 근접</t>
        </is>
      </c>
      <c r="L880" s="6">
        <f>HYPERLINK("https://fin.land.naver.com/articles/2654597449", "매물Link")</f>
        <v/>
      </c>
      <c r="M880" s="6">
        <f>HYPERLINK("https://map.naver.com/p/search/아름동 1380", "지도Link")</f>
        <v/>
      </c>
      <c r="N880" s="6">
        <f>HYPERLINK("http://www.eum.go.kr/web/ar/lu/luLandDet.jsp?pnu=3611011300113800000&amp;isNoScr=script&amp;mode=search", "토지이음")</f>
        <v/>
      </c>
      <c r="O880" s="3" t="inlineStr">
        <is>
          <t>고운힐스테이트</t>
        </is>
      </c>
      <c r="P880" s="4" t="n">
        <v>13</v>
      </c>
      <c r="Q880" s="4" t="n">
        <v>300.2</v>
      </c>
      <c r="R880" s="3" t="inlineStr">
        <is>
          <t>지정되지않음</t>
        </is>
      </c>
      <c r="S880" s="3" t="inlineStr">
        <is>
          <t>주거나지</t>
        </is>
      </c>
      <c r="T880" s="3" t="inlineStr">
        <is>
          <t>평지</t>
        </is>
      </c>
      <c r="U880" s="3" t="inlineStr">
        <is>
          <t>세로장방</t>
        </is>
      </c>
      <c r="V880" s="3" t="inlineStr">
        <is>
          <t>소로각지</t>
        </is>
      </c>
    </row>
    <row r="881">
      <c r="A881" s="3" t="inlineStr">
        <is>
          <t>아름동 1380</t>
        </is>
      </c>
      <c r="B881" s="3" t="inlineStr">
        <is>
          <t>제1종전용주거지역</t>
        </is>
      </c>
      <c r="C881" s="3" t="inlineStr">
        <is>
          <t>대</t>
        </is>
      </c>
      <c r="D881" s="3" t="inlineStr">
        <is>
          <t>대</t>
        </is>
      </c>
      <c r="E881" s="3" t="inlineStr">
        <is>
          <t>매매</t>
        </is>
      </c>
      <c r="F881" s="4" t="n">
        <v>45000</v>
      </c>
      <c r="G881" s="4" t="n">
        <v>300</v>
      </c>
      <c r="H881" s="4" t="n">
        <v>91</v>
      </c>
      <c r="I881" s="5" t="n">
        <v>494.5</v>
      </c>
      <c r="J881" s="5" t="n">
        <v>352.4</v>
      </c>
      <c r="K881" s="3" t="inlineStr">
        <is>
          <t>아름동 주택지 저렴한 가격 급매, 코너각지, 위치좋음</t>
        </is>
      </c>
      <c r="L881" s="6">
        <f>HYPERLINK("https://fin.land.naver.com/articles/2653003304", "매물Link")</f>
        <v/>
      </c>
      <c r="M881" s="6">
        <f>HYPERLINK("https://map.naver.com/p/search/아름동 1380", "지도Link")</f>
        <v/>
      </c>
      <c r="N881" s="6">
        <f>HYPERLINK("http://www.eum.go.kr/web/ar/lu/luLandDet.jsp?pnu=3611011300113800000&amp;isNoScr=script&amp;mode=search", "토지이음")</f>
        <v/>
      </c>
      <c r="O881" s="3" t="inlineStr">
        <is>
          <t>OK세종 사무소</t>
        </is>
      </c>
      <c r="P881" s="4" t="n">
        <v>2</v>
      </c>
      <c r="Q881" s="4" t="n">
        <v>300.2</v>
      </c>
      <c r="R881" s="3" t="inlineStr">
        <is>
          <t>지정되지않음</t>
        </is>
      </c>
      <c r="S881" s="3" t="inlineStr">
        <is>
          <t>주거나지</t>
        </is>
      </c>
      <c r="T881" s="3" t="inlineStr">
        <is>
          <t>평지</t>
        </is>
      </c>
      <c r="U881" s="3" t="inlineStr">
        <is>
          <t>세로장방</t>
        </is>
      </c>
      <c r="V881" s="3" t="inlineStr">
        <is>
          <t>소로각지</t>
        </is>
      </c>
    </row>
    <row r="882">
      <c r="A882" s="3" t="inlineStr">
        <is>
          <t>아름동 1380</t>
        </is>
      </c>
      <c r="B882" s="3" t="inlineStr">
        <is>
          <t>제1종전용주거지역</t>
        </is>
      </c>
      <c r="C882" s="3" t="inlineStr">
        <is>
          <t>대</t>
        </is>
      </c>
      <c r="D882" s="3" t="inlineStr">
        <is>
          <t>대</t>
        </is>
      </c>
      <c r="E882" s="3" t="inlineStr">
        <is>
          <t>매매</t>
        </is>
      </c>
      <c r="F882" s="4" t="n">
        <v>45000</v>
      </c>
      <c r="G882" s="4" t="n">
        <v>300</v>
      </c>
      <c r="H882" s="4" t="n">
        <v>91</v>
      </c>
      <c r="I882" s="5" t="n">
        <v>494.5</v>
      </c>
      <c r="J882" s="5" t="n">
        <v>352.4</v>
      </c>
      <c r="K882" s="3" t="inlineStr">
        <is>
          <t>급매 아름동학원가, 상권이용편리로얄택지, 금액조율가능, 추천매매</t>
        </is>
      </c>
      <c r="L882" s="6">
        <f>HYPERLINK("https://fin.land.naver.com/articles/2650559948", "매물Link")</f>
        <v/>
      </c>
      <c r="M882" s="6">
        <f>HYPERLINK("https://map.naver.com/p/search/아름동 1380", "지도Link")</f>
        <v/>
      </c>
      <c r="N882" s="6">
        <f>HYPERLINK("http://www.eum.go.kr/web/ar/lu/luLandDet.jsp?pnu=3611011300113800000&amp;isNoScr=script&amp;mode=search", "토지이음")</f>
        <v/>
      </c>
      <c r="O882" s="3" t="inlineStr">
        <is>
          <t>한방</t>
        </is>
      </c>
      <c r="P882" s="4" t="n">
        <v>1</v>
      </c>
      <c r="Q882" s="4" t="n">
        <v>300.2</v>
      </c>
      <c r="R882" s="3" t="inlineStr">
        <is>
          <t>지정되지않음</t>
        </is>
      </c>
      <c r="S882" s="3" t="inlineStr">
        <is>
          <t>주거나지</t>
        </is>
      </c>
      <c r="T882" s="3" t="inlineStr">
        <is>
          <t>평지</t>
        </is>
      </c>
      <c r="U882" s="3" t="inlineStr">
        <is>
          <t>세로장방</t>
        </is>
      </c>
      <c r="V882" s="3" t="inlineStr">
        <is>
          <t>소로각지</t>
        </is>
      </c>
    </row>
    <row r="883">
      <c r="A883" s="3" t="inlineStr">
        <is>
          <t>아름동 1380</t>
        </is>
      </c>
      <c r="B883" s="3" t="inlineStr">
        <is>
          <t>제1종전용주거지역</t>
        </is>
      </c>
      <c r="C883" s="3" t="inlineStr">
        <is>
          <t>대</t>
        </is>
      </c>
      <c r="D883" s="3" t="inlineStr">
        <is>
          <t>대</t>
        </is>
      </c>
      <c r="E883" s="3" t="inlineStr">
        <is>
          <t>매매</t>
        </is>
      </c>
      <c r="F883" s="4" t="n">
        <v>45000</v>
      </c>
      <c r="G883" s="4" t="n">
        <v>300</v>
      </c>
      <c r="H883" s="4" t="n">
        <v>91</v>
      </c>
      <c r="I883" s="5" t="n">
        <v>494.5</v>
      </c>
      <c r="J883" s="5" t="n">
        <v>352.4</v>
      </c>
      <c r="K883" s="3" t="inlineStr">
        <is>
          <t>D8중 최저가.네고 가능.초,중,고 가깝고,마트.교통까지 편리</t>
        </is>
      </c>
      <c r="L883" s="6">
        <f>HYPERLINK("https://fin.land.naver.com/articles/2650707273", "매물Link")</f>
        <v/>
      </c>
      <c r="M883" s="6">
        <f>HYPERLINK("https://map.naver.com/p/search/아름동 1380", "지도Link")</f>
        <v/>
      </c>
      <c r="N883" s="6">
        <f>HYPERLINK("http://www.eum.go.kr/web/ar/lu/luLandDet.jsp?pnu=3611011300113800000&amp;isNoScr=script&amp;mode=search", "토지이음")</f>
        <v/>
      </c>
      <c r="O883" s="3" t="inlineStr">
        <is>
          <t>수자인</t>
        </is>
      </c>
      <c r="P883" s="4" t="n">
        <v>1</v>
      </c>
      <c r="Q883" s="4" t="n">
        <v>300.2</v>
      </c>
      <c r="R883" s="3" t="inlineStr">
        <is>
          <t>지정되지않음</t>
        </is>
      </c>
      <c r="S883" s="3" t="inlineStr">
        <is>
          <t>주거나지</t>
        </is>
      </c>
      <c r="T883" s="3" t="inlineStr">
        <is>
          <t>평지</t>
        </is>
      </c>
      <c r="U883" s="3" t="inlineStr">
        <is>
          <t>세로장방</t>
        </is>
      </c>
      <c r="V883" s="3" t="inlineStr">
        <is>
          <t>소로각지</t>
        </is>
      </c>
    </row>
    <row r="884">
      <c r="A884" s="3" t="inlineStr">
        <is>
          <t>아름동 1380</t>
        </is>
      </c>
      <c r="B884" s="3" t="inlineStr">
        <is>
          <t>제1종전용주거지역</t>
        </is>
      </c>
      <c r="C884" s="3" t="inlineStr">
        <is>
          <t>대</t>
        </is>
      </c>
      <c r="D884" s="3" t="inlineStr">
        <is>
          <t>대</t>
        </is>
      </c>
      <c r="E884" s="3" t="inlineStr">
        <is>
          <t>매매</t>
        </is>
      </c>
      <c r="F884" s="4" t="n">
        <v>45000</v>
      </c>
      <c r="G884" s="4" t="n">
        <v>300</v>
      </c>
      <c r="H884" s="4" t="n">
        <v>91</v>
      </c>
      <c r="I884" s="5" t="n">
        <v>494.5</v>
      </c>
      <c r="J884" s="5" t="n">
        <v>352.4</v>
      </c>
      <c r="K884" s="3" t="inlineStr">
        <is>
          <t>총 91p, 삼거리 코너, 단지 인접, 급매</t>
        </is>
      </c>
      <c r="L884" s="6">
        <f>HYPERLINK("https://fin.land.naver.com/articles/2654223009", "매물Link")</f>
        <v/>
      </c>
      <c r="M884" s="6">
        <f>HYPERLINK("https://map.naver.com/p/search/아름동 1380", "지도Link")</f>
        <v/>
      </c>
      <c r="N884" s="6">
        <f>HYPERLINK("http://www.eum.go.kr/web/ar/lu/luLandDet.jsp?pnu=3611011300113800000&amp;isNoScr=script&amp;mode=search", "토지이음")</f>
        <v/>
      </c>
      <c r="O884" s="3" t="inlineStr">
        <is>
          <t>명진</t>
        </is>
      </c>
      <c r="P884" s="4" t="n">
        <v>1</v>
      </c>
      <c r="Q884" s="4" t="n">
        <v>300.2</v>
      </c>
      <c r="R884" s="3" t="inlineStr">
        <is>
          <t>지정되지않음</t>
        </is>
      </c>
      <c r="S884" s="3" t="inlineStr">
        <is>
          <t>주거나지</t>
        </is>
      </c>
      <c r="T884" s="3" t="inlineStr">
        <is>
          <t>평지</t>
        </is>
      </c>
      <c r="U884" s="3" t="inlineStr">
        <is>
          <t>세로장방</t>
        </is>
      </c>
      <c r="V884" s="3" t="inlineStr">
        <is>
          <t>소로각지</t>
        </is>
      </c>
    </row>
    <row r="885">
      <c r="A885" s="3" t="inlineStr">
        <is>
          <t>아름동 1380</t>
        </is>
      </c>
      <c r="B885" s="3" t="inlineStr">
        <is>
          <t>제1종전용주거지역</t>
        </is>
      </c>
      <c r="C885" s="3" t="inlineStr">
        <is>
          <t>대</t>
        </is>
      </c>
      <c r="D885" s="3" t="inlineStr">
        <is>
          <t>대</t>
        </is>
      </c>
      <c r="E885" s="3" t="inlineStr">
        <is>
          <t>매매</t>
        </is>
      </c>
      <c r="F885" s="4" t="n">
        <v>45000</v>
      </c>
      <c r="G885" s="4" t="n">
        <v>300</v>
      </c>
      <c r="H885" s="4" t="n">
        <v>91</v>
      </c>
      <c r="I885" s="5" t="n">
        <v>494.5</v>
      </c>
      <c r="J885" s="5" t="n">
        <v>352.4</v>
      </c>
      <c r="K885" s="3" t="inlineStr">
        <is>
          <t>급매, 총 91p, 삼거리코너, 아파트 단지 밑</t>
        </is>
      </c>
      <c r="L885" s="6">
        <f>HYPERLINK("https://fin.land.naver.com/articles/2652838634", "매물Link")</f>
        <v/>
      </c>
      <c r="M885" s="6">
        <f>HYPERLINK("https://map.naver.com/p/search/아름동 1380", "지도Link")</f>
        <v/>
      </c>
      <c r="N885" s="6">
        <f>HYPERLINK("http://www.eum.go.kr/web/ar/lu/luLandDet.jsp?pnu=3611011300113800000&amp;isNoScr=script&amp;mode=search", "토지이음")</f>
        <v/>
      </c>
      <c r="O885" s="3" t="inlineStr">
        <is>
          <t>세종무지개</t>
        </is>
      </c>
      <c r="P885" s="4" t="n">
        <v>1</v>
      </c>
      <c r="Q885" s="4" t="n">
        <v>300.2</v>
      </c>
      <c r="R885" s="3" t="inlineStr">
        <is>
          <t>지정되지않음</t>
        </is>
      </c>
      <c r="S885" s="3" t="inlineStr">
        <is>
          <t>주거나지</t>
        </is>
      </c>
      <c r="T885" s="3" t="inlineStr">
        <is>
          <t>평지</t>
        </is>
      </c>
      <c r="U885" s="3" t="inlineStr">
        <is>
          <t>세로장방</t>
        </is>
      </c>
      <c r="V885" s="3" t="inlineStr">
        <is>
          <t>소로각지</t>
        </is>
      </c>
    </row>
    <row r="886">
      <c r="A886" s="3" t="inlineStr">
        <is>
          <t>아름동 1380</t>
        </is>
      </c>
      <c r="B886" s="3" t="inlineStr">
        <is>
          <t>제1종전용주거지역</t>
        </is>
      </c>
      <c r="C886" s="3" t="inlineStr">
        <is>
          <t>대</t>
        </is>
      </c>
      <c r="D886" s="3" t="inlineStr">
        <is>
          <t>대</t>
        </is>
      </c>
      <c r="E886" s="3" t="inlineStr">
        <is>
          <t>매매</t>
        </is>
      </c>
      <c r="F886" s="4" t="n">
        <v>45000</v>
      </c>
      <c r="G886" s="4" t="n">
        <v>300</v>
      </c>
      <c r="H886" s="4" t="n">
        <v>91</v>
      </c>
      <c r="I886" s="5" t="n">
        <v>494.5</v>
      </c>
      <c r="J886" s="5" t="n">
        <v>352.4</v>
      </c>
      <c r="K886" s="3" t="inlineStr">
        <is>
          <t>급매, 학교, 편의시설, 정부청사 가까워 생활편리, 보행도로접 코너각지</t>
        </is>
      </c>
      <c r="L886" s="6">
        <f>HYPERLINK("https://fin.land.naver.com/articles/2649697166", "매물Link")</f>
        <v/>
      </c>
      <c r="M886" s="6">
        <f>HYPERLINK("https://map.naver.com/p/search/아름동 1380", "지도Link")</f>
        <v/>
      </c>
      <c r="N886" s="6">
        <f>HYPERLINK("http://www.eum.go.kr/web/ar/lu/luLandDet.jsp?pnu=3611011300113800000&amp;isNoScr=script&amp;mode=search", "토지이음")</f>
        <v/>
      </c>
      <c r="O886" s="3" t="inlineStr">
        <is>
          <t>온뜰</t>
        </is>
      </c>
      <c r="P886" s="4" t="n">
        <v>1</v>
      </c>
      <c r="Q886" s="4" t="n">
        <v>300.2</v>
      </c>
      <c r="R886" s="3" t="inlineStr">
        <is>
          <t>지정되지않음</t>
        </is>
      </c>
      <c r="S886" s="3" t="inlineStr">
        <is>
          <t>주거나지</t>
        </is>
      </c>
      <c r="T886" s="3" t="inlineStr">
        <is>
          <t>평지</t>
        </is>
      </c>
      <c r="U886" s="3" t="inlineStr">
        <is>
          <t>세로장방</t>
        </is>
      </c>
      <c r="V886" s="3" t="inlineStr">
        <is>
          <t>소로각지</t>
        </is>
      </c>
    </row>
    <row r="887">
      <c r="A887" s="3" t="inlineStr">
        <is>
          <t>아름동 1392</t>
        </is>
      </c>
      <c r="B887" s="3" t="inlineStr">
        <is>
          <t>제1종전용주거지역</t>
        </is>
      </c>
      <c r="C887" s="3" t="inlineStr">
        <is>
          <t>대</t>
        </is>
      </c>
      <c r="D887" s="3" t="inlineStr">
        <is>
          <t>대</t>
        </is>
      </c>
      <c r="E887" s="3" t="inlineStr">
        <is>
          <t>매매</t>
        </is>
      </c>
      <c r="F887" s="4" t="n">
        <v>60000</v>
      </c>
      <c r="G887" s="4" t="n">
        <v>304</v>
      </c>
      <c r="H887" s="4" t="n">
        <v>92</v>
      </c>
      <c r="I887" s="5" t="n">
        <v>652.2</v>
      </c>
      <c r="J887" s="5" t="n">
        <v>352.4</v>
      </c>
      <c r="K887" s="3" t="inlineStr">
        <is>
          <t>학원가와 가까운 입지의 코너 토지 급매매</t>
        </is>
      </c>
      <c r="L887" s="6">
        <f>HYPERLINK("https://fin.land.naver.com/articles/2651281497", "매물Link")</f>
        <v/>
      </c>
      <c r="M887" s="6">
        <f>HYPERLINK("https://map.naver.com/p/search/아름동 1392", "지도Link")</f>
        <v/>
      </c>
      <c r="N887" s="6">
        <f>HYPERLINK("http://www.eum.go.kr/web/ar/lu/luLandDet.jsp?pnu=3611011300113920000&amp;isNoScr=script&amp;mode=search", "토지이음")</f>
        <v/>
      </c>
      <c r="O887" s="3" t="inlineStr">
        <is>
          <t>킹세종</t>
        </is>
      </c>
      <c r="P887" s="4" t="n">
        <v>1</v>
      </c>
      <c r="Q887" s="4" t="n">
        <v>304.3</v>
      </c>
      <c r="R887" s="3" t="inlineStr">
        <is>
          <t>지정되지않음</t>
        </is>
      </c>
      <c r="S887" s="3" t="inlineStr">
        <is>
          <t>주거나지</t>
        </is>
      </c>
      <c r="T887" s="3" t="inlineStr">
        <is>
          <t>평지</t>
        </is>
      </c>
      <c r="U887" s="3" t="inlineStr">
        <is>
          <t>가로장방</t>
        </is>
      </c>
      <c r="V887" s="3" t="inlineStr">
        <is>
          <t>소로각지</t>
        </is>
      </c>
    </row>
    <row r="888">
      <c r="A888" s="3" t="inlineStr">
        <is>
          <t>아름동 1443</t>
        </is>
      </c>
      <c r="B888" s="3" t="inlineStr">
        <is>
          <t>제1종전용주거지역</t>
        </is>
      </c>
      <c r="C888" s="3" t="inlineStr">
        <is>
          <t>대</t>
        </is>
      </c>
      <c r="D888" s="3" t="inlineStr">
        <is>
          <t>대</t>
        </is>
      </c>
      <c r="E888" s="3" t="inlineStr">
        <is>
          <t>매매</t>
        </is>
      </c>
      <c r="F888" s="4" t="n">
        <v>65000</v>
      </c>
      <c r="G888" s="4" t="n">
        <v>344</v>
      </c>
      <c r="H888" s="4" t="n">
        <v>104</v>
      </c>
      <c r="I888" s="5" t="n">
        <v>625</v>
      </c>
      <c r="J888" s="5" t="n">
        <v>338.2</v>
      </c>
      <c r="K888" s="3" t="inlineStr">
        <is>
          <t>단독주택지.대지</t>
        </is>
      </c>
      <c r="L888" s="6">
        <f>HYPERLINK("https://fin.land.naver.com/articles/2651582608", "매물Link")</f>
        <v/>
      </c>
      <c r="M888" s="6">
        <f>HYPERLINK("https://map.naver.com/p/search/아름동 1443", "지도Link")</f>
        <v/>
      </c>
      <c r="N888" s="6">
        <f>HYPERLINK("http://www.eum.go.kr/web/ar/lu/luLandDet.jsp?pnu=3611011300114430000&amp;isNoScr=script&amp;mode=search", "토지이음")</f>
        <v/>
      </c>
      <c r="O888" s="3" t="inlineStr">
        <is>
          <t>세종몽땅</t>
        </is>
      </c>
      <c r="P888" s="4" t="n">
        <v>1</v>
      </c>
      <c r="Q888" s="4" t="n">
        <v>344</v>
      </c>
      <c r="R888" s="3" t="inlineStr">
        <is>
          <t>지정되지않음</t>
        </is>
      </c>
      <c r="S888" s="3" t="inlineStr">
        <is>
          <t>주거나지</t>
        </is>
      </c>
      <c r="T888" s="3" t="inlineStr">
        <is>
          <t>평지</t>
        </is>
      </c>
      <c r="U888" s="3" t="inlineStr">
        <is>
          <t>세로장방</t>
        </is>
      </c>
      <c r="V888" s="3" t="inlineStr">
        <is>
          <t>소로한면</t>
        </is>
      </c>
    </row>
    <row r="889">
      <c r="A889" s="3" t="inlineStr">
        <is>
          <t>아름동 1443</t>
        </is>
      </c>
      <c r="B889" s="3" t="inlineStr">
        <is>
          <t>제1종전용주거지역</t>
        </is>
      </c>
      <c r="C889" s="3" t="inlineStr">
        <is>
          <t>대</t>
        </is>
      </c>
      <c r="D889" s="3" t="inlineStr">
        <is>
          <t>대</t>
        </is>
      </c>
      <c r="E889" s="3" t="inlineStr">
        <is>
          <t>매매</t>
        </is>
      </c>
      <c r="F889" s="4" t="n">
        <v>65000</v>
      </c>
      <c r="G889" s="4" t="n">
        <v>344</v>
      </c>
      <c r="H889" s="4" t="n">
        <v>104</v>
      </c>
      <c r="I889" s="5" t="n">
        <v>625</v>
      </c>
      <c r="J889" s="5" t="n">
        <v>338.2</v>
      </c>
      <c r="K889" s="3" t="inlineStr">
        <is>
          <t>접근성 좋은 아름동 택지</t>
        </is>
      </c>
      <c r="L889" s="6">
        <f>HYPERLINK("https://fin.land.naver.com/articles/2652794578", "매물Link")</f>
        <v/>
      </c>
      <c r="M889" s="6">
        <f>HYPERLINK("https://map.naver.com/p/search/아름동 1443", "지도Link")</f>
        <v/>
      </c>
      <c r="N889" s="6">
        <f>HYPERLINK("http://www.eum.go.kr/web/ar/lu/luLandDet.jsp?pnu=3611011300114430000&amp;isNoScr=script&amp;mode=search", "토지이음")</f>
        <v/>
      </c>
      <c r="O889" s="3" t="inlineStr">
        <is>
          <t>강아지풀</t>
        </is>
      </c>
      <c r="P889" s="4" t="n">
        <v>1</v>
      </c>
      <c r="Q889" s="4" t="n">
        <v>344</v>
      </c>
      <c r="R889" s="3" t="inlineStr">
        <is>
          <t>지정되지않음</t>
        </is>
      </c>
      <c r="S889" s="3" t="inlineStr">
        <is>
          <t>주거나지</t>
        </is>
      </c>
      <c r="T889" s="3" t="inlineStr">
        <is>
          <t>평지</t>
        </is>
      </c>
      <c r="U889" s="3" t="inlineStr">
        <is>
          <t>세로장방</t>
        </is>
      </c>
      <c r="V889" s="3" t="inlineStr">
        <is>
          <t>소로한면</t>
        </is>
      </c>
    </row>
    <row r="890">
      <c r="A890" s="3" t="inlineStr">
        <is>
          <t>아름동 1452</t>
        </is>
      </c>
      <c r="B890" s="3" t="inlineStr">
        <is>
          <t>제1종전용주거지역</t>
        </is>
      </c>
      <c r="C890" s="3" t="inlineStr">
        <is>
          <t>대</t>
        </is>
      </c>
      <c r="D890" s="3" t="inlineStr">
        <is>
          <t>대</t>
        </is>
      </c>
      <c r="E890" s="3" t="inlineStr">
        <is>
          <t>매매</t>
        </is>
      </c>
      <c r="F890" s="4" t="n">
        <v>55000</v>
      </c>
      <c r="G890" s="4" t="n">
        <v>319</v>
      </c>
      <c r="H890" s="4" t="n">
        <v>96</v>
      </c>
      <c r="I890" s="5" t="n">
        <v>572.9</v>
      </c>
      <c r="J890" s="5" t="n">
        <v>334.5</v>
      </c>
      <c r="K890" s="3" t="inlineStr">
        <is>
          <t>96.7p, 단지 맞은편, 사거리 코너자리</t>
        </is>
      </c>
      <c r="L890" s="6">
        <f>HYPERLINK("https://fin.land.naver.com/articles/2653565169", "매물Link")</f>
        <v/>
      </c>
      <c r="M890" s="6">
        <f>HYPERLINK("https://map.naver.com/p/search/아름동 1452", "지도Link")</f>
        <v/>
      </c>
      <c r="N890" s="6">
        <f>HYPERLINK("http://www.eum.go.kr/web/ar/lu/luLandDet.jsp?pnu=3611011300114520000&amp;isNoScr=script&amp;mode=search", "토지이음")</f>
        <v/>
      </c>
      <c r="O890" s="3" t="inlineStr">
        <is>
          <t>세종무지개</t>
        </is>
      </c>
      <c r="P890" s="4" t="n">
        <v>1</v>
      </c>
      <c r="Q890" s="4" t="n">
        <v>319</v>
      </c>
      <c r="R890" s="3" t="inlineStr">
        <is>
          <t>지정되지않음</t>
        </is>
      </c>
      <c r="S890" s="3" t="inlineStr">
        <is>
          <t>주거나지</t>
        </is>
      </c>
      <c r="T890" s="3" t="inlineStr">
        <is>
          <t>평지</t>
        </is>
      </c>
      <c r="U890" s="3" t="inlineStr">
        <is>
          <t>사다리형</t>
        </is>
      </c>
      <c r="V890" s="3" t="inlineStr">
        <is>
          <t>소로한면</t>
        </is>
      </c>
    </row>
    <row r="891">
      <c r="A891" s="3" t="inlineStr">
        <is>
          <t>아름동 1452</t>
        </is>
      </c>
      <c r="B891" s="3" t="inlineStr">
        <is>
          <t>제1종전용주거지역</t>
        </is>
      </c>
      <c r="C891" s="3" t="inlineStr">
        <is>
          <t>대</t>
        </is>
      </c>
      <c r="D891" s="3" t="inlineStr">
        <is>
          <t>대</t>
        </is>
      </c>
      <c r="E891" s="3" t="inlineStr">
        <is>
          <t>매매</t>
        </is>
      </c>
      <c r="F891" s="4" t="n">
        <v>55000</v>
      </c>
      <c r="G891" s="4" t="n">
        <v>319</v>
      </c>
      <c r="H891" s="4" t="n">
        <v>96</v>
      </c>
      <c r="I891" s="5" t="n">
        <v>572.9</v>
      </c>
      <c r="J891" s="5" t="n">
        <v>334.5</v>
      </c>
      <c r="K891" s="3" t="inlineStr">
        <is>
          <t>총 96.7p, 12단지 맞은편 위치좋은 단독주택지</t>
        </is>
      </c>
      <c r="L891" s="6">
        <f>HYPERLINK("https://fin.land.naver.com/articles/2651908937", "매물Link")</f>
        <v/>
      </c>
      <c r="M891" s="6">
        <f>HYPERLINK("https://map.naver.com/p/search/아름동 1452", "지도Link")</f>
        <v/>
      </c>
      <c r="N891" s="6">
        <f>HYPERLINK("http://www.eum.go.kr/web/ar/lu/luLandDet.jsp?pnu=3611011300114520000&amp;isNoScr=script&amp;mode=search", "토지이음")</f>
        <v/>
      </c>
      <c r="O891" s="3" t="inlineStr">
        <is>
          <t>명진</t>
        </is>
      </c>
      <c r="P891" s="4" t="n">
        <v>1</v>
      </c>
      <c r="Q891" s="4" t="n">
        <v>319</v>
      </c>
      <c r="R891" s="3" t="inlineStr">
        <is>
          <t>지정되지않음</t>
        </is>
      </c>
      <c r="S891" s="3" t="inlineStr">
        <is>
          <t>주거나지</t>
        </is>
      </c>
      <c r="T891" s="3" t="inlineStr">
        <is>
          <t>평지</t>
        </is>
      </c>
      <c r="U891" s="3" t="inlineStr">
        <is>
          <t>사다리형</t>
        </is>
      </c>
      <c r="V891" s="3" t="inlineStr">
        <is>
          <t>소로한면</t>
        </is>
      </c>
    </row>
    <row r="892">
      <c r="A892" s="3" t="inlineStr">
        <is>
          <t>아름동 815</t>
        </is>
      </c>
      <c r="B892" s="3" t="inlineStr">
        <is>
          <t>제2종일반주거지역</t>
        </is>
      </c>
      <c r="C892" s="3" t="inlineStr">
        <is>
          <t>대</t>
        </is>
      </c>
      <c r="D892" s="3" t="inlineStr">
        <is>
          <t>대</t>
        </is>
      </c>
      <c r="E892" s="3" t="inlineStr">
        <is>
          <t>매매</t>
        </is>
      </c>
      <c r="F892" s="4" t="n">
        <v>120000</v>
      </c>
      <c r="G892" s="4" t="n">
        <v>500</v>
      </c>
      <c r="H892" s="4" t="n">
        <v>151</v>
      </c>
      <c r="I892" s="5" t="n">
        <v>794.7</v>
      </c>
      <c r="J892" s="5" t="n">
        <v>172.1</v>
      </c>
      <c r="K892" s="3" t="inlineStr">
        <is>
          <t>데이터센터, 방송국 사옥부지, 조율가능, 정보통신업 추천</t>
        </is>
      </c>
      <c r="L892" s="6">
        <f>HYPERLINK("https://fin.land.naver.com/articles/2653569005", "매물Link")</f>
        <v/>
      </c>
      <c r="M892" s="6">
        <f>HYPERLINK("https://map.naver.com/p/search/아름동 815", "지도Link")</f>
        <v/>
      </c>
      <c r="N892" s="6">
        <f>HYPERLINK("http://www.eum.go.kr/web/ar/lu/luLandDet.jsp?pnu=3611011300108150000&amp;isNoScr=script&amp;mode=search", "토지이음")</f>
        <v/>
      </c>
      <c r="O892" s="3" t="inlineStr">
        <is>
          <t>세종무지개</t>
        </is>
      </c>
      <c r="P892" s="4" t="n">
        <v>1</v>
      </c>
      <c r="Q892" s="4" t="n">
        <v>500</v>
      </c>
      <c r="R892" s="3" t="inlineStr">
        <is>
          <t>지정되지않음</t>
        </is>
      </c>
      <c r="S892" s="3" t="inlineStr">
        <is>
          <t>도로등</t>
        </is>
      </c>
      <c r="T892" s="3" t="inlineStr">
        <is>
          <t>평지</t>
        </is>
      </c>
      <c r="U892" s="3" t="inlineStr">
        <is>
          <t>부정형</t>
        </is>
      </c>
      <c r="V892" s="3" t="inlineStr">
        <is>
          <t>지정되지않음</t>
        </is>
      </c>
    </row>
    <row r="893">
      <c r="A893" s="3" t="inlineStr">
        <is>
          <t>아름동 815</t>
        </is>
      </c>
      <c r="B893" s="3" t="inlineStr">
        <is>
          <t>제2종일반주거지역</t>
        </is>
      </c>
      <c r="C893" s="3" t="inlineStr">
        <is>
          <t>대</t>
        </is>
      </c>
      <c r="D893" s="3" t="inlineStr">
        <is>
          <t>대</t>
        </is>
      </c>
      <c r="E893" s="3" t="inlineStr">
        <is>
          <t>매매</t>
        </is>
      </c>
      <c r="F893" s="4" t="n">
        <v>120000</v>
      </c>
      <c r="G893" s="4" t="n">
        <v>500</v>
      </c>
      <c r="H893" s="4" t="n">
        <v>151</v>
      </c>
      <c r="I893" s="5" t="n">
        <v>794.7</v>
      </c>
      <c r="J893" s="5" t="n">
        <v>172.1</v>
      </c>
      <c r="K893" s="3" t="inlineStr">
        <is>
          <t>방송통신용지 데이터센터 또는 방송관련 사옥으로 최적 가격조율가능</t>
        </is>
      </c>
      <c r="L893" s="6">
        <f>HYPERLINK("https://fin.land.naver.com/articles/2653000172", "매물Link")</f>
        <v/>
      </c>
      <c r="M893" s="6">
        <f>HYPERLINK("https://map.naver.com/p/search/아름동 815", "지도Link")</f>
        <v/>
      </c>
      <c r="N893" s="6">
        <f>HYPERLINK("http://www.eum.go.kr/web/ar/lu/luLandDet.jsp?pnu=3611011300108150000&amp;isNoScr=script&amp;mode=search", "토지이음")</f>
        <v/>
      </c>
      <c r="O893" s="3" t="inlineStr">
        <is>
          <t>뉴엘리트탑</t>
        </is>
      </c>
      <c r="P893" s="4" t="n">
        <v>2</v>
      </c>
      <c r="Q893" s="4" t="n">
        <v>500</v>
      </c>
      <c r="R893" s="3" t="inlineStr">
        <is>
          <t>지정되지않음</t>
        </is>
      </c>
      <c r="S893" s="3" t="inlineStr">
        <is>
          <t>도로등</t>
        </is>
      </c>
      <c r="T893" s="3" t="inlineStr">
        <is>
          <t>평지</t>
        </is>
      </c>
      <c r="U893" s="3" t="inlineStr">
        <is>
          <t>부정형</t>
        </is>
      </c>
      <c r="V893" s="3" t="inlineStr">
        <is>
          <t>지정되지않음</t>
        </is>
      </c>
    </row>
    <row r="894">
      <c r="A894" s="3" t="inlineStr">
        <is>
          <t>아름동 826</t>
        </is>
      </c>
      <c r="B894" s="3" t="inlineStr">
        <is>
          <t>제1종전용주거지역</t>
        </is>
      </c>
      <c r="C894" s="3" t="inlineStr">
        <is>
          <t>대</t>
        </is>
      </c>
      <c r="D894" s="3" t="inlineStr">
        <is>
          <t>대</t>
        </is>
      </c>
      <c r="E894" s="3" t="inlineStr">
        <is>
          <t>매매</t>
        </is>
      </c>
      <c r="F894" s="4" t="n">
        <v>65000</v>
      </c>
      <c r="G894" s="4" t="n">
        <v>305</v>
      </c>
      <c r="H894" s="4" t="n">
        <v>92</v>
      </c>
      <c r="I894" s="5" t="n">
        <v>706.5</v>
      </c>
      <c r="J894" s="5" t="n">
        <v>339.5</v>
      </c>
      <c r="K894" s="3" t="inlineStr">
        <is>
          <t>국제고 인근, 충대병원 가까운 아름동 단독주택 토지매매</t>
        </is>
      </c>
      <c r="L894" s="6">
        <f>HYPERLINK("https://fin.land.naver.com/articles/2652839214", "매물Link")</f>
        <v/>
      </c>
      <c r="M894" s="6">
        <f>HYPERLINK("https://map.naver.com/p/search/아름동 826", "지도Link")</f>
        <v/>
      </c>
      <c r="N894" s="6">
        <f>HYPERLINK("http://www.eum.go.kr/web/ar/lu/luLandDet.jsp?pnu=3611011300108260000&amp;isNoScr=script&amp;mode=search", "토지이음")</f>
        <v/>
      </c>
      <c r="O894" s="3" t="inlineStr">
        <is>
          <t>세종무지개</t>
        </is>
      </c>
      <c r="P894" s="4" t="n">
        <v>1</v>
      </c>
      <c r="Q894" s="4" t="n">
        <v>305.5</v>
      </c>
      <c r="R894" s="3" t="inlineStr">
        <is>
          <t>지정되지않음</t>
        </is>
      </c>
      <c r="S894" s="3" t="inlineStr">
        <is>
          <t>주거나지</t>
        </is>
      </c>
      <c r="T894" s="3" t="inlineStr">
        <is>
          <t>평지</t>
        </is>
      </c>
      <c r="U894" s="3" t="inlineStr">
        <is>
          <t>정방형</t>
        </is>
      </c>
      <c r="V894" s="3" t="inlineStr">
        <is>
          <t>소로한면</t>
        </is>
      </c>
    </row>
    <row r="895">
      <c r="A895" s="3" t="inlineStr">
        <is>
          <t>아름동 826</t>
        </is>
      </c>
      <c r="B895" s="3" t="inlineStr">
        <is>
          <t>제1종전용주거지역</t>
        </is>
      </c>
      <c r="C895" s="3" t="inlineStr">
        <is>
          <t>대</t>
        </is>
      </c>
      <c r="D895" s="3" t="inlineStr">
        <is>
          <t>대</t>
        </is>
      </c>
      <c r="E895" s="3" t="inlineStr">
        <is>
          <t>매매</t>
        </is>
      </c>
      <c r="F895" s="4" t="n">
        <v>65000</v>
      </c>
      <c r="G895" s="4" t="n">
        <v>305</v>
      </c>
      <c r="H895" s="4" t="n">
        <v>92</v>
      </c>
      <c r="I895" s="5" t="n">
        <v>706.5</v>
      </c>
      <c r="J895" s="5" t="n">
        <v>339.5</v>
      </c>
      <c r="K895" s="3" t="inlineStr">
        <is>
          <t>아름동 국제고 인근, 입지좋은 단독주택 토지매매</t>
        </is>
      </c>
      <c r="L895" s="6">
        <f>HYPERLINK("https://fin.land.naver.com/articles/2654227049", "매물Link")</f>
        <v/>
      </c>
      <c r="M895" s="6">
        <f>HYPERLINK("https://map.naver.com/p/search/아름동 826", "지도Link")</f>
        <v/>
      </c>
      <c r="N895" s="6">
        <f>HYPERLINK("http://www.eum.go.kr/web/ar/lu/luLandDet.jsp?pnu=3611011300108260000&amp;isNoScr=script&amp;mode=search", "토지이음")</f>
        <v/>
      </c>
      <c r="O895" s="3" t="inlineStr">
        <is>
          <t>명진</t>
        </is>
      </c>
      <c r="P895" s="4" t="n">
        <v>1</v>
      </c>
      <c r="Q895" s="4" t="n">
        <v>305.5</v>
      </c>
      <c r="R895" s="3" t="inlineStr">
        <is>
          <t>지정되지않음</t>
        </is>
      </c>
      <c r="S895" s="3" t="inlineStr">
        <is>
          <t>주거나지</t>
        </is>
      </c>
      <c r="T895" s="3" t="inlineStr">
        <is>
          <t>평지</t>
        </is>
      </c>
      <c r="U895" s="3" t="inlineStr">
        <is>
          <t>정방형</t>
        </is>
      </c>
      <c r="V895" s="3" t="inlineStr">
        <is>
          <t>소로한면</t>
        </is>
      </c>
    </row>
    <row r="896">
      <c r="A896" s="3" t="inlineStr">
        <is>
          <t>아름동 863</t>
        </is>
      </c>
      <c r="B896" s="3" t="inlineStr">
        <is>
          <t>제1종전용주거지역</t>
        </is>
      </c>
      <c r="C896" s="3" t="inlineStr">
        <is>
          <t>대</t>
        </is>
      </c>
      <c r="D896" s="3" t="inlineStr">
        <is>
          <t>대</t>
        </is>
      </c>
      <c r="E896" s="3" t="inlineStr">
        <is>
          <t>매매</t>
        </is>
      </c>
      <c r="F896" s="4" t="n">
        <v>80000</v>
      </c>
      <c r="G896" s="4" t="n">
        <v>316</v>
      </c>
      <c r="H896" s="4" t="n">
        <v>96</v>
      </c>
      <c r="I896" s="5" t="n">
        <v>833.3</v>
      </c>
      <c r="J896" s="5" t="n">
        <v>339.8</v>
      </c>
      <c r="K896" s="3" t="inlineStr">
        <is>
          <t>세종 국제고, 영재고, 충대병원, 공원인접한 살기 좋은 동네 택지</t>
        </is>
      </c>
      <c r="L896" s="6">
        <f>HYPERLINK("https://fin.land.naver.com/articles/2650958863", "매물Link")</f>
        <v/>
      </c>
      <c r="M896" s="6">
        <f>HYPERLINK("https://map.naver.com/p/search/아름동 863", "지도Link")</f>
        <v/>
      </c>
      <c r="N896" s="6">
        <f>HYPERLINK("http://www.eum.go.kr/web/ar/lu/luLandDet.jsp?pnu=3611011300108630000&amp;isNoScr=script&amp;mode=search", "토지이음")</f>
        <v/>
      </c>
      <c r="O896" s="3" t="inlineStr">
        <is>
          <t>새롬삼둥이</t>
        </is>
      </c>
      <c r="P896" s="4" t="n">
        <v>2</v>
      </c>
      <c r="Q896" s="4" t="n">
        <v>316</v>
      </c>
      <c r="R896" s="3" t="inlineStr">
        <is>
          <t>지정되지않음</t>
        </is>
      </c>
      <c r="S896" s="3" t="inlineStr">
        <is>
          <t>주거나지</t>
        </is>
      </c>
      <c r="T896" s="3" t="inlineStr">
        <is>
          <t>평지</t>
        </is>
      </c>
      <c r="U896" s="3" t="inlineStr">
        <is>
          <t>가로장방</t>
        </is>
      </c>
      <c r="V896" s="3" t="inlineStr">
        <is>
          <t>소로한면</t>
        </is>
      </c>
    </row>
    <row r="897">
      <c r="A897" s="3" t="inlineStr">
        <is>
          <t>아름동 879</t>
        </is>
      </c>
      <c r="B897" s="3" t="inlineStr">
        <is>
          <t>제1종전용주거지역</t>
        </is>
      </c>
      <c r="C897" s="3" t="inlineStr">
        <is>
          <t>대</t>
        </is>
      </c>
      <c r="D897" s="3" t="inlineStr">
        <is>
          <t>대</t>
        </is>
      </c>
      <c r="E897" s="3" t="inlineStr">
        <is>
          <t>매매</t>
        </is>
      </c>
      <c r="F897" s="4" t="n">
        <v>59000</v>
      </c>
      <c r="G897" s="4" t="n">
        <v>321</v>
      </c>
      <c r="H897" s="4" t="n">
        <v>97</v>
      </c>
      <c r="I897" s="5" t="n">
        <v>608.2</v>
      </c>
      <c r="J897" s="5" t="n">
        <v>339.8</v>
      </c>
      <c r="K897" s="3" t="inlineStr">
        <is>
          <t>급매 ,아름동 최상 택지,충남대병원 인접 생활권 편리,어린이공원접</t>
        </is>
      </c>
      <c r="L897" s="6">
        <f>HYPERLINK("https://fin.land.naver.com/articles/2650851626", "매물Link")</f>
        <v/>
      </c>
      <c r="M897" s="6">
        <f>HYPERLINK("https://map.naver.com/p/search/아름동 879", "지도Link")</f>
        <v/>
      </c>
      <c r="N897" s="6">
        <f>HYPERLINK("http://www.eum.go.kr/web/ar/lu/luLandDet.jsp?pnu=3611011300108790000&amp;isNoScr=script&amp;mode=search", "토지이음")</f>
        <v/>
      </c>
      <c r="O897" s="3" t="inlineStr">
        <is>
          <t>고운맘</t>
        </is>
      </c>
      <c r="P897" s="4" t="n">
        <v>1</v>
      </c>
      <c r="Q897" s="4" t="n">
        <v>321.9</v>
      </c>
      <c r="R897" s="3" t="inlineStr">
        <is>
          <t>지정되지않음</t>
        </is>
      </c>
      <c r="S897" s="3" t="inlineStr">
        <is>
          <t>주거나지</t>
        </is>
      </c>
      <c r="T897" s="3" t="inlineStr">
        <is>
          <t>평지</t>
        </is>
      </c>
      <c r="U897" s="3" t="inlineStr">
        <is>
          <t>가로장방</t>
        </is>
      </c>
      <c r="V897" s="3" t="inlineStr">
        <is>
          <t>소로한면</t>
        </is>
      </c>
    </row>
    <row r="898">
      <c r="A898" s="3" t="inlineStr">
        <is>
          <t>아름동 879</t>
        </is>
      </c>
      <c r="B898" s="3" t="inlineStr">
        <is>
          <t>제1종전용주거지역</t>
        </is>
      </c>
      <c r="C898" s="3" t="inlineStr">
        <is>
          <t>대</t>
        </is>
      </c>
      <c r="D898" s="3" t="inlineStr">
        <is>
          <t>대</t>
        </is>
      </c>
      <c r="E898" s="3" t="inlineStr">
        <is>
          <t>매매</t>
        </is>
      </c>
      <c r="F898" s="4" t="n">
        <v>59000</v>
      </c>
      <c r="G898" s="4" t="n">
        <v>321</v>
      </c>
      <c r="H898" s="4" t="n">
        <v>97</v>
      </c>
      <c r="I898" s="5" t="n">
        <v>608.2</v>
      </c>
      <c r="J898" s="5" t="n">
        <v>339.8</v>
      </c>
      <c r="K898" s="3" t="inlineStr">
        <is>
          <t>급매 뒤로 넓은 공원낀위치 우측 연결녹지 넓어 쾌적한곳</t>
        </is>
      </c>
      <c r="L898" s="6">
        <f>HYPERLINK("https://fin.land.naver.com/articles/2652418910", "매물Link")</f>
        <v/>
      </c>
      <c r="M898" s="6">
        <f>HYPERLINK("https://map.naver.com/p/search/아름동 879", "지도Link")</f>
        <v/>
      </c>
      <c r="N898" s="6">
        <f>HYPERLINK("http://www.eum.go.kr/web/ar/lu/luLandDet.jsp?pnu=3611011300108790000&amp;isNoScr=script&amp;mode=search", "토지이음")</f>
        <v/>
      </c>
      <c r="O898" s="3" t="inlineStr">
        <is>
          <t>세종스타</t>
        </is>
      </c>
      <c r="P898" s="4" t="n">
        <v>2</v>
      </c>
      <c r="Q898" s="4" t="n">
        <v>321.9</v>
      </c>
      <c r="R898" s="3" t="inlineStr">
        <is>
          <t>지정되지않음</t>
        </is>
      </c>
      <c r="S898" s="3" t="inlineStr">
        <is>
          <t>주거나지</t>
        </is>
      </c>
      <c r="T898" s="3" t="inlineStr">
        <is>
          <t>평지</t>
        </is>
      </c>
      <c r="U898" s="3" t="inlineStr">
        <is>
          <t>가로장방</t>
        </is>
      </c>
      <c r="V898" s="3" t="inlineStr">
        <is>
          <t>소로한면</t>
        </is>
      </c>
    </row>
    <row r="899">
      <c r="A899" s="3" t="inlineStr">
        <is>
          <t>아름동 881</t>
        </is>
      </c>
      <c r="B899" s="3" t="inlineStr">
        <is>
          <t>제1종전용주거지역</t>
        </is>
      </c>
      <c r="C899" s="3" t="inlineStr">
        <is>
          <t>대</t>
        </is>
      </c>
      <c r="D899" s="3" t="inlineStr">
        <is>
          <t>대</t>
        </is>
      </c>
      <c r="E899" s="3" t="inlineStr">
        <is>
          <t>매매</t>
        </is>
      </c>
      <c r="F899" s="4" t="n">
        <v>74000</v>
      </c>
      <c r="G899" s="4" t="n">
        <v>326</v>
      </c>
      <c r="H899" s="4" t="n">
        <v>99</v>
      </c>
      <c r="I899" s="5" t="n">
        <v>747.5</v>
      </c>
      <c r="J899" s="5" t="n">
        <v>339.8</v>
      </c>
      <c r="K899" s="3" t="inlineStr">
        <is>
          <t>입출입이 편리한 단독주택지입니다.</t>
        </is>
      </c>
      <c r="L899" s="6">
        <f>HYPERLINK("https://fin.land.naver.com/articles/2652479836", "매물Link")</f>
        <v/>
      </c>
      <c r="M899" s="6">
        <f>HYPERLINK("https://map.naver.com/p/search/아름동 881", "지도Link")</f>
        <v/>
      </c>
      <c r="N899" s="6">
        <f>HYPERLINK("http://www.eum.go.kr/web/ar/lu/luLandDet.jsp?pnu=3611011300108810000&amp;isNoScr=script&amp;mode=search", "토지이음")</f>
        <v/>
      </c>
      <c r="O899" s="3" t="inlineStr">
        <is>
          <t>아름</t>
        </is>
      </c>
      <c r="P899" s="4" t="n">
        <v>1</v>
      </c>
      <c r="Q899" s="4" t="n">
        <v>326.2</v>
      </c>
      <c r="R899" s="3" t="inlineStr">
        <is>
          <t>지정되지않음</t>
        </is>
      </c>
      <c r="S899" s="3" t="inlineStr">
        <is>
          <t>주거나지</t>
        </is>
      </c>
      <c r="T899" s="3" t="inlineStr">
        <is>
          <t>평지</t>
        </is>
      </c>
      <c r="U899" s="3" t="inlineStr">
        <is>
          <t>가로장방</t>
        </is>
      </c>
      <c r="V899" s="3" t="inlineStr">
        <is>
          <t>소로한면</t>
        </is>
      </c>
    </row>
    <row r="900">
      <c r="A900" s="3" t="inlineStr">
        <is>
          <t>아름동 914</t>
        </is>
      </c>
      <c r="B900" s="3" t="inlineStr">
        <is>
          <t>제1종전용주거지역</t>
        </is>
      </c>
      <c r="C900" s="3" t="inlineStr">
        <is>
          <t>대</t>
        </is>
      </c>
      <c r="D900" s="3" t="inlineStr">
        <is>
          <t>대</t>
        </is>
      </c>
      <c r="E900" s="3" t="inlineStr">
        <is>
          <t>매매</t>
        </is>
      </c>
      <c r="F900" s="4" t="n">
        <v>80000</v>
      </c>
      <c r="G900" s="4" t="n">
        <v>318</v>
      </c>
      <c r="H900" s="4" t="n">
        <v>96</v>
      </c>
      <c r="I900" s="5" t="n">
        <v>833.3</v>
      </c>
      <c r="J900" s="5" t="n">
        <v>330.6</v>
      </c>
      <c r="K900" s="3" t="inlineStr">
        <is>
          <t>네모 반듯한 예쁜 토지.국제고,영재고 인근.햇볕 잘 드는 최고의 토지.</t>
        </is>
      </c>
      <c r="L900" s="6">
        <f>HYPERLINK("https://fin.land.naver.com/articles/2650707732", "매물Link")</f>
        <v/>
      </c>
      <c r="M900" s="6">
        <f>HYPERLINK("https://map.naver.com/p/search/아름동 914", "지도Link")</f>
        <v/>
      </c>
      <c r="N900" s="6">
        <f>HYPERLINK("http://www.eum.go.kr/web/ar/lu/luLandDet.jsp?pnu=3611011300109140000&amp;isNoScr=script&amp;mode=search", "토지이음")</f>
        <v/>
      </c>
      <c r="O900" s="3" t="inlineStr">
        <is>
          <t>수자인</t>
        </is>
      </c>
      <c r="P900" s="4" t="n">
        <v>1</v>
      </c>
      <c r="Q900" s="4" t="n">
        <v>318.7</v>
      </c>
      <c r="R900" s="3" t="inlineStr">
        <is>
          <t>지정되지않음</t>
        </is>
      </c>
      <c r="S900" s="3" t="inlineStr">
        <is>
          <t>주거나지</t>
        </is>
      </c>
      <c r="T900" s="3" t="inlineStr">
        <is>
          <t>평지</t>
        </is>
      </c>
      <c r="U900" s="3" t="inlineStr">
        <is>
          <t>가로장방</t>
        </is>
      </c>
      <c r="V900" s="3" t="inlineStr">
        <is>
          <t>소로한면</t>
        </is>
      </c>
    </row>
    <row r="901">
      <c r="A901" s="3" t="inlineStr">
        <is>
          <t>아름동 925</t>
        </is>
      </c>
      <c r="B901" s="3" t="inlineStr">
        <is>
          <t>제1종전용주거지역</t>
        </is>
      </c>
      <c r="C901" s="3" t="inlineStr">
        <is>
          <t>대</t>
        </is>
      </c>
      <c r="D901" s="3" t="inlineStr">
        <is>
          <t>대</t>
        </is>
      </c>
      <c r="E901" s="3" t="inlineStr">
        <is>
          <t>매매</t>
        </is>
      </c>
      <c r="F901" s="4" t="n">
        <v>82000</v>
      </c>
      <c r="G901" s="4" t="n">
        <v>298</v>
      </c>
      <c r="H901" s="4" t="n">
        <v>90</v>
      </c>
      <c r="I901" s="5" t="n">
        <v>911.1</v>
      </c>
      <c r="J901" s="5" t="n">
        <v>339.8</v>
      </c>
      <c r="K901" s="3" t="inlineStr">
        <is>
          <t>90.6p, 아름동 국제고 인근 위치 좋은 토지 매매</t>
        </is>
      </c>
      <c r="L901" s="6">
        <f>HYPERLINK("https://fin.land.naver.com/articles/2651940283", "매물Link")</f>
        <v/>
      </c>
      <c r="M901" s="6">
        <f>HYPERLINK("https://map.naver.com/p/search/아름동 925", "지도Link")</f>
        <v/>
      </c>
      <c r="N901" s="6">
        <f>HYPERLINK("http://www.eum.go.kr/web/ar/lu/luLandDet.jsp?pnu=3611011300109250000&amp;isNoScr=script&amp;mode=search", "토지이음")</f>
        <v/>
      </c>
      <c r="O901" s="3" t="inlineStr">
        <is>
          <t>명진</t>
        </is>
      </c>
      <c r="P901" s="4" t="n">
        <v>1</v>
      </c>
      <c r="Q901" s="4" t="n">
        <v>298.9</v>
      </c>
      <c r="R901" s="3" t="inlineStr">
        <is>
          <t>지정되지않음</t>
        </is>
      </c>
      <c r="S901" s="3" t="inlineStr">
        <is>
          <t>주거나지</t>
        </is>
      </c>
      <c r="T901" s="3" t="inlineStr">
        <is>
          <t>평지</t>
        </is>
      </c>
      <c r="U901" s="3" t="inlineStr">
        <is>
          <t>세로장방</t>
        </is>
      </c>
      <c r="V901" s="3" t="inlineStr">
        <is>
          <t>소로한면</t>
        </is>
      </c>
    </row>
    <row r="902">
      <c r="A902" s="3" t="inlineStr">
        <is>
          <t>아름동 925</t>
        </is>
      </c>
      <c r="B902" s="3" t="inlineStr">
        <is>
          <t>제1종전용주거지역</t>
        </is>
      </c>
      <c r="C902" s="3" t="inlineStr">
        <is>
          <t>대</t>
        </is>
      </c>
      <c r="D902" s="3" t="inlineStr">
        <is>
          <t>대</t>
        </is>
      </c>
      <c r="E902" s="3" t="inlineStr">
        <is>
          <t>매매</t>
        </is>
      </c>
      <c r="F902" s="4" t="n">
        <v>82000</v>
      </c>
      <c r="G902" s="4" t="n">
        <v>298</v>
      </c>
      <c r="H902" s="4" t="n">
        <v>90</v>
      </c>
      <c r="I902" s="5" t="n">
        <v>911.1</v>
      </c>
      <c r="J902" s="5" t="n">
        <v>339.8</v>
      </c>
      <c r="K902" s="3" t="inlineStr">
        <is>
          <t>국제고인근 위치좋은 코너각지, 공원인접,보행로연결</t>
        </is>
      </c>
      <c r="L902" s="6">
        <f>HYPERLINK("https://fin.land.naver.com/articles/2650825128", "매물Link")</f>
        <v/>
      </c>
      <c r="M902" s="6">
        <f>HYPERLINK("https://map.naver.com/p/search/아름동 925", "지도Link")</f>
        <v/>
      </c>
      <c r="N902" s="6">
        <f>HYPERLINK("http://www.eum.go.kr/web/ar/lu/luLandDet.jsp?pnu=3611011300109250000&amp;isNoScr=script&amp;mode=search", "토지이음")</f>
        <v/>
      </c>
      <c r="O902" s="3" t="inlineStr">
        <is>
          <t>똑똑</t>
        </is>
      </c>
      <c r="P902" s="4" t="n">
        <v>1</v>
      </c>
      <c r="Q902" s="4" t="n">
        <v>298.9</v>
      </c>
      <c r="R902" s="3" t="inlineStr">
        <is>
          <t>지정되지않음</t>
        </is>
      </c>
      <c r="S902" s="3" t="inlineStr">
        <is>
          <t>주거나지</t>
        </is>
      </c>
      <c r="T902" s="3" t="inlineStr">
        <is>
          <t>평지</t>
        </is>
      </c>
      <c r="U902" s="3" t="inlineStr">
        <is>
          <t>세로장방</t>
        </is>
      </c>
      <c r="V902" s="3" t="inlineStr">
        <is>
          <t>소로한면</t>
        </is>
      </c>
    </row>
    <row r="903">
      <c r="A903" s="3" t="inlineStr">
        <is>
          <t>아름동 925</t>
        </is>
      </c>
      <c r="B903" s="3" t="inlineStr">
        <is>
          <t>제1종전용주거지역</t>
        </is>
      </c>
      <c r="C903" s="3" t="inlineStr">
        <is>
          <t>대</t>
        </is>
      </c>
      <c r="D903" s="3" t="inlineStr">
        <is>
          <t>대</t>
        </is>
      </c>
      <c r="E903" s="3" t="inlineStr">
        <is>
          <t>매매</t>
        </is>
      </c>
      <c r="F903" s="4" t="n">
        <v>82000</v>
      </c>
      <c r="G903" s="4" t="n">
        <v>298</v>
      </c>
      <c r="H903" s="4" t="n">
        <v>90</v>
      </c>
      <c r="I903" s="5" t="n">
        <v>911.1</v>
      </c>
      <c r="J903" s="5" t="n">
        <v>339.8</v>
      </c>
      <c r="K903" s="3" t="inlineStr">
        <is>
          <t>90.6p, 국제고 인근, 공원인접, 조율가능</t>
        </is>
      </c>
      <c r="L903" s="6">
        <f>HYPERLINK("https://fin.land.naver.com/articles/2650427336", "매물Link")</f>
        <v/>
      </c>
      <c r="M903" s="6">
        <f>HYPERLINK("https://map.naver.com/p/search/아름동 925", "지도Link")</f>
        <v/>
      </c>
      <c r="N903" s="6">
        <f>HYPERLINK("http://www.eum.go.kr/web/ar/lu/luLandDet.jsp?pnu=3611011300109250000&amp;isNoScr=script&amp;mode=search", "토지이음")</f>
        <v/>
      </c>
      <c r="O903" s="3" t="inlineStr">
        <is>
          <t>세종무지개</t>
        </is>
      </c>
      <c r="P903" s="4" t="n">
        <v>1</v>
      </c>
      <c r="Q903" s="4" t="n">
        <v>298.9</v>
      </c>
      <c r="R903" s="3" t="inlineStr">
        <is>
          <t>지정되지않음</t>
        </is>
      </c>
      <c r="S903" s="3" t="inlineStr">
        <is>
          <t>주거나지</t>
        </is>
      </c>
      <c r="T903" s="3" t="inlineStr">
        <is>
          <t>평지</t>
        </is>
      </c>
      <c r="U903" s="3" t="inlineStr">
        <is>
          <t>세로장방</t>
        </is>
      </c>
      <c r="V903" s="3" t="inlineStr">
        <is>
          <t>소로한면</t>
        </is>
      </c>
    </row>
    <row r="904">
      <c r="A904" s="3" t="inlineStr">
        <is>
          <t>아름동 929</t>
        </is>
      </c>
      <c r="B904" s="3" t="inlineStr">
        <is>
          <t>제1종전용주거지역</t>
        </is>
      </c>
      <c r="C904" s="3" t="inlineStr">
        <is>
          <t>대</t>
        </is>
      </c>
      <c r="D904" s="3" t="inlineStr">
        <is>
          <t>대</t>
        </is>
      </c>
      <c r="E904" s="3" t="inlineStr">
        <is>
          <t>매매</t>
        </is>
      </c>
      <c r="F904" s="4" t="n">
        <v>63000</v>
      </c>
      <c r="G904" s="4" t="n">
        <v>299</v>
      </c>
      <c r="H904" s="4" t="n">
        <v>90</v>
      </c>
      <c r="I904" s="5" t="n">
        <v>700</v>
      </c>
      <c r="J904" s="5" t="n">
        <v>339.8</v>
      </c>
      <c r="K904" s="3" t="inlineStr">
        <is>
          <t>총 90.6p, 국제고인근 단독주택 토지매매</t>
        </is>
      </c>
      <c r="L904" s="6">
        <f>HYPERLINK("https://fin.land.naver.com/articles/2652842317", "매물Link")</f>
        <v/>
      </c>
      <c r="M904" s="6">
        <f>HYPERLINK("https://map.naver.com/p/search/아름동 929", "지도Link")</f>
        <v/>
      </c>
      <c r="N904" s="6">
        <f>HYPERLINK("http://www.eum.go.kr/web/ar/lu/luLandDet.jsp?pnu=3611011300109290000&amp;isNoScr=script&amp;mode=search", "토지이음")</f>
        <v/>
      </c>
      <c r="O904" s="3" t="inlineStr">
        <is>
          <t>세종무지개</t>
        </is>
      </c>
      <c r="P904" s="4" t="n">
        <v>1</v>
      </c>
      <c r="Q904" s="4" t="n">
        <v>299.1</v>
      </c>
      <c r="R904" s="3" t="inlineStr">
        <is>
          <t>지정되지않음</t>
        </is>
      </c>
      <c r="S904" s="3" t="inlineStr">
        <is>
          <t>주거나지</t>
        </is>
      </c>
      <c r="T904" s="3" t="inlineStr">
        <is>
          <t>평지</t>
        </is>
      </c>
      <c r="U904" s="3" t="inlineStr">
        <is>
          <t>세로장방</t>
        </is>
      </c>
      <c r="V904" s="3" t="inlineStr">
        <is>
          <t>소로한면</t>
        </is>
      </c>
    </row>
    <row r="905">
      <c r="A905" s="3" t="inlineStr">
        <is>
          <t>아름동 929</t>
        </is>
      </c>
      <c r="B905" s="3" t="inlineStr">
        <is>
          <t>제1종전용주거지역</t>
        </is>
      </c>
      <c r="C905" s="3" t="inlineStr">
        <is>
          <t>대</t>
        </is>
      </c>
      <c r="D905" s="3" t="inlineStr">
        <is>
          <t>대</t>
        </is>
      </c>
      <c r="E905" s="3" t="inlineStr">
        <is>
          <t>매매</t>
        </is>
      </c>
      <c r="F905" s="4" t="n">
        <v>63000</v>
      </c>
      <c r="G905" s="4" t="n">
        <v>299</v>
      </c>
      <c r="H905" s="4" t="n">
        <v>90</v>
      </c>
      <c r="I905" s="5" t="n">
        <v>700</v>
      </c>
      <c r="J905" s="5" t="n">
        <v>339.8</v>
      </c>
      <c r="K905" s="3" t="inlineStr">
        <is>
          <t>조율가능 공공조경접함 건축하기 좋은 땅모양</t>
        </is>
      </c>
      <c r="L905" s="6">
        <f>HYPERLINK("https://fin.land.naver.com/articles/2652418932", "매물Link")</f>
        <v/>
      </c>
      <c r="M905" s="6">
        <f>HYPERLINK("https://map.naver.com/p/search/아름동 929", "지도Link")</f>
        <v/>
      </c>
      <c r="N905" s="6">
        <f>HYPERLINK("http://www.eum.go.kr/web/ar/lu/luLandDet.jsp?pnu=3611011300109290000&amp;isNoScr=script&amp;mode=search", "토지이음")</f>
        <v/>
      </c>
      <c r="O905" s="3" t="inlineStr">
        <is>
          <t>세종스타</t>
        </is>
      </c>
      <c r="P905" s="4" t="n">
        <v>2</v>
      </c>
      <c r="Q905" s="4" t="n">
        <v>299.1</v>
      </c>
      <c r="R905" s="3" t="inlineStr">
        <is>
          <t>지정되지않음</t>
        </is>
      </c>
      <c r="S905" s="3" t="inlineStr">
        <is>
          <t>주거나지</t>
        </is>
      </c>
      <c r="T905" s="3" t="inlineStr">
        <is>
          <t>평지</t>
        </is>
      </c>
      <c r="U905" s="3" t="inlineStr">
        <is>
          <t>세로장방</t>
        </is>
      </c>
      <c r="V905" s="3" t="inlineStr">
        <is>
          <t>소로한면</t>
        </is>
      </c>
    </row>
    <row r="906">
      <c r="A906" s="3" t="inlineStr">
        <is>
          <t>아름동 961</t>
        </is>
      </c>
      <c r="B906" s="3" t="inlineStr">
        <is>
          <t>제1종전용주거지역</t>
        </is>
      </c>
      <c r="C906" s="3" t="inlineStr">
        <is>
          <t>대</t>
        </is>
      </c>
      <c r="D906" s="3" t="inlineStr">
        <is>
          <t>대</t>
        </is>
      </c>
      <c r="E906" s="3" t="inlineStr">
        <is>
          <t>매매</t>
        </is>
      </c>
      <c r="F906" s="4" t="n">
        <v>65000</v>
      </c>
      <c r="G906" s="4" t="n">
        <v>299</v>
      </c>
      <c r="H906" s="4" t="n">
        <v>90</v>
      </c>
      <c r="I906" s="5" t="n">
        <v>722.2</v>
      </c>
      <c r="J906" s="5" t="n">
        <v>344.5</v>
      </c>
      <c r="K906" s="3" t="inlineStr">
        <is>
          <t>삼거리 코너, 아름동 입지 좋은 단독주택지</t>
        </is>
      </c>
      <c r="L906" s="6">
        <f>HYPERLINK("https://fin.land.naver.com/articles/2653682488", "매물Link")</f>
        <v/>
      </c>
      <c r="M906" s="6">
        <f>HYPERLINK("https://map.naver.com/p/search/아름동 961", "지도Link")</f>
        <v/>
      </c>
      <c r="N906" s="6">
        <f>HYPERLINK("http://www.eum.go.kr/web/ar/lu/luLandDet.jsp?pnu=3611011300109610000&amp;isNoScr=script&amp;mode=search", "토지이음")</f>
        <v/>
      </c>
      <c r="O906" s="3" t="inlineStr">
        <is>
          <t>명진</t>
        </is>
      </c>
      <c r="P906" s="4" t="n">
        <v>1</v>
      </c>
      <c r="Q906" s="4" t="n">
        <v>299.1</v>
      </c>
      <c r="R906" s="3" t="inlineStr">
        <is>
          <t>지정되지않음</t>
        </is>
      </c>
      <c r="S906" s="3" t="inlineStr">
        <is>
          <t>주거나지</t>
        </is>
      </c>
      <c r="T906" s="3" t="inlineStr">
        <is>
          <t>평지</t>
        </is>
      </c>
      <c r="U906" s="3" t="inlineStr">
        <is>
          <t>세로장방</t>
        </is>
      </c>
      <c r="V906" s="3" t="inlineStr">
        <is>
          <t>소로각지</t>
        </is>
      </c>
    </row>
    <row r="907">
      <c r="A907" s="3" t="inlineStr">
        <is>
          <t>아름동 961</t>
        </is>
      </c>
      <c r="B907" s="3" t="inlineStr">
        <is>
          <t>제1종전용주거지역</t>
        </is>
      </c>
      <c r="C907" s="3" t="inlineStr">
        <is>
          <t>대</t>
        </is>
      </c>
      <c r="D907" s="3" t="inlineStr">
        <is>
          <t>대</t>
        </is>
      </c>
      <c r="E907" s="3" t="inlineStr">
        <is>
          <t>매매</t>
        </is>
      </c>
      <c r="F907" s="4" t="n">
        <v>65000</v>
      </c>
      <c r="G907" s="4" t="n">
        <v>299</v>
      </c>
      <c r="H907" s="4" t="n">
        <v>90</v>
      </c>
      <c r="I907" s="5" t="n">
        <v>722.2</v>
      </c>
      <c r="J907" s="5" t="n">
        <v>344.5</v>
      </c>
      <c r="K907" s="3" t="inlineStr">
        <is>
          <t>좋은매물 단독주택등추천 협의</t>
        </is>
      </c>
      <c r="L907" s="6">
        <f>HYPERLINK("https://fin.land.naver.com/articles/2652055256", "매물Link")</f>
        <v/>
      </c>
      <c r="M907" s="6">
        <f>HYPERLINK("https://map.naver.com/p/search/아름동 961", "지도Link")</f>
        <v/>
      </c>
      <c r="N907" s="6">
        <f>HYPERLINK("http://www.eum.go.kr/web/ar/lu/luLandDet.jsp?pnu=3611011300109610000&amp;isNoScr=script&amp;mode=search", "토지이음")</f>
        <v/>
      </c>
      <c r="O907" s="3" t="inlineStr">
        <is>
          <t>세석</t>
        </is>
      </c>
      <c r="P907" s="4" t="n">
        <v>1</v>
      </c>
      <c r="Q907" s="4" t="n">
        <v>299.1</v>
      </c>
      <c r="R907" s="3" t="inlineStr">
        <is>
          <t>지정되지않음</t>
        </is>
      </c>
      <c r="S907" s="3" t="inlineStr">
        <is>
          <t>주거나지</t>
        </is>
      </c>
      <c r="T907" s="3" t="inlineStr">
        <is>
          <t>평지</t>
        </is>
      </c>
      <c r="U907" s="3" t="inlineStr">
        <is>
          <t>세로장방</t>
        </is>
      </c>
      <c r="V907" s="3" t="inlineStr">
        <is>
          <t>소로각지</t>
        </is>
      </c>
    </row>
    <row r="908">
      <c r="A908" s="3" t="inlineStr">
        <is>
          <t>아름동 962</t>
        </is>
      </c>
      <c r="B908" s="3" t="inlineStr">
        <is>
          <t>제1종전용주거지역</t>
        </is>
      </c>
      <c r="C908" s="3" t="inlineStr">
        <is>
          <t>대</t>
        </is>
      </c>
      <c r="D908" s="3" t="inlineStr">
        <is>
          <t>대</t>
        </is>
      </c>
      <c r="E908" s="3" t="inlineStr">
        <is>
          <t>매매</t>
        </is>
      </c>
      <c r="F908" s="4" t="n">
        <v>51000</v>
      </c>
      <c r="G908" s="4" t="n">
        <v>300</v>
      </c>
      <c r="H908" s="4" t="n">
        <v>91</v>
      </c>
      <c r="I908" s="5" t="n">
        <v>560.4</v>
      </c>
      <c r="J908" s="5" t="n">
        <v>330.6</v>
      </c>
      <c r="K908" s="3" t="inlineStr">
        <is>
          <t>급매토지입니다. 도심속 전원주택지</t>
        </is>
      </c>
      <c r="L908" s="6">
        <f>HYPERLINK("https://fin.land.naver.com/articles/2653985243", "매물Link")</f>
        <v/>
      </c>
      <c r="M908" s="6">
        <f>HYPERLINK("https://map.naver.com/p/search/아름동 962", "지도Link")</f>
        <v/>
      </c>
      <c r="N908" s="6">
        <f>HYPERLINK("http://www.eum.go.kr/web/ar/lu/luLandDet.jsp?pnu=3611011300109620000&amp;isNoScr=script&amp;mode=search", "토지이음")</f>
        <v/>
      </c>
      <c r="O908" s="3" t="inlineStr">
        <is>
          <t>장원</t>
        </is>
      </c>
      <c r="P908" s="4" t="n">
        <v>1</v>
      </c>
      <c r="Q908" s="4" t="n">
        <v>300</v>
      </c>
      <c r="R908" s="3" t="inlineStr">
        <is>
          <t>지정되지않음</t>
        </is>
      </c>
      <c r="S908" s="3" t="inlineStr">
        <is>
          <t>주거나지</t>
        </is>
      </c>
      <c r="T908" s="3" t="inlineStr">
        <is>
          <t>평지</t>
        </is>
      </c>
      <c r="U908" s="3" t="inlineStr">
        <is>
          <t>가로장방</t>
        </is>
      </c>
      <c r="V908" s="3" t="inlineStr">
        <is>
          <t>소로한면</t>
        </is>
      </c>
    </row>
    <row r="909">
      <c r="A909" s="3" t="inlineStr">
        <is>
          <t>아름동 963</t>
        </is>
      </c>
      <c r="B909" s="3" t="inlineStr">
        <is>
          <t>제1종전용주거지역</t>
        </is>
      </c>
      <c r="C909" s="3" t="inlineStr">
        <is>
          <t>대</t>
        </is>
      </c>
      <c r="D909" s="3" t="inlineStr">
        <is>
          <t>대</t>
        </is>
      </c>
      <c r="E909" s="3" t="inlineStr">
        <is>
          <t>매매</t>
        </is>
      </c>
      <c r="F909" s="4" t="n">
        <v>60000</v>
      </c>
      <c r="G909" s="4" t="n">
        <v>298</v>
      </c>
      <c r="H909" s="4" t="n">
        <v>90</v>
      </c>
      <c r="I909" s="5" t="n">
        <v>666.7</v>
      </c>
      <c r="J909" s="5" t="n">
        <v>330.6</v>
      </c>
      <c r="K909" s="3" t="inlineStr">
        <is>
          <t>급매,전원주택지로 충대병원 인접, 교통 및 학군 편리한 생활권</t>
        </is>
      </c>
      <c r="L909" s="6">
        <f>HYPERLINK("https://fin.land.naver.com/articles/2650851379", "매물Link")</f>
        <v/>
      </c>
      <c r="M909" s="6">
        <f>HYPERLINK("https://map.naver.com/p/search/아름동 963", "지도Link")</f>
        <v/>
      </c>
      <c r="N909" s="6">
        <f>HYPERLINK("http://www.eum.go.kr/web/ar/lu/luLandDet.jsp?pnu=3611011300109630000&amp;isNoScr=script&amp;mode=search", "토지이음")</f>
        <v/>
      </c>
      <c r="O909" s="3" t="inlineStr">
        <is>
          <t>고운맘</t>
        </is>
      </c>
      <c r="P909" s="4" t="n">
        <v>1</v>
      </c>
      <c r="Q909" s="4" t="n">
        <v>298.9</v>
      </c>
      <c r="R909" s="3" t="inlineStr">
        <is>
          <t>지정되지않음</t>
        </is>
      </c>
      <c r="S909" s="3" t="inlineStr">
        <is>
          <t>주거나지</t>
        </is>
      </c>
      <c r="T909" s="3" t="inlineStr">
        <is>
          <t>평지</t>
        </is>
      </c>
      <c r="U909" s="3" t="inlineStr">
        <is>
          <t>가로장방</t>
        </is>
      </c>
      <c r="V909" s="3" t="inlineStr">
        <is>
          <t>소로한면</t>
        </is>
      </c>
    </row>
    <row r="910">
      <c r="A910" s="3" t="inlineStr">
        <is>
          <t>아름동 963</t>
        </is>
      </c>
      <c r="B910" s="3" t="inlineStr">
        <is>
          <t>제1종전용주거지역</t>
        </is>
      </c>
      <c r="C910" s="3" t="inlineStr">
        <is>
          <t>대</t>
        </is>
      </c>
      <c r="D910" s="3" t="inlineStr">
        <is>
          <t>대</t>
        </is>
      </c>
      <c r="E910" s="3" t="inlineStr">
        <is>
          <t>매매</t>
        </is>
      </c>
      <c r="F910" s="4" t="n">
        <v>60000</v>
      </c>
      <c r="G910" s="4" t="n">
        <v>298</v>
      </c>
      <c r="H910" s="4" t="n">
        <v>90</v>
      </c>
      <c r="I910" s="5" t="n">
        <v>666.7</v>
      </c>
      <c r="J910" s="5" t="n">
        <v>330.6</v>
      </c>
      <c r="K910" s="3" t="inlineStr">
        <is>
          <t>언덕형 지대높음 채광 개방감 좋음 조율가능</t>
        </is>
      </c>
      <c r="L910" s="6">
        <f>HYPERLINK("https://fin.land.naver.com/articles/2651114707", "매물Link")</f>
        <v/>
      </c>
      <c r="M910" s="6">
        <f>HYPERLINK("https://map.naver.com/p/search/아름동 963", "지도Link")</f>
        <v/>
      </c>
      <c r="N910" s="6">
        <f>HYPERLINK("http://www.eum.go.kr/web/ar/lu/luLandDet.jsp?pnu=3611011300109630000&amp;isNoScr=script&amp;mode=search", "토지이음")</f>
        <v/>
      </c>
      <c r="O910" s="3" t="inlineStr">
        <is>
          <t>세종스타</t>
        </is>
      </c>
      <c r="P910" s="4" t="n">
        <v>1</v>
      </c>
      <c r="Q910" s="4" t="n">
        <v>298.9</v>
      </c>
      <c r="R910" s="3" t="inlineStr">
        <is>
          <t>지정되지않음</t>
        </is>
      </c>
      <c r="S910" s="3" t="inlineStr">
        <is>
          <t>주거나지</t>
        </is>
      </c>
      <c r="T910" s="3" t="inlineStr">
        <is>
          <t>평지</t>
        </is>
      </c>
      <c r="U910" s="3" t="inlineStr">
        <is>
          <t>가로장방</t>
        </is>
      </c>
      <c r="V910" s="3" t="inlineStr">
        <is>
          <t>소로한면</t>
        </is>
      </c>
    </row>
    <row r="911">
      <c r="A911" s="3" t="inlineStr">
        <is>
          <t>아름동 963</t>
        </is>
      </c>
      <c r="B911" s="3" t="inlineStr">
        <is>
          <t>제1종전용주거지역</t>
        </is>
      </c>
      <c r="C911" s="3" t="inlineStr">
        <is>
          <t>대</t>
        </is>
      </c>
      <c r="D911" s="3" t="inlineStr">
        <is>
          <t>대</t>
        </is>
      </c>
      <c r="E911" s="3" t="inlineStr">
        <is>
          <t>매매</t>
        </is>
      </c>
      <c r="F911" s="4" t="n">
        <v>60000</v>
      </c>
      <c r="G911" s="4" t="n">
        <v>298</v>
      </c>
      <c r="H911" s="4" t="n">
        <v>90</v>
      </c>
      <c r="I911" s="5" t="n">
        <v>666.7</v>
      </c>
      <c r="J911" s="5" t="n">
        <v>330.6</v>
      </c>
      <c r="K911" s="3" t="inlineStr">
        <is>
          <t>조율가능, 급매, 아름동 위치좋은 단독주택지</t>
        </is>
      </c>
      <c r="L911" s="6">
        <f>HYPERLINK("https://fin.land.naver.com/articles/2649873097", "매물Link")</f>
        <v/>
      </c>
      <c r="M911" s="6">
        <f>HYPERLINK("https://map.naver.com/p/search/아름동 963", "지도Link")</f>
        <v/>
      </c>
      <c r="N911" s="6">
        <f>HYPERLINK("http://www.eum.go.kr/web/ar/lu/luLandDet.jsp?pnu=3611011300109630000&amp;isNoScr=script&amp;mode=search", "토지이음")</f>
        <v/>
      </c>
      <c r="O911" s="3" t="inlineStr">
        <is>
          <t>명진</t>
        </is>
      </c>
      <c r="P911" s="4" t="n">
        <v>1</v>
      </c>
      <c r="Q911" s="4" t="n">
        <v>298.9</v>
      </c>
      <c r="R911" s="3" t="inlineStr">
        <is>
          <t>지정되지않음</t>
        </is>
      </c>
      <c r="S911" s="3" t="inlineStr">
        <is>
          <t>주거나지</t>
        </is>
      </c>
      <c r="T911" s="3" t="inlineStr">
        <is>
          <t>평지</t>
        </is>
      </c>
      <c r="U911" s="3" t="inlineStr">
        <is>
          <t>가로장방</t>
        </is>
      </c>
      <c r="V911" s="3" t="inlineStr">
        <is>
          <t>소로한면</t>
        </is>
      </c>
    </row>
    <row r="912">
      <c r="A912" s="3" t="inlineStr">
        <is>
          <t>아름동 964</t>
        </is>
      </c>
      <c r="B912" s="3" t="inlineStr">
        <is>
          <t>제1종전용주거지역</t>
        </is>
      </c>
      <c r="C912" s="3" t="inlineStr">
        <is>
          <t>대</t>
        </is>
      </c>
      <c r="D912" s="3" t="inlineStr">
        <is>
          <t>대</t>
        </is>
      </c>
      <c r="E912" s="3" t="inlineStr">
        <is>
          <t>매매</t>
        </is>
      </c>
      <c r="F912" s="4" t="n">
        <v>77000</v>
      </c>
      <c r="G912" s="4" t="n">
        <v>298</v>
      </c>
      <c r="H912" s="4" t="n">
        <v>90</v>
      </c>
      <c r="I912" s="5" t="n">
        <v>855.6</v>
      </c>
      <c r="J912" s="5" t="n">
        <v>344.5</v>
      </c>
      <c r="K912" s="3" t="inlineStr">
        <is>
          <t>국제고인근.코너각지. 충대병원인접. 위치,교통 편리한 지역.조정가능</t>
        </is>
      </c>
      <c r="L912" s="6">
        <f>HYPERLINK("https://fin.land.naver.com/articles/2651892393", "매물Link")</f>
        <v/>
      </c>
      <c r="M912" s="6">
        <f>HYPERLINK("https://map.naver.com/p/search/아름동 964", "지도Link")</f>
        <v/>
      </c>
      <c r="N912" s="6">
        <f>HYPERLINK("http://www.eum.go.kr/web/ar/lu/luLandDet.jsp?pnu=3611011300109640000&amp;isNoScr=script&amp;mode=search", "토지이음")</f>
        <v/>
      </c>
      <c r="O912" s="3" t="inlineStr">
        <is>
          <t>새롬삼둥이</t>
        </is>
      </c>
      <c r="P912" s="4" t="n">
        <v>1</v>
      </c>
      <c r="Q912" s="4" t="n">
        <v>298.9</v>
      </c>
      <c r="R912" s="3" t="inlineStr">
        <is>
          <t>지정되지않음</t>
        </is>
      </c>
      <c r="S912" s="3" t="inlineStr">
        <is>
          <t>주거나지</t>
        </is>
      </c>
      <c r="T912" s="3" t="inlineStr">
        <is>
          <t>평지</t>
        </is>
      </c>
      <c r="U912" s="3" t="inlineStr">
        <is>
          <t>세로장방</t>
        </is>
      </c>
      <c r="V912" s="3" t="inlineStr">
        <is>
          <t>소로각지</t>
        </is>
      </c>
    </row>
    <row r="913">
      <c r="A913" s="3" t="inlineStr">
        <is>
          <t>아름동 964</t>
        </is>
      </c>
      <c r="B913" s="3" t="inlineStr">
        <is>
          <t>제1종전용주거지역</t>
        </is>
      </c>
      <c r="C913" s="3" t="inlineStr">
        <is>
          <t>대</t>
        </is>
      </c>
      <c r="D913" s="3" t="inlineStr">
        <is>
          <t>대</t>
        </is>
      </c>
      <c r="E913" s="3" t="inlineStr">
        <is>
          <t>매매</t>
        </is>
      </c>
      <c r="F913" s="4" t="n">
        <v>77000</v>
      </c>
      <c r="G913" s="4" t="n">
        <v>298</v>
      </c>
      <c r="H913" s="4" t="n">
        <v>90</v>
      </c>
      <c r="I913" s="5" t="n">
        <v>855.6</v>
      </c>
      <c r="J913" s="5" t="n">
        <v>344.5</v>
      </c>
      <c r="K913" s="3" t="inlineStr">
        <is>
          <t>총 90.6p, 조율가능, 아름동 단독주택지, 국제고 인근</t>
        </is>
      </c>
      <c r="L913" s="6">
        <f>HYPERLINK("https://fin.land.naver.com/articles/2652837454", "매물Link")</f>
        <v/>
      </c>
      <c r="M913" s="6">
        <f>HYPERLINK("https://map.naver.com/p/search/아름동 964", "지도Link")</f>
        <v/>
      </c>
      <c r="N913" s="6">
        <f>HYPERLINK("http://www.eum.go.kr/web/ar/lu/luLandDet.jsp?pnu=3611011300109640000&amp;isNoScr=script&amp;mode=search", "토지이음")</f>
        <v/>
      </c>
      <c r="O913" s="3" t="inlineStr">
        <is>
          <t>세종무지개</t>
        </is>
      </c>
      <c r="P913" s="4" t="n">
        <v>1</v>
      </c>
      <c r="Q913" s="4" t="n">
        <v>298.9</v>
      </c>
      <c r="R913" s="3" t="inlineStr">
        <is>
          <t>지정되지않음</t>
        </is>
      </c>
      <c r="S913" s="3" t="inlineStr">
        <is>
          <t>주거나지</t>
        </is>
      </c>
      <c r="T913" s="3" t="inlineStr">
        <is>
          <t>평지</t>
        </is>
      </c>
      <c r="U913" s="3" t="inlineStr">
        <is>
          <t>세로장방</t>
        </is>
      </c>
      <c r="V913" s="3" t="inlineStr">
        <is>
          <t>소로각지</t>
        </is>
      </c>
    </row>
    <row r="914">
      <c r="A914" s="3" t="inlineStr">
        <is>
          <t>아름동 966</t>
        </is>
      </c>
      <c r="B914" s="3" t="inlineStr">
        <is>
          <t>제1종전용주거지역</t>
        </is>
      </c>
      <c r="C914" s="3" t="inlineStr">
        <is>
          <t>대</t>
        </is>
      </c>
      <c r="D914" s="3" t="inlineStr">
        <is>
          <t>대</t>
        </is>
      </c>
      <c r="E914" s="3" t="inlineStr">
        <is>
          <t>매매</t>
        </is>
      </c>
      <c r="F914" s="4" t="n">
        <v>85000</v>
      </c>
      <c r="G914" s="4" t="n">
        <v>353</v>
      </c>
      <c r="H914" s="4" t="n">
        <v>107</v>
      </c>
      <c r="I914" s="5" t="n">
        <v>794.4</v>
      </c>
      <c r="J914" s="5" t="n">
        <v>330.6</v>
      </c>
      <c r="K914" s="3" t="inlineStr">
        <is>
          <t>국제고, 영재고, 충대병원인근, IC인접 107.2p</t>
        </is>
      </c>
      <c r="L914" s="6">
        <f>HYPERLINK("https://fin.land.naver.com/articles/2652841023", "매물Link")</f>
        <v/>
      </c>
      <c r="M914" s="6">
        <f>HYPERLINK("https://map.naver.com/p/search/아름동 966", "지도Link")</f>
        <v/>
      </c>
      <c r="N914" s="6">
        <f>HYPERLINK("http://www.eum.go.kr/web/ar/lu/luLandDet.jsp?pnu=3611011300109660000&amp;isNoScr=script&amp;mode=search", "토지이음")</f>
        <v/>
      </c>
      <c r="O914" s="3" t="inlineStr">
        <is>
          <t>세종무지개</t>
        </is>
      </c>
      <c r="P914" s="4" t="n">
        <v>1</v>
      </c>
      <c r="Q914" s="4" t="n">
        <v>353.6</v>
      </c>
      <c r="R914" s="3" t="inlineStr">
        <is>
          <t>지정되지않음</t>
        </is>
      </c>
      <c r="S914" s="3" t="inlineStr">
        <is>
          <t>주거나지</t>
        </is>
      </c>
      <c r="T914" s="3" t="inlineStr">
        <is>
          <t>평지</t>
        </is>
      </c>
      <c r="U914" s="3" t="inlineStr">
        <is>
          <t>가로장방</t>
        </is>
      </c>
      <c r="V914" s="3" t="inlineStr">
        <is>
          <t>소로한면</t>
        </is>
      </c>
    </row>
    <row r="915">
      <c r="A915" s="3" t="inlineStr">
        <is>
          <t>아름동 966</t>
        </is>
      </c>
      <c r="B915" s="3" t="inlineStr">
        <is>
          <t>제1종전용주거지역</t>
        </is>
      </c>
      <c r="C915" s="3" t="inlineStr">
        <is>
          <t>대</t>
        </is>
      </c>
      <c r="D915" s="3" t="inlineStr">
        <is>
          <t>대</t>
        </is>
      </c>
      <c r="E915" s="3" t="inlineStr">
        <is>
          <t>매매</t>
        </is>
      </c>
      <c r="F915" s="4" t="n">
        <v>85000</v>
      </c>
      <c r="G915" s="4" t="n">
        <v>353</v>
      </c>
      <c r="H915" s="4" t="n">
        <v>107</v>
      </c>
      <c r="I915" s="5" t="n">
        <v>794.4</v>
      </c>
      <c r="J915" s="5" t="n">
        <v>330.6</v>
      </c>
      <c r="K915" s="3" t="inlineStr">
        <is>
          <t>총 107.2p, 국제고, 충남대병원인근</t>
        </is>
      </c>
      <c r="L915" s="6">
        <f>HYPERLINK("https://fin.land.naver.com/articles/2654231996", "매물Link")</f>
        <v/>
      </c>
      <c r="M915" s="6">
        <f>HYPERLINK("https://map.naver.com/p/search/아름동 966", "지도Link")</f>
        <v/>
      </c>
      <c r="N915" s="6">
        <f>HYPERLINK("http://www.eum.go.kr/web/ar/lu/luLandDet.jsp?pnu=3611011300109660000&amp;isNoScr=script&amp;mode=search", "토지이음")</f>
        <v/>
      </c>
      <c r="O915" s="3" t="inlineStr">
        <is>
          <t>명진</t>
        </is>
      </c>
      <c r="P915" s="4" t="n">
        <v>1</v>
      </c>
      <c r="Q915" s="4" t="n">
        <v>353.6</v>
      </c>
      <c r="R915" s="3" t="inlineStr">
        <is>
          <t>지정되지않음</t>
        </is>
      </c>
      <c r="S915" s="3" t="inlineStr">
        <is>
          <t>주거나지</t>
        </is>
      </c>
      <c r="T915" s="3" t="inlineStr">
        <is>
          <t>평지</t>
        </is>
      </c>
      <c r="U915" s="3" t="inlineStr">
        <is>
          <t>가로장방</t>
        </is>
      </c>
      <c r="V915" s="3" t="inlineStr">
        <is>
          <t>소로한면</t>
        </is>
      </c>
    </row>
    <row r="916">
      <c r="A916" s="3" t="inlineStr">
        <is>
          <t>아름동 971</t>
        </is>
      </c>
      <c r="B916" s="3" t="inlineStr">
        <is>
          <t>제1종전용주거지역</t>
        </is>
      </c>
      <c r="C916" s="3" t="inlineStr">
        <is>
          <t>대</t>
        </is>
      </c>
      <c r="D916" s="3" t="inlineStr">
        <is>
          <t>대</t>
        </is>
      </c>
      <c r="E916" s="3" t="inlineStr">
        <is>
          <t>매매</t>
        </is>
      </c>
      <c r="F916" s="4" t="n">
        <v>79560</v>
      </c>
      <c r="G916" s="4" t="n">
        <v>308</v>
      </c>
      <c r="H916" s="4" t="n">
        <v>93</v>
      </c>
      <c r="I916" s="5" t="n">
        <v>855.5</v>
      </c>
      <c r="J916" s="5" t="n">
        <v>330.6</v>
      </c>
      <c r="K916" s="3" t="inlineStr">
        <is>
          <t>공원앞, 충대병원, 국제고 인근, 아름동 단독주택지</t>
        </is>
      </c>
      <c r="L916" s="6">
        <f>HYPERLINK("https://fin.land.naver.com/articles/2650427802", "매물Link")</f>
        <v/>
      </c>
      <c r="M916" s="6">
        <f>HYPERLINK("https://map.naver.com/p/search/아름동 971", "지도Link")</f>
        <v/>
      </c>
      <c r="N916" s="6">
        <f>HYPERLINK("http://www.eum.go.kr/web/ar/lu/luLandDet.jsp?pnu=3611011300109710000&amp;isNoScr=script&amp;mode=search", "토지이음")</f>
        <v/>
      </c>
      <c r="O916" s="3" t="inlineStr">
        <is>
          <t>세종무지개</t>
        </is>
      </c>
      <c r="P916" s="4" t="n">
        <v>1</v>
      </c>
      <c r="Q916" s="4" t="n">
        <v>308.9</v>
      </c>
      <c r="R916" s="3" t="inlineStr">
        <is>
          <t>지정되지않음</t>
        </is>
      </c>
      <c r="S916" s="3" t="inlineStr">
        <is>
          <t>주거나지</t>
        </is>
      </c>
      <c r="T916" s="3" t="inlineStr">
        <is>
          <t>평지</t>
        </is>
      </c>
      <c r="U916" s="3" t="inlineStr">
        <is>
          <t>가로장방</t>
        </is>
      </c>
      <c r="V916" s="3" t="inlineStr">
        <is>
          <t>소로한면</t>
        </is>
      </c>
    </row>
    <row r="917">
      <c r="A917" s="3" t="inlineStr">
        <is>
          <t>아름동 994</t>
        </is>
      </c>
      <c r="B917" s="3" t="inlineStr">
        <is>
          <t>제1종전용주거지역</t>
        </is>
      </c>
      <c r="C917" s="3" t="inlineStr">
        <is>
          <t>대</t>
        </is>
      </c>
      <c r="D917" s="3" t="inlineStr">
        <is>
          <t>대</t>
        </is>
      </c>
      <c r="E917" s="3" t="inlineStr">
        <is>
          <t>매매</t>
        </is>
      </c>
      <c r="F917" s="4" t="n">
        <v>75000</v>
      </c>
      <c r="G917" s="4" t="n">
        <v>324</v>
      </c>
      <c r="H917" s="4" t="n">
        <v>98</v>
      </c>
      <c r="I917" s="5" t="n">
        <v>765.3</v>
      </c>
      <c r="J917" s="5" t="n">
        <v>335.5</v>
      </c>
      <c r="K917" s="3" t="inlineStr">
        <is>
          <t>급매 최상단 뻥조망 위치최상 벙커주차장가능</t>
        </is>
      </c>
      <c r="L917" s="6">
        <f>HYPERLINK("https://fin.land.naver.com/articles/2651086404", "매물Link")</f>
        <v/>
      </c>
      <c r="M917" s="6">
        <f>HYPERLINK("https://map.naver.com/p/search/아름동 994", "지도Link")</f>
        <v/>
      </c>
      <c r="N917" s="6">
        <f>HYPERLINK("http://www.eum.go.kr/web/ar/lu/luLandDet.jsp?pnu=3611011300109940000&amp;isNoScr=script&amp;mode=search", "토지이음")</f>
        <v/>
      </c>
      <c r="O917" s="3" t="inlineStr">
        <is>
          <t>세종스타</t>
        </is>
      </c>
      <c r="P917" s="4" t="n">
        <v>1</v>
      </c>
      <c r="Q917" s="4" t="n">
        <v>324</v>
      </c>
      <c r="R917" s="3" t="inlineStr">
        <is>
          <t>지정되지않음</t>
        </is>
      </c>
      <c r="S917" s="3" t="inlineStr">
        <is>
          <t>주거나지</t>
        </is>
      </c>
      <c r="T917" s="3" t="inlineStr">
        <is>
          <t>평지</t>
        </is>
      </c>
      <c r="U917" s="3" t="inlineStr">
        <is>
          <t>정방형</t>
        </is>
      </c>
      <c r="V917" s="3" t="inlineStr">
        <is>
          <t>소로한면</t>
        </is>
      </c>
    </row>
    <row r="918">
      <c r="A918" s="3" t="inlineStr">
        <is>
          <t>연동면 내판리 10-1</t>
        </is>
      </c>
      <c r="B918" s="3" t="inlineStr">
        <is>
          <t>계획관리지역</t>
        </is>
      </c>
      <c r="C918" s="3" t="inlineStr">
        <is>
          <t>대</t>
        </is>
      </c>
      <c r="D918" s="3" t="inlineStr">
        <is>
          <t>대</t>
        </is>
      </c>
      <c r="E918" s="3" t="inlineStr">
        <is>
          <t>매매</t>
        </is>
      </c>
      <c r="F918" s="4" t="n">
        <v>36000</v>
      </c>
      <c r="G918" s="4" t="n">
        <v>329</v>
      </c>
      <c r="H918" s="4" t="n">
        <v>100</v>
      </c>
      <c r="I918" s="5" t="n">
        <v>360</v>
      </c>
      <c r="J918" s="5" t="n">
        <v>106.7</v>
      </c>
      <c r="K918" s="3" t="inlineStr">
        <is>
          <t>nan</t>
        </is>
      </c>
      <c r="L918" s="6">
        <f>HYPERLINK("https://fin.land.naver.com/articles/2649512630", "매물Link")</f>
        <v/>
      </c>
      <c r="M918" s="6">
        <f>HYPERLINK("https://map.naver.com/p/search/연동면 내판리 10-1", "지도Link")</f>
        <v/>
      </c>
      <c r="N918" s="6">
        <f>HYPERLINK("http://www.eum.go.kr/web/ar/lu/luLandDet.jsp?pnu=3611032021100100001&amp;isNoScr=script&amp;mode=search", "토지이음")</f>
        <v/>
      </c>
      <c r="O918" s="3" t="inlineStr">
        <is>
          <t>세종지평</t>
        </is>
      </c>
      <c r="P918" s="4" t="n">
        <v>1</v>
      </c>
      <c r="Q918" s="4" t="n">
        <v>330</v>
      </c>
      <c r="R918" s="3" t="inlineStr">
        <is>
          <t>지정되지않음</t>
        </is>
      </c>
      <c r="S918" s="3" t="inlineStr">
        <is>
          <t>단독</t>
        </is>
      </c>
      <c r="T918" s="3" t="inlineStr">
        <is>
          <t>평지</t>
        </is>
      </c>
      <c r="U918" s="3" t="inlineStr">
        <is>
          <t>부정형</t>
        </is>
      </c>
      <c r="V918" s="3" t="inlineStr">
        <is>
          <t>세로한면(가)</t>
        </is>
      </c>
    </row>
    <row r="919">
      <c r="A919" s="3" t="inlineStr">
        <is>
          <t>연동면 내판리 104</t>
        </is>
      </c>
      <c r="B919" s="3" t="inlineStr">
        <is>
          <t>계획관리지역</t>
        </is>
      </c>
      <c r="C919" s="3" t="inlineStr">
        <is>
          <t>전</t>
        </is>
      </c>
      <c r="D919" s="3" t="inlineStr">
        <is>
          <t>전</t>
        </is>
      </c>
      <c r="E919" s="3" t="inlineStr">
        <is>
          <t>매매</t>
        </is>
      </c>
      <c r="F919" s="4" t="n">
        <v>67000</v>
      </c>
      <c r="G919" s="4" t="n">
        <v>2767</v>
      </c>
      <c r="H919" s="4" t="n">
        <v>837</v>
      </c>
      <c r="I919" s="5" t="n">
        <v>80</v>
      </c>
      <c r="J919" s="5" t="n">
        <v>36.2</v>
      </c>
      <c r="K919" s="3" t="inlineStr">
        <is>
          <t>계확관리 아파트건설 호재가 있는  토지 중학교 옆위치 조율가능</t>
        </is>
      </c>
      <c r="L919" s="6">
        <f>HYPERLINK("https://fin.land.naver.com/articles/2653589993", "매물Link")</f>
        <v/>
      </c>
      <c r="M919" s="6">
        <f>HYPERLINK("https://map.naver.com/p/search/연동면 내판리 104", "지도Link")</f>
        <v/>
      </c>
      <c r="N919" s="6">
        <f>HYPERLINK("http://www.eum.go.kr/web/ar/lu/luLandDet.jsp?pnu=3611032021101040000&amp;isNoScr=script&amp;mode=search", "토지이음")</f>
        <v/>
      </c>
      <c r="O919" s="3" t="inlineStr">
        <is>
          <t>도안부자</t>
        </is>
      </c>
      <c r="P919" s="4" t="n">
        <v>1</v>
      </c>
      <c r="Q919" s="4" t="n">
        <v>2767</v>
      </c>
      <c r="R919" s="3" t="inlineStr">
        <is>
          <t>지정되지않음</t>
        </is>
      </c>
      <c r="S919" s="3" t="inlineStr">
        <is>
          <t>전</t>
        </is>
      </c>
      <c r="T919" s="3" t="inlineStr">
        <is>
          <t>완경사</t>
        </is>
      </c>
      <c r="U919" s="3" t="inlineStr">
        <is>
          <t>부정형</t>
        </is>
      </c>
      <c r="V919" s="3" t="inlineStr">
        <is>
          <t>맹지</t>
        </is>
      </c>
    </row>
    <row r="920">
      <c r="A920" s="3" t="inlineStr">
        <is>
          <t>연동면 내판리 175-1</t>
        </is>
      </c>
      <c r="B920" s="3" t="inlineStr">
        <is>
          <t>계획관리지역</t>
        </is>
      </c>
      <c r="C920" s="3" t="inlineStr">
        <is>
          <t>전</t>
        </is>
      </c>
      <c r="D920" s="3" t="inlineStr">
        <is>
          <t>전</t>
        </is>
      </c>
      <c r="E920" s="3" t="inlineStr">
        <is>
          <t>매매</t>
        </is>
      </c>
      <c r="F920" s="4" t="n">
        <v>190000</v>
      </c>
      <c r="G920" s="4" t="n">
        <v>2710</v>
      </c>
      <c r="H920" s="4" t="n">
        <v>820</v>
      </c>
      <c r="I920" s="5" t="n">
        <v>231.7</v>
      </c>
      <c r="J920" s="5" t="n">
        <v>71.90000000000001</v>
      </c>
      <c r="K920" s="3" t="inlineStr">
        <is>
          <t>세종시 연동면내판리 2차선 토지매매</t>
        </is>
      </c>
      <c r="L920" s="6">
        <f>HYPERLINK("https://fin.land.naver.com/articles/2652504504", "매물Link")</f>
        <v/>
      </c>
      <c r="M920" s="6">
        <f>HYPERLINK("https://map.naver.com/p/search/연동면 내판리 175-1", "지도Link")</f>
        <v/>
      </c>
      <c r="N920" s="6">
        <f>HYPERLINK("http://www.eum.go.kr/web/ar/lu/luLandDet.jsp?pnu=3611032021101750001&amp;isNoScr=script&amp;mode=search", "토지이음")</f>
        <v/>
      </c>
      <c r="O920" s="3" t="inlineStr">
        <is>
          <t>동원</t>
        </is>
      </c>
      <c r="P920" s="4" t="n">
        <v>1</v>
      </c>
      <c r="Q920" s="4" t="n">
        <v>2340</v>
      </c>
      <c r="R920" s="3" t="inlineStr">
        <is>
          <t>지정되지않음</t>
        </is>
      </c>
      <c r="S920" s="3" t="inlineStr">
        <is>
          <t>전</t>
        </is>
      </c>
      <c r="T920" s="3" t="inlineStr">
        <is>
          <t>평지</t>
        </is>
      </c>
      <c r="U920" s="3" t="inlineStr">
        <is>
          <t>부정형</t>
        </is>
      </c>
      <c r="V920" s="3" t="inlineStr">
        <is>
          <t>소로한면</t>
        </is>
      </c>
    </row>
    <row r="921">
      <c r="A921" s="3" t="inlineStr">
        <is>
          <t>연동면 내판리 175-12</t>
        </is>
      </c>
      <c r="B921" s="3" t="inlineStr">
        <is>
          <t>계획관리지역</t>
        </is>
      </c>
      <c r="C921" s="3" t="inlineStr">
        <is>
          <t>임야</t>
        </is>
      </c>
      <c r="D921" s="3" t="inlineStr">
        <is>
          <t>임야</t>
        </is>
      </c>
      <c r="E921" s="3" t="inlineStr">
        <is>
          <t>매매</t>
        </is>
      </c>
      <c r="F921" s="4" t="n">
        <v>96000</v>
      </c>
      <c r="G921" s="4" t="n">
        <v>1095</v>
      </c>
      <c r="H921" s="4" t="n">
        <v>331</v>
      </c>
      <c r="I921" s="5" t="n">
        <v>290</v>
      </c>
      <c r="J921" s="5" t="n">
        <v>61.4</v>
      </c>
      <c r="K921" s="3" t="inlineStr">
        <is>
          <t>내판리 계획관리지역  5생활권 인접한 명학산업단지 부근</t>
        </is>
      </c>
      <c r="L921" s="6">
        <f>HYPERLINK("https://fin.land.naver.com/articles/2653639529", "매물Link")</f>
        <v/>
      </c>
      <c r="M921" s="6">
        <f>HYPERLINK("https://map.naver.com/p/search/연동면 내판리 175-12", "지도Link")</f>
        <v/>
      </c>
      <c r="N921" s="6">
        <f>HYPERLINK("http://www.eum.go.kr/web/ar/lu/luLandDet.jsp?pnu=3611032021101750012&amp;isNoScr=script&amp;mode=search", "토지이음")</f>
        <v/>
      </c>
      <c r="O921" s="3" t="inlineStr">
        <is>
          <t>레몬</t>
        </is>
      </c>
      <c r="P921" s="4" t="n">
        <v>1</v>
      </c>
      <c r="Q921" s="4" t="n">
        <v>475</v>
      </c>
      <c r="R921" s="3" t="inlineStr">
        <is>
          <t>지정되지않음</t>
        </is>
      </c>
      <c r="S921" s="3" t="inlineStr">
        <is>
          <t>전기타</t>
        </is>
      </c>
      <c r="T921" s="3" t="inlineStr">
        <is>
          <t>평지</t>
        </is>
      </c>
      <c r="U921" s="3" t="inlineStr">
        <is>
          <t>사다리형</t>
        </is>
      </c>
      <c r="V921" s="3" t="inlineStr">
        <is>
          <t>세로한면(가)</t>
        </is>
      </c>
    </row>
    <row r="922">
      <c r="A922" s="3" t="inlineStr">
        <is>
          <t>연동면 내판리 254</t>
        </is>
      </c>
      <c r="B922" s="3" t="inlineStr">
        <is>
          <t>계획관리지역</t>
        </is>
      </c>
      <c r="C922" s="3" t="inlineStr">
        <is>
          <t>전</t>
        </is>
      </c>
      <c r="D922" s="3" t="inlineStr">
        <is>
          <t>전</t>
        </is>
      </c>
      <c r="E922" s="3" t="inlineStr">
        <is>
          <t>매매</t>
        </is>
      </c>
      <c r="F922" s="4" t="n">
        <v>65000</v>
      </c>
      <c r="G922" s="4" t="n">
        <v>1884</v>
      </c>
      <c r="H922" s="4" t="n">
        <v>570</v>
      </c>
      <c r="I922" s="5" t="n">
        <v>114</v>
      </c>
      <c r="J922" s="5" t="n">
        <v>65.8</v>
      </c>
      <c r="K922" s="3" t="inlineStr">
        <is>
          <t>실 570. 행정중심복합도시 수혜지역 매매. 대통령집무실 이전유력지 호재</t>
        </is>
      </c>
      <c r="L922" s="6">
        <f>HYPERLINK("https://fin.land.naver.com/articles/2651758585", "매물Link")</f>
        <v/>
      </c>
      <c r="M922" s="6">
        <f>HYPERLINK("https://map.naver.com/p/search/연동면 내판리 254", "지도Link")</f>
        <v/>
      </c>
      <c r="N922" s="6">
        <f>HYPERLINK("http://www.eum.go.kr/web/ar/lu/luLandDet.jsp?pnu=3611032021102540000&amp;isNoScr=script&amp;mode=search", "토지이음")</f>
        <v/>
      </c>
      <c r="O922" s="3" t="inlineStr">
        <is>
          <t>길</t>
        </is>
      </c>
      <c r="P922" s="4" t="n">
        <v>1</v>
      </c>
      <c r="Q922" s="4" t="n">
        <v>1884</v>
      </c>
      <c r="R922" s="3" t="inlineStr">
        <is>
          <t>지정되지않음</t>
        </is>
      </c>
      <c r="S922" s="3" t="inlineStr">
        <is>
          <t>전</t>
        </is>
      </c>
      <c r="T922" s="3" t="inlineStr">
        <is>
          <t>완경사</t>
        </is>
      </c>
      <c r="U922" s="3" t="inlineStr">
        <is>
          <t>사다리형</t>
        </is>
      </c>
      <c r="V922" s="3" t="inlineStr">
        <is>
          <t>맹지</t>
        </is>
      </c>
    </row>
    <row r="923">
      <c r="A923" s="3" t="inlineStr">
        <is>
          <t>연동면 내판리 337-1</t>
        </is>
      </c>
      <c r="B923" s="3" t="inlineStr">
        <is>
          <t>계획관리지역</t>
        </is>
      </c>
      <c r="C923" s="3" t="inlineStr">
        <is>
          <t>전</t>
        </is>
      </c>
      <c r="D923" s="3" t="inlineStr">
        <is>
          <t>전</t>
        </is>
      </c>
      <c r="E923" s="3" t="inlineStr">
        <is>
          <t>매매</t>
        </is>
      </c>
      <c r="F923" s="4" t="n">
        <v>191664</v>
      </c>
      <c r="G923" s="4" t="n">
        <v>1152</v>
      </c>
      <c r="H923" s="4" t="n">
        <v>348</v>
      </c>
      <c r="I923" s="5" t="n">
        <v>550.8</v>
      </c>
      <c r="J923" s="5" t="n">
        <v>112.8</v>
      </c>
      <c r="K923" s="3" t="inlineStr">
        <is>
          <t>명학산업단지 근처 6미터 도로접 투자용</t>
        </is>
      </c>
      <c r="L923" s="6">
        <f>HYPERLINK("https://fin.land.naver.com/articles/2652376217", "매물Link")</f>
        <v/>
      </c>
      <c r="M923" s="6">
        <f>HYPERLINK("https://map.naver.com/p/search/연동면 내판리 337-1", "지도Link")</f>
        <v/>
      </c>
      <c r="N923" s="6">
        <f>HYPERLINK("http://www.eum.go.kr/web/ar/lu/luLandDet.jsp?pnu=3611032021103370001&amp;isNoScr=script&amp;mode=search", "토지이음")</f>
        <v/>
      </c>
      <c r="O923" s="3" t="inlineStr">
        <is>
          <t>도안재벌</t>
        </is>
      </c>
      <c r="P923" s="4" t="n">
        <v>1</v>
      </c>
      <c r="Q923" s="4" t="n">
        <v>1152</v>
      </c>
      <c r="R923" s="3" t="inlineStr">
        <is>
          <t>지정되지않음</t>
        </is>
      </c>
      <c r="S923" s="3" t="inlineStr">
        <is>
          <t>주거나지</t>
        </is>
      </c>
      <c r="T923" s="3" t="inlineStr">
        <is>
          <t>평지</t>
        </is>
      </c>
      <c r="U923" s="3" t="inlineStr">
        <is>
          <t>사다리형</t>
        </is>
      </c>
      <c r="V923" s="3" t="inlineStr">
        <is>
          <t>세로한면(가)</t>
        </is>
      </c>
    </row>
    <row r="924">
      <c r="A924" s="3" t="inlineStr">
        <is>
          <t>연동면 내판리 337-8</t>
        </is>
      </c>
      <c r="B924" s="3" t="inlineStr">
        <is>
          <t>계획관리지역</t>
        </is>
      </c>
      <c r="C924" s="3" t="inlineStr">
        <is>
          <t>대</t>
        </is>
      </c>
      <c r="D924" s="3" t="inlineStr">
        <is>
          <t>대</t>
        </is>
      </c>
      <c r="E924" s="3" t="inlineStr">
        <is>
          <t>매매</t>
        </is>
      </c>
      <c r="F924" s="4" t="n">
        <v>133100</v>
      </c>
      <c r="G924" s="4" t="n">
        <v>800</v>
      </c>
      <c r="H924" s="4" t="n">
        <v>242</v>
      </c>
      <c r="I924" s="5" t="n">
        <v>550</v>
      </c>
      <c r="J924" s="5" t="n">
        <v>183.9</v>
      </c>
      <c r="K924" s="3" t="inlineStr">
        <is>
          <t>명학산업단지 근처 6미터 도로접 투자용</t>
        </is>
      </c>
      <c r="L924" s="6">
        <f>HYPERLINK("https://fin.land.naver.com/articles/2652376203", "매물Link")</f>
        <v/>
      </c>
      <c r="M924" s="6">
        <f>HYPERLINK("https://map.naver.com/p/search/연동면 내판리 337-8", "지도Link")</f>
        <v/>
      </c>
      <c r="N924" s="6">
        <f>HYPERLINK("http://www.eum.go.kr/web/ar/lu/luLandDet.jsp?pnu=3611032021103370008&amp;isNoScr=script&amp;mode=search", "토지이음")</f>
        <v/>
      </c>
      <c r="O924" s="3" t="inlineStr">
        <is>
          <t>도안재벌</t>
        </is>
      </c>
      <c r="P924" s="4" t="n">
        <v>1</v>
      </c>
      <c r="Q924" s="4" t="n">
        <v>800</v>
      </c>
      <c r="R924" s="3" t="inlineStr">
        <is>
          <t>지정되지않음</t>
        </is>
      </c>
      <c r="S924" s="3" t="inlineStr">
        <is>
          <t>상업용</t>
        </is>
      </c>
      <c r="T924" s="3" t="inlineStr">
        <is>
          <t>평지</t>
        </is>
      </c>
      <c r="U924" s="3" t="inlineStr">
        <is>
          <t>사다리형</t>
        </is>
      </c>
      <c r="V924" s="3" t="inlineStr">
        <is>
          <t>세로한면(가)</t>
        </is>
      </c>
    </row>
    <row r="925">
      <c r="A925" s="3" t="inlineStr">
        <is>
          <t>연동면 내판리 337-9</t>
        </is>
      </c>
      <c r="B925" s="3" t="inlineStr">
        <is>
          <t>계획관리지역</t>
        </is>
      </c>
      <c r="C925" s="3" t="inlineStr">
        <is>
          <t>대</t>
        </is>
      </c>
      <c r="D925" s="3" t="inlineStr">
        <is>
          <t>대</t>
        </is>
      </c>
      <c r="E925" s="3" t="inlineStr">
        <is>
          <t>매매</t>
        </is>
      </c>
      <c r="F925" s="4" t="n">
        <v>140000</v>
      </c>
      <c r="G925" s="4" t="n">
        <v>737</v>
      </c>
      <c r="H925" s="4" t="n">
        <v>223</v>
      </c>
      <c r="I925" s="5" t="n">
        <v>627.8</v>
      </c>
      <c r="J925" s="5" t="n">
        <v>183.9</v>
      </c>
      <c r="K925" s="3" t="inlineStr">
        <is>
          <t>nan</t>
        </is>
      </c>
      <c r="L925" s="6">
        <f>HYPERLINK("https://fin.land.naver.com/articles/2652045510", "매물Link")</f>
        <v/>
      </c>
      <c r="M925" s="6">
        <f>HYPERLINK("https://map.naver.com/p/search/연동면 내판리 337-9", "지도Link")</f>
        <v/>
      </c>
      <c r="N925" s="6">
        <f>HYPERLINK("http://www.eum.go.kr/web/ar/lu/luLandDet.jsp?pnu=3611032021103370009&amp;isNoScr=script&amp;mode=search", "토지이음")</f>
        <v/>
      </c>
      <c r="O925" s="3" t="inlineStr">
        <is>
          <t>미스터홈즈강남지사</t>
        </is>
      </c>
      <c r="P925" s="4" t="n">
        <v>1</v>
      </c>
      <c r="Q925" s="4" t="n">
        <v>737</v>
      </c>
      <c r="R925" s="3" t="inlineStr">
        <is>
          <t>지정되지않음</t>
        </is>
      </c>
      <c r="S925" s="3" t="inlineStr">
        <is>
          <t>상업용</t>
        </is>
      </c>
      <c r="T925" s="3" t="inlineStr">
        <is>
          <t>평지</t>
        </is>
      </c>
      <c r="U925" s="3" t="inlineStr">
        <is>
          <t>사다리형</t>
        </is>
      </c>
      <c r="V925" s="3" t="inlineStr">
        <is>
          <t>세로한면(가)</t>
        </is>
      </c>
    </row>
    <row r="926">
      <c r="A926" s="3" t="inlineStr">
        <is>
          <t>연동면 내판리 35-5</t>
        </is>
      </c>
      <c r="B926" s="3" t="inlineStr">
        <is>
          <t>계획관리지역</t>
        </is>
      </c>
      <c r="C926" s="3" t="inlineStr">
        <is>
          <t>임야</t>
        </is>
      </c>
      <c r="D926" s="3" t="inlineStr">
        <is>
          <t>임야</t>
        </is>
      </c>
      <c r="E926" s="3" t="inlineStr">
        <is>
          <t>매매</t>
        </is>
      </c>
      <c r="F926" s="4" t="n">
        <v>210000</v>
      </c>
      <c r="G926" s="4" t="n">
        <v>5683</v>
      </c>
      <c r="H926" s="4" t="n">
        <v>1719</v>
      </c>
      <c r="I926" s="5" t="n">
        <v>122.2</v>
      </c>
      <c r="J926" s="5" t="n">
        <v>41.8</v>
      </c>
      <c r="K926" s="3" t="inlineStr">
        <is>
          <t>시세보다 저렴한  최상의 위치로  계획관리 토지로 용도다양</t>
        </is>
      </c>
      <c r="L926" s="6">
        <f>HYPERLINK("https://fin.land.naver.com/articles/2651026655", "매물Link")</f>
        <v/>
      </c>
      <c r="M926" s="6">
        <f>HYPERLINK("https://map.naver.com/p/search/연동면 내판리 35-5", "지도Link")</f>
        <v/>
      </c>
      <c r="N926" s="6">
        <f>HYPERLINK("http://www.eum.go.kr/web/ar/lu/luLandDet.jsp?pnu=3611032021100350005&amp;isNoScr=script&amp;mode=search", "토지이음")</f>
        <v/>
      </c>
      <c r="O926" s="3" t="inlineStr">
        <is>
          <t>연동스카이</t>
        </is>
      </c>
      <c r="P926" s="4" t="n">
        <v>1</v>
      </c>
      <c r="Q926" s="4" t="n">
        <v>5683</v>
      </c>
      <c r="R926" s="3" t="inlineStr">
        <is>
          <t>지정되지않음</t>
        </is>
      </c>
      <c r="S926" s="3" t="inlineStr">
        <is>
          <t>자연림</t>
        </is>
      </c>
      <c r="T926" s="3" t="inlineStr">
        <is>
          <t>완경사</t>
        </is>
      </c>
      <c r="U926" s="3" t="inlineStr">
        <is>
          <t>부정형</t>
        </is>
      </c>
      <c r="V926" s="3" t="inlineStr">
        <is>
          <t>세로한면(가)</t>
        </is>
      </c>
    </row>
    <row r="927">
      <c r="A927" s="3" t="inlineStr">
        <is>
          <t>연동면 내판리 35-5</t>
        </is>
      </c>
      <c r="B927" s="3" t="inlineStr">
        <is>
          <t>계획관리지역</t>
        </is>
      </c>
      <c r="C927" s="3" t="inlineStr">
        <is>
          <t>임야</t>
        </is>
      </c>
      <c r="D927" s="3" t="inlineStr">
        <is>
          <t>임야</t>
        </is>
      </c>
      <c r="E927" s="3" t="inlineStr">
        <is>
          <t>매매</t>
        </is>
      </c>
      <c r="F927" s="4" t="n">
        <v>207000</v>
      </c>
      <c r="G927" s="4" t="n">
        <v>5683</v>
      </c>
      <c r="H927" s="4" t="n">
        <v>1719</v>
      </c>
      <c r="I927" s="5" t="n">
        <v>120.4</v>
      </c>
      <c r="J927" s="5" t="n">
        <v>41.8</v>
      </c>
      <c r="K927" s="3" t="inlineStr">
        <is>
          <t>급매  저렴한 매물    추천매물</t>
        </is>
      </c>
      <c r="L927" s="6">
        <f>HYPERLINK("https://fin.land.naver.com/articles/2653315073", "매물Link")</f>
        <v/>
      </c>
      <c r="M927" s="6">
        <f>HYPERLINK("https://map.naver.com/p/search/연동면 내판리 35-5", "지도Link")</f>
        <v/>
      </c>
      <c r="N927" s="6">
        <f>HYPERLINK("http://www.eum.go.kr/web/ar/lu/luLandDet.jsp?pnu=3611032021100350005&amp;isNoScr=script&amp;mode=search", "토지이음")</f>
        <v/>
      </c>
      <c r="O927" s="3" t="inlineStr">
        <is>
          <t>세종푸르지오</t>
        </is>
      </c>
      <c r="P927" s="4" t="n">
        <v>2</v>
      </c>
      <c r="Q927" s="4" t="n">
        <v>5683</v>
      </c>
      <c r="R927" s="3" t="inlineStr">
        <is>
          <t>지정되지않음</t>
        </is>
      </c>
      <c r="S927" s="3" t="inlineStr">
        <is>
          <t>자연림</t>
        </is>
      </c>
      <c r="T927" s="3" t="inlineStr">
        <is>
          <t>완경사</t>
        </is>
      </c>
      <c r="U927" s="3" t="inlineStr">
        <is>
          <t>부정형</t>
        </is>
      </c>
      <c r="V927" s="3" t="inlineStr">
        <is>
          <t>세로한면(가)</t>
        </is>
      </c>
    </row>
    <row r="928">
      <c r="A928" s="3" t="inlineStr">
        <is>
          <t>연동면 내판리 35-5</t>
        </is>
      </c>
      <c r="B928" s="3" t="inlineStr">
        <is>
          <t>계획관리지역</t>
        </is>
      </c>
      <c r="C928" s="3" t="inlineStr">
        <is>
          <t>임야</t>
        </is>
      </c>
      <c r="D928" s="3" t="inlineStr">
        <is>
          <t>임야</t>
        </is>
      </c>
      <c r="E928" s="3" t="inlineStr">
        <is>
          <t>매매</t>
        </is>
      </c>
      <c r="F928" s="4" t="n">
        <v>205000</v>
      </c>
      <c r="G928" s="4" t="n">
        <v>5683</v>
      </c>
      <c r="H928" s="4" t="n">
        <v>1719</v>
      </c>
      <c r="I928" s="5" t="n">
        <v>119.3</v>
      </c>
      <c r="J928" s="5" t="n">
        <v>41.8</v>
      </c>
      <c r="K928" s="3" t="inlineStr">
        <is>
          <t>계획관리지역 건축부지 시세이하가격</t>
        </is>
      </c>
      <c r="L928" s="6">
        <f>HYPERLINK("https://fin.land.naver.com/articles/2650899167", "매물Link")</f>
        <v/>
      </c>
      <c r="M928" s="6">
        <f>HYPERLINK("https://map.naver.com/p/search/연동면 내판리 35-5", "지도Link")</f>
        <v/>
      </c>
      <c r="N928" s="6">
        <f>HYPERLINK("http://www.eum.go.kr/web/ar/lu/luLandDet.jsp?pnu=3611032021100350005&amp;isNoScr=script&amp;mode=search", "토지이음")</f>
        <v/>
      </c>
      <c r="O928" s="3" t="inlineStr">
        <is>
          <t>(주)경진컨설팅</t>
        </is>
      </c>
      <c r="P928" s="4" t="n">
        <v>1</v>
      </c>
      <c r="Q928" s="4" t="n">
        <v>5683</v>
      </c>
      <c r="R928" s="3" t="inlineStr">
        <is>
          <t>지정되지않음</t>
        </is>
      </c>
      <c r="S928" s="3" t="inlineStr">
        <is>
          <t>자연림</t>
        </is>
      </c>
      <c r="T928" s="3" t="inlineStr">
        <is>
          <t>완경사</t>
        </is>
      </c>
      <c r="U928" s="3" t="inlineStr">
        <is>
          <t>부정형</t>
        </is>
      </c>
      <c r="V928" s="3" t="inlineStr">
        <is>
          <t>세로한면(가)</t>
        </is>
      </c>
    </row>
    <row r="929">
      <c r="A929" s="3" t="inlineStr">
        <is>
          <t>연동면 내판리 363-6</t>
        </is>
      </c>
      <c r="B929" s="3" t="inlineStr">
        <is>
          <t>계획관리지역</t>
        </is>
      </c>
      <c r="C929" s="3" t="inlineStr">
        <is>
          <t>답</t>
        </is>
      </c>
      <c r="D929" s="3" t="inlineStr">
        <is>
          <t>답</t>
        </is>
      </c>
      <c r="E929" s="3" t="inlineStr">
        <is>
          <t>매매</t>
        </is>
      </c>
      <c r="F929" s="4" t="n">
        <v>80000</v>
      </c>
      <c r="G929" s="4" t="n">
        <v>663</v>
      </c>
      <c r="H929" s="4" t="n">
        <v>201</v>
      </c>
      <c r="I929" s="5" t="n">
        <v>398</v>
      </c>
      <c r="J929" s="5" t="n">
        <v>95</v>
      </c>
      <c r="K929" s="3" t="inlineStr">
        <is>
          <t>계획관리포장도로전기 인접, 오송산단 접근 좋은 전원형 토지</t>
        </is>
      </c>
      <c r="L929" s="6">
        <f>HYPERLINK("https://fin.land.naver.com/articles/2651802843", "매물Link")</f>
        <v/>
      </c>
      <c r="M929" s="6">
        <f>HYPERLINK("https://map.naver.com/p/search/연동면 내판리 363-6", "지도Link")</f>
        <v/>
      </c>
      <c r="N929" s="6">
        <f>HYPERLINK("http://www.eum.go.kr/web/ar/lu/luLandDet.jsp?pnu=3611032021103630006&amp;isNoScr=script&amp;mode=search", "토지이음")</f>
        <v/>
      </c>
      <c r="O929" s="3" t="inlineStr">
        <is>
          <t>세종소담황금</t>
        </is>
      </c>
      <c r="P929" s="4" t="n">
        <v>1</v>
      </c>
      <c r="Q929" s="4" t="n">
        <v>82</v>
      </c>
      <c r="R929" s="3" t="inlineStr">
        <is>
          <t>지정되지않음</t>
        </is>
      </c>
      <c r="S929" s="3" t="inlineStr">
        <is>
          <t>주거나지</t>
        </is>
      </c>
      <c r="T929" s="3" t="inlineStr">
        <is>
          <t>평지</t>
        </is>
      </c>
      <c r="U929" s="3" t="inlineStr">
        <is>
          <t>사다리형</t>
        </is>
      </c>
      <c r="V929" s="3" t="inlineStr">
        <is>
          <t>세로한면(가)</t>
        </is>
      </c>
    </row>
    <row r="930">
      <c r="A930" s="3" t="inlineStr">
        <is>
          <t>연동면 내판리 365-5</t>
        </is>
      </c>
      <c r="B930" s="3" t="inlineStr">
        <is>
          <t>계획관리지역</t>
        </is>
      </c>
      <c r="C930" s="3" t="inlineStr">
        <is>
          <t>답</t>
        </is>
      </c>
      <c r="D930" s="3" t="inlineStr">
        <is>
          <t>답</t>
        </is>
      </c>
      <c r="E930" s="3" t="inlineStr">
        <is>
          <t>매매</t>
        </is>
      </c>
      <c r="F930" s="4" t="n">
        <v>80000</v>
      </c>
      <c r="G930" s="4" t="n">
        <v>664</v>
      </c>
      <c r="H930" s="4" t="n">
        <v>201</v>
      </c>
      <c r="I930" s="5" t="n">
        <v>398</v>
      </c>
      <c r="J930" s="5" t="n">
        <v>95</v>
      </c>
      <c r="K930" s="3" t="inlineStr">
        <is>
          <t>세종시 5생활권 스마트시티 300m 7,500세대 아파트 호재 중심</t>
        </is>
      </c>
      <c r="L930" s="6">
        <f>HYPERLINK("https://fin.land.naver.com/articles/2654053900", "매물Link")</f>
        <v/>
      </c>
      <c r="M930" s="6">
        <f>HYPERLINK("https://map.naver.com/p/search/연동면 내판리 365-5", "지도Link")</f>
        <v/>
      </c>
      <c r="N930" s="6">
        <f>HYPERLINK("http://www.eum.go.kr/web/ar/lu/luLandDet.jsp?pnu=3611032021103650005&amp;isNoScr=script&amp;mode=search", "토지이음")</f>
        <v/>
      </c>
      <c r="O930" s="3" t="inlineStr">
        <is>
          <t>찬스</t>
        </is>
      </c>
      <c r="P930" s="4" t="n">
        <v>1</v>
      </c>
      <c r="Q930" s="4" t="n">
        <v>473</v>
      </c>
      <c r="R930" s="3" t="inlineStr">
        <is>
          <t>지정되지않음</t>
        </is>
      </c>
      <c r="S930" s="3" t="inlineStr">
        <is>
          <t>주거나지</t>
        </is>
      </c>
      <c r="T930" s="3" t="inlineStr">
        <is>
          <t>평지</t>
        </is>
      </c>
      <c r="U930" s="3" t="inlineStr">
        <is>
          <t>사다리형</t>
        </is>
      </c>
      <c r="V930" s="3" t="inlineStr">
        <is>
          <t>세로한면(가)</t>
        </is>
      </c>
    </row>
    <row r="931">
      <c r="A931" s="3" t="inlineStr">
        <is>
          <t>연동면 내판리 415</t>
        </is>
      </c>
      <c r="B931" s="3" t="inlineStr">
        <is>
          <t>계획관리지역</t>
        </is>
      </c>
      <c r="C931" s="3" t="inlineStr">
        <is>
          <t>전</t>
        </is>
      </c>
      <c r="D931" s="3" t="inlineStr">
        <is>
          <t>전</t>
        </is>
      </c>
      <c r="E931" s="3" t="inlineStr">
        <is>
          <t>매매</t>
        </is>
      </c>
      <c r="F931" s="4" t="n">
        <v>59000</v>
      </c>
      <c r="G931" s="4" t="n">
        <v>1636</v>
      </c>
      <c r="H931" s="4" t="n">
        <v>495</v>
      </c>
      <c r="I931" s="5" t="n">
        <v>119.2</v>
      </c>
      <c r="J931" s="5" t="n">
        <v>52.7</v>
      </c>
      <c r="K931" s="3" t="inlineStr">
        <is>
          <t>nan</t>
        </is>
      </c>
      <c r="L931" s="6">
        <f>HYPERLINK("https://fin.land.naver.com/articles/2649336628", "매물Link")</f>
        <v/>
      </c>
      <c r="M931" s="6">
        <f>HYPERLINK("https://map.naver.com/p/search/연동면 내판리 415", "지도Link")</f>
        <v/>
      </c>
      <c r="N931" s="6">
        <f>HYPERLINK("http://www.eum.go.kr/web/ar/lu/luLandDet.jsp?pnu=3611032021104150000&amp;isNoScr=script&amp;mode=search", "토지이음")</f>
        <v/>
      </c>
      <c r="O931" s="3" t="inlineStr">
        <is>
          <t>둔산가온</t>
        </is>
      </c>
      <c r="P931" s="4" t="n">
        <v>1</v>
      </c>
      <c r="Q931" s="4" t="n">
        <v>1636</v>
      </c>
      <c r="R931" s="3" t="inlineStr">
        <is>
          <t>지정되지않음</t>
        </is>
      </c>
      <c r="S931" s="3" t="inlineStr">
        <is>
          <t>전</t>
        </is>
      </c>
      <c r="T931" s="3" t="inlineStr">
        <is>
          <t>완경사</t>
        </is>
      </c>
      <c r="U931" s="3" t="inlineStr">
        <is>
          <t>부정형</t>
        </is>
      </c>
      <c r="V931" s="3" t="inlineStr">
        <is>
          <t>맹지</t>
        </is>
      </c>
    </row>
    <row r="932">
      <c r="A932" s="3" t="inlineStr">
        <is>
          <t>연동면 내판리 418</t>
        </is>
      </c>
      <c r="B932" s="3" t="inlineStr">
        <is>
          <t>계획관리지역</t>
        </is>
      </c>
      <c r="C932" s="3" t="inlineStr">
        <is>
          <t>답</t>
        </is>
      </c>
      <c r="D932" s="3" t="inlineStr">
        <is>
          <t>답</t>
        </is>
      </c>
      <c r="E932" s="3" t="inlineStr">
        <is>
          <t>매매</t>
        </is>
      </c>
      <c r="F932" s="4" t="n">
        <v>234600</v>
      </c>
      <c r="G932" s="4" t="n">
        <v>2585</v>
      </c>
      <c r="H932" s="4" t="n">
        <v>782</v>
      </c>
      <c r="I932" s="5" t="n">
        <v>300</v>
      </c>
      <c r="J932" s="5" t="n">
        <v>74.09999999999999</v>
      </c>
      <c r="K932" s="3" t="inlineStr">
        <is>
          <t>투자와 실사용 모두 적합,인프라 근접</t>
        </is>
      </c>
      <c r="L932" s="6">
        <f>HYPERLINK("https://fin.land.naver.com/articles/2650476322", "매물Link")</f>
        <v/>
      </c>
      <c r="M932" s="6">
        <f>HYPERLINK("https://map.naver.com/p/search/연동면 내판리 418", "지도Link")</f>
        <v/>
      </c>
      <c r="N932" s="6">
        <f>HYPERLINK("http://www.eum.go.kr/web/ar/lu/luLandDet.jsp?pnu=3611032021104180000&amp;isNoScr=script&amp;mode=search", "토지이음")</f>
        <v/>
      </c>
      <c r="O932" s="3" t="inlineStr">
        <is>
          <t>가치잇는</t>
        </is>
      </c>
      <c r="P932" s="4" t="n">
        <v>1</v>
      </c>
      <c r="Q932" s="4" t="n">
        <v>2585</v>
      </c>
      <c r="R932" s="3" t="inlineStr">
        <is>
          <t>지정되지않음</t>
        </is>
      </c>
      <c r="S932" s="3" t="inlineStr">
        <is>
          <t>답</t>
        </is>
      </c>
      <c r="T932" s="3" t="inlineStr">
        <is>
          <t>평지</t>
        </is>
      </c>
      <c r="U932" s="3" t="inlineStr">
        <is>
          <t>부정형</t>
        </is>
      </c>
      <c r="V932" s="3" t="inlineStr">
        <is>
          <t>세로각지(가)</t>
        </is>
      </c>
    </row>
    <row r="933">
      <c r="A933" s="3" t="inlineStr">
        <is>
          <t>연동면 내판리 419</t>
        </is>
      </c>
      <c r="B933" s="3" t="inlineStr">
        <is>
          <t>계획관리지역</t>
        </is>
      </c>
      <c r="C933" s="3" t="inlineStr">
        <is>
          <t>답</t>
        </is>
      </c>
      <c r="D933" s="3" t="inlineStr">
        <is>
          <t>답</t>
        </is>
      </c>
      <c r="E933" s="3" t="inlineStr">
        <is>
          <t>매매</t>
        </is>
      </c>
      <c r="F933" s="4" t="n">
        <v>115500</v>
      </c>
      <c r="G933" s="4" t="n">
        <v>1273</v>
      </c>
      <c r="H933" s="4" t="n">
        <v>385</v>
      </c>
      <c r="I933" s="5" t="n">
        <v>300</v>
      </c>
      <c r="J933" s="5" t="n">
        <v>63.7</v>
      </c>
      <c r="K933" s="3" t="inlineStr">
        <is>
          <t>세종 생활권 가까워 투자가치와 활용도 높은 토지</t>
        </is>
      </c>
      <c r="L933" s="6">
        <f>HYPERLINK("https://fin.land.naver.com/articles/2650478669", "매물Link")</f>
        <v/>
      </c>
      <c r="M933" s="6">
        <f>HYPERLINK("https://map.naver.com/p/search/연동면 내판리 419", "지도Link")</f>
        <v/>
      </c>
      <c r="N933" s="6">
        <f>HYPERLINK("http://www.eum.go.kr/web/ar/lu/luLandDet.jsp?pnu=3611032021104190000&amp;isNoScr=script&amp;mode=search", "토지이음")</f>
        <v/>
      </c>
      <c r="O933" s="3" t="inlineStr">
        <is>
          <t>가치잇는</t>
        </is>
      </c>
      <c r="P933" s="4" t="n">
        <v>1</v>
      </c>
      <c r="Q933" s="4" t="n">
        <v>1273</v>
      </c>
      <c r="R933" s="3" t="inlineStr">
        <is>
          <t>지정되지않음</t>
        </is>
      </c>
      <c r="S933" s="3" t="inlineStr">
        <is>
          <t>답</t>
        </is>
      </c>
      <c r="T933" s="3" t="inlineStr">
        <is>
          <t>평지</t>
        </is>
      </c>
      <c r="U933" s="3" t="inlineStr">
        <is>
          <t>부정형</t>
        </is>
      </c>
      <c r="V933" s="3" t="inlineStr">
        <is>
          <t>세로한면(불)</t>
        </is>
      </c>
    </row>
    <row r="934">
      <c r="A934" s="3" t="inlineStr">
        <is>
          <t>연동면 내판리 422</t>
        </is>
      </c>
      <c r="B934" s="3" t="inlineStr">
        <is>
          <t>계획관리지역</t>
        </is>
      </c>
      <c r="C934" s="3" t="inlineStr">
        <is>
          <t>답</t>
        </is>
      </c>
      <c r="D934" s="3" t="inlineStr">
        <is>
          <t>답</t>
        </is>
      </c>
      <c r="E934" s="3" t="inlineStr">
        <is>
          <t>매매</t>
        </is>
      </c>
      <c r="F934" s="4" t="n">
        <v>169000</v>
      </c>
      <c r="G934" s="4" t="n">
        <v>1603</v>
      </c>
      <c r="H934" s="4" t="n">
        <v>485</v>
      </c>
      <c r="I934" s="5" t="n">
        <v>348.5</v>
      </c>
      <c r="J934" s="5" t="n">
        <v>60.3</v>
      </c>
      <c r="K934" s="3" t="inlineStr">
        <is>
          <t>내판리 도로변 계획관리지역 답</t>
        </is>
      </c>
      <c r="L934" s="6">
        <f>HYPERLINK("https://fin.land.naver.com/articles/2650438078", "매물Link")</f>
        <v/>
      </c>
      <c r="M934" s="6">
        <f>HYPERLINK("https://map.naver.com/p/search/연동면 내판리 422", "지도Link")</f>
        <v/>
      </c>
      <c r="N934" s="6">
        <f>HYPERLINK("http://www.eum.go.kr/web/ar/lu/luLandDet.jsp?pnu=3611032021104220000&amp;isNoScr=script&amp;mode=search", "토지이음")</f>
        <v/>
      </c>
      <c r="O934" s="3" t="inlineStr">
        <is>
          <t>세종천지</t>
        </is>
      </c>
      <c r="P934" s="4" t="n">
        <v>1</v>
      </c>
      <c r="Q934" s="4" t="n">
        <v>1603</v>
      </c>
      <c r="R934" s="3" t="inlineStr">
        <is>
          <t>지정되지않음</t>
        </is>
      </c>
      <c r="S934" s="3" t="inlineStr">
        <is>
          <t>답</t>
        </is>
      </c>
      <c r="T934" s="3" t="inlineStr">
        <is>
          <t>완경사</t>
        </is>
      </c>
      <c r="U934" s="3" t="inlineStr">
        <is>
          <t>부정형</t>
        </is>
      </c>
      <c r="V934" s="3" t="inlineStr">
        <is>
          <t>세로한면(가)</t>
        </is>
      </c>
    </row>
    <row r="935">
      <c r="A935" s="3" t="inlineStr">
        <is>
          <t>연동면 내판리 556</t>
        </is>
      </c>
      <c r="B935" s="3" t="inlineStr">
        <is>
          <t>생산관리지역</t>
        </is>
      </c>
      <c r="C935" s="3" t="inlineStr">
        <is>
          <t>답</t>
        </is>
      </c>
      <c r="D935" s="3" t="inlineStr">
        <is>
          <t>답</t>
        </is>
      </c>
      <c r="E935" s="3" t="inlineStr">
        <is>
          <t>매매</t>
        </is>
      </c>
      <c r="F935" s="4" t="n">
        <v>80000</v>
      </c>
      <c r="G935" s="4" t="n">
        <v>2733</v>
      </c>
      <c r="H935" s="4" t="n">
        <v>827</v>
      </c>
      <c r="I935" s="5" t="n">
        <v>96.7</v>
      </c>
      <c r="J935" s="5" t="n">
        <v>71.2</v>
      </c>
      <c r="K935" s="3" t="inlineStr">
        <is>
          <t>nan</t>
        </is>
      </c>
      <c r="L935" s="6">
        <f>HYPERLINK("https://fin.land.naver.com/articles/2651729266", "매물Link")</f>
        <v/>
      </c>
      <c r="M935" s="6">
        <f>HYPERLINK("https://map.naver.com/p/search/연동면 내판리 556", "지도Link")</f>
        <v/>
      </c>
      <c r="N935" s="6">
        <f>HYPERLINK("http://www.eum.go.kr/web/ar/lu/luLandDet.jsp?pnu=3611032021105560000&amp;isNoScr=script&amp;mode=search", "토지이음")</f>
        <v/>
      </c>
      <c r="O935" s="3" t="inlineStr">
        <is>
          <t>세종땅전문</t>
        </is>
      </c>
      <c r="P935" s="4" t="n">
        <v>1</v>
      </c>
      <c r="Q935" s="4" t="n">
        <v>2169</v>
      </c>
      <c r="R935" s="3" t="inlineStr">
        <is>
          <t>지정되지않음</t>
        </is>
      </c>
      <c r="S935" s="3" t="inlineStr">
        <is>
          <t>답</t>
        </is>
      </c>
      <c r="T935" s="3" t="inlineStr">
        <is>
          <t>평지</t>
        </is>
      </c>
      <c r="U935" s="3" t="inlineStr">
        <is>
          <t>부정형</t>
        </is>
      </c>
      <c r="V935" s="3" t="inlineStr">
        <is>
          <t>세로한면(가)</t>
        </is>
      </c>
    </row>
    <row r="936">
      <c r="A936" s="3" t="inlineStr">
        <is>
          <t>연동면 내판리 572-1</t>
        </is>
      </c>
      <c r="B936" s="3" t="inlineStr">
        <is>
          <t>계획관리지역</t>
        </is>
      </c>
      <c r="C936" s="3" t="inlineStr">
        <is>
          <t>전</t>
        </is>
      </c>
      <c r="D936" s="3" t="inlineStr">
        <is>
          <t>전</t>
        </is>
      </c>
      <c r="E936" s="3" t="inlineStr">
        <is>
          <t>매매</t>
        </is>
      </c>
      <c r="F936" s="4" t="n">
        <v>12000</v>
      </c>
      <c r="G936" s="4" t="n">
        <v>97</v>
      </c>
      <c r="H936" s="4" t="n">
        <v>29</v>
      </c>
      <c r="I936" s="5" t="n">
        <v>413.8</v>
      </c>
      <c r="J936" s="5" t="n">
        <v>63.2</v>
      </c>
      <c r="K936" s="3" t="inlineStr">
        <is>
          <t>세종시5생활권주변지역 위치좋은 매물</t>
        </is>
      </c>
      <c r="L936" s="6">
        <f>HYPERLINK("https://fin.land.naver.com/articles/2654051858", "매물Link")</f>
        <v/>
      </c>
      <c r="M936" s="6">
        <f>HYPERLINK("https://map.naver.com/p/search/연동면 내판리 572-1", "지도Link")</f>
        <v/>
      </c>
      <c r="N936" s="6">
        <f>HYPERLINK("http://www.eum.go.kr/web/ar/lu/luLandDet.jsp?pnu=3611032021105720001&amp;isNoScr=script&amp;mode=search", "토지이음")</f>
        <v/>
      </c>
      <c r="O936" s="3" t="inlineStr">
        <is>
          <t>대박</t>
        </is>
      </c>
      <c r="P936" s="4" t="n">
        <v>1</v>
      </c>
      <c r="Q936" s="4" t="n">
        <v>97</v>
      </c>
      <c r="R936" s="3" t="inlineStr">
        <is>
          <t>지정되지않음</t>
        </is>
      </c>
      <c r="S936" s="3" t="inlineStr">
        <is>
          <t>답</t>
        </is>
      </c>
      <c r="T936" s="3" t="inlineStr">
        <is>
          <t>평지</t>
        </is>
      </c>
      <c r="U936" s="3" t="inlineStr">
        <is>
          <t>부정형</t>
        </is>
      </c>
      <c r="V936" s="3" t="inlineStr">
        <is>
          <t>세로한면(가)</t>
        </is>
      </c>
    </row>
    <row r="937">
      <c r="A937" s="3" t="inlineStr">
        <is>
          <t>연동면 내판리 63-1</t>
        </is>
      </c>
      <c r="B937" s="3" t="inlineStr">
        <is>
          <t>계획관리지역</t>
        </is>
      </c>
      <c r="C937" s="3" t="inlineStr">
        <is>
          <t>답</t>
        </is>
      </c>
      <c r="D937" s="3" t="inlineStr">
        <is>
          <t>답</t>
        </is>
      </c>
      <c r="E937" s="3" t="inlineStr">
        <is>
          <t>매매</t>
        </is>
      </c>
      <c r="F937" s="4" t="n">
        <v>60000</v>
      </c>
      <c r="G937" s="4" t="n">
        <v>640</v>
      </c>
      <c r="H937" s="4" t="n">
        <v>194</v>
      </c>
      <c r="I937" s="5" t="n">
        <v>309.3</v>
      </c>
      <c r="J937" s="5" t="n">
        <v>71.5</v>
      </c>
      <c r="K937" s="3" t="inlineStr">
        <is>
          <t>농업용창고있음.도로에 접해있는 땅으로 접근성 좋습니다.</t>
        </is>
      </c>
      <c r="L937" s="6">
        <f>HYPERLINK("https://fin.land.naver.com/articles/2650744703", "매물Link")</f>
        <v/>
      </c>
      <c r="M937" s="6">
        <f>HYPERLINK("https://map.naver.com/p/search/연동면 내판리 63-1", "지도Link")</f>
        <v/>
      </c>
      <c r="N937" s="6">
        <f>HYPERLINK("http://www.eum.go.kr/web/ar/lu/luLandDet.jsp?pnu=3611032021100630001&amp;isNoScr=script&amp;mode=search", "토지이음")</f>
        <v/>
      </c>
      <c r="O937" s="3" t="inlineStr">
        <is>
          <t>복수자이</t>
        </is>
      </c>
      <c r="P937" s="4" t="n">
        <v>1</v>
      </c>
      <c r="Q937" s="4" t="n">
        <v>640</v>
      </c>
      <c r="R937" s="3" t="inlineStr">
        <is>
          <t>지정되지않음</t>
        </is>
      </c>
      <c r="S937" s="3" t="inlineStr">
        <is>
          <t>답기타</t>
        </is>
      </c>
      <c r="T937" s="3" t="inlineStr">
        <is>
          <t>완경사</t>
        </is>
      </c>
      <c r="U937" s="3" t="inlineStr">
        <is>
          <t>부정형</t>
        </is>
      </c>
      <c r="V937" s="3" t="inlineStr">
        <is>
          <t>소로한면</t>
        </is>
      </c>
    </row>
    <row r="938">
      <c r="A938" s="3" t="inlineStr">
        <is>
          <t>연동면 내판리 64-1</t>
        </is>
      </c>
      <c r="B938" s="3" t="inlineStr">
        <is>
          <t>계획관리지역</t>
        </is>
      </c>
      <c r="C938" s="3" t="inlineStr">
        <is>
          <t>답</t>
        </is>
      </c>
      <c r="D938" s="3" t="inlineStr">
        <is>
          <t>답</t>
        </is>
      </c>
      <c r="E938" s="3" t="inlineStr">
        <is>
          <t>매매</t>
        </is>
      </c>
      <c r="F938" s="4" t="n">
        <v>88000</v>
      </c>
      <c r="G938" s="4" t="n">
        <v>1167</v>
      </c>
      <c r="H938" s="4" t="n">
        <v>353</v>
      </c>
      <c r="I938" s="5" t="n">
        <v>249.3</v>
      </c>
      <c r="J938" s="5" t="n">
        <v>83.3</v>
      </c>
      <c r="K938" s="3" t="inlineStr">
        <is>
          <t>급매, 계획관리지역,성장관리계획구역 도로접</t>
        </is>
      </c>
      <c r="L938" s="6">
        <f>HYPERLINK("https://fin.land.naver.com/articles/2652592592", "매물Link")</f>
        <v/>
      </c>
      <c r="M938" s="6">
        <f>HYPERLINK("https://map.naver.com/p/search/연동면 내판리 64-1", "지도Link")</f>
        <v/>
      </c>
      <c r="N938" s="6">
        <f>HYPERLINK("http://www.eum.go.kr/web/ar/lu/luLandDet.jsp?pnu=3611032021100640001&amp;isNoScr=script&amp;mode=search", "토지이음")</f>
        <v/>
      </c>
      <c r="O938" s="3" t="inlineStr">
        <is>
          <t>굿모닝한라</t>
        </is>
      </c>
      <c r="P938" s="4" t="n">
        <v>1</v>
      </c>
      <c r="Q938" s="4" t="n">
        <v>1167</v>
      </c>
      <c r="R938" s="3" t="inlineStr">
        <is>
          <t>지정되지않음</t>
        </is>
      </c>
      <c r="S938" s="3" t="inlineStr">
        <is>
          <t>답</t>
        </is>
      </c>
      <c r="T938" s="3" t="inlineStr">
        <is>
          <t>평지</t>
        </is>
      </c>
      <c r="U938" s="3" t="inlineStr">
        <is>
          <t>부정형</t>
        </is>
      </c>
      <c r="V938" s="3" t="inlineStr">
        <is>
          <t>소로한면</t>
        </is>
      </c>
    </row>
    <row r="939">
      <c r="A939" s="3" t="inlineStr">
        <is>
          <t>연동면 내판리 65-1</t>
        </is>
      </c>
      <c r="B939" s="3" t="inlineStr">
        <is>
          <t>계획관리지역</t>
        </is>
      </c>
      <c r="C939" s="3" t="inlineStr">
        <is>
          <t>답</t>
        </is>
      </c>
      <c r="D939" s="3" t="inlineStr">
        <is>
          <t>답</t>
        </is>
      </c>
      <c r="E939" s="3" t="inlineStr">
        <is>
          <t>매매</t>
        </is>
      </c>
      <c r="F939" s="4" t="n">
        <v>280000</v>
      </c>
      <c r="G939" s="4" t="n">
        <v>1428</v>
      </c>
      <c r="H939" s="4" t="n">
        <v>432</v>
      </c>
      <c r="I939" s="5" t="n">
        <v>648.1</v>
      </c>
      <c r="J939" s="5" t="n">
        <v>83.3</v>
      </c>
      <c r="K939" s="3" t="inlineStr">
        <is>
          <t>세종5생활권 2차도로 접도 계획관리 토지 매매</t>
        </is>
      </c>
      <c r="L939" s="6">
        <f>HYPERLINK("https://fin.land.naver.com/articles/2649688971", "매물Link")</f>
        <v/>
      </c>
      <c r="M939" s="6">
        <f>HYPERLINK("https://map.naver.com/p/search/연동면 내판리 65-1", "지도Link")</f>
        <v/>
      </c>
      <c r="N939" s="6">
        <f>HYPERLINK("http://www.eum.go.kr/web/ar/lu/luLandDet.jsp?pnu=3611032021100650001&amp;isNoScr=script&amp;mode=search", "토지이음")</f>
        <v/>
      </c>
      <c r="O939" s="3" t="inlineStr">
        <is>
          <t>행운</t>
        </is>
      </c>
      <c r="P939" s="4" t="n">
        <v>1</v>
      </c>
      <c r="Q939" s="4" t="n">
        <v>1468</v>
      </c>
      <c r="R939" s="3" t="inlineStr">
        <is>
          <t>지정되지않음</t>
        </is>
      </c>
      <c r="S939" s="3" t="inlineStr">
        <is>
          <t>답</t>
        </is>
      </c>
      <c r="T939" s="3" t="inlineStr">
        <is>
          <t>평지</t>
        </is>
      </c>
      <c r="U939" s="3" t="inlineStr">
        <is>
          <t>부정형</t>
        </is>
      </c>
      <c r="V939" s="3" t="inlineStr">
        <is>
          <t>소로한면</t>
        </is>
      </c>
    </row>
    <row r="940">
      <c r="A940" s="3" t="inlineStr">
        <is>
          <t>연동면 내판리 65-1</t>
        </is>
      </c>
      <c r="B940" s="3" t="inlineStr">
        <is>
          <t>계획관리지역</t>
        </is>
      </c>
      <c r="C940" s="3" t="inlineStr">
        <is>
          <t>답</t>
        </is>
      </c>
      <c r="D940" s="3" t="inlineStr">
        <is>
          <t>답</t>
        </is>
      </c>
      <c r="E940" s="3" t="inlineStr">
        <is>
          <t>매매</t>
        </is>
      </c>
      <c r="F940" s="4" t="n">
        <v>145000</v>
      </c>
      <c r="G940" s="4" t="n">
        <v>2635</v>
      </c>
      <c r="H940" s="4" t="n">
        <v>797</v>
      </c>
      <c r="I940" s="5" t="n">
        <v>181.9</v>
      </c>
      <c r="J940" s="5" t="n">
        <v>83.3</v>
      </c>
      <c r="K940" s="3" t="inlineStr">
        <is>
          <t>급매,계획관리구역,성장관리계획구역</t>
        </is>
      </c>
      <c r="L940" s="6">
        <f>HYPERLINK("https://fin.land.naver.com/articles/2652592516", "매물Link")</f>
        <v/>
      </c>
      <c r="M940" s="6">
        <f>HYPERLINK("https://map.naver.com/p/search/연동면 내판리 65-1", "지도Link")</f>
        <v/>
      </c>
      <c r="N940" s="6">
        <f>HYPERLINK("http://www.eum.go.kr/web/ar/lu/luLandDet.jsp?pnu=3611032021100650001&amp;isNoScr=script&amp;mode=search", "토지이음")</f>
        <v/>
      </c>
      <c r="O940" s="3" t="inlineStr">
        <is>
          <t>굿모닝한라</t>
        </is>
      </c>
      <c r="P940" s="4" t="n">
        <v>1</v>
      </c>
      <c r="Q940" s="4" t="n">
        <v>1468</v>
      </c>
      <c r="R940" s="3" t="inlineStr">
        <is>
          <t>지정되지않음</t>
        </is>
      </c>
      <c r="S940" s="3" t="inlineStr">
        <is>
          <t>답</t>
        </is>
      </c>
      <c r="T940" s="3" t="inlineStr">
        <is>
          <t>평지</t>
        </is>
      </c>
      <c r="U940" s="3" t="inlineStr">
        <is>
          <t>부정형</t>
        </is>
      </c>
      <c r="V940" s="3" t="inlineStr">
        <is>
          <t>소로한면</t>
        </is>
      </c>
    </row>
    <row r="941">
      <c r="A941" s="3" t="inlineStr">
        <is>
          <t>연동면 내판리 산2</t>
        </is>
      </c>
      <c r="B941" s="3" t="inlineStr">
        <is>
          <t>계획관리지역</t>
        </is>
      </c>
      <c r="C941" s="3" t="inlineStr">
        <is>
          <t>임야</t>
        </is>
      </c>
      <c r="D941" s="3" t="inlineStr">
        <is>
          <t>임야</t>
        </is>
      </c>
      <c r="E941" s="3" t="inlineStr">
        <is>
          <t>매매</t>
        </is>
      </c>
      <c r="F941" s="4" t="n">
        <v>100000</v>
      </c>
      <c r="G941" s="4" t="n">
        <v>1587</v>
      </c>
      <c r="H941" s="4" t="n">
        <v>480</v>
      </c>
      <c r="I941" s="5" t="n">
        <v>208.3</v>
      </c>
      <c r="J941" s="5" t="n">
        <v>36.2</v>
      </c>
      <c r="K941" s="3" t="inlineStr">
        <is>
          <t>계획관리,도시계획도로접,지구단위계획구역,땅모양좋음,조정가</t>
        </is>
      </c>
      <c r="L941" s="6">
        <f>HYPERLINK("https://fin.land.naver.com/articles/2650882718", "매물Link")</f>
        <v/>
      </c>
      <c r="M941" s="6">
        <f>HYPERLINK("https://map.naver.com/p/search/연동면 내판리 산2", "지도Link")</f>
        <v/>
      </c>
      <c r="N941" s="6">
        <f>HYPERLINK("http://www.eum.go.kr/web/ar/lu/luLandDet.jsp?pnu=3611032021200020000&amp;isNoScr=script&amp;mode=search", "토지이음")</f>
        <v/>
      </c>
      <c r="O941" s="3" t="inlineStr">
        <is>
          <t>힐스테이트행복</t>
        </is>
      </c>
      <c r="P941" s="4" t="n">
        <v>1</v>
      </c>
      <c r="Q941" s="4" t="n">
        <v>1587</v>
      </c>
      <c r="R941" s="3" t="inlineStr">
        <is>
          <t>지정되지않음</t>
        </is>
      </c>
      <c r="S941" s="3" t="inlineStr">
        <is>
          <t>자연림</t>
        </is>
      </c>
      <c r="T941" s="3" t="inlineStr">
        <is>
          <t>완경사</t>
        </is>
      </c>
      <c r="U941" s="3" t="inlineStr">
        <is>
          <t>가로장방</t>
        </is>
      </c>
      <c r="V941" s="3" t="inlineStr">
        <is>
          <t>세로각지(가)</t>
        </is>
      </c>
    </row>
    <row r="942">
      <c r="A942" s="3" t="inlineStr">
        <is>
          <t>연동면 노송리 221</t>
        </is>
      </c>
      <c r="B942" s="3" t="inlineStr">
        <is>
          <t>계획관리지역</t>
        </is>
      </c>
      <c r="C942" s="3" t="inlineStr"/>
      <c r="D942" s="3" t="inlineStr">
        <is>
          <t>과수원</t>
        </is>
      </c>
      <c r="E942" s="3" t="inlineStr">
        <is>
          <t>매매</t>
        </is>
      </c>
      <c r="F942" s="4" t="n">
        <v>86000</v>
      </c>
      <c r="G942" s="4" t="n">
        <v>2364</v>
      </c>
      <c r="H942" s="4" t="n">
        <v>715</v>
      </c>
      <c r="I942" s="5" t="n">
        <v>120.3</v>
      </c>
      <c r="J942" s="5" t="n">
        <v>39.5</v>
      </c>
      <c r="K942" s="3" t="inlineStr">
        <is>
          <t>연동면 노송리 저렴한 계획관리 토지, 도로접, 투자 추천</t>
        </is>
      </c>
      <c r="L942" s="6">
        <f>HYPERLINK("https://fin.land.naver.com/articles/2654025020", "매물Link")</f>
        <v/>
      </c>
      <c r="M942" s="6">
        <f>HYPERLINK("https://map.naver.com/p/search/연동면 노송리 221", "지도Link")</f>
        <v/>
      </c>
      <c r="N942" s="6">
        <f>HYPERLINK("http://www.eum.go.kr/web/ar/lu/luLandDet.jsp?pnu=3611032025102210000&amp;isNoScr=script&amp;mode=search", "토지이음")</f>
        <v/>
      </c>
      <c r="O942" s="3" t="inlineStr">
        <is>
          <t>스카이</t>
        </is>
      </c>
      <c r="P942" s="4" t="n">
        <v>1</v>
      </c>
      <c r="Q942" s="4" t="n">
        <v>0</v>
      </c>
      <c r="R942" s="3" t="inlineStr">
        <is>
          <t>지정되지않음</t>
        </is>
      </c>
      <c r="S942" s="3" t="inlineStr">
        <is>
          <t>과수원</t>
        </is>
      </c>
      <c r="T942" s="3" t="inlineStr">
        <is>
          <t>완경사</t>
        </is>
      </c>
      <c r="U942" s="3" t="inlineStr">
        <is>
          <t>부정형</t>
        </is>
      </c>
      <c r="V942" s="3" t="inlineStr">
        <is>
          <t>세로한면(가)</t>
        </is>
      </c>
    </row>
    <row r="943">
      <c r="A943" s="3" t="inlineStr">
        <is>
          <t>연동면 노송리 234-1</t>
        </is>
      </c>
      <c r="B943" s="3" t="inlineStr">
        <is>
          <t>계획관리지역</t>
        </is>
      </c>
      <c r="C943" s="3" t="inlineStr">
        <is>
          <t>대</t>
        </is>
      </c>
      <c r="D943" s="3" t="inlineStr">
        <is>
          <t>대</t>
        </is>
      </c>
      <c r="E943" s="3" t="inlineStr">
        <is>
          <t>매매</t>
        </is>
      </c>
      <c r="F943" s="4" t="n">
        <v>17800</v>
      </c>
      <c r="G943" s="4" t="n">
        <v>283</v>
      </c>
      <c r="H943" s="4" t="n">
        <v>86</v>
      </c>
      <c r="I943" s="5" t="n">
        <v>207</v>
      </c>
      <c r="J943" s="5" t="n">
        <v>73.40000000000001</v>
      </c>
      <c r="K943" s="3" t="inlineStr">
        <is>
          <t>nan</t>
        </is>
      </c>
      <c r="L943" s="6">
        <f>HYPERLINK("https://fin.land.naver.com/articles/2653388757", "매물Link")</f>
        <v/>
      </c>
      <c r="M943" s="6">
        <f>HYPERLINK("https://map.naver.com/p/search/연동면 노송리 234-1", "지도Link")</f>
        <v/>
      </c>
      <c r="N943" s="6">
        <f>HYPERLINK("http://www.eum.go.kr/web/ar/lu/luLandDet.jsp?pnu=3611032025102340001&amp;isNoScr=script&amp;mode=search", "토지이음")</f>
        <v/>
      </c>
      <c r="O943" s="3" t="inlineStr">
        <is>
          <t>다산</t>
        </is>
      </c>
      <c r="P943" s="4" t="n">
        <v>2</v>
      </c>
      <c r="Q943" s="4" t="n">
        <v>283</v>
      </c>
      <c r="R943" s="3" t="inlineStr">
        <is>
          <t>지정되지않음</t>
        </is>
      </c>
      <c r="S943" s="3" t="inlineStr">
        <is>
          <t>단독</t>
        </is>
      </c>
      <c r="T943" s="3" t="inlineStr">
        <is>
          <t>평지</t>
        </is>
      </c>
      <c r="U943" s="3" t="inlineStr">
        <is>
          <t>사다리형</t>
        </is>
      </c>
      <c r="V943" s="3" t="inlineStr">
        <is>
          <t>세로한면(가)</t>
        </is>
      </c>
    </row>
    <row r="944">
      <c r="A944" s="3" t="inlineStr">
        <is>
          <t>연동면 노송리 24</t>
        </is>
      </c>
      <c r="B944" s="3" t="inlineStr">
        <is>
          <t>계획관리지역</t>
        </is>
      </c>
      <c r="C944" s="3" t="inlineStr">
        <is>
          <t>대</t>
        </is>
      </c>
      <c r="D944" s="3" t="inlineStr">
        <is>
          <t>대</t>
        </is>
      </c>
      <c r="E944" s="3" t="inlineStr">
        <is>
          <t>매매</t>
        </is>
      </c>
      <c r="F944" s="4" t="n">
        <v>12600</v>
      </c>
      <c r="G944" s="4" t="n">
        <v>417</v>
      </c>
      <c r="H944" s="4" t="n">
        <v>126</v>
      </c>
      <c r="I944" s="5" t="n">
        <v>100</v>
      </c>
      <c r="J944" s="5" t="n">
        <v>65</v>
      </c>
      <c r="K944" s="3" t="inlineStr">
        <is>
          <t>지대가 높아 남향으로 집을 지으면 조망이 좋은 계획관리지역의 대지입니다</t>
        </is>
      </c>
      <c r="L944" s="6">
        <f>HYPERLINK("https://fin.land.naver.com/articles/2652192028", "매물Link")</f>
        <v/>
      </c>
      <c r="M944" s="6">
        <f>HYPERLINK("https://map.naver.com/p/search/연동면 노송리 24", "지도Link")</f>
        <v/>
      </c>
      <c r="N944" s="6">
        <f>HYPERLINK("http://www.eum.go.kr/web/ar/lu/luLandDet.jsp?pnu=3611032025100240000&amp;isNoScr=script&amp;mode=search", "토지이음")</f>
        <v/>
      </c>
      <c r="O944" s="3" t="inlineStr">
        <is>
          <t>스마일세종</t>
        </is>
      </c>
      <c r="P944" s="4" t="n">
        <v>1</v>
      </c>
      <c r="Q944" s="4" t="n">
        <v>179</v>
      </c>
      <c r="R944" s="3" t="inlineStr">
        <is>
          <t>지정되지않음</t>
        </is>
      </c>
      <c r="S944" s="3" t="inlineStr">
        <is>
          <t>단독</t>
        </is>
      </c>
      <c r="T944" s="3" t="inlineStr">
        <is>
          <t>완경사</t>
        </is>
      </c>
      <c r="U944" s="3" t="inlineStr">
        <is>
          <t>부정형</t>
        </is>
      </c>
      <c r="V944" s="3" t="inlineStr">
        <is>
          <t>세로한면(가)</t>
        </is>
      </c>
    </row>
    <row r="945">
      <c r="A945" s="3" t="inlineStr">
        <is>
          <t>연동면 노송리 246-2</t>
        </is>
      </c>
      <c r="B945" s="3" t="inlineStr">
        <is>
          <t>계획관리지역</t>
        </is>
      </c>
      <c r="C945" s="3" t="inlineStr">
        <is>
          <t>과수원</t>
        </is>
      </c>
      <c r="D945" s="3" t="inlineStr">
        <is>
          <t>전</t>
        </is>
      </c>
      <c r="E945" s="3" t="inlineStr">
        <is>
          <t>매매</t>
        </is>
      </c>
      <c r="F945" s="4" t="n">
        <v>92000</v>
      </c>
      <c r="G945" s="4" t="n">
        <v>2034</v>
      </c>
      <c r="H945" s="4" t="n">
        <v>615</v>
      </c>
      <c r="I945" s="5" t="n">
        <v>149.6</v>
      </c>
      <c r="J945" s="5" t="n">
        <v>46.3</v>
      </c>
      <c r="K945" s="3" t="inlineStr">
        <is>
          <t>연접된 2필지 토지로 지목은 전, 과수원으로 구성됨</t>
        </is>
      </c>
      <c r="L945" s="6">
        <f>HYPERLINK("https://fin.land.naver.com/articles/2650782555", "매물Link")</f>
        <v/>
      </c>
      <c r="M945" s="6">
        <f>HYPERLINK("https://map.naver.com/p/search/연동면 노송리 246-2", "지도Link")</f>
        <v/>
      </c>
      <c r="N945" s="6">
        <f>HYPERLINK("http://www.eum.go.kr/web/ar/lu/luLandDet.jsp?pnu=3611032025102460002&amp;isNoScr=script&amp;mode=search", "토지이음")</f>
        <v/>
      </c>
      <c r="O945" s="3" t="inlineStr">
        <is>
          <t>탑</t>
        </is>
      </c>
      <c r="P945" s="4" t="n">
        <v>1</v>
      </c>
      <c r="Q945" s="4" t="n">
        <v>1090</v>
      </c>
      <c r="R945" s="3" t="inlineStr">
        <is>
          <t>지정되지않음</t>
        </is>
      </c>
      <c r="S945" s="3" t="inlineStr">
        <is>
          <t>과수원</t>
        </is>
      </c>
      <c r="T945" s="3" t="inlineStr">
        <is>
          <t>평지</t>
        </is>
      </c>
      <c r="U945" s="3" t="inlineStr">
        <is>
          <t>부정형</t>
        </is>
      </c>
      <c r="V945" s="3" t="inlineStr">
        <is>
          <t>세로한면(가)</t>
        </is>
      </c>
    </row>
    <row r="946">
      <c r="A946" s="3" t="inlineStr">
        <is>
          <t>연동면 노송리 275</t>
        </is>
      </c>
      <c r="B946" s="3" t="inlineStr">
        <is>
          <t>계획관리지역</t>
        </is>
      </c>
      <c r="C946" s="3" t="inlineStr">
        <is>
          <t>대</t>
        </is>
      </c>
      <c r="D946" s="3" t="inlineStr">
        <is>
          <t>대</t>
        </is>
      </c>
      <c r="E946" s="3" t="inlineStr">
        <is>
          <t>매매</t>
        </is>
      </c>
      <c r="F946" s="4" t="n">
        <v>39500</v>
      </c>
      <c r="G946" s="4" t="n">
        <v>724</v>
      </c>
      <c r="H946" s="4" t="n">
        <v>219</v>
      </c>
      <c r="I946" s="5" t="n">
        <v>180.4</v>
      </c>
      <c r="J946" s="5" t="n">
        <v>67.7</v>
      </c>
      <c r="K946" s="3" t="inlineStr">
        <is>
          <t>매매가 조절가능,집 짓고 텃밭하기 좋은 땅</t>
        </is>
      </c>
      <c r="L946" s="6">
        <f>HYPERLINK("https://fin.land.naver.com/articles/2651247824", "매물Link")</f>
        <v/>
      </c>
      <c r="M946" s="6">
        <f>HYPERLINK("https://map.naver.com/p/search/연동면 노송리 275", "지도Link")</f>
        <v/>
      </c>
      <c r="N946" s="6">
        <f>HYPERLINK("http://www.eum.go.kr/web/ar/lu/luLandDet.jsp?pnu=3611032025102750000&amp;isNoScr=script&amp;mode=search", "토지이음")</f>
        <v/>
      </c>
      <c r="O946" s="3" t="inlineStr">
        <is>
          <t>엘리프단지내대표</t>
        </is>
      </c>
      <c r="P946" s="4" t="n">
        <v>1</v>
      </c>
      <c r="Q946" s="4" t="n">
        <v>724</v>
      </c>
      <c r="R946" s="3" t="inlineStr">
        <is>
          <t>지정되지않음</t>
        </is>
      </c>
      <c r="S946" s="3" t="inlineStr">
        <is>
          <t>단독</t>
        </is>
      </c>
      <c r="T946" s="3" t="inlineStr">
        <is>
          <t>평지</t>
        </is>
      </c>
      <c r="U946" s="3" t="inlineStr">
        <is>
          <t>정방형</t>
        </is>
      </c>
      <c r="V946" s="3" t="inlineStr">
        <is>
          <t>세로한면(가)</t>
        </is>
      </c>
    </row>
    <row r="947">
      <c r="A947" s="3" t="inlineStr">
        <is>
          <t>연동면 노송리 28</t>
        </is>
      </c>
      <c r="B947" s="3" t="inlineStr">
        <is>
          <t>계획관리지역</t>
        </is>
      </c>
      <c r="C947" s="3" t="inlineStr">
        <is>
          <t>대</t>
        </is>
      </c>
      <c r="D947" s="3" t="inlineStr">
        <is>
          <t>대</t>
        </is>
      </c>
      <c r="E947" s="3" t="inlineStr">
        <is>
          <t>매매</t>
        </is>
      </c>
      <c r="F947" s="4" t="n">
        <v>180000</v>
      </c>
      <c r="G947" s="4" t="n">
        <v>1001</v>
      </c>
      <c r="H947" s="4" t="n">
        <v>303</v>
      </c>
      <c r="I947" s="5" t="n">
        <v>594.1</v>
      </c>
      <c r="J947" s="5" t="n">
        <v>68.90000000000001</v>
      </c>
      <c r="K947" s="3" t="inlineStr">
        <is>
          <t>계획관리 자연취락지구 3필지일괄매각 분할매각도가능 가격절충가능</t>
        </is>
      </c>
      <c r="L947" s="6">
        <f>HYPERLINK("https://fin.land.naver.com/articles/2651719062", "매물Link")</f>
        <v/>
      </c>
      <c r="M947" s="6">
        <f>HYPERLINK("https://map.naver.com/p/search/연동면 노송리 28", "지도Link")</f>
        <v/>
      </c>
      <c r="N947" s="6">
        <f>HYPERLINK("http://www.eum.go.kr/web/ar/lu/luLandDet.jsp?pnu=3611032025100280000&amp;isNoScr=script&amp;mode=search", "토지이음")</f>
        <v/>
      </c>
      <c r="O947" s="3" t="inlineStr">
        <is>
          <t>레몬</t>
        </is>
      </c>
      <c r="P947" s="4" t="n">
        <v>1</v>
      </c>
      <c r="Q947" s="4" t="n">
        <v>1001</v>
      </c>
      <c r="R947" s="3" t="inlineStr">
        <is>
          <t>지정되지않음</t>
        </is>
      </c>
      <c r="S947" s="3" t="inlineStr">
        <is>
          <t>단독</t>
        </is>
      </c>
      <c r="T947" s="3" t="inlineStr">
        <is>
          <t>완경사</t>
        </is>
      </c>
      <c r="U947" s="3" t="inlineStr">
        <is>
          <t>부정형</t>
        </is>
      </c>
      <c r="V947" s="3" t="inlineStr">
        <is>
          <t>세로각지(가)</t>
        </is>
      </c>
    </row>
    <row r="948">
      <c r="A948" s="3" t="inlineStr">
        <is>
          <t>연동면 노송리 28-6</t>
        </is>
      </c>
      <c r="B948" s="3" t="inlineStr">
        <is>
          <t>계획관리지역</t>
        </is>
      </c>
      <c r="C948" s="3" t="inlineStr">
        <is>
          <t>대</t>
        </is>
      </c>
      <c r="D948" s="3" t="inlineStr">
        <is>
          <t>대</t>
        </is>
      </c>
      <c r="E948" s="3" t="inlineStr">
        <is>
          <t>매매</t>
        </is>
      </c>
      <c r="F948" s="4" t="n">
        <v>35000</v>
      </c>
      <c r="G948" s="4" t="n">
        <v>465</v>
      </c>
      <c r="H948" s="4" t="n">
        <v>141</v>
      </c>
      <c r="I948" s="5" t="n">
        <v>248.2</v>
      </c>
      <c r="J948" s="5" t="n">
        <v>68.40000000000001</v>
      </c>
      <c r="K948" s="3" t="inlineStr">
        <is>
          <t>지목 대 계획관리 자연취락지구 진입도로있음</t>
        </is>
      </c>
      <c r="L948" s="6">
        <f>HYPERLINK("https://fin.land.naver.com/articles/2651719061", "매물Link")</f>
        <v/>
      </c>
      <c r="M948" s="6">
        <f>HYPERLINK("https://map.naver.com/p/search/연동면 노송리 28-6", "지도Link")</f>
        <v/>
      </c>
      <c r="N948" s="6">
        <f>HYPERLINK("http://www.eum.go.kr/web/ar/lu/luLandDet.jsp?pnu=3611032025100280006&amp;isNoScr=script&amp;mode=search", "토지이음")</f>
        <v/>
      </c>
      <c r="O948" s="3" t="inlineStr">
        <is>
          <t>레몬</t>
        </is>
      </c>
      <c r="P948" s="4" t="n">
        <v>1</v>
      </c>
      <c r="Q948" s="4" t="n">
        <v>465</v>
      </c>
      <c r="R948" s="3" t="inlineStr">
        <is>
          <t>지정되지않음</t>
        </is>
      </c>
      <c r="S948" s="3" t="inlineStr">
        <is>
          <t>단독</t>
        </is>
      </c>
      <c r="T948" s="3" t="inlineStr">
        <is>
          <t>완경사</t>
        </is>
      </c>
      <c r="U948" s="3" t="inlineStr">
        <is>
          <t>사다리형</t>
        </is>
      </c>
      <c r="V948" s="3" t="inlineStr">
        <is>
          <t>세로한면(가)</t>
        </is>
      </c>
    </row>
    <row r="949">
      <c r="A949" s="3" t="inlineStr">
        <is>
          <t>연동면 노송리 28-6</t>
        </is>
      </c>
      <c r="B949" s="3" t="inlineStr">
        <is>
          <t>계획관리지역</t>
        </is>
      </c>
      <c r="C949" s="3" t="inlineStr">
        <is>
          <t>대</t>
        </is>
      </c>
      <c r="D949" s="3" t="inlineStr">
        <is>
          <t>대</t>
        </is>
      </c>
      <c r="E949" s="3" t="inlineStr">
        <is>
          <t>매매</t>
        </is>
      </c>
      <c r="F949" s="4" t="n">
        <v>35000</v>
      </c>
      <c r="G949" s="4" t="n">
        <v>465</v>
      </c>
      <c r="H949" s="4" t="n">
        <v>141</v>
      </c>
      <c r="I949" s="5" t="n">
        <v>248.2</v>
      </c>
      <c r="J949" s="5" t="n">
        <v>68.40000000000001</v>
      </c>
      <c r="K949" s="3" t="inlineStr">
        <is>
          <t>바로 건축할수 있는 나대지,3미터 포장도로 진입가능</t>
        </is>
      </c>
      <c r="L949" s="6">
        <f>HYPERLINK("https://fin.land.naver.com/articles/2653850563", "매물Link")</f>
        <v/>
      </c>
      <c r="M949" s="6">
        <f>HYPERLINK("https://map.naver.com/p/search/연동면 노송리 28-6", "지도Link")</f>
        <v/>
      </c>
      <c r="N949" s="6">
        <f>HYPERLINK("http://www.eum.go.kr/web/ar/lu/luLandDet.jsp?pnu=3611032025100280006&amp;isNoScr=script&amp;mode=search", "토지이음")</f>
        <v/>
      </c>
      <c r="O949" s="3" t="inlineStr">
        <is>
          <t>보람최고</t>
        </is>
      </c>
      <c r="P949" s="4" t="n">
        <v>2</v>
      </c>
      <c r="Q949" s="4" t="n">
        <v>465</v>
      </c>
      <c r="R949" s="3" t="inlineStr">
        <is>
          <t>지정되지않음</t>
        </is>
      </c>
      <c r="S949" s="3" t="inlineStr">
        <is>
          <t>단독</t>
        </is>
      </c>
      <c r="T949" s="3" t="inlineStr">
        <is>
          <t>완경사</t>
        </is>
      </c>
      <c r="U949" s="3" t="inlineStr">
        <is>
          <t>사다리형</t>
        </is>
      </c>
      <c r="V949" s="3" t="inlineStr">
        <is>
          <t>세로한면(가)</t>
        </is>
      </c>
    </row>
    <row r="950">
      <c r="A950" s="3" t="inlineStr">
        <is>
          <t>연동면 노송리 302-1</t>
        </is>
      </c>
      <c r="B950" s="3" t="inlineStr">
        <is>
          <t>계획관리지역</t>
        </is>
      </c>
      <c r="C950" s="3" t="inlineStr">
        <is>
          <t>전</t>
        </is>
      </c>
      <c r="D950" s="3" t="inlineStr">
        <is>
          <t>전</t>
        </is>
      </c>
      <c r="E950" s="3" t="inlineStr">
        <is>
          <t>매매</t>
        </is>
      </c>
      <c r="F950" s="4" t="n">
        <v>162000</v>
      </c>
      <c r="G950" s="4" t="n">
        <v>1983</v>
      </c>
      <c r="H950" s="4" t="n">
        <v>600</v>
      </c>
      <c r="I950" s="5" t="n">
        <v>270</v>
      </c>
      <c r="J950" s="5" t="n">
        <v>13.9</v>
      </c>
      <c r="K950" s="3" t="inlineStr">
        <is>
          <t>계획관리 투자용으로도 좋아요</t>
        </is>
      </c>
      <c r="L950" s="6">
        <f>HYPERLINK("https://fin.land.naver.com/articles/2654181421", "매물Link")</f>
        <v/>
      </c>
      <c r="M950" s="6">
        <f>HYPERLINK("https://map.naver.com/p/search/연동면 노송리 302-1", "지도Link")</f>
        <v/>
      </c>
      <c r="N950" s="6">
        <f>HYPERLINK("http://www.eum.go.kr/web/ar/lu/luLandDet.jsp?pnu=3611032025103020001&amp;isNoScr=script&amp;mode=search", "토지이음")</f>
        <v/>
      </c>
      <c r="O950" s="3" t="inlineStr">
        <is>
          <t>가치잇는</t>
        </is>
      </c>
      <c r="P950" s="4" t="n">
        <v>1</v>
      </c>
      <c r="Q950" s="4" t="n">
        <v>30</v>
      </c>
      <c r="R950" s="3" t="inlineStr">
        <is>
          <t>지정되지않음</t>
        </is>
      </c>
      <c r="S950" s="3" t="inlineStr">
        <is>
          <t>도로등</t>
        </is>
      </c>
      <c r="T950" s="3" t="inlineStr">
        <is>
          <t>평지</t>
        </is>
      </c>
      <c r="U950" s="3" t="inlineStr">
        <is>
          <t>부정형</t>
        </is>
      </c>
      <c r="V950" s="3" t="inlineStr">
        <is>
          <t>지정되지않음</t>
        </is>
      </c>
    </row>
    <row r="951">
      <c r="A951" s="3" t="inlineStr">
        <is>
          <t>연동면 노송리 310-10</t>
        </is>
      </c>
      <c r="B951" s="3" t="inlineStr">
        <is>
          <t>계획관리지역</t>
        </is>
      </c>
      <c r="C951" s="3" t="inlineStr">
        <is>
          <t>임야</t>
        </is>
      </c>
      <c r="D951" s="3" t="inlineStr">
        <is>
          <t>임야</t>
        </is>
      </c>
      <c r="E951" s="3" t="inlineStr">
        <is>
          <t>매매</t>
        </is>
      </c>
      <c r="F951" s="4" t="n">
        <v>45000</v>
      </c>
      <c r="G951" s="4" t="n">
        <v>616</v>
      </c>
      <c r="H951" s="4" t="n">
        <v>186</v>
      </c>
      <c r="I951" s="5" t="n">
        <v>241.9</v>
      </c>
      <c r="J951" s="5" t="n">
        <v>18.9</v>
      </c>
      <c r="K951" s="3" t="inlineStr">
        <is>
          <t>투자용으로 좋아요.</t>
        </is>
      </c>
      <c r="L951" s="6">
        <f>HYPERLINK("https://fin.land.naver.com/articles/2650453793", "매물Link")</f>
        <v/>
      </c>
      <c r="M951" s="6">
        <f>HYPERLINK("https://map.naver.com/p/search/연동면 노송리 310-10", "지도Link")</f>
        <v/>
      </c>
      <c r="N951" s="6">
        <f>HYPERLINK("http://www.eum.go.kr/web/ar/lu/luLandDet.jsp?pnu=3611032025103100010&amp;isNoScr=script&amp;mode=search", "토지이음")</f>
        <v/>
      </c>
      <c r="O951" s="3" t="inlineStr">
        <is>
          <t>고운동리치세종</t>
        </is>
      </c>
      <c r="P951" s="4" t="n">
        <v>1</v>
      </c>
      <c r="Q951" s="4" t="n">
        <v>616</v>
      </c>
      <c r="R951" s="3" t="inlineStr">
        <is>
          <t>지정되지않음</t>
        </is>
      </c>
      <c r="S951" s="3" t="inlineStr">
        <is>
          <t>전</t>
        </is>
      </c>
      <c r="T951" s="3" t="inlineStr">
        <is>
          <t>평지</t>
        </is>
      </c>
      <c r="U951" s="3" t="inlineStr">
        <is>
          <t>부정형</t>
        </is>
      </c>
      <c r="V951" s="3" t="inlineStr">
        <is>
          <t>소로한면</t>
        </is>
      </c>
    </row>
    <row r="952">
      <c r="A952" s="3" t="inlineStr">
        <is>
          <t>연동면 노송리 327-2</t>
        </is>
      </c>
      <c r="B952" s="3" t="inlineStr">
        <is>
          <t>계획관리지역</t>
        </is>
      </c>
      <c r="C952" s="3" t="inlineStr">
        <is>
          <t>전</t>
        </is>
      </c>
      <c r="D952" s="3" t="inlineStr">
        <is>
          <t>전</t>
        </is>
      </c>
      <c r="E952" s="3" t="inlineStr">
        <is>
          <t>매매</t>
        </is>
      </c>
      <c r="F952" s="4" t="n">
        <v>133750</v>
      </c>
      <c r="G952" s="4" t="n">
        <v>1507</v>
      </c>
      <c r="H952" s="4" t="n">
        <v>456</v>
      </c>
      <c r="I952" s="5" t="n">
        <v>293.3</v>
      </c>
      <c r="J952" s="5" t="n">
        <v>45</v>
      </c>
      <c r="K952" s="3" t="inlineStr">
        <is>
          <t>추천. 연동면 도로낀 계획관리</t>
        </is>
      </c>
      <c r="L952" s="6">
        <f>HYPERLINK("https://fin.land.naver.com/articles/2651935386", "매물Link")</f>
        <v/>
      </c>
      <c r="M952" s="6">
        <f>HYPERLINK("https://map.naver.com/p/search/연동면 노송리 327-2", "지도Link")</f>
        <v/>
      </c>
      <c r="N952" s="6">
        <f>HYPERLINK("http://www.eum.go.kr/web/ar/lu/luLandDet.jsp?pnu=3611032025103270002&amp;isNoScr=script&amp;mode=search", "토지이음")</f>
        <v/>
      </c>
      <c r="O952" s="3" t="inlineStr">
        <is>
          <t>강아지풀</t>
        </is>
      </c>
      <c r="P952" s="4" t="n">
        <v>1</v>
      </c>
      <c r="Q952" s="4" t="n">
        <v>1507</v>
      </c>
      <c r="R952" s="3" t="inlineStr">
        <is>
          <t>지정되지않음</t>
        </is>
      </c>
      <c r="S952" s="3" t="inlineStr">
        <is>
          <t>전</t>
        </is>
      </c>
      <c r="T952" s="3" t="inlineStr">
        <is>
          <t>완경사</t>
        </is>
      </c>
      <c r="U952" s="3" t="inlineStr">
        <is>
          <t>부정형</t>
        </is>
      </c>
      <c r="V952" s="3" t="inlineStr">
        <is>
          <t>소로한면</t>
        </is>
      </c>
    </row>
    <row r="953">
      <c r="A953" s="3" t="inlineStr">
        <is>
          <t>연동면 노송리 329-5</t>
        </is>
      </c>
      <c r="B953" s="3" t="inlineStr">
        <is>
          <t>계획관리지역</t>
        </is>
      </c>
      <c r="C953" s="3" t="inlineStr">
        <is>
          <t>전</t>
        </is>
      </c>
      <c r="D953" s="3" t="inlineStr">
        <is>
          <t>전</t>
        </is>
      </c>
      <c r="E953" s="3" t="inlineStr">
        <is>
          <t>매매</t>
        </is>
      </c>
      <c r="F953" s="4" t="n">
        <v>23000</v>
      </c>
      <c r="G953" s="4" t="n">
        <v>254</v>
      </c>
      <c r="H953" s="4" t="n">
        <v>77</v>
      </c>
      <c r="I953" s="5" t="n">
        <v>298.7</v>
      </c>
      <c r="J953" s="5" t="n">
        <v>47.2</v>
      </c>
      <c r="K953" s="3" t="inlineStr">
        <is>
          <t>2차선 도로에 접함, 건축허가 득함</t>
        </is>
      </c>
      <c r="L953" s="6">
        <f>HYPERLINK("https://fin.land.naver.com/articles/2649582469", "매물Link")</f>
        <v/>
      </c>
      <c r="M953" s="6">
        <f>HYPERLINK("https://map.naver.com/p/search/연동면 노송리 329-5", "지도Link")</f>
        <v/>
      </c>
      <c r="N953" s="6">
        <f>HYPERLINK("http://www.eum.go.kr/web/ar/lu/luLandDet.jsp?pnu=3611032025103290005&amp;isNoScr=script&amp;mode=search", "토지이음")</f>
        <v/>
      </c>
      <c r="O953" s="3" t="inlineStr">
        <is>
          <t>제이</t>
        </is>
      </c>
      <c r="P953" s="4" t="n">
        <v>1</v>
      </c>
      <c r="Q953" s="4" t="n">
        <v>254</v>
      </c>
      <c r="R953" s="3" t="inlineStr">
        <is>
          <t>지정되지않음</t>
        </is>
      </c>
      <c r="S953" s="3" t="inlineStr">
        <is>
          <t>과수원</t>
        </is>
      </c>
      <c r="T953" s="3" t="inlineStr">
        <is>
          <t>완경사</t>
        </is>
      </c>
      <c r="U953" s="3" t="inlineStr">
        <is>
          <t>사다리형</t>
        </is>
      </c>
      <c r="V953" s="3" t="inlineStr">
        <is>
          <t>소로한면</t>
        </is>
      </c>
    </row>
    <row r="954">
      <c r="A954" s="3" t="inlineStr">
        <is>
          <t>연동면 노송리 384</t>
        </is>
      </c>
      <c r="B954" s="3" t="inlineStr">
        <is>
          <t>계획관리지역</t>
        </is>
      </c>
      <c r="C954" s="3" t="inlineStr">
        <is>
          <t>전</t>
        </is>
      </c>
      <c r="D954" s="3" t="inlineStr">
        <is>
          <t>전</t>
        </is>
      </c>
      <c r="E954" s="3" t="inlineStr">
        <is>
          <t>매매</t>
        </is>
      </c>
      <c r="F954" s="4" t="n">
        <v>104400</v>
      </c>
      <c r="G954" s="4" t="n">
        <v>2876</v>
      </c>
      <c r="H954" s="4" t="n">
        <v>870</v>
      </c>
      <c r="I954" s="5" t="n">
        <v>120</v>
      </c>
      <c r="J954" s="5" t="n">
        <v>32.8</v>
      </c>
      <c r="K954" s="3" t="inlineStr">
        <is>
          <t>연동면 노송리 계획관리 토지, 연동면 소재지 인근</t>
        </is>
      </c>
      <c r="L954" s="6">
        <f>HYPERLINK("https://fin.land.naver.com/articles/2654025316", "매물Link")</f>
        <v/>
      </c>
      <c r="M954" s="6">
        <f>HYPERLINK("https://map.naver.com/p/search/연동면 노송리 384", "지도Link")</f>
        <v/>
      </c>
      <c r="N954" s="6">
        <f>HYPERLINK("http://www.eum.go.kr/web/ar/lu/luLandDet.jsp?pnu=3611032025103840000&amp;isNoScr=script&amp;mode=search", "토지이음")</f>
        <v/>
      </c>
      <c r="O954" s="3" t="inlineStr">
        <is>
          <t>스카이</t>
        </is>
      </c>
      <c r="P954" s="4" t="n">
        <v>1</v>
      </c>
      <c r="Q954" s="4" t="n">
        <v>2876</v>
      </c>
      <c r="R954" s="3" t="inlineStr">
        <is>
          <t>지정되지않음</t>
        </is>
      </c>
      <c r="S954" s="3" t="inlineStr">
        <is>
          <t>전</t>
        </is>
      </c>
      <c r="T954" s="3" t="inlineStr">
        <is>
          <t>완경사</t>
        </is>
      </c>
      <c r="U954" s="3" t="inlineStr">
        <is>
          <t>세로장방</t>
        </is>
      </c>
      <c r="V954" s="3" t="inlineStr">
        <is>
          <t>맹지</t>
        </is>
      </c>
    </row>
    <row r="955">
      <c r="A955" s="3" t="inlineStr">
        <is>
          <t>연동면 노송리 449-1</t>
        </is>
      </c>
      <c r="B955" s="3" t="inlineStr">
        <is>
          <t>계획관리지역</t>
        </is>
      </c>
      <c r="C955" s="3" t="inlineStr">
        <is>
          <t>답</t>
        </is>
      </c>
      <c r="D955" s="3" t="inlineStr">
        <is>
          <t>답</t>
        </is>
      </c>
      <c r="E955" s="3" t="inlineStr">
        <is>
          <t>매매</t>
        </is>
      </c>
      <c r="F955" s="4" t="n">
        <v>85000</v>
      </c>
      <c r="G955" s="4" t="n">
        <v>2320</v>
      </c>
      <c r="H955" s="4" t="n">
        <v>702</v>
      </c>
      <c r="I955" s="5" t="n">
        <v>121.1</v>
      </c>
      <c r="J955" s="5" t="n">
        <v>34.4</v>
      </c>
      <c r="K955" s="3" t="inlineStr">
        <is>
          <t>세종시 복합물류터미널 인근 2차선 국도변 계획관리 토지</t>
        </is>
      </c>
      <c r="L955" s="6">
        <f>HYPERLINK("https://fin.land.naver.com/articles/2651339680", "매물Link")</f>
        <v/>
      </c>
      <c r="M955" s="6">
        <f>HYPERLINK("https://map.naver.com/p/search/연동면 노송리 449-1", "지도Link")</f>
        <v/>
      </c>
      <c r="N955" s="6">
        <f>HYPERLINK("http://www.eum.go.kr/web/ar/lu/luLandDet.jsp?pnu=3611032025104490001&amp;isNoScr=script&amp;mode=search", "토지이음")</f>
        <v/>
      </c>
      <c r="O955" s="3" t="inlineStr">
        <is>
          <t>오송3산단  사무소</t>
        </is>
      </c>
      <c r="P955" s="4" t="n">
        <v>1</v>
      </c>
      <c r="Q955" s="4" t="n">
        <v>2320</v>
      </c>
      <c r="R955" s="3" t="inlineStr">
        <is>
          <t>지정되지않음</t>
        </is>
      </c>
      <c r="S955" s="3" t="inlineStr">
        <is>
          <t>답</t>
        </is>
      </c>
      <c r="T955" s="3" t="inlineStr">
        <is>
          <t>완경사</t>
        </is>
      </c>
      <c r="U955" s="3" t="inlineStr">
        <is>
          <t>부정형</t>
        </is>
      </c>
      <c r="V955" s="3" t="inlineStr">
        <is>
          <t>세로한면(가)</t>
        </is>
      </c>
    </row>
    <row r="956">
      <c r="A956" s="3" t="inlineStr">
        <is>
          <t>연동면 노송리 50</t>
        </is>
      </c>
      <c r="B956" s="3" t="inlineStr">
        <is>
          <t>계획관리지역</t>
        </is>
      </c>
      <c r="C956" s="3" t="inlineStr">
        <is>
          <t>전</t>
        </is>
      </c>
      <c r="D956" s="3" t="inlineStr">
        <is>
          <t>전</t>
        </is>
      </c>
      <c r="E956" s="3" t="inlineStr">
        <is>
          <t>매매</t>
        </is>
      </c>
      <c r="F956" s="4" t="n">
        <v>150000</v>
      </c>
      <c r="G956" s="4" t="n">
        <v>1982</v>
      </c>
      <c r="H956" s="4" t="n">
        <v>600</v>
      </c>
      <c r="I956" s="5" t="n">
        <v>250</v>
      </c>
      <c r="J956" s="5" t="n">
        <v>53.2</v>
      </c>
      <c r="K956" s="3" t="inlineStr">
        <is>
          <t>2차선도로접, 계획관리, 4거리변위치, 산단인근 매매가조절가능</t>
        </is>
      </c>
      <c r="L956" s="6">
        <f>HYPERLINK("https://fin.land.naver.com/articles/2650857996", "매물Link")</f>
        <v/>
      </c>
      <c r="M956" s="6">
        <f>HYPERLINK("https://map.naver.com/p/search/연동면 노송리 50", "지도Link")</f>
        <v/>
      </c>
      <c r="N956" s="6">
        <f>HYPERLINK("http://www.eum.go.kr/web/ar/lu/luLandDet.jsp?pnu=3611032025100500000&amp;isNoScr=script&amp;mode=search", "토지이음")</f>
        <v/>
      </c>
      <c r="O956" s="3" t="inlineStr">
        <is>
          <t>힐스테이트정문</t>
        </is>
      </c>
      <c r="P956" s="4" t="n">
        <v>1</v>
      </c>
      <c r="Q956" s="4" t="n">
        <v>1982</v>
      </c>
      <c r="R956" s="3" t="inlineStr">
        <is>
          <t>지정되지않음</t>
        </is>
      </c>
      <c r="S956" s="3" t="inlineStr">
        <is>
          <t>전</t>
        </is>
      </c>
      <c r="T956" s="3" t="inlineStr">
        <is>
          <t>평지</t>
        </is>
      </c>
      <c r="U956" s="3" t="inlineStr">
        <is>
          <t>부정형</t>
        </is>
      </c>
      <c r="V956" s="3" t="inlineStr">
        <is>
          <t>소로한면</t>
        </is>
      </c>
    </row>
    <row r="957">
      <c r="A957" s="3" t="inlineStr">
        <is>
          <t>연동면 노송리 50</t>
        </is>
      </c>
      <c r="B957" s="3" t="inlineStr">
        <is>
          <t>계획관리지역</t>
        </is>
      </c>
      <c r="C957" s="3" t="inlineStr">
        <is>
          <t>전</t>
        </is>
      </c>
      <c r="D957" s="3" t="inlineStr">
        <is>
          <t>전</t>
        </is>
      </c>
      <c r="E957" s="3" t="inlineStr">
        <is>
          <t>매매</t>
        </is>
      </c>
      <c r="F957" s="4" t="n">
        <v>155000</v>
      </c>
      <c r="G957" s="4" t="n">
        <v>1982</v>
      </c>
      <c r="H957" s="4" t="n">
        <v>600</v>
      </c>
      <c r="I957" s="5" t="n">
        <v>258.3</v>
      </c>
      <c r="J957" s="5" t="n">
        <v>53.2</v>
      </c>
      <c r="K957" s="3" t="inlineStr">
        <is>
          <t>nan</t>
        </is>
      </c>
      <c r="L957" s="6">
        <f>HYPERLINK("https://fin.land.naver.com/articles/2653971157", "매물Link")</f>
        <v/>
      </c>
      <c r="M957" s="6">
        <f>HYPERLINK("https://map.naver.com/p/search/연동면 노송리 50", "지도Link")</f>
        <v/>
      </c>
      <c r="N957" s="6">
        <f>HYPERLINK("http://www.eum.go.kr/web/ar/lu/luLandDet.jsp?pnu=3611032025100500000&amp;isNoScr=script&amp;mode=search", "토지이음")</f>
        <v/>
      </c>
      <c r="O957" s="3" t="inlineStr">
        <is>
          <t>노은역</t>
        </is>
      </c>
      <c r="P957" s="4" t="n">
        <v>2</v>
      </c>
      <c r="Q957" s="4" t="n">
        <v>1982</v>
      </c>
      <c r="R957" s="3" t="inlineStr">
        <is>
          <t>지정되지않음</t>
        </is>
      </c>
      <c r="S957" s="3" t="inlineStr">
        <is>
          <t>전</t>
        </is>
      </c>
      <c r="T957" s="3" t="inlineStr">
        <is>
          <t>평지</t>
        </is>
      </c>
      <c r="U957" s="3" t="inlineStr">
        <is>
          <t>부정형</t>
        </is>
      </c>
      <c r="V957" s="3" t="inlineStr">
        <is>
          <t>소로한면</t>
        </is>
      </c>
    </row>
    <row r="958">
      <c r="A958" s="3" t="inlineStr">
        <is>
          <t>연동면 노송리 500-1</t>
        </is>
      </c>
      <c r="B958" s="3" t="inlineStr">
        <is>
          <t>농림지역</t>
        </is>
      </c>
      <c r="C958" s="3" t="inlineStr">
        <is>
          <t>답</t>
        </is>
      </c>
      <c r="D958" s="3" t="inlineStr">
        <is>
          <t>답</t>
        </is>
      </c>
      <c r="E958" s="3" t="inlineStr">
        <is>
          <t>매매</t>
        </is>
      </c>
      <c r="F958" s="4" t="n">
        <v>102400</v>
      </c>
      <c r="G958" s="4" t="n">
        <v>4734</v>
      </c>
      <c r="H958" s="4" t="n">
        <v>1432</v>
      </c>
      <c r="I958" s="5" t="n">
        <v>71.5</v>
      </c>
      <c r="J958" s="5" t="n">
        <v>22.6</v>
      </c>
      <c r="K958" s="3" t="inlineStr">
        <is>
          <t>세종시 연동면 노송리 토지 매매 (답 4,734㎡) 10억 2,100만원</t>
        </is>
      </c>
      <c r="L958" s="6">
        <f>HYPERLINK("https://fin.land.naver.com/articles/2649343302", "매물Link")</f>
        <v/>
      </c>
      <c r="M958" s="6">
        <f>HYPERLINK("https://map.naver.com/p/search/연동면 노송리 500-1", "지도Link")</f>
        <v/>
      </c>
      <c r="N958" s="6">
        <f>HYPERLINK("http://www.eum.go.kr/web/ar/lu/luLandDet.jsp?pnu=3611032025105000001&amp;isNoScr=script&amp;mode=search", "토지이음")</f>
        <v/>
      </c>
      <c r="O958" s="3" t="inlineStr">
        <is>
          <t>세종</t>
        </is>
      </c>
      <c r="P958" s="4" t="n">
        <v>1</v>
      </c>
      <c r="Q958" s="4" t="n">
        <v>4734.6</v>
      </c>
      <c r="R958" s="3" t="inlineStr">
        <is>
          <t>지정되지않음</t>
        </is>
      </c>
      <c r="S958" s="3" t="inlineStr">
        <is>
          <t>답</t>
        </is>
      </c>
      <c r="T958" s="3" t="inlineStr">
        <is>
          <t>평지</t>
        </is>
      </c>
      <c r="U958" s="3" t="inlineStr">
        <is>
          <t>세로장방</t>
        </is>
      </c>
      <c r="V958" s="3" t="inlineStr">
        <is>
          <t>세로한면(가)</t>
        </is>
      </c>
    </row>
    <row r="959">
      <c r="A959" s="3" t="inlineStr">
        <is>
          <t>연동면 명학리 101-7</t>
        </is>
      </c>
      <c r="B959" s="3" t="inlineStr">
        <is>
          <t>농림지역</t>
        </is>
      </c>
      <c r="C959" s="3" t="inlineStr">
        <is>
          <t>전</t>
        </is>
      </c>
      <c r="D959" s="3" t="inlineStr">
        <is>
          <t>전</t>
        </is>
      </c>
      <c r="E959" s="3" t="inlineStr">
        <is>
          <t>매매</t>
        </is>
      </c>
      <c r="F959" s="4" t="n">
        <v>503550</v>
      </c>
      <c r="G959" s="4" t="n">
        <v>3700</v>
      </c>
      <c r="H959" s="4" t="n">
        <v>1119</v>
      </c>
      <c r="I959" s="5" t="n">
        <v>450</v>
      </c>
      <c r="J959" s="5" t="n">
        <v>25.1</v>
      </c>
      <c r="K959" s="3" t="inlineStr">
        <is>
          <t>적은 면적 잘라서 부담없이 구입가능 근생 신축 가능 한 곳으로요</t>
        </is>
      </c>
      <c r="L959" s="6">
        <f>HYPERLINK("https://fin.land.naver.com/articles/2654322617", "매물Link")</f>
        <v/>
      </c>
      <c r="M959" s="6">
        <f>HYPERLINK("https://map.naver.com/p/search/연동면 명학리 101-7", "지도Link")</f>
        <v/>
      </c>
      <c r="N959" s="6">
        <f>HYPERLINK("http://www.eum.go.kr/web/ar/lu/luLandDet.jsp?pnu=3611032023101010007&amp;isNoScr=script&amp;mode=search", "토지이음")</f>
        <v/>
      </c>
      <c r="O959" s="3" t="inlineStr">
        <is>
          <t>세종시삼성래미안</t>
        </is>
      </c>
      <c r="P959" s="4" t="n">
        <v>5</v>
      </c>
      <c r="Q959" s="4" t="n">
        <v>3700</v>
      </c>
      <c r="R959" s="3" t="inlineStr">
        <is>
          <t>보전관리지역</t>
        </is>
      </c>
      <c r="S959" s="3" t="inlineStr">
        <is>
          <t>전</t>
        </is>
      </c>
      <c r="T959" s="3" t="inlineStr">
        <is>
          <t>완경사</t>
        </is>
      </c>
      <c r="U959" s="3" t="inlineStr">
        <is>
          <t>부정형</t>
        </is>
      </c>
      <c r="V959" s="3" t="inlineStr">
        <is>
          <t>소로한면</t>
        </is>
      </c>
    </row>
    <row r="960">
      <c r="A960" s="3" t="inlineStr">
        <is>
          <t>연동면 명학리 101-7</t>
        </is>
      </c>
      <c r="B960" s="3" t="inlineStr">
        <is>
          <t>농림지역</t>
        </is>
      </c>
      <c r="C960" s="3" t="inlineStr">
        <is>
          <t>전</t>
        </is>
      </c>
      <c r="D960" s="3" t="inlineStr">
        <is>
          <t>전</t>
        </is>
      </c>
      <c r="E960" s="3" t="inlineStr">
        <is>
          <t>매매</t>
        </is>
      </c>
      <c r="F960" s="4" t="n">
        <v>100000</v>
      </c>
      <c r="G960" s="4" t="n">
        <v>645</v>
      </c>
      <c r="H960" s="4" t="n">
        <v>195</v>
      </c>
      <c r="I960" s="5" t="n">
        <v>512.8</v>
      </c>
      <c r="J960" s="5" t="n">
        <v>25.1</v>
      </c>
      <c r="K960" s="3" t="inlineStr">
        <is>
          <t>일부 매매,전체 매매 가능,도로변에 위치</t>
        </is>
      </c>
      <c r="L960" s="6">
        <f>HYPERLINK("https://fin.land.naver.com/articles/2649947423", "매물Link")</f>
        <v/>
      </c>
      <c r="M960" s="6">
        <f>HYPERLINK("https://map.naver.com/p/search/연동면 명학리 101-7", "지도Link")</f>
        <v/>
      </c>
      <c r="N960" s="6">
        <f>HYPERLINK("http://www.eum.go.kr/web/ar/lu/luLandDet.jsp?pnu=3611032023101010007&amp;isNoScr=script&amp;mode=search", "토지이음")</f>
        <v/>
      </c>
      <c r="O960" s="3" t="inlineStr">
        <is>
          <t>다산</t>
        </is>
      </c>
      <c r="P960" s="4" t="n">
        <v>1</v>
      </c>
      <c r="Q960" s="4" t="n">
        <v>3700</v>
      </c>
      <c r="R960" s="3" t="inlineStr">
        <is>
          <t>보전관리지역</t>
        </is>
      </c>
      <c r="S960" s="3" t="inlineStr">
        <is>
          <t>전</t>
        </is>
      </c>
      <c r="T960" s="3" t="inlineStr">
        <is>
          <t>완경사</t>
        </is>
      </c>
      <c r="U960" s="3" t="inlineStr">
        <is>
          <t>부정형</t>
        </is>
      </c>
      <c r="V960" s="3" t="inlineStr">
        <is>
          <t>소로한면</t>
        </is>
      </c>
    </row>
    <row r="961">
      <c r="A961" s="3" t="inlineStr">
        <is>
          <t>연동면 명학리 101-7</t>
        </is>
      </c>
      <c r="B961" s="3" t="inlineStr">
        <is>
          <t>농림지역</t>
        </is>
      </c>
      <c r="C961" s="3" t="inlineStr">
        <is>
          <t>전</t>
        </is>
      </c>
      <c r="D961" s="3" t="inlineStr">
        <is>
          <t>전</t>
        </is>
      </c>
      <c r="E961" s="3" t="inlineStr">
        <is>
          <t>매매</t>
        </is>
      </c>
      <c r="F961" s="4" t="n">
        <v>500000</v>
      </c>
      <c r="G961" s="4" t="n">
        <v>3700</v>
      </c>
      <c r="H961" s="4" t="n">
        <v>1119</v>
      </c>
      <c r="I961" s="5" t="n">
        <v>446.8</v>
      </c>
      <c r="J961" s="5" t="n">
        <v>25.1</v>
      </c>
      <c r="K961" s="3" t="inlineStr">
        <is>
          <t>분할매매가능 평지작업해줌 전원주택 카페최적</t>
        </is>
      </c>
      <c r="L961" s="6">
        <f>HYPERLINK("https://fin.land.naver.com/articles/2653933714", "매물Link")</f>
        <v/>
      </c>
      <c r="M961" s="6">
        <f>HYPERLINK("https://map.naver.com/p/search/연동면 명학리 101-7", "지도Link")</f>
        <v/>
      </c>
      <c r="N961" s="6">
        <f>HYPERLINK("http://www.eum.go.kr/web/ar/lu/luLandDet.jsp?pnu=3611032023101010007&amp;isNoScr=script&amp;mode=search", "토지이음")</f>
        <v/>
      </c>
      <c r="O961" s="3" t="inlineStr">
        <is>
          <t>신두정리치</t>
        </is>
      </c>
      <c r="P961" s="4" t="n">
        <v>1</v>
      </c>
      <c r="Q961" s="4" t="n">
        <v>3700</v>
      </c>
      <c r="R961" s="3" t="inlineStr">
        <is>
          <t>보전관리지역</t>
        </is>
      </c>
      <c r="S961" s="3" t="inlineStr">
        <is>
          <t>전</t>
        </is>
      </c>
      <c r="T961" s="3" t="inlineStr">
        <is>
          <t>완경사</t>
        </is>
      </c>
      <c r="U961" s="3" t="inlineStr">
        <is>
          <t>부정형</t>
        </is>
      </c>
      <c r="V961" s="3" t="inlineStr">
        <is>
          <t>소로한면</t>
        </is>
      </c>
    </row>
    <row r="962">
      <c r="A962" s="3" t="inlineStr">
        <is>
          <t>연동면 명학리 101-7</t>
        </is>
      </c>
      <c r="B962" s="3" t="inlineStr">
        <is>
          <t>농림지역</t>
        </is>
      </c>
      <c r="C962" s="3" t="inlineStr">
        <is>
          <t>전</t>
        </is>
      </c>
      <c r="D962" s="3" t="inlineStr">
        <is>
          <t>전</t>
        </is>
      </c>
      <c r="E962" s="3" t="inlineStr">
        <is>
          <t>매매</t>
        </is>
      </c>
      <c r="F962" s="4" t="n">
        <v>500000</v>
      </c>
      <c r="G962" s="4" t="n">
        <v>3700</v>
      </c>
      <c r="H962" s="4" t="n">
        <v>1119</v>
      </c>
      <c r="I962" s="5" t="n">
        <v>446.8</v>
      </c>
      <c r="J962" s="5" t="n">
        <v>25.1</v>
      </c>
      <c r="K962" s="3" t="inlineStr">
        <is>
          <t>nan</t>
        </is>
      </c>
      <c r="L962" s="6">
        <f>HYPERLINK("https://fin.land.naver.com/articles/2652334541", "매물Link")</f>
        <v/>
      </c>
      <c r="M962" s="6">
        <f>HYPERLINK("https://map.naver.com/p/search/연동면 명학리 101-7", "지도Link")</f>
        <v/>
      </c>
      <c r="N962" s="6">
        <f>HYPERLINK("http://www.eum.go.kr/web/ar/lu/luLandDet.jsp?pnu=3611032023101010007&amp;isNoScr=script&amp;mode=search", "토지이음")</f>
        <v/>
      </c>
      <c r="O962" s="3" t="inlineStr">
        <is>
          <t>세종몽땅</t>
        </is>
      </c>
      <c r="P962" s="4" t="n">
        <v>1</v>
      </c>
      <c r="Q962" s="4" t="n">
        <v>3700</v>
      </c>
      <c r="R962" s="3" t="inlineStr">
        <is>
          <t>보전관리지역</t>
        </is>
      </c>
      <c r="S962" s="3" t="inlineStr">
        <is>
          <t>전</t>
        </is>
      </c>
      <c r="T962" s="3" t="inlineStr">
        <is>
          <t>완경사</t>
        </is>
      </c>
      <c r="U962" s="3" t="inlineStr">
        <is>
          <t>부정형</t>
        </is>
      </c>
      <c r="V962" s="3" t="inlineStr">
        <is>
          <t>소로한면</t>
        </is>
      </c>
    </row>
    <row r="963">
      <c r="A963" s="3" t="inlineStr">
        <is>
          <t>연동면 명학리 104-7</t>
        </is>
      </c>
      <c r="B963" s="3" t="inlineStr">
        <is>
          <t>농림지역</t>
        </is>
      </c>
      <c r="C963" s="3" t="inlineStr">
        <is>
          <t>임야</t>
        </is>
      </c>
      <c r="D963" s="3" t="inlineStr">
        <is>
          <t>임야</t>
        </is>
      </c>
      <c r="E963" s="3" t="inlineStr">
        <is>
          <t>매매</t>
        </is>
      </c>
      <c r="F963" s="4" t="n">
        <v>78400</v>
      </c>
      <c r="G963" s="4" t="n">
        <v>3920</v>
      </c>
      <c r="H963" s="4" t="n">
        <v>1186</v>
      </c>
      <c r="I963" s="5" t="n">
        <v>66.09999999999999</v>
      </c>
      <c r="J963" s="5" t="n">
        <v>4.9</v>
      </c>
      <c r="K963" s="3" t="inlineStr">
        <is>
          <t>금강이 보이는 지대 높은 토지,맹지 탈출 할 수있도록 해드려요</t>
        </is>
      </c>
      <c r="L963" s="6">
        <f>HYPERLINK("https://fin.land.naver.com/articles/2651262867", "매물Link")</f>
        <v/>
      </c>
      <c r="M963" s="6">
        <f>HYPERLINK("https://map.naver.com/p/search/연동면 명학리 104-7", "지도Link")</f>
        <v/>
      </c>
      <c r="N963" s="6">
        <f>HYPERLINK("http://www.eum.go.kr/web/ar/lu/luLandDet.jsp?pnu=3611032023101040007&amp;isNoScr=script&amp;mode=search", "토지이음")</f>
        <v/>
      </c>
      <c r="O963" s="3" t="inlineStr">
        <is>
          <t>담뜰</t>
        </is>
      </c>
      <c r="P963" s="4" t="n">
        <v>1</v>
      </c>
      <c r="Q963" s="4" t="n">
        <v>3920</v>
      </c>
      <c r="R963" s="3" t="inlineStr">
        <is>
          <t>지정되지않음</t>
        </is>
      </c>
      <c r="S963" s="3" t="inlineStr">
        <is>
          <t>자연림</t>
        </is>
      </c>
      <c r="T963" s="3" t="inlineStr">
        <is>
          <t>급경사</t>
        </is>
      </c>
      <c r="U963" s="3" t="inlineStr">
        <is>
          <t>부정형</t>
        </is>
      </c>
      <c r="V963" s="3" t="inlineStr">
        <is>
          <t>맹지</t>
        </is>
      </c>
    </row>
    <row r="964">
      <c r="A964" s="3" t="inlineStr">
        <is>
          <t>연동면 명학리 137</t>
        </is>
      </c>
      <c r="B964" s="3" t="inlineStr">
        <is>
          <t>보전관리지역</t>
        </is>
      </c>
      <c r="C964" s="3" t="inlineStr">
        <is>
          <t>전</t>
        </is>
      </c>
      <c r="D964" s="3" t="inlineStr">
        <is>
          <t>전</t>
        </is>
      </c>
      <c r="E964" s="3" t="inlineStr">
        <is>
          <t>매매</t>
        </is>
      </c>
      <c r="F964" s="4" t="n">
        <v>64400</v>
      </c>
      <c r="G964" s="4" t="n">
        <v>1121</v>
      </c>
      <c r="H964" s="4" t="n">
        <v>339</v>
      </c>
      <c r="I964" s="5" t="n">
        <v>190</v>
      </c>
      <c r="J964" s="5" t="n">
        <v>35.5</v>
      </c>
      <c r="K964" s="3" t="inlineStr">
        <is>
          <t>보전관리, 전</t>
        </is>
      </c>
      <c r="L964" s="6">
        <f>HYPERLINK("https://fin.land.naver.com/articles/2649732862", "매물Link")</f>
        <v/>
      </c>
      <c r="M964" s="6">
        <f>HYPERLINK("https://map.naver.com/p/search/연동면 명학리 137", "지도Link")</f>
        <v/>
      </c>
      <c r="N964" s="6">
        <f>HYPERLINK("http://www.eum.go.kr/web/ar/lu/luLandDet.jsp?pnu=3611032023101370000&amp;isNoScr=script&amp;mode=search", "토지이음")</f>
        <v/>
      </c>
      <c r="O964" s="3" t="inlineStr">
        <is>
          <t>세종몽땅</t>
        </is>
      </c>
      <c r="P964" s="4" t="n">
        <v>1</v>
      </c>
      <c r="Q964" s="4" t="n">
        <v>1121</v>
      </c>
      <c r="R964" s="3" t="inlineStr">
        <is>
          <t>지정되지않음</t>
        </is>
      </c>
      <c r="S964" s="3" t="inlineStr">
        <is>
          <t>전</t>
        </is>
      </c>
      <c r="T964" s="3" t="inlineStr">
        <is>
          <t>완경사</t>
        </is>
      </c>
      <c r="U964" s="3" t="inlineStr">
        <is>
          <t>부정형</t>
        </is>
      </c>
      <c r="V964" s="3" t="inlineStr">
        <is>
          <t>맹지</t>
        </is>
      </c>
    </row>
    <row r="965">
      <c r="A965" s="3" t="inlineStr">
        <is>
          <t>연동면 명학리 148-3</t>
        </is>
      </c>
      <c r="B965" s="3" t="inlineStr">
        <is>
          <t>계획관리지역</t>
        </is>
      </c>
      <c r="C965" s="3" t="inlineStr">
        <is>
          <t>대</t>
        </is>
      </c>
      <c r="D965" s="3" t="inlineStr">
        <is>
          <t>대</t>
        </is>
      </c>
      <c r="E965" s="3" t="inlineStr">
        <is>
          <t>매매</t>
        </is>
      </c>
      <c r="F965" s="4" t="n">
        <v>45000</v>
      </c>
      <c r="G965" s="4" t="n">
        <v>365</v>
      </c>
      <c r="H965" s="4" t="n">
        <v>110</v>
      </c>
      <c r="I965" s="5" t="n">
        <v>409.1</v>
      </c>
      <c r="J965" s="5" t="n">
        <v>113.6</v>
      </c>
      <c r="K965" s="3" t="inlineStr">
        <is>
          <t>2차선 도로변에 있는 대지로 활용도 높음, 5생활권 초인접 투자로 추천</t>
        </is>
      </c>
      <c r="L965" s="6">
        <f>HYPERLINK("https://fin.land.naver.com/articles/2650976147", "매물Link")</f>
        <v/>
      </c>
      <c r="M965" s="6">
        <f>HYPERLINK("https://map.naver.com/p/search/연동면 명학리 148-3", "지도Link")</f>
        <v/>
      </c>
      <c r="N965" s="6">
        <f>HYPERLINK("http://www.eum.go.kr/web/ar/lu/luLandDet.jsp?pnu=3611032023101480003&amp;isNoScr=script&amp;mode=search", "토지이음")</f>
        <v/>
      </c>
      <c r="O965" s="3" t="inlineStr">
        <is>
          <t>샘머리랜드</t>
        </is>
      </c>
      <c r="P965" s="4" t="n">
        <v>1</v>
      </c>
      <c r="Q965" s="4" t="n">
        <v>365</v>
      </c>
      <c r="R965" s="3" t="inlineStr">
        <is>
          <t>지정되지않음</t>
        </is>
      </c>
      <c r="S965" s="3" t="inlineStr">
        <is>
          <t>단독</t>
        </is>
      </c>
      <c r="T965" s="3" t="inlineStr">
        <is>
          <t>평지</t>
        </is>
      </c>
      <c r="U965" s="3" t="inlineStr">
        <is>
          <t>부정형</t>
        </is>
      </c>
      <c r="V965" s="3" t="inlineStr">
        <is>
          <t>소로한면</t>
        </is>
      </c>
    </row>
    <row r="966">
      <c r="A966" s="3" t="inlineStr">
        <is>
          <t>연동면 명학리 195-3</t>
        </is>
      </c>
      <c r="B966" s="3" t="inlineStr">
        <is>
          <t>계획관리지역</t>
        </is>
      </c>
      <c r="C966" s="3" t="inlineStr">
        <is>
          <t>전</t>
        </is>
      </c>
      <c r="D966" s="3" t="inlineStr">
        <is>
          <t>전</t>
        </is>
      </c>
      <c r="E966" s="3" t="inlineStr">
        <is>
          <t>매매</t>
        </is>
      </c>
      <c r="F966" s="4" t="n">
        <v>173000</v>
      </c>
      <c r="G966" s="4" t="n">
        <v>1636</v>
      </c>
      <c r="H966" s="4" t="n">
        <v>495</v>
      </c>
      <c r="I966" s="5" t="n">
        <v>349.5</v>
      </c>
      <c r="J966" s="5" t="n">
        <v>75.90000000000001</v>
      </c>
      <c r="K966" s="3" t="inlineStr">
        <is>
          <t>도로변 계획관리 토지 매매</t>
        </is>
      </c>
      <c r="L966" s="6">
        <f>HYPERLINK("https://fin.land.naver.com/articles/2652668223", "매물Link")</f>
        <v/>
      </c>
      <c r="M966" s="6">
        <f>HYPERLINK("https://map.naver.com/p/search/연동면 명학리 195-3", "지도Link")</f>
        <v/>
      </c>
      <c r="N966" s="6">
        <f>HYPERLINK("http://www.eum.go.kr/web/ar/lu/luLandDet.jsp?pnu=3611032023101950003&amp;isNoScr=script&amp;mode=search", "토지이음")</f>
        <v/>
      </c>
      <c r="O966" s="3" t="inlineStr">
        <is>
          <t>(주)정민근</t>
        </is>
      </c>
      <c r="P966" s="4" t="n">
        <v>1</v>
      </c>
      <c r="Q966" s="4" t="n">
        <v>1636</v>
      </c>
      <c r="R966" s="3" t="inlineStr">
        <is>
          <t>지정되지않음</t>
        </is>
      </c>
      <c r="S966" s="3" t="inlineStr">
        <is>
          <t>전</t>
        </is>
      </c>
      <c r="T966" s="3" t="inlineStr">
        <is>
          <t>완경사</t>
        </is>
      </c>
      <c r="U966" s="3" t="inlineStr">
        <is>
          <t>사다리형</t>
        </is>
      </c>
      <c r="V966" s="3" t="inlineStr">
        <is>
          <t>소로한면</t>
        </is>
      </c>
    </row>
    <row r="967">
      <c r="A967" s="3" t="inlineStr">
        <is>
          <t>연동면 명학리 220</t>
        </is>
      </c>
      <c r="B967" s="3" t="inlineStr">
        <is>
          <t>계획관리지역</t>
        </is>
      </c>
      <c r="C967" s="3" t="inlineStr">
        <is>
          <t>대</t>
        </is>
      </c>
      <c r="D967" s="3" t="inlineStr">
        <is>
          <t>대</t>
        </is>
      </c>
      <c r="E967" s="3" t="inlineStr">
        <is>
          <t>매매</t>
        </is>
      </c>
      <c r="F967" s="4" t="n">
        <v>50000</v>
      </c>
      <c r="G967" s="4" t="n">
        <v>446</v>
      </c>
      <c r="H967" s="4" t="n">
        <v>135</v>
      </c>
      <c r="I967" s="5" t="n">
        <v>370.4</v>
      </c>
      <c r="J967" s="5" t="n">
        <v>98.7</v>
      </c>
      <c r="K967" s="3" t="inlineStr">
        <is>
          <t>딱좋은면적 135P 취락지구마을내토지 도로변넓음</t>
        </is>
      </c>
      <c r="L967" s="6">
        <f>HYPERLINK("https://fin.land.naver.com/articles/2653316551", "매물Link")</f>
        <v/>
      </c>
      <c r="M967" s="6">
        <f>HYPERLINK("https://map.naver.com/p/search/연동면 명학리 220", "지도Link")</f>
        <v/>
      </c>
      <c r="N967" s="6">
        <f>HYPERLINK("http://www.eum.go.kr/web/ar/lu/luLandDet.jsp?pnu=3611032023102200000&amp;isNoScr=script&amp;mode=search", "토지이음")</f>
        <v/>
      </c>
      <c r="O967" s="3" t="inlineStr">
        <is>
          <t>세종365</t>
        </is>
      </c>
      <c r="P967" s="4" t="n">
        <v>1</v>
      </c>
      <c r="Q967" s="4" t="n">
        <v>446</v>
      </c>
      <c r="R967" s="3" t="inlineStr">
        <is>
          <t>지정되지않음</t>
        </is>
      </c>
      <c r="S967" s="3" t="inlineStr">
        <is>
          <t>단독</t>
        </is>
      </c>
      <c r="T967" s="3" t="inlineStr">
        <is>
          <t>평지</t>
        </is>
      </c>
      <c r="U967" s="3" t="inlineStr">
        <is>
          <t>부정형</t>
        </is>
      </c>
      <c r="V967" s="3" t="inlineStr">
        <is>
          <t>세로한면(가)</t>
        </is>
      </c>
    </row>
    <row r="968">
      <c r="A968" s="3" t="inlineStr">
        <is>
          <t>연동면 명학리 221</t>
        </is>
      </c>
      <c r="B968" s="3" t="inlineStr">
        <is>
          <t>계획관리지역</t>
        </is>
      </c>
      <c r="C968" s="3" t="inlineStr">
        <is>
          <t>대</t>
        </is>
      </c>
      <c r="D968" s="3" t="inlineStr">
        <is>
          <t>대</t>
        </is>
      </c>
      <c r="E968" s="3" t="inlineStr">
        <is>
          <t>매매</t>
        </is>
      </c>
      <c r="F968" s="4" t="n">
        <v>38000</v>
      </c>
      <c r="G968" s="4" t="n">
        <v>614</v>
      </c>
      <c r="H968" s="4" t="n">
        <v>186</v>
      </c>
      <c r="I968" s="5" t="n">
        <v>204.3</v>
      </c>
      <c r="J968" s="5" t="n">
        <v>102.5</v>
      </c>
      <c r="K968" s="3" t="inlineStr">
        <is>
          <t>나대지로 공기좋고 전원주택지 최상입니다</t>
        </is>
      </c>
      <c r="L968" s="6">
        <f>HYPERLINK("https://fin.land.naver.com/articles/2650466748", "매물Link")</f>
        <v/>
      </c>
      <c r="M968" s="6">
        <f>HYPERLINK("https://map.naver.com/p/search/연동면 명학리 221", "지도Link")</f>
        <v/>
      </c>
      <c r="N968" s="6">
        <f>HYPERLINK("http://www.eum.go.kr/web/ar/lu/luLandDet.jsp?pnu=3611032023102210000&amp;isNoScr=script&amp;mode=search", "토지이음")</f>
        <v/>
      </c>
      <c r="O968" s="3" t="inlineStr">
        <is>
          <t>청정</t>
        </is>
      </c>
      <c r="P968" s="4" t="n">
        <v>1</v>
      </c>
      <c r="Q968" s="4" t="n">
        <v>616</v>
      </c>
      <c r="R968" s="3" t="inlineStr">
        <is>
          <t>지정되지않음</t>
        </is>
      </c>
      <c r="S968" s="3" t="inlineStr">
        <is>
          <t>단독</t>
        </is>
      </c>
      <c r="T968" s="3" t="inlineStr">
        <is>
          <t>평지</t>
        </is>
      </c>
      <c r="U968" s="3" t="inlineStr">
        <is>
          <t>세로장방</t>
        </is>
      </c>
      <c r="V968" s="3" t="inlineStr">
        <is>
          <t>세로한면(가)</t>
        </is>
      </c>
    </row>
    <row r="969">
      <c r="A969" s="3" t="inlineStr">
        <is>
          <t>연동면 명학리 301-1</t>
        </is>
      </c>
      <c r="B969" s="3" t="inlineStr">
        <is>
          <t>계획관리지역</t>
        </is>
      </c>
      <c r="C969" s="3" t="inlineStr">
        <is>
          <t>답</t>
        </is>
      </c>
      <c r="D969" s="3" t="inlineStr">
        <is>
          <t>답</t>
        </is>
      </c>
      <c r="E969" s="3" t="inlineStr">
        <is>
          <t>매매</t>
        </is>
      </c>
      <c r="F969" s="4" t="n">
        <v>450000</v>
      </c>
      <c r="G969" s="4" t="n">
        <v>9882</v>
      </c>
      <c r="H969" s="4" t="n">
        <v>2989</v>
      </c>
      <c r="I969" s="5" t="n">
        <v>150.6</v>
      </c>
      <c r="J969" s="5" t="n">
        <v>59.1</v>
      </c>
      <c r="K969" s="3" t="inlineStr">
        <is>
          <t>2차선에서 도로확보하여 사업부지로 추천</t>
        </is>
      </c>
      <c r="L969" s="6">
        <f>HYPERLINK("https://fin.land.naver.com/articles/2651037490", "매물Link")</f>
        <v/>
      </c>
      <c r="M969" s="6">
        <f>HYPERLINK("https://map.naver.com/p/search/연동면 명학리 301-1", "지도Link")</f>
        <v/>
      </c>
      <c r="N969" s="6">
        <f>HYPERLINK("http://www.eum.go.kr/web/ar/lu/luLandDet.jsp?pnu=3611032023103010001&amp;isNoScr=script&amp;mode=search", "토지이음")</f>
        <v/>
      </c>
      <c r="O969" s="3" t="inlineStr">
        <is>
          <t>연동스카이</t>
        </is>
      </c>
      <c r="P969" s="4" t="n">
        <v>1</v>
      </c>
      <c r="Q969" s="4" t="n">
        <v>2645</v>
      </c>
      <c r="R969" s="3" t="inlineStr">
        <is>
          <t>지정되지않음</t>
        </is>
      </c>
      <c r="S969" s="3" t="inlineStr">
        <is>
          <t>답</t>
        </is>
      </c>
      <c r="T969" s="3" t="inlineStr">
        <is>
          <t>완경사</t>
        </is>
      </c>
      <c r="U969" s="3" t="inlineStr">
        <is>
          <t>가로장방</t>
        </is>
      </c>
      <c r="V969" s="3" t="inlineStr">
        <is>
          <t>맹지</t>
        </is>
      </c>
    </row>
    <row r="970">
      <c r="A970" s="3" t="inlineStr">
        <is>
          <t>연동면 명학리 307-1</t>
        </is>
      </c>
      <c r="B970" s="3" t="inlineStr">
        <is>
          <t>계획관리지역</t>
        </is>
      </c>
      <c r="C970" s="3" t="inlineStr">
        <is>
          <t>대</t>
        </is>
      </c>
      <c r="D970" s="3" t="inlineStr">
        <is>
          <t>대</t>
        </is>
      </c>
      <c r="E970" s="3" t="inlineStr">
        <is>
          <t>매매</t>
        </is>
      </c>
      <c r="F970" s="4" t="n">
        <v>21400</v>
      </c>
      <c r="G970" s="4" t="n">
        <v>236</v>
      </c>
      <c r="H970" s="4" t="n">
        <v>71</v>
      </c>
      <c r="I970" s="5" t="n">
        <v>301.4</v>
      </c>
      <c r="J970" s="5" t="n">
        <v>98.7</v>
      </c>
      <c r="K970" s="3" t="inlineStr">
        <is>
          <t>세종5생활권연접된 소형토지매매21,400만원</t>
        </is>
      </c>
      <c r="L970" s="6">
        <f>HYPERLINK("https://fin.land.naver.com/articles/2654051707", "매물Link")</f>
        <v/>
      </c>
      <c r="M970" s="6">
        <f>HYPERLINK("https://map.naver.com/p/search/연동면 명학리 307-1", "지도Link")</f>
        <v/>
      </c>
      <c r="N970" s="6">
        <f>HYPERLINK("http://www.eum.go.kr/web/ar/lu/luLandDet.jsp?pnu=3611032023103070001&amp;isNoScr=script&amp;mode=search", "토지이음")</f>
        <v/>
      </c>
      <c r="O970" s="3" t="inlineStr">
        <is>
          <t>대박</t>
        </is>
      </c>
      <c r="P970" s="4" t="n">
        <v>1</v>
      </c>
      <c r="Q970" s="4" t="n">
        <v>236</v>
      </c>
      <c r="R970" s="3" t="inlineStr">
        <is>
          <t>지정되지않음</t>
        </is>
      </c>
      <c r="S970" s="3" t="inlineStr">
        <is>
          <t>주거나지</t>
        </is>
      </c>
      <c r="T970" s="3" t="inlineStr">
        <is>
          <t>평지</t>
        </is>
      </c>
      <c r="U970" s="3" t="inlineStr">
        <is>
          <t>정방형</t>
        </is>
      </c>
      <c r="V970" s="3" t="inlineStr">
        <is>
          <t>세로한면(가)</t>
        </is>
      </c>
    </row>
    <row r="971">
      <c r="A971" s="3" t="inlineStr">
        <is>
          <t>연동면 명학리 363</t>
        </is>
      </c>
      <c r="B971" s="3" t="inlineStr">
        <is>
          <t>계획관리지역</t>
        </is>
      </c>
      <c r="C971" s="3" t="inlineStr">
        <is>
          <t>전</t>
        </is>
      </c>
      <c r="D971" s="3" t="inlineStr">
        <is>
          <t>전</t>
        </is>
      </c>
      <c r="E971" s="3" t="inlineStr">
        <is>
          <t>매매</t>
        </is>
      </c>
      <c r="F971" s="4" t="n">
        <v>30000</v>
      </c>
      <c r="G971" s="4" t="n">
        <v>746</v>
      </c>
      <c r="H971" s="4" t="n">
        <v>226</v>
      </c>
      <c r="I971" s="5" t="n">
        <v>132.7</v>
      </c>
      <c r="J971" s="5" t="n">
        <v>45.2</v>
      </c>
      <c r="K971" s="3" t="inlineStr">
        <is>
          <t>nan</t>
        </is>
      </c>
      <c r="L971" s="6">
        <f>HYPERLINK("https://fin.land.naver.com/articles/2652062293", "매물Link")</f>
        <v/>
      </c>
      <c r="M971" s="6">
        <f>HYPERLINK("https://map.naver.com/p/search/연동면 명학리 363", "지도Link")</f>
        <v/>
      </c>
      <c r="N971" s="6">
        <f>HYPERLINK("http://www.eum.go.kr/web/ar/lu/luLandDet.jsp?pnu=3611032023103630000&amp;isNoScr=script&amp;mode=search", "토지이음")</f>
        <v/>
      </c>
      <c r="O971" s="3" t="inlineStr">
        <is>
          <t>연동스카이</t>
        </is>
      </c>
      <c r="P971" s="4" t="n">
        <v>1</v>
      </c>
      <c r="Q971" s="4" t="n">
        <v>746</v>
      </c>
      <c r="R971" s="3" t="inlineStr">
        <is>
          <t>지정되지않음</t>
        </is>
      </c>
      <c r="S971" s="3" t="inlineStr">
        <is>
          <t>전</t>
        </is>
      </c>
      <c r="T971" s="3" t="inlineStr">
        <is>
          <t>완경사</t>
        </is>
      </c>
      <c r="U971" s="3" t="inlineStr">
        <is>
          <t>부정형</t>
        </is>
      </c>
      <c r="V971" s="3" t="inlineStr">
        <is>
          <t>맹지</t>
        </is>
      </c>
    </row>
    <row r="972">
      <c r="A972" s="3" t="inlineStr">
        <is>
          <t>연동면 명학리 376-3</t>
        </is>
      </c>
      <c r="B972" s="3" t="inlineStr">
        <is>
          <t>계획관리지역</t>
        </is>
      </c>
      <c r="C972" s="3" t="inlineStr">
        <is>
          <t>답</t>
        </is>
      </c>
      <c r="D972" s="3" t="inlineStr">
        <is>
          <t>답</t>
        </is>
      </c>
      <c r="E972" s="3" t="inlineStr">
        <is>
          <t>매매</t>
        </is>
      </c>
      <c r="F972" s="4" t="n">
        <v>14000</v>
      </c>
      <c r="G972" s="4" t="n">
        <v>1155</v>
      </c>
      <c r="H972" s="4" t="n">
        <v>349</v>
      </c>
      <c r="I972" s="5" t="n">
        <v>40.1</v>
      </c>
      <c r="J972" s="5" t="n">
        <v>45.2</v>
      </c>
      <c r="K972" s="3" t="inlineStr">
        <is>
          <t>연동면 명학리 계획관리 토지, 5생활권 인근, 공시지가 이하, 급매</t>
        </is>
      </c>
      <c r="L972" s="6">
        <f>HYPERLINK("https://fin.land.naver.com/articles/2654026966", "매물Link")</f>
        <v/>
      </c>
      <c r="M972" s="6">
        <f>HYPERLINK("https://map.naver.com/p/search/연동면 명학리 376-3", "지도Link")</f>
        <v/>
      </c>
      <c r="N972" s="6">
        <f>HYPERLINK("http://www.eum.go.kr/web/ar/lu/luLandDet.jsp?pnu=3611032023103760003&amp;isNoScr=script&amp;mode=search", "토지이음")</f>
        <v/>
      </c>
      <c r="O972" s="3" t="inlineStr">
        <is>
          <t>스카이</t>
        </is>
      </c>
      <c r="P972" s="4" t="n">
        <v>1</v>
      </c>
      <c r="Q972" s="4" t="n">
        <v>1155</v>
      </c>
      <c r="R972" s="3" t="inlineStr">
        <is>
          <t>지정되지않음</t>
        </is>
      </c>
      <c r="S972" s="3" t="inlineStr">
        <is>
          <t>답</t>
        </is>
      </c>
      <c r="T972" s="3" t="inlineStr">
        <is>
          <t>완경사</t>
        </is>
      </c>
      <c r="U972" s="3" t="inlineStr">
        <is>
          <t>부정형</t>
        </is>
      </c>
      <c r="V972" s="3" t="inlineStr">
        <is>
          <t>맹지</t>
        </is>
      </c>
    </row>
    <row r="973">
      <c r="A973" s="3" t="inlineStr">
        <is>
          <t>연동면 명학리 383-8</t>
        </is>
      </c>
      <c r="B973" s="3" t="inlineStr">
        <is>
          <t>보전관리지역</t>
        </is>
      </c>
      <c r="C973" s="3" t="inlineStr">
        <is>
          <t>임야</t>
        </is>
      </c>
      <c r="D973" s="3" t="inlineStr">
        <is>
          <t>임야</t>
        </is>
      </c>
      <c r="E973" s="3" t="inlineStr">
        <is>
          <t>매매</t>
        </is>
      </c>
      <c r="F973" s="4" t="n">
        <v>52000</v>
      </c>
      <c r="G973" s="4" t="n">
        <v>655</v>
      </c>
      <c r="H973" s="4" t="n">
        <v>198</v>
      </c>
      <c r="I973" s="5" t="n">
        <v>262.6</v>
      </c>
      <c r="J973" s="5" t="n">
        <v>13</v>
      </c>
      <c r="K973" s="3" t="inlineStr">
        <is>
          <t>세종 연동면 임야 매매｜보전관리지역준보전산지</t>
        </is>
      </c>
      <c r="L973" s="6">
        <f>HYPERLINK("https://fin.land.naver.com/articles/2654213164", "매물Link")</f>
        <v/>
      </c>
      <c r="M973" s="6">
        <f>HYPERLINK("https://map.naver.com/p/search/연동면 명학리 383-8", "지도Link")</f>
        <v/>
      </c>
      <c r="N973" s="6">
        <f>HYPERLINK("http://www.eum.go.kr/web/ar/lu/luLandDet.jsp?pnu=3611032023103830008&amp;isNoScr=script&amp;mode=search", "토지이음")</f>
        <v/>
      </c>
      <c r="O973" s="3" t="inlineStr">
        <is>
          <t>세종몽땅</t>
        </is>
      </c>
      <c r="P973" s="4" t="n">
        <v>1</v>
      </c>
      <c r="Q973" s="4" t="n">
        <v>655</v>
      </c>
      <c r="R973" s="3" t="inlineStr">
        <is>
          <t>지정되지않음</t>
        </is>
      </c>
      <c r="S973" s="3" t="inlineStr">
        <is>
          <t>자연림</t>
        </is>
      </c>
      <c r="T973" s="3" t="inlineStr">
        <is>
          <t>완경사</t>
        </is>
      </c>
      <c r="U973" s="3" t="inlineStr">
        <is>
          <t>사다리형</t>
        </is>
      </c>
      <c r="V973" s="3" t="inlineStr">
        <is>
          <t>세로한면(가)</t>
        </is>
      </c>
    </row>
    <row r="974">
      <c r="A974" s="3" t="inlineStr">
        <is>
          <t>연동면 명학리 384-27</t>
        </is>
      </c>
      <c r="B974" s="3" t="inlineStr">
        <is>
          <t>계획관리지역</t>
        </is>
      </c>
      <c r="C974" s="3" t="inlineStr">
        <is>
          <t>임야</t>
        </is>
      </c>
      <c r="D974" s="3" t="inlineStr">
        <is>
          <t>임야</t>
        </is>
      </c>
      <c r="E974" s="3" t="inlineStr">
        <is>
          <t>매매</t>
        </is>
      </c>
      <c r="F974" s="4" t="n">
        <v>150000</v>
      </c>
      <c r="G974" s="4" t="n">
        <v>1653</v>
      </c>
      <c r="H974" s="4" t="n">
        <v>500</v>
      </c>
      <c r="I974" s="5" t="n">
        <v>300</v>
      </c>
      <c r="J974" s="5" t="n">
        <v>17.1</v>
      </c>
      <c r="K974" s="3" t="inlineStr">
        <is>
          <t>51생활권 인근 근생추천용지. 도로접. 카페, 음식점 등</t>
        </is>
      </c>
      <c r="L974" s="6">
        <f>HYPERLINK("https://fin.land.naver.com/articles/2652028259", "매물Link")</f>
        <v/>
      </c>
      <c r="M974" s="6">
        <f>HYPERLINK("https://map.naver.com/p/search/연동면 명학리 384-27", "지도Link")</f>
        <v/>
      </c>
      <c r="N974" s="6">
        <f>HYPERLINK("http://www.eum.go.kr/web/ar/lu/luLandDet.jsp?pnu=3611032023103840027&amp;isNoScr=script&amp;mode=search", "토지이음")</f>
        <v/>
      </c>
      <c r="O974" s="3" t="inlineStr">
        <is>
          <t>미스터홈즈강남지사</t>
        </is>
      </c>
      <c r="P974" s="4" t="n">
        <v>1</v>
      </c>
      <c r="Q974" s="4" t="n">
        <v>1653</v>
      </c>
      <c r="R974" s="3" t="inlineStr">
        <is>
          <t>지정되지않음</t>
        </is>
      </c>
      <c r="S974" s="3" t="inlineStr">
        <is>
          <t>자연림</t>
        </is>
      </c>
      <c r="T974" s="3" t="inlineStr">
        <is>
          <t>완경사</t>
        </is>
      </c>
      <c r="U974" s="3" t="inlineStr">
        <is>
          <t>사다리형</t>
        </is>
      </c>
      <c r="V974" s="3" t="inlineStr">
        <is>
          <t>세로한면(가)</t>
        </is>
      </c>
    </row>
    <row r="975">
      <c r="A975" s="3" t="inlineStr">
        <is>
          <t>연동면 명학리 385</t>
        </is>
      </c>
      <c r="B975" s="3" t="inlineStr">
        <is>
          <t>계획관리지역</t>
        </is>
      </c>
      <c r="C975" s="3" t="inlineStr">
        <is>
          <t>답</t>
        </is>
      </c>
      <c r="D975" s="3" t="inlineStr">
        <is>
          <t>답</t>
        </is>
      </c>
      <c r="E975" s="3" t="inlineStr">
        <is>
          <t>매매</t>
        </is>
      </c>
      <c r="F975" s="4" t="n">
        <v>71900</v>
      </c>
      <c r="G975" s="4" t="n">
        <v>720</v>
      </c>
      <c r="H975" s="4" t="n">
        <v>218</v>
      </c>
      <c r="I975" s="5" t="n">
        <v>329.8</v>
      </c>
      <c r="J975" s="5" t="n">
        <v>52.8</v>
      </c>
      <c r="K975" s="3" t="inlineStr">
        <is>
          <t>nan</t>
        </is>
      </c>
      <c r="L975" s="6">
        <f>HYPERLINK("https://fin.land.naver.com/articles/2653390968", "매물Link")</f>
        <v/>
      </c>
      <c r="M975" s="6">
        <f>HYPERLINK("https://map.naver.com/p/search/연동면 명학리 385", "지도Link")</f>
        <v/>
      </c>
      <c r="N975" s="6">
        <f>HYPERLINK("http://www.eum.go.kr/web/ar/lu/luLandDet.jsp?pnu=3611032023103850000&amp;isNoScr=script&amp;mode=search", "토지이음")</f>
        <v/>
      </c>
      <c r="O975" s="3" t="inlineStr">
        <is>
          <t>다산</t>
        </is>
      </c>
      <c r="P975" s="4" t="n">
        <v>1</v>
      </c>
      <c r="Q975" s="4" t="n">
        <v>720</v>
      </c>
      <c r="R975" s="3" t="inlineStr">
        <is>
          <t>지정되지않음</t>
        </is>
      </c>
      <c r="S975" s="3" t="inlineStr">
        <is>
          <t>답</t>
        </is>
      </c>
      <c r="T975" s="3" t="inlineStr">
        <is>
          <t>완경사</t>
        </is>
      </c>
      <c r="U975" s="3" t="inlineStr">
        <is>
          <t>사다리형</t>
        </is>
      </c>
      <c r="V975" s="3" t="inlineStr">
        <is>
          <t>세로한면(가)</t>
        </is>
      </c>
    </row>
    <row r="976">
      <c r="A976" s="3" t="inlineStr">
        <is>
          <t>연동면 명학리 385</t>
        </is>
      </c>
      <c r="B976" s="3" t="inlineStr">
        <is>
          <t>계획관리지역</t>
        </is>
      </c>
      <c r="C976" s="3" t="inlineStr">
        <is>
          <t>답</t>
        </is>
      </c>
      <c r="D976" s="3" t="inlineStr">
        <is>
          <t>답</t>
        </is>
      </c>
      <c r="E976" s="3" t="inlineStr">
        <is>
          <t>매매</t>
        </is>
      </c>
      <c r="F976" s="4" t="n">
        <v>82460</v>
      </c>
      <c r="G976" s="4" t="n">
        <v>720</v>
      </c>
      <c r="H976" s="4" t="n">
        <v>218</v>
      </c>
      <c r="I976" s="5" t="n">
        <v>378.3</v>
      </c>
      <c r="J976" s="5" t="n">
        <v>52.8</v>
      </c>
      <c r="K976" s="3" t="inlineStr">
        <is>
          <t>명성공인, 명학리 계획관리지역 추천 매물</t>
        </is>
      </c>
      <c r="L976" s="6">
        <f>HYPERLINK("https://fin.land.naver.com/articles/2653839501", "매물Link")</f>
        <v/>
      </c>
      <c r="M976" s="6">
        <f>HYPERLINK("https://map.naver.com/p/search/연동면 명학리 385", "지도Link")</f>
        <v/>
      </c>
      <c r="N976" s="6">
        <f>HYPERLINK("http://www.eum.go.kr/web/ar/lu/luLandDet.jsp?pnu=3611032023103850000&amp;isNoScr=script&amp;mode=search", "토지이음")</f>
        <v/>
      </c>
      <c r="O976" s="3" t="inlineStr">
        <is>
          <t>명성</t>
        </is>
      </c>
      <c r="P976" s="4" t="n">
        <v>1</v>
      </c>
      <c r="Q976" s="4" t="n">
        <v>720</v>
      </c>
      <c r="R976" s="3" t="inlineStr">
        <is>
          <t>지정되지않음</t>
        </is>
      </c>
      <c r="S976" s="3" t="inlineStr">
        <is>
          <t>답</t>
        </is>
      </c>
      <c r="T976" s="3" t="inlineStr">
        <is>
          <t>완경사</t>
        </is>
      </c>
      <c r="U976" s="3" t="inlineStr">
        <is>
          <t>사다리형</t>
        </is>
      </c>
      <c r="V976" s="3" t="inlineStr">
        <is>
          <t>세로한면(가)</t>
        </is>
      </c>
    </row>
    <row r="977">
      <c r="A977" s="3" t="inlineStr">
        <is>
          <t>연동면 명학리 389-2</t>
        </is>
      </c>
      <c r="B977" s="3" t="inlineStr">
        <is>
          <t>보전관리지역</t>
        </is>
      </c>
      <c r="C977" s="3" t="inlineStr">
        <is>
          <t>전</t>
        </is>
      </c>
      <c r="D977" s="3" t="inlineStr">
        <is>
          <t>전</t>
        </is>
      </c>
      <c r="E977" s="3" t="inlineStr">
        <is>
          <t>매매</t>
        </is>
      </c>
      <c r="F977" s="4" t="n">
        <v>27000</v>
      </c>
      <c r="G977" s="4" t="n">
        <v>541</v>
      </c>
      <c r="H977" s="4" t="n">
        <v>164</v>
      </c>
      <c r="I977" s="5" t="n">
        <v>164.6</v>
      </c>
      <c r="J977" s="5" t="n">
        <v>35.6</v>
      </c>
      <c r="K977" s="3" t="inlineStr">
        <is>
          <t>명학리 위치좋고 앞으로 지가 상승이 예상되는 곳 저렴하게 매매</t>
        </is>
      </c>
      <c r="L977" s="6">
        <f>HYPERLINK("https://fin.land.naver.com/articles/2650887541", "매물Link")</f>
        <v/>
      </c>
      <c r="M977" s="6">
        <f>HYPERLINK("https://map.naver.com/p/search/연동면 명학리 389-2", "지도Link")</f>
        <v/>
      </c>
      <c r="N977" s="6">
        <f>HYPERLINK("http://www.eum.go.kr/web/ar/lu/luLandDet.jsp?pnu=3611032023103890002&amp;isNoScr=script&amp;mode=search", "토지이음")</f>
        <v/>
      </c>
      <c r="O977" s="3" t="inlineStr">
        <is>
          <t>효성해링턴오복</t>
        </is>
      </c>
      <c r="P977" s="4" t="n">
        <v>1</v>
      </c>
      <c r="Q977" s="4" t="n">
        <v>541</v>
      </c>
      <c r="R977" s="3" t="inlineStr">
        <is>
          <t>지정되지않음</t>
        </is>
      </c>
      <c r="S977" s="3" t="inlineStr">
        <is>
          <t>전</t>
        </is>
      </c>
      <c r="T977" s="3" t="inlineStr">
        <is>
          <t>완경사</t>
        </is>
      </c>
      <c r="U977" s="3" t="inlineStr">
        <is>
          <t>사다리형</t>
        </is>
      </c>
      <c r="V977" s="3" t="inlineStr">
        <is>
          <t>맹지</t>
        </is>
      </c>
    </row>
    <row r="978">
      <c r="A978" s="3" t="inlineStr">
        <is>
          <t>연동면 명학리 391-12</t>
        </is>
      </c>
      <c r="B978" s="3" t="inlineStr">
        <is>
          <t>계획관리지역</t>
        </is>
      </c>
      <c r="C978" s="3" t="inlineStr">
        <is>
          <t>전</t>
        </is>
      </c>
      <c r="D978" s="3" t="inlineStr">
        <is>
          <t>전</t>
        </is>
      </c>
      <c r="E978" s="3" t="inlineStr">
        <is>
          <t>매매</t>
        </is>
      </c>
      <c r="F978" s="4" t="n">
        <v>30000</v>
      </c>
      <c r="G978" s="4" t="n">
        <v>422</v>
      </c>
      <c r="H978" s="4" t="n">
        <v>128</v>
      </c>
      <c r="I978" s="5" t="n">
        <v>234.4</v>
      </c>
      <c r="J978" s="5" t="n">
        <v>50.2</v>
      </c>
      <c r="K978" s="3" t="inlineStr">
        <is>
          <t>소형토지 전원주택지 도로접 남향</t>
        </is>
      </c>
      <c r="L978" s="6">
        <f>HYPERLINK("https://fin.land.naver.com/articles/2650350524", "매물Link")</f>
        <v/>
      </c>
      <c r="M978" s="6">
        <f>HYPERLINK("https://map.naver.com/p/search/연동면 명학리 391-12", "지도Link")</f>
        <v/>
      </c>
      <c r="N978" s="6">
        <f>HYPERLINK("http://www.eum.go.kr/web/ar/lu/luLandDet.jsp?pnu=3611032023103910012&amp;isNoScr=script&amp;mode=search", "토지이음")</f>
        <v/>
      </c>
      <c r="O978" s="3" t="inlineStr">
        <is>
          <t>봄봄</t>
        </is>
      </c>
      <c r="P978" s="4" t="n">
        <v>1</v>
      </c>
      <c r="Q978" s="4" t="n">
        <v>422</v>
      </c>
      <c r="R978" s="3" t="inlineStr">
        <is>
          <t>지정되지않음</t>
        </is>
      </c>
      <c r="S978" s="3" t="inlineStr">
        <is>
          <t>전</t>
        </is>
      </c>
      <c r="T978" s="3" t="inlineStr">
        <is>
          <t>완경사</t>
        </is>
      </c>
      <c r="U978" s="3" t="inlineStr">
        <is>
          <t>부정형</t>
        </is>
      </c>
      <c r="V978" s="3" t="inlineStr">
        <is>
          <t>세로한면(가)</t>
        </is>
      </c>
    </row>
    <row r="979">
      <c r="A979" s="3" t="inlineStr">
        <is>
          <t>연동면 명학리 844</t>
        </is>
      </c>
      <c r="B979" s="3" t="inlineStr">
        <is>
          <t>농림지역</t>
        </is>
      </c>
      <c r="C979" s="3" t="inlineStr">
        <is>
          <t>답</t>
        </is>
      </c>
      <c r="D979" s="3" t="inlineStr">
        <is>
          <t>답</t>
        </is>
      </c>
      <c r="E979" s="3" t="inlineStr">
        <is>
          <t>매매</t>
        </is>
      </c>
      <c r="F979" s="4" t="n">
        <v>20000</v>
      </c>
      <c r="G979" s="4" t="n">
        <v>1319</v>
      </c>
      <c r="H979" s="4" t="n">
        <v>399</v>
      </c>
      <c r="I979" s="5" t="n">
        <v>50.1</v>
      </c>
      <c r="J979" s="5" t="n">
        <v>28.5</v>
      </c>
      <c r="K979" s="3" t="inlineStr">
        <is>
          <t>nan</t>
        </is>
      </c>
      <c r="L979" s="6">
        <f>HYPERLINK("https://fin.land.naver.com/articles/2653598595", "매물Link")</f>
        <v/>
      </c>
      <c r="M979" s="6">
        <f>HYPERLINK("https://map.naver.com/p/search/연동면 명학리 844", "지도Link")</f>
        <v/>
      </c>
      <c r="N979" s="6">
        <f>HYPERLINK("http://www.eum.go.kr/web/ar/lu/luLandDet.jsp?pnu=3611032023108440000&amp;isNoScr=script&amp;mode=search", "토지이음")</f>
        <v/>
      </c>
      <c r="O979" s="3" t="inlineStr">
        <is>
          <t>THE동아</t>
        </is>
      </c>
      <c r="P979" s="4" t="n">
        <v>1</v>
      </c>
      <c r="Q979" s="4" t="n">
        <v>1319.4</v>
      </c>
      <c r="R979" s="3" t="inlineStr">
        <is>
          <t>지정되지않음</t>
        </is>
      </c>
      <c r="S979" s="3" t="inlineStr">
        <is>
          <t>답</t>
        </is>
      </c>
      <c r="T979" s="3" t="inlineStr">
        <is>
          <t>평지</t>
        </is>
      </c>
      <c r="U979" s="3" t="inlineStr">
        <is>
          <t>사다리형</t>
        </is>
      </c>
      <c r="V979" s="3" t="inlineStr">
        <is>
          <t>세로한면(가)</t>
        </is>
      </c>
    </row>
    <row r="980">
      <c r="A980" s="3" t="inlineStr">
        <is>
          <t>연동면 명학리 844</t>
        </is>
      </c>
      <c r="B980" s="3" t="inlineStr">
        <is>
          <t>농림지역</t>
        </is>
      </c>
      <c r="C980" s="3" t="inlineStr">
        <is>
          <t>답</t>
        </is>
      </c>
      <c r="D980" s="3" t="inlineStr">
        <is>
          <t>답</t>
        </is>
      </c>
      <c r="E980" s="3" t="inlineStr">
        <is>
          <t>매매</t>
        </is>
      </c>
      <c r="F980" s="4" t="n">
        <v>20000</v>
      </c>
      <c r="G980" s="4" t="n">
        <v>1319</v>
      </c>
      <c r="H980" s="4" t="n">
        <v>399</v>
      </c>
      <c r="I980" s="5" t="n">
        <v>50.1</v>
      </c>
      <c r="J980" s="5" t="n">
        <v>28.5</v>
      </c>
      <c r="K980" s="3" t="inlineStr">
        <is>
          <t>nan</t>
        </is>
      </c>
      <c r="L980" s="6">
        <f>HYPERLINK("https://fin.land.naver.com/articles/2651581324", "매물Link")</f>
        <v/>
      </c>
      <c r="M980" s="6">
        <f>HYPERLINK("https://map.naver.com/p/search/연동면 명학리 844", "지도Link")</f>
        <v/>
      </c>
      <c r="N980" s="6">
        <f>HYPERLINK("http://www.eum.go.kr/web/ar/lu/luLandDet.jsp?pnu=3611032023108440000&amp;isNoScr=script&amp;mode=search", "토지이음")</f>
        <v/>
      </c>
      <c r="O980" s="3" t="inlineStr">
        <is>
          <t>세종몽땅</t>
        </is>
      </c>
      <c r="P980" s="4" t="n">
        <v>1</v>
      </c>
      <c r="Q980" s="4" t="n">
        <v>1319.4</v>
      </c>
      <c r="R980" s="3" t="inlineStr">
        <is>
          <t>지정되지않음</t>
        </is>
      </c>
      <c r="S980" s="3" t="inlineStr">
        <is>
          <t>답</t>
        </is>
      </c>
      <c r="T980" s="3" t="inlineStr">
        <is>
          <t>평지</t>
        </is>
      </c>
      <c r="U980" s="3" t="inlineStr">
        <is>
          <t>사다리형</t>
        </is>
      </c>
      <c r="V980" s="3" t="inlineStr">
        <is>
          <t>세로한면(가)</t>
        </is>
      </c>
    </row>
    <row r="981">
      <c r="A981" s="3" t="inlineStr">
        <is>
          <t>연동면 명학리 844</t>
        </is>
      </c>
      <c r="B981" s="3" t="inlineStr">
        <is>
          <t>농림지역</t>
        </is>
      </c>
      <c r="C981" s="3" t="inlineStr">
        <is>
          <t>답</t>
        </is>
      </c>
      <c r="D981" s="3" t="inlineStr">
        <is>
          <t>답</t>
        </is>
      </c>
      <c r="E981" s="3" t="inlineStr">
        <is>
          <t>매매</t>
        </is>
      </c>
      <c r="F981" s="4" t="n">
        <v>20000</v>
      </c>
      <c r="G981" s="4" t="n">
        <v>1319</v>
      </c>
      <c r="H981" s="4" t="n">
        <v>399</v>
      </c>
      <c r="I981" s="5" t="n">
        <v>50.1</v>
      </c>
      <c r="J981" s="5" t="n">
        <v>28.5</v>
      </c>
      <c r="K981" s="3" t="inlineStr">
        <is>
          <t>부강역 생활권 평탄 농지, 자경 및 주말농장 검토 적합</t>
        </is>
      </c>
      <c r="L981" s="6">
        <f>HYPERLINK("https://fin.land.naver.com/articles/2650905086", "매물Link")</f>
        <v/>
      </c>
      <c r="M981" s="6">
        <f>HYPERLINK("https://map.naver.com/p/search/연동면 명학리 844", "지도Link")</f>
        <v/>
      </c>
      <c r="N981" s="6">
        <f>HYPERLINK("http://www.eum.go.kr/web/ar/lu/luLandDet.jsp?pnu=3611032023108440000&amp;isNoScr=script&amp;mode=search", "토지이음")</f>
        <v/>
      </c>
      <c r="O981" s="3" t="inlineStr">
        <is>
          <t>세종소담황금</t>
        </is>
      </c>
      <c r="P981" s="4" t="n">
        <v>1</v>
      </c>
      <c r="Q981" s="4" t="n">
        <v>1319.4</v>
      </c>
      <c r="R981" s="3" t="inlineStr">
        <is>
          <t>지정되지않음</t>
        </is>
      </c>
      <c r="S981" s="3" t="inlineStr">
        <is>
          <t>답</t>
        </is>
      </c>
      <c r="T981" s="3" t="inlineStr">
        <is>
          <t>평지</t>
        </is>
      </c>
      <c r="U981" s="3" t="inlineStr">
        <is>
          <t>사다리형</t>
        </is>
      </c>
      <c r="V981" s="3" t="inlineStr">
        <is>
          <t>세로한면(가)</t>
        </is>
      </c>
    </row>
    <row r="982">
      <c r="A982" s="3" t="inlineStr">
        <is>
          <t>연동면 명학리 93-4</t>
        </is>
      </c>
      <c r="B982" s="3" t="inlineStr">
        <is>
          <t>계획관리지역</t>
        </is>
      </c>
      <c r="C982" s="3" t="inlineStr">
        <is>
          <t>전</t>
        </is>
      </c>
      <c r="D982" s="3" t="inlineStr">
        <is>
          <t>전</t>
        </is>
      </c>
      <c r="E982" s="3" t="inlineStr">
        <is>
          <t>매매</t>
        </is>
      </c>
      <c r="F982" s="4" t="n">
        <v>110000</v>
      </c>
      <c r="G982" s="4" t="n">
        <v>3819</v>
      </c>
      <c r="H982" s="4" t="n">
        <v>1155</v>
      </c>
      <c r="I982" s="5" t="n">
        <v>95.2</v>
      </c>
      <c r="J982" s="5" t="n">
        <v>56.3</v>
      </c>
      <c r="K982" s="3" t="inlineStr">
        <is>
          <t>계획관리 전. 3필지입니다. 현재 전으로 사용 중</t>
        </is>
      </c>
      <c r="L982" s="6">
        <f>HYPERLINK("https://fin.land.naver.com/articles/2654233392", "매물Link")</f>
        <v/>
      </c>
      <c r="M982" s="6">
        <f>HYPERLINK("https://map.naver.com/p/search/연동면 명학리 93-4", "지도Link")</f>
        <v/>
      </c>
      <c r="N982" s="6">
        <f>HYPERLINK("http://www.eum.go.kr/web/ar/lu/luLandDet.jsp?pnu=3611032023100930004&amp;isNoScr=script&amp;mode=search", "토지이음")</f>
        <v/>
      </c>
      <c r="O982" s="3" t="inlineStr">
        <is>
          <t>미스터홈즈강남지사</t>
        </is>
      </c>
      <c r="P982" s="4" t="n">
        <v>1</v>
      </c>
      <c r="Q982" s="4" t="n">
        <v>1865</v>
      </c>
      <c r="R982" s="3" t="inlineStr">
        <is>
          <t>지정되지않음</t>
        </is>
      </c>
      <c r="S982" s="3" t="inlineStr">
        <is>
          <t>전</t>
        </is>
      </c>
      <c r="T982" s="3" t="inlineStr">
        <is>
          <t>완경사</t>
        </is>
      </c>
      <c r="U982" s="3" t="inlineStr">
        <is>
          <t>부정형</t>
        </is>
      </c>
      <c r="V982" s="3" t="inlineStr">
        <is>
          <t>맹지</t>
        </is>
      </c>
    </row>
    <row r="983">
      <c r="A983" s="3" t="inlineStr">
        <is>
          <t>연동면 명학리 955</t>
        </is>
      </c>
      <c r="B983" s="3" t="inlineStr">
        <is>
          <t>농림지역</t>
        </is>
      </c>
      <c r="C983" s="3" t="inlineStr">
        <is>
          <t>답</t>
        </is>
      </c>
      <c r="D983" s="3" t="inlineStr">
        <is>
          <t>답</t>
        </is>
      </c>
      <c r="E983" s="3" t="inlineStr">
        <is>
          <t>매매</t>
        </is>
      </c>
      <c r="F983" s="4" t="n">
        <v>35000</v>
      </c>
      <c r="G983" s="4" t="n">
        <v>1517</v>
      </c>
      <c r="H983" s="4" t="n">
        <v>459</v>
      </c>
      <c r="I983" s="5" t="n">
        <v>76.3</v>
      </c>
      <c r="J983" s="5" t="n">
        <v>24.3</v>
      </c>
      <c r="K983" s="3" t="inlineStr">
        <is>
          <t>nan</t>
        </is>
      </c>
      <c r="L983" s="6">
        <f>HYPERLINK("https://fin.land.naver.com/articles/2650459668", "매물Link")</f>
        <v/>
      </c>
      <c r="M983" s="6">
        <f>HYPERLINK("https://map.naver.com/p/search/연동면 명학리 955", "지도Link")</f>
        <v/>
      </c>
      <c r="N983" s="6">
        <f>HYPERLINK("http://www.eum.go.kr/web/ar/lu/luLandDet.jsp?pnu=3611032023109550000&amp;isNoScr=script&amp;mode=search", "토지이음")</f>
        <v/>
      </c>
      <c r="O983" s="3" t="inlineStr">
        <is>
          <t>청정</t>
        </is>
      </c>
      <c r="P983" s="4" t="n">
        <v>1</v>
      </c>
      <c r="Q983" s="4" t="n">
        <v>1516</v>
      </c>
      <c r="R983" s="3" t="inlineStr">
        <is>
          <t>지정되지않음</t>
        </is>
      </c>
      <c r="S983" s="3" t="inlineStr">
        <is>
          <t>답</t>
        </is>
      </c>
      <c r="T983" s="3" t="inlineStr">
        <is>
          <t>평지</t>
        </is>
      </c>
      <c r="U983" s="3" t="inlineStr">
        <is>
          <t>세로장방</t>
        </is>
      </c>
      <c r="V983" s="3" t="inlineStr">
        <is>
          <t>세로한면(가)</t>
        </is>
      </c>
    </row>
    <row r="984">
      <c r="A984" s="3" t="inlineStr">
        <is>
          <t>연동면 명학리 산22-1</t>
        </is>
      </c>
      <c r="B984" s="3" t="inlineStr">
        <is>
          <t>보전관리지역</t>
        </is>
      </c>
      <c r="C984" s="3" t="inlineStr">
        <is>
          <t>임야</t>
        </is>
      </c>
      <c r="D984" s="3" t="inlineStr">
        <is>
          <t>임야</t>
        </is>
      </c>
      <c r="E984" s="3" t="inlineStr">
        <is>
          <t>매매</t>
        </is>
      </c>
      <c r="F984" s="4" t="n">
        <v>750000</v>
      </c>
      <c r="G984" s="4" t="n">
        <v>21089</v>
      </c>
      <c r="H984" s="4" t="n">
        <v>6379</v>
      </c>
      <c r="I984" s="5" t="n">
        <v>117.6</v>
      </c>
      <c r="J984" s="5" t="n">
        <v>10</v>
      </c>
      <c r="K984" s="3" t="inlineStr">
        <is>
          <t>행정중심복합도시 근접, 전원주택지 개발 및 토목공사로 체류형쉼터 개발</t>
        </is>
      </c>
      <c r="L984" s="6">
        <f>HYPERLINK("https://fin.land.naver.com/articles/2654443210", "매물Link")</f>
        <v/>
      </c>
      <c r="M984" s="6">
        <f>HYPERLINK("https://map.naver.com/p/search/연동면 명학리 산22-1", "지도Link")</f>
        <v/>
      </c>
      <c r="N984" s="6">
        <f>HYPERLINK("http://www.eum.go.kr/web/ar/lu/luLandDet.jsp?pnu=3611032023200220001&amp;isNoScr=script&amp;mode=search", "토지이음")</f>
        <v/>
      </c>
      <c r="O984" s="3" t="inlineStr">
        <is>
          <t>나릿재슬기로운</t>
        </is>
      </c>
      <c r="P984" s="4" t="n">
        <v>1</v>
      </c>
      <c r="Q984" s="4" t="n">
        <v>8920</v>
      </c>
      <c r="R984" s="3" t="inlineStr">
        <is>
          <t>지정되지않음</t>
        </is>
      </c>
      <c r="S984" s="3" t="inlineStr">
        <is>
          <t>자연림</t>
        </is>
      </c>
      <c r="T984" s="3" t="inlineStr">
        <is>
          <t>완경사</t>
        </is>
      </c>
      <c r="U984" s="3" t="inlineStr">
        <is>
          <t>부정형</t>
        </is>
      </c>
      <c r="V984" s="3" t="inlineStr">
        <is>
          <t>세로한면(불)</t>
        </is>
      </c>
    </row>
    <row r="985">
      <c r="A985" s="3" t="inlineStr">
        <is>
          <t>연동면 문주리 145-2</t>
        </is>
      </c>
      <c r="B985" s="3" t="inlineStr">
        <is>
          <t>계획관리지역</t>
        </is>
      </c>
      <c r="C985" s="3" t="inlineStr">
        <is>
          <t>대</t>
        </is>
      </c>
      <c r="D985" s="3" t="inlineStr">
        <is>
          <t>대</t>
        </is>
      </c>
      <c r="E985" s="3" t="inlineStr">
        <is>
          <t>매매</t>
        </is>
      </c>
      <c r="F985" s="4" t="n">
        <v>21500</v>
      </c>
      <c r="G985" s="4" t="n">
        <v>284</v>
      </c>
      <c r="H985" s="4" t="n">
        <v>86</v>
      </c>
      <c r="I985" s="5" t="n">
        <v>250</v>
      </c>
      <c r="J985" s="5" t="n">
        <v>68.2</v>
      </c>
      <c r="K985" s="3" t="inlineStr">
        <is>
          <t>급매, 계획관리지역, 도로 접한 형상 좋은 대지입니다.</t>
        </is>
      </c>
      <c r="L985" s="6">
        <f>HYPERLINK("https://fin.land.naver.com/articles/2650811409", "매물Link")</f>
        <v/>
      </c>
      <c r="M985" s="6">
        <f>HYPERLINK("https://map.naver.com/p/search/연동면 문주리 145-2", "지도Link")</f>
        <v/>
      </c>
      <c r="N985" s="6">
        <f>HYPERLINK("http://www.eum.go.kr/web/ar/lu/luLandDet.jsp?pnu=3611032022101450002&amp;isNoScr=script&amp;mode=search", "토지이음")</f>
        <v/>
      </c>
      <c r="O985" s="3" t="inlineStr">
        <is>
          <t>나폴리</t>
        </is>
      </c>
      <c r="P985" s="4" t="n">
        <v>1</v>
      </c>
      <c r="Q985" s="4" t="n">
        <v>284</v>
      </c>
      <c r="R985" s="3" t="inlineStr">
        <is>
          <t>지정되지않음</t>
        </is>
      </c>
      <c r="S985" s="3" t="inlineStr">
        <is>
          <t>주거나지</t>
        </is>
      </c>
      <c r="T985" s="3" t="inlineStr">
        <is>
          <t>평지</t>
        </is>
      </c>
      <c r="U985" s="3" t="inlineStr">
        <is>
          <t>부정형</t>
        </is>
      </c>
      <c r="V985" s="3" t="inlineStr">
        <is>
          <t>세로한면(불)</t>
        </is>
      </c>
    </row>
    <row r="986">
      <c r="A986" s="3" t="inlineStr">
        <is>
          <t>연동면 문주리 145-29</t>
        </is>
      </c>
      <c r="B986" s="3" t="inlineStr">
        <is>
          <t>계획관리지역</t>
        </is>
      </c>
      <c r="C986" s="3" t="inlineStr">
        <is>
          <t>대</t>
        </is>
      </c>
      <c r="D986" s="3" t="inlineStr">
        <is>
          <t>대</t>
        </is>
      </c>
      <c r="E986" s="3" t="inlineStr">
        <is>
          <t>매매</t>
        </is>
      </c>
      <c r="F986" s="4" t="n">
        <v>20000</v>
      </c>
      <c r="G986" s="4" t="n">
        <v>253</v>
      </c>
      <c r="H986" s="4" t="n">
        <v>77</v>
      </c>
      <c r="I986" s="5" t="n">
        <v>259.7</v>
      </c>
      <c r="J986" s="5" t="n">
        <v>68.2</v>
      </c>
      <c r="K986" s="3" t="inlineStr">
        <is>
          <t>급매, 계획관리지역, 도로 접한 형상 좋은 대지입니다.</t>
        </is>
      </c>
      <c r="L986" s="6">
        <f>HYPERLINK("https://fin.land.naver.com/articles/2650811516", "매물Link")</f>
        <v/>
      </c>
      <c r="M986" s="6">
        <f>HYPERLINK("https://map.naver.com/p/search/연동면 문주리 145-29", "지도Link")</f>
        <v/>
      </c>
      <c r="N986" s="6">
        <f>HYPERLINK("http://www.eum.go.kr/web/ar/lu/luLandDet.jsp?pnu=3611032022101450029&amp;isNoScr=script&amp;mode=search", "토지이음")</f>
        <v/>
      </c>
      <c r="O986" s="3" t="inlineStr">
        <is>
          <t>나폴리</t>
        </is>
      </c>
      <c r="P986" s="4" t="n">
        <v>1</v>
      </c>
      <c r="Q986" s="4" t="n">
        <v>253</v>
      </c>
      <c r="R986" s="3" t="inlineStr">
        <is>
          <t>지정되지않음</t>
        </is>
      </c>
      <c r="S986" s="3" t="inlineStr">
        <is>
          <t>주거나지</t>
        </is>
      </c>
      <c r="T986" s="3" t="inlineStr">
        <is>
          <t>평지</t>
        </is>
      </c>
      <c r="U986" s="3" t="inlineStr">
        <is>
          <t>부정형</t>
        </is>
      </c>
      <c r="V986" s="3" t="inlineStr">
        <is>
          <t>세로한면(불)</t>
        </is>
      </c>
    </row>
    <row r="987">
      <c r="A987" s="3" t="inlineStr">
        <is>
          <t>연동면 문주리 145-8</t>
        </is>
      </c>
      <c r="B987" s="3" t="inlineStr">
        <is>
          <t>계획관리지역</t>
        </is>
      </c>
      <c r="C987" s="3" t="inlineStr">
        <is>
          <t>대</t>
        </is>
      </c>
      <c r="D987" s="3" t="inlineStr">
        <is>
          <t>대</t>
        </is>
      </c>
      <c r="E987" s="3" t="inlineStr">
        <is>
          <t>매매</t>
        </is>
      </c>
      <c r="F987" s="4" t="n">
        <v>18000</v>
      </c>
      <c r="G987" s="4" t="n">
        <v>235</v>
      </c>
      <c r="H987" s="4" t="n">
        <v>71</v>
      </c>
      <c r="I987" s="5" t="n">
        <v>253.5</v>
      </c>
      <c r="J987" s="5" t="n">
        <v>75</v>
      </c>
      <c r="K987" s="3" t="inlineStr">
        <is>
          <t>급매, 계획관리지역, 도로 접한 형상 좋은 대지입니다.</t>
        </is>
      </c>
      <c r="L987" s="6">
        <f>HYPERLINK("https://fin.land.naver.com/articles/2652612115", "매물Link")</f>
        <v/>
      </c>
      <c r="M987" s="6">
        <f>HYPERLINK("https://map.naver.com/p/search/연동면 문주리 145-8", "지도Link")</f>
        <v/>
      </c>
      <c r="N987" s="6">
        <f>HYPERLINK("http://www.eum.go.kr/web/ar/lu/luLandDet.jsp?pnu=3611032022101450008&amp;isNoScr=script&amp;mode=search", "토지이음")</f>
        <v/>
      </c>
      <c r="O987" s="3" t="inlineStr">
        <is>
          <t>나폴리</t>
        </is>
      </c>
      <c r="P987" s="4" t="n">
        <v>1</v>
      </c>
      <c r="Q987" s="4" t="n">
        <v>235</v>
      </c>
      <c r="R987" s="3" t="inlineStr">
        <is>
          <t>지정되지않음</t>
        </is>
      </c>
      <c r="S987" s="3" t="inlineStr">
        <is>
          <t>주거나지</t>
        </is>
      </c>
      <c r="T987" s="3" t="inlineStr">
        <is>
          <t>평지</t>
        </is>
      </c>
      <c r="U987" s="3" t="inlineStr">
        <is>
          <t>부정형</t>
        </is>
      </c>
      <c r="V987" s="3" t="inlineStr">
        <is>
          <t>세로한면(가)</t>
        </is>
      </c>
    </row>
    <row r="988">
      <c r="A988" s="3" t="inlineStr">
        <is>
          <t>연동면 문주리 956-3</t>
        </is>
      </c>
      <c r="B988" s="3" t="inlineStr">
        <is>
          <t>농림지역</t>
        </is>
      </c>
      <c r="C988" s="3" t="inlineStr">
        <is>
          <t>답</t>
        </is>
      </c>
      <c r="D988" s="3" t="inlineStr">
        <is>
          <t>답</t>
        </is>
      </c>
      <c r="E988" s="3" t="inlineStr">
        <is>
          <t>매매</t>
        </is>
      </c>
      <c r="F988" s="4" t="n">
        <v>88700</v>
      </c>
      <c r="G988" s="4" t="n">
        <v>2930</v>
      </c>
      <c r="H988" s="4" t="n">
        <v>886</v>
      </c>
      <c r="I988" s="5" t="n">
        <v>100.1</v>
      </c>
      <c r="J988" s="5" t="n">
        <v>24.5</v>
      </c>
      <c r="K988" s="3" t="inlineStr">
        <is>
          <t>구거 통해도로와 접한 농지,바로옆 도로 공사중</t>
        </is>
      </c>
      <c r="L988" s="6">
        <f>HYPERLINK("https://fin.land.naver.com/articles/2654531733", "매물Link")</f>
        <v/>
      </c>
      <c r="M988" s="6">
        <f>HYPERLINK("https://map.naver.com/p/search/연동면 문주리 956-3", "지도Link")</f>
        <v/>
      </c>
      <c r="N988" s="6">
        <f>HYPERLINK("http://www.eum.go.kr/web/ar/lu/luLandDet.jsp?pnu=3611032022109560003&amp;isNoScr=script&amp;mode=search", "토지이음")</f>
        <v/>
      </c>
      <c r="O988" s="3" t="inlineStr">
        <is>
          <t>향기나는방</t>
        </is>
      </c>
      <c r="P988" s="4" t="n">
        <v>1</v>
      </c>
      <c r="Q988" s="4" t="n">
        <v>2930.7</v>
      </c>
      <c r="R988" s="3" t="inlineStr">
        <is>
          <t>지정되지않음</t>
        </is>
      </c>
      <c r="S988" s="3" t="inlineStr">
        <is>
          <t>답</t>
        </is>
      </c>
      <c r="T988" s="3" t="inlineStr">
        <is>
          <t>평지</t>
        </is>
      </c>
      <c r="U988" s="3" t="inlineStr">
        <is>
          <t>부정형</t>
        </is>
      </c>
      <c r="V988" s="3" t="inlineStr">
        <is>
          <t>세로한면(가)</t>
        </is>
      </c>
    </row>
    <row r="989">
      <c r="A989" s="3" t="inlineStr">
        <is>
          <t>연동면 문주리 967-7</t>
        </is>
      </c>
      <c r="B989" s="3" t="inlineStr">
        <is>
          <t>농림지역</t>
        </is>
      </c>
      <c r="C989" s="3" t="inlineStr">
        <is>
          <t>답</t>
        </is>
      </c>
      <c r="D989" s="3" t="inlineStr">
        <is>
          <t>답</t>
        </is>
      </c>
      <c r="E989" s="3" t="inlineStr">
        <is>
          <t>매매</t>
        </is>
      </c>
      <c r="F989" s="4" t="n">
        <v>61000</v>
      </c>
      <c r="G989" s="4" t="n">
        <v>2523</v>
      </c>
      <c r="H989" s="4" t="n">
        <v>763</v>
      </c>
      <c r="I989" s="5" t="n">
        <v>79.90000000000001</v>
      </c>
      <c r="J989" s="5" t="n">
        <v>23.5</v>
      </c>
      <c r="K989" s="3" t="inlineStr">
        <is>
          <t>nan</t>
        </is>
      </c>
      <c r="L989" s="6">
        <f>HYPERLINK("https://fin.land.naver.com/articles/2651578350", "매물Link")</f>
        <v/>
      </c>
      <c r="M989" s="6">
        <f>HYPERLINK("https://map.naver.com/p/search/연동면 문주리 967-7", "지도Link")</f>
        <v/>
      </c>
      <c r="N989" s="6">
        <f>HYPERLINK("http://www.eum.go.kr/web/ar/lu/luLandDet.jsp?pnu=3611032022109670007&amp;isNoScr=script&amp;mode=search", "토지이음")</f>
        <v/>
      </c>
      <c r="O989" s="3" t="inlineStr">
        <is>
          <t>세종몽땅</t>
        </is>
      </c>
      <c r="P989" s="4" t="n">
        <v>1</v>
      </c>
      <c r="Q989" s="4" t="n">
        <v>2523.7</v>
      </c>
      <c r="R989" s="3" t="inlineStr">
        <is>
          <t>지정되지않음</t>
        </is>
      </c>
      <c r="S989" s="3" t="inlineStr">
        <is>
          <t>답</t>
        </is>
      </c>
      <c r="T989" s="3" t="inlineStr">
        <is>
          <t>평지</t>
        </is>
      </c>
      <c r="U989" s="3" t="inlineStr">
        <is>
          <t>세로장방</t>
        </is>
      </c>
      <c r="V989" s="3" t="inlineStr">
        <is>
          <t>세로한면(가)</t>
        </is>
      </c>
    </row>
    <row r="990">
      <c r="A990" s="3" t="inlineStr">
        <is>
          <t>연동면 문주리 968-13</t>
        </is>
      </c>
      <c r="B990" s="3" t="inlineStr">
        <is>
          <t>농림지역</t>
        </is>
      </c>
      <c r="C990" s="3" t="inlineStr">
        <is>
          <t>답</t>
        </is>
      </c>
      <c r="D990" s="3" t="inlineStr">
        <is>
          <t>답</t>
        </is>
      </c>
      <c r="E990" s="3" t="inlineStr">
        <is>
          <t>매매</t>
        </is>
      </c>
      <c r="F990" s="4" t="n">
        <v>245000</v>
      </c>
      <c r="G990" s="4" t="n">
        <v>7204</v>
      </c>
      <c r="H990" s="4" t="n">
        <v>2179</v>
      </c>
      <c r="I990" s="5" t="n">
        <v>112.4</v>
      </c>
      <c r="J990" s="5" t="n">
        <v>27</v>
      </c>
      <c r="K990" s="3" t="inlineStr">
        <is>
          <t>축사임.</t>
        </is>
      </c>
      <c r="L990" s="6">
        <f>HYPERLINK("https://fin.land.naver.com/articles/2653467627", "매물Link")</f>
        <v/>
      </c>
      <c r="M990" s="6">
        <f>HYPERLINK("https://map.naver.com/p/search/연동면 문주리 968-13", "지도Link")</f>
        <v/>
      </c>
      <c r="N990" s="6">
        <f>HYPERLINK("http://www.eum.go.kr/web/ar/lu/luLandDet.jsp?pnu=3611032022109680013&amp;isNoScr=script&amp;mode=search", "토지이음")</f>
        <v/>
      </c>
      <c r="O990" s="3" t="inlineStr">
        <is>
          <t>햇빛</t>
        </is>
      </c>
      <c r="P990" s="4" t="n">
        <v>1</v>
      </c>
      <c r="Q990" s="4" t="n">
        <v>7204.9</v>
      </c>
      <c r="R990" s="3" t="inlineStr">
        <is>
          <t>지정되지않음</t>
        </is>
      </c>
      <c r="S990" s="3" t="inlineStr">
        <is>
          <t>답축사</t>
        </is>
      </c>
      <c r="T990" s="3" t="inlineStr">
        <is>
          <t>평지</t>
        </is>
      </c>
      <c r="U990" s="3" t="inlineStr">
        <is>
          <t>세로장방</t>
        </is>
      </c>
      <c r="V990" s="3" t="inlineStr">
        <is>
          <t>세로한면(가)</t>
        </is>
      </c>
    </row>
    <row r="991">
      <c r="A991" s="3" t="inlineStr">
        <is>
          <t>연동면 문주리 980-10</t>
        </is>
      </c>
      <c r="B991" s="3" t="inlineStr">
        <is>
          <t>농림지역</t>
        </is>
      </c>
      <c r="C991" s="3" t="inlineStr">
        <is>
          <t>답</t>
        </is>
      </c>
      <c r="D991" s="3" t="inlineStr">
        <is>
          <t>답</t>
        </is>
      </c>
      <c r="E991" s="3" t="inlineStr">
        <is>
          <t>매매</t>
        </is>
      </c>
      <c r="F991" s="4" t="n">
        <v>58000</v>
      </c>
      <c r="G991" s="4" t="n">
        <v>2388</v>
      </c>
      <c r="H991" s="4" t="n">
        <v>722</v>
      </c>
      <c r="I991" s="5" t="n">
        <v>80.3</v>
      </c>
      <c r="J991" s="5" t="n">
        <v>23.6</v>
      </c>
      <c r="K991" s="3" t="inlineStr">
        <is>
          <t>농림지역 답 현재 옆필지와 함께 농사중</t>
        </is>
      </c>
      <c r="L991" s="6">
        <f>HYPERLINK("https://fin.land.naver.com/articles/2649908913", "매물Link")</f>
        <v/>
      </c>
      <c r="M991" s="6">
        <f>HYPERLINK("https://map.naver.com/p/search/연동면 문주리 980-10", "지도Link")</f>
        <v/>
      </c>
      <c r="N991" s="6">
        <f>HYPERLINK("http://www.eum.go.kr/web/ar/lu/luLandDet.jsp?pnu=3611032022109800010&amp;isNoScr=script&amp;mode=search", "토지이음")</f>
        <v/>
      </c>
      <c r="O991" s="3" t="inlineStr">
        <is>
          <t>미스터홈즈강남지사</t>
        </is>
      </c>
      <c r="P991" s="4" t="n">
        <v>1</v>
      </c>
      <c r="Q991" s="4" t="n">
        <v>2388</v>
      </c>
      <c r="R991" s="3" t="inlineStr">
        <is>
          <t>지정되지않음</t>
        </is>
      </c>
      <c r="S991" s="3" t="inlineStr">
        <is>
          <t>답</t>
        </is>
      </c>
      <c r="T991" s="3" t="inlineStr">
        <is>
          <t>평지</t>
        </is>
      </c>
      <c r="U991" s="3" t="inlineStr">
        <is>
          <t>사다리형</t>
        </is>
      </c>
      <c r="V991" s="3" t="inlineStr">
        <is>
          <t>세로한면(가)</t>
        </is>
      </c>
    </row>
    <row r="992">
      <c r="A992" s="3" t="inlineStr">
        <is>
          <t>연동면 송용리 1025-4</t>
        </is>
      </c>
      <c r="B992" s="3" t="inlineStr">
        <is>
          <t>농림지역</t>
        </is>
      </c>
      <c r="C992" s="3" t="inlineStr">
        <is>
          <t>답</t>
        </is>
      </c>
      <c r="D992" s="3" t="inlineStr">
        <is>
          <t>답</t>
        </is>
      </c>
      <c r="E992" s="3" t="inlineStr">
        <is>
          <t>매매</t>
        </is>
      </c>
      <c r="F992" s="4" t="n">
        <v>13600</v>
      </c>
      <c r="G992" s="4" t="n">
        <v>998</v>
      </c>
      <c r="H992" s="4" t="n">
        <v>302</v>
      </c>
      <c r="I992" s="5" t="n">
        <v>45</v>
      </c>
      <c r="J992" s="5" t="n">
        <v>24.1</v>
      </c>
      <c r="K992" s="3" t="inlineStr">
        <is>
          <t>주변 시세대비 아주저렴</t>
        </is>
      </c>
      <c r="L992" s="6">
        <f>HYPERLINK("https://fin.land.naver.com/articles/2654418969", "매물Link")</f>
        <v/>
      </c>
      <c r="M992" s="6">
        <f>HYPERLINK("https://map.naver.com/p/search/연동면 송용리 1025-4", "지도Link")</f>
        <v/>
      </c>
      <c r="N992" s="6">
        <f>HYPERLINK("http://www.eum.go.kr/web/ar/lu/luLandDet.jsp?pnu=3611032027110250004&amp;isNoScr=script&amp;mode=search", "토지이음")</f>
        <v/>
      </c>
      <c r="O992" s="3" t="inlineStr">
        <is>
          <t>세종땅전문</t>
        </is>
      </c>
      <c r="P992" s="4" t="n">
        <v>1</v>
      </c>
      <c r="Q992" s="4" t="n">
        <v>998.9</v>
      </c>
      <c r="R992" s="3" t="inlineStr">
        <is>
          <t>지정되지않음</t>
        </is>
      </c>
      <c r="S992" s="3" t="inlineStr">
        <is>
          <t>답</t>
        </is>
      </c>
      <c r="T992" s="3" t="inlineStr">
        <is>
          <t>평지</t>
        </is>
      </c>
      <c r="U992" s="3" t="inlineStr">
        <is>
          <t>세로장방</t>
        </is>
      </c>
      <c r="V992" s="3" t="inlineStr">
        <is>
          <t>세로한면(가)</t>
        </is>
      </c>
    </row>
    <row r="993">
      <c r="A993" s="3" t="inlineStr">
        <is>
          <t>연동면 송용리 1025-4</t>
        </is>
      </c>
      <c r="B993" s="3" t="inlineStr">
        <is>
          <t>농림지역</t>
        </is>
      </c>
      <c r="C993" s="3" t="inlineStr">
        <is>
          <t>답</t>
        </is>
      </c>
      <c r="D993" s="3" t="inlineStr">
        <is>
          <t>답</t>
        </is>
      </c>
      <c r="E993" s="3" t="inlineStr">
        <is>
          <t>매매</t>
        </is>
      </c>
      <c r="F993" s="4" t="n">
        <v>13600</v>
      </c>
      <c r="G993" s="4" t="n">
        <v>998</v>
      </c>
      <c r="H993" s="4" t="n">
        <v>302</v>
      </c>
      <c r="I993" s="5" t="n">
        <v>45</v>
      </c>
      <c r="J993" s="5" t="n">
        <v>24.1</v>
      </c>
      <c r="K993" s="3" t="inlineStr">
        <is>
          <t>급매 소액으로 농지구매하실분 대토하실분 추천</t>
        </is>
      </c>
      <c r="L993" s="6">
        <f>HYPERLINK("https://fin.land.naver.com/articles/2654338905", "매물Link")</f>
        <v/>
      </c>
      <c r="M993" s="6">
        <f>HYPERLINK("https://map.naver.com/p/search/연동면 송용리 1025-4", "지도Link")</f>
        <v/>
      </c>
      <c r="N993" s="6">
        <f>HYPERLINK("http://www.eum.go.kr/web/ar/lu/luLandDet.jsp?pnu=3611032027110250004&amp;isNoScr=script&amp;mode=search", "토지이음")</f>
        <v/>
      </c>
      <c r="O993" s="3" t="inlineStr">
        <is>
          <t>OK수</t>
        </is>
      </c>
      <c r="P993" s="4" t="n">
        <v>2</v>
      </c>
      <c r="Q993" s="4" t="n">
        <v>998.9</v>
      </c>
      <c r="R993" s="3" t="inlineStr">
        <is>
          <t>지정되지않음</t>
        </is>
      </c>
      <c r="S993" s="3" t="inlineStr">
        <is>
          <t>답</t>
        </is>
      </c>
      <c r="T993" s="3" t="inlineStr">
        <is>
          <t>평지</t>
        </is>
      </c>
      <c r="U993" s="3" t="inlineStr">
        <is>
          <t>세로장방</t>
        </is>
      </c>
      <c r="V993" s="3" t="inlineStr">
        <is>
          <t>세로한면(가)</t>
        </is>
      </c>
    </row>
    <row r="994">
      <c r="A994" s="3" t="inlineStr">
        <is>
          <t>연동면 송용리 1030-9</t>
        </is>
      </c>
      <c r="B994" s="3" t="inlineStr">
        <is>
          <t>농림지역</t>
        </is>
      </c>
      <c r="C994" s="3" t="inlineStr">
        <is>
          <t>답</t>
        </is>
      </c>
      <c r="D994" s="3" t="inlineStr">
        <is>
          <t>답</t>
        </is>
      </c>
      <c r="E994" s="3" t="inlineStr">
        <is>
          <t>매매</t>
        </is>
      </c>
      <c r="F994" s="4" t="n">
        <v>158700</v>
      </c>
      <c r="G994" s="4" t="n">
        <v>8746</v>
      </c>
      <c r="H994" s="4" t="n">
        <v>2646</v>
      </c>
      <c r="I994" s="5" t="n">
        <v>60</v>
      </c>
      <c r="J994" s="5" t="n">
        <v>24.2</v>
      </c>
      <c r="K994" s="3" t="inlineStr">
        <is>
          <t>연동면 송용리 농림지역 대형 토지, 세종시 5생활권 및 오송역 인근</t>
        </is>
      </c>
      <c r="L994" s="6">
        <f>HYPERLINK("https://fin.land.naver.com/articles/2650531778", "매물Link")</f>
        <v/>
      </c>
      <c r="M994" s="6">
        <f>HYPERLINK("https://map.naver.com/p/search/연동면 송용리 1030-9", "지도Link")</f>
        <v/>
      </c>
      <c r="N994" s="6">
        <f>HYPERLINK("http://www.eum.go.kr/web/ar/lu/luLandDet.jsp?pnu=3611032027110300009&amp;isNoScr=script&amp;mode=search", "토지이음")</f>
        <v/>
      </c>
      <c r="O994" s="3" t="inlineStr">
        <is>
          <t>스카이</t>
        </is>
      </c>
      <c r="P994" s="4" t="n">
        <v>1</v>
      </c>
      <c r="Q994" s="4" t="n">
        <v>8746.200000000001</v>
      </c>
      <c r="R994" s="3" t="inlineStr">
        <is>
          <t>지정되지않음</t>
        </is>
      </c>
      <c r="S994" s="3" t="inlineStr">
        <is>
          <t>답</t>
        </is>
      </c>
      <c r="T994" s="3" t="inlineStr">
        <is>
          <t>평지</t>
        </is>
      </c>
      <c r="U994" s="3" t="inlineStr">
        <is>
          <t>세로장방</t>
        </is>
      </c>
      <c r="V994" s="3" t="inlineStr">
        <is>
          <t>세로각지(가)</t>
        </is>
      </c>
    </row>
    <row r="995">
      <c r="A995" s="3" t="inlineStr">
        <is>
          <t>연동면 송용리 179-2</t>
        </is>
      </c>
      <c r="B995" s="3" t="inlineStr">
        <is>
          <t>계획관리지역</t>
        </is>
      </c>
      <c r="C995" s="3" t="inlineStr">
        <is>
          <t>대</t>
        </is>
      </c>
      <c r="D995" s="3" t="inlineStr">
        <is>
          <t>대</t>
        </is>
      </c>
      <c r="E995" s="3" t="inlineStr">
        <is>
          <t>매매</t>
        </is>
      </c>
      <c r="F995" s="4" t="n">
        <v>250000</v>
      </c>
      <c r="G995" s="4" t="n">
        <v>1837</v>
      </c>
      <c r="H995" s="4" t="n">
        <v>556</v>
      </c>
      <c r="I995" s="5" t="n">
        <v>449.6</v>
      </c>
      <c r="J995" s="5" t="n">
        <v>309.9</v>
      </c>
      <c r="K995" s="3" t="inlineStr">
        <is>
          <t>연동면 대형 식당자리 추천</t>
        </is>
      </c>
      <c r="L995" s="6">
        <f>HYPERLINK("https://fin.land.naver.com/articles/2649703500", "매물Link")</f>
        <v/>
      </c>
      <c r="M995" s="6">
        <f>HYPERLINK("https://map.naver.com/p/search/연동면 송용리 179-2", "지도Link")</f>
        <v/>
      </c>
      <c r="N995" s="6">
        <f>HYPERLINK("http://www.eum.go.kr/web/ar/lu/luLandDet.jsp?pnu=3611032027101790002&amp;isNoScr=script&amp;mode=search", "토지이음")</f>
        <v/>
      </c>
      <c r="O995" s="3" t="inlineStr">
        <is>
          <t>강아지풀</t>
        </is>
      </c>
      <c r="P995" s="4" t="n">
        <v>1</v>
      </c>
      <c r="Q995" s="4" t="n">
        <v>1358</v>
      </c>
      <c r="R995" s="3" t="inlineStr">
        <is>
          <t>지정되지않음</t>
        </is>
      </c>
      <c r="S995" s="3" t="inlineStr">
        <is>
          <t>상업용</t>
        </is>
      </c>
      <c r="T995" s="3" t="inlineStr">
        <is>
          <t>평지</t>
        </is>
      </c>
      <c r="U995" s="3" t="inlineStr">
        <is>
          <t>사다리형</t>
        </is>
      </c>
      <c r="V995" s="3" t="inlineStr">
        <is>
          <t>소로한면</t>
        </is>
      </c>
    </row>
    <row r="996">
      <c r="A996" s="3" t="inlineStr">
        <is>
          <t>연동면 송용리 213-4</t>
        </is>
      </c>
      <c r="B996" s="3" t="inlineStr">
        <is>
          <t>계획관리지역</t>
        </is>
      </c>
      <c r="C996" s="3" t="inlineStr">
        <is>
          <t>전</t>
        </is>
      </c>
      <c r="D996" s="3" t="inlineStr">
        <is>
          <t>전</t>
        </is>
      </c>
      <c r="E996" s="3" t="inlineStr">
        <is>
          <t>매매</t>
        </is>
      </c>
      <c r="F996" s="4" t="n">
        <v>70000</v>
      </c>
      <c r="G996" s="4" t="n">
        <v>662</v>
      </c>
      <c r="H996" s="4" t="n">
        <v>200</v>
      </c>
      <c r="I996" s="5" t="n">
        <v>350</v>
      </c>
      <c r="J996" s="5" t="n">
        <v>62</v>
      </c>
      <c r="K996" s="3" t="inlineStr">
        <is>
          <t>계획관리지역으로 8미터이상 도로에 접한 직사각형 토지, 주변환경 좋음</t>
        </is>
      </c>
      <c r="L996" s="6">
        <f>HYPERLINK("https://fin.land.naver.com/articles/2651092741", "매물Link")</f>
        <v/>
      </c>
      <c r="M996" s="6">
        <f>HYPERLINK("https://map.naver.com/p/search/연동면 송용리 213-4", "지도Link")</f>
        <v/>
      </c>
      <c r="N996" s="6">
        <f>HYPERLINK("http://www.eum.go.kr/web/ar/lu/luLandDet.jsp?pnu=3611032027102130004&amp;isNoScr=script&amp;mode=search", "토지이음")</f>
        <v/>
      </c>
      <c r="O996" s="3" t="inlineStr">
        <is>
          <t>가수원</t>
        </is>
      </c>
      <c r="P996" s="4" t="n">
        <v>1</v>
      </c>
      <c r="Q996" s="4" t="n">
        <v>662</v>
      </c>
      <c r="R996" s="3" t="inlineStr">
        <is>
          <t>지정되지않음</t>
        </is>
      </c>
      <c r="S996" s="3" t="inlineStr">
        <is>
          <t>전</t>
        </is>
      </c>
      <c r="T996" s="3" t="inlineStr">
        <is>
          <t>평지</t>
        </is>
      </c>
      <c r="U996" s="3" t="inlineStr">
        <is>
          <t>사다리형</t>
        </is>
      </c>
      <c r="V996" s="3" t="inlineStr">
        <is>
          <t>세로한면(가)</t>
        </is>
      </c>
    </row>
    <row r="997">
      <c r="A997" s="3" t="inlineStr">
        <is>
          <t>연동면 송용리 213-6</t>
        </is>
      </c>
      <c r="B997" s="3" t="inlineStr">
        <is>
          <t>계획관리지역</t>
        </is>
      </c>
      <c r="C997" s="3" t="inlineStr">
        <is>
          <t>전</t>
        </is>
      </c>
      <c r="D997" s="3" t="inlineStr">
        <is>
          <t>전</t>
        </is>
      </c>
      <c r="E997" s="3" t="inlineStr">
        <is>
          <t>매매</t>
        </is>
      </c>
      <c r="F997" s="4" t="n">
        <v>66000</v>
      </c>
      <c r="G997" s="4" t="n">
        <v>662</v>
      </c>
      <c r="H997" s="4" t="n">
        <v>200</v>
      </c>
      <c r="I997" s="5" t="n">
        <v>330</v>
      </c>
      <c r="J997" s="5" t="n">
        <v>62</v>
      </c>
      <c r="K997" s="3" t="inlineStr">
        <is>
          <t>급매. 5생활권 인접 도로접한 토지</t>
        </is>
      </c>
      <c r="L997" s="6">
        <f>HYPERLINK("https://fin.land.naver.com/articles/2651944218", "매물Link")</f>
        <v/>
      </c>
      <c r="M997" s="6">
        <f>HYPERLINK("https://map.naver.com/p/search/연동면 송용리 213-6", "지도Link")</f>
        <v/>
      </c>
      <c r="N997" s="6">
        <f>HYPERLINK("http://www.eum.go.kr/web/ar/lu/luLandDet.jsp?pnu=3611032027102130006&amp;isNoScr=script&amp;mode=search", "토지이음")</f>
        <v/>
      </c>
      <c r="O997" s="3" t="inlineStr">
        <is>
          <t>강아지풀</t>
        </is>
      </c>
      <c r="P997" s="4" t="n">
        <v>1</v>
      </c>
      <c r="Q997" s="4" t="n">
        <v>662</v>
      </c>
      <c r="R997" s="3" t="inlineStr">
        <is>
          <t>지정되지않음</t>
        </is>
      </c>
      <c r="S997" s="3" t="inlineStr">
        <is>
          <t>전</t>
        </is>
      </c>
      <c r="T997" s="3" t="inlineStr">
        <is>
          <t>평지</t>
        </is>
      </c>
      <c r="U997" s="3" t="inlineStr">
        <is>
          <t>사다리형</t>
        </is>
      </c>
      <c r="V997" s="3" t="inlineStr">
        <is>
          <t>세로한면(가)</t>
        </is>
      </c>
    </row>
    <row r="998">
      <c r="A998" s="3" t="inlineStr">
        <is>
          <t>연동면 송용리 261-34</t>
        </is>
      </c>
      <c r="B998" s="3" t="inlineStr">
        <is>
          <t>보전관리지역</t>
        </is>
      </c>
      <c r="C998" s="3" t="inlineStr">
        <is>
          <t>대</t>
        </is>
      </c>
      <c r="D998" s="3" t="inlineStr">
        <is>
          <t>대</t>
        </is>
      </c>
      <c r="E998" s="3" t="inlineStr">
        <is>
          <t>매매</t>
        </is>
      </c>
      <c r="F998" s="4" t="n">
        <v>50000</v>
      </c>
      <c r="G998" s="4" t="n">
        <v>500</v>
      </c>
      <c r="H998" s="4" t="n">
        <v>151</v>
      </c>
      <c r="I998" s="5" t="n">
        <v>331.1</v>
      </c>
      <c r="J998" s="5" t="n">
        <v>118.8</v>
      </c>
      <c r="K998" s="3" t="inlineStr">
        <is>
          <t>계획관리지역,성장관리계획구역,대지,전원주택 용지로 투자가치 좋아요.</t>
        </is>
      </c>
      <c r="L998" s="6">
        <f>HYPERLINK("https://fin.land.naver.com/articles/2649355280", "매물Link")</f>
        <v/>
      </c>
      <c r="M998" s="6">
        <f>HYPERLINK("https://map.naver.com/p/search/연동면 송용리 261-34", "지도Link")</f>
        <v/>
      </c>
      <c r="N998" s="6">
        <f>HYPERLINK("http://www.eum.go.kr/web/ar/lu/luLandDet.jsp?pnu=3611032027102610034&amp;isNoScr=script&amp;mode=search", "토지이음")</f>
        <v/>
      </c>
      <c r="O998" s="3" t="inlineStr">
        <is>
          <t>마마</t>
        </is>
      </c>
      <c r="P998" s="4" t="n">
        <v>1</v>
      </c>
      <c r="Q998" s="4" t="n">
        <v>500</v>
      </c>
      <c r="R998" s="3" t="inlineStr">
        <is>
          <t>지정되지않음</t>
        </is>
      </c>
      <c r="S998" s="3" t="inlineStr">
        <is>
          <t>주상용</t>
        </is>
      </c>
      <c r="T998" s="3" t="inlineStr">
        <is>
          <t>완경사</t>
        </is>
      </c>
      <c r="U998" s="3" t="inlineStr">
        <is>
          <t>사다리형</t>
        </is>
      </c>
      <c r="V998" s="3" t="inlineStr">
        <is>
          <t>세로한면(가)</t>
        </is>
      </c>
    </row>
    <row r="999">
      <c r="A999" s="3" t="inlineStr">
        <is>
          <t>연동면 송용리 261-8</t>
        </is>
      </c>
      <c r="B999" s="3" t="inlineStr">
        <is>
          <t>보전관리지역</t>
        </is>
      </c>
      <c r="C999" s="3" t="inlineStr">
        <is>
          <t>대</t>
        </is>
      </c>
      <c r="D999" s="3" t="inlineStr">
        <is>
          <t>대</t>
        </is>
      </c>
      <c r="E999" s="3" t="inlineStr">
        <is>
          <t>매매</t>
        </is>
      </c>
      <c r="F999" s="4" t="n">
        <v>329000</v>
      </c>
      <c r="G999" s="4" t="n">
        <v>4350</v>
      </c>
      <c r="H999" s="4" t="n">
        <v>1316</v>
      </c>
      <c r="I999" s="5" t="n">
        <v>250</v>
      </c>
      <c r="J999" s="5" t="n">
        <v>121.3</v>
      </c>
      <c r="K999" s="3" t="inlineStr">
        <is>
          <t>nan</t>
        </is>
      </c>
      <c r="L999" s="6">
        <f>HYPERLINK("https://fin.land.naver.com/articles/2653659850", "매물Link")</f>
        <v/>
      </c>
      <c r="M999" s="6">
        <f>HYPERLINK("https://map.naver.com/p/search/연동면 송용리 261-8", "지도Link")</f>
        <v/>
      </c>
      <c r="N999" s="6">
        <f>HYPERLINK("http://www.eum.go.kr/web/ar/lu/luLandDet.jsp?pnu=3611032027102610008&amp;isNoScr=script&amp;mode=search", "토지이음")</f>
        <v/>
      </c>
      <c r="O999" s="3" t="inlineStr">
        <is>
          <t>생명나무</t>
        </is>
      </c>
      <c r="P999" s="4" t="n">
        <v>1</v>
      </c>
      <c r="Q999" s="4" t="n">
        <v>2093</v>
      </c>
      <c r="R999" s="3" t="inlineStr">
        <is>
          <t>지정되지않음</t>
        </is>
      </c>
      <c r="S999" s="3" t="inlineStr">
        <is>
          <t>주상용</t>
        </is>
      </c>
      <c r="T999" s="3" t="inlineStr">
        <is>
          <t>완경사</t>
        </is>
      </c>
      <c r="U999" s="3" t="inlineStr">
        <is>
          <t>사다리형</t>
        </is>
      </c>
      <c r="V999" s="3" t="inlineStr">
        <is>
          <t>세로한면(가)</t>
        </is>
      </c>
    </row>
    <row r="1000">
      <c r="A1000" s="3" t="inlineStr">
        <is>
          <t>연동면 송용리 262</t>
        </is>
      </c>
      <c r="B1000" s="3" t="inlineStr">
        <is>
          <t>계획관리지역</t>
        </is>
      </c>
      <c r="C1000" s="3" t="inlineStr">
        <is>
          <t>대</t>
        </is>
      </c>
      <c r="D1000" s="3" t="inlineStr">
        <is>
          <t>대</t>
        </is>
      </c>
      <c r="E1000" s="3" t="inlineStr">
        <is>
          <t>매매</t>
        </is>
      </c>
      <c r="F1000" s="4" t="n">
        <v>400000</v>
      </c>
      <c r="G1000" s="4" t="n">
        <v>2915</v>
      </c>
      <c r="H1000" s="4" t="n">
        <v>882</v>
      </c>
      <c r="I1000" s="5" t="n">
        <v>453.5</v>
      </c>
      <c r="J1000" s="5" t="n">
        <v>263.1</v>
      </c>
      <c r="K1000" s="3" t="inlineStr">
        <is>
          <t>5생활권 2차선변 근생건물, 토지</t>
        </is>
      </c>
      <c r="L1000" s="6">
        <f>HYPERLINK("https://fin.land.naver.com/articles/2653738491", "매물Link")</f>
        <v/>
      </c>
      <c r="M1000" s="6">
        <f>HYPERLINK("https://map.naver.com/p/search/연동면 송용리 262", "지도Link")</f>
        <v/>
      </c>
      <c r="N1000" s="6">
        <f>HYPERLINK("http://www.eum.go.kr/web/ar/lu/luLandDet.jsp?pnu=3611032027102620000&amp;isNoScr=script&amp;mode=search", "토지이음")</f>
        <v/>
      </c>
      <c r="O1000" s="3" t="inlineStr">
        <is>
          <t>세종큰길</t>
        </is>
      </c>
      <c r="P1000" s="4" t="n">
        <v>1</v>
      </c>
      <c r="Q1000" s="4" t="n">
        <v>1915</v>
      </c>
      <c r="R1000" s="3" t="inlineStr">
        <is>
          <t>지정되지않음</t>
        </is>
      </c>
      <c r="S1000" s="3" t="inlineStr">
        <is>
          <t>주상기타</t>
        </is>
      </c>
      <c r="T1000" s="3" t="inlineStr">
        <is>
          <t>평지</t>
        </is>
      </c>
      <c r="U1000" s="3" t="inlineStr">
        <is>
          <t>사다리형</t>
        </is>
      </c>
      <c r="V1000" s="3" t="inlineStr">
        <is>
          <t>소로한면</t>
        </is>
      </c>
    </row>
    <row r="1001">
      <c r="A1001" s="3" t="inlineStr">
        <is>
          <t>연동면 송용리 4-1</t>
        </is>
      </c>
      <c r="B1001" s="3" t="inlineStr">
        <is>
          <t>계획관리지역</t>
        </is>
      </c>
      <c r="C1001" s="3" t="inlineStr">
        <is>
          <t>대</t>
        </is>
      </c>
      <c r="D1001" s="3" t="inlineStr">
        <is>
          <t>대</t>
        </is>
      </c>
      <c r="E1001" s="3" t="inlineStr">
        <is>
          <t>매매</t>
        </is>
      </c>
      <c r="F1001" s="4" t="n">
        <v>31000</v>
      </c>
      <c r="G1001" s="4" t="n">
        <v>421</v>
      </c>
      <c r="H1001" s="4" t="n">
        <v>127</v>
      </c>
      <c r="I1001" s="5" t="n">
        <v>244.1</v>
      </c>
      <c r="J1001" s="5" t="n">
        <v>69.5</v>
      </c>
      <c r="K1001" s="3" t="inlineStr">
        <is>
          <t>추천. 세종시 인근 주택지</t>
        </is>
      </c>
      <c r="L1001" s="6">
        <f>HYPERLINK("https://fin.land.naver.com/articles/2651922610", "매물Link")</f>
        <v/>
      </c>
      <c r="M1001" s="6">
        <f>HYPERLINK("https://map.naver.com/p/search/연동면 송용리 4-1", "지도Link")</f>
        <v/>
      </c>
      <c r="N1001" s="6">
        <f>HYPERLINK("http://www.eum.go.kr/web/ar/lu/luLandDet.jsp?pnu=3611032027100040001&amp;isNoScr=script&amp;mode=search", "토지이음")</f>
        <v/>
      </c>
      <c r="O1001" s="3" t="inlineStr">
        <is>
          <t>강아지풀</t>
        </is>
      </c>
      <c r="P1001" s="4" t="n">
        <v>1</v>
      </c>
      <c r="Q1001" s="4" t="n">
        <v>401</v>
      </c>
      <c r="R1001" s="3" t="inlineStr">
        <is>
          <t>지정되지않음</t>
        </is>
      </c>
      <c r="S1001" s="3" t="inlineStr">
        <is>
          <t>단독</t>
        </is>
      </c>
      <c r="T1001" s="3" t="inlineStr">
        <is>
          <t>평지</t>
        </is>
      </c>
      <c r="U1001" s="3" t="inlineStr">
        <is>
          <t>사다리형</t>
        </is>
      </c>
      <c r="V1001" s="3" t="inlineStr">
        <is>
          <t>세로한면(가)</t>
        </is>
      </c>
    </row>
    <row r="1002">
      <c r="A1002" s="3" t="inlineStr">
        <is>
          <t>연동면 송용리 82-1</t>
        </is>
      </c>
      <c r="B1002" s="3" t="inlineStr">
        <is>
          <t>계획관리지역</t>
        </is>
      </c>
      <c r="C1002" s="3" t="inlineStr">
        <is>
          <t>전</t>
        </is>
      </c>
      <c r="D1002" s="3" t="inlineStr">
        <is>
          <t>전</t>
        </is>
      </c>
      <c r="E1002" s="3" t="inlineStr">
        <is>
          <t>매매</t>
        </is>
      </c>
      <c r="F1002" s="4" t="n">
        <v>56200</v>
      </c>
      <c r="G1002" s="4" t="n">
        <v>1095</v>
      </c>
      <c r="H1002" s="4" t="n">
        <v>331</v>
      </c>
      <c r="I1002" s="5" t="n">
        <v>169.8</v>
      </c>
      <c r="J1002" s="5" t="n">
        <v>37.1</v>
      </c>
      <c r="K1002" s="3" t="inlineStr">
        <is>
          <t>nan</t>
        </is>
      </c>
      <c r="L1002" s="6">
        <f>HYPERLINK("https://fin.land.naver.com/articles/2653986067", "매물Link")</f>
        <v/>
      </c>
      <c r="M1002" s="6">
        <f>HYPERLINK("https://map.naver.com/p/search/연동면 송용리 82-1", "지도Link")</f>
        <v/>
      </c>
      <c r="N1002" s="6">
        <f>HYPERLINK("http://www.eum.go.kr/web/ar/lu/luLandDet.jsp?pnu=3611032027100820001&amp;isNoScr=script&amp;mode=search", "토지이음")</f>
        <v/>
      </c>
      <c r="O1002" s="3" t="inlineStr">
        <is>
          <t>장원</t>
        </is>
      </c>
      <c r="P1002" s="4" t="n">
        <v>1</v>
      </c>
      <c r="Q1002" s="4" t="n">
        <v>1095</v>
      </c>
      <c r="R1002" s="3" t="inlineStr">
        <is>
          <t>지정되지않음</t>
        </is>
      </c>
      <c r="S1002" s="3" t="inlineStr">
        <is>
          <t>전</t>
        </is>
      </c>
      <c r="T1002" s="3" t="inlineStr">
        <is>
          <t>완경사</t>
        </is>
      </c>
      <c r="U1002" s="3" t="inlineStr">
        <is>
          <t>부정형</t>
        </is>
      </c>
      <c r="V1002" s="3" t="inlineStr">
        <is>
          <t>맹지</t>
        </is>
      </c>
    </row>
    <row r="1003">
      <c r="A1003" s="3" t="inlineStr">
        <is>
          <t>연동면 송용리 940-1</t>
        </is>
      </c>
      <c r="B1003" s="3" t="inlineStr">
        <is>
          <t>농림지역</t>
        </is>
      </c>
      <c r="C1003" s="3" t="inlineStr">
        <is>
          <t>답</t>
        </is>
      </c>
      <c r="D1003" s="3" t="inlineStr">
        <is>
          <t>답</t>
        </is>
      </c>
      <c r="E1003" s="3" t="inlineStr">
        <is>
          <t>매매</t>
        </is>
      </c>
      <c r="F1003" s="4" t="n">
        <v>91000</v>
      </c>
      <c r="G1003" s="4" t="n">
        <v>4595</v>
      </c>
      <c r="H1003" s="4" t="n">
        <v>1390</v>
      </c>
      <c r="I1003" s="5" t="n">
        <v>65.5</v>
      </c>
      <c r="J1003" s="5" t="n">
        <v>25.1</v>
      </c>
      <c r="K1003" s="3" t="inlineStr">
        <is>
          <t>강변 근처 토지</t>
        </is>
      </c>
      <c r="L1003" s="6">
        <f>HYPERLINK("https://fin.land.naver.com/articles/2651714905", "매물Link")</f>
        <v/>
      </c>
      <c r="M1003" s="6">
        <f>HYPERLINK("https://map.naver.com/p/search/연동면 송용리 940-1", "지도Link")</f>
        <v/>
      </c>
      <c r="N1003" s="6">
        <f>HYPERLINK("http://www.eum.go.kr/web/ar/lu/luLandDet.jsp?pnu=3611032027109400001&amp;isNoScr=script&amp;mode=search", "토지이음")</f>
        <v/>
      </c>
      <c r="O1003" s="3" t="inlineStr">
        <is>
          <t>이레</t>
        </is>
      </c>
      <c r="P1003" s="4" t="n">
        <v>1</v>
      </c>
      <c r="Q1003" s="4" t="n">
        <v>4595.4</v>
      </c>
      <c r="R1003" s="3" t="inlineStr">
        <is>
          <t>지정되지않음</t>
        </is>
      </c>
      <c r="S1003" s="3" t="inlineStr">
        <is>
          <t>답</t>
        </is>
      </c>
      <c r="T1003" s="3" t="inlineStr">
        <is>
          <t>평지</t>
        </is>
      </c>
      <c r="U1003" s="3" t="inlineStr">
        <is>
          <t>사다리형</t>
        </is>
      </c>
      <c r="V1003" s="3" t="inlineStr">
        <is>
          <t>세로한면(가)</t>
        </is>
      </c>
    </row>
    <row r="1004">
      <c r="A1004" s="3" t="inlineStr">
        <is>
          <t>연동면 송용리 940-3</t>
        </is>
      </c>
      <c r="B1004" s="3" t="inlineStr">
        <is>
          <t>농림지역</t>
        </is>
      </c>
      <c r="C1004" s="3" t="inlineStr">
        <is>
          <t>과수원</t>
        </is>
      </c>
      <c r="D1004" s="3" t="inlineStr">
        <is>
          <t>과수원</t>
        </is>
      </c>
      <c r="E1004" s="3" t="inlineStr">
        <is>
          <t>매매</t>
        </is>
      </c>
      <c r="F1004" s="4" t="n">
        <v>18000</v>
      </c>
      <c r="G1004" s="4" t="n">
        <v>1381</v>
      </c>
      <c r="H1004" s="4" t="n">
        <v>418</v>
      </c>
      <c r="I1004" s="5" t="n">
        <v>43.1</v>
      </c>
      <c r="J1004" s="5" t="n">
        <v>25.5</v>
      </c>
      <c r="K1004" s="3" t="inlineStr">
        <is>
          <t>가격절충</t>
        </is>
      </c>
      <c r="L1004" s="6">
        <f>HYPERLINK("https://fin.land.naver.com/articles/2651729422", "매물Link")</f>
        <v/>
      </c>
      <c r="M1004" s="6">
        <f>HYPERLINK("https://map.naver.com/p/search/연동면 송용리 940-3", "지도Link")</f>
        <v/>
      </c>
      <c r="N1004" s="6">
        <f>HYPERLINK("http://www.eum.go.kr/web/ar/lu/luLandDet.jsp?pnu=3611032027109400003&amp;isNoScr=script&amp;mode=search", "토지이음")</f>
        <v/>
      </c>
      <c r="O1004" s="3" t="inlineStr">
        <is>
          <t>세종땅전문</t>
        </is>
      </c>
      <c r="P1004" s="4" t="n">
        <v>1</v>
      </c>
      <c r="Q1004" s="4" t="n">
        <v>1381.4</v>
      </c>
      <c r="R1004" s="3" t="inlineStr">
        <is>
          <t>지정되지않음</t>
        </is>
      </c>
      <c r="S1004" s="3" t="inlineStr">
        <is>
          <t>과수원</t>
        </is>
      </c>
      <c r="T1004" s="3" t="inlineStr">
        <is>
          <t>평지</t>
        </is>
      </c>
      <c r="U1004" s="3" t="inlineStr">
        <is>
          <t>사다리형</t>
        </is>
      </c>
      <c r="V1004" s="3" t="inlineStr">
        <is>
          <t>세로각지(가)</t>
        </is>
      </c>
    </row>
    <row r="1005">
      <c r="A1005" s="3" t="inlineStr">
        <is>
          <t>연동면 송용리 940-3</t>
        </is>
      </c>
      <c r="B1005" s="3" t="inlineStr">
        <is>
          <t>농림지역</t>
        </is>
      </c>
      <c r="C1005" s="3" t="inlineStr">
        <is>
          <t>과수원</t>
        </is>
      </c>
      <c r="D1005" s="3" t="inlineStr">
        <is>
          <t>과수원</t>
        </is>
      </c>
      <c r="E1005" s="3" t="inlineStr">
        <is>
          <t>매매</t>
        </is>
      </c>
      <c r="F1005" s="4" t="n">
        <v>18000</v>
      </c>
      <c r="G1005" s="4" t="n">
        <v>1381</v>
      </c>
      <c r="H1005" s="4" t="n">
        <v>418</v>
      </c>
      <c r="I1005" s="5" t="n">
        <v>43.1</v>
      </c>
      <c r="J1005" s="5" t="n">
        <v>25.5</v>
      </c>
      <c r="K1005" s="3" t="inlineStr">
        <is>
          <t>세종시 토지로 적은 금액으로 투자하기 좋은 곳</t>
        </is>
      </c>
      <c r="L1005" s="6">
        <f>HYPERLINK("https://fin.land.naver.com/articles/2651419402", "매물Link")</f>
        <v/>
      </c>
      <c r="M1005" s="6">
        <f>HYPERLINK("https://map.naver.com/p/search/연동면 송용리 940-3", "지도Link")</f>
        <v/>
      </c>
      <c r="N1005" s="6">
        <f>HYPERLINK("http://www.eum.go.kr/web/ar/lu/luLandDet.jsp?pnu=3611032027109400003&amp;isNoScr=script&amp;mode=search", "토지이음")</f>
        <v/>
      </c>
      <c r="O1005" s="3" t="inlineStr">
        <is>
          <t>오송이가</t>
        </is>
      </c>
      <c r="P1005" s="4" t="n">
        <v>1</v>
      </c>
      <c r="Q1005" s="4" t="n">
        <v>1381.4</v>
      </c>
      <c r="R1005" s="3" t="inlineStr">
        <is>
          <t>지정되지않음</t>
        </is>
      </c>
      <c r="S1005" s="3" t="inlineStr">
        <is>
          <t>과수원</t>
        </is>
      </c>
      <c r="T1005" s="3" t="inlineStr">
        <is>
          <t>평지</t>
        </is>
      </c>
      <c r="U1005" s="3" t="inlineStr">
        <is>
          <t>사다리형</t>
        </is>
      </c>
      <c r="V1005" s="3" t="inlineStr">
        <is>
          <t>세로각지(가)</t>
        </is>
      </c>
    </row>
    <row r="1006">
      <c r="A1006" s="3" t="inlineStr">
        <is>
          <t>연동면 송용리 940-5</t>
        </is>
      </c>
      <c r="B1006" s="3" t="inlineStr">
        <is>
          <t>농림지역</t>
        </is>
      </c>
      <c r="C1006" s="3" t="inlineStr">
        <is>
          <t>답</t>
        </is>
      </c>
      <c r="D1006" s="3" t="inlineStr">
        <is>
          <t>답</t>
        </is>
      </c>
      <c r="E1006" s="3" t="inlineStr">
        <is>
          <t>매매</t>
        </is>
      </c>
      <c r="F1006" s="4" t="n">
        <v>71000</v>
      </c>
      <c r="G1006" s="4" t="n">
        <v>4848</v>
      </c>
      <c r="H1006" s="4" t="n">
        <v>1467</v>
      </c>
      <c r="I1006" s="5" t="n">
        <v>48.4</v>
      </c>
      <c r="J1006" s="5" t="n">
        <v>24.8</v>
      </c>
      <c r="K1006" s="3" t="inlineStr">
        <is>
          <t>예쁜 토지</t>
        </is>
      </c>
      <c r="L1006" s="6">
        <f>HYPERLINK("https://fin.land.naver.com/articles/2650920227", "매물Link")</f>
        <v/>
      </c>
      <c r="M1006" s="6">
        <f>HYPERLINK("https://map.naver.com/p/search/연동면 송용리 940-5", "지도Link")</f>
        <v/>
      </c>
      <c r="N1006" s="6">
        <f>HYPERLINK("http://www.eum.go.kr/web/ar/lu/luLandDet.jsp?pnu=3611032027109400005&amp;isNoScr=script&amp;mode=search", "토지이음")</f>
        <v/>
      </c>
      <c r="O1006" s="3" t="inlineStr">
        <is>
          <t>전원비래</t>
        </is>
      </c>
      <c r="P1006" s="4" t="n">
        <v>1</v>
      </c>
      <c r="Q1006" s="4" t="n">
        <v>4848.2</v>
      </c>
      <c r="R1006" s="3" t="inlineStr">
        <is>
          <t>지정되지않음</t>
        </is>
      </c>
      <c r="S1006" s="3" t="inlineStr">
        <is>
          <t>답</t>
        </is>
      </c>
      <c r="T1006" s="3" t="inlineStr">
        <is>
          <t>평지</t>
        </is>
      </c>
      <c r="U1006" s="3" t="inlineStr">
        <is>
          <t>세로장방</t>
        </is>
      </c>
      <c r="V1006" s="3" t="inlineStr">
        <is>
          <t>세로한면(가)</t>
        </is>
      </c>
    </row>
    <row r="1007">
      <c r="A1007" s="3" t="inlineStr">
        <is>
          <t>연동면 송용리 963-10</t>
        </is>
      </c>
      <c r="B1007" s="3" t="inlineStr">
        <is>
          <t>농림지역</t>
        </is>
      </c>
      <c r="C1007" s="3" t="inlineStr">
        <is>
          <t>답</t>
        </is>
      </c>
      <c r="D1007" s="3" t="inlineStr">
        <is>
          <t>답</t>
        </is>
      </c>
      <c r="E1007" s="3" t="inlineStr">
        <is>
          <t>매매</t>
        </is>
      </c>
      <c r="F1007" s="4" t="n">
        <v>49000</v>
      </c>
      <c r="G1007" s="4" t="n">
        <v>3382</v>
      </c>
      <c r="H1007" s="4" t="n">
        <v>1023</v>
      </c>
      <c r="I1007" s="5" t="n">
        <v>47.9</v>
      </c>
      <c r="J1007" s="5" t="n">
        <v>23.8</v>
      </c>
      <c r="K1007" s="3" t="inlineStr">
        <is>
          <t>nan</t>
        </is>
      </c>
      <c r="L1007" s="6">
        <f>HYPERLINK("https://fin.land.naver.com/articles/2651729295", "매물Link")</f>
        <v/>
      </c>
      <c r="M1007" s="6">
        <f>HYPERLINK("https://map.naver.com/p/search/연동면 송용리 963-10", "지도Link")</f>
        <v/>
      </c>
      <c r="N1007" s="6">
        <f>HYPERLINK("http://www.eum.go.kr/web/ar/lu/luLandDet.jsp?pnu=3611032027109630010&amp;isNoScr=script&amp;mode=search", "토지이음")</f>
        <v/>
      </c>
      <c r="O1007" s="3" t="inlineStr">
        <is>
          <t>세종땅전문</t>
        </is>
      </c>
      <c r="P1007" s="4" t="n">
        <v>1</v>
      </c>
      <c r="Q1007" s="4" t="n">
        <v>3382</v>
      </c>
      <c r="R1007" s="3" t="inlineStr">
        <is>
          <t>지정되지않음</t>
        </is>
      </c>
      <c r="S1007" s="3" t="inlineStr">
        <is>
          <t>답</t>
        </is>
      </c>
      <c r="T1007" s="3" t="inlineStr">
        <is>
          <t>평지</t>
        </is>
      </c>
      <c r="U1007" s="3" t="inlineStr">
        <is>
          <t>사다리형</t>
        </is>
      </c>
      <c r="V1007" s="3" t="inlineStr">
        <is>
          <t>세로한면(가)</t>
        </is>
      </c>
    </row>
    <row r="1008">
      <c r="A1008" s="3" t="inlineStr">
        <is>
          <t>연동면 예양리 110-1</t>
        </is>
      </c>
      <c r="B1008" s="3" t="inlineStr">
        <is>
          <t>생산관리지역</t>
        </is>
      </c>
      <c r="C1008" s="3" t="inlineStr">
        <is>
          <t>과수원</t>
        </is>
      </c>
      <c r="D1008" s="3" t="inlineStr">
        <is>
          <t>과수원</t>
        </is>
      </c>
      <c r="E1008" s="3" t="inlineStr">
        <is>
          <t>매매</t>
        </is>
      </c>
      <c r="F1008" s="4" t="n">
        <v>50000</v>
      </c>
      <c r="G1008" s="4" t="n">
        <v>1914</v>
      </c>
      <c r="H1008" s="4" t="n">
        <v>579</v>
      </c>
      <c r="I1008" s="5" t="n">
        <v>86.40000000000001</v>
      </c>
      <c r="J1008" s="5" t="n">
        <v>35.1</v>
      </c>
      <c r="K1008" s="3" t="inlineStr">
        <is>
          <t>급매, 협의절충, 생산관리, 과수원, 입지, 주위 인프라 굿</t>
        </is>
      </c>
      <c r="L1008" s="6">
        <f>HYPERLINK("https://fin.land.naver.com/articles/2653154744", "매물Link")</f>
        <v/>
      </c>
      <c r="M1008" s="6">
        <f>HYPERLINK("https://map.naver.com/p/search/연동면 예양리 110-1", "지도Link")</f>
        <v/>
      </c>
      <c r="N1008" s="6">
        <f>HYPERLINK("http://www.eum.go.kr/web/ar/lu/luLandDet.jsp?pnu=3611032026101100001&amp;isNoScr=script&amp;mode=search", "토지이음")</f>
        <v/>
      </c>
      <c r="O1008" s="3" t="inlineStr">
        <is>
          <t>세종한울</t>
        </is>
      </c>
      <c r="P1008" s="4" t="n">
        <v>1</v>
      </c>
      <c r="Q1008" s="4" t="n">
        <v>1914</v>
      </c>
      <c r="R1008" s="3" t="inlineStr">
        <is>
          <t>지정되지않음</t>
        </is>
      </c>
      <c r="S1008" s="3" t="inlineStr">
        <is>
          <t>과수원</t>
        </is>
      </c>
      <c r="T1008" s="3" t="inlineStr">
        <is>
          <t>평지</t>
        </is>
      </c>
      <c r="U1008" s="3" t="inlineStr">
        <is>
          <t>부정형</t>
        </is>
      </c>
      <c r="V1008" s="3" t="inlineStr">
        <is>
          <t>소로한면</t>
        </is>
      </c>
    </row>
    <row r="1009">
      <c r="A1009" s="3" t="inlineStr">
        <is>
          <t>연동면 예양리 110-1</t>
        </is>
      </c>
      <c r="B1009" s="3" t="inlineStr">
        <is>
          <t>생산관리지역</t>
        </is>
      </c>
      <c r="C1009" s="3" t="inlineStr">
        <is>
          <t>과수원</t>
        </is>
      </c>
      <c r="D1009" s="3" t="inlineStr">
        <is>
          <t>과수원</t>
        </is>
      </c>
      <c r="E1009" s="3" t="inlineStr">
        <is>
          <t>매매</t>
        </is>
      </c>
      <c r="F1009" s="4" t="n">
        <v>52000</v>
      </c>
      <c r="G1009" s="4" t="n">
        <v>1914</v>
      </c>
      <c r="H1009" s="4" t="n">
        <v>579</v>
      </c>
      <c r="I1009" s="5" t="n">
        <v>89.8</v>
      </c>
      <c r="J1009" s="5" t="n">
        <v>35.1</v>
      </c>
      <c r="K1009" s="3" t="inlineStr">
        <is>
          <t>nan</t>
        </is>
      </c>
      <c r="L1009" s="6">
        <f>HYPERLINK("https://fin.land.naver.com/articles/2652244554", "매물Link")</f>
        <v/>
      </c>
      <c r="M1009" s="6">
        <f>HYPERLINK("https://map.naver.com/p/search/연동면 예양리 110-1", "지도Link")</f>
        <v/>
      </c>
      <c r="N1009" s="6">
        <f>HYPERLINK("http://www.eum.go.kr/web/ar/lu/luLandDet.jsp?pnu=3611032026101100001&amp;isNoScr=script&amp;mode=search", "토지이음")</f>
        <v/>
      </c>
      <c r="O1009" s="3" t="inlineStr">
        <is>
          <t>세종소담황금</t>
        </is>
      </c>
      <c r="P1009" s="4" t="n">
        <v>1</v>
      </c>
      <c r="Q1009" s="4" t="n">
        <v>1914</v>
      </c>
      <c r="R1009" s="3" t="inlineStr">
        <is>
          <t>지정되지않음</t>
        </is>
      </c>
      <c r="S1009" s="3" t="inlineStr">
        <is>
          <t>과수원</t>
        </is>
      </c>
      <c r="T1009" s="3" t="inlineStr">
        <is>
          <t>평지</t>
        </is>
      </c>
      <c r="U1009" s="3" t="inlineStr">
        <is>
          <t>부정형</t>
        </is>
      </c>
      <c r="V1009" s="3" t="inlineStr">
        <is>
          <t>소로한면</t>
        </is>
      </c>
    </row>
    <row r="1010">
      <c r="A1010" s="3" t="inlineStr">
        <is>
          <t>연동면 예양리 25-1</t>
        </is>
      </c>
      <c r="B1010" s="3" t="inlineStr">
        <is>
          <t>계획관리지역</t>
        </is>
      </c>
      <c r="C1010" s="3" t="inlineStr">
        <is>
          <t>대</t>
        </is>
      </c>
      <c r="D1010" s="3" t="inlineStr">
        <is>
          <t>대</t>
        </is>
      </c>
      <c r="E1010" s="3" t="inlineStr">
        <is>
          <t>매매</t>
        </is>
      </c>
      <c r="F1010" s="4" t="n">
        <v>20000</v>
      </c>
      <c r="G1010" s="4" t="n">
        <v>248</v>
      </c>
      <c r="H1010" s="4" t="n">
        <v>75</v>
      </c>
      <c r="I1010" s="5" t="n">
        <v>266.7</v>
      </c>
      <c r="J1010" s="5" t="n">
        <v>66.59999999999999</v>
      </c>
      <c r="K1010" s="3" t="inlineStr">
        <is>
          <t>건축 및 투자</t>
        </is>
      </c>
      <c r="L1010" s="6">
        <f>HYPERLINK("https://fin.land.naver.com/articles/2653502018", "매물Link")</f>
        <v/>
      </c>
      <c r="M1010" s="6">
        <f>HYPERLINK("https://map.naver.com/p/search/연동면 예양리 25-1", "지도Link")</f>
        <v/>
      </c>
      <c r="N1010" s="6">
        <f>HYPERLINK("http://www.eum.go.kr/web/ar/lu/luLandDet.jsp?pnu=3611032026100250001&amp;isNoScr=script&amp;mode=search", "토지이음")</f>
        <v/>
      </c>
      <c r="O1010" s="3" t="inlineStr">
        <is>
          <t>한정호</t>
        </is>
      </c>
      <c r="P1010" s="4" t="n">
        <v>1</v>
      </c>
      <c r="Q1010" s="4" t="n">
        <v>248</v>
      </c>
      <c r="R1010" s="3" t="inlineStr">
        <is>
          <t>지정되지않음</t>
        </is>
      </c>
      <c r="S1010" s="3" t="inlineStr">
        <is>
          <t>단독</t>
        </is>
      </c>
      <c r="T1010" s="3" t="inlineStr">
        <is>
          <t>평지</t>
        </is>
      </c>
      <c r="U1010" s="3" t="inlineStr">
        <is>
          <t>부정형</t>
        </is>
      </c>
      <c r="V1010" s="3" t="inlineStr">
        <is>
          <t>세로한면(가)</t>
        </is>
      </c>
    </row>
    <row r="1011">
      <c r="A1011" s="3" t="inlineStr">
        <is>
          <t>연동면 예양리 47-1</t>
        </is>
      </c>
      <c r="B1011" s="3" t="inlineStr">
        <is>
          <t>계획관리지역</t>
        </is>
      </c>
      <c r="C1011" s="3" t="inlineStr">
        <is>
          <t>대</t>
        </is>
      </c>
      <c r="D1011" s="3" t="inlineStr">
        <is>
          <t>대</t>
        </is>
      </c>
      <c r="E1011" s="3" t="inlineStr">
        <is>
          <t>매매</t>
        </is>
      </c>
      <c r="F1011" s="4" t="n">
        <v>19800</v>
      </c>
      <c r="G1011" s="4" t="n">
        <v>247</v>
      </c>
      <c r="H1011" s="4" t="n">
        <v>75</v>
      </c>
      <c r="I1011" s="5" t="n">
        <v>264</v>
      </c>
      <c r="J1011" s="5" t="n">
        <v>69.7</v>
      </c>
      <c r="K1011" s="3" t="inlineStr">
        <is>
          <t>건물 있는 토지 매매</t>
        </is>
      </c>
      <c r="L1011" s="6">
        <f>HYPERLINK("https://fin.land.naver.com/articles/2651254846", "매물Link")</f>
        <v/>
      </c>
      <c r="M1011" s="6">
        <f>HYPERLINK("https://map.naver.com/p/search/연동면 예양리 47-1", "지도Link")</f>
        <v/>
      </c>
      <c r="N1011" s="6">
        <f>HYPERLINK("http://www.eum.go.kr/web/ar/lu/luLandDet.jsp?pnu=3611032026100470001&amp;isNoScr=script&amp;mode=search", "토지이음")</f>
        <v/>
      </c>
      <c r="O1011" s="3" t="inlineStr">
        <is>
          <t>세종토박이</t>
        </is>
      </c>
      <c r="P1011" s="4" t="n">
        <v>2</v>
      </c>
      <c r="Q1011" s="4" t="n">
        <v>247</v>
      </c>
      <c r="R1011" s="3" t="inlineStr">
        <is>
          <t>지정되지않음</t>
        </is>
      </c>
      <c r="S1011" s="3" t="inlineStr">
        <is>
          <t>단독</t>
        </is>
      </c>
      <c r="T1011" s="3" t="inlineStr">
        <is>
          <t>평지</t>
        </is>
      </c>
      <c r="U1011" s="3" t="inlineStr">
        <is>
          <t>자루형</t>
        </is>
      </c>
      <c r="V1011" s="3" t="inlineStr">
        <is>
          <t>세로한면(가)</t>
        </is>
      </c>
    </row>
    <row r="1012">
      <c r="A1012" s="3" t="inlineStr">
        <is>
          <t>연동면 예양리 66-3</t>
        </is>
      </c>
      <c r="B1012" s="3" t="inlineStr">
        <is>
          <t>계획관리지역</t>
        </is>
      </c>
      <c r="C1012" s="3" t="inlineStr">
        <is>
          <t>전</t>
        </is>
      </c>
      <c r="D1012" s="3" t="inlineStr">
        <is>
          <t>전</t>
        </is>
      </c>
      <c r="E1012" s="3" t="inlineStr">
        <is>
          <t>매매</t>
        </is>
      </c>
      <c r="F1012" s="4" t="n">
        <v>140000</v>
      </c>
      <c r="G1012" s="4" t="n">
        <v>2314</v>
      </c>
      <c r="H1012" s="4" t="n">
        <v>700</v>
      </c>
      <c r="I1012" s="5" t="n">
        <v>200</v>
      </c>
      <c r="J1012" s="5" t="n">
        <v>38.3</v>
      </c>
      <c r="K1012" s="3" t="inlineStr">
        <is>
          <t>도로접,땅모양좋습니다,조정가</t>
        </is>
      </c>
      <c r="L1012" s="6">
        <f>HYPERLINK("https://fin.land.naver.com/articles/2654054825", "매물Link")</f>
        <v/>
      </c>
      <c r="M1012" s="6">
        <f>HYPERLINK("https://map.naver.com/p/search/연동면 예양리 66-3", "지도Link")</f>
        <v/>
      </c>
      <c r="N1012" s="6">
        <f>HYPERLINK("http://www.eum.go.kr/web/ar/lu/luLandDet.jsp?pnu=3611032026100660003&amp;isNoScr=script&amp;mode=search", "토지이음")</f>
        <v/>
      </c>
      <c r="O1012" s="3" t="inlineStr">
        <is>
          <t>힐스테이트행복</t>
        </is>
      </c>
      <c r="P1012" s="4" t="n">
        <v>1</v>
      </c>
      <c r="Q1012" s="4" t="n">
        <v>2314</v>
      </c>
      <c r="R1012" s="3" t="inlineStr">
        <is>
          <t>지정되지않음</t>
        </is>
      </c>
      <c r="S1012" s="3" t="inlineStr">
        <is>
          <t>전</t>
        </is>
      </c>
      <c r="T1012" s="3" t="inlineStr">
        <is>
          <t>평지</t>
        </is>
      </c>
      <c r="U1012" s="3" t="inlineStr">
        <is>
          <t>부정형</t>
        </is>
      </c>
      <c r="V1012" s="3" t="inlineStr">
        <is>
          <t>세로한면(가)</t>
        </is>
      </c>
    </row>
    <row r="1013">
      <c r="A1013" s="3" t="inlineStr">
        <is>
          <t>연동면 예양리 824-1</t>
        </is>
      </c>
      <c r="B1013" s="3" t="inlineStr">
        <is>
          <t>농림지역</t>
        </is>
      </c>
      <c r="C1013" s="3" t="inlineStr">
        <is>
          <t>답</t>
        </is>
      </c>
      <c r="D1013" s="3" t="inlineStr">
        <is>
          <t>답</t>
        </is>
      </c>
      <c r="E1013" s="3" t="inlineStr">
        <is>
          <t>매매</t>
        </is>
      </c>
      <c r="F1013" s="4" t="n">
        <v>60000</v>
      </c>
      <c r="G1013" s="4" t="n">
        <v>3457</v>
      </c>
      <c r="H1013" s="4" t="n">
        <v>1046</v>
      </c>
      <c r="I1013" s="5" t="n">
        <v>57.4</v>
      </c>
      <c r="J1013" s="5" t="n">
        <v>23.5</v>
      </c>
      <c r="K1013" s="3" t="inlineStr">
        <is>
          <t>농지 전</t>
        </is>
      </c>
      <c r="L1013" s="6">
        <f>HYPERLINK("https://fin.land.naver.com/articles/2653768190", "매물Link")</f>
        <v/>
      </c>
      <c r="M1013" s="6">
        <f>HYPERLINK("https://map.naver.com/p/search/연동면 예양리 824-1", "지도Link")</f>
        <v/>
      </c>
      <c r="N1013" s="6">
        <f>HYPERLINK("http://www.eum.go.kr/web/ar/lu/luLandDet.jsp?pnu=3611032026108240001&amp;isNoScr=script&amp;mode=search", "토지이음")</f>
        <v/>
      </c>
      <c r="O1013" s="3" t="inlineStr">
        <is>
          <t>대원</t>
        </is>
      </c>
      <c r="P1013" s="4" t="n">
        <v>1</v>
      </c>
      <c r="Q1013" s="4" t="n">
        <v>3457.7</v>
      </c>
      <c r="R1013" s="3" t="inlineStr">
        <is>
          <t>지정되지않음</t>
        </is>
      </c>
      <c r="S1013" s="3" t="inlineStr">
        <is>
          <t>답</t>
        </is>
      </c>
      <c r="T1013" s="3" t="inlineStr">
        <is>
          <t>평지</t>
        </is>
      </c>
      <c r="U1013" s="3" t="inlineStr">
        <is>
          <t>세로장방</t>
        </is>
      </c>
      <c r="V1013" s="3" t="inlineStr">
        <is>
          <t>세로한면(가)</t>
        </is>
      </c>
    </row>
    <row r="1014">
      <c r="A1014" s="3" t="inlineStr">
        <is>
          <t>연동면 예양리 828-1</t>
        </is>
      </c>
      <c r="B1014" s="3" t="inlineStr">
        <is>
          <t>농림지역</t>
        </is>
      </c>
      <c r="C1014" s="3" t="inlineStr">
        <is>
          <t>답</t>
        </is>
      </c>
      <c r="D1014" s="3" t="inlineStr">
        <is>
          <t>답</t>
        </is>
      </c>
      <c r="E1014" s="3" t="inlineStr">
        <is>
          <t>매매</t>
        </is>
      </c>
      <c r="F1014" s="4" t="n">
        <v>60000</v>
      </c>
      <c r="G1014" s="4" t="n">
        <v>2913</v>
      </c>
      <c r="H1014" s="4" t="n">
        <v>881</v>
      </c>
      <c r="I1014" s="5" t="n">
        <v>68.09999999999999</v>
      </c>
      <c r="J1014" s="5" t="n">
        <v>23.8</v>
      </c>
      <c r="K1014" s="3" t="inlineStr">
        <is>
          <t>대토용,투자적합</t>
        </is>
      </c>
      <c r="L1014" s="6">
        <f>HYPERLINK("https://fin.land.naver.com/articles/2653703739", "매물Link")</f>
        <v/>
      </c>
      <c r="M1014" s="6">
        <f>HYPERLINK("https://map.naver.com/p/search/연동면 예양리 828-1", "지도Link")</f>
        <v/>
      </c>
      <c r="N1014" s="6">
        <f>HYPERLINK("http://www.eum.go.kr/web/ar/lu/luLandDet.jsp?pnu=3611032026108280001&amp;isNoScr=script&amp;mode=search", "토지이음")</f>
        <v/>
      </c>
      <c r="O1014" s="3" t="inlineStr">
        <is>
          <t>지원</t>
        </is>
      </c>
      <c r="P1014" s="4" t="n">
        <v>1</v>
      </c>
      <c r="Q1014" s="4" t="n">
        <v>2913.3</v>
      </c>
      <c r="R1014" s="3" t="inlineStr">
        <is>
          <t>지정되지않음</t>
        </is>
      </c>
      <c r="S1014" s="3" t="inlineStr">
        <is>
          <t>답</t>
        </is>
      </c>
      <c r="T1014" s="3" t="inlineStr">
        <is>
          <t>평지</t>
        </is>
      </c>
      <c r="U1014" s="3" t="inlineStr">
        <is>
          <t>세로장방</t>
        </is>
      </c>
      <c r="V1014" s="3" t="inlineStr">
        <is>
          <t>세로각지(가)</t>
        </is>
      </c>
    </row>
    <row r="1015">
      <c r="A1015" s="3" t="inlineStr">
        <is>
          <t>연동면 예양리 831-13</t>
        </is>
      </c>
      <c r="B1015" s="3" t="inlineStr">
        <is>
          <t>농림지역</t>
        </is>
      </c>
      <c r="C1015" s="3" t="inlineStr">
        <is>
          <t>답</t>
        </is>
      </c>
      <c r="D1015" s="3" t="inlineStr">
        <is>
          <t>답</t>
        </is>
      </c>
      <c r="E1015" s="3" t="inlineStr">
        <is>
          <t>매매</t>
        </is>
      </c>
      <c r="F1015" s="4" t="n">
        <v>53500</v>
      </c>
      <c r="G1015" s="4" t="n">
        <v>2212</v>
      </c>
      <c r="H1015" s="4" t="n">
        <v>669</v>
      </c>
      <c r="I1015" s="5" t="n">
        <v>80</v>
      </c>
      <c r="J1015" s="5" t="n">
        <v>24.3</v>
      </c>
      <c r="K1015" s="3" t="inlineStr">
        <is>
          <t>가격절충가능</t>
        </is>
      </c>
      <c r="L1015" s="6">
        <f>HYPERLINK("https://fin.land.naver.com/articles/2652723910", "매물Link")</f>
        <v/>
      </c>
      <c r="M1015" s="6">
        <f>HYPERLINK("https://map.naver.com/p/search/연동면 예양리 831-13", "지도Link")</f>
        <v/>
      </c>
      <c r="N1015" s="6">
        <f>HYPERLINK("http://www.eum.go.kr/web/ar/lu/luLandDet.jsp?pnu=3611032026108310013&amp;isNoScr=script&amp;mode=search", "토지이음")</f>
        <v/>
      </c>
      <c r="O1015" s="3" t="inlineStr">
        <is>
          <t>소사벌</t>
        </is>
      </c>
      <c r="P1015" s="4" t="n">
        <v>1</v>
      </c>
      <c r="Q1015" s="4" t="n">
        <v>2212</v>
      </c>
      <c r="R1015" s="3" t="inlineStr">
        <is>
          <t>지정되지않음</t>
        </is>
      </c>
      <c r="S1015" s="3" t="inlineStr">
        <is>
          <t>답</t>
        </is>
      </c>
      <c r="T1015" s="3" t="inlineStr">
        <is>
          <t>평지</t>
        </is>
      </c>
      <c r="U1015" s="3" t="inlineStr">
        <is>
          <t>세로장방</t>
        </is>
      </c>
      <c r="V1015" s="3" t="inlineStr">
        <is>
          <t>세로한면(가)</t>
        </is>
      </c>
    </row>
    <row r="1016">
      <c r="A1016" s="3" t="inlineStr">
        <is>
          <t>연동면 예양리 838-2</t>
        </is>
      </c>
      <c r="B1016" s="3" t="inlineStr">
        <is>
          <t>농림지역</t>
        </is>
      </c>
      <c r="C1016" s="3" t="inlineStr">
        <is>
          <t>답</t>
        </is>
      </c>
      <c r="D1016" s="3" t="inlineStr">
        <is>
          <t>답</t>
        </is>
      </c>
      <c r="E1016" s="3" t="inlineStr">
        <is>
          <t>매매</t>
        </is>
      </c>
      <c r="F1016" s="4" t="n">
        <v>16400</v>
      </c>
      <c r="G1016" s="4" t="n">
        <v>665</v>
      </c>
      <c r="H1016" s="4" t="n">
        <v>201</v>
      </c>
      <c r="I1016" s="5" t="n">
        <v>81.59999999999999</v>
      </c>
      <c r="J1016" s="5" t="n">
        <v>24</v>
      </c>
      <c r="K1016" s="3" t="inlineStr">
        <is>
          <t>도로5m,3m접한 코너각지 직사각형,현재 전으로 이용중임.</t>
        </is>
      </c>
      <c r="L1016" s="6">
        <f>HYPERLINK("https://fin.land.naver.com/articles/2654365147", "매물Link")</f>
        <v/>
      </c>
      <c r="M1016" s="6">
        <f>HYPERLINK("https://map.naver.com/p/search/연동면 예양리 838-2", "지도Link")</f>
        <v/>
      </c>
      <c r="N1016" s="6">
        <f>HYPERLINK("http://www.eum.go.kr/web/ar/lu/luLandDet.jsp?pnu=3611032026108380002&amp;isNoScr=script&amp;mode=search", "토지이음")</f>
        <v/>
      </c>
      <c r="O1016" s="3" t="inlineStr">
        <is>
          <t>자이호박</t>
        </is>
      </c>
      <c r="P1016" s="4" t="n">
        <v>1</v>
      </c>
      <c r="Q1016" s="4" t="n">
        <v>665.6</v>
      </c>
      <c r="R1016" s="3" t="inlineStr">
        <is>
          <t>지정되지않음</t>
        </is>
      </c>
      <c r="S1016" s="3" t="inlineStr">
        <is>
          <t>답</t>
        </is>
      </c>
      <c r="T1016" s="3" t="inlineStr">
        <is>
          <t>평지</t>
        </is>
      </c>
      <c r="U1016" s="3" t="inlineStr">
        <is>
          <t>가로장방</t>
        </is>
      </c>
      <c r="V1016" s="3" t="inlineStr">
        <is>
          <t>세로한면(가)</t>
        </is>
      </c>
    </row>
    <row r="1017">
      <c r="A1017" s="3" t="inlineStr">
        <is>
          <t>연동면 예양리 99-5</t>
        </is>
      </c>
      <c r="B1017" s="3" t="inlineStr">
        <is>
          <t>계획관리지역</t>
        </is>
      </c>
      <c r="C1017" s="3" t="inlineStr">
        <is>
          <t>답</t>
        </is>
      </c>
      <c r="D1017" s="3" t="inlineStr">
        <is>
          <t>답</t>
        </is>
      </c>
      <c r="E1017" s="3" t="inlineStr">
        <is>
          <t>매매</t>
        </is>
      </c>
      <c r="F1017" s="4" t="n">
        <v>52800</v>
      </c>
      <c r="G1017" s="4" t="n">
        <v>2384</v>
      </c>
      <c r="H1017" s="4" t="n">
        <v>721</v>
      </c>
      <c r="I1017" s="5" t="n">
        <v>73.2</v>
      </c>
      <c r="J1017" s="5" t="n">
        <v>32.9</v>
      </c>
      <c r="K1017" s="3" t="inlineStr">
        <is>
          <t>3m 도로접한 계획관리</t>
        </is>
      </c>
      <c r="L1017" s="6">
        <f>HYPERLINK("https://fin.land.naver.com/articles/2651242045", "매물Link")</f>
        <v/>
      </c>
      <c r="M1017" s="6">
        <f>HYPERLINK("https://map.naver.com/p/search/연동면 예양리 99-5", "지도Link")</f>
        <v/>
      </c>
      <c r="N1017" s="6">
        <f>HYPERLINK("http://www.eum.go.kr/web/ar/lu/luLandDet.jsp?pnu=3611032026100990005&amp;isNoScr=script&amp;mode=search", "토지이음")</f>
        <v/>
      </c>
      <c r="O1017" s="3" t="inlineStr">
        <is>
          <t>세종땅사랑</t>
        </is>
      </c>
      <c r="P1017" s="4" t="n">
        <v>1</v>
      </c>
      <c r="Q1017" s="4" t="n">
        <v>2384</v>
      </c>
      <c r="R1017" s="3" t="inlineStr">
        <is>
          <t>지정되지않음</t>
        </is>
      </c>
      <c r="S1017" s="3" t="inlineStr">
        <is>
          <t>답</t>
        </is>
      </c>
      <c r="T1017" s="3" t="inlineStr">
        <is>
          <t>완경사</t>
        </is>
      </c>
      <c r="U1017" s="3" t="inlineStr">
        <is>
          <t>부정형</t>
        </is>
      </c>
      <c r="V1017" s="3" t="inlineStr">
        <is>
          <t>세로한면(가)</t>
        </is>
      </c>
    </row>
    <row r="1018">
      <c r="A1018" s="3" t="inlineStr">
        <is>
          <t>연동면 예양리 99-5</t>
        </is>
      </c>
      <c r="B1018" s="3" t="inlineStr">
        <is>
          <t>계획관리지역</t>
        </is>
      </c>
      <c r="C1018" s="3" t="inlineStr">
        <is>
          <t>답</t>
        </is>
      </c>
      <c r="D1018" s="3" t="inlineStr">
        <is>
          <t>답</t>
        </is>
      </c>
      <c r="E1018" s="3" t="inlineStr">
        <is>
          <t>매매</t>
        </is>
      </c>
      <c r="F1018" s="4" t="n">
        <v>52800</v>
      </c>
      <c r="G1018" s="4" t="n">
        <v>2384</v>
      </c>
      <c r="H1018" s="4" t="n">
        <v>721</v>
      </c>
      <c r="I1018" s="5" t="n">
        <v>73.2</v>
      </c>
      <c r="J1018" s="5" t="n">
        <v>32.9</v>
      </c>
      <c r="K1018" s="3" t="inlineStr">
        <is>
          <t>행정중심복합도시 동측에 위치한 농지</t>
        </is>
      </c>
      <c r="L1018" s="6">
        <f>HYPERLINK("https://fin.land.naver.com/articles/2651237783", "매물Link")</f>
        <v/>
      </c>
      <c r="M1018" s="6">
        <f>HYPERLINK("https://map.naver.com/p/search/연동면 예양리 99-5", "지도Link")</f>
        <v/>
      </c>
      <c r="N1018" s="6">
        <f>HYPERLINK("http://www.eum.go.kr/web/ar/lu/luLandDet.jsp?pnu=3611032026100990005&amp;isNoScr=script&amp;mode=search", "토지이음")</f>
        <v/>
      </c>
      <c r="O1018" s="3" t="inlineStr">
        <is>
          <t>세종토박이</t>
        </is>
      </c>
      <c r="P1018" s="4" t="n">
        <v>1</v>
      </c>
      <c r="Q1018" s="4" t="n">
        <v>2384</v>
      </c>
      <c r="R1018" s="3" t="inlineStr">
        <is>
          <t>지정되지않음</t>
        </is>
      </c>
      <c r="S1018" s="3" t="inlineStr">
        <is>
          <t>답</t>
        </is>
      </c>
      <c r="T1018" s="3" t="inlineStr">
        <is>
          <t>완경사</t>
        </is>
      </c>
      <c r="U1018" s="3" t="inlineStr">
        <is>
          <t>부정형</t>
        </is>
      </c>
      <c r="V1018" s="3" t="inlineStr">
        <is>
          <t>세로한면(가)</t>
        </is>
      </c>
    </row>
    <row r="1019">
      <c r="A1019" s="3" t="inlineStr">
        <is>
          <t>연동면 응암리 120</t>
        </is>
      </c>
      <c r="B1019" s="3" t="inlineStr">
        <is>
          <t>계획관리지역</t>
        </is>
      </c>
      <c r="C1019" s="3" t="inlineStr">
        <is>
          <t>답</t>
        </is>
      </c>
      <c r="D1019" s="3" t="inlineStr">
        <is>
          <t>답</t>
        </is>
      </c>
      <c r="E1019" s="3" t="inlineStr">
        <is>
          <t>매매</t>
        </is>
      </c>
      <c r="F1019" s="4" t="n">
        <v>210000</v>
      </c>
      <c r="G1019" s="4" t="n">
        <v>3722</v>
      </c>
      <c r="H1019" s="4" t="n">
        <v>1126</v>
      </c>
      <c r="I1019" s="5" t="n">
        <v>186.5</v>
      </c>
      <c r="J1019" s="5" t="n">
        <v>45</v>
      </c>
      <c r="K1019" s="3" t="inlineStr">
        <is>
          <t>도로접한 계획.성장관리계획구역,넓은평수,다용도사용가능</t>
        </is>
      </c>
      <c r="L1019" s="6">
        <f>HYPERLINK("https://fin.land.naver.com/articles/2652750521", "매물Link")</f>
        <v/>
      </c>
      <c r="M1019" s="6">
        <f>HYPERLINK("https://map.naver.com/p/search/연동면 응암리 120", "지도Link")</f>
        <v/>
      </c>
      <c r="N1019" s="6">
        <f>HYPERLINK("http://www.eum.go.kr/web/ar/lu/luLandDet.jsp?pnu=3611032024101200000&amp;isNoScr=script&amp;mode=search", "토지이음")</f>
        <v/>
      </c>
      <c r="O1019" s="3" t="inlineStr">
        <is>
          <t>고운맘</t>
        </is>
      </c>
      <c r="P1019" s="4" t="n">
        <v>1</v>
      </c>
      <c r="Q1019" s="4" t="n">
        <v>3722</v>
      </c>
      <c r="R1019" s="3" t="inlineStr">
        <is>
          <t>지정되지않음</t>
        </is>
      </c>
      <c r="S1019" s="3" t="inlineStr">
        <is>
          <t>답</t>
        </is>
      </c>
      <c r="T1019" s="3" t="inlineStr">
        <is>
          <t>평지</t>
        </is>
      </c>
      <c r="U1019" s="3" t="inlineStr">
        <is>
          <t>부정형</t>
        </is>
      </c>
      <c r="V1019" s="3" t="inlineStr">
        <is>
          <t>세로각지(가)</t>
        </is>
      </c>
    </row>
    <row r="1020">
      <c r="A1020" s="3" t="inlineStr">
        <is>
          <t>연동면 응암리 121-4</t>
        </is>
      </c>
      <c r="B1020" s="3" t="inlineStr">
        <is>
          <t>계획관리지역</t>
        </is>
      </c>
      <c r="C1020" s="3" t="inlineStr">
        <is>
          <t>대</t>
        </is>
      </c>
      <c r="D1020" s="3" t="inlineStr">
        <is>
          <t>대</t>
        </is>
      </c>
      <c r="E1020" s="3" t="inlineStr">
        <is>
          <t>매매</t>
        </is>
      </c>
      <c r="F1020" s="4" t="n">
        <v>81000</v>
      </c>
      <c r="G1020" s="4" t="n">
        <v>1021</v>
      </c>
      <c r="H1020" s="4" t="n">
        <v>309</v>
      </c>
      <c r="I1020" s="5" t="n">
        <v>262.1</v>
      </c>
      <c r="J1020" s="5" t="n">
        <v>67.5</v>
      </c>
      <c r="K1020" s="3" t="inlineStr">
        <is>
          <t>nan</t>
        </is>
      </c>
      <c r="L1020" s="6">
        <f>HYPERLINK("https://fin.land.naver.com/articles/2652148524", "매물Link")</f>
        <v/>
      </c>
      <c r="M1020" s="6">
        <f>HYPERLINK("https://map.naver.com/p/search/연동면 응암리 121-4", "지도Link")</f>
        <v/>
      </c>
      <c r="N1020" s="6">
        <f>HYPERLINK("http://www.eum.go.kr/web/ar/lu/luLandDet.jsp?pnu=3611032024101210004&amp;isNoScr=script&amp;mode=search", "토지이음")</f>
        <v/>
      </c>
      <c r="O1020" s="3" t="inlineStr">
        <is>
          <t>세종지원</t>
        </is>
      </c>
      <c r="P1020" s="4" t="n">
        <v>1</v>
      </c>
      <c r="Q1020" s="4" t="n">
        <v>1025</v>
      </c>
      <c r="R1020" s="3" t="inlineStr">
        <is>
          <t>지정되지않음</t>
        </is>
      </c>
      <c r="S1020" s="3" t="inlineStr">
        <is>
          <t>단독</t>
        </is>
      </c>
      <c r="T1020" s="3" t="inlineStr">
        <is>
          <t>완경사</t>
        </is>
      </c>
      <c r="U1020" s="3" t="inlineStr">
        <is>
          <t>부정형</t>
        </is>
      </c>
      <c r="V1020" s="3" t="inlineStr">
        <is>
          <t>세로한면(가)</t>
        </is>
      </c>
    </row>
    <row r="1021">
      <c r="A1021" s="3" t="inlineStr">
        <is>
          <t>연동면 응암리 197</t>
        </is>
      </c>
      <c r="B1021" s="3" t="inlineStr">
        <is>
          <t>계획관리지역</t>
        </is>
      </c>
      <c r="C1021" s="3" t="inlineStr">
        <is>
          <t>전</t>
        </is>
      </c>
      <c r="D1021" s="3" t="inlineStr">
        <is>
          <t>전</t>
        </is>
      </c>
      <c r="E1021" s="3" t="inlineStr">
        <is>
          <t>매매</t>
        </is>
      </c>
      <c r="F1021" s="4" t="n">
        <v>23000</v>
      </c>
      <c r="G1021" s="4" t="n">
        <v>634</v>
      </c>
      <c r="H1021" s="4" t="n">
        <v>192</v>
      </c>
      <c r="I1021" s="5" t="n">
        <v>119.8</v>
      </c>
      <c r="J1021" s="5" t="n">
        <v>36.1</v>
      </c>
      <c r="K1021" s="3" t="inlineStr">
        <is>
          <t>마을접한 토지로 지대높아 전원주택으로 안성맞춤</t>
        </is>
      </c>
      <c r="L1021" s="6">
        <f>HYPERLINK("https://fin.land.naver.com/articles/2652067083", "매물Link")</f>
        <v/>
      </c>
      <c r="M1021" s="6">
        <f>HYPERLINK("https://map.naver.com/p/search/연동면 응암리 197", "지도Link")</f>
        <v/>
      </c>
      <c r="N1021" s="6">
        <f>HYPERLINK("http://www.eum.go.kr/web/ar/lu/luLandDet.jsp?pnu=3611032024101970000&amp;isNoScr=script&amp;mode=search", "토지이음")</f>
        <v/>
      </c>
      <c r="O1021" s="3" t="inlineStr">
        <is>
          <t>연동스카이</t>
        </is>
      </c>
      <c r="P1021" s="4" t="n">
        <v>2</v>
      </c>
      <c r="Q1021" s="4" t="n">
        <v>635</v>
      </c>
      <c r="R1021" s="3" t="inlineStr">
        <is>
          <t>지정되지않음</t>
        </is>
      </c>
      <c r="S1021" s="3" t="inlineStr">
        <is>
          <t>전</t>
        </is>
      </c>
      <c r="T1021" s="3" t="inlineStr">
        <is>
          <t>완경사</t>
        </is>
      </c>
      <c r="U1021" s="3" t="inlineStr">
        <is>
          <t>부정형</t>
        </is>
      </c>
      <c r="V1021" s="3" t="inlineStr">
        <is>
          <t>세로한면(가)</t>
        </is>
      </c>
    </row>
    <row r="1022">
      <c r="A1022" s="3" t="inlineStr">
        <is>
          <t>연동면 응암리 199-1</t>
        </is>
      </c>
      <c r="B1022" s="3" t="inlineStr">
        <is>
          <t>계획관리지역</t>
        </is>
      </c>
      <c r="C1022" s="3" t="inlineStr">
        <is>
          <t>대</t>
        </is>
      </c>
      <c r="D1022" s="3" t="inlineStr">
        <is>
          <t>대</t>
        </is>
      </c>
      <c r="E1022" s="3" t="inlineStr">
        <is>
          <t>매매</t>
        </is>
      </c>
      <c r="F1022" s="4" t="n">
        <v>25000</v>
      </c>
      <c r="G1022" s="4" t="n">
        <v>743</v>
      </c>
      <c r="H1022" s="4" t="n">
        <v>225</v>
      </c>
      <c r="I1022" s="5" t="n">
        <v>111.1</v>
      </c>
      <c r="J1022" s="5" t="n">
        <v>57</v>
      </c>
      <c r="K1022" s="3" t="inlineStr">
        <is>
          <t>평지,계획관리,대지,도로접,이웃필지 연접가능</t>
        </is>
      </c>
      <c r="L1022" s="6">
        <f>HYPERLINK("https://fin.land.naver.com/articles/2653652417", "매물Link")</f>
        <v/>
      </c>
      <c r="M1022" s="6">
        <f>HYPERLINK("https://map.naver.com/p/search/연동면 응암리 199-1", "지도Link")</f>
        <v/>
      </c>
      <c r="N1022" s="6">
        <f>HYPERLINK("http://www.eum.go.kr/web/ar/lu/luLandDet.jsp?pnu=3611032024101990001&amp;isNoScr=script&amp;mode=search", "토지이음")</f>
        <v/>
      </c>
      <c r="O1022" s="3" t="inlineStr">
        <is>
          <t>세종초이스</t>
        </is>
      </c>
      <c r="P1022" s="4" t="n">
        <v>1</v>
      </c>
      <c r="Q1022" s="4" t="n">
        <v>743</v>
      </c>
      <c r="R1022" s="3" t="inlineStr">
        <is>
          <t>지정되지않음</t>
        </is>
      </c>
      <c r="S1022" s="3" t="inlineStr">
        <is>
          <t>단독</t>
        </is>
      </c>
      <c r="T1022" s="3" t="inlineStr">
        <is>
          <t>평지</t>
        </is>
      </c>
      <c r="U1022" s="3" t="inlineStr">
        <is>
          <t>부정형</t>
        </is>
      </c>
      <c r="V1022" s="3" t="inlineStr">
        <is>
          <t>세로각지(가)</t>
        </is>
      </c>
    </row>
    <row r="1023">
      <c r="A1023" s="3" t="inlineStr">
        <is>
          <t>연동면 응암리 257-5</t>
        </is>
      </c>
      <c r="B1023" s="3" t="inlineStr">
        <is>
          <t>농림지역</t>
        </is>
      </c>
      <c r="C1023" s="3" t="inlineStr">
        <is>
          <t>답</t>
        </is>
      </c>
      <c r="D1023" s="3" t="inlineStr">
        <is>
          <t>답</t>
        </is>
      </c>
      <c r="E1023" s="3" t="inlineStr">
        <is>
          <t>매매</t>
        </is>
      </c>
      <c r="F1023" s="4" t="n">
        <v>22000</v>
      </c>
      <c r="G1023" s="4" t="n">
        <v>1822</v>
      </c>
      <c r="H1023" s="4" t="n">
        <v>551</v>
      </c>
      <c r="I1023" s="5" t="n">
        <v>39.9</v>
      </c>
      <c r="J1023" s="5" t="n">
        <v>21</v>
      </c>
      <c r="K1023" s="3" t="inlineStr">
        <is>
          <t>nan</t>
        </is>
      </c>
      <c r="L1023" s="6">
        <f>HYPERLINK("https://fin.land.naver.com/articles/2653378678", "매물Link")</f>
        <v/>
      </c>
      <c r="M1023" s="6">
        <f>HYPERLINK("https://map.naver.com/p/search/연동면 응암리 257-5", "지도Link")</f>
        <v/>
      </c>
      <c r="N1023" s="6">
        <f>HYPERLINK("http://www.eum.go.kr/web/ar/lu/luLandDet.jsp?pnu=3611032024102570005&amp;isNoScr=script&amp;mode=search", "토지이음")</f>
        <v/>
      </c>
      <c r="O1023" s="3" t="inlineStr">
        <is>
          <t>세종땅전문</t>
        </is>
      </c>
      <c r="P1023" s="4" t="n">
        <v>1</v>
      </c>
      <c r="Q1023" s="4" t="n">
        <v>1822.2</v>
      </c>
      <c r="R1023" s="3" t="inlineStr">
        <is>
          <t>지정되지않음</t>
        </is>
      </c>
      <c r="S1023" s="3" t="inlineStr">
        <is>
          <t>답</t>
        </is>
      </c>
      <c r="T1023" s="3" t="inlineStr">
        <is>
          <t>평지</t>
        </is>
      </c>
      <c r="U1023" s="3" t="inlineStr">
        <is>
          <t>가로장방</t>
        </is>
      </c>
      <c r="V1023" s="3" t="inlineStr">
        <is>
          <t>세로한면(가)</t>
        </is>
      </c>
    </row>
    <row r="1024">
      <c r="A1024" s="3" t="inlineStr">
        <is>
          <t>연동면 응암리 317</t>
        </is>
      </c>
      <c r="B1024" s="3" t="inlineStr">
        <is>
          <t>계획관리지역</t>
        </is>
      </c>
      <c r="C1024" s="3" t="inlineStr">
        <is>
          <t>전</t>
        </is>
      </c>
      <c r="D1024" s="3" t="inlineStr">
        <is>
          <t>답</t>
        </is>
      </c>
      <c r="E1024" s="3" t="inlineStr">
        <is>
          <t>매매</t>
        </is>
      </c>
      <c r="F1024" s="4" t="n">
        <v>250000</v>
      </c>
      <c r="G1024" s="4" t="n">
        <v>7500</v>
      </c>
      <c r="H1024" s="4" t="n">
        <v>2269</v>
      </c>
      <c r="I1024" s="5" t="n">
        <v>110.2</v>
      </c>
      <c r="J1024" s="5" t="n">
        <v>34.7</v>
      </c>
      <c r="K1024" s="3" t="inlineStr">
        <is>
          <t>주변시세대비 저렴한 토지, 공장, 창고, 기타 환영.</t>
        </is>
      </c>
      <c r="L1024" s="6">
        <f>HYPERLINK("https://fin.land.naver.com/articles/2651776616", "매물Link")</f>
        <v/>
      </c>
      <c r="M1024" s="6">
        <f>HYPERLINK("https://map.naver.com/p/search/연동면 응암리 317", "지도Link")</f>
        <v/>
      </c>
      <c r="N1024" s="6">
        <f>HYPERLINK("http://www.eum.go.kr/web/ar/lu/luLandDet.jsp?pnu=3611032024103170000&amp;isNoScr=script&amp;mode=search", "토지이음")</f>
        <v/>
      </c>
      <c r="O1024" s="3" t="inlineStr">
        <is>
          <t>대박</t>
        </is>
      </c>
      <c r="P1024" s="4" t="n">
        <v>1</v>
      </c>
      <c r="Q1024" s="4" t="n">
        <v>3700</v>
      </c>
      <c r="R1024" s="3" t="inlineStr">
        <is>
          <t>지정되지않음</t>
        </is>
      </c>
      <c r="S1024" s="3" t="inlineStr">
        <is>
          <t>전</t>
        </is>
      </c>
      <c r="T1024" s="3" t="inlineStr">
        <is>
          <t>완경사</t>
        </is>
      </c>
      <c r="U1024" s="3" t="inlineStr">
        <is>
          <t>부정형</t>
        </is>
      </c>
      <c r="V1024" s="3" t="inlineStr">
        <is>
          <t>맹지</t>
        </is>
      </c>
    </row>
    <row r="1025">
      <c r="A1025" s="3" t="inlineStr">
        <is>
          <t>연동면 응암리 317</t>
        </is>
      </c>
      <c r="B1025" s="3" t="inlineStr">
        <is>
          <t>계획관리지역</t>
        </is>
      </c>
      <c r="C1025" s="3" t="inlineStr">
        <is>
          <t>전</t>
        </is>
      </c>
      <c r="D1025" s="3" t="inlineStr">
        <is>
          <t>전</t>
        </is>
      </c>
      <c r="E1025" s="3" t="inlineStr">
        <is>
          <t>매매</t>
        </is>
      </c>
      <c r="F1025" s="4" t="n">
        <v>250000</v>
      </c>
      <c r="G1025" s="4" t="n">
        <v>7500</v>
      </c>
      <c r="H1025" s="4" t="n">
        <v>2269</v>
      </c>
      <c r="I1025" s="5" t="n">
        <v>110.2</v>
      </c>
      <c r="J1025" s="5" t="n">
        <v>34.7</v>
      </c>
      <c r="K1025" s="3" t="inlineStr">
        <is>
          <t>1.2차선 도로에서 바로진입 2.남청주IC 7KM소요시간 10분이내</t>
        </is>
      </c>
      <c r="L1025" s="6">
        <f>HYPERLINK("https://fin.land.naver.com/articles/2650176467", "매물Link")</f>
        <v/>
      </c>
      <c r="M1025" s="6">
        <f>HYPERLINK("https://map.naver.com/p/search/연동면 응암리 317", "지도Link")</f>
        <v/>
      </c>
      <c r="N1025" s="6">
        <f>HYPERLINK("http://www.eum.go.kr/web/ar/lu/luLandDet.jsp?pnu=3611032024103170000&amp;isNoScr=script&amp;mode=search", "토지이음")</f>
        <v/>
      </c>
      <c r="O1025" s="3" t="inlineStr">
        <is>
          <t>연동스카이</t>
        </is>
      </c>
      <c r="P1025" s="4" t="n">
        <v>1</v>
      </c>
      <c r="Q1025" s="4" t="n">
        <v>3700</v>
      </c>
      <c r="R1025" s="3" t="inlineStr">
        <is>
          <t>지정되지않음</t>
        </is>
      </c>
      <c r="S1025" s="3" t="inlineStr">
        <is>
          <t>전</t>
        </is>
      </c>
      <c r="T1025" s="3" t="inlineStr">
        <is>
          <t>완경사</t>
        </is>
      </c>
      <c r="U1025" s="3" t="inlineStr">
        <is>
          <t>부정형</t>
        </is>
      </c>
      <c r="V1025" s="3" t="inlineStr">
        <is>
          <t>맹지</t>
        </is>
      </c>
    </row>
    <row r="1026">
      <c r="A1026" s="3" t="inlineStr">
        <is>
          <t>연동면 응암리 352-1</t>
        </is>
      </c>
      <c r="B1026" s="3" t="inlineStr">
        <is>
          <t>계획관리지역</t>
        </is>
      </c>
      <c r="C1026" s="3" t="inlineStr">
        <is>
          <t>임야</t>
        </is>
      </c>
      <c r="D1026" s="3" t="inlineStr">
        <is>
          <t>임야</t>
        </is>
      </c>
      <c r="E1026" s="3" t="inlineStr">
        <is>
          <t>매매</t>
        </is>
      </c>
      <c r="F1026" s="4" t="n">
        <v>65000</v>
      </c>
      <c r="G1026" s="4" t="n">
        <v>1778</v>
      </c>
      <c r="H1026" s="4" t="n">
        <v>538</v>
      </c>
      <c r="I1026" s="5" t="n">
        <v>120.8</v>
      </c>
      <c r="J1026" s="5" t="n">
        <v>17.2</v>
      </c>
      <c r="K1026" s="3" t="inlineStr">
        <is>
          <t>도로접한 계획관리 지역</t>
        </is>
      </c>
      <c r="L1026" s="6">
        <f>HYPERLINK("https://fin.land.naver.com/articles/2653004802", "매물Link")</f>
        <v/>
      </c>
      <c r="M1026" s="6">
        <f>HYPERLINK("https://map.naver.com/p/search/연동면 응암리 352-1", "지도Link")</f>
        <v/>
      </c>
      <c r="N1026" s="6">
        <f>HYPERLINK("http://www.eum.go.kr/web/ar/lu/luLandDet.jsp?pnu=3611032024103520001&amp;isNoScr=script&amp;mode=search", "토지이음")</f>
        <v/>
      </c>
      <c r="O1026" s="3" t="inlineStr">
        <is>
          <t>OK세종 사무소</t>
        </is>
      </c>
      <c r="P1026" s="4" t="n">
        <v>1</v>
      </c>
      <c r="Q1026" s="4" t="n">
        <v>992</v>
      </c>
      <c r="R1026" s="3" t="inlineStr">
        <is>
          <t>지정되지않음</t>
        </is>
      </c>
      <c r="S1026" s="3" t="inlineStr">
        <is>
          <t>자연림</t>
        </is>
      </c>
      <c r="T1026" s="3" t="inlineStr">
        <is>
          <t>완경사</t>
        </is>
      </c>
      <c r="U1026" s="3" t="inlineStr">
        <is>
          <t>부정형</t>
        </is>
      </c>
      <c r="V1026" s="3" t="inlineStr">
        <is>
          <t>세로한면(가)</t>
        </is>
      </c>
    </row>
    <row r="1027">
      <c r="A1027" s="3" t="inlineStr">
        <is>
          <t>연동면 응암리 47-3</t>
        </is>
      </c>
      <c r="B1027" s="3" t="inlineStr">
        <is>
          <t>계획관리지역</t>
        </is>
      </c>
      <c r="C1027" s="3" t="inlineStr">
        <is>
          <t>답</t>
        </is>
      </c>
      <c r="D1027" s="3" t="inlineStr">
        <is>
          <t>답</t>
        </is>
      </c>
      <c r="E1027" s="3" t="inlineStr">
        <is>
          <t>매매</t>
        </is>
      </c>
      <c r="F1027" s="4" t="n">
        <v>105000</v>
      </c>
      <c r="G1027" s="4" t="n">
        <v>1742</v>
      </c>
      <c r="H1027" s="4" t="n">
        <v>527</v>
      </c>
      <c r="I1027" s="5" t="n">
        <v>199.2</v>
      </c>
      <c r="J1027" s="5" t="n">
        <v>48.7</v>
      </c>
      <c r="K1027" s="3" t="inlineStr">
        <is>
          <t>세종시 연동면 투자가치 좋은 토지</t>
        </is>
      </c>
      <c r="L1027" s="6">
        <f>HYPERLINK("https://fin.land.naver.com/articles/2652703680", "매물Link")</f>
        <v/>
      </c>
      <c r="M1027" s="6">
        <f>HYPERLINK("https://map.naver.com/p/search/연동면 응암리 47-3", "지도Link")</f>
        <v/>
      </c>
      <c r="N1027" s="6">
        <f>HYPERLINK("http://www.eum.go.kr/web/ar/lu/luLandDet.jsp?pnu=3611032024100470003&amp;isNoScr=script&amp;mode=search", "토지이음")</f>
        <v/>
      </c>
      <c r="O1027" s="3" t="inlineStr">
        <is>
          <t>365</t>
        </is>
      </c>
      <c r="P1027" s="4" t="n">
        <v>1</v>
      </c>
      <c r="Q1027" s="4" t="n">
        <v>1742</v>
      </c>
      <c r="R1027" s="3" t="inlineStr">
        <is>
          <t>지정되지않음</t>
        </is>
      </c>
      <c r="S1027" s="3" t="inlineStr">
        <is>
          <t>답</t>
        </is>
      </c>
      <c r="T1027" s="3" t="inlineStr">
        <is>
          <t>완경사</t>
        </is>
      </c>
      <c r="U1027" s="3" t="inlineStr">
        <is>
          <t>부정형</t>
        </is>
      </c>
      <c r="V1027" s="3" t="inlineStr">
        <is>
          <t>소로한면</t>
        </is>
      </c>
    </row>
    <row r="1028">
      <c r="A1028" s="3" t="inlineStr">
        <is>
          <t>연동면 응암리 479-8</t>
        </is>
      </c>
      <c r="B1028" s="3" t="inlineStr">
        <is>
          <t>농림지역</t>
        </is>
      </c>
      <c r="C1028" s="3" t="inlineStr">
        <is>
          <t>답</t>
        </is>
      </c>
      <c r="D1028" s="3" t="inlineStr">
        <is>
          <t>답</t>
        </is>
      </c>
      <c r="E1028" s="3" t="inlineStr">
        <is>
          <t>매매</t>
        </is>
      </c>
      <c r="F1028" s="4" t="n">
        <v>30000</v>
      </c>
      <c r="G1028" s="4" t="n">
        <v>2552</v>
      </c>
      <c r="H1028" s="4" t="n">
        <v>772</v>
      </c>
      <c r="I1028" s="5" t="n">
        <v>38.9</v>
      </c>
      <c r="J1028" s="5" t="n">
        <v>22.9</v>
      </c>
      <c r="K1028" s="3" t="inlineStr">
        <is>
          <t>저렴한 농지 가격 레고 가능</t>
        </is>
      </c>
      <c r="L1028" s="6">
        <f>HYPERLINK("https://fin.land.naver.com/articles/2653378812", "매물Link")</f>
        <v/>
      </c>
      <c r="M1028" s="6">
        <f>HYPERLINK("https://map.naver.com/p/search/연동면 응암리 479-8", "지도Link")</f>
        <v/>
      </c>
      <c r="N1028" s="6">
        <f>HYPERLINK("http://www.eum.go.kr/web/ar/lu/luLandDet.jsp?pnu=3611032024104790008&amp;isNoScr=script&amp;mode=search", "토지이음")</f>
        <v/>
      </c>
      <c r="O1028" s="3" t="inlineStr">
        <is>
          <t>세종땅전문</t>
        </is>
      </c>
      <c r="P1028" s="4" t="n">
        <v>1</v>
      </c>
      <c r="Q1028" s="4" t="n">
        <v>2551.9</v>
      </c>
      <c r="R1028" s="3" t="inlineStr">
        <is>
          <t>지정되지않음</t>
        </is>
      </c>
      <c r="S1028" s="3" t="inlineStr">
        <is>
          <t>답</t>
        </is>
      </c>
      <c r="T1028" s="3" t="inlineStr">
        <is>
          <t>평지</t>
        </is>
      </c>
      <c r="U1028" s="3" t="inlineStr">
        <is>
          <t>세로장방</t>
        </is>
      </c>
      <c r="V1028" s="3" t="inlineStr">
        <is>
          <t>세로한면(가)</t>
        </is>
      </c>
    </row>
    <row r="1029">
      <c r="A1029" s="3" t="inlineStr">
        <is>
          <t>연동면 응암리 481-1</t>
        </is>
      </c>
      <c r="B1029" s="3" t="inlineStr">
        <is>
          <t>농림지역</t>
        </is>
      </c>
      <c r="C1029" s="3" t="inlineStr">
        <is>
          <t>답</t>
        </is>
      </c>
      <c r="D1029" s="3" t="inlineStr">
        <is>
          <t>답</t>
        </is>
      </c>
      <c r="E1029" s="3" t="inlineStr">
        <is>
          <t>매매</t>
        </is>
      </c>
      <c r="F1029" s="4" t="n">
        <v>56800</v>
      </c>
      <c r="G1029" s="4" t="n">
        <v>2350</v>
      </c>
      <c r="H1029" s="4" t="n">
        <v>711</v>
      </c>
      <c r="I1029" s="5" t="n">
        <v>79.90000000000001</v>
      </c>
      <c r="J1029" s="5" t="n">
        <v>22.4</v>
      </c>
      <c r="K1029" s="3" t="inlineStr">
        <is>
          <t>세종 연동면 응암리 대형 농지 매매</t>
        </is>
      </c>
      <c r="L1029" s="6">
        <f>HYPERLINK("https://fin.land.naver.com/articles/2652344225", "매물Link")</f>
        <v/>
      </c>
      <c r="M1029" s="6">
        <f>HYPERLINK("https://map.naver.com/p/search/연동면 응암리 481-1", "지도Link")</f>
        <v/>
      </c>
      <c r="N1029" s="6">
        <f>HYPERLINK("http://www.eum.go.kr/web/ar/lu/luLandDet.jsp?pnu=3611032024104810001&amp;isNoScr=script&amp;mode=search", "토지이음")</f>
        <v/>
      </c>
      <c r="O1029" s="3" t="inlineStr">
        <is>
          <t>세종몽땅</t>
        </is>
      </c>
      <c r="P1029" s="4" t="n">
        <v>1</v>
      </c>
      <c r="Q1029" s="4" t="n">
        <v>2350.7</v>
      </c>
      <c r="R1029" s="3" t="inlineStr">
        <is>
          <t>지정되지않음</t>
        </is>
      </c>
      <c r="S1029" s="3" t="inlineStr">
        <is>
          <t>답</t>
        </is>
      </c>
      <c r="T1029" s="3" t="inlineStr">
        <is>
          <t>평지</t>
        </is>
      </c>
      <c r="U1029" s="3" t="inlineStr">
        <is>
          <t>세로장방</t>
        </is>
      </c>
      <c r="V1029" s="3" t="inlineStr">
        <is>
          <t>세로한면(가)</t>
        </is>
      </c>
    </row>
    <row r="1030">
      <c r="A1030" s="3" t="inlineStr">
        <is>
          <t>연동면 응암리 555-1</t>
        </is>
      </c>
      <c r="B1030" s="3" t="inlineStr">
        <is>
          <t>계획관리지역</t>
        </is>
      </c>
      <c r="C1030" s="3" t="inlineStr">
        <is>
          <t>전</t>
        </is>
      </c>
      <c r="D1030" s="3" t="inlineStr">
        <is>
          <t>전</t>
        </is>
      </c>
      <c r="E1030" s="3" t="inlineStr">
        <is>
          <t>매매</t>
        </is>
      </c>
      <c r="F1030" s="4" t="n">
        <v>120000</v>
      </c>
      <c r="G1030" s="4" t="n">
        <v>2863</v>
      </c>
      <c r="H1030" s="4" t="n">
        <v>866</v>
      </c>
      <c r="I1030" s="5" t="n">
        <v>138.6</v>
      </c>
      <c r="J1030" s="5" t="n">
        <v>55.4</v>
      </c>
      <c r="K1030" s="3" t="inlineStr">
        <is>
          <t>계획관리.도로접,투자용,물류교통최상,세종5생활권근접,남청주ic인접</t>
        </is>
      </c>
      <c r="L1030" s="6">
        <f>HYPERLINK("https://fin.land.naver.com/articles/2652162730", "매물Link")</f>
        <v/>
      </c>
      <c r="M1030" s="6">
        <f>HYPERLINK("https://map.naver.com/p/search/연동면 응암리 555-1", "지도Link")</f>
        <v/>
      </c>
      <c r="N1030" s="6">
        <f>HYPERLINK("http://www.eum.go.kr/web/ar/lu/luLandDet.jsp?pnu=3611032024105550001&amp;isNoScr=script&amp;mode=search", "토지이음")</f>
        <v/>
      </c>
      <c r="O1030" s="3" t="inlineStr">
        <is>
          <t>옥산제일사무소</t>
        </is>
      </c>
      <c r="P1030" s="4" t="n">
        <v>1</v>
      </c>
      <c r="Q1030" s="4" t="n">
        <v>2863</v>
      </c>
      <c r="R1030" s="3" t="inlineStr">
        <is>
          <t>지정되지않음</t>
        </is>
      </c>
      <c r="S1030" s="3" t="inlineStr">
        <is>
          <t>전</t>
        </is>
      </c>
      <c r="T1030" s="3" t="inlineStr">
        <is>
          <t>완경사</t>
        </is>
      </c>
      <c r="U1030" s="3" t="inlineStr">
        <is>
          <t>부정형</t>
        </is>
      </c>
      <c r="V1030" s="3" t="inlineStr">
        <is>
          <t>소로한면</t>
        </is>
      </c>
    </row>
    <row r="1031">
      <c r="A1031" s="3" t="inlineStr">
        <is>
          <t>연동면 응암리 584-13</t>
        </is>
      </c>
      <c r="B1031" s="3" t="inlineStr">
        <is>
          <t>계획관리지역</t>
        </is>
      </c>
      <c r="C1031" s="3" t="inlineStr">
        <is>
          <t>대</t>
        </is>
      </c>
      <c r="D1031" s="3" t="inlineStr">
        <is>
          <t>대</t>
        </is>
      </c>
      <c r="E1031" s="3" t="inlineStr">
        <is>
          <t>매매</t>
        </is>
      </c>
      <c r="F1031" s="4" t="n">
        <v>100000</v>
      </c>
      <c r="G1031" s="4" t="n">
        <v>1429</v>
      </c>
      <c r="H1031" s="4" t="n">
        <v>432</v>
      </c>
      <c r="I1031" s="5" t="n">
        <v>231.5</v>
      </c>
      <c r="J1031" s="5" t="n">
        <v>103.4</v>
      </c>
      <c r="K1031" s="3" t="inlineStr">
        <is>
          <t>2차선도로접  명학산업단지 5생활권 남청주ic 인근</t>
        </is>
      </c>
      <c r="L1031" s="6">
        <f>HYPERLINK("https://fin.land.naver.com/articles/2650660360", "매물Link")</f>
        <v/>
      </c>
      <c r="M1031" s="6">
        <f>HYPERLINK("https://map.naver.com/p/search/연동면 응암리 584-13", "지도Link")</f>
        <v/>
      </c>
      <c r="N1031" s="6">
        <f>HYPERLINK("http://www.eum.go.kr/web/ar/lu/luLandDet.jsp?pnu=3611032024105840013&amp;isNoScr=script&amp;mode=search", "토지이음")</f>
        <v/>
      </c>
      <c r="O1031" s="3" t="inlineStr">
        <is>
          <t>세종로또</t>
        </is>
      </c>
      <c r="P1031" s="4" t="n">
        <v>1</v>
      </c>
      <c r="Q1031" s="4" t="n">
        <v>766</v>
      </c>
      <c r="R1031" s="3" t="inlineStr">
        <is>
          <t>지정되지않음</t>
        </is>
      </c>
      <c r="S1031" s="3" t="inlineStr">
        <is>
          <t>주거기타</t>
        </is>
      </c>
      <c r="T1031" s="3" t="inlineStr">
        <is>
          <t>평지</t>
        </is>
      </c>
      <c r="U1031" s="3" t="inlineStr">
        <is>
          <t>사다리형</t>
        </is>
      </c>
      <c r="V1031" s="3" t="inlineStr">
        <is>
          <t>소로한면</t>
        </is>
      </c>
    </row>
    <row r="1032">
      <c r="A1032" s="3" t="inlineStr">
        <is>
          <t>연동면 응암리 584-13</t>
        </is>
      </c>
      <c r="B1032" s="3" t="inlineStr">
        <is>
          <t>계획관리지역</t>
        </is>
      </c>
      <c r="C1032" s="3" t="inlineStr">
        <is>
          <t>대</t>
        </is>
      </c>
      <c r="D1032" s="3" t="inlineStr">
        <is>
          <t>대</t>
        </is>
      </c>
      <c r="E1032" s="3" t="inlineStr">
        <is>
          <t>매매</t>
        </is>
      </c>
      <c r="F1032" s="4" t="n">
        <v>105000</v>
      </c>
      <c r="G1032" s="4" t="n">
        <v>1429</v>
      </c>
      <c r="H1032" s="4" t="n">
        <v>432</v>
      </c>
      <c r="I1032" s="5" t="n">
        <v>243.1</v>
      </c>
      <c r="J1032" s="5" t="n">
        <v>103.4</v>
      </c>
      <c r="K1032" s="3" t="inlineStr">
        <is>
          <t>2차선 도로접한,대,평지로 땅모양 좋아요,5생활권 및 명학 산업단지 근접</t>
        </is>
      </c>
      <c r="L1032" s="6">
        <f>HYPERLINK("https://fin.land.naver.com/articles/2652213741", "매물Link")</f>
        <v/>
      </c>
      <c r="M1032" s="6">
        <f>HYPERLINK("https://map.naver.com/p/search/연동면 응암리 584-13", "지도Link")</f>
        <v/>
      </c>
      <c r="N1032" s="6">
        <f>HYPERLINK("http://www.eum.go.kr/web/ar/lu/luLandDet.jsp?pnu=3611032024105840013&amp;isNoScr=script&amp;mode=search", "토지이음")</f>
        <v/>
      </c>
      <c r="O1032" s="3" t="inlineStr">
        <is>
          <t>해밀탑</t>
        </is>
      </c>
      <c r="P1032" s="4" t="n">
        <v>2</v>
      </c>
      <c r="Q1032" s="4" t="n">
        <v>766</v>
      </c>
      <c r="R1032" s="3" t="inlineStr">
        <is>
          <t>지정되지않음</t>
        </is>
      </c>
      <c r="S1032" s="3" t="inlineStr">
        <is>
          <t>주거기타</t>
        </is>
      </c>
      <c r="T1032" s="3" t="inlineStr">
        <is>
          <t>평지</t>
        </is>
      </c>
      <c r="U1032" s="3" t="inlineStr">
        <is>
          <t>사다리형</t>
        </is>
      </c>
      <c r="V1032" s="3" t="inlineStr">
        <is>
          <t>소로한면</t>
        </is>
      </c>
    </row>
    <row r="1033">
      <c r="A1033" s="3" t="inlineStr">
        <is>
          <t>연동면 응암리 602-3</t>
        </is>
      </c>
      <c r="B1033" s="3" t="inlineStr">
        <is>
          <t>계획관리지역</t>
        </is>
      </c>
      <c r="C1033" s="3" t="inlineStr">
        <is>
          <t>대</t>
        </is>
      </c>
      <c r="D1033" s="3" t="inlineStr">
        <is>
          <t>대</t>
        </is>
      </c>
      <c r="E1033" s="3" t="inlineStr">
        <is>
          <t>매매</t>
        </is>
      </c>
      <c r="F1033" s="4" t="n">
        <v>27000</v>
      </c>
      <c r="G1033" s="4" t="n">
        <v>452</v>
      </c>
      <c r="H1033" s="4" t="n">
        <v>137</v>
      </c>
      <c r="I1033" s="5" t="n">
        <v>197.1</v>
      </c>
      <c r="J1033" s="5" t="n">
        <v>89.90000000000001</v>
      </c>
      <c r="K1033" s="3" t="inlineStr">
        <is>
          <t>nan</t>
        </is>
      </c>
      <c r="L1033" s="6">
        <f>HYPERLINK("https://fin.land.naver.com/articles/2651560789", "매물Link")</f>
        <v/>
      </c>
      <c r="M1033" s="6">
        <f>HYPERLINK("https://map.naver.com/p/search/연동면 응암리 602-3", "지도Link")</f>
        <v/>
      </c>
      <c r="N1033" s="6">
        <f>HYPERLINK("http://www.eum.go.kr/web/ar/lu/luLandDet.jsp?pnu=3611032024106020003&amp;isNoScr=script&amp;mode=search", "토지이음")</f>
        <v/>
      </c>
      <c r="O1033" s="3" t="inlineStr">
        <is>
          <t>부엉이</t>
        </is>
      </c>
      <c r="P1033" s="4" t="n">
        <v>1</v>
      </c>
      <c r="Q1033" s="4" t="n">
        <v>188</v>
      </c>
      <c r="R1033" s="3" t="inlineStr">
        <is>
          <t>지정되지않음</t>
        </is>
      </c>
      <c r="S1033" s="3" t="inlineStr">
        <is>
          <t>단독</t>
        </is>
      </c>
      <c r="T1033" s="3" t="inlineStr">
        <is>
          <t>평지</t>
        </is>
      </c>
      <c r="U1033" s="3" t="inlineStr">
        <is>
          <t>세로장방</t>
        </is>
      </c>
      <c r="V1033" s="3" t="inlineStr">
        <is>
          <t>세로한면(가)</t>
        </is>
      </c>
    </row>
    <row r="1034">
      <c r="A1034" s="3" t="inlineStr">
        <is>
          <t>연동면 응암리 694</t>
        </is>
      </c>
      <c r="B1034" s="3" t="inlineStr">
        <is>
          <t>계획관리지역</t>
        </is>
      </c>
      <c r="C1034" s="3" t="inlineStr">
        <is>
          <t>답</t>
        </is>
      </c>
      <c r="D1034" s="3" t="inlineStr">
        <is>
          <t>답</t>
        </is>
      </c>
      <c r="E1034" s="3" t="inlineStr">
        <is>
          <t>매매</t>
        </is>
      </c>
      <c r="F1034" s="4" t="n">
        <v>32000</v>
      </c>
      <c r="G1034" s="4" t="n">
        <v>1769</v>
      </c>
      <c r="H1034" s="4" t="n">
        <v>535</v>
      </c>
      <c r="I1034" s="5" t="n">
        <v>59.8</v>
      </c>
      <c r="J1034" s="5" t="n">
        <v>36.4</v>
      </c>
      <c r="K1034" s="3" t="inlineStr">
        <is>
          <t>연동면 응암리 계획관리지역</t>
        </is>
      </c>
      <c r="L1034" s="6">
        <f>HYPERLINK("https://fin.land.naver.com/articles/2649787914", "매물Link")</f>
        <v/>
      </c>
      <c r="M1034" s="6">
        <f>HYPERLINK("https://map.naver.com/p/search/연동면 응암리 694", "지도Link")</f>
        <v/>
      </c>
      <c r="N1034" s="6">
        <f>HYPERLINK("http://www.eum.go.kr/web/ar/lu/luLandDet.jsp?pnu=3611032024106940000&amp;isNoScr=script&amp;mode=search", "토지이음")</f>
        <v/>
      </c>
      <c r="O1034" s="3" t="inlineStr">
        <is>
          <t>KB세종</t>
        </is>
      </c>
      <c r="P1034" s="4" t="n">
        <v>1</v>
      </c>
      <c r="Q1034" s="4" t="n">
        <v>1769</v>
      </c>
      <c r="R1034" s="3" t="inlineStr">
        <is>
          <t>지정되지않음</t>
        </is>
      </c>
      <c r="S1034" s="3" t="inlineStr">
        <is>
          <t>답</t>
        </is>
      </c>
      <c r="T1034" s="3" t="inlineStr">
        <is>
          <t>완경사</t>
        </is>
      </c>
      <c r="U1034" s="3" t="inlineStr">
        <is>
          <t>부정형</t>
        </is>
      </c>
      <c r="V1034" s="3" t="inlineStr">
        <is>
          <t>세로한면(불)</t>
        </is>
      </c>
    </row>
    <row r="1035">
      <c r="A1035" s="3" t="inlineStr">
        <is>
          <t>연동면 응암리 738-8</t>
        </is>
      </c>
      <c r="B1035" s="3" t="inlineStr">
        <is>
          <t>계획관리지역</t>
        </is>
      </c>
      <c r="C1035" s="3" t="inlineStr">
        <is>
          <t>주유소용지</t>
        </is>
      </c>
      <c r="D1035" s="3" t="inlineStr">
        <is>
          <t>주유소용지</t>
        </is>
      </c>
      <c r="E1035" s="3" t="inlineStr">
        <is>
          <t>매매</t>
        </is>
      </c>
      <c r="F1035" s="4" t="n">
        <v>370000</v>
      </c>
      <c r="G1035" s="4" t="n">
        <v>1420</v>
      </c>
      <c r="H1035" s="4" t="n">
        <v>430</v>
      </c>
      <c r="I1035" s="5" t="n">
        <v>860.5</v>
      </c>
      <c r="J1035" s="5" t="n">
        <v>160</v>
      </c>
      <c r="K1035" s="3" t="inlineStr">
        <is>
          <t>행정중심복합도시 진입 방향 건축가능한 나대지</t>
        </is>
      </c>
      <c r="L1035" s="6">
        <f>HYPERLINK("https://fin.land.naver.com/articles/2653529947", "매물Link")</f>
        <v/>
      </c>
      <c r="M1035" s="6">
        <f>HYPERLINK("https://map.naver.com/p/search/연동면 응암리 738-8", "지도Link")</f>
        <v/>
      </c>
      <c r="N1035" s="6">
        <f>HYPERLINK("http://www.eum.go.kr/web/ar/lu/luLandDet.jsp?pnu=3611032024107380008&amp;isNoScr=script&amp;mode=search", "토지이음")</f>
        <v/>
      </c>
      <c r="O1035" s="3" t="inlineStr">
        <is>
          <t>남산제일</t>
        </is>
      </c>
      <c r="P1035" s="4" t="n">
        <v>1</v>
      </c>
      <c r="Q1035" s="4" t="n">
        <v>1420</v>
      </c>
      <c r="R1035" s="3" t="inlineStr">
        <is>
          <t>지정되지않음</t>
        </is>
      </c>
      <c r="S1035" s="3" t="inlineStr">
        <is>
          <t>상업용</t>
        </is>
      </c>
      <c r="T1035" s="3" t="inlineStr">
        <is>
          <t>평지</t>
        </is>
      </c>
      <c r="U1035" s="3" t="inlineStr">
        <is>
          <t>부정형</t>
        </is>
      </c>
      <c r="V1035" s="3" t="inlineStr">
        <is>
          <t>소로한면</t>
        </is>
      </c>
    </row>
    <row r="1036">
      <c r="A1036" s="3" t="inlineStr">
        <is>
          <t>연동면 응암리 749-2</t>
        </is>
      </c>
      <c r="B1036" s="3" t="inlineStr">
        <is>
          <t>계획관리지역</t>
        </is>
      </c>
      <c r="C1036" s="3" t="inlineStr">
        <is>
          <t>전</t>
        </is>
      </c>
      <c r="D1036" s="3" t="inlineStr">
        <is>
          <t>전</t>
        </is>
      </c>
      <c r="E1036" s="3" t="inlineStr">
        <is>
          <t>매매</t>
        </is>
      </c>
      <c r="F1036" s="4" t="n">
        <v>147000</v>
      </c>
      <c r="G1036" s="4" t="n">
        <v>972</v>
      </c>
      <c r="H1036" s="4" t="n">
        <v>294</v>
      </c>
      <c r="I1036" s="5" t="n">
        <v>500</v>
      </c>
      <c r="J1036" s="5" t="n">
        <v>76.2</v>
      </c>
      <c r="K1036" s="3" t="inlineStr">
        <is>
          <t>2차선접,땅모양 굿</t>
        </is>
      </c>
      <c r="L1036" s="6">
        <f>HYPERLINK("https://fin.land.naver.com/articles/2649526799", "매물Link")</f>
        <v/>
      </c>
      <c r="M1036" s="6">
        <f>HYPERLINK("https://map.naver.com/p/search/연동면 응암리 749-2", "지도Link")</f>
        <v/>
      </c>
      <c r="N1036" s="6">
        <f>HYPERLINK("http://www.eum.go.kr/web/ar/lu/luLandDet.jsp?pnu=3611032024107490002&amp;isNoScr=script&amp;mode=search", "토지이음")</f>
        <v/>
      </c>
      <c r="O1036" s="3" t="inlineStr">
        <is>
          <t>힐스테이트행복</t>
        </is>
      </c>
      <c r="P1036" s="4" t="n">
        <v>1</v>
      </c>
      <c r="Q1036" s="4" t="n">
        <v>972</v>
      </c>
      <c r="R1036" s="3" t="inlineStr">
        <is>
          <t>지정되지않음</t>
        </is>
      </c>
      <c r="S1036" s="3" t="inlineStr">
        <is>
          <t>과수원</t>
        </is>
      </c>
      <c r="T1036" s="3" t="inlineStr">
        <is>
          <t>평지</t>
        </is>
      </c>
      <c r="U1036" s="3" t="inlineStr">
        <is>
          <t>사다리형</t>
        </is>
      </c>
      <c r="V1036" s="3" t="inlineStr">
        <is>
          <t>소로한면</t>
        </is>
      </c>
    </row>
    <row r="1037">
      <c r="A1037" s="3" t="inlineStr">
        <is>
          <t>연동면 응암리 752-2</t>
        </is>
      </c>
      <c r="B1037" s="3" t="inlineStr">
        <is>
          <t>계획관리지역</t>
        </is>
      </c>
      <c r="C1037" s="3" t="inlineStr">
        <is>
          <t>잡종지</t>
        </is>
      </c>
      <c r="D1037" s="3" t="inlineStr">
        <is>
          <t>잡종지</t>
        </is>
      </c>
      <c r="E1037" s="3" t="inlineStr">
        <is>
          <t>매매</t>
        </is>
      </c>
      <c r="F1037" s="4" t="n">
        <v>300000</v>
      </c>
      <c r="G1037" s="4" t="n">
        <v>2428</v>
      </c>
      <c r="H1037" s="4" t="n">
        <v>734</v>
      </c>
      <c r="I1037" s="5" t="n">
        <v>408.7</v>
      </c>
      <c r="J1037" s="5" t="n">
        <v>133</v>
      </c>
      <c r="K1037" s="3" t="inlineStr">
        <is>
          <t>2차선도로변, 5생활권주변, 카센터,타이어,물류,상가 등 추천</t>
        </is>
      </c>
      <c r="L1037" s="6">
        <f>HYPERLINK("https://fin.land.naver.com/articles/2649691502", "매물Link")</f>
        <v/>
      </c>
      <c r="M1037" s="6">
        <f>HYPERLINK("https://map.naver.com/p/search/연동면 응암리 752-2", "지도Link")</f>
        <v/>
      </c>
      <c r="N1037" s="6">
        <f>HYPERLINK("http://www.eum.go.kr/web/ar/lu/luLandDet.jsp?pnu=3611032024107520002&amp;isNoScr=script&amp;mode=search", "토지이음")</f>
        <v/>
      </c>
      <c r="O1037" s="3" t="inlineStr">
        <is>
          <t>세종큰길</t>
        </is>
      </c>
      <c r="P1037" s="4" t="n">
        <v>1</v>
      </c>
      <c r="Q1037" s="4" t="n">
        <v>628</v>
      </c>
      <c r="R1037" s="3" t="inlineStr">
        <is>
          <t>지정되지않음</t>
        </is>
      </c>
      <c r="S1037" s="3" t="inlineStr">
        <is>
          <t>주상용</t>
        </is>
      </c>
      <c r="T1037" s="3" t="inlineStr">
        <is>
          <t>평지</t>
        </is>
      </c>
      <c r="U1037" s="3" t="inlineStr">
        <is>
          <t>부정형</t>
        </is>
      </c>
      <c r="V1037" s="3" t="inlineStr">
        <is>
          <t>소로한면</t>
        </is>
      </c>
    </row>
    <row r="1038">
      <c r="A1038" s="3" t="inlineStr">
        <is>
          <t>연동면 응암리 산 28-9</t>
        </is>
      </c>
      <c r="B1038" s="3" t="inlineStr">
        <is>
          <t>계획관리지역</t>
        </is>
      </c>
      <c r="C1038" s="3" t="inlineStr">
        <is>
          <t>임야</t>
        </is>
      </c>
      <c r="D1038" s="3" t="inlineStr">
        <is>
          <t>임야</t>
        </is>
      </c>
      <c r="E1038" s="3" t="inlineStr">
        <is>
          <t>월세</t>
        </is>
      </c>
      <c r="F1038" s="4" t="n">
        <v>3000</v>
      </c>
      <c r="G1038" s="4" t="n">
        <v>8487</v>
      </c>
      <c r="H1038" s="4" t="n">
        <v>2567</v>
      </c>
      <c r="I1038" s="5" t="n">
        <v>0.4</v>
      </c>
      <c r="J1038" s="5" t="n">
        <v>16.9</v>
      </c>
      <c r="K1038" s="3" t="inlineStr">
        <is>
          <t>2차선도로 대형차량도 바로진입, 야적장 및 차고지등 추천</t>
        </is>
      </c>
      <c r="L1038" s="6">
        <f>HYPERLINK("https://fin.land.naver.com/articles/2652120642", "매물Link")</f>
        <v/>
      </c>
      <c r="M1038" s="6">
        <f>HYPERLINK("https://map.naver.com/p/search/연동면 응암리 산 28-9", "지도Link")</f>
        <v/>
      </c>
      <c r="N1038" s="6">
        <f>HYPERLINK("http://www.eum.go.kr/web/ar/lu/luLandDet.jsp?pnu=3611032024200280009&amp;isNoScr=script&amp;mode=search", "토지이음")</f>
        <v/>
      </c>
      <c r="O1038" s="3" t="inlineStr">
        <is>
          <t>연동스카이</t>
        </is>
      </c>
      <c r="P1038" s="4" t="n">
        <v>1</v>
      </c>
      <c r="Q1038" s="4" t="n">
        <v>8487</v>
      </c>
      <c r="R1038" s="3" t="inlineStr">
        <is>
          <t>지정되지않음</t>
        </is>
      </c>
      <c r="S1038" s="3" t="inlineStr">
        <is>
          <t>자연림</t>
        </is>
      </c>
      <c r="T1038" s="3" t="inlineStr">
        <is>
          <t>완경사</t>
        </is>
      </c>
      <c r="U1038" s="3" t="inlineStr">
        <is>
          <t>부정형</t>
        </is>
      </c>
      <c r="V1038" s="3" t="inlineStr">
        <is>
          <t>소로한면</t>
        </is>
      </c>
    </row>
    <row r="1039">
      <c r="A1039" s="3" t="inlineStr">
        <is>
          <t>연동면 응암리 산42-6</t>
        </is>
      </c>
      <c r="B1039" s="3" t="inlineStr">
        <is>
          <t>계획관리지역</t>
        </is>
      </c>
      <c r="C1039" s="3" t="inlineStr">
        <is>
          <t>임야</t>
        </is>
      </c>
      <c r="D1039" s="3" t="inlineStr">
        <is>
          <t>임야</t>
        </is>
      </c>
      <c r="E1039" s="3" t="inlineStr">
        <is>
          <t>매매</t>
        </is>
      </c>
      <c r="F1039" s="4" t="n">
        <v>220000</v>
      </c>
      <c r="G1039" s="4" t="n">
        <v>5620</v>
      </c>
      <c r="H1039" s="4" t="n">
        <v>1700</v>
      </c>
      <c r="I1039" s="5" t="n">
        <v>129.4</v>
      </c>
      <c r="J1039" s="5" t="n">
        <v>13.1</v>
      </c>
      <c r="K1039" s="3" t="inlineStr">
        <is>
          <t>계획관리지역.4미터포장진입도로있음.물류창고용도활용가능.준보전산지.종중임야</t>
        </is>
      </c>
      <c r="L1039" s="6">
        <f>HYPERLINK("https://fin.land.naver.com/articles/2650950524", "매물Link")</f>
        <v/>
      </c>
      <c r="M1039" s="6">
        <f>HYPERLINK("https://map.naver.com/p/search/연동면 응암리 산42-6", "지도Link")</f>
        <v/>
      </c>
      <c r="N1039" s="6">
        <f>HYPERLINK("http://www.eum.go.kr/web/ar/lu/luLandDet.jsp?pnu=3611032024200420006&amp;isNoScr=script&amp;mode=search", "토지이음")</f>
        <v/>
      </c>
      <c r="O1039" s="3" t="inlineStr">
        <is>
          <t>돈방석</t>
        </is>
      </c>
      <c r="P1039" s="4" t="n">
        <v>1</v>
      </c>
      <c r="Q1039" s="4" t="n">
        <v>5620</v>
      </c>
      <c r="R1039" s="3" t="inlineStr">
        <is>
          <t>지정되지않음</t>
        </is>
      </c>
      <c r="S1039" s="3" t="inlineStr">
        <is>
          <t>자연림</t>
        </is>
      </c>
      <c r="T1039" s="3" t="inlineStr">
        <is>
          <t>완경사</t>
        </is>
      </c>
      <c r="U1039" s="3" t="inlineStr">
        <is>
          <t>부정형</t>
        </is>
      </c>
      <c r="V1039" s="3" t="inlineStr">
        <is>
          <t>세로한면(불)</t>
        </is>
      </c>
    </row>
    <row r="1040">
      <c r="A1040" s="3" t="inlineStr">
        <is>
          <t>연동면 합강리 485-10</t>
        </is>
      </c>
      <c r="B1040" s="3" t="inlineStr">
        <is>
          <t>보전관리지역</t>
        </is>
      </c>
      <c r="C1040" s="3" t="inlineStr">
        <is>
          <t>전</t>
        </is>
      </c>
      <c r="D1040" s="3" t="inlineStr">
        <is>
          <t>전</t>
        </is>
      </c>
      <c r="E1040" s="3" t="inlineStr">
        <is>
          <t>매매</t>
        </is>
      </c>
      <c r="F1040" s="4" t="n">
        <v>70000</v>
      </c>
      <c r="G1040" s="4" t="n">
        <v>655</v>
      </c>
      <c r="H1040" s="4" t="n">
        <v>198</v>
      </c>
      <c r="I1040" s="5" t="n">
        <v>353.5</v>
      </c>
      <c r="J1040" s="5" t="n">
        <v>165</v>
      </c>
      <c r="K1040" s="3" t="inlineStr">
        <is>
          <t>강이 보이는 남향의 최고의 전원주택 부지 급 매매</t>
        </is>
      </c>
      <c r="L1040" s="6">
        <f>HYPERLINK("https://fin.land.naver.com/articles/2650228949", "매물Link")</f>
        <v/>
      </c>
      <c r="M1040" s="6">
        <f>HYPERLINK("https://map.naver.com/p/search/연동면 합강리 485-10", "지도Link")</f>
        <v/>
      </c>
      <c r="N1040" s="6">
        <f>HYPERLINK("http://www.eum.go.kr/web/ar/lu/luLandDet.jsp?pnu=3611032028104850010&amp;isNoScr=script&amp;mode=search", "토지이음")</f>
        <v/>
      </c>
      <c r="O1040" s="3" t="inlineStr">
        <is>
          <t>대전토지로무소</t>
        </is>
      </c>
      <c r="P1040" s="4" t="n">
        <v>1</v>
      </c>
      <c r="Q1040" s="4" t="n">
        <v>414</v>
      </c>
      <c r="R1040" s="3" t="inlineStr">
        <is>
          <t>지정되지않음</t>
        </is>
      </c>
      <c r="S1040" s="3" t="inlineStr">
        <is>
          <t>주거나지</t>
        </is>
      </c>
      <c r="T1040" s="3" t="inlineStr">
        <is>
          <t>완경사</t>
        </is>
      </c>
      <c r="U1040" s="3" t="inlineStr">
        <is>
          <t>사다리형</t>
        </is>
      </c>
      <c r="V1040" s="3" t="inlineStr">
        <is>
          <t>세로한면(가)</t>
        </is>
      </c>
    </row>
    <row r="1041">
      <c r="A1041" s="3" t="inlineStr">
        <is>
          <t>연동면 합강리 485-10</t>
        </is>
      </c>
      <c r="B1041" s="3" t="inlineStr">
        <is>
          <t>보전관리지역</t>
        </is>
      </c>
      <c r="C1041" s="3" t="inlineStr">
        <is>
          <t>전</t>
        </is>
      </c>
      <c r="D1041" s="3" t="inlineStr">
        <is>
          <t>전</t>
        </is>
      </c>
      <c r="E1041" s="3" t="inlineStr">
        <is>
          <t>매매</t>
        </is>
      </c>
      <c r="F1041" s="4" t="n">
        <v>70000</v>
      </c>
      <c r="G1041" s="4" t="n">
        <v>655</v>
      </c>
      <c r="H1041" s="4" t="n">
        <v>198</v>
      </c>
      <c r="I1041" s="5" t="n">
        <v>353.5</v>
      </c>
      <c r="J1041" s="5" t="n">
        <v>165</v>
      </c>
      <c r="K1041" s="3" t="inlineStr">
        <is>
          <t>조율가능 남향 금강조망 전원주택지 급매</t>
        </is>
      </c>
      <c r="L1041" s="6">
        <f>HYPERLINK("https://fin.land.naver.com/articles/2654330711", "매물Link")</f>
        <v/>
      </c>
      <c r="M1041" s="6">
        <f>HYPERLINK("https://map.naver.com/p/search/연동면 합강리 485-10", "지도Link")</f>
        <v/>
      </c>
      <c r="N1041" s="6">
        <f>HYPERLINK("http://www.eum.go.kr/web/ar/lu/luLandDet.jsp?pnu=3611032028104850010&amp;isNoScr=script&amp;mode=search", "토지이음")</f>
        <v/>
      </c>
      <c r="O1041" s="3" t="inlineStr">
        <is>
          <t>세종스타</t>
        </is>
      </c>
      <c r="P1041" s="4" t="n">
        <v>1</v>
      </c>
      <c r="Q1041" s="4" t="n">
        <v>414</v>
      </c>
      <c r="R1041" s="3" t="inlineStr">
        <is>
          <t>지정되지않음</t>
        </is>
      </c>
      <c r="S1041" s="3" t="inlineStr">
        <is>
          <t>주거나지</t>
        </is>
      </c>
      <c r="T1041" s="3" t="inlineStr">
        <is>
          <t>완경사</t>
        </is>
      </c>
      <c r="U1041" s="3" t="inlineStr">
        <is>
          <t>사다리형</t>
        </is>
      </c>
      <c r="V1041" s="3" t="inlineStr">
        <is>
          <t>세로한면(가)</t>
        </is>
      </c>
    </row>
    <row r="1042">
      <c r="A1042" s="3" t="inlineStr">
        <is>
          <t>연동면 합강리 486-41</t>
        </is>
      </c>
      <c r="B1042" s="3" t="inlineStr">
        <is>
          <t>농림지역</t>
        </is>
      </c>
      <c r="C1042" s="3" t="inlineStr">
        <is>
          <t>임야</t>
        </is>
      </c>
      <c r="D1042" s="3" t="inlineStr">
        <is>
          <t>임야</t>
        </is>
      </c>
      <c r="E1042" s="3" t="inlineStr">
        <is>
          <t>매매</t>
        </is>
      </c>
      <c r="F1042" s="4" t="n">
        <v>73000</v>
      </c>
      <c r="G1042" s="4" t="n">
        <v>12036</v>
      </c>
      <c r="H1042" s="4" t="n">
        <v>3641</v>
      </c>
      <c r="I1042" s="5" t="n">
        <v>20</v>
      </c>
      <c r="J1042" s="5" t="n">
        <v>6</v>
      </c>
      <c r="K1042" s="3" t="inlineStr">
        <is>
          <t>nan</t>
        </is>
      </c>
      <c r="L1042" s="6">
        <f>HYPERLINK("https://fin.land.naver.com/articles/2650048011", "매물Link")</f>
        <v/>
      </c>
      <c r="M1042" s="6">
        <f>HYPERLINK("https://map.naver.com/p/search/연동면 합강리 486-41", "지도Link")</f>
        <v/>
      </c>
      <c r="N1042" s="6">
        <f>HYPERLINK("http://www.eum.go.kr/web/ar/lu/luLandDet.jsp?pnu=3611032028104860041&amp;isNoScr=script&amp;mode=search", "토지이음")</f>
        <v/>
      </c>
      <c r="O1042" s="3" t="inlineStr">
        <is>
          <t>하이엔드</t>
        </is>
      </c>
      <c r="P1042" s="4" t="n">
        <v>1</v>
      </c>
      <c r="Q1042" s="4" t="n">
        <v>10686</v>
      </c>
      <c r="R1042" s="3" t="inlineStr">
        <is>
          <t>보전관리지역</t>
        </is>
      </c>
      <c r="S1042" s="3" t="inlineStr">
        <is>
          <t>자연림</t>
        </is>
      </c>
      <c r="T1042" s="3" t="inlineStr">
        <is>
          <t>급경사</t>
        </is>
      </c>
      <c r="U1042" s="3" t="inlineStr">
        <is>
          <t>부정형</t>
        </is>
      </c>
      <c r="V1042" s="3" t="inlineStr">
        <is>
          <t>맹지</t>
        </is>
      </c>
    </row>
    <row r="1043">
      <c r="A1043" s="3" t="inlineStr">
        <is>
          <t>연동면 합강리 486-41</t>
        </is>
      </c>
      <c r="B1043" s="3" t="inlineStr">
        <is>
          <t>농림지역</t>
        </is>
      </c>
      <c r="C1043" s="3" t="inlineStr">
        <is>
          <t>임야</t>
        </is>
      </c>
      <c r="D1043" s="3" t="inlineStr">
        <is>
          <t>임야</t>
        </is>
      </c>
      <c r="E1043" s="3" t="inlineStr">
        <is>
          <t>매매</t>
        </is>
      </c>
      <c r="F1043" s="4" t="n">
        <v>73000</v>
      </c>
      <c r="G1043" s="4" t="n">
        <v>12036</v>
      </c>
      <c r="H1043" s="4" t="n">
        <v>3641</v>
      </c>
      <c r="I1043" s="5" t="n">
        <v>20</v>
      </c>
      <c r="J1043" s="5" t="n">
        <v>6</v>
      </c>
      <c r="K1043" s="3" t="inlineStr">
        <is>
          <t>조망이 좋고 투자가치가 높음, 인근에 비해 가격이 좋음</t>
        </is>
      </c>
      <c r="L1043" s="6">
        <f>HYPERLINK("https://fin.land.naver.com/articles/2654281254", "매물Link")</f>
        <v/>
      </c>
      <c r="M1043" s="6">
        <f>HYPERLINK("https://map.naver.com/p/search/연동면 합강리 486-41", "지도Link")</f>
        <v/>
      </c>
      <c r="N1043" s="6">
        <f>HYPERLINK("http://www.eum.go.kr/web/ar/lu/luLandDet.jsp?pnu=3611032028104860041&amp;isNoScr=script&amp;mode=search", "토지이음")</f>
        <v/>
      </c>
      <c r="O1043" s="3" t="inlineStr">
        <is>
          <t>새날</t>
        </is>
      </c>
      <c r="P1043" s="4" t="n">
        <v>1</v>
      </c>
      <c r="Q1043" s="4" t="n">
        <v>10686</v>
      </c>
      <c r="R1043" s="3" t="inlineStr">
        <is>
          <t>보전관리지역</t>
        </is>
      </c>
      <c r="S1043" s="3" t="inlineStr">
        <is>
          <t>자연림</t>
        </is>
      </c>
      <c r="T1043" s="3" t="inlineStr">
        <is>
          <t>급경사</t>
        </is>
      </c>
      <c r="U1043" s="3" t="inlineStr">
        <is>
          <t>부정형</t>
        </is>
      </c>
      <c r="V1043" s="3" t="inlineStr">
        <is>
          <t>맹지</t>
        </is>
      </c>
    </row>
    <row r="1044">
      <c r="A1044" s="3" t="inlineStr">
        <is>
          <t>연동면 합강리 486-41</t>
        </is>
      </c>
      <c r="B1044" s="3" t="inlineStr">
        <is>
          <t>농림지역</t>
        </is>
      </c>
      <c r="C1044" s="3" t="inlineStr">
        <is>
          <t>임야</t>
        </is>
      </c>
      <c r="D1044" s="3" t="inlineStr">
        <is>
          <t>임야</t>
        </is>
      </c>
      <c r="E1044" s="3" t="inlineStr">
        <is>
          <t>매매</t>
        </is>
      </c>
      <c r="F1044" s="4" t="n">
        <v>110000</v>
      </c>
      <c r="G1044" s="4" t="n">
        <v>12036</v>
      </c>
      <c r="H1044" s="4" t="n">
        <v>3641</v>
      </c>
      <c r="I1044" s="5" t="n">
        <v>30.2</v>
      </c>
      <c r="J1044" s="5" t="n">
        <v>6</v>
      </c>
      <c r="K1044" s="3" t="inlineStr">
        <is>
          <t>세종시 연동면 합강리 금강 인근 임야 매매</t>
        </is>
      </c>
      <c r="L1044" s="6">
        <f>HYPERLINK("https://fin.land.naver.com/articles/2653813136", "매물Link")</f>
        <v/>
      </c>
      <c r="M1044" s="6">
        <f>HYPERLINK("https://map.naver.com/p/search/연동면 합강리 486-41", "지도Link")</f>
        <v/>
      </c>
      <c r="N1044" s="6">
        <f>HYPERLINK("http://www.eum.go.kr/web/ar/lu/luLandDet.jsp?pnu=3611032028104860041&amp;isNoScr=script&amp;mode=search", "토지이음")</f>
        <v/>
      </c>
      <c r="O1044" s="3" t="inlineStr">
        <is>
          <t>뉴스카이</t>
        </is>
      </c>
      <c r="P1044" s="4" t="n">
        <v>1</v>
      </c>
      <c r="Q1044" s="4" t="n">
        <v>10686</v>
      </c>
      <c r="R1044" s="3" t="inlineStr">
        <is>
          <t>보전관리지역</t>
        </is>
      </c>
      <c r="S1044" s="3" t="inlineStr">
        <is>
          <t>자연림</t>
        </is>
      </c>
      <c r="T1044" s="3" t="inlineStr">
        <is>
          <t>급경사</t>
        </is>
      </c>
      <c r="U1044" s="3" t="inlineStr">
        <is>
          <t>부정형</t>
        </is>
      </c>
      <c r="V1044" s="3" t="inlineStr">
        <is>
          <t>맹지</t>
        </is>
      </c>
    </row>
    <row r="1045">
      <c r="A1045" s="3" t="inlineStr">
        <is>
          <t>연동면 합강리 490-14</t>
        </is>
      </c>
      <c r="B1045" s="3" t="inlineStr">
        <is>
          <t>보전관리지역</t>
        </is>
      </c>
      <c r="C1045" s="3" t="inlineStr">
        <is>
          <t>임야</t>
        </is>
      </c>
      <c r="D1045" s="3" t="inlineStr">
        <is>
          <t>임야</t>
        </is>
      </c>
      <c r="E1045" s="3" t="inlineStr">
        <is>
          <t>매매</t>
        </is>
      </c>
      <c r="F1045" s="4" t="n">
        <v>103000</v>
      </c>
      <c r="G1045" s="4" t="n">
        <v>682</v>
      </c>
      <c r="H1045" s="4" t="n">
        <v>206</v>
      </c>
      <c r="I1045" s="5" t="n">
        <v>500</v>
      </c>
      <c r="J1045" s="5" t="n">
        <v>165</v>
      </c>
      <c r="K1045" s="3" t="inlineStr">
        <is>
          <t>5생활권 인접한 세종의 꽃 합강리 무릉도원 배산임수 명당</t>
        </is>
      </c>
      <c r="L1045" s="6">
        <f>HYPERLINK("https://fin.land.naver.com/articles/2651745407", "매물Link")</f>
        <v/>
      </c>
      <c r="M1045" s="6">
        <f>HYPERLINK("https://map.naver.com/p/search/연동면 합강리 490-14", "지도Link")</f>
        <v/>
      </c>
      <c r="N1045" s="6">
        <f>HYPERLINK("http://www.eum.go.kr/web/ar/lu/luLandDet.jsp?pnu=3611032028104900014&amp;isNoScr=script&amp;mode=search", "토지이음")</f>
        <v/>
      </c>
      <c r="O1045" s="3" t="inlineStr">
        <is>
          <t>세종복댕이</t>
        </is>
      </c>
      <c r="P1045" s="4" t="n">
        <v>1</v>
      </c>
      <c r="Q1045" s="4" t="n">
        <v>682</v>
      </c>
      <c r="R1045" s="3" t="inlineStr">
        <is>
          <t>지정되지않음</t>
        </is>
      </c>
      <c r="S1045" s="3" t="inlineStr">
        <is>
          <t>주거나지</t>
        </is>
      </c>
      <c r="T1045" s="3" t="inlineStr">
        <is>
          <t>완경사</t>
        </is>
      </c>
      <c r="U1045" s="3" t="inlineStr">
        <is>
          <t>가로장방</t>
        </is>
      </c>
      <c r="V1045" s="3" t="inlineStr">
        <is>
          <t>세로한면(가)</t>
        </is>
      </c>
    </row>
    <row r="1046">
      <c r="A1046" s="3" t="inlineStr">
        <is>
          <t>연동면 합강리 490-25</t>
        </is>
      </c>
      <c r="B1046" s="3" t="inlineStr">
        <is>
          <t>보전관리지역</t>
        </is>
      </c>
      <c r="C1046" s="3" t="inlineStr">
        <is>
          <t>전</t>
        </is>
      </c>
      <c r="D1046" s="3" t="inlineStr">
        <is>
          <t>전</t>
        </is>
      </c>
      <c r="E1046" s="3" t="inlineStr">
        <is>
          <t>매매</t>
        </is>
      </c>
      <c r="F1046" s="4" t="n">
        <v>85000</v>
      </c>
      <c r="G1046" s="4" t="n">
        <v>770</v>
      </c>
      <c r="H1046" s="4" t="n">
        <v>233</v>
      </c>
      <c r="I1046" s="5" t="n">
        <v>364.8</v>
      </c>
      <c r="J1046" s="5" t="n">
        <v>95.90000000000001</v>
      </c>
      <c r="K1046" s="3" t="inlineStr">
        <is>
          <t>강가에 별장자리최고입니다</t>
        </is>
      </c>
      <c r="L1046" s="6">
        <f>HYPERLINK("https://fin.land.naver.com/articles/2650471325", "매물Link")</f>
        <v/>
      </c>
      <c r="M1046" s="6">
        <f>HYPERLINK("https://map.naver.com/p/search/연동면 합강리 490-25", "지도Link")</f>
        <v/>
      </c>
      <c r="N1046" s="6">
        <f>HYPERLINK("http://www.eum.go.kr/web/ar/lu/luLandDet.jsp?pnu=3611032028104900025&amp;isNoScr=script&amp;mode=search", "토지이음")</f>
        <v/>
      </c>
      <c r="O1046" s="3" t="inlineStr">
        <is>
          <t>청정</t>
        </is>
      </c>
      <c r="P1046" s="4" t="n">
        <v>1</v>
      </c>
      <c r="Q1046" s="4" t="n">
        <v>769</v>
      </c>
      <c r="R1046" s="3" t="inlineStr">
        <is>
          <t>지정되지않음</t>
        </is>
      </c>
      <c r="S1046" s="3" t="inlineStr">
        <is>
          <t>전</t>
        </is>
      </c>
      <c r="T1046" s="3" t="inlineStr">
        <is>
          <t>완경사</t>
        </is>
      </c>
      <c r="U1046" s="3" t="inlineStr">
        <is>
          <t>부정형</t>
        </is>
      </c>
      <c r="V1046" s="3" t="inlineStr">
        <is>
          <t>세로한면(가)</t>
        </is>
      </c>
    </row>
    <row r="1047">
      <c r="A1047" s="3" t="inlineStr">
        <is>
          <t>연동면 합강리 492-4</t>
        </is>
      </c>
      <c r="B1047" s="3" t="inlineStr">
        <is>
          <t>보전관리지역</t>
        </is>
      </c>
      <c r="C1047" s="3" t="inlineStr">
        <is>
          <t>전</t>
        </is>
      </c>
      <c r="D1047" s="3" t="inlineStr">
        <is>
          <t>전</t>
        </is>
      </c>
      <c r="E1047" s="3" t="inlineStr">
        <is>
          <t>매매</t>
        </is>
      </c>
      <c r="F1047" s="4" t="n">
        <v>770000</v>
      </c>
      <c r="G1047" s="4" t="n">
        <v>2308</v>
      </c>
      <c r="H1047" s="4" t="n">
        <v>698</v>
      </c>
      <c r="I1047" s="5" t="n">
        <v>1103.2</v>
      </c>
      <c r="J1047" s="5" t="n">
        <v>107.6</v>
      </c>
      <c r="K1047" s="3" t="inlineStr">
        <is>
          <t>카페입지, 좋은 위치, 상수도 전기설비완료, 농막 시설물포함, 가격절충</t>
        </is>
      </c>
      <c r="L1047" s="6">
        <f>HYPERLINK("https://fin.land.naver.com/articles/2649498432", "매물Link")</f>
        <v/>
      </c>
      <c r="M1047" s="6">
        <f>HYPERLINK("https://map.naver.com/p/search/연동면 합강리 492-4", "지도Link")</f>
        <v/>
      </c>
      <c r="N1047" s="6">
        <f>HYPERLINK("http://www.eum.go.kr/web/ar/lu/luLandDet.jsp?pnu=3611032028104920004&amp;isNoScr=script&amp;mode=search", "토지이음")</f>
        <v/>
      </c>
      <c r="O1047" s="3" t="inlineStr">
        <is>
          <t>황금힐스테이트</t>
        </is>
      </c>
      <c r="P1047" s="4" t="n">
        <v>1</v>
      </c>
      <c r="Q1047" s="4" t="n">
        <v>2308</v>
      </c>
      <c r="R1047" s="3" t="inlineStr">
        <is>
          <t>지정되지않음</t>
        </is>
      </c>
      <c r="S1047" s="3" t="inlineStr">
        <is>
          <t>전</t>
        </is>
      </c>
      <c r="T1047" s="3" t="inlineStr">
        <is>
          <t>평지</t>
        </is>
      </c>
      <c r="U1047" s="3" t="inlineStr">
        <is>
          <t>부정형</t>
        </is>
      </c>
      <c r="V1047" s="3" t="inlineStr">
        <is>
          <t>세로한면(가)</t>
        </is>
      </c>
    </row>
    <row r="1048">
      <c r="A1048" s="3" t="inlineStr">
        <is>
          <t>연동면 합강리 500-24</t>
        </is>
      </c>
      <c r="B1048" s="3" t="inlineStr">
        <is>
          <t>보전관리지역</t>
        </is>
      </c>
      <c r="C1048" s="3" t="inlineStr">
        <is>
          <t>대</t>
        </is>
      </c>
      <c r="D1048" s="3" t="inlineStr">
        <is>
          <t>대</t>
        </is>
      </c>
      <c r="E1048" s="3" t="inlineStr">
        <is>
          <t>매매</t>
        </is>
      </c>
      <c r="F1048" s="4" t="n">
        <v>98000</v>
      </c>
      <c r="G1048" s="4" t="n">
        <v>647</v>
      </c>
      <c r="H1048" s="4" t="n">
        <v>196</v>
      </c>
      <c r="I1048" s="5" t="n">
        <v>500</v>
      </c>
      <c r="J1048" s="5" t="n">
        <v>158.2</v>
      </c>
      <c r="K1048" s="3" t="inlineStr">
        <is>
          <t>전망 좋은 주택지</t>
        </is>
      </c>
      <c r="L1048" s="6">
        <f>HYPERLINK("https://fin.land.naver.com/articles/2652793860", "매물Link")</f>
        <v/>
      </c>
      <c r="M1048" s="6">
        <f>HYPERLINK("https://map.naver.com/p/search/연동면 합강리 500-24", "지도Link")</f>
        <v/>
      </c>
      <c r="N1048" s="6">
        <f>HYPERLINK("http://www.eum.go.kr/web/ar/lu/luLandDet.jsp?pnu=3611032028105000024&amp;isNoScr=script&amp;mode=search", "토지이음")</f>
        <v/>
      </c>
      <c r="O1048" s="3" t="inlineStr">
        <is>
          <t>강아지풀</t>
        </is>
      </c>
      <c r="P1048" s="4" t="n">
        <v>1</v>
      </c>
      <c r="Q1048" s="4" t="n">
        <v>647</v>
      </c>
      <c r="R1048" s="3" t="inlineStr">
        <is>
          <t>지정되지않음</t>
        </is>
      </c>
      <c r="S1048" s="3" t="inlineStr">
        <is>
          <t>단독</t>
        </is>
      </c>
      <c r="T1048" s="3" t="inlineStr">
        <is>
          <t>완경사</t>
        </is>
      </c>
      <c r="U1048" s="3" t="inlineStr">
        <is>
          <t>부정형</t>
        </is>
      </c>
      <c r="V1048" s="3" t="inlineStr">
        <is>
          <t>세로한면(가)</t>
        </is>
      </c>
    </row>
    <row r="1049">
      <c r="A1049" s="3" t="inlineStr">
        <is>
          <t>연서면 고복리 112-1</t>
        </is>
      </c>
      <c r="B1049" s="3" t="inlineStr">
        <is>
          <t>계획관리지역</t>
        </is>
      </c>
      <c r="C1049" s="3" t="inlineStr">
        <is>
          <t>대</t>
        </is>
      </c>
      <c r="D1049" s="3" t="inlineStr">
        <is>
          <t>대</t>
        </is>
      </c>
      <c r="E1049" s="3" t="inlineStr">
        <is>
          <t>매매</t>
        </is>
      </c>
      <c r="F1049" s="4" t="n">
        <v>37000</v>
      </c>
      <c r="G1049" s="4" t="n">
        <v>946</v>
      </c>
      <c r="H1049" s="4" t="n">
        <v>286</v>
      </c>
      <c r="I1049" s="5" t="n">
        <v>129.4</v>
      </c>
      <c r="J1049" s="5" t="n">
        <v>66</v>
      </c>
      <c r="K1049" s="3" t="inlineStr">
        <is>
          <t>고복리 계획관리지역 매매,  2차선 도로 150m  위치 좋은 토지</t>
        </is>
      </c>
      <c r="L1049" s="6">
        <f>HYPERLINK("https://fin.land.naver.com/articles/2653959002", "매물Link")</f>
        <v/>
      </c>
      <c r="M1049" s="6">
        <f>HYPERLINK("https://map.naver.com/p/search/연서면 고복리 112-1", "지도Link")</f>
        <v/>
      </c>
      <c r="N1049" s="6">
        <f>HYPERLINK("http://www.eum.go.kr/web/ar/lu/luLandDet.jsp?pnu=3611036024101120001&amp;isNoScr=script&amp;mode=search", "토지이음")</f>
        <v/>
      </c>
      <c r="O1049" s="3" t="inlineStr">
        <is>
          <t>세종땅사랑</t>
        </is>
      </c>
      <c r="P1049" s="4" t="n">
        <v>1</v>
      </c>
      <c r="Q1049" s="4" t="n">
        <v>377</v>
      </c>
      <c r="R1049" s="3" t="inlineStr">
        <is>
          <t>지정되지않음</t>
        </is>
      </c>
      <c r="S1049" s="3" t="inlineStr">
        <is>
          <t>주거나지</t>
        </is>
      </c>
      <c r="T1049" s="3" t="inlineStr">
        <is>
          <t>평지</t>
        </is>
      </c>
      <c r="U1049" s="3" t="inlineStr">
        <is>
          <t>사다리형</t>
        </is>
      </c>
      <c r="V1049" s="3" t="inlineStr">
        <is>
          <t>맹지</t>
        </is>
      </c>
    </row>
    <row r="1050">
      <c r="A1050" s="3" t="inlineStr">
        <is>
          <t>연서면 고복리 112-1</t>
        </is>
      </c>
      <c r="B1050" s="3" t="inlineStr">
        <is>
          <t>계획관리지역</t>
        </is>
      </c>
      <c r="C1050" s="3" t="inlineStr">
        <is>
          <t>대</t>
        </is>
      </c>
      <c r="D1050" s="3" t="inlineStr">
        <is>
          <t>대</t>
        </is>
      </c>
      <c r="E1050" s="3" t="inlineStr">
        <is>
          <t>매매</t>
        </is>
      </c>
      <c r="F1050" s="4" t="n">
        <v>37500</v>
      </c>
      <c r="G1050" s="4" t="n">
        <v>946</v>
      </c>
      <c r="H1050" s="4" t="n">
        <v>286</v>
      </c>
      <c r="I1050" s="5" t="n">
        <v>131.1</v>
      </c>
      <c r="J1050" s="5" t="n">
        <v>66</v>
      </c>
      <c r="K1050" s="3" t="inlineStr">
        <is>
          <t>고복리 계획관리지역 대와 전으로 시세보다 저렴한 2필지 일괄매매.</t>
        </is>
      </c>
      <c r="L1050" s="6">
        <f>HYPERLINK("https://fin.land.naver.com/articles/2653550278", "매물Link")</f>
        <v/>
      </c>
      <c r="M1050" s="6">
        <f>HYPERLINK("https://map.naver.com/p/search/연서면 고복리 112-1", "지도Link")</f>
        <v/>
      </c>
      <c r="N1050" s="6">
        <f>HYPERLINK("http://www.eum.go.kr/web/ar/lu/luLandDet.jsp?pnu=3611036024101120001&amp;isNoScr=script&amp;mode=search", "토지이음")</f>
        <v/>
      </c>
      <c r="O1050" s="3" t="inlineStr">
        <is>
          <t>세종대장</t>
        </is>
      </c>
      <c r="P1050" s="4" t="n">
        <v>1</v>
      </c>
      <c r="Q1050" s="4" t="n">
        <v>377</v>
      </c>
      <c r="R1050" s="3" t="inlineStr">
        <is>
          <t>지정되지않음</t>
        </is>
      </c>
      <c r="S1050" s="3" t="inlineStr">
        <is>
          <t>주거나지</t>
        </is>
      </c>
      <c r="T1050" s="3" t="inlineStr">
        <is>
          <t>평지</t>
        </is>
      </c>
      <c r="U1050" s="3" t="inlineStr">
        <is>
          <t>사다리형</t>
        </is>
      </c>
      <c r="V1050" s="3" t="inlineStr">
        <is>
          <t>맹지</t>
        </is>
      </c>
    </row>
    <row r="1051">
      <c r="A1051" s="3" t="inlineStr">
        <is>
          <t>연서면 고복리 174-1</t>
        </is>
      </c>
      <c r="B1051" s="3" t="inlineStr">
        <is>
          <t>생산관리지역</t>
        </is>
      </c>
      <c r="C1051" s="3" t="inlineStr">
        <is>
          <t>과수원</t>
        </is>
      </c>
      <c r="D1051" s="3" t="inlineStr">
        <is>
          <t>과수원</t>
        </is>
      </c>
      <c r="E1051" s="3" t="inlineStr">
        <is>
          <t>매매</t>
        </is>
      </c>
      <c r="F1051" s="4" t="n">
        <v>8370</v>
      </c>
      <c r="G1051" s="4" t="n">
        <v>615</v>
      </c>
      <c r="H1051" s="4" t="n">
        <v>186</v>
      </c>
      <c r="I1051" s="5" t="n">
        <v>45</v>
      </c>
      <c r="J1051" s="5" t="n">
        <v>23.4</v>
      </c>
      <c r="K1051" s="3" t="inlineStr">
        <is>
          <t>소액추천매물,주말농장겸 투자용으로 미래가치 까지 가져가세요</t>
        </is>
      </c>
      <c r="L1051" s="6">
        <f>HYPERLINK("https://fin.land.naver.com/articles/2653031640", "매물Link")</f>
        <v/>
      </c>
      <c r="M1051" s="6">
        <f>HYPERLINK("https://map.naver.com/p/search/연서면 고복리 174-1", "지도Link")</f>
        <v/>
      </c>
      <c r="N1051" s="6">
        <f>HYPERLINK("http://www.eum.go.kr/web/ar/lu/luLandDet.jsp?pnu=3611036024101740001&amp;isNoScr=script&amp;mode=search", "토지이음")</f>
        <v/>
      </c>
      <c r="O1051" s="3" t="inlineStr">
        <is>
          <t>가치잇는</t>
        </is>
      </c>
      <c r="P1051" s="4" t="n">
        <v>1</v>
      </c>
      <c r="Q1051" s="4" t="n">
        <v>615</v>
      </c>
      <c r="R1051" s="3" t="inlineStr">
        <is>
          <t>지정되지않음</t>
        </is>
      </c>
      <c r="S1051" s="3" t="inlineStr">
        <is>
          <t>과수원</t>
        </is>
      </c>
      <c r="T1051" s="3" t="inlineStr">
        <is>
          <t>완경사</t>
        </is>
      </c>
      <c r="U1051" s="3" t="inlineStr">
        <is>
          <t>사다리형</t>
        </is>
      </c>
      <c r="V1051" s="3" t="inlineStr">
        <is>
          <t>맹지</t>
        </is>
      </c>
    </row>
    <row r="1052">
      <c r="A1052" s="3" t="inlineStr">
        <is>
          <t>연서면 고복리 186-1</t>
        </is>
      </c>
      <c r="B1052" s="3" t="inlineStr">
        <is>
          <t>생산관리지역</t>
        </is>
      </c>
      <c r="C1052" s="3" t="inlineStr">
        <is>
          <t>답</t>
        </is>
      </c>
      <c r="D1052" s="3" t="inlineStr">
        <is>
          <t>답</t>
        </is>
      </c>
      <c r="E1052" s="3" t="inlineStr">
        <is>
          <t>매매</t>
        </is>
      </c>
      <c r="F1052" s="4" t="n">
        <v>29000</v>
      </c>
      <c r="G1052" s="4" t="n">
        <v>1964</v>
      </c>
      <c r="H1052" s="4" t="n">
        <v>594</v>
      </c>
      <c r="I1052" s="5" t="n">
        <v>48.8</v>
      </c>
      <c r="J1052" s="5" t="n">
        <v>22.6</v>
      </c>
      <c r="K1052" s="3" t="inlineStr">
        <is>
          <t>고복저수지 근방 대토또는 과수원으로 경작 추천 ,2필지 일괄매매</t>
        </is>
      </c>
      <c r="L1052" s="6">
        <f>HYPERLINK("https://fin.land.naver.com/articles/2653426450", "매물Link")</f>
        <v/>
      </c>
      <c r="M1052" s="6">
        <f>HYPERLINK("https://map.naver.com/p/search/연서면 고복리 186-1", "지도Link")</f>
        <v/>
      </c>
      <c r="N1052" s="6">
        <f>HYPERLINK("http://www.eum.go.kr/web/ar/lu/luLandDet.jsp?pnu=3611036024101860001&amp;isNoScr=script&amp;mode=search", "토지이음")</f>
        <v/>
      </c>
      <c r="O1052" s="3" t="inlineStr">
        <is>
          <t>담뜰</t>
        </is>
      </c>
      <c r="P1052" s="4" t="n">
        <v>1</v>
      </c>
      <c r="Q1052" s="4" t="n">
        <v>582</v>
      </c>
      <c r="R1052" s="3" t="inlineStr">
        <is>
          <t>지정되지않음</t>
        </is>
      </c>
      <c r="S1052" s="3" t="inlineStr">
        <is>
          <t>답</t>
        </is>
      </c>
      <c r="T1052" s="3" t="inlineStr">
        <is>
          <t>완경사</t>
        </is>
      </c>
      <c r="U1052" s="3" t="inlineStr">
        <is>
          <t>부정형</t>
        </is>
      </c>
      <c r="V1052" s="3" t="inlineStr">
        <is>
          <t>세로한면(불)</t>
        </is>
      </c>
    </row>
    <row r="1053">
      <c r="A1053" s="3" t="inlineStr">
        <is>
          <t>연서면 고복리 221</t>
        </is>
      </c>
      <c r="B1053" s="3" t="inlineStr">
        <is>
          <t>계획관리지역</t>
        </is>
      </c>
      <c r="C1053" s="3" t="inlineStr">
        <is>
          <t>대</t>
        </is>
      </c>
      <c r="D1053" s="3" t="inlineStr">
        <is>
          <t>대</t>
        </is>
      </c>
      <c r="E1053" s="3" t="inlineStr">
        <is>
          <t>매매</t>
        </is>
      </c>
      <c r="F1053" s="4" t="n">
        <v>20000</v>
      </c>
      <c r="G1053" s="4" t="n">
        <v>521</v>
      </c>
      <c r="H1053" s="4" t="n">
        <v>158</v>
      </c>
      <c r="I1053" s="5" t="n">
        <v>126.6</v>
      </c>
      <c r="J1053" s="5" t="n">
        <v>66.7</v>
      </c>
      <c r="K1053" s="3" t="inlineStr">
        <is>
          <t>o토지급매o 고복리 계획관리지역으로 주택과 창고 있는 저렴한 토지</t>
        </is>
      </c>
      <c r="L1053" s="6">
        <f>HYPERLINK("https://fin.land.naver.com/articles/2650800982", "매물Link")</f>
        <v/>
      </c>
      <c r="M1053" s="6">
        <f>HYPERLINK("https://map.naver.com/p/search/연서면 고복리 221", "지도Link")</f>
        <v/>
      </c>
      <c r="N1053" s="6">
        <f>HYPERLINK("http://www.eum.go.kr/web/ar/lu/luLandDet.jsp?pnu=3611036024102210000&amp;isNoScr=script&amp;mode=search", "토지이음")</f>
        <v/>
      </c>
      <c r="O1053" s="3" t="inlineStr">
        <is>
          <t>은주</t>
        </is>
      </c>
      <c r="P1053" s="4" t="n">
        <v>1</v>
      </c>
      <c r="Q1053" s="4" t="n">
        <v>521</v>
      </c>
      <c r="R1053" s="3" t="inlineStr">
        <is>
          <t>지정되지않음</t>
        </is>
      </c>
      <c r="S1053" s="3" t="inlineStr">
        <is>
          <t>단독</t>
        </is>
      </c>
      <c r="T1053" s="3" t="inlineStr">
        <is>
          <t>평지</t>
        </is>
      </c>
      <c r="U1053" s="3" t="inlineStr">
        <is>
          <t>사다리형</t>
        </is>
      </c>
      <c r="V1053" s="3" t="inlineStr">
        <is>
          <t>세로한면(불)</t>
        </is>
      </c>
    </row>
    <row r="1054">
      <c r="A1054" s="3" t="inlineStr">
        <is>
          <t>연서면 고복리 221</t>
        </is>
      </c>
      <c r="B1054" s="3" t="inlineStr">
        <is>
          <t>계획관리지역</t>
        </is>
      </c>
      <c r="C1054" s="3" t="inlineStr">
        <is>
          <t>대</t>
        </is>
      </c>
      <c r="D1054" s="3" t="inlineStr">
        <is>
          <t>대</t>
        </is>
      </c>
      <c r="E1054" s="3" t="inlineStr">
        <is>
          <t>매매</t>
        </is>
      </c>
      <c r="F1054" s="4" t="n">
        <v>20000</v>
      </c>
      <c r="G1054" s="4" t="n">
        <v>521</v>
      </c>
      <c r="H1054" s="4" t="n">
        <v>158</v>
      </c>
      <c r="I1054" s="5" t="n">
        <v>126.6</v>
      </c>
      <c r="J1054" s="5" t="n">
        <v>66.7</v>
      </c>
      <c r="K1054" s="3" t="inlineStr">
        <is>
          <t>nan</t>
        </is>
      </c>
      <c r="L1054" s="6">
        <f>HYPERLINK("https://fin.land.naver.com/articles/2650838247", "매물Link")</f>
        <v/>
      </c>
      <c r="M1054" s="6">
        <f>HYPERLINK("https://map.naver.com/p/search/연서면 고복리 221", "지도Link")</f>
        <v/>
      </c>
      <c r="N1054" s="6">
        <f>HYPERLINK("http://www.eum.go.kr/web/ar/lu/luLandDet.jsp?pnu=3611036024102210000&amp;isNoScr=script&amp;mode=search", "토지이음")</f>
        <v/>
      </c>
      <c r="O1054" s="3" t="inlineStr">
        <is>
          <t>세종금밭</t>
        </is>
      </c>
      <c r="P1054" s="4" t="n">
        <v>1</v>
      </c>
      <c r="Q1054" s="4" t="n">
        <v>521</v>
      </c>
      <c r="R1054" s="3" t="inlineStr">
        <is>
          <t>지정되지않음</t>
        </is>
      </c>
      <c r="S1054" s="3" t="inlineStr">
        <is>
          <t>단독</t>
        </is>
      </c>
      <c r="T1054" s="3" t="inlineStr">
        <is>
          <t>평지</t>
        </is>
      </c>
      <c r="U1054" s="3" t="inlineStr">
        <is>
          <t>사다리형</t>
        </is>
      </c>
      <c r="V1054" s="3" t="inlineStr">
        <is>
          <t>세로한면(불)</t>
        </is>
      </c>
    </row>
    <row r="1055">
      <c r="A1055" s="3" t="inlineStr">
        <is>
          <t>연서면 고복리 291-3</t>
        </is>
      </c>
      <c r="B1055" s="3" t="inlineStr">
        <is>
          <t>계획관리지역</t>
        </is>
      </c>
      <c r="C1055" s="3" t="inlineStr">
        <is>
          <t>대</t>
        </is>
      </c>
      <c r="D1055" s="3" t="inlineStr">
        <is>
          <t>과수원</t>
        </is>
      </c>
      <c r="E1055" s="3" t="inlineStr">
        <is>
          <t>매매</t>
        </is>
      </c>
      <c r="F1055" s="4" t="n">
        <v>97000</v>
      </c>
      <c r="G1055" s="4" t="n">
        <v>4599</v>
      </c>
      <c r="H1055" s="4" t="n">
        <v>1391</v>
      </c>
      <c r="I1055" s="5" t="n">
        <v>69.7</v>
      </c>
      <c r="J1055" s="5" t="n">
        <v>50.5</v>
      </c>
      <c r="K1055" s="3" t="inlineStr">
        <is>
          <t>고복리 계획관리와 생산관리지역으로 지목이 대,과수원,창고시설 일괄급매.</t>
        </is>
      </c>
      <c r="L1055" s="6">
        <f>HYPERLINK("https://fin.land.naver.com/articles/2651207214", "매물Link")</f>
        <v/>
      </c>
      <c r="M1055" s="6">
        <f>HYPERLINK("https://map.naver.com/p/search/연서면 고복리 291-3", "지도Link")</f>
        <v/>
      </c>
      <c r="N1055" s="6">
        <f>HYPERLINK("http://www.eum.go.kr/web/ar/lu/luLandDet.jsp?pnu=3611036024102910003&amp;isNoScr=script&amp;mode=search", "토지이음")</f>
        <v/>
      </c>
      <c r="O1055" s="3" t="inlineStr">
        <is>
          <t>세종대장</t>
        </is>
      </c>
      <c r="P1055" s="4" t="n">
        <v>1</v>
      </c>
      <c r="Q1055" s="4" t="n">
        <v>863</v>
      </c>
      <c r="R1055" s="3" t="inlineStr">
        <is>
          <t>생산관리지역</t>
        </is>
      </c>
      <c r="S1055" s="3" t="inlineStr">
        <is>
          <t>단독</t>
        </is>
      </c>
      <c r="T1055" s="3" t="inlineStr">
        <is>
          <t>평지</t>
        </is>
      </c>
      <c r="U1055" s="3" t="inlineStr">
        <is>
          <t>부정형</t>
        </is>
      </c>
      <c r="V1055" s="3" t="inlineStr">
        <is>
          <t>세로한면(불)</t>
        </is>
      </c>
    </row>
    <row r="1056">
      <c r="A1056" s="3" t="inlineStr">
        <is>
          <t>연서면 고복리 294</t>
        </is>
      </c>
      <c r="B1056" s="3" t="inlineStr">
        <is>
          <t>생산관리지역</t>
        </is>
      </c>
      <c r="C1056" s="3" t="inlineStr">
        <is>
          <t>과수원</t>
        </is>
      </c>
      <c r="D1056" s="3" t="inlineStr">
        <is>
          <t>과수원</t>
        </is>
      </c>
      <c r="E1056" s="3" t="inlineStr">
        <is>
          <t>매매</t>
        </is>
      </c>
      <c r="F1056" s="4" t="n">
        <v>80000</v>
      </c>
      <c r="G1056" s="4" t="n">
        <v>2922</v>
      </c>
      <c r="H1056" s="4" t="n">
        <v>884</v>
      </c>
      <c r="I1056" s="5" t="n">
        <v>90.5</v>
      </c>
      <c r="J1056" s="5" t="n">
        <v>32.5</v>
      </c>
      <c r="K1056" s="3" t="inlineStr">
        <is>
          <t>급매, 연서면 고복리 마을포장도로에 접한 생산관리지역 과수원을 급매합니다</t>
        </is>
      </c>
      <c r="L1056" s="6">
        <f>HYPERLINK("https://fin.land.naver.com/articles/2652998310", "매물Link")</f>
        <v/>
      </c>
      <c r="M1056" s="6">
        <f>HYPERLINK("https://map.naver.com/p/search/연서면 고복리 294", "지도Link")</f>
        <v/>
      </c>
      <c r="N1056" s="6">
        <f>HYPERLINK("http://www.eum.go.kr/web/ar/lu/luLandDet.jsp?pnu=3611036024102940000&amp;isNoScr=script&amp;mode=search", "토지이음")</f>
        <v/>
      </c>
      <c r="O1056" s="3" t="inlineStr">
        <is>
          <t>스마일세종</t>
        </is>
      </c>
      <c r="P1056" s="4" t="n">
        <v>1</v>
      </c>
      <c r="Q1056" s="4" t="n">
        <v>2922</v>
      </c>
      <c r="R1056" s="3" t="inlineStr">
        <is>
          <t>지정되지않음</t>
        </is>
      </c>
      <c r="S1056" s="3" t="inlineStr">
        <is>
          <t>과수원</t>
        </is>
      </c>
      <c r="T1056" s="3" t="inlineStr">
        <is>
          <t>평지</t>
        </is>
      </c>
      <c r="U1056" s="3" t="inlineStr">
        <is>
          <t>사다리형</t>
        </is>
      </c>
      <c r="V1056" s="3" t="inlineStr">
        <is>
          <t>세로한면(가)</t>
        </is>
      </c>
    </row>
    <row r="1057">
      <c r="A1057" s="3" t="inlineStr">
        <is>
          <t>연서면 고복리 373</t>
        </is>
      </c>
      <c r="B1057" s="3" t="inlineStr">
        <is>
          <t>보전관리지역</t>
        </is>
      </c>
      <c r="C1057" s="3" t="inlineStr">
        <is>
          <t>대</t>
        </is>
      </c>
      <c r="D1057" s="3" t="inlineStr">
        <is>
          <t>전</t>
        </is>
      </c>
      <c r="E1057" s="3" t="inlineStr">
        <is>
          <t>매매</t>
        </is>
      </c>
      <c r="F1057" s="4" t="n">
        <v>120000</v>
      </c>
      <c r="G1057" s="4" t="n">
        <v>5623</v>
      </c>
      <c r="H1057" s="4" t="n">
        <v>1701</v>
      </c>
      <c r="I1057" s="5" t="n">
        <v>70.5</v>
      </c>
      <c r="J1057" s="5" t="n">
        <v>38.3</v>
      </c>
      <c r="K1057" s="3" t="inlineStr">
        <is>
          <t>고복저수지 3분, 조치원 5분 이내.</t>
        </is>
      </c>
      <c r="L1057" s="6">
        <f>HYPERLINK("https://fin.land.naver.com/articles/2649922113", "매물Link")</f>
        <v/>
      </c>
      <c r="M1057" s="6">
        <f>HYPERLINK("https://map.naver.com/p/search/연서면 고복리 373", "지도Link")</f>
        <v/>
      </c>
      <c r="N1057" s="6">
        <f>HYPERLINK("http://www.eum.go.kr/web/ar/lu/luLandDet.jsp?pnu=3611036024103730000&amp;isNoScr=script&amp;mode=search", "토지이음")</f>
        <v/>
      </c>
      <c r="O1057" s="3" t="inlineStr">
        <is>
          <t>미스터홈즈강남지사</t>
        </is>
      </c>
      <c r="P1057" s="4" t="n">
        <v>1</v>
      </c>
      <c r="Q1057" s="4" t="n">
        <v>628</v>
      </c>
      <c r="R1057" s="3" t="inlineStr">
        <is>
          <t>지정되지않음</t>
        </is>
      </c>
      <c r="S1057" s="3" t="inlineStr">
        <is>
          <t>단독</t>
        </is>
      </c>
      <c r="T1057" s="3" t="inlineStr">
        <is>
          <t>완경사</t>
        </is>
      </c>
      <c r="U1057" s="3" t="inlineStr">
        <is>
          <t>사다리형</t>
        </is>
      </c>
      <c r="V1057" s="3" t="inlineStr">
        <is>
          <t>세로한면(가)</t>
        </is>
      </c>
    </row>
    <row r="1058">
      <c r="A1058" s="3" t="inlineStr">
        <is>
          <t>연서면 고복리 415-54</t>
        </is>
      </c>
      <c r="B1058" s="3" t="inlineStr">
        <is>
          <t>보전관리지역</t>
        </is>
      </c>
      <c r="C1058" s="3" t="inlineStr">
        <is>
          <t>대</t>
        </is>
      </c>
      <c r="D1058" s="3" t="inlineStr">
        <is>
          <t>대</t>
        </is>
      </c>
      <c r="E1058" s="3" t="inlineStr">
        <is>
          <t>매매</t>
        </is>
      </c>
      <c r="F1058" s="4" t="n">
        <v>404000</v>
      </c>
      <c r="G1058" s="4" t="n">
        <v>3904</v>
      </c>
      <c r="H1058" s="4" t="n">
        <v>1181</v>
      </c>
      <c r="I1058" s="5" t="n">
        <v>342.1</v>
      </c>
      <c r="J1058" s="5" t="n">
        <v>116.1</v>
      </c>
      <c r="K1058" s="3" t="inlineStr">
        <is>
          <t>고복저수지 바로 인접한 토지매매 넓은 면적에 탁트인 전망 매매가격 조절가</t>
        </is>
      </c>
      <c r="L1058" s="6">
        <f>HYPERLINK("https://fin.land.naver.com/articles/2653534610", "매물Link")</f>
        <v/>
      </c>
      <c r="M1058" s="6">
        <f>HYPERLINK("https://map.naver.com/p/search/연서면 고복리 415-54", "지도Link")</f>
        <v/>
      </c>
      <c r="N1058" s="6">
        <f>HYPERLINK("http://www.eum.go.kr/web/ar/lu/luLandDet.jsp?pnu=3611036024104150054&amp;isNoScr=script&amp;mode=search", "토지이음")</f>
        <v/>
      </c>
      <c r="O1058" s="3" t="inlineStr">
        <is>
          <t>효성해링턴오복</t>
        </is>
      </c>
      <c r="P1058" s="4" t="n">
        <v>1</v>
      </c>
      <c r="Q1058" s="4" t="n">
        <v>599</v>
      </c>
      <c r="R1058" s="3" t="inlineStr">
        <is>
          <t>지정되지않음</t>
        </is>
      </c>
      <c r="S1058" s="3" t="inlineStr">
        <is>
          <t>주거기타</t>
        </is>
      </c>
      <c r="T1058" s="3" t="inlineStr">
        <is>
          <t>완경사</t>
        </is>
      </c>
      <c r="U1058" s="3" t="inlineStr">
        <is>
          <t>자루형</t>
        </is>
      </c>
      <c r="V1058" s="3" t="inlineStr">
        <is>
          <t>세로한면(가)</t>
        </is>
      </c>
    </row>
    <row r="1059">
      <c r="A1059" s="3" t="inlineStr">
        <is>
          <t>연서면 고복리 45-4</t>
        </is>
      </c>
      <c r="B1059" s="3" t="inlineStr">
        <is>
          <t>농림지역</t>
        </is>
      </c>
      <c r="C1059" s="3" t="inlineStr">
        <is>
          <t>답</t>
        </is>
      </c>
      <c r="D1059" s="3" t="inlineStr">
        <is>
          <t>답</t>
        </is>
      </c>
      <c r="E1059" s="3" t="inlineStr">
        <is>
          <t>매매</t>
        </is>
      </c>
      <c r="F1059" s="4" t="n">
        <v>70800</v>
      </c>
      <c r="G1059" s="4" t="n">
        <v>3900</v>
      </c>
      <c r="H1059" s="4" t="n">
        <v>1180</v>
      </c>
      <c r="I1059" s="5" t="n">
        <v>60</v>
      </c>
      <c r="J1059" s="5" t="n">
        <v>21.1</v>
      </c>
      <c r="K1059" s="3" t="inlineStr">
        <is>
          <t>절충가능한 연서면 고복리 농림지역 대토용 토지를 급매합니다</t>
        </is>
      </c>
      <c r="L1059" s="6">
        <f>HYPERLINK("https://fin.land.naver.com/articles/2651243984", "매물Link")</f>
        <v/>
      </c>
      <c r="M1059" s="6">
        <f>HYPERLINK("https://map.naver.com/p/search/연서면 고복리 45-4", "지도Link")</f>
        <v/>
      </c>
      <c r="N1059" s="6">
        <f>HYPERLINK("http://www.eum.go.kr/web/ar/lu/luLandDet.jsp?pnu=3611036024100450004&amp;isNoScr=script&amp;mode=search", "토지이음")</f>
        <v/>
      </c>
      <c r="O1059" s="3" t="inlineStr">
        <is>
          <t>스마일세종</t>
        </is>
      </c>
      <c r="P1059" s="4" t="n">
        <v>1</v>
      </c>
      <c r="Q1059" s="4" t="n">
        <v>2900</v>
      </c>
      <c r="R1059" s="3" t="inlineStr">
        <is>
          <t>지정되지않음</t>
        </is>
      </c>
      <c r="S1059" s="3" t="inlineStr">
        <is>
          <t>답</t>
        </is>
      </c>
      <c r="T1059" s="3" t="inlineStr">
        <is>
          <t>평지</t>
        </is>
      </c>
      <c r="U1059" s="3" t="inlineStr">
        <is>
          <t>세로장방</t>
        </is>
      </c>
      <c r="V1059" s="3" t="inlineStr">
        <is>
          <t>세로한면(가)</t>
        </is>
      </c>
    </row>
    <row r="1060">
      <c r="A1060" s="3" t="inlineStr">
        <is>
          <t>연서면 고복리 46-5</t>
        </is>
      </c>
      <c r="B1060" s="3" t="inlineStr">
        <is>
          <t>농림지역</t>
        </is>
      </c>
      <c r="C1060" s="3" t="inlineStr">
        <is>
          <t>답</t>
        </is>
      </c>
      <c r="D1060" s="3" t="inlineStr">
        <is>
          <t>답</t>
        </is>
      </c>
      <c r="E1060" s="3" t="inlineStr">
        <is>
          <t>매매</t>
        </is>
      </c>
      <c r="F1060" s="4" t="n">
        <v>79000</v>
      </c>
      <c r="G1060" s="4" t="n">
        <v>2980</v>
      </c>
      <c r="H1060" s="4" t="n">
        <v>901</v>
      </c>
      <c r="I1060" s="5" t="n">
        <v>87.7</v>
      </c>
      <c r="J1060" s="5" t="n">
        <v>21.1</v>
      </c>
      <c r="K1060" s="3" t="inlineStr">
        <is>
          <t>nan</t>
        </is>
      </c>
      <c r="L1060" s="6">
        <f>HYPERLINK("https://fin.land.naver.com/articles/2651972162", "매물Link")</f>
        <v/>
      </c>
      <c r="M1060" s="6">
        <f>HYPERLINK("https://map.naver.com/p/search/연서면 고복리 46-5", "지도Link")</f>
        <v/>
      </c>
      <c r="N1060" s="6">
        <f>HYPERLINK("http://www.eum.go.kr/web/ar/lu/luLandDet.jsp?pnu=3611036024100460005&amp;isNoScr=script&amp;mode=search", "토지이음")</f>
        <v/>
      </c>
      <c r="O1060" s="3" t="inlineStr">
        <is>
          <t>행운IPARK</t>
        </is>
      </c>
      <c r="P1060" s="4" t="n">
        <v>1</v>
      </c>
      <c r="Q1060" s="4" t="n">
        <v>2980</v>
      </c>
      <c r="R1060" s="3" t="inlineStr">
        <is>
          <t>지정되지않음</t>
        </is>
      </c>
      <c r="S1060" s="3" t="inlineStr">
        <is>
          <t>답</t>
        </is>
      </c>
      <c r="T1060" s="3" t="inlineStr">
        <is>
          <t>평지</t>
        </is>
      </c>
      <c r="U1060" s="3" t="inlineStr">
        <is>
          <t>세로장방</t>
        </is>
      </c>
      <c r="V1060" s="3" t="inlineStr">
        <is>
          <t>세로한면(가)</t>
        </is>
      </c>
    </row>
    <row r="1061">
      <c r="A1061" s="3" t="inlineStr">
        <is>
          <t>연서면 고복리 469-2</t>
        </is>
      </c>
      <c r="B1061" s="3" t="inlineStr">
        <is>
          <t>자연환경보전지역</t>
        </is>
      </c>
      <c r="C1061" s="3" t="inlineStr">
        <is>
          <t>대</t>
        </is>
      </c>
      <c r="D1061" s="3" t="inlineStr">
        <is>
          <t>대</t>
        </is>
      </c>
      <c r="E1061" s="3" t="inlineStr">
        <is>
          <t>매매</t>
        </is>
      </c>
      <c r="F1061" s="4" t="n">
        <v>120000</v>
      </c>
      <c r="G1061" s="4" t="n">
        <v>718</v>
      </c>
      <c r="H1061" s="4" t="n">
        <v>217</v>
      </c>
      <c r="I1061" s="5" t="n">
        <v>553</v>
      </c>
      <c r="J1061" s="5" t="n">
        <v>67.8</v>
      </c>
      <c r="K1061" s="3" t="inlineStr">
        <is>
          <t>고복저수지 책 박물관 옆</t>
        </is>
      </c>
      <c r="L1061" s="6">
        <f>HYPERLINK("https://fin.land.naver.com/articles/2652702587", "매물Link")</f>
        <v/>
      </c>
      <c r="M1061" s="6">
        <f>HYPERLINK("https://map.naver.com/p/search/연서면 고복리 469-2", "지도Link")</f>
        <v/>
      </c>
      <c r="N1061" s="6">
        <f>HYPERLINK("http://www.eum.go.kr/web/ar/lu/luLandDet.jsp?pnu=3611036024104690002&amp;isNoScr=script&amp;mode=search", "토지이음")</f>
        <v/>
      </c>
      <c r="O1061" s="3" t="inlineStr">
        <is>
          <t>새땅</t>
        </is>
      </c>
      <c r="P1061" s="4" t="n">
        <v>1</v>
      </c>
      <c r="Q1061" s="4" t="n">
        <v>390</v>
      </c>
      <c r="R1061" s="3" t="inlineStr">
        <is>
          <t>지정되지않음</t>
        </is>
      </c>
      <c r="S1061" s="3" t="inlineStr">
        <is>
          <t>전</t>
        </is>
      </c>
      <c r="T1061" s="3" t="inlineStr">
        <is>
          <t>평지</t>
        </is>
      </c>
      <c r="U1061" s="3" t="inlineStr">
        <is>
          <t>가로장방</t>
        </is>
      </c>
      <c r="V1061" s="3" t="inlineStr">
        <is>
          <t>세로한면(불)</t>
        </is>
      </c>
    </row>
    <row r="1062">
      <c r="A1062" s="3" t="inlineStr">
        <is>
          <t>연서면 고복리 548-16</t>
        </is>
      </c>
      <c r="B1062" s="3" t="inlineStr">
        <is>
          <t>보전관리지역</t>
        </is>
      </c>
      <c r="C1062" s="3" t="inlineStr">
        <is>
          <t>임야</t>
        </is>
      </c>
      <c r="D1062" s="3" t="inlineStr">
        <is>
          <t>임야</t>
        </is>
      </c>
      <c r="E1062" s="3" t="inlineStr">
        <is>
          <t>매매</t>
        </is>
      </c>
      <c r="F1062" s="4" t="n">
        <v>37000</v>
      </c>
      <c r="G1062" s="4" t="n">
        <v>425</v>
      </c>
      <c r="H1062" s="4" t="n">
        <v>129</v>
      </c>
      <c r="I1062" s="5" t="n">
        <v>286.8</v>
      </c>
      <c r="J1062" s="5" t="n">
        <v>46.8</v>
      </c>
      <c r="K1062" s="3" t="inlineStr">
        <is>
          <t>nan</t>
        </is>
      </c>
      <c r="L1062" s="6">
        <f>HYPERLINK("https://fin.land.naver.com/articles/2653834732", "매물Link")</f>
        <v/>
      </c>
      <c r="M1062" s="6">
        <f>HYPERLINK("https://map.naver.com/p/search/연서면 고복리 548-16", "지도Link")</f>
        <v/>
      </c>
      <c r="N1062" s="6">
        <f>HYPERLINK("http://www.eum.go.kr/web/ar/lu/luLandDet.jsp?pnu=3611036024105480016&amp;isNoScr=script&amp;mode=search", "토지이음")</f>
        <v/>
      </c>
      <c r="O1062" s="3" t="inlineStr">
        <is>
          <t>KB</t>
        </is>
      </c>
      <c r="P1062" s="4" t="n">
        <v>1</v>
      </c>
      <c r="Q1062" s="4" t="n">
        <v>756</v>
      </c>
      <c r="R1062" s="3" t="inlineStr">
        <is>
          <t>지정되지않음</t>
        </is>
      </c>
      <c r="S1062" s="3" t="inlineStr">
        <is>
          <t>주거나지</t>
        </is>
      </c>
      <c r="T1062" s="3" t="inlineStr">
        <is>
          <t>완경사</t>
        </is>
      </c>
      <c r="U1062" s="3" t="inlineStr">
        <is>
          <t>사다리형</t>
        </is>
      </c>
      <c r="V1062" s="3" t="inlineStr">
        <is>
          <t>세로한면(가)</t>
        </is>
      </c>
    </row>
    <row r="1063">
      <c r="A1063" s="3" t="inlineStr">
        <is>
          <t>연서면 고복리 556-12</t>
        </is>
      </c>
      <c r="B1063" s="3" t="inlineStr">
        <is>
          <t>보전관리지역</t>
        </is>
      </c>
      <c r="C1063" s="3" t="inlineStr">
        <is>
          <t>답</t>
        </is>
      </c>
      <c r="D1063" s="3" t="inlineStr">
        <is>
          <t>답</t>
        </is>
      </c>
      <c r="E1063" s="3" t="inlineStr">
        <is>
          <t>매매</t>
        </is>
      </c>
      <c r="F1063" s="4" t="n">
        <v>69000</v>
      </c>
      <c r="G1063" s="4" t="n">
        <v>1140</v>
      </c>
      <c r="H1063" s="4" t="n">
        <v>345</v>
      </c>
      <c r="I1063" s="5" t="n">
        <v>200</v>
      </c>
      <c r="J1063" s="5" t="n">
        <v>52.8</v>
      </c>
      <c r="K1063" s="3" t="inlineStr">
        <is>
          <t>고복저수지 최고 조망권을 가진 주택지</t>
        </is>
      </c>
      <c r="L1063" s="6">
        <f>HYPERLINK("https://fin.land.naver.com/articles/2651942581", "매물Link")</f>
        <v/>
      </c>
      <c r="M1063" s="6">
        <f>HYPERLINK("https://map.naver.com/p/search/연서면 고복리 556-12", "지도Link")</f>
        <v/>
      </c>
      <c r="N1063" s="6">
        <f>HYPERLINK("http://www.eum.go.kr/web/ar/lu/luLandDet.jsp?pnu=3611036024105560012&amp;isNoScr=script&amp;mode=search", "토지이음")</f>
        <v/>
      </c>
      <c r="O1063" s="3" t="inlineStr">
        <is>
          <t>용궁</t>
        </is>
      </c>
      <c r="P1063" s="4" t="n">
        <v>1</v>
      </c>
      <c r="Q1063" s="4" t="n">
        <v>1139</v>
      </c>
      <c r="R1063" s="3" t="inlineStr">
        <is>
          <t>지정되지않음</t>
        </is>
      </c>
      <c r="S1063" s="3" t="inlineStr">
        <is>
          <t>전</t>
        </is>
      </c>
      <c r="T1063" s="3" t="inlineStr">
        <is>
          <t>완경사</t>
        </is>
      </c>
      <c r="U1063" s="3" t="inlineStr">
        <is>
          <t>부정형</t>
        </is>
      </c>
      <c r="V1063" s="3" t="inlineStr">
        <is>
          <t>세로한면(가)</t>
        </is>
      </c>
    </row>
    <row r="1064">
      <c r="A1064" s="3" t="inlineStr">
        <is>
          <t>연서면 고복리 556-28</t>
        </is>
      </c>
      <c r="B1064" s="3" t="inlineStr">
        <is>
          <t>보전관리지역</t>
        </is>
      </c>
      <c r="C1064" s="3" t="inlineStr">
        <is>
          <t>대</t>
        </is>
      </c>
      <c r="D1064" s="3" t="inlineStr">
        <is>
          <t>대</t>
        </is>
      </c>
      <c r="E1064" s="3" t="inlineStr">
        <is>
          <t>매매</t>
        </is>
      </c>
      <c r="F1064" s="4" t="n">
        <v>184000</v>
      </c>
      <c r="G1064" s="4" t="n">
        <v>1520</v>
      </c>
      <c r="H1064" s="4" t="n">
        <v>460</v>
      </c>
      <c r="I1064" s="5" t="n">
        <v>400</v>
      </c>
      <c r="J1064" s="5" t="n">
        <v>119.4</v>
      </c>
      <c r="K1064" s="3" t="inlineStr">
        <is>
          <t>2필지 대지와근생건물 일괄매매.고복저수지인접.</t>
        </is>
      </c>
      <c r="L1064" s="6">
        <f>HYPERLINK("https://fin.land.naver.com/articles/2652823595", "매물Link")</f>
        <v/>
      </c>
      <c r="M1064" s="6">
        <f>HYPERLINK("https://map.naver.com/p/search/연서면 고복리 556-28", "지도Link")</f>
        <v/>
      </c>
      <c r="N1064" s="6">
        <f>HYPERLINK("http://www.eum.go.kr/web/ar/lu/luLandDet.jsp?pnu=3611036024105560028&amp;isNoScr=script&amp;mode=search", "토지이음")</f>
        <v/>
      </c>
      <c r="O1064" s="3" t="inlineStr">
        <is>
          <t>담뜰</t>
        </is>
      </c>
      <c r="P1064" s="4" t="n">
        <v>1</v>
      </c>
      <c r="Q1064" s="4" t="n">
        <v>793</v>
      </c>
      <c r="R1064" s="3" t="inlineStr">
        <is>
          <t>지정되지않음</t>
        </is>
      </c>
      <c r="S1064" s="3" t="inlineStr">
        <is>
          <t>주거기타</t>
        </is>
      </c>
      <c r="T1064" s="3" t="inlineStr">
        <is>
          <t>완경사</t>
        </is>
      </c>
      <c r="U1064" s="3" t="inlineStr">
        <is>
          <t>사다리형</t>
        </is>
      </c>
      <c r="V1064" s="3" t="inlineStr">
        <is>
          <t>세로한면(가)</t>
        </is>
      </c>
    </row>
    <row r="1065">
      <c r="A1065" s="3" t="inlineStr">
        <is>
          <t>연서면 고복리 56-10</t>
        </is>
      </c>
      <c r="B1065" s="3" t="inlineStr">
        <is>
          <t>농림지역</t>
        </is>
      </c>
      <c r="C1065" s="3" t="inlineStr">
        <is>
          <t>답</t>
        </is>
      </c>
      <c r="D1065" s="3" t="inlineStr">
        <is>
          <t>답</t>
        </is>
      </c>
      <c r="E1065" s="3" t="inlineStr">
        <is>
          <t>매매</t>
        </is>
      </c>
      <c r="F1065" s="4" t="n">
        <v>24000</v>
      </c>
      <c r="G1065" s="4" t="n">
        <v>2010</v>
      </c>
      <c r="H1065" s="4" t="n">
        <v>608</v>
      </c>
      <c r="I1065" s="5" t="n">
        <v>39.5</v>
      </c>
      <c r="J1065" s="5" t="n">
        <v>22</v>
      </c>
      <c r="K1065" s="3" t="inlineStr">
        <is>
          <t>대토용 및 주말농장</t>
        </is>
      </c>
      <c r="L1065" s="6">
        <f>HYPERLINK("https://fin.land.naver.com/articles/2652095031", "매물Link")</f>
        <v/>
      </c>
      <c r="M1065" s="6">
        <f>HYPERLINK("https://map.naver.com/p/search/연서면 고복리 56-10", "지도Link")</f>
        <v/>
      </c>
      <c r="N1065" s="6">
        <f>HYPERLINK("http://www.eum.go.kr/web/ar/lu/luLandDet.jsp?pnu=3611036024100560010&amp;isNoScr=script&amp;mode=search", "토지이음")</f>
        <v/>
      </c>
      <c r="O1065" s="3" t="inlineStr">
        <is>
          <t>지호주식회사</t>
        </is>
      </c>
      <c r="P1065" s="4" t="n">
        <v>1</v>
      </c>
      <c r="Q1065" s="4" t="n">
        <v>2010</v>
      </c>
      <c r="R1065" s="3" t="inlineStr">
        <is>
          <t>지정되지않음</t>
        </is>
      </c>
      <c r="S1065" s="3" t="inlineStr">
        <is>
          <t>답</t>
        </is>
      </c>
      <c r="T1065" s="3" t="inlineStr">
        <is>
          <t>평지</t>
        </is>
      </c>
      <c r="U1065" s="3" t="inlineStr">
        <is>
          <t>세로장방</t>
        </is>
      </c>
      <c r="V1065" s="3" t="inlineStr">
        <is>
          <t>세로한면(가)</t>
        </is>
      </c>
    </row>
    <row r="1066">
      <c r="A1066" s="3" t="inlineStr">
        <is>
          <t>연서면 고복리 56-10</t>
        </is>
      </c>
      <c r="B1066" s="3" t="inlineStr">
        <is>
          <t>농림지역</t>
        </is>
      </c>
      <c r="C1066" s="3" t="inlineStr">
        <is>
          <t>답</t>
        </is>
      </c>
      <c r="D1066" s="3" t="inlineStr">
        <is>
          <t>답</t>
        </is>
      </c>
      <c r="E1066" s="3" t="inlineStr">
        <is>
          <t>매매</t>
        </is>
      </c>
      <c r="F1066" s="4" t="n">
        <v>21000</v>
      </c>
      <c r="G1066" s="4" t="n">
        <v>2010</v>
      </c>
      <c r="H1066" s="4" t="n">
        <v>608</v>
      </c>
      <c r="I1066" s="5" t="n">
        <v>34.5</v>
      </c>
      <c r="J1066" s="5" t="n">
        <v>22</v>
      </c>
      <c r="K1066" s="3" t="inlineStr">
        <is>
          <t>투자용, 주말 농장용으로 추천 합니다</t>
        </is>
      </c>
      <c r="L1066" s="6">
        <f>HYPERLINK("https://fin.land.naver.com/articles/2650856617", "매물Link")</f>
        <v/>
      </c>
      <c r="M1066" s="6">
        <f>HYPERLINK("https://map.naver.com/p/search/연서면 고복리 56-10", "지도Link")</f>
        <v/>
      </c>
      <c r="N1066" s="6">
        <f>HYPERLINK("http://www.eum.go.kr/web/ar/lu/luLandDet.jsp?pnu=3611036024100560010&amp;isNoScr=script&amp;mode=search", "토지이음")</f>
        <v/>
      </c>
      <c r="O1066" s="3" t="inlineStr">
        <is>
          <t>세종대박</t>
        </is>
      </c>
      <c r="P1066" s="4" t="n">
        <v>1</v>
      </c>
      <c r="Q1066" s="4" t="n">
        <v>2010</v>
      </c>
      <c r="R1066" s="3" t="inlineStr">
        <is>
          <t>지정되지않음</t>
        </is>
      </c>
      <c r="S1066" s="3" t="inlineStr">
        <is>
          <t>답</t>
        </is>
      </c>
      <c r="T1066" s="3" t="inlineStr">
        <is>
          <t>평지</t>
        </is>
      </c>
      <c r="U1066" s="3" t="inlineStr">
        <is>
          <t>세로장방</t>
        </is>
      </c>
      <c r="V1066" s="3" t="inlineStr">
        <is>
          <t>세로한면(가)</t>
        </is>
      </c>
    </row>
    <row r="1067">
      <c r="A1067" s="3" t="inlineStr">
        <is>
          <t>연서면 고복리 589</t>
        </is>
      </c>
      <c r="B1067" s="3" t="inlineStr">
        <is>
          <t>농림지역</t>
        </is>
      </c>
      <c r="C1067" s="3" t="inlineStr">
        <is>
          <t>답</t>
        </is>
      </c>
      <c r="D1067" s="3" t="inlineStr">
        <is>
          <t>답</t>
        </is>
      </c>
      <c r="E1067" s="3" t="inlineStr">
        <is>
          <t>매매</t>
        </is>
      </c>
      <c r="F1067" s="4" t="n">
        <v>108000</v>
      </c>
      <c r="G1067" s="4" t="n">
        <v>3716</v>
      </c>
      <c r="H1067" s="4" t="n">
        <v>1124</v>
      </c>
      <c r="I1067" s="5" t="n">
        <v>96.09999999999999</v>
      </c>
      <c r="J1067" s="5" t="n">
        <v>42.8</v>
      </c>
      <c r="K1067" s="3" t="inlineStr">
        <is>
          <t>대토용, 자경용, 전원주택, 투자용으로 추천.</t>
        </is>
      </c>
      <c r="L1067" s="6">
        <f>HYPERLINK("https://fin.land.naver.com/articles/2650165339", "매물Link")</f>
        <v/>
      </c>
      <c r="M1067" s="6">
        <f>HYPERLINK("https://map.naver.com/p/search/연서면 고복리 589", "지도Link")</f>
        <v/>
      </c>
      <c r="N1067" s="6">
        <f>HYPERLINK("http://www.eum.go.kr/web/ar/lu/luLandDet.jsp?pnu=3611036024105890000&amp;isNoScr=script&amp;mode=search", "토지이음")</f>
        <v/>
      </c>
      <c r="O1067" s="3" t="inlineStr">
        <is>
          <t>세종대장</t>
        </is>
      </c>
      <c r="P1067" s="4" t="n">
        <v>1</v>
      </c>
      <c r="Q1067" s="4" t="n">
        <v>3716</v>
      </c>
      <c r="R1067" s="3" t="inlineStr">
        <is>
          <t>지정되지않음</t>
        </is>
      </c>
      <c r="S1067" s="3" t="inlineStr">
        <is>
          <t>답</t>
        </is>
      </c>
      <c r="T1067" s="3" t="inlineStr">
        <is>
          <t>평지</t>
        </is>
      </c>
      <c r="U1067" s="3" t="inlineStr">
        <is>
          <t>부정형</t>
        </is>
      </c>
      <c r="V1067" s="3" t="inlineStr">
        <is>
          <t>세로한면(불)</t>
        </is>
      </c>
    </row>
    <row r="1068">
      <c r="A1068" s="3" t="inlineStr">
        <is>
          <t>연서면 고복리 97-4</t>
        </is>
      </c>
      <c r="B1068" s="3" t="inlineStr">
        <is>
          <t>생산관리지역</t>
        </is>
      </c>
      <c r="C1068" s="3" t="inlineStr">
        <is>
          <t>답</t>
        </is>
      </c>
      <c r="D1068" s="3" t="inlineStr">
        <is>
          <t>답</t>
        </is>
      </c>
      <c r="E1068" s="3" t="inlineStr">
        <is>
          <t>매매</t>
        </is>
      </c>
      <c r="F1068" s="4" t="n">
        <v>118000</v>
      </c>
      <c r="G1068" s="4" t="n">
        <v>3905</v>
      </c>
      <c r="H1068" s="4" t="n">
        <v>1181</v>
      </c>
      <c r="I1068" s="5" t="n">
        <v>99.90000000000001</v>
      </c>
      <c r="J1068" s="5" t="n">
        <v>24.4</v>
      </c>
      <c r="K1068" s="3" t="inlineStr">
        <is>
          <t>고복저수지 인근의 전원주택지, 3필지</t>
        </is>
      </c>
      <c r="L1068" s="6">
        <f>HYPERLINK("https://fin.land.naver.com/articles/2653296017", "매물Link")</f>
        <v/>
      </c>
      <c r="M1068" s="6">
        <f>HYPERLINK("https://map.naver.com/p/search/연서면 고복리 97-4", "지도Link")</f>
        <v/>
      </c>
      <c r="N1068" s="6">
        <f>HYPERLINK("http://www.eum.go.kr/web/ar/lu/luLandDet.jsp?pnu=3611036024100970004&amp;isNoScr=script&amp;mode=search", "토지이음")</f>
        <v/>
      </c>
      <c r="O1068" s="3" t="inlineStr">
        <is>
          <t>세종공감</t>
        </is>
      </c>
      <c r="P1068" s="4" t="n">
        <v>1</v>
      </c>
      <c r="Q1068" s="4" t="n">
        <v>2787</v>
      </c>
      <c r="R1068" s="3" t="inlineStr">
        <is>
          <t>지정되지않음</t>
        </is>
      </c>
      <c r="S1068" s="3" t="inlineStr">
        <is>
          <t>답</t>
        </is>
      </c>
      <c r="T1068" s="3" t="inlineStr">
        <is>
          <t>완경사</t>
        </is>
      </c>
      <c r="U1068" s="3" t="inlineStr">
        <is>
          <t>부정형</t>
        </is>
      </c>
      <c r="V1068" s="3" t="inlineStr">
        <is>
          <t>맹지</t>
        </is>
      </c>
    </row>
    <row r="1069">
      <c r="A1069" s="3" t="inlineStr">
        <is>
          <t>연서면 고복리 산 34-6</t>
        </is>
      </c>
      <c r="B1069" s="3" t="inlineStr">
        <is>
          <t>보전관리지역</t>
        </is>
      </c>
      <c r="C1069" s="3" t="inlineStr">
        <is>
          <t>임야</t>
        </is>
      </c>
      <c r="D1069" s="3" t="inlineStr">
        <is>
          <t>임야</t>
        </is>
      </c>
      <c r="E1069" s="3" t="inlineStr">
        <is>
          <t>매매</t>
        </is>
      </c>
      <c r="F1069" s="4" t="n">
        <v>100000</v>
      </c>
      <c r="G1069" s="4" t="n">
        <v>3164</v>
      </c>
      <c r="H1069" s="4" t="n">
        <v>957</v>
      </c>
      <c r="I1069" s="5" t="n">
        <v>104.5</v>
      </c>
      <c r="J1069" s="5" t="n">
        <v>4.2</v>
      </c>
      <c r="K1069" s="3" t="inlineStr">
        <is>
          <t>고복저수지가 잘 보이고 포장도로에 접한 경사도 완만한 보전관리지역의 임야</t>
        </is>
      </c>
      <c r="L1069" s="6">
        <f>HYPERLINK("https://fin.land.naver.com/articles/2654113747", "매물Link")</f>
        <v/>
      </c>
      <c r="M1069" s="6">
        <f>HYPERLINK("https://map.naver.com/p/search/연서면 고복리 산 34-6", "지도Link")</f>
        <v/>
      </c>
      <c r="N1069" s="6">
        <f>HYPERLINK("http://www.eum.go.kr/web/ar/lu/luLandDet.jsp?pnu=3611036024200340006&amp;isNoScr=script&amp;mode=search", "토지이음")</f>
        <v/>
      </c>
      <c r="O1069" s="3" t="inlineStr">
        <is>
          <t>스마일세종</t>
        </is>
      </c>
      <c r="P1069" s="4" t="n">
        <v>1</v>
      </c>
      <c r="Q1069" s="4" t="n">
        <v>17717</v>
      </c>
      <c r="R1069" s="3" t="inlineStr">
        <is>
          <t>자연환경보전지역</t>
        </is>
      </c>
      <c r="S1069" s="3" t="inlineStr">
        <is>
          <t>자연림</t>
        </is>
      </c>
      <c r="T1069" s="3" t="inlineStr">
        <is>
          <t>완경사</t>
        </is>
      </c>
      <c r="U1069" s="3" t="inlineStr">
        <is>
          <t>부정형</t>
        </is>
      </c>
      <c r="V1069" s="3" t="inlineStr">
        <is>
          <t>맹지</t>
        </is>
      </c>
    </row>
    <row r="1070">
      <c r="A1070" s="3" t="inlineStr">
        <is>
          <t>연서면 고복리 산102-1</t>
        </is>
      </c>
      <c r="B1070" s="3" t="inlineStr">
        <is>
          <t>농림지역</t>
        </is>
      </c>
      <c r="C1070" s="3" t="inlineStr">
        <is>
          <t>임야</t>
        </is>
      </c>
      <c r="D1070" s="3" t="inlineStr">
        <is>
          <t>임야</t>
        </is>
      </c>
      <c r="E1070" s="3" t="inlineStr">
        <is>
          <t>매매</t>
        </is>
      </c>
      <c r="F1070" s="4" t="n">
        <v>50000</v>
      </c>
      <c r="G1070" s="4" t="n">
        <v>61742</v>
      </c>
      <c r="H1070" s="4" t="n">
        <v>18677</v>
      </c>
      <c r="I1070" s="5" t="n">
        <v>2.7</v>
      </c>
      <c r="J1070" s="5" t="n">
        <v>3.4</v>
      </c>
      <c r="K1070" s="3" t="inlineStr">
        <is>
          <t>명성공인, 급매 연서면 임야 추천 매물</t>
        </is>
      </c>
      <c r="L1070" s="6">
        <f>HYPERLINK("https://fin.land.naver.com/articles/2650852401", "매물Link")</f>
        <v/>
      </c>
      <c r="M1070" s="6">
        <f>HYPERLINK("https://map.naver.com/p/search/연서면 고복리 산102-1", "지도Link")</f>
        <v/>
      </c>
      <c r="N1070" s="6">
        <f>HYPERLINK("http://www.eum.go.kr/web/ar/lu/luLandDet.jsp?pnu=3611036024201020001&amp;isNoScr=script&amp;mode=search", "토지이음")</f>
        <v/>
      </c>
      <c r="O1070" s="3" t="inlineStr">
        <is>
          <t>명성</t>
        </is>
      </c>
      <c r="P1070" s="4" t="n">
        <v>1</v>
      </c>
      <c r="Q1070" s="4" t="n">
        <v>61742</v>
      </c>
      <c r="R1070" s="3" t="inlineStr">
        <is>
          <t>보전관리지역</t>
        </is>
      </c>
      <c r="S1070" s="3" t="inlineStr">
        <is>
          <t>자연림</t>
        </is>
      </c>
      <c r="T1070" s="3" t="inlineStr">
        <is>
          <t>급경사</t>
        </is>
      </c>
      <c r="U1070" s="3" t="inlineStr">
        <is>
          <t>부정형</t>
        </is>
      </c>
      <c r="V1070" s="3" t="inlineStr">
        <is>
          <t>맹지</t>
        </is>
      </c>
    </row>
    <row r="1071">
      <c r="A1071" s="3" t="inlineStr">
        <is>
          <t>연서면 고복리 산96-6</t>
        </is>
      </c>
      <c r="B1071" s="3" t="inlineStr">
        <is>
          <t>보전관리지역</t>
        </is>
      </c>
      <c r="C1071" s="3" t="inlineStr">
        <is>
          <t>목장용지</t>
        </is>
      </c>
      <c r="D1071" s="3" t="inlineStr">
        <is>
          <t>목장용지</t>
        </is>
      </c>
      <c r="E1071" s="3" t="inlineStr">
        <is>
          <t>매매</t>
        </is>
      </c>
      <c r="F1071" s="4" t="n">
        <v>362000</v>
      </c>
      <c r="G1071" s="4" t="n">
        <v>11983</v>
      </c>
      <c r="H1071" s="4" t="n">
        <v>3625</v>
      </c>
      <c r="I1071" s="5" t="n">
        <v>99.90000000000001</v>
      </c>
      <c r="J1071" s="5" t="n">
        <v>10.5</v>
      </c>
      <c r="K1071" s="3" t="inlineStr">
        <is>
          <t>절충가능, 경사도가 완만하여 전원주택부지로 개발하기 최적의 토지입니다.</t>
        </is>
      </c>
      <c r="L1071" s="6">
        <f>HYPERLINK("https://fin.land.naver.com/articles/2653857900", "매물Link")</f>
        <v/>
      </c>
      <c r="M1071" s="6">
        <f>HYPERLINK("https://map.naver.com/p/search/연서면 고복리 산96-6", "지도Link")</f>
        <v/>
      </c>
      <c r="N1071" s="6">
        <f>HYPERLINK("http://www.eum.go.kr/web/ar/lu/luLandDet.jsp?pnu=3611036024200960006&amp;isNoScr=script&amp;mode=search", "토지이음")</f>
        <v/>
      </c>
      <c r="O1071" s="3" t="inlineStr">
        <is>
          <t>스마일세종</t>
        </is>
      </c>
      <c r="P1071" s="4" t="n">
        <v>1</v>
      </c>
      <c r="Q1071" s="4" t="n">
        <v>11983</v>
      </c>
      <c r="R1071" s="3" t="inlineStr">
        <is>
          <t>지정되지않음</t>
        </is>
      </c>
      <c r="S1071" s="3" t="inlineStr">
        <is>
          <t>자연림</t>
        </is>
      </c>
      <c r="T1071" s="3" t="inlineStr">
        <is>
          <t>완경사</t>
        </is>
      </c>
      <c r="U1071" s="3" t="inlineStr">
        <is>
          <t>사다리형</t>
        </is>
      </c>
      <c r="V1071" s="3" t="inlineStr">
        <is>
          <t>세로한면(가)</t>
        </is>
      </c>
    </row>
    <row r="1072">
      <c r="A1072" s="3" t="inlineStr">
        <is>
          <t>연서면 국촌리 166-29</t>
        </is>
      </c>
      <c r="B1072" s="3" t="inlineStr">
        <is>
          <t>계획관리지역</t>
        </is>
      </c>
      <c r="C1072" s="3" t="inlineStr">
        <is>
          <t>임야</t>
        </is>
      </c>
      <c r="D1072" s="3" t="inlineStr">
        <is>
          <t>임야</t>
        </is>
      </c>
      <c r="E1072" s="3" t="inlineStr">
        <is>
          <t>매매</t>
        </is>
      </c>
      <c r="F1072" s="4" t="n">
        <v>222000</v>
      </c>
      <c r="G1072" s="4" t="n">
        <v>3183</v>
      </c>
      <c r="H1072" s="4" t="n">
        <v>963</v>
      </c>
      <c r="I1072" s="5" t="n">
        <v>230.5</v>
      </c>
      <c r="J1072" s="5" t="n">
        <v>27.9</v>
      </c>
      <c r="K1072" s="3" t="inlineStr">
        <is>
          <t>근린상가 건축허가 득한 스마트국가산업단지 인근의 계획관리지역의 평탄한임야</t>
        </is>
      </c>
      <c r="L1072" s="6">
        <f>HYPERLINK("https://fin.land.naver.com/articles/2654122713", "매물Link")</f>
        <v/>
      </c>
      <c r="M1072" s="6">
        <f>HYPERLINK("https://map.naver.com/p/search/연서면 국촌리 166-29", "지도Link")</f>
        <v/>
      </c>
      <c r="N1072" s="6">
        <f>HYPERLINK("http://www.eum.go.kr/web/ar/lu/luLandDet.jsp?pnu=3611036030101660029&amp;isNoScr=script&amp;mode=search", "토지이음")</f>
        <v/>
      </c>
      <c r="O1072" s="3" t="inlineStr">
        <is>
          <t>스마일세종</t>
        </is>
      </c>
      <c r="P1072" s="4" t="n">
        <v>1</v>
      </c>
      <c r="Q1072" s="4" t="n">
        <v>2158</v>
      </c>
      <c r="R1072" s="3" t="inlineStr">
        <is>
          <t>지정되지않음</t>
        </is>
      </c>
      <c r="S1072" s="3" t="inlineStr">
        <is>
          <t>과수원</t>
        </is>
      </c>
      <c r="T1072" s="3" t="inlineStr">
        <is>
          <t>완경사</t>
        </is>
      </c>
      <c r="U1072" s="3" t="inlineStr">
        <is>
          <t>부정형</t>
        </is>
      </c>
      <c r="V1072" s="3" t="inlineStr">
        <is>
          <t>맹지</t>
        </is>
      </c>
    </row>
    <row r="1073">
      <c r="A1073" s="3" t="inlineStr">
        <is>
          <t>연서면 국촌리 24</t>
        </is>
      </c>
      <c r="B1073" s="3" t="inlineStr">
        <is>
          <t>계획관리지역</t>
        </is>
      </c>
      <c r="C1073" s="3" t="inlineStr">
        <is>
          <t>전</t>
        </is>
      </c>
      <c r="D1073" s="3" t="inlineStr">
        <is>
          <t>전</t>
        </is>
      </c>
      <c r="E1073" s="3" t="inlineStr">
        <is>
          <t>매매</t>
        </is>
      </c>
      <c r="F1073" s="4" t="n">
        <v>35000</v>
      </c>
      <c r="G1073" s="4" t="n">
        <v>1015</v>
      </c>
      <c r="H1073" s="4" t="n">
        <v>307</v>
      </c>
      <c r="I1073" s="5" t="n">
        <v>114</v>
      </c>
      <c r="J1073" s="5" t="n">
        <v>56.4</v>
      </c>
      <c r="K1073" s="3" t="inlineStr">
        <is>
          <t>스마트국가산업단지와 북세종IC 인근 계획관리지역 토지로 지가상승 예상.</t>
        </is>
      </c>
      <c r="L1073" s="6">
        <f>HYPERLINK("https://fin.land.naver.com/articles/2650938722", "매물Link")</f>
        <v/>
      </c>
      <c r="M1073" s="6">
        <f>HYPERLINK("https://map.naver.com/p/search/연서면 국촌리 24", "지도Link")</f>
        <v/>
      </c>
      <c r="N1073" s="6">
        <f>HYPERLINK("http://www.eum.go.kr/web/ar/lu/luLandDet.jsp?pnu=3611036030100240000&amp;isNoScr=script&amp;mode=search", "토지이음")</f>
        <v/>
      </c>
      <c r="O1073" s="3" t="inlineStr">
        <is>
          <t>세종대장</t>
        </is>
      </c>
      <c r="P1073" s="4" t="n">
        <v>2</v>
      </c>
      <c r="Q1073" s="4" t="n">
        <v>1015</v>
      </c>
      <c r="R1073" s="3" t="inlineStr">
        <is>
          <t>지정되지않음</t>
        </is>
      </c>
      <c r="S1073" s="3" t="inlineStr">
        <is>
          <t>과수원</t>
        </is>
      </c>
      <c r="T1073" s="3" t="inlineStr">
        <is>
          <t>평지</t>
        </is>
      </c>
      <c r="U1073" s="3" t="inlineStr">
        <is>
          <t>자루형</t>
        </is>
      </c>
      <c r="V1073" s="3" t="inlineStr">
        <is>
          <t>세로한면(불)</t>
        </is>
      </c>
    </row>
    <row r="1074">
      <c r="A1074" s="3" t="inlineStr">
        <is>
          <t>연서면 국촌리 24</t>
        </is>
      </c>
      <c r="B1074" s="3" t="inlineStr">
        <is>
          <t>계획관리지역</t>
        </is>
      </c>
      <c r="C1074" s="3" t="inlineStr">
        <is>
          <t>전</t>
        </is>
      </c>
      <c r="D1074" s="3" t="inlineStr">
        <is>
          <t>전</t>
        </is>
      </c>
      <c r="E1074" s="3" t="inlineStr">
        <is>
          <t>매매</t>
        </is>
      </c>
      <c r="F1074" s="4" t="n">
        <v>35000</v>
      </c>
      <c r="G1074" s="4" t="n">
        <v>1015</v>
      </c>
      <c r="H1074" s="4" t="n">
        <v>307</v>
      </c>
      <c r="I1074" s="5" t="n">
        <v>114</v>
      </c>
      <c r="J1074" s="5" t="n">
        <v>56.4</v>
      </c>
      <c r="K1074" s="3" t="inlineStr">
        <is>
          <t>급매,도로접한 계획관리지역,알토란 토지,가격조정가능</t>
        </is>
      </c>
      <c r="L1074" s="6">
        <f>HYPERLINK("https://fin.land.naver.com/articles/2651676153", "매물Link")</f>
        <v/>
      </c>
      <c r="M1074" s="6">
        <f>HYPERLINK("https://map.naver.com/p/search/연서면 국촌리 24", "지도Link")</f>
        <v/>
      </c>
      <c r="N1074" s="6">
        <f>HYPERLINK("http://www.eum.go.kr/web/ar/lu/luLandDet.jsp?pnu=3611036030100240000&amp;isNoScr=script&amp;mode=search", "토지이음")</f>
        <v/>
      </c>
      <c r="O1074" s="3" t="inlineStr">
        <is>
          <t>고운맘</t>
        </is>
      </c>
      <c r="P1074" s="4" t="n">
        <v>1</v>
      </c>
      <c r="Q1074" s="4" t="n">
        <v>1015</v>
      </c>
      <c r="R1074" s="3" t="inlineStr">
        <is>
          <t>지정되지않음</t>
        </is>
      </c>
      <c r="S1074" s="3" t="inlineStr">
        <is>
          <t>과수원</t>
        </is>
      </c>
      <c r="T1074" s="3" t="inlineStr">
        <is>
          <t>평지</t>
        </is>
      </c>
      <c r="U1074" s="3" t="inlineStr">
        <is>
          <t>자루형</t>
        </is>
      </c>
      <c r="V1074" s="3" t="inlineStr">
        <is>
          <t>세로한면(불)</t>
        </is>
      </c>
    </row>
    <row r="1075">
      <c r="A1075" s="3" t="inlineStr">
        <is>
          <t>연서면 국촌리 53-5</t>
        </is>
      </c>
      <c r="B1075" s="3" t="inlineStr">
        <is>
          <t>농림지역</t>
        </is>
      </c>
      <c r="C1075" s="3" t="inlineStr">
        <is>
          <t>답</t>
        </is>
      </c>
      <c r="D1075" s="3" t="inlineStr">
        <is>
          <t>답</t>
        </is>
      </c>
      <c r="E1075" s="3" t="inlineStr">
        <is>
          <t>매매</t>
        </is>
      </c>
      <c r="F1075" s="4" t="n">
        <v>45000</v>
      </c>
      <c r="G1075" s="4" t="n">
        <v>1663</v>
      </c>
      <c r="H1075" s="4" t="n">
        <v>503</v>
      </c>
      <c r="I1075" s="5" t="n">
        <v>89.5</v>
      </c>
      <c r="J1075" s="5" t="n">
        <v>28.8</v>
      </c>
      <c r="K1075" s="3" t="inlineStr">
        <is>
          <t>대토,투자로 좋은 위치의 토지입니다</t>
        </is>
      </c>
      <c r="L1075" s="6">
        <f>HYPERLINK("https://fin.land.naver.com/articles/2650858546", "매물Link")</f>
        <v/>
      </c>
      <c r="M1075" s="6">
        <f>HYPERLINK("https://map.naver.com/p/search/연서면 국촌리 53-5", "지도Link")</f>
        <v/>
      </c>
      <c r="N1075" s="6">
        <f>HYPERLINK("http://www.eum.go.kr/web/ar/lu/luLandDet.jsp?pnu=3611036030100530005&amp;isNoScr=script&amp;mode=search", "토지이음")</f>
        <v/>
      </c>
      <c r="O1075" s="3" t="inlineStr">
        <is>
          <t>세종대박</t>
        </is>
      </c>
      <c r="P1075" s="4" t="n">
        <v>1</v>
      </c>
      <c r="Q1075" s="4" t="n">
        <v>1663</v>
      </c>
      <c r="R1075" s="3" t="inlineStr">
        <is>
          <t>지정되지않음</t>
        </is>
      </c>
      <c r="S1075" s="3" t="inlineStr">
        <is>
          <t>답</t>
        </is>
      </c>
      <c r="T1075" s="3" t="inlineStr">
        <is>
          <t>평지</t>
        </is>
      </c>
      <c r="U1075" s="3" t="inlineStr">
        <is>
          <t>부정형</t>
        </is>
      </c>
      <c r="V1075" s="3" t="inlineStr">
        <is>
          <t>세로한면(가)</t>
        </is>
      </c>
    </row>
    <row r="1076">
      <c r="A1076" s="3" t="inlineStr">
        <is>
          <t>연서면 국촌리 76-5</t>
        </is>
      </c>
      <c r="B1076" s="3" t="inlineStr">
        <is>
          <t>농림지역</t>
        </is>
      </c>
      <c r="C1076" s="3" t="inlineStr">
        <is>
          <t>전</t>
        </is>
      </c>
      <c r="D1076" s="3" t="inlineStr">
        <is>
          <t>전</t>
        </is>
      </c>
      <c r="E1076" s="3" t="inlineStr">
        <is>
          <t>매매</t>
        </is>
      </c>
      <c r="F1076" s="4" t="n">
        <v>95000</v>
      </c>
      <c r="G1076" s="4" t="n">
        <v>1573</v>
      </c>
      <c r="H1076" s="4" t="n">
        <v>476</v>
      </c>
      <c r="I1076" s="5" t="n">
        <v>199.6</v>
      </c>
      <c r="J1076" s="5" t="n">
        <v>39.5</v>
      </c>
      <c r="K1076" s="3" t="inlineStr">
        <is>
          <t>시내와 가깝고 북세종 IC 인접, 창고에서 월세 나오는 농지</t>
        </is>
      </c>
      <c r="L1076" s="6">
        <f>HYPERLINK("https://fin.land.naver.com/articles/2652066396", "매물Link")</f>
        <v/>
      </c>
      <c r="M1076" s="6">
        <f>HYPERLINK("https://map.naver.com/p/search/연서면 국촌리 76-5", "지도Link")</f>
        <v/>
      </c>
      <c r="N1076" s="6">
        <f>HYPERLINK("http://www.eum.go.kr/web/ar/lu/luLandDet.jsp?pnu=3611036030100760005&amp;isNoScr=script&amp;mode=search", "토지이음")</f>
        <v/>
      </c>
      <c r="O1076" s="3" t="inlineStr">
        <is>
          <t>신와촌</t>
        </is>
      </c>
      <c r="P1076" s="4" t="n">
        <v>1</v>
      </c>
      <c r="Q1076" s="4" t="n">
        <v>1575</v>
      </c>
      <c r="R1076" s="3" t="inlineStr">
        <is>
          <t>지정되지않음</t>
        </is>
      </c>
      <c r="S1076" s="3" t="inlineStr">
        <is>
          <t>전창고</t>
        </is>
      </c>
      <c r="T1076" s="3" t="inlineStr">
        <is>
          <t>평지</t>
        </is>
      </c>
      <c r="U1076" s="3" t="inlineStr">
        <is>
          <t>부정형</t>
        </is>
      </c>
      <c r="V1076" s="3" t="inlineStr">
        <is>
          <t>세로한면(가)</t>
        </is>
      </c>
    </row>
    <row r="1077">
      <c r="A1077" s="3" t="inlineStr">
        <is>
          <t>연서면 기룡리 141</t>
        </is>
      </c>
      <c r="B1077" s="3" t="inlineStr">
        <is>
          <t>생산관리지역</t>
        </is>
      </c>
      <c r="C1077" s="3" t="inlineStr">
        <is>
          <t>전</t>
        </is>
      </c>
      <c r="D1077" s="3" t="inlineStr">
        <is>
          <t>전</t>
        </is>
      </c>
      <c r="E1077" s="3" t="inlineStr">
        <is>
          <t>매매</t>
        </is>
      </c>
      <c r="F1077" s="4" t="n">
        <v>42000</v>
      </c>
      <c r="G1077" s="4" t="n">
        <v>2122</v>
      </c>
      <c r="H1077" s="4" t="n">
        <v>642</v>
      </c>
      <c r="I1077" s="5" t="n">
        <v>65.40000000000001</v>
      </c>
      <c r="J1077" s="5" t="n">
        <v>23.4</v>
      </c>
      <c r="K1077" s="3" t="inlineStr">
        <is>
          <t>스마트 산업단지 인근 토지</t>
        </is>
      </c>
      <c r="L1077" s="6">
        <f>HYPERLINK("https://fin.land.naver.com/articles/2650477202", "매물Link")</f>
        <v/>
      </c>
      <c r="M1077" s="6">
        <f>HYPERLINK("https://map.naver.com/p/search/연서면 기룡리 141", "지도Link")</f>
        <v/>
      </c>
      <c r="N1077" s="6">
        <f>HYPERLINK("http://www.eum.go.kr/web/ar/lu/luLandDet.jsp?pnu=3611036028101410000&amp;isNoScr=script&amp;mode=search", "토지이음")</f>
        <v/>
      </c>
      <c r="O1077" s="3" t="inlineStr">
        <is>
          <t>해들일번지</t>
        </is>
      </c>
      <c r="P1077" s="4" t="n">
        <v>1</v>
      </c>
      <c r="Q1077" s="4" t="n">
        <v>2122</v>
      </c>
      <c r="R1077" s="3" t="inlineStr">
        <is>
          <t>지정되지않음</t>
        </is>
      </c>
      <c r="S1077" s="3" t="inlineStr">
        <is>
          <t>전기타</t>
        </is>
      </c>
      <c r="T1077" s="3" t="inlineStr">
        <is>
          <t>완경사</t>
        </is>
      </c>
      <c r="U1077" s="3" t="inlineStr">
        <is>
          <t>부정형</t>
        </is>
      </c>
      <c r="V1077" s="3" t="inlineStr">
        <is>
          <t>맹지</t>
        </is>
      </c>
    </row>
    <row r="1078">
      <c r="A1078" s="3" t="inlineStr">
        <is>
          <t>연서면 기룡리 156-3</t>
        </is>
      </c>
      <c r="B1078" s="3" t="inlineStr">
        <is>
          <t>생산관리지역</t>
        </is>
      </c>
      <c r="C1078" s="3" t="inlineStr">
        <is>
          <t>답</t>
        </is>
      </c>
      <c r="D1078" s="3" t="inlineStr">
        <is>
          <t>답</t>
        </is>
      </c>
      <c r="E1078" s="3" t="inlineStr">
        <is>
          <t>매매</t>
        </is>
      </c>
      <c r="F1078" s="4" t="n">
        <v>13000</v>
      </c>
      <c r="G1078" s="4" t="n">
        <v>1158</v>
      </c>
      <c r="H1078" s="4" t="n">
        <v>350</v>
      </c>
      <c r="I1078" s="5" t="n">
        <v>37.1</v>
      </c>
      <c r="J1078" s="5" t="n">
        <v>14.5</v>
      </c>
      <c r="K1078" s="3" t="inlineStr">
        <is>
          <t>급매, 토지옆 구거를 이용하여 출입가능</t>
        </is>
      </c>
      <c r="L1078" s="6">
        <f>HYPERLINK("https://fin.land.naver.com/articles/2650478075", "매물Link")</f>
        <v/>
      </c>
      <c r="M1078" s="6">
        <f>HYPERLINK("https://map.naver.com/p/search/연서면 기룡리 156-3", "지도Link")</f>
        <v/>
      </c>
      <c r="N1078" s="6">
        <f>HYPERLINK("http://www.eum.go.kr/web/ar/lu/luLandDet.jsp?pnu=3611036028101560003&amp;isNoScr=script&amp;mode=search", "토지이음")</f>
        <v/>
      </c>
      <c r="O1078" s="3" t="inlineStr">
        <is>
          <t>해들일번지</t>
        </is>
      </c>
      <c r="P1078" s="4" t="n">
        <v>1</v>
      </c>
      <c r="Q1078" s="4" t="n">
        <v>1158</v>
      </c>
      <c r="R1078" s="3" t="inlineStr">
        <is>
          <t>지정되지않음</t>
        </is>
      </c>
      <c r="S1078" s="3" t="inlineStr">
        <is>
          <t>과수원</t>
        </is>
      </c>
      <c r="T1078" s="3" t="inlineStr">
        <is>
          <t>급경사</t>
        </is>
      </c>
      <c r="U1078" s="3" t="inlineStr">
        <is>
          <t>부정형</t>
        </is>
      </c>
      <c r="V1078" s="3" t="inlineStr">
        <is>
          <t>맹지</t>
        </is>
      </c>
    </row>
    <row r="1079">
      <c r="A1079" s="3" t="inlineStr">
        <is>
          <t>연서면 기룡리 156-4</t>
        </is>
      </c>
      <c r="B1079" s="3" t="inlineStr">
        <is>
          <t>생산관리지역</t>
        </is>
      </c>
      <c r="C1079" s="3" t="inlineStr">
        <is>
          <t>답</t>
        </is>
      </c>
      <c r="D1079" s="3" t="inlineStr">
        <is>
          <t>답</t>
        </is>
      </c>
      <c r="E1079" s="3" t="inlineStr">
        <is>
          <t>매매</t>
        </is>
      </c>
      <c r="F1079" s="4" t="n">
        <v>17000</v>
      </c>
      <c r="G1079" s="4" t="n">
        <v>1020</v>
      </c>
      <c r="H1079" s="4" t="n">
        <v>309</v>
      </c>
      <c r="I1079" s="5" t="n">
        <v>55</v>
      </c>
      <c r="J1079" s="5" t="n">
        <v>15</v>
      </c>
      <c r="K1079" s="3" t="inlineStr">
        <is>
          <t>급매, 구거 이용하여 출입 가능함</t>
        </is>
      </c>
      <c r="L1079" s="6">
        <f>HYPERLINK("https://fin.land.naver.com/articles/2652148264", "매물Link")</f>
        <v/>
      </c>
      <c r="M1079" s="6">
        <f>HYPERLINK("https://map.naver.com/p/search/연서면 기룡리 156-4", "지도Link")</f>
        <v/>
      </c>
      <c r="N1079" s="6">
        <f>HYPERLINK("http://www.eum.go.kr/web/ar/lu/luLandDet.jsp?pnu=3611036028101560004&amp;isNoScr=script&amp;mode=search", "토지이음")</f>
        <v/>
      </c>
      <c r="O1079" s="3" t="inlineStr">
        <is>
          <t>해들일번지</t>
        </is>
      </c>
      <c r="P1079" s="4" t="n">
        <v>1</v>
      </c>
      <c r="Q1079" s="4" t="n">
        <v>1020</v>
      </c>
      <c r="R1079" s="3" t="inlineStr">
        <is>
          <t>지정되지않음</t>
        </is>
      </c>
      <c r="S1079" s="3" t="inlineStr">
        <is>
          <t>과수원</t>
        </is>
      </c>
      <c r="T1079" s="3" t="inlineStr">
        <is>
          <t>급경사</t>
        </is>
      </c>
      <c r="U1079" s="3" t="inlineStr">
        <is>
          <t>부정형</t>
        </is>
      </c>
      <c r="V1079" s="3" t="inlineStr">
        <is>
          <t>맹지</t>
        </is>
      </c>
    </row>
    <row r="1080">
      <c r="A1080" s="3" t="inlineStr">
        <is>
          <t>연서면 기룡리 17</t>
        </is>
      </c>
      <c r="B1080" s="3" t="inlineStr">
        <is>
          <t>생산관리지역</t>
        </is>
      </c>
      <c r="C1080" s="3" t="inlineStr">
        <is>
          <t>전</t>
        </is>
      </c>
      <c r="D1080" s="3" t="inlineStr">
        <is>
          <t>전</t>
        </is>
      </c>
      <c r="E1080" s="3" t="inlineStr">
        <is>
          <t>매매</t>
        </is>
      </c>
      <c r="F1080" s="4" t="n">
        <v>63000</v>
      </c>
      <c r="G1080" s="4" t="n">
        <v>2314</v>
      </c>
      <c r="H1080" s="4" t="n">
        <v>700</v>
      </c>
      <c r="I1080" s="5" t="n">
        <v>90</v>
      </c>
      <c r="J1080" s="5" t="n">
        <v>30.7</v>
      </c>
      <c r="K1080" s="3" t="inlineStr">
        <is>
          <t>연서면 기룡리 생산관리 토지, 도로접, 국가산단 인근</t>
        </is>
      </c>
      <c r="L1080" s="6">
        <f>HYPERLINK("https://fin.land.naver.com/articles/2654027615", "매물Link")</f>
        <v/>
      </c>
      <c r="M1080" s="6">
        <f>HYPERLINK("https://map.naver.com/p/search/연서면 기룡리 17", "지도Link")</f>
        <v/>
      </c>
      <c r="N1080" s="6">
        <f>HYPERLINK("http://www.eum.go.kr/web/ar/lu/luLandDet.jsp?pnu=3611036028100170000&amp;isNoScr=script&amp;mode=search", "토지이음")</f>
        <v/>
      </c>
      <c r="O1080" s="3" t="inlineStr">
        <is>
          <t>스카이</t>
        </is>
      </c>
      <c r="P1080" s="4" t="n">
        <v>1</v>
      </c>
      <c r="Q1080" s="4" t="n">
        <v>2314</v>
      </c>
      <c r="R1080" s="3" t="inlineStr">
        <is>
          <t>지정되지않음</t>
        </is>
      </c>
      <c r="S1080" s="3" t="inlineStr">
        <is>
          <t>전</t>
        </is>
      </c>
      <c r="T1080" s="3" t="inlineStr">
        <is>
          <t>평지</t>
        </is>
      </c>
      <c r="U1080" s="3" t="inlineStr">
        <is>
          <t>부정형</t>
        </is>
      </c>
      <c r="V1080" s="3" t="inlineStr">
        <is>
          <t>세로한면(가)</t>
        </is>
      </c>
    </row>
    <row r="1081">
      <c r="A1081" s="3" t="inlineStr">
        <is>
          <t>연서면 기룡리 170-1</t>
        </is>
      </c>
      <c r="B1081" s="3" t="inlineStr">
        <is>
          <t>계획관리지역</t>
        </is>
      </c>
      <c r="C1081" s="3" t="inlineStr">
        <is>
          <t>대</t>
        </is>
      </c>
      <c r="D1081" s="3" t="inlineStr">
        <is>
          <t>대</t>
        </is>
      </c>
      <c r="E1081" s="3" t="inlineStr">
        <is>
          <t>매매</t>
        </is>
      </c>
      <c r="F1081" s="4" t="n">
        <v>50900</v>
      </c>
      <c r="G1081" s="4" t="n">
        <v>1683</v>
      </c>
      <c r="H1081" s="4" t="n">
        <v>509</v>
      </c>
      <c r="I1081" s="5" t="n">
        <v>100</v>
      </c>
      <c r="J1081" s="5" t="n">
        <v>49.5</v>
      </c>
      <c r="K1081" s="3" t="inlineStr">
        <is>
          <t>나대지로 텃밭 주택,창고,주말농장 등이 어울리는 기룡리 토지</t>
        </is>
      </c>
      <c r="L1081" s="6">
        <f>HYPERLINK("https://fin.land.naver.com/articles/2650397810", "매물Link")</f>
        <v/>
      </c>
      <c r="M1081" s="6">
        <f>HYPERLINK("https://map.naver.com/p/search/연서면 기룡리 170-1", "지도Link")</f>
        <v/>
      </c>
      <c r="N1081" s="6">
        <f>HYPERLINK("http://www.eum.go.kr/web/ar/lu/luLandDet.jsp?pnu=3611036028101700001&amp;isNoScr=script&amp;mode=search", "토지이음")</f>
        <v/>
      </c>
      <c r="O1081" s="3" t="inlineStr">
        <is>
          <t>지성</t>
        </is>
      </c>
      <c r="P1081" s="4" t="n">
        <v>1</v>
      </c>
      <c r="Q1081" s="4" t="n">
        <v>1683</v>
      </c>
      <c r="R1081" s="3" t="inlineStr">
        <is>
          <t>지정되지않음</t>
        </is>
      </c>
      <c r="S1081" s="3" t="inlineStr">
        <is>
          <t>주거나지</t>
        </is>
      </c>
      <c r="T1081" s="3" t="inlineStr">
        <is>
          <t>완경사</t>
        </is>
      </c>
      <c r="U1081" s="3" t="inlineStr">
        <is>
          <t>부정형</t>
        </is>
      </c>
      <c r="V1081" s="3" t="inlineStr">
        <is>
          <t>세로한면(불)</t>
        </is>
      </c>
    </row>
    <row r="1082">
      <c r="A1082" s="3" t="inlineStr">
        <is>
          <t>연서면 기룡리 277-1</t>
        </is>
      </c>
      <c r="B1082" s="3" t="inlineStr">
        <is>
          <t>생산관리지역</t>
        </is>
      </c>
      <c r="C1082" s="3" t="inlineStr">
        <is>
          <t>전</t>
        </is>
      </c>
      <c r="D1082" s="3" t="inlineStr">
        <is>
          <t>전</t>
        </is>
      </c>
      <c r="E1082" s="3" t="inlineStr">
        <is>
          <t>매매</t>
        </is>
      </c>
      <c r="F1082" s="4" t="n">
        <v>52000</v>
      </c>
      <c r="G1082" s="4" t="n">
        <v>2152</v>
      </c>
      <c r="H1082" s="4" t="n">
        <v>651</v>
      </c>
      <c r="I1082" s="5" t="n">
        <v>79.90000000000001</v>
      </c>
      <c r="J1082" s="5" t="n">
        <v>44</v>
      </c>
      <c r="K1082" s="3" t="inlineStr">
        <is>
          <t>기룡리토지매매 가격조정가능</t>
        </is>
      </c>
      <c r="L1082" s="6">
        <f>HYPERLINK("https://fin.land.naver.com/articles/2652695872", "매물Link")</f>
        <v/>
      </c>
      <c r="M1082" s="6">
        <f>HYPERLINK("https://map.naver.com/p/search/연서면 기룡리 277-1", "지도Link")</f>
        <v/>
      </c>
      <c r="N1082" s="6">
        <f>HYPERLINK("http://www.eum.go.kr/web/ar/lu/luLandDet.jsp?pnu=3611036028102770001&amp;isNoScr=script&amp;mode=search", "토지이음")</f>
        <v/>
      </c>
      <c r="O1082" s="3" t="inlineStr">
        <is>
          <t>고운동리치세종</t>
        </is>
      </c>
      <c r="P1082" s="4" t="n">
        <v>1</v>
      </c>
      <c r="Q1082" s="4" t="n">
        <v>2152</v>
      </c>
      <c r="R1082" s="3" t="inlineStr">
        <is>
          <t>지정되지않음</t>
        </is>
      </c>
      <c r="S1082" s="3" t="inlineStr">
        <is>
          <t>주거나지</t>
        </is>
      </c>
      <c r="T1082" s="3" t="inlineStr">
        <is>
          <t>평지</t>
        </is>
      </c>
      <c r="U1082" s="3" t="inlineStr">
        <is>
          <t>부정형</t>
        </is>
      </c>
      <c r="V1082" s="3" t="inlineStr">
        <is>
          <t>세로한면(가)</t>
        </is>
      </c>
    </row>
    <row r="1083">
      <c r="A1083" s="3" t="inlineStr">
        <is>
          <t>연서면 기룡리 332-2</t>
        </is>
      </c>
      <c r="B1083" s="3" t="inlineStr">
        <is>
          <t>계획관리지역</t>
        </is>
      </c>
      <c r="C1083" s="3" t="inlineStr">
        <is>
          <t>목장용지</t>
        </is>
      </c>
      <c r="D1083" s="3" t="inlineStr">
        <is>
          <t>목장용지</t>
        </is>
      </c>
      <c r="E1083" s="3" t="inlineStr">
        <is>
          <t>매매</t>
        </is>
      </c>
      <c r="F1083" s="4" t="n">
        <v>327000</v>
      </c>
      <c r="G1083" s="4" t="n">
        <v>9018</v>
      </c>
      <c r="H1083" s="4" t="n">
        <v>2728</v>
      </c>
      <c r="I1083" s="5" t="n">
        <v>119.9</v>
      </c>
      <c r="J1083" s="5" t="n">
        <v>46.1</v>
      </c>
      <c r="K1083" s="3" t="inlineStr">
        <is>
          <t>계획관리지역</t>
        </is>
      </c>
      <c r="L1083" s="6">
        <f>HYPERLINK("https://fin.land.naver.com/articles/2654530925", "매물Link")</f>
        <v/>
      </c>
      <c r="M1083" s="6">
        <f>HYPERLINK("https://map.naver.com/p/search/연서면 기룡리 332-2", "지도Link")</f>
        <v/>
      </c>
      <c r="N1083" s="6">
        <f>HYPERLINK("http://www.eum.go.kr/web/ar/lu/luLandDet.jsp?pnu=3611036028103320002&amp;isNoScr=script&amp;mode=search", "토지이음")</f>
        <v/>
      </c>
      <c r="O1083" s="3" t="inlineStr">
        <is>
          <t>다산</t>
        </is>
      </c>
      <c r="P1083" s="4" t="n">
        <v>1</v>
      </c>
      <c r="Q1083" s="4" t="n">
        <v>9004</v>
      </c>
      <c r="R1083" s="3" t="inlineStr">
        <is>
          <t>지정되지않음</t>
        </is>
      </c>
      <c r="S1083" s="3" t="inlineStr">
        <is>
          <t>전축사</t>
        </is>
      </c>
      <c r="T1083" s="3" t="inlineStr">
        <is>
          <t>완경사</t>
        </is>
      </c>
      <c r="U1083" s="3" t="inlineStr">
        <is>
          <t>사다리형</t>
        </is>
      </c>
      <c r="V1083" s="3" t="inlineStr">
        <is>
          <t>세로한면(가)</t>
        </is>
      </c>
    </row>
    <row r="1084">
      <c r="A1084" s="3" t="inlineStr">
        <is>
          <t>연서면 기룡리 426</t>
        </is>
      </c>
      <c r="B1084" s="3" t="inlineStr">
        <is>
          <t>생산관리지역</t>
        </is>
      </c>
      <c r="C1084" s="3" t="inlineStr">
        <is>
          <t>답</t>
        </is>
      </c>
      <c r="D1084" s="3" t="inlineStr">
        <is>
          <t>답</t>
        </is>
      </c>
      <c r="E1084" s="3" t="inlineStr">
        <is>
          <t>매매</t>
        </is>
      </c>
      <c r="F1084" s="4" t="n">
        <v>16000</v>
      </c>
      <c r="G1084" s="4" t="n">
        <v>654</v>
      </c>
      <c r="H1084" s="4" t="n">
        <v>198</v>
      </c>
      <c r="I1084" s="5" t="n">
        <v>80.8</v>
      </c>
      <c r="J1084" s="5" t="n">
        <v>32.9</v>
      </c>
      <c r="K1084" s="3" t="inlineStr">
        <is>
          <t>기룡리 마을인근 토지매매</t>
        </is>
      </c>
      <c r="L1084" s="6">
        <f>HYPERLINK("https://fin.land.naver.com/articles/2652043441", "매물Link")</f>
        <v/>
      </c>
      <c r="M1084" s="6">
        <f>HYPERLINK("https://map.naver.com/p/search/연서면 기룡리 426", "지도Link")</f>
        <v/>
      </c>
      <c r="N1084" s="6">
        <f>HYPERLINK("http://www.eum.go.kr/web/ar/lu/luLandDet.jsp?pnu=3611036028104260000&amp;isNoScr=script&amp;mode=search", "토지이음")</f>
        <v/>
      </c>
      <c r="O1084" s="3" t="inlineStr">
        <is>
          <t>에이스</t>
        </is>
      </c>
      <c r="P1084" s="4" t="n">
        <v>1</v>
      </c>
      <c r="Q1084" s="4" t="n">
        <v>654</v>
      </c>
      <c r="R1084" s="3" t="inlineStr">
        <is>
          <t>지정되지않음</t>
        </is>
      </c>
      <c r="S1084" s="3" t="inlineStr">
        <is>
          <t>답</t>
        </is>
      </c>
      <c r="T1084" s="3" t="inlineStr">
        <is>
          <t>평지</t>
        </is>
      </c>
      <c r="U1084" s="3" t="inlineStr">
        <is>
          <t>부정형</t>
        </is>
      </c>
      <c r="V1084" s="3" t="inlineStr">
        <is>
          <t>세로각지(가)</t>
        </is>
      </c>
    </row>
    <row r="1085">
      <c r="A1085" s="3" t="inlineStr">
        <is>
          <t>연서면 기룡리 431-1</t>
        </is>
      </c>
      <c r="B1085" s="3" t="inlineStr">
        <is>
          <t>계획관리지역</t>
        </is>
      </c>
      <c r="C1085" s="3" t="inlineStr">
        <is>
          <t>전</t>
        </is>
      </c>
      <c r="D1085" s="3" t="inlineStr">
        <is>
          <t>전</t>
        </is>
      </c>
      <c r="E1085" s="3" t="inlineStr">
        <is>
          <t>매매</t>
        </is>
      </c>
      <c r="F1085" s="4" t="n">
        <v>62500</v>
      </c>
      <c r="G1085" s="4" t="n">
        <v>2952</v>
      </c>
      <c r="H1085" s="4" t="n">
        <v>893</v>
      </c>
      <c r="I1085" s="5" t="n">
        <v>70</v>
      </c>
      <c r="J1085" s="5" t="n">
        <v>39.2</v>
      </c>
      <c r="K1085" s="3" t="inlineStr">
        <is>
          <t>기룡리 계획관리지역 지목이 전으로 총2필지 일괄로 급매.</t>
        </is>
      </c>
      <c r="L1085" s="6">
        <f>HYPERLINK("https://fin.land.naver.com/articles/2651207447", "매물Link")</f>
        <v/>
      </c>
      <c r="M1085" s="6">
        <f>HYPERLINK("https://map.naver.com/p/search/연서면 기룡리 431-1", "지도Link")</f>
        <v/>
      </c>
      <c r="N1085" s="6">
        <f>HYPERLINK("http://www.eum.go.kr/web/ar/lu/luLandDet.jsp?pnu=3611036028104310001&amp;isNoScr=script&amp;mode=search", "토지이음")</f>
        <v/>
      </c>
      <c r="O1085" s="3" t="inlineStr">
        <is>
          <t>세종대장</t>
        </is>
      </c>
      <c r="P1085" s="4" t="n">
        <v>1</v>
      </c>
      <c r="Q1085" s="4" t="n">
        <v>2483</v>
      </c>
      <c r="R1085" s="3" t="inlineStr">
        <is>
          <t>지정되지않음</t>
        </is>
      </c>
      <c r="S1085" s="3" t="inlineStr">
        <is>
          <t>전</t>
        </is>
      </c>
      <c r="T1085" s="3" t="inlineStr">
        <is>
          <t>평지</t>
        </is>
      </c>
      <c r="U1085" s="3" t="inlineStr">
        <is>
          <t>부정형</t>
        </is>
      </c>
      <c r="V1085" s="3" t="inlineStr">
        <is>
          <t>세로한면(가)</t>
        </is>
      </c>
    </row>
    <row r="1086">
      <c r="A1086" s="3" t="inlineStr">
        <is>
          <t>연서면 기룡리 444</t>
        </is>
      </c>
      <c r="B1086" s="3" t="inlineStr">
        <is>
          <t>생산관리지역</t>
        </is>
      </c>
      <c r="C1086" s="3" t="inlineStr">
        <is>
          <t>답</t>
        </is>
      </c>
      <c r="D1086" s="3" t="inlineStr">
        <is>
          <t>답</t>
        </is>
      </c>
      <c r="E1086" s="3" t="inlineStr">
        <is>
          <t>매매</t>
        </is>
      </c>
      <c r="F1086" s="4" t="n">
        <v>63000</v>
      </c>
      <c r="G1086" s="4" t="n">
        <v>2971</v>
      </c>
      <c r="H1086" s="4" t="n">
        <v>899</v>
      </c>
      <c r="I1086" s="5" t="n">
        <v>70.09999999999999</v>
      </c>
      <c r="J1086" s="5" t="n">
        <v>30.8</v>
      </c>
      <c r="K1086" s="3" t="inlineStr">
        <is>
          <t>연서면 기룡리 마을 포장도로에 접한 생산관리지역의 토지 입니다.</t>
        </is>
      </c>
      <c r="L1086" s="6">
        <f>HYPERLINK("https://fin.land.naver.com/articles/2652190431", "매물Link")</f>
        <v/>
      </c>
      <c r="M1086" s="6">
        <f>HYPERLINK("https://map.naver.com/p/search/연서면 기룡리 444", "지도Link")</f>
        <v/>
      </c>
      <c r="N1086" s="6">
        <f>HYPERLINK("http://www.eum.go.kr/web/ar/lu/luLandDet.jsp?pnu=3611036028104440000&amp;isNoScr=script&amp;mode=search", "토지이음")</f>
        <v/>
      </c>
      <c r="O1086" s="3" t="inlineStr">
        <is>
          <t>스마일세종</t>
        </is>
      </c>
      <c r="P1086" s="4" t="n">
        <v>1</v>
      </c>
      <c r="Q1086" s="4" t="n">
        <v>2971</v>
      </c>
      <c r="R1086" s="3" t="inlineStr">
        <is>
          <t>지정되지않음</t>
        </is>
      </c>
      <c r="S1086" s="3" t="inlineStr">
        <is>
          <t>답</t>
        </is>
      </c>
      <c r="T1086" s="3" t="inlineStr">
        <is>
          <t>평지</t>
        </is>
      </c>
      <c r="U1086" s="3" t="inlineStr">
        <is>
          <t>부정형</t>
        </is>
      </c>
      <c r="V1086" s="3" t="inlineStr">
        <is>
          <t>세로한면(가)</t>
        </is>
      </c>
    </row>
    <row r="1087">
      <c r="A1087" s="3" t="inlineStr">
        <is>
          <t>연서면 기룡리 484</t>
        </is>
      </c>
      <c r="B1087" s="3" t="inlineStr">
        <is>
          <t>생산관리지역</t>
        </is>
      </c>
      <c r="C1087" s="3" t="inlineStr">
        <is>
          <t>답</t>
        </is>
      </c>
      <c r="D1087" s="3" t="inlineStr">
        <is>
          <t>답</t>
        </is>
      </c>
      <c r="E1087" s="3" t="inlineStr">
        <is>
          <t>매매</t>
        </is>
      </c>
      <c r="F1087" s="4" t="n">
        <v>75000</v>
      </c>
      <c r="G1087" s="4" t="n">
        <v>2886</v>
      </c>
      <c r="H1087" s="4" t="n">
        <v>873</v>
      </c>
      <c r="I1087" s="5" t="n">
        <v>85.90000000000001</v>
      </c>
      <c r="J1087" s="5" t="n">
        <v>27.3</v>
      </c>
      <c r="K1087" s="3" t="inlineStr">
        <is>
          <t>보상이 시작된 세종국가산단과 인접하여 투자가치가 높음</t>
        </is>
      </c>
      <c r="L1087" s="6">
        <f>HYPERLINK("https://fin.land.naver.com/articles/2652786098", "매물Link")</f>
        <v/>
      </c>
      <c r="M1087" s="6">
        <f>HYPERLINK("https://map.naver.com/p/search/연서면 기룡리 484", "지도Link")</f>
        <v/>
      </c>
      <c r="N1087" s="6">
        <f>HYPERLINK("http://www.eum.go.kr/web/ar/lu/luLandDet.jsp?pnu=3611036028104840000&amp;isNoScr=script&amp;mode=search", "토지이음")</f>
        <v/>
      </c>
      <c r="O1087" s="3" t="inlineStr">
        <is>
          <t>가람</t>
        </is>
      </c>
      <c r="P1087" s="4" t="n">
        <v>1</v>
      </c>
      <c r="Q1087" s="4" t="n">
        <v>2886</v>
      </c>
      <c r="R1087" s="3" t="inlineStr">
        <is>
          <t>지정되지않음</t>
        </is>
      </c>
      <c r="S1087" s="3" t="inlineStr">
        <is>
          <t>답</t>
        </is>
      </c>
      <c r="T1087" s="3" t="inlineStr">
        <is>
          <t>완경사</t>
        </is>
      </c>
      <c r="U1087" s="3" t="inlineStr">
        <is>
          <t>부정형</t>
        </is>
      </c>
      <c r="V1087" s="3" t="inlineStr">
        <is>
          <t>세로한면(가)</t>
        </is>
      </c>
    </row>
    <row r="1088">
      <c r="A1088" s="3" t="inlineStr">
        <is>
          <t>연서면 기룡리 51-2</t>
        </is>
      </c>
      <c r="B1088" s="3" t="inlineStr">
        <is>
          <t>계획관리지역</t>
        </is>
      </c>
      <c r="C1088" s="3" t="inlineStr">
        <is>
          <t>대</t>
        </is>
      </c>
      <c r="D1088" s="3" t="inlineStr">
        <is>
          <t>대</t>
        </is>
      </c>
      <c r="E1088" s="3" t="inlineStr">
        <is>
          <t>매매</t>
        </is>
      </c>
      <c r="F1088" s="4" t="n">
        <v>21000</v>
      </c>
      <c r="G1088" s="4" t="n">
        <v>252</v>
      </c>
      <c r="H1088" s="4" t="n">
        <v>76</v>
      </c>
      <c r="I1088" s="5" t="n">
        <v>276.3</v>
      </c>
      <c r="J1088" s="5" t="n">
        <v>73.2</v>
      </c>
      <c r="K1088" s="3" t="inlineStr">
        <is>
          <t>급매 가격조정가능</t>
        </is>
      </c>
      <c r="L1088" s="6">
        <f>HYPERLINK("https://fin.land.naver.com/articles/2654418965", "매물Link")</f>
        <v/>
      </c>
      <c r="M1088" s="6">
        <f>HYPERLINK("https://map.naver.com/p/search/연서면 기룡리 51-2", "지도Link")</f>
        <v/>
      </c>
      <c r="N1088" s="6">
        <f>HYPERLINK("http://www.eum.go.kr/web/ar/lu/luLandDet.jsp?pnu=3611036028100510002&amp;isNoScr=script&amp;mode=search", "토지이음")</f>
        <v/>
      </c>
      <c r="O1088" s="3" t="inlineStr">
        <is>
          <t>그래그</t>
        </is>
      </c>
      <c r="P1088" s="4" t="n">
        <v>1</v>
      </c>
      <c r="Q1088" s="4" t="n">
        <v>252</v>
      </c>
      <c r="R1088" s="3" t="inlineStr">
        <is>
          <t>지정되지않음</t>
        </is>
      </c>
      <c r="S1088" s="3" t="inlineStr">
        <is>
          <t>단독</t>
        </is>
      </c>
      <c r="T1088" s="3" t="inlineStr">
        <is>
          <t>평지</t>
        </is>
      </c>
      <c r="U1088" s="3" t="inlineStr">
        <is>
          <t>부정형</t>
        </is>
      </c>
      <c r="V1088" s="3" t="inlineStr">
        <is>
          <t>소로한면</t>
        </is>
      </c>
    </row>
    <row r="1089">
      <c r="A1089" s="3" t="inlineStr">
        <is>
          <t>연서면 기룡리 52-12</t>
        </is>
      </c>
      <c r="B1089" s="3" t="inlineStr">
        <is>
          <t>계획관리지역</t>
        </is>
      </c>
      <c r="C1089" s="3" t="inlineStr">
        <is>
          <t>양어장</t>
        </is>
      </c>
      <c r="D1089" s="3" t="inlineStr">
        <is>
          <t>양어장</t>
        </is>
      </c>
      <c r="E1089" s="3" t="inlineStr">
        <is>
          <t>매매</t>
        </is>
      </c>
      <c r="F1089" s="4" t="n">
        <v>79000</v>
      </c>
      <c r="G1089" s="4" t="n">
        <v>965</v>
      </c>
      <c r="H1089" s="4" t="n">
        <v>292</v>
      </c>
      <c r="I1089" s="5" t="n">
        <v>270.5</v>
      </c>
      <c r="J1089" s="5" t="n">
        <v>46.6</v>
      </c>
      <c r="K1089" s="3" t="inlineStr">
        <is>
          <t>연서면 기룡리 개발된 계획관리 토지, 양어장, 국가산단 인근, 건축 추천</t>
        </is>
      </c>
      <c r="L1089" s="6">
        <f>HYPERLINK("https://fin.land.naver.com/articles/2654030100", "매물Link")</f>
        <v/>
      </c>
      <c r="M1089" s="6">
        <f>HYPERLINK("https://map.naver.com/p/search/연서면 기룡리 52-12", "지도Link")</f>
        <v/>
      </c>
      <c r="N1089" s="6">
        <f>HYPERLINK("http://www.eum.go.kr/web/ar/lu/luLandDet.jsp?pnu=3611036028100520012&amp;isNoScr=script&amp;mode=search", "토지이음")</f>
        <v/>
      </c>
      <c r="O1089" s="3" t="inlineStr">
        <is>
          <t>스카이</t>
        </is>
      </c>
      <c r="P1089" s="4" t="n">
        <v>1</v>
      </c>
      <c r="Q1089" s="4" t="n">
        <v>417</v>
      </c>
      <c r="R1089" s="3" t="inlineStr">
        <is>
          <t>지정되지않음</t>
        </is>
      </c>
      <c r="S1089" s="3" t="inlineStr">
        <is>
          <t>전기타</t>
        </is>
      </c>
      <c r="T1089" s="3" t="inlineStr">
        <is>
          <t>평지</t>
        </is>
      </c>
      <c r="U1089" s="3" t="inlineStr">
        <is>
          <t>사다리형</t>
        </is>
      </c>
      <c r="V1089" s="3" t="inlineStr">
        <is>
          <t>소로한면</t>
        </is>
      </c>
    </row>
    <row r="1090">
      <c r="A1090" s="3" t="inlineStr">
        <is>
          <t>연서면 기룡리 52-14</t>
        </is>
      </c>
      <c r="B1090" s="3" t="inlineStr">
        <is>
          <t>계획관리지역</t>
        </is>
      </c>
      <c r="C1090" s="3" t="inlineStr">
        <is>
          <t>양어장</t>
        </is>
      </c>
      <c r="D1090" s="3" t="inlineStr">
        <is>
          <t>양어장</t>
        </is>
      </c>
      <c r="E1090" s="3" t="inlineStr">
        <is>
          <t>매매</t>
        </is>
      </c>
      <c r="F1090" s="4" t="n">
        <v>39000</v>
      </c>
      <c r="G1090" s="4" t="n">
        <v>503</v>
      </c>
      <c r="H1090" s="4" t="n">
        <v>152</v>
      </c>
      <c r="I1090" s="5" t="n">
        <v>256.6</v>
      </c>
      <c r="J1090" s="5" t="n">
        <v>46.6</v>
      </c>
      <c r="K1090" s="3" t="inlineStr">
        <is>
          <t>계획관리지역 양어장</t>
        </is>
      </c>
      <c r="L1090" s="6">
        <f>HYPERLINK("https://fin.land.naver.com/articles/2654419815", "매물Link")</f>
        <v/>
      </c>
      <c r="M1090" s="6">
        <f>HYPERLINK("https://map.naver.com/p/search/연서면 기룡리 52-14", "지도Link")</f>
        <v/>
      </c>
      <c r="N1090" s="6">
        <f>HYPERLINK("http://www.eum.go.kr/web/ar/lu/luLandDet.jsp?pnu=3611036028100520014&amp;isNoScr=script&amp;mode=search", "토지이음")</f>
        <v/>
      </c>
      <c r="O1090" s="3" t="inlineStr">
        <is>
          <t>그래그</t>
        </is>
      </c>
      <c r="P1090" s="4" t="n">
        <v>1</v>
      </c>
      <c r="Q1090" s="4" t="n">
        <v>503</v>
      </c>
      <c r="R1090" s="3" t="inlineStr">
        <is>
          <t>지정되지않음</t>
        </is>
      </c>
      <c r="S1090" s="3" t="inlineStr">
        <is>
          <t>전기타</t>
        </is>
      </c>
      <c r="T1090" s="3" t="inlineStr">
        <is>
          <t>평지</t>
        </is>
      </c>
      <c r="U1090" s="3" t="inlineStr">
        <is>
          <t>가로장방</t>
        </is>
      </c>
      <c r="V1090" s="3" t="inlineStr">
        <is>
          <t>소로한면</t>
        </is>
      </c>
    </row>
    <row r="1091">
      <c r="A1091" s="3" t="inlineStr">
        <is>
          <t>연서면 기룡리 52-14</t>
        </is>
      </c>
      <c r="B1091" s="3" t="inlineStr">
        <is>
          <t>계획관리지역</t>
        </is>
      </c>
      <c r="C1091" s="3" t="inlineStr">
        <is>
          <t>양어장</t>
        </is>
      </c>
      <c r="D1091" s="3" t="inlineStr">
        <is>
          <t>양어장</t>
        </is>
      </c>
      <c r="E1091" s="3" t="inlineStr">
        <is>
          <t>매매</t>
        </is>
      </c>
      <c r="F1091" s="4" t="n">
        <v>80000</v>
      </c>
      <c r="G1091" s="4" t="n">
        <v>1028</v>
      </c>
      <c r="H1091" s="4" t="n">
        <v>311</v>
      </c>
      <c r="I1091" s="5" t="n">
        <v>257.2</v>
      </c>
      <c r="J1091" s="5" t="n">
        <v>46.6</v>
      </c>
      <c r="K1091" s="3" t="inlineStr">
        <is>
          <t>연서면 기룡리 개발된 계획관리 토지, 국가산단 인근, 양어장, 건축 추천</t>
        </is>
      </c>
      <c r="L1091" s="6">
        <f>HYPERLINK("https://fin.land.naver.com/articles/2654030029", "매물Link")</f>
        <v/>
      </c>
      <c r="M1091" s="6">
        <f>HYPERLINK("https://map.naver.com/p/search/연서면 기룡리 52-14", "지도Link")</f>
        <v/>
      </c>
      <c r="N1091" s="6">
        <f>HYPERLINK("http://www.eum.go.kr/web/ar/lu/luLandDet.jsp?pnu=3611036028100520014&amp;isNoScr=script&amp;mode=search", "토지이음")</f>
        <v/>
      </c>
      <c r="O1091" s="3" t="inlineStr">
        <is>
          <t>스카이</t>
        </is>
      </c>
      <c r="P1091" s="4" t="n">
        <v>1</v>
      </c>
      <c r="Q1091" s="4" t="n">
        <v>503</v>
      </c>
      <c r="R1091" s="3" t="inlineStr">
        <is>
          <t>지정되지않음</t>
        </is>
      </c>
      <c r="S1091" s="3" t="inlineStr">
        <is>
          <t>전기타</t>
        </is>
      </c>
      <c r="T1091" s="3" t="inlineStr">
        <is>
          <t>평지</t>
        </is>
      </c>
      <c r="U1091" s="3" t="inlineStr">
        <is>
          <t>가로장방</t>
        </is>
      </c>
      <c r="V1091" s="3" t="inlineStr">
        <is>
          <t>소로한면</t>
        </is>
      </c>
    </row>
    <row r="1092">
      <c r="A1092" s="3" t="inlineStr">
        <is>
          <t>연서면 기룡리 52-17</t>
        </is>
      </c>
      <c r="B1092" s="3" t="inlineStr">
        <is>
          <t>계획관리지역</t>
        </is>
      </c>
      <c r="C1092" s="3" t="inlineStr">
        <is>
          <t>양어장</t>
        </is>
      </c>
      <c r="D1092" s="3" t="inlineStr">
        <is>
          <t>양어장</t>
        </is>
      </c>
      <c r="E1092" s="3" t="inlineStr">
        <is>
          <t>매매</t>
        </is>
      </c>
      <c r="F1092" s="4" t="n">
        <v>21000</v>
      </c>
      <c r="G1092" s="4" t="n">
        <v>254</v>
      </c>
      <c r="H1092" s="4" t="n">
        <v>77</v>
      </c>
      <c r="I1092" s="5" t="n">
        <v>272.7</v>
      </c>
      <c r="J1092" s="5" t="n">
        <v>44.4</v>
      </c>
      <c r="K1092" s="3" t="inlineStr">
        <is>
          <t>급매 가격조정가능</t>
        </is>
      </c>
      <c r="L1092" s="6">
        <f>HYPERLINK("https://fin.land.naver.com/articles/2654419075", "매물Link")</f>
        <v/>
      </c>
      <c r="M1092" s="6">
        <f>HYPERLINK("https://map.naver.com/p/search/연서면 기룡리 52-17", "지도Link")</f>
        <v/>
      </c>
      <c r="N1092" s="6">
        <f>HYPERLINK("http://www.eum.go.kr/web/ar/lu/luLandDet.jsp?pnu=3611036028100520017&amp;isNoScr=script&amp;mode=search", "토지이음")</f>
        <v/>
      </c>
      <c r="O1092" s="3" t="inlineStr">
        <is>
          <t>그래그</t>
        </is>
      </c>
      <c r="P1092" s="4" t="n">
        <v>1</v>
      </c>
      <c r="Q1092" s="4" t="n">
        <v>254</v>
      </c>
      <c r="R1092" s="3" t="inlineStr">
        <is>
          <t>지정되지않음</t>
        </is>
      </c>
      <c r="S1092" s="3" t="inlineStr">
        <is>
          <t>전기타</t>
        </is>
      </c>
      <c r="T1092" s="3" t="inlineStr">
        <is>
          <t>평지</t>
        </is>
      </c>
      <c r="U1092" s="3" t="inlineStr">
        <is>
          <t>부정형</t>
        </is>
      </c>
      <c r="V1092" s="3" t="inlineStr">
        <is>
          <t>소로한면</t>
        </is>
      </c>
    </row>
    <row r="1093">
      <c r="A1093" s="3" t="inlineStr">
        <is>
          <t>연서면 기룡리 52-6</t>
        </is>
      </c>
      <c r="B1093" s="3" t="inlineStr">
        <is>
          <t>계획관리지역</t>
        </is>
      </c>
      <c r="C1093" s="3" t="inlineStr">
        <is>
          <t>양어장</t>
        </is>
      </c>
      <c r="D1093" s="3" t="inlineStr">
        <is>
          <t>양어장</t>
        </is>
      </c>
      <c r="E1093" s="3" t="inlineStr">
        <is>
          <t>매매</t>
        </is>
      </c>
      <c r="F1093" s="4" t="n">
        <v>35000</v>
      </c>
      <c r="G1093" s="4" t="n">
        <v>430</v>
      </c>
      <c r="H1093" s="4" t="n">
        <v>130</v>
      </c>
      <c r="I1093" s="5" t="n">
        <v>269.2</v>
      </c>
      <c r="J1093" s="5" t="n">
        <v>44.4</v>
      </c>
      <c r="K1093" s="3" t="inlineStr">
        <is>
          <t>계획관리지역 양어장</t>
        </is>
      </c>
      <c r="L1093" s="6">
        <f>HYPERLINK("https://fin.land.naver.com/articles/2654422292", "매물Link")</f>
        <v/>
      </c>
      <c r="M1093" s="6">
        <f>HYPERLINK("https://map.naver.com/p/search/연서면 기룡리 52-6", "지도Link")</f>
        <v/>
      </c>
      <c r="N1093" s="6">
        <f>HYPERLINK("http://www.eum.go.kr/web/ar/lu/luLandDet.jsp?pnu=3611036028100520006&amp;isNoScr=script&amp;mode=search", "토지이음")</f>
        <v/>
      </c>
      <c r="O1093" s="3" t="inlineStr">
        <is>
          <t>그래그</t>
        </is>
      </c>
      <c r="P1093" s="4" t="n">
        <v>1</v>
      </c>
      <c r="Q1093" s="4" t="n">
        <v>430</v>
      </c>
      <c r="R1093" s="3" t="inlineStr">
        <is>
          <t>지정되지않음</t>
        </is>
      </c>
      <c r="S1093" s="3" t="inlineStr">
        <is>
          <t>전기타</t>
        </is>
      </c>
      <c r="T1093" s="3" t="inlineStr">
        <is>
          <t>평지</t>
        </is>
      </c>
      <c r="U1093" s="3" t="inlineStr">
        <is>
          <t>부정형</t>
        </is>
      </c>
      <c r="V1093" s="3" t="inlineStr">
        <is>
          <t>소로한면</t>
        </is>
      </c>
    </row>
    <row r="1094">
      <c r="A1094" s="3" t="inlineStr">
        <is>
          <t>연서면 기룡리 526-2</t>
        </is>
      </c>
      <c r="B1094" s="3" t="inlineStr">
        <is>
          <t>생산관리지역</t>
        </is>
      </c>
      <c r="C1094" s="3" t="inlineStr">
        <is>
          <t>답</t>
        </is>
      </c>
      <c r="D1094" s="3" t="inlineStr">
        <is>
          <t>전</t>
        </is>
      </c>
      <c r="E1094" s="3" t="inlineStr">
        <is>
          <t>매매</t>
        </is>
      </c>
      <c r="F1094" s="4" t="n">
        <v>26940</v>
      </c>
      <c r="G1094" s="4" t="n">
        <v>1486</v>
      </c>
      <c r="H1094" s="4" t="n">
        <v>450</v>
      </c>
      <c r="I1094" s="5" t="n">
        <v>59.9</v>
      </c>
      <c r="J1094" s="5" t="n">
        <v>28.9</v>
      </c>
      <c r="K1094" s="3" t="inlineStr">
        <is>
          <t>기룡리 생산관리지역으로 지목이 전이나 과수원으로 이용중.</t>
        </is>
      </c>
      <c r="L1094" s="6">
        <f>HYPERLINK("https://fin.land.naver.com/articles/2651207894", "매물Link")</f>
        <v/>
      </c>
      <c r="M1094" s="6">
        <f>HYPERLINK("https://map.naver.com/p/search/연서면 기룡리 526-2", "지도Link")</f>
        <v/>
      </c>
      <c r="N1094" s="6">
        <f>HYPERLINK("http://www.eum.go.kr/web/ar/lu/luLandDet.jsp?pnu=3611036028105260002&amp;isNoScr=script&amp;mode=search", "토지이음")</f>
        <v/>
      </c>
      <c r="O1094" s="3" t="inlineStr">
        <is>
          <t>세종대장</t>
        </is>
      </c>
      <c r="P1094" s="4" t="n">
        <v>1</v>
      </c>
      <c r="Q1094" s="4" t="n">
        <v>1486</v>
      </c>
      <c r="R1094" s="3" t="inlineStr">
        <is>
          <t>지정되지않음</t>
        </is>
      </c>
      <c r="S1094" s="3" t="inlineStr">
        <is>
          <t>전</t>
        </is>
      </c>
      <c r="T1094" s="3" t="inlineStr">
        <is>
          <t>완경사</t>
        </is>
      </c>
      <c r="U1094" s="3" t="inlineStr">
        <is>
          <t>부정형</t>
        </is>
      </c>
      <c r="V1094" s="3" t="inlineStr">
        <is>
          <t>세로한면(가)</t>
        </is>
      </c>
    </row>
    <row r="1095">
      <c r="A1095" s="3" t="inlineStr">
        <is>
          <t>연서면 기룡리 589-1</t>
        </is>
      </c>
      <c r="B1095" s="3" t="inlineStr">
        <is>
          <t>생산관리지역</t>
        </is>
      </c>
      <c r="C1095" s="3" t="inlineStr">
        <is>
          <t>전</t>
        </is>
      </c>
      <c r="D1095" s="3" t="inlineStr">
        <is>
          <t>전</t>
        </is>
      </c>
      <c r="E1095" s="3" t="inlineStr">
        <is>
          <t>매매</t>
        </is>
      </c>
      <c r="F1095" s="4" t="n">
        <v>39500</v>
      </c>
      <c r="G1095" s="4" t="n">
        <v>1729</v>
      </c>
      <c r="H1095" s="4" t="n">
        <v>523</v>
      </c>
      <c r="I1095" s="5" t="n">
        <v>75.5</v>
      </c>
      <c r="J1095" s="5" t="n">
        <v>29.9</v>
      </c>
      <c r="K1095" s="3" t="inlineStr">
        <is>
          <t>기반 시설이 완비되어 있는 밭 과 농막 기룡리 토지매매</t>
        </is>
      </c>
      <c r="L1095" s="6">
        <f>HYPERLINK("https://fin.land.naver.com/articles/2654589326", "매물Link")</f>
        <v/>
      </c>
      <c r="M1095" s="6">
        <f>HYPERLINK("https://map.naver.com/p/search/연서면 기룡리 589-1", "지도Link")</f>
        <v/>
      </c>
      <c r="N1095" s="6">
        <f>HYPERLINK("http://www.eum.go.kr/web/ar/lu/luLandDet.jsp?pnu=3611036028105890001&amp;isNoScr=script&amp;mode=search", "토지이음")</f>
        <v/>
      </c>
      <c r="O1095" s="3" t="inlineStr">
        <is>
          <t>지성</t>
        </is>
      </c>
      <c r="P1095" s="4" t="n">
        <v>1</v>
      </c>
      <c r="Q1095" s="4" t="n">
        <v>1729</v>
      </c>
      <c r="R1095" s="3" t="inlineStr">
        <is>
          <t>지정되지않음</t>
        </is>
      </c>
      <c r="S1095" s="3" t="inlineStr">
        <is>
          <t>전</t>
        </is>
      </c>
      <c r="T1095" s="3" t="inlineStr">
        <is>
          <t>완경사</t>
        </is>
      </c>
      <c r="U1095" s="3" t="inlineStr">
        <is>
          <t>부정형</t>
        </is>
      </c>
      <c r="V1095" s="3" t="inlineStr">
        <is>
          <t>세로한면(가)</t>
        </is>
      </c>
    </row>
    <row r="1096">
      <c r="A1096" s="3" t="inlineStr">
        <is>
          <t>연서면 기룡리 599</t>
        </is>
      </c>
      <c r="B1096" s="3" t="inlineStr">
        <is>
          <t>생산관리지역</t>
        </is>
      </c>
      <c r="C1096" s="3" t="inlineStr">
        <is>
          <t>전</t>
        </is>
      </c>
      <c r="D1096" s="3" t="inlineStr">
        <is>
          <t>전</t>
        </is>
      </c>
      <c r="E1096" s="3" t="inlineStr">
        <is>
          <t>매매</t>
        </is>
      </c>
      <c r="F1096" s="4" t="n">
        <v>30000</v>
      </c>
      <c r="G1096" s="4" t="n">
        <v>1246</v>
      </c>
      <c r="H1096" s="4" t="n">
        <v>377</v>
      </c>
      <c r="I1096" s="5" t="n">
        <v>79.59999999999999</v>
      </c>
      <c r="J1096" s="5" t="n">
        <v>31.2</v>
      </c>
      <c r="K1096" s="3" t="inlineStr">
        <is>
          <t>대전 보건전문대 부지 근거리위치 투자가치좋음</t>
        </is>
      </c>
      <c r="L1096" s="6">
        <f>HYPERLINK("https://fin.land.naver.com/articles/2652730624", "매물Link")</f>
        <v/>
      </c>
      <c r="M1096" s="6">
        <f>HYPERLINK("https://map.naver.com/p/search/연서면 기룡리 599", "지도Link")</f>
        <v/>
      </c>
      <c r="N1096" s="6">
        <f>HYPERLINK("http://www.eum.go.kr/web/ar/lu/luLandDet.jsp?pnu=3611036028105990000&amp;isNoScr=script&amp;mode=search", "토지이음")</f>
        <v/>
      </c>
      <c r="O1096" s="3" t="inlineStr">
        <is>
          <t>대박</t>
        </is>
      </c>
      <c r="P1096" s="4" t="n">
        <v>1</v>
      </c>
      <c r="Q1096" s="4" t="n">
        <v>1246</v>
      </c>
      <c r="R1096" s="3" t="inlineStr">
        <is>
          <t>지정되지않음</t>
        </is>
      </c>
      <c r="S1096" s="3" t="inlineStr">
        <is>
          <t>전</t>
        </is>
      </c>
      <c r="T1096" s="3" t="inlineStr">
        <is>
          <t>완경사</t>
        </is>
      </c>
      <c r="U1096" s="3" t="inlineStr">
        <is>
          <t>부정형</t>
        </is>
      </c>
      <c r="V1096" s="3" t="inlineStr">
        <is>
          <t>세로한면(가)</t>
        </is>
      </c>
    </row>
    <row r="1097">
      <c r="A1097" s="3" t="inlineStr">
        <is>
          <t>연서면 기룡리 609-1</t>
        </is>
      </c>
      <c r="B1097" s="3" t="inlineStr">
        <is>
          <t>생산관리지역</t>
        </is>
      </c>
      <c r="C1097" s="3" t="inlineStr">
        <is>
          <t>과수원</t>
        </is>
      </c>
      <c r="D1097" s="3" t="inlineStr">
        <is>
          <t>과수원</t>
        </is>
      </c>
      <c r="E1097" s="3" t="inlineStr">
        <is>
          <t>매매</t>
        </is>
      </c>
      <c r="F1097" s="4" t="n">
        <v>49000</v>
      </c>
      <c r="G1097" s="4" t="n">
        <v>1808</v>
      </c>
      <c r="H1097" s="4" t="n">
        <v>547</v>
      </c>
      <c r="I1097" s="5" t="n">
        <v>89.59999999999999</v>
      </c>
      <c r="J1097" s="5" t="n">
        <v>31.2</v>
      </c>
      <c r="K1097" s="3" t="inlineStr">
        <is>
          <t>기룡리 전망 좋고 공기 맑은 세컨하우스나 주말쉼터로 투자추천.</t>
        </is>
      </c>
      <c r="L1097" s="6">
        <f>HYPERLINK("https://fin.land.naver.com/articles/2649342597", "매물Link")</f>
        <v/>
      </c>
      <c r="M1097" s="6">
        <f>HYPERLINK("https://map.naver.com/p/search/연서면 기룡리 609-1", "지도Link")</f>
        <v/>
      </c>
      <c r="N1097" s="6">
        <f>HYPERLINK("http://www.eum.go.kr/web/ar/lu/luLandDet.jsp?pnu=3611036028106090001&amp;isNoScr=script&amp;mode=search", "토지이음")</f>
        <v/>
      </c>
      <c r="O1097" s="3" t="inlineStr">
        <is>
          <t>세종대장</t>
        </is>
      </c>
      <c r="P1097" s="4" t="n">
        <v>1</v>
      </c>
      <c r="Q1097" s="4" t="n">
        <v>1808</v>
      </c>
      <c r="R1097" s="3" t="inlineStr">
        <is>
          <t>지정되지않음</t>
        </is>
      </c>
      <c r="S1097" s="3" t="inlineStr">
        <is>
          <t>과수원</t>
        </is>
      </c>
      <c r="T1097" s="3" t="inlineStr">
        <is>
          <t>완경사</t>
        </is>
      </c>
      <c r="U1097" s="3" t="inlineStr">
        <is>
          <t>부정형</t>
        </is>
      </c>
      <c r="V1097" s="3" t="inlineStr">
        <is>
          <t>세로한면(가)</t>
        </is>
      </c>
    </row>
    <row r="1098">
      <c r="A1098" s="3" t="inlineStr">
        <is>
          <t>연서면 기룡리 651-5</t>
        </is>
      </c>
      <c r="B1098" s="3" t="inlineStr">
        <is>
          <t>계획관리지역</t>
        </is>
      </c>
      <c r="C1098" s="3" t="inlineStr">
        <is>
          <t>대</t>
        </is>
      </c>
      <c r="D1098" s="3" t="inlineStr">
        <is>
          <t>대</t>
        </is>
      </c>
      <c r="E1098" s="3" t="inlineStr">
        <is>
          <t>매매</t>
        </is>
      </c>
      <c r="F1098" s="4" t="n">
        <v>19500</v>
      </c>
      <c r="G1098" s="4" t="n">
        <v>483</v>
      </c>
      <c r="H1098" s="4" t="n">
        <v>146</v>
      </c>
      <c r="I1098" s="5" t="n">
        <v>133.6</v>
      </c>
      <c r="J1098" s="5" t="n">
        <v>66.7</v>
      </c>
      <c r="K1098" s="3" t="inlineStr">
        <is>
          <t>접근성좋아요,국유지구거및도로접</t>
        </is>
      </c>
      <c r="L1098" s="6">
        <f>HYPERLINK("https://fin.land.naver.com/articles/2654252150", "매물Link")</f>
        <v/>
      </c>
      <c r="M1098" s="6">
        <f>HYPERLINK("https://map.naver.com/p/search/연서면 기룡리 651-5", "지도Link")</f>
        <v/>
      </c>
      <c r="N1098" s="6">
        <f>HYPERLINK("http://www.eum.go.kr/web/ar/lu/luLandDet.jsp?pnu=3611036028106510005&amp;isNoScr=script&amp;mode=search", "토지이음")</f>
        <v/>
      </c>
      <c r="O1098" s="3" t="inlineStr">
        <is>
          <t>싱글벙글</t>
        </is>
      </c>
      <c r="P1098" s="4" t="n">
        <v>4</v>
      </c>
      <c r="Q1098" s="4" t="n">
        <v>364</v>
      </c>
      <c r="R1098" s="3" t="inlineStr">
        <is>
          <t>지정되지않음</t>
        </is>
      </c>
      <c r="S1098" s="3" t="inlineStr">
        <is>
          <t>단독</t>
        </is>
      </c>
      <c r="T1098" s="3" t="inlineStr">
        <is>
          <t>평지</t>
        </is>
      </c>
      <c r="U1098" s="3" t="inlineStr">
        <is>
          <t>부정형</t>
        </is>
      </c>
      <c r="V1098" s="3" t="inlineStr">
        <is>
          <t>세로한면(가)</t>
        </is>
      </c>
    </row>
    <row r="1099">
      <c r="A1099" s="3" t="inlineStr">
        <is>
          <t>연서면 기룡리 651-5</t>
        </is>
      </c>
      <c r="B1099" s="3" t="inlineStr">
        <is>
          <t>계획관리지역</t>
        </is>
      </c>
      <c r="C1099" s="3" t="inlineStr">
        <is>
          <t>대</t>
        </is>
      </c>
      <c r="D1099" s="3" t="inlineStr">
        <is>
          <t>대</t>
        </is>
      </c>
      <c r="E1099" s="3" t="inlineStr">
        <is>
          <t>매매</t>
        </is>
      </c>
      <c r="F1099" s="4" t="n">
        <v>19500</v>
      </c>
      <c r="G1099" s="4" t="n">
        <v>483</v>
      </c>
      <c r="H1099" s="4" t="n">
        <v>146</v>
      </c>
      <c r="I1099" s="5" t="n">
        <v>133.6</v>
      </c>
      <c r="J1099" s="5" t="n">
        <v>66.7</v>
      </c>
      <c r="K1099" s="3" t="inlineStr">
        <is>
          <t>전망좋은 전원택지및 다용도,투자적지</t>
        </is>
      </c>
      <c r="L1099" s="6">
        <f>HYPERLINK("https://fin.land.naver.com/articles/2649946421", "매물Link")</f>
        <v/>
      </c>
      <c r="M1099" s="6">
        <f>HYPERLINK("https://map.naver.com/p/search/연서면 기룡리 651-5", "지도Link")</f>
        <v/>
      </c>
      <c r="N1099" s="6">
        <f>HYPERLINK("http://www.eum.go.kr/web/ar/lu/luLandDet.jsp?pnu=3611036028106510005&amp;isNoScr=script&amp;mode=search", "토지이음")</f>
        <v/>
      </c>
      <c r="O1099" s="3" t="inlineStr">
        <is>
          <t>행복가득한</t>
        </is>
      </c>
      <c r="P1099" s="4" t="n">
        <v>1</v>
      </c>
      <c r="Q1099" s="4" t="n">
        <v>364</v>
      </c>
      <c r="R1099" s="3" t="inlineStr">
        <is>
          <t>지정되지않음</t>
        </is>
      </c>
      <c r="S1099" s="3" t="inlineStr">
        <is>
          <t>단독</t>
        </is>
      </c>
      <c r="T1099" s="3" t="inlineStr">
        <is>
          <t>평지</t>
        </is>
      </c>
      <c r="U1099" s="3" t="inlineStr">
        <is>
          <t>부정형</t>
        </is>
      </c>
      <c r="V1099" s="3" t="inlineStr">
        <is>
          <t>세로한면(가)</t>
        </is>
      </c>
    </row>
    <row r="1100">
      <c r="A1100" s="3" t="inlineStr">
        <is>
          <t>연서면 기룡리 651-5</t>
        </is>
      </c>
      <c r="B1100" s="3" t="inlineStr">
        <is>
          <t>계획관리지역</t>
        </is>
      </c>
      <c r="C1100" s="3" t="inlineStr">
        <is>
          <t>대</t>
        </is>
      </c>
      <c r="D1100" s="3" t="inlineStr">
        <is>
          <t>대</t>
        </is>
      </c>
      <c r="E1100" s="3" t="inlineStr">
        <is>
          <t>매매</t>
        </is>
      </c>
      <c r="F1100" s="4" t="n">
        <v>22000</v>
      </c>
      <c r="G1100" s="4" t="n">
        <v>483</v>
      </c>
      <c r="H1100" s="4" t="n">
        <v>146</v>
      </c>
      <c r="I1100" s="5" t="n">
        <v>150.7</v>
      </c>
      <c r="J1100" s="5" t="n">
        <v>66.7</v>
      </c>
      <c r="K1100" s="3" t="inlineStr">
        <is>
          <t>급매 세종시 연서면 기룡리 토지매매 대지,전</t>
        </is>
      </c>
      <c r="L1100" s="6">
        <f>HYPERLINK("https://fin.land.naver.com/articles/2653236869", "매물Link")</f>
        <v/>
      </c>
      <c r="M1100" s="6">
        <f>HYPERLINK("https://map.naver.com/p/search/연서면 기룡리 651-5", "지도Link")</f>
        <v/>
      </c>
      <c r="N1100" s="6">
        <f>HYPERLINK("http://www.eum.go.kr/web/ar/lu/luLandDet.jsp?pnu=3611036028106510005&amp;isNoScr=script&amp;mode=search", "토지이음")</f>
        <v/>
      </c>
      <c r="O1100" s="3" t="inlineStr">
        <is>
          <t>더나은</t>
        </is>
      </c>
      <c r="P1100" s="4" t="n">
        <v>3</v>
      </c>
      <c r="Q1100" s="4" t="n">
        <v>364</v>
      </c>
      <c r="R1100" s="3" t="inlineStr">
        <is>
          <t>지정되지않음</t>
        </is>
      </c>
      <c r="S1100" s="3" t="inlineStr">
        <is>
          <t>단독</t>
        </is>
      </c>
      <c r="T1100" s="3" t="inlineStr">
        <is>
          <t>평지</t>
        </is>
      </c>
      <c r="U1100" s="3" t="inlineStr">
        <is>
          <t>부정형</t>
        </is>
      </c>
      <c r="V1100" s="3" t="inlineStr">
        <is>
          <t>세로한면(가)</t>
        </is>
      </c>
    </row>
    <row r="1101">
      <c r="A1101" s="3" t="inlineStr">
        <is>
          <t>연서면 기룡리 651-5</t>
        </is>
      </c>
      <c r="B1101" s="3" t="inlineStr">
        <is>
          <t>계획관리지역</t>
        </is>
      </c>
      <c r="C1101" s="3" t="inlineStr">
        <is>
          <t>대</t>
        </is>
      </c>
      <c r="D1101" s="3" t="inlineStr">
        <is>
          <t>대</t>
        </is>
      </c>
      <c r="E1101" s="3" t="inlineStr">
        <is>
          <t>매매</t>
        </is>
      </c>
      <c r="F1101" s="4" t="n">
        <v>19500</v>
      </c>
      <c r="G1101" s="4" t="n">
        <v>483</v>
      </c>
      <c r="H1101" s="4" t="n">
        <v>146</v>
      </c>
      <c r="I1101" s="5" t="n">
        <v>133.6</v>
      </c>
      <c r="J1101" s="5" t="n">
        <v>66.7</v>
      </c>
      <c r="K1101" s="3" t="inlineStr">
        <is>
          <t>급매매 계획관리 도로접 건축가능 세종 연서 기룡리</t>
        </is>
      </c>
      <c r="L1101" s="6">
        <f>HYPERLINK("https://fin.land.naver.com/articles/2649923225", "매물Link")</f>
        <v/>
      </c>
      <c r="M1101" s="6">
        <f>HYPERLINK("https://map.naver.com/p/search/연서면 기룡리 651-5", "지도Link")</f>
        <v/>
      </c>
      <c r="N1101" s="6">
        <f>HYPERLINK("http://www.eum.go.kr/web/ar/lu/luLandDet.jsp?pnu=3611036028106510005&amp;isNoScr=script&amp;mode=search", "토지이음")</f>
        <v/>
      </c>
      <c r="O1101" s="3" t="inlineStr">
        <is>
          <t>명장</t>
        </is>
      </c>
      <c r="P1101" s="4" t="n">
        <v>1</v>
      </c>
      <c r="Q1101" s="4" t="n">
        <v>364</v>
      </c>
      <c r="R1101" s="3" t="inlineStr">
        <is>
          <t>지정되지않음</t>
        </is>
      </c>
      <c r="S1101" s="3" t="inlineStr">
        <is>
          <t>단독</t>
        </is>
      </c>
      <c r="T1101" s="3" t="inlineStr">
        <is>
          <t>평지</t>
        </is>
      </c>
      <c r="U1101" s="3" t="inlineStr">
        <is>
          <t>부정형</t>
        </is>
      </c>
      <c r="V1101" s="3" t="inlineStr">
        <is>
          <t>세로한면(가)</t>
        </is>
      </c>
    </row>
    <row r="1102">
      <c r="A1102" s="3" t="inlineStr">
        <is>
          <t>연서면 기룡리 651-5</t>
        </is>
      </c>
      <c r="B1102" s="3" t="inlineStr">
        <is>
          <t>계획관리지역</t>
        </is>
      </c>
      <c r="C1102" s="3" t="inlineStr">
        <is>
          <t>대</t>
        </is>
      </c>
      <c r="D1102" s="3" t="inlineStr">
        <is>
          <t>대</t>
        </is>
      </c>
      <c r="E1102" s="3" t="inlineStr">
        <is>
          <t>매매</t>
        </is>
      </c>
      <c r="F1102" s="4" t="n">
        <v>19500</v>
      </c>
      <c r="G1102" s="4" t="n">
        <v>483</v>
      </c>
      <c r="H1102" s="4" t="n">
        <v>146</v>
      </c>
      <c r="I1102" s="5" t="n">
        <v>133.6</v>
      </c>
      <c r="J1102" s="5" t="n">
        <v>66.7</v>
      </c>
      <c r="K1102" s="3" t="inlineStr">
        <is>
          <t>nan</t>
        </is>
      </c>
      <c r="L1102" s="6">
        <f>HYPERLINK("https://fin.land.naver.com/articles/2652331421", "매물Link")</f>
        <v/>
      </c>
      <c r="M1102" s="6">
        <f>HYPERLINK("https://map.naver.com/p/search/연서면 기룡리 651-5", "지도Link")</f>
        <v/>
      </c>
      <c r="N1102" s="6">
        <f>HYPERLINK("http://www.eum.go.kr/web/ar/lu/luLandDet.jsp?pnu=3611036028106510005&amp;isNoScr=script&amp;mode=search", "토지이음")</f>
        <v/>
      </c>
      <c r="O1102" s="3" t="inlineStr">
        <is>
          <t>세종금밭</t>
        </is>
      </c>
      <c r="P1102" s="4" t="n">
        <v>4</v>
      </c>
      <c r="Q1102" s="4" t="n">
        <v>364</v>
      </c>
      <c r="R1102" s="3" t="inlineStr">
        <is>
          <t>지정되지않음</t>
        </is>
      </c>
      <c r="S1102" s="3" t="inlineStr">
        <is>
          <t>단독</t>
        </is>
      </c>
      <c r="T1102" s="3" t="inlineStr">
        <is>
          <t>평지</t>
        </is>
      </c>
      <c r="U1102" s="3" t="inlineStr">
        <is>
          <t>부정형</t>
        </is>
      </c>
      <c r="V1102" s="3" t="inlineStr">
        <is>
          <t>세로한면(가)</t>
        </is>
      </c>
    </row>
    <row r="1103">
      <c r="A1103" s="3" t="inlineStr">
        <is>
          <t>연서면 기룡리 651-5</t>
        </is>
      </c>
      <c r="B1103" s="3" t="inlineStr">
        <is>
          <t>계획관리지역</t>
        </is>
      </c>
      <c r="C1103" s="3" t="inlineStr">
        <is>
          <t>대</t>
        </is>
      </c>
      <c r="D1103" s="3" t="inlineStr">
        <is>
          <t>대</t>
        </is>
      </c>
      <c r="E1103" s="3" t="inlineStr">
        <is>
          <t>매매</t>
        </is>
      </c>
      <c r="F1103" s="4" t="n">
        <v>19500</v>
      </c>
      <c r="G1103" s="4" t="n">
        <v>482</v>
      </c>
      <c r="H1103" s="4" t="n">
        <v>146</v>
      </c>
      <c r="I1103" s="5" t="n">
        <v>133.6</v>
      </c>
      <c r="J1103" s="5" t="n">
        <v>66.7</v>
      </c>
      <c r="K1103" s="3" t="inlineStr">
        <is>
          <t>연서면 기룡리 토지 계획관리지역 전원주택등</t>
        </is>
      </c>
      <c r="L1103" s="6">
        <f>HYPERLINK("https://fin.land.naver.com/articles/2652196219", "매물Link")</f>
        <v/>
      </c>
      <c r="M1103" s="6">
        <f>HYPERLINK("https://map.naver.com/p/search/연서면 기룡리 651-5", "지도Link")</f>
        <v/>
      </c>
      <c r="N1103" s="6">
        <f>HYPERLINK("http://www.eum.go.kr/web/ar/lu/luLandDet.jsp?pnu=3611036028106510005&amp;isNoScr=script&amp;mode=search", "토지이음")</f>
        <v/>
      </c>
      <c r="O1103" s="3" t="inlineStr">
        <is>
          <t>반석원무소</t>
        </is>
      </c>
      <c r="P1103" s="4" t="n">
        <v>1</v>
      </c>
      <c r="Q1103" s="4" t="n">
        <v>364</v>
      </c>
      <c r="R1103" s="3" t="inlineStr">
        <is>
          <t>지정되지않음</t>
        </is>
      </c>
      <c r="S1103" s="3" t="inlineStr">
        <is>
          <t>단독</t>
        </is>
      </c>
      <c r="T1103" s="3" t="inlineStr">
        <is>
          <t>평지</t>
        </is>
      </c>
      <c r="U1103" s="3" t="inlineStr">
        <is>
          <t>부정형</t>
        </is>
      </c>
      <c r="V1103" s="3" t="inlineStr">
        <is>
          <t>세로한면(가)</t>
        </is>
      </c>
    </row>
    <row r="1104">
      <c r="A1104" s="3" t="inlineStr">
        <is>
          <t>연서면 기룡리 651-5</t>
        </is>
      </c>
      <c r="B1104" s="3" t="inlineStr">
        <is>
          <t>계획관리지역</t>
        </is>
      </c>
      <c r="C1104" s="3" t="inlineStr">
        <is>
          <t>대</t>
        </is>
      </c>
      <c r="D1104" s="3" t="inlineStr">
        <is>
          <t>대</t>
        </is>
      </c>
      <c r="E1104" s="3" t="inlineStr">
        <is>
          <t>매매</t>
        </is>
      </c>
      <c r="F1104" s="4" t="n">
        <v>19500</v>
      </c>
      <c r="G1104" s="4" t="n">
        <v>483</v>
      </c>
      <c r="H1104" s="4" t="n">
        <v>146</v>
      </c>
      <c r="I1104" s="5" t="n">
        <v>133.6</v>
      </c>
      <c r="J1104" s="5" t="n">
        <v>66.7</v>
      </c>
      <c r="K1104" s="3" t="inlineStr">
        <is>
          <t>도로접 국가산단 인근으로 투자와 실사용을 동시에 만족</t>
        </is>
      </c>
      <c r="L1104" s="6">
        <f>HYPERLINK("https://fin.land.naver.com/articles/2652765583", "매물Link")</f>
        <v/>
      </c>
      <c r="M1104" s="6">
        <f>HYPERLINK("https://map.naver.com/p/search/연서면 기룡리 651-5", "지도Link")</f>
        <v/>
      </c>
      <c r="N1104" s="6">
        <f>HYPERLINK("http://www.eum.go.kr/web/ar/lu/luLandDet.jsp?pnu=3611036028106510005&amp;isNoScr=script&amp;mode=search", "토지이음")</f>
        <v/>
      </c>
      <c r="O1104" s="3" t="inlineStr">
        <is>
          <t>가치잇는</t>
        </is>
      </c>
      <c r="P1104" s="4" t="n">
        <v>7</v>
      </c>
      <c r="Q1104" s="4" t="n">
        <v>364</v>
      </c>
      <c r="R1104" s="3" t="inlineStr">
        <is>
          <t>지정되지않음</t>
        </is>
      </c>
      <c r="S1104" s="3" t="inlineStr">
        <is>
          <t>단독</t>
        </is>
      </c>
      <c r="T1104" s="3" t="inlineStr">
        <is>
          <t>평지</t>
        </is>
      </c>
      <c r="U1104" s="3" t="inlineStr">
        <is>
          <t>부정형</t>
        </is>
      </c>
      <c r="V1104" s="3" t="inlineStr">
        <is>
          <t>세로한면(가)</t>
        </is>
      </c>
    </row>
    <row r="1105">
      <c r="A1105" s="3" t="inlineStr">
        <is>
          <t>연서면 기룡리 662-1</t>
        </is>
      </c>
      <c r="B1105" s="3" t="inlineStr">
        <is>
          <t>계획관리지역</t>
        </is>
      </c>
      <c r="C1105" s="3" t="inlineStr">
        <is>
          <t>대</t>
        </is>
      </c>
      <c r="D1105" s="3" t="inlineStr">
        <is>
          <t>대</t>
        </is>
      </c>
      <c r="E1105" s="3" t="inlineStr">
        <is>
          <t>매매</t>
        </is>
      </c>
      <c r="F1105" s="4" t="n">
        <v>29000</v>
      </c>
      <c r="G1105" s="4" t="n">
        <v>631</v>
      </c>
      <c r="H1105" s="4" t="n">
        <v>191</v>
      </c>
      <c r="I1105" s="5" t="n">
        <v>151.8</v>
      </c>
      <c r="J1105" s="5" t="n">
        <v>66.7</v>
      </c>
      <c r="K1105" s="3" t="inlineStr">
        <is>
          <t>작은 텃밭 건축가능한 대지</t>
        </is>
      </c>
      <c r="L1105" s="6">
        <f>HYPERLINK("https://fin.land.naver.com/articles/2651272476", "매물Link")</f>
        <v/>
      </c>
      <c r="M1105" s="6">
        <f>HYPERLINK("https://map.naver.com/p/search/연서면 기룡리 662-1", "지도Link")</f>
        <v/>
      </c>
      <c r="N1105" s="6">
        <f>HYPERLINK("http://www.eum.go.kr/web/ar/lu/luLandDet.jsp?pnu=3611036028106620001&amp;isNoScr=script&amp;mode=search", "토지이음")</f>
        <v/>
      </c>
      <c r="O1105" s="3" t="inlineStr">
        <is>
          <t>지성</t>
        </is>
      </c>
      <c r="P1105" s="4" t="n">
        <v>1</v>
      </c>
      <c r="Q1105" s="4" t="n">
        <v>631</v>
      </c>
      <c r="R1105" s="3" t="inlineStr">
        <is>
          <t>지정되지않음</t>
        </is>
      </c>
      <c r="S1105" s="3" t="inlineStr">
        <is>
          <t>단독</t>
        </is>
      </c>
      <c r="T1105" s="3" t="inlineStr">
        <is>
          <t>평지</t>
        </is>
      </c>
      <c r="U1105" s="3" t="inlineStr">
        <is>
          <t>부정형</t>
        </is>
      </c>
      <c r="V1105" s="3" t="inlineStr">
        <is>
          <t>세로한면(가)</t>
        </is>
      </c>
    </row>
    <row r="1106">
      <c r="A1106" s="3" t="inlineStr">
        <is>
          <t>연서면 기룡리 692-1</t>
        </is>
      </c>
      <c r="B1106" s="3" t="inlineStr">
        <is>
          <t>생산관리지역</t>
        </is>
      </c>
      <c r="C1106" s="3" t="inlineStr">
        <is>
          <t>전</t>
        </is>
      </c>
      <c r="D1106" s="3" t="inlineStr">
        <is>
          <t>전</t>
        </is>
      </c>
      <c r="E1106" s="3" t="inlineStr">
        <is>
          <t>매매</t>
        </is>
      </c>
      <c r="F1106" s="4" t="n">
        <v>13000</v>
      </c>
      <c r="G1106" s="4" t="n">
        <v>506</v>
      </c>
      <c r="H1106" s="4" t="n">
        <v>153</v>
      </c>
      <c r="I1106" s="5" t="n">
        <v>85</v>
      </c>
      <c r="J1106" s="5" t="n">
        <v>32.1</v>
      </c>
      <c r="K1106" s="3" t="inlineStr">
        <is>
          <t>급매, 협의,절충, 도로접, 성장관리계획구역 지목이전으로 입지,인프라 굿</t>
        </is>
      </c>
      <c r="L1106" s="6">
        <f>HYPERLINK("https://fin.land.naver.com/articles/2649747414", "매물Link")</f>
        <v/>
      </c>
      <c r="M1106" s="6">
        <f>HYPERLINK("https://map.naver.com/p/search/연서면 기룡리 692-1", "지도Link")</f>
        <v/>
      </c>
      <c r="N1106" s="6">
        <f>HYPERLINK("http://www.eum.go.kr/web/ar/lu/luLandDet.jsp?pnu=3611036028106920001&amp;isNoScr=script&amp;mode=search", "토지이음")</f>
        <v/>
      </c>
      <c r="O1106" s="3" t="inlineStr">
        <is>
          <t>세종한울</t>
        </is>
      </c>
      <c r="P1106" s="4" t="n">
        <v>1</v>
      </c>
      <c r="Q1106" s="4" t="n">
        <v>506</v>
      </c>
      <c r="R1106" s="3" t="inlineStr">
        <is>
          <t>지정되지않음</t>
        </is>
      </c>
      <c r="S1106" s="3" t="inlineStr">
        <is>
          <t>전</t>
        </is>
      </c>
      <c r="T1106" s="3" t="inlineStr">
        <is>
          <t>완경사</t>
        </is>
      </c>
      <c r="U1106" s="3" t="inlineStr">
        <is>
          <t>부정형</t>
        </is>
      </c>
      <c r="V1106" s="3" t="inlineStr">
        <is>
          <t>세로한면(가)</t>
        </is>
      </c>
    </row>
    <row r="1107">
      <c r="A1107" s="3" t="inlineStr">
        <is>
          <t>연서면 기룡리 693-5</t>
        </is>
      </c>
      <c r="B1107" s="3" t="inlineStr">
        <is>
          <t>농림지역</t>
        </is>
      </c>
      <c r="C1107" s="3" t="inlineStr">
        <is>
          <t>전</t>
        </is>
      </c>
      <c r="D1107" s="3" t="inlineStr">
        <is>
          <t>전</t>
        </is>
      </c>
      <c r="E1107" s="3" t="inlineStr">
        <is>
          <t>매매</t>
        </is>
      </c>
      <c r="F1107" s="4" t="n">
        <v>30000</v>
      </c>
      <c r="G1107" s="4" t="n">
        <v>1253</v>
      </c>
      <c r="H1107" s="4" t="n">
        <v>379</v>
      </c>
      <c r="I1107" s="5" t="n">
        <v>79.2</v>
      </c>
      <c r="J1107" s="5" t="n">
        <v>15.6</v>
      </c>
      <c r="K1107" s="3" t="inlineStr">
        <is>
          <t>급매, 협의,절충, 도로접, 전, 농림지역으로 입지, 인프라 굿</t>
        </is>
      </c>
      <c r="L1107" s="6">
        <f>HYPERLINK("https://fin.land.naver.com/articles/2649748210", "매물Link")</f>
        <v/>
      </c>
      <c r="M1107" s="6">
        <f>HYPERLINK("https://map.naver.com/p/search/연서면 기룡리 693-5", "지도Link")</f>
        <v/>
      </c>
      <c r="N1107" s="6">
        <f>HYPERLINK("http://www.eum.go.kr/web/ar/lu/luLandDet.jsp?pnu=3611036028106930005&amp;isNoScr=script&amp;mode=search", "토지이음")</f>
        <v/>
      </c>
      <c r="O1107" s="3" t="inlineStr">
        <is>
          <t>세종한울</t>
        </is>
      </c>
      <c r="P1107" s="4" t="n">
        <v>1</v>
      </c>
      <c r="Q1107" s="4" t="n">
        <v>1253</v>
      </c>
      <c r="R1107" s="3" t="inlineStr">
        <is>
          <t>지정되지않음</t>
        </is>
      </c>
      <c r="S1107" s="3" t="inlineStr">
        <is>
          <t>전</t>
        </is>
      </c>
      <c r="T1107" s="3" t="inlineStr">
        <is>
          <t>완경사</t>
        </is>
      </c>
      <c r="U1107" s="3" t="inlineStr">
        <is>
          <t>부정형</t>
        </is>
      </c>
      <c r="V1107" s="3" t="inlineStr">
        <is>
          <t>세로한면(불)</t>
        </is>
      </c>
    </row>
    <row r="1108">
      <c r="A1108" s="3" t="inlineStr">
        <is>
          <t>연서면 기룡리 산126</t>
        </is>
      </c>
      <c r="B1108" s="3" t="inlineStr">
        <is>
          <t>농림지역</t>
        </is>
      </c>
      <c r="C1108" s="3" t="inlineStr">
        <is>
          <t>임야</t>
        </is>
      </c>
      <c r="D1108" s="3" t="inlineStr">
        <is>
          <t>임야</t>
        </is>
      </c>
      <c r="E1108" s="3" t="inlineStr">
        <is>
          <t>매매</t>
        </is>
      </c>
      <c r="F1108" s="4" t="n">
        <v>674000</v>
      </c>
      <c r="G1108" s="4" t="n">
        <v>302777</v>
      </c>
      <c r="H1108" s="4" t="n">
        <v>91590</v>
      </c>
      <c r="I1108" s="5" t="n">
        <v>7.4</v>
      </c>
      <c r="J1108" s="5" t="n">
        <v>1.7</v>
      </c>
      <c r="K1108" s="3" t="inlineStr">
        <is>
          <t>연서면 기룡리 농림지역 대형 임야 매매, 국가산업단지, 용암JC 인근</t>
        </is>
      </c>
      <c r="L1108" s="6">
        <f>HYPERLINK("https://fin.land.naver.com/articles/2654028634", "매물Link")</f>
        <v/>
      </c>
      <c r="M1108" s="6">
        <f>HYPERLINK("https://map.naver.com/p/search/연서면 기룡리 산126", "지도Link")</f>
        <v/>
      </c>
      <c r="N1108" s="6">
        <f>HYPERLINK("http://www.eum.go.kr/web/ar/lu/luLandDet.jsp?pnu=3611036028201260000&amp;isNoScr=script&amp;mode=search", "토지이음")</f>
        <v/>
      </c>
      <c r="O1108" s="3" t="inlineStr">
        <is>
          <t>스카이</t>
        </is>
      </c>
      <c r="P1108" s="4" t="n">
        <v>1</v>
      </c>
      <c r="Q1108" s="4" t="n">
        <v>302777</v>
      </c>
      <c r="R1108" s="3" t="inlineStr">
        <is>
          <t>보전관리지역</t>
        </is>
      </c>
      <c r="S1108" s="3" t="inlineStr">
        <is>
          <t>자연림</t>
        </is>
      </c>
      <c r="T1108" s="3" t="inlineStr">
        <is>
          <t>급경사</t>
        </is>
      </c>
      <c r="U1108" s="3" t="inlineStr">
        <is>
          <t>부정형</t>
        </is>
      </c>
      <c r="V1108" s="3" t="inlineStr">
        <is>
          <t>세로한면(불)</t>
        </is>
      </c>
    </row>
    <row r="1109">
      <c r="A1109" s="3" t="inlineStr">
        <is>
          <t>연서면 기룡리 산154-1</t>
        </is>
      </c>
      <c r="B1109" s="3" t="inlineStr">
        <is>
          <t>농림지역</t>
        </is>
      </c>
      <c r="C1109" s="3" t="inlineStr">
        <is>
          <t>임야</t>
        </is>
      </c>
      <c r="D1109" s="3" t="inlineStr">
        <is>
          <t>임야</t>
        </is>
      </c>
      <c r="E1109" s="3" t="inlineStr">
        <is>
          <t>매매</t>
        </is>
      </c>
      <c r="F1109" s="4" t="n">
        <v>340000</v>
      </c>
      <c r="G1109" s="4" t="n">
        <v>72545</v>
      </c>
      <c r="H1109" s="4" t="n">
        <v>21945</v>
      </c>
      <c r="I1109" s="5" t="n">
        <v>15.5</v>
      </c>
      <c r="J1109" s="5" t="n">
        <v>1.8</v>
      </c>
      <c r="K1109" s="3" t="inlineStr">
        <is>
          <t>nan</t>
        </is>
      </c>
      <c r="L1109" s="6">
        <f>HYPERLINK("https://fin.land.naver.com/articles/2653635817", "매물Link")</f>
        <v/>
      </c>
      <c r="M1109" s="6">
        <f>HYPERLINK("https://map.naver.com/p/search/연서면 기룡리 산154-1", "지도Link")</f>
        <v/>
      </c>
      <c r="N1109" s="6">
        <f>HYPERLINK("http://www.eum.go.kr/web/ar/lu/luLandDet.jsp?pnu=3611036028201540001&amp;isNoScr=script&amp;mode=search", "토지이음")</f>
        <v/>
      </c>
      <c r="O1109" s="3" t="inlineStr">
        <is>
          <t>다온</t>
        </is>
      </c>
      <c r="P1109" s="4" t="n">
        <v>1</v>
      </c>
      <c r="Q1109" s="4" t="n">
        <v>27296</v>
      </c>
      <c r="R1109" s="3" t="inlineStr">
        <is>
          <t>보전관리지역</t>
        </is>
      </c>
      <c r="S1109" s="3" t="inlineStr">
        <is>
          <t>자연림</t>
        </is>
      </c>
      <c r="T1109" s="3" t="inlineStr">
        <is>
          <t>급경사</t>
        </is>
      </c>
      <c r="U1109" s="3" t="inlineStr">
        <is>
          <t>부정형</t>
        </is>
      </c>
      <c r="V1109" s="3" t="inlineStr">
        <is>
          <t>맹지</t>
        </is>
      </c>
    </row>
    <row r="1110">
      <c r="A1110" s="3" t="inlineStr">
        <is>
          <t>연서면 기룡리 산26</t>
        </is>
      </c>
      <c r="B1110" s="3" t="inlineStr">
        <is>
          <t>농림지역</t>
        </is>
      </c>
      <c r="C1110" s="3" t="inlineStr">
        <is>
          <t>임야</t>
        </is>
      </c>
      <c r="D1110" s="3" t="inlineStr">
        <is>
          <t>임야</t>
        </is>
      </c>
      <c r="E1110" s="3" t="inlineStr">
        <is>
          <t>매매</t>
        </is>
      </c>
      <c r="F1110" s="4" t="n">
        <v>1800</v>
      </c>
      <c r="G1110" s="4" t="n">
        <v>330</v>
      </c>
      <c r="H1110" s="4" t="n">
        <v>100</v>
      </c>
      <c r="I1110" s="5" t="n">
        <v>18</v>
      </c>
      <c r="J1110" s="5" t="n">
        <v>1.7</v>
      </c>
      <c r="K1110" s="3" t="inlineStr">
        <is>
          <t>세종인접. 지분등기된 소액투자용 토지.보전관리 임야</t>
        </is>
      </c>
      <c r="L1110" s="6">
        <f>HYPERLINK("https://fin.land.naver.com/articles/2651284977", "매물Link")</f>
        <v/>
      </c>
      <c r="M1110" s="6">
        <f>HYPERLINK("https://map.naver.com/p/search/연서면 기룡리 산26", "지도Link")</f>
        <v/>
      </c>
      <c r="N1110" s="6">
        <f>HYPERLINK("http://www.eum.go.kr/web/ar/lu/luLandDet.jsp?pnu=3611036028200260000&amp;isNoScr=script&amp;mode=search", "토지이음")</f>
        <v/>
      </c>
      <c r="O1110" s="3" t="inlineStr">
        <is>
          <t>테크노114</t>
        </is>
      </c>
      <c r="P1110" s="4" t="n">
        <v>1</v>
      </c>
      <c r="Q1110" s="4" t="n">
        <v>41653</v>
      </c>
      <c r="R1110" s="3" t="inlineStr">
        <is>
          <t>보전관리지역</t>
        </is>
      </c>
      <c r="S1110" s="3" t="inlineStr">
        <is>
          <t>자연림</t>
        </is>
      </c>
      <c r="T1110" s="3" t="inlineStr">
        <is>
          <t>급경사</t>
        </is>
      </c>
      <c r="U1110" s="3" t="inlineStr">
        <is>
          <t>부정형</t>
        </is>
      </c>
      <c r="V1110" s="3" t="inlineStr">
        <is>
          <t>맹지</t>
        </is>
      </c>
    </row>
    <row r="1111">
      <c r="A1111" s="3" t="inlineStr">
        <is>
          <t>연서면 봉암리 102-8</t>
        </is>
      </c>
      <c r="B1111" s="3" t="inlineStr">
        <is>
          <t>농림지역</t>
        </is>
      </c>
      <c r="C1111" s="3" t="inlineStr">
        <is>
          <t>답</t>
        </is>
      </c>
      <c r="D1111" s="3" t="inlineStr">
        <is>
          <t>답</t>
        </is>
      </c>
      <c r="E1111" s="3" t="inlineStr">
        <is>
          <t>매매</t>
        </is>
      </c>
      <c r="F1111" s="4" t="n">
        <v>70116</v>
      </c>
      <c r="G1111" s="4" t="n">
        <v>1783</v>
      </c>
      <c r="H1111" s="4" t="n">
        <v>539</v>
      </c>
      <c r="I1111" s="5" t="n">
        <v>130.1</v>
      </c>
      <c r="J1111" s="5" t="n">
        <v>30.9</v>
      </c>
      <c r="K1111" s="3" t="inlineStr">
        <is>
          <t>농업용창고부지,농수산공장용지 추천</t>
        </is>
      </c>
      <c r="L1111" s="6">
        <f>HYPERLINK("https://fin.land.naver.com/articles/2650866717", "매물Link")</f>
        <v/>
      </c>
      <c r="M1111" s="6">
        <f>HYPERLINK("https://map.naver.com/p/search/연서면 봉암리 102-8", "지도Link")</f>
        <v/>
      </c>
      <c r="N1111" s="6">
        <f>HYPERLINK("http://www.eum.go.kr/web/ar/lu/luLandDet.jsp?pnu=3611036033101020008&amp;isNoScr=script&amp;mode=search", "토지이음")</f>
        <v/>
      </c>
      <c r="O1111" s="3" t="inlineStr">
        <is>
          <t>서생과상인</t>
        </is>
      </c>
      <c r="P1111" s="4" t="n">
        <v>1</v>
      </c>
      <c r="Q1111" s="4" t="n">
        <v>1783</v>
      </c>
      <c r="R1111" s="3" t="inlineStr">
        <is>
          <t>지정되지않음</t>
        </is>
      </c>
      <c r="S1111" s="3" t="inlineStr">
        <is>
          <t>답</t>
        </is>
      </c>
      <c r="T1111" s="3" t="inlineStr">
        <is>
          <t>평지</t>
        </is>
      </c>
      <c r="U1111" s="3" t="inlineStr">
        <is>
          <t>사다리형</t>
        </is>
      </c>
      <c r="V1111" s="3" t="inlineStr">
        <is>
          <t>세로한면(가)</t>
        </is>
      </c>
    </row>
    <row r="1112">
      <c r="A1112" s="3" t="inlineStr">
        <is>
          <t>연서면 봉암리 1082</t>
        </is>
      </c>
      <c r="B1112" s="3" t="inlineStr">
        <is>
          <t>농림지역</t>
        </is>
      </c>
      <c r="C1112" s="3" t="inlineStr">
        <is>
          <t>전</t>
        </is>
      </c>
      <c r="D1112" s="3" t="inlineStr">
        <is>
          <t>전</t>
        </is>
      </c>
      <c r="E1112" s="3" t="inlineStr">
        <is>
          <t>매매</t>
        </is>
      </c>
      <c r="F1112" s="4" t="n">
        <v>36500</v>
      </c>
      <c r="G1112" s="4" t="n">
        <v>916</v>
      </c>
      <c r="H1112" s="4" t="n">
        <v>277</v>
      </c>
      <c r="I1112" s="5" t="n">
        <v>131.8</v>
      </c>
      <c r="J1112" s="5" t="n">
        <v>23.9</v>
      </c>
      <c r="K1112" s="3" t="inlineStr">
        <is>
          <t>추천. 세종 스마트국가산업단지 인근 농지</t>
        </is>
      </c>
      <c r="L1112" s="6">
        <f>HYPERLINK("https://fin.land.naver.com/articles/2651966245", "매물Link")</f>
        <v/>
      </c>
      <c r="M1112" s="6">
        <f>HYPERLINK("https://map.naver.com/p/search/연서면 봉암리 1082", "지도Link")</f>
        <v/>
      </c>
      <c r="N1112" s="6">
        <f>HYPERLINK("http://www.eum.go.kr/web/ar/lu/luLandDet.jsp?pnu=3611036033110820000&amp;isNoScr=script&amp;mode=search", "토지이음")</f>
        <v/>
      </c>
      <c r="O1112" s="3" t="inlineStr">
        <is>
          <t>강아지풀</t>
        </is>
      </c>
      <c r="P1112" s="4" t="n">
        <v>1</v>
      </c>
      <c r="Q1112" s="4" t="n">
        <v>916</v>
      </c>
      <c r="R1112" s="3" t="inlineStr">
        <is>
          <t>지정되지않음</t>
        </is>
      </c>
      <c r="S1112" s="3" t="inlineStr">
        <is>
          <t>전</t>
        </is>
      </c>
      <c r="T1112" s="3" t="inlineStr">
        <is>
          <t>평지</t>
        </is>
      </c>
      <c r="U1112" s="3" t="inlineStr">
        <is>
          <t>부정형</t>
        </is>
      </c>
      <c r="V1112" s="3" t="inlineStr">
        <is>
          <t>맹지</t>
        </is>
      </c>
    </row>
    <row r="1113">
      <c r="A1113" s="3" t="inlineStr">
        <is>
          <t>연서면 봉암리 214-13</t>
        </is>
      </c>
      <c r="B1113" s="3" t="inlineStr">
        <is>
          <t>계획관리지역</t>
        </is>
      </c>
      <c r="C1113" s="3" t="inlineStr">
        <is>
          <t>대</t>
        </is>
      </c>
      <c r="D1113" s="3" t="inlineStr">
        <is>
          <t>대</t>
        </is>
      </c>
      <c r="E1113" s="3" t="inlineStr">
        <is>
          <t>매매</t>
        </is>
      </c>
      <c r="F1113" s="4" t="n">
        <v>38000</v>
      </c>
      <c r="G1113" s="4" t="n">
        <v>125</v>
      </c>
      <c r="H1113" s="4" t="n">
        <v>38</v>
      </c>
      <c r="I1113" s="5" t="n">
        <v>1000</v>
      </c>
      <c r="J1113" s="5" t="n">
        <v>341.8</v>
      </c>
      <c r="K1113" s="3" t="inlineStr">
        <is>
          <t>봉암리 상가 밀집지역 핵심   대지 매매</t>
        </is>
      </c>
      <c r="L1113" s="6">
        <f>HYPERLINK("https://fin.land.naver.com/articles/2652364695", "매물Link")</f>
        <v/>
      </c>
      <c r="M1113" s="6">
        <f>HYPERLINK("https://map.naver.com/p/search/연서면 봉암리 214-13", "지도Link")</f>
        <v/>
      </c>
      <c r="N1113" s="6">
        <f>HYPERLINK("http://www.eum.go.kr/web/ar/lu/luLandDet.jsp?pnu=3611036033102140013&amp;isNoScr=script&amp;mode=search", "토지이음")</f>
        <v/>
      </c>
      <c r="O1113" s="3" t="inlineStr">
        <is>
          <t>해들삼성</t>
        </is>
      </c>
      <c r="P1113" s="4" t="n">
        <v>1</v>
      </c>
      <c r="Q1113" s="4" t="n">
        <v>125</v>
      </c>
      <c r="R1113" s="3" t="inlineStr">
        <is>
          <t>지정되지않음</t>
        </is>
      </c>
      <c r="S1113" s="3" t="inlineStr">
        <is>
          <t>상업용</t>
        </is>
      </c>
      <c r="T1113" s="3" t="inlineStr">
        <is>
          <t>평지</t>
        </is>
      </c>
      <c r="U1113" s="3" t="inlineStr">
        <is>
          <t>사다리형</t>
        </is>
      </c>
      <c r="V1113" s="3" t="inlineStr">
        <is>
          <t>소로한면</t>
        </is>
      </c>
    </row>
    <row r="1114">
      <c r="A1114" s="3" t="inlineStr">
        <is>
          <t>연서면 봉암리 230-60</t>
        </is>
      </c>
      <c r="B1114" s="3" t="inlineStr">
        <is>
          <t>계획관리지역</t>
        </is>
      </c>
      <c r="C1114" s="3" t="inlineStr">
        <is>
          <t>전</t>
        </is>
      </c>
      <c r="D1114" s="3" t="inlineStr">
        <is>
          <t>전</t>
        </is>
      </c>
      <c r="E1114" s="3" t="inlineStr">
        <is>
          <t>매매</t>
        </is>
      </c>
      <c r="F1114" s="4" t="n">
        <v>120000</v>
      </c>
      <c r="G1114" s="4" t="n">
        <v>796</v>
      </c>
      <c r="H1114" s="4" t="n">
        <v>241</v>
      </c>
      <c r="I1114" s="5" t="n">
        <v>497.9</v>
      </c>
      <c r="J1114" s="5" t="n">
        <v>88.8</v>
      </c>
      <c r="K1114" s="3" t="inlineStr">
        <is>
          <t>8차선 BRT 도로 근접, 와촌리 국가산단 근교, 세종시의 가장 중심지.</t>
        </is>
      </c>
      <c r="L1114" s="6">
        <f>HYPERLINK("https://fin.land.naver.com/articles/2653349023", "매물Link")</f>
        <v/>
      </c>
      <c r="M1114" s="6">
        <f>HYPERLINK("https://map.naver.com/p/search/연서면 봉암리 230-60", "지도Link")</f>
        <v/>
      </c>
      <c r="N1114" s="6">
        <f>HYPERLINK("http://www.eum.go.kr/web/ar/lu/luLandDet.jsp?pnu=3611036033102300060&amp;isNoScr=script&amp;mode=search", "토지이음")</f>
        <v/>
      </c>
      <c r="O1114" s="3" t="inlineStr">
        <is>
          <t>꿈드림</t>
        </is>
      </c>
      <c r="P1114" s="4" t="n">
        <v>1</v>
      </c>
      <c r="Q1114" s="4" t="n">
        <v>661</v>
      </c>
      <c r="R1114" s="3" t="inlineStr">
        <is>
          <t>지정되지않음</t>
        </is>
      </c>
      <c r="S1114" s="3" t="inlineStr">
        <is>
          <t>전</t>
        </is>
      </c>
      <c r="T1114" s="3" t="inlineStr">
        <is>
          <t>평지</t>
        </is>
      </c>
      <c r="U1114" s="3" t="inlineStr">
        <is>
          <t>부정형</t>
        </is>
      </c>
      <c r="V1114" s="3" t="inlineStr">
        <is>
          <t>세로한면(불)</t>
        </is>
      </c>
    </row>
    <row r="1115">
      <c r="A1115" s="3" t="inlineStr">
        <is>
          <t>연서면 봉암리 234-43</t>
        </is>
      </c>
      <c r="B1115" s="3" t="inlineStr">
        <is>
          <t>계획관리지역</t>
        </is>
      </c>
      <c r="C1115" s="3" t="inlineStr">
        <is>
          <t>과수원</t>
        </is>
      </c>
      <c r="D1115" s="3" t="inlineStr">
        <is>
          <t>과수원</t>
        </is>
      </c>
      <c r="E1115" s="3" t="inlineStr">
        <is>
          <t>매매</t>
        </is>
      </c>
      <c r="F1115" s="4" t="n">
        <v>210000</v>
      </c>
      <c r="G1115" s="4" t="n">
        <v>671</v>
      </c>
      <c r="H1115" s="4" t="n">
        <v>203</v>
      </c>
      <c r="I1115" s="5" t="n">
        <v>1034.5</v>
      </c>
      <c r="J1115" s="5" t="n">
        <v>145.8</v>
      </c>
      <c r="K1115" s="3" t="inlineStr">
        <is>
          <t>광고효과최상, 투자효가높은지역 추천</t>
        </is>
      </c>
      <c r="L1115" s="6">
        <f>HYPERLINK("https://fin.land.naver.com/articles/2652647634", "매물Link")</f>
        <v/>
      </c>
      <c r="M1115" s="6">
        <f>HYPERLINK("https://map.naver.com/p/search/연서면 봉암리 234-43", "지도Link")</f>
        <v/>
      </c>
      <c r="N1115" s="6">
        <f>HYPERLINK("http://www.eum.go.kr/web/ar/lu/luLandDet.jsp?pnu=3611036033102340043&amp;isNoScr=script&amp;mode=search", "토지이음")</f>
        <v/>
      </c>
      <c r="O1115" s="3" t="inlineStr">
        <is>
          <t>대박</t>
        </is>
      </c>
      <c r="P1115" s="4" t="n">
        <v>1</v>
      </c>
      <c r="Q1115" s="4" t="n">
        <v>186</v>
      </c>
      <c r="R1115" s="3" t="inlineStr">
        <is>
          <t>지정되지않음</t>
        </is>
      </c>
      <c r="S1115" s="3" t="inlineStr">
        <is>
          <t>주거나지</t>
        </is>
      </c>
      <c r="T1115" s="3" t="inlineStr">
        <is>
          <t>완경사</t>
        </is>
      </c>
      <c r="U1115" s="3" t="inlineStr">
        <is>
          <t>사다리형</t>
        </is>
      </c>
      <c r="V1115" s="3" t="inlineStr">
        <is>
          <t>세로한면(가)</t>
        </is>
      </c>
    </row>
    <row r="1116">
      <c r="A1116" s="3" t="inlineStr">
        <is>
          <t>연서면 봉암리 245-5</t>
        </is>
      </c>
      <c r="B1116" s="3" t="inlineStr">
        <is>
          <t>계획관리지역</t>
        </is>
      </c>
      <c r="C1116" s="3" t="inlineStr">
        <is>
          <t>대</t>
        </is>
      </c>
      <c r="D1116" s="3" t="inlineStr">
        <is>
          <t>대</t>
        </is>
      </c>
      <c r="E1116" s="3" t="inlineStr">
        <is>
          <t>매매</t>
        </is>
      </c>
      <c r="F1116" s="4" t="n">
        <v>32000</v>
      </c>
      <c r="G1116" s="4" t="n">
        <v>305</v>
      </c>
      <c r="H1116" s="4" t="n">
        <v>92</v>
      </c>
      <c r="I1116" s="5" t="n">
        <v>347.8</v>
      </c>
      <c r="J1116" s="5" t="n">
        <v>125.7</v>
      </c>
      <c r="K1116" s="3" t="inlineStr">
        <is>
          <t>현재 주거나지 상태이며 주택부지로 적합</t>
        </is>
      </c>
      <c r="L1116" s="6">
        <f>HYPERLINK("https://fin.land.naver.com/articles/2651207456", "매물Link")</f>
        <v/>
      </c>
      <c r="M1116" s="6">
        <f>HYPERLINK("https://map.naver.com/p/search/연서면 봉암리 245-5", "지도Link")</f>
        <v/>
      </c>
      <c r="N1116" s="6">
        <f>HYPERLINK("http://www.eum.go.kr/web/ar/lu/luLandDet.jsp?pnu=3611036033102450005&amp;isNoScr=script&amp;mode=search", "토지이음")</f>
        <v/>
      </c>
      <c r="O1116" s="3" t="inlineStr">
        <is>
          <t>엘지에스케이</t>
        </is>
      </c>
      <c r="P1116" s="4" t="n">
        <v>1</v>
      </c>
      <c r="Q1116" s="4" t="n">
        <v>305</v>
      </c>
      <c r="R1116" s="3" t="inlineStr">
        <is>
          <t>지정되지않음</t>
        </is>
      </c>
      <c r="S1116" s="3" t="inlineStr">
        <is>
          <t>단독</t>
        </is>
      </c>
      <c r="T1116" s="3" t="inlineStr">
        <is>
          <t>평지</t>
        </is>
      </c>
      <c r="U1116" s="3" t="inlineStr">
        <is>
          <t>자루형</t>
        </is>
      </c>
      <c r="V1116" s="3" t="inlineStr">
        <is>
          <t>세로한면(가)</t>
        </is>
      </c>
    </row>
    <row r="1117">
      <c r="A1117" s="3" t="inlineStr">
        <is>
          <t>연서면 봉암리 348</t>
        </is>
      </c>
      <c r="B1117" s="3" t="inlineStr">
        <is>
          <t>농림지역</t>
        </is>
      </c>
      <c r="C1117" s="3" t="inlineStr">
        <is>
          <t>답</t>
        </is>
      </c>
      <c r="D1117" s="3" t="inlineStr">
        <is>
          <t>답</t>
        </is>
      </c>
      <c r="E1117" s="3" t="inlineStr">
        <is>
          <t>매매</t>
        </is>
      </c>
      <c r="F1117" s="4" t="n">
        <v>168000</v>
      </c>
      <c r="G1117" s="4" t="n">
        <v>4830</v>
      </c>
      <c r="H1117" s="4" t="n">
        <v>1461</v>
      </c>
      <c r="I1117" s="5" t="n">
        <v>115</v>
      </c>
      <c r="J1117" s="5" t="n">
        <v>29.8</v>
      </c>
      <c r="K1117" s="3" t="inlineStr">
        <is>
          <t>추천. 세종국가산단 인근 토지</t>
        </is>
      </c>
      <c r="L1117" s="6">
        <f>HYPERLINK("https://fin.land.naver.com/articles/2651912464", "매물Link")</f>
        <v/>
      </c>
      <c r="M1117" s="6">
        <f>HYPERLINK("https://map.naver.com/p/search/연서면 봉암리 348", "지도Link")</f>
        <v/>
      </c>
      <c r="N1117" s="6">
        <f>HYPERLINK("http://www.eum.go.kr/web/ar/lu/luLandDet.jsp?pnu=3611036033103480000&amp;isNoScr=script&amp;mode=search", "토지이음")</f>
        <v/>
      </c>
      <c r="O1117" s="3" t="inlineStr">
        <is>
          <t>강아지풀</t>
        </is>
      </c>
      <c r="P1117" s="4" t="n">
        <v>2</v>
      </c>
      <c r="Q1117" s="4" t="n">
        <v>4830</v>
      </c>
      <c r="R1117" s="3" t="inlineStr">
        <is>
          <t>지정되지않음</t>
        </is>
      </c>
      <c r="S1117" s="3" t="inlineStr">
        <is>
          <t>전</t>
        </is>
      </c>
      <c r="T1117" s="3" t="inlineStr">
        <is>
          <t>평지</t>
        </is>
      </c>
      <c r="U1117" s="3" t="inlineStr">
        <is>
          <t>세로장방</t>
        </is>
      </c>
      <c r="V1117" s="3" t="inlineStr">
        <is>
          <t>세로한면(가)</t>
        </is>
      </c>
    </row>
    <row r="1118">
      <c r="A1118" s="3" t="inlineStr">
        <is>
          <t>연서면 봉암리 427-12</t>
        </is>
      </c>
      <c r="B1118" s="3" t="inlineStr">
        <is>
          <t>계획관리지역</t>
        </is>
      </c>
      <c r="C1118" s="3" t="inlineStr">
        <is>
          <t>대</t>
        </is>
      </c>
      <c r="D1118" s="3" t="inlineStr">
        <is>
          <t>대</t>
        </is>
      </c>
      <c r="E1118" s="3" t="inlineStr">
        <is>
          <t>매매</t>
        </is>
      </c>
      <c r="F1118" s="4" t="n">
        <v>78000</v>
      </c>
      <c r="G1118" s="4" t="n">
        <v>569</v>
      </c>
      <c r="H1118" s="4" t="n">
        <v>172</v>
      </c>
      <c r="I1118" s="5" t="n">
        <v>453.5</v>
      </c>
      <c r="J1118" s="5" t="n">
        <v>134</v>
      </c>
      <c r="K1118" s="3" t="inlineStr">
        <is>
          <t>계획관리지역 ,주택있는 대지</t>
        </is>
      </c>
      <c r="L1118" s="6">
        <f>HYPERLINK("https://fin.land.naver.com/articles/2654048732", "매물Link")</f>
        <v/>
      </c>
      <c r="M1118" s="6">
        <f>HYPERLINK("https://map.naver.com/p/search/연서면 봉암리 427-12", "지도Link")</f>
        <v/>
      </c>
      <c r="N1118" s="6">
        <f>HYPERLINK("http://www.eum.go.kr/web/ar/lu/luLandDet.jsp?pnu=3611036033104270012&amp;isNoScr=script&amp;mode=search", "토지이음")</f>
        <v/>
      </c>
      <c r="O1118" s="3" t="inlineStr">
        <is>
          <t>마메종</t>
        </is>
      </c>
      <c r="P1118" s="4" t="n">
        <v>1</v>
      </c>
      <c r="Q1118" s="4" t="n">
        <v>569.8</v>
      </c>
      <c r="R1118" s="3" t="inlineStr">
        <is>
          <t>지정되지않음</t>
        </is>
      </c>
      <c r="S1118" s="3" t="inlineStr">
        <is>
          <t>단독</t>
        </is>
      </c>
      <c r="T1118" s="3" t="inlineStr">
        <is>
          <t>평지</t>
        </is>
      </c>
      <c r="U1118" s="3" t="inlineStr">
        <is>
          <t>사다리형</t>
        </is>
      </c>
      <c r="V1118" s="3" t="inlineStr">
        <is>
          <t>세로한면(가)</t>
        </is>
      </c>
    </row>
    <row r="1119">
      <c r="A1119" s="3" t="inlineStr">
        <is>
          <t>연서면 봉암리 448</t>
        </is>
      </c>
      <c r="B1119" s="3" t="inlineStr">
        <is>
          <t>계획관리지역</t>
        </is>
      </c>
      <c r="C1119" s="3" t="inlineStr">
        <is>
          <t>전</t>
        </is>
      </c>
      <c r="D1119" s="3" t="inlineStr">
        <is>
          <t>전</t>
        </is>
      </c>
      <c r="E1119" s="3" t="inlineStr">
        <is>
          <t>매매</t>
        </is>
      </c>
      <c r="F1119" s="4" t="n">
        <v>13200</v>
      </c>
      <c r="G1119" s="4" t="n">
        <v>132</v>
      </c>
      <c r="H1119" s="4" t="n">
        <v>40</v>
      </c>
      <c r="I1119" s="5" t="n">
        <v>330</v>
      </c>
      <c r="J1119" s="5" t="n">
        <v>122.3</v>
      </c>
      <c r="K1119" s="3" t="inlineStr">
        <is>
          <t>계획관리 2차선도로 인근 작은 텃밭 토지</t>
        </is>
      </c>
      <c r="L1119" s="6">
        <f>HYPERLINK("https://fin.land.naver.com/articles/2649966247", "매물Link")</f>
        <v/>
      </c>
      <c r="M1119" s="6">
        <f>HYPERLINK("https://map.naver.com/p/search/연서면 봉암리 448", "지도Link")</f>
        <v/>
      </c>
      <c r="N1119" s="6">
        <f>HYPERLINK("http://www.eum.go.kr/web/ar/lu/luLandDet.jsp?pnu=3611036033104480000&amp;isNoScr=script&amp;mode=search", "토지이음")</f>
        <v/>
      </c>
      <c r="O1119" s="3" t="inlineStr">
        <is>
          <t>지성</t>
        </is>
      </c>
      <c r="P1119" s="4" t="n">
        <v>1</v>
      </c>
      <c r="Q1119" s="4" t="n">
        <v>132.5</v>
      </c>
      <c r="R1119" s="3" t="inlineStr">
        <is>
          <t>지정되지않음</t>
        </is>
      </c>
      <c r="S1119" s="3" t="inlineStr">
        <is>
          <t>주거나지</t>
        </is>
      </c>
      <c r="T1119" s="3" t="inlineStr">
        <is>
          <t>평지</t>
        </is>
      </c>
      <c r="U1119" s="3" t="inlineStr">
        <is>
          <t>부정형</t>
        </is>
      </c>
      <c r="V1119" s="3" t="inlineStr">
        <is>
          <t>세로한면(가)</t>
        </is>
      </c>
    </row>
    <row r="1120">
      <c r="A1120" s="3" t="inlineStr">
        <is>
          <t>연서면 봉암리 45</t>
        </is>
      </c>
      <c r="B1120" s="3" t="inlineStr">
        <is>
          <t>보전관리지역</t>
        </is>
      </c>
      <c r="C1120" s="3" t="inlineStr">
        <is>
          <t>임야</t>
        </is>
      </c>
      <c r="D1120" s="3" t="inlineStr">
        <is>
          <t>임야</t>
        </is>
      </c>
      <c r="E1120" s="3" t="inlineStr">
        <is>
          <t>매매</t>
        </is>
      </c>
      <c r="F1120" s="4" t="n">
        <v>535400</v>
      </c>
      <c r="G1120" s="4" t="n">
        <v>8848</v>
      </c>
      <c r="H1120" s="4" t="n">
        <v>2677</v>
      </c>
      <c r="I1120" s="5" t="n">
        <v>200</v>
      </c>
      <c r="J1120" s="5" t="n">
        <v>22.7</v>
      </c>
      <c r="K1120" s="3" t="inlineStr">
        <is>
          <t>투자가치 좋은땅, 국도 접해있는 도로, 세종중심조치원 연결도로</t>
        </is>
      </c>
      <c r="L1120" s="6">
        <f>HYPERLINK("https://fin.land.naver.com/articles/2653384354", "매물Link")</f>
        <v/>
      </c>
      <c r="M1120" s="6">
        <f>HYPERLINK("https://map.naver.com/p/search/연서면 봉암리 45", "지도Link")</f>
        <v/>
      </c>
      <c r="N1120" s="6">
        <f>HYPERLINK("http://www.eum.go.kr/web/ar/lu/luLandDet.jsp?pnu=3611036033100450000&amp;isNoScr=script&amp;mode=search", "토지이음")</f>
        <v/>
      </c>
      <c r="O1120" s="3" t="inlineStr">
        <is>
          <t>금백</t>
        </is>
      </c>
      <c r="P1120" s="4" t="n">
        <v>2</v>
      </c>
      <c r="Q1120" s="4" t="n">
        <v>8848</v>
      </c>
      <c r="R1120" s="3" t="inlineStr">
        <is>
          <t>지정되지않음</t>
        </is>
      </c>
      <c r="S1120" s="3" t="inlineStr">
        <is>
          <t>자연림</t>
        </is>
      </c>
      <c r="T1120" s="3" t="inlineStr">
        <is>
          <t>완경사</t>
        </is>
      </c>
      <c r="U1120" s="3" t="inlineStr">
        <is>
          <t>부정형</t>
        </is>
      </c>
      <c r="V1120" s="3" t="inlineStr">
        <is>
          <t>중로한면</t>
        </is>
      </c>
    </row>
    <row r="1121">
      <c r="A1121" s="3" t="inlineStr">
        <is>
          <t>연서면 봉암리 532-2</t>
        </is>
      </c>
      <c r="B1121" s="3" t="inlineStr">
        <is>
          <t>계획관리지역</t>
        </is>
      </c>
      <c r="C1121" s="3" t="inlineStr">
        <is>
          <t>답</t>
        </is>
      </c>
      <c r="D1121" s="3" t="inlineStr">
        <is>
          <t>답</t>
        </is>
      </c>
      <c r="E1121" s="3" t="inlineStr">
        <is>
          <t>매매</t>
        </is>
      </c>
      <c r="F1121" s="4" t="n">
        <v>197000</v>
      </c>
      <c r="G1121" s="4" t="n">
        <v>1183</v>
      </c>
      <c r="H1121" s="4" t="n">
        <v>358</v>
      </c>
      <c r="I1121" s="5" t="n">
        <v>550.3</v>
      </c>
      <c r="J1121" s="5" t="n">
        <v>99.8</v>
      </c>
      <c r="K1121" s="3" t="inlineStr">
        <is>
          <t>연기사거리 인근 건축 가능한 계획관리지역 투자목적 토지 급매매</t>
        </is>
      </c>
      <c r="L1121" s="6">
        <f>HYPERLINK("https://fin.land.naver.com/articles/2650452623", "매물Link")</f>
        <v/>
      </c>
      <c r="M1121" s="6">
        <f>HYPERLINK("https://map.naver.com/p/search/연서면 봉암리 532-2", "지도Link")</f>
        <v/>
      </c>
      <c r="N1121" s="6">
        <f>HYPERLINK("http://www.eum.go.kr/web/ar/lu/luLandDet.jsp?pnu=3611036033105320002&amp;isNoScr=script&amp;mode=search", "토지이음")</f>
        <v/>
      </c>
      <c r="O1121" s="3" t="inlineStr">
        <is>
          <t>(주)해뜰터</t>
        </is>
      </c>
      <c r="P1121" s="4" t="n">
        <v>1</v>
      </c>
      <c r="Q1121" s="4" t="n">
        <v>1183</v>
      </c>
      <c r="R1121" s="3" t="inlineStr">
        <is>
          <t>지정되지않음</t>
        </is>
      </c>
      <c r="S1121" s="3" t="inlineStr">
        <is>
          <t>답</t>
        </is>
      </c>
      <c r="T1121" s="3" t="inlineStr">
        <is>
          <t>평지</t>
        </is>
      </c>
      <c r="U1121" s="3" t="inlineStr">
        <is>
          <t>세로장방</t>
        </is>
      </c>
      <c r="V1121" s="3" t="inlineStr">
        <is>
          <t>세로한면(불)</t>
        </is>
      </c>
    </row>
    <row r="1122">
      <c r="A1122" s="3" t="inlineStr">
        <is>
          <t>연서면 봉암리 604-3</t>
        </is>
      </c>
      <c r="B1122" s="3" t="inlineStr">
        <is>
          <t>계획관리지역</t>
        </is>
      </c>
      <c r="C1122" s="3" t="inlineStr">
        <is>
          <t>전</t>
        </is>
      </c>
      <c r="D1122" s="3" t="inlineStr">
        <is>
          <t>전</t>
        </is>
      </c>
      <c r="E1122" s="3" t="inlineStr">
        <is>
          <t>매매</t>
        </is>
      </c>
      <c r="F1122" s="4" t="n">
        <v>84000</v>
      </c>
      <c r="G1122" s="4" t="n">
        <v>1061</v>
      </c>
      <c r="H1122" s="4" t="n">
        <v>321</v>
      </c>
      <c r="I1122" s="5" t="n">
        <v>261.7</v>
      </c>
      <c r="J1122" s="5" t="n">
        <v>149.2</v>
      </c>
      <c r="K1122" s="3" t="inlineStr">
        <is>
          <t>주거개발진흥지구, 성장관리계획구역,자연취락지구 정방형 급매</t>
        </is>
      </c>
      <c r="L1122" s="6">
        <f>HYPERLINK("https://fin.land.naver.com/articles/2652376241", "매물Link")</f>
        <v/>
      </c>
      <c r="M1122" s="6">
        <f>HYPERLINK("https://map.naver.com/p/search/연서면 봉암리 604-3", "지도Link")</f>
        <v/>
      </c>
      <c r="N1122" s="6">
        <f>HYPERLINK("http://www.eum.go.kr/web/ar/lu/luLandDet.jsp?pnu=3611036033106040003&amp;isNoScr=script&amp;mode=search", "토지이음")</f>
        <v/>
      </c>
      <c r="O1122" s="3" t="inlineStr">
        <is>
          <t>도안재벌</t>
        </is>
      </c>
      <c r="P1122" s="4" t="n">
        <v>1</v>
      </c>
      <c r="Q1122" s="4" t="n">
        <v>1061</v>
      </c>
      <c r="R1122" s="3" t="inlineStr">
        <is>
          <t>지정되지않음</t>
        </is>
      </c>
      <c r="S1122" s="3" t="inlineStr">
        <is>
          <t>전</t>
        </is>
      </c>
      <c r="T1122" s="3" t="inlineStr">
        <is>
          <t>평지</t>
        </is>
      </c>
      <c r="U1122" s="3" t="inlineStr">
        <is>
          <t>정방형</t>
        </is>
      </c>
      <c r="V1122" s="3" t="inlineStr">
        <is>
          <t>세로한면(가)</t>
        </is>
      </c>
    </row>
    <row r="1123">
      <c r="A1123" s="3" t="inlineStr">
        <is>
          <t>연서면 봉암리 620-22</t>
        </is>
      </c>
      <c r="B1123" s="3" t="inlineStr">
        <is>
          <t>계획관리지역</t>
        </is>
      </c>
      <c r="C1123" s="3" t="inlineStr">
        <is>
          <t>대</t>
        </is>
      </c>
      <c r="D1123" s="3" t="inlineStr">
        <is>
          <t>대</t>
        </is>
      </c>
      <c r="E1123" s="3" t="inlineStr">
        <is>
          <t>매매</t>
        </is>
      </c>
      <c r="F1123" s="4" t="n">
        <v>80000</v>
      </c>
      <c r="G1123" s="4" t="n">
        <v>524</v>
      </c>
      <c r="H1123" s="4" t="n">
        <v>159</v>
      </c>
      <c r="I1123" s="5" t="n">
        <v>503.1</v>
      </c>
      <c r="J1123" s="5" t="n">
        <v>112.7</v>
      </c>
      <c r="K1123" s="3" t="inlineStr">
        <is>
          <t>8차선으로 확장된 BRT 도로와 2차선변.와촌리국가 산단 중심 근교임.</t>
        </is>
      </c>
      <c r="L1123" s="6">
        <f>HYPERLINK("https://fin.land.naver.com/articles/2653882175", "매물Link")</f>
        <v/>
      </c>
      <c r="M1123" s="6">
        <f>HYPERLINK("https://map.naver.com/p/search/연서면 봉암리 620-22", "지도Link")</f>
        <v/>
      </c>
      <c r="N1123" s="6">
        <f>HYPERLINK("http://www.eum.go.kr/web/ar/lu/luLandDet.jsp?pnu=3611036033106200022&amp;isNoScr=script&amp;mode=search", "토지이음")</f>
        <v/>
      </c>
      <c r="O1123" s="3" t="inlineStr">
        <is>
          <t>꿈드림</t>
        </is>
      </c>
      <c r="P1123" s="4" t="n">
        <v>1</v>
      </c>
      <c r="Q1123" s="4" t="n">
        <v>428</v>
      </c>
      <c r="R1123" s="3" t="inlineStr">
        <is>
          <t>지정되지않음</t>
        </is>
      </c>
      <c r="S1123" s="3" t="inlineStr">
        <is>
          <t>주거나지</t>
        </is>
      </c>
      <c r="T1123" s="3" t="inlineStr">
        <is>
          <t>평지</t>
        </is>
      </c>
      <c r="U1123" s="3" t="inlineStr">
        <is>
          <t>부정형</t>
        </is>
      </c>
      <c r="V1123" s="3" t="inlineStr">
        <is>
          <t>맹지</t>
        </is>
      </c>
    </row>
    <row r="1124">
      <c r="A1124" s="3" t="inlineStr">
        <is>
          <t>연서면 봉암리 676-10</t>
        </is>
      </c>
      <c r="B1124" s="3" t="inlineStr">
        <is>
          <t>계획관리지역</t>
        </is>
      </c>
      <c r="C1124" s="3" t="inlineStr">
        <is>
          <t>전</t>
        </is>
      </c>
      <c r="D1124" s="3" t="inlineStr">
        <is>
          <t>전</t>
        </is>
      </c>
      <c r="E1124" s="3" t="inlineStr">
        <is>
          <t>매매</t>
        </is>
      </c>
      <c r="F1124" s="4" t="n">
        <v>50000</v>
      </c>
      <c r="G1124" s="4" t="n">
        <v>330</v>
      </c>
      <c r="H1124" s="4" t="n">
        <v>100</v>
      </c>
      <c r="I1124" s="5" t="n">
        <v>500</v>
      </c>
      <c r="J1124" s="5" t="n">
        <v>75</v>
      </c>
      <c r="K1124" s="3" t="inlineStr">
        <is>
          <t>세종스마트국가산업단지 근접, 작은 근생용지나창고부지로 적합</t>
        </is>
      </c>
      <c r="L1124" s="6">
        <f>HYPERLINK("https://fin.land.naver.com/articles/2652823552", "매물Link")</f>
        <v/>
      </c>
      <c r="M1124" s="6">
        <f>HYPERLINK("https://map.naver.com/p/search/연서면 봉암리 676-10", "지도Link")</f>
        <v/>
      </c>
      <c r="N1124" s="6">
        <f>HYPERLINK("http://www.eum.go.kr/web/ar/lu/luLandDet.jsp?pnu=3611036033106760010&amp;isNoScr=script&amp;mode=search", "토지이음")</f>
        <v/>
      </c>
      <c r="O1124" s="3" t="inlineStr">
        <is>
          <t>담뜰</t>
        </is>
      </c>
      <c r="P1124" s="4" t="n">
        <v>1</v>
      </c>
      <c r="Q1124" s="4" t="n">
        <v>331</v>
      </c>
      <c r="R1124" s="3" t="inlineStr">
        <is>
          <t>지정되지않음</t>
        </is>
      </c>
      <c r="S1124" s="3" t="inlineStr">
        <is>
          <t>전창고</t>
        </is>
      </c>
      <c r="T1124" s="3" t="inlineStr">
        <is>
          <t>평지</t>
        </is>
      </c>
      <c r="U1124" s="3" t="inlineStr">
        <is>
          <t>사다리형</t>
        </is>
      </c>
      <c r="V1124" s="3" t="inlineStr">
        <is>
          <t>세로한면(가)</t>
        </is>
      </c>
    </row>
    <row r="1125">
      <c r="A1125" s="3" t="inlineStr">
        <is>
          <t>연서면 봉암리 677-2</t>
        </is>
      </c>
      <c r="B1125" s="3" t="inlineStr">
        <is>
          <t>계획관리지역</t>
        </is>
      </c>
      <c r="C1125" s="3" t="inlineStr">
        <is>
          <t>대</t>
        </is>
      </c>
      <c r="D1125" s="3" t="inlineStr">
        <is>
          <t>대</t>
        </is>
      </c>
      <c r="E1125" s="3" t="inlineStr">
        <is>
          <t>매매</t>
        </is>
      </c>
      <c r="F1125" s="4" t="n">
        <v>400000</v>
      </c>
      <c r="G1125" s="4" t="n">
        <v>2202</v>
      </c>
      <c r="H1125" s="4" t="n">
        <v>666</v>
      </c>
      <c r="I1125" s="5" t="n">
        <v>600.6</v>
      </c>
      <c r="J1125" s="5" t="n">
        <v>116.6</v>
      </c>
      <c r="K1125" s="3" t="inlineStr">
        <is>
          <t>세종스마트국가산업단지 근접 도로접근 용이</t>
        </is>
      </c>
      <c r="L1125" s="6">
        <f>HYPERLINK("https://fin.land.naver.com/articles/2652558544", "매물Link")</f>
        <v/>
      </c>
      <c r="M1125" s="6">
        <f>HYPERLINK("https://map.naver.com/p/search/연서면 봉암리 677-2", "지도Link")</f>
        <v/>
      </c>
      <c r="N1125" s="6">
        <f>HYPERLINK("http://www.eum.go.kr/web/ar/lu/luLandDet.jsp?pnu=3611036033106770002&amp;isNoScr=script&amp;mode=search", "토지이음")</f>
        <v/>
      </c>
      <c r="O1125" s="3" t="inlineStr">
        <is>
          <t>오송파라곤리치</t>
        </is>
      </c>
      <c r="P1125" s="4" t="n">
        <v>1</v>
      </c>
      <c r="Q1125" s="4" t="n">
        <v>655</v>
      </c>
      <c r="R1125" s="3" t="inlineStr">
        <is>
          <t>지정되지않음</t>
        </is>
      </c>
      <c r="S1125" s="3" t="inlineStr">
        <is>
          <t>주거기타</t>
        </is>
      </c>
      <c r="T1125" s="3" t="inlineStr">
        <is>
          <t>평지</t>
        </is>
      </c>
      <c r="U1125" s="3" t="inlineStr">
        <is>
          <t>사다리형</t>
        </is>
      </c>
      <c r="V1125" s="3" t="inlineStr">
        <is>
          <t>세로한면(가)</t>
        </is>
      </c>
    </row>
    <row r="1126">
      <c r="A1126" s="3" t="inlineStr">
        <is>
          <t>연서면 봉암리 828</t>
        </is>
      </c>
      <c r="B1126" s="3" t="inlineStr">
        <is>
          <t>농림지역</t>
        </is>
      </c>
      <c r="C1126" s="3" t="inlineStr">
        <is>
          <t>전</t>
        </is>
      </c>
      <c r="D1126" s="3" t="inlineStr">
        <is>
          <t>전</t>
        </is>
      </c>
      <c r="E1126" s="3" t="inlineStr">
        <is>
          <t>매매</t>
        </is>
      </c>
      <c r="F1126" s="4" t="n">
        <v>74000</v>
      </c>
      <c r="G1126" s="4" t="n">
        <v>2023</v>
      </c>
      <c r="H1126" s="4" t="n">
        <v>612</v>
      </c>
      <c r="I1126" s="5" t="n">
        <v>120.9</v>
      </c>
      <c r="J1126" s="5" t="n">
        <v>28.7</v>
      </c>
      <c r="K1126" s="3" t="inlineStr">
        <is>
          <t>추천. 세종국가산단 인근 하우스</t>
        </is>
      </c>
      <c r="L1126" s="6">
        <f>HYPERLINK("https://fin.land.naver.com/articles/2651993764", "매물Link")</f>
        <v/>
      </c>
      <c r="M1126" s="6">
        <f>HYPERLINK("https://map.naver.com/p/search/연서면 봉암리 828", "지도Link")</f>
        <v/>
      </c>
      <c r="N1126" s="6">
        <f>HYPERLINK("http://www.eum.go.kr/web/ar/lu/luLandDet.jsp?pnu=3611036033108280000&amp;isNoScr=script&amp;mode=search", "토지이음")</f>
        <v/>
      </c>
      <c r="O1126" s="3" t="inlineStr">
        <is>
          <t>강아지풀</t>
        </is>
      </c>
      <c r="P1126" s="4" t="n">
        <v>2</v>
      </c>
      <c r="Q1126" s="4" t="n">
        <v>2023</v>
      </c>
      <c r="R1126" s="3" t="inlineStr">
        <is>
          <t>지정되지않음</t>
        </is>
      </c>
      <c r="S1126" s="3" t="inlineStr">
        <is>
          <t>전</t>
        </is>
      </c>
      <c r="T1126" s="3" t="inlineStr">
        <is>
          <t>평지</t>
        </is>
      </c>
      <c r="U1126" s="3" t="inlineStr">
        <is>
          <t>사다리형</t>
        </is>
      </c>
      <c r="V1126" s="3" t="inlineStr">
        <is>
          <t>세로한면(가)</t>
        </is>
      </c>
    </row>
    <row r="1127">
      <c r="A1127" s="3" t="inlineStr">
        <is>
          <t>연서면 봉암리 853</t>
        </is>
      </c>
      <c r="B1127" s="3" t="inlineStr">
        <is>
          <t>농림지역</t>
        </is>
      </c>
      <c r="C1127" s="3" t="inlineStr">
        <is>
          <t>답</t>
        </is>
      </c>
      <c r="D1127" s="3" t="inlineStr">
        <is>
          <t>답</t>
        </is>
      </c>
      <c r="E1127" s="3" t="inlineStr">
        <is>
          <t>매매</t>
        </is>
      </c>
      <c r="F1127" s="4" t="n">
        <v>110000</v>
      </c>
      <c r="G1127" s="4" t="n">
        <v>2221</v>
      </c>
      <c r="H1127" s="4" t="n">
        <v>672</v>
      </c>
      <c r="I1127" s="5" t="n">
        <v>163.7</v>
      </c>
      <c r="J1127" s="5" t="n">
        <v>28.7</v>
      </c>
      <c r="K1127" s="3" t="inlineStr">
        <is>
          <t>3m 도로 코너 자리, 주거지에서 직선거리 210m</t>
        </is>
      </c>
      <c r="L1127" s="6">
        <f>HYPERLINK("https://fin.land.naver.com/articles/2652066939", "매물Link")</f>
        <v/>
      </c>
      <c r="M1127" s="6">
        <f>HYPERLINK("https://map.naver.com/p/search/연서면 봉암리 853", "지도Link")</f>
        <v/>
      </c>
      <c r="N1127" s="6">
        <f>HYPERLINK("http://www.eum.go.kr/web/ar/lu/luLandDet.jsp?pnu=3611036033108530000&amp;isNoScr=script&amp;mode=search", "토지이음")</f>
        <v/>
      </c>
      <c r="O1127" s="3" t="inlineStr">
        <is>
          <t>신와촌</t>
        </is>
      </c>
      <c r="P1127" s="4" t="n">
        <v>1</v>
      </c>
      <c r="Q1127" s="4" t="n">
        <v>2221</v>
      </c>
      <c r="R1127" s="3" t="inlineStr">
        <is>
          <t>지정되지않음</t>
        </is>
      </c>
      <c r="S1127" s="3" t="inlineStr">
        <is>
          <t>답</t>
        </is>
      </c>
      <c r="T1127" s="3" t="inlineStr">
        <is>
          <t>평지</t>
        </is>
      </c>
      <c r="U1127" s="3" t="inlineStr">
        <is>
          <t>사다리형</t>
        </is>
      </c>
      <c r="V1127" s="3" t="inlineStr">
        <is>
          <t>세로한면(가)</t>
        </is>
      </c>
    </row>
    <row r="1128">
      <c r="A1128" s="3" t="inlineStr">
        <is>
          <t>연서면 봉암리 92-3</t>
        </is>
      </c>
      <c r="B1128" s="3" t="inlineStr">
        <is>
          <t>농림지역</t>
        </is>
      </c>
      <c r="C1128" s="3" t="inlineStr">
        <is>
          <t>답</t>
        </is>
      </c>
      <c r="D1128" s="3" t="inlineStr">
        <is>
          <t>답</t>
        </is>
      </c>
      <c r="E1128" s="3" t="inlineStr">
        <is>
          <t>매매</t>
        </is>
      </c>
      <c r="F1128" s="4" t="n">
        <v>52500</v>
      </c>
      <c r="G1128" s="4" t="n">
        <v>1577</v>
      </c>
      <c r="H1128" s="4" t="n">
        <v>477</v>
      </c>
      <c r="I1128" s="5" t="n">
        <v>110.1</v>
      </c>
      <c r="J1128" s="5" t="n">
        <v>31.2</v>
      </c>
      <c r="K1128" s="3" t="inlineStr">
        <is>
          <t>급매. 북세종IC 인근 봉암리 농업보호구역 농지 창고, 공장 추천.</t>
        </is>
      </c>
      <c r="L1128" s="6">
        <f>HYPERLINK("https://fin.land.naver.com/articles/2654555463", "매물Link")</f>
        <v/>
      </c>
      <c r="M1128" s="6">
        <f>HYPERLINK("https://map.naver.com/p/search/연서면 봉암리 92-3", "지도Link")</f>
        <v/>
      </c>
      <c r="N1128" s="6">
        <f>HYPERLINK("http://www.eum.go.kr/web/ar/lu/luLandDet.jsp?pnu=3611036033100920003&amp;isNoScr=script&amp;mode=search", "토지이음")</f>
        <v/>
      </c>
      <c r="O1128" s="3" t="inlineStr">
        <is>
          <t>세종대장</t>
        </is>
      </c>
      <c r="P1128" s="4" t="n">
        <v>1</v>
      </c>
      <c r="Q1128" s="4" t="n">
        <v>1577</v>
      </c>
      <c r="R1128" s="3" t="inlineStr">
        <is>
          <t>지정되지않음</t>
        </is>
      </c>
      <c r="S1128" s="3" t="inlineStr">
        <is>
          <t>답</t>
        </is>
      </c>
      <c r="T1128" s="3" t="inlineStr">
        <is>
          <t>평지</t>
        </is>
      </c>
      <c r="U1128" s="3" t="inlineStr">
        <is>
          <t>사다리형</t>
        </is>
      </c>
      <c r="V1128" s="3" t="inlineStr">
        <is>
          <t>세로한면(가)</t>
        </is>
      </c>
    </row>
    <row r="1129">
      <c r="A1129" s="3" t="inlineStr">
        <is>
          <t>연서면 봉암리 947</t>
        </is>
      </c>
      <c r="B1129" s="3" t="inlineStr">
        <is>
          <t>농림지역</t>
        </is>
      </c>
      <c r="C1129" s="3" t="inlineStr">
        <is>
          <t>전</t>
        </is>
      </c>
      <c r="D1129" s="3" t="inlineStr">
        <is>
          <t>전</t>
        </is>
      </c>
      <c r="E1129" s="3" t="inlineStr">
        <is>
          <t>매매</t>
        </is>
      </c>
      <c r="F1129" s="4" t="n">
        <v>36400</v>
      </c>
      <c r="G1129" s="4" t="n">
        <v>1094</v>
      </c>
      <c r="H1129" s="4" t="n">
        <v>331</v>
      </c>
      <c r="I1129" s="5" t="n">
        <v>110</v>
      </c>
      <c r="J1129" s="5" t="n">
        <v>27.6</v>
      </c>
      <c r="K1129" s="3" t="inlineStr">
        <is>
          <t>추천. 산단인근 소액토지추천</t>
        </is>
      </c>
      <c r="L1129" s="6">
        <f>HYPERLINK("https://fin.land.naver.com/articles/2651911313", "매물Link")</f>
        <v/>
      </c>
      <c r="M1129" s="6">
        <f>HYPERLINK("https://map.naver.com/p/search/연서면 봉암리 947", "지도Link")</f>
        <v/>
      </c>
      <c r="N1129" s="6">
        <f>HYPERLINK("http://www.eum.go.kr/web/ar/lu/luLandDet.jsp?pnu=3611036033109470000&amp;isNoScr=script&amp;mode=search", "토지이음")</f>
        <v/>
      </c>
      <c r="O1129" s="3" t="inlineStr">
        <is>
          <t>강아지풀</t>
        </is>
      </c>
      <c r="P1129" s="4" t="n">
        <v>2</v>
      </c>
      <c r="Q1129" s="4" t="n">
        <v>1094</v>
      </c>
      <c r="R1129" s="3" t="inlineStr">
        <is>
          <t>지정되지않음</t>
        </is>
      </c>
      <c r="S1129" s="3" t="inlineStr">
        <is>
          <t>전</t>
        </is>
      </c>
      <c r="T1129" s="3" t="inlineStr">
        <is>
          <t>평지</t>
        </is>
      </c>
      <c r="U1129" s="3" t="inlineStr">
        <is>
          <t>부정형</t>
        </is>
      </c>
      <c r="V1129" s="3" t="inlineStr">
        <is>
          <t>세로한면(가)</t>
        </is>
      </c>
    </row>
    <row r="1130">
      <c r="A1130" s="3" t="inlineStr">
        <is>
          <t>연서면 봉암리 996</t>
        </is>
      </c>
      <c r="B1130" s="3" t="inlineStr">
        <is>
          <t>농림지역</t>
        </is>
      </c>
      <c r="C1130" s="3" t="inlineStr">
        <is>
          <t>전</t>
        </is>
      </c>
      <c r="D1130" s="3" t="inlineStr">
        <is>
          <t>전</t>
        </is>
      </c>
      <c r="E1130" s="3" t="inlineStr">
        <is>
          <t>매매</t>
        </is>
      </c>
      <c r="F1130" s="4" t="n">
        <v>97200</v>
      </c>
      <c r="G1130" s="4" t="n">
        <v>3214</v>
      </c>
      <c r="H1130" s="4" t="n">
        <v>972</v>
      </c>
      <c r="I1130" s="5" t="n">
        <v>100</v>
      </c>
      <c r="J1130" s="5" t="n">
        <v>25.6</v>
      </c>
      <c r="K1130" s="3" t="inlineStr">
        <is>
          <t>세종 연서면 투자용 토지</t>
        </is>
      </c>
      <c r="L1130" s="6">
        <f>HYPERLINK("https://fin.land.naver.com/articles/2651978211", "매물Link")</f>
        <v/>
      </c>
      <c r="M1130" s="6">
        <f>HYPERLINK("https://map.naver.com/p/search/연서면 봉암리 996", "지도Link")</f>
        <v/>
      </c>
      <c r="N1130" s="6">
        <f>HYPERLINK("http://www.eum.go.kr/web/ar/lu/luLandDet.jsp?pnu=3611036033109960000&amp;isNoScr=script&amp;mode=search", "토지이음")</f>
        <v/>
      </c>
      <c r="O1130" s="3" t="inlineStr">
        <is>
          <t>(주)경진컨설팅</t>
        </is>
      </c>
      <c r="P1130" s="4" t="n">
        <v>1</v>
      </c>
      <c r="Q1130" s="4" t="n">
        <v>3214.4</v>
      </c>
      <c r="R1130" s="3" t="inlineStr">
        <is>
          <t>지정되지않음</t>
        </is>
      </c>
      <c r="S1130" s="3" t="inlineStr">
        <is>
          <t>답</t>
        </is>
      </c>
      <c r="T1130" s="3" t="inlineStr">
        <is>
          <t>평지</t>
        </is>
      </c>
      <c r="U1130" s="3" t="inlineStr">
        <is>
          <t>사다리형</t>
        </is>
      </c>
      <c r="V1130" s="3" t="inlineStr">
        <is>
          <t>세로한면(불)</t>
        </is>
      </c>
    </row>
    <row r="1131">
      <c r="A1131" s="3" t="inlineStr">
        <is>
          <t>연서면 부동리 108-1</t>
        </is>
      </c>
      <c r="B1131" s="3" t="inlineStr">
        <is>
          <t>계획관리지역</t>
        </is>
      </c>
      <c r="C1131" s="3" t="inlineStr">
        <is>
          <t>전</t>
        </is>
      </c>
      <c r="D1131" s="3" t="inlineStr">
        <is>
          <t>전</t>
        </is>
      </c>
      <c r="E1131" s="3" t="inlineStr">
        <is>
          <t>매매</t>
        </is>
      </c>
      <c r="F1131" s="4" t="n">
        <v>200000</v>
      </c>
      <c r="G1131" s="4" t="n">
        <v>3098</v>
      </c>
      <c r="H1131" s="4" t="n">
        <v>937</v>
      </c>
      <c r="I1131" s="5" t="n">
        <v>213.4</v>
      </c>
      <c r="J1131" s="5" t="n">
        <v>68.5</v>
      </c>
      <c r="K1131" s="3" t="inlineStr">
        <is>
          <t>국가산단에 근접한토지로 현재전이며 모양이 좋고 2면각지도로에 접함.</t>
        </is>
      </c>
      <c r="L1131" s="6">
        <f>HYPERLINK("https://fin.land.naver.com/articles/2650181594", "매물Link")</f>
        <v/>
      </c>
      <c r="M1131" s="6">
        <f>HYPERLINK("https://map.naver.com/p/search/연서면 부동리 108-1", "지도Link")</f>
        <v/>
      </c>
      <c r="N1131" s="6">
        <f>HYPERLINK("http://www.eum.go.kr/web/ar/lu/luLandDet.jsp?pnu=3611036032101080001&amp;isNoScr=script&amp;mode=search", "토지이음")</f>
        <v/>
      </c>
      <c r="O1131" s="3" t="inlineStr">
        <is>
          <t>세종리츠</t>
        </is>
      </c>
      <c r="P1131" s="4" t="n">
        <v>1</v>
      </c>
      <c r="Q1131" s="4" t="n">
        <v>2943</v>
      </c>
      <c r="R1131" s="3" t="inlineStr">
        <is>
          <t>지정되지않음</t>
        </is>
      </c>
      <c r="S1131" s="3" t="inlineStr">
        <is>
          <t>전</t>
        </is>
      </c>
      <c r="T1131" s="3" t="inlineStr">
        <is>
          <t>평지</t>
        </is>
      </c>
      <c r="U1131" s="3" t="inlineStr">
        <is>
          <t>부정형</t>
        </is>
      </c>
      <c r="V1131" s="3" t="inlineStr">
        <is>
          <t>세로한면(가)</t>
        </is>
      </c>
    </row>
    <row r="1132">
      <c r="A1132" s="3" t="inlineStr">
        <is>
          <t>연서면 부동리 108-2</t>
        </is>
      </c>
      <c r="B1132" s="3" t="inlineStr">
        <is>
          <t>계획관리지역</t>
        </is>
      </c>
      <c r="C1132" s="3" t="inlineStr">
        <is>
          <t>도로</t>
        </is>
      </c>
      <c r="D1132" s="3" t="inlineStr">
        <is>
          <t>전</t>
        </is>
      </c>
      <c r="E1132" s="3" t="inlineStr">
        <is>
          <t>매매</t>
        </is>
      </c>
      <c r="F1132" s="4" t="n">
        <v>220000</v>
      </c>
      <c r="G1132" s="4" t="n">
        <v>2943</v>
      </c>
      <c r="H1132" s="4" t="n">
        <v>890</v>
      </c>
      <c r="I1132" s="5" t="n">
        <v>247.2</v>
      </c>
      <c r="J1132" s="5" t="n">
        <v>15.3</v>
      </c>
      <c r="K1132" s="3" t="inlineStr">
        <is>
          <t>세종스마트산단 초인접 계획관리</t>
        </is>
      </c>
      <c r="L1132" s="6">
        <f>HYPERLINK("https://fin.land.naver.com/articles/2651906558", "매물Link")</f>
        <v/>
      </c>
      <c r="M1132" s="6">
        <f>HYPERLINK("https://map.naver.com/p/search/연서면 부동리 108-2", "지도Link")</f>
        <v/>
      </c>
      <c r="N1132" s="6">
        <f>HYPERLINK("http://www.eum.go.kr/web/ar/lu/luLandDet.jsp?pnu=3611036032101080002&amp;isNoScr=script&amp;mode=search", "토지이음")</f>
        <v/>
      </c>
      <c r="O1132" s="3" t="inlineStr">
        <is>
          <t>강아지풀</t>
        </is>
      </c>
      <c r="P1132" s="4" t="n">
        <v>1</v>
      </c>
      <c r="Q1132" s="4" t="n">
        <v>155</v>
      </c>
      <c r="R1132" s="3" t="inlineStr">
        <is>
          <t>지정되지않음</t>
        </is>
      </c>
      <c r="S1132" s="3" t="inlineStr">
        <is>
          <t>도로등</t>
        </is>
      </c>
      <c r="T1132" s="3" t="inlineStr">
        <is>
          <t>평지</t>
        </is>
      </c>
      <c r="U1132" s="3" t="inlineStr">
        <is>
          <t>부정형</t>
        </is>
      </c>
      <c r="V1132" s="3" t="inlineStr">
        <is>
          <t>지정되지않음</t>
        </is>
      </c>
    </row>
    <row r="1133">
      <c r="A1133" s="3" t="inlineStr">
        <is>
          <t>연서면 부동리 255-1</t>
        </is>
      </c>
      <c r="B1133" s="3" t="inlineStr">
        <is>
          <t>계획관리지역</t>
        </is>
      </c>
      <c r="C1133" s="3" t="inlineStr">
        <is>
          <t>임야</t>
        </is>
      </c>
      <c r="D1133" s="3" t="inlineStr">
        <is>
          <t>임야</t>
        </is>
      </c>
      <c r="E1133" s="3" t="inlineStr">
        <is>
          <t>매매</t>
        </is>
      </c>
      <c r="F1133" s="4" t="n">
        <v>280000</v>
      </c>
      <c r="G1133" s="4" t="n">
        <v>2645</v>
      </c>
      <c r="H1133" s="4" t="n">
        <v>800</v>
      </c>
      <c r="I1133" s="5" t="n">
        <v>350</v>
      </c>
      <c r="J1133" s="5" t="n">
        <v>82.59999999999999</v>
      </c>
      <c r="K1133" s="3" t="inlineStr">
        <is>
          <t>도로접한 근생용지,세종국가산업단지와 조치원일반산업단지 근접</t>
        </is>
      </c>
      <c r="L1133" s="6">
        <f>HYPERLINK("https://fin.land.naver.com/articles/2650487993", "매물Link")</f>
        <v/>
      </c>
      <c r="M1133" s="6">
        <f>HYPERLINK("https://map.naver.com/p/search/연서면 부동리 255-1", "지도Link")</f>
        <v/>
      </c>
      <c r="N1133" s="6">
        <f>HYPERLINK("http://www.eum.go.kr/web/ar/lu/luLandDet.jsp?pnu=3611036032102550001&amp;isNoScr=script&amp;mode=search", "토지이음")</f>
        <v/>
      </c>
      <c r="O1133" s="3" t="inlineStr">
        <is>
          <t>세종나라</t>
        </is>
      </c>
      <c r="P1133" s="4" t="n">
        <v>1</v>
      </c>
      <c r="Q1133" s="4" t="n">
        <v>2448</v>
      </c>
      <c r="R1133" s="3" t="inlineStr">
        <is>
          <t>보전관리지역</t>
        </is>
      </c>
      <c r="S1133" s="3" t="inlineStr">
        <is>
          <t>전기타</t>
        </is>
      </c>
      <c r="T1133" s="3" t="inlineStr">
        <is>
          <t>평지</t>
        </is>
      </c>
      <c r="U1133" s="3" t="inlineStr">
        <is>
          <t>사다리형</t>
        </is>
      </c>
      <c r="V1133" s="3" t="inlineStr">
        <is>
          <t>소로각지</t>
        </is>
      </c>
    </row>
    <row r="1134">
      <c r="A1134" s="3" t="inlineStr">
        <is>
          <t>연서면 부동리 65</t>
        </is>
      </c>
      <c r="B1134" s="3" t="inlineStr">
        <is>
          <t>계획관리지역</t>
        </is>
      </c>
      <c r="C1134" s="3" t="inlineStr">
        <is>
          <t>전</t>
        </is>
      </c>
      <c r="D1134" s="3" t="inlineStr">
        <is>
          <t>전</t>
        </is>
      </c>
      <c r="E1134" s="3" t="inlineStr">
        <is>
          <t>매매</t>
        </is>
      </c>
      <c r="F1134" s="4" t="n">
        <v>138000</v>
      </c>
      <c r="G1134" s="4" t="n">
        <v>1022</v>
      </c>
      <c r="H1134" s="4" t="n">
        <v>309</v>
      </c>
      <c r="I1134" s="5" t="n">
        <v>446.6</v>
      </c>
      <c r="J1134" s="5" t="n">
        <v>55.8</v>
      </c>
      <c r="K1134" s="3" t="inlineStr">
        <is>
          <t>계획관리 전</t>
        </is>
      </c>
      <c r="L1134" s="6">
        <f>HYPERLINK("https://fin.land.naver.com/articles/2649731129", "매물Link")</f>
        <v/>
      </c>
      <c r="M1134" s="6">
        <f>HYPERLINK("https://map.naver.com/p/search/연서면 부동리 65", "지도Link")</f>
        <v/>
      </c>
      <c r="N1134" s="6">
        <f>HYPERLINK("http://www.eum.go.kr/web/ar/lu/luLandDet.jsp?pnu=3611036032100650000&amp;isNoScr=script&amp;mode=search", "토지이음")</f>
        <v/>
      </c>
      <c r="O1134" s="3" t="inlineStr">
        <is>
          <t>세종몽땅</t>
        </is>
      </c>
      <c r="P1134" s="4" t="n">
        <v>1</v>
      </c>
      <c r="Q1134" s="4" t="n">
        <v>1022</v>
      </c>
      <c r="R1134" s="3" t="inlineStr">
        <is>
          <t>지정되지않음</t>
        </is>
      </c>
      <c r="S1134" s="3" t="inlineStr">
        <is>
          <t>전</t>
        </is>
      </c>
      <c r="T1134" s="3" t="inlineStr">
        <is>
          <t>평지</t>
        </is>
      </c>
      <c r="U1134" s="3" t="inlineStr">
        <is>
          <t>사다리형</t>
        </is>
      </c>
      <c r="V1134" s="3" t="inlineStr">
        <is>
          <t>세로한면(가)</t>
        </is>
      </c>
    </row>
    <row r="1135">
      <c r="A1135" s="3" t="inlineStr">
        <is>
          <t>연서면 부동리 80-2</t>
        </is>
      </c>
      <c r="B1135" s="3" t="inlineStr">
        <is>
          <t>계획관리지역</t>
        </is>
      </c>
      <c r="C1135" s="3" t="inlineStr">
        <is>
          <t>대</t>
        </is>
      </c>
      <c r="D1135" s="3" t="inlineStr">
        <is>
          <t>대</t>
        </is>
      </c>
      <c r="E1135" s="3" t="inlineStr">
        <is>
          <t>매매</t>
        </is>
      </c>
      <c r="F1135" s="4" t="n">
        <v>39000</v>
      </c>
      <c r="G1135" s="4" t="n">
        <v>507</v>
      </c>
      <c r="H1135" s="4" t="n">
        <v>153</v>
      </c>
      <c r="I1135" s="5" t="n">
        <v>254.9</v>
      </c>
      <c r="J1135" s="5" t="n">
        <v>86.40000000000001</v>
      </c>
      <c r="K1135" s="3" t="inlineStr">
        <is>
          <t>국가산단인근,조치원산단인근,세종6생활권인근</t>
        </is>
      </c>
      <c r="L1135" s="6">
        <f>HYPERLINK("https://fin.land.naver.com/articles/2653051996", "매물Link")</f>
        <v/>
      </c>
      <c r="M1135" s="6">
        <f>HYPERLINK("https://map.naver.com/p/search/연서면 부동리 80-2", "지도Link")</f>
        <v/>
      </c>
      <c r="N1135" s="6">
        <f>HYPERLINK("http://www.eum.go.kr/web/ar/lu/luLandDet.jsp?pnu=3611036032100800002&amp;isNoScr=script&amp;mode=search", "토지이음")</f>
        <v/>
      </c>
      <c r="O1135" s="3" t="inlineStr">
        <is>
          <t>세종강남</t>
        </is>
      </c>
      <c r="P1135" s="4" t="n">
        <v>1</v>
      </c>
      <c r="Q1135" s="4" t="n">
        <v>507</v>
      </c>
      <c r="R1135" s="3" t="inlineStr">
        <is>
          <t>지정되지않음</t>
        </is>
      </c>
      <c r="S1135" s="3" t="inlineStr">
        <is>
          <t>단독</t>
        </is>
      </c>
      <c r="T1135" s="3" t="inlineStr">
        <is>
          <t>평지</t>
        </is>
      </c>
      <c r="U1135" s="3" t="inlineStr">
        <is>
          <t>사다리형</t>
        </is>
      </c>
      <c r="V1135" s="3" t="inlineStr">
        <is>
          <t>세로한면(불)</t>
        </is>
      </c>
    </row>
    <row r="1136">
      <c r="A1136" s="3" t="inlineStr">
        <is>
          <t>연서면 성제리 100-1</t>
        </is>
      </c>
      <c r="B1136" s="3" t="inlineStr">
        <is>
          <t>농림지역</t>
        </is>
      </c>
      <c r="C1136" s="3" t="inlineStr">
        <is>
          <t>답</t>
        </is>
      </c>
      <c r="D1136" s="3" t="inlineStr">
        <is>
          <t>답</t>
        </is>
      </c>
      <c r="E1136" s="3" t="inlineStr">
        <is>
          <t>매매</t>
        </is>
      </c>
      <c r="F1136" s="4" t="n">
        <v>76500</v>
      </c>
      <c r="G1136" s="4" t="n">
        <v>2970</v>
      </c>
      <c r="H1136" s="4" t="n">
        <v>898</v>
      </c>
      <c r="I1136" s="5" t="n">
        <v>85.2</v>
      </c>
      <c r="J1136" s="5" t="n">
        <v>26.6</v>
      </c>
      <c r="K1136" s="3" t="inlineStr">
        <is>
          <t>연서면 성제리 스마트팜 및 대토, 농업경영체 등록 최적지 추천</t>
        </is>
      </c>
      <c r="L1136" s="6">
        <f>HYPERLINK("https://fin.land.naver.com/articles/2651278989", "매물Link")</f>
        <v/>
      </c>
      <c r="M1136" s="6">
        <f>HYPERLINK("https://map.naver.com/p/search/연서면 성제리 100-1", "지도Link")</f>
        <v/>
      </c>
      <c r="N1136" s="6">
        <f>HYPERLINK("http://www.eum.go.kr/web/ar/lu/luLandDet.jsp?pnu=3611036023101000001&amp;isNoScr=script&amp;mode=search", "토지이음")</f>
        <v/>
      </c>
      <c r="O1136" s="3" t="inlineStr">
        <is>
          <t>지성</t>
        </is>
      </c>
      <c r="P1136" s="4" t="n">
        <v>1</v>
      </c>
      <c r="Q1136" s="4" t="n">
        <v>2970</v>
      </c>
      <c r="R1136" s="3" t="inlineStr">
        <is>
          <t>지정되지않음</t>
        </is>
      </c>
      <c r="S1136" s="3" t="inlineStr">
        <is>
          <t>답</t>
        </is>
      </c>
      <c r="T1136" s="3" t="inlineStr">
        <is>
          <t>평지</t>
        </is>
      </c>
      <c r="U1136" s="3" t="inlineStr">
        <is>
          <t>세로장방</t>
        </is>
      </c>
      <c r="V1136" s="3" t="inlineStr">
        <is>
          <t>세로각지(가)</t>
        </is>
      </c>
    </row>
    <row r="1137">
      <c r="A1137" s="3" t="inlineStr">
        <is>
          <t>연서면 성제리 103-7</t>
        </is>
      </c>
      <c r="B1137" s="3" t="inlineStr">
        <is>
          <t>농림지역</t>
        </is>
      </c>
      <c r="C1137" s="3" t="inlineStr">
        <is>
          <t>답</t>
        </is>
      </c>
      <c r="D1137" s="3" t="inlineStr">
        <is>
          <t>답</t>
        </is>
      </c>
      <c r="E1137" s="3" t="inlineStr">
        <is>
          <t>매매</t>
        </is>
      </c>
      <c r="F1137" s="4" t="n">
        <v>25000</v>
      </c>
      <c r="G1137" s="4" t="n">
        <v>1610</v>
      </c>
      <c r="H1137" s="4" t="n">
        <v>487</v>
      </c>
      <c r="I1137" s="5" t="n">
        <v>51.3</v>
      </c>
      <c r="J1137" s="5" t="n">
        <v>25.6</v>
      </c>
      <c r="K1137" s="3" t="inlineStr">
        <is>
          <t>연서면 성제리 농림지역 답</t>
        </is>
      </c>
      <c r="L1137" s="6">
        <f>HYPERLINK("https://fin.land.naver.com/articles/2654010001", "매물Link")</f>
        <v/>
      </c>
      <c r="M1137" s="6">
        <f>HYPERLINK("https://map.naver.com/p/search/연서면 성제리 103-7", "지도Link")</f>
        <v/>
      </c>
      <c r="N1137" s="6">
        <f>HYPERLINK("http://www.eum.go.kr/web/ar/lu/luLandDet.jsp?pnu=3611036023101030007&amp;isNoScr=script&amp;mode=search", "토지이음")</f>
        <v/>
      </c>
      <c r="O1137" s="3" t="inlineStr">
        <is>
          <t>KB세종</t>
        </is>
      </c>
      <c r="P1137" s="4" t="n">
        <v>1</v>
      </c>
      <c r="Q1137" s="4" t="n">
        <v>1610</v>
      </c>
      <c r="R1137" s="3" t="inlineStr">
        <is>
          <t>지정되지않음</t>
        </is>
      </c>
      <c r="S1137" s="3" t="inlineStr">
        <is>
          <t>답</t>
        </is>
      </c>
      <c r="T1137" s="3" t="inlineStr">
        <is>
          <t>평지</t>
        </is>
      </c>
      <c r="U1137" s="3" t="inlineStr">
        <is>
          <t>세로장방</t>
        </is>
      </c>
      <c r="V1137" s="3" t="inlineStr">
        <is>
          <t>세로한면(가)</t>
        </is>
      </c>
    </row>
    <row r="1138">
      <c r="A1138" s="3" t="inlineStr">
        <is>
          <t>연서면 성제리 145-14</t>
        </is>
      </c>
      <c r="B1138" s="3" t="inlineStr">
        <is>
          <t>자연녹지지역</t>
        </is>
      </c>
      <c r="C1138" s="3" t="inlineStr">
        <is>
          <t>과수원</t>
        </is>
      </c>
      <c r="D1138" s="3" t="inlineStr">
        <is>
          <t>과수원</t>
        </is>
      </c>
      <c r="E1138" s="3" t="inlineStr">
        <is>
          <t>매매</t>
        </is>
      </c>
      <c r="F1138" s="4" t="n">
        <v>205000</v>
      </c>
      <c r="G1138" s="4" t="n">
        <v>2806</v>
      </c>
      <c r="H1138" s="4" t="n">
        <v>849</v>
      </c>
      <c r="I1138" s="5" t="n">
        <v>241.5</v>
      </c>
      <c r="J1138" s="5" t="n">
        <v>56</v>
      </c>
      <c r="K1138" s="3" t="inlineStr">
        <is>
          <t>국가산단인근 도로접한 과수원 매매</t>
        </is>
      </c>
      <c r="L1138" s="6">
        <f>HYPERLINK("https://fin.land.naver.com/articles/2653195485", "매물Link")</f>
        <v/>
      </c>
      <c r="M1138" s="6">
        <f>HYPERLINK("https://map.naver.com/p/search/연서면 성제리 145-14", "지도Link")</f>
        <v/>
      </c>
      <c r="N1138" s="6">
        <f>HYPERLINK("http://www.eum.go.kr/web/ar/lu/luLandDet.jsp?pnu=3611036023101450014&amp;isNoScr=script&amp;mode=search", "토지이음")</f>
        <v/>
      </c>
      <c r="O1138" s="3" t="inlineStr">
        <is>
          <t>THE행복</t>
        </is>
      </c>
      <c r="P1138" s="4" t="n">
        <v>1</v>
      </c>
      <c r="Q1138" s="4" t="n">
        <v>57</v>
      </c>
      <c r="R1138" s="3" t="inlineStr">
        <is>
          <t>지정되지않음</t>
        </is>
      </c>
      <c r="S1138" s="3" t="inlineStr">
        <is>
          <t>과수원</t>
        </is>
      </c>
      <c r="T1138" s="3" t="inlineStr">
        <is>
          <t>평지</t>
        </is>
      </c>
      <c r="U1138" s="3" t="inlineStr">
        <is>
          <t>세로장방</t>
        </is>
      </c>
      <c r="V1138" s="3" t="inlineStr">
        <is>
          <t>세로한면(가)</t>
        </is>
      </c>
    </row>
    <row r="1139">
      <c r="A1139" s="3" t="inlineStr">
        <is>
          <t>연서면 성제리 145-14</t>
        </is>
      </c>
      <c r="B1139" s="3" t="inlineStr">
        <is>
          <t>자연녹지지역</t>
        </is>
      </c>
      <c r="C1139" s="3" t="inlineStr">
        <is>
          <t>과수원</t>
        </is>
      </c>
      <c r="D1139" s="3" t="inlineStr">
        <is>
          <t>과수원</t>
        </is>
      </c>
      <c r="E1139" s="3" t="inlineStr">
        <is>
          <t>매매</t>
        </is>
      </c>
      <c r="F1139" s="4" t="n">
        <v>205000</v>
      </c>
      <c r="G1139" s="4" t="n">
        <v>2806</v>
      </c>
      <c r="H1139" s="4" t="n">
        <v>849</v>
      </c>
      <c r="I1139" s="5" t="n">
        <v>241.5</v>
      </c>
      <c r="J1139" s="5" t="n">
        <v>56</v>
      </c>
      <c r="K1139" s="3" t="inlineStr">
        <is>
          <t>국가산단인근 도로변 성장관리구역 과수원</t>
        </is>
      </c>
      <c r="L1139" s="6">
        <f>HYPERLINK("https://fin.land.naver.com/articles/2650613233", "매물Link")</f>
        <v/>
      </c>
      <c r="M1139" s="6">
        <f>HYPERLINK("https://map.naver.com/p/search/연서면 성제리 145-14", "지도Link")</f>
        <v/>
      </c>
      <c r="N1139" s="6">
        <f>HYPERLINK("http://www.eum.go.kr/web/ar/lu/luLandDet.jsp?pnu=3611036023101450014&amp;isNoScr=script&amp;mode=search", "토지이음")</f>
        <v/>
      </c>
      <c r="O1139" s="3" t="inlineStr">
        <is>
          <t>THE행복</t>
        </is>
      </c>
      <c r="P1139" s="4" t="n">
        <v>1</v>
      </c>
      <c r="Q1139" s="4" t="n">
        <v>57</v>
      </c>
      <c r="R1139" s="3" t="inlineStr">
        <is>
          <t>지정되지않음</t>
        </is>
      </c>
      <c r="S1139" s="3" t="inlineStr">
        <is>
          <t>과수원</t>
        </is>
      </c>
      <c r="T1139" s="3" t="inlineStr">
        <is>
          <t>평지</t>
        </is>
      </c>
      <c r="U1139" s="3" t="inlineStr">
        <is>
          <t>세로장방</t>
        </is>
      </c>
      <c r="V1139" s="3" t="inlineStr">
        <is>
          <t>세로한면(가)</t>
        </is>
      </c>
    </row>
    <row r="1140">
      <c r="A1140" s="3" t="inlineStr">
        <is>
          <t>연서면 성제리 158-6</t>
        </is>
      </c>
      <c r="B1140" s="3" t="inlineStr">
        <is>
          <t>자연녹지지역</t>
        </is>
      </c>
      <c r="C1140" s="3" t="inlineStr">
        <is>
          <t>창고용지</t>
        </is>
      </c>
      <c r="D1140" s="3" t="inlineStr">
        <is>
          <t>창고용지</t>
        </is>
      </c>
      <c r="E1140" s="3" t="inlineStr">
        <is>
          <t>매매</t>
        </is>
      </c>
      <c r="F1140" s="4" t="n">
        <v>55000</v>
      </c>
      <c r="G1140" s="4" t="n">
        <v>850</v>
      </c>
      <c r="H1140" s="4" t="n">
        <v>257</v>
      </c>
      <c r="I1140" s="5" t="n">
        <v>214</v>
      </c>
      <c r="J1140" s="5" t="n">
        <v>63.8</v>
      </c>
      <c r="K1140" s="3" t="inlineStr">
        <is>
          <t>포장도로에 접해있는 도시지역 자연녹지지역의 농업용창고 66㎡와 전850㎡</t>
        </is>
      </c>
      <c r="L1140" s="6">
        <f>HYPERLINK("https://fin.land.naver.com/articles/2651472582", "매물Link")</f>
        <v/>
      </c>
      <c r="M1140" s="6">
        <f>HYPERLINK("https://map.naver.com/p/search/연서면 성제리 158-6", "지도Link")</f>
        <v/>
      </c>
      <c r="N1140" s="6">
        <f>HYPERLINK("http://www.eum.go.kr/web/ar/lu/luLandDet.jsp?pnu=3611036023101580006&amp;isNoScr=script&amp;mode=search", "토지이음")</f>
        <v/>
      </c>
      <c r="O1140" s="3" t="inlineStr">
        <is>
          <t>스마일세종</t>
        </is>
      </c>
      <c r="P1140" s="4" t="n">
        <v>1</v>
      </c>
      <c r="Q1140" s="4" t="n">
        <v>440</v>
      </c>
      <c r="R1140" s="3" t="inlineStr">
        <is>
          <t>지정되지않음</t>
        </is>
      </c>
      <c r="S1140" s="3" t="inlineStr">
        <is>
          <t>전창고</t>
        </is>
      </c>
      <c r="T1140" s="3" t="inlineStr">
        <is>
          <t>평지</t>
        </is>
      </c>
      <c r="U1140" s="3" t="inlineStr">
        <is>
          <t>세로장방</t>
        </is>
      </c>
      <c r="V1140" s="3" t="inlineStr">
        <is>
          <t>세로한면(가)</t>
        </is>
      </c>
    </row>
    <row r="1141">
      <c r="A1141" s="3" t="inlineStr">
        <is>
          <t>연서면 성제리 161-2</t>
        </is>
      </c>
      <c r="B1141" s="3" t="inlineStr">
        <is>
          <t>계획관리지역</t>
        </is>
      </c>
      <c r="C1141" s="3" t="inlineStr">
        <is>
          <t>도로</t>
        </is>
      </c>
      <c r="D1141" s="3" t="inlineStr">
        <is>
          <t>답</t>
        </is>
      </c>
      <c r="E1141" s="3" t="inlineStr">
        <is>
          <t>매매</t>
        </is>
      </c>
      <c r="F1141" s="4" t="n">
        <v>48000</v>
      </c>
      <c r="G1141" s="4" t="n">
        <v>1064</v>
      </c>
      <c r="H1141" s="4" t="n">
        <v>322</v>
      </c>
      <c r="I1141" s="5" t="n">
        <v>149.1</v>
      </c>
      <c r="J1141" s="5" t="n">
        <v>15.4</v>
      </c>
      <c r="K1141" s="3" t="inlineStr">
        <is>
          <t>nan</t>
        </is>
      </c>
      <c r="L1141" s="6">
        <f>HYPERLINK("https://fin.land.naver.com/articles/2654013343", "매물Link")</f>
        <v/>
      </c>
      <c r="M1141" s="6">
        <f>HYPERLINK("https://map.naver.com/p/search/연서면 성제리 161-2", "지도Link")</f>
        <v/>
      </c>
      <c r="N1141" s="6">
        <f>HYPERLINK("http://www.eum.go.kr/web/ar/lu/luLandDet.jsp?pnu=3611036023101610002&amp;isNoScr=script&amp;mode=search", "토지이음")</f>
        <v/>
      </c>
      <c r="O1141" s="3" t="inlineStr">
        <is>
          <t>KB세종</t>
        </is>
      </c>
      <c r="P1141" s="4" t="n">
        <v>1</v>
      </c>
      <c r="Q1141" s="4" t="n">
        <v>198</v>
      </c>
      <c r="R1141" s="3" t="inlineStr">
        <is>
          <t>농림지역</t>
        </is>
      </c>
      <c r="S1141" s="3" t="inlineStr">
        <is>
          <t>도로등</t>
        </is>
      </c>
      <c r="T1141" s="3" t="inlineStr">
        <is>
          <t>평지</t>
        </is>
      </c>
      <c r="U1141" s="3" t="inlineStr">
        <is>
          <t>부정형</t>
        </is>
      </c>
      <c r="V1141" s="3" t="inlineStr">
        <is>
          <t>지정되지않음</t>
        </is>
      </c>
    </row>
    <row r="1142">
      <c r="A1142" s="3" t="inlineStr">
        <is>
          <t>연서면 성제리 185-3</t>
        </is>
      </c>
      <c r="B1142" s="3" t="inlineStr">
        <is>
          <t>농림지역</t>
        </is>
      </c>
      <c r="C1142" s="3" t="inlineStr">
        <is>
          <t>답</t>
        </is>
      </c>
      <c r="D1142" s="3" t="inlineStr">
        <is>
          <t>답</t>
        </is>
      </c>
      <c r="E1142" s="3" t="inlineStr">
        <is>
          <t>매매</t>
        </is>
      </c>
      <c r="F1142" s="4" t="n">
        <v>29000</v>
      </c>
      <c r="G1142" s="4" t="n">
        <v>2130</v>
      </c>
      <c r="H1142" s="4" t="n">
        <v>644</v>
      </c>
      <c r="I1142" s="5" t="n">
        <v>45</v>
      </c>
      <c r="J1142" s="5" t="n">
        <v>27.3</v>
      </c>
      <c r="K1142" s="3" t="inlineStr">
        <is>
          <t>nan</t>
        </is>
      </c>
      <c r="L1142" s="6">
        <f>HYPERLINK("https://fin.land.naver.com/articles/2654013952", "매물Link")</f>
        <v/>
      </c>
      <c r="M1142" s="6">
        <f>HYPERLINK("https://map.naver.com/p/search/연서면 성제리 185-3", "지도Link")</f>
        <v/>
      </c>
      <c r="N1142" s="6">
        <f>HYPERLINK("http://www.eum.go.kr/web/ar/lu/luLandDet.jsp?pnu=3611036023101850003&amp;isNoScr=script&amp;mode=search", "토지이음")</f>
        <v/>
      </c>
      <c r="O1142" s="3" t="inlineStr">
        <is>
          <t>KB세종</t>
        </is>
      </c>
      <c r="P1142" s="4" t="n">
        <v>1</v>
      </c>
      <c r="Q1142" s="4" t="n">
        <v>2130</v>
      </c>
      <c r="R1142" s="3" t="inlineStr">
        <is>
          <t>지정되지않음</t>
        </is>
      </c>
      <c r="S1142" s="3" t="inlineStr">
        <is>
          <t>답</t>
        </is>
      </c>
      <c r="T1142" s="3" t="inlineStr">
        <is>
          <t>평지</t>
        </is>
      </c>
      <c r="U1142" s="3" t="inlineStr">
        <is>
          <t>가로장방</t>
        </is>
      </c>
      <c r="V1142" s="3" t="inlineStr">
        <is>
          <t>세로한면(가)</t>
        </is>
      </c>
    </row>
    <row r="1143">
      <c r="A1143" s="3" t="inlineStr">
        <is>
          <t>연서면 성제리 186-5</t>
        </is>
      </c>
      <c r="B1143" s="3" t="inlineStr">
        <is>
          <t>농림지역</t>
        </is>
      </c>
      <c r="C1143" s="3" t="inlineStr">
        <is>
          <t>답</t>
        </is>
      </c>
      <c r="D1143" s="3" t="inlineStr">
        <is>
          <t>답</t>
        </is>
      </c>
      <c r="E1143" s="3" t="inlineStr">
        <is>
          <t>매매</t>
        </is>
      </c>
      <c r="F1143" s="4" t="n">
        <v>80000</v>
      </c>
      <c r="G1143" s="4" t="n">
        <v>2045</v>
      </c>
      <c r="H1143" s="4" t="n">
        <v>619</v>
      </c>
      <c r="I1143" s="5" t="n">
        <v>129.2</v>
      </c>
      <c r="J1143" s="5" t="n">
        <v>27.3</v>
      </c>
      <c r="K1143" s="3" t="inlineStr">
        <is>
          <t>2차선 도로접 북세종IC인근</t>
        </is>
      </c>
      <c r="L1143" s="6">
        <f>HYPERLINK("https://fin.land.naver.com/articles/2650478349", "매물Link")</f>
        <v/>
      </c>
      <c r="M1143" s="6">
        <f>HYPERLINK("https://map.naver.com/p/search/연서면 성제리 186-5", "지도Link")</f>
        <v/>
      </c>
      <c r="N1143" s="6">
        <f>HYPERLINK("http://www.eum.go.kr/web/ar/lu/luLandDet.jsp?pnu=3611036023101860005&amp;isNoScr=script&amp;mode=search", "토지이음")</f>
        <v/>
      </c>
      <c r="O1143" s="3" t="inlineStr">
        <is>
          <t>가치잇는</t>
        </is>
      </c>
      <c r="P1143" s="4" t="n">
        <v>4</v>
      </c>
      <c r="Q1143" s="4" t="n">
        <v>2045</v>
      </c>
      <c r="R1143" s="3" t="inlineStr">
        <is>
          <t>지정되지않음</t>
        </is>
      </c>
      <c r="S1143" s="3" t="inlineStr">
        <is>
          <t>답</t>
        </is>
      </c>
      <c r="T1143" s="3" t="inlineStr">
        <is>
          <t>평지</t>
        </is>
      </c>
      <c r="U1143" s="3" t="inlineStr">
        <is>
          <t>가로장방</t>
        </is>
      </c>
      <c r="V1143" s="3" t="inlineStr">
        <is>
          <t>세로한면(가)</t>
        </is>
      </c>
    </row>
    <row r="1144">
      <c r="A1144" s="3" t="inlineStr">
        <is>
          <t>연서면 성제리 186-5</t>
        </is>
      </c>
      <c r="B1144" s="3" t="inlineStr">
        <is>
          <t>농림지역</t>
        </is>
      </c>
      <c r="C1144" s="3" t="inlineStr">
        <is>
          <t>답</t>
        </is>
      </c>
      <c r="D1144" s="3" t="inlineStr">
        <is>
          <t>답</t>
        </is>
      </c>
      <c r="E1144" s="3" t="inlineStr">
        <is>
          <t>매매</t>
        </is>
      </c>
      <c r="F1144" s="4" t="n">
        <v>80500</v>
      </c>
      <c r="G1144" s="4" t="n">
        <v>2045</v>
      </c>
      <c r="H1144" s="4" t="n">
        <v>619</v>
      </c>
      <c r="I1144" s="5" t="n">
        <v>130</v>
      </c>
      <c r="J1144" s="5" t="n">
        <v>27.3</v>
      </c>
      <c r="K1144" s="3" t="inlineStr">
        <is>
          <t>세종시근접 2차선도로접 토지,향후 개발가능성높은 토지입니다.</t>
        </is>
      </c>
      <c r="L1144" s="6">
        <f>HYPERLINK("https://fin.land.naver.com/articles/2653892163", "매물Link")</f>
        <v/>
      </c>
      <c r="M1144" s="6">
        <f>HYPERLINK("https://map.naver.com/p/search/연서면 성제리 186-5", "지도Link")</f>
        <v/>
      </c>
      <c r="N1144" s="6">
        <f>HYPERLINK("http://www.eum.go.kr/web/ar/lu/luLandDet.jsp?pnu=3611036023101860005&amp;isNoScr=script&amp;mode=search", "토지이음")</f>
        <v/>
      </c>
      <c r="O1144" s="3" t="inlineStr">
        <is>
          <t>담뜰</t>
        </is>
      </c>
      <c r="P1144" s="4" t="n">
        <v>3</v>
      </c>
      <c r="Q1144" s="4" t="n">
        <v>2045</v>
      </c>
      <c r="R1144" s="3" t="inlineStr">
        <is>
          <t>지정되지않음</t>
        </is>
      </c>
      <c r="S1144" s="3" t="inlineStr">
        <is>
          <t>답</t>
        </is>
      </c>
      <c r="T1144" s="3" t="inlineStr">
        <is>
          <t>평지</t>
        </is>
      </c>
      <c r="U1144" s="3" t="inlineStr">
        <is>
          <t>가로장방</t>
        </is>
      </c>
      <c r="V1144" s="3" t="inlineStr">
        <is>
          <t>세로한면(가)</t>
        </is>
      </c>
    </row>
    <row r="1145">
      <c r="A1145" s="3" t="inlineStr">
        <is>
          <t>연서면 성제리 186-5</t>
        </is>
      </c>
      <c r="B1145" s="3" t="inlineStr">
        <is>
          <t>농림지역</t>
        </is>
      </c>
      <c r="C1145" s="3" t="inlineStr">
        <is>
          <t>답</t>
        </is>
      </c>
      <c r="D1145" s="3" t="inlineStr">
        <is>
          <t>답</t>
        </is>
      </c>
      <c r="E1145" s="3" t="inlineStr">
        <is>
          <t>매매</t>
        </is>
      </c>
      <c r="F1145" s="4" t="n">
        <v>200000</v>
      </c>
      <c r="G1145" s="4" t="n">
        <v>5090</v>
      </c>
      <c r="H1145" s="4" t="n">
        <v>1540</v>
      </c>
      <c r="I1145" s="5" t="n">
        <v>129.9</v>
      </c>
      <c r="J1145" s="5" t="n">
        <v>27.3</v>
      </c>
      <c r="K1145" s="3" t="inlineStr">
        <is>
          <t>2차선도로접, 개발호재가 강한지역 투자가치최고</t>
        </is>
      </c>
      <c r="L1145" s="6">
        <f>HYPERLINK("https://fin.land.naver.com/articles/2651043984", "매물Link")</f>
        <v/>
      </c>
      <c r="M1145" s="6">
        <f>HYPERLINK("https://map.naver.com/p/search/연서면 성제리 186-5", "지도Link")</f>
        <v/>
      </c>
      <c r="N1145" s="6">
        <f>HYPERLINK("http://www.eum.go.kr/web/ar/lu/luLandDet.jsp?pnu=3611036023101860005&amp;isNoScr=script&amp;mode=search", "토지이음")</f>
        <v/>
      </c>
      <c r="O1145" s="3" t="inlineStr">
        <is>
          <t>원내</t>
        </is>
      </c>
      <c r="P1145" s="4" t="n">
        <v>2</v>
      </c>
      <c r="Q1145" s="4" t="n">
        <v>2045</v>
      </c>
      <c r="R1145" s="3" t="inlineStr">
        <is>
          <t>지정되지않음</t>
        </is>
      </c>
      <c r="S1145" s="3" t="inlineStr">
        <is>
          <t>답</t>
        </is>
      </c>
      <c r="T1145" s="3" t="inlineStr">
        <is>
          <t>평지</t>
        </is>
      </c>
      <c r="U1145" s="3" t="inlineStr">
        <is>
          <t>가로장방</t>
        </is>
      </c>
      <c r="V1145" s="3" t="inlineStr">
        <is>
          <t>세로한면(가)</t>
        </is>
      </c>
    </row>
    <row r="1146">
      <c r="A1146" s="3" t="inlineStr">
        <is>
          <t>연서면 성제리 186-6</t>
        </is>
      </c>
      <c r="B1146" s="3" t="inlineStr">
        <is>
          <t>농림지역</t>
        </is>
      </c>
      <c r="C1146" s="3" t="inlineStr">
        <is>
          <t>답</t>
        </is>
      </c>
      <c r="D1146" s="3" t="inlineStr">
        <is>
          <t>답</t>
        </is>
      </c>
      <c r="E1146" s="3" t="inlineStr">
        <is>
          <t>매매</t>
        </is>
      </c>
      <c r="F1146" s="4" t="n">
        <v>93000</v>
      </c>
      <c r="G1146" s="4" t="n">
        <v>2045</v>
      </c>
      <c r="H1146" s="4" t="n">
        <v>619</v>
      </c>
      <c r="I1146" s="5" t="n">
        <v>150.2</v>
      </c>
      <c r="J1146" s="5" t="n">
        <v>27.3</v>
      </c>
      <c r="K1146" s="3" t="inlineStr">
        <is>
          <t>2차선 도로변 토지 매매</t>
        </is>
      </c>
      <c r="L1146" s="6">
        <f>HYPERLINK("https://fin.land.naver.com/articles/2653137602", "매물Link")</f>
        <v/>
      </c>
      <c r="M1146" s="6">
        <f>HYPERLINK("https://map.naver.com/p/search/연서면 성제리 186-6", "지도Link")</f>
        <v/>
      </c>
      <c r="N1146" s="6">
        <f>HYPERLINK("http://www.eum.go.kr/web/ar/lu/luLandDet.jsp?pnu=3611036023101860006&amp;isNoScr=script&amp;mode=search", "토지이음")</f>
        <v/>
      </c>
      <c r="O1146" s="3" t="inlineStr">
        <is>
          <t>주식회사넥서스</t>
        </is>
      </c>
      <c r="P1146" s="4" t="n">
        <v>1</v>
      </c>
      <c r="Q1146" s="4" t="n">
        <v>3045</v>
      </c>
      <c r="R1146" s="3" t="inlineStr">
        <is>
          <t>지정되지않음</t>
        </is>
      </c>
      <c r="S1146" s="3" t="inlineStr">
        <is>
          <t>답</t>
        </is>
      </c>
      <c r="T1146" s="3" t="inlineStr">
        <is>
          <t>평지</t>
        </is>
      </c>
      <c r="U1146" s="3" t="inlineStr">
        <is>
          <t>가로장방</t>
        </is>
      </c>
      <c r="V1146" s="3" t="inlineStr">
        <is>
          <t>세로한면(가)</t>
        </is>
      </c>
    </row>
    <row r="1147">
      <c r="A1147" s="3" t="inlineStr">
        <is>
          <t>연서면 성제리 186-6</t>
        </is>
      </c>
      <c r="B1147" s="3" t="inlineStr">
        <is>
          <t>농림지역</t>
        </is>
      </c>
      <c r="C1147" s="3" t="inlineStr">
        <is>
          <t>답</t>
        </is>
      </c>
      <c r="D1147" s="3" t="inlineStr">
        <is>
          <t>답</t>
        </is>
      </c>
      <c r="E1147" s="3" t="inlineStr">
        <is>
          <t>매매</t>
        </is>
      </c>
      <c r="F1147" s="4" t="n">
        <v>119000</v>
      </c>
      <c r="G1147" s="4" t="n">
        <v>3045</v>
      </c>
      <c r="H1147" s="4" t="n">
        <v>921</v>
      </c>
      <c r="I1147" s="5" t="n">
        <v>129.2</v>
      </c>
      <c r="J1147" s="5" t="n">
        <v>27.3</v>
      </c>
      <c r="K1147" s="3" t="inlineStr">
        <is>
          <t>연서면 성제리 2차선 도로에 접한 투자용 답, 2필지 합해서 매매도 가능</t>
        </is>
      </c>
      <c r="L1147" s="6">
        <f>HYPERLINK("https://fin.land.naver.com/articles/2651454310", "매물Link")</f>
        <v/>
      </c>
      <c r="M1147" s="6">
        <f>HYPERLINK("https://map.naver.com/p/search/연서면 성제리 186-6", "지도Link")</f>
        <v/>
      </c>
      <c r="N1147" s="6">
        <f>HYPERLINK("http://www.eum.go.kr/web/ar/lu/luLandDet.jsp?pnu=3611036023101860006&amp;isNoScr=script&amp;mode=search", "토지이음")</f>
        <v/>
      </c>
      <c r="O1147" s="3" t="inlineStr">
        <is>
          <t>스마일세종</t>
        </is>
      </c>
      <c r="P1147" s="4" t="n">
        <v>2</v>
      </c>
      <c r="Q1147" s="4" t="n">
        <v>3045</v>
      </c>
      <c r="R1147" s="3" t="inlineStr">
        <is>
          <t>지정되지않음</t>
        </is>
      </c>
      <c r="S1147" s="3" t="inlineStr">
        <is>
          <t>답</t>
        </is>
      </c>
      <c r="T1147" s="3" t="inlineStr">
        <is>
          <t>평지</t>
        </is>
      </c>
      <c r="U1147" s="3" t="inlineStr">
        <is>
          <t>가로장방</t>
        </is>
      </c>
      <c r="V1147" s="3" t="inlineStr">
        <is>
          <t>세로한면(가)</t>
        </is>
      </c>
    </row>
    <row r="1148">
      <c r="A1148" s="3" t="inlineStr">
        <is>
          <t>연서면 성제리 188-3</t>
        </is>
      </c>
      <c r="B1148" s="3" t="inlineStr">
        <is>
          <t>농림지역</t>
        </is>
      </c>
      <c r="C1148" s="3" t="inlineStr">
        <is>
          <t>과수원</t>
        </is>
      </c>
      <c r="D1148" s="3" t="inlineStr">
        <is>
          <t>과수원</t>
        </is>
      </c>
      <c r="E1148" s="3" t="inlineStr">
        <is>
          <t>매매</t>
        </is>
      </c>
      <c r="F1148" s="4" t="n">
        <v>69000</v>
      </c>
      <c r="G1148" s="4" t="n">
        <v>1535</v>
      </c>
      <c r="H1148" s="4" t="n">
        <v>464</v>
      </c>
      <c r="I1148" s="5" t="n">
        <v>148.7</v>
      </c>
      <c r="J1148" s="5" t="n">
        <v>26.8</v>
      </c>
      <c r="K1148" s="3" t="inlineStr">
        <is>
          <t>연서면 성제리 지목이 과수원으로 마을 포장도로에 접해 있어 이용가치 높은</t>
        </is>
      </c>
      <c r="L1148" s="6">
        <f>HYPERLINK("https://fin.land.naver.com/articles/2652408713", "매물Link")</f>
        <v/>
      </c>
      <c r="M1148" s="6">
        <f>HYPERLINK("https://map.naver.com/p/search/연서면 성제리 188-3", "지도Link")</f>
        <v/>
      </c>
      <c r="N1148" s="6">
        <f>HYPERLINK("http://www.eum.go.kr/web/ar/lu/luLandDet.jsp?pnu=3611036023101880003&amp;isNoScr=script&amp;mode=search", "토지이음")</f>
        <v/>
      </c>
      <c r="O1148" s="3" t="inlineStr">
        <is>
          <t>스마일세종</t>
        </is>
      </c>
      <c r="P1148" s="4" t="n">
        <v>1</v>
      </c>
      <c r="Q1148" s="4" t="n">
        <v>1535</v>
      </c>
      <c r="R1148" s="3" t="inlineStr">
        <is>
          <t>지정되지않음</t>
        </is>
      </c>
      <c r="S1148" s="3" t="inlineStr">
        <is>
          <t>과수원</t>
        </is>
      </c>
      <c r="T1148" s="3" t="inlineStr">
        <is>
          <t>평지</t>
        </is>
      </c>
      <c r="U1148" s="3" t="inlineStr">
        <is>
          <t>가로장방</t>
        </is>
      </c>
      <c r="V1148" s="3" t="inlineStr">
        <is>
          <t>세로한면(가)</t>
        </is>
      </c>
    </row>
    <row r="1149">
      <c r="A1149" s="3" t="inlineStr">
        <is>
          <t>연서면 성제리 190-7</t>
        </is>
      </c>
      <c r="B1149" s="3" t="inlineStr">
        <is>
          <t>농림지역</t>
        </is>
      </c>
      <c r="C1149" s="3" t="inlineStr">
        <is>
          <t>답</t>
        </is>
      </c>
      <c r="D1149" s="3" t="inlineStr">
        <is>
          <t>답</t>
        </is>
      </c>
      <c r="E1149" s="3" t="inlineStr">
        <is>
          <t>매매</t>
        </is>
      </c>
      <c r="F1149" s="4" t="n">
        <v>48000</v>
      </c>
      <c r="G1149" s="4" t="n">
        <v>1980</v>
      </c>
      <c r="H1149" s="4" t="n">
        <v>599</v>
      </c>
      <c r="I1149" s="5" t="n">
        <v>80.09999999999999</v>
      </c>
      <c r="J1149" s="5" t="n">
        <v>26.8</v>
      </c>
      <c r="K1149" s="3" t="inlineStr">
        <is>
          <t>포장농로 접한 연서면 평탄 농업용 토지</t>
        </is>
      </c>
      <c r="L1149" s="6">
        <f>HYPERLINK("https://fin.land.naver.com/articles/2653939977", "매물Link")</f>
        <v/>
      </c>
      <c r="M1149" s="6">
        <f>HYPERLINK("https://map.naver.com/p/search/연서면 성제리 190-7", "지도Link")</f>
        <v/>
      </c>
      <c r="N1149" s="6">
        <f>HYPERLINK("http://www.eum.go.kr/web/ar/lu/luLandDet.jsp?pnu=3611036023101900007&amp;isNoScr=script&amp;mode=search", "토지이음")</f>
        <v/>
      </c>
      <c r="O1149" s="3" t="inlineStr">
        <is>
          <t>세종소담황금</t>
        </is>
      </c>
      <c r="P1149" s="4" t="n">
        <v>1</v>
      </c>
      <c r="Q1149" s="4" t="n">
        <v>1980</v>
      </c>
      <c r="R1149" s="3" t="inlineStr">
        <is>
          <t>지정되지않음</t>
        </is>
      </c>
      <c r="S1149" s="3" t="inlineStr">
        <is>
          <t>답</t>
        </is>
      </c>
      <c r="T1149" s="3" t="inlineStr">
        <is>
          <t>평지</t>
        </is>
      </c>
      <c r="U1149" s="3" t="inlineStr">
        <is>
          <t>가로장방</t>
        </is>
      </c>
      <c r="V1149" s="3" t="inlineStr">
        <is>
          <t>세로한면(가)</t>
        </is>
      </c>
    </row>
    <row r="1150">
      <c r="A1150" s="3" t="inlineStr">
        <is>
          <t>연서면 성제리 202-3</t>
        </is>
      </c>
      <c r="B1150" s="3" t="inlineStr">
        <is>
          <t>농림지역</t>
        </is>
      </c>
      <c r="C1150" s="3" t="inlineStr">
        <is>
          <t>답</t>
        </is>
      </c>
      <c r="D1150" s="3" t="inlineStr">
        <is>
          <t>답</t>
        </is>
      </c>
      <c r="E1150" s="3" t="inlineStr">
        <is>
          <t>매매</t>
        </is>
      </c>
      <c r="F1150" s="4" t="n">
        <v>54000</v>
      </c>
      <c r="G1150" s="4" t="n">
        <v>1790</v>
      </c>
      <c r="H1150" s="4" t="n">
        <v>541</v>
      </c>
      <c r="I1150" s="5" t="n">
        <v>99.8</v>
      </c>
      <c r="J1150" s="5" t="n">
        <v>25</v>
      </c>
      <c r="K1150" s="3" t="inlineStr">
        <is>
          <t>국가산단인근,농업 영위하면서 장기적으로는 가치 상승까지 가능</t>
        </is>
      </c>
      <c r="L1150" s="6">
        <f>HYPERLINK("https://fin.land.naver.com/articles/2651384693", "매물Link")</f>
        <v/>
      </c>
      <c r="M1150" s="6">
        <f>HYPERLINK("https://map.naver.com/p/search/연서면 성제리 202-3", "지도Link")</f>
        <v/>
      </c>
      <c r="N1150" s="6">
        <f>HYPERLINK("http://www.eum.go.kr/web/ar/lu/luLandDet.jsp?pnu=3611036023102020003&amp;isNoScr=script&amp;mode=search", "토지이음")</f>
        <v/>
      </c>
      <c r="O1150" s="3" t="inlineStr">
        <is>
          <t>가치잇는</t>
        </is>
      </c>
      <c r="P1150" s="4" t="n">
        <v>1</v>
      </c>
      <c r="Q1150" s="4" t="n">
        <v>1790</v>
      </c>
      <c r="R1150" s="3" t="inlineStr">
        <is>
          <t>지정되지않음</t>
        </is>
      </c>
      <c r="S1150" s="3" t="inlineStr">
        <is>
          <t>답</t>
        </is>
      </c>
      <c r="T1150" s="3" t="inlineStr">
        <is>
          <t>평지</t>
        </is>
      </c>
      <c r="U1150" s="3" t="inlineStr">
        <is>
          <t>가로장방</t>
        </is>
      </c>
      <c r="V1150" s="3" t="inlineStr">
        <is>
          <t>세로한면(가)</t>
        </is>
      </c>
    </row>
    <row r="1151">
      <c r="A1151" s="3" t="inlineStr">
        <is>
          <t>연서면 성제리 217-1</t>
        </is>
      </c>
      <c r="B1151" s="3" t="inlineStr">
        <is>
          <t>농림지역</t>
        </is>
      </c>
      <c r="C1151" s="3" t="inlineStr">
        <is>
          <t>답</t>
        </is>
      </c>
      <c r="D1151" s="3" t="inlineStr">
        <is>
          <t>답</t>
        </is>
      </c>
      <c r="E1151" s="3" t="inlineStr">
        <is>
          <t>매매</t>
        </is>
      </c>
      <c r="F1151" s="4" t="n">
        <v>35000</v>
      </c>
      <c r="G1151" s="4" t="n">
        <v>1430</v>
      </c>
      <c r="H1151" s="4" t="n">
        <v>433</v>
      </c>
      <c r="I1151" s="5" t="n">
        <v>80.8</v>
      </c>
      <c r="J1151" s="5" t="n">
        <v>25.2</v>
      </c>
      <c r="K1151" s="3" t="inlineStr">
        <is>
          <t>도로접한 농지</t>
        </is>
      </c>
      <c r="L1151" s="6">
        <f>HYPERLINK("https://fin.land.naver.com/articles/2650856663", "매물Link")</f>
        <v/>
      </c>
      <c r="M1151" s="6">
        <f>HYPERLINK("https://map.naver.com/p/search/연서면 성제리 217-1", "지도Link")</f>
        <v/>
      </c>
      <c r="N1151" s="6">
        <f>HYPERLINK("http://www.eum.go.kr/web/ar/lu/luLandDet.jsp?pnu=3611036023102170001&amp;isNoScr=script&amp;mode=search", "토지이음")</f>
        <v/>
      </c>
      <c r="O1151" s="3" t="inlineStr">
        <is>
          <t>세종대박</t>
        </is>
      </c>
      <c r="P1151" s="4" t="n">
        <v>1</v>
      </c>
      <c r="Q1151" s="4" t="n">
        <v>1430</v>
      </c>
      <c r="R1151" s="3" t="inlineStr">
        <is>
          <t>지정되지않음</t>
        </is>
      </c>
      <c r="S1151" s="3" t="inlineStr">
        <is>
          <t>답</t>
        </is>
      </c>
      <c r="T1151" s="3" t="inlineStr">
        <is>
          <t>평지</t>
        </is>
      </c>
      <c r="U1151" s="3" t="inlineStr">
        <is>
          <t>부정형</t>
        </is>
      </c>
      <c r="V1151" s="3" t="inlineStr">
        <is>
          <t>세로한면(가)</t>
        </is>
      </c>
    </row>
    <row r="1152">
      <c r="A1152" s="3" t="inlineStr">
        <is>
          <t>연서면 성제리 273-6</t>
        </is>
      </c>
      <c r="B1152" s="3" t="inlineStr">
        <is>
          <t>자연녹지지역</t>
        </is>
      </c>
      <c r="C1152" s="3" t="inlineStr">
        <is>
          <t>과수원</t>
        </is>
      </c>
      <c r="D1152" s="3" t="inlineStr">
        <is>
          <t>과수원</t>
        </is>
      </c>
      <c r="E1152" s="3" t="inlineStr">
        <is>
          <t>매매</t>
        </is>
      </c>
      <c r="F1152" s="4" t="n">
        <v>180000</v>
      </c>
      <c r="G1152" s="4" t="n">
        <v>1984</v>
      </c>
      <c r="H1152" s="4" t="n">
        <v>600</v>
      </c>
      <c r="I1152" s="5" t="n">
        <v>300</v>
      </c>
      <c r="J1152" s="5" t="n">
        <v>55.9</v>
      </c>
      <c r="K1152" s="3" t="inlineStr">
        <is>
          <t>미래가치 높은 관리 잘된 투자형 과수원</t>
        </is>
      </c>
      <c r="L1152" s="6">
        <f>HYPERLINK("https://fin.land.naver.com/articles/2649629027", "매물Link")</f>
        <v/>
      </c>
      <c r="M1152" s="6">
        <f>HYPERLINK("https://map.naver.com/p/search/연서면 성제리 273-6", "지도Link")</f>
        <v/>
      </c>
      <c r="N1152" s="6">
        <f>HYPERLINK("http://www.eum.go.kr/web/ar/lu/luLandDet.jsp?pnu=3611036023102730006&amp;isNoScr=script&amp;mode=search", "토지이음")</f>
        <v/>
      </c>
      <c r="O1152" s="3" t="inlineStr">
        <is>
          <t>가치잇는</t>
        </is>
      </c>
      <c r="P1152" s="4" t="n">
        <v>1</v>
      </c>
      <c r="Q1152" s="4" t="n">
        <v>1984</v>
      </c>
      <c r="R1152" s="3" t="inlineStr">
        <is>
          <t>지정되지않음</t>
        </is>
      </c>
      <c r="S1152" s="3" t="inlineStr">
        <is>
          <t>과수원</t>
        </is>
      </c>
      <c r="T1152" s="3" t="inlineStr">
        <is>
          <t>완경사</t>
        </is>
      </c>
      <c r="U1152" s="3" t="inlineStr">
        <is>
          <t>사다리형</t>
        </is>
      </c>
      <c r="V1152" s="3" t="inlineStr">
        <is>
          <t>세로한면(가)</t>
        </is>
      </c>
    </row>
    <row r="1153">
      <c r="A1153" s="3" t="inlineStr">
        <is>
          <t>연서면 성제리 273-9</t>
        </is>
      </c>
      <c r="B1153" s="3" t="inlineStr">
        <is>
          <t>자연녹지지역</t>
        </is>
      </c>
      <c r="C1153" s="3" t="inlineStr">
        <is>
          <t>과수원</t>
        </is>
      </c>
      <c r="D1153" s="3" t="inlineStr">
        <is>
          <t>과수원</t>
        </is>
      </c>
      <c r="E1153" s="3" t="inlineStr">
        <is>
          <t>매매</t>
        </is>
      </c>
      <c r="F1153" s="4" t="n">
        <v>10000</v>
      </c>
      <c r="G1153" s="4" t="n">
        <v>330</v>
      </c>
      <c r="H1153" s="4" t="n">
        <v>100</v>
      </c>
      <c r="I1153" s="5" t="n">
        <v>100</v>
      </c>
      <c r="J1153" s="5" t="n">
        <v>39.5</v>
      </c>
      <c r="K1153" s="3" t="inlineStr">
        <is>
          <t>nan</t>
        </is>
      </c>
      <c r="L1153" s="6">
        <f>HYPERLINK("https://fin.land.naver.com/articles/2651153583", "매물Link")</f>
        <v/>
      </c>
      <c r="M1153" s="6">
        <f>HYPERLINK("https://map.naver.com/p/search/연서면 성제리 273-9", "지도Link")</f>
        <v/>
      </c>
      <c r="N1153" s="6">
        <f>HYPERLINK("http://www.eum.go.kr/web/ar/lu/luLandDet.jsp?pnu=3611036023102730009&amp;isNoScr=script&amp;mode=search", "토지이음")</f>
        <v/>
      </c>
      <c r="O1153" s="3" t="inlineStr">
        <is>
          <t>미스터홈즈강남지사</t>
        </is>
      </c>
      <c r="P1153" s="4" t="n">
        <v>1</v>
      </c>
      <c r="Q1153" s="4" t="n">
        <v>3485</v>
      </c>
      <c r="R1153" s="3" t="inlineStr">
        <is>
          <t>지정되지않음</t>
        </is>
      </c>
      <c r="S1153" s="3" t="inlineStr">
        <is>
          <t>과수원</t>
        </is>
      </c>
      <c r="T1153" s="3" t="inlineStr">
        <is>
          <t>급경사</t>
        </is>
      </c>
      <c r="U1153" s="3" t="inlineStr">
        <is>
          <t>부정형</t>
        </is>
      </c>
      <c r="V1153" s="3" t="inlineStr">
        <is>
          <t>세로한면(가)</t>
        </is>
      </c>
    </row>
    <row r="1154">
      <c r="A1154" s="3" t="inlineStr">
        <is>
          <t>연서면 성제리 273-9</t>
        </is>
      </c>
      <c r="B1154" s="3" t="inlineStr">
        <is>
          <t>자연녹지지역</t>
        </is>
      </c>
      <c r="C1154" s="3" t="inlineStr">
        <is>
          <t>과수원</t>
        </is>
      </c>
      <c r="D1154" s="3" t="inlineStr">
        <is>
          <t>과수원</t>
        </is>
      </c>
      <c r="E1154" s="3" t="inlineStr">
        <is>
          <t>매매</t>
        </is>
      </c>
      <c r="F1154" s="4" t="n">
        <v>19000</v>
      </c>
      <c r="G1154" s="4" t="n">
        <v>730</v>
      </c>
      <c r="H1154" s="4" t="n">
        <v>221</v>
      </c>
      <c r="I1154" s="5" t="n">
        <v>86</v>
      </c>
      <c r="J1154" s="5" t="n">
        <v>39.5</v>
      </c>
      <c r="K1154" s="3" t="inlineStr">
        <is>
          <t>분할매도,실수요와 투자를 동시에.미래가치 충분</t>
        </is>
      </c>
      <c r="L1154" s="6">
        <f>HYPERLINK("https://fin.land.naver.com/articles/2650336389", "매물Link")</f>
        <v/>
      </c>
      <c r="M1154" s="6">
        <f>HYPERLINK("https://map.naver.com/p/search/연서면 성제리 273-9", "지도Link")</f>
        <v/>
      </c>
      <c r="N1154" s="6">
        <f>HYPERLINK("http://www.eum.go.kr/web/ar/lu/luLandDet.jsp?pnu=3611036023102730009&amp;isNoScr=script&amp;mode=search", "토지이음")</f>
        <v/>
      </c>
      <c r="O1154" s="3" t="inlineStr">
        <is>
          <t>가치잇는</t>
        </is>
      </c>
      <c r="P1154" s="4" t="n">
        <v>2</v>
      </c>
      <c r="Q1154" s="4" t="n">
        <v>3485</v>
      </c>
      <c r="R1154" s="3" t="inlineStr">
        <is>
          <t>지정되지않음</t>
        </is>
      </c>
      <c r="S1154" s="3" t="inlineStr">
        <is>
          <t>과수원</t>
        </is>
      </c>
      <c r="T1154" s="3" t="inlineStr">
        <is>
          <t>급경사</t>
        </is>
      </c>
      <c r="U1154" s="3" t="inlineStr">
        <is>
          <t>부정형</t>
        </is>
      </c>
      <c r="V1154" s="3" t="inlineStr">
        <is>
          <t>세로한면(가)</t>
        </is>
      </c>
    </row>
    <row r="1155">
      <c r="A1155" s="3" t="inlineStr">
        <is>
          <t>연서면 성제리 280-9</t>
        </is>
      </c>
      <c r="B1155" s="3" t="inlineStr">
        <is>
          <t>자연녹지지역</t>
        </is>
      </c>
      <c r="C1155" s="3" t="inlineStr">
        <is>
          <t>전</t>
        </is>
      </c>
      <c r="D1155" s="3" t="inlineStr">
        <is>
          <t>전</t>
        </is>
      </c>
      <c r="E1155" s="3" t="inlineStr">
        <is>
          <t>매매</t>
        </is>
      </c>
      <c r="F1155" s="4" t="n">
        <v>77300</v>
      </c>
      <c r="G1155" s="4" t="n">
        <v>3194</v>
      </c>
      <c r="H1155" s="4" t="n">
        <v>966</v>
      </c>
      <c r="I1155" s="5" t="n">
        <v>80</v>
      </c>
      <c r="J1155" s="5" t="n">
        <v>74.8</v>
      </c>
      <c r="K1155" s="3" t="inlineStr">
        <is>
          <t>행정복지센터 인근 자연녹지 저렴한 토지</t>
        </is>
      </c>
      <c r="L1155" s="6">
        <f>HYPERLINK("https://fin.land.naver.com/articles/2652098500", "매물Link")</f>
        <v/>
      </c>
      <c r="M1155" s="6">
        <f>HYPERLINK("https://map.naver.com/p/search/연서면 성제리 280-9", "지도Link")</f>
        <v/>
      </c>
      <c r="N1155" s="6">
        <f>HYPERLINK("http://www.eum.go.kr/web/ar/lu/luLandDet.jsp?pnu=3611036023102800009&amp;isNoScr=script&amp;mode=search", "토지이음")</f>
        <v/>
      </c>
      <c r="O1155" s="3" t="inlineStr">
        <is>
          <t>미스터홈즈강남지사</t>
        </is>
      </c>
      <c r="P1155" s="4" t="n">
        <v>1</v>
      </c>
      <c r="Q1155" s="4" t="n">
        <v>2361</v>
      </c>
      <c r="R1155" s="3" t="inlineStr">
        <is>
          <t>지정되지않음</t>
        </is>
      </c>
      <c r="S1155" s="3" t="inlineStr">
        <is>
          <t>전</t>
        </is>
      </c>
      <c r="T1155" s="3" t="inlineStr">
        <is>
          <t>평지</t>
        </is>
      </c>
      <c r="U1155" s="3" t="inlineStr">
        <is>
          <t>사다리형</t>
        </is>
      </c>
      <c r="V1155" s="3" t="inlineStr">
        <is>
          <t>세로한면(가)</t>
        </is>
      </c>
    </row>
    <row r="1156">
      <c r="A1156" s="3" t="inlineStr">
        <is>
          <t>연서면 성제리 346-1</t>
        </is>
      </c>
      <c r="B1156" s="3" t="inlineStr">
        <is>
          <t>자연녹지지역</t>
        </is>
      </c>
      <c r="C1156" s="3" t="inlineStr">
        <is>
          <t>대</t>
        </is>
      </c>
      <c r="D1156" s="3" t="inlineStr">
        <is>
          <t>대</t>
        </is>
      </c>
      <c r="E1156" s="3" t="inlineStr">
        <is>
          <t>매매</t>
        </is>
      </c>
      <c r="F1156" s="4" t="n">
        <v>240000</v>
      </c>
      <c r="G1156" s="4" t="n">
        <v>1430</v>
      </c>
      <c r="H1156" s="4" t="n">
        <v>433</v>
      </c>
      <c r="I1156" s="5" t="n">
        <v>554.3</v>
      </c>
      <c r="J1156" s="5" t="n">
        <v>260.8</v>
      </c>
      <c r="K1156" s="3" t="inlineStr">
        <is>
          <t>토지가 도로 전면에 전부 접해있습니다. 주변 호재 많은 토지</t>
        </is>
      </c>
      <c r="L1156" s="6">
        <f>HYPERLINK("https://fin.land.naver.com/articles/2651572889", "매물Link")</f>
        <v/>
      </c>
      <c r="M1156" s="6">
        <f>HYPERLINK("https://map.naver.com/p/search/연서면 성제리 346-1", "지도Link")</f>
        <v/>
      </c>
      <c r="N1156" s="6">
        <f>HYPERLINK("http://www.eum.go.kr/web/ar/lu/luLandDet.jsp?pnu=3611036023103460001&amp;isNoScr=script&amp;mode=search", "토지이음")</f>
        <v/>
      </c>
      <c r="O1156" s="3" t="inlineStr">
        <is>
          <t>여기로</t>
        </is>
      </c>
      <c r="P1156" s="4" t="n">
        <v>1</v>
      </c>
      <c r="Q1156" s="4" t="n">
        <v>1430</v>
      </c>
      <c r="R1156" s="3" t="inlineStr">
        <is>
          <t>지정되지않음</t>
        </is>
      </c>
      <c r="S1156" s="3" t="inlineStr">
        <is>
          <t>업무용</t>
        </is>
      </c>
      <c r="T1156" s="3" t="inlineStr">
        <is>
          <t>평지</t>
        </is>
      </c>
      <c r="U1156" s="3" t="inlineStr">
        <is>
          <t>부정형</t>
        </is>
      </c>
      <c r="V1156" s="3" t="inlineStr">
        <is>
          <t>소로한면</t>
        </is>
      </c>
    </row>
    <row r="1157">
      <c r="A1157" s="3" t="inlineStr">
        <is>
          <t>연서면 성제리 429</t>
        </is>
      </c>
      <c r="B1157" s="3" t="inlineStr">
        <is>
          <t>자연녹지지역</t>
        </is>
      </c>
      <c r="C1157" s="3" t="inlineStr">
        <is>
          <t>전</t>
        </is>
      </c>
      <c r="D1157" s="3" t="inlineStr">
        <is>
          <t>전</t>
        </is>
      </c>
      <c r="E1157" s="3" t="inlineStr">
        <is>
          <t>매매</t>
        </is>
      </c>
      <c r="F1157" s="4" t="n">
        <v>73000</v>
      </c>
      <c r="G1157" s="4" t="n">
        <v>959</v>
      </c>
      <c r="H1157" s="4" t="n">
        <v>290</v>
      </c>
      <c r="I1157" s="5" t="n">
        <v>251.7</v>
      </c>
      <c r="J1157" s="5" t="n">
        <v>62.5</v>
      </c>
      <c r="K1157" s="3" t="inlineStr">
        <is>
          <t>2차선 도로 인접 ,용도 변경 가능 미래 투자가치 좋은 금싸라기 땅</t>
        </is>
      </c>
      <c r="L1157" s="6">
        <f>HYPERLINK("https://fin.land.naver.com/articles/2651651826", "매물Link")</f>
        <v/>
      </c>
      <c r="M1157" s="6">
        <f>HYPERLINK("https://map.naver.com/p/search/연서면 성제리 429", "지도Link")</f>
        <v/>
      </c>
      <c r="N1157" s="6">
        <f>HYPERLINK("http://www.eum.go.kr/web/ar/lu/luLandDet.jsp?pnu=3611036023104290000&amp;isNoScr=script&amp;mode=search", "토지이음")</f>
        <v/>
      </c>
      <c r="O1157" s="3" t="inlineStr">
        <is>
          <t>강남뜰</t>
        </is>
      </c>
      <c r="P1157" s="4" t="n">
        <v>1</v>
      </c>
      <c r="Q1157" s="4" t="n">
        <v>959</v>
      </c>
      <c r="R1157" s="3" t="inlineStr">
        <is>
          <t>계획관리지역</t>
        </is>
      </c>
      <c r="S1157" s="3" t="inlineStr">
        <is>
          <t>과수원</t>
        </is>
      </c>
      <c r="T1157" s="3" t="inlineStr">
        <is>
          <t>평지</t>
        </is>
      </c>
      <c r="U1157" s="3" t="inlineStr">
        <is>
          <t>가로장방</t>
        </is>
      </c>
      <c r="V1157" s="3" t="inlineStr">
        <is>
          <t>세로한면(가)</t>
        </is>
      </c>
    </row>
    <row r="1158">
      <c r="A1158" s="3" t="inlineStr">
        <is>
          <t>연서면 성제리 446</t>
        </is>
      </c>
      <c r="B1158" s="3" t="inlineStr">
        <is>
          <t>자연녹지지역</t>
        </is>
      </c>
      <c r="C1158" s="3" t="inlineStr">
        <is>
          <t>답</t>
        </is>
      </c>
      <c r="D1158" s="3" t="inlineStr">
        <is>
          <t>답</t>
        </is>
      </c>
      <c r="E1158" s="3" t="inlineStr">
        <is>
          <t>매매</t>
        </is>
      </c>
      <c r="F1158" s="4" t="n">
        <v>82250</v>
      </c>
      <c r="G1158" s="4" t="n">
        <v>1087</v>
      </c>
      <c r="H1158" s="4" t="n">
        <v>329</v>
      </c>
      <c r="I1158" s="5" t="n">
        <v>250</v>
      </c>
      <c r="J1158" s="5" t="n">
        <v>65.90000000000001</v>
      </c>
      <c r="K1158" s="3" t="inlineStr">
        <is>
          <t>집짓기 좋은 정방형 토지 매매</t>
        </is>
      </c>
      <c r="L1158" s="6">
        <f>HYPERLINK("https://fin.land.naver.com/articles/2653195395", "매물Link")</f>
        <v/>
      </c>
      <c r="M1158" s="6">
        <f>HYPERLINK("https://map.naver.com/p/search/연서면 성제리 446", "지도Link")</f>
        <v/>
      </c>
      <c r="N1158" s="6">
        <f>HYPERLINK("http://www.eum.go.kr/web/ar/lu/luLandDet.jsp?pnu=3611036023104460000&amp;isNoScr=script&amp;mode=search", "토지이음")</f>
        <v/>
      </c>
      <c r="O1158" s="3" t="inlineStr">
        <is>
          <t>THE행복</t>
        </is>
      </c>
      <c r="P1158" s="4" t="n">
        <v>1</v>
      </c>
      <c r="Q1158" s="4" t="n">
        <v>1088</v>
      </c>
      <c r="R1158" s="3" t="inlineStr">
        <is>
          <t>지정되지않음</t>
        </is>
      </c>
      <c r="S1158" s="3" t="inlineStr">
        <is>
          <t>과수원</t>
        </is>
      </c>
      <c r="T1158" s="3" t="inlineStr">
        <is>
          <t>평지</t>
        </is>
      </c>
      <c r="U1158" s="3" t="inlineStr">
        <is>
          <t>사다리형</t>
        </is>
      </c>
      <c r="V1158" s="3" t="inlineStr">
        <is>
          <t>세로한면(가)</t>
        </is>
      </c>
    </row>
    <row r="1159">
      <c r="A1159" s="3" t="inlineStr">
        <is>
          <t>연서면 성제리 446</t>
        </is>
      </c>
      <c r="B1159" s="3" t="inlineStr">
        <is>
          <t>자연녹지지역</t>
        </is>
      </c>
      <c r="C1159" s="3" t="inlineStr">
        <is>
          <t>답</t>
        </is>
      </c>
      <c r="D1159" s="3" t="inlineStr">
        <is>
          <t>답</t>
        </is>
      </c>
      <c r="E1159" s="3" t="inlineStr">
        <is>
          <t>매매</t>
        </is>
      </c>
      <c r="F1159" s="4" t="n">
        <v>80000</v>
      </c>
      <c r="G1159" s="4" t="n">
        <v>1087</v>
      </c>
      <c r="H1159" s="4" t="n">
        <v>329</v>
      </c>
      <c r="I1159" s="5" t="n">
        <v>243.2</v>
      </c>
      <c r="J1159" s="5" t="n">
        <v>65.90000000000001</v>
      </c>
      <c r="K1159" s="3" t="inlineStr">
        <is>
          <t>국가산단인근  성장관리계획구역</t>
        </is>
      </c>
      <c r="L1159" s="6">
        <f>HYPERLINK("https://fin.land.naver.com/articles/2654518353", "매물Link")</f>
        <v/>
      </c>
      <c r="M1159" s="6">
        <f>HYPERLINK("https://map.naver.com/p/search/연서면 성제리 446", "지도Link")</f>
        <v/>
      </c>
      <c r="N1159" s="6">
        <f>HYPERLINK("http://www.eum.go.kr/web/ar/lu/luLandDet.jsp?pnu=3611036023104460000&amp;isNoScr=script&amp;mode=search", "토지이음")</f>
        <v/>
      </c>
      <c r="O1159" s="3" t="inlineStr">
        <is>
          <t>THE행복</t>
        </is>
      </c>
      <c r="P1159" s="4" t="n">
        <v>1</v>
      </c>
      <c r="Q1159" s="4" t="n">
        <v>1088</v>
      </c>
      <c r="R1159" s="3" t="inlineStr">
        <is>
          <t>지정되지않음</t>
        </is>
      </c>
      <c r="S1159" s="3" t="inlineStr">
        <is>
          <t>과수원</t>
        </is>
      </c>
      <c r="T1159" s="3" t="inlineStr">
        <is>
          <t>평지</t>
        </is>
      </c>
      <c r="U1159" s="3" t="inlineStr">
        <is>
          <t>사다리형</t>
        </is>
      </c>
      <c r="V1159" s="3" t="inlineStr">
        <is>
          <t>세로한면(가)</t>
        </is>
      </c>
    </row>
    <row r="1160">
      <c r="A1160" s="3" t="inlineStr">
        <is>
          <t>연서면 성제리 448-5</t>
        </is>
      </c>
      <c r="B1160" s="3" t="inlineStr">
        <is>
          <t>자연녹지지역</t>
        </is>
      </c>
      <c r="C1160" s="3" t="inlineStr">
        <is>
          <t>전</t>
        </is>
      </c>
      <c r="D1160" s="3" t="inlineStr">
        <is>
          <t>전</t>
        </is>
      </c>
      <c r="E1160" s="3" t="inlineStr">
        <is>
          <t>매매</t>
        </is>
      </c>
      <c r="F1160" s="4" t="n">
        <v>25000</v>
      </c>
      <c r="G1160" s="4" t="n">
        <v>1213</v>
      </c>
      <c r="H1160" s="4" t="n">
        <v>367</v>
      </c>
      <c r="I1160" s="5" t="n">
        <v>68.09999999999999</v>
      </c>
      <c r="J1160" s="5" t="n">
        <v>53.2</v>
      </c>
      <c r="K1160" s="3" t="inlineStr">
        <is>
          <t>국가 산업 단지 근접투자 가치 용 토지</t>
        </is>
      </c>
      <c r="L1160" s="6">
        <f>HYPERLINK("https://fin.land.naver.com/articles/2649511861", "매물Link")</f>
        <v/>
      </c>
      <c r="M1160" s="6">
        <f>HYPERLINK("https://map.naver.com/p/search/연서면 성제리 448-5", "지도Link")</f>
        <v/>
      </c>
      <c r="N1160" s="6">
        <f>HYPERLINK("http://www.eum.go.kr/web/ar/lu/luLandDet.jsp?pnu=3611036023104480005&amp;isNoScr=script&amp;mode=search", "토지이음")</f>
        <v/>
      </c>
      <c r="O1160" s="3" t="inlineStr">
        <is>
          <t>현담</t>
        </is>
      </c>
      <c r="P1160" s="4" t="n">
        <v>1</v>
      </c>
      <c r="Q1160" s="4" t="n">
        <v>1213</v>
      </c>
      <c r="R1160" s="3" t="inlineStr">
        <is>
          <t>지정되지않음</t>
        </is>
      </c>
      <c r="S1160" s="3" t="inlineStr">
        <is>
          <t>전</t>
        </is>
      </c>
      <c r="T1160" s="3" t="inlineStr">
        <is>
          <t>완경사</t>
        </is>
      </c>
      <c r="U1160" s="3" t="inlineStr">
        <is>
          <t>부정형</t>
        </is>
      </c>
      <c r="V1160" s="3" t="inlineStr">
        <is>
          <t>세로한면(가)</t>
        </is>
      </c>
    </row>
    <row r="1161">
      <c r="A1161" s="3" t="inlineStr">
        <is>
          <t>연서면 성제리 452</t>
        </is>
      </c>
      <c r="B1161" s="3" t="inlineStr">
        <is>
          <t>자연녹지지역</t>
        </is>
      </c>
      <c r="C1161" s="3" t="inlineStr">
        <is>
          <t>답</t>
        </is>
      </c>
      <c r="D1161" s="3" t="inlineStr">
        <is>
          <t>답</t>
        </is>
      </c>
      <c r="E1161" s="3" t="inlineStr">
        <is>
          <t>매매</t>
        </is>
      </c>
      <c r="F1161" s="4" t="n">
        <v>54000</v>
      </c>
      <c r="G1161" s="4" t="n">
        <v>1261</v>
      </c>
      <c r="H1161" s="4" t="n">
        <v>381</v>
      </c>
      <c r="I1161" s="5" t="n">
        <v>141.7</v>
      </c>
      <c r="J1161" s="5" t="n">
        <v>62.7</v>
      </c>
      <c r="K1161" s="3" t="inlineStr">
        <is>
          <t>자연취락지구도로접 평탄농지, 전원형 활용 검토 유리</t>
        </is>
      </c>
      <c r="L1161" s="6">
        <f>HYPERLINK("https://fin.land.naver.com/articles/2653942128", "매물Link")</f>
        <v/>
      </c>
      <c r="M1161" s="6">
        <f>HYPERLINK("https://map.naver.com/p/search/연서면 성제리 452", "지도Link")</f>
        <v/>
      </c>
      <c r="N1161" s="6">
        <f>HYPERLINK("http://www.eum.go.kr/web/ar/lu/luLandDet.jsp?pnu=3611036023104520000&amp;isNoScr=script&amp;mode=search", "토지이음")</f>
        <v/>
      </c>
      <c r="O1161" s="3" t="inlineStr">
        <is>
          <t>세종소담황금</t>
        </is>
      </c>
      <c r="P1161" s="4" t="n">
        <v>1</v>
      </c>
      <c r="Q1161" s="4" t="n">
        <v>1261</v>
      </c>
      <c r="R1161" s="3" t="inlineStr">
        <is>
          <t>지정되지않음</t>
        </is>
      </c>
      <c r="S1161" s="3" t="inlineStr">
        <is>
          <t>과수원</t>
        </is>
      </c>
      <c r="T1161" s="3" t="inlineStr">
        <is>
          <t>평지</t>
        </is>
      </c>
      <c r="U1161" s="3" t="inlineStr">
        <is>
          <t>부정형</t>
        </is>
      </c>
      <c r="V1161" s="3" t="inlineStr">
        <is>
          <t>세로한면(가)</t>
        </is>
      </c>
    </row>
    <row r="1162">
      <c r="A1162" s="3" t="inlineStr">
        <is>
          <t>연서면 성제리 564-3</t>
        </is>
      </c>
      <c r="B1162" s="3" t="inlineStr">
        <is>
          <t>계획관리지역</t>
        </is>
      </c>
      <c r="C1162" s="3" t="inlineStr">
        <is>
          <t>전</t>
        </is>
      </c>
      <c r="D1162" s="3" t="inlineStr">
        <is>
          <t>전</t>
        </is>
      </c>
      <c r="E1162" s="3" t="inlineStr">
        <is>
          <t>매매</t>
        </is>
      </c>
      <c r="F1162" s="4" t="n">
        <v>111700</v>
      </c>
      <c r="G1162" s="4" t="n">
        <v>1320</v>
      </c>
      <c r="H1162" s="4" t="n">
        <v>399</v>
      </c>
      <c r="I1162" s="5" t="n">
        <v>279.9</v>
      </c>
      <c r="J1162" s="5" t="n">
        <v>50.8</v>
      </c>
      <c r="K1162" s="3" t="inlineStr">
        <is>
          <t>세종시 연서면 계획관리 매매.11.1억</t>
        </is>
      </c>
      <c r="L1162" s="6">
        <f>HYPERLINK("https://fin.land.naver.com/articles/2652501553", "매물Link")</f>
        <v/>
      </c>
      <c r="M1162" s="6">
        <f>HYPERLINK("https://map.naver.com/p/search/연서면 성제리 564-3", "지도Link")</f>
        <v/>
      </c>
      <c r="N1162" s="6">
        <f>HYPERLINK("http://www.eum.go.kr/web/ar/lu/luLandDet.jsp?pnu=3611036023105640003&amp;isNoScr=script&amp;mode=search", "토지이음")</f>
        <v/>
      </c>
      <c r="O1162" s="3" t="inlineStr">
        <is>
          <t>동원</t>
        </is>
      </c>
      <c r="P1162" s="4" t="n">
        <v>1</v>
      </c>
      <c r="Q1162" s="4" t="n">
        <v>1320</v>
      </c>
      <c r="R1162" s="3" t="inlineStr">
        <is>
          <t>지정되지않음</t>
        </is>
      </c>
      <c r="S1162" s="3" t="inlineStr">
        <is>
          <t>전</t>
        </is>
      </c>
      <c r="T1162" s="3" t="inlineStr">
        <is>
          <t>평지</t>
        </is>
      </c>
      <c r="U1162" s="3" t="inlineStr">
        <is>
          <t>부정형</t>
        </is>
      </c>
      <c r="V1162" s="3" t="inlineStr">
        <is>
          <t>세로한면(가)</t>
        </is>
      </c>
    </row>
    <row r="1163">
      <c r="A1163" s="3" t="inlineStr">
        <is>
          <t>연서면 성제리 586-14</t>
        </is>
      </c>
      <c r="B1163" s="3" t="inlineStr">
        <is>
          <t>계획관리지역</t>
        </is>
      </c>
      <c r="C1163" s="3" t="inlineStr">
        <is>
          <t>대</t>
        </is>
      </c>
      <c r="D1163" s="3" t="inlineStr">
        <is>
          <t>대</t>
        </is>
      </c>
      <c r="E1163" s="3" t="inlineStr">
        <is>
          <t>매매</t>
        </is>
      </c>
      <c r="F1163" s="4" t="n">
        <v>112000</v>
      </c>
      <c r="G1163" s="4" t="n">
        <v>418</v>
      </c>
      <c r="H1163" s="4" t="n">
        <v>126</v>
      </c>
      <c r="I1163" s="5" t="n">
        <v>888.9</v>
      </c>
      <c r="J1163" s="5" t="n">
        <v>172</v>
      </c>
      <c r="K1163" s="3" t="inlineStr">
        <is>
          <t>현재132.16제곱음식점운영.인접2필지병행매매가합1204제곱.코너각지</t>
        </is>
      </c>
      <c r="L1163" s="6">
        <f>HYPERLINK("https://fin.land.naver.com/articles/2649411604", "매물Link")</f>
        <v/>
      </c>
      <c r="M1163" s="6">
        <f>HYPERLINK("https://map.naver.com/p/search/연서면 성제리 586-14", "지도Link")</f>
        <v/>
      </c>
      <c r="N1163" s="6">
        <f>HYPERLINK("http://www.eum.go.kr/web/ar/lu/luLandDet.jsp?pnu=3611036023105860014&amp;isNoScr=script&amp;mode=search", "토지이음")</f>
        <v/>
      </c>
      <c r="O1163" s="3" t="inlineStr">
        <is>
          <t>돈방석</t>
        </is>
      </c>
      <c r="P1163" s="4" t="n">
        <v>2</v>
      </c>
      <c r="Q1163" s="4" t="n">
        <v>418</v>
      </c>
      <c r="R1163" s="3" t="inlineStr">
        <is>
          <t>지정되지않음</t>
        </is>
      </c>
      <c r="S1163" s="3" t="inlineStr">
        <is>
          <t>주상용</t>
        </is>
      </c>
      <c r="T1163" s="3" t="inlineStr">
        <is>
          <t>평지</t>
        </is>
      </c>
      <c r="U1163" s="3" t="inlineStr">
        <is>
          <t>사다리형</t>
        </is>
      </c>
      <c r="V1163" s="3" t="inlineStr">
        <is>
          <t>소로각지</t>
        </is>
      </c>
    </row>
    <row r="1164">
      <c r="A1164" s="3" t="inlineStr">
        <is>
          <t>연서면 성제리 586-14</t>
        </is>
      </c>
      <c r="B1164" s="3" t="inlineStr">
        <is>
          <t>계획관리지역</t>
        </is>
      </c>
      <c r="C1164" s="3" t="inlineStr">
        <is>
          <t>대</t>
        </is>
      </c>
      <c r="D1164" s="3" t="inlineStr">
        <is>
          <t>대</t>
        </is>
      </c>
      <c r="E1164" s="3" t="inlineStr">
        <is>
          <t>매매</t>
        </is>
      </c>
      <c r="F1164" s="4" t="n">
        <v>112000</v>
      </c>
      <c r="G1164" s="4" t="n">
        <v>1204</v>
      </c>
      <c r="H1164" s="4" t="n">
        <v>364</v>
      </c>
      <c r="I1164" s="5" t="n">
        <v>307.7</v>
      </c>
      <c r="J1164" s="5" t="n">
        <v>172</v>
      </c>
      <c r="K1164" s="3" t="inlineStr">
        <is>
          <t>상가건물있음,  성제네거리코너10m도로접합 계획관리지역 3필지일괄매매</t>
        </is>
      </c>
      <c r="L1164" s="6">
        <f>HYPERLINK("https://fin.land.naver.com/articles/2654484825", "매물Link")</f>
        <v/>
      </c>
      <c r="M1164" s="6">
        <f>HYPERLINK("https://map.naver.com/p/search/연서면 성제리 586-14", "지도Link")</f>
        <v/>
      </c>
      <c r="N1164" s="6">
        <f>HYPERLINK("http://www.eum.go.kr/web/ar/lu/luLandDet.jsp?pnu=3611036023105860014&amp;isNoScr=script&amp;mode=search", "토지이음")</f>
        <v/>
      </c>
      <c r="O1164" s="3" t="inlineStr">
        <is>
          <t>길음(02-983-0110)</t>
        </is>
      </c>
      <c r="P1164" s="4" t="n">
        <v>1</v>
      </c>
      <c r="Q1164" s="4" t="n">
        <v>418</v>
      </c>
      <c r="R1164" s="3" t="inlineStr">
        <is>
          <t>지정되지않음</t>
        </is>
      </c>
      <c r="S1164" s="3" t="inlineStr">
        <is>
          <t>주상용</t>
        </is>
      </c>
      <c r="T1164" s="3" t="inlineStr">
        <is>
          <t>평지</t>
        </is>
      </c>
      <c r="U1164" s="3" t="inlineStr">
        <is>
          <t>사다리형</t>
        </is>
      </c>
      <c r="V1164" s="3" t="inlineStr">
        <is>
          <t>소로각지</t>
        </is>
      </c>
    </row>
    <row r="1165">
      <c r="A1165" s="3" t="inlineStr">
        <is>
          <t>연서면 성제리 586-183</t>
        </is>
      </c>
      <c r="B1165" s="3" t="inlineStr">
        <is>
          <t>계획관리지역</t>
        </is>
      </c>
      <c r="C1165" s="3" t="inlineStr">
        <is>
          <t>과수원</t>
        </is>
      </c>
      <c r="D1165" s="3" t="inlineStr">
        <is>
          <t>과수원</t>
        </is>
      </c>
      <c r="E1165" s="3" t="inlineStr">
        <is>
          <t>매매</t>
        </is>
      </c>
      <c r="F1165" s="4" t="n">
        <v>95000</v>
      </c>
      <c r="G1165" s="4" t="n">
        <v>661</v>
      </c>
      <c r="H1165" s="4" t="n">
        <v>200</v>
      </c>
      <c r="I1165" s="5" t="n">
        <v>475</v>
      </c>
      <c r="J1165" s="5" t="n">
        <v>58.2</v>
      </c>
      <c r="K1165" s="3" t="inlineStr">
        <is>
          <t>2차선에 접한 귀한 토지.개발호재.지가상승지역.</t>
        </is>
      </c>
      <c r="L1165" s="6">
        <f>HYPERLINK("https://fin.land.naver.com/articles/2652504765", "매물Link")</f>
        <v/>
      </c>
      <c r="M1165" s="6">
        <f>HYPERLINK("https://map.naver.com/p/search/연서면 성제리 586-183", "지도Link")</f>
        <v/>
      </c>
      <c r="N1165" s="6">
        <f>HYPERLINK("http://www.eum.go.kr/web/ar/lu/luLandDet.jsp?pnu=3611036023105860183&amp;isNoScr=script&amp;mode=search", "토지이음")</f>
        <v/>
      </c>
      <c r="O1165" s="3" t="inlineStr">
        <is>
          <t>동원</t>
        </is>
      </c>
      <c r="P1165" s="4" t="n">
        <v>1</v>
      </c>
      <c r="Q1165" s="4" t="n">
        <v>661</v>
      </c>
      <c r="R1165" s="3" t="inlineStr">
        <is>
          <t>지정되지않음</t>
        </is>
      </c>
      <c r="S1165" s="3" t="inlineStr">
        <is>
          <t>과수원</t>
        </is>
      </c>
      <c r="T1165" s="3" t="inlineStr">
        <is>
          <t>평지</t>
        </is>
      </c>
      <c r="U1165" s="3" t="inlineStr">
        <is>
          <t>사다리형</t>
        </is>
      </c>
      <c r="V1165" s="3" t="inlineStr">
        <is>
          <t>소로한면</t>
        </is>
      </c>
    </row>
    <row r="1166">
      <c r="A1166" s="3" t="inlineStr">
        <is>
          <t>연서면 성제리 산 28-1</t>
        </is>
      </c>
      <c r="B1166" s="3" t="inlineStr">
        <is>
          <t>농림지역</t>
        </is>
      </c>
      <c r="C1166" s="3" t="inlineStr">
        <is>
          <t>임야</t>
        </is>
      </c>
      <c r="D1166" s="3" t="inlineStr">
        <is>
          <t>임야</t>
        </is>
      </c>
      <c r="E1166" s="3" t="inlineStr">
        <is>
          <t>매매</t>
        </is>
      </c>
      <c r="F1166" s="4" t="n">
        <v>215000</v>
      </c>
      <c r="G1166" s="4" t="n">
        <v>40562</v>
      </c>
      <c r="H1166" s="4" t="n">
        <v>12270</v>
      </c>
      <c r="I1166" s="5" t="n">
        <v>17.5</v>
      </c>
      <c r="J1166" s="5" t="n">
        <v>4.7</v>
      </c>
      <c r="K1166" s="3" t="inlineStr">
        <is>
          <t>연서면 성제리 농림지역, 일부 보전관리 임야, 조치원 인근</t>
        </is>
      </c>
      <c r="L1166" s="6">
        <f>HYPERLINK("https://fin.land.naver.com/articles/2654025632", "매물Link")</f>
        <v/>
      </c>
      <c r="M1166" s="6">
        <f>HYPERLINK("https://map.naver.com/p/search/연서면 성제리 산 28-1", "지도Link")</f>
        <v/>
      </c>
      <c r="N1166" s="6">
        <f>HYPERLINK("http://www.eum.go.kr/web/ar/lu/luLandDet.jsp?pnu=3611036023200280001&amp;isNoScr=script&amp;mode=search", "토지이음")</f>
        <v/>
      </c>
      <c r="O1166" s="3" t="inlineStr">
        <is>
          <t>스카이</t>
        </is>
      </c>
      <c r="P1166" s="4" t="n">
        <v>1</v>
      </c>
      <c r="Q1166" s="4" t="n">
        <v>40562</v>
      </c>
      <c r="R1166" s="3" t="inlineStr">
        <is>
          <t>보전관리지역</t>
        </is>
      </c>
      <c r="S1166" s="3" t="inlineStr">
        <is>
          <t>자연림</t>
        </is>
      </c>
      <c r="T1166" s="3" t="inlineStr">
        <is>
          <t>완경사</t>
        </is>
      </c>
      <c r="U1166" s="3" t="inlineStr">
        <is>
          <t>부정형</t>
        </is>
      </c>
      <c r="V1166" s="3" t="inlineStr">
        <is>
          <t>맹지</t>
        </is>
      </c>
    </row>
    <row r="1167">
      <c r="A1167" s="3" t="inlineStr">
        <is>
          <t>연서면 성제리 산 28-1</t>
        </is>
      </c>
      <c r="B1167" s="3" t="inlineStr">
        <is>
          <t>농림지역</t>
        </is>
      </c>
      <c r="C1167" s="3" t="inlineStr">
        <is>
          <t>임야</t>
        </is>
      </c>
      <c r="D1167" s="3" t="inlineStr">
        <is>
          <t>임야</t>
        </is>
      </c>
      <c r="E1167" s="3" t="inlineStr">
        <is>
          <t>매매</t>
        </is>
      </c>
      <c r="F1167" s="4" t="n">
        <v>215000</v>
      </c>
      <c r="G1167" s="4" t="n">
        <v>40562</v>
      </c>
      <c r="H1167" s="4" t="n">
        <v>12270</v>
      </c>
      <c r="I1167" s="5" t="n">
        <v>17.5</v>
      </c>
      <c r="J1167" s="5" t="n">
        <v>4.7</v>
      </c>
      <c r="K1167" s="3" t="inlineStr">
        <is>
          <t>임야</t>
        </is>
      </c>
      <c r="L1167" s="6">
        <f>HYPERLINK("https://fin.land.naver.com/articles/2653389298", "매물Link")</f>
        <v/>
      </c>
      <c r="M1167" s="6">
        <f>HYPERLINK("https://map.naver.com/p/search/연서면 성제리 산 28-1", "지도Link")</f>
        <v/>
      </c>
      <c r="N1167" s="6">
        <f>HYPERLINK("http://www.eum.go.kr/web/ar/lu/luLandDet.jsp?pnu=3611036023200280001&amp;isNoScr=script&amp;mode=search", "토지이음")</f>
        <v/>
      </c>
      <c r="O1167" s="3" t="inlineStr">
        <is>
          <t>다산</t>
        </is>
      </c>
      <c r="P1167" s="4" t="n">
        <v>1</v>
      </c>
      <c r="Q1167" s="4" t="n">
        <v>40562</v>
      </c>
      <c r="R1167" s="3" t="inlineStr">
        <is>
          <t>보전관리지역</t>
        </is>
      </c>
      <c r="S1167" s="3" t="inlineStr">
        <is>
          <t>자연림</t>
        </is>
      </c>
      <c r="T1167" s="3" t="inlineStr">
        <is>
          <t>완경사</t>
        </is>
      </c>
      <c r="U1167" s="3" t="inlineStr">
        <is>
          <t>부정형</t>
        </is>
      </c>
      <c r="V1167" s="3" t="inlineStr">
        <is>
          <t>맹지</t>
        </is>
      </c>
    </row>
    <row r="1168">
      <c r="A1168" s="3" t="inlineStr">
        <is>
          <t>연서면 신대리 115</t>
        </is>
      </c>
      <c r="B1168" s="3" t="inlineStr">
        <is>
          <t>계획관리지역</t>
        </is>
      </c>
      <c r="C1168" s="3" t="inlineStr">
        <is>
          <t>대</t>
        </is>
      </c>
      <c r="D1168" s="3" t="inlineStr">
        <is>
          <t>대</t>
        </is>
      </c>
      <c r="E1168" s="3" t="inlineStr">
        <is>
          <t>매매</t>
        </is>
      </c>
      <c r="F1168" s="4" t="n">
        <v>35000</v>
      </c>
      <c r="G1168" s="4" t="n">
        <v>874</v>
      </c>
      <c r="H1168" s="4" t="n">
        <v>264</v>
      </c>
      <c r="I1168" s="5" t="n">
        <v>132.6</v>
      </c>
      <c r="J1168" s="5" t="n">
        <v>91.59999999999999</v>
      </c>
      <c r="K1168" s="3" t="inlineStr">
        <is>
          <t>연서면 신대리 계획관리 대지, 포장도로접, 조치원 국가산단 인근, 저렴</t>
        </is>
      </c>
      <c r="L1168" s="6">
        <f>HYPERLINK("https://fin.land.naver.com/articles/2654027707", "매물Link")</f>
        <v/>
      </c>
      <c r="M1168" s="6">
        <f>HYPERLINK("https://map.naver.com/p/search/연서면 신대리 115", "지도Link")</f>
        <v/>
      </c>
      <c r="N1168" s="6">
        <f>HYPERLINK("http://www.eum.go.kr/web/ar/lu/luLandDet.jsp?pnu=3611036029101150000&amp;isNoScr=script&amp;mode=search", "토지이음")</f>
        <v/>
      </c>
      <c r="O1168" s="3" t="inlineStr">
        <is>
          <t>스카이</t>
        </is>
      </c>
      <c r="P1168" s="4" t="n">
        <v>1</v>
      </c>
      <c r="Q1168" s="4" t="n">
        <v>874</v>
      </c>
      <c r="R1168" s="3" t="inlineStr">
        <is>
          <t>지정되지않음</t>
        </is>
      </c>
      <c r="S1168" s="3" t="inlineStr">
        <is>
          <t>주거나지</t>
        </is>
      </c>
      <c r="T1168" s="3" t="inlineStr">
        <is>
          <t>평지</t>
        </is>
      </c>
      <c r="U1168" s="3" t="inlineStr">
        <is>
          <t>사다리형</t>
        </is>
      </c>
      <c r="V1168" s="3" t="inlineStr">
        <is>
          <t>세로한면(가)</t>
        </is>
      </c>
    </row>
    <row r="1169">
      <c r="A1169" s="3" t="inlineStr">
        <is>
          <t>연서면 신대리 124</t>
        </is>
      </c>
      <c r="B1169" s="3" t="inlineStr">
        <is>
          <t>계획관리지역</t>
        </is>
      </c>
      <c r="C1169" s="3" t="inlineStr">
        <is>
          <t>답</t>
        </is>
      </c>
      <c r="D1169" s="3" t="inlineStr">
        <is>
          <t>답</t>
        </is>
      </c>
      <c r="E1169" s="3" t="inlineStr">
        <is>
          <t>매매</t>
        </is>
      </c>
      <c r="F1169" s="4" t="n">
        <v>120000</v>
      </c>
      <c r="G1169" s="4" t="n">
        <v>2324</v>
      </c>
      <c r="H1169" s="4" t="n">
        <v>703</v>
      </c>
      <c r="I1169" s="5" t="n">
        <v>170.7</v>
      </c>
      <c r="J1169" s="5" t="n">
        <v>50.2</v>
      </c>
      <c r="K1169" s="3" t="inlineStr">
        <is>
          <t>급매, 대토용, 투자용</t>
        </is>
      </c>
      <c r="L1169" s="6">
        <f>HYPERLINK("https://fin.land.naver.com/articles/2654625622", "매물Link")</f>
        <v/>
      </c>
      <c r="M1169" s="6">
        <f>HYPERLINK("https://map.naver.com/p/search/연서면 신대리 124", "지도Link")</f>
        <v/>
      </c>
      <c r="N1169" s="6">
        <f>HYPERLINK("http://www.eum.go.kr/web/ar/lu/luLandDet.jsp?pnu=3611036029101240000&amp;isNoScr=script&amp;mode=search", "토지이음")</f>
        <v/>
      </c>
      <c r="O1169" s="3" t="inlineStr">
        <is>
          <t>고운동리치세종</t>
        </is>
      </c>
      <c r="P1169" s="4" t="n">
        <v>1</v>
      </c>
      <c r="Q1169" s="4" t="n">
        <v>2324</v>
      </c>
      <c r="R1169" s="3" t="inlineStr">
        <is>
          <t>지정되지않음</t>
        </is>
      </c>
      <c r="S1169" s="3" t="inlineStr">
        <is>
          <t>답</t>
        </is>
      </c>
      <c r="T1169" s="3" t="inlineStr">
        <is>
          <t>평지</t>
        </is>
      </c>
      <c r="U1169" s="3" t="inlineStr">
        <is>
          <t>부정형</t>
        </is>
      </c>
      <c r="V1169" s="3" t="inlineStr">
        <is>
          <t>세로한면(가)</t>
        </is>
      </c>
    </row>
    <row r="1170">
      <c r="A1170" s="3" t="inlineStr">
        <is>
          <t>연서면 신대리 192</t>
        </is>
      </c>
      <c r="B1170" s="3" t="inlineStr">
        <is>
          <t>계획관리지역</t>
        </is>
      </c>
      <c r="C1170" s="3" t="inlineStr">
        <is>
          <t>전</t>
        </is>
      </c>
      <c r="D1170" s="3" t="inlineStr">
        <is>
          <t>전</t>
        </is>
      </c>
      <c r="E1170" s="3" t="inlineStr">
        <is>
          <t>매매</t>
        </is>
      </c>
      <c r="F1170" s="4" t="n">
        <v>163000</v>
      </c>
      <c r="G1170" s="4" t="n">
        <v>2569</v>
      </c>
      <c r="H1170" s="4" t="n">
        <v>777</v>
      </c>
      <c r="I1170" s="5" t="n">
        <v>209.8</v>
      </c>
      <c r="J1170" s="5" t="n">
        <v>62</v>
      </c>
      <c r="K1170" s="3" t="inlineStr">
        <is>
          <t>계획관리지역, 성장관리구역, 도로접합, 세종국가산단인근</t>
        </is>
      </c>
      <c r="L1170" s="6">
        <f>HYPERLINK("https://fin.land.naver.com/articles/2650333044", "매물Link")</f>
        <v/>
      </c>
      <c r="M1170" s="6">
        <f>HYPERLINK("https://map.naver.com/p/search/연서면 신대리 192", "지도Link")</f>
        <v/>
      </c>
      <c r="N1170" s="6">
        <f>HYPERLINK("http://www.eum.go.kr/web/ar/lu/luLandDet.jsp?pnu=3611036029101920000&amp;isNoScr=script&amp;mode=search", "토지이음")</f>
        <v/>
      </c>
      <c r="O1170" s="3" t="inlineStr">
        <is>
          <t>세종일조</t>
        </is>
      </c>
      <c r="P1170" s="4" t="n">
        <v>1</v>
      </c>
      <c r="Q1170" s="4" t="n">
        <v>2569</v>
      </c>
      <c r="R1170" s="3" t="inlineStr">
        <is>
          <t>지정되지않음</t>
        </is>
      </c>
      <c r="S1170" s="3" t="inlineStr">
        <is>
          <t>전</t>
        </is>
      </c>
      <c r="T1170" s="3" t="inlineStr">
        <is>
          <t>평지</t>
        </is>
      </c>
      <c r="U1170" s="3" t="inlineStr">
        <is>
          <t>부정형</t>
        </is>
      </c>
      <c r="V1170" s="3" t="inlineStr">
        <is>
          <t>소로한면</t>
        </is>
      </c>
    </row>
    <row r="1171">
      <c r="A1171" s="3" t="inlineStr">
        <is>
          <t>연서면 신대리 30</t>
        </is>
      </c>
      <c r="B1171" s="3" t="inlineStr">
        <is>
          <t>계획관리지역</t>
        </is>
      </c>
      <c r="C1171" s="3" t="inlineStr">
        <is>
          <t>대</t>
        </is>
      </c>
      <c r="D1171" s="3" t="inlineStr">
        <is>
          <t>대</t>
        </is>
      </c>
      <c r="E1171" s="3" t="inlineStr">
        <is>
          <t>매매</t>
        </is>
      </c>
      <c r="F1171" s="4" t="n">
        <v>63000</v>
      </c>
      <c r="G1171" s="4" t="n">
        <v>913</v>
      </c>
      <c r="H1171" s="4" t="n">
        <v>276</v>
      </c>
      <c r="I1171" s="5" t="n">
        <v>228.3</v>
      </c>
      <c r="J1171" s="5" t="n">
        <v>73.8</v>
      </c>
      <c r="K1171" s="3" t="inlineStr">
        <is>
          <t>세종산업단지 1km이내 계획관리지역, 자연취락지구 토지매매</t>
        </is>
      </c>
      <c r="L1171" s="6">
        <f>HYPERLINK("https://fin.land.naver.com/articles/2652044665", "매물Link")</f>
        <v/>
      </c>
      <c r="M1171" s="6">
        <f>HYPERLINK("https://map.naver.com/p/search/연서면 신대리 30", "지도Link")</f>
        <v/>
      </c>
      <c r="N1171" s="6">
        <f>HYPERLINK("http://www.eum.go.kr/web/ar/lu/luLandDet.jsp?pnu=3611036029100300000&amp;isNoScr=script&amp;mode=search", "토지이음")</f>
        <v/>
      </c>
      <c r="O1171" s="3" t="inlineStr">
        <is>
          <t>에이스</t>
        </is>
      </c>
      <c r="P1171" s="4" t="n">
        <v>1</v>
      </c>
      <c r="Q1171" s="4" t="n">
        <v>364</v>
      </c>
      <c r="R1171" s="3" t="inlineStr">
        <is>
          <t>지정되지않음</t>
        </is>
      </c>
      <c r="S1171" s="3" t="inlineStr">
        <is>
          <t>단독</t>
        </is>
      </c>
      <c r="T1171" s="3" t="inlineStr">
        <is>
          <t>평지</t>
        </is>
      </c>
      <c r="U1171" s="3" t="inlineStr">
        <is>
          <t>부정형</t>
        </is>
      </c>
      <c r="V1171" s="3" t="inlineStr">
        <is>
          <t>세로한면(불)</t>
        </is>
      </c>
    </row>
    <row r="1172">
      <c r="A1172" s="3" t="inlineStr">
        <is>
          <t>연서면 신대리 320</t>
        </is>
      </c>
      <c r="B1172" s="3" t="inlineStr">
        <is>
          <t>생산관리지역</t>
        </is>
      </c>
      <c r="C1172" s="3" t="inlineStr">
        <is>
          <t>답</t>
        </is>
      </c>
      <c r="D1172" s="3" t="inlineStr">
        <is>
          <t>답</t>
        </is>
      </c>
      <c r="E1172" s="3" t="inlineStr">
        <is>
          <t>매매</t>
        </is>
      </c>
      <c r="F1172" s="4" t="n">
        <v>45800</v>
      </c>
      <c r="G1172" s="4" t="n">
        <v>2013</v>
      </c>
      <c r="H1172" s="4" t="n">
        <v>609</v>
      </c>
      <c r="I1172" s="5" t="n">
        <v>75.2</v>
      </c>
      <c r="J1172" s="5" t="n">
        <v>23.9</v>
      </c>
      <c r="K1172" s="3" t="inlineStr">
        <is>
          <t>투자하기 좋은 토지</t>
        </is>
      </c>
      <c r="L1172" s="6">
        <f>HYPERLINK("https://fin.land.naver.com/articles/2652686162", "매물Link")</f>
        <v/>
      </c>
      <c r="M1172" s="6">
        <f>HYPERLINK("https://map.naver.com/p/search/연서면 신대리 320", "지도Link")</f>
        <v/>
      </c>
      <c r="N1172" s="6">
        <f>HYPERLINK("http://www.eum.go.kr/web/ar/lu/luLandDet.jsp?pnu=3611036029103200000&amp;isNoScr=script&amp;mode=search", "토지이음")</f>
        <v/>
      </c>
      <c r="O1172" s="3" t="inlineStr">
        <is>
          <t>이로운 사무소</t>
        </is>
      </c>
      <c r="P1172" s="4" t="n">
        <v>1</v>
      </c>
      <c r="Q1172" s="4" t="n">
        <v>2013</v>
      </c>
      <c r="R1172" s="3" t="inlineStr">
        <is>
          <t>지정되지않음</t>
        </is>
      </c>
      <c r="S1172" s="3" t="inlineStr">
        <is>
          <t>답</t>
        </is>
      </c>
      <c r="T1172" s="3" t="inlineStr">
        <is>
          <t>완경사</t>
        </is>
      </c>
      <c r="U1172" s="3" t="inlineStr">
        <is>
          <t>사다리형</t>
        </is>
      </c>
      <c r="V1172" s="3" t="inlineStr">
        <is>
          <t>세로한면(가)</t>
        </is>
      </c>
    </row>
    <row r="1173">
      <c r="A1173" s="3" t="inlineStr">
        <is>
          <t>연서면 신대리 323</t>
        </is>
      </c>
      <c r="B1173" s="3" t="inlineStr">
        <is>
          <t>생산관리지역</t>
        </is>
      </c>
      <c r="C1173" s="3" t="inlineStr">
        <is>
          <t>답</t>
        </is>
      </c>
      <c r="D1173" s="3" t="inlineStr">
        <is>
          <t>답</t>
        </is>
      </c>
      <c r="E1173" s="3" t="inlineStr">
        <is>
          <t>매매</t>
        </is>
      </c>
      <c r="F1173" s="4" t="n">
        <v>600000</v>
      </c>
      <c r="G1173" s="4" t="n">
        <v>10277</v>
      </c>
      <c r="H1173" s="4" t="n">
        <v>3109</v>
      </c>
      <c r="I1173" s="5" t="n">
        <v>193</v>
      </c>
      <c r="J1173" s="5" t="n">
        <v>22.7</v>
      </c>
      <c r="K1173" s="3" t="inlineStr">
        <is>
          <t>귀한 연서면 토지이며 인접한 3필지 일괄 매매.분할매도가능</t>
        </is>
      </c>
      <c r="L1173" s="6">
        <f>HYPERLINK("https://fin.land.naver.com/articles/2651569592", "매물Link")</f>
        <v/>
      </c>
      <c r="M1173" s="6">
        <f>HYPERLINK("https://map.naver.com/p/search/연서면 신대리 323", "지도Link")</f>
        <v/>
      </c>
      <c r="N1173" s="6">
        <f>HYPERLINK("http://www.eum.go.kr/web/ar/lu/luLandDet.jsp?pnu=3611036029103230000&amp;isNoScr=script&amp;mode=search", "토지이음")</f>
        <v/>
      </c>
      <c r="O1173" s="3" t="inlineStr">
        <is>
          <t>생생</t>
        </is>
      </c>
      <c r="P1173" s="4" t="n">
        <v>1</v>
      </c>
      <c r="Q1173" s="4" t="n">
        <v>2188</v>
      </c>
      <c r="R1173" s="3" t="inlineStr">
        <is>
          <t>지정되지않음</t>
        </is>
      </c>
      <c r="S1173" s="3" t="inlineStr">
        <is>
          <t>답</t>
        </is>
      </c>
      <c r="T1173" s="3" t="inlineStr">
        <is>
          <t>완경사</t>
        </is>
      </c>
      <c r="U1173" s="3" t="inlineStr">
        <is>
          <t>부정형</t>
        </is>
      </c>
      <c r="V1173" s="3" t="inlineStr">
        <is>
          <t>세로한면(가)</t>
        </is>
      </c>
    </row>
    <row r="1174">
      <c r="A1174" s="3" t="inlineStr">
        <is>
          <t>연서면 신대리 327-5</t>
        </is>
      </c>
      <c r="B1174" s="3" t="inlineStr">
        <is>
          <t>생산관리지역</t>
        </is>
      </c>
      <c r="C1174" s="3" t="inlineStr">
        <is>
          <t>답</t>
        </is>
      </c>
      <c r="D1174" s="3" t="inlineStr">
        <is>
          <t>답</t>
        </is>
      </c>
      <c r="E1174" s="3" t="inlineStr">
        <is>
          <t>매매</t>
        </is>
      </c>
      <c r="F1174" s="4" t="n">
        <v>22500</v>
      </c>
      <c r="G1174" s="4" t="n">
        <v>941</v>
      </c>
      <c r="H1174" s="4" t="n">
        <v>285</v>
      </c>
      <c r="I1174" s="5" t="n">
        <v>78.90000000000001</v>
      </c>
      <c r="J1174" s="5" t="n">
        <v>17.8</v>
      </c>
      <c r="K1174" s="3" t="inlineStr">
        <is>
          <t>국가산단예정지 인접,전원생활과 미래가치를 동시에</t>
        </is>
      </c>
      <c r="L1174" s="6">
        <f>HYPERLINK("https://fin.land.naver.com/articles/2654180711", "매물Link")</f>
        <v/>
      </c>
      <c r="M1174" s="6">
        <f>HYPERLINK("https://map.naver.com/p/search/연서면 신대리 327-5", "지도Link")</f>
        <v/>
      </c>
      <c r="N1174" s="6">
        <f>HYPERLINK("http://www.eum.go.kr/web/ar/lu/luLandDet.jsp?pnu=3611036029103270005&amp;isNoScr=script&amp;mode=search", "토지이음")</f>
        <v/>
      </c>
      <c r="O1174" s="3" t="inlineStr">
        <is>
          <t>가치잇는</t>
        </is>
      </c>
      <c r="P1174" s="4" t="n">
        <v>1</v>
      </c>
      <c r="Q1174" s="4" t="n">
        <v>757</v>
      </c>
      <c r="R1174" s="3" t="inlineStr">
        <is>
          <t>지정되지않음</t>
        </is>
      </c>
      <c r="S1174" s="3" t="inlineStr">
        <is>
          <t>답</t>
        </is>
      </c>
      <c r="T1174" s="3" t="inlineStr">
        <is>
          <t>완경사</t>
        </is>
      </c>
      <c r="U1174" s="3" t="inlineStr">
        <is>
          <t>부정형</t>
        </is>
      </c>
      <c r="V1174" s="3" t="inlineStr">
        <is>
          <t>맹지</t>
        </is>
      </c>
    </row>
    <row r="1175">
      <c r="A1175" s="3" t="inlineStr">
        <is>
          <t>연서면 신대리 365-3</t>
        </is>
      </c>
      <c r="B1175" s="3" t="inlineStr">
        <is>
          <t>계획관리지역</t>
        </is>
      </c>
      <c r="C1175" s="3" t="inlineStr">
        <is>
          <t>대</t>
        </is>
      </c>
      <c r="D1175" s="3" t="inlineStr">
        <is>
          <t>대</t>
        </is>
      </c>
      <c r="E1175" s="3" t="inlineStr">
        <is>
          <t>매매</t>
        </is>
      </c>
      <c r="F1175" s="4" t="n">
        <v>58000</v>
      </c>
      <c r="G1175" s="4" t="n">
        <v>1927</v>
      </c>
      <c r="H1175" s="4" t="n">
        <v>583</v>
      </c>
      <c r="I1175" s="5" t="n">
        <v>99.5</v>
      </c>
      <c r="J1175" s="5" t="n">
        <v>47.8</v>
      </c>
      <c r="K1175" s="3" t="inlineStr">
        <is>
          <t>연서면 신대리에 있는 계획관리지역 대지 3필지를 일괄 매매합니다</t>
        </is>
      </c>
      <c r="L1175" s="6">
        <f>HYPERLINK("https://fin.land.naver.com/articles/2650207850", "매물Link")</f>
        <v/>
      </c>
      <c r="M1175" s="6">
        <f>HYPERLINK("https://map.naver.com/p/search/연서면 신대리 365-3", "지도Link")</f>
        <v/>
      </c>
      <c r="N1175" s="6">
        <f>HYPERLINK("http://www.eum.go.kr/web/ar/lu/luLandDet.jsp?pnu=3611036029103650003&amp;isNoScr=script&amp;mode=search", "토지이음")</f>
        <v/>
      </c>
      <c r="O1175" s="3" t="inlineStr">
        <is>
          <t>스마일세종</t>
        </is>
      </c>
      <c r="P1175" s="4" t="n">
        <v>1</v>
      </c>
      <c r="Q1175" s="4" t="n">
        <v>853</v>
      </c>
      <c r="R1175" s="3" t="inlineStr">
        <is>
          <t>지정되지않음</t>
        </is>
      </c>
      <c r="S1175" s="3" t="inlineStr">
        <is>
          <t>단독</t>
        </is>
      </c>
      <c r="T1175" s="3" t="inlineStr">
        <is>
          <t>완경사</t>
        </is>
      </c>
      <c r="U1175" s="3" t="inlineStr">
        <is>
          <t>부정형</t>
        </is>
      </c>
      <c r="V1175" s="3" t="inlineStr">
        <is>
          <t>세로한면(불)</t>
        </is>
      </c>
    </row>
    <row r="1176">
      <c r="A1176" s="3" t="inlineStr">
        <is>
          <t>연서면 신대리 395-10</t>
        </is>
      </c>
      <c r="B1176" s="3" t="inlineStr">
        <is>
          <t>보전관리지역</t>
        </is>
      </c>
      <c r="C1176" s="3" t="inlineStr">
        <is>
          <t>대</t>
        </is>
      </c>
      <c r="D1176" s="3" t="inlineStr">
        <is>
          <t>대</t>
        </is>
      </c>
      <c r="E1176" s="3" t="inlineStr">
        <is>
          <t>매매</t>
        </is>
      </c>
      <c r="F1176" s="4" t="n">
        <v>30000</v>
      </c>
      <c r="G1176" s="4" t="n">
        <v>720</v>
      </c>
      <c r="H1176" s="4" t="n">
        <v>218</v>
      </c>
      <c r="I1176" s="5" t="n">
        <v>137.6</v>
      </c>
      <c r="J1176" s="5" t="n">
        <v>66.59999999999999</v>
      </c>
      <c r="K1176" s="3" t="inlineStr">
        <is>
          <t>고복저수지근처 지목대지 건축 허가 가능.</t>
        </is>
      </c>
      <c r="L1176" s="6">
        <f>HYPERLINK("https://fin.land.naver.com/articles/2650858228", "매물Link")</f>
        <v/>
      </c>
      <c r="M1176" s="6">
        <f>HYPERLINK("https://map.naver.com/p/search/연서면 신대리 395-10", "지도Link")</f>
        <v/>
      </c>
      <c r="N1176" s="6">
        <f>HYPERLINK("http://www.eum.go.kr/web/ar/lu/luLandDet.jsp?pnu=3611036029103950010&amp;isNoScr=script&amp;mode=search", "토지이음")</f>
        <v/>
      </c>
      <c r="O1176" s="3" t="inlineStr">
        <is>
          <t>신한국</t>
        </is>
      </c>
      <c r="P1176" s="4" t="n">
        <v>1</v>
      </c>
      <c r="Q1176" s="4" t="n">
        <v>678</v>
      </c>
      <c r="R1176" s="3" t="inlineStr">
        <is>
          <t>지정되지않음</t>
        </is>
      </c>
      <c r="S1176" s="3" t="inlineStr">
        <is>
          <t>주거나지</t>
        </is>
      </c>
      <c r="T1176" s="3" t="inlineStr">
        <is>
          <t>완경사</t>
        </is>
      </c>
      <c r="U1176" s="3" t="inlineStr">
        <is>
          <t>사다리형</t>
        </is>
      </c>
      <c r="V1176" s="3" t="inlineStr">
        <is>
          <t>세로한면(가)</t>
        </is>
      </c>
    </row>
    <row r="1177">
      <c r="A1177" s="3" t="inlineStr">
        <is>
          <t>연서면 신대리 395-62</t>
        </is>
      </c>
      <c r="B1177" s="3" t="inlineStr">
        <is>
          <t>보전관리지역</t>
        </is>
      </c>
      <c r="C1177" s="3" t="inlineStr">
        <is>
          <t>대</t>
        </is>
      </c>
      <c r="D1177" s="3" t="inlineStr">
        <is>
          <t>대</t>
        </is>
      </c>
      <c r="E1177" s="3" t="inlineStr">
        <is>
          <t>매매</t>
        </is>
      </c>
      <c r="F1177" s="4" t="n">
        <v>57250</v>
      </c>
      <c r="G1177" s="4" t="n">
        <v>582</v>
      </c>
      <c r="H1177" s="4" t="n">
        <v>176</v>
      </c>
      <c r="I1177" s="5" t="n">
        <v>325.3</v>
      </c>
      <c r="J1177" s="5" t="n">
        <v>66.59999999999999</v>
      </c>
      <c r="K1177" s="3" t="inlineStr">
        <is>
          <t>개발 완료된 전원주택지. 즉시 건축 가능. 대지 582  도로 175</t>
        </is>
      </c>
      <c r="L1177" s="6">
        <f>HYPERLINK("https://fin.land.naver.com/articles/2651427202", "매물Link")</f>
        <v/>
      </c>
      <c r="M1177" s="6">
        <f>HYPERLINK("https://map.naver.com/p/search/연서면 신대리 395-62", "지도Link")</f>
        <v/>
      </c>
      <c r="N1177" s="6">
        <f>HYPERLINK("http://www.eum.go.kr/web/ar/lu/luLandDet.jsp?pnu=3611036029103950062&amp;isNoScr=script&amp;mode=search", "토지이음")</f>
        <v/>
      </c>
      <c r="O1177" s="3" t="inlineStr">
        <is>
          <t>세종소담114</t>
        </is>
      </c>
      <c r="P1177" s="4" t="n">
        <v>1</v>
      </c>
      <c r="Q1177" s="4" t="n">
        <v>582</v>
      </c>
      <c r="R1177" s="3" t="inlineStr">
        <is>
          <t>지정되지않음</t>
        </is>
      </c>
      <c r="S1177" s="3" t="inlineStr">
        <is>
          <t>주거나지</t>
        </is>
      </c>
      <c r="T1177" s="3" t="inlineStr">
        <is>
          <t>완경사</t>
        </is>
      </c>
      <c r="U1177" s="3" t="inlineStr">
        <is>
          <t>사다리형</t>
        </is>
      </c>
      <c r="V1177" s="3" t="inlineStr">
        <is>
          <t>세로한면(가)</t>
        </is>
      </c>
    </row>
    <row r="1178">
      <c r="A1178" s="3" t="inlineStr">
        <is>
          <t>연서면 신대리 395-62</t>
        </is>
      </c>
      <c r="B1178" s="3" t="inlineStr">
        <is>
          <t>보전관리지역</t>
        </is>
      </c>
      <c r="C1178" s="3" t="inlineStr">
        <is>
          <t>대</t>
        </is>
      </c>
      <c r="D1178" s="3" t="inlineStr">
        <is>
          <t>대</t>
        </is>
      </c>
      <c r="E1178" s="3" t="inlineStr">
        <is>
          <t>매매</t>
        </is>
      </c>
      <c r="F1178" s="4" t="n">
        <v>57000</v>
      </c>
      <c r="G1178" s="4" t="n">
        <v>582</v>
      </c>
      <c r="H1178" s="4" t="n">
        <v>176</v>
      </c>
      <c r="I1178" s="5" t="n">
        <v>323.9</v>
      </c>
      <c r="J1178" s="5" t="n">
        <v>66.59999999999999</v>
      </c>
      <c r="K1178" s="3" t="inlineStr">
        <is>
          <t>전원주택단지내 전원주택부지</t>
        </is>
      </c>
      <c r="L1178" s="6">
        <f>HYPERLINK("https://fin.land.naver.com/articles/2654424413", "매물Link")</f>
        <v/>
      </c>
      <c r="M1178" s="6">
        <f>HYPERLINK("https://map.naver.com/p/search/연서면 신대리 395-62", "지도Link")</f>
        <v/>
      </c>
      <c r="N1178" s="6">
        <f>HYPERLINK("http://www.eum.go.kr/web/ar/lu/luLandDet.jsp?pnu=3611036029103950062&amp;isNoScr=script&amp;mode=search", "토지이음")</f>
        <v/>
      </c>
      <c r="O1178" s="3" t="inlineStr">
        <is>
          <t>대한민국</t>
        </is>
      </c>
      <c r="P1178" s="4" t="n">
        <v>2</v>
      </c>
      <c r="Q1178" s="4" t="n">
        <v>582</v>
      </c>
      <c r="R1178" s="3" t="inlineStr">
        <is>
          <t>지정되지않음</t>
        </is>
      </c>
      <c r="S1178" s="3" t="inlineStr">
        <is>
          <t>주거나지</t>
        </is>
      </c>
      <c r="T1178" s="3" t="inlineStr">
        <is>
          <t>완경사</t>
        </is>
      </c>
      <c r="U1178" s="3" t="inlineStr">
        <is>
          <t>사다리형</t>
        </is>
      </c>
      <c r="V1178" s="3" t="inlineStr">
        <is>
          <t>세로한면(가)</t>
        </is>
      </c>
    </row>
    <row r="1179">
      <c r="A1179" s="3" t="inlineStr">
        <is>
          <t>연서면 신대리 412-25</t>
        </is>
      </c>
      <c r="B1179" s="3" t="inlineStr">
        <is>
          <t>보전관리지역</t>
        </is>
      </c>
      <c r="C1179" s="3" t="inlineStr">
        <is>
          <t>임야</t>
        </is>
      </c>
      <c r="D1179" s="3" t="inlineStr">
        <is>
          <t>임야</t>
        </is>
      </c>
      <c r="E1179" s="3" t="inlineStr">
        <is>
          <t>매매</t>
        </is>
      </c>
      <c r="F1179" s="4" t="n">
        <v>26000</v>
      </c>
      <c r="G1179" s="4" t="n">
        <v>542</v>
      </c>
      <c r="H1179" s="4" t="n">
        <v>164</v>
      </c>
      <c r="I1179" s="5" t="n">
        <v>158.5</v>
      </c>
      <c r="J1179" s="5" t="n">
        <v>66.59999999999999</v>
      </c>
      <c r="K1179" s="3" t="inlineStr">
        <is>
          <t>급매추천. 개발 완료된 전원주택지. 전용 542  도로 120</t>
        </is>
      </c>
      <c r="L1179" s="6">
        <f>HYPERLINK("https://fin.land.naver.com/articles/2651427480", "매물Link")</f>
        <v/>
      </c>
      <c r="M1179" s="6">
        <f>HYPERLINK("https://map.naver.com/p/search/연서면 신대리 412-25", "지도Link")</f>
        <v/>
      </c>
      <c r="N1179" s="6">
        <f>HYPERLINK("http://www.eum.go.kr/web/ar/lu/luLandDet.jsp?pnu=3611036029104120025&amp;isNoScr=script&amp;mode=search", "토지이음")</f>
        <v/>
      </c>
      <c r="O1179" s="3" t="inlineStr">
        <is>
          <t>세종소담114</t>
        </is>
      </c>
      <c r="P1179" s="4" t="n">
        <v>2</v>
      </c>
      <c r="Q1179" s="4" t="n">
        <v>542</v>
      </c>
      <c r="R1179" s="3" t="inlineStr">
        <is>
          <t>지정되지않음</t>
        </is>
      </c>
      <c r="S1179" s="3" t="inlineStr">
        <is>
          <t>주거나지</t>
        </is>
      </c>
      <c r="T1179" s="3" t="inlineStr">
        <is>
          <t>완경사</t>
        </is>
      </c>
      <c r="U1179" s="3" t="inlineStr">
        <is>
          <t>세로장방</t>
        </is>
      </c>
      <c r="V1179" s="3" t="inlineStr">
        <is>
          <t>세로한면(가)</t>
        </is>
      </c>
    </row>
    <row r="1180">
      <c r="A1180" s="3" t="inlineStr">
        <is>
          <t>연서면 신대리 412-25</t>
        </is>
      </c>
      <c r="B1180" s="3" t="inlineStr">
        <is>
          <t>보전관리지역</t>
        </is>
      </c>
      <c r="C1180" s="3" t="inlineStr">
        <is>
          <t>임야</t>
        </is>
      </c>
      <c r="D1180" s="3" t="inlineStr">
        <is>
          <t>대</t>
        </is>
      </c>
      <c r="E1180" s="3" t="inlineStr">
        <is>
          <t>매매</t>
        </is>
      </c>
      <c r="F1180" s="4" t="n">
        <v>22000</v>
      </c>
      <c r="G1180" s="4" t="n">
        <v>542</v>
      </c>
      <c r="H1180" s="4" t="n">
        <v>164</v>
      </c>
      <c r="I1180" s="5" t="n">
        <v>134.1</v>
      </c>
      <c r="J1180" s="5" t="n">
        <v>66.59999999999999</v>
      </c>
      <c r="K1180" s="3" t="inlineStr">
        <is>
          <t>급매 고복저수지근처 로얄빌리지 전원주택지매매</t>
        </is>
      </c>
      <c r="L1180" s="6">
        <f>HYPERLINK("https://fin.land.naver.com/articles/2653986925", "매물Link")</f>
        <v/>
      </c>
      <c r="M1180" s="6">
        <f>HYPERLINK("https://map.naver.com/p/search/연서면 신대리 412-25", "지도Link")</f>
        <v/>
      </c>
      <c r="N1180" s="6">
        <f>HYPERLINK("http://www.eum.go.kr/web/ar/lu/luLandDet.jsp?pnu=3611036029104120025&amp;isNoScr=script&amp;mode=search", "토지이음")</f>
        <v/>
      </c>
      <c r="O1180" s="3" t="inlineStr">
        <is>
          <t>명진</t>
        </is>
      </c>
      <c r="P1180" s="4" t="n">
        <v>1</v>
      </c>
      <c r="Q1180" s="4" t="n">
        <v>542</v>
      </c>
      <c r="R1180" s="3" t="inlineStr">
        <is>
          <t>지정되지않음</t>
        </is>
      </c>
      <c r="S1180" s="3" t="inlineStr">
        <is>
          <t>주거나지</t>
        </is>
      </c>
      <c r="T1180" s="3" t="inlineStr">
        <is>
          <t>완경사</t>
        </is>
      </c>
      <c r="U1180" s="3" t="inlineStr">
        <is>
          <t>세로장방</t>
        </is>
      </c>
      <c r="V1180" s="3" t="inlineStr">
        <is>
          <t>세로한면(가)</t>
        </is>
      </c>
    </row>
    <row r="1181">
      <c r="A1181" s="3" t="inlineStr">
        <is>
          <t>연서면 신대리 412-28</t>
        </is>
      </c>
      <c r="B1181" s="3" t="inlineStr">
        <is>
          <t>보전관리지역</t>
        </is>
      </c>
      <c r="C1181" s="3" t="inlineStr">
        <is>
          <t>임야</t>
        </is>
      </c>
      <c r="D1181" s="3" t="inlineStr">
        <is>
          <t>임야</t>
        </is>
      </c>
      <c r="E1181" s="3" t="inlineStr">
        <is>
          <t>매매</t>
        </is>
      </c>
      <c r="F1181" s="4" t="n">
        <v>24000</v>
      </c>
      <c r="G1181" s="4" t="n">
        <v>563</v>
      </c>
      <c r="H1181" s="4" t="n">
        <v>170</v>
      </c>
      <c r="I1181" s="5" t="n">
        <v>141.2</v>
      </c>
      <c r="J1181" s="5" t="n">
        <v>66.59999999999999</v>
      </c>
      <c r="K1181" s="3" t="inlineStr">
        <is>
          <t>nan</t>
        </is>
      </c>
      <c r="L1181" s="6">
        <f>HYPERLINK("https://fin.land.naver.com/articles/2652378754", "매물Link")</f>
        <v/>
      </c>
      <c r="M1181" s="6">
        <f>HYPERLINK("https://map.naver.com/p/search/연서면 신대리 412-28", "지도Link")</f>
        <v/>
      </c>
      <c r="N1181" s="6">
        <f>HYPERLINK("http://www.eum.go.kr/web/ar/lu/luLandDet.jsp?pnu=3611036029104120028&amp;isNoScr=script&amp;mode=search", "토지이음")</f>
        <v/>
      </c>
      <c r="O1181" s="3" t="inlineStr">
        <is>
          <t>은성</t>
        </is>
      </c>
      <c r="P1181" s="4" t="n">
        <v>1</v>
      </c>
      <c r="Q1181" s="4" t="n">
        <v>563</v>
      </c>
      <c r="R1181" s="3" t="inlineStr">
        <is>
          <t>지정되지않음</t>
        </is>
      </c>
      <c r="S1181" s="3" t="inlineStr">
        <is>
          <t>주거나지</t>
        </is>
      </c>
      <c r="T1181" s="3" t="inlineStr">
        <is>
          <t>완경사</t>
        </is>
      </c>
      <c r="U1181" s="3" t="inlineStr">
        <is>
          <t>사다리형</t>
        </is>
      </c>
      <c r="V1181" s="3" t="inlineStr">
        <is>
          <t>세로한면(가)</t>
        </is>
      </c>
    </row>
    <row r="1182">
      <c r="A1182" s="3" t="inlineStr">
        <is>
          <t>연서면 신대리 412-28</t>
        </is>
      </c>
      <c r="B1182" s="3" t="inlineStr">
        <is>
          <t>보전관리지역</t>
        </is>
      </c>
      <c r="C1182" s="3" t="inlineStr">
        <is>
          <t>임야</t>
        </is>
      </c>
      <c r="D1182" s="3" t="inlineStr">
        <is>
          <t>임야</t>
        </is>
      </c>
      <c r="E1182" s="3" t="inlineStr">
        <is>
          <t>매매</t>
        </is>
      </c>
      <c r="F1182" s="4" t="n">
        <v>27016</v>
      </c>
      <c r="G1182" s="4" t="n">
        <v>687</v>
      </c>
      <c r="H1182" s="4" t="n">
        <v>208</v>
      </c>
      <c r="I1182" s="5" t="n">
        <v>129.9</v>
      </c>
      <c r="J1182" s="5" t="n">
        <v>66.59999999999999</v>
      </c>
      <c r="K1182" s="3" t="inlineStr">
        <is>
          <t>감동의 땅 정말 좋은 땅 가성비 착한 토지 위치  땅모양 괜찮지 않나요</t>
        </is>
      </c>
      <c r="L1182" s="6">
        <f>HYPERLINK("https://fin.land.naver.com/articles/2654324010", "매물Link")</f>
        <v/>
      </c>
      <c r="M1182" s="6">
        <f>HYPERLINK("https://map.naver.com/p/search/연서면 신대리 412-28", "지도Link")</f>
        <v/>
      </c>
      <c r="N1182" s="6">
        <f>HYPERLINK("http://www.eum.go.kr/web/ar/lu/luLandDet.jsp?pnu=3611036029104120028&amp;isNoScr=script&amp;mode=search", "토지이음")</f>
        <v/>
      </c>
      <c r="O1182" s="3" t="inlineStr">
        <is>
          <t>세종시삼성래미안</t>
        </is>
      </c>
      <c r="P1182" s="4" t="n">
        <v>1</v>
      </c>
      <c r="Q1182" s="4" t="n">
        <v>563</v>
      </c>
      <c r="R1182" s="3" t="inlineStr">
        <is>
          <t>지정되지않음</t>
        </is>
      </c>
      <c r="S1182" s="3" t="inlineStr">
        <is>
          <t>주거나지</t>
        </is>
      </c>
      <c r="T1182" s="3" t="inlineStr">
        <is>
          <t>완경사</t>
        </is>
      </c>
      <c r="U1182" s="3" t="inlineStr">
        <is>
          <t>사다리형</t>
        </is>
      </c>
      <c r="V1182" s="3" t="inlineStr">
        <is>
          <t>세로한면(가)</t>
        </is>
      </c>
    </row>
    <row r="1183">
      <c r="A1183" s="3" t="inlineStr">
        <is>
          <t>연서면 신대리 412-44</t>
        </is>
      </c>
      <c r="B1183" s="3" t="inlineStr">
        <is>
          <t>보전관리지역</t>
        </is>
      </c>
      <c r="C1183" s="3" t="inlineStr">
        <is>
          <t>임야</t>
        </is>
      </c>
      <c r="D1183" s="3" t="inlineStr">
        <is>
          <t>임야</t>
        </is>
      </c>
      <c r="E1183" s="3" t="inlineStr">
        <is>
          <t>매매</t>
        </is>
      </c>
      <c r="F1183" s="4" t="n">
        <v>34700</v>
      </c>
      <c r="G1183" s="4" t="n">
        <v>637</v>
      </c>
      <c r="H1183" s="4" t="n">
        <v>193</v>
      </c>
      <c r="I1183" s="5" t="n">
        <v>179.8</v>
      </c>
      <c r="J1183" s="5" t="n">
        <v>66.59999999999999</v>
      </c>
      <c r="K1183" s="3" t="inlineStr">
        <is>
          <t>고복저수지 가는길 부근 기반시설 잘 갖춰진 네모반듯한 코너 전원주택지</t>
        </is>
      </c>
      <c r="L1183" s="6">
        <f>HYPERLINK("https://fin.land.naver.com/articles/2652065672", "매물Link")</f>
        <v/>
      </c>
      <c r="M1183" s="6">
        <f>HYPERLINK("https://map.naver.com/p/search/연서면 신대리 412-44", "지도Link")</f>
        <v/>
      </c>
      <c r="N1183" s="6">
        <f>HYPERLINK("http://www.eum.go.kr/web/ar/lu/luLandDet.jsp?pnu=3611036029104120044&amp;isNoScr=script&amp;mode=search", "토지이음")</f>
        <v/>
      </c>
      <c r="O1183" s="3" t="inlineStr">
        <is>
          <t>신와촌</t>
        </is>
      </c>
      <c r="P1183" s="4" t="n">
        <v>1</v>
      </c>
      <c r="Q1183" s="4" t="n">
        <v>523</v>
      </c>
      <c r="R1183" s="3" t="inlineStr">
        <is>
          <t>지정되지않음</t>
        </is>
      </c>
      <c r="S1183" s="3" t="inlineStr">
        <is>
          <t>주거나지</t>
        </is>
      </c>
      <c r="T1183" s="3" t="inlineStr">
        <is>
          <t>완경사</t>
        </is>
      </c>
      <c r="U1183" s="3" t="inlineStr">
        <is>
          <t>가로장방</t>
        </is>
      </c>
      <c r="V1183" s="3" t="inlineStr">
        <is>
          <t>세로한면(가)</t>
        </is>
      </c>
    </row>
    <row r="1184">
      <c r="A1184" s="3" t="inlineStr">
        <is>
          <t>연서면 신대리 454-4</t>
        </is>
      </c>
      <c r="B1184" s="3" t="inlineStr">
        <is>
          <t>농림지역</t>
        </is>
      </c>
      <c r="C1184" s="3" t="inlineStr">
        <is>
          <t>답</t>
        </is>
      </c>
      <c r="D1184" s="3" t="inlineStr">
        <is>
          <t>답</t>
        </is>
      </c>
      <c r="E1184" s="3" t="inlineStr">
        <is>
          <t>매매</t>
        </is>
      </c>
      <c r="F1184" s="4" t="n">
        <v>31000</v>
      </c>
      <c r="G1184" s="4" t="n">
        <v>1121</v>
      </c>
      <c r="H1184" s="4" t="n">
        <v>339</v>
      </c>
      <c r="I1184" s="5" t="n">
        <v>91.40000000000001</v>
      </c>
      <c r="J1184" s="5" t="n">
        <v>22.9</v>
      </c>
      <c r="K1184" s="3" t="inlineStr">
        <is>
          <t>고복 저수지와 전원 마을 단지 사이 신대리 토지매매</t>
        </is>
      </c>
      <c r="L1184" s="6">
        <f>HYPERLINK("https://fin.land.naver.com/articles/2651085963", "매물Link")</f>
        <v/>
      </c>
      <c r="M1184" s="6">
        <f>HYPERLINK("https://map.naver.com/p/search/연서면 신대리 454-4", "지도Link")</f>
        <v/>
      </c>
      <c r="N1184" s="6">
        <f>HYPERLINK("http://www.eum.go.kr/web/ar/lu/luLandDet.jsp?pnu=3611036029104540004&amp;isNoScr=script&amp;mode=search", "토지이음")</f>
        <v/>
      </c>
      <c r="O1184" s="3" t="inlineStr">
        <is>
          <t>지성</t>
        </is>
      </c>
      <c r="P1184" s="4" t="n">
        <v>1</v>
      </c>
      <c r="Q1184" s="4" t="n">
        <v>1121</v>
      </c>
      <c r="R1184" s="3" t="inlineStr">
        <is>
          <t>지정되지않음</t>
        </is>
      </c>
      <c r="S1184" s="3" t="inlineStr">
        <is>
          <t>답</t>
        </is>
      </c>
      <c r="T1184" s="3" t="inlineStr">
        <is>
          <t>평지</t>
        </is>
      </c>
      <c r="U1184" s="3" t="inlineStr">
        <is>
          <t>가로장방</t>
        </is>
      </c>
      <c r="V1184" s="3" t="inlineStr">
        <is>
          <t>세로한면(가)</t>
        </is>
      </c>
    </row>
    <row r="1185">
      <c r="A1185" s="3" t="inlineStr">
        <is>
          <t>연서면 신대리 454-5</t>
        </is>
      </c>
      <c r="B1185" s="3" t="inlineStr">
        <is>
          <t>농림지역</t>
        </is>
      </c>
      <c r="C1185" s="3" t="inlineStr">
        <is>
          <t>답</t>
        </is>
      </c>
      <c r="D1185" s="3" t="inlineStr">
        <is>
          <t>답</t>
        </is>
      </c>
      <c r="E1185" s="3" t="inlineStr">
        <is>
          <t>매매</t>
        </is>
      </c>
      <c r="F1185" s="4" t="n">
        <v>71500</v>
      </c>
      <c r="G1185" s="4" t="n">
        <v>2366</v>
      </c>
      <c r="H1185" s="4" t="n">
        <v>716</v>
      </c>
      <c r="I1185" s="5" t="n">
        <v>99.90000000000001</v>
      </c>
      <c r="J1185" s="5" t="n">
        <v>22.9</v>
      </c>
      <c r="K1185" s="3" t="inlineStr">
        <is>
          <t>좋은 땅 가성비 착한 토지 위치  땅모양 좋아요</t>
        </is>
      </c>
      <c r="L1185" s="6">
        <f>HYPERLINK("https://fin.land.naver.com/articles/2654306979", "매물Link")</f>
        <v/>
      </c>
      <c r="M1185" s="6">
        <f>HYPERLINK("https://map.naver.com/p/search/연서면 신대리 454-5", "지도Link")</f>
        <v/>
      </c>
      <c r="N1185" s="6">
        <f>HYPERLINK("http://www.eum.go.kr/web/ar/lu/luLandDet.jsp?pnu=3611036029104540005&amp;isNoScr=script&amp;mode=search", "토지이음")</f>
        <v/>
      </c>
      <c r="O1185" s="3" t="inlineStr">
        <is>
          <t>세종시삼성래미안</t>
        </is>
      </c>
      <c r="P1185" s="4" t="n">
        <v>1</v>
      </c>
      <c r="Q1185" s="4" t="n">
        <v>2366</v>
      </c>
      <c r="R1185" s="3" t="inlineStr">
        <is>
          <t>지정되지않음</t>
        </is>
      </c>
      <c r="S1185" s="3" t="inlineStr">
        <is>
          <t>답</t>
        </is>
      </c>
      <c r="T1185" s="3" t="inlineStr">
        <is>
          <t>평지</t>
        </is>
      </c>
      <c r="U1185" s="3" t="inlineStr">
        <is>
          <t>가로장방</t>
        </is>
      </c>
      <c r="V1185" s="3" t="inlineStr">
        <is>
          <t>세로한면(가)</t>
        </is>
      </c>
    </row>
    <row r="1186">
      <c r="A1186" s="3" t="inlineStr">
        <is>
          <t>연서면 신대리 456-2</t>
        </is>
      </c>
      <c r="B1186" s="3" t="inlineStr">
        <is>
          <t>농림지역</t>
        </is>
      </c>
      <c r="C1186" s="3" t="inlineStr">
        <is>
          <t>답</t>
        </is>
      </c>
      <c r="D1186" s="3" t="inlineStr">
        <is>
          <t>답</t>
        </is>
      </c>
      <c r="E1186" s="3" t="inlineStr">
        <is>
          <t>매매</t>
        </is>
      </c>
      <c r="F1186" s="4" t="n">
        <v>72000</v>
      </c>
      <c r="G1186" s="4" t="n">
        <v>2632</v>
      </c>
      <c r="H1186" s="4" t="n">
        <v>796</v>
      </c>
      <c r="I1186" s="5" t="n">
        <v>90.5</v>
      </c>
      <c r="J1186" s="5" t="n">
        <v>22.9</v>
      </c>
      <c r="K1186" s="3" t="inlineStr">
        <is>
          <t>대토용,투자용 적합</t>
        </is>
      </c>
      <c r="L1186" s="6">
        <f>HYPERLINK("https://fin.land.naver.com/articles/2653703409", "매물Link")</f>
        <v/>
      </c>
      <c r="M1186" s="6">
        <f>HYPERLINK("https://map.naver.com/p/search/연서면 신대리 456-2", "지도Link")</f>
        <v/>
      </c>
      <c r="N1186" s="6">
        <f>HYPERLINK("http://www.eum.go.kr/web/ar/lu/luLandDet.jsp?pnu=3611036029104560002&amp;isNoScr=script&amp;mode=search", "토지이음")</f>
        <v/>
      </c>
      <c r="O1186" s="3" t="inlineStr">
        <is>
          <t>지원</t>
        </is>
      </c>
      <c r="P1186" s="4" t="n">
        <v>1</v>
      </c>
      <c r="Q1186" s="4" t="n">
        <v>2632</v>
      </c>
      <c r="R1186" s="3" t="inlineStr">
        <is>
          <t>지정되지않음</t>
        </is>
      </c>
      <c r="S1186" s="3" t="inlineStr">
        <is>
          <t>답</t>
        </is>
      </c>
      <c r="T1186" s="3" t="inlineStr">
        <is>
          <t>평지</t>
        </is>
      </c>
      <c r="U1186" s="3" t="inlineStr">
        <is>
          <t>사다리형</t>
        </is>
      </c>
      <c r="V1186" s="3" t="inlineStr">
        <is>
          <t>세로한면(가)</t>
        </is>
      </c>
    </row>
    <row r="1187">
      <c r="A1187" s="3" t="inlineStr">
        <is>
          <t>연서면 신대리 456-2</t>
        </is>
      </c>
      <c r="B1187" s="3" t="inlineStr">
        <is>
          <t>농림지역</t>
        </is>
      </c>
      <c r="C1187" s="3" t="inlineStr">
        <is>
          <t>답</t>
        </is>
      </c>
      <c r="D1187" s="3" t="inlineStr">
        <is>
          <t>답</t>
        </is>
      </c>
      <c r="E1187" s="3" t="inlineStr">
        <is>
          <t>매매</t>
        </is>
      </c>
      <c r="F1187" s="4" t="n">
        <v>39800</v>
      </c>
      <c r="G1187" s="4" t="n">
        <v>2632</v>
      </c>
      <c r="H1187" s="4" t="n">
        <v>796</v>
      </c>
      <c r="I1187" s="5" t="n">
        <v>50</v>
      </c>
      <c r="J1187" s="5" t="n">
        <v>22.9</v>
      </c>
      <c r="K1187" s="3" t="inlineStr">
        <is>
          <t>nan</t>
        </is>
      </c>
      <c r="L1187" s="6">
        <f>HYPERLINK("https://fin.land.naver.com/articles/2654271164", "매물Link")</f>
        <v/>
      </c>
      <c r="M1187" s="6">
        <f>HYPERLINK("https://map.naver.com/p/search/연서면 신대리 456-2", "지도Link")</f>
        <v/>
      </c>
      <c r="N1187" s="6">
        <f>HYPERLINK("http://www.eum.go.kr/web/ar/lu/luLandDet.jsp?pnu=3611036029104560002&amp;isNoScr=script&amp;mode=search", "토지이음")</f>
        <v/>
      </c>
      <c r="O1187" s="3" t="inlineStr">
        <is>
          <t>효성</t>
        </is>
      </c>
      <c r="P1187" s="4" t="n">
        <v>1</v>
      </c>
      <c r="Q1187" s="4" t="n">
        <v>2632</v>
      </c>
      <c r="R1187" s="3" t="inlineStr">
        <is>
          <t>지정되지않음</t>
        </is>
      </c>
      <c r="S1187" s="3" t="inlineStr">
        <is>
          <t>답</t>
        </is>
      </c>
      <c r="T1187" s="3" t="inlineStr">
        <is>
          <t>평지</t>
        </is>
      </c>
      <c r="U1187" s="3" t="inlineStr">
        <is>
          <t>사다리형</t>
        </is>
      </c>
      <c r="V1187" s="3" t="inlineStr">
        <is>
          <t>세로한면(가)</t>
        </is>
      </c>
    </row>
    <row r="1188">
      <c r="A1188" s="3" t="inlineStr">
        <is>
          <t>연서면 신대리 458-1</t>
        </is>
      </c>
      <c r="B1188" s="3" t="inlineStr">
        <is>
          <t>보전관리지역</t>
        </is>
      </c>
      <c r="C1188" s="3" t="inlineStr">
        <is>
          <t>대</t>
        </is>
      </c>
      <c r="D1188" s="3" t="inlineStr">
        <is>
          <t>대</t>
        </is>
      </c>
      <c r="E1188" s="3" t="inlineStr">
        <is>
          <t>매매</t>
        </is>
      </c>
      <c r="F1188" s="4" t="n">
        <v>427000</v>
      </c>
      <c r="G1188" s="4" t="n">
        <v>10463</v>
      </c>
      <c r="H1188" s="4" t="n">
        <v>3165</v>
      </c>
      <c r="I1188" s="5" t="n">
        <v>134.9</v>
      </c>
      <c r="J1188" s="5" t="n">
        <v>63.8</v>
      </c>
      <c r="K1188" s="3" t="inlineStr">
        <is>
          <t>세종 국가산단 인근 가치 상승지역 토지 매매</t>
        </is>
      </c>
      <c r="L1188" s="6">
        <f>HYPERLINK("https://fin.land.naver.com/articles/2654049297", "매물Link")</f>
        <v/>
      </c>
      <c r="M1188" s="6">
        <f>HYPERLINK("https://map.naver.com/p/search/연서면 신대리 458-1", "지도Link")</f>
        <v/>
      </c>
      <c r="N1188" s="6">
        <f>HYPERLINK("http://www.eum.go.kr/web/ar/lu/luLandDet.jsp?pnu=3611036029104580001&amp;isNoScr=script&amp;mode=search", "토지이음")</f>
        <v/>
      </c>
      <c r="O1188" s="3" t="inlineStr">
        <is>
          <t>세종비전행정사</t>
        </is>
      </c>
      <c r="P1188" s="4" t="n">
        <v>1</v>
      </c>
      <c r="Q1188" s="4" t="n">
        <v>4780</v>
      </c>
      <c r="R1188" s="3" t="inlineStr">
        <is>
          <t>지정되지않음</t>
        </is>
      </c>
      <c r="S1188" s="3" t="inlineStr">
        <is>
          <t>주거기타</t>
        </is>
      </c>
      <c r="T1188" s="3" t="inlineStr">
        <is>
          <t>완경사</t>
        </is>
      </c>
      <c r="U1188" s="3" t="inlineStr">
        <is>
          <t>부정형</t>
        </is>
      </c>
      <c r="V1188" s="3" t="inlineStr">
        <is>
          <t>세로한면(가)</t>
        </is>
      </c>
    </row>
    <row r="1189">
      <c r="A1189" s="3" t="inlineStr">
        <is>
          <t>연서면 신대리 469-44</t>
        </is>
      </c>
      <c r="B1189" s="3" t="inlineStr">
        <is>
          <t>계획관리지역</t>
        </is>
      </c>
      <c r="C1189" s="3" t="inlineStr">
        <is>
          <t>대</t>
        </is>
      </c>
      <c r="D1189" s="3" t="inlineStr">
        <is>
          <t>대</t>
        </is>
      </c>
      <c r="E1189" s="3" t="inlineStr">
        <is>
          <t>매매</t>
        </is>
      </c>
      <c r="F1189" s="4" t="n">
        <v>41800</v>
      </c>
      <c r="G1189" s="4" t="n">
        <v>540</v>
      </c>
      <c r="H1189" s="4" t="n">
        <v>163</v>
      </c>
      <c r="I1189" s="5" t="n">
        <v>256.4</v>
      </c>
      <c r="J1189" s="5" t="n">
        <v>66</v>
      </c>
      <c r="K1189" s="3" t="inlineStr">
        <is>
          <t>남향,전원주택지추천,계획관리,고복저수지인접</t>
        </is>
      </c>
      <c r="L1189" s="6">
        <f>HYPERLINK("https://fin.land.naver.com/articles/2652355894", "매물Link")</f>
        <v/>
      </c>
      <c r="M1189" s="6">
        <f>HYPERLINK("https://map.naver.com/p/search/연서면 신대리 469-44", "지도Link")</f>
        <v/>
      </c>
      <c r="N1189" s="6">
        <f>HYPERLINK("http://www.eum.go.kr/web/ar/lu/luLandDet.jsp?pnu=3611036029104690044&amp;isNoScr=script&amp;mode=search", "토지이음")</f>
        <v/>
      </c>
      <c r="O1189" s="3" t="inlineStr">
        <is>
          <t>따뜻한</t>
        </is>
      </c>
      <c r="P1189" s="4" t="n">
        <v>1</v>
      </c>
      <c r="Q1189" s="4" t="n">
        <v>540</v>
      </c>
      <c r="R1189" s="3" t="inlineStr">
        <is>
          <t>지정되지않음</t>
        </is>
      </c>
      <c r="S1189" s="3" t="inlineStr">
        <is>
          <t>주거나지</t>
        </is>
      </c>
      <c r="T1189" s="3" t="inlineStr">
        <is>
          <t>완경사</t>
        </is>
      </c>
      <c r="U1189" s="3" t="inlineStr">
        <is>
          <t>사다리형</t>
        </is>
      </c>
      <c r="V1189" s="3" t="inlineStr">
        <is>
          <t>세로한면(가)</t>
        </is>
      </c>
    </row>
    <row r="1190">
      <c r="A1190" s="3" t="inlineStr">
        <is>
          <t>연서면 신대리 49-9</t>
        </is>
      </c>
      <c r="B1190" s="3" t="inlineStr">
        <is>
          <t>농림지역</t>
        </is>
      </c>
      <c r="C1190" s="3" t="inlineStr">
        <is>
          <t>답</t>
        </is>
      </c>
      <c r="D1190" s="3" t="inlineStr">
        <is>
          <t>답</t>
        </is>
      </c>
      <c r="E1190" s="3" t="inlineStr">
        <is>
          <t>매매</t>
        </is>
      </c>
      <c r="F1190" s="4" t="n">
        <v>60000</v>
      </c>
      <c r="G1190" s="4" t="n">
        <v>2512</v>
      </c>
      <c r="H1190" s="4" t="n">
        <v>760</v>
      </c>
      <c r="I1190" s="5" t="n">
        <v>78.90000000000001</v>
      </c>
      <c r="J1190" s="5" t="n">
        <v>31.4</v>
      </c>
      <c r="K1190" s="3" t="inlineStr">
        <is>
          <t>nan</t>
        </is>
      </c>
      <c r="L1190" s="6">
        <f>HYPERLINK("https://fin.land.naver.com/articles/2649736710", "매물Link")</f>
        <v/>
      </c>
      <c r="M1190" s="6">
        <f>HYPERLINK("https://map.naver.com/p/search/연서면 신대리 49-9", "지도Link")</f>
        <v/>
      </c>
      <c r="N1190" s="6">
        <f>HYPERLINK("http://www.eum.go.kr/web/ar/lu/luLandDet.jsp?pnu=3611036029100490009&amp;isNoScr=script&amp;mode=search", "토지이음")</f>
        <v/>
      </c>
      <c r="O1190" s="3" t="inlineStr">
        <is>
          <t>세종몽땅</t>
        </is>
      </c>
      <c r="P1190" s="4" t="n">
        <v>1</v>
      </c>
      <c r="Q1190" s="4" t="n">
        <v>2512</v>
      </c>
      <c r="R1190" s="3" t="inlineStr">
        <is>
          <t>지정되지않음</t>
        </is>
      </c>
      <c r="S1190" s="3" t="inlineStr">
        <is>
          <t>답</t>
        </is>
      </c>
      <c r="T1190" s="3" t="inlineStr">
        <is>
          <t>평지</t>
        </is>
      </c>
      <c r="U1190" s="3" t="inlineStr">
        <is>
          <t>가로장방</t>
        </is>
      </c>
      <c r="V1190" s="3" t="inlineStr">
        <is>
          <t>세로한면(가)</t>
        </is>
      </c>
    </row>
    <row r="1191">
      <c r="A1191" s="3" t="inlineStr">
        <is>
          <t>연서면 신대리 49-9</t>
        </is>
      </c>
      <c r="B1191" s="3" t="inlineStr">
        <is>
          <t>농림지역</t>
        </is>
      </c>
      <c r="C1191" s="3" t="inlineStr">
        <is>
          <t>답</t>
        </is>
      </c>
      <c r="D1191" s="3" t="inlineStr">
        <is>
          <t>대</t>
        </is>
      </c>
      <c r="E1191" s="3" t="inlineStr">
        <is>
          <t>매매</t>
        </is>
      </c>
      <c r="F1191" s="4" t="n">
        <v>60000</v>
      </c>
      <c r="G1191" s="4" t="n">
        <v>2512</v>
      </c>
      <c r="H1191" s="4" t="n">
        <v>760</v>
      </c>
      <c r="I1191" s="5" t="n">
        <v>78.90000000000001</v>
      </c>
      <c r="J1191" s="5" t="n">
        <v>31.4</v>
      </c>
      <c r="K1191" s="3" t="inlineStr">
        <is>
          <t>농지 매물 연서면 신대리 2,512㎡ 답 매매</t>
        </is>
      </c>
      <c r="L1191" s="6">
        <f>HYPERLINK("https://fin.land.naver.com/articles/2651605840", "매물Link")</f>
        <v/>
      </c>
      <c r="M1191" s="6">
        <f>HYPERLINK("https://map.naver.com/p/search/연서면 신대리 49-9", "지도Link")</f>
        <v/>
      </c>
      <c r="N1191" s="6">
        <f>HYPERLINK("http://www.eum.go.kr/web/ar/lu/luLandDet.jsp?pnu=3611036029100490009&amp;isNoScr=script&amp;mode=search", "토지이음")</f>
        <v/>
      </c>
      <c r="O1191" s="3" t="inlineStr">
        <is>
          <t>세종몽땅</t>
        </is>
      </c>
      <c r="P1191" s="4" t="n">
        <v>1</v>
      </c>
      <c r="Q1191" s="4" t="n">
        <v>2512</v>
      </c>
      <c r="R1191" s="3" t="inlineStr">
        <is>
          <t>지정되지않음</t>
        </is>
      </c>
      <c r="S1191" s="3" t="inlineStr">
        <is>
          <t>답</t>
        </is>
      </c>
      <c r="T1191" s="3" t="inlineStr">
        <is>
          <t>평지</t>
        </is>
      </c>
      <c r="U1191" s="3" t="inlineStr">
        <is>
          <t>가로장방</t>
        </is>
      </c>
      <c r="V1191" s="3" t="inlineStr">
        <is>
          <t>세로한면(가)</t>
        </is>
      </c>
    </row>
    <row r="1192">
      <c r="A1192" s="3" t="inlineStr">
        <is>
          <t>연서면 신대리 75-1</t>
        </is>
      </c>
      <c r="B1192" s="3" t="inlineStr">
        <is>
          <t>농림지역</t>
        </is>
      </c>
      <c r="C1192" s="3" t="inlineStr">
        <is>
          <t>답</t>
        </is>
      </c>
      <c r="D1192" s="3" t="inlineStr">
        <is>
          <t>답</t>
        </is>
      </c>
      <c r="E1192" s="3" t="inlineStr">
        <is>
          <t>매매</t>
        </is>
      </c>
      <c r="F1192" s="4" t="n">
        <v>43700</v>
      </c>
      <c r="G1192" s="4" t="n">
        <v>1928</v>
      </c>
      <c r="H1192" s="4" t="n">
        <v>583</v>
      </c>
      <c r="I1192" s="5" t="n">
        <v>75</v>
      </c>
      <c r="J1192" s="5" t="n">
        <v>31.7</v>
      </c>
      <c r="K1192" s="3" t="inlineStr">
        <is>
          <t>2차선 도로에 접해 있는 세종 스마트 산업단지 인근의 투자용 토지</t>
        </is>
      </c>
      <c r="L1192" s="6">
        <f>HYPERLINK("https://fin.land.naver.com/articles/2653003595", "매물Link")</f>
        <v/>
      </c>
      <c r="M1192" s="6">
        <f>HYPERLINK("https://map.naver.com/p/search/연서면 신대리 75-1", "지도Link")</f>
        <v/>
      </c>
      <c r="N1192" s="6">
        <f>HYPERLINK("http://www.eum.go.kr/web/ar/lu/luLandDet.jsp?pnu=3611036029100750001&amp;isNoScr=script&amp;mode=search", "토지이음")</f>
        <v/>
      </c>
      <c r="O1192" s="3" t="inlineStr">
        <is>
          <t>스마일세종</t>
        </is>
      </c>
      <c r="P1192" s="4" t="n">
        <v>1</v>
      </c>
      <c r="Q1192" s="4" t="n">
        <v>1928</v>
      </c>
      <c r="R1192" s="3" t="inlineStr">
        <is>
          <t>지정되지않음</t>
        </is>
      </c>
      <c r="S1192" s="3" t="inlineStr">
        <is>
          <t>답</t>
        </is>
      </c>
      <c r="T1192" s="3" t="inlineStr">
        <is>
          <t>평지</t>
        </is>
      </c>
      <c r="U1192" s="3" t="inlineStr">
        <is>
          <t>사다리형</t>
        </is>
      </c>
      <c r="V1192" s="3" t="inlineStr">
        <is>
          <t>세로한면(가)</t>
        </is>
      </c>
    </row>
    <row r="1193">
      <c r="A1193" s="3" t="inlineStr">
        <is>
          <t>연서면 신대리 75-2</t>
        </is>
      </c>
      <c r="B1193" s="3" t="inlineStr">
        <is>
          <t>농림지역</t>
        </is>
      </c>
      <c r="C1193" s="3" t="inlineStr">
        <is>
          <t>답</t>
        </is>
      </c>
      <c r="D1193" s="3" t="inlineStr">
        <is>
          <t>답</t>
        </is>
      </c>
      <c r="E1193" s="3" t="inlineStr">
        <is>
          <t>매매</t>
        </is>
      </c>
      <c r="F1193" s="4" t="n">
        <v>69000</v>
      </c>
      <c r="G1193" s="4" t="n">
        <v>3045</v>
      </c>
      <c r="H1193" s="4" t="n">
        <v>921</v>
      </c>
      <c r="I1193" s="5" t="n">
        <v>74.90000000000001</v>
      </c>
      <c r="J1193" s="5" t="n">
        <v>31.7</v>
      </c>
      <c r="K1193" s="3" t="inlineStr">
        <is>
          <t>세종 스마트 국가산업단지가 예정 돼 있어 향후 투자가치가 높은 토지입니다</t>
        </is>
      </c>
      <c r="L1193" s="6">
        <f>HYPERLINK("https://fin.land.naver.com/articles/2649560776", "매물Link")</f>
        <v/>
      </c>
      <c r="M1193" s="6">
        <f>HYPERLINK("https://map.naver.com/p/search/연서면 신대리 75-2", "지도Link")</f>
        <v/>
      </c>
      <c r="N1193" s="6">
        <f>HYPERLINK("http://www.eum.go.kr/web/ar/lu/luLandDet.jsp?pnu=3611036029100750002&amp;isNoScr=script&amp;mode=search", "토지이음")</f>
        <v/>
      </c>
      <c r="O1193" s="3" t="inlineStr">
        <is>
          <t>스마일세종</t>
        </is>
      </c>
      <c r="P1193" s="4" t="n">
        <v>1</v>
      </c>
      <c r="Q1193" s="4" t="n">
        <v>3045</v>
      </c>
      <c r="R1193" s="3" t="inlineStr">
        <is>
          <t>지정되지않음</t>
        </is>
      </c>
      <c r="S1193" s="3" t="inlineStr">
        <is>
          <t>답</t>
        </is>
      </c>
      <c r="T1193" s="3" t="inlineStr">
        <is>
          <t>평지</t>
        </is>
      </c>
      <c r="U1193" s="3" t="inlineStr">
        <is>
          <t>가로장방</t>
        </is>
      </c>
      <c r="V1193" s="3" t="inlineStr">
        <is>
          <t>세로한면(가)</t>
        </is>
      </c>
    </row>
    <row r="1194">
      <c r="A1194" s="3" t="inlineStr">
        <is>
          <t>연서면 신대리 산100</t>
        </is>
      </c>
      <c r="B1194" s="3" t="inlineStr">
        <is>
          <t>보전관리지역</t>
        </is>
      </c>
      <c r="C1194" s="3" t="inlineStr">
        <is>
          <t>임야</t>
        </is>
      </c>
      <c r="D1194" s="3" t="inlineStr">
        <is>
          <t>임야</t>
        </is>
      </c>
      <c r="E1194" s="3" t="inlineStr">
        <is>
          <t>매매</t>
        </is>
      </c>
      <c r="F1194" s="4" t="n">
        <v>75000</v>
      </c>
      <c r="G1194" s="4" t="n">
        <v>6645</v>
      </c>
      <c r="H1194" s="4" t="n">
        <v>2010</v>
      </c>
      <c r="I1194" s="5" t="n">
        <v>37.3</v>
      </c>
      <c r="J1194" s="5" t="n">
        <v>8.5</v>
      </c>
      <c r="K1194" s="3" t="inlineStr">
        <is>
          <t>해구토말형 임야,귀한 명당 자리</t>
        </is>
      </c>
      <c r="L1194" s="6">
        <f>HYPERLINK("https://fin.land.naver.com/articles/2651709533", "매물Link")</f>
        <v/>
      </c>
      <c r="M1194" s="6">
        <f>HYPERLINK("https://map.naver.com/p/search/연서면 신대리 산100", "지도Link")</f>
        <v/>
      </c>
      <c r="N1194" s="6">
        <f>HYPERLINK("http://www.eum.go.kr/web/ar/lu/luLandDet.jsp?pnu=3611036029201000000&amp;isNoScr=script&amp;mode=search", "토지이음")</f>
        <v/>
      </c>
      <c r="O1194" s="3" t="inlineStr">
        <is>
          <t>가치잇는</t>
        </is>
      </c>
      <c r="P1194" s="4" t="n">
        <v>1</v>
      </c>
      <c r="Q1194" s="4" t="n">
        <v>6645</v>
      </c>
      <c r="R1194" s="3" t="inlineStr">
        <is>
          <t>지정되지않음</t>
        </is>
      </c>
      <c r="S1194" s="3" t="inlineStr">
        <is>
          <t>과수원</t>
        </is>
      </c>
      <c r="T1194" s="3" t="inlineStr">
        <is>
          <t>급경사</t>
        </is>
      </c>
      <c r="U1194" s="3" t="inlineStr">
        <is>
          <t>부정형</t>
        </is>
      </c>
      <c r="V1194" s="3" t="inlineStr">
        <is>
          <t>맹지</t>
        </is>
      </c>
    </row>
    <row r="1195">
      <c r="A1195" s="3" t="inlineStr">
        <is>
          <t>연서면 신대리 산54-1</t>
        </is>
      </c>
      <c r="B1195" s="3" t="inlineStr">
        <is>
          <t>보전관리지역</t>
        </is>
      </c>
      <c r="C1195" s="3" t="inlineStr">
        <is>
          <t>임야</t>
        </is>
      </c>
      <c r="D1195" s="3" t="inlineStr">
        <is>
          <t>임야</t>
        </is>
      </c>
      <c r="E1195" s="3" t="inlineStr">
        <is>
          <t>매매</t>
        </is>
      </c>
      <c r="F1195" s="4" t="n">
        <v>130000</v>
      </c>
      <c r="G1195" s="4" t="n">
        <v>6171</v>
      </c>
      <c r="H1195" s="4" t="n">
        <v>1867</v>
      </c>
      <c r="I1195" s="5" t="n">
        <v>69.59999999999999</v>
      </c>
      <c r="J1195" s="5" t="n">
        <v>4.7</v>
      </c>
      <c r="K1195" s="3" t="inlineStr">
        <is>
          <t>국가산단옆,취락지구,계획관리포함됨,도로접, 가격조정가.</t>
        </is>
      </c>
      <c r="L1195" s="6">
        <f>HYPERLINK("https://fin.land.naver.com/articles/2649391412", "매물Link")</f>
        <v/>
      </c>
      <c r="M1195" s="6">
        <f>HYPERLINK("https://map.naver.com/p/search/연서면 신대리 산54-1", "지도Link")</f>
        <v/>
      </c>
      <c r="N1195" s="6">
        <f>HYPERLINK("http://www.eum.go.kr/web/ar/lu/luLandDet.jsp?pnu=3611036029200540001&amp;isNoScr=script&amp;mode=search", "토지이음")</f>
        <v/>
      </c>
      <c r="O1195" s="3" t="inlineStr">
        <is>
          <t>카톡</t>
        </is>
      </c>
      <c r="P1195" s="4" t="n">
        <v>1</v>
      </c>
      <c r="Q1195" s="4" t="n">
        <v>5455</v>
      </c>
      <c r="R1195" s="3" t="inlineStr">
        <is>
          <t>계획관리지역</t>
        </is>
      </c>
      <c r="S1195" s="3" t="inlineStr">
        <is>
          <t>자연림</t>
        </is>
      </c>
      <c r="T1195" s="3" t="inlineStr">
        <is>
          <t>급경사</t>
        </is>
      </c>
      <c r="U1195" s="3" t="inlineStr">
        <is>
          <t>부정형</t>
        </is>
      </c>
      <c r="V1195" s="3" t="inlineStr">
        <is>
          <t>세로한면(불)</t>
        </is>
      </c>
    </row>
    <row r="1196">
      <c r="A1196" s="3" t="inlineStr">
        <is>
          <t>연서면 신대리 산64-13</t>
        </is>
      </c>
      <c r="B1196" s="3" t="inlineStr">
        <is>
          <t>계획관리지역</t>
        </is>
      </c>
      <c r="C1196" s="3" t="inlineStr">
        <is>
          <t>임야</t>
        </is>
      </c>
      <c r="D1196" s="3" t="inlineStr">
        <is>
          <t>임야</t>
        </is>
      </c>
      <c r="E1196" s="3" t="inlineStr">
        <is>
          <t>매매</t>
        </is>
      </c>
      <c r="F1196" s="4" t="n">
        <v>185400</v>
      </c>
      <c r="G1196" s="4" t="n">
        <v>3064</v>
      </c>
      <c r="H1196" s="4" t="n">
        <v>927</v>
      </c>
      <c r="I1196" s="5" t="n">
        <v>200</v>
      </c>
      <c r="J1196" s="5" t="n">
        <v>6.6</v>
      </c>
      <c r="K1196" s="3" t="inlineStr">
        <is>
          <t>연서면 신대리 토지 매매</t>
        </is>
      </c>
      <c r="L1196" s="6">
        <f>HYPERLINK("https://fin.land.naver.com/articles/2653301226", "매물Link")</f>
        <v/>
      </c>
      <c r="M1196" s="6">
        <f>HYPERLINK("https://map.naver.com/p/search/연서면 신대리 산64-13", "지도Link")</f>
        <v/>
      </c>
      <c r="N1196" s="6">
        <f>HYPERLINK("http://www.eum.go.kr/web/ar/lu/luLandDet.jsp?pnu=3611036029200640013&amp;isNoScr=script&amp;mode=search", "토지이음")</f>
        <v/>
      </c>
      <c r="O1196" s="3" t="inlineStr">
        <is>
          <t>주식회사넥서스</t>
        </is>
      </c>
      <c r="P1196" s="4" t="n">
        <v>1</v>
      </c>
      <c r="Q1196" s="4" t="n">
        <v>3064</v>
      </c>
      <c r="R1196" s="3" t="inlineStr">
        <is>
          <t>지정되지않음</t>
        </is>
      </c>
      <c r="S1196" s="3" t="inlineStr">
        <is>
          <t>자연림</t>
        </is>
      </c>
      <c r="T1196" s="3" t="inlineStr">
        <is>
          <t>완경사</t>
        </is>
      </c>
      <c r="U1196" s="3" t="inlineStr">
        <is>
          <t>사다리형</t>
        </is>
      </c>
      <c r="V1196" s="3" t="inlineStr">
        <is>
          <t>세로한면(가)</t>
        </is>
      </c>
    </row>
    <row r="1197">
      <c r="A1197" s="3" t="inlineStr">
        <is>
          <t>연서면 신대리 산64-13</t>
        </is>
      </c>
      <c r="B1197" s="3" t="inlineStr">
        <is>
          <t>계획관리지역</t>
        </is>
      </c>
      <c r="C1197" s="3" t="inlineStr">
        <is>
          <t>임야</t>
        </is>
      </c>
      <c r="D1197" s="3" t="inlineStr">
        <is>
          <t>임야</t>
        </is>
      </c>
      <c r="E1197" s="3" t="inlineStr">
        <is>
          <t>매매</t>
        </is>
      </c>
      <c r="F1197" s="4" t="n">
        <v>185400</v>
      </c>
      <c r="G1197" s="4" t="n">
        <v>3064</v>
      </c>
      <c r="H1197" s="4" t="n">
        <v>927</v>
      </c>
      <c r="I1197" s="5" t="n">
        <v>200</v>
      </c>
      <c r="J1197" s="5" t="n">
        <v>6.6</v>
      </c>
      <c r="K1197" s="3" t="inlineStr">
        <is>
          <t>연서면 신대리 토지 매매</t>
        </is>
      </c>
      <c r="L1197" s="6">
        <f>HYPERLINK("https://fin.land.naver.com/articles/2653008123", "매물Link")</f>
        <v/>
      </c>
      <c r="M1197" s="6">
        <f>HYPERLINK("https://map.naver.com/p/search/연서면 신대리 산64-13", "지도Link")</f>
        <v/>
      </c>
      <c r="N1197" s="6">
        <f>HYPERLINK("http://www.eum.go.kr/web/ar/lu/luLandDet.jsp?pnu=3611036029200640013&amp;isNoScr=script&amp;mode=search", "토지이음")</f>
        <v/>
      </c>
      <c r="O1197" s="3" t="inlineStr">
        <is>
          <t>주식회사넥서스</t>
        </is>
      </c>
      <c r="P1197" s="4" t="n">
        <v>1</v>
      </c>
      <c r="Q1197" s="4" t="n">
        <v>3064</v>
      </c>
      <c r="R1197" s="3" t="inlineStr">
        <is>
          <t>지정되지않음</t>
        </is>
      </c>
      <c r="S1197" s="3" t="inlineStr">
        <is>
          <t>자연림</t>
        </is>
      </c>
      <c r="T1197" s="3" t="inlineStr">
        <is>
          <t>완경사</t>
        </is>
      </c>
      <c r="U1197" s="3" t="inlineStr">
        <is>
          <t>사다리형</t>
        </is>
      </c>
      <c r="V1197" s="3" t="inlineStr">
        <is>
          <t>세로한면(가)</t>
        </is>
      </c>
    </row>
    <row r="1198">
      <c r="A1198" s="3" t="inlineStr">
        <is>
          <t>연서면 신대리 산64-15</t>
        </is>
      </c>
      <c r="B1198" s="3" t="inlineStr">
        <is>
          <t>계획관리지역</t>
        </is>
      </c>
      <c r="C1198" s="3" t="inlineStr">
        <is>
          <t>임야</t>
        </is>
      </c>
      <c r="D1198" s="3" t="inlineStr">
        <is>
          <t>임야</t>
        </is>
      </c>
      <c r="E1198" s="3" t="inlineStr">
        <is>
          <t>매매</t>
        </is>
      </c>
      <c r="F1198" s="4" t="n">
        <v>67000</v>
      </c>
      <c r="G1198" s="4" t="n">
        <v>1395</v>
      </c>
      <c r="H1198" s="4" t="n">
        <v>422</v>
      </c>
      <c r="I1198" s="5" t="n">
        <v>158.8</v>
      </c>
      <c r="J1198" s="5" t="n">
        <v>45.6</v>
      </c>
      <c r="K1198" s="3" t="inlineStr">
        <is>
          <t>계획관리 네모 반듯한 임야. 주택 근생 공장 창고 가능 넓은 도로</t>
        </is>
      </c>
      <c r="L1198" s="6">
        <f>HYPERLINK("https://fin.land.naver.com/articles/2652124954", "매물Link")</f>
        <v/>
      </c>
      <c r="M1198" s="6">
        <f>HYPERLINK("https://map.naver.com/p/search/연서면 신대리 산64-15", "지도Link")</f>
        <v/>
      </c>
      <c r="N1198" s="6">
        <f>HYPERLINK("http://www.eum.go.kr/web/ar/lu/luLandDet.jsp?pnu=3611036029200640015&amp;isNoScr=script&amp;mode=search", "토지이음")</f>
        <v/>
      </c>
      <c r="O1198" s="3" t="inlineStr">
        <is>
          <t>미스터홈즈강남지사</t>
        </is>
      </c>
      <c r="P1198" s="4" t="n">
        <v>1</v>
      </c>
      <c r="Q1198" s="4" t="n">
        <v>1304</v>
      </c>
      <c r="R1198" s="3" t="inlineStr">
        <is>
          <t>지정되지않음</t>
        </is>
      </c>
      <c r="S1198" s="3" t="inlineStr">
        <is>
          <t>전기타</t>
        </is>
      </c>
      <c r="T1198" s="3" t="inlineStr">
        <is>
          <t>완경사</t>
        </is>
      </c>
      <c r="U1198" s="3" t="inlineStr">
        <is>
          <t>사다리형</t>
        </is>
      </c>
      <c r="V1198" s="3" t="inlineStr">
        <is>
          <t>세로한면(가)</t>
        </is>
      </c>
    </row>
    <row r="1199">
      <c r="A1199" s="3" t="inlineStr">
        <is>
          <t>연서면 쌍류리 101-10</t>
        </is>
      </c>
      <c r="B1199" s="3" t="inlineStr">
        <is>
          <t>생산관리지역</t>
        </is>
      </c>
      <c r="C1199" s="3" t="inlineStr">
        <is>
          <t>과수원</t>
        </is>
      </c>
      <c r="D1199" s="3" t="inlineStr">
        <is>
          <t>과수원</t>
        </is>
      </c>
      <c r="E1199" s="3" t="inlineStr">
        <is>
          <t>매매</t>
        </is>
      </c>
      <c r="F1199" s="4" t="n">
        <v>16000</v>
      </c>
      <c r="G1199" s="4" t="n">
        <v>413</v>
      </c>
      <c r="H1199" s="4" t="n">
        <v>125</v>
      </c>
      <c r="I1199" s="5" t="n">
        <v>128</v>
      </c>
      <c r="J1199" s="5" t="n">
        <v>31.2</v>
      </c>
      <c r="K1199" s="3" t="inlineStr">
        <is>
          <t>체류형쉼터강추,도로접,국유지사용가,도로지분33제곱별도면적포함가</t>
        </is>
      </c>
      <c r="L1199" s="6">
        <f>HYPERLINK("https://fin.land.naver.com/articles/2654053916", "매물Link")</f>
        <v/>
      </c>
      <c r="M1199" s="6">
        <f>HYPERLINK("https://map.naver.com/p/search/연서면 쌍류리 101-10", "지도Link")</f>
        <v/>
      </c>
      <c r="N1199" s="6">
        <f>HYPERLINK("http://www.eum.go.kr/web/ar/lu/luLandDet.jsp?pnu=3611036026101010010&amp;isNoScr=script&amp;mode=search", "토지이음")</f>
        <v/>
      </c>
      <c r="O1199" s="3" t="inlineStr">
        <is>
          <t>힐스테이트행복</t>
        </is>
      </c>
      <c r="P1199" s="4" t="n">
        <v>1</v>
      </c>
      <c r="Q1199" s="4" t="n">
        <v>413</v>
      </c>
      <c r="R1199" s="3" t="inlineStr">
        <is>
          <t>지정되지않음</t>
        </is>
      </c>
      <c r="S1199" s="3" t="inlineStr">
        <is>
          <t>전기타</t>
        </is>
      </c>
      <c r="T1199" s="3" t="inlineStr">
        <is>
          <t>평지</t>
        </is>
      </c>
      <c r="U1199" s="3" t="inlineStr">
        <is>
          <t>사다리형</t>
        </is>
      </c>
      <c r="V1199" s="3" t="inlineStr">
        <is>
          <t>세로한면(가)</t>
        </is>
      </c>
    </row>
    <row r="1200">
      <c r="A1200" s="3" t="inlineStr">
        <is>
          <t>연서면 쌍류리 101-10</t>
        </is>
      </c>
      <c r="B1200" s="3" t="inlineStr">
        <is>
          <t>생산관리지역</t>
        </is>
      </c>
      <c r="C1200" s="3" t="inlineStr">
        <is>
          <t>과수원</t>
        </is>
      </c>
      <c r="D1200" s="3" t="inlineStr">
        <is>
          <t>과수원</t>
        </is>
      </c>
      <c r="E1200" s="3" t="inlineStr">
        <is>
          <t>매매</t>
        </is>
      </c>
      <c r="F1200" s="4" t="n">
        <v>16000</v>
      </c>
      <c r="G1200" s="4" t="n">
        <v>447</v>
      </c>
      <c r="H1200" s="4" t="n">
        <v>135</v>
      </c>
      <c r="I1200" s="5" t="n">
        <v>118.5</v>
      </c>
      <c r="J1200" s="5" t="n">
        <v>31.2</v>
      </c>
      <c r="K1200" s="3" t="inlineStr">
        <is>
          <t>고복저수지인근,4m도로접, 모양좋고 평탄한 농지, 주말농장,체류형쉼터,</t>
        </is>
      </c>
      <c r="L1200" s="6">
        <f>HYPERLINK("https://fin.land.naver.com/articles/2651745421", "매물Link")</f>
        <v/>
      </c>
      <c r="M1200" s="6">
        <f>HYPERLINK("https://map.naver.com/p/search/연서면 쌍류리 101-10", "지도Link")</f>
        <v/>
      </c>
      <c r="N1200" s="6">
        <f>HYPERLINK("http://www.eum.go.kr/web/ar/lu/luLandDet.jsp?pnu=3611036026101010010&amp;isNoScr=script&amp;mode=search", "토지이음")</f>
        <v/>
      </c>
      <c r="O1200" s="3" t="inlineStr">
        <is>
          <t>세종복댕이</t>
        </is>
      </c>
      <c r="P1200" s="4" t="n">
        <v>1</v>
      </c>
      <c r="Q1200" s="4" t="n">
        <v>413</v>
      </c>
      <c r="R1200" s="3" t="inlineStr">
        <is>
          <t>지정되지않음</t>
        </is>
      </c>
      <c r="S1200" s="3" t="inlineStr">
        <is>
          <t>전기타</t>
        </is>
      </c>
      <c r="T1200" s="3" t="inlineStr">
        <is>
          <t>평지</t>
        </is>
      </c>
      <c r="U1200" s="3" t="inlineStr">
        <is>
          <t>사다리형</t>
        </is>
      </c>
      <c r="V1200" s="3" t="inlineStr">
        <is>
          <t>세로한면(가)</t>
        </is>
      </c>
    </row>
    <row r="1201">
      <c r="A1201" s="3" t="inlineStr">
        <is>
          <t>연서면 쌍류리 117</t>
        </is>
      </c>
      <c r="B1201" s="3" t="inlineStr">
        <is>
          <t>생산관리지역</t>
        </is>
      </c>
      <c r="C1201" s="3" t="inlineStr">
        <is>
          <t>과수원</t>
        </is>
      </c>
      <c r="D1201" s="3" t="inlineStr">
        <is>
          <t>과수원</t>
        </is>
      </c>
      <c r="E1201" s="3" t="inlineStr">
        <is>
          <t>매매</t>
        </is>
      </c>
      <c r="F1201" s="4" t="n">
        <v>49500</v>
      </c>
      <c r="G1201" s="4" t="n">
        <v>1022</v>
      </c>
      <c r="H1201" s="4" t="n">
        <v>309</v>
      </c>
      <c r="I1201" s="5" t="n">
        <v>160.2</v>
      </c>
      <c r="J1201" s="5" t="n">
        <v>46</v>
      </c>
      <c r="K1201" s="3" t="inlineStr">
        <is>
          <t>고복저수지근방 2차 도로접,소하천접한 생산,성장관리계획구역 활용도 굿</t>
        </is>
      </c>
      <c r="L1201" s="6">
        <f>HYPERLINK("https://fin.land.naver.com/articles/2650750823", "매물Link")</f>
        <v/>
      </c>
      <c r="M1201" s="6">
        <f>HYPERLINK("https://map.naver.com/p/search/연서면 쌍류리 117", "지도Link")</f>
        <v/>
      </c>
      <c r="N1201" s="6">
        <f>HYPERLINK("http://www.eum.go.kr/web/ar/lu/luLandDet.jsp?pnu=3611036026101170000&amp;isNoScr=script&amp;mode=search", "토지이음")</f>
        <v/>
      </c>
      <c r="O1201" s="3" t="inlineStr">
        <is>
          <t>가경수</t>
        </is>
      </c>
      <c r="P1201" s="4" t="n">
        <v>1</v>
      </c>
      <c r="Q1201" s="4" t="n">
        <v>1022</v>
      </c>
      <c r="R1201" s="3" t="inlineStr">
        <is>
          <t>지정되지않음</t>
        </is>
      </c>
      <c r="S1201" s="3" t="inlineStr">
        <is>
          <t>과수원</t>
        </is>
      </c>
      <c r="T1201" s="3" t="inlineStr">
        <is>
          <t>평지</t>
        </is>
      </c>
      <c r="U1201" s="3" t="inlineStr">
        <is>
          <t>부정형</t>
        </is>
      </c>
      <c r="V1201" s="3" t="inlineStr">
        <is>
          <t>소로한면</t>
        </is>
      </c>
    </row>
    <row r="1202">
      <c r="A1202" s="3" t="inlineStr">
        <is>
          <t>연서면 쌍류리 126-3</t>
        </is>
      </c>
      <c r="B1202" s="3" t="inlineStr">
        <is>
          <t>생산관리지역</t>
        </is>
      </c>
      <c r="C1202" s="3" t="inlineStr">
        <is>
          <t>대</t>
        </is>
      </c>
      <c r="D1202" s="3" t="inlineStr">
        <is>
          <t>대</t>
        </is>
      </c>
      <c r="E1202" s="3" t="inlineStr">
        <is>
          <t>매매</t>
        </is>
      </c>
      <c r="F1202" s="4" t="n">
        <v>92000</v>
      </c>
      <c r="G1202" s="4" t="n">
        <v>1909</v>
      </c>
      <c r="H1202" s="4" t="n">
        <v>577</v>
      </c>
      <c r="I1202" s="5" t="n">
        <v>159.4</v>
      </c>
      <c r="J1202" s="5" t="n">
        <v>46.6</v>
      </c>
      <c r="K1202" s="3" t="inlineStr">
        <is>
          <t>신축주택과 넓은 마당 갖춘 고복저수지 생활권</t>
        </is>
      </c>
      <c r="L1202" s="6">
        <f>HYPERLINK("https://fin.land.naver.com/articles/2653428455", "매물Link")</f>
        <v/>
      </c>
      <c r="M1202" s="6">
        <f>HYPERLINK("https://map.naver.com/p/search/연서면 쌍류리 126-3", "지도Link")</f>
        <v/>
      </c>
      <c r="N1202" s="6">
        <f>HYPERLINK("http://www.eum.go.kr/web/ar/lu/luLandDet.jsp?pnu=3611036026101260003&amp;isNoScr=script&amp;mode=search", "토지이음")</f>
        <v/>
      </c>
      <c r="O1202" s="3" t="inlineStr">
        <is>
          <t>세종소담황금</t>
        </is>
      </c>
      <c r="P1202" s="4" t="n">
        <v>1</v>
      </c>
      <c r="Q1202" s="4" t="n">
        <v>683</v>
      </c>
      <c r="R1202" s="3" t="inlineStr">
        <is>
          <t>지정되지않음</t>
        </is>
      </c>
      <c r="S1202" s="3" t="inlineStr">
        <is>
          <t>단독</t>
        </is>
      </c>
      <c r="T1202" s="3" t="inlineStr">
        <is>
          <t>평지</t>
        </is>
      </c>
      <c r="U1202" s="3" t="inlineStr">
        <is>
          <t>부정형</t>
        </is>
      </c>
      <c r="V1202" s="3" t="inlineStr">
        <is>
          <t>세로한면(가)</t>
        </is>
      </c>
    </row>
    <row r="1203">
      <c r="A1203" s="3" t="inlineStr">
        <is>
          <t>연서면 쌍류리 164</t>
        </is>
      </c>
      <c r="B1203" s="3" t="inlineStr">
        <is>
          <t>생산관리지역</t>
        </is>
      </c>
      <c r="C1203" s="3" t="inlineStr">
        <is>
          <t>과수원</t>
        </is>
      </c>
      <c r="D1203" s="3" t="inlineStr">
        <is>
          <t>과수원</t>
        </is>
      </c>
      <c r="E1203" s="3" t="inlineStr">
        <is>
          <t>매매</t>
        </is>
      </c>
      <c r="F1203" s="4" t="n">
        <v>35000</v>
      </c>
      <c r="G1203" s="4" t="n">
        <v>1260</v>
      </c>
      <c r="H1203" s="4" t="n">
        <v>381</v>
      </c>
      <c r="I1203" s="5" t="n">
        <v>91.90000000000001</v>
      </c>
      <c r="J1203" s="5" t="n">
        <v>25</v>
      </c>
      <c r="K1203" s="3" t="inlineStr">
        <is>
          <t>nan</t>
        </is>
      </c>
      <c r="L1203" s="6">
        <f>HYPERLINK("https://fin.land.naver.com/articles/2649773331", "매물Link")</f>
        <v/>
      </c>
      <c r="M1203" s="6">
        <f>HYPERLINK("https://map.naver.com/p/search/연서면 쌍류리 164", "지도Link")</f>
        <v/>
      </c>
      <c r="N1203" s="6">
        <f>HYPERLINK("http://www.eum.go.kr/web/ar/lu/luLandDet.jsp?pnu=3611036026101640000&amp;isNoScr=script&amp;mode=search", "토지이음")</f>
        <v/>
      </c>
      <c r="O1203" s="3" t="inlineStr">
        <is>
          <t>세종몽땅</t>
        </is>
      </c>
      <c r="P1203" s="4" t="n">
        <v>1</v>
      </c>
      <c r="Q1203" s="4" t="n">
        <v>1260</v>
      </c>
      <c r="R1203" s="3" t="inlineStr">
        <is>
          <t>지정되지않음</t>
        </is>
      </c>
      <c r="S1203" s="3" t="inlineStr">
        <is>
          <t>과수원</t>
        </is>
      </c>
      <c r="T1203" s="3" t="inlineStr">
        <is>
          <t>완경사</t>
        </is>
      </c>
      <c r="U1203" s="3" t="inlineStr">
        <is>
          <t>부정형</t>
        </is>
      </c>
      <c r="V1203" s="3" t="inlineStr">
        <is>
          <t>세로한면(불)</t>
        </is>
      </c>
    </row>
    <row r="1204">
      <c r="A1204" s="3" t="inlineStr">
        <is>
          <t>연서면 쌍류리 164</t>
        </is>
      </c>
      <c r="B1204" s="3" t="inlineStr">
        <is>
          <t>생산관리지역</t>
        </is>
      </c>
      <c r="C1204" s="3" t="inlineStr">
        <is>
          <t>과수원</t>
        </is>
      </c>
      <c r="D1204" s="3" t="inlineStr">
        <is>
          <t>과수원</t>
        </is>
      </c>
      <c r="E1204" s="3" t="inlineStr">
        <is>
          <t>매매</t>
        </is>
      </c>
      <c r="F1204" s="4" t="n">
        <v>35000</v>
      </c>
      <c r="G1204" s="4" t="n">
        <v>1260</v>
      </c>
      <c r="H1204" s="4" t="n">
        <v>381</v>
      </c>
      <c r="I1204" s="5" t="n">
        <v>91.90000000000001</v>
      </c>
      <c r="J1204" s="5" t="n">
        <v>25</v>
      </c>
      <c r="K1204" s="3" t="inlineStr">
        <is>
          <t>세종 연서면 과수원 매매 생산관리지역성장관리계획구역</t>
        </is>
      </c>
      <c r="L1204" s="6">
        <f>HYPERLINK("https://fin.land.naver.com/articles/2651520255", "매물Link")</f>
        <v/>
      </c>
      <c r="M1204" s="6">
        <f>HYPERLINK("https://map.naver.com/p/search/연서면 쌍류리 164", "지도Link")</f>
        <v/>
      </c>
      <c r="N1204" s="6">
        <f>HYPERLINK("http://www.eum.go.kr/web/ar/lu/luLandDet.jsp?pnu=3611036026101640000&amp;isNoScr=script&amp;mode=search", "토지이음")</f>
        <v/>
      </c>
      <c r="O1204" s="3" t="inlineStr">
        <is>
          <t>세종몽땅</t>
        </is>
      </c>
      <c r="P1204" s="4" t="n">
        <v>1</v>
      </c>
      <c r="Q1204" s="4" t="n">
        <v>1260</v>
      </c>
      <c r="R1204" s="3" t="inlineStr">
        <is>
          <t>지정되지않음</t>
        </is>
      </c>
      <c r="S1204" s="3" t="inlineStr">
        <is>
          <t>과수원</t>
        </is>
      </c>
      <c r="T1204" s="3" t="inlineStr">
        <is>
          <t>완경사</t>
        </is>
      </c>
      <c r="U1204" s="3" t="inlineStr">
        <is>
          <t>부정형</t>
        </is>
      </c>
      <c r="V1204" s="3" t="inlineStr">
        <is>
          <t>세로한면(불)</t>
        </is>
      </c>
    </row>
    <row r="1205">
      <c r="A1205" s="3" t="inlineStr">
        <is>
          <t>연서면 쌍류리 171-3</t>
        </is>
      </c>
      <c r="B1205" s="3" t="inlineStr">
        <is>
          <t>생산관리지역</t>
        </is>
      </c>
      <c r="C1205" s="3" t="inlineStr">
        <is>
          <t>답</t>
        </is>
      </c>
      <c r="D1205" s="3" t="inlineStr">
        <is>
          <t>답</t>
        </is>
      </c>
      <c r="E1205" s="3" t="inlineStr">
        <is>
          <t>매매</t>
        </is>
      </c>
      <c r="F1205" s="4" t="n">
        <v>81000</v>
      </c>
      <c r="G1205" s="4" t="n">
        <v>1978</v>
      </c>
      <c r="H1205" s="4" t="n">
        <v>598</v>
      </c>
      <c r="I1205" s="5" t="n">
        <v>135.5</v>
      </c>
      <c r="J1205" s="5" t="n">
        <v>29.7</v>
      </c>
      <c r="K1205" s="3" t="inlineStr">
        <is>
          <t>규모 있는 영농부지 찾는 분 주목</t>
        </is>
      </c>
      <c r="L1205" s="6">
        <f>HYPERLINK("https://fin.land.naver.com/articles/2649776390", "매물Link")</f>
        <v/>
      </c>
      <c r="M1205" s="6">
        <f>HYPERLINK("https://map.naver.com/p/search/연서면 쌍류리 171-3", "지도Link")</f>
        <v/>
      </c>
      <c r="N1205" s="6">
        <f>HYPERLINK("http://www.eum.go.kr/web/ar/lu/luLandDet.jsp?pnu=3611036026101710003&amp;isNoScr=script&amp;mode=search", "토지이음")</f>
        <v/>
      </c>
      <c r="O1205" s="3" t="inlineStr">
        <is>
          <t>세종몽땅</t>
        </is>
      </c>
      <c r="P1205" s="4" t="n">
        <v>1</v>
      </c>
      <c r="Q1205" s="4" t="n">
        <v>1978</v>
      </c>
      <c r="R1205" s="3" t="inlineStr">
        <is>
          <t>지정되지않음</t>
        </is>
      </c>
      <c r="S1205" s="3" t="inlineStr">
        <is>
          <t>과수원</t>
        </is>
      </c>
      <c r="T1205" s="3" t="inlineStr">
        <is>
          <t>평지</t>
        </is>
      </c>
      <c r="U1205" s="3" t="inlineStr">
        <is>
          <t>부정형</t>
        </is>
      </c>
      <c r="V1205" s="3" t="inlineStr">
        <is>
          <t>세로한면(가)</t>
        </is>
      </c>
    </row>
    <row r="1206">
      <c r="A1206" s="3" t="inlineStr">
        <is>
          <t>연서면 쌍류리 224</t>
        </is>
      </c>
      <c r="B1206" s="3" t="inlineStr">
        <is>
          <t>생산관리지역</t>
        </is>
      </c>
      <c r="C1206" s="3" t="inlineStr">
        <is>
          <t>과수원</t>
        </is>
      </c>
      <c r="D1206" s="3" t="inlineStr">
        <is>
          <t>과수원</t>
        </is>
      </c>
      <c r="E1206" s="3" t="inlineStr">
        <is>
          <t>매매</t>
        </is>
      </c>
      <c r="F1206" s="4" t="n">
        <v>110000</v>
      </c>
      <c r="G1206" s="4" t="n">
        <v>3183</v>
      </c>
      <c r="H1206" s="4" t="n">
        <v>963</v>
      </c>
      <c r="I1206" s="5" t="n">
        <v>114.2</v>
      </c>
      <c r="J1206" s="5" t="n">
        <v>35.8</v>
      </c>
      <c r="K1206" s="3" t="inlineStr">
        <is>
          <t>도로접,땅모양좋습니다,성장관리계획구역,조정가</t>
        </is>
      </c>
      <c r="L1206" s="6">
        <f>HYPERLINK("https://fin.land.naver.com/articles/2650425351", "매물Link")</f>
        <v/>
      </c>
      <c r="M1206" s="6">
        <f>HYPERLINK("https://map.naver.com/p/search/연서면 쌍류리 224", "지도Link")</f>
        <v/>
      </c>
      <c r="N1206" s="6">
        <f>HYPERLINK("http://www.eum.go.kr/web/ar/lu/luLandDet.jsp?pnu=3611036026102240000&amp;isNoScr=script&amp;mode=search", "토지이음")</f>
        <v/>
      </c>
      <c r="O1206" s="3" t="inlineStr">
        <is>
          <t>힐스테이트행복</t>
        </is>
      </c>
      <c r="P1206" s="4" t="n">
        <v>1</v>
      </c>
      <c r="Q1206" s="4" t="n">
        <v>3183</v>
      </c>
      <c r="R1206" s="3" t="inlineStr">
        <is>
          <t>지정되지않음</t>
        </is>
      </c>
      <c r="S1206" s="3" t="inlineStr">
        <is>
          <t>과수원</t>
        </is>
      </c>
      <c r="T1206" s="3" t="inlineStr">
        <is>
          <t>평지</t>
        </is>
      </c>
      <c r="U1206" s="3" t="inlineStr">
        <is>
          <t>부정형</t>
        </is>
      </c>
      <c r="V1206" s="3" t="inlineStr">
        <is>
          <t>세로한면(가)</t>
        </is>
      </c>
    </row>
    <row r="1207">
      <c r="A1207" s="3" t="inlineStr">
        <is>
          <t>연서면 쌍류리 224</t>
        </is>
      </c>
      <c r="B1207" s="3" t="inlineStr">
        <is>
          <t>생산관리지역</t>
        </is>
      </c>
      <c r="C1207" s="3" t="inlineStr">
        <is>
          <t>과수원</t>
        </is>
      </c>
      <c r="D1207" s="3" t="inlineStr">
        <is>
          <t>과수원</t>
        </is>
      </c>
      <c r="E1207" s="3" t="inlineStr">
        <is>
          <t>매매</t>
        </is>
      </c>
      <c r="F1207" s="4" t="n">
        <v>96300</v>
      </c>
      <c r="G1207" s="4" t="n">
        <v>3183</v>
      </c>
      <c r="H1207" s="4" t="n">
        <v>963</v>
      </c>
      <c r="I1207" s="5" t="n">
        <v>100</v>
      </c>
      <c r="J1207" s="5" t="n">
        <v>35.8</v>
      </c>
      <c r="K1207" s="3" t="inlineStr">
        <is>
          <t>고복저수지, 연기휴게소예정지 인근 생산관리토지</t>
        </is>
      </c>
      <c r="L1207" s="6">
        <f>HYPERLINK("https://fin.land.naver.com/articles/2652041512", "매물Link")</f>
        <v/>
      </c>
      <c r="M1207" s="6">
        <f>HYPERLINK("https://map.naver.com/p/search/연서면 쌍류리 224", "지도Link")</f>
        <v/>
      </c>
      <c r="N1207" s="6">
        <f>HYPERLINK("http://www.eum.go.kr/web/ar/lu/luLandDet.jsp?pnu=3611036026102240000&amp;isNoScr=script&amp;mode=search", "토지이음")</f>
        <v/>
      </c>
      <c r="O1207" s="3" t="inlineStr">
        <is>
          <t>미스터홈즈강남지사</t>
        </is>
      </c>
      <c r="P1207" s="4" t="n">
        <v>1</v>
      </c>
      <c r="Q1207" s="4" t="n">
        <v>3183</v>
      </c>
      <c r="R1207" s="3" t="inlineStr">
        <is>
          <t>지정되지않음</t>
        </is>
      </c>
      <c r="S1207" s="3" t="inlineStr">
        <is>
          <t>과수원</t>
        </is>
      </c>
      <c r="T1207" s="3" t="inlineStr">
        <is>
          <t>평지</t>
        </is>
      </c>
      <c r="U1207" s="3" t="inlineStr">
        <is>
          <t>부정형</t>
        </is>
      </c>
      <c r="V1207" s="3" t="inlineStr">
        <is>
          <t>세로한면(가)</t>
        </is>
      </c>
    </row>
    <row r="1208">
      <c r="A1208" s="3" t="inlineStr">
        <is>
          <t>연서면 쌍류리 227-1</t>
        </is>
      </c>
      <c r="B1208" s="3" t="inlineStr">
        <is>
          <t>생산관리지역</t>
        </is>
      </c>
      <c r="C1208" s="3" t="inlineStr">
        <is>
          <t>과수원</t>
        </is>
      </c>
      <c r="D1208" s="3" t="inlineStr">
        <is>
          <t>과수원</t>
        </is>
      </c>
      <c r="E1208" s="3" t="inlineStr">
        <is>
          <t>매매</t>
        </is>
      </c>
      <c r="F1208" s="4" t="n">
        <v>160000</v>
      </c>
      <c r="G1208" s="4" t="n">
        <v>3530</v>
      </c>
      <c r="H1208" s="4" t="n">
        <v>1068</v>
      </c>
      <c r="I1208" s="5" t="n">
        <v>149.8</v>
      </c>
      <c r="J1208" s="5" t="n">
        <v>37.7</v>
      </c>
      <c r="K1208" s="3" t="inlineStr">
        <is>
          <t>고복저수지인근,2차선접,투자가치좋아요</t>
        </is>
      </c>
      <c r="L1208" s="6">
        <f>HYPERLINK("https://fin.land.naver.com/articles/2650425575", "매물Link")</f>
        <v/>
      </c>
      <c r="M1208" s="6">
        <f>HYPERLINK("https://map.naver.com/p/search/연서면 쌍류리 227-1", "지도Link")</f>
        <v/>
      </c>
      <c r="N1208" s="6">
        <f>HYPERLINK("http://www.eum.go.kr/web/ar/lu/luLandDet.jsp?pnu=3611036026102270001&amp;isNoScr=script&amp;mode=search", "토지이음")</f>
        <v/>
      </c>
      <c r="O1208" s="3" t="inlineStr">
        <is>
          <t>힐스테이트행복</t>
        </is>
      </c>
      <c r="P1208" s="4" t="n">
        <v>1</v>
      </c>
      <c r="Q1208" s="4" t="n">
        <v>3530</v>
      </c>
      <c r="R1208" s="3" t="inlineStr">
        <is>
          <t>지정되지않음</t>
        </is>
      </c>
      <c r="S1208" s="3" t="inlineStr">
        <is>
          <t>과수원</t>
        </is>
      </c>
      <c r="T1208" s="3" t="inlineStr">
        <is>
          <t>평지</t>
        </is>
      </c>
      <c r="U1208" s="3" t="inlineStr">
        <is>
          <t>부정형</t>
        </is>
      </c>
      <c r="V1208" s="3" t="inlineStr">
        <is>
          <t>세로한면(불)</t>
        </is>
      </c>
    </row>
    <row r="1209">
      <c r="A1209" s="3" t="inlineStr">
        <is>
          <t>연서면 쌍류리 227-1</t>
        </is>
      </c>
      <c r="B1209" s="3" t="inlineStr">
        <is>
          <t>생산관리지역</t>
        </is>
      </c>
      <c r="C1209" s="3" t="inlineStr">
        <is>
          <t>과수원</t>
        </is>
      </c>
      <c r="D1209" s="3" t="inlineStr">
        <is>
          <t>과수원</t>
        </is>
      </c>
      <c r="E1209" s="3" t="inlineStr">
        <is>
          <t>매매</t>
        </is>
      </c>
      <c r="F1209" s="4" t="n">
        <v>39600</v>
      </c>
      <c r="G1209" s="4" t="n">
        <v>1092</v>
      </c>
      <c r="H1209" s="4" t="n">
        <v>330</v>
      </c>
      <c r="I1209" s="5" t="n">
        <v>120</v>
      </c>
      <c r="J1209" s="5" t="n">
        <v>37.7</v>
      </c>
      <c r="K1209" s="3" t="inlineStr">
        <is>
          <t>도로접함 2필지 일괄매매 현재 과수원 미래가치ok</t>
        </is>
      </c>
      <c r="L1209" s="6">
        <f>HYPERLINK("https://fin.land.naver.com/articles/2650582716", "매물Link")</f>
        <v/>
      </c>
      <c r="M1209" s="6">
        <f>HYPERLINK("https://map.naver.com/p/search/연서면 쌍류리 227-1", "지도Link")</f>
        <v/>
      </c>
      <c r="N1209" s="6">
        <f>HYPERLINK("http://www.eum.go.kr/web/ar/lu/luLandDet.jsp?pnu=3611036026102270001&amp;isNoScr=script&amp;mode=search", "토지이음")</f>
        <v/>
      </c>
      <c r="O1209" s="3" t="inlineStr">
        <is>
          <t>신불당</t>
        </is>
      </c>
      <c r="P1209" s="4" t="n">
        <v>1</v>
      </c>
      <c r="Q1209" s="4" t="n">
        <v>3530</v>
      </c>
      <c r="R1209" s="3" t="inlineStr">
        <is>
          <t>지정되지않음</t>
        </is>
      </c>
      <c r="S1209" s="3" t="inlineStr">
        <is>
          <t>과수원</t>
        </is>
      </c>
      <c r="T1209" s="3" t="inlineStr">
        <is>
          <t>평지</t>
        </is>
      </c>
      <c r="U1209" s="3" t="inlineStr">
        <is>
          <t>부정형</t>
        </is>
      </c>
      <c r="V1209" s="3" t="inlineStr">
        <is>
          <t>세로한면(불)</t>
        </is>
      </c>
    </row>
    <row r="1210">
      <c r="A1210" s="3" t="inlineStr">
        <is>
          <t>연서면 쌍류리 250</t>
        </is>
      </c>
      <c r="B1210" s="3" t="inlineStr">
        <is>
          <t>계획관리지역</t>
        </is>
      </c>
      <c r="C1210" s="3" t="inlineStr">
        <is>
          <t>과수원</t>
        </is>
      </c>
      <c r="D1210" s="3" t="inlineStr">
        <is>
          <t>전</t>
        </is>
      </c>
      <c r="E1210" s="3" t="inlineStr">
        <is>
          <t>매매</t>
        </is>
      </c>
      <c r="F1210" s="4" t="n">
        <v>80000</v>
      </c>
      <c r="G1210" s="4" t="n">
        <v>2499</v>
      </c>
      <c r="H1210" s="4" t="n">
        <v>756</v>
      </c>
      <c r="I1210" s="5" t="n">
        <v>105.8</v>
      </c>
      <c r="J1210" s="5" t="n">
        <v>37.1</v>
      </c>
      <c r="K1210" s="3" t="inlineStr">
        <is>
          <t>계획관리 양지바른 남향 탁트인 개방감 국가산단 인근으로 투자용추천</t>
        </is>
      </c>
      <c r="L1210" s="6">
        <f>HYPERLINK("https://fin.land.naver.com/articles/2650281221", "매물Link")</f>
        <v/>
      </c>
      <c r="M1210" s="6">
        <f>HYPERLINK("https://map.naver.com/p/search/연서면 쌍류리 250", "지도Link")</f>
        <v/>
      </c>
      <c r="N1210" s="6">
        <f>HYPERLINK("http://www.eum.go.kr/web/ar/lu/luLandDet.jsp?pnu=3611036026102500000&amp;isNoScr=script&amp;mode=search", "토지이음")</f>
        <v/>
      </c>
      <c r="O1210" s="3" t="inlineStr">
        <is>
          <t>더샵엘리프원탑</t>
        </is>
      </c>
      <c r="P1210" s="4" t="n">
        <v>1</v>
      </c>
      <c r="Q1210" s="4" t="n">
        <v>2499</v>
      </c>
      <c r="R1210" s="3" t="inlineStr">
        <is>
          <t>지정되지않음</t>
        </is>
      </c>
      <c r="S1210" s="3" t="inlineStr">
        <is>
          <t>과수원</t>
        </is>
      </c>
      <c r="T1210" s="3" t="inlineStr">
        <is>
          <t>평지</t>
        </is>
      </c>
      <c r="U1210" s="3" t="inlineStr">
        <is>
          <t>부정형</t>
        </is>
      </c>
      <c r="V1210" s="3" t="inlineStr">
        <is>
          <t>세로한면(가)</t>
        </is>
      </c>
    </row>
    <row r="1211">
      <c r="A1211" s="3" t="inlineStr">
        <is>
          <t>연서면 쌍류리 253-1</t>
        </is>
      </c>
      <c r="B1211" s="3" t="inlineStr">
        <is>
          <t>생산관리지역</t>
        </is>
      </c>
      <c r="C1211" s="3" t="inlineStr">
        <is>
          <t>전</t>
        </is>
      </c>
      <c r="D1211" s="3" t="inlineStr">
        <is>
          <t>전</t>
        </is>
      </c>
      <c r="E1211" s="3" t="inlineStr">
        <is>
          <t>매매</t>
        </is>
      </c>
      <c r="F1211" s="4" t="n">
        <v>39300</v>
      </c>
      <c r="G1211" s="4" t="n">
        <v>1002</v>
      </c>
      <c r="H1211" s="4" t="n">
        <v>303</v>
      </c>
      <c r="I1211" s="5" t="n">
        <v>129.7</v>
      </c>
      <c r="J1211" s="5" t="n">
        <v>30.9</v>
      </c>
      <c r="K1211" s="3" t="inlineStr">
        <is>
          <t>고복저수지인근의 도로길게 접한 생산관리 농지, 전원생활,투자를 겸한 자경</t>
        </is>
      </c>
      <c r="L1211" s="6">
        <f>HYPERLINK("https://fin.land.naver.com/articles/2651745431", "매물Link")</f>
        <v/>
      </c>
      <c r="M1211" s="6">
        <f>HYPERLINK("https://map.naver.com/p/search/연서면 쌍류리 253-1", "지도Link")</f>
        <v/>
      </c>
      <c r="N1211" s="6">
        <f>HYPERLINK("http://www.eum.go.kr/web/ar/lu/luLandDet.jsp?pnu=3611036026102530001&amp;isNoScr=script&amp;mode=search", "토지이음")</f>
        <v/>
      </c>
      <c r="O1211" s="3" t="inlineStr">
        <is>
          <t>세종복댕이</t>
        </is>
      </c>
      <c r="P1211" s="4" t="n">
        <v>1</v>
      </c>
      <c r="Q1211" s="4" t="n">
        <v>1002</v>
      </c>
      <c r="R1211" s="3" t="inlineStr">
        <is>
          <t>지정되지않음</t>
        </is>
      </c>
      <c r="S1211" s="3" t="inlineStr">
        <is>
          <t>전</t>
        </is>
      </c>
      <c r="T1211" s="3" t="inlineStr">
        <is>
          <t>평지</t>
        </is>
      </c>
      <c r="U1211" s="3" t="inlineStr">
        <is>
          <t>부정형</t>
        </is>
      </c>
      <c r="V1211" s="3" t="inlineStr">
        <is>
          <t>세로각지(가)</t>
        </is>
      </c>
    </row>
    <row r="1212">
      <c r="A1212" s="3" t="inlineStr">
        <is>
          <t>연서면 쌍류리 29-1</t>
        </is>
      </c>
      <c r="B1212" s="3" t="inlineStr">
        <is>
          <t>생산관리지역</t>
        </is>
      </c>
      <c r="C1212" s="3" t="inlineStr">
        <is>
          <t>전</t>
        </is>
      </c>
      <c r="D1212" s="3" t="inlineStr">
        <is>
          <t>전</t>
        </is>
      </c>
      <c r="E1212" s="3" t="inlineStr">
        <is>
          <t>매매</t>
        </is>
      </c>
      <c r="F1212" s="4" t="n">
        <v>38500</v>
      </c>
      <c r="G1212" s="4" t="n">
        <v>1590</v>
      </c>
      <c r="H1212" s="4" t="n">
        <v>481</v>
      </c>
      <c r="I1212" s="5" t="n">
        <v>80</v>
      </c>
      <c r="J1212" s="5" t="n">
        <v>24.9</v>
      </c>
      <c r="K1212" s="3" t="inlineStr">
        <is>
          <t>도로접한 관리지역 토지현과수원</t>
        </is>
      </c>
      <c r="L1212" s="6">
        <f>HYPERLINK("https://fin.land.naver.com/articles/2650858545", "매물Link")</f>
        <v/>
      </c>
      <c r="M1212" s="6">
        <f>HYPERLINK("https://map.naver.com/p/search/연서면 쌍류리 29-1", "지도Link")</f>
        <v/>
      </c>
      <c r="N1212" s="6">
        <f>HYPERLINK("http://www.eum.go.kr/web/ar/lu/luLandDet.jsp?pnu=3611036026100290001&amp;isNoScr=script&amp;mode=search", "토지이음")</f>
        <v/>
      </c>
      <c r="O1212" s="3" t="inlineStr">
        <is>
          <t>세종대박</t>
        </is>
      </c>
      <c r="P1212" s="4" t="n">
        <v>1</v>
      </c>
      <c r="Q1212" s="4" t="n">
        <v>1590</v>
      </c>
      <c r="R1212" s="3" t="inlineStr">
        <is>
          <t>지정되지않음</t>
        </is>
      </c>
      <c r="S1212" s="3" t="inlineStr">
        <is>
          <t>전</t>
        </is>
      </c>
      <c r="T1212" s="3" t="inlineStr">
        <is>
          <t>완경사</t>
        </is>
      </c>
      <c r="U1212" s="3" t="inlineStr">
        <is>
          <t>부정형</t>
        </is>
      </c>
      <c r="V1212" s="3" t="inlineStr">
        <is>
          <t>세로한면(가)</t>
        </is>
      </c>
    </row>
    <row r="1213">
      <c r="A1213" s="3" t="inlineStr">
        <is>
          <t>연서면 쌍류리 304-1</t>
        </is>
      </c>
      <c r="B1213" s="3" t="inlineStr">
        <is>
          <t>계획관리지역</t>
        </is>
      </c>
      <c r="C1213" s="3" t="inlineStr">
        <is>
          <t>공장용지</t>
        </is>
      </c>
      <c r="D1213" s="3" t="inlineStr">
        <is>
          <t>공장용지</t>
        </is>
      </c>
      <c r="E1213" s="3" t="inlineStr">
        <is>
          <t>매매</t>
        </is>
      </c>
      <c r="F1213" s="4" t="n">
        <v>112000</v>
      </c>
      <c r="G1213" s="4" t="n">
        <v>1851</v>
      </c>
      <c r="H1213" s="4" t="n">
        <v>560</v>
      </c>
      <c r="I1213" s="5" t="n">
        <v>200</v>
      </c>
      <c r="J1213" s="5" t="n">
        <v>63.2</v>
      </c>
      <c r="K1213" s="3" t="inlineStr">
        <is>
          <t>공장 있었으나 멸실됨, 공장 창고 또는 근생부지로도 훌륭함</t>
        </is>
      </c>
      <c r="L1213" s="6">
        <f>HYPERLINK("https://fin.land.naver.com/articles/2652040154", "매물Link")</f>
        <v/>
      </c>
      <c r="M1213" s="6">
        <f>HYPERLINK("https://map.naver.com/p/search/연서면 쌍류리 304-1", "지도Link")</f>
        <v/>
      </c>
      <c r="N1213" s="6">
        <f>HYPERLINK("http://www.eum.go.kr/web/ar/lu/luLandDet.jsp?pnu=3611036026103040001&amp;isNoScr=script&amp;mode=search", "토지이음")</f>
        <v/>
      </c>
      <c r="O1213" s="3" t="inlineStr">
        <is>
          <t>미스터홈즈강남지사</t>
        </is>
      </c>
      <c r="P1213" s="4" t="n">
        <v>1</v>
      </c>
      <c r="Q1213" s="4" t="n">
        <v>818</v>
      </c>
      <c r="R1213" s="3" t="inlineStr">
        <is>
          <t>지정되지않음</t>
        </is>
      </c>
      <c r="S1213" s="3" t="inlineStr">
        <is>
          <t>공업용</t>
        </is>
      </c>
      <c r="T1213" s="3" t="inlineStr">
        <is>
          <t>평지</t>
        </is>
      </c>
      <c r="U1213" s="3" t="inlineStr">
        <is>
          <t>부정형</t>
        </is>
      </c>
      <c r="V1213" s="3" t="inlineStr">
        <is>
          <t>세로한면(가)</t>
        </is>
      </c>
    </row>
    <row r="1214">
      <c r="A1214" s="3" t="inlineStr">
        <is>
          <t>연서면 쌍류리 333-1</t>
        </is>
      </c>
      <c r="B1214" s="3" t="inlineStr">
        <is>
          <t>생산관리지역</t>
        </is>
      </c>
      <c r="C1214" s="3" t="inlineStr">
        <is>
          <t>과수원</t>
        </is>
      </c>
      <c r="D1214" s="3" t="inlineStr">
        <is>
          <t>과수원</t>
        </is>
      </c>
      <c r="E1214" s="3" t="inlineStr">
        <is>
          <t>매매</t>
        </is>
      </c>
      <c r="F1214" s="4" t="n">
        <v>70200</v>
      </c>
      <c r="G1214" s="4" t="n">
        <v>2340</v>
      </c>
      <c r="H1214" s="4" t="n">
        <v>708</v>
      </c>
      <c r="I1214" s="5" t="n">
        <v>99.2</v>
      </c>
      <c r="J1214" s="5" t="n">
        <v>29.4</v>
      </c>
      <c r="K1214" s="3" t="inlineStr">
        <is>
          <t>연서면 쌍류리 2차선변 과수원 매매</t>
        </is>
      </c>
      <c r="L1214" s="6">
        <f>HYPERLINK("https://fin.land.naver.com/articles/2650946339", "매물Link")</f>
        <v/>
      </c>
      <c r="M1214" s="6">
        <f>HYPERLINK("https://map.naver.com/p/search/연서면 쌍류리 333-1", "지도Link")</f>
        <v/>
      </c>
      <c r="N1214" s="6">
        <f>HYPERLINK("http://www.eum.go.kr/web/ar/lu/luLandDet.jsp?pnu=3611036026103330001&amp;isNoScr=script&amp;mode=search", "토지이음")</f>
        <v/>
      </c>
      <c r="O1214" s="3" t="inlineStr">
        <is>
          <t>길운</t>
        </is>
      </c>
      <c r="P1214" s="4" t="n">
        <v>1</v>
      </c>
      <c r="Q1214" s="4" t="n">
        <v>984</v>
      </c>
      <c r="R1214" s="3" t="inlineStr">
        <is>
          <t>지정되지않음</t>
        </is>
      </c>
      <c r="S1214" s="3" t="inlineStr">
        <is>
          <t>답</t>
        </is>
      </c>
      <c r="T1214" s="3" t="inlineStr">
        <is>
          <t>평지</t>
        </is>
      </c>
      <c r="U1214" s="3" t="inlineStr">
        <is>
          <t>부정형</t>
        </is>
      </c>
      <c r="V1214" s="3" t="inlineStr">
        <is>
          <t>소로한면</t>
        </is>
      </c>
    </row>
    <row r="1215">
      <c r="A1215" s="3" t="inlineStr">
        <is>
          <t>연서면 쌍류리 333-1</t>
        </is>
      </c>
      <c r="B1215" s="3" t="inlineStr">
        <is>
          <t>생산관리지역</t>
        </is>
      </c>
      <c r="C1215" s="3" t="inlineStr">
        <is>
          <t>과수원</t>
        </is>
      </c>
      <c r="D1215" s="3" t="inlineStr">
        <is>
          <t>과수원</t>
        </is>
      </c>
      <c r="E1215" s="3" t="inlineStr">
        <is>
          <t>매매</t>
        </is>
      </c>
      <c r="F1215" s="4" t="n">
        <v>36500</v>
      </c>
      <c r="G1215" s="4" t="n">
        <v>1334</v>
      </c>
      <c r="H1215" s="4" t="n">
        <v>404</v>
      </c>
      <c r="I1215" s="5" t="n">
        <v>90.3</v>
      </c>
      <c r="J1215" s="5" t="n">
        <v>29.4</v>
      </c>
      <c r="K1215" s="3" t="inlineStr">
        <is>
          <t>연서면 쌍류리 2차선변 토지 매매</t>
        </is>
      </c>
      <c r="L1215" s="6">
        <f>HYPERLINK("https://fin.land.naver.com/articles/2649563551", "매물Link")</f>
        <v/>
      </c>
      <c r="M1215" s="6">
        <f>HYPERLINK("https://map.naver.com/p/search/연서면 쌍류리 333-1", "지도Link")</f>
        <v/>
      </c>
      <c r="N1215" s="6">
        <f>HYPERLINK("http://www.eum.go.kr/web/ar/lu/luLandDet.jsp?pnu=3611036026103330001&amp;isNoScr=script&amp;mode=search", "토지이음")</f>
        <v/>
      </c>
      <c r="O1215" s="3" t="inlineStr">
        <is>
          <t>길운</t>
        </is>
      </c>
      <c r="P1215" s="4" t="n">
        <v>1</v>
      </c>
      <c r="Q1215" s="4" t="n">
        <v>984</v>
      </c>
      <c r="R1215" s="3" t="inlineStr">
        <is>
          <t>지정되지않음</t>
        </is>
      </c>
      <c r="S1215" s="3" t="inlineStr">
        <is>
          <t>답</t>
        </is>
      </c>
      <c r="T1215" s="3" t="inlineStr">
        <is>
          <t>평지</t>
        </is>
      </c>
      <c r="U1215" s="3" t="inlineStr">
        <is>
          <t>부정형</t>
        </is>
      </c>
      <c r="V1215" s="3" t="inlineStr">
        <is>
          <t>소로한면</t>
        </is>
      </c>
    </row>
    <row r="1216">
      <c r="A1216" s="3" t="inlineStr">
        <is>
          <t>연서면 쌍류리 333-1</t>
        </is>
      </c>
      <c r="B1216" s="3" t="inlineStr">
        <is>
          <t>생산관리지역</t>
        </is>
      </c>
      <c r="C1216" s="3" t="inlineStr">
        <is>
          <t>과수원</t>
        </is>
      </c>
      <c r="D1216" s="3" t="inlineStr">
        <is>
          <t>과수원</t>
        </is>
      </c>
      <c r="E1216" s="3" t="inlineStr">
        <is>
          <t>매매</t>
        </is>
      </c>
      <c r="F1216" s="4" t="n">
        <v>36500</v>
      </c>
      <c r="G1216" s="4" t="n">
        <v>1334</v>
      </c>
      <c r="H1216" s="4" t="n">
        <v>404</v>
      </c>
      <c r="I1216" s="5" t="n">
        <v>90.3</v>
      </c>
      <c r="J1216" s="5" t="n">
        <v>29.4</v>
      </c>
      <c r="K1216" s="3" t="inlineStr">
        <is>
          <t>하천, 도로접, 포도농원</t>
        </is>
      </c>
      <c r="L1216" s="6">
        <f>HYPERLINK("https://fin.land.naver.com/articles/2650024525", "매물Link")</f>
        <v/>
      </c>
      <c r="M1216" s="6">
        <f>HYPERLINK("https://map.naver.com/p/search/연서면 쌍류리 333-1", "지도Link")</f>
        <v/>
      </c>
      <c r="N1216" s="6">
        <f>HYPERLINK("http://www.eum.go.kr/web/ar/lu/luLandDet.jsp?pnu=3611036026103330001&amp;isNoScr=script&amp;mode=search", "토지이음")</f>
        <v/>
      </c>
      <c r="O1216" s="3" t="inlineStr">
        <is>
          <t>삼보</t>
        </is>
      </c>
      <c r="P1216" s="4" t="n">
        <v>1</v>
      </c>
      <c r="Q1216" s="4" t="n">
        <v>984</v>
      </c>
      <c r="R1216" s="3" t="inlineStr">
        <is>
          <t>지정되지않음</t>
        </is>
      </c>
      <c r="S1216" s="3" t="inlineStr">
        <is>
          <t>답</t>
        </is>
      </c>
      <c r="T1216" s="3" t="inlineStr">
        <is>
          <t>평지</t>
        </is>
      </c>
      <c r="U1216" s="3" t="inlineStr">
        <is>
          <t>부정형</t>
        </is>
      </c>
      <c r="V1216" s="3" t="inlineStr">
        <is>
          <t>소로한면</t>
        </is>
      </c>
    </row>
    <row r="1217">
      <c r="A1217" s="3" t="inlineStr">
        <is>
          <t>연서면 쌍류리 42-1</t>
        </is>
      </c>
      <c r="B1217" s="3" t="inlineStr">
        <is>
          <t>생산관리지역</t>
        </is>
      </c>
      <c r="C1217" s="3" t="inlineStr">
        <is>
          <t>과수원</t>
        </is>
      </c>
      <c r="D1217" s="3" t="inlineStr">
        <is>
          <t>과수원</t>
        </is>
      </c>
      <c r="E1217" s="3" t="inlineStr">
        <is>
          <t>매매</t>
        </is>
      </c>
      <c r="F1217" s="4" t="n">
        <v>22900</v>
      </c>
      <c r="G1217" s="4" t="n">
        <v>840</v>
      </c>
      <c r="H1217" s="4" t="n">
        <v>254</v>
      </c>
      <c r="I1217" s="5" t="n">
        <v>90.2</v>
      </c>
      <c r="J1217" s="5" t="n">
        <v>46</v>
      </c>
      <c r="K1217" s="3" t="inlineStr">
        <is>
          <t>도로확장 되는 부분과 96미터 정도로 길게 접한 좁고 길쭉한 토지</t>
        </is>
      </c>
      <c r="L1217" s="6">
        <f>HYPERLINK("https://fin.land.naver.com/articles/2649904522", "매물Link")</f>
        <v/>
      </c>
      <c r="M1217" s="6">
        <f>HYPERLINK("https://map.naver.com/p/search/연서면 쌍류리 42-1", "지도Link")</f>
        <v/>
      </c>
      <c r="N1217" s="6">
        <f>HYPERLINK("http://www.eum.go.kr/web/ar/lu/luLandDet.jsp?pnu=3611036026100420001&amp;isNoScr=script&amp;mode=search", "토지이음")</f>
        <v/>
      </c>
      <c r="O1217" s="3" t="inlineStr">
        <is>
          <t>미스터홈즈강남지사</t>
        </is>
      </c>
      <c r="P1217" s="4" t="n">
        <v>1</v>
      </c>
      <c r="Q1217" s="4" t="n">
        <v>840</v>
      </c>
      <c r="R1217" s="3" t="inlineStr">
        <is>
          <t>지정되지않음</t>
        </is>
      </c>
      <c r="S1217" s="3" t="inlineStr">
        <is>
          <t>과수원</t>
        </is>
      </c>
      <c r="T1217" s="3" t="inlineStr">
        <is>
          <t>평지</t>
        </is>
      </c>
      <c r="U1217" s="3" t="inlineStr">
        <is>
          <t>부정형</t>
        </is>
      </c>
      <c r="V1217" s="3" t="inlineStr">
        <is>
          <t>소로한면</t>
        </is>
      </c>
    </row>
    <row r="1218">
      <c r="A1218" s="3" t="inlineStr">
        <is>
          <t>연서면 쌍류리 426-2</t>
        </is>
      </c>
      <c r="B1218" s="3" t="inlineStr">
        <is>
          <t>계획관리지역</t>
        </is>
      </c>
      <c r="C1218" s="3" t="inlineStr">
        <is>
          <t>대</t>
        </is>
      </c>
      <c r="D1218" s="3" t="inlineStr">
        <is>
          <t>대</t>
        </is>
      </c>
      <c r="E1218" s="3" t="inlineStr">
        <is>
          <t>매매</t>
        </is>
      </c>
      <c r="F1218" s="4" t="n">
        <v>16000</v>
      </c>
      <c r="G1218" s="4" t="n">
        <v>476</v>
      </c>
      <c r="H1218" s="4" t="n">
        <v>144</v>
      </c>
      <c r="I1218" s="5" t="n">
        <v>111.1</v>
      </c>
      <c r="J1218" s="5" t="n">
        <v>55.4</v>
      </c>
      <c r="K1218" s="3" t="inlineStr">
        <is>
          <t>nan</t>
        </is>
      </c>
      <c r="L1218" s="6">
        <f>HYPERLINK("https://fin.land.naver.com/articles/2649967157", "매물Link")</f>
        <v/>
      </c>
      <c r="M1218" s="6">
        <f>HYPERLINK("https://map.naver.com/p/search/연서면 쌍류리 426-2", "지도Link")</f>
        <v/>
      </c>
      <c r="N1218" s="6">
        <f>HYPERLINK("http://www.eum.go.kr/web/ar/lu/luLandDet.jsp?pnu=3611036026104260002&amp;isNoScr=script&amp;mode=search", "토지이음")</f>
        <v/>
      </c>
      <c r="O1218" s="3" t="inlineStr">
        <is>
          <t>지성</t>
        </is>
      </c>
      <c r="P1218" s="4" t="n">
        <v>1</v>
      </c>
      <c r="Q1218" s="4" t="n">
        <v>476</v>
      </c>
      <c r="R1218" s="3" t="inlineStr">
        <is>
          <t>지정되지않음</t>
        </is>
      </c>
      <c r="S1218" s="3" t="inlineStr">
        <is>
          <t>단독</t>
        </is>
      </c>
      <c r="T1218" s="3" t="inlineStr">
        <is>
          <t>평지</t>
        </is>
      </c>
      <c r="U1218" s="3" t="inlineStr">
        <is>
          <t>사다리형</t>
        </is>
      </c>
      <c r="V1218" s="3" t="inlineStr">
        <is>
          <t>세로한면(가)</t>
        </is>
      </c>
    </row>
    <row r="1219">
      <c r="A1219" s="3" t="inlineStr">
        <is>
          <t>연서면 쌍류리 438-1</t>
        </is>
      </c>
      <c r="B1219" s="3" t="inlineStr">
        <is>
          <t>생산관리지역</t>
        </is>
      </c>
      <c r="C1219" s="3" t="inlineStr">
        <is>
          <t>전</t>
        </is>
      </c>
      <c r="D1219" s="3" t="inlineStr">
        <is>
          <t>전</t>
        </is>
      </c>
      <c r="E1219" s="3" t="inlineStr">
        <is>
          <t>매매</t>
        </is>
      </c>
      <c r="F1219" s="4" t="n">
        <v>224640</v>
      </c>
      <c r="G1219" s="4" t="n">
        <v>11404</v>
      </c>
      <c r="H1219" s="4" t="n">
        <v>3450</v>
      </c>
      <c r="I1219" s="5" t="n">
        <v>65.09999999999999</v>
      </c>
      <c r="J1219" s="5" t="n">
        <v>27.4</v>
      </c>
      <c r="K1219" s="3" t="inlineStr">
        <is>
          <t>국가산단 수혜 성장관리계획구역 내 대형 토지 투자 적기</t>
        </is>
      </c>
      <c r="L1219" s="6">
        <f>HYPERLINK("https://fin.land.naver.com/articles/2653501135", "매물Link")</f>
        <v/>
      </c>
      <c r="M1219" s="6">
        <f>HYPERLINK("https://map.naver.com/p/search/연서면 쌍류리 438-1", "지도Link")</f>
        <v/>
      </c>
      <c r="N1219" s="6">
        <f>HYPERLINK("http://www.eum.go.kr/web/ar/lu/luLandDet.jsp?pnu=3611036026104380001&amp;isNoScr=script&amp;mode=search", "토지이음")</f>
        <v/>
      </c>
      <c r="O1219" s="3" t="inlineStr">
        <is>
          <t>연서</t>
        </is>
      </c>
      <c r="P1219" s="4" t="n">
        <v>2</v>
      </c>
      <c r="Q1219" s="4" t="n">
        <v>11425</v>
      </c>
      <c r="R1219" s="3" t="inlineStr">
        <is>
          <t>지정되지않음</t>
        </is>
      </c>
      <c r="S1219" s="3" t="inlineStr">
        <is>
          <t>과수원</t>
        </is>
      </c>
      <c r="T1219" s="3" t="inlineStr">
        <is>
          <t>급경사</t>
        </is>
      </c>
      <c r="U1219" s="3" t="inlineStr">
        <is>
          <t>부정형</t>
        </is>
      </c>
      <c r="V1219" s="3" t="inlineStr">
        <is>
          <t>세로각지(가)</t>
        </is>
      </c>
    </row>
    <row r="1220">
      <c r="A1220" s="3" t="inlineStr">
        <is>
          <t>연서면 쌍류리 451</t>
        </is>
      </c>
      <c r="B1220" s="3" t="inlineStr">
        <is>
          <t>생산관리지역</t>
        </is>
      </c>
      <c r="C1220" s="3" t="inlineStr">
        <is>
          <t>전</t>
        </is>
      </c>
      <c r="D1220" s="3" t="inlineStr">
        <is>
          <t>전</t>
        </is>
      </c>
      <c r="E1220" s="3" t="inlineStr">
        <is>
          <t>매매</t>
        </is>
      </c>
      <c r="F1220" s="4" t="n">
        <v>55680</v>
      </c>
      <c r="G1220" s="4" t="n">
        <v>1534</v>
      </c>
      <c r="H1220" s="4" t="n">
        <v>464</v>
      </c>
      <c r="I1220" s="5" t="n">
        <v>120</v>
      </c>
      <c r="J1220" s="5" t="n">
        <v>23.6</v>
      </c>
      <c r="K1220" s="3" t="inlineStr">
        <is>
          <t>평탄화 작업 완료하여, 전원생활을 위한 원형지를 찾는 분에게 추천</t>
        </is>
      </c>
      <c r="L1220" s="6">
        <f>HYPERLINK("https://fin.land.naver.com/articles/2652093390", "매물Link")</f>
        <v/>
      </c>
      <c r="M1220" s="6">
        <f>HYPERLINK("https://map.naver.com/p/search/연서면 쌍류리 451", "지도Link")</f>
        <v/>
      </c>
      <c r="N1220" s="6">
        <f>HYPERLINK("http://www.eum.go.kr/web/ar/lu/luLandDet.jsp?pnu=3611036026104510000&amp;isNoScr=script&amp;mode=search", "토지이음")</f>
        <v/>
      </c>
      <c r="O1220" s="3" t="inlineStr">
        <is>
          <t>미스터홈즈강남지사</t>
        </is>
      </c>
      <c r="P1220" s="4" t="n">
        <v>1</v>
      </c>
      <c r="Q1220" s="4" t="n">
        <v>1534</v>
      </c>
      <c r="R1220" s="3" t="inlineStr">
        <is>
          <t>지정되지않음</t>
        </is>
      </c>
      <c r="S1220" s="3" t="inlineStr">
        <is>
          <t>전</t>
        </is>
      </c>
      <c r="T1220" s="3" t="inlineStr">
        <is>
          <t>급경사</t>
        </is>
      </c>
      <c r="U1220" s="3" t="inlineStr">
        <is>
          <t>부정형</t>
        </is>
      </c>
      <c r="V1220" s="3" t="inlineStr">
        <is>
          <t>세로한면(불)</t>
        </is>
      </c>
    </row>
    <row r="1221">
      <c r="A1221" s="3" t="inlineStr">
        <is>
          <t>연서면 쌍류리 452</t>
        </is>
      </c>
      <c r="B1221" s="3" t="inlineStr">
        <is>
          <t>생산관리지역</t>
        </is>
      </c>
      <c r="C1221" s="3" t="inlineStr">
        <is>
          <t>전</t>
        </is>
      </c>
      <c r="D1221" s="3" t="inlineStr">
        <is>
          <t>전</t>
        </is>
      </c>
      <c r="E1221" s="3" t="inlineStr">
        <is>
          <t>매매</t>
        </is>
      </c>
      <c r="F1221" s="4" t="n">
        <v>7000</v>
      </c>
      <c r="G1221" s="4" t="n">
        <v>496</v>
      </c>
      <c r="H1221" s="4" t="n">
        <v>150</v>
      </c>
      <c r="I1221" s="5" t="n">
        <v>46.7</v>
      </c>
      <c r="J1221" s="5" t="n">
        <v>15.2</v>
      </c>
      <c r="K1221" s="3" t="inlineStr">
        <is>
          <t>세종시 소규모 자본으로 투자 가능한땅,시멘트 포장도로접</t>
        </is>
      </c>
      <c r="L1221" s="6">
        <f>HYPERLINK("https://fin.land.naver.com/articles/2651793617", "매물Link")</f>
        <v/>
      </c>
      <c r="M1221" s="6">
        <f>HYPERLINK("https://map.naver.com/p/search/연서면 쌍류리 452", "지도Link")</f>
        <v/>
      </c>
      <c r="N1221" s="6">
        <f>HYPERLINK("http://www.eum.go.kr/web/ar/lu/luLandDet.jsp?pnu=3611036026104520000&amp;isNoScr=script&amp;mode=search", "토지이음")</f>
        <v/>
      </c>
      <c r="O1221" s="3" t="inlineStr">
        <is>
          <t>킹</t>
        </is>
      </c>
      <c r="P1221" s="4" t="n">
        <v>1</v>
      </c>
      <c r="Q1221" s="4" t="n">
        <v>496</v>
      </c>
      <c r="R1221" s="3" t="inlineStr">
        <is>
          <t>지정되지않음</t>
        </is>
      </c>
      <c r="S1221" s="3" t="inlineStr">
        <is>
          <t>과수원</t>
        </is>
      </c>
      <c r="T1221" s="3" t="inlineStr">
        <is>
          <t>급경사</t>
        </is>
      </c>
      <c r="U1221" s="3" t="inlineStr">
        <is>
          <t>부정형</t>
        </is>
      </c>
      <c r="V1221" s="3" t="inlineStr">
        <is>
          <t>맹지</t>
        </is>
      </c>
    </row>
    <row r="1222">
      <c r="A1222" s="3" t="inlineStr">
        <is>
          <t>연서면 쌍류리 454</t>
        </is>
      </c>
      <c r="B1222" s="3" t="inlineStr">
        <is>
          <t>생산관리지역</t>
        </is>
      </c>
      <c r="C1222" s="3" t="inlineStr">
        <is>
          <t>과수원</t>
        </is>
      </c>
      <c r="D1222" s="3" t="inlineStr">
        <is>
          <t>과수원</t>
        </is>
      </c>
      <c r="E1222" s="3" t="inlineStr">
        <is>
          <t>매매</t>
        </is>
      </c>
      <c r="F1222" s="4" t="n">
        <v>20000</v>
      </c>
      <c r="G1222" s="4" t="n">
        <v>1296</v>
      </c>
      <c r="H1222" s="4" t="n">
        <v>392</v>
      </c>
      <c r="I1222" s="5" t="n">
        <v>51</v>
      </c>
      <c r="J1222" s="5" t="n">
        <v>28.9</v>
      </c>
      <c r="K1222" s="3" t="inlineStr">
        <is>
          <t>세종 연서면 쌍류리 생산관리 과수원 매매</t>
        </is>
      </c>
      <c r="L1222" s="6">
        <f>HYPERLINK("https://fin.land.naver.com/articles/2653135471", "매물Link")</f>
        <v/>
      </c>
      <c r="M1222" s="6">
        <f>HYPERLINK("https://map.naver.com/p/search/연서면 쌍류리 454", "지도Link")</f>
        <v/>
      </c>
      <c r="N1222" s="6">
        <f>HYPERLINK("http://www.eum.go.kr/web/ar/lu/luLandDet.jsp?pnu=3611036026104540000&amp;isNoScr=script&amp;mode=search", "토지이음")</f>
        <v/>
      </c>
      <c r="O1222" s="3" t="inlineStr">
        <is>
          <t>세종몽땅</t>
        </is>
      </c>
      <c r="P1222" s="4" t="n">
        <v>1</v>
      </c>
      <c r="Q1222" s="4" t="n">
        <v>1296</v>
      </c>
      <c r="R1222" s="3" t="inlineStr">
        <is>
          <t>지정되지않음</t>
        </is>
      </c>
      <c r="S1222" s="3" t="inlineStr">
        <is>
          <t>과수원</t>
        </is>
      </c>
      <c r="T1222" s="3" t="inlineStr">
        <is>
          <t>완경사</t>
        </is>
      </c>
      <c r="U1222" s="3" t="inlineStr">
        <is>
          <t>부정형</t>
        </is>
      </c>
      <c r="V1222" s="3" t="inlineStr">
        <is>
          <t>세로한면(가)</t>
        </is>
      </c>
    </row>
    <row r="1223">
      <c r="A1223" s="3" t="inlineStr">
        <is>
          <t>연서면 쌍류리 459</t>
        </is>
      </c>
      <c r="B1223" s="3" t="inlineStr">
        <is>
          <t>생산관리지역</t>
        </is>
      </c>
      <c r="C1223" s="3" t="inlineStr">
        <is>
          <t>답</t>
        </is>
      </c>
      <c r="D1223" s="3" t="inlineStr">
        <is>
          <t>답</t>
        </is>
      </c>
      <c r="E1223" s="3" t="inlineStr">
        <is>
          <t>매매</t>
        </is>
      </c>
      <c r="F1223" s="4" t="n">
        <v>27000</v>
      </c>
      <c r="G1223" s="4" t="n">
        <v>1983</v>
      </c>
      <c r="H1223" s="4" t="n">
        <v>600</v>
      </c>
      <c r="I1223" s="5" t="n">
        <v>45</v>
      </c>
      <c r="J1223" s="5" t="n">
        <v>23.1</v>
      </c>
      <c r="K1223" s="3" t="inlineStr">
        <is>
          <t>세종 연서면 쌍류리 생산관리 농지 매매</t>
        </is>
      </c>
      <c r="L1223" s="6">
        <f>HYPERLINK("https://fin.land.naver.com/articles/2653135048", "매물Link")</f>
        <v/>
      </c>
      <c r="M1223" s="6">
        <f>HYPERLINK("https://map.naver.com/p/search/연서면 쌍류리 459", "지도Link")</f>
        <v/>
      </c>
      <c r="N1223" s="6">
        <f>HYPERLINK("http://www.eum.go.kr/web/ar/lu/luLandDet.jsp?pnu=3611036026104590000&amp;isNoScr=script&amp;mode=search", "토지이음")</f>
        <v/>
      </c>
      <c r="O1223" s="3" t="inlineStr">
        <is>
          <t>세종몽땅</t>
        </is>
      </c>
      <c r="P1223" s="4" t="n">
        <v>1</v>
      </c>
      <c r="Q1223" s="4" t="n">
        <v>1983</v>
      </c>
      <c r="R1223" s="3" t="inlineStr">
        <is>
          <t>지정되지않음</t>
        </is>
      </c>
      <c r="S1223" s="3" t="inlineStr">
        <is>
          <t>답</t>
        </is>
      </c>
      <c r="T1223" s="3" t="inlineStr">
        <is>
          <t>완경사</t>
        </is>
      </c>
      <c r="U1223" s="3" t="inlineStr">
        <is>
          <t>부정형</t>
        </is>
      </c>
      <c r="V1223" s="3" t="inlineStr">
        <is>
          <t>맹지</t>
        </is>
      </c>
    </row>
    <row r="1224">
      <c r="A1224" s="3" t="inlineStr">
        <is>
          <t>연서면 쌍류리 472</t>
        </is>
      </c>
      <c r="B1224" s="3" t="inlineStr">
        <is>
          <t>계획관리지역</t>
        </is>
      </c>
      <c r="C1224" s="3" t="inlineStr">
        <is>
          <t>대</t>
        </is>
      </c>
      <c r="D1224" s="3" t="inlineStr">
        <is>
          <t>대</t>
        </is>
      </c>
      <c r="E1224" s="3" t="inlineStr">
        <is>
          <t>매매</t>
        </is>
      </c>
      <c r="F1224" s="4" t="n">
        <v>28000</v>
      </c>
      <c r="G1224" s="4" t="n">
        <v>714</v>
      </c>
      <c r="H1224" s="4" t="n">
        <v>216</v>
      </c>
      <c r="I1224" s="5" t="n">
        <v>129.6</v>
      </c>
      <c r="J1224" s="5" t="n">
        <v>47</v>
      </c>
      <c r="K1224" s="3" t="inlineStr">
        <is>
          <t>세종 연서면 쌍류리 계획관리 대지 매매</t>
        </is>
      </c>
      <c r="L1224" s="6">
        <f>HYPERLINK("https://fin.land.naver.com/articles/2653136773", "매물Link")</f>
        <v/>
      </c>
      <c r="M1224" s="6">
        <f>HYPERLINK("https://map.naver.com/p/search/연서면 쌍류리 472", "지도Link")</f>
        <v/>
      </c>
      <c r="N1224" s="6">
        <f>HYPERLINK("http://www.eum.go.kr/web/ar/lu/luLandDet.jsp?pnu=3611036026104720000&amp;isNoScr=script&amp;mode=search", "토지이음")</f>
        <v/>
      </c>
      <c r="O1224" s="3" t="inlineStr">
        <is>
          <t>세종몽땅</t>
        </is>
      </c>
      <c r="P1224" s="4" t="n">
        <v>1</v>
      </c>
      <c r="Q1224" s="4" t="n">
        <v>714</v>
      </c>
      <c r="R1224" s="3" t="inlineStr">
        <is>
          <t>지정되지않음</t>
        </is>
      </c>
      <c r="S1224" s="3" t="inlineStr">
        <is>
          <t>단독</t>
        </is>
      </c>
      <c r="T1224" s="3" t="inlineStr">
        <is>
          <t>평지</t>
        </is>
      </c>
      <c r="U1224" s="3" t="inlineStr">
        <is>
          <t>부정형</t>
        </is>
      </c>
      <c r="V1224" s="3" t="inlineStr">
        <is>
          <t>세로한면(불)</t>
        </is>
      </c>
    </row>
    <row r="1225">
      <c r="A1225" s="3" t="inlineStr">
        <is>
          <t>연서면 쌍류리 53</t>
        </is>
      </c>
      <c r="B1225" s="3" t="inlineStr">
        <is>
          <t>생산관리지역</t>
        </is>
      </c>
      <c r="C1225" s="3" t="inlineStr">
        <is>
          <t>전</t>
        </is>
      </c>
      <c r="D1225" s="3" t="inlineStr">
        <is>
          <t>전</t>
        </is>
      </c>
      <c r="E1225" s="3" t="inlineStr">
        <is>
          <t>매매</t>
        </is>
      </c>
      <c r="F1225" s="4" t="n">
        <v>57000</v>
      </c>
      <c r="G1225" s="4" t="n">
        <v>2734</v>
      </c>
      <c r="H1225" s="4" t="n">
        <v>827</v>
      </c>
      <c r="I1225" s="5" t="n">
        <v>68.90000000000001</v>
      </c>
      <c r="J1225" s="5" t="n">
        <v>24.9</v>
      </c>
      <c r="K1225" s="3" t="inlineStr">
        <is>
          <t>명성공인, 전용827, 연서면 생산관리 추천 매물</t>
        </is>
      </c>
      <c r="L1225" s="6">
        <f>HYPERLINK("https://fin.land.naver.com/articles/2650266078", "매물Link")</f>
        <v/>
      </c>
      <c r="M1225" s="6">
        <f>HYPERLINK("https://map.naver.com/p/search/연서면 쌍류리 53", "지도Link")</f>
        <v/>
      </c>
      <c r="N1225" s="6">
        <f>HYPERLINK("http://www.eum.go.kr/web/ar/lu/luLandDet.jsp?pnu=3611036026100530000&amp;isNoScr=script&amp;mode=search", "토지이음")</f>
        <v/>
      </c>
      <c r="O1225" s="3" t="inlineStr">
        <is>
          <t>명성</t>
        </is>
      </c>
      <c r="P1225" s="4" t="n">
        <v>2</v>
      </c>
      <c r="Q1225" s="4" t="n">
        <v>2734</v>
      </c>
      <c r="R1225" s="3" t="inlineStr">
        <is>
          <t>지정되지않음</t>
        </is>
      </c>
      <c r="S1225" s="3" t="inlineStr">
        <is>
          <t>전</t>
        </is>
      </c>
      <c r="T1225" s="3" t="inlineStr">
        <is>
          <t>완경사</t>
        </is>
      </c>
      <c r="U1225" s="3" t="inlineStr">
        <is>
          <t>부정형</t>
        </is>
      </c>
      <c r="V1225" s="3" t="inlineStr">
        <is>
          <t>세로한면(가)</t>
        </is>
      </c>
    </row>
    <row r="1226">
      <c r="A1226" s="3" t="inlineStr">
        <is>
          <t>연서면 쌍류리 56</t>
        </is>
      </c>
      <c r="B1226" s="3" t="inlineStr">
        <is>
          <t>생산관리지역</t>
        </is>
      </c>
      <c r="C1226" s="3" t="inlineStr">
        <is>
          <t>전</t>
        </is>
      </c>
      <c r="D1226" s="3" t="inlineStr">
        <is>
          <t>전</t>
        </is>
      </c>
      <c r="E1226" s="3" t="inlineStr">
        <is>
          <t>매매</t>
        </is>
      </c>
      <c r="F1226" s="4" t="n">
        <v>27000</v>
      </c>
      <c r="G1226" s="4" t="n">
        <v>1342</v>
      </c>
      <c r="H1226" s="4" t="n">
        <v>406</v>
      </c>
      <c r="I1226" s="5" t="n">
        <v>66.5</v>
      </c>
      <c r="J1226" s="5" t="n">
        <v>22.8</v>
      </c>
      <c r="K1226" s="3" t="inlineStr">
        <is>
          <t>명성공인, 전용406, 연서면 추천 매물</t>
        </is>
      </c>
      <c r="L1226" s="6">
        <f>HYPERLINK("https://fin.land.naver.com/articles/2653839618", "매물Link")</f>
        <v/>
      </c>
      <c r="M1226" s="6">
        <f>HYPERLINK("https://map.naver.com/p/search/연서면 쌍류리 56", "지도Link")</f>
        <v/>
      </c>
      <c r="N1226" s="6">
        <f>HYPERLINK("http://www.eum.go.kr/web/ar/lu/luLandDet.jsp?pnu=3611036026100560000&amp;isNoScr=script&amp;mode=search", "토지이음")</f>
        <v/>
      </c>
      <c r="O1226" s="3" t="inlineStr">
        <is>
          <t>명성</t>
        </is>
      </c>
      <c r="P1226" s="4" t="n">
        <v>1</v>
      </c>
      <c r="Q1226" s="4" t="n">
        <v>1011</v>
      </c>
      <c r="R1226" s="3" t="inlineStr">
        <is>
          <t>지정되지않음</t>
        </is>
      </c>
      <c r="S1226" s="3" t="inlineStr">
        <is>
          <t>전</t>
        </is>
      </c>
      <c r="T1226" s="3" t="inlineStr">
        <is>
          <t>완경사</t>
        </is>
      </c>
      <c r="U1226" s="3" t="inlineStr">
        <is>
          <t>부정형</t>
        </is>
      </c>
      <c r="V1226" s="3" t="inlineStr">
        <is>
          <t>세로한면(불)</t>
        </is>
      </c>
    </row>
    <row r="1227">
      <c r="A1227" s="3" t="inlineStr">
        <is>
          <t>연서면 쌍류리 584-1</t>
        </is>
      </c>
      <c r="B1227" s="3" t="inlineStr">
        <is>
          <t>생산관리지역</t>
        </is>
      </c>
      <c r="C1227" s="3" t="inlineStr">
        <is>
          <t>과수원</t>
        </is>
      </c>
      <c r="D1227" s="3" t="inlineStr">
        <is>
          <t>과수원</t>
        </is>
      </c>
      <c r="E1227" s="3" t="inlineStr">
        <is>
          <t>매매</t>
        </is>
      </c>
      <c r="F1227" s="4" t="n">
        <v>19160</v>
      </c>
      <c r="G1227" s="4" t="n">
        <v>1056</v>
      </c>
      <c r="H1227" s="4" t="n">
        <v>319</v>
      </c>
      <c r="I1227" s="5" t="n">
        <v>60.1</v>
      </c>
      <c r="J1227" s="5" t="n">
        <v>28.9</v>
      </c>
      <c r="K1227" s="3" t="inlineStr">
        <is>
          <t>세종시에서 1억원대에 투자할수 있는땅</t>
        </is>
      </c>
      <c r="L1227" s="6">
        <f>HYPERLINK("https://fin.land.naver.com/articles/2653381412", "매물Link")</f>
        <v/>
      </c>
      <c r="M1227" s="6">
        <f>HYPERLINK("https://map.naver.com/p/search/연서면 쌍류리 584-1", "지도Link")</f>
        <v/>
      </c>
      <c r="N1227" s="6">
        <f>HYPERLINK("http://www.eum.go.kr/web/ar/lu/luLandDet.jsp?pnu=3611036026105840001&amp;isNoScr=script&amp;mode=search", "토지이음")</f>
        <v/>
      </c>
      <c r="O1227" s="3" t="inlineStr">
        <is>
          <t>킹</t>
        </is>
      </c>
      <c r="P1227" s="4" t="n">
        <v>1</v>
      </c>
      <c r="Q1227" s="4" t="n">
        <v>1056</v>
      </c>
      <c r="R1227" s="3" t="inlineStr">
        <is>
          <t>지정되지않음</t>
        </is>
      </c>
      <c r="S1227" s="3" t="inlineStr">
        <is>
          <t>과수원</t>
        </is>
      </c>
      <c r="T1227" s="3" t="inlineStr">
        <is>
          <t>완경사</t>
        </is>
      </c>
      <c r="U1227" s="3" t="inlineStr">
        <is>
          <t>부정형</t>
        </is>
      </c>
      <c r="V1227" s="3" t="inlineStr">
        <is>
          <t>세로한면(가)</t>
        </is>
      </c>
    </row>
    <row r="1228">
      <c r="A1228" s="3" t="inlineStr">
        <is>
          <t>연서면 쌍류리 584-3</t>
        </is>
      </c>
      <c r="B1228" s="3" t="inlineStr">
        <is>
          <t>생산관리지역</t>
        </is>
      </c>
      <c r="C1228" s="3" t="inlineStr">
        <is>
          <t>과수원</t>
        </is>
      </c>
      <c r="D1228" s="3" t="inlineStr">
        <is>
          <t>과수원</t>
        </is>
      </c>
      <c r="E1228" s="3" t="inlineStr">
        <is>
          <t>매매</t>
        </is>
      </c>
      <c r="F1228" s="4" t="n">
        <v>49500</v>
      </c>
      <c r="G1228" s="4" t="n">
        <v>2463</v>
      </c>
      <c r="H1228" s="4" t="n">
        <v>745</v>
      </c>
      <c r="I1228" s="5" t="n">
        <v>66.40000000000001</v>
      </c>
      <c r="J1228" s="5" t="n">
        <v>28.9</v>
      </c>
      <c r="K1228" s="3" t="inlineStr">
        <is>
          <t>도로접한 저렴한 토지매매</t>
        </is>
      </c>
      <c r="L1228" s="6">
        <f>HYPERLINK("https://fin.land.naver.com/articles/2651247524", "매물Link")</f>
        <v/>
      </c>
      <c r="M1228" s="6">
        <f>HYPERLINK("https://map.naver.com/p/search/연서면 쌍류리 584-3", "지도Link")</f>
        <v/>
      </c>
      <c r="N1228" s="6">
        <f>HYPERLINK("http://www.eum.go.kr/web/ar/lu/luLandDet.jsp?pnu=3611036026105840003&amp;isNoScr=script&amp;mode=search", "토지이음")</f>
        <v/>
      </c>
      <c r="O1228" s="3" t="inlineStr">
        <is>
          <t>세종토박이</t>
        </is>
      </c>
      <c r="P1228" s="4" t="n">
        <v>1</v>
      </c>
      <c r="Q1228" s="4" t="n">
        <v>1435</v>
      </c>
      <c r="R1228" s="3" t="inlineStr">
        <is>
          <t>지정되지않음</t>
        </is>
      </c>
      <c r="S1228" s="3" t="inlineStr">
        <is>
          <t>과수원</t>
        </is>
      </c>
      <c r="T1228" s="3" t="inlineStr">
        <is>
          <t>완경사</t>
        </is>
      </c>
      <c r="U1228" s="3" t="inlineStr">
        <is>
          <t>부정형</t>
        </is>
      </c>
      <c r="V1228" s="3" t="inlineStr">
        <is>
          <t>세로한면(가)</t>
        </is>
      </c>
    </row>
    <row r="1229">
      <c r="A1229" s="3" t="inlineStr">
        <is>
          <t>연서면 쌍류리 584-3</t>
        </is>
      </c>
      <c r="B1229" s="3" t="inlineStr">
        <is>
          <t>생산관리지역</t>
        </is>
      </c>
      <c r="C1229" s="3" t="inlineStr">
        <is>
          <t>과수원</t>
        </is>
      </c>
      <c r="D1229" s="3" t="inlineStr">
        <is>
          <t>과수원</t>
        </is>
      </c>
      <c r="E1229" s="3" t="inlineStr">
        <is>
          <t>매매</t>
        </is>
      </c>
      <c r="F1229" s="4" t="n">
        <v>45000</v>
      </c>
      <c r="G1229" s="4" t="n">
        <v>2463</v>
      </c>
      <c r="H1229" s="4" t="n">
        <v>745</v>
      </c>
      <c r="I1229" s="5" t="n">
        <v>60.4</v>
      </c>
      <c r="J1229" s="5" t="n">
        <v>28.9</v>
      </c>
      <c r="K1229" s="3" t="inlineStr">
        <is>
          <t>쌍류리 저렴한 토지매매</t>
        </is>
      </c>
      <c r="L1229" s="6">
        <f>HYPERLINK("https://fin.land.naver.com/articles/2653075157", "매물Link")</f>
        <v/>
      </c>
      <c r="M1229" s="6">
        <f>HYPERLINK("https://map.naver.com/p/search/연서면 쌍류리 584-3", "지도Link")</f>
        <v/>
      </c>
      <c r="N1229" s="6">
        <f>HYPERLINK("http://www.eum.go.kr/web/ar/lu/luLandDet.jsp?pnu=3611036026105840003&amp;isNoScr=script&amp;mode=search", "토지이음")</f>
        <v/>
      </c>
      <c r="O1229" s="3" t="inlineStr">
        <is>
          <t>세종땅사랑</t>
        </is>
      </c>
      <c r="P1229" s="4" t="n">
        <v>1</v>
      </c>
      <c r="Q1229" s="4" t="n">
        <v>1435</v>
      </c>
      <c r="R1229" s="3" t="inlineStr">
        <is>
          <t>지정되지않음</t>
        </is>
      </c>
      <c r="S1229" s="3" t="inlineStr">
        <is>
          <t>과수원</t>
        </is>
      </c>
      <c r="T1229" s="3" t="inlineStr">
        <is>
          <t>완경사</t>
        </is>
      </c>
      <c r="U1229" s="3" t="inlineStr">
        <is>
          <t>부정형</t>
        </is>
      </c>
      <c r="V1229" s="3" t="inlineStr">
        <is>
          <t>세로한면(가)</t>
        </is>
      </c>
    </row>
    <row r="1230">
      <c r="A1230" s="3" t="inlineStr">
        <is>
          <t>연서면 쌍류리 6-11</t>
        </is>
      </c>
      <c r="B1230" s="3" t="inlineStr">
        <is>
          <t>농림지역</t>
        </is>
      </c>
      <c r="C1230" s="3" t="inlineStr">
        <is>
          <t>임야</t>
        </is>
      </c>
      <c r="D1230" s="3" t="inlineStr">
        <is>
          <t>임야</t>
        </is>
      </c>
      <c r="E1230" s="3" t="inlineStr">
        <is>
          <t>매매</t>
        </is>
      </c>
      <c r="F1230" s="4" t="n">
        <v>46000</v>
      </c>
      <c r="G1230" s="4" t="n">
        <v>6289</v>
      </c>
      <c r="H1230" s="4" t="n">
        <v>1902</v>
      </c>
      <c r="I1230" s="5" t="n">
        <v>24.2</v>
      </c>
      <c r="J1230" s="5" t="n">
        <v>3</v>
      </c>
      <c r="K1230" s="3" t="inlineStr">
        <is>
          <t>연서면 2차선변 야산</t>
        </is>
      </c>
      <c r="L1230" s="6">
        <f>HYPERLINK("https://fin.land.naver.com/articles/2653950245", "매물Link")</f>
        <v/>
      </c>
      <c r="M1230" s="6">
        <f>HYPERLINK("https://map.naver.com/p/search/연서면 쌍류리 6-11", "지도Link")</f>
        <v/>
      </c>
      <c r="N1230" s="6">
        <f>HYPERLINK("http://www.eum.go.kr/web/ar/lu/luLandDet.jsp?pnu=3611036026100060011&amp;isNoScr=script&amp;mode=search", "토지이음")</f>
        <v/>
      </c>
      <c r="O1230" s="3" t="inlineStr">
        <is>
          <t>KB세종</t>
        </is>
      </c>
      <c r="P1230" s="4" t="n">
        <v>1</v>
      </c>
      <c r="Q1230" s="4" t="n">
        <v>6289</v>
      </c>
      <c r="R1230" s="3" t="inlineStr">
        <is>
          <t>보전관리지역</t>
        </is>
      </c>
      <c r="S1230" s="3" t="inlineStr">
        <is>
          <t>자연림</t>
        </is>
      </c>
      <c r="T1230" s="3" t="inlineStr">
        <is>
          <t>급경사</t>
        </is>
      </c>
      <c r="U1230" s="3" t="inlineStr">
        <is>
          <t>부정형</t>
        </is>
      </c>
      <c r="V1230" s="3" t="inlineStr">
        <is>
          <t>소로한면</t>
        </is>
      </c>
    </row>
    <row r="1231">
      <c r="A1231" s="3" t="inlineStr">
        <is>
          <t>연서면 쌍류리 608-4</t>
        </is>
      </c>
      <c r="B1231" s="3" t="inlineStr">
        <is>
          <t>보전관리지역</t>
        </is>
      </c>
      <c r="C1231" s="3" t="inlineStr">
        <is>
          <t>전</t>
        </is>
      </c>
      <c r="D1231" s="3" t="inlineStr">
        <is>
          <t>전</t>
        </is>
      </c>
      <c r="E1231" s="3" t="inlineStr">
        <is>
          <t>매매</t>
        </is>
      </c>
      <c r="F1231" s="4" t="n">
        <v>18000</v>
      </c>
      <c r="G1231" s="4" t="n">
        <v>500</v>
      </c>
      <c r="H1231" s="4" t="n">
        <v>151</v>
      </c>
      <c r="I1231" s="5" t="n">
        <v>119.2</v>
      </c>
      <c r="J1231" s="5" t="n">
        <v>25.4</v>
      </c>
      <c r="K1231" s="3" t="inlineStr">
        <is>
          <t>세종에서 1억원대에 투자할수 있는땅</t>
        </is>
      </c>
      <c r="L1231" s="6">
        <f>HYPERLINK("https://fin.land.naver.com/articles/2653381281", "매물Link")</f>
        <v/>
      </c>
      <c r="M1231" s="6">
        <f>HYPERLINK("https://map.naver.com/p/search/연서면 쌍류리 608-4", "지도Link")</f>
        <v/>
      </c>
      <c r="N1231" s="6">
        <f>HYPERLINK("http://www.eum.go.kr/web/ar/lu/luLandDet.jsp?pnu=3611036026106080004&amp;isNoScr=script&amp;mode=search", "토지이음")</f>
        <v/>
      </c>
      <c r="O1231" s="3" t="inlineStr">
        <is>
          <t>킹</t>
        </is>
      </c>
      <c r="P1231" s="4" t="n">
        <v>1</v>
      </c>
      <c r="Q1231" s="4" t="n">
        <v>500</v>
      </c>
      <c r="R1231" s="3" t="inlineStr">
        <is>
          <t>생산관리지역</t>
        </is>
      </c>
      <c r="S1231" s="3" t="inlineStr">
        <is>
          <t>과수원</t>
        </is>
      </c>
      <c r="T1231" s="3" t="inlineStr">
        <is>
          <t>완경사</t>
        </is>
      </c>
      <c r="U1231" s="3" t="inlineStr">
        <is>
          <t>부정형</t>
        </is>
      </c>
      <c r="V1231" s="3" t="inlineStr">
        <is>
          <t>세로한면(불)</t>
        </is>
      </c>
    </row>
    <row r="1232">
      <c r="A1232" s="3" t="inlineStr">
        <is>
          <t>연서면 쌍류리 706-99</t>
        </is>
      </c>
      <c r="B1232" s="3" t="inlineStr">
        <is>
          <t>생산관리지역</t>
        </is>
      </c>
      <c r="C1232" s="3" t="inlineStr">
        <is>
          <t>답</t>
        </is>
      </c>
      <c r="D1232" s="3" t="inlineStr">
        <is>
          <t>답</t>
        </is>
      </c>
      <c r="E1232" s="3" t="inlineStr">
        <is>
          <t>매매</t>
        </is>
      </c>
      <c r="F1232" s="4" t="n">
        <v>17000</v>
      </c>
      <c r="G1232" s="4" t="n">
        <v>522</v>
      </c>
      <c r="H1232" s="4" t="n">
        <v>158</v>
      </c>
      <c r="I1232" s="5" t="n">
        <v>107.6</v>
      </c>
      <c r="J1232" s="5" t="n">
        <v>32.8</v>
      </c>
      <c r="K1232" s="3" t="inlineStr">
        <is>
          <t>쌍류리 2차선길게 접한 코너각지 위치좋고 저렴한 토지</t>
        </is>
      </c>
      <c r="L1232" s="6">
        <f>HYPERLINK("https://fin.land.naver.com/articles/2651241272", "매물Link")</f>
        <v/>
      </c>
      <c r="M1232" s="6">
        <f>HYPERLINK("https://map.naver.com/p/search/연서면 쌍류리 706-99", "지도Link")</f>
        <v/>
      </c>
      <c r="N1232" s="6">
        <f>HYPERLINK("http://www.eum.go.kr/web/ar/lu/luLandDet.jsp?pnu=3611036026107060099&amp;isNoScr=script&amp;mode=search", "토지이음")</f>
        <v/>
      </c>
      <c r="O1232" s="3" t="inlineStr">
        <is>
          <t>세종땅사랑</t>
        </is>
      </c>
      <c r="P1232" s="4" t="n">
        <v>1</v>
      </c>
      <c r="Q1232" s="4" t="n">
        <v>314</v>
      </c>
      <c r="R1232" s="3" t="inlineStr">
        <is>
          <t>지정되지않음</t>
        </is>
      </c>
      <c r="S1232" s="3" t="inlineStr">
        <is>
          <t>과수원</t>
        </is>
      </c>
      <c r="T1232" s="3" t="inlineStr">
        <is>
          <t>평지</t>
        </is>
      </c>
      <c r="U1232" s="3" t="inlineStr">
        <is>
          <t>부정형</t>
        </is>
      </c>
      <c r="V1232" s="3" t="inlineStr">
        <is>
          <t>소로한면</t>
        </is>
      </c>
    </row>
    <row r="1233">
      <c r="A1233" s="3" t="inlineStr">
        <is>
          <t>연서면 쌍류리 72</t>
        </is>
      </c>
      <c r="B1233" s="3" t="inlineStr">
        <is>
          <t>계획관리지역</t>
        </is>
      </c>
      <c r="C1233" s="3" t="inlineStr">
        <is>
          <t>대</t>
        </is>
      </c>
      <c r="D1233" s="3" t="inlineStr">
        <is>
          <t>대</t>
        </is>
      </c>
      <c r="E1233" s="3" t="inlineStr">
        <is>
          <t>매매</t>
        </is>
      </c>
      <c r="F1233" s="4" t="n">
        <v>150000</v>
      </c>
      <c r="G1233" s="4" t="n">
        <v>2088</v>
      </c>
      <c r="H1233" s="4" t="n">
        <v>632</v>
      </c>
      <c r="I1233" s="5" t="n">
        <v>237.3</v>
      </c>
      <c r="J1233" s="5" t="n">
        <v>83.09999999999999</v>
      </c>
      <c r="K1233" s="3" t="inlineStr">
        <is>
          <t>인근에서 보기 두문 계획관리 부지</t>
        </is>
      </c>
      <c r="L1233" s="6">
        <f>HYPERLINK("https://fin.land.naver.com/articles/2650344547", "매물Link")</f>
        <v/>
      </c>
      <c r="M1233" s="6">
        <f>HYPERLINK("https://map.naver.com/p/search/연서면 쌍류리 72", "지도Link")</f>
        <v/>
      </c>
      <c r="N1233" s="6">
        <f>HYPERLINK("http://www.eum.go.kr/web/ar/lu/luLandDet.jsp?pnu=3611036026100720000&amp;isNoScr=script&amp;mode=search", "토지이음")</f>
        <v/>
      </c>
      <c r="O1233" s="3" t="inlineStr">
        <is>
          <t>비전</t>
        </is>
      </c>
      <c r="P1233" s="4" t="n">
        <v>2</v>
      </c>
      <c r="Q1233" s="4" t="n">
        <v>650</v>
      </c>
      <c r="R1233" s="3" t="inlineStr">
        <is>
          <t>지정되지않음</t>
        </is>
      </c>
      <c r="S1233" s="3" t="inlineStr">
        <is>
          <t>단독</t>
        </is>
      </c>
      <c r="T1233" s="3" t="inlineStr">
        <is>
          <t>평지</t>
        </is>
      </c>
      <c r="U1233" s="3" t="inlineStr">
        <is>
          <t>사다리형</t>
        </is>
      </c>
      <c r="V1233" s="3" t="inlineStr">
        <is>
          <t>소로한면</t>
        </is>
      </c>
    </row>
    <row r="1234">
      <c r="A1234" s="3" t="inlineStr">
        <is>
          <t>연서면 쌍류리 94-12</t>
        </is>
      </c>
      <c r="B1234" s="3" t="inlineStr">
        <is>
          <t>생산관리지역</t>
        </is>
      </c>
      <c r="C1234" s="3" t="inlineStr">
        <is>
          <t>전</t>
        </is>
      </c>
      <c r="D1234" s="3" t="inlineStr">
        <is>
          <t>대</t>
        </is>
      </c>
      <c r="E1234" s="3" t="inlineStr">
        <is>
          <t>매매</t>
        </is>
      </c>
      <c r="F1234" s="4" t="n">
        <v>26000</v>
      </c>
      <c r="G1234" s="4" t="n">
        <v>548</v>
      </c>
      <c r="H1234" s="4" t="n">
        <v>166</v>
      </c>
      <c r="I1234" s="5" t="n">
        <v>156.6</v>
      </c>
      <c r="J1234" s="5" t="n">
        <v>30.2</v>
      </c>
      <c r="K1234" s="3" t="inlineStr">
        <is>
          <t>가격조절가능,근생부지로 허가난상태,도로지분포함,토목공사완료,</t>
        </is>
      </c>
      <c r="L1234" s="6">
        <f>HYPERLINK("https://fin.land.naver.com/articles/2651994335", "매물Link")</f>
        <v/>
      </c>
      <c r="M1234" s="6">
        <f>HYPERLINK("https://map.naver.com/p/search/연서면 쌍류리 94-12", "지도Link")</f>
        <v/>
      </c>
      <c r="N1234" s="6">
        <f>HYPERLINK("http://www.eum.go.kr/web/ar/lu/luLandDet.jsp?pnu=3611036026100940012&amp;isNoScr=script&amp;mode=search", "토지이음")</f>
        <v/>
      </c>
      <c r="O1234" s="3" t="inlineStr">
        <is>
          <t>담뜰</t>
        </is>
      </c>
      <c r="P1234" s="4" t="n">
        <v>2</v>
      </c>
      <c r="Q1234" s="4" t="n">
        <v>477</v>
      </c>
      <c r="R1234" s="3" t="inlineStr">
        <is>
          <t>지정되지않음</t>
        </is>
      </c>
      <c r="S1234" s="3" t="inlineStr">
        <is>
          <t>전</t>
        </is>
      </c>
      <c r="T1234" s="3" t="inlineStr">
        <is>
          <t>완경사</t>
        </is>
      </c>
      <c r="U1234" s="3" t="inlineStr">
        <is>
          <t>부정형</t>
        </is>
      </c>
      <c r="V1234" s="3" t="inlineStr">
        <is>
          <t>세로한면(가)</t>
        </is>
      </c>
    </row>
    <row r="1235">
      <c r="A1235" s="3" t="inlineStr">
        <is>
          <t>연서면 쌍류리 94-12</t>
        </is>
      </c>
      <c r="B1235" s="3" t="inlineStr">
        <is>
          <t>생산관리지역</t>
        </is>
      </c>
      <c r="C1235" s="3" t="inlineStr">
        <is>
          <t>전</t>
        </is>
      </c>
      <c r="D1235" s="3" t="inlineStr">
        <is>
          <t>전</t>
        </is>
      </c>
      <c r="E1235" s="3" t="inlineStr">
        <is>
          <t>매매</t>
        </is>
      </c>
      <c r="F1235" s="4" t="n">
        <v>26560</v>
      </c>
      <c r="G1235" s="4" t="n">
        <v>477</v>
      </c>
      <c r="H1235" s="4" t="n">
        <v>144</v>
      </c>
      <c r="I1235" s="5" t="n">
        <v>184.4</v>
      </c>
      <c r="J1235" s="5" t="n">
        <v>30.2</v>
      </c>
      <c r="K1235" s="3" t="inlineStr">
        <is>
          <t>nan</t>
        </is>
      </c>
      <c r="L1235" s="6">
        <f>HYPERLINK("https://fin.land.naver.com/articles/2650436505", "매물Link")</f>
        <v/>
      </c>
      <c r="M1235" s="6">
        <f>HYPERLINK("https://map.naver.com/p/search/연서면 쌍류리 94-12", "지도Link")</f>
        <v/>
      </c>
      <c r="N1235" s="6">
        <f>HYPERLINK("http://www.eum.go.kr/web/ar/lu/luLandDet.jsp?pnu=3611036026100940012&amp;isNoScr=script&amp;mode=search", "토지이음")</f>
        <v/>
      </c>
      <c r="O1235" s="3" t="inlineStr">
        <is>
          <t>세종소담114</t>
        </is>
      </c>
      <c r="P1235" s="4" t="n">
        <v>1</v>
      </c>
      <c r="Q1235" s="4" t="n">
        <v>477</v>
      </c>
      <c r="R1235" s="3" t="inlineStr">
        <is>
          <t>지정되지않음</t>
        </is>
      </c>
      <c r="S1235" s="3" t="inlineStr">
        <is>
          <t>전</t>
        </is>
      </c>
      <c r="T1235" s="3" t="inlineStr">
        <is>
          <t>완경사</t>
        </is>
      </c>
      <c r="U1235" s="3" t="inlineStr">
        <is>
          <t>부정형</t>
        </is>
      </c>
      <c r="V1235" s="3" t="inlineStr">
        <is>
          <t>세로한면(가)</t>
        </is>
      </c>
    </row>
    <row r="1236">
      <c r="A1236" s="3" t="inlineStr">
        <is>
          <t>연서면 쌍전리 125-2</t>
        </is>
      </c>
      <c r="B1236" s="3" t="inlineStr">
        <is>
          <t>자연녹지지역</t>
        </is>
      </c>
      <c r="C1236" s="3" t="inlineStr">
        <is>
          <t>대</t>
        </is>
      </c>
      <c r="D1236" s="3" t="inlineStr">
        <is>
          <t>대</t>
        </is>
      </c>
      <c r="E1236" s="3" t="inlineStr">
        <is>
          <t>매매</t>
        </is>
      </c>
      <c r="F1236" s="4" t="n">
        <v>90000</v>
      </c>
      <c r="G1236" s="4" t="n">
        <v>813</v>
      </c>
      <c r="H1236" s="4" t="n">
        <v>246</v>
      </c>
      <c r="I1236" s="5" t="n">
        <v>365.9</v>
      </c>
      <c r="J1236" s="5" t="n">
        <v>74.90000000000001</v>
      </c>
      <c r="K1236" s="3" t="inlineStr">
        <is>
          <t>대지,도시근접</t>
        </is>
      </c>
      <c r="L1236" s="6">
        <f>HYPERLINK("https://fin.land.naver.com/articles/2654366971", "매물Link")</f>
        <v/>
      </c>
      <c r="M1236" s="6">
        <f>HYPERLINK("https://map.naver.com/p/search/연서면 쌍전리 125-2", "지도Link")</f>
        <v/>
      </c>
      <c r="N1236" s="6">
        <f>HYPERLINK("http://www.eum.go.kr/web/ar/lu/luLandDet.jsp?pnu=3611036022101250002&amp;isNoScr=script&amp;mode=search", "토지이음")</f>
        <v/>
      </c>
      <c r="O1236" s="3" t="inlineStr">
        <is>
          <t>평택지제역로얄</t>
        </is>
      </c>
      <c r="P1236" s="4" t="n">
        <v>1</v>
      </c>
      <c r="Q1236" s="4" t="n">
        <v>813</v>
      </c>
      <c r="R1236" s="3" t="inlineStr">
        <is>
          <t>지정되지않음</t>
        </is>
      </c>
      <c r="S1236" s="3" t="inlineStr">
        <is>
          <t>주거나지</t>
        </is>
      </c>
      <c r="T1236" s="3" t="inlineStr">
        <is>
          <t>평지</t>
        </is>
      </c>
      <c r="U1236" s="3" t="inlineStr">
        <is>
          <t>부정형</t>
        </is>
      </c>
      <c r="V1236" s="3" t="inlineStr">
        <is>
          <t>맹지</t>
        </is>
      </c>
    </row>
    <row r="1237">
      <c r="A1237" s="3" t="inlineStr">
        <is>
          <t>연서면 쌍전리 140-2</t>
        </is>
      </c>
      <c r="B1237" s="3" t="inlineStr">
        <is>
          <t>자연녹지지역</t>
        </is>
      </c>
      <c r="C1237" s="3" t="inlineStr">
        <is>
          <t>전</t>
        </is>
      </c>
      <c r="D1237" s="3" t="inlineStr">
        <is>
          <t>전</t>
        </is>
      </c>
      <c r="E1237" s="3" t="inlineStr">
        <is>
          <t>매매</t>
        </is>
      </c>
      <c r="F1237" s="4" t="n">
        <v>27000</v>
      </c>
      <c r="G1237" s="4" t="n">
        <v>700</v>
      </c>
      <c r="H1237" s="4" t="n">
        <v>212</v>
      </c>
      <c r="I1237" s="5" t="n">
        <v>127.4</v>
      </c>
      <c r="J1237" s="5" t="n">
        <v>55.9</v>
      </c>
      <c r="K1237" s="3" t="inlineStr">
        <is>
          <t>포장도로에 접해있어 주말체험농장이나 농촌체류형 쉼터로 적합한 투자용 전</t>
        </is>
      </c>
      <c r="L1237" s="6">
        <f>HYPERLINK("https://fin.land.naver.com/articles/2652186050", "매물Link")</f>
        <v/>
      </c>
      <c r="M1237" s="6">
        <f>HYPERLINK("https://map.naver.com/p/search/연서면 쌍전리 140-2", "지도Link")</f>
        <v/>
      </c>
      <c r="N1237" s="6">
        <f>HYPERLINK("http://www.eum.go.kr/web/ar/lu/luLandDet.jsp?pnu=3611036022101400002&amp;isNoScr=script&amp;mode=search", "토지이음")</f>
        <v/>
      </c>
      <c r="O1237" s="3" t="inlineStr">
        <is>
          <t>스마일세종</t>
        </is>
      </c>
      <c r="P1237" s="4" t="n">
        <v>2</v>
      </c>
      <c r="Q1237" s="4" t="n">
        <v>510</v>
      </c>
      <c r="R1237" s="3" t="inlineStr">
        <is>
          <t>지정되지않음</t>
        </is>
      </c>
      <c r="S1237" s="3" t="inlineStr">
        <is>
          <t>전</t>
        </is>
      </c>
      <c r="T1237" s="3" t="inlineStr">
        <is>
          <t>완경사</t>
        </is>
      </c>
      <c r="U1237" s="3" t="inlineStr">
        <is>
          <t>부정형</t>
        </is>
      </c>
      <c r="V1237" s="3" t="inlineStr">
        <is>
          <t>세로한면(불)</t>
        </is>
      </c>
    </row>
    <row r="1238">
      <c r="A1238" s="3" t="inlineStr">
        <is>
          <t>연서면 쌍전리 175-14</t>
        </is>
      </c>
      <c r="B1238" s="3" t="inlineStr">
        <is>
          <t>자연녹지지역</t>
        </is>
      </c>
      <c r="C1238" s="3" t="inlineStr">
        <is>
          <t>임야</t>
        </is>
      </c>
      <c r="D1238" s="3" t="inlineStr">
        <is>
          <t>임야</t>
        </is>
      </c>
      <c r="E1238" s="3" t="inlineStr">
        <is>
          <t>매매</t>
        </is>
      </c>
      <c r="F1238" s="4" t="n">
        <v>40300</v>
      </c>
      <c r="G1238" s="4" t="n">
        <v>635</v>
      </c>
      <c r="H1238" s="4" t="n">
        <v>192</v>
      </c>
      <c r="I1238" s="5" t="n">
        <v>209.9</v>
      </c>
      <c r="J1238" s="5" t="n">
        <v>66.90000000000001</v>
      </c>
      <c r="K1238" s="3" t="inlineStr">
        <is>
          <t>도심근처 주택지 공방,찻집 등이 어울리는 호재성 좋은 토지</t>
        </is>
      </c>
      <c r="L1238" s="6">
        <f>HYPERLINK("https://fin.land.naver.com/articles/2650398102", "매물Link")</f>
        <v/>
      </c>
      <c r="M1238" s="6">
        <f>HYPERLINK("https://map.naver.com/p/search/연서면 쌍전리 175-14", "지도Link")</f>
        <v/>
      </c>
      <c r="N1238" s="6">
        <f>HYPERLINK("http://www.eum.go.kr/web/ar/lu/luLandDet.jsp?pnu=3611036022101750014&amp;isNoScr=script&amp;mode=search", "토지이음")</f>
        <v/>
      </c>
      <c r="O1238" s="3" t="inlineStr">
        <is>
          <t>지성</t>
        </is>
      </c>
      <c r="P1238" s="4" t="n">
        <v>1</v>
      </c>
      <c r="Q1238" s="4" t="n">
        <v>518</v>
      </c>
      <c r="R1238" s="3" t="inlineStr">
        <is>
          <t>지정되지않음</t>
        </is>
      </c>
      <c r="S1238" s="3" t="inlineStr">
        <is>
          <t>주거나지</t>
        </is>
      </c>
      <c r="T1238" s="3" t="inlineStr">
        <is>
          <t>완경사</t>
        </is>
      </c>
      <c r="U1238" s="3" t="inlineStr">
        <is>
          <t>사다리형</t>
        </is>
      </c>
      <c r="V1238" s="3" t="inlineStr">
        <is>
          <t>세로한면(가)</t>
        </is>
      </c>
    </row>
    <row r="1239">
      <c r="A1239" s="3" t="inlineStr">
        <is>
          <t>연서면 쌍전리 177-1</t>
        </is>
      </c>
      <c r="B1239" s="3" t="inlineStr">
        <is>
          <t>자연녹지지역</t>
        </is>
      </c>
      <c r="C1239" s="3" t="inlineStr">
        <is>
          <t>과수원</t>
        </is>
      </c>
      <c r="D1239" s="3" t="inlineStr">
        <is>
          <t>과수원</t>
        </is>
      </c>
      <c r="E1239" s="3" t="inlineStr">
        <is>
          <t>매매</t>
        </is>
      </c>
      <c r="F1239" s="4" t="n">
        <v>39000</v>
      </c>
      <c r="G1239" s="4" t="n">
        <v>630</v>
      </c>
      <c r="H1239" s="4" t="n">
        <v>191</v>
      </c>
      <c r="I1239" s="5" t="n">
        <v>204.2</v>
      </c>
      <c r="J1239" s="5" t="n">
        <v>51.2</v>
      </c>
      <c r="K1239" s="3" t="inlineStr">
        <is>
          <t>과수원 도시지역 자연녹지 630제곱미터 매매 금액협의</t>
        </is>
      </c>
      <c r="L1239" s="6">
        <f>HYPERLINK("https://fin.land.naver.com/articles/2652904184", "매물Link")</f>
        <v/>
      </c>
      <c r="M1239" s="6">
        <f>HYPERLINK("https://map.naver.com/p/search/연서면 쌍전리 177-1", "지도Link")</f>
        <v/>
      </c>
      <c r="N1239" s="6">
        <f>HYPERLINK("http://www.eum.go.kr/web/ar/lu/luLandDet.jsp?pnu=3611036022101770001&amp;isNoScr=script&amp;mode=search", "토지이음")</f>
        <v/>
      </c>
      <c r="O1239" s="3" t="inlineStr">
        <is>
          <t>오송원</t>
        </is>
      </c>
      <c r="P1239" s="4" t="n">
        <v>1</v>
      </c>
      <c r="Q1239" s="4" t="n">
        <v>1260</v>
      </c>
      <c r="R1239" s="3" t="inlineStr">
        <is>
          <t>지정되지않음</t>
        </is>
      </c>
      <c r="S1239" s="3" t="inlineStr">
        <is>
          <t>전</t>
        </is>
      </c>
      <c r="T1239" s="3" t="inlineStr">
        <is>
          <t>완경사</t>
        </is>
      </c>
      <c r="U1239" s="3" t="inlineStr">
        <is>
          <t>부정형</t>
        </is>
      </c>
      <c r="V1239" s="3" t="inlineStr">
        <is>
          <t>맹지</t>
        </is>
      </c>
    </row>
    <row r="1240">
      <c r="A1240" s="3" t="inlineStr">
        <is>
          <t>연서면 쌍전리 427</t>
        </is>
      </c>
      <c r="B1240" s="3" t="inlineStr">
        <is>
          <t>자연녹지지역</t>
        </is>
      </c>
      <c r="C1240" s="3" t="inlineStr">
        <is>
          <t>대</t>
        </is>
      </c>
      <c r="D1240" s="3" t="inlineStr">
        <is>
          <t>대</t>
        </is>
      </c>
      <c r="E1240" s="3" t="inlineStr">
        <is>
          <t>매매</t>
        </is>
      </c>
      <c r="F1240" s="4" t="n">
        <v>62500</v>
      </c>
      <c r="G1240" s="4" t="n">
        <v>820</v>
      </c>
      <c r="H1240" s="4" t="n">
        <v>248</v>
      </c>
      <c r="I1240" s="5" t="n">
        <v>252</v>
      </c>
      <c r="J1240" s="5" t="n">
        <v>87.2</v>
      </c>
      <c r="K1240" s="3" t="inlineStr">
        <is>
          <t>투자용,상세설명참조</t>
        </is>
      </c>
      <c r="L1240" s="6">
        <f>HYPERLINK("https://fin.land.naver.com/articles/2652097120", "매물Link")</f>
        <v/>
      </c>
      <c r="M1240" s="6">
        <f>HYPERLINK("https://map.naver.com/p/search/연서면 쌍전리 427", "지도Link")</f>
        <v/>
      </c>
      <c r="N1240" s="6">
        <f>HYPERLINK("http://www.eum.go.kr/web/ar/lu/luLandDet.jsp?pnu=3611036022104270000&amp;isNoScr=script&amp;mode=search", "토지이음")</f>
        <v/>
      </c>
      <c r="O1240" s="3" t="inlineStr">
        <is>
          <t>지호주식회사</t>
        </is>
      </c>
      <c r="P1240" s="4" t="n">
        <v>1</v>
      </c>
      <c r="Q1240" s="4" t="n">
        <v>820</v>
      </c>
      <c r="R1240" s="3" t="inlineStr">
        <is>
          <t>지정되지않음</t>
        </is>
      </c>
      <c r="S1240" s="3" t="inlineStr">
        <is>
          <t>주거기타</t>
        </is>
      </c>
      <c r="T1240" s="3" t="inlineStr">
        <is>
          <t>평지</t>
        </is>
      </c>
      <c r="U1240" s="3" t="inlineStr">
        <is>
          <t>부정형</t>
        </is>
      </c>
      <c r="V1240" s="3" t="inlineStr">
        <is>
          <t>세로한면(가)</t>
        </is>
      </c>
    </row>
    <row r="1241">
      <c r="A1241" s="3" t="inlineStr">
        <is>
          <t>연서면 쌍전리 457-9</t>
        </is>
      </c>
      <c r="B1241" s="3" t="inlineStr">
        <is>
          <t>계획관리지역</t>
        </is>
      </c>
      <c r="C1241" s="3" t="inlineStr">
        <is>
          <t>전</t>
        </is>
      </c>
      <c r="D1241" s="3" t="inlineStr">
        <is>
          <t>전</t>
        </is>
      </c>
      <c r="E1241" s="3" t="inlineStr">
        <is>
          <t>매매</t>
        </is>
      </c>
      <c r="F1241" s="4" t="n">
        <v>105500</v>
      </c>
      <c r="G1241" s="4" t="n">
        <v>1293</v>
      </c>
      <c r="H1241" s="4" t="n">
        <v>391</v>
      </c>
      <c r="I1241" s="5" t="n">
        <v>269.8</v>
      </c>
      <c r="J1241" s="5" t="n">
        <v>49.1</v>
      </c>
      <c r="K1241" s="3" t="inlineStr">
        <is>
          <t>세종시 연서면 농협인근 토지 계획관리.매매</t>
        </is>
      </c>
      <c r="L1241" s="6">
        <f>HYPERLINK("https://fin.land.naver.com/articles/2652504314", "매물Link")</f>
        <v/>
      </c>
      <c r="M1241" s="6">
        <f>HYPERLINK("https://map.naver.com/p/search/연서면 쌍전리 457-9", "지도Link")</f>
        <v/>
      </c>
      <c r="N1241" s="6">
        <f>HYPERLINK("http://www.eum.go.kr/web/ar/lu/luLandDet.jsp?pnu=3611036022104570009&amp;isNoScr=script&amp;mode=search", "토지이음")</f>
        <v/>
      </c>
      <c r="O1241" s="3" t="inlineStr">
        <is>
          <t>동원</t>
        </is>
      </c>
      <c r="P1241" s="4" t="n">
        <v>1</v>
      </c>
      <c r="Q1241" s="4" t="n">
        <v>1293</v>
      </c>
      <c r="R1241" s="3" t="inlineStr">
        <is>
          <t>자연녹지지역</t>
        </is>
      </c>
      <c r="S1241" s="3" t="inlineStr">
        <is>
          <t>전</t>
        </is>
      </c>
      <c r="T1241" s="3" t="inlineStr">
        <is>
          <t>평지</t>
        </is>
      </c>
      <c r="U1241" s="3" t="inlineStr">
        <is>
          <t>부정형</t>
        </is>
      </c>
      <c r="V1241" s="3" t="inlineStr">
        <is>
          <t>세로한면(가)</t>
        </is>
      </c>
    </row>
    <row r="1242">
      <c r="A1242" s="3" t="inlineStr">
        <is>
          <t>연서면 쌍전리 463-1</t>
        </is>
      </c>
      <c r="B1242" s="3" t="inlineStr">
        <is>
          <t>계획관리지역</t>
        </is>
      </c>
      <c r="C1242" s="3" t="inlineStr">
        <is>
          <t>전</t>
        </is>
      </c>
      <c r="D1242" s="3" t="inlineStr">
        <is>
          <t>전</t>
        </is>
      </c>
      <c r="E1242" s="3" t="inlineStr">
        <is>
          <t>매매</t>
        </is>
      </c>
      <c r="F1242" s="4" t="n">
        <v>86700</v>
      </c>
      <c r="G1242" s="4" t="n">
        <v>957</v>
      </c>
      <c r="H1242" s="4" t="n">
        <v>289</v>
      </c>
      <c r="I1242" s="5" t="n">
        <v>300</v>
      </c>
      <c r="J1242" s="5" t="n">
        <v>44.1</v>
      </c>
      <c r="K1242" s="3" t="inlineStr">
        <is>
          <t>세종스마트국가산단,고복저수지공원 부근. 카페부지 투자용 토지</t>
        </is>
      </c>
      <c r="L1242" s="6">
        <f>HYPERLINK("https://fin.land.naver.com/articles/2654531237", "매물Link")</f>
        <v/>
      </c>
      <c r="M1242" s="6">
        <f>HYPERLINK("https://map.naver.com/p/search/연서면 쌍전리 463-1", "지도Link")</f>
        <v/>
      </c>
      <c r="N1242" s="6">
        <f>HYPERLINK("http://www.eum.go.kr/web/ar/lu/luLandDet.jsp?pnu=3611036022104630001&amp;isNoScr=script&amp;mode=search", "토지이음")</f>
        <v/>
      </c>
      <c r="O1242" s="3" t="inlineStr">
        <is>
          <t>복드림</t>
        </is>
      </c>
      <c r="P1242" s="4" t="n">
        <v>2</v>
      </c>
      <c r="Q1242" s="4" t="n">
        <v>957</v>
      </c>
      <c r="R1242" s="3" t="inlineStr">
        <is>
          <t>지정되지않음</t>
        </is>
      </c>
      <c r="S1242" s="3" t="inlineStr">
        <is>
          <t>전</t>
        </is>
      </c>
      <c r="T1242" s="3" t="inlineStr">
        <is>
          <t>평지</t>
        </is>
      </c>
      <c r="U1242" s="3" t="inlineStr">
        <is>
          <t>사다리형</t>
        </is>
      </c>
      <c r="V1242" s="3" t="inlineStr">
        <is>
          <t>세로한면(불)</t>
        </is>
      </c>
    </row>
    <row r="1243">
      <c r="A1243" s="3" t="inlineStr">
        <is>
          <t>연서면 쌍전리 464-3</t>
        </is>
      </c>
      <c r="B1243" s="3" t="inlineStr">
        <is>
          <t>계획관리지역</t>
        </is>
      </c>
      <c r="C1243" s="3" t="inlineStr">
        <is>
          <t>답</t>
        </is>
      </c>
      <c r="D1243" s="3" t="inlineStr">
        <is>
          <t>답</t>
        </is>
      </c>
      <c r="E1243" s="3" t="inlineStr">
        <is>
          <t>매매</t>
        </is>
      </c>
      <c r="F1243" s="4" t="n">
        <v>135000</v>
      </c>
      <c r="G1243" s="4" t="n">
        <v>2626</v>
      </c>
      <c r="H1243" s="4" t="n">
        <v>794</v>
      </c>
      <c r="I1243" s="5" t="n">
        <v>170</v>
      </c>
      <c r="J1243" s="5" t="n">
        <v>44.1</v>
      </c>
      <c r="K1243" s="3" t="inlineStr">
        <is>
          <t>2차선도로와 본 토지 사이에 국유지가 있어 점용허가를 받아 넓게 사용가능</t>
        </is>
      </c>
      <c r="L1243" s="6">
        <f>HYPERLINK("https://fin.land.naver.com/articles/2654526611", "매물Link")</f>
        <v/>
      </c>
      <c r="M1243" s="6">
        <f>HYPERLINK("https://map.naver.com/p/search/연서면 쌍전리 464-3", "지도Link")</f>
        <v/>
      </c>
      <c r="N1243" s="6">
        <f>HYPERLINK("http://www.eum.go.kr/web/ar/lu/luLandDet.jsp?pnu=3611036022104640003&amp;isNoScr=script&amp;mode=search", "토지이음")</f>
        <v/>
      </c>
      <c r="O1243" s="3" t="inlineStr">
        <is>
          <t>스마일세종</t>
        </is>
      </c>
      <c r="P1243" s="4" t="n">
        <v>1</v>
      </c>
      <c r="Q1243" s="4" t="n">
        <v>2626</v>
      </c>
      <c r="R1243" s="3" t="inlineStr">
        <is>
          <t>지정되지않음</t>
        </is>
      </c>
      <c r="S1243" s="3" t="inlineStr">
        <is>
          <t>과수원</t>
        </is>
      </c>
      <c r="T1243" s="3" t="inlineStr">
        <is>
          <t>평지</t>
        </is>
      </c>
      <c r="U1243" s="3" t="inlineStr">
        <is>
          <t>사다리형</t>
        </is>
      </c>
      <c r="V1243" s="3" t="inlineStr">
        <is>
          <t>세로한면(불)</t>
        </is>
      </c>
    </row>
    <row r="1244">
      <c r="A1244" s="3" t="inlineStr">
        <is>
          <t>연서면 쌍전리 513</t>
        </is>
      </c>
      <c r="B1244" s="3" t="inlineStr">
        <is>
          <t>농림지역</t>
        </is>
      </c>
      <c r="C1244" s="3" t="inlineStr">
        <is>
          <t>답</t>
        </is>
      </c>
      <c r="D1244" s="3" t="inlineStr">
        <is>
          <t>답</t>
        </is>
      </c>
      <c r="E1244" s="3" t="inlineStr">
        <is>
          <t>매매</t>
        </is>
      </c>
      <c r="F1244" s="4" t="n">
        <v>83000</v>
      </c>
      <c r="G1244" s="4" t="n">
        <v>3454</v>
      </c>
      <c r="H1244" s="4" t="n">
        <v>1045</v>
      </c>
      <c r="I1244" s="5" t="n">
        <v>79.40000000000001</v>
      </c>
      <c r="J1244" s="5" t="n">
        <v>27.2</v>
      </c>
      <c r="K1244" s="3" t="inlineStr">
        <is>
          <t>북세종IC 인근 농림지역으로 투자가치 높고 저렴한 가격인 대토로 추천.</t>
        </is>
      </c>
      <c r="L1244" s="6">
        <f>HYPERLINK("https://fin.land.naver.com/articles/2650939648", "매물Link")</f>
        <v/>
      </c>
      <c r="M1244" s="6">
        <f>HYPERLINK("https://map.naver.com/p/search/연서면 쌍전리 513", "지도Link")</f>
        <v/>
      </c>
      <c r="N1244" s="6">
        <f>HYPERLINK("http://www.eum.go.kr/web/ar/lu/luLandDet.jsp?pnu=3611036022105130000&amp;isNoScr=script&amp;mode=search", "토지이음")</f>
        <v/>
      </c>
      <c r="O1244" s="3" t="inlineStr">
        <is>
          <t>세종대장</t>
        </is>
      </c>
      <c r="P1244" s="4" t="n">
        <v>1</v>
      </c>
      <c r="Q1244" s="4" t="n">
        <v>3454.8</v>
      </c>
      <c r="R1244" s="3" t="inlineStr">
        <is>
          <t>지정되지않음</t>
        </is>
      </c>
      <c r="S1244" s="3" t="inlineStr">
        <is>
          <t>답</t>
        </is>
      </c>
      <c r="T1244" s="3" t="inlineStr">
        <is>
          <t>평지</t>
        </is>
      </c>
      <c r="U1244" s="3" t="inlineStr">
        <is>
          <t>세로장방</t>
        </is>
      </c>
      <c r="V1244" s="3" t="inlineStr">
        <is>
          <t>세로한면(가)</t>
        </is>
      </c>
    </row>
    <row r="1245">
      <c r="A1245" s="3" t="inlineStr">
        <is>
          <t>연서면 쌍전리 584</t>
        </is>
      </c>
      <c r="B1245" s="3" t="inlineStr">
        <is>
          <t>농림지역</t>
        </is>
      </c>
      <c r="C1245" s="3" t="inlineStr">
        <is>
          <t>답</t>
        </is>
      </c>
      <c r="D1245" s="3" t="inlineStr">
        <is>
          <t>답</t>
        </is>
      </c>
      <c r="E1245" s="3" t="inlineStr">
        <is>
          <t>매매</t>
        </is>
      </c>
      <c r="F1245" s="4" t="n">
        <v>136000</v>
      </c>
      <c r="G1245" s="4" t="n">
        <v>5295</v>
      </c>
      <c r="H1245" s="4" t="n">
        <v>1602</v>
      </c>
      <c r="I1245" s="5" t="n">
        <v>84.90000000000001</v>
      </c>
      <c r="J1245" s="5" t="n">
        <v>28.3</v>
      </c>
      <c r="K1245" s="3" t="inlineStr">
        <is>
          <t>대토로도 좋은 도로접한 농지입니다</t>
        </is>
      </c>
      <c r="L1245" s="6">
        <f>HYPERLINK("https://fin.land.naver.com/articles/2652124438", "매물Link")</f>
        <v/>
      </c>
      <c r="M1245" s="6">
        <f>HYPERLINK("https://map.naver.com/p/search/연서면 쌍전리 584", "지도Link")</f>
        <v/>
      </c>
      <c r="N1245" s="6">
        <f>HYPERLINK("http://www.eum.go.kr/web/ar/lu/luLandDet.jsp?pnu=3611036022105840000&amp;isNoScr=script&amp;mode=search", "토지이음")</f>
        <v/>
      </c>
      <c r="O1245" s="3" t="inlineStr">
        <is>
          <t>미스터홈즈강남지사</t>
        </is>
      </c>
      <c r="P1245" s="4" t="n">
        <v>2</v>
      </c>
      <c r="Q1245" s="4" t="n">
        <v>5295.3</v>
      </c>
      <c r="R1245" s="3" t="inlineStr">
        <is>
          <t>지정되지않음</t>
        </is>
      </c>
      <c r="S1245" s="3" t="inlineStr">
        <is>
          <t>답</t>
        </is>
      </c>
      <c r="T1245" s="3" t="inlineStr">
        <is>
          <t>평지</t>
        </is>
      </c>
      <c r="U1245" s="3" t="inlineStr">
        <is>
          <t>세로장방</t>
        </is>
      </c>
      <c r="V1245" s="3" t="inlineStr">
        <is>
          <t>세로한면(가)</t>
        </is>
      </c>
    </row>
    <row r="1246">
      <c r="A1246" s="3" t="inlineStr">
        <is>
          <t>연서면 쌍전리 638</t>
        </is>
      </c>
      <c r="B1246" s="3" t="inlineStr">
        <is>
          <t>농림지역</t>
        </is>
      </c>
      <c r="C1246" s="3" t="inlineStr">
        <is>
          <t>답</t>
        </is>
      </c>
      <c r="D1246" s="3" t="inlineStr">
        <is>
          <t>답</t>
        </is>
      </c>
      <c r="E1246" s="3" t="inlineStr">
        <is>
          <t>매매</t>
        </is>
      </c>
      <c r="F1246" s="4" t="n">
        <v>103800</v>
      </c>
      <c r="G1246" s="4" t="n">
        <v>3431</v>
      </c>
      <c r="H1246" s="4" t="n">
        <v>1038</v>
      </c>
      <c r="I1246" s="5" t="n">
        <v>100</v>
      </c>
      <c r="J1246" s="5" t="n">
        <v>28.3</v>
      </c>
      <c r="K1246" s="3" t="inlineStr">
        <is>
          <t>쌍전리 2차선도로 가까운 토지 북세종톨게이트 예정지 수혜지</t>
        </is>
      </c>
      <c r="L1246" s="6">
        <f>HYPERLINK("https://fin.land.naver.com/articles/2649964374", "매물Link")</f>
        <v/>
      </c>
      <c r="M1246" s="6">
        <f>HYPERLINK("https://map.naver.com/p/search/연서면 쌍전리 638", "지도Link")</f>
        <v/>
      </c>
      <c r="N1246" s="6">
        <f>HYPERLINK("http://www.eum.go.kr/web/ar/lu/luLandDet.jsp?pnu=3611036022106380000&amp;isNoScr=script&amp;mode=search", "토지이음")</f>
        <v/>
      </c>
      <c r="O1246" s="3" t="inlineStr">
        <is>
          <t>지성</t>
        </is>
      </c>
      <c r="P1246" s="4" t="n">
        <v>1</v>
      </c>
      <c r="Q1246" s="4" t="n">
        <v>3431.4</v>
      </c>
      <c r="R1246" s="3" t="inlineStr">
        <is>
          <t>지정되지않음</t>
        </is>
      </c>
      <c r="S1246" s="3" t="inlineStr">
        <is>
          <t>답</t>
        </is>
      </c>
      <c r="T1246" s="3" t="inlineStr">
        <is>
          <t>평지</t>
        </is>
      </c>
      <c r="U1246" s="3" t="inlineStr">
        <is>
          <t>세로장방</t>
        </is>
      </c>
      <c r="V1246" s="3" t="inlineStr">
        <is>
          <t>세로한면(가)</t>
        </is>
      </c>
    </row>
    <row r="1247">
      <c r="A1247" s="3" t="inlineStr">
        <is>
          <t>연서면 쌍전리 654</t>
        </is>
      </c>
      <c r="B1247" s="3" t="inlineStr">
        <is>
          <t>농림지역</t>
        </is>
      </c>
      <c r="C1247" s="3" t="inlineStr">
        <is>
          <t>답</t>
        </is>
      </c>
      <c r="D1247" s="3" t="inlineStr">
        <is>
          <t>답</t>
        </is>
      </c>
      <c r="E1247" s="3" t="inlineStr">
        <is>
          <t>매매</t>
        </is>
      </c>
      <c r="F1247" s="4" t="n">
        <v>132000</v>
      </c>
      <c r="G1247" s="4" t="n">
        <v>3980</v>
      </c>
      <c r="H1247" s="4" t="n">
        <v>1204</v>
      </c>
      <c r="I1247" s="5" t="n">
        <v>109.6</v>
      </c>
      <c r="J1247" s="5" t="n">
        <v>28</v>
      </c>
      <c r="K1247" s="3" t="inlineStr">
        <is>
          <t>도로접한 농림지역 농지. 대토추천</t>
        </is>
      </c>
      <c r="L1247" s="6">
        <f>HYPERLINK("https://fin.land.naver.com/articles/2649890122", "매물Link")</f>
        <v/>
      </c>
      <c r="M1247" s="6">
        <f>HYPERLINK("https://map.naver.com/p/search/연서면 쌍전리 654", "지도Link")</f>
        <v/>
      </c>
      <c r="N1247" s="6">
        <f>HYPERLINK("http://www.eum.go.kr/web/ar/lu/luLandDet.jsp?pnu=3611036022106540000&amp;isNoScr=script&amp;mode=search", "토지이음")</f>
        <v/>
      </c>
      <c r="O1247" s="3" t="inlineStr">
        <is>
          <t>미스터홈즈강남지사</t>
        </is>
      </c>
      <c r="P1247" s="4" t="n">
        <v>1</v>
      </c>
      <c r="Q1247" s="4" t="n">
        <v>3980.6</v>
      </c>
      <c r="R1247" s="3" t="inlineStr">
        <is>
          <t>지정되지않음</t>
        </is>
      </c>
      <c r="S1247" s="3" t="inlineStr">
        <is>
          <t>답</t>
        </is>
      </c>
      <c r="T1247" s="3" t="inlineStr">
        <is>
          <t>평지</t>
        </is>
      </c>
      <c r="U1247" s="3" t="inlineStr">
        <is>
          <t>부정형</t>
        </is>
      </c>
      <c r="V1247" s="3" t="inlineStr">
        <is>
          <t>세로한면(가)</t>
        </is>
      </c>
    </row>
    <row r="1248">
      <c r="A1248" s="3" t="inlineStr">
        <is>
          <t>연서면 쌍전리 684</t>
        </is>
      </c>
      <c r="B1248" s="3" t="inlineStr">
        <is>
          <t>농림지역</t>
        </is>
      </c>
      <c r="C1248" s="3" t="inlineStr">
        <is>
          <t>답</t>
        </is>
      </c>
      <c r="D1248" s="3" t="inlineStr">
        <is>
          <t>답</t>
        </is>
      </c>
      <c r="E1248" s="3" t="inlineStr">
        <is>
          <t>매매</t>
        </is>
      </c>
      <c r="F1248" s="4" t="n">
        <v>70000</v>
      </c>
      <c r="G1248" s="4" t="n">
        <v>1015</v>
      </c>
      <c r="H1248" s="4" t="n">
        <v>307</v>
      </c>
      <c r="I1248" s="5" t="n">
        <v>228</v>
      </c>
      <c r="J1248" s="5" t="n">
        <v>30.3</v>
      </c>
      <c r="K1248" s="3" t="inlineStr">
        <is>
          <t>2차선접,대토강추,투자가치최고</t>
        </is>
      </c>
      <c r="L1248" s="6">
        <f>HYPERLINK("https://fin.land.naver.com/articles/2654055320", "매물Link")</f>
        <v/>
      </c>
      <c r="M1248" s="6">
        <f>HYPERLINK("https://map.naver.com/p/search/연서면 쌍전리 684", "지도Link")</f>
        <v/>
      </c>
      <c r="N1248" s="6">
        <f>HYPERLINK("http://www.eum.go.kr/web/ar/lu/luLandDet.jsp?pnu=3611036022106840000&amp;isNoScr=script&amp;mode=search", "토지이음")</f>
        <v/>
      </c>
      <c r="O1248" s="3" t="inlineStr">
        <is>
          <t>힐스테이트행복</t>
        </is>
      </c>
      <c r="P1248" s="4" t="n">
        <v>1</v>
      </c>
      <c r="Q1248" s="4" t="n">
        <v>1015.5</v>
      </c>
      <c r="R1248" s="3" t="inlineStr">
        <is>
          <t>지정되지않음</t>
        </is>
      </c>
      <c r="S1248" s="3" t="inlineStr">
        <is>
          <t>답</t>
        </is>
      </c>
      <c r="T1248" s="3" t="inlineStr">
        <is>
          <t>평지</t>
        </is>
      </c>
      <c r="U1248" s="3" t="inlineStr">
        <is>
          <t>세로장방</t>
        </is>
      </c>
      <c r="V1248" s="3" t="inlineStr">
        <is>
          <t>소로한면</t>
        </is>
      </c>
    </row>
    <row r="1249">
      <c r="A1249" s="3" t="inlineStr">
        <is>
          <t>연서면 쌍전리 684</t>
        </is>
      </c>
      <c r="B1249" s="3" t="inlineStr">
        <is>
          <t>농림지역</t>
        </is>
      </c>
      <c r="C1249" s="3" t="inlineStr">
        <is>
          <t>답</t>
        </is>
      </c>
      <c r="D1249" s="3" t="inlineStr">
        <is>
          <t>답</t>
        </is>
      </c>
      <c r="E1249" s="3" t="inlineStr">
        <is>
          <t>매매</t>
        </is>
      </c>
      <c r="F1249" s="4" t="n">
        <v>70000</v>
      </c>
      <c r="G1249" s="4" t="n">
        <v>1016</v>
      </c>
      <c r="H1249" s="4" t="n">
        <v>307</v>
      </c>
      <c r="I1249" s="5" t="n">
        <v>228</v>
      </c>
      <c r="J1249" s="5" t="n">
        <v>30.3</v>
      </c>
      <c r="K1249" s="3" t="inlineStr">
        <is>
          <t>nan</t>
        </is>
      </c>
      <c r="L1249" s="6">
        <f>HYPERLINK("https://fin.land.naver.com/articles/2651396918", "매물Link")</f>
        <v/>
      </c>
      <c r="M1249" s="6">
        <f>HYPERLINK("https://map.naver.com/p/search/연서면 쌍전리 684", "지도Link")</f>
        <v/>
      </c>
      <c r="N1249" s="6">
        <f>HYPERLINK("http://www.eum.go.kr/web/ar/lu/luLandDet.jsp?pnu=3611036022106840000&amp;isNoScr=script&amp;mode=search", "토지이음")</f>
        <v/>
      </c>
      <c r="O1249" s="3" t="inlineStr">
        <is>
          <t>로데오상가</t>
        </is>
      </c>
      <c r="P1249" s="4" t="n">
        <v>1</v>
      </c>
      <c r="Q1249" s="4" t="n">
        <v>1015.5</v>
      </c>
      <c r="R1249" s="3" t="inlineStr">
        <is>
          <t>지정되지않음</t>
        </is>
      </c>
      <c r="S1249" s="3" t="inlineStr">
        <is>
          <t>답</t>
        </is>
      </c>
      <c r="T1249" s="3" t="inlineStr">
        <is>
          <t>평지</t>
        </is>
      </c>
      <c r="U1249" s="3" t="inlineStr">
        <is>
          <t>세로장방</t>
        </is>
      </c>
      <c r="V1249" s="3" t="inlineStr">
        <is>
          <t>소로한면</t>
        </is>
      </c>
    </row>
    <row r="1250">
      <c r="A1250" s="3" t="inlineStr">
        <is>
          <t>연서면 쌍전리 684</t>
        </is>
      </c>
      <c r="B1250" s="3" t="inlineStr">
        <is>
          <t>농림지역</t>
        </is>
      </c>
      <c r="C1250" s="3" t="inlineStr">
        <is>
          <t>답</t>
        </is>
      </c>
      <c r="D1250" s="3" t="inlineStr">
        <is>
          <t>답</t>
        </is>
      </c>
      <c r="E1250" s="3" t="inlineStr">
        <is>
          <t>매매</t>
        </is>
      </c>
      <c r="F1250" s="4" t="n">
        <v>70000</v>
      </c>
      <c r="G1250" s="4" t="n">
        <v>1015</v>
      </c>
      <c r="H1250" s="4" t="n">
        <v>307</v>
      </c>
      <c r="I1250" s="5" t="n">
        <v>228</v>
      </c>
      <c r="J1250" s="5" t="n">
        <v>30.3</v>
      </c>
      <c r="K1250" s="3" t="inlineStr">
        <is>
          <t>양면6미터도로접,북세종IC예정지앞,현재 복숭아 농사중,성토완료,</t>
        </is>
      </c>
      <c r="L1250" s="6">
        <f>HYPERLINK("https://fin.land.naver.com/articles/2651993946", "매물Link")</f>
        <v/>
      </c>
      <c r="M1250" s="6">
        <f>HYPERLINK("https://map.naver.com/p/search/연서면 쌍전리 684", "지도Link")</f>
        <v/>
      </c>
      <c r="N1250" s="6">
        <f>HYPERLINK("http://www.eum.go.kr/web/ar/lu/luLandDet.jsp?pnu=3611036022106840000&amp;isNoScr=script&amp;mode=search", "토지이음")</f>
        <v/>
      </c>
      <c r="O1250" s="3" t="inlineStr">
        <is>
          <t>담뜰</t>
        </is>
      </c>
      <c r="P1250" s="4" t="n">
        <v>8</v>
      </c>
      <c r="Q1250" s="4" t="n">
        <v>1015.5</v>
      </c>
      <c r="R1250" s="3" t="inlineStr">
        <is>
          <t>지정되지않음</t>
        </is>
      </c>
      <c r="S1250" s="3" t="inlineStr">
        <is>
          <t>답</t>
        </is>
      </c>
      <c r="T1250" s="3" t="inlineStr">
        <is>
          <t>평지</t>
        </is>
      </c>
      <c r="U1250" s="3" t="inlineStr">
        <is>
          <t>세로장방</t>
        </is>
      </c>
      <c r="V1250" s="3" t="inlineStr">
        <is>
          <t>소로한면</t>
        </is>
      </c>
    </row>
    <row r="1251">
      <c r="A1251" s="3" t="inlineStr">
        <is>
          <t>연서면 쌍전리 78</t>
        </is>
      </c>
      <c r="B1251" s="3" t="inlineStr">
        <is>
          <t>자연녹지지역</t>
        </is>
      </c>
      <c r="C1251" s="3" t="inlineStr">
        <is>
          <t>대</t>
        </is>
      </c>
      <c r="D1251" s="3" t="inlineStr">
        <is>
          <t>대</t>
        </is>
      </c>
      <c r="E1251" s="3" t="inlineStr">
        <is>
          <t>매매</t>
        </is>
      </c>
      <c r="F1251" s="4" t="n">
        <v>24500</v>
      </c>
      <c r="G1251" s="4" t="n">
        <v>324</v>
      </c>
      <c r="H1251" s="4" t="n">
        <v>98</v>
      </c>
      <c r="I1251" s="5" t="n">
        <v>250</v>
      </c>
      <c r="J1251" s="5" t="n">
        <v>106.9</v>
      </c>
      <c r="K1251" s="3" t="inlineStr">
        <is>
          <t>자연녹지, 자연취락지구 내 대지. 현재는 나대지임. 건폐율 60</t>
        </is>
      </c>
      <c r="L1251" s="6">
        <f>HYPERLINK("https://fin.land.naver.com/articles/2649900081", "매물Link")</f>
        <v/>
      </c>
      <c r="M1251" s="6">
        <f>HYPERLINK("https://map.naver.com/p/search/연서면 쌍전리 78", "지도Link")</f>
        <v/>
      </c>
      <c r="N1251" s="6">
        <f>HYPERLINK("http://www.eum.go.kr/web/ar/lu/luLandDet.jsp?pnu=3611036022100780000&amp;isNoScr=script&amp;mode=search", "토지이음")</f>
        <v/>
      </c>
      <c r="O1251" s="3" t="inlineStr">
        <is>
          <t>미스터홈즈강남지사</t>
        </is>
      </c>
      <c r="P1251" s="4" t="n">
        <v>1</v>
      </c>
      <c r="Q1251" s="4" t="n">
        <v>324</v>
      </c>
      <c r="R1251" s="3" t="inlineStr">
        <is>
          <t>지정되지않음</t>
        </is>
      </c>
      <c r="S1251" s="3" t="inlineStr">
        <is>
          <t>주거나지</t>
        </is>
      </c>
      <c r="T1251" s="3" t="inlineStr">
        <is>
          <t>평지</t>
        </is>
      </c>
      <c r="U1251" s="3" t="inlineStr">
        <is>
          <t>부정형</t>
        </is>
      </c>
      <c r="V1251" s="3" t="inlineStr">
        <is>
          <t>세로한면(가)</t>
        </is>
      </c>
    </row>
    <row r="1252">
      <c r="A1252" s="3" t="inlineStr">
        <is>
          <t>연서면 쌍전리 산 29-1</t>
        </is>
      </c>
      <c r="B1252" s="3" t="inlineStr">
        <is>
          <t>자연녹지지역</t>
        </is>
      </c>
      <c r="C1252" s="3" t="inlineStr">
        <is>
          <t>임야</t>
        </is>
      </c>
      <c r="D1252" s="3" t="inlineStr">
        <is>
          <t>임야</t>
        </is>
      </c>
      <c r="E1252" s="3" t="inlineStr">
        <is>
          <t>매매</t>
        </is>
      </c>
      <c r="F1252" s="4" t="n">
        <v>218500</v>
      </c>
      <c r="G1252" s="4" t="n">
        <v>7223</v>
      </c>
      <c r="H1252" s="4" t="n">
        <v>2185</v>
      </c>
      <c r="I1252" s="5" t="n">
        <v>100</v>
      </c>
      <c r="J1252" s="5" t="n">
        <v>20.6</v>
      </c>
      <c r="K1252" s="3" t="inlineStr">
        <is>
          <t>2필지. 자연취락지구,준보전산지.</t>
        </is>
      </c>
      <c r="L1252" s="6">
        <f>HYPERLINK("https://fin.land.naver.com/articles/2653109397", "매물Link")</f>
        <v/>
      </c>
      <c r="M1252" s="6">
        <f>HYPERLINK("https://map.naver.com/p/search/연서면 쌍전리 산 29-1", "지도Link")</f>
        <v/>
      </c>
      <c r="N1252" s="6">
        <f>HYPERLINK("http://www.eum.go.kr/web/ar/lu/luLandDet.jsp?pnu=3611036022200290001&amp;isNoScr=script&amp;mode=search", "토지이음")</f>
        <v/>
      </c>
      <c r="O1252" s="3" t="inlineStr">
        <is>
          <t>세종소담114</t>
        </is>
      </c>
      <c r="P1252" s="4" t="n">
        <v>1</v>
      </c>
      <c r="Q1252" s="4" t="n">
        <v>6446</v>
      </c>
      <c r="R1252" s="3" t="inlineStr">
        <is>
          <t>지정되지않음</t>
        </is>
      </c>
      <c r="S1252" s="3" t="inlineStr">
        <is>
          <t>자연림</t>
        </is>
      </c>
      <c r="T1252" s="3" t="inlineStr">
        <is>
          <t>완경사</t>
        </is>
      </c>
      <c r="U1252" s="3" t="inlineStr">
        <is>
          <t>부정형</t>
        </is>
      </c>
      <c r="V1252" s="3" t="inlineStr">
        <is>
          <t>맹지</t>
        </is>
      </c>
    </row>
    <row r="1253">
      <c r="A1253" s="3" t="inlineStr">
        <is>
          <t>연서면 와촌리 1075</t>
        </is>
      </c>
      <c r="B1253" s="3" t="inlineStr">
        <is>
          <t>보전관리지역</t>
        </is>
      </c>
      <c r="C1253" s="3" t="inlineStr">
        <is>
          <t>전</t>
        </is>
      </c>
      <c r="D1253" s="3" t="inlineStr">
        <is>
          <t>전</t>
        </is>
      </c>
      <c r="E1253" s="3" t="inlineStr">
        <is>
          <t>매매</t>
        </is>
      </c>
      <c r="F1253" s="4" t="n">
        <v>73000</v>
      </c>
      <c r="G1253" s="4" t="n">
        <v>1600</v>
      </c>
      <c r="H1253" s="4" t="n">
        <v>484</v>
      </c>
      <c r="I1253" s="5" t="n">
        <v>150.8</v>
      </c>
      <c r="J1253" s="5" t="n">
        <v>41.7</v>
      </c>
      <c r="K1253" s="3" t="inlineStr">
        <is>
          <t>세종 연서면 와촌리 토지</t>
        </is>
      </c>
      <c r="L1253" s="6">
        <f>HYPERLINK("https://fin.land.naver.com/articles/2649772695", "매물Link")</f>
        <v/>
      </c>
      <c r="M1253" s="6">
        <f>HYPERLINK("https://map.naver.com/p/search/연서면 와촌리 1075", "지도Link")</f>
        <v/>
      </c>
      <c r="N1253" s="6">
        <f>HYPERLINK("http://www.eum.go.kr/web/ar/lu/luLandDet.jsp?pnu=3611036031110750000&amp;isNoScr=script&amp;mode=search", "토지이음")</f>
        <v/>
      </c>
      <c r="O1253" s="3" t="inlineStr">
        <is>
          <t>세종몽땅</t>
        </is>
      </c>
      <c r="P1253" s="4" t="n">
        <v>1</v>
      </c>
      <c r="Q1253" s="4" t="n">
        <v>1600</v>
      </c>
      <c r="R1253" s="3" t="inlineStr">
        <is>
          <t>지정되지않음</t>
        </is>
      </c>
      <c r="S1253" s="3" t="inlineStr">
        <is>
          <t>전</t>
        </is>
      </c>
      <c r="T1253" s="3" t="inlineStr">
        <is>
          <t>완경사</t>
        </is>
      </c>
      <c r="U1253" s="3" t="inlineStr">
        <is>
          <t>부정형</t>
        </is>
      </c>
      <c r="V1253" s="3" t="inlineStr">
        <is>
          <t>세로한면(가)</t>
        </is>
      </c>
    </row>
    <row r="1254">
      <c r="A1254" s="3" t="inlineStr">
        <is>
          <t>연서면 와촌리 1092-4</t>
        </is>
      </c>
      <c r="B1254" s="3" t="inlineStr">
        <is>
          <t>계획관리지역</t>
        </is>
      </c>
      <c r="C1254" s="3" t="inlineStr">
        <is>
          <t>전</t>
        </is>
      </c>
      <c r="D1254" s="3" t="inlineStr">
        <is>
          <t>전</t>
        </is>
      </c>
      <c r="E1254" s="3" t="inlineStr">
        <is>
          <t>매매</t>
        </is>
      </c>
      <c r="F1254" s="4" t="n">
        <v>150000</v>
      </c>
      <c r="G1254" s="4" t="n">
        <v>1661</v>
      </c>
      <c r="H1254" s="4" t="n">
        <v>502</v>
      </c>
      <c r="I1254" s="5" t="n">
        <v>298.8</v>
      </c>
      <c r="J1254" s="5" t="n">
        <v>59.2</v>
      </c>
      <c r="K1254" s="3" t="inlineStr">
        <is>
          <t>지방도 접해 있고 다양한 용도로 활용성 높은 투자가치 높은 용지</t>
        </is>
      </c>
      <c r="L1254" s="6">
        <f>HYPERLINK("https://fin.land.naver.com/articles/2654432271", "매물Link")</f>
        <v/>
      </c>
      <c r="M1254" s="6">
        <f>HYPERLINK("https://map.naver.com/p/search/연서면 와촌리 1092-4", "지도Link")</f>
        <v/>
      </c>
      <c r="N1254" s="6">
        <f>HYPERLINK("http://www.eum.go.kr/web/ar/lu/luLandDet.jsp?pnu=3611036031110920004&amp;isNoScr=script&amp;mode=search", "토지이음")</f>
        <v/>
      </c>
      <c r="O1254" s="3" t="inlineStr">
        <is>
          <t>반곡황금더샵</t>
        </is>
      </c>
      <c r="P1254" s="4" t="n">
        <v>1</v>
      </c>
      <c r="Q1254" s="4" t="n">
        <v>1661</v>
      </c>
      <c r="R1254" s="3" t="inlineStr">
        <is>
          <t>지정되지않음</t>
        </is>
      </c>
      <c r="S1254" s="3" t="inlineStr">
        <is>
          <t>전기타</t>
        </is>
      </c>
      <c r="T1254" s="3" t="inlineStr">
        <is>
          <t>평지</t>
        </is>
      </c>
      <c r="U1254" s="3" t="inlineStr">
        <is>
          <t>부정형</t>
        </is>
      </c>
      <c r="V1254" s="3" t="inlineStr">
        <is>
          <t>소로한면</t>
        </is>
      </c>
    </row>
    <row r="1255">
      <c r="A1255" s="3" t="inlineStr">
        <is>
          <t>연서면 와촌리 1094</t>
        </is>
      </c>
      <c r="B1255" s="3" t="inlineStr">
        <is>
          <t>계획관리지역</t>
        </is>
      </c>
      <c r="C1255" s="3" t="inlineStr">
        <is>
          <t>전</t>
        </is>
      </c>
      <c r="D1255" s="3" t="inlineStr">
        <is>
          <t>전</t>
        </is>
      </c>
      <c r="E1255" s="3" t="inlineStr">
        <is>
          <t>매매</t>
        </is>
      </c>
      <c r="F1255" s="4" t="n">
        <v>34400</v>
      </c>
      <c r="G1255" s="4" t="n">
        <v>284</v>
      </c>
      <c r="H1255" s="4" t="n">
        <v>86</v>
      </c>
      <c r="I1255" s="5" t="n">
        <v>400</v>
      </c>
      <c r="J1255" s="5" t="n">
        <v>80.09999999999999</v>
      </c>
      <c r="K1255" s="3" t="inlineStr">
        <is>
          <t>상가 신축에 아주 적합한 2차선변에 길게 접한 소액투자 토지</t>
        </is>
      </c>
      <c r="L1255" s="6">
        <f>HYPERLINK("https://fin.land.naver.com/articles/2651949476", "매물Link")</f>
        <v/>
      </c>
      <c r="M1255" s="6">
        <f>HYPERLINK("https://map.naver.com/p/search/연서면 와촌리 1094", "지도Link")</f>
        <v/>
      </c>
      <c r="N1255" s="6">
        <f>HYPERLINK("http://www.eum.go.kr/web/ar/lu/luLandDet.jsp?pnu=3611036031110940000&amp;isNoScr=script&amp;mode=search", "토지이음")</f>
        <v/>
      </c>
      <c r="O1255" s="3" t="inlineStr">
        <is>
          <t>용궁</t>
        </is>
      </c>
      <c r="P1255" s="4" t="n">
        <v>1</v>
      </c>
      <c r="Q1255" s="4" t="n">
        <v>285</v>
      </c>
      <c r="R1255" s="3" t="inlineStr">
        <is>
          <t>지정되지않음</t>
        </is>
      </c>
      <c r="S1255" s="3" t="inlineStr">
        <is>
          <t>전</t>
        </is>
      </c>
      <c r="T1255" s="3" t="inlineStr">
        <is>
          <t>평지</t>
        </is>
      </c>
      <c r="U1255" s="3" t="inlineStr">
        <is>
          <t>부정형</t>
        </is>
      </c>
      <c r="V1255" s="3" t="inlineStr">
        <is>
          <t>소로한면</t>
        </is>
      </c>
    </row>
    <row r="1256">
      <c r="A1256" s="3" t="inlineStr">
        <is>
          <t>연서면 와촌리 1175</t>
        </is>
      </c>
      <c r="B1256" s="3" t="inlineStr">
        <is>
          <t>보전관리지역</t>
        </is>
      </c>
      <c r="C1256" s="3" t="inlineStr">
        <is>
          <t>과수원</t>
        </is>
      </c>
      <c r="D1256" s="3" t="inlineStr">
        <is>
          <t>과수원</t>
        </is>
      </c>
      <c r="E1256" s="3" t="inlineStr">
        <is>
          <t>매매</t>
        </is>
      </c>
      <c r="F1256" s="4" t="n">
        <v>18000</v>
      </c>
      <c r="G1256" s="4" t="n">
        <v>744</v>
      </c>
      <c r="H1256" s="4" t="n">
        <v>225</v>
      </c>
      <c r="I1256" s="5" t="n">
        <v>80</v>
      </c>
      <c r="J1256" s="5" t="n">
        <v>23.7</v>
      </c>
      <c r="K1256" s="3" t="inlineStr">
        <is>
          <t>소액 투자나 농막 체류형쉼터용 농지</t>
        </is>
      </c>
      <c r="L1256" s="6">
        <f>HYPERLINK("https://fin.land.naver.com/articles/2651948470", "매물Link")</f>
        <v/>
      </c>
      <c r="M1256" s="6">
        <f>HYPERLINK("https://map.naver.com/p/search/연서면 와촌리 1175", "지도Link")</f>
        <v/>
      </c>
      <c r="N1256" s="6">
        <f>HYPERLINK("http://www.eum.go.kr/web/ar/lu/luLandDet.jsp?pnu=3611036031111750000&amp;isNoScr=script&amp;mode=search", "토지이음")</f>
        <v/>
      </c>
      <c r="O1256" s="3" t="inlineStr">
        <is>
          <t>용궁</t>
        </is>
      </c>
      <c r="P1256" s="4" t="n">
        <v>1</v>
      </c>
      <c r="Q1256" s="4" t="n">
        <v>744</v>
      </c>
      <c r="R1256" s="3" t="inlineStr">
        <is>
          <t>지정되지않음</t>
        </is>
      </c>
      <c r="S1256" s="3" t="inlineStr">
        <is>
          <t>과수원</t>
        </is>
      </c>
      <c r="T1256" s="3" t="inlineStr">
        <is>
          <t>완경사</t>
        </is>
      </c>
      <c r="U1256" s="3" t="inlineStr">
        <is>
          <t>부정형</t>
        </is>
      </c>
      <c r="V1256" s="3" t="inlineStr">
        <is>
          <t>맹지</t>
        </is>
      </c>
    </row>
    <row r="1257">
      <c r="A1257" s="3" t="inlineStr">
        <is>
          <t>연서면 와촌리 1180</t>
        </is>
      </c>
      <c r="B1257" s="3" t="inlineStr">
        <is>
          <t>계획관리지역</t>
        </is>
      </c>
      <c r="C1257" s="3" t="inlineStr">
        <is>
          <t>대</t>
        </is>
      </c>
      <c r="D1257" s="3" t="inlineStr">
        <is>
          <t>대</t>
        </is>
      </c>
      <c r="E1257" s="3" t="inlineStr">
        <is>
          <t>매매</t>
        </is>
      </c>
      <c r="F1257" s="4" t="n">
        <v>180000</v>
      </c>
      <c r="G1257" s="4" t="n">
        <v>2380</v>
      </c>
      <c r="H1257" s="4" t="n">
        <v>720</v>
      </c>
      <c r="I1257" s="5" t="n">
        <v>250</v>
      </c>
      <c r="J1257" s="5" t="n">
        <v>84.8</v>
      </c>
      <c r="K1257" s="3" t="inlineStr">
        <is>
          <t>마을 맨 윗쪽 넓은 전원주택지. 현재 전 및 일부 축사</t>
        </is>
      </c>
      <c r="L1257" s="6">
        <f>HYPERLINK("https://fin.land.naver.com/articles/2651423318", "매물Link")</f>
        <v/>
      </c>
      <c r="M1257" s="6">
        <f>HYPERLINK("https://map.naver.com/p/search/연서면 와촌리 1180", "지도Link")</f>
        <v/>
      </c>
      <c r="N1257" s="6">
        <f>HYPERLINK("http://www.eum.go.kr/web/ar/lu/luLandDet.jsp?pnu=3611036031111800000&amp;isNoScr=script&amp;mode=search", "토지이음")</f>
        <v/>
      </c>
      <c r="O1257" s="3" t="inlineStr">
        <is>
          <t>세종소담114</t>
        </is>
      </c>
      <c r="P1257" s="4" t="n">
        <v>1</v>
      </c>
      <c r="Q1257" s="4" t="n">
        <v>2380</v>
      </c>
      <c r="R1257" s="3" t="inlineStr">
        <is>
          <t>지정되지않음</t>
        </is>
      </c>
      <c r="S1257" s="3" t="inlineStr">
        <is>
          <t>주거기타</t>
        </is>
      </c>
      <c r="T1257" s="3" t="inlineStr">
        <is>
          <t>평지</t>
        </is>
      </c>
      <c r="U1257" s="3" t="inlineStr">
        <is>
          <t>사다리형</t>
        </is>
      </c>
      <c r="V1257" s="3" t="inlineStr">
        <is>
          <t>세로한면(불)</t>
        </is>
      </c>
    </row>
    <row r="1258">
      <c r="A1258" s="3" t="inlineStr">
        <is>
          <t>연서면 와촌리 1180</t>
        </is>
      </c>
      <c r="B1258" s="3" t="inlineStr">
        <is>
          <t>계획관리지역</t>
        </is>
      </c>
      <c r="C1258" s="3" t="inlineStr">
        <is>
          <t>대</t>
        </is>
      </c>
      <c r="D1258" s="3" t="inlineStr">
        <is>
          <t>대</t>
        </is>
      </c>
      <c r="E1258" s="3" t="inlineStr">
        <is>
          <t>매매</t>
        </is>
      </c>
      <c r="F1258" s="4" t="n">
        <v>180000</v>
      </c>
      <c r="G1258" s="4" t="n">
        <v>2380</v>
      </c>
      <c r="H1258" s="4" t="n">
        <v>720</v>
      </c>
      <c r="I1258" s="5" t="n">
        <v>250</v>
      </c>
      <c r="J1258" s="5" t="n">
        <v>84.8</v>
      </c>
      <c r="K1258" s="3" t="inlineStr">
        <is>
          <t>세종시 인기지역, 국가산업단지 인근, 현재 축사건물있음 , 투자가치높음</t>
        </is>
      </c>
      <c r="L1258" s="6">
        <f>HYPERLINK("https://fin.land.naver.com/articles/2652354951", "매물Link")</f>
        <v/>
      </c>
      <c r="M1258" s="6">
        <f>HYPERLINK("https://map.naver.com/p/search/연서면 와촌리 1180", "지도Link")</f>
        <v/>
      </c>
      <c r="N1258" s="6">
        <f>HYPERLINK("http://www.eum.go.kr/web/ar/lu/luLandDet.jsp?pnu=3611036031111800000&amp;isNoScr=script&amp;mode=search", "토지이음")</f>
        <v/>
      </c>
      <c r="O1258" s="3" t="inlineStr">
        <is>
          <t>세종특별시</t>
        </is>
      </c>
      <c r="P1258" s="4" t="n">
        <v>1</v>
      </c>
      <c r="Q1258" s="4" t="n">
        <v>2380</v>
      </c>
      <c r="R1258" s="3" t="inlineStr">
        <is>
          <t>지정되지않음</t>
        </is>
      </c>
      <c r="S1258" s="3" t="inlineStr">
        <is>
          <t>주거기타</t>
        </is>
      </c>
      <c r="T1258" s="3" t="inlineStr">
        <is>
          <t>평지</t>
        </is>
      </c>
      <c r="U1258" s="3" t="inlineStr">
        <is>
          <t>사다리형</t>
        </is>
      </c>
      <c r="V1258" s="3" t="inlineStr">
        <is>
          <t>세로한면(불)</t>
        </is>
      </c>
    </row>
    <row r="1259">
      <c r="A1259" s="3" t="inlineStr">
        <is>
          <t>연서면 와촌리 1182</t>
        </is>
      </c>
      <c r="B1259" s="3" t="inlineStr">
        <is>
          <t>계획관리지역</t>
        </is>
      </c>
      <c r="C1259" s="3" t="inlineStr">
        <is>
          <t>대</t>
        </is>
      </c>
      <c r="D1259" s="3" t="inlineStr">
        <is>
          <t>대</t>
        </is>
      </c>
      <c r="E1259" s="3" t="inlineStr">
        <is>
          <t>매매</t>
        </is>
      </c>
      <c r="F1259" s="4" t="n">
        <v>140000</v>
      </c>
      <c r="G1259" s="4" t="n">
        <v>1689</v>
      </c>
      <c r="H1259" s="4" t="n">
        <v>511</v>
      </c>
      <c r="I1259" s="5" t="n">
        <v>274</v>
      </c>
      <c r="J1259" s="5" t="n">
        <v>85.59999999999999</v>
      </c>
      <c r="K1259" s="3" t="inlineStr">
        <is>
          <t>복숭아 나무 식재 중, 토지모양 굿, 자연취락지구, 성장관리계획구역</t>
        </is>
      </c>
      <c r="L1259" s="6">
        <f>HYPERLINK("https://fin.land.naver.com/articles/2653281131", "매물Link")</f>
        <v/>
      </c>
      <c r="M1259" s="6">
        <f>HYPERLINK("https://map.naver.com/p/search/연서면 와촌리 1182", "지도Link")</f>
        <v/>
      </c>
      <c r="N1259" s="6">
        <f>HYPERLINK("http://www.eum.go.kr/web/ar/lu/luLandDet.jsp?pnu=3611036031111820000&amp;isNoScr=script&amp;mode=search", "토지이음")</f>
        <v/>
      </c>
      <c r="O1259" s="3" t="inlineStr">
        <is>
          <t>올바른</t>
        </is>
      </c>
      <c r="P1259" s="4" t="n">
        <v>1</v>
      </c>
      <c r="Q1259" s="4" t="n">
        <v>1689</v>
      </c>
      <c r="R1259" s="3" t="inlineStr">
        <is>
          <t>지정되지않음</t>
        </is>
      </c>
      <c r="S1259" s="3" t="inlineStr">
        <is>
          <t>주거나지</t>
        </is>
      </c>
      <c r="T1259" s="3" t="inlineStr">
        <is>
          <t>평지</t>
        </is>
      </c>
      <c r="U1259" s="3" t="inlineStr">
        <is>
          <t>사다리형</t>
        </is>
      </c>
      <c r="V1259" s="3" t="inlineStr">
        <is>
          <t>세로한면(불)</t>
        </is>
      </c>
    </row>
    <row r="1260">
      <c r="A1260" s="3" t="inlineStr">
        <is>
          <t>연서면 와촌리 1183-1</t>
        </is>
      </c>
      <c r="B1260" s="3" t="inlineStr">
        <is>
          <t>계획관리지역</t>
        </is>
      </c>
      <c r="C1260" s="3" t="inlineStr">
        <is>
          <t>답</t>
        </is>
      </c>
      <c r="D1260" s="3" t="inlineStr">
        <is>
          <t>답</t>
        </is>
      </c>
      <c r="E1260" s="3" t="inlineStr">
        <is>
          <t>매매</t>
        </is>
      </c>
      <c r="F1260" s="4" t="n">
        <v>360000</v>
      </c>
      <c r="G1260" s="4" t="n">
        <v>3769</v>
      </c>
      <c r="H1260" s="4" t="n">
        <v>1140</v>
      </c>
      <c r="I1260" s="5" t="n">
        <v>315.8</v>
      </c>
      <c r="J1260" s="5" t="n">
        <v>76.3</v>
      </c>
      <c r="K1260" s="3" t="inlineStr">
        <is>
          <t>국가산업단지인근 계획관리지역 분할매매도 가능</t>
        </is>
      </c>
      <c r="L1260" s="6">
        <f>HYPERLINK("https://fin.land.naver.com/articles/2651159468", "매물Link")</f>
        <v/>
      </c>
      <c r="M1260" s="6">
        <f>HYPERLINK("https://map.naver.com/p/search/연서면 와촌리 1183-1", "지도Link")</f>
        <v/>
      </c>
      <c r="N1260" s="6">
        <f>HYPERLINK("http://www.eum.go.kr/web/ar/lu/luLandDet.jsp?pnu=3611036031111830001&amp;isNoScr=script&amp;mode=search", "토지이음")</f>
        <v/>
      </c>
      <c r="O1260" s="3" t="inlineStr">
        <is>
          <t>샘터아이파크시티</t>
        </is>
      </c>
      <c r="P1260" s="4" t="n">
        <v>2</v>
      </c>
      <c r="Q1260" s="4" t="n">
        <v>3769</v>
      </c>
      <c r="R1260" s="3" t="inlineStr">
        <is>
          <t>지정되지않음</t>
        </is>
      </c>
      <c r="S1260" s="3" t="inlineStr">
        <is>
          <t>답</t>
        </is>
      </c>
      <c r="T1260" s="3" t="inlineStr">
        <is>
          <t>평지</t>
        </is>
      </c>
      <c r="U1260" s="3" t="inlineStr">
        <is>
          <t>자루형</t>
        </is>
      </c>
      <c r="V1260" s="3" t="inlineStr">
        <is>
          <t>소로한면</t>
        </is>
      </c>
    </row>
    <row r="1261">
      <c r="A1261" s="3" t="inlineStr">
        <is>
          <t>연서면 와촌리 1185-1</t>
        </is>
      </c>
      <c r="B1261" s="3" t="inlineStr">
        <is>
          <t>계획관리지역</t>
        </is>
      </c>
      <c r="C1261" s="3" t="inlineStr">
        <is>
          <t>전</t>
        </is>
      </c>
      <c r="D1261" s="3" t="inlineStr">
        <is>
          <t>전</t>
        </is>
      </c>
      <c r="E1261" s="3" t="inlineStr">
        <is>
          <t>매매</t>
        </is>
      </c>
      <c r="F1261" s="4" t="n">
        <v>240000</v>
      </c>
      <c r="G1261" s="4" t="n">
        <v>2432</v>
      </c>
      <c r="H1261" s="4" t="n">
        <v>736</v>
      </c>
      <c r="I1261" s="5" t="n">
        <v>326.1</v>
      </c>
      <c r="J1261" s="5" t="n">
        <v>77.09999999999999</v>
      </c>
      <c r="K1261" s="3" t="inlineStr">
        <is>
          <t>계획관리, 성장관리 지역, 2차선 도로 바로 옆 토지, 국가산단 5분거리</t>
        </is>
      </c>
      <c r="L1261" s="6">
        <f>HYPERLINK("https://fin.land.naver.com/articles/2653281350", "매물Link")</f>
        <v/>
      </c>
      <c r="M1261" s="6">
        <f>HYPERLINK("https://map.naver.com/p/search/연서면 와촌리 1185-1", "지도Link")</f>
        <v/>
      </c>
      <c r="N1261" s="6">
        <f>HYPERLINK("http://www.eum.go.kr/web/ar/lu/luLandDet.jsp?pnu=3611036031111850001&amp;isNoScr=script&amp;mode=search", "토지이음")</f>
        <v/>
      </c>
      <c r="O1261" s="3" t="inlineStr">
        <is>
          <t>올바른</t>
        </is>
      </c>
      <c r="P1261" s="4" t="n">
        <v>1</v>
      </c>
      <c r="Q1261" s="4" t="n">
        <v>1660</v>
      </c>
      <c r="R1261" s="3" t="inlineStr">
        <is>
          <t>지정되지않음</t>
        </is>
      </c>
      <c r="S1261" s="3" t="inlineStr">
        <is>
          <t>전</t>
        </is>
      </c>
      <c r="T1261" s="3" t="inlineStr">
        <is>
          <t>평지</t>
        </is>
      </c>
      <c r="U1261" s="3" t="inlineStr">
        <is>
          <t>부정형</t>
        </is>
      </c>
      <c r="V1261" s="3" t="inlineStr">
        <is>
          <t>소로한면</t>
        </is>
      </c>
    </row>
    <row r="1262">
      <c r="A1262" s="3" t="inlineStr">
        <is>
          <t>연서면 와촌리 314-2</t>
        </is>
      </c>
      <c r="B1262" s="3" t="inlineStr">
        <is>
          <t>계획관리지역</t>
        </is>
      </c>
      <c r="C1262" s="3" t="inlineStr">
        <is>
          <t>전</t>
        </is>
      </c>
      <c r="D1262" s="3" t="inlineStr">
        <is>
          <t>전</t>
        </is>
      </c>
      <c r="E1262" s="3" t="inlineStr">
        <is>
          <t>매매</t>
        </is>
      </c>
      <c r="F1262" s="4" t="n">
        <v>91683</v>
      </c>
      <c r="G1262" s="4" t="n">
        <v>1656</v>
      </c>
      <c r="H1262" s="4" t="n">
        <v>501</v>
      </c>
      <c r="I1262" s="5" t="n">
        <v>183</v>
      </c>
      <c r="J1262" s="5" t="n">
        <v>63.1</v>
      </c>
      <c r="K1262" s="3" t="inlineStr">
        <is>
          <t>와촌리 급매 투자 및 국가산단 보상 대토 강력 추천 계획관리</t>
        </is>
      </c>
      <c r="L1262" s="6">
        <f>HYPERLINK("https://fin.land.naver.com/articles/2653501223", "매물Link")</f>
        <v/>
      </c>
      <c r="M1262" s="6">
        <f>HYPERLINK("https://map.naver.com/p/search/연서면 와촌리 314-2", "지도Link")</f>
        <v/>
      </c>
      <c r="N1262" s="6">
        <f>HYPERLINK("http://www.eum.go.kr/web/ar/lu/luLandDet.jsp?pnu=3611036031103140002&amp;isNoScr=script&amp;mode=search", "토지이음")</f>
        <v/>
      </c>
      <c r="O1262" s="3" t="inlineStr">
        <is>
          <t>연서</t>
        </is>
      </c>
      <c r="P1262" s="4" t="n">
        <v>1</v>
      </c>
      <c r="Q1262" s="4" t="n">
        <v>1656</v>
      </c>
      <c r="R1262" s="3" t="inlineStr">
        <is>
          <t>지정되지않음</t>
        </is>
      </c>
      <c r="S1262" s="3" t="inlineStr">
        <is>
          <t>전</t>
        </is>
      </c>
      <c r="T1262" s="3" t="inlineStr">
        <is>
          <t>평지</t>
        </is>
      </c>
      <c r="U1262" s="3" t="inlineStr">
        <is>
          <t>부정형</t>
        </is>
      </c>
      <c r="V1262" s="3" t="inlineStr">
        <is>
          <t>세로한면(가)</t>
        </is>
      </c>
    </row>
    <row r="1263">
      <c r="A1263" s="3" t="inlineStr">
        <is>
          <t>연서면 와촌리 430-9</t>
        </is>
      </c>
      <c r="B1263" s="3" t="inlineStr">
        <is>
          <t>농림지역</t>
        </is>
      </c>
      <c r="C1263" s="3" t="inlineStr">
        <is>
          <t>답</t>
        </is>
      </c>
      <c r="D1263" s="3" t="inlineStr">
        <is>
          <t>답</t>
        </is>
      </c>
      <c r="E1263" s="3" t="inlineStr">
        <is>
          <t>매매</t>
        </is>
      </c>
      <c r="F1263" s="4" t="n">
        <v>110000</v>
      </c>
      <c r="G1263" s="4" t="n">
        <v>3017</v>
      </c>
      <c r="H1263" s="4" t="n">
        <v>913</v>
      </c>
      <c r="I1263" s="5" t="n">
        <v>120.5</v>
      </c>
      <c r="J1263" s="5" t="n">
        <v>40.4</v>
      </c>
      <c r="K1263" s="3" t="inlineStr">
        <is>
          <t>세종스마트산업단지 인접 논답</t>
        </is>
      </c>
      <c r="L1263" s="6">
        <f>HYPERLINK("https://fin.land.naver.com/articles/2651924800", "매물Link")</f>
        <v/>
      </c>
      <c r="M1263" s="6">
        <f>HYPERLINK("https://map.naver.com/p/search/연서면 와촌리 430-9", "지도Link")</f>
        <v/>
      </c>
      <c r="N1263" s="6">
        <f>HYPERLINK("http://www.eum.go.kr/web/ar/lu/luLandDet.jsp?pnu=3611036031104300009&amp;isNoScr=script&amp;mode=search", "토지이음")</f>
        <v/>
      </c>
      <c r="O1263" s="3" t="inlineStr">
        <is>
          <t>강아지풀</t>
        </is>
      </c>
      <c r="P1263" s="4" t="n">
        <v>2</v>
      </c>
      <c r="Q1263" s="4" t="n">
        <v>3017</v>
      </c>
      <c r="R1263" s="3" t="inlineStr">
        <is>
          <t>지정되지않음</t>
        </is>
      </c>
      <c r="S1263" s="3" t="inlineStr">
        <is>
          <t>답</t>
        </is>
      </c>
      <c r="T1263" s="3" t="inlineStr">
        <is>
          <t>평지</t>
        </is>
      </c>
      <c r="U1263" s="3" t="inlineStr">
        <is>
          <t>가로장방</t>
        </is>
      </c>
      <c r="V1263" s="3" t="inlineStr">
        <is>
          <t>세로한면(가)</t>
        </is>
      </c>
    </row>
    <row r="1264">
      <c r="A1264" s="3" t="inlineStr">
        <is>
          <t>연서면 와촌리 437-2</t>
        </is>
      </c>
      <c r="B1264" s="3" t="inlineStr">
        <is>
          <t>농림지역</t>
        </is>
      </c>
      <c r="C1264" s="3" t="inlineStr">
        <is>
          <t>답</t>
        </is>
      </c>
      <c r="D1264" s="3" t="inlineStr">
        <is>
          <t>답</t>
        </is>
      </c>
      <c r="E1264" s="3" t="inlineStr">
        <is>
          <t>매매</t>
        </is>
      </c>
      <c r="F1264" s="4" t="n">
        <v>33000</v>
      </c>
      <c r="G1264" s="4" t="n">
        <v>1092</v>
      </c>
      <c r="H1264" s="4" t="n">
        <v>330</v>
      </c>
      <c r="I1264" s="5" t="n">
        <v>100</v>
      </c>
      <c r="J1264" s="5" t="n">
        <v>40.8</v>
      </c>
      <c r="K1264" s="3" t="inlineStr">
        <is>
          <t>세종스마트 국가산업단지 옆 와촌리 토지 급매.</t>
        </is>
      </c>
      <c r="L1264" s="6">
        <f>HYPERLINK("https://fin.land.naver.com/articles/2650939358", "매물Link")</f>
        <v/>
      </c>
      <c r="M1264" s="6">
        <f>HYPERLINK("https://map.naver.com/p/search/연서면 와촌리 437-2", "지도Link")</f>
        <v/>
      </c>
      <c r="N1264" s="6">
        <f>HYPERLINK("http://www.eum.go.kr/web/ar/lu/luLandDet.jsp?pnu=3611036031104370002&amp;isNoScr=script&amp;mode=search", "토지이음")</f>
        <v/>
      </c>
      <c r="O1264" s="3" t="inlineStr">
        <is>
          <t>세종대장</t>
        </is>
      </c>
      <c r="P1264" s="4" t="n">
        <v>1</v>
      </c>
      <c r="Q1264" s="4" t="n">
        <v>1092</v>
      </c>
      <c r="R1264" s="3" t="inlineStr">
        <is>
          <t>지정되지않음</t>
        </is>
      </c>
      <c r="S1264" s="3" t="inlineStr">
        <is>
          <t>답</t>
        </is>
      </c>
      <c r="T1264" s="3" t="inlineStr">
        <is>
          <t>평지</t>
        </is>
      </c>
      <c r="U1264" s="3" t="inlineStr">
        <is>
          <t>세로장방</t>
        </is>
      </c>
      <c r="V1264" s="3" t="inlineStr">
        <is>
          <t>세로한면(가)</t>
        </is>
      </c>
    </row>
    <row r="1265">
      <c r="A1265" s="3" t="inlineStr">
        <is>
          <t>연서면 와촌리 437-3</t>
        </is>
      </c>
      <c r="B1265" s="3" t="inlineStr">
        <is>
          <t>농림지역</t>
        </is>
      </c>
      <c r="C1265" s="3" t="inlineStr">
        <is>
          <t>답</t>
        </is>
      </c>
      <c r="D1265" s="3" t="inlineStr">
        <is>
          <t>답</t>
        </is>
      </c>
      <c r="E1265" s="3" t="inlineStr">
        <is>
          <t>매매</t>
        </is>
      </c>
      <c r="F1265" s="4" t="n">
        <v>150000</v>
      </c>
      <c r="G1265" s="4" t="n">
        <v>2991</v>
      </c>
      <c r="H1265" s="4" t="n">
        <v>905</v>
      </c>
      <c r="I1265" s="5" t="n">
        <v>165.7</v>
      </c>
      <c r="J1265" s="5" t="n">
        <v>40.8</v>
      </c>
      <c r="K1265" s="3" t="inlineStr">
        <is>
          <t>조치원산단 인근 농지. 투자용으로 추천</t>
        </is>
      </c>
      <c r="L1265" s="6">
        <f>HYPERLINK("https://fin.land.naver.com/articles/2650858525", "매물Link")</f>
        <v/>
      </c>
      <c r="M1265" s="6">
        <f>HYPERLINK("https://map.naver.com/p/search/연서면 와촌리 437-3", "지도Link")</f>
        <v/>
      </c>
      <c r="N1265" s="6">
        <f>HYPERLINK("http://www.eum.go.kr/web/ar/lu/luLandDet.jsp?pnu=3611036031104370003&amp;isNoScr=script&amp;mode=search", "토지이음")</f>
        <v/>
      </c>
      <c r="O1265" s="3" t="inlineStr">
        <is>
          <t>세종대박</t>
        </is>
      </c>
      <c r="P1265" s="4" t="n">
        <v>1</v>
      </c>
      <c r="Q1265" s="4" t="n">
        <v>2992</v>
      </c>
      <c r="R1265" s="3" t="inlineStr">
        <is>
          <t>지정되지않음</t>
        </is>
      </c>
      <c r="S1265" s="3" t="inlineStr">
        <is>
          <t>답</t>
        </is>
      </c>
      <c r="T1265" s="3" t="inlineStr">
        <is>
          <t>평지</t>
        </is>
      </c>
      <c r="U1265" s="3" t="inlineStr">
        <is>
          <t>세로장방</t>
        </is>
      </c>
      <c r="V1265" s="3" t="inlineStr">
        <is>
          <t>세로한면(가)</t>
        </is>
      </c>
    </row>
    <row r="1266">
      <c r="A1266" s="3" t="inlineStr">
        <is>
          <t>연서면 와촌리 858-1</t>
        </is>
      </c>
      <c r="B1266" s="3" t="inlineStr">
        <is>
          <t>계획관리지역</t>
        </is>
      </c>
      <c r="C1266" s="3" t="inlineStr">
        <is>
          <t>대</t>
        </is>
      </c>
      <c r="D1266" s="3" t="inlineStr">
        <is>
          <t>대</t>
        </is>
      </c>
      <c r="E1266" s="3" t="inlineStr">
        <is>
          <t>매매</t>
        </is>
      </c>
      <c r="F1266" s="4" t="n">
        <v>230000</v>
      </c>
      <c r="G1266" s="4" t="n">
        <v>1264</v>
      </c>
      <c r="H1266" s="4" t="n">
        <v>382</v>
      </c>
      <c r="I1266" s="5" t="n">
        <v>602.1</v>
      </c>
      <c r="J1266" s="5" t="n">
        <v>134.5</v>
      </c>
      <c r="K1266" s="3" t="inlineStr">
        <is>
          <t>세종산업단지인근 2차선도로 계획관리지역 토지매매</t>
        </is>
      </c>
      <c r="L1266" s="6">
        <f>HYPERLINK("https://fin.land.naver.com/articles/2652045069", "매물Link")</f>
        <v/>
      </c>
      <c r="M1266" s="6">
        <f>HYPERLINK("https://map.naver.com/p/search/연서면 와촌리 858-1", "지도Link")</f>
        <v/>
      </c>
      <c r="N1266" s="6">
        <f>HYPERLINK("http://www.eum.go.kr/web/ar/lu/luLandDet.jsp?pnu=3611036031108580001&amp;isNoScr=script&amp;mode=search", "토지이음")</f>
        <v/>
      </c>
      <c r="O1266" s="3" t="inlineStr">
        <is>
          <t>에이스</t>
        </is>
      </c>
      <c r="P1266" s="4" t="n">
        <v>1</v>
      </c>
      <c r="Q1266" s="4" t="n">
        <v>548</v>
      </c>
      <c r="R1266" s="3" t="inlineStr">
        <is>
          <t>지정되지않음</t>
        </is>
      </c>
      <c r="S1266" s="3" t="inlineStr">
        <is>
          <t>주거기타</t>
        </is>
      </c>
      <c r="T1266" s="3" t="inlineStr">
        <is>
          <t>평지</t>
        </is>
      </c>
      <c r="U1266" s="3" t="inlineStr">
        <is>
          <t>사다리형</t>
        </is>
      </c>
      <c r="V1266" s="3" t="inlineStr">
        <is>
          <t>소로한면</t>
        </is>
      </c>
    </row>
    <row r="1267">
      <c r="A1267" s="3" t="inlineStr">
        <is>
          <t>연서면 와촌리 862-3</t>
        </is>
      </c>
      <c r="B1267" s="3" t="inlineStr">
        <is>
          <t>생산관리지역</t>
        </is>
      </c>
      <c r="C1267" s="3" t="inlineStr">
        <is>
          <t>답</t>
        </is>
      </c>
      <c r="D1267" s="3" t="inlineStr">
        <is>
          <t>답</t>
        </is>
      </c>
      <c r="E1267" s="3" t="inlineStr">
        <is>
          <t>매매</t>
        </is>
      </c>
      <c r="F1267" s="4" t="n">
        <v>90000</v>
      </c>
      <c r="G1267" s="4" t="n">
        <v>661</v>
      </c>
      <c r="H1267" s="4" t="n">
        <v>200</v>
      </c>
      <c r="I1267" s="5" t="n">
        <v>450</v>
      </c>
      <c r="J1267" s="5" t="n">
        <v>63.1</v>
      </c>
      <c r="K1267" s="3" t="inlineStr">
        <is>
          <t>연서면 와촌리 와촌보건소 인근 2차선 도로에 접한 농지 분할 매매 합니다</t>
        </is>
      </c>
      <c r="L1267" s="6">
        <f>HYPERLINK("https://fin.land.naver.com/articles/2652993287", "매물Link")</f>
        <v/>
      </c>
      <c r="M1267" s="6">
        <f>HYPERLINK("https://map.naver.com/p/search/연서면 와촌리 862-3", "지도Link")</f>
        <v/>
      </c>
      <c r="N1267" s="6">
        <f>HYPERLINK("http://www.eum.go.kr/web/ar/lu/luLandDet.jsp?pnu=3611036031108620003&amp;isNoScr=script&amp;mode=search", "토지이음")</f>
        <v/>
      </c>
      <c r="O1267" s="3" t="inlineStr">
        <is>
          <t>스마일세종</t>
        </is>
      </c>
      <c r="P1267" s="4" t="n">
        <v>1</v>
      </c>
      <c r="Q1267" s="4" t="n">
        <v>3171</v>
      </c>
      <c r="R1267" s="3" t="inlineStr">
        <is>
          <t>보전관리지역</t>
        </is>
      </c>
      <c r="S1267" s="3" t="inlineStr">
        <is>
          <t>답</t>
        </is>
      </c>
      <c r="T1267" s="3" t="inlineStr">
        <is>
          <t>평지</t>
        </is>
      </c>
      <c r="U1267" s="3" t="inlineStr">
        <is>
          <t>사다리형</t>
        </is>
      </c>
      <c r="V1267" s="3" t="inlineStr">
        <is>
          <t>소로한면</t>
        </is>
      </c>
    </row>
    <row r="1268">
      <c r="A1268" s="3" t="inlineStr">
        <is>
          <t>연서면 와촌리 866-4</t>
        </is>
      </c>
      <c r="B1268" s="3" t="inlineStr">
        <is>
          <t>생산관리지역</t>
        </is>
      </c>
      <c r="C1268" s="3" t="inlineStr">
        <is>
          <t>답</t>
        </is>
      </c>
      <c r="D1268" s="3" t="inlineStr">
        <is>
          <t>답</t>
        </is>
      </c>
      <c r="E1268" s="3" t="inlineStr">
        <is>
          <t>매매</t>
        </is>
      </c>
      <c r="F1268" s="4" t="n">
        <v>40000</v>
      </c>
      <c r="G1268" s="4" t="n">
        <v>662</v>
      </c>
      <c r="H1268" s="4" t="n">
        <v>200</v>
      </c>
      <c r="I1268" s="5" t="n">
        <v>200</v>
      </c>
      <c r="J1268" s="5" t="n">
        <v>60.6</v>
      </c>
      <c r="K1268" s="3" t="inlineStr">
        <is>
          <t>스마트국가산단 인근 생산관리 토지</t>
        </is>
      </c>
      <c r="L1268" s="6">
        <f>HYPERLINK("https://fin.land.naver.com/articles/2649915561", "매물Link")</f>
        <v/>
      </c>
      <c r="M1268" s="6">
        <f>HYPERLINK("https://map.naver.com/p/search/연서면 와촌리 866-4", "지도Link")</f>
        <v/>
      </c>
      <c r="N1268" s="6">
        <f>HYPERLINK("http://www.eum.go.kr/web/ar/lu/luLandDet.jsp?pnu=3611036031108660004&amp;isNoScr=script&amp;mode=search", "토지이음")</f>
        <v/>
      </c>
      <c r="O1268" s="3" t="inlineStr">
        <is>
          <t>미스터홈즈강남지사</t>
        </is>
      </c>
      <c r="P1268" s="4" t="n">
        <v>1</v>
      </c>
      <c r="Q1268" s="4" t="n">
        <v>214</v>
      </c>
      <c r="R1268" s="3" t="inlineStr">
        <is>
          <t>지정되지않음</t>
        </is>
      </c>
      <c r="S1268" s="3" t="inlineStr">
        <is>
          <t>답</t>
        </is>
      </c>
      <c r="T1268" s="3" t="inlineStr">
        <is>
          <t>평지</t>
        </is>
      </c>
      <c r="U1268" s="3" t="inlineStr">
        <is>
          <t>부정형</t>
        </is>
      </c>
      <c r="V1268" s="3" t="inlineStr">
        <is>
          <t>소로한면</t>
        </is>
      </c>
    </row>
    <row r="1269">
      <c r="A1269" s="3" t="inlineStr">
        <is>
          <t>연서면 와촌리 955-2</t>
        </is>
      </c>
      <c r="B1269" s="3" t="inlineStr">
        <is>
          <t>생산관리지역</t>
        </is>
      </c>
      <c r="C1269" s="3" t="inlineStr">
        <is>
          <t>과수원</t>
        </is>
      </c>
      <c r="D1269" s="3" t="inlineStr">
        <is>
          <t>과수원</t>
        </is>
      </c>
      <c r="E1269" s="3" t="inlineStr">
        <is>
          <t>매매</t>
        </is>
      </c>
      <c r="F1269" s="4" t="n">
        <v>238100</v>
      </c>
      <c r="G1269" s="4" t="n">
        <v>7871</v>
      </c>
      <c r="H1269" s="4" t="n">
        <v>2381</v>
      </c>
      <c r="I1269" s="5" t="n">
        <v>100</v>
      </c>
      <c r="J1269" s="5" t="n">
        <v>40.5</v>
      </c>
      <c r="K1269" s="3" t="inlineStr">
        <is>
          <t>국가산업단지 인근의 가장 저렴한 과수원</t>
        </is>
      </c>
      <c r="L1269" s="6">
        <f>HYPERLINK("https://fin.land.naver.com/articles/2651948883", "매물Link")</f>
        <v/>
      </c>
      <c r="M1269" s="6">
        <f>HYPERLINK("https://map.naver.com/p/search/연서면 와촌리 955-2", "지도Link")</f>
        <v/>
      </c>
      <c r="N1269" s="6">
        <f>HYPERLINK("http://www.eum.go.kr/web/ar/lu/luLandDet.jsp?pnu=3611036031109550002&amp;isNoScr=script&amp;mode=search", "토지이음")</f>
        <v/>
      </c>
      <c r="O1269" s="3" t="inlineStr">
        <is>
          <t>용궁</t>
        </is>
      </c>
      <c r="P1269" s="4" t="n">
        <v>1</v>
      </c>
      <c r="Q1269" s="4" t="n">
        <v>2364</v>
      </c>
      <c r="R1269" s="3" t="inlineStr">
        <is>
          <t>지정되지않음</t>
        </is>
      </c>
      <c r="S1269" s="3" t="inlineStr">
        <is>
          <t>전기타</t>
        </is>
      </c>
      <c r="T1269" s="3" t="inlineStr">
        <is>
          <t>완경사</t>
        </is>
      </c>
      <c r="U1269" s="3" t="inlineStr">
        <is>
          <t>부정형</t>
        </is>
      </c>
      <c r="V1269" s="3" t="inlineStr">
        <is>
          <t>맹지</t>
        </is>
      </c>
    </row>
    <row r="1270">
      <c r="A1270" s="3" t="inlineStr">
        <is>
          <t>연서면 와촌리 963</t>
        </is>
      </c>
      <c r="B1270" s="3" t="inlineStr">
        <is>
          <t>생산관리지역</t>
        </is>
      </c>
      <c r="C1270" s="3" t="inlineStr">
        <is>
          <t>답</t>
        </is>
      </c>
      <c r="D1270" s="3" t="inlineStr">
        <is>
          <t>답</t>
        </is>
      </c>
      <c r="E1270" s="3" t="inlineStr">
        <is>
          <t>매매</t>
        </is>
      </c>
      <c r="F1270" s="4" t="n">
        <v>943200</v>
      </c>
      <c r="G1270" s="4" t="n">
        <v>15593</v>
      </c>
      <c r="H1270" s="4" t="n">
        <v>4717</v>
      </c>
      <c r="I1270" s="5" t="n">
        <v>200</v>
      </c>
      <c r="J1270" s="5" t="n">
        <v>50.3</v>
      </c>
      <c r="K1270" s="3" t="inlineStr">
        <is>
          <t>국가산업단지 길목, 수혜지역.투자용,상업용,산업용 용도 다양</t>
        </is>
      </c>
      <c r="L1270" s="6">
        <f>HYPERLINK("https://fin.land.naver.com/articles/2651168285", "매물Link")</f>
        <v/>
      </c>
      <c r="M1270" s="6">
        <f>HYPERLINK("https://map.naver.com/p/search/연서면 와촌리 963", "지도Link")</f>
        <v/>
      </c>
      <c r="N1270" s="6">
        <f>HYPERLINK("http://www.eum.go.kr/web/ar/lu/luLandDet.jsp?pnu=3611036031109630000&amp;isNoScr=script&amp;mode=search", "토지이음")</f>
        <v/>
      </c>
      <c r="O1270" s="3" t="inlineStr">
        <is>
          <t>세종시해냄공인</t>
        </is>
      </c>
      <c r="P1270" s="4" t="n">
        <v>1</v>
      </c>
      <c r="Q1270" s="4" t="n">
        <v>2199</v>
      </c>
      <c r="R1270" s="3" t="inlineStr">
        <is>
          <t>지정되지않음</t>
        </is>
      </c>
      <c r="S1270" s="3" t="inlineStr">
        <is>
          <t>답</t>
        </is>
      </c>
      <c r="T1270" s="3" t="inlineStr">
        <is>
          <t>평지</t>
        </is>
      </c>
      <c r="U1270" s="3" t="inlineStr">
        <is>
          <t>부정형</t>
        </is>
      </c>
      <c r="V1270" s="3" t="inlineStr">
        <is>
          <t>소로한면</t>
        </is>
      </c>
    </row>
    <row r="1271">
      <c r="A1271" s="3" t="inlineStr">
        <is>
          <t>연서면 와촌리 산112-3</t>
        </is>
      </c>
      <c r="B1271" s="3" t="inlineStr">
        <is>
          <t>농림지역</t>
        </is>
      </c>
      <c r="C1271" s="3" t="inlineStr">
        <is>
          <t>임야</t>
        </is>
      </c>
      <c r="D1271" s="3" t="inlineStr">
        <is>
          <t>임야</t>
        </is>
      </c>
      <c r="E1271" s="3" t="inlineStr">
        <is>
          <t>매매</t>
        </is>
      </c>
      <c r="F1271" s="4" t="n">
        <v>140000</v>
      </c>
      <c r="G1271" s="4" t="n">
        <v>23140</v>
      </c>
      <c r="H1271" s="4" t="n">
        <v>7000</v>
      </c>
      <c r="I1271" s="5" t="n">
        <v>20</v>
      </c>
      <c r="J1271" s="5" t="n">
        <v>3.9</v>
      </c>
      <c r="K1271" s="3" t="inlineStr">
        <is>
          <t>장기투자 개발 하기 좋은 세종시 토지 매매</t>
        </is>
      </c>
      <c r="L1271" s="6">
        <f>HYPERLINK("https://fin.land.naver.com/articles/2652667739", "매물Link")</f>
        <v/>
      </c>
      <c r="M1271" s="6">
        <f>HYPERLINK("https://map.naver.com/p/search/연서면 와촌리 산112-3", "지도Link")</f>
        <v/>
      </c>
      <c r="N1271" s="6">
        <f>HYPERLINK("http://www.eum.go.kr/web/ar/lu/luLandDet.jsp?pnu=3611036031201120003&amp;isNoScr=script&amp;mode=search", "토지이음")</f>
        <v/>
      </c>
      <c r="O1271" s="3" t="inlineStr">
        <is>
          <t>(주)정민근</t>
        </is>
      </c>
      <c r="P1271" s="4" t="n">
        <v>1</v>
      </c>
      <c r="Q1271" s="4" t="n">
        <v>16528</v>
      </c>
      <c r="R1271" s="3" t="inlineStr">
        <is>
          <t>보전관리지역</t>
        </is>
      </c>
      <c r="S1271" s="3" t="inlineStr">
        <is>
          <t>자연림</t>
        </is>
      </c>
      <c r="T1271" s="3" t="inlineStr">
        <is>
          <t>급경사</t>
        </is>
      </c>
      <c r="U1271" s="3" t="inlineStr">
        <is>
          <t>부정형</t>
        </is>
      </c>
      <c r="V1271" s="3" t="inlineStr">
        <is>
          <t>맹지</t>
        </is>
      </c>
    </row>
    <row r="1272">
      <c r="A1272" s="3" t="inlineStr">
        <is>
          <t>연서면 와촌리 산135</t>
        </is>
      </c>
      <c r="B1272" s="3" t="inlineStr">
        <is>
          <t>농림지역</t>
        </is>
      </c>
      <c r="C1272" s="3" t="inlineStr">
        <is>
          <t>임야</t>
        </is>
      </c>
      <c r="D1272" s="3" t="inlineStr">
        <is>
          <t>임야</t>
        </is>
      </c>
      <c r="E1272" s="3" t="inlineStr">
        <is>
          <t>매매</t>
        </is>
      </c>
      <c r="F1272" s="4" t="n">
        <v>19500</v>
      </c>
      <c r="G1272" s="4" t="n">
        <v>6446</v>
      </c>
      <c r="H1272" s="4" t="n">
        <v>1950</v>
      </c>
      <c r="I1272" s="5" t="n">
        <v>10</v>
      </c>
      <c r="J1272" s="5" t="n">
        <v>3.5</v>
      </c>
      <c r="K1272" s="3" t="inlineStr">
        <is>
          <t>임업용산지</t>
        </is>
      </c>
      <c r="L1272" s="6">
        <f>HYPERLINK("https://fin.land.naver.com/articles/2651849805", "매물Link")</f>
        <v/>
      </c>
      <c r="M1272" s="6">
        <f>HYPERLINK("https://map.naver.com/p/search/연서면 와촌리 산135", "지도Link")</f>
        <v/>
      </c>
      <c r="N1272" s="6">
        <f>HYPERLINK("http://www.eum.go.kr/web/ar/lu/luLandDet.jsp?pnu=3611036031201350000&amp;isNoScr=script&amp;mode=search", "토지이음")</f>
        <v/>
      </c>
      <c r="O1272" s="3" t="inlineStr">
        <is>
          <t>세종소담114</t>
        </is>
      </c>
      <c r="P1272" s="4" t="n">
        <v>1</v>
      </c>
      <c r="Q1272" s="4" t="n">
        <v>6446</v>
      </c>
      <c r="R1272" s="3" t="inlineStr">
        <is>
          <t>지정되지않음</t>
        </is>
      </c>
      <c r="S1272" s="3" t="inlineStr">
        <is>
          <t>자연림</t>
        </is>
      </c>
      <c r="T1272" s="3" t="inlineStr">
        <is>
          <t>급경사</t>
        </is>
      </c>
      <c r="U1272" s="3" t="inlineStr">
        <is>
          <t>부정형</t>
        </is>
      </c>
      <c r="V1272" s="3" t="inlineStr">
        <is>
          <t>맹지</t>
        </is>
      </c>
    </row>
    <row r="1273">
      <c r="A1273" s="3" t="inlineStr">
        <is>
          <t>연서면 와촌리 산161</t>
        </is>
      </c>
      <c r="B1273" s="3" t="inlineStr">
        <is>
          <t>보전관리지역</t>
        </is>
      </c>
      <c r="C1273" s="3" t="inlineStr">
        <is>
          <t>임야</t>
        </is>
      </c>
      <c r="D1273" s="3" t="inlineStr">
        <is>
          <t>임야</t>
        </is>
      </c>
      <c r="E1273" s="3" t="inlineStr">
        <is>
          <t>매매</t>
        </is>
      </c>
      <c r="F1273" s="4" t="n">
        <v>60000</v>
      </c>
      <c r="G1273" s="4" t="n">
        <v>5752</v>
      </c>
      <c r="H1273" s="4" t="n">
        <v>1740</v>
      </c>
      <c r="I1273" s="5" t="n">
        <v>34.5</v>
      </c>
      <c r="J1273" s="5" t="n">
        <v>5.7</v>
      </c>
      <c r="K1273" s="3" t="inlineStr">
        <is>
          <t>세종시 연서면 와촌리 임야매매.35만원</t>
        </is>
      </c>
      <c r="L1273" s="6">
        <f>HYPERLINK("https://fin.land.naver.com/articles/2652496113", "매물Link")</f>
        <v/>
      </c>
      <c r="M1273" s="6">
        <f>HYPERLINK("https://map.naver.com/p/search/연서면 와촌리 산161", "지도Link")</f>
        <v/>
      </c>
      <c r="N1273" s="6">
        <f>HYPERLINK("http://www.eum.go.kr/web/ar/lu/luLandDet.jsp?pnu=3611036031201610000&amp;isNoScr=script&amp;mode=search", "토지이음")</f>
        <v/>
      </c>
      <c r="O1273" s="3" t="inlineStr">
        <is>
          <t>동원</t>
        </is>
      </c>
      <c r="P1273" s="4" t="n">
        <v>1</v>
      </c>
      <c r="Q1273" s="4" t="n">
        <v>5752</v>
      </c>
      <c r="R1273" s="3" t="inlineStr">
        <is>
          <t>지정되지않음</t>
        </is>
      </c>
      <c r="S1273" s="3" t="inlineStr">
        <is>
          <t>자연림</t>
        </is>
      </c>
      <c r="T1273" s="3" t="inlineStr">
        <is>
          <t>완경사</t>
        </is>
      </c>
      <c r="U1273" s="3" t="inlineStr">
        <is>
          <t>부정형</t>
        </is>
      </c>
      <c r="V1273" s="3" t="inlineStr">
        <is>
          <t>맹지</t>
        </is>
      </c>
    </row>
    <row r="1274">
      <c r="A1274" s="3" t="inlineStr">
        <is>
          <t>연서면 와촌리 산209</t>
        </is>
      </c>
      <c r="B1274" s="3" t="inlineStr">
        <is>
          <t>일반공업지역</t>
        </is>
      </c>
      <c r="C1274" s="3" t="inlineStr">
        <is>
          <t>임야</t>
        </is>
      </c>
      <c r="D1274" s="3" t="inlineStr">
        <is>
          <t>임야</t>
        </is>
      </c>
      <c r="E1274" s="3" t="inlineStr">
        <is>
          <t>매매</t>
        </is>
      </c>
      <c r="F1274" s="4" t="n">
        <v>92000</v>
      </c>
      <c r="G1274" s="4" t="n">
        <v>4670</v>
      </c>
      <c r="H1274" s="4" t="n">
        <v>1413</v>
      </c>
      <c r="I1274" s="5" t="n">
        <v>65.09999999999999</v>
      </c>
      <c r="J1274" s="5" t="n">
        <v>49.3</v>
      </c>
      <c r="K1274" s="3" t="inlineStr">
        <is>
          <t>산업단지 확장을 대비한 토지거래허가구역의 마을 앞 야산으로투자전망 좋음</t>
        </is>
      </c>
      <c r="L1274" s="6">
        <f>HYPERLINK("https://fin.land.naver.com/articles/2650742264", "매물Link")</f>
        <v/>
      </c>
      <c r="M1274" s="6">
        <f>HYPERLINK("https://map.naver.com/p/search/연서면 와촌리 산209", "지도Link")</f>
        <v/>
      </c>
      <c r="N1274" s="6">
        <f>HYPERLINK("http://www.eum.go.kr/web/ar/lu/luLandDet.jsp?pnu=3611036031202090000&amp;isNoScr=script&amp;mode=search", "토지이음")</f>
        <v/>
      </c>
      <c r="O1274" s="3" t="inlineStr">
        <is>
          <t>성실</t>
        </is>
      </c>
      <c r="P1274" s="4" t="n">
        <v>1</v>
      </c>
      <c r="Q1274" s="4" t="n">
        <v>4675</v>
      </c>
      <c r="R1274" s="3" t="inlineStr">
        <is>
          <t>지정되지않음</t>
        </is>
      </c>
      <c r="S1274" s="3" t="inlineStr">
        <is>
          <t>과수원</t>
        </is>
      </c>
      <c r="T1274" s="3" t="inlineStr">
        <is>
          <t>완경사</t>
        </is>
      </c>
      <c r="U1274" s="3" t="inlineStr">
        <is>
          <t>부정형</t>
        </is>
      </c>
      <c r="V1274" s="3" t="inlineStr">
        <is>
          <t>세로한면(불)</t>
        </is>
      </c>
    </row>
    <row r="1275">
      <c r="A1275" s="3" t="inlineStr">
        <is>
          <t>연서면 와촌리 산96-15</t>
        </is>
      </c>
      <c r="B1275" s="3" t="inlineStr">
        <is>
          <t>보전관리지역</t>
        </is>
      </c>
      <c r="C1275" s="3" t="inlineStr">
        <is>
          <t>임야</t>
        </is>
      </c>
      <c r="D1275" s="3" t="inlineStr">
        <is>
          <t>임야</t>
        </is>
      </c>
      <c r="E1275" s="3" t="inlineStr">
        <is>
          <t>매매</t>
        </is>
      </c>
      <c r="F1275" s="4" t="n">
        <v>178790</v>
      </c>
      <c r="G1275" s="4" t="n">
        <v>6221</v>
      </c>
      <c r="H1275" s="4" t="n">
        <v>1882</v>
      </c>
      <c r="I1275" s="5" t="n">
        <v>95</v>
      </c>
      <c r="J1275" s="5" t="n">
        <v>5.6</v>
      </c>
      <c r="K1275" s="3" t="inlineStr">
        <is>
          <t>세종국가산업단지 예정지와 근접하며 향후 개발가능성 높은 임야,6생활권인접</t>
        </is>
      </c>
      <c r="L1275" s="6">
        <f>HYPERLINK("https://fin.land.naver.com/articles/2654514834", "매물Link")</f>
        <v/>
      </c>
      <c r="M1275" s="6">
        <f>HYPERLINK("https://map.naver.com/p/search/연서면 와촌리 산96-15", "지도Link")</f>
        <v/>
      </c>
      <c r="N1275" s="6">
        <f>HYPERLINK("http://www.eum.go.kr/web/ar/lu/luLandDet.jsp?pnu=3611036031200960015&amp;isNoScr=script&amp;mode=search", "토지이음")</f>
        <v/>
      </c>
      <c r="O1275" s="3" t="inlineStr">
        <is>
          <t>담뜰</t>
        </is>
      </c>
      <c r="P1275" s="4" t="n">
        <v>1</v>
      </c>
      <c r="Q1275" s="4" t="n">
        <v>6221</v>
      </c>
      <c r="R1275" s="3" t="inlineStr">
        <is>
          <t>지정되지않음</t>
        </is>
      </c>
      <c r="S1275" s="3" t="inlineStr">
        <is>
          <t>자연림</t>
        </is>
      </c>
      <c r="T1275" s="3" t="inlineStr">
        <is>
          <t>완경사</t>
        </is>
      </c>
      <c r="U1275" s="3" t="inlineStr">
        <is>
          <t>부정형</t>
        </is>
      </c>
      <c r="V1275" s="3" t="inlineStr">
        <is>
          <t>맹지</t>
        </is>
      </c>
    </row>
    <row r="1276">
      <c r="A1276" s="3" t="inlineStr">
        <is>
          <t>연서면 용암리 166-5</t>
        </is>
      </c>
      <c r="B1276" s="3" t="inlineStr">
        <is>
          <t>계획관리지역</t>
        </is>
      </c>
      <c r="C1276" s="3" t="inlineStr">
        <is>
          <t>대</t>
        </is>
      </c>
      <c r="D1276" s="3" t="inlineStr">
        <is>
          <t>대</t>
        </is>
      </c>
      <c r="E1276" s="3" t="inlineStr">
        <is>
          <t>매매</t>
        </is>
      </c>
      <c r="F1276" s="4" t="n">
        <v>304800</v>
      </c>
      <c r="G1276" s="4" t="n">
        <v>869</v>
      </c>
      <c r="H1276" s="4" t="n">
        <v>263</v>
      </c>
      <c r="I1276" s="5" t="n">
        <v>1158.9</v>
      </c>
      <c r="J1276" s="5" t="n">
        <v>220.9</v>
      </c>
      <c r="K1276" s="3" t="inlineStr">
        <is>
          <t>와촌리 국가산업단지와 가까움, 2차선변 주차용이,투자로최고</t>
        </is>
      </c>
      <c r="L1276" s="6">
        <f>HYPERLINK("https://fin.land.naver.com/articles/2653880460", "매물Link")</f>
        <v/>
      </c>
      <c r="M1276" s="6">
        <f>HYPERLINK("https://map.naver.com/p/search/연서면 용암리 166-5", "지도Link")</f>
        <v/>
      </c>
      <c r="N1276" s="6">
        <f>HYPERLINK("http://www.eum.go.kr/web/ar/lu/luLandDet.jsp?pnu=3611036025101660005&amp;isNoScr=script&amp;mode=search", "토지이음")</f>
        <v/>
      </c>
      <c r="O1276" s="3" t="inlineStr">
        <is>
          <t>세종공주제일</t>
        </is>
      </c>
      <c r="P1276" s="4" t="n">
        <v>1</v>
      </c>
      <c r="Q1276" s="4" t="n">
        <v>869</v>
      </c>
      <c r="R1276" s="3" t="inlineStr">
        <is>
          <t>지정되지않음</t>
        </is>
      </c>
      <c r="S1276" s="3" t="inlineStr">
        <is>
          <t>상업용</t>
        </is>
      </c>
      <c r="T1276" s="3" t="inlineStr">
        <is>
          <t>평지</t>
        </is>
      </c>
      <c r="U1276" s="3" t="inlineStr">
        <is>
          <t>부정형</t>
        </is>
      </c>
      <c r="V1276" s="3" t="inlineStr">
        <is>
          <t>소로한면</t>
        </is>
      </c>
    </row>
    <row r="1277">
      <c r="A1277" s="3" t="inlineStr">
        <is>
          <t>연서면 용암리 212-11</t>
        </is>
      </c>
      <c r="B1277" s="3" t="inlineStr">
        <is>
          <t>자연환경보전지역</t>
        </is>
      </c>
      <c r="C1277" s="3" t="inlineStr">
        <is>
          <t>과수원</t>
        </is>
      </c>
      <c r="D1277" s="3" t="inlineStr">
        <is>
          <t>과수원</t>
        </is>
      </c>
      <c r="E1277" s="3" t="inlineStr">
        <is>
          <t>매매</t>
        </is>
      </c>
      <c r="F1277" s="4" t="n">
        <v>89000</v>
      </c>
      <c r="G1277" s="4" t="n">
        <v>1484</v>
      </c>
      <c r="H1277" s="4" t="n">
        <v>449</v>
      </c>
      <c r="I1277" s="5" t="n">
        <v>198.2</v>
      </c>
      <c r="J1277" s="5" t="n">
        <v>42.3</v>
      </c>
      <c r="K1277" s="3" t="inlineStr">
        <is>
          <t>고복저수지 월하천변 농지. 경치좋은 지역. 서울세종간고속도로인근</t>
        </is>
      </c>
      <c r="L1277" s="6">
        <f>HYPERLINK("https://fin.land.naver.com/articles/2649914984", "매물Link")</f>
        <v/>
      </c>
      <c r="M1277" s="6">
        <f>HYPERLINK("https://map.naver.com/p/search/연서면 용암리 212-11", "지도Link")</f>
        <v/>
      </c>
      <c r="N1277" s="6">
        <f>HYPERLINK("http://www.eum.go.kr/web/ar/lu/luLandDet.jsp?pnu=3611036025102120011&amp;isNoScr=script&amp;mode=search", "토지이음")</f>
        <v/>
      </c>
      <c r="O1277" s="3" t="inlineStr">
        <is>
          <t>미스터홈즈강남지사</t>
        </is>
      </c>
      <c r="P1277" s="4" t="n">
        <v>1</v>
      </c>
      <c r="Q1277" s="4" t="n">
        <v>1484</v>
      </c>
      <c r="R1277" s="3" t="inlineStr">
        <is>
          <t>지정되지않음</t>
        </is>
      </c>
      <c r="S1277" s="3" t="inlineStr">
        <is>
          <t>전</t>
        </is>
      </c>
      <c r="T1277" s="3" t="inlineStr">
        <is>
          <t>평지</t>
        </is>
      </c>
      <c r="U1277" s="3" t="inlineStr">
        <is>
          <t>사다리형</t>
        </is>
      </c>
      <c r="V1277" s="3" t="inlineStr">
        <is>
          <t>세로한면(가)</t>
        </is>
      </c>
    </row>
    <row r="1278">
      <c r="A1278" s="3" t="inlineStr">
        <is>
          <t>연서면 용암리 216-5</t>
        </is>
      </c>
      <c r="B1278" s="3" t="inlineStr">
        <is>
          <t>생산관리지역</t>
        </is>
      </c>
      <c r="C1278" s="3" t="inlineStr">
        <is>
          <t>대</t>
        </is>
      </c>
      <c r="D1278" s="3" t="inlineStr">
        <is>
          <t>대</t>
        </is>
      </c>
      <c r="E1278" s="3" t="inlineStr">
        <is>
          <t>매매</t>
        </is>
      </c>
      <c r="F1278" s="4" t="n">
        <v>58000</v>
      </c>
      <c r="G1278" s="4" t="n">
        <v>1059</v>
      </c>
      <c r="H1278" s="4" t="n">
        <v>320</v>
      </c>
      <c r="I1278" s="5" t="n">
        <v>181.2</v>
      </c>
      <c r="J1278" s="5" t="n">
        <v>116.5</v>
      </c>
      <c r="K1278" s="3" t="inlineStr">
        <is>
          <t>급매, 조율도가능, 건축 휴게음식점 가능</t>
        </is>
      </c>
      <c r="L1278" s="6">
        <f>HYPERLINK("https://fin.land.naver.com/articles/2650890760", "매물Link")</f>
        <v/>
      </c>
      <c r="M1278" s="6">
        <f>HYPERLINK("https://map.naver.com/p/search/연서면 용암리 216-5", "지도Link")</f>
        <v/>
      </c>
      <c r="N1278" s="6">
        <f>HYPERLINK("http://www.eum.go.kr/web/ar/lu/luLandDet.jsp?pnu=3611036025102160005&amp;isNoScr=script&amp;mode=search", "토지이음")</f>
        <v/>
      </c>
      <c r="O1278" s="3" t="inlineStr">
        <is>
          <t>세종무지개</t>
        </is>
      </c>
      <c r="P1278" s="4" t="n">
        <v>1</v>
      </c>
      <c r="Q1278" s="4" t="n">
        <v>858</v>
      </c>
      <c r="R1278" s="3" t="inlineStr">
        <is>
          <t>자연환경보전지역</t>
        </is>
      </c>
      <c r="S1278" s="3" t="inlineStr">
        <is>
          <t>주상기타</t>
        </is>
      </c>
      <c r="T1278" s="3" t="inlineStr">
        <is>
          <t>평지</t>
        </is>
      </c>
      <c r="U1278" s="3" t="inlineStr">
        <is>
          <t>부정형</t>
        </is>
      </c>
      <c r="V1278" s="3" t="inlineStr">
        <is>
          <t>소로한면</t>
        </is>
      </c>
    </row>
    <row r="1279">
      <c r="A1279" s="3" t="inlineStr">
        <is>
          <t>연서면 용암리 229-1</t>
        </is>
      </c>
      <c r="B1279" s="3" t="inlineStr">
        <is>
          <t>농림지역</t>
        </is>
      </c>
      <c r="C1279" s="3" t="inlineStr">
        <is>
          <t>목장용지</t>
        </is>
      </c>
      <c r="D1279" s="3" t="inlineStr">
        <is>
          <t>목장용지</t>
        </is>
      </c>
      <c r="E1279" s="3" t="inlineStr">
        <is>
          <t>매매</t>
        </is>
      </c>
      <c r="F1279" s="4" t="n">
        <v>42000</v>
      </c>
      <c r="G1279" s="4" t="n">
        <v>929</v>
      </c>
      <c r="H1279" s="4" t="n">
        <v>281</v>
      </c>
      <c r="I1279" s="5" t="n">
        <v>149.5</v>
      </c>
      <c r="J1279" s="5" t="n">
        <v>35</v>
      </c>
      <c r="K1279" s="3" t="inlineStr">
        <is>
          <t>고복저수지 인근, 연기휴게소 근처임. 넓은국유지접함</t>
        </is>
      </c>
      <c r="L1279" s="6">
        <f>HYPERLINK("https://fin.land.naver.com/articles/2652121887", "매물Link")</f>
        <v/>
      </c>
      <c r="M1279" s="6">
        <f>HYPERLINK("https://map.naver.com/p/search/연서면 용암리 229-1", "지도Link")</f>
        <v/>
      </c>
      <c r="N1279" s="6">
        <f>HYPERLINK("http://www.eum.go.kr/web/ar/lu/luLandDet.jsp?pnu=3611036025102290001&amp;isNoScr=script&amp;mode=search", "토지이음")</f>
        <v/>
      </c>
      <c r="O1279" s="3" t="inlineStr">
        <is>
          <t>미스터홈즈강남지사</t>
        </is>
      </c>
      <c r="P1279" s="4" t="n">
        <v>1</v>
      </c>
      <c r="Q1279" s="4" t="n">
        <v>929</v>
      </c>
      <c r="R1279" s="3" t="inlineStr">
        <is>
          <t>생산관리지역</t>
        </is>
      </c>
      <c r="S1279" s="3" t="inlineStr">
        <is>
          <t>전기타</t>
        </is>
      </c>
      <c r="T1279" s="3" t="inlineStr">
        <is>
          <t>평지</t>
        </is>
      </c>
      <c r="U1279" s="3" t="inlineStr">
        <is>
          <t>부정형</t>
        </is>
      </c>
      <c r="V1279" s="3" t="inlineStr">
        <is>
          <t>세로한면(가)</t>
        </is>
      </c>
    </row>
    <row r="1280">
      <c r="A1280" s="3" t="inlineStr">
        <is>
          <t>연서면 용암리 239-11</t>
        </is>
      </c>
      <c r="B1280" s="3" t="inlineStr">
        <is>
          <t>생산관리지역</t>
        </is>
      </c>
      <c r="C1280" s="3" t="inlineStr">
        <is>
          <t>과수원</t>
        </is>
      </c>
      <c r="D1280" s="3" t="inlineStr">
        <is>
          <t>과수원</t>
        </is>
      </c>
      <c r="E1280" s="3" t="inlineStr">
        <is>
          <t>매매</t>
        </is>
      </c>
      <c r="F1280" s="4" t="n">
        <v>24000</v>
      </c>
      <c r="G1280" s="4" t="n">
        <v>577</v>
      </c>
      <c r="H1280" s="4" t="n">
        <v>175</v>
      </c>
      <c r="I1280" s="5" t="n">
        <v>137.1</v>
      </c>
      <c r="J1280" s="5" t="n">
        <v>43.2</v>
      </c>
      <c r="K1280" s="3" t="inlineStr">
        <is>
          <t>nan</t>
        </is>
      </c>
      <c r="L1280" s="6">
        <f>HYPERLINK("https://fin.land.naver.com/articles/2654421128", "매물Link")</f>
        <v/>
      </c>
      <c r="M1280" s="6">
        <f>HYPERLINK("https://map.naver.com/p/search/연서면 용암리 239-11", "지도Link")</f>
        <v/>
      </c>
      <c r="N1280" s="6">
        <f>HYPERLINK("http://www.eum.go.kr/web/ar/lu/luLandDet.jsp?pnu=3611036025102390011&amp;isNoScr=script&amp;mode=search", "토지이음")</f>
        <v/>
      </c>
      <c r="O1280" s="3" t="inlineStr">
        <is>
          <t>그래그</t>
        </is>
      </c>
      <c r="P1280" s="4" t="n">
        <v>2</v>
      </c>
      <c r="Q1280" s="4" t="n">
        <v>577</v>
      </c>
      <c r="R1280" s="3" t="inlineStr">
        <is>
          <t>지정되지않음</t>
        </is>
      </c>
      <c r="S1280" s="3" t="inlineStr">
        <is>
          <t>과수원</t>
        </is>
      </c>
      <c r="T1280" s="3" t="inlineStr">
        <is>
          <t>평지</t>
        </is>
      </c>
      <c r="U1280" s="3" t="inlineStr">
        <is>
          <t>부정형</t>
        </is>
      </c>
      <c r="V1280" s="3" t="inlineStr">
        <is>
          <t>세로한면(불)</t>
        </is>
      </c>
    </row>
    <row r="1281">
      <c r="A1281" s="3" t="inlineStr">
        <is>
          <t>연서면 용암리 239-3</t>
        </is>
      </c>
      <c r="B1281" s="3" t="inlineStr">
        <is>
          <t>생산관리지역</t>
        </is>
      </c>
      <c r="C1281" s="3" t="inlineStr">
        <is>
          <t>과수원</t>
        </is>
      </c>
      <c r="D1281" s="3" t="inlineStr">
        <is>
          <t>과수원</t>
        </is>
      </c>
      <c r="E1281" s="3" t="inlineStr">
        <is>
          <t>매매</t>
        </is>
      </c>
      <c r="F1281" s="4" t="n">
        <v>59000</v>
      </c>
      <c r="G1281" s="4" t="n">
        <v>1443</v>
      </c>
      <c r="H1281" s="4" t="n">
        <v>437</v>
      </c>
      <c r="I1281" s="5" t="n">
        <v>135</v>
      </c>
      <c r="J1281" s="5" t="n">
        <v>45.4</v>
      </c>
      <c r="K1281" s="3" t="inlineStr">
        <is>
          <t>nan</t>
        </is>
      </c>
      <c r="L1281" s="6">
        <f>HYPERLINK("https://fin.land.naver.com/articles/2654420880", "매물Link")</f>
        <v/>
      </c>
      <c r="M1281" s="6">
        <f>HYPERLINK("https://map.naver.com/p/search/연서면 용암리 239-3", "지도Link")</f>
        <v/>
      </c>
      <c r="N1281" s="6">
        <f>HYPERLINK("http://www.eum.go.kr/web/ar/lu/luLandDet.jsp?pnu=3611036025102390003&amp;isNoScr=script&amp;mode=search", "토지이음")</f>
        <v/>
      </c>
      <c r="O1281" s="3" t="inlineStr">
        <is>
          <t>그래그</t>
        </is>
      </c>
      <c r="P1281" s="4" t="n">
        <v>1</v>
      </c>
      <c r="Q1281" s="4" t="n">
        <v>1443</v>
      </c>
      <c r="R1281" s="3" t="inlineStr">
        <is>
          <t>지정되지않음</t>
        </is>
      </c>
      <c r="S1281" s="3" t="inlineStr">
        <is>
          <t>과수원</t>
        </is>
      </c>
      <c r="T1281" s="3" t="inlineStr">
        <is>
          <t>평지</t>
        </is>
      </c>
      <c r="U1281" s="3" t="inlineStr">
        <is>
          <t>사다리형</t>
        </is>
      </c>
      <c r="V1281" s="3" t="inlineStr">
        <is>
          <t>세로한면(불)</t>
        </is>
      </c>
    </row>
    <row r="1282">
      <c r="A1282" s="3" t="inlineStr">
        <is>
          <t>연서면 용암리 245-2</t>
        </is>
      </c>
      <c r="B1282" s="3" t="inlineStr">
        <is>
          <t>농림지역</t>
        </is>
      </c>
      <c r="C1282" s="3" t="inlineStr">
        <is>
          <t>잡종지</t>
        </is>
      </c>
      <c r="D1282" s="3" t="inlineStr">
        <is>
          <t>잡종지</t>
        </is>
      </c>
      <c r="E1282" s="3" t="inlineStr">
        <is>
          <t>매매</t>
        </is>
      </c>
      <c r="F1282" s="4" t="n">
        <v>323000</v>
      </c>
      <c r="G1282" s="4" t="n">
        <v>17797</v>
      </c>
      <c r="H1282" s="4" t="n">
        <v>5384</v>
      </c>
      <c r="I1282" s="5" t="n">
        <v>60</v>
      </c>
      <c r="J1282" s="5" t="n">
        <v>37.9</v>
      </c>
      <c r="K1282" s="3" t="inlineStr">
        <is>
          <t>태양광 시설 및 경사도 없는 야산으로 태양광 시설을 확장할 수 있는 임야</t>
        </is>
      </c>
      <c r="L1282" s="6">
        <f>HYPERLINK("https://fin.land.naver.com/articles/2651949989", "매물Link")</f>
        <v/>
      </c>
      <c r="M1282" s="6">
        <f>HYPERLINK("https://map.naver.com/p/search/연서면 용암리 245-2", "지도Link")</f>
        <v/>
      </c>
      <c r="N1282" s="6">
        <f>HYPERLINK("http://www.eum.go.kr/web/ar/lu/luLandDet.jsp?pnu=3611036025102450002&amp;isNoScr=script&amp;mode=search", "토지이음")</f>
        <v/>
      </c>
      <c r="O1282" s="3" t="inlineStr">
        <is>
          <t>스마일세종</t>
        </is>
      </c>
      <c r="P1282" s="4" t="n">
        <v>1</v>
      </c>
      <c r="Q1282" s="4" t="n">
        <v>4332</v>
      </c>
      <c r="R1282" s="3" t="inlineStr">
        <is>
          <t>지정되지않음</t>
        </is>
      </c>
      <c r="S1282" s="3" t="inlineStr">
        <is>
          <t>태양광발전소부지</t>
        </is>
      </c>
      <c r="T1282" s="3" t="inlineStr">
        <is>
          <t>완경사</t>
        </is>
      </c>
      <c r="U1282" s="3" t="inlineStr">
        <is>
          <t>부정형</t>
        </is>
      </c>
      <c r="V1282" s="3" t="inlineStr">
        <is>
          <t>세로한면(가)</t>
        </is>
      </c>
    </row>
    <row r="1283">
      <c r="A1283" s="3" t="inlineStr">
        <is>
          <t>연서면 용암리 283</t>
        </is>
      </c>
      <c r="B1283" s="3" t="inlineStr">
        <is>
          <t>생산관리지역</t>
        </is>
      </c>
      <c r="C1283" s="3" t="inlineStr">
        <is>
          <t>과수원</t>
        </is>
      </c>
      <c r="D1283" s="3" t="inlineStr">
        <is>
          <t>과수원</t>
        </is>
      </c>
      <c r="E1283" s="3" t="inlineStr">
        <is>
          <t>매매</t>
        </is>
      </c>
      <c r="F1283" s="4" t="n">
        <v>16300</v>
      </c>
      <c r="G1283" s="4" t="n">
        <v>770</v>
      </c>
      <c r="H1283" s="4" t="n">
        <v>233</v>
      </c>
      <c r="I1283" s="5" t="n">
        <v>70</v>
      </c>
      <c r="J1283" s="5" t="n">
        <v>20.7</v>
      </c>
      <c r="K1283" s="3" t="inlineStr">
        <is>
          <t>세종시 휴게소 예정지 인근 토지매매, 과수원매매</t>
        </is>
      </c>
      <c r="L1283" s="6">
        <f>HYPERLINK("https://fin.land.naver.com/articles/2652362367", "매물Link")</f>
        <v/>
      </c>
      <c r="M1283" s="6">
        <f>HYPERLINK("https://map.naver.com/p/search/연서면 용암리 283", "지도Link")</f>
        <v/>
      </c>
      <c r="N1283" s="6">
        <f>HYPERLINK("http://www.eum.go.kr/web/ar/lu/luLandDet.jsp?pnu=3611036025102830000&amp;isNoScr=script&amp;mode=search", "토지이음")</f>
        <v/>
      </c>
      <c r="O1283" s="3" t="inlineStr">
        <is>
          <t>유성대박</t>
        </is>
      </c>
      <c r="P1283" s="4" t="n">
        <v>1</v>
      </c>
      <c r="Q1283" s="4" t="n">
        <v>770</v>
      </c>
      <c r="R1283" s="3" t="inlineStr">
        <is>
          <t>지정되지않음</t>
        </is>
      </c>
      <c r="S1283" s="3" t="inlineStr">
        <is>
          <t>과수원</t>
        </is>
      </c>
      <c r="T1283" s="3" t="inlineStr">
        <is>
          <t>완경사</t>
        </is>
      </c>
      <c r="U1283" s="3" t="inlineStr">
        <is>
          <t>부정형</t>
        </is>
      </c>
      <c r="V1283" s="3" t="inlineStr">
        <is>
          <t>세로한면(가)</t>
        </is>
      </c>
    </row>
    <row r="1284">
      <c r="A1284" s="3" t="inlineStr">
        <is>
          <t>연서면 용암리 295</t>
        </is>
      </c>
      <c r="B1284" s="3" t="inlineStr">
        <is>
          <t>생산관리지역</t>
        </is>
      </c>
      <c r="C1284" s="3" t="inlineStr">
        <is>
          <t>전</t>
        </is>
      </c>
      <c r="D1284" s="3" t="inlineStr">
        <is>
          <t>전</t>
        </is>
      </c>
      <c r="E1284" s="3" t="inlineStr">
        <is>
          <t>매매</t>
        </is>
      </c>
      <c r="F1284" s="4" t="n">
        <v>31150</v>
      </c>
      <c r="G1284" s="4" t="n">
        <v>1471</v>
      </c>
      <c r="H1284" s="4" t="n">
        <v>445</v>
      </c>
      <c r="I1284" s="5" t="n">
        <v>70</v>
      </c>
      <c r="J1284" s="5" t="n">
        <v>17.6</v>
      </c>
      <c r="K1284" s="3" t="inlineStr">
        <is>
          <t>세종시 고속도로 휴게소 예정지 인근 토지매매</t>
        </is>
      </c>
      <c r="L1284" s="6">
        <f>HYPERLINK("https://fin.land.naver.com/articles/2652364710", "매물Link")</f>
        <v/>
      </c>
      <c r="M1284" s="6">
        <f>HYPERLINK("https://map.naver.com/p/search/연서면 용암리 295", "지도Link")</f>
        <v/>
      </c>
      <c r="N1284" s="6">
        <f>HYPERLINK("http://www.eum.go.kr/web/ar/lu/luLandDet.jsp?pnu=3611036025102950000&amp;isNoScr=script&amp;mode=search", "토지이음")</f>
        <v/>
      </c>
      <c r="O1284" s="3" t="inlineStr">
        <is>
          <t>유성대박</t>
        </is>
      </c>
      <c r="P1284" s="4" t="n">
        <v>1</v>
      </c>
      <c r="Q1284" s="4" t="n">
        <v>1471</v>
      </c>
      <c r="R1284" s="3" t="inlineStr">
        <is>
          <t>지정되지않음</t>
        </is>
      </c>
      <c r="S1284" s="3" t="inlineStr">
        <is>
          <t>전</t>
        </is>
      </c>
      <c r="T1284" s="3" t="inlineStr">
        <is>
          <t>완경사</t>
        </is>
      </c>
      <c r="U1284" s="3" t="inlineStr">
        <is>
          <t>부정형</t>
        </is>
      </c>
      <c r="V1284" s="3" t="inlineStr">
        <is>
          <t>맹지</t>
        </is>
      </c>
    </row>
    <row r="1285">
      <c r="A1285" s="3" t="inlineStr">
        <is>
          <t>연서면 용암리 296</t>
        </is>
      </c>
      <c r="B1285" s="3" t="inlineStr">
        <is>
          <t>생산관리지역</t>
        </is>
      </c>
      <c r="C1285" s="3" t="inlineStr">
        <is>
          <t>전</t>
        </is>
      </c>
      <c r="D1285" s="3" t="inlineStr">
        <is>
          <t>전</t>
        </is>
      </c>
      <c r="E1285" s="3" t="inlineStr">
        <is>
          <t>매매</t>
        </is>
      </c>
      <c r="F1285" s="4" t="n">
        <v>41000</v>
      </c>
      <c r="G1285" s="4" t="n">
        <v>1921</v>
      </c>
      <c r="H1285" s="4" t="n">
        <v>581</v>
      </c>
      <c r="I1285" s="5" t="n">
        <v>70.59999999999999</v>
      </c>
      <c r="J1285" s="5" t="n">
        <v>20.7</v>
      </c>
      <c r="K1285" s="3" t="inlineStr">
        <is>
          <t>세종시 토지매매. 휴게소 예정지 인근</t>
        </is>
      </c>
      <c r="L1285" s="6">
        <f>HYPERLINK("https://fin.land.naver.com/articles/2652374689", "매물Link")</f>
        <v/>
      </c>
      <c r="M1285" s="6">
        <f>HYPERLINK("https://map.naver.com/p/search/연서면 용암리 296", "지도Link")</f>
        <v/>
      </c>
      <c r="N1285" s="6">
        <f>HYPERLINK("http://www.eum.go.kr/web/ar/lu/luLandDet.jsp?pnu=3611036025102960000&amp;isNoScr=script&amp;mode=search", "토지이음")</f>
        <v/>
      </c>
      <c r="O1285" s="3" t="inlineStr">
        <is>
          <t>유성대박</t>
        </is>
      </c>
      <c r="P1285" s="4" t="n">
        <v>1</v>
      </c>
      <c r="Q1285" s="4" t="n">
        <v>1921</v>
      </c>
      <c r="R1285" s="3" t="inlineStr">
        <is>
          <t>지정되지않음</t>
        </is>
      </c>
      <c r="S1285" s="3" t="inlineStr">
        <is>
          <t>전</t>
        </is>
      </c>
      <c r="T1285" s="3" t="inlineStr">
        <is>
          <t>완경사</t>
        </is>
      </c>
      <c r="U1285" s="3" t="inlineStr">
        <is>
          <t>부정형</t>
        </is>
      </c>
      <c r="V1285" s="3" t="inlineStr">
        <is>
          <t>세로한면(가)</t>
        </is>
      </c>
    </row>
    <row r="1286">
      <c r="A1286" s="3" t="inlineStr">
        <is>
          <t>연서면 용암리 45-23</t>
        </is>
      </c>
      <c r="B1286" s="3" t="inlineStr">
        <is>
          <t>농림지역</t>
        </is>
      </c>
      <c r="C1286" s="3" t="inlineStr">
        <is>
          <t>전</t>
        </is>
      </c>
      <c r="D1286" s="3" t="inlineStr">
        <is>
          <t>전</t>
        </is>
      </c>
      <c r="E1286" s="3" t="inlineStr">
        <is>
          <t>매매</t>
        </is>
      </c>
      <c r="F1286" s="4" t="n">
        <v>40000</v>
      </c>
      <c r="G1286" s="4" t="n">
        <v>335</v>
      </c>
      <c r="H1286" s="4" t="n">
        <v>101</v>
      </c>
      <c r="I1286" s="5" t="n">
        <v>396</v>
      </c>
      <c r="J1286" s="5" t="n">
        <v>35.7</v>
      </c>
      <c r="K1286" s="3" t="inlineStr">
        <is>
          <t>고복저수지 뷰 도로에접한 저렴한 토지</t>
        </is>
      </c>
      <c r="L1286" s="6">
        <f>HYPERLINK("https://fin.land.naver.com/articles/2650856648", "매물Link")</f>
        <v/>
      </c>
      <c r="M1286" s="6">
        <f>HYPERLINK("https://map.naver.com/p/search/연서면 용암리 45-23", "지도Link")</f>
        <v/>
      </c>
      <c r="N1286" s="6">
        <f>HYPERLINK("http://www.eum.go.kr/web/ar/lu/luLandDet.jsp?pnu=3611036025100450023&amp;isNoScr=script&amp;mode=search", "토지이음")</f>
        <v/>
      </c>
      <c r="O1286" s="3" t="inlineStr">
        <is>
          <t>세종대박</t>
        </is>
      </c>
      <c r="P1286" s="4" t="n">
        <v>1</v>
      </c>
      <c r="Q1286" s="4" t="n">
        <v>335</v>
      </c>
      <c r="R1286" s="3" t="inlineStr">
        <is>
          <t>지정되지않음</t>
        </is>
      </c>
      <c r="S1286" s="3" t="inlineStr">
        <is>
          <t>전</t>
        </is>
      </c>
      <c r="T1286" s="3" t="inlineStr">
        <is>
          <t>평지</t>
        </is>
      </c>
      <c r="U1286" s="3" t="inlineStr">
        <is>
          <t>사다리형</t>
        </is>
      </c>
      <c r="V1286" s="3" t="inlineStr">
        <is>
          <t>세로한면(가)</t>
        </is>
      </c>
    </row>
    <row r="1287">
      <c r="A1287" s="3" t="inlineStr">
        <is>
          <t>연서면 용암리 산28-16</t>
        </is>
      </c>
      <c r="B1287" s="3" t="inlineStr">
        <is>
          <t>농림지역</t>
        </is>
      </c>
      <c r="C1287" s="3" t="inlineStr">
        <is>
          <t>임야</t>
        </is>
      </c>
      <c r="D1287" s="3" t="inlineStr">
        <is>
          <t>임야</t>
        </is>
      </c>
      <c r="E1287" s="3" t="inlineStr">
        <is>
          <t>매매</t>
        </is>
      </c>
      <c r="F1287" s="4" t="n">
        <v>73000</v>
      </c>
      <c r="G1287" s="4" t="n">
        <v>3377</v>
      </c>
      <c r="H1287" s="4" t="n">
        <v>1022</v>
      </c>
      <c r="I1287" s="5" t="n">
        <v>71.40000000000001</v>
      </c>
      <c r="J1287" s="5" t="n">
        <v>2.3</v>
      </c>
      <c r="K1287" s="3" t="inlineStr">
        <is>
          <t>세종 연서면 약 10만평 대규모 토지 통매매｜대단위 부지 찾는 분 주목</t>
        </is>
      </c>
      <c r="L1287" s="6">
        <f>HYPERLINK("https://fin.land.naver.com/articles/2652337059", "매물Link")</f>
        <v/>
      </c>
      <c r="M1287" s="6">
        <f>HYPERLINK("https://map.naver.com/p/search/연서면 용암리 산28-16", "지도Link")</f>
        <v/>
      </c>
      <c r="N1287" s="6">
        <f>HYPERLINK("http://www.eum.go.kr/web/ar/lu/luLandDet.jsp?pnu=3611036025200280016&amp;isNoScr=script&amp;mode=search", "토지이음")</f>
        <v/>
      </c>
      <c r="O1287" s="3" t="inlineStr">
        <is>
          <t>세종몽땅</t>
        </is>
      </c>
      <c r="P1287" s="4" t="n">
        <v>1</v>
      </c>
      <c r="Q1287" s="4" t="n">
        <v>1512</v>
      </c>
      <c r="R1287" s="3" t="inlineStr">
        <is>
          <t>지정되지않음</t>
        </is>
      </c>
      <c r="S1287" s="3" t="inlineStr">
        <is>
          <t>자연림</t>
        </is>
      </c>
      <c r="T1287" s="3" t="inlineStr">
        <is>
          <t>급경사</t>
        </is>
      </c>
      <c r="U1287" s="3" t="inlineStr">
        <is>
          <t>부정형</t>
        </is>
      </c>
      <c r="V1287" s="3" t="inlineStr">
        <is>
          <t>맹지</t>
        </is>
      </c>
    </row>
    <row r="1288">
      <c r="A1288" s="3" t="inlineStr">
        <is>
          <t>연서면 월하리 1035-2</t>
        </is>
      </c>
      <c r="B1288" s="3" t="inlineStr">
        <is>
          <t>자연녹지지역</t>
        </is>
      </c>
      <c r="C1288" s="3" t="inlineStr">
        <is>
          <t>과수원</t>
        </is>
      </c>
      <c r="D1288" s="3" t="inlineStr">
        <is>
          <t>과수원</t>
        </is>
      </c>
      <c r="E1288" s="3" t="inlineStr">
        <is>
          <t>매매</t>
        </is>
      </c>
      <c r="F1288" s="4" t="n">
        <v>176000</v>
      </c>
      <c r="G1288" s="4" t="n">
        <v>1455</v>
      </c>
      <c r="H1288" s="4" t="n">
        <v>440</v>
      </c>
      <c r="I1288" s="5" t="n">
        <v>400</v>
      </c>
      <c r="J1288" s="5" t="n">
        <v>113</v>
      </c>
      <c r="K1288" s="3" t="inlineStr">
        <is>
          <t>연서면 월하리 2차선, 4차선 계획 예정 도로에 접한 투자가치 좋은 급매</t>
        </is>
      </c>
      <c r="L1288" s="6">
        <f>HYPERLINK("https://fin.land.naver.com/articles/2652684372", "매물Link")</f>
        <v/>
      </c>
      <c r="M1288" s="6">
        <f>HYPERLINK("https://map.naver.com/p/search/연서면 월하리 1035-2", "지도Link")</f>
        <v/>
      </c>
      <c r="N1288" s="6">
        <f>HYPERLINK("http://www.eum.go.kr/web/ar/lu/luLandDet.jsp?pnu=3611036021110350002&amp;isNoScr=script&amp;mode=search", "토지이음")</f>
        <v/>
      </c>
      <c r="O1288" s="3" t="inlineStr">
        <is>
          <t>스마일세종</t>
        </is>
      </c>
      <c r="P1288" s="4" t="n">
        <v>1</v>
      </c>
      <c r="Q1288" s="4" t="n">
        <v>1455</v>
      </c>
      <c r="R1288" s="3" t="inlineStr">
        <is>
          <t>지정되지않음</t>
        </is>
      </c>
      <c r="S1288" s="3" t="inlineStr">
        <is>
          <t>과수원</t>
        </is>
      </c>
      <c r="T1288" s="3" t="inlineStr">
        <is>
          <t>평지</t>
        </is>
      </c>
      <c r="U1288" s="3" t="inlineStr">
        <is>
          <t>부정형</t>
        </is>
      </c>
      <c r="V1288" s="3" t="inlineStr">
        <is>
          <t>소로한면</t>
        </is>
      </c>
    </row>
    <row r="1289">
      <c r="A1289" s="3" t="inlineStr">
        <is>
          <t>연서면 월하리 1041</t>
        </is>
      </c>
      <c r="B1289" s="3" t="inlineStr">
        <is>
          <t>자연녹지지역</t>
        </is>
      </c>
      <c r="C1289" s="3" t="inlineStr">
        <is>
          <t>답</t>
        </is>
      </c>
      <c r="D1289" s="3" t="inlineStr">
        <is>
          <t>답</t>
        </is>
      </c>
      <c r="E1289" s="3" t="inlineStr">
        <is>
          <t>매매</t>
        </is>
      </c>
      <c r="F1289" s="4" t="n">
        <v>120000</v>
      </c>
      <c r="G1289" s="4" t="n">
        <v>1597</v>
      </c>
      <c r="H1289" s="4" t="n">
        <v>483</v>
      </c>
      <c r="I1289" s="5" t="n">
        <v>248.4</v>
      </c>
      <c r="J1289" s="5" t="n">
        <v>195.9</v>
      </c>
      <c r="K1289" s="3" t="inlineStr">
        <is>
          <t>월하리 자연녹지지역 저렴한 토지 급매. 포장도로 접함.</t>
        </is>
      </c>
      <c r="L1289" s="6">
        <f>HYPERLINK("https://fin.land.naver.com/articles/2651466882", "매물Link")</f>
        <v/>
      </c>
      <c r="M1289" s="6">
        <f>HYPERLINK("https://map.naver.com/p/search/연서면 월하리 1041", "지도Link")</f>
        <v/>
      </c>
      <c r="N1289" s="6">
        <f>HYPERLINK("http://www.eum.go.kr/web/ar/lu/luLandDet.jsp?pnu=3611036021110410000&amp;isNoScr=script&amp;mode=search", "토지이음")</f>
        <v/>
      </c>
      <c r="O1289" s="3" t="inlineStr">
        <is>
          <t>세종대장</t>
        </is>
      </c>
      <c r="P1289" s="4" t="n">
        <v>1</v>
      </c>
      <c r="Q1289" s="4" t="n">
        <v>1597</v>
      </c>
      <c r="R1289" s="3" t="inlineStr">
        <is>
          <t>지정되지않음</t>
        </is>
      </c>
      <c r="S1289" s="3" t="inlineStr">
        <is>
          <t>답기타</t>
        </is>
      </c>
      <c r="T1289" s="3" t="inlineStr">
        <is>
          <t>평지</t>
        </is>
      </c>
      <c r="U1289" s="3" t="inlineStr">
        <is>
          <t>부정형</t>
        </is>
      </c>
      <c r="V1289" s="3" t="inlineStr">
        <is>
          <t>세로한면(가)</t>
        </is>
      </c>
    </row>
    <row r="1290">
      <c r="A1290" s="3" t="inlineStr">
        <is>
          <t>연서면 월하리 1055-1</t>
        </is>
      </c>
      <c r="B1290" s="3" t="inlineStr">
        <is>
          <t>자연녹지지역</t>
        </is>
      </c>
      <c r="C1290" s="3" t="inlineStr">
        <is>
          <t>답</t>
        </is>
      </c>
      <c r="D1290" s="3" t="inlineStr">
        <is>
          <t>답</t>
        </is>
      </c>
      <c r="E1290" s="3" t="inlineStr">
        <is>
          <t>매매</t>
        </is>
      </c>
      <c r="F1290" s="4" t="n">
        <v>330000</v>
      </c>
      <c r="G1290" s="4" t="n">
        <v>3712</v>
      </c>
      <c r="H1290" s="4" t="n">
        <v>1123</v>
      </c>
      <c r="I1290" s="5" t="n">
        <v>293.9</v>
      </c>
      <c r="J1290" s="5" t="n">
        <v>96.59999999999999</v>
      </c>
      <c r="K1290" s="3" t="inlineStr">
        <is>
          <t>세종 조치원 공공주택지구 인근 투자용 토지 매매</t>
        </is>
      </c>
      <c r="L1290" s="6">
        <f>HYPERLINK("https://fin.land.naver.com/articles/2649466633", "매물Link")</f>
        <v/>
      </c>
      <c r="M1290" s="6">
        <f>HYPERLINK("https://map.naver.com/p/search/연서면 월하리 1055-1", "지도Link")</f>
        <v/>
      </c>
      <c r="N1290" s="6">
        <f>HYPERLINK("http://www.eum.go.kr/web/ar/lu/luLandDet.jsp?pnu=3611036021110550001&amp;isNoScr=script&amp;mode=search", "토지이음")</f>
        <v/>
      </c>
      <c r="O1290" s="3" t="inlineStr">
        <is>
          <t>(주)해뜰터</t>
        </is>
      </c>
      <c r="P1290" s="4" t="n">
        <v>1</v>
      </c>
      <c r="Q1290" s="4" t="n">
        <v>3712</v>
      </c>
      <c r="R1290" s="3" t="inlineStr">
        <is>
          <t>지정되지않음</t>
        </is>
      </c>
      <c r="S1290" s="3" t="inlineStr">
        <is>
          <t>답</t>
        </is>
      </c>
      <c r="T1290" s="3" t="inlineStr">
        <is>
          <t>평지</t>
        </is>
      </c>
      <c r="U1290" s="3" t="inlineStr">
        <is>
          <t>부정형</t>
        </is>
      </c>
      <c r="V1290" s="3" t="inlineStr">
        <is>
          <t>세로한면(가)</t>
        </is>
      </c>
    </row>
    <row r="1291">
      <c r="A1291" s="3" t="inlineStr">
        <is>
          <t>연서면 월하리 1055-1</t>
        </is>
      </c>
      <c r="B1291" s="3" t="inlineStr">
        <is>
          <t>자연녹지지역</t>
        </is>
      </c>
      <c r="C1291" s="3" t="inlineStr">
        <is>
          <t>답</t>
        </is>
      </c>
      <c r="D1291" s="3" t="inlineStr">
        <is>
          <t>답</t>
        </is>
      </c>
      <c r="E1291" s="3" t="inlineStr">
        <is>
          <t>매매</t>
        </is>
      </c>
      <c r="F1291" s="4" t="n">
        <v>200000</v>
      </c>
      <c r="G1291" s="4" t="n">
        <v>1653</v>
      </c>
      <c r="H1291" s="4" t="n">
        <v>500</v>
      </c>
      <c r="I1291" s="5" t="n">
        <v>400</v>
      </c>
      <c r="J1291" s="5" t="n">
        <v>96.59999999999999</v>
      </c>
      <c r="K1291" s="3" t="inlineStr">
        <is>
          <t>nan</t>
        </is>
      </c>
      <c r="L1291" s="6">
        <f>HYPERLINK("https://fin.land.naver.com/articles/2649692747", "매물Link")</f>
        <v/>
      </c>
      <c r="M1291" s="6">
        <f>HYPERLINK("https://map.naver.com/p/search/연서면 월하리 1055-1", "지도Link")</f>
        <v/>
      </c>
      <c r="N1291" s="6">
        <f>HYPERLINK("http://www.eum.go.kr/web/ar/lu/luLandDet.jsp?pnu=3611036021110550001&amp;isNoScr=script&amp;mode=search", "토지이음")</f>
        <v/>
      </c>
      <c r="O1291" s="3" t="inlineStr">
        <is>
          <t>온뜰</t>
        </is>
      </c>
      <c r="P1291" s="4" t="n">
        <v>1</v>
      </c>
      <c r="Q1291" s="4" t="n">
        <v>3712</v>
      </c>
      <c r="R1291" s="3" t="inlineStr">
        <is>
          <t>지정되지않음</t>
        </is>
      </c>
      <c r="S1291" s="3" t="inlineStr">
        <is>
          <t>답</t>
        </is>
      </c>
      <c r="T1291" s="3" t="inlineStr">
        <is>
          <t>평지</t>
        </is>
      </c>
      <c r="U1291" s="3" t="inlineStr">
        <is>
          <t>부정형</t>
        </is>
      </c>
      <c r="V1291" s="3" t="inlineStr">
        <is>
          <t>세로한면(가)</t>
        </is>
      </c>
    </row>
    <row r="1292">
      <c r="A1292" s="3" t="inlineStr">
        <is>
          <t>연서면 월하리 1103-51</t>
        </is>
      </c>
      <c r="B1292" s="3" t="inlineStr">
        <is>
          <t>자연녹지지역</t>
        </is>
      </c>
      <c r="C1292" s="3" t="inlineStr">
        <is>
          <t>과수원</t>
        </is>
      </c>
      <c r="D1292" s="3" t="inlineStr">
        <is>
          <t>과수원</t>
        </is>
      </c>
      <c r="E1292" s="3" t="inlineStr">
        <is>
          <t>매매</t>
        </is>
      </c>
      <c r="F1292" s="4" t="n">
        <v>150000</v>
      </c>
      <c r="G1292" s="4" t="n">
        <v>3313</v>
      </c>
      <c r="H1292" s="4" t="n">
        <v>1002</v>
      </c>
      <c r="I1292" s="5" t="n">
        <v>149.7</v>
      </c>
      <c r="J1292" s="5" t="n">
        <v>72.2</v>
      </c>
      <c r="K1292" s="3" t="inlineStr">
        <is>
          <t>가격 조율가,조치원 공공택지 개발지 인근</t>
        </is>
      </c>
      <c r="L1292" s="6">
        <f>HYPERLINK("https://fin.land.naver.com/articles/2650022169", "매물Link")</f>
        <v/>
      </c>
      <c r="M1292" s="6">
        <f>HYPERLINK("https://map.naver.com/p/search/연서면 월하리 1103-51", "지도Link")</f>
        <v/>
      </c>
      <c r="N1292" s="6">
        <f>HYPERLINK("http://www.eum.go.kr/web/ar/lu/luLandDet.jsp?pnu=3611036021111030051&amp;isNoScr=script&amp;mode=search", "토지이음")</f>
        <v/>
      </c>
      <c r="O1292" s="3" t="inlineStr">
        <is>
          <t>나릿재OK</t>
        </is>
      </c>
      <c r="P1292" s="4" t="n">
        <v>1</v>
      </c>
      <c r="Q1292" s="4" t="n">
        <v>3313</v>
      </c>
      <c r="R1292" s="3" t="inlineStr">
        <is>
          <t>지정되지않음</t>
        </is>
      </c>
      <c r="S1292" s="3" t="inlineStr">
        <is>
          <t>과수원</t>
        </is>
      </c>
      <c r="T1292" s="3" t="inlineStr">
        <is>
          <t>완경사</t>
        </is>
      </c>
      <c r="U1292" s="3" t="inlineStr">
        <is>
          <t>부정형</t>
        </is>
      </c>
      <c r="V1292" s="3" t="inlineStr">
        <is>
          <t>맹지</t>
        </is>
      </c>
    </row>
    <row r="1293">
      <c r="A1293" s="3" t="inlineStr">
        <is>
          <t>연서면 월하리 1103-54</t>
        </is>
      </c>
      <c r="B1293" s="3" t="inlineStr">
        <is>
          <t>자연녹지지역</t>
        </is>
      </c>
      <c r="C1293" s="3" t="inlineStr">
        <is>
          <t>과수원</t>
        </is>
      </c>
      <c r="D1293" s="3" t="inlineStr">
        <is>
          <t>과수원</t>
        </is>
      </c>
      <c r="E1293" s="3" t="inlineStr">
        <is>
          <t>매매</t>
        </is>
      </c>
      <c r="F1293" s="4" t="n">
        <v>180000</v>
      </c>
      <c r="G1293" s="4" t="n">
        <v>1676</v>
      </c>
      <c r="H1293" s="4" t="n">
        <v>507</v>
      </c>
      <c r="I1293" s="5" t="n">
        <v>355</v>
      </c>
      <c r="J1293" s="5" t="n">
        <v>121.8</v>
      </c>
      <c r="K1293" s="3" t="inlineStr">
        <is>
          <t>2차선 도로에 접해 있어 근생 부지로 적합한 도시지역 자연녹지의 과수원</t>
        </is>
      </c>
      <c r="L1293" s="6">
        <f>HYPERLINK("https://fin.land.naver.com/articles/2651465498", "매물Link")</f>
        <v/>
      </c>
      <c r="M1293" s="6">
        <f>HYPERLINK("https://map.naver.com/p/search/연서면 월하리 1103-54", "지도Link")</f>
        <v/>
      </c>
      <c r="N1293" s="6">
        <f>HYPERLINK("http://www.eum.go.kr/web/ar/lu/luLandDet.jsp?pnu=3611036021111030054&amp;isNoScr=script&amp;mode=search", "토지이음")</f>
        <v/>
      </c>
      <c r="O1293" s="3" t="inlineStr">
        <is>
          <t>스마일세종</t>
        </is>
      </c>
      <c r="P1293" s="4" t="n">
        <v>1</v>
      </c>
      <c r="Q1293" s="4" t="n">
        <v>1676</v>
      </c>
      <c r="R1293" s="3" t="inlineStr">
        <is>
          <t>지정되지않음</t>
        </is>
      </c>
      <c r="S1293" s="3" t="inlineStr">
        <is>
          <t>과수원</t>
        </is>
      </c>
      <c r="T1293" s="3" t="inlineStr">
        <is>
          <t>평지</t>
        </is>
      </c>
      <c r="U1293" s="3" t="inlineStr">
        <is>
          <t>부정형</t>
        </is>
      </c>
      <c r="V1293" s="3" t="inlineStr">
        <is>
          <t>소로한면</t>
        </is>
      </c>
    </row>
    <row r="1294">
      <c r="A1294" s="3" t="inlineStr">
        <is>
          <t>연서면 월하리 1110-1</t>
        </is>
      </c>
      <c r="B1294" s="3" t="inlineStr">
        <is>
          <t>자연녹지지역</t>
        </is>
      </c>
      <c r="C1294" s="3" t="inlineStr">
        <is>
          <t>전</t>
        </is>
      </c>
      <c r="D1294" s="3" t="inlineStr">
        <is>
          <t>대</t>
        </is>
      </c>
      <c r="E1294" s="3" t="inlineStr">
        <is>
          <t>매매</t>
        </is>
      </c>
      <c r="F1294" s="4" t="n">
        <v>190000</v>
      </c>
      <c r="G1294" s="4" t="n">
        <v>7242</v>
      </c>
      <c r="H1294" s="4" t="n">
        <v>2191</v>
      </c>
      <c r="I1294" s="5" t="n">
        <v>86.7</v>
      </c>
      <c r="J1294" s="5" t="n">
        <v>69.59999999999999</v>
      </c>
      <c r="K1294" s="3" t="inlineStr">
        <is>
          <t>시세저렴 공시지가 연서면 월하리 과수원 및 대지</t>
        </is>
      </c>
      <c r="L1294" s="6">
        <f>HYPERLINK("https://fin.land.naver.com/articles/2649446319", "매물Link")</f>
        <v/>
      </c>
      <c r="M1294" s="6">
        <f>HYPERLINK("https://map.naver.com/p/search/연서면 월하리 1110-1", "지도Link")</f>
        <v/>
      </c>
      <c r="N1294" s="6">
        <f>HYPERLINK("http://www.eum.go.kr/web/ar/lu/luLandDet.jsp?pnu=3611036021111100001&amp;isNoScr=script&amp;mode=search", "토지이음")</f>
        <v/>
      </c>
      <c r="O1294" s="3" t="inlineStr">
        <is>
          <t>명당</t>
        </is>
      </c>
      <c r="P1294" s="4" t="n">
        <v>1</v>
      </c>
      <c r="Q1294" s="4" t="n">
        <v>4326</v>
      </c>
      <c r="R1294" s="3" t="inlineStr">
        <is>
          <t>지정되지않음</t>
        </is>
      </c>
      <c r="S1294" s="3" t="inlineStr">
        <is>
          <t>과수원</t>
        </is>
      </c>
      <c r="T1294" s="3" t="inlineStr">
        <is>
          <t>완경사</t>
        </is>
      </c>
      <c r="U1294" s="3" t="inlineStr">
        <is>
          <t>부정형</t>
        </is>
      </c>
      <c r="V1294" s="3" t="inlineStr">
        <is>
          <t>맹지</t>
        </is>
      </c>
    </row>
    <row r="1295">
      <c r="A1295" s="3" t="inlineStr">
        <is>
          <t>연서면 월하리 1153</t>
        </is>
      </c>
      <c r="B1295" s="3" t="inlineStr">
        <is>
          <t>자연녹지지역</t>
        </is>
      </c>
      <c r="C1295" s="3" t="inlineStr">
        <is>
          <t>전</t>
        </is>
      </c>
      <c r="D1295" s="3" t="inlineStr">
        <is>
          <t>전</t>
        </is>
      </c>
      <c r="E1295" s="3" t="inlineStr">
        <is>
          <t>매매</t>
        </is>
      </c>
      <c r="F1295" s="4" t="n">
        <v>27500</v>
      </c>
      <c r="G1295" s="4" t="n">
        <v>828</v>
      </c>
      <c r="H1295" s="4" t="n">
        <v>250</v>
      </c>
      <c r="I1295" s="5" t="n">
        <v>110</v>
      </c>
      <c r="J1295" s="5" t="n">
        <v>113.1</v>
      </c>
      <c r="K1295" s="3" t="inlineStr">
        <is>
          <t>개방감 좋고 저렴하게 나온 토지</t>
        </is>
      </c>
      <c r="L1295" s="6">
        <f>HYPERLINK("https://fin.land.naver.com/articles/2651956754", "매물Link")</f>
        <v/>
      </c>
      <c r="M1295" s="6">
        <f>HYPERLINK("https://map.naver.com/p/search/연서면 월하리 1153", "지도Link")</f>
        <v/>
      </c>
      <c r="N1295" s="6">
        <f>HYPERLINK("http://www.eum.go.kr/web/ar/lu/luLandDet.jsp?pnu=3611036021111530000&amp;isNoScr=script&amp;mode=search", "토지이음")</f>
        <v/>
      </c>
      <c r="O1295" s="3" t="inlineStr">
        <is>
          <t>용궁</t>
        </is>
      </c>
      <c r="P1295" s="4" t="n">
        <v>1</v>
      </c>
      <c r="Q1295" s="4" t="n">
        <v>650</v>
      </c>
      <c r="R1295" s="3" t="inlineStr">
        <is>
          <t>지정되지않음</t>
        </is>
      </c>
      <c r="S1295" s="3" t="inlineStr">
        <is>
          <t>전축사</t>
        </is>
      </c>
      <c r="T1295" s="3" t="inlineStr">
        <is>
          <t>평지</t>
        </is>
      </c>
      <c r="U1295" s="3" t="inlineStr">
        <is>
          <t>부정형</t>
        </is>
      </c>
      <c r="V1295" s="3" t="inlineStr">
        <is>
          <t>세로한면(가)</t>
        </is>
      </c>
    </row>
    <row r="1296">
      <c r="A1296" s="3" t="inlineStr">
        <is>
          <t>연서면 월하리 1153</t>
        </is>
      </c>
      <c r="B1296" s="3" t="inlineStr">
        <is>
          <t>자연녹지지역</t>
        </is>
      </c>
      <c r="C1296" s="3" t="inlineStr">
        <is>
          <t>전</t>
        </is>
      </c>
      <c r="D1296" s="3" t="inlineStr">
        <is>
          <t>전</t>
        </is>
      </c>
      <c r="E1296" s="3" t="inlineStr">
        <is>
          <t>매매</t>
        </is>
      </c>
      <c r="F1296" s="4" t="n">
        <v>27500</v>
      </c>
      <c r="G1296" s="4" t="n">
        <v>858</v>
      </c>
      <c r="H1296" s="4" t="n">
        <v>260</v>
      </c>
      <c r="I1296" s="5" t="n">
        <v>105.8</v>
      </c>
      <c r="J1296" s="5" t="n">
        <v>113.1</v>
      </c>
      <c r="K1296" s="3" t="inlineStr">
        <is>
          <t>nan</t>
        </is>
      </c>
      <c r="L1296" s="6">
        <f>HYPERLINK("https://fin.land.naver.com/articles/2654397952", "매물Link")</f>
        <v/>
      </c>
      <c r="M1296" s="6">
        <f>HYPERLINK("https://map.naver.com/p/search/연서면 월하리 1153", "지도Link")</f>
        <v/>
      </c>
      <c r="N1296" s="6">
        <f>HYPERLINK("http://www.eum.go.kr/web/ar/lu/luLandDet.jsp?pnu=3611036021111530000&amp;isNoScr=script&amp;mode=search", "토지이음")</f>
        <v/>
      </c>
      <c r="O1296" s="3" t="inlineStr">
        <is>
          <t>Home</t>
        </is>
      </c>
      <c r="P1296" s="4" t="n">
        <v>4</v>
      </c>
      <c r="Q1296" s="4" t="n">
        <v>650</v>
      </c>
      <c r="R1296" s="3" t="inlineStr">
        <is>
          <t>지정되지않음</t>
        </is>
      </c>
      <c r="S1296" s="3" t="inlineStr">
        <is>
          <t>전축사</t>
        </is>
      </c>
      <c r="T1296" s="3" t="inlineStr">
        <is>
          <t>평지</t>
        </is>
      </c>
      <c r="U1296" s="3" t="inlineStr">
        <is>
          <t>부정형</t>
        </is>
      </c>
      <c r="V1296" s="3" t="inlineStr">
        <is>
          <t>세로한면(가)</t>
        </is>
      </c>
    </row>
    <row r="1297">
      <c r="A1297" s="3" t="inlineStr">
        <is>
          <t>연서면 월하리 1274</t>
        </is>
      </c>
      <c r="B1297" s="3" t="inlineStr">
        <is>
          <t>농림지역</t>
        </is>
      </c>
      <c r="C1297" s="3" t="inlineStr">
        <is>
          <t>답</t>
        </is>
      </c>
      <c r="D1297" s="3" t="inlineStr">
        <is>
          <t>답</t>
        </is>
      </c>
      <c r="E1297" s="3" t="inlineStr">
        <is>
          <t>매매</t>
        </is>
      </c>
      <c r="F1297" s="4" t="n">
        <v>50000</v>
      </c>
      <c r="G1297" s="4" t="n">
        <v>3263</v>
      </c>
      <c r="H1297" s="4" t="n">
        <v>987</v>
      </c>
      <c r="I1297" s="5" t="n">
        <v>50.7</v>
      </c>
      <c r="J1297" s="5" t="n">
        <v>33</v>
      </c>
      <c r="K1297" s="3" t="inlineStr">
        <is>
          <t>농림진흥구역 농지,코너각지, 도로 양면 접, 대토추천</t>
        </is>
      </c>
      <c r="L1297" s="6">
        <f>HYPERLINK("https://fin.land.naver.com/articles/2654351170", "매물Link")</f>
        <v/>
      </c>
      <c r="M1297" s="6">
        <f>HYPERLINK("https://map.naver.com/p/search/연서면 월하리 1274", "지도Link")</f>
        <v/>
      </c>
      <c r="N1297" s="6">
        <f>HYPERLINK("http://www.eum.go.kr/web/ar/lu/luLandDet.jsp?pnu=3611036021112740000&amp;isNoScr=script&amp;mode=search", "토지이음")</f>
        <v/>
      </c>
      <c r="O1297" s="3" t="inlineStr">
        <is>
          <t>신안무소</t>
        </is>
      </c>
      <c r="P1297" s="4" t="n">
        <v>1</v>
      </c>
      <c r="Q1297" s="4" t="n">
        <v>3263.7</v>
      </c>
      <c r="R1297" s="3" t="inlineStr">
        <is>
          <t>지정되지않음</t>
        </is>
      </c>
      <c r="S1297" s="3" t="inlineStr">
        <is>
          <t>답</t>
        </is>
      </c>
      <c r="T1297" s="3" t="inlineStr">
        <is>
          <t>평지</t>
        </is>
      </c>
      <c r="U1297" s="3" t="inlineStr">
        <is>
          <t>가로장방</t>
        </is>
      </c>
      <c r="V1297" s="3" t="inlineStr">
        <is>
          <t>세로한면(가)</t>
        </is>
      </c>
    </row>
    <row r="1298">
      <c r="A1298" s="3" t="inlineStr">
        <is>
          <t>연서면 월하리 25-7</t>
        </is>
      </c>
      <c r="B1298" s="3" t="inlineStr">
        <is>
          <t>자연녹지지역</t>
        </is>
      </c>
      <c r="C1298" s="3" t="inlineStr">
        <is>
          <t>전</t>
        </is>
      </c>
      <c r="D1298" s="3" t="inlineStr">
        <is>
          <t>전</t>
        </is>
      </c>
      <c r="E1298" s="3" t="inlineStr">
        <is>
          <t>매매</t>
        </is>
      </c>
      <c r="F1298" s="4" t="n">
        <v>130000</v>
      </c>
      <c r="G1298" s="4" t="n">
        <v>1615</v>
      </c>
      <c r="H1298" s="4" t="n">
        <v>489</v>
      </c>
      <c r="I1298" s="5" t="n">
        <v>265.8</v>
      </c>
      <c r="J1298" s="5" t="n">
        <v>76.40000000000001</v>
      </c>
      <c r="K1298" s="3" t="inlineStr">
        <is>
          <t>미호강인근,주택부지포함,차도바로옆 금액최대협의</t>
        </is>
      </c>
      <c r="L1298" s="6">
        <f>HYPERLINK("https://fin.land.naver.com/articles/2654258120", "매물Link")</f>
        <v/>
      </c>
      <c r="M1298" s="6">
        <f>HYPERLINK("https://map.naver.com/p/search/연서면 월하리 25-7", "지도Link")</f>
        <v/>
      </c>
      <c r="N1298" s="6">
        <f>HYPERLINK("http://www.eum.go.kr/web/ar/lu/luLandDet.jsp?pnu=3611036021100250007&amp;isNoScr=script&amp;mode=search", "토지이음")</f>
        <v/>
      </c>
      <c r="O1298" s="3" t="inlineStr">
        <is>
          <t>세종새빛</t>
        </is>
      </c>
      <c r="P1298" s="4" t="n">
        <v>1</v>
      </c>
      <c r="Q1298" s="4" t="n">
        <v>1301</v>
      </c>
      <c r="R1298" s="3" t="inlineStr">
        <is>
          <t>지정되지않음</t>
        </is>
      </c>
      <c r="S1298" s="3" t="inlineStr">
        <is>
          <t>전</t>
        </is>
      </c>
      <c r="T1298" s="3" t="inlineStr">
        <is>
          <t>평지</t>
        </is>
      </c>
      <c r="U1298" s="3" t="inlineStr">
        <is>
          <t>부정형</t>
        </is>
      </c>
      <c r="V1298" s="3" t="inlineStr">
        <is>
          <t>세로한면(가)</t>
        </is>
      </c>
    </row>
    <row r="1299">
      <c r="A1299" s="3" t="inlineStr">
        <is>
          <t>연서면 월하리 25-7</t>
        </is>
      </c>
      <c r="B1299" s="3" t="inlineStr">
        <is>
          <t>자연녹지지역</t>
        </is>
      </c>
      <c r="C1299" s="3" t="inlineStr">
        <is>
          <t>전</t>
        </is>
      </c>
      <c r="D1299" s="3" t="inlineStr">
        <is>
          <t>전</t>
        </is>
      </c>
      <c r="E1299" s="3" t="inlineStr">
        <is>
          <t>매매</t>
        </is>
      </c>
      <c r="F1299" s="4" t="n">
        <v>130000</v>
      </c>
      <c r="G1299" s="4" t="n">
        <v>1615</v>
      </c>
      <c r="H1299" s="4" t="n">
        <v>489</v>
      </c>
      <c r="I1299" s="5" t="n">
        <v>265.8</v>
      </c>
      <c r="J1299" s="5" t="n">
        <v>76.40000000000001</v>
      </c>
      <c r="K1299" s="3" t="inlineStr">
        <is>
          <t>도시지역내 자연녹지,미호강변 개발가능</t>
        </is>
      </c>
      <c r="L1299" s="6">
        <f>HYPERLINK("https://fin.land.naver.com/articles/2650859611", "매물Link")</f>
        <v/>
      </c>
      <c r="M1299" s="6">
        <f>HYPERLINK("https://map.naver.com/p/search/연서면 월하리 25-7", "지도Link")</f>
        <v/>
      </c>
      <c r="N1299" s="6">
        <f>HYPERLINK("http://www.eum.go.kr/web/ar/lu/luLandDet.jsp?pnu=3611036021100250007&amp;isNoScr=script&amp;mode=search", "토지이음")</f>
        <v/>
      </c>
      <c r="O1299" s="3" t="inlineStr">
        <is>
          <t>세종대박</t>
        </is>
      </c>
      <c r="P1299" s="4" t="n">
        <v>1</v>
      </c>
      <c r="Q1299" s="4" t="n">
        <v>1301</v>
      </c>
      <c r="R1299" s="3" t="inlineStr">
        <is>
          <t>지정되지않음</t>
        </is>
      </c>
      <c r="S1299" s="3" t="inlineStr">
        <is>
          <t>전</t>
        </is>
      </c>
      <c r="T1299" s="3" t="inlineStr">
        <is>
          <t>평지</t>
        </is>
      </c>
      <c r="U1299" s="3" t="inlineStr">
        <is>
          <t>부정형</t>
        </is>
      </c>
      <c r="V1299" s="3" t="inlineStr">
        <is>
          <t>세로한면(가)</t>
        </is>
      </c>
    </row>
    <row r="1300">
      <c r="A1300" s="3" t="inlineStr">
        <is>
          <t>연서면 월하리 27</t>
        </is>
      </c>
      <c r="B1300" s="3" t="inlineStr">
        <is>
          <t>자연녹지지역</t>
        </is>
      </c>
      <c r="C1300" s="3" t="inlineStr">
        <is>
          <t>답</t>
        </is>
      </c>
      <c r="D1300" s="3" t="inlineStr">
        <is>
          <t>답</t>
        </is>
      </c>
      <c r="E1300" s="3" t="inlineStr">
        <is>
          <t>매매</t>
        </is>
      </c>
      <c r="F1300" s="4" t="n">
        <v>132000</v>
      </c>
      <c r="G1300" s="4" t="n">
        <v>1746</v>
      </c>
      <c r="H1300" s="4" t="n">
        <v>528</v>
      </c>
      <c r="I1300" s="5" t="n">
        <v>250</v>
      </c>
      <c r="J1300" s="5" t="n">
        <v>75.7</v>
      </c>
      <c r="K1300" s="3" t="inlineStr">
        <is>
          <t>미호강변 오천자전거길 옆 카페나 주택지, 근생으로 개발해도 좋음</t>
        </is>
      </c>
      <c r="L1300" s="6">
        <f>HYPERLINK("https://fin.land.naver.com/articles/2652099294", "매물Link")</f>
        <v/>
      </c>
      <c r="M1300" s="6">
        <f>HYPERLINK("https://map.naver.com/p/search/연서면 월하리 27", "지도Link")</f>
        <v/>
      </c>
      <c r="N1300" s="6">
        <f>HYPERLINK("http://www.eum.go.kr/web/ar/lu/luLandDet.jsp?pnu=3611036021100270000&amp;isNoScr=script&amp;mode=search", "토지이음")</f>
        <v/>
      </c>
      <c r="O1300" s="3" t="inlineStr">
        <is>
          <t>미스터홈즈강남지사</t>
        </is>
      </c>
      <c r="P1300" s="4" t="n">
        <v>1</v>
      </c>
      <c r="Q1300" s="4" t="n">
        <v>983</v>
      </c>
      <c r="R1300" s="3" t="inlineStr">
        <is>
          <t>지정되지않음</t>
        </is>
      </c>
      <c r="S1300" s="3" t="inlineStr">
        <is>
          <t>답</t>
        </is>
      </c>
      <c r="T1300" s="3" t="inlineStr">
        <is>
          <t>평지</t>
        </is>
      </c>
      <c r="U1300" s="3" t="inlineStr">
        <is>
          <t>부정형</t>
        </is>
      </c>
      <c r="V1300" s="3" t="inlineStr">
        <is>
          <t>세로한면(가)</t>
        </is>
      </c>
    </row>
    <row r="1301">
      <c r="A1301" s="3" t="inlineStr">
        <is>
          <t>연서면 월하리 35-3</t>
        </is>
      </c>
      <c r="B1301" s="3" t="inlineStr">
        <is>
          <t>계획관리지역</t>
        </is>
      </c>
      <c r="C1301" s="3" t="inlineStr">
        <is>
          <t>공장용지</t>
        </is>
      </c>
      <c r="D1301" s="3" t="inlineStr">
        <is>
          <t>공장용지</t>
        </is>
      </c>
      <c r="E1301" s="3" t="inlineStr">
        <is>
          <t>매매</t>
        </is>
      </c>
      <c r="F1301" s="4" t="n">
        <v>69000</v>
      </c>
      <c r="G1301" s="4" t="n">
        <v>987</v>
      </c>
      <c r="H1301" s="4" t="n">
        <v>299</v>
      </c>
      <c r="I1301" s="5" t="n">
        <v>230.8</v>
      </c>
      <c r="J1301" s="5" t="n">
        <v>73.3</v>
      </c>
      <c r="K1301" s="3" t="inlineStr">
        <is>
          <t>공장부지, 299P, 주차6대, 1층 공장 건물 및 부속건물</t>
        </is>
      </c>
      <c r="L1301" s="6">
        <f>HYPERLINK("https://fin.land.naver.com/articles/2650988901", "매물Link")</f>
        <v/>
      </c>
      <c r="M1301" s="6">
        <f>HYPERLINK("https://map.naver.com/p/search/연서면 월하리 35-3", "지도Link")</f>
        <v/>
      </c>
      <c r="N1301" s="6">
        <f>HYPERLINK("http://www.eum.go.kr/web/ar/lu/luLandDet.jsp?pnu=3611036021100350003&amp;isNoScr=script&amp;mode=search", "토지이음")</f>
        <v/>
      </c>
      <c r="O1301" s="3" t="inlineStr">
        <is>
          <t>엄마와딸</t>
        </is>
      </c>
      <c r="P1301" s="4" t="n">
        <v>1</v>
      </c>
      <c r="Q1301" s="4" t="n">
        <v>987</v>
      </c>
      <c r="R1301" s="3" t="inlineStr">
        <is>
          <t>지정되지않음</t>
        </is>
      </c>
      <c r="S1301" s="3" t="inlineStr">
        <is>
          <t>공업용</t>
        </is>
      </c>
      <c r="T1301" s="3" t="inlineStr">
        <is>
          <t>평지</t>
        </is>
      </c>
      <c r="U1301" s="3" t="inlineStr">
        <is>
          <t>사다리형</t>
        </is>
      </c>
      <c r="V1301" s="3" t="inlineStr">
        <is>
          <t>세로한면(가)</t>
        </is>
      </c>
    </row>
    <row r="1302">
      <c r="A1302" s="3" t="inlineStr">
        <is>
          <t>연서면 월하리 35-7</t>
        </is>
      </c>
      <c r="B1302" s="3" t="inlineStr">
        <is>
          <t>계획관리지역</t>
        </is>
      </c>
      <c r="C1302" s="3" t="inlineStr">
        <is>
          <t>답</t>
        </is>
      </c>
      <c r="D1302" s="3" t="inlineStr">
        <is>
          <t>답</t>
        </is>
      </c>
      <c r="E1302" s="3" t="inlineStr">
        <is>
          <t>매매</t>
        </is>
      </c>
      <c r="F1302" s="4" t="n">
        <v>100000</v>
      </c>
      <c r="G1302" s="4" t="n">
        <v>1077</v>
      </c>
      <c r="H1302" s="4" t="n">
        <v>326</v>
      </c>
      <c r="I1302" s="5" t="n">
        <v>306.7</v>
      </c>
      <c r="J1302" s="5" t="n">
        <v>62.5</v>
      </c>
      <c r="K1302" s="3" t="inlineStr">
        <is>
          <t>미호강이 흐르는 경치 좋은 곳에 카페, 식당  상업용을 추천합니다.</t>
        </is>
      </c>
      <c r="L1302" s="6">
        <f>HYPERLINK("https://fin.land.naver.com/articles/2649621498", "매물Link")</f>
        <v/>
      </c>
      <c r="M1302" s="6">
        <f>HYPERLINK("https://map.naver.com/p/search/연서면 월하리 35-7", "지도Link")</f>
        <v/>
      </c>
      <c r="N1302" s="6">
        <f>HYPERLINK("http://www.eum.go.kr/web/ar/lu/luLandDet.jsp?pnu=3611036021100350007&amp;isNoScr=script&amp;mode=search", "토지이음")</f>
        <v/>
      </c>
      <c r="O1302" s="3" t="inlineStr">
        <is>
          <t>효자</t>
        </is>
      </c>
      <c r="P1302" s="4" t="n">
        <v>1</v>
      </c>
      <c r="Q1302" s="4" t="n">
        <v>1077</v>
      </c>
      <c r="R1302" s="3" t="inlineStr">
        <is>
          <t>지정되지않음</t>
        </is>
      </c>
      <c r="S1302" s="3" t="inlineStr">
        <is>
          <t>주거기타</t>
        </is>
      </c>
      <c r="T1302" s="3" t="inlineStr">
        <is>
          <t>평지</t>
        </is>
      </c>
      <c r="U1302" s="3" t="inlineStr">
        <is>
          <t>자루형</t>
        </is>
      </c>
      <c r="V1302" s="3" t="inlineStr">
        <is>
          <t>세로한면(가)</t>
        </is>
      </c>
    </row>
    <row r="1303">
      <c r="A1303" s="3" t="inlineStr">
        <is>
          <t>연서면 월하리 619</t>
        </is>
      </c>
      <c r="B1303" s="3" t="inlineStr">
        <is>
          <t>자연녹지지역</t>
        </is>
      </c>
      <c r="C1303" s="3" t="inlineStr">
        <is>
          <t>주차장</t>
        </is>
      </c>
      <c r="D1303" s="3" t="inlineStr">
        <is>
          <t>주차장</t>
        </is>
      </c>
      <c r="E1303" s="3" t="inlineStr">
        <is>
          <t>매매</t>
        </is>
      </c>
      <c r="F1303" s="4" t="n">
        <v>250000</v>
      </c>
      <c r="G1303" s="4" t="n">
        <v>2400</v>
      </c>
      <c r="H1303" s="4" t="n">
        <v>726</v>
      </c>
      <c r="I1303" s="5" t="n">
        <v>344.4</v>
      </c>
      <c r="J1303" s="5" t="n">
        <v>61.5</v>
      </c>
      <c r="K1303" s="3" t="inlineStr">
        <is>
          <t>명성공인, 월하리, 1번국도 가까운 활용도 좋은 추천 매물</t>
        </is>
      </c>
      <c r="L1303" s="6">
        <f>HYPERLINK("https://fin.land.naver.com/articles/2652073523", "매물Link")</f>
        <v/>
      </c>
      <c r="M1303" s="6">
        <f>HYPERLINK("https://map.naver.com/p/search/연서면 월하리 619", "지도Link")</f>
        <v/>
      </c>
      <c r="N1303" s="6">
        <f>HYPERLINK("http://www.eum.go.kr/web/ar/lu/luLandDet.jsp?pnu=3611036021106190000&amp;isNoScr=script&amp;mode=search", "토지이음")</f>
        <v/>
      </c>
      <c r="O1303" s="3" t="inlineStr">
        <is>
          <t>명성</t>
        </is>
      </c>
      <c r="P1303" s="4" t="n">
        <v>1</v>
      </c>
      <c r="Q1303" s="4" t="n">
        <v>963</v>
      </c>
      <c r="R1303" s="3" t="inlineStr">
        <is>
          <t>지정되지않음</t>
        </is>
      </c>
      <c r="S1303" s="3" t="inlineStr">
        <is>
          <t>주차장등</t>
        </is>
      </c>
      <c r="T1303" s="3" t="inlineStr">
        <is>
          <t>평지</t>
        </is>
      </c>
      <c r="U1303" s="3" t="inlineStr">
        <is>
          <t>사다리형</t>
        </is>
      </c>
      <c r="V1303" s="3" t="inlineStr">
        <is>
          <t>세로한면(가)</t>
        </is>
      </c>
    </row>
    <row r="1304">
      <c r="A1304" s="3" t="inlineStr">
        <is>
          <t>연서면 월하리 663-38</t>
        </is>
      </c>
      <c r="B1304" s="3" t="inlineStr">
        <is>
          <t>자연녹지지역</t>
        </is>
      </c>
      <c r="C1304" s="3" t="inlineStr">
        <is>
          <t>전</t>
        </is>
      </c>
      <c r="D1304" s="3" t="inlineStr">
        <is>
          <t>전</t>
        </is>
      </c>
      <c r="E1304" s="3" t="inlineStr">
        <is>
          <t>매매</t>
        </is>
      </c>
      <c r="F1304" s="4" t="n">
        <v>474300</v>
      </c>
      <c r="G1304" s="4" t="n">
        <v>5229</v>
      </c>
      <c r="H1304" s="4" t="n">
        <v>1582</v>
      </c>
      <c r="I1304" s="5" t="n">
        <v>299.8</v>
      </c>
      <c r="J1304" s="5" t="n">
        <v>102.4</v>
      </c>
      <c r="K1304" s="3" t="inlineStr">
        <is>
          <t>세종 연서면 월하리 톨게이트예정지인근 시내인근 개발지 도로접 조정가능</t>
        </is>
      </c>
      <c r="L1304" s="6">
        <f>HYPERLINK("https://fin.land.naver.com/articles/2650823939", "매물Link")</f>
        <v/>
      </c>
      <c r="M1304" s="6">
        <f>HYPERLINK("https://map.naver.com/p/search/연서면 월하리 663-38", "지도Link")</f>
        <v/>
      </c>
      <c r="N1304" s="6">
        <f>HYPERLINK("http://www.eum.go.kr/web/ar/lu/luLandDet.jsp?pnu=3611036021106630038&amp;isNoScr=script&amp;mode=search", "토지이음")</f>
        <v/>
      </c>
      <c r="O1304" s="3" t="inlineStr">
        <is>
          <t>MK</t>
        </is>
      </c>
      <c r="P1304" s="4" t="n">
        <v>1</v>
      </c>
      <c r="Q1304" s="4" t="n">
        <v>5222</v>
      </c>
      <c r="R1304" s="3" t="inlineStr">
        <is>
          <t>지정되지않음</t>
        </is>
      </c>
      <c r="S1304" s="3" t="inlineStr">
        <is>
          <t>전</t>
        </is>
      </c>
      <c r="T1304" s="3" t="inlineStr">
        <is>
          <t>평지</t>
        </is>
      </c>
      <c r="U1304" s="3" t="inlineStr">
        <is>
          <t>사다리형</t>
        </is>
      </c>
      <c r="V1304" s="3" t="inlineStr">
        <is>
          <t>세로한면(가)</t>
        </is>
      </c>
    </row>
    <row r="1305">
      <c r="A1305" s="3" t="inlineStr">
        <is>
          <t>연서면 월하리 663-38</t>
        </is>
      </c>
      <c r="B1305" s="3" t="inlineStr">
        <is>
          <t>자연녹지지역</t>
        </is>
      </c>
      <c r="C1305" s="3" t="inlineStr">
        <is>
          <t>전</t>
        </is>
      </c>
      <c r="D1305" s="3" t="inlineStr">
        <is>
          <t>전</t>
        </is>
      </c>
      <c r="E1305" s="3" t="inlineStr">
        <is>
          <t>매매</t>
        </is>
      </c>
      <c r="F1305" s="4" t="n">
        <v>474300</v>
      </c>
      <c r="G1305" s="4" t="n">
        <v>5229</v>
      </c>
      <c r="H1305" s="4" t="n">
        <v>1582</v>
      </c>
      <c r="I1305" s="5" t="n">
        <v>299.8</v>
      </c>
      <c r="J1305" s="5" t="n">
        <v>102.4</v>
      </c>
      <c r="K1305" s="3" t="inlineStr">
        <is>
          <t>위치 좋은 넓은 토지.연락주세요</t>
        </is>
      </c>
      <c r="L1305" s="6">
        <f>HYPERLINK("https://fin.land.naver.com/articles/2654077441", "매물Link")</f>
        <v/>
      </c>
      <c r="M1305" s="6">
        <f>HYPERLINK("https://map.naver.com/p/search/연서면 월하리 663-38", "지도Link")</f>
        <v/>
      </c>
      <c r="N1305" s="6">
        <f>HYPERLINK("http://www.eum.go.kr/web/ar/lu/luLandDet.jsp?pnu=3611036021106630038&amp;isNoScr=script&amp;mode=search", "토지이음")</f>
        <v/>
      </c>
      <c r="O1305" s="3" t="inlineStr">
        <is>
          <t>수자인</t>
        </is>
      </c>
      <c r="P1305" s="4" t="n">
        <v>1</v>
      </c>
      <c r="Q1305" s="4" t="n">
        <v>5222</v>
      </c>
      <c r="R1305" s="3" t="inlineStr">
        <is>
          <t>지정되지않음</t>
        </is>
      </c>
      <c r="S1305" s="3" t="inlineStr">
        <is>
          <t>전</t>
        </is>
      </c>
      <c r="T1305" s="3" t="inlineStr">
        <is>
          <t>평지</t>
        </is>
      </c>
      <c r="U1305" s="3" t="inlineStr">
        <is>
          <t>사다리형</t>
        </is>
      </c>
      <c r="V1305" s="3" t="inlineStr">
        <is>
          <t>세로한면(가)</t>
        </is>
      </c>
    </row>
    <row r="1306">
      <c r="A1306" s="3" t="inlineStr">
        <is>
          <t>연서면 월하리 730</t>
        </is>
      </c>
      <c r="B1306" s="3" t="inlineStr">
        <is>
          <t>자연녹지지역</t>
        </is>
      </c>
      <c r="C1306" s="3" t="inlineStr">
        <is>
          <t>답</t>
        </is>
      </c>
      <c r="D1306" s="3" t="inlineStr">
        <is>
          <t>답</t>
        </is>
      </c>
      <c r="E1306" s="3" t="inlineStr">
        <is>
          <t>매매</t>
        </is>
      </c>
      <c r="F1306" s="4" t="n">
        <v>196000</v>
      </c>
      <c r="G1306" s="4" t="n">
        <v>1856</v>
      </c>
      <c r="H1306" s="4" t="n">
        <v>561</v>
      </c>
      <c r="I1306" s="5" t="n">
        <v>349.4</v>
      </c>
      <c r="J1306" s="5" t="n">
        <v>121.8</v>
      </c>
      <c r="K1306" s="3" t="inlineStr">
        <is>
          <t>연서면 월하리 2차선  접한  자연녹지, 4차선계획도로이며 분할매매 가능</t>
        </is>
      </c>
      <c r="L1306" s="6">
        <f>HYPERLINK("https://fin.land.naver.com/articles/2652083823", "매물Link")</f>
        <v/>
      </c>
      <c r="M1306" s="6">
        <f>HYPERLINK("https://map.naver.com/p/search/연서면 월하리 730", "지도Link")</f>
        <v/>
      </c>
      <c r="N1306" s="6">
        <f>HYPERLINK("http://www.eum.go.kr/web/ar/lu/luLandDet.jsp?pnu=3611036021107300000&amp;isNoScr=script&amp;mode=search", "토지이음")</f>
        <v/>
      </c>
      <c r="O1306" s="3" t="inlineStr">
        <is>
          <t>the다올</t>
        </is>
      </c>
      <c r="P1306" s="4" t="n">
        <v>2</v>
      </c>
      <c r="Q1306" s="4" t="n">
        <v>1856</v>
      </c>
      <c r="R1306" s="3" t="inlineStr">
        <is>
          <t>지정되지않음</t>
        </is>
      </c>
      <c r="S1306" s="3" t="inlineStr">
        <is>
          <t>답</t>
        </is>
      </c>
      <c r="T1306" s="3" t="inlineStr">
        <is>
          <t>평지</t>
        </is>
      </c>
      <c r="U1306" s="3" t="inlineStr">
        <is>
          <t>부정형</t>
        </is>
      </c>
      <c r="V1306" s="3" t="inlineStr">
        <is>
          <t>소로한면</t>
        </is>
      </c>
    </row>
    <row r="1307">
      <c r="A1307" s="3" t="inlineStr">
        <is>
          <t>연서면 월하리 766</t>
        </is>
      </c>
      <c r="B1307" s="3" t="inlineStr">
        <is>
          <t>자연녹지지역</t>
        </is>
      </c>
      <c r="C1307" s="3" t="inlineStr">
        <is>
          <t>전</t>
        </is>
      </c>
      <c r="D1307" s="3" t="inlineStr">
        <is>
          <t>전</t>
        </is>
      </c>
      <c r="E1307" s="3" t="inlineStr">
        <is>
          <t>매매</t>
        </is>
      </c>
      <c r="F1307" s="4" t="n">
        <v>200000</v>
      </c>
      <c r="G1307" s="4" t="n">
        <v>3305</v>
      </c>
      <c r="H1307" s="4" t="n">
        <v>1000</v>
      </c>
      <c r="I1307" s="5" t="n">
        <v>200</v>
      </c>
      <c r="J1307" s="5" t="n">
        <v>128.3</v>
      </c>
      <c r="K1307" s="3" t="inlineStr">
        <is>
          <t>조치원 공공주택지구에 인접한 2차선변 1천평 토지 매매</t>
        </is>
      </c>
      <c r="L1307" s="6">
        <f>HYPERLINK("https://fin.land.naver.com/articles/2652068500", "매물Link")</f>
        <v/>
      </c>
      <c r="M1307" s="6">
        <f>HYPERLINK("https://map.naver.com/p/search/연서면 월하리 766", "지도Link")</f>
        <v/>
      </c>
      <c r="N1307" s="6">
        <f>HYPERLINK("http://www.eum.go.kr/web/ar/lu/luLandDet.jsp?pnu=3611036021107660000&amp;isNoScr=script&amp;mode=search", "토지이음")</f>
        <v/>
      </c>
      <c r="O1307" s="3" t="inlineStr">
        <is>
          <t>신와촌</t>
        </is>
      </c>
      <c r="P1307" s="4" t="n">
        <v>1</v>
      </c>
      <c r="Q1307" s="4" t="n">
        <v>3306</v>
      </c>
      <c r="R1307" s="3" t="inlineStr">
        <is>
          <t>지정되지않음</t>
        </is>
      </c>
      <c r="S1307" s="3" t="inlineStr">
        <is>
          <t>과수원</t>
        </is>
      </c>
      <c r="T1307" s="3" t="inlineStr">
        <is>
          <t>평지</t>
        </is>
      </c>
      <c r="U1307" s="3" t="inlineStr">
        <is>
          <t>부정형</t>
        </is>
      </c>
      <c r="V1307" s="3" t="inlineStr">
        <is>
          <t>소로한면</t>
        </is>
      </c>
    </row>
    <row r="1308">
      <c r="A1308" s="3" t="inlineStr">
        <is>
          <t>연서면 월하리 794-1</t>
        </is>
      </c>
      <c r="B1308" s="3" t="inlineStr">
        <is>
          <t>자연녹지지역</t>
        </is>
      </c>
      <c r="C1308" s="3" t="inlineStr">
        <is>
          <t>전</t>
        </is>
      </c>
      <c r="D1308" s="3" t="inlineStr">
        <is>
          <t>전</t>
        </is>
      </c>
      <c r="E1308" s="3" t="inlineStr">
        <is>
          <t>매매</t>
        </is>
      </c>
      <c r="F1308" s="4" t="n">
        <v>82000</v>
      </c>
      <c r="G1308" s="4" t="n">
        <v>845</v>
      </c>
      <c r="H1308" s="4" t="n">
        <v>256</v>
      </c>
      <c r="I1308" s="5" t="n">
        <v>320.3</v>
      </c>
      <c r="J1308" s="5" t="n">
        <v>128.3</v>
      </c>
      <c r="K1308" s="3" t="inlineStr">
        <is>
          <t>2차선변,월하리 토지매매.</t>
        </is>
      </c>
      <c r="L1308" s="6">
        <f>HYPERLINK("https://fin.land.naver.com/articles/2651374054", "매물Link")</f>
        <v/>
      </c>
      <c r="M1308" s="6">
        <f>HYPERLINK("https://map.naver.com/p/search/연서면 월하리 794-1", "지도Link")</f>
        <v/>
      </c>
      <c r="N1308" s="6">
        <f>HYPERLINK("http://www.eum.go.kr/web/ar/lu/luLandDet.jsp?pnu=3611036021107940001&amp;isNoScr=script&amp;mode=search", "토지이음")</f>
        <v/>
      </c>
      <c r="O1308" s="3" t="inlineStr">
        <is>
          <t>세종강산</t>
        </is>
      </c>
      <c r="P1308" s="4" t="n">
        <v>1</v>
      </c>
      <c r="Q1308" s="4" t="n">
        <v>845</v>
      </c>
      <c r="R1308" s="3" t="inlineStr">
        <is>
          <t>지정되지않음</t>
        </is>
      </c>
      <c r="S1308" s="3" t="inlineStr">
        <is>
          <t>전</t>
        </is>
      </c>
      <c r="T1308" s="3" t="inlineStr">
        <is>
          <t>평지</t>
        </is>
      </c>
      <c r="U1308" s="3" t="inlineStr">
        <is>
          <t>부정형</t>
        </is>
      </c>
      <c r="V1308" s="3" t="inlineStr">
        <is>
          <t>소로한면</t>
        </is>
      </c>
    </row>
    <row r="1309">
      <c r="A1309" s="3" t="inlineStr">
        <is>
          <t>연서면 월하리 809</t>
        </is>
      </c>
      <c r="B1309" s="3" t="inlineStr">
        <is>
          <t>자연녹지지역</t>
        </is>
      </c>
      <c r="C1309" s="3" t="inlineStr">
        <is>
          <t>대</t>
        </is>
      </c>
      <c r="D1309" s="3" t="inlineStr">
        <is>
          <t>대</t>
        </is>
      </c>
      <c r="E1309" s="3" t="inlineStr">
        <is>
          <t>매매</t>
        </is>
      </c>
      <c r="F1309" s="4" t="n">
        <v>48000</v>
      </c>
      <c r="G1309" s="4" t="n">
        <v>668</v>
      </c>
      <c r="H1309" s="4" t="n">
        <v>202</v>
      </c>
      <c r="I1309" s="5" t="n">
        <v>237.6</v>
      </c>
      <c r="J1309" s="5" t="n">
        <v>156.1</v>
      </c>
      <c r="K1309" s="3" t="inlineStr">
        <is>
          <t>월하리 2차선 도로접한 대지 급매. 자연취락지구로 토지거래허가구역임</t>
        </is>
      </c>
      <c r="L1309" s="6">
        <f>HYPERLINK("https://fin.land.naver.com/articles/2652535473", "매물Link")</f>
        <v/>
      </c>
      <c r="M1309" s="6">
        <f>HYPERLINK("https://map.naver.com/p/search/연서면 월하리 809", "지도Link")</f>
        <v/>
      </c>
      <c r="N1309" s="6">
        <f>HYPERLINK("http://www.eum.go.kr/web/ar/lu/luLandDet.jsp?pnu=3611036021108090000&amp;isNoScr=script&amp;mode=search", "토지이음")</f>
        <v/>
      </c>
      <c r="O1309" s="3" t="inlineStr">
        <is>
          <t>세종대장</t>
        </is>
      </c>
      <c r="P1309" s="4" t="n">
        <v>1</v>
      </c>
      <c r="Q1309" s="4" t="n">
        <v>668</v>
      </c>
      <c r="R1309" s="3" t="inlineStr">
        <is>
          <t>지정되지않음</t>
        </is>
      </c>
      <c r="S1309" s="3" t="inlineStr">
        <is>
          <t>단독</t>
        </is>
      </c>
      <c r="T1309" s="3" t="inlineStr">
        <is>
          <t>평지</t>
        </is>
      </c>
      <c r="U1309" s="3" t="inlineStr">
        <is>
          <t>부정형</t>
        </is>
      </c>
      <c r="V1309" s="3" t="inlineStr">
        <is>
          <t>소로한면</t>
        </is>
      </c>
    </row>
    <row r="1310">
      <c r="A1310" s="3" t="inlineStr">
        <is>
          <t>연서면 월하리 818-1</t>
        </is>
      </c>
      <c r="B1310" s="3" t="inlineStr">
        <is>
          <t>자연녹지지역</t>
        </is>
      </c>
      <c r="C1310" s="3" t="inlineStr">
        <is>
          <t>전</t>
        </is>
      </c>
      <c r="D1310" s="3" t="inlineStr">
        <is>
          <t>전</t>
        </is>
      </c>
      <c r="E1310" s="3" t="inlineStr">
        <is>
          <t>매매</t>
        </is>
      </c>
      <c r="F1310" s="4" t="n">
        <v>78000</v>
      </c>
      <c r="G1310" s="4" t="n">
        <v>745</v>
      </c>
      <c r="H1310" s="4" t="n">
        <v>225</v>
      </c>
      <c r="I1310" s="5" t="n">
        <v>346.7</v>
      </c>
      <c r="J1310" s="5" t="n">
        <v>80.3</v>
      </c>
      <c r="K1310" s="3" t="inlineStr">
        <is>
          <t>조치원 월하리 아파트 분양 예정지 근접,개발 투자가치로 좋아요</t>
        </is>
      </c>
      <c r="L1310" s="6">
        <f>HYPERLINK("https://fin.land.naver.com/articles/2651463269", "매물Link")</f>
        <v/>
      </c>
      <c r="M1310" s="6">
        <f>HYPERLINK("https://map.naver.com/p/search/연서면 월하리 818-1", "지도Link")</f>
        <v/>
      </c>
      <c r="N1310" s="6">
        <f>HYPERLINK("http://www.eum.go.kr/web/ar/lu/luLandDet.jsp?pnu=3611036021108180001&amp;isNoScr=script&amp;mode=search", "토지이음")</f>
        <v/>
      </c>
      <c r="O1310" s="3" t="inlineStr">
        <is>
          <t>담뜰</t>
        </is>
      </c>
      <c r="P1310" s="4" t="n">
        <v>1</v>
      </c>
      <c r="Q1310" s="4" t="n">
        <v>745</v>
      </c>
      <c r="R1310" s="3" t="inlineStr">
        <is>
          <t>지정되지않음</t>
        </is>
      </c>
      <c r="S1310" s="3" t="inlineStr">
        <is>
          <t>과수원</t>
        </is>
      </c>
      <c r="T1310" s="3" t="inlineStr">
        <is>
          <t>평지</t>
        </is>
      </c>
      <c r="U1310" s="3" t="inlineStr">
        <is>
          <t>부정형</t>
        </is>
      </c>
      <c r="V1310" s="3" t="inlineStr">
        <is>
          <t>세로한면(가)</t>
        </is>
      </c>
    </row>
    <row r="1311">
      <c r="A1311" s="3" t="inlineStr">
        <is>
          <t>연서면 월하리 889-1</t>
        </is>
      </c>
      <c r="B1311" s="3" t="inlineStr">
        <is>
          <t>자연녹지지역</t>
        </is>
      </c>
      <c r="C1311" s="3" t="inlineStr">
        <is>
          <t>과수원</t>
        </is>
      </c>
      <c r="D1311" s="3" t="inlineStr">
        <is>
          <t>과수원</t>
        </is>
      </c>
      <c r="E1311" s="3" t="inlineStr">
        <is>
          <t>매매</t>
        </is>
      </c>
      <c r="F1311" s="4" t="n">
        <v>442000</v>
      </c>
      <c r="G1311" s="4" t="n">
        <v>5415</v>
      </c>
      <c r="H1311" s="4" t="n">
        <v>1638</v>
      </c>
      <c r="I1311" s="5" t="n">
        <v>269.8</v>
      </c>
      <c r="J1311" s="5" t="n">
        <v>81.3</v>
      </c>
      <c r="K1311" s="3" t="inlineStr">
        <is>
          <t>세종 조치원 공공주택지구 접한 투자용 토지 매매</t>
        </is>
      </c>
      <c r="L1311" s="6">
        <f>HYPERLINK("https://fin.land.naver.com/articles/2650462664", "매물Link")</f>
        <v/>
      </c>
      <c r="M1311" s="6">
        <f>HYPERLINK("https://map.naver.com/p/search/연서면 월하리 889-1", "지도Link")</f>
        <v/>
      </c>
      <c r="N1311" s="6">
        <f>HYPERLINK("http://www.eum.go.kr/web/ar/lu/luLandDet.jsp?pnu=3611036021108890001&amp;isNoScr=script&amp;mode=search", "토지이음")</f>
        <v/>
      </c>
      <c r="O1311" s="3" t="inlineStr">
        <is>
          <t>(주)해뜰터</t>
        </is>
      </c>
      <c r="P1311" s="4" t="n">
        <v>2</v>
      </c>
      <c r="Q1311" s="4" t="n">
        <v>5415</v>
      </c>
      <c r="R1311" s="3" t="inlineStr">
        <is>
          <t>지정되지않음</t>
        </is>
      </c>
      <c r="S1311" s="3" t="inlineStr">
        <is>
          <t>전</t>
        </is>
      </c>
      <c r="T1311" s="3" t="inlineStr">
        <is>
          <t>완경사</t>
        </is>
      </c>
      <c r="U1311" s="3" t="inlineStr">
        <is>
          <t>부정형</t>
        </is>
      </c>
      <c r="V1311" s="3" t="inlineStr">
        <is>
          <t>세로한면(불)</t>
        </is>
      </c>
    </row>
    <row r="1312">
      <c r="A1312" s="3" t="inlineStr">
        <is>
          <t>연서면 월하리 898</t>
        </is>
      </c>
      <c r="B1312" s="3" t="inlineStr">
        <is>
          <t>자연녹지지역</t>
        </is>
      </c>
      <c r="C1312" s="3" t="inlineStr">
        <is>
          <t>답</t>
        </is>
      </c>
      <c r="D1312" s="3" t="inlineStr">
        <is>
          <t>답</t>
        </is>
      </c>
      <c r="E1312" s="3" t="inlineStr">
        <is>
          <t>매매</t>
        </is>
      </c>
      <c r="F1312" s="4" t="n">
        <v>200000</v>
      </c>
      <c r="G1312" s="4" t="n">
        <v>1652</v>
      </c>
      <c r="H1312" s="4" t="n">
        <v>500</v>
      </c>
      <c r="I1312" s="5" t="n">
        <v>400</v>
      </c>
      <c r="J1312" s="5" t="n">
        <v>100.6</v>
      </c>
      <c r="K1312" s="3" t="inlineStr">
        <is>
          <t>포장도로 접한 답. 조치원 공공주택지구 인근 자연녹지</t>
        </is>
      </c>
      <c r="L1312" s="6">
        <f>HYPERLINK("https://fin.land.naver.com/articles/2654244524", "매물Link")</f>
        <v/>
      </c>
      <c r="M1312" s="6">
        <f>HYPERLINK("https://map.naver.com/p/search/연서면 월하리 898", "지도Link")</f>
        <v/>
      </c>
      <c r="N1312" s="6">
        <f>HYPERLINK("http://www.eum.go.kr/web/ar/lu/luLandDet.jsp?pnu=3611036021108980000&amp;isNoScr=script&amp;mode=search", "토지이음")</f>
        <v/>
      </c>
      <c r="O1312" s="3" t="inlineStr">
        <is>
          <t>미스터홈즈강남지사</t>
        </is>
      </c>
      <c r="P1312" s="4" t="n">
        <v>1</v>
      </c>
      <c r="Q1312" s="4" t="n">
        <v>1084</v>
      </c>
      <c r="R1312" s="3" t="inlineStr">
        <is>
          <t>지정되지않음</t>
        </is>
      </c>
      <c r="S1312" s="3" t="inlineStr">
        <is>
          <t>답</t>
        </is>
      </c>
      <c r="T1312" s="3" t="inlineStr">
        <is>
          <t>평지</t>
        </is>
      </c>
      <c r="U1312" s="3" t="inlineStr">
        <is>
          <t>부정형</t>
        </is>
      </c>
      <c r="V1312" s="3" t="inlineStr">
        <is>
          <t>세로한면(가)</t>
        </is>
      </c>
    </row>
    <row r="1313">
      <c r="A1313" s="3" t="inlineStr">
        <is>
          <t>연서면 월하리 913-1</t>
        </is>
      </c>
      <c r="B1313" s="3" t="inlineStr">
        <is>
          <t>자연녹지지역</t>
        </is>
      </c>
      <c r="C1313" s="3" t="inlineStr">
        <is>
          <t>과수원</t>
        </is>
      </c>
      <c r="D1313" s="3" t="inlineStr">
        <is>
          <t>과수원</t>
        </is>
      </c>
      <c r="E1313" s="3" t="inlineStr">
        <is>
          <t>매매</t>
        </is>
      </c>
      <c r="F1313" s="4" t="n">
        <v>137800</v>
      </c>
      <c r="G1313" s="4" t="n">
        <v>2278</v>
      </c>
      <c r="H1313" s="4" t="n">
        <v>689</v>
      </c>
      <c r="I1313" s="5" t="n">
        <v>200</v>
      </c>
      <c r="J1313" s="5" t="n">
        <v>89.90000000000001</v>
      </c>
      <c r="K1313" s="3" t="inlineStr">
        <is>
          <t>월하리 자연녹지역 농지 2필지 일괄 매매.</t>
        </is>
      </c>
      <c r="L1313" s="6">
        <f>HYPERLINK("https://fin.land.naver.com/articles/2654030990", "매물Link")</f>
        <v/>
      </c>
      <c r="M1313" s="6">
        <f>HYPERLINK("https://map.naver.com/p/search/연서면 월하리 913-1", "지도Link")</f>
        <v/>
      </c>
      <c r="N1313" s="6">
        <f>HYPERLINK("http://www.eum.go.kr/web/ar/lu/luLandDet.jsp?pnu=3611036021109130001&amp;isNoScr=script&amp;mode=search", "토지이음")</f>
        <v/>
      </c>
      <c r="O1313" s="3" t="inlineStr">
        <is>
          <t>세종대장</t>
        </is>
      </c>
      <c r="P1313" s="4" t="n">
        <v>1</v>
      </c>
      <c r="Q1313" s="4" t="n">
        <v>1329</v>
      </c>
      <c r="R1313" s="3" t="inlineStr">
        <is>
          <t>지정되지않음</t>
        </is>
      </c>
      <c r="S1313" s="3" t="inlineStr">
        <is>
          <t>과수원</t>
        </is>
      </c>
      <c r="T1313" s="3" t="inlineStr">
        <is>
          <t>완경사</t>
        </is>
      </c>
      <c r="U1313" s="3" t="inlineStr">
        <is>
          <t>부정형</t>
        </is>
      </c>
      <c r="V1313" s="3" t="inlineStr">
        <is>
          <t>세로한면(불)</t>
        </is>
      </c>
    </row>
    <row r="1314">
      <c r="A1314" s="3" t="inlineStr">
        <is>
          <t>연서면 월하리 960-4</t>
        </is>
      </c>
      <c r="B1314" s="3" t="inlineStr">
        <is>
          <t>자연녹지지역</t>
        </is>
      </c>
      <c r="C1314" s="3" t="inlineStr">
        <is>
          <t>전</t>
        </is>
      </c>
      <c r="D1314" s="3" t="inlineStr">
        <is>
          <t>전</t>
        </is>
      </c>
      <c r="E1314" s="3" t="inlineStr">
        <is>
          <t>매매</t>
        </is>
      </c>
      <c r="F1314" s="4" t="n">
        <v>70000</v>
      </c>
      <c r="G1314" s="4" t="n">
        <v>574</v>
      </c>
      <c r="H1314" s="4" t="n">
        <v>174</v>
      </c>
      <c r="I1314" s="5" t="n">
        <v>402.3</v>
      </c>
      <c r="J1314" s="5" t="n">
        <v>208.2</v>
      </c>
      <c r="K1314" s="3" t="inlineStr">
        <is>
          <t>2차선 도로에 접한 3거리 코너각지에 있는 도시지역자연녹지  투자용 토지</t>
        </is>
      </c>
      <c r="L1314" s="6">
        <f>HYPERLINK("https://fin.land.naver.com/articles/2652409046", "매물Link")</f>
        <v/>
      </c>
      <c r="M1314" s="6">
        <f>HYPERLINK("https://map.naver.com/p/search/연서면 월하리 960-4", "지도Link")</f>
        <v/>
      </c>
      <c r="N1314" s="6">
        <f>HYPERLINK("http://www.eum.go.kr/web/ar/lu/luLandDet.jsp?pnu=3611036021109600004&amp;isNoScr=script&amp;mode=search", "토지이음")</f>
        <v/>
      </c>
      <c r="O1314" s="3" t="inlineStr">
        <is>
          <t>스마일세종</t>
        </is>
      </c>
      <c r="P1314" s="4" t="n">
        <v>1</v>
      </c>
      <c r="Q1314" s="4" t="n">
        <v>574</v>
      </c>
      <c r="R1314" s="3" t="inlineStr">
        <is>
          <t>지정되지않음</t>
        </is>
      </c>
      <c r="S1314" s="3" t="inlineStr">
        <is>
          <t>전기타</t>
        </is>
      </c>
      <c r="T1314" s="3" t="inlineStr">
        <is>
          <t>평지</t>
        </is>
      </c>
      <c r="U1314" s="3" t="inlineStr">
        <is>
          <t>부정형</t>
        </is>
      </c>
      <c r="V1314" s="3" t="inlineStr">
        <is>
          <t>소로각지</t>
        </is>
      </c>
    </row>
    <row r="1315">
      <c r="A1315" s="3" t="inlineStr">
        <is>
          <t>연서면 월하리 966-14</t>
        </is>
      </c>
      <c r="B1315" s="3" t="inlineStr">
        <is>
          <t>자연녹지지역</t>
        </is>
      </c>
      <c r="C1315" s="3" t="inlineStr">
        <is>
          <t>전</t>
        </is>
      </c>
      <c r="D1315" s="3" t="inlineStr">
        <is>
          <t>전</t>
        </is>
      </c>
      <c r="E1315" s="3" t="inlineStr">
        <is>
          <t>매매</t>
        </is>
      </c>
      <c r="F1315" s="4" t="n">
        <v>29000</v>
      </c>
      <c r="G1315" s="4" t="n">
        <v>384</v>
      </c>
      <c r="H1315" s="4" t="n">
        <v>116</v>
      </c>
      <c r="I1315" s="5" t="n">
        <v>250</v>
      </c>
      <c r="J1315" s="5" t="n">
        <v>102.6</v>
      </c>
      <c r="K1315" s="3" t="inlineStr">
        <is>
          <t>주말농장 및 미래가치 높은 투자형, 토지거래 허가구역</t>
        </is>
      </c>
      <c r="L1315" s="6">
        <f>HYPERLINK("https://fin.land.naver.com/articles/2649406700", "매물Link")</f>
        <v/>
      </c>
      <c r="M1315" s="6">
        <f>HYPERLINK("https://map.naver.com/p/search/연서면 월하리 966-14", "지도Link")</f>
        <v/>
      </c>
      <c r="N1315" s="6">
        <f>HYPERLINK("http://www.eum.go.kr/web/ar/lu/luLandDet.jsp?pnu=3611036021109660014&amp;isNoScr=script&amp;mode=search", "토지이음")</f>
        <v/>
      </c>
      <c r="O1315" s="3" t="inlineStr">
        <is>
          <t>천우</t>
        </is>
      </c>
      <c r="P1315" s="4" t="n">
        <v>1</v>
      </c>
      <c r="Q1315" s="4" t="n">
        <v>384</v>
      </c>
      <c r="R1315" s="3" t="inlineStr">
        <is>
          <t>지정되지않음</t>
        </is>
      </c>
      <c r="S1315" s="3" t="inlineStr">
        <is>
          <t>과수원</t>
        </is>
      </c>
      <c r="T1315" s="3" t="inlineStr">
        <is>
          <t>평지</t>
        </is>
      </c>
      <c r="U1315" s="3" t="inlineStr">
        <is>
          <t>사다리형</t>
        </is>
      </c>
      <c r="V1315" s="3" t="inlineStr">
        <is>
          <t>세로한면(가)</t>
        </is>
      </c>
    </row>
    <row r="1316">
      <c r="A1316" s="3" t="inlineStr">
        <is>
          <t>연서면 월하리 966-3</t>
        </is>
      </c>
      <c r="B1316" s="3" t="inlineStr">
        <is>
          <t>자연녹지지역</t>
        </is>
      </c>
      <c r="C1316" s="3" t="inlineStr">
        <is>
          <t>대</t>
        </is>
      </c>
      <c r="D1316" s="3" t="inlineStr">
        <is>
          <t>대</t>
        </is>
      </c>
      <c r="E1316" s="3" t="inlineStr">
        <is>
          <t>매매</t>
        </is>
      </c>
      <c r="F1316" s="4" t="n">
        <v>110000</v>
      </c>
      <c r="G1316" s="4" t="n">
        <v>981</v>
      </c>
      <c r="H1316" s="4" t="n">
        <v>297</v>
      </c>
      <c r="I1316" s="5" t="n">
        <v>370.4</v>
      </c>
      <c r="J1316" s="5" t="n">
        <v>168.6</v>
      </c>
      <c r="K1316" s="3" t="inlineStr">
        <is>
          <t>실거주, 미래가치 높은 투자형, 토지거래 허가구역</t>
        </is>
      </c>
      <c r="L1316" s="6">
        <f>HYPERLINK("https://fin.land.naver.com/articles/2649406297", "매물Link")</f>
        <v/>
      </c>
      <c r="M1316" s="6">
        <f>HYPERLINK("https://map.naver.com/p/search/연서면 월하리 966-3", "지도Link")</f>
        <v/>
      </c>
      <c r="N1316" s="6">
        <f>HYPERLINK("http://www.eum.go.kr/web/ar/lu/luLandDet.jsp?pnu=3611036021109660003&amp;isNoScr=script&amp;mode=search", "토지이음")</f>
        <v/>
      </c>
      <c r="O1316" s="3" t="inlineStr">
        <is>
          <t>천우</t>
        </is>
      </c>
      <c r="P1316" s="4" t="n">
        <v>1</v>
      </c>
      <c r="Q1316" s="4" t="n">
        <v>639</v>
      </c>
      <c r="R1316" s="3" t="inlineStr">
        <is>
          <t>지정되지않음</t>
        </is>
      </c>
      <c r="S1316" s="3" t="inlineStr">
        <is>
          <t>단독</t>
        </is>
      </c>
      <c r="T1316" s="3" t="inlineStr">
        <is>
          <t>평지</t>
        </is>
      </c>
      <c r="U1316" s="3" t="inlineStr">
        <is>
          <t>사다리형</t>
        </is>
      </c>
      <c r="V1316" s="3" t="inlineStr">
        <is>
          <t>소로한면</t>
        </is>
      </c>
    </row>
    <row r="1317">
      <c r="A1317" s="3" t="inlineStr">
        <is>
          <t>연서면 월하리 986-3</t>
        </is>
      </c>
      <c r="B1317" s="3" t="inlineStr">
        <is>
          <t>자연녹지지역</t>
        </is>
      </c>
      <c r="C1317" s="3" t="inlineStr">
        <is>
          <t>전</t>
        </is>
      </c>
      <c r="D1317" s="3" t="inlineStr">
        <is>
          <t>전</t>
        </is>
      </c>
      <c r="E1317" s="3" t="inlineStr">
        <is>
          <t>매매</t>
        </is>
      </c>
      <c r="F1317" s="4" t="n">
        <v>168000</v>
      </c>
      <c r="G1317" s="4" t="n">
        <v>1157</v>
      </c>
      <c r="H1317" s="4" t="n">
        <v>350</v>
      </c>
      <c r="I1317" s="5" t="n">
        <v>480</v>
      </c>
      <c r="J1317" s="5" t="n">
        <v>208.4</v>
      </c>
      <c r="K1317" s="3" t="inlineStr">
        <is>
          <t>조치원 서북부 개발지역 근접  농지로 투자용으로도 추천, 포장도로 접함</t>
        </is>
      </c>
      <c r="L1317" s="6">
        <f>HYPERLINK("https://fin.land.naver.com/articles/2653204795", "매물Link")</f>
        <v/>
      </c>
      <c r="M1317" s="6">
        <f>HYPERLINK("https://map.naver.com/p/search/연서면 월하리 986-3", "지도Link")</f>
        <v/>
      </c>
      <c r="N1317" s="6">
        <f>HYPERLINK("http://www.eum.go.kr/web/ar/lu/luLandDet.jsp?pnu=3611036021109860003&amp;isNoScr=script&amp;mode=search", "토지이음")</f>
        <v/>
      </c>
      <c r="O1317" s="3" t="inlineStr">
        <is>
          <t>the다올</t>
        </is>
      </c>
      <c r="P1317" s="4" t="n">
        <v>1</v>
      </c>
      <c r="Q1317" s="4" t="n">
        <v>1157</v>
      </c>
      <c r="R1317" s="3" t="inlineStr">
        <is>
          <t>지정되지않음</t>
        </is>
      </c>
      <c r="S1317" s="3" t="inlineStr">
        <is>
          <t>전</t>
        </is>
      </c>
      <c r="T1317" s="3" t="inlineStr">
        <is>
          <t>평지</t>
        </is>
      </c>
      <c r="U1317" s="3" t="inlineStr">
        <is>
          <t>사다리형</t>
        </is>
      </c>
      <c r="V1317" s="3" t="inlineStr">
        <is>
          <t>세로한면(가)</t>
        </is>
      </c>
    </row>
    <row r="1318">
      <c r="A1318" s="3" t="inlineStr">
        <is>
          <t>연서면 월하리 산144-1</t>
        </is>
      </c>
      <c r="B1318" s="3" t="inlineStr">
        <is>
          <t>자연녹지지역</t>
        </is>
      </c>
      <c r="C1318" s="3" t="inlineStr">
        <is>
          <t>임야</t>
        </is>
      </c>
      <c r="D1318" s="3" t="inlineStr">
        <is>
          <t>임야</t>
        </is>
      </c>
      <c r="E1318" s="3" t="inlineStr">
        <is>
          <t>매매</t>
        </is>
      </c>
      <c r="F1318" s="4" t="n">
        <v>860000</v>
      </c>
      <c r="G1318" s="4" t="n">
        <v>22983</v>
      </c>
      <c r="H1318" s="4" t="n">
        <v>6952</v>
      </c>
      <c r="I1318" s="5" t="n">
        <v>123.7</v>
      </c>
      <c r="J1318" s="5" t="n">
        <v>22.5</v>
      </c>
      <c r="K1318" s="3" t="inlineStr">
        <is>
          <t>미호강변 경관좋은 완경사 임야</t>
        </is>
      </c>
      <c r="L1318" s="6">
        <f>HYPERLINK("https://fin.land.naver.com/articles/2651822753", "매물Link")</f>
        <v/>
      </c>
      <c r="M1318" s="6">
        <f>HYPERLINK("https://map.naver.com/p/search/연서면 월하리 산144-1", "지도Link")</f>
        <v/>
      </c>
      <c r="N1318" s="6">
        <f>HYPERLINK("http://www.eum.go.kr/web/ar/lu/luLandDet.jsp?pnu=3611036021201440001&amp;isNoScr=script&amp;mode=search", "토지이음")</f>
        <v/>
      </c>
      <c r="O1318" s="3" t="inlineStr">
        <is>
          <t>번영</t>
        </is>
      </c>
      <c r="P1318" s="4" t="n">
        <v>1</v>
      </c>
      <c r="Q1318" s="4" t="n">
        <v>22641</v>
      </c>
      <c r="R1318" s="3" t="inlineStr">
        <is>
          <t>지정되지않음</t>
        </is>
      </c>
      <c r="S1318" s="3" t="inlineStr">
        <is>
          <t>자연림</t>
        </is>
      </c>
      <c r="T1318" s="3" t="inlineStr">
        <is>
          <t>완경사</t>
        </is>
      </c>
      <c r="U1318" s="3" t="inlineStr">
        <is>
          <t>부정형</t>
        </is>
      </c>
      <c r="V1318" s="3" t="inlineStr">
        <is>
          <t>세로한면(가)</t>
        </is>
      </c>
    </row>
    <row r="1319">
      <c r="A1319" s="3" t="inlineStr">
        <is>
          <t>연서면 월하리 산7-12</t>
        </is>
      </c>
      <c r="B1319" s="3" t="inlineStr">
        <is>
          <t>자연녹지지역</t>
        </is>
      </c>
      <c r="C1319" s="3" t="inlineStr">
        <is>
          <t>임야</t>
        </is>
      </c>
      <c r="D1319" s="3" t="inlineStr">
        <is>
          <t>임야</t>
        </is>
      </c>
      <c r="E1319" s="3" t="inlineStr">
        <is>
          <t>매매</t>
        </is>
      </c>
      <c r="F1319" s="4" t="n">
        <v>15800</v>
      </c>
      <c r="G1319" s="4" t="n">
        <v>660</v>
      </c>
      <c r="H1319" s="4" t="n">
        <v>200</v>
      </c>
      <c r="I1319" s="5" t="n">
        <v>79</v>
      </c>
      <c r="J1319" s="5" t="n">
        <v>21.7</v>
      </c>
      <c r="K1319" s="3" t="inlineStr">
        <is>
          <t>연서면 월하리 도시지역 자연녹지, 경사도 완만한 투 자용 임야입니다</t>
        </is>
      </c>
      <c r="L1319" s="6">
        <f>HYPERLINK("https://fin.land.naver.com/articles/2653251403", "매물Link")</f>
        <v/>
      </c>
      <c r="M1319" s="6">
        <f>HYPERLINK("https://map.naver.com/p/search/연서면 월하리 산7-12", "지도Link")</f>
        <v/>
      </c>
      <c r="N1319" s="6">
        <f>HYPERLINK("http://www.eum.go.kr/web/ar/lu/luLandDet.jsp?pnu=3611036021200070012&amp;isNoScr=script&amp;mode=search", "토지이음")</f>
        <v/>
      </c>
      <c r="O1319" s="3" t="inlineStr">
        <is>
          <t>스마일세종</t>
        </is>
      </c>
      <c r="P1319" s="4" t="n">
        <v>2</v>
      </c>
      <c r="Q1319" s="4" t="n">
        <v>660</v>
      </c>
      <c r="R1319" s="3" t="inlineStr">
        <is>
          <t>지정되지않음</t>
        </is>
      </c>
      <c r="S1319" s="3" t="inlineStr">
        <is>
          <t>자연림</t>
        </is>
      </c>
      <c r="T1319" s="3" t="inlineStr">
        <is>
          <t>완경사</t>
        </is>
      </c>
      <c r="U1319" s="3" t="inlineStr">
        <is>
          <t>부정형</t>
        </is>
      </c>
      <c r="V1319" s="3" t="inlineStr">
        <is>
          <t>맹지</t>
        </is>
      </c>
    </row>
    <row r="1320">
      <c r="A1320" s="3" t="inlineStr">
        <is>
          <t>연서면 청라리 12</t>
        </is>
      </c>
      <c r="B1320" s="3" t="inlineStr">
        <is>
          <t>생산관리지역</t>
        </is>
      </c>
      <c r="C1320" s="3" t="inlineStr">
        <is>
          <t>과수원</t>
        </is>
      </c>
      <c r="D1320" s="3" t="inlineStr">
        <is>
          <t>과수원</t>
        </is>
      </c>
      <c r="E1320" s="3" t="inlineStr">
        <is>
          <t>매매</t>
        </is>
      </c>
      <c r="F1320" s="4" t="n">
        <v>12500</v>
      </c>
      <c r="G1320" s="4" t="n">
        <v>1838</v>
      </c>
      <c r="H1320" s="4" t="n">
        <v>556</v>
      </c>
      <c r="I1320" s="5" t="n">
        <v>22.5</v>
      </c>
      <c r="J1320" s="5" t="n">
        <v>23.5</v>
      </c>
      <c r="K1320" s="3" t="inlineStr">
        <is>
          <t>급매 주변 시세보다 저렴한 태양광 시설등으로 적합한 생산관리지역의 과수원</t>
        </is>
      </c>
      <c r="L1320" s="6">
        <f>HYPERLINK("https://fin.land.naver.com/articles/2652681924", "매물Link")</f>
        <v/>
      </c>
      <c r="M1320" s="6">
        <f>HYPERLINK("https://map.naver.com/p/search/연서면 청라리 12", "지도Link")</f>
        <v/>
      </c>
      <c r="N1320" s="6">
        <f>HYPERLINK("http://www.eum.go.kr/web/ar/lu/luLandDet.jsp?pnu=3611036027100120000&amp;isNoScr=script&amp;mode=search", "토지이음")</f>
        <v/>
      </c>
      <c r="O1320" s="3" t="inlineStr">
        <is>
          <t>스마일세종</t>
        </is>
      </c>
      <c r="P1320" s="4" t="n">
        <v>2</v>
      </c>
      <c r="Q1320" s="4" t="n">
        <v>1838</v>
      </c>
      <c r="R1320" s="3" t="inlineStr">
        <is>
          <t>지정되지않음</t>
        </is>
      </c>
      <c r="S1320" s="3" t="inlineStr">
        <is>
          <t>전</t>
        </is>
      </c>
      <c r="T1320" s="3" t="inlineStr">
        <is>
          <t>완경사</t>
        </is>
      </c>
      <c r="U1320" s="3" t="inlineStr">
        <is>
          <t>부정형</t>
        </is>
      </c>
      <c r="V1320" s="3" t="inlineStr">
        <is>
          <t>세로한면(가)</t>
        </is>
      </c>
    </row>
    <row r="1321">
      <c r="A1321" s="3" t="inlineStr">
        <is>
          <t>연서면 청라리 127-1</t>
        </is>
      </c>
      <c r="B1321" s="3" t="inlineStr">
        <is>
          <t>생산관리지역</t>
        </is>
      </c>
      <c r="C1321" s="3" t="inlineStr">
        <is>
          <t>과수원</t>
        </is>
      </c>
      <c r="D1321" s="3" t="inlineStr">
        <is>
          <t>과수원</t>
        </is>
      </c>
      <c r="E1321" s="3" t="inlineStr">
        <is>
          <t>매매</t>
        </is>
      </c>
      <c r="F1321" s="4" t="n">
        <v>53000</v>
      </c>
      <c r="G1321" s="4" t="n">
        <v>1249</v>
      </c>
      <c r="H1321" s="4" t="n">
        <v>378</v>
      </c>
      <c r="I1321" s="5" t="n">
        <v>140.2</v>
      </c>
      <c r="J1321" s="5" t="n">
        <v>30.6</v>
      </c>
      <c r="K1321" s="3" t="inlineStr">
        <is>
          <t>l청년l 세종시 투자가치 있는 토지 입니다.</t>
        </is>
      </c>
      <c r="L1321" s="6">
        <f>HYPERLINK("https://fin.land.naver.com/articles/2652676790", "매물Link")</f>
        <v/>
      </c>
      <c r="M1321" s="6">
        <f>HYPERLINK("https://map.naver.com/p/search/연서면 청라리 127-1", "지도Link")</f>
        <v/>
      </c>
      <c r="N1321" s="6">
        <f>HYPERLINK("http://www.eum.go.kr/web/ar/lu/luLandDet.jsp?pnu=3611036027101270001&amp;isNoScr=script&amp;mode=search", "토지이음")</f>
        <v/>
      </c>
      <c r="O1321" s="3" t="inlineStr">
        <is>
          <t>청년사사무소</t>
        </is>
      </c>
      <c r="P1321" s="4" t="n">
        <v>1</v>
      </c>
      <c r="Q1321" s="4" t="n">
        <v>1249</v>
      </c>
      <c r="R1321" s="3" t="inlineStr">
        <is>
          <t>지정되지않음</t>
        </is>
      </c>
      <c r="S1321" s="3" t="inlineStr">
        <is>
          <t>과수원</t>
        </is>
      </c>
      <c r="T1321" s="3" t="inlineStr">
        <is>
          <t>평지</t>
        </is>
      </c>
      <c r="U1321" s="3" t="inlineStr">
        <is>
          <t>부정형</t>
        </is>
      </c>
      <c r="V1321" s="3" t="inlineStr">
        <is>
          <t>세로한면(가)</t>
        </is>
      </c>
    </row>
    <row r="1322">
      <c r="A1322" s="3" t="inlineStr">
        <is>
          <t>연서면 청라리 127-1</t>
        </is>
      </c>
      <c r="B1322" s="3" t="inlineStr">
        <is>
          <t>생산관리지역</t>
        </is>
      </c>
      <c r="C1322" s="3" t="inlineStr">
        <is>
          <t>과수원</t>
        </is>
      </c>
      <c r="D1322" s="3" t="inlineStr">
        <is>
          <t>과수원</t>
        </is>
      </c>
      <c r="E1322" s="3" t="inlineStr">
        <is>
          <t>매매</t>
        </is>
      </c>
      <c r="F1322" s="4" t="n">
        <v>53000</v>
      </c>
      <c r="G1322" s="4" t="n">
        <v>1249</v>
      </c>
      <c r="H1322" s="4" t="n">
        <v>378</v>
      </c>
      <c r="I1322" s="5" t="n">
        <v>140.2</v>
      </c>
      <c r="J1322" s="5" t="n">
        <v>30.6</v>
      </c>
      <c r="K1322" s="3" t="inlineStr">
        <is>
          <t>포장도로 접한 세종 북부권 전원주택 검토형 토지</t>
        </is>
      </c>
      <c r="L1322" s="6">
        <f>HYPERLINK("https://fin.land.naver.com/articles/2649753980", "매물Link")</f>
        <v/>
      </c>
      <c r="M1322" s="6">
        <f>HYPERLINK("https://map.naver.com/p/search/연서면 청라리 127-1", "지도Link")</f>
        <v/>
      </c>
      <c r="N1322" s="6">
        <f>HYPERLINK("http://www.eum.go.kr/web/ar/lu/luLandDet.jsp?pnu=3611036027101270001&amp;isNoScr=script&amp;mode=search", "토지이음")</f>
        <v/>
      </c>
      <c r="O1322" s="3" t="inlineStr">
        <is>
          <t>세종소담황금</t>
        </is>
      </c>
      <c r="P1322" s="4" t="n">
        <v>1</v>
      </c>
      <c r="Q1322" s="4" t="n">
        <v>1249</v>
      </c>
      <c r="R1322" s="3" t="inlineStr">
        <is>
          <t>지정되지않음</t>
        </is>
      </c>
      <c r="S1322" s="3" t="inlineStr">
        <is>
          <t>과수원</t>
        </is>
      </c>
      <c r="T1322" s="3" t="inlineStr">
        <is>
          <t>평지</t>
        </is>
      </c>
      <c r="U1322" s="3" t="inlineStr">
        <is>
          <t>부정형</t>
        </is>
      </c>
      <c r="V1322" s="3" t="inlineStr">
        <is>
          <t>세로한면(가)</t>
        </is>
      </c>
    </row>
    <row r="1323">
      <c r="A1323" s="3" t="inlineStr">
        <is>
          <t>연서면 청라리 127-1</t>
        </is>
      </c>
      <c r="B1323" s="3" t="inlineStr">
        <is>
          <t>생산관리지역</t>
        </is>
      </c>
      <c r="C1323" s="3" t="inlineStr">
        <is>
          <t>과수원</t>
        </is>
      </c>
      <c r="D1323" s="3" t="inlineStr">
        <is>
          <t>과수원</t>
        </is>
      </c>
      <c r="E1323" s="3" t="inlineStr">
        <is>
          <t>매매</t>
        </is>
      </c>
      <c r="F1323" s="4" t="n">
        <v>53000</v>
      </c>
      <c r="G1323" s="4" t="n">
        <v>1249</v>
      </c>
      <c r="H1323" s="4" t="n">
        <v>378</v>
      </c>
      <c r="I1323" s="5" t="n">
        <v>140.2</v>
      </c>
      <c r="J1323" s="5" t="n">
        <v>30.6</v>
      </c>
      <c r="K1323" s="3" t="inlineStr">
        <is>
          <t>고복저수지5분거리 국산인근수혜지</t>
        </is>
      </c>
      <c r="L1323" s="6">
        <f>HYPERLINK("https://fin.land.naver.com/articles/2652904321", "매물Link")</f>
        <v/>
      </c>
      <c r="M1323" s="6">
        <f>HYPERLINK("https://map.naver.com/p/search/연서면 청라리 127-1", "지도Link")</f>
        <v/>
      </c>
      <c r="N1323" s="6">
        <f>HYPERLINK("http://www.eum.go.kr/web/ar/lu/luLandDet.jsp?pnu=3611036027101270001&amp;isNoScr=script&amp;mode=search", "토지이음")</f>
        <v/>
      </c>
      <c r="O1323" s="3" t="inlineStr">
        <is>
          <t>오송원</t>
        </is>
      </c>
      <c r="P1323" s="4" t="n">
        <v>1</v>
      </c>
      <c r="Q1323" s="4" t="n">
        <v>1249</v>
      </c>
      <c r="R1323" s="3" t="inlineStr">
        <is>
          <t>지정되지않음</t>
        </is>
      </c>
      <c r="S1323" s="3" t="inlineStr">
        <is>
          <t>과수원</t>
        </is>
      </c>
      <c r="T1323" s="3" t="inlineStr">
        <is>
          <t>평지</t>
        </is>
      </c>
      <c r="U1323" s="3" t="inlineStr">
        <is>
          <t>부정형</t>
        </is>
      </c>
      <c r="V1323" s="3" t="inlineStr">
        <is>
          <t>세로한면(가)</t>
        </is>
      </c>
    </row>
    <row r="1324">
      <c r="A1324" s="3" t="inlineStr">
        <is>
          <t>연서면 청라리 127-1</t>
        </is>
      </c>
      <c r="B1324" s="3" t="inlineStr">
        <is>
          <t>생산관리지역</t>
        </is>
      </c>
      <c r="C1324" s="3" t="inlineStr">
        <is>
          <t>과수원</t>
        </is>
      </c>
      <c r="D1324" s="3" t="inlineStr">
        <is>
          <t>과수원</t>
        </is>
      </c>
      <c r="E1324" s="3" t="inlineStr">
        <is>
          <t>매매</t>
        </is>
      </c>
      <c r="F1324" s="4" t="n">
        <v>53000</v>
      </c>
      <c r="G1324" s="4" t="n">
        <v>1249</v>
      </c>
      <c r="H1324" s="4" t="n">
        <v>378</v>
      </c>
      <c r="I1324" s="5" t="n">
        <v>140.2</v>
      </c>
      <c r="J1324" s="5" t="n">
        <v>30.6</v>
      </c>
      <c r="K1324" s="3" t="inlineStr">
        <is>
          <t>세종 연서면 고복저수지 인근 건축 및 투자 추천 추가 하천부지 있음</t>
        </is>
      </c>
      <c r="L1324" s="6">
        <f>HYPERLINK("https://fin.land.naver.com/articles/2654669162", "매물Link")</f>
        <v/>
      </c>
      <c r="M1324" s="6">
        <f>HYPERLINK("https://map.naver.com/p/search/연서면 청라리 127-1", "지도Link")</f>
        <v/>
      </c>
      <c r="N1324" s="6">
        <f>HYPERLINK("http://www.eum.go.kr/web/ar/lu/luLandDet.jsp?pnu=3611036027101270001&amp;isNoScr=script&amp;mode=search", "토지이음")</f>
        <v/>
      </c>
      <c r="O1324" s="3" t="inlineStr">
        <is>
          <t>나침반</t>
        </is>
      </c>
      <c r="P1324" s="4" t="n">
        <v>8</v>
      </c>
      <c r="Q1324" s="4" t="n">
        <v>1249</v>
      </c>
      <c r="R1324" s="3" t="inlineStr">
        <is>
          <t>지정되지않음</t>
        </is>
      </c>
      <c r="S1324" s="3" t="inlineStr">
        <is>
          <t>과수원</t>
        </is>
      </c>
      <c r="T1324" s="3" t="inlineStr">
        <is>
          <t>평지</t>
        </is>
      </c>
      <c r="U1324" s="3" t="inlineStr">
        <is>
          <t>부정형</t>
        </is>
      </c>
      <c r="V1324" s="3" t="inlineStr">
        <is>
          <t>세로한면(가)</t>
        </is>
      </c>
    </row>
    <row r="1325">
      <c r="A1325" s="3" t="inlineStr">
        <is>
          <t>연서면 청라리 16</t>
        </is>
      </c>
      <c r="B1325" s="3" t="inlineStr">
        <is>
          <t>생산관리지역</t>
        </is>
      </c>
      <c r="C1325" s="3" t="inlineStr">
        <is>
          <t>답</t>
        </is>
      </c>
      <c r="D1325" s="3" t="inlineStr">
        <is>
          <t>답</t>
        </is>
      </c>
      <c r="E1325" s="3" t="inlineStr">
        <is>
          <t>매매</t>
        </is>
      </c>
      <c r="F1325" s="4" t="n">
        <v>42000</v>
      </c>
      <c r="G1325" s="4" t="n">
        <v>2023</v>
      </c>
      <c r="H1325" s="4" t="n">
        <v>612</v>
      </c>
      <c r="I1325" s="5" t="n">
        <v>68.59999999999999</v>
      </c>
      <c r="J1325" s="5" t="n">
        <v>23.5</v>
      </c>
      <c r="K1325" s="3" t="inlineStr">
        <is>
          <t>풍수지리 최고위치 국가산단 배후지 급매물</t>
        </is>
      </c>
      <c r="L1325" s="6">
        <f>HYPERLINK("https://fin.land.naver.com/articles/2650378739", "매물Link")</f>
        <v/>
      </c>
      <c r="M1325" s="6">
        <f>HYPERLINK("https://map.naver.com/p/search/연서면 청라리 16", "지도Link")</f>
        <v/>
      </c>
      <c r="N1325" s="6">
        <f>HYPERLINK("http://www.eum.go.kr/web/ar/lu/luLandDet.jsp?pnu=3611036027100160000&amp;isNoScr=script&amp;mode=search", "토지이음")</f>
        <v/>
      </c>
      <c r="O1325" s="3" t="inlineStr">
        <is>
          <t>THE행복</t>
        </is>
      </c>
      <c r="P1325" s="4" t="n">
        <v>1</v>
      </c>
      <c r="Q1325" s="4" t="n">
        <v>2023</v>
      </c>
      <c r="R1325" s="3" t="inlineStr">
        <is>
          <t>지정되지않음</t>
        </is>
      </c>
      <c r="S1325" s="3" t="inlineStr">
        <is>
          <t>과수원</t>
        </is>
      </c>
      <c r="T1325" s="3" t="inlineStr">
        <is>
          <t>완경사</t>
        </is>
      </c>
      <c r="U1325" s="3" t="inlineStr">
        <is>
          <t>부정형</t>
        </is>
      </c>
      <c r="V1325" s="3" t="inlineStr">
        <is>
          <t>세로한면(가)</t>
        </is>
      </c>
    </row>
    <row r="1326">
      <c r="A1326" s="3" t="inlineStr">
        <is>
          <t>연서면 청라리 16</t>
        </is>
      </c>
      <c r="B1326" s="3" t="inlineStr">
        <is>
          <t>생산관리지역</t>
        </is>
      </c>
      <c r="C1326" s="3" t="inlineStr">
        <is>
          <t>답</t>
        </is>
      </c>
      <c r="D1326" s="3" t="inlineStr">
        <is>
          <t>답</t>
        </is>
      </c>
      <c r="E1326" s="3" t="inlineStr">
        <is>
          <t>매매</t>
        </is>
      </c>
      <c r="F1326" s="4" t="n">
        <v>42000</v>
      </c>
      <c r="G1326" s="4" t="n">
        <v>2023</v>
      </c>
      <c r="H1326" s="4" t="n">
        <v>612</v>
      </c>
      <c r="I1326" s="5" t="n">
        <v>68.59999999999999</v>
      </c>
      <c r="J1326" s="5" t="n">
        <v>23.5</v>
      </c>
      <c r="K1326" s="3" t="inlineStr">
        <is>
          <t>차량진입완경사, 고복저수지 6분국가산단 15분권</t>
        </is>
      </c>
      <c r="L1326" s="6">
        <f>HYPERLINK("https://fin.land.naver.com/articles/2650328099", "매물Link")</f>
        <v/>
      </c>
      <c r="M1326" s="6">
        <f>HYPERLINK("https://map.naver.com/p/search/연서면 청라리 16", "지도Link")</f>
        <v/>
      </c>
      <c r="N1326" s="6">
        <f>HYPERLINK("http://www.eum.go.kr/web/ar/lu/luLandDet.jsp?pnu=3611036027100160000&amp;isNoScr=script&amp;mode=search", "토지이음")</f>
        <v/>
      </c>
      <c r="O1326" s="3" t="inlineStr">
        <is>
          <t>세종소담황금</t>
        </is>
      </c>
      <c r="P1326" s="4" t="n">
        <v>1</v>
      </c>
      <c r="Q1326" s="4" t="n">
        <v>2023</v>
      </c>
      <c r="R1326" s="3" t="inlineStr">
        <is>
          <t>지정되지않음</t>
        </is>
      </c>
      <c r="S1326" s="3" t="inlineStr">
        <is>
          <t>과수원</t>
        </is>
      </c>
      <c r="T1326" s="3" t="inlineStr">
        <is>
          <t>완경사</t>
        </is>
      </c>
      <c r="U1326" s="3" t="inlineStr">
        <is>
          <t>부정형</t>
        </is>
      </c>
      <c r="V1326" s="3" t="inlineStr">
        <is>
          <t>세로한면(가)</t>
        </is>
      </c>
    </row>
    <row r="1327">
      <c r="A1327" s="3" t="inlineStr">
        <is>
          <t>연서면 청라리 163-8</t>
        </is>
      </c>
      <c r="B1327" s="3" t="inlineStr">
        <is>
          <t>생산관리지역</t>
        </is>
      </c>
      <c r="C1327" s="3" t="inlineStr">
        <is>
          <t>전</t>
        </is>
      </c>
      <c r="D1327" s="3" t="inlineStr">
        <is>
          <t>전</t>
        </is>
      </c>
      <c r="E1327" s="3" t="inlineStr">
        <is>
          <t>매매</t>
        </is>
      </c>
      <c r="F1327" s="4" t="n">
        <v>31000</v>
      </c>
      <c r="G1327" s="4" t="n">
        <v>778</v>
      </c>
      <c r="H1327" s="4" t="n">
        <v>235</v>
      </c>
      <c r="I1327" s="5" t="n">
        <v>131.9</v>
      </c>
      <c r="J1327" s="5" t="n">
        <v>27</v>
      </c>
      <c r="K1327" s="3" t="inlineStr">
        <is>
          <t>급매  남향  토목공사 완료  조망권 좋음</t>
        </is>
      </c>
      <c r="L1327" s="6">
        <f>HYPERLINK("https://fin.land.naver.com/articles/2654621303", "매물Link")</f>
        <v/>
      </c>
      <c r="M1327" s="6">
        <f>HYPERLINK("https://map.naver.com/p/search/연서면 청라리 163-8", "지도Link")</f>
        <v/>
      </c>
      <c r="N1327" s="6">
        <f>HYPERLINK("http://www.eum.go.kr/web/ar/lu/luLandDet.jsp?pnu=3611036027101630008&amp;isNoScr=script&amp;mode=search", "토지이음")</f>
        <v/>
      </c>
      <c r="O1327" s="3" t="inlineStr">
        <is>
          <t>보람진솔한</t>
        </is>
      </c>
      <c r="P1327" s="4" t="n">
        <v>1</v>
      </c>
      <c r="Q1327" s="4" t="n">
        <v>778</v>
      </c>
      <c r="R1327" s="3" t="inlineStr">
        <is>
          <t>지정되지않음</t>
        </is>
      </c>
      <c r="S1327" s="3" t="inlineStr">
        <is>
          <t>전</t>
        </is>
      </c>
      <c r="T1327" s="3" t="inlineStr">
        <is>
          <t>완경사</t>
        </is>
      </c>
      <c r="U1327" s="3" t="inlineStr">
        <is>
          <t>사다리형</t>
        </is>
      </c>
      <c r="V1327" s="3" t="inlineStr">
        <is>
          <t>세로한면(가)</t>
        </is>
      </c>
    </row>
    <row r="1328">
      <c r="A1328" s="3" t="inlineStr">
        <is>
          <t>연서면 청라리 17-1</t>
        </is>
      </c>
      <c r="B1328" s="3" t="inlineStr">
        <is>
          <t>생산관리지역</t>
        </is>
      </c>
      <c r="C1328" s="3" t="inlineStr">
        <is>
          <t>답</t>
        </is>
      </c>
      <c r="D1328" s="3" t="inlineStr">
        <is>
          <t>답</t>
        </is>
      </c>
      <c r="E1328" s="3" t="inlineStr">
        <is>
          <t>매매</t>
        </is>
      </c>
      <c r="F1328" s="4" t="n">
        <v>44000</v>
      </c>
      <c r="G1328" s="4" t="n">
        <v>1828</v>
      </c>
      <c r="H1328" s="4" t="n">
        <v>553</v>
      </c>
      <c r="I1328" s="5" t="n">
        <v>79.59999999999999</v>
      </c>
      <c r="J1328" s="5" t="n">
        <v>23.5</v>
      </c>
      <c r="K1328" s="3" t="inlineStr">
        <is>
          <t>연서면 청라리에 있는 전원주택도 지을 수 있는 투자용 토지 입니다</t>
        </is>
      </c>
      <c r="L1328" s="6">
        <f>HYPERLINK("https://fin.land.naver.com/articles/2650766989", "매물Link")</f>
        <v/>
      </c>
      <c r="M1328" s="6">
        <f>HYPERLINK("https://map.naver.com/p/search/연서면 청라리 17-1", "지도Link")</f>
        <v/>
      </c>
      <c r="N1328" s="6">
        <f>HYPERLINK("http://www.eum.go.kr/web/ar/lu/luLandDet.jsp?pnu=3611036027100170001&amp;isNoScr=script&amp;mode=search", "토지이음")</f>
        <v/>
      </c>
      <c r="O1328" s="3" t="inlineStr">
        <is>
          <t>스마일세종</t>
        </is>
      </c>
      <c r="P1328" s="4" t="n">
        <v>1</v>
      </c>
      <c r="Q1328" s="4" t="n">
        <v>1729</v>
      </c>
      <c r="R1328" s="3" t="inlineStr">
        <is>
          <t>지정되지않음</t>
        </is>
      </c>
      <c r="S1328" s="3" t="inlineStr">
        <is>
          <t>전</t>
        </is>
      </c>
      <c r="T1328" s="3" t="inlineStr">
        <is>
          <t>완경사</t>
        </is>
      </c>
      <c r="U1328" s="3" t="inlineStr">
        <is>
          <t>부정형</t>
        </is>
      </c>
      <c r="V1328" s="3" t="inlineStr">
        <is>
          <t>세로한면(가)</t>
        </is>
      </c>
    </row>
    <row r="1329">
      <c r="A1329" s="3" t="inlineStr">
        <is>
          <t>연서면 청라리 191-1</t>
        </is>
      </c>
      <c r="B1329" s="3" t="inlineStr">
        <is>
          <t>생산관리지역</t>
        </is>
      </c>
      <c r="C1329" s="3" t="inlineStr">
        <is>
          <t>답</t>
        </is>
      </c>
      <c r="D1329" s="3" t="inlineStr">
        <is>
          <t>답</t>
        </is>
      </c>
      <c r="E1329" s="3" t="inlineStr">
        <is>
          <t>매매</t>
        </is>
      </c>
      <c r="F1329" s="4" t="n">
        <v>75000</v>
      </c>
      <c r="G1329" s="4" t="n">
        <v>2096</v>
      </c>
      <c r="H1329" s="4" t="n">
        <v>634</v>
      </c>
      <c r="I1329" s="5" t="n">
        <v>118.3</v>
      </c>
      <c r="J1329" s="5" t="n">
        <v>32.1</v>
      </c>
      <c r="K1329" s="3" t="inlineStr">
        <is>
          <t>생산관리, 도로접함, 대토용, 투자용</t>
        </is>
      </c>
      <c r="L1329" s="6">
        <f>HYPERLINK("https://fin.land.naver.com/articles/2650332745", "매물Link")</f>
        <v/>
      </c>
      <c r="M1329" s="6">
        <f>HYPERLINK("https://map.naver.com/p/search/연서면 청라리 191-1", "지도Link")</f>
        <v/>
      </c>
      <c r="N1329" s="6">
        <f>HYPERLINK("http://www.eum.go.kr/web/ar/lu/luLandDet.jsp?pnu=3611036027101910001&amp;isNoScr=script&amp;mode=search", "토지이음")</f>
        <v/>
      </c>
      <c r="O1329" s="3" t="inlineStr">
        <is>
          <t>세종일조</t>
        </is>
      </c>
      <c r="P1329" s="4" t="n">
        <v>1</v>
      </c>
      <c r="Q1329" s="4" t="n">
        <v>2096</v>
      </c>
      <c r="R1329" s="3" t="inlineStr">
        <is>
          <t>지정되지않음</t>
        </is>
      </c>
      <c r="S1329" s="3" t="inlineStr">
        <is>
          <t>답</t>
        </is>
      </c>
      <c r="T1329" s="3" t="inlineStr">
        <is>
          <t>평지</t>
        </is>
      </c>
      <c r="U1329" s="3" t="inlineStr">
        <is>
          <t>부정형</t>
        </is>
      </c>
      <c r="V1329" s="3" t="inlineStr">
        <is>
          <t>소로한면</t>
        </is>
      </c>
    </row>
    <row r="1330">
      <c r="A1330" s="3" t="inlineStr">
        <is>
          <t>연서면 청라리 211-1</t>
        </is>
      </c>
      <c r="B1330" s="3" t="inlineStr">
        <is>
          <t>생산관리지역</t>
        </is>
      </c>
      <c r="C1330" s="3" t="inlineStr">
        <is>
          <t>과수원</t>
        </is>
      </c>
      <c r="D1330" s="3" t="inlineStr">
        <is>
          <t>과수원</t>
        </is>
      </c>
      <c r="E1330" s="3" t="inlineStr">
        <is>
          <t>매매</t>
        </is>
      </c>
      <c r="F1330" s="4" t="n">
        <v>96000</v>
      </c>
      <c r="G1330" s="4" t="n">
        <v>3514</v>
      </c>
      <c r="H1330" s="4" t="n">
        <v>1063</v>
      </c>
      <c r="I1330" s="5" t="n">
        <v>90.3</v>
      </c>
      <c r="J1330" s="5" t="n">
        <v>24.3</v>
      </c>
      <c r="K1330" s="3" t="inlineStr">
        <is>
          <t>nan</t>
        </is>
      </c>
      <c r="L1330" s="6">
        <f>HYPERLINK("https://fin.land.naver.com/articles/2653307407", "매물Link")</f>
        <v/>
      </c>
      <c r="M1330" s="6">
        <f>HYPERLINK("https://map.naver.com/p/search/연서면 청라리 211-1", "지도Link")</f>
        <v/>
      </c>
      <c r="N1330" s="6">
        <f>HYPERLINK("http://www.eum.go.kr/web/ar/lu/luLandDet.jsp?pnu=3611036027102110001&amp;isNoScr=script&amp;mode=search", "토지이음")</f>
        <v/>
      </c>
      <c r="O1330" s="3" t="inlineStr">
        <is>
          <t>디아트성심</t>
        </is>
      </c>
      <c r="P1330" s="4" t="n">
        <v>1</v>
      </c>
      <c r="Q1330" s="4" t="n">
        <v>3514</v>
      </c>
      <c r="R1330" s="3" t="inlineStr">
        <is>
          <t>지정되지않음</t>
        </is>
      </c>
      <c r="S1330" s="3" t="inlineStr">
        <is>
          <t>과수원</t>
        </is>
      </c>
      <c r="T1330" s="3" t="inlineStr">
        <is>
          <t>평지</t>
        </is>
      </c>
      <c r="U1330" s="3" t="inlineStr">
        <is>
          <t>부정형</t>
        </is>
      </c>
      <c r="V1330" s="3" t="inlineStr">
        <is>
          <t>세로각지(가)</t>
        </is>
      </c>
    </row>
    <row r="1331">
      <c r="A1331" s="3" t="inlineStr">
        <is>
          <t>연서면 청라리 244-1</t>
        </is>
      </c>
      <c r="B1331" s="3" t="inlineStr">
        <is>
          <t>생산관리지역</t>
        </is>
      </c>
      <c r="C1331" s="3" t="inlineStr">
        <is>
          <t>과수원</t>
        </is>
      </c>
      <c r="D1331" s="3" t="inlineStr">
        <is>
          <t>과수원</t>
        </is>
      </c>
      <c r="E1331" s="3" t="inlineStr">
        <is>
          <t>매매</t>
        </is>
      </c>
      <c r="F1331" s="4" t="n">
        <v>20000</v>
      </c>
      <c r="G1331" s="4" t="n">
        <v>833</v>
      </c>
      <c r="H1331" s="4" t="n">
        <v>252</v>
      </c>
      <c r="I1331" s="5" t="n">
        <v>79.40000000000001</v>
      </c>
      <c r="J1331" s="5" t="n">
        <v>20.8</v>
      </c>
      <c r="K1331" s="3" t="inlineStr">
        <is>
          <t>nan</t>
        </is>
      </c>
      <c r="L1331" s="6">
        <f>HYPERLINK("https://fin.land.naver.com/articles/2651654470", "매물Link")</f>
        <v/>
      </c>
      <c r="M1331" s="6">
        <f>HYPERLINK("https://map.naver.com/p/search/연서면 청라리 244-1", "지도Link")</f>
        <v/>
      </c>
      <c r="N1331" s="6">
        <f>HYPERLINK("http://www.eum.go.kr/web/ar/lu/luLandDet.jsp?pnu=3611036027102440001&amp;isNoScr=script&amp;mode=search", "토지이음")</f>
        <v/>
      </c>
      <c r="O1331" s="3" t="inlineStr">
        <is>
          <t>고운하임</t>
        </is>
      </c>
      <c r="P1331" s="4" t="n">
        <v>1</v>
      </c>
      <c r="Q1331" s="4" t="n">
        <v>833</v>
      </c>
      <c r="R1331" s="3" t="inlineStr">
        <is>
          <t>지정되지않음</t>
        </is>
      </c>
      <c r="S1331" s="3" t="inlineStr">
        <is>
          <t>과수원</t>
        </is>
      </c>
      <c r="T1331" s="3" t="inlineStr">
        <is>
          <t>완경사</t>
        </is>
      </c>
      <c r="U1331" s="3" t="inlineStr">
        <is>
          <t>부정형</t>
        </is>
      </c>
      <c r="V1331" s="3" t="inlineStr">
        <is>
          <t>세로한면(불)</t>
        </is>
      </c>
    </row>
    <row r="1332">
      <c r="A1332" s="3" t="inlineStr">
        <is>
          <t>연서면 청라리 263</t>
        </is>
      </c>
      <c r="B1332" s="3" t="inlineStr">
        <is>
          <t>생산관리지역</t>
        </is>
      </c>
      <c r="C1332" s="3" t="inlineStr">
        <is>
          <t>과수원</t>
        </is>
      </c>
      <c r="D1332" s="3" t="inlineStr">
        <is>
          <t>과수원</t>
        </is>
      </c>
      <c r="E1332" s="3" t="inlineStr">
        <is>
          <t>매매</t>
        </is>
      </c>
      <c r="F1332" s="4" t="n">
        <v>38500</v>
      </c>
      <c r="G1332" s="4" t="n">
        <v>2314</v>
      </c>
      <c r="H1332" s="4" t="n">
        <v>700</v>
      </c>
      <c r="I1332" s="5" t="n">
        <v>55</v>
      </c>
      <c r="J1332" s="5" t="n">
        <v>20.8</v>
      </c>
      <c r="K1332" s="3" t="inlineStr">
        <is>
          <t>연서면 청라리 농지매매</t>
        </is>
      </c>
      <c r="L1332" s="6">
        <f>HYPERLINK("https://fin.land.naver.com/articles/2650941248", "매물Link")</f>
        <v/>
      </c>
      <c r="M1332" s="6">
        <f>HYPERLINK("https://map.naver.com/p/search/연서면 청라리 263", "지도Link")</f>
        <v/>
      </c>
      <c r="N1332" s="6">
        <f>HYPERLINK("http://www.eum.go.kr/web/ar/lu/luLandDet.jsp?pnu=3611036027102630000&amp;isNoScr=script&amp;mode=search", "토지이음")</f>
        <v/>
      </c>
      <c r="O1332" s="3" t="inlineStr">
        <is>
          <t>OK세종 사무소</t>
        </is>
      </c>
      <c r="P1332" s="4" t="n">
        <v>1</v>
      </c>
      <c r="Q1332" s="4" t="n">
        <v>2314</v>
      </c>
      <c r="R1332" s="3" t="inlineStr">
        <is>
          <t>지정되지않음</t>
        </is>
      </c>
      <c r="S1332" s="3" t="inlineStr">
        <is>
          <t>과수원</t>
        </is>
      </c>
      <c r="T1332" s="3" t="inlineStr">
        <is>
          <t>완경사</t>
        </is>
      </c>
      <c r="U1332" s="3" t="inlineStr">
        <is>
          <t>부정형</t>
        </is>
      </c>
      <c r="V1332" s="3" t="inlineStr">
        <is>
          <t>세로한면(불)</t>
        </is>
      </c>
    </row>
    <row r="1333">
      <c r="A1333" s="3" t="inlineStr">
        <is>
          <t>연서면 청라리 277</t>
        </is>
      </c>
      <c r="B1333" s="3" t="inlineStr">
        <is>
          <t>생산관리지역</t>
        </is>
      </c>
      <c r="C1333" s="3" t="inlineStr">
        <is>
          <t>전</t>
        </is>
      </c>
      <c r="D1333" s="3" t="inlineStr">
        <is>
          <t>전</t>
        </is>
      </c>
      <c r="E1333" s="3" t="inlineStr">
        <is>
          <t>매매</t>
        </is>
      </c>
      <c r="F1333" s="4" t="n">
        <v>63000</v>
      </c>
      <c r="G1333" s="4" t="n">
        <v>3472</v>
      </c>
      <c r="H1333" s="4" t="n">
        <v>1050</v>
      </c>
      <c r="I1333" s="5" t="n">
        <v>60</v>
      </c>
      <c r="J1333" s="5" t="n">
        <v>22</v>
      </c>
      <c r="K1333" s="3" t="inlineStr">
        <is>
          <t>현황도로 길게 접한 생산관리 토지. 대토, 전원주택 추천</t>
        </is>
      </c>
      <c r="L1333" s="6">
        <f>HYPERLINK("https://fin.land.naver.com/articles/2652115768", "매물Link")</f>
        <v/>
      </c>
      <c r="M1333" s="6">
        <f>HYPERLINK("https://map.naver.com/p/search/연서면 청라리 277", "지도Link")</f>
        <v/>
      </c>
      <c r="N1333" s="6">
        <f>HYPERLINK("http://www.eum.go.kr/web/ar/lu/luLandDet.jsp?pnu=3611036027102770000&amp;isNoScr=script&amp;mode=search", "토지이음")</f>
        <v/>
      </c>
      <c r="O1333" s="3" t="inlineStr">
        <is>
          <t>미스터홈즈강남지사</t>
        </is>
      </c>
      <c r="P1333" s="4" t="n">
        <v>1</v>
      </c>
      <c r="Q1333" s="4" t="n">
        <v>3472</v>
      </c>
      <c r="R1333" s="3" t="inlineStr">
        <is>
          <t>지정되지않음</t>
        </is>
      </c>
      <c r="S1333" s="3" t="inlineStr">
        <is>
          <t>전</t>
        </is>
      </c>
      <c r="T1333" s="3" t="inlineStr">
        <is>
          <t>완경사</t>
        </is>
      </c>
      <c r="U1333" s="3" t="inlineStr">
        <is>
          <t>부정형</t>
        </is>
      </c>
      <c r="V1333" s="3" t="inlineStr">
        <is>
          <t>세로한면(가)</t>
        </is>
      </c>
    </row>
    <row r="1334">
      <c r="A1334" s="3" t="inlineStr">
        <is>
          <t>연서면 청라리 295-2</t>
        </is>
      </c>
      <c r="B1334" s="3" t="inlineStr">
        <is>
          <t>생산관리지역</t>
        </is>
      </c>
      <c r="C1334" s="3" t="inlineStr">
        <is>
          <t>답</t>
        </is>
      </c>
      <c r="D1334" s="3" t="inlineStr">
        <is>
          <t>답</t>
        </is>
      </c>
      <c r="E1334" s="3" t="inlineStr">
        <is>
          <t>매매</t>
        </is>
      </c>
      <c r="F1334" s="4" t="n">
        <v>71800</v>
      </c>
      <c r="G1334" s="4" t="n">
        <v>2372</v>
      </c>
      <c r="H1334" s="4" t="n">
        <v>718</v>
      </c>
      <c r="I1334" s="5" t="n">
        <v>100</v>
      </c>
      <c r="J1334" s="5" t="n">
        <v>23.5</v>
      </c>
      <c r="K1334" s="3" t="inlineStr">
        <is>
          <t>고복저수지인근 2차선변 답</t>
        </is>
      </c>
      <c r="L1334" s="6">
        <f>HYPERLINK("https://fin.land.naver.com/articles/2652044870", "매물Link")</f>
        <v/>
      </c>
      <c r="M1334" s="6">
        <f>HYPERLINK("https://map.naver.com/p/search/연서면 청라리 295-2", "지도Link")</f>
        <v/>
      </c>
      <c r="N1334" s="6">
        <f>HYPERLINK("http://www.eum.go.kr/web/ar/lu/luLandDet.jsp?pnu=3611036027102950002&amp;isNoScr=script&amp;mode=search", "토지이음")</f>
        <v/>
      </c>
      <c r="O1334" s="3" t="inlineStr">
        <is>
          <t>미스터홈즈강남지사</t>
        </is>
      </c>
      <c r="P1334" s="4" t="n">
        <v>1</v>
      </c>
      <c r="Q1334" s="4" t="n">
        <v>2372.4</v>
      </c>
      <c r="R1334" s="3" t="inlineStr">
        <is>
          <t>지정되지않음</t>
        </is>
      </c>
      <c r="S1334" s="3" t="inlineStr">
        <is>
          <t>전</t>
        </is>
      </c>
      <c r="T1334" s="3" t="inlineStr">
        <is>
          <t>평지</t>
        </is>
      </c>
      <c r="U1334" s="3" t="inlineStr">
        <is>
          <t>사다리형</t>
        </is>
      </c>
      <c r="V1334" s="3" t="inlineStr">
        <is>
          <t>세로한면(가)</t>
        </is>
      </c>
    </row>
    <row r="1335">
      <c r="A1335" s="3" t="inlineStr">
        <is>
          <t>연서면 청라리 34-1</t>
        </is>
      </c>
      <c r="B1335" s="3" t="inlineStr">
        <is>
          <t>생산관리지역</t>
        </is>
      </c>
      <c r="C1335" s="3" t="inlineStr">
        <is>
          <t>답</t>
        </is>
      </c>
      <c r="D1335" s="3" t="inlineStr">
        <is>
          <t>답</t>
        </is>
      </c>
      <c r="E1335" s="3" t="inlineStr">
        <is>
          <t>매매</t>
        </is>
      </c>
      <c r="F1335" s="4" t="n">
        <v>82300</v>
      </c>
      <c r="G1335" s="4" t="n">
        <v>3891</v>
      </c>
      <c r="H1335" s="4" t="n">
        <v>1177</v>
      </c>
      <c r="I1335" s="5" t="n">
        <v>69.90000000000001</v>
      </c>
      <c r="J1335" s="5" t="n">
        <v>24.2</v>
      </c>
      <c r="K1335" s="3" t="inlineStr">
        <is>
          <t>대토용 토지</t>
        </is>
      </c>
      <c r="L1335" s="6">
        <f>HYPERLINK("https://fin.land.naver.com/articles/2651766800", "매물Link")</f>
        <v/>
      </c>
      <c r="M1335" s="6">
        <f>HYPERLINK("https://map.naver.com/p/search/연서면 청라리 34-1", "지도Link")</f>
        <v/>
      </c>
      <c r="N1335" s="6">
        <f>HYPERLINK("http://www.eum.go.kr/web/ar/lu/luLandDet.jsp?pnu=3611036027100340001&amp;isNoScr=script&amp;mode=search", "토지이음")</f>
        <v/>
      </c>
      <c r="O1335" s="3" t="inlineStr">
        <is>
          <t>토지개발</t>
        </is>
      </c>
      <c r="P1335" s="4" t="n">
        <v>1</v>
      </c>
      <c r="Q1335" s="4" t="n">
        <v>3825</v>
      </c>
      <c r="R1335" s="3" t="inlineStr">
        <is>
          <t>지정되지않음</t>
        </is>
      </c>
      <c r="S1335" s="3" t="inlineStr">
        <is>
          <t>과수원</t>
        </is>
      </c>
      <c r="T1335" s="3" t="inlineStr">
        <is>
          <t>완경사</t>
        </is>
      </c>
      <c r="U1335" s="3" t="inlineStr">
        <is>
          <t>부정형</t>
        </is>
      </c>
      <c r="V1335" s="3" t="inlineStr">
        <is>
          <t>세로한면(가)</t>
        </is>
      </c>
    </row>
    <row r="1336">
      <c r="A1336" s="3" t="inlineStr">
        <is>
          <t>연서면 청라리 38-2</t>
        </is>
      </c>
      <c r="B1336" s="3" t="inlineStr">
        <is>
          <t>생산관리지역</t>
        </is>
      </c>
      <c r="C1336" s="3" t="inlineStr">
        <is>
          <t>과수원</t>
        </is>
      </c>
      <c r="D1336" s="3" t="inlineStr">
        <is>
          <t>과수원</t>
        </is>
      </c>
      <c r="E1336" s="3" t="inlineStr">
        <is>
          <t>매매</t>
        </is>
      </c>
      <c r="F1336" s="4" t="n">
        <v>18180</v>
      </c>
      <c r="G1336" s="4" t="n">
        <v>1001</v>
      </c>
      <c r="H1336" s="4" t="n">
        <v>303</v>
      </c>
      <c r="I1336" s="5" t="n">
        <v>60</v>
      </c>
      <c r="J1336" s="5" t="n">
        <v>24.2</v>
      </c>
      <c r="K1336" s="3" t="inlineStr">
        <is>
          <t>배나무 심어져 있고 농지원부 나오는땅</t>
        </is>
      </c>
      <c r="L1336" s="6">
        <f>HYPERLINK("https://fin.land.naver.com/articles/2651959061", "매물Link")</f>
        <v/>
      </c>
      <c r="M1336" s="6">
        <f>HYPERLINK("https://map.naver.com/p/search/연서면 청라리 38-2", "지도Link")</f>
        <v/>
      </c>
      <c r="N1336" s="6">
        <f>HYPERLINK("http://www.eum.go.kr/web/ar/lu/luLandDet.jsp?pnu=3611036027100380002&amp;isNoScr=script&amp;mode=search", "토지이음")</f>
        <v/>
      </c>
      <c r="O1336" s="3" t="inlineStr">
        <is>
          <t>용궁</t>
        </is>
      </c>
      <c r="P1336" s="4" t="n">
        <v>1</v>
      </c>
      <c r="Q1336" s="4" t="n">
        <v>1000</v>
      </c>
      <c r="R1336" s="3" t="inlineStr">
        <is>
          <t>지정되지않음</t>
        </is>
      </c>
      <c r="S1336" s="3" t="inlineStr">
        <is>
          <t>과수원</t>
        </is>
      </c>
      <c r="T1336" s="3" t="inlineStr">
        <is>
          <t>완경사</t>
        </is>
      </c>
      <c r="U1336" s="3" t="inlineStr">
        <is>
          <t>부정형</t>
        </is>
      </c>
      <c r="V1336" s="3" t="inlineStr">
        <is>
          <t>세로한면(가)</t>
        </is>
      </c>
    </row>
    <row r="1337">
      <c r="A1337" s="3" t="inlineStr">
        <is>
          <t>연서면 청라리 420-1</t>
        </is>
      </c>
      <c r="B1337" s="3" t="inlineStr">
        <is>
          <t>계획관리지역</t>
        </is>
      </c>
      <c r="C1337" s="3" t="inlineStr">
        <is>
          <t>대</t>
        </is>
      </c>
      <c r="D1337" s="3" t="inlineStr">
        <is>
          <t>대</t>
        </is>
      </c>
      <c r="E1337" s="3" t="inlineStr">
        <is>
          <t>매매</t>
        </is>
      </c>
      <c r="F1337" s="4" t="n">
        <v>37000</v>
      </c>
      <c r="G1337" s="4" t="n">
        <v>657</v>
      </c>
      <c r="H1337" s="4" t="n">
        <v>199</v>
      </c>
      <c r="I1337" s="5" t="n">
        <v>185.9</v>
      </c>
      <c r="J1337" s="5" t="n">
        <v>56.6</v>
      </c>
      <c r="K1337" s="3" t="inlineStr">
        <is>
          <t>계획관리지역.성장관리계획구역.단독주택있슴</t>
        </is>
      </c>
      <c r="L1337" s="6">
        <f>HYPERLINK("https://fin.land.naver.com/articles/2653846170", "매물Link")</f>
        <v/>
      </c>
      <c r="M1337" s="6">
        <f>HYPERLINK("https://map.naver.com/p/search/연서면 청라리 420-1", "지도Link")</f>
        <v/>
      </c>
      <c r="N1337" s="6">
        <f>HYPERLINK("http://www.eum.go.kr/web/ar/lu/luLandDet.jsp?pnu=3611036027104200001&amp;isNoScr=script&amp;mode=search", "토지이음")</f>
        <v/>
      </c>
      <c r="O1337" s="3" t="inlineStr">
        <is>
          <t>돈방석</t>
        </is>
      </c>
      <c r="P1337" s="4" t="n">
        <v>1</v>
      </c>
      <c r="Q1337" s="4" t="n">
        <v>657.4</v>
      </c>
      <c r="R1337" s="3" t="inlineStr">
        <is>
          <t>지정되지않음</t>
        </is>
      </c>
      <c r="S1337" s="3" t="inlineStr">
        <is>
          <t>단독</t>
        </is>
      </c>
      <c r="T1337" s="3" t="inlineStr">
        <is>
          <t>완경사</t>
        </is>
      </c>
      <c r="U1337" s="3" t="inlineStr">
        <is>
          <t>사다리형</t>
        </is>
      </c>
      <c r="V1337" s="3" t="inlineStr">
        <is>
          <t>세로한면(가)</t>
        </is>
      </c>
    </row>
    <row r="1338">
      <c r="A1338" s="3" t="inlineStr">
        <is>
          <t>연서면 청라리 490</t>
        </is>
      </c>
      <c r="B1338" s="3" t="inlineStr">
        <is>
          <t>보전관리지역</t>
        </is>
      </c>
      <c r="C1338" s="3" t="inlineStr">
        <is>
          <t>답</t>
        </is>
      </c>
      <c r="D1338" s="3" t="inlineStr">
        <is>
          <t>답</t>
        </is>
      </c>
      <c r="E1338" s="3" t="inlineStr">
        <is>
          <t>매매</t>
        </is>
      </c>
      <c r="F1338" s="4" t="n">
        <v>6750</v>
      </c>
      <c r="G1338" s="4" t="n">
        <v>1402</v>
      </c>
      <c r="H1338" s="4" t="n">
        <v>424</v>
      </c>
      <c r="I1338" s="5" t="n">
        <v>15.9</v>
      </c>
      <c r="J1338" s="5" t="n">
        <v>10.8</v>
      </c>
      <c r="K1338" s="3" t="inlineStr">
        <is>
          <t>구거 접해 있지만 맹지입니다.</t>
        </is>
      </c>
      <c r="L1338" s="6">
        <f>HYPERLINK("https://fin.land.naver.com/articles/2652005290", "매물Link")</f>
        <v/>
      </c>
      <c r="M1338" s="6">
        <f>HYPERLINK("https://map.naver.com/p/search/연서면 청라리 490", "지도Link")</f>
        <v/>
      </c>
      <c r="N1338" s="6">
        <f>HYPERLINK("http://www.eum.go.kr/web/ar/lu/luLandDet.jsp?pnu=3611036027104900000&amp;isNoScr=script&amp;mode=search", "토지이음")</f>
        <v/>
      </c>
      <c r="O1338" s="3" t="inlineStr">
        <is>
          <t>세종땅사랑</t>
        </is>
      </c>
      <c r="P1338" s="4" t="n">
        <v>1</v>
      </c>
      <c r="Q1338" s="4" t="n">
        <v>724</v>
      </c>
      <c r="R1338" s="3" t="inlineStr">
        <is>
          <t>지정되지않음</t>
        </is>
      </c>
      <c r="S1338" s="3" t="inlineStr">
        <is>
          <t>전</t>
        </is>
      </c>
      <c r="T1338" s="3" t="inlineStr">
        <is>
          <t>급경사</t>
        </is>
      </c>
      <c r="U1338" s="3" t="inlineStr">
        <is>
          <t>부정형</t>
        </is>
      </c>
      <c r="V1338" s="3" t="inlineStr">
        <is>
          <t>맹지</t>
        </is>
      </c>
    </row>
    <row r="1339">
      <c r="A1339" s="3" t="inlineStr">
        <is>
          <t>연서면 청라리 490</t>
        </is>
      </c>
      <c r="B1339" s="3" t="inlineStr">
        <is>
          <t>보전관리지역</t>
        </is>
      </c>
      <c r="C1339" s="3" t="inlineStr">
        <is>
          <t>답</t>
        </is>
      </c>
      <c r="D1339" s="3" t="inlineStr">
        <is>
          <t>전</t>
        </is>
      </c>
      <c r="E1339" s="3" t="inlineStr">
        <is>
          <t>매매</t>
        </is>
      </c>
      <c r="F1339" s="4" t="n">
        <v>7000</v>
      </c>
      <c r="G1339" s="4" t="n">
        <v>1401</v>
      </c>
      <c r="H1339" s="4" t="n">
        <v>424</v>
      </c>
      <c r="I1339" s="5" t="n">
        <v>16.5</v>
      </c>
      <c r="J1339" s="5" t="n">
        <v>10.8</v>
      </c>
      <c r="K1339" s="3" t="inlineStr">
        <is>
          <t>급매.과수원추천.보전관리.성장관리계획구역.영농여건불리농지. 대토추천.</t>
        </is>
      </c>
      <c r="L1339" s="6">
        <f>HYPERLINK("https://fin.land.naver.com/articles/2651449309", "매물Link")</f>
        <v/>
      </c>
      <c r="M1339" s="6">
        <f>HYPERLINK("https://map.naver.com/p/search/연서면 청라리 490", "지도Link")</f>
        <v/>
      </c>
      <c r="N1339" s="6">
        <f>HYPERLINK("http://www.eum.go.kr/web/ar/lu/luLandDet.jsp?pnu=3611036027104900000&amp;isNoScr=script&amp;mode=search", "토지이음")</f>
        <v/>
      </c>
      <c r="O1339" s="3" t="inlineStr">
        <is>
          <t>휴튼9단지세교신도시</t>
        </is>
      </c>
      <c r="P1339" s="4" t="n">
        <v>1</v>
      </c>
      <c r="Q1339" s="4" t="n">
        <v>724</v>
      </c>
      <c r="R1339" s="3" t="inlineStr">
        <is>
          <t>지정되지않음</t>
        </is>
      </c>
      <c r="S1339" s="3" t="inlineStr">
        <is>
          <t>전</t>
        </is>
      </c>
      <c r="T1339" s="3" t="inlineStr">
        <is>
          <t>급경사</t>
        </is>
      </c>
      <c r="U1339" s="3" t="inlineStr">
        <is>
          <t>부정형</t>
        </is>
      </c>
      <c r="V1339" s="3" t="inlineStr">
        <is>
          <t>맹지</t>
        </is>
      </c>
    </row>
    <row r="1340">
      <c r="A1340" s="3" t="inlineStr">
        <is>
          <t>오송읍 공북리 184-1</t>
        </is>
      </c>
      <c r="B1340" s="3" t="inlineStr">
        <is>
          <t>농림지역</t>
        </is>
      </c>
      <c r="C1340" s="3" t="inlineStr">
        <is>
          <t>잡종지</t>
        </is>
      </c>
      <c r="D1340" s="3" t="inlineStr">
        <is>
          <t>잡종지</t>
        </is>
      </c>
      <c r="E1340" s="3" t="inlineStr">
        <is>
          <t>매매</t>
        </is>
      </c>
      <c r="F1340" s="4" t="n">
        <v>130000</v>
      </c>
      <c r="G1340" s="4" t="n">
        <v>2146</v>
      </c>
      <c r="H1340" s="4" t="n">
        <v>649</v>
      </c>
      <c r="I1340" s="5" t="n">
        <v>200.3</v>
      </c>
      <c r="J1340" s="5" t="n">
        <v>53.7</v>
      </c>
      <c r="K1340" s="3" t="inlineStr">
        <is>
          <t>오송역.산단인접 개발 활용도 좋은 잡종지 토지 매매.2차선 도로접</t>
        </is>
      </c>
      <c r="L1340" s="6">
        <f>HYPERLINK("https://fin.land.naver.com/articles/2650636899", "매물Link")</f>
        <v/>
      </c>
      <c r="M1340" s="6">
        <f>HYPERLINK("https://map.naver.com/p/search/오송읍 공북리 184-1", "지도Link")</f>
        <v/>
      </c>
      <c r="N1340" s="6">
        <f>HYPERLINK("http://www.eum.go.kr/web/ar/lu/luLandDet.jsp?pnu=4311325023101840001&amp;isNoScr=script&amp;mode=search", "토지이음")</f>
        <v/>
      </c>
      <c r="O1340" s="3" t="inlineStr">
        <is>
          <t>삼성사무소</t>
        </is>
      </c>
      <c r="P1340" s="4" t="n">
        <v>1</v>
      </c>
      <c r="Q1340" s="4" t="n">
        <v>746</v>
      </c>
      <c r="R1340" s="3" t="inlineStr">
        <is>
          <t>지정되지않음</t>
        </is>
      </c>
      <c r="S1340" s="3" t="inlineStr">
        <is>
          <t>단독</t>
        </is>
      </c>
      <c r="T1340" s="3" t="inlineStr">
        <is>
          <t>평지</t>
        </is>
      </c>
      <c r="U1340" s="3" t="inlineStr">
        <is>
          <t>사다리형</t>
        </is>
      </c>
      <c r="V1340" s="3" t="inlineStr">
        <is>
          <t>소로한면</t>
        </is>
      </c>
    </row>
    <row r="1341">
      <c r="A1341" s="3" t="inlineStr">
        <is>
          <t>오송읍 공북리 184-2</t>
        </is>
      </c>
      <c r="B1341" s="3" t="inlineStr">
        <is>
          <t>농림지역</t>
        </is>
      </c>
      <c r="C1341" s="3" t="inlineStr">
        <is>
          <t>잡종지</t>
        </is>
      </c>
      <c r="D1341" s="3" t="inlineStr">
        <is>
          <t>잡종지</t>
        </is>
      </c>
      <c r="E1341" s="3" t="inlineStr">
        <is>
          <t>매매</t>
        </is>
      </c>
      <c r="F1341" s="4" t="n">
        <v>130000</v>
      </c>
      <c r="G1341" s="4" t="n">
        <v>2146</v>
      </c>
      <c r="H1341" s="4" t="n">
        <v>649</v>
      </c>
      <c r="I1341" s="5" t="n">
        <v>200.3</v>
      </c>
      <c r="J1341" s="5" t="n">
        <v>53.7</v>
      </c>
      <c r="K1341" s="3" t="inlineStr">
        <is>
          <t>2차선 도로 접, 서울 세종간 고속도로 오송진입로 1.3km, 투자 적지</t>
        </is>
      </c>
      <c r="L1341" s="6">
        <f>HYPERLINK("https://fin.land.naver.com/articles/2651729575", "매물Link")</f>
        <v/>
      </c>
      <c r="M1341" s="6">
        <f>HYPERLINK("https://map.naver.com/p/search/오송읍 공북리 184-2", "지도Link")</f>
        <v/>
      </c>
      <c r="N1341" s="6">
        <f>HYPERLINK("http://www.eum.go.kr/web/ar/lu/luLandDet.jsp?pnu=4311325023101840002&amp;isNoScr=script&amp;mode=search", "토지이음")</f>
        <v/>
      </c>
      <c r="O1341" s="3" t="inlineStr">
        <is>
          <t>OK파라곤</t>
        </is>
      </c>
      <c r="P1341" s="4" t="n">
        <v>1</v>
      </c>
      <c r="Q1341" s="4" t="n">
        <v>1400</v>
      </c>
      <c r="R1341" s="3" t="inlineStr">
        <is>
          <t>지정되지않음</t>
        </is>
      </c>
      <c r="S1341" s="3" t="inlineStr">
        <is>
          <t>단독</t>
        </is>
      </c>
      <c r="T1341" s="3" t="inlineStr">
        <is>
          <t>평지</t>
        </is>
      </c>
      <c r="U1341" s="3" t="inlineStr">
        <is>
          <t>사다리형</t>
        </is>
      </c>
      <c r="V1341" s="3" t="inlineStr">
        <is>
          <t>소로한면</t>
        </is>
      </c>
    </row>
    <row r="1342">
      <c r="A1342" s="3" t="inlineStr">
        <is>
          <t>오송읍 공북리 568-28</t>
        </is>
      </c>
      <c r="B1342" s="3" t="inlineStr">
        <is>
          <t>계획관리지역</t>
        </is>
      </c>
      <c r="C1342" s="3" t="inlineStr">
        <is>
          <t>잡종지</t>
        </is>
      </c>
      <c r="D1342" s="3" t="inlineStr">
        <is>
          <t>대</t>
        </is>
      </c>
      <c r="E1342" s="3" t="inlineStr">
        <is>
          <t>매매</t>
        </is>
      </c>
      <c r="F1342" s="4" t="n">
        <v>220000</v>
      </c>
      <c r="G1342" s="4" t="n">
        <v>2707</v>
      </c>
      <c r="H1342" s="4" t="n">
        <v>819</v>
      </c>
      <c r="I1342" s="5" t="n">
        <v>268.6</v>
      </c>
      <c r="J1342" s="5" t="n">
        <v>72.2</v>
      </c>
      <c r="K1342" s="3" t="inlineStr">
        <is>
          <t>오송생명과학단지 바로옆,옥산IC인근,전체 계획관리지역,공장 창고 추천</t>
        </is>
      </c>
      <c r="L1342" s="6">
        <f>HYPERLINK("https://fin.land.naver.com/articles/2652356906", "매물Link")</f>
        <v/>
      </c>
      <c r="M1342" s="6">
        <f>HYPERLINK("https://map.naver.com/p/search/오송읍 공북리 568-28", "지도Link")</f>
        <v/>
      </c>
      <c r="N1342" s="6">
        <f>HYPERLINK("http://www.eum.go.kr/web/ar/lu/luLandDet.jsp?pnu=4311325023105680028&amp;isNoScr=script&amp;mode=search", "토지이음")</f>
        <v/>
      </c>
      <c r="O1342" s="3" t="inlineStr">
        <is>
          <t>(주)미르</t>
        </is>
      </c>
      <c r="P1342" s="4" t="n">
        <v>1</v>
      </c>
      <c r="Q1342" s="4" t="n">
        <v>79</v>
      </c>
      <c r="R1342" s="3" t="inlineStr">
        <is>
          <t>지정되지않음</t>
        </is>
      </c>
      <c r="S1342" s="3" t="inlineStr">
        <is>
          <t>주거기타</t>
        </is>
      </c>
      <c r="T1342" s="3" t="inlineStr">
        <is>
          <t>평지</t>
        </is>
      </c>
      <c r="U1342" s="3" t="inlineStr">
        <is>
          <t>사다리형</t>
        </is>
      </c>
      <c r="V1342" s="3" t="inlineStr">
        <is>
          <t>세로한면(가)</t>
        </is>
      </c>
    </row>
    <row r="1343">
      <c r="A1343" s="3" t="inlineStr">
        <is>
          <t>오송읍 공북리 568-30</t>
        </is>
      </c>
      <c r="B1343" s="3" t="inlineStr">
        <is>
          <t>계획관리지역</t>
        </is>
      </c>
      <c r="C1343" s="3" t="inlineStr">
        <is>
          <t>대</t>
        </is>
      </c>
      <c r="D1343" s="3" t="inlineStr">
        <is>
          <t>대</t>
        </is>
      </c>
      <c r="E1343" s="3" t="inlineStr">
        <is>
          <t>매매</t>
        </is>
      </c>
      <c r="F1343" s="4" t="n">
        <v>220000</v>
      </c>
      <c r="G1343" s="4" t="n">
        <v>2707</v>
      </c>
      <c r="H1343" s="4" t="n">
        <v>819</v>
      </c>
      <c r="I1343" s="5" t="n">
        <v>268.6</v>
      </c>
      <c r="J1343" s="5" t="n">
        <v>72.2</v>
      </c>
      <c r="K1343" s="3" t="inlineStr">
        <is>
          <t>오송생명과학단지 , 오송 화장품산업단지 인근 공장 창고 추천</t>
        </is>
      </c>
      <c r="L1343" s="6">
        <f>HYPERLINK("https://fin.land.naver.com/articles/2652969686", "매물Link")</f>
        <v/>
      </c>
      <c r="M1343" s="6">
        <f>HYPERLINK("https://map.naver.com/p/search/오송읍 공북리 568-30", "지도Link")</f>
        <v/>
      </c>
      <c r="N1343" s="6">
        <f>HYPERLINK("http://www.eum.go.kr/web/ar/lu/luLandDet.jsp?pnu=4311325023105680030&amp;isNoScr=script&amp;mode=search", "토지이음")</f>
        <v/>
      </c>
      <c r="O1343" s="3" t="inlineStr">
        <is>
          <t>더원</t>
        </is>
      </c>
      <c r="P1343" s="4" t="n">
        <v>1</v>
      </c>
      <c r="Q1343" s="4" t="n">
        <v>144</v>
      </c>
      <c r="R1343" s="3" t="inlineStr">
        <is>
          <t>지정되지않음</t>
        </is>
      </c>
      <c r="S1343" s="3" t="inlineStr">
        <is>
          <t>주거기타</t>
        </is>
      </c>
      <c r="T1343" s="3" t="inlineStr">
        <is>
          <t>평지</t>
        </is>
      </c>
      <c r="U1343" s="3" t="inlineStr">
        <is>
          <t>가로장방</t>
        </is>
      </c>
      <c r="V1343" s="3" t="inlineStr">
        <is>
          <t>세로한면(가)</t>
        </is>
      </c>
    </row>
    <row r="1344">
      <c r="A1344" s="3" t="inlineStr">
        <is>
          <t>오송읍 공북리 639-1</t>
        </is>
      </c>
      <c r="B1344" s="3" t="inlineStr">
        <is>
          <t>농림지역</t>
        </is>
      </c>
      <c r="C1344" s="3" t="inlineStr">
        <is>
          <t>답</t>
        </is>
      </c>
      <c r="D1344" s="3" t="inlineStr">
        <is>
          <t>답</t>
        </is>
      </c>
      <c r="E1344" s="3" t="inlineStr">
        <is>
          <t>매매</t>
        </is>
      </c>
      <c r="F1344" s="4" t="n">
        <v>20600</v>
      </c>
      <c r="G1344" s="4" t="n">
        <v>975</v>
      </c>
      <c r="H1344" s="4" t="n">
        <v>295</v>
      </c>
      <c r="I1344" s="5" t="n">
        <v>69.8</v>
      </c>
      <c r="J1344" s="5" t="n">
        <v>21.6</v>
      </c>
      <c r="K1344" s="3" t="inlineStr">
        <is>
          <t>오송역 오송철도클러스터단지인근토지 수도 전기 화장실 컨테이너 설치</t>
        </is>
      </c>
      <c r="L1344" s="6">
        <f>HYPERLINK("https://fin.land.naver.com/articles/2653991086", "매물Link")</f>
        <v/>
      </c>
      <c r="M1344" s="6">
        <f>HYPERLINK("https://map.naver.com/p/search/오송읍 공북리 639-1", "지도Link")</f>
        <v/>
      </c>
      <c r="N1344" s="6">
        <f>HYPERLINK("http://www.eum.go.kr/web/ar/lu/luLandDet.jsp?pnu=4311325023106390001&amp;isNoScr=script&amp;mode=search", "토지이음")</f>
        <v/>
      </c>
      <c r="O1344" s="3" t="inlineStr">
        <is>
          <t>아임</t>
        </is>
      </c>
      <c r="P1344" s="4" t="n">
        <v>1</v>
      </c>
      <c r="Q1344" s="4" t="n">
        <v>975</v>
      </c>
      <c r="R1344" s="3" t="inlineStr">
        <is>
          <t>생산관리지역</t>
        </is>
      </c>
      <c r="S1344" s="3" t="inlineStr">
        <is>
          <t>답</t>
        </is>
      </c>
      <c r="T1344" s="3" t="inlineStr">
        <is>
          <t>평지</t>
        </is>
      </c>
      <c r="U1344" s="3" t="inlineStr">
        <is>
          <t>사다리형</t>
        </is>
      </c>
      <c r="V1344" s="3" t="inlineStr">
        <is>
          <t>세로한면(가)</t>
        </is>
      </c>
    </row>
    <row r="1345">
      <c r="A1345" s="3" t="inlineStr">
        <is>
          <t>오송읍 궁평리 121</t>
        </is>
      </c>
      <c r="B1345" s="3" t="inlineStr">
        <is>
          <t>농림지역</t>
        </is>
      </c>
      <c r="C1345" s="3" t="inlineStr">
        <is>
          <t>답</t>
        </is>
      </c>
      <c r="D1345" s="3" t="inlineStr">
        <is>
          <t>답</t>
        </is>
      </c>
      <c r="E1345" s="3" t="inlineStr">
        <is>
          <t>매매</t>
        </is>
      </c>
      <c r="F1345" s="4" t="n">
        <v>90000</v>
      </c>
      <c r="G1345" s="4" t="n">
        <v>2265</v>
      </c>
      <c r="H1345" s="4" t="n">
        <v>685</v>
      </c>
      <c r="I1345" s="5" t="n">
        <v>131.4</v>
      </c>
      <c r="J1345" s="5" t="n">
        <v>35.7</v>
      </c>
      <c r="K1345" s="3" t="inlineStr">
        <is>
          <t>1산단 남측 포장도로접한 하우스 농지</t>
        </is>
      </c>
      <c r="L1345" s="6">
        <f>HYPERLINK("https://fin.land.naver.com/articles/2649950672", "매물Link")</f>
        <v/>
      </c>
      <c r="M1345" s="6">
        <f>HYPERLINK("https://map.naver.com/p/search/오송읍 궁평리 121", "지도Link")</f>
        <v/>
      </c>
      <c r="N1345" s="6">
        <f>HYPERLINK("http://www.eum.go.kr/web/ar/lu/luLandDet.jsp?pnu=4311325027101210000&amp;isNoScr=script&amp;mode=search", "토지이음")</f>
        <v/>
      </c>
      <c r="O1345" s="3" t="inlineStr">
        <is>
          <t>오송k랜드</t>
        </is>
      </c>
      <c r="P1345" s="4" t="n">
        <v>1</v>
      </c>
      <c r="Q1345" s="4" t="n">
        <v>2265</v>
      </c>
      <c r="R1345" s="3" t="inlineStr">
        <is>
          <t>지정되지않음</t>
        </is>
      </c>
      <c r="S1345" s="3" t="inlineStr">
        <is>
          <t>답</t>
        </is>
      </c>
      <c r="T1345" s="3" t="inlineStr">
        <is>
          <t>평지</t>
        </is>
      </c>
      <c r="U1345" s="3" t="inlineStr">
        <is>
          <t>세로장방</t>
        </is>
      </c>
      <c r="V1345" s="3" t="inlineStr">
        <is>
          <t>세로한면(가)</t>
        </is>
      </c>
    </row>
    <row r="1346">
      <c r="A1346" s="3" t="inlineStr">
        <is>
          <t>오송읍 궁평리 204-8</t>
        </is>
      </c>
      <c r="B1346" s="3" t="inlineStr">
        <is>
          <t>농림지역</t>
        </is>
      </c>
      <c r="C1346" s="3" t="inlineStr">
        <is>
          <t>답</t>
        </is>
      </c>
      <c r="D1346" s="3" t="inlineStr">
        <is>
          <t>답</t>
        </is>
      </c>
      <c r="E1346" s="3" t="inlineStr">
        <is>
          <t>매매</t>
        </is>
      </c>
      <c r="F1346" s="4" t="n">
        <v>95000</v>
      </c>
      <c r="G1346" s="4" t="n">
        <v>2036</v>
      </c>
      <c r="H1346" s="4" t="n">
        <v>616</v>
      </c>
      <c r="I1346" s="5" t="n">
        <v>154.2</v>
      </c>
      <c r="J1346" s="5" t="n">
        <v>27.4</v>
      </c>
      <c r="K1346" s="3" t="inlineStr">
        <is>
          <t>오송읍 투자가치 높은 토지 매매</t>
        </is>
      </c>
      <c r="L1346" s="6">
        <f>HYPERLINK("https://fin.land.naver.com/articles/2653393609", "매물Link")</f>
        <v/>
      </c>
      <c r="M1346" s="6">
        <f>HYPERLINK("https://map.naver.com/p/search/오송읍 궁평리 204-8", "지도Link")</f>
        <v/>
      </c>
      <c r="N1346" s="6">
        <f>HYPERLINK("http://www.eum.go.kr/web/ar/lu/luLandDet.jsp?pnu=4311325027102040008&amp;isNoScr=script&amp;mode=search", "토지이음")</f>
        <v/>
      </c>
      <c r="O1346" s="3" t="inlineStr">
        <is>
          <t>대지</t>
        </is>
      </c>
      <c r="P1346" s="4" t="n">
        <v>1</v>
      </c>
      <c r="Q1346" s="4" t="n">
        <v>2036</v>
      </c>
      <c r="R1346" s="3" t="inlineStr">
        <is>
          <t>지정되지않음</t>
        </is>
      </c>
      <c r="S1346" s="3" t="inlineStr">
        <is>
          <t>답</t>
        </is>
      </c>
      <c r="T1346" s="3" t="inlineStr">
        <is>
          <t>평지</t>
        </is>
      </c>
      <c r="U1346" s="3" t="inlineStr">
        <is>
          <t>세로장방</t>
        </is>
      </c>
      <c r="V1346" s="3" t="inlineStr">
        <is>
          <t>세로한면(가)</t>
        </is>
      </c>
    </row>
    <row r="1347">
      <c r="A1347" s="3" t="inlineStr">
        <is>
          <t>오송읍 궁평리 213-3</t>
        </is>
      </c>
      <c r="B1347" s="3" t="inlineStr">
        <is>
          <t>농림지역</t>
        </is>
      </c>
      <c r="C1347" s="3" t="inlineStr">
        <is>
          <t>답</t>
        </is>
      </c>
      <c r="D1347" s="3" t="inlineStr">
        <is>
          <t>답</t>
        </is>
      </c>
      <c r="E1347" s="3" t="inlineStr">
        <is>
          <t>매매</t>
        </is>
      </c>
      <c r="F1347" s="4" t="n">
        <v>47500</v>
      </c>
      <c r="G1347" s="4" t="n">
        <v>2093</v>
      </c>
      <c r="H1347" s="4" t="n">
        <v>633</v>
      </c>
      <c r="I1347" s="5" t="n">
        <v>75</v>
      </c>
      <c r="J1347" s="5" t="n">
        <v>30</v>
      </c>
      <c r="K1347" s="3" t="inlineStr">
        <is>
          <t>nan</t>
        </is>
      </c>
      <c r="L1347" s="6">
        <f>HYPERLINK("https://fin.land.naver.com/articles/2650456829", "매물Link")</f>
        <v/>
      </c>
      <c r="M1347" s="6">
        <f>HYPERLINK("https://map.naver.com/p/search/오송읍 궁평리 213-3", "지도Link")</f>
        <v/>
      </c>
      <c r="N1347" s="6">
        <f>HYPERLINK("http://www.eum.go.kr/web/ar/lu/luLandDet.jsp?pnu=4311325027102130003&amp;isNoScr=script&amp;mode=search", "토지이음")</f>
        <v/>
      </c>
      <c r="O1347" s="3" t="inlineStr">
        <is>
          <t>OK파라곤</t>
        </is>
      </c>
      <c r="P1347" s="4" t="n">
        <v>1</v>
      </c>
      <c r="Q1347" s="4" t="n">
        <v>2093</v>
      </c>
      <c r="R1347" s="3" t="inlineStr">
        <is>
          <t>지정되지않음</t>
        </is>
      </c>
      <c r="S1347" s="3" t="inlineStr">
        <is>
          <t>답</t>
        </is>
      </c>
      <c r="T1347" s="3" t="inlineStr">
        <is>
          <t>평지</t>
        </is>
      </c>
      <c r="U1347" s="3" t="inlineStr">
        <is>
          <t>부정형</t>
        </is>
      </c>
      <c r="V1347" s="3" t="inlineStr">
        <is>
          <t>세로한면(가)</t>
        </is>
      </c>
    </row>
    <row r="1348">
      <c r="A1348" s="3" t="inlineStr">
        <is>
          <t>오송읍 궁평리 216-6</t>
        </is>
      </c>
      <c r="B1348" s="3" t="inlineStr">
        <is>
          <t>농림지역</t>
        </is>
      </c>
      <c r="C1348" s="3" t="inlineStr">
        <is>
          <t>답</t>
        </is>
      </c>
      <c r="D1348" s="3" t="inlineStr">
        <is>
          <t>답</t>
        </is>
      </c>
      <c r="E1348" s="3" t="inlineStr">
        <is>
          <t>매매</t>
        </is>
      </c>
      <c r="F1348" s="4" t="n">
        <v>90700</v>
      </c>
      <c r="G1348" s="4" t="n">
        <v>3740</v>
      </c>
      <c r="H1348" s="4" t="n">
        <v>1131</v>
      </c>
      <c r="I1348" s="5" t="n">
        <v>80.2</v>
      </c>
      <c r="J1348" s="5" t="n">
        <v>27</v>
      </c>
      <c r="K1348" s="3" t="inlineStr">
        <is>
          <t>궁평리 청주오스코 인근</t>
        </is>
      </c>
      <c r="L1348" s="6">
        <f>HYPERLINK("https://fin.land.naver.com/articles/2653380363", "매물Link")</f>
        <v/>
      </c>
      <c r="M1348" s="6">
        <f>HYPERLINK("https://map.naver.com/p/search/오송읍 궁평리 216-6", "지도Link")</f>
        <v/>
      </c>
      <c r="N1348" s="6">
        <f>HYPERLINK("http://www.eum.go.kr/web/ar/lu/luLandDet.jsp?pnu=4311325027102160006&amp;isNoScr=script&amp;mode=search", "토지이음")</f>
        <v/>
      </c>
      <c r="O1348" s="3" t="inlineStr">
        <is>
          <t>수풀림</t>
        </is>
      </c>
      <c r="P1348" s="4" t="n">
        <v>2</v>
      </c>
      <c r="Q1348" s="4" t="n">
        <v>3743</v>
      </c>
      <c r="R1348" s="3" t="inlineStr">
        <is>
          <t>지정되지않음</t>
        </is>
      </c>
      <c r="S1348" s="3" t="inlineStr">
        <is>
          <t>답</t>
        </is>
      </c>
      <c r="T1348" s="3" t="inlineStr">
        <is>
          <t>평지</t>
        </is>
      </c>
      <c r="U1348" s="3" t="inlineStr">
        <is>
          <t>세로장방</t>
        </is>
      </c>
      <c r="V1348" s="3" t="inlineStr">
        <is>
          <t>세로한면(불)</t>
        </is>
      </c>
    </row>
    <row r="1349">
      <c r="A1349" s="3" t="inlineStr">
        <is>
          <t>오송읍 궁평리 259-14</t>
        </is>
      </c>
      <c r="B1349" s="3" t="inlineStr">
        <is>
          <t>계획관리지역</t>
        </is>
      </c>
      <c r="C1349" s="3" t="inlineStr">
        <is>
          <t>전</t>
        </is>
      </c>
      <c r="D1349" s="3" t="inlineStr">
        <is>
          <t>전</t>
        </is>
      </c>
      <c r="E1349" s="3" t="inlineStr">
        <is>
          <t>매매</t>
        </is>
      </c>
      <c r="F1349" s="4" t="n">
        <v>80000</v>
      </c>
      <c r="G1349" s="4" t="n">
        <v>1144</v>
      </c>
      <c r="H1349" s="4" t="n">
        <v>346</v>
      </c>
      <c r="I1349" s="5" t="n">
        <v>231.2</v>
      </c>
      <c r="J1349" s="5" t="n">
        <v>93.90000000000001</v>
      </c>
      <c r="K1349" s="3" t="inlineStr">
        <is>
          <t>오송역 및 오스코 600m, 6차선 지하차도 예정지에 인접한 계획관리토지</t>
        </is>
      </c>
      <c r="L1349" s="6">
        <f>HYPERLINK("https://fin.land.naver.com/articles/2654630539", "매물Link")</f>
        <v/>
      </c>
      <c r="M1349" s="6">
        <f>HYPERLINK("https://map.naver.com/p/search/오송읍 궁평리 259-14", "지도Link")</f>
        <v/>
      </c>
      <c r="N1349" s="6">
        <f>HYPERLINK("http://www.eum.go.kr/web/ar/lu/luLandDet.jsp?pnu=4311325027102590014&amp;isNoScr=script&amp;mode=search", "토지이음")</f>
        <v/>
      </c>
      <c r="O1349" s="3" t="inlineStr">
        <is>
          <t>오송3산단  사무소</t>
        </is>
      </c>
      <c r="P1349" s="4" t="n">
        <v>1</v>
      </c>
      <c r="Q1349" s="4" t="n">
        <v>1144</v>
      </c>
      <c r="R1349" s="3" t="inlineStr">
        <is>
          <t>지정되지않음</t>
        </is>
      </c>
      <c r="S1349" s="3" t="inlineStr">
        <is>
          <t>전</t>
        </is>
      </c>
      <c r="T1349" s="3" t="inlineStr">
        <is>
          <t>평지</t>
        </is>
      </c>
      <c r="U1349" s="3" t="inlineStr">
        <is>
          <t>부정형</t>
        </is>
      </c>
      <c r="V1349" s="3" t="inlineStr">
        <is>
          <t>세로한면(가)</t>
        </is>
      </c>
    </row>
    <row r="1350">
      <c r="A1350" s="3" t="inlineStr">
        <is>
          <t>오송읍 궁평리 272-3</t>
        </is>
      </c>
      <c r="B1350" s="3" t="inlineStr">
        <is>
          <t>계획관리지역</t>
        </is>
      </c>
      <c r="C1350" s="3" t="inlineStr">
        <is>
          <t>대</t>
        </is>
      </c>
      <c r="D1350" s="3" t="inlineStr">
        <is>
          <t>대</t>
        </is>
      </c>
      <c r="E1350" s="3" t="inlineStr">
        <is>
          <t>매매</t>
        </is>
      </c>
      <c r="F1350" s="4" t="n">
        <v>85000</v>
      </c>
      <c r="G1350" s="4" t="n">
        <v>573</v>
      </c>
      <c r="H1350" s="4" t="n">
        <v>173</v>
      </c>
      <c r="I1350" s="5" t="n">
        <v>491.3</v>
      </c>
      <c r="J1350" s="5" t="n">
        <v>161.2</v>
      </c>
      <c r="K1350" s="3" t="inlineStr">
        <is>
          <t>오송역에서 가까운 궁평리에 위치한 토지임</t>
        </is>
      </c>
      <c r="L1350" s="6">
        <f>HYPERLINK("https://fin.land.naver.com/articles/2652419897", "매물Link")</f>
        <v/>
      </c>
      <c r="M1350" s="6">
        <f>HYPERLINK("https://map.naver.com/p/search/오송읍 궁평리 272-3", "지도Link")</f>
        <v/>
      </c>
      <c r="N1350" s="6">
        <f>HYPERLINK("http://www.eum.go.kr/web/ar/lu/luLandDet.jsp?pnu=4311325027102720003&amp;isNoScr=script&amp;mode=search", "토지이음")</f>
        <v/>
      </c>
      <c r="O1350" s="3" t="inlineStr">
        <is>
          <t>산성</t>
        </is>
      </c>
      <c r="P1350" s="4" t="n">
        <v>1</v>
      </c>
      <c r="Q1350" s="4" t="n">
        <v>573</v>
      </c>
      <c r="R1350" s="3" t="inlineStr">
        <is>
          <t>지정되지않음</t>
        </is>
      </c>
      <c r="S1350" s="3" t="inlineStr">
        <is>
          <t>단독</t>
        </is>
      </c>
      <c r="T1350" s="3" t="inlineStr">
        <is>
          <t>평지</t>
        </is>
      </c>
      <c r="U1350" s="3" t="inlineStr">
        <is>
          <t>사다리형</t>
        </is>
      </c>
      <c r="V1350" s="3" t="inlineStr">
        <is>
          <t>세로한면(가)</t>
        </is>
      </c>
    </row>
    <row r="1351">
      <c r="A1351" s="3" t="inlineStr">
        <is>
          <t>오송읍 궁평리 278-1</t>
        </is>
      </c>
      <c r="B1351" s="3" t="inlineStr">
        <is>
          <t>농림지역</t>
        </is>
      </c>
      <c r="C1351" s="3" t="inlineStr">
        <is>
          <t>답</t>
        </is>
      </c>
      <c r="D1351" s="3" t="inlineStr">
        <is>
          <t>답</t>
        </is>
      </c>
      <c r="E1351" s="3" t="inlineStr">
        <is>
          <t>매매</t>
        </is>
      </c>
      <c r="F1351" s="4" t="n">
        <v>227000</v>
      </c>
      <c r="G1351" s="4" t="n">
        <v>4076</v>
      </c>
      <c r="H1351" s="4" t="n">
        <v>1233</v>
      </c>
      <c r="I1351" s="5" t="n">
        <v>184.1</v>
      </c>
      <c r="J1351" s="5" t="n">
        <v>46.8</v>
      </c>
      <c r="K1351" s="3" t="inlineStr">
        <is>
          <t>매물특징</t>
        </is>
      </c>
      <c r="L1351" s="6">
        <f>HYPERLINK("https://fin.land.naver.com/articles/2654431239", "매물Link")</f>
        <v/>
      </c>
      <c r="M1351" s="6">
        <f>HYPERLINK("https://map.naver.com/p/search/오송읍 궁평리 278-1", "지도Link")</f>
        <v/>
      </c>
      <c r="N1351" s="6">
        <f>HYPERLINK("http://www.eum.go.kr/web/ar/lu/luLandDet.jsp?pnu=4311325027102780001&amp;isNoScr=script&amp;mode=search", "토지이음")</f>
        <v/>
      </c>
      <c r="O1351" s="3" t="inlineStr">
        <is>
          <t>오송궁평마을</t>
        </is>
      </c>
      <c r="P1351" s="4" t="n">
        <v>1</v>
      </c>
      <c r="Q1351" s="4" t="n">
        <v>4076</v>
      </c>
      <c r="R1351" s="3" t="inlineStr">
        <is>
          <t>지정되지않음</t>
        </is>
      </c>
      <c r="S1351" s="3" t="inlineStr">
        <is>
          <t>답</t>
        </is>
      </c>
      <c r="T1351" s="3" t="inlineStr">
        <is>
          <t>평지</t>
        </is>
      </c>
      <c r="U1351" s="3" t="inlineStr">
        <is>
          <t>세로장방</t>
        </is>
      </c>
      <c r="V1351" s="3" t="inlineStr">
        <is>
          <t>세로한면(불)</t>
        </is>
      </c>
    </row>
    <row r="1352">
      <c r="A1352" s="3" t="inlineStr">
        <is>
          <t>오송읍 궁평리 296-3</t>
        </is>
      </c>
      <c r="B1352" s="3" t="inlineStr">
        <is>
          <t>농림지역</t>
        </is>
      </c>
      <c r="C1352" s="3" t="inlineStr">
        <is>
          <t>답</t>
        </is>
      </c>
      <c r="D1352" s="3" t="inlineStr">
        <is>
          <t>답</t>
        </is>
      </c>
      <c r="E1352" s="3" t="inlineStr">
        <is>
          <t>매매</t>
        </is>
      </c>
      <c r="F1352" s="4" t="n">
        <v>150000</v>
      </c>
      <c r="G1352" s="4" t="n">
        <v>3967</v>
      </c>
      <c r="H1352" s="4" t="n">
        <v>1200</v>
      </c>
      <c r="I1352" s="5" t="n">
        <v>125</v>
      </c>
      <c r="J1352" s="5" t="n">
        <v>53.7</v>
      </c>
      <c r="K1352" s="3" t="inlineStr">
        <is>
          <t>오송역 인근 장래개발 호재지역 투자용 대토용 조경업 농림관련산업</t>
        </is>
      </c>
      <c r="L1352" s="6">
        <f>HYPERLINK("https://fin.land.naver.com/articles/2652622632", "매물Link")</f>
        <v/>
      </c>
      <c r="M1352" s="6">
        <f>HYPERLINK("https://map.naver.com/p/search/오송읍 궁평리 296-3", "지도Link")</f>
        <v/>
      </c>
      <c r="N1352" s="6">
        <f>HYPERLINK("http://www.eum.go.kr/web/ar/lu/luLandDet.jsp?pnu=4311325027102960003&amp;isNoScr=script&amp;mode=search", "토지이음")</f>
        <v/>
      </c>
      <c r="O1352" s="3" t="inlineStr">
        <is>
          <t>재일합동사무소</t>
        </is>
      </c>
      <c r="P1352" s="4" t="n">
        <v>1</v>
      </c>
      <c r="Q1352" s="4" t="n">
        <v>3967</v>
      </c>
      <c r="R1352" s="3" t="inlineStr">
        <is>
          <t>지정되지않음</t>
        </is>
      </c>
      <c r="S1352" s="3" t="inlineStr">
        <is>
          <t>답</t>
        </is>
      </c>
      <c r="T1352" s="3" t="inlineStr">
        <is>
          <t>평지</t>
        </is>
      </c>
      <c r="U1352" s="3" t="inlineStr">
        <is>
          <t>세로장방</t>
        </is>
      </c>
      <c r="V1352" s="3" t="inlineStr">
        <is>
          <t>세로한면(가)</t>
        </is>
      </c>
    </row>
    <row r="1353">
      <c r="A1353" s="3" t="inlineStr">
        <is>
          <t>오송읍 궁평리 303-1</t>
        </is>
      </c>
      <c r="B1353" s="3" t="inlineStr">
        <is>
          <t>농림지역</t>
        </is>
      </c>
      <c r="C1353" s="3" t="inlineStr">
        <is>
          <t>과수원</t>
        </is>
      </c>
      <c r="D1353" s="3" t="inlineStr">
        <is>
          <t>과수원</t>
        </is>
      </c>
      <c r="E1353" s="3" t="inlineStr">
        <is>
          <t>매매</t>
        </is>
      </c>
      <c r="F1353" s="4" t="n">
        <v>105000</v>
      </c>
      <c r="G1353" s="4" t="n">
        <v>1523</v>
      </c>
      <c r="H1353" s="4" t="n">
        <v>461</v>
      </c>
      <c r="I1353" s="5" t="n">
        <v>227.8</v>
      </c>
      <c r="J1353" s="5" t="n">
        <v>63</v>
      </c>
      <c r="K1353" s="3" t="inlineStr">
        <is>
          <t>도로 접한 과수원 부지 매도 오송역 인근 장래 개발 호재 지역</t>
        </is>
      </c>
      <c r="L1353" s="6">
        <f>HYPERLINK("https://fin.land.naver.com/articles/2649497254", "매물Link")</f>
        <v/>
      </c>
      <c r="M1353" s="6">
        <f>HYPERLINK("https://map.naver.com/p/search/오송읍 궁평리 303-1", "지도Link")</f>
        <v/>
      </c>
      <c r="N1353" s="6">
        <f>HYPERLINK("http://www.eum.go.kr/web/ar/lu/luLandDet.jsp?pnu=4311325027103030001&amp;isNoScr=script&amp;mode=search", "토지이음")</f>
        <v/>
      </c>
      <c r="O1353" s="3" t="inlineStr">
        <is>
          <t>오송퍼스트영웅</t>
        </is>
      </c>
      <c r="P1353" s="4" t="n">
        <v>1</v>
      </c>
      <c r="Q1353" s="4" t="n">
        <v>1523</v>
      </c>
      <c r="R1353" s="3" t="inlineStr">
        <is>
          <t>지정되지않음</t>
        </is>
      </c>
      <c r="S1353" s="3" t="inlineStr">
        <is>
          <t>과수원</t>
        </is>
      </c>
      <c r="T1353" s="3" t="inlineStr">
        <is>
          <t>평지</t>
        </is>
      </c>
      <c r="U1353" s="3" t="inlineStr">
        <is>
          <t>세로장방</t>
        </is>
      </c>
      <c r="V1353" s="3" t="inlineStr">
        <is>
          <t>중로한면</t>
        </is>
      </c>
    </row>
    <row r="1354">
      <c r="A1354" s="3" t="inlineStr">
        <is>
          <t>오송읍 궁평리 61-6</t>
        </is>
      </c>
      <c r="B1354" s="3" t="inlineStr">
        <is>
          <t>계획관리지역</t>
        </is>
      </c>
      <c r="C1354" s="3" t="inlineStr">
        <is>
          <t>대</t>
        </is>
      </c>
      <c r="D1354" s="3" t="inlineStr">
        <is>
          <t>대</t>
        </is>
      </c>
      <c r="E1354" s="3" t="inlineStr">
        <is>
          <t>매매</t>
        </is>
      </c>
      <c r="F1354" s="4" t="n">
        <v>40000</v>
      </c>
      <c r="G1354" s="4" t="n">
        <v>347</v>
      </c>
      <c r="H1354" s="4" t="n">
        <v>105</v>
      </c>
      <c r="I1354" s="5" t="n">
        <v>381</v>
      </c>
      <c r="J1354" s="5" t="n">
        <v>103.6</v>
      </c>
      <c r="K1354" s="3" t="inlineStr">
        <is>
          <t>궁평리 전원주택 지을 토지 매매.</t>
        </is>
      </c>
      <c r="L1354" s="6">
        <f>HYPERLINK("https://fin.land.naver.com/articles/2652685481", "매물Link")</f>
        <v/>
      </c>
      <c r="M1354" s="6">
        <f>HYPERLINK("https://map.naver.com/p/search/오송읍 궁평리 61-6", "지도Link")</f>
        <v/>
      </c>
      <c r="N1354" s="6">
        <f>HYPERLINK("http://www.eum.go.kr/web/ar/lu/luLandDet.jsp?pnu=4311325027100610006&amp;isNoScr=script&amp;mode=search", "토지이음")</f>
        <v/>
      </c>
      <c r="O1354" s="3" t="inlineStr">
        <is>
          <t>대한민국</t>
        </is>
      </c>
      <c r="P1354" s="4" t="n">
        <v>1</v>
      </c>
      <c r="Q1354" s="4" t="n">
        <v>347</v>
      </c>
      <c r="R1354" s="3" t="inlineStr">
        <is>
          <t>지정되지않음</t>
        </is>
      </c>
      <c r="S1354" s="3" t="inlineStr">
        <is>
          <t>단독</t>
        </is>
      </c>
      <c r="T1354" s="3" t="inlineStr">
        <is>
          <t>평지</t>
        </is>
      </c>
      <c r="U1354" s="3" t="inlineStr">
        <is>
          <t>사다리형</t>
        </is>
      </c>
      <c r="V1354" s="3" t="inlineStr">
        <is>
          <t>세로한면(가)</t>
        </is>
      </c>
    </row>
    <row r="1355">
      <c r="A1355" s="3" t="inlineStr">
        <is>
          <t>오송읍 궁평리 75-1</t>
        </is>
      </c>
      <c r="B1355" s="3" t="inlineStr">
        <is>
          <t>농림지역</t>
        </is>
      </c>
      <c r="C1355" s="3" t="inlineStr">
        <is>
          <t>전</t>
        </is>
      </c>
      <c r="D1355" s="3" t="inlineStr">
        <is>
          <t>답</t>
        </is>
      </c>
      <c r="E1355" s="3" t="inlineStr">
        <is>
          <t>매매</t>
        </is>
      </c>
      <c r="F1355" s="4" t="n">
        <v>31700</v>
      </c>
      <c r="G1355" s="4" t="n">
        <v>614</v>
      </c>
      <c r="H1355" s="4" t="n">
        <v>186</v>
      </c>
      <c r="I1355" s="5" t="n">
        <v>170.4</v>
      </c>
      <c r="J1355" s="5" t="n">
        <v>37.1</v>
      </c>
      <c r="K1355" s="3" t="inlineStr">
        <is>
          <t>투자가치로 적극 추천하는 궁평리 중심 토지</t>
        </is>
      </c>
      <c r="L1355" s="6">
        <f>HYPERLINK("https://fin.land.naver.com/articles/2650824873", "매물Link")</f>
        <v/>
      </c>
      <c r="M1355" s="6">
        <f>HYPERLINK("https://map.naver.com/p/search/오송읍 궁평리 75-1", "지도Link")</f>
        <v/>
      </c>
      <c r="N1355" s="6">
        <f>HYPERLINK("http://www.eum.go.kr/web/ar/lu/luLandDet.jsp?pnu=4311325027100750001&amp;isNoScr=script&amp;mode=search", "토지이음")</f>
        <v/>
      </c>
      <c r="O1355" s="3" t="inlineStr">
        <is>
          <t>국제</t>
        </is>
      </c>
      <c r="P1355" s="4" t="n">
        <v>1</v>
      </c>
      <c r="Q1355" s="4" t="n">
        <v>3078</v>
      </c>
      <c r="R1355" s="3" t="inlineStr">
        <is>
          <t>지정되지않음</t>
        </is>
      </c>
      <c r="S1355" s="3" t="inlineStr">
        <is>
          <t>답</t>
        </is>
      </c>
      <c r="T1355" s="3" t="inlineStr">
        <is>
          <t>평지</t>
        </is>
      </c>
      <c r="U1355" s="3" t="inlineStr">
        <is>
          <t>세로장방</t>
        </is>
      </c>
      <c r="V1355" s="3" t="inlineStr">
        <is>
          <t>세로각지(가)</t>
        </is>
      </c>
    </row>
    <row r="1356">
      <c r="A1356" s="3" t="inlineStr">
        <is>
          <t>오송읍 동평리 381-13</t>
        </is>
      </c>
      <c r="B1356" s="3" t="inlineStr">
        <is>
          <t>농림지역</t>
        </is>
      </c>
      <c r="C1356" s="3" t="inlineStr">
        <is>
          <t>답</t>
        </is>
      </c>
      <c r="D1356" s="3" t="inlineStr">
        <is>
          <t>답</t>
        </is>
      </c>
      <c r="E1356" s="3" t="inlineStr">
        <is>
          <t>매매</t>
        </is>
      </c>
      <c r="F1356" s="4" t="n">
        <v>36000</v>
      </c>
      <c r="G1356" s="4" t="n">
        <v>2070</v>
      </c>
      <c r="H1356" s="4" t="n">
        <v>626</v>
      </c>
      <c r="I1356" s="5" t="n">
        <v>57.5</v>
      </c>
      <c r="J1356" s="5" t="n">
        <v>26.6</v>
      </c>
      <c r="K1356" s="3" t="inlineStr">
        <is>
          <t>오송3산단 수용지에 인접한 추가수용 유력토지, 착한가격의 투자용 매물</t>
        </is>
      </c>
      <c r="L1356" s="6">
        <f>HYPERLINK("https://fin.land.naver.com/articles/2654628723", "매물Link")</f>
        <v/>
      </c>
      <c r="M1356" s="6">
        <f>HYPERLINK("https://map.naver.com/p/search/오송읍 동평리 381-13", "지도Link")</f>
        <v/>
      </c>
      <c r="N1356" s="6">
        <f>HYPERLINK("http://www.eum.go.kr/web/ar/lu/luLandDet.jsp?pnu=4311325029103810013&amp;isNoScr=script&amp;mode=search", "토지이음")</f>
        <v/>
      </c>
      <c r="O1356" s="3" t="inlineStr">
        <is>
          <t>오송3산단  사무소</t>
        </is>
      </c>
      <c r="P1356" s="4" t="n">
        <v>1</v>
      </c>
      <c r="Q1356" s="4" t="n">
        <v>1769</v>
      </c>
      <c r="R1356" s="3" t="inlineStr">
        <is>
          <t>지정되지않음</t>
        </is>
      </c>
      <c r="S1356" s="3" t="inlineStr">
        <is>
          <t>답</t>
        </is>
      </c>
      <c r="T1356" s="3" t="inlineStr">
        <is>
          <t>평지</t>
        </is>
      </c>
      <c r="U1356" s="3" t="inlineStr">
        <is>
          <t>사다리형</t>
        </is>
      </c>
      <c r="V1356" s="3" t="inlineStr">
        <is>
          <t>세로한면(불)</t>
        </is>
      </c>
    </row>
    <row r="1357">
      <c r="A1357" s="3" t="inlineStr">
        <is>
          <t>오송읍 동평리 95-1</t>
        </is>
      </c>
      <c r="B1357" s="3" t="inlineStr">
        <is>
          <t>계획관리지역</t>
        </is>
      </c>
      <c r="C1357" s="3" t="inlineStr">
        <is>
          <t>대</t>
        </is>
      </c>
      <c r="D1357" s="3" t="inlineStr">
        <is>
          <t>대</t>
        </is>
      </c>
      <c r="E1357" s="3" t="inlineStr">
        <is>
          <t>매매</t>
        </is>
      </c>
      <c r="F1357" s="4" t="n">
        <v>40000</v>
      </c>
      <c r="G1357" s="4" t="n">
        <v>196</v>
      </c>
      <c r="H1357" s="4" t="n">
        <v>59</v>
      </c>
      <c r="I1357" s="5" t="n">
        <v>678</v>
      </c>
      <c r="J1357" s="5" t="n">
        <v>109.4</v>
      </c>
      <c r="K1357" s="3" t="inlineStr">
        <is>
          <t>청주시 흥덕구 오송읍 동평리에 위치한 토지및 근린생활시설임.</t>
        </is>
      </c>
      <c r="L1357" s="6">
        <f>HYPERLINK("https://fin.land.naver.com/articles/2652419826", "매물Link")</f>
        <v/>
      </c>
      <c r="M1357" s="6">
        <f>HYPERLINK("https://map.naver.com/p/search/오송읍 동평리 95-1", "지도Link")</f>
        <v/>
      </c>
      <c r="N1357" s="6">
        <f>HYPERLINK("http://www.eum.go.kr/web/ar/lu/luLandDet.jsp?pnu=4311325029100950001&amp;isNoScr=script&amp;mode=search", "토지이음")</f>
        <v/>
      </c>
      <c r="O1357" s="3" t="inlineStr">
        <is>
          <t>산성</t>
        </is>
      </c>
      <c r="P1357" s="4" t="n">
        <v>1</v>
      </c>
      <c r="Q1357" s="4" t="n">
        <v>184</v>
      </c>
      <c r="R1357" s="3" t="inlineStr">
        <is>
          <t>지정되지않음</t>
        </is>
      </c>
      <c r="S1357" s="3" t="inlineStr">
        <is>
          <t>주거기타</t>
        </is>
      </c>
      <c r="T1357" s="3" t="inlineStr">
        <is>
          <t>평지</t>
        </is>
      </c>
      <c r="U1357" s="3" t="inlineStr">
        <is>
          <t>사다리형</t>
        </is>
      </c>
      <c r="V1357" s="3" t="inlineStr">
        <is>
          <t>세로각지(가)</t>
        </is>
      </c>
    </row>
    <row r="1358">
      <c r="A1358" s="3" t="inlineStr">
        <is>
          <t>오송읍 만수리 939</t>
        </is>
      </c>
      <c r="B1358" s="3" t="inlineStr">
        <is>
          <t>제1종일반주거지역</t>
        </is>
      </c>
      <c r="C1358" s="3" t="inlineStr">
        <is>
          <t>대</t>
        </is>
      </c>
      <c r="D1358" s="3" t="inlineStr">
        <is>
          <t>대</t>
        </is>
      </c>
      <c r="E1358" s="3" t="inlineStr">
        <is>
          <t>매매</t>
        </is>
      </c>
      <c r="F1358" s="4" t="n">
        <v>45000</v>
      </c>
      <c r="G1358" s="4" t="n">
        <v>269</v>
      </c>
      <c r="H1358" s="4" t="n">
        <v>81</v>
      </c>
      <c r="I1358" s="5" t="n">
        <v>555.6</v>
      </c>
      <c r="J1358" s="5" t="n">
        <v>209.3</v>
      </c>
      <c r="K1358" s="3" t="inlineStr">
        <is>
          <t>대도로변 이면도로 위치 좋은 토지입니다</t>
        </is>
      </c>
      <c r="L1358" s="6">
        <f>HYPERLINK("https://fin.land.naver.com/articles/2650305364", "매물Link")</f>
        <v/>
      </c>
      <c r="M1358" s="6">
        <f>HYPERLINK("https://map.naver.com/p/search/오송읍 만수리 939", "지도Link")</f>
        <v/>
      </c>
      <c r="N1358" s="6">
        <f>HYPERLINK("http://www.eum.go.kr/web/ar/lu/luLandDet.jsp?pnu=4311325025109390000&amp;isNoScr=script&amp;mode=search", "토지이음")</f>
        <v/>
      </c>
      <c r="O1358" s="3" t="inlineStr">
        <is>
          <t>스케치</t>
        </is>
      </c>
      <c r="P1358" s="4" t="n">
        <v>1</v>
      </c>
      <c r="Q1358" s="4" t="n">
        <v>268.2</v>
      </c>
      <c r="R1358" s="3" t="inlineStr">
        <is>
          <t>자연녹지지역</t>
        </is>
      </c>
      <c r="S1358" s="3" t="inlineStr">
        <is>
          <t>주상나지</t>
        </is>
      </c>
      <c r="T1358" s="3" t="inlineStr">
        <is>
          <t>평지</t>
        </is>
      </c>
      <c r="U1358" s="3" t="inlineStr">
        <is>
          <t>세로장방</t>
        </is>
      </c>
      <c r="V1358" s="3" t="inlineStr">
        <is>
          <t>소로한면</t>
        </is>
      </c>
    </row>
    <row r="1359">
      <c r="A1359" s="3" t="inlineStr">
        <is>
          <t>오송읍 봉산리 1124</t>
        </is>
      </c>
      <c r="B1359" s="3" t="inlineStr">
        <is>
          <t>제1종일반주거지역</t>
        </is>
      </c>
      <c r="C1359" s="3" t="inlineStr">
        <is>
          <t>대</t>
        </is>
      </c>
      <c r="D1359" s="3" t="inlineStr">
        <is>
          <t>대</t>
        </is>
      </c>
      <c r="E1359" s="3" t="inlineStr">
        <is>
          <t>매매</t>
        </is>
      </c>
      <c r="F1359" s="4" t="n">
        <v>45000</v>
      </c>
      <c r="G1359" s="4" t="n">
        <v>240</v>
      </c>
      <c r="H1359" s="4" t="n">
        <v>73</v>
      </c>
      <c r="I1359" s="5" t="n">
        <v>616.4</v>
      </c>
      <c r="J1359" s="5" t="n">
        <v>208.1</v>
      </c>
      <c r="K1359" s="3" t="inlineStr">
        <is>
          <t>가격조율 최대한 해볼게요 위치좋은 먹자골목 상권 토지</t>
        </is>
      </c>
      <c r="L1359" s="6">
        <f>HYPERLINK("https://fin.land.naver.com/articles/2652318391", "매물Link")</f>
        <v/>
      </c>
      <c r="M1359" s="6">
        <f>HYPERLINK("https://map.naver.com/p/search/오송읍 봉산리 1124", "지도Link")</f>
        <v/>
      </c>
      <c r="N1359" s="6">
        <f>HYPERLINK("http://www.eum.go.kr/web/ar/lu/luLandDet.jsp?pnu=4311325031111240000&amp;isNoScr=script&amp;mode=search", "토지이음")</f>
        <v/>
      </c>
      <c r="O1359" s="3" t="inlineStr">
        <is>
          <t>복덩이</t>
        </is>
      </c>
      <c r="P1359" s="4" t="n">
        <v>1</v>
      </c>
      <c r="Q1359" s="4" t="n">
        <v>240.6</v>
      </c>
      <c r="R1359" s="3" t="inlineStr">
        <is>
          <t>지정되지않음</t>
        </is>
      </c>
      <c r="S1359" s="3" t="inlineStr">
        <is>
          <t>주거기타</t>
        </is>
      </c>
      <c r="T1359" s="3" t="inlineStr">
        <is>
          <t>평지</t>
        </is>
      </c>
      <c r="U1359" s="3" t="inlineStr">
        <is>
          <t>세로장방</t>
        </is>
      </c>
      <c r="V1359" s="3" t="inlineStr">
        <is>
          <t>소로한면</t>
        </is>
      </c>
    </row>
    <row r="1360">
      <c r="A1360" s="3" t="inlineStr">
        <is>
          <t>오송읍 봉산리 1179</t>
        </is>
      </c>
      <c r="B1360" s="3" t="inlineStr">
        <is>
          <t>제1종일반주거지역</t>
        </is>
      </c>
      <c r="C1360" s="3" t="inlineStr">
        <is>
          <t>대</t>
        </is>
      </c>
      <c r="D1360" s="3" t="inlineStr">
        <is>
          <t>대</t>
        </is>
      </c>
      <c r="E1360" s="3" t="inlineStr">
        <is>
          <t>매매</t>
        </is>
      </c>
      <c r="F1360" s="4" t="n">
        <v>58000</v>
      </c>
      <c r="G1360" s="4" t="n">
        <v>270</v>
      </c>
      <c r="H1360" s="4" t="n">
        <v>82</v>
      </c>
      <c r="I1360" s="5" t="n">
        <v>707.3</v>
      </c>
      <c r="J1360" s="5" t="n">
        <v>206.3</v>
      </c>
      <c r="K1360" s="3" t="inlineStr">
        <is>
          <t>오송2단지 허가득 남향 상가건물 지을 수 있는 토지</t>
        </is>
      </c>
      <c r="L1360" s="6">
        <f>HYPERLINK("https://fin.land.naver.com/articles/2650461950", "매물Link")</f>
        <v/>
      </c>
      <c r="M1360" s="6">
        <f>HYPERLINK("https://map.naver.com/p/search/오송읍 봉산리 1179", "지도Link")</f>
        <v/>
      </c>
      <c r="N1360" s="6">
        <f>HYPERLINK("http://www.eum.go.kr/web/ar/lu/luLandDet.jsp?pnu=4311325031111790000&amp;isNoScr=script&amp;mode=search", "토지이음")</f>
        <v/>
      </c>
      <c r="O1360" s="3" t="inlineStr">
        <is>
          <t>세종오송</t>
        </is>
      </c>
      <c r="P1360" s="4" t="n">
        <v>1</v>
      </c>
      <c r="Q1360" s="4" t="n">
        <v>269.9</v>
      </c>
      <c r="R1360" s="3" t="inlineStr">
        <is>
          <t>지정되지않음</t>
        </is>
      </c>
      <c r="S1360" s="3" t="inlineStr">
        <is>
          <t>주거기타</t>
        </is>
      </c>
      <c r="T1360" s="3" t="inlineStr">
        <is>
          <t>평지</t>
        </is>
      </c>
      <c r="U1360" s="3" t="inlineStr">
        <is>
          <t>세로장방</t>
        </is>
      </c>
      <c r="V1360" s="3" t="inlineStr">
        <is>
          <t>소로한면</t>
        </is>
      </c>
    </row>
    <row r="1361">
      <c r="A1361" s="3" t="inlineStr">
        <is>
          <t>오송읍 봉산리 1208</t>
        </is>
      </c>
      <c r="B1361" s="3" t="inlineStr">
        <is>
          <t>제1종일반주거지역</t>
        </is>
      </c>
      <c r="C1361" s="3" t="inlineStr">
        <is>
          <t>대</t>
        </is>
      </c>
      <c r="D1361" s="3" t="inlineStr">
        <is>
          <t>대</t>
        </is>
      </c>
      <c r="E1361" s="3" t="inlineStr">
        <is>
          <t>매매</t>
        </is>
      </c>
      <c r="F1361" s="4" t="n">
        <v>50000</v>
      </c>
      <c r="G1361" s="4" t="n">
        <v>264</v>
      </c>
      <c r="H1361" s="4" t="n">
        <v>80</v>
      </c>
      <c r="I1361" s="5" t="n">
        <v>625</v>
      </c>
      <c r="J1361" s="5" t="n">
        <v>206.3</v>
      </c>
      <c r="K1361" s="3" t="inlineStr">
        <is>
          <t>nan</t>
        </is>
      </c>
      <c r="L1361" s="6">
        <f>HYPERLINK("https://fin.land.naver.com/articles/2650507610", "매물Link")</f>
        <v/>
      </c>
      <c r="M1361" s="6">
        <f>HYPERLINK("https://map.naver.com/p/search/오송읍 봉산리 1208", "지도Link")</f>
        <v/>
      </c>
      <c r="N1361" s="6">
        <f>HYPERLINK("http://www.eum.go.kr/web/ar/lu/luLandDet.jsp?pnu=4311325031112080000&amp;isNoScr=script&amp;mode=search", "토지이음")</f>
        <v/>
      </c>
      <c r="O1361" s="3" t="inlineStr">
        <is>
          <t>아임</t>
        </is>
      </c>
      <c r="P1361" s="4" t="n">
        <v>1</v>
      </c>
      <c r="Q1361" s="4" t="n">
        <v>264.6</v>
      </c>
      <c r="R1361" s="3" t="inlineStr">
        <is>
          <t>지정되지않음</t>
        </is>
      </c>
      <c r="S1361" s="3" t="inlineStr">
        <is>
          <t>주거기타</t>
        </is>
      </c>
      <c r="T1361" s="3" t="inlineStr">
        <is>
          <t>평지</t>
        </is>
      </c>
      <c r="U1361" s="3" t="inlineStr">
        <is>
          <t>세로장방</t>
        </is>
      </c>
      <c r="V1361" s="3" t="inlineStr">
        <is>
          <t>소로한면</t>
        </is>
      </c>
    </row>
    <row r="1362">
      <c r="A1362" s="3" t="inlineStr">
        <is>
          <t>오송읍 봉산리 1209</t>
        </is>
      </c>
      <c r="B1362" s="3" t="inlineStr">
        <is>
          <t>제1종일반주거지역</t>
        </is>
      </c>
      <c r="C1362" s="3" t="inlineStr">
        <is>
          <t>대</t>
        </is>
      </c>
      <c r="D1362" s="3" t="inlineStr">
        <is>
          <t>대</t>
        </is>
      </c>
      <c r="E1362" s="3" t="inlineStr">
        <is>
          <t>매매</t>
        </is>
      </c>
      <c r="F1362" s="4" t="n">
        <v>60000</v>
      </c>
      <c r="G1362" s="4" t="n">
        <v>264</v>
      </c>
      <c r="H1362" s="4" t="n">
        <v>80</v>
      </c>
      <c r="I1362" s="5" t="n">
        <v>750</v>
      </c>
      <c r="J1362" s="5" t="n">
        <v>206.3</v>
      </c>
      <c r="K1362" s="3" t="inlineStr">
        <is>
          <t>오송 2산업단지 준주거지역과 접해있고 상업지역과도 50m정도 떨어져 있음</t>
        </is>
      </c>
      <c r="L1362" s="6">
        <f>HYPERLINK("https://fin.land.naver.com/articles/2650022122", "매물Link")</f>
        <v/>
      </c>
      <c r="M1362" s="6">
        <f>HYPERLINK("https://map.naver.com/p/search/오송읍 봉산리 1209", "지도Link")</f>
        <v/>
      </c>
      <c r="N1362" s="6">
        <f>HYPERLINK("http://www.eum.go.kr/web/ar/lu/luLandDet.jsp?pnu=4311325031112090000&amp;isNoScr=script&amp;mode=search", "토지이음")</f>
        <v/>
      </c>
      <c r="O1362" s="3" t="inlineStr">
        <is>
          <t>스마일세종</t>
        </is>
      </c>
      <c r="P1362" s="4" t="n">
        <v>1</v>
      </c>
      <c r="Q1362" s="4" t="n">
        <v>264.8</v>
      </c>
      <c r="R1362" s="3" t="inlineStr">
        <is>
          <t>지정되지않음</t>
        </is>
      </c>
      <c r="S1362" s="3" t="inlineStr">
        <is>
          <t>주거기타</t>
        </is>
      </c>
      <c r="T1362" s="3" t="inlineStr">
        <is>
          <t>평지</t>
        </is>
      </c>
      <c r="U1362" s="3" t="inlineStr">
        <is>
          <t>세로장방</t>
        </is>
      </c>
      <c r="V1362" s="3" t="inlineStr">
        <is>
          <t>소로한면</t>
        </is>
      </c>
    </row>
    <row r="1363">
      <c r="A1363" s="3" t="inlineStr">
        <is>
          <t>오송읍 봉산리 1221</t>
        </is>
      </c>
      <c r="B1363" s="3" t="inlineStr">
        <is>
          <t>준주거지역</t>
        </is>
      </c>
      <c r="C1363" s="3" t="inlineStr">
        <is>
          <t>대</t>
        </is>
      </c>
      <c r="D1363" s="3" t="inlineStr">
        <is>
          <t>대</t>
        </is>
      </c>
      <c r="E1363" s="3" t="inlineStr">
        <is>
          <t>매매</t>
        </is>
      </c>
      <c r="F1363" s="4" t="n">
        <v>124630</v>
      </c>
      <c r="G1363" s="4" t="n">
        <v>412</v>
      </c>
      <c r="H1363" s="4" t="n">
        <v>125</v>
      </c>
      <c r="I1363" s="5" t="n">
        <v>997</v>
      </c>
      <c r="J1363" s="5" t="n">
        <v>624.1</v>
      </c>
      <c r="K1363" s="3" t="inlineStr">
        <is>
          <t>오송역세권 오피스 조성지역 근생토지</t>
        </is>
      </c>
      <c r="L1363" s="6">
        <f>HYPERLINK("https://fin.land.naver.com/articles/2653257226", "매물Link")</f>
        <v/>
      </c>
      <c r="M1363" s="6">
        <f>HYPERLINK("https://map.naver.com/p/search/오송읍 봉산리 1221", "지도Link")</f>
        <v/>
      </c>
      <c r="N1363" s="6">
        <f>HYPERLINK("http://www.eum.go.kr/web/ar/lu/luLandDet.jsp?pnu=4311325031112210000&amp;isNoScr=script&amp;mode=search", "토지이음")</f>
        <v/>
      </c>
      <c r="O1363" s="3" t="inlineStr">
        <is>
          <t>프로</t>
        </is>
      </c>
      <c r="P1363" s="4" t="n">
        <v>2</v>
      </c>
      <c r="Q1363" s="4" t="n">
        <v>412</v>
      </c>
      <c r="R1363" s="3" t="inlineStr">
        <is>
          <t>지정되지않음</t>
        </is>
      </c>
      <c r="S1363" s="3" t="inlineStr">
        <is>
          <t>상업기타</t>
        </is>
      </c>
      <c r="T1363" s="3" t="inlineStr">
        <is>
          <t>평지</t>
        </is>
      </c>
      <c r="U1363" s="3" t="inlineStr">
        <is>
          <t>가로장방</t>
        </is>
      </c>
      <c r="V1363" s="3" t="inlineStr">
        <is>
          <t>중로각지</t>
        </is>
      </c>
    </row>
    <row r="1364">
      <c r="A1364" s="3" t="inlineStr">
        <is>
          <t>오송읍 봉산리 1276</t>
        </is>
      </c>
      <c r="B1364" s="3" t="inlineStr">
        <is>
          <t>제1종일반주거지역</t>
        </is>
      </c>
      <c r="C1364" s="3" t="inlineStr">
        <is>
          <t>주차장</t>
        </is>
      </c>
      <c r="D1364" s="3" t="inlineStr">
        <is>
          <t>주차장</t>
        </is>
      </c>
      <c r="E1364" s="3" t="inlineStr">
        <is>
          <t>매매</t>
        </is>
      </c>
      <c r="F1364" s="4" t="n">
        <v>165000</v>
      </c>
      <c r="G1364" s="4" t="n">
        <v>1091</v>
      </c>
      <c r="H1364" s="4" t="n">
        <v>330</v>
      </c>
      <c r="I1364" s="5" t="n">
        <v>500</v>
      </c>
      <c r="J1364" s="5" t="n">
        <v>220.4</v>
      </c>
      <c r="K1364" s="3" t="inlineStr">
        <is>
          <t>주차타워와 1층 근생상가 가능한 매력적인 주차장용지</t>
        </is>
      </c>
      <c r="L1364" s="6">
        <f>HYPERLINK("https://fin.land.naver.com/articles/2650859464", "매물Link")</f>
        <v/>
      </c>
      <c r="M1364" s="6">
        <f>HYPERLINK("https://map.naver.com/p/search/오송읍 봉산리 1276", "지도Link")</f>
        <v/>
      </c>
      <c r="N1364" s="6">
        <f>HYPERLINK("http://www.eum.go.kr/web/ar/lu/luLandDet.jsp?pnu=4311325031112760000&amp;isNoScr=script&amp;mode=search", "토지이음")</f>
        <v/>
      </c>
      <c r="O1364" s="3" t="inlineStr">
        <is>
          <t>프로</t>
        </is>
      </c>
      <c r="P1364" s="4" t="n">
        <v>2</v>
      </c>
      <c r="Q1364" s="4" t="n">
        <v>1091.4</v>
      </c>
      <c r="R1364" s="3" t="inlineStr">
        <is>
          <t>지정되지않음</t>
        </is>
      </c>
      <c r="S1364" s="3" t="inlineStr">
        <is>
          <t>주차장등</t>
        </is>
      </c>
      <c r="T1364" s="3" t="inlineStr">
        <is>
          <t>평지</t>
        </is>
      </c>
      <c r="U1364" s="3" t="inlineStr">
        <is>
          <t>가로장방</t>
        </is>
      </c>
      <c r="V1364" s="3" t="inlineStr">
        <is>
          <t>중로각지</t>
        </is>
      </c>
    </row>
    <row r="1365">
      <c r="A1365" s="3" t="inlineStr">
        <is>
          <t>오송읍 봉산리 1293</t>
        </is>
      </c>
      <c r="B1365" s="3" t="inlineStr">
        <is>
          <t>준주거지역</t>
        </is>
      </c>
      <c r="C1365" s="3" t="inlineStr">
        <is>
          <t>대</t>
        </is>
      </c>
      <c r="D1365" s="3" t="inlineStr">
        <is>
          <t>대</t>
        </is>
      </c>
      <c r="E1365" s="3" t="inlineStr">
        <is>
          <t>매매</t>
        </is>
      </c>
      <c r="F1365" s="4" t="n">
        <v>169000</v>
      </c>
      <c r="G1365" s="4" t="n">
        <v>414</v>
      </c>
      <c r="H1365" s="4" t="n">
        <v>125</v>
      </c>
      <c r="I1365" s="5" t="n">
        <v>1352</v>
      </c>
      <c r="J1365" s="5" t="n">
        <v>624.1</v>
      </c>
      <c r="K1365" s="3" t="inlineStr">
        <is>
          <t>오송2산단으로 배후세력 2만여세대의 준주거지역 근생토지,대로변에 위치</t>
        </is>
      </c>
      <c r="L1365" s="6">
        <f>HYPERLINK("https://fin.land.naver.com/articles/2653578931", "매물Link")</f>
        <v/>
      </c>
      <c r="M1365" s="6">
        <f>HYPERLINK("https://map.naver.com/p/search/오송읍 봉산리 1293", "지도Link")</f>
        <v/>
      </c>
      <c r="N1365" s="6">
        <f>HYPERLINK("http://www.eum.go.kr/web/ar/lu/luLandDet.jsp?pnu=4311325031112930000&amp;isNoScr=script&amp;mode=search", "토지이음")</f>
        <v/>
      </c>
      <c r="O1365" s="3" t="inlineStr">
        <is>
          <t>(주)미르</t>
        </is>
      </c>
      <c r="P1365" s="4" t="n">
        <v>2</v>
      </c>
      <c r="Q1365" s="4" t="n">
        <v>413.5</v>
      </c>
      <c r="R1365" s="3" t="inlineStr">
        <is>
          <t>지정되지않음</t>
        </is>
      </c>
      <c r="S1365" s="3" t="inlineStr">
        <is>
          <t>상업기타</t>
        </is>
      </c>
      <c r="T1365" s="3" t="inlineStr">
        <is>
          <t>평지</t>
        </is>
      </c>
      <c r="U1365" s="3" t="inlineStr">
        <is>
          <t>가로장방</t>
        </is>
      </c>
      <c r="V1365" s="3" t="inlineStr">
        <is>
          <t>중로각지</t>
        </is>
      </c>
    </row>
    <row r="1366">
      <c r="A1366" s="3" t="inlineStr">
        <is>
          <t>오송읍 봉산리 1296</t>
        </is>
      </c>
      <c r="B1366" s="3" t="inlineStr">
        <is>
          <t>준주거지역</t>
        </is>
      </c>
      <c r="C1366" s="3" t="inlineStr">
        <is>
          <t>대</t>
        </is>
      </c>
      <c r="D1366" s="3" t="inlineStr">
        <is>
          <t>대</t>
        </is>
      </c>
      <c r="E1366" s="3" t="inlineStr">
        <is>
          <t>매매</t>
        </is>
      </c>
      <c r="F1366" s="4" t="n">
        <v>162000</v>
      </c>
      <c r="G1366" s="4" t="n">
        <v>411</v>
      </c>
      <c r="H1366" s="4" t="n">
        <v>124</v>
      </c>
      <c r="I1366" s="5" t="n">
        <v>1306.5</v>
      </c>
      <c r="J1366" s="5" t="n">
        <v>624.1</v>
      </c>
      <c r="K1366" s="3" t="inlineStr">
        <is>
          <t>오송역 인근 근생용지 매매, 평당 약 1300만원</t>
        </is>
      </c>
      <c r="L1366" s="6">
        <f>HYPERLINK("https://fin.land.naver.com/articles/2649842662", "매물Link")</f>
        <v/>
      </c>
      <c r="M1366" s="6">
        <f>HYPERLINK("https://map.naver.com/p/search/오송읍 봉산리 1296", "지도Link")</f>
        <v/>
      </c>
      <c r="N1366" s="6">
        <f>HYPERLINK("http://www.eum.go.kr/web/ar/lu/luLandDet.jsp?pnu=4311325031112960000&amp;isNoScr=script&amp;mode=search", "토지이음")</f>
        <v/>
      </c>
      <c r="O1366" s="3" t="inlineStr">
        <is>
          <t>광장</t>
        </is>
      </c>
      <c r="P1366" s="4" t="n">
        <v>1</v>
      </c>
      <c r="Q1366" s="4" t="n">
        <v>411.7</v>
      </c>
      <c r="R1366" s="3" t="inlineStr">
        <is>
          <t>지정되지않음</t>
        </is>
      </c>
      <c r="S1366" s="3" t="inlineStr">
        <is>
          <t>상업기타</t>
        </is>
      </c>
      <c r="T1366" s="3" t="inlineStr">
        <is>
          <t>평지</t>
        </is>
      </c>
      <c r="U1366" s="3" t="inlineStr">
        <is>
          <t>가로장방</t>
        </is>
      </c>
      <c r="V1366" s="3" t="inlineStr">
        <is>
          <t>중로각지</t>
        </is>
      </c>
    </row>
    <row r="1367">
      <c r="A1367" s="3" t="inlineStr">
        <is>
          <t>오송읍 봉산리 1297</t>
        </is>
      </c>
      <c r="B1367" s="3" t="inlineStr">
        <is>
          <t>준주거지역</t>
        </is>
      </c>
      <c r="C1367" s="3" t="inlineStr">
        <is>
          <t>대</t>
        </is>
      </c>
      <c r="D1367" s="3" t="inlineStr">
        <is>
          <t>대</t>
        </is>
      </c>
      <c r="E1367" s="3" t="inlineStr">
        <is>
          <t>매매</t>
        </is>
      </c>
      <c r="F1367" s="4" t="n">
        <v>190000</v>
      </c>
      <c r="G1367" s="4" t="n">
        <v>421</v>
      </c>
      <c r="H1367" s="4" t="n">
        <v>127</v>
      </c>
      <c r="I1367" s="5" t="n">
        <v>1496.1</v>
      </c>
      <c r="J1367" s="5" t="n">
        <v>624.1</v>
      </c>
      <c r="K1367" s="3" t="inlineStr">
        <is>
          <t>코너 근생용지 매매, 평당 약 1500만원</t>
        </is>
      </c>
      <c r="L1367" s="6">
        <f>HYPERLINK("https://fin.land.naver.com/articles/2649842980", "매물Link")</f>
        <v/>
      </c>
      <c r="M1367" s="6">
        <f>HYPERLINK("https://map.naver.com/p/search/오송읍 봉산리 1297", "지도Link")</f>
        <v/>
      </c>
      <c r="N1367" s="6">
        <f>HYPERLINK("http://www.eum.go.kr/web/ar/lu/luLandDet.jsp?pnu=4311325031112970000&amp;isNoScr=script&amp;mode=search", "토지이음")</f>
        <v/>
      </c>
      <c r="O1367" s="3" t="inlineStr">
        <is>
          <t>광장</t>
        </is>
      </c>
      <c r="P1367" s="4" t="n">
        <v>1</v>
      </c>
      <c r="Q1367" s="4" t="n">
        <v>421.4</v>
      </c>
      <c r="R1367" s="3" t="inlineStr">
        <is>
          <t>지정되지않음</t>
        </is>
      </c>
      <c r="S1367" s="3" t="inlineStr">
        <is>
          <t>상업기타</t>
        </is>
      </c>
      <c r="T1367" s="3" t="inlineStr">
        <is>
          <t>평지</t>
        </is>
      </c>
      <c r="U1367" s="3" t="inlineStr">
        <is>
          <t>가로장방</t>
        </is>
      </c>
      <c r="V1367" s="3" t="inlineStr">
        <is>
          <t>중로각지</t>
        </is>
      </c>
    </row>
    <row r="1368">
      <c r="A1368" s="3" t="inlineStr">
        <is>
          <t>오송읍 봉산리 1298</t>
        </is>
      </c>
      <c r="B1368" s="3" t="inlineStr">
        <is>
          <t>일반상업지역</t>
        </is>
      </c>
      <c r="C1368" s="3" t="inlineStr">
        <is>
          <t>대</t>
        </is>
      </c>
      <c r="D1368" s="3" t="inlineStr">
        <is>
          <t>대</t>
        </is>
      </c>
      <c r="E1368" s="3" t="inlineStr">
        <is>
          <t>매매</t>
        </is>
      </c>
      <c r="F1368" s="4" t="n">
        <v>420000</v>
      </c>
      <c r="G1368" s="4" t="n">
        <v>1164</v>
      </c>
      <c r="H1368" s="4" t="n">
        <v>352</v>
      </c>
      <c r="I1368" s="5" t="n">
        <v>1193.2</v>
      </c>
      <c r="J1368" s="5" t="n">
        <v>585.5</v>
      </c>
      <c r="K1368" s="3" t="inlineStr">
        <is>
          <t>삼면 코너각지 소송2산단 오송역주변 상권 010 3022 3841</t>
        </is>
      </c>
      <c r="L1368" s="6">
        <f>HYPERLINK("https://fin.land.naver.com/articles/2651087997", "매물Link")</f>
        <v/>
      </c>
      <c r="M1368" s="6">
        <f>HYPERLINK("https://map.naver.com/p/search/오송읍 봉산리 1298", "지도Link")</f>
        <v/>
      </c>
      <c r="N1368" s="6">
        <f>HYPERLINK("http://www.eum.go.kr/web/ar/lu/luLandDet.jsp?pnu=4311325031112980000&amp;isNoScr=script&amp;mode=search", "토지이음")</f>
        <v/>
      </c>
      <c r="O1368" s="3" t="inlineStr">
        <is>
          <t>세종스타</t>
        </is>
      </c>
      <c r="P1368" s="4" t="n">
        <v>3</v>
      </c>
      <c r="Q1368" s="4" t="n">
        <v>1164.1</v>
      </c>
      <c r="R1368" s="3" t="inlineStr">
        <is>
          <t>지정되지않음</t>
        </is>
      </c>
      <c r="S1368" s="3" t="inlineStr">
        <is>
          <t>상업기타</t>
        </is>
      </c>
      <c r="T1368" s="3" t="inlineStr">
        <is>
          <t>평지</t>
        </is>
      </c>
      <c r="U1368" s="3" t="inlineStr">
        <is>
          <t>가로장방</t>
        </is>
      </c>
      <c r="V1368" s="3" t="inlineStr">
        <is>
          <t>중로각지</t>
        </is>
      </c>
    </row>
    <row r="1369">
      <c r="A1369" s="3" t="inlineStr">
        <is>
          <t>오송읍 봉산리 1299</t>
        </is>
      </c>
      <c r="B1369" s="3" t="inlineStr">
        <is>
          <t>일반상업지역</t>
        </is>
      </c>
      <c r="C1369" s="3" t="inlineStr">
        <is>
          <t>대</t>
        </is>
      </c>
      <c r="D1369" s="3" t="inlineStr">
        <is>
          <t>대</t>
        </is>
      </c>
      <c r="E1369" s="3" t="inlineStr">
        <is>
          <t>매매</t>
        </is>
      </c>
      <c r="F1369" s="4" t="n">
        <v>390000</v>
      </c>
      <c r="G1369" s="4" t="n">
        <v>1195</v>
      </c>
      <c r="H1369" s="4" t="n">
        <v>361</v>
      </c>
      <c r="I1369" s="5" t="n">
        <v>1080.3</v>
      </c>
      <c r="J1369" s="5" t="n">
        <v>579.5</v>
      </c>
      <c r="K1369" s="3" t="inlineStr">
        <is>
          <t>근생, 사옥부지 등으로 좋은 오송역세권 상업용지</t>
        </is>
      </c>
      <c r="L1369" s="6">
        <f>HYPERLINK("https://fin.land.naver.com/articles/2653257906", "매물Link")</f>
        <v/>
      </c>
      <c r="M1369" s="6">
        <f>HYPERLINK("https://map.naver.com/p/search/오송읍 봉산리 1299", "지도Link")</f>
        <v/>
      </c>
      <c r="N1369" s="6">
        <f>HYPERLINK("http://www.eum.go.kr/web/ar/lu/luLandDet.jsp?pnu=4311325031112990000&amp;isNoScr=script&amp;mode=search", "토지이음")</f>
        <v/>
      </c>
      <c r="O1369" s="3" t="inlineStr">
        <is>
          <t>프로</t>
        </is>
      </c>
      <c r="P1369" s="4" t="n">
        <v>1</v>
      </c>
      <c r="Q1369" s="4" t="n">
        <v>1195.9</v>
      </c>
      <c r="R1369" s="3" t="inlineStr">
        <is>
          <t>지정되지않음</t>
        </is>
      </c>
      <c r="S1369" s="3" t="inlineStr">
        <is>
          <t>상업기타</t>
        </is>
      </c>
      <c r="T1369" s="3" t="inlineStr">
        <is>
          <t>평지</t>
        </is>
      </c>
      <c r="U1369" s="3" t="inlineStr">
        <is>
          <t>가로장방</t>
        </is>
      </c>
      <c r="V1369" s="3" t="inlineStr">
        <is>
          <t>중로각지</t>
        </is>
      </c>
    </row>
    <row r="1370">
      <c r="A1370" s="3" t="inlineStr">
        <is>
          <t>오송읍 봉산리 1321</t>
        </is>
      </c>
      <c r="B1370" s="3" t="inlineStr">
        <is>
          <t>일반상업지역</t>
        </is>
      </c>
      <c r="C1370" s="3" t="inlineStr">
        <is>
          <t>대</t>
        </is>
      </c>
      <c r="D1370" s="3" t="inlineStr">
        <is>
          <t>대</t>
        </is>
      </c>
      <c r="E1370" s="3" t="inlineStr">
        <is>
          <t>매매</t>
        </is>
      </c>
      <c r="F1370" s="4" t="n">
        <v>466000</v>
      </c>
      <c r="G1370" s="4" t="n">
        <v>1541</v>
      </c>
      <c r="H1370" s="4" t="n">
        <v>466</v>
      </c>
      <c r="I1370" s="5" t="n">
        <v>1000</v>
      </c>
      <c r="J1370" s="5" t="n">
        <v>550.1</v>
      </c>
      <c r="K1370" s="3" t="inlineStr">
        <is>
          <t>오송역 3분 기업 사옥부지 추천 주변 다수 공공기관 포진</t>
        </is>
      </c>
      <c r="L1370" s="6">
        <f>HYPERLINK("https://fin.land.naver.com/articles/2653335494", "매물Link")</f>
        <v/>
      </c>
      <c r="M1370" s="6">
        <f>HYPERLINK("https://map.naver.com/p/search/오송읍 봉산리 1321", "지도Link")</f>
        <v/>
      </c>
      <c r="N1370" s="6">
        <f>HYPERLINK("http://www.eum.go.kr/web/ar/lu/luLandDet.jsp?pnu=4311325031113210000&amp;isNoScr=script&amp;mode=search", "토지이음")</f>
        <v/>
      </c>
      <c r="O1370" s="3" t="inlineStr">
        <is>
          <t>새봄</t>
        </is>
      </c>
      <c r="P1370" s="4" t="n">
        <v>3</v>
      </c>
      <c r="Q1370" s="4" t="n">
        <v>1541.1</v>
      </c>
      <c r="R1370" s="3" t="inlineStr">
        <is>
          <t>지정되지않음</t>
        </is>
      </c>
      <c r="S1370" s="3" t="inlineStr">
        <is>
          <t>상업기타</t>
        </is>
      </c>
      <c r="T1370" s="3" t="inlineStr">
        <is>
          <t>평지</t>
        </is>
      </c>
      <c r="U1370" s="3" t="inlineStr">
        <is>
          <t>세로장방</t>
        </is>
      </c>
      <c r="V1370" s="3" t="inlineStr">
        <is>
          <t>중로한면</t>
        </is>
      </c>
    </row>
    <row r="1371">
      <c r="A1371" s="3" t="inlineStr">
        <is>
          <t>오송읍 봉산리 1324</t>
        </is>
      </c>
      <c r="B1371" s="3" t="inlineStr">
        <is>
          <t>일반상업지역</t>
        </is>
      </c>
      <c r="C1371" s="3" t="inlineStr">
        <is>
          <t>대</t>
        </is>
      </c>
      <c r="D1371" s="3" t="inlineStr">
        <is>
          <t>대</t>
        </is>
      </c>
      <c r="E1371" s="3" t="inlineStr">
        <is>
          <t>매매</t>
        </is>
      </c>
      <c r="F1371" s="4" t="n">
        <v>460000</v>
      </c>
      <c r="G1371" s="4" t="n">
        <v>1524</v>
      </c>
      <c r="H1371" s="4" t="n">
        <v>461</v>
      </c>
      <c r="I1371" s="5" t="n">
        <v>997.8</v>
      </c>
      <c r="J1371" s="5" t="n">
        <v>573.2</v>
      </c>
      <c r="K1371" s="3" t="inlineStr">
        <is>
          <t>nan</t>
        </is>
      </c>
      <c r="L1371" s="6">
        <f>HYPERLINK("https://fin.land.naver.com/articles/2652702316", "매물Link")</f>
        <v/>
      </c>
      <c r="M1371" s="6">
        <f>HYPERLINK("https://map.naver.com/p/search/오송읍 봉산리 1324", "지도Link")</f>
        <v/>
      </c>
      <c r="N1371" s="6">
        <f>HYPERLINK("http://www.eum.go.kr/web/ar/lu/luLandDet.jsp?pnu=4311325031113240000&amp;isNoScr=script&amp;mode=search", "토지이음")</f>
        <v/>
      </c>
      <c r="O1371" s="3" t="inlineStr">
        <is>
          <t>365</t>
        </is>
      </c>
      <c r="P1371" s="4" t="n">
        <v>1</v>
      </c>
      <c r="Q1371" s="4" t="n">
        <v>1524.9</v>
      </c>
      <c r="R1371" s="3" t="inlineStr">
        <is>
          <t>지정되지않음</t>
        </is>
      </c>
      <c r="S1371" s="3" t="inlineStr">
        <is>
          <t>상업기타</t>
        </is>
      </c>
      <c r="T1371" s="3" t="inlineStr">
        <is>
          <t>평지</t>
        </is>
      </c>
      <c r="U1371" s="3" t="inlineStr">
        <is>
          <t>정방형</t>
        </is>
      </c>
      <c r="V1371" s="3" t="inlineStr">
        <is>
          <t>중로각지</t>
        </is>
      </c>
    </row>
    <row r="1372">
      <c r="A1372" s="3" t="inlineStr">
        <is>
          <t>오송읍 봉산리 1367</t>
        </is>
      </c>
      <c r="B1372" s="3" t="inlineStr">
        <is>
          <t>제1종일반주거지역</t>
        </is>
      </c>
      <c r="C1372" s="3" t="inlineStr">
        <is>
          <t>대</t>
        </is>
      </c>
      <c r="D1372" s="3" t="inlineStr">
        <is>
          <t>대</t>
        </is>
      </c>
      <c r="E1372" s="3" t="inlineStr">
        <is>
          <t>매매</t>
        </is>
      </c>
      <c r="F1372" s="4" t="n">
        <v>41500</v>
      </c>
      <c r="G1372" s="4" t="n">
        <v>244</v>
      </c>
      <c r="H1372" s="4" t="n">
        <v>74</v>
      </c>
      <c r="I1372" s="5" t="n">
        <v>560.8</v>
      </c>
      <c r="J1372" s="5" t="n">
        <v>290</v>
      </c>
      <c r="K1372" s="3" t="inlineStr">
        <is>
          <t>급매 오송역 인근 일반주거지역 3거리 코너 각지 위치 좋은 대지입니다</t>
        </is>
      </c>
      <c r="L1372" s="6">
        <f>HYPERLINK("https://fin.land.naver.com/articles/2650741530", "매물Link")</f>
        <v/>
      </c>
      <c r="M1372" s="6">
        <f>HYPERLINK("https://map.naver.com/p/search/오송읍 봉산리 1367", "지도Link")</f>
        <v/>
      </c>
      <c r="N1372" s="6">
        <f>HYPERLINK("http://www.eum.go.kr/web/ar/lu/luLandDet.jsp?pnu=4311325031113670000&amp;isNoScr=script&amp;mode=search", "토지이음")</f>
        <v/>
      </c>
      <c r="O1372" s="3" t="inlineStr">
        <is>
          <t>스마일세종</t>
        </is>
      </c>
      <c r="P1372" s="4" t="n">
        <v>1</v>
      </c>
      <c r="Q1372" s="4" t="n">
        <v>244.4</v>
      </c>
      <c r="R1372" s="3" t="inlineStr">
        <is>
          <t>지정되지않음</t>
        </is>
      </c>
      <c r="S1372" s="3" t="inlineStr">
        <is>
          <t>주상기타</t>
        </is>
      </c>
      <c r="T1372" s="3" t="inlineStr">
        <is>
          <t>평지</t>
        </is>
      </c>
      <c r="U1372" s="3" t="inlineStr">
        <is>
          <t>세로장방</t>
        </is>
      </c>
      <c r="V1372" s="3" t="inlineStr">
        <is>
          <t>소로각지</t>
        </is>
      </c>
    </row>
    <row r="1373">
      <c r="A1373" s="3" t="inlineStr">
        <is>
          <t>오송읍 봉산리 1375</t>
        </is>
      </c>
      <c r="B1373" s="3" t="inlineStr">
        <is>
          <t>제1종일반주거지역</t>
        </is>
      </c>
      <c r="C1373" s="3" t="inlineStr">
        <is>
          <t>대</t>
        </is>
      </c>
      <c r="D1373" s="3" t="inlineStr">
        <is>
          <t>대</t>
        </is>
      </c>
      <c r="E1373" s="3" t="inlineStr">
        <is>
          <t>매매</t>
        </is>
      </c>
      <c r="F1373" s="4" t="n">
        <v>30000</v>
      </c>
      <c r="G1373" s="4" t="n">
        <v>239</v>
      </c>
      <c r="H1373" s="4" t="n">
        <v>72</v>
      </c>
      <c r="I1373" s="5" t="n">
        <v>416.7</v>
      </c>
      <c r="J1373" s="5" t="n">
        <v>207.9</v>
      </c>
      <c r="K1373" s="3" t="inlineStr">
        <is>
          <t>nan</t>
        </is>
      </c>
      <c r="L1373" s="6">
        <f>HYPERLINK("https://fin.land.naver.com/articles/2652150259", "매물Link")</f>
        <v/>
      </c>
      <c r="M1373" s="6">
        <f>HYPERLINK("https://map.naver.com/p/search/오송읍 봉산리 1375", "지도Link")</f>
        <v/>
      </c>
      <c r="N1373" s="6">
        <f>HYPERLINK("http://www.eum.go.kr/web/ar/lu/luLandDet.jsp?pnu=4311325031113750000&amp;isNoScr=script&amp;mode=search", "토지이음")</f>
        <v/>
      </c>
      <c r="O1373" s="3" t="inlineStr">
        <is>
          <t>뉴스</t>
        </is>
      </c>
      <c r="P1373" s="4" t="n">
        <v>3</v>
      </c>
      <c r="Q1373" s="4" t="n">
        <v>239.5</v>
      </c>
      <c r="R1373" s="3" t="inlineStr">
        <is>
          <t>지정되지않음</t>
        </is>
      </c>
      <c r="S1373" s="3" t="inlineStr">
        <is>
          <t>주거기타</t>
        </is>
      </c>
      <c r="T1373" s="3" t="inlineStr">
        <is>
          <t>평지</t>
        </is>
      </c>
      <c r="U1373" s="3" t="inlineStr">
        <is>
          <t>세로장방</t>
        </is>
      </c>
      <c r="V1373" s="3" t="inlineStr">
        <is>
          <t>소로한면</t>
        </is>
      </c>
    </row>
    <row r="1374">
      <c r="A1374" s="3" t="inlineStr">
        <is>
          <t>오송읍 봉산리 1375</t>
        </is>
      </c>
      <c r="B1374" s="3" t="inlineStr">
        <is>
          <t>제1종일반주거지역</t>
        </is>
      </c>
      <c r="C1374" s="3" t="inlineStr">
        <is>
          <t>대</t>
        </is>
      </c>
      <c r="D1374" s="3" t="inlineStr">
        <is>
          <t>대</t>
        </is>
      </c>
      <c r="E1374" s="3" t="inlineStr">
        <is>
          <t>매매</t>
        </is>
      </c>
      <c r="F1374" s="4" t="n">
        <v>30000</v>
      </c>
      <c r="G1374" s="4" t="n">
        <v>239</v>
      </c>
      <c r="H1374" s="4" t="n">
        <v>72</v>
      </c>
      <c r="I1374" s="5" t="n">
        <v>416.7</v>
      </c>
      <c r="J1374" s="5" t="n">
        <v>207.9</v>
      </c>
      <c r="K1374" s="3" t="inlineStr">
        <is>
          <t>오송역세권개발및오송3국가산단조성본격화에따른지가상승기대</t>
        </is>
      </c>
      <c r="L1374" s="6">
        <f>HYPERLINK("https://fin.land.naver.com/articles/2653984111", "매물Link")</f>
        <v/>
      </c>
      <c r="M1374" s="6">
        <f>HYPERLINK("https://map.naver.com/p/search/오송읍 봉산리 1375", "지도Link")</f>
        <v/>
      </c>
      <c r="N1374" s="6">
        <f>HYPERLINK("http://www.eum.go.kr/web/ar/lu/luLandDet.jsp?pnu=4311325031113750000&amp;isNoScr=script&amp;mode=search", "토지이음")</f>
        <v/>
      </c>
      <c r="O1374" s="3" t="inlineStr">
        <is>
          <t>오송스타</t>
        </is>
      </c>
      <c r="P1374" s="4" t="n">
        <v>1</v>
      </c>
      <c r="Q1374" s="4" t="n">
        <v>239.5</v>
      </c>
      <c r="R1374" s="3" t="inlineStr">
        <is>
          <t>지정되지않음</t>
        </is>
      </c>
      <c r="S1374" s="3" t="inlineStr">
        <is>
          <t>주거기타</t>
        </is>
      </c>
      <c r="T1374" s="3" t="inlineStr">
        <is>
          <t>평지</t>
        </is>
      </c>
      <c r="U1374" s="3" t="inlineStr">
        <is>
          <t>세로장방</t>
        </is>
      </c>
      <c r="V1374" s="3" t="inlineStr">
        <is>
          <t>소로한면</t>
        </is>
      </c>
    </row>
    <row r="1375">
      <c r="A1375" s="3" t="inlineStr">
        <is>
          <t>오송읍 봉산리 1392</t>
        </is>
      </c>
      <c r="B1375" s="3" t="inlineStr">
        <is>
          <t>제1종일반주거지역</t>
        </is>
      </c>
      <c r="C1375" s="3" t="inlineStr">
        <is>
          <t>대</t>
        </is>
      </c>
      <c r="D1375" s="3" t="inlineStr">
        <is>
          <t>대</t>
        </is>
      </c>
      <c r="E1375" s="3" t="inlineStr">
        <is>
          <t>매매</t>
        </is>
      </c>
      <c r="F1375" s="4" t="n">
        <v>60000</v>
      </c>
      <c r="G1375" s="4" t="n">
        <v>246</v>
      </c>
      <c r="H1375" s="4" t="n">
        <v>74</v>
      </c>
      <c r="I1375" s="5" t="n">
        <v>810.8</v>
      </c>
      <c r="J1375" s="5" t="n">
        <v>250.2</v>
      </c>
      <c r="K1375" s="3" t="inlineStr">
        <is>
          <t>대로변 위치 좋은 코너 각지</t>
        </is>
      </c>
      <c r="L1375" s="6">
        <f>HYPERLINK("https://fin.land.naver.com/articles/2652529296", "매물Link")</f>
        <v/>
      </c>
      <c r="M1375" s="6">
        <f>HYPERLINK("https://map.naver.com/p/search/오송읍 봉산리 1392", "지도Link")</f>
        <v/>
      </c>
      <c r="N1375" s="6">
        <f>HYPERLINK("http://www.eum.go.kr/web/ar/lu/luLandDet.jsp?pnu=4311325031113920000&amp;isNoScr=script&amp;mode=search", "토지이음")</f>
        <v/>
      </c>
      <c r="O1375" s="3" t="inlineStr">
        <is>
          <t>광장</t>
        </is>
      </c>
      <c r="P1375" s="4" t="n">
        <v>1</v>
      </c>
      <c r="Q1375" s="4" t="n">
        <v>246.5</v>
      </c>
      <c r="R1375" s="3" t="inlineStr">
        <is>
          <t>지정되지않음</t>
        </is>
      </c>
      <c r="S1375" s="3" t="inlineStr">
        <is>
          <t>주상기타</t>
        </is>
      </c>
      <c r="T1375" s="3" t="inlineStr">
        <is>
          <t>평지</t>
        </is>
      </c>
      <c r="U1375" s="3" t="inlineStr">
        <is>
          <t>세로장방</t>
        </is>
      </c>
      <c r="V1375" s="3" t="inlineStr">
        <is>
          <t>소로각지</t>
        </is>
      </c>
    </row>
    <row r="1376">
      <c r="A1376" s="3" t="inlineStr">
        <is>
          <t>오송읍 봉산리 1415</t>
        </is>
      </c>
      <c r="B1376" s="3" t="inlineStr">
        <is>
          <t>제1종일반주거지역</t>
        </is>
      </c>
      <c r="C1376" s="3" t="inlineStr">
        <is>
          <t>대</t>
        </is>
      </c>
      <c r="D1376" s="3" t="inlineStr">
        <is>
          <t>대</t>
        </is>
      </c>
      <c r="E1376" s="3" t="inlineStr">
        <is>
          <t>매매</t>
        </is>
      </c>
      <c r="F1376" s="4" t="n">
        <v>42000</v>
      </c>
      <c r="G1376" s="4" t="n">
        <v>244</v>
      </c>
      <c r="H1376" s="4" t="n">
        <v>74</v>
      </c>
      <c r="I1376" s="5" t="n">
        <v>567.6</v>
      </c>
      <c r="J1376" s="5" t="n">
        <v>207.9</v>
      </c>
      <c r="K1376" s="3" t="inlineStr">
        <is>
          <t>오송2산단 상가 주택부지 입니다 남향</t>
        </is>
      </c>
      <c r="L1376" s="6">
        <f>HYPERLINK("https://fin.land.naver.com/articles/2654526332", "매물Link")</f>
        <v/>
      </c>
      <c r="M1376" s="6">
        <f>HYPERLINK("https://map.naver.com/p/search/오송읍 봉산리 1415", "지도Link")</f>
        <v/>
      </c>
      <c r="N1376" s="6">
        <f>HYPERLINK("http://www.eum.go.kr/web/ar/lu/luLandDet.jsp?pnu=4311325031114150000&amp;isNoScr=script&amp;mode=search", "토지이음")</f>
        <v/>
      </c>
      <c r="O1376" s="3" t="inlineStr">
        <is>
          <t>365</t>
        </is>
      </c>
      <c r="P1376" s="4" t="n">
        <v>1</v>
      </c>
      <c r="Q1376" s="4" t="n">
        <v>244</v>
      </c>
      <c r="R1376" s="3" t="inlineStr">
        <is>
          <t>지정되지않음</t>
        </is>
      </c>
      <c r="S1376" s="3" t="inlineStr">
        <is>
          <t>주거기타</t>
        </is>
      </c>
      <c r="T1376" s="3" t="inlineStr">
        <is>
          <t>평지</t>
        </is>
      </c>
      <c r="U1376" s="3" t="inlineStr">
        <is>
          <t>세로장방</t>
        </is>
      </c>
      <c r="V1376" s="3" t="inlineStr">
        <is>
          <t>소로한면</t>
        </is>
      </c>
    </row>
    <row r="1377">
      <c r="A1377" s="3" t="inlineStr">
        <is>
          <t>오송읍 봉산리 1419</t>
        </is>
      </c>
      <c r="B1377" s="3" t="inlineStr">
        <is>
          <t>제1종일반주거지역</t>
        </is>
      </c>
      <c r="C1377" s="3" t="inlineStr">
        <is>
          <t>대</t>
        </is>
      </c>
      <c r="D1377" s="3" t="inlineStr">
        <is>
          <t>대</t>
        </is>
      </c>
      <c r="E1377" s="3" t="inlineStr">
        <is>
          <t>매매</t>
        </is>
      </c>
      <c r="F1377" s="4" t="n">
        <v>45000</v>
      </c>
      <c r="G1377" s="4" t="n">
        <v>238</v>
      </c>
      <c r="H1377" s="4" t="n">
        <v>72</v>
      </c>
      <c r="I1377" s="5" t="n">
        <v>625</v>
      </c>
      <c r="J1377" s="5" t="n">
        <v>250.2</v>
      </c>
      <c r="K1377" s="3" t="inlineStr">
        <is>
          <t>오송2산단 다가구 건축 용도 삼면 각지 토지</t>
        </is>
      </c>
      <c r="L1377" s="6">
        <f>HYPERLINK("https://fin.land.naver.com/articles/2652705478", "매물Link")</f>
        <v/>
      </c>
      <c r="M1377" s="6">
        <f>HYPERLINK("https://map.naver.com/p/search/오송읍 봉산리 1419", "지도Link")</f>
        <v/>
      </c>
      <c r="N1377" s="6">
        <f>HYPERLINK("http://www.eum.go.kr/web/ar/lu/luLandDet.jsp?pnu=4311325031114190000&amp;isNoScr=script&amp;mode=search", "토지이음")</f>
        <v/>
      </c>
      <c r="O1377" s="3" t="inlineStr">
        <is>
          <t>365</t>
        </is>
      </c>
      <c r="P1377" s="4" t="n">
        <v>1</v>
      </c>
      <c r="Q1377" s="4" t="n">
        <v>238.1</v>
      </c>
      <c r="R1377" s="3" t="inlineStr">
        <is>
          <t>지정되지않음</t>
        </is>
      </c>
      <c r="S1377" s="3" t="inlineStr">
        <is>
          <t>주상기타</t>
        </is>
      </c>
      <c r="T1377" s="3" t="inlineStr">
        <is>
          <t>평지</t>
        </is>
      </c>
      <c r="U1377" s="3" t="inlineStr">
        <is>
          <t>세로장방</t>
        </is>
      </c>
      <c r="V1377" s="3" t="inlineStr">
        <is>
          <t>소로각지</t>
        </is>
      </c>
    </row>
    <row r="1378">
      <c r="A1378" s="3" t="inlineStr">
        <is>
          <t>오송읍 봉산리 796</t>
        </is>
      </c>
      <c r="B1378" s="3" t="inlineStr">
        <is>
          <t>제1종일반주거지역</t>
        </is>
      </c>
      <c r="C1378" s="3" t="inlineStr">
        <is>
          <t>주차장</t>
        </is>
      </c>
      <c r="D1378" s="3" t="inlineStr">
        <is>
          <t>주차장</t>
        </is>
      </c>
      <c r="E1378" s="3" t="inlineStr">
        <is>
          <t>매매</t>
        </is>
      </c>
      <c r="F1378" s="4" t="n">
        <v>150000</v>
      </c>
      <c r="G1378" s="4" t="n">
        <v>1039</v>
      </c>
      <c r="H1378" s="4" t="n">
        <v>314</v>
      </c>
      <c r="I1378" s="5" t="n">
        <v>477.7</v>
      </c>
      <c r="J1378" s="5" t="n">
        <v>207.4</v>
      </c>
      <c r="K1378" s="3" t="inlineStr">
        <is>
          <t>아파트 학교옆 인프라좋고 편의시설주변 주차장용지로 모든업종가능</t>
        </is>
      </c>
      <c r="L1378" s="6">
        <f>HYPERLINK("https://fin.land.naver.com/articles/2653291885", "매물Link")</f>
        <v/>
      </c>
      <c r="M1378" s="6">
        <f>HYPERLINK("https://map.naver.com/p/search/오송읍 봉산리 796", "지도Link")</f>
        <v/>
      </c>
      <c r="N1378" s="6">
        <f>HYPERLINK("http://www.eum.go.kr/web/ar/lu/luLandDet.jsp?pnu=4311325031107960000&amp;isNoScr=script&amp;mode=search", "토지이음")</f>
        <v/>
      </c>
      <c r="O1378" s="3" t="inlineStr">
        <is>
          <t>하림</t>
        </is>
      </c>
      <c r="P1378" s="4" t="n">
        <v>1</v>
      </c>
      <c r="Q1378" s="4" t="n">
        <v>1039.2</v>
      </c>
      <c r="R1378" s="3" t="inlineStr">
        <is>
          <t>지정되지않음</t>
        </is>
      </c>
      <c r="S1378" s="3" t="inlineStr">
        <is>
          <t>주차장등</t>
        </is>
      </c>
      <c r="T1378" s="3" t="inlineStr">
        <is>
          <t>평지</t>
        </is>
      </c>
      <c r="U1378" s="3" t="inlineStr">
        <is>
          <t>부정형</t>
        </is>
      </c>
      <c r="V1378" s="3" t="inlineStr">
        <is>
          <t>중로각지</t>
        </is>
      </c>
    </row>
    <row r="1379">
      <c r="A1379" s="3" t="inlineStr">
        <is>
          <t>오송읍 봉산리 841</t>
        </is>
      </c>
      <c r="B1379" s="3" t="inlineStr">
        <is>
          <t>제1종일반주거지역</t>
        </is>
      </c>
      <c r="C1379" s="3" t="inlineStr">
        <is>
          <t>대</t>
        </is>
      </c>
      <c r="D1379" s="3" t="inlineStr">
        <is>
          <t>대</t>
        </is>
      </c>
      <c r="E1379" s="3" t="inlineStr">
        <is>
          <t>매매</t>
        </is>
      </c>
      <c r="F1379" s="4" t="n">
        <v>38000</v>
      </c>
      <c r="G1379" s="4" t="n">
        <v>249</v>
      </c>
      <c r="H1379" s="4" t="n">
        <v>75</v>
      </c>
      <c r="I1379" s="5" t="n">
        <v>506.7</v>
      </c>
      <c r="J1379" s="5" t="n">
        <v>342.8</v>
      </c>
      <c r="K1379" s="3" t="inlineStr">
        <is>
          <t>대도로변 토지,상가 입점하기 좋은 위치</t>
        </is>
      </c>
      <c r="L1379" s="6">
        <f>HYPERLINK("https://fin.land.naver.com/articles/2652140009", "매물Link")</f>
        <v/>
      </c>
      <c r="M1379" s="6">
        <f>HYPERLINK("https://map.naver.com/p/search/오송읍 봉산리 841", "지도Link")</f>
        <v/>
      </c>
      <c r="N1379" s="6">
        <f>HYPERLINK("http://www.eum.go.kr/web/ar/lu/luLandDet.jsp?pnu=4311325031108410000&amp;isNoScr=script&amp;mode=search", "토지이음")</f>
        <v/>
      </c>
      <c r="O1379" s="3" t="inlineStr">
        <is>
          <t>오송2단지창조</t>
        </is>
      </c>
      <c r="P1379" s="4" t="n">
        <v>1</v>
      </c>
      <c r="Q1379" s="4" t="n">
        <v>249.4</v>
      </c>
      <c r="R1379" s="3" t="inlineStr">
        <is>
          <t>지정되지않음</t>
        </is>
      </c>
      <c r="S1379" s="3" t="inlineStr">
        <is>
          <t>주상기타</t>
        </is>
      </c>
      <c r="T1379" s="3" t="inlineStr">
        <is>
          <t>평지</t>
        </is>
      </c>
      <c r="U1379" s="3" t="inlineStr">
        <is>
          <t>정방형</t>
        </is>
      </c>
      <c r="V1379" s="3" t="inlineStr">
        <is>
          <t>중로각지</t>
        </is>
      </c>
    </row>
    <row r="1380">
      <c r="A1380" s="3" t="inlineStr">
        <is>
          <t>오송읍 봉산리 853</t>
        </is>
      </c>
      <c r="B1380" s="3" t="inlineStr">
        <is>
          <t>제1종일반주거지역</t>
        </is>
      </c>
      <c r="C1380" s="3" t="inlineStr">
        <is>
          <t>대</t>
        </is>
      </c>
      <c r="D1380" s="3" t="inlineStr">
        <is>
          <t>대</t>
        </is>
      </c>
      <c r="E1380" s="3" t="inlineStr">
        <is>
          <t>매매</t>
        </is>
      </c>
      <c r="F1380" s="4" t="n">
        <v>45000</v>
      </c>
      <c r="G1380" s="4" t="n">
        <v>276</v>
      </c>
      <c r="H1380" s="4" t="n">
        <v>83</v>
      </c>
      <c r="I1380" s="5" t="n">
        <v>542.2</v>
      </c>
      <c r="J1380" s="5" t="n">
        <v>205.7</v>
      </c>
      <c r="K1380" s="3" t="inlineStr">
        <is>
          <t>솔미초 인근 다가구용 토지 매매</t>
        </is>
      </c>
      <c r="L1380" s="6">
        <f>HYPERLINK("https://fin.land.naver.com/articles/2650364095", "매물Link")</f>
        <v/>
      </c>
      <c r="M1380" s="6">
        <f>HYPERLINK("https://map.naver.com/p/search/오송읍 봉산리 853", "지도Link")</f>
        <v/>
      </c>
      <c r="N1380" s="6">
        <f>HYPERLINK("http://www.eum.go.kr/web/ar/lu/luLandDet.jsp?pnu=4311325031108530000&amp;isNoScr=script&amp;mode=search", "토지이음")</f>
        <v/>
      </c>
      <c r="O1380" s="3" t="inlineStr">
        <is>
          <t>광장</t>
        </is>
      </c>
      <c r="P1380" s="4" t="n">
        <v>1</v>
      </c>
      <c r="Q1380" s="4" t="n">
        <v>276.1</v>
      </c>
      <c r="R1380" s="3" t="inlineStr">
        <is>
          <t>지정되지않음</t>
        </is>
      </c>
      <c r="S1380" s="3" t="inlineStr">
        <is>
          <t>주거기타</t>
        </is>
      </c>
      <c r="T1380" s="3" t="inlineStr">
        <is>
          <t>평지</t>
        </is>
      </c>
      <c r="U1380" s="3" t="inlineStr">
        <is>
          <t>세로장방</t>
        </is>
      </c>
      <c r="V1380" s="3" t="inlineStr">
        <is>
          <t>소로한면</t>
        </is>
      </c>
    </row>
    <row r="1381">
      <c r="A1381" s="3" t="inlineStr">
        <is>
          <t>오송읍 봉산리 853</t>
        </is>
      </c>
      <c r="B1381" s="3" t="inlineStr">
        <is>
          <t>제1종일반주거지역</t>
        </is>
      </c>
      <c r="C1381" s="3" t="inlineStr">
        <is>
          <t>대</t>
        </is>
      </c>
      <c r="D1381" s="3" t="inlineStr">
        <is>
          <t>대</t>
        </is>
      </c>
      <c r="E1381" s="3" t="inlineStr">
        <is>
          <t>매매</t>
        </is>
      </c>
      <c r="F1381" s="4" t="n">
        <v>45000</v>
      </c>
      <c r="G1381" s="4" t="n">
        <v>276</v>
      </c>
      <c r="H1381" s="4" t="n">
        <v>83</v>
      </c>
      <c r="I1381" s="5" t="n">
        <v>542.2</v>
      </c>
      <c r="J1381" s="5" t="n">
        <v>205.7</v>
      </c>
      <c r="K1381" s="3" t="inlineStr">
        <is>
          <t>nan</t>
        </is>
      </c>
      <c r="L1381" s="6">
        <f>HYPERLINK("https://fin.land.naver.com/articles/2652690757", "매물Link")</f>
        <v/>
      </c>
      <c r="M1381" s="6">
        <f>HYPERLINK("https://map.naver.com/p/search/오송읍 봉산리 853", "지도Link")</f>
        <v/>
      </c>
      <c r="N1381" s="6">
        <f>HYPERLINK("http://www.eum.go.kr/web/ar/lu/luLandDet.jsp?pnu=4311325031108530000&amp;isNoScr=script&amp;mode=search", "토지이음")</f>
        <v/>
      </c>
      <c r="O1381" s="3" t="inlineStr">
        <is>
          <t>365</t>
        </is>
      </c>
      <c r="P1381" s="4" t="n">
        <v>1</v>
      </c>
      <c r="Q1381" s="4" t="n">
        <v>276.1</v>
      </c>
      <c r="R1381" s="3" t="inlineStr">
        <is>
          <t>지정되지않음</t>
        </is>
      </c>
      <c r="S1381" s="3" t="inlineStr">
        <is>
          <t>주거기타</t>
        </is>
      </c>
      <c r="T1381" s="3" t="inlineStr">
        <is>
          <t>평지</t>
        </is>
      </c>
      <c r="U1381" s="3" t="inlineStr">
        <is>
          <t>세로장방</t>
        </is>
      </c>
      <c r="V1381" s="3" t="inlineStr">
        <is>
          <t>소로한면</t>
        </is>
      </c>
    </row>
    <row r="1382">
      <c r="A1382" s="3" t="inlineStr">
        <is>
          <t>오송읍 봉산리 859</t>
        </is>
      </c>
      <c r="B1382" s="3" t="inlineStr">
        <is>
          <t>제1종일반주거지역</t>
        </is>
      </c>
      <c r="C1382" s="3" t="inlineStr">
        <is>
          <t>대</t>
        </is>
      </c>
      <c r="D1382" s="3" t="inlineStr">
        <is>
          <t>대</t>
        </is>
      </c>
      <c r="E1382" s="3" t="inlineStr">
        <is>
          <t>매매</t>
        </is>
      </c>
      <c r="F1382" s="4" t="n">
        <v>40000</v>
      </c>
      <c r="G1382" s="4" t="n">
        <v>280</v>
      </c>
      <c r="H1382" s="4" t="n">
        <v>85</v>
      </c>
      <c r="I1382" s="5" t="n">
        <v>470.6</v>
      </c>
      <c r="J1382" s="5" t="n">
        <v>205.7</v>
      </c>
      <c r="K1382" s="3" t="inlineStr">
        <is>
          <t>수익율 좋은 다가구주택 건축하여 건물주님 되어보기</t>
        </is>
      </c>
      <c r="L1382" s="6">
        <f>HYPERLINK("https://fin.land.naver.com/articles/2650859358", "매물Link")</f>
        <v/>
      </c>
      <c r="M1382" s="6">
        <f>HYPERLINK("https://map.naver.com/p/search/오송읍 봉산리 859", "지도Link")</f>
        <v/>
      </c>
      <c r="N1382" s="6">
        <f>HYPERLINK("http://www.eum.go.kr/web/ar/lu/luLandDet.jsp?pnu=4311325031108590000&amp;isNoScr=script&amp;mode=search", "토지이음")</f>
        <v/>
      </c>
      <c r="O1382" s="3" t="inlineStr">
        <is>
          <t>프로</t>
        </is>
      </c>
      <c r="P1382" s="4" t="n">
        <v>1</v>
      </c>
      <c r="Q1382" s="4" t="n">
        <v>280</v>
      </c>
      <c r="R1382" s="3" t="inlineStr">
        <is>
          <t>지정되지않음</t>
        </is>
      </c>
      <c r="S1382" s="3" t="inlineStr">
        <is>
          <t>주거기타</t>
        </is>
      </c>
      <c r="T1382" s="3" t="inlineStr">
        <is>
          <t>평지</t>
        </is>
      </c>
      <c r="U1382" s="3" t="inlineStr">
        <is>
          <t>세로장방</t>
        </is>
      </c>
      <c r="V1382" s="3" t="inlineStr">
        <is>
          <t>소로한면</t>
        </is>
      </c>
    </row>
    <row r="1383">
      <c r="A1383" s="3" t="inlineStr">
        <is>
          <t>오송읍 봉산리 872</t>
        </is>
      </c>
      <c r="B1383" s="3" t="inlineStr">
        <is>
          <t>제1종일반주거지역</t>
        </is>
      </c>
      <c r="C1383" s="3" t="inlineStr">
        <is>
          <t>대</t>
        </is>
      </c>
      <c r="D1383" s="3" t="inlineStr">
        <is>
          <t>대</t>
        </is>
      </c>
      <c r="E1383" s="3" t="inlineStr">
        <is>
          <t>매매</t>
        </is>
      </c>
      <c r="F1383" s="4" t="n">
        <v>39000</v>
      </c>
      <c r="G1383" s="4" t="n">
        <v>271</v>
      </c>
      <c r="H1383" s="4" t="n">
        <v>82</v>
      </c>
      <c r="I1383" s="5" t="n">
        <v>475.6</v>
      </c>
      <c r="J1383" s="5" t="n">
        <v>236</v>
      </c>
      <c r="K1383" s="3" t="inlineStr">
        <is>
          <t>수익율 좋은 다가구주택 건축하여 건물주님 되어보세요</t>
        </is>
      </c>
      <c r="L1383" s="6">
        <f>HYPERLINK("https://fin.land.naver.com/articles/2653487751", "매물Link")</f>
        <v/>
      </c>
      <c r="M1383" s="6">
        <f>HYPERLINK("https://map.naver.com/p/search/오송읍 봉산리 872", "지도Link")</f>
        <v/>
      </c>
      <c r="N1383" s="6">
        <f>HYPERLINK("http://www.eum.go.kr/web/ar/lu/luLandDet.jsp?pnu=4311325031108720000&amp;isNoScr=script&amp;mode=search", "토지이음")</f>
        <v/>
      </c>
      <c r="O1383" s="3" t="inlineStr">
        <is>
          <t>프로</t>
        </is>
      </c>
      <c r="P1383" s="4" t="n">
        <v>1</v>
      </c>
      <c r="Q1383" s="4" t="n">
        <v>271.2</v>
      </c>
      <c r="R1383" s="3" t="inlineStr">
        <is>
          <t>지정되지않음</t>
        </is>
      </c>
      <c r="S1383" s="3" t="inlineStr">
        <is>
          <t>주상기타</t>
        </is>
      </c>
      <c r="T1383" s="3" t="inlineStr">
        <is>
          <t>평지</t>
        </is>
      </c>
      <c r="U1383" s="3" t="inlineStr">
        <is>
          <t>세로장방</t>
        </is>
      </c>
      <c r="V1383" s="3" t="inlineStr">
        <is>
          <t>소로한면</t>
        </is>
      </c>
    </row>
    <row r="1384">
      <c r="A1384" s="3" t="inlineStr">
        <is>
          <t>오송읍 봉산리 872</t>
        </is>
      </c>
      <c r="B1384" s="3" t="inlineStr">
        <is>
          <t>제1종일반주거지역</t>
        </is>
      </c>
      <c r="C1384" s="3" t="inlineStr">
        <is>
          <t>대</t>
        </is>
      </c>
      <c r="D1384" s="3" t="inlineStr">
        <is>
          <t>대</t>
        </is>
      </c>
      <c r="E1384" s="3" t="inlineStr">
        <is>
          <t>매매</t>
        </is>
      </c>
      <c r="F1384" s="4" t="n">
        <v>49000</v>
      </c>
      <c r="G1384" s="4" t="n">
        <v>271</v>
      </c>
      <c r="H1384" s="4" t="n">
        <v>82</v>
      </c>
      <c r="I1384" s="5" t="n">
        <v>597.6</v>
      </c>
      <c r="J1384" s="5" t="n">
        <v>236</v>
      </c>
      <c r="K1384" s="3" t="inlineStr">
        <is>
          <t>다가구주택용 대지, 임대세대 구성하기 좋은 면적</t>
        </is>
      </c>
      <c r="L1384" s="6">
        <f>HYPERLINK("https://fin.land.naver.com/articles/2651430081", "매물Link")</f>
        <v/>
      </c>
      <c r="M1384" s="6">
        <f>HYPERLINK("https://map.naver.com/p/search/오송읍 봉산리 872", "지도Link")</f>
        <v/>
      </c>
      <c r="N1384" s="6">
        <f>HYPERLINK("http://www.eum.go.kr/web/ar/lu/luLandDet.jsp?pnu=4311325031108720000&amp;isNoScr=script&amp;mode=search", "토지이음")</f>
        <v/>
      </c>
      <c r="O1384" s="3" t="inlineStr">
        <is>
          <t>광장</t>
        </is>
      </c>
      <c r="P1384" s="4" t="n">
        <v>1</v>
      </c>
      <c r="Q1384" s="4" t="n">
        <v>271.2</v>
      </c>
      <c r="R1384" s="3" t="inlineStr">
        <is>
          <t>지정되지않음</t>
        </is>
      </c>
      <c r="S1384" s="3" t="inlineStr">
        <is>
          <t>주상기타</t>
        </is>
      </c>
      <c r="T1384" s="3" t="inlineStr">
        <is>
          <t>평지</t>
        </is>
      </c>
      <c r="U1384" s="3" t="inlineStr">
        <is>
          <t>세로장방</t>
        </is>
      </c>
      <c r="V1384" s="3" t="inlineStr">
        <is>
          <t>소로한면</t>
        </is>
      </c>
    </row>
    <row r="1385">
      <c r="A1385" s="3" t="inlineStr">
        <is>
          <t>오송읍 봉산리 949</t>
        </is>
      </c>
      <c r="B1385" s="3" t="inlineStr">
        <is>
          <t>제1종일반주거지역</t>
        </is>
      </c>
      <c r="C1385" s="3" t="inlineStr">
        <is>
          <t>대</t>
        </is>
      </c>
      <c r="D1385" s="3" t="inlineStr">
        <is>
          <t>대</t>
        </is>
      </c>
      <c r="E1385" s="3" t="inlineStr">
        <is>
          <t>매매</t>
        </is>
      </c>
      <c r="F1385" s="4" t="n">
        <v>40000</v>
      </c>
      <c r="G1385" s="4" t="n">
        <v>271</v>
      </c>
      <c r="H1385" s="4" t="n">
        <v>82</v>
      </c>
      <c r="I1385" s="5" t="n">
        <v>487.8</v>
      </c>
      <c r="J1385" s="5" t="n">
        <v>236</v>
      </c>
      <c r="K1385" s="3" t="inlineStr">
        <is>
          <t>수익율 좋은 다가구주택 건축하여 건물주님 되어보기</t>
        </is>
      </c>
      <c r="L1385" s="6">
        <f>HYPERLINK("https://fin.land.naver.com/articles/2653257663", "매물Link")</f>
        <v/>
      </c>
      <c r="M1385" s="6">
        <f>HYPERLINK("https://map.naver.com/p/search/오송읍 봉산리 949", "지도Link")</f>
        <v/>
      </c>
      <c r="N1385" s="6">
        <f>HYPERLINK("http://www.eum.go.kr/web/ar/lu/luLandDet.jsp?pnu=4311325031109490000&amp;isNoScr=script&amp;mode=search", "토지이음")</f>
        <v/>
      </c>
      <c r="O1385" s="3" t="inlineStr">
        <is>
          <t>프로</t>
        </is>
      </c>
      <c r="P1385" s="4" t="n">
        <v>2</v>
      </c>
      <c r="Q1385" s="4" t="n">
        <v>271</v>
      </c>
      <c r="R1385" s="3" t="inlineStr">
        <is>
          <t>지정되지않음</t>
        </is>
      </c>
      <c r="S1385" s="3" t="inlineStr">
        <is>
          <t>주상기타</t>
        </is>
      </c>
      <c r="T1385" s="3" t="inlineStr">
        <is>
          <t>평지</t>
        </is>
      </c>
      <c r="U1385" s="3" t="inlineStr">
        <is>
          <t>세로장방</t>
        </is>
      </c>
      <c r="V1385" s="3" t="inlineStr">
        <is>
          <t>소로한면</t>
        </is>
      </c>
    </row>
    <row r="1386">
      <c r="A1386" s="3" t="inlineStr">
        <is>
          <t>오송읍 봉산리 954</t>
        </is>
      </c>
      <c r="B1386" s="3" t="inlineStr">
        <is>
          <t>제1종일반주거지역</t>
        </is>
      </c>
      <c r="C1386" s="3" t="inlineStr">
        <is>
          <t>대</t>
        </is>
      </c>
      <c r="D1386" s="3" t="inlineStr">
        <is>
          <t>대</t>
        </is>
      </c>
      <c r="E1386" s="3" t="inlineStr">
        <is>
          <t>매매</t>
        </is>
      </c>
      <c r="F1386" s="4" t="n">
        <v>55000</v>
      </c>
      <c r="G1386" s="4" t="n">
        <v>265</v>
      </c>
      <c r="H1386" s="4" t="n">
        <v>80</v>
      </c>
      <c r="I1386" s="5" t="n">
        <v>687.5</v>
      </c>
      <c r="J1386" s="5" t="n">
        <v>257.5</v>
      </c>
      <c r="K1386" s="3" t="inlineStr">
        <is>
          <t>위치좋은 코너땅 입니다</t>
        </is>
      </c>
      <c r="L1386" s="6">
        <f>HYPERLINK("https://fin.land.naver.com/articles/2652109103", "매물Link")</f>
        <v/>
      </c>
      <c r="M1386" s="6">
        <f>HYPERLINK("https://map.naver.com/p/search/오송읍 봉산리 954", "지도Link")</f>
        <v/>
      </c>
      <c r="N1386" s="6">
        <f>HYPERLINK("http://www.eum.go.kr/web/ar/lu/luLandDet.jsp?pnu=4311325031109540000&amp;isNoScr=script&amp;mode=search", "토지이음")</f>
        <v/>
      </c>
      <c r="O1386" s="3" t="inlineStr">
        <is>
          <t>오송2단지창조</t>
        </is>
      </c>
      <c r="P1386" s="4" t="n">
        <v>1</v>
      </c>
      <c r="Q1386" s="4" t="n">
        <v>265.3</v>
      </c>
      <c r="R1386" s="3" t="inlineStr">
        <is>
          <t>지정되지않음</t>
        </is>
      </c>
      <c r="S1386" s="3" t="inlineStr">
        <is>
          <t>주상기타</t>
        </is>
      </c>
      <c r="T1386" s="3" t="inlineStr">
        <is>
          <t>평지</t>
        </is>
      </c>
      <c r="U1386" s="3" t="inlineStr">
        <is>
          <t>가로장방</t>
        </is>
      </c>
      <c r="V1386" s="3" t="inlineStr">
        <is>
          <t>소로각지</t>
        </is>
      </c>
    </row>
    <row r="1387">
      <c r="A1387" s="3" t="inlineStr">
        <is>
          <t>오송읍 봉산리 978</t>
        </is>
      </c>
      <c r="B1387" s="3" t="inlineStr">
        <is>
          <t>일반상업지역</t>
        </is>
      </c>
      <c r="C1387" s="3" t="inlineStr">
        <is>
          <t>대</t>
        </is>
      </c>
      <c r="D1387" s="3" t="inlineStr">
        <is>
          <t>대</t>
        </is>
      </c>
      <c r="E1387" s="3" t="inlineStr">
        <is>
          <t>매매</t>
        </is>
      </c>
      <c r="F1387" s="4" t="n">
        <v>353000</v>
      </c>
      <c r="G1387" s="4" t="n">
        <v>1295</v>
      </c>
      <c r="H1387" s="4" t="n">
        <v>392</v>
      </c>
      <c r="I1387" s="5" t="n">
        <v>900.5</v>
      </c>
      <c r="J1387" s="5" t="n">
        <v>585.5</v>
      </c>
      <c r="K1387" s="3" t="inlineStr">
        <is>
          <t>오송읍 봉산리 상업용지 매매</t>
        </is>
      </c>
      <c r="L1387" s="6">
        <f>HYPERLINK("https://fin.land.naver.com/articles/2650259873", "매물Link")</f>
        <v/>
      </c>
      <c r="M1387" s="6">
        <f>HYPERLINK("https://map.naver.com/p/search/오송읍 봉산리 978", "지도Link")</f>
        <v/>
      </c>
      <c r="N1387" s="6">
        <f>HYPERLINK("http://www.eum.go.kr/web/ar/lu/luLandDet.jsp?pnu=4311325031109780000&amp;isNoScr=script&amp;mode=search", "토지이음")</f>
        <v/>
      </c>
      <c r="O1387" s="3" t="inlineStr">
        <is>
          <t>일등</t>
        </is>
      </c>
      <c r="P1387" s="4" t="n">
        <v>1</v>
      </c>
      <c r="Q1387" s="4" t="n">
        <v>1295.6</v>
      </c>
      <c r="R1387" s="3" t="inlineStr">
        <is>
          <t>지정되지않음</t>
        </is>
      </c>
      <c r="S1387" s="3" t="inlineStr">
        <is>
          <t>상업기타</t>
        </is>
      </c>
      <c r="T1387" s="3" t="inlineStr">
        <is>
          <t>평지</t>
        </is>
      </c>
      <c r="U1387" s="3" t="inlineStr">
        <is>
          <t>가로장방</t>
        </is>
      </c>
      <c r="V1387" s="3" t="inlineStr">
        <is>
          <t>중로각지</t>
        </is>
      </c>
    </row>
    <row r="1388">
      <c r="A1388" s="3" t="inlineStr">
        <is>
          <t>오송읍 상봉리 114-3</t>
        </is>
      </c>
      <c r="B1388" s="3" t="inlineStr">
        <is>
          <t>계획관리지역</t>
        </is>
      </c>
      <c r="C1388" s="3" t="inlineStr">
        <is>
          <t>대</t>
        </is>
      </c>
      <c r="D1388" s="3" t="inlineStr">
        <is>
          <t>대</t>
        </is>
      </c>
      <c r="E1388" s="3" t="inlineStr">
        <is>
          <t>매매</t>
        </is>
      </c>
      <c r="F1388" s="4" t="n">
        <v>25000</v>
      </c>
      <c r="G1388" s="4" t="n">
        <v>602</v>
      </c>
      <c r="H1388" s="4" t="n">
        <v>182</v>
      </c>
      <c r="I1388" s="5" t="n">
        <v>137.4</v>
      </c>
      <c r="J1388" s="5" t="n">
        <v>48.7</v>
      </c>
      <c r="K1388" s="3" t="inlineStr">
        <is>
          <t>오송읍 전원주택지 매매</t>
        </is>
      </c>
      <c r="L1388" s="6">
        <f>HYPERLINK("https://fin.land.naver.com/articles/2654267342", "매물Link")</f>
        <v/>
      </c>
      <c r="M1388" s="6">
        <f>HYPERLINK("https://map.naver.com/p/search/오송읍 상봉리 114-3", "지도Link")</f>
        <v/>
      </c>
      <c r="N1388" s="6">
        <f>HYPERLINK("http://www.eum.go.kr/web/ar/lu/luLandDet.jsp?pnu=4311325033101140003&amp;isNoScr=script&amp;mode=search", "토지이음")</f>
        <v/>
      </c>
      <c r="O1388" s="3" t="inlineStr">
        <is>
          <t>학사</t>
        </is>
      </c>
      <c r="P1388" s="4" t="n">
        <v>1</v>
      </c>
      <c r="Q1388" s="4" t="n">
        <v>602</v>
      </c>
      <c r="R1388" s="3" t="inlineStr">
        <is>
          <t>지정되지않음</t>
        </is>
      </c>
      <c r="S1388" s="3" t="inlineStr">
        <is>
          <t>주거나지</t>
        </is>
      </c>
      <c r="T1388" s="3" t="inlineStr">
        <is>
          <t>평지</t>
        </is>
      </c>
      <c r="U1388" s="3" t="inlineStr">
        <is>
          <t>사다리형</t>
        </is>
      </c>
      <c r="V1388" s="3" t="inlineStr">
        <is>
          <t>세로한면(가)</t>
        </is>
      </c>
    </row>
    <row r="1389">
      <c r="A1389" s="3" t="inlineStr">
        <is>
          <t>오송읍 상봉리 210</t>
        </is>
      </c>
      <c r="B1389" s="3" t="inlineStr">
        <is>
          <t>계획관리지역</t>
        </is>
      </c>
      <c r="C1389" s="3" t="inlineStr">
        <is>
          <t>전</t>
        </is>
      </c>
      <c r="D1389" s="3" t="inlineStr">
        <is>
          <t>전</t>
        </is>
      </c>
      <c r="E1389" s="3" t="inlineStr">
        <is>
          <t>매매</t>
        </is>
      </c>
      <c r="F1389" s="4" t="n">
        <v>100000</v>
      </c>
      <c r="G1389" s="4" t="n">
        <v>3298</v>
      </c>
      <c r="H1389" s="4" t="n">
        <v>998</v>
      </c>
      <c r="I1389" s="5" t="n">
        <v>100.2</v>
      </c>
      <c r="J1389" s="5" t="n">
        <v>34.7</v>
      </c>
      <c r="K1389" s="3" t="inlineStr">
        <is>
          <t>계획관리토지 역세권중장기 투자계획으로우수한 토지 공장 카페 창고 실버타운</t>
        </is>
      </c>
      <c r="L1389" s="6">
        <f>HYPERLINK("https://fin.land.naver.com/articles/2649374986", "매물Link")</f>
        <v/>
      </c>
      <c r="M1389" s="6">
        <f>HYPERLINK("https://map.naver.com/p/search/오송읍 상봉리 210", "지도Link")</f>
        <v/>
      </c>
      <c r="N1389" s="6">
        <f>HYPERLINK("http://www.eum.go.kr/web/ar/lu/luLandDet.jsp?pnu=4311325033102100000&amp;isNoScr=script&amp;mode=search", "토지이음")</f>
        <v/>
      </c>
      <c r="O1389" s="3" t="inlineStr">
        <is>
          <t>하림</t>
        </is>
      </c>
      <c r="P1389" s="4" t="n">
        <v>1</v>
      </c>
      <c r="Q1389" s="4" t="n">
        <v>3298</v>
      </c>
      <c r="R1389" s="3" t="inlineStr">
        <is>
          <t>지정되지않음</t>
        </is>
      </c>
      <c r="S1389" s="3" t="inlineStr">
        <is>
          <t>전</t>
        </is>
      </c>
      <c r="T1389" s="3" t="inlineStr">
        <is>
          <t>평지</t>
        </is>
      </c>
      <c r="U1389" s="3" t="inlineStr">
        <is>
          <t>부정형</t>
        </is>
      </c>
      <c r="V1389" s="3" t="inlineStr">
        <is>
          <t>세로각지(가)</t>
        </is>
      </c>
    </row>
    <row r="1390">
      <c r="A1390" s="3" t="inlineStr">
        <is>
          <t>오송읍 상봉리 240-4</t>
        </is>
      </c>
      <c r="B1390" s="3" t="inlineStr">
        <is>
          <t>계획관리지역</t>
        </is>
      </c>
      <c r="C1390" s="3" t="inlineStr">
        <is>
          <t>전</t>
        </is>
      </c>
      <c r="D1390" s="3" t="inlineStr">
        <is>
          <t>전</t>
        </is>
      </c>
      <c r="E1390" s="3" t="inlineStr">
        <is>
          <t>매매</t>
        </is>
      </c>
      <c r="F1390" s="4" t="n">
        <v>200000</v>
      </c>
      <c r="G1390" s="4" t="n">
        <v>1896</v>
      </c>
      <c r="H1390" s="4" t="n">
        <v>574</v>
      </c>
      <c r="I1390" s="5" t="n">
        <v>348.4</v>
      </c>
      <c r="J1390" s="5" t="n">
        <v>45</v>
      </c>
      <c r="K1390" s="3" t="inlineStr">
        <is>
          <t>2차선도로 및 3면이 포장도로에 접한 직사각형 모양의 계획관리지역의 전</t>
        </is>
      </c>
      <c r="L1390" s="6">
        <f>HYPERLINK("https://fin.land.naver.com/articles/2652183903", "매물Link")</f>
        <v/>
      </c>
      <c r="M1390" s="6">
        <f>HYPERLINK("https://map.naver.com/p/search/오송읍 상봉리 240-4", "지도Link")</f>
        <v/>
      </c>
      <c r="N1390" s="6">
        <f>HYPERLINK("http://www.eum.go.kr/web/ar/lu/luLandDet.jsp?pnu=4311325033102400004&amp;isNoScr=script&amp;mode=search", "토지이음")</f>
        <v/>
      </c>
      <c r="O1390" s="3" t="inlineStr">
        <is>
          <t>스마일세종</t>
        </is>
      </c>
      <c r="P1390" s="4" t="n">
        <v>1</v>
      </c>
      <c r="Q1390" s="4" t="n">
        <v>1896</v>
      </c>
      <c r="R1390" s="3" t="inlineStr">
        <is>
          <t>지정되지않음</t>
        </is>
      </c>
      <c r="S1390" s="3" t="inlineStr">
        <is>
          <t>전</t>
        </is>
      </c>
      <c r="T1390" s="3" t="inlineStr">
        <is>
          <t>평지</t>
        </is>
      </c>
      <c r="U1390" s="3" t="inlineStr">
        <is>
          <t>사다리형</t>
        </is>
      </c>
      <c r="V1390" s="3" t="inlineStr">
        <is>
          <t>소로한면</t>
        </is>
      </c>
    </row>
    <row r="1391">
      <c r="A1391" s="3" t="inlineStr">
        <is>
          <t>오송읍 상봉리 313</t>
        </is>
      </c>
      <c r="B1391" s="3" t="inlineStr">
        <is>
          <t>보전관리지역</t>
        </is>
      </c>
      <c r="C1391" s="3" t="inlineStr">
        <is>
          <t>답</t>
        </is>
      </c>
      <c r="D1391" s="3" t="inlineStr">
        <is>
          <t>답</t>
        </is>
      </c>
      <c r="E1391" s="3" t="inlineStr">
        <is>
          <t>매매</t>
        </is>
      </c>
      <c r="F1391" s="4" t="n">
        <v>40000</v>
      </c>
      <c r="G1391" s="4" t="n">
        <v>2615</v>
      </c>
      <c r="H1391" s="4" t="n">
        <v>791</v>
      </c>
      <c r="I1391" s="5" t="n">
        <v>50.6</v>
      </c>
      <c r="J1391" s="5" t="n">
        <v>10</v>
      </c>
      <c r="K1391" s="3" t="inlineStr">
        <is>
          <t>세종시 경계부근에 위치 전원주택 주말농지 추천</t>
        </is>
      </c>
      <c r="L1391" s="6">
        <f>HYPERLINK("https://fin.land.naver.com/articles/2652553807", "매물Link")</f>
        <v/>
      </c>
      <c r="M1391" s="6">
        <f>HYPERLINK("https://map.naver.com/p/search/오송읍 상봉리 313", "지도Link")</f>
        <v/>
      </c>
      <c r="N1391" s="6">
        <f>HYPERLINK("http://www.eum.go.kr/web/ar/lu/luLandDet.jsp?pnu=4311325033103130000&amp;isNoScr=script&amp;mode=search", "토지이음")</f>
        <v/>
      </c>
      <c r="O1391" s="3" t="inlineStr">
        <is>
          <t>복수지구</t>
        </is>
      </c>
      <c r="P1391" s="4" t="n">
        <v>1</v>
      </c>
      <c r="Q1391" s="4" t="n">
        <v>2615</v>
      </c>
      <c r="R1391" s="3" t="inlineStr">
        <is>
          <t>지정되지않음</t>
        </is>
      </c>
      <c r="S1391" s="3" t="inlineStr">
        <is>
          <t>답</t>
        </is>
      </c>
      <c r="T1391" s="3" t="inlineStr">
        <is>
          <t>완경사</t>
        </is>
      </c>
      <c r="U1391" s="3" t="inlineStr">
        <is>
          <t>부정형</t>
        </is>
      </c>
      <c r="V1391" s="3" t="inlineStr">
        <is>
          <t>세로한면(가)</t>
        </is>
      </c>
    </row>
    <row r="1392">
      <c r="A1392" s="3" t="inlineStr">
        <is>
          <t>오송읍 상봉리 415-1</t>
        </is>
      </c>
      <c r="B1392" s="3" t="inlineStr">
        <is>
          <t>농림지역</t>
        </is>
      </c>
      <c r="C1392" s="3" t="inlineStr">
        <is>
          <t>답</t>
        </is>
      </c>
      <c r="D1392" s="3" t="inlineStr">
        <is>
          <t>답</t>
        </is>
      </c>
      <c r="E1392" s="3" t="inlineStr">
        <is>
          <t>매매</t>
        </is>
      </c>
      <c r="F1392" s="4" t="n">
        <v>26000</v>
      </c>
      <c r="G1392" s="4" t="n">
        <v>1230</v>
      </c>
      <c r="H1392" s="4" t="n">
        <v>372</v>
      </c>
      <c r="I1392" s="5" t="n">
        <v>69.90000000000001</v>
      </c>
      <c r="J1392" s="5" t="n">
        <v>22</v>
      </c>
      <c r="K1392" s="3" t="inlineStr">
        <is>
          <t>매가 조정하여 매2.6억원 오송 산단주변 농림지역 매매</t>
        </is>
      </c>
      <c r="L1392" s="6">
        <f>HYPERLINK("https://fin.land.naver.com/articles/2651395740", "매물Link")</f>
        <v/>
      </c>
      <c r="M1392" s="6">
        <f>HYPERLINK("https://map.naver.com/p/search/오송읍 상봉리 415-1", "지도Link")</f>
        <v/>
      </c>
      <c r="N1392" s="6">
        <f>HYPERLINK("http://www.eum.go.kr/web/ar/lu/luLandDet.jsp?pnu=4311325033104150001&amp;isNoScr=script&amp;mode=search", "토지이음")</f>
        <v/>
      </c>
      <c r="O1392" s="3" t="inlineStr">
        <is>
          <t>로데오상가</t>
        </is>
      </c>
      <c r="P1392" s="4" t="n">
        <v>1</v>
      </c>
      <c r="Q1392" s="4" t="n">
        <v>1230</v>
      </c>
      <c r="R1392" s="3" t="inlineStr">
        <is>
          <t>지정되지않음</t>
        </is>
      </c>
      <c r="S1392" s="3" t="inlineStr">
        <is>
          <t>답</t>
        </is>
      </c>
      <c r="T1392" s="3" t="inlineStr">
        <is>
          <t>평지</t>
        </is>
      </c>
      <c r="U1392" s="3" t="inlineStr">
        <is>
          <t>세로장방</t>
        </is>
      </c>
      <c r="V1392" s="3" t="inlineStr">
        <is>
          <t>세로한면(가)</t>
        </is>
      </c>
    </row>
    <row r="1393">
      <c r="A1393" s="3" t="inlineStr">
        <is>
          <t>오송읍 상봉리 415-1</t>
        </is>
      </c>
      <c r="B1393" s="3" t="inlineStr">
        <is>
          <t>농림지역</t>
        </is>
      </c>
      <c r="C1393" s="3" t="inlineStr">
        <is>
          <t>답</t>
        </is>
      </c>
      <c r="D1393" s="3" t="inlineStr">
        <is>
          <t>답</t>
        </is>
      </c>
      <c r="E1393" s="3" t="inlineStr">
        <is>
          <t>매매</t>
        </is>
      </c>
      <c r="F1393" s="4" t="n">
        <v>26000</v>
      </c>
      <c r="G1393" s="4" t="n">
        <v>1230</v>
      </c>
      <c r="H1393" s="4" t="n">
        <v>372</v>
      </c>
      <c r="I1393" s="5" t="n">
        <v>69.90000000000001</v>
      </c>
      <c r="J1393" s="5" t="n">
        <v>22</v>
      </c>
      <c r="K1393" s="3" t="inlineStr">
        <is>
          <t>세종경계 농림지역 도로접 위치좋아요</t>
        </is>
      </c>
      <c r="L1393" s="6">
        <f>HYPERLINK("https://fin.land.naver.com/articles/2653610088", "매물Link")</f>
        <v/>
      </c>
      <c r="M1393" s="6">
        <f>HYPERLINK("https://map.naver.com/p/search/오송읍 상봉리 415-1", "지도Link")</f>
        <v/>
      </c>
      <c r="N1393" s="6">
        <f>HYPERLINK("http://www.eum.go.kr/web/ar/lu/luLandDet.jsp?pnu=4311325033104150001&amp;isNoScr=script&amp;mode=search", "토지이음")</f>
        <v/>
      </c>
      <c r="O1393" s="3" t="inlineStr">
        <is>
          <t>가치잇는</t>
        </is>
      </c>
      <c r="P1393" s="4" t="n">
        <v>7</v>
      </c>
      <c r="Q1393" s="4" t="n">
        <v>1230</v>
      </c>
      <c r="R1393" s="3" t="inlineStr">
        <is>
          <t>지정되지않음</t>
        </is>
      </c>
      <c r="S1393" s="3" t="inlineStr">
        <is>
          <t>답</t>
        </is>
      </c>
      <c r="T1393" s="3" t="inlineStr">
        <is>
          <t>평지</t>
        </is>
      </c>
      <c r="U1393" s="3" t="inlineStr">
        <is>
          <t>세로장방</t>
        </is>
      </c>
      <c r="V1393" s="3" t="inlineStr">
        <is>
          <t>세로한면(가)</t>
        </is>
      </c>
    </row>
    <row r="1394">
      <c r="A1394" s="3" t="inlineStr">
        <is>
          <t>오송읍 상봉리 98-15</t>
        </is>
      </c>
      <c r="B1394" s="3" t="inlineStr">
        <is>
          <t>생산관리지역</t>
        </is>
      </c>
      <c r="C1394" s="3" t="inlineStr">
        <is>
          <t>답</t>
        </is>
      </c>
      <c r="D1394" s="3" t="inlineStr">
        <is>
          <t>답</t>
        </is>
      </c>
      <c r="E1394" s="3" t="inlineStr">
        <is>
          <t>매매</t>
        </is>
      </c>
      <c r="F1394" s="4" t="n">
        <v>35500</v>
      </c>
      <c r="G1394" s="4" t="n">
        <v>1468</v>
      </c>
      <c r="H1394" s="4" t="n">
        <v>444</v>
      </c>
      <c r="I1394" s="5" t="n">
        <v>80</v>
      </c>
      <c r="J1394" s="5" t="n">
        <v>26.4</v>
      </c>
      <c r="K1394" s="3" t="inlineStr">
        <is>
          <t>신축, 경작, 투자하기 좋은 토지</t>
        </is>
      </c>
      <c r="L1394" s="6">
        <f>HYPERLINK("https://fin.land.naver.com/articles/2650650172", "매물Link")</f>
        <v/>
      </c>
      <c r="M1394" s="6">
        <f>HYPERLINK("https://map.naver.com/p/search/오송읍 상봉리 98-15", "지도Link")</f>
        <v/>
      </c>
      <c r="N1394" s="6">
        <f>HYPERLINK("http://www.eum.go.kr/web/ar/lu/luLandDet.jsp?pnu=4311325033100980015&amp;isNoScr=script&amp;mode=search", "토지이음")</f>
        <v/>
      </c>
      <c r="O1394" s="3" t="inlineStr">
        <is>
          <t>학정</t>
        </is>
      </c>
      <c r="P1394" s="4" t="n">
        <v>1</v>
      </c>
      <c r="Q1394" s="4" t="n">
        <v>1468</v>
      </c>
      <c r="R1394" s="3" t="inlineStr">
        <is>
          <t>지정되지않음</t>
        </is>
      </c>
      <c r="S1394" s="3" t="inlineStr">
        <is>
          <t>답</t>
        </is>
      </c>
      <c r="T1394" s="3" t="inlineStr">
        <is>
          <t>평지</t>
        </is>
      </c>
      <c r="U1394" s="3" t="inlineStr">
        <is>
          <t>사다리형</t>
        </is>
      </c>
      <c r="V1394" s="3" t="inlineStr">
        <is>
          <t>세로한면(가)</t>
        </is>
      </c>
    </row>
    <row r="1395">
      <c r="A1395" s="3" t="inlineStr">
        <is>
          <t>오송읍 상봉리 산 49-1</t>
        </is>
      </c>
      <c r="B1395" s="3" t="inlineStr">
        <is>
          <t>농림지역</t>
        </is>
      </c>
      <c r="C1395" s="3" t="inlineStr">
        <is>
          <t>임야</t>
        </is>
      </c>
      <c r="D1395" s="3" t="inlineStr">
        <is>
          <t>임야</t>
        </is>
      </c>
      <c r="E1395" s="3" t="inlineStr">
        <is>
          <t>매매</t>
        </is>
      </c>
      <c r="F1395" s="4" t="n">
        <v>22000</v>
      </c>
      <c r="G1395" s="4" t="n">
        <v>29256</v>
      </c>
      <c r="H1395" s="4" t="n">
        <v>8850</v>
      </c>
      <c r="I1395" s="5" t="n">
        <v>2.5</v>
      </c>
      <c r="J1395" s="5" t="n">
        <v>2.4</v>
      </c>
      <c r="K1395" s="3" t="inlineStr">
        <is>
          <t>충북 청주 오송읍 상봉리 임야 매매</t>
        </is>
      </c>
      <c r="L1395" s="6">
        <f>HYPERLINK("https://fin.land.naver.com/articles/2652514401", "매물Link")</f>
        <v/>
      </c>
      <c r="M1395" s="6">
        <f>HYPERLINK("https://map.naver.com/p/search/오송읍 상봉리 산 49-1", "지도Link")</f>
        <v/>
      </c>
      <c r="N1395" s="6">
        <f>HYPERLINK("http://www.eum.go.kr/web/ar/lu/luLandDet.jsp?pnu=4311325033200490001&amp;isNoScr=script&amp;mode=search", "토지이음")</f>
        <v/>
      </c>
      <c r="O1395" s="3" t="inlineStr">
        <is>
          <t>리더</t>
        </is>
      </c>
      <c r="P1395" s="4" t="n">
        <v>1</v>
      </c>
      <c r="Q1395" s="4" t="n">
        <v>29256</v>
      </c>
      <c r="R1395" s="3" t="inlineStr">
        <is>
          <t>생산관리지역</t>
        </is>
      </c>
      <c r="S1395" s="3" t="inlineStr">
        <is>
          <t>자연림</t>
        </is>
      </c>
      <c r="T1395" s="3" t="inlineStr">
        <is>
          <t>완경사</t>
        </is>
      </c>
      <c r="U1395" s="3" t="inlineStr">
        <is>
          <t>부정형</t>
        </is>
      </c>
      <c r="V1395" s="3" t="inlineStr">
        <is>
          <t>맹지</t>
        </is>
      </c>
    </row>
    <row r="1396">
      <c r="A1396" s="3" t="inlineStr">
        <is>
          <t>오송읍 상정리 149-1</t>
        </is>
      </c>
      <c r="B1396" s="3" t="inlineStr">
        <is>
          <t>농림지역</t>
        </is>
      </c>
      <c r="C1396" s="3" t="inlineStr">
        <is>
          <t>창고용지</t>
        </is>
      </c>
      <c r="D1396" s="3" t="inlineStr">
        <is>
          <t>창고용지</t>
        </is>
      </c>
      <c r="E1396" s="3" t="inlineStr">
        <is>
          <t>매매</t>
        </is>
      </c>
      <c r="F1396" s="4" t="n">
        <v>91000</v>
      </c>
      <c r="G1396" s="4" t="n">
        <v>3028</v>
      </c>
      <c r="H1396" s="4" t="n">
        <v>916</v>
      </c>
      <c r="I1396" s="5" t="n">
        <v>99.3</v>
      </c>
      <c r="J1396" s="5" t="n">
        <v>27.4</v>
      </c>
      <c r="K1396" s="3" t="inlineStr">
        <is>
          <t>성토된 창고 용지와 창고용지와 답 매도</t>
        </is>
      </c>
      <c r="L1396" s="6">
        <f>HYPERLINK("https://fin.land.naver.com/articles/2651744349", "매물Link")</f>
        <v/>
      </c>
      <c r="M1396" s="6">
        <f>HYPERLINK("https://map.naver.com/p/search/오송읍 상정리 149-1", "지도Link")</f>
        <v/>
      </c>
      <c r="N1396" s="6">
        <f>HYPERLINK("http://www.eum.go.kr/web/ar/lu/luLandDet.jsp?pnu=4311325022101490001&amp;isNoScr=script&amp;mode=search", "토지이음")</f>
        <v/>
      </c>
      <c r="O1396" s="3" t="inlineStr">
        <is>
          <t>현담</t>
        </is>
      </c>
      <c r="P1396" s="4" t="n">
        <v>1</v>
      </c>
      <c r="Q1396" s="4" t="n">
        <v>660</v>
      </c>
      <c r="R1396" s="3" t="inlineStr">
        <is>
          <t>지정되지않음</t>
        </is>
      </c>
      <c r="S1396" s="3" t="inlineStr">
        <is>
          <t>답창고</t>
        </is>
      </c>
      <c r="T1396" s="3" t="inlineStr">
        <is>
          <t>평지</t>
        </is>
      </c>
      <c r="U1396" s="3" t="inlineStr">
        <is>
          <t>정방형</t>
        </is>
      </c>
      <c r="V1396" s="3" t="inlineStr">
        <is>
          <t>세로한면(가)</t>
        </is>
      </c>
    </row>
    <row r="1397">
      <c r="A1397" s="3" t="inlineStr">
        <is>
          <t>오송읍 상정리 149-3</t>
        </is>
      </c>
      <c r="B1397" s="3" t="inlineStr">
        <is>
          <t>농림지역</t>
        </is>
      </c>
      <c r="C1397" s="3" t="inlineStr">
        <is>
          <t>답</t>
        </is>
      </c>
      <c r="D1397" s="3" t="inlineStr">
        <is>
          <t>답</t>
        </is>
      </c>
      <c r="E1397" s="3" t="inlineStr">
        <is>
          <t>매매</t>
        </is>
      </c>
      <c r="F1397" s="4" t="n">
        <v>90000</v>
      </c>
      <c r="G1397" s="4" t="n">
        <v>3028</v>
      </c>
      <c r="H1397" s="4" t="n">
        <v>916</v>
      </c>
      <c r="I1397" s="5" t="n">
        <v>98.3</v>
      </c>
      <c r="J1397" s="5" t="n">
        <v>23</v>
      </c>
      <c r="K1397" s="3" t="inlineStr">
        <is>
          <t>현재 대지660m2, 창고128m2 임대중, 대토,투자추천</t>
        </is>
      </c>
      <c r="L1397" s="6">
        <f>HYPERLINK("https://fin.land.naver.com/articles/2651061331", "매물Link")</f>
        <v/>
      </c>
      <c r="M1397" s="6">
        <f>HYPERLINK("https://map.naver.com/p/search/오송읍 상정리 149-3", "지도Link")</f>
        <v/>
      </c>
      <c r="N1397" s="6">
        <f>HYPERLINK("http://www.eum.go.kr/web/ar/lu/luLandDet.jsp?pnu=4311325022101490003&amp;isNoScr=script&amp;mode=search", "토지이음")</f>
        <v/>
      </c>
      <c r="O1397" s="3" t="inlineStr">
        <is>
          <t>플러스자이합동</t>
        </is>
      </c>
      <c r="P1397" s="4" t="n">
        <v>1</v>
      </c>
      <c r="Q1397" s="4" t="n">
        <v>2368</v>
      </c>
      <c r="R1397" s="3" t="inlineStr">
        <is>
          <t>지정되지않음</t>
        </is>
      </c>
      <c r="S1397" s="3" t="inlineStr">
        <is>
          <t>답</t>
        </is>
      </c>
      <c r="T1397" s="3" t="inlineStr">
        <is>
          <t>평지</t>
        </is>
      </c>
      <c r="U1397" s="3" t="inlineStr">
        <is>
          <t>부정형</t>
        </is>
      </c>
      <c r="V1397" s="3" t="inlineStr">
        <is>
          <t>세로한면(가)</t>
        </is>
      </c>
    </row>
    <row r="1398">
      <c r="A1398" s="3" t="inlineStr">
        <is>
          <t>오송읍 상정리 174-7</t>
        </is>
      </c>
      <c r="B1398" s="3" t="inlineStr">
        <is>
          <t>계획관리지역</t>
        </is>
      </c>
      <c r="C1398" s="3" t="inlineStr">
        <is>
          <t>전</t>
        </is>
      </c>
      <c r="D1398" s="3" t="inlineStr">
        <is>
          <t>전</t>
        </is>
      </c>
      <c r="E1398" s="3" t="inlineStr">
        <is>
          <t>매매</t>
        </is>
      </c>
      <c r="F1398" s="4" t="n">
        <v>80000</v>
      </c>
      <c r="G1398" s="4" t="n">
        <v>982</v>
      </c>
      <c r="H1398" s="4" t="n">
        <v>297</v>
      </c>
      <c r="I1398" s="5" t="n">
        <v>269.4</v>
      </c>
      <c r="J1398" s="5" t="n">
        <v>43.7</v>
      </c>
      <c r="K1398" s="3" t="inlineStr">
        <is>
          <t>순이네 보리밥 진입로 좌측 직사각형의 용도다양한 토지매매</t>
        </is>
      </c>
      <c r="L1398" s="6">
        <f>HYPERLINK("https://fin.land.naver.com/articles/2652102937", "매물Link")</f>
        <v/>
      </c>
      <c r="M1398" s="6">
        <f>HYPERLINK("https://map.naver.com/p/search/오송읍 상정리 174-7", "지도Link")</f>
        <v/>
      </c>
      <c r="N1398" s="6">
        <f>HYPERLINK("http://www.eum.go.kr/web/ar/lu/luLandDet.jsp?pnu=4311325022101740007&amp;isNoScr=script&amp;mode=search", "토지이음")</f>
        <v/>
      </c>
      <c r="O1398" s="3" t="inlineStr">
        <is>
          <t>오송k랜드</t>
        </is>
      </c>
      <c r="P1398" s="4" t="n">
        <v>1</v>
      </c>
      <c r="Q1398" s="4" t="n">
        <v>982</v>
      </c>
      <c r="R1398" s="3" t="inlineStr">
        <is>
          <t>지정되지않음</t>
        </is>
      </c>
      <c r="S1398" s="3" t="inlineStr">
        <is>
          <t>전</t>
        </is>
      </c>
      <c r="T1398" s="3" t="inlineStr">
        <is>
          <t>평지</t>
        </is>
      </c>
      <c r="U1398" s="3" t="inlineStr">
        <is>
          <t>가로장방</t>
        </is>
      </c>
      <c r="V1398" s="3" t="inlineStr">
        <is>
          <t>소로한면</t>
        </is>
      </c>
    </row>
    <row r="1399">
      <c r="A1399" s="3" t="inlineStr">
        <is>
          <t>오송읍 상정리 189</t>
        </is>
      </c>
      <c r="B1399" s="3" t="inlineStr">
        <is>
          <t>계획관리지역</t>
        </is>
      </c>
      <c r="C1399" s="3" t="inlineStr">
        <is>
          <t>대</t>
        </is>
      </c>
      <c r="D1399" s="3" t="inlineStr">
        <is>
          <t>대</t>
        </is>
      </c>
      <c r="E1399" s="3" t="inlineStr">
        <is>
          <t>매매</t>
        </is>
      </c>
      <c r="F1399" s="4" t="n">
        <v>130000</v>
      </c>
      <c r="G1399" s="4" t="n">
        <v>1413</v>
      </c>
      <c r="H1399" s="4" t="n">
        <v>427</v>
      </c>
      <c r="I1399" s="5" t="n">
        <v>304.4</v>
      </c>
      <c r="J1399" s="5" t="n">
        <v>84.3</v>
      </c>
      <c r="K1399" s="3" t="inlineStr">
        <is>
          <t>오송읍 2차선 도로접한 계획관리 토지매매</t>
        </is>
      </c>
      <c r="L1399" s="6">
        <f>HYPERLINK("https://fin.land.naver.com/articles/2653388615", "매물Link")</f>
        <v/>
      </c>
      <c r="M1399" s="6">
        <f>HYPERLINK("https://map.naver.com/p/search/오송읍 상정리 189", "지도Link")</f>
        <v/>
      </c>
      <c r="N1399" s="6">
        <f>HYPERLINK("http://www.eum.go.kr/web/ar/lu/luLandDet.jsp?pnu=4311325022101890000&amp;isNoScr=script&amp;mode=search", "토지이음")</f>
        <v/>
      </c>
      <c r="O1399" s="3" t="inlineStr">
        <is>
          <t>대지</t>
        </is>
      </c>
      <c r="P1399" s="4" t="n">
        <v>1</v>
      </c>
      <c r="Q1399" s="4" t="n">
        <v>733</v>
      </c>
      <c r="R1399" s="3" t="inlineStr">
        <is>
          <t>지정되지않음</t>
        </is>
      </c>
      <c r="S1399" s="3" t="inlineStr">
        <is>
          <t>단독</t>
        </is>
      </c>
      <c r="T1399" s="3" t="inlineStr">
        <is>
          <t>평지</t>
        </is>
      </c>
      <c r="U1399" s="3" t="inlineStr">
        <is>
          <t>자루형</t>
        </is>
      </c>
      <c r="V1399" s="3" t="inlineStr">
        <is>
          <t>소로한면</t>
        </is>
      </c>
    </row>
    <row r="1400">
      <c r="A1400" s="3" t="inlineStr">
        <is>
          <t>오송읍 상정리 191-4</t>
        </is>
      </c>
      <c r="B1400" s="3" t="inlineStr">
        <is>
          <t>계획관리지역</t>
        </is>
      </c>
      <c r="C1400" s="3" t="inlineStr">
        <is>
          <t>대</t>
        </is>
      </c>
      <c r="D1400" s="3" t="inlineStr">
        <is>
          <t>대</t>
        </is>
      </c>
      <c r="E1400" s="3" t="inlineStr">
        <is>
          <t>매매</t>
        </is>
      </c>
      <c r="F1400" s="4" t="n">
        <v>24600</v>
      </c>
      <c r="G1400" s="4" t="n">
        <v>367</v>
      </c>
      <c r="H1400" s="4" t="n">
        <v>111</v>
      </c>
      <c r="I1400" s="5" t="n">
        <v>221.6</v>
      </c>
      <c r="J1400" s="5" t="n">
        <v>83.59999999999999</v>
      </c>
      <c r="K1400" s="3" t="inlineStr">
        <is>
          <t>오송 1산단 생명과학단지 인근, 도로 옆, 건축가능, 투자가치 있음</t>
        </is>
      </c>
      <c r="L1400" s="6">
        <f>HYPERLINK("https://fin.land.naver.com/articles/2651744309", "매물Link")</f>
        <v/>
      </c>
      <c r="M1400" s="6">
        <f>HYPERLINK("https://map.naver.com/p/search/오송읍 상정리 191-4", "지도Link")</f>
        <v/>
      </c>
      <c r="N1400" s="6">
        <f>HYPERLINK("http://www.eum.go.kr/web/ar/lu/luLandDet.jsp?pnu=4311325022101910004&amp;isNoScr=script&amp;mode=search", "토지이음")</f>
        <v/>
      </c>
      <c r="O1400" s="3" t="inlineStr">
        <is>
          <t>현담</t>
        </is>
      </c>
      <c r="P1400" s="4" t="n">
        <v>1</v>
      </c>
      <c r="Q1400" s="4" t="n">
        <v>367</v>
      </c>
      <c r="R1400" s="3" t="inlineStr">
        <is>
          <t>지정되지않음</t>
        </is>
      </c>
      <c r="S1400" s="3" t="inlineStr">
        <is>
          <t>단독</t>
        </is>
      </c>
      <c r="T1400" s="3" t="inlineStr">
        <is>
          <t>평지</t>
        </is>
      </c>
      <c r="U1400" s="3" t="inlineStr">
        <is>
          <t>사다리형</t>
        </is>
      </c>
      <c r="V1400" s="3" t="inlineStr">
        <is>
          <t>세로한면(가)</t>
        </is>
      </c>
    </row>
    <row r="1401">
      <c r="A1401" s="3" t="inlineStr">
        <is>
          <t>오송읍 상정리 261</t>
        </is>
      </c>
      <c r="B1401" s="3" t="inlineStr">
        <is>
          <t>농림지역</t>
        </is>
      </c>
      <c r="C1401" s="3" t="inlineStr">
        <is>
          <t>답</t>
        </is>
      </c>
      <c r="D1401" s="3" t="inlineStr">
        <is>
          <t>답</t>
        </is>
      </c>
      <c r="E1401" s="3" t="inlineStr">
        <is>
          <t>매매</t>
        </is>
      </c>
      <c r="F1401" s="4" t="n">
        <v>27000</v>
      </c>
      <c r="G1401" s="4" t="n">
        <v>1083</v>
      </c>
      <c r="H1401" s="4" t="n">
        <v>328</v>
      </c>
      <c r="I1401" s="5" t="n">
        <v>82.3</v>
      </c>
      <c r="J1401" s="5" t="n">
        <v>23.3</v>
      </c>
      <c r="K1401" s="3" t="inlineStr">
        <is>
          <t>농림지역</t>
        </is>
      </c>
      <c r="L1401" s="6">
        <f>HYPERLINK("https://fin.land.naver.com/articles/2654093040", "매물Link")</f>
        <v/>
      </c>
      <c r="M1401" s="6">
        <f>HYPERLINK("https://map.naver.com/p/search/오송읍 상정리 261", "지도Link")</f>
        <v/>
      </c>
      <c r="N1401" s="6">
        <f>HYPERLINK("http://www.eum.go.kr/web/ar/lu/luLandDet.jsp?pnu=4311325022102610000&amp;isNoScr=script&amp;mode=search", "토지이음")</f>
        <v/>
      </c>
      <c r="O1401" s="3" t="inlineStr">
        <is>
          <t>수풀림</t>
        </is>
      </c>
      <c r="P1401" s="4" t="n">
        <v>1</v>
      </c>
      <c r="Q1401" s="4" t="n">
        <v>1083</v>
      </c>
      <c r="R1401" s="3" t="inlineStr">
        <is>
          <t>지정되지않음</t>
        </is>
      </c>
      <c r="S1401" s="3" t="inlineStr">
        <is>
          <t>답</t>
        </is>
      </c>
      <c r="T1401" s="3" t="inlineStr">
        <is>
          <t>평지</t>
        </is>
      </c>
      <c r="U1401" s="3" t="inlineStr">
        <is>
          <t>가로장방</t>
        </is>
      </c>
      <c r="V1401" s="3" t="inlineStr">
        <is>
          <t>세로한면(가)</t>
        </is>
      </c>
    </row>
    <row r="1402">
      <c r="A1402" s="3" t="inlineStr">
        <is>
          <t>오송읍 상정리 337</t>
        </is>
      </c>
      <c r="B1402" s="3" t="inlineStr">
        <is>
          <t>계획관리지역</t>
        </is>
      </c>
      <c r="C1402" s="3" t="inlineStr">
        <is>
          <t>답</t>
        </is>
      </c>
      <c r="D1402" s="3" t="inlineStr">
        <is>
          <t>답</t>
        </is>
      </c>
      <c r="E1402" s="3" t="inlineStr">
        <is>
          <t>매매</t>
        </is>
      </c>
      <c r="F1402" s="4" t="n">
        <v>138000</v>
      </c>
      <c r="G1402" s="4" t="n">
        <v>2849</v>
      </c>
      <c r="H1402" s="4" t="n">
        <v>862</v>
      </c>
      <c r="I1402" s="5" t="n">
        <v>160.1</v>
      </c>
      <c r="J1402" s="5" t="n">
        <v>38.1</v>
      </c>
      <c r="K1402" s="3" t="inlineStr">
        <is>
          <t>2차선 코너도로접 화장품산단 인접 성토완료</t>
        </is>
      </c>
      <c r="L1402" s="6">
        <f>HYPERLINK("https://fin.land.naver.com/articles/2654059997", "매물Link")</f>
        <v/>
      </c>
      <c r="M1402" s="6">
        <f>HYPERLINK("https://map.naver.com/p/search/오송읍 상정리 337", "지도Link")</f>
        <v/>
      </c>
      <c r="N1402" s="6">
        <f>HYPERLINK("http://www.eum.go.kr/web/ar/lu/luLandDet.jsp?pnu=4311325022103370000&amp;isNoScr=script&amp;mode=search", "토지이음")</f>
        <v/>
      </c>
      <c r="O1402" s="3" t="inlineStr">
        <is>
          <t>플러스태양</t>
        </is>
      </c>
      <c r="P1402" s="4" t="n">
        <v>1</v>
      </c>
      <c r="Q1402" s="4" t="n">
        <v>2022</v>
      </c>
      <c r="R1402" s="3" t="inlineStr">
        <is>
          <t>지정되지않음</t>
        </is>
      </c>
      <c r="S1402" s="3" t="inlineStr">
        <is>
          <t>답</t>
        </is>
      </c>
      <c r="T1402" s="3" t="inlineStr">
        <is>
          <t>평지</t>
        </is>
      </c>
      <c r="U1402" s="3" t="inlineStr">
        <is>
          <t>부정형</t>
        </is>
      </c>
      <c r="V1402" s="3" t="inlineStr">
        <is>
          <t>세로한면(가)</t>
        </is>
      </c>
    </row>
    <row r="1403">
      <c r="A1403" s="3" t="inlineStr">
        <is>
          <t>오송읍 상정리 337</t>
        </is>
      </c>
      <c r="B1403" s="3" t="inlineStr">
        <is>
          <t>계획관리지역</t>
        </is>
      </c>
      <c r="C1403" s="3" t="inlineStr">
        <is>
          <t>답</t>
        </is>
      </c>
      <c r="D1403" s="3" t="inlineStr">
        <is>
          <t>답</t>
        </is>
      </c>
      <c r="E1403" s="3" t="inlineStr">
        <is>
          <t>매매</t>
        </is>
      </c>
      <c r="F1403" s="4" t="n">
        <v>150000</v>
      </c>
      <c r="G1403" s="4" t="n">
        <v>2849</v>
      </c>
      <c r="H1403" s="4" t="n">
        <v>862</v>
      </c>
      <c r="I1403" s="5" t="n">
        <v>174</v>
      </c>
      <c r="J1403" s="5" t="n">
        <v>38.1</v>
      </c>
      <c r="K1403" s="3" t="inlineStr">
        <is>
          <t>서울세종간 제2고속도로이용(오송ic) 2차 지방도접 입지 최고</t>
        </is>
      </c>
      <c r="L1403" s="6">
        <f>HYPERLINK("https://fin.land.naver.com/articles/2652103214", "매물Link")</f>
        <v/>
      </c>
      <c r="M1403" s="6">
        <f>HYPERLINK("https://map.naver.com/p/search/오송읍 상정리 337", "지도Link")</f>
        <v/>
      </c>
      <c r="N1403" s="6">
        <f>HYPERLINK("http://www.eum.go.kr/web/ar/lu/luLandDet.jsp?pnu=4311325022103370000&amp;isNoScr=script&amp;mode=search", "토지이음")</f>
        <v/>
      </c>
      <c r="O1403" s="3" t="inlineStr">
        <is>
          <t>오송k랜드</t>
        </is>
      </c>
      <c r="P1403" s="4" t="n">
        <v>1</v>
      </c>
      <c r="Q1403" s="4" t="n">
        <v>2022</v>
      </c>
      <c r="R1403" s="3" t="inlineStr">
        <is>
          <t>지정되지않음</t>
        </is>
      </c>
      <c r="S1403" s="3" t="inlineStr">
        <is>
          <t>답</t>
        </is>
      </c>
      <c r="T1403" s="3" t="inlineStr">
        <is>
          <t>평지</t>
        </is>
      </c>
      <c r="U1403" s="3" t="inlineStr">
        <is>
          <t>부정형</t>
        </is>
      </c>
      <c r="V1403" s="3" t="inlineStr">
        <is>
          <t>세로한면(가)</t>
        </is>
      </c>
    </row>
    <row r="1404">
      <c r="A1404" s="3" t="inlineStr">
        <is>
          <t>오송읍 상정리 62-2</t>
        </is>
      </c>
      <c r="B1404" s="3" t="inlineStr">
        <is>
          <t>농림지역</t>
        </is>
      </c>
      <c r="C1404" s="3" t="inlineStr">
        <is>
          <t>전</t>
        </is>
      </c>
      <c r="D1404" s="3" t="inlineStr">
        <is>
          <t>전</t>
        </is>
      </c>
      <c r="E1404" s="3" t="inlineStr">
        <is>
          <t>매매</t>
        </is>
      </c>
      <c r="F1404" s="4" t="n">
        <v>58000</v>
      </c>
      <c r="G1404" s="4" t="n">
        <v>647</v>
      </c>
      <c r="H1404" s="4" t="n">
        <v>196</v>
      </c>
      <c r="I1404" s="5" t="n">
        <v>295.9</v>
      </c>
      <c r="J1404" s="5" t="n">
        <v>53.2</v>
      </c>
      <c r="K1404" s="3" t="inlineStr">
        <is>
          <t>농업용 주택부설창고</t>
        </is>
      </c>
      <c r="L1404" s="6">
        <f>HYPERLINK("https://fin.land.naver.com/articles/2650749483", "매물Link")</f>
        <v/>
      </c>
      <c r="M1404" s="6">
        <f>HYPERLINK("https://map.naver.com/p/search/오송읍 상정리 62-2", "지도Link")</f>
        <v/>
      </c>
      <c r="N1404" s="6">
        <f>HYPERLINK("http://www.eum.go.kr/web/ar/lu/luLandDet.jsp?pnu=4311325022100620002&amp;isNoScr=script&amp;mode=search", "토지이음")</f>
        <v/>
      </c>
      <c r="O1404" s="3" t="inlineStr">
        <is>
          <t>현담</t>
        </is>
      </c>
      <c r="P1404" s="4" t="n">
        <v>1</v>
      </c>
      <c r="Q1404" s="4" t="n">
        <v>647</v>
      </c>
      <c r="R1404" s="3" t="inlineStr">
        <is>
          <t>지정되지않음</t>
        </is>
      </c>
      <c r="S1404" s="3" t="inlineStr">
        <is>
          <t>단독</t>
        </is>
      </c>
      <c r="T1404" s="3" t="inlineStr">
        <is>
          <t>평지</t>
        </is>
      </c>
      <c r="U1404" s="3" t="inlineStr">
        <is>
          <t>사다리형</t>
        </is>
      </c>
      <c r="V1404" s="3" t="inlineStr">
        <is>
          <t>소로한면</t>
        </is>
      </c>
    </row>
    <row r="1405">
      <c r="A1405" s="3" t="inlineStr">
        <is>
          <t>오송읍 상정리 669</t>
        </is>
      </c>
      <c r="B1405" s="3" t="inlineStr">
        <is>
          <t>계획관리지역</t>
        </is>
      </c>
      <c r="C1405" s="3" t="inlineStr">
        <is>
          <t>대</t>
        </is>
      </c>
      <c r="D1405" s="3" t="inlineStr">
        <is>
          <t>대</t>
        </is>
      </c>
      <c r="E1405" s="3" t="inlineStr">
        <is>
          <t>매매</t>
        </is>
      </c>
      <c r="F1405" s="4" t="n">
        <v>34000</v>
      </c>
      <c r="G1405" s="4" t="n">
        <v>507</v>
      </c>
      <c r="H1405" s="4" t="n">
        <v>153</v>
      </c>
      <c r="I1405" s="5" t="n">
        <v>222.2</v>
      </c>
      <c r="J1405" s="5" t="n">
        <v>80.09999999999999</v>
      </c>
      <c r="K1405" s="3" t="inlineStr">
        <is>
          <t>오송 화장품단지옆 전원주택단지,  작은 전원주택과 507㎡의 대지</t>
        </is>
      </c>
      <c r="L1405" s="6">
        <f>HYPERLINK("https://fin.land.naver.com/articles/2652917534", "매물Link")</f>
        <v/>
      </c>
      <c r="M1405" s="6">
        <f>HYPERLINK("https://map.naver.com/p/search/오송읍 상정리 669", "지도Link")</f>
        <v/>
      </c>
      <c r="N1405" s="6">
        <f>HYPERLINK("http://www.eum.go.kr/web/ar/lu/luLandDet.jsp?pnu=4311325022106690000&amp;isNoScr=script&amp;mode=search", "토지이음")</f>
        <v/>
      </c>
      <c r="O1405" s="3" t="inlineStr">
        <is>
          <t>OK파라곤</t>
        </is>
      </c>
      <c r="P1405" s="4" t="n">
        <v>2</v>
      </c>
      <c r="Q1405" s="4" t="n">
        <v>507.1</v>
      </c>
      <c r="R1405" s="3" t="inlineStr">
        <is>
          <t>지정되지않음</t>
        </is>
      </c>
      <c r="S1405" s="3" t="inlineStr">
        <is>
          <t>주거나지</t>
        </is>
      </c>
      <c r="T1405" s="3" t="inlineStr">
        <is>
          <t>완경사</t>
        </is>
      </c>
      <c r="U1405" s="3" t="inlineStr">
        <is>
          <t>세로장방</t>
        </is>
      </c>
      <c r="V1405" s="3" t="inlineStr">
        <is>
          <t>세로한면(가)</t>
        </is>
      </c>
    </row>
    <row r="1406">
      <c r="A1406" s="3" t="inlineStr">
        <is>
          <t>오송읍 상정리 725</t>
        </is>
      </c>
      <c r="B1406" s="3" t="inlineStr">
        <is>
          <t>계획관리지역</t>
        </is>
      </c>
      <c r="C1406" s="3" t="inlineStr">
        <is>
          <t>대</t>
        </is>
      </c>
      <c r="D1406" s="3" t="inlineStr">
        <is>
          <t>대</t>
        </is>
      </c>
      <c r="E1406" s="3" t="inlineStr">
        <is>
          <t>매매</t>
        </is>
      </c>
      <c r="F1406" s="4" t="n">
        <v>33000</v>
      </c>
      <c r="G1406" s="4" t="n">
        <v>541</v>
      </c>
      <c r="H1406" s="4" t="n">
        <v>164</v>
      </c>
      <c r="I1406" s="5" t="n">
        <v>201.2</v>
      </c>
      <c r="J1406" s="5" t="n">
        <v>80.09999999999999</v>
      </c>
      <c r="K1406" s="3" t="inlineStr">
        <is>
          <t>고급 전원주택 단지 계획관리지역 건폐율60 지역 화장품단지 호재</t>
        </is>
      </c>
      <c r="L1406" s="6">
        <f>HYPERLINK("https://fin.land.naver.com/articles/2649903782", "매물Link")</f>
        <v/>
      </c>
      <c r="M1406" s="6">
        <f>HYPERLINK("https://map.naver.com/p/search/오송읍 상정리 725", "지도Link")</f>
        <v/>
      </c>
      <c r="N1406" s="6">
        <f>HYPERLINK("http://www.eum.go.kr/web/ar/lu/luLandDet.jsp?pnu=4311325022107250000&amp;isNoScr=script&amp;mode=search", "토지이음")</f>
        <v/>
      </c>
      <c r="O1406" s="3" t="inlineStr">
        <is>
          <t>프렌즈</t>
        </is>
      </c>
      <c r="P1406" s="4" t="n">
        <v>1</v>
      </c>
      <c r="Q1406" s="4" t="n">
        <v>541.1</v>
      </c>
      <c r="R1406" s="3" t="inlineStr">
        <is>
          <t>지정되지않음</t>
        </is>
      </c>
      <c r="S1406" s="3" t="inlineStr">
        <is>
          <t>주거나지</t>
        </is>
      </c>
      <c r="T1406" s="3" t="inlineStr">
        <is>
          <t>완경사</t>
        </is>
      </c>
      <c r="U1406" s="3" t="inlineStr">
        <is>
          <t>세로장방</t>
        </is>
      </c>
      <c r="V1406" s="3" t="inlineStr">
        <is>
          <t>세로한면(가)</t>
        </is>
      </c>
    </row>
    <row r="1407">
      <c r="A1407" s="3" t="inlineStr">
        <is>
          <t>오송읍 상정리 751</t>
        </is>
      </c>
      <c r="B1407" s="3" t="inlineStr">
        <is>
          <t>계획관리지역</t>
        </is>
      </c>
      <c r="C1407" s="3" t="inlineStr">
        <is>
          <t>대</t>
        </is>
      </c>
      <c r="D1407" s="3" t="inlineStr">
        <is>
          <t>대</t>
        </is>
      </c>
      <c r="E1407" s="3" t="inlineStr">
        <is>
          <t>매매</t>
        </is>
      </c>
      <c r="F1407" s="4" t="n">
        <v>29000</v>
      </c>
      <c r="G1407" s="4" t="n">
        <v>535</v>
      </c>
      <c r="H1407" s="4" t="n">
        <v>162</v>
      </c>
      <c r="I1407" s="5" t="n">
        <v>179</v>
      </c>
      <c r="J1407" s="5" t="n">
        <v>80.09999999999999</v>
      </c>
      <c r="K1407" s="3" t="inlineStr">
        <is>
          <t>nan</t>
        </is>
      </c>
      <c r="L1407" s="6">
        <f>HYPERLINK("https://fin.land.naver.com/articles/2651726674", "매물Link")</f>
        <v/>
      </c>
      <c r="M1407" s="6">
        <f>HYPERLINK("https://map.naver.com/p/search/오송읍 상정리 751", "지도Link")</f>
        <v/>
      </c>
      <c r="N1407" s="6">
        <f>HYPERLINK("http://www.eum.go.kr/web/ar/lu/luLandDet.jsp?pnu=4311325022107510000&amp;isNoScr=script&amp;mode=search", "토지이음")</f>
        <v/>
      </c>
      <c r="O1407" s="3" t="inlineStr">
        <is>
          <t>OK파라곤</t>
        </is>
      </c>
      <c r="P1407" s="4" t="n">
        <v>2</v>
      </c>
      <c r="Q1407" s="4" t="n">
        <v>535</v>
      </c>
      <c r="R1407" s="3" t="inlineStr">
        <is>
          <t>지정되지않음</t>
        </is>
      </c>
      <c r="S1407" s="3" t="inlineStr">
        <is>
          <t>주거나지</t>
        </is>
      </c>
      <c r="T1407" s="3" t="inlineStr">
        <is>
          <t>완경사</t>
        </is>
      </c>
      <c r="U1407" s="3" t="inlineStr">
        <is>
          <t>가로장방</t>
        </is>
      </c>
      <c r="V1407" s="3" t="inlineStr">
        <is>
          <t>세로한면(가)</t>
        </is>
      </c>
    </row>
    <row r="1408">
      <c r="A1408" s="3" t="inlineStr">
        <is>
          <t>오송읍 상정리 751</t>
        </is>
      </c>
      <c r="B1408" s="3" t="inlineStr">
        <is>
          <t>계획관리지역</t>
        </is>
      </c>
      <c r="C1408" s="3" t="inlineStr">
        <is>
          <t>대</t>
        </is>
      </c>
      <c r="D1408" s="3" t="inlineStr">
        <is>
          <t>대</t>
        </is>
      </c>
      <c r="E1408" s="3" t="inlineStr">
        <is>
          <t>매매</t>
        </is>
      </c>
      <c r="F1408" s="4" t="n">
        <v>29000</v>
      </c>
      <c r="G1408" s="4" t="n">
        <v>535</v>
      </c>
      <c r="H1408" s="4" t="n">
        <v>162</v>
      </c>
      <c r="I1408" s="5" t="n">
        <v>179</v>
      </c>
      <c r="J1408" s="5" t="n">
        <v>80.09999999999999</v>
      </c>
      <c r="K1408" s="3" t="inlineStr">
        <is>
          <t>오송의 1산단 인접지.식약처등 국책기관과 바이오 기관 인접지</t>
        </is>
      </c>
      <c r="L1408" s="6">
        <f>HYPERLINK("https://fin.land.naver.com/articles/2651657266", "매물Link")</f>
        <v/>
      </c>
      <c r="M1408" s="6">
        <f>HYPERLINK("https://map.naver.com/p/search/오송읍 상정리 751", "지도Link")</f>
        <v/>
      </c>
      <c r="N1408" s="6">
        <f>HYPERLINK("http://www.eum.go.kr/web/ar/lu/luLandDet.jsp?pnu=4311325022107510000&amp;isNoScr=script&amp;mode=search", "토지이음")</f>
        <v/>
      </c>
      <c r="O1408" s="3" t="inlineStr">
        <is>
          <t>하나로</t>
        </is>
      </c>
      <c r="P1408" s="4" t="n">
        <v>1</v>
      </c>
      <c r="Q1408" s="4" t="n">
        <v>535</v>
      </c>
      <c r="R1408" s="3" t="inlineStr">
        <is>
          <t>지정되지않음</t>
        </is>
      </c>
      <c r="S1408" s="3" t="inlineStr">
        <is>
          <t>주거나지</t>
        </is>
      </c>
      <c r="T1408" s="3" t="inlineStr">
        <is>
          <t>완경사</t>
        </is>
      </c>
      <c r="U1408" s="3" t="inlineStr">
        <is>
          <t>가로장방</t>
        </is>
      </c>
      <c r="V1408" s="3" t="inlineStr">
        <is>
          <t>세로한면(가)</t>
        </is>
      </c>
    </row>
    <row r="1409">
      <c r="A1409" s="3" t="inlineStr">
        <is>
          <t>오송읍 상정리 79</t>
        </is>
      </c>
      <c r="B1409" s="3" t="inlineStr">
        <is>
          <t>생산관리지역</t>
        </is>
      </c>
      <c r="C1409" s="3" t="inlineStr">
        <is>
          <t>답</t>
        </is>
      </c>
      <c r="D1409" s="3" t="inlineStr">
        <is>
          <t>답</t>
        </is>
      </c>
      <c r="E1409" s="3" t="inlineStr">
        <is>
          <t>매매</t>
        </is>
      </c>
      <c r="F1409" s="4" t="n">
        <v>32000</v>
      </c>
      <c r="G1409" s="4" t="n">
        <v>2383</v>
      </c>
      <c r="H1409" s="4" t="n">
        <v>721</v>
      </c>
      <c r="I1409" s="5" t="n">
        <v>44.4</v>
      </c>
      <c r="J1409" s="5" t="n">
        <v>18</v>
      </c>
      <c r="K1409" s="3" t="inlineStr">
        <is>
          <t>여유를 만끽할 수 있는 토지,  인근전원주택지 개발된 오송화장품 산단 옆</t>
        </is>
      </c>
      <c r="L1409" s="6">
        <f>HYPERLINK("https://fin.land.naver.com/articles/2649495113", "매물Link")</f>
        <v/>
      </c>
      <c r="M1409" s="6">
        <f>HYPERLINK("https://map.naver.com/p/search/오송읍 상정리 79", "지도Link")</f>
        <v/>
      </c>
      <c r="N1409" s="6">
        <f>HYPERLINK("http://www.eum.go.kr/web/ar/lu/luLandDet.jsp?pnu=4311325022100790000&amp;isNoScr=script&amp;mode=search", "토지이음")</f>
        <v/>
      </c>
      <c r="O1409" s="3" t="inlineStr">
        <is>
          <t>OK파라곤</t>
        </is>
      </c>
      <c r="P1409" s="4" t="n">
        <v>1</v>
      </c>
      <c r="Q1409" s="4" t="n">
        <v>2383</v>
      </c>
      <c r="R1409" s="3" t="inlineStr">
        <is>
          <t>지정되지않음</t>
        </is>
      </c>
      <c r="S1409" s="3" t="inlineStr">
        <is>
          <t>전</t>
        </is>
      </c>
      <c r="T1409" s="3" t="inlineStr">
        <is>
          <t>완경사</t>
        </is>
      </c>
      <c r="U1409" s="3" t="inlineStr">
        <is>
          <t>부정형</t>
        </is>
      </c>
      <c r="V1409" s="3" t="inlineStr">
        <is>
          <t>세로한면(불)</t>
        </is>
      </c>
    </row>
    <row r="1410">
      <c r="A1410" s="3" t="inlineStr">
        <is>
          <t>오송읍 상정리 산55-3</t>
        </is>
      </c>
      <c r="B1410" s="3" t="inlineStr">
        <is>
          <t>보전관리지역</t>
        </is>
      </c>
      <c r="C1410" s="3" t="inlineStr">
        <is>
          <t>임야</t>
        </is>
      </c>
      <c r="D1410" s="3" t="inlineStr">
        <is>
          <t>임야</t>
        </is>
      </c>
      <c r="E1410" s="3" t="inlineStr">
        <is>
          <t>매매</t>
        </is>
      </c>
      <c r="F1410" s="4" t="n">
        <v>30000</v>
      </c>
      <c r="G1410" s="4" t="n">
        <v>555</v>
      </c>
      <c r="H1410" s="4" t="n">
        <v>168</v>
      </c>
      <c r="I1410" s="5" t="n">
        <v>178.6</v>
      </c>
      <c r="J1410" s="5" t="n">
        <v>78.3</v>
      </c>
      <c r="K1410" s="3" t="inlineStr">
        <is>
          <t>도심과 가까운 마당있는 전원주택 짓기 딱 좋은땅.추천매물</t>
        </is>
      </c>
      <c r="L1410" s="6">
        <f>HYPERLINK("https://fin.land.naver.com/articles/2653493810", "매물Link")</f>
        <v/>
      </c>
      <c r="M1410" s="6">
        <f>HYPERLINK("https://map.naver.com/p/search/오송읍 상정리 산55-3", "지도Link")</f>
        <v/>
      </c>
      <c r="N1410" s="6">
        <f>HYPERLINK("http://www.eum.go.kr/web/ar/lu/luLandDet.jsp?pnu=4311325022200550003&amp;isNoScr=script&amp;mode=search", "토지이음")</f>
        <v/>
      </c>
      <c r="O1410" s="3" t="inlineStr">
        <is>
          <t>오송2단지창조</t>
        </is>
      </c>
      <c r="P1410" s="4" t="n">
        <v>2</v>
      </c>
      <c r="Q1410" s="4" t="n">
        <v>555</v>
      </c>
      <c r="R1410" s="3" t="inlineStr">
        <is>
          <t>지정되지않음</t>
        </is>
      </c>
      <c r="S1410" s="3" t="inlineStr">
        <is>
          <t>주거나지</t>
        </is>
      </c>
      <c r="T1410" s="3" t="inlineStr">
        <is>
          <t>완경사</t>
        </is>
      </c>
      <c r="U1410" s="3" t="inlineStr">
        <is>
          <t>사다리형</t>
        </is>
      </c>
      <c r="V1410" s="3" t="inlineStr">
        <is>
          <t>세로한면(가)</t>
        </is>
      </c>
    </row>
    <row r="1411">
      <c r="A1411" s="3" t="inlineStr">
        <is>
          <t>오송읍 서평리 128</t>
        </is>
      </c>
      <c r="B1411" s="3" t="inlineStr">
        <is>
          <t>농림지역</t>
        </is>
      </c>
      <c r="C1411" s="3" t="inlineStr">
        <is>
          <t>답</t>
        </is>
      </c>
      <c r="D1411" s="3" t="inlineStr">
        <is>
          <t>답</t>
        </is>
      </c>
      <c r="E1411" s="3" t="inlineStr">
        <is>
          <t>매매</t>
        </is>
      </c>
      <c r="F1411" s="4" t="n">
        <v>144000</v>
      </c>
      <c r="G1411" s="4" t="n">
        <v>3967</v>
      </c>
      <c r="H1411" s="4" t="n">
        <v>1200</v>
      </c>
      <c r="I1411" s="5" t="n">
        <v>120</v>
      </c>
      <c r="J1411" s="5" t="n">
        <v>55.5</v>
      </c>
      <c r="K1411" s="3" t="inlineStr">
        <is>
          <t>오송 제3생명과학 국가산업단지 인접 2차선에 접한 접근성좋은 호재높은토지</t>
        </is>
      </c>
      <c r="L1411" s="6">
        <f>HYPERLINK("https://fin.land.naver.com/articles/2651386258", "매물Link")</f>
        <v/>
      </c>
      <c r="M1411" s="6">
        <f>HYPERLINK("https://map.naver.com/p/search/오송읍 서평리 128", "지도Link")</f>
        <v/>
      </c>
      <c r="N1411" s="6">
        <f>HYPERLINK("http://www.eum.go.kr/web/ar/lu/luLandDet.jsp?pnu=4311325030101280000&amp;isNoScr=script&amp;mode=search", "토지이음")</f>
        <v/>
      </c>
      <c r="O1411" s="3" t="inlineStr">
        <is>
          <t>명지</t>
        </is>
      </c>
      <c r="P1411" s="4" t="n">
        <v>1</v>
      </c>
      <c r="Q1411" s="4" t="n">
        <v>3967</v>
      </c>
      <c r="R1411" s="3" t="inlineStr">
        <is>
          <t>지정되지않음</t>
        </is>
      </c>
      <c r="S1411" s="3" t="inlineStr">
        <is>
          <t>답</t>
        </is>
      </c>
      <c r="T1411" s="3" t="inlineStr">
        <is>
          <t>평지</t>
        </is>
      </c>
      <c r="U1411" s="3" t="inlineStr">
        <is>
          <t>세로장방</t>
        </is>
      </c>
      <c r="V1411" s="3" t="inlineStr">
        <is>
          <t>소로한면</t>
        </is>
      </c>
    </row>
    <row r="1412">
      <c r="A1412" s="3" t="inlineStr">
        <is>
          <t>오송읍 서평리 129</t>
        </is>
      </c>
      <c r="B1412" s="3" t="inlineStr">
        <is>
          <t>농림지역</t>
        </is>
      </c>
      <c r="C1412" s="3" t="inlineStr">
        <is>
          <t>답</t>
        </is>
      </c>
      <c r="D1412" s="3" t="inlineStr">
        <is>
          <t>답</t>
        </is>
      </c>
      <c r="E1412" s="3" t="inlineStr">
        <is>
          <t>매매</t>
        </is>
      </c>
      <c r="F1412" s="4" t="n">
        <v>170000</v>
      </c>
      <c r="G1412" s="4" t="n">
        <v>5088</v>
      </c>
      <c r="H1412" s="4" t="n">
        <v>1539</v>
      </c>
      <c r="I1412" s="5" t="n">
        <v>110.5</v>
      </c>
      <c r="J1412" s="5" t="n">
        <v>55.5</v>
      </c>
      <c r="K1412" s="3" t="inlineStr">
        <is>
          <t>오송 제3생명과학 국가산업단지 인근토지, 2차선도로에 접함,두필지,절충</t>
        </is>
      </c>
      <c r="L1412" s="6">
        <f>HYPERLINK("https://fin.land.naver.com/articles/2651207738", "매물Link")</f>
        <v/>
      </c>
      <c r="M1412" s="6">
        <f>HYPERLINK("https://map.naver.com/p/search/오송읍 서평리 129", "지도Link")</f>
        <v/>
      </c>
      <c r="N1412" s="6">
        <f>HYPERLINK("http://www.eum.go.kr/web/ar/lu/luLandDet.jsp?pnu=4311325030101290000&amp;isNoScr=script&amp;mode=search", "토지이음")</f>
        <v/>
      </c>
      <c r="O1412" s="3" t="inlineStr">
        <is>
          <t>금호무소</t>
        </is>
      </c>
      <c r="P1412" s="4" t="n">
        <v>1</v>
      </c>
      <c r="Q1412" s="4" t="n">
        <v>4116</v>
      </c>
      <c r="R1412" s="3" t="inlineStr">
        <is>
          <t>지정되지않음</t>
        </is>
      </c>
      <c r="S1412" s="3" t="inlineStr">
        <is>
          <t>답</t>
        </is>
      </c>
      <c r="T1412" s="3" t="inlineStr">
        <is>
          <t>평지</t>
        </is>
      </c>
      <c r="U1412" s="3" t="inlineStr">
        <is>
          <t>세로장방</t>
        </is>
      </c>
      <c r="V1412" s="3" t="inlineStr">
        <is>
          <t>소로한면</t>
        </is>
      </c>
    </row>
    <row r="1413">
      <c r="A1413" s="3" t="inlineStr">
        <is>
          <t>오송읍 서평리 129</t>
        </is>
      </c>
      <c r="B1413" s="3" t="inlineStr">
        <is>
          <t>농림지역</t>
        </is>
      </c>
      <c r="C1413" s="3" t="inlineStr">
        <is>
          <t>답</t>
        </is>
      </c>
      <c r="D1413" s="3" t="inlineStr">
        <is>
          <t>답</t>
        </is>
      </c>
      <c r="E1413" s="3" t="inlineStr">
        <is>
          <t>매매</t>
        </is>
      </c>
      <c r="F1413" s="4" t="n">
        <v>170000</v>
      </c>
      <c r="G1413" s="4" t="n">
        <v>5088</v>
      </c>
      <c r="H1413" s="4" t="n">
        <v>1539</v>
      </c>
      <c r="I1413" s="5" t="n">
        <v>110.5</v>
      </c>
      <c r="J1413" s="5" t="n">
        <v>55.5</v>
      </c>
      <c r="K1413" s="3" t="inlineStr">
        <is>
          <t>오송3산단 배후지 및 토지거래허가 해제로 지가 상승중인 유망 투자지역</t>
        </is>
      </c>
      <c r="L1413" s="6">
        <f>HYPERLINK("https://fin.land.naver.com/articles/2653326517", "매물Link")</f>
        <v/>
      </c>
      <c r="M1413" s="6">
        <f>HYPERLINK("https://map.naver.com/p/search/오송읍 서평리 129", "지도Link")</f>
        <v/>
      </c>
      <c r="N1413" s="6">
        <f>HYPERLINK("http://www.eum.go.kr/web/ar/lu/luLandDet.jsp?pnu=4311325030101290000&amp;isNoScr=script&amp;mode=search", "토지이음")</f>
        <v/>
      </c>
      <c r="O1413" s="3" t="inlineStr">
        <is>
          <t>청주모충사모1/2LH트릴로채명성</t>
        </is>
      </c>
      <c r="P1413" s="4" t="n">
        <v>1</v>
      </c>
      <c r="Q1413" s="4" t="n">
        <v>4116</v>
      </c>
      <c r="R1413" s="3" t="inlineStr">
        <is>
          <t>지정되지않음</t>
        </is>
      </c>
      <c r="S1413" s="3" t="inlineStr">
        <is>
          <t>답</t>
        </is>
      </c>
      <c r="T1413" s="3" t="inlineStr">
        <is>
          <t>평지</t>
        </is>
      </c>
      <c r="U1413" s="3" t="inlineStr">
        <is>
          <t>세로장방</t>
        </is>
      </c>
      <c r="V1413" s="3" t="inlineStr">
        <is>
          <t>소로한면</t>
        </is>
      </c>
    </row>
    <row r="1414">
      <c r="A1414" s="3" t="inlineStr">
        <is>
          <t>오송읍 서평리 180-6</t>
        </is>
      </c>
      <c r="B1414" s="3" t="inlineStr">
        <is>
          <t>농림지역</t>
        </is>
      </c>
      <c r="C1414" s="3" t="inlineStr">
        <is>
          <t>창고용지</t>
        </is>
      </c>
      <c r="D1414" s="3" t="inlineStr">
        <is>
          <t>창고용지</t>
        </is>
      </c>
      <c r="E1414" s="3" t="inlineStr">
        <is>
          <t>매매</t>
        </is>
      </c>
      <c r="F1414" s="4" t="n">
        <v>360000</v>
      </c>
      <c r="G1414" s="4" t="n">
        <v>2866</v>
      </c>
      <c r="H1414" s="4" t="n">
        <v>867</v>
      </c>
      <c r="I1414" s="5" t="n">
        <v>415.2</v>
      </c>
      <c r="J1414" s="5" t="n">
        <v>128.3</v>
      </c>
      <c r="K1414" s="3" t="inlineStr">
        <is>
          <t>nan</t>
        </is>
      </c>
      <c r="L1414" s="6">
        <f>HYPERLINK("https://fin.land.naver.com/articles/2650862822", "매물Link")</f>
        <v/>
      </c>
      <c r="M1414" s="6">
        <f>HYPERLINK("https://map.naver.com/p/search/오송읍 서평리 180-6", "지도Link")</f>
        <v/>
      </c>
      <c r="N1414" s="6">
        <f>HYPERLINK("http://www.eum.go.kr/web/ar/lu/luLandDet.jsp?pnu=4311325030101800006&amp;isNoScr=script&amp;mode=search", "토지이음")</f>
        <v/>
      </c>
      <c r="O1414" s="3" t="inlineStr">
        <is>
          <t>프로</t>
        </is>
      </c>
      <c r="P1414" s="4" t="n">
        <v>1</v>
      </c>
      <c r="Q1414" s="4" t="n">
        <v>769</v>
      </c>
      <c r="R1414" s="3" t="inlineStr">
        <is>
          <t>지정되지않음</t>
        </is>
      </c>
      <c r="S1414" s="3" t="inlineStr">
        <is>
          <t>답창고</t>
        </is>
      </c>
      <c r="T1414" s="3" t="inlineStr">
        <is>
          <t>평지</t>
        </is>
      </c>
      <c r="U1414" s="3" t="inlineStr">
        <is>
          <t>가로장방</t>
        </is>
      </c>
      <c r="V1414" s="3" t="inlineStr">
        <is>
          <t>광대로한면</t>
        </is>
      </c>
    </row>
    <row r="1415">
      <c r="A1415" s="3" t="inlineStr">
        <is>
          <t>오송읍 서평리 180-6</t>
        </is>
      </c>
      <c r="B1415" s="3" t="inlineStr">
        <is>
          <t>농림지역</t>
        </is>
      </c>
      <c r="C1415" s="3" t="inlineStr">
        <is>
          <t>창고용지</t>
        </is>
      </c>
      <c r="D1415" s="3" t="inlineStr">
        <is>
          <t>답</t>
        </is>
      </c>
      <c r="E1415" s="3" t="inlineStr">
        <is>
          <t>매매</t>
        </is>
      </c>
      <c r="F1415" s="4" t="n">
        <v>360000</v>
      </c>
      <c r="G1415" s="4" t="n">
        <v>2866</v>
      </c>
      <c r="H1415" s="4" t="n">
        <v>867</v>
      </c>
      <c r="I1415" s="5" t="n">
        <v>415.2</v>
      </c>
      <c r="J1415" s="5" t="n">
        <v>128.3</v>
      </c>
      <c r="K1415" s="3" t="inlineStr">
        <is>
          <t>매물 특징</t>
        </is>
      </c>
      <c r="L1415" s="6">
        <f>HYPERLINK("https://fin.land.naver.com/articles/2653143304", "매물Link")</f>
        <v/>
      </c>
      <c r="M1415" s="6">
        <f>HYPERLINK("https://map.naver.com/p/search/오송읍 서평리 180-6", "지도Link")</f>
        <v/>
      </c>
      <c r="N1415" s="6">
        <f>HYPERLINK("http://www.eum.go.kr/web/ar/lu/luLandDet.jsp?pnu=4311325030101800006&amp;isNoScr=script&amp;mode=search", "토지이음")</f>
        <v/>
      </c>
      <c r="O1415" s="3" t="inlineStr">
        <is>
          <t>오송궁평마을</t>
        </is>
      </c>
      <c r="P1415" s="4" t="n">
        <v>1</v>
      </c>
      <c r="Q1415" s="4" t="n">
        <v>769</v>
      </c>
      <c r="R1415" s="3" t="inlineStr">
        <is>
          <t>지정되지않음</t>
        </is>
      </c>
      <c r="S1415" s="3" t="inlineStr">
        <is>
          <t>답창고</t>
        </is>
      </c>
      <c r="T1415" s="3" t="inlineStr">
        <is>
          <t>평지</t>
        </is>
      </c>
      <c r="U1415" s="3" t="inlineStr">
        <is>
          <t>가로장방</t>
        </is>
      </c>
      <c r="V1415" s="3" t="inlineStr">
        <is>
          <t>광대로한면</t>
        </is>
      </c>
    </row>
    <row r="1416">
      <c r="A1416" s="3" t="inlineStr">
        <is>
          <t>오송읍 서평리 183-2</t>
        </is>
      </c>
      <c r="B1416" s="3" t="inlineStr">
        <is>
          <t>농림지역</t>
        </is>
      </c>
      <c r="C1416" s="3" t="inlineStr">
        <is>
          <t>답</t>
        </is>
      </c>
      <c r="D1416" s="3" t="inlineStr">
        <is>
          <t>답</t>
        </is>
      </c>
      <c r="E1416" s="3" t="inlineStr">
        <is>
          <t>매매</t>
        </is>
      </c>
      <c r="F1416" s="4" t="n">
        <v>115000</v>
      </c>
      <c r="G1416" s="4" t="n">
        <v>3977</v>
      </c>
      <c r="H1416" s="4" t="n">
        <v>1203</v>
      </c>
      <c r="I1416" s="5" t="n">
        <v>95.59999999999999</v>
      </c>
      <c r="J1416" s="5" t="n">
        <v>51.4</v>
      </c>
      <c r="K1416" s="3" t="inlineStr">
        <is>
          <t>3산단 인근물건중 단연  최고의 위치,가격, 투자 추천물건</t>
        </is>
      </c>
      <c r="L1416" s="6">
        <f>HYPERLINK("https://fin.land.naver.com/articles/2652104069", "매물Link")</f>
        <v/>
      </c>
      <c r="M1416" s="6">
        <f>HYPERLINK("https://map.naver.com/p/search/오송읍 서평리 183-2", "지도Link")</f>
        <v/>
      </c>
      <c r="N1416" s="6">
        <f>HYPERLINK("http://www.eum.go.kr/web/ar/lu/luLandDet.jsp?pnu=4311325030101830002&amp;isNoScr=script&amp;mode=search", "토지이음")</f>
        <v/>
      </c>
      <c r="O1416" s="3" t="inlineStr">
        <is>
          <t>오송k랜드</t>
        </is>
      </c>
      <c r="P1416" s="4" t="n">
        <v>1</v>
      </c>
      <c r="Q1416" s="4" t="n">
        <v>3977</v>
      </c>
      <c r="R1416" s="3" t="inlineStr">
        <is>
          <t>지정되지않음</t>
        </is>
      </c>
      <c r="S1416" s="3" t="inlineStr">
        <is>
          <t>답</t>
        </is>
      </c>
      <c r="T1416" s="3" t="inlineStr">
        <is>
          <t>평지</t>
        </is>
      </c>
      <c r="U1416" s="3" t="inlineStr">
        <is>
          <t>세로장방</t>
        </is>
      </c>
      <c r="V1416" s="3" t="inlineStr">
        <is>
          <t>세로한면(가)</t>
        </is>
      </c>
    </row>
    <row r="1417">
      <c r="A1417" s="3" t="inlineStr">
        <is>
          <t>오송읍 서평리 194-2</t>
        </is>
      </c>
      <c r="B1417" s="3" t="inlineStr">
        <is>
          <t>농림지역</t>
        </is>
      </c>
      <c r="C1417" s="3" t="inlineStr">
        <is>
          <t>답</t>
        </is>
      </c>
      <c r="D1417" s="3" t="inlineStr">
        <is>
          <t>답</t>
        </is>
      </c>
      <c r="E1417" s="3" t="inlineStr">
        <is>
          <t>매매</t>
        </is>
      </c>
      <c r="F1417" s="4" t="n">
        <v>100000</v>
      </c>
      <c r="G1417" s="4" t="n">
        <v>2182</v>
      </c>
      <c r="H1417" s="4" t="n">
        <v>660</v>
      </c>
      <c r="I1417" s="5" t="n">
        <v>151.5</v>
      </c>
      <c r="J1417" s="5" t="n">
        <v>54.7</v>
      </c>
      <c r="K1417" s="3" t="inlineStr">
        <is>
          <t>복숭아등 과일 노상 판매장용도 추천</t>
        </is>
      </c>
      <c r="L1417" s="6">
        <f>HYPERLINK("https://fin.land.naver.com/articles/2649950268", "매물Link")</f>
        <v/>
      </c>
      <c r="M1417" s="6">
        <f>HYPERLINK("https://map.naver.com/p/search/오송읍 서평리 194-2", "지도Link")</f>
        <v/>
      </c>
      <c r="N1417" s="6">
        <f>HYPERLINK("http://www.eum.go.kr/web/ar/lu/luLandDet.jsp?pnu=4311325030101940002&amp;isNoScr=script&amp;mode=search", "토지이음")</f>
        <v/>
      </c>
      <c r="O1417" s="3" t="inlineStr">
        <is>
          <t>오송k랜드</t>
        </is>
      </c>
      <c r="P1417" s="4" t="n">
        <v>1</v>
      </c>
      <c r="Q1417" s="4" t="n">
        <v>2182</v>
      </c>
      <c r="R1417" s="3" t="inlineStr">
        <is>
          <t>지정되지않음</t>
        </is>
      </c>
      <c r="S1417" s="3" t="inlineStr">
        <is>
          <t>답</t>
        </is>
      </c>
      <c r="T1417" s="3" t="inlineStr">
        <is>
          <t>평지</t>
        </is>
      </c>
      <c r="U1417" s="3" t="inlineStr">
        <is>
          <t>세로장방</t>
        </is>
      </c>
      <c r="V1417" s="3" t="inlineStr">
        <is>
          <t>소로한면</t>
        </is>
      </c>
    </row>
    <row r="1418">
      <c r="A1418" s="3" t="inlineStr">
        <is>
          <t>오송읍 서평리 210-1</t>
        </is>
      </c>
      <c r="B1418" s="3" t="inlineStr">
        <is>
          <t>농림지역</t>
        </is>
      </c>
      <c r="C1418" s="3" t="inlineStr">
        <is>
          <t>답</t>
        </is>
      </c>
      <c r="D1418" s="3" t="inlineStr">
        <is>
          <t>답</t>
        </is>
      </c>
      <c r="E1418" s="3" t="inlineStr">
        <is>
          <t>매매</t>
        </is>
      </c>
      <c r="F1418" s="4" t="n">
        <v>44700</v>
      </c>
      <c r="G1418" s="4" t="n">
        <v>1477</v>
      </c>
      <c r="H1418" s="4" t="n">
        <v>447</v>
      </c>
      <c r="I1418" s="5" t="n">
        <v>100</v>
      </c>
      <c r="J1418" s="5" t="n">
        <v>54.7</v>
      </c>
      <c r="K1418" s="3" t="inlineStr">
        <is>
          <t>nan</t>
        </is>
      </c>
      <c r="L1418" s="6">
        <f>HYPERLINK("https://fin.land.naver.com/articles/2653731006", "매물Link")</f>
        <v/>
      </c>
      <c r="M1418" s="6">
        <f>HYPERLINK("https://map.naver.com/p/search/오송읍 서평리 210-1", "지도Link")</f>
        <v/>
      </c>
      <c r="N1418" s="6">
        <f>HYPERLINK("http://www.eum.go.kr/web/ar/lu/luLandDet.jsp?pnu=4311325030102100001&amp;isNoScr=script&amp;mode=search", "토지이음")</f>
        <v/>
      </c>
      <c r="O1418" s="3" t="inlineStr">
        <is>
          <t>세종큰길</t>
        </is>
      </c>
      <c r="P1418" s="4" t="n">
        <v>1</v>
      </c>
      <c r="Q1418" s="4" t="n">
        <v>1373</v>
      </c>
      <c r="R1418" s="3" t="inlineStr">
        <is>
          <t>지정되지않음</t>
        </is>
      </c>
      <c r="S1418" s="3" t="inlineStr">
        <is>
          <t>답</t>
        </is>
      </c>
      <c r="T1418" s="3" t="inlineStr">
        <is>
          <t>평지</t>
        </is>
      </c>
      <c r="U1418" s="3" t="inlineStr">
        <is>
          <t>세로장방</t>
        </is>
      </c>
      <c r="V1418" s="3" t="inlineStr">
        <is>
          <t>소로한면</t>
        </is>
      </c>
    </row>
    <row r="1419">
      <c r="A1419" s="3" t="inlineStr">
        <is>
          <t>오송읍 서평리 214-10</t>
        </is>
      </c>
      <c r="B1419" s="3" t="inlineStr">
        <is>
          <t>농림지역</t>
        </is>
      </c>
      <c r="C1419" s="3" t="inlineStr">
        <is>
          <t>과수원</t>
        </is>
      </c>
      <c r="D1419" s="3" t="inlineStr">
        <is>
          <t>과수원</t>
        </is>
      </c>
      <c r="E1419" s="3" t="inlineStr">
        <is>
          <t>매매</t>
        </is>
      </c>
      <c r="F1419" s="4" t="n">
        <v>198720</v>
      </c>
      <c r="G1419" s="4" t="n">
        <v>4564</v>
      </c>
      <c r="H1419" s="4" t="n">
        <v>1381</v>
      </c>
      <c r="I1419" s="5" t="n">
        <v>143.9</v>
      </c>
      <c r="J1419" s="5" t="n">
        <v>54.7</v>
      </c>
      <c r="K1419" s="3" t="inlineStr">
        <is>
          <t>오송3산단 배후지, 토지거래허가 해제로 대토용지로 지가상승 유망 투자지역</t>
        </is>
      </c>
      <c r="L1419" s="6">
        <f>HYPERLINK("https://fin.land.naver.com/articles/2650412996", "매물Link")</f>
        <v/>
      </c>
      <c r="M1419" s="6">
        <f>HYPERLINK("https://map.naver.com/p/search/오송읍 서평리 214-10", "지도Link")</f>
        <v/>
      </c>
      <c r="N1419" s="6">
        <f>HYPERLINK("http://www.eum.go.kr/web/ar/lu/luLandDet.jsp?pnu=4311325030102140010&amp;isNoScr=script&amp;mode=search", "토지이음")</f>
        <v/>
      </c>
      <c r="O1419" s="3" t="inlineStr">
        <is>
          <t>청주모충사모1/2LH트릴로채명성</t>
        </is>
      </c>
      <c r="P1419" s="4" t="n">
        <v>1</v>
      </c>
      <c r="Q1419" s="4" t="n">
        <v>4213</v>
      </c>
      <c r="R1419" s="3" t="inlineStr">
        <is>
          <t>지정되지않음</t>
        </is>
      </c>
      <c r="S1419" s="3" t="inlineStr">
        <is>
          <t>과수원</t>
        </is>
      </c>
      <c r="T1419" s="3" t="inlineStr">
        <is>
          <t>평지</t>
        </is>
      </c>
      <c r="U1419" s="3" t="inlineStr">
        <is>
          <t>부정형</t>
        </is>
      </c>
      <c r="V1419" s="3" t="inlineStr">
        <is>
          <t>소로한면</t>
        </is>
      </c>
    </row>
    <row r="1420">
      <c r="A1420" s="3" t="inlineStr">
        <is>
          <t>오송읍 서평리 214-4</t>
        </is>
      </c>
      <c r="B1420" s="3" t="inlineStr">
        <is>
          <t>농림지역</t>
        </is>
      </c>
      <c r="C1420" s="3" t="inlineStr">
        <is>
          <t>전</t>
        </is>
      </c>
      <c r="D1420" s="3" t="inlineStr">
        <is>
          <t>과수원</t>
        </is>
      </c>
      <c r="E1420" s="3" t="inlineStr">
        <is>
          <t>매매</t>
        </is>
      </c>
      <c r="F1420" s="4" t="n">
        <v>122000</v>
      </c>
      <c r="G1420" s="4" t="n">
        <v>3080</v>
      </c>
      <c r="H1420" s="4" t="n">
        <v>932</v>
      </c>
      <c r="I1420" s="5" t="n">
        <v>130.9</v>
      </c>
      <c r="J1420" s="5" t="n">
        <v>54.7</v>
      </c>
      <c r="K1420" s="3" t="inlineStr">
        <is>
          <t>2차선 도로접한 토지</t>
        </is>
      </c>
      <c r="L1420" s="6">
        <f>HYPERLINK("https://fin.land.naver.com/articles/2650856660", "매물Link")</f>
        <v/>
      </c>
      <c r="M1420" s="6">
        <f>HYPERLINK("https://map.naver.com/p/search/오송읍 서평리 214-4", "지도Link")</f>
        <v/>
      </c>
      <c r="N1420" s="6">
        <f>HYPERLINK("http://www.eum.go.kr/web/ar/lu/luLandDet.jsp?pnu=4311325030102140004&amp;isNoScr=script&amp;mode=search", "토지이음")</f>
        <v/>
      </c>
      <c r="O1420" s="3" t="inlineStr">
        <is>
          <t>세종대박</t>
        </is>
      </c>
      <c r="P1420" s="4" t="n">
        <v>1</v>
      </c>
      <c r="Q1420" s="4" t="n">
        <v>3080</v>
      </c>
      <c r="R1420" s="3" t="inlineStr">
        <is>
          <t>지정되지않음</t>
        </is>
      </c>
      <c r="S1420" s="3" t="inlineStr">
        <is>
          <t>전</t>
        </is>
      </c>
      <c r="T1420" s="3" t="inlineStr">
        <is>
          <t>평지</t>
        </is>
      </c>
      <c r="U1420" s="3" t="inlineStr">
        <is>
          <t>세로장방</t>
        </is>
      </c>
      <c r="V1420" s="3" t="inlineStr">
        <is>
          <t>소로한면</t>
        </is>
      </c>
    </row>
    <row r="1421">
      <c r="A1421" s="3" t="inlineStr">
        <is>
          <t>오송읍 서평리 281-1</t>
        </is>
      </c>
      <c r="B1421" s="3" t="inlineStr">
        <is>
          <t>농림지역</t>
        </is>
      </c>
      <c r="C1421" s="3" t="inlineStr">
        <is>
          <t>답</t>
        </is>
      </c>
      <c r="D1421" s="3" t="inlineStr">
        <is>
          <t>답</t>
        </is>
      </c>
      <c r="E1421" s="3" t="inlineStr">
        <is>
          <t>매매</t>
        </is>
      </c>
      <c r="F1421" s="4" t="n">
        <v>105000</v>
      </c>
      <c r="G1421" s="4" t="n">
        <v>2827</v>
      </c>
      <c r="H1421" s="4" t="n">
        <v>855</v>
      </c>
      <c r="I1421" s="5" t="n">
        <v>122.8</v>
      </c>
      <c r="J1421" s="5" t="n">
        <v>29.5</v>
      </c>
      <c r="K1421" s="3" t="inlineStr">
        <is>
          <t>하우스시설이 완비된 토지,주변 토지와 일괄 매매</t>
        </is>
      </c>
      <c r="L1421" s="6">
        <f>HYPERLINK("https://fin.land.naver.com/articles/2653865751", "매물Link")</f>
        <v/>
      </c>
      <c r="M1421" s="6">
        <f>HYPERLINK("https://map.naver.com/p/search/오송읍 서평리 281-1", "지도Link")</f>
        <v/>
      </c>
      <c r="N1421" s="6">
        <f>HYPERLINK("http://www.eum.go.kr/web/ar/lu/luLandDet.jsp?pnu=4311325030102810001&amp;isNoScr=script&amp;mode=search", "토지이음")</f>
        <v/>
      </c>
      <c r="O1421" s="3" t="inlineStr">
        <is>
          <t>오송2단지창조</t>
        </is>
      </c>
      <c r="P1421" s="4" t="n">
        <v>1</v>
      </c>
      <c r="Q1421" s="4" t="n">
        <v>2827</v>
      </c>
      <c r="R1421" s="3" t="inlineStr">
        <is>
          <t>지정되지않음</t>
        </is>
      </c>
      <c r="S1421" s="3" t="inlineStr">
        <is>
          <t>답</t>
        </is>
      </c>
      <c r="T1421" s="3" t="inlineStr">
        <is>
          <t>평지</t>
        </is>
      </c>
      <c r="U1421" s="3" t="inlineStr">
        <is>
          <t>사다리형</t>
        </is>
      </c>
      <c r="V1421" s="3" t="inlineStr">
        <is>
          <t>세로한면(가)</t>
        </is>
      </c>
    </row>
    <row r="1422">
      <c r="A1422" s="3" t="inlineStr">
        <is>
          <t>오송읍 서평리 296-4</t>
        </is>
      </c>
      <c r="B1422" s="3" t="inlineStr">
        <is>
          <t>농림지역</t>
        </is>
      </c>
      <c r="C1422" s="3" t="inlineStr">
        <is>
          <t>답</t>
        </is>
      </c>
      <c r="D1422" s="3" t="inlineStr">
        <is>
          <t>답</t>
        </is>
      </c>
      <c r="E1422" s="3" t="inlineStr">
        <is>
          <t>매매</t>
        </is>
      </c>
      <c r="F1422" s="4" t="n">
        <v>42000</v>
      </c>
      <c r="G1422" s="4" t="n">
        <v>2340</v>
      </c>
      <c r="H1422" s="4" t="n">
        <v>708</v>
      </c>
      <c r="I1422" s="5" t="n">
        <v>59.3</v>
      </c>
      <c r="J1422" s="5" t="n">
        <v>29.5</v>
      </c>
      <c r="K1422" s="3" t="inlineStr">
        <is>
          <t>오송3산업단지 공용수용지 인근가격대비 최적의 대토 투자용 토지임</t>
        </is>
      </c>
      <c r="L1422" s="6">
        <f>HYPERLINK("https://fin.land.naver.com/articles/2652103543", "매물Link")</f>
        <v/>
      </c>
      <c r="M1422" s="6">
        <f>HYPERLINK("https://map.naver.com/p/search/오송읍 서평리 296-4", "지도Link")</f>
        <v/>
      </c>
      <c r="N1422" s="6">
        <f>HYPERLINK("http://www.eum.go.kr/web/ar/lu/luLandDet.jsp?pnu=4311325030102960004&amp;isNoScr=script&amp;mode=search", "토지이음")</f>
        <v/>
      </c>
      <c r="O1422" s="3" t="inlineStr">
        <is>
          <t>오송k랜드</t>
        </is>
      </c>
      <c r="P1422" s="4" t="n">
        <v>1</v>
      </c>
      <c r="Q1422" s="4" t="n">
        <v>2340</v>
      </c>
      <c r="R1422" s="3" t="inlineStr">
        <is>
          <t>지정되지않음</t>
        </is>
      </c>
      <c r="S1422" s="3" t="inlineStr">
        <is>
          <t>답</t>
        </is>
      </c>
      <c r="T1422" s="3" t="inlineStr">
        <is>
          <t>평지</t>
        </is>
      </c>
      <c r="U1422" s="3" t="inlineStr">
        <is>
          <t>세로장방</t>
        </is>
      </c>
      <c r="V1422" s="3" t="inlineStr">
        <is>
          <t>세로한면(가)</t>
        </is>
      </c>
    </row>
    <row r="1423">
      <c r="A1423" s="3" t="inlineStr">
        <is>
          <t>오송읍 서평리 356</t>
        </is>
      </c>
      <c r="B1423" s="3" t="inlineStr">
        <is>
          <t>농림지역</t>
        </is>
      </c>
      <c r="C1423" s="3" t="inlineStr">
        <is>
          <t>창고용지</t>
        </is>
      </c>
      <c r="D1423" s="3" t="inlineStr">
        <is>
          <t>답</t>
        </is>
      </c>
      <c r="E1423" s="3" t="inlineStr">
        <is>
          <t>매매</t>
        </is>
      </c>
      <c r="F1423" s="4" t="n">
        <v>110000</v>
      </c>
      <c r="G1423" s="4" t="n">
        <v>2423</v>
      </c>
      <c r="H1423" s="4" t="n">
        <v>733</v>
      </c>
      <c r="I1423" s="5" t="n">
        <v>150.1</v>
      </c>
      <c r="J1423" s="5" t="n">
        <v>49.6</v>
      </c>
      <c r="K1423" s="3" t="inlineStr">
        <is>
          <t>2차선도로접한3필지일괄매매,창고는 현재 임대중,그리고 복숭아밭으로이용중</t>
        </is>
      </c>
      <c r="L1423" s="6">
        <f>HYPERLINK("https://fin.land.naver.com/articles/2652138120", "매물Link")</f>
        <v/>
      </c>
      <c r="M1423" s="6">
        <f>HYPERLINK("https://map.naver.com/p/search/오송읍 서평리 356", "지도Link")</f>
        <v/>
      </c>
      <c r="N1423" s="6">
        <f>HYPERLINK("http://www.eum.go.kr/web/ar/lu/luLandDet.jsp?pnu=4311325030103560000&amp;isNoScr=script&amp;mode=search", "토지이음")</f>
        <v/>
      </c>
      <c r="O1423" s="3" t="inlineStr">
        <is>
          <t>담뜰</t>
        </is>
      </c>
      <c r="P1423" s="4" t="n">
        <v>1</v>
      </c>
      <c r="Q1423" s="4" t="n">
        <v>900</v>
      </c>
      <c r="R1423" s="3" t="inlineStr">
        <is>
          <t>지정되지않음</t>
        </is>
      </c>
      <c r="S1423" s="3" t="inlineStr">
        <is>
          <t>답창고</t>
        </is>
      </c>
      <c r="T1423" s="3" t="inlineStr">
        <is>
          <t>평지</t>
        </is>
      </c>
      <c r="U1423" s="3" t="inlineStr">
        <is>
          <t>사다리형</t>
        </is>
      </c>
      <c r="V1423" s="3" t="inlineStr">
        <is>
          <t>소로한면</t>
        </is>
      </c>
    </row>
    <row r="1424">
      <c r="A1424" s="3" t="inlineStr">
        <is>
          <t>오송읍 서평리 356</t>
        </is>
      </c>
      <c r="B1424" s="3" t="inlineStr">
        <is>
          <t>농림지역</t>
        </is>
      </c>
      <c r="C1424" s="3" t="inlineStr">
        <is>
          <t>창고용지</t>
        </is>
      </c>
      <c r="D1424" s="3" t="inlineStr">
        <is>
          <t>창고용지</t>
        </is>
      </c>
      <c r="E1424" s="3" t="inlineStr">
        <is>
          <t>매매</t>
        </is>
      </c>
      <c r="F1424" s="4" t="n">
        <v>120000</v>
      </c>
      <c r="G1424" s="4" t="n">
        <v>2423</v>
      </c>
      <c r="H1424" s="4" t="n">
        <v>733</v>
      </c>
      <c r="I1424" s="5" t="n">
        <v>163.7</v>
      </c>
      <c r="J1424" s="5" t="n">
        <v>49.6</v>
      </c>
      <c r="K1424" s="3" t="inlineStr">
        <is>
          <t>오송제3산업단지 인근 2차선도로에 접한 창고 및 과수원 급매합니다</t>
        </is>
      </c>
      <c r="L1424" s="6">
        <f>HYPERLINK("https://fin.land.naver.com/articles/2653607197", "매물Link")</f>
        <v/>
      </c>
      <c r="M1424" s="6">
        <f>HYPERLINK("https://map.naver.com/p/search/오송읍 서평리 356", "지도Link")</f>
        <v/>
      </c>
      <c r="N1424" s="6">
        <f>HYPERLINK("http://www.eum.go.kr/web/ar/lu/luLandDet.jsp?pnu=4311325030103560000&amp;isNoScr=script&amp;mode=search", "토지이음")</f>
        <v/>
      </c>
      <c r="O1424" s="3" t="inlineStr">
        <is>
          <t>스마일세종</t>
        </is>
      </c>
      <c r="P1424" s="4" t="n">
        <v>3</v>
      </c>
      <c r="Q1424" s="4" t="n">
        <v>900</v>
      </c>
      <c r="R1424" s="3" t="inlineStr">
        <is>
          <t>지정되지않음</t>
        </is>
      </c>
      <c r="S1424" s="3" t="inlineStr">
        <is>
          <t>답창고</t>
        </is>
      </c>
      <c r="T1424" s="3" t="inlineStr">
        <is>
          <t>평지</t>
        </is>
      </c>
      <c r="U1424" s="3" t="inlineStr">
        <is>
          <t>사다리형</t>
        </is>
      </c>
      <c r="V1424" s="3" t="inlineStr">
        <is>
          <t>소로한면</t>
        </is>
      </c>
    </row>
    <row r="1425">
      <c r="A1425" s="3" t="inlineStr">
        <is>
          <t>오송읍 서평리 381-8</t>
        </is>
      </c>
      <c r="B1425" s="3" t="inlineStr">
        <is>
          <t>생산관리지역</t>
        </is>
      </c>
      <c r="C1425" s="3" t="inlineStr">
        <is>
          <t>전</t>
        </is>
      </c>
      <c r="D1425" s="3" t="inlineStr">
        <is>
          <t>전</t>
        </is>
      </c>
      <c r="E1425" s="3" t="inlineStr">
        <is>
          <t>매매</t>
        </is>
      </c>
      <c r="F1425" s="4" t="n">
        <v>124000</v>
      </c>
      <c r="G1425" s="4" t="n">
        <v>4100</v>
      </c>
      <c r="H1425" s="4" t="n">
        <v>1240</v>
      </c>
      <c r="I1425" s="5" t="n">
        <v>100</v>
      </c>
      <c r="J1425" s="5" t="n">
        <v>39.1</v>
      </c>
      <c r="K1425" s="3" t="inlineStr">
        <is>
          <t>nan</t>
        </is>
      </c>
      <c r="L1425" s="6">
        <f>HYPERLINK("https://fin.land.naver.com/articles/2651729251", "매물Link")</f>
        <v/>
      </c>
      <c r="M1425" s="6">
        <f>HYPERLINK("https://map.naver.com/p/search/오송읍 서평리 381-8", "지도Link")</f>
        <v/>
      </c>
      <c r="N1425" s="6">
        <f>HYPERLINK("http://www.eum.go.kr/web/ar/lu/luLandDet.jsp?pnu=4311325030103810008&amp;isNoScr=script&amp;mode=search", "토지이음")</f>
        <v/>
      </c>
      <c r="O1425" s="3" t="inlineStr">
        <is>
          <t>세종땅전문</t>
        </is>
      </c>
      <c r="P1425" s="4" t="n">
        <v>1</v>
      </c>
      <c r="Q1425" s="4" t="n">
        <v>4100</v>
      </c>
      <c r="R1425" s="3" t="inlineStr">
        <is>
          <t>지정되지않음</t>
        </is>
      </c>
      <c r="S1425" s="3" t="inlineStr">
        <is>
          <t>전</t>
        </is>
      </c>
      <c r="T1425" s="3" t="inlineStr">
        <is>
          <t>평지</t>
        </is>
      </c>
      <c r="U1425" s="3" t="inlineStr">
        <is>
          <t>사다리형</t>
        </is>
      </c>
      <c r="V1425" s="3" t="inlineStr">
        <is>
          <t>세로한면(불)</t>
        </is>
      </c>
    </row>
    <row r="1426">
      <c r="A1426" s="3" t="inlineStr">
        <is>
          <t>오송읍 서평리 56-9</t>
        </is>
      </c>
      <c r="B1426" s="3" t="inlineStr">
        <is>
          <t>계획관리지역</t>
        </is>
      </c>
      <c r="C1426" s="3" t="inlineStr">
        <is>
          <t>전</t>
        </is>
      </c>
      <c r="D1426" s="3" t="inlineStr">
        <is>
          <t>전</t>
        </is>
      </c>
      <c r="E1426" s="3" t="inlineStr">
        <is>
          <t>매매</t>
        </is>
      </c>
      <c r="F1426" s="4" t="n">
        <v>57400</v>
      </c>
      <c r="G1426" s="4" t="n">
        <v>542</v>
      </c>
      <c r="H1426" s="4" t="n">
        <v>164</v>
      </c>
      <c r="I1426" s="5" t="n">
        <v>350</v>
      </c>
      <c r="J1426" s="5" t="n">
        <v>195.9</v>
      </c>
      <c r="K1426" s="3" t="inlineStr">
        <is>
          <t>오송읍 서평리 주거개발진흥지구내 다가구 .상가.상가주택등 신축 추천</t>
        </is>
      </c>
      <c r="L1426" s="6">
        <f>HYPERLINK("https://fin.land.naver.com/articles/2649339502", "매물Link")</f>
        <v/>
      </c>
      <c r="M1426" s="6">
        <f>HYPERLINK("https://map.naver.com/p/search/오송읍 서평리 56-9", "지도Link")</f>
        <v/>
      </c>
      <c r="N1426" s="6">
        <f>HYPERLINK("http://www.eum.go.kr/web/ar/lu/luLandDet.jsp?pnu=4311325030100560009&amp;isNoScr=script&amp;mode=search", "토지이음")</f>
        <v/>
      </c>
      <c r="O1426" s="3" t="inlineStr">
        <is>
          <t>그린</t>
        </is>
      </c>
      <c r="P1426" s="4" t="n">
        <v>1</v>
      </c>
      <c r="Q1426" s="4" t="n">
        <v>542</v>
      </c>
      <c r="R1426" s="3" t="inlineStr">
        <is>
          <t>지정되지않음</t>
        </is>
      </c>
      <c r="S1426" s="3" t="inlineStr">
        <is>
          <t>주상기타</t>
        </is>
      </c>
      <c r="T1426" s="3" t="inlineStr">
        <is>
          <t>평지</t>
        </is>
      </c>
      <c r="U1426" s="3" t="inlineStr">
        <is>
          <t>부정형</t>
        </is>
      </c>
      <c r="V1426" s="3" t="inlineStr">
        <is>
          <t>중로한면</t>
        </is>
      </c>
    </row>
    <row r="1427">
      <c r="A1427" s="3" t="inlineStr">
        <is>
          <t>오송읍 서평리 664-97</t>
        </is>
      </c>
      <c r="B1427" s="3" t="inlineStr">
        <is>
          <t>농림지역</t>
        </is>
      </c>
      <c r="C1427" s="3" t="inlineStr">
        <is>
          <t>전</t>
        </is>
      </c>
      <c r="D1427" s="3" t="inlineStr">
        <is>
          <t>전</t>
        </is>
      </c>
      <c r="E1427" s="3" t="inlineStr">
        <is>
          <t>매매</t>
        </is>
      </c>
      <c r="F1427" s="4" t="n">
        <v>23000</v>
      </c>
      <c r="G1427" s="4" t="n">
        <v>591</v>
      </c>
      <c r="H1427" s="4" t="n">
        <v>179</v>
      </c>
      <c r="I1427" s="5" t="n">
        <v>128.5</v>
      </c>
      <c r="J1427" s="5" t="n">
        <v>38</v>
      </c>
      <c r="K1427" s="3" t="inlineStr">
        <is>
          <t>도로접한 토지</t>
        </is>
      </c>
      <c r="L1427" s="6">
        <f>HYPERLINK("https://fin.land.naver.com/articles/2650856659", "매물Link")</f>
        <v/>
      </c>
      <c r="M1427" s="6">
        <f>HYPERLINK("https://map.naver.com/p/search/오송읍 서평리 664-97", "지도Link")</f>
        <v/>
      </c>
      <c r="N1427" s="6">
        <f>HYPERLINK("http://www.eum.go.kr/web/ar/lu/luLandDet.jsp?pnu=4311325030106640097&amp;isNoScr=script&amp;mode=search", "토지이음")</f>
        <v/>
      </c>
      <c r="O1427" s="3" t="inlineStr">
        <is>
          <t>세종대박</t>
        </is>
      </c>
      <c r="P1427" s="4" t="n">
        <v>1</v>
      </c>
      <c r="Q1427" s="4" t="n">
        <v>591</v>
      </c>
      <c r="R1427" s="3" t="inlineStr">
        <is>
          <t>지정되지않음</t>
        </is>
      </c>
      <c r="S1427" s="3" t="inlineStr">
        <is>
          <t>전</t>
        </is>
      </c>
      <c r="T1427" s="3" t="inlineStr">
        <is>
          <t>평지</t>
        </is>
      </c>
      <c r="U1427" s="3" t="inlineStr">
        <is>
          <t>세로장방</t>
        </is>
      </c>
      <c r="V1427" s="3" t="inlineStr">
        <is>
          <t>소로한면</t>
        </is>
      </c>
    </row>
    <row r="1428">
      <c r="A1428" s="3" t="inlineStr">
        <is>
          <t>오송읍 서평리 80</t>
        </is>
      </c>
      <c r="B1428" s="3" t="inlineStr">
        <is>
          <t>농림지역</t>
        </is>
      </c>
      <c r="C1428" s="3" t="inlineStr">
        <is>
          <t>답</t>
        </is>
      </c>
      <c r="D1428" s="3" t="inlineStr">
        <is>
          <t>대</t>
        </is>
      </c>
      <c r="E1428" s="3" t="inlineStr">
        <is>
          <t>매매</t>
        </is>
      </c>
      <c r="F1428" s="4" t="n">
        <v>100000</v>
      </c>
      <c r="G1428" s="4" t="n">
        <v>4548</v>
      </c>
      <c r="H1428" s="4" t="n">
        <v>1376</v>
      </c>
      <c r="I1428" s="5" t="n">
        <v>72.7</v>
      </c>
      <c r="J1428" s="5" t="n">
        <v>36.9</v>
      </c>
      <c r="K1428" s="3" t="inlineStr">
        <is>
          <t>nan</t>
        </is>
      </c>
      <c r="L1428" s="6">
        <f>HYPERLINK("https://fin.land.naver.com/articles/2654025226", "매물Link")</f>
        <v/>
      </c>
      <c r="M1428" s="6">
        <f>HYPERLINK("https://map.naver.com/p/search/오송읍 서평리 80", "지도Link")</f>
        <v/>
      </c>
      <c r="N1428" s="6">
        <f>HYPERLINK("http://www.eum.go.kr/web/ar/lu/luLandDet.jsp?pnu=4311325030100800000&amp;isNoScr=script&amp;mode=search", "토지이음")</f>
        <v/>
      </c>
      <c r="O1428" s="3" t="inlineStr">
        <is>
          <t>오송랜드</t>
        </is>
      </c>
      <c r="P1428" s="4" t="n">
        <v>1</v>
      </c>
      <c r="Q1428" s="4" t="n">
        <v>3848</v>
      </c>
      <c r="R1428" s="3" t="inlineStr">
        <is>
          <t>지정되지않음</t>
        </is>
      </c>
      <c r="S1428" s="3" t="inlineStr">
        <is>
          <t>답</t>
        </is>
      </c>
      <c r="T1428" s="3" t="inlineStr">
        <is>
          <t>평지</t>
        </is>
      </c>
      <c r="U1428" s="3" t="inlineStr">
        <is>
          <t>세로장방</t>
        </is>
      </c>
      <c r="V1428" s="3" t="inlineStr">
        <is>
          <t>세로한면(가)</t>
        </is>
      </c>
    </row>
    <row r="1429">
      <c r="A1429" s="3" t="inlineStr">
        <is>
          <t>오송읍 서평리 94-2</t>
        </is>
      </c>
      <c r="B1429" s="3" t="inlineStr">
        <is>
          <t>농림지역</t>
        </is>
      </c>
      <c r="C1429" s="3" t="inlineStr">
        <is>
          <t>답</t>
        </is>
      </c>
      <c r="D1429" s="3" t="inlineStr">
        <is>
          <t>답</t>
        </is>
      </c>
      <c r="E1429" s="3" t="inlineStr">
        <is>
          <t>매매</t>
        </is>
      </c>
      <c r="F1429" s="4" t="n">
        <v>57300</v>
      </c>
      <c r="G1429" s="4" t="n">
        <v>1975</v>
      </c>
      <c r="H1429" s="4" t="n">
        <v>597</v>
      </c>
      <c r="I1429" s="5" t="n">
        <v>96</v>
      </c>
      <c r="J1429" s="5" t="n">
        <v>54.7</v>
      </c>
      <c r="K1429" s="3" t="inlineStr">
        <is>
          <t>오송제3산업단지(27.하반기 보상예정)인접하고 4차로 확장예정도로접함.</t>
        </is>
      </c>
      <c r="L1429" s="6">
        <f>HYPERLINK("https://fin.land.naver.com/articles/2650557460", "매물Link")</f>
        <v/>
      </c>
      <c r="M1429" s="6">
        <f>HYPERLINK("https://map.naver.com/p/search/오송읍 서평리 94-2", "지도Link")</f>
        <v/>
      </c>
      <c r="N1429" s="6">
        <f>HYPERLINK("http://www.eum.go.kr/web/ar/lu/luLandDet.jsp?pnu=4311325030100940002&amp;isNoScr=script&amp;mode=search", "토지이음")</f>
        <v/>
      </c>
      <c r="O1429" s="3" t="inlineStr">
        <is>
          <t>오송k랜드</t>
        </is>
      </c>
      <c r="P1429" s="4" t="n">
        <v>1</v>
      </c>
      <c r="Q1429" s="4" t="n">
        <v>1975</v>
      </c>
      <c r="R1429" s="3" t="inlineStr">
        <is>
          <t>지정되지않음</t>
        </is>
      </c>
      <c r="S1429" s="3" t="inlineStr">
        <is>
          <t>답</t>
        </is>
      </c>
      <c r="T1429" s="3" t="inlineStr">
        <is>
          <t>평지</t>
        </is>
      </c>
      <c r="U1429" s="3" t="inlineStr">
        <is>
          <t>가로장방</t>
        </is>
      </c>
      <c r="V1429" s="3" t="inlineStr">
        <is>
          <t>소로한면</t>
        </is>
      </c>
    </row>
    <row r="1430">
      <c r="A1430" s="3" t="inlineStr">
        <is>
          <t>오송읍 쌍청리 107-1</t>
        </is>
      </c>
      <c r="B1430" s="3" t="inlineStr">
        <is>
          <t>계획관리지역</t>
        </is>
      </c>
      <c r="C1430" s="3" t="inlineStr">
        <is>
          <t>임야</t>
        </is>
      </c>
      <c r="D1430" s="3" t="inlineStr">
        <is>
          <t>임야</t>
        </is>
      </c>
      <c r="E1430" s="3" t="inlineStr">
        <is>
          <t>매매</t>
        </is>
      </c>
      <c r="F1430" s="4" t="n">
        <v>210000</v>
      </c>
      <c r="G1430" s="4" t="n">
        <v>7659</v>
      </c>
      <c r="H1430" s="4" t="n">
        <v>2317</v>
      </c>
      <c r="I1430" s="5" t="n">
        <v>90.59999999999999</v>
      </c>
      <c r="J1430" s="5" t="n">
        <v>23.8</v>
      </c>
      <c r="K1430" s="3" t="inlineStr">
        <is>
          <t>nan</t>
        </is>
      </c>
      <c r="L1430" s="6">
        <f>HYPERLINK("https://fin.land.naver.com/articles/2654622065", "매물Link")</f>
        <v/>
      </c>
      <c r="M1430" s="6">
        <f>HYPERLINK("https://map.naver.com/p/search/오송읍 쌍청리 107-1", "지도Link")</f>
        <v/>
      </c>
      <c r="N1430" s="6">
        <f>HYPERLINK("http://www.eum.go.kr/web/ar/lu/luLandDet.jsp?pnu=4311325024101070001&amp;isNoScr=script&amp;mode=search", "토지이음")</f>
        <v/>
      </c>
      <c r="O1430" s="3" t="inlineStr">
        <is>
          <t>프렌즈</t>
        </is>
      </c>
      <c r="P1430" s="4" t="n">
        <v>1</v>
      </c>
      <c r="Q1430" s="4" t="n">
        <v>4268</v>
      </c>
      <c r="R1430" s="3" t="inlineStr">
        <is>
          <t>지정되지않음</t>
        </is>
      </c>
      <c r="S1430" s="3" t="inlineStr">
        <is>
          <t>자연림</t>
        </is>
      </c>
      <c r="T1430" s="3" t="inlineStr">
        <is>
          <t>평지</t>
        </is>
      </c>
      <c r="U1430" s="3" t="inlineStr">
        <is>
          <t>사다리형</t>
        </is>
      </c>
      <c r="V1430" s="3" t="inlineStr">
        <is>
          <t>맹지</t>
        </is>
      </c>
    </row>
    <row r="1431">
      <c r="A1431" s="3" t="inlineStr">
        <is>
          <t>오송읍 쌍청리 108-1</t>
        </is>
      </c>
      <c r="B1431" s="3" t="inlineStr">
        <is>
          <t>계획관리지역</t>
        </is>
      </c>
      <c r="C1431" s="3" t="inlineStr">
        <is>
          <t>대</t>
        </is>
      </c>
      <c r="D1431" s="3" t="inlineStr">
        <is>
          <t>공장용지</t>
        </is>
      </c>
      <c r="E1431" s="3" t="inlineStr">
        <is>
          <t>매매</t>
        </is>
      </c>
      <c r="F1431" s="4" t="n">
        <v>145000</v>
      </c>
      <c r="G1431" s="4" t="n">
        <v>2382</v>
      </c>
      <c r="H1431" s="4" t="n">
        <v>721</v>
      </c>
      <c r="I1431" s="5" t="n">
        <v>201.1</v>
      </c>
      <c r="J1431" s="5" t="n">
        <v>70.09999999999999</v>
      </c>
      <c r="K1431" s="3" t="inlineStr">
        <is>
          <t>nan</t>
        </is>
      </c>
      <c r="L1431" s="6">
        <f>HYPERLINK("https://fin.land.naver.com/articles/2653729537", "매물Link")</f>
        <v/>
      </c>
      <c r="M1431" s="6">
        <f>HYPERLINK("https://map.naver.com/p/search/오송읍 쌍청리 108-1", "지도Link")</f>
        <v/>
      </c>
      <c r="N1431" s="6">
        <f>HYPERLINK("http://www.eum.go.kr/web/ar/lu/luLandDet.jsp?pnu=4311325024101080001&amp;isNoScr=script&amp;mode=search", "토지이음")</f>
        <v/>
      </c>
      <c r="O1431" s="3" t="inlineStr">
        <is>
          <t>세종큰길</t>
        </is>
      </c>
      <c r="P1431" s="4" t="n">
        <v>1</v>
      </c>
      <c r="Q1431" s="4" t="n">
        <v>456</v>
      </c>
      <c r="R1431" s="3" t="inlineStr">
        <is>
          <t>지정되지않음</t>
        </is>
      </c>
      <c r="S1431" s="3" t="inlineStr">
        <is>
          <t>공업용</t>
        </is>
      </c>
      <c r="T1431" s="3" t="inlineStr">
        <is>
          <t>평지</t>
        </is>
      </c>
      <c r="U1431" s="3" t="inlineStr">
        <is>
          <t>사다리형</t>
        </is>
      </c>
      <c r="V1431" s="3" t="inlineStr">
        <is>
          <t>세로한면(가)</t>
        </is>
      </c>
    </row>
    <row r="1432">
      <c r="A1432" s="3" t="inlineStr">
        <is>
          <t>오송읍 쌍청리 108-31</t>
        </is>
      </c>
      <c r="B1432" s="3" t="inlineStr">
        <is>
          <t>계획관리지역</t>
        </is>
      </c>
      <c r="C1432" s="3" t="inlineStr">
        <is>
          <t>공장용지</t>
        </is>
      </c>
      <c r="D1432" s="3" t="inlineStr">
        <is>
          <t>공장용지</t>
        </is>
      </c>
      <c r="E1432" s="3" t="inlineStr">
        <is>
          <t>매매</t>
        </is>
      </c>
      <c r="F1432" s="4" t="n">
        <v>30800</v>
      </c>
      <c r="G1432" s="4" t="n">
        <v>566</v>
      </c>
      <c r="H1432" s="4" t="n">
        <v>171</v>
      </c>
      <c r="I1432" s="5" t="n">
        <v>180.1</v>
      </c>
      <c r="J1432" s="5" t="n">
        <v>61</v>
      </c>
      <c r="K1432" s="3" t="inlineStr">
        <is>
          <t>접근성 좋은 토지,활용하기 좋은 토지 입니다</t>
        </is>
      </c>
      <c r="L1432" s="6">
        <f>HYPERLINK("https://fin.land.naver.com/articles/2652264870", "매물Link")</f>
        <v/>
      </c>
      <c r="M1432" s="6">
        <f>HYPERLINK("https://map.naver.com/p/search/오송읍 쌍청리 108-31", "지도Link")</f>
        <v/>
      </c>
      <c r="N1432" s="6">
        <f>HYPERLINK("http://www.eum.go.kr/web/ar/lu/luLandDet.jsp?pnu=4311325024101080031&amp;isNoScr=script&amp;mode=search", "토지이음")</f>
        <v/>
      </c>
      <c r="O1432" s="3" t="inlineStr">
        <is>
          <t>오송2단지창조</t>
        </is>
      </c>
      <c r="P1432" s="4" t="n">
        <v>1</v>
      </c>
      <c r="Q1432" s="4" t="n">
        <v>566</v>
      </c>
      <c r="R1432" s="3" t="inlineStr">
        <is>
          <t>지정되지않음</t>
        </is>
      </c>
      <c r="S1432" s="3" t="inlineStr">
        <is>
          <t>공업나지</t>
        </is>
      </c>
      <c r="T1432" s="3" t="inlineStr">
        <is>
          <t>완경사</t>
        </is>
      </c>
      <c r="U1432" s="3" t="inlineStr">
        <is>
          <t>사다리형</t>
        </is>
      </c>
      <c r="V1432" s="3" t="inlineStr">
        <is>
          <t>세로한면(가)</t>
        </is>
      </c>
    </row>
    <row r="1433">
      <c r="A1433" s="3" t="inlineStr">
        <is>
          <t>오송읍 쌍청리 117-16</t>
        </is>
      </c>
      <c r="B1433" s="3" t="inlineStr">
        <is>
          <t>계획관리지역</t>
        </is>
      </c>
      <c r="C1433" s="3" t="inlineStr">
        <is>
          <t>임야</t>
        </is>
      </c>
      <c r="D1433" s="3" t="inlineStr">
        <is>
          <t>임야</t>
        </is>
      </c>
      <c r="E1433" s="3" t="inlineStr">
        <is>
          <t>매매</t>
        </is>
      </c>
      <c r="F1433" s="4" t="n">
        <v>100000</v>
      </c>
      <c r="G1433" s="4" t="n">
        <v>1701</v>
      </c>
      <c r="H1433" s="4" t="n">
        <v>515</v>
      </c>
      <c r="I1433" s="5" t="n">
        <v>194.2</v>
      </c>
      <c r="J1433" s="5" t="n">
        <v>59.3</v>
      </c>
      <c r="K1433" s="3" t="inlineStr">
        <is>
          <t>오송신도시의 계획관리지역으로 투자가치가 좋음</t>
        </is>
      </c>
      <c r="L1433" s="6">
        <f>HYPERLINK("https://fin.land.naver.com/articles/2653540623", "매물Link")</f>
        <v/>
      </c>
      <c r="M1433" s="6">
        <f>HYPERLINK("https://map.naver.com/p/search/오송읍 쌍청리 117-16", "지도Link")</f>
        <v/>
      </c>
      <c r="N1433" s="6">
        <f>HYPERLINK("http://www.eum.go.kr/web/ar/lu/luLandDet.jsp?pnu=4311325024101170016&amp;isNoScr=script&amp;mode=search", "토지이음")</f>
        <v/>
      </c>
      <c r="O1433" s="3" t="inlineStr">
        <is>
          <t>가람</t>
        </is>
      </c>
      <c r="P1433" s="4" t="n">
        <v>1</v>
      </c>
      <c r="Q1433" s="4" t="n">
        <v>1701</v>
      </c>
      <c r="R1433" s="3" t="inlineStr">
        <is>
          <t>지정되지않음</t>
        </is>
      </c>
      <c r="S1433" s="3" t="inlineStr">
        <is>
          <t>전기타</t>
        </is>
      </c>
      <c r="T1433" s="3" t="inlineStr">
        <is>
          <t>완경사</t>
        </is>
      </c>
      <c r="U1433" s="3" t="inlineStr">
        <is>
          <t>사다리형</t>
        </is>
      </c>
      <c r="V1433" s="3" t="inlineStr">
        <is>
          <t>세로한면(가)</t>
        </is>
      </c>
    </row>
    <row r="1434">
      <c r="A1434" s="3" t="inlineStr">
        <is>
          <t>오송읍 쌍청리 124-3</t>
        </is>
      </c>
      <c r="B1434" s="3" t="inlineStr">
        <is>
          <t>계획관리지역</t>
        </is>
      </c>
      <c r="C1434" s="3" t="inlineStr">
        <is>
          <t>전</t>
        </is>
      </c>
      <c r="D1434" s="3" t="inlineStr">
        <is>
          <t>전</t>
        </is>
      </c>
      <c r="E1434" s="3" t="inlineStr">
        <is>
          <t>매매</t>
        </is>
      </c>
      <c r="F1434" s="4" t="n">
        <v>23100</v>
      </c>
      <c r="G1434" s="4" t="n">
        <v>362</v>
      </c>
      <c r="H1434" s="4" t="n">
        <v>110</v>
      </c>
      <c r="I1434" s="5" t="n">
        <v>210</v>
      </c>
      <c r="J1434" s="5" t="n">
        <v>69</v>
      </c>
      <c r="K1434" s="3" t="inlineStr">
        <is>
          <t>오송 제1 생명과학단지 내주변 토지 매매</t>
        </is>
      </c>
      <c r="L1434" s="6">
        <f>HYPERLINK("https://fin.land.naver.com/articles/2654526681", "매물Link")</f>
        <v/>
      </c>
      <c r="M1434" s="6">
        <f>HYPERLINK("https://map.naver.com/p/search/오송읍 쌍청리 124-3", "지도Link")</f>
        <v/>
      </c>
      <c r="N1434" s="6">
        <f>HYPERLINK("http://www.eum.go.kr/web/ar/lu/luLandDet.jsp?pnu=4311325024101240003&amp;isNoScr=script&amp;mode=search", "토지이음")</f>
        <v/>
      </c>
      <c r="O1434" s="3" t="inlineStr">
        <is>
          <t>365</t>
        </is>
      </c>
      <c r="P1434" s="4" t="n">
        <v>1</v>
      </c>
      <c r="Q1434" s="4" t="n">
        <v>362</v>
      </c>
      <c r="R1434" s="3" t="inlineStr">
        <is>
          <t>지정되지않음</t>
        </is>
      </c>
      <c r="S1434" s="3" t="inlineStr">
        <is>
          <t>전</t>
        </is>
      </c>
      <c r="T1434" s="3" t="inlineStr">
        <is>
          <t>평지</t>
        </is>
      </c>
      <c r="U1434" s="3" t="inlineStr">
        <is>
          <t>사다리형</t>
        </is>
      </c>
      <c r="V1434" s="3" t="inlineStr">
        <is>
          <t>세로한면(가)</t>
        </is>
      </c>
    </row>
    <row r="1435">
      <c r="A1435" s="3" t="inlineStr">
        <is>
          <t>오송읍 쌍청리 165-3</t>
        </is>
      </c>
      <c r="B1435" s="3" t="inlineStr">
        <is>
          <t>계획관리지역</t>
        </is>
      </c>
      <c r="C1435" s="3" t="inlineStr">
        <is>
          <t>전</t>
        </is>
      </c>
      <c r="D1435" s="3" t="inlineStr">
        <is>
          <t>전</t>
        </is>
      </c>
      <c r="E1435" s="3" t="inlineStr">
        <is>
          <t>매매</t>
        </is>
      </c>
      <c r="F1435" s="4" t="n">
        <v>53000</v>
      </c>
      <c r="G1435" s="4" t="n">
        <v>751</v>
      </c>
      <c r="H1435" s="4" t="n">
        <v>227</v>
      </c>
      <c r="I1435" s="5" t="n">
        <v>233.5</v>
      </c>
      <c r="J1435" s="5" t="n">
        <v>48.6</v>
      </c>
      <c r="K1435" s="3" t="inlineStr">
        <is>
          <t>매매. 임대. 2가지 선택지 임대 임차인 원하면 근린생활시설 신축</t>
        </is>
      </c>
      <c r="L1435" s="6">
        <f>HYPERLINK("https://fin.land.naver.com/articles/2651280466", "매물Link")</f>
        <v/>
      </c>
      <c r="M1435" s="6">
        <f>HYPERLINK("https://map.naver.com/p/search/오송읍 쌍청리 165-3", "지도Link")</f>
        <v/>
      </c>
      <c r="N1435" s="6">
        <f>HYPERLINK("http://www.eum.go.kr/web/ar/lu/luLandDet.jsp?pnu=4311325024101650003&amp;isNoScr=script&amp;mode=search", "토지이음")</f>
        <v/>
      </c>
      <c r="O1435" s="3" t="inlineStr">
        <is>
          <t>오송퍼스트영웅</t>
        </is>
      </c>
      <c r="P1435" s="4" t="n">
        <v>1</v>
      </c>
      <c r="Q1435" s="4" t="n">
        <v>751</v>
      </c>
      <c r="R1435" s="3" t="inlineStr">
        <is>
          <t>지정되지않음</t>
        </is>
      </c>
      <c r="S1435" s="3" t="inlineStr">
        <is>
          <t>전</t>
        </is>
      </c>
      <c r="T1435" s="3" t="inlineStr">
        <is>
          <t>평지</t>
        </is>
      </c>
      <c r="U1435" s="3" t="inlineStr">
        <is>
          <t>부정형</t>
        </is>
      </c>
      <c r="V1435" s="3" t="inlineStr">
        <is>
          <t>세로한면(가)</t>
        </is>
      </c>
    </row>
    <row r="1436">
      <c r="A1436" s="3" t="inlineStr">
        <is>
          <t>오송읍 쌍청리 317-7</t>
        </is>
      </c>
      <c r="B1436" s="3" t="inlineStr">
        <is>
          <t>계획관리지역</t>
        </is>
      </c>
      <c r="C1436" s="3" t="inlineStr">
        <is>
          <t>전</t>
        </is>
      </c>
      <c r="D1436" s="3" t="inlineStr">
        <is>
          <t>전</t>
        </is>
      </c>
      <c r="E1436" s="3" t="inlineStr">
        <is>
          <t>매매</t>
        </is>
      </c>
      <c r="F1436" s="4" t="n">
        <v>118000</v>
      </c>
      <c r="G1436" s="4" t="n">
        <v>1297</v>
      </c>
      <c r="H1436" s="4" t="n">
        <v>392</v>
      </c>
      <c r="I1436" s="5" t="n">
        <v>301</v>
      </c>
      <c r="J1436" s="5" t="n">
        <v>111.3</v>
      </c>
      <c r="K1436" s="3" t="inlineStr">
        <is>
          <t>식약청인접한 2차선 지방도접 사옥부지 또는 근생 용지 추천물건</t>
        </is>
      </c>
      <c r="L1436" s="6">
        <f>HYPERLINK("https://fin.land.naver.com/articles/2654114599", "매물Link")</f>
        <v/>
      </c>
      <c r="M1436" s="6">
        <f>HYPERLINK("https://map.naver.com/p/search/오송읍 쌍청리 317-7", "지도Link")</f>
        <v/>
      </c>
      <c r="N1436" s="6">
        <f>HYPERLINK("http://www.eum.go.kr/web/ar/lu/luLandDet.jsp?pnu=4311325024103170007&amp;isNoScr=script&amp;mode=search", "토지이음")</f>
        <v/>
      </c>
      <c r="O1436" s="3" t="inlineStr">
        <is>
          <t>오송k랜드</t>
        </is>
      </c>
      <c r="P1436" s="4" t="n">
        <v>1</v>
      </c>
      <c r="Q1436" s="4" t="n">
        <v>441</v>
      </c>
      <c r="R1436" s="3" t="inlineStr">
        <is>
          <t>지정되지않음</t>
        </is>
      </c>
      <c r="S1436" s="3" t="inlineStr">
        <is>
          <t>전</t>
        </is>
      </c>
      <c r="T1436" s="3" t="inlineStr">
        <is>
          <t>평지</t>
        </is>
      </c>
      <c r="U1436" s="3" t="inlineStr">
        <is>
          <t>가로장방</t>
        </is>
      </c>
      <c r="V1436" s="3" t="inlineStr">
        <is>
          <t>소로한면</t>
        </is>
      </c>
    </row>
    <row r="1437">
      <c r="A1437" s="3" t="inlineStr">
        <is>
          <t>오송읍 쌍청리 429-4</t>
        </is>
      </c>
      <c r="B1437" s="3" t="inlineStr">
        <is>
          <t>농림지역</t>
        </is>
      </c>
      <c r="C1437" s="3" t="inlineStr">
        <is>
          <t>과수원</t>
        </is>
      </c>
      <c r="D1437" s="3" t="inlineStr">
        <is>
          <t>과수원</t>
        </is>
      </c>
      <c r="E1437" s="3" t="inlineStr">
        <is>
          <t>매매</t>
        </is>
      </c>
      <c r="F1437" s="4" t="n">
        <v>73800</v>
      </c>
      <c r="G1437" s="4" t="n">
        <v>2440</v>
      </c>
      <c r="H1437" s="4" t="n">
        <v>738</v>
      </c>
      <c r="I1437" s="5" t="n">
        <v>100</v>
      </c>
      <c r="J1437" s="5" t="n">
        <v>35.7</v>
      </c>
      <c r="K1437" s="3" t="inlineStr">
        <is>
          <t>꿀배 꿀사과 전용 과수원 정사각으로 예쁜땅 오송의 최적의 투자 요충지</t>
        </is>
      </c>
      <c r="L1437" s="6">
        <f>HYPERLINK("https://fin.land.naver.com/articles/2651743273", "매물Link")</f>
        <v/>
      </c>
      <c r="M1437" s="6">
        <f>HYPERLINK("https://map.naver.com/p/search/오송읍 쌍청리 429-4", "지도Link")</f>
        <v/>
      </c>
      <c r="N1437" s="6">
        <f>HYPERLINK("http://www.eum.go.kr/web/ar/lu/luLandDet.jsp?pnu=4311325024104290004&amp;isNoScr=script&amp;mode=search", "토지이음")</f>
        <v/>
      </c>
      <c r="O1437" s="3" t="inlineStr">
        <is>
          <t>대한</t>
        </is>
      </c>
      <c r="P1437" s="4" t="n">
        <v>1</v>
      </c>
      <c r="Q1437" s="4" t="n">
        <v>2440</v>
      </c>
      <c r="R1437" s="3" t="inlineStr">
        <is>
          <t>지정되지않음</t>
        </is>
      </c>
      <c r="S1437" s="3" t="inlineStr">
        <is>
          <t>과수원</t>
        </is>
      </c>
      <c r="T1437" s="3" t="inlineStr">
        <is>
          <t>평지</t>
        </is>
      </c>
      <c r="U1437" s="3" t="inlineStr">
        <is>
          <t>사다리형</t>
        </is>
      </c>
      <c r="V1437" s="3" t="inlineStr">
        <is>
          <t>세로한면(가)</t>
        </is>
      </c>
    </row>
    <row r="1438">
      <c r="A1438" s="3" t="inlineStr">
        <is>
          <t>오송읍 쌍청리 451-2</t>
        </is>
      </c>
      <c r="B1438" s="3" t="inlineStr">
        <is>
          <t>농림지역</t>
        </is>
      </c>
      <c r="C1438" s="3" t="inlineStr">
        <is>
          <t>답</t>
        </is>
      </c>
      <c r="D1438" s="3" t="inlineStr">
        <is>
          <t>답</t>
        </is>
      </c>
      <c r="E1438" s="3" t="inlineStr">
        <is>
          <t>매매</t>
        </is>
      </c>
      <c r="F1438" s="4" t="n">
        <v>80000</v>
      </c>
      <c r="G1438" s="4" t="n">
        <v>3273</v>
      </c>
      <c r="H1438" s="4" t="n">
        <v>990</v>
      </c>
      <c r="I1438" s="5" t="n">
        <v>80.8</v>
      </c>
      <c r="J1438" s="5" t="n">
        <v>35.7</v>
      </c>
      <c r="K1438" s="3" t="inlineStr">
        <is>
          <t>투자가치있는 곳에 위치한 토지</t>
        </is>
      </c>
      <c r="L1438" s="6">
        <f>HYPERLINK("https://fin.land.naver.com/articles/2650865239", "매물Link")</f>
        <v/>
      </c>
      <c r="M1438" s="6">
        <f>HYPERLINK("https://map.naver.com/p/search/오송읍 쌍청리 451-2", "지도Link")</f>
        <v/>
      </c>
      <c r="N1438" s="6">
        <f>HYPERLINK("http://www.eum.go.kr/web/ar/lu/luLandDet.jsp?pnu=4311325024104510002&amp;isNoScr=script&amp;mode=search", "토지이음")</f>
        <v/>
      </c>
      <c r="O1438" s="3" t="inlineStr">
        <is>
          <t>굿모닝</t>
        </is>
      </c>
      <c r="P1438" s="4" t="n">
        <v>1</v>
      </c>
      <c r="Q1438" s="4" t="n">
        <v>3273</v>
      </c>
      <c r="R1438" s="3" t="inlineStr">
        <is>
          <t>지정되지않음</t>
        </is>
      </c>
      <c r="S1438" s="3" t="inlineStr">
        <is>
          <t>답</t>
        </is>
      </c>
      <c r="T1438" s="3" t="inlineStr">
        <is>
          <t>평지</t>
        </is>
      </c>
      <c r="U1438" s="3" t="inlineStr">
        <is>
          <t>세로장방</t>
        </is>
      </c>
      <c r="V1438" s="3" t="inlineStr">
        <is>
          <t>세로한면(가)</t>
        </is>
      </c>
    </row>
    <row r="1439">
      <c r="A1439" s="3" t="inlineStr">
        <is>
          <t>오송읍 쌍청리 454</t>
        </is>
      </c>
      <c r="B1439" s="3" t="inlineStr">
        <is>
          <t>농림지역</t>
        </is>
      </c>
      <c r="C1439" s="3" t="inlineStr">
        <is>
          <t>답</t>
        </is>
      </c>
      <c r="D1439" s="3" t="inlineStr">
        <is>
          <t>답</t>
        </is>
      </c>
      <c r="E1439" s="3" t="inlineStr">
        <is>
          <t>매매</t>
        </is>
      </c>
      <c r="F1439" s="4" t="n">
        <v>121200</v>
      </c>
      <c r="G1439" s="4" t="n">
        <v>4000</v>
      </c>
      <c r="H1439" s="4" t="n">
        <v>1210</v>
      </c>
      <c r="I1439" s="5" t="n">
        <v>100.2</v>
      </c>
      <c r="J1439" s="5" t="n">
        <v>35.7</v>
      </c>
      <c r="K1439" s="3" t="inlineStr">
        <is>
          <t>오송읍 쌍청리에 있는 토지로 현재 답으로 이용중임</t>
        </is>
      </c>
      <c r="L1439" s="6">
        <f>HYPERLINK("https://fin.land.naver.com/articles/2652419853", "매물Link")</f>
        <v/>
      </c>
      <c r="M1439" s="6">
        <f>HYPERLINK("https://map.naver.com/p/search/오송읍 쌍청리 454", "지도Link")</f>
        <v/>
      </c>
      <c r="N1439" s="6">
        <f>HYPERLINK("http://www.eum.go.kr/web/ar/lu/luLandDet.jsp?pnu=4311325024104540000&amp;isNoScr=script&amp;mode=search", "토지이음")</f>
        <v/>
      </c>
      <c r="O1439" s="3" t="inlineStr">
        <is>
          <t>산성</t>
        </is>
      </c>
      <c r="P1439" s="4" t="n">
        <v>1</v>
      </c>
      <c r="Q1439" s="4" t="n">
        <v>4000</v>
      </c>
      <c r="R1439" s="3" t="inlineStr">
        <is>
          <t>지정되지않음</t>
        </is>
      </c>
      <c r="S1439" s="3" t="inlineStr">
        <is>
          <t>답</t>
        </is>
      </c>
      <c r="T1439" s="3" t="inlineStr">
        <is>
          <t>평지</t>
        </is>
      </c>
      <c r="U1439" s="3" t="inlineStr">
        <is>
          <t>세로장방</t>
        </is>
      </c>
      <c r="V1439" s="3" t="inlineStr">
        <is>
          <t>세로한면(가)</t>
        </is>
      </c>
    </row>
    <row r="1440">
      <c r="A1440" s="3" t="inlineStr">
        <is>
          <t>오송읍 쌍청리 498</t>
        </is>
      </c>
      <c r="B1440" s="3" t="inlineStr">
        <is>
          <t>계획관리지역</t>
        </is>
      </c>
      <c r="C1440" s="3" t="inlineStr">
        <is>
          <t>답</t>
        </is>
      </c>
      <c r="D1440" s="3" t="inlineStr">
        <is>
          <t>답</t>
        </is>
      </c>
      <c r="E1440" s="3" t="inlineStr">
        <is>
          <t>매매</t>
        </is>
      </c>
      <c r="F1440" s="4" t="n">
        <v>172000</v>
      </c>
      <c r="G1440" s="4" t="n">
        <v>2188</v>
      </c>
      <c r="H1440" s="4" t="n">
        <v>662</v>
      </c>
      <c r="I1440" s="5" t="n">
        <v>259.8</v>
      </c>
      <c r="J1440" s="5" t="n">
        <v>67.5</v>
      </c>
      <c r="K1440" s="3" t="inlineStr">
        <is>
          <t>계획관리 성장관리 계획 구역 오송역 인근 오스크 컨벤션 오픈 중</t>
        </is>
      </c>
      <c r="L1440" s="6">
        <f>HYPERLINK("https://fin.land.naver.com/articles/2651280120", "매물Link")</f>
        <v/>
      </c>
      <c r="M1440" s="6">
        <f>HYPERLINK("https://map.naver.com/p/search/오송읍 쌍청리 498", "지도Link")</f>
        <v/>
      </c>
      <c r="N1440" s="6">
        <f>HYPERLINK("http://www.eum.go.kr/web/ar/lu/luLandDet.jsp?pnu=4311325024104980000&amp;isNoScr=script&amp;mode=search", "토지이음")</f>
        <v/>
      </c>
      <c r="O1440" s="3" t="inlineStr">
        <is>
          <t>오송퍼스트영웅</t>
        </is>
      </c>
      <c r="P1440" s="4" t="n">
        <v>1</v>
      </c>
      <c r="Q1440" s="4" t="n">
        <v>2099</v>
      </c>
      <c r="R1440" s="3" t="inlineStr">
        <is>
          <t>지정되지않음</t>
        </is>
      </c>
      <c r="S1440" s="3" t="inlineStr">
        <is>
          <t>답</t>
        </is>
      </c>
      <c r="T1440" s="3" t="inlineStr">
        <is>
          <t>평지</t>
        </is>
      </c>
      <c r="U1440" s="3" t="inlineStr">
        <is>
          <t>자루형</t>
        </is>
      </c>
      <c r="V1440" s="3" t="inlineStr">
        <is>
          <t>세로한면(불)</t>
        </is>
      </c>
    </row>
    <row r="1441">
      <c r="A1441" s="3" t="inlineStr">
        <is>
          <t>오송읍 쌍청리 539-2</t>
        </is>
      </c>
      <c r="B1441" s="3" t="inlineStr">
        <is>
          <t>농림지역</t>
        </is>
      </c>
      <c r="C1441" s="3" t="inlineStr">
        <is>
          <t>답</t>
        </is>
      </c>
      <c r="D1441" s="3" t="inlineStr">
        <is>
          <t>답</t>
        </is>
      </c>
      <c r="E1441" s="3" t="inlineStr">
        <is>
          <t>매매</t>
        </is>
      </c>
      <c r="F1441" s="4" t="n">
        <v>30000</v>
      </c>
      <c r="G1441" s="4" t="n">
        <v>4122</v>
      </c>
      <c r="H1441" s="4" t="n">
        <v>1247</v>
      </c>
      <c r="I1441" s="5" t="n">
        <v>24.1</v>
      </c>
      <c r="J1441" s="5" t="n">
        <v>18</v>
      </c>
      <c r="K1441" s="3" t="inlineStr">
        <is>
          <t>오송읍 쌍청리 농지 급매 농지원부 대토 투자 장기보유등 추천</t>
        </is>
      </c>
      <c r="L1441" s="6">
        <f>HYPERLINK("https://fin.land.naver.com/articles/2651258350", "매물Link")</f>
        <v/>
      </c>
      <c r="M1441" s="6">
        <f>HYPERLINK("https://map.naver.com/p/search/오송읍 쌍청리 539-2", "지도Link")</f>
        <v/>
      </c>
      <c r="N1441" s="6">
        <f>HYPERLINK("http://www.eum.go.kr/web/ar/lu/luLandDet.jsp?pnu=4311325024105390002&amp;isNoScr=script&amp;mode=search", "토지이음")</f>
        <v/>
      </c>
      <c r="O1441" s="3" t="inlineStr">
        <is>
          <t>그린</t>
        </is>
      </c>
      <c r="P1441" s="4" t="n">
        <v>1</v>
      </c>
      <c r="Q1441" s="4" t="n">
        <v>2208</v>
      </c>
      <c r="R1441" s="3" t="inlineStr">
        <is>
          <t>지정되지않음</t>
        </is>
      </c>
      <c r="S1441" s="3" t="inlineStr">
        <is>
          <t>답</t>
        </is>
      </c>
      <c r="T1441" s="3" t="inlineStr">
        <is>
          <t>평지</t>
        </is>
      </c>
      <c r="U1441" s="3" t="inlineStr">
        <is>
          <t>가로장방</t>
        </is>
      </c>
      <c r="V1441" s="3" t="inlineStr">
        <is>
          <t>맹지</t>
        </is>
      </c>
    </row>
    <row r="1442">
      <c r="A1442" s="3" t="inlineStr">
        <is>
          <t>오송읍 쌍청리 8-1</t>
        </is>
      </c>
      <c r="B1442" s="3" t="inlineStr">
        <is>
          <t>생산관리지역</t>
        </is>
      </c>
      <c r="C1442" s="3" t="inlineStr">
        <is>
          <t>답</t>
        </is>
      </c>
      <c r="D1442" s="3" t="inlineStr">
        <is>
          <t>답</t>
        </is>
      </c>
      <c r="E1442" s="3" t="inlineStr">
        <is>
          <t>매매</t>
        </is>
      </c>
      <c r="F1442" s="4" t="n">
        <v>61000</v>
      </c>
      <c r="G1442" s="4" t="n">
        <v>1613</v>
      </c>
      <c r="H1442" s="4" t="n">
        <v>488</v>
      </c>
      <c r="I1442" s="5" t="n">
        <v>125</v>
      </c>
      <c r="J1442" s="5" t="n">
        <v>46.5</v>
      </c>
      <c r="K1442" s="3" t="inlineStr">
        <is>
          <t>2차선 도로접  분할매매 가능</t>
        </is>
      </c>
      <c r="L1442" s="6">
        <f>HYPERLINK("https://fin.land.naver.com/articles/2650758461", "매물Link")</f>
        <v/>
      </c>
      <c r="M1442" s="6">
        <f>HYPERLINK("https://map.naver.com/p/search/오송읍 쌍청리 8-1", "지도Link")</f>
        <v/>
      </c>
      <c r="N1442" s="6">
        <f>HYPERLINK("http://www.eum.go.kr/web/ar/lu/luLandDet.jsp?pnu=4311325024100080001&amp;isNoScr=script&amp;mode=search", "토지이음")</f>
        <v/>
      </c>
      <c r="O1442" s="3" t="inlineStr">
        <is>
          <t>김창수</t>
        </is>
      </c>
      <c r="P1442" s="4" t="n">
        <v>1</v>
      </c>
      <c r="Q1442" s="4" t="n">
        <v>1613</v>
      </c>
      <c r="R1442" s="3" t="inlineStr">
        <is>
          <t>지정되지않음</t>
        </is>
      </c>
      <c r="S1442" s="3" t="inlineStr">
        <is>
          <t>답</t>
        </is>
      </c>
      <c r="T1442" s="3" t="inlineStr">
        <is>
          <t>평지</t>
        </is>
      </c>
      <c r="U1442" s="3" t="inlineStr">
        <is>
          <t>세로장방</t>
        </is>
      </c>
      <c r="V1442" s="3" t="inlineStr">
        <is>
          <t>소로한면</t>
        </is>
      </c>
    </row>
    <row r="1443">
      <c r="A1443" s="3" t="inlineStr">
        <is>
          <t>오송읍 연제리 527-1</t>
        </is>
      </c>
      <c r="B1443" s="3" t="inlineStr">
        <is>
          <t>계획관리지역</t>
        </is>
      </c>
      <c r="C1443" s="3" t="inlineStr">
        <is>
          <t>전</t>
        </is>
      </c>
      <c r="D1443" s="3" t="inlineStr">
        <is>
          <t>전</t>
        </is>
      </c>
      <c r="E1443" s="3" t="inlineStr">
        <is>
          <t>매매</t>
        </is>
      </c>
      <c r="F1443" s="4" t="n">
        <v>88000</v>
      </c>
      <c r="G1443" s="4" t="n">
        <v>1825</v>
      </c>
      <c r="H1443" s="4" t="n">
        <v>552</v>
      </c>
      <c r="I1443" s="5" t="n">
        <v>159.4</v>
      </c>
      <c r="J1443" s="5" t="n">
        <v>59.4</v>
      </c>
      <c r="K1443" s="3" t="inlineStr">
        <is>
          <t>지금 잡아야 할 핵심 입지 매물</t>
        </is>
      </c>
      <c r="L1443" s="6">
        <f>HYPERLINK("https://fin.land.naver.com/articles/2651283863", "매물Link")</f>
        <v/>
      </c>
      <c r="M1443" s="6">
        <f>HYPERLINK("https://map.naver.com/p/search/오송읍 연제리 527-1", "지도Link")</f>
        <v/>
      </c>
      <c r="N1443" s="6">
        <f>HYPERLINK("http://www.eum.go.kr/web/ar/lu/luLandDet.jsp?pnu=4311325026105270001&amp;isNoScr=script&amp;mode=search", "토지이음")</f>
        <v/>
      </c>
      <c r="O1443" s="3" t="inlineStr">
        <is>
          <t>오송퍼스트영웅</t>
        </is>
      </c>
      <c r="P1443" s="4" t="n">
        <v>2</v>
      </c>
      <c r="Q1443" s="4" t="n">
        <v>1825</v>
      </c>
      <c r="R1443" s="3" t="inlineStr">
        <is>
          <t>지정되지않음</t>
        </is>
      </c>
      <c r="S1443" s="3" t="inlineStr">
        <is>
          <t>전</t>
        </is>
      </c>
      <c r="T1443" s="3" t="inlineStr">
        <is>
          <t>평지</t>
        </is>
      </c>
      <c r="U1443" s="3" t="inlineStr">
        <is>
          <t>사다리형</t>
        </is>
      </c>
      <c r="V1443" s="3" t="inlineStr">
        <is>
          <t>세로한면(가)</t>
        </is>
      </c>
    </row>
    <row r="1444">
      <c r="A1444" s="3" t="inlineStr">
        <is>
          <t>오송읍 연제리 539</t>
        </is>
      </c>
      <c r="B1444" s="3" t="inlineStr">
        <is>
          <t>계획관리지역</t>
        </is>
      </c>
      <c r="C1444" s="3" t="inlineStr">
        <is>
          <t>대</t>
        </is>
      </c>
      <c r="D1444" s="3" t="inlineStr">
        <is>
          <t>대</t>
        </is>
      </c>
      <c r="E1444" s="3" t="inlineStr">
        <is>
          <t>매매</t>
        </is>
      </c>
      <c r="F1444" s="4" t="n">
        <v>55000</v>
      </c>
      <c r="G1444" s="4" t="n">
        <v>493</v>
      </c>
      <c r="H1444" s="4" t="n">
        <v>149</v>
      </c>
      <c r="I1444" s="5" t="n">
        <v>369.1</v>
      </c>
      <c r="J1444" s="5" t="n">
        <v>115.7</v>
      </c>
      <c r="K1444" s="3" t="inlineStr">
        <is>
          <t>오송 호수공원 근접, 활용도 높은 토지 매매</t>
        </is>
      </c>
      <c r="L1444" s="6">
        <f>HYPERLINK("https://fin.land.naver.com/articles/2650595801", "매물Link")</f>
        <v/>
      </c>
      <c r="M1444" s="6">
        <f>HYPERLINK("https://map.naver.com/p/search/오송읍 연제리 539", "지도Link")</f>
        <v/>
      </c>
      <c r="N1444" s="6">
        <f>HYPERLINK("http://www.eum.go.kr/web/ar/lu/luLandDet.jsp?pnu=4311325026105390000&amp;isNoScr=script&amp;mode=search", "토지이음")</f>
        <v/>
      </c>
      <c r="O1444" s="3" t="inlineStr">
        <is>
          <t>광장</t>
        </is>
      </c>
      <c r="P1444" s="4" t="n">
        <v>1</v>
      </c>
      <c r="Q1444" s="4" t="n">
        <v>493</v>
      </c>
      <c r="R1444" s="3" t="inlineStr">
        <is>
          <t>지정되지않음</t>
        </is>
      </c>
      <c r="S1444" s="3" t="inlineStr">
        <is>
          <t>단독</t>
        </is>
      </c>
      <c r="T1444" s="3" t="inlineStr">
        <is>
          <t>평지</t>
        </is>
      </c>
      <c r="U1444" s="3" t="inlineStr">
        <is>
          <t>부정형</t>
        </is>
      </c>
      <c r="V1444" s="3" t="inlineStr">
        <is>
          <t>세로각지(가)</t>
        </is>
      </c>
    </row>
    <row r="1445">
      <c r="A1445" s="3" t="inlineStr">
        <is>
          <t>오송읍 연제리 540-20</t>
        </is>
      </c>
      <c r="B1445" s="3" t="inlineStr">
        <is>
          <t>계획관리지역</t>
        </is>
      </c>
      <c r="C1445" s="3" t="inlineStr">
        <is>
          <t>대</t>
        </is>
      </c>
      <c r="D1445" s="3" t="inlineStr">
        <is>
          <t>대</t>
        </is>
      </c>
      <c r="E1445" s="3" t="inlineStr">
        <is>
          <t>매매</t>
        </is>
      </c>
      <c r="F1445" s="4" t="n">
        <v>300000</v>
      </c>
      <c r="G1445" s="4" t="n">
        <v>1608</v>
      </c>
      <c r="H1445" s="4" t="n">
        <v>486</v>
      </c>
      <c r="I1445" s="5" t="n">
        <v>617.3</v>
      </c>
      <c r="J1445" s="5" t="n">
        <v>189.7</v>
      </c>
      <c r="K1445" s="3" t="inlineStr">
        <is>
          <t>오송 내 최고의 위치 호수공원 품은 토지로서 미래가치 높은 토지</t>
        </is>
      </c>
      <c r="L1445" s="6">
        <f>HYPERLINK("https://fin.land.naver.com/articles/2651576082", "매물Link")</f>
        <v/>
      </c>
      <c r="M1445" s="6">
        <f>HYPERLINK("https://map.naver.com/p/search/오송읍 연제리 540-20", "지도Link")</f>
        <v/>
      </c>
      <c r="N1445" s="6">
        <f>HYPERLINK("http://www.eum.go.kr/web/ar/lu/luLandDet.jsp?pnu=4311325026105400020&amp;isNoScr=script&amp;mode=search", "토지이음")</f>
        <v/>
      </c>
      <c r="O1445" s="3" t="inlineStr">
        <is>
          <t>여기로</t>
        </is>
      </c>
      <c r="P1445" s="4" t="n">
        <v>1</v>
      </c>
      <c r="Q1445" s="4" t="n">
        <v>1332</v>
      </c>
      <c r="R1445" s="3" t="inlineStr">
        <is>
          <t>지정되지않음</t>
        </is>
      </c>
      <c r="S1445" s="3" t="inlineStr">
        <is>
          <t>상업용</t>
        </is>
      </c>
      <c r="T1445" s="3" t="inlineStr">
        <is>
          <t>평지</t>
        </is>
      </c>
      <c r="U1445" s="3" t="inlineStr">
        <is>
          <t>사다리형</t>
        </is>
      </c>
      <c r="V1445" s="3" t="inlineStr">
        <is>
          <t>세로한면(가)</t>
        </is>
      </c>
    </row>
    <row r="1446">
      <c r="A1446" s="3" t="inlineStr">
        <is>
          <t>오송읍 연제리 540-37</t>
        </is>
      </c>
      <c r="B1446" s="3" t="inlineStr">
        <is>
          <t>계획관리지역</t>
        </is>
      </c>
      <c r="C1446" s="3" t="inlineStr">
        <is>
          <t>공장용지</t>
        </is>
      </c>
      <c r="D1446" s="3" t="inlineStr">
        <is>
          <t>공장용지</t>
        </is>
      </c>
      <c r="E1446" s="3" t="inlineStr">
        <is>
          <t>매매</t>
        </is>
      </c>
      <c r="F1446" s="4" t="n">
        <v>70000</v>
      </c>
      <c r="G1446" s="4" t="n">
        <v>500</v>
      </c>
      <c r="H1446" s="4" t="n">
        <v>151</v>
      </c>
      <c r="I1446" s="5" t="n">
        <v>463.6</v>
      </c>
      <c r="J1446" s="5" t="n">
        <v>161.4</v>
      </c>
      <c r="K1446" s="3" t="inlineStr">
        <is>
          <t>호수공원 인접, 다용도 건축 가능,가격협의 가능</t>
        </is>
      </c>
      <c r="L1446" s="6">
        <f>HYPERLINK("https://fin.land.naver.com/articles/2651622199", "매물Link")</f>
        <v/>
      </c>
      <c r="M1446" s="6">
        <f>HYPERLINK("https://map.naver.com/p/search/오송읍 연제리 540-37", "지도Link")</f>
        <v/>
      </c>
      <c r="N1446" s="6">
        <f>HYPERLINK("http://www.eum.go.kr/web/ar/lu/luLandDet.jsp?pnu=4311325026105400037&amp;isNoScr=script&amp;mode=search", "토지이음")</f>
        <v/>
      </c>
      <c r="O1446" s="3" t="inlineStr">
        <is>
          <t>테크노힐데스한빛사무소</t>
        </is>
      </c>
      <c r="P1446" s="4" t="n">
        <v>1</v>
      </c>
      <c r="Q1446" s="4" t="n">
        <v>500</v>
      </c>
      <c r="R1446" s="3" t="inlineStr">
        <is>
          <t>지정되지않음</t>
        </is>
      </c>
      <c r="S1446" s="3" t="inlineStr">
        <is>
          <t>주상나지</t>
        </is>
      </c>
      <c r="T1446" s="3" t="inlineStr">
        <is>
          <t>평지</t>
        </is>
      </c>
      <c r="U1446" s="3" t="inlineStr">
        <is>
          <t>사다리형</t>
        </is>
      </c>
      <c r="V1446" s="3" t="inlineStr">
        <is>
          <t>세로한면(가)</t>
        </is>
      </c>
    </row>
    <row r="1447">
      <c r="A1447" s="3" t="inlineStr">
        <is>
          <t>오송읍 연제리 664-2</t>
        </is>
      </c>
      <c r="B1447" s="3" t="inlineStr">
        <is>
          <t>준공업지역</t>
        </is>
      </c>
      <c r="C1447" s="3" t="inlineStr">
        <is>
          <t>대</t>
        </is>
      </c>
      <c r="D1447" s="3" t="inlineStr">
        <is>
          <t>대</t>
        </is>
      </c>
      <c r="E1447" s="3" t="inlineStr">
        <is>
          <t>매매</t>
        </is>
      </c>
      <c r="F1447" s="4" t="n">
        <v>2000000</v>
      </c>
      <c r="G1447" s="4" t="n">
        <v>9917</v>
      </c>
      <c r="H1447" s="4" t="n">
        <v>3000</v>
      </c>
      <c r="I1447" s="5" t="n">
        <v>666.7</v>
      </c>
      <c r="J1447" s="5" t="n">
        <v>199.2</v>
      </c>
      <c r="K1447" s="3" t="inlineStr">
        <is>
          <t>현재 가치는 물론 오송 개발과 산업 인프라 확장에 따른 미래가치까지 기대</t>
        </is>
      </c>
      <c r="L1447" s="6">
        <f>HYPERLINK("https://fin.land.naver.com/articles/2650115117", "매물Link")</f>
        <v/>
      </c>
      <c r="M1447" s="6">
        <f>HYPERLINK("https://map.naver.com/p/search/오송읍 연제리 664-2", "지도Link")</f>
        <v/>
      </c>
      <c r="N1447" s="6">
        <f>HYPERLINK("http://www.eum.go.kr/web/ar/lu/luLandDet.jsp?pnu=4311325026106640002&amp;isNoScr=script&amp;mode=search", "토지이음")</f>
        <v/>
      </c>
      <c r="O1447" s="3" t="inlineStr">
        <is>
          <t>대한</t>
        </is>
      </c>
      <c r="P1447" s="4" t="n">
        <v>1</v>
      </c>
      <c r="Q1447" s="4" t="n">
        <v>4958.7</v>
      </c>
      <c r="R1447" s="3" t="inlineStr">
        <is>
          <t>지정되지않음</t>
        </is>
      </c>
      <c r="S1447" s="3" t="inlineStr">
        <is>
          <t>상업용</t>
        </is>
      </c>
      <c r="T1447" s="3" t="inlineStr">
        <is>
          <t>평지</t>
        </is>
      </c>
      <c r="U1447" s="3" t="inlineStr">
        <is>
          <t>세로장방</t>
        </is>
      </c>
      <c r="V1447" s="3" t="inlineStr">
        <is>
          <t>중로한면</t>
        </is>
      </c>
    </row>
    <row r="1448">
      <c r="A1448" s="3" t="inlineStr">
        <is>
          <t>오송읍 연제리 668</t>
        </is>
      </c>
      <c r="B1448" s="3" t="inlineStr">
        <is>
          <t>일반상업지역</t>
        </is>
      </c>
      <c r="C1448" s="3" t="inlineStr">
        <is>
          <t>대</t>
        </is>
      </c>
      <c r="D1448" s="3" t="inlineStr">
        <is>
          <t>대</t>
        </is>
      </c>
      <c r="E1448" s="3" t="inlineStr">
        <is>
          <t>매매</t>
        </is>
      </c>
      <c r="F1448" s="4" t="n">
        <v>820000</v>
      </c>
      <c r="G1448" s="4" t="n">
        <v>1593</v>
      </c>
      <c r="H1448" s="4" t="n">
        <v>482</v>
      </c>
      <c r="I1448" s="5" t="n">
        <v>1701.2</v>
      </c>
      <c r="J1448" s="5" t="n">
        <v>619.8</v>
      </c>
      <c r="K1448" s="3" t="inlineStr">
        <is>
          <t>nan</t>
        </is>
      </c>
      <c r="L1448" s="6">
        <f>HYPERLINK("https://fin.land.naver.com/articles/2651794517", "매물Link")</f>
        <v/>
      </c>
      <c r="M1448" s="6">
        <f>HYPERLINK("https://map.naver.com/p/search/오송읍 연제리 668", "지도Link")</f>
        <v/>
      </c>
      <c r="N1448" s="6">
        <f>HYPERLINK("http://www.eum.go.kr/web/ar/lu/luLandDet.jsp?pnu=4311325026106680000&amp;isNoScr=script&amp;mode=search", "토지이음")</f>
        <v/>
      </c>
      <c r="O1448" s="3" t="inlineStr">
        <is>
          <t>바른</t>
        </is>
      </c>
      <c r="P1448" s="4" t="n">
        <v>1</v>
      </c>
      <c r="Q1448" s="4" t="n">
        <v>803.1</v>
      </c>
      <c r="R1448" s="3" t="inlineStr">
        <is>
          <t>지정되지않음</t>
        </is>
      </c>
      <c r="S1448" s="3" t="inlineStr">
        <is>
          <t>상업나지</t>
        </is>
      </c>
      <c r="T1448" s="3" t="inlineStr">
        <is>
          <t>평지</t>
        </is>
      </c>
      <c r="U1448" s="3" t="inlineStr">
        <is>
          <t>가로장방</t>
        </is>
      </c>
      <c r="V1448" s="3" t="inlineStr">
        <is>
          <t>광대소각</t>
        </is>
      </c>
    </row>
    <row r="1449">
      <c r="A1449" s="3" t="inlineStr">
        <is>
          <t>오송읍 연제리 668</t>
        </is>
      </c>
      <c r="B1449" s="3" t="inlineStr">
        <is>
          <t>일반상업지역</t>
        </is>
      </c>
      <c r="C1449" s="3" t="inlineStr">
        <is>
          <t>대</t>
        </is>
      </c>
      <c r="D1449" s="3" t="inlineStr">
        <is>
          <t>대</t>
        </is>
      </c>
      <c r="E1449" s="3" t="inlineStr">
        <is>
          <t>매매</t>
        </is>
      </c>
      <c r="F1449" s="4" t="n">
        <v>820000</v>
      </c>
      <c r="G1449" s="4" t="n">
        <v>1593</v>
      </c>
      <c r="H1449" s="4" t="n">
        <v>482</v>
      </c>
      <c r="I1449" s="5" t="n">
        <v>1701.2</v>
      </c>
      <c r="J1449" s="5" t="n">
        <v>619.8</v>
      </c>
      <c r="K1449" s="3" t="inlineStr">
        <is>
          <t>외1필지 호텔이나 오피스텔로 투자 적합</t>
        </is>
      </c>
      <c r="L1449" s="6">
        <f>HYPERLINK("https://fin.land.naver.com/articles/2650139636", "매물Link")</f>
        <v/>
      </c>
      <c r="M1449" s="6">
        <f>HYPERLINK("https://map.naver.com/p/search/오송읍 연제리 668", "지도Link")</f>
        <v/>
      </c>
      <c r="N1449" s="6">
        <f>HYPERLINK("http://www.eum.go.kr/web/ar/lu/luLandDet.jsp?pnu=4311325026106680000&amp;isNoScr=script&amp;mode=search", "토지이음")</f>
        <v/>
      </c>
      <c r="O1449" s="3" t="inlineStr">
        <is>
          <t>옥산하늘채 주식회사</t>
        </is>
      </c>
      <c r="P1449" s="4" t="n">
        <v>1</v>
      </c>
      <c r="Q1449" s="4" t="n">
        <v>803.1</v>
      </c>
      <c r="R1449" s="3" t="inlineStr">
        <is>
          <t>지정되지않음</t>
        </is>
      </c>
      <c r="S1449" s="3" t="inlineStr">
        <is>
          <t>상업나지</t>
        </is>
      </c>
      <c r="T1449" s="3" t="inlineStr">
        <is>
          <t>평지</t>
        </is>
      </c>
      <c r="U1449" s="3" t="inlineStr">
        <is>
          <t>가로장방</t>
        </is>
      </c>
      <c r="V1449" s="3" t="inlineStr">
        <is>
          <t>광대소각</t>
        </is>
      </c>
    </row>
    <row r="1450">
      <c r="A1450" s="3" t="inlineStr">
        <is>
          <t>오송읍 연제리 692</t>
        </is>
      </c>
      <c r="B1450" s="3" t="inlineStr">
        <is>
          <t>일반상업지역</t>
        </is>
      </c>
      <c r="C1450" s="3" t="inlineStr">
        <is>
          <t>대</t>
        </is>
      </c>
      <c r="D1450" s="3" t="inlineStr">
        <is>
          <t>대</t>
        </is>
      </c>
      <c r="E1450" s="3" t="inlineStr">
        <is>
          <t>매매</t>
        </is>
      </c>
      <c r="F1450" s="4" t="n">
        <v>135000</v>
      </c>
      <c r="G1450" s="4" t="n">
        <v>593</v>
      </c>
      <c r="H1450" s="4" t="n">
        <v>179</v>
      </c>
      <c r="I1450" s="5" t="n">
        <v>754.2</v>
      </c>
      <c r="J1450" s="5" t="n">
        <v>301.3</v>
      </c>
      <c r="K1450" s="3" t="inlineStr">
        <is>
          <t>nan</t>
        </is>
      </c>
      <c r="L1450" s="6">
        <f>HYPERLINK("https://fin.land.naver.com/articles/2654375790", "매물Link")</f>
        <v/>
      </c>
      <c r="M1450" s="6">
        <f>HYPERLINK("https://map.naver.com/p/search/오송읍 연제리 692", "지도Link")</f>
        <v/>
      </c>
      <c r="N1450" s="6">
        <f>HYPERLINK("http://www.eum.go.kr/web/ar/lu/luLandDet.jsp?pnu=4311325026106920000&amp;isNoScr=script&amp;mode=search", "토지이음")</f>
        <v/>
      </c>
      <c r="O1450" s="3" t="inlineStr">
        <is>
          <t>오송퍼스트영웅</t>
        </is>
      </c>
      <c r="P1450" s="4" t="n">
        <v>1</v>
      </c>
      <c r="Q1450" s="4" t="n">
        <v>593.3</v>
      </c>
      <c r="R1450" s="3" t="inlineStr">
        <is>
          <t>지정되지않음</t>
        </is>
      </c>
      <c r="S1450" s="3" t="inlineStr">
        <is>
          <t>상업나지</t>
        </is>
      </c>
      <c r="T1450" s="3" t="inlineStr">
        <is>
          <t>평지</t>
        </is>
      </c>
      <c r="U1450" s="3" t="inlineStr">
        <is>
          <t>세로장방</t>
        </is>
      </c>
      <c r="V1450" s="3" t="inlineStr">
        <is>
          <t>광대소각</t>
        </is>
      </c>
    </row>
    <row r="1451">
      <c r="A1451" s="3" t="inlineStr">
        <is>
          <t>오송읍 연제리 703</t>
        </is>
      </c>
      <c r="B1451" s="3" t="inlineStr">
        <is>
          <t>일반상업지역</t>
        </is>
      </c>
      <c r="C1451" s="3" t="inlineStr">
        <is>
          <t>대</t>
        </is>
      </c>
      <c r="D1451" s="3" t="inlineStr">
        <is>
          <t>대</t>
        </is>
      </c>
      <c r="E1451" s="3" t="inlineStr">
        <is>
          <t>매매</t>
        </is>
      </c>
      <c r="F1451" s="4" t="n">
        <v>270000</v>
      </c>
      <c r="G1451" s="4" t="n">
        <v>690</v>
      </c>
      <c r="H1451" s="4" t="n">
        <v>209</v>
      </c>
      <c r="I1451" s="5" t="n">
        <v>1291.9</v>
      </c>
      <c r="J1451" s="5" t="n">
        <v>809.3</v>
      </c>
      <c r="K1451" s="3" t="inlineStr">
        <is>
          <t>일반 상업지역, 상업 나지</t>
        </is>
      </c>
      <c r="L1451" s="6">
        <f>HYPERLINK("https://fin.land.naver.com/articles/2653363832", "매물Link")</f>
        <v/>
      </c>
      <c r="M1451" s="6">
        <f>HYPERLINK("https://map.naver.com/p/search/오송읍 연제리 703", "지도Link")</f>
        <v/>
      </c>
      <c r="N1451" s="6">
        <f>HYPERLINK("http://www.eum.go.kr/web/ar/lu/luLandDet.jsp?pnu=4311325026107030000&amp;isNoScr=script&amp;mode=search", "토지이음")</f>
        <v/>
      </c>
      <c r="O1451" s="3" t="inlineStr">
        <is>
          <t>딜  중개</t>
        </is>
      </c>
      <c r="P1451" s="4" t="n">
        <v>1</v>
      </c>
      <c r="Q1451" s="4" t="n">
        <v>690.3</v>
      </c>
      <c r="R1451" s="3" t="inlineStr">
        <is>
          <t>지정되지않음</t>
        </is>
      </c>
      <c r="S1451" s="3" t="inlineStr">
        <is>
          <t>상업나지</t>
        </is>
      </c>
      <c r="T1451" s="3" t="inlineStr">
        <is>
          <t>평지</t>
        </is>
      </c>
      <c r="U1451" s="3" t="inlineStr">
        <is>
          <t>세로장방</t>
        </is>
      </c>
      <c r="V1451" s="3" t="inlineStr">
        <is>
          <t>광대소각</t>
        </is>
      </c>
    </row>
    <row r="1452">
      <c r="A1452" s="3" t="inlineStr">
        <is>
          <t>오송읍 연제리 산24-15</t>
        </is>
      </c>
      <c r="B1452" s="3" t="inlineStr">
        <is>
          <t>계획관리지역</t>
        </is>
      </c>
      <c r="C1452" s="3" t="inlineStr">
        <is>
          <t>임야</t>
        </is>
      </c>
      <c r="D1452" s="3" t="inlineStr">
        <is>
          <t>임야</t>
        </is>
      </c>
      <c r="E1452" s="3" t="inlineStr">
        <is>
          <t>매매</t>
        </is>
      </c>
      <c r="F1452" s="4" t="n">
        <v>140000</v>
      </c>
      <c r="G1452" s="4" t="n">
        <v>1076</v>
      </c>
      <c r="H1452" s="4" t="n">
        <v>325</v>
      </c>
      <c r="I1452" s="5" t="n">
        <v>430.8</v>
      </c>
      <c r="J1452" s="5" t="n">
        <v>16.8</v>
      </c>
      <c r="K1452" s="3" t="inlineStr">
        <is>
          <t>호수공원뷰,미래상승가치높은</t>
        </is>
      </c>
      <c r="L1452" s="6">
        <f>HYPERLINK("https://fin.land.naver.com/articles/2651124726", "매물Link")</f>
        <v/>
      </c>
      <c r="M1452" s="6">
        <f>HYPERLINK("https://map.naver.com/p/search/오송읍 연제리 산24-15", "지도Link")</f>
        <v/>
      </c>
      <c r="N1452" s="6">
        <f>HYPERLINK("http://www.eum.go.kr/web/ar/lu/luLandDet.jsp?pnu=4311325026200240015&amp;isNoScr=script&amp;mode=search", "토지이음")</f>
        <v/>
      </c>
      <c r="O1452" s="3" t="inlineStr">
        <is>
          <t>노블</t>
        </is>
      </c>
      <c r="P1452" s="4" t="n">
        <v>1</v>
      </c>
      <c r="Q1452" s="4" t="n">
        <v>1076</v>
      </c>
      <c r="R1452" s="3" t="inlineStr">
        <is>
          <t>지정되지않음</t>
        </is>
      </c>
      <c r="S1452" s="3" t="inlineStr">
        <is>
          <t>자연림</t>
        </is>
      </c>
      <c r="T1452" s="3" t="inlineStr">
        <is>
          <t>완경사</t>
        </is>
      </c>
      <c r="U1452" s="3" t="inlineStr">
        <is>
          <t>부정형</t>
        </is>
      </c>
      <c r="V1452" s="3" t="inlineStr">
        <is>
          <t>세로한면(불)</t>
        </is>
      </c>
    </row>
    <row r="1453">
      <c r="A1453" s="3" t="inlineStr">
        <is>
          <t>오송읍 오송리 146-29</t>
        </is>
      </c>
      <c r="B1453" s="3" t="inlineStr">
        <is>
          <t>계획관리지역</t>
        </is>
      </c>
      <c r="C1453" s="3" t="inlineStr">
        <is>
          <t>대</t>
        </is>
      </c>
      <c r="D1453" s="3" t="inlineStr">
        <is>
          <t>대</t>
        </is>
      </c>
      <c r="E1453" s="3" t="inlineStr">
        <is>
          <t>매매</t>
        </is>
      </c>
      <c r="F1453" s="4" t="n">
        <v>85000</v>
      </c>
      <c r="G1453" s="4" t="n">
        <v>372</v>
      </c>
      <c r="H1453" s="4" t="n">
        <v>113</v>
      </c>
      <c r="I1453" s="5" t="n">
        <v>752.2</v>
      </c>
      <c r="J1453" s="5" t="n">
        <v>166.3</v>
      </c>
      <c r="K1453" s="3" t="inlineStr">
        <is>
          <t>흥덕구 오송읍 오송역 부근에 위치한 대지로 향후 지가 상승 예상됨</t>
        </is>
      </c>
      <c r="L1453" s="6">
        <f>HYPERLINK("https://fin.land.naver.com/articles/2652419828", "매물Link")</f>
        <v/>
      </c>
      <c r="M1453" s="6">
        <f>HYPERLINK("https://map.naver.com/p/search/오송읍 오송리 146-29", "지도Link")</f>
        <v/>
      </c>
      <c r="N1453" s="6">
        <f>HYPERLINK("http://www.eum.go.kr/web/ar/lu/luLandDet.jsp?pnu=4311325028101460029&amp;isNoScr=script&amp;mode=search", "토지이음")</f>
        <v/>
      </c>
      <c r="O1453" s="3" t="inlineStr">
        <is>
          <t>산성</t>
        </is>
      </c>
      <c r="P1453" s="4" t="n">
        <v>1</v>
      </c>
      <c r="Q1453" s="4" t="n">
        <v>372</v>
      </c>
      <c r="R1453" s="3" t="inlineStr">
        <is>
          <t>지정되지않음</t>
        </is>
      </c>
      <c r="S1453" s="3" t="inlineStr">
        <is>
          <t>단독</t>
        </is>
      </c>
      <c r="T1453" s="3" t="inlineStr">
        <is>
          <t>평지</t>
        </is>
      </c>
      <c r="U1453" s="3" t="inlineStr">
        <is>
          <t>사다리형</t>
        </is>
      </c>
      <c r="V1453" s="3" t="inlineStr">
        <is>
          <t>세로한면(가)</t>
        </is>
      </c>
    </row>
    <row r="1454">
      <c r="A1454" s="3" t="inlineStr">
        <is>
          <t>오송읍 오송리 206-3</t>
        </is>
      </c>
      <c r="B1454" s="3" t="inlineStr">
        <is>
          <t>계획관리지역</t>
        </is>
      </c>
      <c r="C1454" s="3" t="inlineStr">
        <is>
          <t>대</t>
        </is>
      </c>
      <c r="D1454" s="3" t="inlineStr">
        <is>
          <t>대</t>
        </is>
      </c>
      <c r="E1454" s="3" t="inlineStr">
        <is>
          <t>매매</t>
        </is>
      </c>
      <c r="F1454" s="4" t="n">
        <v>96000</v>
      </c>
      <c r="G1454" s="4" t="n">
        <v>635</v>
      </c>
      <c r="H1454" s="4" t="n">
        <v>192</v>
      </c>
      <c r="I1454" s="5" t="n">
        <v>500</v>
      </c>
      <c r="J1454" s="5" t="n">
        <v>159.6</v>
      </c>
      <c r="K1454" s="3" t="inlineStr">
        <is>
          <t>힐스테이트 오송역퍼스트 앞 토지 매매</t>
        </is>
      </c>
      <c r="L1454" s="6">
        <f>HYPERLINK("https://fin.land.naver.com/articles/2654525718", "매물Link")</f>
        <v/>
      </c>
      <c r="M1454" s="6">
        <f>HYPERLINK("https://map.naver.com/p/search/오송읍 오송리 206-3", "지도Link")</f>
        <v/>
      </c>
      <c r="N1454" s="6">
        <f>HYPERLINK("http://www.eum.go.kr/web/ar/lu/luLandDet.jsp?pnu=4311325028102060003&amp;isNoScr=script&amp;mode=search", "토지이음")</f>
        <v/>
      </c>
      <c r="O1454" s="3" t="inlineStr">
        <is>
          <t>365</t>
        </is>
      </c>
      <c r="P1454" s="4" t="n">
        <v>1</v>
      </c>
      <c r="Q1454" s="4" t="n">
        <v>295</v>
      </c>
      <c r="R1454" s="3" t="inlineStr">
        <is>
          <t>지정되지않음</t>
        </is>
      </c>
      <c r="S1454" s="3" t="inlineStr">
        <is>
          <t>단독</t>
        </is>
      </c>
      <c r="T1454" s="3" t="inlineStr">
        <is>
          <t>평지</t>
        </is>
      </c>
      <c r="U1454" s="3" t="inlineStr">
        <is>
          <t>부정형</t>
        </is>
      </c>
      <c r="V1454" s="3" t="inlineStr">
        <is>
          <t>세로각지(가)</t>
        </is>
      </c>
    </row>
    <row r="1455">
      <c r="A1455" s="3" t="inlineStr">
        <is>
          <t>오송읍 오송리 224-2</t>
        </is>
      </c>
      <c r="B1455" s="3" t="inlineStr">
        <is>
          <t>계획관리지역</t>
        </is>
      </c>
      <c r="C1455" s="3" t="inlineStr">
        <is>
          <t>대</t>
        </is>
      </c>
      <c r="D1455" s="3" t="inlineStr">
        <is>
          <t>대</t>
        </is>
      </c>
      <c r="E1455" s="3" t="inlineStr">
        <is>
          <t>매매</t>
        </is>
      </c>
      <c r="F1455" s="4" t="n">
        <v>81500</v>
      </c>
      <c r="G1455" s="4" t="n">
        <v>538</v>
      </c>
      <c r="H1455" s="4" t="n">
        <v>163</v>
      </c>
      <c r="I1455" s="5" t="n">
        <v>500</v>
      </c>
      <c r="J1455" s="5" t="n">
        <v>136.5</v>
      </c>
      <c r="K1455" s="3" t="inlineStr">
        <is>
          <t>3산단초입 투자물건 2필지</t>
        </is>
      </c>
      <c r="L1455" s="6">
        <f>HYPERLINK("https://fin.land.naver.com/articles/2649702680", "매물Link")</f>
        <v/>
      </c>
      <c r="M1455" s="6">
        <f>HYPERLINK("https://map.naver.com/p/search/오송읍 오송리 224-2", "지도Link")</f>
        <v/>
      </c>
      <c r="N1455" s="6">
        <f>HYPERLINK("http://www.eum.go.kr/web/ar/lu/luLandDet.jsp?pnu=4311325028102240002&amp;isNoScr=script&amp;mode=search", "토지이음")</f>
        <v/>
      </c>
      <c r="O1455" s="3" t="inlineStr">
        <is>
          <t>금송</t>
        </is>
      </c>
      <c r="P1455" s="4" t="n">
        <v>1</v>
      </c>
      <c r="Q1455" s="4" t="n">
        <v>182</v>
      </c>
      <c r="R1455" s="3" t="inlineStr">
        <is>
          <t>지정되지않음</t>
        </is>
      </c>
      <c r="S1455" s="3" t="inlineStr">
        <is>
          <t>단독</t>
        </is>
      </c>
      <c r="T1455" s="3" t="inlineStr">
        <is>
          <t>평지</t>
        </is>
      </c>
      <c r="U1455" s="3" t="inlineStr">
        <is>
          <t>사다리형</t>
        </is>
      </c>
      <c r="V1455" s="3" t="inlineStr">
        <is>
          <t>세로한면(가)</t>
        </is>
      </c>
    </row>
    <row r="1456">
      <c r="A1456" s="3" t="inlineStr">
        <is>
          <t>오송읍 오송리 242-2</t>
        </is>
      </c>
      <c r="B1456" s="3" t="inlineStr">
        <is>
          <t>계획관리지역</t>
        </is>
      </c>
      <c r="C1456" s="3" t="inlineStr">
        <is>
          <t>주유소용지</t>
        </is>
      </c>
      <c r="D1456" s="3" t="inlineStr">
        <is>
          <t>주유소용지</t>
        </is>
      </c>
      <c r="E1456" s="3" t="inlineStr">
        <is>
          <t>매매</t>
        </is>
      </c>
      <c r="F1456" s="4" t="n">
        <v>250000</v>
      </c>
      <c r="G1456" s="4" t="n">
        <v>809</v>
      </c>
      <c r="H1456" s="4" t="n">
        <v>245</v>
      </c>
      <c r="I1456" s="5" t="n">
        <v>1020.4</v>
      </c>
      <c r="J1456" s="5" t="n">
        <v>313.2</v>
      </c>
      <c r="K1456" s="3" t="inlineStr">
        <is>
          <t>배후시장 탄탄한 6차선 대로변 토지</t>
        </is>
      </c>
      <c r="L1456" s="6">
        <f>HYPERLINK("https://fin.land.naver.com/articles/2651523803", "매물Link")</f>
        <v/>
      </c>
      <c r="M1456" s="6">
        <f>HYPERLINK("https://map.naver.com/p/search/오송읍 오송리 242-2", "지도Link")</f>
        <v/>
      </c>
      <c r="N1456" s="6">
        <f>HYPERLINK("http://www.eum.go.kr/web/ar/lu/luLandDet.jsp?pnu=4311325028102420002&amp;isNoScr=script&amp;mode=search", "토지이음")</f>
        <v/>
      </c>
      <c r="O1456" s="3" t="inlineStr">
        <is>
          <t>한국토지중개</t>
        </is>
      </c>
      <c r="P1456" s="4" t="n">
        <v>1</v>
      </c>
      <c r="Q1456" s="4" t="n">
        <v>810</v>
      </c>
      <c r="R1456" s="3" t="inlineStr">
        <is>
          <t>지정되지않음</t>
        </is>
      </c>
      <c r="S1456" s="3" t="inlineStr">
        <is>
          <t>주상용</t>
        </is>
      </c>
      <c r="T1456" s="3" t="inlineStr">
        <is>
          <t>평지</t>
        </is>
      </c>
      <c r="U1456" s="3" t="inlineStr">
        <is>
          <t>세로장방</t>
        </is>
      </c>
      <c r="V1456" s="3" t="inlineStr">
        <is>
          <t>광대로한면</t>
        </is>
      </c>
    </row>
    <row r="1457">
      <c r="A1457" s="3" t="inlineStr">
        <is>
          <t>오송읍 오송리 242-2</t>
        </is>
      </c>
      <c r="B1457" s="3" t="inlineStr">
        <is>
          <t>계획관리지역</t>
        </is>
      </c>
      <c r="C1457" s="3" t="inlineStr">
        <is>
          <t>주유소용지</t>
        </is>
      </c>
      <c r="D1457" s="3" t="inlineStr">
        <is>
          <t>주유소용지</t>
        </is>
      </c>
      <c r="E1457" s="3" t="inlineStr">
        <is>
          <t>매매</t>
        </is>
      </c>
      <c r="F1457" s="4" t="n">
        <v>245000</v>
      </c>
      <c r="G1457" s="4" t="n">
        <v>810</v>
      </c>
      <c r="H1457" s="4" t="n">
        <v>245</v>
      </c>
      <c r="I1457" s="5" t="n">
        <v>1000</v>
      </c>
      <c r="J1457" s="5" t="n">
        <v>313.2</v>
      </c>
      <c r="K1457" s="3" t="inlineStr">
        <is>
          <t>6차선변 주유소현 휴업중 매매</t>
        </is>
      </c>
      <c r="L1457" s="6">
        <f>HYPERLINK("https://fin.land.naver.com/articles/2654551158", "매물Link")</f>
        <v/>
      </c>
      <c r="M1457" s="6">
        <f>HYPERLINK("https://map.naver.com/p/search/오송읍 오송리 242-2", "지도Link")</f>
        <v/>
      </c>
      <c r="N1457" s="6">
        <f>HYPERLINK("http://www.eum.go.kr/web/ar/lu/luLandDet.jsp?pnu=4311325028102420002&amp;isNoScr=script&amp;mode=search", "토지이음")</f>
        <v/>
      </c>
      <c r="O1457" s="3" t="inlineStr">
        <is>
          <t>한국토지중개</t>
        </is>
      </c>
      <c r="P1457" s="4" t="n">
        <v>1</v>
      </c>
      <c r="Q1457" s="4" t="n">
        <v>810</v>
      </c>
      <c r="R1457" s="3" t="inlineStr">
        <is>
          <t>지정되지않음</t>
        </is>
      </c>
      <c r="S1457" s="3" t="inlineStr">
        <is>
          <t>주상용</t>
        </is>
      </c>
      <c r="T1457" s="3" t="inlineStr">
        <is>
          <t>평지</t>
        </is>
      </c>
      <c r="U1457" s="3" t="inlineStr">
        <is>
          <t>세로장방</t>
        </is>
      </c>
      <c r="V1457" s="3" t="inlineStr">
        <is>
          <t>광대로한면</t>
        </is>
      </c>
    </row>
    <row r="1458">
      <c r="A1458" s="3" t="inlineStr">
        <is>
          <t>오송읍 오송리 242-21</t>
        </is>
      </c>
      <c r="B1458" s="3" t="inlineStr">
        <is>
          <t>계획관리지역</t>
        </is>
      </c>
      <c r="C1458" s="3" t="inlineStr">
        <is>
          <t>전</t>
        </is>
      </c>
      <c r="D1458" s="3" t="inlineStr">
        <is>
          <t>전</t>
        </is>
      </c>
      <c r="E1458" s="3" t="inlineStr">
        <is>
          <t>매매</t>
        </is>
      </c>
      <c r="F1458" s="4" t="n">
        <v>32000</v>
      </c>
      <c r="G1458" s="4" t="n">
        <v>300</v>
      </c>
      <c r="H1458" s="4" t="n">
        <v>91</v>
      </c>
      <c r="I1458" s="5" t="n">
        <v>351.6</v>
      </c>
      <c r="J1458" s="5" t="n">
        <v>84.5</v>
      </c>
      <c r="K1458" s="3" t="inlineStr">
        <is>
          <t>3산단 예정지 배후, 임대수익형 다가구 자리
3산단 배후지, 임대수익형</t>
        </is>
      </c>
      <c r="L1458" s="6">
        <f>HYPERLINK("https://fin.land.naver.com/articles/2649702126", "매물Link")</f>
        <v/>
      </c>
      <c r="M1458" s="6">
        <f>HYPERLINK("https://map.naver.com/p/search/오송읍 오송리 242-21", "지도Link")</f>
        <v/>
      </c>
      <c r="N1458" s="6">
        <f>HYPERLINK("http://www.eum.go.kr/web/ar/lu/luLandDet.jsp?pnu=4311325028102420021&amp;isNoScr=script&amp;mode=search", "토지이음")</f>
        <v/>
      </c>
      <c r="O1458" s="3" t="inlineStr">
        <is>
          <t>금송</t>
        </is>
      </c>
      <c r="P1458" s="4" t="n">
        <v>1</v>
      </c>
      <c r="Q1458" s="4" t="n">
        <v>165</v>
      </c>
      <c r="R1458" s="3" t="inlineStr">
        <is>
          <t>지정되지않음</t>
        </is>
      </c>
      <c r="S1458" s="3" t="inlineStr">
        <is>
          <t>전</t>
        </is>
      </c>
      <c r="T1458" s="3" t="inlineStr">
        <is>
          <t>평지</t>
        </is>
      </c>
      <c r="U1458" s="3" t="inlineStr">
        <is>
          <t>사다리형</t>
        </is>
      </c>
      <c r="V1458" s="3" t="inlineStr">
        <is>
          <t>세로한면(가)</t>
        </is>
      </c>
    </row>
    <row r="1459">
      <c r="A1459" s="3" t="inlineStr">
        <is>
          <t>오송읍 오송리 246-52</t>
        </is>
      </c>
      <c r="B1459" s="3" t="inlineStr">
        <is>
          <t>계획관리지역</t>
        </is>
      </c>
      <c r="C1459" s="3" t="inlineStr">
        <is>
          <t>대</t>
        </is>
      </c>
      <c r="D1459" s="3" t="inlineStr">
        <is>
          <t>대</t>
        </is>
      </c>
      <c r="E1459" s="3" t="inlineStr">
        <is>
          <t>매매</t>
        </is>
      </c>
      <c r="F1459" s="4" t="n">
        <v>150000</v>
      </c>
      <c r="G1459" s="4" t="n">
        <v>911</v>
      </c>
      <c r="H1459" s="4" t="n">
        <v>276</v>
      </c>
      <c r="I1459" s="5" t="n">
        <v>543.5</v>
      </c>
      <c r="J1459" s="5" t="n">
        <v>163.6</v>
      </c>
      <c r="K1459" s="3" t="inlineStr">
        <is>
          <t>현재 나대지 3산단개발 호재로 투자가치 최고의땅</t>
        </is>
      </c>
      <c r="L1459" s="6">
        <f>HYPERLINK("https://fin.land.naver.com/articles/2651378175", "매물Link")</f>
        <v/>
      </c>
      <c r="M1459" s="6">
        <f>HYPERLINK("https://map.naver.com/p/search/오송읍 오송리 246-52", "지도Link")</f>
        <v/>
      </c>
      <c r="N1459" s="6">
        <f>HYPERLINK("http://www.eum.go.kr/web/ar/lu/luLandDet.jsp?pnu=4311325028102460052&amp;isNoScr=script&amp;mode=search", "토지이음")</f>
        <v/>
      </c>
      <c r="O1459" s="3" t="inlineStr">
        <is>
          <t>오송올래</t>
        </is>
      </c>
      <c r="P1459" s="4" t="n">
        <v>1</v>
      </c>
      <c r="Q1459" s="4" t="n">
        <v>667</v>
      </c>
      <c r="R1459" s="3" t="inlineStr">
        <is>
          <t>지정되지않음</t>
        </is>
      </c>
      <c r="S1459" s="3" t="inlineStr">
        <is>
          <t>공업용</t>
        </is>
      </c>
      <c r="T1459" s="3" t="inlineStr">
        <is>
          <t>평지</t>
        </is>
      </c>
      <c r="U1459" s="3" t="inlineStr">
        <is>
          <t>사다리형</t>
        </is>
      </c>
      <c r="V1459" s="3" t="inlineStr">
        <is>
          <t>세로한면(가)</t>
        </is>
      </c>
    </row>
    <row r="1460">
      <c r="A1460" s="3" t="inlineStr">
        <is>
          <t>오송읍 오송리 60-104</t>
        </is>
      </c>
      <c r="B1460" s="3" t="inlineStr">
        <is>
          <t>계획관리지역</t>
        </is>
      </c>
      <c r="C1460" s="3" t="inlineStr">
        <is>
          <t>대</t>
        </is>
      </c>
      <c r="D1460" s="3" t="inlineStr">
        <is>
          <t>대</t>
        </is>
      </c>
      <c r="E1460" s="3" t="inlineStr">
        <is>
          <t>매매</t>
        </is>
      </c>
      <c r="F1460" s="4" t="n">
        <v>70000</v>
      </c>
      <c r="G1460" s="4" t="n">
        <v>286</v>
      </c>
      <c r="H1460" s="4" t="n">
        <v>87</v>
      </c>
      <c r="I1460" s="5" t="n">
        <v>804.6</v>
      </c>
      <c r="J1460" s="5" t="n">
        <v>234</v>
      </c>
      <c r="K1460" s="3" t="inlineStr">
        <is>
          <t>힐스테이트 맞은편 대 매매</t>
        </is>
      </c>
      <c r="L1460" s="6">
        <f>HYPERLINK("https://fin.land.naver.com/articles/2649964725", "매물Link")</f>
        <v/>
      </c>
      <c r="M1460" s="6">
        <f>HYPERLINK("https://map.naver.com/p/search/오송읍 오송리 60-104", "지도Link")</f>
        <v/>
      </c>
      <c r="N1460" s="6">
        <f>HYPERLINK("http://www.eum.go.kr/web/ar/lu/luLandDet.jsp?pnu=4311325028100600104&amp;isNoScr=script&amp;mode=search", "토지이음")</f>
        <v/>
      </c>
      <c r="O1460" s="3" t="inlineStr">
        <is>
          <t>광장</t>
        </is>
      </c>
      <c r="P1460" s="4" t="n">
        <v>1</v>
      </c>
      <c r="Q1460" s="4" t="n">
        <v>286</v>
      </c>
      <c r="R1460" s="3" t="inlineStr">
        <is>
          <t>지정되지않음</t>
        </is>
      </c>
      <c r="S1460" s="3" t="inlineStr">
        <is>
          <t>단독</t>
        </is>
      </c>
      <c r="T1460" s="3" t="inlineStr">
        <is>
          <t>평지</t>
        </is>
      </c>
      <c r="U1460" s="3" t="inlineStr">
        <is>
          <t>부정형</t>
        </is>
      </c>
      <c r="V1460" s="3" t="inlineStr">
        <is>
          <t>소로한면</t>
        </is>
      </c>
    </row>
    <row r="1461">
      <c r="A1461" s="3" t="inlineStr">
        <is>
          <t>오송읍 정중리 206-5</t>
        </is>
      </c>
      <c r="B1461" s="3" t="inlineStr">
        <is>
          <t>계획관리지역</t>
        </is>
      </c>
      <c r="C1461" s="3" t="inlineStr">
        <is>
          <t>전</t>
        </is>
      </c>
      <c r="D1461" s="3" t="inlineStr">
        <is>
          <t>전</t>
        </is>
      </c>
      <c r="E1461" s="3" t="inlineStr">
        <is>
          <t>매매</t>
        </is>
      </c>
      <c r="F1461" s="4" t="n">
        <v>15000</v>
      </c>
      <c r="G1461" s="4" t="n">
        <v>278</v>
      </c>
      <c r="H1461" s="4" t="n">
        <v>84</v>
      </c>
      <c r="I1461" s="5" t="n">
        <v>178.6</v>
      </c>
      <c r="J1461" s="5" t="n">
        <v>62.7</v>
      </c>
      <c r="K1461" s="3" t="inlineStr">
        <is>
          <t>강추 매물 계획관리지역, 땅 소액투자, 미래가치성 좋음</t>
        </is>
      </c>
      <c r="L1461" s="6">
        <f>HYPERLINK("https://fin.land.naver.com/articles/2650556418", "매물Link")</f>
        <v/>
      </c>
      <c r="M1461" s="6">
        <f>HYPERLINK("https://map.naver.com/p/search/오송읍 정중리 206-5", "지도Link")</f>
        <v/>
      </c>
      <c r="N1461" s="6">
        <f>HYPERLINK("http://www.eum.go.kr/web/ar/lu/luLandDet.jsp?pnu=4311325032102060005&amp;isNoScr=script&amp;mode=search", "토지이음")</f>
        <v/>
      </c>
      <c r="O1461" s="3" t="inlineStr">
        <is>
          <t>현담</t>
        </is>
      </c>
      <c r="P1461" s="4" t="n">
        <v>1</v>
      </c>
      <c r="Q1461" s="4" t="n">
        <v>278</v>
      </c>
      <c r="R1461" s="3" t="inlineStr">
        <is>
          <t>지정되지않음</t>
        </is>
      </c>
      <c r="S1461" s="3" t="inlineStr">
        <is>
          <t>전</t>
        </is>
      </c>
      <c r="T1461" s="3" t="inlineStr">
        <is>
          <t>평지</t>
        </is>
      </c>
      <c r="U1461" s="3" t="inlineStr">
        <is>
          <t>사다리형</t>
        </is>
      </c>
      <c r="V1461" s="3" t="inlineStr">
        <is>
          <t>세로한면(가)</t>
        </is>
      </c>
    </row>
    <row r="1462">
      <c r="A1462" s="3" t="inlineStr">
        <is>
          <t>오송읍 정중리 317-1</t>
        </is>
      </c>
      <c r="B1462" s="3" t="inlineStr">
        <is>
          <t>농림지역</t>
        </is>
      </c>
      <c r="C1462" s="3" t="inlineStr">
        <is>
          <t>잡종지</t>
        </is>
      </c>
      <c r="D1462" s="3" t="inlineStr">
        <is>
          <t>잡종지</t>
        </is>
      </c>
      <c r="E1462" s="3" t="inlineStr">
        <is>
          <t>매매</t>
        </is>
      </c>
      <c r="F1462" s="4" t="n">
        <v>180000</v>
      </c>
      <c r="G1462" s="4" t="n">
        <v>11497</v>
      </c>
      <c r="H1462" s="4" t="n">
        <v>3478</v>
      </c>
      <c r="I1462" s="5" t="n">
        <v>51.8</v>
      </c>
      <c r="J1462" s="5" t="n">
        <v>25.2</v>
      </c>
      <c r="K1462" s="3" t="inlineStr">
        <is>
          <t>오송KTX역 및 오송바이오2산단 인근  2차선 도로접한 창고 및 토지</t>
        </is>
      </c>
      <c r="L1462" s="6">
        <f>HYPERLINK("https://fin.land.naver.com/articles/2652679648", "매물Link")</f>
        <v/>
      </c>
      <c r="M1462" s="6">
        <f>HYPERLINK("https://map.naver.com/p/search/오송읍 정중리 317-1", "지도Link")</f>
        <v/>
      </c>
      <c r="N1462" s="6">
        <f>HYPERLINK("http://www.eum.go.kr/web/ar/lu/luLandDet.jsp?pnu=4311325032103170001&amp;isNoScr=script&amp;mode=search", "토지이음")</f>
        <v/>
      </c>
      <c r="O1462" s="3" t="inlineStr">
        <is>
          <t>번영</t>
        </is>
      </c>
      <c r="P1462" s="4" t="n">
        <v>1</v>
      </c>
      <c r="Q1462" s="4" t="n">
        <v>237</v>
      </c>
      <c r="R1462" s="3" t="inlineStr">
        <is>
          <t>지정되지않음</t>
        </is>
      </c>
      <c r="S1462" s="3" t="inlineStr">
        <is>
          <t>답창고</t>
        </is>
      </c>
      <c r="T1462" s="3" t="inlineStr">
        <is>
          <t>평지</t>
        </is>
      </c>
      <c r="U1462" s="3" t="inlineStr">
        <is>
          <t>부정형</t>
        </is>
      </c>
      <c r="V1462" s="3" t="inlineStr">
        <is>
          <t>세로한면(가)</t>
        </is>
      </c>
    </row>
    <row r="1463">
      <c r="A1463" s="3" t="inlineStr">
        <is>
          <t>오송읍 정중리 569-1</t>
        </is>
      </c>
      <c r="B1463" s="3" t="inlineStr">
        <is>
          <t>계획관리지역</t>
        </is>
      </c>
      <c r="C1463" s="3" t="inlineStr">
        <is>
          <t>대</t>
        </is>
      </c>
      <c r="D1463" s="3" t="inlineStr">
        <is>
          <t>대</t>
        </is>
      </c>
      <c r="E1463" s="3" t="inlineStr">
        <is>
          <t>매매</t>
        </is>
      </c>
      <c r="F1463" s="4" t="n">
        <v>25000</v>
      </c>
      <c r="G1463" s="4" t="n">
        <v>171</v>
      </c>
      <c r="H1463" s="4" t="n">
        <v>52</v>
      </c>
      <c r="I1463" s="5" t="n">
        <v>480.8</v>
      </c>
      <c r="J1463" s="5" t="n">
        <v>138.1</v>
      </c>
      <c r="K1463" s="3" t="inlineStr">
        <is>
          <t>구옥있는 2필지 함께 매도예정입니다.</t>
        </is>
      </c>
      <c r="L1463" s="6">
        <f>HYPERLINK("https://fin.land.naver.com/articles/2653268033", "매물Link")</f>
        <v/>
      </c>
      <c r="M1463" s="6">
        <f>HYPERLINK("https://map.naver.com/p/search/오송읍 정중리 569-1", "지도Link")</f>
        <v/>
      </c>
      <c r="N1463" s="6">
        <f>HYPERLINK("http://www.eum.go.kr/web/ar/lu/luLandDet.jsp?pnu=4311325032105690001&amp;isNoScr=script&amp;mode=search", "토지이음")</f>
        <v/>
      </c>
      <c r="O1463" s="3" t="inlineStr">
        <is>
          <t>프로</t>
        </is>
      </c>
      <c r="P1463" s="4" t="n">
        <v>1</v>
      </c>
      <c r="Q1463" s="4" t="n">
        <v>142</v>
      </c>
      <c r="R1463" s="3" t="inlineStr">
        <is>
          <t>지정되지않음</t>
        </is>
      </c>
      <c r="S1463" s="3" t="inlineStr">
        <is>
          <t>단독</t>
        </is>
      </c>
      <c r="T1463" s="3" t="inlineStr">
        <is>
          <t>평지</t>
        </is>
      </c>
      <c r="U1463" s="3" t="inlineStr">
        <is>
          <t>사다리형</t>
        </is>
      </c>
      <c r="V1463" s="3" t="inlineStr">
        <is>
          <t>세로한면(가)</t>
        </is>
      </c>
    </row>
    <row r="1464">
      <c r="A1464" s="3" t="inlineStr">
        <is>
          <t>오송읍 정중리 634</t>
        </is>
      </c>
      <c r="B1464" s="3" t="inlineStr">
        <is>
          <t>일반공업지역</t>
        </is>
      </c>
      <c r="C1464" s="3" t="inlineStr">
        <is>
          <t>공장용지</t>
        </is>
      </c>
      <c r="D1464" s="3" t="inlineStr">
        <is>
          <t>공장용지</t>
        </is>
      </c>
      <c r="E1464" s="3" t="inlineStr">
        <is>
          <t>매매</t>
        </is>
      </c>
      <c r="F1464" s="4" t="n">
        <v>1416100</v>
      </c>
      <c r="G1464" s="4" t="n">
        <v>27537</v>
      </c>
      <c r="H1464" s="4" t="n">
        <v>8330</v>
      </c>
      <c r="I1464" s="5" t="n">
        <v>170</v>
      </c>
      <c r="J1464" s="5" t="n">
        <v>74.40000000000001</v>
      </c>
      <c r="K1464" s="3" t="inlineStr">
        <is>
          <t>nan</t>
        </is>
      </c>
      <c r="L1464" s="6">
        <f>HYPERLINK("https://fin.land.naver.com/articles/2653126420", "매물Link")</f>
        <v/>
      </c>
      <c r="M1464" s="6">
        <f>HYPERLINK("https://map.naver.com/p/search/오송읍 정중리 634", "지도Link")</f>
        <v/>
      </c>
      <c r="N1464" s="6">
        <f>HYPERLINK("http://www.eum.go.kr/web/ar/lu/luLandDet.jsp?pnu=4311325032106340000&amp;isNoScr=script&amp;mode=search", "토지이음")</f>
        <v/>
      </c>
      <c r="O1464" s="3" t="inlineStr">
        <is>
          <t>스마트랜드</t>
        </is>
      </c>
      <c r="P1464" s="4" t="n">
        <v>1</v>
      </c>
      <c r="Q1464" s="4" t="n">
        <v>27537.3</v>
      </c>
      <c r="R1464" s="3" t="inlineStr">
        <is>
          <t>지정되지않음</t>
        </is>
      </c>
      <c r="S1464" s="3" t="inlineStr">
        <is>
          <t>공업기타</t>
        </is>
      </c>
      <c r="T1464" s="3" t="inlineStr">
        <is>
          <t>평지</t>
        </is>
      </c>
      <c r="U1464" s="3" t="inlineStr">
        <is>
          <t>세로장방</t>
        </is>
      </c>
      <c r="V1464" s="3" t="inlineStr">
        <is>
          <t>광대소각</t>
        </is>
      </c>
    </row>
    <row r="1465">
      <c r="A1465" s="3" t="inlineStr">
        <is>
          <t>오송읍 정중리 698</t>
        </is>
      </c>
      <c r="B1465" s="3" t="inlineStr">
        <is>
          <t>준공업지역</t>
        </is>
      </c>
      <c r="C1465" s="3" t="inlineStr">
        <is>
          <t>대</t>
        </is>
      </c>
      <c r="D1465" s="3" t="inlineStr">
        <is>
          <t>대</t>
        </is>
      </c>
      <c r="E1465" s="3" t="inlineStr">
        <is>
          <t>매매</t>
        </is>
      </c>
      <c r="F1465" s="4" t="n">
        <v>220000</v>
      </c>
      <c r="G1465" s="4" t="n">
        <v>660</v>
      </c>
      <c r="H1465" s="4" t="n">
        <v>200</v>
      </c>
      <c r="I1465" s="5" t="n">
        <v>1100</v>
      </c>
      <c r="J1465" s="5" t="n">
        <v>361</v>
      </c>
      <c r="K1465" s="3" t="inlineStr">
        <is>
          <t>오송2산단 대형평수 음식점 학원 가능한 토지</t>
        </is>
      </c>
      <c r="L1465" s="6">
        <f>HYPERLINK("https://fin.land.naver.com/articles/2652527577", "매물Link")</f>
        <v/>
      </c>
      <c r="M1465" s="6">
        <f>HYPERLINK("https://map.naver.com/p/search/오송읍 정중리 698", "지도Link")</f>
        <v/>
      </c>
      <c r="N1465" s="6">
        <f>HYPERLINK("http://www.eum.go.kr/web/ar/lu/luLandDet.jsp?pnu=4311325032106980000&amp;isNoScr=script&amp;mode=search", "토지이음")</f>
        <v/>
      </c>
      <c r="O1465" s="3" t="inlineStr">
        <is>
          <t>오송명품</t>
        </is>
      </c>
      <c r="P1465" s="4" t="n">
        <v>1</v>
      </c>
      <c r="Q1465" s="4" t="n">
        <v>660</v>
      </c>
      <c r="R1465" s="3" t="inlineStr">
        <is>
          <t>지정되지않음</t>
        </is>
      </c>
      <c r="S1465" s="3" t="inlineStr">
        <is>
          <t>상업기타</t>
        </is>
      </c>
      <c r="T1465" s="3" t="inlineStr">
        <is>
          <t>평지</t>
        </is>
      </c>
      <c r="U1465" s="3" t="inlineStr">
        <is>
          <t>가로장방</t>
        </is>
      </c>
      <c r="V1465" s="3" t="inlineStr">
        <is>
          <t>중로각지</t>
        </is>
      </c>
    </row>
    <row r="1466">
      <c r="A1466" s="3" t="inlineStr">
        <is>
          <t>오송읍 정중리 699</t>
        </is>
      </c>
      <c r="B1466" s="3" t="inlineStr">
        <is>
          <t>준공업지역</t>
        </is>
      </c>
      <c r="C1466" s="3" t="inlineStr">
        <is>
          <t>대</t>
        </is>
      </c>
      <c r="D1466" s="3" t="inlineStr">
        <is>
          <t>대</t>
        </is>
      </c>
      <c r="E1466" s="3" t="inlineStr">
        <is>
          <t>매매</t>
        </is>
      </c>
      <c r="F1466" s="4" t="n">
        <v>152000</v>
      </c>
      <c r="G1466" s="4" t="n">
        <v>678</v>
      </c>
      <c r="H1466" s="4" t="n">
        <v>205</v>
      </c>
      <c r="I1466" s="5" t="n">
        <v>741.5</v>
      </c>
      <c r="J1466" s="5" t="n">
        <v>361</v>
      </c>
      <c r="K1466" s="3" t="inlineStr">
        <is>
          <t>대형평수 음식점 사무실 학원 추천자리</t>
        </is>
      </c>
      <c r="L1466" s="6">
        <f>HYPERLINK("https://fin.land.naver.com/articles/2652527439", "매물Link")</f>
        <v/>
      </c>
      <c r="M1466" s="6">
        <f>HYPERLINK("https://map.naver.com/p/search/오송읍 정중리 699", "지도Link")</f>
        <v/>
      </c>
      <c r="N1466" s="6">
        <f>HYPERLINK("http://www.eum.go.kr/web/ar/lu/luLandDet.jsp?pnu=4311325032106990000&amp;isNoScr=script&amp;mode=search", "토지이음")</f>
        <v/>
      </c>
      <c r="O1466" s="3" t="inlineStr">
        <is>
          <t>오송명품</t>
        </is>
      </c>
      <c r="P1466" s="4" t="n">
        <v>1</v>
      </c>
      <c r="Q1466" s="4" t="n">
        <v>678.2</v>
      </c>
      <c r="R1466" s="3" t="inlineStr">
        <is>
          <t>지정되지않음</t>
        </is>
      </c>
      <c r="S1466" s="3" t="inlineStr">
        <is>
          <t>상업기타</t>
        </is>
      </c>
      <c r="T1466" s="3" t="inlineStr">
        <is>
          <t>평지</t>
        </is>
      </c>
      <c r="U1466" s="3" t="inlineStr">
        <is>
          <t>가로장방</t>
        </is>
      </c>
      <c r="V1466" s="3" t="inlineStr">
        <is>
          <t>중로각지</t>
        </is>
      </c>
    </row>
    <row r="1467">
      <c r="A1467" s="3" t="inlineStr">
        <is>
          <t>오송읍 정중리 704</t>
        </is>
      </c>
      <c r="B1467" s="3" t="inlineStr">
        <is>
          <t>준공업지역</t>
        </is>
      </c>
      <c r="C1467" s="3" t="inlineStr">
        <is>
          <t>대</t>
        </is>
      </c>
      <c r="D1467" s="3" t="inlineStr">
        <is>
          <t>대</t>
        </is>
      </c>
      <c r="E1467" s="3" t="inlineStr">
        <is>
          <t>매매</t>
        </is>
      </c>
      <c r="F1467" s="4" t="n">
        <v>166000</v>
      </c>
      <c r="G1467" s="4" t="n">
        <v>548</v>
      </c>
      <c r="H1467" s="4" t="n">
        <v>166</v>
      </c>
      <c r="I1467" s="5" t="n">
        <v>1000</v>
      </c>
      <c r="J1467" s="5" t="n">
        <v>347.1</v>
      </c>
      <c r="K1467" s="3" t="inlineStr">
        <is>
          <t>오송 2산단 지원시설용지  아파트 인접한 대로변 토지 근생 건물등 가능</t>
        </is>
      </c>
      <c r="L1467" s="6">
        <f>HYPERLINK("https://fin.land.naver.com/articles/2652625205", "매물Link")</f>
        <v/>
      </c>
      <c r="M1467" s="6">
        <f>HYPERLINK("https://map.naver.com/p/search/오송읍 정중리 704", "지도Link")</f>
        <v/>
      </c>
      <c r="N1467" s="6">
        <f>HYPERLINK("http://www.eum.go.kr/web/ar/lu/luLandDet.jsp?pnu=4311325032107040000&amp;isNoScr=script&amp;mode=search", "토지이음")</f>
        <v/>
      </c>
      <c r="O1467" s="3" t="inlineStr">
        <is>
          <t>더원</t>
        </is>
      </c>
      <c r="P1467" s="4" t="n">
        <v>3</v>
      </c>
      <c r="Q1467" s="4" t="n">
        <v>548.8</v>
      </c>
      <c r="R1467" s="3" t="inlineStr">
        <is>
          <t>지정되지않음</t>
        </is>
      </c>
      <c r="S1467" s="3" t="inlineStr">
        <is>
          <t>상업기타</t>
        </is>
      </c>
      <c r="T1467" s="3" t="inlineStr">
        <is>
          <t>평지</t>
        </is>
      </c>
      <c r="U1467" s="3" t="inlineStr">
        <is>
          <t>세로장방</t>
        </is>
      </c>
      <c r="V1467" s="3" t="inlineStr">
        <is>
          <t>중로각지</t>
        </is>
      </c>
    </row>
    <row r="1468">
      <c r="A1468" s="3" t="inlineStr">
        <is>
          <t>오송읍 정중리 704</t>
        </is>
      </c>
      <c r="B1468" s="3" t="inlineStr">
        <is>
          <t>준공업지역</t>
        </is>
      </c>
      <c r="C1468" s="3" t="inlineStr">
        <is>
          <t>대</t>
        </is>
      </c>
      <c r="D1468" s="3" t="inlineStr">
        <is>
          <t>대</t>
        </is>
      </c>
      <c r="E1468" s="3" t="inlineStr">
        <is>
          <t>매매</t>
        </is>
      </c>
      <c r="F1468" s="4" t="n">
        <v>140000</v>
      </c>
      <c r="G1468" s="4" t="n">
        <v>548</v>
      </c>
      <c r="H1468" s="4" t="n">
        <v>166</v>
      </c>
      <c r="I1468" s="5" t="n">
        <v>843.4</v>
      </c>
      <c r="J1468" s="5" t="n">
        <v>347.1</v>
      </c>
      <c r="K1468" s="3" t="inlineStr">
        <is>
          <t>급매, 오송 국민체육센터 인근 토지 매매</t>
        </is>
      </c>
      <c r="L1468" s="6">
        <f>HYPERLINK("https://fin.land.naver.com/articles/2653824329", "매물Link")</f>
        <v/>
      </c>
      <c r="M1468" s="6">
        <f>HYPERLINK("https://map.naver.com/p/search/오송읍 정중리 704", "지도Link")</f>
        <v/>
      </c>
      <c r="N1468" s="6">
        <f>HYPERLINK("http://www.eum.go.kr/web/ar/lu/luLandDet.jsp?pnu=4311325032107040000&amp;isNoScr=script&amp;mode=search", "토지이음")</f>
        <v/>
      </c>
      <c r="O1468" s="3" t="inlineStr">
        <is>
          <t>광장</t>
        </is>
      </c>
      <c r="P1468" s="4" t="n">
        <v>1</v>
      </c>
      <c r="Q1468" s="4" t="n">
        <v>548.8</v>
      </c>
      <c r="R1468" s="3" t="inlineStr">
        <is>
          <t>지정되지않음</t>
        </is>
      </c>
      <c r="S1468" s="3" t="inlineStr">
        <is>
          <t>상업기타</t>
        </is>
      </c>
      <c r="T1468" s="3" t="inlineStr">
        <is>
          <t>평지</t>
        </is>
      </c>
      <c r="U1468" s="3" t="inlineStr">
        <is>
          <t>세로장방</t>
        </is>
      </c>
      <c r="V1468" s="3" t="inlineStr">
        <is>
          <t>중로각지</t>
        </is>
      </c>
    </row>
    <row r="1469">
      <c r="A1469" s="3" t="inlineStr">
        <is>
          <t>오송읍 정중리 707</t>
        </is>
      </c>
      <c r="B1469" s="3" t="inlineStr">
        <is>
          <t>준공업지역</t>
        </is>
      </c>
      <c r="C1469" s="3" t="inlineStr">
        <is>
          <t>대</t>
        </is>
      </c>
      <c r="D1469" s="3" t="inlineStr">
        <is>
          <t>대</t>
        </is>
      </c>
      <c r="E1469" s="3" t="inlineStr">
        <is>
          <t>매매</t>
        </is>
      </c>
      <c r="F1469" s="4" t="n">
        <v>380000</v>
      </c>
      <c r="G1469" s="4" t="n">
        <v>1143</v>
      </c>
      <c r="H1469" s="4" t="n">
        <v>346</v>
      </c>
      <c r="I1469" s="5" t="n">
        <v>1098.3</v>
      </c>
      <c r="J1469" s="5" t="n">
        <v>407.6</v>
      </c>
      <c r="K1469" s="3" t="inlineStr">
        <is>
          <t>대로변토지매매 도시지역 대단지아파트인접</t>
        </is>
      </c>
      <c r="L1469" s="6">
        <f>HYPERLINK("https://fin.land.naver.com/articles/2653366604", "매물Link")</f>
        <v/>
      </c>
      <c r="M1469" s="6">
        <f>HYPERLINK("https://map.naver.com/p/search/오송읍 정중리 707", "지도Link")</f>
        <v/>
      </c>
      <c r="N1469" s="6">
        <f>HYPERLINK("http://www.eum.go.kr/web/ar/lu/luLandDet.jsp?pnu=4311325032107070000&amp;isNoScr=script&amp;mode=search", "토지이음")</f>
        <v/>
      </c>
      <c r="O1469" s="3" t="inlineStr">
        <is>
          <t>오송원</t>
        </is>
      </c>
      <c r="P1469" s="4" t="n">
        <v>1</v>
      </c>
      <c r="Q1469" s="4" t="n">
        <v>558.8</v>
      </c>
      <c r="R1469" s="3" t="inlineStr">
        <is>
          <t>지정되지않음</t>
        </is>
      </c>
      <c r="S1469" s="3" t="inlineStr">
        <is>
          <t>상업기타</t>
        </is>
      </c>
      <c r="T1469" s="3" t="inlineStr">
        <is>
          <t>평지</t>
        </is>
      </c>
      <c r="U1469" s="3" t="inlineStr">
        <is>
          <t>가로장방</t>
        </is>
      </c>
      <c r="V1469" s="3" t="inlineStr">
        <is>
          <t>광대소각</t>
        </is>
      </c>
    </row>
    <row r="1470">
      <c r="A1470" s="3" t="inlineStr">
        <is>
          <t>오송읍 정중리 707</t>
        </is>
      </c>
      <c r="B1470" s="3" t="inlineStr">
        <is>
          <t>준공업지역</t>
        </is>
      </c>
      <c r="C1470" s="3" t="inlineStr">
        <is>
          <t>대</t>
        </is>
      </c>
      <c r="D1470" s="3" t="inlineStr">
        <is>
          <t>대</t>
        </is>
      </c>
      <c r="E1470" s="3" t="inlineStr">
        <is>
          <t>매매</t>
        </is>
      </c>
      <c r="F1470" s="4" t="n">
        <v>380000</v>
      </c>
      <c r="G1470" s="4" t="n">
        <v>1143</v>
      </c>
      <c r="H1470" s="4" t="n">
        <v>346</v>
      </c>
      <c r="I1470" s="5" t="n">
        <v>1098.3</v>
      </c>
      <c r="J1470" s="5" t="n">
        <v>407.6</v>
      </c>
      <c r="K1470" s="3" t="inlineStr">
        <is>
          <t>오송 2산단 사거리 코너자리 지원시설용지</t>
        </is>
      </c>
      <c r="L1470" s="6">
        <f>HYPERLINK("https://fin.land.naver.com/articles/2653176360", "매물Link")</f>
        <v/>
      </c>
      <c r="M1470" s="6">
        <f>HYPERLINK("https://map.naver.com/p/search/오송읍 정중리 707", "지도Link")</f>
        <v/>
      </c>
      <c r="N1470" s="6">
        <f>HYPERLINK("http://www.eum.go.kr/web/ar/lu/luLandDet.jsp?pnu=4311325032107070000&amp;isNoScr=script&amp;mode=search", "토지이음")</f>
        <v/>
      </c>
      <c r="O1470" s="3" t="inlineStr">
        <is>
          <t>아임</t>
        </is>
      </c>
      <c r="P1470" s="4" t="n">
        <v>3</v>
      </c>
      <c r="Q1470" s="4" t="n">
        <v>558.8</v>
      </c>
      <c r="R1470" s="3" t="inlineStr">
        <is>
          <t>지정되지않음</t>
        </is>
      </c>
      <c r="S1470" s="3" t="inlineStr">
        <is>
          <t>상업기타</t>
        </is>
      </c>
      <c r="T1470" s="3" t="inlineStr">
        <is>
          <t>평지</t>
        </is>
      </c>
      <c r="U1470" s="3" t="inlineStr">
        <is>
          <t>가로장방</t>
        </is>
      </c>
      <c r="V1470" s="3" t="inlineStr">
        <is>
          <t>광대소각</t>
        </is>
      </c>
    </row>
    <row r="1471">
      <c r="A1471" s="3" t="inlineStr">
        <is>
          <t>오송읍 정중리 707</t>
        </is>
      </c>
      <c r="B1471" s="3" t="inlineStr">
        <is>
          <t>준공업지역</t>
        </is>
      </c>
      <c r="C1471" s="3" t="inlineStr">
        <is>
          <t>대</t>
        </is>
      </c>
      <c r="D1471" s="3" t="inlineStr">
        <is>
          <t>대</t>
        </is>
      </c>
      <c r="E1471" s="3" t="inlineStr">
        <is>
          <t>매매</t>
        </is>
      </c>
      <c r="F1471" s="4" t="n">
        <v>380000</v>
      </c>
      <c r="G1471" s="4" t="n">
        <v>1143</v>
      </c>
      <c r="H1471" s="4" t="n">
        <v>346</v>
      </c>
      <c r="I1471" s="5" t="n">
        <v>1098.3</v>
      </c>
      <c r="J1471" s="5" t="n">
        <v>407.6</v>
      </c>
      <c r="K1471" s="3" t="inlineStr">
        <is>
          <t>산업단지 시작 코너 자리, 아파트 세대 배후.</t>
        </is>
      </c>
      <c r="L1471" s="6">
        <f>HYPERLINK("https://fin.land.naver.com/articles/2652526004", "매물Link")</f>
        <v/>
      </c>
      <c r="M1471" s="6">
        <f>HYPERLINK("https://map.naver.com/p/search/오송읍 정중리 707", "지도Link")</f>
        <v/>
      </c>
      <c r="N1471" s="6">
        <f>HYPERLINK("http://www.eum.go.kr/web/ar/lu/luLandDet.jsp?pnu=4311325032107070000&amp;isNoScr=script&amp;mode=search", "토지이음")</f>
        <v/>
      </c>
      <c r="O1471" s="3" t="inlineStr">
        <is>
          <t>대한민국</t>
        </is>
      </c>
      <c r="P1471" s="4" t="n">
        <v>1</v>
      </c>
      <c r="Q1471" s="4" t="n">
        <v>558.8</v>
      </c>
      <c r="R1471" s="3" t="inlineStr">
        <is>
          <t>지정되지않음</t>
        </is>
      </c>
      <c r="S1471" s="3" t="inlineStr">
        <is>
          <t>상업기타</t>
        </is>
      </c>
      <c r="T1471" s="3" t="inlineStr">
        <is>
          <t>평지</t>
        </is>
      </c>
      <c r="U1471" s="3" t="inlineStr">
        <is>
          <t>가로장방</t>
        </is>
      </c>
      <c r="V1471" s="3" t="inlineStr">
        <is>
          <t>광대소각</t>
        </is>
      </c>
    </row>
    <row r="1472">
      <c r="A1472" s="3" t="inlineStr">
        <is>
          <t>오송읍 정중리 707</t>
        </is>
      </c>
      <c r="B1472" s="3" t="inlineStr">
        <is>
          <t>준공업지역</t>
        </is>
      </c>
      <c r="C1472" s="3" t="inlineStr">
        <is>
          <t>대</t>
        </is>
      </c>
      <c r="D1472" s="3" t="inlineStr">
        <is>
          <t>대</t>
        </is>
      </c>
      <c r="E1472" s="3" t="inlineStr">
        <is>
          <t>매매</t>
        </is>
      </c>
      <c r="F1472" s="4" t="n">
        <v>218000</v>
      </c>
      <c r="G1472" s="4" t="n">
        <v>1143</v>
      </c>
      <c r="H1472" s="4" t="n">
        <v>346</v>
      </c>
      <c r="I1472" s="5" t="n">
        <v>630.1</v>
      </c>
      <c r="J1472" s="5" t="n">
        <v>407.6</v>
      </c>
      <c r="K1472" s="3" t="inlineStr">
        <is>
          <t>코너땅,현재나대지,지원시설용지</t>
        </is>
      </c>
      <c r="L1472" s="6">
        <f>HYPERLINK("https://fin.land.naver.com/articles/2653153996", "매물Link")</f>
        <v/>
      </c>
      <c r="M1472" s="6">
        <f>HYPERLINK("https://map.naver.com/p/search/오송읍 정중리 707", "지도Link")</f>
        <v/>
      </c>
      <c r="N1472" s="6">
        <f>HYPERLINK("http://www.eum.go.kr/web/ar/lu/luLandDet.jsp?pnu=4311325032107070000&amp;isNoScr=script&amp;mode=search", "토지이음")</f>
        <v/>
      </c>
      <c r="O1472" s="3" t="inlineStr">
        <is>
          <t>오송올래</t>
        </is>
      </c>
      <c r="P1472" s="4" t="n">
        <v>1</v>
      </c>
      <c r="Q1472" s="4" t="n">
        <v>558.8</v>
      </c>
      <c r="R1472" s="3" t="inlineStr">
        <is>
          <t>지정되지않음</t>
        </is>
      </c>
      <c r="S1472" s="3" t="inlineStr">
        <is>
          <t>상업기타</t>
        </is>
      </c>
      <c r="T1472" s="3" t="inlineStr">
        <is>
          <t>평지</t>
        </is>
      </c>
      <c r="U1472" s="3" t="inlineStr">
        <is>
          <t>가로장방</t>
        </is>
      </c>
      <c r="V1472" s="3" t="inlineStr">
        <is>
          <t>광대소각</t>
        </is>
      </c>
    </row>
    <row r="1473">
      <c r="A1473" s="3" t="inlineStr">
        <is>
          <t>오송읍 정중리 707</t>
        </is>
      </c>
      <c r="B1473" s="3" t="inlineStr">
        <is>
          <t>준공업지역</t>
        </is>
      </c>
      <c r="C1473" s="3" t="inlineStr">
        <is>
          <t>대</t>
        </is>
      </c>
      <c r="D1473" s="3" t="inlineStr">
        <is>
          <t>대</t>
        </is>
      </c>
      <c r="E1473" s="3" t="inlineStr">
        <is>
          <t>매매</t>
        </is>
      </c>
      <c r="F1473" s="4" t="n">
        <v>380000</v>
      </c>
      <c r="G1473" s="4" t="n">
        <v>1143</v>
      </c>
      <c r="H1473" s="4" t="n">
        <v>346</v>
      </c>
      <c r="I1473" s="5" t="n">
        <v>1098.3</v>
      </c>
      <c r="J1473" s="5" t="n">
        <v>407.6</v>
      </c>
      <c r="K1473" s="3" t="inlineStr">
        <is>
          <t>4차선 메인 코너토지 대단지아파트들을 끼고있음</t>
        </is>
      </c>
      <c r="L1473" s="6">
        <f>HYPERLINK("https://fin.land.naver.com/articles/2652380240", "매물Link")</f>
        <v/>
      </c>
      <c r="M1473" s="6">
        <f>HYPERLINK("https://map.naver.com/p/search/오송읍 정중리 707", "지도Link")</f>
        <v/>
      </c>
      <c r="N1473" s="6">
        <f>HYPERLINK("http://www.eum.go.kr/web/ar/lu/luLandDet.jsp?pnu=4311325032107070000&amp;isNoScr=script&amp;mode=search", "토지이음")</f>
        <v/>
      </c>
      <c r="O1473" s="3" t="inlineStr">
        <is>
          <t>조은</t>
        </is>
      </c>
      <c r="P1473" s="4" t="n">
        <v>1</v>
      </c>
      <c r="Q1473" s="4" t="n">
        <v>558.8</v>
      </c>
      <c r="R1473" s="3" t="inlineStr">
        <is>
          <t>지정되지않음</t>
        </is>
      </c>
      <c r="S1473" s="3" t="inlineStr">
        <is>
          <t>상업기타</t>
        </is>
      </c>
      <c r="T1473" s="3" t="inlineStr">
        <is>
          <t>평지</t>
        </is>
      </c>
      <c r="U1473" s="3" t="inlineStr">
        <is>
          <t>가로장방</t>
        </is>
      </c>
      <c r="V1473" s="3" t="inlineStr">
        <is>
          <t>광대소각</t>
        </is>
      </c>
    </row>
    <row r="1474">
      <c r="A1474" s="3" t="inlineStr">
        <is>
          <t>오송읍 정중리 746</t>
        </is>
      </c>
      <c r="B1474" s="3" t="inlineStr">
        <is>
          <t>준공업지역</t>
        </is>
      </c>
      <c r="C1474" s="3" t="inlineStr">
        <is>
          <t>대</t>
        </is>
      </c>
      <c r="D1474" s="3" t="inlineStr">
        <is>
          <t>대</t>
        </is>
      </c>
      <c r="E1474" s="3" t="inlineStr">
        <is>
          <t>매매</t>
        </is>
      </c>
      <c r="F1474" s="4" t="n">
        <v>215000</v>
      </c>
      <c r="G1474" s="4" t="n">
        <v>639</v>
      </c>
      <c r="H1474" s="4" t="n">
        <v>193</v>
      </c>
      <c r="I1474" s="5" t="n">
        <v>1114</v>
      </c>
      <c r="J1474" s="5" t="n">
        <v>388.1</v>
      </c>
      <c r="K1474" s="3" t="inlineStr">
        <is>
          <t>3면코너 입지 입지 최상 건폐율70 6층이하 건축가능</t>
        </is>
      </c>
      <c r="L1474" s="6">
        <f>HYPERLINK("https://fin.land.naver.com/articles/2649903725", "매물Link")</f>
        <v/>
      </c>
      <c r="M1474" s="6">
        <f>HYPERLINK("https://map.naver.com/p/search/오송읍 정중리 746", "지도Link")</f>
        <v/>
      </c>
      <c r="N1474" s="6">
        <f>HYPERLINK("http://www.eum.go.kr/web/ar/lu/luLandDet.jsp?pnu=4311325032107460000&amp;isNoScr=script&amp;mode=search", "토지이음")</f>
        <v/>
      </c>
      <c r="O1474" s="3" t="inlineStr">
        <is>
          <t>프렌즈</t>
        </is>
      </c>
      <c r="P1474" s="4" t="n">
        <v>1</v>
      </c>
      <c r="Q1474" s="4" t="n">
        <v>639</v>
      </c>
      <c r="R1474" s="3" t="inlineStr">
        <is>
          <t>지정되지않음</t>
        </is>
      </c>
      <c r="S1474" s="3" t="inlineStr">
        <is>
          <t>상업기타</t>
        </is>
      </c>
      <c r="T1474" s="3" t="inlineStr">
        <is>
          <t>평지</t>
        </is>
      </c>
      <c r="U1474" s="3" t="inlineStr">
        <is>
          <t>사다리형</t>
        </is>
      </c>
      <c r="V1474" s="3" t="inlineStr">
        <is>
          <t>광대소각</t>
        </is>
      </c>
    </row>
    <row r="1475">
      <c r="A1475" s="3" t="inlineStr">
        <is>
          <t>오송읍 정중리 755</t>
        </is>
      </c>
      <c r="B1475" s="3" t="inlineStr">
        <is>
          <t>준공업지역</t>
        </is>
      </c>
      <c r="C1475" s="3" t="inlineStr">
        <is>
          <t>대</t>
        </is>
      </c>
      <c r="D1475" s="3" t="inlineStr">
        <is>
          <t>대</t>
        </is>
      </c>
      <c r="E1475" s="3" t="inlineStr">
        <is>
          <t>매매</t>
        </is>
      </c>
      <c r="F1475" s="4" t="n">
        <v>240000</v>
      </c>
      <c r="G1475" s="4" t="n">
        <v>668</v>
      </c>
      <c r="H1475" s="4" t="n">
        <v>202</v>
      </c>
      <c r="I1475" s="5" t="n">
        <v>1188.1</v>
      </c>
      <c r="J1475" s="5" t="n">
        <v>361</v>
      </c>
      <c r="K1475" s="3" t="inlineStr">
        <is>
          <t>오송2산단내 지원시설용지,바로앞 아파트대단지 입주예정,</t>
        </is>
      </c>
      <c r="L1475" s="6">
        <f>HYPERLINK("https://fin.land.naver.com/articles/2651054162", "매물Link")</f>
        <v/>
      </c>
      <c r="M1475" s="6">
        <f>HYPERLINK("https://map.naver.com/p/search/오송읍 정중리 755", "지도Link")</f>
        <v/>
      </c>
      <c r="N1475" s="6">
        <f>HYPERLINK("http://www.eum.go.kr/web/ar/lu/luLandDet.jsp?pnu=4311325032107550000&amp;isNoScr=script&amp;mode=search", "토지이음")</f>
        <v/>
      </c>
      <c r="O1475" s="3" t="inlineStr">
        <is>
          <t>담뜰</t>
        </is>
      </c>
      <c r="P1475" s="4" t="n">
        <v>1</v>
      </c>
      <c r="Q1475" s="4" t="n">
        <v>668.8</v>
      </c>
      <c r="R1475" s="3" t="inlineStr">
        <is>
          <t>지정되지않음</t>
        </is>
      </c>
      <c r="S1475" s="3" t="inlineStr">
        <is>
          <t>상업기타</t>
        </is>
      </c>
      <c r="T1475" s="3" t="inlineStr">
        <is>
          <t>평지</t>
        </is>
      </c>
      <c r="U1475" s="3" t="inlineStr">
        <is>
          <t>가로장방</t>
        </is>
      </c>
      <c r="V1475" s="3" t="inlineStr">
        <is>
          <t>중로각지</t>
        </is>
      </c>
    </row>
    <row r="1476">
      <c r="A1476" s="3" t="inlineStr">
        <is>
          <t>오송읍 정중리 768</t>
        </is>
      </c>
      <c r="B1476" s="3" t="inlineStr">
        <is>
          <t>준공업지역</t>
        </is>
      </c>
      <c r="C1476" s="3" t="inlineStr">
        <is>
          <t>대</t>
        </is>
      </c>
      <c r="D1476" s="3" t="inlineStr">
        <is>
          <t>대</t>
        </is>
      </c>
      <c r="E1476" s="3" t="inlineStr">
        <is>
          <t>매매</t>
        </is>
      </c>
      <c r="F1476" s="4" t="n">
        <v>125000</v>
      </c>
      <c r="G1476" s="4" t="n">
        <v>590</v>
      </c>
      <c r="H1476" s="4" t="n">
        <v>178</v>
      </c>
      <c r="I1476" s="5" t="n">
        <v>702.2</v>
      </c>
      <c r="J1476" s="5" t="n">
        <v>256.4</v>
      </c>
      <c r="K1476" s="3" t="inlineStr">
        <is>
          <t>지원시설용지 매매</t>
        </is>
      </c>
      <c r="L1476" s="6">
        <f>HYPERLINK("https://fin.land.naver.com/articles/2652685303", "매물Link")</f>
        <v/>
      </c>
      <c r="M1476" s="6">
        <f>HYPERLINK("https://map.naver.com/p/search/오송읍 정중리 768", "지도Link")</f>
        <v/>
      </c>
      <c r="N1476" s="6">
        <f>HYPERLINK("http://www.eum.go.kr/web/ar/lu/luLandDet.jsp?pnu=4311325032107680000&amp;isNoScr=script&amp;mode=search", "토지이음")</f>
        <v/>
      </c>
      <c r="O1476" s="3" t="inlineStr">
        <is>
          <t>대한민국</t>
        </is>
      </c>
      <c r="P1476" s="4" t="n">
        <v>1</v>
      </c>
      <c r="Q1476" s="4" t="n">
        <v>590.3</v>
      </c>
      <c r="R1476" s="3" t="inlineStr">
        <is>
          <t>지정되지않음</t>
        </is>
      </c>
      <c r="S1476" s="3" t="inlineStr">
        <is>
          <t>상업나지</t>
        </is>
      </c>
      <c r="T1476" s="3" t="inlineStr">
        <is>
          <t>평지</t>
        </is>
      </c>
      <c r="U1476" s="3" t="inlineStr">
        <is>
          <t>정방형</t>
        </is>
      </c>
      <c r="V1476" s="3" t="inlineStr">
        <is>
          <t>중로한면</t>
        </is>
      </c>
    </row>
    <row r="1477">
      <c r="A1477" s="3" t="inlineStr">
        <is>
          <t>오송읍 정중리 768</t>
        </is>
      </c>
      <c r="B1477" s="3" t="inlineStr">
        <is>
          <t>준공업지역</t>
        </is>
      </c>
      <c r="C1477" s="3" t="inlineStr">
        <is>
          <t>대</t>
        </is>
      </c>
      <c r="D1477" s="3" t="inlineStr">
        <is>
          <t>대</t>
        </is>
      </c>
      <c r="E1477" s="3" t="inlineStr">
        <is>
          <t>매매</t>
        </is>
      </c>
      <c r="F1477" s="4" t="n">
        <v>105000</v>
      </c>
      <c r="G1477" s="4" t="n">
        <v>590</v>
      </c>
      <c r="H1477" s="4" t="n">
        <v>178</v>
      </c>
      <c r="I1477" s="5" t="n">
        <v>589.9</v>
      </c>
      <c r="J1477" s="5" t="n">
        <v>256.4</v>
      </c>
      <c r="K1477" s="3" t="inlineStr">
        <is>
          <t>nan</t>
        </is>
      </c>
      <c r="L1477" s="6">
        <f>HYPERLINK("https://fin.land.naver.com/articles/2651733349", "매물Link")</f>
        <v/>
      </c>
      <c r="M1477" s="6">
        <f>HYPERLINK("https://map.naver.com/p/search/오송읍 정중리 768", "지도Link")</f>
        <v/>
      </c>
      <c r="N1477" s="6">
        <f>HYPERLINK("http://www.eum.go.kr/web/ar/lu/luLandDet.jsp?pnu=4311325032107680000&amp;isNoScr=script&amp;mode=search", "토지이음")</f>
        <v/>
      </c>
      <c r="O1477" s="3" t="inlineStr">
        <is>
          <t>동행사무소</t>
        </is>
      </c>
      <c r="P1477" s="4" t="n">
        <v>1</v>
      </c>
      <c r="Q1477" s="4" t="n">
        <v>590.3</v>
      </c>
      <c r="R1477" s="3" t="inlineStr">
        <is>
          <t>지정되지않음</t>
        </is>
      </c>
      <c r="S1477" s="3" t="inlineStr">
        <is>
          <t>상업나지</t>
        </is>
      </c>
      <c r="T1477" s="3" t="inlineStr">
        <is>
          <t>평지</t>
        </is>
      </c>
      <c r="U1477" s="3" t="inlineStr">
        <is>
          <t>정방형</t>
        </is>
      </c>
      <c r="V1477" s="3" t="inlineStr">
        <is>
          <t>중로한면</t>
        </is>
      </c>
    </row>
    <row r="1478">
      <c r="A1478" s="3" t="inlineStr">
        <is>
          <t>오송읍 정중리 768</t>
        </is>
      </c>
      <c r="B1478" s="3" t="inlineStr">
        <is>
          <t>준공업지역</t>
        </is>
      </c>
      <c r="C1478" s="3" t="inlineStr">
        <is>
          <t>대</t>
        </is>
      </c>
      <c r="D1478" s="3" t="inlineStr">
        <is>
          <t>대</t>
        </is>
      </c>
      <c r="E1478" s="3" t="inlineStr">
        <is>
          <t>매매</t>
        </is>
      </c>
      <c r="F1478" s="4" t="n">
        <v>105000</v>
      </c>
      <c r="G1478" s="4" t="n">
        <v>590</v>
      </c>
      <c r="H1478" s="4" t="n">
        <v>178</v>
      </c>
      <c r="I1478" s="5" t="n">
        <v>589.9</v>
      </c>
      <c r="J1478" s="5" t="n">
        <v>256.4</v>
      </c>
      <c r="K1478" s="3" t="inlineStr">
        <is>
          <t>오송2산단 준공업지역 급매 대단지아파트 및 공장지역</t>
        </is>
      </c>
      <c r="L1478" s="6">
        <f>HYPERLINK("https://fin.land.naver.com/articles/2651795106", "매물Link")</f>
        <v/>
      </c>
      <c r="M1478" s="6">
        <f>HYPERLINK("https://map.naver.com/p/search/오송읍 정중리 768", "지도Link")</f>
        <v/>
      </c>
      <c r="N1478" s="6">
        <f>HYPERLINK("http://www.eum.go.kr/web/ar/lu/luLandDet.jsp?pnu=4311325032107680000&amp;isNoScr=script&amp;mode=search", "토지이음")</f>
        <v/>
      </c>
      <c r="O1478" s="3" t="inlineStr">
        <is>
          <t>더원</t>
        </is>
      </c>
      <c r="P1478" s="4" t="n">
        <v>5</v>
      </c>
      <c r="Q1478" s="4" t="n">
        <v>590.3</v>
      </c>
      <c r="R1478" s="3" t="inlineStr">
        <is>
          <t>지정되지않음</t>
        </is>
      </c>
      <c r="S1478" s="3" t="inlineStr">
        <is>
          <t>상업나지</t>
        </is>
      </c>
      <c r="T1478" s="3" t="inlineStr">
        <is>
          <t>평지</t>
        </is>
      </c>
      <c r="U1478" s="3" t="inlineStr">
        <is>
          <t>정방형</t>
        </is>
      </c>
      <c r="V1478" s="3" t="inlineStr">
        <is>
          <t>중로한면</t>
        </is>
      </c>
    </row>
    <row r="1479">
      <c r="A1479" s="3" t="inlineStr">
        <is>
          <t>오송읍 정중리 768</t>
        </is>
      </c>
      <c r="B1479" s="3" t="inlineStr">
        <is>
          <t>준공업지역</t>
        </is>
      </c>
      <c r="C1479" s="3" t="inlineStr">
        <is>
          <t>대</t>
        </is>
      </c>
      <c r="D1479" s="3" t="inlineStr">
        <is>
          <t>대</t>
        </is>
      </c>
      <c r="E1479" s="3" t="inlineStr">
        <is>
          <t>매매</t>
        </is>
      </c>
      <c r="F1479" s="4" t="n">
        <v>143000</v>
      </c>
      <c r="G1479" s="4" t="n">
        <v>590</v>
      </c>
      <c r="H1479" s="4" t="n">
        <v>178</v>
      </c>
      <c r="I1479" s="5" t="n">
        <v>803.4</v>
      </c>
      <c r="J1479" s="5" t="n">
        <v>256.4</v>
      </c>
      <c r="K1479" s="3" t="inlineStr">
        <is>
          <t>신도시 대단지아파트인접  지원시설용지</t>
        </is>
      </c>
      <c r="L1479" s="6">
        <f>HYPERLINK("https://fin.land.naver.com/articles/2651351013", "매물Link")</f>
        <v/>
      </c>
      <c r="M1479" s="6">
        <f>HYPERLINK("https://map.naver.com/p/search/오송읍 정중리 768", "지도Link")</f>
        <v/>
      </c>
      <c r="N1479" s="6">
        <f>HYPERLINK("http://www.eum.go.kr/web/ar/lu/luLandDet.jsp?pnu=4311325032107680000&amp;isNoScr=script&amp;mode=search", "토지이음")</f>
        <v/>
      </c>
      <c r="O1479" s="3" t="inlineStr">
        <is>
          <t>오송원</t>
        </is>
      </c>
      <c r="P1479" s="4" t="n">
        <v>1</v>
      </c>
      <c r="Q1479" s="4" t="n">
        <v>590.3</v>
      </c>
      <c r="R1479" s="3" t="inlineStr">
        <is>
          <t>지정되지않음</t>
        </is>
      </c>
      <c r="S1479" s="3" t="inlineStr">
        <is>
          <t>상업나지</t>
        </is>
      </c>
      <c r="T1479" s="3" t="inlineStr">
        <is>
          <t>평지</t>
        </is>
      </c>
      <c r="U1479" s="3" t="inlineStr">
        <is>
          <t>정방형</t>
        </is>
      </c>
      <c r="V1479" s="3" t="inlineStr">
        <is>
          <t>중로한면</t>
        </is>
      </c>
    </row>
    <row r="1480">
      <c r="A1480" s="3" t="inlineStr">
        <is>
          <t>오송읍 정중리 773</t>
        </is>
      </c>
      <c r="B1480" s="3" t="inlineStr">
        <is>
          <t>준공업지역</t>
        </is>
      </c>
      <c r="C1480" s="3" t="inlineStr">
        <is>
          <t>대</t>
        </is>
      </c>
      <c r="D1480" s="3" t="inlineStr">
        <is>
          <t>대</t>
        </is>
      </c>
      <c r="E1480" s="3" t="inlineStr">
        <is>
          <t>매매</t>
        </is>
      </c>
      <c r="F1480" s="4" t="n">
        <v>95000</v>
      </c>
      <c r="G1480" s="4" t="n">
        <v>580</v>
      </c>
      <c r="H1480" s="4" t="n">
        <v>175</v>
      </c>
      <c r="I1480" s="5" t="n">
        <v>542.9</v>
      </c>
      <c r="J1480" s="5" t="n">
        <v>258.9</v>
      </c>
      <c r="K1480" s="3" t="inlineStr">
        <is>
          <t>저렴한기회 지원시설용지 차량진출입 용이한 근생상가 추천</t>
        </is>
      </c>
      <c r="L1480" s="6">
        <f>HYPERLINK("https://fin.land.naver.com/articles/2650862161", "매물Link")</f>
        <v/>
      </c>
      <c r="M1480" s="6">
        <f>HYPERLINK("https://map.naver.com/p/search/오송읍 정중리 773", "지도Link")</f>
        <v/>
      </c>
      <c r="N1480" s="6">
        <f>HYPERLINK("http://www.eum.go.kr/web/ar/lu/luLandDet.jsp?pnu=4311325032107730000&amp;isNoScr=script&amp;mode=search", "토지이음")</f>
        <v/>
      </c>
      <c r="O1480" s="3" t="inlineStr">
        <is>
          <t>프로</t>
        </is>
      </c>
      <c r="P1480" s="4" t="n">
        <v>1</v>
      </c>
      <c r="Q1480" s="4" t="n">
        <v>580.4</v>
      </c>
      <c r="R1480" s="3" t="inlineStr">
        <is>
          <t>지정되지않음</t>
        </is>
      </c>
      <c r="S1480" s="3" t="inlineStr">
        <is>
          <t>상업기타</t>
        </is>
      </c>
      <c r="T1480" s="3" t="inlineStr">
        <is>
          <t>평지</t>
        </is>
      </c>
      <c r="U1480" s="3" t="inlineStr">
        <is>
          <t>정방형</t>
        </is>
      </c>
      <c r="V1480" s="3" t="inlineStr">
        <is>
          <t>중로각지</t>
        </is>
      </c>
    </row>
    <row r="1481">
      <c r="A1481" s="3" t="inlineStr">
        <is>
          <t>오송읍 정중리 산13-1</t>
        </is>
      </c>
      <c r="B1481" s="3" t="inlineStr">
        <is>
          <t>계획관리지역</t>
        </is>
      </c>
      <c r="C1481" s="3" t="inlineStr">
        <is>
          <t>임야</t>
        </is>
      </c>
      <c r="D1481" s="3" t="inlineStr">
        <is>
          <t>임야</t>
        </is>
      </c>
      <c r="E1481" s="3" t="inlineStr">
        <is>
          <t>매매</t>
        </is>
      </c>
      <c r="F1481" s="4" t="n">
        <v>120000</v>
      </c>
      <c r="G1481" s="4" t="n">
        <v>6437</v>
      </c>
      <c r="H1481" s="4" t="n">
        <v>1947</v>
      </c>
      <c r="I1481" s="5" t="n">
        <v>61.6</v>
      </c>
      <c r="J1481" s="5" t="n">
        <v>16.7</v>
      </c>
      <c r="K1481" s="3" t="inlineStr">
        <is>
          <t>nan</t>
        </is>
      </c>
      <c r="L1481" s="6">
        <f>HYPERLINK("https://fin.land.naver.com/articles/2653265945", "매물Link")</f>
        <v/>
      </c>
      <c r="M1481" s="6">
        <f>HYPERLINK("https://map.naver.com/p/search/오송읍 정중리 산13-1", "지도Link")</f>
        <v/>
      </c>
      <c r="N1481" s="6">
        <f>HYPERLINK("http://www.eum.go.kr/web/ar/lu/luLandDet.jsp?pnu=4311325032200130001&amp;isNoScr=script&amp;mode=search", "토지이음")</f>
        <v/>
      </c>
      <c r="O1481" s="3" t="inlineStr">
        <is>
          <t>프로</t>
        </is>
      </c>
      <c r="P1481" s="4" t="n">
        <v>1</v>
      </c>
      <c r="Q1481" s="4" t="n">
        <v>6437</v>
      </c>
      <c r="R1481" s="3" t="inlineStr">
        <is>
          <t>지정되지않음</t>
        </is>
      </c>
      <c r="S1481" s="3" t="inlineStr">
        <is>
          <t>자연림</t>
        </is>
      </c>
      <c r="T1481" s="3" t="inlineStr">
        <is>
          <t>완경사</t>
        </is>
      </c>
      <c r="U1481" s="3" t="inlineStr">
        <is>
          <t>부정형</t>
        </is>
      </c>
      <c r="V1481" s="3" t="inlineStr">
        <is>
          <t>세로한면(불)</t>
        </is>
      </c>
    </row>
    <row r="1482">
      <c r="A1482" s="3" t="inlineStr">
        <is>
          <t>오송읍 호계리 143-1</t>
        </is>
      </c>
      <c r="B1482" s="3" t="inlineStr">
        <is>
          <t>농림지역</t>
        </is>
      </c>
      <c r="C1482" s="3" t="inlineStr">
        <is>
          <t>답</t>
        </is>
      </c>
      <c r="D1482" s="3" t="inlineStr">
        <is>
          <t>답</t>
        </is>
      </c>
      <c r="E1482" s="3" t="inlineStr">
        <is>
          <t>매매</t>
        </is>
      </c>
      <c r="F1482" s="4" t="n">
        <v>39845</v>
      </c>
      <c r="G1482" s="4" t="n">
        <v>2026</v>
      </c>
      <c r="H1482" s="4" t="n">
        <v>613</v>
      </c>
      <c r="I1482" s="5" t="n">
        <v>65</v>
      </c>
      <c r="J1482" s="5" t="n">
        <v>30.4</v>
      </c>
      <c r="K1482" s="3" t="inlineStr">
        <is>
          <t>도로에 접해 주말농장 최상, 개발호재 핫한 오송시 위치 투자가치 최상</t>
        </is>
      </c>
      <c r="L1482" s="6">
        <f>HYPERLINK("https://fin.land.naver.com/articles/2650397039", "매물Link")</f>
        <v/>
      </c>
      <c r="M1482" s="6">
        <f>HYPERLINK("https://map.naver.com/p/search/오송읍 호계리 143-1", "지도Link")</f>
        <v/>
      </c>
      <c r="N1482" s="6">
        <f>HYPERLINK("http://www.eum.go.kr/web/ar/lu/luLandDet.jsp?pnu=4311325021101430001&amp;isNoScr=script&amp;mode=search", "토지이음")</f>
        <v/>
      </c>
      <c r="O1482" s="3" t="inlineStr">
        <is>
          <t>대한</t>
        </is>
      </c>
      <c r="P1482" s="4" t="n">
        <v>1</v>
      </c>
      <c r="Q1482" s="4" t="n">
        <v>2059</v>
      </c>
      <c r="R1482" s="3" t="inlineStr">
        <is>
          <t>지정되지않음</t>
        </is>
      </c>
      <c r="S1482" s="3" t="inlineStr">
        <is>
          <t>전</t>
        </is>
      </c>
      <c r="T1482" s="3" t="inlineStr">
        <is>
          <t>평지</t>
        </is>
      </c>
      <c r="U1482" s="3" t="inlineStr">
        <is>
          <t>사다리형</t>
        </is>
      </c>
      <c r="V1482" s="3" t="inlineStr">
        <is>
          <t>세로한면(가)</t>
        </is>
      </c>
    </row>
    <row r="1483">
      <c r="A1483" s="3" t="inlineStr">
        <is>
          <t>오송읍 호계리 152-1</t>
        </is>
      </c>
      <c r="B1483" s="3" t="inlineStr">
        <is>
          <t>계획관리지역</t>
        </is>
      </c>
      <c r="C1483" s="3" t="inlineStr">
        <is>
          <t>답</t>
        </is>
      </c>
      <c r="D1483" s="3" t="inlineStr">
        <is>
          <t>답</t>
        </is>
      </c>
      <c r="E1483" s="3" t="inlineStr">
        <is>
          <t>매매</t>
        </is>
      </c>
      <c r="F1483" s="4" t="n">
        <v>53500</v>
      </c>
      <c r="G1483" s="4" t="n">
        <v>1359</v>
      </c>
      <c r="H1483" s="4" t="n">
        <v>411</v>
      </c>
      <c r="I1483" s="5" t="n">
        <v>130.2</v>
      </c>
      <c r="J1483" s="5" t="n">
        <v>39.1</v>
      </c>
      <c r="K1483" s="3" t="inlineStr">
        <is>
          <t>급매, 시세 대비 매우 저렴, 4미터 도로에 접하고 있는 계획관리 토지</t>
        </is>
      </c>
      <c r="L1483" s="6">
        <f>HYPERLINK("https://fin.land.naver.com/articles/2653224458", "매물Link")</f>
        <v/>
      </c>
      <c r="M1483" s="6">
        <f>HYPERLINK("https://map.naver.com/p/search/오송읍 호계리 152-1", "지도Link")</f>
        <v/>
      </c>
      <c r="N1483" s="6">
        <f>HYPERLINK("http://www.eum.go.kr/web/ar/lu/luLandDet.jsp?pnu=4311325021101520001&amp;isNoScr=script&amp;mode=search", "토지이음")</f>
        <v/>
      </c>
      <c r="O1483" s="3" t="inlineStr">
        <is>
          <t>제이</t>
        </is>
      </c>
      <c r="P1483" s="4" t="n">
        <v>1</v>
      </c>
      <c r="Q1483" s="4" t="n">
        <v>962</v>
      </c>
      <c r="R1483" s="3" t="inlineStr">
        <is>
          <t>지정되지않음</t>
        </is>
      </c>
      <c r="S1483" s="3" t="inlineStr">
        <is>
          <t>답</t>
        </is>
      </c>
      <c r="T1483" s="3" t="inlineStr">
        <is>
          <t>평지</t>
        </is>
      </c>
      <c r="U1483" s="3" t="inlineStr">
        <is>
          <t>부정형</t>
        </is>
      </c>
      <c r="V1483" s="3" t="inlineStr">
        <is>
          <t>세로각지(가)</t>
        </is>
      </c>
    </row>
    <row r="1484">
      <c r="A1484" s="3" t="inlineStr">
        <is>
          <t>오송읍 호계리 153-1</t>
        </is>
      </c>
      <c r="B1484" s="3" t="inlineStr">
        <is>
          <t>계획관리지역</t>
        </is>
      </c>
      <c r="C1484" s="3" t="inlineStr">
        <is>
          <t>답</t>
        </is>
      </c>
      <c r="D1484" s="3" t="inlineStr">
        <is>
          <t>답</t>
        </is>
      </c>
      <c r="E1484" s="3" t="inlineStr">
        <is>
          <t>매매</t>
        </is>
      </c>
      <c r="F1484" s="4" t="n">
        <v>53500</v>
      </c>
      <c r="G1484" s="4" t="n">
        <v>1359</v>
      </c>
      <c r="H1484" s="4" t="n">
        <v>411</v>
      </c>
      <c r="I1484" s="5" t="n">
        <v>130.2</v>
      </c>
      <c r="J1484" s="5" t="n">
        <v>40.1</v>
      </c>
      <c r="K1484" s="3" t="inlineStr">
        <is>
          <t>4M도로에 접함 투자및 공장추천 2필지</t>
        </is>
      </c>
      <c r="L1484" s="6">
        <f>HYPERLINK("https://fin.land.naver.com/articles/2650428790", "매물Link")</f>
        <v/>
      </c>
      <c r="M1484" s="6">
        <f>HYPERLINK("https://map.naver.com/p/search/오송읍 호계리 153-1", "지도Link")</f>
        <v/>
      </c>
      <c r="N1484" s="6">
        <f>HYPERLINK("http://www.eum.go.kr/web/ar/lu/luLandDet.jsp?pnu=4311325021101530001&amp;isNoScr=script&amp;mode=search", "토지이음")</f>
        <v/>
      </c>
      <c r="O1484" s="3" t="inlineStr">
        <is>
          <t>플러스태양</t>
        </is>
      </c>
      <c r="P1484" s="4" t="n">
        <v>1</v>
      </c>
      <c r="Q1484" s="4" t="n">
        <v>397</v>
      </c>
      <c r="R1484" s="3" t="inlineStr">
        <is>
          <t>지정되지않음</t>
        </is>
      </c>
      <c r="S1484" s="3" t="inlineStr">
        <is>
          <t>답</t>
        </is>
      </c>
      <c r="T1484" s="3" t="inlineStr">
        <is>
          <t>평지</t>
        </is>
      </c>
      <c r="U1484" s="3" t="inlineStr">
        <is>
          <t>사다리형</t>
        </is>
      </c>
      <c r="V1484" s="3" t="inlineStr">
        <is>
          <t>세로한면(가)</t>
        </is>
      </c>
    </row>
    <row r="1485">
      <c r="A1485" s="3" t="inlineStr">
        <is>
          <t>오송읍 호계리 155-1</t>
        </is>
      </c>
      <c r="B1485" s="3" t="inlineStr">
        <is>
          <t>계획관리지역</t>
        </is>
      </c>
      <c r="C1485" s="3" t="inlineStr">
        <is>
          <t>답</t>
        </is>
      </c>
      <c r="D1485" s="3" t="inlineStr">
        <is>
          <t>답</t>
        </is>
      </c>
      <c r="E1485" s="3" t="inlineStr">
        <is>
          <t>매매</t>
        </is>
      </c>
      <c r="F1485" s="4" t="n">
        <v>195800</v>
      </c>
      <c r="G1485" s="4" t="n">
        <v>2943</v>
      </c>
      <c r="H1485" s="4" t="n">
        <v>890</v>
      </c>
      <c r="I1485" s="5" t="n">
        <v>220</v>
      </c>
      <c r="J1485" s="5" t="n">
        <v>38.1</v>
      </c>
      <c r="K1485" s="3" t="inlineStr">
        <is>
          <t>오송읍, 호계리, 계획관리지역, 5m 도로 접한 토지</t>
        </is>
      </c>
      <c r="L1485" s="6">
        <f>HYPERLINK("https://fin.land.naver.com/articles/2652670142", "매물Link")</f>
        <v/>
      </c>
      <c r="M1485" s="6">
        <f>HYPERLINK("https://map.naver.com/p/search/오송읍 호계리 155-1", "지도Link")</f>
        <v/>
      </c>
      <c r="N1485" s="6">
        <f>HYPERLINK("http://www.eum.go.kr/web/ar/lu/luLandDet.jsp?pnu=4311325021101550001&amp;isNoScr=script&amp;mode=search", "토지이음")</f>
        <v/>
      </c>
      <c r="O1485" s="3" t="inlineStr">
        <is>
          <t>올바른</t>
        </is>
      </c>
      <c r="P1485" s="4" t="n">
        <v>1</v>
      </c>
      <c r="Q1485" s="4" t="n">
        <v>2943</v>
      </c>
      <c r="R1485" s="3" t="inlineStr">
        <is>
          <t>지정되지않음</t>
        </is>
      </c>
      <c r="S1485" s="3" t="inlineStr">
        <is>
          <t>답</t>
        </is>
      </c>
      <c r="T1485" s="3" t="inlineStr">
        <is>
          <t>평지</t>
        </is>
      </c>
      <c r="U1485" s="3" t="inlineStr">
        <is>
          <t>부정형</t>
        </is>
      </c>
      <c r="V1485" s="3" t="inlineStr">
        <is>
          <t>세로한면(가)</t>
        </is>
      </c>
    </row>
    <row r="1486">
      <c r="A1486" s="3" t="inlineStr">
        <is>
          <t>오송읍 호계리 230-3</t>
        </is>
      </c>
      <c r="B1486" s="3" t="inlineStr">
        <is>
          <t>농림지역</t>
        </is>
      </c>
      <c r="C1486" s="3" t="inlineStr">
        <is>
          <t>답</t>
        </is>
      </c>
      <c r="D1486" s="3" t="inlineStr">
        <is>
          <t>답</t>
        </is>
      </c>
      <c r="E1486" s="3" t="inlineStr">
        <is>
          <t>매매</t>
        </is>
      </c>
      <c r="F1486" s="4" t="n">
        <v>29000</v>
      </c>
      <c r="G1486" s="4" t="n">
        <v>1595</v>
      </c>
      <c r="H1486" s="4" t="n">
        <v>482</v>
      </c>
      <c r="I1486" s="5" t="n">
        <v>60.2</v>
      </c>
      <c r="J1486" s="5" t="n">
        <v>32.4</v>
      </c>
      <c r="K1486" s="3" t="inlineStr">
        <is>
          <t>호계리 토지 매매.</t>
        </is>
      </c>
      <c r="L1486" s="6">
        <f>HYPERLINK("https://fin.land.naver.com/articles/2652685771", "매물Link")</f>
        <v/>
      </c>
      <c r="M1486" s="6">
        <f>HYPERLINK("https://map.naver.com/p/search/오송읍 호계리 230-3", "지도Link")</f>
        <v/>
      </c>
      <c r="N1486" s="6">
        <f>HYPERLINK("http://www.eum.go.kr/web/ar/lu/luLandDet.jsp?pnu=4311325021102300003&amp;isNoScr=script&amp;mode=search", "토지이음")</f>
        <v/>
      </c>
      <c r="O1486" s="3" t="inlineStr">
        <is>
          <t>대한민국</t>
        </is>
      </c>
      <c r="P1486" s="4" t="n">
        <v>1</v>
      </c>
      <c r="Q1486" s="4" t="n">
        <v>1595</v>
      </c>
      <c r="R1486" s="3" t="inlineStr">
        <is>
          <t>지정되지않음</t>
        </is>
      </c>
      <c r="S1486" s="3" t="inlineStr">
        <is>
          <t>답</t>
        </is>
      </c>
      <c r="T1486" s="3" t="inlineStr">
        <is>
          <t>평지</t>
        </is>
      </c>
      <c r="U1486" s="3" t="inlineStr">
        <is>
          <t>세로장방</t>
        </is>
      </c>
      <c r="V1486" s="3" t="inlineStr">
        <is>
          <t>소로한면</t>
        </is>
      </c>
    </row>
    <row r="1487">
      <c r="A1487" s="3" t="inlineStr">
        <is>
          <t>오송읍 호계리 3-2</t>
        </is>
      </c>
      <c r="B1487" s="3" t="inlineStr">
        <is>
          <t>계획관리지역</t>
        </is>
      </c>
      <c r="C1487" s="3" t="inlineStr">
        <is>
          <t>전</t>
        </is>
      </c>
      <c r="D1487" s="3" t="inlineStr">
        <is>
          <t>전</t>
        </is>
      </c>
      <c r="E1487" s="3" t="inlineStr">
        <is>
          <t>매매</t>
        </is>
      </c>
      <c r="F1487" s="4" t="n">
        <v>90400</v>
      </c>
      <c r="G1487" s="4" t="n">
        <v>1494</v>
      </c>
      <c r="H1487" s="4" t="n">
        <v>452</v>
      </c>
      <c r="I1487" s="5" t="n">
        <v>200</v>
      </c>
      <c r="J1487" s="5" t="n">
        <v>33.6</v>
      </c>
      <c r="K1487" s="3" t="inlineStr">
        <is>
          <t>공장이나 창고부지 적격</t>
        </is>
      </c>
      <c r="L1487" s="6">
        <f>HYPERLINK("https://fin.land.naver.com/articles/2652471712", "매물Link")</f>
        <v/>
      </c>
      <c r="M1487" s="6">
        <f>HYPERLINK("https://map.naver.com/p/search/오송읍 호계리 3-2", "지도Link")</f>
        <v/>
      </c>
      <c r="N1487" s="6">
        <f>HYPERLINK("http://www.eum.go.kr/web/ar/lu/luLandDet.jsp?pnu=4311325021100030002&amp;isNoScr=script&amp;mode=search", "토지이음")</f>
        <v/>
      </c>
      <c r="O1487" s="3" t="inlineStr">
        <is>
          <t>천석</t>
        </is>
      </c>
      <c r="P1487" s="4" t="n">
        <v>1</v>
      </c>
      <c r="Q1487" s="4" t="n">
        <v>1494</v>
      </c>
      <c r="R1487" s="3" t="inlineStr">
        <is>
          <t>지정되지않음</t>
        </is>
      </c>
      <c r="S1487" s="3" t="inlineStr">
        <is>
          <t>전</t>
        </is>
      </c>
      <c r="T1487" s="3" t="inlineStr">
        <is>
          <t>평지</t>
        </is>
      </c>
      <c r="U1487" s="3" t="inlineStr">
        <is>
          <t>사다리형</t>
        </is>
      </c>
      <c r="V1487" s="3" t="inlineStr">
        <is>
          <t>맹지</t>
        </is>
      </c>
    </row>
    <row r="1488">
      <c r="A1488" s="3" t="inlineStr">
        <is>
          <t>오송읍 호계리 50</t>
        </is>
      </c>
      <c r="B1488" s="3" t="inlineStr">
        <is>
          <t>계획관리지역</t>
        </is>
      </c>
      <c r="C1488" s="3" t="inlineStr">
        <is>
          <t>전</t>
        </is>
      </c>
      <c r="D1488" s="3" t="inlineStr">
        <is>
          <t>전</t>
        </is>
      </c>
      <c r="E1488" s="3" t="inlineStr">
        <is>
          <t>매매</t>
        </is>
      </c>
      <c r="F1488" s="4" t="n">
        <v>90000</v>
      </c>
      <c r="G1488" s="4" t="n">
        <v>1927</v>
      </c>
      <c r="H1488" s="4" t="n">
        <v>583</v>
      </c>
      <c r="I1488" s="5" t="n">
        <v>154.4</v>
      </c>
      <c r="J1488" s="5" t="n">
        <v>40.1</v>
      </c>
      <c r="K1488" s="3" t="inlineStr">
        <is>
          <t>오송읍 호계리 산과 인접한 전원주택부지</t>
        </is>
      </c>
      <c r="L1488" s="6">
        <f>HYPERLINK("https://fin.land.naver.com/articles/2654451662", "매물Link")</f>
        <v/>
      </c>
      <c r="M1488" s="6">
        <f>HYPERLINK("https://map.naver.com/p/search/오송읍 호계리 50", "지도Link")</f>
        <v/>
      </c>
      <c r="N1488" s="6">
        <f>HYPERLINK("http://www.eum.go.kr/web/ar/lu/luLandDet.jsp?pnu=4311325021100500000&amp;isNoScr=script&amp;mode=search", "토지이음")</f>
        <v/>
      </c>
      <c r="O1488" s="3" t="inlineStr">
        <is>
          <t>새벽무소</t>
        </is>
      </c>
      <c r="P1488" s="4" t="n">
        <v>1</v>
      </c>
      <c r="Q1488" s="4" t="n">
        <v>1927</v>
      </c>
      <c r="R1488" s="3" t="inlineStr">
        <is>
          <t>지정되지않음</t>
        </is>
      </c>
      <c r="S1488" s="3" t="inlineStr">
        <is>
          <t>전</t>
        </is>
      </c>
      <c r="T1488" s="3" t="inlineStr">
        <is>
          <t>평지</t>
        </is>
      </c>
      <c r="U1488" s="3" t="inlineStr">
        <is>
          <t>사다리형</t>
        </is>
      </c>
      <c r="V1488" s="3" t="inlineStr">
        <is>
          <t>세로한면(가)</t>
        </is>
      </c>
    </row>
    <row r="1489">
      <c r="A1489" s="3" t="inlineStr">
        <is>
          <t>오송읍 호계리 7-6</t>
        </is>
      </c>
      <c r="B1489" s="3" t="inlineStr">
        <is>
          <t>계획관리지역</t>
        </is>
      </c>
      <c r="C1489" s="3" t="inlineStr">
        <is>
          <t>전</t>
        </is>
      </c>
      <c r="D1489" s="3" t="inlineStr">
        <is>
          <t>전</t>
        </is>
      </c>
      <c r="E1489" s="3" t="inlineStr">
        <is>
          <t>매매</t>
        </is>
      </c>
      <c r="F1489" s="4" t="n">
        <v>28500</v>
      </c>
      <c r="G1489" s="4" t="n">
        <v>627</v>
      </c>
      <c r="H1489" s="4" t="n">
        <v>190</v>
      </c>
      <c r="I1489" s="5" t="n">
        <v>150</v>
      </c>
      <c r="J1489" s="5" t="n">
        <v>39</v>
      </c>
      <c r="K1489" s="3" t="inlineStr">
        <is>
          <t>전원주택지</t>
        </is>
      </c>
      <c r="L1489" s="6">
        <f>HYPERLINK("https://fin.land.naver.com/articles/2649702438", "매물Link")</f>
        <v/>
      </c>
      <c r="M1489" s="6">
        <f>HYPERLINK("https://map.naver.com/p/search/오송읍 호계리 7-6", "지도Link")</f>
        <v/>
      </c>
      <c r="N1489" s="6">
        <f>HYPERLINK("http://www.eum.go.kr/web/ar/lu/luLandDet.jsp?pnu=4311325021100070006&amp;isNoScr=script&amp;mode=search", "토지이음")</f>
        <v/>
      </c>
      <c r="O1489" s="3" t="inlineStr">
        <is>
          <t>금송</t>
        </is>
      </c>
      <c r="P1489" s="4" t="n">
        <v>1</v>
      </c>
      <c r="Q1489" s="4" t="n">
        <v>627</v>
      </c>
      <c r="R1489" s="3" t="inlineStr">
        <is>
          <t>지정되지않음</t>
        </is>
      </c>
      <c r="S1489" s="3" t="inlineStr">
        <is>
          <t>전</t>
        </is>
      </c>
      <c r="T1489" s="3" t="inlineStr">
        <is>
          <t>평지</t>
        </is>
      </c>
      <c r="U1489" s="3" t="inlineStr">
        <is>
          <t>사다리형</t>
        </is>
      </c>
      <c r="V1489" s="3" t="inlineStr">
        <is>
          <t>세로한면(가)</t>
        </is>
      </c>
    </row>
    <row r="1490">
      <c r="A1490" s="3" t="inlineStr">
        <is>
          <t>조치원읍 교리 16-5</t>
        </is>
      </c>
      <c r="B1490" s="3" t="inlineStr">
        <is>
          <t>제2종일반주거지역</t>
        </is>
      </c>
      <c r="C1490" s="3" t="inlineStr">
        <is>
          <t>대</t>
        </is>
      </c>
      <c r="D1490" s="3" t="inlineStr">
        <is>
          <t>대</t>
        </is>
      </c>
      <c r="E1490" s="3" t="inlineStr">
        <is>
          <t>매매</t>
        </is>
      </c>
      <c r="F1490" s="4" t="n">
        <v>40000</v>
      </c>
      <c r="G1490" s="4" t="n">
        <v>207</v>
      </c>
      <c r="H1490" s="4" t="n">
        <v>63</v>
      </c>
      <c r="I1490" s="5" t="n">
        <v>634.9</v>
      </c>
      <c r="J1490" s="5" t="n">
        <v>206.5</v>
      </c>
      <c r="K1490" s="3" t="inlineStr">
        <is>
          <t>조치원역 가까운 주거지역 토지매매</t>
        </is>
      </c>
      <c r="L1490" s="6">
        <f>HYPERLINK("https://fin.land.naver.com/articles/2654530676", "매물Link")</f>
        <v/>
      </c>
      <c r="M1490" s="6">
        <f>HYPERLINK("https://map.naver.com/p/search/조치원읍 교리 16-5", "지도Link")</f>
        <v/>
      </c>
      <c r="N1490" s="6">
        <f>HYPERLINK("http://www.eum.go.kr/web/ar/lu/luLandDet.jsp?pnu=3611025024100160005&amp;isNoScr=script&amp;mode=search", "토지이음")</f>
        <v/>
      </c>
      <c r="O1490" s="3" t="inlineStr">
        <is>
          <t>김준희</t>
        </is>
      </c>
      <c r="P1490" s="4" t="n">
        <v>1</v>
      </c>
      <c r="Q1490" s="4" t="n">
        <v>103.5</v>
      </c>
      <c r="R1490" s="3" t="inlineStr">
        <is>
          <t>지정되지않음</t>
        </is>
      </c>
      <c r="S1490" s="3" t="inlineStr">
        <is>
          <t>단독</t>
        </is>
      </c>
      <c r="T1490" s="3" t="inlineStr">
        <is>
          <t>평지</t>
        </is>
      </c>
      <c r="U1490" s="3" t="inlineStr">
        <is>
          <t>세로장방</t>
        </is>
      </c>
      <c r="V1490" s="3" t="inlineStr">
        <is>
          <t>세로한면(가)</t>
        </is>
      </c>
    </row>
    <row r="1491">
      <c r="A1491" s="3" t="inlineStr">
        <is>
          <t>조치원읍 교리 18-11</t>
        </is>
      </c>
      <c r="B1491" s="3" t="inlineStr">
        <is>
          <t>제2종일반주거지역</t>
        </is>
      </c>
      <c r="C1491" s="3" t="inlineStr">
        <is>
          <t>대</t>
        </is>
      </c>
      <c r="D1491" s="3" t="inlineStr">
        <is>
          <t>대</t>
        </is>
      </c>
      <c r="E1491" s="3" t="inlineStr">
        <is>
          <t>매매</t>
        </is>
      </c>
      <c r="F1491" s="4" t="n">
        <v>42000</v>
      </c>
      <c r="G1491" s="4" t="n">
        <v>179</v>
      </c>
      <c r="H1491" s="4" t="n">
        <v>54</v>
      </c>
      <c r="I1491" s="5" t="n">
        <v>777.8</v>
      </c>
      <c r="J1491" s="5" t="n">
        <v>274.9</v>
      </c>
      <c r="K1491" s="3" t="inlineStr">
        <is>
          <t>nan</t>
        </is>
      </c>
      <c r="L1491" s="6">
        <f>HYPERLINK("https://fin.land.naver.com/articles/2653462749", "매물Link")</f>
        <v/>
      </c>
      <c r="M1491" s="6">
        <f>HYPERLINK("https://map.naver.com/p/search/조치원읍 교리 18-11", "지도Link")</f>
        <v/>
      </c>
      <c r="N1491" s="6">
        <f>HYPERLINK("http://www.eum.go.kr/web/ar/lu/luLandDet.jsp?pnu=3611025024100180011&amp;isNoScr=script&amp;mode=search", "토지이음")</f>
        <v/>
      </c>
      <c r="O1491" s="3" t="inlineStr">
        <is>
          <t>정인</t>
        </is>
      </c>
      <c r="P1491" s="4" t="n">
        <v>1</v>
      </c>
      <c r="Q1491" s="4" t="n">
        <v>179.5</v>
      </c>
      <c r="R1491" s="3" t="inlineStr">
        <is>
          <t>지정되지않음</t>
        </is>
      </c>
      <c r="S1491" s="3" t="inlineStr">
        <is>
          <t>주상기타</t>
        </is>
      </c>
      <c r="T1491" s="3" t="inlineStr">
        <is>
          <t>평지</t>
        </is>
      </c>
      <c r="U1491" s="3" t="inlineStr">
        <is>
          <t>세로장방</t>
        </is>
      </c>
      <c r="V1491" s="3" t="inlineStr">
        <is>
          <t>중로한면</t>
        </is>
      </c>
    </row>
    <row r="1492">
      <c r="A1492" s="3" t="inlineStr">
        <is>
          <t>조치원읍 교리 22-20</t>
        </is>
      </c>
      <c r="B1492" s="3" t="inlineStr">
        <is>
          <t>일반상업지역</t>
        </is>
      </c>
      <c r="C1492" s="3" t="inlineStr">
        <is>
          <t>대</t>
        </is>
      </c>
      <c r="D1492" s="3" t="inlineStr">
        <is>
          <t>대</t>
        </is>
      </c>
      <c r="E1492" s="3" t="inlineStr">
        <is>
          <t>매매</t>
        </is>
      </c>
      <c r="F1492" s="4" t="n">
        <v>100000</v>
      </c>
      <c r="G1492" s="4" t="n">
        <v>387</v>
      </c>
      <c r="H1492" s="4" t="n">
        <v>117</v>
      </c>
      <c r="I1492" s="5" t="n">
        <v>854.7</v>
      </c>
      <c r="J1492" s="5" t="n">
        <v>452.2</v>
      </c>
      <c r="K1492" s="3" t="inlineStr">
        <is>
          <t>nan</t>
        </is>
      </c>
      <c r="L1492" s="6">
        <f>HYPERLINK("https://fin.land.naver.com/articles/2652123797", "매물Link")</f>
        <v/>
      </c>
      <c r="M1492" s="6">
        <f>HYPERLINK("https://map.naver.com/p/search/조치원읍 교리 22-20", "지도Link")</f>
        <v/>
      </c>
      <c r="N1492" s="6">
        <f>HYPERLINK("http://www.eum.go.kr/web/ar/lu/luLandDet.jsp?pnu=3611025024100220020&amp;isNoScr=script&amp;mode=search", "토지이음")</f>
        <v/>
      </c>
      <c r="O1492" s="3" t="inlineStr">
        <is>
          <t>미스터홈즈강남지사</t>
        </is>
      </c>
      <c r="P1492" s="4" t="n">
        <v>1</v>
      </c>
      <c r="Q1492" s="4" t="n">
        <v>185.8</v>
      </c>
      <c r="R1492" s="3" t="inlineStr">
        <is>
          <t>지정되지않음</t>
        </is>
      </c>
      <c r="S1492" s="3" t="inlineStr">
        <is>
          <t>상업용</t>
        </is>
      </c>
      <c r="T1492" s="3" t="inlineStr">
        <is>
          <t>평지</t>
        </is>
      </c>
      <c r="U1492" s="3" t="inlineStr">
        <is>
          <t>세로장방</t>
        </is>
      </c>
      <c r="V1492" s="3" t="inlineStr">
        <is>
          <t>소로한면</t>
        </is>
      </c>
    </row>
    <row r="1493">
      <c r="A1493" s="3" t="inlineStr">
        <is>
          <t>조치원읍 남리 103-68</t>
        </is>
      </c>
      <c r="B1493" s="3" t="inlineStr">
        <is>
          <t>제2종일반주거지역</t>
        </is>
      </c>
      <c r="C1493" s="3" t="inlineStr">
        <is>
          <t>대</t>
        </is>
      </c>
      <c r="D1493" s="3" t="inlineStr">
        <is>
          <t>대</t>
        </is>
      </c>
      <c r="E1493" s="3" t="inlineStr">
        <is>
          <t>매매</t>
        </is>
      </c>
      <c r="F1493" s="4" t="n">
        <v>49000</v>
      </c>
      <c r="G1493" s="4" t="n">
        <v>396</v>
      </c>
      <c r="H1493" s="4" t="n">
        <v>120</v>
      </c>
      <c r="I1493" s="5" t="n">
        <v>408.3</v>
      </c>
      <c r="J1493" s="5" t="n">
        <v>166.9</v>
      </c>
      <c r="K1493" s="3" t="inlineStr">
        <is>
          <t>2차선변, 조치원역 도보권, 조치원도시재생뉴딜지역 근거리, 동서연결도로</t>
        </is>
      </c>
      <c r="L1493" s="6">
        <f>HYPERLINK("https://fin.land.naver.com/articles/2653295631", "매물Link")</f>
        <v/>
      </c>
      <c r="M1493" s="6">
        <f>HYPERLINK("https://map.naver.com/p/search/조치원읍 남리 103-68", "지도Link")</f>
        <v/>
      </c>
      <c r="N1493" s="6">
        <f>HYPERLINK("http://www.eum.go.kr/web/ar/lu/luLandDet.jsp?pnu=3611025027101030068&amp;isNoScr=script&amp;mode=search", "토지이음")</f>
        <v/>
      </c>
      <c r="O1493" s="3" t="inlineStr">
        <is>
          <t>세종공감</t>
        </is>
      </c>
      <c r="P1493" s="4" t="n">
        <v>4</v>
      </c>
      <c r="Q1493" s="4" t="n">
        <v>396</v>
      </c>
      <c r="R1493" s="3" t="inlineStr">
        <is>
          <t>지정되지않음</t>
        </is>
      </c>
      <c r="S1493" s="3" t="inlineStr">
        <is>
          <t>단독</t>
        </is>
      </c>
      <c r="T1493" s="3" t="inlineStr">
        <is>
          <t>평지</t>
        </is>
      </c>
      <c r="U1493" s="3" t="inlineStr">
        <is>
          <t>세로장방</t>
        </is>
      </c>
      <c r="V1493" s="3" t="inlineStr">
        <is>
          <t>세로한면(가)</t>
        </is>
      </c>
    </row>
    <row r="1494">
      <c r="A1494" s="3" t="inlineStr">
        <is>
          <t>조치원읍 남리 307-2</t>
        </is>
      </c>
      <c r="B1494" s="3" t="inlineStr">
        <is>
          <t>제2종일반주거지역</t>
        </is>
      </c>
      <c r="C1494" s="3" t="inlineStr">
        <is>
          <t>대</t>
        </is>
      </c>
      <c r="D1494" s="3" t="inlineStr">
        <is>
          <t>대</t>
        </is>
      </c>
      <c r="E1494" s="3" t="inlineStr">
        <is>
          <t>매매</t>
        </is>
      </c>
      <c r="F1494" s="4" t="n">
        <v>250000</v>
      </c>
      <c r="G1494" s="4" t="n">
        <v>788</v>
      </c>
      <c r="H1494" s="4" t="n">
        <v>238</v>
      </c>
      <c r="I1494" s="5" t="n">
        <v>1050.4</v>
      </c>
      <c r="J1494" s="5" t="n">
        <v>366.6</v>
      </c>
      <c r="K1494" s="3" t="inlineStr">
        <is>
          <t>조치원 4차선 코너,대지238P,통건물 3동포함,사옥 병원등 추천</t>
        </is>
      </c>
      <c r="L1494" s="6">
        <f>HYPERLINK("https://fin.land.naver.com/articles/2650483987", "매물Link")</f>
        <v/>
      </c>
      <c r="M1494" s="6">
        <f>HYPERLINK("https://map.naver.com/p/search/조치원읍 남리 307-2", "지도Link")</f>
        <v/>
      </c>
      <c r="N1494" s="6">
        <f>HYPERLINK("http://www.eum.go.kr/web/ar/lu/luLandDet.jsp?pnu=3611025027103070002&amp;isNoScr=script&amp;mode=search", "토지이음")</f>
        <v/>
      </c>
      <c r="O1494" s="3" t="inlineStr">
        <is>
          <t>광장</t>
        </is>
      </c>
      <c r="P1494" s="4" t="n">
        <v>1</v>
      </c>
      <c r="Q1494" s="4" t="n">
        <v>211.4</v>
      </c>
      <c r="R1494" s="3" t="inlineStr">
        <is>
          <t>지정되지않음</t>
        </is>
      </c>
      <c r="S1494" s="3" t="inlineStr">
        <is>
          <t>상업용</t>
        </is>
      </c>
      <c r="T1494" s="3" t="inlineStr">
        <is>
          <t>평지</t>
        </is>
      </c>
      <c r="U1494" s="3" t="inlineStr">
        <is>
          <t>자루형</t>
        </is>
      </c>
      <c r="V1494" s="3" t="inlineStr">
        <is>
          <t>중로각지</t>
        </is>
      </c>
    </row>
    <row r="1495">
      <c r="A1495" s="3" t="inlineStr">
        <is>
          <t>조치원읍 남리 347</t>
        </is>
      </c>
      <c r="B1495" s="3" t="inlineStr">
        <is>
          <t>제2종일반주거지역</t>
        </is>
      </c>
      <c r="C1495" s="3" t="inlineStr">
        <is>
          <t>대</t>
        </is>
      </c>
      <c r="D1495" s="3" t="inlineStr">
        <is>
          <t>대</t>
        </is>
      </c>
      <c r="E1495" s="3" t="inlineStr">
        <is>
          <t>매매</t>
        </is>
      </c>
      <c r="F1495" s="4" t="n">
        <v>33250</v>
      </c>
      <c r="G1495" s="4" t="n">
        <v>315</v>
      </c>
      <c r="H1495" s="4" t="n">
        <v>95</v>
      </c>
      <c r="I1495" s="5" t="n">
        <v>350</v>
      </c>
      <c r="J1495" s="5" t="n">
        <v>263.5</v>
      </c>
      <c r="K1495" s="3" t="inlineStr">
        <is>
          <t>남리 예쁜땅모양 주택및원룸 추천</t>
        </is>
      </c>
      <c r="L1495" s="6">
        <f>HYPERLINK("https://fin.land.naver.com/articles/2651708417", "매물Link")</f>
        <v/>
      </c>
      <c r="M1495" s="6">
        <f>HYPERLINK("https://map.naver.com/p/search/조치원읍 남리 347", "지도Link")</f>
        <v/>
      </c>
      <c r="N1495" s="6">
        <f>HYPERLINK("http://www.eum.go.kr/web/ar/lu/luLandDet.jsp?pnu=3611025027103470000&amp;isNoScr=script&amp;mode=search", "토지이음")</f>
        <v/>
      </c>
      <c r="O1495" s="3" t="inlineStr">
        <is>
          <t>OK수</t>
        </is>
      </c>
      <c r="P1495" s="4" t="n">
        <v>1</v>
      </c>
      <c r="Q1495" s="4" t="n">
        <v>315.7</v>
      </c>
      <c r="R1495" s="3" t="inlineStr">
        <is>
          <t>지정되지않음</t>
        </is>
      </c>
      <c r="S1495" s="3" t="inlineStr">
        <is>
          <t>주상기타</t>
        </is>
      </c>
      <c r="T1495" s="3" t="inlineStr">
        <is>
          <t>평지</t>
        </is>
      </c>
      <c r="U1495" s="3" t="inlineStr">
        <is>
          <t>정방형</t>
        </is>
      </c>
      <c r="V1495" s="3" t="inlineStr">
        <is>
          <t>세로한면(가)</t>
        </is>
      </c>
    </row>
    <row r="1496">
      <c r="A1496" s="3" t="inlineStr">
        <is>
          <t>조치원읍 남리 436</t>
        </is>
      </c>
      <c r="B1496" s="3" t="inlineStr">
        <is>
          <t>제2종일반주거지역</t>
        </is>
      </c>
      <c r="C1496" s="3" t="inlineStr">
        <is>
          <t>대</t>
        </is>
      </c>
      <c r="D1496" s="3" t="inlineStr">
        <is>
          <t>대</t>
        </is>
      </c>
      <c r="E1496" s="3" t="inlineStr">
        <is>
          <t>매매</t>
        </is>
      </c>
      <c r="F1496" s="4" t="n">
        <v>23800</v>
      </c>
      <c r="G1496" s="4" t="n">
        <v>225</v>
      </c>
      <c r="H1496" s="4" t="n">
        <v>68</v>
      </c>
      <c r="I1496" s="5" t="n">
        <v>350</v>
      </c>
      <c r="J1496" s="5" t="n">
        <v>321.7</v>
      </c>
      <c r="K1496" s="3" t="inlineStr">
        <is>
          <t>10m 도로 접, 공영주차장 접, 나대지. 착한가격의 투자매물</t>
        </is>
      </c>
      <c r="L1496" s="6">
        <f>HYPERLINK("https://fin.land.naver.com/articles/2651339564", "매물Link")</f>
        <v/>
      </c>
      <c r="M1496" s="6">
        <f>HYPERLINK("https://map.naver.com/p/search/조치원읍 남리 436", "지도Link")</f>
        <v/>
      </c>
      <c r="N1496" s="6">
        <f>HYPERLINK("http://www.eum.go.kr/web/ar/lu/luLandDet.jsp?pnu=3611025027104360000&amp;isNoScr=script&amp;mode=search", "토지이음")</f>
        <v/>
      </c>
      <c r="O1496" s="3" t="inlineStr">
        <is>
          <t>오송3산단  사무소</t>
        </is>
      </c>
      <c r="P1496" s="4" t="n">
        <v>2</v>
      </c>
      <c r="Q1496" s="4" t="n">
        <v>225.8</v>
      </c>
      <c r="R1496" s="3" t="inlineStr">
        <is>
          <t>지정되지않음</t>
        </is>
      </c>
      <c r="S1496" s="3" t="inlineStr">
        <is>
          <t>상업나지</t>
        </is>
      </c>
      <c r="T1496" s="3" t="inlineStr">
        <is>
          <t>평지</t>
        </is>
      </c>
      <c r="U1496" s="3" t="inlineStr">
        <is>
          <t>세로장방</t>
        </is>
      </c>
      <c r="V1496" s="3" t="inlineStr">
        <is>
          <t>소로한면</t>
        </is>
      </c>
    </row>
    <row r="1497">
      <c r="A1497" s="3" t="inlineStr">
        <is>
          <t>조치원읍 번암리 121-4</t>
        </is>
      </c>
      <c r="B1497" s="3" t="inlineStr">
        <is>
          <t>일반공업지역</t>
        </is>
      </c>
      <c r="C1497" s="3" t="inlineStr">
        <is>
          <t>잡종지</t>
        </is>
      </c>
      <c r="D1497" s="3" t="inlineStr">
        <is>
          <t>잡종지</t>
        </is>
      </c>
      <c r="E1497" s="3" t="inlineStr">
        <is>
          <t>매매</t>
        </is>
      </c>
      <c r="F1497" s="4" t="n">
        <v>280000</v>
      </c>
      <c r="G1497" s="4" t="n">
        <v>1531</v>
      </c>
      <c r="H1497" s="4" t="n">
        <v>463</v>
      </c>
      <c r="I1497" s="5" t="n">
        <v>604.8</v>
      </c>
      <c r="J1497" s="5" t="n">
        <v>201.1</v>
      </c>
      <c r="K1497" s="3" t="inlineStr">
        <is>
          <t>세종산단과 오송산단을 잇는 대로 접, 광고 시인성 뛰어남, 적극조율</t>
        </is>
      </c>
      <c r="L1497" s="6">
        <f>HYPERLINK("https://fin.land.naver.com/articles/2654135487", "매물Link")</f>
        <v/>
      </c>
      <c r="M1497" s="6">
        <f>HYPERLINK("https://map.naver.com/p/search/조치원읍 번암리 121-4", "지도Link")</f>
        <v/>
      </c>
      <c r="N1497" s="6">
        <f>HYPERLINK("http://www.eum.go.kr/web/ar/lu/luLandDet.jsp?pnu=3611025031101210004&amp;isNoScr=script&amp;mode=search", "토지이음")</f>
        <v/>
      </c>
      <c r="O1497" s="3" t="inlineStr">
        <is>
          <t>새롬시티</t>
        </is>
      </c>
      <c r="P1497" s="4" t="n">
        <v>1</v>
      </c>
      <c r="Q1497" s="4" t="n">
        <v>1531</v>
      </c>
      <c r="R1497" s="3" t="inlineStr">
        <is>
          <t>지정되지않음</t>
        </is>
      </c>
      <c r="S1497" s="3" t="inlineStr">
        <is>
          <t>상업용</t>
        </is>
      </c>
      <c r="T1497" s="3" t="inlineStr">
        <is>
          <t>평지</t>
        </is>
      </c>
      <c r="U1497" s="3" t="inlineStr">
        <is>
          <t>사다리형</t>
        </is>
      </c>
      <c r="V1497" s="3" t="inlineStr">
        <is>
          <t>광대세각</t>
        </is>
      </c>
    </row>
    <row r="1498">
      <c r="A1498" s="3" t="inlineStr">
        <is>
          <t>조치원읍 번암리 133</t>
        </is>
      </c>
      <c r="B1498" s="3" t="inlineStr">
        <is>
          <t>제2종일반주거지역</t>
        </is>
      </c>
      <c r="C1498" s="3" t="inlineStr">
        <is>
          <t>주유소용지</t>
        </is>
      </c>
      <c r="D1498" s="3" t="inlineStr">
        <is>
          <t>주유소용지</t>
        </is>
      </c>
      <c r="E1498" s="3" t="inlineStr">
        <is>
          <t>매매</t>
        </is>
      </c>
      <c r="F1498" s="4" t="n">
        <v>170000</v>
      </c>
      <c r="G1498" s="4" t="n">
        <v>542</v>
      </c>
      <c r="H1498" s="4" t="n">
        <v>164</v>
      </c>
      <c r="I1498" s="5" t="n">
        <v>1036.6</v>
      </c>
      <c r="J1498" s="5" t="n">
        <v>380.8</v>
      </c>
      <c r="K1498" s="3" t="inlineStr">
        <is>
          <t>최고의 입지, 대도로 접합, 진입로 있음, 명당,현재 주유소부지.</t>
        </is>
      </c>
      <c r="L1498" s="6">
        <f>HYPERLINK("https://fin.land.naver.com/articles/2653735754", "매물Link")</f>
        <v/>
      </c>
      <c r="M1498" s="6">
        <f>HYPERLINK("https://map.naver.com/p/search/조치원읍 번암리 133", "지도Link")</f>
        <v/>
      </c>
      <c r="N1498" s="6">
        <f>HYPERLINK("http://www.eum.go.kr/web/ar/lu/luLandDet.jsp?pnu=3611025031101330000&amp;isNoScr=script&amp;mode=search", "토지이음")</f>
        <v/>
      </c>
      <c r="O1498" s="3" t="inlineStr">
        <is>
          <t>송죽</t>
        </is>
      </c>
      <c r="P1498" s="4" t="n">
        <v>1</v>
      </c>
      <c r="Q1498" s="4" t="n">
        <v>542</v>
      </c>
      <c r="R1498" s="3" t="inlineStr">
        <is>
          <t>지정되지않음</t>
        </is>
      </c>
      <c r="S1498" s="3" t="inlineStr">
        <is>
          <t>상업용</t>
        </is>
      </c>
      <c r="T1498" s="3" t="inlineStr">
        <is>
          <t>평지</t>
        </is>
      </c>
      <c r="U1498" s="3" t="inlineStr">
        <is>
          <t>부정형</t>
        </is>
      </c>
      <c r="V1498" s="3" t="inlineStr">
        <is>
          <t>광대로한면</t>
        </is>
      </c>
    </row>
    <row r="1499">
      <c r="A1499" s="3" t="inlineStr">
        <is>
          <t>조치원읍 번암리 171-48</t>
        </is>
      </c>
      <c r="B1499" s="3" t="inlineStr">
        <is>
          <t>일반공업지역</t>
        </is>
      </c>
      <c r="C1499" s="3" t="inlineStr">
        <is>
          <t>과수원</t>
        </is>
      </c>
      <c r="D1499" s="3" t="inlineStr">
        <is>
          <t>과수원</t>
        </is>
      </c>
      <c r="E1499" s="3" t="inlineStr">
        <is>
          <t>매매</t>
        </is>
      </c>
      <c r="F1499" s="4" t="n">
        <v>121800</v>
      </c>
      <c r="G1499" s="4" t="n">
        <v>1007</v>
      </c>
      <c r="H1499" s="4" t="n">
        <v>305</v>
      </c>
      <c r="I1499" s="5" t="n">
        <v>399.3</v>
      </c>
      <c r="J1499" s="5" t="n">
        <v>49.5</v>
      </c>
      <c r="K1499" s="3" t="inlineStr">
        <is>
          <t>대로변 광고효과 소로1류1012m접함 일반공업지역 공장 근생적합</t>
        </is>
      </c>
      <c r="L1499" s="6">
        <f>HYPERLINK("https://fin.land.naver.com/articles/2651927674", "매물Link")</f>
        <v/>
      </c>
      <c r="M1499" s="6">
        <f>HYPERLINK("https://map.naver.com/p/search/조치원읍 번암리 171-48", "지도Link")</f>
        <v/>
      </c>
      <c r="N1499" s="6">
        <f>HYPERLINK("http://www.eum.go.kr/web/ar/lu/luLandDet.jsp?pnu=3611025031101710048&amp;isNoScr=script&amp;mode=search", "토지이음")</f>
        <v/>
      </c>
      <c r="O1499" s="3" t="inlineStr">
        <is>
          <t>세종이룸</t>
        </is>
      </c>
      <c r="P1499" s="4" t="n">
        <v>1</v>
      </c>
      <c r="Q1499" s="4" t="n">
        <v>598</v>
      </c>
      <c r="R1499" s="3" t="inlineStr">
        <is>
          <t>지정되지않음</t>
        </is>
      </c>
      <c r="S1499" s="3" t="inlineStr">
        <is>
          <t>과수원</t>
        </is>
      </c>
      <c r="T1499" s="3" t="inlineStr">
        <is>
          <t>완경사</t>
        </is>
      </c>
      <c r="U1499" s="3" t="inlineStr">
        <is>
          <t>부정형</t>
        </is>
      </c>
      <c r="V1499" s="3" t="inlineStr">
        <is>
          <t>세로한면(불)</t>
        </is>
      </c>
    </row>
    <row r="1500">
      <c r="A1500" s="3" t="inlineStr">
        <is>
          <t>조치원읍 번암리 171-48</t>
        </is>
      </c>
      <c r="B1500" s="3" t="inlineStr">
        <is>
          <t>일반공업지역</t>
        </is>
      </c>
      <c r="C1500" s="3" t="inlineStr">
        <is>
          <t>과수원</t>
        </is>
      </c>
      <c r="D1500" s="3" t="inlineStr">
        <is>
          <t>과수원</t>
        </is>
      </c>
      <c r="E1500" s="3" t="inlineStr">
        <is>
          <t>매매</t>
        </is>
      </c>
      <c r="F1500" s="4" t="n">
        <v>158400</v>
      </c>
      <c r="G1500" s="4" t="n">
        <v>1007</v>
      </c>
      <c r="H1500" s="4" t="n">
        <v>305</v>
      </c>
      <c r="I1500" s="5" t="n">
        <v>519.3</v>
      </c>
      <c r="J1500" s="5" t="n">
        <v>49.5</v>
      </c>
      <c r="K1500" s="3" t="inlineStr">
        <is>
          <t>조율가,대도로인접,소방포장도로 접,노출효과 좋음,근린상가,소형공장등 추천</t>
        </is>
      </c>
      <c r="L1500" s="6">
        <f>HYPERLINK("https://fin.land.naver.com/articles/2650121496", "매물Link")</f>
        <v/>
      </c>
      <c r="M1500" s="6">
        <f>HYPERLINK("https://map.naver.com/p/search/조치원읍 번암리 171-48", "지도Link")</f>
        <v/>
      </c>
      <c r="N1500" s="6">
        <f>HYPERLINK("http://www.eum.go.kr/web/ar/lu/luLandDet.jsp?pnu=3611025031101710048&amp;isNoScr=script&amp;mode=search", "토지이음")</f>
        <v/>
      </c>
      <c r="O1500" s="3" t="inlineStr">
        <is>
          <t>세종지원</t>
        </is>
      </c>
      <c r="P1500" s="4" t="n">
        <v>1</v>
      </c>
      <c r="Q1500" s="4" t="n">
        <v>598</v>
      </c>
      <c r="R1500" s="3" t="inlineStr">
        <is>
          <t>지정되지않음</t>
        </is>
      </c>
      <c r="S1500" s="3" t="inlineStr">
        <is>
          <t>과수원</t>
        </is>
      </c>
      <c r="T1500" s="3" t="inlineStr">
        <is>
          <t>완경사</t>
        </is>
      </c>
      <c r="U1500" s="3" t="inlineStr">
        <is>
          <t>부정형</t>
        </is>
      </c>
      <c r="V1500" s="3" t="inlineStr">
        <is>
          <t>세로한면(불)</t>
        </is>
      </c>
    </row>
    <row r="1501">
      <c r="A1501" s="3" t="inlineStr">
        <is>
          <t>조치원읍 번암리 171-49</t>
        </is>
      </c>
      <c r="B1501" s="3" t="inlineStr">
        <is>
          <t>일반공업지역</t>
        </is>
      </c>
      <c r="C1501" s="3" t="inlineStr">
        <is>
          <t>과수원</t>
        </is>
      </c>
      <c r="D1501" s="3" t="inlineStr">
        <is>
          <t>과수원</t>
        </is>
      </c>
      <c r="E1501" s="3" t="inlineStr">
        <is>
          <t>매매</t>
        </is>
      </c>
      <c r="F1501" s="4" t="n">
        <v>178880</v>
      </c>
      <c r="G1501" s="4" t="n">
        <v>1137</v>
      </c>
      <c r="H1501" s="4" t="n">
        <v>344</v>
      </c>
      <c r="I1501" s="5" t="n">
        <v>520</v>
      </c>
      <c r="J1501" s="5" t="n">
        <v>44</v>
      </c>
      <c r="K1501" s="3" t="inlineStr">
        <is>
          <t>조율가,대도로근접,소방포장도로 접,노출효과 좋음,근린상가,소형공장등 추천</t>
        </is>
      </c>
      <c r="L1501" s="6">
        <f>HYPERLINK("https://fin.land.naver.com/articles/2650121155", "매물Link")</f>
        <v/>
      </c>
      <c r="M1501" s="6">
        <f>HYPERLINK("https://map.naver.com/p/search/조치원읍 번암리 171-49", "지도Link")</f>
        <v/>
      </c>
      <c r="N1501" s="6">
        <f>HYPERLINK("http://www.eum.go.kr/web/ar/lu/luLandDet.jsp?pnu=3611025031101710049&amp;isNoScr=script&amp;mode=search", "토지이음")</f>
        <v/>
      </c>
      <c r="O1501" s="3" t="inlineStr">
        <is>
          <t>어반통</t>
        </is>
      </c>
      <c r="P1501" s="4" t="n">
        <v>1</v>
      </c>
      <c r="Q1501" s="4" t="n">
        <v>1137</v>
      </c>
      <c r="R1501" s="3" t="inlineStr">
        <is>
          <t>지정되지않음</t>
        </is>
      </c>
      <c r="S1501" s="3" t="inlineStr">
        <is>
          <t>과수원</t>
        </is>
      </c>
      <c r="T1501" s="3" t="inlineStr">
        <is>
          <t>완경사</t>
        </is>
      </c>
      <c r="U1501" s="3" t="inlineStr">
        <is>
          <t>부정형</t>
        </is>
      </c>
      <c r="V1501" s="3" t="inlineStr">
        <is>
          <t>맹지</t>
        </is>
      </c>
    </row>
    <row r="1502">
      <c r="A1502" s="3" t="inlineStr">
        <is>
          <t>조치원읍 번암리 2-4</t>
        </is>
      </c>
      <c r="B1502" s="3" t="inlineStr">
        <is>
          <t>보전녹지지역</t>
        </is>
      </c>
      <c r="C1502" s="3" t="inlineStr">
        <is>
          <t>임야</t>
        </is>
      </c>
      <c r="D1502" s="3" t="inlineStr">
        <is>
          <t>임야</t>
        </is>
      </c>
      <c r="E1502" s="3" t="inlineStr">
        <is>
          <t>매매</t>
        </is>
      </c>
      <c r="F1502" s="4" t="n">
        <v>186000</v>
      </c>
      <c r="G1502" s="4" t="n">
        <v>15410</v>
      </c>
      <c r="H1502" s="4" t="n">
        <v>4662</v>
      </c>
      <c r="I1502" s="5" t="n">
        <v>39.9</v>
      </c>
      <c r="J1502" s="5" t="n">
        <v>59.8</v>
      </c>
      <c r="K1502" s="3" t="inlineStr">
        <is>
          <t>급매, 번암리 산업시설,공장다수,향후 활용가능성 높은토지</t>
        </is>
      </c>
      <c r="L1502" s="6">
        <f>HYPERLINK("https://fin.land.naver.com/articles/2651070894", "매물Link")</f>
        <v/>
      </c>
      <c r="M1502" s="6">
        <f>HYPERLINK("https://map.naver.com/p/search/조치원읍 번암리 2-4", "지도Link")</f>
        <v/>
      </c>
      <c r="N1502" s="6">
        <f>HYPERLINK("http://www.eum.go.kr/web/ar/lu/luLandDet.jsp?pnu=3611025031100020004&amp;isNoScr=script&amp;mode=search", "토지이음")</f>
        <v/>
      </c>
      <c r="O1502" s="3" t="inlineStr">
        <is>
          <t>다옴</t>
        </is>
      </c>
      <c r="P1502" s="4" t="n">
        <v>1</v>
      </c>
      <c r="Q1502" s="4" t="n">
        <v>10154</v>
      </c>
      <c r="R1502" s="3" t="inlineStr">
        <is>
          <t>지정되지않음</t>
        </is>
      </c>
      <c r="S1502" s="3" t="inlineStr">
        <is>
          <t>과수원</t>
        </is>
      </c>
      <c r="T1502" s="3" t="inlineStr">
        <is>
          <t>완경사</t>
        </is>
      </c>
      <c r="U1502" s="3" t="inlineStr">
        <is>
          <t>자루형</t>
        </is>
      </c>
      <c r="V1502" s="3" t="inlineStr">
        <is>
          <t>세로한면(가)</t>
        </is>
      </c>
    </row>
    <row r="1503">
      <c r="A1503" s="3" t="inlineStr">
        <is>
          <t>조치원읍 번암리 2-4</t>
        </is>
      </c>
      <c r="B1503" s="3" t="inlineStr">
        <is>
          <t>보전녹지지역</t>
        </is>
      </c>
      <c r="C1503" s="3" t="inlineStr">
        <is>
          <t>임야</t>
        </is>
      </c>
      <c r="D1503" s="3" t="inlineStr">
        <is>
          <t>임야</t>
        </is>
      </c>
      <c r="E1503" s="3" t="inlineStr">
        <is>
          <t>매매</t>
        </is>
      </c>
      <c r="F1503" s="4" t="n">
        <v>186400</v>
      </c>
      <c r="G1503" s="4" t="n">
        <v>15410</v>
      </c>
      <c r="H1503" s="4" t="n">
        <v>4662</v>
      </c>
      <c r="I1503" s="5" t="n">
        <v>40</v>
      </c>
      <c r="J1503" s="5" t="n">
        <v>59.8</v>
      </c>
      <c r="K1503" s="3" t="inlineStr">
        <is>
          <t>오송역 10분대국가산단 배후, 완경사 대형토지</t>
        </is>
      </c>
      <c r="L1503" s="6">
        <f>HYPERLINK("https://fin.land.naver.com/articles/2653296345", "매물Link")</f>
        <v/>
      </c>
      <c r="M1503" s="6">
        <f>HYPERLINK("https://map.naver.com/p/search/조치원읍 번암리 2-4", "지도Link")</f>
        <v/>
      </c>
      <c r="N1503" s="6">
        <f>HYPERLINK("http://www.eum.go.kr/web/ar/lu/luLandDet.jsp?pnu=3611025031100020004&amp;isNoScr=script&amp;mode=search", "토지이음")</f>
        <v/>
      </c>
      <c r="O1503" s="3" t="inlineStr">
        <is>
          <t>세종소담황금</t>
        </is>
      </c>
      <c r="P1503" s="4" t="n">
        <v>1</v>
      </c>
      <c r="Q1503" s="4" t="n">
        <v>10154</v>
      </c>
      <c r="R1503" s="3" t="inlineStr">
        <is>
          <t>지정되지않음</t>
        </is>
      </c>
      <c r="S1503" s="3" t="inlineStr">
        <is>
          <t>과수원</t>
        </is>
      </c>
      <c r="T1503" s="3" t="inlineStr">
        <is>
          <t>완경사</t>
        </is>
      </c>
      <c r="U1503" s="3" t="inlineStr">
        <is>
          <t>자루형</t>
        </is>
      </c>
      <c r="V1503" s="3" t="inlineStr">
        <is>
          <t>세로한면(가)</t>
        </is>
      </c>
    </row>
    <row r="1504">
      <c r="A1504" s="3" t="inlineStr">
        <is>
          <t>조치원읍 번암리 2-4</t>
        </is>
      </c>
      <c r="B1504" s="3" t="inlineStr">
        <is>
          <t>보전녹지지역</t>
        </is>
      </c>
      <c r="C1504" s="3" t="inlineStr">
        <is>
          <t>임야</t>
        </is>
      </c>
      <c r="D1504" s="3" t="inlineStr">
        <is>
          <t>임야</t>
        </is>
      </c>
      <c r="E1504" s="3" t="inlineStr">
        <is>
          <t>매매</t>
        </is>
      </c>
      <c r="F1504" s="4" t="n">
        <v>180000</v>
      </c>
      <c r="G1504" s="4" t="n">
        <v>15025</v>
      </c>
      <c r="H1504" s="4" t="n">
        <v>4545</v>
      </c>
      <c r="I1504" s="5" t="n">
        <v>39.6</v>
      </c>
      <c r="J1504" s="5" t="n">
        <v>59.8</v>
      </c>
      <c r="K1504" s="3" t="inlineStr">
        <is>
          <t>도로접근선 우수 여러용도 활용가능</t>
        </is>
      </c>
      <c r="L1504" s="6">
        <f>HYPERLINK("https://fin.land.naver.com/articles/2650788390", "매물Link")</f>
        <v/>
      </c>
      <c r="M1504" s="6">
        <f>HYPERLINK("https://map.naver.com/p/search/조치원읍 번암리 2-4", "지도Link")</f>
        <v/>
      </c>
      <c r="N1504" s="6">
        <f>HYPERLINK("http://www.eum.go.kr/web/ar/lu/luLandDet.jsp?pnu=3611025031100020004&amp;isNoScr=script&amp;mode=search", "토지이음")</f>
        <v/>
      </c>
      <c r="O1504" s="3" t="inlineStr">
        <is>
          <t>신두정리치</t>
        </is>
      </c>
      <c r="P1504" s="4" t="n">
        <v>1</v>
      </c>
      <c r="Q1504" s="4" t="n">
        <v>10154</v>
      </c>
      <c r="R1504" s="3" t="inlineStr">
        <is>
          <t>지정되지않음</t>
        </is>
      </c>
      <c r="S1504" s="3" t="inlineStr">
        <is>
          <t>과수원</t>
        </is>
      </c>
      <c r="T1504" s="3" t="inlineStr">
        <is>
          <t>완경사</t>
        </is>
      </c>
      <c r="U1504" s="3" t="inlineStr">
        <is>
          <t>자루형</t>
        </is>
      </c>
      <c r="V1504" s="3" t="inlineStr">
        <is>
          <t>세로한면(가)</t>
        </is>
      </c>
    </row>
    <row r="1505">
      <c r="A1505" s="3" t="inlineStr">
        <is>
          <t>조치원읍 번암리 66-1</t>
        </is>
      </c>
      <c r="B1505" s="3" t="inlineStr">
        <is>
          <t>제2종일반주거지역</t>
        </is>
      </c>
      <c r="C1505" s="3" t="inlineStr">
        <is>
          <t>전</t>
        </is>
      </c>
      <c r="D1505" s="3" t="inlineStr">
        <is>
          <t>전</t>
        </is>
      </c>
      <c r="E1505" s="3" t="inlineStr">
        <is>
          <t>매매</t>
        </is>
      </c>
      <c r="F1505" s="4" t="n">
        <v>100000</v>
      </c>
      <c r="G1505" s="4" t="n">
        <v>1084</v>
      </c>
      <c r="H1505" s="4" t="n">
        <v>328</v>
      </c>
      <c r="I1505" s="5" t="n">
        <v>304.9</v>
      </c>
      <c r="J1505" s="5" t="n">
        <v>120.7</v>
      </c>
      <c r="K1505" s="3" t="inlineStr">
        <is>
          <t>죽림리 2차선 접한 저렴한토지 상업용건물 추천</t>
        </is>
      </c>
      <c r="L1505" s="6">
        <f>HYPERLINK("https://fin.land.naver.com/articles/2651708138", "매물Link")</f>
        <v/>
      </c>
      <c r="M1505" s="6">
        <f>HYPERLINK("https://map.naver.com/p/search/조치원읍 번암리 66-1", "지도Link")</f>
        <v/>
      </c>
      <c r="N1505" s="6">
        <f>HYPERLINK("http://www.eum.go.kr/web/ar/lu/luLandDet.jsp?pnu=3611025031100660001&amp;isNoScr=script&amp;mode=search", "토지이음")</f>
        <v/>
      </c>
      <c r="O1505" s="3" t="inlineStr">
        <is>
          <t>OK수</t>
        </is>
      </c>
      <c r="P1505" s="4" t="n">
        <v>1</v>
      </c>
      <c r="Q1505" s="4" t="n">
        <v>500</v>
      </c>
      <c r="R1505" s="3" t="inlineStr">
        <is>
          <t>지정되지않음</t>
        </is>
      </c>
      <c r="S1505" s="3" t="inlineStr">
        <is>
          <t>전</t>
        </is>
      </c>
      <c r="T1505" s="3" t="inlineStr">
        <is>
          <t>완경사</t>
        </is>
      </c>
      <c r="U1505" s="3" t="inlineStr">
        <is>
          <t>부정형</t>
        </is>
      </c>
      <c r="V1505" s="3" t="inlineStr">
        <is>
          <t>소로한면</t>
        </is>
      </c>
    </row>
    <row r="1506">
      <c r="A1506" s="3" t="inlineStr">
        <is>
          <t>조치원읍 번암리 86-3</t>
        </is>
      </c>
      <c r="B1506" s="3" t="inlineStr">
        <is>
          <t>제2종일반주거지역</t>
        </is>
      </c>
      <c r="C1506" s="3" t="inlineStr">
        <is>
          <t>과수원</t>
        </is>
      </c>
      <c r="D1506" s="3" t="inlineStr">
        <is>
          <t>과수원</t>
        </is>
      </c>
      <c r="E1506" s="3" t="inlineStr">
        <is>
          <t>매매</t>
        </is>
      </c>
      <c r="F1506" s="4" t="n">
        <v>356000</v>
      </c>
      <c r="G1506" s="4" t="n">
        <v>2934</v>
      </c>
      <c r="H1506" s="4" t="n">
        <v>888</v>
      </c>
      <c r="I1506" s="5" t="n">
        <v>400.9</v>
      </c>
      <c r="J1506" s="5" t="n">
        <v>181.1</v>
      </c>
      <c r="K1506" s="3" t="inlineStr">
        <is>
          <t>도로접도 우수한 조치원 제2종주거 2,934㎡ 일괄부지</t>
        </is>
      </c>
      <c r="L1506" s="6">
        <f>HYPERLINK("https://fin.land.naver.com/articles/2653049898", "매물Link")</f>
        <v/>
      </c>
      <c r="M1506" s="6">
        <f>HYPERLINK("https://map.naver.com/p/search/조치원읍 번암리 86-3", "지도Link")</f>
        <v/>
      </c>
      <c r="N1506" s="6">
        <f>HYPERLINK("http://www.eum.go.kr/web/ar/lu/luLandDet.jsp?pnu=3611025031100860003&amp;isNoScr=script&amp;mode=search", "토지이음")</f>
        <v/>
      </c>
      <c r="O1506" s="3" t="inlineStr">
        <is>
          <t>세종소담황금</t>
        </is>
      </c>
      <c r="P1506" s="4" t="n">
        <v>1</v>
      </c>
      <c r="Q1506" s="4" t="n">
        <v>980</v>
      </c>
      <c r="R1506" s="3" t="inlineStr">
        <is>
          <t>지정되지않음</t>
        </is>
      </c>
      <c r="S1506" s="3" t="inlineStr">
        <is>
          <t>과수원</t>
        </is>
      </c>
      <c r="T1506" s="3" t="inlineStr">
        <is>
          <t>완경사</t>
        </is>
      </c>
      <c r="U1506" s="3" t="inlineStr">
        <is>
          <t>부정형</t>
        </is>
      </c>
      <c r="V1506" s="3" t="inlineStr">
        <is>
          <t>소로한면</t>
        </is>
      </c>
    </row>
    <row r="1507">
      <c r="A1507" s="3" t="inlineStr">
        <is>
          <t>조치원읍 번암리 96-2</t>
        </is>
      </c>
      <c r="B1507" s="3" t="inlineStr">
        <is>
          <t>제2종일반주거지역</t>
        </is>
      </c>
      <c r="C1507" s="3" t="inlineStr">
        <is>
          <t>전</t>
        </is>
      </c>
      <c r="D1507" s="3" t="inlineStr">
        <is>
          <t>전</t>
        </is>
      </c>
      <c r="E1507" s="3" t="inlineStr">
        <is>
          <t>매매</t>
        </is>
      </c>
      <c r="F1507" s="4" t="n">
        <v>180000</v>
      </c>
      <c r="G1507" s="4" t="n">
        <v>943</v>
      </c>
      <c r="H1507" s="4" t="n">
        <v>285</v>
      </c>
      <c r="I1507" s="5" t="n">
        <v>631.6</v>
      </c>
      <c r="J1507" s="5" t="n">
        <v>222.5</v>
      </c>
      <c r="K1507" s="3" t="inlineStr">
        <is>
          <t>도시지역내 2종일반주거지역 토지</t>
        </is>
      </c>
      <c r="L1507" s="6">
        <f>HYPERLINK("https://fin.land.naver.com/articles/2650856620", "매물Link")</f>
        <v/>
      </c>
      <c r="M1507" s="6">
        <f>HYPERLINK("https://map.naver.com/p/search/조치원읍 번암리 96-2", "지도Link")</f>
        <v/>
      </c>
      <c r="N1507" s="6">
        <f>HYPERLINK("http://www.eum.go.kr/web/ar/lu/luLandDet.jsp?pnu=3611025031100960002&amp;isNoScr=script&amp;mode=search", "토지이음")</f>
        <v/>
      </c>
      <c r="O1507" s="3" t="inlineStr">
        <is>
          <t>세종대박</t>
        </is>
      </c>
      <c r="P1507" s="4" t="n">
        <v>1</v>
      </c>
      <c r="Q1507" s="4" t="n">
        <v>943</v>
      </c>
      <c r="R1507" s="3" t="inlineStr">
        <is>
          <t>지정되지않음</t>
        </is>
      </c>
      <c r="S1507" s="3" t="inlineStr">
        <is>
          <t>전</t>
        </is>
      </c>
      <c r="T1507" s="3" t="inlineStr">
        <is>
          <t>평지</t>
        </is>
      </c>
      <c r="U1507" s="3" t="inlineStr">
        <is>
          <t>부정형</t>
        </is>
      </c>
      <c r="V1507" s="3" t="inlineStr">
        <is>
          <t>중로한면</t>
        </is>
      </c>
    </row>
    <row r="1508">
      <c r="A1508" s="3" t="inlineStr">
        <is>
          <t>조치원읍 봉산리 108-1</t>
        </is>
      </c>
      <c r="B1508" s="3" t="inlineStr">
        <is>
          <t>자연녹지지역</t>
        </is>
      </c>
      <c r="C1508" s="3" t="inlineStr">
        <is>
          <t>전</t>
        </is>
      </c>
      <c r="D1508" s="3" t="inlineStr">
        <is>
          <t>전</t>
        </is>
      </c>
      <c r="E1508" s="3" t="inlineStr">
        <is>
          <t>매매</t>
        </is>
      </c>
      <c r="F1508" s="4" t="n">
        <v>245000</v>
      </c>
      <c r="G1508" s="4" t="n">
        <v>2188</v>
      </c>
      <c r="H1508" s="4" t="n">
        <v>662</v>
      </c>
      <c r="I1508" s="5" t="n">
        <v>370.1</v>
      </c>
      <c r="J1508" s="5" t="n">
        <v>153.9</v>
      </c>
      <c r="K1508" s="3" t="inlineStr">
        <is>
          <t>추천. 조치원 근생용지 추천</t>
        </is>
      </c>
      <c r="L1508" s="6">
        <f>HYPERLINK("https://fin.land.naver.com/articles/2651923205", "매물Link")</f>
        <v/>
      </c>
      <c r="M1508" s="6">
        <f>HYPERLINK("https://map.naver.com/p/search/조치원읍 봉산리 108-1", "지도Link")</f>
        <v/>
      </c>
      <c r="N1508" s="6">
        <f>HYPERLINK("http://www.eum.go.kr/web/ar/lu/luLandDet.jsp?pnu=3611025033101080001&amp;isNoScr=script&amp;mode=search", "토지이음")</f>
        <v/>
      </c>
      <c r="O1508" s="3" t="inlineStr">
        <is>
          <t>강아지풀</t>
        </is>
      </c>
      <c r="P1508" s="4" t="n">
        <v>1</v>
      </c>
      <c r="Q1508" s="4" t="n">
        <v>2188</v>
      </c>
      <c r="R1508" s="3" t="inlineStr">
        <is>
          <t>지정되지않음</t>
        </is>
      </c>
      <c r="S1508" s="3" t="inlineStr">
        <is>
          <t>답</t>
        </is>
      </c>
      <c r="T1508" s="3" t="inlineStr">
        <is>
          <t>평지</t>
        </is>
      </c>
      <c r="U1508" s="3" t="inlineStr">
        <is>
          <t>부정형</t>
        </is>
      </c>
      <c r="V1508" s="3" t="inlineStr">
        <is>
          <t>소로한면</t>
        </is>
      </c>
    </row>
    <row r="1509">
      <c r="A1509" s="3" t="inlineStr">
        <is>
          <t>조치원읍 봉산리 171-3</t>
        </is>
      </c>
      <c r="B1509" s="3" t="inlineStr">
        <is>
          <t>자연녹지지역</t>
        </is>
      </c>
      <c r="C1509" s="3" t="inlineStr">
        <is>
          <t>답</t>
        </is>
      </c>
      <c r="D1509" s="3" t="inlineStr">
        <is>
          <t>답</t>
        </is>
      </c>
      <c r="E1509" s="3" t="inlineStr">
        <is>
          <t>매매</t>
        </is>
      </c>
      <c r="F1509" s="4" t="n">
        <v>210000</v>
      </c>
      <c r="G1509" s="4" t="n">
        <v>2313</v>
      </c>
      <c r="H1509" s="4" t="n">
        <v>700</v>
      </c>
      <c r="I1509" s="5" t="n">
        <v>300</v>
      </c>
      <c r="J1509" s="5" t="n">
        <v>129.9</v>
      </c>
      <c r="K1509" s="3" t="inlineStr">
        <is>
          <t>세종시 조치원 도심 700,  중로접 토지, 코너위치, 투자 1순위</t>
        </is>
      </c>
      <c r="L1509" s="6">
        <f>HYPERLINK("https://fin.land.naver.com/articles/2650315346", "매물Link")</f>
        <v/>
      </c>
      <c r="M1509" s="6">
        <f>HYPERLINK("https://map.naver.com/p/search/조치원읍 봉산리 171-3", "지도Link")</f>
        <v/>
      </c>
      <c r="N1509" s="6">
        <f>HYPERLINK("http://www.eum.go.kr/web/ar/lu/luLandDet.jsp?pnu=3611025033101710003&amp;isNoScr=script&amp;mode=search", "토지이음")</f>
        <v/>
      </c>
      <c r="O1509" s="3" t="inlineStr">
        <is>
          <t>세종공감</t>
        </is>
      </c>
      <c r="P1509" s="4" t="n">
        <v>1</v>
      </c>
      <c r="Q1509" s="4" t="n">
        <v>2313</v>
      </c>
      <c r="R1509" s="3" t="inlineStr">
        <is>
          <t>지정되지않음</t>
        </is>
      </c>
      <c r="S1509" s="3" t="inlineStr">
        <is>
          <t>답</t>
        </is>
      </c>
      <c r="T1509" s="3" t="inlineStr">
        <is>
          <t>평지</t>
        </is>
      </c>
      <c r="U1509" s="3" t="inlineStr">
        <is>
          <t>사다리형</t>
        </is>
      </c>
      <c r="V1509" s="3" t="inlineStr">
        <is>
          <t>중로각지</t>
        </is>
      </c>
    </row>
    <row r="1510">
      <c r="A1510" s="3" t="inlineStr">
        <is>
          <t>조치원읍 봉산리 224</t>
        </is>
      </c>
      <c r="B1510" s="3" t="inlineStr">
        <is>
          <t>자연녹지지역</t>
        </is>
      </c>
      <c r="C1510" s="3" t="inlineStr">
        <is>
          <t>전</t>
        </is>
      </c>
      <c r="D1510" s="3" t="inlineStr">
        <is>
          <t>전</t>
        </is>
      </c>
      <c r="E1510" s="3" t="inlineStr">
        <is>
          <t>매매</t>
        </is>
      </c>
      <c r="F1510" s="4" t="n">
        <v>70000</v>
      </c>
      <c r="G1510" s="4" t="n">
        <v>1756</v>
      </c>
      <c r="H1510" s="4" t="n">
        <v>531</v>
      </c>
      <c r="I1510" s="5" t="n">
        <v>131.8</v>
      </c>
      <c r="J1510" s="5" t="n">
        <v>70.90000000000001</v>
      </c>
      <c r="K1510" s="3" t="inlineStr">
        <is>
          <t>위치가 곧 미래입니다 가격 협상 빠르게 해 주신데요</t>
        </is>
      </c>
      <c r="L1510" s="6">
        <f>HYPERLINK("https://fin.land.naver.com/articles/2654324247", "매물Link")</f>
        <v/>
      </c>
      <c r="M1510" s="6">
        <f>HYPERLINK("https://map.naver.com/p/search/조치원읍 봉산리 224", "지도Link")</f>
        <v/>
      </c>
      <c r="N1510" s="6">
        <f>HYPERLINK("http://www.eum.go.kr/web/ar/lu/luLandDet.jsp?pnu=3611025033102240000&amp;isNoScr=script&amp;mode=search", "토지이음")</f>
        <v/>
      </c>
      <c r="O1510" s="3" t="inlineStr">
        <is>
          <t>세종시삼성래미안</t>
        </is>
      </c>
      <c r="P1510" s="4" t="n">
        <v>1</v>
      </c>
      <c r="Q1510" s="4" t="n">
        <v>1756</v>
      </c>
      <c r="R1510" s="3" t="inlineStr">
        <is>
          <t>지정되지않음</t>
        </is>
      </c>
      <c r="S1510" s="3" t="inlineStr">
        <is>
          <t>전기타</t>
        </is>
      </c>
      <c r="T1510" s="3" t="inlineStr">
        <is>
          <t>완경사</t>
        </is>
      </c>
      <c r="U1510" s="3" t="inlineStr">
        <is>
          <t>부정형</t>
        </is>
      </c>
      <c r="V1510" s="3" t="inlineStr">
        <is>
          <t>세로한면(가)</t>
        </is>
      </c>
    </row>
    <row r="1511">
      <c r="A1511" s="3" t="inlineStr">
        <is>
          <t>조치원읍 봉산리 262-5</t>
        </is>
      </c>
      <c r="B1511" s="3" t="inlineStr">
        <is>
          <t>자연녹지지역</t>
        </is>
      </c>
      <c r="C1511" s="3" t="inlineStr">
        <is>
          <t>답</t>
        </is>
      </c>
      <c r="D1511" s="3" t="inlineStr">
        <is>
          <t>답</t>
        </is>
      </c>
      <c r="E1511" s="3" t="inlineStr">
        <is>
          <t>매매</t>
        </is>
      </c>
      <c r="F1511" s="4" t="n">
        <v>50000</v>
      </c>
      <c r="G1511" s="4" t="n">
        <v>760</v>
      </c>
      <c r="H1511" s="4" t="n">
        <v>230</v>
      </c>
      <c r="I1511" s="5" t="n">
        <v>217.4</v>
      </c>
      <c r="J1511" s="5" t="n">
        <v>95.5</v>
      </c>
      <c r="K1511" s="3" t="inlineStr">
        <is>
          <t>투자가치가 높은 세종시 조치원읍 봉산리 토지매매</t>
        </is>
      </c>
      <c r="L1511" s="6">
        <f>HYPERLINK("https://fin.land.naver.com/articles/2653218031", "매물Link")</f>
        <v/>
      </c>
      <c r="M1511" s="6">
        <f>HYPERLINK("https://map.naver.com/p/search/조치원읍 봉산리 262-5", "지도Link")</f>
        <v/>
      </c>
      <c r="N1511" s="6">
        <f>HYPERLINK("http://www.eum.go.kr/web/ar/lu/luLandDet.jsp?pnu=3611025033102620005&amp;isNoScr=script&amp;mode=search", "토지이음")</f>
        <v/>
      </c>
      <c r="O1511" s="3" t="inlineStr">
        <is>
          <t>비전</t>
        </is>
      </c>
      <c r="P1511" s="4" t="n">
        <v>1</v>
      </c>
      <c r="Q1511" s="4" t="n">
        <v>760</v>
      </c>
      <c r="R1511" s="3" t="inlineStr">
        <is>
          <t>지정되지않음</t>
        </is>
      </c>
      <c r="S1511" s="3" t="inlineStr">
        <is>
          <t>답</t>
        </is>
      </c>
      <c r="T1511" s="3" t="inlineStr">
        <is>
          <t>평지</t>
        </is>
      </c>
      <c r="U1511" s="3" t="inlineStr">
        <is>
          <t>부정형</t>
        </is>
      </c>
      <c r="V1511" s="3" t="inlineStr">
        <is>
          <t>소로각지</t>
        </is>
      </c>
    </row>
    <row r="1512">
      <c r="A1512" s="3" t="inlineStr">
        <is>
          <t>조치원읍 봉산리 270-2</t>
        </is>
      </c>
      <c r="B1512" s="3" t="inlineStr">
        <is>
          <t>자연녹지지역</t>
        </is>
      </c>
      <c r="C1512" s="3" t="inlineStr">
        <is>
          <t>대</t>
        </is>
      </c>
      <c r="D1512" s="3" t="inlineStr">
        <is>
          <t>대</t>
        </is>
      </c>
      <c r="E1512" s="3" t="inlineStr">
        <is>
          <t>매매</t>
        </is>
      </c>
      <c r="F1512" s="4" t="n">
        <v>110000</v>
      </c>
      <c r="G1512" s="4" t="n">
        <v>774</v>
      </c>
      <c r="H1512" s="4" t="n">
        <v>234</v>
      </c>
      <c r="I1512" s="5" t="n">
        <v>470.1</v>
      </c>
      <c r="J1512" s="5" t="n">
        <v>169.9</v>
      </c>
      <c r="K1512" s="3" t="inlineStr">
        <is>
          <t>가격협의가능,2차선도로접, 개발호재지역근접, 투자용추천</t>
        </is>
      </c>
      <c r="L1512" s="6">
        <f>HYPERLINK("https://fin.land.naver.com/articles/2653555232", "매물Link")</f>
        <v/>
      </c>
      <c r="M1512" s="6">
        <f>HYPERLINK("https://map.naver.com/p/search/조치원읍 봉산리 270-2", "지도Link")</f>
        <v/>
      </c>
      <c r="N1512" s="6">
        <f>HYPERLINK("http://www.eum.go.kr/web/ar/lu/luLandDet.jsp?pnu=3611025033102700002&amp;isNoScr=script&amp;mode=search", "토지이음")</f>
        <v/>
      </c>
      <c r="O1512" s="3" t="inlineStr">
        <is>
          <t>현대아이파크</t>
        </is>
      </c>
      <c r="P1512" s="4" t="n">
        <v>1</v>
      </c>
      <c r="Q1512" s="4" t="n">
        <v>774</v>
      </c>
      <c r="R1512" s="3" t="inlineStr">
        <is>
          <t>지정되지않음</t>
        </is>
      </c>
      <c r="S1512" s="3" t="inlineStr">
        <is>
          <t>주거기타</t>
        </is>
      </c>
      <c r="T1512" s="3" t="inlineStr">
        <is>
          <t>평지</t>
        </is>
      </c>
      <c r="U1512" s="3" t="inlineStr">
        <is>
          <t>부정형</t>
        </is>
      </c>
      <c r="V1512" s="3" t="inlineStr">
        <is>
          <t>소로각지</t>
        </is>
      </c>
    </row>
    <row r="1513">
      <c r="A1513" s="3" t="inlineStr">
        <is>
          <t>조치원읍 봉산리 273</t>
        </is>
      </c>
      <c r="B1513" s="3" t="inlineStr">
        <is>
          <t>계획관리지역</t>
        </is>
      </c>
      <c r="C1513" s="3" t="inlineStr">
        <is>
          <t>전</t>
        </is>
      </c>
      <c r="D1513" s="3" t="inlineStr">
        <is>
          <t>전</t>
        </is>
      </c>
      <c r="E1513" s="3" t="inlineStr">
        <is>
          <t>매매</t>
        </is>
      </c>
      <c r="F1513" s="4" t="n">
        <v>76000</v>
      </c>
      <c r="G1513" s="4" t="n">
        <v>1009</v>
      </c>
      <c r="H1513" s="4" t="n">
        <v>305</v>
      </c>
      <c r="I1513" s="5" t="n">
        <v>249.2</v>
      </c>
      <c r="J1513" s="5" t="n">
        <v>75.8</v>
      </c>
      <c r="K1513" s="3" t="inlineStr"/>
      <c r="L1513" s="6">
        <f>HYPERLINK("https://fin.land.naver.com/articles/2650829738", "매물Link")</f>
        <v/>
      </c>
      <c r="M1513" s="6">
        <f>HYPERLINK("https://map.naver.com/p/search/조치원읍 봉산리 273", "지도Link")</f>
        <v/>
      </c>
      <c r="N1513" s="6">
        <f>HYPERLINK("http://www.eum.go.kr/web/ar/lu/luLandDet.jsp?pnu=3611025033102730000&amp;isNoScr=script&amp;mode=search", "토지이음")</f>
        <v/>
      </c>
      <c r="O1513" s="3" t="inlineStr">
        <is>
          <t>세종지평</t>
        </is>
      </c>
      <c r="P1513" s="4" t="n">
        <v>1</v>
      </c>
      <c r="Q1513" s="4" t="n">
        <v>1010</v>
      </c>
      <c r="R1513" s="3" t="inlineStr">
        <is>
          <t>자연녹지지역</t>
        </is>
      </c>
      <c r="S1513" s="3" t="inlineStr">
        <is>
          <t>전</t>
        </is>
      </c>
      <c r="T1513" s="3" t="inlineStr">
        <is>
          <t>평지</t>
        </is>
      </c>
      <c r="U1513" s="3" t="inlineStr">
        <is>
          <t>부정형</t>
        </is>
      </c>
      <c r="V1513" s="3" t="inlineStr">
        <is>
          <t>소로한면</t>
        </is>
      </c>
    </row>
    <row r="1514">
      <c r="A1514" s="3" t="inlineStr">
        <is>
          <t>조치원읍 봉산리 273-2</t>
        </is>
      </c>
      <c r="B1514" s="3" t="inlineStr">
        <is>
          <t>계획관리지역</t>
        </is>
      </c>
      <c r="C1514" s="3" t="inlineStr">
        <is>
          <t>답</t>
        </is>
      </c>
      <c r="D1514" s="3" t="inlineStr">
        <is>
          <t>답</t>
        </is>
      </c>
      <c r="E1514" s="3" t="inlineStr">
        <is>
          <t>매매</t>
        </is>
      </c>
      <c r="F1514" s="4" t="n">
        <v>180000</v>
      </c>
      <c r="G1514" s="4" t="n">
        <v>1949</v>
      </c>
      <c r="H1514" s="4" t="n">
        <v>590</v>
      </c>
      <c r="I1514" s="5" t="n">
        <v>305.1</v>
      </c>
      <c r="J1514" s="5" t="n">
        <v>74.40000000000001</v>
      </c>
      <c r="K1514" s="3" t="inlineStr">
        <is>
          <t>봉산리  귀한 계획관리지역  2차선도로 접.토지거래허가구역. 투자추천매물</t>
        </is>
      </c>
      <c r="L1514" s="6">
        <f>HYPERLINK("https://fin.land.naver.com/articles/2652950737", "매물Link")</f>
        <v/>
      </c>
      <c r="M1514" s="6">
        <f>HYPERLINK("https://map.naver.com/p/search/조치원읍 봉산리 273-2", "지도Link")</f>
        <v/>
      </c>
      <c r="N1514" s="6">
        <f>HYPERLINK("http://www.eum.go.kr/web/ar/lu/luLandDet.jsp?pnu=3611025033102730002&amp;isNoScr=script&amp;mode=search", "토지이음")</f>
        <v/>
      </c>
      <c r="O1514" s="3" t="inlineStr">
        <is>
          <t>세종보물</t>
        </is>
      </c>
      <c r="P1514" s="4" t="n">
        <v>1</v>
      </c>
      <c r="Q1514" s="4" t="n">
        <v>1949</v>
      </c>
      <c r="R1514" s="3" t="inlineStr">
        <is>
          <t>지정되지않음</t>
        </is>
      </c>
      <c r="S1514" s="3" t="inlineStr">
        <is>
          <t>답</t>
        </is>
      </c>
      <c r="T1514" s="3" t="inlineStr">
        <is>
          <t>평지</t>
        </is>
      </c>
      <c r="U1514" s="3" t="inlineStr">
        <is>
          <t>부정형</t>
        </is>
      </c>
      <c r="V1514" s="3" t="inlineStr">
        <is>
          <t>소로한면</t>
        </is>
      </c>
    </row>
    <row r="1515">
      <c r="A1515" s="3" t="inlineStr">
        <is>
          <t>조치원읍 봉산리 365</t>
        </is>
      </c>
      <c r="B1515" s="3" t="inlineStr">
        <is>
          <t>준주거지역</t>
        </is>
      </c>
      <c r="C1515" s="3" t="inlineStr">
        <is>
          <t>대</t>
        </is>
      </c>
      <c r="D1515" s="3" t="inlineStr">
        <is>
          <t>대</t>
        </is>
      </c>
      <c r="E1515" s="3" t="inlineStr">
        <is>
          <t>매매</t>
        </is>
      </c>
      <c r="F1515" s="4" t="n">
        <v>1300000</v>
      </c>
      <c r="G1515" s="4" t="n">
        <v>4444</v>
      </c>
      <c r="H1515" s="4" t="n">
        <v>1344</v>
      </c>
      <c r="I1515" s="5" t="n">
        <v>967.3</v>
      </c>
      <c r="J1515" s="5" t="n">
        <v>256</v>
      </c>
      <c r="K1515" s="3" t="inlineStr">
        <is>
          <t>최고의 입지조건 토지 입니다.</t>
        </is>
      </c>
      <c r="L1515" s="6">
        <f>HYPERLINK("https://fin.land.naver.com/articles/2654394177", "매물Link")</f>
        <v/>
      </c>
      <c r="M1515" s="6">
        <f>HYPERLINK("https://map.naver.com/p/search/조치원읍 봉산리 365", "지도Link")</f>
        <v/>
      </c>
      <c r="N1515" s="6">
        <f>HYPERLINK("http://www.eum.go.kr/web/ar/lu/luLandDet.jsp?pnu=3611025033103650000&amp;isNoScr=script&amp;mode=search", "토지이음")</f>
        <v/>
      </c>
      <c r="O1515" s="3" t="inlineStr">
        <is>
          <t>척척</t>
        </is>
      </c>
      <c r="P1515" s="4" t="n">
        <v>1</v>
      </c>
      <c r="Q1515" s="4" t="n">
        <v>4444</v>
      </c>
      <c r="R1515" s="3" t="inlineStr">
        <is>
          <t>지정되지않음</t>
        </is>
      </c>
      <c r="S1515" s="3" t="inlineStr">
        <is>
          <t>상업나지</t>
        </is>
      </c>
      <c r="T1515" s="3" t="inlineStr">
        <is>
          <t>평지</t>
        </is>
      </c>
      <c r="U1515" s="3" t="inlineStr">
        <is>
          <t>사다리형</t>
        </is>
      </c>
      <c r="V1515" s="3" t="inlineStr">
        <is>
          <t>중로각지</t>
        </is>
      </c>
    </row>
    <row r="1516">
      <c r="A1516" s="3" t="inlineStr">
        <is>
          <t>조치원읍 봉산리 393</t>
        </is>
      </c>
      <c r="B1516" s="3" t="inlineStr">
        <is>
          <t>준주거지역</t>
        </is>
      </c>
      <c r="C1516" s="3" t="inlineStr">
        <is>
          <t>대</t>
        </is>
      </c>
      <c r="D1516" s="3" t="inlineStr">
        <is>
          <t>대</t>
        </is>
      </c>
      <c r="E1516" s="3" t="inlineStr">
        <is>
          <t>매매</t>
        </is>
      </c>
      <c r="F1516" s="4" t="n">
        <v>450000</v>
      </c>
      <c r="G1516" s="4" t="n">
        <v>828</v>
      </c>
      <c r="H1516" s="4" t="n">
        <v>250</v>
      </c>
      <c r="I1516" s="5" t="n">
        <v>1800</v>
      </c>
      <c r="J1516" s="5" t="n">
        <v>274.4</v>
      </c>
      <c r="K1516" s="3" t="inlineStr">
        <is>
          <t>조치원 서북부지구 아파트 앞 중심상권 토지</t>
        </is>
      </c>
      <c r="L1516" s="6">
        <f>HYPERLINK("https://fin.land.naver.com/articles/2650856619", "매물Link")</f>
        <v/>
      </c>
      <c r="M1516" s="6">
        <f>HYPERLINK("https://map.naver.com/p/search/조치원읍 봉산리 393", "지도Link")</f>
        <v/>
      </c>
      <c r="N1516" s="6">
        <f>HYPERLINK("http://www.eum.go.kr/web/ar/lu/luLandDet.jsp?pnu=3611025033103930000&amp;isNoScr=script&amp;mode=search", "토지이음")</f>
        <v/>
      </c>
      <c r="O1516" s="3" t="inlineStr">
        <is>
          <t>세종대박</t>
        </is>
      </c>
      <c r="P1516" s="4" t="n">
        <v>1</v>
      </c>
      <c r="Q1516" s="4" t="n">
        <v>828.7</v>
      </c>
      <c r="R1516" s="3" t="inlineStr">
        <is>
          <t>지정되지않음</t>
        </is>
      </c>
      <c r="S1516" s="3" t="inlineStr">
        <is>
          <t>상업나지</t>
        </is>
      </c>
      <c r="T1516" s="3" t="inlineStr">
        <is>
          <t>평지</t>
        </is>
      </c>
      <c r="U1516" s="3" t="inlineStr">
        <is>
          <t>가로장방</t>
        </is>
      </c>
      <c r="V1516" s="3" t="inlineStr">
        <is>
          <t>중로각지</t>
        </is>
      </c>
    </row>
    <row r="1517">
      <c r="A1517" s="3" t="inlineStr">
        <is>
          <t>조치원읍 봉산리 393</t>
        </is>
      </c>
      <c r="B1517" s="3" t="inlineStr">
        <is>
          <t>준주거지역</t>
        </is>
      </c>
      <c r="C1517" s="3" t="inlineStr">
        <is>
          <t>대</t>
        </is>
      </c>
      <c r="D1517" s="3" t="inlineStr">
        <is>
          <t>대</t>
        </is>
      </c>
      <c r="E1517" s="3" t="inlineStr">
        <is>
          <t>매매</t>
        </is>
      </c>
      <c r="F1517" s="4" t="n">
        <v>375000</v>
      </c>
      <c r="G1517" s="4" t="n">
        <v>828</v>
      </c>
      <c r="H1517" s="4" t="n">
        <v>250</v>
      </c>
      <c r="I1517" s="5" t="n">
        <v>1500</v>
      </c>
      <c r="J1517" s="5" t="n">
        <v>274.4</v>
      </c>
      <c r="K1517" s="3" t="inlineStr">
        <is>
          <t>준주거 대지</t>
        </is>
      </c>
      <c r="L1517" s="6">
        <f>HYPERLINK("https://fin.land.naver.com/articles/2649750743", "매물Link")</f>
        <v/>
      </c>
      <c r="M1517" s="6">
        <f>HYPERLINK("https://map.naver.com/p/search/조치원읍 봉산리 393", "지도Link")</f>
        <v/>
      </c>
      <c r="N1517" s="6">
        <f>HYPERLINK("http://www.eum.go.kr/web/ar/lu/luLandDet.jsp?pnu=3611025033103930000&amp;isNoScr=script&amp;mode=search", "토지이음")</f>
        <v/>
      </c>
      <c r="O1517" s="3" t="inlineStr">
        <is>
          <t>세종몽땅</t>
        </is>
      </c>
      <c r="P1517" s="4" t="n">
        <v>1</v>
      </c>
      <c r="Q1517" s="4" t="n">
        <v>828.7</v>
      </c>
      <c r="R1517" s="3" t="inlineStr">
        <is>
          <t>지정되지않음</t>
        </is>
      </c>
      <c r="S1517" s="3" t="inlineStr">
        <is>
          <t>상업나지</t>
        </is>
      </c>
      <c r="T1517" s="3" t="inlineStr">
        <is>
          <t>평지</t>
        </is>
      </c>
      <c r="U1517" s="3" t="inlineStr">
        <is>
          <t>가로장방</t>
        </is>
      </c>
      <c r="V1517" s="3" t="inlineStr">
        <is>
          <t>중로각지</t>
        </is>
      </c>
    </row>
    <row r="1518">
      <c r="A1518" s="3" t="inlineStr">
        <is>
          <t>조치원읍 봉산리 산20-15</t>
        </is>
      </c>
      <c r="B1518" s="3" t="inlineStr">
        <is>
          <t>보전녹지지역</t>
        </is>
      </c>
      <c r="C1518" s="3" t="inlineStr">
        <is>
          <t>임야</t>
        </is>
      </c>
      <c r="D1518" s="3" t="inlineStr">
        <is>
          <t>임야</t>
        </is>
      </c>
      <c r="E1518" s="3" t="inlineStr">
        <is>
          <t>매매</t>
        </is>
      </c>
      <c r="F1518" s="4" t="n">
        <v>16084</v>
      </c>
      <c r="G1518" s="4" t="n">
        <v>13291</v>
      </c>
      <c r="H1518" s="4" t="n">
        <v>4021</v>
      </c>
      <c r="I1518" s="5" t="n">
        <v>4</v>
      </c>
      <c r="J1518" s="5" t="n">
        <v>4.1</v>
      </c>
      <c r="K1518" s="3" t="inlineStr">
        <is>
          <t>길없어요 위치가 곧 미래입니다 가격 협상 빠르게 해 주신데요</t>
        </is>
      </c>
      <c r="L1518" s="6">
        <f>HYPERLINK("https://fin.land.naver.com/articles/2654205382", "매물Link")</f>
        <v/>
      </c>
      <c r="M1518" s="6">
        <f>HYPERLINK("https://map.naver.com/p/search/조치원읍 봉산리 산20-15", "지도Link")</f>
        <v/>
      </c>
      <c r="N1518" s="6">
        <f>HYPERLINK("http://www.eum.go.kr/web/ar/lu/luLandDet.jsp?pnu=3611025033200200015&amp;isNoScr=script&amp;mode=search", "토지이음")</f>
        <v/>
      </c>
      <c r="O1518" s="3" t="inlineStr">
        <is>
          <t>세종시삼성래미안</t>
        </is>
      </c>
      <c r="P1518" s="4" t="n">
        <v>2</v>
      </c>
      <c r="Q1518" s="4" t="n">
        <v>13291</v>
      </c>
      <c r="R1518" s="3" t="inlineStr">
        <is>
          <t>자연녹지지역</t>
        </is>
      </c>
      <c r="S1518" s="3" t="inlineStr">
        <is>
          <t>자연림</t>
        </is>
      </c>
      <c r="T1518" s="3" t="inlineStr">
        <is>
          <t>급경사</t>
        </is>
      </c>
      <c r="U1518" s="3" t="inlineStr">
        <is>
          <t>부정형</t>
        </is>
      </c>
      <c r="V1518" s="3" t="inlineStr">
        <is>
          <t>맹지</t>
        </is>
      </c>
    </row>
    <row r="1519">
      <c r="A1519" s="3" t="inlineStr">
        <is>
          <t>조치원읍 상리 98</t>
        </is>
      </c>
      <c r="B1519" s="3" t="inlineStr">
        <is>
          <t>일반상업지역</t>
        </is>
      </c>
      <c r="C1519" s="3" t="inlineStr">
        <is>
          <t>대</t>
        </is>
      </c>
      <c r="D1519" s="3" t="inlineStr">
        <is>
          <t>대</t>
        </is>
      </c>
      <c r="E1519" s="3" t="inlineStr">
        <is>
          <t>매매</t>
        </is>
      </c>
      <c r="F1519" s="4" t="n">
        <v>90000</v>
      </c>
      <c r="G1519" s="4" t="n">
        <v>427</v>
      </c>
      <c r="H1519" s="4" t="n">
        <v>129</v>
      </c>
      <c r="I1519" s="5" t="n">
        <v>697.7</v>
      </c>
      <c r="J1519" s="5" t="n">
        <v>478</v>
      </c>
      <c r="K1519" s="3" t="inlineStr">
        <is>
          <t>조치원 버스터미널 인접 도로접 일반상업지역 9억대 나대지</t>
        </is>
      </c>
      <c r="L1519" s="6">
        <f>HYPERLINK("https://fin.land.naver.com/articles/2649751054", "매물Link")</f>
        <v/>
      </c>
      <c r="M1519" s="6">
        <f>HYPERLINK("https://map.naver.com/p/search/조치원읍 상리 98", "지도Link")</f>
        <v/>
      </c>
      <c r="N1519" s="6">
        <f>HYPERLINK("http://www.eum.go.kr/web/ar/lu/luLandDet.jsp?pnu=3611025022100980000&amp;isNoScr=script&amp;mode=search", "토지이음")</f>
        <v/>
      </c>
      <c r="O1519" s="3" t="inlineStr">
        <is>
          <t>세종소담황금</t>
        </is>
      </c>
      <c r="P1519" s="4" t="n">
        <v>1</v>
      </c>
      <c r="Q1519" s="4" t="n">
        <v>427</v>
      </c>
      <c r="R1519" s="3" t="inlineStr">
        <is>
          <t>지정되지않음</t>
        </is>
      </c>
      <c r="S1519" s="3" t="inlineStr">
        <is>
          <t>주상나지</t>
        </is>
      </c>
      <c r="T1519" s="3" t="inlineStr">
        <is>
          <t>평지</t>
        </is>
      </c>
      <c r="U1519" s="3" t="inlineStr">
        <is>
          <t>부정형</t>
        </is>
      </c>
      <c r="V1519" s="3" t="inlineStr">
        <is>
          <t>소로한면</t>
        </is>
      </c>
    </row>
    <row r="1520">
      <c r="A1520" s="3" t="inlineStr">
        <is>
          <t>조치원읍 상리 98</t>
        </is>
      </c>
      <c r="B1520" s="3" t="inlineStr">
        <is>
          <t>일반상업지역</t>
        </is>
      </c>
      <c r="C1520" s="3" t="inlineStr">
        <is>
          <t>대</t>
        </is>
      </c>
      <c r="D1520" s="3" t="inlineStr">
        <is>
          <t>대</t>
        </is>
      </c>
      <c r="E1520" s="3" t="inlineStr">
        <is>
          <t>매매</t>
        </is>
      </c>
      <c r="F1520" s="4" t="n">
        <v>90000</v>
      </c>
      <c r="G1520" s="4" t="n">
        <v>427</v>
      </c>
      <c r="H1520" s="4" t="n">
        <v>129</v>
      </c>
      <c r="I1520" s="5" t="n">
        <v>697.7</v>
      </c>
      <c r="J1520" s="5" t="n">
        <v>478</v>
      </c>
      <c r="K1520" s="3" t="inlineStr">
        <is>
          <t>조치원 버스터미널 바로 옆 일반상업지역 위치 최고 대지 매매</t>
        </is>
      </c>
      <c r="L1520" s="6">
        <f>HYPERLINK("https://fin.land.naver.com/articles/2650923519", "매물Link")</f>
        <v/>
      </c>
      <c r="M1520" s="6">
        <f>HYPERLINK("https://map.naver.com/p/search/조치원읍 상리 98", "지도Link")</f>
        <v/>
      </c>
      <c r="N1520" s="6">
        <f>HYPERLINK("http://www.eum.go.kr/web/ar/lu/luLandDet.jsp?pnu=3611025022100980000&amp;isNoScr=script&amp;mode=search", "토지이음")</f>
        <v/>
      </c>
      <c r="O1520" s="3" t="inlineStr">
        <is>
          <t>나침반</t>
        </is>
      </c>
      <c r="P1520" s="4" t="n">
        <v>1</v>
      </c>
      <c r="Q1520" s="4" t="n">
        <v>427</v>
      </c>
      <c r="R1520" s="3" t="inlineStr">
        <is>
          <t>지정되지않음</t>
        </is>
      </c>
      <c r="S1520" s="3" t="inlineStr">
        <is>
          <t>주상나지</t>
        </is>
      </c>
      <c r="T1520" s="3" t="inlineStr">
        <is>
          <t>평지</t>
        </is>
      </c>
      <c r="U1520" s="3" t="inlineStr">
        <is>
          <t>부정형</t>
        </is>
      </c>
      <c r="V1520" s="3" t="inlineStr">
        <is>
          <t>소로한면</t>
        </is>
      </c>
    </row>
    <row r="1521">
      <c r="A1521" s="3" t="inlineStr">
        <is>
          <t>조치원읍 상리 98</t>
        </is>
      </c>
      <c r="B1521" s="3" t="inlineStr">
        <is>
          <t>일반상업지역</t>
        </is>
      </c>
      <c r="C1521" s="3" t="inlineStr">
        <is>
          <t>대</t>
        </is>
      </c>
      <c r="D1521" s="3" t="inlineStr">
        <is>
          <t>대</t>
        </is>
      </c>
      <c r="E1521" s="3" t="inlineStr">
        <is>
          <t>매매</t>
        </is>
      </c>
      <c r="F1521" s="4" t="n">
        <v>90000</v>
      </c>
      <c r="G1521" s="4" t="n">
        <v>427</v>
      </c>
      <c r="H1521" s="4" t="n">
        <v>129</v>
      </c>
      <c r="I1521" s="5" t="n">
        <v>697.7</v>
      </c>
      <c r="J1521" s="5" t="n">
        <v>478</v>
      </c>
      <c r="K1521" s="3" t="inlineStr">
        <is>
          <t>상리 일반상업지역 매매 대지 입니다</t>
        </is>
      </c>
      <c r="L1521" s="6">
        <f>HYPERLINK("https://fin.land.naver.com/articles/2653068453", "매물Link")</f>
        <v/>
      </c>
      <c r="M1521" s="6">
        <f>HYPERLINK("https://map.naver.com/p/search/조치원읍 상리 98", "지도Link")</f>
        <v/>
      </c>
      <c r="N1521" s="6">
        <f>HYPERLINK("http://www.eum.go.kr/web/ar/lu/luLandDet.jsp?pnu=3611025022100980000&amp;isNoScr=script&amp;mode=search", "토지이음")</f>
        <v/>
      </c>
      <c r="O1521" s="3" t="inlineStr">
        <is>
          <t>상희</t>
        </is>
      </c>
      <c r="P1521" s="4" t="n">
        <v>1</v>
      </c>
      <c r="Q1521" s="4" t="n">
        <v>427</v>
      </c>
      <c r="R1521" s="3" t="inlineStr">
        <is>
          <t>지정되지않음</t>
        </is>
      </c>
      <c r="S1521" s="3" t="inlineStr">
        <is>
          <t>주상나지</t>
        </is>
      </c>
      <c r="T1521" s="3" t="inlineStr">
        <is>
          <t>평지</t>
        </is>
      </c>
      <c r="U1521" s="3" t="inlineStr">
        <is>
          <t>부정형</t>
        </is>
      </c>
      <c r="V1521" s="3" t="inlineStr">
        <is>
          <t>소로한면</t>
        </is>
      </c>
    </row>
    <row r="1522">
      <c r="A1522" s="3" t="inlineStr">
        <is>
          <t>조치원읍 서창리 106-4</t>
        </is>
      </c>
      <c r="B1522" s="3" t="inlineStr">
        <is>
          <t>제1종일반주거지역</t>
        </is>
      </c>
      <c r="C1522" s="3" t="inlineStr">
        <is>
          <t>대</t>
        </is>
      </c>
      <c r="D1522" s="3" t="inlineStr">
        <is>
          <t>대</t>
        </is>
      </c>
      <c r="E1522" s="3" t="inlineStr">
        <is>
          <t>매매</t>
        </is>
      </c>
      <c r="F1522" s="4" t="n">
        <v>60000</v>
      </c>
      <c r="G1522" s="4" t="n">
        <v>540</v>
      </c>
      <c r="H1522" s="4" t="n">
        <v>163</v>
      </c>
      <c r="I1522" s="5" t="n">
        <v>368.1</v>
      </c>
      <c r="J1522" s="5" t="n">
        <v>194.8</v>
      </c>
      <c r="K1522" s="3" t="inlineStr">
        <is>
          <t>카센타 세차장 등으로 활용하면 좋을 근생시설과 단독주택을 일괄매매합니다</t>
        </is>
      </c>
      <c r="L1522" s="6">
        <f>HYPERLINK("https://fin.land.naver.com/articles/2650939295", "매물Link")</f>
        <v/>
      </c>
      <c r="M1522" s="6">
        <f>HYPERLINK("https://map.naver.com/p/search/조치원읍 서창리 106-4", "지도Link")</f>
        <v/>
      </c>
      <c r="N1522" s="6">
        <f>HYPERLINK("http://www.eum.go.kr/web/ar/lu/luLandDet.jsp?pnu=3611025034101060004&amp;isNoScr=script&amp;mode=search", "토지이음")</f>
        <v/>
      </c>
      <c r="O1522" s="3" t="inlineStr">
        <is>
          <t>스마일세종</t>
        </is>
      </c>
      <c r="P1522" s="4" t="n">
        <v>1</v>
      </c>
      <c r="Q1522" s="4" t="n">
        <v>540.1</v>
      </c>
      <c r="R1522" s="3" t="inlineStr">
        <is>
          <t>지정되지않음</t>
        </is>
      </c>
      <c r="S1522" s="3" t="inlineStr">
        <is>
          <t>주상용</t>
        </is>
      </c>
      <c r="T1522" s="3" t="inlineStr">
        <is>
          <t>평지</t>
        </is>
      </c>
      <c r="U1522" s="3" t="inlineStr">
        <is>
          <t>사다리형</t>
        </is>
      </c>
      <c r="V1522" s="3" t="inlineStr">
        <is>
          <t>세로한면(가)</t>
        </is>
      </c>
    </row>
    <row r="1523">
      <c r="A1523" s="3" t="inlineStr">
        <is>
          <t>조치원읍 서창리 124-2</t>
        </is>
      </c>
      <c r="B1523" s="3" t="inlineStr">
        <is>
          <t>자연녹지지역</t>
        </is>
      </c>
      <c r="C1523" s="3" t="inlineStr">
        <is>
          <t>답</t>
        </is>
      </c>
      <c r="D1523" s="3" t="inlineStr">
        <is>
          <t>답</t>
        </is>
      </c>
      <c r="E1523" s="3" t="inlineStr">
        <is>
          <t>매매</t>
        </is>
      </c>
      <c r="F1523" s="4" t="n">
        <v>98700</v>
      </c>
      <c r="G1523" s="4" t="n">
        <v>1086</v>
      </c>
      <c r="H1523" s="4" t="n">
        <v>329</v>
      </c>
      <c r="I1523" s="5" t="n">
        <v>300</v>
      </c>
      <c r="J1523" s="5" t="n">
        <v>108</v>
      </c>
      <c r="K1523" s="3" t="inlineStr">
        <is>
          <t>도시지역.자연녹지지역.공공청사</t>
        </is>
      </c>
      <c r="L1523" s="6">
        <f>HYPERLINK("https://fin.land.naver.com/articles/2651200819", "매물Link")</f>
        <v/>
      </c>
      <c r="M1523" s="6">
        <f>HYPERLINK("https://map.naver.com/p/search/조치원읍 서창리 124-2", "지도Link")</f>
        <v/>
      </c>
      <c r="N1523" s="6">
        <f>HYPERLINK("http://www.eum.go.kr/web/ar/lu/luLandDet.jsp?pnu=3611025034101240002&amp;isNoScr=script&amp;mode=search", "토지이음")</f>
        <v/>
      </c>
      <c r="O1523" s="3" t="inlineStr">
        <is>
          <t>광주역포스코</t>
        </is>
      </c>
      <c r="P1523" s="4" t="n">
        <v>1</v>
      </c>
      <c r="Q1523" s="4" t="n">
        <v>1086</v>
      </c>
      <c r="R1523" s="3" t="inlineStr">
        <is>
          <t>지정되지않음</t>
        </is>
      </c>
      <c r="S1523" s="3" t="inlineStr">
        <is>
          <t>전</t>
        </is>
      </c>
      <c r="T1523" s="3" t="inlineStr">
        <is>
          <t>평지</t>
        </is>
      </c>
      <c r="U1523" s="3" t="inlineStr">
        <is>
          <t>부정형</t>
        </is>
      </c>
      <c r="V1523" s="3" t="inlineStr">
        <is>
          <t>중로각지</t>
        </is>
      </c>
    </row>
    <row r="1524">
      <c r="A1524" s="3" t="inlineStr">
        <is>
          <t>조치원읍 서창리 138-2</t>
        </is>
      </c>
      <c r="B1524" s="3" t="inlineStr">
        <is>
          <t>제2종일반주거지역</t>
        </is>
      </c>
      <c r="C1524" s="3" t="inlineStr">
        <is>
          <t>전</t>
        </is>
      </c>
      <c r="D1524" s="3" t="inlineStr">
        <is>
          <t>전</t>
        </is>
      </c>
      <c r="E1524" s="3" t="inlineStr">
        <is>
          <t>매매</t>
        </is>
      </c>
      <c r="F1524" s="4" t="n">
        <v>84960</v>
      </c>
      <c r="G1524" s="4" t="n">
        <v>620</v>
      </c>
      <c r="H1524" s="4" t="n">
        <v>188</v>
      </c>
      <c r="I1524" s="5" t="n">
        <v>451.9</v>
      </c>
      <c r="J1524" s="5" t="n">
        <v>178.5</v>
      </c>
      <c r="K1524" s="3" t="inlineStr">
        <is>
          <t>세종시 조치원읍 서창리 토지 급매 고려대,세종여고옆 제2종주거620㎡급매</t>
        </is>
      </c>
      <c r="L1524" s="6">
        <f>HYPERLINK("https://fin.land.naver.com/articles/2650379617", "매물Link")</f>
        <v/>
      </c>
      <c r="M1524" s="6">
        <f>HYPERLINK("https://map.naver.com/p/search/조치원읍 서창리 138-2", "지도Link")</f>
        <v/>
      </c>
      <c r="N1524" s="6">
        <f>HYPERLINK("http://www.eum.go.kr/web/ar/lu/luLandDet.jsp?pnu=3611025034101380002&amp;isNoScr=script&amp;mode=search", "토지이음")</f>
        <v/>
      </c>
      <c r="O1524" s="3" t="inlineStr">
        <is>
          <t>세종</t>
        </is>
      </c>
      <c r="P1524" s="4" t="n">
        <v>2</v>
      </c>
      <c r="Q1524" s="4" t="n">
        <v>289</v>
      </c>
      <c r="R1524" s="3" t="inlineStr">
        <is>
          <t>지정되지않음</t>
        </is>
      </c>
      <c r="S1524" s="3" t="inlineStr">
        <is>
          <t>전</t>
        </is>
      </c>
      <c r="T1524" s="3" t="inlineStr">
        <is>
          <t>평지</t>
        </is>
      </c>
      <c r="U1524" s="3" t="inlineStr">
        <is>
          <t>사다리형</t>
        </is>
      </c>
      <c r="V1524" s="3" t="inlineStr">
        <is>
          <t>소로한면</t>
        </is>
      </c>
    </row>
    <row r="1525">
      <c r="A1525" s="3" t="inlineStr">
        <is>
          <t>조치원읍 서창리 138-2</t>
        </is>
      </c>
      <c r="B1525" s="3" t="inlineStr">
        <is>
          <t>제2종일반주거지역</t>
        </is>
      </c>
      <c r="C1525" s="3" t="inlineStr">
        <is>
          <t>전</t>
        </is>
      </c>
      <c r="D1525" s="3" t="inlineStr">
        <is>
          <t>전</t>
        </is>
      </c>
      <c r="E1525" s="3" t="inlineStr">
        <is>
          <t>매매</t>
        </is>
      </c>
      <c r="F1525" s="4" t="n">
        <v>85000</v>
      </c>
      <c r="G1525" s="4" t="n">
        <v>620</v>
      </c>
      <c r="H1525" s="4" t="n">
        <v>188</v>
      </c>
      <c r="I1525" s="5" t="n">
        <v>452.1</v>
      </c>
      <c r="J1525" s="5" t="n">
        <v>178.5</v>
      </c>
      <c r="K1525" s="3" t="inlineStr">
        <is>
          <t>서창리 토지 매매</t>
        </is>
      </c>
      <c r="L1525" s="6">
        <f>HYPERLINK("https://fin.land.naver.com/articles/2654528622", "매물Link")</f>
        <v/>
      </c>
      <c r="M1525" s="6">
        <f>HYPERLINK("https://map.naver.com/p/search/조치원읍 서창리 138-2", "지도Link")</f>
        <v/>
      </c>
      <c r="N1525" s="6">
        <f>HYPERLINK("http://www.eum.go.kr/web/ar/lu/luLandDet.jsp?pnu=3611025034101380002&amp;isNoScr=script&amp;mode=search", "토지이음")</f>
        <v/>
      </c>
      <c r="O1525" s="3" t="inlineStr">
        <is>
          <t>김준희</t>
        </is>
      </c>
      <c r="P1525" s="4" t="n">
        <v>1</v>
      </c>
      <c r="Q1525" s="4" t="n">
        <v>289</v>
      </c>
      <c r="R1525" s="3" t="inlineStr">
        <is>
          <t>지정되지않음</t>
        </is>
      </c>
      <c r="S1525" s="3" t="inlineStr">
        <is>
          <t>전</t>
        </is>
      </c>
      <c r="T1525" s="3" t="inlineStr">
        <is>
          <t>평지</t>
        </is>
      </c>
      <c r="U1525" s="3" t="inlineStr">
        <is>
          <t>사다리형</t>
        </is>
      </c>
      <c r="V1525" s="3" t="inlineStr">
        <is>
          <t>소로한면</t>
        </is>
      </c>
    </row>
    <row r="1526">
      <c r="A1526" s="3" t="inlineStr">
        <is>
          <t>조치원읍 서창리 138-2</t>
        </is>
      </c>
      <c r="B1526" s="3" t="inlineStr">
        <is>
          <t>제2종일반주거지역</t>
        </is>
      </c>
      <c r="C1526" s="3" t="inlineStr">
        <is>
          <t>전</t>
        </is>
      </c>
      <c r="D1526" s="3" t="inlineStr">
        <is>
          <t>전</t>
        </is>
      </c>
      <c r="E1526" s="3" t="inlineStr">
        <is>
          <t>매매</t>
        </is>
      </c>
      <c r="F1526" s="4" t="n">
        <v>85000</v>
      </c>
      <c r="G1526" s="4" t="n">
        <v>620</v>
      </c>
      <c r="H1526" s="4" t="n">
        <v>188</v>
      </c>
      <c r="I1526" s="5" t="n">
        <v>452.1</v>
      </c>
      <c r="J1526" s="5" t="n">
        <v>178.5</v>
      </c>
      <c r="K1526" s="3" t="inlineStr">
        <is>
          <t>서창리 2종일반주거,2차선접 코너 나대지 토지 급매</t>
        </is>
      </c>
      <c r="L1526" s="6">
        <f>HYPERLINK("https://fin.land.naver.com/articles/2649393495", "매물Link")</f>
        <v/>
      </c>
      <c r="M1526" s="6">
        <f>HYPERLINK("https://map.naver.com/p/search/조치원읍 서창리 138-2", "지도Link")</f>
        <v/>
      </c>
      <c r="N1526" s="6">
        <f>HYPERLINK("http://www.eum.go.kr/web/ar/lu/luLandDet.jsp?pnu=3611025034101380002&amp;isNoScr=script&amp;mode=search", "토지이음")</f>
        <v/>
      </c>
      <c r="O1526" s="3" t="inlineStr">
        <is>
          <t>광장</t>
        </is>
      </c>
      <c r="P1526" s="4" t="n">
        <v>2</v>
      </c>
      <c r="Q1526" s="4" t="n">
        <v>289</v>
      </c>
      <c r="R1526" s="3" t="inlineStr">
        <is>
          <t>지정되지않음</t>
        </is>
      </c>
      <c r="S1526" s="3" t="inlineStr">
        <is>
          <t>전</t>
        </is>
      </c>
      <c r="T1526" s="3" t="inlineStr">
        <is>
          <t>평지</t>
        </is>
      </c>
      <c r="U1526" s="3" t="inlineStr">
        <is>
          <t>사다리형</t>
        </is>
      </c>
      <c r="V1526" s="3" t="inlineStr">
        <is>
          <t>소로한면</t>
        </is>
      </c>
    </row>
    <row r="1527">
      <c r="A1527" s="3" t="inlineStr">
        <is>
          <t>조치원읍 서창리 138-5</t>
        </is>
      </c>
      <c r="B1527" s="3" t="inlineStr">
        <is>
          <t>제2종일반주거지역</t>
        </is>
      </c>
      <c r="C1527" s="3" t="inlineStr">
        <is>
          <t>전</t>
        </is>
      </c>
      <c r="D1527" s="3" t="inlineStr">
        <is>
          <t>전</t>
        </is>
      </c>
      <c r="E1527" s="3" t="inlineStr">
        <is>
          <t>매매</t>
        </is>
      </c>
      <c r="F1527" s="4" t="n">
        <v>85000</v>
      </c>
      <c r="G1527" s="4" t="n">
        <v>620</v>
      </c>
      <c r="H1527" s="4" t="n">
        <v>188</v>
      </c>
      <c r="I1527" s="5" t="n">
        <v>452.1</v>
      </c>
      <c r="J1527" s="5" t="n">
        <v>178.5</v>
      </c>
      <c r="K1527" s="3" t="inlineStr">
        <is>
          <t>2차선도로 및 후면도로에도 접한 제2종일반주거지역의 근린생활시설 상가부지</t>
        </is>
      </c>
      <c r="L1527" s="6">
        <f>HYPERLINK("https://fin.land.naver.com/articles/2650732863", "매물Link")</f>
        <v/>
      </c>
      <c r="M1527" s="6">
        <f>HYPERLINK("https://map.naver.com/p/search/조치원읍 서창리 138-5", "지도Link")</f>
        <v/>
      </c>
      <c r="N1527" s="6">
        <f>HYPERLINK("http://www.eum.go.kr/web/ar/lu/luLandDet.jsp?pnu=3611025034101380005&amp;isNoScr=script&amp;mode=search", "토지이음")</f>
        <v/>
      </c>
      <c r="O1527" s="3" t="inlineStr">
        <is>
          <t>스마일세종</t>
        </is>
      </c>
      <c r="P1527" s="4" t="n">
        <v>2</v>
      </c>
      <c r="Q1527" s="4" t="n">
        <v>331</v>
      </c>
      <c r="R1527" s="3" t="inlineStr">
        <is>
          <t>지정되지않음</t>
        </is>
      </c>
      <c r="S1527" s="3" t="inlineStr">
        <is>
          <t>전</t>
        </is>
      </c>
      <c r="T1527" s="3" t="inlineStr">
        <is>
          <t>평지</t>
        </is>
      </c>
      <c r="U1527" s="3" t="inlineStr">
        <is>
          <t>사다리형</t>
        </is>
      </c>
      <c r="V1527" s="3" t="inlineStr">
        <is>
          <t>소로한면</t>
        </is>
      </c>
    </row>
    <row r="1528">
      <c r="A1528" s="3" t="inlineStr">
        <is>
          <t>조치원읍 서창리 152-2</t>
        </is>
      </c>
      <c r="B1528" s="3" t="inlineStr">
        <is>
          <t>제2종일반주거지역</t>
        </is>
      </c>
      <c r="C1528" s="3" t="inlineStr">
        <is>
          <t>대</t>
        </is>
      </c>
      <c r="D1528" s="3" t="inlineStr">
        <is>
          <t>대</t>
        </is>
      </c>
      <c r="E1528" s="3" t="inlineStr">
        <is>
          <t>매매</t>
        </is>
      </c>
      <c r="F1528" s="4" t="n">
        <v>63000</v>
      </c>
      <c r="G1528" s="4" t="n">
        <v>328</v>
      </c>
      <c r="H1528" s="4" t="n">
        <v>99</v>
      </c>
      <c r="I1528" s="5" t="n">
        <v>636.4</v>
      </c>
      <c r="J1528" s="5" t="n">
        <v>237.3</v>
      </c>
      <c r="K1528" s="3" t="inlineStr">
        <is>
          <t>급매,고려대학교 인근,도로접 도시.2종일반주거지역,다용도 건축가능</t>
        </is>
      </c>
      <c r="L1528" s="6">
        <f>HYPERLINK("https://fin.land.naver.com/articles/2649493845", "매물Link")</f>
        <v/>
      </c>
      <c r="M1528" s="6">
        <f>HYPERLINK("https://map.naver.com/p/search/조치원읍 서창리 152-2", "지도Link")</f>
        <v/>
      </c>
      <c r="N1528" s="6">
        <f>HYPERLINK("http://www.eum.go.kr/web/ar/lu/luLandDet.jsp?pnu=3611025034101520002&amp;isNoScr=script&amp;mode=search", "토지이음")</f>
        <v/>
      </c>
      <c r="O1528" s="3" t="inlineStr">
        <is>
          <t>고운맘</t>
        </is>
      </c>
      <c r="P1528" s="4" t="n">
        <v>1</v>
      </c>
      <c r="Q1528" s="4" t="n">
        <v>328</v>
      </c>
      <c r="R1528" s="3" t="inlineStr">
        <is>
          <t>지정되지않음</t>
        </is>
      </c>
      <c r="S1528" s="3" t="inlineStr">
        <is>
          <t>단독</t>
        </is>
      </c>
      <c r="T1528" s="3" t="inlineStr">
        <is>
          <t>평지</t>
        </is>
      </c>
      <c r="U1528" s="3" t="inlineStr">
        <is>
          <t>사다리형</t>
        </is>
      </c>
      <c r="V1528" s="3" t="inlineStr">
        <is>
          <t>소로한면</t>
        </is>
      </c>
    </row>
    <row r="1529">
      <c r="A1529" s="3" t="inlineStr">
        <is>
          <t>조치원읍 서창리 168-2</t>
        </is>
      </c>
      <c r="B1529" s="3" t="inlineStr">
        <is>
          <t>준주거지역</t>
        </is>
      </c>
      <c r="C1529" s="3" t="inlineStr">
        <is>
          <t>대</t>
        </is>
      </c>
      <c r="D1529" s="3" t="inlineStr">
        <is>
          <t>대</t>
        </is>
      </c>
      <c r="E1529" s="3" t="inlineStr">
        <is>
          <t>매매</t>
        </is>
      </c>
      <c r="F1529" s="4" t="n">
        <v>120000</v>
      </c>
      <c r="G1529" s="4" t="n">
        <v>732</v>
      </c>
      <c r="H1529" s="4" t="n">
        <v>221</v>
      </c>
      <c r="I1529" s="5" t="n">
        <v>543</v>
      </c>
      <c r="J1529" s="5" t="n">
        <v>320.9</v>
      </c>
      <c r="K1529" s="3" t="inlineStr">
        <is>
          <t>근생부지로 좋은 고려대학교 인근 3거리 코너 각지에 있는 준주거지역 대지</t>
        </is>
      </c>
      <c r="L1529" s="6">
        <f>HYPERLINK("https://fin.land.naver.com/articles/2652409745", "매물Link")</f>
        <v/>
      </c>
      <c r="M1529" s="6">
        <f>HYPERLINK("https://map.naver.com/p/search/조치원읍 서창리 168-2", "지도Link")</f>
        <v/>
      </c>
      <c r="N1529" s="6">
        <f>HYPERLINK("http://www.eum.go.kr/web/ar/lu/luLandDet.jsp?pnu=3611025034101680002&amp;isNoScr=script&amp;mode=search", "토지이음")</f>
        <v/>
      </c>
      <c r="O1529" s="3" t="inlineStr">
        <is>
          <t>스마일세종</t>
        </is>
      </c>
      <c r="P1529" s="4" t="n">
        <v>1</v>
      </c>
      <c r="Q1529" s="4" t="n">
        <v>732</v>
      </c>
      <c r="R1529" s="3" t="inlineStr">
        <is>
          <t>지정되지않음</t>
        </is>
      </c>
      <c r="S1529" s="3" t="inlineStr">
        <is>
          <t>주거기타</t>
        </is>
      </c>
      <c r="T1529" s="3" t="inlineStr">
        <is>
          <t>평지</t>
        </is>
      </c>
      <c r="U1529" s="3" t="inlineStr">
        <is>
          <t>사다리형</t>
        </is>
      </c>
      <c r="V1529" s="3" t="inlineStr">
        <is>
          <t>소로한면</t>
        </is>
      </c>
    </row>
    <row r="1530">
      <c r="A1530" s="3" t="inlineStr">
        <is>
          <t>조치원읍 서창리 168-2</t>
        </is>
      </c>
      <c r="B1530" s="3" t="inlineStr">
        <is>
          <t>준주거지역</t>
        </is>
      </c>
      <c r="C1530" s="3" t="inlineStr">
        <is>
          <t>대</t>
        </is>
      </c>
      <c r="D1530" s="3" t="inlineStr">
        <is>
          <t>대</t>
        </is>
      </c>
      <c r="E1530" s="3" t="inlineStr">
        <is>
          <t>매매</t>
        </is>
      </c>
      <c r="F1530" s="4" t="n">
        <v>120000</v>
      </c>
      <c r="G1530" s="4" t="n">
        <v>732</v>
      </c>
      <c r="H1530" s="4" t="n">
        <v>221</v>
      </c>
      <c r="I1530" s="5" t="n">
        <v>543</v>
      </c>
      <c r="J1530" s="5" t="n">
        <v>320.9</v>
      </c>
      <c r="K1530" s="3" t="inlineStr">
        <is>
          <t>준주거지역 추천매물 고대 정문근처</t>
        </is>
      </c>
      <c r="L1530" s="6">
        <f>HYPERLINK("https://fin.land.naver.com/articles/2653992281", "매물Link")</f>
        <v/>
      </c>
      <c r="M1530" s="6">
        <f>HYPERLINK("https://map.naver.com/p/search/조치원읍 서창리 168-2", "지도Link")</f>
        <v/>
      </c>
      <c r="N1530" s="6">
        <f>HYPERLINK("http://www.eum.go.kr/web/ar/lu/luLandDet.jsp?pnu=3611025034101680002&amp;isNoScr=script&amp;mode=search", "토지이음")</f>
        <v/>
      </c>
      <c r="O1530" s="3" t="inlineStr">
        <is>
          <t>김준희</t>
        </is>
      </c>
      <c r="P1530" s="4" t="n">
        <v>1</v>
      </c>
      <c r="Q1530" s="4" t="n">
        <v>732</v>
      </c>
      <c r="R1530" s="3" t="inlineStr">
        <is>
          <t>지정되지않음</t>
        </is>
      </c>
      <c r="S1530" s="3" t="inlineStr">
        <is>
          <t>주거기타</t>
        </is>
      </c>
      <c r="T1530" s="3" t="inlineStr">
        <is>
          <t>평지</t>
        </is>
      </c>
      <c r="U1530" s="3" t="inlineStr">
        <is>
          <t>사다리형</t>
        </is>
      </c>
      <c r="V1530" s="3" t="inlineStr">
        <is>
          <t>소로한면</t>
        </is>
      </c>
    </row>
    <row r="1531">
      <c r="A1531" s="3" t="inlineStr">
        <is>
          <t>조치원읍 서창리 168-31</t>
        </is>
      </c>
      <c r="B1531" s="3" t="inlineStr">
        <is>
          <t>준주거지역</t>
        </is>
      </c>
      <c r="C1531" s="3" t="inlineStr">
        <is>
          <t>대</t>
        </is>
      </c>
      <c r="D1531" s="3" t="inlineStr">
        <is>
          <t>대</t>
        </is>
      </c>
      <c r="E1531" s="3" t="inlineStr">
        <is>
          <t>매매</t>
        </is>
      </c>
      <c r="F1531" s="4" t="n">
        <v>30000</v>
      </c>
      <c r="G1531" s="4" t="n">
        <v>148</v>
      </c>
      <c r="H1531" s="4" t="n">
        <v>45</v>
      </c>
      <c r="I1531" s="5" t="n">
        <v>666.7</v>
      </c>
      <c r="J1531" s="5" t="n">
        <v>307.9</v>
      </c>
      <c r="K1531" s="3" t="inlineStr">
        <is>
          <t>급매, 서창리 준주거지역 토지</t>
        </is>
      </c>
      <c r="L1531" s="6">
        <f>HYPERLINK("https://fin.land.naver.com/articles/2653950500", "매물Link")</f>
        <v/>
      </c>
      <c r="M1531" s="6">
        <f>HYPERLINK("https://map.naver.com/p/search/조치원읍 서창리 168-31", "지도Link")</f>
        <v/>
      </c>
      <c r="N1531" s="6">
        <f>HYPERLINK("http://www.eum.go.kr/web/ar/lu/luLandDet.jsp?pnu=3611025034101680031&amp;isNoScr=script&amp;mode=search", "토지이음")</f>
        <v/>
      </c>
      <c r="O1531" s="3" t="inlineStr">
        <is>
          <t>KB세종</t>
        </is>
      </c>
      <c r="P1531" s="4" t="n">
        <v>1</v>
      </c>
      <c r="Q1531" s="4" t="n">
        <v>148</v>
      </c>
      <c r="R1531" s="3" t="inlineStr">
        <is>
          <t>지정되지않음</t>
        </is>
      </c>
      <c r="S1531" s="3" t="inlineStr">
        <is>
          <t>단독</t>
        </is>
      </c>
      <c r="T1531" s="3" t="inlineStr">
        <is>
          <t>평지</t>
        </is>
      </c>
      <c r="U1531" s="3" t="inlineStr">
        <is>
          <t>부정형</t>
        </is>
      </c>
      <c r="V1531" s="3" t="inlineStr">
        <is>
          <t>소로한면</t>
        </is>
      </c>
    </row>
    <row r="1532">
      <c r="A1532" s="3" t="inlineStr">
        <is>
          <t>조치원읍 서창리 182-16</t>
        </is>
      </c>
      <c r="B1532" s="3" t="inlineStr">
        <is>
          <t>제1종일반주거지역</t>
        </is>
      </c>
      <c r="C1532" s="3" t="inlineStr">
        <is>
          <t>대</t>
        </is>
      </c>
      <c r="D1532" s="3" t="inlineStr">
        <is>
          <t>대</t>
        </is>
      </c>
      <c r="E1532" s="3" t="inlineStr">
        <is>
          <t>매매</t>
        </is>
      </c>
      <c r="F1532" s="4" t="n">
        <v>29000</v>
      </c>
      <c r="G1532" s="4" t="n">
        <v>446</v>
      </c>
      <c r="H1532" s="4" t="n">
        <v>135</v>
      </c>
      <c r="I1532" s="5" t="n">
        <v>214.8</v>
      </c>
      <c r="J1532" s="5" t="n">
        <v>201.7</v>
      </c>
      <c r="K1532" s="3" t="inlineStr">
        <is>
          <t>nan</t>
        </is>
      </c>
      <c r="L1532" s="6">
        <f>HYPERLINK("https://fin.land.naver.com/articles/2650246902", "매물Link")</f>
        <v/>
      </c>
      <c r="M1532" s="6">
        <f>HYPERLINK("https://map.naver.com/p/search/조치원읍 서창리 182-16", "지도Link")</f>
        <v/>
      </c>
      <c r="N1532" s="6">
        <f>HYPERLINK("http://www.eum.go.kr/web/ar/lu/luLandDet.jsp?pnu=3611025034101820016&amp;isNoScr=script&amp;mode=search", "토지이음")</f>
        <v/>
      </c>
      <c r="O1532" s="3" t="inlineStr">
        <is>
          <t>찬스</t>
        </is>
      </c>
      <c r="P1532" s="4" t="n">
        <v>1</v>
      </c>
      <c r="Q1532" s="4" t="n">
        <v>446</v>
      </c>
      <c r="R1532" s="3" t="inlineStr">
        <is>
          <t>지정되지않음</t>
        </is>
      </c>
      <c r="S1532" s="3" t="inlineStr">
        <is>
          <t>단독</t>
        </is>
      </c>
      <c r="T1532" s="3" t="inlineStr">
        <is>
          <t>완경사</t>
        </is>
      </c>
      <c r="U1532" s="3" t="inlineStr">
        <is>
          <t>부정형</t>
        </is>
      </c>
      <c r="V1532" s="3" t="inlineStr">
        <is>
          <t>세로한면(가)</t>
        </is>
      </c>
    </row>
    <row r="1533">
      <c r="A1533" s="3" t="inlineStr">
        <is>
          <t>조치원읍 서창리 248-18</t>
        </is>
      </c>
      <c r="B1533" s="3" t="inlineStr">
        <is>
          <t>자연녹지지역</t>
        </is>
      </c>
      <c r="C1533" s="3" t="inlineStr">
        <is>
          <t>과수원</t>
        </is>
      </c>
      <c r="D1533" s="3" t="inlineStr">
        <is>
          <t>과수원</t>
        </is>
      </c>
      <c r="E1533" s="3" t="inlineStr">
        <is>
          <t>매매</t>
        </is>
      </c>
      <c r="F1533" s="4" t="n">
        <v>58000</v>
      </c>
      <c r="G1533" s="4" t="n">
        <v>713</v>
      </c>
      <c r="H1533" s="4" t="n">
        <v>216</v>
      </c>
      <c r="I1533" s="5" t="n">
        <v>268.5</v>
      </c>
      <c r="J1533" s="5" t="n">
        <v>103.3</v>
      </c>
      <c r="K1533" s="3" t="inlineStr">
        <is>
          <t>세종여고 인근 토지매매</t>
        </is>
      </c>
      <c r="L1533" s="6">
        <f>HYPERLINK("https://fin.land.naver.com/articles/2654530627", "매물Link")</f>
        <v/>
      </c>
      <c r="M1533" s="6">
        <f>HYPERLINK("https://map.naver.com/p/search/조치원읍 서창리 248-18", "지도Link")</f>
        <v/>
      </c>
      <c r="N1533" s="6">
        <f>HYPERLINK("http://www.eum.go.kr/web/ar/lu/luLandDet.jsp?pnu=3611025034102480018&amp;isNoScr=script&amp;mode=search", "토지이음")</f>
        <v/>
      </c>
      <c r="O1533" s="3" t="inlineStr">
        <is>
          <t>김준희</t>
        </is>
      </c>
      <c r="P1533" s="4" t="n">
        <v>1</v>
      </c>
      <c r="Q1533" s="4" t="n">
        <v>377</v>
      </c>
      <c r="R1533" s="3" t="inlineStr">
        <is>
          <t>지정되지않음</t>
        </is>
      </c>
      <c r="S1533" s="3" t="inlineStr">
        <is>
          <t>과수원</t>
        </is>
      </c>
      <c r="T1533" s="3" t="inlineStr">
        <is>
          <t>완경사</t>
        </is>
      </c>
      <c r="U1533" s="3" t="inlineStr">
        <is>
          <t>부정형</t>
        </is>
      </c>
      <c r="V1533" s="3" t="inlineStr">
        <is>
          <t>소로한면</t>
        </is>
      </c>
    </row>
    <row r="1534">
      <c r="A1534" s="3" t="inlineStr">
        <is>
          <t>조치원읍 서창리 250</t>
        </is>
      </c>
      <c r="B1534" s="3" t="inlineStr">
        <is>
          <t>제2종일반주거지역</t>
        </is>
      </c>
      <c r="C1534" s="3" t="inlineStr">
        <is>
          <t>전</t>
        </is>
      </c>
      <c r="D1534" s="3" t="inlineStr">
        <is>
          <t>전</t>
        </is>
      </c>
      <c r="E1534" s="3" t="inlineStr">
        <is>
          <t>매매</t>
        </is>
      </c>
      <c r="F1534" s="4" t="n">
        <v>90000</v>
      </c>
      <c r="G1534" s="4" t="n">
        <v>540</v>
      </c>
      <c r="H1534" s="4" t="n">
        <v>163</v>
      </c>
      <c r="I1534" s="5" t="n">
        <v>552.1</v>
      </c>
      <c r="J1534" s="5" t="n">
        <v>184.3</v>
      </c>
      <c r="K1534" s="3" t="inlineStr">
        <is>
          <t>조치원 서창리 제2종일반주거지역 코너각지 토지매매</t>
        </is>
      </c>
      <c r="L1534" s="6">
        <f>HYPERLINK("https://fin.land.naver.com/articles/2654445705", "매물Link")</f>
        <v/>
      </c>
      <c r="M1534" s="6">
        <f>HYPERLINK("https://map.naver.com/p/search/조치원읍 서창리 250", "지도Link")</f>
        <v/>
      </c>
      <c r="N1534" s="6">
        <f>HYPERLINK("http://www.eum.go.kr/web/ar/lu/luLandDet.jsp?pnu=3611025034102500000&amp;isNoScr=script&amp;mode=search", "토지이음")</f>
        <v/>
      </c>
      <c r="O1534" s="3" t="inlineStr">
        <is>
          <t>the다올</t>
        </is>
      </c>
      <c r="P1534" s="4" t="n">
        <v>2</v>
      </c>
      <c r="Q1534" s="4" t="n">
        <v>540</v>
      </c>
      <c r="R1534" s="3" t="inlineStr">
        <is>
          <t>지정되지않음</t>
        </is>
      </c>
      <c r="S1534" s="3" t="inlineStr">
        <is>
          <t>전</t>
        </is>
      </c>
      <c r="T1534" s="3" t="inlineStr">
        <is>
          <t>완경사</t>
        </is>
      </c>
      <c r="U1534" s="3" t="inlineStr">
        <is>
          <t>사다리형</t>
        </is>
      </c>
      <c r="V1534" s="3" t="inlineStr">
        <is>
          <t>소로각지</t>
        </is>
      </c>
    </row>
    <row r="1535">
      <c r="A1535" s="3" t="inlineStr">
        <is>
          <t>조치원읍 서창리 26-3</t>
        </is>
      </c>
      <c r="B1535" s="3" t="inlineStr">
        <is>
          <t>자연녹지지역</t>
        </is>
      </c>
      <c r="C1535" s="3" t="inlineStr">
        <is>
          <t>대</t>
        </is>
      </c>
      <c r="D1535" s="3" t="inlineStr">
        <is>
          <t>대</t>
        </is>
      </c>
      <c r="E1535" s="3" t="inlineStr">
        <is>
          <t>매매</t>
        </is>
      </c>
      <c r="F1535" s="4" t="n">
        <v>76650</v>
      </c>
      <c r="G1535" s="4" t="n">
        <v>724</v>
      </c>
      <c r="H1535" s="4" t="n">
        <v>219</v>
      </c>
      <c r="I1535" s="5" t="n">
        <v>350</v>
      </c>
      <c r="J1535" s="5" t="n">
        <v>148.7</v>
      </c>
      <c r="K1535" s="3" t="inlineStr">
        <is>
          <t>시세보다 저렴하며,
근생 및 단독주택, 월세 90만원</t>
        </is>
      </c>
      <c r="L1535" s="6">
        <f>HYPERLINK("https://fin.land.naver.com/articles/2652026776", "매물Link")</f>
        <v/>
      </c>
      <c r="M1535" s="6">
        <f>HYPERLINK("https://map.naver.com/p/search/조치원읍 서창리 26-3", "지도Link")</f>
        <v/>
      </c>
      <c r="N1535" s="6">
        <f>HYPERLINK("http://www.eum.go.kr/web/ar/lu/luLandDet.jsp?pnu=3611025034100260003&amp;isNoScr=script&amp;mode=search", "토지이음")</f>
        <v/>
      </c>
      <c r="O1535" s="3" t="inlineStr">
        <is>
          <t>세종땅전문</t>
        </is>
      </c>
      <c r="P1535" s="4" t="n">
        <v>1</v>
      </c>
      <c r="Q1535" s="4" t="n">
        <v>724</v>
      </c>
      <c r="R1535" s="3" t="inlineStr">
        <is>
          <t>지정되지않음</t>
        </is>
      </c>
      <c r="S1535" s="3" t="inlineStr">
        <is>
          <t>주거기타</t>
        </is>
      </c>
      <c r="T1535" s="3" t="inlineStr">
        <is>
          <t>평지</t>
        </is>
      </c>
      <c r="U1535" s="3" t="inlineStr">
        <is>
          <t>사다리형</t>
        </is>
      </c>
      <c r="V1535" s="3" t="inlineStr">
        <is>
          <t>소로한면</t>
        </is>
      </c>
    </row>
    <row r="1536">
      <c r="A1536" s="3" t="inlineStr">
        <is>
          <t>조치원읍 서창리 291-8</t>
        </is>
      </c>
      <c r="B1536" s="3" t="inlineStr">
        <is>
          <t>제2종일반주거지역</t>
        </is>
      </c>
      <c r="C1536" s="3" t="inlineStr">
        <is>
          <t>대</t>
        </is>
      </c>
      <c r="D1536" s="3" t="inlineStr">
        <is>
          <t>대</t>
        </is>
      </c>
      <c r="E1536" s="3" t="inlineStr">
        <is>
          <t>매매</t>
        </is>
      </c>
      <c r="F1536" s="4" t="n">
        <v>55000</v>
      </c>
      <c r="G1536" s="4" t="n">
        <v>299</v>
      </c>
      <c r="H1536" s="4" t="n">
        <v>90</v>
      </c>
      <c r="I1536" s="5" t="n">
        <v>611.1</v>
      </c>
      <c r="J1536" s="5" t="n">
        <v>348.4</v>
      </c>
      <c r="K1536" s="3" t="inlineStr">
        <is>
          <t>서창리 다가구주택이나 상가를 지을수 있는 제2종일반주거지역의 대지입니다</t>
        </is>
      </c>
      <c r="L1536" s="6">
        <f>HYPERLINK("https://fin.land.naver.com/articles/2653589519", "매물Link")</f>
        <v/>
      </c>
      <c r="M1536" s="6">
        <f>HYPERLINK("https://map.naver.com/p/search/조치원읍 서창리 291-8", "지도Link")</f>
        <v/>
      </c>
      <c r="N1536" s="6">
        <f>HYPERLINK("http://www.eum.go.kr/web/ar/lu/luLandDet.jsp?pnu=3611025034102910008&amp;isNoScr=script&amp;mode=search", "토지이음")</f>
        <v/>
      </c>
      <c r="O1536" s="3" t="inlineStr">
        <is>
          <t>스마일세종</t>
        </is>
      </c>
      <c r="P1536" s="4" t="n">
        <v>1</v>
      </c>
      <c r="Q1536" s="4" t="n">
        <v>299</v>
      </c>
      <c r="R1536" s="3" t="inlineStr">
        <is>
          <t>지정되지않음</t>
        </is>
      </c>
      <c r="S1536" s="3" t="inlineStr">
        <is>
          <t>주상기타</t>
        </is>
      </c>
      <c r="T1536" s="3" t="inlineStr">
        <is>
          <t>평지</t>
        </is>
      </c>
      <c r="U1536" s="3" t="inlineStr">
        <is>
          <t>사다리형</t>
        </is>
      </c>
      <c r="V1536" s="3" t="inlineStr">
        <is>
          <t>소로각지</t>
        </is>
      </c>
    </row>
    <row r="1537">
      <c r="A1537" s="3" t="inlineStr">
        <is>
          <t>조치원읍 서창리 293-4</t>
        </is>
      </c>
      <c r="B1537" s="3" t="inlineStr">
        <is>
          <t>제2종일반주거지역</t>
        </is>
      </c>
      <c r="C1537" s="3" t="inlineStr">
        <is>
          <t>대</t>
        </is>
      </c>
      <c r="D1537" s="3" t="inlineStr">
        <is>
          <t>대</t>
        </is>
      </c>
      <c r="E1537" s="3" t="inlineStr">
        <is>
          <t>매매</t>
        </is>
      </c>
      <c r="F1537" s="4" t="n">
        <v>24638</v>
      </c>
      <c r="G1537" s="4" t="n">
        <v>181</v>
      </c>
      <c r="H1537" s="4" t="n">
        <v>55</v>
      </c>
      <c r="I1537" s="5" t="n">
        <v>448</v>
      </c>
      <c r="J1537" s="5" t="n">
        <v>289.3</v>
      </c>
      <c r="K1537" s="3" t="inlineStr">
        <is>
          <t>nan</t>
        </is>
      </c>
      <c r="L1537" s="6">
        <f>HYPERLINK("https://fin.land.naver.com/articles/2652217321", "매물Link")</f>
        <v/>
      </c>
      <c r="M1537" s="6">
        <f>HYPERLINK("https://map.naver.com/p/search/조치원읍 서창리 293-4", "지도Link")</f>
        <v/>
      </c>
      <c r="N1537" s="6">
        <f>HYPERLINK("http://www.eum.go.kr/web/ar/lu/luLandDet.jsp?pnu=3611025034102930004&amp;isNoScr=script&amp;mode=search", "토지이음")</f>
        <v/>
      </c>
      <c r="O1537" s="3" t="inlineStr">
        <is>
          <t>한일</t>
        </is>
      </c>
      <c r="P1537" s="4" t="n">
        <v>1</v>
      </c>
      <c r="Q1537" s="4" t="n">
        <v>181</v>
      </c>
      <c r="R1537" s="3" t="inlineStr">
        <is>
          <t>지정되지않음</t>
        </is>
      </c>
      <c r="S1537" s="3" t="inlineStr">
        <is>
          <t>주거나지</t>
        </is>
      </c>
      <c r="T1537" s="3" t="inlineStr">
        <is>
          <t>평지</t>
        </is>
      </c>
      <c r="U1537" s="3" t="inlineStr">
        <is>
          <t>세로장방</t>
        </is>
      </c>
      <c r="V1537" s="3" t="inlineStr">
        <is>
          <t>세로한면(가)</t>
        </is>
      </c>
    </row>
    <row r="1538">
      <c r="A1538" s="3" t="inlineStr">
        <is>
          <t>조치원읍 서창리 306</t>
        </is>
      </c>
      <c r="B1538" s="3" t="inlineStr">
        <is>
          <t>준주거지역</t>
        </is>
      </c>
      <c r="C1538" s="3" t="inlineStr">
        <is>
          <t>대</t>
        </is>
      </c>
      <c r="D1538" s="3" t="inlineStr">
        <is>
          <t>대</t>
        </is>
      </c>
      <c r="E1538" s="3" t="inlineStr">
        <is>
          <t>매매</t>
        </is>
      </c>
      <c r="F1538" s="4" t="n">
        <v>221000</v>
      </c>
      <c r="G1538" s="4" t="n">
        <v>731</v>
      </c>
      <c r="H1538" s="4" t="n">
        <v>221</v>
      </c>
      <c r="I1538" s="5" t="n">
        <v>1000</v>
      </c>
      <c r="J1538" s="5" t="n">
        <v>274.4</v>
      </c>
      <c r="K1538" s="3" t="inlineStr">
        <is>
          <t>조치원서북부지구 가치상승. 투자가치 우수.</t>
        </is>
      </c>
      <c r="L1538" s="6">
        <f>HYPERLINK("https://fin.land.naver.com/articles/2652222097", "매물Link")</f>
        <v/>
      </c>
      <c r="M1538" s="6">
        <f>HYPERLINK("https://map.naver.com/p/search/조치원읍 서창리 306", "지도Link")</f>
        <v/>
      </c>
      <c r="N1538" s="6">
        <f>HYPERLINK("http://www.eum.go.kr/web/ar/lu/luLandDet.jsp?pnu=3611025034103060000&amp;isNoScr=script&amp;mode=search", "토지이음")</f>
        <v/>
      </c>
      <c r="O1538" s="3" t="inlineStr">
        <is>
          <t>진행</t>
        </is>
      </c>
      <c r="P1538" s="4" t="n">
        <v>1</v>
      </c>
      <c r="Q1538" s="4" t="n">
        <v>731</v>
      </c>
      <c r="R1538" s="3" t="inlineStr">
        <is>
          <t>지정되지않음</t>
        </is>
      </c>
      <c r="S1538" s="3" t="inlineStr">
        <is>
          <t>상업나지</t>
        </is>
      </c>
      <c r="T1538" s="3" t="inlineStr">
        <is>
          <t>평지</t>
        </is>
      </c>
      <c r="U1538" s="3" t="inlineStr">
        <is>
          <t>가로장방</t>
        </is>
      </c>
      <c r="V1538" s="3" t="inlineStr">
        <is>
          <t>중로각지</t>
        </is>
      </c>
    </row>
    <row r="1539">
      <c r="A1539" s="3" t="inlineStr">
        <is>
          <t>조치원읍 서창리 42-254</t>
        </is>
      </c>
      <c r="B1539" s="3" t="inlineStr">
        <is>
          <t>제1종일반주거지역</t>
        </is>
      </c>
      <c r="C1539" s="3" t="inlineStr">
        <is>
          <t>전</t>
        </is>
      </c>
      <c r="D1539" s="3" t="inlineStr">
        <is>
          <t>전</t>
        </is>
      </c>
      <c r="E1539" s="3" t="inlineStr">
        <is>
          <t>매매</t>
        </is>
      </c>
      <c r="F1539" s="4" t="n">
        <v>25000</v>
      </c>
      <c r="G1539" s="4" t="n">
        <v>330</v>
      </c>
      <c r="H1539" s="4" t="n">
        <v>100</v>
      </c>
      <c r="I1539" s="5" t="n">
        <v>250</v>
      </c>
      <c r="J1539" s="5" t="n">
        <v>133.2</v>
      </c>
      <c r="K1539" s="3" t="inlineStr">
        <is>
          <t>북쪽과 동쪽으로 도로를 낀 코너토지. 주택지추천</t>
        </is>
      </c>
      <c r="L1539" s="6">
        <f>HYPERLINK("https://fin.land.naver.com/articles/2649914344", "매물Link")</f>
        <v/>
      </c>
      <c r="M1539" s="6">
        <f>HYPERLINK("https://map.naver.com/p/search/조치원읍 서창리 42-254", "지도Link")</f>
        <v/>
      </c>
      <c r="N1539" s="6">
        <f>HYPERLINK("http://www.eum.go.kr/web/ar/lu/luLandDet.jsp?pnu=3611025034100420254&amp;isNoScr=script&amp;mode=search", "토지이음")</f>
        <v/>
      </c>
      <c r="O1539" s="3" t="inlineStr">
        <is>
          <t>미스터홈즈강남지사</t>
        </is>
      </c>
      <c r="P1539" s="4" t="n">
        <v>1</v>
      </c>
      <c r="Q1539" s="4" t="n">
        <v>330</v>
      </c>
      <c r="R1539" s="3" t="inlineStr">
        <is>
          <t>지정되지않음</t>
        </is>
      </c>
      <c r="S1539" s="3" t="inlineStr">
        <is>
          <t>주거나지</t>
        </is>
      </c>
      <c r="T1539" s="3" t="inlineStr">
        <is>
          <t>평지</t>
        </is>
      </c>
      <c r="U1539" s="3" t="inlineStr">
        <is>
          <t>사다리형</t>
        </is>
      </c>
      <c r="V1539" s="3" t="inlineStr">
        <is>
          <t>세로각지(가)</t>
        </is>
      </c>
    </row>
    <row r="1540">
      <c r="A1540" s="3" t="inlineStr">
        <is>
          <t>조치원읍 서창리 54-1</t>
        </is>
      </c>
      <c r="B1540" s="3" t="inlineStr">
        <is>
          <t>자연녹지지역</t>
        </is>
      </c>
      <c r="C1540" s="3" t="inlineStr">
        <is>
          <t>답</t>
        </is>
      </c>
      <c r="D1540" s="3" t="inlineStr">
        <is>
          <t>답</t>
        </is>
      </c>
      <c r="E1540" s="3" t="inlineStr">
        <is>
          <t>매매</t>
        </is>
      </c>
      <c r="F1540" s="4" t="n">
        <v>165000</v>
      </c>
      <c r="G1540" s="4" t="n">
        <v>915</v>
      </c>
      <c r="H1540" s="4" t="n">
        <v>277</v>
      </c>
      <c r="I1540" s="5" t="n">
        <v>595.7</v>
      </c>
      <c r="J1540" s="5" t="n">
        <v>113.6</v>
      </c>
      <c r="K1540" s="3" t="inlineStr">
        <is>
          <t>nan</t>
        </is>
      </c>
      <c r="L1540" s="6">
        <f>HYPERLINK("https://fin.land.naver.com/articles/2651060447", "매물Link")</f>
        <v/>
      </c>
      <c r="M1540" s="6">
        <f>HYPERLINK("https://map.naver.com/p/search/조치원읍 서창리 54-1", "지도Link")</f>
        <v/>
      </c>
      <c r="N1540" s="6">
        <f>HYPERLINK("http://www.eum.go.kr/web/ar/lu/luLandDet.jsp?pnu=3611025034100540001&amp;isNoScr=script&amp;mode=search", "토지이음")</f>
        <v/>
      </c>
      <c r="O1540" s="3" t="inlineStr">
        <is>
          <t>세종문화길</t>
        </is>
      </c>
      <c r="P1540" s="4" t="n">
        <v>1</v>
      </c>
      <c r="Q1540" s="4" t="n">
        <v>915</v>
      </c>
      <c r="R1540" s="3" t="inlineStr">
        <is>
          <t>지정되지않음</t>
        </is>
      </c>
      <c r="S1540" s="3" t="inlineStr">
        <is>
          <t>답</t>
        </is>
      </c>
      <c r="T1540" s="3" t="inlineStr">
        <is>
          <t>평지</t>
        </is>
      </c>
      <c r="U1540" s="3" t="inlineStr">
        <is>
          <t>사다리형</t>
        </is>
      </c>
      <c r="V1540" s="3" t="inlineStr">
        <is>
          <t>광대로한면</t>
        </is>
      </c>
    </row>
    <row r="1541">
      <c r="A1541" s="3" t="inlineStr">
        <is>
          <t>조치원읍 서창리 93-20</t>
        </is>
      </c>
      <c r="B1541" s="3" t="inlineStr">
        <is>
          <t>자연녹지지역</t>
        </is>
      </c>
      <c r="C1541" s="3" t="inlineStr">
        <is>
          <t>답</t>
        </is>
      </c>
      <c r="D1541" s="3" t="inlineStr">
        <is>
          <t>답</t>
        </is>
      </c>
      <c r="E1541" s="3" t="inlineStr">
        <is>
          <t>매매</t>
        </is>
      </c>
      <c r="F1541" s="4" t="n">
        <v>150000</v>
      </c>
      <c r="G1541" s="4" t="n">
        <v>2920</v>
      </c>
      <c r="H1541" s="4" t="n">
        <v>883</v>
      </c>
      <c r="I1541" s="5" t="n">
        <v>169.9</v>
      </c>
      <c r="J1541" s="5" t="n">
        <v>59.7</v>
      </c>
      <c r="K1541" s="3" t="inlineStr">
        <is>
          <t>nan</t>
        </is>
      </c>
      <c r="L1541" s="6">
        <f>HYPERLINK("https://fin.land.naver.com/articles/2650423179", "매물Link")</f>
        <v/>
      </c>
      <c r="M1541" s="6">
        <f>HYPERLINK("https://map.naver.com/p/search/조치원읍 서창리 93-20", "지도Link")</f>
        <v/>
      </c>
      <c r="N1541" s="6">
        <f>HYPERLINK("http://www.eum.go.kr/web/ar/lu/luLandDet.jsp?pnu=3611025034100930020&amp;isNoScr=script&amp;mode=search", "토지이음")</f>
        <v/>
      </c>
      <c r="O1541" s="3" t="inlineStr">
        <is>
          <t>현대</t>
        </is>
      </c>
      <c r="P1541" s="4" t="n">
        <v>1</v>
      </c>
      <c r="Q1541" s="4" t="n">
        <v>2575</v>
      </c>
      <c r="R1541" s="3" t="inlineStr">
        <is>
          <t>지정되지않음</t>
        </is>
      </c>
      <c r="S1541" s="3" t="inlineStr">
        <is>
          <t>답</t>
        </is>
      </c>
      <c r="T1541" s="3" t="inlineStr">
        <is>
          <t>평지</t>
        </is>
      </c>
      <c r="U1541" s="3" t="inlineStr">
        <is>
          <t>부정형</t>
        </is>
      </c>
      <c r="V1541" s="3" t="inlineStr">
        <is>
          <t>맹지</t>
        </is>
      </c>
    </row>
    <row r="1542">
      <c r="A1542" s="3" t="inlineStr">
        <is>
          <t>조치원읍 서창리 93-20</t>
        </is>
      </c>
      <c r="B1542" s="3" t="inlineStr">
        <is>
          <t>자연녹지지역</t>
        </is>
      </c>
      <c r="C1542" s="3" t="inlineStr">
        <is>
          <t>답</t>
        </is>
      </c>
      <c r="D1542" s="3" t="inlineStr">
        <is>
          <t>답</t>
        </is>
      </c>
      <c r="E1542" s="3" t="inlineStr">
        <is>
          <t>매매</t>
        </is>
      </c>
      <c r="F1542" s="4" t="n">
        <v>150000</v>
      </c>
      <c r="G1542" s="4" t="n">
        <v>2921</v>
      </c>
      <c r="H1542" s="4" t="n">
        <v>884</v>
      </c>
      <c r="I1542" s="5" t="n">
        <v>169.7</v>
      </c>
      <c r="J1542" s="5" t="n">
        <v>59.7</v>
      </c>
      <c r="K1542" s="3" t="inlineStr">
        <is>
          <t>토지급매 조치원역 인근 대규모 부지 정비소, 세차장, 요양원 추천</t>
        </is>
      </c>
      <c r="L1542" s="6">
        <f>HYPERLINK("https://fin.land.naver.com/articles/2652108627", "매물Link")</f>
        <v/>
      </c>
      <c r="M1542" s="6">
        <f>HYPERLINK("https://map.naver.com/p/search/조치원읍 서창리 93-20", "지도Link")</f>
        <v/>
      </c>
      <c r="N1542" s="6">
        <f>HYPERLINK("http://www.eum.go.kr/web/ar/lu/luLandDet.jsp?pnu=3611025034100930020&amp;isNoScr=script&amp;mode=search", "토지이음")</f>
        <v/>
      </c>
      <c r="O1542" s="3" t="inlineStr">
        <is>
          <t>다모아</t>
        </is>
      </c>
      <c r="P1542" s="4" t="n">
        <v>1</v>
      </c>
      <c r="Q1542" s="4" t="n">
        <v>2575</v>
      </c>
      <c r="R1542" s="3" t="inlineStr">
        <is>
          <t>지정되지않음</t>
        </is>
      </c>
      <c r="S1542" s="3" t="inlineStr">
        <is>
          <t>답</t>
        </is>
      </c>
      <c r="T1542" s="3" t="inlineStr">
        <is>
          <t>평지</t>
        </is>
      </c>
      <c r="U1542" s="3" t="inlineStr">
        <is>
          <t>부정형</t>
        </is>
      </c>
      <c r="V1542" s="3" t="inlineStr">
        <is>
          <t>맹지</t>
        </is>
      </c>
    </row>
    <row r="1543">
      <c r="A1543" s="3" t="inlineStr">
        <is>
          <t>조치원읍 서창리 93-20</t>
        </is>
      </c>
      <c r="B1543" s="3" t="inlineStr">
        <is>
          <t>자연녹지지역</t>
        </is>
      </c>
      <c r="C1543" s="3" t="inlineStr">
        <is>
          <t>답</t>
        </is>
      </c>
      <c r="D1543" s="3" t="inlineStr">
        <is>
          <t>답</t>
        </is>
      </c>
      <c r="E1543" s="3" t="inlineStr">
        <is>
          <t>매매</t>
        </is>
      </c>
      <c r="F1543" s="4" t="n">
        <v>150000</v>
      </c>
      <c r="G1543" s="4" t="n">
        <v>2921</v>
      </c>
      <c r="H1543" s="4" t="n">
        <v>884</v>
      </c>
      <c r="I1543" s="5" t="n">
        <v>169.7</v>
      </c>
      <c r="J1543" s="5" t="n">
        <v>59.7</v>
      </c>
      <c r="K1543" s="3" t="inlineStr">
        <is>
          <t>서창리 자연녹지 883P,창고 고물상 차량정비소등 추천,조율</t>
        </is>
      </c>
      <c r="L1543" s="6">
        <f>HYPERLINK("https://fin.land.naver.com/articles/2654115439", "매물Link")</f>
        <v/>
      </c>
      <c r="M1543" s="6">
        <f>HYPERLINK("https://map.naver.com/p/search/조치원읍 서창리 93-20", "지도Link")</f>
        <v/>
      </c>
      <c r="N1543" s="6">
        <f>HYPERLINK("http://www.eum.go.kr/web/ar/lu/luLandDet.jsp?pnu=3611025034100930020&amp;isNoScr=script&amp;mode=search", "토지이음")</f>
        <v/>
      </c>
      <c r="O1543" s="3" t="inlineStr">
        <is>
          <t>광장</t>
        </is>
      </c>
      <c r="P1543" s="4" t="n">
        <v>3</v>
      </c>
      <c r="Q1543" s="4" t="n">
        <v>2575</v>
      </c>
      <c r="R1543" s="3" t="inlineStr">
        <is>
          <t>지정되지않음</t>
        </is>
      </c>
      <c r="S1543" s="3" t="inlineStr">
        <is>
          <t>답</t>
        </is>
      </c>
      <c r="T1543" s="3" t="inlineStr">
        <is>
          <t>평지</t>
        </is>
      </c>
      <c r="U1543" s="3" t="inlineStr">
        <is>
          <t>부정형</t>
        </is>
      </c>
      <c r="V1543" s="3" t="inlineStr">
        <is>
          <t>맹지</t>
        </is>
      </c>
    </row>
    <row r="1544">
      <c r="A1544" s="3" t="inlineStr">
        <is>
          <t>조치원읍 서창리 93-20</t>
        </is>
      </c>
      <c r="B1544" s="3" t="inlineStr">
        <is>
          <t>자연녹지지역</t>
        </is>
      </c>
      <c r="C1544" s="3" t="inlineStr">
        <is>
          <t>답</t>
        </is>
      </c>
      <c r="D1544" s="3" t="inlineStr">
        <is>
          <t>답</t>
        </is>
      </c>
      <c r="E1544" s="3" t="inlineStr">
        <is>
          <t>매매</t>
        </is>
      </c>
      <c r="F1544" s="4" t="n">
        <v>180000</v>
      </c>
      <c r="G1544" s="4" t="n">
        <v>2921</v>
      </c>
      <c r="H1544" s="4" t="n">
        <v>884</v>
      </c>
      <c r="I1544" s="5" t="n">
        <v>203.6</v>
      </c>
      <c r="J1544" s="5" t="n">
        <v>59.7</v>
      </c>
      <c r="K1544" s="3" t="inlineStr">
        <is>
          <t>3필지 일괄매매</t>
        </is>
      </c>
      <c r="L1544" s="6">
        <f>HYPERLINK("https://fin.land.naver.com/articles/2652420151", "매물Link")</f>
        <v/>
      </c>
      <c r="M1544" s="6">
        <f>HYPERLINK("https://map.naver.com/p/search/조치원읍 서창리 93-20", "지도Link")</f>
        <v/>
      </c>
      <c r="N1544" s="6">
        <f>HYPERLINK("http://www.eum.go.kr/web/ar/lu/luLandDet.jsp?pnu=3611025034100930020&amp;isNoScr=script&amp;mode=search", "토지이음")</f>
        <v/>
      </c>
      <c r="O1544" s="3" t="inlineStr">
        <is>
          <t>오송좋은날</t>
        </is>
      </c>
      <c r="P1544" s="4" t="n">
        <v>1</v>
      </c>
      <c r="Q1544" s="4" t="n">
        <v>2575</v>
      </c>
      <c r="R1544" s="3" t="inlineStr">
        <is>
          <t>지정되지않음</t>
        </is>
      </c>
      <c r="S1544" s="3" t="inlineStr">
        <is>
          <t>답</t>
        </is>
      </c>
      <c r="T1544" s="3" t="inlineStr">
        <is>
          <t>평지</t>
        </is>
      </c>
      <c r="U1544" s="3" t="inlineStr">
        <is>
          <t>부정형</t>
        </is>
      </c>
      <c r="V1544" s="3" t="inlineStr">
        <is>
          <t>맹지</t>
        </is>
      </c>
    </row>
    <row r="1545">
      <c r="A1545" s="3" t="inlineStr">
        <is>
          <t>조치원읍 서창리 93-20</t>
        </is>
      </c>
      <c r="B1545" s="3" t="inlineStr">
        <is>
          <t>자연녹지지역</t>
        </is>
      </c>
      <c r="C1545" s="3" t="inlineStr">
        <is>
          <t>답</t>
        </is>
      </c>
      <c r="D1545" s="3" t="inlineStr">
        <is>
          <t>답</t>
        </is>
      </c>
      <c r="E1545" s="3" t="inlineStr">
        <is>
          <t>매매</t>
        </is>
      </c>
      <c r="F1545" s="4" t="n">
        <v>150000</v>
      </c>
      <c r="G1545" s="4" t="n">
        <v>2921</v>
      </c>
      <c r="H1545" s="4" t="n">
        <v>884</v>
      </c>
      <c r="I1545" s="5" t="n">
        <v>169.7</v>
      </c>
      <c r="J1545" s="5" t="n">
        <v>59.7</v>
      </c>
      <c r="K1545" s="3" t="inlineStr">
        <is>
          <t>조치원 생활권 평탄 대형부지 소형창고 차량보관시설 검토</t>
        </is>
      </c>
      <c r="L1545" s="6">
        <f>HYPERLINK("https://fin.land.naver.com/articles/2650423353", "매물Link")</f>
        <v/>
      </c>
      <c r="M1545" s="6">
        <f>HYPERLINK("https://map.naver.com/p/search/조치원읍 서창리 93-20", "지도Link")</f>
        <v/>
      </c>
      <c r="N1545" s="6">
        <f>HYPERLINK("http://www.eum.go.kr/web/ar/lu/luLandDet.jsp?pnu=3611025034100930020&amp;isNoScr=script&amp;mode=search", "토지이음")</f>
        <v/>
      </c>
      <c r="O1545" s="3" t="inlineStr">
        <is>
          <t>세종소담황금</t>
        </is>
      </c>
      <c r="P1545" s="4" t="n">
        <v>1</v>
      </c>
      <c r="Q1545" s="4" t="n">
        <v>2575</v>
      </c>
      <c r="R1545" s="3" t="inlineStr">
        <is>
          <t>지정되지않음</t>
        </is>
      </c>
      <c r="S1545" s="3" t="inlineStr">
        <is>
          <t>답</t>
        </is>
      </c>
      <c r="T1545" s="3" t="inlineStr">
        <is>
          <t>평지</t>
        </is>
      </c>
      <c r="U1545" s="3" t="inlineStr">
        <is>
          <t>부정형</t>
        </is>
      </c>
      <c r="V1545" s="3" t="inlineStr">
        <is>
          <t>맹지</t>
        </is>
      </c>
    </row>
    <row r="1546">
      <c r="A1546" s="3" t="inlineStr">
        <is>
          <t>조치원읍 서창리 95-3</t>
        </is>
      </c>
      <c r="B1546" s="3" t="inlineStr">
        <is>
          <t>자연녹지지역</t>
        </is>
      </c>
      <c r="C1546" s="3" t="inlineStr">
        <is>
          <t>답</t>
        </is>
      </c>
      <c r="D1546" s="3" t="inlineStr">
        <is>
          <t>답</t>
        </is>
      </c>
      <c r="E1546" s="3" t="inlineStr">
        <is>
          <t>매매</t>
        </is>
      </c>
      <c r="F1546" s="4" t="n">
        <v>120000</v>
      </c>
      <c r="G1546" s="4" t="n">
        <v>1293</v>
      </c>
      <c r="H1546" s="4" t="n">
        <v>391</v>
      </c>
      <c r="I1546" s="5" t="n">
        <v>306.9</v>
      </c>
      <c r="J1546" s="5" t="n">
        <v>157.6</v>
      </c>
      <c r="K1546" s="3" t="inlineStr">
        <is>
          <t>서창리 토지 매매 자연녹지</t>
        </is>
      </c>
      <c r="L1546" s="6">
        <f>HYPERLINK("https://fin.land.naver.com/articles/2653992204", "매물Link")</f>
        <v/>
      </c>
      <c r="M1546" s="6">
        <f>HYPERLINK("https://map.naver.com/p/search/조치원읍 서창리 95-3", "지도Link")</f>
        <v/>
      </c>
      <c r="N1546" s="6">
        <f>HYPERLINK("http://www.eum.go.kr/web/ar/lu/luLandDet.jsp?pnu=3611025034100950003&amp;isNoScr=script&amp;mode=search", "토지이음")</f>
        <v/>
      </c>
      <c r="O1546" s="3" t="inlineStr">
        <is>
          <t>김준희</t>
        </is>
      </c>
      <c r="P1546" s="4" t="n">
        <v>1</v>
      </c>
      <c r="Q1546" s="4" t="n">
        <v>255</v>
      </c>
      <c r="R1546" s="3" t="inlineStr">
        <is>
          <t>제1종일반주거지역</t>
        </is>
      </c>
      <c r="S1546" s="3" t="inlineStr">
        <is>
          <t>주거나지</t>
        </is>
      </c>
      <c r="T1546" s="3" t="inlineStr">
        <is>
          <t>평지</t>
        </is>
      </c>
      <c r="U1546" s="3" t="inlineStr">
        <is>
          <t>사다리형</t>
        </is>
      </c>
      <c r="V1546" s="3" t="inlineStr">
        <is>
          <t>중로한면</t>
        </is>
      </c>
    </row>
    <row r="1547">
      <c r="A1547" s="3" t="inlineStr">
        <is>
          <t>조치원읍 신안리 171-7</t>
        </is>
      </c>
      <c r="B1547" s="3" t="inlineStr">
        <is>
          <t>자연녹지지역</t>
        </is>
      </c>
      <c r="C1547" s="3" t="inlineStr">
        <is>
          <t>전</t>
        </is>
      </c>
      <c r="D1547" s="3" t="inlineStr">
        <is>
          <t>전</t>
        </is>
      </c>
      <c r="E1547" s="3" t="inlineStr">
        <is>
          <t>매매</t>
        </is>
      </c>
      <c r="F1547" s="4" t="n">
        <v>57000</v>
      </c>
      <c r="G1547" s="4" t="n">
        <v>1046</v>
      </c>
      <c r="H1547" s="4" t="n">
        <v>316</v>
      </c>
      <c r="I1547" s="5" t="n">
        <v>180.4</v>
      </c>
      <c r="J1547" s="5" t="n">
        <v>108.5</v>
      </c>
      <c r="K1547" s="3" t="inlineStr">
        <is>
          <t>세종 조치원읍 성장관리계획구역 토지 매매</t>
        </is>
      </c>
      <c r="L1547" s="6">
        <f>HYPERLINK("https://fin.land.naver.com/articles/2650361043", "매물Link")</f>
        <v/>
      </c>
      <c r="M1547" s="6">
        <f>HYPERLINK("https://map.naver.com/p/search/조치원읍 신안리 171-7", "지도Link")</f>
        <v/>
      </c>
      <c r="N1547" s="6">
        <f>HYPERLINK("http://www.eum.go.kr/web/ar/lu/luLandDet.jsp?pnu=3611025032101710007&amp;isNoScr=script&amp;mode=search", "토지이음")</f>
        <v/>
      </c>
      <c r="O1547" s="3" t="inlineStr">
        <is>
          <t>세종몽땅</t>
        </is>
      </c>
      <c r="P1547" s="4" t="n">
        <v>1</v>
      </c>
      <c r="Q1547" s="4" t="n">
        <v>1046</v>
      </c>
      <c r="R1547" s="3" t="inlineStr">
        <is>
          <t>지정되지않음</t>
        </is>
      </c>
      <c r="S1547" s="3" t="inlineStr">
        <is>
          <t>답</t>
        </is>
      </c>
      <c r="T1547" s="3" t="inlineStr">
        <is>
          <t>평지</t>
        </is>
      </c>
      <c r="U1547" s="3" t="inlineStr">
        <is>
          <t>세로장방</t>
        </is>
      </c>
      <c r="V1547" s="3" t="inlineStr">
        <is>
          <t>세로한면(가)</t>
        </is>
      </c>
    </row>
    <row r="1548">
      <c r="A1548" s="3" t="inlineStr">
        <is>
          <t>조치원읍 신안리 193-2</t>
        </is>
      </c>
      <c r="B1548" s="3" t="inlineStr">
        <is>
          <t>자연녹지지역</t>
        </is>
      </c>
      <c r="C1548" s="3" t="inlineStr">
        <is>
          <t>대</t>
        </is>
      </c>
      <c r="D1548" s="3" t="inlineStr">
        <is>
          <t>대</t>
        </is>
      </c>
      <c r="E1548" s="3" t="inlineStr">
        <is>
          <t>매매</t>
        </is>
      </c>
      <c r="F1548" s="4" t="n">
        <v>46000</v>
      </c>
      <c r="G1548" s="4" t="n">
        <v>529</v>
      </c>
      <c r="H1548" s="4" t="n">
        <v>160</v>
      </c>
      <c r="I1548" s="5" t="n">
        <v>287.5</v>
      </c>
      <c r="J1548" s="5" t="n">
        <v>147.6</v>
      </c>
      <c r="K1548" s="3" t="inlineStr">
        <is>
          <t>급매,국도1호선 서창역 인근 알토란 나대지,월룸.단독주택.투자용추천</t>
        </is>
      </c>
      <c r="L1548" s="6">
        <f>HYPERLINK("https://fin.land.naver.com/articles/2651742010", "매물Link")</f>
        <v/>
      </c>
      <c r="M1548" s="6">
        <f>HYPERLINK("https://map.naver.com/p/search/조치원읍 신안리 193-2", "지도Link")</f>
        <v/>
      </c>
      <c r="N1548" s="6">
        <f>HYPERLINK("http://www.eum.go.kr/web/ar/lu/luLandDet.jsp?pnu=3611025032101930002&amp;isNoScr=script&amp;mode=search", "토지이음")</f>
        <v/>
      </c>
      <c r="O1548" s="3" t="inlineStr">
        <is>
          <t>고운맘</t>
        </is>
      </c>
      <c r="P1548" s="4" t="n">
        <v>1</v>
      </c>
      <c r="Q1548" s="4" t="n">
        <v>397</v>
      </c>
      <c r="R1548" s="3" t="inlineStr">
        <is>
          <t>지정되지않음</t>
        </is>
      </c>
      <c r="S1548" s="3" t="inlineStr">
        <is>
          <t>단독</t>
        </is>
      </c>
      <c r="T1548" s="3" t="inlineStr">
        <is>
          <t>평지</t>
        </is>
      </c>
      <c r="U1548" s="3" t="inlineStr">
        <is>
          <t>부정형</t>
        </is>
      </c>
      <c r="V1548" s="3" t="inlineStr">
        <is>
          <t>세로한면(불)</t>
        </is>
      </c>
    </row>
    <row r="1549">
      <c r="A1549" s="3" t="inlineStr">
        <is>
          <t>조치원읍 신안리 207-53</t>
        </is>
      </c>
      <c r="B1549" s="3" t="inlineStr">
        <is>
          <t>자연녹지지역</t>
        </is>
      </c>
      <c r="C1549" s="3" t="inlineStr">
        <is>
          <t>전</t>
        </is>
      </c>
      <c r="D1549" s="3" t="inlineStr">
        <is>
          <t>전</t>
        </is>
      </c>
      <c r="E1549" s="3" t="inlineStr">
        <is>
          <t>매매</t>
        </is>
      </c>
      <c r="F1549" s="4" t="n">
        <v>147900</v>
      </c>
      <c r="G1549" s="4" t="n">
        <v>1630</v>
      </c>
      <c r="H1549" s="4" t="n">
        <v>493</v>
      </c>
      <c r="I1549" s="5" t="n">
        <v>300</v>
      </c>
      <c r="J1549" s="5" t="n">
        <v>95.2</v>
      </c>
      <c r="K1549" s="3" t="inlineStr">
        <is>
          <t>1번국도변 가시성좋은 자연녹지. 서창역300미터거리</t>
        </is>
      </c>
      <c r="L1549" s="6">
        <f>HYPERLINK("https://fin.land.naver.com/articles/2649892785", "매물Link")</f>
        <v/>
      </c>
      <c r="M1549" s="6">
        <f>HYPERLINK("https://map.naver.com/p/search/조치원읍 신안리 207-53", "지도Link")</f>
        <v/>
      </c>
      <c r="N1549" s="6">
        <f>HYPERLINK("http://www.eum.go.kr/web/ar/lu/luLandDet.jsp?pnu=3611025032102070053&amp;isNoScr=script&amp;mode=search", "토지이음")</f>
        <v/>
      </c>
      <c r="O1549" s="3" t="inlineStr">
        <is>
          <t>미스터홈즈강남지사</t>
        </is>
      </c>
      <c r="P1549" s="4" t="n">
        <v>1</v>
      </c>
      <c r="Q1549" s="4" t="n">
        <v>1257</v>
      </c>
      <c r="R1549" s="3" t="inlineStr">
        <is>
          <t>지정되지않음</t>
        </is>
      </c>
      <c r="S1549" s="3" t="inlineStr">
        <is>
          <t>답</t>
        </is>
      </c>
      <c r="T1549" s="3" t="inlineStr">
        <is>
          <t>평지</t>
        </is>
      </c>
      <c r="U1549" s="3" t="inlineStr">
        <is>
          <t>부정형</t>
        </is>
      </c>
      <c r="V1549" s="3" t="inlineStr">
        <is>
          <t>맹지</t>
        </is>
      </c>
    </row>
    <row r="1550">
      <c r="A1550" s="3" t="inlineStr">
        <is>
          <t>조치원읍 신안리 243-10</t>
        </is>
      </c>
      <c r="B1550" s="3" t="inlineStr">
        <is>
          <t>자연녹지지역</t>
        </is>
      </c>
      <c r="C1550" s="3" t="inlineStr">
        <is>
          <t>과수원</t>
        </is>
      </c>
      <c r="D1550" s="3" t="inlineStr">
        <is>
          <t>과수원</t>
        </is>
      </c>
      <c r="E1550" s="3" t="inlineStr">
        <is>
          <t>매매</t>
        </is>
      </c>
      <c r="F1550" s="4" t="n">
        <v>98000</v>
      </c>
      <c r="G1550" s="4" t="n">
        <v>1620</v>
      </c>
      <c r="H1550" s="4" t="n">
        <v>490</v>
      </c>
      <c r="I1550" s="5" t="n">
        <v>200</v>
      </c>
      <c r="J1550" s="5" t="n">
        <v>76.5</v>
      </c>
      <c r="K1550" s="3" t="inlineStr">
        <is>
          <t>서창역세권 개발예정지, 홍익대학교 인접, 철도보호지구</t>
        </is>
      </c>
      <c r="L1550" s="6">
        <f>HYPERLINK("https://fin.land.naver.com/articles/2652107211", "매물Link")</f>
        <v/>
      </c>
      <c r="M1550" s="6">
        <f>HYPERLINK("https://map.naver.com/p/search/조치원읍 신안리 243-10", "지도Link")</f>
        <v/>
      </c>
      <c r="N1550" s="6">
        <f>HYPERLINK("http://www.eum.go.kr/web/ar/lu/luLandDet.jsp?pnu=3611025032102430010&amp;isNoScr=script&amp;mode=search", "토지이음")</f>
        <v/>
      </c>
      <c r="O1550" s="3" t="inlineStr">
        <is>
          <t>미스터홈즈강남지사</t>
        </is>
      </c>
      <c r="P1550" s="4" t="n">
        <v>1</v>
      </c>
      <c r="Q1550" s="4" t="n">
        <v>1620</v>
      </c>
      <c r="R1550" s="3" t="inlineStr">
        <is>
          <t>지정되지않음</t>
        </is>
      </c>
      <c r="S1550" s="3" t="inlineStr">
        <is>
          <t>과수원</t>
        </is>
      </c>
      <c r="T1550" s="3" t="inlineStr">
        <is>
          <t>평지</t>
        </is>
      </c>
      <c r="U1550" s="3" t="inlineStr">
        <is>
          <t>부정형</t>
        </is>
      </c>
      <c r="V1550" s="3" t="inlineStr">
        <is>
          <t>세로한면(불)</t>
        </is>
      </c>
    </row>
    <row r="1551">
      <c r="A1551" s="3" t="inlineStr">
        <is>
          <t>조치원읍 신안리 341-17</t>
        </is>
      </c>
      <c r="B1551" s="3" t="inlineStr">
        <is>
          <t>제2종일반주거지역</t>
        </is>
      </c>
      <c r="C1551" s="3" t="inlineStr">
        <is>
          <t>전</t>
        </is>
      </c>
      <c r="D1551" s="3" t="inlineStr">
        <is>
          <t>전</t>
        </is>
      </c>
      <c r="E1551" s="3" t="inlineStr">
        <is>
          <t>매매</t>
        </is>
      </c>
      <c r="F1551" s="4" t="n">
        <v>65000</v>
      </c>
      <c r="G1551" s="4" t="n">
        <v>433</v>
      </c>
      <c r="H1551" s="4" t="n">
        <v>131</v>
      </c>
      <c r="I1551" s="5" t="n">
        <v>496.2</v>
      </c>
      <c r="J1551" s="5" t="n">
        <v>233.8</v>
      </c>
      <c r="K1551" s="3" t="inlineStr">
        <is>
          <t>홍익대 근접 거리, 원룸 지으실 분 추천요.</t>
        </is>
      </c>
      <c r="L1551" s="6">
        <f>HYPERLINK("https://fin.land.naver.com/articles/2650467431", "매물Link")</f>
        <v/>
      </c>
      <c r="M1551" s="6">
        <f>HYPERLINK("https://map.naver.com/p/search/조치원읍 신안리 341-17", "지도Link")</f>
        <v/>
      </c>
      <c r="N1551" s="6">
        <f>HYPERLINK("http://www.eum.go.kr/web/ar/lu/luLandDet.jsp?pnu=3611025032103410017&amp;isNoScr=script&amp;mode=search", "토지이음")</f>
        <v/>
      </c>
      <c r="O1551" s="3" t="inlineStr">
        <is>
          <t>세종공감</t>
        </is>
      </c>
      <c r="P1551" s="4" t="n">
        <v>1</v>
      </c>
      <c r="Q1551" s="4" t="n">
        <v>337</v>
      </c>
      <c r="R1551" s="3" t="inlineStr">
        <is>
          <t>지정되지않음</t>
        </is>
      </c>
      <c r="S1551" s="3" t="inlineStr">
        <is>
          <t>주거나지</t>
        </is>
      </c>
      <c r="T1551" s="3" t="inlineStr">
        <is>
          <t>평지</t>
        </is>
      </c>
      <c r="U1551" s="3" t="inlineStr">
        <is>
          <t>정방형</t>
        </is>
      </c>
      <c r="V1551" s="3" t="inlineStr">
        <is>
          <t>세로한면(가)</t>
        </is>
      </c>
    </row>
    <row r="1552">
      <c r="A1552" s="3" t="inlineStr">
        <is>
          <t>조치원읍 신안리 35-17</t>
        </is>
      </c>
      <c r="B1552" s="3" t="inlineStr">
        <is>
          <t>제2종일반주거지역</t>
        </is>
      </c>
      <c r="C1552" s="3" t="inlineStr">
        <is>
          <t>답</t>
        </is>
      </c>
      <c r="D1552" s="3" t="inlineStr">
        <is>
          <t>답</t>
        </is>
      </c>
      <c r="E1552" s="3" t="inlineStr">
        <is>
          <t>매매</t>
        </is>
      </c>
      <c r="F1552" s="4" t="n">
        <v>285000</v>
      </c>
      <c r="G1552" s="4" t="n">
        <v>1653</v>
      </c>
      <c r="H1552" s="4" t="n">
        <v>500</v>
      </c>
      <c r="I1552" s="5" t="n">
        <v>570</v>
      </c>
      <c r="J1552" s="5" t="n">
        <v>430.4</v>
      </c>
      <c r="K1552" s="3" t="inlineStr">
        <is>
          <t>도시지역 대로접, 2종일반주거지역,넓은 면적 위치좋은 토지</t>
        </is>
      </c>
      <c r="L1552" s="6">
        <f>HYPERLINK("https://fin.land.naver.com/articles/2653435544", "매물Link")</f>
        <v/>
      </c>
      <c r="M1552" s="6">
        <f>HYPERLINK("https://map.naver.com/p/search/조치원읍 신안리 35-17", "지도Link")</f>
        <v/>
      </c>
      <c r="N1552" s="6">
        <f>HYPERLINK("http://www.eum.go.kr/web/ar/lu/luLandDet.jsp?pnu=3611025032100350017&amp;isNoScr=script&amp;mode=search", "토지이음")</f>
        <v/>
      </c>
      <c r="O1552" s="3" t="inlineStr">
        <is>
          <t>고운맘</t>
        </is>
      </c>
      <c r="P1552" s="4" t="n">
        <v>1</v>
      </c>
      <c r="Q1552" s="4" t="n">
        <v>1653</v>
      </c>
      <c r="R1552" s="3" t="inlineStr">
        <is>
          <t>지정되지않음</t>
        </is>
      </c>
      <c r="S1552" s="3" t="inlineStr">
        <is>
          <t>상업나지</t>
        </is>
      </c>
      <c r="T1552" s="3" t="inlineStr">
        <is>
          <t>평지</t>
        </is>
      </c>
      <c r="U1552" s="3" t="inlineStr">
        <is>
          <t>사다리형</t>
        </is>
      </c>
      <c r="V1552" s="3" t="inlineStr">
        <is>
          <t>광대로한면</t>
        </is>
      </c>
    </row>
    <row r="1553">
      <c r="A1553" s="3" t="inlineStr">
        <is>
          <t>조치원읍 신안리 383-1</t>
        </is>
      </c>
      <c r="B1553" s="3" t="inlineStr">
        <is>
          <t>제2종일반주거지역</t>
        </is>
      </c>
      <c r="C1553" s="3" t="inlineStr">
        <is>
          <t>답</t>
        </is>
      </c>
      <c r="D1553" s="3" t="inlineStr">
        <is>
          <t>대</t>
        </is>
      </c>
      <c r="E1553" s="3" t="inlineStr">
        <is>
          <t>매매</t>
        </is>
      </c>
      <c r="F1553" s="4" t="n">
        <v>30000</v>
      </c>
      <c r="G1553" s="4" t="n">
        <v>264</v>
      </c>
      <c r="H1553" s="4" t="n">
        <v>80</v>
      </c>
      <c r="I1553" s="5" t="n">
        <v>375</v>
      </c>
      <c r="J1553" s="5" t="n">
        <v>200.1</v>
      </c>
      <c r="K1553" s="3" t="inlineStr">
        <is>
          <t>2차선도로접,대학교 주변 상권좋음</t>
        </is>
      </c>
      <c r="L1553" s="6">
        <f>HYPERLINK("https://fin.land.naver.com/articles/2651577930", "매물Link")</f>
        <v/>
      </c>
      <c r="M1553" s="6">
        <f>HYPERLINK("https://map.naver.com/p/search/조치원읍 신안리 383-1", "지도Link")</f>
        <v/>
      </c>
      <c r="N1553" s="6">
        <f>HYPERLINK("http://www.eum.go.kr/web/ar/lu/luLandDet.jsp?pnu=3611025032103830001&amp;isNoScr=script&amp;mode=search", "토지이음")</f>
        <v/>
      </c>
      <c r="O1553" s="3" t="inlineStr">
        <is>
          <t>세종연동탑</t>
        </is>
      </c>
      <c r="P1553" s="4" t="n">
        <v>2</v>
      </c>
      <c r="Q1553" s="4" t="n">
        <v>265</v>
      </c>
      <c r="R1553" s="3" t="inlineStr">
        <is>
          <t>지정되지않음</t>
        </is>
      </c>
      <c r="S1553" s="3" t="inlineStr">
        <is>
          <t>주거기타</t>
        </is>
      </c>
      <c r="T1553" s="3" t="inlineStr">
        <is>
          <t>평지</t>
        </is>
      </c>
      <c r="U1553" s="3" t="inlineStr">
        <is>
          <t>사다리형</t>
        </is>
      </c>
      <c r="V1553" s="3" t="inlineStr">
        <is>
          <t>세로한면(가)</t>
        </is>
      </c>
    </row>
    <row r="1554">
      <c r="A1554" s="3" t="inlineStr">
        <is>
          <t>조치원읍 신안리 390</t>
        </is>
      </c>
      <c r="B1554" s="3" t="inlineStr">
        <is>
          <t>제2종일반주거지역</t>
        </is>
      </c>
      <c r="C1554" s="3" t="inlineStr">
        <is>
          <t>대</t>
        </is>
      </c>
      <c r="D1554" s="3" t="inlineStr">
        <is>
          <t>대</t>
        </is>
      </c>
      <c r="E1554" s="3" t="inlineStr">
        <is>
          <t>매매</t>
        </is>
      </c>
      <c r="F1554" s="4" t="n">
        <v>120000</v>
      </c>
      <c r="G1554" s="4" t="n">
        <v>525</v>
      </c>
      <c r="H1554" s="4" t="n">
        <v>159</v>
      </c>
      <c r="I1554" s="5" t="n">
        <v>754.7</v>
      </c>
      <c r="J1554" s="5" t="n">
        <v>418.5</v>
      </c>
      <c r="K1554" s="3" t="inlineStr">
        <is>
          <t>대지가격으로 매매합니다.12억평750만원</t>
        </is>
      </c>
      <c r="L1554" s="6">
        <f>HYPERLINK("https://fin.land.naver.com/articles/2650957174", "매물Link")</f>
        <v/>
      </c>
      <c r="M1554" s="6">
        <f>HYPERLINK("https://map.naver.com/p/search/조치원읍 신안리 390", "지도Link")</f>
        <v/>
      </c>
      <c r="N1554" s="6">
        <f>HYPERLINK("http://www.eum.go.kr/web/ar/lu/luLandDet.jsp?pnu=3611025032103900000&amp;isNoScr=script&amp;mode=search", "토지이음")</f>
        <v/>
      </c>
      <c r="O1554" s="3" t="inlineStr">
        <is>
          <t>고잔역</t>
        </is>
      </c>
      <c r="P1554" s="4" t="n">
        <v>1</v>
      </c>
      <c r="Q1554" s="4" t="n">
        <v>515</v>
      </c>
      <c r="R1554" s="3" t="inlineStr">
        <is>
          <t>지정되지않음</t>
        </is>
      </c>
      <c r="S1554" s="3" t="inlineStr">
        <is>
          <t>상업용</t>
        </is>
      </c>
      <c r="T1554" s="3" t="inlineStr">
        <is>
          <t>평지</t>
        </is>
      </c>
      <c r="U1554" s="3" t="inlineStr">
        <is>
          <t>부정형</t>
        </is>
      </c>
      <c r="V1554" s="3" t="inlineStr">
        <is>
          <t>중로각지</t>
        </is>
      </c>
    </row>
    <row r="1555">
      <c r="A1555" s="3" t="inlineStr">
        <is>
          <t>조치원읍 신안리 436-1</t>
        </is>
      </c>
      <c r="B1555" s="3" t="inlineStr">
        <is>
          <t>자연녹지지역</t>
        </is>
      </c>
      <c r="C1555" s="3" t="inlineStr">
        <is>
          <t>답</t>
        </is>
      </c>
      <c r="D1555" s="3" t="inlineStr">
        <is>
          <t>답</t>
        </is>
      </c>
      <c r="E1555" s="3" t="inlineStr">
        <is>
          <t>매매</t>
        </is>
      </c>
      <c r="F1555" s="4" t="n">
        <v>45000</v>
      </c>
      <c r="G1555" s="4" t="n">
        <v>661</v>
      </c>
      <c r="H1555" s="4" t="n">
        <v>200</v>
      </c>
      <c r="I1555" s="5" t="n">
        <v>225</v>
      </c>
      <c r="J1555" s="5" t="n">
        <v>64.59999999999999</v>
      </c>
      <c r="K1555" s="3" t="inlineStr">
        <is>
          <t>대단지아파트인근, 신안지구개발예정지 인근, 전원주택지 등 다용도 가능</t>
        </is>
      </c>
      <c r="L1555" s="6">
        <f>HYPERLINK("https://fin.land.naver.com/articles/2650311385", "매물Link")</f>
        <v/>
      </c>
      <c r="M1555" s="6">
        <f>HYPERLINK("https://map.naver.com/p/search/조치원읍 신안리 436-1", "지도Link")</f>
        <v/>
      </c>
      <c r="N1555" s="6">
        <f>HYPERLINK("http://www.eum.go.kr/web/ar/lu/luLandDet.jsp?pnu=3611025032104360001&amp;isNoScr=script&amp;mode=search", "토지이음")</f>
        <v/>
      </c>
      <c r="O1555" s="3" t="inlineStr">
        <is>
          <t>세종공감</t>
        </is>
      </c>
      <c r="P1555" s="4" t="n">
        <v>1</v>
      </c>
      <c r="Q1555" s="4" t="n">
        <v>661</v>
      </c>
      <c r="R1555" s="3" t="inlineStr">
        <is>
          <t>지정되지않음</t>
        </is>
      </c>
      <c r="S1555" s="3" t="inlineStr">
        <is>
          <t>전</t>
        </is>
      </c>
      <c r="T1555" s="3" t="inlineStr">
        <is>
          <t>완경사</t>
        </is>
      </c>
      <c r="U1555" s="3" t="inlineStr">
        <is>
          <t>부정형</t>
        </is>
      </c>
      <c r="V1555" s="3" t="inlineStr">
        <is>
          <t>세로한면(가)</t>
        </is>
      </c>
    </row>
    <row r="1556">
      <c r="A1556" s="3" t="inlineStr">
        <is>
          <t>조치원읍 신안리 436-3</t>
        </is>
      </c>
      <c r="B1556" s="3" t="inlineStr">
        <is>
          <t>자연녹지지역</t>
        </is>
      </c>
      <c r="C1556" s="3" t="inlineStr">
        <is>
          <t>전</t>
        </is>
      </c>
      <c r="D1556" s="3" t="inlineStr">
        <is>
          <t>답</t>
        </is>
      </c>
      <c r="E1556" s="3" t="inlineStr">
        <is>
          <t>매매</t>
        </is>
      </c>
      <c r="F1556" s="4" t="n">
        <v>46000</v>
      </c>
      <c r="G1556" s="4" t="n">
        <v>662</v>
      </c>
      <c r="H1556" s="4" t="n">
        <v>200</v>
      </c>
      <c r="I1556" s="5" t="n">
        <v>230</v>
      </c>
      <c r="J1556" s="5" t="n">
        <v>67.8</v>
      </c>
      <c r="K1556" s="3" t="inlineStr">
        <is>
          <t>이편한세상 아파트 983세대  초인접 공영주차장 이용가능</t>
        </is>
      </c>
      <c r="L1556" s="6">
        <f>HYPERLINK("https://fin.land.naver.com/articles/2649611209", "매물Link")</f>
        <v/>
      </c>
      <c r="M1556" s="6">
        <f>HYPERLINK("https://map.naver.com/p/search/조치원읍 신안리 436-3", "지도Link")</f>
        <v/>
      </c>
      <c r="N1556" s="6">
        <f>HYPERLINK("http://www.eum.go.kr/web/ar/lu/luLandDet.jsp?pnu=3611025032104360003&amp;isNoScr=script&amp;mode=search", "토지이음")</f>
        <v/>
      </c>
      <c r="O1556" s="3" t="inlineStr">
        <is>
          <t>그래그</t>
        </is>
      </c>
      <c r="P1556" s="4" t="n">
        <v>2</v>
      </c>
      <c r="Q1556" s="4" t="n">
        <v>662</v>
      </c>
      <c r="R1556" s="3" t="inlineStr">
        <is>
          <t>지정되지않음</t>
        </is>
      </c>
      <c r="S1556" s="3" t="inlineStr">
        <is>
          <t>전</t>
        </is>
      </c>
      <c r="T1556" s="3" t="inlineStr">
        <is>
          <t>완경사</t>
        </is>
      </c>
      <c r="U1556" s="3" t="inlineStr">
        <is>
          <t>사다리형</t>
        </is>
      </c>
      <c r="V1556" s="3" t="inlineStr">
        <is>
          <t>세로한면(가)</t>
        </is>
      </c>
    </row>
    <row r="1557">
      <c r="A1557" s="3" t="inlineStr">
        <is>
          <t>조치원읍 신안리 436-3</t>
        </is>
      </c>
      <c r="B1557" s="3" t="inlineStr">
        <is>
          <t>자연녹지지역</t>
        </is>
      </c>
      <c r="C1557" s="3" t="inlineStr">
        <is>
          <t>전</t>
        </is>
      </c>
      <c r="D1557" s="3" t="inlineStr">
        <is>
          <t>답</t>
        </is>
      </c>
      <c r="E1557" s="3" t="inlineStr">
        <is>
          <t>매매</t>
        </is>
      </c>
      <c r="F1557" s="4" t="n">
        <v>46000</v>
      </c>
      <c r="G1557" s="4" t="n">
        <v>662</v>
      </c>
      <c r="H1557" s="4" t="n">
        <v>200</v>
      </c>
      <c r="I1557" s="5" t="n">
        <v>230</v>
      </c>
      <c r="J1557" s="5" t="n">
        <v>67.8</v>
      </c>
      <c r="K1557" s="3" t="inlineStr">
        <is>
          <t>조치원읍 신안리 자연녹지 토지, 네모반듯, 신안지구 개발지, 단독주택</t>
        </is>
      </c>
      <c r="L1557" s="6">
        <f>HYPERLINK("https://fin.land.naver.com/articles/2654029198", "매물Link")</f>
        <v/>
      </c>
      <c r="M1557" s="6">
        <f>HYPERLINK("https://map.naver.com/p/search/조치원읍 신안리 436-3", "지도Link")</f>
        <v/>
      </c>
      <c r="N1557" s="6">
        <f>HYPERLINK("http://www.eum.go.kr/web/ar/lu/luLandDet.jsp?pnu=3611025032104360003&amp;isNoScr=script&amp;mode=search", "토지이음")</f>
        <v/>
      </c>
      <c r="O1557" s="3" t="inlineStr">
        <is>
          <t>스카이</t>
        </is>
      </c>
      <c r="P1557" s="4" t="n">
        <v>1</v>
      </c>
      <c r="Q1557" s="4" t="n">
        <v>662</v>
      </c>
      <c r="R1557" s="3" t="inlineStr">
        <is>
          <t>지정되지않음</t>
        </is>
      </c>
      <c r="S1557" s="3" t="inlineStr">
        <is>
          <t>전</t>
        </is>
      </c>
      <c r="T1557" s="3" t="inlineStr">
        <is>
          <t>완경사</t>
        </is>
      </c>
      <c r="U1557" s="3" t="inlineStr">
        <is>
          <t>사다리형</t>
        </is>
      </c>
      <c r="V1557" s="3" t="inlineStr">
        <is>
          <t>세로한면(가)</t>
        </is>
      </c>
    </row>
    <row r="1558">
      <c r="A1558" s="3" t="inlineStr">
        <is>
          <t>조치원읍 신안리 436-4</t>
        </is>
      </c>
      <c r="B1558" s="3" t="inlineStr">
        <is>
          <t>자연녹지지역</t>
        </is>
      </c>
      <c r="C1558" s="3" t="inlineStr">
        <is>
          <t>전</t>
        </is>
      </c>
      <c r="D1558" s="3" t="inlineStr">
        <is>
          <t>답</t>
        </is>
      </c>
      <c r="E1558" s="3" t="inlineStr">
        <is>
          <t>매매</t>
        </is>
      </c>
      <c r="F1558" s="4" t="n">
        <v>120000</v>
      </c>
      <c r="G1558" s="4" t="n">
        <v>1256</v>
      </c>
      <c r="H1558" s="4" t="n">
        <v>380</v>
      </c>
      <c r="I1558" s="5" t="n">
        <v>315.8</v>
      </c>
      <c r="J1558" s="5" t="n">
        <v>72.2</v>
      </c>
      <c r="K1558" s="3" t="inlineStr">
        <is>
          <t>신안리 자연녹지 토지, 3면도로 접, 아파트개발지 옆, 근생시설 등</t>
        </is>
      </c>
      <c r="L1558" s="6">
        <f>HYPERLINK("https://fin.land.naver.com/articles/2654029011", "매물Link")</f>
        <v/>
      </c>
      <c r="M1558" s="6">
        <f>HYPERLINK("https://map.naver.com/p/search/조치원읍 신안리 436-4", "지도Link")</f>
        <v/>
      </c>
      <c r="N1558" s="6">
        <f>HYPERLINK("http://www.eum.go.kr/web/ar/lu/luLandDet.jsp?pnu=3611025032104360004&amp;isNoScr=script&amp;mode=search", "토지이음")</f>
        <v/>
      </c>
      <c r="O1558" s="3" t="inlineStr">
        <is>
          <t>스카이</t>
        </is>
      </c>
      <c r="P1558" s="4" t="n">
        <v>1</v>
      </c>
      <c r="Q1558" s="4" t="n">
        <v>932</v>
      </c>
      <c r="R1558" s="3" t="inlineStr">
        <is>
          <t>지정되지않음</t>
        </is>
      </c>
      <c r="S1558" s="3" t="inlineStr">
        <is>
          <t>전</t>
        </is>
      </c>
      <c r="T1558" s="3" t="inlineStr">
        <is>
          <t>완경사</t>
        </is>
      </c>
      <c r="U1558" s="3" t="inlineStr">
        <is>
          <t>사다리형</t>
        </is>
      </c>
      <c r="V1558" s="3" t="inlineStr">
        <is>
          <t>소로한면</t>
        </is>
      </c>
    </row>
    <row r="1559">
      <c r="A1559" s="3" t="inlineStr">
        <is>
          <t>조치원읍 신안리 436-4</t>
        </is>
      </c>
      <c r="B1559" s="3" t="inlineStr">
        <is>
          <t>자연녹지지역</t>
        </is>
      </c>
      <c r="C1559" s="3" t="inlineStr">
        <is>
          <t>전</t>
        </is>
      </c>
      <c r="D1559" s="3" t="inlineStr">
        <is>
          <t>답</t>
        </is>
      </c>
      <c r="E1559" s="3" t="inlineStr">
        <is>
          <t>매매</t>
        </is>
      </c>
      <c r="F1559" s="4" t="n">
        <v>120000</v>
      </c>
      <c r="G1559" s="4" t="n">
        <v>1256</v>
      </c>
      <c r="H1559" s="4" t="n">
        <v>380</v>
      </c>
      <c r="I1559" s="5" t="n">
        <v>315.8</v>
      </c>
      <c r="J1559" s="5" t="n">
        <v>72.2</v>
      </c>
      <c r="K1559" s="3" t="inlineStr">
        <is>
          <t>신안리 이편한세상 아파트 초인접, 3면 포장도로 접한 음식점,커피숍</t>
        </is>
      </c>
      <c r="L1559" s="6">
        <f>HYPERLINK("https://fin.land.naver.com/articles/2650955165", "매물Link")</f>
        <v/>
      </c>
      <c r="M1559" s="6">
        <f>HYPERLINK("https://map.naver.com/p/search/조치원읍 신안리 436-4", "지도Link")</f>
        <v/>
      </c>
      <c r="N1559" s="6">
        <f>HYPERLINK("http://www.eum.go.kr/web/ar/lu/luLandDet.jsp?pnu=3611025032104360004&amp;isNoScr=script&amp;mode=search", "토지이음")</f>
        <v/>
      </c>
      <c r="O1559" s="3" t="inlineStr">
        <is>
          <t>세종나라</t>
        </is>
      </c>
      <c r="P1559" s="4" t="n">
        <v>1</v>
      </c>
      <c r="Q1559" s="4" t="n">
        <v>932</v>
      </c>
      <c r="R1559" s="3" t="inlineStr">
        <is>
          <t>지정되지않음</t>
        </is>
      </c>
      <c r="S1559" s="3" t="inlineStr">
        <is>
          <t>전</t>
        </is>
      </c>
      <c r="T1559" s="3" t="inlineStr">
        <is>
          <t>완경사</t>
        </is>
      </c>
      <c r="U1559" s="3" t="inlineStr">
        <is>
          <t>사다리형</t>
        </is>
      </c>
      <c r="V1559" s="3" t="inlineStr">
        <is>
          <t>소로한면</t>
        </is>
      </c>
    </row>
    <row r="1560">
      <c r="A1560" s="3" t="inlineStr">
        <is>
          <t>조치원읍 신안리 436-4</t>
        </is>
      </c>
      <c r="B1560" s="3" t="inlineStr">
        <is>
          <t>자연녹지지역</t>
        </is>
      </c>
      <c r="C1560" s="3" t="inlineStr">
        <is>
          <t>전</t>
        </is>
      </c>
      <c r="D1560" s="3" t="inlineStr">
        <is>
          <t>답</t>
        </is>
      </c>
      <c r="E1560" s="3" t="inlineStr">
        <is>
          <t>매매</t>
        </is>
      </c>
      <c r="F1560" s="4" t="n">
        <v>120000</v>
      </c>
      <c r="G1560" s="4" t="n">
        <v>932</v>
      </c>
      <c r="H1560" s="4" t="n">
        <v>282</v>
      </c>
      <c r="I1560" s="5" t="n">
        <v>425.5</v>
      </c>
      <c r="J1560" s="5" t="n">
        <v>72.2</v>
      </c>
      <c r="K1560" s="3" t="inlineStr">
        <is>
          <t>3면 포장도로 접함 이편한세상 984세대 인접 공영주차장이용가능</t>
        </is>
      </c>
      <c r="L1560" s="6">
        <f>HYPERLINK("https://fin.land.naver.com/articles/2649618845", "매물Link")</f>
        <v/>
      </c>
      <c r="M1560" s="6">
        <f>HYPERLINK("https://map.naver.com/p/search/조치원읍 신안리 436-4", "지도Link")</f>
        <v/>
      </c>
      <c r="N1560" s="6">
        <f>HYPERLINK("http://www.eum.go.kr/web/ar/lu/luLandDet.jsp?pnu=3611025032104360004&amp;isNoScr=script&amp;mode=search", "토지이음")</f>
        <v/>
      </c>
      <c r="O1560" s="3" t="inlineStr">
        <is>
          <t>그래그</t>
        </is>
      </c>
      <c r="P1560" s="4" t="n">
        <v>1</v>
      </c>
      <c r="Q1560" s="4" t="n">
        <v>932</v>
      </c>
      <c r="R1560" s="3" t="inlineStr">
        <is>
          <t>지정되지않음</t>
        </is>
      </c>
      <c r="S1560" s="3" t="inlineStr">
        <is>
          <t>전</t>
        </is>
      </c>
      <c r="T1560" s="3" t="inlineStr">
        <is>
          <t>완경사</t>
        </is>
      </c>
      <c r="U1560" s="3" t="inlineStr">
        <is>
          <t>사다리형</t>
        </is>
      </c>
      <c r="V1560" s="3" t="inlineStr">
        <is>
          <t>소로한면</t>
        </is>
      </c>
    </row>
    <row r="1561">
      <c r="A1561" s="3" t="inlineStr">
        <is>
          <t>조치원읍 신안리 445-4</t>
        </is>
      </c>
      <c r="B1561" s="3" t="inlineStr">
        <is>
          <t>제2종일반주거지역</t>
        </is>
      </c>
      <c r="C1561" s="3" t="inlineStr">
        <is>
          <t>대</t>
        </is>
      </c>
      <c r="D1561" s="3" t="inlineStr">
        <is>
          <t>대</t>
        </is>
      </c>
      <c r="E1561" s="3" t="inlineStr">
        <is>
          <t>매매</t>
        </is>
      </c>
      <c r="F1561" s="4" t="n">
        <v>150000</v>
      </c>
      <c r="G1561" s="4" t="n">
        <v>635</v>
      </c>
      <c r="H1561" s="4" t="n">
        <v>192</v>
      </c>
      <c r="I1561" s="5" t="n">
        <v>781.2</v>
      </c>
      <c r="J1561" s="5" t="n">
        <v>336.2</v>
      </c>
      <c r="K1561" s="3" t="inlineStr">
        <is>
          <t>입지가 최상인 토지입니다.</t>
        </is>
      </c>
      <c r="L1561" s="6">
        <f>HYPERLINK("https://fin.land.naver.com/articles/2649402434", "매물Link")</f>
        <v/>
      </c>
      <c r="M1561" s="6">
        <f>HYPERLINK("https://map.naver.com/p/search/조치원읍 신안리 445-4", "지도Link")</f>
        <v/>
      </c>
      <c r="N1561" s="6">
        <f>HYPERLINK("http://www.eum.go.kr/web/ar/lu/luLandDet.jsp?pnu=3611025032104450004&amp;isNoScr=script&amp;mode=search", "토지이음")</f>
        <v/>
      </c>
      <c r="O1561" s="3" t="inlineStr">
        <is>
          <t>부자터</t>
        </is>
      </c>
      <c r="P1561" s="4" t="n">
        <v>1</v>
      </c>
      <c r="Q1561" s="4" t="n">
        <v>635</v>
      </c>
      <c r="R1561" s="3" t="inlineStr">
        <is>
          <t>지정되지않음</t>
        </is>
      </c>
      <c r="S1561" s="3" t="inlineStr">
        <is>
          <t>주상기타</t>
        </is>
      </c>
      <c r="T1561" s="3" t="inlineStr">
        <is>
          <t>평지</t>
        </is>
      </c>
      <c r="U1561" s="3" t="inlineStr">
        <is>
          <t>사다리형</t>
        </is>
      </c>
      <c r="V1561" s="3" t="inlineStr">
        <is>
          <t>소로한면</t>
        </is>
      </c>
    </row>
    <row r="1562">
      <c r="A1562" s="3" t="inlineStr">
        <is>
          <t>조치원읍 신안리 산13</t>
        </is>
      </c>
      <c r="B1562" s="3" t="inlineStr">
        <is>
          <t>자연녹지지역</t>
        </is>
      </c>
      <c r="C1562" s="3" t="inlineStr">
        <is>
          <t>임야</t>
        </is>
      </c>
      <c r="D1562" s="3" t="inlineStr">
        <is>
          <t>임야</t>
        </is>
      </c>
      <c r="E1562" s="3" t="inlineStr">
        <is>
          <t>매매</t>
        </is>
      </c>
      <c r="F1562" s="4" t="n">
        <v>300000</v>
      </c>
      <c r="G1562" s="4" t="n">
        <v>10909</v>
      </c>
      <c r="H1562" s="4" t="n">
        <v>3300</v>
      </c>
      <c r="I1562" s="5" t="n">
        <v>90.90000000000001</v>
      </c>
      <c r="J1562" s="5" t="n">
        <v>18.7</v>
      </c>
      <c r="K1562" s="3" t="inlineStr">
        <is>
          <t>제2종일반주거지역 성장관리계획구역</t>
        </is>
      </c>
      <c r="L1562" s="6">
        <f>HYPERLINK("https://fin.land.naver.com/articles/2652865397", "매물Link")</f>
        <v/>
      </c>
      <c r="M1562" s="6">
        <f>HYPERLINK("https://map.naver.com/p/search/조치원읍 신안리 산13", "지도Link")</f>
        <v/>
      </c>
      <c r="N1562" s="6">
        <f>HYPERLINK("http://www.eum.go.kr/web/ar/lu/luLandDet.jsp?pnu=3611025032200130000&amp;isNoScr=script&amp;mode=search", "토지이음")</f>
        <v/>
      </c>
      <c r="O1562" s="3" t="inlineStr">
        <is>
          <t>건국</t>
        </is>
      </c>
      <c r="P1562" s="4" t="n">
        <v>1</v>
      </c>
      <c r="Q1562" s="4" t="n">
        <v>10909</v>
      </c>
      <c r="R1562" s="3" t="inlineStr">
        <is>
          <t>제2종일반주거지역</t>
        </is>
      </c>
      <c r="S1562" s="3" t="inlineStr">
        <is>
          <t>자연림</t>
        </is>
      </c>
      <c r="T1562" s="3" t="inlineStr">
        <is>
          <t>급경사</t>
        </is>
      </c>
      <c r="U1562" s="3" t="inlineStr">
        <is>
          <t>부정형</t>
        </is>
      </c>
      <c r="V1562" s="3" t="inlineStr">
        <is>
          <t>맹지</t>
        </is>
      </c>
    </row>
    <row r="1563">
      <c r="A1563" s="3" t="inlineStr">
        <is>
          <t>조치원읍 신안리 산8-37</t>
        </is>
      </c>
      <c r="B1563" s="3" t="inlineStr">
        <is>
          <t>자연녹지지역</t>
        </is>
      </c>
      <c r="C1563" s="3" t="inlineStr">
        <is>
          <t>임야</t>
        </is>
      </c>
      <c r="D1563" s="3" t="inlineStr">
        <is>
          <t>임야</t>
        </is>
      </c>
      <c r="E1563" s="3" t="inlineStr">
        <is>
          <t>매매</t>
        </is>
      </c>
      <c r="F1563" s="4" t="n">
        <v>150000</v>
      </c>
      <c r="G1563" s="4" t="n">
        <v>10118</v>
      </c>
      <c r="H1563" s="4" t="n">
        <v>3061</v>
      </c>
      <c r="I1563" s="5" t="n">
        <v>49</v>
      </c>
      <c r="J1563" s="5" t="n">
        <v>9.199999999999999</v>
      </c>
      <c r="K1563" s="3" t="inlineStr">
        <is>
          <t>총5필지,세종 홍대근접,도로접</t>
        </is>
      </c>
      <c r="L1563" s="6">
        <f>HYPERLINK("https://fin.land.naver.com/articles/2651521476", "매물Link")</f>
        <v/>
      </c>
      <c r="M1563" s="6">
        <f>HYPERLINK("https://map.naver.com/p/search/조치원읍 신안리 산8-37", "지도Link")</f>
        <v/>
      </c>
      <c r="N1563" s="6">
        <f>HYPERLINK("http://www.eum.go.kr/web/ar/lu/luLandDet.jsp?pnu=3611025032200080037&amp;isNoScr=script&amp;mode=search", "토지이음")</f>
        <v/>
      </c>
      <c r="O1563" s="3" t="inlineStr">
        <is>
          <t>담뜰</t>
        </is>
      </c>
      <c r="P1563" s="4" t="n">
        <v>1</v>
      </c>
      <c r="Q1563" s="4" t="n">
        <v>1652</v>
      </c>
      <c r="R1563" s="3" t="inlineStr">
        <is>
          <t>보전녹지지역</t>
        </is>
      </c>
      <c r="S1563" s="3" t="inlineStr">
        <is>
          <t>자연림</t>
        </is>
      </c>
      <c r="T1563" s="3" t="inlineStr">
        <is>
          <t>급경사</t>
        </is>
      </c>
      <c r="U1563" s="3" t="inlineStr">
        <is>
          <t>사다리형</t>
        </is>
      </c>
      <c r="V1563" s="3" t="inlineStr">
        <is>
          <t>맹지</t>
        </is>
      </c>
    </row>
    <row r="1564">
      <c r="A1564" s="3" t="inlineStr">
        <is>
          <t>조치원읍 신흥리 1-5</t>
        </is>
      </c>
      <c r="B1564" s="3" t="inlineStr">
        <is>
          <t>제2종일반주거지역</t>
        </is>
      </c>
      <c r="C1564" s="3" t="inlineStr">
        <is>
          <t>대</t>
        </is>
      </c>
      <c r="D1564" s="3" t="inlineStr">
        <is>
          <t>대</t>
        </is>
      </c>
      <c r="E1564" s="3" t="inlineStr">
        <is>
          <t>매매</t>
        </is>
      </c>
      <c r="F1564" s="4" t="n">
        <v>77000</v>
      </c>
      <c r="G1564" s="4" t="n">
        <v>513</v>
      </c>
      <c r="H1564" s="4" t="n">
        <v>155</v>
      </c>
      <c r="I1564" s="5" t="n">
        <v>496.8</v>
      </c>
      <c r="J1564" s="5" t="n">
        <v>188.2</v>
      </c>
      <c r="K1564" s="3" t="inlineStr">
        <is>
          <t>신흥리 코너 넓은 나대지 활용가치좋음,금액협의</t>
        </is>
      </c>
      <c r="L1564" s="6">
        <f>HYPERLINK("https://fin.land.naver.com/articles/2651981278", "매물Link")</f>
        <v/>
      </c>
      <c r="M1564" s="6">
        <f>HYPERLINK("https://map.naver.com/p/search/조치원읍 신흥리 1-5", "지도Link")</f>
        <v/>
      </c>
      <c r="N1564" s="6">
        <f>HYPERLINK("http://www.eum.go.kr/web/ar/lu/luLandDet.jsp?pnu=3611025029100010005&amp;isNoScr=script&amp;mode=search", "토지이음")</f>
        <v/>
      </c>
      <c r="O1564" s="3" t="inlineStr">
        <is>
          <t>다옴</t>
        </is>
      </c>
      <c r="P1564" s="4" t="n">
        <v>1</v>
      </c>
      <c r="Q1564" s="4" t="n">
        <v>513</v>
      </c>
      <c r="R1564" s="3" t="inlineStr">
        <is>
          <t>지정되지않음</t>
        </is>
      </c>
      <c r="S1564" s="3" t="inlineStr">
        <is>
          <t>주거나지</t>
        </is>
      </c>
      <c r="T1564" s="3" t="inlineStr">
        <is>
          <t>평지</t>
        </is>
      </c>
      <c r="U1564" s="3" t="inlineStr">
        <is>
          <t>사다리형</t>
        </is>
      </c>
      <c r="V1564" s="3" t="inlineStr">
        <is>
          <t>소로각지</t>
        </is>
      </c>
    </row>
    <row r="1565">
      <c r="A1565" s="3" t="inlineStr">
        <is>
          <t>조치원읍 신흥리 100-2</t>
        </is>
      </c>
      <c r="B1565" s="3" t="inlineStr">
        <is>
          <t>제2종일반주거지역</t>
        </is>
      </c>
      <c r="C1565" s="3" t="inlineStr">
        <is>
          <t>전</t>
        </is>
      </c>
      <c r="D1565" s="3" t="inlineStr">
        <is>
          <t>전</t>
        </is>
      </c>
      <c r="E1565" s="3" t="inlineStr">
        <is>
          <t>매매</t>
        </is>
      </c>
      <c r="F1565" s="4" t="n">
        <v>17000</v>
      </c>
      <c r="G1565" s="4" t="n">
        <v>188</v>
      </c>
      <c r="H1565" s="4" t="n">
        <v>57</v>
      </c>
      <c r="I1565" s="5" t="n">
        <v>298.2</v>
      </c>
      <c r="J1565" s="5" t="n">
        <v>196.8</v>
      </c>
      <c r="K1565" s="3" t="inlineStr">
        <is>
          <t>신흥리 2종일반주거지역 급매. 맹지이나 진입로 있음</t>
        </is>
      </c>
      <c r="L1565" s="6">
        <f>HYPERLINK("https://fin.land.naver.com/articles/2652663257", "매물Link")</f>
        <v/>
      </c>
      <c r="M1565" s="6">
        <f>HYPERLINK("https://map.naver.com/p/search/조치원읍 신흥리 100-2", "지도Link")</f>
        <v/>
      </c>
      <c r="N1565" s="6">
        <f>HYPERLINK("http://www.eum.go.kr/web/ar/lu/luLandDet.jsp?pnu=3611025029101000002&amp;isNoScr=script&amp;mode=search", "토지이음")</f>
        <v/>
      </c>
      <c r="O1565" s="3" t="inlineStr">
        <is>
          <t>세종대장</t>
        </is>
      </c>
      <c r="P1565" s="4" t="n">
        <v>1</v>
      </c>
      <c r="Q1565" s="4" t="n">
        <v>188</v>
      </c>
      <c r="R1565" s="3" t="inlineStr">
        <is>
          <t>지정되지않음</t>
        </is>
      </c>
      <c r="S1565" s="3" t="inlineStr">
        <is>
          <t>단독</t>
        </is>
      </c>
      <c r="T1565" s="3" t="inlineStr">
        <is>
          <t>평지</t>
        </is>
      </c>
      <c r="U1565" s="3" t="inlineStr">
        <is>
          <t>정방형</t>
        </is>
      </c>
      <c r="V1565" s="3" t="inlineStr">
        <is>
          <t>세로한면(불)</t>
        </is>
      </c>
    </row>
    <row r="1566">
      <c r="A1566" s="3" t="inlineStr">
        <is>
          <t>조치원읍 신흥리 198-1</t>
        </is>
      </c>
      <c r="B1566" s="3" t="inlineStr">
        <is>
          <t>제2종일반주거지역</t>
        </is>
      </c>
      <c r="C1566" s="3" t="inlineStr">
        <is>
          <t>잡종지</t>
        </is>
      </c>
      <c r="D1566" s="3" t="inlineStr">
        <is>
          <t>잡종지</t>
        </is>
      </c>
      <c r="E1566" s="3" t="inlineStr">
        <is>
          <t>매매</t>
        </is>
      </c>
      <c r="F1566" s="4" t="n">
        <v>390000</v>
      </c>
      <c r="G1566" s="4" t="n">
        <v>1797</v>
      </c>
      <c r="H1566" s="4" t="n">
        <v>544</v>
      </c>
      <c r="I1566" s="5" t="n">
        <v>716.9</v>
      </c>
      <c r="J1566" s="5" t="n">
        <v>435.4</v>
      </c>
      <c r="K1566" s="3" t="inlineStr">
        <is>
          <t>신흥 아파트단지 중심지역 대도로변 코너각지</t>
        </is>
      </c>
      <c r="L1566" s="6">
        <f>HYPERLINK("https://fin.land.naver.com/articles/2654528051", "매물Link")</f>
        <v/>
      </c>
      <c r="M1566" s="6">
        <f>HYPERLINK("https://map.naver.com/p/search/조치원읍 신흥리 198-1", "지도Link")</f>
        <v/>
      </c>
      <c r="N1566" s="6">
        <f>HYPERLINK("http://www.eum.go.kr/web/ar/lu/luLandDet.jsp?pnu=3611025029101980001&amp;isNoScr=script&amp;mode=search", "토지이음")</f>
        <v/>
      </c>
      <c r="O1566" s="3" t="inlineStr">
        <is>
          <t>뉴신세계</t>
        </is>
      </c>
      <c r="P1566" s="4" t="n">
        <v>2</v>
      </c>
      <c r="Q1566" s="4" t="n">
        <v>1797</v>
      </c>
      <c r="R1566" s="3" t="inlineStr">
        <is>
          <t>지정되지않음</t>
        </is>
      </c>
      <c r="S1566" s="3" t="inlineStr">
        <is>
          <t>상업용</t>
        </is>
      </c>
      <c r="T1566" s="3" t="inlineStr">
        <is>
          <t>평지</t>
        </is>
      </c>
      <c r="U1566" s="3" t="inlineStr">
        <is>
          <t>부정형</t>
        </is>
      </c>
      <c r="V1566" s="3" t="inlineStr">
        <is>
          <t>중로각지</t>
        </is>
      </c>
    </row>
    <row r="1567">
      <c r="A1567" s="3" t="inlineStr">
        <is>
          <t>조치원읍 신흥리 288-1</t>
        </is>
      </c>
      <c r="B1567" s="3" t="inlineStr">
        <is>
          <t>제2종일반주거지역</t>
        </is>
      </c>
      <c r="C1567" s="3" t="inlineStr">
        <is>
          <t>대</t>
        </is>
      </c>
      <c r="D1567" s="3" t="inlineStr">
        <is>
          <t>대</t>
        </is>
      </c>
      <c r="E1567" s="3" t="inlineStr">
        <is>
          <t>매매</t>
        </is>
      </c>
      <c r="F1567" s="4" t="n">
        <v>31000</v>
      </c>
      <c r="G1567" s="4" t="n">
        <v>245</v>
      </c>
      <c r="H1567" s="4" t="n">
        <v>74</v>
      </c>
      <c r="I1567" s="5" t="n">
        <v>418.9</v>
      </c>
      <c r="J1567" s="5" t="n">
        <v>246.6</v>
      </c>
      <c r="K1567" s="3" t="inlineStr">
        <is>
          <t>투자가치가 높은 세종시 조치원읍 신흥리 토지</t>
        </is>
      </c>
      <c r="L1567" s="6">
        <f>HYPERLINK("https://fin.land.naver.com/articles/2654358579", "매물Link")</f>
        <v/>
      </c>
      <c r="M1567" s="6">
        <f>HYPERLINK("https://map.naver.com/p/search/조치원읍 신흥리 288-1", "지도Link")</f>
        <v/>
      </c>
      <c r="N1567" s="6">
        <f>HYPERLINK("http://www.eum.go.kr/web/ar/lu/luLandDet.jsp?pnu=3611025029102880001&amp;isNoScr=script&amp;mode=search", "토지이음")</f>
        <v/>
      </c>
      <c r="O1567" s="3" t="inlineStr">
        <is>
          <t>비전</t>
        </is>
      </c>
      <c r="P1567" s="4" t="n">
        <v>1</v>
      </c>
      <c r="Q1567" s="4" t="n">
        <v>245</v>
      </c>
      <c r="R1567" s="3" t="inlineStr">
        <is>
          <t>지정되지않음</t>
        </is>
      </c>
      <c r="S1567" s="3" t="inlineStr">
        <is>
          <t>단독</t>
        </is>
      </c>
      <c r="T1567" s="3" t="inlineStr">
        <is>
          <t>평지</t>
        </is>
      </c>
      <c r="U1567" s="3" t="inlineStr">
        <is>
          <t>가로장방</t>
        </is>
      </c>
      <c r="V1567" s="3" t="inlineStr">
        <is>
          <t>소로한면</t>
        </is>
      </c>
    </row>
    <row r="1568">
      <c r="A1568" s="3" t="inlineStr">
        <is>
          <t>조치원읍 신흥리 288-2</t>
        </is>
      </c>
      <c r="B1568" s="3" t="inlineStr">
        <is>
          <t>제2종일반주거지역</t>
        </is>
      </c>
      <c r="C1568" s="3" t="inlineStr">
        <is>
          <t>대</t>
        </is>
      </c>
      <c r="D1568" s="3" t="inlineStr">
        <is>
          <t>대</t>
        </is>
      </c>
      <c r="E1568" s="3" t="inlineStr">
        <is>
          <t>매매</t>
        </is>
      </c>
      <c r="F1568" s="4" t="n">
        <v>45000</v>
      </c>
      <c r="G1568" s="4" t="n">
        <v>299</v>
      </c>
      <c r="H1568" s="4" t="n">
        <v>90</v>
      </c>
      <c r="I1568" s="5" t="n">
        <v>500</v>
      </c>
      <c r="J1568" s="5" t="n">
        <v>244.2</v>
      </c>
      <c r="K1568" s="3" t="inlineStr">
        <is>
          <t>투자가치가 높은 세종시 조치원읍 신흥리 토지</t>
        </is>
      </c>
      <c r="L1568" s="6">
        <f>HYPERLINK("https://fin.land.naver.com/articles/2654230232", "매물Link")</f>
        <v/>
      </c>
      <c r="M1568" s="6">
        <f>HYPERLINK("https://map.naver.com/p/search/조치원읍 신흥리 288-2", "지도Link")</f>
        <v/>
      </c>
      <c r="N1568" s="6">
        <f>HYPERLINK("http://www.eum.go.kr/web/ar/lu/luLandDet.jsp?pnu=3611025029102880002&amp;isNoScr=script&amp;mode=search", "토지이음")</f>
        <v/>
      </c>
      <c r="O1568" s="3" t="inlineStr">
        <is>
          <t>비전</t>
        </is>
      </c>
      <c r="P1568" s="4" t="n">
        <v>1</v>
      </c>
      <c r="Q1568" s="4" t="n">
        <v>299</v>
      </c>
      <c r="R1568" s="3" t="inlineStr">
        <is>
          <t>지정되지않음</t>
        </is>
      </c>
      <c r="S1568" s="3" t="inlineStr">
        <is>
          <t>단독</t>
        </is>
      </c>
      <c r="T1568" s="3" t="inlineStr">
        <is>
          <t>평지</t>
        </is>
      </c>
      <c r="U1568" s="3" t="inlineStr">
        <is>
          <t>사다리형</t>
        </is>
      </c>
      <c r="V1568" s="3" t="inlineStr">
        <is>
          <t>소로한면</t>
        </is>
      </c>
    </row>
    <row r="1569">
      <c r="A1569" s="3" t="inlineStr">
        <is>
          <t>조치원읍 신흥리 304-1</t>
        </is>
      </c>
      <c r="B1569" s="3" t="inlineStr">
        <is>
          <t>제1종일반주거지역</t>
        </is>
      </c>
      <c r="C1569" s="3" t="inlineStr">
        <is>
          <t>전</t>
        </is>
      </c>
      <c r="D1569" s="3" t="inlineStr">
        <is>
          <t>전</t>
        </is>
      </c>
      <c r="E1569" s="3" t="inlineStr">
        <is>
          <t>매매</t>
        </is>
      </c>
      <c r="F1569" s="4" t="n">
        <v>205000</v>
      </c>
      <c r="G1569" s="4" t="n">
        <v>1679</v>
      </c>
      <c r="H1569" s="4" t="n">
        <v>508</v>
      </c>
      <c r="I1569" s="5" t="n">
        <v>403.5</v>
      </c>
      <c r="J1569" s="5" t="n">
        <v>147.3</v>
      </c>
      <c r="K1569" s="3" t="inlineStr">
        <is>
          <t>이쁜 모양의 토지 분할매수도 가능</t>
        </is>
      </c>
      <c r="L1569" s="6">
        <f>HYPERLINK("https://fin.land.naver.com/articles/2651577271", "매물Link")</f>
        <v/>
      </c>
      <c r="M1569" s="6">
        <f>HYPERLINK("https://map.naver.com/p/search/조치원읍 신흥리 304-1", "지도Link")</f>
        <v/>
      </c>
      <c r="N1569" s="6">
        <f>HYPERLINK("http://www.eum.go.kr/web/ar/lu/luLandDet.jsp?pnu=3611025029103040001&amp;isNoScr=script&amp;mode=search", "토지이음")</f>
        <v/>
      </c>
      <c r="O1569" s="3" t="inlineStr">
        <is>
          <t>여기로</t>
        </is>
      </c>
      <c r="P1569" s="4" t="n">
        <v>1</v>
      </c>
      <c r="Q1569" s="4" t="n">
        <v>1667</v>
      </c>
      <c r="R1569" s="3" t="inlineStr">
        <is>
          <t>지정되지않음</t>
        </is>
      </c>
      <c r="S1569" s="3" t="inlineStr">
        <is>
          <t>과수원</t>
        </is>
      </c>
      <c r="T1569" s="3" t="inlineStr">
        <is>
          <t>평지</t>
        </is>
      </c>
      <c r="U1569" s="3" t="inlineStr">
        <is>
          <t>부정형</t>
        </is>
      </c>
      <c r="V1569" s="3" t="inlineStr">
        <is>
          <t>세로한면(가)</t>
        </is>
      </c>
    </row>
    <row r="1570">
      <c r="A1570" s="3" t="inlineStr">
        <is>
          <t>조치원읍 신흥리 49-19</t>
        </is>
      </c>
      <c r="B1570" s="3" t="inlineStr">
        <is>
          <t>제2종일반주거지역</t>
        </is>
      </c>
      <c r="C1570" s="3" t="inlineStr">
        <is>
          <t>대</t>
        </is>
      </c>
      <c r="D1570" s="3" t="inlineStr">
        <is>
          <t>대</t>
        </is>
      </c>
      <c r="E1570" s="3" t="inlineStr">
        <is>
          <t>매매</t>
        </is>
      </c>
      <c r="F1570" s="4" t="n">
        <v>33000</v>
      </c>
      <c r="G1570" s="4" t="n">
        <v>239</v>
      </c>
      <c r="H1570" s="4" t="n">
        <v>72</v>
      </c>
      <c r="I1570" s="5" t="n">
        <v>458.3</v>
      </c>
      <c r="J1570" s="5" t="n">
        <v>161.8</v>
      </c>
      <c r="K1570" s="3" t="inlineStr">
        <is>
          <t>급,조치원역 뒤,신축,투자,보유 좋은 저렴토지</t>
        </is>
      </c>
      <c r="L1570" s="6">
        <f>HYPERLINK("https://fin.land.naver.com/articles/2651980448", "매물Link")</f>
        <v/>
      </c>
      <c r="M1570" s="6">
        <f>HYPERLINK("https://map.naver.com/p/search/조치원읍 신흥리 49-19", "지도Link")</f>
        <v/>
      </c>
      <c r="N1570" s="6">
        <f>HYPERLINK("http://www.eum.go.kr/web/ar/lu/luLandDet.jsp?pnu=3611025029100490019&amp;isNoScr=script&amp;mode=search", "토지이음")</f>
        <v/>
      </c>
      <c r="O1570" s="3" t="inlineStr">
        <is>
          <t>다옴</t>
        </is>
      </c>
      <c r="P1570" s="4" t="n">
        <v>1</v>
      </c>
      <c r="Q1570" s="4" t="n">
        <v>130</v>
      </c>
      <c r="R1570" s="3" t="inlineStr">
        <is>
          <t>지정되지않음</t>
        </is>
      </c>
      <c r="S1570" s="3" t="inlineStr">
        <is>
          <t>단독</t>
        </is>
      </c>
      <c r="T1570" s="3" t="inlineStr">
        <is>
          <t>평지</t>
        </is>
      </c>
      <c r="U1570" s="3" t="inlineStr">
        <is>
          <t>자루형</t>
        </is>
      </c>
      <c r="V1570" s="3" t="inlineStr">
        <is>
          <t>세로한면(가)</t>
        </is>
      </c>
    </row>
    <row r="1571">
      <c r="A1571" s="3" t="inlineStr">
        <is>
          <t>조치원읍 신흥리 55-2</t>
        </is>
      </c>
      <c r="B1571" s="3" t="inlineStr">
        <is>
          <t>제2종일반주거지역</t>
        </is>
      </c>
      <c r="C1571" s="3" t="inlineStr">
        <is>
          <t>대</t>
        </is>
      </c>
      <c r="D1571" s="3" t="inlineStr">
        <is>
          <t>대</t>
        </is>
      </c>
      <c r="E1571" s="3" t="inlineStr">
        <is>
          <t>매매</t>
        </is>
      </c>
      <c r="F1571" s="4" t="n">
        <v>22000</v>
      </c>
      <c r="G1571" s="4" t="n">
        <v>121</v>
      </c>
      <c r="H1571" s="4" t="n">
        <v>37</v>
      </c>
      <c r="I1571" s="5" t="n">
        <v>594.6</v>
      </c>
      <c r="J1571" s="5" t="n">
        <v>187.2</v>
      </c>
      <c r="K1571" s="3" t="inlineStr">
        <is>
          <t>보건소옆 코너각지 토지매매</t>
        </is>
      </c>
      <c r="L1571" s="6">
        <f>HYPERLINK("https://fin.land.naver.com/articles/2653068635", "매물Link")</f>
        <v/>
      </c>
      <c r="M1571" s="6">
        <f>HYPERLINK("https://map.naver.com/p/search/조치원읍 신흥리 55-2", "지도Link")</f>
        <v/>
      </c>
      <c r="N1571" s="6">
        <f>HYPERLINK("http://www.eum.go.kr/web/ar/lu/luLandDet.jsp?pnu=3611025029100550002&amp;isNoScr=script&amp;mode=search", "토지이음")</f>
        <v/>
      </c>
      <c r="O1571" s="3" t="inlineStr">
        <is>
          <t>세종땅사랑</t>
        </is>
      </c>
      <c r="P1571" s="4" t="n">
        <v>1</v>
      </c>
      <c r="Q1571" s="4" t="n">
        <v>121</v>
      </c>
      <c r="R1571" s="3" t="inlineStr">
        <is>
          <t>지정되지않음</t>
        </is>
      </c>
      <c r="S1571" s="3" t="inlineStr">
        <is>
          <t>단독</t>
        </is>
      </c>
      <c r="T1571" s="3" t="inlineStr">
        <is>
          <t>평지</t>
        </is>
      </c>
      <c r="U1571" s="3" t="inlineStr">
        <is>
          <t>사다리형</t>
        </is>
      </c>
      <c r="V1571" s="3" t="inlineStr">
        <is>
          <t>소로각지</t>
        </is>
      </c>
    </row>
    <row r="1572">
      <c r="A1572" s="3" t="inlineStr">
        <is>
          <t>조치원읍 신흥리 62-8</t>
        </is>
      </c>
      <c r="B1572" s="3" t="inlineStr">
        <is>
          <t>제2종일반주거지역</t>
        </is>
      </c>
      <c r="C1572" s="3" t="inlineStr">
        <is>
          <t>대</t>
        </is>
      </c>
      <c r="D1572" s="3" t="inlineStr">
        <is>
          <t>대</t>
        </is>
      </c>
      <c r="E1572" s="3" t="inlineStr">
        <is>
          <t>매매</t>
        </is>
      </c>
      <c r="F1572" s="4" t="n">
        <v>63900</v>
      </c>
      <c r="G1572" s="4" t="n">
        <v>469</v>
      </c>
      <c r="H1572" s="4" t="n">
        <v>142</v>
      </c>
      <c r="I1572" s="5" t="n">
        <v>450</v>
      </c>
      <c r="J1572" s="5" t="n">
        <v>302.4</v>
      </c>
      <c r="K1572" s="3" t="inlineStr">
        <is>
          <t>신흥리 2차선 접한 토지 사옥및주택추천</t>
        </is>
      </c>
      <c r="L1572" s="6">
        <f>HYPERLINK("https://fin.land.naver.com/articles/2651708291", "매물Link")</f>
        <v/>
      </c>
      <c r="M1572" s="6">
        <f>HYPERLINK("https://map.naver.com/p/search/조치원읍 신흥리 62-8", "지도Link")</f>
        <v/>
      </c>
      <c r="N1572" s="6">
        <f>HYPERLINK("http://www.eum.go.kr/web/ar/lu/luLandDet.jsp?pnu=3611025029100620008&amp;isNoScr=script&amp;mode=search", "토지이음")</f>
        <v/>
      </c>
      <c r="O1572" s="3" t="inlineStr">
        <is>
          <t>OK수</t>
        </is>
      </c>
      <c r="P1572" s="4" t="n">
        <v>1</v>
      </c>
      <c r="Q1572" s="4" t="n">
        <v>400</v>
      </c>
      <c r="R1572" s="3" t="inlineStr">
        <is>
          <t>지정되지않음</t>
        </is>
      </c>
      <c r="S1572" s="3" t="inlineStr">
        <is>
          <t>공업용</t>
        </is>
      </c>
      <c r="T1572" s="3" t="inlineStr">
        <is>
          <t>평지</t>
        </is>
      </c>
      <c r="U1572" s="3" t="inlineStr">
        <is>
          <t>자루형</t>
        </is>
      </c>
      <c r="V1572" s="3" t="inlineStr">
        <is>
          <t>소로한면</t>
        </is>
      </c>
    </row>
    <row r="1573">
      <c r="A1573" s="3" t="inlineStr">
        <is>
          <t>조치원읍 원리 8-9</t>
        </is>
      </c>
      <c r="B1573" s="3" t="inlineStr">
        <is>
          <t>일반상업지역</t>
        </is>
      </c>
      <c r="C1573" s="3" t="inlineStr">
        <is>
          <t>대</t>
        </is>
      </c>
      <c r="D1573" s="3" t="inlineStr">
        <is>
          <t>대</t>
        </is>
      </c>
      <c r="E1573" s="3" t="inlineStr">
        <is>
          <t>매매</t>
        </is>
      </c>
      <c r="F1573" s="4" t="n">
        <v>260000</v>
      </c>
      <c r="G1573" s="4" t="n">
        <v>546</v>
      </c>
      <c r="H1573" s="4" t="n">
        <v>165</v>
      </c>
      <c r="I1573" s="5" t="n">
        <v>1575.8</v>
      </c>
      <c r="J1573" s="5" t="n">
        <v>1082.3</v>
      </c>
      <c r="K1573" s="3" t="inlineStr">
        <is>
          <t>nan</t>
        </is>
      </c>
      <c r="L1573" s="6">
        <f>HYPERLINK("https://fin.land.naver.com/articles/2651529141", "매물Link")</f>
        <v/>
      </c>
      <c r="M1573" s="6">
        <f>HYPERLINK("https://map.naver.com/p/search/조치원읍 원리 8-9", "지도Link")</f>
        <v/>
      </c>
      <c r="N1573" s="6">
        <f>HYPERLINK("http://www.eum.go.kr/web/ar/lu/luLandDet.jsp?pnu=3611025021100080009&amp;isNoScr=script&amp;mode=search", "토지이음")</f>
        <v/>
      </c>
      <c r="O1573" s="3" t="inlineStr">
        <is>
          <t>한아름</t>
        </is>
      </c>
      <c r="P1573" s="4" t="n">
        <v>1</v>
      </c>
      <c r="Q1573" s="4" t="n">
        <v>473.1</v>
      </c>
      <c r="R1573" s="3" t="inlineStr">
        <is>
          <t>지정되지않음</t>
        </is>
      </c>
      <c r="S1573" s="3" t="inlineStr">
        <is>
          <t>상업용</t>
        </is>
      </c>
      <c r="T1573" s="3" t="inlineStr">
        <is>
          <t>평지</t>
        </is>
      </c>
      <c r="U1573" s="3" t="inlineStr">
        <is>
          <t>자루형</t>
        </is>
      </c>
      <c r="V1573" s="3" t="inlineStr">
        <is>
          <t>중로각지</t>
        </is>
      </c>
    </row>
    <row r="1574">
      <c r="A1574" s="3" t="inlineStr">
        <is>
          <t>조치원읍 정리 52-6</t>
        </is>
      </c>
      <c r="B1574" s="3" t="inlineStr">
        <is>
          <t>준주거지역</t>
        </is>
      </c>
      <c r="C1574" s="3" t="inlineStr">
        <is>
          <t>대</t>
        </is>
      </c>
      <c r="D1574" s="3" t="inlineStr">
        <is>
          <t>대</t>
        </is>
      </c>
      <c r="E1574" s="3" t="inlineStr">
        <is>
          <t>매매</t>
        </is>
      </c>
      <c r="F1574" s="4" t="n">
        <v>260000</v>
      </c>
      <c r="G1574" s="4" t="n">
        <v>1191</v>
      </c>
      <c r="H1574" s="4" t="n">
        <v>360</v>
      </c>
      <c r="I1574" s="5" t="n">
        <v>722.2</v>
      </c>
      <c r="J1574" s="5" t="n">
        <v>194.4</v>
      </c>
      <c r="K1574" s="3" t="inlineStr">
        <is>
          <t>전통시장 근접한 대지로 단독주택 또는 원룸건축에 좋은 위치입니다.</t>
        </is>
      </c>
      <c r="L1574" s="6">
        <f>HYPERLINK("https://fin.land.naver.com/articles/2649493411", "매물Link")</f>
        <v/>
      </c>
      <c r="M1574" s="6">
        <f>HYPERLINK("https://map.naver.com/p/search/조치원읍 정리 52-6", "지도Link")</f>
        <v/>
      </c>
      <c r="N1574" s="6">
        <f>HYPERLINK("http://www.eum.go.kr/web/ar/lu/luLandDet.jsp?pnu=3611025025100520006&amp;isNoScr=script&amp;mode=search", "토지이음")</f>
        <v/>
      </c>
      <c r="O1574" s="3" t="inlineStr">
        <is>
          <t>가람</t>
        </is>
      </c>
      <c r="P1574" s="4" t="n">
        <v>1</v>
      </c>
      <c r="Q1574" s="4" t="n">
        <v>468</v>
      </c>
      <c r="R1574" s="3" t="inlineStr">
        <is>
          <t>지정되지않음</t>
        </is>
      </c>
      <c r="S1574" s="3" t="inlineStr">
        <is>
          <t>단독</t>
        </is>
      </c>
      <c r="T1574" s="3" t="inlineStr">
        <is>
          <t>평지</t>
        </is>
      </c>
      <c r="U1574" s="3" t="inlineStr">
        <is>
          <t>사다리형</t>
        </is>
      </c>
      <c r="V1574" s="3" t="inlineStr">
        <is>
          <t>세로한면(가)</t>
        </is>
      </c>
    </row>
    <row r="1575">
      <c r="A1575" s="3" t="inlineStr">
        <is>
          <t>조치원읍 정리 87-8</t>
        </is>
      </c>
      <c r="B1575" s="3" t="inlineStr">
        <is>
          <t>일반상업지역</t>
        </is>
      </c>
      <c r="C1575" s="3" t="inlineStr">
        <is>
          <t>대</t>
        </is>
      </c>
      <c r="D1575" s="3" t="inlineStr">
        <is>
          <t>대</t>
        </is>
      </c>
      <c r="E1575" s="3" t="inlineStr">
        <is>
          <t>매매</t>
        </is>
      </c>
      <c r="F1575" s="4" t="n">
        <v>89000</v>
      </c>
      <c r="G1575" s="4" t="n">
        <v>326</v>
      </c>
      <c r="H1575" s="4" t="n">
        <v>99</v>
      </c>
      <c r="I1575" s="5" t="n">
        <v>899</v>
      </c>
      <c r="J1575" s="5" t="n">
        <v>335.5</v>
      </c>
      <c r="K1575" s="3" t="inlineStr">
        <is>
          <t>조치원시장내, 일반상업 알짜토지,다양활용가능</t>
        </is>
      </c>
      <c r="L1575" s="6">
        <f>HYPERLINK("https://fin.land.naver.com/articles/2651333398", "매물Link")</f>
        <v/>
      </c>
      <c r="M1575" s="6">
        <f>HYPERLINK("https://map.naver.com/p/search/조치원읍 정리 87-8", "지도Link")</f>
        <v/>
      </c>
      <c r="N1575" s="6">
        <f>HYPERLINK("http://www.eum.go.kr/web/ar/lu/luLandDet.jsp?pnu=3611025025100870008&amp;isNoScr=script&amp;mode=search", "토지이음")</f>
        <v/>
      </c>
      <c r="O1575" s="3" t="inlineStr">
        <is>
          <t>다옴</t>
        </is>
      </c>
      <c r="P1575" s="4" t="n">
        <v>1</v>
      </c>
      <c r="Q1575" s="4" t="n">
        <v>326</v>
      </c>
      <c r="R1575" s="3" t="inlineStr">
        <is>
          <t>지정되지않음</t>
        </is>
      </c>
      <c r="S1575" s="3" t="inlineStr">
        <is>
          <t>상업용</t>
        </is>
      </c>
      <c r="T1575" s="3" t="inlineStr">
        <is>
          <t>평지</t>
        </is>
      </c>
      <c r="U1575" s="3" t="inlineStr">
        <is>
          <t>자루형</t>
        </is>
      </c>
      <c r="V1575" s="3" t="inlineStr">
        <is>
          <t>세로한면(가)</t>
        </is>
      </c>
    </row>
    <row r="1576">
      <c r="A1576" s="3" t="inlineStr">
        <is>
          <t>조치원읍 죽림리 156-15</t>
        </is>
      </c>
      <c r="B1576" s="3" t="inlineStr">
        <is>
          <t>일반상업지역</t>
        </is>
      </c>
      <c r="C1576" s="3" t="inlineStr">
        <is>
          <t>전</t>
        </is>
      </c>
      <c r="D1576" s="3" t="inlineStr">
        <is>
          <t>전</t>
        </is>
      </c>
      <c r="E1576" s="3" t="inlineStr">
        <is>
          <t>매매</t>
        </is>
      </c>
      <c r="F1576" s="4" t="n">
        <v>245000</v>
      </c>
      <c r="G1576" s="4" t="n">
        <v>810</v>
      </c>
      <c r="H1576" s="4" t="n">
        <v>245</v>
      </c>
      <c r="I1576" s="5" t="n">
        <v>1000</v>
      </c>
      <c r="J1576" s="5" t="n">
        <v>119.3</v>
      </c>
      <c r="K1576" s="3" t="inlineStr">
        <is>
          <t>2차선변 일반상업지역, 투자가치 최고</t>
        </is>
      </c>
      <c r="L1576" s="6">
        <f>HYPERLINK("https://fin.land.naver.com/articles/2650316280", "매물Link")</f>
        <v/>
      </c>
      <c r="M1576" s="6">
        <f>HYPERLINK("https://map.naver.com/p/search/조치원읍 죽림리 156-15", "지도Link")</f>
        <v/>
      </c>
      <c r="N1576" s="6">
        <f>HYPERLINK("http://www.eum.go.kr/web/ar/lu/luLandDet.jsp?pnu=3611025030101560015&amp;isNoScr=script&amp;mode=search", "토지이음")</f>
        <v/>
      </c>
      <c r="O1576" s="3" t="inlineStr">
        <is>
          <t>세종공감</t>
        </is>
      </c>
      <c r="P1576" s="4" t="n">
        <v>1</v>
      </c>
      <c r="Q1576" s="4" t="n">
        <v>716</v>
      </c>
      <c r="R1576" s="3" t="inlineStr">
        <is>
          <t>지정되지않음</t>
        </is>
      </c>
      <c r="S1576" s="3" t="inlineStr">
        <is>
          <t>전</t>
        </is>
      </c>
      <c r="T1576" s="3" t="inlineStr">
        <is>
          <t>평지</t>
        </is>
      </c>
      <c r="U1576" s="3" t="inlineStr">
        <is>
          <t>부정형</t>
        </is>
      </c>
      <c r="V1576" s="3" t="inlineStr">
        <is>
          <t>세로한면(불)</t>
        </is>
      </c>
    </row>
    <row r="1577">
      <c r="A1577" s="3" t="inlineStr">
        <is>
          <t>조치원읍 죽림리 184-15</t>
        </is>
      </c>
      <c r="B1577" s="3" t="inlineStr">
        <is>
          <t>제2종일반주거지역</t>
        </is>
      </c>
      <c r="C1577" s="3" t="inlineStr">
        <is>
          <t>전</t>
        </is>
      </c>
      <c r="D1577" s="3" t="inlineStr">
        <is>
          <t>전</t>
        </is>
      </c>
      <c r="E1577" s="3" t="inlineStr">
        <is>
          <t>매매</t>
        </is>
      </c>
      <c r="F1577" s="4" t="n">
        <v>48500</v>
      </c>
      <c r="G1577" s="4" t="n">
        <v>321</v>
      </c>
      <c r="H1577" s="4" t="n">
        <v>97</v>
      </c>
      <c r="I1577" s="5" t="n">
        <v>500</v>
      </c>
      <c r="J1577" s="5" t="n">
        <v>198.2</v>
      </c>
      <c r="K1577" s="3" t="inlineStr">
        <is>
          <t>2차선3거리코너,주변아파트.상가주택형성,투자가치좋아요</t>
        </is>
      </c>
      <c r="L1577" s="6">
        <f>HYPERLINK("https://fin.land.naver.com/articles/2651762596", "매물Link")</f>
        <v/>
      </c>
      <c r="M1577" s="6">
        <f>HYPERLINK("https://map.naver.com/p/search/조치원읍 죽림리 184-15", "지도Link")</f>
        <v/>
      </c>
      <c r="N1577" s="6">
        <f>HYPERLINK("http://www.eum.go.kr/web/ar/lu/luLandDet.jsp?pnu=3611025030101840015&amp;isNoScr=script&amp;mode=search", "토지이음")</f>
        <v/>
      </c>
      <c r="O1577" s="3" t="inlineStr">
        <is>
          <t>힐스테이트행복</t>
        </is>
      </c>
      <c r="P1577" s="4" t="n">
        <v>1</v>
      </c>
      <c r="Q1577" s="4" t="n">
        <v>321.2</v>
      </c>
      <c r="R1577" s="3" t="inlineStr">
        <is>
          <t>지정되지않음</t>
        </is>
      </c>
      <c r="S1577" s="3" t="inlineStr">
        <is>
          <t>주거나지</t>
        </is>
      </c>
      <c r="T1577" s="3" t="inlineStr">
        <is>
          <t>평지</t>
        </is>
      </c>
      <c r="U1577" s="3" t="inlineStr">
        <is>
          <t>부정형</t>
        </is>
      </c>
      <c r="V1577" s="3" t="inlineStr">
        <is>
          <t>소로각지</t>
        </is>
      </c>
    </row>
    <row r="1578">
      <c r="A1578" s="3" t="inlineStr">
        <is>
          <t>조치원읍 죽림리 240</t>
        </is>
      </c>
      <c r="B1578" s="3" t="inlineStr">
        <is>
          <t>제2종일반주거지역</t>
        </is>
      </c>
      <c r="C1578" s="3" t="inlineStr">
        <is>
          <t>답</t>
        </is>
      </c>
      <c r="D1578" s="3" t="inlineStr">
        <is>
          <t>답</t>
        </is>
      </c>
      <c r="E1578" s="3" t="inlineStr">
        <is>
          <t>매매</t>
        </is>
      </c>
      <c r="F1578" s="4" t="n">
        <v>700000</v>
      </c>
      <c r="G1578" s="4" t="n">
        <v>4045</v>
      </c>
      <c r="H1578" s="4" t="n">
        <v>1224</v>
      </c>
      <c r="I1578" s="5" t="n">
        <v>571.9</v>
      </c>
      <c r="J1578" s="5" t="n">
        <v>131.4</v>
      </c>
      <c r="K1578" s="3" t="inlineStr">
        <is>
          <t>2면 도로접한 도시지역,근생시설,제2종일반주거지역,다용도 사용가능</t>
        </is>
      </c>
      <c r="L1578" s="6">
        <f>HYPERLINK("https://fin.land.naver.com/articles/2653434524", "매물Link")</f>
        <v/>
      </c>
      <c r="M1578" s="6">
        <f>HYPERLINK("https://map.naver.com/p/search/조치원읍 죽림리 240", "지도Link")</f>
        <v/>
      </c>
      <c r="N1578" s="6">
        <f>HYPERLINK("http://www.eum.go.kr/web/ar/lu/luLandDet.jsp?pnu=3611025030102400000&amp;isNoScr=script&amp;mode=search", "토지이음")</f>
        <v/>
      </c>
      <c r="O1578" s="3" t="inlineStr">
        <is>
          <t>고운맘</t>
        </is>
      </c>
      <c r="P1578" s="4" t="n">
        <v>1</v>
      </c>
      <c r="Q1578" s="4" t="n">
        <v>2590</v>
      </c>
      <c r="R1578" s="3" t="inlineStr">
        <is>
          <t>지정되지않음</t>
        </is>
      </c>
      <c r="S1578" s="3" t="inlineStr">
        <is>
          <t>전기타</t>
        </is>
      </c>
      <c r="T1578" s="3" t="inlineStr">
        <is>
          <t>평지</t>
        </is>
      </c>
      <c r="U1578" s="3" t="inlineStr">
        <is>
          <t>부정형</t>
        </is>
      </c>
      <c r="V1578" s="3" t="inlineStr">
        <is>
          <t>소로한면</t>
        </is>
      </c>
    </row>
    <row r="1579">
      <c r="A1579" s="3" t="inlineStr">
        <is>
          <t>조치원읍 죽림리 315-2</t>
        </is>
      </c>
      <c r="B1579" s="3" t="inlineStr">
        <is>
          <t>자연녹지지역</t>
        </is>
      </c>
      <c r="C1579" s="3" t="inlineStr">
        <is>
          <t>전</t>
        </is>
      </c>
      <c r="D1579" s="3" t="inlineStr">
        <is>
          <t>전</t>
        </is>
      </c>
      <c r="E1579" s="3" t="inlineStr">
        <is>
          <t>매매</t>
        </is>
      </c>
      <c r="F1579" s="4" t="n">
        <v>695000</v>
      </c>
      <c r="G1579" s="4" t="n">
        <v>5079</v>
      </c>
      <c r="H1579" s="4" t="n">
        <v>1536</v>
      </c>
      <c r="I1579" s="5" t="n">
        <v>452.5</v>
      </c>
      <c r="J1579" s="5" t="n">
        <v>124.8</v>
      </c>
      <c r="K1579" s="3" t="inlineStr">
        <is>
          <t>Click 홈플러스 옆 3필지 도로접 Click</t>
        </is>
      </c>
      <c r="L1579" s="6">
        <f>HYPERLINK("https://fin.land.naver.com/articles/2651207978", "매물Link")</f>
        <v/>
      </c>
      <c r="M1579" s="6">
        <f>HYPERLINK("https://map.naver.com/p/search/조치원읍 죽림리 315-2", "지도Link")</f>
        <v/>
      </c>
      <c r="N1579" s="6">
        <f>HYPERLINK("http://www.eum.go.kr/web/ar/lu/luLandDet.jsp?pnu=3611025030103150002&amp;isNoScr=script&amp;mode=search", "토지이음")</f>
        <v/>
      </c>
      <c r="O1579" s="3" t="inlineStr">
        <is>
          <t>해뜰</t>
        </is>
      </c>
      <c r="P1579" s="4" t="n">
        <v>1</v>
      </c>
      <c r="Q1579" s="4" t="n">
        <v>3538</v>
      </c>
      <c r="R1579" s="3" t="inlineStr">
        <is>
          <t>지정되지않음</t>
        </is>
      </c>
      <c r="S1579" s="3" t="inlineStr">
        <is>
          <t>주거나지</t>
        </is>
      </c>
      <c r="T1579" s="3" t="inlineStr">
        <is>
          <t>평지</t>
        </is>
      </c>
      <c r="U1579" s="3" t="inlineStr">
        <is>
          <t>부정형</t>
        </is>
      </c>
      <c r="V1579" s="3" t="inlineStr">
        <is>
          <t>광대로한면</t>
        </is>
      </c>
    </row>
    <row r="1580">
      <c r="A1580" s="3" t="inlineStr">
        <is>
          <t>조치원읍 죽림리 333-3</t>
        </is>
      </c>
      <c r="B1580" s="3" t="inlineStr">
        <is>
          <t>제2종일반주거지역</t>
        </is>
      </c>
      <c r="C1580" s="3" t="inlineStr">
        <is>
          <t>대</t>
        </is>
      </c>
      <c r="D1580" s="3" t="inlineStr">
        <is>
          <t>대</t>
        </is>
      </c>
      <c r="E1580" s="3" t="inlineStr">
        <is>
          <t>매매</t>
        </is>
      </c>
      <c r="F1580" s="4" t="n">
        <v>240000</v>
      </c>
      <c r="G1580" s="4" t="n">
        <v>1061</v>
      </c>
      <c r="H1580" s="4" t="n">
        <v>321</v>
      </c>
      <c r="I1580" s="5" t="n">
        <v>747.7</v>
      </c>
      <c r="J1580" s="5" t="n">
        <v>311.8</v>
      </c>
      <c r="K1580" s="3" t="inlineStr">
        <is>
          <t>nan</t>
        </is>
      </c>
      <c r="L1580" s="6">
        <f>HYPERLINK("https://fin.land.naver.com/articles/2651553883", "매물Link")</f>
        <v/>
      </c>
      <c r="M1580" s="6">
        <f>HYPERLINK("https://map.naver.com/p/search/조치원읍 죽림리 333-3", "지도Link")</f>
        <v/>
      </c>
      <c r="N1580" s="6">
        <f>HYPERLINK("http://www.eum.go.kr/web/ar/lu/luLandDet.jsp?pnu=3611025030103330003&amp;isNoScr=script&amp;mode=search", "토지이음")</f>
        <v/>
      </c>
      <c r="O1580" s="3" t="inlineStr">
        <is>
          <t>태원</t>
        </is>
      </c>
      <c r="P1580" s="4" t="n">
        <v>1</v>
      </c>
      <c r="Q1580" s="4" t="n">
        <v>945</v>
      </c>
      <c r="R1580" s="3" t="inlineStr">
        <is>
          <t>지정되지않음</t>
        </is>
      </c>
      <c r="S1580" s="3" t="inlineStr">
        <is>
          <t>주상용</t>
        </is>
      </c>
      <c r="T1580" s="3" t="inlineStr">
        <is>
          <t>평지</t>
        </is>
      </c>
      <c r="U1580" s="3" t="inlineStr">
        <is>
          <t>부정형</t>
        </is>
      </c>
      <c r="V1580" s="3" t="inlineStr">
        <is>
          <t>광대소각</t>
        </is>
      </c>
    </row>
    <row r="1581">
      <c r="A1581" s="3" t="inlineStr">
        <is>
          <t>조치원읍 죽림리 342</t>
        </is>
      </c>
      <c r="B1581" s="3" t="inlineStr">
        <is>
          <t>제2종일반주거지역</t>
        </is>
      </c>
      <c r="C1581" s="3" t="inlineStr">
        <is>
          <t>과수원</t>
        </is>
      </c>
      <c r="D1581" s="3" t="inlineStr">
        <is>
          <t>과수원</t>
        </is>
      </c>
      <c r="E1581" s="3" t="inlineStr">
        <is>
          <t>매매</t>
        </is>
      </c>
      <c r="F1581" s="4" t="n">
        <v>110000</v>
      </c>
      <c r="G1581" s="4" t="n">
        <v>587</v>
      </c>
      <c r="H1581" s="4" t="n">
        <v>178</v>
      </c>
      <c r="I1581" s="5" t="n">
        <v>618</v>
      </c>
      <c r="J1581" s="5" t="n">
        <v>190.2</v>
      </c>
      <c r="K1581" s="3" t="inlineStr">
        <is>
          <t>세종북부경찰서와 파밀리에아파트, 그리고 원룸이 인접해 있음</t>
        </is>
      </c>
      <c r="L1581" s="6">
        <f>HYPERLINK("https://fin.land.naver.com/articles/2652786093", "매물Link")</f>
        <v/>
      </c>
      <c r="M1581" s="6">
        <f>HYPERLINK("https://map.naver.com/p/search/조치원읍 죽림리 342", "지도Link")</f>
        <v/>
      </c>
      <c r="N1581" s="6">
        <f>HYPERLINK("http://www.eum.go.kr/web/ar/lu/luLandDet.jsp?pnu=3611025030103420000&amp;isNoScr=script&amp;mode=search", "토지이음")</f>
        <v/>
      </c>
      <c r="O1581" s="3" t="inlineStr">
        <is>
          <t>가람</t>
        </is>
      </c>
      <c r="P1581" s="4" t="n">
        <v>1</v>
      </c>
      <c r="Q1581" s="4" t="n">
        <v>587</v>
      </c>
      <c r="R1581" s="3" t="inlineStr">
        <is>
          <t>지정되지않음</t>
        </is>
      </c>
      <c r="S1581" s="3" t="inlineStr">
        <is>
          <t>과수원</t>
        </is>
      </c>
      <c r="T1581" s="3" t="inlineStr">
        <is>
          <t>완경사</t>
        </is>
      </c>
      <c r="U1581" s="3" t="inlineStr">
        <is>
          <t>사다리형</t>
        </is>
      </c>
      <c r="V1581" s="3" t="inlineStr">
        <is>
          <t>중로한면</t>
        </is>
      </c>
    </row>
    <row r="1582">
      <c r="A1582" s="3" t="inlineStr">
        <is>
          <t>조치원읍 죽림리 46-2</t>
        </is>
      </c>
      <c r="B1582" s="3" t="inlineStr">
        <is>
          <t>제2종일반주거지역</t>
        </is>
      </c>
      <c r="C1582" s="3" t="inlineStr">
        <is>
          <t>대</t>
        </is>
      </c>
      <c r="D1582" s="3" t="inlineStr">
        <is>
          <t>대</t>
        </is>
      </c>
      <c r="E1582" s="3" t="inlineStr">
        <is>
          <t>매매</t>
        </is>
      </c>
      <c r="F1582" s="4" t="n">
        <v>260000</v>
      </c>
      <c r="G1582" s="4" t="n">
        <v>1793</v>
      </c>
      <c r="H1582" s="4" t="n">
        <v>542</v>
      </c>
      <c r="I1582" s="5" t="n">
        <v>479.7</v>
      </c>
      <c r="J1582" s="5" t="n">
        <v>254.6</v>
      </c>
      <c r="K1582" s="3" t="inlineStr">
        <is>
          <t>죽림오거리 엘지전자샾 주변,도시지역,제2종일반주거지역.도로접함,다용도 굿</t>
        </is>
      </c>
      <c r="L1582" s="6">
        <f>HYPERLINK("https://fin.land.naver.com/articles/2649742867", "매물Link")</f>
        <v/>
      </c>
      <c r="M1582" s="6">
        <f>HYPERLINK("https://map.naver.com/p/search/조치원읍 죽림리 46-2", "지도Link")</f>
        <v/>
      </c>
      <c r="N1582" s="6">
        <f>HYPERLINK("http://www.eum.go.kr/web/ar/lu/luLandDet.jsp?pnu=3611025030100460002&amp;isNoScr=script&amp;mode=search", "토지이음")</f>
        <v/>
      </c>
      <c r="O1582" s="3" t="inlineStr">
        <is>
          <t>미래타운</t>
        </is>
      </c>
      <c r="P1582" s="4" t="n">
        <v>1</v>
      </c>
      <c r="Q1582" s="4" t="n">
        <v>1209</v>
      </c>
      <c r="R1582" s="3" t="inlineStr">
        <is>
          <t>지정되지않음</t>
        </is>
      </c>
      <c r="S1582" s="3" t="inlineStr">
        <is>
          <t>단독</t>
        </is>
      </c>
      <c r="T1582" s="3" t="inlineStr">
        <is>
          <t>평지</t>
        </is>
      </c>
      <c r="U1582" s="3" t="inlineStr">
        <is>
          <t>부정형</t>
        </is>
      </c>
      <c r="V1582" s="3" t="inlineStr">
        <is>
          <t>소로한면</t>
        </is>
      </c>
    </row>
    <row r="1583">
      <c r="A1583" s="3" t="inlineStr">
        <is>
          <t>조치원읍 침산리 111-18</t>
        </is>
      </c>
      <c r="B1583" s="3" t="inlineStr">
        <is>
          <t>제2종일반주거지역</t>
        </is>
      </c>
      <c r="C1583" s="3" t="inlineStr">
        <is>
          <t>대</t>
        </is>
      </c>
      <c r="D1583" s="3" t="inlineStr">
        <is>
          <t>대</t>
        </is>
      </c>
      <c r="E1583" s="3" t="inlineStr">
        <is>
          <t>매매</t>
        </is>
      </c>
      <c r="F1583" s="4" t="n">
        <v>11400</v>
      </c>
      <c r="G1583" s="4" t="n">
        <v>102</v>
      </c>
      <c r="H1583" s="4" t="n">
        <v>31</v>
      </c>
      <c r="I1583" s="5" t="n">
        <v>367.7</v>
      </c>
      <c r="J1583" s="5" t="n">
        <v>175.7</v>
      </c>
      <c r="K1583" s="3" t="inlineStr">
        <is>
          <t>조치원 침산리 토지 매매 102㎡ 단독필지</t>
        </is>
      </c>
      <c r="L1583" s="6">
        <f>HYPERLINK("https://fin.land.naver.com/articles/2651350442", "매물Link")</f>
        <v/>
      </c>
      <c r="M1583" s="6">
        <f>HYPERLINK("https://map.naver.com/p/search/조치원읍 침산리 111-18", "지도Link")</f>
        <v/>
      </c>
      <c r="N1583" s="6">
        <f>HYPERLINK("http://www.eum.go.kr/web/ar/lu/luLandDet.jsp?pnu=3611025028101110018&amp;isNoScr=script&amp;mode=search", "토지이음")</f>
        <v/>
      </c>
      <c r="O1583" s="3" t="inlineStr">
        <is>
          <t>세종공감</t>
        </is>
      </c>
      <c r="P1583" s="4" t="n">
        <v>1</v>
      </c>
      <c r="Q1583" s="4" t="n">
        <v>102</v>
      </c>
      <c r="R1583" s="3" t="inlineStr">
        <is>
          <t>지정되지않음</t>
        </is>
      </c>
      <c r="S1583" s="3" t="inlineStr">
        <is>
          <t>주거나지</t>
        </is>
      </c>
      <c r="T1583" s="3" t="inlineStr">
        <is>
          <t>평지</t>
        </is>
      </c>
      <c r="U1583" s="3" t="inlineStr">
        <is>
          <t>부정형</t>
        </is>
      </c>
      <c r="V1583" s="3" t="inlineStr">
        <is>
          <t>세로한면(가)</t>
        </is>
      </c>
    </row>
    <row r="1584">
      <c r="A1584" s="3" t="inlineStr">
        <is>
          <t>조치원읍 침산리 144-9</t>
        </is>
      </c>
      <c r="B1584" s="3" t="inlineStr">
        <is>
          <t>제2종일반주거지역</t>
        </is>
      </c>
      <c r="C1584" s="3" t="inlineStr">
        <is>
          <t>대</t>
        </is>
      </c>
      <c r="D1584" s="3" t="inlineStr">
        <is>
          <t>대</t>
        </is>
      </c>
      <c r="E1584" s="3" t="inlineStr">
        <is>
          <t>매매</t>
        </is>
      </c>
      <c r="F1584" s="4" t="n">
        <v>52000</v>
      </c>
      <c r="G1584" s="4" t="n">
        <v>129</v>
      </c>
      <c r="H1584" s="4" t="n">
        <v>39</v>
      </c>
      <c r="I1584" s="5" t="n">
        <v>1333.3</v>
      </c>
      <c r="J1584" s="5" t="n">
        <v>404.6</v>
      </c>
      <c r="K1584" s="3" t="inlineStr">
        <is>
          <t>조치원역바로뒤,2층건물 포함 일괄매매</t>
        </is>
      </c>
      <c r="L1584" s="6">
        <f>HYPERLINK("https://fin.land.naver.com/articles/2652801000", "매물Link")</f>
        <v/>
      </c>
      <c r="M1584" s="6">
        <f>HYPERLINK("https://map.naver.com/p/search/조치원읍 침산리 144-9", "지도Link")</f>
        <v/>
      </c>
      <c r="N1584" s="6">
        <f>HYPERLINK("http://www.eum.go.kr/web/ar/lu/luLandDet.jsp?pnu=3611025028101440009&amp;isNoScr=script&amp;mode=search", "토지이음")</f>
        <v/>
      </c>
      <c r="O1584" s="3" t="inlineStr">
        <is>
          <t>다옴</t>
        </is>
      </c>
      <c r="P1584" s="4" t="n">
        <v>1</v>
      </c>
      <c r="Q1584" s="4" t="n">
        <v>129</v>
      </c>
      <c r="R1584" s="3" t="inlineStr">
        <is>
          <t>지정되지않음</t>
        </is>
      </c>
      <c r="S1584" s="3" t="inlineStr">
        <is>
          <t>주상용</t>
        </is>
      </c>
      <c r="T1584" s="3" t="inlineStr">
        <is>
          <t>평지</t>
        </is>
      </c>
      <c r="U1584" s="3" t="inlineStr">
        <is>
          <t>부정형</t>
        </is>
      </c>
      <c r="V1584" s="3" t="inlineStr">
        <is>
          <t>중로한면</t>
        </is>
      </c>
    </row>
    <row r="1585">
      <c r="A1585" s="3" t="inlineStr">
        <is>
          <t>조치원읍 침산리 167-10</t>
        </is>
      </c>
      <c r="B1585" s="3" t="inlineStr">
        <is>
          <t>제2종일반주거지역</t>
        </is>
      </c>
      <c r="C1585" s="3" t="inlineStr">
        <is>
          <t>대</t>
        </is>
      </c>
      <c r="D1585" s="3" t="inlineStr">
        <is>
          <t>대</t>
        </is>
      </c>
      <c r="E1585" s="3" t="inlineStr">
        <is>
          <t>매매</t>
        </is>
      </c>
      <c r="F1585" s="4" t="n">
        <v>95000</v>
      </c>
      <c r="G1585" s="4" t="n">
        <v>332</v>
      </c>
      <c r="H1585" s="4" t="n">
        <v>100</v>
      </c>
      <c r="I1585" s="5" t="n">
        <v>950</v>
      </c>
      <c r="J1585" s="5" t="n">
        <v>440.3</v>
      </c>
      <c r="K1585" s="3" t="inlineStr">
        <is>
          <t>조치원역뒤, 상가포함 좋은입지 일괄매매</t>
        </is>
      </c>
      <c r="L1585" s="6">
        <f>HYPERLINK("https://fin.land.naver.com/articles/2651077314", "매물Link")</f>
        <v/>
      </c>
      <c r="M1585" s="6">
        <f>HYPERLINK("https://map.naver.com/p/search/조치원읍 침산리 167-10", "지도Link")</f>
        <v/>
      </c>
      <c r="N1585" s="6">
        <f>HYPERLINK("http://www.eum.go.kr/web/ar/lu/luLandDet.jsp?pnu=3611025028101670010&amp;isNoScr=script&amp;mode=search", "토지이음")</f>
        <v/>
      </c>
      <c r="O1585" s="3" t="inlineStr">
        <is>
          <t>다옴</t>
        </is>
      </c>
      <c r="P1585" s="4" t="n">
        <v>1</v>
      </c>
      <c r="Q1585" s="4" t="n">
        <v>332</v>
      </c>
      <c r="R1585" s="3" t="inlineStr">
        <is>
          <t>지정되지않음</t>
        </is>
      </c>
      <c r="S1585" s="3" t="inlineStr">
        <is>
          <t>상업용</t>
        </is>
      </c>
      <c r="T1585" s="3" t="inlineStr">
        <is>
          <t>평지</t>
        </is>
      </c>
      <c r="U1585" s="3" t="inlineStr">
        <is>
          <t>세로장방</t>
        </is>
      </c>
      <c r="V1585" s="3" t="inlineStr">
        <is>
          <t>광대로한면</t>
        </is>
      </c>
    </row>
    <row r="1586">
      <c r="A1586" s="3" t="inlineStr">
        <is>
          <t>조치원읍 침산리 185-13</t>
        </is>
      </c>
      <c r="B1586" s="3" t="inlineStr">
        <is>
          <t>제2종일반주거지역</t>
        </is>
      </c>
      <c r="C1586" s="3" t="inlineStr">
        <is>
          <t>임야</t>
        </is>
      </c>
      <c r="D1586" s="3" t="inlineStr">
        <is>
          <t>임야</t>
        </is>
      </c>
      <c r="E1586" s="3" t="inlineStr">
        <is>
          <t>매매</t>
        </is>
      </c>
      <c r="F1586" s="4" t="n">
        <v>33000</v>
      </c>
      <c r="G1586" s="4" t="n">
        <v>283</v>
      </c>
      <c r="H1586" s="4" t="n">
        <v>86</v>
      </c>
      <c r="I1586" s="5" t="n">
        <v>383.7</v>
      </c>
      <c r="J1586" s="5" t="n">
        <v>136.4</v>
      </c>
      <c r="K1586" s="3" t="inlineStr">
        <is>
          <t>조치원역세권 개발 배후지.도시가스.상하수도 연결 완료</t>
        </is>
      </c>
      <c r="L1586" s="6">
        <f>HYPERLINK("https://fin.land.naver.com/articles/2651803543", "매물Link")</f>
        <v/>
      </c>
      <c r="M1586" s="6">
        <f>HYPERLINK("https://map.naver.com/p/search/조치원읍 침산리 185-13", "지도Link")</f>
        <v/>
      </c>
      <c r="N1586" s="6">
        <f>HYPERLINK("http://www.eum.go.kr/web/ar/lu/luLandDet.jsp?pnu=3611025028101850013&amp;isNoScr=script&amp;mode=search", "토지이음")</f>
        <v/>
      </c>
      <c r="O1586" s="3" t="inlineStr">
        <is>
          <t>굿모닝</t>
        </is>
      </c>
      <c r="P1586" s="4" t="n">
        <v>1</v>
      </c>
      <c r="Q1586" s="4" t="n">
        <v>283</v>
      </c>
      <c r="R1586" s="3" t="inlineStr">
        <is>
          <t>지정되지않음</t>
        </is>
      </c>
      <c r="S1586" s="3" t="inlineStr">
        <is>
          <t>전</t>
        </is>
      </c>
      <c r="T1586" s="3" t="inlineStr">
        <is>
          <t>완경사</t>
        </is>
      </c>
      <c r="U1586" s="3" t="inlineStr">
        <is>
          <t>부정형</t>
        </is>
      </c>
      <c r="V1586" s="3" t="inlineStr">
        <is>
          <t>세로한면(가)</t>
        </is>
      </c>
    </row>
    <row r="1587">
      <c r="A1587" s="3" t="inlineStr">
        <is>
          <t>조치원읍 침산리 185-19</t>
        </is>
      </c>
      <c r="B1587" s="3" t="inlineStr">
        <is>
          <t>제1종일반주거지역</t>
        </is>
      </c>
      <c r="C1587" s="3" t="inlineStr">
        <is>
          <t>전</t>
        </is>
      </c>
      <c r="D1587" s="3" t="inlineStr">
        <is>
          <t>전</t>
        </is>
      </c>
      <c r="E1587" s="3" t="inlineStr">
        <is>
          <t>매매</t>
        </is>
      </c>
      <c r="F1587" s="4" t="n">
        <v>80400</v>
      </c>
      <c r="G1587" s="4" t="n">
        <v>664</v>
      </c>
      <c r="H1587" s="4" t="n">
        <v>201</v>
      </c>
      <c r="I1587" s="5" t="n">
        <v>400</v>
      </c>
      <c r="J1587" s="5" t="n">
        <v>155.1</v>
      </c>
      <c r="K1587" s="3" t="inlineStr">
        <is>
          <t>침산리 위치 좋은 곳으로 커피숍이나 음식점 자리</t>
        </is>
      </c>
      <c r="L1587" s="6">
        <f>HYPERLINK("https://fin.land.naver.com/articles/2653950425", "매물Link")</f>
        <v/>
      </c>
      <c r="M1587" s="6">
        <f>HYPERLINK("https://map.naver.com/p/search/조치원읍 침산리 185-19", "지도Link")</f>
        <v/>
      </c>
      <c r="N1587" s="6">
        <f>HYPERLINK("http://www.eum.go.kr/web/ar/lu/luLandDet.jsp?pnu=3611025028101850019&amp;isNoScr=script&amp;mode=search", "토지이음")</f>
        <v/>
      </c>
      <c r="O1587" s="3" t="inlineStr">
        <is>
          <t>KB세종</t>
        </is>
      </c>
      <c r="P1587" s="4" t="n">
        <v>1</v>
      </c>
      <c r="Q1587" s="4" t="n">
        <v>580</v>
      </c>
      <c r="R1587" s="3" t="inlineStr">
        <is>
          <t>지정되지않음</t>
        </is>
      </c>
      <c r="S1587" s="3" t="inlineStr">
        <is>
          <t>전</t>
        </is>
      </c>
      <c r="T1587" s="3" t="inlineStr">
        <is>
          <t>평지</t>
        </is>
      </c>
      <c r="U1587" s="3" t="inlineStr">
        <is>
          <t>사다리형</t>
        </is>
      </c>
      <c r="V1587" s="3" t="inlineStr">
        <is>
          <t>세로한면(가)</t>
        </is>
      </c>
    </row>
    <row r="1588">
      <c r="A1588" s="3" t="inlineStr">
        <is>
          <t>조치원읍 침산리 203</t>
        </is>
      </c>
      <c r="B1588" s="3" t="inlineStr">
        <is>
          <t>제1종일반주거지역</t>
        </is>
      </c>
      <c r="C1588" s="3" t="inlineStr">
        <is>
          <t>전</t>
        </is>
      </c>
      <c r="D1588" s="3" t="inlineStr">
        <is>
          <t>전</t>
        </is>
      </c>
      <c r="E1588" s="3" t="inlineStr">
        <is>
          <t>매매</t>
        </is>
      </c>
      <c r="F1588" s="4" t="n">
        <v>193000</v>
      </c>
      <c r="G1588" s="4" t="n">
        <v>2362</v>
      </c>
      <c r="H1588" s="4" t="n">
        <v>715</v>
      </c>
      <c r="I1588" s="5" t="n">
        <v>269.9</v>
      </c>
      <c r="J1588" s="5" t="n">
        <v>187</v>
      </c>
      <c r="K1588" s="3" t="inlineStr">
        <is>
          <t>1번국도 인근토지로 지대가 높고 다양한 용도로 활용가능. 가격조율 가능.</t>
        </is>
      </c>
      <c r="L1588" s="6">
        <f>HYPERLINK("https://fin.land.naver.com/articles/2653505780", "매물Link")</f>
        <v/>
      </c>
      <c r="M1588" s="6">
        <f>HYPERLINK("https://map.naver.com/p/search/조치원읍 침산리 203", "지도Link")</f>
        <v/>
      </c>
      <c r="N1588" s="6">
        <f>HYPERLINK("http://www.eum.go.kr/web/ar/lu/luLandDet.jsp?pnu=3611025028102030000&amp;isNoScr=script&amp;mode=search", "토지이음")</f>
        <v/>
      </c>
      <c r="O1588" s="3" t="inlineStr">
        <is>
          <t>세종대장</t>
        </is>
      </c>
      <c r="P1588" s="4" t="n">
        <v>1</v>
      </c>
      <c r="Q1588" s="4" t="n">
        <v>2362</v>
      </c>
      <c r="R1588" s="3" t="inlineStr">
        <is>
          <t>지정되지않음</t>
        </is>
      </c>
      <c r="S1588" s="3" t="inlineStr">
        <is>
          <t>전</t>
        </is>
      </c>
      <c r="T1588" s="3" t="inlineStr">
        <is>
          <t>평지</t>
        </is>
      </c>
      <c r="U1588" s="3" t="inlineStr">
        <is>
          <t>부정형</t>
        </is>
      </c>
      <c r="V1588" s="3" t="inlineStr">
        <is>
          <t>광대로한면</t>
        </is>
      </c>
    </row>
    <row r="1589">
      <c r="A1589" s="3" t="inlineStr">
        <is>
          <t>조치원읍 침산리 219-3</t>
        </is>
      </c>
      <c r="B1589" s="3" t="inlineStr">
        <is>
          <t>제1종일반주거지역</t>
        </is>
      </c>
      <c r="C1589" s="3" t="inlineStr">
        <is>
          <t>전</t>
        </is>
      </c>
      <c r="D1589" s="3" t="inlineStr">
        <is>
          <t>전</t>
        </is>
      </c>
      <c r="E1589" s="3" t="inlineStr">
        <is>
          <t>매매</t>
        </is>
      </c>
      <c r="F1589" s="4" t="n">
        <v>268000</v>
      </c>
      <c r="G1589" s="4" t="n">
        <v>1971</v>
      </c>
      <c r="H1589" s="4" t="n">
        <v>596</v>
      </c>
      <c r="I1589" s="5" t="n">
        <v>449.7</v>
      </c>
      <c r="J1589" s="5" t="n">
        <v>183.4</v>
      </c>
      <c r="K1589" s="3" t="inlineStr">
        <is>
          <t>제1종일반주거지역, 코너토지,조치원하이마트,예술회관,조치원복컴등 인근위치</t>
        </is>
      </c>
      <c r="L1589" s="6">
        <f>HYPERLINK("https://fin.land.naver.com/articles/2650636285", "매물Link")</f>
        <v/>
      </c>
      <c r="M1589" s="6">
        <f>HYPERLINK("https://map.naver.com/p/search/조치원읍 침산리 219-3", "지도Link")</f>
        <v/>
      </c>
      <c r="N1589" s="6">
        <f>HYPERLINK("http://www.eum.go.kr/web/ar/lu/luLandDet.jsp?pnu=3611025028102190003&amp;isNoScr=script&amp;mode=search", "토지이음")</f>
        <v/>
      </c>
      <c r="O1589" s="3" t="inlineStr">
        <is>
          <t>세종일조</t>
        </is>
      </c>
      <c r="P1589" s="4" t="n">
        <v>1</v>
      </c>
      <c r="Q1589" s="4" t="n">
        <v>1887</v>
      </c>
      <c r="R1589" s="3" t="inlineStr">
        <is>
          <t>지정되지않음</t>
        </is>
      </c>
      <c r="S1589" s="3" t="inlineStr">
        <is>
          <t>전</t>
        </is>
      </c>
      <c r="T1589" s="3" t="inlineStr">
        <is>
          <t>평지</t>
        </is>
      </c>
      <c r="U1589" s="3" t="inlineStr">
        <is>
          <t>부정형</t>
        </is>
      </c>
      <c r="V1589" s="3" t="inlineStr">
        <is>
          <t>중로한면</t>
        </is>
      </c>
    </row>
    <row r="1590">
      <c r="A1590" s="3" t="inlineStr">
        <is>
          <t>조치원읍 침산리 219-7</t>
        </is>
      </c>
      <c r="B1590" s="3" t="inlineStr">
        <is>
          <t>제1종일반주거지역</t>
        </is>
      </c>
      <c r="C1590" s="3" t="inlineStr">
        <is>
          <t>답</t>
        </is>
      </c>
      <c r="D1590" s="3" t="inlineStr">
        <is>
          <t>답</t>
        </is>
      </c>
      <c r="E1590" s="3" t="inlineStr">
        <is>
          <t>매매</t>
        </is>
      </c>
      <c r="F1590" s="4" t="n">
        <v>136000</v>
      </c>
      <c r="G1590" s="4" t="n">
        <v>566</v>
      </c>
      <c r="H1590" s="4" t="n">
        <v>171</v>
      </c>
      <c r="I1590" s="5" t="n">
        <v>795.3</v>
      </c>
      <c r="J1590" s="5" t="n">
        <v>272.3</v>
      </c>
      <c r="K1590" s="3" t="inlineStr">
        <is>
          <t>침산리 대로변 넓고반듯한 토지 매매,다양활용</t>
        </is>
      </c>
      <c r="L1590" s="6">
        <f>HYPERLINK("https://fin.land.naver.com/articles/2652805884", "매물Link")</f>
        <v/>
      </c>
      <c r="M1590" s="6">
        <f>HYPERLINK("https://map.naver.com/p/search/조치원읍 침산리 219-7", "지도Link")</f>
        <v/>
      </c>
      <c r="N1590" s="6">
        <f>HYPERLINK("http://www.eum.go.kr/web/ar/lu/luLandDet.jsp?pnu=3611025028102190007&amp;isNoScr=script&amp;mode=search", "토지이음")</f>
        <v/>
      </c>
      <c r="O1590" s="3" t="inlineStr">
        <is>
          <t>다옴</t>
        </is>
      </c>
      <c r="P1590" s="4" t="n">
        <v>1</v>
      </c>
      <c r="Q1590" s="4" t="n">
        <v>566</v>
      </c>
      <c r="R1590" s="3" t="inlineStr">
        <is>
          <t>지정되지않음</t>
        </is>
      </c>
      <c r="S1590" s="3" t="inlineStr">
        <is>
          <t>주거나지</t>
        </is>
      </c>
      <c r="T1590" s="3" t="inlineStr">
        <is>
          <t>평지</t>
        </is>
      </c>
      <c r="U1590" s="3" t="inlineStr">
        <is>
          <t>사다리형</t>
        </is>
      </c>
      <c r="V1590" s="3" t="inlineStr">
        <is>
          <t>중로각지</t>
        </is>
      </c>
    </row>
    <row r="1591">
      <c r="A1591" s="3" t="inlineStr">
        <is>
          <t>조치원읍 침산리 255-7</t>
        </is>
      </c>
      <c r="B1591" s="3" t="inlineStr">
        <is>
          <t>제2종일반주거지역</t>
        </is>
      </c>
      <c r="C1591" s="3" t="inlineStr">
        <is>
          <t>대</t>
        </is>
      </c>
      <c r="D1591" s="3" t="inlineStr">
        <is>
          <t>대</t>
        </is>
      </c>
      <c r="E1591" s="3" t="inlineStr">
        <is>
          <t>매매</t>
        </is>
      </c>
      <c r="F1591" s="4" t="n">
        <v>40000</v>
      </c>
      <c r="G1591" s="4" t="n">
        <v>251</v>
      </c>
      <c r="H1591" s="4" t="n">
        <v>76</v>
      </c>
      <c r="I1591" s="5" t="n">
        <v>526.3</v>
      </c>
      <c r="J1591" s="5" t="n">
        <v>289.8</v>
      </c>
      <c r="K1591" s="3" t="inlineStr">
        <is>
          <t>침산리 건축가능한 대지매물</t>
        </is>
      </c>
      <c r="L1591" s="6">
        <f>HYPERLINK("https://fin.land.naver.com/articles/2650857783", "매물Link")</f>
        <v/>
      </c>
      <c r="M1591" s="6">
        <f>HYPERLINK("https://map.naver.com/p/search/조치원읍 침산리 255-7", "지도Link")</f>
        <v/>
      </c>
      <c r="N1591" s="6">
        <f>HYPERLINK("http://www.eum.go.kr/web/ar/lu/luLandDet.jsp?pnu=3611025028102550007&amp;isNoScr=script&amp;mode=search", "토지이음")</f>
        <v/>
      </c>
      <c r="O1591" s="3" t="inlineStr">
        <is>
          <t>상희</t>
        </is>
      </c>
      <c r="P1591" s="4" t="n">
        <v>1</v>
      </c>
      <c r="Q1591" s="4" t="n">
        <v>251.7</v>
      </c>
      <c r="R1591" s="3" t="inlineStr">
        <is>
          <t>지정되지않음</t>
        </is>
      </c>
      <c r="S1591" s="3" t="inlineStr">
        <is>
          <t>주거기타</t>
        </is>
      </c>
      <c r="T1591" s="3" t="inlineStr">
        <is>
          <t>평지</t>
        </is>
      </c>
      <c r="U1591" s="3" t="inlineStr">
        <is>
          <t>정방형</t>
        </is>
      </c>
      <c r="V1591" s="3" t="inlineStr">
        <is>
          <t>세로한면(가)</t>
        </is>
      </c>
    </row>
    <row r="1592">
      <c r="A1592" s="3" t="inlineStr">
        <is>
          <t>조치원읍 침산리 262-2</t>
        </is>
      </c>
      <c r="B1592" s="3" t="inlineStr">
        <is>
          <t>제2종일반주거지역</t>
        </is>
      </c>
      <c r="C1592" s="3" t="inlineStr">
        <is>
          <t>대</t>
        </is>
      </c>
      <c r="D1592" s="3" t="inlineStr">
        <is>
          <t>대</t>
        </is>
      </c>
      <c r="E1592" s="3" t="inlineStr">
        <is>
          <t>매매</t>
        </is>
      </c>
      <c r="F1592" s="4" t="n">
        <v>55000</v>
      </c>
      <c r="G1592" s="4" t="n">
        <v>160</v>
      </c>
      <c r="H1592" s="4" t="n">
        <v>48</v>
      </c>
      <c r="I1592" s="5" t="n">
        <v>1145.8</v>
      </c>
      <c r="J1592" s="5" t="n">
        <v>376.9</v>
      </c>
      <c r="K1592" s="3" t="inlineStr">
        <is>
          <t>음식점으로 성업중인 토지와 상가 건물을 일괄하여 매매합니다.</t>
        </is>
      </c>
      <c r="L1592" s="6">
        <f>HYPERLINK("https://fin.land.naver.com/articles/2652461844", "매물Link")</f>
        <v/>
      </c>
      <c r="M1592" s="6">
        <f>HYPERLINK("https://map.naver.com/p/search/조치원읍 침산리 262-2", "지도Link")</f>
        <v/>
      </c>
      <c r="N1592" s="6">
        <f>HYPERLINK("http://www.eum.go.kr/web/ar/lu/luLandDet.jsp?pnu=3611025028102620002&amp;isNoScr=script&amp;mode=search", "토지이음")</f>
        <v/>
      </c>
      <c r="O1592" s="3" t="inlineStr">
        <is>
          <t>스마일세종</t>
        </is>
      </c>
      <c r="P1592" s="4" t="n">
        <v>1</v>
      </c>
      <c r="Q1592" s="4" t="n">
        <v>160.5</v>
      </c>
      <c r="R1592" s="3" t="inlineStr">
        <is>
          <t>지정되지않음</t>
        </is>
      </c>
      <c r="S1592" s="3" t="inlineStr">
        <is>
          <t>주상기타</t>
        </is>
      </c>
      <c r="T1592" s="3" t="inlineStr">
        <is>
          <t>평지</t>
        </is>
      </c>
      <c r="U1592" s="3" t="inlineStr">
        <is>
          <t>정방형</t>
        </is>
      </c>
      <c r="V1592" s="3" t="inlineStr">
        <is>
          <t>세로한면(가)</t>
        </is>
      </c>
    </row>
    <row r="1593">
      <c r="A1593" s="3" t="inlineStr">
        <is>
          <t>조치원읍 침산리 270-6</t>
        </is>
      </c>
      <c r="B1593" s="3" t="inlineStr">
        <is>
          <t>제2종일반주거지역</t>
        </is>
      </c>
      <c r="C1593" s="3" t="inlineStr">
        <is>
          <t>대</t>
        </is>
      </c>
      <c r="D1593" s="3" t="inlineStr">
        <is>
          <t>대</t>
        </is>
      </c>
      <c r="E1593" s="3" t="inlineStr">
        <is>
          <t>매매</t>
        </is>
      </c>
      <c r="F1593" s="4" t="n">
        <v>100000</v>
      </c>
      <c r="G1593" s="4" t="n">
        <v>345</v>
      </c>
      <c r="H1593" s="4" t="n">
        <v>104</v>
      </c>
      <c r="I1593" s="5" t="n">
        <v>961.5</v>
      </c>
      <c r="J1593" s="5" t="n">
        <v>570.2</v>
      </c>
      <c r="K1593" s="3" t="inlineStr">
        <is>
          <t>침산먹자중심,대로변 접한 반듯한 알짜토지</t>
        </is>
      </c>
      <c r="L1593" s="6">
        <f>HYPERLINK("https://fin.land.naver.com/articles/2653941730", "매물Link")</f>
        <v/>
      </c>
      <c r="M1593" s="6">
        <f>HYPERLINK("https://map.naver.com/p/search/조치원읍 침산리 270-6", "지도Link")</f>
        <v/>
      </c>
      <c r="N1593" s="6">
        <f>HYPERLINK("http://www.eum.go.kr/web/ar/lu/luLandDet.jsp?pnu=3611025028102700006&amp;isNoScr=script&amp;mode=search", "토지이음")</f>
        <v/>
      </c>
      <c r="O1593" s="3" t="inlineStr">
        <is>
          <t>다옴</t>
        </is>
      </c>
      <c r="P1593" s="4" t="n">
        <v>1</v>
      </c>
      <c r="Q1593" s="4" t="n">
        <v>345.3</v>
      </c>
      <c r="R1593" s="3" t="inlineStr">
        <is>
          <t>지정되지않음</t>
        </is>
      </c>
      <c r="S1593" s="3" t="inlineStr">
        <is>
          <t>상업용</t>
        </is>
      </c>
      <c r="T1593" s="3" t="inlineStr">
        <is>
          <t>평지</t>
        </is>
      </c>
      <c r="U1593" s="3" t="inlineStr">
        <is>
          <t>세로장방</t>
        </is>
      </c>
      <c r="V1593" s="3" t="inlineStr">
        <is>
          <t>중로한면</t>
        </is>
      </c>
    </row>
    <row r="1594">
      <c r="A1594" s="3" t="inlineStr">
        <is>
          <t>조치원읍 침산리 272-9</t>
        </is>
      </c>
      <c r="B1594" s="3" t="inlineStr">
        <is>
          <t>제2종일반주거지역</t>
        </is>
      </c>
      <c r="C1594" s="3" t="inlineStr">
        <is>
          <t>대</t>
        </is>
      </c>
      <c r="D1594" s="3" t="inlineStr">
        <is>
          <t>대</t>
        </is>
      </c>
      <c r="E1594" s="3" t="inlineStr">
        <is>
          <t>매매</t>
        </is>
      </c>
      <c r="F1594" s="4" t="n">
        <v>40000</v>
      </c>
      <c r="G1594" s="4" t="n">
        <v>187</v>
      </c>
      <c r="H1594" s="4" t="n">
        <v>57</v>
      </c>
      <c r="I1594" s="5" t="n">
        <v>701.8</v>
      </c>
      <c r="J1594" s="5" t="n">
        <v>323.2</v>
      </c>
      <c r="K1594" s="3" t="inlineStr">
        <is>
          <t>nan</t>
        </is>
      </c>
      <c r="L1594" s="6">
        <f>HYPERLINK("https://fin.land.naver.com/articles/2653948599", "매물Link")</f>
        <v/>
      </c>
      <c r="M1594" s="6">
        <f>HYPERLINK("https://map.naver.com/p/search/조치원읍 침산리 272-9", "지도Link")</f>
        <v/>
      </c>
      <c r="N1594" s="6">
        <f>HYPERLINK("http://www.eum.go.kr/web/ar/lu/luLandDet.jsp?pnu=3611025028102720009&amp;isNoScr=script&amp;mode=search", "토지이음")</f>
        <v/>
      </c>
      <c r="O1594" s="3" t="inlineStr">
        <is>
          <t>KB세종</t>
        </is>
      </c>
      <c r="P1594" s="4" t="n">
        <v>1</v>
      </c>
      <c r="Q1594" s="4" t="n">
        <v>187.5</v>
      </c>
      <c r="R1594" s="3" t="inlineStr">
        <is>
          <t>지정되지않음</t>
        </is>
      </c>
      <c r="S1594" s="3" t="inlineStr">
        <is>
          <t>주거기타</t>
        </is>
      </c>
      <c r="T1594" s="3" t="inlineStr">
        <is>
          <t>평지</t>
        </is>
      </c>
      <c r="U1594" s="3" t="inlineStr">
        <is>
          <t>세로장방</t>
        </is>
      </c>
      <c r="V1594" s="3" t="inlineStr">
        <is>
          <t>소로각지</t>
        </is>
      </c>
    </row>
    <row r="1595">
      <c r="A1595" s="3" t="inlineStr">
        <is>
          <t>조치원읍 침산리 283-8</t>
        </is>
      </c>
      <c r="B1595" s="3" t="inlineStr">
        <is>
          <t>제2종일반주거지역</t>
        </is>
      </c>
      <c r="C1595" s="3" t="inlineStr">
        <is>
          <t>대</t>
        </is>
      </c>
      <c r="D1595" s="3" t="inlineStr">
        <is>
          <t>대</t>
        </is>
      </c>
      <c r="E1595" s="3" t="inlineStr">
        <is>
          <t>매매</t>
        </is>
      </c>
      <c r="F1595" s="4" t="n">
        <v>55000</v>
      </c>
      <c r="G1595" s="4" t="n">
        <v>265</v>
      </c>
      <c r="H1595" s="4" t="n">
        <v>80</v>
      </c>
      <c r="I1595" s="5" t="n">
        <v>687.5</v>
      </c>
      <c r="J1595" s="5" t="n">
        <v>441.7</v>
      </c>
      <c r="K1595" s="3" t="inlineStr">
        <is>
          <t>코너 대지 매매</t>
        </is>
      </c>
      <c r="L1595" s="6">
        <f>HYPERLINK("https://fin.land.naver.com/articles/2651765054", "매물Link")</f>
        <v/>
      </c>
      <c r="M1595" s="6">
        <f>HYPERLINK("https://map.naver.com/p/search/조치원읍 침산리 283-8", "지도Link")</f>
        <v/>
      </c>
      <c r="N1595" s="6">
        <f>HYPERLINK("http://www.eum.go.kr/web/ar/lu/luLandDet.jsp?pnu=3611025028102830008&amp;isNoScr=script&amp;mode=search", "토지이음")</f>
        <v/>
      </c>
      <c r="O1595" s="3" t="inlineStr">
        <is>
          <t>찬스</t>
        </is>
      </c>
      <c r="P1595" s="4" t="n">
        <v>1</v>
      </c>
      <c r="Q1595" s="4" t="n">
        <v>265.6</v>
      </c>
      <c r="R1595" s="3" t="inlineStr">
        <is>
          <t>지정되지않음</t>
        </is>
      </c>
      <c r="S1595" s="3" t="inlineStr">
        <is>
          <t>주상기타</t>
        </is>
      </c>
      <c r="T1595" s="3" t="inlineStr">
        <is>
          <t>평지</t>
        </is>
      </c>
      <c r="U1595" s="3" t="inlineStr">
        <is>
          <t>세로장방</t>
        </is>
      </c>
      <c r="V1595" s="3" t="inlineStr">
        <is>
          <t>소로각지</t>
        </is>
      </c>
    </row>
    <row r="1596">
      <c r="A1596" s="3" t="inlineStr">
        <is>
          <t>조치원읍 침산리 283-9</t>
        </is>
      </c>
      <c r="B1596" s="3" t="inlineStr">
        <is>
          <t>제2종일반주거지역</t>
        </is>
      </c>
      <c r="C1596" s="3" t="inlineStr">
        <is>
          <t>대</t>
        </is>
      </c>
      <c r="D1596" s="3" t="inlineStr">
        <is>
          <t>대</t>
        </is>
      </c>
      <c r="E1596" s="3" t="inlineStr">
        <is>
          <t>월세</t>
        </is>
      </c>
      <c r="F1596" s="4" t="n">
        <v>1000</v>
      </c>
      <c r="G1596" s="4" t="n">
        <v>248</v>
      </c>
      <c r="H1596" s="4" t="n">
        <v>75</v>
      </c>
      <c r="I1596" s="5" t="n">
        <v>0.5</v>
      </c>
      <c r="J1596" s="5" t="n">
        <v>283.1</v>
      </c>
      <c r="K1596" s="3" t="inlineStr">
        <is>
          <t>nan</t>
        </is>
      </c>
      <c r="L1596" s="6">
        <f>HYPERLINK("https://fin.land.naver.com/articles/2650644582", "매물Link")</f>
        <v/>
      </c>
      <c r="M1596" s="6">
        <f>HYPERLINK("https://map.naver.com/p/search/조치원읍 침산리 283-9", "지도Link")</f>
        <v/>
      </c>
      <c r="N1596" s="6">
        <f>HYPERLINK("http://www.eum.go.kr/web/ar/lu/luLandDet.jsp?pnu=3611025028102830009&amp;isNoScr=script&amp;mode=search", "토지이음")</f>
        <v/>
      </c>
      <c r="O1596" s="3" t="inlineStr">
        <is>
          <t>세종문화길</t>
        </is>
      </c>
      <c r="P1596" s="4" t="n">
        <v>1</v>
      </c>
      <c r="Q1596" s="4" t="n">
        <v>248.8</v>
      </c>
      <c r="R1596" s="3" t="inlineStr">
        <is>
          <t>지정되지않음</t>
        </is>
      </c>
      <c r="S1596" s="3" t="inlineStr">
        <is>
          <t>주거기타</t>
        </is>
      </c>
      <c r="T1596" s="3" t="inlineStr">
        <is>
          <t>평지</t>
        </is>
      </c>
      <c r="U1596" s="3" t="inlineStr">
        <is>
          <t>세로장방</t>
        </is>
      </c>
      <c r="V1596" s="3" t="inlineStr">
        <is>
          <t>세로한면(가)</t>
        </is>
      </c>
    </row>
    <row r="1597">
      <c r="A1597" s="3" t="inlineStr">
        <is>
          <t>조치원읍 침산리 285-16</t>
        </is>
      </c>
      <c r="B1597" s="3" t="inlineStr">
        <is>
          <t>제2종일반주거지역</t>
        </is>
      </c>
      <c r="C1597" s="3" t="inlineStr">
        <is>
          <t>대</t>
        </is>
      </c>
      <c r="D1597" s="3" t="inlineStr">
        <is>
          <t>대</t>
        </is>
      </c>
      <c r="E1597" s="3" t="inlineStr">
        <is>
          <t>매매</t>
        </is>
      </c>
      <c r="F1597" s="4" t="n">
        <v>38630</v>
      </c>
      <c r="G1597" s="4" t="n">
        <v>255</v>
      </c>
      <c r="H1597" s="4" t="n">
        <v>77</v>
      </c>
      <c r="I1597" s="5" t="n">
        <v>501.7</v>
      </c>
      <c r="J1597" s="5" t="n">
        <v>301.6</v>
      </c>
      <c r="K1597" s="3" t="inlineStr">
        <is>
          <t>구역정리된 지역임</t>
        </is>
      </c>
      <c r="L1597" s="6">
        <f>HYPERLINK("https://fin.land.naver.com/articles/2652215917", "매물Link")</f>
        <v/>
      </c>
      <c r="M1597" s="6">
        <f>HYPERLINK("https://map.naver.com/p/search/조치원읍 침산리 285-16", "지도Link")</f>
        <v/>
      </c>
      <c r="N1597" s="6">
        <f>HYPERLINK("http://www.eum.go.kr/web/ar/lu/luLandDet.jsp?pnu=3611025028102850016&amp;isNoScr=script&amp;mode=search", "토지이음")</f>
        <v/>
      </c>
      <c r="O1597" s="3" t="inlineStr">
        <is>
          <t>한일</t>
        </is>
      </c>
      <c r="P1597" s="4" t="n">
        <v>1</v>
      </c>
      <c r="Q1597" s="4" t="n">
        <v>255.4</v>
      </c>
      <c r="R1597" s="3" t="inlineStr">
        <is>
          <t>지정되지않음</t>
        </is>
      </c>
      <c r="S1597" s="3" t="inlineStr">
        <is>
          <t>주상기타</t>
        </is>
      </c>
      <c r="T1597" s="3" t="inlineStr">
        <is>
          <t>평지</t>
        </is>
      </c>
      <c r="U1597" s="3" t="inlineStr">
        <is>
          <t>정방형</t>
        </is>
      </c>
      <c r="V1597" s="3" t="inlineStr">
        <is>
          <t>소로한면</t>
        </is>
      </c>
    </row>
    <row r="1598">
      <c r="A1598" s="3" t="inlineStr">
        <is>
          <t>조치원읍 침산리 40</t>
        </is>
      </c>
      <c r="B1598" s="3" t="inlineStr">
        <is>
          <t>제1종일반주거지역</t>
        </is>
      </c>
      <c r="C1598" s="3" t="inlineStr">
        <is>
          <t>전</t>
        </is>
      </c>
      <c r="D1598" s="3" t="inlineStr">
        <is>
          <t>전</t>
        </is>
      </c>
      <c r="E1598" s="3" t="inlineStr">
        <is>
          <t>매매</t>
        </is>
      </c>
      <c r="F1598" s="4" t="n">
        <v>256000</v>
      </c>
      <c r="G1598" s="4" t="n">
        <v>2116</v>
      </c>
      <c r="H1598" s="4" t="n">
        <v>640</v>
      </c>
      <c r="I1598" s="5" t="n">
        <v>400</v>
      </c>
      <c r="J1598" s="5" t="n">
        <v>177.6</v>
      </c>
      <c r="K1598" s="3" t="inlineStr">
        <is>
          <t>침산리 토지매매</t>
        </is>
      </c>
      <c r="L1598" s="6">
        <f>HYPERLINK("https://fin.land.naver.com/articles/2654532187", "매물Link")</f>
        <v/>
      </c>
      <c r="M1598" s="6">
        <f>HYPERLINK("https://map.naver.com/p/search/조치원읍 침산리 40", "지도Link")</f>
        <v/>
      </c>
      <c r="N1598" s="6">
        <f>HYPERLINK("http://www.eum.go.kr/web/ar/lu/luLandDet.jsp?pnu=3611025028100400000&amp;isNoScr=script&amp;mode=search", "토지이음")</f>
        <v/>
      </c>
      <c r="O1598" s="3" t="inlineStr">
        <is>
          <t>김준희</t>
        </is>
      </c>
      <c r="P1598" s="4" t="n">
        <v>1</v>
      </c>
      <c r="Q1598" s="4" t="n">
        <v>1924</v>
      </c>
      <c r="R1598" s="3" t="inlineStr">
        <is>
          <t>지정되지않음</t>
        </is>
      </c>
      <c r="S1598" s="3" t="inlineStr">
        <is>
          <t>전</t>
        </is>
      </c>
      <c r="T1598" s="3" t="inlineStr">
        <is>
          <t>평지</t>
        </is>
      </c>
      <c r="U1598" s="3" t="inlineStr">
        <is>
          <t>사다리형</t>
        </is>
      </c>
      <c r="V1598" s="3" t="inlineStr">
        <is>
          <t>소로한면</t>
        </is>
      </c>
    </row>
    <row r="1599">
      <c r="A1599" s="3" t="inlineStr">
        <is>
          <t>조치원읍 침산리 79-4</t>
        </is>
      </c>
      <c r="B1599" s="3" t="inlineStr">
        <is>
          <t>제1종일반주거지역</t>
        </is>
      </c>
      <c r="C1599" s="3" t="inlineStr">
        <is>
          <t>대</t>
        </is>
      </c>
      <c r="D1599" s="3" t="inlineStr">
        <is>
          <t>대</t>
        </is>
      </c>
      <c r="E1599" s="3" t="inlineStr">
        <is>
          <t>매매</t>
        </is>
      </c>
      <c r="F1599" s="4" t="n">
        <v>700000</v>
      </c>
      <c r="G1599" s="4" t="n">
        <v>1842</v>
      </c>
      <c r="H1599" s="4" t="n">
        <v>557</v>
      </c>
      <c r="I1599" s="5" t="n">
        <v>1256.7</v>
      </c>
      <c r="J1599" s="5" t="n">
        <v>416.9</v>
      </c>
      <c r="K1599" s="3" t="inlineStr">
        <is>
          <t>1번국도와 55m 접해있어 근린생활시설을 지으면 좋은 일반주거지역 대지</t>
        </is>
      </c>
      <c r="L1599" s="6">
        <f>HYPERLINK("https://fin.land.naver.com/articles/2650207703", "매물Link")</f>
        <v/>
      </c>
      <c r="M1599" s="6">
        <f>HYPERLINK("https://map.naver.com/p/search/조치원읍 침산리 79-4", "지도Link")</f>
        <v/>
      </c>
      <c r="N1599" s="6">
        <f>HYPERLINK("http://www.eum.go.kr/web/ar/lu/luLandDet.jsp?pnu=3611025028100790004&amp;isNoScr=script&amp;mode=search", "토지이음")</f>
        <v/>
      </c>
      <c r="O1599" s="3" t="inlineStr">
        <is>
          <t>스마일세종</t>
        </is>
      </c>
      <c r="P1599" s="4" t="n">
        <v>2</v>
      </c>
      <c r="Q1599" s="4" t="n">
        <v>1380</v>
      </c>
      <c r="R1599" s="3" t="inlineStr">
        <is>
          <t>지정되지않음</t>
        </is>
      </c>
      <c r="S1599" s="3" t="inlineStr">
        <is>
          <t>상업기타</t>
        </is>
      </c>
      <c r="T1599" s="3" t="inlineStr">
        <is>
          <t>평지</t>
        </is>
      </c>
      <c r="U1599" s="3" t="inlineStr">
        <is>
          <t>사다리형</t>
        </is>
      </c>
      <c r="V1599" s="3" t="inlineStr">
        <is>
          <t>광대로한면</t>
        </is>
      </c>
    </row>
    <row r="1600">
      <c r="A1600" s="3" t="inlineStr">
        <is>
          <t>조치원읍 평리 101-2</t>
        </is>
      </c>
      <c r="B1600" s="3" t="inlineStr">
        <is>
          <t>제2종일반주거지역</t>
        </is>
      </c>
      <c r="C1600" s="3" t="inlineStr">
        <is>
          <t>대</t>
        </is>
      </c>
      <c r="D1600" s="3" t="inlineStr">
        <is>
          <t>대</t>
        </is>
      </c>
      <c r="E1600" s="3" t="inlineStr">
        <is>
          <t>매매</t>
        </is>
      </c>
      <c r="F1600" s="4" t="n">
        <v>60000</v>
      </c>
      <c r="G1600" s="4" t="n">
        <v>356</v>
      </c>
      <c r="H1600" s="4" t="n">
        <v>108</v>
      </c>
      <c r="I1600" s="5" t="n">
        <v>555.6</v>
      </c>
      <c r="J1600" s="5" t="n">
        <v>175.8</v>
      </c>
      <c r="K1600" s="3" t="inlineStr">
        <is>
          <t>8미터도로연접, 다가구부지 추천매매</t>
        </is>
      </c>
      <c r="L1600" s="6">
        <f>HYPERLINK("https://fin.land.naver.com/articles/2653056560", "매물Link")</f>
        <v/>
      </c>
      <c r="M1600" s="6">
        <f>HYPERLINK("https://map.naver.com/p/search/조치원읍 평리 101-2", "지도Link")</f>
        <v/>
      </c>
      <c r="N1600" s="6">
        <f>HYPERLINK("http://www.eum.go.kr/web/ar/lu/luLandDet.jsp?pnu=3611025023101010002&amp;isNoScr=script&amp;mode=search", "토지이음")</f>
        <v/>
      </c>
      <c r="O1600" s="3" t="inlineStr">
        <is>
          <t>Home</t>
        </is>
      </c>
      <c r="P1600" s="4" t="n">
        <v>1</v>
      </c>
      <c r="Q1600" s="4" t="n">
        <v>356</v>
      </c>
      <c r="R1600" s="3" t="inlineStr">
        <is>
          <t>지정되지않음</t>
        </is>
      </c>
      <c r="S1600" s="3" t="inlineStr">
        <is>
          <t>단독</t>
        </is>
      </c>
      <c r="T1600" s="3" t="inlineStr">
        <is>
          <t>평지</t>
        </is>
      </c>
      <c r="U1600" s="3" t="inlineStr">
        <is>
          <t>부정형</t>
        </is>
      </c>
      <c r="V1600" s="3" t="inlineStr">
        <is>
          <t>세로한면(가)</t>
        </is>
      </c>
    </row>
    <row r="1601">
      <c r="A1601" s="3" t="inlineStr">
        <is>
          <t>조치원읍 평리 101-2</t>
        </is>
      </c>
      <c r="B1601" s="3" t="inlineStr">
        <is>
          <t>제2종일반주거지역</t>
        </is>
      </c>
      <c r="C1601" s="3" t="inlineStr">
        <is>
          <t>대</t>
        </is>
      </c>
      <c r="D1601" s="3" t="inlineStr">
        <is>
          <t>대</t>
        </is>
      </c>
      <c r="E1601" s="3" t="inlineStr">
        <is>
          <t>매매</t>
        </is>
      </c>
      <c r="F1601" s="4" t="n">
        <v>60000</v>
      </c>
      <c r="G1601" s="4" t="n">
        <v>356</v>
      </c>
      <c r="H1601" s="4" t="n">
        <v>108</v>
      </c>
      <c r="I1601" s="5" t="n">
        <v>555.6</v>
      </c>
      <c r="J1601" s="5" t="n">
        <v>175.8</v>
      </c>
      <c r="K1601" s="3" t="inlineStr">
        <is>
          <t>남향토지,도로지분포함,조치원 시장 도보5분거리 위치,</t>
        </is>
      </c>
      <c r="L1601" s="6">
        <f>HYPERLINK("https://fin.land.naver.com/articles/2652137848", "매물Link")</f>
        <v/>
      </c>
      <c r="M1601" s="6">
        <f>HYPERLINK("https://map.naver.com/p/search/조치원읍 평리 101-2", "지도Link")</f>
        <v/>
      </c>
      <c r="N1601" s="6">
        <f>HYPERLINK("http://www.eum.go.kr/web/ar/lu/luLandDet.jsp?pnu=3611025023101010002&amp;isNoScr=script&amp;mode=search", "토지이음")</f>
        <v/>
      </c>
      <c r="O1601" s="3" t="inlineStr">
        <is>
          <t>담뜰</t>
        </is>
      </c>
      <c r="P1601" s="4" t="n">
        <v>1</v>
      </c>
      <c r="Q1601" s="4" t="n">
        <v>356</v>
      </c>
      <c r="R1601" s="3" t="inlineStr">
        <is>
          <t>지정되지않음</t>
        </is>
      </c>
      <c r="S1601" s="3" t="inlineStr">
        <is>
          <t>단독</t>
        </is>
      </c>
      <c r="T1601" s="3" t="inlineStr">
        <is>
          <t>평지</t>
        </is>
      </c>
      <c r="U1601" s="3" t="inlineStr">
        <is>
          <t>부정형</t>
        </is>
      </c>
      <c r="V1601" s="3" t="inlineStr">
        <is>
          <t>세로한면(가)</t>
        </is>
      </c>
    </row>
    <row r="1602">
      <c r="A1602" s="3" t="inlineStr">
        <is>
          <t>집현동 1203</t>
        </is>
      </c>
      <c r="B1602" s="3" t="inlineStr">
        <is>
          <t>제1종전용주거지역</t>
        </is>
      </c>
      <c r="C1602" s="3" t="inlineStr">
        <is>
          <t>대</t>
        </is>
      </c>
      <c r="D1602" s="3" t="inlineStr">
        <is>
          <t>대</t>
        </is>
      </c>
      <c r="E1602" s="3" t="inlineStr">
        <is>
          <t>매매</t>
        </is>
      </c>
      <c r="F1602" s="4" t="n">
        <v>215000</v>
      </c>
      <c r="G1602" s="4" t="n">
        <v>569</v>
      </c>
      <c r="H1602" s="4" t="n">
        <v>172</v>
      </c>
      <c r="I1602" s="5" t="n">
        <v>1250</v>
      </c>
      <c r="J1602" s="5" t="n">
        <v>320.7</v>
      </c>
      <c r="K1602" s="3" t="inlineStr">
        <is>
          <t>일반음식점 가능 2종근생, 자이 1200세대 정문 앞 횡단보도 버스정류장</t>
        </is>
      </c>
      <c r="L1602" s="6">
        <f>HYPERLINK("https://fin.land.naver.com/articles/2650179158", "매물Link")</f>
        <v/>
      </c>
      <c r="M1602" s="6">
        <f>HYPERLINK("https://map.naver.com/p/search/집현동 1203", "지도Link")</f>
        <v/>
      </c>
      <c r="N1602" s="6">
        <f>HYPERLINK("http://www.eum.go.kr/web/ar/lu/luLandDet.jsp?pnu=3611011800112030000&amp;isNoScr=script&amp;mode=search", "토지이음")</f>
        <v/>
      </c>
      <c r="O1602" s="3" t="inlineStr">
        <is>
          <t>오송3산단  사무소</t>
        </is>
      </c>
      <c r="P1602" s="4" t="n">
        <v>1</v>
      </c>
      <c r="Q1602" s="4" t="n">
        <v>569.7</v>
      </c>
      <c r="R1602" s="3" t="inlineStr">
        <is>
          <t>지정되지않음</t>
        </is>
      </c>
      <c r="S1602" s="3" t="inlineStr">
        <is>
          <t>상업나지</t>
        </is>
      </c>
      <c r="T1602" s="3" t="inlineStr">
        <is>
          <t>평지</t>
        </is>
      </c>
      <c r="U1602" s="3" t="inlineStr">
        <is>
          <t>정방형</t>
        </is>
      </c>
      <c r="V1602" s="3" t="inlineStr">
        <is>
          <t>광대소각</t>
        </is>
      </c>
    </row>
    <row r="1603">
      <c r="A1603" s="3" t="inlineStr">
        <is>
          <t>집현동 1217</t>
        </is>
      </c>
      <c r="B1603" s="3" t="inlineStr">
        <is>
          <t>제1종전용주거지역</t>
        </is>
      </c>
      <c r="C1603" s="3" t="inlineStr">
        <is>
          <t>대</t>
        </is>
      </c>
      <c r="D1603" s="3" t="inlineStr">
        <is>
          <t>대</t>
        </is>
      </c>
      <c r="E1603" s="3" t="inlineStr">
        <is>
          <t>매매</t>
        </is>
      </c>
      <c r="F1603" s="4" t="n">
        <v>42000</v>
      </c>
      <c r="G1603" s="4" t="n">
        <v>320</v>
      </c>
      <c r="H1603" s="4" t="n">
        <v>97</v>
      </c>
      <c r="I1603" s="5" t="n">
        <v>433</v>
      </c>
      <c r="J1603" s="5" t="n">
        <v>267.1</v>
      </c>
      <c r="K1603" s="3" t="inlineStr">
        <is>
          <t>집현동단독택지 저렴한매매 가격조정열심히해볼게요.</t>
        </is>
      </c>
      <c r="L1603" s="6">
        <f>HYPERLINK("https://fin.land.naver.com/articles/2653639607", "매물Link")</f>
        <v/>
      </c>
      <c r="M1603" s="6">
        <f>HYPERLINK("https://map.naver.com/p/search/집현동 1217", "지도Link")</f>
        <v/>
      </c>
      <c r="N1603" s="6">
        <f>HYPERLINK("http://www.eum.go.kr/web/ar/lu/luLandDet.jsp?pnu=3611011800112170000&amp;isNoScr=script&amp;mode=search", "토지이음")</f>
        <v/>
      </c>
      <c r="O1603" s="3" t="inlineStr">
        <is>
          <t>고운동리치세종</t>
        </is>
      </c>
      <c r="P1603" s="4" t="n">
        <v>3</v>
      </c>
      <c r="Q1603" s="4" t="n">
        <v>320.9</v>
      </c>
      <c r="R1603" s="3" t="inlineStr">
        <is>
          <t>지정되지않음</t>
        </is>
      </c>
      <c r="S1603" s="3" t="inlineStr">
        <is>
          <t>주거나지</t>
        </is>
      </c>
      <c r="T1603" s="3" t="inlineStr">
        <is>
          <t>평지</t>
        </is>
      </c>
      <c r="U1603" s="3" t="inlineStr">
        <is>
          <t>세로장방</t>
        </is>
      </c>
      <c r="V1603" s="3" t="inlineStr">
        <is>
          <t>소로한면</t>
        </is>
      </c>
    </row>
    <row r="1604">
      <c r="A1604" s="3" t="inlineStr">
        <is>
          <t>집현동 1219</t>
        </is>
      </c>
      <c r="B1604" s="3" t="inlineStr">
        <is>
          <t>제1종전용주거지역</t>
        </is>
      </c>
      <c r="C1604" s="3" t="inlineStr">
        <is>
          <t>대</t>
        </is>
      </c>
      <c r="D1604" s="3" t="inlineStr">
        <is>
          <t>대</t>
        </is>
      </c>
      <c r="E1604" s="3" t="inlineStr">
        <is>
          <t>매매</t>
        </is>
      </c>
      <c r="F1604" s="4" t="n">
        <v>42000</v>
      </c>
      <c r="G1604" s="4" t="n">
        <v>318</v>
      </c>
      <c r="H1604" s="4" t="n">
        <v>96</v>
      </c>
      <c r="I1604" s="5" t="n">
        <v>437.5</v>
      </c>
      <c r="J1604" s="5" t="n">
        <v>277.7</v>
      </c>
      <c r="K1604" s="3" t="inlineStr">
        <is>
          <t>급매 집현동D1 남향택지 상가 학교가까움</t>
        </is>
      </c>
      <c r="L1604" s="6">
        <f>HYPERLINK("https://fin.land.naver.com/articles/2653175765", "매물Link")</f>
        <v/>
      </c>
      <c r="M1604" s="6">
        <f>HYPERLINK("https://map.naver.com/p/search/집현동 1219", "지도Link")</f>
        <v/>
      </c>
      <c r="N1604" s="6">
        <f>HYPERLINK("http://www.eum.go.kr/web/ar/lu/luLandDet.jsp?pnu=3611011800112190000&amp;isNoScr=script&amp;mode=search", "토지이음")</f>
        <v/>
      </c>
      <c r="O1604" s="3" t="inlineStr">
        <is>
          <t>세종스타</t>
        </is>
      </c>
      <c r="P1604" s="4" t="n">
        <v>2</v>
      </c>
      <c r="Q1604" s="4" t="n">
        <v>318.9</v>
      </c>
      <c r="R1604" s="3" t="inlineStr">
        <is>
          <t>지정되지않음</t>
        </is>
      </c>
      <c r="S1604" s="3" t="inlineStr">
        <is>
          <t>주거나지</t>
        </is>
      </c>
      <c r="T1604" s="3" t="inlineStr">
        <is>
          <t>평지</t>
        </is>
      </c>
      <c r="U1604" s="3" t="inlineStr">
        <is>
          <t>가로장방</t>
        </is>
      </c>
      <c r="V1604" s="3" t="inlineStr">
        <is>
          <t>소로각지</t>
        </is>
      </c>
    </row>
    <row r="1605">
      <c r="A1605" s="3" t="inlineStr">
        <is>
          <t>집현동 1226</t>
        </is>
      </c>
      <c r="B1605" s="3" t="inlineStr">
        <is>
          <t>제1종전용주거지역</t>
        </is>
      </c>
      <c r="C1605" s="3" t="inlineStr">
        <is>
          <t>대</t>
        </is>
      </c>
      <c r="D1605" s="3" t="inlineStr">
        <is>
          <t>대</t>
        </is>
      </c>
      <c r="E1605" s="3" t="inlineStr">
        <is>
          <t>매매</t>
        </is>
      </c>
      <c r="F1605" s="4" t="n">
        <v>54000</v>
      </c>
      <c r="G1605" s="4" t="n">
        <v>305</v>
      </c>
      <c r="H1605" s="4" t="n">
        <v>92</v>
      </c>
      <c r="I1605" s="5" t="n">
        <v>587</v>
      </c>
      <c r="J1605" s="5" t="n">
        <v>267.1</v>
      </c>
      <c r="K1605" s="3" t="inlineStr">
        <is>
          <t>집현동 위치 좋은 단독주택, 사거리 코너 입지</t>
        </is>
      </c>
      <c r="L1605" s="6">
        <f>HYPERLINK("https://fin.land.naver.com/articles/2652843192", "매물Link")</f>
        <v/>
      </c>
      <c r="M1605" s="6">
        <f>HYPERLINK("https://map.naver.com/p/search/집현동 1226", "지도Link")</f>
        <v/>
      </c>
      <c r="N1605" s="6">
        <f>HYPERLINK("http://www.eum.go.kr/web/ar/lu/luLandDet.jsp?pnu=3611011800112260000&amp;isNoScr=script&amp;mode=search", "토지이음")</f>
        <v/>
      </c>
      <c r="O1605" s="3" t="inlineStr">
        <is>
          <t>세종무지개</t>
        </is>
      </c>
      <c r="P1605" s="4" t="n">
        <v>1</v>
      </c>
      <c r="Q1605" s="4" t="n">
        <v>305.3</v>
      </c>
      <c r="R1605" s="3" t="inlineStr">
        <is>
          <t>지정되지않음</t>
        </is>
      </c>
      <c r="S1605" s="3" t="inlineStr">
        <is>
          <t>주거나지</t>
        </is>
      </c>
      <c r="T1605" s="3" t="inlineStr">
        <is>
          <t>평지</t>
        </is>
      </c>
      <c r="U1605" s="3" t="inlineStr">
        <is>
          <t>세로장방</t>
        </is>
      </c>
      <c r="V1605" s="3" t="inlineStr">
        <is>
          <t>소로한면</t>
        </is>
      </c>
    </row>
    <row r="1606">
      <c r="A1606" s="3" t="inlineStr">
        <is>
          <t>집현동 1226</t>
        </is>
      </c>
      <c r="B1606" s="3" t="inlineStr">
        <is>
          <t>제1종전용주거지역</t>
        </is>
      </c>
      <c r="C1606" s="3" t="inlineStr">
        <is>
          <t>대</t>
        </is>
      </c>
      <c r="D1606" s="3" t="inlineStr">
        <is>
          <t>대</t>
        </is>
      </c>
      <c r="E1606" s="3" t="inlineStr">
        <is>
          <t>매매</t>
        </is>
      </c>
      <c r="F1606" s="4" t="n">
        <v>54000</v>
      </c>
      <c r="G1606" s="4" t="n">
        <v>305</v>
      </c>
      <c r="H1606" s="4" t="n">
        <v>92</v>
      </c>
      <c r="I1606" s="5" t="n">
        <v>587</v>
      </c>
      <c r="J1606" s="5" t="n">
        <v>267.1</v>
      </c>
      <c r="K1606" s="3" t="inlineStr">
        <is>
          <t>삼성천인근 남북트인위치 남쪽 보행로접함</t>
        </is>
      </c>
      <c r="L1606" s="6">
        <f>HYPERLINK("https://fin.land.naver.com/articles/2652943039", "매물Link")</f>
        <v/>
      </c>
      <c r="M1606" s="6">
        <f>HYPERLINK("https://map.naver.com/p/search/집현동 1226", "지도Link")</f>
        <v/>
      </c>
      <c r="N1606" s="6">
        <f>HYPERLINK("http://www.eum.go.kr/web/ar/lu/luLandDet.jsp?pnu=3611011800112260000&amp;isNoScr=script&amp;mode=search", "토지이음")</f>
        <v/>
      </c>
      <c r="O1606" s="3" t="inlineStr">
        <is>
          <t>세종스타</t>
        </is>
      </c>
      <c r="P1606" s="4" t="n">
        <v>2</v>
      </c>
      <c r="Q1606" s="4" t="n">
        <v>305.3</v>
      </c>
      <c r="R1606" s="3" t="inlineStr">
        <is>
          <t>지정되지않음</t>
        </is>
      </c>
      <c r="S1606" s="3" t="inlineStr">
        <is>
          <t>주거나지</t>
        </is>
      </c>
      <c r="T1606" s="3" t="inlineStr">
        <is>
          <t>평지</t>
        </is>
      </c>
      <c r="U1606" s="3" t="inlineStr">
        <is>
          <t>세로장방</t>
        </is>
      </c>
      <c r="V1606" s="3" t="inlineStr">
        <is>
          <t>소로한면</t>
        </is>
      </c>
    </row>
    <row r="1607">
      <c r="A1607" s="3" t="inlineStr">
        <is>
          <t>집현동 1226</t>
        </is>
      </c>
      <c r="B1607" s="3" t="inlineStr">
        <is>
          <t>제1종전용주거지역</t>
        </is>
      </c>
      <c r="C1607" s="3" t="inlineStr">
        <is>
          <t>대</t>
        </is>
      </c>
      <c r="D1607" s="3" t="inlineStr">
        <is>
          <t>대</t>
        </is>
      </c>
      <c r="E1607" s="3" t="inlineStr">
        <is>
          <t>매매</t>
        </is>
      </c>
      <c r="F1607" s="4" t="n">
        <v>54000</v>
      </c>
      <c r="G1607" s="4" t="n">
        <v>305</v>
      </c>
      <c r="H1607" s="4" t="n">
        <v>92</v>
      </c>
      <c r="I1607" s="5" t="n">
        <v>587</v>
      </c>
      <c r="J1607" s="5" t="n">
        <v>267.1</v>
      </c>
      <c r="K1607" s="3" t="inlineStr">
        <is>
          <t>집현동 위치 좋은 단독주택 토지매매, 사거리 코너 입지</t>
        </is>
      </c>
      <c r="L1607" s="6">
        <f>HYPERLINK("https://fin.land.naver.com/articles/2654229358", "매물Link")</f>
        <v/>
      </c>
      <c r="M1607" s="6">
        <f>HYPERLINK("https://map.naver.com/p/search/집현동 1226", "지도Link")</f>
        <v/>
      </c>
      <c r="N1607" s="6">
        <f>HYPERLINK("http://www.eum.go.kr/web/ar/lu/luLandDet.jsp?pnu=3611011800112260000&amp;isNoScr=script&amp;mode=search", "토지이음")</f>
        <v/>
      </c>
      <c r="O1607" s="3" t="inlineStr">
        <is>
          <t>명진</t>
        </is>
      </c>
      <c r="P1607" s="4" t="n">
        <v>1</v>
      </c>
      <c r="Q1607" s="4" t="n">
        <v>305.3</v>
      </c>
      <c r="R1607" s="3" t="inlineStr">
        <is>
          <t>지정되지않음</t>
        </is>
      </c>
      <c r="S1607" s="3" t="inlineStr">
        <is>
          <t>주거나지</t>
        </is>
      </c>
      <c r="T1607" s="3" t="inlineStr">
        <is>
          <t>평지</t>
        </is>
      </c>
      <c r="U1607" s="3" t="inlineStr">
        <is>
          <t>세로장방</t>
        </is>
      </c>
      <c r="V1607" s="3" t="inlineStr">
        <is>
          <t>소로한면</t>
        </is>
      </c>
    </row>
    <row r="1608">
      <c r="A1608" s="3" t="inlineStr">
        <is>
          <t>집현동 1240</t>
        </is>
      </c>
      <c r="B1608" s="3" t="inlineStr">
        <is>
          <t>제1종전용주거지역</t>
        </is>
      </c>
      <c r="C1608" s="3" t="inlineStr">
        <is>
          <t>대</t>
        </is>
      </c>
      <c r="D1608" s="3" t="inlineStr">
        <is>
          <t>대</t>
        </is>
      </c>
      <c r="E1608" s="3" t="inlineStr">
        <is>
          <t>매매</t>
        </is>
      </c>
      <c r="F1608" s="4" t="n">
        <v>40800</v>
      </c>
      <c r="G1608" s="4" t="n">
        <v>273</v>
      </c>
      <c r="H1608" s="4" t="n">
        <v>83</v>
      </c>
      <c r="I1608" s="5" t="n">
        <v>491.6</v>
      </c>
      <c r="J1608" s="5" t="n">
        <v>264.5</v>
      </c>
      <c r="K1608" s="3" t="inlineStr">
        <is>
          <t>nan</t>
        </is>
      </c>
      <c r="L1608" s="6">
        <f>HYPERLINK("https://fin.land.naver.com/articles/2654263055", "매물Link")</f>
        <v/>
      </c>
      <c r="M1608" s="6">
        <f>HYPERLINK("https://map.naver.com/p/search/집현동 1240", "지도Link")</f>
        <v/>
      </c>
      <c r="N1608" s="6">
        <f>HYPERLINK("http://www.eum.go.kr/web/ar/lu/luLandDet.jsp?pnu=3611011800112400000&amp;isNoScr=script&amp;mode=search", "토지이음")</f>
        <v/>
      </c>
      <c r="O1608" s="3" t="inlineStr">
        <is>
          <t>우리들</t>
        </is>
      </c>
      <c r="P1608" s="4" t="n">
        <v>1</v>
      </c>
      <c r="Q1608" s="4" t="n">
        <v>273.9</v>
      </c>
      <c r="R1608" s="3" t="inlineStr">
        <is>
          <t>지정되지않음</t>
        </is>
      </c>
      <c r="S1608" s="3" t="inlineStr">
        <is>
          <t>주거나지</t>
        </is>
      </c>
      <c r="T1608" s="3" t="inlineStr">
        <is>
          <t>평지</t>
        </is>
      </c>
      <c r="U1608" s="3" t="inlineStr">
        <is>
          <t>세로장방</t>
        </is>
      </c>
      <c r="V1608" s="3" t="inlineStr">
        <is>
          <t>소로한면</t>
        </is>
      </c>
    </row>
    <row r="1609">
      <c r="A1609" s="3" t="inlineStr">
        <is>
          <t>집현동 1244</t>
        </is>
      </c>
      <c r="B1609" s="3" t="inlineStr">
        <is>
          <t>제1종전용주거지역</t>
        </is>
      </c>
      <c r="C1609" s="3" t="inlineStr">
        <is>
          <t>대</t>
        </is>
      </c>
      <c r="D1609" s="3" t="inlineStr">
        <is>
          <t>대</t>
        </is>
      </c>
      <c r="E1609" s="3" t="inlineStr">
        <is>
          <t>매매</t>
        </is>
      </c>
      <c r="F1609" s="4" t="n">
        <v>60000</v>
      </c>
      <c r="G1609" s="4" t="n">
        <v>323</v>
      </c>
      <c r="H1609" s="4" t="n">
        <v>98</v>
      </c>
      <c r="I1609" s="5" t="n">
        <v>612.2</v>
      </c>
      <c r="J1609" s="5" t="n">
        <v>275</v>
      </c>
      <c r="K1609" s="3" t="inlineStr">
        <is>
          <t>코너각지 위치한 토지매매, 공원과 삼성천 뷰 가능</t>
        </is>
      </c>
      <c r="L1609" s="6">
        <f>HYPERLINK("https://fin.land.naver.com/articles/2649592856", "매물Link")</f>
        <v/>
      </c>
      <c r="M1609" s="6">
        <f>HYPERLINK("https://map.naver.com/p/search/집현동 1244", "지도Link")</f>
        <v/>
      </c>
      <c r="N1609" s="6">
        <f>HYPERLINK("http://www.eum.go.kr/web/ar/lu/luLandDet.jsp?pnu=3611011800112440000&amp;isNoScr=script&amp;mode=search", "토지이음")</f>
        <v/>
      </c>
      <c r="O1609" s="3" t="inlineStr">
        <is>
          <t>세종무지개</t>
        </is>
      </c>
      <c r="P1609" s="4" t="n">
        <v>1</v>
      </c>
      <c r="Q1609" s="4" t="n">
        <v>323</v>
      </c>
      <c r="R1609" s="3" t="inlineStr">
        <is>
          <t>지정되지않음</t>
        </is>
      </c>
      <c r="S1609" s="3" t="inlineStr">
        <is>
          <t>주거나지</t>
        </is>
      </c>
      <c r="T1609" s="3" t="inlineStr">
        <is>
          <t>평지</t>
        </is>
      </c>
      <c r="U1609" s="3" t="inlineStr">
        <is>
          <t>가로장방</t>
        </is>
      </c>
      <c r="V1609" s="3" t="inlineStr">
        <is>
          <t>소로각지</t>
        </is>
      </c>
    </row>
    <row r="1610">
      <c r="A1610" s="3" t="inlineStr">
        <is>
          <t>집현동 1244</t>
        </is>
      </c>
      <c r="B1610" s="3" t="inlineStr">
        <is>
          <t>제1종전용주거지역</t>
        </is>
      </c>
      <c r="C1610" s="3" t="inlineStr">
        <is>
          <t>대</t>
        </is>
      </c>
      <c r="D1610" s="3" t="inlineStr">
        <is>
          <t>대</t>
        </is>
      </c>
      <c r="E1610" s="3" t="inlineStr">
        <is>
          <t>매매</t>
        </is>
      </c>
      <c r="F1610" s="4" t="n">
        <v>60000</v>
      </c>
      <c r="G1610" s="4" t="n">
        <v>323</v>
      </c>
      <c r="H1610" s="4" t="n">
        <v>98</v>
      </c>
      <c r="I1610" s="5" t="n">
        <v>612.2</v>
      </c>
      <c r="J1610" s="5" t="n">
        <v>275</v>
      </c>
      <c r="K1610" s="3" t="inlineStr">
        <is>
          <t>최고위치 코너각지 공원뷰 삼성천뷰</t>
        </is>
      </c>
      <c r="L1610" s="6">
        <f>HYPERLINK("https://fin.land.naver.com/articles/2650366745", "매물Link")</f>
        <v/>
      </c>
      <c r="M1610" s="6">
        <f>HYPERLINK("https://map.naver.com/p/search/집현동 1244", "지도Link")</f>
        <v/>
      </c>
      <c r="N1610" s="6">
        <f>HYPERLINK("http://www.eum.go.kr/web/ar/lu/luLandDet.jsp?pnu=3611011800112440000&amp;isNoScr=script&amp;mode=search", "토지이음")</f>
        <v/>
      </c>
      <c r="O1610" s="3" t="inlineStr">
        <is>
          <t>세종스타</t>
        </is>
      </c>
      <c r="P1610" s="4" t="n">
        <v>1</v>
      </c>
      <c r="Q1610" s="4" t="n">
        <v>323</v>
      </c>
      <c r="R1610" s="3" t="inlineStr">
        <is>
          <t>지정되지않음</t>
        </is>
      </c>
      <c r="S1610" s="3" t="inlineStr">
        <is>
          <t>주거나지</t>
        </is>
      </c>
      <c r="T1610" s="3" t="inlineStr">
        <is>
          <t>평지</t>
        </is>
      </c>
      <c r="U1610" s="3" t="inlineStr">
        <is>
          <t>가로장방</t>
        </is>
      </c>
      <c r="V1610" s="3" t="inlineStr">
        <is>
          <t>소로각지</t>
        </is>
      </c>
    </row>
    <row r="1611">
      <c r="A1611" s="3" t="inlineStr">
        <is>
          <t>집현동 1255</t>
        </is>
      </c>
      <c r="B1611" s="3" t="inlineStr">
        <is>
          <t>제1종전용주거지역</t>
        </is>
      </c>
      <c r="C1611" s="3" t="inlineStr">
        <is>
          <t>대</t>
        </is>
      </c>
      <c r="D1611" s="3" t="inlineStr">
        <is>
          <t>대</t>
        </is>
      </c>
      <c r="E1611" s="3" t="inlineStr">
        <is>
          <t>매매</t>
        </is>
      </c>
      <c r="F1611" s="4" t="n">
        <v>42000</v>
      </c>
      <c r="G1611" s="4" t="n">
        <v>277</v>
      </c>
      <c r="H1611" s="4" t="n">
        <v>84</v>
      </c>
      <c r="I1611" s="5" t="n">
        <v>500</v>
      </c>
      <c r="J1611" s="5" t="n">
        <v>275</v>
      </c>
      <c r="K1611" s="3" t="inlineStr">
        <is>
          <t>추천. 집현동 코너 택지</t>
        </is>
      </c>
      <c r="L1611" s="6">
        <f>HYPERLINK("https://fin.land.naver.com/articles/2651894833", "매물Link")</f>
        <v/>
      </c>
      <c r="M1611" s="6">
        <f>HYPERLINK("https://map.naver.com/p/search/집현동 1255", "지도Link")</f>
        <v/>
      </c>
      <c r="N1611" s="6">
        <f>HYPERLINK("http://www.eum.go.kr/web/ar/lu/luLandDet.jsp?pnu=3611011800112550000&amp;isNoScr=script&amp;mode=search", "토지이음")</f>
        <v/>
      </c>
      <c r="O1611" s="3" t="inlineStr">
        <is>
          <t>강아지풀</t>
        </is>
      </c>
      <c r="P1611" s="4" t="n">
        <v>1</v>
      </c>
      <c r="Q1611" s="4" t="n">
        <v>277</v>
      </c>
      <c r="R1611" s="3" t="inlineStr">
        <is>
          <t>지정되지않음</t>
        </is>
      </c>
      <c r="S1611" s="3" t="inlineStr">
        <is>
          <t>주거나지</t>
        </is>
      </c>
      <c r="T1611" s="3" t="inlineStr">
        <is>
          <t>평지</t>
        </is>
      </c>
      <c r="U1611" s="3" t="inlineStr">
        <is>
          <t>가로장방</t>
        </is>
      </c>
      <c r="V1611" s="3" t="inlineStr">
        <is>
          <t>소로각지</t>
        </is>
      </c>
    </row>
    <row r="1612">
      <c r="A1612" s="3" t="inlineStr">
        <is>
          <t>집현동 1281</t>
        </is>
      </c>
      <c r="B1612" s="3" t="inlineStr">
        <is>
          <t>제1종전용주거지역</t>
        </is>
      </c>
      <c r="C1612" s="3" t="inlineStr">
        <is>
          <t>대</t>
        </is>
      </c>
      <c r="D1612" s="3" t="inlineStr">
        <is>
          <t>대</t>
        </is>
      </c>
      <c r="E1612" s="3" t="inlineStr">
        <is>
          <t>매매</t>
        </is>
      </c>
      <c r="F1612" s="4" t="n">
        <v>160000</v>
      </c>
      <c r="G1612" s="4" t="n">
        <v>521</v>
      </c>
      <c r="H1612" s="4" t="n">
        <v>158</v>
      </c>
      <c r="I1612" s="5" t="n">
        <v>1012.7</v>
      </c>
      <c r="J1612" s="5" t="n">
        <v>320.7</v>
      </c>
      <c r="K1612" s="3" t="inlineStr">
        <is>
          <t>급매 집현동 횡단보도앞 위치좋은 근생부지</t>
        </is>
      </c>
      <c r="L1612" s="6">
        <f>HYPERLINK("https://fin.land.naver.com/articles/2653666306", "매물Link")</f>
        <v/>
      </c>
      <c r="M1612" s="6">
        <f>HYPERLINK("https://map.naver.com/p/search/집현동 1281", "지도Link")</f>
        <v/>
      </c>
      <c r="N1612" s="6">
        <f>HYPERLINK("http://www.eum.go.kr/web/ar/lu/luLandDet.jsp?pnu=3611011800112810000&amp;isNoScr=script&amp;mode=search", "토지이음")</f>
        <v/>
      </c>
      <c r="O1612" s="3" t="inlineStr">
        <is>
          <t>세종스타</t>
        </is>
      </c>
      <c r="P1612" s="4" t="n">
        <v>1</v>
      </c>
      <c r="Q1612" s="4" t="n">
        <v>520.5</v>
      </c>
      <c r="R1612" s="3" t="inlineStr">
        <is>
          <t>지정되지않음</t>
        </is>
      </c>
      <c r="S1612" s="3" t="inlineStr">
        <is>
          <t>상업나지</t>
        </is>
      </c>
      <c r="T1612" s="3" t="inlineStr">
        <is>
          <t>평지</t>
        </is>
      </c>
      <c r="U1612" s="3" t="inlineStr">
        <is>
          <t>정방형</t>
        </is>
      </c>
      <c r="V1612" s="3" t="inlineStr">
        <is>
          <t>광대소각</t>
        </is>
      </c>
    </row>
    <row r="1613">
      <c r="A1613" s="3" t="inlineStr">
        <is>
          <t>집현동 1303</t>
        </is>
      </c>
      <c r="B1613" s="3" t="inlineStr">
        <is>
          <t>제1종전용주거지역</t>
        </is>
      </c>
      <c r="C1613" s="3" t="inlineStr">
        <is>
          <t>대</t>
        </is>
      </c>
      <c r="D1613" s="3" t="inlineStr">
        <is>
          <t>대</t>
        </is>
      </c>
      <c r="E1613" s="3" t="inlineStr">
        <is>
          <t>매매</t>
        </is>
      </c>
      <c r="F1613" s="4" t="n">
        <v>45000</v>
      </c>
      <c r="G1613" s="4" t="n">
        <v>308</v>
      </c>
      <c r="H1613" s="4" t="n">
        <v>93</v>
      </c>
      <c r="I1613" s="5" t="n">
        <v>483.9</v>
      </c>
      <c r="J1613" s="5" t="n">
        <v>268.2</v>
      </c>
      <c r="K1613" s="3" t="inlineStr">
        <is>
          <t>D2 남향 보행로접 조율가능</t>
        </is>
      </c>
      <c r="L1613" s="6">
        <f>HYPERLINK("https://fin.land.naver.com/articles/2650653318", "매물Link")</f>
        <v/>
      </c>
      <c r="M1613" s="6">
        <f>HYPERLINK("https://map.naver.com/p/search/집현동 1303", "지도Link")</f>
        <v/>
      </c>
      <c r="N1613" s="6">
        <f>HYPERLINK("http://www.eum.go.kr/web/ar/lu/luLandDet.jsp?pnu=3611011800113030000&amp;isNoScr=script&amp;mode=search", "토지이음")</f>
        <v/>
      </c>
      <c r="O1613" s="3" t="inlineStr">
        <is>
          <t>세종스타</t>
        </is>
      </c>
      <c r="P1613" s="4" t="n">
        <v>1</v>
      </c>
      <c r="Q1613" s="4" t="n">
        <v>308.7</v>
      </c>
      <c r="R1613" s="3" t="inlineStr">
        <is>
          <t>지정되지않음</t>
        </is>
      </c>
      <c r="S1613" s="3" t="inlineStr">
        <is>
          <t>주거나지</t>
        </is>
      </c>
      <c r="T1613" s="3" t="inlineStr">
        <is>
          <t>평지</t>
        </is>
      </c>
      <c r="U1613" s="3" t="inlineStr">
        <is>
          <t>세로장방</t>
        </is>
      </c>
      <c r="V1613" s="3" t="inlineStr">
        <is>
          <t>소로한면</t>
        </is>
      </c>
    </row>
    <row r="1614">
      <c r="A1614" s="3" t="inlineStr">
        <is>
          <t>집현동 1304</t>
        </is>
      </c>
      <c r="B1614" s="3" t="inlineStr">
        <is>
          <t>제1종전용주거지역</t>
        </is>
      </c>
      <c r="C1614" s="3" t="inlineStr">
        <is>
          <t>대</t>
        </is>
      </c>
      <c r="D1614" s="3" t="inlineStr">
        <is>
          <t>대</t>
        </is>
      </c>
      <c r="E1614" s="3" t="inlineStr">
        <is>
          <t>매매</t>
        </is>
      </c>
      <c r="F1614" s="4" t="n">
        <v>47000</v>
      </c>
      <c r="G1614" s="4" t="n">
        <v>309</v>
      </c>
      <c r="H1614" s="4" t="n">
        <v>93</v>
      </c>
      <c r="I1614" s="5" t="n">
        <v>505.4</v>
      </c>
      <c r="J1614" s="5" t="n">
        <v>268.2</v>
      </c>
      <c r="K1614" s="3" t="inlineStr">
        <is>
          <t>명성공인, 전용93, 집현동 택지 추천 매물</t>
        </is>
      </c>
      <c r="L1614" s="6">
        <f>HYPERLINK("https://fin.land.naver.com/articles/2653841370", "매물Link")</f>
        <v/>
      </c>
      <c r="M1614" s="6">
        <f>HYPERLINK("https://map.naver.com/p/search/집현동 1304", "지도Link")</f>
        <v/>
      </c>
      <c r="N1614" s="6">
        <f>HYPERLINK("http://www.eum.go.kr/web/ar/lu/luLandDet.jsp?pnu=3611011800113040000&amp;isNoScr=script&amp;mode=search", "토지이음")</f>
        <v/>
      </c>
      <c r="O1614" s="3" t="inlineStr">
        <is>
          <t>명성</t>
        </is>
      </c>
      <c r="P1614" s="4" t="n">
        <v>1</v>
      </c>
      <c r="Q1614" s="4" t="n">
        <v>308.7</v>
      </c>
      <c r="R1614" s="3" t="inlineStr">
        <is>
          <t>지정되지않음</t>
        </is>
      </c>
      <c r="S1614" s="3" t="inlineStr">
        <is>
          <t>주거나지</t>
        </is>
      </c>
      <c r="T1614" s="3" t="inlineStr">
        <is>
          <t>평지</t>
        </is>
      </c>
      <c r="U1614" s="3" t="inlineStr">
        <is>
          <t>세로장방</t>
        </is>
      </c>
      <c r="V1614" s="3" t="inlineStr">
        <is>
          <t>소로한면</t>
        </is>
      </c>
    </row>
    <row r="1615">
      <c r="A1615" s="3" t="inlineStr">
        <is>
          <t>집현동 1310</t>
        </is>
      </c>
      <c r="B1615" s="3" t="inlineStr">
        <is>
          <t>제1종전용주거지역</t>
        </is>
      </c>
      <c r="C1615" s="3" t="inlineStr">
        <is>
          <t>대</t>
        </is>
      </c>
      <c r="D1615" s="3" t="inlineStr">
        <is>
          <t>대</t>
        </is>
      </c>
      <c r="E1615" s="3" t="inlineStr">
        <is>
          <t>매매</t>
        </is>
      </c>
      <c r="F1615" s="4" t="n">
        <v>37000</v>
      </c>
      <c r="G1615" s="4" t="n">
        <v>279</v>
      </c>
      <c r="H1615" s="4" t="n">
        <v>84</v>
      </c>
      <c r="I1615" s="5" t="n">
        <v>440.5</v>
      </c>
      <c r="J1615" s="5" t="n">
        <v>265.5</v>
      </c>
      <c r="K1615" s="3" t="inlineStr">
        <is>
          <t>집현동단독택지매매 위치좋은토지 남향도로인접</t>
        </is>
      </c>
      <c r="L1615" s="6">
        <f>HYPERLINK("https://fin.land.naver.com/articles/2651881746", "매물Link")</f>
        <v/>
      </c>
      <c r="M1615" s="6">
        <f>HYPERLINK("https://map.naver.com/p/search/집현동 1310", "지도Link")</f>
        <v/>
      </c>
      <c r="N1615" s="6">
        <f>HYPERLINK("http://www.eum.go.kr/web/ar/lu/luLandDet.jsp?pnu=3611011800113100000&amp;isNoScr=script&amp;mode=search", "토지이음")</f>
        <v/>
      </c>
      <c r="O1615" s="3" t="inlineStr">
        <is>
          <t>고운동리치세종</t>
        </is>
      </c>
      <c r="P1615" s="4" t="n">
        <v>3</v>
      </c>
      <c r="Q1615" s="4" t="n">
        <v>279.8</v>
      </c>
      <c r="R1615" s="3" t="inlineStr">
        <is>
          <t>지정되지않음</t>
        </is>
      </c>
      <c r="S1615" s="3" t="inlineStr">
        <is>
          <t>주거나지</t>
        </is>
      </c>
      <c r="T1615" s="3" t="inlineStr">
        <is>
          <t>평지</t>
        </is>
      </c>
      <c r="U1615" s="3" t="inlineStr">
        <is>
          <t>세로장방</t>
        </is>
      </c>
      <c r="V1615" s="3" t="inlineStr">
        <is>
          <t>소로한면</t>
        </is>
      </c>
    </row>
    <row r="1616">
      <c r="A1616" s="3" t="inlineStr">
        <is>
          <t>집현동 1313</t>
        </is>
      </c>
      <c r="B1616" s="3" t="inlineStr">
        <is>
          <t>제1종전용주거지역</t>
        </is>
      </c>
      <c r="C1616" s="3" t="inlineStr">
        <is>
          <t>대</t>
        </is>
      </c>
      <c r="D1616" s="3" t="inlineStr">
        <is>
          <t>대</t>
        </is>
      </c>
      <c r="E1616" s="3" t="inlineStr">
        <is>
          <t>매매</t>
        </is>
      </c>
      <c r="F1616" s="4" t="n">
        <v>52000</v>
      </c>
      <c r="G1616" s="4" t="n">
        <v>284</v>
      </c>
      <c r="H1616" s="4" t="n">
        <v>86</v>
      </c>
      <c r="I1616" s="5" t="n">
        <v>604.7</v>
      </c>
      <c r="J1616" s="5" t="n">
        <v>265.5</v>
      </c>
      <c r="K1616" s="3" t="inlineStr">
        <is>
          <t>앞,뒤 양면도로 접한 남향필지</t>
        </is>
      </c>
      <c r="L1616" s="6">
        <f>HYPERLINK("https://fin.land.naver.com/articles/2649762430", "매물Link")</f>
        <v/>
      </c>
      <c r="M1616" s="6">
        <f>HYPERLINK("https://map.naver.com/p/search/집현동 1313", "지도Link")</f>
        <v/>
      </c>
      <c r="N1616" s="6">
        <f>HYPERLINK("http://www.eum.go.kr/web/ar/lu/luLandDet.jsp?pnu=3611011800113130000&amp;isNoScr=script&amp;mode=search", "토지이음")</f>
        <v/>
      </c>
      <c r="O1616" s="3" t="inlineStr">
        <is>
          <t>킹세종</t>
        </is>
      </c>
      <c r="P1616" s="4" t="n">
        <v>1</v>
      </c>
      <c r="Q1616" s="4" t="n">
        <v>284.8</v>
      </c>
      <c r="R1616" s="3" t="inlineStr">
        <is>
          <t>지정되지않음</t>
        </is>
      </c>
      <c r="S1616" s="3" t="inlineStr">
        <is>
          <t>주거나지</t>
        </is>
      </c>
      <c r="T1616" s="3" t="inlineStr">
        <is>
          <t>평지</t>
        </is>
      </c>
      <c r="U1616" s="3" t="inlineStr">
        <is>
          <t>세로장방</t>
        </is>
      </c>
      <c r="V1616" s="3" t="inlineStr">
        <is>
          <t>소로한면</t>
        </is>
      </c>
    </row>
    <row r="1617">
      <c r="A1617" s="3" t="inlineStr">
        <is>
          <t>집현동 1325</t>
        </is>
      </c>
      <c r="B1617" s="3" t="inlineStr">
        <is>
          <t>제1종전용주거지역</t>
        </is>
      </c>
      <c r="C1617" s="3" t="inlineStr">
        <is>
          <t>대</t>
        </is>
      </c>
      <c r="D1617" s="3" t="inlineStr">
        <is>
          <t>대</t>
        </is>
      </c>
      <c r="E1617" s="3" t="inlineStr">
        <is>
          <t>매매</t>
        </is>
      </c>
      <c r="F1617" s="4" t="n">
        <v>45000</v>
      </c>
      <c r="G1617" s="4" t="n">
        <v>305</v>
      </c>
      <c r="H1617" s="4" t="n">
        <v>92</v>
      </c>
      <c r="I1617" s="5" t="n">
        <v>489.1</v>
      </c>
      <c r="J1617" s="5" t="n">
        <v>265.5</v>
      </c>
      <c r="K1617" s="3" t="inlineStr">
        <is>
          <t>nan</t>
        </is>
      </c>
      <c r="L1617" s="6">
        <f>HYPERLINK("https://fin.land.naver.com/articles/2651658100", "매물Link")</f>
        <v/>
      </c>
      <c r="M1617" s="6">
        <f>HYPERLINK("https://map.naver.com/p/search/집현동 1325", "지도Link")</f>
        <v/>
      </c>
      <c r="N1617" s="6">
        <f>HYPERLINK("http://www.eum.go.kr/web/ar/lu/luLandDet.jsp?pnu=3611011800113250000&amp;isNoScr=script&amp;mode=search", "토지이음")</f>
        <v/>
      </c>
      <c r="O1617" s="3" t="inlineStr">
        <is>
          <t>열린자이</t>
        </is>
      </c>
      <c r="P1617" s="4" t="n">
        <v>1</v>
      </c>
      <c r="Q1617" s="4" t="n">
        <v>304.8</v>
      </c>
      <c r="R1617" s="3" t="inlineStr">
        <is>
          <t>지정되지않음</t>
        </is>
      </c>
      <c r="S1617" s="3" t="inlineStr">
        <is>
          <t>주거나지</t>
        </is>
      </c>
      <c r="T1617" s="3" t="inlineStr">
        <is>
          <t>평지</t>
        </is>
      </c>
      <c r="U1617" s="3" t="inlineStr">
        <is>
          <t>세로장방</t>
        </is>
      </c>
      <c r="V1617" s="3" t="inlineStr">
        <is>
          <t>소로한면</t>
        </is>
      </c>
    </row>
    <row r="1618">
      <c r="A1618" s="3" t="inlineStr">
        <is>
          <t>집현동 1334</t>
        </is>
      </c>
      <c r="B1618" s="3" t="inlineStr">
        <is>
          <t>제1종전용주거지역</t>
        </is>
      </c>
      <c r="C1618" s="3" t="inlineStr">
        <is>
          <t>대</t>
        </is>
      </c>
      <c r="D1618" s="3" t="inlineStr">
        <is>
          <t>대</t>
        </is>
      </c>
      <c r="E1618" s="3" t="inlineStr">
        <is>
          <t>매매</t>
        </is>
      </c>
      <c r="F1618" s="4" t="n">
        <v>50000</v>
      </c>
      <c r="G1618" s="4" t="n">
        <v>309</v>
      </c>
      <c r="H1618" s="4" t="n">
        <v>93</v>
      </c>
      <c r="I1618" s="5" t="n">
        <v>537.6</v>
      </c>
      <c r="J1618" s="5" t="n">
        <v>265.5</v>
      </c>
      <c r="K1618" s="3" t="inlineStr">
        <is>
          <t>공원앞 위치좋은단독택지매매 가격조정가능</t>
        </is>
      </c>
      <c r="L1618" s="6">
        <f>HYPERLINK("https://fin.land.naver.com/articles/2653688105", "매물Link")</f>
        <v/>
      </c>
      <c r="M1618" s="6">
        <f>HYPERLINK("https://map.naver.com/p/search/집현동 1334", "지도Link")</f>
        <v/>
      </c>
      <c r="N1618" s="6">
        <f>HYPERLINK("http://www.eum.go.kr/web/ar/lu/luLandDet.jsp?pnu=3611011800113340000&amp;isNoScr=script&amp;mode=search", "토지이음")</f>
        <v/>
      </c>
      <c r="O1618" s="3" t="inlineStr">
        <is>
          <t>고운동리치세종</t>
        </is>
      </c>
      <c r="P1618" s="4" t="n">
        <v>1</v>
      </c>
      <c r="Q1618" s="4" t="n">
        <v>309.8</v>
      </c>
      <c r="R1618" s="3" t="inlineStr">
        <is>
          <t>지정되지않음</t>
        </is>
      </c>
      <c r="S1618" s="3" t="inlineStr">
        <is>
          <t>주거나지</t>
        </is>
      </c>
      <c r="T1618" s="3" t="inlineStr">
        <is>
          <t>평지</t>
        </is>
      </c>
      <c r="U1618" s="3" t="inlineStr">
        <is>
          <t>세로장방</t>
        </is>
      </c>
      <c r="V1618" s="3" t="inlineStr">
        <is>
          <t>소로한면</t>
        </is>
      </c>
    </row>
    <row r="1619">
      <c r="A1619" s="3" t="inlineStr">
        <is>
          <t>집현동 1343</t>
        </is>
      </c>
      <c r="B1619" s="3" t="inlineStr">
        <is>
          <t>제1종전용주거지역</t>
        </is>
      </c>
      <c r="C1619" s="3" t="inlineStr">
        <is>
          <t>대</t>
        </is>
      </c>
      <c r="D1619" s="3" t="inlineStr">
        <is>
          <t>대</t>
        </is>
      </c>
      <c r="E1619" s="3" t="inlineStr">
        <is>
          <t>매매</t>
        </is>
      </c>
      <c r="F1619" s="4" t="n">
        <v>60000</v>
      </c>
      <c r="G1619" s="4" t="n">
        <v>390</v>
      </c>
      <c r="H1619" s="4" t="n">
        <v>118</v>
      </c>
      <c r="I1619" s="5" t="n">
        <v>508.5</v>
      </c>
      <c r="J1619" s="5" t="n">
        <v>278.9</v>
      </c>
      <c r="K1619" s="3" t="inlineStr">
        <is>
          <t>탁트인 공원조망 위치최상 왼쪽시유지접 지대높음</t>
        </is>
      </c>
      <c r="L1619" s="6">
        <f>HYPERLINK("https://fin.land.naver.com/articles/2650653242", "매물Link")</f>
        <v/>
      </c>
      <c r="M1619" s="6">
        <f>HYPERLINK("https://map.naver.com/p/search/집현동 1343", "지도Link")</f>
        <v/>
      </c>
      <c r="N1619" s="6">
        <f>HYPERLINK("http://www.eum.go.kr/web/ar/lu/luLandDet.jsp?pnu=3611011800113430000&amp;isNoScr=script&amp;mode=search", "토지이음")</f>
        <v/>
      </c>
      <c r="O1619" s="3" t="inlineStr">
        <is>
          <t>세종스타</t>
        </is>
      </c>
      <c r="P1619" s="4" t="n">
        <v>1</v>
      </c>
      <c r="Q1619" s="4" t="n">
        <v>390</v>
      </c>
      <c r="R1619" s="3" t="inlineStr">
        <is>
          <t>지정되지않음</t>
        </is>
      </c>
      <c r="S1619" s="3" t="inlineStr">
        <is>
          <t>주거나지</t>
        </is>
      </c>
      <c r="T1619" s="3" t="inlineStr">
        <is>
          <t>평지</t>
        </is>
      </c>
      <c r="U1619" s="3" t="inlineStr">
        <is>
          <t>가로장방</t>
        </is>
      </c>
      <c r="V1619" s="3" t="inlineStr">
        <is>
          <t>소로각지</t>
        </is>
      </c>
    </row>
    <row r="1620">
      <c r="A1620" s="3" t="inlineStr">
        <is>
          <t>집현동 1348</t>
        </is>
      </c>
      <c r="B1620" s="3" t="inlineStr">
        <is>
          <t>제1종전용주거지역</t>
        </is>
      </c>
      <c r="C1620" s="3" t="inlineStr">
        <is>
          <t>대</t>
        </is>
      </c>
      <c r="D1620" s="3" t="inlineStr">
        <is>
          <t>대</t>
        </is>
      </c>
      <c r="E1620" s="3" t="inlineStr">
        <is>
          <t>매매</t>
        </is>
      </c>
      <c r="F1620" s="4" t="n">
        <v>55000</v>
      </c>
      <c r="G1620" s="4" t="n">
        <v>414</v>
      </c>
      <c r="H1620" s="4" t="n">
        <v>125</v>
      </c>
      <c r="I1620" s="5" t="n">
        <v>440</v>
      </c>
      <c r="J1620" s="5" t="n">
        <v>278.9</v>
      </c>
      <c r="K1620" s="3" t="inlineStr">
        <is>
          <t>위치좋은 집현동토지매매 평수넓어요</t>
        </is>
      </c>
      <c r="L1620" s="6">
        <f>HYPERLINK("https://fin.land.naver.com/articles/2652656500", "매물Link")</f>
        <v/>
      </c>
      <c r="M1620" s="6">
        <f>HYPERLINK("https://map.naver.com/p/search/집현동 1348", "지도Link")</f>
        <v/>
      </c>
      <c r="N1620" s="6">
        <f>HYPERLINK("http://www.eum.go.kr/web/ar/lu/luLandDet.jsp?pnu=3611011800113480000&amp;isNoScr=script&amp;mode=search", "토지이음")</f>
        <v/>
      </c>
      <c r="O1620" s="3" t="inlineStr">
        <is>
          <t>고운동리치세종</t>
        </is>
      </c>
      <c r="P1620" s="4" t="n">
        <v>2</v>
      </c>
      <c r="Q1620" s="4" t="n">
        <v>414</v>
      </c>
      <c r="R1620" s="3" t="inlineStr">
        <is>
          <t>지정되지않음</t>
        </is>
      </c>
      <c r="S1620" s="3" t="inlineStr">
        <is>
          <t>주거나지</t>
        </is>
      </c>
      <c r="T1620" s="3" t="inlineStr">
        <is>
          <t>평지</t>
        </is>
      </c>
      <c r="U1620" s="3" t="inlineStr">
        <is>
          <t>가로장방</t>
        </is>
      </c>
      <c r="V1620" s="3" t="inlineStr">
        <is>
          <t>소로각지</t>
        </is>
      </c>
    </row>
    <row r="1621">
      <c r="A1621" s="3" t="inlineStr">
        <is>
          <t>한솔동 1000</t>
        </is>
      </c>
      <c r="B1621" s="3" t="inlineStr">
        <is>
          <t>제1종전용주거지역</t>
        </is>
      </c>
      <c r="C1621" s="3" t="inlineStr">
        <is>
          <t>대</t>
        </is>
      </c>
      <c r="D1621" s="3" t="inlineStr">
        <is>
          <t>대</t>
        </is>
      </c>
      <c r="E1621" s="3" t="inlineStr">
        <is>
          <t>매매</t>
        </is>
      </c>
      <c r="F1621" s="4" t="n">
        <v>41500</v>
      </c>
      <c r="G1621" s="4" t="n">
        <v>277</v>
      </c>
      <c r="H1621" s="4" t="n">
        <v>84</v>
      </c>
      <c r="I1621" s="5" t="n">
        <v>494</v>
      </c>
      <c r="J1621" s="5" t="n">
        <v>314.9</v>
      </c>
      <c r="K1621" s="3" t="inlineStr">
        <is>
          <t>급매, 84.1p, 삼거리 코너, 상가와 공원 인근</t>
        </is>
      </c>
      <c r="L1621" s="6">
        <f>HYPERLINK("https://fin.land.naver.com/articles/2654218385", "매물Link")</f>
        <v/>
      </c>
      <c r="M1621" s="6">
        <f>HYPERLINK("https://map.naver.com/p/search/한솔동 1000", "지도Link")</f>
        <v/>
      </c>
      <c r="N1621" s="6">
        <f>HYPERLINK("http://www.eum.go.kr/web/ar/lu/luLandDet.jsp?pnu=3611010600110000000&amp;isNoScr=script&amp;mode=search", "토지이음")</f>
        <v/>
      </c>
      <c r="O1621" s="3" t="inlineStr">
        <is>
          <t>명진</t>
        </is>
      </c>
      <c r="P1621" s="4" t="n">
        <v>1</v>
      </c>
      <c r="Q1621" s="4" t="n">
        <v>277.5</v>
      </c>
      <c r="R1621" s="3" t="inlineStr">
        <is>
          <t>지정되지않음</t>
        </is>
      </c>
      <c r="S1621" s="3" t="inlineStr">
        <is>
          <t>주거나지</t>
        </is>
      </c>
      <c r="T1621" s="3" t="inlineStr">
        <is>
          <t>평지</t>
        </is>
      </c>
      <c r="U1621" s="3" t="inlineStr">
        <is>
          <t>정방형</t>
        </is>
      </c>
      <c r="V1621" s="3" t="inlineStr">
        <is>
          <t>소로각지</t>
        </is>
      </c>
    </row>
    <row r="1622">
      <c r="A1622" s="3" t="inlineStr">
        <is>
          <t>한솔동 1000</t>
        </is>
      </c>
      <c r="B1622" s="3" t="inlineStr">
        <is>
          <t>제1종전용주거지역</t>
        </is>
      </c>
      <c r="C1622" s="3" t="inlineStr">
        <is>
          <t>대</t>
        </is>
      </c>
      <c r="D1622" s="3" t="inlineStr">
        <is>
          <t>대</t>
        </is>
      </c>
      <c r="E1622" s="3" t="inlineStr">
        <is>
          <t>매매</t>
        </is>
      </c>
      <c r="F1622" s="4" t="n">
        <v>40500</v>
      </c>
      <c r="G1622" s="4" t="n">
        <v>277</v>
      </c>
      <c r="H1622" s="4" t="n">
        <v>84</v>
      </c>
      <c r="I1622" s="5" t="n">
        <v>482.1</v>
      </c>
      <c r="J1622" s="5" t="n">
        <v>314.9</v>
      </c>
      <c r="K1622" s="3" t="inlineStr">
        <is>
          <t>채광좋음 상권가깝고 뒤로 보행로접함</t>
        </is>
      </c>
      <c r="L1622" s="6">
        <f>HYPERLINK("https://fin.land.naver.com/articles/2653677034", "매물Link")</f>
        <v/>
      </c>
      <c r="M1622" s="6">
        <f>HYPERLINK("https://map.naver.com/p/search/한솔동 1000", "지도Link")</f>
        <v/>
      </c>
      <c r="N1622" s="6">
        <f>HYPERLINK("http://www.eum.go.kr/web/ar/lu/luLandDet.jsp?pnu=3611010600110000000&amp;isNoScr=script&amp;mode=search", "토지이음")</f>
        <v/>
      </c>
      <c r="O1622" s="3" t="inlineStr">
        <is>
          <t>세종스타</t>
        </is>
      </c>
      <c r="P1622" s="4" t="n">
        <v>1</v>
      </c>
      <c r="Q1622" s="4" t="n">
        <v>277.5</v>
      </c>
      <c r="R1622" s="3" t="inlineStr">
        <is>
          <t>지정되지않음</t>
        </is>
      </c>
      <c r="S1622" s="3" t="inlineStr">
        <is>
          <t>주거나지</t>
        </is>
      </c>
      <c r="T1622" s="3" t="inlineStr">
        <is>
          <t>평지</t>
        </is>
      </c>
      <c r="U1622" s="3" t="inlineStr">
        <is>
          <t>정방형</t>
        </is>
      </c>
      <c r="V1622" s="3" t="inlineStr">
        <is>
          <t>소로각지</t>
        </is>
      </c>
    </row>
    <row r="1623">
      <c r="A1623" s="3" t="inlineStr">
        <is>
          <t>한솔동 1000</t>
        </is>
      </c>
      <c r="B1623" s="3" t="inlineStr">
        <is>
          <t>제1종전용주거지역</t>
        </is>
      </c>
      <c r="C1623" s="3" t="inlineStr">
        <is>
          <t>대</t>
        </is>
      </c>
      <c r="D1623" s="3" t="inlineStr">
        <is>
          <t>대</t>
        </is>
      </c>
      <c r="E1623" s="3" t="inlineStr">
        <is>
          <t>매매</t>
        </is>
      </c>
      <c r="F1623" s="4" t="n">
        <v>41500</v>
      </c>
      <c r="G1623" s="4" t="n">
        <v>275</v>
      </c>
      <c r="H1623" s="4" t="n">
        <v>83</v>
      </c>
      <c r="I1623" s="5" t="n">
        <v>500</v>
      </c>
      <c r="J1623" s="5" t="n">
        <v>314.9</v>
      </c>
      <c r="K1623" s="3" t="inlineStr">
        <is>
          <t>급매, 총 84.1p, 삼거리 코너 토지</t>
        </is>
      </c>
      <c r="L1623" s="6">
        <f>HYPERLINK("https://fin.land.naver.com/articles/2652841509", "매물Link")</f>
        <v/>
      </c>
      <c r="M1623" s="6">
        <f>HYPERLINK("https://map.naver.com/p/search/한솔동 1000", "지도Link")</f>
        <v/>
      </c>
      <c r="N1623" s="6">
        <f>HYPERLINK("http://www.eum.go.kr/web/ar/lu/luLandDet.jsp?pnu=3611010600110000000&amp;isNoScr=script&amp;mode=search", "토지이음")</f>
        <v/>
      </c>
      <c r="O1623" s="3" t="inlineStr">
        <is>
          <t>세종무지개</t>
        </is>
      </c>
      <c r="P1623" s="4" t="n">
        <v>1</v>
      </c>
      <c r="Q1623" s="4" t="n">
        <v>277.5</v>
      </c>
      <c r="R1623" s="3" t="inlineStr">
        <is>
          <t>지정되지않음</t>
        </is>
      </c>
      <c r="S1623" s="3" t="inlineStr">
        <is>
          <t>주거나지</t>
        </is>
      </c>
      <c r="T1623" s="3" t="inlineStr">
        <is>
          <t>평지</t>
        </is>
      </c>
      <c r="U1623" s="3" t="inlineStr">
        <is>
          <t>정방형</t>
        </is>
      </c>
      <c r="V1623" s="3" t="inlineStr">
        <is>
          <t>소로각지</t>
        </is>
      </c>
    </row>
    <row r="1624">
      <c r="A1624" s="3" t="inlineStr">
        <is>
          <t>한솔동 1003</t>
        </is>
      </c>
      <c r="B1624" s="3" t="inlineStr">
        <is>
          <t>제1종전용주거지역</t>
        </is>
      </c>
      <c r="C1624" s="3" t="inlineStr">
        <is>
          <t>대</t>
        </is>
      </c>
      <c r="D1624" s="3" t="inlineStr">
        <is>
          <t>대</t>
        </is>
      </c>
      <c r="E1624" s="3" t="inlineStr">
        <is>
          <t>매매</t>
        </is>
      </c>
      <c r="F1624" s="4" t="n">
        <v>52000</v>
      </c>
      <c r="G1624" s="4" t="n">
        <v>277</v>
      </c>
      <c r="H1624" s="4" t="n">
        <v>84</v>
      </c>
      <c r="I1624" s="5" t="n">
        <v>619</v>
      </c>
      <c r="J1624" s="5" t="n">
        <v>314.9</v>
      </c>
      <c r="K1624" s="3" t="inlineStr">
        <is>
          <t>가치있는  즉시 신축 가능 추천  단독주택 도심속전원 시내 시외 진출입</t>
        </is>
      </c>
      <c r="L1624" s="6">
        <f>HYPERLINK("https://fin.land.naver.com/articles/2651707666", "매물Link")</f>
        <v/>
      </c>
      <c r="M1624" s="6">
        <f>HYPERLINK("https://map.naver.com/p/search/한솔동 1003", "지도Link")</f>
        <v/>
      </c>
      <c r="N1624" s="6">
        <f>HYPERLINK("http://www.eum.go.kr/web/ar/lu/luLandDet.jsp?pnu=3611010600110030000&amp;isNoScr=script&amp;mode=search", "토지이음")</f>
        <v/>
      </c>
      <c r="O1624" s="3" t="inlineStr">
        <is>
          <t>세종시삼성래미안</t>
        </is>
      </c>
      <c r="P1624" s="4" t="n">
        <v>1</v>
      </c>
      <c r="Q1624" s="4" t="n">
        <v>277.8</v>
      </c>
      <c r="R1624" s="3" t="inlineStr">
        <is>
          <t>지정되지않음</t>
        </is>
      </c>
      <c r="S1624" s="3" t="inlineStr">
        <is>
          <t>주거나지</t>
        </is>
      </c>
      <c r="T1624" s="3" t="inlineStr">
        <is>
          <t>평지</t>
        </is>
      </c>
      <c r="U1624" s="3" t="inlineStr">
        <is>
          <t>정방형</t>
        </is>
      </c>
      <c r="V1624" s="3" t="inlineStr">
        <is>
          <t>소로각지</t>
        </is>
      </c>
    </row>
    <row r="1625">
      <c r="A1625" s="3" t="inlineStr">
        <is>
          <t>한솔동 1005</t>
        </is>
      </c>
      <c r="B1625" s="3" t="inlineStr">
        <is>
          <t>제1종전용주거지역</t>
        </is>
      </c>
      <c r="C1625" s="3" t="inlineStr">
        <is>
          <t>대</t>
        </is>
      </c>
      <c r="D1625" s="3" t="inlineStr">
        <is>
          <t>대</t>
        </is>
      </c>
      <c r="E1625" s="3" t="inlineStr">
        <is>
          <t>매매</t>
        </is>
      </c>
      <c r="F1625" s="4" t="n">
        <v>50000</v>
      </c>
      <c r="G1625" s="4" t="n">
        <v>277</v>
      </c>
      <c r="H1625" s="4" t="n">
        <v>84</v>
      </c>
      <c r="I1625" s="5" t="n">
        <v>595.2</v>
      </c>
      <c r="J1625" s="5" t="n">
        <v>314.9</v>
      </c>
      <c r="K1625" s="3" t="inlineStr">
        <is>
          <t>급매 채광최상 남서향막힘없음 초중고5분내</t>
        </is>
      </c>
      <c r="L1625" s="6">
        <f>HYPERLINK("https://fin.land.naver.com/articles/2652441626", "매물Link")</f>
        <v/>
      </c>
      <c r="M1625" s="6">
        <f>HYPERLINK("https://map.naver.com/p/search/한솔동 1005", "지도Link")</f>
        <v/>
      </c>
      <c r="N1625" s="6">
        <f>HYPERLINK("http://www.eum.go.kr/web/ar/lu/luLandDet.jsp?pnu=3611010600110050000&amp;isNoScr=script&amp;mode=search", "토지이음")</f>
        <v/>
      </c>
      <c r="O1625" s="3" t="inlineStr">
        <is>
          <t>세종스타</t>
        </is>
      </c>
      <c r="P1625" s="4" t="n">
        <v>1</v>
      </c>
      <c r="Q1625" s="4" t="n">
        <v>276.7</v>
      </c>
      <c r="R1625" s="3" t="inlineStr">
        <is>
          <t>지정되지않음</t>
        </is>
      </c>
      <c r="S1625" s="3" t="inlineStr">
        <is>
          <t>주거나지</t>
        </is>
      </c>
      <c r="T1625" s="3" t="inlineStr">
        <is>
          <t>평지</t>
        </is>
      </c>
      <c r="U1625" s="3" t="inlineStr">
        <is>
          <t>세로장방</t>
        </is>
      </c>
      <c r="V1625" s="3" t="inlineStr">
        <is>
          <t>소로각지</t>
        </is>
      </c>
    </row>
    <row r="1626">
      <c r="A1626" s="3" t="inlineStr">
        <is>
          <t>한솔동 1006</t>
        </is>
      </c>
      <c r="B1626" s="3" t="inlineStr">
        <is>
          <t>제1종전용주거지역</t>
        </is>
      </c>
      <c r="C1626" s="3" t="inlineStr">
        <is>
          <t>대</t>
        </is>
      </c>
      <c r="D1626" s="3" t="inlineStr">
        <is>
          <t>대</t>
        </is>
      </c>
      <c r="E1626" s="3" t="inlineStr">
        <is>
          <t>매매</t>
        </is>
      </c>
      <c r="F1626" s="4" t="n">
        <v>62000</v>
      </c>
      <c r="G1626" s="4" t="n">
        <v>394</v>
      </c>
      <c r="H1626" s="4" t="n">
        <v>119</v>
      </c>
      <c r="I1626" s="5" t="n">
        <v>521</v>
      </c>
      <c r="J1626" s="5" t="n">
        <v>314.9</v>
      </c>
      <c r="K1626" s="3" t="inlineStr">
        <is>
          <t>총 119.7p, 대형면적 단독주택토지, 한솔초.중.고 인접</t>
        </is>
      </c>
      <c r="L1626" s="6">
        <f>HYPERLINK("https://fin.land.naver.com/articles/2654225978", "매물Link")</f>
        <v/>
      </c>
      <c r="M1626" s="6">
        <f>HYPERLINK("https://map.naver.com/p/search/한솔동 1006", "지도Link")</f>
        <v/>
      </c>
      <c r="N1626" s="6">
        <f>HYPERLINK("http://www.eum.go.kr/web/ar/lu/luLandDet.jsp?pnu=3611010600110060000&amp;isNoScr=script&amp;mode=search", "토지이음")</f>
        <v/>
      </c>
      <c r="O1626" s="3" t="inlineStr">
        <is>
          <t>명진</t>
        </is>
      </c>
      <c r="P1626" s="4" t="n">
        <v>1</v>
      </c>
      <c r="Q1626" s="4" t="n">
        <v>394.9</v>
      </c>
      <c r="R1626" s="3" t="inlineStr">
        <is>
          <t>지정되지않음</t>
        </is>
      </c>
      <c r="S1626" s="3" t="inlineStr">
        <is>
          <t>주거나지</t>
        </is>
      </c>
      <c r="T1626" s="3" t="inlineStr">
        <is>
          <t>평지</t>
        </is>
      </c>
      <c r="U1626" s="3" t="inlineStr">
        <is>
          <t>정방형</t>
        </is>
      </c>
      <c r="V1626" s="3" t="inlineStr">
        <is>
          <t>소로각지</t>
        </is>
      </c>
    </row>
    <row r="1627">
      <c r="A1627" s="3" t="inlineStr">
        <is>
          <t>한솔동 1006</t>
        </is>
      </c>
      <c r="B1627" s="3" t="inlineStr">
        <is>
          <t>제1종전용주거지역</t>
        </is>
      </c>
      <c r="C1627" s="3" t="inlineStr">
        <is>
          <t>대</t>
        </is>
      </c>
      <c r="D1627" s="3" t="inlineStr">
        <is>
          <t>대</t>
        </is>
      </c>
      <c r="E1627" s="3" t="inlineStr">
        <is>
          <t>매매</t>
        </is>
      </c>
      <c r="F1627" s="4" t="n">
        <v>62000</v>
      </c>
      <c r="G1627" s="4" t="n">
        <v>394</v>
      </c>
      <c r="H1627" s="4" t="n">
        <v>119</v>
      </c>
      <c r="I1627" s="5" t="n">
        <v>521</v>
      </c>
      <c r="J1627" s="5" t="n">
        <v>314.9</v>
      </c>
      <c r="K1627" s="3" t="inlineStr">
        <is>
          <t>단독주택 토지, 학군인접</t>
        </is>
      </c>
      <c r="L1627" s="6">
        <f>HYPERLINK("https://fin.land.naver.com/articles/2652841375", "매물Link")</f>
        <v/>
      </c>
      <c r="M1627" s="6">
        <f>HYPERLINK("https://map.naver.com/p/search/한솔동 1006", "지도Link")</f>
        <v/>
      </c>
      <c r="N1627" s="6">
        <f>HYPERLINK("http://www.eum.go.kr/web/ar/lu/luLandDet.jsp?pnu=3611010600110060000&amp;isNoScr=script&amp;mode=search", "토지이음")</f>
        <v/>
      </c>
      <c r="O1627" s="3" t="inlineStr">
        <is>
          <t>세종무지개</t>
        </is>
      </c>
      <c r="P1627" s="4" t="n">
        <v>1</v>
      </c>
      <c r="Q1627" s="4" t="n">
        <v>394.9</v>
      </c>
      <c r="R1627" s="3" t="inlineStr">
        <is>
          <t>지정되지않음</t>
        </is>
      </c>
      <c r="S1627" s="3" t="inlineStr">
        <is>
          <t>주거나지</t>
        </is>
      </c>
      <c r="T1627" s="3" t="inlineStr">
        <is>
          <t>평지</t>
        </is>
      </c>
      <c r="U1627" s="3" t="inlineStr">
        <is>
          <t>정방형</t>
        </is>
      </c>
      <c r="V1627" s="3" t="inlineStr">
        <is>
          <t>소로각지</t>
        </is>
      </c>
    </row>
    <row r="1628">
      <c r="A1628" s="3" t="inlineStr">
        <is>
          <t>한솔동 1006</t>
        </is>
      </c>
      <c r="B1628" s="3" t="inlineStr">
        <is>
          <t>제1종전용주거지역</t>
        </is>
      </c>
      <c r="C1628" s="3" t="inlineStr">
        <is>
          <t>대</t>
        </is>
      </c>
      <c r="D1628" s="3" t="inlineStr">
        <is>
          <t>대</t>
        </is>
      </c>
      <c r="E1628" s="3" t="inlineStr">
        <is>
          <t>매매</t>
        </is>
      </c>
      <c r="F1628" s="4" t="n">
        <v>59500</v>
      </c>
      <c r="G1628" s="4" t="n">
        <v>395</v>
      </c>
      <c r="H1628" s="4" t="n">
        <v>119</v>
      </c>
      <c r="I1628" s="5" t="n">
        <v>500</v>
      </c>
      <c r="J1628" s="5" t="n">
        <v>314.9</v>
      </c>
      <c r="K1628" s="3" t="inlineStr">
        <is>
          <t>넓은평형 평단가 저렴한택지 추가조율가능</t>
        </is>
      </c>
      <c r="L1628" s="6">
        <f>HYPERLINK("https://fin.land.naver.com/articles/2652410227", "매물Link")</f>
        <v/>
      </c>
      <c r="M1628" s="6">
        <f>HYPERLINK("https://map.naver.com/p/search/한솔동 1006", "지도Link")</f>
        <v/>
      </c>
      <c r="N1628" s="6">
        <f>HYPERLINK("http://www.eum.go.kr/web/ar/lu/luLandDet.jsp?pnu=3611010600110060000&amp;isNoScr=script&amp;mode=search", "토지이음")</f>
        <v/>
      </c>
      <c r="O1628" s="3" t="inlineStr">
        <is>
          <t>세종스타</t>
        </is>
      </c>
      <c r="P1628" s="4" t="n">
        <v>1</v>
      </c>
      <c r="Q1628" s="4" t="n">
        <v>394.9</v>
      </c>
      <c r="R1628" s="3" t="inlineStr">
        <is>
          <t>지정되지않음</t>
        </is>
      </c>
      <c r="S1628" s="3" t="inlineStr">
        <is>
          <t>주거나지</t>
        </is>
      </c>
      <c r="T1628" s="3" t="inlineStr">
        <is>
          <t>평지</t>
        </is>
      </c>
      <c r="U1628" s="3" t="inlineStr">
        <is>
          <t>정방형</t>
        </is>
      </c>
      <c r="V1628" s="3" t="inlineStr">
        <is>
          <t>소로각지</t>
        </is>
      </c>
    </row>
    <row r="1629">
      <c r="A1629" s="3" t="inlineStr">
        <is>
          <t>한솔동 1007</t>
        </is>
      </c>
      <c r="B1629" s="3" t="inlineStr">
        <is>
          <t>제1종전용주거지역</t>
        </is>
      </c>
      <c r="C1629" s="3" t="inlineStr">
        <is>
          <t>대</t>
        </is>
      </c>
      <c r="D1629" s="3" t="inlineStr">
        <is>
          <t>대</t>
        </is>
      </c>
      <c r="E1629" s="3" t="inlineStr">
        <is>
          <t>매매</t>
        </is>
      </c>
      <c r="F1629" s="4" t="n">
        <v>62000</v>
      </c>
      <c r="G1629" s="4" t="n">
        <v>395</v>
      </c>
      <c r="H1629" s="4" t="n">
        <v>119</v>
      </c>
      <c r="I1629" s="5" t="n">
        <v>521</v>
      </c>
      <c r="J1629" s="5" t="n">
        <v>302.8</v>
      </c>
      <c r="K1629" s="3" t="inlineStr">
        <is>
          <t>조정가능 한솔초중고 이마트 코스트코 인근 단독 주택지</t>
        </is>
      </c>
      <c r="L1629" s="6">
        <f>HYPERLINK("https://fin.land.naver.com/articles/2649609420", "매물Link")</f>
        <v/>
      </c>
      <c r="M1629" s="6">
        <f>HYPERLINK("https://map.naver.com/p/search/한솔동 1007", "지도Link")</f>
        <v/>
      </c>
      <c r="N1629" s="6">
        <f>HYPERLINK("http://www.eum.go.kr/web/ar/lu/luLandDet.jsp?pnu=3611010600110070000&amp;isNoScr=script&amp;mode=search", "토지이음")</f>
        <v/>
      </c>
      <c r="O1629" s="3" t="inlineStr">
        <is>
          <t>그래그</t>
        </is>
      </c>
      <c r="P1629" s="4" t="n">
        <v>1</v>
      </c>
      <c r="Q1629" s="4" t="n">
        <v>395</v>
      </c>
      <c r="R1629" s="3" t="inlineStr">
        <is>
          <t>지정되지않음</t>
        </is>
      </c>
      <c r="S1629" s="3" t="inlineStr">
        <is>
          <t>주거나지</t>
        </is>
      </c>
      <c r="T1629" s="3" t="inlineStr">
        <is>
          <t>평지</t>
        </is>
      </c>
      <c r="U1629" s="3" t="inlineStr">
        <is>
          <t>세로장방</t>
        </is>
      </c>
      <c r="V1629" s="3" t="inlineStr">
        <is>
          <t>소로한면</t>
        </is>
      </c>
    </row>
    <row r="1630">
      <c r="A1630" s="3" t="inlineStr">
        <is>
          <t>한솔동 1010</t>
        </is>
      </c>
      <c r="B1630" s="3" t="inlineStr">
        <is>
          <t>제1종전용주거지역</t>
        </is>
      </c>
      <c r="C1630" s="3" t="inlineStr">
        <is>
          <t>대</t>
        </is>
      </c>
      <c r="D1630" s="3" t="inlineStr">
        <is>
          <t>대</t>
        </is>
      </c>
      <c r="E1630" s="3" t="inlineStr">
        <is>
          <t>매매</t>
        </is>
      </c>
      <c r="F1630" s="4" t="n">
        <v>50000</v>
      </c>
      <c r="G1630" s="4" t="n">
        <v>317</v>
      </c>
      <c r="H1630" s="4" t="n">
        <v>96</v>
      </c>
      <c r="I1630" s="5" t="n">
        <v>520.8</v>
      </c>
      <c r="J1630" s="5" t="n">
        <v>302.8</v>
      </c>
      <c r="K1630" s="3" t="inlineStr">
        <is>
          <t>급매 추가조율가능 한솔동D3택지</t>
        </is>
      </c>
      <c r="L1630" s="6">
        <f>HYPERLINK("https://fin.land.naver.com/articles/2649812151", "매물Link")</f>
        <v/>
      </c>
      <c r="M1630" s="6">
        <f>HYPERLINK("https://map.naver.com/p/search/한솔동 1010", "지도Link")</f>
        <v/>
      </c>
      <c r="N1630" s="6">
        <f>HYPERLINK("http://www.eum.go.kr/web/ar/lu/luLandDet.jsp?pnu=3611010600110100000&amp;isNoScr=script&amp;mode=search", "토지이음")</f>
        <v/>
      </c>
      <c r="O1630" s="3" t="inlineStr">
        <is>
          <t>세종스타</t>
        </is>
      </c>
      <c r="P1630" s="4" t="n">
        <v>1</v>
      </c>
      <c r="Q1630" s="4" t="n">
        <v>317.1</v>
      </c>
      <c r="R1630" s="3" t="inlineStr">
        <is>
          <t>지정되지않음</t>
        </is>
      </c>
      <c r="S1630" s="3" t="inlineStr">
        <is>
          <t>주거나지</t>
        </is>
      </c>
      <c r="T1630" s="3" t="inlineStr">
        <is>
          <t>평지</t>
        </is>
      </c>
      <c r="U1630" s="3" t="inlineStr">
        <is>
          <t>세로장방</t>
        </is>
      </c>
      <c r="V1630" s="3" t="inlineStr">
        <is>
          <t>소로한면</t>
        </is>
      </c>
    </row>
    <row r="1631">
      <c r="A1631" s="3" t="inlineStr">
        <is>
          <t>한솔동 1033</t>
        </is>
      </c>
      <c r="B1631" s="3" t="inlineStr">
        <is>
          <t>제1종전용주거지역</t>
        </is>
      </c>
      <c r="C1631" s="3" t="inlineStr">
        <is>
          <t>대</t>
        </is>
      </c>
      <c r="D1631" s="3" t="inlineStr">
        <is>
          <t>대</t>
        </is>
      </c>
      <c r="E1631" s="3" t="inlineStr">
        <is>
          <t>매매</t>
        </is>
      </c>
      <c r="F1631" s="4" t="n">
        <v>51000</v>
      </c>
      <c r="G1631" s="4" t="n">
        <v>302</v>
      </c>
      <c r="H1631" s="4" t="n">
        <v>91</v>
      </c>
      <c r="I1631" s="5" t="n">
        <v>560.4</v>
      </c>
      <c r="J1631" s="5" t="n">
        <v>314.9</v>
      </c>
      <c r="K1631" s="3" t="inlineStr">
        <is>
          <t>네모 반듯한  내 집 지을 예쁜  토지.주변 인프라 좋음</t>
        </is>
      </c>
      <c r="L1631" s="6">
        <f>HYPERLINK("https://fin.land.naver.com/articles/2650388988", "매물Link")</f>
        <v/>
      </c>
      <c r="M1631" s="6">
        <f>HYPERLINK("https://map.naver.com/p/search/한솔동 1033", "지도Link")</f>
        <v/>
      </c>
      <c r="N1631" s="6">
        <f>HYPERLINK("http://www.eum.go.kr/web/ar/lu/luLandDet.jsp?pnu=3611010600110330000&amp;isNoScr=script&amp;mode=search", "토지이음")</f>
        <v/>
      </c>
      <c r="O1631" s="3" t="inlineStr">
        <is>
          <t>석촌</t>
        </is>
      </c>
      <c r="P1631" s="4" t="n">
        <v>1</v>
      </c>
      <c r="Q1631" s="4" t="n">
        <v>302.1</v>
      </c>
      <c r="R1631" s="3" t="inlineStr">
        <is>
          <t>지정되지않음</t>
        </is>
      </c>
      <c r="S1631" s="3" t="inlineStr">
        <is>
          <t>주거나지</t>
        </is>
      </c>
      <c r="T1631" s="3" t="inlineStr">
        <is>
          <t>평지</t>
        </is>
      </c>
      <c r="U1631" s="3" t="inlineStr">
        <is>
          <t>정방형</t>
        </is>
      </c>
      <c r="V1631" s="3" t="inlineStr">
        <is>
          <t>소로각지</t>
        </is>
      </c>
    </row>
    <row r="1632">
      <c r="A1632" s="3" t="inlineStr">
        <is>
          <t>한솔동 1036</t>
        </is>
      </c>
      <c r="B1632" s="3" t="inlineStr">
        <is>
          <t>제1종전용주거지역</t>
        </is>
      </c>
      <c r="C1632" s="3" t="inlineStr">
        <is>
          <t>대</t>
        </is>
      </c>
      <c r="D1632" s="3" t="inlineStr">
        <is>
          <t>대</t>
        </is>
      </c>
      <c r="E1632" s="3" t="inlineStr">
        <is>
          <t>매매</t>
        </is>
      </c>
      <c r="F1632" s="4" t="n">
        <v>55000</v>
      </c>
      <c r="G1632" s="4" t="n">
        <v>403</v>
      </c>
      <c r="H1632" s="4" t="n">
        <v>122</v>
      </c>
      <c r="I1632" s="5" t="n">
        <v>450.8</v>
      </c>
      <c r="J1632" s="5" t="n">
        <v>290.7</v>
      </c>
      <c r="K1632" s="3" t="inlineStr">
        <is>
          <t>가격 좋은 넓은 평형 토지매매, 조율도 가능</t>
        </is>
      </c>
      <c r="L1632" s="6">
        <f>HYPERLINK("https://fin.land.naver.com/articles/2650427563", "매물Link")</f>
        <v/>
      </c>
      <c r="M1632" s="6">
        <f>HYPERLINK("https://map.naver.com/p/search/한솔동 1036", "지도Link")</f>
        <v/>
      </c>
      <c r="N1632" s="6">
        <f>HYPERLINK("http://www.eum.go.kr/web/ar/lu/luLandDet.jsp?pnu=3611010600110360000&amp;isNoScr=script&amp;mode=search", "토지이음")</f>
        <v/>
      </c>
      <c r="O1632" s="3" t="inlineStr">
        <is>
          <t>세종무지개</t>
        </is>
      </c>
      <c r="P1632" s="4" t="n">
        <v>1</v>
      </c>
      <c r="Q1632" s="4" t="n">
        <v>405</v>
      </c>
      <c r="R1632" s="3" t="inlineStr">
        <is>
          <t>지정되지않음</t>
        </is>
      </c>
      <c r="S1632" s="3" t="inlineStr">
        <is>
          <t>주거나지</t>
        </is>
      </c>
      <c r="T1632" s="3" t="inlineStr">
        <is>
          <t>평지</t>
        </is>
      </c>
      <c r="U1632" s="3" t="inlineStr">
        <is>
          <t>자루형</t>
        </is>
      </c>
      <c r="V1632" s="3" t="inlineStr">
        <is>
          <t>소로한면</t>
        </is>
      </c>
    </row>
    <row r="1633">
      <c r="A1633" s="3" t="inlineStr">
        <is>
          <t>한솔동 1059</t>
        </is>
      </c>
      <c r="B1633" s="3" t="inlineStr">
        <is>
          <t>제1종전용주거지역</t>
        </is>
      </c>
      <c r="C1633" s="3" t="inlineStr">
        <is>
          <t>대</t>
        </is>
      </c>
      <c r="D1633" s="3" t="inlineStr">
        <is>
          <t>대</t>
        </is>
      </c>
      <c r="E1633" s="3" t="inlineStr">
        <is>
          <t>매매</t>
        </is>
      </c>
      <c r="F1633" s="4" t="n">
        <v>50000</v>
      </c>
      <c r="G1633" s="4" t="n">
        <v>312</v>
      </c>
      <c r="H1633" s="4" t="n">
        <v>94</v>
      </c>
      <c r="I1633" s="5" t="n">
        <v>531.9</v>
      </c>
      <c r="J1633" s="5" t="n">
        <v>373.6</v>
      </c>
      <c r="K1633" s="3" t="inlineStr">
        <is>
          <t>상가 및 대중교통 이용 편리한 위치,근린공원 근접</t>
        </is>
      </c>
      <c r="L1633" s="6">
        <f>HYPERLINK("https://fin.land.naver.com/articles/2653795767", "매물Link")</f>
        <v/>
      </c>
      <c r="M1633" s="6">
        <f>HYPERLINK("https://map.naver.com/p/search/한솔동 1059", "지도Link")</f>
        <v/>
      </c>
      <c r="N1633" s="6">
        <f>HYPERLINK("http://www.eum.go.kr/web/ar/lu/luLandDet.jsp?pnu=3611010600110590000&amp;isNoScr=script&amp;mode=search", "토지이음")</f>
        <v/>
      </c>
      <c r="O1633" s="3" t="inlineStr">
        <is>
          <t>현대파라곤</t>
        </is>
      </c>
      <c r="P1633" s="4" t="n">
        <v>2</v>
      </c>
      <c r="Q1633" s="4" t="n">
        <v>312.4</v>
      </c>
      <c r="R1633" s="3" t="inlineStr">
        <is>
          <t>지정되지않음</t>
        </is>
      </c>
      <c r="S1633" s="3" t="inlineStr">
        <is>
          <t>주거나지</t>
        </is>
      </c>
      <c r="T1633" s="3" t="inlineStr">
        <is>
          <t>평지</t>
        </is>
      </c>
      <c r="U1633" s="3" t="inlineStr">
        <is>
          <t>세로장방</t>
        </is>
      </c>
      <c r="V1633" s="3" t="inlineStr">
        <is>
          <t>소로한면</t>
        </is>
      </c>
    </row>
    <row r="1634">
      <c r="A1634" s="3" t="inlineStr">
        <is>
          <t>한솔동 1080</t>
        </is>
      </c>
      <c r="B1634" s="3" t="inlineStr">
        <is>
          <t>제1종전용주거지역</t>
        </is>
      </c>
      <c r="C1634" s="3" t="inlineStr">
        <is>
          <t>대</t>
        </is>
      </c>
      <c r="D1634" s="3" t="inlineStr">
        <is>
          <t>대</t>
        </is>
      </c>
      <c r="E1634" s="3" t="inlineStr">
        <is>
          <t>매매</t>
        </is>
      </c>
      <c r="F1634" s="4" t="n">
        <v>59000</v>
      </c>
      <c r="G1634" s="4" t="n">
        <v>301</v>
      </c>
      <c r="H1634" s="4" t="n">
        <v>91</v>
      </c>
      <c r="I1634" s="5" t="n">
        <v>648.4</v>
      </c>
      <c r="J1634" s="5" t="n">
        <v>369.3</v>
      </c>
      <c r="K1634" s="3" t="inlineStr">
        <is>
          <t>총 91.2p, 근린공원인근, 조율가능</t>
        </is>
      </c>
      <c r="L1634" s="6">
        <f>HYPERLINK("https://fin.land.naver.com/articles/2652839380", "매물Link")</f>
        <v/>
      </c>
      <c r="M1634" s="6">
        <f>HYPERLINK("https://map.naver.com/p/search/한솔동 1080", "지도Link")</f>
        <v/>
      </c>
      <c r="N1634" s="6">
        <f>HYPERLINK("http://www.eum.go.kr/web/ar/lu/luLandDet.jsp?pnu=3611010600110800000&amp;isNoScr=script&amp;mode=search", "토지이음")</f>
        <v/>
      </c>
      <c r="O1634" s="3" t="inlineStr">
        <is>
          <t>세종무지개</t>
        </is>
      </c>
      <c r="P1634" s="4" t="n">
        <v>1</v>
      </c>
      <c r="Q1634" s="4" t="n">
        <v>301.1</v>
      </c>
      <c r="R1634" s="3" t="inlineStr">
        <is>
          <t>지정되지않음</t>
        </is>
      </c>
      <c r="S1634" s="3" t="inlineStr">
        <is>
          <t>주거나지</t>
        </is>
      </c>
      <c r="T1634" s="3" t="inlineStr">
        <is>
          <t>평지</t>
        </is>
      </c>
      <c r="U1634" s="3" t="inlineStr">
        <is>
          <t>사다리형</t>
        </is>
      </c>
      <c r="V1634" s="3" t="inlineStr">
        <is>
          <t>소로한면</t>
        </is>
      </c>
    </row>
    <row r="1635">
      <c r="A1635" s="3" t="inlineStr">
        <is>
          <t>한솔동 1086</t>
        </is>
      </c>
      <c r="B1635" s="3" t="inlineStr">
        <is>
          <t>제1종전용주거지역</t>
        </is>
      </c>
      <c r="C1635" s="3" t="inlineStr">
        <is>
          <t>대</t>
        </is>
      </c>
      <c r="D1635" s="3" t="inlineStr">
        <is>
          <t>대</t>
        </is>
      </c>
      <c r="E1635" s="3" t="inlineStr">
        <is>
          <t>매매</t>
        </is>
      </c>
      <c r="F1635" s="4" t="n">
        <v>60000</v>
      </c>
      <c r="G1635" s="4" t="n">
        <v>302</v>
      </c>
      <c r="H1635" s="4" t="n">
        <v>91</v>
      </c>
      <c r="I1635" s="5" t="n">
        <v>659.3</v>
      </c>
      <c r="J1635" s="5" t="n">
        <v>377.2</v>
      </c>
      <c r="K1635" s="3" t="inlineStr">
        <is>
          <t>조건 파격조율가능 도심속전원 시내 시외 진출입편리 이곳은 엘도라도입니다</t>
        </is>
      </c>
      <c r="L1635" s="6">
        <f>HYPERLINK("https://fin.land.naver.com/articles/2654202935", "매물Link")</f>
        <v/>
      </c>
      <c r="M1635" s="6">
        <f>HYPERLINK("https://map.naver.com/p/search/한솔동 1086", "지도Link")</f>
        <v/>
      </c>
      <c r="N1635" s="6">
        <f>HYPERLINK("http://www.eum.go.kr/web/ar/lu/luLandDet.jsp?pnu=3611010600110860000&amp;isNoScr=script&amp;mode=search", "토지이음")</f>
        <v/>
      </c>
      <c r="O1635" s="3" t="inlineStr">
        <is>
          <t>세종시삼성래미안</t>
        </is>
      </c>
      <c r="P1635" s="4" t="n">
        <v>2</v>
      </c>
      <c r="Q1635" s="4" t="n">
        <v>302.9</v>
      </c>
      <c r="R1635" s="3" t="inlineStr">
        <is>
          <t>지정되지않음</t>
        </is>
      </c>
      <c r="S1635" s="3" t="inlineStr">
        <is>
          <t>주거나지</t>
        </is>
      </c>
      <c r="T1635" s="3" t="inlineStr">
        <is>
          <t>평지</t>
        </is>
      </c>
      <c r="U1635" s="3" t="inlineStr">
        <is>
          <t>세로장방</t>
        </is>
      </c>
      <c r="V1635" s="3" t="inlineStr">
        <is>
          <t>소로한면</t>
        </is>
      </c>
    </row>
    <row r="1636">
      <c r="A1636" s="3" t="inlineStr">
        <is>
          <t>한솔동 1087</t>
        </is>
      </c>
      <c r="B1636" s="3" t="inlineStr">
        <is>
          <t>제1종전용주거지역</t>
        </is>
      </c>
      <c r="C1636" s="3" t="inlineStr">
        <is>
          <t>대</t>
        </is>
      </c>
      <c r="D1636" s="3" t="inlineStr">
        <is>
          <t>대</t>
        </is>
      </c>
      <c r="E1636" s="3" t="inlineStr">
        <is>
          <t>매매</t>
        </is>
      </c>
      <c r="F1636" s="4" t="n">
        <v>85000</v>
      </c>
      <c r="G1636" s="4" t="n">
        <v>303</v>
      </c>
      <c r="H1636" s="4" t="n">
        <v>92</v>
      </c>
      <c r="I1636" s="5" t="n">
        <v>923.9</v>
      </c>
      <c r="J1636" s="5" t="n">
        <v>377.2</v>
      </c>
      <c r="K1636" s="3" t="inlineStr">
        <is>
          <t>한솔동, 단독주택지 토지매매</t>
        </is>
      </c>
      <c r="L1636" s="6">
        <f>HYPERLINK("https://fin.land.naver.com/articles/2649875547", "매물Link")</f>
        <v/>
      </c>
      <c r="M1636" s="6">
        <f>HYPERLINK("https://map.naver.com/p/search/한솔동 1087", "지도Link")</f>
        <v/>
      </c>
      <c r="N1636" s="6">
        <f>HYPERLINK("http://www.eum.go.kr/web/ar/lu/luLandDet.jsp?pnu=3611010600110870000&amp;isNoScr=script&amp;mode=search", "토지이음")</f>
        <v/>
      </c>
      <c r="O1636" s="3" t="inlineStr">
        <is>
          <t>명진</t>
        </is>
      </c>
      <c r="P1636" s="4" t="n">
        <v>1</v>
      </c>
      <c r="Q1636" s="4" t="n">
        <v>303.9</v>
      </c>
      <c r="R1636" s="3" t="inlineStr">
        <is>
          <t>지정되지않음</t>
        </is>
      </c>
      <c r="S1636" s="3" t="inlineStr">
        <is>
          <t>주거나지</t>
        </is>
      </c>
      <c r="T1636" s="3" t="inlineStr">
        <is>
          <t>평지</t>
        </is>
      </c>
      <c r="U1636" s="3" t="inlineStr">
        <is>
          <t>세로장방</t>
        </is>
      </c>
      <c r="V1636" s="3" t="inlineStr">
        <is>
          <t>소로한면</t>
        </is>
      </c>
    </row>
    <row r="1637">
      <c r="A1637" s="3" t="inlineStr">
        <is>
          <t>한솔동 1098</t>
        </is>
      </c>
      <c r="B1637" s="3" t="inlineStr">
        <is>
          <t>제1종전용주거지역</t>
        </is>
      </c>
      <c r="C1637" s="3" t="inlineStr">
        <is>
          <t>대</t>
        </is>
      </c>
      <c r="D1637" s="3" t="inlineStr">
        <is>
          <t>대</t>
        </is>
      </c>
      <c r="E1637" s="3" t="inlineStr">
        <is>
          <t>매매</t>
        </is>
      </c>
      <c r="F1637" s="4" t="n">
        <v>80000</v>
      </c>
      <c r="G1637" s="4" t="n">
        <v>314</v>
      </c>
      <c r="H1637" s="4" t="n">
        <v>95</v>
      </c>
      <c r="I1637" s="5" t="n">
        <v>842.1</v>
      </c>
      <c r="J1637" s="5" t="n">
        <v>373.6</v>
      </c>
      <c r="K1637" s="3" t="inlineStr">
        <is>
          <t>삼거리 코너입지, 한솔동 단독주택지</t>
        </is>
      </c>
      <c r="L1637" s="6">
        <f>HYPERLINK("https://fin.land.naver.com/articles/2650427968", "매물Link")</f>
        <v/>
      </c>
      <c r="M1637" s="6">
        <f>HYPERLINK("https://map.naver.com/p/search/한솔동 1098", "지도Link")</f>
        <v/>
      </c>
      <c r="N1637" s="6">
        <f>HYPERLINK("http://www.eum.go.kr/web/ar/lu/luLandDet.jsp?pnu=3611010600110980000&amp;isNoScr=script&amp;mode=search", "토지이음")</f>
        <v/>
      </c>
      <c r="O1637" s="3" t="inlineStr">
        <is>
          <t>세종무지개</t>
        </is>
      </c>
      <c r="P1637" s="4" t="n">
        <v>1</v>
      </c>
      <c r="Q1637" s="4" t="n">
        <v>314.9</v>
      </c>
      <c r="R1637" s="3" t="inlineStr">
        <is>
          <t>지정되지않음</t>
        </is>
      </c>
      <c r="S1637" s="3" t="inlineStr">
        <is>
          <t>주거나지</t>
        </is>
      </c>
      <c r="T1637" s="3" t="inlineStr">
        <is>
          <t>평지</t>
        </is>
      </c>
      <c r="U1637" s="3" t="inlineStr">
        <is>
          <t>세로장방</t>
        </is>
      </c>
      <c r="V1637" s="3" t="inlineStr">
        <is>
          <t>소로한면</t>
        </is>
      </c>
    </row>
    <row r="1638">
      <c r="A1638" s="3" t="inlineStr">
        <is>
          <t>한솔동 1098</t>
        </is>
      </c>
      <c r="B1638" s="3" t="inlineStr">
        <is>
          <t>제1종전용주거지역</t>
        </is>
      </c>
      <c r="C1638" s="3" t="inlineStr">
        <is>
          <t>대</t>
        </is>
      </c>
      <c r="D1638" s="3" t="inlineStr">
        <is>
          <t>대</t>
        </is>
      </c>
      <c r="E1638" s="3" t="inlineStr">
        <is>
          <t>매매</t>
        </is>
      </c>
      <c r="F1638" s="4" t="n">
        <v>80000</v>
      </c>
      <c r="G1638" s="4" t="n">
        <v>314</v>
      </c>
      <c r="H1638" s="4" t="n">
        <v>95</v>
      </c>
      <c r="I1638" s="5" t="n">
        <v>842.1</v>
      </c>
      <c r="J1638" s="5" t="n">
        <v>373.6</v>
      </c>
      <c r="K1638" s="3" t="inlineStr">
        <is>
          <t>조건 파격조율가능 도심속전원 시내 시외 진출입편리 이곳은 엘도라도입니다</t>
        </is>
      </c>
      <c r="L1638" s="6">
        <f>HYPERLINK("https://fin.land.naver.com/articles/2654203210", "매물Link")</f>
        <v/>
      </c>
      <c r="M1638" s="6">
        <f>HYPERLINK("https://map.naver.com/p/search/한솔동 1098", "지도Link")</f>
        <v/>
      </c>
      <c r="N1638" s="6">
        <f>HYPERLINK("http://www.eum.go.kr/web/ar/lu/luLandDet.jsp?pnu=3611010600110980000&amp;isNoScr=script&amp;mode=search", "토지이음")</f>
        <v/>
      </c>
      <c r="O1638" s="3" t="inlineStr">
        <is>
          <t>세종시삼성래미안</t>
        </is>
      </c>
      <c r="P1638" s="4" t="n">
        <v>1</v>
      </c>
      <c r="Q1638" s="4" t="n">
        <v>314.9</v>
      </c>
      <c r="R1638" s="3" t="inlineStr">
        <is>
          <t>지정되지않음</t>
        </is>
      </c>
      <c r="S1638" s="3" t="inlineStr">
        <is>
          <t>주거나지</t>
        </is>
      </c>
      <c r="T1638" s="3" t="inlineStr">
        <is>
          <t>평지</t>
        </is>
      </c>
      <c r="U1638" s="3" t="inlineStr">
        <is>
          <t>세로장방</t>
        </is>
      </c>
      <c r="V1638" s="3" t="inlineStr">
        <is>
          <t>소로한면</t>
        </is>
      </c>
    </row>
    <row r="1639">
      <c r="A1639" s="3" t="inlineStr">
        <is>
          <t>한솔동 1113</t>
        </is>
      </c>
      <c r="B1639" s="3" t="inlineStr">
        <is>
          <t>제1종전용주거지역</t>
        </is>
      </c>
      <c r="C1639" s="3" t="inlineStr">
        <is>
          <t>대</t>
        </is>
      </c>
      <c r="D1639" s="3" t="inlineStr">
        <is>
          <t>대</t>
        </is>
      </c>
      <c r="E1639" s="3" t="inlineStr">
        <is>
          <t>매매</t>
        </is>
      </c>
      <c r="F1639" s="4" t="n">
        <v>60000</v>
      </c>
      <c r="G1639" s="4" t="n">
        <v>320</v>
      </c>
      <c r="H1639" s="4" t="n">
        <v>97</v>
      </c>
      <c r="I1639" s="5" t="n">
        <v>618.6</v>
      </c>
      <c r="J1639" s="5" t="n">
        <v>373.6</v>
      </c>
      <c r="K1639" s="3" t="inlineStr">
        <is>
          <t>적극협의가능 시유지넓게접함 선호위치</t>
        </is>
      </c>
      <c r="L1639" s="6">
        <f>HYPERLINK("https://fin.land.naver.com/articles/2649812097", "매물Link")</f>
        <v/>
      </c>
      <c r="M1639" s="6">
        <f>HYPERLINK("https://map.naver.com/p/search/한솔동 1113", "지도Link")</f>
        <v/>
      </c>
      <c r="N1639" s="6">
        <f>HYPERLINK("http://www.eum.go.kr/web/ar/lu/luLandDet.jsp?pnu=3611010600111130000&amp;isNoScr=script&amp;mode=search", "토지이음")</f>
        <v/>
      </c>
      <c r="O1639" s="3" t="inlineStr">
        <is>
          <t>세종스타</t>
        </is>
      </c>
      <c r="P1639" s="4" t="n">
        <v>1</v>
      </c>
      <c r="Q1639" s="4" t="n">
        <v>320.1</v>
      </c>
      <c r="R1639" s="3" t="inlineStr">
        <is>
          <t>지정되지않음</t>
        </is>
      </c>
      <c r="S1639" s="3" t="inlineStr">
        <is>
          <t>주거나지</t>
        </is>
      </c>
      <c r="T1639" s="3" t="inlineStr">
        <is>
          <t>평지</t>
        </is>
      </c>
      <c r="U1639" s="3" t="inlineStr">
        <is>
          <t>세로장방</t>
        </is>
      </c>
      <c r="V1639" s="3" t="inlineStr">
        <is>
          <t>소로한면</t>
        </is>
      </c>
    </row>
    <row r="1640">
      <c r="A1640" s="3" t="inlineStr">
        <is>
          <t>한솔동 1122</t>
        </is>
      </c>
      <c r="B1640" s="3" t="inlineStr">
        <is>
          <t>제1종전용주거지역</t>
        </is>
      </c>
      <c r="C1640" s="3" t="inlineStr">
        <is>
          <t>대</t>
        </is>
      </c>
      <c r="D1640" s="3" t="inlineStr">
        <is>
          <t>대</t>
        </is>
      </c>
      <c r="E1640" s="3" t="inlineStr">
        <is>
          <t>매매</t>
        </is>
      </c>
      <c r="F1640" s="4" t="n">
        <v>80000</v>
      </c>
      <c r="G1640" s="4" t="n">
        <v>310</v>
      </c>
      <c r="H1640" s="4" t="n">
        <v>94</v>
      </c>
      <c r="I1640" s="5" t="n">
        <v>851.1</v>
      </c>
      <c r="J1640" s="5" t="n">
        <v>376.9</v>
      </c>
      <c r="K1640" s="3" t="inlineStr">
        <is>
          <t>한솔동 단독주택 토지매매</t>
        </is>
      </c>
      <c r="L1640" s="6">
        <f>HYPERLINK("https://fin.land.naver.com/articles/2650427036", "매물Link")</f>
        <v/>
      </c>
      <c r="M1640" s="6">
        <f>HYPERLINK("https://map.naver.com/p/search/한솔동 1122", "지도Link")</f>
        <v/>
      </c>
      <c r="N1640" s="6">
        <f>HYPERLINK("http://www.eum.go.kr/web/ar/lu/luLandDet.jsp?pnu=3611010600111220000&amp;isNoScr=script&amp;mode=search", "토지이음")</f>
        <v/>
      </c>
      <c r="O1640" s="3" t="inlineStr">
        <is>
          <t>세종무지개</t>
        </is>
      </c>
      <c r="P1640" s="4" t="n">
        <v>1</v>
      </c>
      <c r="Q1640" s="4" t="n">
        <v>310.1</v>
      </c>
      <c r="R1640" s="3" t="inlineStr">
        <is>
          <t>지정되지않음</t>
        </is>
      </c>
      <c r="S1640" s="3" t="inlineStr">
        <is>
          <t>주거나지</t>
        </is>
      </c>
      <c r="T1640" s="3" t="inlineStr">
        <is>
          <t>평지</t>
        </is>
      </c>
      <c r="U1640" s="3" t="inlineStr">
        <is>
          <t>세로장방</t>
        </is>
      </c>
      <c r="V1640" s="3" t="inlineStr">
        <is>
          <t>소로한면</t>
        </is>
      </c>
    </row>
    <row r="1641">
      <c r="A1641" s="3" t="inlineStr">
        <is>
          <t>한솔동 1135</t>
        </is>
      </c>
      <c r="B1641" s="3" t="inlineStr">
        <is>
          <t>제1종전용주거지역</t>
        </is>
      </c>
      <c r="C1641" s="3" t="inlineStr">
        <is>
          <t>대</t>
        </is>
      </c>
      <c r="D1641" s="3" t="inlineStr">
        <is>
          <t>대</t>
        </is>
      </c>
      <c r="E1641" s="3" t="inlineStr">
        <is>
          <t>매매</t>
        </is>
      </c>
      <c r="F1641" s="4" t="n">
        <v>55000</v>
      </c>
      <c r="G1641" s="4" t="n">
        <v>309</v>
      </c>
      <c r="H1641" s="4" t="n">
        <v>93</v>
      </c>
      <c r="I1641" s="5" t="n">
        <v>591.4</v>
      </c>
      <c r="J1641" s="5" t="n">
        <v>376.9</v>
      </c>
      <c r="K1641" s="3" t="inlineStr">
        <is>
          <t>새롬동과 한솔동사이 경사진 단독전용 택지,협의가능</t>
        </is>
      </c>
      <c r="L1641" s="6">
        <f>HYPERLINK("https://fin.land.naver.com/articles/2653031834", "매물Link")</f>
        <v/>
      </c>
      <c r="M1641" s="6">
        <f>HYPERLINK("https://map.naver.com/p/search/한솔동 1135", "지도Link")</f>
        <v/>
      </c>
      <c r="N1641" s="6">
        <f>HYPERLINK("http://www.eum.go.kr/web/ar/lu/luLandDet.jsp?pnu=3611010600111350000&amp;isNoScr=script&amp;mode=search", "토지이음")</f>
        <v/>
      </c>
      <c r="O1641" s="3" t="inlineStr">
        <is>
          <t>세종나라</t>
        </is>
      </c>
      <c r="P1641" s="4" t="n">
        <v>2</v>
      </c>
      <c r="Q1641" s="4" t="n">
        <v>309.9</v>
      </c>
      <c r="R1641" s="3" t="inlineStr">
        <is>
          <t>지정되지않음</t>
        </is>
      </c>
      <c r="S1641" s="3" t="inlineStr">
        <is>
          <t>주거나지</t>
        </is>
      </c>
      <c r="T1641" s="3" t="inlineStr">
        <is>
          <t>평지</t>
        </is>
      </c>
      <c r="U1641" s="3" t="inlineStr">
        <is>
          <t>세로장방</t>
        </is>
      </c>
      <c r="V1641" s="3" t="inlineStr">
        <is>
          <t>소로한면</t>
        </is>
      </c>
    </row>
    <row r="1642">
      <c r="A1642" s="3" t="inlineStr">
        <is>
          <t>한솔동 1152</t>
        </is>
      </c>
      <c r="B1642" s="3" t="inlineStr">
        <is>
          <t>제1종전용주거지역</t>
        </is>
      </c>
      <c r="C1642" s="3" t="inlineStr">
        <is>
          <t>대</t>
        </is>
      </c>
      <c r="D1642" s="3" t="inlineStr">
        <is>
          <t>대</t>
        </is>
      </c>
      <c r="E1642" s="3" t="inlineStr">
        <is>
          <t>매매</t>
        </is>
      </c>
      <c r="F1642" s="4" t="n">
        <v>75000</v>
      </c>
      <c r="G1642" s="4" t="n">
        <v>309</v>
      </c>
      <c r="H1642" s="4" t="n">
        <v>93</v>
      </c>
      <c r="I1642" s="5" t="n">
        <v>806.5</v>
      </c>
      <c r="J1642" s="5" t="n">
        <v>376.9</v>
      </c>
      <c r="K1642" s="3" t="inlineStr">
        <is>
          <t>한솔동 인기주택지중 좋은위치의 저렴한 택지로 조율 가능함</t>
        </is>
      </c>
      <c r="L1642" s="6">
        <f>HYPERLINK("https://fin.land.naver.com/articles/2654594075", "매물Link")</f>
        <v/>
      </c>
      <c r="M1642" s="6">
        <f>HYPERLINK("https://map.naver.com/p/search/한솔동 1152", "지도Link")</f>
        <v/>
      </c>
      <c r="N1642" s="6">
        <f>HYPERLINK("http://www.eum.go.kr/web/ar/lu/luLandDet.jsp?pnu=3611010600111520000&amp;isNoScr=script&amp;mode=search", "토지이음")</f>
        <v/>
      </c>
      <c r="O1642" s="3" t="inlineStr">
        <is>
          <t>바로그</t>
        </is>
      </c>
      <c r="P1642" s="4" t="n">
        <v>1</v>
      </c>
      <c r="Q1642" s="4" t="n">
        <v>309.4</v>
      </c>
      <c r="R1642" s="3" t="inlineStr">
        <is>
          <t>지정되지않음</t>
        </is>
      </c>
      <c r="S1642" s="3" t="inlineStr">
        <is>
          <t>주거나지</t>
        </is>
      </c>
      <c r="T1642" s="3" t="inlineStr">
        <is>
          <t>평지</t>
        </is>
      </c>
      <c r="U1642" s="3" t="inlineStr">
        <is>
          <t>세로장방</t>
        </is>
      </c>
      <c r="V1642" s="3" t="inlineStr">
        <is>
          <t>소로한면</t>
        </is>
      </c>
    </row>
    <row r="1643">
      <c r="A1643" s="3" t="inlineStr">
        <is>
          <t>한솔동 1175</t>
        </is>
      </c>
      <c r="B1643" s="3" t="inlineStr">
        <is>
          <t>제1종전용주거지역</t>
        </is>
      </c>
      <c r="C1643" s="3" t="inlineStr">
        <is>
          <t>대</t>
        </is>
      </c>
      <c r="D1643" s="3" t="inlineStr">
        <is>
          <t>대</t>
        </is>
      </c>
      <c r="E1643" s="3" t="inlineStr">
        <is>
          <t>매매</t>
        </is>
      </c>
      <c r="F1643" s="4" t="n">
        <v>90000</v>
      </c>
      <c r="G1643" s="4" t="n">
        <v>407</v>
      </c>
      <c r="H1643" s="4" t="n">
        <v>123</v>
      </c>
      <c r="I1643" s="5" t="n">
        <v>731.7</v>
      </c>
      <c r="J1643" s="5" t="n">
        <v>389.8</v>
      </c>
      <c r="K1643" s="3" t="inlineStr">
        <is>
          <t>넓은 평형 토지매매, 한솔동</t>
        </is>
      </c>
      <c r="L1643" s="6">
        <f>HYPERLINK("https://fin.land.naver.com/articles/2650427381", "매물Link")</f>
        <v/>
      </c>
      <c r="M1643" s="6">
        <f>HYPERLINK("https://map.naver.com/p/search/한솔동 1175", "지도Link")</f>
        <v/>
      </c>
      <c r="N1643" s="6">
        <f>HYPERLINK("http://www.eum.go.kr/web/ar/lu/luLandDet.jsp?pnu=3611010600111750000&amp;isNoScr=script&amp;mode=search", "토지이음")</f>
        <v/>
      </c>
      <c r="O1643" s="3" t="inlineStr">
        <is>
          <t>세종무지개</t>
        </is>
      </c>
      <c r="P1643" s="4" t="n">
        <v>1</v>
      </c>
      <c r="Q1643" s="4" t="n">
        <v>407.1</v>
      </c>
      <c r="R1643" s="3" t="inlineStr">
        <is>
          <t>지정되지않음</t>
        </is>
      </c>
      <c r="S1643" s="3" t="inlineStr">
        <is>
          <t>주거나지</t>
        </is>
      </c>
      <c r="T1643" s="3" t="inlineStr">
        <is>
          <t>평지</t>
        </is>
      </c>
      <c r="U1643" s="3" t="inlineStr">
        <is>
          <t>정방형</t>
        </is>
      </c>
      <c r="V1643" s="3" t="inlineStr">
        <is>
          <t>소로한면</t>
        </is>
      </c>
    </row>
    <row r="1644">
      <c r="A1644" s="3" t="inlineStr">
        <is>
          <t>한솔동 1175</t>
        </is>
      </c>
      <c r="B1644" s="3" t="inlineStr">
        <is>
          <t>제1종전용주거지역</t>
        </is>
      </c>
      <c r="C1644" s="3" t="inlineStr">
        <is>
          <t>대</t>
        </is>
      </c>
      <c r="D1644" s="3" t="inlineStr">
        <is>
          <t>대</t>
        </is>
      </c>
      <c r="E1644" s="3" t="inlineStr">
        <is>
          <t>매매</t>
        </is>
      </c>
      <c r="F1644" s="4" t="n">
        <v>90000</v>
      </c>
      <c r="G1644" s="4" t="n">
        <v>407</v>
      </c>
      <c r="H1644" s="4" t="n">
        <v>123</v>
      </c>
      <c r="I1644" s="5" t="n">
        <v>731.7</v>
      </c>
      <c r="J1644" s="5" t="n">
        <v>389.8</v>
      </c>
      <c r="K1644" s="3" t="inlineStr">
        <is>
          <t>총 123.4p, 새뜸1단지 맞은편</t>
        </is>
      </c>
      <c r="L1644" s="6">
        <f>HYPERLINK("https://fin.land.naver.com/articles/2654232425", "매물Link")</f>
        <v/>
      </c>
      <c r="M1644" s="6">
        <f>HYPERLINK("https://map.naver.com/p/search/한솔동 1175", "지도Link")</f>
        <v/>
      </c>
      <c r="N1644" s="6">
        <f>HYPERLINK("http://www.eum.go.kr/web/ar/lu/luLandDet.jsp?pnu=3611010600111750000&amp;isNoScr=script&amp;mode=search", "토지이음")</f>
        <v/>
      </c>
      <c r="O1644" s="3" t="inlineStr">
        <is>
          <t>명진</t>
        </is>
      </c>
      <c r="P1644" s="4" t="n">
        <v>1</v>
      </c>
      <c r="Q1644" s="4" t="n">
        <v>407.1</v>
      </c>
      <c r="R1644" s="3" t="inlineStr">
        <is>
          <t>지정되지않음</t>
        </is>
      </c>
      <c r="S1644" s="3" t="inlineStr">
        <is>
          <t>주거나지</t>
        </is>
      </c>
      <c r="T1644" s="3" t="inlineStr">
        <is>
          <t>평지</t>
        </is>
      </c>
      <c r="U1644" s="3" t="inlineStr">
        <is>
          <t>정방형</t>
        </is>
      </c>
      <c r="V1644" s="3" t="inlineStr">
        <is>
          <t>소로한면</t>
        </is>
      </c>
    </row>
    <row r="1645">
      <c r="A1645" s="3" t="inlineStr">
        <is>
          <t>한솔동 1187</t>
        </is>
      </c>
      <c r="B1645" s="3" t="inlineStr">
        <is>
          <t>제1종전용주거지역</t>
        </is>
      </c>
      <c r="C1645" s="3" t="inlineStr">
        <is>
          <t>대</t>
        </is>
      </c>
      <c r="D1645" s="3" t="inlineStr">
        <is>
          <t>대</t>
        </is>
      </c>
      <c r="E1645" s="3" t="inlineStr">
        <is>
          <t>매매</t>
        </is>
      </c>
      <c r="F1645" s="4" t="n">
        <v>60000</v>
      </c>
      <c r="G1645" s="4" t="n">
        <v>420</v>
      </c>
      <c r="H1645" s="4" t="n">
        <v>127</v>
      </c>
      <c r="I1645" s="5" t="n">
        <v>472.4</v>
      </c>
      <c r="J1645" s="5" t="n">
        <v>391.7</v>
      </c>
      <c r="K1645" s="3" t="inlineStr">
        <is>
          <t>공원앞 코너각지,높은위치,큰평수 위치좋음, 급매, 조정가능,</t>
        </is>
      </c>
      <c r="L1645" s="6">
        <f>HYPERLINK("https://fin.land.naver.com/articles/2654626145", "매물Link")</f>
        <v/>
      </c>
      <c r="M1645" s="6">
        <f>HYPERLINK("https://map.naver.com/p/search/한솔동 1187", "지도Link")</f>
        <v/>
      </c>
      <c r="N1645" s="6">
        <f>HYPERLINK("http://www.eum.go.kr/web/ar/lu/luLandDet.jsp?pnu=3611010600111870000&amp;isNoScr=script&amp;mode=search", "토지이음")</f>
        <v/>
      </c>
      <c r="O1645" s="3" t="inlineStr">
        <is>
          <t>고운동리치세종</t>
        </is>
      </c>
      <c r="P1645" s="4" t="n">
        <v>2</v>
      </c>
      <c r="Q1645" s="4" t="n">
        <v>420</v>
      </c>
      <c r="R1645" s="3" t="inlineStr">
        <is>
          <t>지정되지않음</t>
        </is>
      </c>
      <c r="S1645" s="3" t="inlineStr">
        <is>
          <t>주거나지</t>
        </is>
      </c>
      <c r="T1645" s="3" t="inlineStr">
        <is>
          <t>평지</t>
        </is>
      </c>
      <c r="U1645" s="3" t="inlineStr">
        <is>
          <t>정방형</t>
        </is>
      </c>
      <c r="V1645" s="3" t="inlineStr">
        <is>
          <t>소로각지</t>
        </is>
      </c>
    </row>
    <row r="1646">
      <c r="A1646" s="3" t="inlineStr">
        <is>
          <t>한솔동 1193</t>
        </is>
      </c>
      <c r="B1646" s="3" t="inlineStr">
        <is>
          <t>제1종전용주거지역</t>
        </is>
      </c>
      <c r="C1646" s="3" t="inlineStr">
        <is>
          <t>대</t>
        </is>
      </c>
      <c r="D1646" s="3" t="inlineStr">
        <is>
          <t>대</t>
        </is>
      </c>
      <c r="E1646" s="3" t="inlineStr">
        <is>
          <t>매매</t>
        </is>
      </c>
      <c r="F1646" s="4" t="n">
        <v>65000</v>
      </c>
      <c r="G1646" s="4" t="n">
        <v>320</v>
      </c>
      <c r="H1646" s="4" t="n">
        <v>97</v>
      </c>
      <c r="I1646" s="5" t="n">
        <v>670.1</v>
      </c>
      <c r="J1646" s="5" t="n">
        <v>391.7</v>
      </c>
      <c r="K1646" s="3" t="inlineStr">
        <is>
          <t>코너위치좋은한솔동단독택지매매 가격조정가능</t>
        </is>
      </c>
      <c r="L1646" s="6">
        <f>HYPERLINK("https://fin.land.naver.com/articles/2651789377", "매물Link")</f>
        <v/>
      </c>
      <c r="M1646" s="6">
        <f>HYPERLINK("https://map.naver.com/p/search/한솔동 1193", "지도Link")</f>
        <v/>
      </c>
      <c r="N1646" s="6">
        <f>HYPERLINK("http://www.eum.go.kr/web/ar/lu/luLandDet.jsp?pnu=3611010600111930000&amp;isNoScr=script&amp;mode=search", "토지이음")</f>
        <v/>
      </c>
      <c r="O1646" s="3" t="inlineStr">
        <is>
          <t>고운동리치세종</t>
        </is>
      </c>
      <c r="P1646" s="4" t="n">
        <v>2</v>
      </c>
      <c r="Q1646" s="4" t="n">
        <v>320.1</v>
      </c>
      <c r="R1646" s="3" t="inlineStr">
        <is>
          <t>지정되지않음</t>
        </is>
      </c>
      <c r="S1646" s="3" t="inlineStr">
        <is>
          <t>주거나지</t>
        </is>
      </c>
      <c r="T1646" s="3" t="inlineStr">
        <is>
          <t>평지</t>
        </is>
      </c>
      <c r="U1646" s="3" t="inlineStr">
        <is>
          <t>세로장방</t>
        </is>
      </c>
      <c r="V1646" s="3" t="inlineStr">
        <is>
          <t>소로각지</t>
        </is>
      </c>
    </row>
    <row r="1647">
      <c r="A1647" s="3" t="inlineStr">
        <is>
          <t>한솔동 1194</t>
        </is>
      </c>
      <c r="B1647" s="3" t="inlineStr">
        <is>
          <t>제1종전용주거지역</t>
        </is>
      </c>
      <c r="C1647" s="3" t="inlineStr">
        <is>
          <t>대</t>
        </is>
      </c>
      <c r="D1647" s="3" t="inlineStr">
        <is>
          <t>대</t>
        </is>
      </c>
      <c r="E1647" s="3" t="inlineStr">
        <is>
          <t>매매</t>
        </is>
      </c>
      <c r="F1647" s="4" t="n">
        <v>49000</v>
      </c>
      <c r="G1647" s="4" t="n">
        <v>335</v>
      </c>
      <c r="H1647" s="4" t="n">
        <v>101</v>
      </c>
      <c r="I1647" s="5" t="n">
        <v>485.1</v>
      </c>
      <c r="J1647" s="5" t="n">
        <v>376.9</v>
      </c>
      <c r="K1647" s="3" t="inlineStr">
        <is>
          <t>급매 한솔동단독택지매매 가격조정가능</t>
        </is>
      </c>
      <c r="L1647" s="6">
        <f>HYPERLINK("https://fin.land.naver.com/articles/2651877033", "매물Link")</f>
        <v/>
      </c>
      <c r="M1647" s="6">
        <f>HYPERLINK("https://map.naver.com/p/search/한솔동 1194", "지도Link")</f>
        <v/>
      </c>
      <c r="N1647" s="6">
        <f>HYPERLINK("http://www.eum.go.kr/web/ar/lu/luLandDet.jsp?pnu=3611010600111940000&amp;isNoScr=script&amp;mode=search", "토지이음")</f>
        <v/>
      </c>
      <c r="O1647" s="3" t="inlineStr">
        <is>
          <t>고운동리치세종</t>
        </is>
      </c>
      <c r="P1647" s="4" t="n">
        <v>1</v>
      </c>
      <c r="Q1647" s="4" t="n">
        <v>335.4</v>
      </c>
      <c r="R1647" s="3" t="inlineStr">
        <is>
          <t>지정되지않음</t>
        </is>
      </c>
      <c r="S1647" s="3" t="inlineStr">
        <is>
          <t>주거나지</t>
        </is>
      </c>
      <c r="T1647" s="3" t="inlineStr">
        <is>
          <t>평지</t>
        </is>
      </c>
      <c r="U1647" s="3" t="inlineStr">
        <is>
          <t>세로장방</t>
        </is>
      </c>
      <c r="V1647" s="3" t="inlineStr">
        <is>
          <t>소로한면</t>
        </is>
      </c>
    </row>
    <row r="1648">
      <c r="A1648" s="3" t="inlineStr">
        <is>
          <t>한솔동 1194</t>
        </is>
      </c>
      <c r="B1648" s="3" t="inlineStr">
        <is>
          <t>제1종전용주거지역</t>
        </is>
      </c>
      <c r="C1648" s="3" t="inlineStr">
        <is>
          <t>대</t>
        </is>
      </c>
      <c r="D1648" s="3" t="inlineStr">
        <is>
          <t>대</t>
        </is>
      </c>
      <c r="E1648" s="3" t="inlineStr">
        <is>
          <t>매매</t>
        </is>
      </c>
      <c r="F1648" s="4" t="n">
        <v>49000</v>
      </c>
      <c r="G1648" s="4" t="n">
        <v>335</v>
      </c>
      <c r="H1648" s="4" t="n">
        <v>101</v>
      </c>
      <c r="I1648" s="5" t="n">
        <v>485.1</v>
      </c>
      <c r="J1648" s="5" t="n">
        <v>376.9</v>
      </c>
      <c r="K1648" s="3" t="inlineStr">
        <is>
          <t>101p.단독택지.1분거리.학원.마트.초중고.5분.단독주택.전원주택.추천</t>
        </is>
      </c>
      <c r="L1648" s="6">
        <f>HYPERLINK("https://fin.land.naver.com/articles/2649858793", "매물Link")</f>
        <v/>
      </c>
      <c r="M1648" s="6">
        <f>HYPERLINK("https://map.naver.com/p/search/한솔동 1194", "지도Link")</f>
        <v/>
      </c>
      <c r="N1648" s="6">
        <f>HYPERLINK("http://www.eum.go.kr/web/ar/lu/luLandDet.jsp?pnu=3611010600111940000&amp;isNoScr=script&amp;mode=search", "토지이음")</f>
        <v/>
      </c>
      <c r="O1648" s="3" t="inlineStr">
        <is>
          <t>원</t>
        </is>
      </c>
      <c r="P1648" s="4" t="n">
        <v>1</v>
      </c>
      <c r="Q1648" s="4" t="n">
        <v>335.4</v>
      </c>
      <c r="R1648" s="3" t="inlineStr">
        <is>
          <t>지정되지않음</t>
        </is>
      </c>
      <c r="S1648" s="3" t="inlineStr">
        <is>
          <t>주거나지</t>
        </is>
      </c>
      <c r="T1648" s="3" t="inlineStr">
        <is>
          <t>평지</t>
        </is>
      </c>
      <c r="U1648" s="3" t="inlineStr">
        <is>
          <t>세로장방</t>
        </is>
      </c>
      <c r="V1648" s="3" t="inlineStr">
        <is>
          <t>소로한면</t>
        </is>
      </c>
    </row>
    <row r="1649">
      <c r="A1649" s="3" t="inlineStr">
        <is>
          <t>한솔동 1197</t>
        </is>
      </c>
      <c r="B1649" s="3" t="inlineStr">
        <is>
          <t>제1종전용주거지역</t>
        </is>
      </c>
      <c r="C1649" s="3" t="inlineStr">
        <is>
          <t>대</t>
        </is>
      </c>
      <c r="D1649" s="3" t="inlineStr">
        <is>
          <t>대</t>
        </is>
      </c>
      <c r="E1649" s="3" t="inlineStr">
        <is>
          <t>매매</t>
        </is>
      </c>
      <c r="F1649" s="4" t="n">
        <v>75000</v>
      </c>
      <c r="G1649" s="4" t="n">
        <v>320</v>
      </c>
      <c r="H1649" s="4" t="n">
        <v>97</v>
      </c>
      <c r="I1649" s="5" t="n">
        <v>773.2</v>
      </c>
      <c r="J1649" s="5" t="n">
        <v>391.7</v>
      </c>
      <c r="K1649" s="3" t="inlineStr">
        <is>
          <t>공원앞 코너각지토지 97p 답답하지않은 위치</t>
        </is>
      </c>
      <c r="L1649" s="6">
        <f>HYPERLINK("https://fin.land.naver.com/articles/2653171975", "매물Link")</f>
        <v/>
      </c>
      <c r="M1649" s="6">
        <f>HYPERLINK("https://map.naver.com/p/search/한솔동 1197", "지도Link")</f>
        <v/>
      </c>
      <c r="N1649" s="6">
        <f>HYPERLINK("http://www.eum.go.kr/web/ar/lu/luLandDet.jsp?pnu=3611010600111970000&amp;isNoScr=script&amp;mode=search", "토지이음")</f>
        <v/>
      </c>
      <c r="O1649" s="3" t="inlineStr">
        <is>
          <t>세종365</t>
        </is>
      </c>
      <c r="P1649" s="4" t="n">
        <v>1</v>
      </c>
      <c r="Q1649" s="4" t="n">
        <v>320.4</v>
      </c>
      <c r="R1649" s="3" t="inlineStr">
        <is>
          <t>지정되지않음</t>
        </is>
      </c>
      <c r="S1649" s="3" t="inlineStr">
        <is>
          <t>주거나지</t>
        </is>
      </c>
      <c r="T1649" s="3" t="inlineStr">
        <is>
          <t>평지</t>
        </is>
      </c>
      <c r="U1649" s="3" t="inlineStr">
        <is>
          <t>세로장방</t>
        </is>
      </c>
      <c r="V1649" s="3" t="inlineStr">
        <is>
          <t>소로각지</t>
        </is>
      </c>
    </row>
    <row r="1650">
      <c r="A1650" s="3" t="inlineStr">
        <is>
          <t>한솔동 1201</t>
        </is>
      </c>
      <c r="B1650" s="3" t="inlineStr">
        <is>
          <t>제1종전용주거지역</t>
        </is>
      </c>
      <c r="C1650" s="3" t="inlineStr">
        <is>
          <t>대</t>
        </is>
      </c>
      <c r="D1650" s="3" t="inlineStr">
        <is>
          <t>대</t>
        </is>
      </c>
      <c r="E1650" s="3" t="inlineStr">
        <is>
          <t>매매</t>
        </is>
      </c>
      <c r="F1650" s="4" t="n">
        <v>60000</v>
      </c>
      <c r="G1650" s="4" t="n">
        <v>294</v>
      </c>
      <c r="H1650" s="4" t="n">
        <v>89</v>
      </c>
      <c r="I1650" s="5" t="n">
        <v>674.2</v>
      </c>
      <c r="J1650" s="5" t="n">
        <v>376.9</v>
      </c>
      <c r="K1650" s="3" t="inlineStr">
        <is>
          <t>위치좋은 단독주택지, 직접보시면 더 좋아요</t>
        </is>
      </c>
      <c r="L1650" s="6">
        <f>HYPERLINK("https://fin.land.naver.com/articles/2649375943", "매물Link")</f>
        <v/>
      </c>
      <c r="M1650" s="6">
        <f>HYPERLINK("https://map.naver.com/p/search/한솔동 1201", "지도Link")</f>
        <v/>
      </c>
      <c r="N1650" s="6">
        <f>HYPERLINK("http://www.eum.go.kr/web/ar/lu/luLandDet.jsp?pnu=3611010600112010000&amp;isNoScr=script&amp;mode=search", "토지이음")</f>
        <v/>
      </c>
      <c r="O1650" s="3" t="inlineStr">
        <is>
          <t>리브</t>
        </is>
      </c>
      <c r="P1650" s="4" t="n">
        <v>1</v>
      </c>
      <c r="Q1650" s="4" t="n">
        <v>294.6</v>
      </c>
      <c r="R1650" s="3" t="inlineStr">
        <is>
          <t>지정되지않음</t>
        </is>
      </c>
      <c r="S1650" s="3" t="inlineStr">
        <is>
          <t>주거나지</t>
        </is>
      </c>
      <c r="T1650" s="3" t="inlineStr">
        <is>
          <t>평지</t>
        </is>
      </c>
      <c r="U1650" s="3" t="inlineStr">
        <is>
          <t>세로장방</t>
        </is>
      </c>
      <c r="V1650" s="3" t="inlineStr">
        <is>
          <t>소로한면</t>
        </is>
      </c>
    </row>
    <row r="1651">
      <c r="A1651" s="3" t="inlineStr">
        <is>
          <t>한솔동 1207</t>
        </is>
      </c>
      <c r="B1651" s="3" t="inlineStr">
        <is>
          <t>제1종전용주거지역</t>
        </is>
      </c>
      <c r="C1651" s="3" t="inlineStr">
        <is>
          <t>대</t>
        </is>
      </c>
      <c r="D1651" s="3" t="inlineStr">
        <is>
          <t>대</t>
        </is>
      </c>
      <c r="E1651" s="3" t="inlineStr">
        <is>
          <t>매매</t>
        </is>
      </c>
      <c r="F1651" s="4" t="n">
        <v>50000</v>
      </c>
      <c r="G1651" s="4" t="n">
        <v>329</v>
      </c>
      <c r="H1651" s="4" t="n">
        <v>100</v>
      </c>
      <c r="I1651" s="5" t="n">
        <v>500</v>
      </c>
      <c r="J1651" s="5" t="n">
        <v>376.9</v>
      </c>
      <c r="K1651" s="3" t="inlineStr">
        <is>
          <t>네모 반듯한 예쁜 토지 매매, 입지 굿</t>
        </is>
      </c>
      <c r="L1651" s="6">
        <f>HYPERLINK("https://fin.land.naver.com/articles/2650893847", "매물Link")</f>
        <v/>
      </c>
      <c r="M1651" s="6">
        <f>HYPERLINK("https://map.naver.com/p/search/한솔동 1207", "지도Link")</f>
        <v/>
      </c>
      <c r="N1651" s="6">
        <f>HYPERLINK("http://www.eum.go.kr/web/ar/lu/luLandDet.jsp?pnu=3611010600112070000&amp;isNoScr=script&amp;mode=search", "토지이음")</f>
        <v/>
      </c>
      <c r="O1651" s="3" t="inlineStr">
        <is>
          <t>세종무지개</t>
        </is>
      </c>
      <c r="P1651" s="4" t="n">
        <v>1</v>
      </c>
      <c r="Q1651" s="4" t="n">
        <v>329.5</v>
      </c>
      <c r="R1651" s="3" t="inlineStr">
        <is>
          <t>지정되지않음</t>
        </is>
      </c>
      <c r="S1651" s="3" t="inlineStr">
        <is>
          <t>주거나지</t>
        </is>
      </c>
      <c r="T1651" s="3" t="inlineStr">
        <is>
          <t>평지</t>
        </is>
      </c>
      <c r="U1651" s="3" t="inlineStr">
        <is>
          <t>세로장방</t>
        </is>
      </c>
      <c r="V1651" s="3" t="inlineStr">
        <is>
          <t>소로한면</t>
        </is>
      </c>
    </row>
    <row r="1652">
      <c r="A1652" s="3" t="inlineStr">
        <is>
          <t>한솔동 1207</t>
        </is>
      </c>
      <c r="B1652" s="3" t="inlineStr">
        <is>
          <t>제1종전용주거지역</t>
        </is>
      </c>
      <c r="C1652" s="3" t="inlineStr">
        <is>
          <t>대</t>
        </is>
      </c>
      <c r="D1652" s="3" t="inlineStr">
        <is>
          <t>대</t>
        </is>
      </c>
      <c r="E1652" s="3" t="inlineStr">
        <is>
          <t>매매</t>
        </is>
      </c>
      <c r="F1652" s="4" t="n">
        <v>50000</v>
      </c>
      <c r="G1652" s="4" t="n">
        <v>329</v>
      </c>
      <c r="H1652" s="4" t="n">
        <v>100</v>
      </c>
      <c r="I1652" s="5" t="n">
        <v>500</v>
      </c>
      <c r="J1652" s="5" t="n">
        <v>376.9</v>
      </c>
      <c r="K1652" s="3" t="inlineStr">
        <is>
          <t>인기지역 D2 땅모양좋음 조율가능</t>
        </is>
      </c>
      <c r="L1652" s="6">
        <f>HYPERLINK("https://fin.land.naver.com/articles/2650653609", "매물Link")</f>
        <v/>
      </c>
      <c r="M1652" s="6">
        <f>HYPERLINK("https://map.naver.com/p/search/한솔동 1207", "지도Link")</f>
        <v/>
      </c>
      <c r="N1652" s="6">
        <f>HYPERLINK("http://www.eum.go.kr/web/ar/lu/luLandDet.jsp?pnu=3611010600112070000&amp;isNoScr=script&amp;mode=search", "토지이음")</f>
        <v/>
      </c>
      <c r="O1652" s="3" t="inlineStr">
        <is>
          <t>세종스타</t>
        </is>
      </c>
      <c r="P1652" s="4" t="n">
        <v>1</v>
      </c>
      <c r="Q1652" s="4" t="n">
        <v>329.5</v>
      </c>
      <c r="R1652" s="3" t="inlineStr">
        <is>
          <t>지정되지않음</t>
        </is>
      </c>
      <c r="S1652" s="3" t="inlineStr">
        <is>
          <t>주거나지</t>
        </is>
      </c>
      <c r="T1652" s="3" t="inlineStr">
        <is>
          <t>평지</t>
        </is>
      </c>
      <c r="U1652" s="3" t="inlineStr">
        <is>
          <t>세로장방</t>
        </is>
      </c>
      <c r="V1652" s="3" t="inlineStr">
        <is>
          <t>소로한면</t>
        </is>
      </c>
    </row>
    <row r="1653">
      <c r="A1653" s="3" t="inlineStr">
        <is>
          <t>한솔동 1207</t>
        </is>
      </c>
      <c r="B1653" s="3" t="inlineStr">
        <is>
          <t>제1종전용주거지역</t>
        </is>
      </c>
      <c r="C1653" s="3" t="inlineStr">
        <is>
          <t>대</t>
        </is>
      </c>
      <c r="D1653" s="3" t="inlineStr">
        <is>
          <t>대</t>
        </is>
      </c>
      <c r="E1653" s="3" t="inlineStr">
        <is>
          <t>매매</t>
        </is>
      </c>
      <c r="F1653" s="4" t="n">
        <v>50000</v>
      </c>
      <c r="G1653" s="4" t="n">
        <v>329</v>
      </c>
      <c r="H1653" s="4" t="n">
        <v>100</v>
      </c>
      <c r="I1653" s="5" t="n">
        <v>500</v>
      </c>
      <c r="J1653" s="5" t="n">
        <v>376.9</v>
      </c>
      <c r="K1653" s="3" t="inlineStr">
        <is>
          <t>총 99.8p, 조율가능, 네모반듯한 남향 예쁜 토지</t>
        </is>
      </c>
      <c r="L1653" s="6">
        <f>HYPERLINK("https://fin.land.naver.com/articles/2651947606", "매물Link")</f>
        <v/>
      </c>
      <c r="M1653" s="6">
        <f>HYPERLINK("https://map.naver.com/p/search/한솔동 1207", "지도Link")</f>
        <v/>
      </c>
      <c r="N1653" s="6">
        <f>HYPERLINK("http://www.eum.go.kr/web/ar/lu/luLandDet.jsp?pnu=3611010600112070000&amp;isNoScr=script&amp;mode=search", "토지이음")</f>
        <v/>
      </c>
      <c r="O1653" s="3" t="inlineStr">
        <is>
          <t>명진</t>
        </is>
      </c>
      <c r="P1653" s="4" t="n">
        <v>1</v>
      </c>
      <c r="Q1653" s="4" t="n">
        <v>329.5</v>
      </c>
      <c r="R1653" s="3" t="inlineStr">
        <is>
          <t>지정되지않음</t>
        </is>
      </c>
      <c r="S1653" s="3" t="inlineStr">
        <is>
          <t>주거나지</t>
        </is>
      </c>
      <c r="T1653" s="3" t="inlineStr">
        <is>
          <t>평지</t>
        </is>
      </c>
      <c r="U1653" s="3" t="inlineStr">
        <is>
          <t>세로장방</t>
        </is>
      </c>
      <c r="V1653" s="3" t="inlineStr">
        <is>
          <t>소로한면</t>
        </is>
      </c>
    </row>
    <row r="1654">
      <c r="A1654" s="3" t="inlineStr">
        <is>
          <t>한솔동 1208</t>
        </is>
      </c>
      <c r="B1654" s="3" t="inlineStr">
        <is>
          <t>제1종전용주거지역</t>
        </is>
      </c>
      <c r="C1654" s="3" t="inlineStr">
        <is>
          <t>대</t>
        </is>
      </c>
      <c r="D1654" s="3" t="inlineStr">
        <is>
          <t>대</t>
        </is>
      </c>
      <c r="E1654" s="3" t="inlineStr">
        <is>
          <t>매매</t>
        </is>
      </c>
      <c r="F1654" s="4" t="n">
        <v>45000</v>
      </c>
      <c r="G1654" s="4" t="n">
        <v>299</v>
      </c>
      <c r="H1654" s="4" t="n">
        <v>90</v>
      </c>
      <c r="I1654" s="5" t="n">
        <v>500</v>
      </c>
      <c r="J1654" s="5" t="n">
        <v>376.9</v>
      </c>
      <c r="K1654" s="3" t="inlineStr">
        <is>
          <t>nan</t>
        </is>
      </c>
      <c r="L1654" s="6">
        <f>HYPERLINK("https://fin.land.naver.com/articles/2654337391", "매물Link")</f>
        <v/>
      </c>
      <c r="M1654" s="6">
        <f>HYPERLINK("https://map.naver.com/p/search/한솔동 1208", "지도Link")</f>
        <v/>
      </c>
      <c r="N1654" s="6">
        <f>HYPERLINK("http://www.eum.go.kr/web/ar/lu/luLandDet.jsp?pnu=3611010600112080000&amp;isNoScr=script&amp;mode=search", "토지이음")</f>
        <v/>
      </c>
      <c r="O1654" s="3" t="inlineStr">
        <is>
          <t>봄마중</t>
        </is>
      </c>
      <c r="P1654" s="4" t="n">
        <v>1</v>
      </c>
      <c r="Q1654" s="4" t="n">
        <v>299.8</v>
      </c>
      <c r="R1654" s="3" t="inlineStr">
        <is>
          <t>지정되지않음</t>
        </is>
      </c>
      <c r="S1654" s="3" t="inlineStr">
        <is>
          <t>주거나지</t>
        </is>
      </c>
      <c r="T1654" s="3" t="inlineStr">
        <is>
          <t>평지</t>
        </is>
      </c>
      <c r="U1654" s="3" t="inlineStr">
        <is>
          <t>세로장방</t>
        </is>
      </c>
      <c r="V1654" s="3" t="inlineStr">
        <is>
          <t>소로한면</t>
        </is>
      </c>
    </row>
    <row r="1655">
      <c r="A1655" s="3" t="inlineStr">
        <is>
          <t>한솔동 1211</t>
        </is>
      </c>
      <c r="B1655" s="3" t="inlineStr">
        <is>
          <t>제1종전용주거지역</t>
        </is>
      </c>
      <c r="C1655" s="3" t="inlineStr">
        <is>
          <t>대</t>
        </is>
      </c>
      <c r="D1655" s="3" t="inlineStr">
        <is>
          <t>대</t>
        </is>
      </c>
      <c r="E1655" s="3" t="inlineStr">
        <is>
          <t>매매</t>
        </is>
      </c>
      <c r="F1655" s="4" t="n">
        <v>39000</v>
      </c>
      <c r="G1655" s="4" t="n">
        <v>323</v>
      </c>
      <c r="H1655" s="4" t="n">
        <v>98</v>
      </c>
      <c r="I1655" s="5" t="n">
        <v>398</v>
      </c>
      <c r="J1655" s="5" t="n">
        <v>373.6</v>
      </c>
      <c r="K1655" s="3" t="inlineStr">
        <is>
          <t>급매 조율가능 한솔동d2 최저가 택지</t>
        </is>
      </c>
      <c r="L1655" s="6">
        <f>HYPERLINK("https://fin.land.naver.com/articles/2652208025", "매물Link")</f>
        <v/>
      </c>
      <c r="M1655" s="6">
        <f>HYPERLINK("https://map.naver.com/p/search/한솔동 1211", "지도Link")</f>
        <v/>
      </c>
      <c r="N1655" s="6">
        <f>HYPERLINK("http://www.eum.go.kr/web/ar/lu/luLandDet.jsp?pnu=3611010600112110000&amp;isNoScr=script&amp;mode=search", "토지이음")</f>
        <v/>
      </c>
      <c r="O1655" s="3" t="inlineStr">
        <is>
          <t>세종스타</t>
        </is>
      </c>
      <c r="P1655" s="4" t="n">
        <v>2</v>
      </c>
      <c r="Q1655" s="4" t="n">
        <v>323</v>
      </c>
      <c r="R1655" s="3" t="inlineStr">
        <is>
          <t>지정되지않음</t>
        </is>
      </c>
      <c r="S1655" s="3" t="inlineStr">
        <is>
          <t>주거나지</t>
        </is>
      </c>
      <c r="T1655" s="3" t="inlineStr">
        <is>
          <t>평지</t>
        </is>
      </c>
      <c r="U1655" s="3" t="inlineStr">
        <is>
          <t>정방형</t>
        </is>
      </c>
      <c r="V1655" s="3" t="inlineStr">
        <is>
          <t>소로한면</t>
        </is>
      </c>
    </row>
    <row r="1656">
      <c r="A1656" s="3" t="inlineStr">
        <is>
          <t>한솔동 1211</t>
        </is>
      </c>
      <c r="B1656" s="3" t="inlineStr">
        <is>
          <t>제1종전용주거지역</t>
        </is>
      </c>
      <c r="C1656" s="3" t="inlineStr">
        <is>
          <t>대</t>
        </is>
      </c>
      <c r="D1656" s="3" t="inlineStr">
        <is>
          <t>대</t>
        </is>
      </c>
      <c r="E1656" s="3" t="inlineStr">
        <is>
          <t>매매</t>
        </is>
      </c>
      <c r="F1656" s="4" t="n">
        <v>38000</v>
      </c>
      <c r="G1656" s="4" t="n">
        <v>323</v>
      </c>
      <c r="H1656" s="4" t="n">
        <v>98</v>
      </c>
      <c r="I1656" s="5" t="n">
        <v>387.8</v>
      </c>
      <c r="J1656" s="5" t="n">
        <v>373.6</v>
      </c>
      <c r="K1656" s="3" t="inlineStr">
        <is>
          <t>급매, 한솔동 단독주택지 가격 좋은 토지</t>
        </is>
      </c>
      <c r="L1656" s="6">
        <f>HYPERLINK("https://fin.land.naver.com/articles/2651773518", "매물Link")</f>
        <v/>
      </c>
      <c r="M1656" s="6">
        <f>HYPERLINK("https://map.naver.com/p/search/한솔동 1211", "지도Link")</f>
        <v/>
      </c>
      <c r="N1656" s="6">
        <f>HYPERLINK("http://www.eum.go.kr/web/ar/lu/luLandDet.jsp?pnu=3611010600112110000&amp;isNoScr=script&amp;mode=search", "토지이음")</f>
        <v/>
      </c>
      <c r="O1656" s="3" t="inlineStr">
        <is>
          <t>세종무지개</t>
        </is>
      </c>
      <c r="P1656" s="4" t="n">
        <v>1</v>
      </c>
      <c r="Q1656" s="4" t="n">
        <v>323</v>
      </c>
      <c r="R1656" s="3" t="inlineStr">
        <is>
          <t>지정되지않음</t>
        </is>
      </c>
      <c r="S1656" s="3" t="inlineStr">
        <is>
          <t>주거나지</t>
        </is>
      </c>
      <c r="T1656" s="3" t="inlineStr">
        <is>
          <t>평지</t>
        </is>
      </c>
      <c r="U1656" s="3" t="inlineStr">
        <is>
          <t>정방형</t>
        </is>
      </c>
      <c r="V1656" s="3" t="inlineStr">
        <is>
          <t>소로한면</t>
        </is>
      </c>
    </row>
    <row r="1657">
      <c r="A1657" s="3" t="inlineStr">
        <is>
          <t>한솔동 865</t>
        </is>
      </c>
      <c r="B1657" s="3" t="inlineStr">
        <is>
          <t>제1종전용주거지역</t>
        </is>
      </c>
      <c r="C1657" s="3" t="inlineStr">
        <is>
          <t>대</t>
        </is>
      </c>
      <c r="D1657" s="3" t="inlineStr">
        <is>
          <t>대</t>
        </is>
      </c>
      <c r="E1657" s="3" t="inlineStr">
        <is>
          <t>매매</t>
        </is>
      </c>
      <c r="F1657" s="4" t="n">
        <v>80000</v>
      </c>
      <c r="G1657" s="4" t="n">
        <v>353</v>
      </c>
      <c r="H1657" s="4" t="n">
        <v>107</v>
      </c>
      <c r="I1657" s="5" t="n">
        <v>747.7</v>
      </c>
      <c r="J1657" s="5" t="n">
        <v>403</v>
      </c>
      <c r="K1657" s="3" t="inlineStr">
        <is>
          <t>세종시 한솔동 도심속 전원주택부지 매매</t>
        </is>
      </c>
      <c r="L1657" s="6">
        <f>HYPERLINK("https://fin.land.naver.com/articles/2651763249", "매물Link")</f>
        <v/>
      </c>
      <c r="M1657" s="6">
        <f>HYPERLINK("https://map.naver.com/p/search/한솔동 865", "지도Link")</f>
        <v/>
      </c>
      <c r="N1657" s="6">
        <f>HYPERLINK("http://www.eum.go.kr/web/ar/lu/luLandDet.jsp?pnu=3611010600108650000&amp;isNoScr=script&amp;mode=search", "토지이음")</f>
        <v/>
      </c>
      <c r="O1657" s="3" t="inlineStr">
        <is>
          <t>전원</t>
        </is>
      </c>
      <c r="P1657" s="4" t="n">
        <v>2</v>
      </c>
      <c r="Q1657" s="4" t="n">
        <v>353.4</v>
      </c>
      <c r="R1657" s="3" t="inlineStr">
        <is>
          <t>지정되지않음</t>
        </is>
      </c>
      <c r="S1657" s="3" t="inlineStr">
        <is>
          <t>주거나지</t>
        </is>
      </c>
      <c r="T1657" s="3" t="inlineStr">
        <is>
          <t>평지</t>
        </is>
      </c>
      <c r="U1657" s="3" t="inlineStr">
        <is>
          <t>사다리형</t>
        </is>
      </c>
      <c r="V1657" s="3" t="inlineStr">
        <is>
          <t>소로한면</t>
        </is>
      </c>
    </row>
    <row r="1658">
      <c r="A1658" s="3" t="inlineStr">
        <is>
          <t>한솔동 865</t>
        </is>
      </c>
      <c r="B1658" s="3" t="inlineStr">
        <is>
          <t>제1종전용주거지역</t>
        </is>
      </c>
      <c r="C1658" s="3" t="inlineStr">
        <is>
          <t>대</t>
        </is>
      </c>
      <c r="D1658" s="3" t="inlineStr">
        <is>
          <t>대</t>
        </is>
      </c>
      <c r="E1658" s="3" t="inlineStr">
        <is>
          <t>매매</t>
        </is>
      </c>
      <c r="F1658" s="4" t="n">
        <v>80000</v>
      </c>
      <c r="G1658" s="4" t="n">
        <v>353</v>
      </c>
      <c r="H1658" s="4" t="n">
        <v>107</v>
      </c>
      <c r="I1658" s="5" t="n">
        <v>747.7</v>
      </c>
      <c r="J1658" s="5" t="n">
        <v>403</v>
      </c>
      <c r="K1658" s="3" t="inlineStr">
        <is>
          <t>총 107.1p, 한솔동 단독주택지</t>
        </is>
      </c>
      <c r="L1658" s="6">
        <f>HYPERLINK("https://fin.land.naver.com/articles/2653682654", "매물Link")</f>
        <v/>
      </c>
      <c r="M1658" s="6">
        <f>HYPERLINK("https://map.naver.com/p/search/한솔동 865", "지도Link")</f>
        <v/>
      </c>
      <c r="N1658" s="6">
        <f>HYPERLINK("http://www.eum.go.kr/web/ar/lu/luLandDet.jsp?pnu=3611010600108650000&amp;isNoScr=script&amp;mode=search", "토지이음")</f>
        <v/>
      </c>
      <c r="O1658" s="3" t="inlineStr">
        <is>
          <t>명진</t>
        </is>
      </c>
      <c r="P1658" s="4" t="n">
        <v>1</v>
      </c>
      <c r="Q1658" s="4" t="n">
        <v>353.4</v>
      </c>
      <c r="R1658" s="3" t="inlineStr">
        <is>
          <t>지정되지않음</t>
        </is>
      </c>
      <c r="S1658" s="3" t="inlineStr">
        <is>
          <t>주거나지</t>
        </is>
      </c>
      <c r="T1658" s="3" t="inlineStr">
        <is>
          <t>평지</t>
        </is>
      </c>
      <c r="U1658" s="3" t="inlineStr">
        <is>
          <t>사다리형</t>
        </is>
      </c>
      <c r="V1658" s="3" t="inlineStr">
        <is>
          <t>소로한면</t>
        </is>
      </c>
    </row>
    <row r="1659">
      <c r="A1659" s="3" t="inlineStr">
        <is>
          <t>한솔동 865</t>
        </is>
      </c>
      <c r="B1659" s="3" t="inlineStr">
        <is>
          <t>제1종전용주거지역</t>
        </is>
      </c>
      <c r="C1659" s="3" t="inlineStr">
        <is>
          <t>대</t>
        </is>
      </c>
      <c r="D1659" s="3" t="inlineStr">
        <is>
          <t>대</t>
        </is>
      </c>
      <c r="E1659" s="3" t="inlineStr">
        <is>
          <t>매매</t>
        </is>
      </c>
      <c r="F1659" s="4" t="n">
        <v>80000</v>
      </c>
      <c r="G1659" s="4" t="n">
        <v>352</v>
      </c>
      <c r="H1659" s="4" t="n">
        <v>106</v>
      </c>
      <c r="I1659" s="5" t="n">
        <v>754.7</v>
      </c>
      <c r="J1659" s="5" t="n">
        <v>403</v>
      </c>
      <c r="K1659" s="3" t="inlineStr">
        <is>
          <t>공원 인근, 조용한고 편리한 단독주택지 토지매매</t>
        </is>
      </c>
      <c r="L1659" s="6">
        <f>HYPERLINK("https://fin.land.naver.com/articles/2650427090", "매물Link")</f>
        <v/>
      </c>
      <c r="M1659" s="6">
        <f>HYPERLINK("https://map.naver.com/p/search/한솔동 865", "지도Link")</f>
        <v/>
      </c>
      <c r="N1659" s="6">
        <f>HYPERLINK("http://www.eum.go.kr/web/ar/lu/luLandDet.jsp?pnu=3611010600108650000&amp;isNoScr=script&amp;mode=search", "토지이음")</f>
        <v/>
      </c>
      <c r="O1659" s="3" t="inlineStr">
        <is>
          <t>세종무지개</t>
        </is>
      </c>
      <c r="P1659" s="4" t="n">
        <v>1</v>
      </c>
      <c r="Q1659" s="4" t="n">
        <v>353.4</v>
      </c>
      <c r="R1659" s="3" t="inlineStr">
        <is>
          <t>지정되지않음</t>
        </is>
      </c>
      <c r="S1659" s="3" t="inlineStr">
        <is>
          <t>주거나지</t>
        </is>
      </c>
      <c r="T1659" s="3" t="inlineStr">
        <is>
          <t>평지</t>
        </is>
      </c>
      <c r="U1659" s="3" t="inlineStr">
        <is>
          <t>사다리형</t>
        </is>
      </c>
      <c r="V1659" s="3" t="inlineStr">
        <is>
          <t>소로한면</t>
        </is>
      </c>
    </row>
    <row r="1660">
      <c r="A1660" s="3" t="inlineStr">
        <is>
          <t>한솔동 885</t>
        </is>
      </c>
      <c r="B1660" s="3" t="inlineStr">
        <is>
          <t>제1종전용주거지역</t>
        </is>
      </c>
      <c r="C1660" s="3" t="inlineStr">
        <is>
          <t>대</t>
        </is>
      </c>
      <c r="D1660" s="3" t="inlineStr">
        <is>
          <t>대</t>
        </is>
      </c>
      <c r="E1660" s="3" t="inlineStr">
        <is>
          <t>매매</t>
        </is>
      </c>
      <c r="F1660" s="4" t="n">
        <v>57000</v>
      </c>
      <c r="G1660" s="4" t="n">
        <v>292</v>
      </c>
      <c r="H1660" s="4" t="n">
        <v>88</v>
      </c>
      <c r="I1660" s="5" t="n">
        <v>647.7</v>
      </c>
      <c r="J1660" s="5" t="n">
        <v>410.9</v>
      </c>
      <c r="K1660" s="3" t="inlineStr">
        <is>
          <t>D1 귀한매물 새롬동학원가도보 조율가능</t>
        </is>
      </c>
      <c r="L1660" s="6">
        <f>HYPERLINK("https://fin.land.naver.com/articles/2652410283", "매물Link")</f>
        <v/>
      </c>
      <c r="M1660" s="6">
        <f>HYPERLINK("https://map.naver.com/p/search/한솔동 885", "지도Link")</f>
        <v/>
      </c>
      <c r="N1660" s="6">
        <f>HYPERLINK("http://www.eum.go.kr/web/ar/lu/luLandDet.jsp?pnu=3611010600108850000&amp;isNoScr=script&amp;mode=search", "토지이음")</f>
        <v/>
      </c>
      <c r="O1660" s="3" t="inlineStr">
        <is>
          <t>세종스타</t>
        </is>
      </c>
      <c r="P1660" s="4" t="n">
        <v>1</v>
      </c>
      <c r="Q1660" s="4" t="n">
        <v>292.2</v>
      </c>
      <c r="R1660" s="3" t="inlineStr">
        <is>
          <t>지정되지않음</t>
        </is>
      </c>
      <c r="S1660" s="3" t="inlineStr">
        <is>
          <t>주거나지</t>
        </is>
      </c>
      <c r="T1660" s="3" t="inlineStr">
        <is>
          <t>평지</t>
        </is>
      </c>
      <c r="U1660" s="3" t="inlineStr">
        <is>
          <t>세로장방</t>
        </is>
      </c>
      <c r="V1660" s="3" t="inlineStr">
        <is>
          <t>소로한면</t>
        </is>
      </c>
    </row>
    <row r="1661">
      <c r="A1661" s="3" t="inlineStr">
        <is>
          <t>한솔동 967</t>
        </is>
      </c>
      <c r="B1661" s="3" t="inlineStr">
        <is>
          <t>준주거지역</t>
        </is>
      </c>
      <c r="C1661" s="3" t="inlineStr">
        <is>
          <t>주차장</t>
        </is>
      </c>
      <c r="D1661" s="3" t="inlineStr">
        <is>
          <t>주차장</t>
        </is>
      </c>
      <c r="E1661" s="3" t="inlineStr">
        <is>
          <t>매매</t>
        </is>
      </c>
      <c r="F1661" s="4" t="n">
        <v>580000</v>
      </c>
      <c r="G1661" s="4" t="n">
        <v>1407</v>
      </c>
      <c r="H1661" s="4" t="n">
        <v>426</v>
      </c>
      <c r="I1661" s="5" t="n">
        <v>1361.5</v>
      </c>
      <c r="J1661" s="5" t="n">
        <v>741.2</v>
      </c>
      <c r="K1661" s="3" t="inlineStr">
        <is>
          <t>세종 첫마을 넓은 주차장으로 대형마트나 고급 식당 사옥 추천 드립니다</t>
        </is>
      </c>
      <c r="L1661" s="6">
        <f>HYPERLINK("https://fin.land.naver.com/articles/2652035481", "매물Link")</f>
        <v/>
      </c>
      <c r="M1661" s="6">
        <f>HYPERLINK("https://map.naver.com/p/search/한솔동 967", "지도Link")</f>
        <v/>
      </c>
      <c r="N1661" s="6">
        <f>HYPERLINK("http://www.eum.go.kr/web/ar/lu/luLandDet.jsp?pnu=3611010600109670000&amp;isNoScr=script&amp;mode=search", "토지이음")</f>
        <v/>
      </c>
      <c r="O1661" s="3" t="inlineStr">
        <is>
          <t>자이행복</t>
        </is>
      </c>
      <c r="P1661" s="4" t="n">
        <v>1</v>
      </c>
      <c r="Q1661" s="4" t="n">
        <v>1407</v>
      </c>
      <c r="R1661" s="3" t="inlineStr">
        <is>
          <t>지정되지않음</t>
        </is>
      </c>
      <c r="S1661" s="3" t="inlineStr">
        <is>
          <t>주차장등</t>
        </is>
      </c>
      <c r="T1661" s="3" t="inlineStr">
        <is>
          <t>평지</t>
        </is>
      </c>
      <c r="U1661" s="3" t="inlineStr">
        <is>
          <t>가로장방</t>
        </is>
      </c>
      <c r="V1661" s="3" t="inlineStr">
        <is>
          <t>중로한면</t>
        </is>
      </c>
    </row>
    <row r="1662">
      <c r="A1662" s="3" t="inlineStr">
        <is>
          <t>한솔동 989</t>
        </is>
      </c>
      <c r="B1662" s="3" t="inlineStr">
        <is>
          <t>제1종전용주거지역</t>
        </is>
      </c>
      <c r="C1662" s="3" t="inlineStr">
        <is>
          <t>대</t>
        </is>
      </c>
      <c r="D1662" s="3" t="inlineStr">
        <is>
          <t>대</t>
        </is>
      </c>
      <c r="E1662" s="3" t="inlineStr">
        <is>
          <t>매매</t>
        </is>
      </c>
      <c r="F1662" s="4" t="n">
        <v>55000</v>
      </c>
      <c r="G1662" s="4" t="n">
        <v>326</v>
      </c>
      <c r="H1662" s="4" t="n">
        <v>99</v>
      </c>
      <c r="I1662" s="5" t="n">
        <v>555.6</v>
      </c>
      <c r="J1662" s="5" t="n">
        <v>302.8</v>
      </c>
      <c r="K1662" s="3" t="inlineStr">
        <is>
          <t>생활 인프라가 완비된 2생활권 내 희소성 높은 알짜 토지.</t>
        </is>
      </c>
      <c r="L1662" s="6">
        <f>HYPERLINK("https://fin.land.naver.com/articles/2654570640", "매물Link")</f>
        <v/>
      </c>
      <c r="M1662" s="6">
        <f>HYPERLINK("https://map.naver.com/p/search/한솔동 989", "지도Link")</f>
        <v/>
      </c>
      <c r="N1662" s="6">
        <f>HYPERLINK("http://www.eum.go.kr/web/ar/lu/luLandDet.jsp?pnu=3611010600109890000&amp;isNoScr=script&amp;mode=search", "토지이음")</f>
        <v/>
      </c>
      <c r="O1662" s="3" t="inlineStr">
        <is>
          <t>이룸</t>
        </is>
      </c>
      <c r="P1662" s="4" t="n">
        <v>1</v>
      </c>
      <c r="Q1662" s="4" t="n">
        <v>326</v>
      </c>
      <c r="R1662" s="3" t="inlineStr">
        <is>
          <t>지정되지않음</t>
        </is>
      </c>
      <c r="S1662" s="3" t="inlineStr">
        <is>
          <t>주거나지</t>
        </is>
      </c>
      <c r="T1662" s="3" t="inlineStr">
        <is>
          <t>평지</t>
        </is>
      </c>
      <c r="U1662" s="3" t="inlineStr">
        <is>
          <t>세로장방</t>
        </is>
      </c>
      <c r="V1662" s="3" t="inlineStr">
        <is>
          <t>소로한면</t>
        </is>
      </c>
    </row>
    <row r="1663">
      <c r="A1663" s="3" t="inlineStr">
        <is>
          <t>한솔동 992</t>
        </is>
      </c>
      <c r="B1663" s="3" t="inlineStr">
        <is>
          <t>제1종전용주거지역</t>
        </is>
      </c>
      <c r="C1663" s="3" t="inlineStr">
        <is>
          <t>대</t>
        </is>
      </c>
      <c r="D1663" s="3" t="inlineStr">
        <is>
          <t>대</t>
        </is>
      </c>
      <c r="E1663" s="3" t="inlineStr">
        <is>
          <t>매매</t>
        </is>
      </c>
      <c r="F1663" s="4" t="n">
        <v>55000</v>
      </c>
      <c r="G1663" s="4" t="n">
        <v>355</v>
      </c>
      <c r="H1663" s="4" t="n">
        <v>107</v>
      </c>
      <c r="I1663" s="5" t="n">
        <v>514</v>
      </c>
      <c r="J1663" s="5" t="n">
        <v>314.9</v>
      </c>
      <c r="K1663" s="3" t="inlineStr">
        <is>
          <t>조율가능 공원낀위치 상권최인접 한솔초중고 도보5분</t>
        </is>
      </c>
      <c r="L1663" s="6">
        <f>HYPERLINK("https://fin.land.naver.com/articles/2653667235", "매물Link")</f>
        <v/>
      </c>
      <c r="M1663" s="6">
        <f>HYPERLINK("https://map.naver.com/p/search/한솔동 992", "지도Link")</f>
        <v/>
      </c>
      <c r="N1663" s="6">
        <f>HYPERLINK("http://www.eum.go.kr/web/ar/lu/luLandDet.jsp?pnu=3611010600109920000&amp;isNoScr=script&amp;mode=search", "토지이음")</f>
        <v/>
      </c>
      <c r="O1663" s="3" t="inlineStr">
        <is>
          <t>세종스타</t>
        </is>
      </c>
      <c r="P1663" s="4" t="n">
        <v>1</v>
      </c>
      <c r="Q1663" s="4" t="n">
        <v>355</v>
      </c>
      <c r="R1663" s="3" t="inlineStr">
        <is>
          <t>지정되지않음</t>
        </is>
      </c>
      <c r="S1663" s="3" t="inlineStr">
        <is>
          <t>주거나지</t>
        </is>
      </c>
      <c r="T1663" s="3" t="inlineStr">
        <is>
          <t>평지</t>
        </is>
      </c>
      <c r="U1663" s="3" t="inlineStr">
        <is>
          <t>정방형</t>
        </is>
      </c>
      <c r="V1663" s="3" t="inlineStr">
        <is>
          <t>소로각지</t>
        </is>
      </c>
    </row>
    <row r="1664">
      <c r="A1664" s="3" t="inlineStr">
        <is>
          <t>해밀동 668</t>
        </is>
      </c>
      <c r="B1664" s="3" t="inlineStr">
        <is>
          <t>제2종일반주거지역</t>
        </is>
      </c>
      <c r="C1664" s="3" t="inlineStr">
        <is>
          <t>대</t>
        </is>
      </c>
      <c r="D1664" s="3" t="inlineStr">
        <is>
          <t>대</t>
        </is>
      </c>
      <c r="E1664" s="3" t="inlineStr">
        <is>
          <t>매매</t>
        </is>
      </c>
      <c r="F1664" s="4" t="n">
        <v>360000</v>
      </c>
      <c r="G1664" s="4" t="n">
        <v>1070</v>
      </c>
      <c r="H1664" s="4" t="n">
        <v>324</v>
      </c>
      <c r="I1664" s="5" t="n">
        <v>1111.1</v>
      </c>
      <c r="J1664" s="5" t="n">
        <v>407.6</v>
      </c>
      <c r="K1664" s="3" t="inlineStr">
        <is>
          <t>급매 대형 상가건물 부지 추가조율협의 옆필지도 매매가능</t>
        </is>
      </c>
      <c r="L1664" s="6">
        <f>HYPERLINK("https://fin.land.naver.com/articles/2649812128", "매물Link")</f>
        <v/>
      </c>
      <c r="M1664" s="6">
        <f>HYPERLINK("https://map.naver.com/p/search/해밀동 668", "지도Link")</f>
        <v/>
      </c>
      <c r="N1664" s="6">
        <f>HYPERLINK("http://www.eum.go.kr/web/ar/lu/luLandDet.jsp?pnu=3611011600106680000&amp;isNoScr=script&amp;mode=search", "토지이음")</f>
        <v/>
      </c>
      <c r="O1664" s="3" t="inlineStr">
        <is>
          <t>세종스타</t>
        </is>
      </c>
      <c r="P1664" s="4" t="n">
        <v>1</v>
      </c>
      <c r="Q1664" s="4" t="n">
        <v>1070.9</v>
      </c>
      <c r="R1664" s="3" t="inlineStr">
        <is>
          <t>지정되지않음</t>
        </is>
      </c>
      <c r="S1664" s="3" t="inlineStr">
        <is>
          <t>상업나지</t>
        </is>
      </c>
      <c r="T1664" s="3" t="inlineStr">
        <is>
          <t>평지</t>
        </is>
      </c>
      <c r="U1664" s="3" t="inlineStr">
        <is>
          <t>가로장방</t>
        </is>
      </c>
      <c r="V1664" s="3" t="inlineStr">
        <is>
          <t>광대소각</t>
        </is>
      </c>
    </row>
    <row r="1665">
      <c r="A1665" s="3" t="inlineStr">
        <is>
          <t>해밀동 678</t>
        </is>
      </c>
      <c r="B1665" s="3" t="inlineStr">
        <is>
          <t>제2종일반주거지역</t>
        </is>
      </c>
      <c r="C1665" s="3" t="inlineStr">
        <is>
          <t>대</t>
        </is>
      </c>
      <c r="D1665" s="3" t="inlineStr">
        <is>
          <t>대</t>
        </is>
      </c>
      <c r="E1665" s="3" t="inlineStr">
        <is>
          <t>매매</t>
        </is>
      </c>
      <c r="F1665" s="4" t="n">
        <v>155000</v>
      </c>
      <c r="G1665" s="4" t="n">
        <v>446</v>
      </c>
      <c r="H1665" s="4" t="n">
        <v>135</v>
      </c>
      <c r="I1665" s="5" t="n">
        <v>1148.1</v>
      </c>
      <c r="J1665" s="5" t="n">
        <v>379.2</v>
      </c>
      <c r="K1665" s="3" t="inlineStr">
        <is>
          <t>조율가능 N4 코너각지 3층건축가능 사옥 음식점 카페 애견샵 추천</t>
        </is>
      </c>
      <c r="L1665" s="6">
        <f>HYPERLINK("https://fin.land.naver.com/articles/2652136712", "매물Link")</f>
        <v/>
      </c>
      <c r="M1665" s="6">
        <f>HYPERLINK("https://map.naver.com/p/search/해밀동 678", "지도Link")</f>
        <v/>
      </c>
      <c r="N1665" s="6">
        <f>HYPERLINK("http://www.eum.go.kr/web/ar/lu/luLandDet.jsp?pnu=3611011600106780000&amp;isNoScr=script&amp;mode=search", "토지이음")</f>
        <v/>
      </c>
      <c r="O1665" s="3" t="inlineStr">
        <is>
          <t>세종스타</t>
        </is>
      </c>
      <c r="P1665" s="4" t="n">
        <v>1</v>
      </c>
      <c r="Q1665" s="4" t="n">
        <v>446.4</v>
      </c>
      <c r="R1665" s="3" t="inlineStr">
        <is>
          <t>지정되지않음</t>
        </is>
      </c>
      <c r="S1665" s="3" t="inlineStr">
        <is>
          <t>상업나지</t>
        </is>
      </c>
      <c r="T1665" s="3" t="inlineStr">
        <is>
          <t>평지</t>
        </is>
      </c>
      <c r="U1665" s="3" t="inlineStr">
        <is>
          <t>사다리형</t>
        </is>
      </c>
      <c r="V1665" s="3" t="inlineStr">
        <is>
          <t>중로한면</t>
        </is>
      </c>
    </row>
    <row r="1666">
      <c r="A1666" s="3" t="inlineStr">
        <is>
          <t>해밀동 687</t>
        </is>
      </c>
      <c r="B1666" s="3" t="inlineStr">
        <is>
          <t>제2종일반주거지역</t>
        </is>
      </c>
      <c r="C1666" s="3" t="inlineStr">
        <is>
          <t>대</t>
        </is>
      </c>
      <c r="D1666" s="3" t="inlineStr">
        <is>
          <t>대</t>
        </is>
      </c>
      <c r="E1666" s="3" t="inlineStr">
        <is>
          <t>매매</t>
        </is>
      </c>
      <c r="F1666" s="4" t="n">
        <v>145000</v>
      </c>
      <c r="G1666" s="4" t="n">
        <v>403</v>
      </c>
      <c r="H1666" s="4" t="n">
        <v>122</v>
      </c>
      <c r="I1666" s="5" t="n">
        <v>1188.5</v>
      </c>
      <c r="J1666" s="5" t="n">
        <v>383.1</v>
      </c>
      <c r="K1666" s="3" t="inlineStr">
        <is>
          <t>N5 근생부지 3층건축가능</t>
        </is>
      </c>
      <c r="L1666" s="6">
        <f>HYPERLINK("https://fin.land.naver.com/articles/2653666438", "매물Link")</f>
        <v/>
      </c>
      <c r="M1666" s="6">
        <f>HYPERLINK("https://map.naver.com/p/search/해밀동 687", "지도Link")</f>
        <v/>
      </c>
      <c r="N1666" s="6">
        <f>HYPERLINK("http://www.eum.go.kr/web/ar/lu/luLandDet.jsp?pnu=3611011600106870000&amp;isNoScr=script&amp;mode=search", "토지이음")</f>
        <v/>
      </c>
      <c r="O1666" s="3" t="inlineStr">
        <is>
          <t>세종스타</t>
        </is>
      </c>
      <c r="P1666" s="4" t="n">
        <v>1</v>
      </c>
      <c r="Q1666" s="4" t="n">
        <v>403.2</v>
      </c>
      <c r="R1666" s="3" t="inlineStr">
        <is>
          <t>지정되지않음</t>
        </is>
      </c>
      <c r="S1666" s="3" t="inlineStr">
        <is>
          <t>상업나지</t>
        </is>
      </c>
      <c r="T1666" s="3" t="inlineStr">
        <is>
          <t>평지</t>
        </is>
      </c>
      <c r="U1666" s="3" t="inlineStr">
        <is>
          <t>세로장방</t>
        </is>
      </c>
      <c r="V1666" s="3" t="inlineStr">
        <is>
          <t>중로한면</t>
        </is>
      </c>
    </row>
    <row r="1667">
      <c r="A1667" s="3" t="inlineStr">
        <is>
          <t>해밀동 700</t>
        </is>
      </c>
      <c r="B1667" s="3" t="inlineStr">
        <is>
          <t>제1종전용주거지역</t>
        </is>
      </c>
      <c r="C1667" s="3" t="inlineStr">
        <is>
          <t>대</t>
        </is>
      </c>
      <c r="D1667" s="3" t="inlineStr">
        <is>
          <t>대</t>
        </is>
      </c>
      <c r="E1667" s="3" t="inlineStr">
        <is>
          <t>매매</t>
        </is>
      </c>
      <c r="F1667" s="4" t="n">
        <v>401300</v>
      </c>
      <c r="G1667" s="4" t="n">
        <v>2949</v>
      </c>
      <c r="H1667" s="4" t="n">
        <v>892</v>
      </c>
      <c r="I1667" s="5" t="n">
        <v>449.9</v>
      </c>
      <c r="J1667" s="5" t="n">
        <v>219.8</v>
      </c>
      <c r="K1667" s="3" t="inlineStr">
        <is>
          <t>해밀동 제1종전용주거 타운하우스 부지, 15가구 개발가능</t>
        </is>
      </c>
      <c r="L1667" s="6">
        <f>HYPERLINK("https://fin.land.naver.com/articles/2654022827", "매물Link")</f>
        <v/>
      </c>
      <c r="M1667" s="6">
        <f>HYPERLINK("https://map.naver.com/p/search/해밀동 700", "지도Link")</f>
        <v/>
      </c>
      <c r="N1667" s="6">
        <f>HYPERLINK("http://www.eum.go.kr/web/ar/lu/luLandDet.jsp?pnu=3611011600107000000&amp;isNoScr=script&amp;mode=search", "토지이음")</f>
        <v/>
      </c>
      <c r="O1667" s="3" t="inlineStr">
        <is>
          <t>스카이</t>
        </is>
      </c>
      <c r="P1667" s="4" t="n">
        <v>1</v>
      </c>
      <c r="Q1667" s="4" t="n">
        <v>2948.1</v>
      </c>
      <c r="R1667" s="3" t="inlineStr">
        <is>
          <t>지정되지않음</t>
        </is>
      </c>
      <c r="S1667" s="3" t="inlineStr">
        <is>
          <t>주거나지</t>
        </is>
      </c>
      <c r="T1667" s="3" t="inlineStr">
        <is>
          <t>평지</t>
        </is>
      </c>
      <c r="U1667" s="3" t="inlineStr">
        <is>
          <t>사다리형</t>
        </is>
      </c>
      <c r="V1667" s="3" t="inlineStr">
        <is>
          <t>소로한면</t>
        </is>
      </c>
    </row>
    <row r="1668">
      <c r="A1668" s="3" t="inlineStr">
        <is>
          <t>해밀동 702</t>
        </is>
      </c>
      <c r="B1668" s="3" t="inlineStr">
        <is>
          <t>제1종전용주거지역</t>
        </is>
      </c>
      <c r="C1668" s="3" t="inlineStr">
        <is>
          <t>대</t>
        </is>
      </c>
      <c r="D1668" s="3" t="inlineStr">
        <is>
          <t>대</t>
        </is>
      </c>
      <c r="E1668" s="3" t="inlineStr">
        <is>
          <t>매매</t>
        </is>
      </c>
      <c r="F1668" s="4" t="n">
        <v>431600</v>
      </c>
      <c r="G1668" s="4" t="n">
        <v>3170</v>
      </c>
      <c r="H1668" s="4" t="n">
        <v>959</v>
      </c>
      <c r="I1668" s="5" t="n">
        <v>450.1</v>
      </c>
      <c r="J1668" s="5" t="n">
        <v>219.8</v>
      </c>
      <c r="K1668" s="3" t="inlineStr">
        <is>
          <t>세종시 해밀동 토지 매매 숲속 타운하우스 15가구 부지 대지 3,170㎡</t>
        </is>
      </c>
      <c r="L1668" s="6">
        <f>HYPERLINK("https://fin.land.naver.com/articles/2651744353", "매물Link")</f>
        <v/>
      </c>
      <c r="M1668" s="6">
        <f>HYPERLINK("https://map.naver.com/p/search/해밀동 702", "지도Link")</f>
        <v/>
      </c>
      <c r="N1668" s="6">
        <f>HYPERLINK("http://www.eum.go.kr/web/ar/lu/luLandDet.jsp?pnu=3611011600107020000&amp;isNoScr=script&amp;mode=search", "토지이음")</f>
        <v/>
      </c>
      <c r="O1668" s="3" t="inlineStr">
        <is>
          <t>세종</t>
        </is>
      </c>
      <c r="P1668" s="4" t="n">
        <v>1</v>
      </c>
      <c r="Q1668" s="4" t="n">
        <v>3170.9</v>
      </c>
      <c r="R1668" s="3" t="inlineStr">
        <is>
          <t>지정되지않음</t>
        </is>
      </c>
      <c r="S1668" s="3" t="inlineStr">
        <is>
          <t>주거나지</t>
        </is>
      </c>
      <c r="T1668" s="3" t="inlineStr">
        <is>
          <t>평지</t>
        </is>
      </c>
      <c r="U1668" s="3" t="inlineStr">
        <is>
          <t>사다리형</t>
        </is>
      </c>
      <c r="V1668" s="3" t="inlineStr">
        <is>
          <t>소로한면</t>
        </is>
      </c>
    </row>
    <row r="1669">
      <c r="A1669" s="3" t="inlineStr">
        <is>
          <t>해밀동 704</t>
        </is>
      </c>
      <c r="B1669" s="3" t="inlineStr">
        <is>
          <t>제1종전용주거지역</t>
        </is>
      </c>
      <c r="C1669" s="3" t="inlineStr">
        <is>
          <t>대</t>
        </is>
      </c>
      <c r="D1669" s="3" t="inlineStr">
        <is>
          <t>대</t>
        </is>
      </c>
      <c r="E1669" s="3" t="inlineStr">
        <is>
          <t>매매</t>
        </is>
      </c>
      <c r="F1669" s="4" t="n">
        <v>60000</v>
      </c>
      <c r="G1669" s="4" t="n">
        <v>289</v>
      </c>
      <c r="H1669" s="4" t="n">
        <v>87</v>
      </c>
      <c r="I1669" s="5" t="n">
        <v>689.7</v>
      </c>
      <c r="J1669" s="5" t="n">
        <v>241.1</v>
      </c>
      <c r="K1669" s="3" t="inlineStr">
        <is>
          <t>조율가능 지대높음 원수산뷰 학교,상가 가까움</t>
        </is>
      </c>
      <c r="L1669" s="6">
        <f>HYPERLINK("https://fin.land.naver.com/articles/2652136537", "매물Link")</f>
        <v/>
      </c>
      <c r="M1669" s="6">
        <f>HYPERLINK("https://map.naver.com/p/search/해밀동 704", "지도Link")</f>
        <v/>
      </c>
      <c r="N1669" s="6">
        <f>HYPERLINK("http://www.eum.go.kr/web/ar/lu/luLandDet.jsp?pnu=3611011600107040000&amp;isNoScr=script&amp;mode=search", "토지이음")</f>
        <v/>
      </c>
      <c r="O1669" s="3" t="inlineStr">
        <is>
          <t>세종스타</t>
        </is>
      </c>
      <c r="P1669" s="4" t="n">
        <v>1</v>
      </c>
      <c r="Q1669" s="4" t="n">
        <v>289.4</v>
      </c>
      <c r="R1669" s="3" t="inlineStr">
        <is>
          <t>지정되지않음</t>
        </is>
      </c>
      <c r="S1669" s="3" t="inlineStr">
        <is>
          <t>주거나지</t>
        </is>
      </c>
      <c r="T1669" s="3" t="inlineStr">
        <is>
          <t>평지</t>
        </is>
      </c>
      <c r="U1669" s="3" t="inlineStr">
        <is>
          <t>세로장방</t>
        </is>
      </c>
      <c r="V1669" s="3" t="inlineStr">
        <is>
          <t>소로한면</t>
        </is>
      </c>
    </row>
    <row r="1670">
      <c r="A1670" s="3" t="inlineStr">
        <is>
          <t>해밀동 756</t>
        </is>
      </c>
      <c r="B1670" s="3" t="inlineStr">
        <is>
          <t>제1종전용주거지역</t>
        </is>
      </c>
      <c r="C1670" s="3" t="inlineStr">
        <is>
          <t>대</t>
        </is>
      </c>
      <c r="D1670" s="3" t="inlineStr">
        <is>
          <t>대</t>
        </is>
      </c>
      <c r="E1670" s="3" t="inlineStr">
        <is>
          <t>매매</t>
        </is>
      </c>
      <c r="F1670" s="4" t="n">
        <v>57000</v>
      </c>
      <c r="G1670" s="4" t="n">
        <v>326</v>
      </c>
      <c r="H1670" s="4" t="n">
        <v>99</v>
      </c>
      <c r="I1670" s="5" t="n">
        <v>575.8</v>
      </c>
      <c r="J1670" s="5" t="n">
        <v>241.1</v>
      </c>
      <c r="K1670" s="3" t="inlineStr">
        <is>
          <t>조율가능 넓은평수 코너 보행로접</t>
        </is>
      </c>
      <c r="L1670" s="6">
        <f>HYPERLINK("https://fin.land.naver.com/articles/2652942604", "매물Link")</f>
        <v/>
      </c>
      <c r="M1670" s="6">
        <f>HYPERLINK("https://map.naver.com/p/search/해밀동 756", "지도Link")</f>
        <v/>
      </c>
      <c r="N1670" s="6">
        <f>HYPERLINK("http://www.eum.go.kr/web/ar/lu/luLandDet.jsp?pnu=3611011600107560000&amp;isNoScr=script&amp;mode=search", "토지이음")</f>
        <v/>
      </c>
      <c r="O1670" s="3" t="inlineStr">
        <is>
          <t>세종스타</t>
        </is>
      </c>
      <c r="P1670" s="4" t="n">
        <v>2</v>
      </c>
      <c r="Q1670" s="4" t="n">
        <v>326.4</v>
      </c>
      <c r="R1670" s="3" t="inlineStr">
        <is>
          <t>지정되지않음</t>
        </is>
      </c>
      <c r="S1670" s="3" t="inlineStr">
        <is>
          <t>주거나지</t>
        </is>
      </c>
      <c r="T1670" s="3" t="inlineStr">
        <is>
          <t>평지</t>
        </is>
      </c>
      <c r="U1670" s="3" t="inlineStr">
        <is>
          <t>정방형</t>
        </is>
      </c>
      <c r="V1670" s="3" t="inlineStr">
        <is>
          <t>소로한면</t>
        </is>
      </c>
    </row>
    <row r="1671">
      <c r="A1671" s="3" t="inlineStr">
        <is>
          <t>해밀동 767</t>
        </is>
      </c>
      <c r="B1671" s="3" t="inlineStr">
        <is>
          <t>제1종전용주거지역</t>
        </is>
      </c>
      <c r="C1671" s="3" t="inlineStr">
        <is>
          <t>대</t>
        </is>
      </c>
      <c r="D1671" s="3" t="inlineStr">
        <is>
          <t>대</t>
        </is>
      </c>
      <c r="E1671" s="3" t="inlineStr">
        <is>
          <t>매매</t>
        </is>
      </c>
      <c r="F1671" s="4" t="n">
        <v>55000</v>
      </c>
      <c r="G1671" s="4" t="n">
        <v>287</v>
      </c>
      <c r="H1671" s="4" t="n">
        <v>87</v>
      </c>
      <c r="I1671" s="5" t="n">
        <v>632.2</v>
      </c>
      <c r="J1671" s="5" t="n">
        <v>241.1</v>
      </c>
      <c r="K1671" s="3" t="inlineStr">
        <is>
          <t>남향 보행로접함 뒷편 공원조망 조율가능</t>
        </is>
      </c>
      <c r="L1671" s="6">
        <f>HYPERLINK("https://fin.land.naver.com/articles/2649618859", "매물Link")</f>
        <v/>
      </c>
      <c r="M1671" s="6">
        <f>HYPERLINK("https://map.naver.com/p/search/해밀동 767", "지도Link")</f>
        <v/>
      </c>
      <c r="N1671" s="6">
        <f>HYPERLINK("http://www.eum.go.kr/web/ar/lu/luLandDet.jsp?pnu=3611011600107670000&amp;isNoScr=script&amp;mode=search", "토지이음")</f>
        <v/>
      </c>
      <c r="O1671" s="3" t="inlineStr">
        <is>
          <t>세종스타</t>
        </is>
      </c>
      <c r="P1671" s="4" t="n">
        <v>1</v>
      </c>
      <c r="Q1671" s="4" t="n">
        <v>287.5</v>
      </c>
      <c r="R1671" s="3" t="inlineStr">
        <is>
          <t>지정되지않음</t>
        </is>
      </c>
      <c r="S1671" s="3" t="inlineStr">
        <is>
          <t>주거나지</t>
        </is>
      </c>
      <c r="T1671" s="3" t="inlineStr">
        <is>
          <t>평지</t>
        </is>
      </c>
      <c r="U1671" s="3" t="inlineStr">
        <is>
          <t>세로장방</t>
        </is>
      </c>
      <c r="V1671" s="3" t="inlineStr">
        <is>
          <t>소로한면</t>
        </is>
      </c>
    </row>
    <row r="1672">
      <c r="A1672" s="3" t="inlineStr">
        <is>
          <t>해밀동 777</t>
        </is>
      </c>
      <c r="B1672" s="3" t="inlineStr">
        <is>
          <t>제1종전용주거지역</t>
        </is>
      </c>
      <c r="C1672" s="3" t="inlineStr">
        <is>
          <t>대</t>
        </is>
      </c>
      <c r="D1672" s="3" t="inlineStr">
        <is>
          <t>대</t>
        </is>
      </c>
      <c r="E1672" s="3" t="inlineStr">
        <is>
          <t>매매</t>
        </is>
      </c>
      <c r="F1672" s="4" t="n">
        <v>56500</v>
      </c>
      <c r="G1672" s="4" t="n">
        <v>294</v>
      </c>
      <c r="H1672" s="4" t="n">
        <v>89</v>
      </c>
      <c r="I1672" s="5" t="n">
        <v>634.8</v>
      </c>
      <c r="J1672" s="5" t="n">
        <v>243.3</v>
      </c>
      <c r="K1672" s="3" t="inlineStr">
        <is>
          <t>해밀동 가격 좋은 단독주택 매매, 공원인근</t>
        </is>
      </c>
      <c r="L1672" s="6">
        <f>HYPERLINK("https://fin.land.naver.com/articles/2653569861", "매물Link")</f>
        <v/>
      </c>
      <c r="M1672" s="6">
        <f>HYPERLINK("https://map.naver.com/p/search/해밀동 777", "지도Link")</f>
        <v/>
      </c>
      <c r="N1672" s="6">
        <f>HYPERLINK("http://www.eum.go.kr/web/ar/lu/luLandDet.jsp?pnu=3611011600107770000&amp;isNoScr=script&amp;mode=search", "토지이음")</f>
        <v/>
      </c>
      <c r="O1672" s="3" t="inlineStr">
        <is>
          <t>세종무지개</t>
        </is>
      </c>
      <c r="P1672" s="4" t="n">
        <v>1</v>
      </c>
      <c r="Q1672" s="4" t="n">
        <v>294.8</v>
      </c>
      <c r="R1672" s="3" t="inlineStr">
        <is>
          <t>지정되지않음</t>
        </is>
      </c>
      <c r="S1672" s="3" t="inlineStr">
        <is>
          <t>주거나지</t>
        </is>
      </c>
      <c r="T1672" s="3" t="inlineStr">
        <is>
          <t>평지</t>
        </is>
      </c>
      <c r="U1672" s="3" t="inlineStr">
        <is>
          <t>사다리형</t>
        </is>
      </c>
      <c r="V1672" s="3" t="inlineStr">
        <is>
          <t>소로한면</t>
        </is>
      </c>
    </row>
    <row r="1673">
      <c r="A1673" s="3" t="inlineStr">
        <is>
          <t>해밀동 777</t>
        </is>
      </c>
      <c r="B1673" s="3" t="inlineStr">
        <is>
          <t>제1종전용주거지역</t>
        </is>
      </c>
      <c r="C1673" s="3" t="inlineStr">
        <is>
          <t>대</t>
        </is>
      </c>
      <c r="D1673" s="3" t="inlineStr">
        <is>
          <t>대</t>
        </is>
      </c>
      <c r="E1673" s="3" t="inlineStr">
        <is>
          <t>매매</t>
        </is>
      </c>
      <c r="F1673" s="4" t="n">
        <v>56500</v>
      </c>
      <c r="G1673" s="4" t="n">
        <v>294</v>
      </c>
      <c r="H1673" s="4" t="n">
        <v>89</v>
      </c>
      <c r="I1673" s="5" t="n">
        <v>634.8</v>
      </c>
      <c r="J1673" s="5" t="n">
        <v>243.3</v>
      </c>
      <c r="K1673" s="3" t="inlineStr">
        <is>
          <t>남향 원수산조망 뒷쪽 보행로접</t>
        </is>
      </c>
      <c r="L1673" s="6">
        <f>HYPERLINK("https://fin.land.naver.com/articles/2653837563", "매물Link")</f>
        <v/>
      </c>
      <c r="M1673" s="6">
        <f>HYPERLINK("https://map.naver.com/p/search/해밀동 777", "지도Link")</f>
        <v/>
      </c>
      <c r="N1673" s="6">
        <f>HYPERLINK("http://www.eum.go.kr/web/ar/lu/luLandDet.jsp?pnu=3611011600107770000&amp;isNoScr=script&amp;mode=search", "토지이음")</f>
        <v/>
      </c>
      <c r="O1673" s="3" t="inlineStr">
        <is>
          <t>세종스타</t>
        </is>
      </c>
      <c r="P1673" s="4" t="n">
        <v>1</v>
      </c>
      <c r="Q1673" s="4" t="n">
        <v>294.8</v>
      </c>
      <c r="R1673" s="3" t="inlineStr">
        <is>
          <t>지정되지않음</t>
        </is>
      </c>
      <c r="S1673" s="3" t="inlineStr">
        <is>
          <t>주거나지</t>
        </is>
      </c>
      <c r="T1673" s="3" t="inlineStr">
        <is>
          <t>평지</t>
        </is>
      </c>
      <c r="U1673" s="3" t="inlineStr">
        <is>
          <t>사다리형</t>
        </is>
      </c>
      <c r="V1673" s="3" t="inlineStr">
        <is>
          <t>소로한면</t>
        </is>
      </c>
    </row>
    <row r="1674">
      <c r="A1674" s="3" t="inlineStr">
        <is>
          <t>해밀동 806</t>
        </is>
      </c>
      <c r="B1674" s="3" t="inlineStr">
        <is>
          <t>제1종전용주거지역</t>
        </is>
      </c>
      <c r="C1674" s="3" t="inlineStr">
        <is>
          <t>도로</t>
        </is>
      </c>
      <c r="D1674" s="3" t="inlineStr">
        <is>
          <t>대</t>
        </is>
      </c>
      <c r="E1674" s="3" t="inlineStr">
        <is>
          <t>매매</t>
        </is>
      </c>
      <c r="F1674" s="4" t="n">
        <v>70000</v>
      </c>
      <c r="G1674" s="4" t="n">
        <v>314</v>
      </c>
      <c r="H1674" s="4" t="n">
        <v>95</v>
      </c>
      <c r="I1674" s="5" t="n">
        <v>736.8</v>
      </c>
      <c r="J1674" s="5" t="n">
        <v>79.59999999999999</v>
      </c>
      <c r="K1674" s="3" t="inlineStr">
        <is>
          <t>조율가능 시유지접한 지대높음</t>
        </is>
      </c>
      <c r="L1674" s="6">
        <f>HYPERLINK("https://fin.land.naver.com/articles/2651299558", "매물Link")</f>
        <v/>
      </c>
      <c r="M1674" s="6">
        <f>HYPERLINK("https://map.naver.com/p/search/해밀동 806", "지도Link")</f>
        <v/>
      </c>
      <c r="N1674" s="6">
        <f>HYPERLINK("http://www.eum.go.kr/web/ar/lu/luLandDet.jsp?pnu=3611011600108060000&amp;isNoScr=script&amp;mode=search", "토지이음")</f>
        <v/>
      </c>
      <c r="O1674" s="3" t="inlineStr">
        <is>
          <t>세종스타</t>
        </is>
      </c>
      <c r="P1674" s="4" t="n">
        <v>1</v>
      </c>
      <c r="Q1674" s="4" t="n">
        <v>5372.8</v>
      </c>
      <c r="R1674" s="3" t="inlineStr">
        <is>
          <t>지정되지않음</t>
        </is>
      </c>
      <c r="S1674" s="3" t="inlineStr">
        <is>
          <t>도로등</t>
        </is>
      </c>
      <c r="T1674" s="3" t="inlineStr">
        <is>
          <t>평지</t>
        </is>
      </c>
      <c r="U1674" s="3" t="inlineStr">
        <is>
          <t>부정형</t>
        </is>
      </c>
      <c r="V1674" s="3" t="inlineStr">
        <is>
          <t>지정되지않음</t>
        </is>
      </c>
    </row>
  </sheetData>
  <autoFilter ref="A1:V16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40"/>
  <sheetViews>
    <sheetView topLeftCell="A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계약년도</t>
        </is>
      </c>
      <c r="B1" s="2" t="inlineStr">
        <is>
          <t>거래금액</t>
        </is>
      </c>
      <c r="C1" s="2" t="inlineStr">
        <is>
          <t>거래면적</t>
        </is>
      </c>
      <c r="D1" s="2" t="inlineStr">
        <is>
          <t>Area_Py</t>
        </is>
      </c>
      <c r="E1" s="2" t="inlineStr">
        <is>
          <t>Py_Price</t>
        </is>
      </c>
      <c r="F1" s="2" t="inlineStr">
        <is>
          <t>읍면동</t>
        </is>
      </c>
      <c r="G1" s="2" t="inlineStr">
        <is>
          <t>리</t>
        </is>
      </c>
      <c r="H1" s="2" t="inlineStr">
        <is>
          <t>용도지역</t>
        </is>
      </c>
      <c r="I1" s="2" t="inlineStr">
        <is>
          <t>지목</t>
        </is>
      </c>
      <c r="J1" s="2" t="inlineStr">
        <is>
          <t>Parent_Town</t>
        </is>
      </c>
    </row>
    <row r="2">
      <c r="A2" s="3" t="n">
        <v>2023</v>
      </c>
      <c r="B2" s="4" t="n">
        <v>16410</v>
      </c>
      <c r="C2" s="4" t="n">
        <v>162</v>
      </c>
      <c r="D2" s="4" t="n">
        <v>49.005</v>
      </c>
      <c r="E2" s="5" t="n">
        <v>334.9</v>
      </c>
      <c r="F2" s="3" t="inlineStr">
        <is>
          <t>반곡동</t>
        </is>
      </c>
      <c r="G2" s="3" t="inlineStr"/>
      <c r="H2" s="3" t="inlineStr">
        <is>
          <t>제1종전용주거지역</t>
        </is>
      </c>
      <c r="I2" s="3" t="inlineStr">
        <is>
          <t>대</t>
        </is>
      </c>
      <c r="J2" s="3" t="inlineStr">
        <is>
          <t>반곡동</t>
        </is>
      </c>
    </row>
    <row r="3">
      <c r="A3" s="3" t="n">
        <v>2023</v>
      </c>
      <c r="B3" s="4" t="n">
        <v>13500</v>
      </c>
      <c r="C3" s="4" t="n">
        <v>132</v>
      </c>
      <c r="D3" s="4" t="n">
        <v>39.93</v>
      </c>
      <c r="E3" s="5" t="n">
        <v>338.1</v>
      </c>
      <c r="F3" s="3" t="inlineStr">
        <is>
          <t>조치원읍</t>
        </is>
      </c>
      <c r="G3" s="3" t="inlineStr">
        <is>
          <t>서창리</t>
        </is>
      </c>
      <c r="H3" s="3" t="inlineStr">
        <is>
          <t>제1종일반주거지역</t>
        </is>
      </c>
      <c r="I3" s="3" t="inlineStr">
        <is>
          <t>전</t>
        </is>
      </c>
      <c r="J3" s="3" t="inlineStr">
        <is>
          <t>조치원읍</t>
        </is>
      </c>
    </row>
    <row r="4">
      <c r="A4" s="3" t="n">
        <v>2023</v>
      </c>
      <c r="B4" s="4" t="n">
        <v>40795</v>
      </c>
      <c r="C4" s="4" t="n">
        <v>161.7</v>
      </c>
      <c r="D4" s="4" t="n">
        <v>48.91425</v>
      </c>
      <c r="E4" s="5" t="n">
        <v>834</v>
      </c>
      <c r="F4" s="3" t="inlineStr">
        <is>
          <t>조치원읍</t>
        </is>
      </c>
      <c r="G4" s="3" t="inlineStr">
        <is>
          <t>교리</t>
        </is>
      </c>
      <c r="H4" s="3" t="inlineStr">
        <is>
          <t>제2종일반주거지역</t>
        </is>
      </c>
      <c r="I4" s="3" t="inlineStr">
        <is>
          <t>대</t>
        </is>
      </c>
      <c r="J4" s="3" t="inlineStr">
        <is>
          <t>조치원읍</t>
        </is>
      </c>
    </row>
    <row r="5">
      <c r="A5" s="3" t="n">
        <v>2023</v>
      </c>
      <c r="B5" s="4" t="n">
        <v>39205</v>
      </c>
      <c r="C5" s="4" t="n">
        <v>155.4</v>
      </c>
      <c r="D5" s="4" t="n">
        <v>47.0085</v>
      </c>
      <c r="E5" s="5" t="n">
        <v>834</v>
      </c>
      <c r="F5" s="3" t="inlineStr">
        <is>
          <t>조치원읍</t>
        </is>
      </c>
      <c r="G5" s="3" t="inlineStr">
        <is>
          <t>교리</t>
        </is>
      </c>
      <c r="H5" s="3" t="inlineStr">
        <is>
          <t>제2종일반주거지역</t>
        </is>
      </c>
      <c r="I5" s="3" t="inlineStr">
        <is>
          <t>대</t>
        </is>
      </c>
      <c r="J5" s="3" t="inlineStr">
        <is>
          <t>조치원읍</t>
        </is>
      </c>
    </row>
    <row r="6">
      <c r="A6" s="3" t="n">
        <v>2023</v>
      </c>
      <c r="B6" s="4" t="n">
        <v>52000</v>
      </c>
      <c r="C6" s="4" t="n">
        <v>2876</v>
      </c>
      <c r="D6" s="4" t="n">
        <v>869.99</v>
      </c>
      <c r="E6" s="5" t="n">
        <v>59.8</v>
      </c>
      <c r="F6" s="3" t="inlineStr">
        <is>
          <t>부강면</t>
        </is>
      </c>
      <c r="G6" s="3" t="inlineStr">
        <is>
          <t>노호리</t>
        </is>
      </c>
      <c r="H6" s="3" t="inlineStr">
        <is>
          <t>계획관리지역</t>
        </is>
      </c>
      <c r="I6" s="3" t="inlineStr">
        <is>
          <t>임야</t>
        </is>
      </c>
      <c r="J6" s="3" t="inlineStr">
        <is>
          <t>부강면</t>
        </is>
      </c>
    </row>
    <row r="7">
      <c r="A7" s="3" t="n">
        <v>2024</v>
      </c>
      <c r="B7" s="4" t="n">
        <v>34000</v>
      </c>
      <c r="C7" s="4" t="n">
        <v>1146.3</v>
      </c>
      <c r="D7" s="4" t="n">
        <v>346.75575</v>
      </c>
      <c r="E7" s="5" t="n">
        <v>98.09999999999999</v>
      </c>
      <c r="F7" s="3" t="inlineStr">
        <is>
          <t>연서면</t>
        </is>
      </c>
      <c r="G7" s="3" t="inlineStr">
        <is>
          <t>쌍전리</t>
        </is>
      </c>
      <c r="H7" s="3" t="inlineStr">
        <is>
          <t>농림지역</t>
        </is>
      </c>
      <c r="I7" s="3" t="inlineStr">
        <is>
          <t>답</t>
        </is>
      </c>
      <c r="J7" s="3" t="inlineStr">
        <is>
          <t>연서면</t>
        </is>
      </c>
    </row>
    <row r="8">
      <c r="A8" s="3" t="n">
        <v>2024</v>
      </c>
      <c r="B8" s="4" t="n">
        <v>27000</v>
      </c>
      <c r="C8" s="4" t="n">
        <v>992</v>
      </c>
      <c r="D8" s="4" t="n">
        <v>300.08</v>
      </c>
      <c r="E8" s="5" t="n">
        <v>90</v>
      </c>
      <c r="F8" s="3" t="inlineStr">
        <is>
          <t>연서면</t>
        </is>
      </c>
      <c r="G8" s="3" t="inlineStr">
        <is>
          <t>국촌리</t>
        </is>
      </c>
      <c r="H8" s="3" t="inlineStr">
        <is>
          <t>농림지역</t>
        </is>
      </c>
      <c r="I8" s="3" t="inlineStr">
        <is>
          <t>과수원</t>
        </is>
      </c>
      <c r="J8" s="3" t="inlineStr">
        <is>
          <t>연서면</t>
        </is>
      </c>
    </row>
    <row r="9">
      <c r="A9" s="3" t="n">
        <v>2025</v>
      </c>
      <c r="B9" s="4" t="n">
        <v>3168</v>
      </c>
      <c r="C9" s="4" t="n">
        <v>80</v>
      </c>
      <c r="D9" s="4" t="n">
        <v>24.2</v>
      </c>
      <c r="E9" s="5" t="n">
        <v>130.9</v>
      </c>
      <c r="F9" s="3" t="inlineStr">
        <is>
          <t>연동면</t>
        </is>
      </c>
      <c r="G9" s="3" t="inlineStr">
        <is>
          <t>송용리</t>
        </is>
      </c>
      <c r="H9" s="3" t="inlineStr">
        <is>
          <t>농림지역</t>
        </is>
      </c>
      <c r="I9" s="3" t="inlineStr">
        <is>
          <t>답</t>
        </is>
      </c>
      <c r="J9" s="3" t="inlineStr">
        <is>
          <t>연동면</t>
        </is>
      </c>
    </row>
    <row r="10">
      <c r="A10" s="3" t="n">
        <v>2025</v>
      </c>
      <c r="B10" s="4" t="n">
        <v>50600</v>
      </c>
      <c r="C10" s="4" t="n">
        <v>787</v>
      </c>
      <c r="D10" s="4" t="n">
        <v>238.0675</v>
      </c>
      <c r="E10" s="5" t="n">
        <v>212.5</v>
      </c>
      <c r="F10" s="3" t="inlineStr">
        <is>
          <t>부강면</t>
        </is>
      </c>
      <c r="G10" s="3" t="inlineStr">
        <is>
          <t>문곡리</t>
        </is>
      </c>
      <c r="H10" s="3" t="inlineStr">
        <is>
          <t>계획관리지역</t>
        </is>
      </c>
      <c r="I10" s="3" t="inlineStr">
        <is>
          <t>답</t>
        </is>
      </c>
      <c r="J10" s="3" t="inlineStr">
        <is>
          <t>부강면</t>
        </is>
      </c>
    </row>
    <row r="11">
      <c r="A11" s="3" t="n">
        <v>2025</v>
      </c>
      <c r="B11" s="4" t="n">
        <v>35000</v>
      </c>
      <c r="C11" s="4" t="n">
        <v>1160</v>
      </c>
      <c r="D11" s="4" t="n">
        <v>350.9</v>
      </c>
      <c r="E11" s="5" t="n">
        <v>99.7</v>
      </c>
      <c r="F11" s="3" t="inlineStr">
        <is>
          <t>연서면</t>
        </is>
      </c>
      <c r="G11" s="3" t="inlineStr">
        <is>
          <t>봉암리</t>
        </is>
      </c>
      <c r="H11" s="3" t="inlineStr">
        <is>
          <t>농림지역</t>
        </is>
      </c>
      <c r="I11" s="3" t="inlineStr">
        <is>
          <t>답</t>
        </is>
      </c>
      <c r="J11" s="3" t="inlineStr">
        <is>
          <t>연서면</t>
        </is>
      </c>
    </row>
    <row r="12">
      <c r="A12" s="3" t="n">
        <v>2026</v>
      </c>
      <c r="B12" s="4" t="n">
        <v>2560</v>
      </c>
      <c r="C12" s="4" t="n">
        <v>56</v>
      </c>
      <c r="D12" s="4" t="n">
        <v>16.94</v>
      </c>
      <c r="E12" s="5" t="n">
        <v>151.1</v>
      </c>
      <c r="F12" s="3" t="inlineStr">
        <is>
          <t>부강면</t>
        </is>
      </c>
      <c r="G12" s="3" t="inlineStr">
        <is>
          <t>노호리</t>
        </is>
      </c>
      <c r="H12" s="3" t="inlineStr">
        <is>
          <t>계획관리지역</t>
        </is>
      </c>
      <c r="I12" s="3" t="inlineStr">
        <is>
          <t>도로</t>
        </is>
      </c>
      <c r="J12" s="3" t="inlineStr">
        <is>
          <t>부강면</t>
        </is>
      </c>
    </row>
    <row r="13">
      <c r="A13" s="3" t="n">
        <v>2026</v>
      </c>
      <c r="B13" s="4" t="n">
        <v>1055</v>
      </c>
      <c r="C13" s="4" t="n">
        <v>23</v>
      </c>
      <c r="D13" s="4" t="n">
        <v>6.9575</v>
      </c>
      <c r="E13" s="5" t="n">
        <v>151.6</v>
      </c>
      <c r="F13" s="3" t="inlineStr">
        <is>
          <t>부강면</t>
        </is>
      </c>
      <c r="G13" s="3" t="inlineStr">
        <is>
          <t>노호리</t>
        </is>
      </c>
      <c r="H13" s="3" t="inlineStr">
        <is>
          <t>계획관리지역</t>
        </is>
      </c>
      <c r="I13" s="3" t="inlineStr">
        <is>
          <t>도로</t>
        </is>
      </c>
      <c r="J13" s="3" t="inlineStr">
        <is>
          <t>부강면</t>
        </is>
      </c>
    </row>
    <row r="14">
      <c r="A14" s="3" t="n">
        <v>2026</v>
      </c>
      <c r="B14" s="4" t="n">
        <v>31866</v>
      </c>
      <c r="C14" s="4" t="n">
        <v>680</v>
      </c>
      <c r="D14" s="4" t="n">
        <v>205.7</v>
      </c>
      <c r="E14" s="5" t="n">
        <v>154.9</v>
      </c>
      <c r="F14" s="3" t="inlineStr">
        <is>
          <t>부강면</t>
        </is>
      </c>
      <c r="G14" s="3" t="inlineStr">
        <is>
          <t>노호리</t>
        </is>
      </c>
      <c r="H14" s="3" t="inlineStr">
        <is>
          <t>계획관리지역</t>
        </is>
      </c>
      <c r="I14" s="3" t="inlineStr">
        <is>
          <t>공장용지</t>
        </is>
      </c>
      <c r="J14" s="3" t="inlineStr">
        <is>
          <t>부강면</t>
        </is>
      </c>
    </row>
    <row r="15">
      <c r="A15" s="3" t="n">
        <v>2026</v>
      </c>
      <c r="B15" s="4" t="n">
        <v>3979</v>
      </c>
      <c r="C15" s="4" t="n">
        <v>1190</v>
      </c>
      <c r="D15" s="4" t="n">
        <v>359.975</v>
      </c>
      <c r="E15" s="5" t="n">
        <v>11.1</v>
      </c>
      <c r="F15" s="3" t="inlineStr">
        <is>
          <t>부강면</t>
        </is>
      </c>
      <c r="G15" s="3" t="inlineStr">
        <is>
          <t>갈산리</t>
        </is>
      </c>
      <c r="H15" s="3" t="inlineStr">
        <is>
          <t>계획관리지역</t>
        </is>
      </c>
      <c r="I15" s="3" t="inlineStr">
        <is>
          <t>임야</t>
        </is>
      </c>
      <c r="J15" s="3" t="inlineStr">
        <is>
          <t>부강면</t>
        </is>
      </c>
    </row>
    <row r="16">
      <c r="A16" s="3" t="n">
        <v>2026</v>
      </c>
      <c r="B16" s="4" t="n">
        <v>17935</v>
      </c>
      <c r="C16" s="4" t="n">
        <v>4760</v>
      </c>
      <c r="D16" s="4" t="n">
        <v>1439.9</v>
      </c>
      <c r="E16" s="5" t="n">
        <v>12.5</v>
      </c>
      <c r="F16" s="3" t="inlineStr">
        <is>
          <t>부강면</t>
        </is>
      </c>
      <c r="G16" s="3" t="inlineStr">
        <is>
          <t>갈산리</t>
        </is>
      </c>
      <c r="H16" s="3" t="inlineStr">
        <is>
          <t>계획관리지역</t>
        </is>
      </c>
      <c r="I16" s="3" t="inlineStr">
        <is>
          <t>임야</t>
        </is>
      </c>
      <c r="J16" s="3" t="inlineStr">
        <is>
          <t>부강면</t>
        </is>
      </c>
    </row>
    <row r="17">
      <c r="A17" s="3" t="n">
        <v>2026</v>
      </c>
      <c r="B17" s="4" t="n">
        <v>38132</v>
      </c>
      <c r="C17" s="4" t="n">
        <v>7537</v>
      </c>
      <c r="D17" s="4" t="n">
        <v>2279.9425</v>
      </c>
      <c r="E17" s="5" t="n">
        <v>16.7</v>
      </c>
      <c r="F17" s="3" t="inlineStr">
        <is>
          <t>부강면</t>
        </is>
      </c>
      <c r="G17" s="3" t="inlineStr">
        <is>
          <t>산수리</t>
        </is>
      </c>
      <c r="H17" s="3" t="inlineStr">
        <is>
          <t>계획관리지역</t>
        </is>
      </c>
      <c r="I17" s="3" t="inlineStr">
        <is>
          <t>임야</t>
        </is>
      </c>
      <c r="J17" s="3" t="inlineStr">
        <is>
          <t>부강면</t>
        </is>
      </c>
    </row>
    <row r="18">
      <c r="A18" s="3" t="n">
        <v>2026</v>
      </c>
      <c r="B18" s="4" t="n">
        <v>29787</v>
      </c>
      <c r="C18" s="4" t="n">
        <v>5950</v>
      </c>
      <c r="D18" s="4" t="n">
        <v>1799.875</v>
      </c>
      <c r="E18" s="5" t="n">
        <v>16.5</v>
      </c>
      <c r="F18" s="3" t="inlineStr">
        <is>
          <t>부강면</t>
        </is>
      </c>
      <c r="G18" s="3" t="inlineStr">
        <is>
          <t>산수리</t>
        </is>
      </c>
      <c r="H18" s="3" t="inlineStr">
        <is>
          <t>계획관리지역</t>
        </is>
      </c>
      <c r="I18" s="3" t="inlineStr">
        <is>
          <t>임야</t>
        </is>
      </c>
      <c r="J18" s="3" t="inlineStr">
        <is>
          <t>부강면</t>
        </is>
      </c>
    </row>
    <row r="19">
      <c r="A19" s="3" t="n">
        <v>2026</v>
      </c>
      <c r="B19" s="4" t="n">
        <v>10168</v>
      </c>
      <c r="C19" s="4" t="n">
        <v>595</v>
      </c>
      <c r="D19" s="4" t="n">
        <v>179.9875</v>
      </c>
      <c r="E19" s="5" t="n">
        <v>56.5</v>
      </c>
      <c r="F19" s="3" t="inlineStr">
        <is>
          <t>부강면</t>
        </is>
      </c>
      <c r="G19" s="3" t="inlineStr">
        <is>
          <t>산수리</t>
        </is>
      </c>
      <c r="H19" s="3" t="inlineStr">
        <is>
          <t>계획관리지역</t>
        </is>
      </c>
      <c r="I19" s="3" t="inlineStr">
        <is>
          <t>전</t>
        </is>
      </c>
      <c r="J19" s="3" t="inlineStr">
        <is>
          <t>부강면</t>
        </is>
      </c>
    </row>
    <row r="20">
      <c r="A20" s="3" t="n">
        <v>2026</v>
      </c>
      <c r="B20" s="4" t="n">
        <v>60000</v>
      </c>
      <c r="C20" s="4" t="n">
        <v>595</v>
      </c>
      <c r="D20" s="4" t="n">
        <v>179.9875</v>
      </c>
      <c r="E20" s="5" t="n">
        <v>333.4</v>
      </c>
      <c r="F20" s="3" t="inlineStr">
        <is>
          <t>조치원읍</t>
        </is>
      </c>
      <c r="G20" s="3" t="inlineStr">
        <is>
          <t>봉산리</t>
        </is>
      </c>
      <c r="H20" s="3" t="inlineStr">
        <is>
          <t>자연녹지지역</t>
        </is>
      </c>
      <c r="I20" s="3" t="inlineStr">
        <is>
          <t>대</t>
        </is>
      </c>
      <c r="J20" s="3" t="inlineStr">
        <is>
          <t>조치원읍</t>
        </is>
      </c>
    </row>
    <row r="21">
      <c r="A21" s="3" t="n">
        <v>2026</v>
      </c>
      <c r="B21" s="4" t="n">
        <v>110000</v>
      </c>
      <c r="C21" s="4" t="n">
        <v>2856</v>
      </c>
      <c r="D21" s="4" t="n">
        <v>863.9399999999999</v>
      </c>
      <c r="E21" s="5" t="n">
        <v>127.3</v>
      </c>
      <c r="F21" s="3" t="inlineStr">
        <is>
          <t>조치원읍</t>
        </is>
      </c>
      <c r="G21" s="3" t="inlineStr">
        <is>
          <t>봉산리</t>
        </is>
      </c>
      <c r="H21" s="3" t="inlineStr">
        <is>
          <t>자연녹지지역</t>
        </is>
      </c>
      <c r="I21" s="3" t="inlineStr">
        <is>
          <t>과수원</t>
        </is>
      </c>
      <c r="J21" s="3" t="inlineStr">
        <is>
          <t>조치원읍</t>
        </is>
      </c>
    </row>
    <row r="22">
      <c r="A22" s="3" t="n">
        <v>2026</v>
      </c>
      <c r="B22" s="4" t="n">
        <v>128600</v>
      </c>
      <c r="C22" s="4" t="n">
        <v>2856</v>
      </c>
      <c r="D22" s="4" t="n">
        <v>863.9399999999999</v>
      </c>
      <c r="E22" s="5" t="n">
        <v>148.9</v>
      </c>
      <c r="F22" s="3" t="inlineStr">
        <is>
          <t>조치원읍</t>
        </is>
      </c>
      <c r="G22" s="3" t="inlineStr">
        <is>
          <t>봉산리</t>
        </is>
      </c>
      <c r="H22" s="3" t="inlineStr">
        <is>
          <t>자연녹지지역</t>
        </is>
      </c>
      <c r="I22" s="3" t="inlineStr">
        <is>
          <t>과수원</t>
        </is>
      </c>
      <c r="J22" s="3" t="inlineStr">
        <is>
          <t>조치원읍</t>
        </is>
      </c>
    </row>
    <row r="23">
      <c r="A23" s="3" t="n">
        <v>2026</v>
      </c>
      <c r="B23" s="4" t="n">
        <v>41400</v>
      </c>
      <c r="C23" s="4" t="n">
        <v>595</v>
      </c>
      <c r="D23" s="4" t="n">
        <v>179.9875</v>
      </c>
      <c r="E23" s="5" t="n">
        <v>230</v>
      </c>
      <c r="F23" s="3" t="inlineStr">
        <is>
          <t>조치원읍</t>
        </is>
      </c>
      <c r="G23" s="3" t="inlineStr">
        <is>
          <t>봉산리</t>
        </is>
      </c>
      <c r="H23" s="3" t="inlineStr">
        <is>
          <t>자연녹지지역</t>
        </is>
      </c>
      <c r="I23" s="3" t="inlineStr">
        <is>
          <t>대</t>
        </is>
      </c>
      <c r="J23" s="3" t="inlineStr">
        <is>
          <t>조치원읍</t>
        </is>
      </c>
    </row>
    <row r="24">
      <c r="A24" s="3" t="n">
        <v>2022</v>
      </c>
      <c r="B24" s="4" t="n">
        <v>52930</v>
      </c>
      <c r="C24" s="4" t="n">
        <v>33650</v>
      </c>
      <c r="D24" s="4" t="n">
        <v>10179.125</v>
      </c>
      <c r="E24" s="5" t="n">
        <v>5.2</v>
      </c>
      <c r="F24" s="3" t="inlineStr">
        <is>
          <t>부강면</t>
        </is>
      </c>
      <c r="G24" s="3" t="inlineStr">
        <is>
          <t>등곡리</t>
        </is>
      </c>
      <c r="H24" s="3" t="inlineStr">
        <is>
          <t>농림지역</t>
        </is>
      </c>
      <c r="I24" s="3" t="inlineStr">
        <is>
          <t>임야</t>
        </is>
      </c>
      <c r="J24" s="3" t="inlineStr">
        <is>
          <t>부강면</t>
        </is>
      </c>
    </row>
    <row r="25">
      <c r="A25" s="3" t="n">
        <v>2022</v>
      </c>
      <c r="B25" s="4" t="n">
        <v>57600</v>
      </c>
      <c r="C25" s="4" t="n">
        <v>2646</v>
      </c>
      <c r="D25" s="4" t="n">
        <v>800.415</v>
      </c>
      <c r="E25" s="5" t="n">
        <v>72</v>
      </c>
      <c r="F25" s="3" t="inlineStr">
        <is>
          <t>연동면</t>
        </is>
      </c>
      <c r="G25" s="3" t="inlineStr">
        <is>
          <t>송용리</t>
        </is>
      </c>
      <c r="H25" s="3" t="inlineStr">
        <is>
          <t>제2종일반주거지역</t>
        </is>
      </c>
      <c r="I25" s="3" t="inlineStr">
        <is>
          <t>답</t>
        </is>
      </c>
      <c r="J25" s="3" t="inlineStr">
        <is>
          <t>연동면</t>
        </is>
      </c>
    </row>
    <row r="26">
      <c r="A26" s="3" t="n">
        <v>2022</v>
      </c>
      <c r="B26" s="4" t="n">
        <v>41760</v>
      </c>
      <c r="C26" s="4" t="n">
        <v>6901</v>
      </c>
      <c r="D26" s="4" t="n">
        <v>2087.5525</v>
      </c>
      <c r="E26" s="5" t="n">
        <v>20</v>
      </c>
      <c r="F26" s="3" t="inlineStr">
        <is>
          <t>연서면</t>
        </is>
      </c>
      <c r="G26" s="3" t="inlineStr">
        <is>
          <t>쌍류리</t>
        </is>
      </c>
      <c r="H26" s="3" t="inlineStr">
        <is>
          <t>보전관리지역</t>
        </is>
      </c>
      <c r="I26" s="3" t="inlineStr">
        <is>
          <t>임야</t>
        </is>
      </c>
      <c r="J26" s="3" t="inlineStr">
        <is>
          <t>연서면</t>
        </is>
      </c>
    </row>
    <row r="27">
      <c r="A27" s="3" t="n">
        <v>2022</v>
      </c>
      <c r="B27" s="4" t="n">
        <v>3350</v>
      </c>
      <c r="C27" s="4" t="n">
        <v>223</v>
      </c>
      <c r="D27" s="4" t="n">
        <v>67.4575</v>
      </c>
      <c r="E27" s="5" t="n">
        <v>49.7</v>
      </c>
      <c r="F27" s="3" t="inlineStr">
        <is>
          <t>연서면</t>
        </is>
      </c>
      <c r="G27" s="3" t="inlineStr">
        <is>
          <t>쌍류리</t>
        </is>
      </c>
      <c r="H27" s="3" t="inlineStr">
        <is>
          <t>보전관리지역</t>
        </is>
      </c>
      <c r="I27" s="3" t="inlineStr">
        <is>
          <t>임야</t>
        </is>
      </c>
      <c r="J27" s="3" t="inlineStr">
        <is>
          <t>연서면</t>
        </is>
      </c>
    </row>
    <row r="28">
      <c r="A28" s="3" t="n">
        <v>2022</v>
      </c>
      <c r="B28" s="4" t="n">
        <v>43200</v>
      </c>
      <c r="C28" s="4" t="n">
        <v>1785</v>
      </c>
      <c r="D28" s="4" t="n">
        <v>539.9625</v>
      </c>
      <c r="E28" s="5" t="n">
        <v>80</v>
      </c>
      <c r="F28" s="3" t="inlineStr">
        <is>
          <t>연서면</t>
        </is>
      </c>
      <c r="G28" s="3" t="inlineStr">
        <is>
          <t>쌍류리</t>
        </is>
      </c>
      <c r="H28" s="3" t="inlineStr">
        <is>
          <t>계획관리지역</t>
        </is>
      </c>
      <c r="I28" s="3" t="inlineStr">
        <is>
          <t>대</t>
        </is>
      </c>
      <c r="J28" s="3" t="inlineStr">
        <is>
          <t>연서면</t>
        </is>
      </c>
    </row>
    <row r="29">
      <c r="A29" s="3" t="n">
        <v>2022</v>
      </c>
      <c r="B29" s="4" t="n">
        <v>24720</v>
      </c>
      <c r="C29" s="4" t="n">
        <v>1021</v>
      </c>
      <c r="D29" s="4" t="n">
        <v>308.8525</v>
      </c>
      <c r="E29" s="5" t="n">
        <v>80</v>
      </c>
      <c r="F29" s="3" t="inlineStr">
        <is>
          <t>연서면</t>
        </is>
      </c>
      <c r="G29" s="3" t="inlineStr">
        <is>
          <t>쌍류리</t>
        </is>
      </c>
      <c r="H29" s="3" t="inlineStr">
        <is>
          <t>계획관리지역</t>
        </is>
      </c>
      <c r="I29" s="3" t="inlineStr">
        <is>
          <t>대</t>
        </is>
      </c>
      <c r="J29" s="3" t="inlineStr">
        <is>
          <t>연서면</t>
        </is>
      </c>
    </row>
    <row r="30">
      <c r="A30" s="3" t="n">
        <v>2022</v>
      </c>
      <c r="B30" s="4" t="n">
        <v>8640</v>
      </c>
      <c r="C30" s="4" t="n">
        <v>357</v>
      </c>
      <c r="D30" s="4" t="n">
        <v>107.9925</v>
      </c>
      <c r="E30" s="5" t="n">
        <v>80</v>
      </c>
      <c r="F30" s="3" t="inlineStr">
        <is>
          <t>연서면</t>
        </is>
      </c>
      <c r="G30" s="3" t="inlineStr">
        <is>
          <t>쌍류리</t>
        </is>
      </c>
      <c r="H30" s="3" t="inlineStr">
        <is>
          <t>계획관리지역</t>
        </is>
      </c>
      <c r="I30" s="3" t="inlineStr">
        <is>
          <t>대</t>
        </is>
      </c>
      <c r="J30" s="3" t="inlineStr">
        <is>
          <t>연서면</t>
        </is>
      </c>
    </row>
    <row r="31">
      <c r="A31" s="3" t="n">
        <v>2022</v>
      </c>
      <c r="B31" s="4" t="n">
        <v>9558</v>
      </c>
      <c r="C31" s="4" t="n">
        <v>665</v>
      </c>
      <c r="D31" s="4" t="n">
        <v>201.1625</v>
      </c>
      <c r="E31" s="5" t="n">
        <v>47.5</v>
      </c>
      <c r="F31" s="3" t="inlineStr">
        <is>
          <t>연서면</t>
        </is>
      </c>
      <c r="G31" s="3" t="inlineStr">
        <is>
          <t>신대리</t>
        </is>
      </c>
      <c r="H31" s="3" t="inlineStr">
        <is>
          <t>계획관리지역</t>
        </is>
      </c>
      <c r="I31" s="3" t="inlineStr">
        <is>
          <t>답</t>
        </is>
      </c>
      <c r="J31" s="3" t="inlineStr">
        <is>
          <t>연서면</t>
        </is>
      </c>
    </row>
    <row r="32">
      <c r="A32" s="3" t="n">
        <v>2022</v>
      </c>
      <c r="B32" s="4" t="n">
        <v>7215</v>
      </c>
      <c r="C32" s="4" t="n">
        <v>477</v>
      </c>
      <c r="D32" s="4" t="n">
        <v>144.2925</v>
      </c>
      <c r="E32" s="5" t="n">
        <v>50</v>
      </c>
      <c r="F32" s="3" t="inlineStr">
        <is>
          <t>연서면</t>
        </is>
      </c>
      <c r="G32" s="3" t="inlineStr">
        <is>
          <t>신대리</t>
        </is>
      </c>
      <c r="H32" s="3" t="inlineStr">
        <is>
          <t>계획관리지역</t>
        </is>
      </c>
      <c r="I32" s="3" t="inlineStr">
        <is>
          <t>답</t>
        </is>
      </c>
      <c r="J32" s="3" t="inlineStr">
        <is>
          <t>연서면</t>
        </is>
      </c>
    </row>
    <row r="33">
      <c r="A33" s="3" t="n">
        <v>2022</v>
      </c>
      <c r="B33" s="4" t="n">
        <v>41000</v>
      </c>
      <c r="C33" s="4" t="n">
        <v>341</v>
      </c>
      <c r="D33" s="4" t="n">
        <v>103.1525</v>
      </c>
      <c r="E33" s="5" t="n">
        <v>397.5</v>
      </c>
      <c r="F33" s="3" t="inlineStr">
        <is>
          <t>연서면</t>
        </is>
      </c>
      <c r="G33" s="3" t="inlineStr">
        <is>
          <t>고복리</t>
        </is>
      </c>
      <c r="H33" s="3" t="inlineStr">
        <is>
          <t>보전관리지역</t>
        </is>
      </c>
      <c r="I33" s="3" t="inlineStr">
        <is>
          <t>대</t>
        </is>
      </c>
      <c r="J33" s="3" t="inlineStr">
        <is>
          <t>연서면</t>
        </is>
      </c>
    </row>
    <row r="34">
      <c r="A34" s="3" t="n">
        <v>2022</v>
      </c>
      <c r="B34" s="4" t="n">
        <v>132049</v>
      </c>
      <c r="C34" s="4" t="n">
        <v>116528</v>
      </c>
      <c r="D34" s="4" t="n">
        <v>35249.72</v>
      </c>
      <c r="E34" s="5" t="n">
        <v>3.7</v>
      </c>
      <c r="F34" s="3" t="inlineStr">
        <is>
          <t>연서면</t>
        </is>
      </c>
      <c r="G34" s="3" t="inlineStr">
        <is>
          <t>쌍류리</t>
        </is>
      </c>
      <c r="H34" s="3" t="inlineStr">
        <is>
          <t>농림지역</t>
        </is>
      </c>
      <c r="I34" s="3" t="inlineStr">
        <is>
          <t>임야</t>
        </is>
      </c>
      <c r="J34" s="3" t="inlineStr">
        <is>
          <t>연서면</t>
        </is>
      </c>
    </row>
    <row r="35">
      <c r="A35" s="3" t="n">
        <v>2022</v>
      </c>
      <c r="B35" s="4" t="n">
        <v>41760</v>
      </c>
      <c r="C35" s="4" t="n">
        <v>6901</v>
      </c>
      <c r="D35" s="4" t="n">
        <v>2087.5525</v>
      </c>
      <c r="E35" s="5" t="n">
        <v>20</v>
      </c>
      <c r="F35" s="3" t="inlineStr">
        <is>
          <t>연서면</t>
        </is>
      </c>
      <c r="G35" s="3" t="inlineStr">
        <is>
          <t>쌍류리</t>
        </is>
      </c>
      <c r="H35" s="3" t="inlineStr">
        <is>
          <t>보전관리지역</t>
        </is>
      </c>
      <c r="I35" s="3" t="inlineStr">
        <is>
          <t>임야</t>
        </is>
      </c>
      <c r="J35" s="3" t="inlineStr">
        <is>
          <t>연서면</t>
        </is>
      </c>
    </row>
    <row r="36">
      <c r="A36" s="3" t="n">
        <v>2022</v>
      </c>
      <c r="B36" s="4" t="n">
        <v>3350</v>
      </c>
      <c r="C36" s="4" t="n">
        <v>223</v>
      </c>
      <c r="D36" s="4" t="n">
        <v>67.4575</v>
      </c>
      <c r="E36" s="5" t="n">
        <v>49.7</v>
      </c>
      <c r="F36" s="3" t="inlineStr">
        <is>
          <t>연서면</t>
        </is>
      </c>
      <c r="G36" s="3" t="inlineStr">
        <is>
          <t>쌍류리</t>
        </is>
      </c>
      <c r="H36" s="3" t="inlineStr">
        <is>
          <t>보전관리지역</t>
        </is>
      </c>
      <c r="I36" s="3" t="inlineStr">
        <is>
          <t>임야</t>
        </is>
      </c>
      <c r="J36" s="3" t="inlineStr">
        <is>
          <t>연서면</t>
        </is>
      </c>
    </row>
    <row r="37">
      <c r="A37" s="3" t="n">
        <v>2022</v>
      </c>
      <c r="B37" s="4" t="n">
        <v>43200</v>
      </c>
      <c r="C37" s="4" t="n">
        <v>1785</v>
      </c>
      <c r="D37" s="4" t="n">
        <v>539.9625</v>
      </c>
      <c r="E37" s="5" t="n">
        <v>80</v>
      </c>
      <c r="F37" s="3" t="inlineStr">
        <is>
          <t>연서면</t>
        </is>
      </c>
      <c r="G37" s="3" t="inlineStr">
        <is>
          <t>쌍류리</t>
        </is>
      </c>
      <c r="H37" s="3" t="inlineStr">
        <is>
          <t>계획관리지역</t>
        </is>
      </c>
      <c r="I37" s="3" t="inlineStr">
        <is>
          <t>대</t>
        </is>
      </c>
      <c r="J37" s="3" t="inlineStr">
        <is>
          <t>연서면</t>
        </is>
      </c>
    </row>
    <row r="38">
      <c r="A38" s="3" t="n">
        <v>2022</v>
      </c>
      <c r="B38" s="4" t="n">
        <v>24720</v>
      </c>
      <c r="C38" s="4" t="n">
        <v>1021</v>
      </c>
      <c r="D38" s="4" t="n">
        <v>308.8525</v>
      </c>
      <c r="E38" s="5" t="n">
        <v>80</v>
      </c>
      <c r="F38" s="3" t="inlineStr">
        <is>
          <t>연서면</t>
        </is>
      </c>
      <c r="G38" s="3" t="inlineStr">
        <is>
          <t>쌍류리</t>
        </is>
      </c>
      <c r="H38" s="3" t="inlineStr">
        <is>
          <t>계획관리지역</t>
        </is>
      </c>
      <c r="I38" s="3" t="inlineStr">
        <is>
          <t>대</t>
        </is>
      </c>
      <c r="J38" s="3" t="inlineStr">
        <is>
          <t>연서면</t>
        </is>
      </c>
    </row>
    <row r="39">
      <c r="A39" s="3" t="n">
        <v>2022</v>
      </c>
      <c r="B39" s="4" t="n">
        <v>8640</v>
      </c>
      <c r="C39" s="4" t="n">
        <v>357</v>
      </c>
      <c r="D39" s="4" t="n">
        <v>107.9925</v>
      </c>
      <c r="E39" s="5" t="n">
        <v>80</v>
      </c>
      <c r="F39" s="3" t="inlineStr">
        <is>
          <t>연서면</t>
        </is>
      </c>
      <c r="G39" s="3" t="inlineStr">
        <is>
          <t>쌍류리</t>
        </is>
      </c>
      <c r="H39" s="3" t="inlineStr">
        <is>
          <t>계획관리지역</t>
        </is>
      </c>
      <c r="I39" s="3" t="inlineStr">
        <is>
          <t>대</t>
        </is>
      </c>
      <c r="J39" s="3" t="inlineStr">
        <is>
          <t>연서면</t>
        </is>
      </c>
    </row>
    <row r="40">
      <c r="A40" s="3" t="n">
        <v>2022</v>
      </c>
      <c r="B40" s="4" t="n">
        <v>4266</v>
      </c>
      <c r="C40" s="4" t="n">
        <v>522</v>
      </c>
      <c r="D40" s="4" t="n">
        <v>157.905</v>
      </c>
      <c r="E40" s="5" t="n">
        <v>27</v>
      </c>
      <c r="F40" s="3" t="inlineStr">
        <is>
          <t>연서면</t>
        </is>
      </c>
      <c r="G40" s="3" t="inlineStr">
        <is>
          <t>쌍류리</t>
        </is>
      </c>
      <c r="H40" s="3" t="inlineStr">
        <is>
          <t>보전관리지역</t>
        </is>
      </c>
      <c r="I40" s="3" t="inlineStr">
        <is>
          <t>전</t>
        </is>
      </c>
      <c r="J40" s="3" t="inlineStr">
        <is>
          <t>연서면</t>
        </is>
      </c>
    </row>
    <row r="41">
      <c r="A41" s="3" t="n">
        <v>2022</v>
      </c>
      <c r="B41" s="4" t="n">
        <v>3040</v>
      </c>
      <c r="C41" s="4" t="n">
        <v>504</v>
      </c>
      <c r="D41" s="4" t="n">
        <v>152.46</v>
      </c>
      <c r="E41" s="5" t="n">
        <v>19.9</v>
      </c>
      <c r="F41" s="3" t="inlineStr">
        <is>
          <t>연서면</t>
        </is>
      </c>
      <c r="G41" s="3" t="inlineStr">
        <is>
          <t>쌍류리</t>
        </is>
      </c>
      <c r="H41" s="3" t="inlineStr">
        <is>
          <t>보전관리지역</t>
        </is>
      </c>
      <c r="I41" s="3" t="inlineStr">
        <is>
          <t>전</t>
        </is>
      </c>
      <c r="J41" s="3" t="inlineStr">
        <is>
          <t>연서면</t>
        </is>
      </c>
    </row>
    <row r="42">
      <c r="A42" s="3" t="n">
        <v>2022</v>
      </c>
      <c r="B42" s="4" t="n">
        <v>30240</v>
      </c>
      <c r="C42" s="4" t="n">
        <v>1428</v>
      </c>
      <c r="D42" s="4" t="n">
        <v>431.97</v>
      </c>
      <c r="E42" s="5" t="n">
        <v>70</v>
      </c>
      <c r="F42" s="3" t="inlineStr">
        <is>
          <t>연서면</t>
        </is>
      </c>
      <c r="G42" s="3" t="inlineStr">
        <is>
          <t>쌍류리</t>
        </is>
      </c>
      <c r="H42" s="3" t="inlineStr">
        <is>
          <t>생산관리지역</t>
        </is>
      </c>
      <c r="I42" s="3" t="inlineStr">
        <is>
          <t>전</t>
        </is>
      </c>
      <c r="J42" s="3" t="inlineStr">
        <is>
          <t>연서면</t>
        </is>
      </c>
    </row>
    <row r="43">
      <c r="A43" s="3" t="n">
        <v>2022</v>
      </c>
      <c r="B43" s="4" t="n">
        <v>4580</v>
      </c>
      <c r="C43" s="4" t="n">
        <v>756</v>
      </c>
      <c r="D43" s="4" t="n">
        <v>228.69</v>
      </c>
      <c r="E43" s="5" t="n">
        <v>20</v>
      </c>
      <c r="F43" s="3" t="inlineStr">
        <is>
          <t>연서면</t>
        </is>
      </c>
      <c r="G43" s="3" t="inlineStr">
        <is>
          <t>쌍류리</t>
        </is>
      </c>
      <c r="H43" s="3" t="inlineStr">
        <is>
          <t>보전관리지역</t>
        </is>
      </c>
      <c r="I43" s="3" t="inlineStr">
        <is>
          <t>전</t>
        </is>
      </c>
      <c r="J43" s="3" t="inlineStr">
        <is>
          <t>연서면</t>
        </is>
      </c>
    </row>
    <row r="44">
      <c r="A44" s="3" t="n">
        <v>2022</v>
      </c>
      <c r="B44" s="4" t="n">
        <v>2835</v>
      </c>
      <c r="C44" s="4" t="n">
        <v>346</v>
      </c>
      <c r="D44" s="4" t="n">
        <v>104.665</v>
      </c>
      <c r="E44" s="5" t="n">
        <v>27.1</v>
      </c>
      <c r="F44" s="3" t="inlineStr">
        <is>
          <t>연서면</t>
        </is>
      </c>
      <c r="G44" s="3" t="inlineStr">
        <is>
          <t>쌍류리</t>
        </is>
      </c>
      <c r="H44" s="3" t="inlineStr">
        <is>
          <t>보전관리지역</t>
        </is>
      </c>
      <c r="I44" s="3" t="inlineStr">
        <is>
          <t>전</t>
        </is>
      </c>
      <c r="J44" s="3" t="inlineStr">
        <is>
          <t>연서면</t>
        </is>
      </c>
    </row>
    <row r="45">
      <c r="A45" s="3" t="n">
        <v>2022</v>
      </c>
      <c r="B45" s="4" t="n">
        <v>11320</v>
      </c>
      <c r="C45" s="4" t="n">
        <v>1872</v>
      </c>
      <c r="D45" s="4" t="n">
        <v>566.28</v>
      </c>
      <c r="E45" s="5" t="n">
        <v>20</v>
      </c>
      <c r="F45" s="3" t="inlineStr">
        <is>
          <t>연서면</t>
        </is>
      </c>
      <c r="G45" s="3" t="inlineStr">
        <is>
          <t>쌍류리</t>
        </is>
      </c>
      <c r="H45" s="3" t="inlineStr">
        <is>
          <t>보전관리지역</t>
        </is>
      </c>
      <c r="I45" s="3" t="inlineStr">
        <is>
          <t>전</t>
        </is>
      </c>
      <c r="J45" s="3" t="inlineStr">
        <is>
          <t>연서면</t>
        </is>
      </c>
    </row>
    <row r="46">
      <c r="A46" s="3" t="n">
        <v>2022</v>
      </c>
      <c r="B46" s="4" t="n">
        <v>47150</v>
      </c>
      <c r="C46" s="4" t="n">
        <v>2136</v>
      </c>
      <c r="D46" s="4" t="n">
        <v>646.14</v>
      </c>
      <c r="E46" s="5" t="n">
        <v>73</v>
      </c>
      <c r="F46" s="3" t="inlineStr">
        <is>
          <t>연서면</t>
        </is>
      </c>
      <c r="G46" s="3" t="inlineStr">
        <is>
          <t>쌍류리</t>
        </is>
      </c>
      <c r="H46" s="3" t="inlineStr">
        <is>
          <t>생산관리지역</t>
        </is>
      </c>
      <c r="I46" s="3" t="inlineStr">
        <is>
          <t>답</t>
        </is>
      </c>
      <c r="J46" s="3" t="inlineStr">
        <is>
          <t>연서면</t>
        </is>
      </c>
    </row>
    <row r="47">
      <c r="A47" s="3" t="n">
        <v>2022</v>
      </c>
      <c r="B47" s="4" t="n">
        <v>7215</v>
      </c>
      <c r="C47" s="4" t="n">
        <v>477</v>
      </c>
      <c r="D47" s="4" t="n">
        <v>144.2925</v>
      </c>
      <c r="E47" s="5" t="n">
        <v>50</v>
      </c>
      <c r="F47" s="3" t="inlineStr">
        <is>
          <t>연서면</t>
        </is>
      </c>
      <c r="G47" s="3" t="inlineStr">
        <is>
          <t>신대리</t>
        </is>
      </c>
      <c r="H47" s="3" t="inlineStr">
        <is>
          <t>계획관리지역</t>
        </is>
      </c>
      <c r="I47" s="3" t="inlineStr">
        <is>
          <t>답</t>
        </is>
      </c>
      <c r="J47" s="3" t="inlineStr">
        <is>
          <t>연서면</t>
        </is>
      </c>
    </row>
    <row r="48">
      <c r="A48" s="3" t="n">
        <v>2022</v>
      </c>
      <c r="B48" s="4" t="n">
        <v>9558</v>
      </c>
      <c r="C48" s="4" t="n">
        <v>665</v>
      </c>
      <c r="D48" s="4" t="n">
        <v>201.1625</v>
      </c>
      <c r="E48" s="5" t="n">
        <v>47.5</v>
      </c>
      <c r="F48" s="3" t="inlineStr">
        <is>
          <t>연서면</t>
        </is>
      </c>
      <c r="G48" s="3" t="inlineStr">
        <is>
          <t>신대리</t>
        </is>
      </c>
      <c r="H48" s="3" t="inlineStr">
        <is>
          <t>계획관리지역</t>
        </is>
      </c>
      <c r="I48" s="3" t="inlineStr">
        <is>
          <t>답</t>
        </is>
      </c>
      <c r="J48" s="3" t="inlineStr">
        <is>
          <t>연서면</t>
        </is>
      </c>
    </row>
    <row r="49">
      <c r="A49" s="3" t="n">
        <v>2022</v>
      </c>
      <c r="B49" s="4" t="n">
        <v>19459</v>
      </c>
      <c r="C49" s="4" t="n">
        <v>201</v>
      </c>
      <c r="D49" s="4" t="n">
        <v>60.80249999999999</v>
      </c>
      <c r="E49" s="5" t="n">
        <v>320</v>
      </c>
      <c r="F49" s="3" t="inlineStr">
        <is>
          <t>연서면</t>
        </is>
      </c>
      <c r="G49" s="3" t="inlineStr">
        <is>
          <t>봉암리</t>
        </is>
      </c>
      <c r="H49" s="3" t="inlineStr">
        <is>
          <t>계획관리지역</t>
        </is>
      </c>
      <c r="I49" s="3" t="inlineStr">
        <is>
          <t>전</t>
        </is>
      </c>
      <c r="J49" s="3" t="inlineStr">
        <is>
          <t>연서면</t>
        </is>
      </c>
    </row>
    <row r="50">
      <c r="A50" s="3" t="n">
        <v>2022</v>
      </c>
      <c r="B50" s="4" t="n">
        <v>1277</v>
      </c>
      <c r="C50" s="4" t="n">
        <v>18</v>
      </c>
      <c r="D50" s="4" t="n">
        <v>5.445</v>
      </c>
      <c r="E50" s="5" t="n">
        <v>234.5</v>
      </c>
      <c r="F50" s="3" t="inlineStr">
        <is>
          <t>연서면</t>
        </is>
      </c>
      <c r="G50" s="3" t="inlineStr">
        <is>
          <t>봉암리</t>
        </is>
      </c>
      <c r="H50" s="3" t="inlineStr">
        <is>
          <t>계획관리지역</t>
        </is>
      </c>
      <c r="I50" s="3" t="inlineStr">
        <is>
          <t>답</t>
        </is>
      </c>
      <c r="J50" s="3" t="inlineStr">
        <is>
          <t>연서면</t>
        </is>
      </c>
    </row>
    <row r="51">
      <c r="A51" s="3" t="n">
        <v>2022</v>
      </c>
      <c r="B51" s="4" t="n">
        <v>110374</v>
      </c>
      <c r="C51" s="4" t="n">
        <v>1144</v>
      </c>
      <c r="D51" s="4" t="n">
        <v>346.06</v>
      </c>
      <c r="E51" s="5" t="n">
        <v>318.9</v>
      </c>
      <c r="F51" s="3" t="inlineStr">
        <is>
          <t>연서면</t>
        </is>
      </c>
      <c r="G51" s="3" t="inlineStr">
        <is>
          <t>봉암리</t>
        </is>
      </c>
      <c r="H51" s="3" t="inlineStr">
        <is>
          <t>계획관리지역</t>
        </is>
      </c>
      <c r="I51" s="3" t="inlineStr">
        <is>
          <t>답</t>
        </is>
      </c>
      <c r="J51" s="3" t="inlineStr">
        <is>
          <t>연서면</t>
        </is>
      </c>
    </row>
    <row r="52">
      <c r="A52" s="3" t="n">
        <v>2022</v>
      </c>
      <c r="B52" s="4" t="n">
        <v>44900</v>
      </c>
      <c r="C52" s="4" t="n">
        <v>743</v>
      </c>
      <c r="D52" s="4" t="n">
        <v>224.7575</v>
      </c>
      <c r="E52" s="5" t="n">
        <v>199.8</v>
      </c>
      <c r="F52" s="3" t="inlineStr">
        <is>
          <t>부강면</t>
        </is>
      </c>
      <c r="G52" s="3" t="inlineStr">
        <is>
          <t>부강리</t>
        </is>
      </c>
      <c r="H52" s="3" t="inlineStr">
        <is>
          <t>제2종일반주거지역</t>
        </is>
      </c>
      <c r="I52" s="3" t="inlineStr">
        <is>
          <t>대</t>
        </is>
      </c>
      <c r="J52" s="3" t="inlineStr">
        <is>
          <t>부강면</t>
        </is>
      </c>
    </row>
    <row r="53">
      <c r="A53" s="3" t="n">
        <v>2022</v>
      </c>
      <c r="B53" s="4" t="n">
        <v>118000</v>
      </c>
      <c r="C53" s="4" t="n">
        <v>1564</v>
      </c>
      <c r="D53" s="4" t="n">
        <v>473.11</v>
      </c>
      <c r="E53" s="5" t="n">
        <v>249.4</v>
      </c>
      <c r="F53" s="3" t="inlineStr">
        <is>
          <t>연동면</t>
        </is>
      </c>
      <c r="G53" s="3" t="inlineStr">
        <is>
          <t>명학리</t>
        </is>
      </c>
      <c r="H53" s="3" t="inlineStr">
        <is>
          <t>농림지역</t>
        </is>
      </c>
      <c r="I53" s="3" t="inlineStr">
        <is>
          <t>전</t>
        </is>
      </c>
      <c r="J53" s="3" t="inlineStr">
        <is>
          <t>연동면</t>
        </is>
      </c>
    </row>
    <row r="54">
      <c r="A54" s="3" t="n">
        <v>2022</v>
      </c>
      <c r="B54" s="4" t="n">
        <v>131588</v>
      </c>
      <c r="C54" s="4" t="n">
        <v>1450</v>
      </c>
      <c r="D54" s="4" t="n">
        <v>438.625</v>
      </c>
      <c r="E54" s="5" t="n">
        <v>300</v>
      </c>
      <c r="F54" s="3" t="inlineStr">
        <is>
          <t>부강면</t>
        </is>
      </c>
      <c r="G54" s="3" t="inlineStr">
        <is>
          <t>부강리</t>
        </is>
      </c>
      <c r="H54" s="3" t="inlineStr">
        <is>
          <t>계획관리지역</t>
        </is>
      </c>
      <c r="I54" s="3" t="inlineStr">
        <is>
          <t>잡종지</t>
        </is>
      </c>
      <c r="J54" s="3" t="inlineStr">
        <is>
          <t>부강면</t>
        </is>
      </c>
    </row>
    <row r="55">
      <c r="A55" s="3" t="n">
        <v>2022</v>
      </c>
      <c r="B55" s="4" t="n">
        <v>21326</v>
      </c>
      <c r="C55" s="4" t="n">
        <v>235</v>
      </c>
      <c r="D55" s="4" t="n">
        <v>71.08749999999999</v>
      </c>
      <c r="E55" s="5" t="n">
        <v>300</v>
      </c>
      <c r="F55" s="3" t="inlineStr">
        <is>
          <t>부강면</t>
        </is>
      </c>
      <c r="G55" s="3" t="inlineStr">
        <is>
          <t>부강리</t>
        </is>
      </c>
      <c r="H55" s="3" t="inlineStr">
        <is>
          <t>계획관리지역</t>
        </is>
      </c>
      <c r="I55" s="3" t="inlineStr">
        <is>
          <t>도로</t>
        </is>
      </c>
      <c r="J55" s="3" t="inlineStr">
        <is>
          <t>부강면</t>
        </is>
      </c>
    </row>
    <row r="56">
      <c r="A56" s="3" t="n">
        <v>2022</v>
      </c>
      <c r="B56" s="4" t="n">
        <v>2450</v>
      </c>
      <c r="C56" s="4" t="n">
        <v>27</v>
      </c>
      <c r="D56" s="4" t="n">
        <v>8.1675</v>
      </c>
      <c r="E56" s="5" t="n">
        <v>300</v>
      </c>
      <c r="F56" s="3" t="inlineStr">
        <is>
          <t>부강면</t>
        </is>
      </c>
      <c r="G56" s="3" t="inlineStr">
        <is>
          <t>부강리</t>
        </is>
      </c>
      <c r="H56" s="3" t="inlineStr">
        <is>
          <t>계획관리지역</t>
        </is>
      </c>
      <c r="I56" s="3" t="inlineStr">
        <is>
          <t>공장용지</t>
        </is>
      </c>
      <c r="J56" s="3" t="inlineStr">
        <is>
          <t>부강면</t>
        </is>
      </c>
    </row>
    <row r="57">
      <c r="A57" s="3" t="n">
        <v>2022</v>
      </c>
      <c r="B57" s="4" t="n">
        <v>18500</v>
      </c>
      <c r="C57" s="4" t="n">
        <v>384</v>
      </c>
      <c r="D57" s="4" t="n">
        <v>116.16</v>
      </c>
      <c r="E57" s="5" t="n">
        <v>159.3</v>
      </c>
      <c r="F57" s="3" t="inlineStr">
        <is>
          <t>연서면</t>
        </is>
      </c>
      <c r="G57" s="3" t="inlineStr">
        <is>
          <t>성제리</t>
        </is>
      </c>
      <c r="H57" s="3" t="inlineStr">
        <is>
          <t>계획관리지역</t>
        </is>
      </c>
      <c r="I57" s="3" t="inlineStr">
        <is>
          <t>전</t>
        </is>
      </c>
      <c r="J57" s="3" t="inlineStr">
        <is>
          <t>연서면</t>
        </is>
      </c>
    </row>
    <row r="58">
      <c r="A58" s="3" t="n">
        <v>2022</v>
      </c>
      <c r="B58" s="4" t="n">
        <v>40000</v>
      </c>
      <c r="C58" s="4" t="n">
        <v>603</v>
      </c>
      <c r="D58" s="4" t="n">
        <v>182.4075</v>
      </c>
      <c r="E58" s="5" t="n">
        <v>219.3</v>
      </c>
      <c r="F58" s="3" t="inlineStr">
        <is>
          <t>조치원읍</t>
        </is>
      </c>
      <c r="G58" s="3" t="inlineStr">
        <is>
          <t>신흥리</t>
        </is>
      </c>
      <c r="H58" s="3" t="inlineStr">
        <is>
          <t>제2종일반주거지역</t>
        </is>
      </c>
      <c r="I58" s="3" t="inlineStr">
        <is>
          <t>임야</t>
        </is>
      </c>
      <c r="J58" s="3" t="inlineStr">
        <is>
          <t>조치원읍</t>
        </is>
      </c>
    </row>
    <row r="59">
      <c r="A59" s="3" t="n">
        <v>2022</v>
      </c>
      <c r="B59" s="4" t="n">
        <v>25000</v>
      </c>
      <c r="C59" s="4" t="n">
        <v>852</v>
      </c>
      <c r="D59" s="4" t="n">
        <v>257.73</v>
      </c>
      <c r="E59" s="5" t="n">
        <v>97</v>
      </c>
      <c r="F59" s="3" t="inlineStr">
        <is>
          <t>연서면</t>
        </is>
      </c>
      <c r="G59" s="3" t="inlineStr">
        <is>
          <t>쌍류리</t>
        </is>
      </c>
      <c r="H59" s="3" t="inlineStr">
        <is>
          <t>보전관리지역</t>
        </is>
      </c>
      <c r="I59" s="3" t="inlineStr">
        <is>
          <t>임야</t>
        </is>
      </c>
      <c r="J59" s="3" t="inlineStr">
        <is>
          <t>연서면</t>
        </is>
      </c>
    </row>
    <row r="60">
      <c r="A60" s="3" t="n">
        <v>2022</v>
      </c>
      <c r="B60" s="4" t="n">
        <v>73000</v>
      </c>
      <c r="C60" s="4" t="n">
        <v>518</v>
      </c>
      <c r="D60" s="4" t="n">
        <v>156.695</v>
      </c>
      <c r="E60" s="5" t="n">
        <v>465.9</v>
      </c>
      <c r="F60" s="3" t="inlineStr">
        <is>
          <t>연서면</t>
        </is>
      </c>
      <c r="G60" s="3" t="inlineStr">
        <is>
          <t>봉암리</t>
        </is>
      </c>
      <c r="H60" s="3" t="inlineStr">
        <is>
          <t>계획관리지역</t>
        </is>
      </c>
      <c r="I60" s="3" t="inlineStr">
        <is>
          <t>답</t>
        </is>
      </c>
      <c r="J60" s="3" t="inlineStr">
        <is>
          <t>연서면</t>
        </is>
      </c>
    </row>
    <row r="61">
      <c r="A61" s="3" t="n">
        <v>2022</v>
      </c>
      <c r="B61" s="4" t="n">
        <v>41000</v>
      </c>
      <c r="C61" s="4" t="n">
        <v>592</v>
      </c>
      <c r="D61" s="4" t="n">
        <v>179.08</v>
      </c>
      <c r="E61" s="5" t="n">
        <v>228.9</v>
      </c>
      <c r="F61" s="3" t="inlineStr">
        <is>
          <t>연동면</t>
        </is>
      </c>
      <c r="G61" s="3" t="inlineStr">
        <is>
          <t>내판리</t>
        </is>
      </c>
      <c r="H61" s="3" t="inlineStr">
        <is>
          <t>계획관리지역</t>
        </is>
      </c>
      <c r="I61" s="3" t="inlineStr">
        <is>
          <t>전</t>
        </is>
      </c>
      <c r="J61" s="3" t="inlineStr">
        <is>
          <t>연동면</t>
        </is>
      </c>
    </row>
    <row r="62">
      <c r="A62" s="3" t="n">
        <v>2022</v>
      </c>
      <c r="B62" s="4" t="n">
        <v>84231</v>
      </c>
      <c r="C62" s="4" t="n">
        <v>1894</v>
      </c>
      <c r="D62" s="4" t="n">
        <v>572.9349999999999</v>
      </c>
      <c r="E62" s="5" t="n">
        <v>147</v>
      </c>
      <c r="F62" s="3" t="inlineStr">
        <is>
          <t>부강면</t>
        </is>
      </c>
      <c r="G62" s="3" t="inlineStr">
        <is>
          <t>갈산리</t>
        </is>
      </c>
      <c r="H62" s="3" t="inlineStr">
        <is>
          <t>계획관리지역</t>
        </is>
      </c>
      <c r="I62" s="3" t="inlineStr">
        <is>
          <t>전</t>
        </is>
      </c>
      <c r="J62" s="3" t="inlineStr">
        <is>
          <t>부강면</t>
        </is>
      </c>
    </row>
    <row r="63">
      <c r="A63" s="3" t="n">
        <v>2022</v>
      </c>
      <c r="B63" s="4" t="n">
        <v>4922</v>
      </c>
      <c r="C63" s="4" t="n">
        <v>169</v>
      </c>
      <c r="D63" s="4" t="n">
        <v>51.1225</v>
      </c>
      <c r="E63" s="5" t="n">
        <v>96.3</v>
      </c>
      <c r="F63" s="3" t="inlineStr">
        <is>
          <t>부강면</t>
        </is>
      </c>
      <c r="G63" s="3" t="inlineStr">
        <is>
          <t>갈산리</t>
        </is>
      </c>
      <c r="H63" s="3" t="inlineStr">
        <is>
          <t>계획관리지역</t>
        </is>
      </c>
      <c r="I63" s="3" t="inlineStr">
        <is>
          <t>임야</t>
        </is>
      </c>
      <c r="J63" s="3" t="inlineStr">
        <is>
          <t>부강면</t>
        </is>
      </c>
    </row>
    <row r="64">
      <c r="A64" s="3" t="n">
        <v>2022</v>
      </c>
      <c r="B64" s="4" t="n">
        <v>32825</v>
      </c>
      <c r="C64" s="4" t="n">
        <v>1127</v>
      </c>
      <c r="D64" s="4" t="n">
        <v>340.9175</v>
      </c>
      <c r="E64" s="5" t="n">
        <v>96.3</v>
      </c>
      <c r="F64" s="3" t="inlineStr">
        <is>
          <t>부강면</t>
        </is>
      </c>
      <c r="G64" s="3" t="inlineStr">
        <is>
          <t>갈산리</t>
        </is>
      </c>
      <c r="H64" s="3" t="inlineStr">
        <is>
          <t>계획관리지역</t>
        </is>
      </c>
      <c r="I64" s="3" t="inlineStr">
        <is>
          <t>임야</t>
        </is>
      </c>
      <c r="J64" s="3" t="inlineStr">
        <is>
          <t>부강면</t>
        </is>
      </c>
    </row>
    <row r="65">
      <c r="A65" s="3" t="n">
        <v>2026</v>
      </c>
      <c r="B65" s="4" t="n">
        <v>51500</v>
      </c>
      <c r="C65" s="4" t="n">
        <v>354</v>
      </c>
      <c r="D65" s="4" t="n">
        <v>107.085</v>
      </c>
      <c r="E65" s="5" t="n">
        <v>480.9</v>
      </c>
      <c r="F65" s="3" t="inlineStr">
        <is>
          <t>한솔동</t>
        </is>
      </c>
      <c r="G65" s="3" t="inlineStr"/>
      <c r="H65" s="3" t="inlineStr">
        <is>
          <t>제1종전용주거지역</t>
        </is>
      </c>
      <c r="I65" s="3" t="inlineStr">
        <is>
          <t>대</t>
        </is>
      </c>
      <c r="J65" s="3" t="inlineStr">
        <is>
          <t>한솔동</t>
        </is>
      </c>
    </row>
    <row r="66">
      <c r="A66" s="3" t="n">
        <v>2022</v>
      </c>
      <c r="B66" s="4" t="n">
        <v>13572</v>
      </c>
      <c r="C66" s="4" t="n">
        <v>466</v>
      </c>
      <c r="D66" s="4" t="n">
        <v>140.965</v>
      </c>
      <c r="E66" s="5" t="n">
        <v>96.3</v>
      </c>
      <c r="F66" s="3" t="inlineStr">
        <is>
          <t>부강면</t>
        </is>
      </c>
      <c r="G66" s="3" t="inlineStr">
        <is>
          <t>갈산리</t>
        </is>
      </c>
      <c r="H66" s="3" t="inlineStr">
        <is>
          <t>계획관리지역</t>
        </is>
      </c>
      <c r="I66" s="3" t="inlineStr">
        <is>
          <t>답</t>
        </is>
      </c>
      <c r="J66" s="3" t="inlineStr">
        <is>
          <t>부강면</t>
        </is>
      </c>
    </row>
    <row r="67">
      <c r="A67" s="3" t="n">
        <v>2022</v>
      </c>
      <c r="B67" s="4" t="n">
        <v>62097</v>
      </c>
      <c r="C67" s="4" t="n">
        <v>1283</v>
      </c>
      <c r="D67" s="4" t="n">
        <v>388.1075</v>
      </c>
      <c r="E67" s="5" t="n">
        <v>160</v>
      </c>
      <c r="F67" s="3" t="inlineStr">
        <is>
          <t>부강면</t>
        </is>
      </c>
      <c r="G67" s="3" t="inlineStr">
        <is>
          <t>갈산리</t>
        </is>
      </c>
      <c r="H67" s="3" t="inlineStr">
        <is>
          <t>계획관리지역</t>
        </is>
      </c>
      <c r="I67" s="3" t="inlineStr">
        <is>
          <t>공장용지</t>
        </is>
      </c>
      <c r="J67" s="3" t="inlineStr">
        <is>
          <t>부강면</t>
        </is>
      </c>
    </row>
    <row r="68">
      <c r="A68" s="3" t="n">
        <v>2022</v>
      </c>
      <c r="B68" s="4" t="n">
        <v>38236</v>
      </c>
      <c r="C68" s="4" t="n">
        <v>790</v>
      </c>
      <c r="D68" s="4" t="n">
        <v>238.975</v>
      </c>
      <c r="E68" s="5" t="n">
        <v>160</v>
      </c>
      <c r="F68" s="3" t="inlineStr">
        <is>
          <t>부강면</t>
        </is>
      </c>
      <c r="G68" s="3" t="inlineStr">
        <is>
          <t>갈산리</t>
        </is>
      </c>
      <c r="H68" s="3" t="inlineStr">
        <is>
          <t>계획관리지역</t>
        </is>
      </c>
      <c r="I68" s="3" t="inlineStr">
        <is>
          <t>공장용지</t>
        </is>
      </c>
      <c r="J68" s="3" t="inlineStr">
        <is>
          <t>부강면</t>
        </is>
      </c>
    </row>
    <row r="69">
      <c r="A69" s="3" t="n">
        <v>2022</v>
      </c>
      <c r="B69" s="4" t="n">
        <v>371564</v>
      </c>
      <c r="C69" s="4" t="n">
        <v>7677</v>
      </c>
      <c r="D69" s="4" t="n">
        <v>2322.2925</v>
      </c>
      <c r="E69" s="5" t="n">
        <v>160</v>
      </c>
      <c r="F69" s="3" t="inlineStr">
        <is>
          <t>부강면</t>
        </is>
      </c>
      <c r="G69" s="3" t="inlineStr">
        <is>
          <t>갈산리</t>
        </is>
      </c>
      <c r="H69" s="3" t="inlineStr">
        <is>
          <t>계획관리지역</t>
        </is>
      </c>
      <c r="I69" s="3" t="inlineStr">
        <is>
          <t>공장용지</t>
        </is>
      </c>
      <c r="J69" s="3" t="inlineStr">
        <is>
          <t>부강면</t>
        </is>
      </c>
    </row>
    <row r="70">
      <c r="A70" s="3" t="n">
        <v>2022</v>
      </c>
      <c r="B70" s="4" t="n">
        <v>22554</v>
      </c>
      <c r="C70" s="4" t="n">
        <v>466</v>
      </c>
      <c r="D70" s="4" t="n">
        <v>140.965</v>
      </c>
      <c r="E70" s="5" t="n">
        <v>160</v>
      </c>
      <c r="F70" s="3" t="inlineStr">
        <is>
          <t>부강면</t>
        </is>
      </c>
      <c r="G70" s="3" t="inlineStr">
        <is>
          <t>갈산리</t>
        </is>
      </c>
      <c r="H70" s="3" t="inlineStr">
        <is>
          <t>계획관리지역</t>
        </is>
      </c>
      <c r="I70" s="3" t="inlineStr">
        <is>
          <t>공장용지</t>
        </is>
      </c>
      <c r="J70" s="3" t="inlineStr">
        <is>
          <t>부강면</t>
        </is>
      </c>
    </row>
    <row r="71">
      <c r="A71" s="3" t="n">
        <v>2022</v>
      </c>
      <c r="B71" s="4" t="n">
        <v>9000</v>
      </c>
      <c r="C71" s="4" t="n">
        <v>327</v>
      </c>
      <c r="D71" s="4" t="n">
        <v>98.9175</v>
      </c>
      <c r="E71" s="5" t="n">
        <v>91</v>
      </c>
      <c r="F71" s="3" t="inlineStr">
        <is>
          <t>연동면</t>
        </is>
      </c>
      <c r="G71" s="3" t="inlineStr">
        <is>
          <t>내판리</t>
        </is>
      </c>
      <c r="H71" s="3" t="inlineStr">
        <is>
          <t>보전관리지역</t>
        </is>
      </c>
      <c r="I71" s="3" t="inlineStr">
        <is>
          <t>전</t>
        </is>
      </c>
      <c r="J71" s="3" t="inlineStr">
        <is>
          <t>연동면</t>
        </is>
      </c>
    </row>
    <row r="72">
      <c r="A72" s="3" t="n">
        <v>2022</v>
      </c>
      <c r="B72" s="4" t="n">
        <v>118000</v>
      </c>
      <c r="C72" s="4" t="n">
        <v>1564</v>
      </c>
      <c r="D72" s="4" t="n">
        <v>473.11</v>
      </c>
      <c r="E72" s="5" t="n">
        <v>249.4</v>
      </c>
      <c r="F72" s="3" t="inlineStr">
        <is>
          <t>연동면</t>
        </is>
      </c>
      <c r="G72" s="3" t="inlineStr">
        <is>
          <t>명학리</t>
        </is>
      </c>
      <c r="H72" s="3" t="inlineStr">
        <is>
          <t>농림지역</t>
        </is>
      </c>
      <c r="I72" s="3" t="inlineStr">
        <is>
          <t>전</t>
        </is>
      </c>
      <c r="J72" s="3" t="inlineStr">
        <is>
          <t>연동면</t>
        </is>
      </c>
    </row>
    <row r="73">
      <c r="A73" s="3" t="n">
        <v>2022</v>
      </c>
      <c r="B73" s="4" t="n">
        <v>49000</v>
      </c>
      <c r="C73" s="4" t="n">
        <v>1501</v>
      </c>
      <c r="D73" s="4" t="n">
        <v>454.0525</v>
      </c>
      <c r="E73" s="5" t="n">
        <v>107.9</v>
      </c>
      <c r="F73" s="3" t="inlineStr">
        <is>
          <t>연동면</t>
        </is>
      </c>
      <c r="G73" s="3" t="inlineStr">
        <is>
          <t>송용리</t>
        </is>
      </c>
      <c r="H73" s="3" t="inlineStr">
        <is>
          <t>보전관리지역</t>
        </is>
      </c>
      <c r="I73" s="3" t="inlineStr">
        <is>
          <t>대</t>
        </is>
      </c>
      <c r="J73" s="3" t="inlineStr">
        <is>
          <t>연동면</t>
        </is>
      </c>
    </row>
    <row r="74">
      <c r="A74" s="3" t="n">
        <v>2022</v>
      </c>
      <c r="B74" s="4" t="n">
        <v>29500</v>
      </c>
      <c r="C74" s="4" t="n">
        <v>842.5</v>
      </c>
      <c r="D74" s="4" t="n">
        <v>254.85625</v>
      </c>
      <c r="E74" s="5" t="n">
        <v>115.8</v>
      </c>
      <c r="F74" s="3" t="inlineStr">
        <is>
          <t>연서면</t>
        </is>
      </c>
      <c r="G74" s="3" t="inlineStr">
        <is>
          <t>봉암리</t>
        </is>
      </c>
      <c r="H74" s="3" t="inlineStr">
        <is>
          <t>농림지역</t>
        </is>
      </c>
      <c r="I74" s="3" t="inlineStr">
        <is>
          <t>전</t>
        </is>
      </c>
      <c r="J74" s="3" t="inlineStr">
        <is>
          <t>연서면</t>
        </is>
      </c>
    </row>
    <row r="75">
      <c r="A75" s="3" t="n">
        <v>2022</v>
      </c>
      <c r="B75" s="4" t="n">
        <v>19000</v>
      </c>
      <c r="C75" s="4" t="n">
        <v>1792</v>
      </c>
      <c r="D75" s="4" t="n">
        <v>542.0799999999999</v>
      </c>
      <c r="E75" s="5" t="n">
        <v>35.1</v>
      </c>
      <c r="F75" s="3" t="inlineStr">
        <is>
          <t>연동면</t>
        </is>
      </c>
      <c r="G75" s="3" t="inlineStr">
        <is>
          <t>송용리</t>
        </is>
      </c>
      <c r="H75" s="3" t="inlineStr">
        <is>
          <t>농림지역</t>
        </is>
      </c>
      <c r="I75" s="3" t="inlineStr">
        <is>
          <t>답</t>
        </is>
      </c>
      <c r="J75" s="3" t="inlineStr">
        <is>
          <t>연동면</t>
        </is>
      </c>
    </row>
    <row r="76">
      <c r="A76" s="3" t="n">
        <v>2022</v>
      </c>
      <c r="B76" s="4" t="n">
        <v>12500</v>
      </c>
      <c r="C76" s="4" t="n">
        <v>330</v>
      </c>
      <c r="D76" s="4" t="n">
        <v>99.825</v>
      </c>
      <c r="E76" s="5" t="n">
        <v>125.2</v>
      </c>
      <c r="F76" s="3" t="inlineStr">
        <is>
          <t>연서면</t>
        </is>
      </c>
      <c r="G76" s="3" t="inlineStr">
        <is>
          <t>쌍류리</t>
        </is>
      </c>
      <c r="H76" s="3" t="inlineStr">
        <is>
          <t>생산관리지역</t>
        </is>
      </c>
      <c r="I76" s="3" t="inlineStr">
        <is>
          <t>과수원</t>
        </is>
      </c>
      <c r="J76" s="3" t="inlineStr">
        <is>
          <t>연서면</t>
        </is>
      </c>
    </row>
    <row r="77">
      <c r="A77" s="3" t="n">
        <v>2022</v>
      </c>
      <c r="B77" s="4" t="n">
        <v>32000</v>
      </c>
      <c r="C77" s="4" t="n">
        <v>2015.5</v>
      </c>
      <c r="D77" s="4" t="n">
        <v>609.68875</v>
      </c>
      <c r="E77" s="5" t="n">
        <v>52.5</v>
      </c>
      <c r="F77" s="3" t="inlineStr">
        <is>
          <t>연서면</t>
        </is>
      </c>
      <c r="G77" s="3" t="inlineStr">
        <is>
          <t>월하리</t>
        </is>
      </c>
      <c r="H77" s="3" t="inlineStr">
        <is>
          <t>농림지역</t>
        </is>
      </c>
      <c r="I77" s="3" t="inlineStr">
        <is>
          <t>답</t>
        </is>
      </c>
      <c r="J77" s="3" t="inlineStr">
        <is>
          <t>연서면</t>
        </is>
      </c>
    </row>
    <row r="78">
      <c r="A78" s="3" t="n">
        <v>2025</v>
      </c>
      <c r="B78" s="4" t="n">
        <v>65500</v>
      </c>
      <c r="C78" s="4" t="n">
        <v>333.7</v>
      </c>
      <c r="D78" s="4" t="n">
        <v>100.94425</v>
      </c>
      <c r="E78" s="5" t="n">
        <v>648.9</v>
      </c>
      <c r="F78" s="3" t="inlineStr">
        <is>
          <t>도담동</t>
        </is>
      </c>
      <c r="G78" s="3" t="inlineStr"/>
      <c r="H78" s="3" t="inlineStr">
        <is>
          <t>제1종전용주거지역</t>
        </is>
      </c>
      <c r="I78" s="3" t="inlineStr">
        <is>
          <t>대</t>
        </is>
      </c>
      <c r="J78" s="3" t="inlineStr">
        <is>
          <t>도담동</t>
        </is>
      </c>
    </row>
    <row r="79">
      <c r="A79" s="3" t="n">
        <v>2025</v>
      </c>
      <c r="B79" s="4" t="n">
        <v>46000</v>
      </c>
      <c r="C79" s="4" t="n">
        <v>340.7</v>
      </c>
      <c r="D79" s="4" t="n">
        <v>103.06175</v>
      </c>
      <c r="E79" s="5" t="n">
        <v>446.3</v>
      </c>
      <c r="F79" s="3" t="inlineStr">
        <is>
          <t>고운동</t>
        </is>
      </c>
      <c r="G79" s="3" t="inlineStr"/>
      <c r="H79" s="3" t="inlineStr">
        <is>
          <t>제1종전용주거지역</t>
        </is>
      </c>
      <c r="I79" s="3" t="inlineStr">
        <is>
          <t>대</t>
        </is>
      </c>
      <c r="J79" s="3" t="inlineStr">
        <is>
          <t>고운동</t>
        </is>
      </c>
    </row>
    <row r="80">
      <c r="A80" s="3" t="n">
        <v>2025</v>
      </c>
      <c r="B80" s="4" t="n">
        <v>64721</v>
      </c>
      <c r="C80" s="4" t="n">
        <v>43057</v>
      </c>
      <c r="D80" s="4" t="n">
        <v>13024.7425</v>
      </c>
      <c r="E80" s="5" t="n">
        <v>5</v>
      </c>
      <c r="F80" s="3" t="inlineStr">
        <is>
          <t>연서면</t>
        </is>
      </c>
      <c r="G80" s="3" t="inlineStr">
        <is>
          <t>쌍류리</t>
        </is>
      </c>
      <c r="H80" s="3" t="inlineStr">
        <is>
          <t>보전관리지역</t>
        </is>
      </c>
      <c r="I80" s="3" t="inlineStr">
        <is>
          <t>임야</t>
        </is>
      </c>
      <c r="J80" s="3" t="inlineStr">
        <is>
          <t>연서면</t>
        </is>
      </c>
    </row>
    <row r="81">
      <c r="A81" s="3" t="n">
        <v>2025</v>
      </c>
      <c r="B81" s="4" t="n">
        <v>14257</v>
      </c>
      <c r="C81" s="4" t="n">
        <v>1872</v>
      </c>
      <c r="D81" s="4" t="n">
        <v>566.28</v>
      </c>
      <c r="E81" s="5" t="n">
        <v>25.2</v>
      </c>
      <c r="F81" s="3" t="inlineStr">
        <is>
          <t>연서면</t>
        </is>
      </c>
      <c r="G81" s="3" t="inlineStr">
        <is>
          <t>쌍류리</t>
        </is>
      </c>
      <c r="H81" s="3" t="inlineStr">
        <is>
          <t>보전관리지역</t>
        </is>
      </c>
      <c r="I81" s="3" t="inlineStr">
        <is>
          <t>전</t>
        </is>
      </c>
      <c r="J81" s="3" t="inlineStr">
        <is>
          <t>연서면</t>
        </is>
      </c>
    </row>
    <row r="82">
      <c r="A82" s="3" t="n">
        <v>2025</v>
      </c>
      <c r="B82" s="4" t="n">
        <v>42628</v>
      </c>
      <c r="C82" s="4" t="n">
        <v>28360</v>
      </c>
      <c r="D82" s="4" t="n">
        <v>8578.9</v>
      </c>
      <c r="E82" s="5" t="n">
        <v>5</v>
      </c>
      <c r="F82" s="3" t="inlineStr">
        <is>
          <t>연서면</t>
        </is>
      </c>
      <c r="G82" s="3" t="inlineStr">
        <is>
          <t>쌍류리</t>
        </is>
      </c>
      <c r="H82" s="3" t="inlineStr">
        <is>
          <t>계획관리지역</t>
        </is>
      </c>
      <c r="I82" s="3" t="inlineStr">
        <is>
          <t>임야</t>
        </is>
      </c>
      <c r="J82" s="3" t="inlineStr">
        <is>
          <t>연서면</t>
        </is>
      </c>
    </row>
    <row r="83">
      <c r="A83" s="3" t="n">
        <v>2025</v>
      </c>
      <c r="B83" s="4" t="n">
        <v>5743</v>
      </c>
      <c r="C83" s="4" t="n">
        <v>756</v>
      </c>
      <c r="D83" s="4" t="n">
        <v>228.69</v>
      </c>
      <c r="E83" s="5" t="n">
        <v>25.1</v>
      </c>
      <c r="F83" s="3" t="inlineStr">
        <is>
          <t>연서면</t>
        </is>
      </c>
      <c r="G83" s="3" t="inlineStr">
        <is>
          <t>쌍류리</t>
        </is>
      </c>
      <c r="H83" s="3" t="inlineStr">
        <is>
          <t>보전관리지역</t>
        </is>
      </c>
      <c r="I83" s="3" t="inlineStr">
        <is>
          <t>전</t>
        </is>
      </c>
      <c r="J83" s="3" t="inlineStr">
        <is>
          <t>연서면</t>
        </is>
      </c>
    </row>
    <row r="84">
      <c r="A84" s="3" t="n">
        <v>2025</v>
      </c>
      <c r="B84" s="4" t="n">
        <v>830</v>
      </c>
      <c r="C84" s="4" t="n">
        <v>275</v>
      </c>
      <c r="D84" s="4" t="n">
        <v>83.1875</v>
      </c>
      <c r="E84" s="5" t="n">
        <v>10</v>
      </c>
      <c r="F84" s="3" t="inlineStr">
        <is>
          <t>부강면</t>
        </is>
      </c>
      <c r="G84" s="3" t="inlineStr">
        <is>
          <t>노호리</t>
        </is>
      </c>
      <c r="H84" s="3" t="inlineStr">
        <is>
          <t>보전관리지역</t>
        </is>
      </c>
      <c r="I84" s="3" t="inlineStr">
        <is>
          <t>임야</t>
        </is>
      </c>
      <c r="J84" s="3" t="inlineStr">
        <is>
          <t>부강면</t>
        </is>
      </c>
    </row>
    <row r="85">
      <c r="A85" s="3" t="n">
        <v>2022</v>
      </c>
      <c r="B85" s="4" t="n">
        <v>88500</v>
      </c>
      <c r="C85" s="4" t="n">
        <v>854</v>
      </c>
      <c r="D85" s="4" t="n">
        <v>258.335</v>
      </c>
      <c r="E85" s="5" t="n">
        <v>342.6</v>
      </c>
      <c r="F85" s="3" t="inlineStr">
        <is>
          <t>부강면</t>
        </is>
      </c>
      <c r="G85" s="3" t="inlineStr">
        <is>
          <t>부강리</t>
        </is>
      </c>
      <c r="H85" s="3" t="inlineStr">
        <is>
          <t>계획관리지역</t>
        </is>
      </c>
      <c r="I85" s="3" t="inlineStr">
        <is>
          <t>공장용지</t>
        </is>
      </c>
      <c r="J85" s="3" t="inlineStr">
        <is>
          <t>부강면</t>
        </is>
      </c>
    </row>
    <row r="86">
      <c r="A86" s="3" t="n">
        <v>2022</v>
      </c>
      <c r="B86" s="4" t="n">
        <v>88500</v>
      </c>
      <c r="C86" s="4" t="n">
        <v>854</v>
      </c>
      <c r="D86" s="4" t="n">
        <v>258.335</v>
      </c>
      <c r="E86" s="5" t="n">
        <v>342.6</v>
      </c>
      <c r="F86" s="3" t="inlineStr">
        <is>
          <t>부강면</t>
        </is>
      </c>
      <c r="G86" s="3" t="inlineStr">
        <is>
          <t>부강리</t>
        </is>
      </c>
      <c r="H86" s="3" t="inlineStr">
        <is>
          <t>계획관리지역</t>
        </is>
      </c>
      <c r="I86" s="3" t="inlineStr">
        <is>
          <t>공장용지</t>
        </is>
      </c>
      <c r="J86" s="3" t="inlineStr">
        <is>
          <t>부강면</t>
        </is>
      </c>
    </row>
    <row r="87">
      <c r="A87" s="3" t="n">
        <v>2022</v>
      </c>
      <c r="B87" s="4" t="n">
        <v>239564</v>
      </c>
      <c r="C87" s="4" t="n">
        <v>19800</v>
      </c>
      <c r="D87" s="4" t="n">
        <v>5989.5</v>
      </c>
      <c r="E87" s="5" t="n">
        <v>40</v>
      </c>
      <c r="F87" s="3" t="inlineStr">
        <is>
          <t>부강면</t>
        </is>
      </c>
      <c r="G87" s="3" t="inlineStr">
        <is>
          <t>갈산리</t>
        </is>
      </c>
      <c r="H87" s="3" t="inlineStr">
        <is>
          <t>계획관리지역</t>
        </is>
      </c>
      <c r="I87" s="3" t="inlineStr">
        <is>
          <t>임야</t>
        </is>
      </c>
      <c r="J87" s="3" t="inlineStr">
        <is>
          <t>부강면</t>
        </is>
      </c>
    </row>
    <row r="88">
      <c r="A88" s="3" t="n">
        <v>2022</v>
      </c>
      <c r="B88" s="4" t="n">
        <v>168156</v>
      </c>
      <c r="C88" s="4" t="n">
        <v>13898</v>
      </c>
      <c r="D88" s="4" t="n">
        <v>4204.145</v>
      </c>
      <c r="E88" s="5" t="n">
        <v>40</v>
      </c>
      <c r="F88" s="3" t="inlineStr">
        <is>
          <t>부강면</t>
        </is>
      </c>
      <c r="G88" s="3" t="inlineStr">
        <is>
          <t>갈산리</t>
        </is>
      </c>
      <c r="H88" s="3" t="inlineStr">
        <is>
          <t>계획관리지역</t>
        </is>
      </c>
      <c r="I88" s="3" t="inlineStr">
        <is>
          <t>임야</t>
        </is>
      </c>
      <c r="J88" s="3" t="inlineStr">
        <is>
          <t>부강면</t>
        </is>
      </c>
    </row>
    <row r="89">
      <c r="A89" s="3" t="n">
        <v>2024</v>
      </c>
      <c r="B89" s="4" t="n">
        <v>41600</v>
      </c>
      <c r="C89" s="4" t="n">
        <v>690</v>
      </c>
      <c r="D89" s="4" t="n">
        <v>208.725</v>
      </c>
      <c r="E89" s="5" t="n">
        <v>199.3</v>
      </c>
      <c r="F89" s="3" t="inlineStr">
        <is>
          <t>연서면</t>
        </is>
      </c>
      <c r="G89" s="3" t="inlineStr">
        <is>
          <t>고복리</t>
        </is>
      </c>
      <c r="H89" s="3" t="inlineStr">
        <is>
          <t>보전관리지역</t>
        </is>
      </c>
      <c r="I89" s="3" t="inlineStr">
        <is>
          <t>답</t>
        </is>
      </c>
      <c r="J89" s="3" t="inlineStr">
        <is>
          <t>연서면</t>
        </is>
      </c>
    </row>
    <row r="90">
      <c r="A90" s="3" t="n">
        <v>2024</v>
      </c>
      <c r="B90" s="4" t="n">
        <v>12100</v>
      </c>
      <c r="C90" s="4" t="n">
        <v>200</v>
      </c>
      <c r="D90" s="4" t="n">
        <v>60.5</v>
      </c>
      <c r="E90" s="5" t="n">
        <v>200</v>
      </c>
      <c r="F90" s="3" t="inlineStr">
        <is>
          <t>연서면</t>
        </is>
      </c>
      <c r="G90" s="3" t="inlineStr">
        <is>
          <t>고복리</t>
        </is>
      </c>
      <c r="H90" s="3" t="inlineStr">
        <is>
          <t>보전관리지역</t>
        </is>
      </c>
      <c r="I90" s="3" t="inlineStr">
        <is>
          <t>전</t>
        </is>
      </c>
      <c r="J90" s="3" t="inlineStr">
        <is>
          <t>연서면</t>
        </is>
      </c>
    </row>
    <row r="91">
      <c r="A91" s="3" t="n">
        <v>2024</v>
      </c>
      <c r="B91" s="4" t="n">
        <v>57000</v>
      </c>
      <c r="C91" s="4" t="n">
        <v>395.8</v>
      </c>
      <c r="D91" s="4" t="n">
        <v>119.7295</v>
      </c>
      <c r="E91" s="5" t="n">
        <v>476.1</v>
      </c>
      <c r="F91" s="3" t="inlineStr">
        <is>
          <t>한솔동</t>
        </is>
      </c>
      <c r="G91" s="3" t="inlineStr"/>
      <c r="H91" s="3" t="inlineStr">
        <is>
          <t>제1종전용주거지역</t>
        </is>
      </c>
      <c r="I91" s="3" t="inlineStr">
        <is>
          <t>대</t>
        </is>
      </c>
      <c r="J91" s="3" t="inlineStr">
        <is>
          <t>한솔동</t>
        </is>
      </c>
    </row>
    <row r="92">
      <c r="A92" s="3" t="n">
        <v>2024</v>
      </c>
      <c r="B92" s="4" t="n">
        <v>13500</v>
      </c>
      <c r="C92" s="4" t="n">
        <v>145</v>
      </c>
      <c r="D92" s="4" t="n">
        <v>43.8625</v>
      </c>
      <c r="E92" s="5" t="n">
        <v>307.8</v>
      </c>
      <c r="F92" s="3" t="inlineStr">
        <is>
          <t>조치원읍</t>
        </is>
      </c>
      <c r="G92" s="3" t="inlineStr">
        <is>
          <t>번암리</t>
        </is>
      </c>
      <c r="H92" s="3" t="inlineStr">
        <is>
          <t>제2종일반주거지역</t>
        </is>
      </c>
      <c r="I92" s="3" t="inlineStr">
        <is>
          <t>대</t>
        </is>
      </c>
      <c r="J92" s="3" t="inlineStr">
        <is>
          <t>조치원읍</t>
        </is>
      </c>
    </row>
    <row r="93">
      <c r="A93" s="3" t="n">
        <v>2024</v>
      </c>
      <c r="B93" s="4" t="n">
        <v>50000</v>
      </c>
      <c r="C93" s="4" t="n">
        <v>348</v>
      </c>
      <c r="D93" s="4" t="n">
        <v>105.27</v>
      </c>
      <c r="E93" s="5" t="n">
        <v>475</v>
      </c>
      <c r="F93" s="3" t="inlineStr">
        <is>
          <t>아름동</t>
        </is>
      </c>
      <c r="G93" s="3" t="inlineStr"/>
      <c r="H93" s="3" t="inlineStr">
        <is>
          <t>제1종전용주거지역</t>
        </is>
      </c>
      <c r="I93" s="3" t="inlineStr">
        <is>
          <t>대</t>
        </is>
      </c>
      <c r="J93" s="3" t="inlineStr">
        <is>
          <t>아름동</t>
        </is>
      </c>
    </row>
    <row r="94">
      <c r="A94" s="3" t="n">
        <v>2024</v>
      </c>
      <c r="B94" s="4" t="n">
        <v>10000</v>
      </c>
      <c r="C94" s="4" t="n">
        <v>1815</v>
      </c>
      <c r="D94" s="4" t="n">
        <v>549.0375</v>
      </c>
      <c r="E94" s="5" t="n">
        <v>18.2</v>
      </c>
      <c r="F94" s="3" t="inlineStr">
        <is>
          <t>연서면</t>
        </is>
      </c>
      <c r="G94" s="3" t="inlineStr">
        <is>
          <t>기룡리</t>
        </is>
      </c>
      <c r="H94" s="3" t="inlineStr">
        <is>
          <t>생산관리지역</t>
        </is>
      </c>
      <c r="I94" s="3" t="inlineStr">
        <is>
          <t>답</t>
        </is>
      </c>
      <c r="J94" s="3" t="inlineStr">
        <is>
          <t>연서면</t>
        </is>
      </c>
    </row>
    <row r="95">
      <c r="A95" s="3" t="n">
        <v>2023</v>
      </c>
      <c r="B95" s="4" t="n">
        <v>30160</v>
      </c>
      <c r="C95" s="4" t="n">
        <v>767</v>
      </c>
      <c r="D95" s="4" t="n">
        <v>232.0175</v>
      </c>
      <c r="E95" s="5" t="n">
        <v>130</v>
      </c>
      <c r="F95" s="3" t="inlineStr">
        <is>
          <t>연동면</t>
        </is>
      </c>
      <c r="G95" s="3" t="inlineStr">
        <is>
          <t>노송리</t>
        </is>
      </c>
      <c r="H95" s="3" t="inlineStr">
        <is>
          <t>계획관리지역</t>
        </is>
      </c>
      <c r="I95" s="3" t="inlineStr">
        <is>
          <t>전</t>
        </is>
      </c>
      <c r="J95" s="3" t="inlineStr">
        <is>
          <t>연동면</t>
        </is>
      </c>
    </row>
    <row r="96">
      <c r="A96" s="3" t="n">
        <v>2023</v>
      </c>
      <c r="B96" s="4" t="n">
        <v>17200</v>
      </c>
      <c r="C96" s="4" t="n">
        <v>264</v>
      </c>
      <c r="D96" s="4" t="n">
        <v>79.86</v>
      </c>
      <c r="E96" s="5" t="n">
        <v>215.4</v>
      </c>
      <c r="F96" s="3" t="inlineStr">
        <is>
          <t>부강면</t>
        </is>
      </c>
      <c r="G96" s="3" t="inlineStr">
        <is>
          <t>부강리</t>
        </is>
      </c>
      <c r="H96" s="3" t="inlineStr">
        <is>
          <t>제2종일반주거지역</t>
        </is>
      </c>
      <c r="I96" s="3" t="inlineStr">
        <is>
          <t>답</t>
        </is>
      </c>
      <c r="J96" s="3" t="inlineStr">
        <is>
          <t>부강면</t>
        </is>
      </c>
    </row>
    <row r="97">
      <c r="A97" s="3" t="n">
        <v>2023</v>
      </c>
      <c r="B97" s="4" t="n">
        <v>300</v>
      </c>
      <c r="C97" s="4" t="n">
        <v>10</v>
      </c>
      <c r="D97" s="4" t="n">
        <v>3.025</v>
      </c>
      <c r="E97" s="5" t="n">
        <v>99.2</v>
      </c>
      <c r="F97" s="3" t="inlineStr">
        <is>
          <t>부강면</t>
        </is>
      </c>
      <c r="G97" s="3" t="inlineStr">
        <is>
          <t>부강리</t>
        </is>
      </c>
      <c r="H97" s="3" t="inlineStr">
        <is>
          <t>제2종일반주거지역</t>
        </is>
      </c>
      <c r="I97" s="3" t="inlineStr">
        <is>
          <t>도로</t>
        </is>
      </c>
      <c r="J97" s="3" t="inlineStr">
        <is>
          <t>부강면</t>
        </is>
      </c>
    </row>
    <row r="98">
      <c r="A98" s="3" t="n">
        <v>2023</v>
      </c>
      <c r="B98" s="4" t="n">
        <v>95000</v>
      </c>
      <c r="C98" s="4" t="n">
        <v>438.2</v>
      </c>
      <c r="D98" s="4" t="n">
        <v>132.5555</v>
      </c>
      <c r="E98" s="5" t="n">
        <v>716.7</v>
      </c>
      <c r="F98" s="3" t="inlineStr">
        <is>
          <t>반곡동</t>
        </is>
      </c>
      <c r="G98" s="3" t="inlineStr"/>
      <c r="H98" s="3" t="inlineStr">
        <is>
          <t>용도미지정</t>
        </is>
      </c>
      <c r="I98" s="3" t="inlineStr">
        <is>
          <t>대</t>
        </is>
      </c>
      <c r="J98" s="3" t="inlineStr">
        <is>
          <t>반곡동</t>
        </is>
      </c>
    </row>
    <row r="99">
      <c r="A99" s="3" t="n">
        <v>2023</v>
      </c>
      <c r="B99" s="4" t="n">
        <v>19600</v>
      </c>
      <c r="C99" s="4" t="n">
        <v>2637</v>
      </c>
      <c r="D99" s="4" t="n">
        <v>797.6925</v>
      </c>
      <c r="E99" s="5" t="n">
        <v>24.6</v>
      </c>
      <c r="F99" s="3" t="inlineStr">
        <is>
          <t>연서면</t>
        </is>
      </c>
      <c r="G99" s="3" t="inlineStr">
        <is>
          <t>월하리</t>
        </is>
      </c>
      <c r="H99" s="3" t="inlineStr">
        <is>
          <t>자연녹지지역</t>
        </is>
      </c>
      <c r="I99" s="3" t="inlineStr">
        <is>
          <t>임야</t>
        </is>
      </c>
      <c r="J99" s="3" t="inlineStr">
        <is>
          <t>연서면</t>
        </is>
      </c>
    </row>
    <row r="100">
      <c r="A100" s="3" t="n">
        <v>2023</v>
      </c>
      <c r="B100" s="4" t="n">
        <v>7700</v>
      </c>
      <c r="C100" s="4" t="n">
        <v>522</v>
      </c>
      <c r="D100" s="4" t="n">
        <v>157.905</v>
      </c>
      <c r="E100" s="5" t="n">
        <v>48.8</v>
      </c>
      <c r="F100" s="3" t="inlineStr">
        <is>
          <t>부강면</t>
        </is>
      </c>
      <c r="G100" s="3" t="inlineStr">
        <is>
          <t>산수리</t>
        </is>
      </c>
      <c r="H100" s="3" t="inlineStr">
        <is>
          <t>계획관리지역</t>
        </is>
      </c>
      <c r="I100" s="3" t="inlineStr">
        <is>
          <t>전</t>
        </is>
      </c>
      <c r="J100" s="3" t="inlineStr">
        <is>
          <t>부강면</t>
        </is>
      </c>
    </row>
    <row r="101">
      <c r="A101" s="3" t="n">
        <v>2022</v>
      </c>
      <c r="B101" s="4" t="n">
        <v>5346</v>
      </c>
      <c r="C101" s="4" t="n">
        <v>572</v>
      </c>
      <c r="D101" s="4" t="n">
        <v>173.03</v>
      </c>
      <c r="E101" s="5" t="n">
        <v>30.9</v>
      </c>
      <c r="F101" s="3" t="inlineStr">
        <is>
          <t>남이면</t>
        </is>
      </c>
      <c r="G101" s="3" t="inlineStr">
        <is>
          <t>수대리</t>
        </is>
      </c>
      <c r="H101" s="3" t="inlineStr">
        <is>
          <t>보전녹지지역</t>
        </is>
      </c>
      <c r="I101" s="3" t="inlineStr">
        <is>
          <t>임야</t>
        </is>
      </c>
      <c r="J101" s="3" t="inlineStr">
        <is>
          <t>남이면</t>
        </is>
      </c>
    </row>
    <row r="102">
      <c r="A102" s="3" t="n">
        <v>2024</v>
      </c>
      <c r="B102" s="4" t="n">
        <v>189954</v>
      </c>
      <c r="C102" s="4" t="n">
        <v>4915</v>
      </c>
      <c r="D102" s="4" t="n">
        <v>1486.7875</v>
      </c>
      <c r="E102" s="5" t="n">
        <v>127.8</v>
      </c>
      <c r="F102" s="3" t="inlineStr">
        <is>
          <t>남이면</t>
        </is>
      </c>
      <c r="G102" s="3" t="inlineStr">
        <is>
          <t>가마리</t>
        </is>
      </c>
      <c r="H102" s="3" t="inlineStr">
        <is>
          <t>자연녹지지역</t>
        </is>
      </c>
      <c r="I102" s="3" t="inlineStr">
        <is>
          <t>대</t>
        </is>
      </c>
      <c r="J102" s="3" t="inlineStr">
        <is>
          <t>남이면</t>
        </is>
      </c>
    </row>
    <row r="103">
      <c r="A103" s="3" t="n">
        <v>2025</v>
      </c>
      <c r="B103" s="4" t="n">
        <v>19500</v>
      </c>
      <c r="C103" s="4" t="n">
        <v>500</v>
      </c>
      <c r="D103" s="4" t="n">
        <v>151.25</v>
      </c>
      <c r="E103" s="5" t="n">
        <v>128.9</v>
      </c>
      <c r="F103" s="3" t="inlineStr">
        <is>
          <t>남이면</t>
        </is>
      </c>
      <c r="G103" s="3" t="inlineStr">
        <is>
          <t>양촌리</t>
        </is>
      </c>
      <c r="H103" s="3" t="inlineStr">
        <is>
          <t>자연녹지지역</t>
        </is>
      </c>
      <c r="I103" s="3" t="inlineStr">
        <is>
          <t>임야</t>
        </is>
      </c>
      <c r="J103" s="3" t="inlineStr">
        <is>
          <t>남이면</t>
        </is>
      </c>
    </row>
    <row r="104">
      <c r="A104" s="3" t="n">
        <v>2025</v>
      </c>
      <c r="B104" s="4" t="n">
        <v>42740</v>
      </c>
      <c r="C104" s="4" t="n">
        <v>2176</v>
      </c>
      <c r="D104" s="4" t="n">
        <v>658.24</v>
      </c>
      <c r="E104" s="5" t="n">
        <v>64.90000000000001</v>
      </c>
      <c r="F104" s="3" t="inlineStr">
        <is>
          <t>남이면</t>
        </is>
      </c>
      <c r="G104" s="3" t="inlineStr">
        <is>
          <t>가좌리</t>
        </is>
      </c>
      <c r="H104" s="3" t="inlineStr">
        <is>
          <t>자연녹지지역</t>
        </is>
      </c>
      <c r="I104" s="3" t="inlineStr">
        <is>
          <t>답</t>
        </is>
      </c>
      <c r="J104" s="3" t="inlineStr">
        <is>
          <t>남이면</t>
        </is>
      </c>
    </row>
    <row r="105">
      <c r="A105" s="3" t="n">
        <v>2026</v>
      </c>
      <c r="B105" s="4" t="n">
        <v>7000</v>
      </c>
      <c r="C105" s="4" t="n">
        <v>605</v>
      </c>
      <c r="D105" s="4" t="n">
        <v>183.0125</v>
      </c>
      <c r="E105" s="5" t="n">
        <v>38.2</v>
      </c>
      <c r="F105" s="3" t="inlineStr">
        <is>
          <t>남이면</t>
        </is>
      </c>
      <c r="G105" s="3" t="inlineStr">
        <is>
          <t>팔봉리</t>
        </is>
      </c>
      <c r="H105" s="3" t="inlineStr">
        <is>
          <t>보전관리지역</t>
        </is>
      </c>
      <c r="I105" s="3" t="inlineStr">
        <is>
          <t>대</t>
        </is>
      </c>
      <c r="J105" s="3" t="inlineStr">
        <is>
          <t>남이면</t>
        </is>
      </c>
    </row>
    <row r="106">
      <c r="A106" s="3" t="n">
        <v>2026</v>
      </c>
      <c r="B106" s="4" t="n">
        <v>300</v>
      </c>
      <c r="C106" s="4" t="n">
        <v>107</v>
      </c>
      <c r="D106" s="4" t="n">
        <v>32.3675</v>
      </c>
      <c r="E106" s="5" t="n">
        <v>9.300000000000001</v>
      </c>
      <c r="F106" s="3" t="inlineStr">
        <is>
          <t>남이면</t>
        </is>
      </c>
      <c r="G106" s="3" t="inlineStr">
        <is>
          <t>외천리</t>
        </is>
      </c>
      <c r="H106" s="3" t="inlineStr">
        <is>
          <t>계획관리지역</t>
        </is>
      </c>
      <c r="I106" s="3" t="inlineStr">
        <is>
          <t>전</t>
        </is>
      </c>
      <c r="J106" s="3" t="inlineStr">
        <is>
          <t>남이면</t>
        </is>
      </c>
    </row>
    <row r="107">
      <c r="A107" s="3" t="n">
        <v>2026</v>
      </c>
      <c r="B107" s="4" t="n">
        <v>16000</v>
      </c>
      <c r="C107" s="4" t="n">
        <v>1388</v>
      </c>
      <c r="D107" s="4" t="n">
        <v>419.87</v>
      </c>
      <c r="E107" s="5" t="n">
        <v>38.1</v>
      </c>
      <c r="F107" s="3" t="inlineStr">
        <is>
          <t>남이면</t>
        </is>
      </c>
      <c r="G107" s="3" t="inlineStr">
        <is>
          <t>사동리</t>
        </is>
      </c>
      <c r="H107" s="3" t="inlineStr">
        <is>
          <t>보전관리지역</t>
        </is>
      </c>
      <c r="I107" s="3" t="inlineStr">
        <is>
          <t>임야</t>
        </is>
      </c>
      <c r="J107" s="3" t="inlineStr">
        <is>
          <t>남이면</t>
        </is>
      </c>
    </row>
    <row r="108">
      <c r="A108" s="3" t="n">
        <v>2026</v>
      </c>
      <c r="B108" s="4" t="n">
        <v>2091</v>
      </c>
      <c r="C108" s="4" t="n">
        <v>854</v>
      </c>
      <c r="D108" s="4" t="n">
        <v>258.335</v>
      </c>
      <c r="E108" s="5" t="n">
        <v>8.1</v>
      </c>
      <c r="F108" s="3" t="inlineStr">
        <is>
          <t>남이면</t>
        </is>
      </c>
      <c r="G108" s="3" t="inlineStr">
        <is>
          <t>부용외천리</t>
        </is>
      </c>
      <c r="H108" s="3" t="inlineStr">
        <is>
          <t>생산관리지역</t>
        </is>
      </c>
      <c r="I108" s="3" t="inlineStr">
        <is>
          <t>전</t>
        </is>
      </c>
      <c r="J108" s="3" t="inlineStr">
        <is>
          <t>남이면</t>
        </is>
      </c>
    </row>
    <row r="109">
      <c r="A109" s="3" t="n">
        <v>2026</v>
      </c>
      <c r="B109" s="4" t="n">
        <v>209</v>
      </c>
      <c r="C109" s="4" t="n">
        <v>9</v>
      </c>
      <c r="D109" s="4" t="n">
        <v>2.7225</v>
      </c>
      <c r="E109" s="5" t="n">
        <v>76.8</v>
      </c>
      <c r="F109" s="3" t="inlineStr">
        <is>
          <t>남이면</t>
        </is>
      </c>
      <c r="G109" s="3" t="inlineStr">
        <is>
          <t>부용외천리</t>
        </is>
      </c>
      <c r="H109" s="3" t="inlineStr">
        <is>
          <t>생산관리지역</t>
        </is>
      </c>
      <c r="I109" s="3" t="inlineStr">
        <is>
          <t>전</t>
        </is>
      </c>
      <c r="J109" s="3" t="inlineStr">
        <is>
          <t>남이면</t>
        </is>
      </c>
    </row>
    <row r="110">
      <c r="A110" s="3" t="n">
        <v>2026</v>
      </c>
      <c r="B110" s="4" t="n">
        <v>25000</v>
      </c>
      <c r="C110" s="4" t="n">
        <v>1826</v>
      </c>
      <c r="D110" s="4" t="n">
        <v>552.365</v>
      </c>
      <c r="E110" s="5" t="n">
        <v>45.3</v>
      </c>
      <c r="F110" s="3" t="inlineStr">
        <is>
          <t>남이면</t>
        </is>
      </c>
      <c r="G110" s="3" t="inlineStr">
        <is>
          <t>구암리</t>
        </is>
      </c>
      <c r="H110" s="3" t="inlineStr">
        <is>
          <t>자연녹지지역</t>
        </is>
      </c>
      <c r="I110" s="3" t="inlineStr">
        <is>
          <t>답</t>
        </is>
      </c>
      <c r="J110" s="3" t="inlineStr">
        <is>
          <t>남이면</t>
        </is>
      </c>
    </row>
    <row r="111">
      <c r="A111" s="3" t="n">
        <v>2026</v>
      </c>
      <c r="B111" s="4" t="n">
        <v>2841</v>
      </c>
      <c r="C111" s="4" t="n">
        <v>56</v>
      </c>
      <c r="D111" s="4" t="n">
        <v>16.94</v>
      </c>
      <c r="E111" s="5" t="n">
        <v>167.7</v>
      </c>
      <c r="F111" s="3" t="inlineStr">
        <is>
          <t>남이면</t>
        </is>
      </c>
      <c r="G111" s="3" t="inlineStr">
        <is>
          <t>양촌리</t>
        </is>
      </c>
      <c r="H111" s="3" t="inlineStr">
        <is>
          <t>자연녹지지역</t>
        </is>
      </c>
      <c r="I111" s="3" t="inlineStr">
        <is>
          <t>전</t>
        </is>
      </c>
      <c r="J111" s="3" t="inlineStr">
        <is>
          <t>남이면</t>
        </is>
      </c>
    </row>
    <row r="112">
      <c r="A112" s="3" t="n">
        <v>2026</v>
      </c>
      <c r="B112" s="4" t="n">
        <v>3200</v>
      </c>
      <c r="C112" s="4" t="n">
        <v>63</v>
      </c>
      <c r="D112" s="4" t="n">
        <v>19.0575</v>
      </c>
      <c r="E112" s="5" t="n">
        <v>167.9</v>
      </c>
      <c r="F112" s="3" t="inlineStr">
        <is>
          <t>남이면</t>
        </is>
      </c>
      <c r="G112" s="3" t="inlineStr">
        <is>
          <t>양촌리</t>
        </is>
      </c>
      <c r="H112" s="3" t="inlineStr">
        <is>
          <t>자연녹지지역</t>
        </is>
      </c>
      <c r="I112" s="3" t="inlineStr">
        <is>
          <t>대</t>
        </is>
      </c>
      <c r="J112" s="3" t="inlineStr">
        <is>
          <t>남이면</t>
        </is>
      </c>
    </row>
    <row r="113">
      <c r="A113" s="3" t="n">
        <v>2026</v>
      </c>
      <c r="B113" s="4" t="n">
        <v>13000</v>
      </c>
      <c r="C113" s="4" t="n">
        <v>330</v>
      </c>
      <c r="D113" s="4" t="n">
        <v>99.825</v>
      </c>
      <c r="E113" s="5" t="n">
        <v>130.2</v>
      </c>
      <c r="F113" s="3" t="inlineStr">
        <is>
          <t>남이면</t>
        </is>
      </c>
      <c r="G113" s="3" t="inlineStr">
        <is>
          <t>대련리</t>
        </is>
      </c>
      <c r="H113" s="3" t="inlineStr">
        <is>
          <t>자연녹지지역</t>
        </is>
      </c>
      <c r="I113" s="3" t="inlineStr">
        <is>
          <t>대</t>
        </is>
      </c>
      <c r="J113" s="3" t="inlineStr">
        <is>
          <t>남이면</t>
        </is>
      </c>
    </row>
    <row r="114">
      <c r="A114" s="3" t="n">
        <v>2026</v>
      </c>
      <c r="B114" s="4" t="n">
        <v>7345</v>
      </c>
      <c r="C114" s="4" t="n">
        <v>639</v>
      </c>
      <c r="D114" s="4" t="n">
        <v>193.2975</v>
      </c>
      <c r="E114" s="5" t="n">
        <v>38</v>
      </c>
      <c r="F114" s="3" t="inlineStr">
        <is>
          <t>남이면</t>
        </is>
      </c>
      <c r="G114" s="3" t="inlineStr">
        <is>
          <t>팔봉리</t>
        </is>
      </c>
      <c r="H114" s="3" t="inlineStr">
        <is>
          <t>자연녹지지역</t>
        </is>
      </c>
      <c r="I114" s="3" t="inlineStr">
        <is>
          <t>전</t>
        </is>
      </c>
      <c r="J114" s="3" t="inlineStr">
        <is>
          <t>남이면</t>
        </is>
      </c>
    </row>
    <row r="115">
      <c r="A115" s="3" t="n">
        <v>2026</v>
      </c>
      <c r="B115" s="4" t="n">
        <v>44778</v>
      </c>
      <c r="C115" s="4" t="n">
        <v>5521</v>
      </c>
      <c r="D115" s="4" t="n">
        <v>1670.1025</v>
      </c>
      <c r="E115" s="5" t="n">
        <v>26.8</v>
      </c>
      <c r="F115" s="3" t="inlineStr">
        <is>
          <t>남이면</t>
        </is>
      </c>
      <c r="G115" s="3" t="inlineStr">
        <is>
          <t>구암리</t>
        </is>
      </c>
      <c r="H115" s="3" t="inlineStr">
        <is>
          <t>자연녹지지역</t>
        </is>
      </c>
      <c r="I115" s="3" t="inlineStr">
        <is>
          <t>전</t>
        </is>
      </c>
      <c r="J115" s="3" t="inlineStr">
        <is>
          <t>남이면</t>
        </is>
      </c>
    </row>
    <row r="116">
      <c r="A116" s="3" t="n">
        <v>2026</v>
      </c>
      <c r="B116" s="4" t="n">
        <v>29782</v>
      </c>
      <c r="C116" s="4" t="n">
        <v>2321</v>
      </c>
      <c r="D116" s="4" t="n">
        <v>702.1025</v>
      </c>
      <c r="E116" s="5" t="n">
        <v>42.4</v>
      </c>
      <c r="F116" s="3" t="inlineStr">
        <is>
          <t>남이면</t>
        </is>
      </c>
      <c r="G116" s="3" t="inlineStr">
        <is>
          <t>구미리</t>
        </is>
      </c>
      <c r="H116" s="3" t="inlineStr">
        <is>
          <t>계획관리지역</t>
        </is>
      </c>
      <c r="I116" s="3" t="inlineStr">
        <is>
          <t>공장용지</t>
        </is>
      </c>
      <c r="J116" s="3" t="inlineStr">
        <is>
          <t>남이면</t>
        </is>
      </c>
    </row>
    <row r="117">
      <c r="A117" s="3" t="n">
        <v>2026</v>
      </c>
      <c r="B117" s="4" t="n">
        <v>16183</v>
      </c>
      <c r="C117" s="4" t="n">
        <v>1210</v>
      </c>
      <c r="D117" s="4" t="n">
        <v>366.025</v>
      </c>
      <c r="E117" s="5" t="n">
        <v>44.2</v>
      </c>
      <c r="F117" s="3" t="inlineStr">
        <is>
          <t>남이면</t>
        </is>
      </c>
      <c r="G117" s="3" t="inlineStr">
        <is>
          <t>구미리</t>
        </is>
      </c>
      <c r="H117" s="3" t="inlineStr">
        <is>
          <t>계획관리지역</t>
        </is>
      </c>
      <c r="I117" s="3" t="inlineStr">
        <is>
          <t>공장용지</t>
        </is>
      </c>
      <c r="J117" s="3" t="inlineStr">
        <is>
          <t>남이면</t>
        </is>
      </c>
    </row>
    <row r="118">
      <c r="A118" s="3" t="n">
        <v>2026</v>
      </c>
      <c r="B118" s="4" t="n">
        <v>70257</v>
      </c>
      <c r="C118" s="4" t="n">
        <v>5253</v>
      </c>
      <c r="D118" s="4" t="n">
        <v>1589.0325</v>
      </c>
      <c r="E118" s="5" t="n">
        <v>44.2</v>
      </c>
      <c r="F118" s="3" t="inlineStr">
        <is>
          <t>남이면</t>
        </is>
      </c>
      <c r="G118" s="3" t="inlineStr">
        <is>
          <t>구미리</t>
        </is>
      </c>
      <c r="H118" s="3" t="inlineStr">
        <is>
          <t>계획관리지역</t>
        </is>
      </c>
      <c r="I118" s="3" t="inlineStr">
        <is>
          <t>공장용지</t>
        </is>
      </c>
      <c r="J118" s="3" t="inlineStr">
        <is>
          <t>남이면</t>
        </is>
      </c>
    </row>
    <row r="119">
      <c r="A119" s="3" t="n">
        <v>2026</v>
      </c>
      <c r="B119" s="4" t="n">
        <v>197</v>
      </c>
      <c r="C119" s="4" t="n">
        <v>100</v>
      </c>
      <c r="D119" s="4" t="n">
        <v>30.25</v>
      </c>
      <c r="E119" s="5" t="n">
        <v>6.5</v>
      </c>
      <c r="F119" s="3" t="inlineStr">
        <is>
          <t>남이면</t>
        </is>
      </c>
      <c r="G119" s="3" t="inlineStr">
        <is>
          <t>구미리</t>
        </is>
      </c>
      <c r="H119" s="3" t="inlineStr">
        <is>
          <t>계획관리지역</t>
        </is>
      </c>
      <c r="I119" s="3" t="inlineStr">
        <is>
          <t>임야</t>
        </is>
      </c>
      <c r="J119" s="3" t="inlineStr">
        <is>
          <t>남이면</t>
        </is>
      </c>
    </row>
    <row r="120">
      <c r="A120" s="3" t="n">
        <v>2024</v>
      </c>
      <c r="B120" s="4" t="n">
        <v>29010</v>
      </c>
      <c r="C120" s="4" t="n">
        <v>305</v>
      </c>
      <c r="D120" s="4" t="n">
        <v>92.2625</v>
      </c>
      <c r="E120" s="5" t="n">
        <v>314.4</v>
      </c>
      <c r="F120" s="3" t="inlineStr">
        <is>
          <t>집현동</t>
        </is>
      </c>
      <c r="G120" s="3" t="inlineStr"/>
      <c r="H120" s="3" t="inlineStr">
        <is>
          <t>기타</t>
        </is>
      </c>
      <c r="I120" s="3" t="inlineStr">
        <is>
          <t>대</t>
        </is>
      </c>
      <c r="J120" s="3" t="inlineStr">
        <is>
          <t>집현동</t>
        </is>
      </c>
    </row>
    <row r="121">
      <c r="A121" s="3" t="n">
        <v>2024</v>
      </c>
      <c r="B121" s="4" t="n">
        <v>39000</v>
      </c>
      <c r="C121" s="4" t="n">
        <v>4336</v>
      </c>
      <c r="D121" s="4" t="n">
        <v>1311.64</v>
      </c>
      <c r="E121" s="5" t="n">
        <v>29.7</v>
      </c>
      <c r="F121" s="3" t="inlineStr">
        <is>
          <t>연서면</t>
        </is>
      </c>
      <c r="G121" s="3" t="inlineStr">
        <is>
          <t>고복리</t>
        </is>
      </c>
      <c r="H121" s="3" t="inlineStr">
        <is>
          <t>농림지역</t>
        </is>
      </c>
      <c r="I121" s="3" t="inlineStr">
        <is>
          <t>임야</t>
        </is>
      </c>
      <c r="J121" s="3" t="inlineStr">
        <is>
          <t>연서면</t>
        </is>
      </c>
    </row>
    <row r="122">
      <c r="A122" s="3" t="n">
        <v>2024</v>
      </c>
      <c r="B122" s="4" t="n">
        <v>290</v>
      </c>
      <c r="C122" s="4" t="n">
        <v>53</v>
      </c>
      <c r="D122" s="4" t="n">
        <v>16.0325</v>
      </c>
      <c r="E122" s="5" t="n">
        <v>18.1</v>
      </c>
      <c r="F122" s="3" t="inlineStr">
        <is>
          <t>부강면</t>
        </is>
      </c>
      <c r="G122" s="3" t="inlineStr">
        <is>
          <t>문곡리</t>
        </is>
      </c>
      <c r="H122" s="3" t="inlineStr">
        <is>
          <t>생산관리지역</t>
        </is>
      </c>
      <c r="I122" s="3" t="inlineStr">
        <is>
          <t>답</t>
        </is>
      </c>
      <c r="J122" s="3" t="inlineStr">
        <is>
          <t>부강면</t>
        </is>
      </c>
    </row>
    <row r="123">
      <c r="A123" s="3" t="n">
        <v>2024</v>
      </c>
      <c r="B123" s="4" t="n">
        <v>4040</v>
      </c>
      <c r="C123" s="4" t="n">
        <v>708</v>
      </c>
      <c r="D123" s="4" t="n">
        <v>214.17</v>
      </c>
      <c r="E123" s="5" t="n">
        <v>18.9</v>
      </c>
      <c r="F123" s="3" t="inlineStr">
        <is>
          <t>부강면</t>
        </is>
      </c>
      <c r="G123" s="3" t="inlineStr">
        <is>
          <t>문곡리</t>
        </is>
      </c>
      <c r="H123" s="3" t="inlineStr">
        <is>
          <t>생산관리지역</t>
        </is>
      </c>
      <c r="I123" s="3" t="inlineStr">
        <is>
          <t>답</t>
        </is>
      </c>
      <c r="J123" s="3" t="inlineStr">
        <is>
          <t>부강면</t>
        </is>
      </c>
    </row>
    <row r="124">
      <c r="A124" s="3" t="n">
        <v>2024</v>
      </c>
      <c r="B124" s="4" t="n">
        <v>2000</v>
      </c>
      <c r="C124" s="4" t="n">
        <v>360</v>
      </c>
      <c r="D124" s="4" t="n">
        <v>108.9</v>
      </c>
      <c r="E124" s="5" t="n">
        <v>18.4</v>
      </c>
      <c r="F124" s="3" t="inlineStr">
        <is>
          <t>부강면</t>
        </is>
      </c>
      <c r="G124" s="3" t="inlineStr">
        <is>
          <t>문곡리</t>
        </is>
      </c>
      <c r="H124" s="3" t="inlineStr">
        <is>
          <t>생산관리지역</t>
        </is>
      </c>
      <c r="I124" s="3" t="inlineStr">
        <is>
          <t>전</t>
        </is>
      </c>
      <c r="J124" s="3" t="inlineStr">
        <is>
          <t>부강면</t>
        </is>
      </c>
    </row>
    <row r="125">
      <c r="A125" s="3" t="n">
        <v>2024</v>
      </c>
      <c r="B125" s="4" t="n">
        <v>19200</v>
      </c>
      <c r="C125" s="4" t="n">
        <v>3431</v>
      </c>
      <c r="D125" s="4" t="n">
        <v>1037.8775</v>
      </c>
      <c r="E125" s="5" t="n">
        <v>18.5</v>
      </c>
      <c r="F125" s="3" t="inlineStr">
        <is>
          <t>부강면</t>
        </is>
      </c>
      <c r="G125" s="3" t="inlineStr">
        <is>
          <t>행산리</t>
        </is>
      </c>
      <c r="H125" s="3" t="inlineStr">
        <is>
          <t>계획관리지역</t>
        </is>
      </c>
      <c r="I125" s="3" t="inlineStr">
        <is>
          <t>답</t>
        </is>
      </c>
      <c r="J125" s="3" t="inlineStr">
        <is>
          <t>부강면</t>
        </is>
      </c>
    </row>
    <row r="126">
      <c r="A126" s="3" t="n">
        <v>2024</v>
      </c>
      <c r="B126" s="4" t="n">
        <v>890</v>
      </c>
      <c r="C126" s="4" t="n">
        <v>10</v>
      </c>
      <c r="D126" s="4" t="n">
        <v>3.025</v>
      </c>
      <c r="E126" s="5" t="n">
        <v>294.2</v>
      </c>
      <c r="F126" s="3" t="inlineStr">
        <is>
          <t>조치원읍</t>
        </is>
      </c>
      <c r="G126" s="3" t="inlineStr">
        <is>
          <t>침산리</t>
        </is>
      </c>
      <c r="H126" s="3" t="inlineStr">
        <is>
          <t>제2종일반주거지역</t>
        </is>
      </c>
      <c r="I126" s="3" t="inlineStr">
        <is>
          <t>대</t>
        </is>
      </c>
      <c r="J126" s="3" t="inlineStr">
        <is>
          <t>조치원읍</t>
        </is>
      </c>
    </row>
    <row r="127">
      <c r="A127" s="3" t="n">
        <v>2026</v>
      </c>
      <c r="B127" s="4" t="n">
        <v>1300</v>
      </c>
      <c r="C127" s="4" t="n">
        <v>664</v>
      </c>
      <c r="D127" s="4" t="n">
        <v>200.86</v>
      </c>
      <c r="E127" s="5" t="n">
        <v>6.5</v>
      </c>
      <c r="F127" s="3" t="inlineStr">
        <is>
          <t>남이면</t>
        </is>
      </c>
      <c r="G127" s="3" t="inlineStr">
        <is>
          <t>척산리</t>
        </is>
      </c>
      <c r="H127" s="3" t="inlineStr">
        <is>
          <t>자연녹지지역</t>
        </is>
      </c>
      <c r="I127" s="3" t="inlineStr">
        <is>
          <t>전</t>
        </is>
      </c>
      <c r="J127" s="3" t="inlineStr">
        <is>
          <t>남이면</t>
        </is>
      </c>
    </row>
    <row r="128">
      <c r="A128" s="3" t="n">
        <v>2026</v>
      </c>
      <c r="B128" s="4" t="n">
        <v>11000</v>
      </c>
      <c r="C128" s="4" t="n">
        <v>2003</v>
      </c>
      <c r="D128" s="4" t="n">
        <v>605.9075</v>
      </c>
      <c r="E128" s="5" t="n">
        <v>18.2</v>
      </c>
      <c r="F128" s="3" t="inlineStr">
        <is>
          <t>남이면</t>
        </is>
      </c>
      <c r="G128" s="3" t="inlineStr">
        <is>
          <t>부용외천리</t>
        </is>
      </c>
      <c r="H128" s="3" t="inlineStr">
        <is>
          <t>보전관리지역</t>
        </is>
      </c>
      <c r="I128" s="3" t="inlineStr">
        <is>
          <t>전</t>
        </is>
      </c>
      <c r="J128" s="3" t="inlineStr">
        <is>
          <t>남이면</t>
        </is>
      </c>
    </row>
    <row r="129">
      <c r="A129" s="3" t="n">
        <v>2026</v>
      </c>
      <c r="B129" s="4" t="n">
        <v>1000</v>
      </c>
      <c r="C129" s="4" t="n">
        <v>67</v>
      </c>
      <c r="D129" s="4" t="n">
        <v>20.2675</v>
      </c>
      <c r="E129" s="5" t="n">
        <v>49.3</v>
      </c>
      <c r="F129" s="3" t="inlineStr">
        <is>
          <t>남이면</t>
        </is>
      </c>
      <c r="G129" s="3" t="inlineStr">
        <is>
          <t>외천리</t>
        </is>
      </c>
      <c r="H129" s="3" t="inlineStr">
        <is>
          <t>계획관리지역</t>
        </is>
      </c>
      <c r="I129" s="3" t="inlineStr">
        <is>
          <t>전</t>
        </is>
      </c>
      <c r="J129" s="3" t="inlineStr">
        <is>
          <t>남이면</t>
        </is>
      </c>
    </row>
    <row r="130">
      <c r="A130" s="3" t="n">
        <v>2026</v>
      </c>
      <c r="B130" s="4" t="n">
        <v>1000</v>
      </c>
      <c r="C130" s="4" t="n">
        <v>67</v>
      </c>
      <c r="D130" s="4" t="n">
        <v>20.2675</v>
      </c>
      <c r="E130" s="5" t="n">
        <v>49.3</v>
      </c>
      <c r="F130" s="3" t="inlineStr">
        <is>
          <t>남이면</t>
        </is>
      </c>
      <c r="G130" s="3" t="inlineStr">
        <is>
          <t>외천리</t>
        </is>
      </c>
      <c r="H130" s="3" t="inlineStr">
        <is>
          <t>계획관리지역</t>
        </is>
      </c>
      <c r="I130" s="3" t="inlineStr">
        <is>
          <t>전</t>
        </is>
      </c>
      <c r="J130" s="3" t="inlineStr">
        <is>
          <t>남이면</t>
        </is>
      </c>
    </row>
    <row r="131">
      <c r="A131" s="3" t="n">
        <v>2026</v>
      </c>
      <c r="B131" s="4" t="n">
        <v>49000</v>
      </c>
      <c r="C131" s="4" t="n">
        <v>1649</v>
      </c>
      <c r="D131" s="4" t="n">
        <v>498.8225</v>
      </c>
      <c r="E131" s="5" t="n">
        <v>98.2</v>
      </c>
      <c r="F131" s="3" t="inlineStr">
        <is>
          <t>남이면</t>
        </is>
      </c>
      <c r="G131" s="3" t="inlineStr">
        <is>
          <t>외천리</t>
        </is>
      </c>
      <c r="H131" s="3" t="inlineStr">
        <is>
          <t>계획관리지역</t>
        </is>
      </c>
      <c r="I131" s="3" t="inlineStr">
        <is>
          <t>전</t>
        </is>
      </c>
      <c r="J131" s="3" t="inlineStr">
        <is>
          <t>남이면</t>
        </is>
      </c>
    </row>
    <row r="132">
      <c r="A132" s="3" t="n">
        <v>2026</v>
      </c>
      <c r="B132" s="4" t="n">
        <v>14500</v>
      </c>
      <c r="C132" s="4" t="n">
        <v>2371</v>
      </c>
      <c r="D132" s="4" t="n">
        <v>717.2275</v>
      </c>
      <c r="E132" s="5" t="n">
        <v>20.2</v>
      </c>
      <c r="F132" s="3" t="inlineStr">
        <is>
          <t>남이면</t>
        </is>
      </c>
      <c r="G132" s="3" t="inlineStr">
        <is>
          <t>척산리</t>
        </is>
      </c>
      <c r="H132" s="3" t="inlineStr">
        <is>
          <t>자연녹지지역</t>
        </is>
      </c>
      <c r="I132" s="3" t="inlineStr">
        <is>
          <t>묘지</t>
        </is>
      </c>
      <c r="J132" s="3" t="inlineStr">
        <is>
          <t>남이면</t>
        </is>
      </c>
    </row>
    <row r="133">
      <c r="A133" s="3" t="n">
        <v>2026</v>
      </c>
      <c r="B133" s="4" t="n">
        <v>5500</v>
      </c>
      <c r="C133" s="4" t="n">
        <v>694</v>
      </c>
      <c r="D133" s="4" t="n">
        <v>209.935</v>
      </c>
      <c r="E133" s="5" t="n">
        <v>26.2</v>
      </c>
      <c r="F133" s="3" t="inlineStr">
        <is>
          <t>남이면</t>
        </is>
      </c>
      <c r="G133" s="3" t="inlineStr">
        <is>
          <t>척산리</t>
        </is>
      </c>
      <c r="H133" s="3" t="inlineStr">
        <is>
          <t>자연녹지지역</t>
        </is>
      </c>
      <c r="I133" s="3" t="inlineStr">
        <is>
          <t>임야</t>
        </is>
      </c>
      <c r="J133" s="3" t="inlineStr">
        <is>
          <t>남이면</t>
        </is>
      </c>
    </row>
    <row r="134">
      <c r="A134" s="3" t="n">
        <v>2026</v>
      </c>
      <c r="B134" s="4" t="n">
        <v>53417</v>
      </c>
      <c r="C134" s="4" t="n">
        <v>3493</v>
      </c>
      <c r="D134" s="4" t="n">
        <v>1056.6325</v>
      </c>
      <c r="E134" s="5" t="n">
        <v>50.6</v>
      </c>
      <c r="F134" s="3" t="inlineStr">
        <is>
          <t>남이면</t>
        </is>
      </c>
      <c r="G134" s="3" t="inlineStr">
        <is>
          <t>가좌리</t>
        </is>
      </c>
      <c r="H134" s="3" t="inlineStr">
        <is>
          <t>보전녹지지역</t>
        </is>
      </c>
      <c r="I134" s="3" t="inlineStr">
        <is>
          <t>공장용지</t>
        </is>
      </c>
      <c r="J134" s="3" t="inlineStr">
        <is>
          <t>남이면</t>
        </is>
      </c>
    </row>
    <row r="135">
      <c r="A135" s="3" t="n">
        <v>2026</v>
      </c>
      <c r="B135" s="4" t="n">
        <v>13593</v>
      </c>
      <c r="C135" s="4" t="n">
        <v>587</v>
      </c>
      <c r="D135" s="4" t="n">
        <v>177.5675</v>
      </c>
      <c r="E135" s="5" t="n">
        <v>76.59999999999999</v>
      </c>
      <c r="F135" s="3" t="inlineStr">
        <is>
          <t>남이면</t>
        </is>
      </c>
      <c r="G135" s="3" t="inlineStr">
        <is>
          <t>가좌리</t>
        </is>
      </c>
      <c r="H135" s="3" t="inlineStr">
        <is>
          <t>보전녹지지역</t>
        </is>
      </c>
      <c r="I135" s="3" t="inlineStr">
        <is>
          <t>임야</t>
        </is>
      </c>
      <c r="J135" s="3" t="inlineStr">
        <is>
          <t>남이면</t>
        </is>
      </c>
    </row>
    <row r="136">
      <c r="A136" s="3" t="n">
        <v>2023</v>
      </c>
      <c r="B136" s="4" t="n">
        <v>36935</v>
      </c>
      <c r="C136" s="4" t="n">
        <v>310</v>
      </c>
      <c r="D136" s="4" t="n">
        <v>93.77499999999999</v>
      </c>
      <c r="E136" s="5" t="n">
        <v>393.9</v>
      </c>
      <c r="F136" s="3" t="inlineStr">
        <is>
          <t>조치원읍</t>
        </is>
      </c>
      <c r="G136" s="3" t="inlineStr">
        <is>
          <t>신흥리</t>
        </is>
      </c>
      <c r="H136" s="3" t="inlineStr">
        <is>
          <t>제2종일반주거지역</t>
        </is>
      </c>
      <c r="I136" s="3" t="inlineStr">
        <is>
          <t>전</t>
        </is>
      </c>
      <c r="J136" s="3" t="inlineStr">
        <is>
          <t>조치원읍</t>
        </is>
      </c>
    </row>
    <row r="137">
      <c r="A137" s="3" t="n">
        <v>2023</v>
      </c>
      <c r="B137" s="4" t="n">
        <v>27642</v>
      </c>
      <c r="C137" s="4" t="n">
        <v>232</v>
      </c>
      <c r="D137" s="4" t="n">
        <v>70.17999999999999</v>
      </c>
      <c r="E137" s="5" t="n">
        <v>393.9</v>
      </c>
      <c r="F137" s="3" t="inlineStr">
        <is>
          <t>조치원읍</t>
        </is>
      </c>
      <c r="G137" s="3" t="inlineStr">
        <is>
          <t>신흥리</t>
        </is>
      </c>
      <c r="H137" s="3" t="inlineStr">
        <is>
          <t>제2종일반주거지역</t>
        </is>
      </c>
      <c r="I137" s="3" t="inlineStr">
        <is>
          <t>전</t>
        </is>
      </c>
      <c r="J137" s="3" t="inlineStr">
        <is>
          <t>조치원읍</t>
        </is>
      </c>
    </row>
    <row r="138">
      <c r="A138" s="3" t="n">
        <v>2025</v>
      </c>
      <c r="B138" s="4" t="n">
        <v>10000</v>
      </c>
      <c r="C138" s="4" t="n">
        <v>347</v>
      </c>
      <c r="D138" s="4" t="n">
        <v>104.9675</v>
      </c>
      <c r="E138" s="5" t="n">
        <v>95.3</v>
      </c>
      <c r="F138" s="3" t="inlineStr">
        <is>
          <t>남이면</t>
        </is>
      </c>
      <c r="G138" s="3" t="inlineStr">
        <is>
          <t>척산리</t>
        </is>
      </c>
      <c r="H138" s="3" t="inlineStr">
        <is>
          <t>계획관리지역</t>
        </is>
      </c>
      <c r="I138" s="3" t="inlineStr">
        <is>
          <t>대</t>
        </is>
      </c>
      <c r="J138" s="3" t="inlineStr">
        <is>
          <t>남이면</t>
        </is>
      </c>
    </row>
    <row r="139">
      <c r="A139" s="3" t="n">
        <v>2025</v>
      </c>
      <c r="B139" s="4" t="n">
        <v>56140</v>
      </c>
      <c r="C139" s="4" t="n">
        <v>1626</v>
      </c>
      <c r="D139" s="4" t="n">
        <v>491.865</v>
      </c>
      <c r="E139" s="5" t="n">
        <v>114.1</v>
      </c>
      <c r="F139" s="3" t="inlineStr">
        <is>
          <t>남이면</t>
        </is>
      </c>
      <c r="G139" s="3" t="inlineStr">
        <is>
          <t>가좌리</t>
        </is>
      </c>
      <c r="H139" s="3" t="inlineStr">
        <is>
          <t>자연녹지지역</t>
        </is>
      </c>
      <c r="I139" s="3" t="inlineStr">
        <is>
          <t>임야</t>
        </is>
      </c>
      <c r="J139" s="3" t="inlineStr">
        <is>
          <t>남이면</t>
        </is>
      </c>
    </row>
    <row r="140">
      <c r="A140" s="3" t="n">
        <v>2025</v>
      </c>
      <c r="B140" s="4" t="n">
        <v>930</v>
      </c>
      <c r="C140" s="4" t="n">
        <v>27</v>
      </c>
      <c r="D140" s="4" t="n">
        <v>8.1675</v>
      </c>
      <c r="E140" s="5" t="n">
        <v>113.9</v>
      </c>
      <c r="F140" s="3" t="inlineStr">
        <is>
          <t>남이면</t>
        </is>
      </c>
      <c r="G140" s="3" t="inlineStr">
        <is>
          <t>가좌리</t>
        </is>
      </c>
      <c r="H140" s="3" t="inlineStr">
        <is>
          <t>자연녹지지역</t>
        </is>
      </c>
      <c r="I140" s="3" t="inlineStr">
        <is>
          <t>임야</t>
        </is>
      </c>
      <c r="J140" s="3" t="inlineStr">
        <is>
          <t>남이면</t>
        </is>
      </c>
    </row>
    <row r="141">
      <c r="A141" s="3" t="n">
        <v>2025</v>
      </c>
      <c r="B141" s="4" t="n">
        <v>500</v>
      </c>
      <c r="C141" s="4" t="n">
        <v>157</v>
      </c>
      <c r="D141" s="4" t="n">
        <v>47.4925</v>
      </c>
      <c r="E141" s="5" t="n">
        <v>10.5</v>
      </c>
      <c r="F141" s="3" t="inlineStr">
        <is>
          <t>남이면</t>
        </is>
      </c>
      <c r="G141" s="3" t="inlineStr">
        <is>
          <t>문동리</t>
        </is>
      </c>
      <c r="H141" s="3" t="inlineStr">
        <is>
          <t>생산관리지역</t>
        </is>
      </c>
      <c r="I141" s="3" t="inlineStr">
        <is>
          <t>임야</t>
        </is>
      </c>
      <c r="J141" s="3" t="inlineStr">
        <is>
          <t>남이면</t>
        </is>
      </c>
    </row>
    <row r="142">
      <c r="A142" s="3" t="n">
        <v>2025</v>
      </c>
      <c r="B142" s="4" t="n">
        <v>2500</v>
      </c>
      <c r="C142" s="4" t="n">
        <v>1057</v>
      </c>
      <c r="D142" s="4" t="n">
        <v>319.7425</v>
      </c>
      <c r="E142" s="5" t="n">
        <v>7.8</v>
      </c>
      <c r="F142" s="3" t="inlineStr">
        <is>
          <t>남이면</t>
        </is>
      </c>
      <c r="G142" s="3" t="inlineStr">
        <is>
          <t>문동리</t>
        </is>
      </c>
      <c r="H142" s="3" t="inlineStr">
        <is>
          <t>생산관리지역</t>
        </is>
      </c>
      <c r="I142" s="3" t="inlineStr">
        <is>
          <t>임야</t>
        </is>
      </c>
      <c r="J142" s="3" t="inlineStr">
        <is>
          <t>남이면</t>
        </is>
      </c>
    </row>
    <row r="143">
      <c r="A143" s="3" t="n">
        <v>2025</v>
      </c>
      <c r="B143" s="4" t="n">
        <v>10000</v>
      </c>
      <c r="C143" s="4" t="n">
        <v>1805</v>
      </c>
      <c r="D143" s="4" t="n">
        <v>546.0124999999999</v>
      </c>
      <c r="E143" s="5" t="n">
        <v>18.3</v>
      </c>
      <c r="F143" s="3" t="inlineStr">
        <is>
          <t>남이면</t>
        </is>
      </c>
      <c r="G143" s="3" t="inlineStr">
        <is>
          <t>문동리</t>
        </is>
      </c>
      <c r="H143" s="3" t="inlineStr">
        <is>
          <t>생산관리지역</t>
        </is>
      </c>
      <c r="I143" s="3" t="inlineStr">
        <is>
          <t>임야</t>
        </is>
      </c>
      <c r="J143" s="3" t="inlineStr">
        <is>
          <t>남이면</t>
        </is>
      </c>
    </row>
    <row r="144">
      <c r="A144" s="3" t="n">
        <v>2025</v>
      </c>
      <c r="B144" s="4" t="n">
        <v>16728</v>
      </c>
      <c r="C144" s="4" t="n">
        <v>984</v>
      </c>
      <c r="D144" s="4" t="n">
        <v>297.66</v>
      </c>
      <c r="E144" s="5" t="n">
        <v>56.2</v>
      </c>
      <c r="F144" s="3" t="inlineStr">
        <is>
          <t>남이면</t>
        </is>
      </c>
      <c r="G144" s="3" t="inlineStr">
        <is>
          <t>부용외천리</t>
        </is>
      </c>
      <c r="H144" s="3" t="inlineStr">
        <is>
          <t>계획관리지역</t>
        </is>
      </c>
      <c r="I144" s="3" t="inlineStr">
        <is>
          <t>대</t>
        </is>
      </c>
      <c r="J144" s="3" t="inlineStr">
        <is>
          <t>남이면</t>
        </is>
      </c>
    </row>
    <row r="145">
      <c r="A145" s="3" t="n">
        <v>2025</v>
      </c>
      <c r="B145" s="4" t="n">
        <v>272</v>
      </c>
      <c r="C145" s="4" t="n">
        <v>19</v>
      </c>
      <c r="D145" s="4" t="n">
        <v>5.7475</v>
      </c>
      <c r="E145" s="5" t="n">
        <v>47.3</v>
      </c>
      <c r="F145" s="3" t="inlineStr">
        <is>
          <t>남이면</t>
        </is>
      </c>
      <c r="G145" s="3" t="inlineStr">
        <is>
          <t>부용외천리</t>
        </is>
      </c>
      <c r="H145" s="3" t="inlineStr">
        <is>
          <t>계획관리지역</t>
        </is>
      </c>
      <c r="I145" s="3" t="inlineStr">
        <is>
          <t>도로</t>
        </is>
      </c>
      <c r="J145" s="3" t="inlineStr">
        <is>
          <t>남이면</t>
        </is>
      </c>
    </row>
    <row r="146">
      <c r="A146" s="3" t="n">
        <v>2025</v>
      </c>
      <c r="B146" s="4" t="n">
        <v>4879</v>
      </c>
      <c r="C146" s="4" t="n">
        <v>264</v>
      </c>
      <c r="D146" s="4" t="n">
        <v>79.86</v>
      </c>
      <c r="E146" s="5" t="n">
        <v>61.1</v>
      </c>
      <c r="F146" s="3" t="inlineStr">
        <is>
          <t>남이면</t>
        </is>
      </c>
      <c r="G146" s="3" t="inlineStr">
        <is>
          <t>문동리</t>
        </is>
      </c>
      <c r="H146" s="3" t="inlineStr">
        <is>
          <t>보전녹지지역</t>
        </is>
      </c>
      <c r="I146" s="3" t="inlineStr">
        <is>
          <t>대</t>
        </is>
      </c>
      <c r="J146" s="3" t="inlineStr">
        <is>
          <t>남이면</t>
        </is>
      </c>
    </row>
    <row r="147">
      <c r="A147" s="3" t="n">
        <v>2025</v>
      </c>
      <c r="B147" s="4" t="n">
        <v>5121</v>
      </c>
      <c r="C147" s="4" t="n">
        <v>362</v>
      </c>
      <c r="D147" s="4" t="n">
        <v>109.505</v>
      </c>
      <c r="E147" s="5" t="n">
        <v>46.8</v>
      </c>
      <c r="F147" s="3" t="inlineStr">
        <is>
          <t>남이면</t>
        </is>
      </c>
      <c r="G147" s="3" t="inlineStr">
        <is>
          <t>문동리</t>
        </is>
      </c>
      <c r="H147" s="3" t="inlineStr">
        <is>
          <t>보전녹지지역</t>
        </is>
      </c>
      <c r="I147" s="3" t="inlineStr">
        <is>
          <t>임야</t>
        </is>
      </c>
      <c r="J147" s="3" t="inlineStr">
        <is>
          <t>남이면</t>
        </is>
      </c>
    </row>
    <row r="148">
      <c r="A148" s="3" t="n">
        <v>2025</v>
      </c>
      <c r="B148" s="4" t="n">
        <v>10000</v>
      </c>
      <c r="C148" s="4" t="n">
        <v>1517</v>
      </c>
      <c r="D148" s="4" t="n">
        <v>458.8925</v>
      </c>
      <c r="E148" s="5" t="n">
        <v>21.8</v>
      </c>
      <c r="F148" s="3" t="inlineStr">
        <is>
          <t>남이면</t>
        </is>
      </c>
      <c r="G148" s="3" t="inlineStr">
        <is>
          <t>외천리</t>
        </is>
      </c>
      <c r="H148" s="3" t="inlineStr">
        <is>
          <t>농림지역</t>
        </is>
      </c>
      <c r="I148" s="3" t="inlineStr">
        <is>
          <t>답</t>
        </is>
      </c>
      <c r="J148" s="3" t="inlineStr">
        <is>
          <t>남이면</t>
        </is>
      </c>
    </row>
    <row r="149">
      <c r="A149" s="3" t="n">
        <v>2025</v>
      </c>
      <c r="B149" s="4" t="n">
        <v>700</v>
      </c>
      <c r="C149" s="4" t="n">
        <v>174</v>
      </c>
      <c r="D149" s="4" t="n">
        <v>52.635</v>
      </c>
      <c r="E149" s="5" t="n">
        <v>13.3</v>
      </c>
      <c r="F149" s="3" t="inlineStr">
        <is>
          <t>남이면</t>
        </is>
      </c>
      <c r="G149" s="3" t="inlineStr">
        <is>
          <t>부용외천리</t>
        </is>
      </c>
      <c r="H149" s="3" t="inlineStr">
        <is>
          <t>생산관리지역</t>
        </is>
      </c>
      <c r="I149" s="3" t="inlineStr">
        <is>
          <t>전</t>
        </is>
      </c>
      <c r="J149" s="3" t="inlineStr">
        <is>
          <t>남이면</t>
        </is>
      </c>
    </row>
    <row r="150">
      <c r="A150" s="3" t="n">
        <v>2025</v>
      </c>
      <c r="B150" s="4" t="n">
        <v>700</v>
      </c>
      <c r="C150" s="4" t="n">
        <v>87</v>
      </c>
      <c r="D150" s="4" t="n">
        <v>26.3175</v>
      </c>
      <c r="E150" s="5" t="n">
        <v>26.6</v>
      </c>
      <c r="F150" s="3" t="inlineStr">
        <is>
          <t>남이면</t>
        </is>
      </c>
      <c r="G150" s="3" t="inlineStr">
        <is>
          <t>부용외천리</t>
        </is>
      </c>
      <c r="H150" s="3" t="inlineStr">
        <is>
          <t>생산관리지역</t>
        </is>
      </c>
      <c r="I150" s="3" t="inlineStr">
        <is>
          <t>답</t>
        </is>
      </c>
      <c r="J150" s="3" t="inlineStr">
        <is>
          <t>남이면</t>
        </is>
      </c>
    </row>
    <row r="151">
      <c r="A151" s="3" t="n">
        <v>2022</v>
      </c>
      <c r="B151" s="4" t="n">
        <v>13000</v>
      </c>
      <c r="C151" s="4" t="n">
        <v>932</v>
      </c>
      <c r="D151" s="4" t="n">
        <v>281.93</v>
      </c>
      <c r="E151" s="5" t="n">
        <v>46.1</v>
      </c>
      <c r="F151" s="3" t="inlineStr">
        <is>
          <t>연동면</t>
        </is>
      </c>
      <c r="G151" s="3" t="inlineStr">
        <is>
          <t>내판리</t>
        </is>
      </c>
      <c r="H151" s="3" t="inlineStr">
        <is>
          <t>계획관리지역</t>
        </is>
      </c>
      <c r="I151" s="3" t="inlineStr">
        <is>
          <t>전</t>
        </is>
      </c>
      <c r="J151" s="3" t="inlineStr">
        <is>
          <t>연동면</t>
        </is>
      </c>
    </row>
    <row r="152">
      <c r="A152" s="3" t="n">
        <v>2022</v>
      </c>
      <c r="B152" s="4" t="n">
        <v>32550</v>
      </c>
      <c r="C152" s="4" t="n">
        <v>538</v>
      </c>
      <c r="D152" s="4" t="n">
        <v>162.745</v>
      </c>
      <c r="E152" s="5" t="n">
        <v>200</v>
      </c>
      <c r="F152" s="3" t="inlineStr">
        <is>
          <t>연서면</t>
        </is>
      </c>
      <c r="G152" s="3" t="inlineStr">
        <is>
          <t>국촌리</t>
        </is>
      </c>
      <c r="H152" s="3" t="inlineStr">
        <is>
          <t>계획관리지역</t>
        </is>
      </c>
      <c r="I152" s="3" t="inlineStr">
        <is>
          <t>답</t>
        </is>
      </c>
      <c r="J152" s="3" t="inlineStr">
        <is>
          <t>연서면</t>
        </is>
      </c>
    </row>
    <row r="153">
      <c r="A153" s="3" t="n">
        <v>2022</v>
      </c>
      <c r="B153" s="4" t="n">
        <v>2400</v>
      </c>
      <c r="C153" s="4" t="n">
        <v>200</v>
      </c>
      <c r="D153" s="4" t="n">
        <v>60.5</v>
      </c>
      <c r="E153" s="5" t="n">
        <v>39.7</v>
      </c>
      <c r="F153" s="3" t="inlineStr">
        <is>
          <t>연서면</t>
        </is>
      </c>
      <c r="G153" s="3" t="inlineStr">
        <is>
          <t>기룡리</t>
        </is>
      </c>
      <c r="H153" s="3" t="inlineStr">
        <is>
          <t>생산관리지역</t>
        </is>
      </c>
      <c r="I153" s="3" t="inlineStr">
        <is>
          <t>전</t>
        </is>
      </c>
      <c r="J153" s="3" t="inlineStr">
        <is>
          <t>연서면</t>
        </is>
      </c>
    </row>
    <row r="154">
      <c r="A154" s="3" t="n">
        <v>2022</v>
      </c>
      <c r="B154" s="4" t="n">
        <v>181742</v>
      </c>
      <c r="C154" s="4" t="n">
        <v>3004</v>
      </c>
      <c r="D154" s="4" t="n">
        <v>908.7099999999999</v>
      </c>
      <c r="E154" s="5" t="n">
        <v>200</v>
      </c>
      <c r="F154" s="3" t="inlineStr">
        <is>
          <t>연서면</t>
        </is>
      </c>
      <c r="G154" s="3" t="inlineStr">
        <is>
          <t>국촌리</t>
        </is>
      </c>
      <c r="H154" s="3" t="inlineStr">
        <is>
          <t>계획관리지역</t>
        </is>
      </c>
      <c r="I154" s="3" t="inlineStr">
        <is>
          <t>답</t>
        </is>
      </c>
      <c r="J154" s="3" t="inlineStr">
        <is>
          <t>연서면</t>
        </is>
      </c>
    </row>
    <row r="155">
      <c r="A155" s="3" t="n">
        <v>2022</v>
      </c>
      <c r="B155" s="4" t="n">
        <v>22780</v>
      </c>
      <c r="C155" s="4" t="n">
        <v>1569</v>
      </c>
      <c r="D155" s="4" t="n">
        <v>474.6225</v>
      </c>
      <c r="E155" s="5" t="n">
        <v>48</v>
      </c>
      <c r="F155" s="3" t="inlineStr">
        <is>
          <t>연서면</t>
        </is>
      </c>
      <c r="G155" s="3" t="inlineStr">
        <is>
          <t>신대리</t>
        </is>
      </c>
      <c r="H155" s="3" t="inlineStr">
        <is>
          <t>계획관리지역</t>
        </is>
      </c>
      <c r="I155" s="3" t="inlineStr">
        <is>
          <t>전</t>
        </is>
      </c>
      <c r="J155" s="3" t="inlineStr">
        <is>
          <t>연서면</t>
        </is>
      </c>
    </row>
    <row r="156">
      <c r="A156" s="3" t="n">
        <v>2022</v>
      </c>
      <c r="B156" s="4" t="n">
        <v>1920</v>
      </c>
      <c r="C156" s="4" t="n">
        <v>132</v>
      </c>
      <c r="D156" s="4" t="n">
        <v>39.93</v>
      </c>
      <c r="E156" s="5" t="n">
        <v>48.1</v>
      </c>
      <c r="F156" s="3" t="inlineStr">
        <is>
          <t>연서면</t>
        </is>
      </c>
      <c r="G156" s="3" t="inlineStr">
        <is>
          <t>신대리</t>
        </is>
      </c>
      <c r="H156" s="3" t="inlineStr">
        <is>
          <t>계획관리지역</t>
        </is>
      </c>
      <c r="I156" s="3" t="inlineStr">
        <is>
          <t>전</t>
        </is>
      </c>
      <c r="J156" s="3" t="inlineStr">
        <is>
          <t>연서면</t>
        </is>
      </c>
    </row>
    <row r="157">
      <c r="A157" s="3" t="n">
        <v>2025</v>
      </c>
      <c r="B157" s="4" t="n">
        <v>34000</v>
      </c>
      <c r="C157" s="4" t="n">
        <v>1874</v>
      </c>
      <c r="D157" s="4" t="n">
        <v>566.885</v>
      </c>
      <c r="E157" s="5" t="n">
        <v>60</v>
      </c>
      <c r="F157" s="3" t="inlineStr">
        <is>
          <t>남이면</t>
        </is>
      </c>
      <c r="G157" s="3" t="inlineStr">
        <is>
          <t>가좌리</t>
        </is>
      </c>
      <c r="H157" s="3" t="inlineStr">
        <is>
          <t>자연녹지지역</t>
        </is>
      </c>
      <c r="I157" s="3" t="inlineStr">
        <is>
          <t>답</t>
        </is>
      </c>
      <c r="J157" s="3" t="inlineStr">
        <is>
          <t>남이면</t>
        </is>
      </c>
    </row>
    <row r="158">
      <c r="A158" s="3" t="n">
        <v>2025</v>
      </c>
      <c r="B158" s="4" t="n">
        <v>400</v>
      </c>
      <c r="C158" s="4" t="n">
        <v>33</v>
      </c>
      <c r="D158" s="4" t="n">
        <v>9.9825</v>
      </c>
      <c r="E158" s="5" t="n">
        <v>40.1</v>
      </c>
      <c r="F158" s="3" t="inlineStr">
        <is>
          <t>남이면</t>
        </is>
      </c>
      <c r="G158" s="3" t="inlineStr">
        <is>
          <t>대련리</t>
        </is>
      </c>
      <c r="H158" s="3" t="inlineStr">
        <is>
          <t>자연녹지지역</t>
        </is>
      </c>
      <c r="I158" s="3" t="inlineStr">
        <is>
          <t>전</t>
        </is>
      </c>
      <c r="J158" s="3" t="inlineStr">
        <is>
          <t>남이면</t>
        </is>
      </c>
    </row>
    <row r="159">
      <c r="A159" s="3" t="n">
        <v>2025</v>
      </c>
      <c r="B159" s="4" t="n">
        <v>54865</v>
      </c>
      <c r="C159" s="4" t="n">
        <v>981</v>
      </c>
      <c r="D159" s="4" t="n">
        <v>296.7525</v>
      </c>
      <c r="E159" s="5" t="n">
        <v>184.9</v>
      </c>
      <c r="F159" s="3" t="inlineStr">
        <is>
          <t>남이면</t>
        </is>
      </c>
      <c r="G159" s="3" t="inlineStr">
        <is>
          <t>부용외천리</t>
        </is>
      </c>
      <c r="H159" s="3" t="inlineStr">
        <is>
          <t>계획관리지역</t>
        </is>
      </c>
      <c r="I159" s="3" t="inlineStr">
        <is>
          <t>답</t>
        </is>
      </c>
      <c r="J159" s="3" t="inlineStr">
        <is>
          <t>남이면</t>
        </is>
      </c>
    </row>
    <row r="160">
      <c r="A160" s="3" t="n">
        <v>2025</v>
      </c>
      <c r="B160" s="4" t="n">
        <v>100825</v>
      </c>
      <c r="C160" s="4" t="n">
        <v>1802</v>
      </c>
      <c r="D160" s="4" t="n">
        <v>545.105</v>
      </c>
      <c r="E160" s="5" t="n">
        <v>185</v>
      </c>
      <c r="F160" s="3" t="inlineStr">
        <is>
          <t>남이면</t>
        </is>
      </c>
      <c r="G160" s="3" t="inlineStr">
        <is>
          <t>부용외천리</t>
        </is>
      </c>
      <c r="H160" s="3" t="inlineStr">
        <is>
          <t>계획관리지역</t>
        </is>
      </c>
      <c r="I160" s="3" t="inlineStr">
        <is>
          <t>답</t>
        </is>
      </c>
      <c r="J160" s="3" t="inlineStr">
        <is>
          <t>남이면</t>
        </is>
      </c>
    </row>
    <row r="161">
      <c r="A161" s="3" t="n">
        <v>2025</v>
      </c>
      <c r="B161" s="4" t="n">
        <v>86210</v>
      </c>
      <c r="C161" s="4" t="n">
        <v>1541</v>
      </c>
      <c r="D161" s="4" t="n">
        <v>466.1525</v>
      </c>
      <c r="E161" s="5" t="n">
        <v>184.9</v>
      </c>
      <c r="F161" s="3" t="inlineStr">
        <is>
          <t>남이면</t>
        </is>
      </c>
      <c r="G161" s="3" t="inlineStr">
        <is>
          <t>부용외천리</t>
        </is>
      </c>
      <c r="H161" s="3" t="inlineStr">
        <is>
          <t>계획관리지역</t>
        </is>
      </c>
      <c r="I161" s="3" t="inlineStr">
        <is>
          <t>답</t>
        </is>
      </c>
      <c r="J161" s="3" t="inlineStr">
        <is>
          <t>남이면</t>
        </is>
      </c>
    </row>
    <row r="162">
      <c r="A162" s="3" t="n">
        <v>2025</v>
      </c>
      <c r="B162" s="4" t="n">
        <v>29930</v>
      </c>
      <c r="C162" s="4" t="n">
        <v>1178</v>
      </c>
      <c r="D162" s="4" t="n">
        <v>356.345</v>
      </c>
      <c r="E162" s="5" t="n">
        <v>84</v>
      </c>
      <c r="F162" s="3" t="inlineStr">
        <is>
          <t>남이면</t>
        </is>
      </c>
      <c r="G162" s="3" t="inlineStr">
        <is>
          <t>가좌리</t>
        </is>
      </c>
      <c r="H162" s="3" t="inlineStr">
        <is>
          <t>보전녹지지역</t>
        </is>
      </c>
      <c r="I162" s="3" t="inlineStr">
        <is>
          <t>임야</t>
        </is>
      </c>
      <c r="J162" s="3" t="inlineStr">
        <is>
          <t>남이면</t>
        </is>
      </c>
    </row>
    <row r="163">
      <c r="A163" s="3" t="n">
        <v>2025</v>
      </c>
      <c r="B163" s="4" t="n">
        <v>13390</v>
      </c>
      <c r="C163" s="4" t="n">
        <v>2951</v>
      </c>
      <c r="D163" s="4" t="n">
        <v>892.6775</v>
      </c>
      <c r="E163" s="5" t="n">
        <v>15</v>
      </c>
      <c r="F163" s="3" t="inlineStr">
        <is>
          <t>남이면</t>
        </is>
      </c>
      <c r="G163" s="3" t="inlineStr">
        <is>
          <t>문동리</t>
        </is>
      </c>
      <c r="H163" s="3" t="inlineStr">
        <is>
          <t>농림지역</t>
        </is>
      </c>
      <c r="I163" s="3" t="inlineStr">
        <is>
          <t>답</t>
        </is>
      </c>
      <c r="J163" s="3" t="inlineStr">
        <is>
          <t>남이면</t>
        </is>
      </c>
    </row>
    <row r="164">
      <c r="A164" s="3" t="n">
        <v>2025</v>
      </c>
      <c r="B164" s="4" t="n">
        <v>55000</v>
      </c>
      <c r="C164" s="4" t="n">
        <v>1167</v>
      </c>
      <c r="D164" s="4" t="n">
        <v>353.0175</v>
      </c>
      <c r="E164" s="5" t="n">
        <v>155.8</v>
      </c>
      <c r="F164" s="3" t="inlineStr">
        <is>
          <t>남이면</t>
        </is>
      </c>
      <c r="G164" s="3" t="inlineStr">
        <is>
          <t>양촌리</t>
        </is>
      </c>
      <c r="H164" s="3" t="inlineStr">
        <is>
          <t>자연녹지지역</t>
        </is>
      </c>
      <c r="I164" s="3" t="inlineStr">
        <is>
          <t>전</t>
        </is>
      </c>
      <c r="J164" s="3" t="inlineStr">
        <is>
          <t>남이면</t>
        </is>
      </c>
    </row>
    <row r="165">
      <c r="A165" s="3" t="n">
        <v>2025</v>
      </c>
      <c r="B165" s="4" t="n">
        <v>4500</v>
      </c>
      <c r="C165" s="4" t="n">
        <v>308</v>
      </c>
      <c r="D165" s="4" t="n">
        <v>93.17</v>
      </c>
      <c r="E165" s="5" t="n">
        <v>48.3</v>
      </c>
      <c r="F165" s="3" t="inlineStr">
        <is>
          <t>남이면</t>
        </is>
      </c>
      <c r="G165" s="3" t="inlineStr">
        <is>
          <t>척산리</t>
        </is>
      </c>
      <c r="H165" s="3" t="inlineStr">
        <is>
          <t>자연녹지지역</t>
        </is>
      </c>
      <c r="I165" s="3" t="inlineStr">
        <is>
          <t>답</t>
        </is>
      </c>
      <c r="J165" s="3" t="inlineStr">
        <is>
          <t>남이면</t>
        </is>
      </c>
    </row>
    <row r="166">
      <c r="A166" s="3" t="n">
        <v>2024</v>
      </c>
      <c r="B166" s="4" t="n">
        <v>46</v>
      </c>
      <c r="C166" s="4" t="n">
        <v>7</v>
      </c>
      <c r="D166" s="4" t="n">
        <v>2.1175</v>
      </c>
      <c r="E166" s="5" t="n">
        <v>21.7</v>
      </c>
      <c r="F166" s="3" t="inlineStr">
        <is>
          <t>남이면</t>
        </is>
      </c>
      <c r="G166" s="3" t="inlineStr">
        <is>
          <t>가마리</t>
        </is>
      </c>
      <c r="H166" s="3" t="inlineStr">
        <is>
          <t>자연녹지지역</t>
        </is>
      </c>
      <c r="I166" s="3" t="inlineStr">
        <is>
          <t>도로</t>
        </is>
      </c>
      <c r="J166" s="3" t="inlineStr">
        <is>
          <t>남이면</t>
        </is>
      </c>
    </row>
    <row r="167">
      <c r="A167" s="3" t="n">
        <v>2024</v>
      </c>
      <c r="B167" s="4" t="n">
        <v>29700</v>
      </c>
      <c r="C167" s="4" t="n">
        <v>500</v>
      </c>
      <c r="D167" s="4" t="n">
        <v>151.25</v>
      </c>
      <c r="E167" s="5" t="n">
        <v>196.4</v>
      </c>
      <c r="F167" s="3" t="inlineStr">
        <is>
          <t>남이면</t>
        </is>
      </c>
      <c r="G167" s="3" t="inlineStr">
        <is>
          <t>가마리</t>
        </is>
      </c>
      <c r="H167" s="3" t="inlineStr">
        <is>
          <t>보전녹지지역</t>
        </is>
      </c>
      <c r="I167" s="3" t="inlineStr">
        <is>
          <t>임야</t>
        </is>
      </c>
      <c r="J167" s="3" t="inlineStr">
        <is>
          <t>남이면</t>
        </is>
      </c>
    </row>
    <row r="168">
      <c r="A168" s="3" t="n">
        <v>2024</v>
      </c>
      <c r="B168" s="4" t="n">
        <v>34238</v>
      </c>
      <c r="C168" s="4" t="n">
        <v>2410</v>
      </c>
      <c r="D168" s="4" t="n">
        <v>729.025</v>
      </c>
      <c r="E168" s="5" t="n">
        <v>47</v>
      </c>
      <c r="F168" s="3" t="inlineStr">
        <is>
          <t>남이면</t>
        </is>
      </c>
      <c r="G168" s="3" t="inlineStr">
        <is>
          <t>구미리</t>
        </is>
      </c>
      <c r="H168" s="3" t="inlineStr">
        <is>
          <t>농림지역</t>
        </is>
      </c>
      <c r="I168" s="3" t="inlineStr">
        <is>
          <t>전</t>
        </is>
      </c>
      <c r="J168" s="3" t="inlineStr">
        <is>
          <t>남이면</t>
        </is>
      </c>
    </row>
    <row r="169">
      <c r="A169" s="3" t="n">
        <v>2024</v>
      </c>
      <c r="B169" s="4" t="n">
        <v>2062</v>
      </c>
      <c r="C169" s="4" t="n">
        <v>145</v>
      </c>
      <c r="D169" s="4" t="n">
        <v>43.8625</v>
      </c>
      <c r="E169" s="5" t="n">
        <v>47</v>
      </c>
      <c r="F169" s="3" t="inlineStr">
        <is>
          <t>남이면</t>
        </is>
      </c>
      <c r="G169" s="3" t="inlineStr">
        <is>
          <t>구미리</t>
        </is>
      </c>
      <c r="H169" s="3" t="inlineStr">
        <is>
          <t>농림지역</t>
        </is>
      </c>
      <c r="I169" s="3" t="inlineStr">
        <is>
          <t>구거</t>
        </is>
      </c>
      <c r="J169" s="3" t="inlineStr">
        <is>
          <t>남이면</t>
        </is>
      </c>
    </row>
    <row r="170">
      <c r="A170" s="3" t="n">
        <v>2024</v>
      </c>
      <c r="B170" s="4" t="n">
        <v>16000</v>
      </c>
      <c r="C170" s="4" t="n">
        <v>1098</v>
      </c>
      <c r="D170" s="4" t="n">
        <v>332.145</v>
      </c>
      <c r="E170" s="5" t="n">
        <v>48.2</v>
      </c>
      <c r="F170" s="3" t="inlineStr">
        <is>
          <t>남이면</t>
        </is>
      </c>
      <c r="G170" s="3" t="inlineStr">
        <is>
          <t>구암리</t>
        </is>
      </c>
      <c r="H170" s="3" t="inlineStr">
        <is>
          <t>자연녹지지역</t>
        </is>
      </c>
      <c r="I170" s="3" t="inlineStr">
        <is>
          <t>답</t>
        </is>
      </c>
      <c r="J170" s="3" t="inlineStr">
        <is>
          <t>남이면</t>
        </is>
      </c>
    </row>
    <row r="171">
      <c r="A171" s="3" t="n">
        <v>2024</v>
      </c>
      <c r="B171" s="4" t="n">
        <v>7507</v>
      </c>
      <c r="C171" s="4" t="n">
        <v>196</v>
      </c>
      <c r="D171" s="4" t="n">
        <v>59.29</v>
      </c>
      <c r="E171" s="5" t="n">
        <v>126.6</v>
      </c>
      <c r="F171" s="3" t="inlineStr">
        <is>
          <t>남이면</t>
        </is>
      </c>
      <c r="G171" s="3" t="inlineStr">
        <is>
          <t>가마리</t>
        </is>
      </c>
      <c r="H171" s="3" t="inlineStr">
        <is>
          <t>자연녹지지역</t>
        </is>
      </c>
      <c r="I171" s="3" t="inlineStr">
        <is>
          <t>답</t>
        </is>
      </c>
      <c r="J171" s="3" t="inlineStr">
        <is>
          <t>남이면</t>
        </is>
      </c>
    </row>
    <row r="172">
      <c r="A172" s="3" t="n">
        <v>2024</v>
      </c>
      <c r="B172" s="4" t="n">
        <v>25000</v>
      </c>
      <c r="C172" s="4" t="n">
        <v>662</v>
      </c>
      <c r="D172" s="4" t="n">
        <v>200.255</v>
      </c>
      <c r="E172" s="5" t="n">
        <v>124.8</v>
      </c>
      <c r="F172" s="3" t="inlineStr">
        <is>
          <t>남이면</t>
        </is>
      </c>
      <c r="G172" s="3" t="inlineStr">
        <is>
          <t>양촌리</t>
        </is>
      </c>
      <c r="H172" s="3" t="inlineStr">
        <is>
          <t>자연녹지지역</t>
        </is>
      </c>
      <c r="I172" s="3" t="inlineStr">
        <is>
          <t>전</t>
        </is>
      </c>
      <c r="J172" s="3" t="inlineStr">
        <is>
          <t>남이면</t>
        </is>
      </c>
    </row>
    <row r="173">
      <c r="A173" s="3" t="n">
        <v>2024</v>
      </c>
      <c r="B173" s="4" t="n">
        <v>1400</v>
      </c>
      <c r="C173" s="4" t="n">
        <v>912</v>
      </c>
      <c r="D173" s="4" t="n">
        <v>275.88</v>
      </c>
      <c r="E173" s="5" t="n">
        <v>5.1</v>
      </c>
      <c r="F173" s="3" t="inlineStr">
        <is>
          <t>남이면</t>
        </is>
      </c>
      <c r="G173" s="3" t="inlineStr">
        <is>
          <t>척산리</t>
        </is>
      </c>
      <c r="H173" s="3" t="inlineStr">
        <is>
          <t>보전관리지역</t>
        </is>
      </c>
      <c r="I173" s="3" t="inlineStr">
        <is>
          <t>묘지</t>
        </is>
      </c>
      <c r="J173" s="3" t="inlineStr">
        <is>
          <t>남이면</t>
        </is>
      </c>
    </row>
    <row r="174">
      <c r="A174" s="3" t="n">
        <v>2024</v>
      </c>
      <c r="B174" s="4" t="n">
        <v>4400</v>
      </c>
      <c r="C174" s="4" t="n">
        <v>638</v>
      </c>
      <c r="D174" s="4" t="n">
        <v>192.995</v>
      </c>
      <c r="E174" s="5" t="n">
        <v>22.8</v>
      </c>
      <c r="F174" s="3" t="inlineStr">
        <is>
          <t>남이면</t>
        </is>
      </c>
      <c r="G174" s="3" t="inlineStr">
        <is>
          <t>산막리</t>
        </is>
      </c>
      <c r="H174" s="3" t="inlineStr">
        <is>
          <t>계획관리지역</t>
        </is>
      </c>
      <c r="I174" s="3" t="inlineStr">
        <is>
          <t>묘지</t>
        </is>
      </c>
      <c r="J174" s="3" t="inlineStr">
        <is>
          <t>남이면</t>
        </is>
      </c>
    </row>
    <row r="175">
      <c r="A175" s="3" t="n">
        <v>2024</v>
      </c>
      <c r="B175" s="4" t="n">
        <v>8300</v>
      </c>
      <c r="C175" s="4" t="n">
        <v>866</v>
      </c>
      <c r="D175" s="4" t="n">
        <v>261.965</v>
      </c>
      <c r="E175" s="5" t="n">
        <v>31.7</v>
      </c>
      <c r="F175" s="3" t="inlineStr">
        <is>
          <t>남이면</t>
        </is>
      </c>
      <c r="G175" s="3" t="inlineStr">
        <is>
          <t>사동리</t>
        </is>
      </c>
      <c r="H175" s="3" t="inlineStr">
        <is>
          <t>농림지역</t>
        </is>
      </c>
      <c r="I175" s="3" t="inlineStr">
        <is>
          <t>전</t>
        </is>
      </c>
      <c r="J175" s="3" t="inlineStr">
        <is>
          <t>남이면</t>
        </is>
      </c>
    </row>
    <row r="176">
      <c r="A176" s="3" t="n">
        <v>2024</v>
      </c>
      <c r="B176" s="4" t="n">
        <v>6700</v>
      </c>
      <c r="C176" s="4" t="n">
        <v>717</v>
      </c>
      <c r="D176" s="4" t="n">
        <v>216.8925</v>
      </c>
      <c r="E176" s="5" t="n">
        <v>30.9</v>
      </c>
      <c r="F176" s="3" t="inlineStr">
        <is>
          <t>남이면</t>
        </is>
      </c>
      <c r="G176" s="3" t="inlineStr">
        <is>
          <t>사동리</t>
        </is>
      </c>
      <c r="H176" s="3" t="inlineStr">
        <is>
          <t>농림지역</t>
        </is>
      </c>
      <c r="I176" s="3" t="inlineStr">
        <is>
          <t>유지</t>
        </is>
      </c>
      <c r="J176" s="3" t="inlineStr">
        <is>
          <t>남이면</t>
        </is>
      </c>
    </row>
    <row r="177">
      <c r="A177" s="3" t="n">
        <v>2024</v>
      </c>
      <c r="B177" s="4" t="n">
        <v>28600</v>
      </c>
      <c r="C177" s="4" t="n">
        <v>641</v>
      </c>
      <c r="D177" s="4" t="n">
        <v>193.9025</v>
      </c>
      <c r="E177" s="5" t="n">
        <v>147.5</v>
      </c>
      <c r="F177" s="3" t="inlineStr">
        <is>
          <t>남이면</t>
        </is>
      </c>
      <c r="G177" s="3" t="inlineStr">
        <is>
          <t>외천리</t>
        </is>
      </c>
      <c r="H177" s="3" t="inlineStr">
        <is>
          <t>계획관리지역</t>
        </is>
      </c>
      <c r="I177" s="3" t="inlineStr">
        <is>
          <t>대</t>
        </is>
      </c>
      <c r="J177" s="3" t="inlineStr">
        <is>
          <t>남이면</t>
        </is>
      </c>
    </row>
    <row r="178">
      <c r="A178" s="3" t="n">
        <v>2024</v>
      </c>
      <c r="B178" s="4" t="n">
        <v>7900</v>
      </c>
      <c r="C178" s="4" t="n">
        <v>178</v>
      </c>
      <c r="D178" s="4" t="n">
        <v>53.845</v>
      </c>
      <c r="E178" s="5" t="n">
        <v>146.7</v>
      </c>
      <c r="F178" s="3" t="inlineStr">
        <is>
          <t>남이면</t>
        </is>
      </c>
      <c r="G178" s="3" t="inlineStr">
        <is>
          <t>외천리</t>
        </is>
      </c>
      <c r="H178" s="3" t="inlineStr">
        <is>
          <t>계획관리지역</t>
        </is>
      </c>
      <c r="I178" s="3" t="inlineStr">
        <is>
          <t>잡종지</t>
        </is>
      </c>
      <c r="J178" s="3" t="inlineStr">
        <is>
          <t>남이면</t>
        </is>
      </c>
    </row>
    <row r="179">
      <c r="A179" s="3" t="n">
        <v>2023</v>
      </c>
      <c r="B179" s="4" t="n">
        <v>535</v>
      </c>
      <c r="C179" s="4" t="n">
        <v>24</v>
      </c>
      <c r="D179" s="4" t="n">
        <v>7.26</v>
      </c>
      <c r="E179" s="5" t="n">
        <v>73.7</v>
      </c>
      <c r="F179" s="3" t="inlineStr">
        <is>
          <t>남이면</t>
        </is>
      </c>
      <c r="G179" s="3" t="inlineStr">
        <is>
          <t>구미리</t>
        </is>
      </c>
      <c r="H179" s="3" t="inlineStr">
        <is>
          <t>계획관리지역</t>
        </is>
      </c>
      <c r="I179" s="3" t="inlineStr">
        <is>
          <t>도로</t>
        </is>
      </c>
      <c r="J179" s="3" t="inlineStr">
        <is>
          <t>남이면</t>
        </is>
      </c>
    </row>
    <row r="180">
      <c r="A180" s="3" t="n">
        <v>2023</v>
      </c>
      <c r="B180" s="4" t="n">
        <v>70000</v>
      </c>
      <c r="C180" s="4" t="n">
        <v>1650</v>
      </c>
      <c r="D180" s="4" t="n">
        <v>499.125</v>
      </c>
      <c r="E180" s="5" t="n">
        <v>140.2</v>
      </c>
      <c r="F180" s="3" t="inlineStr">
        <is>
          <t>남이면</t>
        </is>
      </c>
      <c r="G180" s="3" t="inlineStr">
        <is>
          <t>석판리</t>
        </is>
      </c>
      <c r="H180" s="3" t="inlineStr">
        <is>
          <t>자연녹지지역</t>
        </is>
      </c>
      <c r="I180" s="3" t="inlineStr">
        <is>
          <t>전</t>
        </is>
      </c>
      <c r="J180" s="3" t="inlineStr">
        <is>
          <t>남이면</t>
        </is>
      </c>
    </row>
    <row r="181">
      <c r="A181" s="3" t="n">
        <v>2023</v>
      </c>
      <c r="B181" s="4" t="n">
        <v>24500</v>
      </c>
      <c r="C181" s="4" t="n">
        <v>883</v>
      </c>
      <c r="D181" s="4" t="n">
        <v>267.1075</v>
      </c>
      <c r="E181" s="5" t="n">
        <v>91.7</v>
      </c>
      <c r="F181" s="3" t="inlineStr">
        <is>
          <t>남이면</t>
        </is>
      </c>
      <c r="G181" s="3" t="inlineStr">
        <is>
          <t>외천리</t>
        </is>
      </c>
      <c r="H181" s="3" t="inlineStr">
        <is>
          <t>계획관리지역</t>
        </is>
      </c>
      <c r="I181" s="3" t="inlineStr">
        <is>
          <t>답</t>
        </is>
      </c>
      <c r="J181" s="3" t="inlineStr">
        <is>
          <t>남이면</t>
        </is>
      </c>
    </row>
    <row r="182">
      <c r="A182" s="3" t="n">
        <v>2023</v>
      </c>
      <c r="B182" s="4" t="n">
        <v>15423</v>
      </c>
      <c r="C182" s="4" t="n">
        <v>165</v>
      </c>
      <c r="D182" s="4" t="n">
        <v>49.9125</v>
      </c>
      <c r="E182" s="5" t="n">
        <v>309</v>
      </c>
      <c r="F182" s="3" t="inlineStr">
        <is>
          <t>조치원읍</t>
        </is>
      </c>
      <c r="G182" s="3" t="inlineStr">
        <is>
          <t>신흥리</t>
        </is>
      </c>
      <c r="H182" s="3" t="inlineStr">
        <is>
          <t>제2종일반주거지역</t>
        </is>
      </c>
      <c r="I182" s="3" t="inlineStr">
        <is>
          <t>전</t>
        </is>
      </c>
      <c r="J182" s="3" t="inlineStr">
        <is>
          <t>조치원읍</t>
        </is>
      </c>
    </row>
    <row r="183">
      <c r="A183" s="3" t="n">
        <v>2023</v>
      </c>
      <c r="B183" s="4" t="n">
        <v>30000</v>
      </c>
      <c r="C183" s="4" t="n">
        <v>1321</v>
      </c>
      <c r="D183" s="4" t="n">
        <v>399.6025</v>
      </c>
      <c r="E183" s="5" t="n">
        <v>75.09999999999999</v>
      </c>
      <c r="F183" s="3" t="inlineStr">
        <is>
          <t>부강면</t>
        </is>
      </c>
      <c r="G183" s="3" t="inlineStr">
        <is>
          <t>금호리</t>
        </is>
      </c>
      <c r="H183" s="3" t="inlineStr">
        <is>
          <t>생산관리지역</t>
        </is>
      </c>
      <c r="I183" s="3" t="inlineStr">
        <is>
          <t>전</t>
        </is>
      </c>
      <c r="J183" s="3" t="inlineStr">
        <is>
          <t>부강면</t>
        </is>
      </c>
    </row>
    <row r="184">
      <c r="A184" s="3" t="n">
        <v>2023</v>
      </c>
      <c r="B184" s="4" t="n">
        <v>95000</v>
      </c>
      <c r="C184" s="4" t="n">
        <v>2686</v>
      </c>
      <c r="D184" s="4" t="n">
        <v>812.515</v>
      </c>
      <c r="E184" s="5" t="n">
        <v>116.9</v>
      </c>
      <c r="F184" s="3" t="inlineStr">
        <is>
          <t>연서면</t>
        </is>
      </c>
      <c r="G184" s="3" t="inlineStr">
        <is>
          <t>신대리</t>
        </is>
      </c>
      <c r="H184" s="3" t="inlineStr">
        <is>
          <t>계획관리지역</t>
        </is>
      </c>
      <c r="I184" s="3" t="inlineStr">
        <is>
          <t>잡종지</t>
        </is>
      </c>
      <c r="J184" s="3" t="inlineStr">
        <is>
          <t>연서면</t>
        </is>
      </c>
    </row>
    <row r="185">
      <c r="A185" s="3" t="n">
        <v>2023</v>
      </c>
      <c r="B185" s="4" t="n">
        <v>11300</v>
      </c>
      <c r="C185" s="4" t="n">
        <v>473</v>
      </c>
      <c r="D185" s="4" t="n">
        <v>143.0825</v>
      </c>
      <c r="E185" s="5" t="n">
        <v>79</v>
      </c>
      <c r="F185" s="3" t="inlineStr">
        <is>
          <t>연서면</t>
        </is>
      </c>
      <c r="G185" s="3" t="inlineStr">
        <is>
          <t>신대리</t>
        </is>
      </c>
      <c r="H185" s="3" t="inlineStr">
        <is>
          <t>보전관리지역</t>
        </is>
      </c>
      <c r="I185" s="3" t="inlineStr">
        <is>
          <t>답</t>
        </is>
      </c>
      <c r="J185" s="3" t="inlineStr">
        <is>
          <t>연서면</t>
        </is>
      </c>
    </row>
    <row r="186">
      <c r="A186" s="3" t="n">
        <v>2023</v>
      </c>
      <c r="B186" s="4" t="n">
        <v>58700</v>
      </c>
      <c r="C186" s="4" t="n">
        <v>2460</v>
      </c>
      <c r="D186" s="4" t="n">
        <v>744.15</v>
      </c>
      <c r="E186" s="5" t="n">
        <v>78.90000000000001</v>
      </c>
      <c r="F186" s="3" t="inlineStr">
        <is>
          <t>연서면</t>
        </is>
      </c>
      <c r="G186" s="3" t="inlineStr">
        <is>
          <t>신대리</t>
        </is>
      </c>
      <c r="H186" s="3" t="inlineStr">
        <is>
          <t>계획관리지역</t>
        </is>
      </c>
      <c r="I186" s="3" t="inlineStr">
        <is>
          <t>답</t>
        </is>
      </c>
      <c r="J186" s="3" t="inlineStr">
        <is>
          <t>연서면</t>
        </is>
      </c>
    </row>
    <row r="187">
      <c r="A187" s="3" t="n">
        <v>2023</v>
      </c>
      <c r="B187" s="4" t="n">
        <v>98000</v>
      </c>
      <c r="C187" s="4" t="n">
        <v>2686</v>
      </c>
      <c r="D187" s="4" t="n">
        <v>812.515</v>
      </c>
      <c r="E187" s="5" t="n">
        <v>120.6</v>
      </c>
      <c r="F187" s="3" t="inlineStr">
        <is>
          <t>연서면</t>
        </is>
      </c>
      <c r="G187" s="3" t="inlineStr">
        <is>
          <t>신대리</t>
        </is>
      </c>
      <c r="H187" s="3" t="inlineStr">
        <is>
          <t>계획관리지역</t>
        </is>
      </c>
      <c r="I187" s="3" t="inlineStr">
        <is>
          <t>잡종지</t>
        </is>
      </c>
      <c r="J187" s="3" t="inlineStr">
        <is>
          <t>연서면</t>
        </is>
      </c>
    </row>
    <row r="188">
      <c r="A188" s="3" t="n">
        <v>2023</v>
      </c>
      <c r="B188" s="4" t="n">
        <v>16800</v>
      </c>
      <c r="C188" s="4" t="n">
        <v>1388</v>
      </c>
      <c r="D188" s="4" t="n">
        <v>419.87</v>
      </c>
      <c r="E188" s="5" t="n">
        <v>40</v>
      </c>
      <c r="F188" s="3" t="inlineStr">
        <is>
          <t>부강면</t>
        </is>
      </c>
      <c r="G188" s="3" t="inlineStr">
        <is>
          <t>노호리</t>
        </is>
      </c>
      <c r="H188" s="3" t="inlineStr">
        <is>
          <t>생산관리지역</t>
        </is>
      </c>
      <c r="I188" s="3" t="inlineStr">
        <is>
          <t>답</t>
        </is>
      </c>
      <c r="J188" s="3" t="inlineStr">
        <is>
          <t>부강면</t>
        </is>
      </c>
    </row>
    <row r="189">
      <c r="A189" s="3" t="n">
        <v>2023</v>
      </c>
      <c r="B189" s="4" t="n">
        <v>8500</v>
      </c>
      <c r="C189" s="4" t="n">
        <v>704</v>
      </c>
      <c r="D189" s="4" t="n">
        <v>212.96</v>
      </c>
      <c r="E189" s="5" t="n">
        <v>39.9</v>
      </c>
      <c r="F189" s="3" t="inlineStr">
        <is>
          <t>부강면</t>
        </is>
      </c>
      <c r="G189" s="3" t="inlineStr">
        <is>
          <t>노호리</t>
        </is>
      </c>
      <c r="H189" s="3" t="inlineStr">
        <is>
          <t>생산관리지역</t>
        </is>
      </c>
      <c r="I189" s="3" t="inlineStr">
        <is>
          <t>답</t>
        </is>
      </c>
      <c r="J189" s="3" t="inlineStr">
        <is>
          <t>부강면</t>
        </is>
      </c>
    </row>
    <row r="190">
      <c r="A190" s="3" t="n">
        <v>2023</v>
      </c>
      <c r="B190" s="4" t="n">
        <v>2600</v>
      </c>
      <c r="C190" s="4" t="n">
        <v>110</v>
      </c>
      <c r="D190" s="4" t="n">
        <v>33.275</v>
      </c>
      <c r="E190" s="5" t="n">
        <v>78.09999999999999</v>
      </c>
      <c r="F190" s="3" t="inlineStr">
        <is>
          <t>연서면</t>
        </is>
      </c>
      <c r="G190" s="3" t="inlineStr">
        <is>
          <t>쌍류리</t>
        </is>
      </c>
      <c r="H190" s="3" t="inlineStr">
        <is>
          <t>생산관리지역</t>
        </is>
      </c>
      <c r="I190" s="3" t="inlineStr">
        <is>
          <t>전</t>
        </is>
      </c>
      <c r="J190" s="3" t="inlineStr">
        <is>
          <t>연서면</t>
        </is>
      </c>
    </row>
    <row r="191">
      <c r="A191" s="3" t="n">
        <v>2023</v>
      </c>
      <c r="B191" s="4" t="n">
        <v>154</v>
      </c>
      <c r="C191" s="4" t="n">
        <v>11</v>
      </c>
      <c r="D191" s="4" t="n">
        <v>3.3275</v>
      </c>
      <c r="E191" s="5" t="n">
        <v>46.3</v>
      </c>
      <c r="F191" s="3" t="inlineStr">
        <is>
          <t>연동면</t>
        </is>
      </c>
      <c r="G191" s="3" t="inlineStr">
        <is>
          <t>내판리</t>
        </is>
      </c>
      <c r="H191" s="3" t="inlineStr">
        <is>
          <t>계획관리지역</t>
        </is>
      </c>
      <c r="I191" s="3" t="inlineStr">
        <is>
          <t>임야</t>
        </is>
      </c>
      <c r="J191" s="3" t="inlineStr">
        <is>
          <t>연동면</t>
        </is>
      </c>
    </row>
    <row r="192">
      <c r="A192" s="3" t="n">
        <v>2023</v>
      </c>
      <c r="B192" s="4" t="n">
        <v>8346</v>
      </c>
      <c r="C192" s="4" t="n">
        <v>597</v>
      </c>
      <c r="D192" s="4" t="n">
        <v>180.5925</v>
      </c>
      <c r="E192" s="5" t="n">
        <v>46.2</v>
      </c>
      <c r="F192" s="3" t="inlineStr">
        <is>
          <t>연동면</t>
        </is>
      </c>
      <c r="G192" s="3" t="inlineStr">
        <is>
          <t>내판리</t>
        </is>
      </c>
      <c r="H192" s="3" t="inlineStr">
        <is>
          <t>계획관리지역</t>
        </is>
      </c>
      <c r="I192" s="3" t="inlineStr">
        <is>
          <t>대</t>
        </is>
      </c>
      <c r="J192" s="3" t="inlineStr">
        <is>
          <t>연동면</t>
        </is>
      </c>
    </row>
    <row r="193">
      <c r="A193" s="3" t="n">
        <v>2023</v>
      </c>
      <c r="B193" s="4" t="n">
        <v>50</v>
      </c>
      <c r="C193" s="4" t="n">
        <v>5</v>
      </c>
      <c r="D193" s="4" t="n">
        <v>1.5125</v>
      </c>
      <c r="E193" s="5" t="n">
        <v>33.1</v>
      </c>
      <c r="F193" s="3" t="inlineStr">
        <is>
          <t>연동면</t>
        </is>
      </c>
      <c r="G193" s="3" t="inlineStr">
        <is>
          <t>내판리</t>
        </is>
      </c>
      <c r="H193" s="3" t="inlineStr">
        <is>
          <t>계획관리지역</t>
        </is>
      </c>
      <c r="I193" s="3" t="inlineStr">
        <is>
          <t>대</t>
        </is>
      </c>
      <c r="J193" s="3" t="inlineStr">
        <is>
          <t>연동면</t>
        </is>
      </c>
    </row>
    <row r="194">
      <c r="A194" s="3" t="n">
        <v>2023</v>
      </c>
      <c r="B194" s="4" t="n">
        <v>7500</v>
      </c>
      <c r="C194" s="4" t="n">
        <v>167</v>
      </c>
      <c r="D194" s="4" t="n">
        <v>50.5175</v>
      </c>
      <c r="E194" s="5" t="n">
        <v>148.5</v>
      </c>
      <c r="F194" s="3" t="inlineStr">
        <is>
          <t>연동면</t>
        </is>
      </c>
      <c r="G194" s="3" t="inlineStr">
        <is>
          <t>내판리</t>
        </is>
      </c>
      <c r="H194" s="3" t="inlineStr">
        <is>
          <t>계획관리지역</t>
        </is>
      </c>
      <c r="I194" s="3" t="inlineStr">
        <is>
          <t>대</t>
        </is>
      </c>
      <c r="J194" s="3" t="inlineStr">
        <is>
          <t>연동면</t>
        </is>
      </c>
    </row>
    <row r="195">
      <c r="A195" s="3" t="n">
        <v>2023</v>
      </c>
      <c r="B195" s="4" t="n">
        <v>3300</v>
      </c>
      <c r="C195" s="4" t="n">
        <v>74</v>
      </c>
      <c r="D195" s="4" t="n">
        <v>22.385</v>
      </c>
      <c r="E195" s="5" t="n">
        <v>147.4</v>
      </c>
      <c r="F195" s="3" t="inlineStr">
        <is>
          <t>연동면</t>
        </is>
      </c>
      <c r="G195" s="3" t="inlineStr">
        <is>
          <t>내판리</t>
        </is>
      </c>
      <c r="H195" s="3" t="inlineStr">
        <is>
          <t>계획관리지역</t>
        </is>
      </c>
      <c r="I195" s="3" t="inlineStr">
        <is>
          <t>대</t>
        </is>
      </c>
      <c r="J195" s="3" t="inlineStr">
        <is>
          <t>연동면</t>
        </is>
      </c>
    </row>
    <row r="196">
      <c r="A196" s="3" t="n">
        <v>2023</v>
      </c>
      <c r="B196" s="4" t="n">
        <v>3930</v>
      </c>
      <c r="C196" s="4" t="n">
        <v>89</v>
      </c>
      <c r="D196" s="4" t="n">
        <v>26.9225</v>
      </c>
      <c r="E196" s="5" t="n">
        <v>146</v>
      </c>
      <c r="F196" s="3" t="inlineStr">
        <is>
          <t>연동면</t>
        </is>
      </c>
      <c r="G196" s="3" t="inlineStr">
        <is>
          <t>내판리</t>
        </is>
      </c>
      <c r="H196" s="3" t="inlineStr">
        <is>
          <t>계획관리지역</t>
        </is>
      </c>
      <c r="I196" s="3" t="inlineStr">
        <is>
          <t>대</t>
        </is>
      </c>
      <c r="J196" s="3" t="inlineStr">
        <is>
          <t>연동면</t>
        </is>
      </c>
    </row>
    <row r="197">
      <c r="A197" s="3" t="n">
        <v>2023</v>
      </c>
      <c r="B197" s="4" t="n">
        <v>270</v>
      </c>
      <c r="C197" s="4" t="n">
        <v>6</v>
      </c>
      <c r="D197" s="4" t="n">
        <v>1.815</v>
      </c>
      <c r="E197" s="5" t="n">
        <v>148.8</v>
      </c>
      <c r="F197" s="3" t="inlineStr">
        <is>
          <t>연동면</t>
        </is>
      </c>
      <c r="G197" s="3" t="inlineStr">
        <is>
          <t>내판리</t>
        </is>
      </c>
      <c r="H197" s="3" t="inlineStr">
        <is>
          <t>계획관리지역</t>
        </is>
      </c>
      <c r="I197" s="3" t="inlineStr">
        <is>
          <t>대</t>
        </is>
      </c>
      <c r="J197" s="3" t="inlineStr">
        <is>
          <t>연동면</t>
        </is>
      </c>
    </row>
    <row r="198">
      <c r="A198" s="3" t="n">
        <v>2023</v>
      </c>
      <c r="B198" s="4" t="n">
        <v>550</v>
      </c>
      <c r="C198" s="4" t="n">
        <v>12</v>
      </c>
      <c r="D198" s="4" t="n">
        <v>3.63</v>
      </c>
      <c r="E198" s="5" t="n">
        <v>151.5</v>
      </c>
      <c r="F198" s="3" t="inlineStr">
        <is>
          <t>연동면</t>
        </is>
      </c>
      <c r="G198" s="3" t="inlineStr">
        <is>
          <t>내판리</t>
        </is>
      </c>
      <c r="H198" s="3" t="inlineStr">
        <is>
          <t>계획관리지역</t>
        </is>
      </c>
      <c r="I198" s="3" t="inlineStr">
        <is>
          <t>대</t>
        </is>
      </c>
      <c r="J198" s="3" t="inlineStr">
        <is>
          <t>연동면</t>
        </is>
      </c>
    </row>
    <row r="199">
      <c r="A199" s="3" t="n">
        <v>2022</v>
      </c>
      <c r="B199" s="4" t="n">
        <v>4800</v>
      </c>
      <c r="C199" s="4" t="n">
        <v>111</v>
      </c>
      <c r="D199" s="4" t="n">
        <v>33.5775</v>
      </c>
      <c r="E199" s="5" t="n">
        <v>143</v>
      </c>
      <c r="F199" s="3" t="inlineStr">
        <is>
          <t>연서면</t>
        </is>
      </c>
      <c r="G199" s="3" t="inlineStr">
        <is>
          <t>고복리</t>
        </is>
      </c>
      <c r="H199" s="3" t="inlineStr">
        <is>
          <t>계획관리지역</t>
        </is>
      </c>
      <c r="I199" s="3" t="inlineStr">
        <is>
          <t>도로</t>
        </is>
      </c>
      <c r="J199" s="3" t="inlineStr">
        <is>
          <t>연서면</t>
        </is>
      </c>
    </row>
    <row r="200">
      <c r="A200" s="3" t="n">
        <v>2022</v>
      </c>
      <c r="B200" s="4" t="n">
        <v>7200</v>
      </c>
      <c r="C200" s="4" t="n">
        <v>164</v>
      </c>
      <c r="D200" s="4" t="n">
        <v>49.61</v>
      </c>
      <c r="E200" s="5" t="n">
        <v>145.1</v>
      </c>
      <c r="F200" s="3" t="inlineStr">
        <is>
          <t>연서면</t>
        </is>
      </c>
      <c r="G200" s="3" t="inlineStr">
        <is>
          <t>고복리</t>
        </is>
      </c>
      <c r="H200" s="3" t="inlineStr">
        <is>
          <t>계획관리지역</t>
        </is>
      </c>
      <c r="I200" s="3" t="inlineStr">
        <is>
          <t>하천</t>
        </is>
      </c>
      <c r="J200" s="3" t="inlineStr">
        <is>
          <t>연서면</t>
        </is>
      </c>
    </row>
    <row r="201">
      <c r="A201" s="3" t="n">
        <v>2022</v>
      </c>
      <c r="B201" s="4" t="n">
        <v>20000</v>
      </c>
      <c r="C201" s="4" t="n">
        <v>1699</v>
      </c>
      <c r="D201" s="4" t="n">
        <v>513.9475</v>
      </c>
      <c r="E201" s="5" t="n">
        <v>38.9</v>
      </c>
      <c r="F201" s="3" t="inlineStr">
        <is>
          <t>남이면</t>
        </is>
      </c>
      <c r="G201" s="3" t="inlineStr">
        <is>
          <t>산막리</t>
        </is>
      </c>
      <c r="H201" s="3" t="inlineStr">
        <is>
          <t>생산관리지역</t>
        </is>
      </c>
      <c r="I201" s="3" t="inlineStr">
        <is>
          <t>전</t>
        </is>
      </c>
      <c r="J201" s="3" t="inlineStr">
        <is>
          <t>남이면</t>
        </is>
      </c>
    </row>
    <row r="202">
      <c r="A202" s="3" t="n">
        <v>2022</v>
      </c>
      <c r="B202" s="4" t="n">
        <v>10000</v>
      </c>
      <c r="C202" s="4" t="n">
        <v>332</v>
      </c>
      <c r="D202" s="4" t="n">
        <v>100.43</v>
      </c>
      <c r="E202" s="5" t="n">
        <v>99.59999999999999</v>
      </c>
      <c r="F202" s="3" t="inlineStr">
        <is>
          <t>남이면</t>
        </is>
      </c>
      <c r="G202" s="3" t="inlineStr">
        <is>
          <t>부용외천리</t>
        </is>
      </c>
      <c r="H202" s="3" t="inlineStr">
        <is>
          <t>계획관리지역</t>
        </is>
      </c>
      <c r="I202" s="3" t="inlineStr">
        <is>
          <t>답</t>
        </is>
      </c>
      <c r="J202" s="3" t="inlineStr">
        <is>
          <t>남이면</t>
        </is>
      </c>
    </row>
    <row r="203">
      <c r="A203" s="3" t="n">
        <v>2022</v>
      </c>
      <c r="B203" s="4" t="n">
        <v>57600</v>
      </c>
      <c r="C203" s="4" t="n">
        <v>2644</v>
      </c>
      <c r="D203" s="4" t="n">
        <v>799.8099999999999</v>
      </c>
      <c r="E203" s="5" t="n">
        <v>72</v>
      </c>
      <c r="F203" s="3" t="inlineStr">
        <is>
          <t>남이면</t>
        </is>
      </c>
      <c r="G203" s="3" t="inlineStr">
        <is>
          <t>팔봉리</t>
        </is>
      </c>
      <c r="H203" s="3" t="inlineStr">
        <is>
          <t>자연녹지지역</t>
        </is>
      </c>
      <c r="I203" s="3" t="inlineStr">
        <is>
          <t>목장용지</t>
        </is>
      </c>
      <c r="J203" s="3" t="inlineStr">
        <is>
          <t>남이면</t>
        </is>
      </c>
    </row>
    <row r="204">
      <c r="A204" s="3" t="n">
        <v>2022</v>
      </c>
      <c r="B204" s="4" t="n">
        <v>5000</v>
      </c>
      <c r="C204" s="4" t="n">
        <v>549</v>
      </c>
      <c r="D204" s="4" t="n">
        <v>166.0725</v>
      </c>
      <c r="E204" s="5" t="n">
        <v>30.1</v>
      </c>
      <c r="F204" s="3" t="inlineStr">
        <is>
          <t>남이면</t>
        </is>
      </c>
      <c r="G204" s="3" t="inlineStr">
        <is>
          <t>사동리</t>
        </is>
      </c>
      <c r="H204" s="3" t="inlineStr">
        <is>
          <t>생산관리지역</t>
        </is>
      </c>
      <c r="I204" s="3" t="inlineStr">
        <is>
          <t>답</t>
        </is>
      </c>
      <c r="J204" s="3" t="inlineStr">
        <is>
          <t>남이면</t>
        </is>
      </c>
    </row>
    <row r="205">
      <c r="A205" s="3" t="n">
        <v>2022</v>
      </c>
      <c r="B205" s="4" t="n">
        <v>4000</v>
      </c>
      <c r="C205" s="4" t="n">
        <v>374</v>
      </c>
      <c r="D205" s="4" t="n">
        <v>113.135</v>
      </c>
      <c r="E205" s="5" t="n">
        <v>35.4</v>
      </c>
      <c r="F205" s="3" t="inlineStr">
        <is>
          <t>남이면</t>
        </is>
      </c>
      <c r="G205" s="3" t="inlineStr">
        <is>
          <t>사동리</t>
        </is>
      </c>
      <c r="H205" s="3" t="inlineStr">
        <is>
          <t>생산관리지역</t>
        </is>
      </c>
      <c r="I205" s="3" t="inlineStr">
        <is>
          <t>답</t>
        </is>
      </c>
      <c r="J205" s="3" t="inlineStr">
        <is>
          <t>남이면</t>
        </is>
      </c>
    </row>
    <row r="206">
      <c r="A206" s="3" t="n">
        <v>2022</v>
      </c>
      <c r="B206" s="4" t="n">
        <v>57600</v>
      </c>
      <c r="C206" s="4" t="n">
        <v>2644</v>
      </c>
      <c r="D206" s="4" t="n">
        <v>799.8099999999999</v>
      </c>
      <c r="E206" s="5" t="n">
        <v>72</v>
      </c>
      <c r="F206" s="3" t="inlineStr">
        <is>
          <t>남이면</t>
        </is>
      </c>
      <c r="G206" s="3" t="inlineStr">
        <is>
          <t>팔봉리</t>
        </is>
      </c>
      <c r="H206" s="3" t="inlineStr">
        <is>
          <t>자연녹지지역</t>
        </is>
      </c>
      <c r="I206" s="3" t="inlineStr">
        <is>
          <t>목장용지</t>
        </is>
      </c>
      <c r="J206" s="3" t="inlineStr">
        <is>
          <t>남이면</t>
        </is>
      </c>
    </row>
    <row r="207">
      <c r="A207" s="3" t="n">
        <v>2022</v>
      </c>
      <c r="B207" s="4" t="n">
        <v>100000</v>
      </c>
      <c r="C207" s="4" t="n">
        <v>2369</v>
      </c>
      <c r="D207" s="4" t="n">
        <v>716.6224999999999</v>
      </c>
      <c r="E207" s="5" t="n">
        <v>139.5</v>
      </c>
      <c r="F207" s="3" t="inlineStr">
        <is>
          <t>남이면</t>
        </is>
      </c>
      <c r="G207" s="3" t="inlineStr">
        <is>
          <t>석실리</t>
        </is>
      </c>
      <c r="H207" s="3" t="inlineStr">
        <is>
          <t>자연녹지지역</t>
        </is>
      </c>
      <c r="I207" s="3" t="inlineStr">
        <is>
          <t>전</t>
        </is>
      </c>
      <c r="J207" s="3" t="inlineStr">
        <is>
          <t>남이면</t>
        </is>
      </c>
    </row>
    <row r="208">
      <c r="A208" s="3" t="n">
        <v>2026</v>
      </c>
      <c r="B208" s="4" t="n">
        <v>7200</v>
      </c>
      <c r="C208" s="4" t="n">
        <v>40</v>
      </c>
      <c r="D208" s="4" t="n">
        <v>12.1</v>
      </c>
      <c r="E208" s="5" t="n">
        <v>595</v>
      </c>
      <c r="F208" s="3" t="inlineStr">
        <is>
          <t>부강면</t>
        </is>
      </c>
      <c r="G208" s="3" t="inlineStr">
        <is>
          <t>부강리</t>
        </is>
      </c>
      <c r="H208" s="3" t="inlineStr">
        <is>
          <t>제2종일반주거지역</t>
        </is>
      </c>
      <c r="I208" s="3" t="inlineStr">
        <is>
          <t>대</t>
        </is>
      </c>
      <c r="J208" s="3" t="inlineStr">
        <is>
          <t>부강면</t>
        </is>
      </c>
    </row>
    <row r="209">
      <c r="A209" s="3" t="n">
        <v>2026</v>
      </c>
      <c r="B209" s="4" t="n">
        <v>8894</v>
      </c>
      <c r="C209" s="4" t="n">
        <v>140</v>
      </c>
      <c r="D209" s="4" t="n">
        <v>42.35</v>
      </c>
      <c r="E209" s="5" t="n">
        <v>210</v>
      </c>
      <c r="F209" s="3" t="inlineStr">
        <is>
          <t>연서면</t>
        </is>
      </c>
      <c r="G209" s="3" t="inlineStr">
        <is>
          <t>부동리</t>
        </is>
      </c>
      <c r="H209" s="3" t="inlineStr">
        <is>
          <t>계획관리지역</t>
        </is>
      </c>
      <c r="I209" s="3" t="inlineStr">
        <is>
          <t>과수원</t>
        </is>
      </c>
      <c r="J209" s="3" t="inlineStr">
        <is>
          <t>연서면</t>
        </is>
      </c>
    </row>
    <row r="210">
      <c r="A210" s="3" t="n">
        <v>2026</v>
      </c>
      <c r="B210" s="4" t="n">
        <v>1181180</v>
      </c>
      <c r="C210" s="4" t="n">
        <v>6618</v>
      </c>
      <c r="D210" s="4" t="n">
        <v>2001.945</v>
      </c>
      <c r="E210" s="5" t="n">
        <v>590</v>
      </c>
      <c r="F210" s="3" t="inlineStr">
        <is>
          <t>연동면</t>
        </is>
      </c>
      <c r="G210" s="3" t="inlineStr">
        <is>
          <t>명학리</t>
        </is>
      </c>
      <c r="H210" s="3" t="inlineStr">
        <is>
          <t>일반공업지역</t>
        </is>
      </c>
      <c r="I210" s="3" t="inlineStr">
        <is>
          <t>공장용지</t>
        </is>
      </c>
      <c r="J210" s="3" t="inlineStr">
        <is>
          <t>연동면</t>
        </is>
      </c>
    </row>
    <row r="211">
      <c r="A211" s="3" t="n">
        <v>2025</v>
      </c>
      <c r="B211" s="4" t="n">
        <v>12800</v>
      </c>
      <c r="C211" s="4" t="n">
        <v>211</v>
      </c>
      <c r="D211" s="4" t="n">
        <v>63.8275</v>
      </c>
      <c r="E211" s="5" t="n">
        <v>200.5</v>
      </c>
      <c r="F211" s="3" t="inlineStr">
        <is>
          <t>조치원읍</t>
        </is>
      </c>
      <c r="G211" s="3" t="inlineStr">
        <is>
          <t>봉산리</t>
        </is>
      </c>
      <c r="H211" s="3" t="inlineStr">
        <is>
          <t>자연녹지지역</t>
        </is>
      </c>
      <c r="I211" s="3" t="inlineStr">
        <is>
          <t>과수원</t>
        </is>
      </c>
      <c r="J211" s="3" t="inlineStr">
        <is>
          <t>조치원읍</t>
        </is>
      </c>
    </row>
    <row r="212">
      <c r="A212" s="3" t="n">
        <v>2025</v>
      </c>
      <c r="B212" s="4" t="n">
        <v>65000</v>
      </c>
      <c r="C212" s="4" t="n">
        <v>328</v>
      </c>
      <c r="D212" s="4" t="n">
        <v>99.22</v>
      </c>
      <c r="E212" s="5" t="n">
        <v>655.1</v>
      </c>
      <c r="F212" s="3" t="inlineStr">
        <is>
          <t>반곡동</t>
        </is>
      </c>
      <c r="G212" s="3" t="inlineStr"/>
      <c r="H212" s="3" t="inlineStr">
        <is>
          <t>제1종전용주거지역</t>
        </is>
      </c>
      <c r="I212" s="3" t="inlineStr">
        <is>
          <t>대</t>
        </is>
      </c>
      <c r="J212" s="3" t="inlineStr">
        <is>
          <t>반곡동</t>
        </is>
      </c>
    </row>
    <row r="213">
      <c r="A213" s="3" t="n">
        <v>2025</v>
      </c>
      <c r="B213" s="4" t="n">
        <v>42038</v>
      </c>
      <c r="C213" s="4" t="n">
        <v>284.9</v>
      </c>
      <c r="D213" s="4" t="n">
        <v>86.18225</v>
      </c>
      <c r="E213" s="5" t="n">
        <v>487.8</v>
      </c>
      <c r="F213" s="3" t="inlineStr">
        <is>
          <t>고운동</t>
        </is>
      </c>
      <c r="G213" s="3" t="inlineStr"/>
      <c r="H213" s="3" t="inlineStr">
        <is>
          <t>제1종전용주거지역</t>
        </is>
      </c>
      <c r="I213" s="3" t="inlineStr">
        <is>
          <t>대</t>
        </is>
      </c>
      <c r="J213" s="3" t="inlineStr">
        <is>
          <t>고운동</t>
        </is>
      </c>
    </row>
    <row r="214">
      <c r="A214" s="3" t="n">
        <v>2025</v>
      </c>
      <c r="B214" s="4" t="n">
        <v>1962</v>
      </c>
      <c r="C214" s="4" t="n">
        <v>13.3</v>
      </c>
      <c r="D214" s="4" t="n">
        <v>4.02325</v>
      </c>
      <c r="E214" s="5" t="n">
        <v>487.7</v>
      </c>
      <c r="F214" s="3" t="inlineStr">
        <is>
          <t>고운동</t>
        </is>
      </c>
      <c r="G214" s="3" t="inlineStr"/>
      <c r="H214" s="3" t="inlineStr">
        <is>
          <t>제1종전용주거지역</t>
        </is>
      </c>
      <c r="I214" s="3" t="inlineStr">
        <is>
          <t>주차장</t>
        </is>
      </c>
      <c r="J214" s="3" t="inlineStr">
        <is>
          <t>고운동</t>
        </is>
      </c>
    </row>
    <row r="215">
      <c r="A215" s="3" t="n">
        <v>2022</v>
      </c>
      <c r="B215" s="4" t="n">
        <v>1200</v>
      </c>
      <c r="C215" s="4" t="n">
        <v>126</v>
      </c>
      <c r="D215" s="4" t="n">
        <v>38.115</v>
      </c>
      <c r="E215" s="5" t="n">
        <v>31.5</v>
      </c>
      <c r="F215" s="3" t="inlineStr">
        <is>
          <t>연서면</t>
        </is>
      </c>
      <c r="G215" s="3" t="inlineStr">
        <is>
          <t>성제리</t>
        </is>
      </c>
      <c r="H215" s="3" t="inlineStr">
        <is>
          <t>계획관리지역</t>
        </is>
      </c>
      <c r="I215" s="3" t="inlineStr">
        <is>
          <t>하천</t>
        </is>
      </c>
      <c r="J215" s="3" t="inlineStr">
        <is>
          <t>연서면</t>
        </is>
      </c>
    </row>
    <row r="216">
      <c r="A216" s="3" t="n">
        <v>2022</v>
      </c>
      <c r="B216" s="4" t="n">
        <v>3000</v>
      </c>
      <c r="C216" s="4" t="n">
        <v>86</v>
      </c>
      <c r="D216" s="4" t="n">
        <v>26.015</v>
      </c>
      <c r="E216" s="5" t="n">
        <v>115.3</v>
      </c>
      <c r="F216" s="3" t="inlineStr">
        <is>
          <t>연동면</t>
        </is>
      </c>
      <c r="G216" s="3" t="inlineStr">
        <is>
          <t>응암리</t>
        </is>
      </c>
      <c r="H216" s="3" t="inlineStr">
        <is>
          <t>계획관리지역</t>
        </is>
      </c>
      <c r="I216" s="3" t="inlineStr">
        <is>
          <t>대</t>
        </is>
      </c>
      <c r="J216" s="3" t="inlineStr">
        <is>
          <t>연동면</t>
        </is>
      </c>
    </row>
    <row r="217">
      <c r="A217" s="3" t="n">
        <v>2022</v>
      </c>
      <c r="B217" s="4" t="n">
        <v>880</v>
      </c>
      <c r="C217" s="4" t="n">
        <v>73</v>
      </c>
      <c r="D217" s="4" t="n">
        <v>22.0825</v>
      </c>
      <c r="E217" s="5" t="n">
        <v>39.9</v>
      </c>
      <c r="F217" s="3" t="inlineStr">
        <is>
          <t>연동면</t>
        </is>
      </c>
      <c r="G217" s="3" t="inlineStr">
        <is>
          <t>응암리</t>
        </is>
      </c>
      <c r="H217" s="3" t="inlineStr">
        <is>
          <t>계획관리지역</t>
        </is>
      </c>
      <c r="I217" s="3" t="inlineStr">
        <is>
          <t>전</t>
        </is>
      </c>
      <c r="J217" s="3" t="inlineStr">
        <is>
          <t>연동면</t>
        </is>
      </c>
    </row>
    <row r="218">
      <c r="A218" s="3" t="n">
        <v>2022</v>
      </c>
      <c r="B218" s="4" t="n">
        <v>880</v>
      </c>
      <c r="C218" s="4" t="n">
        <v>73</v>
      </c>
      <c r="D218" s="4" t="n">
        <v>22.0825</v>
      </c>
      <c r="E218" s="5" t="n">
        <v>39.9</v>
      </c>
      <c r="F218" s="3" t="inlineStr">
        <is>
          <t>연동면</t>
        </is>
      </c>
      <c r="G218" s="3" t="inlineStr">
        <is>
          <t>응암리</t>
        </is>
      </c>
      <c r="H218" s="3" t="inlineStr">
        <is>
          <t>계획관리지역</t>
        </is>
      </c>
      <c r="I218" s="3" t="inlineStr">
        <is>
          <t>전</t>
        </is>
      </c>
      <c r="J218" s="3" t="inlineStr">
        <is>
          <t>연동면</t>
        </is>
      </c>
    </row>
    <row r="219">
      <c r="A219" s="3" t="n">
        <v>2022</v>
      </c>
      <c r="B219" s="4" t="n">
        <v>241</v>
      </c>
      <c r="C219" s="4" t="n">
        <v>20</v>
      </c>
      <c r="D219" s="4" t="n">
        <v>6.05</v>
      </c>
      <c r="E219" s="5" t="n">
        <v>39.8</v>
      </c>
      <c r="F219" s="3" t="inlineStr">
        <is>
          <t>연동면</t>
        </is>
      </c>
      <c r="G219" s="3" t="inlineStr">
        <is>
          <t>응암리</t>
        </is>
      </c>
      <c r="H219" s="3" t="inlineStr">
        <is>
          <t>계획관리지역</t>
        </is>
      </c>
      <c r="I219" s="3" t="inlineStr">
        <is>
          <t>전</t>
        </is>
      </c>
      <c r="J219" s="3" t="inlineStr">
        <is>
          <t>연동면</t>
        </is>
      </c>
    </row>
    <row r="220">
      <c r="A220" s="3" t="n">
        <v>2022</v>
      </c>
      <c r="B220" s="4" t="n">
        <v>120000</v>
      </c>
      <c r="C220" s="4" t="n">
        <v>2720</v>
      </c>
      <c r="D220" s="4" t="n">
        <v>822.8</v>
      </c>
      <c r="E220" s="5" t="n">
        <v>145.8</v>
      </c>
      <c r="F220" s="3" t="inlineStr">
        <is>
          <t>연서면</t>
        </is>
      </c>
      <c r="G220" s="3" t="inlineStr">
        <is>
          <t>성제리</t>
        </is>
      </c>
      <c r="H220" s="3" t="inlineStr">
        <is>
          <t>농림지역</t>
        </is>
      </c>
      <c r="I220" s="3" t="inlineStr">
        <is>
          <t>답</t>
        </is>
      </c>
      <c r="J220" s="3" t="inlineStr">
        <is>
          <t>연서면</t>
        </is>
      </c>
    </row>
    <row r="221">
      <c r="A221" s="3" t="n">
        <v>2026</v>
      </c>
      <c r="B221" s="4" t="n">
        <v>32670</v>
      </c>
      <c r="C221" s="4" t="n">
        <v>1200</v>
      </c>
      <c r="D221" s="4" t="n">
        <v>363</v>
      </c>
      <c r="E221" s="5" t="n">
        <v>90</v>
      </c>
      <c r="F221" s="3" t="inlineStr">
        <is>
          <t>부강면</t>
        </is>
      </c>
      <c r="G221" s="3" t="inlineStr">
        <is>
          <t>문곡리</t>
        </is>
      </c>
      <c r="H221" s="3" t="inlineStr">
        <is>
          <t>계획관리지역</t>
        </is>
      </c>
      <c r="I221" s="3" t="inlineStr">
        <is>
          <t>전</t>
        </is>
      </c>
      <c r="J221" s="3" t="inlineStr">
        <is>
          <t>부강면</t>
        </is>
      </c>
    </row>
    <row r="222">
      <c r="A222" s="3" t="n">
        <v>2026</v>
      </c>
      <c r="B222" s="4" t="n">
        <v>100</v>
      </c>
      <c r="C222" s="4" t="n">
        <v>8</v>
      </c>
      <c r="D222" s="4" t="n">
        <v>2.42</v>
      </c>
      <c r="E222" s="5" t="n">
        <v>41.3</v>
      </c>
      <c r="F222" s="3" t="inlineStr">
        <is>
          <t>연서면</t>
        </is>
      </c>
      <c r="G222" s="3" t="inlineStr">
        <is>
          <t>쌍류리</t>
        </is>
      </c>
      <c r="H222" s="3" t="inlineStr">
        <is>
          <t>보전관리지역</t>
        </is>
      </c>
      <c r="I222" s="3" t="inlineStr">
        <is>
          <t>임야</t>
        </is>
      </c>
      <c r="J222" s="3" t="inlineStr">
        <is>
          <t>연서면</t>
        </is>
      </c>
    </row>
    <row r="223">
      <c r="A223" s="3" t="n">
        <v>2026</v>
      </c>
      <c r="B223" s="4" t="n">
        <v>57000</v>
      </c>
      <c r="C223" s="4" t="n">
        <v>466</v>
      </c>
      <c r="D223" s="4" t="n">
        <v>140.965</v>
      </c>
      <c r="E223" s="5" t="n">
        <v>404.4</v>
      </c>
      <c r="F223" s="3" t="inlineStr">
        <is>
          <t>반곡동</t>
        </is>
      </c>
      <c r="G223" s="3" t="inlineStr"/>
      <c r="H223" s="3" t="inlineStr">
        <is>
          <t>제1종전용주거지역</t>
        </is>
      </c>
      <c r="I223" s="3" t="inlineStr">
        <is>
          <t>대</t>
        </is>
      </c>
      <c r="J223" s="3" t="inlineStr">
        <is>
          <t>반곡동</t>
        </is>
      </c>
    </row>
    <row r="224">
      <c r="A224" s="3" t="n">
        <v>2026</v>
      </c>
      <c r="B224" s="4" t="n">
        <v>29008</v>
      </c>
      <c r="C224" s="4" t="n">
        <v>1199</v>
      </c>
      <c r="D224" s="4" t="n">
        <v>362.6975</v>
      </c>
      <c r="E224" s="5" t="n">
        <v>80</v>
      </c>
      <c r="F224" s="3" t="inlineStr">
        <is>
          <t>연서면</t>
        </is>
      </c>
      <c r="G224" s="3" t="inlineStr">
        <is>
          <t>신대리</t>
        </is>
      </c>
      <c r="H224" s="3" t="inlineStr">
        <is>
          <t>계획관리지역</t>
        </is>
      </c>
      <c r="I224" s="3" t="inlineStr">
        <is>
          <t>과수원</t>
        </is>
      </c>
      <c r="J224" s="3" t="inlineStr">
        <is>
          <t>연서면</t>
        </is>
      </c>
    </row>
    <row r="225">
      <c r="A225" s="3" t="n">
        <v>2026</v>
      </c>
      <c r="B225" s="4" t="n">
        <v>4500</v>
      </c>
      <c r="C225" s="4" t="n">
        <v>106</v>
      </c>
      <c r="D225" s="4" t="n">
        <v>32.065</v>
      </c>
      <c r="E225" s="5" t="n">
        <v>140.3</v>
      </c>
      <c r="F225" s="3" t="inlineStr">
        <is>
          <t>연서면</t>
        </is>
      </c>
      <c r="G225" s="3" t="inlineStr">
        <is>
          <t>월하리</t>
        </is>
      </c>
      <c r="H225" s="3" t="inlineStr">
        <is>
          <t>자연녹지지역</t>
        </is>
      </c>
      <c r="I225" s="3" t="inlineStr">
        <is>
          <t>대</t>
        </is>
      </c>
      <c r="J225" s="3" t="inlineStr">
        <is>
          <t>연서면</t>
        </is>
      </c>
    </row>
    <row r="226">
      <c r="A226" s="3" t="n">
        <v>2026</v>
      </c>
      <c r="B226" s="4" t="n">
        <v>6800</v>
      </c>
      <c r="C226" s="4" t="n">
        <v>1124</v>
      </c>
      <c r="D226" s="4" t="n">
        <v>340.01</v>
      </c>
      <c r="E226" s="5" t="n">
        <v>20</v>
      </c>
      <c r="F226" s="3" t="inlineStr">
        <is>
          <t>부강면</t>
        </is>
      </c>
      <c r="G226" s="3" t="inlineStr">
        <is>
          <t>행산리</t>
        </is>
      </c>
      <c r="H226" s="3" t="inlineStr">
        <is>
          <t>계획관리지역</t>
        </is>
      </c>
      <c r="I226" s="3" t="inlineStr">
        <is>
          <t>전</t>
        </is>
      </c>
      <c r="J226" s="3" t="inlineStr">
        <is>
          <t>부강면</t>
        </is>
      </c>
    </row>
    <row r="227">
      <c r="A227" s="3" t="n">
        <v>2024</v>
      </c>
      <c r="B227" s="4" t="n">
        <v>20791</v>
      </c>
      <c r="C227" s="4" t="n">
        <v>148.4</v>
      </c>
      <c r="D227" s="4" t="n">
        <v>44.891</v>
      </c>
      <c r="E227" s="5" t="n">
        <v>463.1</v>
      </c>
      <c r="F227" s="3" t="inlineStr">
        <is>
          <t>조치원읍</t>
        </is>
      </c>
      <c r="G227" s="3" t="inlineStr">
        <is>
          <t>서창리</t>
        </is>
      </c>
      <c r="H227" s="3" t="inlineStr">
        <is>
          <t>제2종일반주거지역</t>
        </is>
      </c>
      <c r="I227" s="3" t="inlineStr">
        <is>
          <t>대</t>
        </is>
      </c>
      <c r="J227" s="3" t="inlineStr">
        <is>
          <t>조치원읍</t>
        </is>
      </c>
    </row>
    <row r="228">
      <c r="A228" s="3" t="n">
        <v>2024</v>
      </c>
      <c r="B228" s="4" t="n">
        <v>24209</v>
      </c>
      <c r="C228" s="4" t="n">
        <v>172.8</v>
      </c>
      <c r="D228" s="4" t="n">
        <v>52.272</v>
      </c>
      <c r="E228" s="5" t="n">
        <v>463.1</v>
      </c>
      <c r="F228" s="3" t="inlineStr">
        <is>
          <t>조치원읍</t>
        </is>
      </c>
      <c r="G228" s="3" t="inlineStr">
        <is>
          <t>서창리</t>
        </is>
      </c>
      <c r="H228" s="3" t="inlineStr">
        <is>
          <t>제2종일반주거지역</t>
        </is>
      </c>
      <c r="I228" s="3" t="inlineStr">
        <is>
          <t>대</t>
        </is>
      </c>
      <c r="J228" s="3" t="inlineStr">
        <is>
          <t>조치원읍</t>
        </is>
      </c>
    </row>
    <row r="229">
      <c r="A229" s="3" t="n">
        <v>2024</v>
      </c>
      <c r="B229" s="4" t="n">
        <v>9405</v>
      </c>
      <c r="C229" s="4" t="n">
        <v>691</v>
      </c>
      <c r="D229" s="4" t="n">
        <v>209.0275</v>
      </c>
      <c r="E229" s="5" t="n">
        <v>45</v>
      </c>
      <c r="F229" s="3" t="inlineStr">
        <is>
          <t>연서면</t>
        </is>
      </c>
      <c r="G229" s="3" t="inlineStr">
        <is>
          <t>청라리</t>
        </is>
      </c>
      <c r="H229" s="3" t="inlineStr">
        <is>
          <t>생산관리지역</t>
        </is>
      </c>
      <c r="I229" s="3" t="inlineStr">
        <is>
          <t>전</t>
        </is>
      </c>
      <c r="J229" s="3" t="inlineStr">
        <is>
          <t>연서면</t>
        </is>
      </c>
    </row>
    <row r="230">
      <c r="A230" s="3" t="n">
        <v>2024</v>
      </c>
      <c r="B230" s="4" t="n">
        <v>9495</v>
      </c>
      <c r="C230" s="4" t="n">
        <v>698</v>
      </c>
      <c r="D230" s="4" t="n">
        <v>211.145</v>
      </c>
      <c r="E230" s="5" t="n">
        <v>45</v>
      </c>
      <c r="F230" s="3" t="inlineStr">
        <is>
          <t>연서면</t>
        </is>
      </c>
      <c r="G230" s="3" t="inlineStr">
        <is>
          <t>청라리</t>
        </is>
      </c>
      <c r="H230" s="3" t="inlineStr">
        <is>
          <t>생산관리지역</t>
        </is>
      </c>
      <c r="I230" s="3" t="inlineStr">
        <is>
          <t>전</t>
        </is>
      </c>
      <c r="J230" s="3" t="inlineStr">
        <is>
          <t>연서면</t>
        </is>
      </c>
    </row>
    <row r="231">
      <c r="A231" s="3" t="n">
        <v>2022</v>
      </c>
      <c r="B231" s="4" t="n">
        <v>3486</v>
      </c>
      <c r="C231" s="4" t="n">
        <v>139</v>
      </c>
      <c r="D231" s="4" t="n">
        <v>42.0475</v>
      </c>
      <c r="E231" s="5" t="n">
        <v>82.90000000000001</v>
      </c>
      <c r="F231" s="3" t="inlineStr">
        <is>
          <t>연동면</t>
        </is>
      </c>
      <c r="G231" s="3" t="inlineStr">
        <is>
          <t>명학리</t>
        </is>
      </c>
      <c r="H231" s="3" t="inlineStr">
        <is>
          <t>농림지역</t>
        </is>
      </c>
      <c r="I231" s="3" t="inlineStr">
        <is>
          <t>대</t>
        </is>
      </c>
      <c r="J231" s="3" t="inlineStr">
        <is>
          <t>연동면</t>
        </is>
      </c>
    </row>
    <row r="232">
      <c r="A232" s="3" t="n">
        <v>2022</v>
      </c>
      <c r="B232" s="4" t="n">
        <v>40</v>
      </c>
      <c r="C232" s="4" t="n">
        <v>3</v>
      </c>
      <c r="D232" s="4" t="n">
        <v>0.9075</v>
      </c>
      <c r="E232" s="5" t="n">
        <v>44.1</v>
      </c>
      <c r="F232" s="3" t="inlineStr">
        <is>
          <t>조치원읍</t>
        </is>
      </c>
      <c r="G232" s="3" t="inlineStr">
        <is>
          <t>평리</t>
        </is>
      </c>
      <c r="H232" s="3" t="inlineStr">
        <is>
          <t>제2종일반주거지역</t>
        </is>
      </c>
      <c r="I232" s="3" t="inlineStr">
        <is>
          <t>대</t>
        </is>
      </c>
      <c r="J232" s="3" t="inlineStr">
        <is>
          <t>조치원읍</t>
        </is>
      </c>
    </row>
    <row r="233">
      <c r="A233" s="3" t="n">
        <v>2022</v>
      </c>
      <c r="B233" s="4" t="n">
        <v>9800</v>
      </c>
      <c r="C233" s="4" t="n">
        <v>595</v>
      </c>
      <c r="D233" s="4" t="n">
        <v>179.9875</v>
      </c>
      <c r="E233" s="5" t="n">
        <v>54.4</v>
      </c>
      <c r="F233" s="3" t="inlineStr">
        <is>
          <t>연서면</t>
        </is>
      </c>
      <c r="G233" s="3" t="inlineStr">
        <is>
          <t>성제리</t>
        </is>
      </c>
      <c r="H233" s="3" t="inlineStr">
        <is>
          <t>계획관리지역</t>
        </is>
      </c>
      <c r="I233" s="3" t="inlineStr">
        <is>
          <t>임야</t>
        </is>
      </c>
      <c r="J233" s="3" t="inlineStr">
        <is>
          <t>연서면</t>
        </is>
      </c>
    </row>
    <row r="234">
      <c r="A234" s="3" t="n">
        <v>2022</v>
      </c>
      <c r="B234" s="4" t="n">
        <v>6200</v>
      </c>
      <c r="C234" s="4" t="n">
        <v>377</v>
      </c>
      <c r="D234" s="4" t="n">
        <v>114.0425</v>
      </c>
      <c r="E234" s="5" t="n">
        <v>54.4</v>
      </c>
      <c r="F234" s="3" t="inlineStr">
        <is>
          <t>연서면</t>
        </is>
      </c>
      <c r="G234" s="3" t="inlineStr">
        <is>
          <t>성제리</t>
        </is>
      </c>
      <c r="H234" s="3" t="inlineStr">
        <is>
          <t>계획관리지역</t>
        </is>
      </c>
      <c r="I234" s="3" t="inlineStr">
        <is>
          <t>전</t>
        </is>
      </c>
      <c r="J234" s="3" t="inlineStr">
        <is>
          <t>연서면</t>
        </is>
      </c>
    </row>
    <row r="235">
      <c r="A235" s="3" t="n">
        <v>2023</v>
      </c>
      <c r="B235" s="4" t="n">
        <v>19500</v>
      </c>
      <c r="C235" s="4" t="n">
        <v>163</v>
      </c>
      <c r="D235" s="4" t="n">
        <v>49.3075</v>
      </c>
      <c r="E235" s="5" t="n">
        <v>395.5</v>
      </c>
      <c r="F235" s="3" t="inlineStr">
        <is>
          <t>반곡동</t>
        </is>
      </c>
      <c r="G235" s="3" t="inlineStr"/>
      <c r="H235" s="3" t="inlineStr">
        <is>
          <t>제1종전용주거지역</t>
        </is>
      </c>
      <c r="I235" s="3" t="inlineStr">
        <is>
          <t>대</t>
        </is>
      </c>
      <c r="J235" s="3" t="inlineStr">
        <is>
          <t>반곡동</t>
        </is>
      </c>
    </row>
    <row r="236">
      <c r="A236" s="3" t="n">
        <v>2023</v>
      </c>
      <c r="B236" s="4" t="n">
        <v>239564</v>
      </c>
      <c r="C236" s="4" t="n">
        <v>19800</v>
      </c>
      <c r="D236" s="4" t="n">
        <v>5989.5</v>
      </c>
      <c r="E236" s="5" t="n">
        <v>40</v>
      </c>
      <c r="F236" s="3" t="inlineStr">
        <is>
          <t>부강면</t>
        </is>
      </c>
      <c r="G236" s="3" t="inlineStr">
        <is>
          <t>갈산리</t>
        </is>
      </c>
      <c r="H236" s="3" t="inlineStr">
        <is>
          <t>계획관리지역</t>
        </is>
      </c>
      <c r="I236" s="3" t="inlineStr">
        <is>
          <t>임야</t>
        </is>
      </c>
      <c r="J236" s="3" t="inlineStr">
        <is>
          <t>부강면</t>
        </is>
      </c>
    </row>
    <row r="237">
      <c r="A237" s="3" t="n">
        <v>2023</v>
      </c>
      <c r="B237" s="4" t="n">
        <v>168156</v>
      </c>
      <c r="C237" s="4" t="n">
        <v>13898</v>
      </c>
      <c r="D237" s="4" t="n">
        <v>4204.145</v>
      </c>
      <c r="E237" s="5" t="n">
        <v>40</v>
      </c>
      <c r="F237" s="3" t="inlineStr">
        <is>
          <t>부강면</t>
        </is>
      </c>
      <c r="G237" s="3" t="inlineStr">
        <is>
          <t>갈산리</t>
        </is>
      </c>
      <c r="H237" s="3" t="inlineStr">
        <is>
          <t>계획관리지역</t>
        </is>
      </c>
      <c r="I237" s="3" t="inlineStr">
        <is>
          <t>임야</t>
        </is>
      </c>
      <c r="J237" s="3" t="inlineStr">
        <is>
          <t>부강면</t>
        </is>
      </c>
    </row>
    <row r="238">
      <c r="A238" s="3" t="n">
        <v>2023</v>
      </c>
      <c r="B238" s="4" t="n">
        <v>62000</v>
      </c>
      <c r="C238" s="4" t="n">
        <v>821</v>
      </c>
      <c r="D238" s="4" t="n">
        <v>248.3525</v>
      </c>
      <c r="E238" s="5" t="n">
        <v>249.6</v>
      </c>
      <c r="F238" s="3" t="inlineStr">
        <is>
          <t>연동면</t>
        </is>
      </c>
      <c r="G238" s="3" t="inlineStr">
        <is>
          <t>명학리</t>
        </is>
      </c>
      <c r="H238" s="3" t="inlineStr">
        <is>
          <t>보전관리지역</t>
        </is>
      </c>
      <c r="I238" s="3" t="inlineStr">
        <is>
          <t>임야</t>
        </is>
      </c>
      <c r="J238" s="3" t="inlineStr">
        <is>
          <t>연동면</t>
        </is>
      </c>
    </row>
    <row r="239">
      <c r="A239" s="3" t="n">
        <v>2023</v>
      </c>
      <c r="B239" s="4" t="n">
        <v>67600</v>
      </c>
      <c r="C239" s="4" t="n">
        <v>3306</v>
      </c>
      <c r="D239" s="4" t="n">
        <v>1000.065</v>
      </c>
      <c r="E239" s="5" t="n">
        <v>67.59999999999999</v>
      </c>
      <c r="F239" s="3" t="inlineStr">
        <is>
          <t>연동면</t>
        </is>
      </c>
      <c r="G239" s="3" t="inlineStr">
        <is>
          <t>문주리</t>
        </is>
      </c>
      <c r="H239" s="3" t="inlineStr">
        <is>
          <t>농림지역</t>
        </is>
      </c>
      <c r="I239" s="3" t="inlineStr">
        <is>
          <t>답</t>
        </is>
      </c>
      <c r="J239" s="3" t="inlineStr">
        <is>
          <t>연동면</t>
        </is>
      </c>
    </row>
    <row r="240">
      <c r="A240" s="3" t="n">
        <v>2023</v>
      </c>
      <c r="B240" s="4" t="n">
        <v>25000</v>
      </c>
      <c r="C240" s="4" t="n">
        <v>248</v>
      </c>
      <c r="D240" s="4" t="n">
        <v>75.02</v>
      </c>
      <c r="E240" s="5" t="n">
        <v>333.2</v>
      </c>
      <c r="F240" s="3" t="inlineStr">
        <is>
          <t>조치원읍</t>
        </is>
      </c>
      <c r="G240" s="3" t="inlineStr">
        <is>
          <t>서창리</t>
        </is>
      </c>
      <c r="H240" s="3" t="inlineStr">
        <is>
          <t>준주거지역</t>
        </is>
      </c>
      <c r="I240" s="3" t="inlineStr">
        <is>
          <t>대</t>
        </is>
      </c>
      <c r="J240" s="3" t="inlineStr">
        <is>
          <t>조치원읍</t>
        </is>
      </c>
    </row>
    <row r="241">
      <c r="A241" s="3" t="n">
        <v>2023</v>
      </c>
      <c r="B241" s="4" t="n">
        <v>686</v>
      </c>
      <c r="C241" s="4" t="n">
        <v>70</v>
      </c>
      <c r="D241" s="4" t="n">
        <v>21.175</v>
      </c>
      <c r="E241" s="5" t="n">
        <v>32.4</v>
      </c>
      <c r="F241" s="3" t="inlineStr">
        <is>
          <t>연서면</t>
        </is>
      </c>
      <c r="G241" s="3" t="inlineStr">
        <is>
          <t>월하리</t>
        </is>
      </c>
      <c r="H241" s="3" t="inlineStr">
        <is>
          <t>제1종일반주거지역</t>
        </is>
      </c>
      <c r="I241" s="3" t="inlineStr">
        <is>
          <t>도로</t>
        </is>
      </c>
      <c r="J241" s="3" t="inlineStr">
        <is>
          <t>연서면</t>
        </is>
      </c>
    </row>
    <row r="242">
      <c r="A242" s="3" t="n">
        <v>2023</v>
      </c>
      <c r="B242" s="4" t="n">
        <v>69</v>
      </c>
      <c r="C242" s="4" t="n">
        <v>7</v>
      </c>
      <c r="D242" s="4" t="n">
        <v>2.1175</v>
      </c>
      <c r="E242" s="5" t="n">
        <v>32.6</v>
      </c>
      <c r="F242" s="3" t="inlineStr">
        <is>
          <t>연서면</t>
        </is>
      </c>
      <c r="G242" s="3" t="inlineStr">
        <is>
          <t>월하리</t>
        </is>
      </c>
      <c r="H242" s="3" t="inlineStr">
        <is>
          <t>제1종일반주거지역</t>
        </is>
      </c>
      <c r="I242" s="3" t="inlineStr">
        <is>
          <t>도로</t>
        </is>
      </c>
      <c r="J242" s="3" t="inlineStr">
        <is>
          <t>연서면</t>
        </is>
      </c>
    </row>
    <row r="243">
      <c r="A243" s="3" t="n">
        <v>2023</v>
      </c>
      <c r="B243" s="4" t="n">
        <v>402</v>
      </c>
      <c r="C243" s="4" t="n">
        <v>41</v>
      </c>
      <c r="D243" s="4" t="n">
        <v>12.4025</v>
      </c>
      <c r="E243" s="5" t="n">
        <v>32.4</v>
      </c>
      <c r="F243" s="3" t="inlineStr">
        <is>
          <t>연서면</t>
        </is>
      </c>
      <c r="G243" s="3" t="inlineStr">
        <is>
          <t>월하리</t>
        </is>
      </c>
      <c r="H243" s="3" t="inlineStr">
        <is>
          <t>제1종일반주거지역</t>
        </is>
      </c>
      <c r="I243" s="3" t="inlineStr">
        <is>
          <t>도로</t>
        </is>
      </c>
      <c r="J243" s="3" t="inlineStr">
        <is>
          <t>연서면</t>
        </is>
      </c>
    </row>
    <row r="244">
      <c r="A244" s="3" t="n">
        <v>2023</v>
      </c>
      <c r="B244" s="4" t="n">
        <v>206</v>
      </c>
      <c r="C244" s="4" t="n">
        <v>21</v>
      </c>
      <c r="D244" s="4" t="n">
        <v>6.3525</v>
      </c>
      <c r="E244" s="5" t="n">
        <v>32.4</v>
      </c>
      <c r="F244" s="3" t="inlineStr">
        <is>
          <t>연서면</t>
        </is>
      </c>
      <c r="G244" s="3" t="inlineStr">
        <is>
          <t>월하리</t>
        </is>
      </c>
      <c r="H244" s="3" t="inlineStr">
        <is>
          <t>제1종일반주거지역</t>
        </is>
      </c>
      <c r="I244" s="3" t="inlineStr">
        <is>
          <t>도로</t>
        </is>
      </c>
      <c r="J244" s="3" t="inlineStr">
        <is>
          <t>연서면</t>
        </is>
      </c>
    </row>
    <row r="245">
      <c r="A245" s="3" t="n">
        <v>2023</v>
      </c>
      <c r="B245" s="4" t="n">
        <v>27000</v>
      </c>
      <c r="C245" s="4" t="n">
        <v>934</v>
      </c>
      <c r="D245" s="4" t="n">
        <v>282.535</v>
      </c>
      <c r="E245" s="5" t="n">
        <v>95.59999999999999</v>
      </c>
      <c r="F245" s="3" t="inlineStr">
        <is>
          <t>연서면</t>
        </is>
      </c>
      <c r="G245" s="3" t="inlineStr">
        <is>
          <t>쌍류리</t>
        </is>
      </c>
      <c r="H245" s="3" t="inlineStr">
        <is>
          <t>생산관리지역</t>
        </is>
      </c>
      <c r="I245" s="3" t="inlineStr">
        <is>
          <t>답</t>
        </is>
      </c>
      <c r="J245" s="3" t="inlineStr">
        <is>
          <t>연서면</t>
        </is>
      </c>
    </row>
    <row r="246">
      <c r="A246" s="3" t="n">
        <v>2023</v>
      </c>
      <c r="B246" s="4" t="n">
        <v>3000</v>
      </c>
      <c r="C246" s="4" t="n">
        <v>346</v>
      </c>
      <c r="D246" s="4" t="n">
        <v>104.665</v>
      </c>
      <c r="E246" s="5" t="n">
        <v>28.7</v>
      </c>
      <c r="F246" s="3" t="inlineStr">
        <is>
          <t>연서면</t>
        </is>
      </c>
      <c r="G246" s="3" t="inlineStr">
        <is>
          <t>쌍류리</t>
        </is>
      </c>
      <c r="H246" s="3" t="inlineStr">
        <is>
          <t>보전관리지역</t>
        </is>
      </c>
      <c r="I246" s="3" t="inlineStr">
        <is>
          <t>전</t>
        </is>
      </c>
      <c r="J246" s="3" t="inlineStr">
        <is>
          <t>연서면</t>
        </is>
      </c>
    </row>
    <row r="247">
      <c r="A247" s="3" t="n">
        <v>2023</v>
      </c>
      <c r="B247" s="4" t="n">
        <v>25830</v>
      </c>
      <c r="C247" s="4" t="n">
        <v>1957</v>
      </c>
      <c r="D247" s="4" t="n">
        <v>591.9924999999999</v>
      </c>
      <c r="E247" s="5" t="n">
        <v>43.6</v>
      </c>
      <c r="F247" s="3" t="inlineStr">
        <is>
          <t>부강면</t>
        </is>
      </c>
      <c r="G247" s="3" t="inlineStr">
        <is>
          <t>노호리</t>
        </is>
      </c>
      <c r="H247" s="3" t="inlineStr">
        <is>
          <t>보전관리지역</t>
        </is>
      </c>
      <c r="I247" s="3" t="inlineStr">
        <is>
          <t>임야</t>
        </is>
      </c>
      <c r="J247" s="3" t="inlineStr">
        <is>
          <t>부강면</t>
        </is>
      </c>
    </row>
    <row r="248">
      <c r="A248" s="3" t="n">
        <v>2022</v>
      </c>
      <c r="B248" s="4" t="n">
        <v>50000</v>
      </c>
      <c r="C248" s="4" t="n">
        <v>3075</v>
      </c>
      <c r="D248" s="4" t="n">
        <v>930.1875</v>
      </c>
      <c r="E248" s="5" t="n">
        <v>53.8</v>
      </c>
      <c r="F248" s="3" t="inlineStr">
        <is>
          <t>부강면</t>
        </is>
      </c>
      <c r="G248" s="3" t="inlineStr">
        <is>
          <t>금호리</t>
        </is>
      </c>
      <c r="H248" s="3" t="inlineStr">
        <is>
          <t>보전관리지역</t>
        </is>
      </c>
      <c r="I248" s="3" t="inlineStr">
        <is>
          <t>임야</t>
        </is>
      </c>
      <c r="J248" s="3" t="inlineStr">
        <is>
          <t>부강면</t>
        </is>
      </c>
    </row>
    <row r="249">
      <c r="A249" s="3" t="n">
        <v>2022</v>
      </c>
      <c r="B249" s="4" t="n">
        <v>1300</v>
      </c>
      <c r="C249" s="4" t="n">
        <v>271</v>
      </c>
      <c r="D249" s="4" t="n">
        <v>81.97749999999999</v>
      </c>
      <c r="E249" s="5" t="n">
        <v>15.9</v>
      </c>
      <c r="F249" s="3" t="inlineStr">
        <is>
          <t>연동면</t>
        </is>
      </c>
      <c r="G249" s="3" t="inlineStr">
        <is>
          <t>노송리</t>
        </is>
      </c>
      <c r="H249" s="3" t="inlineStr">
        <is>
          <t>보전관리지역</t>
        </is>
      </c>
      <c r="I249" s="3" t="inlineStr">
        <is>
          <t>임야</t>
        </is>
      </c>
      <c r="J249" s="3" t="inlineStr">
        <is>
          <t>연동면</t>
        </is>
      </c>
    </row>
    <row r="250">
      <c r="A250" s="3" t="n">
        <v>2022</v>
      </c>
      <c r="B250" s="4" t="n">
        <v>18000</v>
      </c>
      <c r="C250" s="4" t="n">
        <v>1845</v>
      </c>
      <c r="D250" s="4" t="n">
        <v>558.1125</v>
      </c>
      <c r="E250" s="5" t="n">
        <v>32.3</v>
      </c>
      <c r="F250" s="3" t="inlineStr">
        <is>
          <t>부강면</t>
        </is>
      </c>
      <c r="G250" s="3" t="inlineStr">
        <is>
          <t>금호리</t>
        </is>
      </c>
      <c r="H250" s="3" t="inlineStr">
        <is>
          <t>농림지역</t>
        </is>
      </c>
      <c r="I250" s="3" t="inlineStr">
        <is>
          <t>답</t>
        </is>
      </c>
      <c r="J250" s="3" t="inlineStr">
        <is>
          <t>부강면</t>
        </is>
      </c>
    </row>
    <row r="251">
      <c r="A251" s="3" t="n">
        <v>2022</v>
      </c>
      <c r="B251" s="4" t="n">
        <v>10000</v>
      </c>
      <c r="C251" s="4" t="n">
        <v>806</v>
      </c>
      <c r="D251" s="4" t="n">
        <v>243.815</v>
      </c>
      <c r="E251" s="5" t="n">
        <v>41</v>
      </c>
      <c r="F251" s="3" t="inlineStr">
        <is>
          <t>부강면</t>
        </is>
      </c>
      <c r="G251" s="3" t="inlineStr">
        <is>
          <t>문곡리</t>
        </is>
      </c>
      <c r="H251" s="3" t="inlineStr">
        <is>
          <t>계획관리지역</t>
        </is>
      </c>
      <c r="I251" s="3" t="inlineStr">
        <is>
          <t>답</t>
        </is>
      </c>
      <c r="J251" s="3" t="inlineStr">
        <is>
          <t>부강면</t>
        </is>
      </c>
    </row>
    <row r="252">
      <c r="A252" s="3" t="n">
        <v>2026</v>
      </c>
      <c r="B252" s="4" t="n">
        <v>65000</v>
      </c>
      <c r="C252" s="4" t="n">
        <v>2416</v>
      </c>
      <c r="D252" s="4" t="n">
        <v>730.84</v>
      </c>
      <c r="E252" s="5" t="n">
        <v>88.90000000000001</v>
      </c>
      <c r="F252" s="3" t="inlineStr">
        <is>
          <t>남이면</t>
        </is>
      </c>
      <c r="G252" s="3" t="inlineStr">
        <is>
          <t>부용외천리</t>
        </is>
      </c>
      <c r="H252" s="3" t="inlineStr">
        <is>
          <t>계획관리지역</t>
        </is>
      </c>
      <c r="I252" s="3" t="inlineStr">
        <is>
          <t>전</t>
        </is>
      </c>
      <c r="J252" s="3" t="inlineStr">
        <is>
          <t>남이면</t>
        </is>
      </c>
    </row>
    <row r="253">
      <c r="A253" s="3" t="n">
        <v>2023</v>
      </c>
      <c r="B253" s="4" t="n">
        <v>110000</v>
      </c>
      <c r="C253" s="4" t="n">
        <v>660</v>
      </c>
      <c r="D253" s="4" t="n">
        <v>199.65</v>
      </c>
      <c r="E253" s="5" t="n">
        <v>551</v>
      </c>
      <c r="F253" s="3" t="inlineStr">
        <is>
          <t>부강면</t>
        </is>
      </c>
      <c r="G253" s="3" t="inlineStr">
        <is>
          <t>금호리</t>
        </is>
      </c>
      <c r="H253" s="3" t="inlineStr">
        <is>
          <t>계획관리지역</t>
        </is>
      </c>
      <c r="I253" s="3" t="inlineStr">
        <is>
          <t>전</t>
        </is>
      </c>
      <c r="J253" s="3" t="inlineStr">
        <is>
          <t>부강면</t>
        </is>
      </c>
    </row>
    <row r="254">
      <c r="A254" s="3" t="n">
        <v>2023</v>
      </c>
      <c r="B254" s="4" t="n">
        <v>23200</v>
      </c>
      <c r="C254" s="4" t="n">
        <v>698</v>
      </c>
      <c r="D254" s="4" t="n">
        <v>211.145</v>
      </c>
      <c r="E254" s="5" t="n">
        <v>109.9</v>
      </c>
      <c r="F254" s="3" t="inlineStr">
        <is>
          <t>연동면</t>
        </is>
      </c>
      <c r="G254" s="3" t="inlineStr">
        <is>
          <t>내판리</t>
        </is>
      </c>
      <c r="H254" s="3" t="inlineStr">
        <is>
          <t>계획관리지역</t>
        </is>
      </c>
      <c r="I254" s="3" t="inlineStr">
        <is>
          <t>전</t>
        </is>
      </c>
      <c r="J254" s="3" t="inlineStr">
        <is>
          <t>연동면</t>
        </is>
      </c>
    </row>
    <row r="255">
      <c r="A255" s="3" t="n">
        <v>2023</v>
      </c>
      <c r="B255" s="4" t="n">
        <v>1860</v>
      </c>
      <c r="C255" s="4" t="n">
        <v>474</v>
      </c>
      <c r="D255" s="4" t="n">
        <v>143.385</v>
      </c>
      <c r="E255" s="5" t="n">
        <v>13</v>
      </c>
      <c r="F255" s="3" t="inlineStr">
        <is>
          <t>연서면</t>
        </is>
      </c>
      <c r="G255" s="3" t="inlineStr">
        <is>
          <t>고복리</t>
        </is>
      </c>
      <c r="H255" s="3" t="inlineStr">
        <is>
          <t>자연녹지지역</t>
        </is>
      </c>
      <c r="I255" s="3" t="inlineStr">
        <is>
          <t>도로</t>
        </is>
      </c>
      <c r="J255" s="3" t="inlineStr">
        <is>
          <t>연서면</t>
        </is>
      </c>
    </row>
    <row r="256">
      <c r="A256" s="3" t="n">
        <v>2023</v>
      </c>
      <c r="B256" s="4" t="n">
        <v>1524</v>
      </c>
      <c r="C256" s="4" t="n">
        <v>103</v>
      </c>
      <c r="D256" s="4" t="n">
        <v>31.1575</v>
      </c>
      <c r="E256" s="5" t="n">
        <v>48.9</v>
      </c>
      <c r="F256" s="3" t="inlineStr">
        <is>
          <t>부강면</t>
        </is>
      </c>
      <c r="G256" s="3" t="inlineStr">
        <is>
          <t>산수리</t>
        </is>
      </c>
      <c r="H256" s="3" t="inlineStr">
        <is>
          <t>계획관리지역</t>
        </is>
      </c>
      <c r="I256" s="3" t="inlineStr">
        <is>
          <t>도로</t>
        </is>
      </c>
      <c r="J256" s="3" t="inlineStr">
        <is>
          <t>부강면</t>
        </is>
      </c>
    </row>
    <row r="257">
      <c r="A257" s="3" t="n">
        <v>2023</v>
      </c>
      <c r="B257" s="4" t="n">
        <v>531</v>
      </c>
      <c r="C257" s="4" t="n">
        <v>18</v>
      </c>
      <c r="D257" s="4" t="n">
        <v>5.445</v>
      </c>
      <c r="E257" s="5" t="n">
        <v>97.5</v>
      </c>
      <c r="F257" s="3" t="inlineStr">
        <is>
          <t>부강면</t>
        </is>
      </c>
      <c r="G257" s="3" t="inlineStr">
        <is>
          <t>산수리</t>
        </is>
      </c>
      <c r="H257" s="3" t="inlineStr">
        <is>
          <t>계획관리지역</t>
        </is>
      </c>
      <c r="I257" s="3" t="inlineStr">
        <is>
          <t>도로</t>
        </is>
      </c>
      <c r="J257" s="3" t="inlineStr">
        <is>
          <t>부강면</t>
        </is>
      </c>
    </row>
    <row r="258">
      <c r="A258" s="3" t="n">
        <v>2023</v>
      </c>
      <c r="B258" s="4" t="n">
        <v>10000</v>
      </c>
      <c r="C258" s="4" t="n">
        <v>512</v>
      </c>
      <c r="D258" s="4" t="n">
        <v>154.88</v>
      </c>
      <c r="E258" s="5" t="n">
        <v>64.59999999999999</v>
      </c>
      <c r="F258" s="3" t="inlineStr">
        <is>
          <t>연서면</t>
        </is>
      </c>
      <c r="G258" s="3" t="inlineStr">
        <is>
          <t>신대리</t>
        </is>
      </c>
      <c r="H258" s="3" t="inlineStr">
        <is>
          <t>보전관리지역</t>
        </is>
      </c>
      <c r="I258" s="3" t="inlineStr">
        <is>
          <t>과수원</t>
        </is>
      </c>
      <c r="J258" s="3" t="inlineStr">
        <is>
          <t>연서면</t>
        </is>
      </c>
    </row>
    <row r="259">
      <c r="A259" s="3" t="n">
        <v>2023</v>
      </c>
      <c r="B259" s="4" t="n">
        <v>17720</v>
      </c>
      <c r="C259" s="4" t="n">
        <v>160</v>
      </c>
      <c r="D259" s="4" t="n">
        <v>48.4</v>
      </c>
      <c r="E259" s="5" t="n">
        <v>366.1</v>
      </c>
      <c r="F259" s="3" t="inlineStr">
        <is>
          <t>반곡동</t>
        </is>
      </c>
      <c r="G259" s="3" t="inlineStr"/>
      <c r="H259" s="3" t="inlineStr">
        <is>
          <t>제1종전용주거지역</t>
        </is>
      </c>
      <c r="I259" s="3" t="inlineStr">
        <is>
          <t>대</t>
        </is>
      </c>
      <c r="J259" s="3" t="inlineStr">
        <is>
          <t>반곡동</t>
        </is>
      </c>
    </row>
    <row r="260">
      <c r="A260" s="3" t="n">
        <v>2023</v>
      </c>
      <c r="B260" s="4" t="n">
        <v>22000</v>
      </c>
      <c r="C260" s="4" t="n">
        <v>667</v>
      </c>
      <c r="D260" s="4" t="n">
        <v>201.7675</v>
      </c>
      <c r="E260" s="5" t="n">
        <v>109</v>
      </c>
      <c r="F260" s="3" t="inlineStr">
        <is>
          <t>연동면</t>
        </is>
      </c>
      <c r="G260" s="3" t="inlineStr">
        <is>
          <t>내판리</t>
        </is>
      </c>
      <c r="H260" s="3" t="inlineStr">
        <is>
          <t>계획관리지역</t>
        </is>
      </c>
      <c r="I260" s="3" t="inlineStr">
        <is>
          <t>전</t>
        </is>
      </c>
      <c r="J260" s="3" t="inlineStr">
        <is>
          <t>연동면</t>
        </is>
      </c>
    </row>
    <row r="261">
      <c r="A261" s="3" t="n">
        <v>2023</v>
      </c>
      <c r="B261" s="4" t="n">
        <v>27000</v>
      </c>
      <c r="C261" s="4" t="n">
        <v>944</v>
      </c>
      <c r="D261" s="4" t="n">
        <v>285.56</v>
      </c>
      <c r="E261" s="5" t="n">
        <v>94.59999999999999</v>
      </c>
      <c r="F261" s="3" t="inlineStr">
        <is>
          <t>연동면</t>
        </is>
      </c>
      <c r="G261" s="3" t="inlineStr">
        <is>
          <t>노송리</t>
        </is>
      </c>
      <c r="H261" s="3" t="inlineStr">
        <is>
          <t>계획관리지역</t>
        </is>
      </c>
      <c r="I261" s="3" t="inlineStr">
        <is>
          <t>전</t>
        </is>
      </c>
      <c r="J261" s="3" t="inlineStr">
        <is>
          <t>연동면</t>
        </is>
      </c>
    </row>
    <row r="262">
      <c r="A262" s="3" t="n">
        <v>2023</v>
      </c>
      <c r="B262" s="4" t="n">
        <v>30000</v>
      </c>
      <c r="C262" s="4" t="n">
        <v>1090</v>
      </c>
      <c r="D262" s="4" t="n">
        <v>329.725</v>
      </c>
      <c r="E262" s="5" t="n">
        <v>91</v>
      </c>
      <c r="F262" s="3" t="inlineStr">
        <is>
          <t>연동면</t>
        </is>
      </c>
      <c r="G262" s="3" t="inlineStr">
        <is>
          <t>노송리</t>
        </is>
      </c>
      <c r="H262" s="3" t="inlineStr">
        <is>
          <t>계획관리지역</t>
        </is>
      </c>
      <c r="I262" s="3" t="inlineStr">
        <is>
          <t>과수원</t>
        </is>
      </c>
      <c r="J262" s="3" t="inlineStr">
        <is>
          <t>연동면</t>
        </is>
      </c>
    </row>
    <row r="263">
      <c r="A263" s="3" t="n">
        <v>2023</v>
      </c>
      <c r="B263" s="4" t="n">
        <v>62620</v>
      </c>
      <c r="C263" s="4" t="n">
        <v>414</v>
      </c>
      <c r="D263" s="4" t="n">
        <v>125.235</v>
      </c>
      <c r="E263" s="5" t="n">
        <v>500</v>
      </c>
      <c r="F263" s="3" t="inlineStr">
        <is>
          <t>연서면</t>
        </is>
      </c>
      <c r="G263" s="3" t="inlineStr">
        <is>
          <t>와촌리</t>
        </is>
      </c>
      <c r="H263" s="3" t="inlineStr">
        <is>
          <t>계획관리지역</t>
        </is>
      </c>
      <c r="I263" s="3" t="inlineStr">
        <is>
          <t>과수원</t>
        </is>
      </c>
      <c r="J263" s="3" t="inlineStr">
        <is>
          <t>연서면</t>
        </is>
      </c>
    </row>
    <row r="264">
      <c r="A264" s="3" t="n">
        <v>2025</v>
      </c>
      <c r="B264" s="4" t="n">
        <v>50000</v>
      </c>
      <c r="C264" s="4" t="n">
        <v>376.6</v>
      </c>
      <c r="D264" s="4" t="n">
        <v>113.9215</v>
      </c>
      <c r="E264" s="5" t="n">
        <v>438.9</v>
      </c>
      <c r="F264" s="3" t="inlineStr">
        <is>
          <t>고운동</t>
        </is>
      </c>
      <c r="G264" s="3" t="inlineStr"/>
      <c r="H264" s="3" t="inlineStr">
        <is>
          <t>제1종전용주거지역</t>
        </is>
      </c>
      <c r="I264" s="3" t="inlineStr">
        <is>
          <t>대</t>
        </is>
      </c>
      <c r="J264" s="3" t="inlineStr">
        <is>
          <t>고운동</t>
        </is>
      </c>
    </row>
    <row r="265">
      <c r="A265" s="3" t="n">
        <v>2025</v>
      </c>
      <c r="B265" s="4" t="n">
        <v>58000</v>
      </c>
      <c r="C265" s="4" t="n">
        <v>350</v>
      </c>
      <c r="D265" s="4" t="n">
        <v>105.875</v>
      </c>
      <c r="E265" s="5" t="n">
        <v>547.8</v>
      </c>
      <c r="F265" s="3" t="inlineStr">
        <is>
          <t>도담동</t>
        </is>
      </c>
      <c r="G265" s="3" t="inlineStr"/>
      <c r="H265" s="3" t="inlineStr">
        <is>
          <t>제1종전용주거지역</t>
        </is>
      </c>
      <c r="I265" s="3" t="inlineStr">
        <is>
          <t>대</t>
        </is>
      </c>
      <c r="J265" s="3" t="inlineStr">
        <is>
          <t>도담동</t>
        </is>
      </c>
    </row>
    <row r="266">
      <c r="A266" s="3" t="n">
        <v>2022</v>
      </c>
      <c r="B266" s="4" t="n">
        <v>69216</v>
      </c>
      <c r="C266" s="4" t="n">
        <v>1475</v>
      </c>
      <c r="D266" s="4" t="n">
        <v>446.1875</v>
      </c>
      <c r="E266" s="5" t="n">
        <v>155.1</v>
      </c>
      <c r="F266" s="3" t="inlineStr">
        <is>
          <t>연서면</t>
        </is>
      </c>
      <c r="G266" s="3" t="inlineStr">
        <is>
          <t>고복리</t>
        </is>
      </c>
      <c r="H266" s="3" t="inlineStr">
        <is>
          <t>보전관리지역</t>
        </is>
      </c>
      <c r="I266" s="3" t="inlineStr">
        <is>
          <t>임야</t>
        </is>
      </c>
      <c r="J266" s="3" t="inlineStr">
        <is>
          <t>연서면</t>
        </is>
      </c>
    </row>
    <row r="267">
      <c r="A267" s="3" t="n">
        <v>2024</v>
      </c>
      <c r="B267" s="4" t="n">
        <v>48053</v>
      </c>
      <c r="C267" s="4" t="n">
        <v>311.3</v>
      </c>
      <c r="D267" s="4" t="n">
        <v>94.16825</v>
      </c>
      <c r="E267" s="5" t="n">
        <v>510.3</v>
      </c>
      <c r="F267" s="3" t="inlineStr">
        <is>
          <t>고운동</t>
        </is>
      </c>
      <c r="G267" s="3" t="inlineStr"/>
      <c r="H267" s="3" t="inlineStr">
        <is>
          <t>제1종전용주거지역</t>
        </is>
      </c>
      <c r="I267" s="3" t="inlineStr">
        <is>
          <t>대</t>
        </is>
      </c>
      <c r="J267" s="3" t="inlineStr">
        <is>
          <t>고운동</t>
        </is>
      </c>
    </row>
    <row r="268">
      <c r="A268" s="3" t="n">
        <v>2024</v>
      </c>
      <c r="B268" s="4" t="n">
        <v>24204</v>
      </c>
      <c r="C268" s="4" t="n">
        <v>295</v>
      </c>
      <c r="D268" s="4" t="n">
        <v>89.2375</v>
      </c>
      <c r="E268" s="5" t="n">
        <v>271.2</v>
      </c>
      <c r="F268" s="3" t="inlineStr">
        <is>
          <t>고운동</t>
        </is>
      </c>
      <c r="G268" s="3" t="inlineStr"/>
      <c r="H268" s="3" t="inlineStr">
        <is>
          <t>제1종전용주거지역</t>
        </is>
      </c>
      <c r="I268" s="3" t="inlineStr">
        <is>
          <t>대</t>
        </is>
      </c>
      <c r="J268" s="3" t="inlineStr">
        <is>
          <t>고운동</t>
        </is>
      </c>
    </row>
    <row r="269">
      <c r="A269" s="3" t="n">
        <v>2024</v>
      </c>
      <c r="B269" s="4" t="n">
        <v>45000</v>
      </c>
      <c r="C269" s="4" t="n">
        <v>332.5</v>
      </c>
      <c r="D269" s="4" t="n">
        <v>100.58125</v>
      </c>
      <c r="E269" s="5" t="n">
        <v>447.4</v>
      </c>
      <c r="F269" s="3" t="inlineStr">
        <is>
          <t>아름동</t>
        </is>
      </c>
      <c r="G269" s="3" t="inlineStr"/>
      <c r="H269" s="3" t="inlineStr">
        <is>
          <t>제1종전용주거지역</t>
        </is>
      </c>
      <c r="I269" s="3" t="inlineStr">
        <is>
          <t>대</t>
        </is>
      </c>
      <c r="J269" s="3" t="inlineStr">
        <is>
          <t>아름동</t>
        </is>
      </c>
    </row>
    <row r="270">
      <c r="A270" s="3" t="n">
        <v>2024</v>
      </c>
      <c r="B270" s="4" t="n">
        <v>40500</v>
      </c>
      <c r="C270" s="4" t="n">
        <v>2079.4</v>
      </c>
      <c r="D270" s="4" t="n">
        <v>629.0185</v>
      </c>
      <c r="E270" s="5" t="n">
        <v>64.40000000000001</v>
      </c>
      <c r="F270" s="3" t="inlineStr">
        <is>
          <t>연동면</t>
        </is>
      </c>
      <c r="G270" s="3" t="inlineStr">
        <is>
          <t>문주리</t>
        </is>
      </c>
      <c r="H270" s="3" t="inlineStr">
        <is>
          <t>농림지역</t>
        </is>
      </c>
      <c r="I270" s="3" t="inlineStr">
        <is>
          <t>답</t>
        </is>
      </c>
      <c r="J270" s="3" t="inlineStr">
        <is>
          <t>연동면</t>
        </is>
      </c>
    </row>
    <row r="271">
      <c r="A271" s="3" t="n">
        <v>2024</v>
      </c>
      <c r="B271" s="4" t="n">
        <v>3780</v>
      </c>
      <c r="C271" s="4" t="n">
        <v>417</v>
      </c>
      <c r="D271" s="4" t="n">
        <v>126.1425</v>
      </c>
      <c r="E271" s="5" t="n">
        <v>30</v>
      </c>
      <c r="F271" s="3" t="inlineStr">
        <is>
          <t>연서면</t>
        </is>
      </c>
      <c r="G271" s="3" t="inlineStr">
        <is>
          <t>기룡리</t>
        </is>
      </c>
      <c r="H271" s="3" t="inlineStr">
        <is>
          <t>보전관리지역</t>
        </is>
      </c>
      <c r="I271" s="3" t="inlineStr">
        <is>
          <t>답</t>
        </is>
      </c>
      <c r="J271" s="3" t="inlineStr">
        <is>
          <t>연서면</t>
        </is>
      </c>
    </row>
    <row r="272">
      <c r="A272" s="3" t="n">
        <v>2024</v>
      </c>
      <c r="B272" s="4" t="n">
        <v>9000</v>
      </c>
      <c r="C272" s="4" t="n">
        <v>995</v>
      </c>
      <c r="D272" s="4" t="n">
        <v>300.9875</v>
      </c>
      <c r="E272" s="5" t="n">
        <v>29.9</v>
      </c>
      <c r="F272" s="3" t="inlineStr">
        <is>
          <t>연서면</t>
        </is>
      </c>
      <c r="G272" s="3" t="inlineStr">
        <is>
          <t>기룡리</t>
        </is>
      </c>
      <c r="H272" s="3" t="inlineStr">
        <is>
          <t>보전관리지역</t>
        </is>
      </c>
      <c r="I272" s="3" t="inlineStr">
        <is>
          <t>전</t>
        </is>
      </c>
      <c r="J272" s="3" t="inlineStr">
        <is>
          <t>연서면</t>
        </is>
      </c>
    </row>
    <row r="273">
      <c r="A273" s="3" t="n">
        <v>2024</v>
      </c>
      <c r="B273" s="4" t="n">
        <v>28220</v>
      </c>
      <c r="C273" s="4" t="n">
        <v>14182</v>
      </c>
      <c r="D273" s="4" t="n">
        <v>4290.055</v>
      </c>
      <c r="E273" s="5" t="n">
        <v>6.6</v>
      </c>
      <c r="F273" s="3" t="inlineStr">
        <is>
          <t>연서면</t>
        </is>
      </c>
      <c r="G273" s="3" t="inlineStr">
        <is>
          <t>기룡리</t>
        </is>
      </c>
      <c r="H273" s="3" t="inlineStr">
        <is>
          <t>농림지역</t>
        </is>
      </c>
      <c r="I273" s="3" t="inlineStr">
        <is>
          <t>임야</t>
        </is>
      </c>
      <c r="J273" s="3" t="inlineStr">
        <is>
          <t>연서면</t>
        </is>
      </c>
    </row>
    <row r="274">
      <c r="A274" s="3" t="n">
        <v>2024</v>
      </c>
      <c r="B274" s="4" t="n">
        <v>61200</v>
      </c>
      <c r="C274" s="4" t="n">
        <v>1687</v>
      </c>
      <c r="D274" s="4" t="n">
        <v>510.3175</v>
      </c>
      <c r="E274" s="5" t="n">
        <v>119.9</v>
      </c>
      <c r="F274" s="3" t="inlineStr">
        <is>
          <t>연서면</t>
        </is>
      </c>
      <c r="G274" s="3" t="inlineStr">
        <is>
          <t>와촌리</t>
        </is>
      </c>
      <c r="H274" s="3" t="inlineStr">
        <is>
          <t>농림지역</t>
        </is>
      </c>
      <c r="I274" s="3" t="inlineStr">
        <is>
          <t>답</t>
        </is>
      </c>
      <c r="J274" s="3" t="inlineStr">
        <is>
          <t>연서면</t>
        </is>
      </c>
    </row>
    <row r="275">
      <c r="A275" s="3" t="n">
        <v>2023</v>
      </c>
      <c r="B275" s="4" t="n">
        <v>30000</v>
      </c>
      <c r="C275" s="4" t="n">
        <v>660</v>
      </c>
      <c r="D275" s="4" t="n">
        <v>199.65</v>
      </c>
      <c r="E275" s="5" t="n">
        <v>150.3</v>
      </c>
      <c r="F275" s="3" t="inlineStr">
        <is>
          <t>부강면</t>
        </is>
      </c>
      <c r="G275" s="3" t="inlineStr">
        <is>
          <t>금호리</t>
        </is>
      </c>
      <c r="H275" s="3" t="inlineStr">
        <is>
          <t>계획관리지역</t>
        </is>
      </c>
      <c r="I275" s="3" t="inlineStr">
        <is>
          <t>전</t>
        </is>
      </c>
      <c r="J275" s="3" t="inlineStr">
        <is>
          <t>부강면</t>
        </is>
      </c>
    </row>
    <row r="276">
      <c r="A276" s="3" t="n">
        <v>2023</v>
      </c>
      <c r="B276" s="4" t="n">
        <v>20000</v>
      </c>
      <c r="C276" s="4" t="n">
        <v>441</v>
      </c>
      <c r="D276" s="4" t="n">
        <v>133.4025</v>
      </c>
      <c r="E276" s="5" t="n">
        <v>149.9</v>
      </c>
      <c r="F276" s="3" t="inlineStr">
        <is>
          <t>부강면</t>
        </is>
      </c>
      <c r="G276" s="3" t="inlineStr">
        <is>
          <t>금호리</t>
        </is>
      </c>
      <c r="H276" s="3" t="inlineStr">
        <is>
          <t>계획관리지역</t>
        </is>
      </c>
      <c r="I276" s="3" t="inlineStr">
        <is>
          <t>전</t>
        </is>
      </c>
      <c r="J276" s="3" t="inlineStr">
        <is>
          <t>부강면</t>
        </is>
      </c>
    </row>
    <row r="277">
      <c r="A277" s="3" t="n">
        <v>2023</v>
      </c>
      <c r="B277" s="4" t="n">
        <v>230000</v>
      </c>
      <c r="C277" s="4" t="n">
        <v>549</v>
      </c>
      <c r="D277" s="4" t="n">
        <v>166.0725</v>
      </c>
      <c r="E277" s="5" t="n">
        <v>1384.9</v>
      </c>
      <c r="F277" s="3" t="inlineStr">
        <is>
          <t>다정동</t>
        </is>
      </c>
      <c r="G277" s="3" t="inlineStr"/>
      <c r="H277" s="3" t="inlineStr">
        <is>
          <t>제1종전용주거지역</t>
        </is>
      </c>
      <c r="I277" s="3" t="inlineStr">
        <is>
          <t>대</t>
        </is>
      </c>
      <c r="J277" s="3" t="inlineStr">
        <is>
          <t>다정동</t>
        </is>
      </c>
    </row>
    <row r="278">
      <c r="A278" s="3" t="n">
        <v>2023</v>
      </c>
      <c r="B278" s="4" t="n">
        <v>9793</v>
      </c>
      <c r="C278" s="4" t="n">
        <v>819</v>
      </c>
      <c r="D278" s="4" t="n">
        <v>247.7475</v>
      </c>
      <c r="E278" s="5" t="n">
        <v>39.5</v>
      </c>
      <c r="F278" s="3" t="inlineStr">
        <is>
          <t>부강면</t>
        </is>
      </c>
      <c r="G278" s="3" t="inlineStr">
        <is>
          <t>부강리</t>
        </is>
      </c>
      <c r="H278" s="3" t="inlineStr">
        <is>
          <t>보전관리지역</t>
        </is>
      </c>
      <c r="I278" s="3" t="inlineStr">
        <is>
          <t>전</t>
        </is>
      </c>
      <c r="J278" s="3" t="inlineStr">
        <is>
          <t>부강면</t>
        </is>
      </c>
    </row>
    <row r="279">
      <c r="A279" s="3" t="n">
        <v>2023</v>
      </c>
      <c r="B279" s="4" t="n">
        <v>52541</v>
      </c>
      <c r="C279" s="4" t="n">
        <v>4395</v>
      </c>
      <c r="D279" s="4" t="n">
        <v>1329.4875</v>
      </c>
      <c r="E279" s="5" t="n">
        <v>39.5</v>
      </c>
      <c r="F279" s="3" t="inlineStr">
        <is>
          <t>부강면</t>
        </is>
      </c>
      <c r="G279" s="3" t="inlineStr">
        <is>
          <t>부강리</t>
        </is>
      </c>
      <c r="H279" s="3" t="inlineStr">
        <is>
          <t>보전관리지역</t>
        </is>
      </c>
      <c r="I279" s="3" t="inlineStr">
        <is>
          <t>임야</t>
        </is>
      </c>
      <c r="J279" s="3" t="inlineStr">
        <is>
          <t>부강면</t>
        </is>
      </c>
    </row>
    <row r="280">
      <c r="A280" s="3" t="n">
        <v>2023</v>
      </c>
      <c r="B280" s="4" t="n">
        <v>24301</v>
      </c>
      <c r="C280" s="4" t="n">
        <v>2033</v>
      </c>
      <c r="D280" s="4" t="n">
        <v>614.9825</v>
      </c>
      <c r="E280" s="5" t="n">
        <v>39.5</v>
      </c>
      <c r="F280" s="3" t="inlineStr">
        <is>
          <t>부강면</t>
        </is>
      </c>
      <c r="G280" s="3" t="inlineStr">
        <is>
          <t>부강리</t>
        </is>
      </c>
      <c r="H280" s="3" t="inlineStr">
        <is>
          <t>보전관리지역</t>
        </is>
      </c>
      <c r="I280" s="3" t="inlineStr">
        <is>
          <t>임야</t>
        </is>
      </c>
      <c r="J280" s="3" t="inlineStr">
        <is>
          <t>부강면</t>
        </is>
      </c>
    </row>
    <row r="281">
      <c r="A281" s="3" t="n">
        <v>2023</v>
      </c>
      <c r="B281" s="4" t="n">
        <v>15850</v>
      </c>
      <c r="C281" s="4" t="n">
        <v>577</v>
      </c>
      <c r="D281" s="4" t="n">
        <v>174.5425</v>
      </c>
      <c r="E281" s="5" t="n">
        <v>90.8</v>
      </c>
      <c r="F281" s="3" t="inlineStr">
        <is>
          <t>연서면</t>
        </is>
      </c>
      <c r="G281" s="3" t="inlineStr">
        <is>
          <t>용암리</t>
        </is>
      </c>
      <c r="H281" s="3" t="inlineStr">
        <is>
          <t>생산관리지역</t>
        </is>
      </c>
      <c r="I281" s="3" t="inlineStr">
        <is>
          <t>과수원</t>
        </is>
      </c>
      <c r="J281" s="3" t="inlineStr">
        <is>
          <t>연서면</t>
        </is>
      </c>
    </row>
    <row r="282">
      <c r="A282" s="3" t="n">
        <v>2023</v>
      </c>
      <c r="B282" s="4" t="n">
        <v>2739</v>
      </c>
      <c r="C282" s="4" t="n">
        <v>43</v>
      </c>
      <c r="D282" s="4" t="n">
        <v>13.0075</v>
      </c>
      <c r="E282" s="5" t="n">
        <v>210.6</v>
      </c>
      <c r="F282" s="3" t="inlineStr">
        <is>
          <t>연서면</t>
        </is>
      </c>
      <c r="G282" s="3" t="inlineStr">
        <is>
          <t>봉암리</t>
        </is>
      </c>
      <c r="H282" s="3" t="inlineStr">
        <is>
          <t>계획관리지역</t>
        </is>
      </c>
      <c r="I282" s="3" t="inlineStr">
        <is>
          <t>잡종지</t>
        </is>
      </c>
      <c r="J282" s="3" t="inlineStr">
        <is>
          <t>연서면</t>
        </is>
      </c>
    </row>
    <row r="283">
      <c r="A283" s="3" t="n">
        <v>2023</v>
      </c>
      <c r="B283" s="4" t="n">
        <v>4000</v>
      </c>
      <c r="C283" s="4" t="n">
        <v>91</v>
      </c>
      <c r="D283" s="4" t="n">
        <v>27.5275</v>
      </c>
      <c r="E283" s="5" t="n">
        <v>145.3</v>
      </c>
      <c r="F283" s="3" t="inlineStr">
        <is>
          <t>연동면</t>
        </is>
      </c>
      <c r="G283" s="3" t="inlineStr">
        <is>
          <t>내판리</t>
        </is>
      </c>
      <c r="H283" s="3" t="inlineStr">
        <is>
          <t>계획관리지역</t>
        </is>
      </c>
      <c r="I283" s="3" t="inlineStr">
        <is>
          <t>대</t>
        </is>
      </c>
      <c r="J283" s="3" t="inlineStr">
        <is>
          <t>연동면</t>
        </is>
      </c>
    </row>
    <row r="284">
      <c r="A284" s="3" t="n">
        <v>2023</v>
      </c>
      <c r="B284" s="4" t="n">
        <v>11330</v>
      </c>
      <c r="C284" s="4" t="n">
        <v>256</v>
      </c>
      <c r="D284" s="4" t="n">
        <v>77.44</v>
      </c>
      <c r="E284" s="5" t="n">
        <v>146.3</v>
      </c>
      <c r="F284" s="3" t="inlineStr">
        <is>
          <t>연동면</t>
        </is>
      </c>
      <c r="G284" s="3" t="inlineStr">
        <is>
          <t>내판리</t>
        </is>
      </c>
      <c r="H284" s="3" t="inlineStr">
        <is>
          <t>계획관리지역</t>
        </is>
      </c>
      <c r="I284" s="3" t="inlineStr">
        <is>
          <t>대</t>
        </is>
      </c>
      <c r="J284" s="3" t="inlineStr">
        <is>
          <t>연동면</t>
        </is>
      </c>
    </row>
    <row r="285">
      <c r="A285" s="3" t="n">
        <v>2022</v>
      </c>
      <c r="B285" s="4" t="n">
        <v>62000</v>
      </c>
      <c r="C285" s="4" t="n">
        <v>1451</v>
      </c>
      <c r="D285" s="4" t="n">
        <v>438.9275</v>
      </c>
      <c r="E285" s="5" t="n">
        <v>141.3</v>
      </c>
      <c r="F285" s="3" t="inlineStr">
        <is>
          <t>연동면</t>
        </is>
      </c>
      <c r="G285" s="3" t="inlineStr">
        <is>
          <t>송용리</t>
        </is>
      </c>
      <c r="H285" s="3" t="inlineStr">
        <is>
          <t>계획관리지역</t>
        </is>
      </c>
      <c r="I285" s="3" t="inlineStr">
        <is>
          <t>전</t>
        </is>
      </c>
      <c r="J285" s="3" t="inlineStr">
        <is>
          <t>연동면</t>
        </is>
      </c>
    </row>
    <row r="286">
      <c r="A286" s="3" t="n">
        <v>2022</v>
      </c>
      <c r="B286" s="4" t="n">
        <v>1650</v>
      </c>
      <c r="C286" s="4" t="n">
        <v>44</v>
      </c>
      <c r="D286" s="4" t="n">
        <v>13.31</v>
      </c>
      <c r="E286" s="5" t="n">
        <v>124</v>
      </c>
      <c r="F286" s="3" t="inlineStr">
        <is>
          <t>부강면</t>
        </is>
      </c>
      <c r="G286" s="3" t="inlineStr">
        <is>
          <t>문곡리</t>
        </is>
      </c>
      <c r="H286" s="3" t="inlineStr">
        <is>
          <t>계획관리지역</t>
        </is>
      </c>
      <c r="I286" s="3" t="inlineStr">
        <is>
          <t>대</t>
        </is>
      </c>
      <c r="J286" s="3" t="inlineStr">
        <is>
          <t>부강면</t>
        </is>
      </c>
    </row>
    <row r="287">
      <c r="A287" s="3" t="n">
        <v>2022</v>
      </c>
      <c r="B287" s="4" t="n">
        <v>1350</v>
      </c>
      <c r="C287" s="4" t="n">
        <v>30</v>
      </c>
      <c r="D287" s="4" t="n">
        <v>9.074999999999999</v>
      </c>
      <c r="E287" s="5" t="n">
        <v>148.8</v>
      </c>
      <c r="F287" s="3" t="inlineStr">
        <is>
          <t>부강면</t>
        </is>
      </c>
      <c r="G287" s="3" t="inlineStr">
        <is>
          <t>문곡리</t>
        </is>
      </c>
      <c r="H287" s="3" t="inlineStr">
        <is>
          <t>계획관리지역</t>
        </is>
      </c>
      <c r="I287" s="3" t="inlineStr">
        <is>
          <t>대</t>
        </is>
      </c>
      <c r="J287" s="3" t="inlineStr">
        <is>
          <t>부강면</t>
        </is>
      </c>
    </row>
    <row r="288">
      <c r="A288" s="3" t="n">
        <v>2022</v>
      </c>
      <c r="B288" s="4" t="n">
        <v>48000</v>
      </c>
      <c r="C288" s="4" t="n">
        <v>377</v>
      </c>
      <c r="D288" s="4" t="n">
        <v>114.0425</v>
      </c>
      <c r="E288" s="5" t="n">
        <v>420.9</v>
      </c>
      <c r="F288" s="3" t="inlineStr">
        <is>
          <t>부강면</t>
        </is>
      </c>
      <c r="G288" s="3" t="inlineStr">
        <is>
          <t>부강리</t>
        </is>
      </c>
      <c r="H288" s="3" t="inlineStr">
        <is>
          <t>제2종일반주거지역</t>
        </is>
      </c>
      <c r="I288" s="3" t="inlineStr">
        <is>
          <t>전</t>
        </is>
      </c>
      <c r="J288" s="3" t="inlineStr">
        <is>
          <t>부강면</t>
        </is>
      </c>
    </row>
    <row r="289">
      <c r="A289" s="3" t="n">
        <v>2023</v>
      </c>
      <c r="B289" s="4" t="n">
        <v>80000</v>
      </c>
      <c r="C289" s="4" t="n">
        <v>1395</v>
      </c>
      <c r="D289" s="4" t="n">
        <v>421.9875</v>
      </c>
      <c r="E289" s="5" t="n">
        <v>189.6</v>
      </c>
      <c r="F289" s="3" t="inlineStr">
        <is>
          <t>연서면</t>
        </is>
      </c>
      <c r="G289" s="3" t="inlineStr">
        <is>
          <t>와촌리</t>
        </is>
      </c>
      <c r="H289" s="3" t="inlineStr">
        <is>
          <t>계획관리지역</t>
        </is>
      </c>
      <c r="I289" s="3" t="inlineStr">
        <is>
          <t>전</t>
        </is>
      </c>
      <c r="J289" s="3" t="inlineStr">
        <is>
          <t>연서면</t>
        </is>
      </c>
    </row>
    <row r="290">
      <c r="A290" s="3" t="n">
        <v>2024</v>
      </c>
      <c r="B290" s="4" t="n">
        <v>10840</v>
      </c>
      <c r="C290" s="4" t="n">
        <v>232</v>
      </c>
      <c r="D290" s="4" t="n">
        <v>70.17999999999999</v>
      </c>
      <c r="E290" s="5" t="n">
        <v>154.5</v>
      </c>
      <c r="F290" s="3" t="inlineStr">
        <is>
          <t>조치원읍</t>
        </is>
      </c>
      <c r="G290" s="3" t="inlineStr">
        <is>
          <t>남리</t>
        </is>
      </c>
      <c r="H290" s="3" t="inlineStr">
        <is>
          <t>자연녹지지역</t>
        </is>
      </c>
      <c r="I290" s="3" t="inlineStr">
        <is>
          <t>전</t>
        </is>
      </c>
      <c r="J290" s="3" t="inlineStr">
        <is>
          <t>조치원읍</t>
        </is>
      </c>
    </row>
    <row r="291">
      <c r="A291" s="3" t="n">
        <v>2022</v>
      </c>
      <c r="B291" s="4" t="n">
        <v>26500</v>
      </c>
      <c r="C291" s="4" t="n">
        <v>1907</v>
      </c>
      <c r="D291" s="4" t="n">
        <v>576.8674999999999</v>
      </c>
      <c r="E291" s="5" t="n">
        <v>45.9</v>
      </c>
      <c r="F291" s="3" t="inlineStr">
        <is>
          <t>남이면</t>
        </is>
      </c>
      <c r="G291" s="3" t="inlineStr">
        <is>
          <t>갈원리</t>
        </is>
      </c>
      <c r="H291" s="3" t="inlineStr">
        <is>
          <t>자연녹지지역</t>
        </is>
      </c>
      <c r="I291" s="3" t="inlineStr">
        <is>
          <t>전</t>
        </is>
      </c>
      <c r="J291" s="3" t="inlineStr">
        <is>
          <t>남이면</t>
        </is>
      </c>
    </row>
    <row r="292">
      <c r="A292" s="3" t="n">
        <v>2022</v>
      </c>
      <c r="B292" s="4" t="n">
        <v>8063</v>
      </c>
      <c r="C292" s="4" t="n">
        <v>424</v>
      </c>
      <c r="D292" s="4" t="n">
        <v>128.26</v>
      </c>
      <c r="E292" s="5" t="n">
        <v>62.9</v>
      </c>
      <c r="F292" s="3" t="inlineStr">
        <is>
          <t>남이면</t>
        </is>
      </c>
      <c r="G292" s="3" t="inlineStr">
        <is>
          <t>문동리</t>
        </is>
      </c>
      <c r="H292" s="3" t="inlineStr">
        <is>
          <t>보전녹지지역</t>
        </is>
      </c>
      <c r="I292" s="3" t="inlineStr">
        <is>
          <t>대</t>
        </is>
      </c>
      <c r="J292" s="3" t="inlineStr">
        <is>
          <t>남이면</t>
        </is>
      </c>
    </row>
    <row r="293">
      <c r="A293" s="3" t="n">
        <v>2022</v>
      </c>
      <c r="B293" s="4" t="n">
        <v>2937</v>
      </c>
      <c r="C293" s="4" t="n">
        <v>200</v>
      </c>
      <c r="D293" s="4" t="n">
        <v>60.5</v>
      </c>
      <c r="E293" s="5" t="n">
        <v>48.5</v>
      </c>
      <c r="F293" s="3" t="inlineStr">
        <is>
          <t>남이면</t>
        </is>
      </c>
      <c r="G293" s="3" t="inlineStr">
        <is>
          <t>문동리</t>
        </is>
      </c>
      <c r="H293" s="3" t="inlineStr">
        <is>
          <t>보전녹지지역</t>
        </is>
      </c>
      <c r="I293" s="3" t="inlineStr">
        <is>
          <t>임야</t>
        </is>
      </c>
      <c r="J293" s="3" t="inlineStr">
        <is>
          <t>남이면</t>
        </is>
      </c>
    </row>
    <row r="294">
      <c r="A294" s="3" t="n">
        <v>2022</v>
      </c>
      <c r="B294" s="4" t="n">
        <v>4000</v>
      </c>
      <c r="C294" s="4" t="n">
        <v>358</v>
      </c>
      <c r="D294" s="4" t="n">
        <v>108.295</v>
      </c>
      <c r="E294" s="5" t="n">
        <v>36.9</v>
      </c>
      <c r="F294" s="3" t="inlineStr">
        <is>
          <t>남이면</t>
        </is>
      </c>
      <c r="G294" s="3" t="inlineStr">
        <is>
          <t>갈원리</t>
        </is>
      </c>
      <c r="H294" s="3" t="inlineStr">
        <is>
          <t>보전관리지역</t>
        </is>
      </c>
      <c r="I294" s="3" t="inlineStr">
        <is>
          <t>전</t>
        </is>
      </c>
      <c r="J294" s="3" t="inlineStr">
        <is>
          <t>남이면</t>
        </is>
      </c>
    </row>
    <row r="295">
      <c r="A295" s="3" t="n">
        <v>2022</v>
      </c>
      <c r="B295" s="4" t="n">
        <v>8000</v>
      </c>
      <c r="C295" s="4" t="n">
        <v>636</v>
      </c>
      <c r="D295" s="4" t="n">
        <v>192.39</v>
      </c>
      <c r="E295" s="5" t="n">
        <v>41.6</v>
      </c>
      <c r="F295" s="3" t="inlineStr">
        <is>
          <t>남이면</t>
        </is>
      </c>
      <c r="G295" s="3" t="inlineStr">
        <is>
          <t>구암리</t>
        </is>
      </c>
      <c r="H295" s="3" t="inlineStr">
        <is>
          <t>자연녹지지역</t>
        </is>
      </c>
      <c r="I295" s="3" t="inlineStr">
        <is>
          <t>전</t>
        </is>
      </c>
      <c r="J295" s="3" t="inlineStr">
        <is>
          <t>남이면</t>
        </is>
      </c>
    </row>
    <row r="296">
      <c r="A296" s="3" t="n">
        <v>2022</v>
      </c>
      <c r="B296" s="4" t="n">
        <v>95480</v>
      </c>
      <c r="C296" s="4" t="n">
        <v>2869</v>
      </c>
      <c r="D296" s="4" t="n">
        <v>867.8724999999999</v>
      </c>
      <c r="E296" s="5" t="n">
        <v>110</v>
      </c>
      <c r="F296" s="3" t="inlineStr">
        <is>
          <t>남이면</t>
        </is>
      </c>
      <c r="G296" s="3" t="inlineStr">
        <is>
          <t>가좌리</t>
        </is>
      </c>
      <c r="H296" s="3" t="inlineStr">
        <is>
          <t>자연녹지지역</t>
        </is>
      </c>
      <c r="I296" s="3" t="inlineStr">
        <is>
          <t>임야</t>
        </is>
      </c>
      <c r="J296" s="3" t="inlineStr">
        <is>
          <t>남이면</t>
        </is>
      </c>
    </row>
    <row r="297">
      <c r="A297" s="3" t="n">
        <v>2022</v>
      </c>
      <c r="B297" s="4" t="n">
        <v>24300</v>
      </c>
      <c r="C297" s="4" t="n">
        <v>1464.1</v>
      </c>
      <c r="D297" s="4" t="n">
        <v>442.89025</v>
      </c>
      <c r="E297" s="5" t="n">
        <v>54.9</v>
      </c>
      <c r="F297" s="3" t="inlineStr">
        <is>
          <t>남이면</t>
        </is>
      </c>
      <c r="G297" s="3" t="inlineStr">
        <is>
          <t>외천리</t>
        </is>
      </c>
      <c r="H297" s="3" t="inlineStr">
        <is>
          <t>농림지역</t>
        </is>
      </c>
      <c r="I297" s="3" t="inlineStr">
        <is>
          <t>전</t>
        </is>
      </c>
      <c r="J297" s="3" t="inlineStr">
        <is>
          <t>남이면</t>
        </is>
      </c>
    </row>
    <row r="298">
      <c r="A298" s="3" t="n">
        <v>2022</v>
      </c>
      <c r="B298" s="4" t="n">
        <v>44110</v>
      </c>
      <c r="C298" s="4" t="n">
        <v>1324.6</v>
      </c>
      <c r="D298" s="4" t="n">
        <v>400.6915</v>
      </c>
      <c r="E298" s="5" t="n">
        <v>110.1</v>
      </c>
      <c r="F298" s="3" t="inlineStr">
        <is>
          <t>남이면</t>
        </is>
      </c>
      <c r="G298" s="3" t="inlineStr">
        <is>
          <t>가좌리</t>
        </is>
      </c>
      <c r="H298" s="3" t="inlineStr">
        <is>
          <t>자연녹지지역</t>
        </is>
      </c>
      <c r="I298" s="3" t="inlineStr">
        <is>
          <t>전</t>
        </is>
      </c>
      <c r="J298" s="3" t="inlineStr">
        <is>
          <t>남이면</t>
        </is>
      </c>
    </row>
    <row r="299">
      <c r="A299" s="3" t="n">
        <v>2022</v>
      </c>
      <c r="B299" s="4" t="n">
        <v>16564</v>
      </c>
      <c r="C299" s="4" t="n">
        <v>532</v>
      </c>
      <c r="D299" s="4" t="n">
        <v>160.93</v>
      </c>
      <c r="E299" s="5" t="n">
        <v>102.9</v>
      </c>
      <c r="F299" s="3" t="inlineStr">
        <is>
          <t>남이면</t>
        </is>
      </c>
      <c r="G299" s="3" t="inlineStr">
        <is>
          <t>가좌리</t>
        </is>
      </c>
      <c r="H299" s="3" t="inlineStr">
        <is>
          <t>보전녹지지역</t>
        </is>
      </c>
      <c r="I299" s="3" t="inlineStr">
        <is>
          <t>임야</t>
        </is>
      </c>
      <c r="J299" s="3" t="inlineStr">
        <is>
          <t>남이면</t>
        </is>
      </c>
    </row>
    <row r="300">
      <c r="A300" s="3" t="n">
        <v>2022</v>
      </c>
      <c r="B300" s="4" t="n">
        <v>1246</v>
      </c>
      <c r="C300" s="4" t="n">
        <v>40</v>
      </c>
      <c r="D300" s="4" t="n">
        <v>12.1</v>
      </c>
      <c r="E300" s="5" t="n">
        <v>103</v>
      </c>
      <c r="F300" s="3" t="inlineStr">
        <is>
          <t>남이면</t>
        </is>
      </c>
      <c r="G300" s="3" t="inlineStr">
        <is>
          <t>가좌리</t>
        </is>
      </c>
      <c r="H300" s="3" t="inlineStr">
        <is>
          <t>보전녹지지역</t>
        </is>
      </c>
      <c r="I300" s="3" t="inlineStr">
        <is>
          <t>임야</t>
        </is>
      </c>
      <c r="J300" s="3" t="inlineStr">
        <is>
          <t>남이면</t>
        </is>
      </c>
    </row>
    <row r="301">
      <c r="A301" s="3" t="n">
        <v>2022</v>
      </c>
      <c r="B301" s="4" t="n">
        <v>8000</v>
      </c>
      <c r="C301" s="4" t="n">
        <v>636</v>
      </c>
      <c r="D301" s="4" t="n">
        <v>192.39</v>
      </c>
      <c r="E301" s="5" t="n">
        <v>41.6</v>
      </c>
      <c r="F301" s="3" t="inlineStr">
        <is>
          <t>남이면</t>
        </is>
      </c>
      <c r="G301" s="3" t="inlineStr">
        <is>
          <t>구암리</t>
        </is>
      </c>
      <c r="H301" s="3" t="inlineStr">
        <is>
          <t>자연녹지지역</t>
        </is>
      </c>
      <c r="I301" s="3" t="inlineStr">
        <is>
          <t>전</t>
        </is>
      </c>
      <c r="J301" s="3" t="inlineStr">
        <is>
          <t>남이면</t>
        </is>
      </c>
    </row>
    <row r="302">
      <c r="A302" s="3" t="n">
        <v>2022</v>
      </c>
      <c r="B302" s="4" t="n">
        <v>16888</v>
      </c>
      <c r="C302" s="4" t="n">
        <v>1743</v>
      </c>
      <c r="D302" s="4" t="n">
        <v>527.2574999999999</v>
      </c>
      <c r="E302" s="5" t="n">
        <v>32</v>
      </c>
      <c r="F302" s="3" t="inlineStr">
        <is>
          <t>남이면</t>
        </is>
      </c>
      <c r="G302" s="3" t="inlineStr">
        <is>
          <t>가좌리</t>
        </is>
      </c>
      <c r="H302" s="3" t="inlineStr">
        <is>
          <t>자연녹지지역</t>
        </is>
      </c>
      <c r="I302" s="3" t="inlineStr">
        <is>
          <t>답</t>
        </is>
      </c>
      <c r="J302" s="3" t="inlineStr">
        <is>
          <t>남이면</t>
        </is>
      </c>
    </row>
    <row r="303">
      <c r="A303" s="3" t="n">
        <v>2022</v>
      </c>
      <c r="B303" s="4" t="n">
        <v>4812</v>
      </c>
      <c r="C303" s="4" t="n">
        <v>539</v>
      </c>
      <c r="D303" s="4" t="n">
        <v>163.0475</v>
      </c>
      <c r="E303" s="5" t="n">
        <v>29.5</v>
      </c>
      <c r="F303" s="3" t="inlineStr">
        <is>
          <t>남이면</t>
        </is>
      </c>
      <c r="G303" s="3" t="inlineStr">
        <is>
          <t>가좌리</t>
        </is>
      </c>
      <c r="H303" s="3" t="inlineStr">
        <is>
          <t>자연녹지지역</t>
        </is>
      </c>
      <c r="I303" s="3" t="inlineStr">
        <is>
          <t>답</t>
        </is>
      </c>
      <c r="J303" s="3" t="inlineStr">
        <is>
          <t>남이면</t>
        </is>
      </c>
    </row>
    <row r="304">
      <c r="A304" s="3" t="n">
        <v>2022</v>
      </c>
      <c r="B304" s="4" t="n">
        <v>7500</v>
      </c>
      <c r="C304" s="4" t="n">
        <v>1248</v>
      </c>
      <c r="D304" s="4" t="n">
        <v>377.52</v>
      </c>
      <c r="E304" s="5" t="n">
        <v>19.9</v>
      </c>
      <c r="F304" s="3" t="inlineStr">
        <is>
          <t>남이면</t>
        </is>
      </c>
      <c r="G304" s="3" t="inlineStr">
        <is>
          <t>팔봉리</t>
        </is>
      </c>
      <c r="H304" s="3" t="inlineStr">
        <is>
          <t>자연녹지지역</t>
        </is>
      </c>
      <c r="I304" s="3" t="inlineStr">
        <is>
          <t>임야</t>
        </is>
      </c>
      <c r="J304" s="3" t="inlineStr">
        <is>
          <t>남이면</t>
        </is>
      </c>
    </row>
    <row r="305">
      <c r="A305" s="3" t="n">
        <v>2022</v>
      </c>
      <c r="B305" s="4" t="n">
        <v>44431</v>
      </c>
      <c r="C305" s="4" t="n">
        <v>3551</v>
      </c>
      <c r="D305" s="4" t="n">
        <v>1074.1775</v>
      </c>
      <c r="E305" s="5" t="n">
        <v>41.4</v>
      </c>
      <c r="F305" s="3" t="inlineStr">
        <is>
          <t>남이면</t>
        </is>
      </c>
      <c r="G305" s="3" t="inlineStr">
        <is>
          <t>가좌리</t>
        </is>
      </c>
      <c r="H305" s="3" t="inlineStr">
        <is>
          <t>자연녹지지역</t>
        </is>
      </c>
      <c r="I305" s="3" t="inlineStr">
        <is>
          <t>답</t>
        </is>
      </c>
      <c r="J305" s="3" t="inlineStr">
        <is>
          <t>남이면</t>
        </is>
      </c>
    </row>
    <row r="306">
      <c r="A306" s="3" t="n">
        <v>2022</v>
      </c>
      <c r="B306" s="4" t="n">
        <v>7447</v>
      </c>
      <c r="C306" s="4" t="n">
        <v>596</v>
      </c>
      <c r="D306" s="4" t="n">
        <v>180.29</v>
      </c>
      <c r="E306" s="5" t="n">
        <v>41.3</v>
      </c>
      <c r="F306" s="3" t="inlineStr">
        <is>
          <t>남이면</t>
        </is>
      </c>
      <c r="G306" s="3" t="inlineStr">
        <is>
          <t>가좌리</t>
        </is>
      </c>
      <c r="H306" s="3" t="inlineStr">
        <is>
          <t>자연녹지지역</t>
        </is>
      </c>
      <c r="I306" s="3" t="inlineStr">
        <is>
          <t>답</t>
        </is>
      </c>
      <c r="J306" s="3" t="inlineStr">
        <is>
          <t>남이면</t>
        </is>
      </c>
    </row>
    <row r="307">
      <c r="A307" s="3" t="n">
        <v>2022</v>
      </c>
      <c r="B307" s="4" t="n">
        <v>6123</v>
      </c>
      <c r="C307" s="4" t="n">
        <v>488</v>
      </c>
      <c r="D307" s="4" t="n">
        <v>147.62</v>
      </c>
      <c r="E307" s="5" t="n">
        <v>41.5</v>
      </c>
      <c r="F307" s="3" t="inlineStr">
        <is>
          <t>남이면</t>
        </is>
      </c>
      <c r="G307" s="3" t="inlineStr">
        <is>
          <t>가좌리</t>
        </is>
      </c>
      <c r="H307" s="3" t="inlineStr">
        <is>
          <t>자연녹지지역</t>
        </is>
      </c>
      <c r="I307" s="3" t="inlineStr">
        <is>
          <t>답</t>
        </is>
      </c>
      <c r="J307" s="3" t="inlineStr">
        <is>
          <t>남이면</t>
        </is>
      </c>
    </row>
    <row r="308">
      <c r="A308" s="3" t="n">
        <v>2022</v>
      </c>
      <c r="B308" s="4" t="n">
        <v>1979</v>
      </c>
      <c r="C308" s="4" t="n">
        <v>154</v>
      </c>
      <c r="D308" s="4" t="n">
        <v>46.585</v>
      </c>
      <c r="E308" s="5" t="n">
        <v>42.5</v>
      </c>
      <c r="F308" s="3" t="inlineStr">
        <is>
          <t>남이면</t>
        </is>
      </c>
      <c r="G308" s="3" t="inlineStr">
        <is>
          <t>문동리</t>
        </is>
      </c>
      <c r="H308" s="3" t="inlineStr">
        <is>
          <t>자연녹지지역</t>
        </is>
      </c>
      <c r="I308" s="3" t="inlineStr">
        <is>
          <t>전</t>
        </is>
      </c>
      <c r="J308" s="3" t="inlineStr">
        <is>
          <t>남이면</t>
        </is>
      </c>
    </row>
    <row r="309">
      <c r="A309" s="3" t="n">
        <v>2022</v>
      </c>
      <c r="B309" s="4" t="n">
        <v>3598</v>
      </c>
      <c r="C309" s="4" t="n">
        <v>280</v>
      </c>
      <c r="D309" s="4" t="n">
        <v>84.7</v>
      </c>
      <c r="E309" s="5" t="n">
        <v>42.5</v>
      </c>
      <c r="F309" s="3" t="inlineStr">
        <is>
          <t>남이면</t>
        </is>
      </c>
      <c r="G309" s="3" t="inlineStr">
        <is>
          <t>문동리</t>
        </is>
      </c>
      <c r="H309" s="3" t="inlineStr">
        <is>
          <t>자연녹지지역</t>
        </is>
      </c>
      <c r="I309" s="3" t="inlineStr">
        <is>
          <t>임야</t>
        </is>
      </c>
      <c r="J309" s="3" t="inlineStr">
        <is>
          <t>남이면</t>
        </is>
      </c>
    </row>
    <row r="310">
      <c r="A310" s="3" t="n">
        <v>2022</v>
      </c>
      <c r="B310" s="4" t="n">
        <v>424</v>
      </c>
      <c r="C310" s="4" t="n">
        <v>33</v>
      </c>
      <c r="D310" s="4" t="n">
        <v>9.9825</v>
      </c>
      <c r="E310" s="5" t="n">
        <v>42.5</v>
      </c>
      <c r="F310" s="3" t="inlineStr">
        <is>
          <t>남이면</t>
        </is>
      </c>
      <c r="G310" s="3" t="inlineStr">
        <is>
          <t>문동리</t>
        </is>
      </c>
      <c r="H310" s="3" t="inlineStr">
        <is>
          <t>자연녹지지역</t>
        </is>
      </c>
      <c r="I310" s="3" t="inlineStr">
        <is>
          <t>임야</t>
        </is>
      </c>
      <c r="J310" s="3" t="inlineStr">
        <is>
          <t>남이면</t>
        </is>
      </c>
    </row>
    <row r="311">
      <c r="A311" s="3" t="n">
        <v>2024</v>
      </c>
      <c r="B311" s="4" t="n">
        <v>386</v>
      </c>
      <c r="C311" s="4" t="n">
        <v>7</v>
      </c>
      <c r="D311" s="4" t="n">
        <v>2.1175</v>
      </c>
      <c r="E311" s="5" t="n">
        <v>182.3</v>
      </c>
      <c r="F311" s="3" t="inlineStr">
        <is>
          <t>조치원읍</t>
        </is>
      </c>
      <c r="G311" s="3" t="inlineStr">
        <is>
          <t>서창리</t>
        </is>
      </c>
      <c r="H311" s="3" t="inlineStr">
        <is>
          <t>제1종일반주거지역</t>
        </is>
      </c>
      <c r="I311" s="3" t="inlineStr">
        <is>
          <t>대</t>
        </is>
      </c>
      <c r="J311" s="3" t="inlineStr">
        <is>
          <t>조치원읍</t>
        </is>
      </c>
    </row>
    <row r="312">
      <c r="A312" s="3" t="n">
        <v>2024</v>
      </c>
      <c r="B312" s="4" t="n">
        <v>4414</v>
      </c>
      <c r="C312" s="4" t="n">
        <v>80</v>
      </c>
      <c r="D312" s="4" t="n">
        <v>24.2</v>
      </c>
      <c r="E312" s="5" t="n">
        <v>182.4</v>
      </c>
      <c r="F312" s="3" t="inlineStr">
        <is>
          <t>조치원읍</t>
        </is>
      </c>
      <c r="G312" s="3" t="inlineStr">
        <is>
          <t>서창리</t>
        </is>
      </c>
      <c r="H312" s="3" t="inlineStr">
        <is>
          <t>제1종일반주거지역</t>
        </is>
      </c>
      <c r="I312" s="3" t="inlineStr">
        <is>
          <t>대</t>
        </is>
      </c>
      <c r="J312" s="3" t="inlineStr">
        <is>
          <t>조치원읍</t>
        </is>
      </c>
    </row>
    <row r="313">
      <c r="A313" s="3" t="n">
        <v>2024</v>
      </c>
      <c r="B313" s="4" t="n">
        <v>76500</v>
      </c>
      <c r="C313" s="4" t="n">
        <v>972</v>
      </c>
      <c r="D313" s="4" t="n">
        <v>294.03</v>
      </c>
      <c r="E313" s="5" t="n">
        <v>260.2</v>
      </c>
      <c r="F313" s="3" t="inlineStr">
        <is>
          <t>연서면</t>
        </is>
      </c>
      <c r="G313" s="3" t="inlineStr">
        <is>
          <t>월하리</t>
        </is>
      </c>
      <c r="H313" s="3" t="inlineStr">
        <is>
          <t>자연녹지지역</t>
        </is>
      </c>
      <c r="I313" s="3" t="inlineStr">
        <is>
          <t>전</t>
        </is>
      </c>
      <c r="J313" s="3" t="inlineStr">
        <is>
          <t>연서면</t>
        </is>
      </c>
    </row>
    <row r="314">
      <c r="A314" s="3" t="n">
        <v>2024</v>
      </c>
      <c r="B314" s="4" t="n">
        <v>17000</v>
      </c>
      <c r="C314" s="4" t="n">
        <v>198</v>
      </c>
      <c r="D314" s="4" t="n">
        <v>59.895</v>
      </c>
      <c r="E314" s="5" t="n">
        <v>283.8</v>
      </c>
      <c r="F314" s="3" t="inlineStr">
        <is>
          <t>연서면</t>
        </is>
      </c>
      <c r="G314" s="3" t="inlineStr">
        <is>
          <t>월하리</t>
        </is>
      </c>
      <c r="H314" s="3" t="inlineStr">
        <is>
          <t>자연녹지지역</t>
        </is>
      </c>
      <c r="I314" s="3" t="inlineStr">
        <is>
          <t>전</t>
        </is>
      </c>
      <c r="J314" s="3" t="inlineStr">
        <is>
          <t>연서면</t>
        </is>
      </c>
    </row>
    <row r="315">
      <c r="A315" s="3" t="n">
        <v>2024</v>
      </c>
      <c r="B315" s="4" t="n">
        <v>7000</v>
      </c>
      <c r="C315" s="4" t="n">
        <v>129</v>
      </c>
      <c r="D315" s="4" t="n">
        <v>39.0225</v>
      </c>
      <c r="E315" s="5" t="n">
        <v>179.4</v>
      </c>
      <c r="F315" s="3" t="inlineStr">
        <is>
          <t>연서면</t>
        </is>
      </c>
      <c r="G315" s="3" t="inlineStr">
        <is>
          <t>월하리</t>
        </is>
      </c>
      <c r="H315" s="3" t="inlineStr">
        <is>
          <t>자연녹지지역</t>
        </is>
      </c>
      <c r="I315" s="3" t="inlineStr">
        <is>
          <t>도로</t>
        </is>
      </c>
      <c r="J315" s="3" t="inlineStr">
        <is>
          <t>연서면</t>
        </is>
      </c>
    </row>
    <row r="316">
      <c r="A316" s="3" t="n">
        <v>2024</v>
      </c>
      <c r="B316" s="4" t="n">
        <v>60000</v>
      </c>
      <c r="C316" s="4" t="n">
        <v>2605</v>
      </c>
      <c r="D316" s="4" t="n">
        <v>788.0124999999999</v>
      </c>
      <c r="E316" s="5" t="n">
        <v>76.09999999999999</v>
      </c>
      <c r="F316" s="3" t="inlineStr">
        <is>
          <t>연서면</t>
        </is>
      </c>
      <c r="G316" s="3" t="inlineStr">
        <is>
          <t>신대리</t>
        </is>
      </c>
      <c r="H316" s="3" t="inlineStr">
        <is>
          <t>계획관리지역</t>
        </is>
      </c>
      <c r="I316" s="3" t="inlineStr">
        <is>
          <t>과수원</t>
        </is>
      </c>
      <c r="J316" s="3" t="inlineStr">
        <is>
          <t>연서면</t>
        </is>
      </c>
    </row>
    <row r="317">
      <c r="A317" s="3" t="n">
        <v>2024</v>
      </c>
      <c r="B317" s="4" t="n">
        <v>30000</v>
      </c>
      <c r="C317" s="4" t="n">
        <v>1010</v>
      </c>
      <c r="D317" s="4" t="n">
        <v>305.525</v>
      </c>
      <c r="E317" s="5" t="n">
        <v>98.2</v>
      </c>
      <c r="F317" s="3" t="inlineStr">
        <is>
          <t>연서면</t>
        </is>
      </c>
      <c r="G317" s="3" t="inlineStr">
        <is>
          <t>신대리</t>
        </is>
      </c>
      <c r="H317" s="3" t="inlineStr">
        <is>
          <t>생산관리지역</t>
        </is>
      </c>
      <c r="I317" s="3" t="inlineStr">
        <is>
          <t>답</t>
        </is>
      </c>
      <c r="J317" s="3" t="inlineStr">
        <is>
          <t>연서면</t>
        </is>
      </c>
    </row>
    <row r="318">
      <c r="A318" s="3" t="n">
        <v>2024</v>
      </c>
      <c r="B318" s="4" t="n">
        <v>30000</v>
      </c>
      <c r="C318" s="4" t="n">
        <v>1010</v>
      </c>
      <c r="D318" s="4" t="n">
        <v>305.525</v>
      </c>
      <c r="E318" s="5" t="n">
        <v>98.2</v>
      </c>
      <c r="F318" s="3" t="inlineStr">
        <is>
          <t>연서면</t>
        </is>
      </c>
      <c r="G318" s="3" t="inlineStr">
        <is>
          <t>신대리</t>
        </is>
      </c>
      <c r="H318" s="3" t="inlineStr">
        <is>
          <t>생산관리지역</t>
        </is>
      </c>
      <c r="I318" s="3" t="inlineStr">
        <is>
          <t>답</t>
        </is>
      </c>
      <c r="J318" s="3" t="inlineStr">
        <is>
          <t>연서면</t>
        </is>
      </c>
    </row>
    <row r="319">
      <c r="A319" s="3" t="n">
        <v>2022</v>
      </c>
      <c r="B319" s="4" t="n">
        <v>17500</v>
      </c>
      <c r="C319" s="4" t="n">
        <v>477</v>
      </c>
      <c r="D319" s="4" t="n">
        <v>144.2925</v>
      </c>
      <c r="E319" s="5" t="n">
        <v>121.3</v>
      </c>
      <c r="F319" s="3" t="inlineStr">
        <is>
          <t>연서면</t>
        </is>
      </c>
      <c r="G319" s="3" t="inlineStr">
        <is>
          <t>쌍류리</t>
        </is>
      </c>
      <c r="H319" s="3" t="inlineStr">
        <is>
          <t>생산관리지역</t>
        </is>
      </c>
      <c r="I319" s="3" t="inlineStr">
        <is>
          <t>전</t>
        </is>
      </c>
      <c r="J319" s="3" t="inlineStr">
        <is>
          <t>연서면</t>
        </is>
      </c>
    </row>
    <row r="320">
      <c r="A320" s="3" t="n">
        <v>2022</v>
      </c>
      <c r="B320" s="4" t="n">
        <v>16000</v>
      </c>
      <c r="C320" s="4" t="n">
        <v>231</v>
      </c>
      <c r="D320" s="4" t="n">
        <v>69.8775</v>
      </c>
      <c r="E320" s="5" t="n">
        <v>229</v>
      </c>
      <c r="F320" s="3" t="inlineStr">
        <is>
          <t>연서면</t>
        </is>
      </c>
      <c r="G320" s="3" t="inlineStr">
        <is>
          <t>국촌리</t>
        </is>
      </c>
      <c r="H320" s="3" t="inlineStr">
        <is>
          <t>계획관리지역</t>
        </is>
      </c>
      <c r="I320" s="3" t="inlineStr">
        <is>
          <t>대</t>
        </is>
      </c>
      <c r="J320" s="3" t="inlineStr">
        <is>
          <t>연서면</t>
        </is>
      </c>
    </row>
    <row r="321">
      <c r="A321" s="3" t="n">
        <v>2022</v>
      </c>
      <c r="B321" s="4" t="n">
        <v>14500</v>
      </c>
      <c r="C321" s="4" t="n">
        <v>936.6</v>
      </c>
      <c r="D321" s="4" t="n">
        <v>283.3215</v>
      </c>
      <c r="E321" s="5" t="n">
        <v>51.2</v>
      </c>
      <c r="F321" s="3" t="inlineStr">
        <is>
          <t>연서면</t>
        </is>
      </c>
      <c r="G321" s="3" t="inlineStr">
        <is>
          <t>청라리</t>
        </is>
      </c>
      <c r="H321" s="3" t="inlineStr">
        <is>
          <t>계획관리지역</t>
        </is>
      </c>
      <c r="I321" s="3" t="inlineStr">
        <is>
          <t>과수원</t>
        </is>
      </c>
      <c r="J321" s="3" t="inlineStr">
        <is>
          <t>연서면</t>
        </is>
      </c>
    </row>
    <row r="322">
      <c r="A322" s="3" t="n">
        <v>2022</v>
      </c>
      <c r="B322" s="4" t="n">
        <v>45000</v>
      </c>
      <c r="C322" s="4" t="n">
        <v>345</v>
      </c>
      <c r="D322" s="4" t="n">
        <v>104.3625</v>
      </c>
      <c r="E322" s="5" t="n">
        <v>431.2</v>
      </c>
      <c r="F322" s="3" t="inlineStr">
        <is>
          <t>부강면</t>
        </is>
      </c>
      <c r="G322" s="3" t="inlineStr">
        <is>
          <t>부강리</t>
        </is>
      </c>
      <c r="H322" s="3" t="inlineStr">
        <is>
          <t>제2종일반주거지역</t>
        </is>
      </c>
      <c r="I322" s="3" t="inlineStr">
        <is>
          <t>대</t>
        </is>
      </c>
      <c r="J322" s="3" t="inlineStr">
        <is>
          <t>부강면</t>
        </is>
      </c>
    </row>
    <row r="323">
      <c r="A323" s="3" t="n">
        <v>2023</v>
      </c>
      <c r="B323" s="4" t="n">
        <v>13400</v>
      </c>
      <c r="C323" s="4" t="n">
        <v>332</v>
      </c>
      <c r="D323" s="4" t="n">
        <v>100.43</v>
      </c>
      <c r="E323" s="5" t="n">
        <v>133.4</v>
      </c>
      <c r="F323" s="3" t="inlineStr">
        <is>
          <t>연서면</t>
        </is>
      </c>
      <c r="G323" s="3" t="inlineStr">
        <is>
          <t>고복리</t>
        </is>
      </c>
      <c r="H323" s="3" t="inlineStr">
        <is>
          <t>생산관리지역</t>
        </is>
      </c>
      <c r="I323" s="3" t="inlineStr">
        <is>
          <t>대</t>
        </is>
      </c>
      <c r="J323" s="3" t="inlineStr">
        <is>
          <t>연서면</t>
        </is>
      </c>
    </row>
    <row r="324">
      <c r="A324" s="3" t="n">
        <v>2023</v>
      </c>
      <c r="B324" s="4" t="n">
        <v>51045</v>
      </c>
      <c r="C324" s="4" t="n">
        <v>1258</v>
      </c>
      <c r="D324" s="4" t="n">
        <v>380.545</v>
      </c>
      <c r="E324" s="5" t="n">
        <v>134.1</v>
      </c>
      <c r="F324" s="3" t="inlineStr">
        <is>
          <t>연서면</t>
        </is>
      </c>
      <c r="G324" s="3" t="inlineStr">
        <is>
          <t>고복리</t>
        </is>
      </c>
      <c r="H324" s="3" t="inlineStr">
        <is>
          <t>생산관리지역</t>
        </is>
      </c>
      <c r="I324" s="3" t="inlineStr">
        <is>
          <t>잡종지</t>
        </is>
      </c>
      <c r="J324" s="3" t="inlineStr">
        <is>
          <t>연서면</t>
        </is>
      </c>
    </row>
    <row r="325">
      <c r="A325" s="3" t="n">
        <v>2023</v>
      </c>
      <c r="B325" s="4" t="n">
        <v>5140</v>
      </c>
      <c r="C325" s="4" t="n">
        <v>242</v>
      </c>
      <c r="D325" s="4" t="n">
        <v>73.205</v>
      </c>
      <c r="E325" s="5" t="n">
        <v>70.2</v>
      </c>
      <c r="F325" s="3" t="inlineStr">
        <is>
          <t>연서면</t>
        </is>
      </c>
      <c r="G325" s="3" t="inlineStr">
        <is>
          <t>고복리</t>
        </is>
      </c>
      <c r="H325" s="3" t="inlineStr">
        <is>
          <t>보전관리지역</t>
        </is>
      </c>
      <c r="I325" s="3" t="inlineStr">
        <is>
          <t>임야</t>
        </is>
      </c>
      <c r="J325" s="3" t="inlineStr">
        <is>
          <t>연서면</t>
        </is>
      </c>
    </row>
    <row r="326">
      <c r="A326" s="3" t="n">
        <v>2023</v>
      </c>
      <c r="B326" s="4" t="n">
        <v>10099</v>
      </c>
      <c r="C326" s="4" t="n">
        <v>257</v>
      </c>
      <c r="D326" s="4" t="n">
        <v>77.74249999999999</v>
      </c>
      <c r="E326" s="5" t="n">
        <v>129.9</v>
      </c>
      <c r="F326" s="3" t="inlineStr">
        <is>
          <t>연서면</t>
        </is>
      </c>
      <c r="G326" s="3" t="inlineStr">
        <is>
          <t>고복리</t>
        </is>
      </c>
      <c r="H326" s="3" t="inlineStr">
        <is>
          <t>생산관리지역</t>
        </is>
      </c>
      <c r="I326" s="3" t="inlineStr">
        <is>
          <t>답</t>
        </is>
      </c>
      <c r="J326" s="3" t="inlineStr">
        <is>
          <t>연서면</t>
        </is>
      </c>
    </row>
    <row r="327">
      <c r="A327" s="3" t="n">
        <v>2023</v>
      </c>
      <c r="B327" s="4" t="n">
        <v>75966</v>
      </c>
      <c r="C327" s="4" t="n">
        <v>1874</v>
      </c>
      <c r="D327" s="4" t="n">
        <v>566.885</v>
      </c>
      <c r="E327" s="5" t="n">
        <v>134</v>
      </c>
      <c r="F327" s="3" t="inlineStr">
        <is>
          <t>연서면</t>
        </is>
      </c>
      <c r="G327" s="3" t="inlineStr">
        <is>
          <t>고복리</t>
        </is>
      </c>
      <c r="H327" s="3" t="inlineStr">
        <is>
          <t>생산관리지역</t>
        </is>
      </c>
      <c r="I327" s="3" t="inlineStr">
        <is>
          <t>답</t>
        </is>
      </c>
      <c r="J327" s="3" t="inlineStr">
        <is>
          <t>연서면</t>
        </is>
      </c>
    </row>
    <row r="328">
      <c r="A328" s="3" t="n">
        <v>2023</v>
      </c>
      <c r="B328" s="4" t="n">
        <v>253400</v>
      </c>
      <c r="C328" s="4" t="n">
        <v>8333</v>
      </c>
      <c r="D328" s="4" t="n">
        <v>2520.7325</v>
      </c>
      <c r="E328" s="5" t="n">
        <v>100.5</v>
      </c>
      <c r="F328" s="3" t="inlineStr">
        <is>
          <t>연동면</t>
        </is>
      </c>
      <c r="G328" s="3" t="inlineStr">
        <is>
          <t>노송리</t>
        </is>
      </c>
      <c r="H328" s="3" t="inlineStr">
        <is>
          <t>계획관리지역</t>
        </is>
      </c>
      <c r="I328" s="3" t="inlineStr">
        <is>
          <t>임야</t>
        </is>
      </c>
      <c r="J328" s="3" t="inlineStr">
        <is>
          <t>연동면</t>
        </is>
      </c>
    </row>
    <row r="329">
      <c r="A329" s="3" t="n">
        <v>2023</v>
      </c>
      <c r="B329" s="4" t="n">
        <v>50780</v>
      </c>
      <c r="C329" s="4" t="n">
        <v>923</v>
      </c>
      <c r="D329" s="4" t="n">
        <v>279.2075</v>
      </c>
      <c r="E329" s="5" t="n">
        <v>181.9</v>
      </c>
      <c r="F329" s="3" t="inlineStr">
        <is>
          <t>연동면</t>
        </is>
      </c>
      <c r="G329" s="3" t="inlineStr">
        <is>
          <t>노송리</t>
        </is>
      </c>
      <c r="H329" s="3" t="inlineStr">
        <is>
          <t>계획관리지역</t>
        </is>
      </c>
      <c r="I329" s="3" t="inlineStr">
        <is>
          <t>전</t>
        </is>
      </c>
      <c r="J329" s="3" t="inlineStr">
        <is>
          <t>연동면</t>
        </is>
      </c>
    </row>
    <row r="330">
      <c r="A330" s="3" t="n">
        <v>2023</v>
      </c>
      <c r="B330" s="4" t="n">
        <v>35500</v>
      </c>
      <c r="C330" s="4" t="n">
        <v>644</v>
      </c>
      <c r="D330" s="4" t="n">
        <v>194.81</v>
      </c>
      <c r="E330" s="5" t="n">
        <v>182.2</v>
      </c>
      <c r="F330" s="3" t="inlineStr">
        <is>
          <t>연동면</t>
        </is>
      </c>
      <c r="G330" s="3" t="inlineStr">
        <is>
          <t>노송리</t>
        </is>
      </c>
      <c r="H330" s="3" t="inlineStr">
        <is>
          <t>계획관리지역</t>
        </is>
      </c>
      <c r="I330" s="3" t="inlineStr">
        <is>
          <t>답</t>
        </is>
      </c>
      <c r="J330" s="3" t="inlineStr">
        <is>
          <t>연동면</t>
        </is>
      </c>
    </row>
    <row r="331">
      <c r="A331" s="3" t="n">
        <v>2023</v>
      </c>
      <c r="B331" s="4" t="n">
        <v>3620</v>
      </c>
      <c r="C331" s="4" t="n">
        <v>66</v>
      </c>
      <c r="D331" s="4" t="n">
        <v>19.965</v>
      </c>
      <c r="E331" s="5" t="n">
        <v>181.3</v>
      </c>
      <c r="F331" s="3" t="inlineStr">
        <is>
          <t>연동면</t>
        </is>
      </c>
      <c r="G331" s="3" t="inlineStr">
        <is>
          <t>노송리</t>
        </is>
      </c>
      <c r="H331" s="3" t="inlineStr">
        <is>
          <t>계획관리지역</t>
        </is>
      </c>
      <c r="I331" s="3" t="inlineStr">
        <is>
          <t>전</t>
        </is>
      </c>
      <c r="J331" s="3" t="inlineStr">
        <is>
          <t>연동면</t>
        </is>
      </c>
    </row>
    <row r="332">
      <c r="A332" s="3" t="n">
        <v>2023</v>
      </c>
      <c r="B332" s="4" t="n">
        <v>22700</v>
      </c>
      <c r="C332" s="4" t="n">
        <v>413</v>
      </c>
      <c r="D332" s="4" t="n">
        <v>124.9325</v>
      </c>
      <c r="E332" s="5" t="n">
        <v>181.7</v>
      </c>
      <c r="F332" s="3" t="inlineStr">
        <is>
          <t>연동면</t>
        </is>
      </c>
      <c r="G332" s="3" t="inlineStr">
        <is>
          <t>노송리</t>
        </is>
      </c>
      <c r="H332" s="3" t="inlineStr">
        <is>
          <t>계획관리지역</t>
        </is>
      </c>
      <c r="I332" s="3" t="inlineStr">
        <is>
          <t>전</t>
        </is>
      </c>
      <c r="J332" s="3" t="inlineStr">
        <is>
          <t>연동면</t>
        </is>
      </c>
    </row>
    <row r="333">
      <c r="A333" s="3" t="n">
        <v>2023</v>
      </c>
      <c r="B333" s="4" t="n">
        <v>64000</v>
      </c>
      <c r="C333" s="4" t="n">
        <v>1160</v>
      </c>
      <c r="D333" s="4" t="n">
        <v>350.9</v>
      </c>
      <c r="E333" s="5" t="n">
        <v>182.4</v>
      </c>
      <c r="F333" s="3" t="inlineStr">
        <is>
          <t>연동면</t>
        </is>
      </c>
      <c r="G333" s="3" t="inlineStr">
        <is>
          <t>노송리</t>
        </is>
      </c>
      <c r="H333" s="3" t="inlineStr">
        <is>
          <t>계획관리지역</t>
        </is>
      </c>
      <c r="I333" s="3" t="inlineStr">
        <is>
          <t>전</t>
        </is>
      </c>
      <c r="J333" s="3" t="inlineStr">
        <is>
          <t>연동면</t>
        </is>
      </c>
    </row>
    <row r="334">
      <c r="A334" s="3" t="n">
        <v>2023</v>
      </c>
      <c r="B334" s="4" t="n">
        <v>55000</v>
      </c>
      <c r="C334" s="4" t="n">
        <v>6901</v>
      </c>
      <c r="D334" s="4" t="n">
        <v>2087.5525</v>
      </c>
      <c r="E334" s="5" t="n">
        <v>26.3</v>
      </c>
      <c r="F334" s="3" t="inlineStr">
        <is>
          <t>연서면</t>
        </is>
      </c>
      <c r="G334" s="3" t="inlineStr">
        <is>
          <t>쌍류리</t>
        </is>
      </c>
      <c r="H334" s="3" t="inlineStr">
        <is>
          <t>보전관리지역</t>
        </is>
      </c>
      <c r="I334" s="3" t="inlineStr">
        <is>
          <t>임야</t>
        </is>
      </c>
      <c r="J334" s="3" t="inlineStr">
        <is>
          <t>연서면</t>
        </is>
      </c>
    </row>
    <row r="335">
      <c r="A335" s="3" t="n">
        <v>2023</v>
      </c>
      <c r="B335" s="4" t="n">
        <v>9511</v>
      </c>
      <c r="C335" s="4" t="n">
        <v>893</v>
      </c>
      <c r="D335" s="4" t="n">
        <v>270.1325</v>
      </c>
      <c r="E335" s="5" t="n">
        <v>35.2</v>
      </c>
      <c r="F335" s="3" t="inlineStr">
        <is>
          <t>부강면</t>
        </is>
      </c>
      <c r="G335" s="3" t="inlineStr">
        <is>
          <t>문곡리</t>
        </is>
      </c>
      <c r="H335" s="3" t="inlineStr">
        <is>
          <t>계획관리지역</t>
        </is>
      </c>
      <c r="I335" s="3" t="inlineStr">
        <is>
          <t>구거</t>
        </is>
      </c>
      <c r="J335" s="3" t="inlineStr">
        <is>
          <t>부강면</t>
        </is>
      </c>
    </row>
    <row r="336">
      <c r="A336" s="3" t="n">
        <v>2022</v>
      </c>
      <c r="B336" s="4" t="n">
        <v>110000</v>
      </c>
      <c r="C336" s="4" t="n">
        <v>58897</v>
      </c>
      <c r="D336" s="4" t="n">
        <v>17816.3425</v>
      </c>
      <c r="E336" s="5" t="n">
        <v>6.2</v>
      </c>
      <c r="F336" s="3" t="inlineStr">
        <is>
          <t>연서면</t>
        </is>
      </c>
      <c r="G336" s="3" t="inlineStr">
        <is>
          <t>쌍류리</t>
        </is>
      </c>
      <c r="H336" s="3" t="inlineStr">
        <is>
          <t>농림지역</t>
        </is>
      </c>
      <c r="I336" s="3" t="inlineStr">
        <is>
          <t>임야</t>
        </is>
      </c>
      <c r="J336" s="3" t="inlineStr">
        <is>
          <t>연서면</t>
        </is>
      </c>
    </row>
    <row r="337">
      <c r="A337" s="3" t="n">
        <v>2024</v>
      </c>
      <c r="B337" s="4" t="n">
        <v>68780</v>
      </c>
      <c r="C337" s="4" t="n">
        <v>857</v>
      </c>
      <c r="D337" s="4" t="n">
        <v>259.2425</v>
      </c>
      <c r="E337" s="5" t="n">
        <v>265.3</v>
      </c>
      <c r="F337" s="3" t="inlineStr">
        <is>
          <t>조치원읍</t>
        </is>
      </c>
      <c r="G337" s="3" t="inlineStr">
        <is>
          <t>신안리</t>
        </is>
      </c>
      <c r="H337" s="3" t="inlineStr">
        <is>
          <t>제2종일반주거지역</t>
        </is>
      </c>
      <c r="I337" s="3" t="inlineStr">
        <is>
          <t>대</t>
        </is>
      </c>
      <c r="J337" s="3" t="inlineStr">
        <is>
          <t>조치원읍</t>
        </is>
      </c>
    </row>
    <row r="338">
      <c r="A338" s="3" t="n">
        <v>2026</v>
      </c>
      <c r="B338" s="4" t="n">
        <v>3737</v>
      </c>
      <c r="C338" s="4" t="n">
        <v>79</v>
      </c>
      <c r="D338" s="4" t="n">
        <v>23.8975</v>
      </c>
      <c r="E338" s="5" t="n">
        <v>156.4</v>
      </c>
      <c r="F338" s="3" t="inlineStr">
        <is>
          <t>남이면</t>
        </is>
      </c>
      <c r="G338" s="3" t="inlineStr">
        <is>
          <t>부용외천리</t>
        </is>
      </c>
      <c r="H338" s="3" t="inlineStr">
        <is>
          <t>계획관리지역</t>
        </is>
      </c>
      <c r="I338" s="3" t="inlineStr">
        <is>
          <t>공장용지</t>
        </is>
      </c>
      <c r="J338" s="3" t="inlineStr">
        <is>
          <t>남이면</t>
        </is>
      </c>
    </row>
    <row r="339">
      <c r="A339" s="3" t="n">
        <v>2026</v>
      </c>
      <c r="B339" s="4" t="n">
        <v>6874</v>
      </c>
      <c r="C339" s="4" t="n">
        <v>251</v>
      </c>
      <c r="D339" s="4" t="n">
        <v>75.92749999999999</v>
      </c>
      <c r="E339" s="5" t="n">
        <v>90.5</v>
      </c>
      <c r="F339" s="3" t="inlineStr">
        <is>
          <t>남이면</t>
        </is>
      </c>
      <c r="G339" s="3" t="inlineStr">
        <is>
          <t>부용외천리</t>
        </is>
      </c>
      <c r="H339" s="3" t="inlineStr">
        <is>
          <t>계획관리지역</t>
        </is>
      </c>
      <c r="I339" s="3" t="inlineStr">
        <is>
          <t>전</t>
        </is>
      </c>
      <c r="J339" s="3" t="inlineStr">
        <is>
          <t>남이면</t>
        </is>
      </c>
    </row>
    <row r="340">
      <c r="A340" s="3" t="n">
        <v>2026</v>
      </c>
      <c r="B340" s="4" t="n">
        <v>12327</v>
      </c>
      <c r="C340" s="4" t="n">
        <v>168.7</v>
      </c>
      <c r="D340" s="4" t="n">
        <v>51.03175</v>
      </c>
      <c r="E340" s="5" t="n">
        <v>241.6</v>
      </c>
      <c r="F340" s="3" t="inlineStr">
        <is>
          <t>오송읍</t>
        </is>
      </c>
      <c r="G340" s="3" t="inlineStr">
        <is>
          <t>만수리</t>
        </is>
      </c>
      <c r="H340" s="3" t="inlineStr">
        <is>
          <t>제1종일반주거지역</t>
        </is>
      </c>
      <c r="I340" s="3" t="inlineStr">
        <is>
          <t>대</t>
        </is>
      </c>
      <c r="J340" s="3" t="inlineStr">
        <is>
          <t>오송읍</t>
        </is>
      </c>
    </row>
    <row r="341">
      <c r="A341" s="3" t="n">
        <v>2026</v>
      </c>
      <c r="B341" s="4" t="n">
        <v>7673</v>
      </c>
      <c r="C341" s="4" t="n">
        <v>105</v>
      </c>
      <c r="D341" s="4" t="n">
        <v>31.7625</v>
      </c>
      <c r="E341" s="5" t="n">
        <v>241.6</v>
      </c>
      <c r="F341" s="3" t="inlineStr">
        <is>
          <t>오송읍</t>
        </is>
      </c>
      <c r="G341" s="3" t="inlineStr">
        <is>
          <t>봉산리</t>
        </is>
      </c>
      <c r="H341" s="3" t="inlineStr">
        <is>
          <t>제1종일반주거지역</t>
        </is>
      </c>
      <c r="I341" s="3" t="inlineStr">
        <is>
          <t>대</t>
        </is>
      </c>
      <c r="J341" s="3" t="inlineStr">
        <is>
          <t>오송읍</t>
        </is>
      </c>
    </row>
    <row r="342">
      <c r="A342" s="3" t="n">
        <v>2026</v>
      </c>
      <c r="B342" s="4" t="n">
        <v>24668</v>
      </c>
      <c r="C342" s="4" t="n">
        <v>524.1</v>
      </c>
      <c r="D342" s="4" t="n">
        <v>158.54025</v>
      </c>
      <c r="E342" s="5" t="n">
        <v>155.6</v>
      </c>
      <c r="F342" s="3" t="inlineStr">
        <is>
          <t>강내면</t>
        </is>
      </c>
      <c r="G342" s="3" t="inlineStr">
        <is>
          <t>사곡리</t>
        </is>
      </c>
      <c r="H342" s="3" t="inlineStr">
        <is>
          <t>보전관리지역</t>
        </is>
      </c>
      <c r="I342" s="3" t="inlineStr">
        <is>
          <t>대</t>
        </is>
      </c>
      <c r="J342" s="3" t="inlineStr">
        <is>
          <t>강내면</t>
        </is>
      </c>
    </row>
    <row r="343">
      <c r="A343" s="3" t="n">
        <v>2026</v>
      </c>
      <c r="B343" s="4" t="n">
        <v>26000</v>
      </c>
      <c r="C343" s="4" t="n">
        <v>873</v>
      </c>
      <c r="D343" s="4" t="n">
        <v>264.0825</v>
      </c>
      <c r="E343" s="5" t="n">
        <v>98.5</v>
      </c>
      <c r="F343" s="3" t="inlineStr">
        <is>
          <t>강내면</t>
        </is>
      </c>
      <c r="G343" s="3" t="inlineStr">
        <is>
          <t>탑연리</t>
        </is>
      </c>
      <c r="H343" s="3" t="inlineStr">
        <is>
          <t>자연녹지지역</t>
        </is>
      </c>
      <c r="I343" s="3" t="inlineStr">
        <is>
          <t>전</t>
        </is>
      </c>
      <c r="J343" s="3" t="inlineStr">
        <is>
          <t>강내면</t>
        </is>
      </c>
    </row>
    <row r="344">
      <c r="A344" s="3" t="n">
        <v>2026</v>
      </c>
      <c r="B344" s="4" t="n">
        <v>42700</v>
      </c>
      <c r="C344" s="4" t="n">
        <v>2016</v>
      </c>
      <c r="D344" s="4" t="n">
        <v>609.84</v>
      </c>
      <c r="E344" s="5" t="n">
        <v>70</v>
      </c>
      <c r="F344" s="3" t="inlineStr">
        <is>
          <t>오송읍</t>
        </is>
      </c>
      <c r="G344" s="3" t="inlineStr">
        <is>
          <t>서평리</t>
        </is>
      </c>
      <c r="H344" s="3" t="inlineStr">
        <is>
          <t>농림지역</t>
        </is>
      </c>
      <c r="I344" s="3" t="inlineStr">
        <is>
          <t>답</t>
        </is>
      </c>
      <c r="J344" s="3" t="inlineStr">
        <is>
          <t>오송읍</t>
        </is>
      </c>
    </row>
    <row r="345">
      <c r="A345" s="3" t="n">
        <v>2026</v>
      </c>
      <c r="B345" s="4" t="n">
        <v>20610</v>
      </c>
      <c r="C345" s="4" t="n">
        <v>2272.1</v>
      </c>
      <c r="D345" s="4" t="n">
        <v>687.31025</v>
      </c>
      <c r="E345" s="5" t="n">
        <v>30</v>
      </c>
      <c r="F345" s="3" t="inlineStr">
        <is>
          <t>강내면</t>
        </is>
      </c>
      <c r="G345" s="3" t="inlineStr">
        <is>
          <t>저산리</t>
        </is>
      </c>
      <c r="H345" s="3" t="inlineStr">
        <is>
          <t>농림지역</t>
        </is>
      </c>
      <c r="I345" s="3" t="inlineStr">
        <is>
          <t>답</t>
        </is>
      </c>
      <c r="J345" s="3" t="inlineStr">
        <is>
          <t>강내면</t>
        </is>
      </c>
    </row>
    <row r="346">
      <c r="A346" s="3" t="n">
        <v>2026</v>
      </c>
      <c r="B346" s="4" t="n">
        <v>5500</v>
      </c>
      <c r="C346" s="4" t="n">
        <v>99</v>
      </c>
      <c r="D346" s="4" t="n">
        <v>29.9475</v>
      </c>
      <c r="E346" s="5" t="n">
        <v>183.7</v>
      </c>
      <c r="F346" s="3" t="inlineStr">
        <is>
          <t>오송읍</t>
        </is>
      </c>
      <c r="G346" s="3" t="inlineStr">
        <is>
          <t>만수리</t>
        </is>
      </c>
      <c r="H346" s="3" t="inlineStr">
        <is>
          <t>농림지역</t>
        </is>
      </c>
      <c r="I346" s="3" t="inlineStr">
        <is>
          <t>대</t>
        </is>
      </c>
      <c r="J346" s="3" t="inlineStr">
        <is>
          <t>오송읍</t>
        </is>
      </c>
    </row>
    <row r="347">
      <c r="A347" s="3" t="n">
        <v>2026</v>
      </c>
      <c r="B347" s="4" t="n">
        <v>45000</v>
      </c>
      <c r="C347" s="4" t="n">
        <v>2618</v>
      </c>
      <c r="D347" s="4" t="n">
        <v>791.9449999999999</v>
      </c>
      <c r="E347" s="5" t="n">
        <v>56.8</v>
      </c>
      <c r="F347" s="3" t="inlineStr">
        <is>
          <t>오송읍</t>
        </is>
      </c>
      <c r="G347" s="3" t="inlineStr">
        <is>
          <t>서평리</t>
        </is>
      </c>
      <c r="H347" s="3" t="inlineStr">
        <is>
          <t>농림지역</t>
        </is>
      </c>
      <c r="I347" s="3" t="inlineStr">
        <is>
          <t>답</t>
        </is>
      </c>
      <c r="J347" s="3" t="inlineStr">
        <is>
          <t>오송읍</t>
        </is>
      </c>
    </row>
    <row r="348">
      <c r="A348" s="3" t="n">
        <v>2026</v>
      </c>
      <c r="B348" s="4" t="n">
        <v>24000</v>
      </c>
      <c r="C348" s="4" t="n">
        <v>2304</v>
      </c>
      <c r="D348" s="4" t="n">
        <v>696.96</v>
      </c>
      <c r="E348" s="5" t="n">
        <v>34.4</v>
      </c>
      <c r="F348" s="3" t="inlineStr">
        <is>
          <t>강내면</t>
        </is>
      </c>
      <c r="G348" s="3" t="inlineStr">
        <is>
          <t>학천리</t>
        </is>
      </c>
      <c r="H348" s="3" t="inlineStr">
        <is>
          <t>생산녹지지역</t>
        </is>
      </c>
      <c r="I348" s="3" t="inlineStr">
        <is>
          <t>답</t>
        </is>
      </c>
      <c r="J348" s="3" t="inlineStr">
        <is>
          <t>강내면</t>
        </is>
      </c>
    </row>
    <row r="349">
      <c r="A349" s="3" t="n">
        <v>2026</v>
      </c>
      <c r="B349" s="4" t="n">
        <v>12000</v>
      </c>
      <c r="C349" s="4" t="n">
        <v>426</v>
      </c>
      <c r="D349" s="4" t="n">
        <v>128.865</v>
      </c>
      <c r="E349" s="5" t="n">
        <v>93.09999999999999</v>
      </c>
      <c r="F349" s="3" t="inlineStr">
        <is>
          <t>강내면</t>
        </is>
      </c>
      <c r="G349" s="3" t="inlineStr">
        <is>
          <t>석화리</t>
        </is>
      </c>
      <c r="H349" s="3" t="inlineStr">
        <is>
          <t>자연녹지지역</t>
        </is>
      </c>
      <c r="I349" s="3" t="inlineStr">
        <is>
          <t>전</t>
        </is>
      </c>
      <c r="J349" s="3" t="inlineStr">
        <is>
          <t>강내면</t>
        </is>
      </c>
    </row>
    <row r="350">
      <c r="A350" s="3" t="n">
        <v>2026</v>
      </c>
      <c r="B350" s="4" t="n">
        <v>6000</v>
      </c>
      <c r="C350" s="4" t="n">
        <v>1137</v>
      </c>
      <c r="D350" s="4" t="n">
        <v>343.9425</v>
      </c>
      <c r="E350" s="5" t="n">
        <v>17.4</v>
      </c>
      <c r="F350" s="3" t="inlineStr">
        <is>
          <t>강내면</t>
        </is>
      </c>
      <c r="G350" s="3" t="inlineStr">
        <is>
          <t>저산리</t>
        </is>
      </c>
      <c r="H350" s="3" t="inlineStr">
        <is>
          <t>농림지역</t>
        </is>
      </c>
      <c r="I350" s="3" t="inlineStr">
        <is>
          <t>전</t>
        </is>
      </c>
      <c r="J350" s="3" t="inlineStr">
        <is>
          <t>강내면</t>
        </is>
      </c>
    </row>
    <row r="351">
      <c r="A351" s="3" t="n">
        <v>2026</v>
      </c>
      <c r="B351" s="4" t="n">
        <v>94000</v>
      </c>
      <c r="C351" s="4" t="n">
        <v>3132</v>
      </c>
      <c r="D351" s="4" t="n">
        <v>947.4299999999999</v>
      </c>
      <c r="E351" s="5" t="n">
        <v>99.2</v>
      </c>
      <c r="F351" s="3" t="inlineStr">
        <is>
          <t>오송읍</t>
        </is>
      </c>
      <c r="G351" s="3" t="inlineStr">
        <is>
          <t>서평리</t>
        </is>
      </c>
      <c r="H351" s="3" t="inlineStr">
        <is>
          <t>농림지역</t>
        </is>
      </c>
      <c r="I351" s="3" t="inlineStr">
        <is>
          <t>답</t>
        </is>
      </c>
      <c r="J351" s="3" t="inlineStr">
        <is>
          <t>오송읍</t>
        </is>
      </c>
    </row>
    <row r="352">
      <c r="A352" s="3" t="n">
        <v>2026</v>
      </c>
      <c r="B352" s="4" t="n">
        <v>35420</v>
      </c>
      <c r="C352" s="4" t="n">
        <v>1954</v>
      </c>
      <c r="D352" s="4" t="n">
        <v>591.085</v>
      </c>
      <c r="E352" s="5" t="n">
        <v>59.9</v>
      </c>
      <c r="F352" s="3" t="inlineStr">
        <is>
          <t>오송읍</t>
        </is>
      </c>
      <c r="G352" s="3" t="inlineStr">
        <is>
          <t>서평리</t>
        </is>
      </c>
      <c r="H352" s="3" t="inlineStr">
        <is>
          <t>농림지역</t>
        </is>
      </c>
      <c r="I352" s="3" t="inlineStr">
        <is>
          <t>답</t>
        </is>
      </c>
      <c r="J352" s="3" t="inlineStr">
        <is>
          <t>오송읍</t>
        </is>
      </c>
    </row>
    <row r="353">
      <c r="A353" s="3" t="n">
        <v>2026</v>
      </c>
      <c r="B353" s="4" t="n">
        <v>17800</v>
      </c>
      <c r="C353" s="4" t="n">
        <v>982</v>
      </c>
      <c r="D353" s="4" t="n">
        <v>297.055</v>
      </c>
      <c r="E353" s="5" t="n">
        <v>59.9</v>
      </c>
      <c r="F353" s="3" t="inlineStr">
        <is>
          <t>오송읍</t>
        </is>
      </c>
      <c r="G353" s="3" t="inlineStr">
        <is>
          <t>서평리</t>
        </is>
      </c>
      <c r="H353" s="3" t="inlineStr">
        <is>
          <t>농림지역</t>
        </is>
      </c>
      <c r="I353" s="3" t="inlineStr">
        <is>
          <t>답</t>
        </is>
      </c>
      <c r="J353" s="3" t="inlineStr">
        <is>
          <t>오송읍</t>
        </is>
      </c>
    </row>
    <row r="354">
      <c r="A354" s="3" t="n">
        <v>2026</v>
      </c>
      <c r="B354" s="4" t="n">
        <v>6780</v>
      </c>
      <c r="C354" s="4" t="n">
        <v>375</v>
      </c>
      <c r="D354" s="4" t="n">
        <v>113.4375</v>
      </c>
      <c r="E354" s="5" t="n">
        <v>59.8</v>
      </c>
      <c r="F354" s="3" t="inlineStr">
        <is>
          <t>오송읍</t>
        </is>
      </c>
      <c r="G354" s="3" t="inlineStr">
        <is>
          <t>서평리</t>
        </is>
      </c>
      <c r="H354" s="3" t="inlineStr">
        <is>
          <t>농림지역</t>
        </is>
      </c>
      <c r="I354" s="3" t="inlineStr">
        <is>
          <t>답</t>
        </is>
      </c>
      <c r="J354" s="3" t="inlineStr">
        <is>
          <t>오송읍</t>
        </is>
      </c>
    </row>
    <row r="355">
      <c r="A355" s="3" t="n">
        <v>2026</v>
      </c>
      <c r="B355" s="4" t="n">
        <v>58760</v>
      </c>
      <c r="C355" s="4" t="n">
        <v>4008</v>
      </c>
      <c r="D355" s="4" t="n">
        <v>1212.42</v>
      </c>
      <c r="E355" s="5" t="n">
        <v>48.5</v>
      </c>
      <c r="F355" s="3" t="inlineStr">
        <is>
          <t>강내면</t>
        </is>
      </c>
      <c r="G355" s="3" t="inlineStr">
        <is>
          <t>학천리</t>
        </is>
      </c>
      <c r="H355" s="3" t="inlineStr">
        <is>
          <t>생산녹지지역</t>
        </is>
      </c>
      <c r="I355" s="3" t="inlineStr">
        <is>
          <t>답</t>
        </is>
      </c>
      <c r="J355" s="3" t="inlineStr">
        <is>
          <t>강내면</t>
        </is>
      </c>
    </row>
    <row r="356">
      <c r="A356" s="3" t="n">
        <v>2026</v>
      </c>
      <c r="B356" s="4" t="n">
        <v>12240</v>
      </c>
      <c r="C356" s="4" t="n">
        <v>835</v>
      </c>
      <c r="D356" s="4" t="n">
        <v>252.5875</v>
      </c>
      <c r="E356" s="5" t="n">
        <v>48.5</v>
      </c>
      <c r="F356" s="3" t="inlineStr">
        <is>
          <t>강내면</t>
        </is>
      </c>
      <c r="G356" s="3" t="inlineStr">
        <is>
          <t>학천리</t>
        </is>
      </c>
      <c r="H356" s="3" t="inlineStr">
        <is>
          <t>생산녹지지역</t>
        </is>
      </c>
      <c r="I356" s="3" t="inlineStr">
        <is>
          <t>답</t>
        </is>
      </c>
      <c r="J356" s="3" t="inlineStr">
        <is>
          <t>강내면</t>
        </is>
      </c>
    </row>
    <row r="357">
      <c r="A357" s="3" t="n">
        <v>2026</v>
      </c>
      <c r="B357" s="4" t="n">
        <v>6870</v>
      </c>
      <c r="C357" s="4" t="n">
        <v>812</v>
      </c>
      <c r="D357" s="4" t="n">
        <v>245.63</v>
      </c>
      <c r="E357" s="5" t="n">
        <v>28</v>
      </c>
      <c r="F357" s="3" t="inlineStr">
        <is>
          <t>오송읍</t>
        </is>
      </c>
      <c r="G357" s="3" t="inlineStr">
        <is>
          <t>상봉리</t>
        </is>
      </c>
      <c r="H357" s="3" t="inlineStr">
        <is>
          <t>용도미지정</t>
        </is>
      </c>
      <c r="I357" s="3" t="inlineStr">
        <is>
          <t>답</t>
        </is>
      </c>
      <c r="J357" s="3" t="inlineStr">
        <is>
          <t>오송읍</t>
        </is>
      </c>
    </row>
    <row r="358">
      <c r="A358" s="3" t="n">
        <v>2025</v>
      </c>
      <c r="B358" s="4" t="n">
        <v>46000</v>
      </c>
      <c r="C358" s="4" t="n">
        <v>1755</v>
      </c>
      <c r="D358" s="4" t="n">
        <v>530.8874999999999</v>
      </c>
      <c r="E358" s="5" t="n">
        <v>86.59999999999999</v>
      </c>
      <c r="F358" s="3" t="inlineStr">
        <is>
          <t>연서면</t>
        </is>
      </c>
      <c r="G358" s="3" t="inlineStr">
        <is>
          <t>봉암리</t>
        </is>
      </c>
      <c r="H358" s="3" t="inlineStr">
        <is>
          <t>농림지역</t>
        </is>
      </c>
      <c r="I358" s="3" t="inlineStr">
        <is>
          <t>답</t>
        </is>
      </c>
      <c r="J358" s="3" t="inlineStr">
        <is>
          <t>연서면</t>
        </is>
      </c>
    </row>
    <row r="359">
      <c r="A359" s="3" t="n">
        <v>2025</v>
      </c>
      <c r="B359" s="4" t="n">
        <v>25000</v>
      </c>
      <c r="C359" s="4" t="n">
        <v>831</v>
      </c>
      <c r="D359" s="4" t="n">
        <v>251.3775</v>
      </c>
      <c r="E359" s="5" t="n">
        <v>99.5</v>
      </c>
      <c r="F359" s="3" t="inlineStr">
        <is>
          <t>연동면</t>
        </is>
      </c>
      <c r="G359" s="3" t="inlineStr">
        <is>
          <t>노송리</t>
        </is>
      </c>
      <c r="H359" s="3" t="inlineStr">
        <is>
          <t>계획관리지역</t>
        </is>
      </c>
      <c r="I359" s="3" t="inlineStr">
        <is>
          <t>전</t>
        </is>
      </c>
      <c r="J359" s="3" t="inlineStr">
        <is>
          <t>연동면</t>
        </is>
      </c>
    </row>
    <row r="360">
      <c r="A360" s="3" t="n">
        <v>2025</v>
      </c>
      <c r="B360" s="4" t="n">
        <v>16000</v>
      </c>
      <c r="C360" s="4" t="n">
        <v>520</v>
      </c>
      <c r="D360" s="4" t="n">
        <v>157.3</v>
      </c>
      <c r="E360" s="5" t="n">
        <v>101.7</v>
      </c>
      <c r="F360" s="3" t="inlineStr">
        <is>
          <t>연동면</t>
        </is>
      </c>
      <c r="G360" s="3" t="inlineStr">
        <is>
          <t>노송리</t>
        </is>
      </c>
      <c r="H360" s="3" t="inlineStr">
        <is>
          <t>계획관리지역</t>
        </is>
      </c>
      <c r="I360" s="3" t="inlineStr">
        <is>
          <t>전</t>
        </is>
      </c>
      <c r="J360" s="3" t="inlineStr">
        <is>
          <t>연동면</t>
        </is>
      </c>
    </row>
    <row r="361">
      <c r="A361" s="3" t="n">
        <v>2025</v>
      </c>
      <c r="B361" s="4" t="n">
        <v>1000</v>
      </c>
      <c r="C361" s="4" t="n">
        <v>44</v>
      </c>
      <c r="D361" s="4" t="n">
        <v>13.31</v>
      </c>
      <c r="E361" s="5" t="n">
        <v>75.09999999999999</v>
      </c>
      <c r="F361" s="3" t="inlineStr">
        <is>
          <t>연동면</t>
        </is>
      </c>
      <c r="G361" s="3" t="inlineStr">
        <is>
          <t>노송리</t>
        </is>
      </c>
      <c r="H361" s="3" t="inlineStr">
        <is>
          <t>계획관리지역</t>
        </is>
      </c>
      <c r="I361" s="3" t="inlineStr">
        <is>
          <t>전</t>
        </is>
      </c>
      <c r="J361" s="3" t="inlineStr">
        <is>
          <t>연동면</t>
        </is>
      </c>
    </row>
    <row r="362">
      <c r="A362" s="3" t="n">
        <v>2025</v>
      </c>
      <c r="B362" s="4" t="n">
        <v>3500</v>
      </c>
      <c r="C362" s="4" t="n">
        <v>236</v>
      </c>
      <c r="D362" s="4" t="n">
        <v>71.39</v>
      </c>
      <c r="E362" s="5" t="n">
        <v>49</v>
      </c>
      <c r="F362" s="3" t="inlineStr">
        <is>
          <t>연서면</t>
        </is>
      </c>
      <c r="G362" s="3" t="inlineStr">
        <is>
          <t>고복리</t>
        </is>
      </c>
      <c r="H362" s="3" t="inlineStr">
        <is>
          <t>보전관리지역</t>
        </is>
      </c>
      <c r="I362" s="3" t="inlineStr">
        <is>
          <t>전</t>
        </is>
      </c>
      <c r="J362" s="3" t="inlineStr">
        <is>
          <t>연서면</t>
        </is>
      </c>
    </row>
    <row r="363">
      <c r="A363" s="3" t="n">
        <v>2026</v>
      </c>
      <c r="B363" s="4" t="n">
        <v>5490</v>
      </c>
      <c r="C363" s="4" t="n">
        <v>202</v>
      </c>
      <c r="D363" s="4" t="n">
        <v>61.105</v>
      </c>
      <c r="E363" s="5" t="n">
        <v>89.8</v>
      </c>
      <c r="F363" s="3" t="inlineStr">
        <is>
          <t>연서면</t>
        </is>
      </c>
      <c r="G363" s="3" t="inlineStr">
        <is>
          <t>국촌리</t>
        </is>
      </c>
      <c r="H363" s="3" t="inlineStr">
        <is>
          <t>계획관리지역</t>
        </is>
      </c>
      <c r="I363" s="3" t="inlineStr">
        <is>
          <t>대</t>
        </is>
      </c>
      <c r="J363" s="3" t="inlineStr">
        <is>
          <t>연서면</t>
        </is>
      </c>
    </row>
    <row r="364">
      <c r="A364" s="3" t="n">
        <v>2026</v>
      </c>
      <c r="B364" s="4" t="n">
        <v>1680</v>
      </c>
      <c r="C364" s="4" t="n">
        <v>71</v>
      </c>
      <c r="D364" s="4" t="n">
        <v>21.4775</v>
      </c>
      <c r="E364" s="5" t="n">
        <v>78.2</v>
      </c>
      <c r="F364" s="3" t="inlineStr">
        <is>
          <t>연서면</t>
        </is>
      </c>
      <c r="G364" s="3" t="inlineStr">
        <is>
          <t>국촌리</t>
        </is>
      </c>
      <c r="H364" s="3" t="inlineStr">
        <is>
          <t>계획관리지역</t>
        </is>
      </c>
      <c r="I364" s="3" t="inlineStr">
        <is>
          <t>전</t>
        </is>
      </c>
      <c r="J364" s="3" t="inlineStr">
        <is>
          <t>연서면</t>
        </is>
      </c>
    </row>
    <row r="365">
      <c r="A365" s="3" t="n">
        <v>2026</v>
      </c>
      <c r="B365" s="4" t="n">
        <v>52000</v>
      </c>
      <c r="C365" s="4" t="n">
        <v>2946</v>
      </c>
      <c r="D365" s="4" t="n">
        <v>891.165</v>
      </c>
      <c r="E365" s="5" t="n">
        <v>58.4</v>
      </c>
      <c r="F365" s="3" t="inlineStr">
        <is>
          <t>연서면</t>
        </is>
      </c>
      <c r="G365" s="3" t="inlineStr">
        <is>
          <t>신대리</t>
        </is>
      </c>
      <c r="H365" s="3" t="inlineStr">
        <is>
          <t>농림지역</t>
        </is>
      </c>
      <c r="I365" s="3" t="inlineStr">
        <is>
          <t>답</t>
        </is>
      </c>
      <c r="J365" s="3" t="inlineStr">
        <is>
          <t>연서면</t>
        </is>
      </c>
    </row>
    <row r="366">
      <c r="A366" s="3" t="n">
        <v>2026</v>
      </c>
      <c r="B366" s="4" t="n">
        <v>85470</v>
      </c>
      <c r="C366" s="4" t="n">
        <v>4035</v>
      </c>
      <c r="D366" s="4" t="n">
        <v>1220.5875</v>
      </c>
      <c r="E366" s="5" t="n">
        <v>70</v>
      </c>
      <c r="F366" s="3" t="inlineStr">
        <is>
          <t>연서면</t>
        </is>
      </c>
      <c r="G366" s="3" t="inlineStr">
        <is>
          <t>와촌리</t>
        </is>
      </c>
      <c r="H366" s="3" t="inlineStr">
        <is>
          <t>농림지역</t>
        </is>
      </c>
      <c r="I366" s="3" t="inlineStr">
        <is>
          <t>답</t>
        </is>
      </c>
      <c r="J366" s="3" t="inlineStr">
        <is>
          <t>연서면</t>
        </is>
      </c>
    </row>
    <row r="367">
      <c r="A367" s="3" t="n">
        <v>2026</v>
      </c>
      <c r="B367" s="4" t="n">
        <v>16500</v>
      </c>
      <c r="C367" s="4" t="n">
        <v>403</v>
      </c>
      <c r="D367" s="4" t="n">
        <v>121.9075</v>
      </c>
      <c r="E367" s="5" t="n">
        <v>135.3</v>
      </c>
      <c r="F367" s="3" t="inlineStr">
        <is>
          <t>부강면</t>
        </is>
      </c>
      <c r="G367" s="3" t="inlineStr">
        <is>
          <t>금호리</t>
        </is>
      </c>
      <c r="H367" s="3" t="inlineStr">
        <is>
          <t>생산관리지역</t>
        </is>
      </c>
      <c r="I367" s="3" t="inlineStr">
        <is>
          <t>답</t>
        </is>
      </c>
      <c r="J367" s="3" t="inlineStr">
        <is>
          <t>부강면</t>
        </is>
      </c>
    </row>
    <row r="368">
      <c r="A368" s="3" t="n">
        <v>2026</v>
      </c>
      <c r="B368" s="4" t="n">
        <v>9500</v>
      </c>
      <c r="C368" s="4" t="n">
        <v>231</v>
      </c>
      <c r="D368" s="4" t="n">
        <v>69.8775</v>
      </c>
      <c r="E368" s="5" t="n">
        <v>136</v>
      </c>
      <c r="F368" s="3" t="inlineStr">
        <is>
          <t>부강면</t>
        </is>
      </c>
      <c r="G368" s="3" t="inlineStr">
        <is>
          <t>금호리</t>
        </is>
      </c>
      <c r="H368" s="3" t="inlineStr">
        <is>
          <t>생산관리지역</t>
        </is>
      </c>
      <c r="I368" s="3" t="inlineStr">
        <is>
          <t>답</t>
        </is>
      </c>
      <c r="J368" s="3" t="inlineStr">
        <is>
          <t>부강면</t>
        </is>
      </c>
    </row>
    <row r="369">
      <c r="A369" s="3" t="n">
        <v>2026</v>
      </c>
      <c r="B369" s="4" t="n">
        <v>24000</v>
      </c>
      <c r="C369" s="4" t="n">
        <v>585</v>
      </c>
      <c r="D369" s="4" t="n">
        <v>176.9625</v>
      </c>
      <c r="E369" s="5" t="n">
        <v>135.6</v>
      </c>
      <c r="F369" s="3" t="inlineStr">
        <is>
          <t>부강면</t>
        </is>
      </c>
      <c r="G369" s="3" t="inlineStr">
        <is>
          <t>금호리</t>
        </is>
      </c>
      <c r="H369" s="3" t="inlineStr">
        <is>
          <t>생산관리지역</t>
        </is>
      </c>
      <c r="I369" s="3" t="inlineStr">
        <is>
          <t>답</t>
        </is>
      </c>
      <c r="J369" s="3" t="inlineStr">
        <is>
          <t>부강면</t>
        </is>
      </c>
    </row>
    <row r="370">
      <c r="A370" s="3" t="n">
        <v>2026</v>
      </c>
      <c r="B370" s="4" t="n">
        <v>21700</v>
      </c>
      <c r="C370" s="4" t="n">
        <v>703</v>
      </c>
      <c r="D370" s="4" t="n">
        <v>212.6575</v>
      </c>
      <c r="E370" s="5" t="n">
        <v>102</v>
      </c>
      <c r="F370" s="3" t="inlineStr">
        <is>
          <t>부강면</t>
        </is>
      </c>
      <c r="G370" s="3" t="inlineStr">
        <is>
          <t>금호리</t>
        </is>
      </c>
      <c r="H370" s="3" t="inlineStr">
        <is>
          <t>생산관리지역</t>
        </is>
      </c>
      <c r="I370" s="3" t="inlineStr">
        <is>
          <t>답</t>
        </is>
      </c>
      <c r="J370" s="3" t="inlineStr">
        <is>
          <t>부강면</t>
        </is>
      </c>
    </row>
    <row r="371">
      <c r="A371" s="3" t="n">
        <v>2026</v>
      </c>
      <c r="B371" s="4" t="n">
        <v>7100</v>
      </c>
      <c r="C371" s="4" t="n">
        <v>230</v>
      </c>
      <c r="D371" s="4" t="n">
        <v>69.575</v>
      </c>
      <c r="E371" s="5" t="n">
        <v>102</v>
      </c>
      <c r="F371" s="3" t="inlineStr">
        <is>
          <t>부강면</t>
        </is>
      </c>
      <c r="G371" s="3" t="inlineStr">
        <is>
          <t>금호리</t>
        </is>
      </c>
      <c r="H371" s="3" t="inlineStr">
        <is>
          <t>생산관리지역</t>
        </is>
      </c>
      <c r="I371" s="3" t="inlineStr">
        <is>
          <t>답</t>
        </is>
      </c>
      <c r="J371" s="3" t="inlineStr">
        <is>
          <t>부강면</t>
        </is>
      </c>
    </row>
    <row r="372">
      <c r="A372" s="3" t="n">
        <v>2026</v>
      </c>
      <c r="B372" s="4" t="n">
        <v>29000</v>
      </c>
      <c r="C372" s="4" t="n">
        <v>933</v>
      </c>
      <c r="D372" s="4" t="n">
        <v>282.2325</v>
      </c>
      <c r="E372" s="5" t="n">
        <v>102.8</v>
      </c>
      <c r="F372" s="3" t="inlineStr">
        <is>
          <t>부강면</t>
        </is>
      </c>
      <c r="G372" s="3" t="inlineStr">
        <is>
          <t>금호리</t>
        </is>
      </c>
      <c r="H372" s="3" t="inlineStr">
        <is>
          <t>생산관리지역</t>
        </is>
      </c>
      <c r="I372" s="3" t="inlineStr">
        <is>
          <t>답</t>
        </is>
      </c>
      <c r="J372" s="3" t="inlineStr">
        <is>
          <t>부강면</t>
        </is>
      </c>
    </row>
    <row r="373">
      <c r="A373" s="3" t="n">
        <v>2026</v>
      </c>
      <c r="B373" s="4" t="n">
        <v>9200</v>
      </c>
      <c r="C373" s="4" t="n">
        <v>301</v>
      </c>
      <c r="D373" s="4" t="n">
        <v>91.05249999999999</v>
      </c>
      <c r="E373" s="5" t="n">
        <v>101</v>
      </c>
      <c r="F373" s="3" t="inlineStr">
        <is>
          <t>부강면</t>
        </is>
      </c>
      <c r="G373" s="3" t="inlineStr">
        <is>
          <t>금호리</t>
        </is>
      </c>
      <c r="H373" s="3" t="inlineStr">
        <is>
          <t>생산관리지역</t>
        </is>
      </c>
      <c r="I373" s="3" t="inlineStr">
        <is>
          <t>답</t>
        </is>
      </c>
      <c r="J373" s="3" t="inlineStr">
        <is>
          <t>부강면</t>
        </is>
      </c>
    </row>
    <row r="374">
      <c r="A374" s="3" t="n">
        <v>2026</v>
      </c>
      <c r="B374" s="4" t="n">
        <v>9000</v>
      </c>
      <c r="C374" s="4" t="n">
        <v>304</v>
      </c>
      <c r="D374" s="4" t="n">
        <v>91.95999999999999</v>
      </c>
      <c r="E374" s="5" t="n">
        <v>97.90000000000001</v>
      </c>
      <c r="F374" s="3" t="inlineStr">
        <is>
          <t>부강면</t>
        </is>
      </c>
      <c r="G374" s="3" t="inlineStr">
        <is>
          <t>금호리</t>
        </is>
      </c>
      <c r="H374" s="3" t="inlineStr">
        <is>
          <t>생산관리지역</t>
        </is>
      </c>
      <c r="I374" s="3" t="inlineStr">
        <is>
          <t>답</t>
        </is>
      </c>
      <c r="J374" s="3" t="inlineStr">
        <is>
          <t>부강면</t>
        </is>
      </c>
    </row>
    <row r="375">
      <c r="A375" s="3" t="n">
        <v>2026</v>
      </c>
      <c r="B375" s="4" t="n">
        <v>14000</v>
      </c>
      <c r="C375" s="4" t="n">
        <v>473</v>
      </c>
      <c r="D375" s="4" t="n">
        <v>143.0825</v>
      </c>
      <c r="E375" s="5" t="n">
        <v>97.8</v>
      </c>
      <c r="F375" s="3" t="inlineStr">
        <is>
          <t>부강면</t>
        </is>
      </c>
      <c r="G375" s="3" t="inlineStr">
        <is>
          <t>금호리</t>
        </is>
      </c>
      <c r="H375" s="3" t="inlineStr">
        <is>
          <t>생산관리지역</t>
        </is>
      </c>
      <c r="I375" s="3" t="inlineStr">
        <is>
          <t>답</t>
        </is>
      </c>
      <c r="J375" s="3" t="inlineStr">
        <is>
          <t>부강면</t>
        </is>
      </c>
    </row>
    <row r="376">
      <c r="A376" s="3" t="n">
        <v>2022</v>
      </c>
      <c r="B376" s="4" t="n">
        <v>2731</v>
      </c>
      <c r="C376" s="4" t="n">
        <v>863</v>
      </c>
      <c r="D376" s="4" t="n">
        <v>261.0575</v>
      </c>
      <c r="E376" s="5" t="n">
        <v>10.5</v>
      </c>
      <c r="F376" s="3" t="inlineStr">
        <is>
          <t>연서면</t>
        </is>
      </c>
      <c r="G376" s="3" t="inlineStr">
        <is>
          <t>쌍류리</t>
        </is>
      </c>
      <c r="H376" s="3" t="inlineStr">
        <is>
          <t>생산관리지역</t>
        </is>
      </c>
      <c r="I376" s="3" t="inlineStr">
        <is>
          <t>과수원</t>
        </is>
      </c>
      <c r="J376" s="3" t="inlineStr">
        <is>
          <t>연서면</t>
        </is>
      </c>
    </row>
    <row r="377">
      <c r="A377" s="3" t="n">
        <v>2022</v>
      </c>
      <c r="B377" s="4" t="n">
        <v>2269</v>
      </c>
      <c r="C377" s="4" t="n">
        <v>717</v>
      </c>
      <c r="D377" s="4" t="n">
        <v>216.8925</v>
      </c>
      <c r="E377" s="5" t="n">
        <v>10.5</v>
      </c>
      <c r="F377" s="3" t="inlineStr">
        <is>
          <t>연서면</t>
        </is>
      </c>
      <c r="G377" s="3" t="inlineStr">
        <is>
          <t>쌍류리</t>
        </is>
      </c>
      <c r="H377" s="3" t="inlineStr">
        <is>
          <t>생산관리지역</t>
        </is>
      </c>
      <c r="I377" s="3" t="inlineStr">
        <is>
          <t>전</t>
        </is>
      </c>
      <c r="J377" s="3" t="inlineStr">
        <is>
          <t>연서면</t>
        </is>
      </c>
    </row>
    <row r="378">
      <c r="A378" s="3" t="n">
        <v>2022</v>
      </c>
      <c r="B378" s="4" t="n">
        <v>50000</v>
      </c>
      <c r="C378" s="4" t="n">
        <v>660</v>
      </c>
      <c r="D378" s="4" t="n">
        <v>199.65</v>
      </c>
      <c r="E378" s="5" t="n">
        <v>250.4</v>
      </c>
      <c r="F378" s="3" t="inlineStr">
        <is>
          <t>부강면</t>
        </is>
      </c>
      <c r="G378" s="3" t="inlineStr">
        <is>
          <t>금호리</t>
        </is>
      </c>
      <c r="H378" s="3" t="inlineStr">
        <is>
          <t>계획관리지역</t>
        </is>
      </c>
      <c r="I378" s="3" t="inlineStr">
        <is>
          <t>전</t>
        </is>
      </c>
      <c r="J378" s="3" t="inlineStr">
        <is>
          <t>부강면</t>
        </is>
      </c>
    </row>
    <row r="379">
      <c r="A379" s="3" t="n">
        <v>2022</v>
      </c>
      <c r="B379" s="4" t="n">
        <v>5000</v>
      </c>
      <c r="C379" s="4" t="n">
        <v>193</v>
      </c>
      <c r="D379" s="4" t="n">
        <v>58.3825</v>
      </c>
      <c r="E379" s="5" t="n">
        <v>85.59999999999999</v>
      </c>
      <c r="F379" s="3" t="inlineStr">
        <is>
          <t>부강면</t>
        </is>
      </c>
      <c r="G379" s="3" t="inlineStr">
        <is>
          <t>금호리</t>
        </is>
      </c>
      <c r="H379" s="3" t="inlineStr">
        <is>
          <t>계획관리지역</t>
        </is>
      </c>
      <c r="I379" s="3" t="inlineStr">
        <is>
          <t>임야</t>
        </is>
      </c>
      <c r="J379" s="3" t="inlineStr">
        <is>
          <t>부강면</t>
        </is>
      </c>
    </row>
    <row r="380">
      <c r="A380" s="3" t="n">
        <v>2022</v>
      </c>
      <c r="B380" s="4" t="n">
        <v>154000</v>
      </c>
      <c r="C380" s="4" t="n">
        <v>5716</v>
      </c>
      <c r="D380" s="4" t="n">
        <v>1729.09</v>
      </c>
      <c r="E380" s="5" t="n">
        <v>89.09999999999999</v>
      </c>
      <c r="F380" s="3" t="inlineStr">
        <is>
          <t>연서면</t>
        </is>
      </c>
      <c r="G380" s="3" t="inlineStr">
        <is>
          <t>쌍류리</t>
        </is>
      </c>
      <c r="H380" s="3" t="inlineStr">
        <is>
          <t>생산관리지역</t>
        </is>
      </c>
      <c r="I380" s="3" t="inlineStr">
        <is>
          <t>답</t>
        </is>
      </c>
      <c r="J380" s="3" t="inlineStr">
        <is>
          <t>연서면</t>
        </is>
      </c>
    </row>
    <row r="381">
      <c r="A381" s="3" t="n">
        <v>2022</v>
      </c>
      <c r="B381" s="4" t="n">
        <v>38480</v>
      </c>
      <c r="C381" s="4" t="n">
        <v>1590</v>
      </c>
      <c r="D381" s="4" t="n">
        <v>480.975</v>
      </c>
      <c r="E381" s="5" t="n">
        <v>80</v>
      </c>
      <c r="F381" s="3" t="inlineStr">
        <is>
          <t>연서면</t>
        </is>
      </c>
      <c r="G381" s="3" t="inlineStr">
        <is>
          <t>쌍류리</t>
        </is>
      </c>
      <c r="H381" s="3" t="inlineStr">
        <is>
          <t>생산관리지역</t>
        </is>
      </c>
      <c r="I381" s="3" t="inlineStr">
        <is>
          <t>전</t>
        </is>
      </c>
      <c r="J381" s="3" t="inlineStr">
        <is>
          <t>연서면</t>
        </is>
      </c>
    </row>
    <row r="382">
      <c r="A382" s="3" t="n">
        <v>2022</v>
      </c>
      <c r="B382" s="4" t="n">
        <v>57800</v>
      </c>
      <c r="C382" s="4" t="n">
        <v>2734</v>
      </c>
      <c r="D382" s="4" t="n">
        <v>827.035</v>
      </c>
      <c r="E382" s="5" t="n">
        <v>69.90000000000001</v>
      </c>
      <c r="F382" s="3" t="inlineStr">
        <is>
          <t>연서면</t>
        </is>
      </c>
      <c r="G382" s="3" t="inlineStr">
        <is>
          <t>쌍류리</t>
        </is>
      </c>
      <c r="H382" s="3" t="inlineStr">
        <is>
          <t>생산관리지역</t>
        </is>
      </c>
      <c r="I382" s="3" t="inlineStr">
        <is>
          <t>전</t>
        </is>
      </c>
      <c r="J382" s="3" t="inlineStr">
        <is>
          <t>연서면</t>
        </is>
      </c>
    </row>
    <row r="383">
      <c r="A383" s="3" t="n">
        <v>2022</v>
      </c>
      <c r="B383" s="4" t="n">
        <v>19060</v>
      </c>
      <c r="C383" s="4" t="n">
        <v>700</v>
      </c>
      <c r="D383" s="4" t="n">
        <v>211.75</v>
      </c>
      <c r="E383" s="5" t="n">
        <v>90</v>
      </c>
      <c r="F383" s="3" t="inlineStr">
        <is>
          <t>연동면</t>
        </is>
      </c>
      <c r="G383" s="3" t="inlineStr">
        <is>
          <t>명학리</t>
        </is>
      </c>
      <c r="H383" s="3" t="inlineStr">
        <is>
          <t>계획관리지역</t>
        </is>
      </c>
      <c r="I383" s="3" t="inlineStr">
        <is>
          <t>전</t>
        </is>
      </c>
      <c r="J383" s="3" t="inlineStr">
        <is>
          <t>연동면</t>
        </is>
      </c>
    </row>
    <row r="384">
      <c r="A384" s="3" t="n">
        <v>2022</v>
      </c>
      <c r="B384" s="4" t="n">
        <v>400000</v>
      </c>
      <c r="C384" s="4" t="n">
        <v>5929</v>
      </c>
      <c r="D384" s="4" t="n">
        <v>1793.5225</v>
      </c>
      <c r="E384" s="5" t="n">
        <v>223</v>
      </c>
      <c r="F384" s="3" t="inlineStr">
        <is>
          <t>연동면</t>
        </is>
      </c>
      <c r="G384" s="3" t="inlineStr">
        <is>
          <t>내판리</t>
        </is>
      </c>
      <c r="H384" s="3" t="inlineStr">
        <is>
          <t>계획관리지역</t>
        </is>
      </c>
      <c r="I384" s="3" t="inlineStr">
        <is>
          <t>과수원</t>
        </is>
      </c>
      <c r="J384" s="3" t="inlineStr">
        <is>
          <t>연동면</t>
        </is>
      </c>
    </row>
    <row r="385">
      <c r="A385" s="3" t="n">
        <v>2022</v>
      </c>
      <c r="B385" s="4" t="n">
        <v>30000</v>
      </c>
      <c r="C385" s="4" t="n">
        <v>336</v>
      </c>
      <c r="D385" s="4" t="n">
        <v>101.64</v>
      </c>
      <c r="E385" s="5" t="n">
        <v>295.2</v>
      </c>
      <c r="F385" s="3" t="inlineStr">
        <is>
          <t>연동면</t>
        </is>
      </c>
      <c r="G385" s="3" t="inlineStr">
        <is>
          <t>내판리</t>
        </is>
      </c>
      <c r="H385" s="3" t="inlineStr">
        <is>
          <t>계획관리지역</t>
        </is>
      </c>
      <c r="I385" s="3" t="inlineStr">
        <is>
          <t>대</t>
        </is>
      </c>
      <c r="J385" s="3" t="inlineStr">
        <is>
          <t>연동면</t>
        </is>
      </c>
    </row>
    <row r="386">
      <c r="A386" s="3" t="n">
        <v>2022</v>
      </c>
      <c r="B386" s="4" t="n">
        <v>2500</v>
      </c>
      <c r="C386" s="4" t="n">
        <v>129</v>
      </c>
      <c r="D386" s="4" t="n">
        <v>39.0225</v>
      </c>
      <c r="E386" s="5" t="n">
        <v>64.09999999999999</v>
      </c>
      <c r="F386" s="3" t="inlineStr">
        <is>
          <t>연동면</t>
        </is>
      </c>
      <c r="G386" s="3" t="inlineStr">
        <is>
          <t>응암리</t>
        </is>
      </c>
      <c r="H386" s="3" t="inlineStr">
        <is>
          <t>계획관리지역</t>
        </is>
      </c>
      <c r="I386" s="3" t="inlineStr">
        <is>
          <t>대</t>
        </is>
      </c>
      <c r="J386" s="3" t="inlineStr">
        <is>
          <t>연동면</t>
        </is>
      </c>
    </row>
    <row r="387">
      <c r="A387" s="3" t="n">
        <v>2022</v>
      </c>
      <c r="B387" s="4" t="n">
        <v>5480</v>
      </c>
      <c r="C387" s="4" t="n">
        <v>48</v>
      </c>
      <c r="D387" s="4" t="n">
        <v>14.52</v>
      </c>
      <c r="E387" s="5" t="n">
        <v>377.4</v>
      </c>
      <c r="F387" s="3" t="inlineStr">
        <is>
          <t>조치원읍</t>
        </is>
      </c>
      <c r="G387" s="3" t="inlineStr">
        <is>
          <t>번암리</t>
        </is>
      </c>
      <c r="H387" s="3" t="inlineStr">
        <is>
          <t>일반공업지역</t>
        </is>
      </c>
      <c r="I387" s="3" t="inlineStr">
        <is>
          <t>잡종지</t>
        </is>
      </c>
      <c r="J387" s="3" t="inlineStr">
        <is>
          <t>조치원읍</t>
        </is>
      </c>
    </row>
    <row r="388">
      <c r="A388" s="3" t="n">
        <v>2022</v>
      </c>
      <c r="B388" s="4" t="n">
        <v>16100</v>
      </c>
      <c r="C388" s="4" t="n">
        <v>141</v>
      </c>
      <c r="D388" s="4" t="n">
        <v>42.6525</v>
      </c>
      <c r="E388" s="5" t="n">
        <v>377.5</v>
      </c>
      <c r="F388" s="3" t="inlineStr">
        <is>
          <t>조치원읍</t>
        </is>
      </c>
      <c r="G388" s="3" t="inlineStr">
        <is>
          <t>번암리</t>
        </is>
      </c>
      <c r="H388" s="3" t="inlineStr">
        <is>
          <t>일반공업지역</t>
        </is>
      </c>
      <c r="I388" s="3" t="inlineStr">
        <is>
          <t>잡종지</t>
        </is>
      </c>
      <c r="J388" s="3" t="inlineStr">
        <is>
          <t>조치원읍</t>
        </is>
      </c>
    </row>
    <row r="389">
      <c r="A389" s="3" t="n">
        <v>2022</v>
      </c>
      <c r="B389" s="4" t="n">
        <v>920</v>
      </c>
      <c r="C389" s="4" t="n">
        <v>8</v>
      </c>
      <c r="D389" s="4" t="n">
        <v>2.42</v>
      </c>
      <c r="E389" s="5" t="n">
        <v>380.2</v>
      </c>
      <c r="F389" s="3" t="inlineStr">
        <is>
          <t>조치원읍</t>
        </is>
      </c>
      <c r="G389" s="3" t="inlineStr">
        <is>
          <t>번암리</t>
        </is>
      </c>
      <c r="H389" s="3" t="inlineStr">
        <is>
          <t>일반공업지역</t>
        </is>
      </c>
      <c r="I389" s="3" t="inlineStr">
        <is>
          <t>잡종지</t>
        </is>
      </c>
      <c r="J389" s="3" t="inlineStr">
        <is>
          <t>조치원읍</t>
        </is>
      </c>
    </row>
    <row r="390">
      <c r="A390" s="3" t="n">
        <v>2022</v>
      </c>
      <c r="B390" s="4" t="n">
        <v>13023</v>
      </c>
      <c r="C390" s="4" t="n">
        <v>105</v>
      </c>
      <c r="D390" s="4" t="n">
        <v>31.7625</v>
      </c>
      <c r="E390" s="5" t="n">
        <v>410</v>
      </c>
      <c r="F390" s="3" t="inlineStr">
        <is>
          <t>조치원읍</t>
        </is>
      </c>
      <c r="G390" s="3" t="inlineStr">
        <is>
          <t>서창리</t>
        </is>
      </c>
      <c r="H390" s="3" t="inlineStr">
        <is>
          <t>제1종일반주거지역</t>
        </is>
      </c>
      <c r="I390" s="3" t="inlineStr">
        <is>
          <t>답</t>
        </is>
      </c>
      <c r="J390" s="3" t="inlineStr">
        <is>
          <t>조치원읍</t>
        </is>
      </c>
    </row>
    <row r="391">
      <c r="A391" s="3" t="n">
        <v>2022</v>
      </c>
      <c r="B391" s="4" t="n">
        <v>248</v>
      </c>
      <c r="C391" s="4" t="n">
        <v>2</v>
      </c>
      <c r="D391" s="4" t="n">
        <v>0.605</v>
      </c>
      <c r="E391" s="5" t="n">
        <v>409.9</v>
      </c>
      <c r="F391" s="3" t="inlineStr">
        <is>
          <t>조치원읍</t>
        </is>
      </c>
      <c r="G391" s="3" t="inlineStr">
        <is>
          <t>서창리</t>
        </is>
      </c>
      <c r="H391" s="3" t="inlineStr">
        <is>
          <t>제1종일반주거지역</t>
        </is>
      </c>
      <c r="I391" s="3" t="inlineStr">
        <is>
          <t>답</t>
        </is>
      </c>
      <c r="J391" s="3" t="inlineStr">
        <is>
          <t>조치원읍</t>
        </is>
      </c>
    </row>
    <row r="392">
      <c r="A392" s="3" t="n">
        <v>2022</v>
      </c>
      <c r="B392" s="4" t="n">
        <v>14883</v>
      </c>
      <c r="C392" s="4" t="n">
        <v>120</v>
      </c>
      <c r="D392" s="4" t="n">
        <v>36.3</v>
      </c>
      <c r="E392" s="5" t="n">
        <v>410</v>
      </c>
      <c r="F392" s="3" t="inlineStr">
        <is>
          <t>조치원읍</t>
        </is>
      </c>
      <c r="G392" s="3" t="inlineStr">
        <is>
          <t>서창리</t>
        </is>
      </c>
      <c r="H392" s="3" t="inlineStr">
        <is>
          <t>제1종전용주거지역</t>
        </is>
      </c>
      <c r="I392" s="3" t="inlineStr">
        <is>
          <t>답</t>
        </is>
      </c>
      <c r="J392" s="3" t="inlineStr">
        <is>
          <t>조치원읍</t>
        </is>
      </c>
    </row>
    <row r="393">
      <c r="A393" s="3" t="n">
        <v>2022</v>
      </c>
      <c r="B393" s="4" t="n">
        <v>7566</v>
      </c>
      <c r="C393" s="4" t="n">
        <v>61</v>
      </c>
      <c r="D393" s="4" t="n">
        <v>18.4525</v>
      </c>
      <c r="E393" s="5" t="n">
        <v>410</v>
      </c>
      <c r="F393" s="3" t="inlineStr">
        <is>
          <t>조치원읍</t>
        </is>
      </c>
      <c r="G393" s="3" t="inlineStr">
        <is>
          <t>서창리</t>
        </is>
      </c>
      <c r="H393" s="3" t="inlineStr">
        <is>
          <t>제1종일반주거지역</t>
        </is>
      </c>
      <c r="I393" s="3" t="inlineStr">
        <is>
          <t>답</t>
        </is>
      </c>
      <c r="J393" s="3" t="inlineStr">
        <is>
          <t>조치원읍</t>
        </is>
      </c>
    </row>
    <row r="394">
      <c r="A394" s="3" t="n">
        <v>2022</v>
      </c>
      <c r="B394" s="4" t="n">
        <v>33239</v>
      </c>
      <c r="C394" s="4" t="n">
        <v>268</v>
      </c>
      <c r="D394" s="4" t="n">
        <v>81.06999999999999</v>
      </c>
      <c r="E394" s="5" t="n">
        <v>410</v>
      </c>
      <c r="F394" s="3" t="inlineStr">
        <is>
          <t>조치원읍</t>
        </is>
      </c>
      <c r="G394" s="3" t="inlineStr">
        <is>
          <t>서창리</t>
        </is>
      </c>
      <c r="H394" s="3" t="inlineStr">
        <is>
          <t>제1종전용주거지역</t>
        </is>
      </c>
      <c r="I394" s="3" t="inlineStr">
        <is>
          <t>답</t>
        </is>
      </c>
      <c r="J394" s="3" t="inlineStr">
        <is>
          <t>조치원읍</t>
        </is>
      </c>
    </row>
    <row r="395">
      <c r="A395" s="3" t="n">
        <v>2026</v>
      </c>
      <c r="B395" s="4" t="n">
        <v>200000</v>
      </c>
      <c r="C395" s="4" t="n">
        <v>558.8</v>
      </c>
      <c r="D395" s="4" t="n">
        <v>169.037</v>
      </c>
      <c r="E395" s="5" t="n">
        <v>1183.2</v>
      </c>
      <c r="F395" s="3" t="inlineStr">
        <is>
          <t>오송읍</t>
        </is>
      </c>
      <c r="G395" s="3" t="inlineStr">
        <is>
          <t>정중리</t>
        </is>
      </c>
      <c r="H395" s="3" t="inlineStr">
        <is>
          <t>준공업지역</t>
        </is>
      </c>
      <c r="I395" s="3" t="inlineStr">
        <is>
          <t>대</t>
        </is>
      </c>
      <c r="J395" s="3" t="inlineStr">
        <is>
          <t>오송읍</t>
        </is>
      </c>
    </row>
    <row r="396">
      <c r="A396" s="3" t="n">
        <v>2026</v>
      </c>
      <c r="B396" s="4" t="n">
        <v>10000</v>
      </c>
      <c r="C396" s="4" t="n">
        <v>506</v>
      </c>
      <c r="D396" s="4" t="n">
        <v>153.065</v>
      </c>
      <c r="E396" s="5" t="n">
        <v>65.3</v>
      </c>
      <c r="F396" s="3" t="inlineStr">
        <is>
          <t>강내면</t>
        </is>
      </c>
      <c r="G396" s="3" t="inlineStr">
        <is>
          <t>탑연리</t>
        </is>
      </c>
      <c r="H396" s="3" t="inlineStr">
        <is>
          <t>자연녹지지역</t>
        </is>
      </c>
      <c r="I396" s="3" t="inlineStr">
        <is>
          <t>전</t>
        </is>
      </c>
      <c r="J396" s="3" t="inlineStr">
        <is>
          <t>강내면</t>
        </is>
      </c>
    </row>
    <row r="397">
      <c r="A397" s="3" t="n">
        <v>2024</v>
      </c>
      <c r="B397" s="4" t="n">
        <v>16363</v>
      </c>
      <c r="C397" s="4" t="n">
        <v>408</v>
      </c>
      <c r="D397" s="4" t="n">
        <v>123.42</v>
      </c>
      <c r="E397" s="5" t="n">
        <v>132.6</v>
      </c>
      <c r="F397" s="3" t="inlineStr">
        <is>
          <t>강내면</t>
        </is>
      </c>
      <c r="G397" s="3" t="inlineStr">
        <is>
          <t>다락리</t>
        </is>
      </c>
      <c r="H397" s="3" t="inlineStr">
        <is>
          <t>계획관리지역</t>
        </is>
      </c>
      <c r="I397" s="3" t="inlineStr">
        <is>
          <t>대</t>
        </is>
      </c>
      <c r="J397" s="3" t="inlineStr">
        <is>
          <t>강내면</t>
        </is>
      </c>
    </row>
    <row r="398">
      <c r="A398" s="3" t="n">
        <v>2024</v>
      </c>
      <c r="B398" s="4" t="n">
        <v>11363</v>
      </c>
      <c r="C398" s="4" t="n">
        <v>574</v>
      </c>
      <c r="D398" s="4" t="n">
        <v>173.635</v>
      </c>
      <c r="E398" s="5" t="n">
        <v>65.40000000000001</v>
      </c>
      <c r="F398" s="3" t="inlineStr">
        <is>
          <t>강내면</t>
        </is>
      </c>
      <c r="G398" s="3" t="inlineStr">
        <is>
          <t>당곡리</t>
        </is>
      </c>
      <c r="H398" s="3" t="inlineStr">
        <is>
          <t>계획관리지역</t>
        </is>
      </c>
      <c r="I398" s="3" t="inlineStr">
        <is>
          <t>전</t>
        </is>
      </c>
      <c r="J398" s="3" t="inlineStr">
        <is>
          <t>강내면</t>
        </is>
      </c>
    </row>
    <row r="399">
      <c r="A399" s="3" t="n">
        <v>2025</v>
      </c>
      <c r="B399" s="4" t="n">
        <v>36500</v>
      </c>
      <c r="C399" s="4" t="n">
        <v>2083</v>
      </c>
      <c r="D399" s="4" t="n">
        <v>630.1075</v>
      </c>
      <c r="E399" s="5" t="n">
        <v>57.9</v>
      </c>
      <c r="F399" s="3" t="inlineStr">
        <is>
          <t>오송읍</t>
        </is>
      </c>
      <c r="G399" s="3" t="inlineStr">
        <is>
          <t>서평리</t>
        </is>
      </c>
      <c r="H399" s="3" t="inlineStr">
        <is>
          <t>농림지역</t>
        </is>
      </c>
      <c r="I399" s="3" t="inlineStr">
        <is>
          <t>답</t>
        </is>
      </c>
      <c r="J399" s="3" t="inlineStr">
        <is>
          <t>오송읍</t>
        </is>
      </c>
    </row>
    <row r="400">
      <c r="A400" s="3" t="n">
        <v>2025</v>
      </c>
      <c r="B400" s="4" t="n">
        <v>9650</v>
      </c>
      <c r="C400" s="4" t="n">
        <v>1772</v>
      </c>
      <c r="D400" s="4" t="n">
        <v>536.03</v>
      </c>
      <c r="E400" s="5" t="n">
        <v>18</v>
      </c>
      <c r="F400" s="3" t="inlineStr">
        <is>
          <t>강내면</t>
        </is>
      </c>
      <c r="G400" s="3" t="inlineStr">
        <is>
          <t>산단리</t>
        </is>
      </c>
      <c r="H400" s="3" t="inlineStr">
        <is>
          <t>계획관리지역</t>
        </is>
      </c>
      <c r="I400" s="3" t="inlineStr">
        <is>
          <t>임야</t>
        </is>
      </c>
      <c r="J400" s="3" t="inlineStr">
        <is>
          <t>강내면</t>
        </is>
      </c>
    </row>
    <row r="401">
      <c r="A401" s="3" t="n">
        <v>2025</v>
      </c>
      <c r="B401" s="4" t="n">
        <v>35200</v>
      </c>
      <c r="C401" s="4" t="n">
        <v>267.5</v>
      </c>
      <c r="D401" s="4" t="n">
        <v>80.91875</v>
      </c>
      <c r="E401" s="5" t="n">
        <v>435</v>
      </c>
      <c r="F401" s="3" t="inlineStr">
        <is>
          <t>오송읍</t>
        </is>
      </c>
      <c r="G401" s="3" t="inlineStr">
        <is>
          <t>봉산리</t>
        </is>
      </c>
      <c r="H401" s="3" t="inlineStr">
        <is>
          <t>제1종일반주거지역</t>
        </is>
      </c>
      <c r="I401" s="3" t="inlineStr">
        <is>
          <t>대</t>
        </is>
      </c>
      <c r="J401" s="3" t="inlineStr">
        <is>
          <t>오송읍</t>
        </is>
      </c>
    </row>
    <row r="402">
      <c r="A402" s="3" t="n">
        <v>2025</v>
      </c>
      <c r="B402" s="4" t="n">
        <v>2723</v>
      </c>
      <c r="C402" s="4" t="n">
        <v>45</v>
      </c>
      <c r="D402" s="4" t="n">
        <v>13.6125</v>
      </c>
      <c r="E402" s="5" t="n">
        <v>200</v>
      </c>
      <c r="F402" s="3" t="inlineStr">
        <is>
          <t>오송읍</t>
        </is>
      </c>
      <c r="G402" s="3" t="inlineStr">
        <is>
          <t>궁평리</t>
        </is>
      </c>
      <c r="H402" s="3" t="inlineStr">
        <is>
          <t>농림지역</t>
        </is>
      </c>
      <c r="I402" s="3" t="inlineStr">
        <is>
          <t>답</t>
        </is>
      </c>
      <c r="J402" s="3" t="inlineStr">
        <is>
          <t>오송읍</t>
        </is>
      </c>
    </row>
    <row r="403">
      <c r="A403" s="3" t="n">
        <v>2025</v>
      </c>
      <c r="B403" s="4" t="n">
        <v>36000</v>
      </c>
      <c r="C403" s="4" t="n">
        <v>267.6</v>
      </c>
      <c r="D403" s="4" t="n">
        <v>80.949</v>
      </c>
      <c r="E403" s="5" t="n">
        <v>444.7</v>
      </c>
      <c r="F403" s="3" t="inlineStr">
        <is>
          <t>오송읍</t>
        </is>
      </c>
      <c r="G403" s="3" t="inlineStr">
        <is>
          <t>봉산리</t>
        </is>
      </c>
      <c r="H403" s="3" t="inlineStr">
        <is>
          <t>제1종일반주거지역</t>
        </is>
      </c>
      <c r="I403" s="3" t="inlineStr">
        <is>
          <t>대</t>
        </is>
      </c>
      <c r="J403" s="3" t="inlineStr">
        <is>
          <t>오송읍</t>
        </is>
      </c>
    </row>
    <row r="404">
      <c r="A404" s="3" t="n">
        <v>2025</v>
      </c>
      <c r="B404" s="4" t="n">
        <v>9946</v>
      </c>
      <c r="C404" s="4" t="n">
        <v>274</v>
      </c>
      <c r="D404" s="4" t="n">
        <v>82.88499999999999</v>
      </c>
      <c r="E404" s="5" t="n">
        <v>120</v>
      </c>
      <c r="F404" s="3" t="inlineStr">
        <is>
          <t>강내면</t>
        </is>
      </c>
      <c r="G404" s="3" t="inlineStr">
        <is>
          <t>석화리</t>
        </is>
      </c>
      <c r="H404" s="3" t="inlineStr">
        <is>
          <t>자연녹지지역</t>
        </is>
      </c>
      <c r="I404" s="3" t="inlineStr">
        <is>
          <t>대</t>
        </is>
      </c>
      <c r="J404" s="3" t="inlineStr">
        <is>
          <t>강내면</t>
        </is>
      </c>
    </row>
    <row r="405">
      <c r="A405" s="3" t="n">
        <v>2025</v>
      </c>
      <c r="B405" s="4" t="n">
        <v>13540</v>
      </c>
      <c r="C405" s="4" t="n">
        <v>373</v>
      </c>
      <c r="D405" s="4" t="n">
        <v>112.8325</v>
      </c>
      <c r="E405" s="5" t="n">
        <v>120</v>
      </c>
      <c r="F405" s="3" t="inlineStr">
        <is>
          <t>강내면</t>
        </is>
      </c>
      <c r="G405" s="3" t="inlineStr">
        <is>
          <t>석화리</t>
        </is>
      </c>
      <c r="H405" s="3" t="inlineStr">
        <is>
          <t>자연녹지지역</t>
        </is>
      </c>
      <c r="I405" s="3" t="inlineStr">
        <is>
          <t>대</t>
        </is>
      </c>
      <c r="J405" s="3" t="inlineStr">
        <is>
          <t>강내면</t>
        </is>
      </c>
    </row>
    <row r="406">
      <c r="A406" s="3" t="n">
        <v>2025</v>
      </c>
      <c r="B406" s="4" t="n">
        <v>13267</v>
      </c>
      <c r="C406" s="4" t="n">
        <v>2182</v>
      </c>
      <c r="D406" s="4" t="n">
        <v>660.0549999999999</v>
      </c>
      <c r="E406" s="5" t="n">
        <v>20.1</v>
      </c>
      <c r="F406" s="3" t="inlineStr">
        <is>
          <t>강내면</t>
        </is>
      </c>
      <c r="G406" s="3" t="inlineStr">
        <is>
          <t>황탄리</t>
        </is>
      </c>
      <c r="H406" s="3" t="inlineStr">
        <is>
          <t>계획관리지역</t>
        </is>
      </c>
      <c r="I406" s="3" t="inlineStr">
        <is>
          <t>전</t>
        </is>
      </c>
      <c r="J406" s="3" t="inlineStr">
        <is>
          <t>강내면</t>
        </is>
      </c>
    </row>
    <row r="407">
      <c r="A407" s="3" t="n">
        <v>2025</v>
      </c>
      <c r="B407" s="4" t="n">
        <v>6000</v>
      </c>
      <c r="C407" s="4" t="n">
        <v>165</v>
      </c>
      <c r="D407" s="4" t="n">
        <v>49.9125</v>
      </c>
      <c r="E407" s="5" t="n">
        <v>120.2</v>
      </c>
      <c r="F407" s="3" t="inlineStr">
        <is>
          <t>강내면</t>
        </is>
      </c>
      <c r="G407" s="3" t="inlineStr">
        <is>
          <t>사인리</t>
        </is>
      </c>
      <c r="H407" s="3" t="inlineStr">
        <is>
          <t>자연녹지지역</t>
        </is>
      </c>
      <c r="I407" s="3" t="inlineStr">
        <is>
          <t>대</t>
        </is>
      </c>
      <c r="J407" s="3" t="inlineStr">
        <is>
          <t>강내면</t>
        </is>
      </c>
    </row>
    <row r="408">
      <c r="A408" s="3" t="n">
        <v>2025</v>
      </c>
      <c r="B408" s="4" t="n">
        <v>28879</v>
      </c>
      <c r="C408" s="4" t="n">
        <v>546.3</v>
      </c>
      <c r="D408" s="4" t="n">
        <v>165.25575</v>
      </c>
      <c r="E408" s="5" t="n">
        <v>174.8</v>
      </c>
      <c r="F408" s="3" t="inlineStr">
        <is>
          <t>강내면</t>
        </is>
      </c>
      <c r="G408" s="3" t="inlineStr">
        <is>
          <t>사곡리</t>
        </is>
      </c>
      <c r="H408" s="3" t="inlineStr">
        <is>
          <t>보전관리지역</t>
        </is>
      </c>
      <c r="I408" s="3" t="inlineStr">
        <is>
          <t>대</t>
        </is>
      </c>
      <c r="J408" s="3" t="inlineStr">
        <is>
          <t>강내면</t>
        </is>
      </c>
    </row>
    <row r="409">
      <c r="A409" s="3" t="n">
        <v>2025</v>
      </c>
      <c r="B409" s="4" t="n">
        <v>24374</v>
      </c>
      <c r="C409" s="4" t="n">
        <v>465</v>
      </c>
      <c r="D409" s="4" t="n">
        <v>140.6625</v>
      </c>
      <c r="E409" s="5" t="n">
        <v>173.3</v>
      </c>
      <c r="F409" s="3" t="inlineStr">
        <is>
          <t>강내면</t>
        </is>
      </c>
      <c r="G409" s="3" t="inlineStr">
        <is>
          <t>사곡리</t>
        </is>
      </c>
      <c r="H409" s="3" t="inlineStr">
        <is>
          <t>보전관리지역</t>
        </is>
      </c>
      <c r="I409" s="3" t="inlineStr">
        <is>
          <t>대</t>
        </is>
      </c>
      <c r="J409" s="3" t="inlineStr">
        <is>
          <t>강내면</t>
        </is>
      </c>
    </row>
    <row r="410">
      <c r="A410" s="3" t="n">
        <v>2025</v>
      </c>
      <c r="B410" s="4" t="n">
        <v>41334</v>
      </c>
      <c r="C410" s="4" t="n">
        <v>2469</v>
      </c>
      <c r="D410" s="4" t="n">
        <v>746.8724999999999</v>
      </c>
      <c r="E410" s="5" t="n">
        <v>55.3</v>
      </c>
      <c r="F410" s="3" t="inlineStr">
        <is>
          <t>강내면</t>
        </is>
      </c>
      <c r="G410" s="3" t="inlineStr">
        <is>
          <t>태성리</t>
        </is>
      </c>
      <c r="H410" s="3" t="inlineStr">
        <is>
          <t>계획관리지역</t>
        </is>
      </c>
      <c r="I410" s="3" t="inlineStr">
        <is>
          <t>답</t>
        </is>
      </c>
      <c r="J410" s="3" t="inlineStr">
        <is>
          <t>강내면</t>
        </is>
      </c>
    </row>
    <row r="411">
      <c r="A411" s="3" t="n">
        <v>2025</v>
      </c>
      <c r="B411" s="4" t="n">
        <v>34500</v>
      </c>
      <c r="C411" s="4" t="n">
        <v>2116</v>
      </c>
      <c r="D411" s="4" t="n">
        <v>640.09</v>
      </c>
      <c r="E411" s="5" t="n">
        <v>53.9</v>
      </c>
      <c r="F411" s="3" t="inlineStr">
        <is>
          <t>강내면</t>
        </is>
      </c>
      <c r="G411" s="3" t="inlineStr">
        <is>
          <t>태성리</t>
        </is>
      </c>
      <c r="H411" s="3" t="inlineStr">
        <is>
          <t>계획관리지역</t>
        </is>
      </c>
      <c r="I411" s="3" t="inlineStr">
        <is>
          <t>답</t>
        </is>
      </c>
      <c r="J411" s="3" t="inlineStr">
        <is>
          <t>강내면</t>
        </is>
      </c>
    </row>
    <row r="412">
      <c r="A412" s="3" t="n">
        <v>2025</v>
      </c>
      <c r="B412" s="4" t="n">
        <v>65166</v>
      </c>
      <c r="C412" s="4" t="n">
        <v>3940</v>
      </c>
      <c r="D412" s="4" t="n">
        <v>1191.85</v>
      </c>
      <c r="E412" s="5" t="n">
        <v>54.7</v>
      </c>
      <c r="F412" s="3" t="inlineStr">
        <is>
          <t>강내면</t>
        </is>
      </c>
      <c r="G412" s="3" t="inlineStr">
        <is>
          <t>태성리</t>
        </is>
      </c>
      <c r="H412" s="3" t="inlineStr">
        <is>
          <t>계획관리지역</t>
        </is>
      </c>
      <c r="I412" s="3" t="inlineStr">
        <is>
          <t>답</t>
        </is>
      </c>
      <c r="J412" s="3" t="inlineStr">
        <is>
          <t>강내면</t>
        </is>
      </c>
    </row>
    <row r="413">
      <c r="A413" s="3" t="n">
        <v>2025</v>
      </c>
      <c r="B413" s="4" t="n">
        <v>36000</v>
      </c>
      <c r="C413" s="4" t="n">
        <v>1931</v>
      </c>
      <c r="D413" s="4" t="n">
        <v>584.1274999999999</v>
      </c>
      <c r="E413" s="5" t="n">
        <v>61.6</v>
      </c>
      <c r="F413" s="3" t="inlineStr">
        <is>
          <t>강내면</t>
        </is>
      </c>
      <c r="G413" s="3" t="inlineStr">
        <is>
          <t>월탄리</t>
        </is>
      </c>
      <c r="H413" s="3" t="inlineStr">
        <is>
          <t>계획관리지역</t>
        </is>
      </c>
      <c r="I413" s="3" t="inlineStr">
        <is>
          <t>임야</t>
        </is>
      </c>
      <c r="J413" s="3" t="inlineStr">
        <is>
          <t>강내면</t>
        </is>
      </c>
    </row>
    <row r="414">
      <c r="A414" s="3" t="n">
        <v>2025</v>
      </c>
      <c r="B414" s="4" t="n">
        <v>4431</v>
      </c>
      <c r="C414" s="4" t="n">
        <v>257</v>
      </c>
      <c r="D414" s="4" t="n">
        <v>77.74249999999999</v>
      </c>
      <c r="E414" s="5" t="n">
        <v>57</v>
      </c>
      <c r="F414" s="3" t="inlineStr">
        <is>
          <t>오송읍</t>
        </is>
      </c>
      <c r="G414" s="3" t="inlineStr">
        <is>
          <t>공북리</t>
        </is>
      </c>
      <c r="H414" s="3" t="inlineStr">
        <is>
          <t>농림지역</t>
        </is>
      </c>
      <c r="I414" s="3" t="inlineStr">
        <is>
          <t>임야</t>
        </is>
      </c>
      <c r="J414" s="3" t="inlineStr">
        <is>
          <t>오송읍</t>
        </is>
      </c>
    </row>
    <row r="415">
      <c r="A415" s="3" t="n">
        <v>2025</v>
      </c>
      <c r="B415" s="4" t="n">
        <v>34040</v>
      </c>
      <c r="C415" s="4" t="n">
        <v>1830</v>
      </c>
      <c r="D415" s="4" t="n">
        <v>553.5749999999999</v>
      </c>
      <c r="E415" s="5" t="n">
        <v>61.5</v>
      </c>
      <c r="F415" s="3" t="inlineStr">
        <is>
          <t>오송읍</t>
        </is>
      </c>
      <c r="G415" s="3" t="inlineStr">
        <is>
          <t>공북리</t>
        </is>
      </c>
      <c r="H415" s="3" t="inlineStr">
        <is>
          <t>농림지역</t>
        </is>
      </c>
      <c r="I415" s="3" t="inlineStr">
        <is>
          <t>전</t>
        </is>
      </c>
      <c r="J415" s="3" t="inlineStr">
        <is>
          <t>오송읍</t>
        </is>
      </c>
    </row>
    <row r="416">
      <c r="A416" s="3" t="n">
        <v>2025</v>
      </c>
      <c r="B416" s="4" t="n">
        <v>3103</v>
      </c>
      <c r="C416" s="4" t="n">
        <v>180</v>
      </c>
      <c r="D416" s="4" t="n">
        <v>54.45</v>
      </c>
      <c r="E416" s="5" t="n">
        <v>57</v>
      </c>
      <c r="F416" s="3" t="inlineStr">
        <is>
          <t>오송읍</t>
        </is>
      </c>
      <c r="G416" s="3" t="inlineStr">
        <is>
          <t>공북리</t>
        </is>
      </c>
      <c r="H416" s="3" t="inlineStr">
        <is>
          <t>농림지역</t>
        </is>
      </c>
      <c r="I416" s="3" t="inlineStr">
        <is>
          <t>임야</t>
        </is>
      </c>
      <c r="J416" s="3" t="inlineStr">
        <is>
          <t>오송읍</t>
        </is>
      </c>
    </row>
    <row r="417">
      <c r="A417" s="3" t="n">
        <v>2025</v>
      </c>
      <c r="B417" s="4" t="n">
        <v>12277</v>
      </c>
      <c r="C417" s="4" t="n">
        <v>660</v>
      </c>
      <c r="D417" s="4" t="n">
        <v>199.65</v>
      </c>
      <c r="E417" s="5" t="n">
        <v>61.5</v>
      </c>
      <c r="F417" s="3" t="inlineStr">
        <is>
          <t>오송읍</t>
        </is>
      </c>
      <c r="G417" s="3" t="inlineStr">
        <is>
          <t>공북리</t>
        </is>
      </c>
      <c r="H417" s="3" t="inlineStr">
        <is>
          <t>농림지역</t>
        </is>
      </c>
      <c r="I417" s="3" t="inlineStr">
        <is>
          <t>전</t>
        </is>
      </c>
      <c r="J417" s="3" t="inlineStr">
        <is>
          <t>오송읍</t>
        </is>
      </c>
    </row>
    <row r="418">
      <c r="A418" s="3" t="n">
        <v>2025</v>
      </c>
      <c r="B418" s="4" t="n">
        <v>7496</v>
      </c>
      <c r="C418" s="4" t="n">
        <v>403</v>
      </c>
      <c r="D418" s="4" t="n">
        <v>121.9075</v>
      </c>
      <c r="E418" s="5" t="n">
        <v>61.5</v>
      </c>
      <c r="F418" s="3" t="inlineStr">
        <is>
          <t>오송읍</t>
        </is>
      </c>
      <c r="G418" s="3" t="inlineStr">
        <is>
          <t>공북리</t>
        </is>
      </c>
      <c r="H418" s="3" t="inlineStr">
        <is>
          <t>농림지역</t>
        </is>
      </c>
      <c r="I418" s="3" t="inlineStr">
        <is>
          <t>전</t>
        </is>
      </c>
      <c r="J418" s="3" t="inlineStr">
        <is>
          <t>오송읍</t>
        </is>
      </c>
    </row>
    <row r="419">
      <c r="A419" s="3" t="n">
        <v>2025</v>
      </c>
      <c r="B419" s="4" t="n">
        <v>50000</v>
      </c>
      <c r="C419" s="4" t="n">
        <v>308</v>
      </c>
      <c r="D419" s="4" t="n">
        <v>93.17</v>
      </c>
      <c r="E419" s="5" t="n">
        <v>536.7</v>
      </c>
      <c r="F419" s="3" t="inlineStr">
        <is>
          <t>오송읍</t>
        </is>
      </c>
      <c r="G419" s="3" t="inlineStr">
        <is>
          <t>봉산리</t>
        </is>
      </c>
      <c r="H419" s="3" t="inlineStr">
        <is>
          <t>제1종일반주거지역</t>
        </is>
      </c>
      <c r="I419" s="3" t="inlineStr">
        <is>
          <t>대</t>
        </is>
      </c>
      <c r="J419" s="3" t="inlineStr">
        <is>
          <t>오송읍</t>
        </is>
      </c>
    </row>
    <row r="420">
      <c r="A420" s="3" t="n">
        <v>2025</v>
      </c>
      <c r="B420" s="4" t="n">
        <v>18000</v>
      </c>
      <c r="C420" s="4" t="n">
        <v>1983</v>
      </c>
      <c r="D420" s="4" t="n">
        <v>599.8575</v>
      </c>
      <c r="E420" s="5" t="n">
        <v>30</v>
      </c>
      <c r="F420" s="3" t="inlineStr">
        <is>
          <t>강내면</t>
        </is>
      </c>
      <c r="G420" s="3" t="inlineStr">
        <is>
          <t>학천리</t>
        </is>
      </c>
      <c r="H420" s="3" t="inlineStr">
        <is>
          <t>보전녹지지역</t>
        </is>
      </c>
      <c r="I420" s="3" t="inlineStr">
        <is>
          <t>임야</t>
        </is>
      </c>
      <c r="J420" s="3" t="inlineStr">
        <is>
          <t>강내면</t>
        </is>
      </c>
    </row>
    <row r="421">
      <c r="A421" s="3" t="n">
        <v>2025</v>
      </c>
      <c r="B421" s="4" t="n">
        <v>24553</v>
      </c>
      <c r="C421" s="4" t="n">
        <v>1320</v>
      </c>
      <c r="D421" s="4" t="n">
        <v>399.3</v>
      </c>
      <c r="E421" s="5" t="n">
        <v>61.5</v>
      </c>
      <c r="F421" s="3" t="inlineStr">
        <is>
          <t>오송읍</t>
        </is>
      </c>
      <c r="G421" s="3" t="inlineStr">
        <is>
          <t>공북리</t>
        </is>
      </c>
      <c r="H421" s="3" t="inlineStr">
        <is>
          <t>농림지역</t>
        </is>
      </c>
      <c r="I421" s="3" t="inlineStr">
        <is>
          <t>전</t>
        </is>
      </c>
      <c r="J421" s="3" t="inlineStr">
        <is>
          <t>오송읍</t>
        </is>
      </c>
    </row>
    <row r="422">
      <c r="A422" s="3" t="n">
        <v>2023</v>
      </c>
      <c r="B422" s="4" t="n">
        <v>40000</v>
      </c>
      <c r="C422" s="4" t="n">
        <v>1707</v>
      </c>
      <c r="D422" s="4" t="n">
        <v>516.3674999999999</v>
      </c>
      <c r="E422" s="5" t="n">
        <v>77.5</v>
      </c>
      <c r="F422" s="3" t="inlineStr">
        <is>
          <t>강내면</t>
        </is>
      </c>
      <c r="G422" s="3" t="inlineStr">
        <is>
          <t>연정리</t>
        </is>
      </c>
      <c r="H422" s="3" t="inlineStr">
        <is>
          <t>계획관리지역</t>
        </is>
      </c>
      <c r="I422" s="3" t="inlineStr">
        <is>
          <t>전</t>
        </is>
      </c>
      <c r="J422" s="3" t="inlineStr">
        <is>
          <t>강내면</t>
        </is>
      </c>
    </row>
    <row r="423">
      <c r="A423" s="3" t="n">
        <v>2023</v>
      </c>
      <c r="B423" s="4" t="n">
        <v>2214</v>
      </c>
      <c r="C423" s="4" t="n">
        <v>144</v>
      </c>
      <c r="D423" s="4" t="n">
        <v>43.56</v>
      </c>
      <c r="E423" s="5" t="n">
        <v>50.8</v>
      </c>
      <c r="F423" s="3" t="inlineStr">
        <is>
          <t>강내면</t>
        </is>
      </c>
      <c r="G423" s="3" t="inlineStr">
        <is>
          <t>궁현리</t>
        </is>
      </c>
      <c r="H423" s="3" t="inlineStr">
        <is>
          <t>계획관리지역</t>
        </is>
      </c>
      <c r="I423" s="3" t="inlineStr">
        <is>
          <t>대</t>
        </is>
      </c>
      <c r="J423" s="3" t="inlineStr">
        <is>
          <t>강내면</t>
        </is>
      </c>
    </row>
    <row r="424">
      <c r="A424" s="3" t="n">
        <v>2023</v>
      </c>
      <c r="B424" s="4" t="n">
        <v>12180</v>
      </c>
      <c r="C424" s="4" t="n">
        <v>370</v>
      </c>
      <c r="D424" s="4" t="n">
        <v>111.925</v>
      </c>
      <c r="E424" s="5" t="n">
        <v>108.8</v>
      </c>
      <c r="F424" s="3" t="inlineStr">
        <is>
          <t>강내면</t>
        </is>
      </c>
      <c r="G424" s="3" t="inlineStr">
        <is>
          <t>월곡리</t>
        </is>
      </c>
      <c r="H424" s="3" t="inlineStr">
        <is>
          <t>자연녹지지역</t>
        </is>
      </c>
      <c r="I424" s="3" t="inlineStr">
        <is>
          <t>구거</t>
        </is>
      </c>
      <c r="J424" s="3" t="inlineStr">
        <is>
          <t>강내면</t>
        </is>
      </c>
    </row>
    <row r="425">
      <c r="A425" s="3" t="n">
        <v>2023</v>
      </c>
      <c r="B425" s="4" t="n">
        <v>47328</v>
      </c>
      <c r="C425" s="4" t="n">
        <v>2301</v>
      </c>
      <c r="D425" s="4" t="n">
        <v>696.0525</v>
      </c>
      <c r="E425" s="5" t="n">
        <v>68</v>
      </c>
      <c r="F425" s="3" t="inlineStr">
        <is>
          <t>강내면</t>
        </is>
      </c>
      <c r="G425" s="3" t="inlineStr">
        <is>
          <t>저산리</t>
        </is>
      </c>
      <c r="H425" s="3" t="inlineStr">
        <is>
          <t>계획관리지역</t>
        </is>
      </c>
      <c r="I425" s="3" t="inlineStr">
        <is>
          <t>전</t>
        </is>
      </c>
      <c r="J425" s="3" t="inlineStr">
        <is>
          <t>강내면</t>
        </is>
      </c>
    </row>
    <row r="426">
      <c r="A426" s="3" t="n">
        <v>2023</v>
      </c>
      <c r="B426" s="4" t="n">
        <v>2100</v>
      </c>
      <c r="C426" s="4" t="n">
        <v>24</v>
      </c>
      <c r="D426" s="4" t="n">
        <v>7.26</v>
      </c>
      <c r="E426" s="5" t="n">
        <v>289.3</v>
      </c>
      <c r="F426" s="3" t="inlineStr">
        <is>
          <t>오송읍</t>
        </is>
      </c>
      <c r="G426" s="3" t="inlineStr">
        <is>
          <t>오송리</t>
        </is>
      </c>
      <c r="H426" s="3" t="inlineStr">
        <is>
          <t>농림지역</t>
        </is>
      </c>
      <c r="I426" s="3" t="inlineStr">
        <is>
          <t>도로</t>
        </is>
      </c>
      <c r="J426" s="3" t="inlineStr">
        <is>
          <t>오송읍</t>
        </is>
      </c>
    </row>
    <row r="427">
      <c r="A427" s="3" t="n">
        <v>2023</v>
      </c>
      <c r="B427" s="4" t="n">
        <v>13500</v>
      </c>
      <c r="C427" s="4" t="n">
        <v>1488</v>
      </c>
      <c r="D427" s="4" t="n">
        <v>450.12</v>
      </c>
      <c r="E427" s="5" t="n">
        <v>30</v>
      </c>
      <c r="F427" s="3" t="inlineStr">
        <is>
          <t>오송읍</t>
        </is>
      </c>
      <c r="G427" s="3" t="inlineStr">
        <is>
          <t>호계리</t>
        </is>
      </c>
      <c r="H427" s="3" t="inlineStr">
        <is>
          <t>계획관리지역</t>
        </is>
      </c>
      <c r="I427" s="3" t="inlineStr">
        <is>
          <t>전</t>
        </is>
      </c>
      <c r="J427" s="3" t="inlineStr">
        <is>
          <t>오송읍</t>
        </is>
      </c>
    </row>
    <row r="428">
      <c r="A428" s="3" t="n">
        <v>2023</v>
      </c>
      <c r="B428" s="4" t="n">
        <v>31800</v>
      </c>
      <c r="C428" s="4" t="n">
        <v>1607</v>
      </c>
      <c r="D428" s="4" t="n">
        <v>486.1175</v>
      </c>
      <c r="E428" s="5" t="n">
        <v>65.40000000000001</v>
      </c>
      <c r="F428" s="3" t="inlineStr">
        <is>
          <t>강내면</t>
        </is>
      </c>
      <c r="G428" s="3" t="inlineStr">
        <is>
          <t>궁현리</t>
        </is>
      </c>
      <c r="H428" s="3" t="inlineStr">
        <is>
          <t>농림지역</t>
        </is>
      </c>
      <c r="I428" s="3" t="inlineStr">
        <is>
          <t>답</t>
        </is>
      </c>
      <c r="J428" s="3" t="inlineStr">
        <is>
          <t>강내면</t>
        </is>
      </c>
    </row>
    <row r="429">
      <c r="A429" s="3" t="n">
        <v>2024</v>
      </c>
      <c r="B429" s="4" t="n">
        <v>6000</v>
      </c>
      <c r="C429" s="4" t="n">
        <v>449.3</v>
      </c>
      <c r="D429" s="4" t="n">
        <v>135.91325</v>
      </c>
      <c r="E429" s="5" t="n">
        <v>44.1</v>
      </c>
      <c r="F429" s="3" t="inlineStr">
        <is>
          <t>강내면</t>
        </is>
      </c>
      <c r="G429" s="3" t="inlineStr">
        <is>
          <t>사곡리</t>
        </is>
      </c>
      <c r="H429" s="3" t="inlineStr">
        <is>
          <t>보전관리지역</t>
        </is>
      </c>
      <c r="I429" s="3" t="inlineStr">
        <is>
          <t>대</t>
        </is>
      </c>
      <c r="J429" s="3" t="inlineStr">
        <is>
          <t>강내면</t>
        </is>
      </c>
    </row>
    <row r="430">
      <c r="A430" s="3" t="n">
        <v>2024</v>
      </c>
      <c r="B430" s="4" t="n">
        <v>42121</v>
      </c>
      <c r="C430" s="4" t="n">
        <v>2162</v>
      </c>
      <c r="D430" s="4" t="n">
        <v>654.005</v>
      </c>
      <c r="E430" s="5" t="n">
        <v>64.40000000000001</v>
      </c>
      <c r="F430" s="3" t="inlineStr">
        <is>
          <t>오송읍</t>
        </is>
      </c>
      <c r="G430" s="3" t="inlineStr">
        <is>
          <t>서평리</t>
        </is>
      </c>
      <c r="H430" s="3" t="inlineStr">
        <is>
          <t>농림지역</t>
        </is>
      </c>
      <c r="I430" s="3" t="inlineStr">
        <is>
          <t>답</t>
        </is>
      </c>
      <c r="J430" s="3" t="inlineStr">
        <is>
          <t>오송읍</t>
        </is>
      </c>
    </row>
    <row r="431">
      <c r="A431" s="3" t="n">
        <v>2024</v>
      </c>
      <c r="B431" s="4" t="n">
        <v>88879</v>
      </c>
      <c r="C431" s="4" t="n">
        <v>4562</v>
      </c>
      <c r="D431" s="4" t="n">
        <v>1380.005</v>
      </c>
      <c r="E431" s="5" t="n">
        <v>64.40000000000001</v>
      </c>
      <c r="F431" s="3" t="inlineStr">
        <is>
          <t>오송읍</t>
        </is>
      </c>
      <c r="G431" s="3" t="inlineStr">
        <is>
          <t>서평리</t>
        </is>
      </c>
      <c r="H431" s="3" t="inlineStr">
        <is>
          <t>농림지역</t>
        </is>
      </c>
      <c r="I431" s="3" t="inlineStr">
        <is>
          <t>답</t>
        </is>
      </c>
      <c r="J431" s="3" t="inlineStr">
        <is>
          <t>오송읍</t>
        </is>
      </c>
    </row>
    <row r="432">
      <c r="A432" s="3" t="n">
        <v>2024</v>
      </c>
      <c r="B432" s="4" t="n">
        <v>28000</v>
      </c>
      <c r="C432" s="4" t="n">
        <v>414</v>
      </c>
      <c r="D432" s="4" t="n">
        <v>125.235</v>
      </c>
      <c r="E432" s="5" t="n">
        <v>223.6</v>
      </c>
      <c r="F432" s="3" t="inlineStr">
        <is>
          <t>강내면</t>
        </is>
      </c>
      <c r="G432" s="3" t="inlineStr">
        <is>
          <t>월곡리</t>
        </is>
      </c>
      <c r="H432" s="3" t="inlineStr">
        <is>
          <t>제1종일반주거지역</t>
        </is>
      </c>
      <c r="I432" s="3" t="inlineStr">
        <is>
          <t>대</t>
        </is>
      </c>
      <c r="J432" s="3" t="inlineStr">
        <is>
          <t>강내면</t>
        </is>
      </c>
    </row>
    <row r="433">
      <c r="A433" s="3" t="n">
        <v>2024</v>
      </c>
      <c r="B433" s="4" t="n">
        <v>32000</v>
      </c>
      <c r="C433" s="4" t="n">
        <v>267.6</v>
      </c>
      <c r="D433" s="4" t="n">
        <v>80.949</v>
      </c>
      <c r="E433" s="5" t="n">
        <v>395.3</v>
      </c>
      <c r="F433" s="3" t="inlineStr">
        <is>
          <t>오송읍</t>
        </is>
      </c>
      <c r="G433" s="3" t="inlineStr">
        <is>
          <t>봉산리</t>
        </is>
      </c>
      <c r="H433" s="3" t="inlineStr">
        <is>
          <t>제1종일반주거지역</t>
        </is>
      </c>
      <c r="I433" s="3" t="inlineStr">
        <is>
          <t>대</t>
        </is>
      </c>
      <c r="J433" s="3" t="inlineStr">
        <is>
          <t>오송읍</t>
        </is>
      </c>
    </row>
    <row r="434">
      <c r="A434" s="3" t="n">
        <v>2024</v>
      </c>
      <c r="B434" s="4" t="n">
        <v>32000</v>
      </c>
      <c r="C434" s="4" t="n">
        <v>3620</v>
      </c>
      <c r="D434" s="4" t="n">
        <v>1095.05</v>
      </c>
      <c r="E434" s="5" t="n">
        <v>29.2</v>
      </c>
      <c r="F434" s="3" t="inlineStr">
        <is>
          <t>강내면</t>
        </is>
      </c>
      <c r="G434" s="3" t="inlineStr">
        <is>
          <t>저산리</t>
        </is>
      </c>
      <c r="H434" s="3" t="inlineStr">
        <is>
          <t>농림지역</t>
        </is>
      </c>
      <c r="I434" s="3" t="inlineStr">
        <is>
          <t>답</t>
        </is>
      </c>
      <c r="J434" s="3" t="inlineStr">
        <is>
          <t>강내면</t>
        </is>
      </c>
    </row>
    <row r="435">
      <c r="A435" s="3" t="n">
        <v>2024</v>
      </c>
      <c r="B435" s="4" t="n">
        <v>33357</v>
      </c>
      <c r="C435" s="4" t="n">
        <v>919</v>
      </c>
      <c r="D435" s="4" t="n">
        <v>277.9975</v>
      </c>
      <c r="E435" s="5" t="n">
        <v>120</v>
      </c>
      <c r="F435" s="3" t="inlineStr">
        <is>
          <t>강내면</t>
        </is>
      </c>
      <c r="G435" s="3" t="inlineStr">
        <is>
          <t>다락리</t>
        </is>
      </c>
      <c r="H435" s="3" t="inlineStr">
        <is>
          <t>계획관리지역</t>
        </is>
      </c>
      <c r="I435" s="3" t="inlineStr">
        <is>
          <t>대</t>
        </is>
      </c>
      <c r="J435" s="3" t="inlineStr">
        <is>
          <t>강내면</t>
        </is>
      </c>
    </row>
    <row r="436">
      <c r="A436" s="3" t="n">
        <v>2024</v>
      </c>
      <c r="B436" s="4" t="n">
        <v>81165</v>
      </c>
      <c r="C436" s="4" t="n">
        <v>2117</v>
      </c>
      <c r="D436" s="4" t="n">
        <v>640.3924999999999</v>
      </c>
      <c r="E436" s="5" t="n">
        <v>126.7</v>
      </c>
      <c r="F436" s="3" t="inlineStr">
        <is>
          <t>강내면</t>
        </is>
      </c>
      <c r="G436" s="3" t="inlineStr">
        <is>
          <t>산단리</t>
        </is>
      </c>
      <c r="H436" s="3" t="inlineStr">
        <is>
          <t>계획관리지역</t>
        </is>
      </c>
      <c r="I436" s="3" t="inlineStr">
        <is>
          <t>임야</t>
        </is>
      </c>
      <c r="J436" s="3" t="inlineStr">
        <is>
          <t>강내면</t>
        </is>
      </c>
    </row>
    <row r="437">
      <c r="A437" s="3" t="n">
        <v>2024</v>
      </c>
      <c r="B437" s="4" t="n">
        <v>63375</v>
      </c>
      <c r="C437" s="4" t="n">
        <v>1653</v>
      </c>
      <c r="D437" s="4" t="n">
        <v>500.0325</v>
      </c>
      <c r="E437" s="5" t="n">
        <v>126.7</v>
      </c>
      <c r="F437" s="3" t="inlineStr">
        <is>
          <t>강내면</t>
        </is>
      </c>
      <c r="G437" s="3" t="inlineStr">
        <is>
          <t>궁현리</t>
        </is>
      </c>
      <c r="H437" s="3" t="inlineStr">
        <is>
          <t>계획관리지역</t>
        </is>
      </c>
      <c r="I437" s="3" t="inlineStr">
        <is>
          <t>임야</t>
        </is>
      </c>
      <c r="J437" s="3" t="inlineStr">
        <is>
          <t>강내면</t>
        </is>
      </c>
    </row>
    <row r="438">
      <c r="A438" s="3" t="n">
        <v>2024</v>
      </c>
      <c r="B438" s="4" t="n">
        <v>460</v>
      </c>
      <c r="C438" s="4" t="n">
        <v>12</v>
      </c>
      <c r="D438" s="4" t="n">
        <v>3.63</v>
      </c>
      <c r="E438" s="5" t="n">
        <v>126.7</v>
      </c>
      <c r="F438" s="3" t="inlineStr">
        <is>
          <t>강내면</t>
        </is>
      </c>
      <c r="G438" s="3" t="inlineStr">
        <is>
          <t>산단리</t>
        </is>
      </c>
      <c r="H438" s="3" t="inlineStr">
        <is>
          <t>계획관리지역</t>
        </is>
      </c>
      <c r="I438" s="3" t="inlineStr">
        <is>
          <t>임야</t>
        </is>
      </c>
      <c r="J438" s="3" t="inlineStr">
        <is>
          <t>강내면</t>
        </is>
      </c>
    </row>
    <row r="439">
      <c r="A439" s="3" t="n">
        <v>2026</v>
      </c>
      <c r="B439" s="4" t="n">
        <v>19558</v>
      </c>
      <c r="C439" s="4" t="n">
        <v>488</v>
      </c>
      <c r="D439" s="4" t="n">
        <v>147.62</v>
      </c>
      <c r="E439" s="5" t="n">
        <v>132.5</v>
      </c>
      <c r="F439" s="3" t="inlineStr">
        <is>
          <t>강내면</t>
        </is>
      </c>
      <c r="G439" s="3" t="inlineStr">
        <is>
          <t>탑연리</t>
        </is>
      </c>
      <c r="H439" s="3" t="inlineStr">
        <is>
          <t>자연녹지지역</t>
        </is>
      </c>
      <c r="I439" s="3" t="inlineStr">
        <is>
          <t>전</t>
        </is>
      </c>
      <c r="J439" s="3" t="inlineStr">
        <is>
          <t>강내면</t>
        </is>
      </c>
    </row>
    <row r="440">
      <c r="A440" s="3" t="n">
        <v>2026</v>
      </c>
      <c r="B440" s="4" t="n">
        <v>80000</v>
      </c>
      <c r="C440" s="4" t="n">
        <v>2460</v>
      </c>
      <c r="D440" s="4" t="n">
        <v>744.15</v>
      </c>
      <c r="E440" s="5" t="n">
        <v>107.5</v>
      </c>
      <c r="F440" s="3" t="inlineStr">
        <is>
          <t>오송읍</t>
        </is>
      </c>
      <c r="G440" s="3" t="inlineStr">
        <is>
          <t>서평리</t>
        </is>
      </c>
      <c r="H440" s="3" t="inlineStr">
        <is>
          <t>농림지역</t>
        </is>
      </c>
      <c r="I440" s="3" t="inlineStr">
        <is>
          <t>답</t>
        </is>
      </c>
      <c r="J440" s="3" t="inlineStr">
        <is>
          <t>오송읍</t>
        </is>
      </c>
    </row>
    <row r="441">
      <c r="A441" s="3" t="n">
        <v>2026</v>
      </c>
      <c r="B441" s="4" t="n">
        <v>31750</v>
      </c>
      <c r="C441" s="4" t="n">
        <v>1567</v>
      </c>
      <c r="D441" s="4" t="n">
        <v>474.0175</v>
      </c>
      <c r="E441" s="5" t="n">
        <v>67</v>
      </c>
      <c r="F441" s="3" t="inlineStr">
        <is>
          <t>오송읍</t>
        </is>
      </c>
      <c r="G441" s="3" t="inlineStr">
        <is>
          <t>서평리</t>
        </is>
      </c>
      <c r="H441" s="3" t="inlineStr">
        <is>
          <t>농림지역</t>
        </is>
      </c>
      <c r="I441" s="3" t="inlineStr">
        <is>
          <t>답</t>
        </is>
      </c>
      <c r="J441" s="3" t="inlineStr">
        <is>
          <t>오송읍</t>
        </is>
      </c>
    </row>
    <row r="442">
      <c r="A442" s="3" t="n">
        <v>2026</v>
      </c>
      <c r="B442" s="4" t="n">
        <v>21483</v>
      </c>
      <c r="C442" s="4" t="n">
        <v>3570</v>
      </c>
      <c r="D442" s="4" t="n">
        <v>1079.925</v>
      </c>
      <c r="E442" s="5" t="n">
        <v>19.9</v>
      </c>
      <c r="F442" s="3" t="inlineStr">
        <is>
          <t>오송읍</t>
        </is>
      </c>
      <c r="G442" s="3" t="inlineStr">
        <is>
          <t>상정리</t>
        </is>
      </c>
      <c r="H442" s="3" t="inlineStr">
        <is>
          <t>농림지역</t>
        </is>
      </c>
      <c r="I442" s="3" t="inlineStr">
        <is>
          <t>답</t>
        </is>
      </c>
      <c r="J442" s="3" t="inlineStr">
        <is>
          <t>오송읍</t>
        </is>
      </c>
    </row>
    <row r="443">
      <c r="A443" s="3" t="n">
        <v>2026</v>
      </c>
      <c r="B443" s="4" t="n">
        <v>25000</v>
      </c>
      <c r="C443" s="4" t="n">
        <v>568</v>
      </c>
      <c r="D443" s="4" t="n">
        <v>171.82</v>
      </c>
      <c r="E443" s="5" t="n">
        <v>145.5</v>
      </c>
      <c r="F443" s="3" t="inlineStr">
        <is>
          <t>강내면</t>
        </is>
      </c>
      <c r="G443" s="3" t="inlineStr">
        <is>
          <t>학천리</t>
        </is>
      </c>
      <c r="H443" s="3" t="inlineStr">
        <is>
          <t>생산녹지지역</t>
        </is>
      </c>
      <c r="I443" s="3" t="inlineStr">
        <is>
          <t>전</t>
        </is>
      </c>
      <c r="J443" s="3" t="inlineStr">
        <is>
          <t>강내면</t>
        </is>
      </c>
    </row>
    <row r="444">
      <c r="A444" s="3" t="n">
        <v>2026</v>
      </c>
      <c r="B444" s="4" t="n">
        <v>20000</v>
      </c>
      <c r="C444" s="4" t="n">
        <v>1831</v>
      </c>
      <c r="D444" s="4" t="n">
        <v>553.8774999999999</v>
      </c>
      <c r="E444" s="5" t="n">
        <v>36.1</v>
      </c>
      <c r="F444" s="3" t="inlineStr">
        <is>
          <t>강내면</t>
        </is>
      </c>
      <c r="G444" s="3" t="inlineStr">
        <is>
          <t>월곡리</t>
        </is>
      </c>
      <c r="H444" s="3" t="inlineStr">
        <is>
          <t>보전녹지지역</t>
        </is>
      </c>
      <c r="I444" s="3" t="inlineStr">
        <is>
          <t>전</t>
        </is>
      </c>
      <c r="J444" s="3" t="inlineStr">
        <is>
          <t>강내면</t>
        </is>
      </c>
    </row>
    <row r="445">
      <c r="A445" s="3" t="n">
        <v>2026</v>
      </c>
      <c r="B445" s="4" t="n">
        <v>32000</v>
      </c>
      <c r="C445" s="4" t="n">
        <v>267.7</v>
      </c>
      <c r="D445" s="4" t="n">
        <v>80.97924999999999</v>
      </c>
      <c r="E445" s="5" t="n">
        <v>395.2</v>
      </c>
      <c r="F445" s="3" t="inlineStr">
        <is>
          <t>오송읍</t>
        </is>
      </c>
      <c r="G445" s="3" t="inlineStr">
        <is>
          <t>봉산리</t>
        </is>
      </c>
      <c r="H445" s="3" t="inlineStr">
        <is>
          <t>제1종일반주거지역</t>
        </is>
      </c>
      <c r="I445" s="3" t="inlineStr">
        <is>
          <t>대</t>
        </is>
      </c>
      <c r="J445" s="3" t="inlineStr">
        <is>
          <t>오송읍</t>
        </is>
      </c>
    </row>
    <row r="446">
      <c r="A446" s="3" t="n">
        <v>2025</v>
      </c>
      <c r="B446" s="4" t="n">
        <v>17317</v>
      </c>
      <c r="C446" s="4" t="n">
        <v>1431</v>
      </c>
      <c r="D446" s="4" t="n">
        <v>432.8775</v>
      </c>
      <c r="E446" s="5" t="n">
        <v>40</v>
      </c>
      <c r="F446" s="3" t="inlineStr">
        <is>
          <t>남이면</t>
        </is>
      </c>
      <c r="G446" s="3" t="inlineStr">
        <is>
          <t>외천리</t>
        </is>
      </c>
      <c r="H446" s="3" t="inlineStr">
        <is>
          <t>계획관리지역</t>
        </is>
      </c>
      <c r="I446" s="3" t="inlineStr">
        <is>
          <t>전</t>
        </is>
      </c>
      <c r="J446" s="3" t="inlineStr">
        <is>
          <t>남이면</t>
        </is>
      </c>
    </row>
    <row r="447">
      <c r="A447" s="3" t="n">
        <v>2025</v>
      </c>
      <c r="B447" s="4" t="n">
        <v>363</v>
      </c>
      <c r="C447" s="4" t="n">
        <v>30</v>
      </c>
      <c r="D447" s="4" t="n">
        <v>9.074999999999999</v>
      </c>
      <c r="E447" s="5" t="n">
        <v>40</v>
      </c>
      <c r="F447" s="3" t="inlineStr">
        <is>
          <t>남이면</t>
        </is>
      </c>
      <c r="G447" s="3" t="inlineStr">
        <is>
          <t>외천리</t>
        </is>
      </c>
      <c r="H447" s="3" t="inlineStr">
        <is>
          <t>계획관리지역</t>
        </is>
      </c>
      <c r="I447" s="3" t="inlineStr">
        <is>
          <t>전</t>
        </is>
      </c>
      <c r="J447" s="3" t="inlineStr">
        <is>
          <t>남이면</t>
        </is>
      </c>
    </row>
    <row r="448">
      <c r="A448" s="3" t="n">
        <v>2025</v>
      </c>
      <c r="B448" s="4" t="n">
        <v>21700</v>
      </c>
      <c r="C448" s="4" t="n">
        <v>582</v>
      </c>
      <c r="D448" s="4" t="n">
        <v>176.055</v>
      </c>
      <c r="E448" s="5" t="n">
        <v>123.3</v>
      </c>
      <c r="F448" s="3" t="inlineStr">
        <is>
          <t>남이면</t>
        </is>
      </c>
      <c r="G448" s="3" t="inlineStr">
        <is>
          <t>가마리</t>
        </is>
      </c>
      <c r="H448" s="3" t="inlineStr">
        <is>
          <t>자연녹지지역</t>
        </is>
      </c>
      <c r="I448" s="3" t="inlineStr">
        <is>
          <t>전</t>
        </is>
      </c>
      <c r="J448" s="3" t="inlineStr">
        <is>
          <t>남이면</t>
        </is>
      </c>
    </row>
    <row r="449">
      <c r="A449" s="3" t="n">
        <v>2025</v>
      </c>
      <c r="B449" s="4" t="n">
        <v>31000</v>
      </c>
      <c r="C449" s="4" t="n">
        <v>266.8</v>
      </c>
      <c r="D449" s="4" t="n">
        <v>80.70700000000001</v>
      </c>
      <c r="E449" s="5" t="n">
        <v>384.1</v>
      </c>
      <c r="F449" s="3" t="inlineStr">
        <is>
          <t>오송읍</t>
        </is>
      </c>
      <c r="G449" s="3" t="inlineStr">
        <is>
          <t>봉산리</t>
        </is>
      </c>
      <c r="H449" s="3" t="inlineStr">
        <is>
          <t>제1종일반주거지역</t>
        </is>
      </c>
      <c r="I449" s="3" t="inlineStr">
        <is>
          <t>대</t>
        </is>
      </c>
      <c r="J449" s="3" t="inlineStr">
        <is>
          <t>오송읍</t>
        </is>
      </c>
    </row>
    <row r="450">
      <c r="A450" s="3" t="n">
        <v>2025</v>
      </c>
      <c r="B450" s="4" t="n">
        <v>848</v>
      </c>
      <c r="C450" s="4" t="n">
        <v>44</v>
      </c>
      <c r="D450" s="4" t="n">
        <v>13.31</v>
      </c>
      <c r="E450" s="5" t="n">
        <v>63.7</v>
      </c>
      <c r="F450" s="3" t="inlineStr">
        <is>
          <t>강내면</t>
        </is>
      </c>
      <c r="G450" s="3" t="inlineStr">
        <is>
          <t>황탄리</t>
        </is>
      </c>
      <c r="H450" s="3" t="inlineStr">
        <is>
          <t>보전관리지역</t>
        </is>
      </c>
      <c r="I450" s="3" t="inlineStr">
        <is>
          <t>임야</t>
        </is>
      </c>
      <c r="J450" s="3" t="inlineStr">
        <is>
          <t>강내면</t>
        </is>
      </c>
    </row>
    <row r="451">
      <c r="A451" s="3" t="n">
        <v>2025</v>
      </c>
      <c r="B451" s="4" t="n">
        <v>7918</v>
      </c>
      <c r="C451" s="4" t="n">
        <v>3272</v>
      </c>
      <c r="D451" s="4" t="n">
        <v>989.78</v>
      </c>
      <c r="E451" s="5" t="n">
        <v>8</v>
      </c>
      <c r="F451" s="3" t="inlineStr">
        <is>
          <t>강내면</t>
        </is>
      </c>
      <c r="G451" s="3" t="inlineStr">
        <is>
          <t>저산리</t>
        </is>
      </c>
      <c r="H451" s="3" t="inlineStr">
        <is>
          <t>보전관리지역</t>
        </is>
      </c>
      <c r="I451" s="3" t="inlineStr">
        <is>
          <t>임야</t>
        </is>
      </c>
      <c r="J451" s="3" t="inlineStr">
        <is>
          <t>강내면</t>
        </is>
      </c>
    </row>
    <row r="452">
      <c r="A452" s="3" t="n">
        <v>2025</v>
      </c>
      <c r="B452" s="4" t="n">
        <v>10767</v>
      </c>
      <c r="C452" s="4" t="n">
        <v>4449</v>
      </c>
      <c r="D452" s="4" t="n">
        <v>1345.8225</v>
      </c>
      <c r="E452" s="5" t="n">
        <v>8</v>
      </c>
      <c r="F452" s="3" t="inlineStr">
        <is>
          <t>강내면</t>
        </is>
      </c>
      <c r="G452" s="3" t="inlineStr">
        <is>
          <t>저산리</t>
        </is>
      </c>
      <c r="H452" s="3" t="inlineStr">
        <is>
          <t>보전관리지역</t>
        </is>
      </c>
      <c r="I452" s="3" t="inlineStr">
        <is>
          <t>임야</t>
        </is>
      </c>
      <c r="J452" s="3" t="inlineStr">
        <is>
          <t>강내면</t>
        </is>
      </c>
    </row>
    <row r="453">
      <c r="A453" s="3" t="n">
        <v>2025</v>
      </c>
      <c r="B453" s="4" t="n">
        <v>4590</v>
      </c>
      <c r="C453" s="4" t="n">
        <v>56</v>
      </c>
      <c r="D453" s="4" t="n">
        <v>16.94</v>
      </c>
      <c r="E453" s="5" t="n">
        <v>271</v>
      </c>
      <c r="F453" s="3" t="inlineStr">
        <is>
          <t>오송읍</t>
        </is>
      </c>
      <c r="G453" s="3" t="inlineStr">
        <is>
          <t>오송리</t>
        </is>
      </c>
      <c r="H453" s="3" t="inlineStr">
        <is>
          <t>계획관리지역</t>
        </is>
      </c>
      <c r="I453" s="3" t="inlineStr">
        <is>
          <t>대</t>
        </is>
      </c>
      <c r="J453" s="3" t="inlineStr">
        <is>
          <t>오송읍</t>
        </is>
      </c>
    </row>
    <row r="454">
      <c r="A454" s="3" t="n">
        <v>2025</v>
      </c>
      <c r="B454" s="4" t="n">
        <v>19000</v>
      </c>
      <c r="C454" s="4" t="n">
        <v>577</v>
      </c>
      <c r="D454" s="4" t="n">
        <v>174.5425</v>
      </c>
      <c r="E454" s="5" t="n">
        <v>108.9</v>
      </c>
      <c r="F454" s="3" t="inlineStr">
        <is>
          <t>오송읍</t>
        </is>
      </c>
      <c r="G454" s="3" t="inlineStr">
        <is>
          <t>상정리</t>
        </is>
      </c>
      <c r="H454" s="3" t="inlineStr">
        <is>
          <t>보전관리지역</t>
        </is>
      </c>
      <c r="I454" s="3" t="inlineStr">
        <is>
          <t>창고용지</t>
        </is>
      </c>
      <c r="J454" s="3" t="inlineStr">
        <is>
          <t>오송읍</t>
        </is>
      </c>
    </row>
    <row r="455">
      <c r="A455" s="3" t="n">
        <v>2025</v>
      </c>
      <c r="B455" s="4" t="n">
        <v>33000</v>
      </c>
      <c r="C455" s="4" t="n">
        <v>3423</v>
      </c>
      <c r="D455" s="4" t="n">
        <v>1035.4575</v>
      </c>
      <c r="E455" s="5" t="n">
        <v>31.9</v>
      </c>
      <c r="F455" s="3" t="inlineStr">
        <is>
          <t>강내면</t>
        </is>
      </c>
      <c r="G455" s="3" t="inlineStr">
        <is>
          <t>저산리</t>
        </is>
      </c>
      <c r="H455" s="3" t="inlineStr">
        <is>
          <t>농림지역</t>
        </is>
      </c>
      <c r="I455" s="3" t="inlineStr">
        <is>
          <t>전</t>
        </is>
      </c>
      <c r="J455" s="3" t="inlineStr">
        <is>
          <t>강내면</t>
        </is>
      </c>
    </row>
    <row r="456">
      <c r="A456" s="3" t="n">
        <v>2025</v>
      </c>
      <c r="B456" s="4" t="n">
        <v>26000</v>
      </c>
      <c r="C456" s="4" t="n">
        <v>269.3</v>
      </c>
      <c r="D456" s="4" t="n">
        <v>81.46325</v>
      </c>
      <c r="E456" s="5" t="n">
        <v>319.2</v>
      </c>
      <c r="F456" s="3" t="inlineStr">
        <is>
          <t>오송읍</t>
        </is>
      </c>
      <c r="G456" s="3" t="inlineStr">
        <is>
          <t>봉산리</t>
        </is>
      </c>
      <c r="H456" s="3" t="inlineStr">
        <is>
          <t>제1종일반주거지역</t>
        </is>
      </c>
      <c r="I456" s="3" t="inlineStr">
        <is>
          <t>대</t>
        </is>
      </c>
      <c r="J456" s="3" t="inlineStr">
        <is>
          <t>오송읍</t>
        </is>
      </c>
    </row>
    <row r="457">
      <c r="A457" s="3" t="n">
        <v>2025</v>
      </c>
      <c r="B457" s="4" t="n">
        <v>19500</v>
      </c>
      <c r="C457" s="4" t="n">
        <v>1899</v>
      </c>
      <c r="D457" s="4" t="n">
        <v>574.4475</v>
      </c>
      <c r="E457" s="5" t="n">
        <v>33.9</v>
      </c>
      <c r="F457" s="3" t="inlineStr">
        <is>
          <t>강내면</t>
        </is>
      </c>
      <c r="G457" s="3" t="inlineStr">
        <is>
          <t>저산리</t>
        </is>
      </c>
      <c r="H457" s="3" t="inlineStr">
        <is>
          <t>보전관리지역</t>
        </is>
      </c>
      <c r="I457" s="3" t="inlineStr">
        <is>
          <t>임야</t>
        </is>
      </c>
      <c r="J457" s="3" t="inlineStr">
        <is>
          <t>강내면</t>
        </is>
      </c>
    </row>
    <row r="458">
      <c r="A458" s="3" t="n">
        <v>2025</v>
      </c>
      <c r="B458" s="4" t="n">
        <v>26318</v>
      </c>
      <c r="C458" s="4" t="n">
        <v>2563</v>
      </c>
      <c r="D458" s="4" t="n">
        <v>775.3075</v>
      </c>
      <c r="E458" s="5" t="n">
        <v>33.9</v>
      </c>
      <c r="F458" s="3" t="inlineStr">
        <is>
          <t>강내면</t>
        </is>
      </c>
      <c r="G458" s="3" t="inlineStr">
        <is>
          <t>저산리</t>
        </is>
      </c>
      <c r="H458" s="3" t="inlineStr">
        <is>
          <t>보전관리지역</t>
        </is>
      </c>
      <c r="I458" s="3" t="inlineStr">
        <is>
          <t>임야</t>
        </is>
      </c>
      <c r="J458" s="3" t="inlineStr">
        <is>
          <t>강내면</t>
        </is>
      </c>
    </row>
    <row r="459">
      <c r="A459" s="3" t="n">
        <v>2025</v>
      </c>
      <c r="B459" s="4" t="n">
        <v>2080</v>
      </c>
      <c r="C459" s="4" t="n">
        <v>398</v>
      </c>
      <c r="D459" s="4" t="n">
        <v>120.395</v>
      </c>
      <c r="E459" s="5" t="n">
        <v>17.3</v>
      </c>
      <c r="F459" s="3" t="inlineStr">
        <is>
          <t>강내면</t>
        </is>
      </c>
      <c r="G459" s="3" t="inlineStr">
        <is>
          <t>저산리</t>
        </is>
      </c>
      <c r="H459" s="3" t="inlineStr">
        <is>
          <t>보전관리지역</t>
        </is>
      </c>
      <c r="I459" s="3" t="inlineStr">
        <is>
          <t>전</t>
        </is>
      </c>
      <c r="J459" s="3" t="inlineStr">
        <is>
          <t>강내면</t>
        </is>
      </c>
    </row>
    <row r="460">
      <c r="A460" s="3" t="n">
        <v>2023</v>
      </c>
      <c r="B460" s="4" t="n">
        <v>400092</v>
      </c>
      <c r="C460" s="4" t="n">
        <v>11497.5</v>
      </c>
      <c r="D460" s="4" t="n">
        <v>3477.99375</v>
      </c>
      <c r="E460" s="5" t="n">
        <v>115</v>
      </c>
      <c r="F460" s="3" t="inlineStr">
        <is>
          <t>오송읍</t>
        </is>
      </c>
      <c r="G460" s="3" t="inlineStr">
        <is>
          <t>정중리</t>
        </is>
      </c>
      <c r="H460" s="3" t="inlineStr">
        <is>
          <t>일반공업지역</t>
        </is>
      </c>
      <c r="I460" s="3" t="inlineStr">
        <is>
          <t>대</t>
        </is>
      </c>
      <c r="J460" s="3" t="inlineStr">
        <is>
          <t>오송읍</t>
        </is>
      </c>
    </row>
    <row r="461">
      <c r="A461" s="3" t="n">
        <v>2023</v>
      </c>
      <c r="B461" s="4" t="n">
        <v>5387</v>
      </c>
      <c r="C461" s="4" t="n">
        <v>369</v>
      </c>
      <c r="D461" s="4" t="n">
        <v>111.6225</v>
      </c>
      <c r="E461" s="5" t="n">
        <v>48.3</v>
      </c>
      <c r="F461" s="3" t="inlineStr">
        <is>
          <t>강내면</t>
        </is>
      </c>
      <c r="G461" s="3" t="inlineStr">
        <is>
          <t>태성리</t>
        </is>
      </c>
      <c r="H461" s="3" t="inlineStr">
        <is>
          <t>계획관리지역</t>
        </is>
      </c>
      <c r="I461" s="3" t="inlineStr">
        <is>
          <t>전</t>
        </is>
      </c>
      <c r="J461" s="3" t="inlineStr">
        <is>
          <t>강내면</t>
        </is>
      </c>
    </row>
    <row r="462">
      <c r="A462" s="3" t="n">
        <v>2023</v>
      </c>
      <c r="B462" s="4" t="n">
        <v>24</v>
      </c>
      <c r="C462" s="4" t="n">
        <v>2</v>
      </c>
      <c r="D462" s="4" t="n">
        <v>0.605</v>
      </c>
      <c r="E462" s="5" t="n">
        <v>39.7</v>
      </c>
      <c r="F462" s="3" t="inlineStr">
        <is>
          <t>강내면</t>
        </is>
      </c>
      <c r="G462" s="3" t="inlineStr">
        <is>
          <t>태성리</t>
        </is>
      </c>
      <c r="H462" s="3" t="inlineStr">
        <is>
          <t>계획관리지역</t>
        </is>
      </c>
      <c r="I462" s="3" t="inlineStr">
        <is>
          <t>도로</t>
        </is>
      </c>
      <c r="J462" s="3" t="inlineStr">
        <is>
          <t>강내면</t>
        </is>
      </c>
    </row>
    <row r="463">
      <c r="A463" s="3" t="n">
        <v>2023</v>
      </c>
      <c r="B463" s="4" t="n">
        <v>668</v>
      </c>
      <c r="C463" s="4" t="n">
        <v>55</v>
      </c>
      <c r="D463" s="4" t="n">
        <v>16.6375</v>
      </c>
      <c r="E463" s="5" t="n">
        <v>40.2</v>
      </c>
      <c r="F463" s="3" t="inlineStr">
        <is>
          <t>강내면</t>
        </is>
      </c>
      <c r="G463" s="3" t="inlineStr">
        <is>
          <t>태성리</t>
        </is>
      </c>
      <c r="H463" s="3" t="inlineStr">
        <is>
          <t>계획관리지역</t>
        </is>
      </c>
      <c r="I463" s="3" t="inlineStr">
        <is>
          <t>도로</t>
        </is>
      </c>
      <c r="J463" s="3" t="inlineStr">
        <is>
          <t>강내면</t>
        </is>
      </c>
    </row>
    <row r="464">
      <c r="A464" s="3" t="n">
        <v>2023</v>
      </c>
      <c r="B464" s="4" t="n">
        <v>98623</v>
      </c>
      <c r="C464" s="4" t="n">
        <v>816</v>
      </c>
      <c r="D464" s="4" t="n">
        <v>246.84</v>
      </c>
      <c r="E464" s="5" t="n">
        <v>399.5</v>
      </c>
      <c r="F464" s="3" t="inlineStr">
        <is>
          <t>오송읍</t>
        </is>
      </c>
      <c r="G464" s="3" t="inlineStr">
        <is>
          <t>오송리</t>
        </is>
      </c>
      <c r="H464" s="3" t="inlineStr">
        <is>
          <t>농림지역</t>
        </is>
      </c>
      <c r="I464" s="3" t="inlineStr">
        <is>
          <t>답</t>
        </is>
      </c>
      <c r="J464" s="3" t="inlineStr">
        <is>
          <t>오송읍</t>
        </is>
      </c>
    </row>
    <row r="465">
      <c r="A465" s="3" t="n">
        <v>2023</v>
      </c>
      <c r="B465" s="4" t="n">
        <v>131377</v>
      </c>
      <c r="C465" s="4" t="n">
        <v>1087</v>
      </c>
      <c r="D465" s="4" t="n">
        <v>328.8175</v>
      </c>
      <c r="E465" s="5" t="n">
        <v>399.5</v>
      </c>
      <c r="F465" s="3" t="inlineStr">
        <is>
          <t>오송읍</t>
        </is>
      </c>
      <c r="G465" s="3" t="inlineStr">
        <is>
          <t>오송리</t>
        </is>
      </c>
      <c r="H465" s="3" t="inlineStr">
        <is>
          <t>농림지역</t>
        </is>
      </c>
      <c r="I465" s="3" t="inlineStr">
        <is>
          <t>답</t>
        </is>
      </c>
      <c r="J465" s="3" t="inlineStr">
        <is>
          <t>오송읍</t>
        </is>
      </c>
    </row>
    <row r="466">
      <c r="A466" s="3" t="n">
        <v>2023</v>
      </c>
      <c r="B466" s="4" t="n">
        <v>1800</v>
      </c>
      <c r="C466" s="4" t="n">
        <v>181</v>
      </c>
      <c r="D466" s="4" t="n">
        <v>54.7525</v>
      </c>
      <c r="E466" s="5" t="n">
        <v>32.9</v>
      </c>
      <c r="F466" s="3" t="inlineStr">
        <is>
          <t>오송읍</t>
        </is>
      </c>
      <c r="G466" s="3" t="inlineStr">
        <is>
          <t>상봉리</t>
        </is>
      </c>
      <c r="H466" s="3" t="inlineStr">
        <is>
          <t>생산관리지역</t>
        </is>
      </c>
      <c r="I466" s="3" t="inlineStr">
        <is>
          <t>답</t>
        </is>
      </c>
      <c r="J466" s="3" t="inlineStr">
        <is>
          <t>오송읍</t>
        </is>
      </c>
    </row>
    <row r="467">
      <c r="A467" s="3" t="n">
        <v>2023</v>
      </c>
      <c r="B467" s="4" t="n">
        <v>4200</v>
      </c>
      <c r="C467" s="4" t="n">
        <v>498</v>
      </c>
      <c r="D467" s="4" t="n">
        <v>150.645</v>
      </c>
      <c r="E467" s="5" t="n">
        <v>27.9</v>
      </c>
      <c r="F467" s="3" t="inlineStr">
        <is>
          <t>오송읍</t>
        </is>
      </c>
      <c r="G467" s="3" t="inlineStr">
        <is>
          <t>상봉리</t>
        </is>
      </c>
      <c r="H467" s="3" t="inlineStr">
        <is>
          <t>생산관리지역</t>
        </is>
      </c>
      <c r="I467" s="3" t="inlineStr">
        <is>
          <t>답</t>
        </is>
      </c>
      <c r="J467" s="3" t="inlineStr">
        <is>
          <t>오송읍</t>
        </is>
      </c>
    </row>
    <row r="468">
      <c r="A468" s="3" t="n">
        <v>2025</v>
      </c>
      <c r="B468" s="4" t="n">
        <v>52500</v>
      </c>
      <c r="C468" s="4" t="n">
        <v>1653</v>
      </c>
      <c r="D468" s="4" t="n">
        <v>500.0325</v>
      </c>
      <c r="E468" s="5" t="n">
        <v>105</v>
      </c>
      <c r="F468" s="3" t="inlineStr">
        <is>
          <t>남이면</t>
        </is>
      </c>
      <c r="G468" s="3" t="inlineStr">
        <is>
          <t>상발리</t>
        </is>
      </c>
      <c r="H468" s="3" t="inlineStr">
        <is>
          <t>자연녹지지역</t>
        </is>
      </c>
      <c r="I468" s="3" t="inlineStr">
        <is>
          <t>전</t>
        </is>
      </c>
      <c r="J468" s="3" t="inlineStr">
        <is>
          <t>남이면</t>
        </is>
      </c>
    </row>
    <row r="469">
      <c r="A469" s="3" t="n">
        <v>2025</v>
      </c>
      <c r="B469" s="4" t="n">
        <v>300</v>
      </c>
      <c r="C469" s="4" t="n">
        <v>51</v>
      </c>
      <c r="D469" s="4" t="n">
        <v>15.4275</v>
      </c>
      <c r="E469" s="5" t="n">
        <v>19.4</v>
      </c>
      <c r="F469" s="3" t="inlineStr">
        <is>
          <t>남이면</t>
        </is>
      </c>
      <c r="G469" s="3" t="inlineStr">
        <is>
          <t>가좌리</t>
        </is>
      </c>
      <c r="H469" s="3" t="inlineStr">
        <is>
          <t>자연녹지지역</t>
        </is>
      </c>
      <c r="I469" s="3" t="inlineStr">
        <is>
          <t>도로</t>
        </is>
      </c>
      <c r="J469" s="3" t="inlineStr">
        <is>
          <t>남이면</t>
        </is>
      </c>
    </row>
    <row r="470">
      <c r="A470" s="3" t="n">
        <v>2025</v>
      </c>
      <c r="B470" s="4" t="n">
        <v>20000</v>
      </c>
      <c r="C470" s="4" t="n">
        <v>1920</v>
      </c>
      <c r="D470" s="4" t="n">
        <v>580.8</v>
      </c>
      <c r="E470" s="5" t="n">
        <v>34.4</v>
      </c>
      <c r="F470" s="3" t="inlineStr">
        <is>
          <t>남이면</t>
        </is>
      </c>
      <c r="G470" s="3" t="inlineStr">
        <is>
          <t>수대리</t>
        </is>
      </c>
      <c r="H470" s="3" t="inlineStr">
        <is>
          <t>자연녹지지역</t>
        </is>
      </c>
      <c r="I470" s="3" t="inlineStr">
        <is>
          <t>대</t>
        </is>
      </c>
      <c r="J470" s="3" t="inlineStr">
        <is>
          <t>남이면</t>
        </is>
      </c>
    </row>
    <row r="471">
      <c r="A471" s="3" t="n">
        <v>2025</v>
      </c>
      <c r="B471" s="4" t="n">
        <v>60000</v>
      </c>
      <c r="C471" s="4" t="n">
        <v>1920</v>
      </c>
      <c r="D471" s="4" t="n">
        <v>580.8</v>
      </c>
      <c r="E471" s="5" t="n">
        <v>103.3</v>
      </c>
      <c r="F471" s="3" t="inlineStr">
        <is>
          <t>남이면</t>
        </is>
      </c>
      <c r="G471" s="3" t="inlineStr">
        <is>
          <t>수대리</t>
        </is>
      </c>
      <c r="H471" s="3" t="inlineStr">
        <is>
          <t>자연녹지지역</t>
        </is>
      </c>
      <c r="I471" s="3" t="inlineStr">
        <is>
          <t>대</t>
        </is>
      </c>
      <c r="J471" s="3" t="inlineStr">
        <is>
          <t>남이면</t>
        </is>
      </c>
    </row>
    <row r="472">
      <c r="A472" s="3" t="n">
        <v>2026</v>
      </c>
      <c r="B472" s="4" t="n">
        <v>36000</v>
      </c>
      <c r="C472" s="4" t="n">
        <v>268.1</v>
      </c>
      <c r="D472" s="4" t="n">
        <v>81.10025</v>
      </c>
      <c r="E472" s="5" t="n">
        <v>443.9</v>
      </c>
      <c r="F472" s="3" t="inlineStr">
        <is>
          <t>오송읍</t>
        </is>
      </c>
      <c r="G472" s="3" t="inlineStr">
        <is>
          <t>봉산리</t>
        </is>
      </c>
      <c r="H472" s="3" t="inlineStr">
        <is>
          <t>제1종일반주거지역</t>
        </is>
      </c>
      <c r="I472" s="3" t="inlineStr">
        <is>
          <t>대</t>
        </is>
      </c>
      <c r="J472" s="3" t="inlineStr">
        <is>
          <t>오송읍</t>
        </is>
      </c>
    </row>
    <row r="473">
      <c r="A473" s="3" t="n">
        <v>2026</v>
      </c>
      <c r="B473" s="4" t="n">
        <v>4550</v>
      </c>
      <c r="C473" s="4" t="n">
        <v>301</v>
      </c>
      <c r="D473" s="4" t="n">
        <v>91.05249999999999</v>
      </c>
      <c r="E473" s="5" t="n">
        <v>50</v>
      </c>
      <c r="F473" s="3" t="inlineStr">
        <is>
          <t>오송읍</t>
        </is>
      </c>
      <c r="G473" s="3" t="inlineStr">
        <is>
          <t>상봉리</t>
        </is>
      </c>
      <c r="H473" s="3" t="inlineStr">
        <is>
          <t>계획관리지역</t>
        </is>
      </c>
      <c r="I473" s="3" t="inlineStr">
        <is>
          <t>대</t>
        </is>
      </c>
      <c r="J473" s="3" t="inlineStr">
        <is>
          <t>오송읍</t>
        </is>
      </c>
    </row>
    <row r="474">
      <c r="A474" s="3" t="n">
        <v>2026</v>
      </c>
      <c r="B474" s="4" t="n">
        <v>63600</v>
      </c>
      <c r="C474" s="4" t="n">
        <v>2802</v>
      </c>
      <c r="D474" s="4" t="n">
        <v>847.605</v>
      </c>
      <c r="E474" s="5" t="n">
        <v>75</v>
      </c>
      <c r="F474" s="3" t="inlineStr">
        <is>
          <t>오송읍</t>
        </is>
      </c>
      <c r="G474" s="3" t="inlineStr">
        <is>
          <t>서평리</t>
        </is>
      </c>
      <c r="H474" s="3" t="inlineStr">
        <is>
          <t>생산관리지역</t>
        </is>
      </c>
      <c r="I474" s="3" t="inlineStr">
        <is>
          <t>전</t>
        </is>
      </c>
      <c r="J474" s="3" t="inlineStr">
        <is>
          <t>오송읍</t>
        </is>
      </c>
    </row>
    <row r="475">
      <c r="A475" s="3" t="n">
        <v>2026</v>
      </c>
      <c r="B475" s="4" t="n">
        <v>5650</v>
      </c>
      <c r="C475" s="4" t="n">
        <v>669</v>
      </c>
      <c r="D475" s="4" t="n">
        <v>202.3725</v>
      </c>
      <c r="E475" s="5" t="n">
        <v>27.9</v>
      </c>
      <c r="F475" s="3" t="inlineStr">
        <is>
          <t>강내면</t>
        </is>
      </c>
      <c r="G475" s="3" t="inlineStr">
        <is>
          <t>학천리</t>
        </is>
      </c>
      <c r="H475" s="3" t="inlineStr">
        <is>
          <t>생산녹지지역</t>
        </is>
      </c>
      <c r="I475" s="3" t="inlineStr">
        <is>
          <t>답</t>
        </is>
      </c>
      <c r="J475" s="3" t="inlineStr">
        <is>
          <t>강내면</t>
        </is>
      </c>
    </row>
    <row r="476">
      <c r="A476" s="3" t="n">
        <v>2026</v>
      </c>
      <c r="B476" s="4" t="n">
        <v>6469</v>
      </c>
      <c r="C476" s="4" t="n">
        <v>652</v>
      </c>
      <c r="D476" s="4" t="n">
        <v>197.23</v>
      </c>
      <c r="E476" s="5" t="n">
        <v>32.8</v>
      </c>
      <c r="F476" s="3" t="inlineStr">
        <is>
          <t>부강면</t>
        </is>
      </c>
      <c r="G476" s="3" t="inlineStr">
        <is>
          <t>문곡리</t>
        </is>
      </c>
      <c r="H476" s="3" t="inlineStr">
        <is>
          <t>계획관리지역</t>
        </is>
      </c>
      <c r="I476" s="3" t="inlineStr">
        <is>
          <t>전</t>
        </is>
      </c>
      <c r="J476" s="3" t="inlineStr">
        <is>
          <t>부강면</t>
        </is>
      </c>
    </row>
    <row r="477">
      <c r="A477" s="3" t="n">
        <v>2024</v>
      </c>
      <c r="B477" s="4" t="n">
        <v>11000</v>
      </c>
      <c r="C477" s="4" t="n">
        <v>106</v>
      </c>
      <c r="D477" s="4" t="n">
        <v>32.065</v>
      </c>
      <c r="E477" s="5" t="n">
        <v>343.1</v>
      </c>
      <c r="F477" s="3" t="inlineStr">
        <is>
          <t>조치원읍</t>
        </is>
      </c>
      <c r="G477" s="3" t="inlineStr">
        <is>
          <t>서창리</t>
        </is>
      </c>
      <c r="H477" s="3" t="inlineStr">
        <is>
          <t>제2종일반주거지역</t>
        </is>
      </c>
      <c r="I477" s="3" t="inlineStr">
        <is>
          <t>대</t>
        </is>
      </c>
      <c r="J477" s="3" t="inlineStr">
        <is>
          <t>조치원읍</t>
        </is>
      </c>
    </row>
    <row r="478">
      <c r="A478" s="3" t="n">
        <v>2024</v>
      </c>
      <c r="B478" s="4" t="n">
        <v>17000</v>
      </c>
      <c r="C478" s="4" t="n">
        <v>2895</v>
      </c>
      <c r="D478" s="4" t="n">
        <v>875.7375</v>
      </c>
      <c r="E478" s="5" t="n">
        <v>19.4</v>
      </c>
      <c r="F478" s="3" t="inlineStr">
        <is>
          <t>부강면</t>
        </is>
      </c>
      <c r="G478" s="3" t="inlineStr">
        <is>
          <t>산수리</t>
        </is>
      </c>
      <c r="H478" s="3" t="inlineStr">
        <is>
          <t>농림지역</t>
        </is>
      </c>
      <c r="I478" s="3" t="inlineStr">
        <is>
          <t>답</t>
        </is>
      </c>
      <c r="J478" s="3" t="inlineStr">
        <is>
          <t>부강면</t>
        </is>
      </c>
    </row>
    <row r="479">
      <c r="A479" s="3" t="n">
        <v>2024</v>
      </c>
      <c r="B479" s="4" t="n">
        <v>5524</v>
      </c>
      <c r="C479" s="4" t="n">
        <v>91</v>
      </c>
      <c r="D479" s="4" t="n">
        <v>27.5275</v>
      </c>
      <c r="E479" s="5" t="n">
        <v>200.7</v>
      </c>
      <c r="F479" s="3" t="inlineStr">
        <is>
          <t>조치원읍</t>
        </is>
      </c>
      <c r="G479" s="3" t="inlineStr">
        <is>
          <t>신안리</t>
        </is>
      </c>
      <c r="H479" s="3" t="inlineStr">
        <is>
          <t>자연녹지지역</t>
        </is>
      </c>
      <c r="I479" s="3" t="inlineStr">
        <is>
          <t>구거</t>
        </is>
      </c>
      <c r="J479" s="3" t="inlineStr">
        <is>
          <t>조치원읍</t>
        </is>
      </c>
    </row>
    <row r="480">
      <c r="A480" s="3" t="n">
        <v>2024</v>
      </c>
      <c r="B480" s="4" t="n">
        <v>78000</v>
      </c>
      <c r="C480" s="4" t="n">
        <v>713</v>
      </c>
      <c r="D480" s="4" t="n">
        <v>215.6825</v>
      </c>
      <c r="E480" s="5" t="n">
        <v>361.6</v>
      </c>
      <c r="F480" s="3" t="inlineStr">
        <is>
          <t>부강면</t>
        </is>
      </c>
      <c r="G480" s="3" t="inlineStr">
        <is>
          <t>부강리</t>
        </is>
      </c>
      <c r="H480" s="3" t="inlineStr">
        <is>
          <t>생산녹지지역</t>
        </is>
      </c>
      <c r="I480" s="3" t="inlineStr">
        <is>
          <t>답</t>
        </is>
      </c>
      <c r="J480" s="3" t="inlineStr">
        <is>
          <t>부강면</t>
        </is>
      </c>
    </row>
    <row r="481">
      <c r="A481" s="3" t="n">
        <v>2024</v>
      </c>
      <c r="B481" s="4" t="n">
        <v>5000</v>
      </c>
      <c r="C481" s="4" t="n">
        <v>55</v>
      </c>
      <c r="D481" s="4" t="n">
        <v>16.6375</v>
      </c>
      <c r="E481" s="5" t="n">
        <v>300.5</v>
      </c>
      <c r="F481" s="3" t="inlineStr">
        <is>
          <t>부강면</t>
        </is>
      </c>
      <c r="G481" s="3" t="inlineStr">
        <is>
          <t>부강리</t>
        </is>
      </c>
      <c r="H481" s="3" t="inlineStr">
        <is>
          <t>생산녹지지역</t>
        </is>
      </c>
      <c r="I481" s="3" t="inlineStr">
        <is>
          <t>전</t>
        </is>
      </c>
      <c r="J481" s="3" t="inlineStr">
        <is>
          <t>부강면</t>
        </is>
      </c>
    </row>
    <row r="482">
      <c r="A482" s="3" t="n">
        <v>2024</v>
      </c>
      <c r="B482" s="4" t="n">
        <v>500</v>
      </c>
      <c r="C482" s="4" t="n">
        <v>23</v>
      </c>
      <c r="D482" s="4" t="n">
        <v>6.9575</v>
      </c>
      <c r="E482" s="5" t="n">
        <v>71.90000000000001</v>
      </c>
      <c r="F482" s="3" t="inlineStr">
        <is>
          <t>연서면</t>
        </is>
      </c>
      <c r="G482" s="3" t="inlineStr">
        <is>
          <t>부동리</t>
        </is>
      </c>
      <c r="H482" s="3" t="inlineStr">
        <is>
          <t>계획관리지역</t>
        </is>
      </c>
      <c r="I482" s="3" t="inlineStr">
        <is>
          <t>대</t>
        </is>
      </c>
      <c r="J482" s="3" t="inlineStr">
        <is>
          <t>연서면</t>
        </is>
      </c>
    </row>
    <row r="483">
      <c r="A483" s="3" t="n">
        <v>2022</v>
      </c>
      <c r="B483" s="4" t="n">
        <v>164476</v>
      </c>
      <c r="C483" s="4" t="n">
        <v>10456</v>
      </c>
      <c r="D483" s="4" t="n">
        <v>3162.94</v>
      </c>
      <c r="E483" s="5" t="n">
        <v>52</v>
      </c>
      <c r="F483" s="3" t="inlineStr">
        <is>
          <t>연동면</t>
        </is>
      </c>
      <c r="G483" s="3" t="inlineStr">
        <is>
          <t>응암리</t>
        </is>
      </c>
      <c r="H483" s="3" t="inlineStr">
        <is>
          <t>계획관리지역</t>
        </is>
      </c>
      <c r="I483" s="3" t="inlineStr">
        <is>
          <t>임야</t>
        </is>
      </c>
      <c r="J483" s="3" t="inlineStr">
        <is>
          <t>연동면</t>
        </is>
      </c>
    </row>
    <row r="484">
      <c r="A484" s="3" t="n">
        <v>2022</v>
      </c>
      <c r="B484" s="4" t="n">
        <v>20700</v>
      </c>
      <c r="C484" s="4" t="n">
        <v>761</v>
      </c>
      <c r="D484" s="4" t="n">
        <v>230.2025</v>
      </c>
      <c r="E484" s="5" t="n">
        <v>89.90000000000001</v>
      </c>
      <c r="F484" s="3" t="inlineStr">
        <is>
          <t>연서면</t>
        </is>
      </c>
      <c r="G484" s="3" t="inlineStr">
        <is>
          <t>고복리</t>
        </is>
      </c>
      <c r="H484" s="3" t="inlineStr">
        <is>
          <t>보전관리지역</t>
        </is>
      </c>
      <c r="I484" s="3" t="inlineStr">
        <is>
          <t>전</t>
        </is>
      </c>
      <c r="J484" s="3" t="inlineStr">
        <is>
          <t>연서면</t>
        </is>
      </c>
    </row>
    <row r="485">
      <c r="A485" s="3" t="n">
        <v>2022</v>
      </c>
      <c r="B485" s="4" t="n">
        <v>44220</v>
      </c>
      <c r="C485" s="4" t="n">
        <v>442</v>
      </c>
      <c r="D485" s="4" t="n">
        <v>133.705</v>
      </c>
      <c r="E485" s="5" t="n">
        <v>330.7</v>
      </c>
      <c r="F485" s="3" t="inlineStr">
        <is>
          <t>연서면</t>
        </is>
      </c>
      <c r="G485" s="3" t="inlineStr">
        <is>
          <t>월하리</t>
        </is>
      </c>
      <c r="H485" s="3" t="inlineStr">
        <is>
          <t>자연녹지지역</t>
        </is>
      </c>
      <c r="I485" s="3" t="inlineStr">
        <is>
          <t>전</t>
        </is>
      </c>
      <c r="J485" s="3" t="inlineStr">
        <is>
          <t>연서면</t>
        </is>
      </c>
    </row>
    <row r="486">
      <c r="A486" s="3" t="n">
        <v>2022</v>
      </c>
      <c r="B486" s="4" t="n">
        <v>1260</v>
      </c>
      <c r="C486" s="4" t="n">
        <v>21</v>
      </c>
      <c r="D486" s="4" t="n">
        <v>6.3525</v>
      </c>
      <c r="E486" s="5" t="n">
        <v>198.3</v>
      </c>
      <c r="F486" s="3" t="inlineStr">
        <is>
          <t>부강면</t>
        </is>
      </c>
      <c r="G486" s="3" t="inlineStr">
        <is>
          <t>부강리</t>
        </is>
      </c>
      <c r="H486" s="3" t="inlineStr">
        <is>
          <t>제2종일반주거지역</t>
        </is>
      </c>
      <c r="I486" s="3" t="inlineStr">
        <is>
          <t>전</t>
        </is>
      </c>
      <c r="J486" s="3" t="inlineStr">
        <is>
          <t>부강면</t>
        </is>
      </c>
    </row>
    <row r="487">
      <c r="A487" s="3" t="n">
        <v>2023</v>
      </c>
      <c r="B487" s="4" t="n">
        <v>2050</v>
      </c>
      <c r="C487" s="4" t="n">
        <v>55</v>
      </c>
      <c r="D487" s="4" t="n">
        <v>16.6375</v>
      </c>
      <c r="E487" s="5" t="n">
        <v>123.2</v>
      </c>
      <c r="F487" s="3" t="inlineStr">
        <is>
          <t>부강면</t>
        </is>
      </c>
      <c r="G487" s="3" t="inlineStr">
        <is>
          <t>부강리</t>
        </is>
      </c>
      <c r="H487" s="3" t="inlineStr">
        <is>
          <t>계획관리지역</t>
        </is>
      </c>
      <c r="I487" s="3" t="inlineStr">
        <is>
          <t>전</t>
        </is>
      </c>
      <c r="J487" s="3" t="inlineStr">
        <is>
          <t>부강면</t>
        </is>
      </c>
    </row>
    <row r="488">
      <c r="A488" s="3" t="n">
        <v>2023</v>
      </c>
      <c r="B488" s="4" t="n">
        <v>41824</v>
      </c>
      <c r="C488" s="4" t="n">
        <v>289</v>
      </c>
      <c r="D488" s="4" t="n">
        <v>87.4225</v>
      </c>
      <c r="E488" s="5" t="n">
        <v>478.4</v>
      </c>
      <c r="F488" s="3" t="inlineStr">
        <is>
          <t>연동면</t>
        </is>
      </c>
      <c r="G488" s="3" t="inlineStr">
        <is>
          <t>명학리</t>
        </is>
      </c>
      <c r="H488" s="3" t="inlineStr">
        <is>
          <t>계획관리지역</t>
        </is>
      </c>
      <c r="I488" s="3" t="inlineStr">
        <is>
          <t>잡종지</t>
        </is>
      </c>
      <c r="J488" s="3" t="inlineStr">
        <is>
          <t>연동면</t>
        </is>
      </c>
    </row>
    <row r="489">
      <c r="A489" s="3" t="n">
        <v>2023</v>
      </c>
      <c r="B489" s="4" t="n">
        <v>45876</v>
      </c>
      <c r="C489" s="4" t="n">
        <v>317</v>
      </c>
      <c r="D489" s="4" t="n">
        <v>95.8925</v>
      </c>
      <c r="E489" s="5" t="n">
        <v>478.4</v>
      </c>
      <c r="F489" s="3" t="inlineStr">
        <is>
          <t>연동면</t>
        </is>
      </c>
      <c r="G489" s="3" t="inlineStr">
        <is>
          <t>명학리</t>
        </is>
      </c>
      <c r="H489" s="3" t="inlineStr">
        <is>
          <t>계획관리지역</t>
        </is>
      </c>
      <c r="I489" s="3" t="inlineStr">
        <is>
          <t>잡종지</t>
        </is>
      </c>
      <c r="J489" s="3" t="inlineStr">
        <is>
          <t>연동면</t>
        </is>
      </c>
    </row>
    <row r="490">
      <c r="A490" s="3" t="n">
        <v>2023</v>
      </c>
      <c r="B490" s="4" t="n">
        <v>16000</v>
      </c>
      <c r="C490" s="4" t="n">
        <v>258</v>
      </c>
      <c r="D490" s="4" t="n">
        <v>78.045</v>
      </c>
      <c r="E490" s="5" t="n">
        <v>205</v>
      </c>
      <c r="F490" s="3" t="inlineStr">
        <is>
          <t>연동면</t>
        </is>
      </c>
      <c r="G490" s="3" t="inlineStr">
        <is>
          <t>명학리</t>
        </is>
      </c>
      <c r="H490" s="3" t="inlineStr">
        <is>
          <t>계획관리지역</t>
        </is>
      </c>
      <c r="I490" s="3" t="inlineStr">
        <is>
          <t>전</t>
        </is>
      </c>
      <c r="J490" s="3" t="inlineStr">
        <is>
          <t>연동면</t>
        </is>
      </c>
    </row>
    <row r="491">
      <c r="A491" s="3" t="n">
        <v>2023</v>
      </c>
      <c r="B491" s="4" t="n">
        <v>53455</v>
      </c>
      <c r="C491" s="4" t="n">
        <v>447</v>
      </c>
      <c r="D491" s="4" t="n">
        <v>135.2175</v>
      </c>
      <c r="E491" s="5" t="n">
        <v>395.3</v>
      </c>
      <c r="F491" s="3" t="inlineStr">
        <is>
          <t>연동면</t>
        </is>
      </c>
      <c r="G491" s="3" t="inlineStr">
        <is>
          <t>명학리</t>
        </is>
      </c>
      <c r="H491" s="3" t="inlineStr">
        <is>
          <t>계획관리지역</t>
        </is>
      </c>
      <c r="I491" s="3" t="inlineStr">
        <is>
          <t>잡종지</t>
        </is>
      </c>
      <c r="J491" s="3" t="inlineStr">
        <is>
          <t>연동면</t>
        </is>
      </c>
    </row>
    <row r="492">
      <c r="A492" s="3" t="n">
        <v>2023</v>
      </c>
      <c r="B492" s="4" t="n">
        <v>1913</v>
      </c>
      <c r="C492" s="4" t="n">
        <v>16</v>
      </c>
      <c r="D492" s="4" t="n">
        <v>4.84</v>
      </c>
      <c r="E492" s="5" t="n">
        <v>395.2</v>
      </c>
      <c r="F492" s="3" t="inlineStr">
        <is>
          <t>연동면</t>
        </is>
      </c>
      <c r="G492" s="3" t="inlineStr">
        <is>
          <t>명학리</t>
        </is>
      </c>
      <c r="H492" s="3" t="inlineStr">
        <is>
          <t>계획관리지역</t>
        </is>
      </c>
      <c r="I492" s="3" t="inlineStr">
        <is>
          <t>대</t>
        </is>
      </c>
      <c r="J492" s="3" t="inlineStr">
        <is>
          <t>연동면</t>
        </is>
      </c>
    </row>
    <row r="493">
      <c r="A493" s="3" t="n">
        <v>2023</v>
      </c>
      <c r="B493" s="4" t="n">
        <v>11610</v>
      </c>
      <c r="C493" s="4" t="n">
        <v>768</v>
      </c>
      <c r="D493" s="4" t="n">
        <v>232.32</v>
      </c>
      <c r="E493" s="5" t="n">
        <v>50</v>
      </c>
      <c r="F493" s="3" t="inlineStr">
        <is>
          <t>조치원읍</t>
        </is>
      </c>
      <c r="G493" s="3" t="inlineStr">
        <is>
          <t>신안리</t>
        </is>
      </c>
      <c r="H493" s="3" t="inlineStr">
        <is>
          <t>생산녹지지역</t>
        </is>
      </c>
      <c r="I493" s="3" t="inlineStr">
        <is>
          <t>답</t>
        </is>
      </c>
      <c r="J493" s="3" t="inlineStr">
        <is>
          <t>조치원읍</t>
        </is>
      </c>
    </row>
    <row r="494">
      <c r="A494" s="3" t="n">
        <v>2023</v>
      </c>
      <c r="B494" s="4" t="n">
        <v>28840</v>
      </c>
      <c r="C494" s="4" t="n">
        <v>1907</v>
      </c>
      <c r="D494" s="4" t="n">
        <v>576.8674999999999</v>
      </c>
      <c r="E494" s="5" t="n">
        <v>50</v>
      </c>
      <c r="F494" s="3" t="inlineStr">
        <is>
          <t>조치원읍</t>
        </is>
      </c>
      <c r="G494" s="3" t="inlineStr">
        <is>
          <t>신안리</t>
        </is>
      </c>
      <c r="H494" s="3" t="inlineStr">
        <is>
          <t>생산녹지지역</t>
        </is>
      </c>
      <c r="I494" s="3" t="inlineStr">
        <is>
          <t>답</t>
        </is>
      </c>
      <c r="J494" s="3" t="inlineStr">
        <is>
          <t>조치원읍</t>
        </is>
      </c>
    </row>
    <row r="495">
      <c r="A495" s="3" t="n">
        <v>2023</v>
      </c>
      <c r="B495" s="4" t="n">
        <v>4700</v>
      </c>
      <c r="C495" s="4" t="n">
        <v>221</v>
      </c>
      <c r="D495" s="4" t="n">
        <v>66.85249999999999</v>
      </c>
      <c r="E495" s="5" t="n">
        <v>70.3</v>
      </c>
      <c r="F495" s="3" t="inlineStr">
        <is>
          <t>부강면</t>
        </is>
      </c>
      <c r="G495" s="3" t="inlineStr">
        <is>
          <t>문곡리</t>
        </is>
      </c>
      <c r="H495" s="3" t="inlineStr">
        <is>
          <t>계획관리지역</t>
        </is>
      </c>
      <c r="I495" s="3" t="inlineStr">
        <is>
          <t>전</t>
        </is>
      </c>
      <c r="J495" s="3" t="inlineStr">
        <is>
          <t>부강면</t>
        </is>
      </c>
    </row>
    <row r="496">
      <c r="A496" s="3" t="n">
        <v>2025</v>
      </c>
      <c r="B496" s="4" t="n">
        <v>9700</v>
      </c>
      <c r="C496" s="4" t="n">
        <v>510</v>
      </c>
      <c r="D496" s="4" t="n">
        <v>154.275</v>
      </c>
      <c r="E496" s="5" t="n">
        <v>62.9</v>
      </c>
      <c r="F496" s="3" t="inlineStr">
        <is>
          <t>부강면</t>
        </is>
      </c>
      <c r="G496" s="3" t="inlineStr">
        <is>
          <t>부강리</t>
        </is>
      </c>
      <c r="H496" s="3" t="inlineStr">
        <is>
          <t>자연녹지지역</t>
        </is>
      </c>
      <c r="I496" s="3" t="inlineStr">
        <is>
          <t>전</t>
        </is>
      </c>
      <c r="J496" s="3" t="inlineStr">
        <is>
          <t>부강면</t>
        </is>
      </c>
    </row>
    <row r="497">
      <c r="A497" s="3" t="n">
        <v>2025</v>
      </c>
      <c r="B497" s="4" t="n">
        <v>5080</v>
      </c>
      <c r="C497" s="4" t="n">
        <v>24</v>
      </c>
      <c r="D497" s="4" t="n">
        <v>7.26</v>
      </c>
      <c r="E497" s="5" t="n">
        <v>699.7</v>
      </c>
      <c r="F497" s="3" t="inlineStr">
        <is>
          <t>부강면</t>
        </is>
      </c>
      <c r="G497" s="3" t="inlineStr">
        <is>
          <t>부강리</t>
        </is>
      </c>
      <c r="H497" s="3" t="inlineStr">
        <is>
          <t>제2종일반주거지역</t>
        </is>
      </c>
      <c r="I497" s="3" t="inlineStr">
        <is>
          <t>대</t>
        </is>
      </c>
      <c r="J497" s="3" t="inlineStr">
        <is>
          <t>부강면</t>
        </is>
      </c>
    </row>
    <row r="498">
      <c r="A498" s="3" t="n">
        <v>2025</v>
      </c>
      <c r="B498" s="4" t="n">
        <v>4020</v>
      </c>
      <c r="C498" s="4" t="n">
        <v>19</v>
      </c>
      <c r="D498" s="4" t="n">
        <v>5.7475</v>
      </c>
      <c r="E498" s="5" t="n">
        <v>699.4</v>
      </c>
      <c r="F498" s="3" t="inlineStr">
        <is>
          <t>부강면</t>
        </is>
      </c>
      <c r="G498" s="3" t="inlineStr">
        <is>
          <t>부강리</t>
        </is>
      </c>
      <c r="H498" s="3" t="inlineStr">
        <is>
          <t>제2종일반주거지역</t>
        </is>
      </c>
      <c r="I498" s="3" t="inlineStr">
        <is>
          <t>대</t>
        </is>
      </c>
      <c r="J498" s="3" t="inlineStr">
        <is>
          <t>부강면</t>
        </is>
      </c>
    </row>
    <row r="499">
      <c r="A499" s="3" t="n">
        <v>2025</v>
      </c>
      <c r="B499" s="4" t="n">
        <v>850</v>
      </c>
      <c r="C499" s="4" t="n">
        <v>248</v>
      </c>
      <c r="D499" s="4" t="n">
        <v>75.02</v>
      </c>
      <c r="E499" s="5" t="n">
        <v>11.3</v>
      </c>
      <c r="F499" s="3" t="inlineStr">
        <is>
          <t>연서면</t>
        </is>
      </c>
      <c r="G499" s="3" t="inlineStr">
        <is>
          <t>기룡리</t>
        </is>
      </c>
      <c r="H499" s="3" t="inlineStr">
        <is>
          <t>보전관리지역</t>
        </is>
      </c>
      <c r="I499" s="3" t="inlineStr">
        <is>
          <t>과수원</t>
        </is>
      </c>
      <c r="J499" s="3" t="inlineStr">
        <is>
          <t>연서면</t>
        </is>
      </c>
    </row>
    <row r="500">
      <c r="A500" s="3" t="n">
        <v>2025</v>
      </c>
      <c r="B500" s="4" t="n">
        <v>37590</v>
      </c>
      <c r="C500" s="4" t="n">
        <v>1775</v>
      </c>
      <c r="D500" s="4" t="n">
        <v>536.9375</v>
      </c>
      <c r="E500" s="5" t="n">
        <v>70</v>
      </c>
      <c r="F500" s="3" t="inlineStr">
        <is>
          <t>부강면</t>
        </is>
      </c>
      <c r="G500" s="3" t="inlineStr">
        <is>
          <t>문곡리</t>
        </is>
      </c>
      <c r="H500" s="3" t="inlineStr">
        <is>
          <t>계획관리지역</t>
        </is>
      </c>
      <c r="I500" s="3" t="inlineStr">
        <is>
          <t>전</t>
        </is>
      </c>
      <c r="J500" s="3" t="inlineStr">
        <is>
          <t>부강면</t>
        </is>
      </c>
    </row>
    <row r="501">
      <c r="A501" s="3" t="n">
        <v>2024</v>
      </c>
      <c r="B501" s="4" t="n">
        <v>186828</v>
      </c>
      <c r="C501" s="4" t="n">
        <v>2141</v>
      </c>
      <c r="D501" s="4" t="n">
        <v>647.6525</v>
      </c>
      <c r="E501" s="5" t="n">
        <v>288.5</v>
      </c>
      <c r="F501" s="3" t="inlineStr">
        <is>
          <t>조치원읍</t>
        </is>
      </c>
      <c r="G501" s="3" t="inlineStr">
        <is>
          <t>신안리</t>
        </is>
      </c>
      <c r="H501" s="3" t="inlineStr">
        <is>
          <t>제2종일반주거지역</t>
        </is>
      </c>
      <c r="I501" s="3" t="inlineStr">
        <is>
          <t>답</t>
        </is>
      </c>
      <c r="J501" s="3" t="inlineStr">
        <is>
          <t>조치원읍</t>
        </is>
      </c>
    </row>
    <row r="502">
      <c r="A502" s="3" t="n">
        <v>2024</v>
      </c>
      <c r="B502" s="4" t="n">
        <v>77646</v>
      </c>
      <c r="C502" s="4" t="n">
        <v>619</v>
      </c>
      <c r="D502" s="4" t="n">
        <v>187.2475</v>
      </c>
      <c r="E502" s="5" t="n">
        <v>414.7</v>
      </c>
      <c r="F502" s="3" t="inlineStr">
        <is>
          <t>조치원읍</t>
        </is>
      </c>
      <c r="G502" s="3" t="inlineStr">
        <is>
          <t>신안리</t>
        </is>
      </c>
      <c r="H502" s="3" t="inlineStr">
        <is>
          <t>제2종일반주거지역</t>
        </is>
      </c>
      <c r="I502" s="3" t="inlineStr">
        <is>
          <t>전</t>
        </is>
      </c>
      <c r="J502" s="3" t="inlineStr">
        <is>
          <t>조치원읍</t>
        </is>
      </c>
    </row>
    <row r="503">
      <c r="A503" s="3" t="n">
        <v>2022</v>
      </c>
      <c r="B503" s="4" t="n">
        <v>10164</v>
      </c>
      <c r="C503" s="4" t="n">
        <v>84</v>
      </c>
      <c r="D503" s="4" t="n">
        <v>25.41</v>
      </c>
      <c r="E503" s="5" t="n">
        <v>400</v>
      </c>
      <c r="F503" s="3" t="inlineStr">
        <is>
          <t>조치원읍</t>
        </is>
      </c>
      <c r="G503" s="3" t="inlineStr">
        <is>
          <t>침산리</t>
        </is>
      </c>
      <c r="H503" s="3" t="inlineStr">
        <is>
          <t>제1종일반주거지역</t>
        </is>
      </c>
      <c r="I503" s="3" t="inlineStr">
        <is>
          <t>답</t>
        </is>
      </c>
      <c r="J503" s="3" t="inlineStr">
        <is>
          <t>조치원읍</t>
        </is>
      </c>
    </row>
    <row r="504">
      <c r="A504" s="3" t="n">
        <v>2022</v>
      </c>
      <c r="B504" s="4" t="n">
        <v>23900</v>
      </c>
      <c r="C504" s="4" t="n">
        <v>231</v>
      </c>
      <c r="D504" s="4" t="n">
        <v>69.8775</v>
      </c>
      <c r="E504" s="5" t="n">
        <v>342</v>
      </c>
      <c r="F504" s="3" t="inlineStr">
        <is>
          <t>연서면</t>
        </is>
      </c>
      <c r="G504" s="3" t="inlineStr">
        <is>
          <t>와촌리</t>
        </is>
      </c>
      <c r="H504" s="3" t="inlineStr">
        <is>
          <t>계획관리지역</t>
        </is>
      </c>
      <c r="I504" s="3" t="inlineStr">
        <is>
          <t>묘지</t>
        </is>
      </c>
      <c r="J504" s="3" t="inlineStr">
        <is>
          <t>연서면</t>
        </is>
      </c>
    </row>
    <row r="505">
      <c r="A505" s="3" t="n">
        <v>2022</v>
      </c>
      <c r="B505" s="4" t="n">
        <v>9100</v>
      </c>
      <c r="C505" s="4" t="n">
        <v>2757</v>
      </c>
      <c r="D505" s="4" t="n">
        <v>833.9924999999999</v>
      </c>
      <c r="E505" s="5" t="n">
        <v>10.9</v>
      </c>
      <c r="F505" s="3" t="inlineStr">
        <is>
          <t>부강면</t>
        </is>
      </c>
      <c r="G505" s="3" t="inlineStr">
        <is>
          <t>문곡리</t>
        </is>
      </c>
      <c r="H505" s="3" t="inlineStr">
        <is>
          <t>계획관리지역</t>
        </is>
      </c>
      <c r="I505" s="3" t="inlineStr">
        <is>
          <t>임야</t>
        </is>
      </c>
      <c r="J505" s="3" t="inlineStr">
        <is>
          <t>부강면</t>
        </is>
      </c>
    </row>
    <row r="506">
      <c r="A506" s="3" t="n">
        <v>2022</v>
      </c>
      <c r="B506" s="4" t="n">
        <v>45200</v>
      </c>
      <c r="C506" s="4" t="n">
        <v>1361</v>
      </c>
      <c r="D506" s="4" t="n">
        <v>411.7025</v>
      </c>
      <c r="E506" s="5" t="n">
        <v>109.8</v>
      </c>
      <c r="F506" s="3" t="inlineStr">
        <is>
          <t>부강면</t>
        </is>
      </c>
      <c r="G506" s="3" t="inlineStr">
        <is>
          <t>문곡리</t>
        </is>
      </c>
      <c r="H506" s="3" t="inlineStr">
        <is>
          <t>계획관리지역</t>
        </is>
      </c>
      <c r="I506" s="3" t="inlineStr">
        <is>
          <t>공장용지</t>
        </is>
      </c>
      <c r="J506" s="3" t="inlineStr">
        <is>
          <t>부강면</t>
        </is>
      </c>
    </row>
    <row r="507">
      <c r="A507" s="3" t="n">
        <v>2022</v>
      </c>
      <c r="B507" s="4" t="n">
        <v>19100</v>
      </c>
      <c r="C507" s="4" t="n">
        <v>800</v>
      </c>
      <c r="D507" s="4" t="n">
        <v>242</v>
      </c>
      <c r="E507" s="5" t="n">
        <v>78.90000000000001</v>
      </c>
      <c r="F507" s="3" t="inlineStr">
        <is>
          <t>부강면</t>
        </is>
      </c>
      <c r="G507" s="3" t="inlineStr">
        <is>
          <t>문곡리</t>
        </is>
      </c>
      <c r="H507" s="3" t="inlineStr">
        <is>
          <t>생산관리지역</t>
        </is>
      </c>
      <c r="I507" s="3" t="inlineStr">
        <is>
          <t>공장용지</t>
        </is>
      </c>
      <c r="J507" s="3" t="inlineStr">
        <is>
          <t>부강면</t>
        </is>
      </c>
    </row>
    <row r="508">
      <c r="A508" s="3" t="n">
        <v>2022</v>
      </c>
      <c r="B508" s="4" t="n">
        <v>124816</v>
      </c>
      <c r="C508" s="4" t="n">
        <v>538</v>
      </c>
      <c r="D508" s="4" t="n">
        <v>162.745</v>
      </c>
      <c r="E508" s="5" t="n">
        <v>766.9</v>
      </c>
      <c r="F508" s="3" t="inlineStr">
        <is>
          <t>부강면</t>
        </is>
      </c>
      <c r="G508" s="3" t="inlineStr">
        <is>
          <t>부강리</t>
        </is>
      </c>
      <c r="H508" s="3" t="inlineStr">
        <is>
          <t>일반상업지역</t>
        </is>
      </c>
      <c r="I508" s="3" t="inlineStr">
        <is>
          <t>답</t>
        </is>
      </c>
      <c r="J508" s="3" t="inlineStr">
        <is>
          <t>부강면</t>
        </is>
      </c>
    </row>
    <row r="509">
      <c r="A509" s="3" t="n">
        <v>2022</v>
      </c>
      <c r="B509" s="4" t="n">
        <v>51600</v>
      </c>
      <c r="C509" s="4" t="n">
        <v>1708</v>
      </c>
      <c r="D509" s="4" t="n">
        <v>516.67</v>
      </c>
      <c r="E509" s="5" t="n">
        <v>99.90000000000001</v>
      </c>
      <c r="F509" s="3" t="inlineStr">
        <is>
          <t>연서면</t>
        </is>
      </c>
      <c r="G509" s="3" t="inlineStr">
        <is>
          <t>고복리</t>
        </is>
      </c>
      <c r="H509" s="3" t="inlineStr">
        <is>
          <t>농림지역</t>
        </is>
      </c>
      <c r="I509" s="3" t="inlineStr">
        <is>
          <t>답</t>
        </is>
      </c>
      <c r="J509" s="3" t="inlineStr">
        <is>
          <t>연서면</t>
        </is>
      </c>
    </row>
    <row r="510">
      <c r="A510" s="3" t="n">
        <v>2022</v>
      </c>
      <c r="B510" s="4" t="n">
        <v>97000</v>
      </c>
      <c r="C510" s="4" t="n">
        <v>2871</v>
      </c>
      <c r="D510" s="4" t="n">
        <v>868.4775</v>
      </c>
      <c r="E510" s="5" t="n">
        <v>111.7</v>
      </c>
      <c r="F510" s="3" t="inlineStr">
        <is>
          <t>연서면</t>
        </is>
      </c>
      <c r="G510" s="3" t="inlineStr">
        <is>
          <t>국촌리</t>
        </is>
      </c>
      <c r="H510" s="3" t="inlineStr">
        <is>
          <t>농림지역</t>
        </is>
      </c>
      <c r="I510" s="3" t="inlineStr">
        <is>
          <t>답</t>
        </is>
      </c>
      <c r="J510" s="3" t="inlineStr">
        <is>
          <t>연서면</t>
        </is>
      </c>
    </row>
    <row r="511">
      <c r="A511" s="3" t="n">
        <v>2022</v>
      </c>
      <c r="B511" s="4" t="n">
        <v>48600</v>
      </c>
      <c r="C511" s="4" t="n">
        <v>1785</v>
      </c>
      <c r="D511" s="4" t="n">
        <v>539.9625</v>
      </c>
      <c r="E511" s="5" t="n">
        <v>90</v>
      </c>
      <c r="F511" s="3" t="inlineStr">
        <is>
          <t>연서면</t>
        </is>
      </c>
      <c r="G511" s="3" t="inlineStr">
        <is>
          <t>쌍류리</t>
        </is>
      </c>
      <c r="H511" s="3" t="inlineStr">
        <is>
          <t>계획관리지역</t>
        </is>
      </c>
      <c r="I511" s="3" t="inlineStr">
        <is>
          <t>대</t>
        </is>
      </c>
      <c r="J511" s="3" t="inlineStr">
        <is>
          <t>연서면</t>
        </is>
      </c>
    </row>
    <row r="512">
      <c r="A512" s="3" t="n">
        <v>2022</v>
      </c>
      <c r="B512" s="4" t="n">
        <v>3940</v>
      </c>
      <c r="C512" s="4" t="n">
        <v>223</v>
      </c>
      <c r="D512" s="4" t="n">
        <v>67.4575</v>
      </c>
      <c r="E512" s="5" t="n">
        <v>58.4</v>
      </c>
      <c r="F512" s="3" t="inlineStr">
        <is>
          <t>연서면</t>
        </is>
      </c>
      <c r="G512" s="3" t="inlineStr">
        <is>
          <t>쌍류리</t>
        </is>
      </c>
      <c r="H512" s="3" t="inlineStr">
        <is>
          <t>보전관리지역</t>
        </is>
      </c>
      <c r="I512" s="3" t="inlineStr">
        <is>
          <t>임야</t>
        </is>
      </c>
      <c r="J512" s="3" t="inlineStr">
        <is>
          <t>연서면</t>
        </is>
      </c>
    </row>
    <row r="513">
      <c r="A513" s="3" t="n">
        <v>2022</v>
      </c>
      <c r="B513" s="4" t="n">
        <v>34560</v>
      </c>
      <c r="C513" s="4" t="n">
        <v>1428</v>
      </c>
      <c r="D513" s="4" t="n">
        <v>431.97</v>
      </c>
      <c r="E513" s="5" t="n">
        <v>80</v>
      </c>
      <c r="F513" s="3" t="inlineStr">
        <is>
          <t>연서면</t>
        </is>
      </c>
      <c r="G513" s="3" t="inlineStr">
        <is>
          <t>쌍류리</t>
        </is>
      </c>
      <c r="H513" s="3" t="inlineStr">
        <is>
          <t>생산관리지역</t>
        </is>
      </c>
      <c r="I513" s="3" t="inlineStr">
        <is>
          <t>전</t>
        </is>
      </c>
      <c r="J513" s="3" t="inlineStr">
        <is>
          <t>연서면</t>
        </is>
      </c>
    </row>
    <row r="514">
      <c r="A514" s="3" t="n">
        <v>2023</v>
      </c>
      <c r="B514" s="4" t="n">
        <v>60000</v>
      </c>
      <c r="C514" s="4" t="n">
        <v>1983</v>
      </c>
      <c r="D514" s="4" t="n">
        <v>599.8575</v>
      </c>
      <c r="E514" s="5" t="n">
        <v>100</v>
      </c>
      <c r="F514" s="3" t="inlineStr">
        <is>
          <t>연동면</t>
        </is>
      </c>
      <c r="G514" s="3" t="inlineStr">
        <is>
          <t>문주리</t>
        </is>
      </c>
      <c r="H514" s="3" t="inlineStr">
        <is>
          <t>보전관리지역</t>
        </is>
      </c>
      <c r="I514" s="3" t="inlineStr">
        <is>
          <t>임야</t>
        </is>
      </c>
      <c r="J514" s="3" t="inlineStr">
        <is>
          <t>연동면</t>
        </is>
      </c>
    </row>
    <row r="515">
      <c r="A515" s="3" t="n">
        <v>2023</v>
      </c>
      <c r="B515" s="4" t="n">
        <v>1702</v>
      </c>
      <c r="C515" s="4" t="n">
        <v>148</v>
      </c>
      <c r="D515" s="4" t="n">
        <v>44.77</v>
      </c>
      <c r="E515" s="5" t="n">
        <v>38</v>
      </c>
      <c r="F515" s="3" t="inlineStr">
        <is>
          <t>부강면</t>
        </is>
      </c>
      <c r="G515" s="3" t="inlineStr">
        <is>
          <t>행산리</t>
        </is>
      </c>
      <c r="H515" s="3" t="inlineStr">
        <is>
          <t>농림지역</t>
        </is>
      </c>
      <c r="I515" s="3" t="inlineStr">
        <is>
          <t>하천</t>
        </is>
      </c>
      <c r="J515" s="3" t="inlineStr">
        <is>
          <t>부강면</t>
        </is>
      </c>
    </row>
    <row r="516">
      <c r="A516" s="3" t="n">
        <v>2023</v>
      </c>
      <c r="B516" s="4" t="n">
        <v>338</v>
      </c>
      <c r="C516" s="4" t="n">
        <v>36</v>
      </c>
      <c r="D516" s="4" t="n">
        <v>10.89</v>
      </c>
      <c r="E516" s="5" t="n">
        <v>31</v>
      </c>
      <c r="F516" s="3" t="inlineStr">
        <is>
          <t>부강면</t>
        </is>
      </c>
      <c r="G516" s="3" t="inlineStr">
        <is>
          <t>산수리</t>
        </is>
      </c>
      <c r="H516" s="3" t="inlineStr">
        <is>
          <t>농림지역</t>
        </is>
      </c>
      <c r="I516" s="3" t="inlineStr">
        <is>
          <t>구거</t>
        </is>
      </c>
      <c r="J516" s="3" t="inlineStr">
        <is>
          <t>부강면</t>
        </is>
      </c>
    </row>
    <row r="517">
      <c r="A517" s="3" t="n">
        <v>2023</v>
      </c>
      <c r="B517" s="4" t="n">
        <v>9200</v>
      </c>
      <c r="C517" s="4" t="n">
        <v>437.6</v>
      </c>
      <c r="D517" s="4" t="n">
        <v>132.374</v>
      </c>
      <c r="E517" s="5" t="n">
        <v>69.5</v>
      </c>
      <c r="F517" s="3" t="inlineStr">
        <is>
          <t>연동면</t>
        </is>
      </c>
      <c r="G517" s="3" t="inlineStr">
        <is>
          <t>응암리</t>
        </is>
      </c>
      <c r="H517" s="3" t="inlineStr">
        <is>
          <t>농림지역</t>
        </is>
      </c>
      <c r="I517" s="3" t="inlineStr">
        <is>
          <t>답</t>
        </is>
      </c>
      <c r="J517" s="3" t="inlineStr">
        <is>
          <t>연동면</t>
        </is>
      </c>
    </row>
    <row r="518">
      <c r="A518" s="3" t="n">
        <v>2023</v>
      </c>
      <c r="B518" s="4" t="n">
        <v>16490</v>
      </c>
      <c r="C518" s="4" t="n">
        <v>776.5</v>
      </c>
      <c r="D518" s="4" t="n">
        <v>234.89125</v>
      </c>
      <c r="E518" s="5" t="n">
        <v>70.2</v>
      </c>
      <c r="F518" s="3" t="inlineStr">
        <is>
          <t>연동면</t>
        </is>
      </c>
      <c r="G518" s="3" t="inlineStr">
        <is>
          <t>응암리</t>
        </is>
      </c>
      <c r="H518" s="3" t="inlineStr">
        <is>
          <t>농림지역</t>
        </is>
      </c>
      <c r="I518" s="3" t="inlineStr">
        <is>
          <t>답</t>
        </is>
      </c>
      <c r="J518" s="3" t="inlineStr">
        <is>
          <t>연동면</t>
        </is>
      </c>
    </row>
    <row r="519">
      <c r="A519" s="3" t="n">
        <v>2023</v>
      </c>
      <c r="B519" s="4" t="n">
        <v>4510</v>
      </c>
      <c r="C519" s="4" t="n">
        <v>208</v>
      </c>
      <c r="D519" s="4" t="n">
        <v>62.92</v>
      </c>
      <c r="E519" s="5" t="n">
        <v>71.7</v>
      </c>
      <c r="F519" s="3" t="inlineStr">
        <is>
          <t>연동면</t>
        </is>
      </c>
      <c r="G519" s="3" t="inlineStr">
        <is>
          <t>문주리</t>
        </is>
      </c>
      <c r="H519" s="3" t="inlineStr">
        <is>
          <t>계획관리지역</t>
        </is>
      </c>
      <c r="I519" s="3" t="inlineStr">
        <is>
          <t>대</t>
        </is>
      </c>
      <c r="J519" s="3" t="inlineStr">
        <is>
          <t>연동면</t>
        </is>
      </c>
    </row>
    <row r="520">
      <c r="A520" s="3" t="n">
        <v>2023</v>
      </c>
      <c r="B520" s="4" t="n">
        <v>2390</v>
      </c>
      <c r="C520" s="4" t="n">
        <v>109</v>
      </c>
      <c r="D520" s="4" t="n">
        <v>32.9725</v>
      </c>
      <c r="E520" s="5" t="n">
        <v>72.5</v>
      </c>
      <c r="F520" s="3" t="inlineStr">
        <is>
          <t>연동면</t>
        </is>
      </c>
      <c r="G520" s="3" t="inlineStr">
        <is>
          <t>문주리</t>
        </is>
      </c>
      <c r="H520" s="3" t="inlineStr">
        <is>
          <t>계획관리지역</t>
        </is>
      </c>
      <c r="I520" s="3" t="inlineStr">
        <is>
          <t>대</t>
        </is>
      </c>
      <c r="J520" s="3" t="inlineStr">
        <is>
          <t>연동면</t>
        </is>
      </c>
    </row>
    <row r="521">
      <c r="A521" s="3" t="n">
        <v>2023</v>
      </c>
      <c r="B521" s="4" t="n">
        <v>30000</v>
      </c>
      <c r="C521" s="4" t="n">
        <v>2182</v>
      </c>
      <c r="D521" s="4" t="n">
        <v>660.0549999999999</v>
      </c>
      <c r="E521" s="5" t="n">
        <v>45.5</v>
      </c>
      <c r="F521" s="3" t="inlineStr">
        <is>
          <t>연서면</t>
        </is>
      </c>
      <c r="G521" s="3" t="inlineStr">
        <is>
          <t>봉암리</t>
        </is>
      </c>
      <c r="H521" s="3" t="inlineStr">
        <is>
          <t>농림지역</t>
        </is>
      </c>
      <c r="I521" s="3" t="inlineStr">
        <is>
          <t>답</t>
        </is>
      </c>
      <c r="J521" s="3" t="inlineStr">
        <is>
          <t>연서면</t>
        </is>
      </c>
    </row>
    <row r="522">
      <c r="A522" s="3" t="n">
        <v>2022</v>
      </c>
      <c r="B522" s="4" t="n">
        <v>569799</v>
      </c>
      <c r="C522" s="4" t="n">
        <v>9969</v>
      </c>
      <c r="D522" s="4" t="n">
        <v>3015.6225</v>
      </c>
      <c r="E522" s="5" t="n">
        <v>188.9</v>
      </c>
      <c r="F522" s="3" t="inlineStr">
        <is>
          <t>연서면</t>
        </is>
      </c>
      <c r="G522" s="3" t="inlineStr">
        <is>
          <t>월하리</t>
        </is>
      </c>
      <c r="H522" s="3" t="inlineStr">
        <is>
          <t>보전녹지지역</t>
        </is>
      </c>
      <c r="I522" s="3" t="inlineStr">
        <is>
          <t>과수원</t>
        </is>
      </c>
      <c r="J522" s="3" t="inlineStr">
        <is>
          <t>연서면</t>
        </is>
      </c>
    </row>
    <row r="523">
      <c r="A523" s="3" t="n">
        <v>2022</v>
      </c>
      <c r="B523" s="4" t="n">
        <v>75000</v>
      </c>
      <c r="C523" s="4" t="n">
        <v>849</v>
      </c>
      <c r="D523" s="4" t="n">
        <v>256.8225</v>
      </c>
      <c r="E523" s="5" t="n">
        <v>292</v>
      </c>
      <c r="F523" s="3" t="inlineStr">
        <is>
          <t>연서면</t>
        </is>
      </c>
      <c r="G523" s="3" t="inlineStr">
        <is>
          <t>월하리</t>
        </is>
      </c>
      <c r="H523" s="3" t="inlineStr">
        <is>
          <t>보전녹지지역</t>
        </is>
      </c>
      <c r="I523" s="3" t="inlineStr">
        <is>
          <t>과수원</t>
        </is>
      </c>
      <c r="J523" s="3" t="inlineStr">
        <is>
          <t>연서면</t>
        </is>
      </c>
    </row>
    <row r="524">
      <c r="A524" s="3" t="n">
        <v>2022</v>
      </c>
      <c r="B524" s="4" t="n">
        <v>33278</v>
      </c>
      <c r="C524" s="4" t="n">
        <v>179</v>
      </c>
      <c r="D524" s="4" t="n">
        <v>54.1475</v>
      </c>
      <c r="E524" s="5" t="n">
        <v>614.6</v>
      </c>
      <c r="F524" s="3" t="inlineStr">
        <is>
          <t>연서면</t>
        </is>
      </c>
      <c r="G524" s="3" t="inlineStr">
        <is>
          <t>월하리</t>
        </is>
      </c>
      <c r="H524" s="3" t="inlineStr">
        <is>
          <t>제2종일반주거지역</t>
        </is>
      </c>
      <c r="I524" s="3" t="inlineStr">
        <is>
          <t>과수원</t>
        </is>
      </c>
      <c r="J524" s="3" t="inlineStr">
        <is>
          <t>연서면</t>
        </is>
      </c>
    </row>
    <row r="525">
      <c r="A525" s="3" t="n">
        <v>2022</v>
      </c>
      <c r="B525" s="4" t="n">
        <v>97642</v>
      </c>
      <c r="C525" s="4" t="n">
        <v>1086</v>
      </c>
      <c r="D525" s="4" t="n">
        <v>328.515</v>
      </c>
      <c r="E525" s="5" t="n">
        <v>297.2</v>
      </c>
      <c r="F525" s="3" t="inlineStr">
        <is>
          <t>연서면</t>
        </is>
      </c>
      <c r="G525" s="3" t="inlineStr">
        <is>
          <t>월하리</t>
        </is>
      </c>
      <c r="H525" s="3" t="inlineStr">
        <is>
          <t>제2종일반주거지역</t>
        </is>
      </c>
      <c r="I525" s="3" t="inlineStr">
        <is>
          <t>과수원</t>
        </is>
      </c>
      <c r="J525" s="3" t="inlineStr">
        <is>
          <t>연서면</t>
        </is>
      </c>
    </row>
    <row r="526">
      <c r="A526" s="3" t="n">
        <v>2022</v>
      </c>
      <c r="B526" s="4" t="n">
        <v>71000</v>
      </c>
      <c r="C526" s="4" t="n">
        <v>762.6</v>
      </c>
      <c r="D526" s="4" t="n">
        <v>230.6865</v>
      </c>
      <c r="E526" s="5" t="n">
        <v>307.8</v>
      </c>
      <c r="F526" s="3" t="inlineStr">
        <is>
          <t>조치원읍</t>
        </is>
      </c>
      <c r="G526" s="3" t="inlineStr">
        <is>
          <t>남리</t>
        </is>
      </c>
      <c r="H526" s="3" t="inlineStr">
        <is>
          <t>제2종일반주거지역</t>
        </is>
      </c>
      <c r="I526" s="3" t="inlineStr">
        <is>
          <t>대</t>
        </is>
      </c>
      <c r="J526" s="3" t="inlineStr">
        <is>
          <t>조치원읍</t>
        </is>
      </c>
    </row>
    <row r="527">
      <c r="A527" s="3" t="n">
        <v>2023</v>
      </c>
      <c r="B527" s="4" t="n">
        <v>10000</v>
      </c>
      <c r="C527" s="4" t="n">
        <v>712</v>
      </c>
      <c r="D527" s="4" t="n">
        <v>215.38</v>
      </c>
      <c r="E527" s="5" t="n">
        <v>46.4</v>
      </c>
      <c r="F527" s="3" t="inlineStr">
        <is>
          <t>강내면</t>
        </is>
      </c>
      <c r="G527" s="3" t="inlineStr">
        <is>
          <t>태성리</t>
        </is>
      </c>
      <c r="H527" s="3" t="inlineStr">
        <is>
          <t>계획관리지역</t>
        </is>
      </c>
      <c r="I527" s="3" t="inlineStr">
        <is>
          <t>전</t>
        </is>
      </c>
      <c r="J527" s="3" t="inlineStr">
        <is>
          <t>강내면</t>
        </is>
      </c>
    </row>
    <row r="528">
      <c r="A528" s="3" t="n">
        <v>2023</v>
      </c>
      <c r="B528" s="4" t="n">
        <v>33600</v>
      </c>
      <c r="C528" s="4" t="n">
        <v>529.9</v>
      </c>
      <c r="D528" s="4" t="n">
        <v>160.29475</v>
      </c>
      <c r="E528" s="5" t="n">
        <v>209.6</v>
      </c>
      <c r="F528" s="3" t="inlineStr">
        <is>
          <t>강내면</t>
        </is>
      </c>
      <c r="G528" s="3" t="inlineStr">
        <is>
          <t>사곡리</t>
        </is>
      </c>
      <c r="H528" s="3" t="inlineStr">
        <is>
          <t>보전관리지역</t>
        </is>
      </c>
      <c r="I528" s="3" t="inlineStr">
        <is>
          <t>대</t>
        </is>
      </c>
      <c r="J528" s="3" t="inlineStr">
        <is>
          <t>강내면</t>
        </is>
      </c>
    </row>
    <row r="529">
      <c r="A529" s="3" t="n">
        <v>2023</v>
      </c>
      <c r="B529" s="4" t="n">
        <v>216000</v>
      </c>
      <c r="C529" s="4" t="n">
        <v>550.1</v>
      </c>
      <c r="D529" s="4" t="n">
        <v>166.40525</v>
      </c>
      <c r="E529" s="5" t="n">
        <v>1298</v>
      </c>
      <c r="F529" s="3" t="inlineStr">
        <is>
          <t>오송읍</t>
        </is>
      </c>
      <c r="G529" s="3" t="inlineStr">
        <is>
          <t>정중리</t>
        </is>
      </c>
      <c r="H529" s="3" t="inlineStr">
        <is>
          <t>준공업지역</t>
        </is>
      </c>
      <c r="I529" s="3" t="inlineStr">
        <is>
          <t>대</t>
        </is>
      </c>
      <c r="J529" s="3" t="inlineStr">
        <is>
          <t>오송읍</t>
        </is>
      </c>
    </row>
    <row r="530">
      <c r="A530" s="3" t="n">
        <v>2023</v>
      </c>
      <c r="B530" s="4" t="n">
        <v>200000</v>
      </c>
      <c r="C530" s="4" t="n">
        <v>584.2</v>
      </c>
      <c r="D530" s="4" t="n">
        <v>176.7205</v>
      </c>
      <c r="E530" s="5" t="n">
        <v>1131.7</v>
      </c>
      <c r="F530" s="3" t="inlineStr">
        <is>
          <t>오송읍</t>
        </is>
      </c>
      <c r="G530" s="3" t="inlineStr">
        <is>
          <t>정중리</t>
        </is>
      </c>
      <c r="H530" s="3" t="inlineStr">
        <is>
          <t>준공업지역</t>
        </is>
      </c>
      <c r="I530" s="3" t="inlineStr">
        <is>
          <t>대</t>
        </is>
      </c>
      <c r="J530" s="3" t="inlineStr">
        <is>
          <t>오송읍</t>
        </is>
      </c>
    </row>
    <row r="531">
      <c r="A531" s="3" t="n">
        <v>2023</v>
      </c>
      <c r="B531" s="4" t="n">
        <v>250000</v>
      </c>
      <c r="C531" s="4" t="n">
        <v>558.8</v>
      </c>
      <c r="D531" s="4" t="n">
        <v>169.037</v>
      </c>
      <c r="E531" s="5" t="n">
        <v>1479</v>
      </c>
      <c r="F531" s="3" t="inlineStr">
        <is>
          <t>오송읍</t>
        </is>
      </c>
      <c r="G531" s="3" t="inlineStr">
        <is>
          <t>정중리</t>
        </is>
      </c>
      <c r="H531" s="3" t="inlineStr">
        <is>
          <t>준공업지역</t>
        </is>
      </c>
      <c r="I531" s="3" t="inlineStr">
        <is>
          <t>대</t>
        </is>
      </c>
      <c r="J531" s="3" t="inlineStr">
        <is>
          <t>오송읍</t>
        </is>
      </c>
    </row>
    <row r="532">
      <c r="A532" s="3" t="n">
        <v>2023</v>
      </c>
      <c r="B532" s="4" t="n">
        <v>30000</v>
      </c>
      <c r="C532" s="4" t="n">
        <v>1672</v>
      </c>
      <c r="D532" s="4" t="n">
        <v>505.78</v>
      </c>
      <c r="E532" s="5" t="n">
        <v>59.3</v>
      </c>
      <c r="F532" s="3" t="inlineStr">
        <is>
          <t>오송읍</t>
        </is>
      </c>
      <c r="G532" s="3" t="inlineStr">
        <is>
          <t>정중리</t>
        </is>
      </c>
      <c r="H532" s="3" t="inlineStr">
        <is>
          <t>생산관리지역</t>
        </is>
      </c>
      <c r="I532" s="3" t="inlineStr">
        <is>
          <t>전</t>
        </is>
      </c>
      <c r="J532" s="3" t="inlineStr">
        <is>
          <t>오송읍</t>
        </is>
      </c>
    </row>
    <row r="533">
      <c r="A533" s="3" t="n">
        <v>2023</v>
      </c>
      <c r="B533" s="4" t="n">
        <v>34300</v>
      </c>
      <c r="C533" s="4" t="n">
        <v>240.3</v>
      </c>
      <c r="D533" s="4" t="n">
        <v>72.69074999999999</v>
      </c>
      <c r="E533" s="5" t="n">
        <v>471.9</v>
      </c>
      <c r="F533" s="3" t="inlineStr">
        <is>
          <t>오송읍</t>
        </is>
      </c>
      <c r="G533" s="3" t="inlineStr">
        <is>
          <t>봉산리</t>
        </is>
      </c>
      <c r="H533" s="3" t="inlineStr">
        <is>
          <t>제1종일반주거지역</t>
        </is>
      </c>
      <c r="I533" s="3" t="inlineStr">
        <is>
          <t>대</t>
        </is>
      </c>
      <c r="J533" s="3" t="inlineStr">
        <is>
          <t>오송읍</t>
        </is>
      </c>
    </row>
    <row r="534">
      <c r="A534" s="3" t="n">
        <v>2023</v>
      </c>
      <c r="B534" s="4" t="n">
        <v>153763</v>
      </c>
      <c r="C534" s="4" t="n">
        <v>6705</v>
      </c>
      <c r="D534" s="4" t="n">
        <v>2028.2625</v>
      </c>
      <c r="E534" s="5" t="n">
        <v>75.8</v>
      </c>
      <c r="F534" s="3" t="inlineStr">
        <is>
          <t>강내면</t>
        </is>
      </c>
      <c r="G534" s="3" t="inlineStr">
        <is>
          <t>궁현리</t>
        </is>
      </c>
      <c r="H534" s="3" t="inlineStr">
        <is>
          <t>농림지역</t>
        </is>
      </c>
      <c r="I534" s="3" t="inlineStr">
        <is>
          <t>답</t>
        </is>
      </c>
      <c r="J534" s="3" t="inlineStr">
        <is>
          <t>강내면</t>
        </is>
      </c>
    </row>
    <row r="535">
      <c r="A535" s="3" t="n">
        <v>2023</v>
      </c>
      <c r="B535" s="4" t="n">
        <v>7160</v>
      </c>
      <c r="C535" s="4" t="n">
        <v>146</v>
      </c>
      <c r="D535" s="4" t="n">
        <v>44.165</v>
      </c>
      <c r="E535" s="5" t="n">
        <v>162.1</v>
      </c>
      <c r="F535" s="3" t="inlineStr">
        <is>
          <t>오송읍</t>
        </is>
      </c>
      <c r="G535" s="3" t="inlineStr">
        <is>
          <t>연제리</t>
        </is>
      </c>
      <c r="H535" s="3" t="inlineStr">
        <is>
          <t>계획관리지역</t>
        </is>
      </c>
      <c r="I535" s="3" t="inlineStr">
        <is>
          <t>답</t>
        </is>
      </c>
      <c r="J535" s="3" t="inlineStr">
        <is>
          <t>오송읍</t>
        </is>
      </c>
    </row>
    <row r="536">
      <c r="A536" s="3" t="n">
        <v>2023</v>
      </c>
      <c r="B536" s="4" t="n">
        <v>111000</v>
      </c>
      <c r="C536" s="4" t="n">
        <v>1468</v>
      </c>
      <c r="D536" s="4" t="n">
        <v>444.07</v>
      </c>
      <c r="E536" s="5" t="n">
        <v>250</v>
      </c>
      <c r="F536" s="3" t="inlineStr">
        <is>
          <t>강내면</t>
        </is>
      </c>
      <c r="G536" s="3" t="inlineStr">
        <is>
          <t>월탄리</t>
        </is>
      </c>
      <c r="H536" s="3" t="inlineStr">
        <is>
          <t>계획관리지역</t>
        </is>
      </c>
      <c r="I536" s="3" t="inlineStr">
        <is>
          <t>잡종지</t>
        </is>
      </c>
      <c r="J536" s="3" t="inlineStr">
        <is>
          <t>강내면</t>
        </is>
      </c>
    </row>
    <row r="537">
      <c r="A537" s="3" t="n">
        <v>2023</v>
      </c>
      <c r="B537" s="4" t="n">
        <v>40000</v>
      </c>
      <c r="C537" s="4" t="n">
        <v>265.8</v>
      </c>
      <c r="D537" s="4" t="n">
        <v>80.4045</v>
      </c>
      <c r="E537" s="5" t="n">
        <v>497.5</v>
      </c>
      <c r="F537" s="3" t="inlineStr">
        <is>
          <t>오송읍</t>
        </is>
      </c>
      <c r="G537" s="3" t="inlineStr">
        <is>
          <t>봉산리</t>
        </is>
      </c>
      <c r="H537" s="3" t="inlineStr">
        <is>
          <t>제1종일반주거지역</t>
        </is>
      </c>
      <c r="I537" s="3" t="inlineStr">
        <is>
          <t>대</t>
        </is>
      </c>
      <c r="J537" s="3" t="inlineStr">
        <is>
          <t>오송읍</t>
        </is>
      </c>
    </row>
    <row r="538">
      <c r="A538" s="3" t="n">
        <v>2023</v>
      </c>
      <c r="B538" s="4" t="n">
        <v>16000</v>
      </c>
      <c r="C538" s="4" t="n">
        <v>1121</v>
      </c>
      <c r="D538" s="4" t="n">
        <v>339.1025</v>
      </c>
      <c r="E538" s="5" t="n">
        <v>47.2</v>
      </c>
      <c r="F538" s="3" t="inlineStr">
        <is>
          <t>강내면</t>
        </is>
      </c>
      <c r="G538" s="3" t="inlineStr">
        <is>
          <t>탑연리</t>
        </is>
      </c>
      <c r="H538" s="3" t="inlineStr">
        <is>
          <t>자연녹지지역</t>
        </is>
      </c>
      <c r="I538" s="3" t="inlineStr">
        <is>
          <t>전</t>
        </is>
      </c>
      <c r="J538" s="3" t="inlineStr">
        <is>
          <t>강내면</t>
        </is>
      </c>
    </row>
    <row r="539">
      <c r="A539" s="3" t="n">
        <v>2023</v>
      </c>
      <c r="B539" s="4" t="n">
        <v>2000</v>
      </c>
      <c r="C539" s="4" t="n">
        <v>595</v>
      </c>
      <c r="D539" s="4" t="n">
        <v>179.9875</v>
      </c>
      <c r="E539" s="5" t="n">
        <v>11.1</v>
      </c>
      <c r="F539" s="3" t="inlineStr">
        <is>
          <t>강내면</t>
        </is>
      </c>
      <c r="G539" s="3" t="inlineStr">
        <is>
          <t>탑연리</t>
        </is>
      </c>
      <c r="H539" s="3" t="inlineStr">
        <is>
          <t>자연녹지지역</t>
        </is>
      </c>
      <c r="I539" s="3" t="inlineStr">
        <is>
          <t>구거</t>
        </is>
      </c>
      <c r="J539" s="3" t="inlineStr">
        <is>
          <t>강내면</t>
        </is>
      </c>
    </row>
    <row r="540">
      <c r="A540" s="3" t="n">
        <v>2023</v>
      </c>
      <c r="B540" s="4" t="n">
        <v>20000</v>
      </c>
      <c r="C540" s="4" t="n">
        <v>1643</v>
      </c>
      <c r="D540" s="4" t="n">
        <v>497.0075</v>
      </c>
      <c r="E540" s="5" t="n">
        <v>40.2</v>
      </c>
      <c r="F540" s="3" t="inlineStr">
        <is>
          <t>오송읍</t>
        </is>
      </c>
      <c r="G540" s="3" t="inlineStr">
        <is>
          <t>호계리</t>
        </is>
      </c>
      <c r="H540" s="3" t="inlineStr">
        <is>
          <t>농림지역</t>
        </is>
      </c>
      <c r="I540" s="3" t="inlineStr">
        <is>
          <t>답</t>
        </is>
      </c>
      <c r="J540" s="3" t="inlineStr">
        <is>
          <t>오송읍</t>
        </is>
      </c>
    </row>
    <row r="541">
      <c r="A541" s="3" t="n">
        <v>2023</v>
      </c>
      <c r="B541" s="4" t="n">
        <v>2300</v>
      </c>
      <c r="C541" s="4" t="n">
        <v>76</v>
      </c>
      <c r="D541" s="4" t="n">
        <v>22.99</v>
      </c>
      <c r="E541" s="5" t="n">
        <v>100</v>
      </c>
      <c r="F541" s="3" t="inlineStr">
        <is>
          <t>강내면</t>
        </is>
      </c>
      <c r="G541" s="3" t="inlineStr">
        <is>
          <t>사인리</t>
        </is>
      </c>
      <c r="H541" s="3" t="inlineStr">
        <is>
          <t>자연녹지지역</t>
        </is>
      </c>
      <c r="I541" s="3" t="inlineStr">
        <is>
          <t>전</t>
        </is>
      </c>
      <c r="J541" s="3" t="inlineStr">
        <is>
          <t>강내면</t>
        </is>
      </c>
    </row>
    <row r="542">
      <c r="A542" s="3" t="n">
        <v>2023</v>
      </c>
      <c r="B542" s="4" t="n">
        <v>24500</v>
      </c>
      <c r="C542" s="4" t="n">
        <v>231</v>
      </c>
      <c r="D542" s="4" t="n">
        <v>69.8775</v>
      </c>
      <c r="E542" s="5" t="n">
        <v>350.6</v>
      </c>
      <c r="F542" s="3" t="inlineStr">
        <is>
          <t>강내면</t>
        </is>
      </c>
      <c r="G542" s="3" t="inlineStr">
        <is>
          <t>월곡리</t>
        </is>
      </c>
      <c r="H542" s="3" t="inlineStr">
        <is>
          <t>제2종일반주거지역</t>
        </is>
      </c>
      <c r="I542" s="3" t="inlineStr">
        <is>
          <t>전</t>
        </is>
      </c>
      <c r="J542" s="3" t="inlineStr">
        <is>
          <t>강내면</t>
        </is>
      </c>
    </row>
    <row r="543">
      <c r="A543" s="3" t="n">
        <v>2024</v>
      </c>
      <c r="B543" s="4" t="n">
        <v>29000</v>
      </c>
      <c r="C543" s="4" t="n">
        <v>407</v>
      </c>
      <c r="D543" s="4" t="n">
        <v>123.1175</v>
      </c>
      <c r="E543" s="5" t="n">
        <v>235.5</v>
      </c>
      <c r="F543" s="3" t="inlineStr">
        <is>
          <t>부강면</t>
        </is>
      </c>
      <c r="G543" s="3" t="inlineStr">
        <is>
          <t>부강리</t>
        </is>
      </c>
      <c r="H543" s="3" t="inlineStr">
        <is>
          <t>제2종일반주거지역</t>
        </is>
      </c>
      <c r="I543" s="3" t="inlineStr">
        <is>
          <t>답</t>
        </is>
      </c>
      <c r="J543" s="3" t="inlineStr">
        <is>
          <t>부강면</t>
        </is>
      </c>
    </row>
    <row r="544">
      <c r="A544" s="3" t="n">
        <v>2022</v>
      </c>
      <c r="B544" s="4" t="n">
        <v>6383</v>
      </c>
      <c r="C544" s="4" t="n">
        <v>177</v>
      </c>
      <c r="D544" s="4" t="n">
        <v>53.5425</v>
      </c>
      <c r="E544" s="5" t="n">
        <v>119.2</v>
      </c>
      <c r="F544" s="3" t="inlineStr">
        <is>
          <t>연서면</t>
        </is>
      </c>
      <c r="G544" s="3" t="inlineStr">
        <is>
          <t>월하리</t>
        </is>
      </c>
      <c r="H544" s="3" t="inlineStr">
        <is>
          <t>보전관리지역</t>
        </is>
      </c>
      <c r="I544" s="3" t="inlineStr">
        <is>
          <t>전</t>
        </is>
      </c>
      <c r="J544" s="3" t="inlineStr">
        <is>
          <t>연서면</t>
        </is>
      </c>
    </row>
    <row r="545">
      <c r="A545" s="3" t="n">
        <v>2022</v>
      </c>
      <c r="B545" s="4" t="n">
        <v>9000</v>
      </c>
      <c r="C545" s="4" t="n">
        <v>506</v>
      </c>
      <c r="D545" s="4" t="n">
        <v>153.065</v>
      </c>
      <c r="E545" s="5" t="n">
        <v>58.8</v>
      </c>
      <c r="F545" s="3" t="inlineStr">
        <is>
          <t>연서면</t>
        </is>
      </c>
      <c r="G545" s="3" t="inlineStr">
        <is>
          <t>용암리</t>
        </is>
      </c>
      <c r="H545" s="3" t="inlineStr">
        <is>
          <t>생산관리지역</t>
        </is>
      </c>
      <c r="I545" s="3" t="inlineStr">
        <is>
          <t>전</t>
        </is>
      </c>
      <c r="J545" s="3" t="inlineStr">
        <is>
          <t>연서면</t>
        </is>
      </c>
    </row>
    <row r="546">
      <c r="A546" s="3" t="n">
        <v>2022</v>
      </c>
      <c r="B546" s="4" t="n">
        <v>1620</v>
      </c>
      <c r="C546" s="4" t="n">
        <v>83</v>
      </c>
      <c r="D546" s="4" t="n">
        <v>25.1075</v>
      </c>
      <c r="E546" s="5" t="n">
        <v>64.5</v>
      </c>
      <c r="F546" s="3" t="inlineStr">
        <is>
          <t>부강면</t>
        </is>
      </c>
      <c r="G546" s="3" t="inlineStr">
        <is>
          <t>문곡리</t>
        </is>
      </c>
      <c r="H546" s="3" t="inlineStr">
        <is>
          <t>계획관리지역</t>
        </is>
      </c>
      <c r="I546" s="3" t="inlineStr">
        <is>
          <t>답</t>
        </is>
      </c>
      <c r="J546" s="3" t="inlineStr">
        <is>
          <t>부강면</t>
        </is>
      </c>
    </row>
    <row r="547">
      <c r="A547" s="3" t="n">
        <v>2023</v>
      </c>
      <c r="B547" s="4" t="n">
        <v>2500</v>
      </c>
      <c r="C547" s="4" t="n">
        <v>330</v>
      </c>
      <c r="D547" s="4" t="n">
        <v>99.825</v>
      </c>
      <c r="E547" s="5" t="n">
        <v>25</v>
      </c>
      <c r="F547" s="3" t="inlineStr">
        <is>
          <t>부강면</t>
        </is>
      </c>
      <c r="G547" s="3" t="inlineStr">
        <is>
          <t>갈산리</t>
        </is>
      </c>
      <c r="H547" s="3" t="inlineStr">
        <is>
          <t>생산관리지역</t>
        </is>
      </c>
      <c r="I547" s="3" t="inlineStr">
        <is>
          <t>임야</t>
        </is>
      </c>
      <c r="J547" s="3" t="inlineStr">
        <is>
          <t>부강면</t>
        </is>
      </c>
    </row>
    <row r="548">
      <c r="A548" s="3" t="n">
        <v>2022</v>
      </c>
      <c r="B548" s="4" t="n">
        <v>380</v>
      </c>
      <c r="C548" s="4" t="n">
        <v>20</v>
      </c>
      <c r="D548" s="4" t="n">
        <v>6.05</v>
      </c>
      <c r="E548" s="5" t="n">
        <v>62.8</v>
      </c>
      <c r="F548" s="3" t="inlineStr">
        <is>
          <t>부강면</t>
        </is>
      </c>
      <c r="G548" s="3" t="inlineStr">
        <is>
          <t>문곡리</t>
        </is>
      </c>
      <c r="H548" s="3" t="inlineStr">
        <is>
          <t>계획관리지역</t>
        </is>
      </c>
      <c r="I548" s="3" t="inlineStr">
        <is>
          <t>답</t>
        </is>
      </c>
      <c r="J548" s="3" t="inlineStr">
        <is>
          <t>부강면</t>
        </is>
      </c>
    </row>
    <row r="549">
      <c r="A549" s="3" t="n">
        <v>2024</v>
      </c>
      <c r="B549" s="4" t="n">
        <v>11732</v>
      </c>
      <c r="C549" s="4" t="n">
        <v>453</v>
      </c>
      <c r="D549" s="4" t="n">
        <v>137.0325</v>
      </c>
      <c r="E549" s="5" t="n">
        <v>85.59999999999999</v>
      </c>
      <c r="F549" s="3" t="inlineStr">
        <is>
          <t>연서면</t>
        </is>
      </c>
      <c r="G549" s="3" t="inlineStr">
        <is>
          <t>쌍류리</t>
        </is>
      </c>
      <c r="H549" s="3" t="inlineStr">
        <is>
          <t>계획관리지역</t>
        </is>
      </c>
      <c r="I549" s="3" t="inlineStr">
        <is>
          <t>대</t>
        </is>
      </c>
      <c r="J549" s="3" t="inlineStr">
        <is>
          <t>연서면</t>
        </is>
      </c>
    </row>
    <row r="550">
      <c r="A550" s="3" t="n">
        <v>2024</v>
      </c>
      <c r="B550" s="4" t="n">
        <v>10000</v>
      </c>
      <c r="C550" s="4" t="n">
        <v>129</v>
      </c>
      <c r="D550" s="4" t="n">
        <v>39.0225</v>
      </c>
      <c r="E550" s="5" t="n">
        <v>256.3</v>
      </c>
      <c r="F550" s="3" t="inlineStr">
        <is>
          <t>조치원읍</t>
        </is>
      </c>
      <c r="G550" s="3" t="inlineStr">
        <is>
          <t>신안리</t>
        </is>
      </c>
      <c r="H550" s="3" t="inlineStr">
        <is>
          <t>자연녹지지역</t>
        </is>
      </c>
      <c r="I550" s="3" t="inlineStr">
        <is>
          <t>전</t>
        </is>
      </c>
      <c r="J550" s="3" t="inlineStr">
        <is>
          <t>조치원읍</t>
        </is>
      </c>
    </row>
    <row r="551">
      <c r="A551" s="3" t="n">
        <v>2023</v>
      </c>
      <c r="B551" s="4" t="n">
        <v>54899</v>
      </c>
      <c r="C551" s="4" t="n">
        <v>458</v>
      </c>
      <c r="D551" s="4" t="n">
        <v>138.545</v>
      </c>
      <c r="E551" s="5" t="n">
        <v>396.3</v>
      </c>
      <c r="F551" s="3" t="inlineStr">
        <is>
          <t>연동면</t>
        </is>
      </c>
      <c r="G551" s="3" t="inlineStr">
        <is>
          <t>명학리</t>
        </is>
      </c>
      <c r="H551" s="3" t="inlineStr">
        <is>
          <t>계획관리지역</t>
        </is>
      </c>
      <c r="I551" s="3" t="inlineStr">
        <is>
          <t>대</t>
        </is>
      </c>
      <c r="J551" s="3" t="inlineStr">
        <is>
          <t>연동면</t>
        </is>
      </c>
    </row>
    <row r="552">
      <c r="A552" s="3" t="n">
        <v>2023</v>
      </c>
      <c r="B552" s="4" t="n">
        <v>12000</v>
      </c>
      <c r="C552" s="4" t="n">
        <v>3967</v>
      </c>
      <c r="D552" s="4" t="n">
        <v>1200.0175</v>
      </c>
      <c r="E552" s="5" t="n">
        <v>10</v>
      </c>
      <c r="F552" s="3" t="inlineStr">
        <is>
          <t>연서면</t>
        </is>
      </c>
      <c r="G552" s="3" t="inlineStr">
        <is>
          <t>신대리</t>
        </is>
      </c>
      <c r="H552" s="3" t="inlineStr">
        <is>
          <t>보전관리지역</t>
        </is>
      </c>
      <c r="I552" s="3" t="inlineStr">
        <is>
          <t>임야</t>
        </is>
      </c>
      <c r="J552" s="3" t="inlineStr">
        <is>
          <t>연서면</t>
        </is>
      </c>
    </row>
    <row r="553">
      <c r="A553" s="3" t="n">
        <v>2024</v>
      </c>
      <c r="B553" s="4" t="n">
        <v>9700</v>
      </c>
      <c r="C553" s="4" t="n">
        <v>688</v>
      </c>
      <c r="D553" s="4" t="n">
        <v>208.12</v>
      </c>
      <c r="E553" s="5" t="n">
        <v>46.6</v>
      </c>
      <c r="F553" s="3" t="inlineStr">
        <is>
          <t>남이면</t>
        </is>
      </c>
      <c r="G553" s="3" t="inlineStr">
        <is>
          <t>사동리</t>
        </is>
      </c>
      <c r="H553" s="3" t="inlineStr">
        <is>
          <t>생산관리지역</t>
        </is>
      </c>
      <c r="I553" s="3" t="inlineStr">
        <is>
          <t>공장용지</t>
        </is>
      </c>
      <c r="J553" s="3" t="inlineStr">
        <is>
          <t>남이면</t>
        </is>
      </c>
    </row>
    <row r="554">
      <c r="A554" s="3" t="n">
        <v>2024</v>
      </c>
      <c r="B554" s="4" t="n">
        <v>2890</v>
      </c>
      <c r="C554" s="4" t="n">
        <v>57</v>
      </c>
      <c r="D554" s="4" t="n">
        <v>17.2425</v>
      </c>
      <c r="E554" s="5" t="n">
        <v>167.6</v>
      </c>
      <c r="F554" s="3" t="inlineStr">
        <is>
          <t>남이면</t>
        </is>
      </c>
      <c r="G554" s="3" t="inlineStr">
        <is>
          <t>석판리</t>
        </is>
      </c>
      <c r="H554" s="3" t="inlineStr">
        <is>
          <t>보전녹지지역</t>
        </is>
      </c>
      <c r="I554" s="3" t="inlineStr">
        <is>
          <t>대</t>
        </is>
      </c>
      <c r="J554" s="3" t="inlineStr">
        <is>
          <t>남이면</t>
        </is>
      </c>
    </row>
    <row r="555">
      <c r="A555" s="3" t="n">
        <v>2024</v>
      </c>
      <c r="B555" s="4" t="n">
        <v>9000</v>
      </c>
      <c r="C555" s="4" t="n">
        <v>1415</v>
      </c>
      <c r="D555" s="4" t="n">
        <v>428.0375</v>
      </c>
      <c r="E555" s="5" t="n">
        <v>21</v>
      </c>
      <c r="F555" s="3" t="inlineStr">
        <is>
          <t>남이면</t>
        </is>
      </c>
      <c r="G555" s="3" t="inlineStr">
        <is>
          <t>산막리</t>
        </is>
      </c>
      <c r="H555" s="3" t="inlineStr">
        <is>
          <t>생산관리지역</t>
        </is>
      </c>
      <c r="I555" s="3" t="inlineStr">
        <is>
          <t>전</t>
        </is>
      </c>
      <c r="J555" s="3" t="inlineStr">
        <is>
          <t>남이면</t>
        </is>
      </c>
    </row>
    <row r="556">
      <c r="A556" s="3" t="n">
        <v>2024</v>
      </c>
      <c r="B556" s="4" t="n">
        <v>5800</v>
      </c>
      <c r="C556" s="4" t="n">
        <v>916</v>
      </c>
      <c r="D556" s="4" t="n">
        <v>277.09</v>
      </c>
      <c r="E556" s="5" t="n">
        <v>20.9</v>
      </c>
      <c r="F556" s="3" t="inlineStr">
        <is>
          <t>남이면</t>
        </is>
      </c>
      <c r="G556" s="3" t="inlineStr">
        <is>
          <t>산막리</t>
        </is>
      </c>
      <c r="H556" s="3" t="inlineStr">
        <is>
          <t>생산관리지역</t>
        </is>
      </c>
      <c r="I556" s="3" t="inlineStr">
        <is>
          <t>전</t>
        </is>
      </c>
      <c r="J556" s="3" t="inlineStr">
        <is>
          <t>남이면</t>
        </is>
      </c>
    </row>
    <row r="557">
      <c r="A557" s="3" t="n">
        <v>2024</v>
      </c>
      <c r="B557" s="4" t="n">
        <v>6700</v>
      </c>
      <c r="C557" s="4" t="n">
        <v>1061</v>
      </c>
      <c r="D557" s="4" t="n">
        <v>320.9525</v>
      </c>
      <c r="E557" s="5" t="n">
        <v>20.9</v>
      </c>
      <c r="F557" s="3" t="inlineStr">
        <is>
          <t>남이면</t>
        </is>
      </c>
      <c r="G557" s="3" t="inlineStr">
        <is>
          <t>산막리</t>
        </is>
      </c>
      <c r="H557" s="3" t="inlineStr">
        <is>
          <t>생산관리지역</t>
        </is>
      </c>
      <c r="I557" s="3" t="inlineStr">
        <is>
          <t>전</t>
        </is>
      </c>
      <c r="J557" s="3" t="inlineStr">
        <is>
          <t>남이면</t>
        </is>
      </c>
    </row>
    <row r="558">
      <c r="A558" s="3" t="n">
        <v>2022</v>
      </c>
      <c r="B558" s="4" t="n">
        <v>10000</v>
      </c>
      <c r="C558" s="4" t="n">
        <v>36</v>
      </c>
      <c r="D558" s="4" t="n">
        <v>10.89</v>
      </c>
      <c r="E558" s="5" t="n">
        <v>918.3</v>
      </c>
      <c r="F558" s="3" t="inlineStr">
        <is>
          <t>연서면</t>
        </is>
      </c>
      <c r="G558" s="3" t="inlineStr">
        <is>
          <t>월하리</t>
        </is>
      </c>
      <c r="H558" s="3" t="inlineStr">
        <is>
          <t>보전관리지역</t>
        </is>
      </c>
      <c r="I558" s="3" t="inlineStr">
        <is>
          <t>전</t>
        </is>
      </c>
      <c r="J558" s="3" t="inlineStr">
        <is>
          <t>연서면</t>
        </is>
      </c>
    </row>
    <row r="559">
      <c r="A559" s="3" t="n">
        <v>2022</v>
      </c>
      <c r="B559" s="4" t="n">
        <v>8320</v>
      </c>
      <c r="C559" s="4" t="n">
        <v>14</v>
      </c>
      <c r="D559" s="4" t="n">
        <v>4.234999999999999</v>
      </c>
      <c r="E559" s="5" t="n">
        <v>1964.6</v>
      </c>
      <c r="F559" s="3" t="inlineStr">
        <is>
          <t>연서면</t>
        </is>
      </c>
      <c r="G559" s="3" t="inlineStr">
        <is>
          <t>월하리</t>
        </is>
      </c>
      <c r="H559" s="3" t="inlineStr">
        <is>
          <t>보전관리지역</t>
        </is>
      </c>
      <c r="I559" s="3" t="inlineStr">
        <is>
          <t>과수원</t>
        </is>
      </c>
      <c r="J559" s="3" t="inlineStr">
        <is>
          <t>연서면</t>
        </is>
      </c>
    </row>
    <row r="560">
      <c r="A560" s="3" t="n">
        <v>2022</v>
      </c>
      <c r="B560" s="4" t="n">
        <v>85312</v>
      </c>
      <c r="C560" s="4" t="n">
        <v>854</v>
      </c>
      <c r="D560" s="4" t="n">
        <v>258.335</v>
      </c>
      <c r="E560" s="5" t="n">
        <v>330.2</v>
      </c>
      <c r="F560" s="3" t="inlineStr">
        <is>
          <t>연서면</t>
        </is>
      </c>
      <c r="G560" s="3" t="inlineStr">
        <is>
          <t>월하리</t>
        </is>
      </c>
      <c r="H560" s="3" t="inlineStr">
        <is>
          <t>보전관리지역</t>
        </is>
      </c>
      <c r="I560" s="3" t="inlineStr">
        <is>
          <t>과수원</t>
        </is>
      </c>
      <c r="J560" s="3" t="inlineStr">
        <is>
          <t>연서면</t>
        </is>
      </c>
    </row>
    <row r="561">
      <c r="A561" s="3" t="n">
        <v>2022</v>
      </c>
      <c r="B561" s="4" t="n">
        <v>190818</v>
      </c>
      <c r="C561" s="4" t="n">
        <v>4294</v>
      </c>
      <c r="D561" s="4" t="n">
        <v>1298.935</v>
      </c>
      <c r="E561" s="5" t="n">
        <v>146.9</v>
      </c>
      <c r="F561" s="3" t="inlineStr">
        <is>
          <t>연서면</t>
        </is>
      </c>
      <c r="G561" s="3" t="inlineStr">
        <is>
          <t>월하리</t>
        </is>
      </c>
      <c r="H561" s="3" t="inlineStr">
        <is>
          <t>보전녹지지역</t>
        </is>
      </c>
      <c r="I561" s="3" t="inlineStr">
        <is>
          <t>전</t>
        </is>
      </c>
      <c r="J561" s="3" t="inlineStr">
        <is>
          <t>연서면</t>
        </is>
      </c>
    </row>
    <row r="562">
      <c r="A562" s="3" t="n">
        <v>2022</v>
      </c>
      <c r="B562" s="4" t="n">
        <v>60000</v>
      </c>
      <c r="C562" s="4" t="n">
        <v>350</v>
      </c>
      <c r="D562" s="4" t="n">
        <v>105.875</v>
      </c>
      <c r="E562" s="5" t="n">
        <v>566.7</v>
      </c>
      <c r="F562" s="3" t="inlineStr">
        <is>
          <t>연서면</t>
        </is>
      </c>
      <c r="G562" s="3" t="inlineStr">
        <is>
          <t>월하리</t>
        </is>
      </c>
      <c r="H562" s="3" t="inlineStr">
        <is>
          <t>보전관리지역</t>
        </is>
      </c>
      <c r="I562" s="3" t="inlineStr">
        <is>
          <t>과수원</t>
        </is>
      </c>
      <c r="J562" s="3" t="inlineStr">
        <is>
          <t>연서면</t>
        </is>
      </c>
    </row>
    <row r="563">
      <c r="A563" s="3" t="n">
        <v>2022</v>
      </c>
      <c r="B563" s="4" t="n">
        <v>16000</v>
      </c>
      <c r="C563" s="4" t="n">
        <v>205</v>
      </c>
      <c r="D563" s="4" t="n">
        <v>62.0125</v>
      </c>
      <c r="E563" s="5" t="n">
        <v>258</v>
      </c>
      <c r="F563" s="3" t="inlineStr">
        <is>
          <t>연서면</t>
        </is>
      </c>
      <c r="G563" s="3" t="inlineStr">
        <is>
          <t>월하리</t>
        </is>
      </c>
      <c r="H563" s="3" t="inlineStr">
        <is>
          <t>제2종일반주거지역</t>
        </is>
      </c>
      <c r="I563" s="3" t="inlineStr">
        <is>
          <t>전</t>
        </is>
      </c>
      <c r="J563" s="3" t="inlineStr">
        <is>
          <t>연서면</t>
        </is>
      </c>
    </row>
    <row r="564">
      <c r="A564" s="3" t="n">
        <v>2022</v>
      </c>
      <c r="B564" s="4" t="n">
        <v>148895</v>
      </c>
      <c r="C564" s="4" t="n">
        <v>3003</v>
      </c>
      <c r="D564" s="4" t="n">
        <v>908.4075</v>
      </c>
      <c r="E564" s="5" t="n">
        <v>163.9</v>
      </c>
      <c r="F564" s="3" t="inlineStr">
        <is>
          <t>연서면</t>
        </is>
      </c>
      <c r="G564" s="3" t="inlineStr">
        <is>
          <t>월하리</t>
        </is>
      </c>
      <c r="H564" s="3" t="inlineStr">
        <is>
          <t>보전녹지지역</t>
        </is>
      </c>
      <c r="I564" s="3" t="inlineStr">
        <is>
          <t>전</t>
        </is>
      </c>
      <c r="J564" s="3" t="inlineStr">
        <is>
          <t>연서면</t>
        </is>
      </c>
    </row>
    <row r="565">
      <c r="A565" s="3" t="n">
        <v>2022</v>
      </c>
      <c r="B565" s="4" t="n">
        <v>310</v>
      </c>
      <c r="C565" s="4" t="n">
        <v>16</v>
      </c>
      <c r="D565" s="4" t="n">
        <v>4.84</v>
      </c>
      <c r="E565" s="5" t="n">
        <v>64</v>
      </c>
      <c r="F565" s="3" t="inlineStr">
        <is>
          <t>부강면</t>
        </is>
      </c>
      <c r="G565" s="3" t="inlineStr">
        <is>
          <t>문곡리</t>
        </is>
      </c>
      <c r="H565" s="3" t="inlineStr">
        <is>
          <t>계획관리지역</t>
        </is>
      </c>
      <c r="I565" s="3" t="inlineStr">
        <is>
          <t>답</t>
        </is>
      </c>
      <c r="J565" s="3" t="inlineStr">
        <is>
          <t>부강면</t>
        </is>
      </c>
    </row>
    <row r="566">
      <c r="A566" s="3" t="n">
        <v>2022</v>
      </c>
      <c r="B566" s="4" t="n">
        <v>49000</v>
      </c>
      <c r="C566" s="4" t="n">
        <v>2699.3</v>
      </c>
      <c r="D566" s="4" t="n">
        <v>816.5382500000001</v>
      </c>
      <c r="E566" s="5" t="n">
        <v>60</v>
      </c>
      <c r="F566" s="3" t="inlineStr">
        <is>
          <t>부강면</t>
        </is>
      </c>
      <c r="G566" s="3" t="inlineStr">
        <is>
          <t>산수리</t>
        </is>
      </c>
      <c r="H566" s="3" t="inlineStr">
        <is>
          <t>농림지역</t>
        </is>
      </c>
      <c r="I566" s="3" t="inlineStr">
        <is>
          <t>답</t>
        </is>
      </c>
      <c r="J566" s="3" t="inlineStr">
        <is>
          <t>부강면</t>
        </is>
      </c>
    </row>
    <row r="567">
      <c r="A567" s="3" t="n">
        <v>2022</v>
      </c>
      <c r="B567" s="4" t="n">
        <v>22280</v>
      </c>
      <c r="C567" s="4" t="n">
        <v>1227.5</v>
      </c>
      <c r="D567" s="4" t="n">
        <v>371.31875</v>
      </c>
      <c r="E567" s="5" t="n">
        <v>60</v>
      </c>
      <c r="F567" s="3" t="inlineStr">
        <is>
          <t>부강면</t>
        </is>
      </c>
      <c r="G567" s="3" t="inlineStr">
        <is>
          <t>산수리</t>
        </is>
      </c>
      <c r="H567" s="3" t="inlineStr">
        <is>
          <t>농림지역</t>
        </is>
      </c>
      <c r="I567" s="3" t="inlineStr">
        <is>
          <t>답</t>
        </is>
      </c>
      <c r="J567" s="3" t="inlineStr">
        <is>
          <t>부강면</t>
        </is>
      </c>
    </row>
    <row r="568">
      <c r="A568" s="3" t="n">
        <v>2022</v>
      </c>
      <c r="B568" s="4" t="n">
        <v>535</v>
      </c>
      <c r="C568" s="4" t="n">
        <v>11</v>
      </c>
      <c r="D568" s="4" t="n">
        <v>3.3275</v>
      </c>
      <c r="E568" s="5" t="n">
        <v>160.8</v>
      </c>
      <c r="F568" s="3" t="inlineStr">
        <is>
          <t>부강면</t>
        </is>
      </c>
      <c r="G568" s="3" t="inlineStr">
        <is>
          <t>금호리</t>
        </is>
      </c>
      <c r="H568" s="3" t="inlineStr">
        <is>
          <t>계획관리지역</t>
        </is>
      </c>
      <c r="I568" s="3" t="inlineStr">
        <is>
          <t>대</t>
        </is>
      </c>
      <c r="J568" s="3" t="inlineStr">
        <is>
          <t>부강면</t>
        </is>
      </c>
    </row>
    <row r="569">
      <c r="A569" s="3" t="n">
        <v>2022</v>
      </c>
      <c r="B569" s="4" t="n">
        <v>535</v>
      </c>
      <c r="C569" s="4" t="n">
        <v>10</v>
      </c>
      <c r="D569" s="4" t="n">
        <v>3.025</v>
      </c>
      <c r="E569" s="5" t="n">
        <v>176.9</v>
      </c>
      <c r="F569" s="3" t="inlineStr">
        <is>
          <t>부강면</t>
        </is>
      </c>
      <c r="G569" s="3" t="inlineStr">
        <is>
          <t>금호리</t>
        </is>
      </c>
      <c r="H569" s="3" t="inlineStr">
        <is>
          <t>계획관리지역</t>
        </is>
      </c>
      <c r="I569" s="3" t="inlineStr">
        <is>
          <t>대</t>
        </is>
      </c>
      <c r="J569" s="3" t="inlineStr">
        <is>
          <t>부강면</t>
        </is>
      </c>
    </row>
    <row r="570">
      <c r="A570" s="3" t="n">
        <v>2022</v>
      </c>
      <c r="B570" s="4" t="n">
        <v>2000</v>
      </c>
      <c r="C570" s="4" t="n">
        <v>634</v>
      </c>
      <c r="D570" s="4" t="n">
        <v>191.785</v>
      </c>
      <c r="E570" s="5" t="n">
        <v>10.4</v>
      </c>
      <c r="F570" s="3" t="inlineStr">
        <is>
          <t>조치원읍</t>
        </is>
      </c>
      <c r="G570" s="3" t="inlineStr">
        <is>
          <t>봉산리</t>
        </is>
      </c>
      <c r="H570" s="3" t="inlineStr">
        <is>
          <t>계획관리지역</t>
        </is>
      </c>
      <c r="I570" s="3" t="inlineStr">
        <is>
          <t>임야</t>
        </is>
      </c>
      <c r="J570" s="3" t="inlineStr">
        <is>
          <t>조치원읍</t>
        </is>
      </c>
    </row>
    <row r="571">
      <c r="A571" s="3" t="n">
        <v>2026</v>
      </c>
      <c r="B571" s="4" t="n">
        <v>57000</v>
      </c>
      <c r="C571" s="4" t="n">
        <v>5136</v>
      </c>
      <c r="D571" s="4" t="n">
        <v>1553.64</v>
      </c>
      <c r="E571" s="5" t="n">
        <v>36.7</v>
      </c>
      <c r="F571" s="3" t="inlineStr">
        <is>
          <t>연동면</t>
        </is>
      </c>
      <c r="G571" s="3" t="inlineStr">
        <is>
          <t>송용리</t>
        </is>
      </c>
      <c r="H571" s="3" t="inlineStr">
        <is>
          <t>농림지역</t>
        </is>
      </c>
      <c r="I571" s="3" t="inlineStr">
        <is>
          <t>답</t>
        </is>
      </c>
      <c r="J571" s="3" t="inlineStr">
        <is>
          <t>연동면</t>
        </is>
      </c>
    </row>
    <row r="572">
      <c r="A572" s="3" t="n">
        <v>2022</v>
      </c>
      <c r="B572" s="4" t="n">
        <v>69216</v>
      </c>
      <c r="C572" s="4" t="n">
        <v>1475</v>
      </c>
      <c r="D572" s="4" t="n">
        <v>446.1875</v>
      </c>
      <c r="E572" s="5" t="n">
        <v>155.1</v>
      </c>
      <c r="F572" s="3" t="inlineStr">
        <is>
          <t>연서면</t>
        </is>
      </c>
      <c r="G572" s="3" t="inlineStr">
        <is>
          <t>고복리</t>
        </is>
      </c>
      <c r="H572" s="3" t="inlineStr">
        <is>
          <t>보전관리지역</t>
        </is>
      </c>
      <c r="I572" s="3" t="inlineStr">
        <is>
          <t>임야</t>
        </is>
      </c>
      <c r="J572" s="3" t="inlineStr">
        <is>
          <t>연서면</t>
        </is>
      </c>
    </row>
    <row r="573">
      <c r="A573" s="3" t="n">
        <v>2022</v>
      </c>
      <c r="B573" s="4" t="n">
        <v>18000</v>
      </c>
      <c r="C573" s="4" t="n">
        <v>1018</v>
      </c>
      <c r="D573" s="4" t="n">
        <v>307.945</v>
      </c>
      <c r="E573" s="5" t="n">
        <v>58.5</v>
      </c>
      <c r="F573" s="3" t="inlineStr">
        <is>
          <t>연서면</t>
        </is>
      </c>
      <c r="G573" s="3" t="inlineStr">
        <is>
          <t>쌍류리</t>
        </is>
      </c>
      <c r="H573" s="3" t="inlineStr">
        <is>
          <t>생산관리지역</t>
        </is>
      </c>
      <c r="I573" s="3" t="inlineStr">
        <is>
          <t>전</t>
        </is>
      </c>
      <c r="J573" s="3" t="inlineStr">
        <is>
          <t>연서면</t>
        </is>
      </c>
    </row>
    <row r="574">
      <c r="A574" s="3" t="n">
        <v>2022</v>
      </c>
      <c r="B574" s="4" t="n">
        <v>30000</v>
      </c>
      <c r="C574" s="4" t="n">
        <v>496</v>
      </c>
      <c r="D574" s="4" t="n">
        <v>150.04</v>
      </c>
      <c r="E574" s="5" t="n">
        <v>199.9</v>
      </c>
      <c r="F574" s="3" t="inlineStr">
        <is>
          <t>연서면</t>
        </is>
      </c>
      <c r="G574" s="3" t="inlineStr">
        <is>
          <t>성제리</t>
        </is>
      </c>
      <c r="H574" s="3" t="inlineStr">
        <is>
          <t>계획관리지역</t>
        </is>
      </c>
      <c r="I574" s="3" t="inlineStr">
        <is>
          <t>전</t>
        </is>
      </c>
      <c r="J574" s="3" t="inlineStr">
        <is>
          <t>연서면</t>
        </is>
      </c>
    </row>
    <row r="575">
      <c r="A575" s="3" t="n">
        <v>2022</v>
      </c>
      <c r="B575" s="4" t="n">
        <v>41268</v>
      </c>
      <c r="C575" s="4" t="n">
        <v>1794.9</v>
      </c>
      <c r="D575" s="4" t="n">
        <v>542.95725</v>
      </c>
      <c r="E575" s="5" t="n">
        <v>76</v>
      </c>
      <c r="F575" s="3" t="inlineStr">
        <is>
          <t>연동면</t>
        </is>
      </c>
      <c r="G575" s="3" t="inlineStr">
        <is>
          <t>예양리</t>
        </is>
      </c>
      <c r="H575" s="3" t="inlineStr">
        <is>
          <t>농림지역</t>
        </is>
      </c>
      <c r="I575" s="3" t="inlineStr">
        <is>
          <t>답</t>
        </is>
      </c>
      <c r="J575" s="3" t="inlineStr">
        <is>
          <t>연동면</t>
        </is>
      </c>
    </row>
    <row r="576">
      <c r="A576" s="3" t="n">
        <v>2022</v>
      </c>
      <c r="B576" s="4" t="n">
        <v>1260</v>
      </c>
      <c r="C576" s="4" t="n">
        <v>21</v>
      </c>
      <c r="D576" s="4" t="n">
        <v>6.3525</v>
      </c>
      <c r="E576" s="5" t="n">
        <v>198.3</v>
      </c>
      <c r="F576" s="3" t="inlineStr">
        <is>
          <t>부강면</t>
        </is>
      </c>
      <c r="G576" s="3" t="inlineStr">
        <is>
          <t>부강리</t>
        </is>
      </c>
      <c r="H576" s="3" t="inlineStr">
        <is>
          <t>제2종일반주거지역</t>
        </is>
      </c>
      <c r="I576" s="3" t="inlineStr">
        <is>
          <t>전</t>
        </is>
      </c>
      <c r="J576" s="3" t="inlineStr">
        <is>
          <t>부강면</t>
        </is>
      </c>
    </row>
    <row r="577">
      <c r="A577" s="3" t="n">
        <v>2022</v>
      </c>
      <c r="B577" s="4" t="n">
        <v>63000</v>
      </c>
      <c r="C577" s="4" t="n">
        <v>1018</v>
      </c>
      <c r="D577" s="4" t="n">
        <v>307.945</v>
      </c>
      <c r="E577" s="5" t="n">
        <v>204.6</v>
      </c>
      <c r="F577" s="3" t="inlineStr">
        <is>
          <t>연서면</t>
        </is>
      </c>
      <c r="G577" s="3" t="inlineStr">
        <is>
          <t>와촌리</t>
        </is>
      </c>
      <c r="H577" s="3" t="inlineStr">
        <is>
          <t>계획관리지역</t>
        </is>
      </c>
      <c r="I577" s="3" t="inlineStr">
        <is>
          <t>전</t>
        </is>
      </c>
      <c r="J577" s="3" t="inlineStr">
        <is>
          <t>연서면</t>
        </is>
      </c>
    </row>
    <row r="578">
      <c r="A578" s="3" t="n">
        <v>2022</v>
      </c>
      <c r="B578" s="4" t="n">
        <v>19560</v>
      </c>
      <c r="C578" s="4" t="n">
        <v>149</v>
      </c>
      <c r="D578" s="4" t="n">
        <v>45.0725</v>
      </c>
      <c r="E578" s="5" t="n">
        <v>434</v>
      </c>
      <c r="F578" s="3" t="inlineStr">
        <is>
          <t>연서면</t>
        </is>
      </c>
      <c r="G578" s="3" t="inlineStr">
        <is>
          <t>용암리</t>
        </is>
      </c>
      <c r="H578" s="3" t="inlineStr">
        <is>
          <t>농림지역</t>
        </is>
      </c>
      <c r="I578" s="3" t="inlineStr">
        <is>
          <t>대</t>
        </is>
      </c>
      <c r="J578" s="3" t="inlineStr">
        <is>
          <t>연서면</t>
        </is>
      </c>
    </row>
    <row r="579">
      <c r="A579" s="3" t="n">
        <v>2022</v>
      </c>
      <c r="B579" s="4" t="n">
        <v>15600</v>
      </c>
      <c r="C579" s="4" t="n">
        <v>119</v>
      </c>
      <c r="D579" s="4" t="n">
        <v>35.9975</v>
      </c>
      <c r="E579" s="5" t="n">
        <v>433.4</v>
      </c>
      <c r="F579" s="3" t="inlineStr">
        <is>
          <t>연서면</t>
        </is>
      </c>
      <c r="G579" s="3" t="inlineStr">
        <is>
          <t>용암리</t>
        </is>
      </c>
      <c r="H579" s="3" t="inlineStr">
        <is>
          <t>농림지역</t>
        </is>
      </c>
      <c r="I579" s="3" t="inlineStr">
        <is>
          <t>전</t>
        </is>
      </c>
      <c r="J579" s="3" t="inlineStr">
        <is>
          <t>연서면</t>
        </is>
      </c>
    </row>
    <row r="580">
      <c r="A580" s="3" t="n">
        <v>2022</v>
      </c>
      <c r="B580" s="4" t="n">
        <v>24840</v>
      </c>
      <c r="C580" s="4" t="n">
        <v>189</v>
      </c>
      <c r="D580" s="4" t="n">
        <v>57.1725</v>
      </c>
      <c r="E580" s="5" t="n">
        <v>434.5</v>
      </c>
      <c r="F580" s="3" t="inlineStr">
        <is>
          <t>연서면</t>
        </is>
      </c>
      <c r="G580" s="3" t="inlineStr">
        <is>
          <t>용암리</t>
        </is>
      </c>
      <c r="H580" s="3" t="inlineStr">
        <is>
          <t>농림지역</t>
        </is>
      </c>
      <c r="I580" s="3" t="inlineStr">
        <is>
          <t>전</t>
        </is>
      </c>
      <c r="J580" s="3" t="inlineStr">
        <is>
          <t>연서면</t>
        </is>
      </c>
    </row>
    <row r="581">
      <c r="A581" s="3" t="n">
        <v>2022</v>
      </c>
      <c r="B581" s="4" t="n">
        <v>3000</v>
      </c>
      <c r="C581" s="4" t="n">
        <v>367</v>
      </c>
      <c r="D581" s="4" t="n">
        <v>111.0175</v>
      </c>
      <c r="E581" s="5" t="n">
        <v>27</v>
      </c>
      <c r="F581" s="3" t="inlineStr">
        <is>
          <t>연동면</t>
        </is>
      </c>
      <c r="G581" s="3" t="inlineStr">
        <is>
          <t>노송리</t>
        </is>
      </c>
      <c r="H581" s="3" t="inlineStr">
        <is>
          <t>계획관리지역</t>
        </is>
      </c>
      <c r="I581" s="3" t="inlineStr">
        <is>
          <t>전</t>
        </is>
      </c>
      <c r="J581" s="3" t="inlineStr">
        <is>
          <t>연동면</t>
        </is>
      </c>
    </row>
    <row r="582">
      <c r="A582" s="3" t="n">
        <v>2022</v>
      </c>
      <c r="B582" s="4" t="n">
        <v>23700</v>
      </c>
      <c r="C582" s="4" t="n">
        <v>1306</v>
      </c>
      <c r="D582" s="4" t="n">
        <v>395.065</v>
      </c>
      <c r="E582" s="5" t="n">
        <v>60</v>
      </c>
      <c r="F582" s="3" t="inlineStr">
        <is>
          <t>연서면</t>
        </is>
      </c>
      <c r="G582" s="3" t="inlineStr">
        <is>
          <t>쌍류리</t>
        </is>
      </c>
      <c r="H582" s="3" t="inlineStr">
        <is>
          <t>계획관리지역</t>
        </is>
      </c>
      <c r="I582" s="3" t="inlineStr">
        <is>
          <t>전</t>
        </is>
      </c>
      <c r="J582" s="3" t="inlineStr">
        <is>
          <t>연서면</t>
        </is>
      </c>
    </row>
    <row r="583">
      <c r="A583" s="3" t="n">
        <v>2023</v>
      </c>
      <c r="B583" s="4" t="n">
        <v>1920</v>
      </c>
      <c r="C583" s="4" t="n">
        <v>55</v>
      </c>
      <c r="D583" s="4" t="n">
        <v>16.6375</v>
      </c>
      <c r="E583" s="5" t="n">
        <v>115.4</v>
      </c>
      <c r="F583" s="3" t="inlineStr">
        <is>
          <t>부강면</t>
        </is>
      </c>
      <c r="G583" s="3" t="inlineStr">
        <is>
          <t>문곡리</t>
        </is>
      </c>
      <c r="H583" s="3" t="inlineStr">
        <is>
          <t>계획관리지역</t>
        </is>
      </c>
      <c r="I583" s="3" t="inlineStr">
        <is>
          <t>대</t>
        </is>
      </c>
      <c r="J583" s="3" t="inlineStr">
        <is>
          <t>부강면</t>
        </is>
      </c>
    </row>
    <row r="584">
      <c r="A584" s="3" t="n">
        <v>2023</v>
      </c>
      <c r="B584" s="4" t="n">
        <v>114200</v>
      </c>
      <c r="C584" s="4" t="n">
        <v>1190</v>
      </c>
      <c r="D584" s="4" t="n">
        <v>359.975</v>
      </c>
      <c r="E584" s="5" t="n">
        <v>317.2</v>
      </c>
      <c r="F584" s="3" t="inlineStr">
        <is>
          <t>연서면</t>
        </is>
      </c>
      <c r="G584" s="3" t="inlineStr">
        <is>
          <t>월하리</t>
        </is>
      </c>
      <c r="H584" s="3" t="inlineStr">
        <is>
          <t>자연녹지지역</t>
        </is>
      </c>
      <c r="I584" s="3" t="inlineStr">
        <is>
          <t>과수원</t>
        </is>
      </c>
      <c r="J584" s="3" t="inlineStr">
        <is>
          <t>연서면</t>
        </is>
      </c>
    </row>
    <row r="585">
      <c r="A585" s="3" t="n">
        <v>2023</v>
      </c>
      <c r="B585" s="4" t="n">
        <v>9000</v>
      </c>
      <c r="C585" s="4" t="n">
        <v>99</v>
      </c>
      <c r="D585" s="4" t="n">
        <v>29.9475</v>
      </c>
      <c r="E585" s="5" t="n">
        <v>300.5</v>
      </c>
      <c r="F585" s="3" t="inlineStr">
        <is>
          <t>연서면</t>
        </is>
      </c>
      <c r="G585" s="3" t="inlineStr">
        <is>
          <t>월하리</t>
        </is>
      </c>
      <c r="H585" s="3" t="inlineStr">
        <is>
          <t>자연녹지지역</t>
        </is>
      </c>
      <c r="I585" s="3" t="inlineStr">
        <is>
          <t>임야</t>
        </is>
      </c>
      <c r="J585" s="3" t="inlineStr">
        <is>
          <t>연서면</t>
        </is>
      </c>
    </row>
    <row r="586">
      <c r="A586" s="3" t="n">
        <v>2023</v>
      </c>
      <c r="B586" s="4" t="n">
        <v>4800</v>
      </c>
      <c r="C586" s="4" t="n">
        <v>53</v>
      </c>
      <c r="D586" s="4" t="n">
        <v>16.0325</v>
      </c>
      <c r="E586" s="5" t="n">
        <v>299.4</v>
      </c>
      <c r="F586" s="3" t="inlineStr">
        <is>
          <t>연서면</t>
        </is>
      </c>
      <c r="G586" s="3" t="inlineStr">
        <is>
          <t>월하리</t>
        </is>
      </c>
      <c r="H586" s="3" t="inlineStr">
        <is>
          <t>자연녹지지역</t>
        </is>
      </c>
      <c r="I586" s="3" t="inlineStr">
        <is>
          <t>임야</t>
        </is>
      </c>
      <c r="J586" s="3" t="inlineStr">
        <is>
          <t>연서면</t>
        </is>
      </c>
    </row>
    <row r="587">
      <c r="A587" s="3" t="n">
        <v>2023</v>
      </c>
      <c r="B587" s="4" t="n">
        <v>10404</v>
      </c>
      <c r="C587" s="4" t="n">
        <v>298</v>
      </c>
      <c r="D587" s="4" t="n">
        <v>90.145</v>
      </c>
      <c r="E587" s="5" t="n">
        <v>115.4</v>
      </c>
      <c r="F587" s="3" t="inlineStr">
        <is>
          <t>남이면</t>
        </is>
      </c>
      <c r="G587" s="3" t="inlineStr">
        <is>
          <t>척산리</t>
        </is>
      </c>
      <c r="H587" s="3" t="inlineStr">
        <is>
          <t>계획관리지역</t>
        </is>
      </c>
      <c r="I587" s="3" t="inlineStr">
        <is>
          <t>전</t>
        </is>
      </c>
      <c r="J587" s="3" t="inlineStr">
        <is>
          <t>남이면</t>
        </is>
      </c>
    </row>
    <row r="588">
      <c r="A588" s="3" t="n">
        <v>2023</v>
      </c>
      <c r="B588" s="4" t="n">
        <v>11107</v>
      </c>
      <c r="C588" s="4" t="n">
        <v>287</v>
      </c>
      <c r="D588" s="4" t="n">
        <v>86.8175</v>
      </c>
      <c r="E588" s="5" t="n">
        <v>127.9</v>
      </c>
      <c r="F588" s="3" t="inlineStr">
        <is>
          <t>남이면</t>
        </is>
      </c>
      <c r="G588" s="3" t="inlineStr">
        <is>
          <t>척산리</t>
        </is>
      </c>
      <c r="H588" s="3" t="inlineStr">
        <is>
          <t>계획관리지역</t>
        </is>
      </c>
      <c r="I588" s="3" t="inlineStr">
        <is>
          <t>전</t>
        </is>
      </c>
      <c r="J588" s="3" t="inlineStr">
        <is>
          <t>남이면</t>
        </is>
      </c>
    </row>
    <row r="589">
      <c r="A589" s="3" t="n">
        <v>2023</v>
      </c>
      <c r="B589" s="4" t="n">
        <v>17</v>
      </c>
      <c r="C589" s="4" t="n">
        <v>1</v>
      </c>
      <c r="D589" s="4" t="n">
        <v>0.3025</v>
      </c>
      <c r="E589" s="5" t="n">
        <v>56.2</v>
      </c>
      <c r="F589" s="3" t="inlineStr">
        <is>
          <t>남이면</t>
        </is>
      </c>
      <c r="G589" s="3" t="inlineStr">
        <is>
          <t>대련리</t>
        </is>
      </c>
      <c r="H589" s="3" t="inlineStr">
        <is>
          <t>자연녹지지역</t>
        </is>
      </c>
      <c r="I589" s="3" t="inlineStr">
        <is>
          <t>전</t>
        </is>
      </c>
      <c r="J589" s="3" t="inlineStr">
        <is>
          <t>남이면</t>
        </is>
      </c>
    </row>
    <row r="590">
      <c r="A590" s="3" t="n">
        <v>2023</v>
      </c>
      <c r="B590" s="4" t="n">
        <v>34</v>
      </c>
      <c r="C590" s="4" t="n">
        <v>2</v>
      </c>
      <c r="D590" s="4" t="n">
        <v>0.605</v>
      </c>
      <c r="E590" s="5" t="n">
        <v>56.2</v>
      </c>
      <c r="F590" s="3" t="inlineStr">
        <is>
          <t>남이면</t>
        </is>
      </c>
      <c r="G590" s="3" t="inlineStr">
        <is>
          <t>대련리</t>
        </is>
      </c>
      <c r="H590" s="3" t="inlineStr">
        <is>
          <t>자연녹지지역</t>
        </is>
      </c>
      <c r="I590" s="3" t="inlineStr">
        <is>
          <t>전</t>
        </is>
      </c>
      <c r="J590" s="3" t="inlineStr">
        <is>
          <t>남이면</t>
        </is>
      </c>
    </row>
    <row r="591">
      <c r="A591" s="3" t="n">
        <v>2023</v>
      </c>
      <c r="B591" s="4" t="n">
        <v>23500</v>
      </c>
      <c r="C591" s="4" t="n">
        <v>3709</v>
      </c>
      <c r="D591" s="4" t="n">
        <v>1121.9725</v>
      </c>
      <c r="E591" s="5" t="n">
        <v>20.9</v>
      </c>
      <c r="F591" s="3" t="inlineStr">
        <is>
          <t>남이면</t>
        </is>
      </c>
      <c r="G591" s="3" t="inlineStr">
        <is>
          <t>척산리</t>
        </is>
      </c>
      <c r="H591" s="3" t="inlineStr">
        <is>
          <t>생산관리지역</t>
        </is>
      </c>
      <c r="I591" s="3" t="inlineStr">
        <is>
          <t>답</t>
        </is>
      </c>
      <c r="J591" s="3" t="inlineStr">
        <is>
          <t>남이면</t>
        </is>
      </c>
    </row>
    <row r="592">
      <c r="A592" s="3" t="n">
        <v>2023</v>
      </c>
      <c r="B592" s="4" t="n">
        <v>1195</v>
      </c>
      <c r="C592" s="4" t="n">
        <v>71</v>
      </c>
      <c r="D592" s="4" t="n">
        <v>21.4775</v>
      </c>
      <c r="E592" s="5" t="n">
        <v>55.6</v>
      </c>
      <c r="F592" s="3" t="inlineStr">
        <is>
          <t>남이면</t>
        </is>
      </c>
      <c r="G592" s="3" t="inlineStr">
        <is>
          <t>대련리</t>
        </is>
      </c>
      <c r="H592" s="3" t="inlineStr">
        <is>
          <t>자연녹지지역</t>
        </is>
      </c>
      <c r="I592" s="3" t="inlineStr">
        <is>
          <t>답</t>
        </is>
      </c>
      <c r="J592" s="3" t="inlineStr">
        <is>
          <t>남이면</t>
        </is>
      </c>
    </row>
    <row r="593">
      <c r="A593" s="3" t="n">
        <v>2023</v>
      </c>
      <c r="B593" s="4" t="n">
        <v>555</v>
      </c>
      <c r="C593" s="4" t="n">
        <v>100</v>
      </c>
      <c r="D593" s="4" t="n">
        <v>30.25</v>
      </c>
      <c r="E593" s="5" t="n">
        <v>18.3</v>
      </c>
      <c r="F593" s="3" t="inlineStr">
        <is>
          <t>남이면</t>
        </is>
      </c>
      <c r="G593" s="3" t="inlineStr">
        <is>
          <t>대련리</t>
        </is>
      </c>
      <c r="H593" s="3" t="inlineStr">
        <is>
          <t>자연녹지지역</t>
        </is>
      </c>
      <c r="I593" s="3" t="inlineStr">
        <is>
          <t>전</t>
        </is>
      </c>
      <c r="J593" s="3" t="inlineStr">
        <is>
          <t>남이면</t>
        </is>
      </c>
    </row>
    <row r="594">
      <c r="A594" s="3" t="n">
        <v>2023</v>
      </c>
      <c r="B594" s="4" t="n">
        <v>40200</v>
      </c>
      <c r="C594" s="4" t="n">
        <v>990</v>
      </c>
      <c r="D594" s="4" t="n">
        <v>299.475</v>
      </c>
      <c r="E594" s="5" t="n">
        <v>134.2</v>
      </c>
      <c r="F594" s="3" t="inlineStr">
        <is>
          <t>남이면</t>
        </is>
      </c>
      <c r="G594" s="3" t="inlineStr">
        <is>
          <t>대련리</t>
        </is>
      </c>
      <c r="H594" s="3" t="inlineStr">
        <is>
          <t>자연녹지지역</t>
        </is>
      </c>
      <c r="I594" s="3" t="inlineStr">
        <is>
          <t>창고용지</t>
        </is>
      </c>
      <c r="J594" s="3" t="inlineStr">
        <is>
          <t>남이면</t>
        </is>
      </c>
    </row>
    <row r="595">
      <c r="A595" s="3" t="n">
        <v>2023</v>
      </c>
      <c r="B595" s="4" t="n">
        <v>2544</v>
      </c>
      <c r="C595" s="4" t="n">
        <v>120</v>
      </c>
      <c r="D595" s="4" t="n">
        <v>36.3</v>
      </c>
      <c r="E595" s="5" t="n">
        <v>70.09999999999999</v>
      </c>
      <c r="F595" s="3" t="inlineStr">
        <is>
          <t>남이면</t>
        </is>
      </c>
      <c r="G595" s="3" t="inlineStr">
        <is>
          <t>상발리</t>
        </is>
      </c>
      <c r="H595" s="3" t="inlineStr">
        <is>
          <t>자연녹지지역</t>
        </is>
      </c>
      <c r="I595" s="3" t="inlineStr">
        <is>
          <t>전</t>
        </is>
      </c>
      <c r="J595" s="3" t="inlineStr">
        <is>
          <t>남이면</t>
        </is>
      </c>
    </row>
    <row r="596">
      <c r="A596" s="3" t="n">
        <v>2023</v>
      </c>
      <c r="B596" s="4" t="n">
        <v>8400</v>
      </c>
      <c r="C596" s="4" t="n">
        <v>280</v>
      </c>
      <c r="D596" s="4" t="n">
        <v>84.7</v>
      </c>
      <c r="E596" s="5" t="n">
        <v>99.2</v>
      </c>
      <c r="F596" s="3" t="inlineStr">
        <is>
          <t>남이면</t>
        </is>
      </c>
      <c r="G596" s="3" t="inlineStr">
        <is>
          <t>비룡리</t>
        </is>
      </c>
      <c r="H596" s="3" t="inlineStr">
        <is>
          <t>계획관리지역</t>
        </is>
      </c>
      <c r="I596" s="3" t="inlineStr">
        <is>
          <t>대</t>
        </is>
      </c>
      <c r="J596" s="3" t="inlineStr">
        <is>
          <t>남이면</t>
        </is>
      </c>
    </row>
    <row r="597">
      <c r="A597" s="3" t="n">
        <v>2023</v>
      </c>
      <c r="B597" s="4" t="n">
        <v>41600</v>
      </c>
      <c r="C597" s="4" t="n">
        <v>962</v>
      </c>
      <c r="D597" s="4" t="n">
        <v>291.005</v>
      </c>
      <c r="E597" s="5" t="n">
        <v>143</v>
      </c>
      <c r="F597" s="3" t="inlineStr">
        <is>
          <t>남이면</t>
        </is>
      </c>
      <c r="G597" s="3" t="inlineStr">
        <is>
          <t>양촌리</t>
        </is>
      </c>
      <c r="H597" s="3" t="inlineStr">
        <is>
          <t>자연녹지지역</t>
        </is>
      </c>
      <c r="I597" s="3" t="inlineStr">
        <is>
          <t>답</t>
        </is>
      </c>
      <c r="J597" s="3" t="inlineStr">
        <is>
          <t>남이면</t>
        </is>
      </c>
    </row>
    <row r="598">
      <c r="A598" s="3" t="n">
        <v>2023</v>
      </c>
      <c r="B598" s="4" t="n">
        <v>21700</v>
      </c>
      <c r="C598" s="4" t="n">
        <v>660</v>
      </c>
      <c r="D598" s="4" t="n">
        <v>199.65</v>
      </c>
      <c r="E598" s="5" t="n">
        <v>108.7</v>
      </c>
      <c r="F598" s="3" t="inlineStr">
        <is>
          <t>남이면</t>
        </is>
      </c>
      <c r="G598" s="3" t="inlineStr">
        <is>
          <t>양촌리</t>
        </is>
      </c>
      <c r="H598" s="3" t="inlineStr">
        <is>
          <t>자연녹지지역</t>
        </is>
      </c>
      <c r="I598" s="3" t="inlineStr">
        <is>
          <t>전</t>
        </is>
      </c>
      <c r="J598" s="3" t="inlineStr">
        <is>
          <t>남이면</t>
        </is>
      </c>
    </row>
    <row r="599">
      <c r="A599" s="3" t="n">
        <v>2023</v>
      </c>
      <c r="B599" s="4" t="n">
        <v>12600</v>
      </c>
      <c r="C599" s="4" t="n">
        <v>433</v>
      </c>
      <c r="D599" s="4" t="n">
        <v>130.9825</v>
      </c>
      <c r="E599" s="5" t="n">
        <v>96.2</v>
      </c>
      <c r="F599" s="3" t="inlineStr">
        <is>
          <t>남이면</t>
        </is>
      </c>
      <c r="G599" s="3" t="inlineStr">
        <is>
          <t>양촌리</t>
        </is>
      </c>
      <c r="H599" s="3" t="inlineStr">
        <is>
          <t>자연녹지지역</t>
        </is>
      </c>
      <c r="I599" s="3" t="inlineStr">
        <is>
          <t>전</t>
        </is>
      </c>
      <c r="J599" s="3" t="inlineStr">
        <is>
          <t>남이면</t>
        </is>
      </c>
    </row>
    <row r="600">
      <c r="A600" s="3" t="n">
        <v>2023</v>
      </c>
      <c r="B600" s="4" t="n">
        <v>4236</v>
      </c>
      <c r="C600" s="4" t="n">
        <v>133</v>
      </c>
      <c r="D600" s="4" t="n">
        <v>40.2325</v>
      </c>
      <c r="E600" s="5" t="n">
        <v>105.3</v>
      </c>
      <c r="F600" s="3" t="inlineStr">
        <is>
          <t>남이면</t>
        </is>
      </c>
      <c r="G600" s="3" t="inlineStr">
        <is>
          <t>양촌리</t>
        </is>
      </c>
      <c r="H600" s="3" t="inlineStr">
        <is>
          <t>자연녹지지역</t>
        </is>
      </c>
      <c r="I600" s="3" t="inlineStr">
        <is>
          <t>대</t>
        </is>
      </c>
      <c r="J600" s="3" t="inlineStr">
        <is>
          <t>남이면</t>
        </is>
      </c>
    </row>
    <row r="601">
      <c r="A601" s="3" t="n">
        <v>2023</v>
      </c>
      <c r="B601" s="4" t="n">
        <v>6943</v>
      </c>
      <c r="C601" s="4" t="n">
        <v>218</v>
      </c>
      <c r="D601" s="4" t="n">
        <v>65.94499999999999</v>
      </c>
      <c r="E601" s="5" t="n">
        <v>105.3</v>
      </c>
      <c r="F601" s="3" t="inlineStr">
        <is>
          <t>남이면</t>
        </is>
      </c>
      <c r="G601" s="3" t="inlineStr">
        <is>
          <t>양촌리</t>
        </is>
      </c>
      <c r="H601" s="3" t="inlineStr">
        <is>
          <t>자연녹지지역</t>
        </is>
      </c>
      <c r="I601" s="3" t="inlineStr">
        <is>
          <t>임야</t>
        </is>
      </c>
      <c r="J601" s="3" t="inlineStr">
        <is>
          <t>남이면</t>
        </is>
      </c>
    </row>
    <row r="602">
      <c r="A602" s="3" t="n">
        <v>2022</v>
      </c>
      <c r="B602" s="4" t="n">
        <v>1200</v>
      </c>
      <c r="C602" s="4" t="n">
        <v>200</v>
      </c>
      <c r="D602" s="4" t="n">
        <v>60.5</v>
      </c>
      <c r="E602" s="5" t="n">
        <v>19.8</v>
      </c>
      <c r="F602" s="3" t="inlineStr">
        <is>
          <t>남이면</t>
        </is>
      </c>
      <c r="G602" s="3" t="inlineStr">
        <is>
          <t>팔봉리</t>
        </is>
      </c>
      <c r="H602" s="3" t="inlineStr">
        <is>
          <t>자연녹지지역</t>
        </is>
      </c>
      <c r="I602" s="3" t="inlineStr">
        <is>
          <t>전</t>
        </is>
      </c>
      <c r="J602" s="3" t="inlineStr">
        <is>
          <t>남이면</t>
        </is>
      </c>
    </row>
    <row r="603">
      <c r="A603" s="3" t="n">
        <v>2022</v>
      </c>
      <c r="B603" s="4" t="n">
        <v>10000</v>
      </c>
      <c r="C603" s="4" t="n">
        <v>1033</v>
      </c>
      <c r="D603" s="4" t="n">
        <v>312.4825</v>
      </c>
      <c r="E603" s="5" t="n">
        <v>32</v>
      </c>
      <c r="F603" s="3" t="inlineStr">
        <is>
          <t>남이면</t>
        </is>
      </c>
      <c r="G603" s="3" t="inlineStr">
        <is>
          <t>갈원리</t>
        </is>
      </c>
      <c r="H603" s="3" t="inlineStr">
        <is>
          <t>생산관리지역</t>
        </is>
      </c>
      <c r="I603" s="3" t="inlineStr">
        <is>
          <t>전</t>
        </is>
      </c>
      <c r="J603" s="3" t="inlineStr">
        <is>
          <t>남이면</t>
        </is>
      </c>
    </row>
    <row r="604">
      <c r="A604" s="3" t="n">
        <v>2022</v>
      </c>
      <c r="B604" s="4" t="n">
        <v>27929</v>
      </c>
      <c r="C604" s="4" t="n">
        <v>839</v>
      </c>
      <c r="D604" s="4" t="n">
        <v>253.7975</v>
      </c>
      <c r="E604" s="5" t="n">
        <v>110</v>
      </c>
      <c r="F604" s="3" t="inlineStr">
        <is>
          <t>남이면</t>
        </is>
      </c>
      <c r="G604" s="3" t="inlineStr">
        <is>
          <t>양촌리</t>
        </is>
      </c>
      <c r="H604" s="3" t="inlineStr">
        <is>
          <t>보전녹지지역</t>
        </is>
      </c>
      <c r="I604" s="3" t="inlineStr">
        <is>
          <t>임야</t>
        </is>
      </c>
      <c r="J604" s="3" t="inlineStr">
        <is>
          <t>남이면</t>
        </is>
      </c>
    </row>
    <row r="605">
      <c r="A605" s="3" t="n">
        <v>2022</v>
      </c>
      <c r="B605" s="4" t="n">
        <v>16540</v>
      </c>
      <c r="C605" s="4" t="n">
        <v>2734</v>
      </c>
      <c r="D605" s="4" t="n">
        <v>827.035</v>
      </c>
      <c r="E605" s="5" t="n">
        <v>20</v>
      </c>
      <c r="F605" s="3" t="inlineStr">
        <is>
          <t>남이면</t>
        </is>
      </c>
      <c r="G605" s="3" t="inlineStr">
        <is>
          <t>산막리</t>
        </is>
      </c>
      <c r="H605" s="3" t="inlineStr">
        <is>
          <t>생산관리지역</t>
        </is>
      </c>
      <c r="I605" s="3" t="inlineStr">
        <is>
          <t>답</t>
        </is>
      </c>
      <c r="J605" s="3" t="inlineStr">
        <is>
          <t>남이면</t>
        </is>
      </c>
    </row>
    <row r="606">
      <c r="A606" s="3" t="n">
        <v>2022</v>
      </c>
      <c r="B606" s="4" t="n">
        <v>3000</v>
      </c>
      <c r="C606" s="4" t="n">
        <v>66</v>
      </c>
      <c r="D606" s="4" t="n">
        <v>19.965</v>
      </c>
      <c r="E606" s="5" t="n">
        <v>150.3</v>
      </c>
      <c r="F606" s="3" t="inlineStr">
        <is>
          <t>남이면</t>
        </is>
      </c>
      <c r="G606" s="3" t="inlineStr">
        <is>
          <t>가마리</t>
        </is>
      </c>
      <c r="H606" s="3" t="inlineStr">
        <is>
          <t>자연녹지지역</t>
        </is>
      </c>
      <c r="I606" s="3" t="inlineStr">
        <is>
          <t>임야</t>
        </is>
      </c>
      <c r="J606" s="3" t="inlineStr">
        <is>
          <t>남이면</t>
        </is>
      </c>
    </row>
    <row r="607">
      <c r="A607" s="3" t="n">
        <v>2022</v>
      </c>
      <c r="B607" s="4" t="n">
        <v>5800</v>
      </c>
      <c r="C607" s="4" t="n">
        <v>466</v>
      </c>
      <c r="D607" s="4" t="n">
        <v>140.965</v>
      </c>
      <c r="E607" s="5" t="n">
        <v>41.1</v>
      </c>
      <c r="F607" s="3" t="inlineStr">
        <is>
          <t>남이면</t>
        </is>
      </c>
      <c r="G607" s="3" t="inlineStr">
        <is>
          <t>구미리</t>
        </is>
      </c>
      <c r="H607" s="3" t="inlineStr">
        <is>
          <t>계획관리지역</t>
        </is>
      </c>
      <c r="I607" s="3" t="inlineStr">
        <is>
          <t>전</t>
        </is>
      </c>
      <c r="J607" s="3" t="inlineStr">
        <is>
          <t>남이면</t>
        </is>
      </c>
    </row>
    <row r="608">
      <c r="A608" s="3" t="n">
        <v>2022</v>
      </c>
      <c r="B608" s="4" t="n">
        <v>11300</v>
      </c>
      <c r="C608" s="4" t="n">
        <v>477</v>
      </c>
      <c r="D608" s="4" t="n">
        <v>144.2925</v>
      </c>
      <c r="E608" s="5" t="n">
        <v>78.3</v>
      </c>
      <c r="F608" s="3" t="inlineStr">
        <is>
          <t>남이면</t>
        </is>
      </c>
      <c r="G608" s="3" t="inlineStr">
        <is>
          <t>갈원리</t>
        </is>
      </c>
      <c r="H608" s="3" t="inlineStr">
        <is>
          <t>보전관리지역</t>
        </is>
      </c>
      <c r="I608" s="3" t="inlineStr">
        <is>
          <t>임야</t>
        </is>
      </c>
      <c r="J608" s="3" t="inlineStr">
        <is>
          <t>남이면</t>
        </is>
      </c>
    </row>
    <row r="609">
      <c r="A609" s="3" t="n">
        <v>2022</v>
      </c>
      <c r="B609" s="4" t="n">
        <v>15000</v>
      </c>
      <c r="C609" s="4" t="n">
        <v>846</v>
      </c>
      <c r="D609" s="4" t="n">
        <v>255.915</v>
      </c>
      <c r="E609" s="5" t="n">
        <v>58.6</v>
      </c>
      <c r="F609" s="3" t="inlineStr">
        <is>
          <t>남이면</t>
        </is>
      </c>
      <c r="G609" s="3" t="inlineStr">
        <is>
          <t>문동리</t>
        </is>
      </c>
      <c r="H609" s="3" t="inlineStr">
        <is>
          <t>보전녹지지역</t>
        </is>
      </c>
      <c r="I609" s="3" t="inlineStr">
        <is>
          <t>임야</t>
        </is>
      </c>
      <c r="J609" s="3" t="inlineStr">
        <is>
          <t>남이면</t>
        </is>
      </c>
    </row>
    <row r="610">
      <c r="A610" s="3" t="n">
        <v>2022</v>
      </c>
      <c r="B610" s="4" t="n">
        <v>12100</v>
      </c>
      <c r="C610" s="4" t="n">
        <v>504</v>
      </c>
      <c r="D610" s="4" t="n">
        <v>152.46</v>
      </c>
      <c r="E610" s="5" t="n">
        <v>79.40000000000001</v>
      </c>
      <c r="F610" s="3" t="inlineStr">
        <is>
          <t>남이면</t>
        </is>
      </c>
      <c r="G610" s="3" t="inlineStr">
        <is>
          <t>갈원리</t>
        </is>
      </c>
      <c r="H610" s="3" t="inlineStr">
        <is>
          <t>보전관리지역</t>
        </is>
      </c>
      <c r="I610" s="3" t="inlineStr">
        <is>
          <t>임야</t>
        </is>
      </c>
      <c r="J610" s="3" t="inlineStr">
        <is>
          <t>남이면</t>
        </is>
      </c>
    </row>
    <row r="611">
      <c r="A611" s="3" t="n">
        <v>2022</v>
      </c>
      <c r="B611" s="4" t="n">
        <v>3000</v>
      </c>
      <c r="C611" s="4" t="n">
        <v>327</v>
      </c>
      <c r="D611" s="4" t="n">
        <v>98.9175</v>
      </c>
      <c r="E611" s="5" t="n">
        <v>30.3</v>
      </c>
      <c r="F611" s="3" t="inlineStr">
        <is>
          <t>남이면</t>
        </is>
      </c>
      <c r="G611" s="3" t="inlineStr">
        <is>
          <t>구미리</t>
        </is>
      </c>
      <c r="H611" s="3" t="inlineStr">
        <is>
          <t>농림지역</t>
        </is>
      </c>
      <c r="I611" s="3" t="inlineStr">
        <is>
          <t>구거</t>
        </is>
      </c>
      <c r="J611" s="3" t="inlineStr">
        <is>
          <t>남이면</t>
        </is>
      </c>
    </row>
    <row r="612">
      <c r="A612" s="3" t="n">
        <v>2022</v>
      </c>
      <c r="B612" s="4" t="n">
        <v>7590</v>
      </c>
      <c r="C612" s="4" t="n">
        <v>1091</v>
      </c>
      <c r="D612" s="4" t="n">
        <v>330.0275</v>
      </c>
      <c r="E612" s="5" t="n">
        <v>23</v>
      </c>
      <c r="F612" s="3" t="inlineStr">
        <is>
          <t>남이면</t>
        </is>
      </c>
      <c r="G612" s="3" t="inlineStr">
        <is>
          <t>문동리</t>
        </is>
      </c>
      <c r="H612" s="3" t="inlineStr">
        <is>
          <t>농림지역</t>
        </is>
      </c>
      <c r="I612" s="3" t="inlineStr">
        <is>
          <t>답</t>
        </is>
      </c>
      <c r="J612" s="3" t="inlineStr">
        <is>
          <t>남이면</t>
        </is>
      </c>
    </row>
    <row r="613">
      <c r="A613" s="3" t="n">
        <v>2022</v>
      </c>
      <c r="B613" s="4" t="n">
        <v>13488</v>
      </c>
      <c r="C613" s="4" t="n">
        <v>560</v>
      </c>
      <c r="D613" s="4" t="n">
        <v>169.4</v>
      </c>
      <c r="E613" s="5" t="n">
        <v>79.59999999999999</v>
      </c>
      <c r="F613" s="3" t="inlineStr">
        <is>
          <t>남이면</t>
        </is>
      </c>
      <c r="G613" s="3" t="inlineStr">
        <is>
          <t>척산리</t>
        </is>
      </c>
      <c r="H613" s="3" t="inlineStr">
        <is>
          <t>보전관리지역</t>
        </is>
      </c>
      <c r="I613" s="3" t="inlineStr">
        <is>
          <t>전</t>
        </is>
      </c>
      <c r="J613" s="3" t="inlineStr">
        <is>
          <t>남이면</t>
        </is>
      </c>
    </row>
    <row r="614">
      <c r="A614" s="3" t="n">
        <v>2022</v>
      </c>
      <c r="B614" s="4" t="n">
        <v>13512</v>
      </c>
      <c r="C614" s="4" t="n">
        <v>561</v>
      </c>
      <c r="D614" s="4" t="n">
        <v>169.7025</v>
      </c>
      <c r="E614" s="5" t="n">
        <v>79.59999999999999</v>
      </c>
      <c r="F614" s="3" t="inlineStr">
        <is>
          <t>남이면</t>
        </is>
      </c>
      <c r="G614" s="3" t="inlineStr">
        <is>
          <t>척산리</t>
        </is>
      </c>
      <c r="H614" s="3" t="inlineStr">
        <is>
          <t>보전관리지역</t>
        </is>
      </c>
      <c r="I614" s="3" t="inlineStr">
        <is>
          <t>전</t>
        </is>
      </c>
      <c r="J614" s="3" t="inlineStr">
        <is>
          <t>남이면</t>
        </is>
      </c>
    </row>
    <row r="615">
      <c r="A615" s="3" t="n">
        <v>2022</v>
      </c>
      <c r="B615" s="4" t="n">
        <v>100000</v>
      </c>
      <c r="C615" s="4" t="n">
        <v>661</v>
      </c>
      <c r="D615" s="4" t="n">
        <v>199.9525</v>
      </c>
      <c r="E615" s="5" t="n">
        <v>500.1</v>
      </c>
      <c r="F615" s="3" t="inlineStr">
        <is>
          <t>부강면</t>
        </is>
      </c>
      <c r="G615" s="3" t="inlineStr">
        <is>
          <t>금호리</t>
        </is>
      </c>
      <c r="H615" s="3" t="inlineStr">
        <is>
          <t>계획관리지역</t>
        </is>
      </c>
      <c r="I615" s="3" t="inlineStr">
        <is>
          <t>잡종지</t>
        </is>
      </c>
      <c r="J615" s="3" t="inlineStr">
        <is>
          <t>부강면</t>
        </is>
      </c>
    </row>
    <row r="616">
      <c r="A616" s="3" t="n">
        <v>2023</v>
      </c>
      <c r="B616" s="4" t="n">
        <v>10200</v>
      </c>
      <c r="C616" s="4" t="n">
        <v>112</v>
      </c>
      <c r="D616" s="4" t="n">
        <v>33.88</v>
      </c>
      <c r="E616" s="5" t="n">
        <v>301.1</v>
      </c>
      <c r="F616" s="3" t="inlineStr">
        <is>
          <t>연서면</t>
        </is>
      </c>
      <c r="G616" s="3" t="inlineStr">
        <is>
          <t>월하리</t>
        </is>
      </c>
      <c r="H616" s="3" t="inlineStr">
        <is>
          <t>자연녹지지역</t>
        </is>
      </c>
      <c r="I616" s="3" t="inlineStr">
        <is>
          <t>임야</t>
        </is>
      </c>
      <c r="J616" s="3" t="inlineStr">
        <is>
          <t>연서면</t>
        </is>
      </c>
    </row>
    <row r="617">
      <c r="A617" s="3" t="n">
        <v>2024</v>
      </c>
      <c r="B617" s="4" t="n">
        <v>19000</v>
      </c>
      <c r="C617" s="4" t="n">
        <v>1000</v>
      </c>
      <c r="D617" s="4" t="n">
        <v>302.5</v>
      </c>
      <c r="E617" s="5" t="n">
        <v>62.8</v>
      </c>
      <c r="F617" s="3" t="inlineStr">
        <is>
          <t>연서면</t>
        </is>
      </c>
      <c r="G617" s="3" t="inlineStr">
        <is>
          <t>고복리</t>
        </is>
      </c>
      <c r="H617" s="3" t="inlineStr">
        <is>
          <t>농림지역</t>
        </is>
      </c>
      <c r="I617" s="3" t="inlineStr">
        <is>
          <t>답</t>
        </is>
      </c>
      <c r="J617" s="3" t="inlineStr">
        <is>
          <t>연서면</t>
        </is>
      </c>
    </row>
    <row r="618">
      <c r="A618" s="3" t="n">
        <v>2024</v>
      </c>
      <c r="B618" s="4" t="n">
        <v>240000</v>
      </c>
      <c r="C618" s="4" t="n">
        <v>854.7</v>
      </c>
      <c r="D618" s="4" t="n">
        <v>258.54675</v>
      </c>
      <c r="E618" s="5" t="n">
        <v>928.3</v>
      </c>
      <c r="F618" s="3" t="inlineStr">
        <is>
          <t>조치원읍</t>
        </is>
      </c>
      <c r="G618" s="3" t="inlineStr">
        <is>
          <t>봉산리</t>
        </is>
      </c>
      <c r="H618" s="3" t="inlineStr">
        <is>
          <t>준주거지역</t>
        </is>
      </c>
      <c r="I618" s="3" t="inlineStr">
        <is>
          <t>대</t>
        </is>
      </c>
      <c r="J618" s="3" t="inlineStr">
        <is>
          <t>조치원읍</t>
        </is>
      </c>
    </row>
    <row r="619">
      <c r="A619" s="3" t="n">
        <v>2024</v>
      </c>
      <c r="B619" s="4" t="n">
        <v>68000</v>
      </c>
      <c r="C619" s="4" t="n">
        <v>3173.3</v>
      </c>
      <c r="D619" s="4" t="n">
        <v>959.9232500000001</v>
      </c>
      <c r="E619" s="5" t="n">
        <v>70.8</v>
      </c>
      <c r="F619" s="3" t="inlineStr">
        <is>
          <t>연동면</t>
        </is>
      </c>
      <c r="G619" s="3" t="inlineStr">
        <is>
          <t>문주리</t>
        </is>
      </c>
      <c r="H619" s="3" t="inlineStr">
        <is>
          <t>농림지역</t>
        </is>
      </c>
      <c r="I619" s="3" t="inlineStr">
        <is>
          <t>답</t>
        </is>
      </c>
      <c r="J619" s="3" t="inlineStr">
        <is>
          <t>연동면</t>
        </is>
      </c>
    </row>
    <row r="620">
      <c r="A620" s="3" t="n">
        <v>2022</v>
      </c>
      <c r="B620" s="4" t="n">
        <v>27000</v>
      </c>
      <c r="C620" s="4" t="n">
        <v>1855</v>
      </c>
      <c r="D620" s="4" t="n">
        <v>561.1374999999999</v>
      </c>
      <c r="E620" s="5" t="n">
        <v>48.1</v>
      </c>
      <c r="F620" s="3" t="inlineStr">
        <is>
          <t>부강면</t>
        </is>
      </c>
      <c r="G620" s="3" t="inlineStr">
        <is>
          <t>등곡리</t>
        </is>
      </c>
      <c r="H620" s="3" t="inlineStr">
        <is>
          <t>계획관리지역</t>
        </is>
      </c>
      <c r="I620" s="3" t="inlineStr">
        <is>
          <t>전</t>
        </is>
      </c>
      <c r="J620" s="3" t="inlineStr">
        <is>
          <t>부강면</t>
        </is>
      </c>
    </row>
    <row r="621">
      <c r="A621" s="3" t="n">
        <v>2022</v>
      </c>
      <c r="B621" s="4" t="n">
        <v>9100</v>
      </c>
      <c r="C621" s="4" t="n">
        <v>2757</v>
      </c>
      <c r="D621" s="4" t="n">
        <v>833.9924999999999</v>
      </c>
      <c r="E621" s="5" t="n">
        <v>10.9</v>
      </c>
      <c r="F621" s="3" t="inlineStr">
        <is>
          <t>부강면</t>
        </is>
      </c>
      <c r="G621" s="3" t="inlineStr">
        <is>
          <t>문곡리</t>
        </is>
      </c>
      <c r="H621" s="3" t="inlineStr">
        <is>
          <t>계획관리지역</t>
        </is>
      </c>
      <c r="I621" s="3" t="inlineStr">
        <is>
          <t>임야</t>
        </is>
      </c>
      <c r="J621" s="3" t="inlineStr">
        <is>
          <t>부강면</t>
        </is>
      </c>
    </row>
    <row r="622">
      <c r="A622" s="3" t="n">
        <v>2022</v>
      </c>
      <c r="B622" s="4" t="n">
        <v>45200</v>
      </c>
      <c r="C622" s="4" t="n">
        <v>1361</v>
      </c>
      <c r="D622" s="4" t="n">
        <v>411.7025</v>
      </c>
      <c r="E622" s="5" t="n">
        <v>109.8</v>
      </c>
      <c r="F622" s="3" t="inlineStr">
        <is>
          <t>부강면</t>
        </is>
      </c>
      <c r="G622" s="3" t="inlineStr">
        <is>
          <t>문곡리</t>
        </is>
      </c>
      <c r="H622" s="3" t="inlineStr">
        <is>
          <t>계획관리지역</t>
        </is>
      </c>
      <c r="I622" s="3" t="inlineStr">
        <is>
          <t>공장용지</t>
        </is>
      </c>
      <c r="J622" s="3" t="inlineStr">
        <is>
          <t>부강면</t>
        </is>
      </c>
    </row>
    <row r="623">
      <c r="A623" s="3" t="n">
        <v>2022</v>
      </c>
      <c r="B623" s="4" t="n">
        <v>19100</v>
      </c>
      <c r="C623" s="4" t="n">
        <v>800</v>
      </c>
      <c r="D623" s="4" t="n">
        <v>242</v>
      </c>
      <c r="E623" s="5" t="n">
        <v>78.90000000000001</v>
      </c>
      <c r="F623" s="3" t="inlineStr">
        <is>
          <t>부강면</t>
        </is>
      </c>
      <c r="G623" s="3" t="inlineStr">
        <is>
          <t>문곡리</t>
        </is>
      </c>
      <c r="H623" s="3" t="inlineStr">
        <is>
          <t>생산관리지역</t>
        </is>
      </c>
      <c r="I623" s="3" t="inlineStr">
        <is>
          <t>공장용지</t>
        </is>
      </c>
      <c r="J623" s="3" t="inlineStr">
        <is>
          <t>부강면</t>
        </is>
      </c>
    </row>
    <row r="624">
      <c r="A624" s="3" t="n">
        <v>2022</v>
      </c>
      <c r="B624" s="4" t="n">
        <v>516</v>
      </c>
      <c r="C624" s="4" t="n">
        <v>11</v>
      </c>
      <c r="D624" s="4" t="n">
        <v>3.3275</v>
      </c>
      <c r="E624" s="5" t="n">
        <v>155.1</v>
      </c>
      <c r="F624" s="3" t="inlineStr">
        <is>
          <t>연서면</t>
        </is>
      </c>
      <c r="G624" s="3" t="inlineStr">
        <is>
          <t>고복리</t>
        </is>
      </c>
      <c r="H624" s="3" t="inlineStr">
        <is>
          <t>보전관리지역</t>
        </is>
      </c>
      <c r="I624" s="3" t="inlineStr">
        <is>
          <t>임야</t>
        </is>
      </c>
      <c r="J624" s="3" t="inlineStr">
        <is>
          <t>연서면</t>
        </is>
      </c>
    </row>
    <row r="625">
      <c r="A625" s="3" t="n">
        <v>2022</v>
      </c>
      <c r="B625" s="4" t="n">
        <v>36227</v>
      </c>
      <c r="C625" s="4" t="n">
        <v>772</v>
      </c>
      <c r="D625" s="4" t="n">
        <v>233.53</v>
      </c>
      <c r="E625" s="5" t="n">
        <v>155.1</v>
      </c>
      <c r="F625" s="3" t="inlineStr">
        <is>
          <t>연서면</t>
        </is>
      </c>
      <c r="G625" s="3" t="inlineStr">
        <is>
          <t>고복리</t>
        </is>
      </c>
      <c r="H625" s="3" t="inlineStr">
        <is>
          <t>보전관리지역</t>
        </is>
      </c>
      <c r="I625" s="3" t="inlineStr">
        <is>
          <t>답</t>
        </is>
      </c>
      <c r="J625" s="3" t="inlineStr">
        <is>
          <t>연서면</t>
        </is>
      </c>
    </row>
    <row r="626">
      <c r="A626" s="3" t="n">
        <v>2022</v>
      </c>
      <c r="B626" s="4" t="n">
        <v>1032</v>
      </c>
      <c r="C626" s="4" t="n">
        <v>22</v>
      </c>
      <c r="D626" s="4" t="n">
        <v>6.654999999999999</v>
      </c>
      <c r="E626" s="5" t="n">
        <v>155.1</v>
      </c>
      <c r="F626" s="3" t="inlineStr">
        <is>
          <t>연서면</t>
        </is>
      </c>
      <c r="G626" s="3" t="inlineStr">
        <is>
          <t>고복리</t>
        </is>
      </c>
      <c r="H626" s="3" t="inlineStr">
        <is>
          <t>보전관리지역</t>
        </is>
      </c>
      <c r="I626" s="3" t="inlineStr">
        <is>
          <t>답</t>
        </is>
      </c>
      <c r="J626" s="3" t="inlineStr">
        <is>
          <t>연서면</t>
        </is>
      </c>
    </row>
    <row r="627">
      <c r="A627" s="3" t="n">
        <v>2022</v>
      </c>
      <c r="B627" s="4" t="n">
        <v>12107</v>
      </c>
      <c r="C627" s="4" t="n">
        <v>258</v>
      </c>
      <c r="D627" s="4" t="n">
        <v>78.045</v>
      </c>
      <c r="E627" s="5" t="n">
        <v>155.1</v>
      </c>
      <c r="F627" s="3" t="inlineStr">
        <is>
          <t>연서면</t>
        </is>
      </c>
      <c r="G627" s="3" t="inlineStr">
        <is>
          <t>고복리</t>
        </is>
      </c>
      <c r="H627" s="3" t="inlineStr">
        <is>
          <t>보전관리지역</t>
        </is>
      </c>
      <c r="I627" s="3" t="inlineStr">
        <is>
          <t>임야</t>
        </is>
      </c>
      <c r="J627" s="3" t="inlineStr">
        <is>
          <t>연서면</t>
        </is>
      </c>
    </row>
    <row r="628">
      <c r="A628" s="3" t="n">
        <v>2022</v>
      </c>
      <c r="B628" s="4" t="n">
        <v>40263</v>
      </c>
      <c r="C628" s="4" t="n">
        <v>858</v>
      </c>
      <c r="D628" s="4" t="n">
        <v>259.545</v>
      </c>
      <c r="E628" s="5" t="n">
        <v>155.1</v>
      </c>
      <c r="F628" s="3" t="inlineStr">
        <is>
          <t>연서면</t>
        </is>
      </c>
      <c r="G628" s="3" t="inlineStr">
        <is>
          <t>고복리</t>
        </is>
      </c>
      <c r="H628" s="3" t="inlineStr">
        <is>
          <t>보전관리지역</t>
        </is>
      </c>
      <c r="I628" s="3" t="inlineStr">
        <is>
          <t>답</t>
        </is>
      </c>
      <c r="J628" s="3" t="inlineStr">
        <is>
          <t>연서면</t>
        </is>
      </c>
    </row>
    <row r="629">
      <c r="A629" s="3" t="n">
        <v>2022</v>
      </c>
      <c r="B629" s="4" t="n">
        <v>95542</v>
      </c>
      <c r="C629" s="4" t="n">
        <v>2036</v>
      </c>
      <c r="D629" s="4" t="n">
        <v>615.89</v>
      </c>
      <c r="E629" s="5" t="n">
        <v>155.1</v>
      </c>
      <c r="F629" s="3" t="inlineStr">
        <is>
          <t>연서면</t>
        </is>
      </c>
      <c r="G629" s="3" t="inlineStr">
        <is>
          <t>고복리</t>
        </is>
      </c>
      <c r="H629" s="3" t="inlineStr">
        <is>
          <t>보전관리지역</t>
        </is>
      </c>
      <c r="I629" s="3" t="inlineStr">
        <is>
          <t>임야</t>
        </is>
      </c>
      <c r="J629" s="3" t="inlineStr">
        <is>
          <t>연서면</t>
        </is>
      </c>
    </row>
    <row r="630">
      <c r="A630" s="3" t="n">
        <v>2022</v>
      </c>
      <c r="B630" s="4" t="n">
        <v>17900</v>
      </c>
      <c r="C630" s="4" t="n">
        <v>495</v>
      </c>
      <c r="D630" s="4" t="n">
        <v>149.7375</v>
      </c>
      <c r="E630" s="5" t="n">
        <v>119.5</v>
      </c>
      <c r="F630" s="3" t="inlineStr">
        <is>
          <t>연서면</t>
        </is>
      </c>
      <c r="G630" s="3" t="inlineStr">
        <is>
          <t>성제리</t>
        </is>
      </c>
      <c r="H630" s="3" t="inlineStr">
        <is>
          <t>계획관리지역</t>
        </is>
      </c>
      <c r="I630" s="3" t="inlineStr">
        <is>
          <t>전</t>
        </is>
      </c>
      <c r="J630" s="3" t="inlineStr">
        <is>
          <t>연서면</t>
        </is>
      </c>
    </row>
    <row r="631">
      <c r="A631" s="3" t="n">
        <v>2023</v>
      </c>
      <c r="B631" s="4" t="n">
        <v>1800</v>
      </c>
      <c r="C631" s="4" t="n">
        <v>20</v>
      </c>
      <c r="D631" s="4" t="n">
        <v>6.05</v>
      </c>
      <c r="E631" s="5" t="n">
        <v>297.5</v>
      </c>
      <c r="F631" s="3" t="inlineStr">
        <is>
          <t>연서면</t>
        </is>
      </c>
      <c r="G631" s="3" t="inlineStr">
        <is>
          <t>월하리</t>
        </is>
      </c>
      <c r="H631" s="3" t="inlineStr">
        <is>
          <t>자연녹지지역</t>
        </is>
      </c>
      <c r="I631" s="3" t="inlineStr">
        <is>
          <t>임야</t>
        </is>
      </c>
      <c r="J631" s="3" t="inlineStr">
        <is>
          <t>연서면</t>
        </is>
      </c>
    </row>
    <row r="632">
      <c r="A632" s="3" t="n">
        <v>2023</v>
      </c>
      <c r="B632" s="4" t="n">
        <v>23420</v>
      </c>
      <c r="C632" s="4" t="n">
        <v>302</v>
      </c>
      <c r="D632" s="4" t="n">
        <v>91.355</v>
      </c>
      <c r="E632" s="5" t="n">
        <v>256.4</v>
      </c>
      <c r="F632" s="3" t="inlineStr">
        <is>
          <t>연서면</t>
        </is>
      </c>
      <c r="G632" s="3" t="inlineStr">
        <is>
          <t>와촌리</t>
        </is>
      </c>
      <c r="H632" s="3" t="inlineStr">
        <is>
          <t>보전관리지역</t>
        </is>
      </c>
      <c r="I632" s="3" t="inlineStr">
        <is>
          <t>임야</t>
        </is>
      </c>
      <c r="J632" s="3" t="inlineStr">
        <is>
          <t>연서면</t>
        </is>
      </c>
    </row>
    <row r="633">
      <c r="A633" s="3" t="n">
        <v>2023</v>
      </c>
      <c r="B633" s="4" t="n">
        <v>6500</v>
      </c>
      <c r="C633" s="4" t="n">
        <v>302</v>
      </c>
      <c r="D633" s="4" t="n">
        <v>91.355</v>
      </c>
      <c r="E633" s="5" t="n">
        <v>71.2</v>
      </c>
      <c r="F633" s="3" t="inlineStr">
        <is>
          <t>연서면</t>
        </is>
      </c>
      <c r="G633" s="3" t="inlineStr">
        <is>
          <t>와촌리</t>
        </is>
      </c>
      <c r="H633" s="3" t="inlineStr">
        <is>
          <t>보전관리지역</t>
        </is>
      </c>
      <c r="I633" s="3" t="inlineStr">
        <is>
          <t>임야</t>
        </is>
      </c>
      <c r="J633" s="3" t="inlineStr">
        <is>
          <t>연서면</t>
        </is>
      </c>
    </row>
    <row r="634">
      <c r="A634" s="3" t="n">
        <v>2023</v>
      </c>
      <c r="B634" s="4" t="n">
        <v>26500</v>
      </c>
      <c r="C634" s="4" t="n">
        <v>1015</v>
      </c>
      <c r="D634" s="4" t="n">
        <v>307.0375</v>
      </c>
      <c r="E634" s="5" t="n">
        <v>86.3</v>
      </c>
      <c r="F634" s="3" t="inlineStr">
        <is>
          <t>연서면</t>
        </is>
      </c>
      <c r="G634" s="3" t="inlineStr">
        <is>
          <t>국촌리</t>
        </is>
      </c>
      <c r="H634" s="3" t="inlineStr">
        <is>
          <t>계획관리지역</t>
        </is>
      </c>
      <c r="I634" s="3" t="inlineStr">
        <is>
          <t>전</t>
        </is>
      </c>
      <c r="J634" s="3" t="inlineStr">
        <is>
          <t>연서면</t>
        </is>
      </c>
    </row>
    <row r="635">
      <c r="A635" s="3" t="n">
        <v>2023</v>
      </c>
      <c r="B635" s="4" t="n">
        <v>73350</v>
      </c>
      <c r="C635" s="4" t="n">
        <v>698</v>
      </c>
      <c r="D635" s="4" t="n">
        <v>211.145</v>
      </c>
      <c r="E635" s="5" t="n">
        <v>347.4</v>
      </c>
      <c r="F635" s="3" t="inlineStr">
        <is>
          <t>연서면</t>
        </is>
      </c>
      <c r="G635" s="3" t="inlineStr">
        <is>
          <t>와촌리</t>
        </is>
      </c>
      <c r="H635" s="3" t="inlineStr">
        <is>
          <t>계획관리지역</t>
        </is>
      </c>
      <c r="I635" s="3" t="inlineStr">
        <is>
          <t>전</t>
        </is>
      </c>
      <c r="J635" s="3" t="inlineStr">
        <is>
          <t>연서면</t>
        </is>
      </c>
    </row>
    <row r="636">
      <c r="A636" s="3" t="n">
        <v>2023</v>
      </c>
      <c r="B636" s="4" t="n">
        <v>90000</v>
      </c>
      <c r="C636" s="4" t="n">
        <v>400</v>
      </c>
      <c r="D636" s="4" t="n">
        <v>121</v>
      </c>
      <c r="E636" s="5" t="n">
        <v>743.8</v>
      </c>
      <c r="F636" s="3" t="inlineStr">
        <is>
          <t>도담동</t>
        </is>
      </c>
      <c r="G636" s="3" t="inlineStr"/>
      <c r="H636" s="3" t="inlineStr">
        <is>
          <t>제1종전용주거지역</t>
        </is>
      </c>
      <c r="I636" s="3" t="inlineStr">
        <is>
          <t>대</t>
        </is>
      </c>
      <c r="J636" s="3" t="inlineStr">
        <is>
          <t>도담동</t>
        </is>
      </c>
    </row>
    <row r="637">
      <c r="A637" s="3" t="n">
        <v>2023</v>
      </c>
      <c r="B637" s="4" t="n">
        <v>65000</v>
      </c>
      <c r="C637" s="4" t="n">
        <v>3173.3</v>
      </c>
      <c r="D637" s="4" t="n">
        <v>959.9232500000001</v>
      </c>
      <c r="E637" s="5" t="n">
        <v>67.7</v>
      </c>
      <c r="F637" s="3" t="inlineStr">
        <is>
          <t>연동면</t>
        </is>
      </c>
      <c r="G637" s="3" t="inlineStr">
        <is>
          <t>문주리</t>
        </is>
      </c>
      <c r="H637" s="3" t="inlineStr">
        <is>
          <t>농림지역</t>
        </is>
      </c>
      <c r="I637" s="3" t="inlineStr">
        <is>
          <t>답</t>
        </is>
      </c>
      <c r="J637" s="3" t="inlineStr">
        <is>
          <t>연동면</t>
        </is>
      </c>
    </row>
    <row r="638">
      <c r="A638" s="3" t="n">
        <v>2022</v>
      </c>
      <c r="B638" s="4" t="n">
        <v>20150</v>
      </c>
      <c r="C638" s="4" t="n">
        <v>794</v>
      </c>
      <c r="D638" s="4" t="n">
        <v>240.185</v>
      </c>
      <c r="E638" s="5" t="n">
        <v>83.90000000000001</v>
      </c>
      <c r="F638" s="3" t="inlineStr">
        <is>
          <t>연동면</t>
        </is>
      </c>
      <c r="G638" s="3" t="inlineStr">
        <is>
          <t>응암리</t>
        </is>
      </c>
      <c r="H638" s="3" t="inlineStr">
        <is>
          <t>계획관리지역</t>
        </is>
      </c>
      <c r="I638" s="3" t="inlineStr">
        <is>
          <t>전</t>
        </is>
      </c>
      <c r="J638" s="3" t="inlineStr">
        <is>
          <t>연동면</t>
        </is>
      </c>
    </row>
    <row r="639">
      <c r="A639" s="3" t="n">
        <v>2024</v>
      </c>
      <c r="B639" s="4" t="n">
        <v>6268</v>
      </c>
      <c r="C639" s="4" t="n">
        <v>242</v>
      </c>
      <c r="D639" s="4" t="n">
        <v>73.205</v>
      </c>
      <c r="E639" s="5" t="n">
        <v>85.59999999999999</v>
      </c>
      <c r="F639" s="3" t="inlineStr">
        <is>
          <t>연서면</t>
        </is>
      </c>
      <c r="G639" s="3" t="inlineStr">
        <is>
          <t>쌍류리</t>
        </is>
      </c>
      <c r="H639" s="3" t="inlineStr">
        <is>
          <t>계획관리지역</t>
        </is>
      </c>
      <c r="I639" s="3" t="inlineStr">
        <is>
          <t>대</t>
        </is>
      </c>
      <c r="J639" s="3" t="inlineStr">
        <is>
          <t>연서면</t>
        </is>
      </c>
    </row>
    <row r="640">
      <c r="A640" s="3" t="n">
        <v>2024</v>
      </c>
      <c r="B640" s="4" t="n">
        <v>23500</v>
      </c>
      <c r="C640" s="4" t="n">
        <v>1565</v>
      </c>
      <c r="D640" s="4" t="n">
        <v>473.4125</v>
      </c>
      <c r="E640" s="5" t="n">
        <v>49.6</v>
      </c>
      <c r="F640" s="3" t="inlineStr">
        <is>
          <t>연서면</t>
        </is>
      </c>
      <c r="G640" s="3" t="inlineStr">
        <is>
          <t>용암리</t>
        </is>
      </c>
      <c r="H640" s="3" t="inlineStr">
        <is>
          <t>생산관리지역</t>
        </is>
      </c>
      <c r="I640" s="3" t="inlineStr">
        <is>
          <t>전</t>
        </is>
      </c>
      <c r="J640" s="3" t="inlineStr">
        <is>
          <t>연서면</t>
        </is>
      </c>
    </row>
    <row r="641">
      <c r="A641" s="3" t="n">
        <v>2024</v>
      </c>
      <c r="B641" s="4" t="n">
        <v>5000</v>
      </c>
      <c r="C641" s="4" t="n">
        <v>33</v>
      </c>
      <c r="D641" s="4" t="n">
        <v>9.9825</v>
      </c>
      <c r="E641" s="5" t="n">
        <v>500.9</v>
      </c>
      <c r="F641" s="3" t="inlineStr">
        <is>
          <t>조치원읍</t>
        </is>
      </c>
      <c r="G641" s="3" t="inlineStr">
        <is>
          <t>봉산리</t>
        </is>
      </c>
      <c r="H641" s="3" t="inlineStr">
        <is>
          <t>자연녹지지역</t>
        </is>
      </c>
      <c r="I641" s="3" t="inlineStr">
        <is>
          <t>답</t>
        </is>
      </c>
      <c r="J641" s="3" t="inlineStr">
        <is>
          <t>조치원읍</t>
        </is>
      </c>
    </row>
    <row r="642">
      <c r="A642" s="3" t="n">
        <v>2024</v>
      </c>
      <c r="B642" s="4" t="n">
        <v>7043</v>
      </c>
      <c r="C642" s="4" t="n">
        <v>258</v>
      </c>
      <c r="D642" s="4" t="n">
        <v>78.045</v>
      </c>
      <c r="E642" s="5" t="n">
        <v>90.2</v>
      </c>
      <c r="F642" s="3" t="inlineStr">
        <is>
          <t>연서면</t>
        </is>
      </c>
      <c r="G642" s="3" t="inlineStr">
        <is>
          <t>국촌리</t>
        </is>
      </c>
      <c r="H642" s="3" t="inlineStr">
        <is>
          <t>계획관리지역</t>
        </is>
      </c>
      <c r="I642" s="3" t="inlineStr">
        <is>
          <t>구거</t>
        </is>
      </c>
      <c r="J642" s="3" t="inlineStr">
        <is>
          <t>연서면</t>
        </is>
      </c>
    </row>
    <row r="643">
      <c r="A643" s="3" t="n">
        <v>2024</v>
      </c>
      <c r="B643" s="4" t="n">
        <v>17900</v>
      </c>
      <c r="C643" s="4" t="n">
        <v>100</v>
      </c>
      <c r="D643" s="4" t="n">
        <v>30.25</v>
      </c>
      <c r="E643" s="5" t="n">
        <v>591.7</v>
      </c>
      <c r="F643" s="3" t="inlineStr">
        <is>
          <t>조치원읍</t>
        </is>
      </c>
      <c r="G643" s="3" t="inlineStr">
        <is>
          <t>정리</t>
        </is>
      </c>
      <c r="H643" s="3" t="inlineStr">
        <is>
          <t>준주거지역</t>
        </is>
      </c>
      <c r="I643" s="3" t="inlineStr">
        <is>
          <t>대</t>
        </is>
      </c>
      <c r="J643" s="3" t="inlineStr">
        <is>
          <t>조치원읍</t>
        </is>
      </c>
    </row>
    <row r="644">
      <c r="A644" s="3" t="n">
        <v>2024</v>
      </c>
      <c r="B644" s="4" t="n">
        <v>20000</v>
      </c>
      <c r="C644" s="4" t="n">
        <v>1035</v>
      </c>
      <c r="D644" s="4" t="n">
        <v>313.0875</v>
      </c>
      <c r="E644" s="5" t="n">
        <v>63.9</v>
      </c>
      <c r="F644" s="3" t="inlineStr">
        <is>
          <t>부강면</t>
        </is>
      </c>
      <c r="G644" s="3" t="inlineStr">
        <is>
          <t>노호리</t>
        </is>
      </c>
      <c r="H644" s="3" t="inlineStr">
        <is>
          <t>생산관리지역</t>
        </is>
      </c>
      <c r="I644" s="3" t="inlineStr">
        <is>
          <t>답</t>
        </is>
      </c>
      <c r="J644" s="3" t="inlineStr">
        <is>
          <t>부강면</t>
        </is>
      </c>
    </row>
    <row r="645">
      <c r="A645" s="3" t="n">
        <v>2022</v>
      </c>
      <c r="B645" s="4" t="n">
        <v>14680</v>
      </c>
      <c r="C645" s="4" t="n">
        <v>596</v>
      </c>
      <c r="D645" s="4" t="n">
        <v>180.29</v>
      </c>
      <c r="E645" s="5" t="n">
        <v>81.40000000000001</v>
      </c>
      <c r="F645" s="3" t="inlineStr">
        <is>
          <t>연동면</t>
        </is>
      </c>
      <c r="G645" s="3" t="inlineStr">
        <is>
          <t>응암리</t>
        </is>
      </c>
      <c r="H645" s="3" t="inlineStr">
        <is>
          <t>계획관리지역</t>
        </is>
      </c>
      <c r="I645" s="3" t="inlineStr">
        <is>
          <t>전</t>
        </is>
      </c>
      <c r="J645" s="3" t="inlineStr">
        <is>
          <t>연동면</t>
        </is>
      </c>
    </row>
    <row r="646">
      <c r="A646" s="3" t="n">
        <v>2022</v>
      </c>
      <c r="B646" s="4" t="n">
        <v>12170</v>
      </c>
      <c r="C646" s="4" t="n">
        <v>494</v>
      </c>
      <c r="D646" s="4" t="n">
        <v>149.435</v>
      </c>
      <c r="E646" s="5" t="n">
        <v>81.40000000000001</v>
      </c>
      <c r="F646" s="3" t="inlineStr">
        <is>
          <t>연동면</t>
        </is>
      </c>
      <c r="G646" s="3" t="inlineStr">
        <is>
          <t>응암리</t>
        </is>
      </c>
      <c r="H646" s="3" t="inlineStr">
        <is>
          <t>계획관리지역</t>
        </is>
      </c>
      <c r="I646" s="3" t="inlineStr">
        <is>
          <t>전</t>
        </is>
      </c>
      <c r="J646" s="3" t="inlineStr">
        <is>
          <t>연동면</t>
        </is>
      </c>
    </row>
    <row r="647">
      <c r="A647" s="3" t="n">
        <v>2023</v>
      </c>
      <c r="B647" s="4" t="n">
        <v>58000</v>
      </c>
      <c r="C647" s="4" t="n">
        <v>338</v>
      </c>
      <c r="D647" s="4" t="n">
        <v>102.245</v>
      </c>
      <c r="E647" s="5" t="n">
        <v>567.3</v>
      </c>
      <c r="F647" s="3" t="inlineStr">
        <is>
          <t>고운동</t>
        </is>
      </c>
      <c r="G647" s="3" t="inlineStr"/>
      <c r="H647" s="3" t="inlineStr">
        <is>
          <t>제1종전용주거지역</t>
        </is>
      </c>
      <c r="I647" s="3" t="inlineStr">
        <is>
          <t>대</t>
        </is>
      </c>
      <c r="J647" s="3" t="inlineStr">
        <is>
          <t>고운동</t>
        </is>
      </c>
    </row>
    <row r="648">
      <c r="A648" s="3" t="n">
        <v>2023</v>
      </c>
      <c r="B648" s="4" t="n">
        <v>46100</v>
      </c>
      <c r="C648" s="4" t="n">
        <v>503</v>
      </c>
      <c r="D648" s="4" t="n">
        <v>152.1575</v>
      </c>
      <c r="E648" s="5" t="n">
        <v>303</v>
      </c>
      <c r="F648" s="3" t="inlineStr">
        <is>
          <t>연서면</t>
        </is>
      </c>
      <c r="G648" s="3" t="inlineStr">
        <is>
          <t>기룡리</t>
        </is>
      </c>
      <c r="H648" s="3" t="inlineStr">
        <is>
          <t>계획관리지역</t>
        </is>
      </c>
      <c r="I648" s="3" t="inlineStr">
        <is>
          <t>양어장</t>
        </is>
      </c>
      <c r="J648" s="3" t="inlineStr">
        <is>
          <t>연서면</t>
        </is>
      </c>
    </row>
    <row r="649">
      <c r="A649" s="3" t="n">
        <v>2023</v>
      </c>
      <c r="B649" s="4" t="n">
        <v>39400</v>
      </c>
      <c r="C649" s="4" t="n">
        <v>430</v>
      </c>
      <c r="D649" s="4" t="n">
        <v>130.075</v>
      </c>
      <c r="E649" s="5" t="n">
        <v>302.9</v>
      </c>
      <c r="F649" s="3" t="inlineStr">
        <is>
          <t>연서면</t>
        </is>
      </c>
      <c r="G649" s="3" t="inlineStr">
        <is>
          <t>기룡리</t>
        </is>
      </c>
      <c r="H649" s="3" t="inlineStr">
        <is>
          <t>계획관리지역</t>
        </is>
      </c>
      <c r="I649" s="3" t="inlineStr">
        <is>
          <t>양어장</t>
        </is>
      </c>
      <c r="J649" s="3" t="inlineStr">
        <is>
          <t>연서면</t>
        </is>
      </c>
    </row>
    <row r="650">
      <c r="A650" s="3" t="n">
        <v>2024</v>
      </c>
      <c r="B650" s="4" t="n">
        <v>32920</v>
      </c>
      <c r="C650" s="4" t="n">
        <v>302</v>
      </c>
      <c r="D650" s="4" t="n">
        <v>91.355</v>
      </c>
      <c r="E650" s="5" t="n">
        <v>360.4</v>
      </c>
      <c r="F650" s="3" t="inlineStr">
        <is>
          <t>오송읍</t>
        </is>
      </c>
      <c r="G650" s="3" t="inlineStr">
        <is>
          <t>궁평리</t>
        </is>
      </c>
      <c r="H650" s="3" t="inlineStr">
        <is>
          <t>농림지역</t>
        </is>
      </c>
      <c r="I650" s="3" t="inlineStr">
        <is>
          <t>대</t>
        </is>
      </c>
      <c r="J650" s="3" t="inlineStr">
        <is>
          <t>오송읍</t>
        </is>
      </c>
    </row>
    <row r="651">
      <c r="A651" s="3" t="n">
        <v>2024</v>
      </c>
      <c r="B651" s="4" t="n">
        <v>81165</v>
      </c>
      <c r="C651" s="4" t="n">
        <v>2117</v>
      </c>
      <c r="D651" s="4" t="n">
        <v>640.3924999999999</v>
      </c>
      <c r="E651" s="5" t="n">
        <v>126.7</v>
      </c>
      <c r="F651" s="3" t="inlineStr">
        <is>
          <t>강내면</t>
        </is>
      </c>
      <c r="G651" s="3" t="inlineStr">
        <is>
          <t>산단리</t>
        </is>
      </c>
      <c r="H651" s="3" t="inlineStr">
        <is>
          <t>계획관리지역</t>
        </is>
      </c>
      <c r="I651" s="3" t="inlineStr">
        <is>
          <t>임야</t>
        </is>
      </c>
      <c r="J651" s="3" t="inlineStr">
        <is>
          <t>강내면</t>
        </is>
      </c>
    </row>
    <row r="652">
      <c r="A652" s="3" t="n">
        <v>2024</v>
      </c>
      <c r="B652" s="4" t="n">
        <v>63375</v>
      </c>
      <c r="C652" s="4" t="n">
        <v>1653</v>
      </c>
      <c r="D652" s="4" t="n">
        <v>500.0325</v>
      </c>
      <c r="E652" s="5" t="n">
        <v>126.7</v>
      </c>
      <c r="F652" s="3" t="inlineStr">
        <is>
          <t>강내면</t>
        </is>
      </c>
      <c r="G652" s="3" t="inlineStr">
        <is>
          <t>궁현리</t>
        </is>
      </c>
      <c r="H652" s="3" t="inlineStr">
        <is>
          <t>계획관리지역</t>
        </is>
      </c>
      <c r="I652" s="3" t="inlineStr">
        <is>
          <t>임야</t>
        </is>
      </c>
      <c r="J652" s="3" t="inlineStr">
        <is>
          <t>강내면</t>
        </is>
      </c>
    </row>
    <row r="653">
      <c r="A653" s="3" t="n">
        <v>2024</v>
      </c>
      <c r="B653" s="4" t="n">
        <v>460</v>
      </c>
      <c r="C653" s="4" t="n">
        <v>12</v>
      </c>
      <c r="D653" s="4" t="n">
        <v>3.63</v>
      </c>
      <c r="E653" s="5" t="n">
        <v>126.7</v>
      </c>
      <c r="F653" s="3" t="inlineStr">
        <is>
          <t>강내면</t>
        </is>
      </c>
      <c r="G653" s="3" t="inlineStr">
        <is>
          <t>산단리</t>
        </is>
      </c>
      <c r="H653" s="3" t="inlineStr">
        <is>
          <t>계획관리지역</t>
        </is>
      </c>
      <c r="I653" s="3" t="inlineStr">
        <is>
          <t>임야</t>
        </is>
      </c>
      <c r="J653" s="3" t="inlineStr">
        <is>
          <t>강내면</t>
        </is>
      </c>
    </row>
    <row r="654">
      <c r="A654" s="3" t="n">
        <v>2024</v>
      </c>
      <c r="B654" s="4" t="n">
        <v>16700</v>
      </c>
      <c r="C654" s="4" t="n">
        <v>688</v>
      </c>
      <c r="D654" s="4" t="n">
        <v>208.12</v>
      </c>
      <c r="E654" s="5" t="n">
        <v>80.2</v>
      </c>
      <c r="F654" s="3" t="inlineStr">
        <is>
          <t>강내면</t>
        </is>
      </c>
      <c r="G654" s="3" t="inlineStr">
        <is>
          <t>저산리</t>
        </is>
      </c>
      <c r="H654" s="3" t="inlineStr">
        <is>
          <t>계획관리지역</t>
        </is>
      </c>
      <c r="I654" s="3" t="inlineStr">
        <is>
          <t>대</t>
        </is>
      </c>
      <c r="J654" s="3" t="inlineStr">
        <is>
          <t>강내면</t>
        </is>
      </c>
    </row>
    <row r="655">
      <c r="A655" s="3" t="n">
        <v>2024</v>
      </c>
      <c r="B655" s="4" t="n">
        <v>3620</v>
      </c>
      <c r="C655" s="4" t="n">
        <v>505</v>
      </c>
      <c r="D655" s="4" t="n">
        <v>152.7625</v>
      </c>
      <c r="E655" s="5" t="n">
        <v>23.7</v>
      </c>
      <c r="F655" s="3" t="inlineStr">
        <is>
          <t>강내면</t>
        </is>
      </c>
      <c r="G655" s="3" t="inlineStr">
        <is>
          <t>저산리</t>
        </is>
      </c>
      <c r="H655" s="3" t="inlineStr">
        <is>
          <t>계획관리지역</t>
        </is>
      </c>
      <c r="I655" s="3" t="inlineStr">
        <is>
          <t>도로</t>
        </is>
      </c>
      <c r="J655" s="3" t="inlineStr">
        <is>
          <t>강내면</t>
        </is>
      </c>
    </row>
    <row r="656">
      <c r="A656" s="3" t="n">
        <v>2024</v>
      </c>
      <c r="B656" s="4" t="n">
        <v>74800</v>
      </c>
      <c r="C656" s="4" t="n">
        <v>3297.8</v>
      </c>
      <c r="D656" s="4" t="n">
        <v>997.5845</v>
      </c>
      <c r="E656" s="5" t="n">
        <v>75</v>
      </c>
      <c r="F656" s="3" t="inlineStr">
        <is>
          <t>오송읍</t>
        </is>
      </c>
      <c r="G656" s="3" t="inlineStr">
        <is>
          <t>공북리</t>
        </is>
      </c>
      <c r="H656" s="3" t="inlineStr">
        <is>
          <t>농림지역</t>
        </is>
      </c>
      <c r="I656" s="3" t="inlineStr">
        <is>
          <t>답</t>
        </is>
      </c>
      <c r="J656" s="3" t="inlineStr">
        <is>
          <t>오송읍</t>
        </is>
      </c>
    </row>
    <row r="657">
      <c r="A657" s="3" t="n">
        <v>2024</v>
      </c>
      <c r="B657" s="4" t="n">
        <v>500</v>
      </c>
      <c r="C657" s="4" t="n">
        <v>5</v>
      </c>
      <c r="D657" s="4" t="n">
        <v>1.5125</v>
      </c>
      <c r="E657" s="5" t="n">
        <v>330.6</v>
      </c>
      <c r="F657" s="3" t="inlineStr">
        <is>
          <t>오송읍</t>
        </is>
      </c>
      <c r="G657" s="3" t="inlineStr">
        <is>
          <t>오송리</t>
        </is>
      </c>
      <c r="H657" s="3" t="inlineStr">
        <is>
          <t>농림지역</t>
        </is>
      </c>
      <c r="I657" s="3" t="inlineStr">
        <is>
          <t>답</t>
        </is>
      </c>
      <c r="J657" s="3" t="inlineStr">
        <is>
          <t>오송읍</t>
        </is>
      </c>
    </row>
    <row r="658">
      <c r="A658" s="3" t="n">
        <v>2024</v>
      </c>
      <c r="B658" s="4" t="n">
        <v>12700</v>
      </c>
      <c r="C658" s="4" t="n">
        <v>349</v>
      </c>
      <c r="D658" s="4" t="n">
        <v>105.5725</v>
      </c>
      <c r="E658" s="5" t="n">
        <v>120.3</v>
      </c>
      <c r="F658" s="3" t="inlineStr">
        <is>
          <t>강내면</t>
        </is>
      </c>
      <c r="G658" s="3" t="inlineStr">
        <is>
          <t>저산리</t>
        </is>
      </c>
      <c r="H658" s="3" t="inlineStr">
        <is>
          <t>계획관리지역</t>
        </is>
      </c>
      <c r="I658" s="3" t="inlineStr">
        <is>
          <t>임야</t>
        </is>
      </c>
      <c r="J658" s="3" t="inlineStr">
        <is>
          <t>강내면</t>
        </is>
      </c>
    </row>
    <row r="659">
      <c r="A659" s="3" t="n">
        <v>2024</v>
      </c>
      <c r="B659" s="4" t="n">
        <v>1710</v>
      </c>
      <c r="C659" s="4" t="n">
        <v>47</v>
      </c>
      <c r="D659" s="4" t="n">
        <v>14.2175</v>
      </c>
      <c r="E659" s="5" t="n">
        <v>120.3</v>
      </c>
      <c r="F659" s="3" t="inlineStr">
        <is>
          <t>강내면</t>
        </is>
      </c>
      <c r="G659" s="3" t="inlineStr">
        <is>
          <t>저산리</t>
        </is>
      </c>
      <c r="H659" s="3" t="inlineStr">
        <is>
          <t>계획관리지역</t>
        </is>
      </c>
      <c r="I659" s="3" t="inlineStr">
        <is>
          <t>전</t>
        </is>
      </c>
      <c r="J659" s="3" t="inlineStr">
        <is>
          <t>강내면</t>
        </is>
      </c>
    </row>
    <row r="660">
      <c r="A660" s="3" t="n">
        <v>2024</v>
      </c>
      <c r="B660" s="4" t="n">
        <v>53160</v>
      </c>
      <c r="C660" s="4" t="n">
        <v>1443</v>
      </c>
      <c r="D660" s="4" t="n">
        <v>436.5075</v>
      </c>
      <c r="E660" s="5" t="n">
        <v>121.8</v>
      </c>
      <c r="F660" s="3" t="inlineStr">
        <is>
          <t>연서면</t>
        </is>
      </c>
      <c r="G660" s="3" t="inlineStr">
        <is>
          <t>용암리</t>
        </is>
      </c>
      <c r="H660" s="3" t="inlineStr">
        <is>
          <t>생산관리지역</t>
        </is>
      </c>
      <c r="I660" s="3" t="inlineStr">
        <is>
          <t>과수원</t>
        </is>
      </c>
      <c r="J660" s="3" t="inlineStr">
        <is>
          <t>연서면</t>
        </is>
      </c>
    </row>
    <row r="661">
      <c r="A661" s="3" t="n">
        <v>2024</v>
      </c>
      <c r="B661" s="4" t="n">
        <v>21256</v>
      </c>
      <c r="C661" s="4" t="n">
        <v>577</v>
      </c>
      <c r="D661" s="4" t="n">
        <v>174.5425</v>
      </c>
      <c r="E661" s="5" t="n">
        <v>121.8</v>
      </c>
      <c r="F661" s="3" t="inlineStr">
        <is>
          <t>연서면</t>
        </is>
      </c>
      <c r="G661" s="3" t="inlineStr">
        <is>
          <t>용암리</t>
        </is>
      </c>
      <c r="H661" s="3" t="inlineStr">
        <is>
          <t>생산관리지역</t>
        </is>
      </c>
      <c r="I661" s="3" t="inlineStr">
        <is>
          <t>과수원</t>
        </is>
      </c>
      <c r="J661" s="3" t="inlineStr">
        <is>
          <t>연서면</t>
        </is>
      </c>
    </row>
    <row r="662">
      <c r="A662" s="3" t="n">
        <v>2024</v>
      </c>
      <c r="B662" s="4" t="n">
        <v>15584</v>
      </c>
      <c r="C662" s="4" t="n">
        <v>423</v>
      </c>
      <c r="D662" s="4" t="n">
        <v>127.9575</v>
      </c>
      <c r="E662" s="5" t="n">
        <v>121.8</v>
      </c>
      <c r="F662" s="3" t="inlineStr">
        <is>
          <t>연서면</t>
        </is>
      </c>
      <c r="G662" s="3" t="inlineStr">
        <is>
          <t>용암리</t>
        </is>
      </c>
      <c r="H662" s="3" t="inlineStr">
        <is>
          <t>생산관리지역</t>
        </is>
      </c>
      <c r="I662" s="3" t="inlineStr">
        <is>
          <t>과수원</t>
        </is>
      </c>
      <c r="J662" s="3" t="inlineStr">
        <is>
          <t>연서면</t>
        </is>
      </c>
    </row>
    <row r="663">
      <c r="A663" s="3" t="n">
        <v>2024</v>
      </c>
      <c r="B663" s="4" t="n">
        <v>224</v>
      </c>
      <c r="C663" s="4" t="n">
        <v>3</v>
      </c>
      <c r="D663" s="4" t="n">
        <v>0.9075</v>
      </c>
      <c r="E663" s="5" t="n">
        <v>246.8</v>
      </c>
      <c r="F663" s="3" t="inlineStr">
        <is>
          <t>조치원읍</t>
        </is>
      </c>
      <c r="G663" s="3" t="inlineStr">
        <is>
          <t>침산리</t>
        </is>
      </c>
      <c r="H663" s="3" t="inlineStr">
        <is>
          <t>제1종일반주거지역</t>
        </is>
      </c>
      <c r="I663" s="3" t="inlineStr">
        <is>
          <t>임야</t>
        </is>
      </c>
      <c r="J663" s="3" t="inlineStr">
        <is>
          <t>조치원읍</t>
        </is>
      </c>
    </row>
    <row r="664">
      <c r="A664" s="3" t="n">
        <v>2024</v>
      </c>
      <c r="B664" s="4" t="n">
        <v>19000</v>
      </c>
      <c r="C664" s="4" t="n">
        <v>2992</v>
      </c>
      <c r="D664" s="4" t="n">
        <v>905.0799999999999</v>
      </c>
      <c r="E664" s="5" t="n">
        <v>21</v>
      </c>
      <c r="F664" s="3" t="inlineStr">
        <is>
          <t>남이면</t>
        </is>
      </c>
      <c r="G664" s="3" t="inlineStr">
        <is>
          <t>산막리</t>
        </is>
      </c>
      <c r="H664" s="3" t="inlineStr">
        <is>
          <t>생산관리지역</t>
        </is>
      </c>
      <c r="I664" s="3" t="inlineStr">
        <is>
          <t>전</t>
        </is>
      </c>
      <c r="J664" s="3" t="inlineStr">
        <is>
          <t>남이면</t>
        </is>
      </c>
    </row>
    <row r="665">
      <c r="A665" s="3" t="n">
        <v>2023</v>
      </c>
      <c r="B665" s="4" t="n">
        <v>12000</v>
      </c>
      <c r="C665" s="4" t="n">
        <v>433</v>
      </c>
      <c r="D665" s="4" t="n">
        <v>130.9825</v>
      </c>
      <c r="E665" s="5" t="n">
        <v>91.59999999999999</v>
      </c>
      <c r="F665" s="3" t="inlineStr">
        <is>
          <t>조치원읍</t>
        </is>
      </c>
      <c r="G665" s="3" t="inlineStr">
        <is>
          <t>봉산리</t>
        </is>
      </c>
      <c r="H665" s="3" t="inlineStr">
        <is>
          <t>계획관리지역</t>
        </is>
      </c>
      <c r="I665" s="3" t="inlineStr">
        <is>
          <t>전</t>
        </is>
      </c>
      <c r="J665" s="3" t="inlineStr">
        <is>
          <t>조치원읍</t>
        </is>
      </c>
    </row>
    <row r="666">
      <c r="A666" s="3" t="n">
        <v>2023</v>
      </c>
      <c r="B666" s="4" t="n">
        <v>1500</v>
      </c>
      <c r="C666" s="4" t="n">
        <v>13</v>
      </c>
      <c r="D666" s="4" t="n">
        <v>3.9325</v>
      </c>
      <c r="E666" s="5" t="n">
        <v>381.4</v>
      </c>
      <c r="F666" s="3" t="inlineStr">
        <is>
          <t>조치원읍</t>
        </is>
      </c>
      <c r="G666" s="3" t="inlineStr">
        <is>
          <t>신안리</t>
        </is>
      </c>
      <c r="H666" s="3" t="inlineStr">
        <is>
          <t>자연녹지지역</t>
        </is>
      </c>
      <c r="I666" s="3" t="inlineStr">
        <is>
          <t>대</t>
        </is>
      </c>
      <c r="J666" s="3" t="inlineStr">
        <is>
          <t>조치원읍</t>
        </is>
      </c>
    </row>
    <row r="667">
      <c r="A667" s="3" t="n">
        <v>2023</v>
      </c>
      <c r="B667" s="4" t="n">
        <v>29661</v>
      </c>
      <c r="C667" s="4" t="n">
        <v>598</v>
      </c>
      <c r="D667" s="4" t="n">
        <v>180.895</v>
      </c>
      <c r="E667" s="5" t="n">
        <v>164</v>
      </c>
      <c r="F667" s="3" t="inlineStr">
        <is>
          <t>연동면</t>
        </is>
      </c>
      <c r="G667" s="3" t="inlineStr">
        <is>
          <t>명학리</t>
        </is>
      </c>
      <c r="H667" s="3" t="inlineStr">
        <is>
          <t>계획관리지역</t>
        </is>
      </c>
      <c r="I667" s="3" t="inlineStr">
        <is>
          <t>공장용지</t>
        </is>
      </c>
      <c r="J667" s="3" t="inlineStr">
        <is>
          <t>연동면</t>
        </is>
      </c>
    </row>
    <row r="668">
      <c r="A668" s="3" t="n">
        <v>2023</v>
      </c>
      <c r="B668" s="4" t="n">
        <v>25792</v>
      </c>
      <c r="C668" s="4" t="n">
        <v>520</v>
      </c>
      <c r="D668" s="4" t="n">
        <v>157.3</v>
      </c>
      <c r="E668" s="5" t="n">
        <v>164</v>
      </c>
      <c r="F668" s="3" t="inlineStr">
        <is>
          <t>연동면</t>
        </is>
      </c>
      <c r="G668" s="3" t="inlineStr">
        <is>
          <t>명학리</t>
        </is>
      </c>
      <c r="H668" s="3" t="inlineStr">
        <is>
          <t>계획관리지역</t>
        </is>
      </c>
      <c r="I668" s="3" t="inlineStr">
        <is>
          <t>공장용지</t>
        </is>
      </c>
      <c r="J668" s="3" t="inlineStr">
        <is>
          <t>연동면</t>
        </is>
      </c>
    </row>
    <row r="669">
      <c r="A669" s="3" t="n">
        <v>2023</v>
      </c>
      <c r="B669" s="4" t="n">
        <v>2856</v>
      </c>
      <c r="C669" s="4" t="n">
        <v>336</v>
      </c>
      <c r="D669" s="4" t="n">
        <v>101.64</v>
      </c>
      <c r="E669" s="5" t="n">
        <v>28.1</v>
      </c>
      <c r="F669" s="3" t="inlineStr">
        <is>
          <t>부강면</t>
        </is>
      </c>
      <c r="G669" s="3" t="inlineStr">
        <is>
          <t>등곡리</t>
        </is>
      </c>
      <c r="H669" s="3" t="inlineStr">
        <is>
          <t>생산관리지역</t>
        </is>
      </c>
      <c r="I669" s="3" t="inlineStr">
        <is>
          <t>전</t>
        </is>
      </c>
      <c r="J669" s="3" t="inlineStr">
        <is>
          <t>부강면</t>
        </is>
      </c>
    </row>
    <row r="670">
      <c r="A670" s="3" t="n">
        <v>2023</v>
      </c>
      <c r="B670" s="4" t="n">
        <v>25680</v>
      </c>
      <c r="C670" s="4" t="n">
        <v>1416.2</v>
      </c>
      <c r="D670" s="4" t="n">
        <v>428.4005</v>
      </c>
      <c r="E670" s="5" t="n">
        <v>59.9</v>
      </c>
      <c r="F670" s="3" t="inlineStr">
        <is>
          <t>연동면</t>
        </is>
      </c>
      <c r="G670" s="3" t="inlineStr">
        <is>
          <t>예양리</t>
        </is>
      </c>
      <c r="H670" s="3" t="inlineStr">
        <is>
          <t>농림지역</t>
        </is>
      </c>
      <c r="I670" s="3" t="inlineStr">
        <is>
          <t>답</t>
        </is>
      </c>
      <c r="J670" s="3" t="inlineStr">
        <is>
          <t>연동면</t>
        </is>
      </c>
    </row>
    <row r="671">
      <c r="A671" s="3" t="n">
        <v>2023</v>
      </c>
      <c r="B671" s="4" t="n">
        <v>1200</v>
      </c>
      <c r="C671" s="4" t="n">
        <v>291</v>
      </c>
      <c r="D671" s="4" t="n">
        <v>88.0275</v>
      </c>
      <c r="E671" s="5" t="n">
        <v>13.6</v>
      </c>
      <c r="F671" s="3" t="inlineStr">
        <is>
          <t>부강면</t>
        </is>
      </c>
      <c r="G671" s="3" t="inlineStr">
        <is>
          <t>노호리</t>
        </is>
      </c>
      <c r="H671" s="3" t="inlineStr">
        <is>
          <t>보전관리지역</t>
        </is>
      </c>
      <c r="I671" s="3" t="inlineStr">
        <is>
          <t>전</t>
        </is>
      </c>
      <c r="J671" s="3" t="inlineStr">
        <is>
          <t>부강면</t>
        </is>
      </c>
    </row>
    <row r="672">
      <c r="A672" s="3" t="n">
        <v>2023</v>
      </c>
      <c r="B672" s="4" t="n">
        <v>33200</v>
      </c>
      <c r="C672" s="4" t="n">
        <v>523</v>
      </c>
      <c r="D672" s="4" t="n">
        <v>158.2075</v>
      </c>
      <c r="E672" s="5" t="n">
        <v>209.9</v>
      </c>
      <c r="F672" s="3" t="inlineStr">
        <is>
          <t>연서면</t>
        </is>
      </c>
      <c r="G672" s="3" t="inlineStr">
        <is>
          <t>신대리</t>
        </is>
      </c>
      <c r="H672" s="3" t="inlineStr">
        <is>
          <t>보전관리지역</t>
        </is>
      </c>
      <c r="I672" s="3" t="inlineStr">
        <is>
          <t>임야</t>
        </is>
      </c>
      <c r="J672" s="3" t="inlineStr">
        <is>
          <t>연서면</t>
        </is>
      </c>
    </row>
    <row r="673">
      <c r="A673" s="3" t="n">
        <v>2022</v>
      </c>
      <c r="B673" s="4" t="n">
        <v>122000</v>
      </c>
      <c r="C673" s="4" t="n">
        <v>1615</v>
      </c>
      <c r="D673" s="4" t="n">
        <v>488.5375</v>
      </c>
      <c r="E673" s="5" t="n">
        <v>249.7</v>
      </c>
      <c r="F673" s="3" t="inlineStr">
        <is>
          <t>연동면</t>
        </is>
      </c>
      <c r="G673" s="3" t="inlineStr">
        <is>
          <t>내판리</t>
        </is>
      </c>
      <c r="H673" s="3" t="inlineStr">
        <is>
          <t>계획관리지역</t>
        </is>
      </c>
      <c r="I673" s="3" t="inlineStr">
        <is>
          <t>전</t>
        </is>
      </c>
      <c r="J673" s="3" t="inlineStr">
        <is>
          <t>연동면</t>
        </is>
      </c>
    </row>
    <row r="674">
      <c r="A674" s="3" t="n">
        <v>2024</v>
      </c>
      <c r="B674" s="4" t="n">
        <v>152800</v>
      </c>
      <c r="C674" s="4" t="n">
        <v>8782</v>
      </c>
      <c r="D674" s="4" t="n">
        <v>2656.555</v>
      </c>
      <c r="E674" s="5" t="n">
        <v>57.5</v>
      </c>
      <c r="F674" s="3" t="inlineStr">
        <is>
          <t>연서면</t>
        </is>
      </c>
      <c r="G674" s="3" t="inlineStr">
        <is>
          <t>와촌리</t>
        </is>
      </c>
      <c r="H674" s="3" t="inlineStr">
        <is>
          <t>계획관리지역</t>
        </is>
      </c>
      <c r="I674" s="3" t="inlineStr">
        <is>
          <t>임야</t>
        </is>
      </c>
      <c r="J674" s="3" t="inlineStr">
        <is>
          <t>연서면</t>
        </is>
      </c>
    </row>
    <row r="675">
      <c r="A675" s="3" t="n">
        <v>2026</v>
      </c>
      <c r="B675" s="4" t="n">
        <v>65000</v>
      </c>
      <c r="C675" s="4" t="n">
        <v>1653</v>
      </c>
      <c r="D675" s="4" t="n">
        <v>500.0325</v>
      </c>
      <c r="E675" s="5" t="n">
        <v>130</v>
      </c>
      <c r="F675" s="3" t="inlineStr">
        <is>
          <t>오송읍</t>
        </is>
      </c>
      <c r="G675" s="3" t="inlineStr">
        <is>
          <t>서평리</t>
        </is>
      </c>
      <c r="H675" s="3" t="inlineStr">
        <is>
          <t>생산관리지역</t>
        </is>
      </c>
      <c r="I675" s="3" t="inlineStr">
        <is>
          <t>과수원</t>
        </is>
      </c>
      <c r="J675" s="3" t="inlineStr">
        <is>
          <t>오송읍</t>
        </is>
      </c>
    </row>
    <row r="676">
      <c r="A676" s="3" t="n">
        <v>2025</v>
      </c>
      <c r="B676" s="4" t="n">
        <v>33000</v>
      </c>
      <c r="C676" s="4" t="n">
        <v>287.2</v>
      </c>
      <c r="D676" s="4" t="n">
        <v>86.878</v>
      </c>
      <c r="E676" s="5" t="n">
        <v>379.8</v>
      </c>
      <c r="F676" s="3" t="inlineStr">
        <is>
          <t>오송읍</t>
        </is>
      </c>
      <c r="G676" s="3" t="inlineStr">
        <is>
          <t>봉산리</t>
        </is>
      </c>
      <c r="H676" s="3" t="inlineStr">
        <is>
          <t>제1종일반주거지역</t>
        </is>
      </c>
      <c r="I676" s="3" t="inlineStr">
        <is>
          <t>대</t>
        </is>
      </c>
      <c r="J676" s="3" t="inlineStr">
        <is>
          <t>오송읍</t>
        </is>
      </c>
    </row>
    <row r="677">
      <c r="A677" s="3" t="n">
        <v>2025</v>
      </c>
      <c r="B677" s="4" t="n">
        <v>50329</v>
      </c>
      <c r="C677" s="4" t="n">
        <v>2829</v>
      </c>
      <c r="D677" s="4" t="n">
        <v>855.7724999999999</v>
      </c>
      <c r="E677" s="5" t="n">
        <v>58.8</v>
      </c>
      <c r="F677" s="3" t="inlineStr">
        <is>
          <t>오송읍</t>
        </is>
      </c>
      <c r="G677" s="3" t="inlineStr">
        <is>
          <t>연제리</t>
        </is>
      </c>
      <c r="H677" s="3" t="inlineStr">
        <is>
          <t>준공업지역</t>
        </is>
      </c>
      <c r="I677" s="3" t="inlineStr">
        <is>
          <t>대</t>
        </is>
      </c>
      <c r="J677" s="3" t="inlineStr">
        <is>
          <t>오송읍</t>
        </is>
      </c>
    </row>
    <row r="678">
      <c r="A678" s="3" t="n">
        <v>2025</v>
      </c>
      <c r="B678" s="4" t="n">
        <v>5881</v>
      </c>
      <c r="C678" s="4" t="n">
        <v>324</v>
      </c>
      <c r="D678" s="4" t="n">
        <v>98.00999999999999</v>
      </c>
      <c r="E678" s="5" t="n">
        <v>60</v>
      </c>
      <c r="F678" s="3" t="inlineStr">
        <is>
          <t>오송읍</t>
        </is>
      </c>
      <c r="G678" s="3" t="inlineStr">
        <is>
          <t>서평리</t>
        </is>
      </c>
      <c r="H678" s="3" t="inlineStr">
        <is>
          <t>농림지역</t>
        </is>
      </c>
      <c r="I678" s="3" t="inlineStr">
        <is>
          <t>답</t>
        </is>
      </c>
      <c r="J678" s="3" t="inlineStr">
        <is>
          <t>오송읍</t>
        </is>
      </c>
    </row>
    <row r="679">
      <c r="A679" s="3" t="n">
        <v>2025</v>
      </c>
      <c r="B679" s="4" t="n">
        <v>71277</v>
      </c>
      <c r="C679" s="4" t="n">
        <v>3927</v>
      </c>
      <c r="D679" s="4" t="n">
        <v>1187.9175</v>
      </c>
      <c r="E679" s="5" t="n">
        <v>60</v>
      </c>
      <c r="F679" s="3" t="inlineStr">
        <is>
          <t>오송읍</t>
        </is>
      </c>
      <c r="G679" s="3" t="inlineStr">
        <is>
          <t>서평리</t>
        </is>
      </c>
      <c r="H679" s="3" t="inlineStr">
        <is>
          <t>농림지역</t>
        </is>
      </c>
      <c r="I679" s="3" t="inlineStr">
        <is>
          <t>답</t>
        </is>
      </c>
      <c r="J679" s="3" t="inlineStr">
        <is>
          <t>오송읍</t>
        </is>
      </c>
    </row>
    <row r="680">
      <c r="A680" s="3" t="n">
        <v>2025</v>
      </c>
      <c r="B680" s="4" t="n">
        <v>17643</v>
      </c>
      <c r="C680" s="4" t="n">
        <v>972</v>
      </c>
      <c r="D680" s="4" t="n">
        <v>294.03</v>
      </c>
      <c r="E680" s="5" t="n">
        <v>60</v>
      </c>
      <c r="F680" s="3" t="inlineStr">
        <is>
          <t>오송읍</t>
        </is>
      </c>
      <c r="G680" s="3" t="inlineStr">
        <is>
          <t>서평리</t>
        </is>
      </c>
      <c r="H680" s="3" t="inlineStr">
        <is>
          <t>농림지역</t>
        </is>
      </c>
      <c r="I680" s="3" t="inlineStr">
        <is>
          <t>답</t>
        </is>
      </c>
      <c r="J680" s="3" t="inlineStr">
        <is>
          <t>오송읍</t>
        </is>
      </c>
    </row>
    <row r="681">
      <c r="A681" s="3" t="n">
        <v>2025</v>
      </c>
      <c r="B681" s="4" t="n">
        <v>37500</v>
      </c>
      <c r="C681" s="4" t="n">
        <v>240.5</v>
      </c>
      <c r="D681" s="4" t="n">
        <v>72.75125</v>
      </c>
      <c r="E681" s="5" t="n">
        <v>515.5</v>
      </c>
      <c r="F681" s="3" t="inlineStr">
        <is>
          <t>오송읍</t>
        </is>
      </c>
      <c r="G681" s="3" t="inlineStr">
        <is>
          <t>봉산리</t>
        </is>
      </c>
      <c r="H681" s="3" t="inlineStr">
        <is>
          <t>제1종일반주거지역</t>
        </is>
      </c>
      <c r="I681" s="3" t="inlineStr">
        <is>
          <t>대</t>
        </is>
      </c>
      <c r="J681" s="3" t="inlineStr">
        <is>
          <t>오송읍</t>
        </is>
      </c>
    </row>
    <row r="682">
      <c r="A682" s="3" t="n">
        <v>2025</v>
      </c>
      <c r="B682" s="4" t="n">
        <v>42900</v>
      </c>
      <c r="C682" s="4" t="n">
        <v>2367</v>
      </c>
      <c r="D682" s="4" t="n">
        <v>716.0174999999999</v>
      </c>
      <c r="E682" s="5" t="n">
        <v>59.9</v>
      </c>
      <c r="F682" s="3" t="inlineStr">
        <is>
          <t>오송읍</t>
        </is>
      </c>
      <c r="G682" s="3" t="inlineStr">
        <is>
          <t>서평리</t>
        </is>
      </c>
      <c r="H682" s="3" t="inlineStr">
        <is>
          <t>농림지역</t>
        </is>
      </c>
      <c r="I682" s="3" t="inlineStr">
        <is>
          <t>전</t>
        </is>
      </c>
      <c r="J682" s="3" t="inlineStr">
        <is>
          <t>오송읍</t>
        </is>
      </c>
    </row>
    <row r="683">
      <c r="A683" s="3" t="n">
        <v>2025</v>
      </c>
      <c r="B683" s="4" t="n">
        <v>20753</v>
      </c>
      <c r="C683" s="4" t="n">
        <v>444.4</v>
      </c>
      <c r="D683" s="4" t="n">
        <v>134.431</v>
      </c>
      <c r="E683" s="5" t="n">
        <v>154.4</v>
      </c>
      <c r="F683" s="3" t="inlineStr">
        <is>
          <t>강내면</t>
        </is>
      </c>
      <c r="G683" s="3" t="inlineStr">
        <is>
          <t>사곡리</t>
        </is>
      </c>
      <c r="H683" s="3" t="inlineStr">
        <is>
          <t>보전관리지역</t>
        </is>
      </c>
      <c r="I683" s="3" t="inlineStr">
        <is>
          <t>대</t>
        </is>
      </c>
      <c r="J683" s="3" t="inlineStr">
        <is>
          <t>강내면</t>
        </is>
      </c>
    </row>
    <row r="684">
      <c r="A684" s="3" t="n">
        <v>2025</v>
      </c>
      <c r="B684" s="4" t="n">
        <v>24569</v>
      </c>
      <c r="C684" s="4" t="n">
        <v>493.3</v>
      </c>
      <c r="D684" s="4" t="n">
        <v>149.22325</v>
      </c>
      <c r="E684" s="5" t="n">
        <v>164.6</v>
      </c>
      <c r="F684" s="3" t="inlineStr">
        <is>
          <t>강내면</t>
        </is>
      </c>
      <c r="G684" s="3" t="inlineStr">
        <is>
          <t>사곡리</t>
        </is>
      </c>
      <c r="H684" s="3" t="inlineStr">
        <is>
          <t>보전관리지역</t>
        </is>
      </c>
      <c r="I684" s="3" t="inlineStr">
        <is>
          <t>대</t>
        </is>
      </c>
      <c r="J684" s="3" t="inlineStr">
        <is>
          <t>강내면</t>
        </is>
      </c>
    </row>
    <row r="685">
      <c r="A685" s="3" t="n">
        <v>2025</v>
      </c>
      <c r="B685" s="4" t="n">
        <v>87000</v>
      </c>
      <c r="C685" s="4" t="n">
        <v>580.2</v>
      </c>
      <c r="D685" s="4" t="n">
        <v>175.5105</v>
      </c>
      <c r="E685" s="5" t="n">
        <v>495.7</v>
      </c>
      <c r="F685" s="3" t="inlineStr">
        <is>
          <t>오송읍</t>
        </is>
      </c>
      <c r="G685" s="3" t="inlineStr">
        <is>
          <t>정중리</t>
        </is>
      </c>
      <c r="H685" s="3" t="inlineStr">
        <is>
          <t>준공업지역</t>
        </is>
      </c>
      <c r="I685" s="3" t="inlineStr">
        <is>
          <t>대</t>
        </is>
      </c>
      <c r="J685" s="3" t="inlineStr">
        <is>
          <t>오송읍</t>
        </is>
      </c>
    </row>
    <row r="686">
      <c r="A686" s="3" t="n">
        <v>2025</v>
      </c>
      <c r="B686" s="4" t="n">
        <v>25600</v>
      </c>
      <c r="C686" s="4" t="n">
        <v>2658</v>
      </c>
      <c r="D686" s="4" t="n">
        <v>804.045</v>
      </c>
      <c r="E686" s="5" t="n">
        <v>31.8</v>
      </c>
      <c r="F686" s="3" t="inlineStr">
        <is>
          <t>강내면</t>
        </is>
      </c>
      <c r="G686" s="3" t="inlineStr">
        <is>
          <t>저산리</t>
        </is>
      </c>
      <c r="H686" s="3" t="inlineStr">
        <is>
          <t>농림지역</t>
        </is>
      </c>
      <c r="I686" s="3" t="inlineStr">
        <is>
          <t>전</t>
        </is>
      </c>
      <c r="J686" s="3" t="inlineStr">
        <is>
          <t>강내면</t>
        </is>
      </c>
    </row>
    <row r="687">
      <c r="A687" s="3" t="n">
        <v>2026</v>
      </c>
      <c r="B687" s="4" t="n">
        <v>39000</v>
      </c>
      <c r="C687" s="4" t="n">
        <v>268.1</v>
      </c>
      <c r="D687" s="4" t="n">
        <v>81.10025</v>
      </c>
      <c r="E687" s="5" t="n">
        <v>480.9</v>
      </c>
      <c r="F687" s="3" t="inlineStr">
        <is>
          <t>오송읍</t>
        </is>
      </c>
      <c r="G687" s="3" t="inlineStr">
        <is>
          <t>봉산리</t>
        </is>
      </c>
      <c r="H687" s="3" t="inlineStr">
        <is>
          <t>제1종일반주거지역</t>
        </is>
      </c>
      <c r="I687" s="3" t="inlineStr">
        <is>
          <t>대</t>
        </is>
      </c>
      <c r="J687" s="3" t="inlineStr">
        <is>
          <t>오송읍</t>
        </is>
      </c>
    </row>
    <row r="688">
      <c r="A688" s="3" t="n">
        <v>2026</v>
      </c>
      <c r="B688" s="4" t="n">
        <v>40000</v>
      </c>
      <c r="C688" s="4" t="n">
        <v>4107</v>
      </c>
      <c r="D688" s="4" t="n">
        <v>1242.3675</v>
      </c>
      <c r="E688" s="5" t="n">
        <v>32.2</v>
      </c>
      <c r="F688" s="3" t="inlineStr">
        <is>
          <t>강내면</t>
        </is>
      </c>
      <c r="G688" s="3" t="inlineStr">
        <is>
          <t>사곡리</t>
        </is>
      </c>
      <c r="H688" s="3" t="inlineStr">
        <is>
          <t>농림지역</t>
        </is>
      </c>
      <c r="I688" s="3" t="inlineStr">
        <is>
          <t>전</t>
        </is>
      </c>
      <c r="J688" s="3" t="inlineStr">
        <is>
          <t>강내면</t>
        </is>
      </c>
    </row>
    <row r="689">
      <c r="A689" s="3" t="n">
        <v>2026</v>
      </c>
      <c r="B689" s="4" t="n">
        <v>35000</v>
      </c>
      <c r="C689" s="4" t="n">
        <v>313</v>
      </c>
      <c r="D689" s="4" t="n">
        <v>94.68249999999999</v>
      </c>
      <c r="E689" s="5" t="n">
        <v>369.7</v>
      </c>
      <c r="F689" s="3" t="inlineStr">
        <is>
          <t>오송읍</t>
        </is>
      </c>
      <c r="G689" s="3" t="inlineStr">
        <is>
          <t>봉산리</t>
        </is>
      </c>
      <c r="H689" s="3" t="inlineStr">
        <is>
          <t>제1종일반주거지역</t>
        </is>
      </c>
      <c r="I689" s="3" t="inlineStr">
        <is>
          <t>대</t>
        </is>
      </c>
      <c r="J689" s="3" t="inlineStr">
        <is>
          <t>오송읍</t>
        </is>
      </c>
    </row>
    <row r="690">
      <c r="A690" s="3" t="n">
        <v>2026</v>
      </c>
      <c r="B690" s="4" t="n">
        <v>154684</v>
      </c>
      <c r="C690" s="4" t="n">
        <v>6648.4</v>
      </c>
      <c r="D690" s="4" t="n">
        <v>2011.141</v>
      </c>
      <c r="E690" s="5" t="n">
        <v>76.90000000000001</v>
      </c>
      <c r="F690" s="3" t="inlineStr">
        <is>
          <t>오송읍</t>
        </is>
      </c>
      <c r="G690" s="3" t="inlineStr">
        <is>
          <t>연제리</t>
        </is>
      </c>
      <c r="H690" s="3" t="inlineStr">
        <is>
          <t>준공업지역</t>
        </is>
      </c>
      <c r="I690" s="3" t="inlineStr">
        <is>
          <t>대</t>
        </is>
      </c>
      <c r="J690" s="3" t="inlineStr">
        <is>
          <t>오송읍</t>
        </is>
      </c>
    </row>
    <row r="691">
      <c r="A691" s="3" t="n">
        <v>2026</v>
      </c>
      <c r="B691" s="4" t="n">
        <v>58464</v>
      </c>
      <c r="C691" s="4" t="n">
        <v>3332</v>
      </c>
      <c r="D691" s="4" t="n">
        <v>1007.93</v>
      </c>
      <c r="E691" s="5" t="n">
        <v>58</v>
      </c>
      <c r="F691" s="3" t="inlineStr">
        <is>
          <t>오송읍</t>
        </is>
      </c>
      <c r="G691" s="3" t="inlineStr">
        <is>
          <t>서평리</t>
        </is>
      </c>
      <c r="H691" s="3" t="inlineStr">
        <is>
          <t>농림지역</t>
        </is>
      </c>
      <c r="I691" s="3" t="inlineStr">
        <is>
          <t>답</t>
        </is>
      </c>
      <c r="J691" s="3" t="inlineStr">
        <is>
          <t>오송읍</t>
        </is>
      </c>
    </row>
    <row r="692">
      <c r="A692" s="3" t="n">
        <v>2026</v>
      </c>
      <c r="B692" s="4" t="n">
        <v>87564</v>
      </c>
      <c r="C692" s="4" t="n">
        <v>2420.1</v>
      </c>
      <c r="D692" s="4" t="n">
        <v>732.08025</v>
      </c>
      <c r="E692" s="5" t="n">
        <v>119.6</v>
      </c>
      <c r="F692" s="3" t="inlineStr">
        <is>
          <t>오송읍</t>
        </is>
      </c>
      <c r="G692" s="3" t="inlineStr">
        <is>
          <t>정중리</t>
        </is>
      </c>
      <c r="H692" s="3" t="inlineStr">
        <is>
          <t>일반공업지역</t>
        </is>
      </c>
      <c r="I692" s="3" t="inlineStr">
        <is>
          <t>공장용지</t>
        </is>
      </c>
      <c r="J692" s="3" t="inlineStr">
        <is>
          <t>오송읍</t>
        </is>
      </c>
    </row>
    <row r="693">
      <c r="A693" s="3" t="n">
        <v>2026</v>
      </c>
      <c r="B693" s="4" t="n">
        <v>7300</v>
      </c>
      <c r="C693" s="4" t="n">
        <v>774</v>
      </c>
      <c r="D693" s="4" t="n">
        <v>234.135</v>
      </c>
      <c r="E693" s="5" t="n">
        <v>31.2</v>
      </c>
      <c r="F693" s="3" t="inlineStr">
        <is>
          <t>강내면</t>
        </is>
      </c>
      <c r="G693" s="3" t="inlineStr">
        <is>
          <t>학천리</t>
        </is>
      </c>
      <c r="H693" s="3" t="inlineStr">
        <is>
          <t>보전녹지지역</t>
        </is>
      </c>
      <c r="I693" s="3" t="inlineStr">
        <is>
          <t>전</t>
        </is>
      </c>
      <c r="J693" s="3" t="inlineStr">
        <is>
          <t>강내면</t>
        </is>
      </c>
    </row>
    <row r="694">
      <c r="A694" s="3" t="n">
        <v>2026</v>
      </c>
      <c r="B694" s="4" t="n">
        <v>30000</v>
      </c>
      <c r="C694" s="4" t="n">
        <v>267.7</v>
      </c>
      <c r="D694" s="4" t="n">
        <v>80.97924999999999</v>
      </c>
      <c r="E694" s="5" t="n">
        <v>370.5</v>
      </c>
      <c r="F694" s="3" t="inlineStr">
        <is>
          <t>오송읍</t>
        </is>
      </c>
      <c r="G694" s="3" t="inlineStr">
        <is>
          <t>봉산리</t>
        </is>
      </c>
      <c r="H694" s="3" t="inlineStr">
        <is>
          <t>제1종일반주거지역</t>
        </is>
      </c>
      <c r="I694" s="3" t="inlineStr">
        <is>
          <t>대</t>
        </is>
      </c>
      <c r="J694" s="3" t="inlineStr">
        <is>
          <t>오송읍</t>
        </is>
      </c>
    </row>
    <row r="695">
      <c r="A695" s="3" t="n">
        <v>2026</v>
      </c>
      <c r="B695" s="4" t="n">
        <v>7300</v>
      </c>
      <c r="C695" s="4" t="n">
        <v>774</v>
      </c>
      <c r="D695" s="4" t="n">
        <v>234.135</v>
      </c>
      <c r="E695" s="5" t="n">
        <v>31.2</v>
      </c>
      <c r="F695" s="3" t="inlineStr">
        <is>
          <t>강내면</t>
        </is>
      </c>
      <c r="G695" s="3" t="inlineStr">
        <is>
          <t>학천리</t>
        </is>
      </c>
      <c r="H695" s="3" t="inlineStr">
        <is>
          <t>보전녹지지역</t>
        </is>
      </c>
      <c r="I695" s="3" t="inlineStr">
        <is>
          <t>전</t>
        </is>
      </c>
      <c r="J695" s="3" t="inlineStr">
        <is>
          <t>강내면</t>
        </is>
      </c>
    </row>
    <row r="696">
      <c r="A696" s="3" t="n">
        <v>2026</v>
      </c>
      <c r="B696" s="4" t="n">
        <v>6000</v>
      </c>
      <c r="C696" s="4" t="n">
        <v>593</v>
      </c>
      <c r="D696" s="4" t="n">
        <v>179.3825</v>
      </c>
      <c r="E696" s="5" t="n">
        <v>33.4</v>
      </c>
      <c r="F696" s="3" t="inlineStr">
        <is>
          <t>오송읍</t>
        </is>
      </c>
      <c r="G696" s="3" t="inlineStr">
        <is>
          <t>상봉리</t>
        </is>
      </c>
      <c r="H696" s="3" t="inlineStr">
        <is>
          <t>생산관리지역</t>
        </is>
      </c>
      <c r="I696" s="3" t="inlineStr">
        <is>
          <t>전</t>
        </is>
      </c>
      <c r="J696" s="3" t="inlineStr">
        <is>
          <t>오송읍</t>
        </is>
      </c>
    </row>
    <row r="697">
      <c r="A697" s="3" t="n">
        <v>2026</v>
      </c>
      <c r="B697" s="4" t="n">
        <v>4500</v>
      </c>
      <c r="C697" s="4" t="n">
        <v>747</v>
      </c>
      <c r="D697" s="4" t="n">
        <v>225.9675</v>
      </c>
      <c r="E697" s="5" t="n">
        <v>19.9</v>
      </c>
      <c r="F697" s="3" t="inlineStr">
        <is>
          <t>남이면</t>
        </is>
      </c>
      <c r="G697" s="3" t="inlineStr">
        <is>
          <t>석실리</t>
        </is>
      </c>
      <c r="H697" s="3" t="inlineStr">
        <is>
          <t>자연녹지지역</t>
        </is>
      </c>
      <c r="I697" s="3" t="inlineStr">
        <is>
          <t>답</t>
        </is>
      </c>
      <c r="J697" s="3" t="inlineStr">
        <is>
          <t>남이면</t>
        </is>
      </c>
    </row>
    <row r="698">
      <c r="A698" s="3" t="n">
        <v>2024</v>
      </c>
      <c r="B698" s="4" t="n">
        <v>28000</v>
      </c>
      <c r="C698" s="4" t="n">
        <v>276</v>
      </c>
      <c r="D698" s="4" t="n">
        <v>83.48999999999999</v>
      </c>
      <c r="E698" s="5" t="n">
        <v>335.4</v>
      </c>
      <c r="F698" s="3" t="inlineStr">
        <is>
          <t>오송읍</t>
        </is>
      </c>
      <c r="G698" s="3" t="inlineStr">
        <is>
          <t>봉산리</t>
        </is>
      </c>
      <c r="H698" s="3" t="inlineStr">
        <is>
          <t>제1종일반주거지역</t>
        </is>
      </c>
      <c r="I698" s="3" t="inlineStr">
        <is>
          <t>대</t>
        </is>
      </c>
      <c r="J698" s="3" t="inlineStr">
        <is>
          <t>오송읍</t>
        </is>
      </c>
    </row>
    <row r="699">
      <c r="A699" s="3" t="n">
        <v>2024</v>
      </c>
      <c r="B699" s="4" t="n">
        <v>6750</v>
      </c>
      <c r="C699" s="4" t="n">
        <v>460.5</v>
      </c>
      <c r="D699" s="4" t="n">
        <v>139.30125</v>
      </c>
      <c r="E699" s="5" t="n">
        <v>48.5</v>
      </c>
      <c r="F699" s="3" t="inlineStr">
        <is>
          <t>강내면</t>
        </is>
      </c>
      <c r="G699" s="3" t="inlineStr">
        <is>
          <t>석화리</t>
        </is>
      </c>
      <c r="H699" s="3" t="inlineStr">
        <is>
          <t>자연녹지지역</t>
        </is>
      </c>
      <c r="I699" s="3" t="inlineStr">
        <is>
          <t>대</t>
        </is>
      </c>
      <c r="J699" s="3" t="inlineStr">
        <is>
          <t>강내면</t>
        </is>
      </c>
    </row>
    <row r="700">
      <c r="A700" s="3" t="n">
        <v>2024</v>
      </c>
      <c r="B700" s="4" t="n">
        <v>27900</v>
      </c>
      <c r="C700" s="4" t="n">
        <v>1536</v>
      </c>
      <c r="D700" s="4" t="n">
        <v>464.64</v>
      </c>
      <c r="E700" s="5" t="n">
        <v>60</v>
      </c>
      <c r="F700" s="3" t="inlineStr">
        <is>
          <t>강내면</t>
        </is>
      </c>
      <c r="G700" s="3" t="inlineStr">
        <is>
          <t>다락리</t>
        </is>
      </c>
      <c r="H700" s="3" t="inlineStr">
        <is>
          <t>농림지역</t>
        </is>
      </c>
      <c r="I700" s="3" t="inlineStr">
        <is>
          <t>답</t>
        </is>
      </c>
      <c r="J700" s="3" t="inlineStr">
        <is>
          <t>강내면</t>
        </is>
      </c>
    </row>
    <row r="701">
      <c r="A701" s="3" t="n">
        <v>2024</v>
      </c>
      <c r="B701" s="4" t="n">
        <v>43700</v>
      </c>
      <c r="C701" s="4" t="n">
        <v>2469</v>
      </c>
      <c r="D701" s="4" t="n">
        <v>746.8724999999999</v>
      </c>
      <c r="E701" s="5" t="n">
        <v>58.5</v>
      </c>
      <c r="F701" s="3" t="inlineStr">
        <is>
          <t>강내면</t>
        </is>
      </c>
      <c r="G701" s="3" t="inlineStr">
        <is>
          <t>태성리</t>
        </is>
      </c>
      <c r="H701" s="3" t="inlineStr">
        <is>
          <t>계획관리지역</t>
        </is>
      </c>
      <c r="I701" s="3" t="inlineStr">
        <is>
          <t>답</t>
        </is>
      </c>
      <c r="J701" s="3" t="inlineStr">
        <is>
          <t>강내면</t>
        </is>
      </c>
    </row>
    <row r="702">
      <c r="A702" s="3" t="n">
        <v>2024</v>
      </c>
      <c r="B702" s="4" t="n">
        <v>37440</v>
      </c>
      <c r="C702" s="4" t="n">
        <v>2116</v>
      </c>
      <c r="D702" s="4" t="n">
        <v>640.09</v>
      </c>
      <c r="E702" s="5" t="n">
        <v>58.5</v>
      </c>
      <c r="F702" s="3" t="inlineStr">
        <is>
          <t>강내면</t>
        </is>
      </c>
      <c r="G702" s="3" t="inlineStr">
        <is>
          <t>태성리</t>
        </is>
      </c>
      <c r="H702" s="3" t="inlineStr">
        <is>
          <t>계획관리지역</t>
        </is>
      </c>
      <c r="I702" s="3" t="inlineStr">
        <is>
          <t>답</t>
        </is>
      </c>
      <c r="J702" s="3" t="inlineStr">
        <is>
          <t>강내면</t>
        </is>
      </c>
    </row>
    <row r="703">
      <c r="A703" s="3" t="n">
        <v>2024</v>
      </c>
      <c r="B703" s="4" t="n">
        <v>69861</v>
      </c>
      <c r="C703" s="4" t="n">
        <v>3940</v>
      </c>
      <c r="D703" s="4" t="n">
        <v>1191.85</v>
      </c>
      <c r="E703" s="5" t="n">
        <v>58.6</v>
      </c>
      <c r="F703" s="3" t="inlineStr">
        <is>
          <t>강내면</t>
        </is>
      </c>
      <c r="G703" s="3" t="inlineStr">
        <is>
          <t>태성리</t>
        </is>
      </c>
      <c r="H703" s="3" t="inlineStr">
        <is>
          <t>계획관리지역</t>
        </is>
      </c>
      <c r="I703" s="3" t="inlineStr">
        <is>
          <t>답</t>
        </is>
      </c>
      <c r="J703" s="3" t="inlineStr">
        <is>
          <t>강내면</t>
        </is>
      </c>
    </row>
    <row r="704">
      <c r="A704" s="3" t="n">
        <v>2024</v>
      </c>
      <c r="B704" s="4" t="n">
        <v>4400</v>
      </c>
      <c r="C704" s="4" t="n">
        <v>11277</v>
      </c>
      <c r="D704" s="4" t="n">
        <v>3411.2925</v>
      </c>
      <c r="E704" s="5" t="n">
        <v>1.3</v>
      </c>
      <c r="F704" s="3" t="inlineStr">
        <is>
          <t>강내면</t>
        </is>
      </c>
      <c r="G704" s="3" t="inlineStr">
        <is>
          <t>학천리</t>
        </is>
      </c>
      <c r="H704" s="3" t="inlineStr">
        <is>
          <t>보전녹지지역</t>
        </is>
      </c>
      <c r="I704" s="3" t="inlineStr">
        <is>
          <t>임야</t>
        </is>
      </c>
      <c r="J704" s="3" t="inlineStr">
        <is>
          <t>강내면</t>
        </is>
      </c>
    </row>
    <row r="705">
      <c r="A705" s="3" t="n">
        <v>2024</v>
      </c>
      <c r="B705" s="4" t="n">
        <v>2178</v>
      </c>
      <c r="C705" s="4" t="n">
        <v>18</v>
      </c>
      <c r="D705" s="4" t="n">
        <v>5.445</v>
      </c>
      <c r="E705" s="5" t="n">
        <v>400</v>
      </c>
      <c r="F705" s="3" t="inlineStr">
        <is>
          <t>강내면</t>
        </is>
      </c>
      <c r="G705" s="3" t="inlineStr">
        <is>
          <t>월곡리</t>
        </is>
      </c>
      <c r="H705" s="3" t="inlineStr">
        <is>
          <t>제2종일반주거지역</t>
        </is>
      </c>
      <c r="I705" s="3" t="inlineStr">
        <is>
          <t>전</t>
        </is>
      </c>
      <c r="J705" s="3" t="inlineStr">
        <is>
          <t>강내면</t>
        </is>
      </c>
    </row>
    <row r="706">
      <c r="A706" s="3" t="n">
        <v>2024</v>
      </c>
      <c r="B706" s="4" t="n">
        <v>20000</v>
      </c>
      <c r="C706" s="4" t="n">
        <v>1488</v>
      </c>
      <c r="D706" s="4" t="n">
        <v>450.12</v>
      </c>
      <c r="E706" s="5" t="n">
        <v>44.4</v>
      </c>
      <c r="F706" s="3" t="inlineStr">
        <is>
          <t>오송읍</t>
        </is>
      </c>
      <c r="G706" s="3" t="inlineStr">
        <is>
          <t>서평리</t>
        </is>
      </c>
      <c r="H706" s="3" t="inlineStr">
        <is>
          <t>농림지역</t>
        </is>
      </c>
      <c r="I706" s="3" t="inlineStr">
        <is>
          <t>전</t>
        </is>
      </c>
      <c r="J706" s="3" t="inlineStr">
        <is>
          <t>오송읍</t>
        </is>
      </c>
    </row>
    <row r="707">
      <c r="A707" s="3" t="n">
        <v>2024</v>
      </c>
      <c r="B707" s="4" t="n">
        <v>12500</v>
      </c>
      <c r="C707" s="4" t="n">
        <v>902</v>
      </c>
      <c r="D707" s="4" t="n">
        <v>272.855</v>
      </c>
      <c r="E707" s="5" t="n">
        <v>45.8</v>
      </c>
      <c r="F707" s="3" t="inlineStr">
        <is>
          <t>강내면</t>
        </is>
      </c>
      <c r="G707" s="3" t="inlineStr">
        <is>
          <t>사인리</t>
        </is>
      </c>
      <c r="H707" s="3" t="inlineStr">
        <is>
          <t>자연녹지지역</t>
        </is>
      </c>
      <c r="I707" s="3" t="inlineStr">
        <is>
          <t>전</t>
        </is>
      </c>
      <c r="J707" s="3" t="inlineStr">
        <is>
          <t>강내면</t>
        </is>
      </c>
    </row>
    <row r="708">
      <c r="A708" s="3" t="n">
        <v>2024</v>
      </c>
      <c r="B708" s="4" t="n">
        <v>60000</v>
      </c>
      <c r="C708" s="4" t="n">
        <v>234.4</v>
      </c>
      <c r="D708" s="4" t="n">
        <v>70.90600000000001</v>
      </c>
      <c r="E708" s="5" t="n">
        <v>846.2</v>
      </c>
      <c r="F708" s="3" t="inlineStr">
        <is>
          <t>오송읍</t>
        </is>
      </c>
      <c r="G708" s="3" t="inlineStr">
        <is>
          <t>봉산리</t>
        </is>
      </c>
      <c r="H708" s="3" t="inlineStr">
        <is>
          <t>제1종일반주거지역</t>
        </is>
      </c>
      <c r="I708" s="3" t="inlineStr">
        <is>
          <t>대</t>
        </is>
      </c>
      <c r="J708" s="3" t="inlineStr">
        <is>
          <t>오송읍</t>
        </is>
      </c>
    </row>
    <row r="709">
      <c r="A709" s="3" t="n">
        <v>2024</v>
      </c>
      <c r="B709" s="4" t="n">
        <v>7640</v>
      </c>
      <c r="C709" s="4" t="n">
        <v>463</v>
      </c>
      <c r="D709" s="4" t="n">
        <v>140.0575</v>
      </c>
      <c r="E709" s="5" t="n">
        <v>54.5</v>
      </c>
      <c r="F709" s="3" t="inlineStr">
        <is>
          <t>오송읍</t>
        </is>
      </c>
      <c r="G709" s="3" t="inlineStr">
        <is>
          <t>동평리</t>
        </is>
      </c>
      <c r="H709" s="3" t="inlineStr">
        <is>
          <t>농림지역</t>
        </is>
      </c>
      <c r="I709" s="3" t="inlineStr">
        <is>
          <t>전</t>
        </is>
      </c>
      <c r="J709" s="3" t="inlineStr">
        <is>
          <t>오송읍</t>
        </is>
      </c>
    </row>
    <row r="710">
      <c r="A710" s="3" t="n">
        <v>2024</v>
      </c>
      <c r="B710" s="4" t="n">
        <v>2624</v>
      </c>
      <c r="C710" s="4" t="n">
        <v>159</v>
      </c>
      <c r="D710" s="4" t="n">
        <v>48.0975</v>
      </c>
      <c r="E710" s="5" t="n">
        <v>54.6</v>
      </c>
      <c r="F710" s="3" t="inlineStr">
        <is>
          <t>오송읍</t>
        </is>
      </c>
      <c r="G710" s="3" t="inlineStr">
        <is>
          <t>동평리</t>
        </is>
      </c>
      <c r="H710" s="3" t="inlineStr">
        <is>
          <t>농림지역</t>
        </is>
      </c>
      <c r="I710" s="3" t="inlineStr">
        <is>
          <t>전</t>
        </is>
      </c>
      <c r="J710" s="3" t="inlineStr">
        <is>
          <t>오송읍</t>
        </is>
      </c>
    </row>
    <row r="711">
      <c r="A711" s="3" t="n">
        <v>2026</v>
      </c>
      <c r="B711" s="4" t="n">
        <v>6300</v>
      </c>
      <c r="C711" s="4" t="n">
        <v>9917</v>
      </c>
      <c r="D711" s="4" t="n">
        <v>2999.8925</v>
      </c>
      <c r="E711" s="5" t="n">
        <v>2.1</v>
      </c>
      <c r="F711" s="3" t="inlineStr">
        <is>
          <t>남이면</t>
        </is>
      </c>
      <c r="G711" s="3" t="inlineStr">
        <is>
          <t>석실리</t>
        </is>
      </c>
      <c r="H711" s="3" t="inlineStr">
        <is>
          <t>보전녹지지역</t>
        </is>
      </c>
      <c r="I711" s="3" t="inlineStr">
        <is>
          <t>임야</t>
        </is>
      </c>
      <c r="J711" s="3" t="inlineStr">
        <is>
          <t>남이면</t>
        </is>
      </c>
    </row>
    <row r="712">
      <c r="A712" s="3" t="n">
        <v>2023</v>
      </c>
      <c r="B712" s="4" t="n">
        <v>1900</v>
      </c>
      <c r="C712" s="4" t="n">
        <v>17</v>
      </c>
      <c r="D712" s="4" t="n">
        <v>5.1425</v>
      </c>
      <c r="E712" s="5" t="n">
        <v>369.5</v>
      </c>
      <c r="F712" s="3" t="inlineStr">
        <is>
          <t>오송읍</t>
        </is>
      </c>
      <c r="G712" s="3" t="inlineStr">
        <is>
          <t>궁평리</t>
        </is>
      </c>
      <c r="H712" s="3" t="inlineStr">
        <is>
          <t>준주거지역</t>
        </is>
      </c>
      <c r="I712" s="3" t="inlineStr">
        <is>
          <t>답</t>
        </is>
      </c>
      <c r="J712" s="3" t="inlineStr">
        <is>
          <t>오송읍</t>
        </is>
      </c>
    </row>
    <row r="713">
      <c r="A713" s="3" t="n">
        <v>2023</v>
      </c>
      <c r="B713" s="4" t="n">
        <v>38000</v>
      </c>
      <c r="C713" s="4" t="n">
        <v>660</v>
      </c>
      <c r="D713" s="4" t="n">
        <v>199.65</v>
      </c>
      <c r="E713" s="5" t="n">
        <v>190.3</v>
      </c>
      <c r="F713" s="3" t="inlineStr">
        <is>
          <t>오송읍</t>
        </is>
      </c>
      <c r="G713" s="3" t="inlineStr">
        <is>
          <t>궁평리</t>
        </is>
      </c>
      <c r="H713" s="3" t="inlineStr">
        <is>
          <t>농림지역</t>
        </is>
      </c>
      <c r="I713" s="3" t="inlineStr">
        <is>
          <t>창고용지</t>
        </is>
      </c>
      <c r="J713" s="3" t="inlineStr">
        <is>
          <t>오송읍</t>
        </is>
      </c>
    </row>
    <row r="714">
      <c r="A714" s="3" t="n">
        <v>2023</v>
      </c>
      <c r="B714" s="4" t="n">
        <v>36000</v>
      </c>
      <c r="C714" s="4" t="n">
        <v>1206</v>
      </c>
      <c r="D714" s="4" t="n">
        <v>364.815</v>
      </c>
      <c r="E714" s="5" t="n">
        <v>98.7</v>
      </c>
      <c r="F714" s="3" t="inlineStr">
        <is>
          <t>강내면</t>
        </is>
      </c>
      <c r="G714" s="3" t="inlineStr">
        <is>
          <t>사곡리</t>
        </is>
      </c>
      <c r="H714" s="3" t="inlineStr">
        <is>
          <t>계획관리지역</t>
        </is>
      </c>
      <c r="I714" s="3" t="inlineStr">
        <is>
          <t>전</t>
        </is>
      </c>
      <c r="J714" s="3" t="inlineStr">
        <is>
          <t>강내면</t>
        </is>
      </c>
    </row>
    <row r="715">
      <c r="A715" s="3" t="n">
        <v>2023</v>
      </c>
      <c r="B715" s="4" t="n">
        <v>6970</v>
      </c>
      <c r="C715" s="4" t="n">
        <v>142</v>
      </c>
      <c r="D715" s="4" t="n">
        <v>42.955</v>
      </c>
      <c r="E715" s="5" t="n">
        <v>162.3</v>
      </c>
      <c r="F715" s="3" t="inlineStr">
        <is>
          <t>오송읍</t>
        </is>
      </c>
      <c r="G715" s="3" t="inlineStr">
        <is>
          <t>연제리</t>
        </is>
      </c>
      <c r="H715" s="3" t="inlineStr">
        <is>
          <t>계획관리지역</t>
        </is>
      </c>
      <c r="I715" s="3" t="inlineStr">
        <is>
          <t>답</t>
        </is>
      </c>
      <c r="J715" s="3" t="inlineStr">
        <is>
          <t>오송읍</t>
        </is>
      </c>
    </row>
    <row r="716">
      <c r="A716" s="3" t="n">
        <v>2023</v>
      </c>
      <c r="B716" s="4" t="n">
        <v>38000</v>
      </c>
      <c r="C716" s="4" t="n">
        <v>660</v>
      </c>
      <c r="D716" s="4" t="n">
        <v>199.65</v>
      </c>
      <c r="E716" s="5" t="n">
        <v>190.3</v>
      </c>
      <c r="F716" s="3" t="inlineStr">
        <is>
          <t>오송읍</t>
        </is>
      </c>
      <c r="G716" s="3" t="inlineStr">
        <is>
          <t>궁평리</t>
        </is>
      </c>
      <c r="H716" s="3" t="inlineStr">
        <is>
          <t>농림지역</t>
        </is>
      </c>
      <c r="I716" s="3" t="inlineStr">
        <is>
          <t>창고용지</t>
        </is>
      </c>
      <c r="J716" s="3" t="inlineStr">
        <is>
          <t>오송읍</t>
        </is>
      </c>
    </row>
    <row r="717">
      <c r="A717" s="3" t="n">
        <v>2023</v>
      </c>
      <c r="B717" s="4" t="n">
        <v>38000</v>
      </c>
      <c r="C717" s="4" t="n">
        <v>660</v>
      </c>
      <c r="D717" s="4" t="n">
        <v>199.65</v>
      </c>
      <c r="E717" s="5" t="n">
        <v>190.3</v>
      </c>
      <c r="F717" s="3" t="inlineStr">
        <is>
          <t>오송읍</t>
        </is>
      </c>
      <c r="G717" s="3" t="inlineStr">
        <is>
          <t>궁평리</t>
        </is>
      </c>
      <c r="H717" s="3" t="inlineStr">
        <is>
          <t>농림지역</t>
        </is>
      </c>
      <c r="I717" s="3" t="inlineStr">
        <is>
          <t>창고용지</t>
        </is>
      </c>
      <c r="J717" s="3" t="inlineStr">
        <is>
          <t>오송읍</t>
        </is>
      </c>
    </row>
    <row r="718">
      <c r="A718" s="3" t="n">
        <v>2023</v>
      </c>
      <c r="B718" s="4" t="n">
        <v>38000</v>
      </c>
      <c r="C718" s="4" t="n">
        <v>660</v>
      </c>
      <c r="D718" s="4" t="n">
        <v>199.65</v>
      </c>
      <c r="E718" s="5" t="n">
        <v>190.3</v>
      </c>
      <c r="F718" s="3" t="inlineStr">
        <is>
          <t>오송읍</t>
        </is>
      </c>
      <c r="G718" s="3" t="inlineStr">
        <is>
          <t>궁평리</t>
        </is>
      </c>
      <c r="H718" s="3" t="inlineStr">
        <is>
          <t>농림지역</t>
        </is>
      </c>
      <c r="I718" s="3" t="inlineStr">
        <is>
          <t>창고용지</t>
        </is>
      </c>
      <c r="J718" s="3" t="inlineStr">
        <is>
          <t>오송읍</t>
        </is>
      </c>
    </row>
    <row r="719">
      <c r="A719" s="3" t="n">
        <v>2023</v>
      </c>
      <c r="B719" s="4" t="n">
        <v>1500</v>
      </c>
      <c r="C719" s="4" t="n">
        <v>33</v>
      </c>
      <c r="D719" s="4" t="n">
        <v>9.9825</v>
      </c>
      <c r="E719" s="5" t="n">
        <v>150.3</v>
      </c>
      <c r="F719" s="3" t="inlineStr">
        <is>
          <t>오송읍</t>
        </is>
      </c>
      <c r="G719" s="3" t="inlineStr">
        <is>
          <t>동평리</t>
        </is>
      </c>
      <c r="H719" s="3" t="inlineStr">
        <is>
          <t>계획관리지역</t>
        </is>
      </c>
      <c r="I719" s="3" t="inlineStr">
        <is>
          <t>전</t>
        </is>
      </c>
      <c r="J719" s="3" t="inlineStr">
        <is>
          <t>오송읍</t>
        </is>
      </c>
    </row>
    <row r="720">
      <c r="A720" s="3" t="n">
        <v>2023</v>
      </c>
      <c r="B720" s="4" t="n">
        <v>7020</v>
      </c>
      <c r="C720" s="4" t="n">
        <v>143</v>
      </c>
      <c r="D720" s="4" t="n">
        <v>43.2575</v>
      </c>
      <c r="E720" s="5" t="n">
        <v>162.3</v>
      </c>
      <c r="F720" s="3" t="inlineStr">
        <is>
          <t>오송읍</t>
        </is>
      </c>
      <c r="G720" s="3" t="inlineStr">
        <is>
          <t>연제리</t>
        </is>
      </c>
      <c r="H720" s="3" t="inlineStr">
        <is>
          <t>계획관리지역</t>
        </is>
      </c>
      <c r="I720" s="3" t="inlineStr">
        <is>
          <t>답</t>
        </is>
      </c>
      <c r="J720" s="3" t="inlineStr">
        <is>
          <t>오송읍</t>
        </is>
      </c>
    </row>
    <row r="721">
      <c r="A721" s="3" t="n">
        <v>2023</v>
      </c>
      <c r="B721" s="4" t="n">
        <v>1500</v>
      </c>
      <c r="C721" s="4" t="n">
        <v>26</v>
      </c>
      <c r="D721" s="4" t="n">
        <v>7.865</v>
      </c>
      <c r="E721" s="5" t="n">
        <v>190.7</v>
      </c>
      <c r="F721" s="3" t="inlineStr">
        <is>
          <t>강내면</t>
        </is>
      </c>
      <c r="G721" s="3" t="inlineStr">
        <is>
          <t>월곡리</t>
        </is>
      </c>
      <c r="H721" s="3" t="inlineStr">
        <is>
          <t>제2종일반주거지역</t>
        </is>
      </c>
      <c r="I721" s="3" t="inlineStr">
        <is>
          <t>대</t>
        </is>
      </c>
      <c r="J721" s="3" t="inlineStr">
        <is>
          <t>강내면</t>
        </is>
      </c>
    </row>
    <row r="722">
      <c r="A722" s="3" t="n">
        <v>2023</v>
      </c>
      <c r="B722" s="4" t="n">
        <v>42000</v>
      </c>
      <c r="C722" s="4" t="n">
        <v>348</v>
      </c>
      <c r="D722" s="4" t="n">
        <v>105.27</v>
      </c>
      <c r="E722" s="5" t="n">
        <v>399</v>
      </c>
      <c r="F722" s="3" t="inlineStr">
        <is>
          <t>강내면</t>
        </is>
      </c>
      <c r="G722" s="3" t="inlineStr">
        <is>
          <t>월곡리</t>
        </is>
      </c>
      <c r="H722" s="3" t="inlineStr">
        <is>
          <t>제1종일반주거지역</t>
        </is>
      </c>
      <c r="I722" s="3" t="inlineStr">
        <is>
          <t>답</t>
        </is>
      </c>
      <c r="J722" s="3" t="inlineStr">
        <is>
          <t>강내면</t>
        </is>
      </c>
    </row>
    <row r="723">
      <c r="A723" s="3" t="n">
        <v>2023</v>
      </c>
      <c r="B723" s="4" t="n">
        <v>18000</v>
      </c>
      <c r="C723" s="4" t="n">
        <v>393</v>
      </c>
      <c r="D723" s="4" t="n">
        <v>118.8825</v>
      </c>
      <c r="E723" s="5" t="n">
        <v>151.4</v>
      </c>
      <c r="F723" s="3" t="inlineStr">
        <is>
          <t>오송읍</t>
        </is>
      </c>
      <c r="G723" s="3" t="inlineStr">
        <is>
          <t>공북리</t>
        </is>
      </c>
      <c r="H723" s="3" t="inlineStr">
        <is>
          <t>계획관리지역</t>
        </is>
      </c>
      <c r="I723" s="3" t="inlineStr">
        <is>
          <t>답</t>
        </is>
      </c>
      <c r="J723" s="3" t="inlineStr">
        <is>
          <t>오송읍</t>
        </is>
      </c>
    </row>
    <row r="724">
      <c r="A724" s="3" t="n">
        <v>2025</v>
      </c>
      <c r="B724" s="4" t="n">
        <v>5200</v>
      </c>
      <c r="C724" s="4" t="n">
        <v>536</v>
      </c>
      <c r="D724" s="4" t="n">
        <v>162.14</v>
      </c>
      <c r="E724" s="5" t="n">
        <v>32.1</v>
      </c>
      <c r="F724" s="3" t="inlineStr">
        <is>
          <t>강내면</t>
        </is>
      </c>
      <c r="G724" s="3" t="inlineStr">
        <is>
          <t>저산리</t>
        </is>
      </c>
      <c r="H724" s="3" t="inlineStr">
        <is>
          <t>농림지역</t>
        </is>
      </c>
      <c r="I724" s="3" t="inlineStr">
        <is>
          <t>전</t>
        </is>
      </c>
      <c r="J724" s="3" t="inlineStr">
        <is>
          <t>강내면</t>
        </is>
      </c>
    </row>
    <row r="725">
      <c r="A725" s="3" t="n">
        <v>2025</v>
      </c>
      <c r="B725" s="4" t="n">
        <v>60000</v>
      </c>
      <c r="C725" s="4" t="n">
        <v>350</v>
      </c>
      <c r="D725" s="4" t="n">
        <v>105.875</v>
      </c>
      <c r="E725" s="5" t="n">
        <v>566.7</v>
      </c>
      <c r="F725" s="3" t="inlineStr">
        <is>
          <t>고운동</t>
        </is>
      </c>
      <c r="G725" s="3" t="inlineStr"/>
      <c r="H725" s="3" t="inlineStr">
        <is>
          <t>제1종전용주거지역</t>
        </is>
      </c>
      <c r="I725" s="3" t="inlineStr">
        <is>
          <t>대</t>
        </is>
      </c>
      <c r="J725" s="3" t="inlineStr">
        <is>
          <t>고운동</t>
        </is>
      </c>
    </row>
    <row r="726">
      <c r="A726" s="3" t="n">
        <v>2025</v>
      </c>
      <c r="B726" s="4" t="n">
        <v>46500</v>
      </c>
      <c r="C726" s="4" t="n">
        <v>358</v>
      </c>
      <c r="D726" s="4" t="n">
        <v>108.295</v>
      </c>
      <c r="E726" s="5" t="n">
        <v>429.4</v>
      </c>
      <c r="F726" s="3" t="inlineStr">
        <is>
          <t>고운동</t>
        </is>
      </c>
      <c r="G726" s="3" t="inlineStr"/>
      <c r="H726" s="3" t="inlineStr">
        <is>
          <t>제1종전용주거지역</t>
        </is>
      </c>
      <c r="I726" s="3" t="inlineStr">
        <is>
          <t>대</t>
        </is>
      </c>
      <c r="J726" s="3" t="inlineStr">
        <is>
          <t>고운동</t>
        </is>
      </c>
    </row>
    <row r="727">
      <c r="A727" s="3" t="n">
        <v>2022</v>
      </c>
      <c r="B727" s="4" t="n">
        <v>8000</v>
      </c>
      <c r="C727" s="4" t="n">
        <v>1505</v>
      </c>
      <c r="D727" s="4" t="n">
        <v>455.2625</v>
      </c>
      <c r="E727" s="5" t="n">
        <v>17.6</v>
      </c>
      <c r="F727" s="3" t="inlineStr">
        <is>
          <t>남이면</t>
        </is>
      </c>
      <c r="G727" s="3" t="inlineStr">
        <is>
          <t>비룡리</t>
        </is>
      </c>
      <c r="H727" s="3" t="inlineStr">
        <is>
          <t>보전관리지역</t>
        </is>
      </c>
      <c r="I727" s="3" t="inlineStr">
        <is>
          <t>임야</t>
        </is>
      </c>
      <c r="J727" s="3" t="inlineStr">
        <is>
          <t>남이면</t>
        </is>
      </c>
    </row>
    <row r="728">
      <c r="A728" s="3" t="n">
        <v>2022</v>
      </c>
      <c r="B728" s="4" t="n">
        <v>500</v>
      </c>
      <c r="C728" s="4" t="n">
        <v>329.99</v>
      </c>
      <c r="D728" s="4" t="n">
        <v>99.82197499999999</v>
      </c>
      <c r="E728" s="5" t="n">
        <v>5</v>
      </c>
      <c r="F728" s="3" t="inlineStr">
        <is>
          <t>남이면</t>
        </is>
      </c>
      <c r="G728" s="3" t="inlineStr">
        <is>
          <t>문동리</t>
        </is>
      </c>
      <c r="H728" s="3" t="inlineStr">
        <is>
          <t>보전녹지지역</t>
        </is>
      </c>
      <c r="I728" s="3" t="inlineStr">
        <is>
          <t>임야</t>
        </is>
      </c>
      <c r="J728" s="3" t="inlineStr">
        <is>
          <t>남이면</t>
        </is>
      </c>
    </row>
    <row r="729">
      <c r="A729" s="3" t="n">
        <v>2022</v>
      </c>
      <c r="B729" s="4" t="n">
        <v>65000</v>
      </c>
      <c r="C729" s="4" t="n">
        <v>2390</v>
      </c>
      <c r="D729" s="4" t="n">
        <v>722.975</v>
      </c>
      <c r="E729" s="5" t="n">
        <v>89.90000000000001</v>
      </c>
      <c r="F729" s="3" t="inlineStr">
        <is>
          <t>남이면</t>
        </is>
      </c>
      <c r="G729" s="3" t="inlineStr">
        <is>
          <t>척산리</t>
        </is>
      </c>
      <c r="H729" s="3" t="inlineStr">
        <is>
          <t>계획관리지역</t>
        </is>
      </c>
      <c r="I729" s="3" t="inlineStr">
        <is>
          <t>공장용지</t>
        </is>
      </c>
      <c r="J729" s="3" t="inlineStr">
        <is>
          <t>남이면</t>
        </is>
      </c>
    </row>
    <row r="730">
      <c r="A730" s="3" t="n">
        <v>2022</v>
      </c>
      <c r="B730" s="4" t="n">
        <v>11000</v>
      </c>
      <c r="C730" s="4" t="n">
        <v>579</v>
      </c>
      <c r="D730" s="4" t="n">
        <v>175.1475</v>
      </c>
      <c r="E730" s="5" t="n">
        <v>62.8</v>
      </c>
      <c r="F730" s="3" t="inlineStr">
        <is>
          <t>남이면</t>
        </is>
      </c>
      <c r="G730" s="3" t="inlineStr">
        <is>
          <t>외천리</t>
        </is>
      </c>
      <c r="H730" s="3" t="inlineStr">
        <is>
          <t>계획관리지역</t>
        </is>
      </c>
      <c r="I730" s="3" t="inlineStr">
        <is>
          <t>대</t>
        </is>
      </c>
      <c r="J730" s="3" t="inlineStr">
        <is>
          <t>남이면</t>
        </is>
      </c>
    </row>
    <row r="731">
      <c r="A731" s="3" t="n">
        <v>2022</v>
      </c>
      <c r="B731" s="4" t="n">
        <v>9000</v>
      </c>
      <c r="C731" s="4" t="n">
        <v>893</v>
      </c>
      <c r="D731" s="4" t="n">
        <v>270.1325</v>
      </c>
      <c r="E731" s="5" t="n">
        <v>33.3</v>
      </c>
      <c r="F731" s="3" t="inlineStr">
        <is>
          <t>남이면</t>
        </is>
      </c>
      <c r="G731" s="3" t="inlineStr">
        <is>
          <t>석실리</t>
        </is>
      </c>
      <c r="H731" s="3" t="inlineStr">
        <is>
          <t>자연녹지지역</t>
        </is>
      </c>
      <c r="I731" s="3" t="inlineStr">
        <is>
          <t>전</t>
        </is>
      </c>
      <c r="J731" s="3" t="inlineStr">
        <is>
          <t>남이면</t>
        </is>
      </c>
    </row>
    <row r="732">
      <c r="A732" s="3" t="n">
        <v>2022</v>
      </c>
      <c r="B732" s="4" t="n">
        <v>17700</v>
      </c>
      <c r="C732" s="4" t="n">
        <v>558</v>
      </c>
      <c r="D732" s="4" t="n">
        <v>168.795</v>
      </c>
      <c r="E732" s="5" t="n">
        <v>104.9</v>
      </c>
      <c r="F732" s="3" t="inlineStr">
        <is>
          <t>남이면</t>
        </is>
      </c>
      <c r="G732" s="3" t="inlineStr">
        <is>
          <t>척북리</t>
        </is>
      </c>
      <c r="H732" s="3" t="inlineStr">
        <is>
          <t>자연녹지지역</t>
        </is>
      </c>
      <c r="I732" s="3" t="inlineStr">
        <is>
          <t>전</t>
        </is>
      </c>
      <c r="J732" s="3" t="inlineStr">
        <is>
          <t>남이면</t>
        </is>
      </c>
    </row>
    <row r="733">
      <c r="A733" s="3" t="n">
        <v>2022</v>
      </c>
      <c r="B733" s="4" t="n">
        <v>9300</v>
      </c>
      <c r="C733" s="4" t="n">
        <v>293</v>
      </c>
      <c r="D733" s="4" t="n">
        <v>88.63249999999999</v>
      </c>
      <c r="E733" s="5" t="n">
        <v>104.9</v>
      </c>
      <c r="F733" s="3" t="inlineStr">
        <is>
          <t>남이면</t>
        </is>
      </c>
      <c r="G733" s="3" t="inlineStr">
        <is>
          <t>척북리</t>
        </is>
      </c>
      <c r="H733" s="3" t="inlineStr">
        <is>
          <t>자연녹지지역</t>
        </is>
      </c>
      <c r="I733" s="3" t="inlineStr">
        <is>
          <t>전</t>
        </is>
      </c>
      <c r="J733" s="3" t="inlineStr">
        <is>
          <t>남이면</t>
        </is>
      </c>
    </row>
    <row r="734">
      <c r="A734" s="3" t="n">
        <v>2022</v>
      </c>
      <c r="B734" s="4" t="n">
        <v>20000</v>
      </c>
      <c r="C734" s="4" t="n">
        <v>688</v>
      </c>
      <c r="D734" s="4" t="n">
        <v>208.12</v>
      </c>
      <c r="E734" s="5" t="n">
        <v>96.09999999999999</v>
      </c>
      <c r="F734" s="3" t="inlineStr">
        <is>
          <t>남이면</t>
        </is>
      </c>
      <c r="G734" s="3" t="inlineStr">
        <is>
          <t>척북리</t>
        </is>
      </c>
      <c r="H734" s="3" t="inlineStr">
        <is>
          <t>자연녹지지역</t>
        </is>
      </c>
      <c r="I734" s="3" t="inlineStr">
        <is>
          <t>임야</t>
        </is>
      </c>
      <c r="J734" s="3" t="inlineStr">
        <is>
          <t>남이면</t>
        </is>
      </c>
    </row>
    <row r="735">
      <c r="A735" s="3" t="n">
        <v>2022</v>
      </c>
      <c r="B735" s="4" t="n">
        <v>38000</v>
      </c>
      <c r="C735" s="4" t="n">
        <v>912</v>
      </c>
      <c r="D735" s="4" t="n">
        <v>275.88</v>
      </c>
      <c r="E735" s="5" t="n">
        <v>137.7</v>
      </c>
      <c r="F735" s="3" t="inlineStr">
        <is>
          <t>남이면</t>
        </is>
      </c>
      <c r="G735" s="3" t="inlineStr">
        <is>
          <t>부용외천리</t>
        </is>
      </c>
      <c r="H735" s="3" t="inlineStr">
        <is>
          <t>계획관리지역</t>
        </is>
      </c>
      <c r="I735" s="3" t="inlineStr">
        <is>
          <t>대</t>
        </is>
      </c>
      <c r="J735" s="3" t="inlineStr">
        <is>
          <t>남이면</t>
        </is>
      </c>
    </row>
    <row r="736">
      <c r="A736" s="3" t="n">
        <v>2022</v>
      </c>
      <c r="B736" s="4" t="n">
        <v>62620</v>
      </c>
      <c r="C736" s="4" t="n">
        <v>2157</v>
      </c>
      <c r="D736" s="4" t="n">
        <v>652.4924999999999</v>
      </c>
      <c r="E736" s="5" t="n">
        <v>96</v>
      </c>
      <c r="F736" s="3" t="inlineStr">
        <is>
          <t>남이면</t>
        </is>
      </c>
      <c r="G736" s="3" t="inlineStr">
        <is>
          <t>상발리</t>
        </is>
      </c>
      <c r="H736" s="3" t="inlineStr">
        <is>
          <t>자연녹지지역</t>
        </is>
      </c>
      <c r="I736" s="3" t="inlineStr">
        <is>
          <t>답</t>
        </is>
      </c>
      <c r="J736" s="3" t="inlineStr">
        <is>
          <t>남이면</t>
        </is>
      </c>
    </row>
    <row r="737">
      <c r="A737" s="3" t="n">
        <v>2022</v>
      </c>
      <c r="B737" s="4" t="n">
        <v>12870</v>
      </c>
      <c r="C737" s="4" t="n">
        <v>1804</v>
      </c>
      <c r="D737" s="4" t="n">
        <v>545.71</v>
      </c>
      <c r="E737" s="5" t="n">
        <v>23.6</v>
      </c>
      <c r="F737" s="3" t="inlineStr">
        <is>
          <t>남이면</t>
        </is>
      </c>
      <c r="G737" s="3" t="inlineStr">
        <is>
          <t>문동리</t>
        </is>
      </c>
      <c r="H737" s="3" t="inlineStr">
        <is>
          <t>보전녹지지역</t>
        </is>
      </c>
      <c r="I737" s="3" t="inlineStr">
        <is>
          <t>임야</t>
        </is>
      </c>
      <c r="J737" s="3" t="inlineStr">
        <is>
          <t>남이면</t>
        </is>
      </c>
    </row>
    <row r="738">
      <c r="A738" s="3" t="n">
        <v>2022</v>
      </c>
      <c r="B738" s="4" t="n">
        <v>6933</v>
      </c>
      <c r="C738" s="4" t="n">
        <v>976</v>
      </c>
      <c r="D738" s="4" t="n">
        <v>295.24</v>
      </c>
      <c r="E738" s="5" t="n">
        <v>23.5</v>
      </c>
      <c r="F738" s="3" t="inlineStr">
        <is>
          <t>남이면</t>
        </is>
      </c>
      <c r="G738" s="3" t="inlineStr">
        <is>
          <t>문동리</t>
        </is>
      </c>
      <c r="H738" s="3" t="inlineStr">
        <is>
          <t>보전녹지지역</t>
        </is>
      </c>
      <c r="I738" s="3" t="inlineStr">
        <is>
          <t>임야</t>
        </is>
      </c>
      <c r="J738" s="3" t="inlineStr">
        <is>
          <t>남이면</t>
        </is>
      </c>
    </row>
    <row r="739">
      <c r="A739" s="3" t="n">
        <v>2022</v>
      </c>
      <c r="B739" s="4" t="n">
        <v>14850</v>
      </c>
      <c r="C739" s="4" t="n">
        <v>2054</v>
      </c>
      <c r="D739" s="4" t="n">
        <v>621.335</v>
      </c>
      <c r="E739" s="5" t="n">
        <v>23.9</v>
      </c>
      <c r="F739" s="3" t="inlineStr">
        <is>
          <t>남이면</t>
        </is>
      </c>
      <c r="G739" s="3" t="inlineStr">
        <is>
          <t>문동리</t>
        </is>
      </c>
      <c r="H739" s="3" t="inlineStr">
        <is>
          <t>보전녹지지역</t>
        </is>
      </c>
      <c r="I739" s="3" t="inlineStr">
        <is>
          <t>임야</t>
        </is>
      </c>
      <c r="J739" s="3" t="inlineStr">
        <is>
          <t>남이면</t>
        </is>
      </c>
    </row>
    <row r="740">
      <c r="A740" s="3" t="n">
        <v>2022</v>
      </c>
      <c r="B740" s="4" t="n">
        <v>3959</v>
      </c>
      <c r="C740" s="4" t="n">
        <v>211</v>
      </c>
      <c r="D740" s="4" t="n">
        <v>63.8275</v>
      </c>
      <c r="E740" s="5" t="n">
        <v>62</v>
      </c>
      <c r="F740" s="3" t="inlineStr">
        <is>
          <t>남이면</t>
        </is>
      </c>
      <c r="G740" s="3" t="inlineStr">
        <is>
          <t>문동리</t>
        </is>
      </c>
      <c r="H740" s="3" t="inlineStr">
        <is>
          <t>자연녹지지역</t>
        </is>
      </c>
      <c r="I740" s="3" t="inlineStr">
        <is>
          <t>임야</t>
        </is>
      </c>
      <c r="J740" s="3" t="inlineStr">
        <is>
          <t>남이면</t>
        </is>
      </c>
    </row>
    <row r="741">
      <c r="A741" s="3" t="n">
        <v>2022</v>
      </c>
      <c r="B741" s="4" t="n">
        <v>11880</v>
      </c>
      <c r="C741" s="4" t="n">
        <v>1712</v>
      </c>
      <c r="D741" s="4" t="n">
        <v>517.88</v>
      </c>
      <c r="E741" s="5" t="n">
        <v>22.9</v>
      </c>
      <c r="F741" s="3" t="inlineStr">
        <is>
          <t>남이면</t>
        </is>
      </c>
      <c r="G741" s="3" t="inlineStr">
        <is>
          <t>문동리</t>
        </is>
      </c>
      <c r="H741" s="3" t="inlineStr">
        <is>
          <t>보전녹지지역</t>
        </is>
      </c>
      <c r="I741" s="3" t="inlineStr">
        <is>
          <t>임야</t>
        </is>
      </c>
      <c r="J741" s="3" t="inlineStr">
        <is>
          <t>남이면</t>
        </is>
      </c>
    </row>
    <row r="742">
      <c r="A742" s="3" t="n">
        <v>2022</v>
      </c>
      <c r="B742" s="4" t="n">
        <v>1486</v>
      </c>
      <c r="C742" s="4" t="n">
        <v>206</v>
      </c>
      <c r="D742" s="4" t="n">
        <v>62.315</v>
      </c>
      <c r="E742" s="5" t="n">
        <v>23.8</v>
      </c>
      <c r="F742" s="3" t="inlineStr">
        <is>
          <t>남이면</t>
        </is>
      </c>
      <c r="G742" s="3" t="inlineStr">
        <is>
          <t>문동리</t>
        </is>
      </c>
      <c r="H742" s="3" t="inlineStr">
        <is>
          <t>보전녹지지역</t>
        </is>
      </c>
      <c r="I742" s="3" t="inlineStr">
        <is>
          <t>임야</t>
        </is>
      </c>
      <c r="J742" s="3" t="inlineStr">
        <is>
          <t>남이면</t>
        </is>
      </c>
    </row>
    <row r="743">
      <c r="A743" s="3" t="n">
        <v>2022</v>
      </c>
      <c r="B743" s="4" t="n">
        <v>157</v>
      </c>
      <c r="C743" s="4" t="n">
        <v>204</v>
      </c>
      <c r="D743" s="4" t="n">
        <v>61.71</v>
      </c>
      <c r="E743" s="5" t="n">
        <v>2.5</v>
      </c>
      <c r="F743" s="3" t="inlineStr">
        <is>
          <t>남이면</t>
        </is>
      </c>
      <c r="G743" s="3" t="inlineStr">
        <is>
          <t>문동리</t>
        </is>
      </c>
      <c r="H743" s="3" t="inlineStr">
        <is>
          <t>보전녹지지역</t>
        </is>
      </c>
      <c r="I743" s="3" t="inlineStr">
        <is>
          <t>임야</t>
        </is>
      </c>
      <c r="J743" s="3" t="inlineStr">
        <is>
          <t>남이면</t>
        </is>
      </c>
    </row>
    <row r="744">
      <c r="A744" s="3" t="n">
        <v>2022</v>
      </c>
      <c r="B744" s="4" t="n">
        <v>3250</v>
      </c>
      <c r="C744" s="4" t="n">
        <v>165</v>
      </c>
      <c r="D744" s="4" t="n">
        <v>49.9125</v>
      </c>
      <c r="E744" s="5" t="n">
        <v>65.09999999999999</v>
      </c>
      <c r="F744" s="3" t="inlineStr">
        <is>
          <t>남이면</t>
        </is>
      </c>
      <c r="G744" s="3" t="inlineStr">
        <is>
          <t>석판리</t>
        </is>
      </c>
      <c r="H744" s="3" t="inlineStr">
        <is>
          <t>자연녹지지역</t>
        </is>
      </c>
      <c r="I744" s="3" t="inlineStr">
        <is>
          <t>전</t>
        </is>
      </c>
      <c r="J744" s="3" t="inlineStr">
        <is>
          <t>남이면</t>
        </is>
      </c>
    </row>
    <row r="745">
      <c r="A745" s="3" t="n">
        <v>2022</v>
      </c>
      <c r="B745" s="4" t="n">
        <v>24415</v>
      </c>
      <c r="C745" s="4" t="n">
        <v>681</v>
      </c>
      <c r="D745" s="4" t="n">
        <v>206.0025</v>
      </c>
      <c r="E745" s="5" t="n">
        <v>118.5</v>
      </c>
      <c r="F745" s="3" t="inlineStr">
        <is>
          <t>남이면</t>
        </is>
      </c>
      <c r="G745" s="3" t="inlineStr">
        <is>
          <t>가좌리</t>
        </is>
      </c>
      <c r="H745" s="3" t="inlineStr">
        <is>
          <t>자연녹지지역</t>
        </is>
      </c>
      <c r="I745" s="3" t="inlineStr">
        <is>
          <t>전</t>
        </is>
      </c>
      <c r="J745" s="3" t="inlineStr">
        <is>
          <t>남이면</t>
        </is>
      </c>
    </row>
    <row r="746">
      <c r="A746" s="3" t="n">
        <v>2022</v>
      </c>
      <c r="B746" s="4" t="n">
        <v>555</v>
      </c>
      <c r="C746" s="4" t="n">
        <v>17</v>
      </c>
      <c r="D746" s="4" t="n">
        <v>5.1425</v>
      </c>
      <c r="E746" s="5" t="n">
        <v>107.9</v>
      </c>
      <c r="F746" s="3" t="inlineStr">
        <is>
          <t>남이면</t>
        </is>
      </c>
      <c r="G746" s="3" t="inlineStr">
        <is>
          <t>가좌리</t>
        </is>
      </c>
      <c r="H746" s="3" t="inlineStr">
        <is>
          <t>자연녹지지역</t>
        </is>
      </c>
      <c r="I746" s="3" t="inlineStr">
        <is>
          <t>전</t>
        </is>
      </c>
      <c r="J746" s="3" t="inlineStr">
        <is>
          <t>남이면</t>
        </is>
      </c>
    </row>
    <row r="747">
      <c r="A747" s="3" t="n">
        <v>2022</v>
      </c>
      <c r="B747" s="4" t="n">
        <v>75</v>
      </c>
      <c r="C747" s="4" t="n">
        <v>8</v>
      </c>
      <c r="D747" s="4" t="n">
        <v>2.42</v>
      </c>
      <c r="E747" s="5" t="n">
        <v>31</v>
      </c>
      <c r="F747" s="3" t="inlineStr">
        <is>
          <t>남이면</t>
        </is>
      </c>
      <c r="G747" s="3" t="inlineStr">
        <is>
          <t>가좌리</t>
        </is>
      </c>
      <c r="H747" s="3" t="inlineStr">
        <is>
          <t>자연녹지지역</t>
        </is>
      </c>
      <c r="I747" s="3" t="inlineStr">
        <is>
          <t>도로</t>
        </is>
      </c>
      <c r="J747" s="3" t="inlineStr">
        <is>
          <t>남이면</t>
        </is>
      </c>
    </row>
    <row r="748">
      <c r="A748" s="3" t="n">
        <v>2022</v>
      </c>
      <c r="B748" s="4" t="n">
        <v>555</v>
      </c>
      <c r="C748" s="4" t="n">
        <v>17</v>
      </c>
      <c r="D748" s="4" t="n">
        <v>5.1425</v>
      </c>
      <c r="E748" s="5" t="n">
        <v>107.9</v>
      </c>
      <c r="F748" s="3" t="inlineStr">
        <is>
          <t>남이면</t>
        </is>
      </c>
      <c r="G748" s="3" t="inlineStr">
        <is>
          <t>가좌리</t>
        </is>
      </c>
      <c r="H748" s="3" t="inlineStr">
        <is>
          <t>자연녹지지역</t>
        </is>
      </c>
      <c r="I748" s="3" t="inlineStr">
        <is>
          <t>전</t>
        </is>
      </c>
      <c r="J748" s="3" t="inlineStr">
        <is>
          <t>남이면</t>
        </is>
      </c>
    </row>
    <row r="749">
      <c r="A749" s="3" t="n">
        <v>2022</v>
      </c>
      <c r="B749" s="4" t="n">
        <v>15837</v>
      </c>
      <c r="C749" s="4" t="n">
        <v>726</v>
      </c>
      <c r="D749" s="4" t="n">
        <v>219.615</v>
      </c>
      <c r="E749" s="5" t="n">
        <v>72.09999999999999</v>
      </c>
      <c r="F749" s="3" t="inlineStr">
        <is>
          <t>남이면</t>
        </is>
      </c>
      <c r="G749" s="3" t="inlineStr">
        <is>
          <t>수대리</t>
        </is>
      </c>
      <c r="H749" s="3" t="inlineStr">
        <is>
          <t>자연녹지지역</t>
        </is>
      </c>
      <c r="I749" s="3" t="inlineStr">
        <is>
          <t>전</t>
        </is>
      </c>
      <c r="J749" s="3" t="inlineStr">
        <is>
          <t>남이면</t>
        </is>
      </c>
    </row>
    <row r="750">
      <c r="A750" s="3" t="n">
        <v>2022</v>
      </c>
      <c r="B750" s="4" t="n">
        <v>35319</v>
      </c>
      <c r="C750" s="4" t="n">
        <v>476</v>
      </c>
      <c r="D750" s="4" t="n">
        <v>143.99</v>
      </c>
      <c r="E750" s="5" t="n">
        <v>245.3</v>
      </c>
      <c r="F750" s="3" t="inlineStr">
        <is>
          <t>남이면</t>
        </is>
      </c>
      <c r="G750" s="3" t="inlineStr">
        <is>
          <t>부용외천리</t>
        </is>
      </c>
      <c r="H750" s="3" t="inlineStr">
        <is>
          <t>계획관리지역</t>
        </is>
      </c>
      <c r="I750" s="3" t="inlineStr">
        <is>
          <t>구거</t>
        </is>
      </c>
      <c r="J750" s="3" t="inlineStr">
        <is>
          <t>남이면</t>
        </is>
      </c>
    </row>
    <row r="751">
      <c r="A751" s="3" t="n">
        <v>2022</v>
      </c>
      <c r="B751" s="4" t="n">
        <v>4000</v>
      </c>
      <c r="C751" s="4" t="n">
        <v>551</v>
      </c>
      <c r="D751" s="4" t="n">
        <v>166.6775</v>
      </c>
      <c r="E751" s="5" t="n">
        <v>24</v>
      </c>
      <c r="F751" s="3" t="inlineStr">
        <is>
          <t>남이면</t>
        </is>
      </c>
      <c r="G751" s="3" t="inlineStr">
        <is>
          <t>석실리</t>
        </is>
      </c>
      <c r="H751" s="3" t="inlineStr">
        <is>
          <t>보전녹지지역</t>
        </is>
      </c>
      <c r="I751" s="3" t="inlineStr">
        <is>
          <t>전</t>
        </is>
      </c>
      <c r="J751" s="3" t="inlineStr">
        <is>
          <t>남이면</t>
        </is>
      </c>
    </row>
    <row r="752">
      <c r="A752" s="3" t="n">
        <v>2022</v>
      </c>
      <c r="B752" s="4" t="n">
        <v>116500</v>
      </c>
      <c r="C752" s="4" t="n">
        <v>4553</v>
      </c>
      <c r="D752" s="4" t="n">
        <v>1377.2825</v>
      </c>
      <c r="E752" s="5" t="n">
        <v>84.59999999999999</v>
      </c>
      <c r="F752" s="3" t="inlineStr">
        <is>
          <t>남이면</t>
        </is>
      </c>
      <c r="G752" s="3" t="inlineStr">
        <is>
          <t>구미리</t>
        </is>
      </c>
      <c r="H752" s="3" t="inlineStr">
        <is>
          <t>계획관리지역</t>
        </is>
      </c>
      <c r="I752" s="3" t="inlineStr">
        <is>
          <t>답</t>
        </is>
      </c>
      <c r="J752" s="3" t="inlineStr">
        <is>
          <t>남이면</t>
        </is>
      </c>
    </row>
    <row r="753">
      <c r="A753" s="3" t="n">
        <v>2022</v>
      </c>
      <c r="B753" s="4" t="n">
        <v>24550</v>
      </c>
      <c r="C753" s="4" t="n">
        <v>1623</v>
      </c>
      <c r="D753" s="4" t="n">
        <v>490.9575</v>
      </c>
      <c r="E753" s="5" t="n">
        <v>50</v>
      </c>
      <c r="F753" s="3" t="inlineStr">
        <is>
          <t>남이면</t>
        </is>
      </c>
      <c r="G753" s="3" t="inlineStr">
        <is>
          <t>구미리</t>
        </is>
      </c>
      <c r="H753" s="3" t="inlineStr">
        <is>
          <t>계획관리지역</t>
        </is>
      </c>
      <c r="I753" s="3" t="inlineStr">
        <is>
          <t>전</t>
        </is>
      </c>
      <c r="J753" s="3" t="inlineStr">
        <is>
          <t>남이면</t>
        </is>
      </c>
    </row>
    <row r="754">
      <c r="A754" s="3" t="n">
        <v>2025</v>
      </c>
      <c r="B754" s="4" t="n">
        <v>20037</v>
      </c>
      <c r="C754" s="4" t="n">
        <v>541</v>
      </c>
      <c r="D754" s="4" t="n">
        <v>163.6525</v>
      </c>
      <c r="E754" s="5" t="n">
        <v>122.4</v>
      </c>
      <c r="F754" s="3" t="inlineStr">
        <is>
          <t>부강면</t>
        </is>
      </c>
      <c r="G754" s="3" t="inlineStr">
        <is>
          <t>부강리</t>
        </is>
      </c>
      <c r="H754" s="3" t="inlineStr">
        <is>
          <t>자연녹지지역</t>
        </is>
      </c>
      <c r="I754" s="3" t="inlineStr">
        <is>
          <t>대</t>
        </is>
      </c>
      <c r="J754" s="3" t="inlineStr">
        <is>
          <t>부강면</t>
        </is>
      </c>
    </row>
    <row r="755">
      <c r="A755" s="3" t="n">
        <v>2025</v>
      </c>
      <c r="B755" s="4" t="n">
        <v>16063</v>
      </c>
      <c r="C755" s="4" t="n">
        <v>450</v>
      </c>
      <c r="D755" s="4" t="n">
        <v>136.125</v>
      </c>
      <c r="E755" s="5" t="n">
        <v>118</v>
      </c>
      <c r="F755" s="3" t="inlineStr">
        <is>
          <t>부강면</t>
        </is>
      </c>
      <c r="G755" s="3" t="inlineStr">
        <is>
          <t>부강리</t>
        </is>
      </c>
      <c r="H755" s="3" t="inlineStr">
        <is>
          <t>자연녹지지역</t>
        </is>
      </c>
      <c r="I755" s="3" t="inlineStr">
        <is>
          <t>대</t>
        </is>
      </c>
      <c r="J755" s="3" t="inlineStr">
        <is>
          <t>부강면</t>
        </is>
      </c>
    </row>
    <row r="756">
      <c r="A756" s="3" t="n">
        <v>2024</v>
      </c>
      <c r="B756" s="4" t="n">
        <v>51000</v>
      </c>
      <c r="C756" s="4" t="n">
        <v>1534</v>
      </c>
      <c r="D756" s="4" t="n">
        <v>464.035</v>
      </c>
      <c r="E756" s="5" t="n">
        <v>109.9</v>
      </c>
      <c r="F756" s="3" t="inlineStr">
        <is>
          <t>남이면</t>
        </is>
      </c>
      <c r="G756" s="3" t="inlineStr">
        <is>
          <t>가좌리</t>
        </is>
      </c>
      <c r="H756" s="3" t="inlineStr">
        <is>
          <t>자연녹지지역</t>
        </is>
      </c>
      <c r="I756" s="3" t="inlineStr">
        <is>
          <t>임야</t>
        </is>
      </c>
      <c r="J756" s="3" t="inlineStr">
        <is>
          <t>남이면</t>
        </is>
      </c>
    </row>
    <row r="757">
      <c r="A757" s="3" t="n">
        <v>2024</v>
      </c>
      <c r="B757" s="4" t="n">
        <v>34000</v>
      </c>
      <c r="C757" s="4" t="n">
        <v>1904</v>
      </c>
      <c r="D757" s="4" t="n">
        <v>575.96</v>
      </c>
      <c r="E757" s="5" t="n">
        <v>59</v>
      </c>
      <c r="F757" s="3" t="inlineStr">
        <is>
          <t>남이면</t>
        </is>
      </c>
      <c r="G757" s="3" t="inlineStr">
        <is>
          <t>팔봉리</t>
        </is>
      </c>
      <c r="H757" s="3" t="inlineStr">
        <is>
          <t>자연녹지지역</t>
        </is>
      </c>
      <c r="I757" s="3" t="inlineStr">
        <is>
          <t>답</t>
        </is>
      </c>
      <c r="J757" s="3" t="inlineStr">
        <is>
          <t>남이면</t>
        </is>
      </c>
    </row>
    <row r="758">
      <c r="A758" s="3" t="n">
        <v>2024</v>
      </c>
      <c r="B758" s="4" t="n">
        <v>4800</v>
      </c>
      <c r="C758" s="4" t="n">
        <v>53</v>
      </c>
      <c r="D758" s="4" t="n">
        <v>16.0325</v>
      </c>
      <c r="E758" s="5" t="n">
        <v>299.4</v>
      </c>
      <c r="F758" s="3" t="inlineStr">
        <is>
          <t>남이면</t>
        </is>
      </c>
      <c r="G758" s="3" t="inlineStr">
        <is>
          <t>팔봉리</t>
        </is>
      </c>
      <c r="H758" s="3" t="inlineStr">
        <is>
          <t>자연녹지지역</t>
        </is>
      </c>
      <c r="I758" s="3" t="inlineStr">
        <is>
          <t>답</t>
        </is>
      </c>
      <c r="J758" s="3" t="inlineStr">
        <is>
          <t>남이면</t>
        </is>
      </c>
    </row>
    <row r="759">
      <c r="A759" s="3" t="n">
        <v>2024</v>
      </c>
      <c r="B759" s="4" t="n">
        <v>3400</v>
      </c>
      <c r="C759" s="4" t="n">
        <v>331</v>
      </c>
      <c r="D759" s="4" t="n">
        <v>100.1275</v>
      </c>
      <c r="E759" s="5" t="n">
        <v>34</v>
      </c>
      <c r="F759" s="3" t="inlineStr">
        <is>
          <t>남이면</t>
        </is>
      </c>
      <c r="G759" s="3" t="inlineStr">
        <is>
          <t>부용외천리</t>
        </is>
      </c>
      <c r="H759" s="3" t="inlineStr">
        <is>
          <t>생산관리지역</t>
        </is>
      </c>
      <c r="I759" s="3" t="inlineStr">
        <is>
          <t>답</t>
        </is>
      </c>
      <c r="J759" s="3" t="inlineStr">
        <is>
          <t>남이면</t>
        </is>
      </c>
    </row>
    <row r="760">
      <c r="A760" s="3" t="n">
        <v>2024</v>
      </c>
      <c r="B760" s="4" t="n">
        <v>720</v>
      </c>
      <c r="C760" s="4" t="n">
        <v>72</v>
      </c>
      <c r="D760" s="4" t="n">
        <v>21.78</v>
      </c>
      <c r="E760" s="5" t="n">
        <v>33.1</v>
      </c>
      <c r="F760" s="3" t="inlineStr">
        <is>
          <t>남이면</t>
        </is>
      </c>
      <c r="G760" s="3" t="inlineStr">
        <is>
          <t>부용외천리</t>
        </is>
      </c>
      <c r="H760" s="3" t="inlineStr">
        <is>
          <t>생산관리지역</t>
        </is>
      </c>
      <c r="I760" s="3" t="inlineStr">
        <is>
          <t>답</t>
        </is>
      </c>
      <c r="J760" s="3" t="inlineStr">
        <is>
          <t>남이면</t>
        </is>
      </c>
    </row>
    <row r="761">
      <c r="A761" s="3" t="n">
        <v>2024</v>
      </c>
      <c r="B761" s="4" t="n">
        <v>5600</v>
      </c>
      <c r="C761" s="4" t="n">
        <v>932</v>
      </c>
      <c r="D761" s="4" t="n">
        <v>281.93</v>
      </c>
      <c r="E761" s="5" t="n">
        <v>19.9</v>
      </c>
      <c r="F761" s="3" t="inlineStr">
        <is>
          <t>남이면</t>
        </is>
      </c>
      <c r="G761" s="3" t="inlineStr">
        <is>
          <t>외천리</t>
        </is>
      </c>
      <c r="H761" s="3" t="inlineStr">
        <is>
          <t>계획관리지역</t>
        </is>
      </c>
      <c r="I761" s="3" t="inlineStr">
        <is>
          <t>답</t>
        </is>
      </c>
      <c r="J761" s="3" t="inlineStr">
        <is>
          <t>남이면</t>
        </is>
      </c>
    </row>
    <row r="762">
      <c r="A762" s="3" t="n">
        <v>2024</v>
      </c>
      <c r="B762" s="4" t="n">
        <v>39000</v>
      </c>
      <c r="C762" s="4" t="n">
        <v>1079</v>
      </c>
      <c r="D762" s="4" t="n">
        <v>326.3975</v>
      </c>
      <c r="E762" s="5" t="n">
        <v>119.5</v>
      </c>
      <c r="F762" s="3" t="inlineStr">
        <is>
          <t>남이면</t>
        </is>
      </c>
      <c r="G762" s="3" t="inlineStr">
        <is>
          <t>상발리</t>
        </is>
      </c>
      <c r="H762" s="3" t="inlineStr">
        <is>
          <t>자연녹지지역</t>
        </is>
      </c>
      <c r="I762" s="3" t="inlineStr">
        <is>
          <t>답</t>
        </is>
      </c>
      <c r="J762" s="3" t="inlineStr">
        <is>
          <t>남이면</t>
        </is>
      </c>
    </row>
    <row r="763">
      <c r="A763" s="3" t="n">
        <v>2024</v>
      </c>
      <c r="B763" s="4" t="n">
        <v>14500</v>
      </c>
      <c r="C763" s="4" t="n">
        <v>1403</v>
      </c>
      <c r="D763" s="4" t="n">
        <v>424.4075</v>
      </c>
      <c r="E763" s="5" t="n">
        <v>34.2</v>
      </c>
      <c r="F763" s="3" t="inlineStr">
        <is>
          <t>남이면</t>
        </is>
      </c>
      <c r="G763" s="3" t="inlineStr">
        <is>
          <t>산막리</t>
        </is>
      </c>
      <c r="H763" s="3" t="inlineStr">
        <is>
          <t>생산관리지역</t>
        </is>
      </c>
      <c r="I763" s="3" t="inlineStr">
        <is>
          <t>답</t>
        </is>
      </c>
      <c r="J763" s="3" t="inlineStr">
        <is>
          <t>남이면</t>
        </is>
      </c>
    </row>
    <row r="764">
      <c r="A764" s="3" t="n">
        <v>2024</v>
      </c>
      <c r="B764" s="4" t="n">
        <v>9000</v>
      </c>
      <c r="C764" s="4" t="n">
        <v>1415</v>
      </c>
      <c r="D764" s="4" t="n">
        <v>428.0375</v>
      </c>
      <c r="E764" s="5" t="n">
        <v>21</v>
      </c>
      <c r="F764" s="3" t="inlineStr">
        <is>
          <t>남이면</t>
        </is>
      </c>
      <c r="G764" s="3" t="inlineStr">
        <is>
          <t>산막리</t>
        </is>
      </c>
      <c r="H764" s="3" t="inlineStr">
        <is>
          <t>생산관리지역</t>
        </is>
      </c>
      <c r="I764" s="3" t="inlineStr">
        <is>
          <t>전</t>
        </is>
      </c>
      <c r="J764" s="3" t="inlineStr">
        <is>
          <t>남이면</t>
        </is>
      </c>
    </row>
    <row r="765">
      <c r="A765" s="3" t="n">
        <v>2024</v>
      </c>
      <c r="B765" s="4" t="n">
        <v>5800</v>
      </c>
      <c r="C765" s="4" t="n">
        <v>916</v>
      </c>
      <c r="D765" s="4" t="n">
        <v>277.09</v>
      </c>
      <c r="E765" s="5" t="n">
        <v>20.9</v>
      </c>
      <c r="F765" s="3" t="inlineStr">
        <is>
          <t>남이면</t>
        </is>
      </c>
      <c r="G765" s="3" t="inlineStr">
        <is>
          <t>산막리</t>
        </is>
      </c>
      <c r="H765" s="3" t="inlineStr">
        <is>
          <t>생산관리지역</t>
        </is>
      </c>
      <c r="I765" s="3" t="inlineStr">
        <is>
          <t>전</t>
        </is>
      </c>
      <c r="J765" s="3" t="inlineStr">
        <is>
          <t>남이면</t>
        </is>
      </c>
    </row>
    <row r="766">
      <c r="A766" s="3" t="n">
        <v>2024</v>
      </c>
      <c r="B766" s="4" t="n">
        <v>6700</v>
      </c>
      <c r="C766" s="4" t="n">
        <v>1061</v>
      </c>
      <c r="D766" s="4" t="n">
        <v>320.9525</v>
      </c>
      <c r="E766" s="5" t="n">
        <v>20.9</v>
      </c>
      <c r="F766" s="3" t="inlineStr">
        <is>
          <t>남이면</t>
        </is>
      </c>
      <c r="G766" s="3" t="inlineStr">
        <is>
          <t>산막리</t>
        </is>
      </c>
      <c r="H766" s="3" t="inlineStr">
        <is>
          <t>생산관리지역</t>
        </is>
      </c>
      <c r="I766" s="3" t="inlineStr">
        <is>
          <t>전</t>
        </is>
      </c>
      <c r="J766" s="3" t="inlineStr">
        <is>
          <t>남이면</t>
        </is>
      </c>
    </row>
    <row r="767">
      <c r="A767" s="3" t="n">
        <v>2024</v>
      </c>
      <c r="B767" s="4" t="n">
        <v>19000</v>
      </c>
      <c r="C767" s="4" t="n">
        <v>2992</v>
      </c>
      <c r="D767" s="4" t="n">
        <v>905.0799999999999</v>
      </c>
      <c r="E767" s="5" t="n">
        <v>21</v>
      </c>
      <c r="F767" s="3" t="inlineStr">
        <is>
          <t>남이면</t>
        </is>
      </c>
      <c r="G767" s="3" t="inlineStr">
        <is>
          <t>산막리</t>
        </is>
      </c>
      <c r="H767" s="3" t="inlineStr">
        <is>
          <t>생산관리지역</t>
        </is>
      </c>
      <c r="I767" s="3" t="inlineStr">
        <is>
          <t>전</t>
        </is>
      </c>
      <c r="J767" s="3" t="inlineStr">
        <is>
          <t>남이면</t>
        </is>
      </c>
    </row>
    <row r="768">
      <c r="A768" s="3" t="n">
        <v>2024</v>
      </c>
      <c r="B768" s="4" t="n">
        <v>12500</v>
      </c>
      <c r="C768" s="4" t="n">
        <v>655</v>
      </c>
      <c r="D768" s="4" t="n">
        <v>198.1375</v>
      </c>
      <c r="E768" s="5" t="n">
        <v>63.1</v>
      </c>
      <c r="F768" s="3" t="inlineStr">
        <is>
          <t>남이면</t>
        </is>
      </c>
      <c r="G768" s="3" t="inlineStr">
        <is>
          <t>사동리</t>
        </is>
      </c>
      <c r="H768" s="3" t="inlineStr">
        <is>
          <t>자연녹지지역</t>
        </is>
      </c>
      <c r="I768" s="3" t="inlineStr">
        <is>
          <t>전</t>
        </is>
      </c>
      <c r="J768" s="3" t="inlineStr">
        <is>
          <t>남이면</t>
        </is>
      </c>
    </row>
    <row r="769">
      <c r="A769" s="3" t="n">
        <v>2024</v>
      </c>
      <c r="B769" s="4" t="n">
        <v>15240</v>
      </c>
      <c r="C769" s="4" t="n">
        <v>1362</v>
      </c>
      <c r="D769" s="4" t="n">
        <v>412.005</v>
      </c>
      <c r="E769" s="5" t="n">
        <v>37</v>
      </c>
      <c r="F769" s="3" t="inlineStr">
        <is>
          <t>남이면</t>
        </is>
      </c>
      <c r="G769" s="3" t="inlineStr">
        <is>
          <t>산막리</t>
        </is>
      </c>
      <c r="H769" s="3" t="inlineStr">
        <is>
          <t>생산관리지역</t>
        </is>
      </c>
      <c r="I769" s="3" t="inlineStr">
        <is>
          <t>전</t>
        </is>
      </c>
      <c r="J769" s="3" t="inlineStr">
        <is>
          <t>남이면</t>
        </is>
      </c>
    </row>
    <row r="770">
      <c r="A770" s="3" t="n">
        <v>2024</v>
      </c>
      <c r="B770" s="4" t="n">
        <v>30000</v>
      </c>
      <c r="C770" s="4" t="n">
        <v>6347</v>
      </c>
      <c r="D770" s="4" t="n">
        <v>1919.9675</v>
      </c>
      <c r="E770" s="5" t="n">
        <v>15.6</v>
      </c>
      <c r="F770" s="3" t="inlineStr">
        <is>
          <t>남이면</t>
        </is>
      </c>
      <c r="G770" s="3" t="inlineStr">
        <is>
          <t>석실리</t>
        </is>
      </c>
      <c r="H770" s="3" t="inlineStr">
        <is>
          <t>보전녹지지역</t>
        </is>
      </c>
      <c r="I770" s="3" t="inlineStr">
        <is>
          <t>임야</t>
        </is>
      </c>
      <c r="J770" s="3" t="inlineStr">
        <is>
          <t>남이면</t>
        </is>
      </c>
    </row>
    <row r="771">
      <c r="A771" s="3" t="n">
        <v>2024</v>
      </c>
      <c r="B771" s="4" t="n">
        <v>43000</v>
      </c>
      <c r="C771" s="4" t="n">
        <v>1644</v>
      </c>
      <c r="D771" s="4" t="n">
        <v>497.31</v>
      </c>
      <c r="E771" s="5" t="n">
        <v>86.5</v>
      </c>
      <c r="F771" s="3" t="inlineStr">
        <is>
          <t>남이면</t>
        </is>
      </c>
      <c r="G771" s="3" t="inlineStr">
        <is>
          <t>팔봉리</t>
        </is>
      </c>
      <c r="H771" s="3" t="inlineStr">
        <is>
          <t>자연녹지지역</t>
        </is>
      </c>
      <c r="I771" s="3" t="inlineStr">
        <is>
          <t>답</t>
        </is>
      </c>
      <c r="J771" s="3" t="inlineStr">
        <is>
          <t>남이면</t>
        </is>
      </c>
    </row>
    <row r="772">
      <c r="A772" s="3" t="n">
        <v>2024</v>
      </c>
      <c r="B772" s="4" t="n">
        <v>23800</v>
      </c>
      <c r="C772" s="4" t="n">
        <v>1826</v>
      </c>
      <c r="D772" s="4" t="n">
        <v>552.365</v>
      </c>
      <c r="E772" s="5" t="n">
        <v>43.1</v>
      </c>
      <c r="F772" s="3" t="inlineStr">
        <is>
          <t>남이면</t>
        </is>
      </c>
      <c r="G772" s="3" t="inlineStr">
        <is>
          <t>구암리</t>
        </is>
      </c>
      <c r="H772" s="3" t="inlineStr">
        <is>
          <t>자연녹지지역</t>
        </is>
      </c>
      <c r="I772" s="3" t="inlineStr">
        <is>
          <t>답</t>
        </is>
      </c>
      <c r="J772" s="3" t="inlineStr">
        <is>
          <t>남이면</t>
        </is>
      </c>
    </row>
    <row r="773">
      <c r="A773" s="3" t="n">
        <v>2024</v>
      </c>
      <c r="B773" s="4" t="n">
        <v>10000</v>
      </c>
      <c r="C773" s="4" t="n">
        <v>1211</v>
      </c>
      <c r="D773" s="4" t="n">
        <v>366.3275</v>
      </c>
      <c r="E773" s="5" t="n">
        <v>27.3</v>
      </c>
      <c r="F773" s="3" t="inlineStr">
        <is>
          <t>남이면</t>
        </is>
      </c>
      <c r="G773" s="3" t="inlineStr">
        <is>
          <t>산막리</t>
        </is>
      </c>
      <c r="H773" s="3" t="inlineStr">
        <is>
          <t>생산관리지역</t>
        </is>
      </c>
      <c r="I773" s="3" t="inlineStr">
        <is>
          <t>전</t>
        </is>
      </c>
      <c r="J773" s="3" t="inlineStr">
        <is>
          <t>남이면</t>
        </is>
      </c>
    </row>
    <row r="774">
      <c r="A774" s="3" t="n">
        <v>2024</v>
      </c>
      <c r="B774" s="4" t="n">
        <v>19000</v>
      </c>
      <c r="C774" s="4" t="n">
        <v>2112</v>
      </c>
      <c r="D774" s="4" t="n">
        <v>638.88</v>
      </c>
      <c r="E774" s="5" t="n">
        <v>29.7</v>
      </c>
      <c r="F774" s="3" t="inlineStr">
        <is>
          <t>남이면</t>
        </is>
      </c>
      <c r="G774" s="3" t="inlineStr">
        <is>
          <t>산막리</t>
        </is>
      </c>
      <c r="H774" s="3" t="inlineStr">
        <is>
          <t>생산관리지역</t>
        </is>
      </c>
      <c r="I774" s="3" t="inlineStr">
        <is>
          <t>전</t>
        </is>
      </c>
      <c r="J774" s="3" t="inlineStr">
        <is>
          <t>남이면</t>
        </is>
      </c>
    </row>
    <row r="775">
      <c r="A775" s="3" t="n">
        <v>2023</v>
      </c>
      <c r="B775" s="4" t="n">
        <v>23000</v>
      </c>
      <c r="C775" s="4" t="n">
        <v>577</v>
      </c>
      <c r="D775" s="4" t="n">
        <v>174.5425</v>
      </c>
      <c r="E775" s="5" t="n">
        <v>131.8</v>
      </c>
      <c r="F775" s="3" t="inlineStr">
        <is>
          <t>남이면</t>
        </is>
      </c>
      <c r="G775" s="3" t="inlineStr">
        <is>
          <t>양촌리</t>
        </is>
      </c>
      <c r="H775" s="3" t="inlineStr">
        <is>
          <t>자연녹지지역</t>
        </is>
      </c>
      <c r="I775" s="3" t="inlineStr">
        <is>
          <t>전</t>
        </is>
      </c>
      <c r="J775" s="3" t="inlineStr">
        <is>
          <t>남이면</t>
        </is>
      </c>
    </row>
    <row r="776">
      <c r="A776" s="3" t="n">
        <v>2023</v>
      </c>
      <c r="B776" s="4" t="n">
        <v>13000</v>
      </c>
      <c r="C776" s="4" t="n">
        <v>599</v>
      </c>
      <c r="D776" s="4" t="n">
        <v>181.1975</v>
      </c>
      <c r="E776" s="5" t="n">
        <v>71.7</v>
      </c>
      <c r="F776" s="3" t="inlineStr">
        <is>
          <t>남이면</t>
        </is>
      </c>
      <c r="G776" s="3" t="inlineStr">
        <is>
          <t>문동리</t>
        </is>
      </c>
      <c r="H776" s="3" t="inlineStr">
        <is>
          <t>생산관리지역</t>
        </is>
      </c>
      <c r="I776" s="3" t="inlineStr">
        <is>
          <t>답</t>
        </is>
      </c>
      <c r="J776" s="3" t="inlineStr">
        <is>
          <t>남이면</t>
        </is>
      </c>
    </row>
    <row r="777">
      <c r="A777" s="3" t="n">
        <v>2023</v>
      </c>
      <c r="B777" s="4" t="n">
        <v>22896</v>
      </c>
      <c r="C777" s="4" t="n">
        <v>4730</v>
      </c>
      <c r="D777" s="4" t="n">
        <v>1430.825</v>
      </c>
      <c r="E777" s="5" t="n">
        <v>16</v>
      </c>
      <c r="F777" s="3" t="inlineStr">
        <is>
          <t>남이면</t>
        </is>
      </c>
      <c r="G777" s="3" t="inlineStr">
        <is>
          <t>비룡리</t>
        </is>
      </c>
      <c r="H777" s="3" t="inlineStr">
        <is>
          <t>보전관리지역</t>
        </is>
      </c>
      <c r="I777" s="3" t="inlineStr">
        <is>
          <t>과수원</t>
        </is>
      </c>
      <c r="J777" s="3" t="inlineStr">
        <is>
          <t>남이면</t>
        </is>
      </c>
    </row>
    <row r="778">
      <c r="A778" s="3" t="n">
        <v>2023</v>
      </c>
      <c r="B778" s="4" t="n">
        <v>470</v>
      </c>
      <c r="C778" s="4" t="n">
        <v>222</v>
      </c>
      <c r="D778" s="4" t="n">
        <v>67.155</v>
      </c>
      <c r="E778" s="5" t="n">
        <v>7</v>
      </c>
      <c r="F778" s="3" t="inlineStr">
        <is>
          <t>남이면</t>
        </is>
      </c>
      <c r="G778" s="3" t="inlineStr">
        <is>
          <t>비룡리</t>
        </is>
      </c>
      <c r="H778" s="3" t="inlineStr">
        <is>
          <t>보전관리지역</t>
        </is>
      </c>
      <c r="I778" s="3" t="inlineStr">
        <is>
          <t>임야</t>
        </is>
      </c>
      <c r="J778" s="3" t="inlineStr">
        <is>
          <t>남이면</t>
        </is>
      </c>
    </row>
    <row r="779">
      <c r="A779" s="3" t="n">
        <v>2023</v>
      </c>
      <c r="B779" s="4" t="n">
        <v>2234</v>
      </c>
      <c r="C779" s="4" t="n">
        <v>1055</v>
      </c>
      <c r="D779" s="4" t="n">
        <v>319.1375</v>
      </c>
      <c r="E779" s="5" t="n">
        <v>7</v>
      </c>
      <c r="F779" s="3" t="inlineStr">
        <is>
          <t>남이면</t>
        </is>
      </c>
      <c r="G779" s="3" t="inlineStr">
        <is>
          <t>비룡리</t>
        </is>
      </c>
      <c r="H779" s="3" t="inlineStr">
        <is>
          <t>보전관리지역</t>
        </is>
      </c>
      <c r="I779" s="3" t="inlineStr">
        <is>
          <t>임야</t>
        </is>
      </c>
      <c r="J779" s="3" t="inlineStr">
        <is>
          <t>남이면</t>
        </is>
      </c>
    </row>
    <row r="780">
      <c r="A780" s="3" t="n">
        <v>2023</v>
      </c>
      <c r="B780" s="4" t="n">
        <v>13900</v>
      </c>
      <c r="C780" s="4" t="n">
        <v>418</v>
      </c>
      <c r="D780" s="4" t="n">
        <v>126.445</v>
      </c>
      <c r="E780" s="5" t="n">
        <v>109.9</v>
      </c>
      <c r="F780" s="3" t="inlineStr">
        <is>
          <t>남이면</t>
        </is>
      </c>
      <c r="G780" s="3" t="inlineStr">
        <is>
          <t>수대리</t>
        </is>
      </c>
      <c r="H780" s="3" t="inlineStr">
        <is>
          <t>보전녹지지역</t>
        </is>
      </c>
      <c r="I780" s="3" t="inlineStr">
        <is>
          <t>임야</t>
        </is>
      </c>
      <c r="J780" s="3" t="inlineStr">
        <is>
          <t>남이면</t>
        </is>
      </c>
    </row>
    <row r="781">
      <c r="A781" s="3" t="n">
        <v>2023</v>
      </c>
      <c r="B781" s="4" t="n">
        <v>22896</v>
      </c>
      <c r="C781" s="4" t="n">
        <v>4730</v>
      </c>
      <c r="D781" s="4" t="n">
        <v>1430.825</v>
      </c>
      <c r="E781" s="5" t="n">
        <v>16</v>
      </c>
      <c r="F781" s="3" t="inlineStr">
        <is>
          <t>남이면</t>
        </is>
      </c>
      <c r="G781" s="3" t="inlineStr">
        <is>
          <t>비룡리</t>
        </is>
      </c>
      <c r="H781" s="3" t="inlineStr">
        <is>
          <t>보전관리지역</t>
        </is>
      </c>
      <c r="I781" s="3" t="inlineStr">
        <is>
          <t>과수원</t>
        </is>
      </c>
      <c r="J781" s="3" t="inlineStr">
        <is>
          <t>남이면</t>
        </is>
      </c>
    </row>
    <row r="782">
      <c r="A782" s="3" t="n">
        <v>2023</v>
      </c>
      <c r="B782" s="4" t="n">
        <v>470</v>
      </c>
      <c r="C782" s="4" t="n">
        <v>222</v>
      </c>
      <c r="D782" s="4" t="n">
        <v>67.155</v>
      </c>
      <c r="E782" s="5" t="n">
        <v>7</v>
      </c>
      <c r="F782" s="3" t="inlineStr">
        <is>
          <t>남이면</t>
        </is>
      </c>
      <c r="G782" s="3" t="inlineStr">
        <is>
          <t>비룡리</t>
        </is>
      </c>
      <c r="H782" s="3" t="inlineStr">
        <is>
          <t>보전관리지역</t>
        </is>
      </c>
      <c r="I782" s="3" t="inlineStr">
        <is>
          <t>임야</t>
        </is>
      </c>
      <c r="J782" s="3" t="inlineStr">
        <is>
          <t>남이면</t>
        </is>
      </c>
    </row>
    <row r="783">
      <c r="A783" s="3" t="n">
        <v>2023</v>
      </c>
      <c r="B783" s="4" t="n">
        <v>10000</v>
      </c>
      <c r="C783" s="4" t="n">
        <v>715</v>
      </c>
      <c r="D783" s="4" t="n">
        <v>216.2875</v>
      </c>
      <c r="E783" s="5" t="n">
        <v>46.2</v>
      </c>
      <c r="F783" s="3" t="inlineStr">
        <is>
          <t>남이면</t>
        </is>
      </c>
      <c r="G783" s="3" t="inlineStr">
        <is>
          <t>문동리</t>
        </is>
      </c>
      <c r="H783" s="3" t="inlineStr">
        <is>
          <t>자연녹지지역</t>
        </is>
      </c>
      <c r="I783" s="3" t="inlineStr">
        <is>
          <t>임야</t>
        </is>
      </c>
      <c r="J783" s="3" t="inlineStr">
        <is>
          <t>남이면</t>
        </is>
      </c>
    </row>
    <row r="784">
      <c r="A784" s="3" t="n">
        <v>2023</v>
      </c>
      <c r="B784" s="4" t="n">
        <v>1200</v>
      </c>
      <c r="C784" s="4" t="n">
        <v>94.5</v>
      </c>
      <c r="D784" s="4" t="n">
        <v>28.58625</v>
      </c>
      <c r="E784" s="5" t="n">
        <v>42</v>
      </c>
      <c r="F784" s="3" t="inlineStr">
        <is>
          <t>남이면</t>
        </is>
      </c>
      <c r="G784" s="3" t="inlineStr">
        <is>
          <t>산막리</t>
        </is>
      </c>
      <c r="H784" s="3" t="inlineStr">
        <is>
          <t>계획관리지역</t>
        </is>
      </c>
      <c r="I784" s="3" t="inlineStr">
        <is>
          <t>대</t>
        </is>
      </c>
      <c r="J784" s="3" t="inlineStr">
        <is>
          <t>남이면</t>
        </is>
      </c>
    </row>
    <row r="785">
      <c r="A785" s="3" t="n">
        <v>2023</v>
      </c>
      <c r="B785" s="4" t="n">
        <v>6030</v>
      </c>
      <c r="C785" s="4" t="n">
        <v>199</v>
      </c>
      <c r="D785" s="4" t="n">
        <v>60.1975</v>
      </c>
      <c r="E785" s="5" t="n">
        <v>100.2</v>
      </c>
      <c r="F785" s="3" t="inlineStr">
        <is>
          <t>남이면</t>
        </is>
      </c>
      <c r="G785" s="3" t="inlineStr">
        <is>
          <t>부용외천리</t>
        </is>
      </c>
      <c r="H785" s="3" t="inlineStr">
        <is>
          <t>계획관리지역</t>
        </is>
      </c>
      <c r="I785" s="3" t="inlineStr">
        <is>
          <t>답</t>
        </is>
      </c>
      <c r="J785" s="3" t="inlineStr">
        <is>
          <t>남이면</t>
        </is>
      </c>
    </row>
    <row r="786">
      <c r="A786" s="3" t="n">
        <v>2023</v>
      </c>
      <c r="B786" s="4" t="n">
        <v>3970</v>
      </c>
      <c r="C786" s="4" t="n">
        <v>131</v>
      </c>
      <c r="D786" s="4" t="n">
        <v>39.6275</v>
      </c>
      <c r="E786" s="5" t="n">
        <v>100.2</v>
      </c>
      <c r="F786" s="3" t="inlineStr">
        <is>
          <t>남이면</t>
        </is>
      </c>
      <c r="G786" s="3" t="inlineStr">
        <is>
          <t>부용외천리</t>
        </is>
      </c>
      <c r="H786" s="3" t="inlineStr">
        <is>
          <t>계획관리지역</t>
        </is>
      </c>
      <c r="I786" s="3" t="inlineStr">
        <is>
          <t>대</t>
        </is>
      </c>
      <c r="J786" s="3" t="inlineStr">
        <is>
          <t>남이면</t>
        </is>
      </c>
    </row>
    <row r="787">
      <c r="A787" s="3" t="n">
        <v>2023</v>
      </c>
      <c r="B787" s="4" t="n">
        <v>13300</v>
      </c>
      <c r="C787" s="4" t="n">
        <v>1144</v>
      </c>
      <c r="D787" s="4" t="n">
        <v>346.06</v>
      </c>
      <c r="E787" s="5" t="n">
        <v>38.4</v>
      </c>
      <c r="F787" s="3" t="inlineStr">
        <is>
          <t>남이면</t>
        </is>
      </c>
      <c r="G787" s="3" t="inlineStr">
        <is>
          <t>팔봉리</t>
        </is>
      </c>
      <c r="H787" s="3" t="inlineStr">
        <is>
          <t>자연녹지지역</t>
        </is>
      </c>
      <c r="I787" s="3" t="inlineStr">
        <is>
          <t>답</t>
        </is>
      </c>
      <c r="J787" s="3" t="inlineStr">
        <is>
          <t>남이면</t>
        </is>
      </c>
    </row>
    <row r="788">
      <c r="A788" s="3" t="n">
        <v>2023</v>
      </c>
      <c r="B788" s="4" t="n">
        <v>6700</v>
      </c>
      <c r="C788" s="4" t="n">
        <v>711</v>
      </c>
      <c r="D788" s="4" t="n">
        <v>215.0775</v>
      </c>
      <c r="E788" s="5" t="n">
        <v>31.2</v>
      </c>
      <c r="F788" s="3" t="inlineStr">
        <is>
          <t>남이면</t>
        </is>
      </c>
      <c r="G788" s="3" t="inlineStr">
        <is>
          <t>팔봉리</t>
        </is>
      </c>
      <c r="H788" s="3" t="inlineStr">
        <is>
          <t>보전녹지지역</t>
        </is>
      </c>
      <c r="I788" s="3" t="inlineStr">
        <is>
          <t>전</t>
        </is>
      </c>
      <c r="J788" s="3" t="inlineStr">
        <is>
          <t>남이면</t>
        </is>
      </c>
    </row>
    <row r="789">
      <c r="A789" s="3" t="n">
        <v>2026</v>
      </c>
      <c r="B789" s="4" t="n">
        <v>12500</v>
      </c>
      <c r="C789" s="4" t="n">
        <v>286</v>
      </c>
      <c r="D789" s="4" t="n">
        <v>86.515</v>
      </c>
      <c r="E789" s="5" t="n">
        <v>144.5</v>
      </c>
      <c r="F789" s="3" t="inlineStr">
        <is>
          <t>연서면</t>
        </is>
      </c>
      <c r="G789" s="3" t="inlineStr">
        <is>
          <t>성제리</t>
        </is>
      </c>
      <c r="H789" s="3" t="inlineStr">
        <is>
          <t>자연녹지지역</t>
        </is>
      </c>
      <c r="I789" s="3" t="inlineStr">
        <is>
          <t>답</t>
        </is>
      </c>
      <c r="J789" s="3" t="inlineStr">
        <is>
          <t>연서면</t>
        </is>
      </c>
    </row>
    <row r="790">
      <c r="A790" s="3" t="n">
        <v>2026</v>
      </c>
      <c r="B790" s="4" t="n">
        <v>63200</v>
      </c>
      <c r="C790" s="4" t="n">
        <v>1440</v>
      </c>
      <c r="D790" s="4" t="n">
        <v>435.6</v>
      </c>
      <c r="E790" s="5" t="n">
        <v>145.1</v>
      </c>
      <c r="F790" s="3" t="inlineStr">
        <is>
          <t>연서면</t>
        </is>
      </c>
      <c r="G790" s="3" t="inlineStr">
        <is>
          <t>성제리</t>
        </is>
      </c>
      <c r="H790" s="3" t="inlineStr">
        <is>
          <t>자연녹지지역</t>
        </is>
      </c>
      <c r="I790" s="3" t="inlineStr">
        <is>
          <t>답</t>
        </is>
      </c>
      <c r="J790" s="3" t="inlineStr">
        <is>
          <t>연서면</t>
        </is>
      </c>
    </row>
    <row r="791">
      <c r="A791" s="3" t="n">
        <v>2026</v>
      </c>
      <c r="B791" s="4" t="n">
        <v>9300</v>
      </c>
      <c r="C791" s="4" t="n">
        <v>213</v>
      </c>
      <c r="D791" s="4" t="n">
        <v>64.4325</v>
      </c>
      <c r="E791" s="5" t="n">
        <v>144.3</v>
      </c>
      <c r="F791" s="3" t="inlineStr">
        <is>
          <t>연서면</t>
        </is>
      </c>
      <c r="G791" s="3" t="inlineStr">
        <is>
          <t>성제리</t>
        </is>
      </c>
      <c r="H791" s="3" t="inlineStr">
        <is>
          <t>제1종일반주거지역</t>
        </is>
      </c>
      <c r="I791" s="3" t="inlineStr">
        <is>
          <t>답</t>
        </is>
      </c>
      <c r="J791" s="3" t="inlineStr">
        <is>
          <t>연서면</t>
        </is>
      </c>
    </row>
    <row r="792">
      <c r="A792" s="3" t="n">
        <v>2026</v>
      </c>
      <c r="B792" s="4" t="n">
        <v>55000</v>
      </c>
      <c r="C792" s="4" t="n">
        <v>1206</v>
      </c>
      <c r="D792" s="4" t="n">
        <v>364.815</v>
      </c>
      <c r="E792" s="5" t="n">
        <v>150.8</v>
      </c>
      <c r="F792" s="3" t="inlineStr">
        <is>
          <t>연서면</t>
        </is>
      </c>
      <c r="G792" s="3" t="inlineStr">
        <is>
          <t>성제리</t>
        </is>
      </c>
      <c r="H792" s="3" t="inlineStr">
        <is>
          <t>제1종일반주거지역</t>
        </is>
      </c>
      <c r="I792" s="3" t="inlineStr">
        <is>
          <t>답</t>
        </is>
      </c>
      <c r="J792" s="3" t="inlineStr">
        <is>
          <t>연서면</t>
        </is>
      </c>
    </row>
    <row r="793">
      <c r="A793" s="3" t="n">
        <v>2026</v>
      </c>
      <c r="B793" s="4" t="n">
        <v>3000</v>
      </c>
      <c r="C793" s="4" t="n">
        <v>474</v>
      </c>
      <c r="D793" s="4" t="n">
        <v>143.385</v>
      </c>
      <c r="E793" s="5" t="n">
        <v>20.9</v>
      </c>
      <c r="F793" s="3" t="inlineStr">
        <is>
          <t>부강면</t>
        </is>
      </c>
      <c r="G793" s="3" t="inlineStr">
        <is>
          <t>노호리</t>
        </is>
      </c>
      <c r="H793" s="3" t="inlineStr">
        <is>
          <t>보전관리지역</t>
        </is>
      </c>
      <c r="I793" s="3" t="inlineStr">
        <is>
          <t>임야</t>
        </is>
      </c>
      <c r="J793" s="3" t="inlineStr">
        <is>
          <t>부강면</t>
        </is>
      </c>
    </row>
    <row r="794">
      <c r="A794" s="3" t="n">
        <v>2026</v>
      </c>
      <c r="B794" s="4" t="n">
        <v>60000</v>
      </c>
      <c r="C794" s="4" t="n">
        <v>348</v>
      </c>
      <c r="D794" s="4" t="n">
        <v>105.27</v>
      </c>
      <c r="E794" s="5" t="n">
        <v>570</v>
      </c>
      <c r="F794" s="3" t="inlineStr">
        <is>
          <t>아름동</t>
        </is>
      </c>
      <c r="G794" s="3" t="inlineStr"/>
      <c r="H794" s="3" t="inlineStr">
        <is>
          <t>제1종전용주거지역</t>
        </is>
      </c>
      <c r="I794" s="3" t="inlineStr">
        <is>
          <t>대</t>
        </is>
      </c>
      <c r="J794" s="3" t="inlineStr">
        <is>
          <t>아름동</t>
        </is>
      </c>
    </row>
    <row r="795">
      <c r="A795" s="3" t="n">
        <v>2026</v>
      </c>
      <c r="B795" s="4" t="n">
        <v>8700</v>
      </c>
      <c r="C795" s="4" t="n">
        <v>496</v>
      </c>
      <c r="D795" s="4" t="n">
        <v>150.04</v>
      </c>
      <c r="E795" s="5" t="n">
        <v>58</v>
      </c>
      <c r="F795" s="3" t="inlineStr">
        <is>
          <t>연동면</t>
        </is>
      </c>
      <c r="G795" s="3" t="inlineStr">
        <is>
          <t>명학리</t>
        </is>
      </c>
      <c r="H795" s="3" t="inlineStr">
        <is>
          <t>농림지역</t>
        </is>
      </c>
      <c r="I795" s="3" t="inlineStr">
        <is>
          <t>임야</t>
        </is>
      </c>
      <c r="J795" s="3" t="inlineStr">
        <is>
          <t>연동면</t>
        </is>
      </c>
    </row>
    <row r="796">
      <c r="A796" s="3" t="n">
        <v>2026</v>
      </c>
      <c r="B796" s="4" t="n">
        <v>2980</v>
      </c>
      <c r="C796" s="4" t="n">
        <v>988</v>
      </c>
      <c r="D796" s="4" t="n">
        <v>298.87</v>
      </c>
      <c r="E796" s="5" t="n">
        <v>10</v>
      </c>
      <c r="F796" s="3" t="inlineStr">
        <is>
          <t>부강면</t>
        </is>
      </c>
      <c r="G796" s="3" t="inlineStr">
        <is>
          <t>문곡리</t>
        </is>
      </c>
      <c r="H796" s="3" t="inlineStr">
        <is>
          <t>계획관리지역</t>
        </is>
      </c>
      <c r="I796" s="3" t="inlineStr">
        <is>
          <t>전</t>
        </is>
      </c>
      <c r="J796" s="3" t="inlineStr">
        <is>
          <t>부강면</t>
        </is>
      </c>
    </row>
    <row r="797">
      <c r="A797" s="3" t="n">
        <v>2022</v>
      </c>
      <c r="B797" s="4" t="n">
        <v>25000</v>
      </c>
      <c r="C797" s="4" t="n">
        <v>1184</v>
      </c>
      <c r="D797" s="4" t="n">
        <v>358.16</v>
      </c>
      <c r="E797" s="5" t="n">
        <v>69.8</v>
      </c>
      <c r="F797" s="3" t="inlineStr">
        <is>
          <t>남이면</t>
        </is>
      </c>
      <c r="G797" s="3" t="inlineStr">
        <is>
          <t>부용외천리</t>
        </is>
      </c>
      <c r="H797" s="3" t="inlineStr">
        <is>
          <t>계획관리지역</t>
        </is>
      </c>
      <c r="I797" s="3" t="inlineStr">
        <is>
          <t>전</t>
        </is>
      </c>
      <c r="J797" s="3" t="inlineStr">
        <is>
          <t>남이면</t>
        </is>
      </c>
    </row>
    <row r="798">
      <c r="A798" s="3" t="n">
        <v>2022</v>
      </c>
      <c r="B798" s="4" t="n">
        <v>70000</v>
      </c>
      <c r="C798" s="4" t="n">
        <v>3305</v>
      </c>
      <c r="D798" s="4" t="n">
        <v>999.7624999999999</v>
      </c>
      <c r="E798" s="5" t="n">
        <v>70</v>
      </c>
      <c r="F798" s="3" t="inlineStr">
        <is>
          <t>남이면</t>
        </is>
      </c>
      <c r="G798" s="3" t="inlineStr">
        <is>
          <t>팔봉리</t>
        </is>
      </c>
      <c r="H798" s="3" t="inlineStr">
        <is>
          <t>자연녹지지역</t>
        </is>
      </c>
      <c r="I798" s="3" t="inlineStr">
        <is>
          <t>전</t>
        </is>
      </c>
      <c r="J798" s="3" t="inlineStr">
        <is>
          <t>남이면</t>
        </is>
      </c>
    </row>
    <row r="799">
      <c r="A799" s="3" t="n">
        <v>2022</v>
      </c>
      <c r="B799" s="4" t="n">
        <v>17000</v>
      </c>
      <c r="C799" s="4" t="n">
        <v>575</v>
      </c>
      <c r="D799" s="4" t="n">
        <v>173.9375</v>
      </c>
      <c r="E799" s="5" t="n">
        <v>97.7</v>
      </c>
      <c r="F799" s="3" t="inlineStr">
        <is>
          <t>남이면</t>
        </is>
      </c>
      <c r="G799" s="3" t="inlineStr">
        <is>
          <t>부용외천리</t>
        </is>
      </c>
      <c r="H799" s="3" t="inlineStr">
        <is>
          <t>계획관리지역</t>
        </is>
      </c>
      <c r="I799" s="3" t="inlineStr">
        <is>
          <t>전</t>
        </is>
      </c>
      <c r="J799" s="3" t="inlineStr">
        <is>
          <t>남이면</t>
        </is>
      </c>
    </row>
    <row r="800">
      <c r="A800" s="3" t="n">
        <v>2022</v>
      </c>
      <c r="B800" s="4" t="n">
        <v>1000</v>
      </c>
      <c r="C800" s="4" t="n">
        <v>10</v>
      </c>
      <c r="D800" s="4" t="n">
        <v>3.025</v>
      </c>
      <c r="E800" s="5" t="n">
        <v>330.6</v>
      </c>
      <c r="F800" s="3" t="inlineStr">
        <is>
          <t>남이면</t>
        </is>
      </c>
      <c r="G800" s="3" t="inlineStr">
        <is>
          <t>외천리</t>
        </is>
      </c>
      <c r="H800" s="3" t="inlineStr">
        <is>
          <t>계획관리지역</t>
        </is>
      </c>
      <c r="I800" s="3" t="inlineStr">
        <is>
          <t>대</t>
        </is>
      </c>
      <c r="J800" s="3" t="inlineStr">
        <is>
          <t>남이면</t>
        </is>
      </c>
    </row>
    <row r="801">
      <c r="A801" s="3" t="n">
        <v>2022</v>
      </c>
      <c r="B801" s="4" t="n">
        <v>1300</v>
      </c>
      <c r="C801" s="4" t="n">
        <v>18</v>
      </c>
      <c r="D801" s="4" t="n">
        <v>5.445</v>
      </c>
      <c r="E801" s="5" t="n">
        <v>238.8</v>
      </c>
      <c r="F801" s="3" t="inlineStr">
        <is>
          <t>남이면</t>
        </is>
      </c>
      <c r="G801" s="3" t="inlineStr">
        <is>
          <t>외천리</t>
        </is>
      </c>
      <c r="H801" s="3" t="inlineStr">
        <is>
          <t>계획관리지역</t>
        </is>
      </c>
      <c r="I801" s="3" t="inlineStr">
        <is>
          <t>대</t>
        </is>
      </c>
      <c r="J801" s="3" t="inlineStr">
        <is>
          <t>남이면</t>
        </is>
      </c>
    </row>
    <row r="802">
      <c r="A802" s="3" t="n">
        <v>2022</v>
      </c>
      <c r="B802" s="4" t="n">
        <v>40240</v>
      </c>
      <c r="C802" s="4" t="n">
        <v>1716</v>
      </c>
      <c r="D802" s="4" t="n">
        <v>519.09</v>
      </c>
      <c r="E802" s="5" t="n">
        <v>77.5</v>
      </c>
      <c r="F802" s="3" t="inlineStr">
        <is>
          <t>남이면</t>
        </is>
      </c>
      <c r="G802" s="3" t="inlineStr">
        <is>
          <t>외천리</t>
        </is>
      </c>
      <c r="H802" s="3" t="inlineStr">
        <is>
          <t>계획관리지역</t>
        </is>
      </c>
      <c r="I802" s="3" t="inlineStr">
        <is>
          <t>전</t>
        </is>
      </c>
      <c r="J802" s="3" t="inlineStr">
        <is>
          <t>남이면</t>
        </is>
      </c>
    </row>
    <row r="803">
      <c r="A803" s="3" t="n">
        <v>2022</v>
      </c>
      <c r="B803" s="4" t="n">
        <v>24700</v>
      </c>
      <c r="C803" s="4" t="n">
        <v>893</v>
      </c>
      <c r="D803" s="4" t="n">
        <v>270.1325</v>
      </c>
      <c r="E803" s="5" t="n">
        <v>91.40000000000001</v>
      </c>
      <c r="F803" s="3" t="inlineStr">
        <is>
          <t>남이면</t>
        </is>
      </c>
      <c r="G803" s="3" t="inlineStr">
        <is>
          <t>수대리</t>
        </is>
      </c>
      <c r="H803" s="3" t="inlineStr">
        <is>
          <t>자연녹지지역</t>
        </is>
      </c>
      <c r="I803" s="3" t="inlineStr">
        <is>
          <t>전</t>
        </is>
      </c>
      <c r="J803" s="3" t="inlineStr">
        <is>
          <t>남이면</t>
        </is>
      </c>
    </row>
    <row r="804">
      <c r="A804" s="3" t="n">
        <v>2022</v>
      </c>
      <c r="B804" s="4" t="n">
        <v>600</v>
      </c>
      <c r="C804" s="4" t="n">
        <v>13</v>
      </c>
      <c r="D804" s="4" t="n">
        <v>3.9325</v>
      </c>
      <c r="E804" s="5" t="n">
        <v>152.6</v>
      </c>
      <c r="F804" s="3" t="inlineStr">
        <is>
          <t>남이면</t>
        </is>
      </c>
      <c r="G804" s="3" t="inlineStr">
        <is>
          <t>가좌리</t>
        </is>
      </c>
      <c r="H804" s="3" t="inlineStr">
        <is>
          <t>자연녹지지역</t>
        </is>
      </c>
      <c r="I804" s="3" t="inlineStr">
        <is>
          <t>대</t>
        </is>
      </c>
      <c r="J804" s="3" t="inlineStr">
        <is>
          <t>남이면</t>
        </is>
      </c>
    </row>
    <row r="805">
      <c r="A805" s="3" t="n">
        <v>2022</v>
      </c>
      <c r="B805" s="4" t="n">
        <v>450</v>
      </c>
      <c r="C805" s="4" t="n">
        <v>10</v>
      </c>
      <c r="D805" s="4" t="n">
        <v>3.025</v>
      </c>
      <c r="E805" s="5" t="n">
        <v>148.8</v>
      </c>
      <c r="F805" s="3" t="inlineStr">
        <is>
          <t>남이면</t>
        </is>
      </c>
      <c r="G805" s="3" t="inlineStr">
        <is>
          <t>가좌리</t>
        </is>
      </c>
      <c r="H805" s="3" t="inlineStr">
        <is>
          <t>자연녹지지역</t>
        </is>
      </c>
      <c r="I805" s="3" t="inlineStr">
        <is>
          <t>대</t>
        </is>
      </c>
      <c r="J805" s="3" t="inlineStr">
        <is>
          <t>남이면</t>
        </is>
      </c>
    </row>
    <row r="806">
      <c r="A806" s="3" t="n">
        <v>2022</v>
      </c>
      <c r="B806" s="4" t="n">
        <v>66000</v>
      </c>
      <c r="C806" s="4" t="n">
        <v>12694</v>
      </c>
      <c r="D806" s="4" t="n">
        <v>3839.935</v>
      </c>
      <c r="E806" s="5" t="n">
        <v>17.2</v>
      </c>
      <c r="F806" s="3" t="inlineStr">
        <is>
          <t>남이면</t>
        </is>
      </c>
      <c r="G806" s="3" t="inlineStr">
        <is>
          <t>갈원리</t>
        </is>
      </c>
      <c r="H806" s="3" t="inlineStr">
        <is>
          <t>보전녹지지역</t>
        </is>
      </c>
      <c r="I806" s="3" t="inlineStr">
        <is>
          <t>임야</t>
        </is>
      </c>
      <c r="J806" s="3" t="inlineStr">
        <is>
          <t>남이면</t>
        </is>
      </c>
    </row>
    <row r="807">
      <c r="A807" s="3" t="n">
        <v>2022</v>
      </c>
      <c r="B807" s="4" t="n">
        <v>22000</v>
      </c>
      <c r="C807" s="4" t="n">
        <v>660</v>
      </c>
      <c r="D807" s="4" t="n">
        <v>199.65</v>
      </c>
      <c r="E807" s="5" t="n">
        <v>110.2</v>
      </c>
      <c r="F807" s="3" t="inlineStr">
        <is>
          <t>남이면</t>
        </is>
      </c>
      <c r="G807" s="3" t="inlineStr">
        <is>
          <t>상발리</t>
        </is>
      </c>
      <c r="H807" s="3" t="inlineStr">
        <is>
          <t>보전녹지지역</t>
        </is>
      </c>
      <c r="I807" s="3" t="inlineStr">
        <is>
          <t>임야</t>
        </is>
      </c>
      <c r="J807" s="3" t="inlineStr">
        <is>
          <t>남이면</t>
        </is>
      </c>
    </row>
    <row r="808">
      <c r="A808" s="3" t="n">
        <v>2022</v>
      </c>
      <c r="B808" s="4" t="n">
        <v>27640</v>
      </c>
      <c r="C808" s="4" t="n">
        <v>1170</v>
      </c>
      <c r="D808" s="4" t="n">
        <v>353.925</v>
      </c>
      <c r="E808" s="5" t="n">
        <v>78.09999999999999</v>
      </c>
      <c r="F808" s="3" t="inlineStr">
        <is>
          <t>남이면</t>
        </is>
      </c>
      <c r="G808" s="3" t="inlineStr">
        <is>
          <t>석판리</t>
        </is>
      </c>
      <c r="H808" s="3" t="inlineStr">
        <is>
          <t>자연녹지지역</t>
        </is>
      </c>
      <c r="I808" s="3" t="inlineStr">
        <is>
          <t>전</t>
        </is>
      </c>
      <c r="J808" s="3" t="inlineStr">
        <is>
          <t>남이면</t>
        </is>
      </c>
    </row>
    <row r="809">
      <c r="A809" s="3" t="n">
        <v>2022</v>
      </c>
      <c r="B809" s="4" t="n">
        <v>18860</v>
      </c>
      <c r="C809" s="4" t="n">
        <v>793</v>
      </c>
      <c r="D809" s="4" t="n">
        <v>239.8825</v>
      </c>
      <c r="E809" s="5" t="n">
        <v>78.59999999999999</v>
      </c>
      <c r="F809" s="3" t="inlineStr">
        <is>
          <t>남이면</t>
        </is>
      </c>
      <c r="G809" s="3" t="inlineStr">
        <is>
          <t>석판리</t>
        </is>
      </c>
      <c r="H809" s="3" t="inlineStr">
        <is>
          <t>자연녹지지역</t>
        </is>
      </c>
      <c r="I809" s="3" t="inlineStr">
        <is>
          <t>전</t>
        </is>
      </c>
      <c r="J809" s="3" t="inlineStr">
        <is>
          <t>남이면</t>
        </is>
      </c>
    </row>
    <row r="810">
      <c r="A810" s="3" t="n">
        <v>2022</v>
      </c>
      <c r="B810" s="4" t="n">
        <v>7000</v>
      </c>
      <c r="C810" s="4" t="n">
        <v>598</v>
      </c>
      <c r="D810" s="4" t="n">
        <v>180.895</v>
      </c>
      <c r="E810" s="5" t="n">
        <v>38.7</v>
      </c>
      <c r="F810" s="3" t="inlineStr">
        <is>
          <t>남이면</t>
        </is>
      </c>
      <c r="G810" s="3" t="inlineStr">
        <is>
          <t>문동리</t>
        </is>
      </c>
      <c r="H810" s="3" t="inlineStr">
        <is>
          <t>자연환경보전</t>
        </is>
      </c>
      <c r="I810" s="3" t="inlineStr">
        <is>
          <t>전</t>
        </is>
      </c>
      <c r="J810" s="3" t="inlineStr">
        <is>
          <t>남이면</t>
        </is>
      </c>
    </row>
    <row r="811">
      <c r="A811" s="3" t="n">
        <v>2022</v>
      </c>
      <c r="B811" s="4" t="n">
        <v>32100</v>
      </c>
      <c r="C811" s="4" t="n">
        <v>1322</v>
      </c>
      <c r="D811" s="4" t="n">
        <v>399.905</v>
      </c>
      <c r="E811" s="5" t="n">
        <v>80.3</v>
      </c>
      <c r="F811" s="3" t="inlineStr">
        <is>
          <t>남이면</t>
        </is>
      </c>
      <c r="G811" s="3" t="inlineStr">
        <is>
          <t>구암리</t>
        </is>
      </c>
      <c r="H811" s="3" t="inlineStr">
        <is>
          <t>자연녹지지역</t>
        </is>
      </c>
      <c r="I811" s="3" t="inlineStr">
        <is>
          <t>답</t>
        </is>
      </c>
      <c r="J811" s="3" t="inlineStr">
        <is>
          <t>남이면</t>
        </is>
      </c>
    </row>
    <row r="812">
      <c r="A812" s="3" t="n">
        <v>2024</v>
      </c>
      <c r="B812" s="4" t="n">
        <v>29040</v>
      </c>
      <c r="C812" s="4" t="n">
        <v>320</v>
      </c>
      <c r="D812" s="4" t="n">
        <v>96.8</v>
      </c>
      <c r="E812" s="5" t="n">
        <v>300</v>
      </c>
      <c r="F812" s="3" t="inlineStr">
        <is>
          <t>연서면</t>
        </is>
      </c>
      <c r="G812" s="3" t="inlineStr">
        <is>
          <t>신대리</t>
        </is>
      </c>
      <c r="H812" s="3" t="inlineStr">
        <is>
          <t>보전관리지역</t>
        </is>
      </c>
      <c r="I812" s="3" t="inlineStr">
        <is>
          <t>임야</t>
        </is>
      </c>
      <c r="J812" s="3" t="inlineStr">
        <is>
          <t>연서면</t>
        </is>
      </c>
    </row>
    <row r="813">
      <c r="A813" s="3" t="n">
        <v>2024</v>
      </c>
      <c r="B813" s="4" t="n">
        <v>11525</v>
      </c>
      <c r="C813" s="4" t="n">
        <v>127</v>
      </c>
      <c r="D813" s="4" t="n">
        <v>38.4175</v>
      </c>
      <c r="E813" s="5" t="n">
        <v>300</v>
      </c>
      <c r="F813" s="3" t="inlineStr">
        <is>
          <t>연서면</t>
        </is>
      </c>
      <c r="G813" s="3" t="inlineStr">
        <is>
          <t>신대리</t>
        </is>
      </c>
      <c r="H813" s="3" t="inlineStr">
        <is>
          <t>계획관리지역</t>
        </is>
      </c>
      <c r="I813" s="3" t="inlineStr">
        <is>
          <t>과수원</t>
        </is>
      </c>
      <c r="J813" s="3" t="inlineStr">
        <is>
          <t>연서면</t>
        </is>
      </c>
    </row>
    <row r="814">
      <c r="A814" s="3" t="n">
        <v>2024</v>
      </c>
      <c r="B814" s="4" t="n">
        <v>4538</v>
      </c>
      <c r="C814" s="4" t="n">
        <v>50</v>
      </c>
      <c r="D814" s="4" t="n">
        <v>15.125</v>
      </c>
      <c r="E814" s="5" t="n">
        <v>300</v>
      </c>
      <c r="F814" s="3" t="inlineStr">
        <is>
          <t>연서면</t>
        </is>
      </c>
      <c r="G814" s="3" t="inlineStr">
        <is>
          <t>신대리</t>
        </is>
      </c>
      <c r="H814" s="3" t="inlineStr">
        <is>
          <t>계획관리지역</t>
        </is>
      </c>
      <c r="I814" s="3" t="inlineStr">
        <is>
          <t>임야</t>
        </is>
      </c>
      <c r="J814" s="3" t="inlineStr">
        <is>
          <t>연서면</t>
        </is>
      </c>
    </row>
    <row r="815">
      <c r="A815" s="3" t="n">
        <v>2024</v>
      </c>
      <c r="B815" s="4" t="n">
        <v>7169</v>
      </c>
      <c r="C815" s="4" t="n">
        <v>79</v>
      </c>
      <c r="D815" s="4" t="n">
        <v>23.8975</v>
      </c>
      <c r="E815" s="5" t="n">
        <v>300</v>
      </c>
      <c r="F815" s="3" t="inlineStr">
        <is>
          <t>연서면</t>
        </is>
      </c>
      <c r="G815" s="3" t="inlineStr">
        <is>
          <t>신대리</t>
        </is>
      </c>
      <c r="H815" s="3" t="inlineStr">
        <is>
          <t>보전관리지역</t>
        </is>
      </c>
      <c r="I815" s="3" t="inlineStr">
        <is>
          <t>전</t>
        </is>
      </c>
      <c r="J815" s="3" t="inlineStr">
        <is>
          <t>연서면</t>
        </is>
      </c>
    </row>
    <row r="816">
      <c r="A816" s="3" t="n">
        <v>2024</v>
      </c>
      <c r="B816" s="4" t="n">
        <v>3388</v>
      </c>
      <c r="C816" s="4" t="n">
        <v>40</v>
      </c>
      <c r="D816" s="4" t="n">
        <v>12.1</v>
      </c>
      <c r="E816" s="5" t="n">
        <v>280</v>
      </c>
      <c r="F816" s="3" t="inlineStr">
        <is>
          <t>연서면</t>
        </is>
      </c>
      <c r="G816" s="3" t="inlineStr">
        <is>
          <t>신대리</t>
        </is>
      </c>
      <c r="H816" s="3" t="inlineStr">
        <is>
          <t>계획관리지역</t>
        </is>
      </c>
      <c r="I816" s="3" t="inlineStr">
        <is>
          <t>과수원</t>
        </is>
      </c>
      <c r="J816" s="3" t="inlineStr">
        <is>
          <t>연서면</t>
        </is>
      </c>
    </row>
    <row r="817">
      <c r="A817" s="3" t="n">
        <v>2024</v>
      </c>
      <c r="B817" s="4" t="n">
        <v>1609</v>
      </c>
      <c r="C817" s="4" t="n">
        <v>19</v>
      </c>
      <c r="D817" s="4" t="n">
        <v>5.7475</v>
      </c>
      <c r="E817" s="5" t="n">
        <v>279.9</v>
      </c>
      <c r="F817" s="3" t="inlineStr">
        <is>
          <t>연서면</t>
        </is>
      </c>
      <c r="G817" s="3" t="inlineStr">
        <is>
          <t>신대리</t>
        </is>
      </c>
      <c r="H817" s="3" t="inlineStr">
        <is>
          <t>계획관리지역</t>
        </is>
      </c>
      <c r="I817" s="3" t="inlineStr">
        <is>
          <t>임야</t>
        </is>
      </c>
      <c r="J817" s="3" t="inlineStr">
        <is>
          <t>연서면</t>
        </is>
      </c>
    </row>
    <row r="818">
      <c r="A818" s="3" t="n">
        <v>2024</v>
      </c>
      <c r="B818" s="4" t="n">
        <v>36421</v>
      </c>
      <c r="C818" s="4" t="n">
        <v>430</v>
      </c>
      <c r="D818" s="4" t="n">
        <v>130.075</v>
      </c>
      <c r="E818" s="5" t="n">
        <v>280</v>
      </c>
      <c r="F818" s="3" t="inlineStr">
        <is>
          <t>연서면</t>
        </is>
      </c>
      <c r="G818" s="3" t="inlineStr">
        <is>
          <t>신대리</t>
        </is>
      </c>
      <c r="H818" s="3" t="inlineStr">
        <is>
          <t>계획관리지역</t>
        </is>
      </c>
      <c r="I818" s="3" t="inlineStr">
        <is>
          <t>과수원</t>
        </is>
      </c>
      <c r="J818" s="3" t="inlineStr">
        <is>
          <t>연서면</t>
        </is>
      </c>
    </row>
    <row r="819">
      <c r="A819" s="3" t="n">
        <v>2024</v>
      </c>
      <c r="B819" s="4" t="n">
        <v>6098</v>
      </c>
      <c r="C819" s="4" t="n">
        <v>72</v>
      </c>
      <c r="D819" s="4" t="n">
        <v>21.78</v>
      </c>
      <c r="E819" s="5" t="n">
        <v>280</v>
      </c>
      <c r="F819" s="3" t="inlineStr">
        <is>
          <t>연서면</t>
        </is>
      </c>
      <c r="G819" s="3" t="inlineStr">
        <is>
          <t>신대리</t>
        </is>
      </c>
      <c r="H819" s="3" t="inlineStr">
        <is>
          <t>계획관리지역</t>
        </is>
      </c>
      <c r="I819" s="3" t="inlineStr">
        <is>
          <t>임야</t>
        </is>
      </c>
      <c r="J819" s="3" t="inlineStr">
        <is>
          <t>연서면</t>
        </is>
      </c>
    </row>
    <row r="820">
      <c r="A820" s="3" t="n">
        <v>2024</v>
      </c>
      <c r="B820" s="4" t="n">
        <v>74400</v>
      </c>
      <c r="C820" s="4" t="n">
        <v>4463</v>
      </c>
      <c r="D820" s="4" t="n">
        <v>1350.0575</v>
      </c>
      <c r="E820" s="5" t="n">
        <v>55.1</v>
      </c>
      <c r="F820" s="3" t="inlineStr">
        <is>
          <t>연서면</t>
        </is>
      </c>
      <c r="G820" s="3" t="inlineStr">
        <is>
          <t>와촌리</t>
        </is>
      </c>
      <c r="H820" s="3" t="inlineStr">
        <is>
          <t>계획관리지역</t>
        </is>
      </c>
      <c r="I820" s="3" t="inlineStr">
        <is>
          <t>임야</t>
        </is>
      </c>
      <c r="J820" s="3" t="inlineStr">
        <is>
          <t>연서면</t>
        </is>
      </c>
    </row>
    <row r="821">
      <c r="A821" s="3" t="n">
        <v>2024</v>
      </c>
      <c r="B821" s="4" t="n">
        <v>195400</v>
      </c>
      <c r="C821" s="4" t="n">
        <v>11710</v>
      </c>
      <c r="D821" s="4" t="n">
        <v>3542.275</v>
      </c>
      <c r="E821" s="5" t="n">
        <v>55.2</v>
      </c>
      <c r="F821" s="3" t="inlineStr">
        <is>
          <t>연서면</t>
        </is>
      </c>
      <c r="G821" s="3" t="inlineStr">
        <is>
          <t>와촌리</t>
        </is>
      </c>
      <c r="H821" s="3" t="inlineStr">
        <is>
          <t>계획관리지역</t>
        </is>
      </c>
      <c r="I821" s="3" t="inlineStr">
        <is>
          <t>임야</t>
        </is>
      </c>
      <c r="J821" s="3" t="inlineStr">
        <is>
          <t>연서면</t>
        </is>
      </c>
    </row>
    <row r="822">
      <c r="A822" s="3" t="n">
        <v>2024</v>
      </c>
      <c r="B822" s="4" t="n">
        <v>25700</v>
      </c>
      <c r="C822" s="4" t="n">
        <v>1487</v>
      </c>
      <c r="D822" s="4" t="n">
        <v>449.8175</v>
      </c>
      <c r="E822" s="5" t="n">
        <v>57.1</v>
      </c>
      <c r="F822" s="3" t="inlineStr">
        <is>
          <t>연서면</t>
        </is>
      </c>
      <c r="G822" s="3" t="inlineStr">
        <is>
          <t>와촌리</t>
        </is>
      </c>
      <c r="H822" s="3" t="inlineStr">
        <is>
          <t>계획관리지역</t>
        </is>
      </c>
      <c r="I822" s="3" t="inlineStr">
        <is>
          <t>임야</t>
        </is>
      </c>
      <c r="J822" s="3" t="inlineStr">
        <is>
          <t>연서면</t>
        </is>
      </c>
    </row>
    <row r="823">
      <c r="A823" s="3" t="n">
        <v>2024</v>
      </c>
      <c r="B823" s="4" t="n">
        <v>26700</v>
      </c>
      <c r="C823" s="4" t="n">
        <v>635</v>
      </c>
      <c r="D823" s="4" t="n">
        <v>192.0875</v>
      </c>
      <c r="E823" s="5" t="n">
        <v>139</v>
      </c>
      <c r="F823" s="3" t="inlineStr">
        <is>
          <t>연서면</t>
        </is>
      </c>
      <c r="G823" s="3" t="inlineStr">
        <is>
          <t>와촌리</t>
        </is>
      </c>
      <c r="H823" s="3" t="inlineStr">
        <is>
          <t>계획관리지역</t>
        </is>
      </c>
      <c r="I823" s="3" t="inlineStr">
        <is>
          <t>전</t>
        </is>
      </c>
      <c r="J823" s="3" t="inlineStr">
        <is>
          <t>연서면</t>
        </is>
      </c>
    </row>
    <row r="824">
      <c r="A824" s="3" t="n">
        <v>2024</v>
      </c>
      <c r="B824" s="4" t="n">
        <v>2727</v>
      </c>
      <c r="C824" s="4" t="n">
        <v>61</v>
      </c>
      <c r="D824" s="4" t="n">
        <v>18.4525</v>
      </c>
      <c r="E824" s="5" t="n">
        <v>147.8</v>
      </c>
      <c r="F824" s="3" t="inlineStr">
        <is>
          <t>조치원읍</t>
        </is>
      </c>
      <c r="G824" s="3" t="inlineStr">
        <is>
          <t>서창리</t>
        </is>
      </c>
      <c r="H824" s="3" t="inlineStr">
        <is>
          <t>제1종일반주거지역</t>
        </is>
      </c>
      <c r="I824" s="3" t="inlineStr">
        <is>
          <t>대</t>
        </is>
      </c>
      <c r="J824" s="3" t="inlineStr">
        <is>
          <t>조치원읍</t>
        </is>
      </c>
    </row>
    <row r="825">
      <c r="A825" s="3" t="n">
        <v>2024</v>
      </c>
      <c r="B825" s="4" t="n">
        <v>13000</v>
      </c>
      <c r="C825" s="4" t="n">
        <v>664</v>
      </c>
      <c r="D825" s="4" t="n">
        <v>200.86</v>
      </c>
      <c r="E825" s="5" t="n">
        <v>64.7</v>
      </c>
      <c r="F825" s="3" t="inlineStr">
        <is>
          <t>부강면</t>
        </is>
      </c>
      <c r="G825" s="3" t="inlineStr">
        <is>
          <t>문곡리</t>
        </is>
      </c>
      <c r="H825" s="3" t="inlineStr">
        <is>
          <t>계획관리지역</t>
        </is>
      </c>
      <c r="I825" s="3" t="inlineStr">
        <is>
          <t>임야</t>
        </is>
      </c>
      <c r="J825" s="3" t="inlineStr">
        <is>
          <t>부강면</t>
        </is>
      </c>
    </row>
    <row r="826">
      <c r="A826" s="3" t="n">
        <v>2024</v>
      </c>
      <c r="B826" s="4" t="n">
        <v>50000</v>
      </c>
      <c r="C826" s="4" t="n">
        <v>3215</v>
      </c>
      <c r="D826" s="4" t="n">
        <v>972.5375</v>
      </c>
      <c r="E826" s="5" t="n">
        <v>51.4</v>
      </c>
      <c r="F826" s="3" t="inlineStr">
        <is>
          <t>부강면</t>
        </is>
      </c>
      <c r="G826" s="3" t="inlineStr">
        <is>
          <t>문곡리</t>
        </is>
      </c>
      <c r="H826" s="3" t="inlineStr">
        <is>
          <t>계획관리지역</t>
        </is>
      </c>
      <c r="I826" s="3" t="inlineStr">
        <is>
          <t>답</t>
        </is>
      </c>
      <c r="J826" s="3" t="inlineStr">
        <is>
          <t>부강면</t>
        </is>
      </c>
    </row>
    <row r="827">
      <c r="A827" s="3" t="n">
        <v>2024</v>
      </c>
      <c r="B827" s="4" t="n">
        <v>25000</v>
      </c>
      <c r="C827" s="4" t="n">
        <v>1761</v>
      </c>
      <c r="D827" s="4" t="n">
        <v>532.7025</v>
      </c>
      <c r="E827" s="5" t="n">
        <v>46.9</v>
      </c>
      <c r="F827" s="3" t="inlineStr">
        <is>
          <t>부강면</t>
        </is>
      </c>
      <c r="G827" s="3" t="inlineStr">
        <is>
          <t>문곡리</t>
        </is>
      </c>
      <c r="H827" s="3" t="inlineStr">
        <is>
          <t>계획관리지역</t>
        </is>
      </c>
      <c r="I827" s="3" t="inlineStr">
        <is>
          <t>답</t>
        </is>
      </c>
      <c r="J827" s="3" t="inlineStr">
        <is>
          <t>부강면</t>
        </is>
      </c>
    </row>
    <row r="828">
      <c r="A828" s="3" t="n">
        <v>2024</v>
      </c>
      <c r="B828" s="4" t="n">
        <v>1000</v>
      </c>
      <c r="C828" s="4" t="n">
        <v>140</v>
      </c>
      <c r="D828" s="4" t="n">
        <v>42.35</v>
      </c>
      <c r="E828" s="5" t="n">
        <v>23.6</v>
      </c>
      <c r="F828" s="3" t="inlineStr">
        <is>
          <t>부강면</t>
        </is>
      </c>
      <c r="G828" s="3" t="inlineStr">
        <is>
          <t>문곡리</t>
        </is>
      </c>
      <c r="H828" s="3" t="inlineStr">
        <is>
          <t>계획관리지역</t>
        </is>
      </c>
      <c r="I828" s="3" t="inlineStr">
        <is>
          <t>답</t>
        </is>
      </c>
      <c r="J828" s="3" t="inlineStr">
        <is>
          <t>부강면</t>
        </is>
      </c>
    </row>
    <row r="829">
      <c r="A829" s="3" t="n">
        <v>2022</v>
      </c>
      <c r="B829" s="4" t="n">
        <v>9100</v>
      </c>
      <c r="C829" s="4" t="n">
        <v>251</v>
      </c>
      <c r="D829" s="4" t="n">
        <v>75.92749999999999</v>
      </c>
      <c r="E829" s="5" t="n">
        <v>119.9</v>
      </c>
      <c r="F829" s="3" t="inlineStr">
        <is>
          <t>연서면</t>
        </is>
      </c>
      <c r="G829" s="3" t="inlineStr">
        <is>
          <t>성제리</t>
        </is>
      </c>
      <c r="H829" s="3" t="inlineStr">
        <is>
          <t>자연녹지지역</t>
        </is>
      </c>
      <c r="I829" s="3" t="inlineStr">
        <is>
          <t>전</t>
        </is>
      </c>
      <c r="J829" s="3" t="inlineStr">
        <is>
          <t>연서면</t>
        </is>
      </c>
    </row>
    <row r="830">
      <c r="A830" s="3" t="n">
        <v>2022</v>
      </c>
      <c r="B830" s="4" t="n">
        <v>13600</v>
      </c>
      <c r="C830" s="4" t="n">
        <v>744</v>
      </c>
      <c r="D830" s="4" t="n">
        <v>225.06</v>
      </c>
      <c r="E830" s="5" t="n">
        <v>60.4</v>
      </c>
      <c r="F830" s="3" t="inlineStr">
        <is>
          <t>연서면</t>
        </is>
      </c>
      <c r="G830" s="3" t="inlineStr">
        <is>
          <t>성제리</t>
        </is>
      </c>
      <c r="H830" s="3" t="inlineStr">
        <is>
          <t>자연녹지지역</t>
        </is>
      </c>
      <c r="I830" s="3" t="inlineStr">
        <is>
          <t>전</t>
        </is>
      </c>
      <c r="J830" s="3" t="inlineStr">
        <is>
          <t>연서면</t>
        </is>
      </c>
    </row>
    <row r="831">
      <c r="A831" s="3" t="n">
        <v>2022</v>
      </c>
      <c r="B831" s="4" t="n">
        <v>10700</v>
      </c>
      <c r="C831" s="4" t="n">
        <v>585</v>
      </c>
      <c r="D831" s="4" t="n">
        <v>176.9625</v>
      </c>
      <c r="E831" s="5" t="n">
        <v>60.5</v>
      </c>
      <c r="F831" s="3" t="inlineStr">
        <is>
          <t>연서면</t>
        </is>
      </c>
      <c r="G831" s="3" t="inlineStr">
        <is>
          <t>성제리</t>
        </is>
      </c>
      <c r="H831" s="3" t="inlineStr">
        <is>
          <t>자연녹지지역</t>
        </is>
      </c>
      <c r="I831" s="3" t="inlineStr">
        <is>
          <t>전</t>
        </is>
      </c>
      <c r="J831" s="3" t="inlineStr">
        <is>
          <t>연서면</t>
        </is>
      </c>
    </row>
    <row r="832">
      <c r="A832" s="3" t="n">
        <v>2022</v>
      </c>
      <c r="B832" s="4" t="n">
        <v>20800</v>
      </c>
      <c r="C832" s="4" t="n">
        <v>840</v>
      </c>
      <c r="D832" s="4" t="n">
        <v>254.1</v>
      </c>
      <c r="E832" s="5" t="n">
        <v>81.90000000000001</v>
      </c>
      <c r="F832" s="3" t="inlineStr">
        <is>
          <t>부강면</t>
        </is>
      </c>
      <c r="G832" s="3" t="inlineStr">
        <is>
          <t>문곡리</t>
        </is>
      </c>
      <c r="H832" s="3" t="inlineStr">
        <is>
          <t>보전관리지역</t>
        </is>
      </c>
      <c r="I832" s="3" t="inlineStr">
        <is>
          <t>임야</t>
        </is>
      </c>
      <c r="J832" s="3" t="inlineStr">
        <is>
          <t>부강면</t>
        </is>
      </c>
    </row>
    <row r="833">
      <c r="A833" s="3" t="n">
        <v>2022</v>
      </c>
      <c r="B833" s="4" t="n">
        <v>950</v>
      </c>
      <c r="C833" s="4" t="n">
        <v>21</v>
      </c>
      <c r="D833" s="4" t="n">
        <v>6.3525</v>
      </c>
      <c r="E833" s="5" t="n">
        <v>149.5</v>
      </c>
      <c r="F833" s="3" t="inlineStr">
        <is>
          <t>부강면</t>
        </is>
      </c>
      <c r="G833" s="3" t="inlineStr">
        <is>
          <t>부강리</t>
        </is>
      </c>
      <c r="H833" s="3" t="inlineStr">
        <is>
          <t>제2종일반주거지역</t>
        </is>
      </c>
      <c r="I833" s="3" t="inlineStr">
        <is>
          <t>대</t>
        </is>
      </c>
      <c r="J833" s="3" t="inlineStr">
        <is>
          <t>부강면</t>
        </is>
      </c>
    </row>
    <row r="834">
      <c r="A834" s="3" t="n">
        <v>2022</v>
      </c>
      <c r="B834" s="4" t="n">
        <v>21150</v>
      </c>
      <c r="C834" s="4" t="n">
        <v>290.1</v>
      </c>
      <c r="D834" s="4" t="n">
        <v>87.75525</v>
      </c>
      <c r="E834" s="5" t="n">
        <v>241</v>
      </c>
      <c r="F834" s="3" t="inlineStr">
        <is>
          <t>고운동</t>
        </is>
      </c>
      <c r="G834" s="3" t="inlineStr"/>
      <c r="H834" s="3" t="inlineStr">
        <is>
          <t>제1종전용주거지역</t>
        </is>
      </c>
      <c r="I834" s="3" t="inlineStr">
        <is>
          <t>대</t>
        </is>
      </c>
      <c r="J834" s="3" t="inlineStr">
        <is>
          <t>고운동</t>
        </is>
      </c>
    </row>
    <row r="835">
      <c r="A835" s="3" t="n">
        <v>2022</v>
      </c>
      <c r="B835" s="4" t="n">
        <v>750</v>
      </c>
      <c r="C835" s="4" t="n">
        <v>12.9</v>
      </c>
      <c r="D835" s="4" t="n">
        <v>3.90225</v>
      </c>
      <c r="E835" s="5" t="n">
        <v>192.2</v>
      </c>
      <c r="F835" s="3" t="inlineStr">
        <is>
          <t>고운동</t>
        </is>
      </c>
      <c r="G835" s="3" t="inlineStr"/>
      <c r="H835" s="3" t="inlineStr">
        <is>
          <t>제1종전용주거지역</t>
        </is>
      </c>
      <c r="I835" s="3" t="inlineStr">
        <is>
          <t>주차장</t>
        </is>
      </c>
      <c r="J835" s="3" t="inlineStr">
        <is>
          <t>고운동</t>
        </is>
      </c>
    </row>
    <row r="836">
      <c r="A836" s="3" t="n">
        <v>2022</v>
      </c>
      <c r="B836" s="4" t="n">
        <v>21550</v>
      </c>
      <c r="C836" s="4" t="n">
        <v>294</v>
      </c>
      <c r="D836" s="4" t="n">
        <v>88.935</v>
      </c>
      <c r="E836" s="5" t="n">
        <v>242.3</v>
      </c>
      <c r="F836" s="3" t="inlineStr">
        <is>
          <t>고운동</t>
        </is>
      </c>
      <c r="G836" s="3" t="inlineStr"/>
      <c r="H836" s="3" t="inlineStr">
        <is>
          <t>제1종전용주거지역</t>
        </is>
      </c>
      <c r="I836" s="3" t="inlineStr">
        <is>
          <t>대</t>
        </is>
      </c>
      <c r="J836" s="3" t="inlineStr">
        <is>
          <t>고운동</t>
        </is>
      </c>
    </row>
    <row r="837">
      <c r="A837" s="3" t="n">
        <v>2022</v>
      </c>
      <c r="B837" s="4" t="n">
        <v>750</v>
      </c>
      <c r="C837" s="4" t="n">
        <v>12.9</v>
      </c>
      <c r="D837" s="4" t="n">
        <v>3.90225</v>
      </c>
      <c r="E837" s="5" t="n">
        <v>192.2</v>
      </c>
      <c r="F837" s="3" t="inlineStr">
        <is>
          <t>고운동</t>
        </is>
      </c>
      <c r="G837" s="3" t="inlineStr"/>
      <c r="H837" s="3" t="inlineStr">
        <is>
          <t>제1종전용주거지역</t>
        </is>
      </c>
      <c r="I837" s="3" t="inlineStr">
        <is>
          <t>주차장</t>
        </is>
      </c>
      <c r="J837" s="3" t="inlineStr">
        <is>
          <t>고운동</t>
        </is>
      </c>
    </row>
    <row r="838">
      <c r="A838" s="3" t="n">
        <v>2022</v>
      </c>
      <c r="B838" s="4" t="n">
        <v>23800</v>
      </c>
      <c r="C838" s="4" t="n">
        <v>300.2</v>
      </c>
      <c r="D838" s="4" t="n">
        <v>90.81049999999999</v>
      </c>
      <c r="E838" s="5" t="n">
        <v>262.1</v>
      </c>
      <c r="F838" s="3" t="inlineStr">
        <is>
          <t>고운동</t>
        </is>
      </c>
      <c r="G838" s="3" t="inlineStr"/>
      <c r="H838" s="3" t="inlineStr">
        <is>
          <t>제1종전용주거지역</t>
        </is>
      </c>
      <c r="I838" s="3" t="inlineStr">
        <is>
          <t>대</t>
        </is>
      </c>
      <c r="J838" s="3" t="inlineStr">
        <is>
          <t>고운동</t>
        </is>
      </c>
    </row>
    <row r="839">
      <c r="A839" s="3" t="n">
        <v>2022</v>
      </c>
      <c r="B839" s="4" t="n">
        <v>750</v>
      </c>
      <c r="C839" s="4" t="n">
        <v>12.9</v>
      </c>
      <c r="D839" s="4" t="n">
        <v>3.90225</v>
      </c>
      <c r="E839" s="5" t="n">
        <v>192.2</v>
      </c>
      <c r="F839" s="3" t="inlineStr">
        <is>
          <t>고운동</t>
        </is>
      </c>
      <c r="G839" s="3" t="inlineStr"/>
      <c r="H839" s="3" t="inlineStr">
        <is>
          <t>제1종전용주거지역</t>
        </is>
      </c>
      <c r="I839" s="3" t="inlineStr">
        <is>
          <t>주차장</t>
        </is>
      </c>
      <c r="J839" s="3" t="inlineStr">
        <is>
          <t>고운동</t>
        </is>
      </c>
    </row>
    <row r="840">
      <c r="A840" s="3" t="n">
        <v>2023</v>
      </c>
      <c r="B840" s="4" t="n">
        <v>78000</v>
      </c>
      <c r="C840" s="4" t="n">
        <v>501.8</v>
      </c>
      <c r="D840" s="4" t="n">
        <v>151.7945</v>
      </c>
      <c r="E840" s="5" t="n">
        <v>513.9</v>
      </c>
      <c r="F840" s="3" t="inlineStr">
        <is>
          <t>한솔동</t>
        </is>
      </c>
      <c r="G840" s="3" t="inlineStr"/>
      <c r="H840" s="3" t="inlineStr">
        <is>
          <t>제1종전용주거지역</t>
        </is>
      </c>
      <c r="I840" s="3" t="inlineStr">
        <is>
          <t>대</t>
        </is>
      </c>
      <c r="J840" s="3" t="inlineStr">
        <is>
          <t>한솔동</t>
        </is>
      </c>
    </row>
    <row r="841">
      <c r="A841" s="3" t="n">
        <v>2023</v>
      </c>
      <c r="B841" s="4" t="n">
        <v>13400</v>
      </c>
      <c r="C841" s="4" t="n">
        <v>332</v>
      </c>
      <c r="D841" s="4" t="n">
        <v>100.43</v>
      </c>
      <c r="E841" s="5" t="n">
        <v>133.4</v>
      </c>
      <c r="F841" s="3" t="inlineStr">
        <is>
          <t>연서면</t>
        </is>
      </c>
      <c r="G841" s="3" t="inlineStr">
        <is>
          <t>고복리</t>
        </is>
      </c>
      <c r="H841" s="3" t="inlineStr">
        <is>
          <t>생산관리지역</t>
        </is>
      </c>
      <c r="I841" s="3" t="inlineStr">
        <is>
          <t>대</t>
        </is>
      </c>
      <c r="J841" s="3" t="inlineStr">
        <is>
          <t>연서면</t>
        </is>
      </c>
    </row>
    <row r="842">
      <c r="A842" s="3" t="n">
        <v>2023</v>
      </c>
      <c r="B842" s="4" t="n">
        <v>51045</v>
      </c>
      <c r="C842" s="4" t="n">
        <v>1258</v>
      </c>
      <c r="D842" s="4" t="n">
        <v>380.545</v>
      </c>
      <c r="E842" s="5" t="n">
        <v>134.1</v>
      </c>
      <c r="F842" s="3" t="inlineStr">
        <is>
          <t>연서면</t>
        </is>
      </c>
      <c r="G842" s="3" t="inlineStr">
        <is>
          <t>고복리</t>
        </is>
      </c>
      <c r="H842" s="3" t="inlineStr">
        <is>
          <t>생산관리지역</t>
        </is>
      </c>
      <c r="I842" s="3" t="inlineStr">
        <is>
          <t>잡종지</t>
        </is>
      </c>
      <c r="J842" s="3" t="inlineStr">
        <is>
          <t>연서면</t>
        </is>
      </c>
    </row>
    <row r="843">
      <c r="A843" s="3" t="n">
        <v>2023</v>
      </c>
      <c r="B843" s="4" t="n">
        <v>15000</v>
      </c>
      <c r="C843" s="4" t="n">
        <v>111.5</v>
      </c>
      <c r="D843" s="4" t="n">
        <v>33.72875</v>
      </c>
      <c r="E843" s="5" t="n">
        <v>444.7</v>
      </c>
      <c r="F843" s="3" t="inlineStr">
        <is>
          <t>조치원읍</t>
        </is>
      </c>
      <c r="G843" s="3" t="inlineStr">
        <is>
          <t>남리</t>
        </is>
      </c>
      <c r="H843" s="3" t="inlineStr">
        <is>
          <t>제2종일반주거지역</t>
        </is>
      </c>
      <c r="I843" s="3" t="inlineStr">
        <is>
          <t>대</t>
        </is>
      </c>
      <c r="J843" s="3" t="inlineStr">
        <is>
          <t>조치원읍</t>
        </is>
      </c>
    </row>
    <row r="844">
      <c r="A844" s="3" t="n">
        <v>2023</v>
      </c>
      <c r="B844" s="4" t="n">
        <v>3285</v>
      </c>
      <c r="C844" s="4" t="n">
        <v>217</v>
      </c>
      <c r="D844" s="4" t="n">
        <v>65.6425</v>
      </c>
      <c r="E844" s="5" t="n">
        <v>50</v>
      </c>
      <c r="F844" s="3" t="inlineStr">
        <is>
          <t>연동면</t>
        </is>
      </c>
      <c r="G844" s="3" t="inlineStr">
        <is>
          <t>응암리</t>
        </is>
      </c>
      <c r="H844" s="3" t="inlineStr">
        <is>
          <t>계획관리지역</t>
        </is>
      </c>
      <c r="I844" s="3" t="inlineStr">
        <is>
          <t>목장용지</t>
        </is>
      </c>
      <c r="J844" s="3" t="inlineStr">
        <is>
          <t>연동면</t>
        </is>
      </c>
    </row>
    <row r="845">
      <c r="A845" s="3" t="n">
        <v>2023</v>
      </c>
      <c r="B845" s="4" t="n">
        <v>3694</v>
      </c>
      <c r="C845" s="4" t="n">
        <v>244</v>
      </c>
      <c r="D845" s="4" t="n">
        <v>73.81</v>
      </c>
      <c r="E845" s="5" t="n">
        <v>50</v>
      </c>
      <c r="F845" s="3" t="inlineStr">
        <is>
          <t>연동면</t>
        </is>
      </c>
      <c r="G845" s="3" t="inlineStr">
        <is>
          <t>응암리</t>
        </is>
      </c>
      <c r="H845" s="3" t="inlineStr">
        <is>
          <t>계획관리지역</t>
        </is>
      </c>
      <c r="I845" s="3" t="inlineStr">
        <is>
          <t>목장용지</t>
        </is>
      </c>
      <c r="J845" s="3" t="inlineStr">
        <is>
          <t>연동면</t>
        </is>
      </c>
    </row>
    <row r="846">
      <c r="A846" s="3" t="n">
        <v>2026</v>
      </c>
      <c r="B846" s="4" t="n">
        <v>9400</v>
      </c>
      <c r="C846" s="4" t="n">
        <v>259</v>
      </c>
      <c r="D846" s="4" t="n">
        <v>78.3475</v>
      </c>
      <c r="E846" s="5" t="n">
        <v>120</v>
      </c>
      <c r="F846" s="3" t="inlineStr">
        <is>
          <t>연서면</t>
        </is>
      </c>
      <c r="G846" s="3" t="inlineStr">
        <is>
          <t>쌍류리</t>
        </is>
      </c>
      <c r="H846" s="3" t="inlineStr">
        <is>
          <t>생산관리지역</t>
        </is>
      </c>
      <c r="I846" s="3" t="inlineStr">
        <is>
          <t>답</t>
        </is>
      </c>
      <c r="J846" s="3" t="inlineStr">
        <is>
          <t>연서면</t>
        </is>
      </c>
    </row>
    <row r="847">
      <c r="A847" s="3" t="n">
        <v>2026</v>
      </c>
      <c r="B847" s="4" t="n">
        <v>22500</v>
      </c>
      <c r="C847" s="4" t="n">
        <v>797</v>
      </c>
      <c r="D847" s="4" t="n">
        <v>241.0925</v>
      </c>
      <c r="E847" s="5" t="n">
        <v>93.3</v>
      </c>
      <c r="F847" s="3" t="inlineStr">
        <is>
          <t>연서면</t>
        </is>
      </c>
      <c r="G847" s="3" t="inlineStr">
        <is>
          <t>쌍류리</t>
        </is>
      </c>
      <c r="H847" s="3" t="inlineStr">
        <is>
          <t>생산관리지역</t>
        </is>
      </c>
      <c r="I847" s="3" t="inlineStr">
        <is>
          <t>답</t>
        </is>
      </c>
      <c r="J847" s="3" t="inlineStr">
        <is>
          <t>연서면</t>
        </is>
      </c>
    </row>
    <row r="848">
      <c r="A848" s="3" t="n">
        <v>2026</v>
      </c>
      <c r="B848" s="4" t="n">
        <v>16670</v>
      </c>
      <c r="C848" s="4" t="n">
        <v>1782</v>
      </c>
      <c r="D848" s="4" t="n">
        <v>539.0549999999999</v>
      </c>
      <c r="E848" s="5" t="n">
        <v>30.9</v>
      </c>
      <c r="F848" s="3" t="inlineStr">
        <is>
          <t>연서면</t>
        </is>
      </c>
      <c r="G848" s="3" t="inlineStr">
        <is>
          <t>청라리</t>
        </is>
      </c>
      <c r="H848" s="3" t="inlineStr">
        <is>
          <t>생산관리지역</t>
        </is>
      </c>
      <c r="I848" s="3" t="inlineStr">
        <is>
          <t>답</t>
        </is>
      </c>
      <c r="J848" s="3" t="inlineStr">
        <is>
          <t>연서면</t>
        </is>
      </c>
    </row>
    <row r="849">
      <c r="A849" s="3" t="n">
        <v>2026</v>
      </c>
      <c r="B849" s="4" t="n">
        <v>19410</v>
      </c>
      <c r="C849" s="4" t="n">
        <v>2139</v>
      </c>
      <c r="D849" s="4" t="n">
        <v>647.0475</v>
      </c>
      <c r="E849" s="5" t="n">
        <v>30</v>
      </c>
      <c r="F849" s="3" t="inlineStr">
        <is>
          <t>연서면</t>
        </is>
      </c>
      <c r="G849" s="3" t="inlineStr">
        <is>
          <t>청라리</t>
        </is>
      </c>
      <c r="H849" s="3" t="inlineStr">
        <is>
          <t>생산관리지역</t>
        </is>
      </c>
      <c r="I849" s="3" t="inlineStr">
        <is>
          <t>전</t>
        </is>
      </c>
      <c r="J849" s="3" t="inlineStr">
        <is>
          <t>연서면</t>
        </is>
      </c>
    </row>
    <row r="850">
      <c r="A850" s="3" t="n">
        <v>2024</v>
      </c>
      <c r="B850" s="4" t="n">
        <v>35000</v>
      </c>
      <c r="C850" s="4" t="n">
        <v>1736</v>
      </c>
      <c r="D850" s="4" t="n">
        <v>525.14</v>
      </c>
      <c r="E850" s="5" t="n">
        <v>66.59999999999999</v>
      </c>
      <c r="F850" s="3" t="inlineStr">
        <is>
          <t>부강면</t>
        </is>
      </c>
      <c r="G850" s="3" t="inlineStr">
        <is>
          <t>행산리</t>
        </is>
      </c>
      <c r="H850" s="3" t="inlineStr">
        <is>
          <t>계획관리지역</t>
        </is>
      </c>
      <c r="I850" s="3" t="inlineStr">
        <is>
          <t>전</t>
        </is>
      </c>
      <c r="J850" s="3" t="inlineStr">
        <is>
          <t>부강면</t>
        </is>
      </c>
    </row>
    <row r="851">
      <c r="A851" s="3" t="n">
        <v>2022</v>
      </c>
      <c r="B851" s="4" t="n">
        <v>41500</v>
      </c>
      <c r="C851" s="4" t="n">
        <v>250.2</v>
      </c>
      <c r="D851" s="4" t="n">
        <v>75.68549999999999</v>
      </c>
      <c r="E851" s="5" t="n">
        <v>548.3</v>
      </c>
      <c r="F851" s="3" t="inlineStr">
        <is>
          <t>조치원읍</t>
        </is>
      </c>
      <c r="G851" s="3" t="inlineStr">
        <is>
          <t>침산리</t>
        </is>
      </c>
      <c r="H851" s="3" t="inlineStr">
        <is>
          <t>제2종일반주거지역</t>
        </is>
      </c>
      <c r="I851" s="3" t="inlineStr">
        <is>
          <t>대</t>
        </is>
      </c>
      <c r="J851" s="3" t="inlineStr">
        <is>
          <t>조치원읍</t>
        </is>
      </c>
    </row>
    <row r="852">
      <c r="A852" s="3" t="n">
        <v>2022</v>
      </c>
      <c r="B852" s="4" t="n">
        <v>3600</v>
      </c>
      <c r="C852" s="4" t="n">
        <v>238</v>
      </c>
      <c r="D852" s="4" t="n">
        <v>71.995</v>
      </c>
      <c r="E852" s="5" t="n">
        <v>50</v>
      </c>
      <c r="F852" s="3" t="inlineStr">
        <is>
          <t>부강면</t>
        </is>
      </c>
      <c r="G852" s="3" t="inlineStr">
        <is>
          <t>문곡리</t>
        </is>
      </c>
      <c r="H852" s="3" t="inlineStr">
        <is>
          <t>계획관리지역</t>
        </is>
      </c>
      <c r="I852" s="3" t="inlineStr">
        <is>
          <t>답</t>
        </is>
      </c>
      <c r="J852" s="3" t="inlineStr">
        <is>
          <t>부강면</t>
        </is>
      </c>
    </row>
    <row r="853">
      <c r="A853" s="3" t="n">
        <v>2025</v>
      </c>
      <c r="B853" s="4" t="n">
        <v>8500</v>
      </c>
      <c r="C853" s="4" t="n">
        <v>238</v>
      </c>
      <c r="D853" s="4" t="n">
        <v>71.995</v>
      </c>
      <c r="E853" s="5" t="n">
        <v>118.1</v>
      </c>
      <c r="F853" s="3" t="inlineStr">
        <is>
          <t>연서면</t>
        </is>
      </c>
      <c r="G853" s="3" t="inlineStr">
        <is>
          <t>봉암리</t>
        </is>
      </c>
      <c r="H853" s="3" t="inlineStr">
        <is>
          <t>계획관리지역</t>
        </is>
      </c>
      <c r="I853" s="3" t="inlineStr">
        <is>
          <t>대</t>
        </is>
      </c>
      <c r="J853" s="3" t="inlineStr">
        <is>
          <t>연서면</t>
        </is>
      </c>
    </row>
    <row r="854">
      <c r="A854" s="3" t="n">
        <v>2025</v>
      </c>
      <c r="B854" s="4" t="n">
        <v>36300</v>
      </c>
      <c r="C854" s="4" t="n">
        <v>355</v>
      </c>
      <c r="D854" s="4" t="n">
        <v>107.3875</v>
      </c>
      <c r="E854" s="5" t="n">
        <v>338</v>
      </c>
      <c r="F854" s="3" t="inlineStr">
        <is>
          <t>조치원읍</t>
        </is>
      </c>
      <c r="G854" s="3" t="inlineStr">
        <is>
          <t>신흥리</t>
        </is>
      </c>
      <c r="H854" s="3" t="inlineStr">
        <is>
          <t>제2종일반주거지역</t>
        </is>
      </c>
      <c r="I854" s="3" t="inlineStr">
        <is>
          <t>대</t>
        </is>
      </c>
      <c r="J854" s="3" t="inlineStr">
        <is>
          <t>조치원읍</t>
        </is>
      </c>
    </row>
    <row r="855">
      <c r="A855" s="3" t="n">
        <v>2025</v>
      </c>
      <c r="B855" s="4" t="n">
        <v>2700</v>
      </c>
      <c r="C855" s="4" t="n">
        <v>30</v>
      </c>
      <c r="D855" s="4" t="n">
        <v>9.074999999999999</v>
      </c>
      <c r="E855" s="5" t="n">
        <v>297.5</v>
      </c>
      <c r="F855" s="3" t="inlineStr">
        <is>
          <t>조치원읍</t>
        </is>
      </c>
      <c r="G855" s="3" t="inlineStr">
        <is>
          <t>신흥리</t>
        </is>
      </c>
      <c r="H855" s="3" t="inlineStr">
        <is>
          <t>제2종일반주거지역</t>
        </is>
      </c>
      <c r="I855" s="3" t="inlineStr">
        <is>
          <t>대</t>
        </is>
      </c>
      <c r="J855" s="3" t="inlineStr">
        <is>
          <t>조치원읍</t>
        </is>
      </c>
    </row>
    <row r="856">
      <c r="A856" s="3" t="n">
        <v>2025</v>
      </c>
      <c r="B856" s="4" t="n">
        <v>11000</v>
      </c>
      <c r="C856" s="4" t="n">
        <v>257</v>
      </c>
      <c r="D856" s="4" t="n">
        <v>77.74249999999999</v>
      </c>
      <c r="E856" s="5" t="n">
        <v>141.5</v>
      </c>
      <c r="F856" s="3" t="inlineStr">
        <is>
          <t>연동면</t>
        </is>
      </c>
      <c r="G856" s="3" t="inlineStr">
        <is>
          <t>예양리</t>
        </is>
      </c>
      <c r="H856" s="3" t="inlineStr">
        <is>
          <t>보전관리지역</t>
        </is>
      </c>
      <c r="I856" s="3" t="inlineStr">
        <is>
          <t>대</t>
        </is>
      </c>
      <c r="J856" s="3" t="inlineStr">
        <is>
          <t>연동면</t>
        </is>
      </c>
    </row>
    <row r="857">
      <c r="A857" s="3" t="n">
        <v>2025</v>
      </c>
      <c r="B857" s="4" t="n">
        <v>28100</v>
      </c>
      <c r="C857" s="4" t="n">
        <v>150</v>
      </c>
      <c r="D857" s="4" t="n">
        <v>45.375</v>
      </c>
      <c r="E857" s="5" t="n">
        <v>619.3</v>
      </c>
      <c r="F857" s="3" t="inlineStr">
        <is>
          <t>조치원읍</t>
        </is>
      </c>
      <c r="G857" s="3" t="inlineStr">
        <is>
          <t>정리</t>
        </is>
      </c>
      <c r="H857" s="3" t="inlineStr">
        <is>
          <t>준주거지역</t>
        </is>
      </c>
      <c r="I857" s="3" t="inlineStr">
        <is>
          <t>대</t>
        </is>
      </c>
      <c r="J857" s="3" t="inlineStr">
        <is>
          <t>조치원읍</t>
        </is>
      </c>
    </row>
    <row r="858">
      <c r="A858" s="3" t="n">
        <v>2025</v>
      </c>
      <c r="B858" s="4" t="n">
        <v>46645</v>
      </c>
      <c r="C858" s="4" t="n">
        <v>249</v>
      </c>
      <c r="D858" s="4" t="n">
        <v>75.32249999999999</v>
      </c>
      <c r="E858" s="5" t="n">
        <v>619.3</v>
      </c>
      <c r="F858" s="3" t="inlineStr">
        <is>
          <t>조치원읍</t>
        </is>
      </c>
      <c r="G858" s="3" t="inlineStr">
        <is>
          <t>정리</t>
        </is>
      </c>
      <c r="H858" s="3" t="inlineStr">
        <is>
          <t>준주거지역</t>
        </is>
      </c>
      <c r="I858" s="3" t="inlineStr">
        <is>
          <t>대</t>
        </is>
      </c>
      <c r="J858" s="3" t="inlineStr">
        <is>
          <t>조치원읍</t>
        </is>
      </c>
    </row>
    <row r="859">
      <c r="A859" s="3" t="n">
        <v>2025</v>
      </c>
      <c r="B859" s="4" t="n">
        <v>6370</v>
      </c>
      <c r="C859" s="4" t="n">
        <v>40</v>
      </c>
      <c r="D859" s="4" t="n">
        <v>12.1</v>
      </c>
      <c r="E859" s="5" t="n">
        <v>526.4</v>
      </c>
      <c r="F859" s="3" t="inlineStr">
        <is>
          <t>조치원읍</t>
        </is>
      </c>
      <c r="G859" s="3" t="inlineStr">
        <is>
          <t>정리</t>
        </is>
      </c>
      <c r="H859" s="3" t="inlineStr">
        <is>
          <t>준주거지역</t>
        </is>
      </c>
      <c r="I859" s="3" t="inlineStr">
        <is>
          <t>대</t>
        </is>
      </c>
      <c r="J859" s="3" t="inlineStr">
        <is>
          <t>조치원읍</t>
        </is>
      </c>
    </row>
    <row r="860">
      <c r="A860" s="3" t="n">
        <v>2023</v>
      </c>
      <c r="B860" s="4" t="n">
        <v>13300</v>
      </c>
      <c r="C860" s="4" t="n">
        <v>1144</v>
      </c>
      <c r="D860" s="4" t="n">
        <v>346.06</v>
      </c>
      <c r="E860" s="5" t="n">
        <v>38.4</v>
      </c>
      <c r="F860" s="3" t="inlineStr">
        <is>
          <t>남이면</t>
        </is>
      </c>
      <c r="G860" s="3" t="inlineStr">
        <is>
          <t>팔봉리</t>
        </is>
      </c>
      <c r="H860" s="3" t="inlineStr">
        <is>
          <t>자연녹지지역</t>
        </is>
      </c>
      <c r="I860" s="3" t="inlineStr">
        <is>
          <t>답</t>
        </is>
      </c>
      <c r="J860" s="3" t="inlineStr">
        <is>
          <t>남이면</t>
        </is>
      </c>
    </row>
    <row r="861">
      <c r="A861" s="3" t="n">
        <v>2025</v>
      </c>
      <c r="B861" s="4" t="n">
        <v>10856</v>
      </c>
      <c r="C861" s="4" t="n">
        <v>327</v>
      </c>
      <c r="D861" s="4" t="n">
        <v>98.9175</v>
      </c>
      <c r="E861" s="5" t="n">
        <v>109.7</v>
      </c>
      <c r="F861" s="3" t="inlineStr">
        <is>
          <t>남이면</t>
        </is>
      </c>
      <c r="G861" s="3" t="inlineStr">
        <is>
          <t>가마리</t>
        </is>
      </c>
      <c r="H861" s="3" t="inlineStr">
        <is>
          <t>자연녹지지역</t>
        </is>
      </c>
      <c r="I861" s="3" t="inlineStr">
        <is>
          <t>답</t>
        </is>
      </c>
      <c r="J861" s="3" t="inlineStr">
        <is>
          <t>남이면</t>
        </is>
      </c>
    </row>
    <row r="862">
      <c r="A862" s="3" t="n">
        <v>2025</v>
      </c>
      <c r="B862" s="4" t="n">
        <v>94144</v>
      </c>
      <c r="C862" s="4" t="n">
        <v>2836</v>
      </c>
      <c r="D862" s="4" t="n">
        <v>857.89</v>
      </c>
      <c r="E862" s="5" t="n">
        <v>109.7</v>
      </c>
      <c r="F862" s="3" t="inlineStr">
        <is>
          <t>남이면</t>
        </is>
      </c>
      <c r="G862" s="3" t="inlineStr">
        <is>
          <t>가마리</t>
        </is>
      </c>
      <c r="H862" s="3" t="inlineStr">
        <is>
          <t>자연녹지지역</t>
        </is>
      </c>
      <c r="I862" s="3" t="inlineStr">
        <is>
          <t>답</t>
        </is>
      </c>
      <c r="J862" s="3" t="inlineStr">
        <is>
          <t>남이면</t>
        </is>
      </c>
    </row>
    <row r="863">
      <c r="A863" s="3" t="n">
        <v>2025</v>
      </c>
      <c r="B863" s="4" t="n">
        <v>22074</v>
      </c>
      <c r="C863" s="4" t="n">
        <v>768</v>
      </c>
      <c r="D863" s="4" t="n">
        <v>232.32</v>
      </c>
      <c r="E863" s="5" t="n">
        <v>95</v>
      </c>
      <c r="F863" s="3" t="inlineStr">
        <is>
          <t>남이면</t>
        </is>
      </c>
      <c r="G863" s="3" t="inlineStr">
        <is>
          <t>가좌리</t>
        </is>
      </c>
      <c r="H863" s="3" t="inlineStr">
        <is>
          <t>자연녹지지역</t>
        </is>
      </c>
      <c r="I863" s="3" t="inlineStr">
        <is>
          <t>전</t>
        </is>
      </c>
      <c r="J863" s="3" t="inlineStr">
        <is>
          <t>남이면</t>
        </is>
      </c>
    </row>
    <row r="864">
      <c r="A864" s="3" t="n">
        <v>2025</v>
      </c>
      <c r="B864" s="4" t="n">
        <v>661</v>
      </c>
      <c r="C864" s="4" t="n">
        <v>23</v>
      </c>
      <c r="D864" s="4" t="n">
        <v>6.9575</v>
      </c>
      <c r="E864" s="5" t="n">
        <v>95</v>
      </c>
      <c r="F864" s="3" t="inlineStr">
        <is>
          <t>남이면</t>
        </is>
      </c>
      <c r="G864" s="3" t="inlineStr">
        <is>
          <t>가좌리</t>
        </is>
      </c>
      <c r="H864" s="3" t="inlineStr">
        <is>
          <t>자연녹지지역</t>
        </is>
      </c>
      <c r="I864" s="3" t="inlineStr">
        <is>
          <t>도로</t>
        </is>
      </c>
      <c r="J864" s="3" t="inlineStr">
        <is>
          <t>남이면</t>
        </is>
      </c>
    </row>
    <row r="865">
      <c r="A865" s="3" t="n">
        <v>2025</v>
      </c>
      <c r="B865" s="4" t="n">
        <v>1725</v>
      </c>
      <c r="C865" s="4" t="n">
        <v>60</v>
      </c>
      <c r="D865" s="4" t="n">
        <v>18.15</v>
      </c>
      <c r="E865" s="5" t="n">
        <v>95</v>
      </c>
      <c r="F865" s="3" t="inlineStr">
        <is>
          <t>남이면</t>
        </is>
      </c>
      <c r="G865" s="3" t="inlineStr">
        <is>
          <t>가좌리</t>
        </is>
      </c>
      <c r="H865" s="3" t="inlineStr">
        <is>
          <t>자연녹지지역</t>
        </is>
      </c>
      <c r="I865" s="3" t="inlineStr">
        <is>
          <t>답</t>
        </is>
      </c>
      <c r="J865" s="3" t="inlineStr">
        <is>
          <t>남이면</t>
        </is>
      </c>
    </row>
    <row r="866">
      <c r="A866" s="3" t="n">
        <v>2024</v>
      </c>
      <c r="B866" s="4" t="n">
        <v>6189</v>
      </c>
      <c r="C866" s="4" t="n">
        <v>66</v>
      </c>
      <c r="D866" s="4" t="n">
        <v>19.965</v>
      </c>
      <c r="E866" s="5" t="n">
        <v>310</v>
      </c>
      <c r="F866" s="3" t="inlineStr">
        <is>
          <t>연서면</t>
        </is>
      </c>
      <c r="G866" s="3" t="inlineStr">
        <is>
          <t>신대리</t>
        </is>
      </c>
      <c r="H866" s="3" t="inlineStr">
        <is>
          <t>보전관리지역</t>
        </is>
      </c>
      <c r="I866" s="3" t="inlineStr">
        <is>
          <t>임야</t>
        </is>
      </c>
      <c r="J866" s="3" t="inlineStr">
        <is>
          <t>연서면</t>
        </is>
      </c>
    </row>
    <row r="867">
      <c r="A867" s="3" t="n">
        <v>2024</v>
      </c>
      <c r="B867" s="4" t="n">
        <v>13410</v>
      </c>
      <c r="C867" s="4" t="n">
        <v>143</v>
      </c>
      <c r="D867" s="4" t="n">
        <v>43.2575</v>
      </c>
      <c r="E867" s="5" t="n">
        <v>310</v>
      </c>
      <c r="F867" s="3" t="inlineStr">
        <is>
          <t>연서면</t>
        </is>
      </c>
      <c r="G867" s="3" t="inlineStr">
        <is>
          <t>신대리</t>
        </is>
      </c>
      <c r="H867" s="3" t="inlineStr">
        <is>
          <t>계획관리지역</t>
        </is>
      </c>
      <c r="I867" s="3" t="inlineStr">
        <is>
          <t>목장용지</t>
        </is>
      </c>
      <c r="J867" s="3" t="inlineStr">
        <is>
          <t>연서면</t>
        </is>
      </c>
    </row>
    <row r="868">
      <c r="A868" s="3" t="n">
        <v>2024</v>
      </c>
      <c r="B868" s="4" t="n">
        <v>50920</v>
      </c>
      <c r="C868" s="4" t="n">
        <v>543</v>
      </c>
      <c r="D868" s="4" t="n">
        <v>164.2575</v>
      </c>
      <c r="E868" s="5" t="n">
        <v>310</v>
      </c>
      <c r="F868" s="3" t="inlineStr">
        <is>
          <t>연서면</t>
        </is>
      </c>
      <c r="G868" s="3" t="inlineStr">
        <is>
          <t>신대리</t>
        </is>
      </c>
      <c r="H868" s="3" t="inlineStr">
        <is>
          <t>계획관리지역</t>
        </is>
      </c>
      <c r="I868" s="3" t="inlineStr">
        <is>
          <t>임야</t>
        </is>
      </c>
      <c r="J868" s="3" t="inlineStr">
        <is>
          <t>연서면</t>
        </is>
      </c>
    </row>
    <row r="869">
      <c r="A869" s="3" t="n">
        <v>2024</v>
      </c>
      <c r="B869" s="4" t="n">
        <v>6000</v>
      </c>
      <c r="C869" s="4" t="n">
        <v>330</v>
      </c>
      <c r="D869" s="4" t="n">
        <v>99.825</v>
      </c>
      <c r="E869" s="5" t="n">
        <v>60.1</v>
      </c>
      <c r="F869" s="3" t="inlineStr">
        <is>
          <t>부강면</t>
        </is>
      </c>
      <c r="G869" s="3" t="inlineStr">
        <is>
          <t>노호리</t>
        </is>
      </c>
      <c r="H869" s="3" t="inlineStr">
        <is>
          <t>계획관리지역</t>
        </is>
      </c>
      <c r="I869" s="3" t="inlineStr">
        <is>
          <t>철도용지</t>
        </is>
      </c>
      <c r="J869" s="3" t="inlineStr">
        <is>
          <t>부강면</t>
        </is>
      </c>
    </row>
    <row r="870">
      <c r="A870" s="3" t="n">
        <v>2022</v>
      </c>
      <c r="B870" s="4" t="n">
        <v>25780</v>
      </c>
      <c r="C870" s="4" t="n">
        <v>1942</v>
      </c>
      <c r="D870" s="4" t="n">
        <v>587.4549999999999</v>
      </c>
      <c r="E870" s="5" t="n">
        <v>43.9</v>
      </c>
      <c r="F870" s="3" t="inlineStr">
        <is>
          <t>남이면</t>
        </is>
      </c>
      <c r="G870" s="3" t="inlineStr">
        <is>
          <t>수대리</t>
        </is>
      </c>
      <c r="H870" s="3" t="inlineStr">
        <is>
          <t>보전녹지지역</t>
        </is>
      </c>
      <c r="I870" s="3" t="inlineStr">
        <is>
          <t>임야</t>
        </is>
      </c>
      <c r="J870" s="3" t="inlineStr">
        <is>
          <t>남이면</t>
        </is>
      </c>
    </row>
    <row r="871">
      <c r="A871" s="3" t="n">
        <v>2022</v>
      </c>
      <c r="B871" s="4" t="n">
        <v>25307</v>
      </c>
      <c r="C871" s="4" t="n">
        <v>1059</v>
      </c>
      <c r="D871" s="4" t="n">
        <v>320.3475</v>
      </c>
      <c r="E871" s="5" t="n">
        <v>79</v>
      </c>
      <c r="F871" s="3" t="inlineStr">
        <is>
          <t>남이면</t>
        </is>
      </c>
      <c r="G871" s="3" t="inlineStr">
        <is>
          <t>사동리</t>
        </is>
      </c>
      <c r="H871" s="3" t="inlineStr">
        <is>
          <t>생산관리지역</t>
        </is>
      </c>
      <c r="I871" s="3" t="inlineStr">
        <is>
          <t>답</t>
        </is>
      </c>
      <c r="J871" s="3" t="inlineStr">
        <is>
          <t>남이면</t>
        </is>
      </c>
    </row>
    <row r="872">
      <c r="A872" s="3" t="n">
        <v>2022</v>
      </c>
      <c r="B872" s="4" t="n">
        <v>17397</v>
      </c>
      <c r="C872" s="4" t="n">
        <v>728</v>
      </c>
      <c r="D872" s="4" t="n">
        <v>220.22</v>
      </c>
      <c r="E872" s="5" t="n">
        <v>79</v>
      </c>
      <c r="F872" s="3" t="inlineStr">
        <is>
          <t>남이면</t>
        </is>
      </c>
      <c r="G872" s="3" t="inlineStr">
        <is>
          <t>사동리</t>
        </is>
      </c>
      <c r="H872" s="3" t="inlineStr">
        <is>
          <t>생산관리지역</t>
        </is>
      </c>
      <c r="I872" s="3" t="inlineStr">
        <is>
          <t>답</t>
        </is>
      </c>
      <c r="J872" s="3" t="inlineStr">
        <is>
          <t>남이면</t>
        </is>
      </c>
    </row>
    <row r="873">
      <c r="A873" s="3" t="n">
        <v>2022</v>
      </c>
      <c r="B873" s="4" t="n">
        <v>17804</v>
      </c>
      <c r="C873" s="4" t="n">
        <v>745</v>
      </c>
      <c r="D873" s="4" t="n">
        <v>225.3625</v>
      </c>
      <c r="E873" s="5" t="n">
        <v>79</v>
      </c>
      <c r="F873" s="3" t="inlineStr">
        <is>
          <t>남이면</t>
        </is>
      </c>
      <c r="G873" s="3" t="inlineStr">
        <is>
          <t>사동리</t>
        </is>
      </c>
      <c r="H873" s="3" t="inlineStr">
        <is>
          <t>생산관리지역</t>
        </is>
      </c>
      <c r="I873" s="3" t="inlineStr">
        <is>
          <t>답</t>
        </is>
      </c>
      <c r="J873" s="3" t="inlineStr">
        <is>
          <t>남이면</t>
        </is>
      </c>
    </row>
    <row r="874">
      <c r="A874" s="3" t="n">
        <v>2022</v>
      </c>
      <c r="B874" s="4" t="n">
        <v>34700</v>
      </c>
      <c r="C874" s="4" t="n">
        <v>2549</v>
      </c>
      <c r="D874" s="4" t="n">
        <v>771.0725</v>
      </c>
      <c r="E874" s="5" t="n">
        <v>45</v>
      </c>
      <c r="F874" s="3" t="inlineStr">
        <is>
          <t>남이면</t>
        </is>
      </c>
      <c r="G874" s="3" t="inlineStr">
        <is>
          <t>갈원리</t>
        </is>
      </c>
      <c r="H874" s="3" t="inlineStr">
        <is>
          <t>농림지역</t>
        </is>
      </c>
      <c r="I874" s="3" t="inlineStr">
        <is>
          <t>답</t>
        </is>
      </c>
      <c r="J874" s="3" t="inlineStr">
        <is>
          <t>남이면</t>
        </is>
      </c>
    </row>
    <row r="875">
      <c r="A875" s="3" t="n">
        <v>2022</v>
      </c>
      <c r="B875" s="4" t="n">
        <v>20500</v>
      </c>
      <c r="C875" s="4" t="n">
        <v>1383</v>
      </c>
      <c r="D875" s="4" t="n">
        <v>418.3575</v>
      </c>
      <c r="E875" s="5" t="n">
        <v>49</v>
      </c>
      <c r="F875" s="3" t="inlineStr">
        <is>
          <t>남이면</t>
        </is>
      </c>
      <c r="G875" s="3" t="inlineStr">
        <is>
          <t>구미리</t>
        </is>
      </c>
      <c r="H875" s="3" t="inlineStr">
        <is>
          <t>농림지역</t>
        </is>
      </c>
      <c r="I875" s="3" t="inlineStr">
        <is>
          <t>전</t>
        </is>
      </c>
      <c r="J875" s="3" t="inlineStr">
        <is>
          <t>남이면</t>
        </is>
      </c>
    </row>
    <row r="876">
      <c r="A876" s="3" t="n">
        <v>2022</v>
      </c>
      <c r="B876" s="4" t="n">
        <v>74400</v>
      </c>
      <c r="C876" s="4" t="n">
        <v>1537</v>
      </c>
      <c r="D876" s="4" t="n">
        <v>464.9425</v>
      </c>
      <c r="E876" s="5" t="n">
        <v>160</v>
      </c>
      <c r="F876" s="3" t="inlineStr">
        <is>
          <t>남이면</t>
        </is>
      </c>
      <c r="G876" s="3" t="inlineStr">
        <is>
          <t>양촌리</t>
        </is>
      </c>
      <c r="H876" s="3" t="inlineStr">
        <is>
          <t>자연녹지지역</t>
        </is>
      </c>
      <c r="I876" s="3" t="inlineStr">
        <is>
          <t>전</t>
        </is>
      </c>
      <c r="J876" s="3" t="inlineStr">
        <is>
          <t>남이면</t>
        </is>
      </c>
    </row>
    <row r="877">
      <c r="A877" s="3" t="n">
        <v>2022</v>
      </c>
      <c r="B877" s="4" t="n">
        <v>18240</v>
      </c>
      <c r="C877" s="4" t="n">
        <v>378</v>
      </c>
      <c r="D877" s="4" t="n">
        <v>114.345</v>
      </c>
      <c r="E877" s="5" t="n">
        <v>159.5</v>
      </c>
      <c r="F877" s="3" t="inlineStr">
        <is>
          <t>남이면</t>
        </is>
      </c>
      <c r="G877" s="3" t="inlineStr">
        <is>
          <t>양촌리</t>
        </is>
      </c>
      <c r="H877" s="3" t="inlineStr">
        <is>
          <t>자연녹지지역</t>
        </is>
      </c>
      <c r="I877" s="3" t="inlineStr">
        <is>
          <t>전</t>
        </is>
      </c>
      <c r="J877" s="3" t="inlineStr">
        <is>
          <t>남이면</t>
        </is>
      </c>
    </row>
    <row r="878">
      <c r="A878" s="3" t="n">
        <v>2022</v>
      </c>
      <c r="B878" s="4" t="n">
        <v>21700</v>
      </c>
      <c r="C878" s="4" t="n">
        <v>1542</v>
      </c>
      <c r="D878" s="4" t="n">
        <v>466.455</v>
      </c>
      <c r="E878" s="5" t="n">
        <v>46.5</v>
      </c>
      <c r="F878" s="3" t="inlineStr">
        <is>
          <t>남이면</t>
        </is>
      </c>
      <c r="G878" s="3" t="inlineStr">
        <is>
          <t>가좌리</t>
        </is>
      </c>
      <c r="H878" s="3" t="inlineStr">
        <is>
          <t>자연녹지지역</t>
        </is>
      </c>
      <c r="I878" s="3" t="inlineStr">
        <is>
          <t>공장용지</t>
        </is>
      </c>
      <c r="J878" s="3" t="inlineStr">
        <is>
          <t>남이면</t>
        </is>
      </c>
    </row>
    <row r="879">
      <c r="A879" s="3" t="n">
        <v>2022</v>
      </c>
      <c r="B879" s="4" t="n">
        <v>39000</v>
      </c>
      <c r="C879" s="4" t="n">
        <v>1094</v>
      </c>
      <c r="D879" s="4" t="n">
        <v>330.935</v>
      </c>
      <c r="E879" s="5" t="n">
        <v>117.8</v>
      </c>
      <c r="F879" s="3" t="inlineStr">
        <is>
          <t>남이면</t>
        </is>
      </c>
      <c r="G879" s="3" t="inlineStr">
        <is>
          <t>수대리</t>
        </is>
      </c>
      <c r="H879" s="3" t="inlineStr">
        <is>
          <t>자연녹지지역</t>
        </is>
      </c>
      <c r="I879" s="3" t="inlineStr">
        <is>
          <t>답</t>
        </is>
      </c>
      <c r="J879" s="3" t="inlineStr">
        <is>
          <t>남이면</t>
        </is>
      </c>
    </row>
    <row r="880">
      <c r="A880" s="3" t="n">
        <v>2022</v>
      </c>
      <c r="B880" s="4" t="n">
        <v>300</v>
      </c>
      <c r="C880" s="4" t="n">
        <v>29</v>
      </c>
      <c r="D880" s="4" t="n">
        <v>8.772499999999999</v>
      </c>
      <c r="E880" s="5" t="n">
        <v>34.2</v>
      </c>
      <c r="F880" s="3" t="inlineStr">
        <is>
          <t>남이면</t>
        </is>
      </c>
      <c r="G880" s="3" t="inlineStr">
        <is>
          <t>가좌리</t>
        </is>
      </c>
      <c r="H880" s="3" t="inlineStr">
        <is>
          <t>-</t>
        </is>
      </c>
      <c r="I880" s="3" t="inlineStr">
        <is>
          <t>답</t>
        </is>
      </c>
      <c r="J880" s="3" t="inlineStr">
        <is>
          <t>남이면</t>
        </is>
      </c>
    </row>
    <row r="881">
      <c r="A881" s="3" t="n">
        <v>2022</v>
      </c>
      <c r="B881" s="4" t="n">
        <v>7480</v>
      </c>
      <c r="C881" s="4" t="n">
        <v>133</v>
      </c>
      <c r="D881" s="4" t="n">
        <v>40.2325</v>
      </c>
      <c r="E881" s="5" t="n">
        <v>185.9</v>
      </c>
      <c r="F881" s="3" t="inlineStr">
        <is>
          <t>남이면</t>
        </is>
      </c>
      <c r="G881" s="3" t="inlineStr">
        <is>
          <t>양촌리</t>
        </is>
      </c>
      <c r="H881" s="3" t="inlineStr">
        <is>
          <t>자연녹지지역</t>
        </is>
      </c>
      <c r="I881" s="3" t="inlineStr">
        <is>
          <t>대</t>
        </is>
      </c>
      <c r="J881" s="3" t="inlineStr">
        <is>
          <t>남이면</t>
        </is>
      </c>
    </row>
    <row r="882">
      <c r="A882" s="3" t="n">
        <v>2022</v>
      </c>
      <c r="B882" s="4" t="n">
        <v>5585</v>
      </c>
      <c r="C882" s="4" t="n">
        <v>218</v>
      </c>
      <c r="D882" s="4" t="n">
        <v>65.94499999999999</v>
      </c>
      <c r="E882" s="5" t="n">
        <v>84.7</v>
      </c>
      <c r="F882" s="3" t="inlineStr">
        <is>
          <t>남이면</t>
        </is>
      </c>
      <c r="G882" s="3" t="inlineStr">
        <is>
          <t>양촌리</t>
        </is>
      </c>
      <c r="H882" s="3" t="inlineStr">
        <is>
          <t>자연녹지지역</t>
        </is>
      </c>
      <c r="I882" s="3" t="inlineStr">
        <is>
          <t>임야</t>
        </is>
      </c>
      <c r="J882" s="3" t="inlineStr">
        <is>
          <t>남이면</t>
        </is>
      </c>
    </row>
    <row r="883">
      <c r="A883" s="3" t="n">
        <v>2022</v>
      </c>
      <c r="B883" s="4" t="n">
        <v>59000</v>
      </c>
      <c r="C883" s="4" t="n">
        <v>2965</v>
      </c>
      <c r="D883" s="4" t="n">
        <v>896.9125</v>
      </c>
      <c r="E883" s="5" t="n">
        <v>65.8</v>
      </c>
      <c r="F883" s="3" t="inlineStr">
        <is>
          <t>남이면</t>
        </is>
      </c>
      <c r="G883" s="3" t="inlineStr">
        <is>
          <t>대련리</t>
        </is>
      </c>
      <c r="H883" s="3" t="inlineStr">
        <is>
          <t>자연녹지지역</t>
        </is>
      </c>
      <c r="I883" s="3" t="inlineStr">
        <is>
          <t>답</t>
        </is>
      </c>
      <c r="J883" s="3" t="inlineStr">
        <is>
          <t>남이면</t>
        </is>
      </c>
    </row>
    <row r="884">
      <c r="A884" s="3" t="n">
        <v>2022</v>
      </c>
      <c r="B884" s="4" t="n">
        <v>11830</v>
      </c>
      <c r="C884" s="4" t="n">
        <v>301</v>
      </c>
      <c r="D884" s="4" t="n">
        <v>91.05249999999999</v>
      </c>
      <c r="E884" s="5" t="n">
        <v>129.9</v>
      </c>
      <c r="F884" s="3" t="inlineStr">
        <is>
          <t>연서면</t>
        </is>
      </c>
      <c r="G884" s="3" t="inlineStr">
        <is>
          <t>와촌리</t>
        </is>
      </c>
      <c r="H884" s="3" t="inlineStr">
        <is>
          <t>계획관리지역</t>
        </is>
      </c>
      <c r="I884" s="3" t="inlineStr">
        <is>
          <t>답</t>
        </is>
      </c>
      <c r="J884" s="3" t="inlineStr">
        <is>
          <t>연서면</t>
        </is>
      </c>
    </row>
    <row r="885">
      <c r="A885" s="3" t="n">
        <v>2022</v>
      </c>
      <c r="B885" s="4" t="n">
        <v>39000</v>
      </c>
      <c r="C885" s="4" t="n">
        <v>331</v>
      </c>
      <c r="D885" s="4" t="n">
        <v>100.1275</v>
      </c>
      <c r="E885" s="5" t="n">
        <v>389.5</v>
      </c>
      <c r="F885" s="3" t="inlineStr">
        <is>
          <t>연서면</t>
        </is>
      </c>
      <c r="G885" s="3" t="inlineStr">
        <is>
          <t>봉암리</t>
        </is>
      </c>
      <c r="H885" s="3" t="inlineStr">
        <is>
          <t>계획관리지역</t>
        </is>
      </c>
      <c r="I885" s="3" t="inlineStr">
        <is>
          <t>전</t>
        </is>
      </c>
      <c r="J885" s="3" t="inlineStr">
        <is>
          <t>연서면</t>
        </is>
      </c>
    </row>
    <row r="886">
      <c r="A886" s="3" t="n">
        <v>2022</v>
      </c>
      <c r="B886" s="4" t="n">
        <v>110000</v>
      </c>
      <c r="C886" s="4" t="n">
        <v>972</v>
      </c>
      <c r="D886" s="4" t="n">
        <v>294.03</v>
      </c>
      <c r="E886" s="5" t="n">
        <v>374.1</v>
      </c>
      <c r="F886" s="3" t="inlineStr">
        <is>
          <t>연서면</t>
        </is>
      </c>
      <c r="G886" s="3" t="inlineStr">
        <is>
          <t>봉암리</t>
        </is>
      </c>
      <c r="H886" s="3" t="inlineStr">
        <is>
          <t>계획관리지역</t>
        </is>
      </c>
      <c r="I886" s="3" t="inlineStr">
        <is>
          <t>답</t>
        </is>
      </c>
      <c r="J886" s="3" t="inlineStr">
        <is>
          <t>연서면</t>
        </is>
      </c>
    </row>
    <row r="887">
      <c r="A887" s="3" t="n">
        <v>2023</v>
      </c>
      <c r="B887" s="4" t="n">
        <v>71100</v>
      </c>
      <c r="C887" s="4" t="n">
        <v>9972</v>
      </c>
      <c r="D887" s="4" t="n">
        <v>3016.53</v>
      </c>
      <c r="E887" s="5" t="n">
        <v>23.6</v>
      </c>
      <c r="F887" s="3" t="inlineStr">
        <is>
          <t>부강면</t>
        </is>
      </c>
      <c r="G887" s="3" t="inlineStr">
        <is>
          <t>노호리</t>
        </is>
      </c>
      <c r="H887" s="3" t="inlineStr">
        <is>
          <t>보전관리지역</t>
        </is>
      </c>
      <c r="I887" s="3" t="inlineStr">
        <is>
          <t>임야</t>
        </is>
      </c>
      <c r="J887" s="3" t="inlineStr">
        <is>
          <t>부강면</t>
        </is>
      </c>
    </row>
    <row r="888">
      <c r="A888" s="3" t="n">
        <v>2023</v>
      </c>
      <c r="B888" s="4" t="n">
        <v>13950</v>
      </c>
      <c r="C888" s="4" t="n">
        <v>1957</v>
      </c>
      <c r="D888" s="4" t="n">
        <v>591.9924999999999</v>
      </c>
      <c r="E888" s="5" t="n">
        <v>23.6</v>
      </c>
      <c r="F888" s="3" t="inlineStr">
        <is>
          <t>부강면</t>
        </is>
      </c>
      <c r="G888" s="3" t="inlineStr">
        <is>
          <t>노호리</t>
        </is>
      </c>
      <c r="H888" s="3" t="inlineStr">
        <is>
          <t>보전관리지역</t>
        </is>
      </c>
      <c r="I888" s="3" t="inlineStr">
        <is>
          <t>임야</t>
        </is>
      </c>
      <c r="J888" s="3" t="inlineStr">
        <is>
          <t>부강면</t>
        </is>
      </c>
    </row>
    <row r="889">
      <c r="A889" s="3" t="n">
        <v>2023</v>
      </c>
      <c r="B889" s="4" t="n">
        <v>950</v>
      </c>
      <c r="C889" s="4" t="n">
        <v>133</v>
      </c>
      <c r="D889" s="4" t="n">
        <v>40.2325</v>
      </c>
      <c r="E889" s="5" t="n">
        <v>23.6</v>
      </c>
      <c r="F889" s="3" t="inlineStr">
        <is>
          <t>부강면</t>
        </is>
      </c>
      <c r="G889" s="3" t="inlineStr">
        <is>
          <t>노호리</t>
        </is>
      </c>
      <c r="H889" s="3" t="inlineStr">
        <is>
          <t>보전관리지역</t>
        </is>
      </c>
      <c r="I889" s="3" t="inlineStr">
        <is>
          <t>임야</t>
        </is>
      </c>
      <c r="J889" s="3" t="inlineStr">
        <is>
          <t>부강면</t>
        </is>
      </c>
    </row>
    <row r="890">
      <c r="A890" s="3" t="n">
        <v>2023</v>
      </c>
      <c r="B890" s="4" t="n">
        <v>18000</v>
      </c>
      <c r="C890" s="4" t="n">
        <v>1862</v>
      </c>
      <c r="D890" s="4" t="n">
        <v>563.255</v>
      </c>
      <c r="E890" s="5" t="n">
        <v>32</v>
      </c>
      <c r="F890" s="3" t="inlineStr">
        <is>
          <t>부강면</t>
        </is>
      </c>
      <c r="G890" s="3" t="inlineStr">
        <is>
          <t>노호리</t>
        </is>
      </c>
      <c r="H890" s="3" t="inlineStr">
        <is>
          <t>생산관리지역</t>
        </is>
      </c>
      <c r="I890" s="3" t="inlineStr">
        <is>
          <t>전</t>
        </is>
      </c>
      <c r="J890" s="3" t="inlineStr">
        <is>
          <t>부강면</t>
        </is>
      </c>
    </row>
    <row r="891">
      <c r="A891" s="3" t="n">
        <v>2023</v>
      </c>
      <c r="B891" s="4" t="n">
        <v>27680</v>
      </c>
      <c r="C891" s="4" t="n">
        <v>320</v>
      </c>
      <c r="D891" s="4" t="n">
        <v>96.8</v>
      </c>
      <c r="E891" s="5" t="n">
        <v>286</v>
      </c>
      <c r="F891" s="3" t="inlineStr">
        <is>
          <t>연동면</t>
        </is>
      </c>
      <c r="G891" s="3" t="inlineStr">
        <is>
          <t>내판리</t>
        </is>
      </c>
      <c r="H891" s="3" t="inlineStr">
        <is>
          <t>보전관리지역</t>
        </is>
      </c>
      <c r="I891" s="3" t="inlineStr">
        <is>
          <t>임야</t>
        </is>
      </c>
      <c r="J891" s="3" t="inlineStr">
        <is>
          <t>연동면</t>
        </is>
      </c>
    </row>
    <row r="892">
      <c r="A892" s="3" t="n">
        <v>2023</v>
      </c>
      <c r="B892" s="4" t="n">
        <v>31320</v>
      </c>
      <c r="C892" s="4" t="n">
        <v>362</v>
      </c>
      <c r="D892" s="4" t="n">
        <v>109.505</v>
      </c>
      <c r="E892" s="5" t="n">
        <v>286</v>
      </c>
      <c r="F892" s="3" t="inlineStr">
        <is>
          <t>연동면</t>
        </is>
      </c>
      <c r="G892" s="3" t="inlineStr">
        <is>
          <t>내판리</t>
        </is>
      </c>
      <c r="H892" s="3" t="inlineStr">
        <is>
          <t>보전관리지역</t>
        </is>
      </c>
      <c r="I892" s="3" t="inlineStr">
        <is>
          <t>임야</t>
        </is>
      </c>
      <c r="J892" s="3" t="inlineStr">
        <is>
          <t>연동면</t>
        </is>
      </c>
    </row>
    <row r="893">
      <c r="A893" s="3" t="n">
        <v>2022</v>
      </c>
      <c r="B893" s="4" t="n">
        <v>44167</v>
      </c>
      <c r="C893" s="4" t="n">
        <v>1248</v>
      </c>
      <c r="D893" s="4" t="n">
        <v>377.52</v>
      </c>
      <c r="E893" s="5" t="n">
        <v>117</v>
      </c>
      <c r="F893" s="3" t="inlineStr">
        <is>
          <t>남이면</t>
        </is>
      </c>
      <c r="G893" s="3" t="inlineStr">
        <is>
          <t>부용외천리</t>
        </is>
      </c>
      <c r="H893" s="3" t="inlineStr">
        <is>
          <t>계획관리지역</t>
        </is>
      </c>
      <c r="I893" s="3" t="inlineStr">
        <is>
          <t>전</t>
        </is>
      </c>
      <c r="J893" s="3" t="inlineStr">
        <is>
          <t>남이면</t>
        </is>
      </c>
    </row>
    <row r="894">
      <c r="A894" s="3" t="n">
        <v>2024</v>
      </c>
      <c r="B894" s="4" t="n">
        <v>13485</v>
      </c>
      <c r="C894" s="4" t="n">
        <v>537</v>
      </c>
      <c r="D894" s="4" t="n">
        <v>162.4425</v>
      </c>
      <c r="E894" s="5" t="n">
        <v>83</v>
      </c>
      <c r="F894" s="3" t="inlineStr">
        <is>
          <t>남이면</t>
        </is>
      </c>
      <c r="G894" s="3" t="inlineStr">
        <is>
          <t>팔봉리</t>
        </is>
      </c>
      <c r="H894" s="3" t="inlineStr">
        <is>
          <t>자연녹지지역</t>
        </is>
      </c>
      <c r="I894" s="3" t="inlineStr">
        <is>
          <t>목장용지</t>
        </is>
      </c>
      <c r="J894" s="3" t="inlineStr">
        <is>
          <t>남이면</t>
        </is>
      </c>
    </row>
    <row r="895">
      <c r="A895" s="3" t="n">
        <v>2024</v>
      </c>
      <c r="B895" s="4" t="n">
        <v>17400</v>
      </c>
      <c r="C895" s="4" t="n">
        <v>1040</v>
      </c>
      <c r="D895" s="4" t="n">
        <v>314.6</v>
      </c>
      <c r="E895" s="5" t="n">
        <v>55.3</v>
      </c>
      <c r="F895" s="3" t="inlineStr">
        <is>
          <t>남이면</t>
        </is>
      </c>
      <c r="G895" s="3" t="inlineStr">
        <is>
          <t>척북리</t>
        </is>
      </c>
      <c r="H895" s="3" t="inlineStr">
        <is>
          <t>농림지역</t>
        </is>
      </c>
      <c r="I895" s="3" t="inlineStr">
        <is>
          <t>답</t>
        </is>
      </c>
      <c r="J895" s="3" t="inlineStr">
        <is>
          <t>남이면</t>
        </is>
      </c>
    </row>
    <row r="896">
      <c r="A896" s="3" t="n">
        <v>2024</v>
      </c>
      <c r="B896" s="4" t="n">
        <v>59987</v>
      </c>
      <c r="C896" s="4" t="n">
        <v>4995</v>
      </c>
      <c r="D896" s="4" t="n">
        <v>1510.9875</v>
      </c>
      <c r="E896" s="5" t="n">
        <v>39.7</v>
      </c>
      <c r="F896" s="3" t="inlineStr">
        <is>
          <t>남이면</t>
        </is>
      </c>
      <c r="G896" s="3" t="inlineStr">
        <is>
          <t>가좌리</t>
        </is>
      </c>
      <c r="H896" s="3" t="inlineStr">
        <is>
          <t>보전녹지지역</t>
        </is>
      </c>
      <c r="I896" s="3" t="inlineStr">
        <is>
          <t>임야</t>
        </is>
      </c>
      <c r="J896" s="3" t="inlineStr">
        <is>
          <t>남이면</t>
        </is>
      </c>
    </row>
    <row r="897">
      <c r="A897" s="3" t="n">
        <v>2024</v>
      </c>
      <c r="B897" s="4" t="n">
        <v>42300</v>
      </c>
      <c r="C897" s="4" t="n">
        <v>2155</v>
      </c>
      <c r="D897" s="4" t="n">
        <v>651.8874999999999</v>
      </c>
      <c r="E897" s="5" t="n">
        <v>64.90000000000001</v>
      </c>
      <c r="F897" s="3" t="inlineStr">
        <is>
          <t>남이면</t>
        </is>
      </c>
      <c r="G897" s="3" t="inlineStr">
        <is>
          <t>대련리</t>
        </is>
      </c>
      <c r="H897" s="3" t="inlineStr">
        <is>
          <t>자연녹지지역</t>
        </is>
      </c>
      <c r="I897" s="3" t="inlineStr">
        <is>
          <t>전</t>
        </is>
      </c>
      <c r="J897" s="3" t="inlineStr">
        <is>
          <t>남이면</t>
        </is>
      </c>
    </row>
    <row r="898">
      <c r="A898" s="3" t="n">
        <v>2024</v>
      </c>
      <c r="B898" s="4" t="n">
        <v>9700</v>
      </c>
      <c r="C898" s="4" t="n">
        <v>381</v>
      </c>
      <c r="D898" s="4" t="n">
        <v>115.2525</v>
      </c>
      <c r="E898" s="5" t="n">
        <v>84.2</v>
      </c>
      <c r="F898" s="3" t="inlineStr">
        <is>
          <t>남이면</t>
        </is>
      </c>
      <c r="G898" s="3" t="inlineStr">
        <is>
          <t>수대리</t>
        </is>
      </c>
      <c r="H898" s="3" t="inlineStr">
        <is>
          <t>보전녹지지역</t>
        </is>
      </c>
      <c r="I898" s="3" t="inlineStr">
        <is>
          <t>임야</t>
        </is>
      </c>
      <c r="J898" s="3" t="inlineStr">
        <is>
          <t>남이면</t>
        </is>
      </c>
    </row>
    <row r="899">
      <c r="A899" s="3" t="n">
        <v>2024</v>
      </c>
      <c r="B899" s="4" t="n">
        <v>10800</v>
      </c>
      <c r="C899" s="4" t="n">
        <v>418</v>
      </c>
      <c r="D899" s="4" t="n">
        <v>126.445</v>
      </c>
      <c r="E899" s="5" t="n">
        <v>85.40000000000001</v>
      </c>
      <c r="F899" s="3" t="inlineStr">
        <is>
          <t>남이면</t>
        </is>
      </c>
      <c r="G899" s="3" t="inlineStr">
        <is>
          <t>수대리</t>
        </is>
      </c>
      <c r="H899" s="3" t="inlineStr">
        <is>
          <t>보전녹지지역</t>
        </is>
      </c>
      <c r="I899" s="3" t="inlineStr">
        <is>
          <t>임야</t>
        </is>
      </c>
      <c r="J899" s="3" t="inlineStr">
        <is>
          <t>남이면</t>
        </is>
      </c>
    </row>
    <row r="900">
      <c r="A900" s="3" t="n">
        <v>2024</v>
      </c>
      <c r="B900" s="4" t="n">
        <v>39500</v>
      </c>
      <c r="C900" s="4" t="n">
        <v>271.8</v>
      </c>
      <c r="D900" s="4" t="n">
        <v>82.2195</v>
      </c>
      <c r="E900" s="5" t="n">
        <v>480.4</v>
      </c>
      <c r="F900" s="3" t="inlineStr">
        <is>
          <t>다정동</t>
        </is>
      </c>
      <c r="G900" s="3" t="inlineStr"/>
      <c r="H900" s="3" t="inlineStr">
        <is>
          <t>제1종전용주거지역</t>
        </is>
      </c>
      <c r="I900" s="3" t="inlineStr">
        <is>
          <t>대</t>
        </is>
      </c>
      <c r="J900" s="3" t="inlineStr">
        <is>
          <t>다정동</t>
        </is>
      </c>
    </row>
    <row r="901">
      <c r="A901" s="3" t="n">
        <v>2024</v>
      </c>
      <c r="B901" s="4" t="n">
        <v>7000</v>
      </c>
      <c r="C901" s="4" t="n">
        <v>331</v>
      </c>
      <c r="D901" s="4" t="n">
        <v>100.1275</v>
      </c>
      <c r="E901" s="5" t="n">
        <v>69.90000000000001</v>
      </c>
      <c r="F901" s="3" t="inlineStr">
        <is>
          <t>연서면</t>
        </is>
      </c>
      <c r="G901" s="3" t="inlineStr">
        <is>
          <t>쌍류리</t>
        </is>
      </c>
      <c r="H901" s="3" t="inlineStr">
        <is>
          <t>생산관리지역</t>
        </is>
      </c>
      <c r="I901" s="3" t="inlineStr">
        <is>
          <t>답</t>
        </is>
      </c>
      <c r="J901" s="3" t="inlineStr">
        <is>
          <t>연서면</t>
        </is>
      </c>
    </row>
    <row r="902">
      <c r="A902" s="3" t="n">
        <v>2024</v>
      </c>
      <c r="B902" s="4" t="n">
        <v>13800</v>
      </c>
      <c r="C902" s="4" t="n">
        <v>92</v>
      </c>
      <c r="D902" s="4" t="n">
        <v>27.83</v>
      </c>
      <c r="E902" s="5" t="n">
        <v>495.9</v>
      </c>
      <c r="F902" s="3" t="inlineStr">
        <is>
          <t>조치원읍</t>
        </is>
      </c>
      <c r="G902" s="3" t="inlineStr">
        <is>
          <t>침산리</t>
        </is>
      </c>
      <c r="H902" s="3" t="inlineStr">
        <is>
          <t>제2종일반주거지역</t>
        </is>
      </c>
      <c r="I902" s="3" t="inlineStr">
        <is>
          <t>대</t>
        </is>
      </c>
      <c r="J902" s="3" t="inlineStr">
        <is>
          <t>조치원읍</t>
        </is>
      </c>
    </row>
    <row r="903">
      <c r="A903" s="3" t="n">
        <v>2024</v>
      </c>
      <c r="B903" s="4" t="n">
        <v>30000</v>
      </c>
      <c r="C903" s="4" t="n">
        <v>277.5</v>
      </c>
      <c r="D903" s="4" t="n">
        <v>83.94374999999999</v>
      </c>
      <c r="E903" s="5" t="n">
        <v>357.4</v>
      </c>
      <c r="F903" s="3" t="inlineStr">
        <is>
          <t>한솔동</t>
        </is>
      </c>
      <c r="G903" s="3" t="inlineStr"/>
      <c r="H903" s="3" t="inlineStr">
        <is>
          <t>제1종전용주거지역</t>
        </is>
      </c>
      <c r="I903" s="3" t="inlineStr">
        <is>
          <t>대</t>
        </is>
      </c>
      <c r="J903" s="3" t="inlineStr">
        <is>
          <t>한솔동</t>
        </is>
      </c>
    </row>
    <row r="904">
      <c r="A904" s="3" t="n">
        <v>2024</v>
      </c>
      <c r="B904" s="4" t="n">
        <v>8000</v>
      </c>
      <c r="C904" s="4" t="n">
        <v>76</v>
      </c>
      <c r="D904" s="4" t="n">
        <v>22.99</v>
      </c>
      <c r="E904" s="5" t="n">
        <v>348</v>
      </c>
      <c r="F904" s="3" t="inlineStr">
        <is>
          <t>조치원읍</t>
        </is>
      </c>
      <c r="G904" s="3" t="inlineStr">
        <is>
          <t>신안리</t>
        </is>
      </c>
      <c r="H904" s="3" t="inlineStr">
        <is>
          <t>제2종일반주거지역</t>
        </is>
      </c>
      <c r="I904" s="3" t="inlineStr">
        <is>
          <t>전</t>
        </is>
      </c>
      <c r="J904" s="3" t="inlineStr">
        <is>
          <t>조치원읍</t>
        </is>
      </c>
    </row>
    <row r="905">
      <c r="A905" s="3" t="n">
        <v>2024</v>
      </c>
      <c r="B905" s="4" t="n">
        <v>37000</v>
      </c>
      <c r="C905" s="4" t="n">
        <v>928</v>
      </c>
      <c r="D905" s="4" t="n">
        <v>280.72</v>
      </c>
      <c r="E905" s="5" t="n">
        <v>131.8</v>
      </c>
      <c r="F905" s="3" t="inlineStr">
        <is>
          <t>연동면</t>
        </is>
      </c>
      <c r="G905" s="3" t="inlineStr">
        <is>
          <t>송용리</t>
        </is>
      </c>
      <c r="H905" s="3" t="inlineStr">
        <is>
          <t>농림지역</t>
        </is>
      </c>
      <c r="I905" s="3" t="inlineStr">
        <is>
          <t>전</t>
        </is>
      </c>
      <c r="J905" s="3" t="inlineStr">
        <is>
          <t>연동면</t>
        </is>
      </c>
    </row>
    <row r="906">
      <c r="A906" s="3" t="n">
        <v>2024</v>
      </c>
      <c r="B906" s="4" t="n">
        <v>30000</v>
      </c>
      <c r="C906" s="4" t="n">
        <v>344</v>
      </c>
      <c r="D906" s="4" t="n">
        <v>104.06</v>
      </c>
      <c r="E906" s="5" t="n">
        <v>288.3</v>
      </c>
      <c r="F906" s="3" t="inlineStr">
        <is>
          <t>조치원읍</t>
        </is>
      </c>
      <c r="G906" s="3" t="inlineStr">
        <is>
          <t>신안리</t>
        </is>
      </c>
      <c r="H906" s="3" t="inlineStr">
        <is>
          <t>제1종일반주거지역</t>
        </is>
      </c>
      <c r="I906" s="3" t="inlineStr">
        <is>
          <t>대</t>
        </is>
      </c>
      <c r="J906" s="3" t="inlineStr">
        <is>
          <t>조치원읍</t>
        </is>
      </c>
    </row>
    <row r="907">
      <c r="A907" s="3" t="n">
        <v>2024</v>
      </c>
      <c r="B907" s="4" t="n">
        <v>30000</v>
      </c>
      <c r="C907" s="4" t="n">
        <v>344</v>
      </c>
      <c r="D907" s="4" t="n">
        <v>104.06</v>
      </c>
      <c r="E907" s="5" t="n">
        <v>288.3</v>
      </c>
      <c r="F907" s="3" t="inlineStr">
        <is>
          <t>조치원읍</t>
        </is>
      </c>
      <c r="G907" s="3" t="inlineStr">
        <is>
          <t>신안리</t>
        </is>
      </c>
      <c r="H907" s="3" t="inlineStr">
        <is>
          <t>제1종일반주거지역</t>
        </is>
      </c>
      <c r="I907" s="3" t="inlineStr">
        <is>
          <t>대</t>
        </is>
      </c>
      <c r="J907" s="3" t="inlineStr">
        <is>
          <t>조치원읍</t>
        </is>
      </c>
    </row>
    <row r="908">
      <c r="A908" s="3" t="n">
        <v>2024</v>
      </c>
      <c r="B908" s="4" t="n">
        <v>25000</v>
      </c>
      <c r="C908" s="4" t="n">
        <v>384</v>
      </c>
      <c r="D908" s="4" t="n">
        <v>116.16</v>
      </c>
      <c r="E908" s="5" t="n">
        <v>215.2</v>
      </c>
      <c r="F908" s="3" t="inlineStr">
        <is>
          <t>조치원읍</t>
        </is>
      </c>
      <c r="G908" s="3" t="inlineStr">
        <is>
          <t>신안리</t>
        </is>
      </c>
      <c r="H908" s="3" t="inlineStr">
        <is>
          <t>제1종일반주거지역</t>
        </is>
      </c>
      <c r="I908" s="3" t="inlineStr">
        <is>
          <t>대</t>
        </is>
      </c>
      <c r="J908" s="3" t="inlineStr">
        <is>
          <t>조치원읍</t>
        </is>
      </c>
    </row>
    <row r="909">
      <c r="A909" s="3" t="n">
        <v>2024</v>
      </c>
      <c r="B909" s="4" t="n">
        <v>5000</v>
      </c>
      <c r="C909" s="4" t="n">
        <v>50</v>
      </c>
      <c r="D909" s="4" t="n">
        <v>15.125</v>
      </c>
      <c r="E909" s="5" t="n">
        <v>330.6</v>
      </c>
      <c r="F909" s="3" t="inlineStr">
        <is>
          <t>조치원읍</t>
        </is>
      </c>
      <c r="G909" s="3" t="inlineStr">
        <is>
          <t>신안리</t>
        </is>
      </c>
      <c r="H909" s="3" t="inlineStr">
        <is>
          <t>제1종일반주거지역</t>
        </is>
      </c>
      <c r="I909" s="3" t="inlineStr">
        <is>
          <t>대</t>
        </is>
      </c>
      <c r="J909" s="3" t="inlineStr">
        <is>
          <t>조치원읍</t>
        </is>
      </c>
    </row>
    <row r="910">
      <c r="A910" s="3" t="n">
        <v>2024</v>
      </c>
      <c r="B910" s="4" t="n">
        <v>50729</v>
      </c>
      <c r="C910" s="4" t="n">
        <v>559</v>
      </c>
      <c r="D910" s="4" t="n">
        <v>169.0975</v>
      </c>
      <c r="E910" s="5" t="n">
        <v>300</v>
      </c>
      <c r="F910" s="3" t="inlineStr">
        <is>
          <t>연서면</t>
        </is>
      </c>
      <c r="G910" s="3" t="inlineStr">
        <is>
          <t>신대리</t>
        </is>
      </c>
      <c r="H910" s="3" t="inlineStr">
        <is>
          <t>계획관리지역</t>
        </is>
      </c>
      <c r="I910" s="3" t="inlineStr">
        <is>
          <t>대</t>
        </is>
      </c>
      <c r="J910" s="3" t="inlineStr">
        <is>
          <t>연서면</t>
        </is>
      </c>
    </row>
    <row r="911">
      <c r="A911" s="3" t="n">
        <v>2024</v>
      </c>
      <c r="B911" s="4" t="n">
        <v>49096</v>
      </c>
      <c r="C911" s="4" t="n">
        <v>541</v>
      </c>
      <c r="D911" s="4" t="n">
        <v>163.6525</v>
      </c>
      <c r="E911" s="5" t="n">
        <v>300</v>
      </c>
      <c r="F911" s="3" t="inlineStr">
        <is>
          <t>연서면</t>
        </is>
      </c>
      <c r="G911" s="3" t="inlineStr">
        <is>
          <t>신대리</t>
        </is>
      </c>
      <c r="H911" s="3" t="inlineStr">
        <is>
          <t>계획관리지역</t>
        </is>
      </c>
      <c r="I911" s="3" t="inlineStr">
        <is>
          <t>대</t>
        </is>
      </c>
      <c r="J911" s="3" t="inlineStr">
        <is>
          <t>연서면</t>
        </is>
      </c>
    </row>
    <row r="912">
      <c r="A912" s="3" t="n">
        <v>2023</v>
      </c>
      <c r="B912" s="4" t="n">
        <v>7220</v>
      </c>
      <c r="C912" s="4" t="n">
        <v>147</v>
      </c>
      <c r="D912" s="4" t="n">
        <v>44.4675</v>
      </c>
      <c r="E912" s="5" t="n">
        <v>162.4</v>
      </c>
      <c r="F912" s="3" t="inlineStr">
        <is>
          <t>오송읍</t>
        </is>
      </c>
      <c r="G912" s="3" t="inlineStr">
        <is>
          <t>연제리</t>
        </is>
      </c>
      <c r="H912" s="3" t="inlineStr">
        <is>
          <t>계획관리지역</t>
        </is>
      </c>
      <c r="I912" s="3" t="inlineStr">
        <is>
          <t>답</t>
        </is>
      </c>
      <c r="J912" s="3" t="inlineStr">
        <is>
          <t>오송읍</t>
        </is>
      </c>
    </row>
    <row r="913">
      <c r="A913" s="3" t="n">
        <v>2023</v>
      </c>
      <c r="B913" s="4" t="n">
        <v>19100</v>
      </c>
      <c r="C913" s="4" t="n">
        <v>521</v>
      </c>
      <c r="D913" s="4" t="n">
        <v>157.6025</v>
      </c>
      <c r="E913" s="5" t="n">
        <v>121.2</v>
      </c>
      <c r="F913" s="3" t="inlineStr">
        <is>
          <t>오송읍</t>
        </is>
      </c>
      <c r="G913" s="3" t="inlineStr">
        <is>
          <t>상봉리</t>
        </is>
      </c>
      <c r="H913" s="3" t="inlineStr">
        <is>
          <t>생산관리지역</t>
        </is>
      </c>
      <c r="I913" s="3" t="inlineStr">
        <is>
          <t>전</t>
        </is>
      </c>
      <c r="J913" s="3" t="inlineStr">
        <is>
          <t>오송읍</t>
        </is>
      </c>
    </row>
    <row r="914">
      <c r="A914" s="3" t="n">
        <v>2023</v>
      </c>
      <c r="B914" s="4" t="n">
        <v>1900</v>
      </c>
      <c r="C914" s="4" t="n">
        <v>126</v>
      </c>
      <c r="D914" s="4" t="n">
        <v>38.115</v>
      </c>
      <c r="E914" s="5" t="n">
        <v>49.8</v>
      </c>
      <c r="F914" s="3" t="inlineStr">
        <is>
          <t>오송읍</t>
        </is>
      </c>
      <c r="G914" s="3" t="inlineStr">
        <is>
          <t>상봉리</t>
        </is>
      </c>
      <c r="H914" s="3" t="inlineStr">
        <is>
          <t>생산관리지역</t>
        </is>
      </c>
      <c r="I914" s="3" t="inlineStr">
        <is>
          <t>도로</t>
        </is>
      </c>
      <c r="J914" s="3" t="inlineStr">
        <is>
          <t>오송읍</t>
        </is>
      </c>
    </row>
    <row r="915">
      <c r="A915" s="3" t="n">
        <v>2023</v>
      </c>
      <c r="B915" s="4" t="n">
        <v>53207</v>
      </c>
      <c r="C915" s="4" t="n">
        <v>2388.1</v>
      </c>
      <c r="D915" s="4" t="n">
        <v>722.4002499999999</v>
      </c>
      <c r="E915" s="5" t="n">
        <v>73.7</v>
      </c>
      <c r="F915" s="3" t="inlineStr">
        <is>
          <t>오송읍</t>
        </is>
      </c>
      <c r="G915" s="3" t="inlineStr">
        <is>
          <t>연제리</t>
        </is>
      </c>
      <c r="H915" s="3" t="inlineStr">
        <is>
          <t>준공업지역</t>
        </is>
      </c>
      <c r="I915" s="3" t="inlineStr">
        <is>
          <t>대</t>
        </is>
      </c>
      <c r="J915" s="3" t="inlineStr">
        <is>
          <t>오송읍</t>
        </is>
      </c>
    </row>
    <row r="916">
      <c r="A916" s="3" t="n">
        <v>2023</v>
      </c>
      <c r="B916" s="4" t="n">
        <v>2000</v>
      </c>
      <c r="C916" s="4" t="n">
        <v>203.2</v>
      </c>
      <c r="D916" s="4" t="n">
        <v>61.468</v>
      </c>
      <c r="E916" s="5" t="n">
        <v>32.5</v>
      </c>
      <c r="F916" s="3" t="inlineStr">
        <is>
          <t>강내면</t>
        </is>
      </c>
      <c r="G916" s="3" t="inlineStr">
        <is>
          <t>사곡리</t>
        </is>
      </c>
      <c r="H916" s="3" t="inlineStr">
        <is>
          <t>보전관리지역</t>
        </is>
      </c>
      <c r="I916" s="3" t="inlineStr">
        <is>
          <t>도로</t>
        </is>
      </c>
      <c r="J916" s="3" t="inlineStr">
        <is>
          <t>강내면</t>
        </is>
      </c>
    </row>
    <row r="917">
      <c r="A917" s="3" t="n">
        <v>2023</v>
      </c>
      <c r="B917" s="4" t="n">
        <v>500</v>
      </c>
      <c r="C917" s="4" t="n">
        <v>165</v>
      </c>
      <c r="D917" s="4" t="n">
        <v>49.9125</v>
      </c>
      <c r="E917" s="5" t="n">
        <v>10</v>
      </c>
      <c r="F917" s="3" t="inlineStr">
        <is>
          <t>강내면</t>
        </is>
      </c>
      <c r="G917" s="3" t="inlineStr">
        <is>
          <t>사곡리</t>
        </is>
      </c>
      <c r="H917" s="3" t="inlineStr">
        <is>
          <t>보전관리지역</t>
        </is>
      </c>
      <c r="I917" s="3" t="inlineStr">
        <is>
          <t>도로</t>
        </is>
      </c>
      <c r="J917" s="3" t="inlineStr">
        <is>
          <t>강내면</t>
        </is>
      </c>
    </row>
    <row r="918">
      <c r="A918" s="3" t="n">
        <v>2024</v>
      </c>
      <c r="B918" s="4" t="n">
        <v>7804</v>
      </c>
      <c r="C918" s="4" t="n">
        <v>737</v>
      </c>
      <c r="D918" s="4" t="n">
        <v>222.9425</v>
      </c>
      <c r="E918" s="5" t="n">
        <v>35</v>
      </c>
      <c r="F918" s="3" t="inlineStr">
        <is>
          <t>강내면</t>
        </is>
      </c>
      <c r="G918" s="3" t="inlineStr">
        <is>
          <t>사인리</t>
        </is>
      </c>
      <c r="H918" s="3" t="inlineStr">
        <is>
          <t>생산녹지지역</t>
        </is>
      </c>
      <c r="I918" s="3" t="inlineStr">
        <is>
          <t>답</t>
        </is>
      </c>
      <c r="J918" s="3" t="inlineStr">
        <is>
          <t>강내면</t>
        </is>
      </c>
    </row>
    <row r="919">
      <c r="A919" s="3" t="n">
        <v>2024</v>
      </c>
      <c r="B919" s="4" t="n">
        <v>3674</v>
      </c>
      <c r="C919" s="4" t="n">
        <v>347</v>
      </c>
      <c r="D919" s="4" t="n">
        <v>104.9675</v>
      </c>
      <c r="E919" s="5" t="n">
        <v>35</v>
      </c>
      <c r="F919" s="3" t="inlineStr">
        <is>
          <t>강내면</t>
        </is>
      </c>
      <c r="G919" s="3" t="inlineStr">
        <is>
          <t>사인리</t>
        </is>
      </c>
      <c r="H919" s="3" t="inlineStr">
        <is>
          <t>생산녹지지역</t>
        </is>
      </c>
      <c r="I919" s="3" t="inlineStr">
        <is>
          <t>답</t>
        </is>
      </c>
      <c r="J919" s="3" t="inlineStr">
        <is>
          <t>강내면</t>
        </is>
      </c>
    </row>
    <row r="920">
      <c r="A920" s="3" t="n">
        <v>2024</v>
      </c>
      <c r="B920" s="4" t="n">
        <v>18762</v>
      </c>
      <c r="C920" s="4" t="n">
        <v>1772</v>
      </c>
      <c r="D920" s="4" t="n">
        <v>536.03</v>
      </c>
      <c r="E920" s="5" t="n">
        <v>35</v>
      </c>
      <c r="F920" s="3" t="inlineStr">
        <is>
          <t>강내면</t>
        </is>
      </c>
      <c r="G920" s="3" t="inlineStr">
        <is>
          <t>석화리</t>
        </is>
      </c>
      <c r="H920" s="3" t="inlineStr">
        <is>
          <t>생산녹지지역</t>
        </is>
      </c>
      <c r="I920" s="3" t="inlineStr">
        <is>
          <t>답</t>
        </is>
      </c>
      <c r="J920" s="3" t="inlineStr">
        <is>
          <t>강내면</t>
        </is>
      </c>
    </row>
    <row r="921">
      <c r="A921" s="3" t="n">
        <v>2024</v>
      </c>
      <c r="B921" s="4" t="n">
        <v>2000</v>
      </c>
      <c r="C921" s="4" t="n">
        <v>133</v>
      </c>
      <c r="D921" s="4" t="n">
        <v>40.2325</v>
      </c>
      <c r="E921" s="5" t="n">
        <v>49.7</v>
      </c>
      <c r="F921" s="3" t="inlineStr">
        <is>
          <t>강내면</t>
        </is>
      </c>
      <c r="G921" s="3" t="inlineStr">
        <is>
          <t>다락리</t>
        </is>
      </c>
      <c r="H921" s="3" t="inlineStr">
        <is>
          <t>농림지역</t>
        </is>
      </c>
      <c r="I921" s="3" t="inlineStr">
        <is>
          <t>답</t>
        </is>
      </c>
      <c r="J921" s="3" t="inlineStr">
        <is>
          <t>강내면</t>
        </is>
      </c>
    </row>
    <row r="922">
      <c r="A922" s="3" t="n">
        <v>2024</v>
      </c>
      <c r="B922" s="4" t="n">
        <v>36200</v>
      </c>
      <c r="C922" s="4" t="n">
        <v>517</v>
      </c>
      <c r="D922" s="4" t="n">
        <v>156.3925</v>
      </c>
      <c r="E922" s="5" t="n">
        <v>231.5</v>
      </c>
      <c r="F922" s="3" t="inlineStr">
        <is>
          <t>오송읍</t>
        </is>
      </c>
      <c r="G922" s="3" t="inlineStr">
        <is>
          <t>궁평리</t>
        </is>
      </c>
      <c r="H922" s="3" t="inlineStr">
        <is>
          <t>일반상업지역</t>
        </is>
      </c>
      <c r="I922" s="3" t="inlineStr">
        <is>
          <t>대</t>
        </is>
      </c>
      <c r="J922" s="3" t="inlineStr">
        <is>
          <t>오송읍</t>
        </is>
      </c>
    </row>
    <row r="923">
      <c r="A923" s="3" t="n">
        <v>2024</v>
      </c>
      <c r="B923" s="4" t="n">
        <v>50000</v>
      </c>
      <c r="C923" s="4" t="n">
        <v>3509</v>
      </c>
      <c r="D923" s="4" t="n">
        <v>1061.4725</v>
      </c>
      <c r="E923" s="5" t="n">
        <v>47.1</v>
      </c>
      <c r="F923" s="3" t="inlineStr">
        <is>
          <t>오송읍</t>
        </is>
      </c>
      <c r="G923" s="3" t="inlineStr">
        <is>
          <t>상정리</t>
        </is>
      </c>
      <c r="H923" s="3" t="inlineStr">
        <is>
          <t>농림지역</t>
        </is>
      </c>
      <c r="I923" s="3" t="inlineStr">
        <is>
          <t>답</t>
        </is>
      </c>
      <c r="J923" s="3" t="inlineStr">
        <is>
          <t>오송읍</t>
        </is>
      </c>
    </row>
    <row r="924">
      <c r="A924" s="3" t="n">
        <v>2024</v>
      </c>
      <c r="B924" s="4" t="n">
        <v>25000</v>
      </c>
      <c r="C924" s="4" t="n">
        <v>1447</v>
      </c>
      <c r="D924" s="4" t="n">
        <v>437.7175</v>
      </c>
      <c r="E924" s="5" t="n">
        <v>57.1</v>
      </c>
      <c r="F924" s="3" t="inlineStr">
        <is>
          <t>강내면</t>
        </is>
      </c>
      <c r="G924" s="3" t="inlineStr">
        <is>
          <t>사곡리</t>
        </is>
      </c>
      <c r="H924" s="3" t="inlineStr">
        <is>
          <t>계획관리지역</t>
        </is>
      </c>
      <c r="I924" s="3" t="inlineStr">
        <is>
          <t>답</t>
        </is>
      </c>
      <c r="J924" s="3" t="inlineStr">
        <is>
          <t>강내면</t>
        </is>
      </c>
    </row>
    <row r="925">
      <c r="A925" s="3" t="n">
        <v>2024</v>
      </c>
      <c r="B925" s="4" t="n">
        <v>36200</v>
      </c>
      <c r="C925" s="4" t="n">
        <v>1555</v>
      </c>
      <c r="D925" s="4" t="n">
        <v>470.3875</v>
      </c>
      <c r="E925" s="5" t="n">
        <v>77</v>
      </c>
      <c r="F925" s="3" t="inlineStr">
        <is>
          <t>강내면</t>
        </is>
      </c>
      <c r="G925" s="3" t="inlineStr">
        <is>
          <t>당곡리</t>
        </is>
      </c>
      <c r="H925" s="3" t="inlineStr">
        <is>
          <t>계획관리지역</t>
        </is>
      </c>
      <c r="I925" s="3" t="inlineStr">
        <is>
          <t>전</t>
        </is>
      </c>
      <c r="J925" s="3" t="inlineStr">
        <is>
          <t>강내면</t>
        </is>
      </c>
    </row>
    <row r="926">
      <c r="A926" s="3" t="n">
        <v>2024</v>
      </c>
      <c r="B926" s="4" t="n">
        <v>95000</v>
      </c>
      <c r="C926" s="4" t="n">
        <v>2668</v>
      </c>
      <c r="D926" s="4" t="n">
        <v>807.0699999999999</v>
      </c>
      <c r="E926" s="5" t="n">
        <v>117.7</v>
      </c>
      <c r="F926" s="3" t="inlineStr">
        <is>
          <t>오송읍</t>
        </is>
      </c>
      <c r="G926" s="3" t="inlineStr">
        <is>
          <t>오송리</t>
        </is>
      </c>
      <c r="H926" s="3" t="inlineStr">
        <is>
          <t>제1종일반주거지역</t>
        </is>
      </c>
      <c r="I926" s="3" t="inlineStr">
        <is>
          <t>과수원</t>
        </is>
      </c>
      <c r="J926" s="3" t="inlineStr">
        <is>
          <t>오송읍</t>
        </is>
      </c>
    </row>
    <row r="927">
      <c r="A927" s="3" t="n">
        <v>2024</v>
      </c>
      <c r="B927" s="4" t="n">
        <v>10565</v>
      </c>
      <c r="C927" s="4" t="n">
        <v>635</v>
      </c>
      <c r="D927" s="4" t="n">
        <v>192.0875</v>
      </c>
      <c r="E927" s="5" t="n">
        <v>55</v>
      </c>
      <c r="F927" s="3" t="inlineStr">
        <is>
          <t>강내면</t>
        </is>
      </c>
      <c r="G927" s="3" t="inlineStr">
        <is>
          <t>사곡리</t>
        </is>
      </c>
      <c r="H927" s="3" t="inlineStr">
        <is>
          <t>농림지역</t>
        </is>
      </c>
      <c r="I927" s="3" t="inlineStr">
        <is>
          <t>전</t>
        </is>
      </c>
      <c r="J927" s="3" t="inlineStr">
        <is>
          <t>강내면</t>
        </is>
      </c>
    </row>
    <row r="928">
      <c r="A928" s="3" t="n">
        <v>2024</v>
      </c>
      <c r="B928" s="4" t="n">
        <v>18585</v>
      </c>
      <c r="C928" s="4" t="n">
        <v>1117</v>
      </c>
      <c r="D928" s="4" t="n">
        <v>337.8925</v>
      </c>
      <c r="E928" s="5" t="n">
        <v>55</v>
      </c>
      <c r="F928" s="3" t="inlineStr">
        <is>
          <t>강내면</t>
        </is>
      </c>
      <c r="G928" s="3" t="inlineStr">
        <is>
          <t>사곡리</t>
        </is>
      </c>
      <c r="H928" s="3" t="inlineStr">
        <is>
          <t>농림지역</t>
        </is>
      </c>
      <c r="I928" s="3" t="inlineStr">
        <is>
          <t>답</t>
        </is>
      </c>
      <c r="J928" s="3" t="inlineStr">
        <is>
          <t>강내면</t>
        </is>
      </c>
    </row>
    <row r="929">
      <c r="A929" s="3" t="n">
        <v>2023</v>
      </c>
      <c r="B929" s="4" t="n">
        <v>6700</v>
      </c>
      <c r="C929" s="4" t="n">
        <v>711</v>
      </c>
      <c r="D929" s="4" t="n">
        <v>215.0775</v>
      </c>
      <c r="E929" s="5" t="n">
        <v>31.2</v>
      </c>
      <c r="F929" s="3" t="inlineStr">
        <is>
          <t>남이면</t>
        </is>
      </c>
      <c r="G929" s="3" t="inlineStr">
        <is>
          <t>팔봉리</t>
        </is>
      </c>
      <c r="H929" s="3" t="inlineStr">
        <is>
          <t>보전녹지지역</t>
        </is>
      </c>
      <c r="I929" s="3" t="inlineStr">
        <is>
          <t>전</t>
        </is>
      </c>
      <c r="J929" s="3" t="inlineStr">
        <is>
          <t>남이면</t>
        </is>
      </c>
    </row>
    <row r="930">
      <c r="A930" s="3" t="n">
        <v>2023</v>
      </c>
      <c r="B930" s="4" t="n">
        <v>31000</v>
      </c>
      <c r="C930" s="4" t="n">
        <v>960</v>
      </c>
      <c r="D930" s="4" t="n">
        <v>290.4</v>
      </c>
      <c r="E930" s="5" t="n">
        <v>106.7</v>
      </c>
      <c r="F930" s="3" t="inlineStr">
        <is>
          <t>남이면</t>
        </is>
      </c>
      <c r="G930" s="3" t="inlineStr">
        <is>
          <t>구암리</t>
        </is>
      </c>
      <c r="H930" s="3" t="inlineStr">
        <is>
          <t>자연녹지지역</t>
        </is>
      </c>
      <c r="I930" s="3" t="inlineStr">
        <is>
          <t>전</t>
        </is>
      </c>
      <c r="J930" s="3" t="inlineStr">
        <is>
          <t>남이면</t>
        </is>
      </c>
    </row>
    <row r="931">
      <c r="A931" s="3" t="n">
        <v>2023</v>
      </c>
      <c r="B931" s="4" t="n">
        <v>8000</v>
      </c>
      <c r="C931" s="4" t="n">
        <v>537</v>
      </c>
      <c r="D931" s="4" t="n">
        <v>162.4425</v>
      </c>
      <c r="E931" s="5" t="n">
        <v>49.2</v>
      </c>
      <c r="F931" s="3" t="inlineStr">
        <is>
          <t>남이면</t>
        </is>
      </c>
      <c r="G931" s="3" t="inlineStr">
        <is>
          <t>구미리</t>
        </is>
      </c>
      <c r="H931" s="3" t="inlineStr">
        <is>
          <t>농림지역</t>
        </is>
      </c>
      <c r="I931" s="3" t="inlineStr">
        <is>
          <t>임야</t>
        </is>
      </c>
      <c r="J931" s="3" t="inlineStr">
        <is>
          <t>남이면</t>
        </is>
      </c>
    </row>
    <row r="932">
      <c r="A932" s="3" t="n">
        <v>2023</v>
      </c>
      <c r="B932" s="4" t="n">
        <v>80093</v>
      </c>
      <c r="C932" s="4" t="n">
        <v>9127</v>
      </c>
      <c r="D932" s="4" t="n">
        <v>2760.9175</v>
      </c>
      <c r="E932" s="5" t="n">
        <v>29</v>
      </c>
      <c r="F932" s="3" t="inlineStr">
        <is>
          <t>남이면</t>
        </is>
      </c>
      <c r="G932" s="3" t="inlineStr">
        <is>
          <t>구미리</t>
        </is>
      </c>
      <c r="H932" s="3" t="inlineStr">
        <is>
          <t>계획관리지역</t>
        </is>
      </c>
      <c r="I932" s="3" t="inlineStr">
        <is>
          <t>임야</t>
        </is>
      </c>
      <c r="J932" s="3" t="inlineStr">
        <is>
          <t>남이면</t>
        </is>
      </c>
    </row>
    <row r="933">
      <c r="A933" s="3" t="n">
        <v>2023</v>
      </c>
      <c r="B933" s="4" t="n">
        <v>27300</v>
      </c>
      <c r="C933" s="4" t="n">
        <v>696</v>
      </c>
      <c r="D933" s="4" t="n">
        <v>210.54</v>
      </c>
      <c r="E933" s="5" t="n">
        <v>129.7</v>
      </c>
      <c r="F933" s="3" t="inlineStr">
        <is>
          <t>남이면</t>
        </is>
      </c>
      <c r="G933" s="3" t="inlineStr">
        <is>
          <t>양촌리</t>
        </is>
      </c>
      <c r="H933" s="3" t="inlineStr">
        <is>
          <t>자연녹지지역</t>
        </is>
      </c>
      <c r="I933" s="3" t="inlineStr">
        <is>
          <t>임야</t>
        </is>
      </c>
      <c r="J933" s="3" t="inlineStr">
        <is>
          <t>남이면</t>
        </is>
      </c>
    </row>
    <row r="934">
      <c r="A934" s="3" t="n">
        <v>2022</v>
      </c>
      <c r="B934" s="4" t="n">
        <v>40000</v>
      </c>
      <c r="C934" s="4" t="n">
        <v>1078</v>
      </c>
      <c r="D934" s="4" t="n">
        <v>326.095</v>
      </c>
      <c r="E934" s="5" t="n">
        <v>122.7</v>
      </c>
      <c r="F934" s="3" t="inlineStr">
        <is>
          <t>남이면</t>
        </is>
      </c>
      <c r="G934" s="3" t="inlineStr">
        <is>
          <t>부용외천리</t>
        </is>
      </c>
      <c r="H934" s="3" t="inlineStr">
        <is>
          <t>계획관리지역</t>
        </is>
      </c>
      <c r="I934" s="3" t="inlineStr">
        <is>
          <t>답</t>
        </is>
      </c>
      <c r="J934" s="3" t="inlineStr">
        <is>
          <t>남이면</t>
        </is>
      </c>
    </row>
    <row r="935">
      <c r="A935" s="3" t="n">
        <v>2022</v>
      </c>
      <c r="B935" s="4" t="n">
        <v>1525</v>
      </c>
      <c r="C935" s="4" t="n">
        <v>36</v>
      </c>
      <c r="D935" s="4" t="n">
        <v>10.89</v>
      </c>
      <c r="E935" s="5" t="n">
        <v>140</v>
      </c>
      <c r="F935" s="3" t="inlineStr">
        <is>
          <t>남이면</t>
        </is>
      </c>
      <c r="G935" s="3" t="inlineStr">
        <is>
          <t>부용외천리</t>
        </is>
      </c>
      <c r="H935" s="3" t="inlineStr">
        <is>
          <t>계획관리지역</t>
        </is>
      </c>
      <c r="I935" s="3" t="inlineStr">
        <is>
          <t>대</t>
        </is>
      </c>
      <c r="J935" s="3" t="inlineStr">
        <is>
          <t>남이면</t>
        </is>
      </c>
    </row>
    <row r="936">
      <c r="A936" s="3" t="n">
        <v>2022</v>
      </c>
      <c r="B936" s="4" t="n">
        <v>500</v>
      </c>
      <c r="C936" s="4" t="n">
        <v>193</v>
      </c>
      <c r="D936" s="4" t="n">
        <v>58.3825</v>
      </c>
      <c r="E936" s="5" t="n">
        <v>8.6</v>
      </c>
      <c r="F936" s="3" t="inlineStr">
        <is>
          <t>남이면</t>
        </is>
      </c>
      <c r="G936" s="3" t="inlineStr">
        <is>
          <t>외천리</t>
        </is>
      </c>
      <c r="H936" s="3" t="inlineStr">
        <is>
          <t>계획관리지역</t>
        </is>
      </c>
      <c r="I936" s="3" t="inlineStr">
        <is>
          <t>임야</t>
        </is>
      </c>
      <c r="J936" s="3" t="inlineStr">
        <is>
          <t>남이면</t>
        </is>
      </c>
    </row>
    <row r="937">
      <c r="A937" s="3" t="n">
        <v>2022</v>
      </c>
      <c r="B937" s="4" t="n">
        <v>4200</v>
      </c>
      <c r="C937" s="4" t="n">
        <v>4693</v>
      </c>
      <c r="D937" s="4" t="n">
        <v>1419.6325</v>
      </c>
      <c r="E937" s="5" t="n">
        <v>3</v>
      </c>
      <c r="F937" s="3" t="inlineStr">
        <is>
          <t>남이면</t>
        </is>
      </c>
      <c r="G937" s="3" t="inlineStr">
        <is>
          <t>석판리</t>
        </is>
      </c>
      <c r="H937" s="3" t="inlineStr">
        <is>
          <t>보전녹지지역</t>
        </is>
      </c>
      <c r="I937" s="3" t="inlineStr">
        <is>
          <t>임야</t>
        </is>
      </c>
      <c r="J937" s="3" t="inlineStr">
        <is>
          <t>남이면</t>
        </is>
      </c>
    </row>
    <row r="938">
      <c r="A938" s="3" t="n">
        <v>2022</v>
      </c>
      <c r="B938" s="4" t="n">
        <v>13800</v>
      </c>
      <c r="C938" s="4" t="n">
        <v>703</v>
      </c>
      <c r="D938" s="4" t="n">
        <v>212.6575</v>
      </c>
      <c r="E938" s="5" t="n">
        <v>64.90000000000001</v>
      </c>
      <c r="F938" s="3" t="inlineStr">
        <is>
          <t>남이면</t>
        </is>
      </c>
      <c r="G938" s="3" t="inlineStr">
        <is>
          <t>석판리</t>
        </is>
      </c>
      <c r="H938" s="3" t="inlineStr">
        <is>
          <t>자연녹지지역</t>
        </is>
      </c>
      <c r="I938" s="3" t="inlineStr">
        <is>
          <t>임야</t>
        </is>
      </c>
      <c r="J938" s="3" t="inlineStr">
        <is>
          <t>남이면</t>
        </is>
      </c>
    </row>
    <row r="939">
      <c r="A939" s="3" t="n">
        <v>2022</v>
      </c>
      <c r="B939" s="4" t="n">
        <v>4400</v>
      </c>
      <c r="C939" s="4" t="n">
        <v>222</v>
      </c>
      <c r="D939" s="4" t="n">
        <v>67.155</v>
      </c>
      <c r="E939" s="5" t="n">
        <v>65.5</v>
      </c>
      <c r="F939" s="3" t="inlineStr">
        <is>
          <t>남이면</t>
        </is>
      </c>
      <c r="G939" s="3" t="inlineStr">
        <is>
          <t>석판리</t>
        </is>
      </c>
      <c r="H939" s="3" t="inlineStr">
        <is>
          <t>자연녹지지역</t>
        </is>
      </c>
      <c r="I939" s="3" t="inlineStr">
        <is>
          <t>임야</t>
        </is>
      </c>
      <c r="J939" s="3" t="inlineStr">
        <is>
          <t>남이면</t>
        </is>
      </c>
    </row>
    <row r="940">
      <c r="A940" s="3" t="n">
        <v>2022</v>
      </c>
      <c r="B940" s="4" t="n">
        <v>61300</v>
      </c>
      <c r="C940" s="4" t="n">
        <v>3120</v>
      </c>
      <c r="D940" s="4" t="n">
        <v>943.8</v>
      </c>
      <c r="E940" s="5" t="n">
        <v>65</v>
      </c>
      <c r="F940" s="3" t="inlineStr">
        <is>
          <t>남이면</t>
        </is>
      </c>
      <c r="G940" s="3" t="inlineStr">
        <is>
          <t>석판리</t>
        </is>
      </c>
      <c r="H940" s="3" t="inlineStr">
        <is>
          <t>자연녹지지역</t>
        </is>
      </c>
      <c r="I940" s="3" t="inlineStr">
        <is>
          <t>임야</t>
        </is>
      </c>
      <c r="J940" s="3" t="inlineStr">
        <is>
          <t>남이면</t>
        </is>
      </c>
    </row>
    <row r="941">
      <c r="A941" s="3" t="n">
        <v>2022</v>
      </c>
      <c r="B941" s="4" t="n">
        <v>1000</v>
      </c>
      <c r="C941" s="4" t="n">
        <v>49</v>
      </c>
      <c r="D941" s="4" t="n">
        <v>14.8225</v>
      </c>
      <c r="E941" s="5" t="n">
        <v>67.5</v>
      </c>
      <c r="F941" s="3" t="inlineStr">
        <is>
          <t>남이면</t>
        </is>
      </c>
      <c r="G941" s="3" t="inlineStr">
        <is>
          <t>석판리</t>
        </is>
      </c>
      <c r="H941" s="3" t="inlineStr">
        <is>
          <t>자연녹지지역</t>
        </is>
      </c>
      <c r="I941" s="3" t="inlineStr">
        <is>
          <t>도로</t>
        </is>
      </c>
      <c r="J941" s="3" t="inlineStr">
        <is>
          <t>남이면</t>
        </is>
      </c>
    </row>
    <row r="942">
      <c r="A942" s="3" t="n">
        <v>2022</v>
      </c>
      <c r="B942" s="4" t="n">
        <v>10770</v>
      </c>
      <c r="C942" s="4" t="n">
        <v>1781</v>
      </c>
      <c r="D942" s="4" t="n">
        <v>538.7524999999999</v>
      </c>
      <c r="E942" s="5" t="n">
        <v>20</v>
      </c>
      <c r="F942" s="3" t="inlineStr">
        <is>
          <t>남이면</t>
        </is>
      </c>
      <c r="G942" s="3" t="inlineStr">
        <is>
          <t>문동리</t>
        </is>
      </c>
      <c r="H942" s="3" t="inlineStr">
        <is>
          <t>자연녹지지역</t>
        </is>
      </c>
      <c r="I942" s="3" t="inlineStr">
        <is>
          <t>답</t>
        </is>
      </c>
      <c r="J942" s="3" t="inlineStr">
        <is>
          <t>남이면</t>
        </is>
      </c>
    </row>
    <row r="943">
      <c r="A943" s="3" t="n">
        <v>2022</v>
      </c>
      <c r="B943" s="4" t="n">
        <v>3250</v>
      </c>
      <c r="C943" s="4" t="n">
        <v>165</v>
      </c>
      <c r="D943" s="4" t="n">
        <v>49.9125</v>
      </c>
      <c r="E943" s="5" t="n">
        <v>65.09999999999999</v>
      </c>
      <c r="F943" s="3" t="inlineStr">
        <is>
          <t>남이면</t>
        </is>
      </c>
      <c r="G943" s="3" t="inlineStr">
        <is>
          <t>석판리</t>
        </is>
      </c>
      <c r="H943" s="3" t="inlineStr">
        <is>
          <t>자연녹지지역</t>
        </is>
      </c>
      <c r="I943" s="3" t="inlineStr">
        <is>
          <t>전</t>
        </is>
      </c>
      <c r="J943" s="3" t="inlineStr">
        <is>
          <t>남이면</t>
        </is>
      </c>
    </row>
    <row r="944">
      <c r="A944" s="3" t="n">
        <v>2022</v>
      </c>
      <c r="B944" s="4" t="n">
        <v>800</v>
      </c>
      <c r="C944" s="4" t="n">
        <v>41</v>
      </c>
      <c r="D944" s="4" t="n">
        <v>12.4025</v>
      </c>
      <c r="E944" s="5" t="n">
        <v>64.5</v>
      </c>
      <c r="F944" s="3" t="inlineStr">
        <is>
          <t>남이면</t>
        </is>
      </c>
      <c r="G944" s="3" t="inlineStr">
        <is>
          <t>석판리</t>
        </is>
      </c>
      <c r="H944" s="3" t="inlineStr">
        <is>
          <t>자연녹지지역</t>
        </is>
      </c>
      <c r="I944" s="3" t="inlineStr">
        <is>
          <t>도로</t>
        </is>
      </c>
      <c r="J944" s="3" t="inlineStr">
        <is>
          <t>남이면</t>
        </is>
      </c>
    </row>
    <row r="945">
      <c r="A945" s="3" t="n">
        <v>2022</v>
      </c>
      <c r="B945" s="4" t="n">
        <v>1100</v>
      </c>
      <c r="C945" s="4" t="n">
        <v>55</v>
      </c>
      <c r="D945" s="4" t="n">
        <v>16.6375</v>
      </c>
      <c r="E945" s="5" t="n">
        <v>66.09999999999999</v>
      </c>
      <c r="F945" s="3" t="inlineStr">
        <is>
          <t>남이면</t>
        </is>
      </c>
      <c r="G945" s="3" t="inlineStr">
        <is>
          <t>석판리</t>
        </is>
      </c>
      <c r="H945" s="3" t="inlineStr">
        <is>
          <t>자연녹지지역</t>
        </is>
      </c>
      <c r="I945" s="3" t="inlineStr">
        <is>
          <t>전</t>
        </is>
      </c>
      <c r="J945" s="3" t="inlineStr">
        <is>
          <t>남이면</t>
        </is>
      </c>
    </row>
    <row r="946">
      <c r="A946" s="3" t="n">
        <v>2022</v>
      </c>
      <c r="B946" s="4" t="n">
        <v>10500</v>
      </c>
      <c r="C946" s="4" t="n">
        <v>532</v>
      </c>
      <c r="D946" s="4" t="n">
        <v>160.93</v>
      </c>
      <c r="E946" s="5" t="n">
        <v>65.2</v>
      </c>
      <c r="F946" s="3" t="inlineStr">
        <is>
          <t>남이면</t>
        </is>
      </c>
      <c r="G946" s="3" t="inlineStr">
        <is>
          <t>석판리</t>
        </is>
      </c>
      <c r="H946" s="3" t="inlineStr">
        <is>
          <t>자연녹지지역</t>
        </is>
      </c>
      <c r="I946" s="3" t="inlineStr">
        <is>
          <t>대</t>
        </is>
      </c>
      <c r="J946" s="3" t="inlineStr">
        <is>
          <t>남이면</t>
        </is>
      </c>
    </row>
    <row r="947">
      <c r="A947" s="3" t="n">
        <v>2022</v>
      </c>
      <c r="B947" s="4" t="n">
        <v>700</v>
      </c>
      <c r="C947" s="4" t="n">
        <v>38</v>
      </c>
      <c r="D947" s="4" t="n">
        <v>11.495</v>
      </c>
      <c r="E947" s="5" t="n">
        <v>60.9</v>
      </c>
      <c r="F947" s="3" t="inlineStr">
        <is>
          <t>남이면</t>
        </is>
      </c>
      <c r="G947" s="3" t="inlineStr">
        <is>
          <t>석판리</t>
        </is>
      </c>
      <c r="H947" s="3" t="inlineStr">
        <is>
          <t>자연녹지지역</t>
        </is>
      </c>
      <c r="I947" s="3" t="inlineStr">
        <is>
          <t>도로</t>
        </is>
      </c>
      <c r="J947" s="3" t="inlineStr">
        <is>
          <t>남이면</t>
        </is>
      </c>
    </row>
    <row r="948">
      <c r="A948" s="3" t="n">
        <v>2022</v>
      </c>
      <c r="B948" s="4" t="n">
        <v>27800</v>
      </c>
      <c r="C948" s="4" t="n">
        <v>1412</v>
      </c>
      <c r="D948" s="4" t="n">
        <v>427.13</v>
      </c>
      <c r="E948" s="5" t="n">
        <v>65.09999999999999</v>
      </c>
      <c r="F948" s="3" t="inlineStr">
        <is>
          <t>남이면</t>
        </is>
      </c>
      <c r="G948" s="3" t="inlineStr">
        <is>
          <t>석판리</t>
        </is>
      </c>
      <c r="H948" s="3" t="inlineStr">
        <is>
          <t>자연녹지지역</t>
        </is>
      </c>
      <c r="I948" s="3" t="inlineStr">
        <is>
          <t>전</t>
        </is>
      </c>
      <c r="J948" s="3" t="inlineStr">
        <is>
          <t>남이면</t>
        </is>
      </c>
    </row>
    <row r="949">
      <c r="A949" s="3" t="n">
        <v>2022</v>
      </c>
      <c r="B949" s="4" t="n">
        <v>44500</v>
      </c>
      <c r="C949" s="4" t="n">
        <v>2261</v>
      </c>
      <c r="D949" s="4" t="n">
        <v>683.9525</v>
      </c>
      <c r="E949" s="5" t="n">
        <v>65.09999999999999</v>
      </c>
      <c r="F949" s="3" t="inlineStr">
        <is>
          <t>남이면</t>
        </is>
      </c>
      <c r="G949" s="3" t="inlineStr">
        <is>
          <t>석판리</t>
        </is>
      </c>
      <c r="H949" s="3" t="inlineStr">
        <is>
          <t>자연녹지지역</t>
        </is>
      </c>
      <c r="I949" s="3" t="inlineStr">
        <is>
          <t>전</t>
        </is>
      </c>
      <c r="J949" s="3" t="inlineStr">
        <is>
          <t>남이면</t>
        </is>
      </c>
    </row>
    <row r="950">
      <c r="A950" s="3" t="n">
        <v>2022</v>
      </c>
      <c r="B950" s="4" t="n">
        <v>200</v>
      </c>
      <c r="C950" s="4" t="n">
        <v>12</v>
      </c>
      <c r="D950" s="4" t="n">
        <v>3.63</v>
      </c>
      <c r="E950" s="5" t="n">
        <v>55.1</v>
      </c>
      <c r="F950" s="3" t="inlineStr">
        <is>
          <t>남이면</t>
        </is>
      </c>
      <c r="G950" s="3" t="inlineStr">
        <is>
          <t>석판리</t>
        </is>
      </c>
      <c r="H950" s="3" t="inlineStr">
        <is>
          <t>자연녹지지역</t>
        </is>
      </c>
      <c r="I950" s="3" t="inlineStr">
        <is>
          <t>전</t>
        </is>
      </c>
      <c r="J950" s="3" t="inlineStr">
        <is>
          <t>남이면</t>
        </is>
      </c>
    </row>
    <row r="951">
      <c r="A951" s="3" t="n">
        <v>2022</v>
      </c>
      <c r="B951" s="4" t="n">
        <v>9700</v>
      </c>
      <c r="C951" s="4" t="n">
        <v>495</v>
      </c>
      <c r="D951" s="4" t="n">
        <v>149.7375</v>
      </c>
      <c r="E951" s="5" t="n">
        <v>64.8</v>
      </c>
      <c r="F951" s="3" t="inlineStr">
        <is>
          <t>남이면</t>
        </is>
      </c>
      <c r="G951" s="3" t="inlineStr">
        <is>
          <t>석판리</t>
        </is>
      </c>
      <c r="H951" s="3" t="inlineStr">
        <is>
          <t>자연녹지지역</t>
        </is>
      </c>
      <c r="I951" s="3" t="inlineStr">
        <is>
          <t>전</t>
        </is>
      </c>
      <c r="J951" s="3" t="inlineStr">
        <is>
          <t>남이면</t>
        </is>
      </c>
    </row>
    <row r="952">
      <c r="A952" s="3" t="n">
        <v>2022</v>
      </c>
      <c r="B952" s="4" t="n">
        <v>14000</v>
      </c>
      <c r="C952" s="4" t="n">
        <v>853</v>
      </c>
      <c r="D952" s="4" t="n">
        <v>258.0325</v>
      </c>
      <c r="E952" s="5" t="n">
        <v>54.3</v>
      </c>
      <c r="F952" s="3" t="inlineStr">
        <is>
          <t>남이면</t>
        </is>
      </c>
      <c r="G952" s="3" t="inlineStr">
        <is>
          <t>부용외천리</t>
        </is>
      </c>
      <c r="H952" s="3" t="inlineStr">
        <is>
          <t>계획관리지역</t>
        </is>
      </c>
      <c r="I952" s="3" t="inlineStr">
        <is>
          <t>임야</t>
        </is>
      </c>
      <c r="J952" s="3" t="inlineStr">
        <is>
          <t>남이면</t>
        </is>
      </c>
    </row>
    <row r="953">
      <c r="A953" s="3" t="n">
        <v>2022</v>
      </c>
      <c r="B953" s="4" t="n">
        <v>24390</v>
      </c>
      <c r="C953" s="4" t="n">
        <v>681</v>
      </c>
      <c r="D953" s="4" t="n">
        <v>206.0025</v>
      </c>
      <c r="E953" s="5" t="n">
        <v>118.4</v>
      </c>
      <c r="F953" s="3" t="inlineStr">
        <is>
          <t>남이면</t>
        </is>
      </c>
      <c r="G953" s="3" t="inlineStr">
        <is>
          <t>가좌리</t>
        </is>
      </c>
      <c r="H953" s="3" t="inlineStr">
        <is>
          <t>자연녹지지역</t>
        </is>
      </c>
      <c r="I953" s="3" t="inlineStr">
        <is>
          <t>전</t>
        </is>
      </c>
      <c r="J953" s="3" t="inlineStr">
        <is>
          <t>남이면</t>
        </is>
      </c>
    </row>
    <row r="954">
      <c r="A954" s="3" t="n">
        <v>2022</v>
      </c>
      <c r="B954" s="4" t="n">
        <v>548</v>
      </c>
      <c r="C954" s="4" t="n">
        <v>17</v>
      </c>
      <c r="D954" s="4" t="n">
        <v>5.1425</v>
      </c>
      <c r="E954" s="5" t="n">
        <v>106.6</v>
      </c>
      <c r="F954" s="3" t="inlineStr">
        <is>
          <t>남이면</t>
        </is>
      </c>
      <c r="G954" s="3" t="inlineStr">
        <is>
          <t>가좌리</t>
        </is>
      </c>
      <c r="H954" s="3" t="inlineStr">
        <is>
          <t>자연녹지지역</t>
        </is>
      </c>
      <c r="I954" s="3" t="inlineStr">
        <is>
          <t>전</t>
        </is>
      </c>
      <c r="J954" s="3" t="inlineStr">
        <is>
          <t>남이면</t>
        </is>
      </c>
    </row>
    <row r="955">
      <c r="A955" s="3" t="n">
        <v>2022</v>
      </c>
      <c r="B955" s="4" t="n">
        <v>74</v>
      </c>
      <c r="C955" s="4" t="n">
        <v>8</v>
      </c>
      <c r="D955" s="4" t="n">
        <v>2.42</v>
      </c>
      <c r="E955" s="5" t="n">
        <v>30.6</v>
      </c>
      <c r="F955" s="3" t="inlineStr">
        <is>
          <t>남이면</t>
        </is>
      </c>
      <c r="G955" s="3" t="inlineStr">
        <is>
          <t>가좌리</t>
        </is>
      </c>
      <c r="H955" s="3" t="inlineStr">
        <is>
          <t>자연녹지지역</t>
        </is>
      </c>
      <c r="I955" s="3" t="inlineStr">
        <is>
          <t>도로</t>
        </is>
      </c>
      <c r="J955" s="3" t="inlineStr">
        <is>
          <t>남이면</t>
        </is>
      </c>
    </row>
    <row r="956">
      <c r="A956" s="3" t="n">
        <v>2022</v>
      </c>
      <c r="B956" s="4" t="n">
        <v>548</v>
      </c>
      <c r="C956" s="4" t="n">
        <v>17</v>
      </c>
      <c r="D956" s="4" t="n">
        <v>5.1425</v>
      </c>
      <c r="E956" s="5" t="n">
        <v>106.6</v>
      </c>
      <c r="F956" s="3" t="inlineStr">
        <is>
          <t>남이면</t>
        </is>
      </c>
      <c r="G956" s="3" t="inlineStr">
        <is>
          <t>가좌리</t>
        </is>
      </c>
      <c r="H956" s="3" t="inlineStr">
        <is>
          <t>자연녹지지역</t>
        </is>
      </c>
      <c r="I956" s="3" t="inlineStr">
        <is>
          <t>전</t>
        </is>
      </c>
      <c r="J956" s="3" t="inlineStr">
        <is>
          <t>남이면</t>
        </is>
      </c>
    </row>
    <row r="957">
      <c r="A957" s="3" t="n">
        <v>2022</v>
      </c>
      <c r="B957" s="4" t="n">
        <v>23500</v>
      </c>
      <c r="C957" s="4" t="n">
        <v>869</v>
      </c>
      <c r="D957" s="4" t="n">
        <v>262.8725</v>
      </c>
      <c r="E957" s="5" t="n">
        <v>89.40000000000001</v>
      </c>
      <c r="F957" s="3" t="inlineStr">
        <is>
          <t>남이면</t>
        </is>
      </c>
      <c r="G957" s="3" t="inlineStr">
        <is>
          <t>석판리</t>
        </is>
      </c>
      <c r="H957" s="3" t="inlineStr">
        <is>
          <t>자연녹지지역</t>
        </is>
      </c>
      <c r="I957" s="3" t="inlineStr">
        <is>
          <t>전</t>
        </is>
      </c>
      <c r="J957" s="3" t="inlineStr">
        <is>
          <t>남이면</t>
        </is>
      </c>
    </row>
    <row r="958">
      <c r="A958" s="3" t="n">
        <v>2025</v>
      </c>
      <c r="B958" s="4" t="n">
        <v>3220</v>
      </c>
      <c r="C958" s="4" t="n">
        <v>112</v>
      </c>
      <c r="D958" s="4" t="n">
        <v>33.88</v>
      </c>
      <c r="E958" s="5" t="n">
        <v>95</v>
      </c>
      <c r="F958" s="3" t="inlineStr">
        <is>
          <t>남이면</t>
        </is>
      </c>
      <c r="G958" s="3" t="inlineStr">
        <is>
          <t>가좌리</t>
        </is>
      </c>
      <c r="H958" s="3" t="inlineStr">
        <is>
          <t>자연녹지지역</t>
        </is>
      </c>
      <c r="I958" s="3" t="inlineStr">
        <is>
          <t>도로</t>
        </is>
      </c>
      <c r="J958" s="3" t="inlineStr">
        <is>
          <t>남이면</t>
        </is>
      </c>
    </row>
    <row r="959">
      <c r="A959" s="3" t="n">
        <v>2023</v>
      </c>
      <c r="B959" s="4" t="n">
        <v>16000</v>
      </c>
      <c r="C959" s="4" t="n">
        <v>1127</v>
      </c>
      <c r="D959" s="4" t="n">
        <v>340.9175</v>
      </c>
      <c r="E959" s="5" t="n">
        <v>46.9</v>
      </c>
      <c r="F959" s="3" t="inlineStr">
        <is>
          <t>부강면</t>
        </is>
      </c>
      <c r="G959" s="3" t="inlineStr">
        <is>
          <t>문곡리</t>
        </is>
      </c>
      <c r="H959" s="3" t="inlineStr">
        <is>
          <t>생산관리지역</t>
        </is>
      </c>
      <c r="I959" s="3" t="inlineStr">
        <is>
          <t>전</t>
        </is>
      </c>
      <c r="J959" s="3" t="inlineStr">
        <is>
          <t>부강면</t>
        </is>
      </c>
    </row>
    <row r="960">
      <c r="A960" s="3" t="n">
        <v>2023</v>
      </c>
      <c r="B960" s="4" t="n">
        <v>51000</v>
      </c>
      <c r="C960" s="4" t="n">
        <v>2579</v>
      </c>
      <c r="D960" s="4" t="n">
        <v>780.1474999999999</v>
      </c>
      <c r="E960" s="5" t="n">
        <v>65.40000000000001</v>
      </c>
      <c r="F960" s="3" t="inlineStr">
        <is>
          <t>연동면</t>
        </is>
      </c>
      <c r="G960" s="3" t="inlineStr">
        <is>
          <t>내판리</t>
        </is>
      </c>
      <c r="H960" s="3" t="inlineStr">
        <is>
          <t>계획관리지역</t>
        </is>
      </c>
      <c r="I960" s="3" t="inlineStr">
        <is>
          <t>임야</t>
        </is>
      </c>
      <c r="J960" s="3" t="inlineStr">
        <is>
          <t>연동면</t>
        </is>
      </c>
    </row>
    <row r="961">
      <c r="A961" s="3" t="n">
        <v>2025</v>
      </c>
      <c r="B961" s="4" t="n">
        <v>8885</v>
      </c>
      <c r="C961" s="4" t="n">
        <v>46</v>
      </c>
      <c r="D961" s="4" t="n">
        <v>13.915</v>
      </c>
      <c r="E961" s="5" t="n">
        <v>638.5</v>
      </c>
      <c r="F961" s="3" t="inlineStr">
        <is>
          <t>조치원읍</t>
        </is>
      </c>
      <c r="G961" s="3" t="inlineStr">
        <is>
          <t>정리</t>
        </is>
      </c>
      <c r="H961" s="3" t="inlineStr">
        <is>
          <t>준주거지역</t>
        </is>
      </c>
      <c r="I961" s="3" t="inlineStr">
        <is>
          <t>답</t>
        </is>
      </c>
      <c r="J961" s="3" t="inlineStr">
        <is>
          <t>조치원읍</t>
        </is>
      </c>
    </row>
    <row r="962">
      <c r="A962" s="3" t="n">
        <v>2026</v>
      </c>
      <c r="B962" s="4" t="n">
        <v>33000</v>
      </c>
      <c r="C962" s="4" t="n">
        <v>3719.7</v>
      </c>
      <c r="D962" s="4" t="n">
        <v>1125.20925</v>
      </c>
      <c r="E962" s="5" t="n">
        <v>29.3</v>
      </c>
      <c r="F962" s="3" t="inlineStr">
        <is>
          <t>부강면</t>
        </is>
      </c>
      <c r="G962" s="3" t="inlineStr">
        <is>
          <t>산수리</t>
        </is>
      </c>
      <c r="H962" s="3" t="inlineStr">
        <is>
          <t>농림지역</t>
        </is>
      </c>
      <c r="I962" s="3" t="inlineStr">
        <is>
          <t>답</t>
        </is>
      </c>
      <c r="J962" s="3" t="inlineStr">
        <is>
          <t>부강면</t>
        </is>
      </c>
    </row>
    <row r="963">
      <c r="A963" s="3" t="n">
        <v>2026</v>
      </c>
      <c r="B963" s="4" t="n">
        <v>11700</v>
      </c>
      <c r="C963" s="4" t="n">
        <v>733</v>
      </c>
      <c r="D963" s="4" t="n">
        <v>221.7325</v>
      </c>
      <c r="E963" s="5" t="n">
        <v>52.8</v>
      </c>
      <c r="F963" s="3" t="inlineStr">
        <is>
          <t>조치원읍</t>
        </is>
      </c>
      <c r="G963" s="3" t="inlineStr">
        <is>
          <t>봉산리</t>
        </is>
      </c>
      <c r="H963" s="3" t="inlineStr">
        <is>
          <t>자연녹지지역</t>
        </is>
      </c>
      <c r="I963" s="3" t="inlineStr">
        <is>
          <t>임야</t>
        </is>
      </c>
      <c r="J963" s="3" t="inlineStr">
        <is>
          <t>조치원읍</t>
        </is>
      </c>
    </row>
    <row r="964">
      <c r="A964" s="3" t="n">
        <v>2022</v>
      </c>
      <c r="B964" s="4" t="n">
        <v>13450</v>
      </c>
      <c r="C964" s="4" t="n">
        <v>1070</v>
      </c>
      <c r="D964" s="4" t="n">
        <v>323.675</v>
      </c>
      <c r="E964" s="5" t="n">
        <v>41.6</v>
      </c>
      <c r="F964" s="3" t="inlineStr">
        <is>
          <t>부강면</t>
        </is>
      </c>
      <c r="G964" s="3" t="inlineStr">
        <is>
          <t>문곡리</t>
        </is>
      </c>
      <c r="H964" s="3" t="inlineStr">
        <is>
          <t>계획관리지역</t>
        </is>
      </c>
      <c r="I964" s="3" t="inlineStr">
        <is>
          <t>전</t>
        </is>
      </c>
      <c r="J964" s="3" t="inlineStr">
        <is>
          <t>부강면</t>
        </is>
      </c>
    </row>
    <row r="965">
      <c r="A965" s="3" t="n">
        <v>2022</v>
      </c>
      <c r="B965" s="4" t="n">
        <v>35000</v>
      </c>
      <c r="C965" s="4" t="n">
        <v>585</v>
      </c>
      <c r="D965" s="4" t="n">
        <v>176.9625</v>
      </c>
      <c r="E965" s="5" t="n">
        <v>197.8</v>
      </c>
      <c r="F965" s="3" t="inlineStr">
        <is>
          <t>부강면</t>
        </is>
      </c>
      <c r="G965" s="3" t="inlineStr">
        <is>
          <t>갈산리</t>
        </is>
      </c>
      <c r="H965" s="3" t="inlineStr">
        <is>
          <t>계획관리지역</t>
        </is>
      </c>
      <c r="I965" s="3" t="inlineStr">
        <is>
          <t>대</t>
        </is>
      </c>
      <c r="J965" s="3" t="inlineStr">
        <is>
          <t>부강면</t>
        </is>
      </c>
    </row>
    <row r="966">
      <c r="A966" s="3" t="n">
        <v>2022</v>
      </c>
      <c r="B966" s="4" t="n">
        <v>63000</v>
      </c>
      <c r="C966" s="4" t="n">
        <v>1049</v>
      </c>
      <c r="D966" s="4" t="n">
        <v>317.3225</v>
      </c>
      <c r="E966" s="5" t="n">
        <v>198.5</v>
      </c>
      <c r="F966" s="3" t="inlineStr">
        <is>
          <t>부강면</t>
        </is>
      </c>
      <c r="G966" s="3" t="inlineStr">
        <is>
          <t>부강리</t>
        </is>
      </c>
      <c r="H966" s="3" t="inlineStr">
        <is>
          <t>계획관리지역</t>
        </is>
      </c>
      <c r="I966" s="3" t="inlineStr">
        <is>
          <t>전</t>
        </is>
      </c>
      <c r="J966" s="3" t="inlineStr">
        <is>
          <t>부강면</t>
        </is>
      </c>
    </row>
    <row r="967">
      <c r="A967" s="3" t="n">
        <v>2022</v>
      </c>
      <c r="B967" s="4" t="n">
        <v>24600</v>
      </c>
      <c r="C967" s="4" t="n">
        <v>1145.9</v>
      </c>
      <c r="D967" s="4" t="n">
        <v>346.63475</v>
      </c>
      <c r="E967" s="5" t="n">
        <v>71</v>
      </c>
      <c r="F967" s="3" t="inlineStr">
        <is>
          <t>연동면</t>
        </is>
      </c>
      <c r="G967" s="3" t="inlineStr">
        <is>
          <t>문주리</t>
        </is>
      </c>
      <c r="H967" s="3" t="inlineStr">
        <is>
          <t>농림지역</t>
        </is>
      </c>
      <c r="I967" s="3" t="inlineStr">
        <is>
          <t>답</t>
        </is>
      </c>
      <c r="J967" s="3" t="inlineStr">
        <is>
          <t>연동면</t>
        </is>
      </c>
    </row>
    <row r="968">
      <c r="A968" s="3" t="n">
        <v>2022</v>
      </c>
      <c r="B968" s="4" t="n">
        <v>17690</v>
      </c>
      <c r="C968" s="4" t="n">
        <v>840</v>
      </c>
      <c r="D968" s="4" t="n">
        <v>254.1</v>
      </c>
      <c r="E968" s="5" t="n">
        <v>69.59999999999999</v>
      </c>
      <c r="F968" s="3" t="inlineStr">
        <is>
          <t>부강면</t>
        </is>
      </c>
      <c r="G968" s="3" t="inlineStr">
        <is>
          <t>등곡리</t>
        </is>
      </c>
      <c r="H968" s="3" t="inlineStr">
        <is>
          <t>계획관리지역</t>
        </is>
      </c>
      <c r="I968" s="3" t="inlineStr">
        <is>
          <t>전</t>
        </is>
      </c>
      <c r="J968" s="3" t="inlineStr">
        <is>
          <t>부강면</t>
        </is>
      </c>
    </row>
    <row r="969">
      <c r="A969" s="3" t="n">
        <v>2022</v>
      </c>
      <c r="B969" s="4" t="n">
        <v>24510</v>
      </c>
      <c r="C969" s="4" t="n">
        <v>1164</v>
      </c>
      <c r="D969" s="4" t="n">
        <v>352.11</v>
      </c>
      <c r="E969" s="5" t="n">
        <v>69.59999999999999</v>
      </c>
      <c r="F969" s="3" t="inlineStr">
        <is>
          <t>부강면</t>
        </is>
      </c>
      <c r="G969" s="3" t="inlineStr">
        <is>
          <t>등곡리</t>
        </is>
      </c>
      <c r="H969" s="3" t="inlineStr">
        <is>
          <t>계획관리지역</t>
        </is>
      </c>
      <c r="I969" s="3" t="inlineStr">
        <is>
          <t>전</t>
        </is>
      </c>
      <c r="J969" s="3" t="inlineStr">
        <is>
          <t>부강면</t>
        </is>
      </c>
    </row>
    <row r="970">
      <c r="A970" s="3" t="n">
        <v>2022</v>
      </c>
      <c r="B970" s="4" t="n">
        <v>11856</v>
      </c>
      <c r="C970" s="4" t="n">
        <v>494</v>
      </c>
      <c r="D970" s="4" t="n">
        <v>149.435</v>
      </c>
      <c r="E970" s="5" t="n">
        <v>79.3</v>
      </c>
      <c r="F970" s="3" t="inlineStr">
        <is>
          <t>조치원읍</t>
        </is>
      </c>
      <c r="G970" s="3" t="inlineStr">
        <is>
          <t>신안리</t>
        </is>
      </c>
      <c r="H970" s="3" t="inlineStr">
        <is>
          <t>생산녹지지역</t>
        </is>
      </c>
      <c r="I970" s="3" t="inlineStr">
        <is>
          <t>답</t>
        </is>
      </c>
      <c r="J970" s="3" t="inlineStr">
        <is>
          <t>조치원읍</t>
        </is>
      </c>
    </row>
    <row r="971">
      <c r="A971" s="3" t="n">
        <v>2022</v>
      </c>
      <c r="B971" s="4" t="n">
        <v>2714</v>
      </c>
      <c r="C971" s="4" t="n">
        <v>115</v>
      </c>
      <c r="D971" s="4" t="n">
        <v>34.7875</v>
      </c>
      <c r="E971" s="5" t="n">
        <v>78</v>
      </c>
      <c r="F971" s="3" t="inlineStr">
        <is>
          <t>조치원읍</t>
        </is>
      </c>
      <c r="G971" s="3" t="inlineStr">
        <is>
          <t>신안리</t>
        </is>
      </c>
      <c r="H971" s="3" t="inlineStr">
        <is>
          <t>생산녹지지역</t>
        </is>
      </c>
      <c r="I971" s="3" t="inlineStr">
        <is>
          <t>도로</t>
        </is>
      </c>
      <c r="J971" s="3" t="inlineStr">
        <is>
          <t>조치원읍</t>
        </is>
      </c>
    </row>
    <row r="972">
      <c r="A972" s="3" t="n">
        <v>2023</v>
      </c>
      <c r="B972" s="4" t="n">
        <v>49000</v>
      </c>
      <c r="C972" s="4" t="n">
        <v>297.3</v>
      </c>
      <c r="D972" s="4" t="n">
        <v>89.93325</v>
      </c>
      <c r="E972" s="5" t="n">
        <v>544.8</v>
      </c>
      <c r="F972" s="3" t="inlineStr">
        <is>
          <t>다정동</t>
        </is>
      </c>
      <c r="G972" s="3" t="inlineStr"/>
      <c r="H972" s="3" t="inlineStr">
        <is>
          <t>제1종전용주거지역</t>
        </is>
      </c>
      <c r="I972" s="3" t="inlineStr">
        <is>
          <t>대</t>
        </is>
      </c>
      <c r="J972" s="3" t="inlineStr">
        <is>
          <t>다정동</t>
        </is>
      </c>
    </row>
    <row r="973">
      <c r="A973" s="3" t="n">
        <v>2023</v>
      </c>
      <c r="B973" s="4" t="n">
        <v>60000</v>
      </c>
      <c r="C973" s="4" t="n">
        <v>392.2</v>
      </c>
      <c r="D973" s="4" t="n">
        <v>118.6405</v>
      </c>
      <c r="E973" s="5" t="n">
        <v>505.7</v>
      </c>
      <c r="F973" s="3" t="inlineStr">
        <is>
          <t>고운동</t>
        </is>
      </c>
      <c r="G973" s="3" t="inlineStr"/>
      <c r="H973" s="3" t="inlineStr">
        <is>
          <t>제1종전용주거지역</t>
        </is>
      </c>
      <c r="I973" s="3" t="inlineStr">
        <is>
          <t>대</t>
        </is>
      </c>
      <c r="J973" s="3" t="inlineStr">
        <is>
          <t>고운동</t>
        </is>
      </c>
    </row>
    <row r="974">
      <c r="A974" s="3" t="n">
        <v>2023</v>
      </c>
      <c r="B974" s="4" t="n">
        <v>18000</v>
      </c>
      <c r="C974" s="4" t="n">
        <v>1862</v>
      </c>
      <c r="D974" s="4" t="n">
        <v>563.255</v>
      </c>
      <c r="E974" s="5" t="n">
        <v>32</v>
      </c>
      <c r="F974" s="3" t="inlineStr">
        <is>
          <t>부강면</t>
        </is>
      </c>
      <c r="G974" s="3" t="inlineStr">
        <is>
          <t>노호리</t>
        </is>
      </c>
      <c r="H974" s="3" t="inlineStr">
        <is>
          <t>생산관리지역</t>
        </is>
      </c>
      <c r="I974" s="3" t="inlineStr">
        <is>
          <t>전</t>
        </is>
      </c>
      <c r="J974" s="3" t="inlineStr">
        <is>
          <t>부강면</t>
        </is>
      </c>
    </row>
    <row r="975">
      <c r="A975" s="3" t="n">
        <v>2023</v>
      </c>
      <c r="B975" s="4" t="n">
        <v>20220</v>
      </c>
      <c r="C975" s="4" t="n">
        <v>2228</v>
      </c>
      <c r="D975" s="4" t="n">
        <v>673.97</v>
      </c>
      <c r="E975" s="5" t="n">
        <v>30</v>
      </c>
      <c r="F975" s="3" t="inlineStr">
        <is>
          <t>연서면</t>
        </is>
      </c>
      <c r="G975" s="3" t="inlineStr">
        <is>
          <t>기룡리</t>
        </is>
      </c>
      <c r="H975" s="3" t="inlineStr">
        <is>
          <t>생산관리지역</t>
        </is>
      </c>
      <c r="I975" s="3" t="inlineStr">
        <is>
          <t>전</t>
        </is>
      </c>
      <c r="J975" s="3" t="inlineStr">
        <is>
          <t>연서면</t>
        </is>
      </c>
    </row>
    <row r="976">
      <c r="A976" s="3" t="n">
        <v>2023</v>
      </c>
      <c r="B976" s="4" t="n">
        <v>78500</v>
      </c>
      <c r="C976" s="4" t="n">
        <v>352</v>
      </c>
      <c r="D976" s="4" t="n">
        <v>106.48</v>
      </c>
      <c r="E976" s="5" t="n">
        <v>737.2</v>
      </c>
      <c r="F976" s="3" t="inlineStr">
        <is>
          <t>집현동</t>
        </is>
      </c>
      <c r="G976" s="3" t="inlineStr"/>
      <c r="H976" s="3" t="inlineStr">
        <is>
          <t>용도미지정</t>
        </is>
      </c>
      <c r="I976" s="3" t="inlineStr">
        <is>
          <t>대</t>
        </is>
      </c>
      <c r="J976" s="3" t="inlineStr">
        <is>
          <t>집현동</t>
        </is>
      </c>
    </row>
    <row r="977">
      <c r="A977" s="3" t="n">
        <v>2023</v>
      </c>
      <c r="B977" s="4" t="n">
        <v>3200</v>
      </c>
      <c r="C977" s="4" t="n">
        <v>66</v>
      </c>
      <c r="D977" s="4" t="n">
        <v>19.965</v>
      </c>
      <c r="E977" s="5" t="n">
        <v>160.3</v>
      </c>
      <c r="F977" s="3" t="inlineStr">
        <is>
          <t>연서면</t>
        </is>
      </c>
      <c r="G977" s="3" t="inlineStr">
        <is>
          <t>봉암리</t>
        </is>
      </c>
      <c r="H977" s="3" t="inlineStr">
        <is>
          <t>계획관리지역</t>
        </is>
      </c>
      <c r="I977" s="3" t="inlineStr">
        <is>
          <t>대</t>
        </is>
      </c>
      <c r="J977" s="3" t="inlineStr">
        <is>
          <t>연서면</t>
        </is>
      </c>
    </row>
    <row r="978">
      <c r="A978" s="3" t="n">
        <v>2023</v>
      </c>
      <c r="B978" s="4" t="n">
        <v>4000</v>
      </c>
      <c r="C978" s="4" t="n">
        <v>65</v>
      </c>
      <c r="D978" s="4" t="n">
        <v>19.6625</v>
      </c>
      <c r="E978" s="5" t="n">
        <v>203.4</v>
      </c>
      <c r="F978" s="3" t="inlineStr">
        <is>
          <t>연서면</t>
        </is>
      </c>
      <c r="G978" s="3" t="inlineStr">
        <is>
          <t>봉암리</t>
        </is>
      </c>
      <c r="H978" s="3" t="inlineStr">
        <is>
          <t>계획관리지역</t>
        </is>
      </c>
      <c r="I978" s="3" t="inlineStr">
        <is>
          <t>대</t>
        </is>
      </c>
      <c r="J978" s="3" t="inlineStr">
        <is>
          <t>연서면</t>
        </is>
      </c>
    </row>
    <row r="979">
      <c r="A979" s="3" t="n">
        <v>2023</v>
      </c>
      <c r="B979" s="4" t="n">
        <v>275000</v>
      </c>
      <c r="C979" s="4" t="n">
        <v>414</v>
      </c>
      <c r="D979" s="4" t="n">
        <v>125.235</v>
      </c>
      <c r="E979" s="5" t="n">
        <v>2195.9</v>
      </c>
      <c r="F979" s="3" t="inlineStr">
        <is>
          <t>연서면</t>
        </is>
      </c>
      <c r="G979" s="3" t="inlineStr">
        <is>
          <t>월하리</t>
        </is>
      </c>
      <c r="H979" s="3" t="inlineStr">
        <is>
          <t>제2종일반주거지역</t>
        </is>
      </c>
      <c r="I979" s="3" t="inlineStr">
        <is>
          <t>과수원</t>
        </is>
      </c>
      <c r="J979" s="3" t="inlineStr">
        <is>
          <t>연서면</t>
        </is>
      </c>
    </row>
    <row r="980">
      <c r="A980" s="3" t="n">
        <v>2024</v>
      </c>
      <c r="B980" s="4" t="n">
        <v>10750</v>
      </c>
      <c r="C980" s="4" t="n">
        <v>416</v>
      </c>
      <c r="D980" s="4" t="n">
        <v>125.84</v>
      </c>
      <c r="E980" s="5" t="n">
        <v>85.40000000000001</v>
      </c>
      <c r="F980" s="3" t="inlineStr">
        <is>
          <t>남이면</t>
        </is>
      </c>
      <c r="G980" s="3" t="inlineStr">
        <is>
          <t>수대리</t>
        </is>
      </c>
      <c r="H980" s="3" t="inlineStr">
        <is>
          <t>보전녹지지역</t>
        </is>
      </c>
      <c r="I980" s="3" t="inlineStr">
        <is>
          <t>임야</t>
        </is>
      </c>
      <c r="J980" s="3" t="inlineStr">
        <is>
          <t>남이면</t>
        </is>
      </c>
    </row>
    <row r="981">
      <c r="A981" s="3" t="n">
        <v>2024</v>
      </c>
      <c r="B981" s="4" t="n">
        <v>14100</v>
      </c>
      <c r="C981" s="4" t="n">
        <v>418</v>
      </c>
      <c r="D981" s="4" t="n">
        <v>126.445</v>
      </c>
      <c r="E981" s="5" t="n">
        <v>111.5</v>
      </c>
      <c r="F981" s="3" t="inlineStr">
        <is>
          <t>남이면</t>
        </is>
      </c>
      <c r="G981" s="3" t="inlineStr">
        <is>
          <t>수대리</t>
        </is>
      </c>
      <c r="H981" s="3" t="inlineStr">
        <is>
          <t>보전녹지지역</t>
        </is>
      </c>
      <c r="I981" s="3" t="inlineStr">
        <is>
          <t>임야</t>
        </is>
      </c>
      <c r="J981" s="3" t="inlineStr">
        <is>
          <t>남이면</t>
        </is>
      </c>
    </row>
    <row r="982">
      <c r="A982" s="3" t="n">
        <v>2024</v>
      </c>
      <c r="B982" s="4" t="n">
        <v>9800</v>
      </c>
      <c r="C982" s="4" t="n">
        <v>382</v>
      </c>
      <c r="D982" s="4" t="n">
        <v>115.555</v>
      </c>
      <c r="E982" s="5" t="n">
        <v>84.8</v>
      </c>
      <c r="F982" s="3" t="inlineStr">
        <is>
          <t>남이면</t>
        </is>
      </c>
      <c r="G982" s="3" t="inlineStr">
        <is>
          <t>수대리</t>
        </is>
      </c>
      <c r="H982" s="3" t="inlineStr">
        <is>
          <t>보전녹지지역</t>
        </is>
      </c>
      <c r="I982" s="3" t="inlineStr">
        <is>
          <t>임야</t>
        </is>
      </c>
      <c r="J982" s="3" t="inlineStr">
        <is>
          <t>남이면</t>
        </is>
      </c>
    </row>
    <row r="983">
      <c r="A983" s="3" t="n">
        <v>2024</v>
      </c>
      <c r="B983" s="4" t="n">
        <v>9700</v>
      </c>
      <c r="C983" s="4" t="n">
        <v>381</v>
      </c>
      <c r="D983" s="4" t="n">
        <v>115.2525</v>
      </c>
      <c r="E983" s="5" t="n">
        <v>84.2</v>
      </c>
      <c r="F983" s="3" t="inlineStr">
        <is>
          <t>남이면</t>
        </is>
      </c>
      <c r="G983" s="3" t="inlineStr">
        <is>
          <t>수대리</t>
        </is>
      </c>
      <c r="H983" s="3" t="inlineStr">
        <is>
          <t>보전녹지지역</t>
        </is>
      </c>
      <c r="I983" s="3" t="inlineStr">
        <is>
          <t>임야</t>
        </is>
      </c>
      <c r="J983" s="3" t="inlineStr">
        <is>
          <t>남이면</t>
        </is>
      </c>
    </row>
    <row r="984">
      <c r="A984" s="3" t="n">
        <v>2024</v>
      </c>
      <c r="B984" s="4" t="n">
        <v>8000</v>
      </c>
      <c r="C984" s="4" t="n">
        <v>617</v>
      </c>
      <c r="D984" s="4" t="n">
        <v>186.6425</v>
      </c>
      <c r="E984" s="5" t="n">
        <v>42.9</v>
      </c>
      <c r="F984" s="3" t="inlineStr">
        <is>
          <t>남이면</t>
        </is>
      </c>
      <c r="G984" s="3" t="inlineStr">
        <is>
          <t>외천리</t>
        </is>
      </c>
      <c r="H984" s="3" t="inlineStr">
        <is>
          <t>농림지역</t>
        </is>
      </c>
      <c r="I984" s="3" t="inlineStr">
        <is>
          <t>답</t>
        </is>
      </c>
      <c r="J984" s="3" t="inlineStr">
        <is>
          <t>남이면</t>
        </is>
      </c>
    </row>
    <row r="985">
      <c r="A985" s="3" t="n">
        <v>2024</v>
      </c>
      <c r="B985" s="4" t="n">
        <v>39000</v>
      </c>
      <c r="C985" s="4" t="n">
        <v>1315</v>
      </c>
      <c r="D985" s="4" t="n">
        <v>397.7875</v>
      </c>
      <c r="E985" s="5" t="n">
        <v>98</v>
      </c>
      <c r="F985" s="3" t="inlineStr">
        <is>
          <t>남이면</t>
        </is>
      </c>
      <c r="G985" s="3" t="inlineStr">
        <is>
          <t>석실리</t>
        </is>
      </c>
      <c r="H985" s="3" t="inlineStr">
        <is>
          <t>자연녹지지역</t>
        </is>
      </c>
      <c r="I985" s="3" t="inlineStr">
        <is>
          <t>전</t>
        </is>
      </c>
      <c r="J985" s="3" t="inlineStr">
        <is>
          <t>남이면</t>
        </is>
      </c>
    </row>
    <row r="986">
      <c r="A986" s="3" t="n">
        <v>2024</v>
      </c>
      <c r="B986" s="4" t="n">
        <v>1000</v>
      </c>
      <c r="C986" s="4" t="n">
        <v>53</v>
      </c>
      <c r="D986" s="4" t="n">
        <v>16.0325</v>
      </c>
      <c r="E986" s="5" t="n">
        <v>62.4</v>
      </c>
      <c r="F986" s="3" t="inlineStr">
        <is>
          <t>남이면</t>
        </is>
      </c>
      <c r="G986" s="3" t="inlineStr">
        <is>
          <t>석실리</t>
        </is>
      </c>
      <c r="H986" s="3" t="inlineStr">
        <is>
          <t>자연녹지지역</t>
        </is>
      </c>
      <c r="I986" s="3" t="inlineStr">
        <is>
          <t>전</t>
        </is>
      </c>
      <c r="J986" s="3" t="inlineStr">
        <is>
          <t>남이면</t>
        </is>
      </c>
    </row>
    <row r="987">
      <c r="A987" s="3" t="n">
        <v>2024</v>
      </c>
      <c r="B987" s="4" t="n">
        <v>5352</v>
      </c>
      <c r="C987" s="4" t="n">
        <v>197</v>
      </c>
      <c r="D987" s="4" t="n">
        <v>59.5925</v>
      </c>
      <c r="E987" s="5" t="n">
        <v>89.8</v>
      </c>
      <c r="F987" s="3" t="inlineStr">
        <is>
          <t>남이면</t>
        </is>
      </c>
      <c r="G987" s="3" t="inlineStr">
        <is>
          <t>부용외천리</t>
        </is>
      </c>
      <c r="H987" s="3" t="inlineStr">
        <is>
          <t>계획관리지역</t>
        </is>
      </c>
      <c r="I987" s="3" t="inlineStr">
        <is>
          <t>도로</t>
        </is>
      </c>
      <c r="J987" s="3" t="inlineStr">
        <is>
          <t>남이면</t>
        </is>
      </c>
    </row>
    <row r="988">
      <c r="A988" s="3" t="n">
        <v>2024</v>
      </c>
      <c r="B988" s="4" t="n">
        <v>1037</v>
      </c>
      <c r="C988" s="4" t="n">
        <v>37</v>
      </c>
      <c r="D988" s="4" t="n">
        <v>11.1925</v>
      </c>
      <c r="E988" s="5" t="n">
        <v>92.7</v>
      </c>
      <c r="F988" s="3" t="inlineStr">
        <is>
          <t>남이면</t>
        </is>
      </c>
      <c r="G988" s="3" t="inlineStr">
        <is>
          <t>부용외천리</t>
        </is>
      </c>
      <c r="H988" s="3" t="inlineStr">
        <is>
          <t>계획관리지역</t>
        </is>
      </c>
      <c r="I988" s="3" t="inlineStr">
        <is>
          <t>도로</t>
        </is>
      </c>
      <c r="J988" s="3" t="inlineStr">
        <is>
          <t>남이면</t>
        </is>
      </c>
    </row>
    <row r="989">
      <c r="A989" s="3" t="n">
        <v>2024</v>
      </c>
      <c r="B989" s="4" t="n">
        <v>331</v>
      </c>
      <c r="C989" s="4" t="n">
        <v>13</v>
      </c>
      <c r="D989" s="4" t="n">
        <v>3.9325</v>
      </c>
      <c r="E989" s="5" t="n">
        <v>84.2</v>
      </c>
      <c r="F989" s="3" t="inlineStr">
        <is>
          <t>남이면</t>
        </is>
      </c>
      <c r="G989" s="3" t="inlineStr">
        <is>
          <t>부용외천리</t>
        </is>
      </c>
      <c r="H989" s="3" t="inlineStr">
        <is>
          <t>계획관리지역</t>
        </is>
      </c>
      <c r="I989" s="3" t="inlineStr">
        <is>
          <t>도로</t>
        </is>
      </c>
      <c r="J989" s="3" t="inlineStr">
        <is>
          <t>남이면</t>
        </is>
      </c>
    </row>
    <row r="990">
      <c r="A990" s="3" t="n">
        <v>2024</v>
      </c>
      <c r="B990" s="4" t="n">
        <v>1065</v>
      </c>
      <c r="C990" s="4" t="n">
        <v>38</v>
      </c>
      <c r="D990" s="4" t="n">
        <v>11.495</v>
      </c>
      <c r="E990" s="5" t="n">
        <v>92.59999999999999</v>
      </c>
      <c r="F990" s="3" t="inlineStr">
        <is>
          <t>남이면</t>
        </is>
      </c>
      <c r="G990" s="3" t="inlineStr">
        <is>
          <t>부용외천리</t>
        </is>
      </c>
      <c r="H990" s="3" t="inlineStr">
        <is>
          <t>계획관리지역</t>
        </is>
      </c>
      <c r="I990" s="3" t="inlineStr">
        <is>
          <t>도로</t>
        </is>
      </c>
      <c r="J990" s="3" t="inlineStr">
        <is>
          <t>남이면</t>
        </is>
      </c>
    </row>
    <row r="991">
      <c r="A991" s="3" t="n">
        <v>2024</v>
      </c>
      <c r="B991" s="4" t="n">
        <v>13953</v>
      </c>
      <c r="C991" s="4" t="n">
        <v>471</v>
      </c>
      <c r="D991" s="4" t="n">
        <v>142.4775</v>
      </c>
      <c r="E991" s="5" t="n">
        <v>97.90000000000001</v>
      </c>
      <c r="F991" s="3" t="inlineStr">
        <is>
          <t>남이면</t>
        </is>
      </c>
      <c r="G991" s="3" t="inlineStr">
        <is>
          <t>부용외천리</t>
        </is>
      </c>
      <c r="H991" s="3" t="inlineStr">
        <is>
          <t>계획관리지역</t>
        </is>
      </c>
      <c r="I991" s="3" t="inlineStr">
        <is>
          <t>도로</t>
        </is>
      </c>
      <c r="J991" s="3" t="inlineStr">
        <is>
          <t>남이면</t>
        </is>
      </c>
    </row>
    <row r="992">
      <c r="A992" s="3" t="n">
        <v>2024</v>
      </c>
      <c r="B992" s="4" t="n">
        <v>987</v>
      </c>
      <c r="C992" s="4" t="n">
        <v>102</v>
      </c>
      <c r="D992" s="4" t="n">
        <v>30.855</v>
      </c>
      <c r="E992" s="5" t="n">
        <v>32</v>
      </c>
      <c r="F992" s="3" t="inlineStr">
        <is>
          <t>남이면</t>
        </is>
      </c>
      <c r="G992" s="3" t="inlineStr">
        <is>
          <t>부용외천리</t>
        </is>
      </c>
      <c r="H992" s="3" t="inlineStr">
        <is>
          <t>계획관리지역</t>
        </is>
      </c>
      <c r="I992" s="3" t="inlineStr">
        <is>
          <t>도로</t>
        </is>
      </c>
      <c r="J992" s="3" t="inlineStr">
        <is>
          <t>남이면</t>
        </is>
      </c>
    </row>
    <row r="993">
      <c r="A993" s="3" t="n">
        <v>2024</v>
      </c>
      <c r="B993" s="4" t="n">
        <v>2600</v>
      </c>
      <c r="C993" s="4" t="n">
        <v>131</v>
      </c>
      <c r="D993" s="4" t="n">
        <v>39.6275</v>
      </c>
      <c r="E993" s="5" t="n">
        <v>65.59999999999999</v>
      </c>
      <c r="F993" s="3" t="inlineStr">
        <is>
          <t>남이면</t>
        </is>
      </c>
      <c r="G993" s="3" t="inlineStr">
        <is>
          <t>석실리</t>
        </is>
      </c>
      <c r="H993" s="3" t="inlineStr">
        <is>
          <t>자연녹지지역</t>
        </is>
      </c>
      <c r="I993" s="3" t="inlineStr">
        <is>
          <t>답</t>
        </is>
      </c>
      <c r="J993" s="3" t="inlineStr">
        <is>
          <t>남이면</t>
        </is>
      </c>
    </row>
    <row r="994">
      <c r="A994" s="3" t="n">
        <v>2024</v>
      </c>
      <c r="B994" s="4" t="n">
        <v>26000</v>
      </c>
      <c r="C994" s="4" t="n">
        <v>1306</v>
      </c>
      <c r="D994" s="4" t="n">
        <v>395.065</v>
      </c>
      <c r="E994" s="5" t="n">
        <v>65.8</v>
      </c>
      <c r="F994" s="3" t="inlineStr">
        <is>
          <t>남이면</t>
        </is>
      </c>
      <c r="G994" s="3" t="inlineStr">
        <is>
          <t>양촌리</t>
        </is>
      </c>
      <c r="H994" s="3" t="inlineStr">
        <is>
          <t>자연녹지지역</t>
        </is>
      </c>
      <c r="I994" s="3" t="inlineStr">
        <is>
          <t>전</t>
        </is>
      </c>
      <c r="J994" s="3" t="inlineStr">
        <is>
          <t>남이면</t>
        </is>
      </c>
    </row>
    <row r="995">
      <c r="A995" s="3" t="n">
        <v>2023</v>
      </c>
      <c r="B995" s="4" t="n">
        <v>400</v>
      </c>
      <c r="C995" s="4" t="n">
        <v>136</v>
      </c>
      <c r="D995" s="4" t="n">
        <v>41.14</v>
      </c>
      <c r="E995" s="5" t="n">
        <v>9.699999999999999</v>
      </c>
      <c r="F995" s="3" t="inlineStr">
        <is>
          <t>남이면</t>
        </is>
      </c>
      <c r="G995" s="3" t="inlineStr">
        <is>
          <t>산막리</t>
        </is>
      </c>
      <c r="H995" s="3" t="inlineStr">
        <is>
          <t>생산관리지역</t>
        </is>
      </c>
      <c r="I995" s="3" t="inlineStr">
        <is>
          <t>임야</t>
        </is>
      </c>
      <c r="J995" s="3" t="inlineStr">
        <is>
          <t>남이면</t>
        </is>
      </c>
    </row>
    <row r="996">
      <c r="A996" s="3" t="n">
        <v>2023</v>
      </c>
      <c r="B996" s="4" t="n">
        <v>5700</v>
      </c>
      <c r="C996" s="4" t="n">
        <v>376</v>
      </c>
      <c r="D996" s="4" t="n">
        <v>113.74</v>
      </c>
      <c r="E996" s="5" t="n">
        <v>50.1</v>
      </c>
      <c r="F996" s="3" t="inlineStr">
        <is>
          <t>남이면</t>
        </is>
      </c>
      <c r="G996" s="3" t="inlineStr">
        <is>
          <t>석실리</t>
        </is>
      </c>
      <c r="H996" s="3" t="inlineStr">
        <is>
          <t>자연녹지지역</t>
        </is>
      </c>
      <c r="I996" s="3" t="inlineStr">
        <is>
          <t>전</t>
        </is>
      </c>
      <c r="J996" s="3" t="inlineStr">
        <is>
          <t>남이면</t>
        </is>
      </c>
    </row>
    <row r="997">
      <c r="A997" s="3" t="n">
        <v>2023</v>
      </c>
      <c r="B997" s="4" t="n">
        <v>15000</v>
      </c>
      <c r="C997" s="4" t="n">
        <v>827</v>
      </c>
      <c r="D997" s="4" t="n">
        <v>250.1675</v>
      </c>
      <c r="E997" s="5" t="n">
        <v>60</v>
      </c>
      <c r="F997" s="3" t="inlineStr">
        <is>
          <t>남이면</t>
        </is>
      </c>
      <c r="G997" s="3" t="inlineStr">
        <is>
          <t>양촌리</t>
        </is>
      </c>
      <c r="H997" s="3" t="inlineStr">
        <is>
          <t>자연녹지지역</t>
        </is>
      </c>
      <c r="I997" s="3" t="inlineStr">
        <is>
          <t>임야</t>
        </is>
      </c>
      <c r="J997" s="3" t="inlineStr">
        <is>
          <t>남이면</t>
        </is>
      </c>
    </row>
    <row r="998">
      <c r="A998" s="3" t="n">
        <v>2023</v>
      </c>
      <c r="B998" s="4" t="n">
        <v>1000</v>
      </c>
      <c r="C998" s="4" t="n">
        <v>311</v>
      </c>
      <c r="D998" s="4" t="n">
        <v>94.0775</v>
      </c>
      <c r="E998" s="5" t="n">
        <v>10.6</v>
      </c>
      <c r="F998" s="3" t="inlineStr">
        <is>
          <t>남이면</t>
        </is>
      </c>
      <c r="G998" s="3" t="inlineStr">
        <is>
          <t>부용외천리</t>
        </is>
      </c>
      <c r="H998" s="3" t="inlineStr">
        <is>
          <t>생산관리지역</t>
        </is>
      </c>
      <c r="I998" s="3" t="inlineStr">
        <is>
          <t>전</t>
        </is>
      </c>
      <c r="J998" s="3" t="inlineStr">
        <is>
          <t>남이면</t>
        </is>
      </c>
    </row>
    <row r="999">
      <c r="A999" s="3" t="n">
        <v>2023</v>
      </c>
      <c r="B999" s="4" t="n">
        <v>2068</v>
      </c>
      <c r="C999" s="4" t="n">
        <v>220</v>
      </c>
      <c r="D999" s="4" t="n">
        <v>66.55</v>
      </c>
      <c r="E999" s="5" t="n">
        <v>31.1</v>
      </c>
      <c r="F999" s="3" t="inlineStr">
        <is>
          <t>남이면</t>
        </is>
      </c>
      <c r="G999" s="3" t="inlineStr">
        <is>
          <t>부용외천리</t>
        </is>
      </c>
      <c r="H999" s="3" t="inlineStr">
        <is>
          <t>생산관리지역</t>
        </is>
      </c>
      <c r="I999" s="3" t="inlineStr">
        <is>
          <t>답</t>
        </is>
      </c>
      <c r="J999" s="3" t="inlineStr">
        <is>
          <t>남이면</t>
        </is>
      </c>
    </row>
    <row r="1000">
      <c r="A1000" s="3" t="n">
        <v>2023</v>
      </c>
      <c r="B1000" s="4" t="n">
        <v>500</v>
      </c>
      <c r="C1000" s="4" t="n">
        <v>33</v>
      </c>
      <c r="D1000" s="4" t="n">
        <v>9.9825</v>
      </c>
      <c r="E1000" s="5" t="n">
        <v>50.1</v>
      </c>
      <c r="F1000" s="3" t="inlineStr">
        <is>
          <t>남이면</t>
        </is>
      </c>
      <c r="G1000" s="3" t="inlineStr">
        <is>
          <t>가좌리</t>
        </is>
      </c>
      <c r="H1000" s="3" t="inlineStr">
        <is>
          <t>자연녹지지역</t>
        </is>
      </c>
      <c r="I1000" s="3" t="inlineStr">
        <is>
          <t>임야</t>
        </is>
      </c>
      <c r="J1000" s="3" t="inlineStr">
        <is>
          <t>남이면</t>
        </is>
      </c>
    </row>
    <row r="1001">
      <c r="A1001" s="3" t="n">
        <v>2023</v>
      </c>
      <c r="B1001" s="4" t="n">
        <v>1050</v>
      </c>
      <c r="C1001" s="4" t="n">
        <v>72</v>
      </c>
      <c r="D1001" s="4" t="n">
        <v>21.78</v>
      </c>
      <c r="E1001" s="5" t="n">
        <v>48.2</v>
      </c>
      <c r="F1001" s="3" t="inlineStr">
        <is>
          <t>남이면</t>
        </is>
      </c>
      <c r="G1001" s="3" t="inlineStr">
        <is>
          <t>가좌리</t>
        </is>
      </c>
      <c r="H1001" s="3" t="inlineStr">
        <is>
          <t>보전녹지지역</t>
        </is>
      </c>
      <c r="I1001" s="3" t="inlineStr">
        <is>
          <t>임야</t>
        </is>
      </c>
      <c r="J1001" s="3" t="inlineStr">
        <is>
          <t>남이면</t>
        </is>
      </c>
    </row>
    <row r="1002">
      <c r="A1002" s="3" t="n">
        <v>2023</v>
      </c>
      <c r="B1002" s="4" t="n">
        <v>1010</v>
      </c>
      <c r="C1002" s="4" t="n">
        <v>94</v>
      </c>
      <c r="D1002" s="4" t="n">
        <v>28.435</v>
      </c>
      <c r="E1002" s="5" t="n">
        <v>35.5</v>
      </c>
      <c r="F1002" s="3" t="inlineStr">
        <is>
          <t>남이면</t>
        </is>
      </c>
      <c r="G1002" s="3" t="inlineStr">
        <is>
          <t>갈원리</t>
        </is>
      </c>
      <c r="H1002" s="3" t="inlineStr">
        <is>
          <t>보전관리지역</t>
        </is>
      </c>
      <c r="I1002" s="3" t="inlineStr">
        <is>
          <t>임야</t>
        </is>
      </c>
      <c r="J1002" s="3" t="inlineStr">
        <is>
          <t>남이면</t>
        </is>
      </c>
    </row>
    <row r="1003">
      <c r="A1003" s="3" t="n">
        <v>2023</v>
      </c>
      <c r="B1003" s="4" t="n">
        <v>6200</v>
      </c>
      <c r="C1003" s="4" t="n">
        <v>718</v>
      </c>
      <c r="D1003" s="4" t="n">
        <v>217.195</v>
      </c>
      <c r="E1003" s="5" t="n">
        <v>28.5</v>
      </c>
      <c r="F1003" s="3" t="inlineStr">
        <is>
          <t>남이면</t>
        </is>
      </c>
      <c r="G1003" s="3" t="inlineStr">
        <is>
          <t>문동리</t>
        </is>
      </c>
      <c r="H1003" s="3" t="inlineStr">
        <is>
          <t>보전녹지지역</t>
        </is>
      </c>
      <c r="I1003" s="3" t="inlineStr">
        <is>
          <t>임야</t>
        </is>
      </c>
      <c r="J1003" s="3" t="inlineStr">
        <is>
          <t>남이면</t>
        </is>
      </c>
    </row>
    <row r="1004">
      <c r="A1004" s="3" t="n">
        <v>2023</v>
      </c>
      <c r="B1004" s="4" t="n">
        <v>53874</v>
      </c>
      <c r="C1004" s="4" t="n">
        <v>2483</v>
      </c>
      <c r="D1004" s="4" t="n">
        <v>751.1075</v>
      </c>
      <c r="E1004" s="5" t="n">
        <v>71.7</v>
      </c>
      <c r="F1004" s="3" t="inlineStr">
        <is>
          <t>남이면</t>
        </is>
      </c>
      <c r="G1004" s="3" t="inlineStr">
        <is>
          <t>가좌리</t>
        </is>
      </c>
      <c r="H1004" s="3" t="inlineStr">
        <is>
          <t>보전녹지지역</t>
        </is>
      </c>
      <c r="I1004" s="3" t="inlineStr">
        <is>
          <t>임야</t>
        </is>
      </c>
      <c r="J1004" s="3" t="inlineStr">
        <is>
          <t>남이면</t>
        </is>
      </c>
    </row>
    <row r="1005">
      <c r="A1005" s="3" t="n">
        <v>2023</v>
      </c>
      <c r="B1005" s="4" t="n">
        <v>53852</v>
      </c>
      <c r="C1005" s="4" t="n">
        <v>2482</v>
      </c>
      <c r="D1005" s="4" t="n">
        <v>750.8049999999999</v>
      </c>
      <c r="E1005" s="5" t="n">
        <v>71.7</v>
      </c>
      <c r="F1005" s="3" t="inlineStr">
        <is>
          <t>남이면</t>
        </is>
      </c>
      <c r="G1005" s="3" t="inlineStr">
        <is>
          <t>가좌리</t>
        </is>
      </c>
      <c r="H1005" s="3" t="inlineStr">
        <is>
          <t>보전녹지지역</t>
        </is>
      </c>
      <c r="I1005" s="3" t="inlineStr">
        <is>
          <t>임야</t>
        </is>
      </c>
      <c r="J1005" s="3" t="inlineStr">
        <is>
          <t>남이면</t>
        </is>
      </c>
    </row>
    <row r="1006">
      <c r="A1006" s="3" t="n">
        <v>2023</v>
      </c>
      <c r="B1006" s="4" t="n">
        <v>542</v>
      </c>
      <c r="C1006" s="4" t="n">
        <v>25</v>
      </c>
      <c r="D1006" s="4" t="n">
        <v>7.5625</v>
      </c>
      <c r="E1006" s="5" t="n">
        <v>71.7</v>
      </c>
      <c r="F1006" s="3" t="inlineStr">
        <is>
          <t>남이면</t>
        </is>
      </c>
      <c r="G1006" s="3" t="inlineStr">
        <is>
          <t>가좌리</t>
        </is>
      </c>
      <c r="H1006" s="3" t="inlineStr">
        <is>
          <t>보전녹지지역</t>
        </is>
      </c>
      <c r="I1006" s="3" t="inlineStr">
        <is>
          <t>임야</t>
        </is>
      </c>
      <c r="J1006" s="3" t="inlineStr">
        <is>
          <t>남이면</t>
        </is>
      </c>
    </row>
    <row r="1007">
      <c r="A1007" s="3" t="n">
        <v>2024</v>
      </c>
      <c r="B1007" s="4" t="n">
        <v>14100</v>
      </c>
      <c r="C1007" s="4" t="n">
        <v>919</v>
      </c>
      <c r="D1007" s="4" t="n">
        <v>277.9975</v>
      </c>
      <c r="E1007" s="5" t="n">
        <v>50.7</v>
      </c>
      <c r="F1007" s="3" t="inlineStr">
        <is>
          <t>남이면</t>
        </is>
      </c>
      <c r="G1007" s="3" t="inlineStr">
        <is>
          <t>구미리</t>
        </is>
      </c>
      <c r="H1007" s="3" t="inlineStr">
        <is>
          <t>계획관리지역</t>
        </is>
      </c>
      <c r="I1007" s="3" t="inlineStr">
        <is>
          <t>공장용지</t>
        </is>
      </c>
      <c r="J1007" s="3" t="inlineStr">
        <is>
          <t>남이면</t>
        </is>
      </c>
    </row>
    <row r="1008">
      <c r="A1008" s="3" t="n">
        <v>2024</v>
      </c>
      <c r="B1008" s="4" t="n">
        <v>200</v>
      </c>
      <c r="C1008" s="4" t="n">
        <v>25.13</v>
      </c>
      <c r="D1008" s="4" t="n">
        <v>7.601825</v>
      </c>
      <c r="E1008" s="5" t="n">
        <v>26.3</v>
      </c>
      <c r="F1008" s="3" t="inlineStr">
        <is>
          <t>남이면</t>
        </is>
      </c>
      <c r="G1008" s="3" t="inlineStr">
        <is>
          <t>구미리</t>
        </is>
      </c>
      <c r="H1008" s="3" t="inlineStr">
        <is>
          <t>계획관리지역</t>
        </is>
      </c>
      <c r="I1008" s="3" t="inlineStr">
        <is>
          <t>도로</t>
        </is>
      </c>
      <c r="J1008" s="3" t="inlineStr">
        <is>
          <t>남이면</t>
        </is>
      </c>
    </row>
    <row r="1009">
      <c r="A1009" s="3" t="n">
        <v>2024</v>
      </c>
      <c r="B1009" s="4" t="n">
        <v>200</v>
      </c>
      <c r="C1009" s="4" t="n">
        <v>32.78</v>
      </c>
      <c r="D1009" s="4" t="n">
        <v>9.91595</v>
      </c>
      <c r="E1009" s="5" t="n">
        <v>20.2</v>
      </c>
      <c r="F1009" s="3" t="inlineStr">
        <is>
          <t>남이면</t>
        </is>
      </c>
      <c r="G1009" s="3" t="inlineStr">
        <is>
          <t>구미리</t>
        </is>
      </c>
      <c r="H1009" s="3" t="inlineStr">
        <is>
          <t>계획관리지역</t>
        </is>
      </c>
      <c r="I1009" s="3" t="inlineStr">
        <is>
          <t>도로</t>
        </is>
      </c>
      <c r="J1009" s="3" t="inlineStr">
        <is>
          <t>남이면</t>
        </is>
      </c>
    </row>
    <row r="1010">
      <c r="A1010" s="3" t="n">
        <v>2024</v>
      </c>
      <c r="B1010" s="4" t="n">
        <v>80</v>
      </c>
      <c r="C1010" s="4" t="n">
        <v>10.83</v>
      </c>
      <c r="D1010" s="4" t="n">
        <v>3.276075</v>
      </c>
      <c r="E1010" s="5" t="n">
        <v>24.4</v>
      </c>
      <c r="F1010" s="3" t="inlineStr">
        <is>
          <t>남이면</t>
        </is>
      </c>
      <c r="G1010" s="3" t="inlineStr">
        <is>
          <t>구미리</t>
        </is>
      </c>
      <c r="H1010" s="3" t="inlineStr">
        <is>
          <t>계획관리지역</t>
        </is>
      </c>
      <c r="I1010" s="3" t="inlineStr">
        <is>
          <t>도로</t>
        </is>
      </c>
      <c r="J1010" s="3" t="inlineStr">
        <is>
          <t>남이면</t>
        </is>
      </c>
    </row>
    <row r="1011">
      <c r="A1011" s="3" t="n">
        <v>2024</v>
      </c>
      <c r="B1011" s="4" t="n">
        <v>200</v>
      </c>
      <c r="C1011" s="4" t="n">
        <v>32.66</v>
      </c>
      <c r="D1011" s="4" t="n">
        <v>9.879649999999998</v>
      </c>
      <c r="E1011" s="5" t="n">
        <v>20.2</v>
      </c>
      <c r="F1011" s="3" t="inlineStr">
        <is>
          <t>남이면</t>
        </is>
      </c>
      <c r="G1011" s="3" t="inlineStr">
        <is>
          <t>구미리</t>
        </is>
      </c>
      <c r="H1011" s="3" t="inlineStr">
        <is>
          <t>계획관리지역</t>
        </is>
      </c>
      <c r="I1011" s="3" t="inlineStr">
        <is>
          <t>도로</t>
        </is>
      </c>
      <c r="J1011" s="3" t="inlineStr">
        <is>
          <t>남이면</t>
        </is>
      </c>
    </row>
    <row r="1012">
      <c r="A1012" s="3" t="n">
        <v>2024</v>
      </c>
      <c r="B1012" s="4" t="n">
        <v>60</v>
      </c>
      <c r="C1012" s="4" t="n">
        <v>8</v>
      </c>
      <c r="D1012" s="4" t="n">
        <v>2.42</v>
      </c>
      <c r="E1012" s="5" t="n">
        <v>24.8</v>
      </c>
      <c r="F1012" s="3" t="inlineStr">
        <is>
          <t>남이면</t>
        </is>
      </c>
      <c r="G1012" s="3" t="inlineStr">
        <is>
          <t>구미리</t>
        </is>
      </c>
      <c r="H1012" s="3" t="inlineStr">
        <is>
          <t>계획관리지역</t>
        </is>
      </c>
      <c r="I1012" s="3" t="inlineStr">
        <is>
          <t>도로</t>
        </is>
      </c>
      <c r="J1012" s="3" t="inlineStr">
        <is>
          <t>남이면</t>
        </is>
      </c>
    </row>
    <row r="1013">
      <c r="A1013" s="3" t="n">
        <v>2024</v>
      </c>
      <c r="B1013" s="4" t="n">
        <v>200</v>
      </c>
      <c r="C1013" s="4" t="n">
        <v>26.66</v>
      </c>
      <c r="D1013" s="4" t="n">
        <v>8.06465</v>
      </c>
      <c r="E1013" s="5" t="n">
        <v>24.8</v>
      </c>
      <c r="F1013" s="3" t="inlineStr">
        <is>
          <t>남이면</t>
        </is>
      </c>
      <c r="G1013" s="3" t="inlineStr">
        <is>
          <t>구미리</t>
        </is>
      </c>
      <c r="H1013" s="3" t="inlineStr">
        <is>
          <t>계획관리지역</t>
        </is>
      </c>
      <c r="I1013" s="3" t="inlineStr">
        <is>
          <t>도로</t>
        </is>
      </c>
      <c r="J1013" s="3" t="inlineStr">
        <is>
          <t>남이면</t>
        </is>
      </c>
    </row>
    <row r="1014">
      <c r="A1014" s="3" t="n">
        <v>2024</v>
      </c>
      <c r="B1014" s="4" t="n">
        <v>19360</v>
      </c>
      <c r="C1014" s="4" t="n">
        <v>804</v>
      </c>
      <c r="D1014" s="4" t="n">
        <v>243.21</v>
      </c>
      <c r="E1014" s="5" t="n">
        <v>79.59999999999999</v>
      </c>
      <c r="F1014" s="3" t="inlineStr">
        <is>
          <t>남이면</t>
        </is>
      </c>
      <c r="G1014" s="3" t="inlineStr">
        <is>
          <t>문동리</t>
        </is>
      </c>
      <c r="H1014" s="3" t="inlineStr">
        <is>
          <t>기타</t>
        </is>
      </c>
      <c r="I1014" s="3" t="inlineStr">
        <is>
          <t>임야</t>
        </is>
      </c>
      <c r="J1014" s="3" t="inlineStr">
        <is>
          <t>남이면</t>
        </is>
      </c>
    </row>
    <row r="1015">
      <c r="A1015" s="3" t="n">
        <v>2024</v>
      </c>
      <c r="B1015" s="4" t="n">
        <v>200</v>
      </c>
      <c r="C1015" s="4" t="n">
        <v>25.13</v>
      </c>
      <c r="D1015" s="4" t="n">
        <v>7.601825</v>
      </c>
      <c r="E1015" s="5" t="n">
        <v>26.3</v>
      </c>
      <c r="F1015" s="3" t="inlineStr">
        <is>
          <t>남이면</t>
        </is>
      </c>
      <c r="G1015" s="3" t="inlineStr">
        <is>
          <t>구미리</t>
        </is>
      </c>
      <c r="H1015" s="3" t="inlineStr">
        <is>
          <t>계획관리지역</t>
        </is>
      </c>
      <c r="I1015" s="3" t="inlineStr">
        <is>
          <t>도로</t>
        </is>
      </c>
      <c r="J1015" s="3" t="inlineStr">
        <is>
          <t>남이면</t>
        </is>
      </c>
    </row>
    <row r="1016">
      <c r="A1016" s="3" t="n">
        <v>2024</v>
      </c>
      <c r="B1016" s="4" t="n">
        <v>200</v>
      </c>
      <c r="C1016" s="4" t="n">
        <v>32.86</v>
      </c>
      <c r="D1016" s="4" t="n">
        <v>9.940149999999999</v>
      </c>
      <c r="E1016" s="5" t="n">
        <v>20.1</v>
      </c>
      <c r="F1016" s="3" t="inlineStr">
        <is>
          <t>남이면</t>
        </is>
      </c>
      <c r="G1016" s="3" t="inlineStr">
        <is>
          <t>구미리</t>
        </is>
      </c>
      <c r="H1016" s="3" t="inlineStr">
        <is>
          <t>계획관리지역</t>
        </is>
      </c>
      <c r="I1016" s="3" t="inlineStr">
        <is>
          <t>도로</t>
        </is>
      </c>
      <c r="J1016" s="3" t="inlineStr">
        <is>
          <t>남이면</t>
        </is>
      </c>
    </row>
    <row r="1017">
      <c r="A1017" s="3" t="n">
        <v>2024</v>
      </c>
      <c r="B1017" s="4" t="n">
        <v>80</v>
      </c>
      <c r="C1017" s="4" t="n">
        <v>10.83</v>
      </c>
      <c r="D1017" s="4" t="n">
        <v>3.276075</v>
      </c>
      <c r="E1017" s="5" t="n">
        <v>24.4</v>
      </c>
      <c r="F1017" s="3" t="inlineStr">
        <is>
          <t>남이면</t>
        </is>
      </c>
      <c r="G1017" s="3" t="inlineStr">
        <is>
          <t>구미리</t>
        </is>
      </c>
      <c r="H1017" s="3" t="inlineStr">
        <is>
          <t>계획관리지역</t>
        </is>
      </c>
      <c r="I1017" s="3" t="inlineStr">
        <is>
          <t>도로</t>
        </is>
      </c>
      <c r="J1017" s="3" t="inlineStr">
        <is>
          <t>남이면</t>
        </is>
      </c>
    </row>
    <row r="1018">
      <c r="A1018" s="3" t="n">
        <v>2024</v>
      </c>
      <c r="B1018" s="4" t="n">
        <v>200</v>
      </c>
      <c r="C1018" s="4" t="n">
        <v>32</v>
      </c>
      <c r="D1018" s="4" t="n">
        <v>9.68</v>
      </c>
      <c r="E1018" s="5" t="n">
        <v>20.7</v>
      </c>
      <c r="F1018" s="3" t="inlineStr">
        <is>
          <t>남이면</t>
        </is>
      </c>
      <c r="G1018" s="3" t="inlineStr">
        <is>
          <t>구미리</t>
        </is>
      </c>
      <c r="H1018" s="3" t="inlineStr">
        <is>
          <t>계획관리지역</t>
        </is>
      </c>
      <c r="I1018" s="3" t="inlineStr">
        <is>
          <t>도로</t>
        </is>
      </c>
      <c r="J1018" s="3" t="inlineStr">
        <is>
          <t>남이면</t>
        </is>
      </c>
    </row>
    <row r="1019">
      <c r="A1019" s="3" t="n">
        <v>2024</v>
      </c>
      <c r="B1019" s="4" t="n">
        <v>60</v>
      </c>
      <c r="C1019" s="4" t="n">
        <v>8</v>
      </c>
      <c r="D1019" s="4" t="n">
        <v>2.42</v>
      </c>
      <c r="E1019" s="5" t="n">
        <v>24.8</v>
      </c>
      <c r="F1019" s="3" t="inlineStr">
        <is>
          <t>남이면</t>
        </is>
      </c>
      <c r="G1019" s="3" t="inlineStr">
        <is>
          <t>구미리</t>
        </is>
      </c>
      <c r="H1019" s="3" t="inlineStr">
        <is>
          <t>계획관리지역</t>
        </is>
      </c>
      <c r="I1019" s="3" t="inlineStr">
        <is>
          <t>도로</t>
        </is>
      </c>
      <c r="J1019" s="3" t="inlineStr">
        <is>
          <t>남이면</t>
        </is>
      </c>
    </row>
    <row r="1020">
      <c r="A1020" s="3" t="n">
        <v>2024</v>
      </c>
      <c r="B1020" s="4" t="n">
        <v>200</v>
      </c>
      <c r="C1020" s="4" t="n">
        <v>26.6</v>
      </c>
      <c r="D1020" s="4" t="n">
        <v>8.0465</v>
      </c>
      <c r="E1020" s="5" t="n">
        <v>24.9</v>
      </c>
      <c r="F1020" s="3" t="inlineStr">
        <is>
          <t>남이면</t>
        </is>
      </c>
      <c r="G1020" s="3" t="inlineStr">
        <is>
          <t>구미리</t>
        </is>
      </c>
      <c r="H1020" s="3" t="inlineStr">
        <is>
          <t>계획관리지역</t>
        </is>
      </c>
      <c r="I1020" s="3" t="inlineStr">
        <is>
          <t>도로</t>
        </is>
      </c>
      <c r="J1020" s="3" t="inlineStr">
        <is>
          <t>남이면</t>
        </is>
      </c>
    </row>
    <row r="1021">
      <c r="A1021" s="3" t="n">
        <v>2024</v>
      </c>
      <c r="B1021" s="4" t="n">
        <v>34900</v>
      </c>
      <c r="C1021" s="4" t="n">
        <v>1154</v>
      </c>
      <c r="D1021" s="4" t="n">
        <v>349.085</v>
      </c>
      <c r="E1021" s="5" t="n">
        <v>100</v>
      </c>
      <c r="F1021" s="3" t="inlineStr">
        <is>
          <t>남이면</t>
        </is>
      </c>
      <c r="G1021" s="3" t="inlineStr">
        <is>
          <t>구암리</t>
        </is>
      </c>
      <c r="H1021" s="3" t="inlineStr">
        <is>
          <t>자연녹지지역</t>
        </is>
      </c>
      <c r="I1021" s="3" t="inlineStr">
        <is>
          <t>전</t>
        </is>
      </c>
      <c r="J1021" s="3" t="inlineStr">
        <is>
          <t>남이면</t>
        </is>
      </c>
    </row>
    <row r="1022">
      <c r="A1022" s="3" t="n">
        <v>2024</v>
      </c>
      <c r="B1022" s="4" t="n">
        <v>27800</v>
      </c>
      <c r="C1022" s="4" t="n">
        <v>897</v>
      </c>
      <c r="D1022" s="4" t="n">
        <v>271.3425</v>
      </c>
      <c r="E1022" s="5" t="n">
        <v>102.5</v>
      </c>
      <c r="F1022" s="3" t="inlineStr">
        <is>
          <t>남이면</t>
        </is>
      </c>
      <c r="G1022" s="3" t="inlineStr">
        <is>
          <t>양촌리</t>
        </is>
      </c>
      <c r="H1022" s="3" t="inlineStr">
        <is>
          <t>자연녹지지역</t>
        </is>
      </c>
      <c r="I1022" s="3" t="inlineStr">
        <is>
          <t>전</t>
        </is>
      </c>
      <c r="J1022" s="3" t="inlineStr">
        <is>
          <t>남이면</t>
        </is>
      </c>
    </row>
    <row r="1023">
      <c r="A1023" s="3" t="n">
        <v>2024</v>
      </c>
      <c r="B1023" s="4" t="n">
        <v>12000</v>
      </c>
      <c r="C1023" s="4" t="n">
        <v>1954</v>
      </c>
      <c r="D1023" s="4" t="n">
        <v>591.085</v>
      </c>
      <c r="E1023" s="5" t="n">
        <v>20.3</v>
      </c>
      <c r="F1023" s="3" t="inlineStr">
        <is>
          <t>남이면</t>
        </is>
      </c>
      <c r="G1023" s="3" t="inlineStr">
        <is>
          <t>대련리</t>
        </is>
      </c>
      <c r="H1023" s="3" t="inlineStr">
        <is>
          <t>자연녹지지역</t>
        </is>
      </c>
      <c r="I1023" s="3" t="inlineStr">
        <is>
          <t>전</t>
        </is>
      </c>
      <c r="J1023" s="3" t="inlineStr">
        <is>
          <t>남이면</t>
        </is>
      </c>
    </row>
    <row r="1024">
      <c r="A1024" s="3" t="n">
        <v>2024</v>
      </c>
      <c r="B1024" s="4" t="n">
        <v>12500</v>
      </c>
      <c r="C1024" s="4" t="n">
        <v>493</v>
      </c>
      <c r="D1024" s="4" t="n">
        <v>149.1325</v>
      </c>
      <c r="E1024" s="5" t="n">
        <v>83.8</v>
      </c>
      <c r="F1024" s="3" t="inlineStr">
        <is>
          <t>연동면</t>
        </is>
      </c>
      <c r="G1024" s="3" t="inlineStr">
        <is>
          <t>응암리</t>
        </is>
      </c>
      <c r="H1024" s="3" t="inlineStr">
        <is>
          <t>계획관리지역</t>
        </is>
      </c>
      <c r="I1024" s="3" t="inlineStr">
        <is>
          <t>전</t>
        </is>
      </c>
      <c r="J1024" s="3" t="inlineStr">
        <is>
          <t>연동면</t>
        </is>
      </c>
    </row>
    <row r="1025">
      <c r="A1025" s="3" t="n">
        <v>2022</v>
      </c>
      <c r="B1025" s="4" t="n">
        <v>22650</v>
      </c>
      <c r="C1025" s="4" t="n">
        <v>501</v>
      </c>
      <c r="D1025" s="4" t="n">
        <v>151.5525</v>
      </c>
      <c r="E1025" s="5" t="n">
        <v>149.5</v>
      </c>
      <c r="F1025" s="3" t="inlineStr">
        <is>
          <t>남이면</t>
        </is>
      </c>
      <c r="G1025" s="3" t="inlineStr">
        <is>
          <t>석판리</t>
        </is>
      </c>
      <c r="H1025" s="3" t="inlineStr">
        <is>
          <t>자연녹지지역</t>
        </is>
      </c>
      <c r="I1025" s="3" t="inlineStr">
        <is>
          <t>대</t>
        </is>
      </c>
      <c r="J1025" s="3" t="inlineStr">
        <is>
          <t>남이면</t>
        </is>
      </c>
    </row>
    <row r="1026">
      <c r="A1026" s="3" t="n">
        <v>2022</v>
      </c>
      <c r="B1026" s="4" t="n">
        <v>49448</v>
      </c>
      <c r="C1026" s="4" t="n">
        <v>817</v>
      </c>
      <c r="D1026" s="4" t="n">
        <v>247.1425</v>
      </c>
      <c r="E1026" s="5" t="n">
        <v>200.1</v>
      </c>
      <c r="F1026" s="3" t="inlineStr">
        <is>
          <t>남이면</t>
        </is>
      </c>
      <c r="G1026" s="3" t="inlineStr">
        <is>
          <t>양촌리</t>
        </is>
      </c>
      <c r="H1026" s="3" t="inlineStr">
        <is>
          <t>보전녹지지역</t>
        </is>
      </c>
      <c r="I1026" s="3" t="inlineStr">
        <is>
          <t>임야</t>
        </is>
      </c>
      <c r="J1026" s="3" t="inlineStr">
        <is>
          <t>남이면</t>
        </is>
      </c>
    </row>
    <row r="1027">
      <c r="A1027" s="3" t="n">
        <v>2022</v>
      </c>
      <c r="B1027" s="4" t="n">
        <v>49448</v>
      </c>
      <c r="C1027" s="4" t="n">
        <v>817</v>
      </c>
      <c r="D1027" s="4" t="n">
        <v>247.1425</v>
      </c>
      <c r="E1027" s="5" t="n">
        <v>200.1</v>
      </c>
      <c r="F1027" s="3" t="inlineStr">
        <is>
          <t>남이면</t>
        </is>
      </c>
      <c r="G1027" s="3" t="inlineStr">
        <is>
          <t>양촌리</t>
        </is>
      </c>
      <c r="H1027" s="3" t="inlineStr">
        <is>
          <t>보전녹지지역</t>
        </is>
      </c>
      <c r="I1027" s="3" t="inlineStr">
        <is>
          <t>임야</t>
        </is>
      </c>
      <c r="J1027" s="3" t="inlineStr">
        <is>
          <t>남이면</t>
        </is>
      </c>
    </row>
    <row r="1028">
      <c r="A1028" s="3" t="n">
        <v>2022</v>
      </c>
      <c r="B1028" s="4" t="n">
        <v>24420</v>
      </c>
      <c r="C1028" s="4" t="n">
        <v>1345</v>
      </c>
      <c r="D1028" s="4" t="n">
        <v>406.8625</v>
      </c>
      <c r="E1028" s="5" t="n">
        <v>60</v>
      </c>
      <c r="F1028" s="3" t="inlineStr">
        <is>
          <t>남이면</t>
        </is>
      </c>
      <c r="G1028" s="3" t="inlineStr">
        <is>
          <t>가좌리</t>
        </is>
      </c>
      <c r="H1028" s="3" t="inlineStr">
        <is>
          <t>자연녹지지역</t>
        </is>
      </c>
      <c r="I1028" s="3" t="inlineStr">
        <is>
          <t>답</t>
        </is>
      </c>
      <c r="J1028" s="3" t="inlineStr">
        <is>
          <t>남이면</t>
        </is>
      </c>
    </row>
    <row r="1029">
      <c r="A1029" s="3" t="n">
        <v>2022</v>
      </c>
      <c r="B1029" s="4" t="n">
        <v>37600</v>
      </c>
      <c r="C1029" s="4" t="n">
        <v>2324</v>
      </c>
      <c r="D1029" s="4" t="n">
        <v>703.01</v>
      </c>
      <c r="E1029" s="5" t="n">
        <v>53.5</v>
      </c>
      <c r="F1029" s="3" t="inlineStr">
        <is>
          <t>남이면</t>
        </is>
      </c>
      <c r="G1029" s="3" t="inlineStr">
        <is>
          <t>구암리</t>
        </is>
      </c>
      <c r="H1029" s="3" t="inlineStr">
        <is>
          <t>자연녹지지역</t>
        </is>
      </c>
      <c r="I1029" s="3" t="inlineStr">
        <is>
          <t>답</t>
        </is>
      </c>
      <c r="J1029" s="3" t="inlineStr">
        <is>
          <t>남이면</t>
        </is>
      </c>
    </row>
    <row r="1030">
      <c r="A1030" s="3" t="n">
        <v>2022</v>
      </c>
      <c r="B1030" s="4" t="n">
        <v>14000</v>
      </c>
      <c r="C1030" s="4" t="n">
        <v>1117</v>
      </c>
      <c r="D1030" s="4" t="n">
        <v>337.8925</v>
      </c>
      <c r="E1030" s="5" t="n">
        <v>41.4</v>
      </c>
      <c r="F1030" s="3" t="inlineStr">
        <is>
          <t>남이면</t>
        </is>
      </c>
      <c r="G1030" s="3" t="inlineStr">
        <is>
          <t>외천리</t>
        </is>
      </c>
      <c r="H1030" s="3" t="inlineStr">
        <is>
          <t>계획관리지역</t>
        </is>
      </c>
      <c r="I1030" s="3" t="inlineStr">
        <is>
          <t>도로</t>
        </is>
      </c>
      <c r="J1030" s="3" t="inlineStr">
        <is>
          <t>남이면</t>
        </is>
      </c>
    </row>
    <row r="1031">
      <c r="A1031" s="3" t="n">
        <v>2022</v>
      </c>
      <c r="B1031" s="4" t="n">
        <v>4800</v>
      </c>
      <c r="C1031" s="4" t="n">
        <v>221</v>
      </c>
      <c r="D1031" s="4" t="n">
        <v>66.85249999999999</v>
      </c>
      <c r="E1031" s="5" t="n">
        <v>71.8</v>
      </c>
      <c r="F1031" s="3" t="inlineStr">
        <is>
          <t>남이면</t>
        </is>
      </c>
      <c r="G1031" s="3" t="inlineStr">
        <is>
          <t>가마리</t>
        </is>
      </c>
      <c r="H1031" s="3" t="inlineStr">
        <is>
          <t>자연녹지지역</t>
        </is>
      </c>
      <c r="I1031" s="3" t="inlineStr">
        <is>
          <t>도로</t>
        </is>
      </c>
      <c r="J1031" s="3" t="inlineStr">
        <is>
          <t>남이면</t>
        </is>
      </c>
    </row>
    <row r="1032">
      <c r="A1032" s="3" t="n">
        <v>2022</v>
      </c>
      <c r="B1032" s="4" t="n">
        <v>12700</v>
      </c>
      <c r="C1032" s="4" t="n">
        <v>630</v>
      </c>
      <c r="D1032" s="4" t="n">
        <v>190.575</v>
      </c>
      <c r="E1032" s="5" t="n">
        <v>66.59999999999999</v>
      </c>
      <c r="F1032" s="3" t="inlineStr">
        <is>
          <t>남이면</t>
        </is>
      </c>
      <c r="G1032" s="3" t="inlineStr">
        <is>
          <t>구암리</t>
        </is>
      </c>
      <c r="H1032" s="3" t="inlineStr">
        <is>
          <t>자연녹지지역</t>
        </is>
      </c>
      <c r="I1032" s="3" t="inlineStr">
        <is>
          <t>전</t>
        </is>
      </c>
      <c r="J1032" s="3" t="inlineStr">
        <is>
          <t>남이면</t>
        </is>
      </c>
    </row>
    <row r="1033">
      <c r="A1033" s="3" t="n">
        <v>2022</v>
      </c>
      <c r="B1033" s="4" t="n">
        <v>21030</v>
      </c>
      <c r="C1033" s="4" t="n">
        <v>656</v>
      </c>
      <c r="D1033" s="4" t="n">
        <v>198.44</v>
      </c>
      <c r="E1033" s="5" t="n">
        <v>106</v>
      </c>
      <c r="F1033" s="3" t="inlineStr">
        <is>
          <t>남이면</t>
        </is>
      </c>
      <c r="G1033" s="3" t="inlineStr">
        <is>
          <t>수대리</t>
        </is>
      </c>
      <c r="H1033" s="3" t="inlineStr">
        <is>
          <t>보전녹지지역</t>
        </is>
      </c>
      <c r="I1033" s="3" t="inlineStr">
        <is>
          <t>임야</t>
        </is>
      </c>
      <c r="J1033" s="3" t="inlineStr">
        <is>
          <t>남이면</t>
        </is>
      </c>
    </row>
    <row r="1034">
      <c r="A1034" s="3" t="n">
        <v>2022</v>
      </c>
      <c r="B1034" s="4" t="n">
        <v>41500</v>
      </c>
      <c r="C1034" s="4" t="n">
        <v>250.2</v>
      </c>
      <c r="D1034" s="4" t="n">
        <v>75.68549999999999</v>
      </c>
      <c r="E1034" s="5" t="n">
        <v>548.3</v>
      </c>
      <c r="F1034" s="3" t="inlineStr">
        <is>
          <t>조치원읍</t>
        </is>
      </c>
      <c r="G1034" s="3" t="inlineStr">
        <is>
          <t>침산리</t>
        </is>
      </c>
      <c r="H1034" s="3" t="inlineStr">
        <is>
          <t>제2종일반주거지역</t>
        </is>
      </c>
      <c r="I1034" s="3" t="inlineStr">
        <is>
          <t>대</t>
        </is>
      </c>
      <c r="J1034" s="3" t="inlineStr">
        <is>
          <t>조치원읍</t>
        </is>
      </c>
    </row>
    <row r="1035">
      <c r="A1035" s="3" t="n">
        <v>2022</v>
      </c>
      <c r="B1035" s="4" t="n">
        <v>3000</v>
      </c>
      <c r="C1035" s="4" t="n">
        <v>30</v>
      </c>
      <c r="D1035" s="4" t="n">
        <v>9.074999999999999</v>
      </c>
      <c r="E1035" s="5" t="n">
        <v>330.6</v>
      </c>
      <c r="F1035" s="3" t="inlineStr">
        <is>
          <t>연동면</t>
        </is>
      </c>
      <c r="G1035" s="3" t="inlineStr">
        <is>
          <t>노송리</t>
        </is>
      </c>
      <c r="H1035" s="3" t="inlineStr">
        <is>
          <t>계획관리지역</t>
        </is>
      </c>
      <c r="I1035" s="3" t="inlineStr">
        <is>
          <t>전</t>
        </is>
      </c>
      <c r="J1035" s="3" t="inlineStr">
        <is>
          <t>연동면</t>
        </is>
      </c>
    </row>
    <row r="1036">
      <c r="A1036" s="3" t="n">
        <v>2022</v>
      </c>
      <c r="B1036" s="4" t="n">
        <v>16000</v>
      </c>
      <c r="C1036" s="4" t="n">
        <v>187</v>
      </c>
      <c r="D1036" s="4" t="n">
        <v>56.5675</v>
      </c>
      <c r="E1036" s="5" t="n">
        <v>282.8</v>
      </c>
      <c r="F1036" s="3" t="inlineStr">
        <is>
          <t>연동면</t>
        </is>
      </c>
      <c r="G1036" s="3" t="inlineStr">
        <is>
          <t>내판리</t>
        </is>
      </c>
      <c r="H1036" s="3" t="inlineStr">
        <is>
          <t>계획관리지역</t>
        </is>
      </c>
      <c r="I1036" s="3" t="inlineStr">
        <is>
          <t>임야</t>
        </is>
      </c>
      <c r="J1036" s="3" t="inlineStr">
        <is>
          <t>연동면</t>
        </is>
      </c>
    </row>
    <row r="1037">
      <c r="A1037" s="3" t="n">
        <v>2022</v>
      </c>
      <c r="B1037" s="4" t="n">
        <v>38696</v>
      </c>
      <c r="C1037" s="4" t="n">
        <v>492</v>
      </c>
      <c r="D1037" s="4" t="n">
        <v>148.83</v>
      </c>
      <c r="E1037" s="5" t="n">
        <v>260</v>
      </c>
      <c r="F1037" s="3" t="inlineStr">
        <is>
          <t>연동면</t>
        </is>
      </c>
      <c r="G1037" s="3" t="inlineStr">
        <is>
          <t>내판리</t>
        </is>
      </c>
      <c r="H1037" s="3" t="inlineStr">
        <is>
          <t>보전관리지역</t>
        </is>
      </c>
      <c r="I1037" s="3" t="inlineStr">
        <is>
          <t>대</t>
        </is>
      </c>
      <c r="J1037" s="3" t="inlineStr">
        <is>
          <t>연동면</t>
        </is>
      </c>
    </row>
    <row r="1038">
      <c r="A1038" s="3" t="n">
        <v>2022</v>
      </c>
      <c r="B1038" s="4" t="n">
        <v>14472</v>
      </c>
      <c r="C1038" s="4" t="n">
        <v>184</v>
      </c>
      <c r="D1038" s="4" t="n">
        <v>55.66</v>
      </c>
      <c r="E1038" s="5" t="n">
        <v>260</v>
      </c>
      <c r="F1038" s="3" t="inlineStr">
        <is>
          <t>연동면</t>
        </is>
      </c>
      <c r="G1038" s="3" t="inlineStr">
        <is>
          <t>내판리</t>
        </is>
      </c>
      <c r="H1038" s="3" t="inlineStr">
        <is>
          <t>계획관리지역</t>
        </is>
      </c>
      <c r="I1038" s="3" t="inlineStr">
        <is>
          <t>대</t>
        </is>
      </c>
      <c r="J1038" s="3" t="inlineStr">
        <is>
          <t>연동면</t>
        </is>
      </c>
    </row>
    <row r="1039">
      <c r="A1039" s="3" t="n">
        <v>2022</v>
      </c>
      <c r="B1039" s="4" t="n">
        <v>406900</v>
      </c>
      <c r="C1039" s="4" t="n">
        <v>5929</v>
      </c>
      <c r="D1039" s="4" t="n">
        <v>1793.5225</v>
      </c>
      <c r="E1039" s="5" t="n">
        <v>226.9</v>
      </c>
      <c r="F1039" s="3" t="inlineStr">
        <is>
          <t>연동면</t>
        </is>
      </c>
      <c r="G1039" s="3" t="inlineStr">
        <is>
          <t>내판리</t>
        </is>
      </c>
      <c r="H1039" s="3" t="inlineStr">
        <is>
          <t>계획관리지역</t>
        </is>
      </c>
      <c r="I1039" s="3" t="inlineStr">
        <is>
          <t>과수원</t>
        </is>
      </c>
      <c r="J1039" s="3" t="inlineStr">
        <is>
          <t>연동면</t>
        </is>
      </c>
    </row>
    <row r="1040">
      <c r="A1040" s="3" t="n">
        <v>2022</v>
      </c>
      <c r="B1040" s="4" t="n">
        <v>23100</v>
      </c>
      <c r="C1040" s="4" t="n">
        <v>336</v>
      </c>
      <c r="D1040" s="4" t="n">
        <v>101.64</v>
      </c>
      <c r="E1040" s="5" t="n">
        <v>227.3</v>
      </c>
      <c r="F1040" s="3" t="inlineStr">
        <is>
          <t>연동면</t>
        </is>
      </c>
      <c r="G1040" s="3" t="inlineStr">
        <is>
          <t>내판리</t>
        </is>
      </c>
      <c r="H1040" s="3" t="inlineStr">
        <is>
          <t>계획관리지역</t>
        </is>
      </c>
      <c r="I1040" s="3" t="inlineStr">
        <is>
          <t>대</t>
        </is>
      </c>
      <c r="J1040" s="3" t="inlineStr">
        <is>
          <t>연동면</t>
        </is>
      </c>
    </row>
    <row r="1041">
      <c r="A1041" s="3" t="n">
        <v>2022</v>
      </c>
      <c r="B1041" s="4" t="n">
        <v>10800</v>
      </c>
      <c r="C1041" s="4" t="n">
        <v>714</v>
      </c>
      <c r="D1041" s="4" t="n">
        <v>215.985</v>
      </c>
      <c r="E1041" s="5" t="n">
        <v>50</v>
      </c>
      <c r="F1041" s="3" t="inlineStr">
        <is>
          <t>부강면</t>
        </is>
      </c>
      <c r="G1041" s="3" t="inlineStr">
        <is>
          <t>문곡리</t>
        </is>
      </c>
      <c r="H1041" s="3" t="inlineStr">
        <is>
          <t>계획관리지역</t>
        </is>
      </c>
      <c r="I1041" s="3" t="inlineStr">
        <is>
          <t>전</t>
        </is>
      </c>
      <c r="J1041" s="3" t="inlineStr">
        <is>
          <t>부강면</t>
        </is>
      </c>
    </row>
    <row r="1042">
      <c r="A1042" s="3" t="n">
        <v>2022</v>
      </c>
      <c r="B1042" s="4" t="n">
        <v>8850</v>
      </c>
      <c r="C1042" s="4" t="n">
        <v>585</v>
      </c>
      <c r="D1042" s="4" t="n">
        <v>176.9625</v>
      </c>
      <c r="E1042" s="5" t="n">
        <v>50</v>
      </c>
      <c r="F1042" s="3" t="inlineStr">
        <is>
          <t>부강면</t>
        </is>
      </c>
      <c r="G1042" s="3" t="inlineStr">
        <is>
          <t>문곡리</t>
        </is>
      </c>
      <c r="H1042" s="3" t="inlineStr">
        <is>
          <t>계획관리지역</t>
        </is>
      </c>
      <c r="I1042" s="3" t="inlineStr">
        <is>
          <t>전</t>
        </is>
      </c>
      <c r="J1042" s="3" t="inlineStr">
        <is>
          <t>부강면</t>
        </is>
      </c>
    </row>
    <row r="1043">
      <c r="A1043" s="3" t="n">
        <v>2022</v>
      </c>
      <c r="B1043" s="4" t="n">
        <v>18755</v>
      </c>
      <c r="C1043" s="4" t="n">
        <v>155</v>
      </c>
      <c r="D1043" s="4" t="n">
        <v>46.8875</v>
      </c>
      <c r="E1043" s="5" t="n">
        <v>400</v>
      </c>
      <c r="F1043" s="3" t="inlineStr">
        <is>
          <t>조치원읍</t>
        </is>
      </c>
      <c r="G1043" s="3" t="inlineStr">
        <is>
          <t>남리</t>
        </is>
      </c>
      <c r="H1043" s="3" t="inlineStr">
        <is>
          <t>제2종일반주거지역</t>
        </is>
      </c>
      <c r="I1043" s="3" t="inlineStr">
        <is>
          <t>대</t>
        </is>
      </c>
      <c r="J1043" s="3" t="inlineStr">
        <is>
          <t>조치원읍</t>
        </is>
      </c>
    </row>
    <row r="1044">
      <c r="A1044" s="3" t="n">
        <v>2022</v>
      </c>
      <c r="B1044" s="4" t="n">
        <v>5445</v>
      </c>
      <c r="C1044" s="4" t="n">
        <v>45</v>
      </c>
      <c r="D1044" s="4" t="n">
        <v>13.6125</v>
      </c>
      <c r="E1044" s="5" t="n">
        <v>400</v>
      </c>
      <c r="F1044" s="3" t="inlineStr">
        <is>
          <t>조치원읍</t>
        </is>
      </c>
      <c r="G1044" s="3" t="inlineStr">
        <is>
          <t>남리</t>
        </is>
      </c>
      <c r="H1044" s="3" t="inlineStr">
        <is>
          <t>제2종일반주거지역</t>
        </is>
      </c>
      <c r="I1044" s="3" t="inlineStr">
        <is>
          <t>대</t>
        </is>
      </c>
      <c r="J1044" s="3" t="inlineStr">
        <is>
          <t>조치원읍</t>
        </is>
      </c>
    </row>
    <row r="1045">
      <c r="A1045" s="3" t="n">
        <v>2022</v>
      </c>
      <c r="B1045" s="4" t="n">
        <v>10043</v>
      </c>
      <c r="C1045" s="4" t="n">
        <v>83</v>
      </c>
      <c r="D1045" s="4" t="n">
        <v>25.1075</v>
      </c>
      <c r="E1045" s="5" t="n">
        <v>400</v>
      </c>
      <c r="F1045" s="3" t="inlineStr">
        <is>
          <t>조치원읍</t>
        </is>
      </c>
      <c r="G1045" s="3" t="inlineStr">
        <is>
          <t>남리</t>
        </is>
      </c>
      <c r="H1045" s="3" t="inlineStr">
        <is>
          <t>제2종일반주거지역</t>
        </is>
      </c>
      <c r="I1045" s="3" t="inlineStr">
        <is>
          <t>전</t>
        </is>
      </c>
      <c r="J1045" s="3" t="inlineStr">
        <is>
          <t>조치원읍</t>
        </is>
      </c>
    </row>
    <row r="1046">
      <c r="A1046" s="3" t="n">
        <v>2022</v>
      </c>
      <c r="B1046" s="4" t="n">
        <v>124993</v>
      </c>
      <c r="C1046" s="4" t="n">
        <v>1033</v>
      </c>
      <c r="D1046" s="4" t="n">
        <v>312.4825</v>
      </c>
      <c r="E1046" s="5" t="n">
        <v>400</v>
      </c>
      <c r="F1046" s="3" t="inlineStr">
        <is>
          <t>조치원읍</t>
        </is>
      </c>
      <c r="G1046" s="3" t="inlineStr">
        <is>
          <t>남리</t>
        </is>
      </c>
      <c r="H1046" s="3" t="inlineStr">
        <is>
          <t>제2종일반주거지역</t>
        </is>
      </c>
      <c r="I1046" s="3" t="inlineStr">
        <is>
          <t>대</t>
        </is>
      </c>
      <c r="J1046" s="3" t="inlineStr">
        <is>
          <t>조치원읍</t>
        </is>
      </c>
    </row>
    <row r="1047">
      <c r="A1047" s="3" t="n">
        <v>2022</v>
      </c>
      <c r="B1047" s="4" t="n">
        <v>13068</v>
      </c>
      <c r="C1047" s="4" t="n">
        <v>108</v>
      </c>
      <c r="D1047" s="4" t="n">
        <v>32.67</v>
      </c>
      <c r="E1047" s="5" t="n">
        <v>400</v>
      </c>
      <c r="F1047" s="3" t="inlineStr">
        <is>
          <t>조치원읍</t>
        </is>
      </c>
      <c r="G1047" s="3" t="inlineStr">
        <is>
          <t>남리</t>
        </is>
      </c>
      <c r="H1047" s="3" t="inlineStr">
        <is>
          <t>제2종일반주거지역</t>
        </is>
      </c>
      <c r="I1047" s="3" t="inlineStr">
        <is>
          <t>전</t>
        </is>
      </c>
      <c r="J1047" s="3" t="inlineStr">
        <is>
          <t>조치원읍</t>
        </is>
      </c>
    </row>
    <row r="1048">
      <c r="A1048" s="3" t="n">
        <v>2022</v>
      </c>
      <c r="B1048" s="4" t="n">
        <v>92000</v>
      </c>
      <c r="C1048" s="4" t="n">
        <v>2995</v>
      </c>
      <c r="D1048" s="4" t="n">
        <v>905.9875</v>
      </c>
      <c r="E1048" s="5" t="n">
        <v>101.5</v>
      </c>
      <c r="F1048" s="3" t="inlineStr">
        <is>
          <t>연서면</t>
        </is>
      </c>
      <c r="G1048" s="3" t="inlineStr">
        <is>
          <t>봉암리</t>
        </is>
      </c>
      <c r="H1048" s="3" t="inlineStr">
        <is>
          <t>농림지역</t>
        </is>
      </c>
      <c r="I1048" s="3" t="inlineStr">
        <is>
          <t>답</t>
        </is>
      </c>
      <c r="J1048" s="3" t="inlineStr">
        <is>
          <t>연서면</t>
        </is>
      </c>
    </row>
    <row r="1049">
      <c r="A1049" s="3" t="n">
        <v>2022</v>
      </c>
      <c r="B1049" s="4" t="n">
        <v>101400</v>
      </c>
      <c r="C1049" s="4" t="n">
        <v>4248</v>
      </c>
      <c r="D1049" s="4" t="n">
        <v>1285.02</v>
      </c>
      <c r="E1049" s="5" t="n">
        <v>78.90000000000001</v>
      </c>
      <c r="F1049" s="3" t="inlineStr">
        <is>
          <t>연서면</t>
        </is>
      </c>
      <c r="G1049" s="3" t="inlineStr">
        <is>
          <t>기룡리</t>
        </is>
      </c>
      <c r="H1049" s="3" t="inlineStr">
        <is>
          <t>생산관리지역</t>
        </is>
      </c>
      <c r="I1049" s="3" t="inlineStr">
        <is>
          <t>답</t>
        </is>
      </c>
      <c r="J1049" s="3" t="inlineStr">
        <is>
          <t>연서면</t>
        </is>
      </c>
    </row>
    <row r="1050">
      <c r="A1050" s="3" t="n">
        <v>2023</v>
      </c>
      <c r="B1050" s="4" t="n">
        <v>47250</v>
      </c>
      <c r="C1050" s="4" t="n">
        <v>445</v>
      </c>
      <c r="D1050" s="4" t="n">
        <v>134.6125</v>
      </c>
      <c r="E1050" s="5" t="n">
        <v>351</v>
      </c>
      <c r="F1050" s="3" t="inlineStr">
        <is>
          <t>조치원읍</t>
        </is>
      </c>
      <c r="G1050" s="3" t="inlineStr">
        <is>
          <t>죽림리</t>
        </is>
      </c>
      <c r="H1050" s="3" t="inlineStr">
        <is>
          <t>제2종일반주거지역</t>
        </is>
      </c>
      <c r="I1050" s="3" t="inlineStr">
        <is>
          <t>과수원</t>
        </is>
      </c>
      <c r="J1050" s="3" t="inlineStr">
        <is>
          <t>조치원읍</t>
        </is>
      </c>
    </row>
    <row r="1051">
      <c r="A1051" s="3" t="n">
        <v>2023</v>
      </c>
      <c r="B1051" s="4" t="n">
        <v>24800</v>
      </c>
      <c r="C1051" s="4" t="n">
        <v>2053</v>
      </c>
      <c r="D1051" s="4" t="n">
        <v>621.0325</v>
      </c>
      <c r="E1051" s="5" t="n">
        <v>39.9</v>
      </c>
      <c r="F1051" s="3" t="inlineStr">
        <is>
          <t>연동면</t>
        </is>
      </c>
      <c r="G1051" s="3" t="inlineStr">
        <is>
          <t>노송리</t>
        </is>
      </c>
      <c r="H1051" s="3" t="inlineStr">
        <is>
          <t>계획관리지역</t>
        </is>
      </c>
      <c r="I1051" s="3" t="inlineStr">
        <is>
          <t>전</t>
        </is>
      </c>
      <c r="J1051" s="3" t="inlineStr">
        <is>
          <t>연동면</t>
        </is>
      </c>
    </row>
    <row r="1052">
      <c r="A1052" s="3" t="n">
        <v>2023</v>
      </c>
      <c r="B1052" s="4" t="n">
        <v>1700</v>
      </c>
      <c r="C1052" s="4" t="n">
        <v>188</v>
      </c>
      <c r="D1052" s="4" t="n">
        <v>56.87</v>
      </c>
      <c r="E1052" s="5" t="n">
        <v>29.9</v>
      </c>
      <c r="F1052" s="3" t="inlineStr">
        <is>
          <t>연동면</t>
        </is>
      </c>
      <c r="G1052" s="3" t="inlineStr">
        <is>
          <t>노송리</t>
        </is>
      </c>
      <c r="H1052" s="3" t="inlineStr">
        <is>
          <t>계획관리지역</t>
        </is>
      </c>
      <c r="I1052" s="3" t="inlineStr">
        <is>
          <t>전</t>
        </is>
      </c>
      <c r="J1052" s="3" t="inlineStr">
        <is>
          <t>연동면</t>
        </is>
      </c>
    </row>
    <row r="1053">
      <c r="A1053" s="3" t="n">
        <v>2023</v>
      </c>
      <c r="B1053" s="4" t="n">
        <v>2837</v>
      </c>
      <c r="C1053" s="4" t="n">
        <v>67</v>
      </c>
      <c r="D1053" s="4" t="n">
        <v>20.2675</v>
      </c>
      <c r="E1053" s="5" t="n">
        <v>140</v>
      </c>
      <c r="F1053" s="3" t="inlineStr">
        <is>
          <t>연동면</t>
        </is>
      </c>
      <c r="G1053" s="3" t="inlineStr">
        <is>
          <t>명학리</t>
        </is>
      </c>
      <c r="H1053" s="3" t="inlineStr">
        <is>
          <t>계획관리지역</t>
        </is>
      </c>
      <c r="I1053" s="3" t="inlineStr">
        <is>
          <t>전</t>
        </is>
      </c>
      <c r="J1053" s="3" t="inlineStr">
        <is>
          <t>연동면</t>
        </is>
      </c>
    </row>
    <row r="1054">
      <c r="A1054" s="3" t="n">
        <v>2023</v>
      </c>
      <c r="B1054" s="4" t="n">
        <v>16000</v>
      </c>
      <c r="C1054" s="4" t="n">
        <v>661</v>
      </c>
      <c r="D1054" s="4" t="n">
        <v>199.9525</v>
      </c>
      <c r="E1054" s="5" t="n">
        <v>80</v>
      </c>
      <c r="F1054" s="3" t="inlineStr">
        <is>
          <t>연서면</t>
        </is>
      </c>
      <c r="G1054" s="3" t="inlineStr">
        <is>
          <t>월하리</t>
        </is>
      </c>
      <c r="H1054" s="3" t="inlineStr">
        <is>
          <t>자연녹지지역</t>
        </is>
      </c>
      <c r="I1054" s="3" t="inlineStr">
        <is>
          <t>임야</t>
        </is>
      </c>
      <c r="J1054" s="3" t="inlineStr">
        <is>
          <t>연서면</t>
        </is>
      </c>
    </row>
    <row r="1055">
      <c r="A1055" s="3" t="n">
        <v>2024</v>
      </c>
      <c r="B1055" s="4" t="n">
        <v>40000</v>
      </c>
      <c r="C1055" s="4" t="n">
        <v>333.2</v>
      </c>
      <c r="D1055" s="4" t="n">
        <v>100.793</v>
      </c>
      <c r="E1055" s="5" t="n">
        <v>396.9</v>
      </c>
      <c r="F1055" s="3" t="inlineStr">
        <is>
          <t>한솔동</t>
        </is>
      </c>
      <c r="G1055" s="3" t="inlineStr"/>
      <c r="H1055" s="3" t="inlineStr">
        <is>
          <t>제1종전용주거지역</t>
        </is>
      </c>
      <c r="I1055" s="3" t="inlineStr">
        <is>
          <t>대</t>
        </is>
      </c>
      <c r="J1055" s="3" t="inlineStr">
        <is>
          <t>한솔동</t>
        </is>
      </c>
    </row>
    <row r="1056">
      <c r="A1056" s="3" t="n">
        <v>2024</v>
      </c>
      <c r="B1056" s="4" t="n">
        <v>46700</v>
      </c>
      <c r="C1056" s="4" t="n">
        <v>382.6</v>
      </c>
      <c r="D1056" s="4" t="n">
        <v>115.7365</v>
      </c>
      <c r="E1056" s="5" t="n">
        <v>403.5</v>
      </c>
      <c r="F1056" s="3" t="inlineStr">
        <is>
          <t>고운동</t>
        </is>
      </c>
      <c r="G1056" s="3" t="inlineStr"/>
      <c r="H1056" s="3" t="inlineStr">
        <is>
          <t>제1종전용주거지역</t>
        </is>
      </c>
      <c r="I1056" s="3" t="inlineStr">
        <is>
          <t>대</t>
        </is>
      </c>
      <c r="J1056" s="3" t="inlineStr">
        <is>
          <t>고운동</t>
        </is>
      </c>
    </row>
    <row r="1057">
      <c r="A1057" s="3" t="n">
        <v>2024</v>
      </c>
      <c r="B1057" s="4" t="n">
        <v>33200</v>
      </c>
      <c r="C1057" s="4" t="n">
        <v>1818</v>
      </c>
      <c r="D1057" s="4" t="n">
        <v>549.9449999999999</v>
      </c>
      <c r="E1057" s="5" t="n">
        <v>60.4</v>
      </c>
      <c r="F1057" s="3" t="inlineStr">
        <is>
          <t>연동면</t>
        </is>
      </c>
      <c r="G1057" s="3" t="inlineStr">
        <is>
          <t>노송리</t>
        </is>
      </c>
      <c r="H1057" s="3" t="inlineStr">
        <is>
          <t>계획관리지역</t>
        </is>
      </c>
      <c r="I1057" s="3" t="inlineStr">
        <is>
          <t>전</t>
        </is>
      </c>
      <c r="J1057" s="3" t="inlineStr">
        <is>
          <t>연동면</t>
        </is>
      </c>
    </row>
    <row r="1058">
      <c r="A1058" s="3" t="n">
        <v>2022</v>
      </c>
      <c r="B1058" s="4" t="n">
        <v>139842</v>
      </c>
      <c r="C1058" s="4" t="n">
        <v>740</v>
      </c>
      <c r="D1058" s="4" t="n">
        <v>223.85</v>
      </c>
      <c r="E1058" s="5" t="n">
        <v>624.7</v>
      </c>
      <c r="F1058" s="3" t="inlineStr">
        <is>
          <t>연서면</t>
        </is>
      </c>
      <c r="G1058" s="3" t="inlineStr">
        <is>
          <t>봉암리</t>
        </is>
      </c>
      <c r="H1058" s="3" t="inlineStr">
        <is>
          <t>계획관리지역</t>
        </is>
      </c>
      <c r="I1058" s="3" t="inlineStr">
        <is>
          <t>답</t>
        </is>
      </c>
      <c r="J1058" s="3" t="inlineStr">
        <is>
          <t>연서면</t>
        </is>
      </c>
    </row>
    <row r="1059">
      <c r="A1059" s="3" t="n">
        <v>2022</v>
      </c>
      <c r="B1059" s="4" t="n">
        <v>5000</v>
      </c>
      <c r="C1059" s="4" t="n">
        <v>545</v>
      </c>
      <c r="D1059" s="4" t="n">
        <v>164.8625</v>
      </c>
      <c r="E1059" s="5" t="n">
        <v>30.3</v>
      </c>
      <c r="F1059" s="3" t="inlineStr">
        <is>
          <t>연서면</t>
        </is>
      </c>
      <c r="G1059" s="3" t="inlineStr">
        <is>
          <t>쌍류리</t>
        </is>
      </c>
      <c r="H1059" s="3" t="inlineStr">
        <is>
          <t>보전관리지역</t>
        </is>
      </c>
      <c r="I1059" s="3" t="inlineStr">
        <is>
          <t>전</t>
        </is>
      </c>
      <c r="J1059" s="3" t="inlineStr">
        <is>
          <t>연서면</t>
        </is>
      </c>
    </row>
    <row r="1060">
      <c r="A1060" s="3" t="n">
        <v>2022</v>
      </c>
      <c r="B1060" s="4" t="n">
        <v>30000</v>
      </c>
      <c r="C1060" s="4" t="n">
        <v>992</v>
      </c>
      <c r="D1060" s="4" t="n">
        <v>300.08</v>
      </c>
      <c r="E1060" s="5" t="n">
        <v>100</v>
      </c>
      <c r="F1060" s="3" t="inlineStr">
        <is>
          <t>부강면</t>
        </is>
      </c>
      <c r="G1060" s="3" t="inlineStr">
        <is>
          <t>금호리</t>
        </is>
      </c>
      <c r="H1060" s="3" t="inlineStr">
        <is>
          <t>생산관리지역</t>
        </is>
      </c>
      <c r="I1060" s="3" t="inlineStr">
        <is>
          <t>임야</t>
        </is>
      </c>
      <c r="J1060" s="3" t="inlineStr">
        <is>
          <t>부강면</t>
        </is>
      </c>
    </row>
    <row r="1061">
      <c r="A1061" s="3" t="n">
        <v>2022</v>
      </c>
      <c r="B1061" s="4" t="n">
        <v>53000</v>
      </c>
      <c r="C1061" s="4" t="n">
        <v>2980</v>
      </c>
      <c r="D1061" s="4" t="n">
        <v>901.4499999999999</v>
      </c>
      <c r="E1061" s="5" t="n">
        <v>58.8</v>
      </c>
      <c r="F1061" s="3" t="inlineStr">
        <is>
          <t>연서면</t>
        </is>
      </c>
      <c r="G1061" s="3" t="inlineStr">
        <is>
          <t>고복리</t>
        </is>
      </c>
      <c r="H1061" s="3" t="inlineStr">
        <is>
          <t>농림지역</t>
        </is>
      </c>
      <c r="I1061" s="3" t="inlineStr">
        <is>
          <t>답</t>
        </is>
      </c>
      <c r="J1061" s="3" t="inlineStr">
        <is>
          <t>연서면</t>
        </is>
      </c>
    </row>
    <row r="1062">
      <c r="A1062" s="3" t="n">
        <v>2022</v>
      </c>
      <c r="B1062" s="4" t="n">
        <v>12000</v>
      </c>
      <c r="C1062" s="4" t="n">
        <v>715</v>
      </c>
      <c r="D1062" s="4" t="n">
        <v>216.2875</v>
      </c>
      <c r="E1062" s="5" t="n">
        <v>55.5</v>
      </c>
      <c r="F1062" s="3" t="inlineStr">
        <is>
          <t>연서면</t>
        </is>
      </c>
      <c r="G1062" s="3" t="inlineStr">
        <is>
          <t>고복리</t>
        </is>
      </c>
      <c r="H1062" s="3" t="inlineStr">
        <is>
          <t>농림지역</t>
        </is>
      </c>
      <c r="I1062" s="3" t="inlineStr">
        <is>
          <t>답</t>
        </is>
      </c>
      <c r="J1062" s="3" t="inlineStr">
        <is>
          <t>연서면</t>
        </is>
      </c>
    </row>
    <row r="1063">
      <c r="A1063" s="3" t="n">
        <v>2022</v>
      </c>
      <c r="B1063" s="4" t="n">
        <v>500</v>
      </c>
      <c r="C1063" s="4" t="n">
        <v>31</v>
      </c>
      <c r="D1063" s="4" t="n">
        <v>9.3775</v>
      </c>
      <c r="E1063" s="5" t="n">
        <v>53.3</v>
      </c>
      <c r="F1063" s="3" t="inlineStr">
        <is>
          <t>조치원읍</t>
        </is>
      </c>
      <c r="G1063" s="3" t="inlineStr">
        <is>
          <t>신안리</t>
        </is>
      </c>
      <c r="H1063" s="3" t="inlineStr">
        <is>
          <t>제2종일반주거지역</t>
        </is>
      </c>
      <c r="I1063" s="3" t="inlineStr">
        <is>
          <t>대</t>
        </is>
      </c>
      <c r="J1063" s="3" t="inlineStr">
        <is>
          <t>조치원읍</t>
        </is>
      </c>
    </row>
    <row r="1064">
      <c r="A1064" s="3" t="n">
        <v>2023</v>
      </c>
      <c r="B1064" s="4" t="n">
        <v>15450</v>
      </c>
      <c r="C1064" s="4" t="n">
        <v>1020</v>
      </c>
      <c r="D1064" s="4" t="n">
        <v>308.55</v>
      </c>
      <c r="E1064" s="5" t="n">
        <v>50.1</v>
      </c>
      <c r="F1064" s="3" t="inlineStr">
        <is>
          <t>연서면</t>
        </is>
      </c>
      <c r="G1064" s="3" t="inlineStr">
        <is>
          <t>기룡리</t>
        </is>
      </c>
      <c r="H1064" s="3" t="inlineStr">
        <is>
          <t>생산관리지역</t>
        </is>
      </c>
      <c r="I1064" s="3" t="inlineStr">
        <is>
          <t>답</t>
        </is>
      </c>
      <c r="J1064" s="3" t="inlineStr">
        <is>
          <t>연서면</t>
        </is>
      </c>
    </row>
    <row r="1065">
      <c r="A1065" s="3" t="n">
        <v>2023</v>
      </c>
      <c r="B1065" s="4" t="n">
        <v>4500</v>
      </c>
      <c r="C1065" s="4" t="n">
        <v>647.6</v>
      </c>
      <c r="D1065" s="4" t="n">
        <v>195.899</v>
      </c>
      <c r="E1065" s="5" t="n">
        <v>23</v>
      </c>
      <c r="F1065" s="3" t="inlineStr">
        <is>
          <t>부강면</t>
        </is>
      </c>
      <c r="G1065" s="3" t="inlineStr">
        <is>
          <t>산수리</t>
        </is>
      </c>
      <c r="H1065" s="3" t="inlineStr">
        <is>
          <t>농림지역</t>
        </is>
      </c>
      <c r="I1065" s="3" t="inlineStr">
        <is>
          <t>답</t>
        </is>
      </c>
      <c r="J1065" s="3" t="inlineStr">
        <is>
          <t>부강면</t>
        </is>
      </c>
    </row>
    <row r="1066">
      <c r="A1066" s="3" t="n">
        <v>2023</v>
      </c>
      <c r="B1066" s="4" t="n">
        <v>5900</v>
      </c>
      <c r="C1066" s="4" t="n">
        <v>851.6</v>
      </c>
      <c r="D1066" s="4" t="n">
        <v>257.609</v>
      </c>
      <c r="E1066" s="5" t="n">
        <v>22.9</v>
      </c>
      <c r="F1066" s="3" t="inlineStr">
        <is>
          <t>부강면</t>
        </is>
      </c>
      <c r="G1066" s="3" t="inlineStr">
        <is>
          <t>산수리</t>
        </is>
      </c>
      <c r="H1066" s="3" t="inlineStr">
        <is>
          <t>농림지역</t>
        </is>
      </c>
      <c r="I1066" s="3" t="inlineStr">
        <is>
          <t>답</t>
        </is>
      </c>
      <c r="J1066" s="3" t="inlineStr">
        <is>
          <t>부강면</t>
        </is>
      </c>
    </row>
    <row r="1067">
      <c r="A1067" s="3" t="n">
        <v>2023</v>
      </c>
      <c r="B1067" s="4" t="n">
        <v>6090</v>
      </c>
      <c r="C1067" s="4" t="n">
        <v>2777</v>
      </c>
      <c r="D1067" s="4" t="n">
        <v>840.0425</v>
      </c>
      <c r="E1067" s="5" t="n">
        <v>7.2</v>
      </c>
      <c r="F1067" s="3" t="inlineStr">
        <is>
          <t>연동면</t>
        </is>
      </c>
      <c r="G1067" s="3" t="inlineStr">
        <is>
          <t>명학리</t>
        </is>
      </c>
      <c r="H1067" s="3" t="inlineStr">
        <is>
          <t>보전관리지역</t>
        </is>
      </c>
      <c r="I1067" s="3" t="inlineStr">
        <is>
          <t>임야</t>
        </is>
      </c>
      <c r="J1067" s="3" t="inlineStr">
        <is>
          <t>연동면</t>
        </is>
      </c>
    </row>
    <row r="1068">
      <c r="A1068" s="3" t="n">
        <v>2023</v>
      </c>
      <c r="B1068" s="4" t="n">
        <v>1910</v>
      </c>
      <c r="C1068" s="4" t="n">
        <v>753</v>
      </c>
      <c r="D1068" s="4" t="n">
        <v>227.7825</v>
      </c>
      <c r="E1068" s="5" t="n">
        <v>8.4</v>
      </c>
      <c r="F1068" s="3" t="inlineStr">
        <is>
          <t>연동면</t>
        </is>
      </c>
      <c r="G1068" s="3" t="inlineStr">
        <is>
          <t>명학리</t>
        </is>
      </c>
      <c r="H1068" s="3" t="inlineStr">
        <is>
          <t>보전관리지역</t>
        </is>
      </c>
      <c r="I1068" s="3" t="inlineStr">
        <is>
          <t>임야</t>
        </is>
      </c>
      <c r="J1068" s="3" t="inlineStr">
        <is>
          <t>연동면</t>
        </is>
      </c>
    </row>
    <row r="1069">
      <c r="A1069" s="3" t="n">
        <v>2023</v>
      </c>
      <c r="B1069" s="4" t="n">
        <v>35470</v>
      </c>
      <c r="C1069" s="4" t="n">
        <v>1804</v>
      </c>
      <c r="D1069" s="4" t="n">
        <v>545.71</v>
      </c>
      <c r="E1069" s="5" t="n">
        <v>65</v>
      </c>
      <c r="F1069" s="3" t="inlineStr">
        <is>
          <t>연서면</t>
        </is>
      </c>
      <c r="G1069" s="3" t="inlineStr">
        <is>
          <t>쌍류리</t>
        </is>
      </c>
      <c r="H1069" s="3" t="inlineStr">
        <is>
          <t>생산관리지역</t>
        </is>
      </c>
      <c r="I1069" s="3" t="inlineStr">
        <is>
          <t>전</t>
        </is>
      </c>
      <c r="J1069" s="3" t="inlineStr">
        <is>
          <t>연서면</t>
        </is>
      </c>
    </row>
    <row r="1070">
      <c r="A1070" s="3" t="n">
        <v>2022</v>
      </c>
      <c r="B1070" s="4" t="n">
        <v>8000</v>
      </c>
      <c r="C1070" s="4" t="n">
        <v>102</v>
      </c>
      <c r="D1070" s="4" t="n">
        <v>30.855</v>
      </c>
      <c r="E1070" s="5" t="n">
        <v>259.3</v>
      </c>
      <c r="F1070" s="3" t="inlineStr">
        <is>
          <t>조치원읍</t>
        </is>
      </c>
      <c r="G1070" s="3" t="inlineStr">
        <is>
          <t>신흥리</t>
        </is>
      </c>
      <c r="H1070" s="3" t="inlineStr">
        <is>
          <t>제2종일반주거지역</t>
        </is>
      </c>
      <c r="I1070" s="3" t="inlineStr">
        <is>
          <t>대</t>
        </is>
      </c>
      <c r="J1070" s="3" t="inlineStr">
        <is>
          <t>조치원읍</t>
        </is>
      </c>
    </row>
    <row r="1071">
      <c r="A1071" s="3" t="n">
        <v>2022</v>
      </c>
      <c r="B1071" s="4" t="n">
        <v>37000</v>
      </c>
      <c r="C1071" s="4" t="n">
        <v>504</v>
      </c>
      <c r="D1071" s="4" t="n">
        <v>152.46</v>
      </c>
      <c r="E1071" s="5" t="n">
        <v>242.7</v>
      </c>
      <c r="F1071" s="3" t="inlineStr">
        <is>
          <t>연서면</t>
        </is>
      </c>
      <c r="G1071" s="3" t="inlineStr">
        <is>
          <t>와촌리</t>
        </is>
      </c>
      <c r="H1071" s="3" t="inlineStr">
        <is>
          <t>계획관리지역</t>
        </is>
      </c>
      <c r="I1071" s="3" t="inlineStr">
        <is>
          <t>대</t>
        </is>
      </c>
      <c r="J1071" s="3" t="inlineStr">
        <is>
          <t>연서면</t>
        </is>
      </c>
    </row>
    <row r="1072">
      <c r="A1072" s="3" t="n">
        <v>2022</v>
      </c>
      <c r="B1072" s="4" t="n">
        <v>38000</v>
      </c>
      <c r="C1072" s="4" t="n">
        <v>1583</v>
      </c>
      <c r="D1072" s="4" t="n">
        <v>478.8575</v>
      </c>
      <c r="E1072" s="5" t="n">
        <v>79.40000000000001</v>
      </c>
      <c r="F1072" s="3" t="inlineStr">
        <is>
          <t>연서면</t>
        </is>
      </c>
      <c r="G1072" s="3" t="inlineStr">
        <is>
          <t>고복리</t>
        </is>
      </c>
      <c r="H1072" s="3" t="inlineStr">
        <is>
          <t>농림지역</t>
        </is>
      </c>
      <c r="I1072" s="3" t="inlineStr">
        <is>
          <t>답</t>
        </is>
      </c>
      <c r="J1072" s="3" t="inlineStr">
        <is>
          <t>연서면</t>
        </is>
      </c>
    </row>
    <row r="1073">
      <c r="A1073" s="3" t="n">
        <v>2022</v>
      </c>
      <c r="B1073" s="4" t="n">
        <v>2000</v>
      </c>
      <c r="C1073" s="4" t="n">
        <v>49</v>
      </c>
      <c r="D1073" s="4" t="n">
        <v>14.8225</v>
      </c>
      <c r="E1073" s="5" t="n">
        <v>134.9</v>
      </c>
      <c r="F1073" s="3" t="inlineStr">
        <is>
          <t>부강면</t>
        </is>
      </c>
      <c r="G1073" s="3" t="inlineStr">
        <is>
          <t>문곡리</t>
        </is>
      </c>
      <c r="H1073" s="3" t="inlineStr">
        <is>
          <t>계획관리지역</t>
        </is>
      </c>
      <c r="I1073" s="3" t="inlineStr">
        <is>
          <t>전</t>
        </is>
      </c>
      <c r="J1073" s="3" t="inlineStr">
        <is>
          <t>부강면</t>
        </is>
      </c>
    </row>
    <row r="1074">
      <c r="A1074" s="3" t="n">
        <v>2022</v>
      </c>
      <c r="B1074" s="4" t="n">
        <v>76000</v>
      </c>
      <c r="C1074" s="4" t="n">
        <v>1482</v>
      </c>
      <c r="D1074" s="4" t="n">
        <v>448.305</v>
      </c>
      <c r="E1074" s="5" t="n">
        <v>169.5</v>
      </c>
      <c r="F1074" s="3" t="inlineStr">
        <is>
          <t>부강면</t>
        </is>
      </c>
      <c r="G1074" s="3" t="inlineStr">
        <is>
          <t>문곡리</t>
        </is>
      </c>
      <c r="H1074" s="3" t="inlineStr">
        <is>
          <t>계획관리지역</t>
        </is>
      </c>
      <c r="I1074" s="3" t="inlineStr">
        <is>
          <t>전</t>
        </is>
      </c>
      <c r="J1074" s="3" t="inlineStr">
        <is>
          <t>부강면</t>
        </is>
      </c>
    </row>
    <row r="1075">
      <c r="A1075" s="3" t="n">
        <v>2022</v>
      </c>
      <c r="B1075" s="4" t="n">
        <v>1500</v>
      </c>
      <c r="C1075" s="4" t="n">
        <v>981</v>
      </c>
      <c r="D1075" s="4" t="n">
        <v>296.7525</v>
      </c>
      <c r="E1075" s="5" t="n">
        <v>5.1</v>
      </c>
      <c r="F1075" s="3" t="inlineStr">
        <is>
          <t>부강면</t>
        </is>
      </c>
      <c r="G1075" s="3" t="inlineStr">
        <is>
          <t>갈산리</t>
        </is>
      </c>
      <c r="H1075" s="3" t="inlineStr">
        <is>
          <t>계획관리지역</t>
        </is>
      </c>
      <c r="I1075" s="3" t="inlineStr">
        <is>
          <t>임야</t>
        </is>
      </c>
      <c r="J1075" s="3" t="inlineStr">
        <is>
          <t>부강면</t>
        </is>
      </c>
    </row>
    <row r="1076">
      <c r="A1076" s="3" t="n">
        <v>2023</v>
      </c>
      <c r="B1076" s="4" t="n">
        <v>2532</v>
      </c>
      <c r="C1076" s="4" t="n">
        <v>650</v>
      </c>
      <c r="D1076" s="4" t="n">
        <v>196.625</v>
      </c>
      <c r="E1076" s="5" t="n">
        <v>12.9</v>
      </c>
      <c r="F1076" s="3" t="inlineStr">
        <is>
          <t>부강면</t>
        </is>
      </c>
      <c r="G1076" s="3" t="inlineStr">
        <is>
          <t>노호리</t>
        </is>
      </c>
      <c r="H1076" s="3" t="inlineStr">
        <is>
          <t>계획관리지역</t>
        </is>
      </c>
      <c r="I1076" s="3" t="inlineStr">
        <is>
          <t>전</t>
        </is>
      </c>
      <c r="J1076" s="3" t="inlineStr">
        <is>
          <t>부강면</t>
        </is>
      </c>
    </row>
    <row r="1077">
      <c r="A1077" s="3" t="n">
        <v>2023</v>
      </c>
      <c r="B1077" s="4" t="n">
        <v>3848</v>
      </c>
      <c r="C1077" s="4" t="n">
        <v>519</v>
      </c>
      <c r="D1077" s="4" t="n">
        <v>156.9975</v>
      </c>
      <c r="E1077" s="5" t="n">
        <v>24.5</v>
      </c>
      <c r="F1077" s="3" t="inlineStr">
        <is>
          <t>부강면</t>
        </is>
      </c>
      <c r="G1077" s="3" t="inlineStr">
        <is>
          <t>노호리</t>
        </is>
      </c>
      <c r="H1077" s="3" t="inlineStr">
        <is>
          <t>계획관리지역</t>
        </is>
      </c>
      <c r="I1077" s="3" t="inlineStr">
        <is>
          <t>대</t>
        </is>
      </c>
      <c r="J1077" s="3" t="inlineStr">
        <is>
          <t>부강면</t>
        </is>
      </c>
    </row>
    <row r="1078">
      <c r="A1078" s="3" t="n">
        <v>2023</v>
      </c>
      <c r="B1078" s="4" t="n">
        <v>1794</v>
      </c>
      <c r="C1078" s="4" t="n">
        <v>635</v>
      </c>
      <c r="D1078" s="4" t="n">
        <v>192.0875</v>
      </c>
      <c r="E1078" s="5" t="n">
        <v>9.300000000000001</v>
      </c>
      <c r="F1078" s="3" t="inlineStr">
        <is>
          <t>부강면</t>
        </is>
      </c>
      <c r="G1078" s="3" t="inlineStr">
        <is>
          <t>노호리</t>
        </is>
      </c>
      <c r="H1078" s="3" t="inlineStr">
        <is>
          <t>보전관리지역</t>
        </is>
      </c>
      <c r="I1078" s="3" t="inlineStr">
        <is>
          <t>묘지</t>
        </is>
      </c>
      <c r="J1078" s="3" t="inlineStr">
        <is>
          <t>부강면</t>
        </is>
      </c>
    </row>
    <row r="1079">
      <c r="A1079" s="3" t="n">
        <v>2023</v>
      </c>
      <c r="B1079" s="4" t="n">
        <v>4545</v>
      </c>
      <c r="C1079" s="4" t="n">
        <v>1003</v>
      </c>
      <c r="D1079" s="4" t="n">
        <v>303.4075</v>
      </c>
      <c r="E1079" s="5" t="n">
        <v>15</v>
      </c>
      <c r="F1079" s="3" t="inlineStr">
        <is>
          <t>부강면</t>
        </is>
      </c>
      <c r="G1079" s="3" t="inlineStr">
        <is>
          <t>노호리</t>
        </is>
      </c>
      <c r="H1079" s="3" t="inlineStr">
        <is>
          <t>계획관리지역</t>
        </is>
      </c>
      <c r="I1079" s="3" t="inlineStr">
        <is>
          <t>전</t>
        </is>
      </c>
      <c r="J1079" s="3" t="inlineStr">
        <is>
          <t>부강면</t>
        </is>
      </c>
    </row>
    <row r="1080">
      <c r="A1080" s="3" t="n">
        <v>2023</v>
      </c>
      <c r="B1080" s="4" t="n">
        <v>14000</v>
      </c>
      <c r="C1080" s="4" t="n">
        <v>700</v>
      </c>
      <c r="D1080" s="4" t="n">
        <v>211.75</v>
      </c>
      <c r="E1080" s="5" t="n">
        <v>66.09999999999999</v>
      </c>
      <c r="F1080" s="3" t="inlineStr">
        <is>
          <t>연서면</t>
        </is>
      </c>
      <c r="G1080" s="3" t="inlineStr">
        <is>
          <t>기룡리</t>
        </is>
      </c>
      <c r="H1080" s="3" t="inlineStr">
        <is>
          <t>계획관리지역</t>
        </is>
      </c>
      <c r="I1080" s="3" t="inlineStr">
        <is>
          <t>대</t>
        </is>
      </c>
      <c r="J1080" s="3" t="inlineStr">
        <is>
          <t>연서면</t>
        </is>
      </c>
    </row>
    <row r="1081">
      <c r="A1081" s="3" t="n">
        <v>2023</v>
      </c>
      <c r="B1081" s="4" t="n">
        <v>170500</v>
      </c>
      <c r="C1081" s="4" t="n">
        <v>342.2</v>
      </c>
      <c r="D1081" s="4" t="n">
        <v>103.5155</v>
      </c>
      <c r="E1081" s="5" t="n">
        <v>1647.1</v>
      </c>
      <c r="F1081" s="3" t="inlineStr">
        <is>
          <t>고운동</t>
        </is>
      </c>
      <c r="G1081" s="3" t="inlineStr"/>
      <c r="H1081" s="3" t="inlineStr">
        <is>
          <t>제1종전용주거지역</t>
        </is>
      </c>
      <c r="I1081" s="3" t="inlineStr">
        <is>
          <t>대</t>
        </is>
      </c>
      <c r="J1081" s="3" t="inlineStr">
        <is>
          <t>고운동</t>
        </is>
      </c>
    </row>
    <row r="1082">
      <c r="A1082" s="3" t="n">
        <v>2023</v>
      </c>
      <c r="B1082" s="4" t="n">
        <v>4100</v>
      </c>
      <c r="C1082" s="4" t="n">
        <v>150</v>
      </c>
      <c r="D1082" s="4" t="n">
        <v>45.375</v>
      </c>
      <c r="E1082" s="5" t="n">
        <v>90.40000000000001</v>
      </c>
      <c r="F1082" s="3" t="inlineStr">
        <is>
          <t>연서면</t>
        </is>
      </c>
      <c r="G1082" s="3" t="inlineStr">
        <is>
          <t>신대리</t>
        </is>
      </c>
      <c r="H1082" s="3" t="inlineStr">
        <is>
          <t>보전관리지역</t>
        </is>
      </c>
      <c r="I1082" s="3" t="inlineStr">
        <is>
          <t>전</t>
        </is>
      </c>
      <c r="J1082" s="3" t="inlineStr">
        <is>
          <t>연서면</t>
        </is>
      </c>
    </row>
    <row r="1083">
      <c r="A1083" s="3" t="n">
        <v>2023</v>
      </c>
      <c r="B1083" s="4" t="n">
        <v>43034</v>
      </c>
      <c r="C1083" s="4" t="n">
        <v>1000</v>
      </c>
      <c r="D1083" s="4" t="n">
        <v>302.5</v>
      </c>
      <c r="E1083" s="5" t="n">
        <v>142.3</v>
      </c>
      <c r="F1083" s="3" t="inlineStr">
        <is>
          <t>연서면</t>
        </is>
      </c>
      <c r="G1083" s="3" t="inlineStr">
        <is>
          <t>월하리</t>
        </is>
      </c>
      <c r="H1083" s="3" t="inlineStr">
        <is>
          <t>보전관리지역</t>
        </is>
      </c>
      <c r="I1083" s="3" t="inlineStr">
        <is>
          <t>전</t>
        </is>
      </c>
      <c r="J1083" s="3" t="inlineStr">
        <is>
          <t>연서면</t>
        </is>
      </c>
    </row>
    <row r="1084">
      <c r="A1084" s="3" t="n">
        <v>2023</v>
      </c>
      <c r="B1084" s="4" t="n">
        <v>85988</v>
      </c>
      <c r="C1084" s="4" t="n">
        <v>1097</v>
      </c>
      <c r="D1084" s="4" t="n">
        <v>331.8425</v>
      </c>
      <c r="E1084" s="5" t="n">
        <v>259.1</v>
      </c>
      <c r="F1084" s="3" t="inlineStr">
        <is>
          <t>강내면</t>
        </is>
      </c>
      <c r="G1084" s="3" t="inlineStr">
        <is>
          <t>월곡리</t>
        </is>
      </c>
      <c r="H1084" s="3" t="inlineStr">
        <is>
          <t>제2종일반주거지역</t>
        </is>
      </c>
      <c r="I1084" s="3" t="inlineStr">
        <is>
          <t>답</t>
        </is>
      </c>
      <c r="J1084" s="3" t="inlineStr">
        <is>
          <t>강내면</t>
        </is>
      </c>
    </row>
    <row r="1085">
      <c r="A1085" s="3" t="n">
        <v>2023</v>
      </c>
      <c r="B1085" s="4" t="n">
        <v>2579</v>
      </c>
      <c r="C1085" s="4" t="n">
        <v>33</v>
      </c>
      <c r="D1085" s="4" t="n">
        <v>9.9825</v>
      </c>
      <c r="E1085" s="5" t="n">
        <v>258.4</v>
      </c>
      <c r="F1085" s="3" t="inlineStr">
        <is>
          <t>강내면</t>
        </is>
      </c>
      <c r="G1085" s="3" t="inlineStr">
        <is>
          <t>월곡리</t>
        </is>
      </c>
      <c r="H1085" s="3" t="inlineStr">
        <is>
          <t>제2종일반주거지역</t>
        </is>
      </c>
      <c r="I1085" s="3" t="inlineStr">
        <is>
          <t>답</t>
        </is>
      </c>
      <c r="J1085" s="3" t="inlineStr">
        <is>
          <t>강내면</t>
        </is>
      </c>
    </row>
    <row r="1086">
      <c r="A1086" s="3" t="n">
        <v>2023</v>
      </c>
      <c r="B1086" s="4" t="n">
        <v>21756</v>
      </c>
      <c r="C1086" s="4" t="n">
        <v>279</v>
      </c>
      <c r="D1086" s="4" t="n">
        <v>84.39749999999999</v>
      </c>
      <c r="E1086" s="5" t="n">
        <v>257.8</v>
      </c>
      <c r="F1086" s="3" t="inlineStr">
        <is>
          <t>강내면</t>
        </is>
      </c>
      <c r="G1086" s="3" t="inlineStr">
        <is>
          <t>월곡리</t>
        </is>
      </c>
      <c r="H1086" s="3" t="inlineStr">
        <is>
          <t>제2종일반주거지역</t>
        </is>
      </c>
      <c r="I1086" s="3" t="inlineStr">
        <is>
          <t>답</t>
        </is>
      </c>
      <c r="J1086" s="3" t="inlineStr">
        <is>
          <t>강내면</t>
        </is>
      </c>
    </row>
    <row r="1087">
      <c r="A1087" s="3" t="n">
        <v>2023</v>
      </c>
      <c r="B1087" s="4" t="n">
        <v>26677</v>
      </c>
      <c r="C1087" s="4" t="n">
        <v>340</v>
      </c>
      <c r="D1087" s="4" t="n">
        <v>102.85</v>
      </c>
      <c r="E1087" s="5" t="n">
        <v>259.4</v>
      </c>
      <c r="F1087" s="3" t="inlineStr">
        <is>
          <t>강내면</t>
        </is>
      </c>
      <c r="G1087" s="3" t="inlineStr">
        <is>
          <t>월곡리</t>
        </is>
      </c>
      <c r="H1087" s="3" t="inlineStr">
        <is>
          <t>제2종일반주거지역</t>
        </is>
      </c>
      <c r="I1087" s="3" t="inlineStr">
        <is>
          <t>답</t>
        </is>
      </c>
      <c r="J1087" s="3" t="inlineStr">
        <is>
          <t>강내면</t>
        </is>
      </c>
    </row>
    <row r="1088">
      <c r="A1088" s="3" t="n">
        <v>2023</v>
      </c>
      <c r="B1088" s="4" t="n">
        <v>12000</v>
      </c>
      <c r="C1088" s="4" t="n">
        <v>152</v>
      </c>
      <c r="D1088" s="4" t="n">
        <v>45.98</v>
      </c>
      <c r="E1088" s="5" t="n">
        <v>261</v>
      </c>
      <c r="F1088" s="3" t="inlineStr">
        <is>
          <t>오송읍</t>
        </is>
      </c>
      <c r="G1088" s="3" t="inlineStr">
        <is>
          <t>정중리</t>
        </is>
      </c>
      <c r="H1088" s="3" t="inlineStr">
        <is>
          <t>계획관리지역</t>
        </is>
      </c>
      <c r="I1088" s="3" t="inlineStr">
        <is>
          <t>대</t>
        </is>
      </c>
      <c r="J1088" s="3" t="inlineStr">
        <is>
          <t>오송읍</t>
        </is>
      </c>
    </row>
    <row r="1089">
      <c r="A1089" s="3" t="n">
        <v>2023</v>
      </c>
      <c r="B1089" s="4" t="n">
        <v>48000</v>
      </c>
      <c r="C1089" s="4" t="n">
        <v>1879</v>
      </c>
      <c r="D1089" s="4" t="n">
        <v>568.3975</v>
      </c>
      <c r="E1089" s="5" t="n">
        <v>84.40000000000001</v>
      </c>
      <c r="F1089" s="3" t="inlineStr">
        <is>
          <t>강내면</t>
        </is>
      </c>
      <c r="G1089" s="3" t="inlineStr">
        <is>
          <t>다락리</t>
        </is>
      </c>
      <c r="H1089" s="3" t="inlineStr">
        <is>
          <t>계획관리지역</t>
        </is>
      </c>
      <c r="I1089" s="3" t="inlineStr">
        <is>
          <t>임야</t>
        </is>
      </c>
      <c r="J1089" s="3" t="inlineStr">
        <is>
          <t>강내면</t>
        </is>
      </c>
    </row>
    <row r="1090">
      <c r="A1090" s="3" t="n">
        <v>2023</v>
      </c>
      <c r="B1090" s="4" t="n">
        <v>13200</v>
      </c>
      <c r="C1090" s="4" t="n">
        <v>145</v>
      </c>
      <c r="D1090" s="4" t="n">
        <v>43.8625</v>
      </c>
      <c r="E1090" s="5" t="n">
        <v>300.9</v>
      </c>
      <c r="F1090" s="3" t="inlineStr">
        <is>
          <t>오송읍</t>
        </is>
      </c>
      <c r="G1090" s="3" t="inlineStr">
        <is>
          <t>정중리</t>
        </is>
      </c>
      <c r="H1090" s="3" t="inlineStr">
        <is>
          <t>계획관리지역</t>
        </is>
      </c>
      <c r="I1090" s="3" t="inlineStr">
        <is>
          <t>대</t>
        </is>
      </c>
      <c r="J1090" s="3" t="inlineStr">
        <is>
          <t>오송읍</t>
        </is>
      </c>
    </row>
    <row r="1091">
      <c r="A1091" s="3" t="n">
        <v>2023</v>
      </c>
      <c r="B1091" s="4" t="n">
        <v>10000</v>
      </c>
      <c r="C1091" s="4" t="n">
        <v>152</v>
      </c>
      <c r="D1091" s="4" t="n">
        <v>45.98</v>
      </c>
      <c r="E1091" s="5" t="n">
        <v>217.5</v>
      </c>
      <c r="F1091" s="3" t="inlineStr">
        <is>
          <t>오송읍</t>
        </is>
      </c>
      <c r="G1091" s="3" t="inlineStr">
        <is>
          <t>정중리</t>
        </is>
      </c>
      <c r="H1091" s="3" t="inlineStr">
        <is>
          <t>계획관리지역</t>
        </is>
      </c>
      <c r="I1091" s="3" t="inlineStr">
        <is>
          <t>대</t>
        </is>
      </c>
      <c r="J1091" s="3" t="inlineStr">
        <is>
          <t>오송읍</t>
        </is>
      </c>
    </row>
    <row r="1092">
      <c r="A1092" s="3" t="n">
        <v>2023</v>
      </c>
      <c r="B1092" s="4" t="n">
        <v>19400</v>
      </c>
      <c r="C1092" s="4" t="n">
        <v>300</v>
      </c>
      <c r="D1092" s="4" t="n">
        <v>90.75</v>
      </c>
      <c r="E1092" s="5" t="n">
        <v>213.8</v>
      </c>
      <c r="F1092" s="3" t="inlineStr">
        <is>
          <t>오송읍</t>
        </is>
      </c>
      <c r="G1092" s="3" t="inlineStr">
        <is>
          <t>궁평리</t>
        </is>
      </c>
      <c r="H1092" s="3" t="inlineStr">
        <is>
          <t>제1종일반주거지역</t>
        </is>
      </c>
      <c r="I1092" s="3" t="inlineStr">
        <is>
          <t>창고용지</t>
        </is>
      </c>
      <c r="J1092" s="3" t="inlineStr">
        <is>
          <t>오송읍</t>
        </is>
      </c>
    </row>
    <row r="1093">
      <c r="A1093" s="3" t="n">
        <v>2023</v>
      </c>
      <c r="B1093" s="4" t="n">
        <v>88500</v>
      </c>
      <c r="C1093" s="4" t="n">
        <v>2135</v>
      </c>
      <c r="D1093" s="4" t="n">
        <v>645.8375</v>
      </c>
      <c r="E1093" s="5" t="n">
        <v>137</v>
      </c>
      <c r="F1093" s="3" t="inlineStr">
        <is>
          <t>강내면</t>
        </is>
      </c>
      <c r="G1093" s="3" t="inlineStr">
        <is>
          <t>다락리</t>
        </is>
      </c>
      <c r="H1093" s="3" t="inlineStr">
        <is>
          <t>계획관리지역</t>
        </is>
      </c>
      <c r="I1093" s="3" t="inlineStr">
        <is>
          <t>답</t>
        </is>
      </c>
      <c r="J1093" s="3" t="inlineStr">
        <is>
          <t>강내면</t>
        </is>
      </c>
    </row>
    <row r="1094">
      <c r="A1094" s="3" t="n">
        <v>2023</v>
      </c>
      <c r="B1094" s="4" t="n">
        <v>74000</v>
      </c>
      <c r="C1094" s="4" t="n">
        <v>816</v>
      </c>
      <c r="D1094" s="4" t="n">
        <v>246.84</v>
      </c>
      <c r="E1094" s="5" t="n">
        <v>299.8</v>
      </c>
      <c r="F1094" s="3" t="inlineStr">
        <is>
          <t>오송읍</t>
        </is>
      </c>
      <c r="G1094" s="3" t="inlineStr">
        <is>
          <t>오송리</t>
        </is>
      </c>
      <c r="H1094" s="3" t="inlineStr">
        <is>
          <t>농림지역</t>
        </is>
      </c>
      <c r="I1094" s="3" t="inlineStr">
        <is>
          <t>답</t>
        </is>
      </c>
      <c r="J1094" s="3" t="inlineStr">
        <is>
          <t>오송읍</t>
        </is>
      </c>
    </row>
    <row r="1095">
      <c r="A1095" s="3" t="n">
        <v>2023</v>
      </c>
      <c r="B1095" s="4" t="n">
        <v>39500</v>
      </c>
      <c r="C1095" s="4" t="n">
        <v>2076</v>
      </c>
      <c r="D1095" s="4" t="n">
        <v>627.99</v>
      </c>
      <c r="E1095" s="5" t="n">
        <v>62.9</v>
      </c>
      <c r="F1095" s="3" t="inlineStr">
        <is>
          <t>오송읍</t>
        </is>
      </c>
      <c r="G1095" s="3" t="inlineStr">
        <is>
          <t>쌍청리</t>
        </is>
      </c>
      <c r="H1095" s="3" t="inlineStr">
        <is>
          <t>농림지역</t>
        </is>
      </c>
      <c r="I1095" s="3" t="inlineStr">
        <is>
          <t>답</t>
        </is>
      </c>
      <c r="J1095" s="3" t="inlineStr">
        <is>
          <t>오송읍</t>
        </is>
      </c>
    </row>
    <row r="1096">
      <c r="A1096" s="3" t="n">
        <v>2023</v>
      </c>
      <c r="B1096" s="4" t="n">
        <v>16107</v>
      </c>
      <c r="C1096" s="4" t="n">
        <v>409</v>
      </c>
      <c r="D1096" s="4" t="n">
        <v>123.7225</v>
      </c>
      <c r="E1096" s="5" t="n">
        <v>130.2</v>
      </c>
      <c r="F1096" s="3" t="inlineStr">
        <is>
          <t>오송읍</t>
        </is>
      </c>
      <c r="G1096" s="3" t="inlineStr">
        <is>
          <t>공북리</t>
        </is>
      </c>
      <c r="H1096" s="3" t="inlineStr">
        <is>
          <t>계획관리지역</t>
        </is>
      </c>
      <c r="I1096" s="3" t="inlineStr">
        <is>
          <t>답</t>
        </is>
      </c>
      <c r="J1096" s="3" t="inlineStr">
        <is>
          <t>오송읍</t>
        </is>
      </c>
    </row>
    <row r="1097">
      <c r="A1097" s="3" t="n">
        <v>2023</v>
      </c>
      <c r="B1097" s="4" t="n">
        <v>490</v>
      </c>
      <c r="C1097" s="4" t="n">
        <v>18</v>
      </c>
      <c r="D1097" s="4" t="n">
        <v>5.445</v>
      </c>
      <c r="E1097" s="5" t="n">
        <v>90</v>
      </c>
      <c r="F1097" s="3" t="inlineStr">
        <is>
          <t>강내면</t>
        </is>
      </c>
      <c r="G1097" s="3" t="inlineStr">
        <is>
          <t>궁현리</t>
        </is>
      </c>
      <c r="H1097" s="3" t="inlineStr">
        <is>
          <t>계획관리지역</t>
        </is>
      </c>
      <c r="I1097" s="3" t="inlineStr">
        <is>
          <t>임야</t>
        </is>
      </c>
      <c r="J1097" s="3" t="inlineStr">
        <is>
          <t>강내면</t>
        </is>
      </c>
    </row>
    <row r="1098">
      <c r="A1098" s="3" t="n">
        <v>2023</v>
      </c>
      <c r="B1098" s="4" t="n">
        <v>39500</v>
      </c>
      <c r="C1098" s="4" t="n">
        <v>2076</v>
      </c>
      <c r="D1098" s="4" t="n">
        <v>627.99</v>
      </c>
      <c r="E1098" s="5" t="n">
        <v>62.9</v>
      </c>
      <c r="F1098" s="3" t="inlineStr">
        <is>
          <t>오송읍</t>
        </is>
      </c>
      <c r="G1098" s="3" t="inlineStr">
        <is>
          <t>쌍청리</t>
        </is>
      </c>
      <c r="H1098" s="3" t="inlineStr">
        <is>
          <t>농림지역</t>
        </is>
      </c>
      <c r="I1098" s="3" t="inlineStr">
        <is>
          <t>답</t>
        </is>
      </c>
      <c r="J1098" s="3" t="inlineStr">
        <is>
          <t>오송읍</t>
        </is>
      </c>
    </row>
    <row r="1099">
      <c r="A1099" s="3" t="n">
        <v>2023</v>
      </c>
      <c r="B1099" s="4" t="n">
        <v>9500</v>
      </c>
      <c r="C1099" s="4" t="n">
        <v>1031</v>
      </c>
      <c r="D1099" s="4" t="n">
        <v>311.8775</v>
      </c>
      <c r="E1099" s="5" t="n">
        <v>30.5</v>
      </c>
      <c r="F1099" s="3" t="inlineStr">
        <is>
          <t>강내면</t>
        </is>
      </c>
      <c r="G1099" s="3" t="inlineStr">
        <is>
          <t>사인리</t>
        </is>
      </c>
      <c r="H1099" s="3" t="inlineStr">
        <is>
          <t>자연녹지지역</t>
        </is>
      </c>
      <c r="I1099" s="3" t="inlineStr">
        <is>
          <t>전</t>
        </is>
      </c>
      <c r="J1099" s="3" t="inlineStr">
        <is>
          <t>강내면</t>
        </is>
      </c>
    </row>
    <row r="1100">
      <c r="A1100" s="3" t="n">
        <v>2023</v>
      </c>
      <c r="B1100" s="4" t="n">
        <v>20000</v>
      </c>
      <c r="C1100" s="4" t="n">
        <v>243</v>
      </c>
      <c r="D1100" s="4" t="n">
        <v>73.50749999999999</v>
      </c>
      <c r="E1100" s="5" t="n">
        <v>272.1</v>
      </c>
      <c r="F1100" s="3" t="inlineStr">
        <is>
          <t>오송읍</t>
        </is>
      </c>
      <c r="G1100" s="3" t="inlineStr">
        <is>
          <t>궁평리</t>
        </is>
      </c>
      <c r="H1100" s="3" t="inlineStr">
        <is>
          <t>농림지역</t>
        </is>
      </c>
      <c r="I1100" s="3" t="inlineStr">
        <is>
          <t>대</t>
        </is>
      </c>
      <c r="J1100" s="3" t="inlineStr">
        <is>
          <t>오송읍</t>
        </is>
      </c>
    </row>
    <row r="1101">
      <c r="A1101" s="3" t="n">
        <v>2023</v>
      </c>
      <c r="B1101" s="4" t="n">
        <v>29667</v>
      </c>
      <c r="C1101" s="4" t="n">
        <v>3382</v>
      </c>
      <c r="D1101" s="4" t="n">
        <v>1023.055</v>
      </c>
      <c r="E1101" s="5" t="n">
        <v>29</v>
      </c>
      <c r="F1101" s="3" t="inlineStr">
        <is>
          <t>강내면</t>
        </is>
      </c>
      <c r="G1101" s="3" t="inlineStr">
        <is>
          <t>학천리</t>
        </is>
      </c>
      <c r="H1101" s="3" t="inlineStr">
        <is>
          <t>생산녹지지역</t>
        </is>
      </c>
      <c r="I1101" s="3" t="inlineStr">
        <is>
          <t>답</t>
        </is>
      </c>
      <c r="J1101" s="3" t="inlineStr">
        <is>
          <t>강내면</t>
        </is>
      </c>
    </row>
    <row r="1102">
      <c r="A1102" s="3" t="n">
        <v>2023</v>
      </c>
      <c r="B1102" s="4" t="n">
        <v>8983</v>
      </c>
      <c r="C1102" s="4" t="n">
        <v>1481</v>
      </c>
      <c r="D1102" s="4" t="n">
        <v>448.0025</v>
      </c>
      <c r="E1102" s="5" t="n">
        <v>20.1</v>
      </c>
      <c r="F1102" s="3" t="inlineStr">
        <is>
          <t>강내면</t>
        </is>
      </c>
      <c r="G1102" s="3" t="inlineStr">
        <is>
          <t>학천리</t>
        </is>
      </c>
      <c r="H1102" s="3" t="inlineStr">
        <is>
          <t>자연녹지지역</t>
        </is>
      </c>
      <c r="I1102" s="3" t="inlineStr">
        <is>
          <t>전</t>
        </is>
      </c>
      <c r="J1102" s="3" t="inlineStr">
        <is>
          <t>강내면</t>
        </is>
      </c>
    </row>
    <row r="1103">
      <c r="A1103" s="3" t="n">
        <v>2023</v>
      </c>
      <c r="B1103" s="4" t="n">
        <v>85988</v>
      </c>
      <c r="C1103" s="4" t="n">
        <v>1097</v>
      </c>
      <c r="D1103" s="4" t="n">
        <v>331.8425</v>
      </c>
      <c r="E1103" s="5" t="n">
        <v>259.1</v>
      </c>
      <c r="F1103" s="3" t="inlineStr">
        <is>
          <t>강내면</t>
        </is>
      </c>
      <c r="G1103" s="3" t="inlineStr">
        <is>
          <t>월곡리</t>
        </is>
      </c>
      <c r="H1103" s="3" t="inlineStr">
        <is>
          <t>제2종일반주거지역</t>
        </is>
      </c>
      <c r="I1103" s="3" t="inlineStr">
        <is>
          <t>답</t>
        </is>
      </c>
      <c r="J1103" s="3" t="inlineStr">
        <is>
          <t>강내면</t>
        </is>
      </c>
    </row>
    <row r="1104">
      <c r="A1104" s="3" t="n">
        <v>2023</v>
      </c>
      <c r="B1104" s="4" t="n">
        <v>2579</v>
      </c>
      <c r="C1104" s="4" t="n">
        <v>33</v>
      </c>
      <c r="D1104" s="4" t="n">
        <v>9.9825</v>
      </c>
      <c r="E1104" s="5" t="n">
        <v>258.4</v>
      </c>
      <c r="F1104" s="3" t="inlineStr">
        <is>
          <t>강내면</t>
        </is>
      </c>
      <c r="G1104" s="3" t="inlineStr">
        <is>
          <t>월곡리</t>
        </is>
      </c>
      <c r="H1104" s="3" t="inlineStr">
        <is>
          <t>제2종일반주거지역</t>
        </is>
      </c>
      <c r="I1104" s="3" t="inlineStr">
        <is>
          <t>답</t>
        </is>
      </c>
      <c r="J1104" s="3" t="inlineStr">
        <is>
          <t>강내면</t>
        </is>
      </c>
    </row>
    <row r="1105">
      <c r="A1105" s="3" t="n">
        <v>2023</v>
      </c>
      <c r="B1105" s="4" t="n">
        <v>21756</v>
      </c>
      <c r="C1105" s="4" t="n">
        <v>279</v>
      </c>
      <c r="D1105" s="4" t="n">
        <v>84.39749999999999</v>
      </c>
      <c r="E1105" s="5" t="n">
        <v>257.8</v>
      </c>
      <c r="F1105" s="3" t="inlineStr">
        <is>
          <t>강내면</t>
        </is>
      </c>
      <c r="G1105" s="3" t="inlineStr">
        <is>
          <t>월곡리</t>
        </is>
      </c>
      <c r="H1105" s="3" t="inlineStr">
        <is>
          <t>제2종일반주거지역</t>
        </is>
      </c>
      <c r="I1105" s="3" t="inlineStr">
        <is>
          <t>답</t>
        </is>
      </c>
      <c r="J1105" s="3" t="inlineStr">
        <is>
          <t>강내면</t>
        </is>
      </c>
    </row>
    <row r="1106">
      <c r="A1106" s="3" t="n">
        <v>2023</v>
      </c>
      <c r="B1106" s="4" t="n">
        <v>26677</v>
      </c>
      <c r="C1106" s="4" t="n">
        <v>340</v>
      </c>
      <c r="D1106" s="4" t="n">
        <v>102.85</v>
      </c>
      <c r="E1106" s="5" t="n">
        <v>259.4</v>
      </c>
      <c r="F1106" s="3" t="inlineStr">
        <is>
          <t>강내면</t>
        </is>
      </c>
      <c r="G1106" s="3" t="inlineStr">
        <is>
          <t>월곡리</t>
        </is>
      </c>
      <c r="H1106" s="3" t="inlineStr">
        <is>
          <t>제2종일반주거지역</t>
        </is>
      </c>
      <c r="I1106" s="3" t="inlineStr">
        <is>
          <t>답</t>
        </is>
      </c>
      <c r="J1106" s="3" t="inlineStr">
        <is>
          <t>강내면</t>
        </is>
      </c>
    </row>
    <row r="1107">
      <c r="A1107" s="3" t="n">
        <v>2024</v>
      </c>
      <c r="B1107" s="4" t="n">
        <v>8000</v>
      </c>
      <c r="C1107" s="4" t="n">
        <v>1375</v>
      </c>
      <c r="D1107" s="4" t="n">
        <v>415.9375</v>
      </c>
      <c r="E1107" s="5" t="n">
        <v>19.2</v>
      </c>
      <c r="F1107" s="3" t="inlineStr">
        <is>
          <t>남이면</t>
        </is>
      </c>
      <c r="G1107" s="3" t="inlineStr">
        <is>
          <t>대련리</t>
        </is>
      </c>
      <c r="H1107" s="3" t="inlineStr">
        <is>
          <t>자연녹지지역</t>
        </is>
      </c>
      <c r="I1107" s="3" t="inlineStr">
        <is>
          <t>전</t>
        </is>
      </c>
      <c r="J1107" s="3" t="inlineStr">
        <is>
          <t>남이면</t>
        </is>
      </c>
    </row>
    <row r="1108">
      <c r="A1108" s="3" t="n">
        <v>2023</v>
      </c>
      <c r="B1108" s="4" t="n">
        <v>30000</v>
      </c>
      <c r="C1108" s="4" t="n">
        <v>879</v>
      </c>
      <c r="D1108" s="4" t="n">
        <v>265.8975</v>
      </c>
      <c r="E1108" s="5" t="n">
        <v>112.8</v>
      </c>
      <c r="F1108" s="3" t="inlineStr">
        <is>
          <t>강내면</t>
        </is>
      </c>
      <c r="G1108" s="3" t="inlineStr">
        <is>
          <t>학천리</t>
        </is>
      </c>
      <c r="H1108" s="3" t="inlineStr">
        <is>
          <t>자연녹지지역</t>
        </is>
      </c>
      <c r="I1108" s="3" t="inlineStr">
        <is>
          <t>임야</t>
        </is>
      </c>
      <c r="J1108" s="3" t="inlineStr">
        <is>
          <t>강내면</t>
        </is>
      </c>
    </row>
    <row r="1109">
      <c r="A1109" s="3" t="n">
        <v>2023</v>
      </c>
      <c r="B1109" s="4" t="n">
        <v>43257</v>
      </c>
      <c r="C1109" s="4" t="n">
        <v>3911</v>
      </c>
      <c r="D1109" s="4" t="n">
        <v>1183.0775</v>
      </c>
      <c r="E1109" s="5" t="n">
        <v>36.6</v>
      </c>
      <c r="F1109" s="3" t="inlineStr">
        <is>
          <t>오송읍</t>
        </is>
      </c>
      <c r="G1109" s="3" t="inlineStr">
        <is>
          <t>정중리</t>
        </is>
      </c>
      <c r="H1109" s="3" t="inlineStr">
        <is>
          <t>보전관리지역</t>
        </is>
      </c>
      <c r="I1109" s="3" t="inlineStr">
        <is>
          <t>임야</t>
        </is>
      </c>
      <c r="J1109" s="3" t="inlineStr">
        <is>
          <t>오송읍</t>
        </is>
      </c>
    </row>
    <row r="1110">
      <c r="A1110" s="3" t="n">
        <v>2023</v>
      </c>
      <c r="B1110" s="4" t="n">
        <v>343</v>
      </c>
      <c r="C1110" s="4" t="n">
        <v>31</v>
      </c>
      <c r="D1110" s="4" t="n">
        <v>9.3775</v>
      </c>
      <c r="E1110" s="5" t="n">
        <v>36.6</v>
      </c>
      <c r="F1110" s="3" t="inlineStr">
        <is>
          <t>오송읍</t>
        </is>
      </c>
      <c r="G1110" s="3" t="inlineStr">
        <is>
          <t>정중리</t>
        </is>
      </c>
      <c r="H1110" s="3" t="inlineStr">
        <is>
          <t>보전관리지역</t>
        </is>
      </c>
      <c r="I1110" s="3" t="inlineStr">
        <is>
          <t>임야</t>
        </is>
      </c>
      <c r="J1110" s="3" t="inlineStr">
        <is>
          <t>오송읍</t>
        </is>
      </c>
    </row>
    <row r="1111">
      <c r="A1111" s="3" t="n">
        <v>2023</v>
      </c>
      <c r="B1111" s="4" t="n">
        <v>15463</v>
      </c>
      <c r="C1111" s="4" t="n">
        <v>522.9</v>
      </c>
      <c r="D1111" s="4" t="n">
        <v>158.17725</v>
      </c>
      <c r="E1111" s="5" t="n">
        <v>97.8</v>
      </c>
      <c r="F1111" s="3" t="inlineStr">
        <is>
          <t>오송읍</t>
        </is>
      </c>
      <c r="G1111" s="3" t="inlineStr">
        <is>
          <t>상정리</t>
        </is>
      </c>
      <c r="H1111" s="3" t="inlineStr">
        <is>
          <t>계획관리지역</t>
        </is>
      </c>
      <c r="I1111" s="3" t="inlineStr">
        <is>
          <t>대</t>
        </is>
      </c>
      <c r="J1111" s="3" t="inlineStr">
        <is>
          <t>오송읍</t>
        </is>
      </c>
    </row>
    <row r="1112">
      <c r="A1112" s="3" t="n">
        <v>2023</v>
      </c>
      <c r="B1112" s="4" t="n">
        <v>32190</v>
      </c>
      <c r="C1112" s="4" t="n">
        <v>556.7</v>
      </c>
      <c r="D1112" s="4" t="n">
        <v>168.40175</v>
      </c>
      <c r="E1112" s="5" t="n">
        <v>191.2</v>
      </c>
      <c r="F1112" s="3" t="inlineStr">
        <is>
          <t>강내면</t>
        </is>
      </c>
      <c r="G1112" s="3" t="inlineStr">
        <is>
          <t>사곡리</t>
        </is>
      </c>
      <c r="H1112" s="3" t="inlineStr">
        <is>
          <t>보전관리지역</t>
        </is>
      </c>
      <c r="I1112" s="3" t="inlineStr">
        <is>
          <t>대</t>
        </is>
      </c>
      <c r="J1112" s="3" t="inlineStr">
        <is>
          <t>강내면</t>
        </is>
      </c>
    </row>
    <row r="1113">
      <c r="A1113" s="3" t="n">
        <v>2023</v>
      </c>
      <c r="B1113" s="4" t="n">
        <v>593631</v>
      </c>
      <c r="C1113" s="4" t="n">
        <v>16722</v>
      </c>
      <c r="D1113" s="4" t="n">
        <v>5058.405</v>
      </c>
      <c r="E1113" s="5" t="n">
        <v>117.4</v>
      </c>
      <c r="F1113" s="3" t="inlineStr">
        <is>
          <t>오송읍</t>
        </is>
      </c>
      <c r="G1113" s="3" t="inlineStr">
        <is>
          <t>연제리</t>
        </is>
      </c>
      <c r="H1113" s="3" t="inlineStr">
        <is>
          <t>일반공업지역</t>
        </is>
      </c>
      <c r="I1113" s="3" t="inlineStr">
        <is>
          <t>공장용지</t>
        </is>
      </c>
      <c r="J1113" s="3" t="inlineStr">
        <is>
          <t>오송읍</t>
        </is>
      </c>
    </row>
    <row r="1114">
      <c r="A1114" s="3" t="n">
        <v>2023</v>
      </c>
      <c r="B1114" s="4" t="n">
        <v>43000</v>
      </c>
      <c r="C1114" s="4" t="n">
        <v>1140</v>
      </c>
      <c r="D1114" s="4" t="n">
        <v>344.85</v>
      </c>
      <c r="E1114" s="5" t="n">
        <v>124.7</v>
      </c>
      <c r="F1114" s="3" t="inlineStr">
        <is>
          <t>오송읍</t>
        </is>
      </c>
      <c r="G1114" s="3" t="inlineStr">
        <is>
          <t>정중리</t>
        </is>
      </c>
      <c r="H1114" s="3" t="inlineStr">
        <is>
          <t>보전관리지역</t>
        </is>
      </c>
      <c r="I1114" s="3" t="inlineStr">
        <is>
          <t>전</t>
        </is>
      </c>
      <c r="J1114" s="3" t="inlineStr">
        <is>
          <t>오송읍</t>
        </is>
      </c>
    </row>
    <row r="1115">
      <c r="A1115" s="3" t="n">
        <v>2023</v>
      </c>
      <c r="B1115" s="4" t="n">
        <v>30000</v>
      </c>
      <c r="C1115" s="4" t="n">
        <v>356</v>
      </c>
      <c r="D1115" s="4" t="n">
        <v>107.69</v>
      </c>
      <c r="E1115" s="5" t="n">
        <v>278.6</v>
      </c>
      <c r="F1115" s="3" t="inlineStr">
        <is>
          <t>오송읍</t>
        </is>
      </c>
      <c r="G1115" s="3" t="inlineStr">
        <is>
          <t>오송리</t>
        </is>
      </c>
      <c r="H1115" s="3" t="inlineStr">
        <is>
          <t>계획관리지역</t>
        </is>
      </c>
      <c r="I1115" s="3" t="inlineStr">
        <is>
          <t>전</t>
        </is>
      </c>
      <c r="J1115" s="3" t="inlineStr">
        <is>
          <t>오송읍</t>
        </is>
      </c>
    </row>
    <row r="1116">
      <c r="A1116" s="3" t="n">
        <v>2023</v>
      </c>
      <c r="B1116" s="4" t="n">
        <v>21000</v>
      </c>
      <c r="C1116" s="4" t="n">
        <v>182</v>
      </c>
      <c r="D1116" s="4" t="n">
        <v>55.055</v>
      </c>
      <c r="E1116" s="5" t="n">
        <v>381.4</v>
      </c>
      <c r="F1116" s="3" t="inlineStr">
        <is>
          <t>오송읍</t>
        </is>
      </c>
      <c r="G1116" s="3" t="inlineStr">
        <is>
          <t>오송리</t>
        </is>
      </c>
      <c r="H1116" s="3" t="inlineStr">
        <is>
          <t>계획관리지역</t>
        </is>
      </c>
      <c r="I1116" s="3" t="inlineStr">
        <is>
          <t>대</t>
        </is>
      </c>
      <c r="J1116" s="3" t="inlineStr">
        <is>
          <t>오송읍</t>
        </is>
      </c>
    </row>
    <row r="1117">
      <c r="A1117" s="3" t="n">
        <v>2023</v>
      </c>
      <c r="B1117" s="4" t="n">
        <v>85000</v>
      </c>
      <c r="C1117" s="4" t="n">
        <v>331</v>
      </c>
      <c r="D1117" s="4" t="n">
        <v>100.1275</v>
      </c>
      <c r="E1117" s="5" t="n">
        <v>848.9</v>
      </c>
      <c r="F1117" s="3" t="inlineStr">
        <is>
          <t>강내면</t>
        </is>
      </c>
      <c r="G1117" s="3" t="inlineStr">
        <is>
          <t>탑연리</t>
        </is>
      </c>
      <c r="H1117" s="3" t="inlineStr">
        <is>
          <t>일반상업지역</t>
        </is>
      </c>
      <c r="I1117" s="3" t="inlineStr">
        <is>
          <t>대</t>
        </is>
      </c>
      <c r="J1117" s="3" t="inlineStr">
        <is>
          <t>강내면</t>
        </is>
      </c>
    </row>
    <row r="1118">
      <c r="A1118" s="3" t="n">
        <v>2023</v>
      </c>
      <c r="B1118" s="4" t="n">
        <v>1000</v>
      </c>
      <c r="C1118" s="4" t="n">
        <v>4</v>
      </c>
      <c r="D1118" s="4" t="n">
        <v>1.21</v>
      </c>
      <c r="E1118" s="5" t="n">
        <v>826.4</v>
      </c>
      <c r="F1118" s="3" t="inlineStr">
        <is>
          <t>강내면</t>
        </is>
      </c>
      <c r="G1118" s="3" t="inlineStr">
        <is>
          <t>탑연리</t>
        </is>
      </c>
      <c r="H1118" s="3" t="inlineStr">
        <is>
          <t>일반상업지역</t>
        </is>
      </c>
      <c r="I1118" s="3" t="inlineStr">
        <is>
          <t>전</t>
        </is>
      </c>
      <c r="J1118" s="3" t="inlineStr">
        <is>
          <t>강내면</t>
        </is>
      </c>
    </row>
    <row r="1119">
      <c r="A1119" s="3" t="n">
        <v>2023</v>
      </c>
      <c r="B1119" s="4" t="n">
        <v>15000</v>
      </c>
      <c r="C1119" s="4" t="n">
        <v>49</v>
      </c>
      <c r="D1119" s="4" t="n">
        <v>14.8225</v>
      </c>
      <c r="E1119" s="5" t="n">
        <v>1012</v>
      </c>
      <c r="F1119" s="3" t="inlineStr">
        <is>
          <t>강내면</t>
        </is>
      </c>
      <c r="G1119" s="3" t="inlineStr">
        <is>
          <t>탑연리</t>
        </is>
      </c>
      <c r="H1119" s="3" t="inlineStr">
        <is>
          <t>일반상업지역</t>
        </is>
      </c>
      <c r="I1119" s="3" t="inlineStr">
        <is>
          <t>대</t>
        </is>
      </c>
      <c r="J1119" s="3" t="inlineStr">
        <is>
          <t>강내면</t>
        </is>
      </c>
    </row>
    <row r="1120">
      <c r="A1120" s="3" t="n">
        <v>2023</v>
      </c>
      <c r="B1120" s="4" t="n">
        <v>10000</v>
      </c>
      <c r="C1120" s="4" t="n">
        <v>34</v>
      </c>
      <c r="D1120" s="4" t="n">
        <v>10.285</v>
      </c>
      <c r="E1120" s="5" t="n">
        <v>972.3</v>
      </c>
      <c r="F1120" s="3" t="inlineStr">
        <is>
          <t>강내면</t>
        </is>
      </c>
      <c r="G1120" s="3" t="inlineStr">
        <is>
          <t>탑연리</t>
        </is>
      </c>
      <c r="H1120" s="3" t="inlineStr">
        <is>
          <t>일반상업지역</t>
        </is>
      </c>
      <c r="I1120" s="3" t="inlineStr">
        <is>
          <t>전</t>
        </is>
      </c>
      <c r="J1120" s="3" t="inlineStr">
        <is>
          <t>강내면</t>
        </is>
      </c>
    </row>
    <row r="1121">
      <c r="A1121" s="3" t="n">
        <v>2023</v>
      </c>
      <c r="B1121" s="4" t="n">
        <v>49000</v>
      </c>
      <c r="C1121" s="4" t="n">
        <v>162</v>
      </c>
      <c r="D1121" s="4" t="n">
        <v>49.005</v>
      </c>
      <c r="E1121" s="5" t="n">
        <v>999.9</v>
      </c>
      <c r="F1121" s="3" t="inlineStr">
        <is>
          <t>강내면</t>
        </is>
      </c>
      <c r="G1121" s="3" t="inlineStr">
        <is>
          <t>탑연리</t>
        </is>
      </c>
      <c r="H1121" s="3" t="inlineStr">
        <is>
          <t>일반상업지역</t>
        </is>
      </c>
      <c r="I1121" s="3" t="inlineStr">
        <is>
          <t>임야</t>
        </is>
      </c>
      <c r="J1121" s="3" t="inlineStr">
        <is>
          <t>강내면</t>
        </is>
      </c>
    </row>
    <row r="1122">
      <c r="A1122" s="3" t="n">
        <v>2022</v>
      </c>
      <c r="B1122" s="4" t="n">
        <v>21000</v>
      </c>
      <c r="C1122" s="4" t="n">
        <v>265</v>
      </c>
      <c r="D1122" s="4" t="n">
        <v>80.16249999999999</v>
      </c>
      <c r="E1122" s="5" t="n">
        <v>262</v>
      </c>
      <c r="F1122" s="3" t="inlineStr">
        <is>
          <t>연동면</t>
        </is>
      </c>
      <c r="G1122" s="3" t="inlineStr">
        <is>
          <t>노송리</t>
        </is>
      </c>
      <c r="H1122" s="3" t="inlineStr">
        <is>
          <t>계획관리지역</t>
        </is>
      </c>
      <c r="I1122" s="3" t="inlineStr">
        <is>
          <t>답</t>
        </is>
      </c>
      <c r="J1122" s="3" t="inlineStr">
        <is>
          <t>연동면</t>
        </is>
      </c>
    </row>
    <row r="1123">
      <c r="A1123" s="3" t="n">
        <v>2022</v>
      </c>
      <c r="B1123" s="4" t="n">
        <v>80000</v>
      </c>
      <c r="C1123" s="4" t="n">
        <v>3306</v>
      </c>
      <c r="D1123" s="4" t="n">
        <v>1000.065</v>
      </c>
      <c r="E1123" s="5" t="n">
        <v>80</v>
      </c>
      <c r="F1123" s="3" t="inlineStr">
        <is>
          <t>연동면</t>
        </is>
      </c>
      <c r="G1123" s="3" t="inlineStr">
        <is>
          <t>송용리</t>
        </is>
      </c>
      <c r="H1123" s="3" t="inlineStr">
        <is>
          <t>농림지역</t>
        </is>
      </c>
      <c r="I1123" s="3" t="inlineStr">
        <is>
          <t>답</t>
        </is>
      </c>
      <c r="J1123" s="3" t="inlineStr">
        <is>
          <t>연동면</t>
        </is>
      </c>
    </row>
    <row r="1124">
      <c r="A1124" s="3" t="n">
        <v>2022</v>
      </c>
      <c r="B1124" s="4" t="n">
        <v>7606</v>
      </c>
      <c r="C1124" s="4" t="n">
        <v>323</v>
      </c>
      <c r="D1124" s="4" t="n">
        <v>97.7075</v>
      </c>
      <c r="E1124" s="5" t="n">
        <v>77.8</v>
      </c>
      <c r="F1124" s="3" t="inlineStr">
        <is>
          <t>부강면</t>
        </is>
      </c>
      <c r="G1124" s="3" t="inlineStr">
        <is>
          <t>노호리</t>
        </is>
      </c>
      <c r="H1124" s="3" t="inlineStr">
        <is>
          <t>보전관리지역</t>
        </is>
      </c>
      <c r="I1124" s="3" t="inlineStr">
        <is>
          <t>임야</t>
        </is>
      </c>
      <c r="J1124" s="3" t="inlineStr">
        <is>
          <t>부강면</t>
        </is>
      </c>
    </row>
    <row r="1125">
      <c r="A1125" s="3" t="n">
        <v>2022</v>
      </c>
      <c r="B1125" s="4" t="n">
        <v>15294</v>
      </c>
      <c r="C1125" s="4" t="n">
        <v>636</v>
      </c>
      <c r="D1125" s="4" t="n">
        <v>192.39</v>
      </c>
      <c r="E1125" s="5" t="n">
        <v>79.5</v>
      </c>
      <c r="F1125" s="3" t="inlineStr">
        <is>
          <t>부강면</t>
        </is>
      </c>
      <c r="G1125" s="3" t="inlineStr">
        <is>
          <t>노호리</t>
        </is>
      </c>
      <c r="H1125" s="3" t="inlineStr">
        <is>
          <t>보전관리지역</t>
        </is>
      </c>
      <c r="I1125" s="3" t="inlineStr">
        <is>
          <t>임야</t>
        </is>
      </c>
      <c r="J1125" s="3" t="inlineStr">
        <is>
          <t>부강면</t>
        </is>
      </c>
    </row>
    <row r="1126">
      <c r="A1126" s="3" t="n">
        <v>2022</v>
      </c>
      <c r="B1126" s="4" t="n">
        <v>2000</v>
      </c>
      <c r="C1126" s="4" t="n">
        <v>49</v>
      </c>
      <c r="D1126" s="4" t="n">
        <v>14.8225</v>
      </c>
      <c r="E1126" s="5" t="n">
        <v>134.9</v>
      </c>
      <c r="F1126" s="3" t="inlineStr">
        <is>
          <t>부강면</t>
        </is>
      </c>
      <c r="G1126" s="3" t="inlineStr">
        <is>
          <t>문곡리</t>
        </is>
      </c>
      <c r="H1126" s="3" t="inlineStr">
        <is>
          <t>계획관리지역</t>
        </is>
      </c>
      <c r="I1126" s="3" t="inlineStr">
        <is>
          <t>전</t>
        </is>
      </c>
      <c r="J1126" s="3" t="inlineStr">
        <is>
          <t>부강면</t>
        </is>
      </c>
    </row>
    <row r="1127">
      <c r="A1127" s="3" t="n">
        <v>2022</v>
      </c>
      <c r="B1127" s="4" t="n">
        <v>76000</v>
      </c>
      <c r="C1127" s="4" t="n">
        <v>1482</v>
      </c>
      <c r="D1127" s="4" t="n">
        <v>448.305</v>
      </c>
      <c r="E1127" s="5" t="n">
        <v>169.5</v>
      </c>
      <c r="F1127" s="3" t="inlineStr">
        <is>
          <t>부강면</t>
        </is>
      </c>
      <c r="G1127" s="3" t="inlineStr">
        <is>
          <t>문곡리</t>
        </is>
      </c>
      <c r="H1127" s="3" t="inlineStr">
        <is>
          <t>계획관리지역</t>
        </is>
      </c>
      <c r="I1127" s="3" t="inlineStr">
        <is>
          <t>전</t>
        </is>
      </c>
      <c r="J1127" s="3" t="inlineStr">
        <is>
          <t>부강면</t>
        </is>
      </c>
    </row>
    <row r="1128">
      <c r="A1128" s="3" t="n">
        <v>2022</v>
      </c>
      <c r="B1128" s="4" t="n">
        <v>1200</v>
      </c>
      <c r="C1128" s="4" t="n">
        <v>512</v>
      </c>
      <c r="D1128" s="4" t="n">
        <v>154.88</v>
      </c>
      <c r="E1128" s="5" t="n">
        <v>7.7</v>
      </c>
      <c r="F1128" s="3" t="inlineStr">
        <is>
          <t>연서면</t>
        </is>
      </c>
      <c r="G1128" s="3" t="inlineStr">
        <is>
          <t>봉암리</t>
        </is>
      </c>
      <c r="H1128" s="3" t="inlineStr">
        <is>
          <t>계획관리지역</t>
        </is>
      </c>
      <c r="I1128" s="3" t="inlineStr">
        <is>
          <t>도로</t>
        </is>
      </c>
      <c r="J1128" s="3" t="inlineStr">
        <is>
          <t>연서면</t>
        </is>
      </c>
    </row>
    <row r="1129">
      <c r="A1129" s="3" t="n">
        <v>2022</v>
      </c>
      <c r="B1129" s="4" t="n">
        <v>33000</v>
      </c>
      <c r="C1129" s="4" t="n">
        <v>2023</v>
      </c>
      <c r="D1129" s="4" t="n">
        <v>611.9575</v>
      </c>
      <c r="E1129" s="5" t="n">
        <v>53.9</v>
      </c>
      <c r="F1129" s="3" t="inlineStr">
        <is>
          <t>연서면</t>
        </is>
      </c>
      <c r="G1129" s="3" t="inlineStr">
        <is>
          <t>청라리</t>
        </is>
      </c>
      <c r="H1129" s="3" t="inlineStr">
        <is>
          <t>생산관리지역</t>
        </is>
      </c>
      <c r="I1129" s="3" t="inlineStr">
        <is>
          <t>답</t>
        </is>
      </c>
      <c r="J1129" s="3" t="inlineStr">
        <is>
          <t>연서면</t>
        </is>
      </c>
    </row>
    <row r="1130">
      <c r="A1130" s="3" t="n">
        <v>2022</v>
      </c>
      <c r="B1130" s="4" t="n">
        <v>2000</v>
      </c>
      <c r="C1130" s="4" t="n">
        <v>233</v>
      </c>
      <c r="D1130" s="4" t="n">
        <v>70.4825</v>
      </c>
      <c r="E1130" s="5" t="n">
        <v>28.4</v>
      </c>
      <c r="F1130" s="3" t="inlineStr">
        <is>
          <t>부강면</t>
        </is>
      </c>
      <c r="G1130" s="3" t="inlineStr">
        <is>
          <t>노호리</t>
        </is>
      </c>
      <c r="H1130" s="3" t="inlineStr">
        <is>
          <t>보전관리지역</t>
        </is>
      </c>
      <c r="I1130" s="3" t="inlineStr">
        <is>
          <t>임야</t>
        </is>
      </c>
      <c r="J1130" s="3" t="inlineStr">
        <is>
          <t>부강면</t>
        </is>
      </c>
    </row>
    <row r="1131">
      <c r="A1131" s="3" t="n">
        <v>2023</v>
      </c>
      <c r="B1131" s="4" t="n">
        <v>1937</v>
      </c>
      <c r="C1131" s="4" t="n">
        <v>45</v>
      </c>
      <c r="D1131" s="4" t="n">
        <v>13.6125</v>
      </c>
      <c r="E1131" s="5" t="n">
        <v>142.3</v>
      </c>
      <c r="F1131" s="3" t="inlineStr">
        <is>
          <t>연서면</t>
        </is>
      </c>
      <c r="G1131" s="3" t="inlineStr">
        <is>
          <t>월하리</t>
        </is>
      </c>
      <c r="H1131" s="3" t="inlineStr">
        <is>
          <t>보전관리지역</t>
        </is>
      </c>
      <c r="I1131" s="3" t="inlineStr">
        <is>
          <t>전</t>
        </is>
      </c>
      <c r="J1131" s="3" t="inlineStr">
        <is>
          <t>연서면</t>
        </is>
      </c>
    </row>
    <row r="1132">
      <c r="A1132" s="3" t="n">
        <v>2026</v>
      </c>
      <c r="B1132" s="4" t="n">
        <v>37000</v>
      </c>
      <c r="C1132" s="4" t="n">
        <v>2315</v>
      </c>
      <c r="D1132" s="4" t="n">
        <v>700.2875</v>
      </c>
      <c r="E1132" s="5" t="n">
        <v>52.8</v>
      </c>
      <c r="F1132" s="3" t="inlineStr">
        <is>
          <t>연동면</t>
        </is>
      </c>
      <c r="G1132" s="3" t="inlineStr">
        <is>
          <t>문주리</t>
        </is>
      </c>
      <c r="H1132" s="3" t="inlineStr">
        <is>
          <t>농림지역</t>
        </is>
      </c>
      <c r="I1132" s="3" t="inlineStr">
        <is>
          <t>답</t>
        </is>
      </c>
      <c r="J1132" s="3" t="inlineStr">
        <is>
          <t>연동면</t>
        </is>
      </c>
    </row>
    <row r="1133">
      <c r="A1133" s="3" t="n">
        <v>2022</v>
      </c>
      <c r="B1133" s="4" t="n">
        <v>20000</v>
      </c>
      <c r="C1133" s="4" t="n">
        <v>1120</v>
      </c>
      <c r="D1133" s="4" t="n">
        <v>338.8</v>
      </c>
      <c r="E1133" s="5" t="n">
        <v>59</v>
      </c>
      <c r="F1133" s="3" t="inlineStr">
        <is>
          <t>연서면</t>
        </is>
      </c>
      <c r="G1133" s="3" t="inlineStr">
        <is>
          <t>기룡리</t>
        </is>
      </c>
      <c r="H1133" s="3" t="inlineStr">
        <is>
          <t>보전관리지역</t>
        </is>
      </c>
      <c r="I1133" s="3" t="inlineStr">
        <is>
          <t>전</t>
        </is>
      </c>
      <c r="J1133" s="3" t="inlineStr">
        <is>
          <t>연서면</t>
        </is>
      </c>
    </row>
    <row r="1134">
      <c r="A1134" s="3" t="n">
        <v>2022</v>
      </c>
      <c r="B1134" s="4" t="n">
        <v>263248</v>
      </c>
      <c r="C1134" s="4" t="n">
        <v>6216</v>
      </c>
      <c r="D1134" s="4" t="n">
        <v>1880.34</v>
      </c>
      <c r="E1134" s="5" t="n">
        <v>140</v>
      </c>
      <c r="F1134" s="3" t="inlineStr">
        <is>
          <t>부강면</t>
        </is>
      </c>
      <c r="G1134" s="3" t="inlineStr">
        <is>
          <t>금호리</t>
        </is>
      </c>
      <c r="H1134" s="3" t="inlineStr">
        <is>
          <t>계획관리지역</t>
        </is>
      </c>
      <c r="I1134" s="3" t="inlineStr">
        <is>
          <t>전</t>
        </is>
      </c>
      <c r="J1134" s="3" t="inlineStr">
        <is>
          <t>부강면</t>
        </is>
      </c>
    </row>
    <row r="1135">
      <c r="A1135" s="3" t="n">
        <v>2022</v>
      </c>
      <c r="B1135" s="4" t="n">
        <v>116000</v>
      </c>
      <c r="C1135" s="4" t="n">
        <v>660</v>
      </c>
      <c r="D1135" s="4" t="n">
        <v>199.65</v>
      </c>
      <c r="E1135" s="5" t="n">
        <v>581</v>
      </c>
      <c r="F1135" s="3" t="inlineStr">
        <is>
          <t>부강면</t>
        </is>
      </c>
      <c r="G1135" s="3" t="inlineStr">
        <is>
          <t>금호리</t>
        </is>
      </c>
      <c r="H1135" s="3" t="inlineStr">
        <is>
          <t>계획관리지역</t>
        </is>
      </c>
      <c r="I1135" s="3" t="inlineStr">
        <is>
          <t>잡종지</t>
        </is>
      </c>
      <c r="J1135" s="3" t="inlineStr">
        <is>
          <t>부강면</t>
        </is>
      </c>
    </row>
    <row r="1136">
      <c r="A1136" s="3" t="n">
        <v>2022</v>
      </c>
      <c r="B1136" s="4" t="n">
        <v>5400</v>
      </c>
      <c r="C1136" s="4" t="n">
        <v>324</v>
      </c>
      <c r="D1136" s="4" t="n">
        <v>98.00999999999999</v>
      </c>
      <c r="E1136" s="5" t="n">
        <v>55.1</v>
      </c>
      <c r="F1136" s="3" t="inlineStr">
        <is>
          <t>연서면</t>
        </is>
      </c>
      <c r="G1136" s="3" t="inlineStr">
        <is>
          <t>용암리</t>
        </is>
      </c>
      <c r="H1136" s="3" t="inlineStr">
        <is>
          <t>보전관리지역</t>
        </is>
      </c>
      <c r="I1136" s="3" t="inlineStr">
        <is>
          <t>전</t>
        </is>
      </c>
      <c r="J1136" s="3" t="inlineStr">
        <is>
          <t>연서면</t>
        </is>
      </c>
    </row>
    <row r="1137">
      <c r="A1137" s="3" t="n">
        <v>2022</v>
      </c>
      <c r="B1137" s="4" t="n">
        <v>204952</v>
      </c>
      <c r="C1137" s="4" t="n">
        <v>2605</v>
      </c>
      <c r="D1137" s="4" t="n">
        <v>788.0124999999999</v>
      </c>
      <c r="E1137" s="5" t="n">
        <v>260.1</v>
      </c>
      <c r="F1137" s="3" t="inlineStr">
        <is>
          <t>조치원읍</t>
        </is>
      </c>
      <c r="G1137" s="3" t="inlineStr">
        <is>
          <t>봉산리</t>
        </is>
      </c>
      <c r="H1137" s="3" t="inlineStr">
        <is>
          <t>준주거지역</t>
        </is>
      </c>
      <c r="I1137" s="3" t="inlineStr">
        <is>
          <t>대</t>
        </is>
      </c>
      <c r="J1137" s="3" t="inlineStr">
        <is>
          <t>조치원읍</t>
        </is>
      </c>
    </row>
    <row r="1138">
      <c r="A1138" s="3" t="n">
        <v>2022</v>
      </c>
      <c r="B1138" s="4" t="n">
        <v>20520</v>
      </c>
      <c r="C1138" s="4" t="n">
        <v>22612</v>
      </c>
      <c r="D1138" s="4" t="n">
        <v>6840.13</v>
      </c>
      <c r="E1138" s="5" t="n">
        <v>3</v>
      </c>
      <c r="F1138" s="3" t="inlineStr">
        <is>
          <t>연서면</t>
        </is>
      </c>
      <c r="G1138" s="3" t="inlineStr">
        <is>
          <t>기룡리</t>
        </is>
      </c>
      <c r="H1138" s="3" t="inlineStr">
        <is>
          <t>농림지역</t>
        </is>
      </c>
      <c r="I1138" s="3" t="inlineStr">
        <is>
          <t>임야</t>
        </is>
      </c>
      <c r="J1138" s="3" t="inlineStr">
        <is>
          <t>연서면</t>
        </is>
      </c>
    </row>
    <row r="1139">
      <c r="A1139" s="3" t="n">
        <v>2023</v>
      </c>
      <c r="B1139" s="4" t="n">
        <v>2152</v>
      </c>
      <c r="C1139" s="4" t="n">
        <v>50</v>
      </c>
      <c r="D1139" s="4" t="n">
        <v>15.125</v>
      </c>
      <c r="E1139" s="5" t="n">
        <v>142.3</v>
      </c>
      <c r="F1139" s="3" t="inlineStr">
        <is>
          <t>연서면</t>
        </is>
      </c>
      <c r="G1139" s="3" t="inlineStr">
        <is>
          <t>월하리</t>
        </is>
      </c>
      <c r="H1139" s="3" t="inlineStr">
        <is>
          <t>보전관리지역</t>
        </is>
      </c>
      <c r="I1139" s="3" t="inlineStr">
        <is>
          <t>전</t>
        </is>
      </c>
      <c r="J1139" s="3" t="inlineStr">
        <is>
          <t>연서면</t>
        </is>
      </c>
    </row>
    <row r="1140">
      <c r="A1140" s="3" t="n">
        <v>2023</v>
      </c>
      <c r="B1140" s="4" t="n">
        <v>32878</v>
      </c>
      <c r="C1140" s="4" t="n">
        <v>764</v>
      </c>
      <c r="D1140" s="4" t="n">
        <v>231.11</v>
      </c>
      <c r="E1140" s="5" t="n">
        <v>142.3</v>
      </c>
      <c r="F1140" s="3" t="inlineStr">
        <is>
          <t>연서면</t>
        </is>
      </c>
      <c r="G1140" s="3" t="inlineStr">
        <is>
          <t>월하리</t>
        </is>
      </c>
      <c r="H1140" s="3" t="inlineStr">
        <is>
          <t>보전관리지역</t>
        </is>
      </c>
      <c r="I1140" s="3" t="inlineStr">
        <is>
          <t>전</t>
        </is>
      </c>
      <c r="J1140" s="3" t="inlineStr">
        <is>
          <t>연서면</t>
        </is>
      </c>
    </row>
    <row r="1141">
      <c r="A1141" s="3" t="n">
        <v>2023</v>
      </c>
      <c r="B1141" s="4" t="n">
        <v>1000</v>
      </c>
      <c r="C1141" s="4" t="n">
        <v>135</v>
      </c>
      <c r="D1141" s="4" t="n">
        <v>40.8375</v>
      </c>
      <c r="E1141" s="5" t="n">
        <v>24.5</v>
      </c>
      <c r="F1141" s="3" t="inlineStr">
        <is>
          <t>연서면</t>
        </is>
      </c>
      <c r="G1141" s="3" t="inlineStr">
        <is>
          <t>기룡리</t>
        </is>
      </c>
      <c r="H1141" s="3" t="inlineStr">
        <is>
          <t>계획관리지역</t>
        </is>
      </c>
      <c r="I1141" s="3" t="inlineStr">
        <is>
          <t>대</t>
        </is>
      </c>
      <c r="J1141" s="3" t="inlineStr">
        <is>
          <t>연서면</t>
        </is>
      </c>
    </row>
    <row r="1142">
      <c r="A1142" s="3" t="n">
        <v>2023</v>
      </c>
      <c r="B1142" s="4" t="n">
        <v>9970</v>
      </c>
      <c r="C1142" s="4" t="n">
        <v>641</v>
      </c>
      <c r="D1142" s="4" t="n">
        <v>193.9025</v>
      </c>
      <c r="E1142" s="5" t="n">
        <v>51.4</v>
      </c>
      <c r="F1142" s="3" t="inlineStr">
        <is>
          <t>부강면</t>
        </is>
      </c>
      <c r="G1142" s="3" t="inlineStr">
        <is>
          <t>부강리</t>
        </is>
      </c>
      <c r="H1142" s="3" t="inlineStr">
        <is>
          <t>계획관리지역</t>
        </is>
      </c>
      <c r="I1142" s="3" t="inlineStr">
        <is>
          <t>전</t>
        </is>
      </c>
      <c r="J1142" s="3" t="inlineStr">
        <is>
          <t>부강면</t>
        </is>
      </c>
    </row>
    <row r="1143">
      <c r="A1143" s="3" t="n">
        <v>2023</v>
      </c>
      <c r="B1143" s="4" t="n">
        <v>3400</v>
      </c>
      <c r="C1143" s="4" t="n">
        <v>75</v>
      </c>
      <c r="D1143" s="4" t="n">
        <v>22.6875</v>
      </c>
      <c r="E1143" s="5" t="n">
        <v>149.9</v>
      </c>
      <c r="F1143" s="3" t="inlineStr">
        <is>
          <t>부강면</t>
        </is>
      </c>
      <c r="G1143" s="3" t="inlineStr">
        <is>
          <t>부강리</t>
        </is>
      </c>
      <c r="H1143" s="3" t="inlineStr">
        <is>
          <t>계획관리지역</t>
        </is>
      </c>
      <c r="I1143" s="3" t="inlineStr">
        <is>
          <t>공장용지</t>
        </is>
      </c>
      <c r="J1143" s="3" t="inlineStr">
        <is>
          <t>부강면</t>
        </is>
      </c>
    </row>
    <row r="1144">
      <c r="A1144" s="3" t="n">
        <v>2023</v>
      </c>
      <c r="B1144" s="4" t="n">
        <v>18600</v>
      </c>
      <c r="C1144" s="4" t="n">
        <v>2674</v>
      </c>
      <c r="D1144" s="4" t="n">
        <v>808.885</v>
      </c>
      <c r="E1144" s="5" t="n">
        <v>23</v>
      </c>
      <c r="F1144" s="3" t="inlineStr">
        <is>
          <t>부강면</t>
        </is>
      </c>
      <c r="G1144" s="3" t="inlineStr">
        <is>
          <t>행산리</t>
        </is>
      </c>
      <c r="H1144" s="3" t="inlineStr">
        <is>
          <t>생산관리지역</t>
        </is>
      </c>
      <c r="I1144" s="3" t="inlineStr">
        <is>
          <t>답</t>
        </is>
      </c>
      <c r="J1144" s="3" t="inlineStr">
        <is>
          <t>부강면</t>
        </is>
      </c>
    </row>
    <row r="1145">
      <c r="A1145" s="3" t="n">
        <v>2023</v>
      </c>
      <c r="B1145" s="4" t="n">
        <v>20330</v>
      </c>
      <c r="C1145" s="4" t="n">
        <v>2922</v>
      </c>
      <c r="D1145" s="4" t="n">
        <v>883.905</v>
      </c>
      <c r="E1145" s="5" t="n">
        <v>23</v>
      </c>
      <c r="F1145" s="3" t="inlineStr">
        <is>
          <t>부강면</t>
        </is>
      </c>
      <c r="G1145" s="3" t="inlineStr">
        <is>
          <t>행산리</t>
        </is>
      </c>
      <c r="H1145" s="3" t="inlineStr">
        <is>
          <t>생산관리지역</t>
        </is>
      </c>
      <c r="I1145" s="3" t="inlineStr">
        <is>
          <t>답</t>
        </is>
      </c>
      <c r="J1145" s="3" t="inlineStr">
        <is>
          <t>부강면</t>
        </is>
      </c>
    </row>
    <row r="1146">
      <c r="A1146" s="3" t="n">
        <v>2023</v>
      </c>
      <c r="B1146" s="4" t="n">
        <v>12570</v>
      </c>
      <c r="C1146" s="4" t="n">
        <v>1804</v>
      </c>
      <c r="D1146" s="4" t="n">
        <v>545.71</v>
      </c>
      <c r="E1146" s="5" t="n">
        <v>23</v>
      </c>
      <c r="F1146" s="3" t="inlineStr">
        <is>
          <t>부강면</t>
        </is>
      </c>
      <c r="G1146" s="3" t="inlineStr">
        <is>
          <t>행산리</t>
        </is>
      </c>
      <c r="H1146" s="3" t="inlineStr">
        <is>
          <t>보전관리지역</t>
        </is>
      </c>
      <c r="I1146" s="3" t="inlineStr">
        <is>
          <t>답</t>
        </is>
      </c>
      <c r="J1146" s="3" t="inlineStr">
        <is>
          <t>부강면</t>
        </is>
      </c>
    </row>
    <row r="1147">
      <c r="A1147" s="3" t="n">
        <v>2023</v>
      </c>
      <c r="B1147" s="4" t="n">
        <v>18500</v>
      </c>
      <c r="C1147" s="4" t="n">
        <v>2659</v>
      </c>
      <c r="D1147" s="4" t="n">
        <v>804.3475</v>
      </c>
      <c r="E1147" s="5" t="n">
        <v>23</v>
      </c>
      <c r="F1147" s="3" t="inlineStr">
        <is>
          <t>부강면</t>
        </is>
      </c>
      <c r="G1147" s="3" t="inlineStr">
        <is>
          <t>행산리</t>
        </is>
      </c>
      <c r="H1147" s="3" t="inlineStr">
        <is>
          <t>보전관리지역</t>
        </is>
      </c>
      <c r="I1147" s="3" t="inlineStr">
        <is>
          <t>전</t>
        </is>
      </c>
      <c r="J1147" s="3" t="inlineStr">
        <is>
          <t>부강면</t>
        </is>
      </c>
    </row>
    <row r="1148">
      <c r="A1148" s="3" t="n">
        <v>2023</v>
      </c>
      <c r="B1148" s="4" t="n">
        <v>70500</v>
      </c>
      <c r="C1148" s="4" t="n">
        <v>2324</v>
      </c>
      <c r="D1148" s="4" t="n">
        <v>703.01</v>
      </c>
      <c r="E1148" s="5" t="n">
        <v>100.3</v>
      </c>
      <c r="F1148" s="3" t="inlineStr">
        <is>
          <t>연서면</t>
        </is>
      </c>
      <c r="G1148" s="3" t="inlineStr">
        <is>
          <t>신대리</t>
        </is>
      </c>
      <c r="H1148" s="3" t="inlineStr">
        <is>
          <t>계획관리지역</t>
        </is>
      </c>
      <c r="I1148" s="3" t="inlineStr">
        <is>
          <t>답</t>
        </is>
      </c>
      <c r="J1148" s="3" t="inlineStr">
        <is>
          <t>연서면</t>
        </is>
      </c>
    </row>
    <row r="1149">
      <c r="A1149" s="3" t="n">
        <v>2023</v>
      </c>
      <c r="B1149" s="4" t="n">
        <v>14500</v>
      </c>
      <c r="C1149" s="4" t="n">
        <v>466</v>
      </c>
      <c r="D1149" s="4" t="n">
        <v>140.965</v>
      </c>
      <c r="E1149" s="5" t="n">
        <v>102.9</v>
      </c>
      <c r="F1149" s="3" t="inlineStr">
        <is>
          <t>연서면</t>
        </is>
      </c>
      <c r="G1149" s="3" t="inlineStr">
        <is>
          <t>신대리</t>
        </is>
      </c>
      <c r="H1149" s="3" t="inlineStr">
        <is>
          <t>계획관리지역</t>
        </is>
      </c>
      <c r="I1149" s="3" t="inlineStr">
        <is>
          <t>전</t>
        </is>
      </c>
      <c r="J1149" s="3" t="inlineStr">
        <is>
          <t>연서면</t>
        </is>
      </c>
    </row>
    <row r="1150">
      <c r="A1150" s="3" t="n">
        <v>2023</v>
      </c>
      <c r="B1150" s="4" t="n">
        <v>22000</v>
      </c>
      <c r="C1150" s="4" t="n">
        <v>1406</v>
      </c>
      <c r="D1150" s="4" t="n">
        <v>425.315</v>
      </c>
      <c r="E1150" s="5" t="n">
        <v>51.7</v>
      </c>
      <c r="F1150" s="3" t="inlineStr">
        <is>
          <t>부강면</t>
        </is>
      </c>
      <c r="G1150" s="3" t="inlineStr">
        <is>
          <t>금호리</t>
        </is>
      </c>
      <c r="H1150" s="3" t="inlineStr">
        <is>
          <t>계획관리지역</t>
        </is>
      </c>
      <c r="I1150" s="3" t="inlineStr">
        <is>
          <t>임야</t>
        </is>
      </c>
      <c r="J1150" s="3" t="inlineStr">
        <is>
          <t>부강면</t>
        </is>
      </c>
    </row>
    <row r="1151">
      <c r="A1151" s="3" t="n">
        <v>2023</v>
      </c>
      <c r="B1151" s="4" t="n">
        <v>800</v>
      </c>
      <c r="C1151" s="4" t="n">
        <v>14</v>
      </c>
      <c r="D1151" s="4" t="n">
        <v>4.234999999999999</v>
      </c>
      <c r="E1151" s="5" t="n">
        <v>188.9</v>
      </c>
      <c r="F1151" s="3" t="inlineStr">
        <is>
          <t>조치원읍</t>
        </is>
      </c>
      <c r="G1151" s="3" t="inlineStr">
        <is>
          <t>서창리</t>
        </is>
      </c>
      <c r="H1151" s="3" t="inlineStr">
        <is>
          <t>자연녹지지역</t>
        </is>
      </c>
      <c r="I1151" s="3" t="inlineStr">
        <is>
          <t>전</t>
        </is>
      </c>
      <c r="J1151" s="3" t="inlineStr">
        <is>
          <t>조치원읍</t>
        </is>
      </c>
    </row>
    <row r="1152">
      <c r="A1152" s="3" t="n">
        <v>2023</v>
      </c>
      <c r="B1152" s="4" t="n">
        <v>15000</v>
      </c>
      <c r="C1152" s="4" t="n">
        <v>258</v>
      </c>
      <c r="D1152" s="4" t="n">
        <v>78.045</v>
      </c>
      <c r="E1152" s="5" t="n">
        <v>192.2</v>
      </c>
      <c r="F1152" s="3" t="inlineStr">
        <is>
          <t>연동면</t>
        </is>
      </c>
      <c r="G1152" s="3" t="inlineStr">
        <is>
          <t>합강리</t>
        </is>
      </c>
      <c r="H1152" s="3" t="inlineStr">
        <is>
          <t>보전관리지역</t>
        </is>
      </c>
      <c r="I1152" s="3" t="inlineStr">
        <is>
          <t>대</t>
        </is>
      </c>
      <c r="J1152" s="3" t="inlineStr">
        <is>
          <t>연동면</t>
        </is>
      </c>
    </row>
    <row r="1153">
      <c r="A1153" s="3" t="n">
        <v>2024</v>
      </c>
      <c r="B1153" s="4" t="n">
        <v>47547</v>
      </c>
      <c r="C1153" s="4" t="n">
        <v>660</v>
      </c>
      <c r="D1153" s="4" t="n">
        <v>199.65</v>
      </c>
      <c r="E1153" s="5" t="n">
        <v>238.2</v>
      </c>
      <c r="F1153" s="3" t="inlineStr">
        <is>
          <t>연동면</t>
        </is>
      </c>
      <c r="G1153" s="3" t="inlineStr">
        <is>
          <t>내판리</t>
        </is>
      </c>
      <c r="H1153" s="3" t="inlineStr">
        <is>
          <t>보전관리지역</t>
        </is>
      </c>
      <c r="I1153" s="3" t="inlineStr">
        <is>
          <t>대</t>
        </is>
      </c>
      <c r="J1153" s="3" t="inlineStr">
        <is>
          <t>연동면</t>
        </is>
      </c>
    </row>
    <row r="1154">
      <c r="A1154" s="3" t="n">
        <v>2022</v>
      </c>
      <c r="B1154" s="4" t="n">
        <v>20520</v>
      </c>
      <c r="C1154" s="4" t="n">
        <v>22612</v>
      </c>
      <c r="D1154" s="4" t="n">
        <v>6840.13</v>
      </c>
      <c r="E1154" s="5" t="n">
        <v>3</v>
      </c>
      <c r="F1154" s="3" t="inlineStr">
        <is>
          <t>연서면</t>
        </is>
      </c>
      <c r="G1154" s="3" t="inlineStr">
        <is>
          <t>기룡리</t>
        </is>
      </c>
      <c r="H1154" s="3" t="inlineStr">
        <is>
          <t>농림지역</t>
        </is>
      </c>
      <c r="I1154" s="3" t="inlineStr">
        <is>
          <t>임야</t>
        </is>
      </c>
      <c r="J1154" s="3" t="inlineStr">
        <is>
          <t>연서면</t>
        </is>
      </c>
    </row>
    <row r="1155">
      <c r="A1155" s="3" t="n">
        <v>2022</v>
      </c>
      <c r="B1155" s="4" t="n">
        <v>132000</v>
      </c>
      <c r="C1155" s="4" t="n">
        <v>3725</v>
      </c>
      <c r="D1155" s="4" t="n">
        <v>1126.8125</v>
      </c>
      <c r="E1155" s="5" t="n">
        <v>117.1</v>
      </c>
      <c r="F1155" s="3" t="inlineStr">
        <is>
          <t>연서면</t>
        </is>
      </c>
      <c r="G1155" s="3" t="inlineStr">
        <is>
          <t>성제리</t>
        </is>
      </c>
      <c r="H1155" s="3" t="inlineStr">
        <is>
          <t>농림지역</t>
        </is>
      </c>
      <c r="I1155" s="3" t="inlineStr">
        <is>
          <t>답</t>
        </is>
      </c>
      <c r="J1155" s="3" t="inlineStr">
        <is>
          <t>연서면</t>
        </is>
      </c>
    </row>
    <row r="1156">
      <c r="A1156" s="3" t="n">
        <v>2022</v>
      </c>
      <c r="B1156" s="4" t="n">
        <v>700</v>
      </c>
      <c r="C1156" s="4" t="n">
        <v>32</v>
      </c>
      <c r="D1156" s="4" t="n">
        <v>9.68</v>
      </c>
      <c r="E1156" s="5" t="n">
        <v>72.3</v>
      </c>
      <c r="F1156" s="3" t="inlineStr">
        <is>
          <t>조치원읍</t>
        </is>
      </c>
      <c r="G1156" s="3" t="inlineStr">
        <is>
          <t>서창리</t>
        </is>
      </c>
      <c r="H1156" s="3" t="inlineStr">
        <is>
          <t>제1종일반주거지역</t>
        </is>
      </c>
      <c r="I1156" s="3" t="inlineStr">
        <is>
          <t>전</t>
        </is>
      </c>
      <c r="J1156" s="3" t="inlineStr">
        <is>
          <t>조치원읍</t>
        </is>
      </c>
    </row>
    <row r="1157">
      <c r="A1157" s="3" t="n">
        <v>2022</v>
      </c>
      <c r="B1157" s="4" t="n">
        <v>109000</v>
      </c>
      <c r="C1157" s="4" t="n">
        <v>2148</v>
      </c>
      <c r="D1157" s="4" t="n">
        <v>649.77</v>
      </c>
      <c r="E1157" s="5" t="n">
        <v>167.8</v>
      </c>
      <c r="F1157" s="3" t="inlineStr">
        <is>
          <t>부강면</t>
        </is>
      </c>
      <c r="G1157" s="3" t="inlineStr">
        <is>
          <t>금호리</t>
        </is>
      </c>
      <c r="H1157" s="3" t="inlineStr">
        <is>
          <t>계획관리지역</t>
        </is>
      </c>
      <c r="I1157" s="3" t="inlineStr">
        <is>
          <t>전</t>
        </is>
      </c>
      <c r="J1157" s="3" t="inlineStr">
        <is>
          <t>부강면</t>
        </is>
      </c>
    </row>
    <row r="1158">
      <c r="A1158" s="3" t="n">
        <v>2025</v>
      </c>
      <c r="B1158" s="4" t="n">
        <v>50000</v>
      </c>
      <c r="C1158" s="4" t="n">
        <v>325.3</v>
      </c>
      <c r="D1158" s="4" t="n">
        <v>98.40325</v>
      </c>
      <c r="E1158" s="5" t="n">
        <v>508.1</v>
      </c>
      <c r="F1158" s="3" t="inlineStr">
        <is>
          <t>집현동</t>
        </is>
      </c>
      <c r="G1158" s="3" t="inlineStr"/>
      <c r="H1158" s="3" t="inlineStr">
        <is>
          <t>제1종전용주거지역</t>
        </is>
      </c>
      <c r="I1158" s="3" t="inlineStr">
        <is>
          <t>대</t>
        </is>
      </c>
      <c r="J1158" s="3" t="inlineStr">
        <is>
          <t>집현동</t>
        </is>
      </c>
    </row>
    <row r="1159">
      <c r="A1159" s="3" t="n">
        <v>2025</v>
      </c>
      <c r="B1159" s="4" t="n">
        <v>68000</v>
      </c>
      <c r="C1159" s="4" t="n">
        <v>331.9</v>
      </c>
      <c r="D1159" s="4" t="n">
        <v>100.39975</v>
      </c>
      <c r="E1159" s="5" t="n">
        <v>677.3</v>
      </c>
      <c r="F1159" s="3" t="inlineStr">
        <is>
          <t>고운동</t>
        </is>
      </c>
      <c r="G1159" s="3" t="inlineStr"/>
      <c r="H1159" s="3" t="inlineStr">
        <is>
          <t>제1종전용주거지역</t>
        </is>
      </c>
      <c r="I1159" s="3" t="inlineStr">
        <is>
          <t>대</t>
        </is>
      </c>
      <c r="J1159" s="3" t="inlineStr">
        <is>
          <t>고운동</t>
        </is>
      </c>
    </row>
    <row r="1160">
      <c r="A1160" s="3" t="n">
        <v>2022</v>
      </c>
      <c r="B1160" s="4" t="n">
        <v>7000</v>
      </c>
      <c r="C1160" s="4" t="n">
        <v>147</v>
      </c>
      <c r="D1160" s="4" t="n">
        <v>44.4675</v>
      </c>
      <c r="E1160" s="5" t="n">
        <v>157.4</v>
      </c>
      <c r="F1160" s="3" t="inlineStr">
        <is>
          <t>연서면</t>
        </is>
      </c>
      <c r="G1160" s="3" t="inlineStr">
        <is>
          <t>쌍전리</t>
        </is>
      </c>
      <c r="H1160" s="3" t="inlineStr">
        <is>
          <t>자연녹지지역</t>
        </is>
      </c>
      <c r="I1160" s="3" t="inlineStr">
        <is>
          <t>전</t>
        </is>
      </c>
      <c r="J1160" s="3" t="inlineStr">
        <is>
          <t>연서면</t>
        </is>
      </c>
    </row>
    <row r="1161">
      <c r="A1161" s="3" t="n">
        <v>2022</v>
      </c>
      <c r="B1161" s="4" t="n">
        <v>21160</v>
      </c>
      <c r="C1161" s="4" t="n">
        <v>1831</v>
      </c>
      <c r="D1161" s="4" t="n">
        <v>553.8774999999999</v>
      </c>
      <c r="E1161" s="5" t="n">
        <v>38.2</v>
      </c>
      <c r="F1161" s="3" t="inlineStr">
        <is>
          <t>부강면</t>
        </is>
      </c>
      <c r="G1161" s="3" t="inlineStr">
        <is>
          <t>금호리</t>
        </is>
      </c>
      <c r="H1161" s="3" t="inlineStr">
        <is>
          <t>생산관리지역</t>
        </is>
      </c>
      <c r="I1161" s="3" t="inlineStr">
        <is>
          <t>전</t>
        </is>
      </c>
      <c r="J1161" s="3" t="inlineStr">
        <is>
          <t>부강면</t>
        </is>
      </c>
    </row>
    <row r="1162">
      <c r="A1162" s="3" t="n">
        <v>2022</v>
      </c>
      <c r="B1162" s="4" t="n">
        <v>10000</v>
      </c>
      <c r="C1162" s="4" t="n">
        <v>198</v>
      </c>
      <c r="D1162" s="4" t="n">
        <v>59.895</v>
      </c>
      <c r="E1162" s="5" t="n">
        <v>167</v>
      </c>
      <c r="F1162" s="3" t="inlineStr">
        <is>
          <t>연서면</t>
        </is>
      </c>
      <c r="G1162" s="3" t="inlineStr">
        <is>
          <t>쌍전리</t>
        </is>
      </c>
      <c r="H1162" s="3" t="inlineStr">
        <is>
          <t>자연녹지지역</t>
        </is>
      </c>
      <c r="I1162" s="3" t="inlineStr">
        <is>
          <t>임야</t>
        </is>
      </c>
      <c r="J1162" s="3" t="inlineStr">
        <is>
          <t>연서면</t>
        </is>
      </c>
    </row>
    <row r="1163">
      <c r="A1163" s="3" t="n">
        <v>2022</v>
      </c>
      <c r="B1163" s="4" t="n">
        <v>15000</v>
      </c>
      <c r="C1163" s="4" t="n">
        <v>399</v>
      </c>
      <c r="D1163" s="4" t="n">
        <v>120.6975</v>
      </c>
      <c r="E1163" s="5" t="n">
        <v>124.3</v>
      </c>
      <c r="F1163" s="3" t="inlineStr">
        <is>
          <t>연서면</t>
        </is>
      </c>
      <c r="G1163" s="3" t="inlineStr">
        <is>
          <t>와촌리</t>
        </is>
      </c>
      <c r="H1163" s="3" t="inlineStr">
        <is>
          <t>보전관리지역</t>
        </is>
      </c>
      <c r="I1163" s="3" t="inlineStr">
        <is>
          <t>전</t>
        </is>
      </c>
      <c r="J1163" s="3" t="inlineStr">
        <is>
          <t>연서면</t>
        </is>
      </c>
    </row>
    <row r="1164">
      <c r="A1164" s="3" t="n">
        <v>2022</v>
      </c>
      <c r="B1164" s="4" t="n">
        <v>2160</v>
      </c>
      <c r="C1164" s="4" t="n">
        <v>180</v>
      </c>
      <c r="D1164" s="4" t="n">
        <v>54.45</v>
      </c>
      <c r="E1164" s="5" t="n">
        <v>39.7</v>
      </c>
      <c r="F1164" s="3" t="inlineStr">
        <is>
          <t>연서면</t>
        </is>
      </c>
      <c r="G1164" s="3" t="inlineStr">
        <is>
          <t>쌍류리</t>
        </is>
      </c>
      <c r="H1164" s="3" t="inlineStr">
        <is>
          <t>생산관리지역</t>
        </is>
      </c>
      <c r="I1164" s="3" t="inlineStr">
        <is>
          <t>전</t>
        </is>
      </c>
      <c r="J1164" s="3" t="inlineStr">
        <is>
          <t>연서면</t>
        </is>
      </c>
    </row>
    <row r="1165">
      <c r="A1165" s="3" t="n">
        <v>2022</v>
      </c>
      <c r="B1165" s="4" t="n">
        <v>6013</v>
      </c>
      <c r="C1165" s="4" t="n">
        <v>26</v>
      </c>
      <c r="D1165" s="4" t="n">
        <v>7.865</v>
      </c>
      <c r="E1165" s="5" t="n">
        <v>764.5</v>
      </c>
      <c r="F1165" s="3" t="inlineStr">
        <is>
          <t>조치원읍</t>
        </is>
      </c>
      <c r="G1165" s="3" t="inlineStr">
        <is>
          <t>원리</t>
        </is>
      </c>
      <c r="H1165" s="3" t="inlineStr">
        <is>
          <t>일반상업지역</t>
        </is>
      </c>
      <c r="I1165" s="3" t="inlineStr">
        <is>
          <t>대</t>
        </is>
      </c>
      <c r="J1165" s="3" t="inlineStr">
        <is>
          <t>조치원읍</t>
        </is>
      </c>
    </row>
    <row r="1166">
      <c r="A1166" s="3" t="n">
        <v>2022</v>
      </c>
      <c r="B1166" s="4" t="n">
        <v>13640</v>
      </c>
      <c r="C1166" s="4" t="n">
        <v>1127</v>
      </c>
      <c r="D1166" s="4" t="n">
        <v>340.9175</v>
      </c>
      <c r="E1166" s="5" t="n">
        <v>40</v>
      </c>
      <c r="F1166" s="3" t="inlineStr">
        <is>
          <t>부강면</t>
        </is>
      </c>
      <c r="G1166" s="3" t="inlineStr">
        <is>
          <t>문곡리</t>
        </is>
      </c>
      <c r="H1166" s="3" t="inlineStr">
        <is>
          <t>생산관리지역</t>
        </is>
      </c>
      <c r="I1166" s="3" t="inlineStr">
        <is>
          <t>전</t>
        </is>
      </c>
      <c r="J1166" s="3" t="inlineStr">
        <is>
          <t>부강면</t>
        </is>
      </c>
    </row>
    <row r="1167">
      <c r="A1167" s="3" t="n">
        <v>2022</v>
      </c>
      <c r="B1167" s="4" t="n">
        <v>390100</v>
      </c>
      <c r="C1167" s="4" t="n">
        <v>1485.5</v>
      </c>
      <c r="D1167" s="4" t="n">
        <v>449.36375</v>
      </c>
      <c r="E1167" s="5" t="n">
        <v>868.1</v>
      </c>
      <c r="F1167" s="3" t="inlineStr">
        <is>
          <t>고운동</t>
        </is>
      </c>
      <c r="G1167" s="3" t="inlineStr"/>
      <c r="H1167" s="3" t="inlineStr">
        <is>
          <t>일반상업지역</t>
        </is>
      </c>
      <c r="I1167" s="3" t="inlineStr">
        <is>
          <t>주차장</t>
        </is>
      </c>
      <c r="J1167" s="3" t="inlineStr">
        <is>
          <t>고운동</t>
        </is>
      </c>
    </row>
    <row r="1168">
      <c r="A1168" s="3" t="n">
        <v>2022</v>
      </c>
      <c r="B1168" s="4" t="n">
        <v>129600</v>
      </c>
      <c r="C1168" s="4" t="n">
        <v>1071</v>
      </c>
      <c r="D1168" s="4" t="n">
        <v>323.9775</v>
      </c>
      <c r="E1168" s="5" t="n">
        <v>400</v>
      </c>
      <c r="F1168" s="3" t="inlineStr">
        <is>
          <t>연서면</t>
        </is>
      </c>
      <c r="G1168" s="3" t="inlineStr">
        <is>
          <t>봉암리</t>
        </is>
      </c>
      <c r="H1168" s="3" t="inlineStr">
        <is>
          <t>계획관리지역</t>
        </is>
      </c>
      <c r="I1168" s="3" t="inlineStr">
        <is>
          <t>답</t>
        </is>
      </c>
      <c r="J1168" s="3" t="inlineStr">
        <is>
          <t>연서면</t>
        </is>
      </c>
    </row>
    <row r="1169">
      <c r="A1169" s="3" t="n">
        <v>2022</v>
      </c>
      <c r="B1169" s="4" t="n">
        <v>40200</v>
      </c>
      <c r="C1169" s="4" t="n">
        <v>2657</v>
      </c>
      <c r="D1169" s="4" t="n">
        <v>803.7424999999999</v>
      </c>
      <c r="E1169" s="5" t="n">
        <v>50</v>
      </c>
      <c r="F1169" s="3" t="inlineStr">
        <is>
          <t>부강면</t>
        </is>
      </c>
      <c r="G1169" s="3" t="inlineStr">
        <is>
          <t>문곡리</t>
        </is>
      </c>
      <c r="H1169" s="3" t="inlineStr">
        <is>
          <t>생산관리지역</t>
        </is>
      </c>
      <c r="I1169" s="3" t="inlineStr">
        <is>
          <t>전</t>
        </is>
      </c>
      <c r="J1169" s="3" t="inlineStr">
        <is>
          <t>부강면</t>
        </is>
      </c>
    </row>
    <row r="1170">
      <c r="A1170" s="3" t="n">
        <v>2022</v>
      </c>
      <c r="B1170" s="4" t="n">
        <v>7800</v>
      </c>
      <c r="C1170" s="4" t="n">
        <v>516</v>
      </c>
      <c r="D1170" s="4" t="n">
        <v>156.09</v>
      </c>
      <c r="E1170" s="5" t="n">
        <v>50</v>
      </c>
      <c r="F1170" s="3" t="inlineStr">
        <is>
          <t>부강면</t>
        </is>
      </c>
      <c r="G1170" s="3" t="inlineStr">
        <is>
          <t>문곡리</t>
        </is>
      </c>
      <c r="H1170" s="3" t="inlineStr">
        <is>
          <t>생산관리지역</t>
        </is>
      </c>
      <c r="I1170" s="3" t="inlineStr">
        <is>
          <t>답</t>
        </is>
      </c>
      <c r="J1170" s="3" t="inlineStr">
        <is>
          <t>부강면</t>
        </is>
      </c>
    </row>
    <row r="1171">
      <c r="A1171" s="3" t="n">
        <v>2022</v>
      </c>
      <c r="B1171" s="4" t="n">
        <v>1500</v>
      </c>
      <c r="C1171" s="4" t="n">
        <v>100</v>
      </c>
      <c r="D1171" s="4" t="n">
        <v>30.25</v>
      </c>
      <c r="E1171" s="5" t="n">
        <v>49.6</v>
      </c>
      <c r="F1171" s="3" t="inlineStr">
        <is>
          <t>부강면</t>
        </is>
      </c>
      <c r="G1171" s="3" t="inlineStr">
        <is>
          <t>문곡리</t>
        </is>
      </c>
      <c r="H1171" s="3" t="inlineStr">
        <is>
          <t>생산관리지역</t>
        </is>
      </c>
      <c r="I1171" s="3" t="inlineStr">
        <is>
          <t>답</t>
        </is>
      </c>
      <c r="J1171" s="3" t="inlineStr">
        <is>
          <t>부강면</t>
        </is>
      </c>
    </row>
    <row r="1172">
      <c r="A1172" s="3" t="n">
        <v>2022</v>
      </c>
      <c r="B1172" s="4" t="n">
        <v>800</v>
      </c>
      <c r="C1172" s="4" t="n">
        <v>53</v>
      </c>
      <c r="D1172" s="4" t="n">
        <v>16.0325</v>
      </c>
      <c r="E1172" s="5" t="n">
        <v>49.9</v>
      </c>
      <c r="F1172" s="3" t="inlineStr">
        <is>
          <t>부강면</t>
        </is>
      </c>
      <c r="G1172" s="3" t="inlineStr">
        <is>
          <t>문곡리</t>
        </is>
      </c>
      <c r="H1172" s="3" t="inlineStr">
        <is>
          <t>생산관리지역</t>
        </is>
      </c>
      <c r="I1172" s="3" t="inlineStr">
        <is>
          <t>임야</t>
        </is>
      </c>
      <c r="J1172" s="3" t="inlineStr">
        <is>
          <t>부강면</t>
        </is>
      </c>
    </row>
    <row r="1173">
      <c r="A1173" s="3" t="n">
        <v>2022</v>
      </c>
      <c r="B1173" s="4" t="n">
        <v>6500</v>
      </c>
      <c r="C1173" s="4" t="n">
        <v>450</v>
      </c>
      <c r="D1173" s="4" t="n">
        <v>136.125</v>
      </c>
      <c r="E1173" s="5" t="n">
        <v>47.8</v>
      </c>
      <c r="F1173" s="3" t="inlineStr">
        <is>
          <t>부강면</t>
        </is>
      </c>
      <c r="G1173" s="3" t="inlineStr">
        <is>
          <t>문곡리</t>
        </is>
      </c>
      <c r="H1173" s="3" t="inlineStr">
        <is>
          <t>생산관리지역</t>
        </is>
      </c>
      <c r="I1173" s="3" t="inlineStr">
        <is>
          <t>답</t>
        </is>
      </c>
      <c r="J1173" s="3" t="inlineStr">
        <is>
          <t>부강면</t>
        </is>
      </c>
    </row>
    <row r="1174">
      <c r="A1174" s="3" t="n">
        <v>2022</v>
      </c>
      <c r="B1174" s="4" t="n">
        <v>17748</v>
      </c>
      <c r="C1174" s="4" t="n">
        <v>326</v>
      </c>
      <c r="D1174" s="4" t="n">
        <v>98.61499999999999</v>
      </c>
      <c r="E1174" s="5" t="n">
        <v>180</v>
      </c>
      <c r="F1174" s="3" t="inlineStr">
        <is>
          <t>연서면</t>
        </is>
      </c>
      <c r="G1174" s="3" t="inlineStr">
        <is>
          <t>쌍전리</t>
        </is>
      </c>
      <c r="H1174" s="3" t="inlineStr">
        <is>
          <t>자연녹지지역</t>
        </is>
      </c>
      <c r="I1174" s="3" t="inlineStr">
        <is>
          <t>임야</t>
        </is>
      </c>
      <c r="J1174" s="3" t="inlineStr">
        <is>
          <t>연서면</t>
        </is>
      </c>
    </row>
    <row r="1175">
      <c r="A1175" s="3" t="n">
        <v>2022</v>
      </c>
      <c r="B1175" s="4" t="n">
        <v>3752</v>
      </c>
      <c r="C1175" s="4" t="n">
        <v>69</v>
      </c>
      <c r="D1175" s="4" t="n">
        <v>20.8725</v>
      </c>
      <c r="E1175" s="5" t="n">
        <v>179.8</v>
      </c>
      <c r="F1175" s="3" t="inlineStr">
        <is>
          <t>연서면</t>
        </is>
      </c>
      <c r="G1175" s="3" t="inlineStr">
        <is>
          <t>쌍전리</t>
        </is>
      </c>
      <c r="H1175" s="3" t="inlineStr">
        <is>
          <t>자연녹지지역</t>
        </is>
      </c>
      <c r="I1175" s="3" t="inlineStr">
        <is>
          <t>전</t>
        </is>
      </c>
      <c r="J1175" s="3" t="inlineStr">
        <is>
          <t>연서면</t>
        </is>
      </c>
    </row>
    <row r="1176">
      <c r="A1176" s="3" t="n">
        <v>2023</v>
      </c>
      <c r="B1176" s="4" t="n">
        <v>25000</v>
      </c>
      <c r="C1176" s="4" t="n">
        <v>450</v>
      </c>
      <c r="D1176" s="4" t="n">
        <v>136.125</v>
      </c>
      <c r="E1176" s="5" t="n">
        <v>183.7</v>
      </c>
      <c r="F1176" s="3" t="inlineStr">
        <is>
          <t>연동면</t>
        </is>
      </c>
      <c r="G1176" s="3" t="inlineStr">
        <is>
          <t>합강리</t>
        </is>
      </c>
      <c r="H1176" s="3" t="inlineStr">
        <is>
          <t>보전관리지역</t>
        </is>
      </c>
      <c r="I1176" s="3" t="inlineStr">
        <is>
          <t>답</t>
        </is>
      </c>
      <c r="J1176" s="3" t="inlineStr">
        <is>
          <t>연동면</t>
        </is>
      </c>
    </row>
    <row r="1177">
      <c r="A1177" s="3" t="n">
        <v>2023</v>
      </c>
      <c r="B1177" s="4" t="n">
        <v>59500</v>
      </c>
      <c r="C1177" s="4" t="n">
        <v>356.9</v>
      </c>
      <c r="D1177" s="4" t="n">
        <v>107.96225</v>
      </c>
      <c r="E1177" s="5" t="n">
        <v>551.1</v>
      </c>
      <c r="F1177" s="3" t="inlineStr">
        <is>
          <t>고운동</t>
        </is>
      </c>
      <c r="G1177" s="3" t="inlineStr"/>
      <c r="H1177" s="3" t="inlineStr">
        <is>
          <t>제1종전용주거지역</t>
        </is>
      </c>
      <c r="I1177" s="3" t="inlineStr">
        <is>
          <t>대</t>
        </is>
      </c>
      <c r="J1177" s="3" t="inlineStr">
        <is>
          <t>고운동</t>
        </is>
      </c>
    </row>
    <row r="1178">
      <c r="A1178" s="3" t="n">
        <v>2023</v>
      </c>
      <c r="B1178" s="4" t="n">
        <v>6378</v>
      </c>
      <c r="C1178" s="4" t="n">
        <v>703</v>
      </c>
      <c r="D1178" s="4" t="n">
        <v>212.6575</v>
      </c>
      <c r="E1178" s="5" t="n">
        <v>30</v>
      </c>
      <c r="F1178" s="3" t="inlineStr">
        <is>
          <t>연서면</t>
        </is>
      </c>
      <c r="G1178" s="3" t="inlineStr">
        <is>
          <t>청라리</t>
        </is>
      </c>
      <c r="H1178" s="3" t="inlineStr">
        <is>
          <t>보전관리지역</t>
        </is>
      </c>
      <c r="I1178" s="3" t="inlineStr">
        <is>
          <t>임야</t>
        </is>
      </c>
      <c r="J1178" s="3" t="inlineStr">
        <is>
          <t>연서면</t>
        </is>
      </c>
    </row>
    <row r="1179">
      <c r="A1179" s="3" t="n">
        <v>2023</v>
      </c>
      <c r="B1179" s="4" t="n">
        <v>3330</v>
      </c>
      <c r="C1179" s="4" t="n">
        <v>367</v>
      </c>
      <c r="D1179" s="4" t="n">
        <v>111.0175</v>
      </c>
      <c r="E1179" s="5" t="n">
        <v>30</v>
      </c>
      <c r="F1179" s="3" t="inlineStr">
        <is>
          <t>연서면</t>
        </is>
      </c>
      <c r="G1179" s="3" t="inlineStr">
        <is>
          <t>청라리</t>
        </is>
      </c>
      <c r="H1179" s="3" t="inlineStr">
        <is>
          <t>생산관리지역</t>
        </is>
      </c>
      <c r="I1179" s="3" t="inlineStr">
        <is>
          <t>전</t>
        </is>
      </c>
      <c r="J1179" s="3" t="inlineStr">
        <is>
          <t>연서면</t>
        </is>
      </c>
    </row>
    <row r="1180">
      <c r="A1180" s="3" t="n">
        <v>2023</v>
      </c>
      <c r="B1180" s="4" t="n">
        <v>12400</v>
      </c>
      <c r="C1180" s="4" t="n">
        <v>426</v>
      </c>
      <c r="D1180" s="4" t="n">
        <v>128.865</v>
      </c>
      <c r="E1180" s="5" t="n">
        <v>96.2</v>
      </c>
      <c r="F1180" s="3" t="inlineStr">
        <is>
          <t>부강면</t>
        </is>
      </c>
      <c r="G1180" s="3" t="inlineStr">
        <is>
          <t>갈산리</t>
        </is>
      </c>
      <c r="H1180" s="3" t="inlineStr">
        <is>
          <t>계획관리지역</t>
        </is>
      </c>
      <c r="I1180" s="3" t="inlineStr">
        <is>
          <t>답</t>
        </is>
      </c>
      <c r="J1180" s="3" t="inlineStr">
        <is>
          <t>부강면</t>
        </is>
      </c>
    </row>
    <row r="1181">
      <c r="A1181" s="3" t="n">
        <v>2026</v>
      </c>
      <c r="B1181" s="4" t="n">
        <v>6875</v>
      </c>
      <c r="C1181" s="4" t="n">
        <v>992</v>
      </c>
      <c r="D1181" s="4" t="n">
        <v>300.08</v>
      </c>
      <c r="E1181" s="5" t="n">
        <v>22.9</v>
      </c>
      <c r="F1181" s="3" t="inlineStr">
        <is>
          <t>남이면</t>
        </is>
      </c>
      <c r="G1181" s="3" t="inlineStr">
        <is>
          <t>산막리</t>
        </is>
      </c>
      <c r="H1181" s="3" t="inlineStr">
        <is>
          <t>보전관리지역</t>
        </is>
      </c>
      <c r="I1181" s="3" t="inlineStr">
        <is>
          <t>전</t>
        </is>
      </c>
      <c r="J1181" s="3" t="inlineStr">
        <is>
          <t>남이면</t>
        </is>
      </c>
    </row>
    <row r="1182">
      <c r="A1182" s="3" t="n">
        <v>2026</v>
      </c>
      <c r="B1182" s="4" t="n">
        <v>4875</v>
      </c>
      <c r="C1182" s="4" t="n">
        <v>701</v>
      </c>
      <c r="D1182" s="4" t="n">
        <v>212.0525</v>
      </c>
      <c r="E1182" s="5" t="n">
        <v>23</v>
      </c>
      <c r="F1182" s="3" t="inlineStr">
        <is>
          <t>남이면</t>
        </is>
      </c>
      <c r="G1182" s="3" t="inlineStr">
        <is>
          <t>산막리</t>
        </is>
      </c>
      <c r="H1182" s="3" t="inlineStr">
        <is>
          <t>보전관리지역</t>
        </is>
      </c>
      <c r="I1182" s="3" t="inlineStr">
        <is>
          <t>전</t>
        </is>
      </c>
      <c r="J1182" s="3" t="inlineStr">
        <is>
          <t>남이면</t>
        </is>
      </c>
    </row>
    <row r="1183">
      <c r="A1183" s="3" t="n">
        <v>2026</v>
      </c>
      <c r="B1183" s="4" t="n">
        <v>13250</v>
      </c>
      <c r="C1183" s="4" t="n">
        <v>1904</v>
      </c>
      <c r="D1183" s="4" t="n">
        <v>575.96</v>
      </c>
      <c r="E1183" s="5" t="n">
        <v>23</v>
      </c>
      <c r="F1183" s="3" t="inlineStr">
        <is>
          <t>남이면</t>
        </is>
      </c>
      <c r="G1183" s="3" t="inlineStr">
        <is>
          <t>산막리</t>
        </is>
      </c>
      <c r="H1183" s="3" t="inlineStr">
        <is>
          <t>보전관리지역</t>
        </is>
      </c>
      <c r="I1183" s="3" t="inlineStr">
        <is>
          <t>전</t>
        </is>
      </c>
      <c r="J1183" s="3" t="inlineStr">
        <is>
          <t>남이면</t>
        </is>
      </c>
    </row>
    <row r="1184">
      <c r="A1184" s="3" t="n">
        <v>2026</v>
      </c>
      <c r="B1184" s="4" t="n">
        <v>18210</v>
      </c>
      <c r="C1184" s="4" t="n">
        <v>552</v>
      </c>
      <c r="D1184" s="4" t="n">
        <v>166.98</v>
      </c>
      <c r="E1184" s="5" t="n">
        <v>109.1</v>
      </c>
      <c r="F1184" s="3" t="inlineStr">
        <is>
          <t>남이면</t>
        </is>
      </c>
      <c r="G1184" s="3" t="inlineStr">
        <is>
          <t>석판리</t>
        </is>
      </c>
      <c r="H1184" s="3" t="inlineStr">
        <is>
          <t>자연녹지지역</t>
        </is>
      </c>
      <c r="I1184" s="3" t="inlineStr">
        <is>
          <t>임야</t>
        </is>
      </c>
      <c r="J1184" s="3" t="inlineStr">
        <is>
          <t>남이면</t>
        </is>
      </c>
    </row>
    <row r="1185">
      <c r="A1185" s="3" t="n">
        <v>2022</v>
      </c>
      <c r="B1185" s="4" t="n">
        <v>28184</v>
      </c>
      <c r="C1185" s="4" t="n">
        <v>1652</v>
      </c>
      <c r="D1185" s="4" t="n">
        <v>499.73</v>
      </c>
      <c r="E1185" s="5" t="n">
        <v>56.4</v>
      </c>
      <c r="F1185" s="3" t="inlineStr">
        <is>
          <t>남이면</t>
        </is>
      </c>
      <c r="G1185" s="3" t="inlineStr">
        <is>
          <t>구암리</t>
        </is>
      </c>
      <c r="H1185" s="3" t="inlineStr">
        <is>
          <t>자연녹지지역</t>
        </is>
      </c>
      <c r="I1185" s="3" t="inlineStr">
        <is>
          <t>답</t>
        </is>
      </c>
      <c r="J1185" s="3" t="inlineStr">
        <is>
          <t>남이면</t>
        </is>
      </c>
    </row>
    <row r="1186">
      <c r="A1186" s="3" t="n">
        <v>2022</v>
      </c>
      <c r="B1186" s="4" t="n">
        <v>59000</v>
      </c>
      <c r="C1186" s="4" t="n">
        <v>2144</v>
      </c>
      <c r="D1186" s="4" t="n">
        <v>648.5599999999999</v>
      </c>
      <c r="E1186" s="5" t="n">
        <v>91</v>
      </c>
      <c r="F1186" s="3" t="inlineStr">
        <is>
          <t>남이면</t>
        </is>
      </c>
      <c r="G1186" s="3" t="inlineStr">
        <is>
          <t>구미리</t>
        </is>
      </c>
      <c r="H1186" s="3" t="inlineStr">
        <is>
          <t>계획관리지역</t>
        </is>
      </c>
      <c r="I1186" s="3" t="inlineStr">
        <is>
          <t>답</t>
        </is>
      </c>
      <c r="J1186" s="3" t="inlineStr">
        <is>
          <t>남이면</t>
        </is>
      </c>
    </row>
    <row r="1187">
      <c r="A1187" s="3" t="n">
        <v>2022</v>
      </c>
      <c r="B1187" s="4" t="n">
        <v>88000</v>
      </c>
      <c r="C1187" s="4" t="n">
        <v>2109</v>
      </c>
      <c r="D1187" s="4" t="n">
        <v>637.9725</v>
      </c>
      <c r="E1187" s="5" t="n">
        <v>137.9</v>
      </c>
      <c r="F1187" s="3" t="inlineStr">
        <is>
          <t>남이면</t>
        </is>
      </c>
      <c r="G1187" s="3" t="inlineStr">
        <is>
          <t>구미리</t>
        </is>
      </c>
      <c r="H1187" s="3" t="inlineStr">
        <is>
          <t>계획관리지역</t>
        </is>
      </c>
      <c r="I1187" s="3" t="inlineStr">
        <is>
          <t>대</t>
        </is>
      </c>
      <c r="J1187" s="3" t="inlineStr">
        <is>
          <t>남이면</t>
        </is>
      </c>
    </row>
    <row r="1188">
      <c r="A1188" s="3" t="n">
        <v>2022</v>
      </c>
      <c r="B1188" s="4" t="n">
        <v>2000</v>
      </c>
      <c r="C1188" s="4" t="n">
        <v>268</v>
      </c>
      <c r="D1188" s="4" t="n">
        <v>81.06999999999999</v>
      </c>
      <c r="E1188" s="5" t="n">
        <v>24.7</v>
      </c>
      <c r="F1188" s="3" t="inlineStr">
        <is>
          <t>남이면</t>
        </is>
      </c>
      <c r="G1188" s="3" t="inlineStr">
        <is>
          <t>구미리</t>
        </is>
      </c>
      <c r="H1188" s="3" t="inlineStr">
        <is>
          <t>계획관리지역</t>
        </is>
      </c>
      <c r="I1188" s="3" t="inlineStr">
        <is>
          <t>임야</t>
        </is>
      </c>
      <c r="J1188" s="3" t="inlineStr">
        <is>
          <t>남이면</t>
        </is>
      </c>
    </row>
    <row r="1189">
      <c r="A1189" s="3" t="n">
        <v>2022</v>
      </c>
      <c r="B1189" s="4" t="n">
        <v>3000</v>
      </c>
      <c r="C1189" s="4" t="n">
        <v>126</v>
      </c>
      <c r="D1189" s="4" t="n">
        <v>38.115</v>
      </c>
      <c r="E1189" s="5" t="n">
        <v>78.7</v>
      </c>
      <c r="F1189" s="3" t="inlineStr">
        <is>
          <t>남이면</t>
        </is>
      </c>
      <c r="G1189" s="3" t="inlineStr">
        <is>
          <t>구미리</t>
        </is>
      </c>
      <c r="H1189" s="3" t="inlineStr">
        <is>
          <t>계획관리지역</t>
        </is>
      </c>
      <c r="I1189" s="3" t="inlineStr">
        <is>
          <t>대</t>
        </is>
      </c>
      <c r="J1189" s="3" t="inlineStr">
        <is>
          <t>남이면</t>
        </is>
      </c>
    </row>
    <row r="1190">
      <c r="A1190" s="3" t="n">
        <v>2022</v>
      </c>
      <c r="B1190" s="4" t="n">
        <v>70000</v>
      </c>
      <c r="C1190" s="4" t="n">
        <v>1652</v>
      </c>
      <c r="D1190" s="4" t="n">
        <v>499.73</v>
      </c>
      <c r="E1190" s="5" t="n">
        <v>140.1</v>
      </c>
      <c r="F1190" s="3" t="inlineStr">
        <is>
          <t>남이면</t>
        </is>
      </c>
      <c r="G1190" s="3" t="inlineStr">
        <is>
          <t>구암리</t>
        </is>
      </c>
      <c r="H1190" s="3" t="inlineStr">
        <is>
          <t>자연녹지지역</t>
        </is>
      </c>
      <c r="I1190" s="3" t="inlineStr">
        <is>
          <t>답</t>
        </is>
      </c>
      <c r="J1190" s="3" t="inlineStr">
        <is>
          <t>남이면</t>
        </is>
      </c>
    </row>
    <row r="1191">
      <c r="A1191" s="3" t="n">
        <v>2022</v>
      </c>
      <c r="B1191" s="4" t="n">
        <v>75600</v>
      </c>
      <c r="C1191" s="4" t="n">
        <v>2175</v>
      </c>
      <c r="D1191" s="4" t="n">
        <v>657.9375</v>
      </c>
      <c r="E1191" s="5" t="n">
        <v>114.9</v>
      </c>
      <c r="F1191" s="3" t="inlineStr">
        <is>
          <t>남이면</t>
        </is>
      </c>
      <c r="G1191" s="3" t="inlineStr">
        <is>
          <t>가좌리</t>
        </is>
      </c>
      <c r="H1191" s="3" t="inlineStr">
        <is>
          <t>자연녹지지역</t>
        </is>
      </c>
      <c r="I1191" s="3" t="inlineStr">
        <is>
          <t>답</t>
        </is>
      </c>
      <c r="J1191" s="3" t="inlineStr">
        <is>
          <t>남이면</t>
        </is>
      </c>
    </row>
    <row r="1192">
      <c r="A1192" s="3" t="n">
        <v>2022</v>
      </c>
      <c r="B1192" s="4" t="n">
        <v>5000</v>
      </c>
      <c r="C1192" s="4" t="n">
        <v>200</v>
      </c>
      <c r="D1192" s="4" t="n">
        <v>60.5</v>
      </c>
      <c r="E1192" s="5" t="n">
        <v>82.59999999999999</v>
      </c>
      <c r="F1192" s="3" t="inlineStr">
        <is>
          <t>남이면</t>
        </is>
      </c>
      <c r="G1192" s="3" t="inlineStr">
        <is>
          <t>양촌리</t>
        </is>
      </c>
      <c r="H1192" s="3" t="inlineStr">
        <is>
          <t>자연녹지지역</t>
        </is>
      </c>
      <c r="I1192" s="3" t="inlineStr">
        <is>
          <t>전</t>
        </is>
      </c>
      <c r="J1192" s="3" t="inlineStr">
        <is>
          <t>남이면</t>
        </is>
      </c>
    </row>
    <row r="1193">
      <c r="A1193" s="3" t="n">
        <v>2022</v>
      </c>
      <c r="B1193" s="4" t="n">
        <v>30470</v>
      </c>
      <c r="C1193" s="4" t="n">
        <v>914</v>
      </c>
      <c r="D1193" s="4" t="n">
        <v>276.485</v>
      </c>
      <c r="E1193" s="5" t="n">
        <v>110.2</v>
      </c>
      <c r="F1193" s="3" t="inlineStr">
        <is>
          <t>남이면</t>
        </is>
      </c>
      <c r="G1193" s="3" t="inlineStr">
        <is>
          <t>가좌리</t>
        </is>
      </c>
      <c r="H1193" s="3" t="inlineStr">
        <is>
          <t>보전녹지지역</t>
        </is>
      </c>
      <c r="I1193" s="3" t="inlineStr">
        <is>
          <t>임야</t>
        </is>
      </c>
      <c r="J1193" s="3" t="inlineStr">
        <is>
          <t>남이면</t>
        </is>
      </c>
    </row>
    <row r="1194">
      <c r="A1194" s="3" t="n">
        <v>2022</v>
      </c>
      <c r="B1194" s="4" t="n">
        <v>7700</v>
      </c>
      <c r="C1194" s="4" t="n">
        <v>231</v>
      </c>
      <c r="D1194" s="4" t="n">
        <v>69.8775</v>
      </c>
      <c r="E1194" s="5" t="n">
        <v>110.2</v>
      </c>
      <c r="F1194" s="3" t="inlineStr">
        <is>
          <t>남이면</t>
        </is>
      </c>
      <c r="G1194" s="3" t="inlineStr">
        <is>
          <t>가좌리</t>
        </is>
      </c>
      <c r="H1194" s="3" t="inlineStr">
        <is>
          <t>보전녹지지역</t>
        </is>
      </c>
      <c r="I1194" s="3" t="inlineStr">
        <is>
          <t>임야</t>
        </is>
      </c>
      <c r="J1194" s="3" t="inlineStr">
        <is>
          <t>남이면</t>
        </is>
      </c>
    </row>
    <row r="1195">
      <c r="A1195" s="3" t="n">
        <v>2024</v>
      </c>
      <c r="B1195" s="4" t="n">
        <v>2800</v>
      </c>
      <c r="C1195" s="4" t="n">
        <v>192</v>
      </c>
      <c r="D1195" s="4" t="n">
        <v>58.08</v>
      </c>
      <c r="E1195" s="5" t="n">
        <v>48.2</v>
      </c>
      <c r="F1195" s="3" t="inlineStr">
        <is>
          <t>남이면</t>
        </is>
      </c>
      <c r="G1195" s="3" t="inlineStr">
        <is>
          <t>갈원리</t>
        </is>
      </c>
      <c r="H1195" s="3" t="inlineStr">
        <is>
          <t>계획관리지역</t>
        </is>
      </c>
      <c r="I1195" s="3" t="inlineStr">
        <is>
          <t>대</t>
        </is>
      </c>
      <c r="J1195" s="3" t="inlineStr">
        <is>
          <t>남이면</t>
        </is>
      </c>
    </row>
    <row r="1196">
      <c r="A1196" s="3" t="n">
        <v>2024</v>
      </c>
      <c r="B1196" s="4" t="n">
        <v>2200</v>
      </c>
      <c r="C1196" s="4" t="n">
        <v>148</v>
      </c>
      <c r="D1196" s="4" t="n">
        <v>44.77</v>
      </c>
      <c r="E1196" s="5" t="n">
        <v>49.1</v>
      </c>
      <c r="F1196" s="3" t="inlineStr">
        <is>
          <t>남이면</t>
        </is>
      </c>
      <c r="G1196" s="3" t="inlineStr">
        <is>
          <t>부용외천리</t>
        </is>
      </c>
      <c r="H1196" s="3" t="inlineStr">
        <is>
          <t>계획관리지역</t>
        </is>
      </c>
      <c r="I1196" s="3" t="inlineStr">
        <is>
          <t>답</t>
        </is>
      </c>
      <c r="J1196" s="3" t="inlineStr">
        <is>
          <t>남이면</t>
        </is>
      </c>
    </row>
    <row r="1197">
      <c r="A1197" s="3" t="n">
        <v>2024</v>
      </c>
      <c r="B1197" s="4" t="n">
        <v>4500</v>
      </c>
      <c r="C1197" s="4" t="n">
        <v>1909.5</v>
      </c>
      <c r="D1197" s="4" t="n">
        <v>577.62375</v>
      </c>
      <c r="E1197" s="5" t="n">
        <v>7.8</v>
      </c>
      <c r="F1197" s="3" t="inlineStr">
        <is>
          <t>남이면</t>
        </is>
      </c>
      <c r="G1197" s="3" t="inlineStr">
        <is>
          <t>구미리</t>
        </is>
      </c>
      <c r="H1197" s="3" t="inlineStr">
        <is>
          <t>계획관리지역</t>
        </is>
      </c>
      <c r="I1197" s="3" t="inlineStr">
        <is>
          <t>임야</t>
        </is>
      </c>
      <c r="J1197" s="3" t="inlineStr">
        <is>
          <t>남이면</t>
        </is>
      </c>
    </row>
    <row r="1198">
      <c r="A1198" s="3" t="n">
        <v>2024</v>
      </c>
      <c r="B1198" s="4" t="n">
        <v>950</v>
      </c>
      <c r="C1198" s="4" t="n">
        <v>38</v>
      </c>
      <c r="D1198" s="4" t="n">
        <v>11.495</v>
      </c>
      <c r="E1198" s="5" t="n">
        <v>82.59999999999999</v>
      </c>
      <c r="F1198" s="3" t="inlineStr">
        <is>
          <t>남이면</t>
        </is>
      </c>
      <c r="G1198" s="3" t="inlineStr">
        <is>
          <t>가마리</t>
        </is>
      </c>
      <c r="H1198" s="3" t="inlineStr">
        <is>
          <t>자연녹지지역</t>
        </is>
      </c>
      <c r="I1198" s="3" t="inlineStr">
        <is>
          <t>전</t>
        </is>
      </c>
      <c r="J1198" s="3" t="inlineStr">
        <is>
          <t>남이면</t>
        </is>
      </c>
    </row>
    <row r="1199">
      <c r="A1199" s="3" t="n">
        <v>2024</v>
      </c>
      <c r="B1199" s="4" t="n">
        <v>50</v>
      </c>
      <c r="C1199" s="4" t="n">
        <v>2</v>
      </c>
      <c r="D1199" s="4" t="n">
        <v>0.605</v>
      </c>
      <c r="E1199" s="5" t="n">
        <v>82.59999999999999</v>
      </c>
      <c r="F1199" s="3" t="inlineStr">
        <is>
          <t>남이면</t>
        </is>
      </c>
      <c r="G1199" s="3" t="inlineStr">
        <is>
          <t>가마리</t>
        </is>
      </c>
      <c r="H1199" s="3" t="inlineStr">
        <is>
          <t>자연녹지지역</t>
        </is>
      </c>
      <c r="I1199" s="3" t="inlineStr">
        <is>
          <t>전</t>
        </is>
      </c>
      <c r="J1199" s="3" t="inlineStr">
        <is>
          <t>남이면</t>
        </is>
      </c>
    </row>
    <row r="1200">
      <c r="A1200" s="3" t="n">
        <v>2024</v>
      </c>
      <c r="B1200" s="4" t="n">
        <v>45010</v>
      </c>
      <c r="C1200" s="4" t="n">
        <v>2262</v>
      </c>
      <c r="D1200" s="4" t="n">
        <v>684.255</v>
      </c>
      <c r="E1200" s="5" t="n">
        <v>65.8</v>
      </c>
      <c r="F1200" s="3" t="inlineStr">
        <is>
          <t>남이면</t>
        </is>
      </c>
      <c r="G1200" s="3" t="inlineStr">
        <is>
          <t>구미리</t>
        </is>
      </c>
      <c r="H1200" s="3" t="inlineStr">
        <is>
          <t>계획관리지역</t>
        </is>
      </c>
      <c r="I1200" s="3" t="inlineStr">
        <is>
          <t>임야</t>
        </is>
      </c>
      <c r="J1200" s="3" t="inlineStr">
        <is>
          <t>남이면</t>
        </is>
      </c>
    </row>
    <row r="1201">
      <c r="A1201" s="3" t="n">
        <v>2024</v>
      </c>
      <c r="B1201" s="4" t="n">
        <v>4600</v>
      </c>
      <c r="C1201" s="4" t="n">
        <v>140</v>
      </c>
      <c r="D1201" s="4" t="n">
        <v>42.35</v>
      </c>
      <c r="E1201" s="5" t="n">
        <v>108.6</v>
      </c>
      <c r="F1201" s="3" t="inlineStr">
        <is>
          <t>남이면</t>
        </is>
      </c>
      <c r="G1201" s="3" t="inlineStr">
        <is>
          <t>구미리</t>
        </is>
      </c>
      <c r="H1201" s="3" t="inlineStr">
        <is>
          <t>계획관리지역</t>
        </is>
      </c>
      <c r="I1201" s="3" t="inlineStr">
        <is>
          <t>전</t>
        </is>
      </c>
      <c r="J1201" s="3" t="inlineStr">
        <is>
          <t>남이면</t>
        </is>
      </c>
    </row>
    <row r="1202">
      <c r="A1202" s="3" t="n">
        <v>2022</v>
      </c>
      <c r="B1202" s="4" t="n">
        <v>2070</v>
      </c>
      <c r="C1202" s="4" t="n">
        <v>152</v>
      </c>
      <c r="D1202" s="4" t="n">
        <v>45.98</v>
      </c>
      <c r="E1202" s="5" t="n">
        <v>45</v>
      </c>
      <c r="F1202" s="3" t="inlineStr">
        <is>
          <t>부강면</t>
        </is>
      </c>
      <c r="G1202" s="3" t="inlineStr">
        <is>
          <t>문곡리</t>
        </is>
      </c>
      <c r="H1202" s="3" t="inlineStr">
        <is>
          <t>생산관리지역</t>
        </is>
      </c>
      <c r="I1202" s="3" t="inlineStr">
        <is>
          <t>전</t>
        </is>
      </c>
      <c r="J1202" s="3" t="inlineStr">
        <is>
          <t>부강면</t>
        </is>
      </c>
    </row>
    <row r="1203">
      <c r="A1203" s="3" t="n">
        <v>2022</v>
      </c>
      <c r="B1203" s="4" t="n">
        <v>135</v>
      </c>
      <c r="C1203" s="4" t="n">
        <v>10</v>
      </c>
      <c r="D1203" s="4" t="n">
        <v>3.025</v>
      </c>
      <c r="E1203" s="5" t="n">
        <v>44.6</v>
      </c>
      <c r="F1203" s="3" t="inlineStr">
        <is>
          <t>부강면</t>
        </is>
      </c>
      <c r="G1203" s="3" t="inlineStr">
        <is>
          <t>문곡리</t>
        </is>
      </c>
      <c r="H1203" s="3" t="inlineStr">
        <is>
          <t>생산관리지역</t>
        </is>
      </c>
      <c r="I1203" s="3" t="inlineStr">
        <is>
          <t>임야</t>
        </is>
      </c>
      <c r="J1203" s="3" t="inlineStr">
        <is>
          <t>부강면</t>
        </is>
      </c>
    </row>
    <row r="1204">
      <c r="A1204" s="3" t="n">
        <v>2022</v>
      </c>
      <c r="B1204" s="4" t="n">
        <v>98700</v>
      </c>
      <c r="C1204" s="4" t="n">
        <v>4661</v>
      </c>
      <c r="D1204" s="4" t="n">
        <v>1409.9525</v>
      </c>
      <c r="E1204" s="5" t="n">
        <v>70</v>
      </c>
      <c r="F1204" s="3" t="inlineStr">
        <is>
          <t>연서면</t>
        </is>
      </c>
      <c r="G1204" s="3" t="inlineStr">
        <is>
          <t>쌍류리</t>
        </is>
      </c>
      <c r="H1204" s="3" t="inlineStr">
        <is>
          <t>생산관리지역</t>
        </is>
      </c>
      <c r="I1204" s="3" t="inlineStr">
        <is>
          <t>답</t>
        </is>
      </c>
      <c r="J1204" s="3" t="inlineStr">
        <is>
          <t>연서면</t>
        </is>
      </c>
    </row>
    <row r="1205">
      <c r="A1205" s="3" t="n">
        <v>2024</v>
      </c>
      <c r="B1205" s="4" t="n">
        <v>27300</v>
      </c>
      <c r="C1205" s="4" t="n">
        <v>288</v>
      </c>
      <c r="D1205" s="4" t="n">
        <v>87.12</v>
      </c>
      <c r="E1205" s="5" t="n">
        <v>313.4</v>
      </c>
      <c r="F1205" s="3" t="inlineStr">
        <is>
          <t>해밀동</t>
        </is>
      </c>
      <c r="G1205" s="3" t="inlineStr"/>
      <c r="H1205" s="3" t="inlineStr">
        <is>
          <t>기타</t>
        </is>
      </c>
      <c r="I1205" s="3" t="inlineStr">
        <is>
          <t>대</t>
        </is>
      </c>
      <c r="J1205" s="3" t="inlineStr">
        <is>
          <t>해밀동</t>
        </is>
      </c>
    </row>
    <row r="1206">
      <c r="A1206" s="3" t="n">
        <v>2024</v>
      </c>
      <c r="B1206" s="4" t="n">
        <v>26600</v>
      </c>
      <c r="C1206" s="4" t="n">
        <v>280</v>
      </c>
      <c r="D1206" s="4" t="n">
        <v>84.7</v>
      </c>
      <c r="E1206" s="5" t="n">
        <v>314</v>
      </c>
      <c r="F1206" s="3" t="inlineStr">
        <is>
          <t>집현동</t>
        </is>
      </c>
      <c r="G1206" s="3" t="inlineStr"/>
      <c r="H1206" s="3" t="inlineStr">
        <is>
          <t>기타</t>
        </is>
      </c>
      <c r="I1206" s="3" t="inlineStr">
        <is>
          <t>대</t>
        </is>
      </c>
      <c r="J1206" s="3" t="inlineStr">
        <is>
          <t>집현동</t>
        </is>
      </c>
    </row>
    <row r="1207">
      <c r="A1207" s="3" t="n">
        <v>2024</v>
      </c>
      <c r="B1207" s="4" t="n">
        <v>54000</v>
      </c>
      <c r="C1207" s="4" t="n">
        <v>250.2</v>
      </c>
      <c r="D1207" s="4" t="n">
        <v>75.68549999999999</v>
      </c>
      <c r="E1207" s="5" t="n">
        <v>713.5</v>
      </c>
      <c r="F1207" s="3" t="inlineStr">
        <is>
          <t>조치원읍</t>
        </is>
      </c>
      <c r="G1207" s="3" t="inlineStr">
        <is>
          <t>침산리</t>
        </is>
      </c>
      <c r="H1207" s="3" t="inlineStr">
        <is>
          <t>제2종일반주거지역</t>
        </is>
      </c>
      <c r="I1207" s="3" t="inlineStr">
        <is>
          <t>대</t>
        </is>
      </c>
      <c r="J1207" s="3" t="inlineStr">
        <is>
          <t>조치원읍</t>
        </is>
      </c>
    </row>
    <row r="1208">
      <c r="A1208" s="3" t="n">
        <v>2024</v>
      </c>
      <c r="B1208" s="4" t="n">
        <v>224</v>
      </c>
      <c r="C1208" s="4" t="n">
        <v>3</v>
      </c>
      <c r="D1208" s="4" t="n">
        <v>0.9075</v>
      </c>
      <c r="E1208" s="5" t="n">
        <v>246.8</v>
      </c>
      <c r="F1208" s="3" t="inlineStr">
        <is>
          <t>조치원읍</t>
        </is>
      </c>
      <c r="G1208" s="3" t="inlineStr">
        <is>
          <t>침산리</t>
        </is>
      </c>
      <c r="H1208" s="3" t="inlineStr">
        <is>
          <t>제1종일반주거지역</t>
        </is>
      </c>
      <c r="I1208" s="3" t="inlineStr">
        <is>
          <t>임야</t>
        </is>
      </c>
      <c r="J1208" s="3" t="inlineStr">
        <is>
          <t>조치원읍</t>
        </is>
      </c>
    </row>
    <row r="1209">
      <c r="A1209" s="3" t="n">
        <v>2024</v>
      </c>
      <c r="B1209" s="4" t="n">
        <v>43800</v>
      </c>
      <c r="C1209" s="4" t="n">
        <v>1482</v>
      </c>
      <c r="D1209" s="4" t="n">
        <v>448.305</v>
      </c>
      <c r="E1209" s="5" t="n">
        <v>97.7</v>
      </c>
      <c r="F1209" s="3" t="inlineStr">
        <is>
          <t>연서면</t>
        </is>
      </c>
      <c r="G1209" s="3" t="inlineStr">
        <is>
          <t>신대리</t>
        </is>
      </c>
      <c r="H1209" s="3" t="inlineStr">
        <is>
          <t>농림지역</t>
        </is>
      </c>
      <c r="I1209" s="3" t="inlineStr">
        <is>
          <t>답</t>
        </is>
      </c>
      <c r="J1209" s="3" t="inlineStr">
        <is>
          <t>연서면</t>
        </is>
      </c>
    </row>
    <row r="1210">
      <c r="A1210" s="3" t="n">
        <v>2024</v>
      </c>
      <c r="B1210" s="4" t="n">
        <v>44000</v>
      </c>
      <c r="C1210" s="4" t="n">
        <v>1215</v>
      </c>
      <c r="D1210" s="4" t="n">
        <v>367.5375</v>
      </c>
      <c r="E1210" s="5" t="n">
        <v>119.7</v>
      </c>
      <c r="F1210" s="3" t="inlineStr">
        <is>
          <t>부강면</t>
        </is>
      </c>
      <c r="G1210" s="3" t="inlineStr">
        <is>
          <t>문곡리</t>
        </is>
      </c>
      <c r="H1210" s="3" t="inlineStr">
        <is>
          <t>계획관리지역</t>
        </is>
      </c>
      <c r="I1210" s="3" t="inlineStr">
        <is>
          <t>전</t>
        </is>
      </c>
      <c r="J1210" s="3" t="inlineStr">
        <is>
          <t>부강면</t>
        </is>
      </c>
    </row>
    <row r="1211">
      <c r="A1211" s="3" t="n">
        <v>2024</v>
      </c>
      <c r="B1211" s="4" t="n">
        <v>15000</v>
      </c>
      <c r="C1211" s="4" t="n">
        <v>405</v>
      </c>
      <c r="D1211" s="4" t="n">
        <v>122.5125</v>
      </c>
      <c r="E1211" s="5" t="n">
        <v>122.4</v>
      </c>
      <c r="F1211" s="3" t="inlineStr">
        <is>
          <t>부강면</t>
        </is>
      </c>
      <c r="G1211" s="3" t="inlineStr">
        <is>
          <t>부강리</t>
        </is>
      </c>
      <c r="H1211" s="3" t="inlineStr">
        <is>
          <t>자연녹지지역</t>
        </is>
      </c>
      <c r="I1211" s="3" t="inlineStr">
        <is>
          <t>전</t>
        </is>
      </c>
      <c r="J1211" s="3" t="inlineStr">
        <is>
          <t>부강면</t>
        </is>
      </c>
    </row>
    <row r="1212">
      <c r="A1212" s="3" t="n">
        <v>2022</v>
      </c>
      <c r="B1212" s="4" t="n">
        <v>69050</v>
      </c>
      <c r="C1212" s="4" t="n">
        <v>2891.9</v>
      </c>
      <c r="D1212" s="4" t="n">
        <v>874.79975</v>
      </c>
      <c r="E1212" s="5" t="n">
        <v>78.90000000000001</v>
      </c>
      <c r="F1212" s="3" t="inlineStr">
        <is>
          <t>연동면</t>
        </is>
      </c>
      <c r="G1212" s="3" t="inlineStr">
        <is>
          <t>예양리</t>
        </is>
      </c>
      <c r="H1212" s="3" t="inlineStr">
        <is>
          <t>농림지역</t>
        </is>
      </c>
      <c r="I1212" s="3" t="inlineStr">
        <is>
          <t>답</t>
        </is>
      </c>
      <c r="J1212" s="3" t="inlineStr">
        <is>
          <t>연동면</t>
        </is>
      </c>
    </row>
    <row r="1213">
      <c r="A1213" s="3" t="n">
        <v>2022</v>
      </c>
      <c r="B1213" s="4" t="n">
        <v>41000</v>
      </c>
      <c r="C1213" s="4" t="n">
        <v>500</v>
      </c>
      <c r="D1213" s="4" t="n">
        <v>151.25</v>
      </c>
      <c r="E1213" s="5" t="n">
        <v>271.1</v>
      </c>
      <c r="F1213" s="3" t="inlineStr">
        <is>
          <t>연동면</t>
        </is>
      </c>
      <c r="G1213" s="3" t="inlineStr">
        <is>
          <t>내판리</t>
        </is>
      </c>
      <c r="H1213" s="3" t="inlineStr">
        <is>
          <t>계획관리지역</t>
        </is>
      </c>
      <c r="I1213" s="3" t="inlineStr">
        <is>
          <t>임야</t>
        </is>
      </c>
      <c r="J1213" s="3" t="inlineStr">
        <is>
          <t>연동면</t>
        </is>
      </c>
    </row>
    <row r="1214">
      <c r="A1214" s="3" t="n">
        <v>2022</v>
      </c>
      <c r="B1214" s="4" t="n">
        <v>41000</v>
      </c>
      <c r="C1214" s="4" t="n">
        <v>500</v>
      </c>
      <c r="D1214" s="4" t="n">
        <v>151.25</v>
      </c>
      <c r="E1214" s="5" t="n">
        <v>271.1</v>
      </c>
      <c r="F1214" s="3" t="inlineStr">
        <is>
          <t>연동면</t>
        </is>
      </c>
      <c r="G1214" s="3" t="inlineStr">
        <is>
          <t>내판리</t>
        </is>
      </c>
      <c r="H1214" s="3" t="inlineStr">
        <is>
          <t>계획관리지역</t>
        </is>
      </c>
      <c r="I1214" s="3" t="inlineStr">
        <is>
          <t>임야</t>
        </is>
      </c>
      <c r="J1214" s="3" t="inlineStr">
        <is>
          <t>연동면</t>
        </is>
      </c>
    </row>
    <row r="1215">
      <c r="A1215" s="3" t="n">
        <v>2022</v>
      </c>
      <c r="B1215" s="4" t="n">
        <v>4700</v>
      </c>
      <c r="C1215" s="4" t="n">
        <v>902</v>
      </c>
      <c r="D1215" s="4" t="n">
        <v>272.855</v>
      </c>
      <c r="E1215" s="5" t="n">
        <v>17.2</v>
      </c>
      <c r="F1215" s="3" t="inlineStr">
        <is>
          <t>부강면</t>
        </is>
      </c>
      <c r="G1215" s="3" t="inlineStr">
        <is>
          <t>문곡리</t>
        </is>
      </c>
      <c r="H1215" s="3" t="inlineStr">
        <is>
          <t>계획관리지역</t>
        </is>
      </c>
      <c r="I1215" s="3" t="inlineStr">
        <is>
          <t>전</t>
        </is>
      </c>
      <c r="J1215" s="3" t="inlineStr">
        <is>
          <t>부강면</t>
        </is>
      </c>
    </row>
    <row r="1216">
      <c r="A1216" s="3" t="n">
        <v>2022</v>
      </c>
      <c r="B1216" s="4" t="n">
        <v>30000</v>
      </c>
      <c r="C1216" s="4" t="n">
        <v>1038</v>
      </c>
      <c r="D1216" s="4" t="n">
        <v>313.995</v>
      </c>
      <c r="E1216" s="5" t="n">
        <v>95.5</v>
      </c>
      <c r="F1216" s="3" t="inlineStr">
        <is>
          <t>연서면</t>
        </is>
      </c>
      <c r="G1216" s="3" t="inlineStr">
        <is>
          <t>청라리</t>
        </is>
      </c>
      <c r="H1216" s="3" t="inlineStr">
        <is>
          <t>생산관리지역</t>
        </is>
      </c>
      <c r="I1216" s="3" t="inlineStr">
        <is>
          <t>답</t>
        </is>
      </c>
      <c r="J1216" s="3" t="inlineStr">
        <is>
          <t>연서면</t>
        </is>
      </c>
    </row>
    <row r="1217">
      <c r="A1217" s="3" t="n">
        <v>2022</v>
      </c>
      <c r="B1217" s="4" t="n">
        <v>40000</v>
      </c>
      <c r="C1217" s="4" t="n">
        <v>2023</v>
      </c>
      <c r="D1217" s="4" t="n">
        <v>611.9575</v>
      </c>
      <c r="E1217" s="5" t="n">
        <v>65.40000000000001</v>
      </c>
      <c r="F1217" s="3" t="inlineStr">
        <is>
          <t>연서면</t>
        </is>
      </c>
      <c r="G1217" s="3" t="inlineStr">
        <is>
          <t>청라리</t>
        </is>
      </c>
      <c r="H1217" s="3" t="inlineStr">
        <is>
          <t>생산관리지역</t>
        </is>
      </c>
      <c r="I1217" s="3" t="inlineStr">
        <is>
          <t>답</t>
        </is>
      </c>
      <c r="J1217" s="3" t="inlineStr">
        <is>
          <t>연서면</t>
        </is>
      </c>
    </row>
    <row r="1218">
      <c r="A1218" s="3" t="n">
        <v>2025</v>
      </c>
      <c r="B1218" s="4" t="n">
        <v>77670</v>
      </c>
      <c r="C1218" s="4" t="n">
        <v>412</v>
      </c>
      <c r="D1218" s="4" t="n">
        <v>124.63</v>
      </c>
      <c r="E1218" s="5" t="n">
        <v>623.2</v>
      </c>
      <c r="F1218" s="3" t="inlineStr">
        <is>
          <t>연서면</t>
        </is>
      </c>
      <c r="G1218" s="3" t="inlineStr">
        <is>
          <t>봉암리</t>
        </is>
      </c>
      <c r="H1218" s="3" t="inlineStr">
        <is>
          <t>계획관리지역</t>
        </is>
      </c>
      <c r="I1218" s="3" t="inlineStr">
        <is>
          <t>대</t>
        </is>
      </c>
      <c r="J1218" s="3" t="inlineStr">
        <is>
          <t>연서면</t>
        </is>
      </c>
    </row>
    <row r="1219">
      <c r="A1219" s="3" t="n">
        <v>2025</v>
      </c>
      <c r="B1219" s="4" t="n">
        <v>17500</v>
      </c>
      <c r="C1219" s="4" t="n">
        <v>1157</v>
      </c>
      <c r="D1219" s="4" t="n">
        <v>349.9925</v>
      </c>
      <c r="E1219" s="5" t="n">
        <v>50</v>
      </c>
      <c r="F1219" s="3" t="inlineStr">
        <is>
          <t>부강면</t>
        </is>
      </c>
      <c r="G1219" s="3" t="inlineStr">
        <is>
          <t>노호리</t>
        </is>
      </c>
      <c r="H1219" s="3" t="inlineStr">
        <is>
          <t>계획관리지역</t>
        </is>
      </c>
      <c r="I1219" s="3" t="inlineStr">
        <is>
          <t>임야</t>
        </is>
      </c>
      <c r="J1219" s="3" t="inlineStr">
        <is>
          <t>부강면</t>
        </is>
      </c>
    </row>
    <row r="1220">
      <c r="A1220" s="3" t="n">
        <v>2025</v>
      </c>
      <c r="B1220" s="4" t="n">
        <v>52000</v>
      </c>
      <c r="C1220" s="4" t="n">
        <v>337</v>
      </c>
      <c r="D1220" s="4" t="n">
        <v>101.9425</v>
      </c>
      <c r="E1220" s="5" t="n">
        <v>510.1</v>
      </c>
      <c r="F1220" s="3" t="inlineStr">
        <is>
          <t>고운동</t>
        </is>
      </c>
      <c r="G1220" s="3" t="inlineStr"/>
      <c r="H1220" s="3" t="inlineStr">
        <is>
          <t>제1종전용주거지역</t>
        </is>
      </c>
      <c r="I1220" s="3" t="inlineStr">
        <is>
          <t>대</t>
        </is>
      </c>
      <c r="J1220" s="3" t="inlineStr">
        <is>
          <t>고운동</t>
        </is>
      </c>
    </row>
    <row r="1221">
      <c r="A1221" s="3" t="n">
        <v>2025</v>
      </c>
      <c r="B1221" s="4" t="n">
        <v>15000</v>
      </c>
      <c r="C1221" s="4" t="n">
        <v>187</v>
      </c>
      <c r="D1221" s="4" t="n">
        <v>56.5675</v>
      </c>
      <c r="E1221" s="5" t="n">
        <v>265.2</v>
      </c>
      <c r="F1221" s="3" t="inlineStr">
        <is>
          <t>조치원읍</t>
        </is>
      </c>
      <c r="G1221" s="3" t="inlineStr">
        <is>
          <t>명리</t>
        </is>
      </c>
      <c r="H1221" s="3" t="inlineStr">
        <is>
          <t>제2종일반주거지역</t>
        </is>
      </c>
      <c r="I1221" s="3" t="inlineStr">
        <is>
          <t>대</t>
        </is>
      </c>
      <c r="J1221" s="3" t="inlineStr">
        <is>
          <t>조치원읍</t>
        </is>
      </c>
    </row>
    <row r="1222">
      <c r="A1222" s="3" t="n">
        <v>2025</v>
      </c>
      <c r="B1222" s="4" t="n">
        <v>38000</v>
      </c>
      <c r="C1222" s="4" t="n">
        <v>331.8</v>
      </c>
      <c r="D1222" s="4" t="n">
        <v>100.3695</v>
      </c>
      <c r="E1222" s="5" t="n">
        <v>378.6</v>
      </c>
      <c r="F1222" s="3" t="inlineStr">
        <is>
          <t>아름동</t>
        </is>
      </c>
      <c r="G1222" s="3" t="inlineStr"/>
      <c r="H1222" s="3" t="inlineStr">
        <is>
          <t>제1종전용주거지역</t>
        </is>
      </c>
      <c r="I1222" s="3" t="inlineStr">
        <is>
          <t>대</t>
        </is>
      </c>
      <c r="J1222" s="3" t="inlineStr">
        <is>
          <t>아름동</t>
        </is>
      </c>
    </row>
    <row r="1223">
      <c r="A1223" s="3" t="n">
        <v>2022</v>
      </c>
      <c r="B1223" s="4" t="n">
        <v>33800</v>
      </c>
      <c r="C1223" s="4" t="n">
        <v>2023</v>
      </c>
      <c r="D1223" s="4" t="n">
        <v>611.9575</v>
      </c>
      <c r="E1223" s="5" t="n">
        <v>55.2</v>
      </c>
      <c r="F1223" s="3" t="inlineStr">
        <is>
          <t>연서면</t>
        </is>
      </c>
      <c r="G1223" s="3" t="inlineStr">
        <is>
          <t>신대리</t>
        </is>
      </c>
      <c r="H1223" s="3" t="inlineStr">
        <is>
          <t>생산관리지역</t>
        </is>
      </c>
      <c r="I1223" s="3" t="inlineStr">
        <is>
          <t>답</t>
        </is>
      </c>
      <c r="J1223" s="3" t="inlineStr">
        <is>
          <t>연서면</t>
        </is>
      </c>
    </row>
    <row r="1224">
      <c r="A1224" s="3" t="n">
        <v>2022</v>
      </c>
      <c r="B1224" s="4" t="n">
        <v>65680</v>
      </c>
      <c r="C1224" s="4" t="n">
        <v>2889</v>
      </c>
      <c r="D1224" s="4" t="n">
        <v>873.9225</v>
      </c>
      <c r="E1224" s="5" t="n">
        <v>75.2</v>
      </c>
      <c r="F1224" s="3" t="inlineStr">
        <is>
          <t>연서면</t>
        </is>
      </c>
      <c r="G1224" s="3" t="inlineStr">
        <is>
          <t>신대리</t>
        </is>
      </c>
      <c r="H1224" s="3" t="inlineStr">
        <is>
          <t>생산관리지역</t>
        </is>
      </c>
      <c r="I1224" s="3" t="inlineStr">
        <is>
          <t>답</t>
        </is>
      </c>
      <c r="J1224" s="3" t="inlineStr">
        <is>
          <t>연서면</t>
        </is>
      </c>
    </row>
    <row r="1225">
      <c r="A1225" s="3" t="n">
        <v>2022</v>
      </c>
      <c r="B1225" s="4" t="n">
        <v>13334</v>
      </c>
      <c r="C1225" s="4" t="n">
        <v>1650</v>
      </c>
      <c r="D1225" s="4" t="n">
        <v>499.125</v>
      </c>
      <c r="E1225" s="5" t="n">
        <v>26.7</v>
      </c>
      <c r="F1225" s="3" t="inlineStr">
        <is>
          <t>연동면</t>
        </is>
      </c>
      <c r="G1225" s="3" t="inlineStr">
        <is>
          <t>명학리</t>
        </is>
      </c>
      <c r="H1225" s="3" t="inlineStr">
        <is>
          <t>농림지역</t>
        </is>
      </c>
      <c r="I1225" s="3" t="inlineStr">
        <is>
          <t>임야</t>
        </is>
      </c>
      <c r="J1225" s="3" t="inlineStr">
        <is>
          <t>연동면</t>
        </is>
      </c>
    </row>
    <row r="1226">
      <c r="A1226" s="3" t="n">
        <v>2022</v>
      </c>
      <c r="B1226" s="4" t="n">
        <v>7100</v>
      </c>
      <c r="C1226" s="4" t="n">
        <v>670</v>
      </c>
      <c r="D1226" s="4" t="n">
        <v>202.675</v>
      </c>
      <c r="E1226" s="5" t="n">
        <v>35</v>
      </c>
      <c r="F1226" s="3" t="inlineStr">
        <is>
          <t>부강면</t>
        </is>
      </c>
      <c r="G1226" s="3" t="inlineStr">
        <is>
          <t>행산리</t>
        </is>
      </c>
      <c r="H1226" s="3" t="inlineStr">
        <is>
          <t>계획관리지역</t>
        </is>
      </c>
      <c r="I1226" s="3" t="inlineStr">
        <is>
          <t>전</t>
        </is>
      </c>
      <c r="J1226" s="3" t="inlineStr">
        <is>
          <t>부강면</t>
        </is>
      </c>
    </row>
    <row r="1227">
      <c r="A1227" s="3" t="n">
        <v>2022</v>
      </c>
      <c r="B1227" s="4" t="n">
        <v>13200</v>
      </c>
      <c r="C1227" s="4" t="n">
        <v>1247</v>
      </c>
      <c r="D1227" s="4" t="n">
        <v>377.2175</v>
      </c>
      <c r="E1227" s="5" t="n">
        <v>35</v>
      </c>
      <c r="F1227" s="3" t="inlineStr">
        <is>
          <t>부강면</t>
        </is>
      </c>
      <c r="G1227" s="3" t="inlineStr">
        <is>
          <t>행산리</t>
        </is>
      </c>
      <c r="H1227" s="3" t="inlineStr">
        <is>
          <t>계획관리지역</t>
        </is>
      </c>
      <c r="I1227" s="3" t="inlineStr">
        <is>
          <t>전</t>
        </is>
      </c>
      <c r="J1227" s="3" t="inlineStr">
        <is>
          <t>부강면</t>
        </is>
      </c>
    </row>
    <row r="1228">
      <c r="A1228" s="3" t="n">
        <v>2022</v>
      </c>
      <c r="B1228" s="4" t="n">
        <v>13000</v>
      </c>
      <c r="C1228" s="4" t="n">
        <v>232</v>
      </c>
      <c r="D1228" s="4" t="n">
        <v>70.17999999999999</v>
      </c>
      <c r="E1228" s="5" t="n">
        <v>185.2</v>
      </c>
      <c r="F1228" s="3" t="inlineStr">
        <is>
          <t>연동면</t>
        </is>
      </c>
      <c r="G1228" s="3" t="inlineStr">
        <is>
          <t>응암리</t>
        </is>
      </c>
      <c r="H1228" s="3" t="inlineStr">
        <is>
          <t>계획관리지역</t>
        </is>
      </c>
      <c r="I1228" s="3" t="inlineStr">
        <is>
          <t>임야</t>
        </is>
      </c>
      <c r="J1228" s="3" t="inlineStr">
        <is>
          <t>연동면</t>
        </is>
      </c>
    </row>
    <row r="1229">
      <c r="A1229" s="3" t="n">
        <v>2022</v>
      </c>
      <c r="B1229" s="4" t="n">
        <v>5500</v>
      </c>
      <c r="C1229" s="4" t="n">
        <v>1058</v>
      </c>
      <c r="D1229" s="4" t="n">
        <v>320.045</v>
      </c>
      <c r="E1229" s="5" t="n">
        <v>17.2</v>
      </c>
      <c r="F1229" s="3" t="inlineStr">
        <is>
          <t>연서면</t>
        </is>
      </c>
      <c r="G1229" s="3" t="inlineStr">
        <is>
          <t>쌍류리</t>
        </is>
      </c>
      <c r="H1229" s="3" t="inlineStr">
        <is>
          <t>보전관리지역</t>
        </is>
      </c>
      <c r="I1229" s="3" t="inlineStr">
        <is>
          <t>답</t>
        </is>
      </c>
      <c r="J1229" s="3" t="inlineStr">
        <is>
          <t>연서면</t>
        </is>
      </c>
    </row>
    <row r="1230">
      <c r="A1230" s="3" t="n">
        <v>2022</v>
      </c>
      <c r="B1230" s="4" t="n">
        <v>30000</v>
      </c>
      <c r="C1230" s="4" t="n">
        <v>661</v>
      </c>
      <c r="D1230" s="4" t="n">
        <v>199.9525</v>
      </c>
      <c r="E1230" s="5" t="n">
        <v>150</v>
      </c>
      <c r="F1230" s="3" t="inlineStr">
        <is>
          <t>연서면</t>
        </is>
      </c>
      <c r="G1230" s="3" t="inlineStr">
        <is>
          <t>월하리</t>
        </is>
      </c>
      <c r="H1230" s="3" t="inlineStr">
        <is>
          <t>자연녹지지역</t>
        </is>
      </c>
      <c r="I1230" s="3" t="inlineStr">
        <is>
          <t>임야</t>
        </is>
      </c>
      <c r="J1230" s="3" t="inlineStr">
        <is>
          <t>연서면</t>
        </is>
      </c>
    </row>
    <row r="1231">
      <c r="A1231" s="3" t="n">
        <v>2023</v>
      </c>
      <c r="B1231" s="4" t="n">
        <v>22600</v>
      </c>
      <c r="C1231" s="4" t="n">
        <v>1848</v>
      </c>
      <c r="D1231" s="4" t="n">
        <v>559.02</v>
      </c>
      <c r="E1231" s="5" t="n">
        <v>40.4</v>
      </c>
      <c r="F1231" s="3" t="inlineStr">
        <is>
          <t>부강면</t>
        </is>
      </c>
      <c r="G1231" s="3" t="inlineStr">
        <is>
          <t>문곡리</t>
        </is>
      </c>
      <c r="H1231" s="3" t="inlineStr">
        <is>
          <t>계획관리지역</t>
        </is>
      </c>
      <c r="I1231" s="3" t="inlineStr">
        <is>
          <t>전</t>
        </is>
      </c>
      <c r="J1231" s="3" t="inlineStr">
        <is>
          <t>부강면</t>
        </is>
      </c>
    </row>
    <row r="1232">
      <c r="A1232" s="3" t="n">
        <v>2023</v>
      </c>
      <c r="B1232" s="4" t="n">
        <v>85500</v>
      </c>
      <c r="C1232" s="4" t="n">
        <v>2997</v>
      </c>
      <c r="D1232" s="4" t="n">
        <v>906.5925</v>
      </c>
      <c r="E1232" s="5" t="n">
        <v>94.3</v>
      </c>
      <c r="F1232" s="3" t="inlineStr">
        <is>
          <t>연서면</t>
        </is>
      </c>
      <c r="G1232" s="3" t="inlineStr">
        <is>
          <t>신대리</t>
        </is>
      </c>
      <c r="H1232" s="3" t="inlineStr">
        <is>
          <t>농림지역</t>
        </is>
      </c>
      <c r="I1232" s="3" t="inlineStr">
        <is>
          <t>답</t>
        </is>
      </c>
      <c r="J1232" s="3" t="inlineStr">
        <is>
          <t>연서면</t>
        </is>
      </c>
    </row>
    <row r="1233">
      <c r="A1233" s="3" t="n">
        <v>2022</v>
      </c>
      <c r="B1233" s="4" t="n">
        <v>913</v>
      </c>
      <c r="C1233" s="4" t="n">
        <v>10</v>
      </c>
      <c r="D1233" s="4" t="n">
        <v>3.025</v>
      </c>
      <c r="E1233" s="5" t="n">
        <v>301.8</v>
      </c>
      <c r="F1233" s="3" t="inlineStr">
        <is>
          <t>연서면</t>
        </is>
      </c>
      <c r="G1233" s="3" t="inlineStr">
        <is>
          <t>봉암리</t>
        </is>
      </c>
      <c r="H1233" s="3" t="inlineStr">
        <is>
          <t>계획관리지역</t>
        </is>
      </c>
      <c r="I1233" s="3" t="inlineStr">
        <is>
          <t>대</t>
        </is>
      </c>
      <c r="J1233" s="3" t="inlineStr">
        <is>
          <t>연서면</t>
        </is>
      </c>
    </row>
    <row r="1234">
      <c r="A1234" s="3" t="n">
        <v>2022</v>
      </c>
      <c r="B1234" s="4" t="n">
        <v>520</v>
      </c>
      <c r="C1234" s="4" t="n">
        <v>17</v>
      </c>
      <c r="D1234" s="4" t="n">
        <v>5.1425</v>
      </c>
      <c r="E1234" s="5" t="n">
        <v>101.1</v>
      </c>
      <c r="F1234" s="3" t="inlineStr">
        <is>
          <t>연서면</t>
        </is>
      </c>
      <c r="G1234" s="3" t="inlineStr">
        <is>
          <t>월하리</t>
        </is>
      </c>
      <c r="H1234" s="3" t="inlineStr">
        <is>
          <t>자연녹지지역</t>
        </is>
      </c>
      <c r="I1234" s="3" t="inlineStr">
        <is>
          <t>묘지</t>
        </is>
      </c>
      <c r="J1234" s="3" t="inlineStr">
        <is>
          <t>연서면</t>
        </is>
      </c>
    </row>
    <row r="1235">
      <c r="A1235" s="3" t="n">
        <v>2022</v>
      </c>
      <c r="B1235" s="4" t="n">
        <v>1614</v>
      </c>
      <c r="C1235" s="4" t="n">
        <v>53</v>
      </c>
      <c r="D1235" s="4" t="n">
        <v>16.0325</v>
      </c>
      <c r="E1235" s="5" t="n">
        <v>100.7</v>
      </c>
      <c r="F1235" s="3" t="inlineStr">
        <is>
          <t>연서면</t>
        </is>
      </c>
      <c r="G1235" s="3" t="inlineStr">
        <is>
          <t>월하리</t>
        </is>
      </c>
      <c r="H1235" s="3" t="inlineStr">
        <is>
          <t>자연녹지지역</t>
        </is>
      </c>
      <c r="I1235" s="3" t="inlineStr">
        <is>
          <t>전</t>
        </is>
      </c>
      <c r="J1235" s="3" t="inlineStr">
        <is>
          <t>연서면</t>
        </is>
      </c>
    </row>
    <row r="1236">
      <c r="A1236" s="3" t="n">
        <v>2022</v>
      </c>
      <c r="B1236" s="4" t="n">
        <v>54000</v>
      </c>
      <c r="C1236" s="4" t="n">
        <v>623</v>
      </c>
      <c r="D1236" s="4" t="n">
        <v>188.4575</v>
      </c>
      <c r="E1236" s="5" t="n">
        <v>286.5</v>
      </c>
      <c r="F1236" s="3" t="inlineStr">
        <is>
          <t>연동면</t>
        </is>
      </c>
      <c r="G1236" s="3" t="inlineStr">
        <is>
          <t>내판리</t>
        </is>
      </c>
      <c r="H1236" s="3" t="inlineStr">
        <is>
          <t>계획관리지역</t>
        </is>
      </c>
      <c r="I1236" s="3" t="inlineStr">
        <is>
          <t>철도용지</t>
        </is>
      </c>
      <c r="J1236" s="3" t="inlineStr">
        <is>
          <t>연동면</t>
        </is>
      </c>
    </row>
    <row r="1237">
      <c r="A1237" s="3" t="n">
        <v>2022</v>
      </c>
      <c r="B1237" s="4" t="n">
        <v>9000</v>
      </c>
      <c r="C1237" s="4" t="n">
        <v>200</v>
      </c>
      <c r="D1237" s="4" t="n">
        <v>60.5</v>
      </c>
      <c r="E1237" s="5" t="n">
        <v>148.8</v>
      </c>
      <c r="F1237" s="3" t="inlineStr">
        <is>
          <t>연서면</t>
        </is>
      </c>
      <c r="G1237" s="3" t="inlineStr">
        <is>
          <t>쌍류리</t>
        </is>
      </c>
      <c r="H1237" s="3" t="inlineStr">
        <is>
          <t>농림지역</t>
        </is>
      </c>
      <c r="I1237" s="3" t="inlineStr">
        <is>
          <t>과수원</t>
        </is>
      </c>
      <c r="J1237" s="3" t="inlineStr">
        <is>
          <t>연서면</t>
        </is>
      </c>
    </row>
    <row r="1238">
      <c r="A1238" s="3" t="n">
        <v>2022</v>
      </c>
      <c r="B1238" s="4" t="n">
        <v>2400</v>
      </c>
      <c r="C1238" s="4" t="n">
        <v>63</v>
      </c>
      <c r="D1238" s="4" t="n">
        <v>19.0575</v>
      </c>
      <c r="E1238" s="5" t="n">
        <v>125.9</v>
      </c>
      <c r="F1238" s="3" t="inlineStr">
        <is>
          <t>연서면</t>
        </is>
      </c>
      <c r="G1238" s="3" t="inlineStr">
        <is>
          <t>월하리</t>
        </is>
      </c>
      <c r="H1238" s="3" t="inlineStr">
        <is>
          <t>자연녹지지역</t>
        </is>
      </c>
      <c r="I1238" s="3" t="inlineStr">
        <is>
          <t>묘지</t>
        </is>
      </c>
      <c r="J1238" s="3" t="inlineStr">
        <is>
          <t>연서면</t>
        </is>
      </c>
    </row>
    <row r="1239">
      <c r="A1239" s="3" t="n">
        <v>2022</v>
      </c>
      <c r="B1239" s="4" t="n">
        <v>74000</v>
      </c>
      <c r="C1239" s="4" t="n">
        <v>3260</v>
      </c>
      <c r="D1239" s="4" t="n">
        <v>986.15</v>
      </c>
      <c r="E1239" s="5" t="n">
        <v>75</v>
      </c>
      <c r="F1239" s="3" t="inlineStr">
        <is>
          <t>연서면</t>
        </is>
      </c>
      <c r="G1239" s="3" t="inlineStr">
        <is>
          <t>신대리</t>
        </is>
      </c>
      <c r="H1239" s="3" t="inlineStr">
        <is>
          <t>계획관리지역</t>
        </is>
      </c>
      <c r="I1239" s="3" t="inlineStr">
        <is>
          <t>전</t>
        </is>
      </c>
      <c r="J1239" s="3" t="inlineStr">
        <is>
          <t>연서면</t>
        </is>
      </c>
    </row>
    <row r="1240">
      <c r="A1240" s="3" t="n">
        <v>2022</v>
      </c>
      <c r="B1240" s="4" t="n">
        <v>46000</v>
      </c>
      <c r="C1240" s="4" t="n">
        <v>2046</v>
      </c>
      <c r="D1240" s="4" t="n">
        <v>618.915</v>
      </c>
      <c r="E1240" s="5" t="n">
        <v>74.3</v>
      </c>
      <c r="F1240" s="3" t="inlineStr">
        <is>
          <t>연서면</t>
        </is>
      </c>
      <c r="G1240" s="3" t="inlineStr">
        <is>
          <t>신대리</t>
        </is>
      </c>
      <c r="H1240" s="3" t="inlineStr">
        <is>
          <t>계획관리지역</t>
        </is>
      </c>
      <c r="I1240" s="3" t="inlineStr">
        <is>
          <t>전</t>
        </is>
      </c>
      <c r="J1240" s="3" t="inlineStr">
        <is>
          <t>연서면</t>
        </is>
      </c>
    </row>
    <row r="1241">
      <c r="A1241" s="3" t="n">
        <v>2022</v>
      </c>
      <c r="B1241" s="4" t="n">
        <v>69600</v>
      </c>
      <c r="C1241" s="4" t="n">
        <v>14380</v>
      </c>
      <c r="D1241" s="4" t="n">
        <v>4349.95</v>
      </c>
      <c r="E1241" s="5" t="n">
        <v>16</v>
      </c>
      <c r="F1241" s="3" t="inlineStr">
        <is>
          <t>부강면</t>
        </is>
      </c>
      <c r="G1241" s="3" t="inlineStr">
        <is>
          <t>등곡리</t>
        </is>
      </c>
      <c r="H1241" s="3" t="inlineStr">
        <is>
          <t>보전관리지역</t>
        </is>
      </c>
      <c r="I1241" s="3" t="inlineStr">
        <is>
          <t>임야</t>
        </is>
      </c>
      <c r="J1241" s="3" t="inlineStr">
        <is>
          <t>부강면</t>
        </is>
      </c>
    </row>
    <row r="1242">
      <c r="A1242" s="3" t="n">
        <v>2022</v>
      </c>
      <c r="B1242" s="4" t="n">
        <v>18000</v>
      </c>
      <c r="C1242" s="4" t="n">
        <v>147</v>
      </c>
      <c r="D1242" s="4" t="n">
        <v>44.4675</v>
      </c>
      <c r="E1242" s="5" t="n">
        <v>404.8</v>
      </c>
      <c r="F1242" s="3" t="inlineStr">
        <is>
          <t>조치원읍</t>
        </is>
      </c>
      <c r="G1242" s="3" t="inlineStr">
        <is>
          <t>서창리</t>
        </is>
      </c>
      <c r="H1242" s="3" t="inlineStr">
        <is>
          <t>자연녹지지역</t>
        </is>
      </c>
      <c r="I1242" s="3" t="inlineStr">
        <is>
          <t>대</t>
        </is>
      </c>
      <c r="J1242" s="3" t="inlineStr">
        <is>
          <t>조치원읍</t>
        </is>
      </c>
    </row>
    <row r="1243">
      <c r="A1243" s="3" t="n">
        <v>2022</v>
      </c>
      <c r="B1243" s="4" t="n">
        <v>36567</v>
      </c>
      <c r="C1243" s="4" t="n">
        <v>1038</v>
      </c>
      <c r="D1243" s="4" t="n">
        <v>313.995</v>
      </c>
      <c r="E1243" s="5" t="n">
        <v>116.5</v>
      </c>
      <c r="F1243" s="3" t="inlineStr">
        <is>
          <t>연서면</t>
        </is>
      </c>
      <c r="G1243" s="3" t="inlineStr">
        <is>
          <t>청라리</t>
        </is>
      </c>
      <c r="H1243" s="3" t="inlineStr">
        <is>
          <t>생산관리지역</t>
        </is>
      </c>
      <c r="I1243" s="3" t="inlineStr">
        <is>
          <t>과수원</t>
        </is>
      </c>
      <c r="J1243" s="3" t="inlineStr">
        <is>
          <t>연서면</t>
        </is>
      </c>
    </row>
    <row r="1244">
      <c r="A1244" s="3" t="n">
        <v>2022</v>
      </c>
      <c r="B1244" s="4" t="n">
        <v>7433</v>
      </c>
      <c r="C1244" s="4" t="n">
        <v>211</v>
      </c>
      <c r="D1244" s="4" t="n">
        <v>63.8275</v>
      </c>
      <c r="E1244" s="5" t="n">
        <v>116.5</v>
      </c>
      <c r="F1244" s="3" t="inlineStr">
        <is>
          <t>연서면</t>
        </is>
      </c>
      <c r="G1244" s="3" t="inlineStr">
        <is>
          <t>청라리</t>
        </is>
      </c>
      <c r="H1244" s="3" t="inlineStr">
        <is>
          <t>생산관리지역</t>
        </is>
      </c>
      <c r="I1244" s="3" t="inlineStr">
        <is>
          <t>과수원</t>
        </is>
      </c>
      <c r="J1244" s="3" t="inlineStr">
        <is>
          <t>연서면</t>
        </is>
      </c>
    </row>
    <row r="1245">
      <c r="A1245" s="3" t="n">
        <v>2022</v>
      </c>
      <c r="B1245" s="4" t="n">
        <v>90000</v>
      </c>
      <c r="C1245" s="4" t="n">
        <v>3307</v>
      </c>
      <c r="D1245" s="4" t="n">
        <v>1000.3675</v>
      </c>
      <c r="E1245" s="5" t="n">
        <v>90</v>
      </c>
      <c r="F1245" s="3" t="inlineStr">
        <is>
          <t>연서면</t>
        </is>
      </c>
      <c r="G1245" s="3" t="inlineStr">
        <is>
          <t>고복리</t>
        </is>
      </c>
      <c r="H1245" s="3" t="inlineStr">
        <is>
          <t>생산관리지역</t>
        </is>
      </c>
      <c r="I1245" s="3" t="inlineStr">
        <is>
          <t>과수원</t>
        </is>
      </c>
      <c r="J1245" s="3" t="inlineStr">
        <is>
          <t>연서면</t>
        </is>
      </c>
    </row>
    <row r="1246">
      <c r="A1246" s="3" t="n">
        <v>2022</v>
      </c>
      <c r="B1246" s="4" t="n">
        <v>15000</v>
      </c>
      <c r="C1246" s="4" t="n">
        <v>517</v>
      </c>
      <c r="D1246" s="4" t="n">
        <v>156.3925</v>
      </c>
      <c r="E1246" s="5" t="n">
        <v>95.90000000000001</v>
      </c>
      <c r="F1246" s="3" t="inlineStr">
        <is>
          <t>연서면</t>
        </is>
      </c>
      <c r="G1246" s="3" t="inlineStr">
        <is>
          <t>고복리</t>
        </is>
      </c>
      <c r="H1246" s="3" t="inlineStr">
        <is>
          <t>생산관리지역</t>
        </is>
      </c>
      <c r="I1246" s="3" t="inlineStr">
        <is>
          <t>전</t>
        </is>
      </c>
      <c r="J1246" s="3" t="inlineStr">
        <is>
          <t>연서면</t>
        </is>
      </c>
    </row>
    <row r="1247">
      <c r="A1247" s="3" t="n">
        <v>2022</v>
      </c>
      <c r="B1247" s="4" t="n">
        <v>5000</v>
      </c>
      <c r="C1247" s="4" t="n">
        <v>6823</v>
      </c>
      <c r="D1247" s="4" t="n">
        <v>2063.9575</v>
      </c>
      <c r="E1247" s="5" t="n">
        <v>2.4</v>
      </c>
      <c r="F1247" s="3" t="inlineStr">
        <is>
          <t>연서면</t>
        </is>
      </c>
      <c r="G1247" s="3" t="inlineStr">
        <is>
          <t>고복리</t>
        </is>
      </c>
      <c r="H1247" s="3" t="inlineStr">
        <is>
          <t>농림지역</t>
        </is>
      </c>
      <c r="I1247" s="3" t="inlineStr">
        <is>
          <t>임야</t>
        </is>
      </c>
      <c r="J1247" s="3" t="inlineStr">
        <is>
          <t>연서면</t>
        </is>
      </c>
    </row>
    <row r="1248">
      <c r="A1248" s="3" t="n">
        <v>2022</v>
      </c>
      <c r="B1248" s="4" t="n">
        <v>70000</v>
      </c>
      <c r="C1248" s="4" t="n">
        <v>2060</v>
      </c>
      <c r="D1248" s="4" t="n">
        <v>623.15</v>
      </c>
      <c r="E1248" s="5" t="n">
        <v>112.3</v>
      </c>
      <c r="F1248" s="3" t="inlineStr">
        <is>
          <t>연서면</t>
        </is>
      </c>
      <c r="G1248" s="3" t="inlineStr">
        <is>
          <t>국촌리</t>
        </is>
      </c>
      <c r="H1248" s="3" t="inlineStr">
        <is>
          <t>농림지역</t>
        </is>
      </c>
      <c r="I1248" s="3" t="inlineStr">
        <is>
          <t>답</t>
        </is>
      </c>
      <c r="J1248" s="3" t="inlineStr">
        <is>
          <t>연서면</t>
        </is>
      </c>
    </row>
    <row r="1249">
      <c r="A1249" s="3" t="n">
        <v>2022</v>
      </c>
      <c r="B1249" s="4" t="n">
        <v>1900</v>
      </c>
      <c r="C1249" s="4" t="n">
        <v>889</v>
      </c>
      <c r="D1249" s="4" t="n">
        <v>268.9225</v>
      </c>
      <c r="E1249" s="5" t="n">
        <v>7.1</v>
      </c>
      <c r="F1249" s="3" t="inlineStr">
        <is>
          <t>남이면</t>
        </is>
      </c>
      <c r="G1249" s="3" t="inlineStr">
        <is>
          <t>부용외천리</t>
        </is>
      </c>
      <c r="H1249" s="3" t="inlineStr">
        <is>
          <t>보전관리지역</t>
        </is>
      </c>
      <c r="I1249" s="3" t="inlineStr">
        <is>
          <t>답</t>
        </is>
      </c>
      <c r="J1249" s="3" t="inlineStr">
        <is>
          <t>남이면</t>
        </is>
      </c>
    </row>
    <row r="1250">
      <c r="A1250" s="3" t="n">
        <v>2022</v>
      </c>
      <c r="B1250" s="4" t="n">
        <v>4100</v>
      </c>
      <c r="C1250" s="4" t="n">
        <v>1815</v>
      </c>
      <c r="D1250" s="4" t="n">
        <v>549.0375</v>
      </c>
      <c r="E1250" s="5" t="n">
        <v>7.5</v>
      </c>
      <c r="F1250" s="3" t="inlineStr">
        <is>
          <t>남이면</t>
        </is>
      </c>
      <c r="G1250" s="3" t="inlineStr">
        <is>
          <t>부용외천리</t>
        </is>
      </c>
      <c r="H1250" s="3" t="inlineStr">
        <is>
          <t>보전관리지역</t>
        </is>
      </c>
      <c r="I1250" s="3" t="inlineStr">
        <is>
          <t>답</t>
        </is>
      </c>
      <c r="J1250" s="3" t="inlineStr">
        <is>
          <t>남이면</t>
        </is>
      </c>
    </row>
    <row r="1251">
      <c r="A1251" s="3" t="n">
        <v>2022</v>
      </c>
      <c r="B1251" s="4" t="n">
        <v>5000</v>
      </c>
      <c r="C1251" s="4" t="n">
        <v>585</v>
      </c>
      <c r="D1251" s="4" t="n">
        <v>176.9625</v>
      </c>
      <c r="E1251" s="5" t="n">
        <v>28.3</v>
      </c>
      <c r="F1251" s="3" t="inlineStr">
        <is>
          <t>남이면</t>
        </is>
      </c>
      <c r="G1251" s="3" t="inlineStr">
        <is>
          <t>석실리</t>
        </is>
      </c>
      <c r="H1251" s="3" t="inlineStr">
        <is>
          <t>보전녹지지역</t>
        </is>
      </c>
      <c r="I1251" s="3" t="inlineStr">
        <is>
          <t>전</t>
        </is>
      </c>
      <c r="J1251" s="3" t="inlineStr">
        <is>
          <t>남이면</t>
        </is>
      </c>
    </row>
    <row r="1252">
      <c r="A1252" s="3" t="n">
        <v>2022</v>
      </c>
      <c r="B1252" s="4" t="n">
        <v>3250</v>
      </c>
      <c r="C1252" s="4" t="n">
        <v>165</v>
      </c>
      <c r="D1252" s="4" t="n">
        <v>49.9125</v>
      </c>
      <c r="E1252" s="5" t="n">
        <v>65.09999999999999</v>
      </c>
      <c r="F1252" s="3" t="inlineStr">
        <is>
          <t>남이면</t>
        </is>
      </c>
      <c r="G1252" s="3" t="inlineStr">
        <is>
          <t>석판리</t>
        </is>
      </c>
      <c r="H1252" s="3" t="inlineStr">
        <is>
          <t>자연녹지지역</t>
        </is>
      </c>
      <c r="I1252" s="3" t="inlineStr">
        <is>
          <t>전</t>
        </is>
      </c>
      <c r="J1252" s="3" t="inlineStr">
        <is>
          <t>남이면</t>
        </is>
      </c>
    </row>
    <row r="1253">
      <c r="A1253" s="3" t="n">
        <v>2022</v>
      </c>
      <c r="B1253" s="4" t="n">
        <v>800</v>
      </c>
      <c r="C1253" s="4" t="n">
        <v>41</v>
      </c>
      <c r="D1253" s="4" t="n">
        <v>12.4025</v>
      </c>
      <c r="E1253" s="5" t="n">
        <v>64.5</v>
      </c>
      <c r="F1253" s="3" t="inlineStr">
        <is>
          <t>남이면</t>
        </is>
      </c>
      <c r="G1253" s="3" t="inlineStr">
        <is>
          <t>석판리</t>
        </is>
      </c>
      <c r="H1253" s="3" t="inlineStr">
        <is>
          <t>자연녹지지역</t>
        </is>
      </c>
      <c r="I1253" s="3" t="inlineStr">
        <is>
          <t>도로</t>
        </is>
      </c>
      <c r="J1253" s="3" t="inlineStr">
        <is>
          <t>남이면</t>
        </is>
      </c>
    </row>
    <row r="1254">
      <c r="A1254" s="3" t="n">
        <v>2022</v>
      </c>
      <c r="B1254" s="4" t="n">
        <v>1100</v>
      </c>
      <c r="C1254" s="4" t="n">
        <v>55</v>
      </c>
      <c r="D1254" s="4" t="n">
        <v>16.6375</v>
      </c>
      <c r="E1254" s="5" t="n">
        <v>66.09999999999999</v>
      </c>
      <c r="F1254" s="3" t="inlineStr">
        <is>
          <t>남이면</t>
        </is>
      </c>
      <c r="G1254" s="3" t="inlineStr">
        <is>
          <t>석판리</t>
        </is>
      </c>
      <c r="H1254" s="3" t="inlineStr">
        <is>
          <t>자연녹지지역</t>
        </is>
      </c>
      <c r="I1254" s="3" t="inlineStr">
        <is>
          <t>전</t>
        </is>
      </c>
      <c r="J1254" s="3" t="inlineStr">
        <is>
          <t>남이면</t>
        </is>
      </c>
    </row>
    <row r="1255">
      <c r="A1255" s="3" t="n">
        <v>2022</v>
      </c>
      <c r="B1255" s="4" t="n">
        <v>700</v>
      </c>
      <c r="C1255" s="4" t="n">
        <v>38</v>
      </c>
      <c r="D1255" s="4" t="n">
        <v>11.495</v>
      </c>
      <c r="E1255" s="5" t="n">
        <v>60.9</v>
      </c>
      <c r="F1255" s="3" t="inlineStr">
        <is>
          <t>남이면</t>
        </is>
      </c>
      <c r="G1255" s="3" t="inlineStr">
        <is>
          <t>석판리</t>
        </is>
      </c>
      <c r="H1255" s="3" t="inlineStr">
        <is>
          <t>자연녹지지역</t>
        </is>
      </c>
      <c r="I1255" s="3" t="inlineStr">
        <is>
          <t>도로</t>
        </is>
      </c>
      <c r="J1255" s="3" t="inlineStr">
        <is>
          <t>남이면</t>
        </is>
      </c>
    </row>
    <row r="1256">
      <c r="A1256" s="3" t="n">
        <v>2022</v>
      </c>
      <c r="B1256" s="4" t="n">
        <v>27800</v>
      </c>
      <c r="C1256" s="4" t="n">
        <v>1412</v>
      </c>
      <c r="D1256" s="4" t="n">
        <v>427.13</v>
      </c>
      <c r="E1256" s="5" t="n">
        <v>65.09999999999999</v>
      </c>
      <c r="F1256" s="3" t="inlineStr">
        <is>
          <t>남이면</t>
        </is>
      </c>
      <c r="G1256" s="3" t="inlineStr">
        <is>
          <t>석판리</t>
        </is>
      </c>
      <c r="H1256" s="3" t="inlineStr">
        <is>
          <t>자연녹지지역</t>
        </is>
      </c>
      <c r="I1256" s="3" t="inlineStr">
        <is>
          <t>전</t>
        </is>
      </c>
      <c r="J1256" s="3" t="inlineStr">
        <is>
          <t>남이면</t>
        </is>
      </c>
    </row>
    <row r="1257">
      <c r="A1257" s="3" t="n">
        <v>2022</v>
      </c>
      <c r="B1257" s="4" t="n">
        <v>44500</v>
      </c>
      <c r="C1257" s="4" t="n">
        <v>2261</v>
      </c>
      <c r="D1257" s="4" t="n">
        <v>683.9525</v>
      </c>
      <c r="E1257" s="5" t="n">
        <v>65.09999999999999</v>
      </c>
      <c r="F1257" s="3" t="inlineStr">
        <is>
          <t>남이면</t>
        </is>
      </c>
      <c r="G1257" s="3" t="inlineStr">
        <is>
          <t>석판리</t>
        </is>
      </c>
      <c r="H1257" s="3" t="inlineStr">
        <is>
          <t>자연녹지지역</t>
        </is>
      </c>
      <c r="I1257" s="3" t="inlineStr">
        <is>
          <t>전</t>
        </is>
      </c>
      <c r="J1257" s="3" t="inlineStr">
        <is>
          <t>남이면</t>
        </is>
      </c>
    </row>
    <row r="1258">
      <c r="A1258" s="3" t="n">
        <v>2022</v>
      </c>
      <c r="B1258" s="4" t="n">
        <v>200</v>
      </c>
      <c r="C1258" s="4" t="n">
        <v>12</v>
      </c>
      <c r="D1258" s="4" t="n">
        <v>3.63</v>
      </c>
      <c r="E1258" s="5" t="n">
        <v>55.1</v>
      </c>
      <c r="F1258" s="3" t="inlineStr">
        <is>
          <t>남이면</t>
        </is>
      </c>
      <c r="G1258" s="3" t="inlineStr">
        <is>
          <t>석판리</t>
        </is>
      </c>
      <c r="H1258" s="3" t="inlineStr">
        <is>
          <t>자연녹지지역</t>
        </is>
      </c>
      <c r="I1258" s="3" t="inlineStr">
        <is>
          <t>전</t>
        </is>
      </c>
      <c r="J1258" s="3" t="inlineStr">
        <is>
          <t>남이면</t>
        </is>
      </c>
    </row>
    <row r="1259">
      <c r="A1259" s="3" t="n">
        <v>2022</v>
      </c>
      <c r="B1259" s="4" t="n">
        <v>9700</v>
      </c>
      <c r="C1259" s="4" t="n">
        <v>495</v>
      </c>
      <c r="D1259" s="4" t="n">
        <v>149.7375</v>
      </c>
      <c r="E1259" s="5" t="n">
        <v>64.8</v>
      </c>
      <c r="F1259" s="3" t="inlineStr">
        <is>
          <t>남이면</t>
        </is>
      </c>
      <c r="G1259" s="3" t="inlineStr">
        <is>
          <t>석판리</t>
        </is>
      </c>
      <c r="H1259" s="3" t="inlineStr">
        <is>
          <t>자연녹지지역</t>
        </is>
      </c>
      <c r="I1259" s="3" t="inlineStr">
        <is>
          <t>전</t>
        </is>
      </c>
      <c r="J1259" s="3" t="inlineStr">
        <is>
          <t>남이면</t>
        </is>
      </c>
    </row>
    <row r="1260">
      <c r="A1260" s="3" t="n">
        <v>2022</v>
      </c>
      <c r="B1260" s="4" t="n">
        <v>13000</v>
      </c>
      <c r="C1260" s="4" t="n">
        <v>1879</v>
      </c>
      <c r="D1260" s="4" t="n">
        <v>568.3975</v>
      </c>
      <c r="E1260" s="5" t="n">
        <v>22.9</v>
      </c>
      <c r="F1260" s="3" t="inlineStr">
        <is>
          <t>남이면</t>
        </is>
      </c>
      <c r="G1260" s="3" t="inlineStr">
        <is>
          <t>석실리</t>
        </is>
      </c>
      <c r="H1260" s="3" t="inlineStr">
        <is>
          <t>자연녹지지역</t>
        </is>
      </c>
      <c r="I1260" s="3" t="inlineStr">
        <is>
          <t>답</t>
        </is>
      </c>
      <c r="J1260" s="3" t="inlineStr">
        <is>
          <t>남이면</t>
        </is>
      </c>
    </row>
    <row r="1261">
      <c r="A1261" s="3" t="n">
        <v>2022</v>
      </c>
      <c r="B1261" s="4" t="n">
        <v>33000</v>
      </c>
      <c r="C1261" s="4" t="n">
        <v>1587</v>
      </c>
      <c r="D1261" s="4" t="n">
        <v>480.0675</v>
      </c>
      <c r="E1261" s="5" t="n">
        <v>68.7</v>
      </c>
      <c r="F1261" s="3" t="inlineStr">
        <is>
          <t>남이면</t>
        </is>
      </c>
      <c r="G1261" s="3" t="inlineStr">
        <is>
          <t>양촌리</t>
        </is>
      </c>
      <c r="H1261" s="3" t="inlineStr">
        <is>
          <t>자연녹지지역</t>
        </is>
      </c>
      <c r="I1261" s="3" t="inlineStr">
        <is>
          <t>전</t>
        </is>
      </c>
      <c r="J1261" s="3" t="inlineStr">
        <is>
          <t>남이면</t>
        </is>
      </c>
    </row>
    <row r="1262">
      <c r="A1262" s="3" t="n">
        <v>2022</v>
      </c>
      <c r="B1262" s="4" t="n">
        <v>47500</v>
      </c>
      <c r="C1262" s="4" t="n">
        <v>4734</v>
      </c>
      <c r="D1262" s="4" t="n">
        <v>1432.035</v>
      </c>
      <c r="E1262" s="5" t="n">
        <v>33.2</v>
      </c>
      <c r="F1262" s="3" t="inlineStr">
        <is>
          <t>남이면</t>
        </is>
      </c>
      <c r="G1262" s="3" t="inlineStr">
        <is>
          <t>구암리</t>
        </is>
      </c>
      <c r="H1262" s="3" t="inlineStr">
        <is>
          <t>보전녹지지역</t>
        </is>
      </c>
      <c r="I1262" s="3" t="inlineStr">
        <is>
          <t>임야</t>
        </is>
      </c>
      <c r="J1262" s="3" t="inlineStr">
        <is>
          <t>남이면</t>
        </is>
      </c>
    </row>
    <row r="1263">
      <c r="A1263" s="3" t="n">
        <v>2022</v>
      </c>
      <c r="B1263" s="4" t="n">
        <v>22000</v>
      </c>
      <c r="C1263" s="4" t="n">
        <v>653</v>
      </c>
      <c r="D1263" s="4" t="n">
        <v>197.5325</v>
      </c>
      <c r="E1263" s="5" t="n">
        <v>111.4</v>
      </c>
      <c r="F1263" s="3" t="inlineStr">
        <is>
          <t>연서면</t>
        </is>
      </c>
      <c r="G1263" s="3" t="inlineStr">
        <is>
          <t>국촌리</t>
        </is>
      </c>
      <c r="H1263" s="3" t="inlineStr">
        <is>
          <t>농림지역</t>
        </is>
      </c>
      <c r="I1263" s="3" t="inlineStr">
        <is>
          <t>답</t>
        </is>
      </c>
      <c r="J1263" s="3" t="inlineStr">
        <is>
          <t>연서면</t>
        </is>
      </c>
    </row>
    <row r="1264">
      <c r="A1264" s="3" t="n">
        <v>2025</v>
      </c>
      <c r="B1264" s="4" t="n">
        <v>3820</v>
      </c>
      <c r="C1264" s="4" t="n">
        <v>97</v>
      </c>
      <c r="D1264" s="4" t="n">
        <v>29.3425</v>
      </c>
      <c r="E1264" s="5" t="n">
        <v>130.2</v>
      </c>
      <c r="F1264" s="3" t="inlineStr">
        <is>
          <t>연서면</t>
        </is>
      </c>
      <c r="G1264" s="3" t="inlineStr">
        <is>
          <t>국촌리</t>
        </is>
      </c>
      <c r="H1264" s="3" t="inlineStr">
        <is>
          <t>계획관리지역</t>
        </is>
      </c>
      <c r="I1264" s="3" t="inlineStr">
        <is>
          <t>창고용지</t>
        </is>
      </c>
      <c r="J1264" s="3" t="inlineStr">
        <is>
          <t>연서면</t>
        </is>
      </c>
    </row>
    <row r="1265">
      <c r="A1265" s="3" t="n">
        <v>2025</v>
      </c>
      <c r="B1265" s="4" t="n">
        <v>8180</v>
      </c>
      <c r="C1265" s="4" t="n">
        <v>208</v>
      </c>
      <c r="D1265" s="4" t="n">
        <v>62.92</v>
      </c>
      <c r="E1265" s="5" t="n">
        <v>130</v>
      </c>
      <c r="F1265" s="3" t="inlineStr">
        <is>
          <t>연서면</t>
        </is>
      </c>
      <c r="G1265" s="3" t="inlineStr">
        <is>
          <t>국촌리</t>
        </is>
      </c>
      <c r="H1265" s="3" t="inlineStr">
        <is>
          <t>계획관리지역</t>
        </is>
      </c>
      <c r="I1265" s="3" t="inlineStr">
        <is>
          <t>창고용지</t>
        </is>
      </c>
      <c r="J1265" s="3" t="inlineStr">
        <is>
          <t>연서면</t>
        </is>
      </c>
    </row>
    <row r="1266">
      <c r="A1266" s="3" t="n">
        <v>2025</v>
      </c>
      <c r="B1266" s="4" t="n">
        <v>400000</v>
      </c>
      <c r="C1266" s="4" t="n">
        <v>3472</v>
      </c>
      <c r="D1266" s="4" t="n">
        <v>1050.28</v>
      </c>
      <c r="E1266" s="5" t="n">
        <v>380.9</v>
      </c>
      <c r="F1266" s="3" t="inlineStr">
        <is>
          <t>조치원읍</t>
        </is>
      </c>
      <c r="G1266" s="3" t="inlineStr">
        <is>
          <t>침산리</t>
        </is>
      </c>
      <c r="H1266" s="3" t="inlineStr">
        <is>
          <t>제1종일반주거지역</t>
        </is>
      </c>
      <c r="I1266" s="3" t="inlineStr">
        <is>
          <t>전</t>
        </is>
      </c>
      <c r="J1266" s="3" t="inlineStr">
        <is>
          <t>조치원읍</t>
        </is>
      </c>
    </row>
    <row r="1267">
      <c r="A1267" s="3" t="n">
        <v>2022</v>
      </c>
      <c r="B1267" s="4" t="n">
        <v>67300</v>
      </c>
      <c r="C1267" s="4" t="n">
        <v>623</v>
      </c>
      <c r="D1267" s="4" t="n">
        <v>188.4575</v>
      </c>
      <c r="E1267" s="5" t="n">
        <v>357.1</v>
      </c>
      <c r="F1267" s="3" t="inlineStr">
        <is>
          <t>연동면</t>
        </is>
      </c>
      <c r="G1267" s="3" t="inlineStr">
        <is>
          <t>명학리</t>
        </is>
      </c>
      <c r="H1267" s="3" t="inlineStr">
        <is>
          <t>계획관리지역</t>
        </is>
      </c>
      <c r="I1267" s="3" t="inlineStr">
        <is>
          <t>전</t>
        </is>
      </c>
      <c r="J1267" s="3" t="inlineStr">
        <is>
          <t>연동면</t>
        </is>
      </c>
    </row>
    <row r="1268">
      <c r="A1268" s="3" t="n">
        <v>2022</v>
      </c>
      <c r="B1268" s="4" t="n">
        <v>3700</v>
      </c>
      <c r="C1268" s="4" t="n">
        <v>34</v>
      </c>
      <c r="D1268" s="4" t="n">
        <v>10.285</v>
      </c>
      <c r="E1268" s="5" t="n">
        <v>359.7</v>
      </c>
      <c r="F1268" s="3" t="inlineStr">
        <is>
          <t>연동면</t>
        </is>
      </c>
      <c r="G1268" s="3" t="inlineStr">
        <is>
          <t>명학리</t>
        </is>
      </c>
      <c r="H1268" s="3" t="inlineStr">
        <is>
          <t>계획관리지역</t>
        </is>
      </c>
      <c r="I1268" s="3" t="inlineStr">
        <is>
          <t>전</t>
        </is>
      </c>
      <c r="J1268" s="3" t="inlineStr">
        <is>
          <t>연동면</t>
        </is>
      </c>
    </row>
    <row r="1269">
      <c r="A1269" s="3" t="n">
        <v>2022</v>
      </c>
      <c r="B1269" s="4" t="n">
        <v>4000</v>
      </c>
      <c r="C1269" s="4" t="n">
        <v>37</v>
      </c>
      <c r="D1269" s="4" t="n">
        <v>11.1925</v>
      </c>
      <c r="E1269" s="5" t="n">
        <v>357.4</v>
      </c>
      <c r="F1269" s="3" t="inlineStr">
        <is>
          <t>연동면</t>
        </is>
      </c>
      <c r="G1269" s="3" t="inlineStr">
        <is>
          <t>명학리</t>
        </is>
      </c>
      <c r="H1269" s="3" t="inlineStr">
        <is>
          <t>계획관리지역</t>
        </is>
      </c>
      <c r="I1269" s="3" t="inlineStr">
        <is>
          <t>전</t>
        </is>
      </c>
      <c r="J1269" s="3" t="inlineStr">
        <is>
          <t>연동면</t>
        </is>
      </c>
    </row>
    <row r="1270">
      <c r="A1270" s="3" t="n">
        <v>2022</v>
      </c>
      <c r="B1270" s="4" t="n">
        <v>46000</v>
      </c>
      <c r="C1270" s="4" t="n">
        <v>1642</v>
      </c>
      <c r="D1270" s="4" t="n">
        <v>496.705</v>
      </c>
      <c r="E1270" s="5" t="n">
        <v>92.59999999999999</v>
      </c>
      <c r="F1270" s="3" t="inlineStr">
        <is>
          <t>연서면</t>
        </is>
      </c>
      <c r="G1270" s="3" t="inlineStr">
        <is>
          <t>청라리</t>
        </is>
      </c>
      <c r="H1270" s="3" t="inlineStr">
        <is>
          <t>생산관리지역</t>
        </is>
      </c>
      <c r="I1270" s="3" t="inlineStr">
        <is>
          <t>답</t>
        </is>
      </c>
      <c r="J1270" s="3" t="inlineStr">
        <is>
          <t>연서면</t>
        </is>
      </c>
    </row>
    <row r="1271">
      <c r="A1271" s="3" t="n">
        <v>2022</v>
      </c>
      <c r="B1271" s="4" t="n">
        <v>451964</v>
      </c>
      <c r="C1271" s="4" t="n">
        <v>14380</v>
      </c>
      <c r="D1271" s="4" t="n">
        <v>4349.95</v>
      </c>
      <c r="E1271" s="5" t="n">
        <v>103.9</v>
      </c>
      <c r="F1271" s="3" t="inlineStr">
        <is>
          <t>연서면</t>
        </is>
      </c>
      <c r="G1271" s="3" t="inlineStr">
        <is>
          <t>와촌리</t>
        </is>
      </c>
      <c r="H1271" s="3" t="inlineStr">
        <is>
          <t>보전관리지역</t>
        </is>
      </c>
      <c r="I1271" s="3" t="inlineStr">
        <is>
          <t>임야</t>
        </is>
      </c>
      <c r="J1271" s="3" t="inlineStr">
        <is>
          <t>연서면</t>
        </is>
      </c>
    </row>
    <row r="1272">
      <c r="A1272" s="3" t="n">
        <v>2022</v>
      </c>
      <c r="B1272" s="4" t="n">
        <v>148036</v>
      </c>
      <c r="C1272" s="4" t="n">
        <v>4710</v>
      </c>
      <c r="D1272" s="4" t="n">
        <v>1424.775</v>
      </c>
      <c r="E1272" s="5" t="n">
        <v>103.9</v>
      </c>
      <c r="F1272" s="3" t="inlineStr">
        <is>
          <t>연서면</t>
        </is>
      </c>
      <c r="G1272" s="3" t="inlineStr">
        <is>
          <t>와촌리</t>
        </is>
      </c>
      <c r="H1272" s="3" t="inlineStr">
        <is>
          <t>보전관리지역</t>
        </is>
      </c>
      <c r="I1272" s="3" t="inlineStr">
        <is>
          <t>임야</t>
        </is>
      </c>
      <c r="J1272" s="3" t="inlineStr">
        <is>
          <t>연서면</t>
        </is>
      </c>
    </row>
    <row r="1273">
      <c r="A1273" s="3" t="n">
        <v>2022</v>
      </c>
      <c r="B1273" s="4" t="n">
        <v>32500</v>
      </c>
      <c r="C1273" s="4" t="n">
        <v>1430</v>
      </c>
      <c r="D1273" s="4" t="n">
        <v>432.575</v>
      </c>
      <c r="E1273" s="5" t="n">
        <v>75.09999999999999</v>
      </c>
      <c r="F1273" s="3" t="inlineStr">
        <is>
          <t>연서면</t>
        </is>
      </c>
      <c r="G1273" s="3" t="inlineStr">
        <is>
          <t>성제리</t>
        </is>
      </c>
      <c r="H1273" s="3" t="inlineStr">
        <is>
          <t>농림지역</t>
        </is>
      </c>
      <c r="I1273" s="3" t="inlineStr">
        <is>
          <t>답</t>
        </is>
      </c>
      <c r="J1273" s="3" t="inlineStr">
        <is>
          <t>연서면</t>
        </is>
      </c>
    </row>
    <row r="1274">
      <c r="A1274" s="3" t="n">
        <v>2022</v>
      </c>
      <c r="B1274" s="4" t="n">
        <v>436</v>
      </c>
      <c r="C1274" s="4" t="n">
        <v>200</v>
      </c>
      <c r="D1274" s="4" t="n">
        <v>60.5</v>
      </c>
      <c r="E1274" s="5" t="n">
        <v>7.2</v>
      </c>
      <c r="F1274" s="3" t="inlineStr">
        <is>
          <t>연서면</t>
        </is>
      </c>
      <c r="G1274" s="3" t="inlineStr">
        <is>
          <t>기룡리</t>
        </is>
      </c>
      <c r="H1274" s="3" t="inlineStr">
        <is>
          <t>농림지역</t>
        </is>
      </c>
      <c r="I1274" s="3" t="inlineStr">
        <is>
          <t>임야</t>
        </is>
      </c>
      <c r="J1274" s="3" t="inlineStr">
        <is>
          <t>연서면</t>
        </is>
      </c>
    </row>
    <row r="1275">
      <c r="A1275" s="3" t="n">
        <v>2022</v>
      </c>
      <c r="B1275" s="4" t="n">
        <v>18640</v>
      </c>
      <c r="C1275" s="4" t="n">
        <v>1061</v>
      </c>
      <c r="D1275" s="4" t="n">
        <v>320.9525</v>
      </c>
      <c r="E1275" s="5" t="n">
        <v>58.1</v>
      </c>
      <c r="F1275" s="3" t="inlineStr">
        <is>
          <t>부강면</t>
        </is>
      </c>
      <c r="G1275" s="3" t="inlineStr">
        <is>
          <t>문곡리</t>
        </is>
      </c>
      <c r="H1275" s="3" t="inlineStr">
        <is>
          <t>생산관리지역</t>
        </is>
      </c>
      <c r="I1275" s="3" t="inlineStr">
        <is>
          <t>대</t>
        </is>
      </c>
      <c r="J1275" s="3" t="inlineStr">
        <is>
          <t>부강면</t>
        </is>
      </c>
    </row>
    <row r="1276">
      <c r="A1276" s="3" t="n">
        <v>2022</v>
      </c>
      <c r="B1276" s="4" t="n">
        <v>3360</v>
      </c>
      <c r="C1276" s="4" t="n">
        <v>185</v>
      </c>
      <c r="D1276" s="4" t="n">
        <v>55.9625</v>
      </c>
      <c r="E1276" s="5" t="n">
        <v>60</v>
      </c>
      <c r="F1276" s="3" t="inlineStr">
        <is>
          <t>부강면</t>
        </is>
      </c>
      <c r="G1276" s="3" t="inlineStr">
        <is>
          <t>문곡리</t>
        </is>
      </c>
      <c r="H1276" s="3" t="inlineStr">
        <is>
          <t>생산관리지역</t>
        </is>
      </c>
      <c r="I1276" s="3" t="inlineStr">
        <is>
          <t>대</t>
        </is>
      </c>
      <c r="J1276" s="3" t="inlineStr">
        <is>
          <t>부강면</t>
        </is>
      </c>
    </row>
    <row r="1277">
      <c r="A1277" s="3" t="n">
        <v>2025</v>
      </c>
      <c r="B1277" s="4" t="n">
        <v>45872</v>
      </c>
      <c r="C1277" s="4" t="n">
        <v>2861.3</v>
      </c>
      <c r="D1277" s="4" t="n">
        <v>865.5432500000001</v>
      </c>
      <c r="E1277" s="5" t="n">
        <v>53</v>
      </c>
      <c r="F1277" s="3" t="inlineStr">
        <is>
          <t>연동면</t>
        </is>
      </c>
      <c r="G1277" s="3" t="inlineStr">
        <is>
          <t>송용리</t>
        </is>
      </c>
      <c r="H1277" s="3" t="inlineStr">
        <is>
          <t>농림지역</t>
        </is>
      </c>
      <c r="I1277" s="3" t="inlineStr">
        <is>
          <t>답</t>
        </is>
      </c>
      <c r="J1277" s="3" t="inlineStr">
        <is>
          <t>연동면</t>
        </is>
      </c>
    </row>
    <row r="1278">
      <c r="A1278" s="3" t="n">
        <v>2025</v>
      </c>
      <c r="B1278" s="4" t="n">
        <v>39500</v>
      </c>
      <c r="C1278" s="4" t="n">
        <v>277</v>
      </c>
      <c r="D1278" s="4" t="n">
        <v>83.7925</v>
      </c>
      <c r="E1278" s="5" t="n">
        <v>471.4</v>
      </c>
      <c r="F1278" s="3" t="inlineStr">
        <is>
          <t>집현동</t>
        </is>
      </c>
      <c r="G1278" s="3" t="inlineStr"/>
      <c r="H1278" s="3" t="inlineStr">
        <is>
          <t>제1종전용주거지역</t>
        </is>
      </c>
      <c r="I1278" s="3" t="inlineStr">
        <is>
          <t>대</t>
        </is>
      </c>
      <c r="J1278" s="3" t="inlineStr">
        <is>
          <t>집현동</t>
        </is>
      </c>
    </row>
    <row r="1279">
      <c r="A1279" s="3" t="n">
        <v>2025</v>
      </c>
      <c r="B1279" s="4" t="n">
        <v>16500</v>
      </c>
      <c r="C1279" s="4" t="n">
        <v>314</v>
      </c>
      <c r="D1279" s="4" t="n">
        <v>94.985</v>
      </c>
      <c r="E1279" s="5" t="n">
        <v>173.7</v>
      </c>
      <c r="F1279" s="3" t="inlineStr">
        <is>
          <t>조치원읍</t>
        </is>
      </c>
      <c r="G1279" s="3" t="inlineStr">
        <is>
          <t>신안리</t>
        </is>
      </c>
      <c r="H1279" s="3" t="inlineStr">
        <is>
          <t>제2종일반주거지역</t>
        </is>
      </c>
      <c r="I1279" s="3" t="inlineStr">
        <is>
          <t>과수원</t>
        </is>
      </c>
      <c r="J1279" s="3" t="inlineStr">
        <is>
          <t>조치원읍</t>
        </is>
      </c>
    </row>
    <row r="1280">
      <c r="A1280" s="3" t="n">
        <v>2025</v>
      </c>
      <c r="B1280" s="4" t="n">
        <v>16500</v>
      </c>
      <c r="C1280" s="4" t="n">
        <v>314</v>
      </c>
      <c r="D1280" s="4" t="n">
        <v>94.985</v>
      </c>
      <c r="E1280" s="5" t="n">
        <v>173.7</v>
      </c>
      <c r="F1280" s="3" t="inlineStr">
        <is>
          <t>조치원읍</t>
        </is>
      </c>
      <c r="G1280" s="3" t="inlineStr">
        <is>
          <t>신안리</t>
        </is>
      </c>
      <c r="H1280" s="3" t="inlineStr">
        <is>
          <t>제2종일반주거지역</t>
        </is>
      </c>
      <c r="I1280" s="3" t="inlineStr">
        <is>
          <t>과수원</t>
        </is>
      </c>
      <c r="J1280" s="3" t="inlineStr">
        <is>
          <t>조치원읍</t>
        </is>
      </c>
    </row>
    <row r="1281">
      <c r="A1281" s="3" t="n">
        <v>2024</v>
      </c>
      <c r="B1281" s="4" t="n">
        <v>40</v>
      </c>
      <c r="C1281" s="4" t="n">
        <v>2</v>
      </c>
      <c r="D1281" s="4" t="n">
        <v>0.605</v>
      </c>
      <c r="E1281" s="5" t="n">
        <v>66.09999999999999</v>
      </c>
      <c r="F1281" s="3" t="inlineStr">
        <is>
          <t>남이면</t>
        </is>
      </c>
      <c r="G1281" s="3" t="inlineStr">
        <is>
          <t>양촌리</t>
        </is>
      </c>
      <c r="H1281" s="3" t="inlineStr">
        <is>
          <t>보전녹지지역</t>
        </is>
      </c>
      <c r="I1281" s="3" t="inlineStr">
        <is>
          <t>도로</t>
        </is>
      </c>
      <c r="J1281" s="3" t="inlineStr">
        <is>
          <t>남이면</t>
        </is>
      </c>
    </row>
    <row r="1282">
      <c r="A1282" s="3" t="n">
        <v>2026</v>
      </c>
      <c r="B1282" s="4" t="n">
        <v>21900</v>
      </c>
      <c r="C1282" s="4" t="n">
        <v>383.6</v>
      </c>
      <c r="D1282" s="4" t="n">
        <v>116.039</v>
      </c>
      <c r="E1282" s="5" t="n">
        <v>188.7</v>
      </c>
      <c r="F1282" s="3" t="inlineStr">
        <is>
          <t>남이면</t>
        </is>
      </c>
      <c r="G1282" s="3" t="inlineStr">
        <is>
          <t>가좌리</t>
        </is>
      </c>
      <c r="H1282" s="3" t="inlineStr">
        <is>
          <t>자연녹지지역</t>
        </is>
      </c>
      <c r="I1282" s="3" t="inlineStr">
        <is>
          <t>체육용지</t>
        </is>
      </c>
      <c r="J1282" s="3" t="inlineStr">
        <is>
          <t>남이면</t>
        </is>
      </c>
    </row>
    <row r="1283">
      <c r="A1283" s="3" t="n">
        <v>2026</v>
      </c>
      <c r="B1283" s="4" t="n">
        <v>154000</v>
      </c>
      <c r="C1283" s="4" t="n">
        <v>2090</v>
      </c>
      <c r="D1283" s="4" t="n">
        <v>632.225</v>
      </c>
      <c r="E1283" s="5" t="n">
        <v>243.6</v>
      </c>
      <c r="F1283" s="3" t="inlineStr">
        <is>
          <t>남이면</t>
        </is>
      </c>
      <c r="G1283" s="3" t="inlineStr">
        <is>
          <t>석판리</t>
        </is>
      </c>
      <c r="H1283" s="3" t="inlineStr">
        <is>
          <t>자연녹지지역</t>
        </is>
      </c>
      <c r="I1283" s="3" t="inlineStr">
        <is>
          <t>묘지</t>
        </is>
      </c>
      <c r="J1283" s="3" t="inlineStr">
        <is>
          <t>남이면</t>
        </is>
      </c>
    </row>
    <row r="1284">
      <c r="A1284" s="3" t="n">
        <v>2026</v>
      </c>
      <c r="B1284" s="4" t="n">
        <v>16500</v>
      </c>
      <c r="C1284" s="4" t="n">
        <v>3306</v>
      </c>
      <c r="D1284" s="4" t="n">
        <v>1000.065</v>
      </c>
      <c r="E1284" s="5" t="n">
        <v>16.5</v>
      </c>
      <c r="F1284" s="3" t="inlineStr">
        <is>
          <t>남이면</t>
        </is>
      </c>
      <c r="G1284" s="3" t="inlineStr">
        <is>
          <t>부용외천리</t>
        </is>
      </c>
      <c r="H1284" s="3" t="inlineStr">
        <is>
          <t>계획관리지역</t>
        </is>
      </c>
      <c r="I1284" s="3" t="inlineStr">
        <is>
          <t>임야</t>
        </is>
      </c>
      <c r="J1284" s="3" t="inlineStr">
        <is>
          <t>남이면</t>
        </is>
      </c>
    </row>
    <row r="1285">
      <c r="A1285" s="3" t="n">
        <v>2026</v>
      </c>
      <c r="B1285" s="4" t="n">
        <v>92999</v>
      </c>
      <c r="C1285" s="4" t="n">
        <v>23249.7</v>
      </c>
      <c r="D1285" s="4" t="n">
        <v>7033.03425</v>
      </c>
      <c r="E1285" s="5" t="n">
        <v>13.2</v>
      </c>
      <c r="F1285" s="3" t="inlineStr">
        <is>
          <t>남이면</t>
        </is>
      </c>
      <c r="G1285" s="3" t="inlineStr">
        <is>
          <t>부용외천리</t>
        </is>
      </c>
      <c r="H1285" s="3" t="inlineStr">
        <is>
          <t>농림지역</t>
        </is>
      </c>
      <c r="I1285" s="3" t="inlineStr">
        <is>
          <t>전</t>
        </is>
      </c>
      <c r="J1285" s="3" t="inlineStr">
        <is>
          <t>남이면</t>
        </is>
      </c>
    </row>
    <row r="1286">
      <c r="A1286" s="3" t="n">
        <v>2026</v>
      </c>
      <c r="B1286" s="4" t="n">
        <v>8000</v>
      </c>
      <c r="C1286" s="4" t="n">
        <v>878</v>
      </c>
      <c r="D1286" s="4" t="n">
        <v>265.595</v>
      </c>
      <c r="E1286" s="5" t="n">
        <v>30.1</v>
      </c>
      <c r="F1286" s="3" t="inlineStr">
        <is>
          <t>남이면</t>
        </is>
      </c>
      <c r="G1286" s="3" t="inlineStr">
        <is>
          <t>외천리</t>
        </is>
      </c>
      <c r="H1286" s="3" t="inlineStr">
        <is>
          <t>생산관리지역</t>
        </is>
      </c>
      <c r="I1286" s="3" t="inlineStr">
        <is>
          <t>답</t>
        </is>
      </c>
      <c r="J1286" s="3" t="inlineStr">
        <is>
          <t>남이면</t>
        </is>
      </c>
    </row>
    <row r="1287">
      <c r="A1287" s="3" t="n">
        <v>2026</v>
      </c>
      <c r="B1287" s="4" t="n">
        <v>15000</v>
      </c>
      <c r="C1287" s="4" t="n">
        <v>787</v>
      </c>
      <c r="D1287" s="4" t="n">
        <v>238.0675</v>
      </c>
      <c r="E1287" s="5" t="n">
        <v>63</v>
      </c>
      <c r="F1287" s="3" t="inlineStr">
        <is>
          <t>남이면</t>
        </is>
      </c>
      <c r="G1287" s="3" t="inlineStr">
        <is>
          <t>석실리</t>
        </is>
      </c>
      <c r="H1287" s="3" t="inlineStr">
        <is>
          <t>자연녹지지역</t>
        </is>
      </c>
      <c r="I1287" s="3" t="inlineStr">
        <is>
          <t>답</t>
        </is>
      </c>
      <c r="J1287" s="3" t="inlineStr">
        <is>
          <t>남이면</t>
        </is>
      </c>
    </row>
    <row r="1288">
      <c r="A1288" s="3" t="n">
        <v>2026</v>
      </c>
      <c r="B1288" s="4" t="n">
        <v>5000</v>
      </c>
      <c r="C1288" s="4" t="n">
        <v>308</v>
      </c>
      <c r="D1288" s="4" t="n">
        <v>93.17</v>
      </c>
      <c r="E1288" s="5" t="n">
        <v>53.7</v>
      </c>
      <c r="F1288" s="3" t="inlineStr">
        <is>
          <t>남이면</t>
        </is>
      </c>
      <c r="G1288" s="3" t="inlineStr">
        <is>
          <t>척산리</t>
        </is>
      </c>
      <c r="H1288" s="3" t="inlineStr">
        <is>
          <t>자연녹지지역</t>
        </is>
      </c>
      <c r="I1288" s="3" t="inlineStr">
        <is>
          <t>답</t>
        </is>
      </c>
      <c r="J1288" s="3" t="inlineStr">
        <is>
          <t>남이면</t>
        </is>
      </c>
    </row>
    <row r="1289">
      <c r="A1289" s="3" t="n">
        <v>2026</v>
      </c>
      <c r="B1289" s="4" t="n">
        <v>18500</v>
      </c>
      <c r="C1289" s="4" t="n">
        <v>1461</v>
      </c>
      <c r="D1289" s="4" t="n">
        <v>441.9525</v>
      </c>
      <c r="E1289" s="5" t="n">
        <v>41.9</v>
      </c>
      <c r="F1289" s="3" t="inlineStr">
        <is>
          <t>남이면</t>
        </is>
      </c>
      <c r="G1289" s="3" t="inlineStr">
        <is>
          <t>외천리</t>
        </is>
      </c>
      <c r="H1289" s="3" t="inlineStr">
        <is>
          <t>계획관리지역</t>
        </is>
      </c>
      <c r="I1289" s="3" t="inlineStr">
        <is>
          <t>전</t>
        </is>
      </c>
      <c r="J1289" s="3" t="inlineStr">
        <is>
          <t>남이면</t>
        </is>
      </c>
    </row>
    <row r="1290">
      <c r="A1290" s="3" t="n">
        <v>2026</v>
      </c>
      <c r="B1290" s="4" t="n">
        <v>6900</v>
      </c>
      <c r="C1290" s="4" t="n">
        <v>1518</v>
      </c>
      <c r="D1290" s="4" t="n">
        <v>459.195</v>
      </c>
      <c r="E1290" s="5" t="n">
        <v>15</v>
      </c>
      <c r="F1290" s="3" t="inlineStr">
        <is>
          <t>남이면</t>
        </is>
      </c>
      <c r="G1290" s="3" t="inlineStr">
        <is>
          <t>문동리</t>
        </is>
      </c>
      <c r="H1290" s="3" t="inlineStr">
        <is>
          <t>자연녹지지역</t>
        </is>
      </c>
      <c r="I1290" s="3" t="inlineStr">
        <is>
          <t>임야</t>
        </is>
      </c>
      <c r="J1290" s="3" t="inlineStr">
        <is>
          <t>남이면</t>
        </is>
      </c>
    </row>
    <row r="1291">
      <c r="A1291" s="3" t="n">
        <v>2024</v>
      </c>
      <c r="B1291" s="4" t="n">
        <v>13000</v>
      </c>
      <c r="C1291" s="4" t="n">
        <v>547</v>
      </c>
      <c r="D1291" s="4" t="n">
        <v>165.4675</v>
      </c>
      <c r="E1291" s="5" t="n">
        <v>78.59999999999999</v>
      </c>
      <c r="F1291" s="3" t="inlineStr">
        <is>
          <t>연서면</t>
        </is>
      </c>
      <c r="G1291" s="3" t="inlineStr">
        <is>
          <t>고복리</t>
        </is>
      </c>
      <c r="H1291" s="3" t="inlineStr">
        <is>
          <t>계획관리지역</t>
        </is>
      </c>
      <c r="I1291" s="3" t="inlineStr">
        <is>
          <t>대</t>
        </is>
      </c>
      <c r="J1291" s="3" t="inlineStr">
        <is>
          <t>연서면</t>
        </is>
      </c>
    </row>
    <row r="1292">
      <c r="A1292" s="3" t="n">
        <v>2024</v>
      </c>
      <c r="B1292" s="4" t="n">
        <v>41000</v>
      </c>
      <c r="C1292" s="4" t="n">
        <v>320</v>
      </c>
      <c r="D1292" s="4" t="n">
        <v>96.8</v>
      </c>
      <c r="E1292" s="5" t="n">
        <v>423.6</v>
      </c>
      <c r="F1292" s="3" t="inlineStr">
        <is>
          <t>다정동</t>
        </is>
      </c>
      <c r="G1292" s="3" t="inlineStr"/>
      <c r="H1292" s="3" t="inlineStr">
        <is>
          <t>제1종일반주거지역</t>
        </is>
      </c>
      <c r="I1292" s="3" t="inlineStr">
        <is>
          <t>대</t>
        </is>
      </c>
      <c r="J1292" s="3" t="inlineStr">
        <is>
          <t>다정동</t>
        </is>
      </c>
    </row>
    <row r="1293">
      <c r="A1293" s="3" t="n">
        <v>2024</v>
      </c>
      <c r="B1293" s="4" t="n">
        <v>130000</v>
      </c>
      <c r="C1293" s="4" t="n">
        <v>661</v>
      </c>
      <c r="D1293" s="4" t="n">
        <v>199.9525</v>
      </c>
      <c r="E1293" s="5" t="n">
        <v>650.2</v>
      </c>
      <c r="F1293" s="3" t="inlineStr">
        <is>
          <t>조치원읍</t>
        </is>
      </c>
      <c r="G1293" s="3" t="inlineStr">
        <is>
          <t>서창리</t>
        </is>
      </c>
      <c r="H1293" s="3" t="inlineStr">
        <is>
          <t>제2종일반주거지역</t>
        </is>
      </c>
      <c r="I1293" s="3" t="inlineStr">
        <is>
          <t>전</t>
        </is>
      </c>
      <c r="J1293" s="3" t="inlineStr">
        <is>
          <t>조치원읍</t>
        </is>
      </c>
    </row>
    <row r="1294">
      <c r="A1294" s="3" t="n">
        <v>2024</v>
      </c>
      <c r="B1294" s="4" t="n">
        <v>14000</v>
      </c>
      <c r="C1294" s="4" t="n">
        <v>757</v>
      </c>
      <c r="D1294" s="4" t="n">
        <v>228.9925</v>
      </c>
      <c r="E1294" s="5" t="n">
        <v>61.1</v>
      </c>
      <c r="F1294" s="3" t="inlineStr">
        <is>
          <t>부강면</t>
        </is>
      </c>
      <c r="G1294" s="3" t="inlineStr">
        <is>
          <t>등곡리</t>
        </is>
      </c>
      <c r="H1294" s="3" t="inlineStr">
        <is>
          <t>계획관리지역</t>
        </is>
      </c>
      <c r="I1294" s="3" t="inlineStr">
        <is>
          <t>답</t>
        </is>
      </c>
      <c r="J1294" s="3" t="inlineStr">
        <is>
          <t>부강면</t>
        </is>
      </c>
    </row>
    <row r="1295">
      <c r="A1295" s="3" t="n">
        <v>2024</v>
      </c>
      <c r="B1295" s="4" t="n">
        <v>21000</v>
      </c>
      <c r="C1295" s="4" t="n">
        <v>1131</v>
      </c>
      <c r="D1295" s="4" t="n">
        <v>342.1275</v>
      </c>
      <c r="E1295" s="5" t="n">
        <v>61.4</v>
      </c>
      <c r="F1295" s="3" t="inlineStr">
        <is>
          <t>부강면</t>
        </is>
      </c>
      <c r="G1295" s="3" t="inlineStr">
        <is>
          <t>등곡리</t>
        </is>
      </c>
      <c r="H1295" s="3" t="inlineStr">
        <is>
          <t>계획관리지역</t>
        </is>
      </c>
      <c r="I1295" s="3" t="inlineStr">
        <is>
          <t>답</t>
        </is>
      </c>
      <c r="J1295" s="3" t="inlineStr">
        <is>
          <t>부강면</t>
        </is>
      </c>
    </row>
    <row r="1296">
      <c r="A1296" s="3" t="n">
        <v>2024</v>
      </c>
      <c r="B1296" s="4" t="n">
        <v>12600</v>
      </c>
      <c r="C1296" s="4" t="n">
        <v>1158</v>
      </c>
      <c r="D1296" s="4" t="n">
        <v>350.295</v>
      </c>
      <c r="E1296" s="5" t="n">
        <v>36</v>
      </c>
      <c r="F1296" s="3" t="inlineStr">
        <is>
          <t>연서면</t>
        </is>
      </c>
      <c r="G1296" s="3" t="inlineStr">
        <is>
          <t>기룡리</t>
        </is>
      </c>
      <c r="H1296" s="3" t="inlineStr">
        <is>
          <t>생산관리지역</t>
        </is>
      </c>
      <c r="I1296" s="3" t="inlineStr">
        <is>
          <t>답</t>
        </is>
      </c>
      <c r="J1296" s="3" t="inlineStr">
        <is>
          <t>연서면</t>
        </is>
      </c>
    </row>
    <row r="1297">
      <c r="A1297" s="3" t="n">
        <v>2024</v>
      </c>
      <c r="B1297" s="4" t="n">
        <v>11400</v>
      </c>
      <c r="C1297" s="4" t="n">
        <v>1020</v>
      </c>
      <c r="D1297" s="4" t="n">
        <v>308.55</v>
      </c>
      <c r="E1297" s="5" t="n">
        <v>36.9</v>
      </c>
      <c r="F1297" s="3" t="inlineStr">
        <is>
          <t>연서면</t>
        </is>
      </c>
      <c r="G1297" s="3" t="inlineStr">
        <is>
          <t>기룡리</t>
        </is>
      </c>
      <c r="H1297" s="3" t="inlineStr">
        <is>
          <t>생산관리지역</t>
        </is>
      </c>
      <c r="I1297" s="3" t="inlineStr">
        <is>
          <t>답</t>
        </is>
      </c>
      <c r="J1297" s="3" t="inlineStr">
        <is>
          <t>연서면</t>
        </is>
      </c>
    </row>
    <row r="1298">
      <c r="A1298" s="3" t="n">
        <v>2022</v>
      </c>
      <c r="B1298" s="4" t="n">
        <v>27450</v>
      </c>
      <c r="C1298" s="4" t="n">
        <v>1818</v>
      </c>
      <c r="D1298" s="4" t="n">
        <v>549.9449999999999</v>
      </c>
      <c r="E1298" s="5" t="n">
        <v>49.9</v>
      </c>
      <c r="F1298" s="3" t="inlineStr">
        <is>
          <t>연서면</t>
        </is>
      </c>
      <c r="G1298" s="3" t="inlineStr">
        <is>
          <t>기룡리</t>
        </is>
      </c>
      <c r="H1298" s="3" t="inlineStr">
        <is>
          <t>생산관리지역</t>
        </is>
      </c>
      <c r="I1298" s="3" t="inlineStr">
        <is>
          <t>전</t>
        </is>
      </c>
      <c r="J1298" s="3" t="inlineStr">
        <is>
          <t>연서면</t>
        </is>
      </c>
    </row>
    <row r="1299">
      <c r="A1299" s="3" t="n">
        <v>2022</v>
      </c>
      <c r="B1299" s="4" t="n">
        <v>90000</v>
      </c>
      <c r="C1299" s="4" t="n">
        <v>3263</v>
      </c>
      <c r="D1299" s="4" t="n">
        <v>987.0575</v>
      </c>
      <c r="E1299" s="5" t="n">
        <v>91.2</v>
      </c>
      <c r="F1299" s="3" t="inlineStr">
        <is>
          <t>연서면</t>
        </is>
      </c>
      <c r="G1299" s="3" t="inlineStr">
        <is>
          <t>고복리</t>
        </is>
      </c>
      <c r="H1299" s="3" t="inlineStr">
        <is>
          <t>보전관리지역</t>
        </is>
      </c>
      <c r="I1299" s="3" t="inlineStr">
        <is>
          <t>임야</t>
        </is>
      </c>
      <c r="J1299" s="3" t="inlineStr">
        <is>
          <t>연서면</t>
        </is>
      </c>
    </row>
    <row r="1300">
      <c r="A1300" s="3" t="n">
        <v>2022</v>
      </c>
      <c r="B1300" s="4" t="n">
        <v>37694</v>
      </c>
      <c r="C1300" s="4" t="n">
        <v>466</v>
      </c>
      <c r="D1300" s="4" t="n">
        <v>140.965</v>
      </c>
      <c r="E1300" s="5" t="n">
        <v>267.4</v>
      </c>
      <c r="F1300" s="3" t="inlineStr">
        <is>
          <t>연동면</t>
        </is>
      </c>
      <c r="G1300" s="3" t="inlineStr">
        <is>
          <t>내판리</t>
        </is>
      </c>
      <c r="H1300" s="3" t="inlineStr">
        <is>
          <t>보전관리지역</t>
        </is>
      </c>
      <c r="I1300" s="3" t="inlineStr">
        <is>
          <t>대</t>
        </is>
      </c>
      <c r="J1300" s="3" t="inlineStr">
        <is>
          <t>연동면</t>
        </is>
      </c>
    </row>
    <row r="1301">
      <c r="A1301" s="3" t="n">
        <v>2022</v>
      </c>
      <c r="B1301" s="4" t="n">
        <v>15692</v>
      </c>
      <c r="C1301" s="4" t="n">
        <v>194</v>
      </c>
      <c r="D1301" s="4" t="n">
        <v>58.685</v>
      </c>
      <c r="E1301" s="5" t="n">
        <v>267.4</v>
      </c>
      <c r="F1301" s="3" t="inlineStr">
        <is>
          <t>연동면</t>
        </is>
      </c>
      <c r="G1301" s="3" t="inlineStr">
        <is>
          <t>내판리</t>
        </is>
      </c>
      <c r="H1301" s="3" t="inlineStr">
        <is>
          <t>계획관리지역</t>
        </is>
      </c>
      <c r="I1301" s="3" t="inlineStr">
        <is>
          <t>대</t>
        </is>
      </c>
      <c r="J1301" s="3" t="inlineStr">
        <is>
          <t>연동면</t>
        </is>
      </c>
    </row>
    <row r="1302">
      <c r="A1302" s="3" t="n">
        <v>2022</v>
      </c>
      <c r="B1302" s="4" t="n">
        <v>57500</v>
      </c>
      <c r="C1302" s="4" t="n">
        <v>761</v>
      </c>
      <c r="D1302" s="4" t="n">
        <v>230.2025</v>
      </c>
      <c r="E1302" s="5" t="n">
        <v>249.8</v>
      </c>
      <c r="F1302" s="3" t="inlineStr">
        <is>
          <t>조치원읍</t>
        </is>
      </c>
      <c r="G1302" s="3" t="inlineStr">
        <is>
          <t>신안리</t>
        </is>
      </c>
      <c r="H1302" s="3" t="inlineStr">
        <is>
          <t>자연녹지지역</t>
        </is>
      </c>
      <c r="I1302" s="3" t="inlineStr">
        <is>
          <t>답</t>
        </is>
      </c>
      <c r="J1302" s="3" t="inlineStr">
        <is>
          <t>조치원읍</t>
        </is>
      </c>
    </row>
    <row r="1303">
      <c r="A1303" s="3" t="n">
        <v>2022</v>
      </c>
      <c r="B1303" s="4" t="n">
        <v>65600</v>
      </c>
      <c r="C1303" s="4" t="n">
        <v>1002</v>
      </c>
      <c r="D1303" s="4" t="n">
        <v>303.105</v>
      </c>
      <c r="E1303" s="5" t="n">
        <v>216.4</v>
      </c>
      <c r="F1303" s="3" t="inlineStr">
        <is>
          <t>연서면</t>
        </is>
      </c>
      <c r="G1303" s="3" t="inlineStr">
        <is>
          <t>월하리</t>
        </is>
      </c>
      <c r="H1303" s="3" t="inlineStr">
        <is>
          <t>자연녹지지역</t>
        </is>
      </c>
      <c r="I1303" s="3" t="inlineStr">
        <is>
          <t>답</t>
        </is>
      </c>
      <c r="J1303" s="3" t="inlineStr">
        <is>
          <t>연서면</t>
        </is>
      </c>
    </row>
    <row r="1304">
      <c r="A1304" s="3" t="n">
        <v>2022</v>
      </c>
      <c r="B1304" s="4" t="n">
        <v>11365</v>
      </c>
      <c r="C1304" s="4" t="n">
        <v>6522</v>
      </c>
      <c r="D1304" s="4" t="n">
        <v>1972.905</v>
      </c>
      <c r="E1304" s="5" t="n">
        <v>5.8</v>
      </c>
      <c r="F1304" s="3" t="inlineStr">
        <is>
          <t>연서면</t>
        </is>
      </c>
      <c r="G1304" s="3" t="inlineStr">
        <is>
          <t>쌍류리</t>
        </is>
      </c>
      <c r="H1304" s="3" t="inlineStr">
        <is>
          <t>농림지역</t>
        </is>
      </c>
      <c r="I1304" s="3" t="inlineStr">
        <is>
          <t>임야</t>
        </is>
      </c>
      <c r="J1304" s="3" t="inlineStr">
        <is>
          <t>연서면</t>
        </is>
      </c>
    </row>
    <row r="1305">
      <c r="A1305" s="3" t="n">
        <v>2022</v>
      </c>
      <c r="B1305" s="4" t="n">
        <v>12478</v>
      </c>
      <c r="C1305" s="4" t="n">
        <v>1650</v>
      </c>
      <c r="D1305" s="4" t="n">
        <v>499.125</v>
      </c>
      <c r="E1305" s="5" t="n">
        <v>25</v>
      </c>
      <c r="F1305" s="3" t="inlineStr">
        <is>
          <t>연서면</t>
        </is>
      </c>
      <c r="G1305" s="3" t="inlineStr">
        <is>
          <t>쌍류리</t>
        </is>
      </c>
      <c r="H1305" s="3" t="inlineStr">
        <is>
          <t>농림지역</t>
        </is>
      </c>
      <c r="I1305" s="3" t="inlineStr">
        <is>
          <t>임야</t>
        </is>
      </c>
      <c r="J1305" s="3" t="inlineStr">
        <is>
          <t>연서면</t>
        </is>
      </c>
    </row>
    <row r="1306">
      <c r="A1306" s="3" t="n">
        <v>2022</v>
      </c>
      <c r="B1306" s="4" t="n">
        <v>12478</v>
      </c>
      <c r="C1306" s="4" t="n">
        <v>1650</v>
      </c>
      <c r="D1306" s="4" t="n">
        <v>499.125</v>
      </c>
      <c r="E1306" s="5" t="n">
        <v>25</v>
      </c>
      <c r="F1306" s="3" t="inlineStr">
        <is>
          <t>연서면</t>
        </is>
      </c>
      <c r="G1306" s="3" t="inlineStr">
        <is>
          <t>쌍류리</t>
        </is>
      </c>
      <c r="H1306" s="3" t="inlineStr">
        <is>
          <t>농림지역</t>
        </is>
      </c>
      <c r="I1306" s="3" t="inlineStr">
        <is>
          <t>임야</t>
        </is>
      </c>
      <c r="J1306" s="3" t="inlineStr">
        <is>
          <t>연서면</t>
        </is>
      </c>
    </row>
    <row r="1307">
      <c r="A1307" s="3" t="n">
        <v>2024</v>
      </c>
      <c r="B1307" s="4" t="n">
        <v>45000</v>
      </c>
      <c r="C1307" s="4" t="n">
        <v>343.6</v>
      </c>
      <c r="D1307" s="4" t="n">
        <v>103.939</v>
      </c>
      <c r="E1307" s="5" t="n">
        <v>432.9</v>
      </c>
      <c r="F1307" s="3" t="inlineStr">
        <is>
          <t>고운동</t>
        </is>
      </c>
      <c r="G1307" s="3" t="inlineStr"/>
      <c r="H1307" s="3" t="inlineStr">
        <is>
          <t>제1종전용주거지역</t>
        </is>
      </c>
      <c r="I1307" s="3" t="inlineStr">
        <is>
          <t>대</t>
        </is>
      </c>
      <c r="J1307" s="3" t="inlineStr">
        <is>
          <t>고운동</t>
        </is>
      </c>
    </row>
    <row r="1308">
      <c r="A1308" s="3" t="n">
        <v>2024</v>
      </c>
      <c r="B1308" s="4" t="n">
        <v>4500</v>
      </c>
      <c r="C1308" s="4" t="n">
        <v>165</v>
      </c>
      <c r="D1308" s="4" t="n">
        <v>49.9125</v>
      </c>
      <c r="E1308" s="5" t="n">
        <v>90.2</v>
      </c>
      <c r="F1308" s="3" t="inlineStr">
        <is>
          <t>조치원읍</t>
        </is>
      </c>
      <c r="G1308" s="3" t="inlineStr">
        <is>
          <t>신흥리</t>
        </is>
      </c>
      <c r="H1308" s="3" t="inlineStr">
        <is>
          <t>제2종일반주거지역</t>
        </is>
      </c>
      <c r="I1308" s="3" t="inlineStr">
        <is>
          <t>전</t>
        </is>
      </c>
      <c r="J1308" s="3" t="inlineStr">
        <is>
          <t>조치원읍</t>
        </is>
      </c>
    </row>
    <row r="1309">
      <c r="A1309" s="3" t="n">
        <v>2024</v>
      </c>
      <c r="B1309" s="4" t="n">
        <v>82000</v>
      </c>
      <c r="C1309" s="4" t="n">
        <v>1540</v>
      </c>
      <c r="D1309" s="4" t="n">
        <v>465.85</v>
      </c>
      <c r="E1309" s="5" t="n">
        <v>176</v>
      </c>
      <c r="F1309" s="3" t="inlineStr">
        <is>
          <t>연서면</t>
        </is>
      </c>
      <c r="G1309" s="3" t="inlineStr">
        <is>
          <t>와촌리</t>
        </is>
      </c>
      <c r="H1309" s="3" t="inlineStr">
        <is>
          <t>계획관리지역</t>
        </is>
      </c>
      <c r="I1309" s="3" t="inlineStr">
        <is>
          <t>전</t>
        </is>
      </c>
      <c r="J1309" s="3" t="inlineStr">
        <is>
          <t>연서면</t>
        </is>
      </c>
    </row>
    <row r="1310">
      <c r="A1310" s="3" t="n">
        <v>2024</v>
      </c>
      <c r="B1310" s="4" t="n">
        <v>1000</v>
      </c>
      <c r="C1310" s="4" t="n">
        <v>10</v>
      </c>
      <c r="D1310" s="4" t="n">
        <v>3.025</v>
      </c>
      <c r="E1310" s="5" t="n">
        <v>330.6</v>
      </c>
      <c r="F1310" s="3" t="inlineStr">
        <is>
          <t>연서면</t>
        </is>
      </c>
      <c r="G1310" s="3" t="inlineStr">
        <is>
          <t>와촌리</t>
        </is>
      </c>
      <c r="H1310" s="3" t="inlineStr">
        <is>
          <t>계획관리지역</t>
        </is>
      </c>
      <c r="I1310" s="3" t="inlineStr">
        <is>
          <t>도로</t>
        </is>
      </c>
      <c r="J1310" s="3" t="inlineStr">
        <is>
          <t>연서면</t>
        </is>
      </c>
    </row>
    <row r="1311">
      <c r="A1311" s="3" t="n">
        <v>2024</v>
      </c>
      <c r="B1311" s="4" t="n">
        <v>17980</v>
      </c>
      <c r="C1311" s="4" t="n">
        <v>168</v>
      </c>
      <c r="D1311" s="4" t="n">
        <v>50.82</v>
      </c>
      <c r="E1311" s="5" t="n">
        <v>353.8</v>
      </c>
      <c r="F1311" s="3" t="inlineStr">
        <is>
          <t>반곡동</t>
        </is>
      </c>
      <c r="G1311" s="3" t="inlineStr"/>
      <c r="H1311" s="3" t="inlineStr">
        <is>
          <t>제1종전용주거지역</t>
        </is>
      </c>
      <c r="I1311" s="3" t="inlineStr">
        <is>
          <t>대</t>
        </is>
      </c>
      <c r="J1311" s="3" t="inlineStr">
        <is>
          <t>반곡동</t>
        </is>
      </c>
    </row>
    <row r="1312">
      <c r="A1312" s="3" t="n">
        <v>2022</v>
      </c>
      <c r="B1312" s="4" t="n">
        <v>24956</v>
      </c>
      <c r="C1312" s="4" t="n">
        <v>3300</v>
      </c>
      <c r="D1312" s="4" t="n">
        <v>998.25</v>
      </c>
      <c r="E1312" s="5" t="n">
        <v>25</v>
      </c>
      <c r="F1312" s="3" t="inlineStr">
        <is>
          <t>연서면</t>
        </is>
      </c>
      <c r="G1312" s="3" t="inlineStr">
        <is>
          <t>쌍류리</t>
        </is>
      </c>
      <c r="H1312" s="3" t="inlineStr">
        <is>
          <t>농림지역</t>
        </is>
      </c>
      <c r="I1312" s="3" t="inlineStr">
        <is>
          <t>임야</t>
        </is>
      </c>
      <c r="J1312" s="3" t="inlineStr">
        <is>
          <t>연서면</t>
        </is>
      </c>
    </row>
    <row r="1313">
      <c r="A1313" s="3" t="n">
        <v>2022</v>
      </c>
      <c r="B1313" s="4" t="n">
        <v>12478</v>
      </c>
      <c r="C1313" s="4" t="n">
        <v>1650</v>
      </c>
      <c r="D1313" s="4" t="n">
        <v>499.125</v>
      </c>
      <c r="E1313" s="5" t="n">
        <v>25</v>
      </c>
      <c r="F1313" s="3" t="inlineStr">
        <is>
          <t>연서면</t>
        </is>
      </c>
      <c r="G1313" s="3" t="inlineStr">
        <is>
          <t>쌍류리</t>
        </is>
      </c>
      <c r="H1313" s="3" t="inlineStr">
        <is>
          <t>농림지역</t>
        </is>
      </c>
      <c r="I1313" s="3" t="inlineStr">
        <is>
          <t>임야</t>
        </is>
      </c>
      <c r="J1313" s="3" t="inlineStr">
        <is>
          <t>연서면</t>
        </is>
      </c>
    </row>
    <row r="1314">
      <c r="A1314" s="3" t="n">
        <v>2022</v>
      </c>
      <c r="B1314" s="4" t="n">
        <v>40000</v>
      </c>
      <c r="C1314" s="4" t="n">
        <v>330</v>
      </c>
      <c r="D1314" s="4" t="n">
        <v>99.825</v>
      </c>
      <c r="E1314" s="5" t="n">
        <v>400.7</v>
      </c>
      <c r="F1314" s="3" t="inlineStr">
        <is>
          <t>부강면</t>
        </is>
      </c>
      <c r="G1314" s="3" t="inlineStr">
        <is>
          <t>문곡리</t>
        </is>
      </c>
      <c r="H1314" s="3" t="inlineStr">
        <is>
          <t>계획관리지역</t>
        </is>
      </c>
      <c r="I1314" s="3" t="inlineStr">
        <is>
          <t>전</t>
        </is>
      </c>
      <c r="J1314" s="3" t="inlineStr">
        <is>
          <t>부강면</t>
        </is>
      </c>
    </row>
    <row r="1315">
      <c r="A1315" s="3" t="n">
        <v>2022</v>
      </c>
      <c r="B1315" s="4" t="n">
        <v>78000</v>
      </c>
      <c r="C1315" s="4" t="n">
        <v>432</v>
      </c>
      <c r="D1315" s="4" t="n">
        <v>130.68</v>
      </c>
      <c r="E1315" s="5" t="n">
        <v>596.9</v>
      </c>
      <c r="F1315" s="3" t="inlineStr">
        <is>
          <t>조치원읍</t>
        </is>
      </c>
      <c r="G1315" s="3" t="inlineStr">
        <is>
          <t>남리</t>
        </is>
      </c>
      <c r="H1315" s="3" t="inlineStr">
        <is>
          <t>제2종일반주거지역</t>
        </is>
      </c>
      <c r="I1315" s="3" t="inlineStr">
        <is>
          <t>대</t>
        </is>
      </c>
      <c r="J1315" s="3" t="inlineStr">
        <is>
          <t>조치원읍</t>
        </is>
      </c>
    </row>
    <row r="1316">
      <c r="A1316" s="3" t="n">
        <v>2022</v>
      </c>
      <c r="B1316" s="4" t="n">
        <v>46780</v>
      </c>
      <c r="C1316" s="4" t="n">
        <v>1444</v>
      </c>
      <c r="D1316" s="4" t="n">
        <v>436.81</v>
      </c>
      <c r="E1316" s="5" t="n">
        <v>107.1</v>
      </c>
      <c r="F1316" s="3" t="inlineStr">
        <is>
          <t>연서면</t>
        </is>
      </c>
      <c r="G1316" s="3" t="inlineStr">
        <is>
          <t>고복리</t>
        </is>
      </c>
      <c r="H1316" s="3" t="inlineStr">
        <is>
          <t>자연환경보전</t>
        </is>
      </c>
      <c r="I1316" s="3" t="inlineStr">
        <is>
          <t>전</t>
        </is>
      </c>
      <c r="J1316" s="3" t="inlineStr">
        <is>
          <t>연서면</t>
        </is>
      </c>
    </row>
    <row r="1317">
      <c r="A1317" s="3" t="n">
        <v>2022</v>
      </c>
      <c r="B1317" s="4" t="n">
        <v>25000</v>
      </c>
      <c r="C1317" s="4" t="n">
        <v>773</v>
      </c>
      <c r="D1317" s="4" t="n">
        <v>233.8325</v>
      </c>
      <c r="E1317" s="5" t="n">
        <v>106.9</v>
      </c>
      <c r="F1317" s="3" t="inlineStr">
        <is>
          <t>연서면</t>
        </is>
      </c>
      <c r="G1317" s="3" t="inlineStr">
        <is>
          <t>고복리</t>
        </is>
      </c>
      <c r="H1317" s="3" t="inlineStr">
        <is>
          <t>자연환경보전</t>
        </is>
      </c>
      <c r="I1317" s="3" t="inlineStr">
        <is>
          <t>전</t>
        </is>
      </c>
      <c r="J1317" s="3" t="inlineStr">
        <is>
          <t>연서면</t>
        </is>
      </c>
    </row>
    <row r="1318">
      <c r="A1318" s="3" t="n">
        <v>2022</v>
      </c>
      <c r="B1318" s="4" t="n">
        <v>67430</v>
      </c>
      <c r="C1318" s="4" t="n">
        <v>2073</v>
      </c>
      <c r="D1318" s="4" t="n">
        <v>627.0825</v>
      </c>
      <c r="E1318" s="5" t="n">
        <v>107.5</v>
      </c>
      <c r="F1318" s="3" t="inlineStr">
        <is>
          <t>연서면</t>
        </is>
      </c>
      <c r="G1318" s="3" t="inlineStr">
        <is>
          <t>고복리</t>
        </is>
      </c>
      <c r="H1318" s="3" t="inlineStr">
        <is>
          <t>자연환경보전</t>
        </is>
      </c>
      <c r="I1318" s="3" t="inlineStr">
        <is>
          <t>전</t>
        </is>
      </c>
      <c r="J1318" s="3" t="inlineStr">
        <is>
          <t>연서면</t>
        </is>
      </c>
    </row>
    <row r="1319">
      <c r="A1319" s="3" t="n">
        <v>2022</v>
      </c>
      <c r="B1319" s="4" t="n">
        <v>7480</v>
      </c>
      <c r="C1319" s="4" t="n">
        <v>231</v>
      </c>
      <c r="D1319" s="4" t="n">
        <v>69.8775</v>
      </c>
      <c r="E1319" s="5" t="n">
        <v>107</v>
      </c>
      <c r="F1319" s="3" t="inlineStr">
        <is>
          <t>연서면</t>
        </is>
      </c>
      <c r="G1319" s="3" t="inlineStr">
        <is>
          <t>고복리</t>
        </is>
      </c>
      <c r="H1319" s="3" t="inlineStr">
        <is>
          <t>자연환경보전</t>
        </is>
      </c>
      <c r="I1319" s="3" t="inlineStr">
        <is>
          <t>전</t>
        </is>
      </c>
      <c r="J1319" s="3" t="inlineStr">
        <is>
          <t>연서면</t>
        </is>
      </c>
    </row>
    <row r="1320">
      <c r="A1320" s="3" t="n">
        <v>2022</v>
      </c>
      <c r="B1320" s="4" t="n">
        <v>73080</v>
      </c>
      <c r="C1320" s="4" t="n">
        <v>8050</v>
      </c>
      <c r="D1320" s="4" t="n">
        <v>2435.125</v>
      </c>
      <c r="E1320" s="5" t="n">
        <v>30</v>
      </c>
      <c r="F1320" s="3" t="inlineStr">
        <is>
          <t>연서면</t>
        </is>
      </c>
      <c r="G1320" s="3" t="inlineStr">
        <is>
          <t>고복리</t>
        </is>
      </c>
      <c r="H1320" s="3" t="inlineStr">
        <is>
          <t>자연환경보전</t>
        </is>
      </c>
      <c r="I1320" s="3" t="inlineStr">
        <is>
          <t>임야</t>
        </is>
      </c>
      <c r="J1320" s="3" t="inlineStr">
        <is>
          <t>연서면</t>
        </is>
      </c>
    </row>
    <row r="1321">
      <c r="A1321" s="3" t="n">
        <v>2022</v>
      </c>
      <c r="B1321" s="4" t="n">
        <v>53073</v>
      </c>
      <c r="C1321" s="4" t="n">
        <v>1636</v>
      </c>
      <c r="D1321" s="4" t="n">
        <v>494.89</v>
      </c>
      <c r="E1321" s="5" t="n">
        <v>107.2</v>
      </c>
      <c r="F1321" s="3" t="inlineStr">
        <is>
          <t>연서면</t>
        </is>
      </c>
      <c r="G1321" s="3" t="inlineStr">
        <is>
          <t>고복리</t>
        </is>
      </c>
      <c r="H1321" s="3" t="inlineStr">
        <is>
          <t>자연환경보전</t>
        </is>
      </c>
      <c r="I1321" s="3" t="inlineStr">
        <is>
          <t>전</t>
        </is>
      </c>
      <c r="J1321" s="3" t="inlineStr">
        <is>
          <t>연서면</t>
        </is>
      </c>
    </row>
    <row r="1322">
      <c r="A1322" s="3" t="n">
        <v>2022</v>
      </c>
      <c r="B1322" s="4" t="n">
        <v>36462</v>
      </c>
      <c r="C1322" s="4" t="n">
        <v>1124</v>
      </c>
      <c r="D1322" s="4" t="n">
        <v>340.01</v>
      </c>
      <c r="E1322" s="5" t="n">
        <v>107.2</v>
      </c>
      <c r="F1322" s="3" t="inlineStr">
        <is>
          <t>연서면</t>
        </is>
      </c>
      <c r="G1322" s="3" t="inlineStr">
        <is>
          <t>고복리</t>
        </is>
      </c>
      <c r="H1322" s="3" t="inlineStr">
        <is>
          <t>자연환경보전</t>
        </is>
      </c>
      <c r="I1322" s="3" t="inlineStr">
        <is>
          <t>전</t>
        </is>
      </c>
      <c r="J1322" s="3" t="inlineStr">
        <is>
          <t>연서면</t>
        </is>
      </c>
    </row>
    <row r="1323">
      <c r="A1323" s="3" t="n">
        <v>2022</v>
      </c>
      <c r="B1323" s="4" t="n">
        <v>190700</v>
      </c>
      <c r="C1323" s="4" t="n">
        <v>31521</v>
      </c>
      <c r="D1323" s="4" t="n">
        <v>9535.102499999999</v>
      </c>
      <c r="E1323" s="5" t="n">
        <v>20</v>
      </c>
      <c r="F1323" s="3" t="inlineStr">
        <is>
          <t>연서면</t>
        </is>
      </c>
      <c r="G1323" s="3" t="inlineStr">
        <is>
          <t>고복리</t>
        </is>
      </c>
      <c r="H1323" s="3" t="inlineStr">
        <is>
          <t>자연환경보전</t>
        </is>
      </c>
      <c r="I1323" s="3" t="inlineStr">
        <is>
          <t>임야</t>
        </is>
      </c>
      <c r="J1323" s="3" t="inlineStr">
        <is>
          <t>연서면</t>
        </is>
      </c>
    </row>
    <row r="1324">
      <c r="A1324" s="3" t="n">
        <v>2022</v>
      </c>
      <c r="B1324" s="4" t="n">
        <v>257760</v>
      </c>
      <c r="C1324" s="4" t="n">
        <v>4760</v>
      </c>
      <c r="D1324" s="4" t="n">
        <v>1439.9</v>
      </c>
      <c r="E1324" s="5" t="n">
        <v>179</v>
      </c>
      <c r="F1324" s="3" t="inlineStr">
        <is>
          <t>부강면</t>
        </is>
      </c>
      <c r="G1324" s="3" t="inlineStr">
        <is>
          <t>산수리</t>
        </is>
      </c>
      <c r="H1324" s="3" t="inlineStr">
        <is>
          <t>계획관리지역</t>
        </is>
      </c>
      <c r="I1324" s="3" t="inlineStr">
        <is>
          <t>임야</t>
        </is>
      </c>
      <c r="J1324" s="3" t="inlineStr">
        <is>
          <t>부강면</t>
        </is>
      </c>
    </row>
    <row r="1325">
      <c r="A1325" s="3" t="n">
        <v>2022</v>
      </c>
      <c r="B1325" s="4" t="n">
        <v>46403</v>
      </c>
      <c r="C1325" s="4" t="n">
        <v>645</v>
      </c>
      <c r="D1325" s="4" t="n">
        <v>195.1125</v>
      </c>
      <c r="E1325" s="5" t="n">
        <v>237.8</v>
      </c>
      <c r="F1325" s="3" t="inlineStr">
        <is>
          <t>연동면</t>
        </is>
      </c>
      <c r="G1325" s="3" t="inlineStr">
        <is>
          <t>내판리</t>
        </is>
      </c>
      <c r="H1325" s="3" t="inlineStr">
        <is>
          <t>계획관리지역</t>
        </is>
      </c>
      <c r="I1325" s="3" t="inlineStr">
        <is>
          <t>전</t>
        </is>
      </c>
      <c r="J1325" s="3" t="inlineStr">
        <is>
          <t>연동면</t>
        </is>
      </c>
    </row>
    <row r="1326">
      <c r="A1326" s="3" t="n">
        <v>2022</v>
      </c>
      <c r="B1326" s="4" t="n">
        <v>3597</v>
      </c>
      <c r="C1326" s="4" t="n">
        <v>50</v>
      </c>
      <c r="D1326" s="4" t="n">
        <v>15.125</v>
      </c>
      <c r="E1326" s="5" t="n">
        <v>237.8</v>
      </c>
      <c r="F1326" s="3" t="inlineStr">
        <is>
          <t>연동면</t>
        </is>
      </c>
      <c r="G1326" s="3" t="inlineStr">
        <is>
          <t>내판리</t>
        </is>
      </c>
      <c r="H1326" s="3" t="inlineStr">
        <is>
          <t>계획관리지역</t>
        </is>
      </c>
      <c r="I1326" s="3" t="inlineStr">
        <is>
          <t>목장용지</t>
        </is>
      </c>
      <c r="J1326" s="3" t="inlineStr">
        <is>
          <t>연동면</t>
        </is>
      </c>
    </row>
    <row r="1327">
      <c r="A1327" s="3" t="n">
        <v>2022</v>
      </c>
      <c r="B1327" s="4" t="n">
        <v>25500</v>
      </c>
      <c r="C1327" s="4" t="n">
        <v>283</v>
      </c>
      <c r="D1327" s="4" t="n">
        <v>85.6075</v>
      </c>
      <c r="E1327" s="5" t="n">
        <v>297.9</v>
      </c>
      <c r="F1327" s="3" t="inlineStr">
        <is>
          <t>조치원읍</t>
        </is>
      </c>
      <c r="G1327" s="3" t="inlineStr">
        <is>
          <t>침산리</t>
        </is>
      </c>
      <c r="H1327" s="3" t="inlineStr">
        <is>
          <t>제2종일반주거지역</t>
        </is>
      </c>
      <c r="I1327" s="3" t="inlineStr">
        <is>
          <t>임야</t>
        </is>
      </c>
      <c r="J1327" s="3" t="inlineStr">
        <is>
          <t>조치원읍</t>
        </is>
      </c>
    </row>
    <row r="1328">
      <c r="A1328" s="3" t="n">
        <v>2025</v>
      </c>
      <c r="B1328" s="4" t="n">
        <v>197</v>
      </c>
      <c r="C1328" s="4" t="n">
        <v>5</v>
      </c>
      <c r="D1328" s="4" t="n">
        <v>1.5125</v>
      </c>
      <c r="E1328" s="5" t="n">
        <v>130.2</v>
      </c>
      <c r="F1328" s="3" t="inlineStr">
        <is>
          <t>연서면</t>
        </is>
      </c>
      <c r="G1328" s="3" t="inlineStr">
        <is>
          <t>신대리</t>
        </is>
      </c>
      <c r="H1328" s="3" t="inlineStr">
        <is>
          <t>계획관리지역</t>
        </is>
      </c>
      <c r="I1328" s="3" t="inlineStr">
        <is>
          <t>대</t>
        </is>
      </c>
      <c r="J1328" s="3" t="inlineStr">
        <is>
          <t>연서면</t>
        </is>
      </c>
    </row>
    <row r="1329">
      <c r="A1329" s="3" t="n">
        <v>2025</v>
      </c>
      <c r="B1329" s="4" t="n">
        <v>16949</v>
      </c>
      <c r="C1329" s="4" t="n">
        <v>431</v>
      </c>
      <c r="D1329" s="4" t="n">
        <v>130.3775</v>
      </c>
      <c r="E1329" s="5" t="n">
        <v>130</v>
      </c>
      <c r="F1329" s="3" t="inlineStr">
        <is>
          <t>연서면</t>
        </is>
      </c>
      <c r="G1329" s="3" t="inlineStr">
        <is>
          <t>신대리</t>
        </is>
      </c>
      <c r="H1329" s="3" t="inlineStr">
        <is>
          <t>계획관리지역</t>
        </is>
      </c>
      <c r="I1329" s="3" t="inlineStr">
        <is>
          <t>대</t>
        </is>
      </c>
      <c r="J1329" s="3" t="inlineStr">
        <is>
          <t>연서면</t>
        </is>
      </c>
    </row>
    <row r="1330">
      <c r="A1330" s="3" t="n">
        <v>2025</v>
      </c>
      <c r="B1330" s="4" t="n">
        <v>5073</v>
      </c>
      <c r="C1330" s="4" t="n">
        <v>129</v>
      </c>
      <c r="D1330" s="4" t="n">
        <v>39.0225</v>
      </c>
      <c r="E1330" s="5" t="n">
        <v>130</v>
      </c>
      <c r="F1330" s="3" t="inlineStr">
        <is>
          <t>연서면</t>
        </is>
      </c>
      <c r="G1330" s="3" t="inlineStr">
        <is>
          <t>신대리</t>
        </is>
      </c>
      <c r="H1330" s="3" t="inlineStr">
        <is>
          <t>보전관리지역</t>
        </is>
      </c>
      <c r="I1330" s="3" t="inlineStr">
        <is>
          <t>대</t>
        </is>
      </c>
      <c r="J1330" s="3" t="inlineStr">
        <is>
          <t>연서면</t>
        </is>
      </c>
    </row>
    <row r="1331">
      <c r="A1331" s="3" t="n">
        <v>2025</v>
      </c>
      <c r="B1331" s="4" t="n">
        <v>983</v>
      </c>
      <c r="C1331" s="4" t="n">
        <v>25</v>
      </c>
      <c r="D1331" s="4" t="n">
        <v>7.5625</v>
      </c>
      <c r="E1331" s="5" t="n">
        <v>130</v>
      </c>
      <c r="F1331" s="3" t="inlineStr">
        <is>
          <t>연서면</t>
        </is>
      </c>
      <c r="G1331" s="3" t="inlineStr">
        <is>
          <t>신대리</t>
        </is>
      </c>
      <c r="H1331" s="3" t="inlineStr">
        <is>
          <t>보전관리지역</t>
        </is>
      </c>
      <c r="I1331" s="3" t="inlineStr">
        <is>
          <t>대</t>
        </is>
      </c>
      <c r="J1331" s="3" t="inlineStr">
        <is>
          <t>연서면</t>
        </is>
      </c>
    </row>
    <row r="1332">
      <c r="A1332" s="3" t="n">
        <v>2025</v>
      </c>
      <c r="B1332" s="4" t="n">
        <v>22730</v>
      </c>
      <c r="C1332" s="4" t="n">
        <v>578</v>
      </c>
      <c r="D1332" s="4" t="n">
        <v>174.845</v>
      </c>
      <c r="E1332" s="5" t="n">
        <v>130</v>
      </c>
      <c r="F1332" s="3" t="inlineStr">
        <is>
          <t>연서면</t>
        </is>
      </c>
      <c r="G1332" s="3" t="inlineStr">
        <is>
          <t>신대리</t>
        </is>
      </c>
      <c r="H1332" s="3" t="inlineStr">
        <is>
          <t>계획관리지역</t>
        </is>
      </c>
      <c r="I1332" s="3" t="inlineStr">
        <is>
          <t>대</t>
        </is>
      </c>
      <c r="J1332" s="3" t="inlineStr">
        <is>
          <t>연서면</t>
        </is>
      </c>
    </row>
    <row r="1333">
      <c r="A1333" s="3" t="n">
        <v>2024</v>
      </c>
      <c r="B1333" s="4" t="n">
        <v>1165</v>
      </c>
      <c r="C1333" s="4" t="n">
        <v>27</v>
      </c>
      <c r="D1333" s="4" t="n">
        <v>8.1675</v>
      </c>
      <c r="E1333" s="5" t="n">
        <v>142.6</v>
      </c>
      <c r="F1333" s="3" t="inlineStr">
        <is>
          <t>조치원읍</t>
        </is>
      </c>
      <c r="G1333" s="3" t="inlineStr">
        <is>
          <t>봉산리</t>
        </is>
      </c>
      <c r="H1333" s="3" t="inlineStr">
        <is>
          <t>자연녹지지역</t>
        </is>
      </c>
      <c r="I1333" s="3" t="inlineStr">
        <is>
          <t>답</t>
        </is>
      </c>
      <c r="J1333" s="3" t="inlineStr">
        <is>
          <t>조치원읍</t>
        </is>
      </c>
    </row>
    <row r="1334">
      <c r="A1334" s="3" t="n">
        <v>2024</v>
      </c>
      <c r="B1334" s="4" t="n">
        <v>52000</v>
      </c>
      <c r="C1334" s="4" t="n">
        <v>2565</v>
      </c>
      <c r="D1334" s="4" t="n">
        <v>775.9125</v>
      </c>
      <c r="E1334" s="5" t="n">
        <v>67</v>
      </c>
      <c r="F1334" s="3" t="inlineStr">
        <is>
          <t>연서면</t>
        </is>
      </c>
      <c r="G1334" s="3" t="inlineStr">
        <is>
          <t>쌍류리</t>
        </is>
      </c>
      <c r="H1334" s="3" t="inlineStr">
        <is>
          <t>생산관리지역</t>
        </is>
      </c>
      <c r="I1334" s="3" t="inlineStr">
        <is>
          <t>과수원</t>
        </is>
      </c>
      <c r="J1334" s="3" t="inlineStr">
        <is>
          <t>연서면</t>
        </is>
      </c>
    </row>
    <row r="1335">
      <c r="A1335" s="3" t="n">
        <v>2022</v>
      </c>
      <c r="B1335" s="4" t="n">
        <v>11000</v>
      </c>
      <c r="C1335" s="4" t="n">
        <v>539</v>
      </c>
      <c r="D1335" s="4" t="n">
        <v>163.0475</v>
      </c>
      <c r="E1335" s="5" t="n">
        <v>67.5</v>
      </c>
      <c r="F1335" s="3" t="inlineStr">
        <is>
          <t>남이면</t>
        </is>
      </c>
      <c r="G1335" s="3" t="inlineStr">
        <is>
          <t>사동리</t>
        </is>
      </c>
      <c r="H1335" s="3" t="inlineStr">
        <is>
          <t>생산관리지역</t>
        </is>
      </c>
      <c r="I1335" s="3" t="inlineStr">
        <is>
          <t>답</t>
        </is>
      </c>
      <c r="J1335" s="3" t="inlineStr">
        <is>
          <t>남이면</t>
        </is>
      </c>
    </row>
    <row r="1336">
      <c r="A1336" s="3" t="n">
        <v>2022</v>
      </c>
      <c r="B1336" s="4" t="n">
        <v>10300</v>
      </c>
      <c r="C1336" s="4" t="n">
        <v>374</v>
      </c>
      <c r="D1336" s="4" t="n">
        <v>113.135</v>
      </c>
      <c r="E1336" s="5" t="n">
        <v>91</v>
      </c>
      <c r="F1336" s="3" t="inlineStr">
        <is>
          <t>남이면</t>
        </is>
      </c>
      <c r="G1336" s="3" t="inlineStr">
        <is>
          <t>척산리</t>
        </is>
      </c>
      <c r="H1336" s="3" t="inlineStr">
        <is>
          <t>계획관리지역</t>
        </is>
      </c>
      <c r="I1336" s="3" t="inlineStr">
        <is>
          <t>대</t>
        </is>
      </c>
      <c r="J1336" s="3" t="inlineStr">
        <is>
          <t>남이면</t>
        </is>
      </c>
    </row>
    <row r="1337">
      <c r="A1337" s="3" t="n">
        <v>2022</v>
      </c>
      <c r="B1337" s="4" t="n">
        <v>605</v>
      </c>
      <c r="C1337" s="4" t="n">
        <v>25</v>
      </c>
      <c r="D1337" s="4" t="n">
        <v>7.5625</v>
      </c>
      <c r="E1337" s="5" t="n">
        <v>80</v>
      </c>
      <c r="F1337" s="3" t="inlineStr">
        <is>
          <t>남이면</t>
        </is>
      </c>
      <c r="G1337" s="3" t="inlineStr">
        <is>
          <t>갈원리</t>
        </is>
      </c>
      <c r="H1337" s="3" t="inlineStr">
        <is>
          <t>보전관리지역</t>
        </is>
      </c>
      <c r="I1337" s="3" t="inlineStr">
        <is>
          <t>임야</t>
        </is>
      </c>
      <c r="J1337" s="3" t="inlineStr">
        <is>
          <t>남이면</t>
        </is>
      </c>
    </row>
    <row r="1338">
      <c r="A1338" s="3" t="n">
        <v>2022</v>
      </c>
      <c r="B1338" s="4" t="n">
        <v>10000</v>
      </c>
      <c r="C1338" s="4" t="n">
        <v>1248</v>
      </c>
      <c r="D1338" s="4" t="n">
        <v>377.52</v>
      </c>
      <c r="E1338" s="5" t="n">
        <v>26.5</v>
      </c>
      <c r="F1338" s="3" t="inlineStr">
        <is>
          <t>남이면</t>
        </is>
      </c>
      <c r="G1338" s="3" t="inlineStr">
        <is>
          <t>팔봉리</t>
        </is>
      </c>
      <c r="H1338" s="3" t="inlineStr">
        <is>
          <t>자연녹지지역</t>
        </is>
      </c>
      <c r="I1338" s="3" t="inlineStr">
        <is>
          <t>임야</t>
        </is>
      </c>
      <c r="J1338" s="3" t="inlineStr">
        <is>
          <t>남이면</t>
        </is>
      </c>
    </row>
    <row r="1339">
      <c r="A1339" s="3" t="n">
        <v>2022</v>
      </c>
      <c r="B1339" s="4" t="n">
        <v>25000</v>
      </c>
      <c r="C1339" s="4" t="n">
        <v>5289</v>
      </c>
      <c r="D1339" s="4" t="n">
        <v>1599.9225</v>
      </c>
      <c r="E1339" s="5" t="n">
        <v>15.6</v>
      </c>
      <c r="F1339" s="3" t="inlineStr">
        <is>
          <t>남이면</t>
        </is>
      </c>
      <c r="G1339" s="3" t="inlineStr">
        <is>
          <t>구암리</t>
        </is>
      </c>
      <c r="H1339" s="3" t="inlineStr">
        <is>
          <t>보전녹지지역</t>
        </is>
      </c>
      <c r="I1339" s="3" t="inlineStr">
        <is>
          <t>임야</t>
        </is>
      </c>
      <c r="J1339" s="3" t="inlineStr">
        <is>
          <t>남이면</t>
        </is>
      </c>
    </row>
    <row r="1340">
      <c r="A1340" s="3" t="n">
        <v>2025</v>
      </c>
      <c r="B1340" s="4" t="n">
        <v>56000</v>
      </c>
      <c r="C1340" s="4" t="n">
        <v>279.3</v>
      </c>
      <c r="D1340" s="4" t="n">
        <v>84.48825000000001</v>
      </c>
      <c r="E1340" s="5" t="n">
        <v>662.8</v>
      </c>
      <c r="F1340" s="3" t="inlineStr">
        <is>
          <t>해밀동</t>
        </is>
      </c>
      <c r="G1340" s="3" t="inlineStr"/>
      <c r="H1340" s="3" t="inlineStr">
        <is>
          <t>제1종전용주거지역</t>
        </is>
      </c>
      <c r="I1340" s="3" t="inlineStr">
        <is>
          <t>대</t>
        </is>
      </c>
      <c r="J1340" s="3" t="inlineStr">
        <is>
          <t>해밀동</t>
        </is>
      </c>
    </row>
    <row r="1341">
      <c r="A1341" s="3" t="n">
        <v>2025</v>
      </c>
      <c r="B1341" s="4" t="n">
        <v>10000</v>
      </c>
      <c r="C1341" s="4" t="n">
        <v>129</v>
      </c>
      <c r="D1341" s="4" t="n">
        <v>39.0225</v>
      </c>
      <c r="E1341" s="5" t="n">
        <v>256.3</v>
      </c>
      <c r="F1341" s="3" t="inlineStr">
        <is>
          <t>조치원읍</t>
        </is>
      </c>
      <c r="G1341" s="3" t="inlineStr">
        <is>
          <t>신안리</t>
        </is>
      </c>
      <c r="H1341" s="3" t="inlineStr">
        <is>
          <t>제2종일반주거지역</t>
        </is>
      </c>
      <c r="I1341" s="3" t="inlineStr">
        <is>
          <t>전</t>
        </is>
      </c>
      <c r="J1341" s="3" t="inlineStr">
        <is>
          <t>조치원읍</t>
        </is>
      </c>
    </row>
    <row r="1342">
      <c r="A1342" s="3" t="n">
        <v>2025</v>
      </c>
      <c r="B1342" s="4" t="n">
        <v>125</v>
      </c>
      <c r="C1342" s="4" t="n">
        <v>12</v>
      </c>
      <c r="D1342" s="4" t="n">
        <v>3.63</v>
      </c>
      <c r="E1342" s="5" t="n">
        <v>34.4</v>
      </c>
      <c r="F1342" s="3" t="inlineStr">
        <is>
          <t>연서면</t>
        </is>
      </c>
      <c r="G1342" s="3" t="inlineStr">
        <is>
          <t>월하리</t>
        </is>
      </c>
      <c r="H1342" s="3" t="inlineStr">
        <is>
          <t>자연녹지지역</t>
        </is>
      </c>
      <c r="I1342" s="3" t="inlineStr">
        <is>
          <t>도로</t>
        </is>
      </c>
      <c r="J1342" s="3" t="inlineStr">
        <is>
          <t>연서면</t>
        </is>
      </c>
    </row>
    <row r="1343">
      <c r="A1343" s="3" t="n">
        <v>2025</v>
      </c>
      <c r="B1343" s="4" t="n">
        <v>15000</v>
      </c>
      <c r="C1343" s="4" t="n">
        <v>298</v>
      </c>
      <c r="D1343" s="4" t="n">
        <v>90.145</v>
      </c>
      <c r="E1343" s="5" t="n">
        <v>166.4</v>
      </c>
      <c r="F1343" s="3" t="inlineStr">
        <is>
          <t>조치원읍</t>
        </is>
      </c>
      <c r="G1343" s="3" t="inlineStr">
        <is>
          <t>봉산리</t>
        </is>
      </c>
      <c r="H1343" s="3" t="inlineStr">
        <is>
          <t>자연녹지지역</t>
        </is>
      </c>
      <c r="I1343" s="3" t="inlineStr">
        <is>
          <t>전</t>
        </is>
      </c>
      <c r="J1343" s="3" t="inlineStr">
        <is>
          <t>조치원읍</t>
        </is>
      </c>
    </row>
    <row r="1344">
      <c r="A1344" s="3" t="n">
        <v>2025</v>
      </c>
      <c r="B1344" s="4" t="n">
        <v>5436</v>
      </c>
      <c r="C1344" s="4" t="n">
        <v>154</v>
      </c>
      <c r="D1344" s="4" t="n">
        <v>46.585</v>
      </c>
      <c r="E1344" s="5" t="n">
        <v>116.7</v>
      </c>
      <c r="F1344" s="3" t="inlineStr">
        <is>
          <t>연서면</t>
        </is>
      </c>
      <c r="G1344" s="3" t="inlineStr">
        <is>
          <t>성제리</t>
        </is>
      </c>
      <c r="H1344" s="3" t="inlineStr">
        <is>
          <t>계획관리지역</t>
        </is>
      </c>
      <c r="I1344" s="3" t="inlineStr">
        <is>
          <t>과수원</t>
        </is>
      </c>
      <c r="J1344" s="3" t="inlineStr">
        <is>
          <t>연서면</t>
        </is>
      </c>
    </row>
    <row r="1345">
      <c r="A1345" s="3" t="n">
        <v>2025</v>
      </c>
      <c r="B1345" s="4" t="n">
        <v>35596</v>
      </c>
      <c r="C1345" s="4" t="n">
        <v>1569</v>
      </c>
      <c r="D1345" s="4" t="n">
        <v>474.6225</v>
      </c>
      <c r="E1345" s="5" t="n">
        <v>75</v>
      </c>
      <c r="F1345" s="3" t="inlineStr">
        <is>
          <t>연서면</t>
        </is>
      </c>
      <c r="G1345" s="3" t="inlineStr">
        <is>
          <t>신대리</t>
        </is>
      </c>
      <c r="H1345" s="3" t="inlineStr">
        <is>
          <t>계획관리지역</t>
        </is>
      </c>
      <c r="I1345" s="3" t="inlineStr">
        <is>
          <t>전</t>
        </is>
      </c>
      <c r="J1345" s="3" t="inlineStr">
        <is>
          <t>연서면</t>
        </is>
      </c>
    </row>
    <row r="1346">
      <c r="A1346" s="3" t="n">
        <v>2023</v>
      </c>
      <c r="B1346" s="4" t="n">
        <v>70000</v>
      </c>
      <c r="C1346" s="4" t="n">
        <v>476</v>
      </c>
      <c r="D1346" s="4" t="n">
        <v>143.99</v>
      </c>
      <c r="E1346" s="5" t="n">
        <v>486.1</v>
      </c>
      <c r="F1346" s="3" t="inlineStr">
        <is>
          <t>반곡동</t>
        </is>
      </c>
      <c r="G1346" s="3" t="inlineStr"/>
      <c r="H1346" s="3" t="inlineStr">
        <is>
          <t>제1종전용주거지역</t>
        </is>
      </c>
      <c r="I1346" s="3" t="inlineStr">
        <is>
          <t>대</t>
        </is>
      </c>
      <c r="J1346" s="3" t="inlineStr">
        <is>
          <t>반곡동</t>
        </is>
      </c>
    </row>
    <row r="1347">
      <c r="A1347" s="3" t="n">
        <v>2023</v>
      </c>
      <c r="B1347" s="4" t="n">
        <v>58300</v>
      </c>
      <c r="C1347" s="4" t="n">
        <v>825</v>
      </c>
      <c r="D1347" s="4" t="n">
        <v>249.5625</v>
      </c>
      <c r="E1347" s="5" t="n">
        <v>233.6</v>
      </c>
      <c r="F1347" s="3" t="inlineStr">
        <is>
          <t>연서면</t>
        </is>
      </c>
      <c r="G1347" s="3" t="inlineStr">
        <is>
          <t>봉암리</t>
        </is>
      </c>
      <c r="H1347" s="3" t="inlineStr">
        <is>
          <t>계획관리지역</t>
        </is>
      </c>
      <c r="I1347" s="3" t="inlineStr">
        <is>
          <t>임야</t>
        </is>
      </c>
      <c r="J1347" s="3" t="inlineStr">
        <is>
          <t>연서면</t>
        </is>
      </c>
    </row>
    <row r="1348">
      <c r="A1348" s="3" t="n">
        <v>2023</v>
      </c>
      <c r="B1348" s="4" t="n">
        <v>8700</v>
      </c>
      <c r="C1348" s="4" t="n">
        <v>123</v>
      </c>
      <c r="D1348" s="4" t="n">
        <v>37.2075</v>
      </c>
      <c r="E1348" s="5" t="n">
        <v>233.8</v>
      </c>
      <c r="F1348" s="3" t="inlineStr">
        <is>
          <t>연서면</t>
        </is>
      </c>
      <c r="G1348" s="3" t="inlineStr">
        <is>
          <t>봉암리</t>
        </is>
      </c>
      <c r="H1348" s="3" t="inlineStr">
        <is>
          <t>계획관리지역</t>
        </is>
      </c>
      <c r="I1348" s="3" t="inlineStr">
        <is>
          <t>임야</t>
        </is>
      </c>
      <c r="J1348" s="3" t="inlineStr">
        <is>
          <t>연서면</t>
        </is>
      </c>
    </row>
    <row r="1349">
      <c r="A1349" s="3" t="n">
        <v>2023</v>
      </c>
      <c r="B1349" s="4" t="n">
        <v>1200</v>
      </c>
      <c r="C1349" s="4" t="n">
        <v>20</v>
      </c>
      <c r="D1349" s="4" t="n">
        <v>6.05</v>
      </c>
      <c r="E1349" s="5" t="n">
        <v>198.3</v>
      </c>
      <c r="F1349" s="3" t="inlineStr">
        <is>
          <t>조치원읍</t>
        </is>
      </c>
      <c r="G1349" s="3" t="inlineStr">
        <is>
          <t>번암리</t>
        </is>
      </c>
      <c r="H1349" s="3" t="inlineStr">
        <is>
          <t>일반공업지역</t>
        </is>
      </c>
      <c r="I1349" s="3" t="inlineStr">
        <is>
          <t>전</t>
        </is>
      </c>
      <c r="J1349" s="3" t="inlineStr">
        <is>
          <t>조치원읍</t>
        </is>
      </c>
    </row>
    <row r="1350">
      <c r="A1350" s="3" t="n">
        <v>2023</v>
      </c>
      <c r="B1350" s="4" t="n">
        <v>1000</v>
      </c>
      <c r="C1350" s="4" t="n">
        <v>200</v>
      </c>
      <c r="D1350" s="4" t="n">
        <v>60.5</v>
      </c>
      <c r="E1350" s="5" t="n">
        <v>16.5</v>
      </c>
      <c r="F1350" s="3" t="inlineStr">
        <is>
          <t>부강면</t>
        </is>
      </c>
      <c r="G1350" s="3" t="inlineStr">
        <is>
          <t>문곡리</t>
        </is>
      </c>
      <c r="H1350" s="3" t="inlineStr">
        <is>
          <t>계획관리지역</t>
        </is>
      </c>
      <c r="I1350" s="3" t="inlineStr">
        <is>
          <t>임야</t>
        </is>
      </c>
      <c r="J1350" s="3" t="inlineStr">
        <is>
          <t>부강면</t>
        </is>
      </c>
    </row>
    <row r="1351">
      <c r="A1351" s="3" t="n">
        <v>2023</v>
      </c>
      <c r="B1351" s="4" t="n">
        <v>100000</v>
      </c>
      <c r="C1351" s="4" t="n">
        <v>329.3</v>
      </c>
      <c r="D1351" s="4" t="n">
        <v>99.61324999999999</v>
      </c>
      <c r="E1351" s="5" t="n">
        <v>1003.9</v>
      </c>
      <c r="F1351" s="3" t="inlineStr">
        <is>
          <t>도담동</t>
        </is>
      </c>
      <c r="G1351" s="3" t="inlineStr"/>
      <c r="H1351" s="3" t="inlineStr">
        <is>
          <t>제1종전용주거지역</t>
        </is>
      </c>
      <c r="I1351" s="3" t="inlineStr">
        <is>
          <t>대</t>
        </is>
      </c>
      <c r="J1351" s="3" t="inlineStr">
        <is>
          <t>도담동</t>
        </is>
      </c>
    </row>
    <row r="1352">
      <c r="A1352" s="3" t="n">
        <v>2023</v>
      </c>
      <c r="B1352" s="4" t="n">
        <v>13350</v>
      </c>
      <c r="C1352" s="4" t="n">
        <v>496</v>
      </c>
      <c r="D1352" s="4" t="n">
        <v>150.04</v>
      </c>
      <c r="E1352" s="5" t="n">
        <v>89</v>
      </c>
      <c r="F1352" s="3" t="inlineStr">
        <is>
          <t>연동면</t>
        </is>
      </c>
      <c r="G1352" s="3" t="inlineStr">
        <is>
          <t>명학리</t>
        </is>
      </c>
      <c r="H1352" s="3" t="inlineStr">
        <is>
          <t>농림지역</t>
        </is>
      </c>
      <c r="I1352" s="3" t="inlineStr">
        <is>
          <t>임야</t>
        </is>
      </c>
      <c r="J1352" s="3" t="inlineStr">
        <is>
          <t>연동면</t>
        </is>
      </c>
    </row>
    <row r="1353">
      <c r="A1353" s="3" t="n">
        <v>2022</v>
      </c>
      <c r="B1353" s="4" t="n">
        <v>14365</v>
      </c>
      <c r="C1353" s="4" t="n">
        <v>95</v>
      </c>
      <c r="D1353" s="4" t="n">
        <v>28.7375</v>
      </c>
      <c r="E1353" s="5" t="n">
        <v>499.9</v>
      </c>
      <c r="F1353" s="3" t="inlineStr">
        <is>
          <t>연서면</t>
        </is>
      </c>
      <c r="G1353" s="3" t="inlineStr">
        <is>
          <t>봉암리</t>
        </is>
      </c>
      <c r="H1353" s="3" t="inlineStr">
        <is>
          <t>계획관리지역</t>
        </is>
      </c>
      <c r="I1353" s="3" t="inlineStr">
        <is>
          <t>전</t>
        </is>
      </c>
      <c r="J1353" s="3" t="inlineStr">
        <is>
          <t>연서면</t>
        </is>
      </c>
    </row>
    <row r="1354">
      <c r="A1354" s="3" t="n">
        <v>2022</v>
      </c>
      <c r="B1354" s="4" t="n">
        <v>203000</v>
      </c>
      <c r="C1354" s="4" t="n">
        <v>1523</v>
      </c>
      <c r="D1354" s="4" t="n">
        <v>460.7075</v>
      </c>
      <c r="E1354" s="5" t="n">
        <v>440.6</v>
      </c>
      <c r="F1354" s="3" t="inlineStr">
        <is>
          <t>부강면</t>
        </is>
      </c>
      <c r="G1354" s="3" t="inlineStr">
        <is>
          <t>부강리</t>
        </is>
      </c>
      <c r="H1354" s="3" t="inlineStr">
        <is>
          <t>일반공업지역</t>
        </is>
      </c>
      <c r="I1354" s="3" t="inlineStr">
        <is>
          <t>답</t>
        </is>
      </c>
      <c r="J1354" s="3" t="inlineStr">
        <is>
          <t>부강면</t>
        </is>
      </c>
    </row>
    <row r="1355">
      <c r="A1355" s="3" t="n">
        <v>2022</v>
      </c>
      <c r="B1355" s="4" t="n">
        <v>73756</v>
      </c>
      <c r="C1355" s="4" t="n">
        <v>14772</v>
      </c>
      <c r="D1355" s="4" t="n">
        <v>4468.53</v>
      </c>
      <c r="E1355" s="5" t="n">
        <v>16.5</v>
      </c>
      <c r="F1355" s="3" t="inlineStr">
        <is>
          <t>연서면</t>
        </is>
      </c>
      <c r="G1355" s="3" t="inlineStr">
        <is>
          <t>쌍류리</t>
        </is>
      </c>
      <c r="H1355" s="3" t="inlineStr">
        <is>
          <t>농림지역</t>
        </is>
      </c>
      <c r="I1355" s="3" t="inlineStr">
        <is>
          <t>임야</t>
        </is>
      </c>
      <c r="J1355" s="3" t="inlineStr">
        <is>
          <t>연서면</t>
        </is>
      </c>
    </row>
    <row r="1356">
      <c r="A1356" s="3" t="n">
        <v>2022</v>
      </c>
      <c r="B1356" s="4" t="n">
        <v>6300</v>
      </c>
      <c r="C1356" s="4" t="n">
        <v>2675</v>
      </c>
      <c r="D1356" s="4" t="n">
        <v>809.1875</v>
      </c>
      <c r="E1356" s="5" t="n">
        <v>7.8</v>
      </c>
      <c r="F1356" s="3" t="inlineStr">
        <is>
          <t>연서면</t>
        </is>
      </c>
      <c r="G1356" s="3" t="inlineStr">
        <is>
          <t>쌍류리</t>
        </is>
      </c>
      <c r="H1356" s="3" t="inlineStr">
        <is>
          <t>보전관리지역</t>
        </is>
      </c>
      <c r="I1356" s="3" t="inlineStr">
        <is>
          <t>임야</t>
        </is>
      </c>
      <c r="J1356" s="3" t="inlineStr">
        <is>
          <t>연서면</t>
        </is>
      </c>
    </row>
    <row r="1357">
      <c r="A1357" s="3" t="n">
        <v>2022</v>
      </c>
      <c r="B1357" s="4" t="n">
        <v>1000</v>
      </c>
      <c r="C1357" s="4" t="n">
        <v>345</v>
      </c>
      <c r="D1357" s="4" t="n">
        <v>104.3625</v>
      </c>
      <c r="E1357" s="5" t="n">
        <v>9.6</v>
      </c>
      <c r="F1357" s="3" t="inlineStr">
        <is>
          <t>연서면</t>
        </is>
      </c>
      <c r="G1357" s="3" t="inlineStr">
        <is>
          <t>쌍류리</t>
        </is>
      </c>
      <c r="H1357" s="3" t="inlineStr">
        <is>
          <t>보전관리지역</t>
        </is>
      </c>
      <c r="I1357" s="3" t="inlineStr">
        <is>
          <t>임야</t>
        </is>
      </c>
      <c r="J1357" s="3" t="inlineStr">
        <is>
          <t>연서면</t>
        </is>
      </c>
    </row>
    <row r="1358">
      <c r="A1358" s="3" t="n">
        <v>2022</v>
      </c>
      <c r="B1358" s="4" t="n">
        <v>2700</v>
      </c>
      <c r="C1358" s="4" t="n">
        <v>318</v>
      </c>
      <c r="D1358" s="4" t="n">
        <v>96.19499999999999</v>
      </c>
      <c r="E1358" s="5" t="n">
        <v>28.1</v>
      </c>
      <c r="F1358" s="3" t="inlineStr">
        <is>
          <t>연서면</t>
        </is>
      </c>
      <c r="G1358" s="3" t="inlineStr">
        <is>
          <t>쌍류리</t>
        </is>
      </c>
      <c r="H1358" s="3" t="inlineStr">
        <is>
          <t>보전관리지역</t>
        </is>
      </c>
      <c r="I1358" s="3" t="inlineStr">
        <is>
          <t>임야</t>
        </is>
      </c>
      <c r="J1358" s="3" t="inlineStr">
        <is>
          <t>연서면</t>
        </is>
      </c>
    </row>
    <row r="1359">
      <c r="A1359" s="3" t="n">
        <v>2024</v>
      </c>
      <c r="B1359" s="4" t="n">
        <v>43000</v>
      </c>
      <c r="C1359" s="4" t="n">
        <v>303</v>
      </c>
      <c r="D1359" s="4" t="n">
        <v>91.6575</v>
      </c>
      <c r="E1359" s="5" t="n">
        <v>469.1</v>
      </c>
      <c r="F1359" s="3" t="inlineStr">
        <is>
          <t>연동면</t>
        </is>
      </c>
      <c r="G1359" s="3" t="inlineStr">
        <is>
          <t>내판리</t>
        </is>
      </c>
      <c r="H1359" s="3" t="inlineStr">
        <is>
          <t>계획관리지역</t>
        </is>
      </c>
      <c r="I1359" s="3" t="inlineStr">
        <is>
          <t>과수원</t>
        </is>
      </c>
      <c r="J1359" s="3" t="inlineStr">
        <is>
          <t>연동면</t>
        </is>
      </c>
    </row>
    <row r="1360">
      <c r="A1360" s="3" t="n">
        <v>2026</v>
      </c>
      <c r="B1360" s="4" t="n">
        <v>205313</v>
      </c>
      <c r="C1360" s="4" t="n">
        <v>3232</v>
      </c>
      <c r="D1360" s="4" t="n">
        <v>977.6799999999999</v>
      </c>
      <c r="E1360" s="5" t="n">
        <v>210</v>
      </c>
      <c r="F1360" s="3" t="inlineStr">
        <is>
          <t>연서면</t>
        </is>
      </c>
      <c r="G1360" s="3" t="inlineStr">
        <is>
          <t>부동리</t>
        </is>
      </c>
      <c r="H1360" s="3" t="inlineStr">
        <is>
          <t>계획관리지역</t>
        </is>
      </c>
      <c r="I1360" s="3" t="inlineStr">
        <is>
          <t>과수원</t>
        </is>
      </c>
      <c r="J1360" s="3" t="inlineStr">
        <is>
          <t>연서면</t>
        </is>
      </c>
    </row>
    <row r="1361">
      <c r="A1361" s="3" t="n">
        <v>2026</v>
      </c>
      <c r="B1361" s="4" t="n">
        <v>21650</v>
      </c>
      <c r="C1361" s="4" t="n">
        <v>2331</v>
      </c>
      <c r="D1361" s="4" t="n">
        <v>705.1274999999999</v>
      </c>
      <c r="E1361" s="5" t="n">
        <v>30.7</v>
      </c>
      <c r="F1361" s="3" t="inlineStr">
        <is>
          <t>연서면</t>
        </is>
      </c>
      <c r="G1361" s="3" t="inlineStr">
        <is>
          <t>청라리</t>
        </is>
      </c>
      <c r="H1361" s="3" t="inlineStr">
        <is>
          <t>생산관리지역</t>
        </is>
      </c>
      <c r="I1361" s="3" t="inlineStr">
        <is>
          <t>답</t>
        </is>
      </c>
      <c r="J1361" s="3" t="inlineStr">
        <is>
          <t>연서면</t>
        </is>
      </c>
    </row>
    <row r="1362">
      <c r="A1362" s="3" t="n">
        <v>2022</v>
      </c>
      <c r="B1362" s="4" t="n">
        <v>51000</v>
      </c>
      <c r="C1362" s="4" t="n">
        <v>2255</v>
      </c>
      <c r="D1362" s="4" t="n">
        <v>682.1374999999999</v>
      </c>
      <c r="E1362" s="5" t="n">
        <v>74.8</v>
      </c>
      <c r="F1362" s="3" t="inlineStr">
        <is>
          <t>남이면</t>
        </is>
      </c>
      <c r="G1362" s="3" t="inlineStr">
        <is>
          <t>수대리</t>
        </is>
      </c>
      <c r="H1362" s="3" t="inlineStr">
        <is>
          <t>자연녹지지역</t>
        </is>
      </c>
      <c r="I1362" s="3" t="inlineStr">
        <is>
          <t>답</t>
        </is>
      </c>
      <c r="J1362" s="3" t="inlineStr">
        <is>
          <t>남이면</t>
        </is>
      </c>
    </row>
    <row r="1363">
      <c r="A1363" s="3" t="n">
        <v>2026</v>
      </c>
      <c r="B1363" s="4" t="n">
        <v>12800</v>
      </c>
      <c r="C1363" s="4" t="n">
        <v>1259</v>
      </c>
      <c r="D1363" s="4" t="n">
        <v>380.8475</v>
      </c>
      <c r="E1363" s="5" t="n">
        <v>33.6</v>
      </c>
      <c r="F1363" s="3" t="inlineStr">
        <is>
          <t>남이면</t>
        </is>
      </c>
      <c r="G1363" s="3" t="inlineStr">
        <is>
          <t>사동리</t>
        </is>
      </c>
      <c r="H1363" s="3" t="inlineStr">
        <is>
          <t>농림지역</t>
        </is>
      </c>
      <c r="I1363" s="3" t="inlineStr">
        <is>
          <t>전</t>
        </is>
      </c>
      <c r="J1363" s="3" t="inlineStr">
        <is>
          <t>남이면</t>
        </is>
      </c>
    </row>
    <row r="1364">
      <c r="A1364" s="3" t="n">
        <v>2026</v>
      </c>
      <c r="B1364" s="4" t="n">
        <v>3200</v>
      </c>
      <c r="C1364" s="4" t="n">
        <v>311.3</v>
      </c>
      <c r="D1364" s="4" t="n">
        <v>94.16825</v>
      </c>
      <c r="E1364" s="5" t="n">
        <v>34</v>
      </c>
      <c r="F1364" s="3" t="inlineStr">
        <is>
          <t>남이면</t>
        </is>
      </c>
      <c r="G1364" s="3" t="inlineStr">
        <is>
          <t>사동리</t>
        </is>
      </c>
      <c r="H1364" s="3" t="inlineStr">
        <is>
          <t>농림지역</t>
        </is>
      </c>
      <c r="I1364" s="3" t="inlineStr">
        <is>
          <t>답</t>
        </is>
      </c>
      <c r="J1364" s="3" t="inlineStr">
        <is>
          <t>남이면</t>
        </is>
      </c>
    </row>
    <row r="1365">
      <c r="A1365" s="3" t="n">
        <v>2026</v>
      </c>
      <c r="B1365" s="4" t="n">
        <v>4741</v>
      </c>
      <c r="C1365" s="4" t="n">
        <v>442</v>
      </c>
      <c r="D1365" s="4" t="n">
        <v>133.705</v>
      </c>
      <c r="E1365" s="5" t="n">
        <v>35.5</v>
      </c>
      <c r="F1365" s="3" t="inlineStr">
        <is>
          <t>남이면</t>
        </is>
      </c>
      <c r="G1365" s="3" t="inlineStr">
        <is>
          <t>팔봉리</t>
        </is>
      </c>
      <c r="H1365" s="3" t="inlineStr">
        <is>
          <t>자연녹지지역</t>
        </is>
      </c>
      <c r="I1365" s="3" t="inlineStr">
        <is>
          <t>전</t>
        </is>
      </c>
      <c r="J1365" s="3" t="inlineStr">
        <is>
          <t>남이면</t>
        </is>
      </c>
    </row>
    <row r="1366">
      <c r="A1366" s="3" t="n">
        <v>2026</v>
      </c>
      <c r="B1366" s="4" t="n">
        <v>64738</v>
      </c>
      <c r="C1366" s="4" t="n">
        <v>1782</v>
      </c>
      <c r="D1366" s="4" t="n">
        <v>539.0549999999999</v>
      </c>
      <c r="E1366" s="5" t="n">
        <v>120.1</v>
      </c>
      <c r="F1366" s="3" t="inlineStr">
        <is>
          <t>남이면</t>
        </is>
      </c>
      <c r="G1366" s="3" t="inlineStr">
        <is>
          <t>부용외천리</t>
        </is>
      </c>
      <c r="H1366" s="3" t="inlineStr">
        <is>
          <t>계획관리지역</t>
        </is>
      </c>
      <c r="I1366" s="3" t="inlineStr">
        <is>
          <t>공장용지</t>
        </is>
      </c>
      <c r="J1366" s="3" t="inlineStr">
        <is>
          <t>남이면</t>
        </is>
      </c>
    </row>
    <row r="1367">
      <c r="A1367" s="3" t="n">
        <v>2026</v>
      </c>
      <c r="B1367" s="4" t="n">
        <v>31928</v>
      </c>
      <c r="C1367" s="4" t="n">
        <v>916</v>
      </c>
      <c r="D1367" s="4" t="n">
        <v>277.09</v>
      </c>
      <c r="E1367" s="5" t="n">
        <v>115.2</v>
      </c>
      <c r="F1367" s="3" t="inlineStr">
        <is>
          <t>남이면</t>
        </is>
      </c>
      <c r="G1367" s="3" t="inlineStr">
        <is>
          <t>부용외천리</t>
        </is>
      </c>
      <c r="H1367" s="3" t="inlineStr">
        <is>
          <t>계획관리지역</t>
        </is>
      </c>
      <c r="I1367" s="3" t="inlineStr">
        <is>
          <t>공장용지</t>
        </is>
      </c>
      <c r="J1367" s="3" t="inlineStr">
        <is>
          <t>남이면</t>
        </is>
      </c>
    </row>
    <row r="1368">
      <c r="A1368" s="3" t="n">
        <v>2026</v>
      </c>
      <c r="B1368" s="4" t="n">
        <v>60540</v>
      </c>
      <c r="C1368" s="4" t="n">
        <v>1062</v>
      </c>
      <c r="D1368" s="4" t="n">
        <v>321.255</v>
      </c>
      <c r="E1368" s="5" t="n">
        <v>188.4</v>
      </c>
      <c r="F1368" s="3" t="inlineStr">
        <is>
          <t>남이면</t>
        </is>
      </c>
      <c r="G1368" s="3" t="inlineStr">
        <is>
          <t>부용외천리</t>
        </is>
      </c>
      <c r="H1368" s="3" t="inlineStr">
        <is>
          <t>계획관리지역</t>
        </is>
      </c>
      <c r="I1368" s="3" t="inlineStr">
        <is>
          <t>공장용지</t>
        </is>
      </c>
      <c r="J1368" s="3" t="inlineStr">
        <is>
          <t>남이면</t>
        </is>
      </c>
    </row>
    <row r="1369">
      <c r="A1369" s="3" t="n">
        <v>2026</v>
      </c>
      <c r="B1369" s="4" t="n">
        <v>39507</v>
      </c>
      <c r="C1369" s="4" t="n">
        <v>660</v>
      </c>
      <c r="D1369" s="4" t="n">
        <v>199.65</v>
      </c>
      <c r="E1369" s="5" t="n">
        <v>197.9</v>
      </c>
      <c r="F1369" s="3" t="inlineStr">
        <is>
          <t>남이면</t>
        </is>
      </c>
      <c r="G1369" s="3" t="inlineStr">
        <is>
          <t>부용외천리</t>
        </is>
      </c>
      <c r="H1369" s="3" t="inlineStr">
        <is>
          <t>계획관리지역</t>
        </is>
      </c>
      <c r="I1369" s="3" t="inlineStr">
        <is>
          <t>공장용지</t>
        </is>
      </c>
      <c r="J1369" s="3" t="inlineStr">
        <is>
          <t>남이면</t>
        </is>
      </c>
    </row>
    <row r="1370">
      <c r="A1370" s="3" t="n">
        <v>2026</v>
      </c>
      <c r="B1370" s="4" t="n">
        <v>12880</v>
      </c>
      <c r="C1370" s="4" t="n">
        <v>218</v>
      </c>
      <c r="D1370" s="4" t="n">
        <v>65.94499999999999</v>
      </c>
      <c r="E1370" s="5" t="n">
        <v>195.3</v>
      </c>
      <c r="F1370" s="3" t="inlineStr">
        <is>
          <t>남이면</t>
        </is>
      </c>
      <c r="G1370" s="3" t="inlineStr">
        <is>
          <t>부용외천리</t>
        </is>
      </c>
      <c r="H1370" s="3" t="inlineStr">
        <is>
          <t>계획관리지역</t>
        </is>
      </c>
      <c r="I1370" s="3" t="inlineStr">
        <is>
          <t>공장용지</t>
        </is>
      </c>
      <c r="J1370" s="3" t="inlineStr">
        <is>
          <t>남이면</t>
        </is>
      </c>
    </row>
    <row r="1371">
      <c r="A1371" s="3" t="n">
        <v>2022</v>
      </c>
      <c r="B1371" s="4" t="n">
        <v>700</v>
      </c>
      <c r="C1371" s="4" t="n">
        <v>116</v>
      </c>
      <c r="D1371" s="4" t="n">
        <v>35.09</v>
      </c>
      <c r="E1371" s="5" t="n">
        <v>19.9</v>
      </c>
      <c r="F1371" s="3" t="inlineStr">
        <is>
          <t>부강면</t>
        </is>
      </c>
      <c r="G1371" s="3" t="inlineStr">
        <is>
          <t>등곡리</t>
        </is>
      </c>
      <c r="H1371" s="3" t="inlineStr">
        <is>
          <t>보전관리지역</t>
        </is>
      </c>
      <c r="I1371" s="3" t="inlineStr">
        <is>
          <t>임야</t>
        </is>
      </c>
      <c r="J1371" s="3" t="inlineStr">
        <is>
          <t>부강면</t>
        </is>
      </c>
    </row>
    <row r="1372">
      <c r="A1372" s="3" t="n">
        <v>2022</v>
      </c>
      <c r="B1372" s="4" t="n">
        <v>2244</v>
      </c>
      <c r="C1372" s="4" t="n">
        <v>68</v>
      </c>
      <c r="D1372" s="4" t="n">
        <v>20.57</v>
      </c>
      <c r="E1372" s="5" t="n">
        <v>109.1</v>
      </c>
      <c r="F1372" s="3" t="inlineStr">
        <is>
          <t>연서면</t>
        </is>
      </c>
      <c r="G1372" s="3" t="inlineStr">
        <is>
          <t>봉암리</t>
        </is>
      </c>
      <c r="H1372" s="3" t="inlineStr">
        <is>
          <t>계획관리지역</t>
        </is>
      </c>
      <c r="I1372" s="3" t="inlineStr">
        <is>
          <t>전</t>
        </is>
      </c>
      <c r="J1372" s="3" t="inlineStr">
        <is>
          <t>연서면</t>
        </is>
      </c>
    </row>
    <row r="1373">
      <c r="A1373" s="3" t="n">
        <v>2022</v>
      </c>
      <c r="B1373" s="4" t="n">
        <v>17427</v>
      </c>
      <c r="C1373" s="4" t="n">
        <v>1558</v>
      </c>
      <c r="D1373" s="4" t="n">
        <v>471.295</v>
      </c>
      <c r="E1373" s="5" t="n">
        <v>37</v>
      </c>
      <c r="F1373" s="3" t="inlineStr">
        <is>
          <t>연서면</t>
        </is>
      </c>
      <c r="G1373" s="3" t="inlineStr">
        <is>
          <t>쌍류리</t>
        </is>
      </c>
      <c r="H1373" s="3" t="inlineStr">
        <is>
          <t>생산관리지역</t>
        </is>
      </c>
      <c r="I1373" s="3" t="inlineStr">
        <is>
          <t>전</t>
        </is>
      </c>
      <c r="J1373" s="3" t="inlineStr">
        <is>
          <t>연서면</t>
        </is>
      </c>
    </row>
    <row r="1374">
      <c r="A1374" s="3" t="n">
        <v>2022</v>
      </c>
      <c r="B1374" s="4" t="n">
        <v>94000</v>
      </c>
      <c r="C1374" s="4" t="n">
        <v>710</v>
      </c>
      <c r="D1374" s="4" t="n">
        <v>214.775</v>
      </c>
      <c r="E1374" s="5" t="n">
        <v>437.7</v>
      </c>
      <c r="F1374" s="3" t="inlineStr">
        <is>
          <t>조치원읍</t>
        </is>
      </c>
      <c r="G1374" s="3" t="inlineStr">
        <is>
          <t>봉산리</t>
        </is>
      </c>
      <c r="H1374" s="3" t="inlineStr">
        <is>
          <t>자연녹지지역</t>
        </is>
      </c>
      <c r="I1374" s="3" t="inlineStr">
        <is>
          <t>과수원</t>
        </is>
      </c>
      <c r="J1374" s="3" t="inlineStr">
        <is>
          <t>조치원읍</t>
        </is>
      </c>
    </row>
    <row r="1375">
      <c r="A1375" s="3" t="n">
        <v>2024</v>
      </c>
      <c r="B1375" s="4" t="n">
        <v>7500</v>
      </c>
      <c r="C1375" s="4" t="n">
        <v>451</v>
      </c>
      <c r="D1375" s="4" t="n">
        <v>136.4275</v>
      </c>
      <c r="E1375" s="5" t="n">
        <v>55</v>
      </c>
      <c r="F1375" s="3" t="inlineStr">
        <is>
          <t>남이면</t>
        </is>
      </c>
      <c r="G1375" s="3" t="inlineStr">
        <is>
          <t>팔봉리</t>
        </is>
      </c>
      <c r="H1375" s="3" t="inlineStr">
        <is>
          <t>자연녹지지역</t>
        </is>
      </c>
      <c r="I1375" s="3" t="inlineStr">
        <is>
          <t>대</t>
        </is>
      </c>
      <c r="J1375" s="3" t="inlineStr">
        <is>
          <t>남이면</t>
        </is>
      </c>
    </row>
    <row r="1376">
      <c r="A1376" s="3" t="n">
        <v>2024</v>
      </c>
      <c r="B1376" s="4" t="n">
        <v>28034</v>
      </c>
      <c r="C1376" s="4" t="n">
        <v>2109</v>
      </c>
      <c r="D1376" s="4" t="n">
        <v>637.9725</v>
      </c>
      <c r="E1376" s="5" t="n">
        <v>43.9</v>
      </c>
      <c r="F1376" s="3" t="inlineStr">
        <is>
          <t>남이면</t>
        </is>
      </c>
      <c r="G1376" s="3" t="inlineStr">
        <is>
          <t>비룡리</t>
        </is>
      </c>
      <c r="H1376" s="3" t="inlineStr">
        <is>
          <t>계획관리지역</t>
        </is>
      </c>
      <c r="I1376" s="3" t="inlineStr">
        <is>
          <t>전</t>
        </is>
      </c>
      <c r="J1376" s="3" t="inlineStr">
        <is>
          <t>남이면</t>
        </is>
      </c>
    </row>
    <row r="1377">
      <c r="A1377" s="3" t="n">
        <v>2024</v>
      </c>
      <c r="B1377" s="4" t="n">
        <v>400</v>
      </c>
      <c r="C1377" s="4" t="n">
        <v>13</v>
      </c>
      <c r="D1377" s="4" t="n">
        <v>3.9325</v>
      </c>
      <c r="E1377" s="5" t="n">
        <v>101.7</v>
      </c>
      <c r="F1377" s="3" t="inlineStr">
        <is>
          <t>남이면</t>
        </is>
      </c>
      <c r="G1377" s="3" t="inlineStr">
        <is>
          <t>석실리</t>
        </is>
      </c>
      <c r="H1377" s="3" t="inlineStr">
        <is>
          <t>자연녹지지역</t>
        </is>
      </c>
      <c r="I1377" s="3" t="inlineStr">
        <is>
          <t>전</t>
        </is>
      </c>
      <c r="J1377" s="3" t="inlineStr">
        <is>
          <t>남이면</t>
        </is>
      </c>
    </row>
    <row r="1378">
      <c r="A1378" s="3" t="n">
        <v>2024</v>
      </c>
      <c r="B1378" s="4" t="n">
        <v>400</v>
      </c>
      <c r="C1378" s="4" t="n">
        <v>13</v>
      </c>
      <c r="D1378" s="4" t="n">
        <v>3.9325</v>
      </c>
      <c r="E1378" s="5" t="n">
        <v>101.7</v>
      </c>
      <c r="F1378" s="3" t="inlineStr">
        <is>
          <t>남이면</t>
        </is>
      </c>
      <c r="G1378" s="3" t="inlineStr">
        <is>
          <t>석실리</t>
        </is>
      </c>
      <c r="H1378" s="3" t="inlineStr">
        <is>
          <t>자연녹지지역</t>
        </is>
      </c>
      <c r="I1378" s="3" t="inlineStr">
        <is>
          <t>전</t>
        </is>
      </c>
      <c r="J1378" s="3" t="inlineStr">
        <is>
          <t>남이면</t>
        </is>
      </c>
    </row>
    <row r="1379">
      <c r="A1379" s="3" t="n">
        <v>2024</v>
      </c>
      <c r="B1379" s="4" t="n">
        <v>94446</v>
      </c>
      <c r="C1379" s="4" t="n">
        <v>5736</v>
      </c>
      <c r="D1379" s="4" t="n">
        <v>1735.14</v>
      </c>
      <c r="E1379" s="5" t="n">
        <v>54.4</v>
      </c>
      <c r="F1379" s="3" t="inlineStr">
        <is>
          <t>남이면</t>
        </is>
      </c>
      <c r="G1379" s="3" t="inlineStr">
        <is>
          <t>석실리</t>
        </is>
      </c>
      <c r="H1379" s="3" t="inlineStr">
        <is>
          <t>자연녹지지역</t>
        </is>
      </c>
      <c r="I1379" s="3" t="inlineStr">
        <is>
          <t>전</t>
        </is>
      </c>
      <c r="J1379" s="3" t="inlineStr">
        <is>
          <t>남이면</t>
        </is>
      </c>
    </row>
    <row r="1380">
      <c r="A1380" s="3" t="n">
        <v>2024</v>
      </c>
      <c r="B1380" s="4" t="n">
        <v>3300</v>
      </c>
      <c r="C1380" s="4" t="n">
        <v>72</v>
      </c>
      <c r="D1380" s="4" t="n">
        <v>21.78</v>
      </c>
      <c r="E1380" s="5" t="n">
        <v>151.5</v>
      </c>
      <c r="F1380" s="3" t="inlineStr">
        <is>
          <t>남이면</t>
        </is>
      </c>
      <c r="G1380" s="3" t="inlineStr">
        <is>
          <t>부용외천리</t>
        </is>
      </c>
      <c r="H1380" s="3" t="inlineStr">
        <is>
          <t>계획관리지역</t>
        </is>
      </c>
      <c r="I1380" s="3" t="inlineStr">
        <is>
          <t>임야</t>
        </is>
      </c>
      <c r="J1380" s="3" t="inlineStr">
        <is>
          <t>남이면</t>
        </is>
      </c>
    </row>
    <row r="1381">
      <c r="A1381" s="3" t="n">
        <v>2024</v>
      </c>
      <c r="B1381" s="4" t="n">
        <v>22500</v>
      </c>
      <c r="C1381" s="4" t="n">
        <v>2803</v>
      </c>
      <c r="D1381" s="4" t="n">
        <v>847.9075</v>
      </c>
      <c r="E1381" s="5" t="n">
        <v>26.5</v>
      </c>
      <c r="F1381" s="3" t="inlineStr">
        <is>
          <t>남이면</t>
        </is>
      </c>
      <c r="G1381" s="3" t="inlineStr">
        <is>
          <t>산막리</t>
        </is>
      </c>
      <c r="H1381" s="3" t="inlineStr">
        <is>
          <t>생산관리지역</t>
        </is>
      </c>
      <c r="I1381" s="3" t="inlineStr">
        <is>
          <t>전</t>
        </is>
      </c>
      <c r="J1381" s="3" t="inlineStr">
        <is>
          <t>남이면</t>
        </is>
      </c>
    </row>
    <row r="1382">
      <c r="A1382" s="3" t="n">
        <v>2024</v>
      </c>
      <c r="B1382" s="4" t="n">
        <v>7500</v>
      </c>
      <c r="C1382" s="4" t="n">
        <v>982</v>
      </c>
      <c r="D1382" s="4" t="n">
        <v>297.055</v>
      </c>
      <c r="E1382" s="5" t="n">
        <v>25.2</v>
      </c>
      <c r="F1382" s="3" t="inlineStr">
        <is>
          <t>남이면</t>
        </is>
      </c>
      <c r="G1382" s="3" t="inlineStr">
        <is>
          <t>산막리</t>
        </is>
      </c>
      <c r="H1382" s="3" t="inlineStr">
        <is>
          <t>생산관리지역</t>
        </is>
      </c>
      <c r="I1382" s="3" t="inlineStr">
        <is>
          <t>전</t>
        </is>
      </c>
      <c r="J1382" s="3" t="inlineStr">
        <is>
          <t>남이면</t>
        </is>
      </c>
    </row>
    <row r="1383">
      <c r="A1383" s="3" t="n">
        <v>2024</v>
      </c>
      <c r="B1383" s="4" t="n">
        <v>24000</v>
      </c>
      <c r="C1383" s="4" t="n">
        <v>8331</v>
      </c>
      <c r="D1383" s="4" t="n">
        <v>2520.1275</v>
      </c>
      <c r="E1383" s="5" t="n">
        <v>9.5</v>
      </c>
      <c r="F1383" s="3" t="inlineStr">
        <is>
          <t>남이면</t>
        </is>
      </c>
      <c r="G1383" s="3" t="inlineStr">
        <is>
          <t>수대리</t>
        </is>
      </c>
      <c r="H1383" s="3" t="inlineStr">
        <is>
          <t>보전녹지지역</t>
        </is>
      </c>
      <c r="I1383" s="3" t="inlineStr">
        <is>
          <t>임야</t>
        </is>
      </c>
      <c r="J1383" s="3" t="inlineStr">
        <is>
          <t>남이면</t>
        </is>
      </c>
    </row>
    <row r="1384">
      <c r="A1384" s="3" t="n">
        <v>2024</v>
      </c>
      <c r="B1384" s="4" t="n">
        <v>45000</v>
      </c>
      <c r="C1384" s="4" t="n">
        <v>1653</v>
      </c>
      <c r="D1384" s="4" t="n">
        <v>500.0325</v>
      </c>
      <c r="E1384" s="5" t="n">
        <v>90</v>
      </c>
      <c r="F1384" s="3" t="inlineStr">
        <is>
          <t>남이면</t>
        </is>
      </c>
      <c r="G1384" s="3" t="inlineStr">
        <is>
          <t>석실리</t>
        </is>
      </c>
      <c r="H1384" s="3" t="inlineStr">
        <is>
          <t>자연녹지지역</t>
        </is>
      </c>
      <c r="I1384" s="3" t="inlineStr">
        <is>
          <t>답</t>
        </is>
      </c>
      <c r="J1384" s="3" t="inlineStr">
        <is>
          <t>남이면</t>
        </is>
      </c>
    </row>
    <row r="1385">
      <c r="A1385" s="3" t="n">
        <v>2024</v>
      </c>
      <c r="B1385" s="4" t="n">
        <v>50000</v>
      </c>
      <c r="C1385" s="4" t="n">
        <v>1825</v>
      </c>
      <c r="D1385" s="4" t="n">
        <v>552.0625</v>
      </c>
      <c r="E1385" s="5" t="n">
        <v>90.59999999999999</v>
      </c>
      <c r="F1385" s="3" t="inlineStr">
        <is>
          <t>남이면</t>
        </is>
      </c>
      <c r="G1385" s="3" t="inlineStr">
        <is>
          <t>석실리</t>
        </is>
      </c>
      <c r="H1385" s="3" t="inlineStr">
        <is>
          <t>자연녹지지역</t>
        </is>
      </c>
      <c r="I1385" s="3" t="inlineStr">
        <is>
          <t>답</t>
        </is>
      </c>
      <c r="J1385" s="3" t="inlineStr">
        <is>
          <t>남이면</t>
        </is>
      </c>
    </row>
    <row r="1386">
      <c r="A1386" s="3" t="n">
        <v>2024</v>
      </c>
      <c r="B1386" s="4" t="n">
        <v>9000</v>
      </c>
      <c r="C1386" s="4" t="n">
        <v>3187</v>
      </c>
      <c r="D1386" s="4" t="n">
        <v>964.0675</v>
      </c>
      <c r="E1386" s="5" t="n">
        <v>9.300000000000001</v>
      </c>
      <c r="F1386" s="3" t="inlineStr">
        <is>
          <t>남이면</t>
        </is>
      </c>
      <c r="G1386" s="3" t="inlineStr">
        <is>
          <t>척산리</t>
        </is>
      </c>
      <c r="H1386" s="3" t="inlineStr">
        <is>
          <t>생산관리지역</t>
        </is>
      </c>
      <c r="I1386" s="3" t="inlineStr">
        <is>
          <t>임야</t>
        </is>
      </c>
      <c r="J1386" s="3" t="inlineStr">
        <is>
          <t>남이면</t>
        </is>
      </c>
    </row>
    <row r="1387">
      <c r="A1387" s="3" t="n">
        <v>2024</v>
      </c>
      <c r="B1387" s="4" t="n">
        <v>3070</v>
      </c>
      <c r="C1387" s="4" t="n">
        <v>73</v>
      </c>
      <c r="D1387" s="4" t="n">
        <v>22.0825</v>
      </c>
      <c r="E1387" s="5" t="n">
        <v>139</v>
      </c>
      <c r="F1387" s="3" t="inlineStr">
        <is>
          <t>남이면</t>
        </is>
      </c>
      <c r="G1387" s="3" t="inlineStr">
        <is>
          <t>가좌리</t>
        </is>
      </c>
      <c r="H1387" s="3" t="inlineStr">
        <is>
          <t>자연녹지지역</t>
        </is>
      </c>
      <c r="I1387" s="3" t="inlineStr">
        <is>
          <t>답</t>
        </is>
      </c>
      <c r="J1387" s="3" t="inlineStr">
        <is>
          <t>남이면</t>
        </is>
      </c>
    </row>
    <row r="1388">
      <c r="A1388" s="3" t="n">
        <v>2024</v>
      </c>
      <c r="B1388" s="4" t="n">
        <v>9060</v>
      </c>
      <c r="C1388" s="4" t="n">
        <v>214.9</v>
      </c>
      <c r="D1388" s="4" t="n">
        <v>65.00725</v>
      </c>
      <c r="E1388" s="5" t="n">
        <v>139.4</v>
      </c>
      <c r="F1388" s="3" t="inlineStr">
        <is>
          <t>남이면</t>
        </is>
      </c>
      <c r="G1388" s="3" t="inlineStr">
        <is>
          <t>가좌리</t>
        </is>
      </c>
      <c r="H1388" s="3" t="inlineStr">
        <is>
          <t>자연녹지지역</t>
        </is>
      </c>
      <c r="I1388" s="3" t="inlineStr">
        <is>
          <t>답</t>
        </is>
      </c>
      <c r="J1388" s="3" t="inlineStr">
        <is>
          <t>남이면</t>
        </is>
      </c>
    </row>
    <row r="1389">
      <c r="A1389" s="3" t="n">
        <v>2024</v>
      </c>
      <c r="B1389" s="4" t="n">
        <v>7000</v>
      </c>
      <c r="C1389" s="4" t="n">
        <v>271</v>
      </c>
      <c r="D1389" s="4" t="n">
        <v>81.97749999999999</v>
      </c>
      <c r="E1389" s="5" t="n">
        <v>85.40000000000001</v>
      </c>
      <c r="F1389" s="3" t="inlineStr">
        <is>
          <t>남이면</t>
        </is>
      </c>
      <c r="G1389" s="3" t="inlineStr">
        <is>
          <t>석판리</t>
        </is>
      </c>
      <c r="H1389" s="3" t="inlineStr">
        <is>
          <t>자연녹지지역</t>
        </is>
      </c>
      <c r="I1389" s="3" t="inlineStr">
        <is>
          <t>전</t>
        </is>
      </c>
      <c r="J1389" s="3" t="inlineStr">
        <is>
          <t>남이면</t>
        </is>
      </c>
    </row>
    <row r="1390">
      <c r="A1390" s="3" t="n">
        <v>2025</v>
      </c>
      <c r="B1390" s="4" t="n">
        <v>12174</v>
      </c>
      <c r="C1390" s="4" t="n">
        <v>1785</v>
      </c>
      <c r="D1390" s="4" t="n">
        <v>539.9625</v>
      </c>
      <c r="E1390" s="5" t="n">
        <v>22.5</v>
      </c>
      <c r="F1390" s="3" t="inlineStr">
        <is>
          <t>남이면</t>
        </is>
      </c>
      <c r="G1390" s="3" t="inlineStr">
        <is>
          <t>수대리</t>
        </is>
      </c>
      <c r="H1390" s="3" t="inlineStr">
        <is>
          <t>보전녹지지역</t>
        </is>
      </c>
      <c r="I1390" s="3" t="inlineStr">
        <is>
          <t>전</t>
        </is>
      </c>
      <c r="J1390" s="3" t="inlineStr">
        <is>
          <t>남이면</t>
        </is>
      </c>
    </row>
    <row r="1391">
      <c r="A1391" s="3" t="n">
        <v>2025</v>
      </c>
      <c r="B1391" s="4" t="n">
        <v>15800</v>
      </c>
      <c r="C1391" s="4" t="n">
        <v>9078</v>
      </c>
      <c r="D1391" s="4" t="n">
        <v>2746.095</v>
      </c>
      <c r="E1391" s="5" t="n">
        <v>5.8</v>
      </c>
      <c r="F1391" s="3" t="inlineStr">
        <is>
          <t>남이면</t>
        </is>
      </c>
      <c r="G1391" s="3" t="inlineStr">
        <is>
          <t>비룡리</t>
        </is>
      </c>
      <c r="H1391" s="3" t="inlineStr">
        <is>
          <t>계획관리지역</t>
        </is>
      </c>
      <c r="I1391" s="3" t="inlineStr">
        <is>
          <t>임야</t>
        </is>
      </c>
      <c r="J1391" s="3" t="inlineStr">
        <is>
          <t>남이면</t>
        </is>
      </c>
    </row>
    <row r="1392">
      <c r="A1392" s="3" t="n">
        <v>2025</v>
      </c>
      <c r="B1392" s="4" t="n">
        <v>2910</v>
      </c>
      <c r="C1392" s="4" t="n">
        <v>133</v>
      </c>
      <c r="D1392" s="4" t="n">
        <v>40.2325</v>
      </c>
      <c r="E1392" s="5" t="n">
        <v>72.3</v>
      </c>
      <c r="F1392" s="3" t="inlineStr">
        <is>
          <t>남이면</t>
        </is>
      </c>
      <c r="G1392" s="3" t="inlineStr">
        <is>
          <t>양촌리</t>
        </is>
      </c>
      <c r="H1392" s="3" t="inlineStr">
        <is>
          <t>자연녹지지역</t>
        </is>
      </c>
      <c r="I1392" s="3" t="inlineStr">
        <is>
          <t>대</t>
        </is>
      </c>
      <c r="J1392" s="3" t="inlineStr">
        <is>
          <t>남이면</t>
        </is>
      </c>
    </row>
    <row r="1393">
      <c r="A1393" s="3" t="n">
        <v>2025</v>
      </c>
      <c r="B1393" s="4" t="n">
        <v>4769</v>
      </c>
      <c r="C1393" s="4" t="n">
        <v>218</v>
      </c>
      <c r="D1393" s="4" t="n">
        <v>65.94499999999999</v>
      </c>
      <c r="E1393" s="5" t="n">
        <v>72.3</v>
      </c>
      <c r="F1393" s="3" t="inlineStr">
        <is>
          <t>남이면</t>
        </is>
      </c>
      <c r="G1393" s="3" t="inlineStr">
        <is>
          <t>양촌리</t>
        </is>
      </c>
      <c r="H1393" s="3" t="inlineStr">
        <is>
          <t>자연녹지지역</t>
        </is>
      </c>
      <c r="I1393" s="3" t="inlineStr">
        <is>
          <t>임야</t>
        </is>
      </c>
      <c r="J1393" s="3" t="inlineStr">
        <is>
          <t>남이면</t>
        </is>
      </c>
    </row>
    <row r="1394">
      <c r="A1394" s="3" t="n">
        <v>2025</v>
      </c>
      <c r="B1394" s="4" t="n">
        <v>5140</v>
      </c>
      <c r="C1394" s="4" t="n">
        <v>4929</v>
      </c>
      <c r="D1394" s="4" t="n">
        <v>1491.0225</v>
      </c>
      <c r="E1394" s="5" t="n">
        <v>3.4</v>
      </c>
      <c r="F1394" s="3" t="inlineStr">
        <is>
          <t>남이면</t>
        </is>
      </c>
      <c r="G1394" s="3" t="inlineStr">
        <is>
          <t>문동리</t>
        </is>
      </c>
      <c r="H1394" s="3" t="inlineStr">
        <is>
          <t>보전녹지지역</t>
        </is>
      </c>
      <c r="I1394" s="3" t="inlineStr">
        <is>
          <t>임야</t>
        </is>
      </c>
      <c r="J1394" s="3" t="inlineStr">
        <is>
          <t>남이면</t>
        </is>
      </c>
    </row>
    <row r="1395">
      <c r="A1395" s="3" t="n">
        <v>2025</v>
      </c>
      <c r="B1395" s="4" t="n">
        <v>765</v>
      </c>
      <c r="C1395" s="4" t="n">
        <v>473</v>
      </c>
      <c r="D1395" s="4" t="n">
        <v>143.0825</v>
      </c>
      <c r="E1395" s="5" t="n">
        <v>5.3</v>
      </c>
      <c r="F1395" s="3" t="inlineStr">
        <is>
          <t>남이면</t>
        </is>
      </c>
      <c r="G1395" s="3" t="inlineStr">
        <is>
          <t>문동리</t>
        </is>
      </c>
      <c r="H1395" s="3" t="inlineStr">
        <is>
          <t>자연녹지지역</t>
        </is>
      </c>
      <c r="I1395" s="3" t="inlineStr">
        <is>
          <t>임야</t>
        </is>
      </c>
      <c r="J1395" s="3" t="inlineStr">
        <is>
          <t>남이면</t>
        </is>
      </c>
    </row>
    <row r="1396">
      <c r="A1396" s="3" t="n">
        <v>2025</v>
      </c>
      <c r="B1396" s="4" t="n">
        <v>310</v>
      </c>
      <c r="C1396" s="4" t="n">
        <v>206</v>
      </c>
      <c r="D1396" s="4" t="n">
        <v>62.315</v>
      </c>
      <c r="E1396" s="5" t="n">
        <v>5</v>
      </c>
      <c r="F1396" s="3" t="inlineStr">
        <is>
          <t>남이면</t>
        </is>
      </c>
      <c r="G1396" s="3" t="inlineStr">
        <is>
          <t>문동리</t>
        </is>
      </c>
      <c r="H1396" s="3" t="inlineStr">
        <is>
          <t>보전녹지지역</t>
        </is>
      </c>
      <c r="I1396" s="3" t="inlineStr">
        <is>
          <t>임야</t>
        </is>
      </c>
      <c r="J1396" s="3" t="inlineStr">
        <is>
          <t>남이면</t>
        </is>
      </c>
    </row>
    <row r="1397">
      <c r="A1397" s="3" t="n">
        <v>2025</v>
      </c>
      <c r="B1397" s="4" t="n">
        <v>2420</v>
      </c>
      <c r="C1397" s="4" t="n">
        <v>1594</v>
      </c>
      <c r="D1397" s="4" t="n">
        <v>482.185</v>
      </c>
      <c r="E1397" s="5" t="n">
        <v>5</v>
      </c>
      <c r="F1397" s="3" t="inlineStr">
        <is>
          <t>남이면</t>
        </is>
      </c>
      <c r="G1397" s="3" t="inlineStr">
        <is>
          <t>문동리</t>
        </is>
      </c>
      <c r="H1397" s="3" t="inlineStr">
        <is>
          <t>보전녹지지역</t>
        </is>
      </c>
      <c r="I1397" s="3" t="inlineStr">
        <is>
          <t>임야</t>
        </is>
      </c>
      <c r="J1397" s="3" t="inlineStr">
        <is>
          <t>남이면</t>
        </is>
      </c>
    </row>
    <row r="1398">
      <c r="A1398" s="3" t="n">
        <v>2025</v>
      </c>
      <c r="B1398" s="4" t="n">
        <v>975</v>
      </c>
      <c r="C1398" s="4" t="n">
        <v>639</v>
      </c>
      <c r="D1398" s="4" t="n">
        <v>193.2975</v>
      </c>
      <c r="E1398" s="5" t="n">
        <v>5</v>
      </c>
      <c r="F1398" s="3" t="inlineStr">
        <is>
          <t>남이면</t>
        </is>
      </c>
      <c r="G1398" s="3" t="inlineStr">
        <is>
          <t>문동리</t>
        </is>
      </c>
      <c r="H1398" s="3" t="inlineStr">
        <is>
          <t>보전녹지지역</t>
        </is>
      </c>
      <c r="I1398" s="3" t="inlineStr">
        <is>
          <t>임야</t>
        </is>
      </c>
      <c r="J1398" s="3" t="inlineStr">
        <is>
          <t>남이면</t>
        </is>
      </c>
    </row>
    <row r="1399">
      <c r="A1399" s="3" t="n">
        <v>2025</v>
      </c>
      <c r="B1399" s="4" t="n">
        <v>7000</v>
      </c>
      <c r="C1399" s="4" t="n">
        <v>474</v>
      </c>
      <c r="D1399" s="4" t="n">
        <v>143.385</v>
      </c>
      <c r="E1399" s="5" t="n">
        <v>48.8</v>
      </c>
      <c r="F1399" s="3" t="inlineStr">
        <is>
          <t>남이면</t>
        </is>
      </c>
      <c r="G1399" s="3" t="inlineStr">
        <is>
          <t>수대리</t>
        </is>
      </c>
      <c r="H1399" s="3" t="inlineStr">
        <is>
          <t>자연녹지지역</t>
        </is>
      </c>
      <c r="I1399" s="3" t="inlineStr">
        <is>
          <t>임야</t>
        </is>
      </c>
      <c r="J1399" s="3" t="inlineStr">
        <is>
          <t>남이면</t>
        </is>
      </c>
    </row>
    <row r="1400">
      <c r="A1400" s="3" t="n">
        <v>2025</v>
      </c>
      <c r="B1400" s="4" t="n">
        <v>50000</v>
      </c>
      <c r="C1400" s="4" t="n">
        <v>2412</v>
      </c>
      <c r="D1400" s="4" t="n">
        <v>729.63</v>
      </c>
      <c r="E1400" s="5" t="n">
        <v>68.5</v>
      </c>
      <c r="F1400" s="3" t="inlineStr">
        <is>
          <t>남이면</t>
        </is>
      </c>
      <c r="G1400" s="3" t="inlineStr">
        <is>
          <t>척산리</t>
        </is>
      </c>
      <c r="H1400" s="3" t="inlineStr">
        <is>
          <t>농림지역</t>
        </is>
      </c>
      <c r="I1400" s="3" t="inlineStr">
        <is>
          <t>답</t>
        </is>
      </c>
      <c r="J1400" s="3" t="inlineStr">
        <is>
          <t>남이면</t>
        </is>
      </c>
    </row>
    <row r="1401">
      <c r="A1401" s="3" t="n">
        <v>2025</v>
      </c>
      <c r="B1401" s="4" t="n">
        <v>14700</v>
      </c>
      <c r="C1401" s="4" t="n">
        <v>2440</v>
      </c>
      <c r="D1401" s="4" t="n">
        <v>738.1</v>
      </c>
      <c r="E1401" s="5" t="n">
        <v>19.9</v>
      </c>
      <c r="F1401" s="3" t="inlineStr">
        <is>
          <t>남이면</t>
        </is>
      </c>
      <c r="G1401" s="3" t="inlineStr">
        <is>
          <t>사동리</t>
        </is>
      </c>
      <c r="H1401" s="3" t="inlineStr">
        <is>
          <t>생산관리지역</t>
        </is>
      </c>
      <c r="I1401" s="3" t="inlineStr">
        <is>
          <t>답</t>
        </is>
      </c>
      <c r="J1401" s="3" t="inlineStr">
        <is>
          <t>남이면</t>
        </is>
      </c>
    </row>
    <row r="1402">
      <c r="A1402" s="3" t="n">
        <v>2022</v>
      </c>
      <c r="B1402" s="4" t="n">
        <v>2500</v>
      </c>
      <c r="C1402" s="4" t="n">
        <v>334</v>
      </c>
      <c r="D1402" s="4" t="n">
        <v>101.035</v>
      </c>
      <c r="E1402" s="5" t="n">
        <v>24.7</v>
      </c>
      <c r="F1402" s="3" t="inlineStr">
        <is>
          <t>남이면</t>
        </is>
      </c>
      <c r="G1402" s="3" t="inlineStr">
        <is>
          <t>산막리</t>
        </is>
      </c>
      <c r="H1402" s="3" t="inlineStr">
        <is>
          <t>계획관리지역</t>
        </is>
      </c>
      <c r="I1402" s="3" t="inlineStr">
        <is>
          <t>임야</t>
        </is>
      </c>
      <c r="J1402" s="3" t="inlineStr">
        <is>
          <t>남이면</t>
        </is>
      </c>
    </row>
    <row r="1403">
      <c r="A1403" s="3" t="n">
        <v>2022</v>
      </c>
      <c r="B1403" s="4" t="n">
        <v>28900</v>
      </c>
      <c r="C1403" s="4" t="n">
        <v>1649</v>
      </c>
      <c r="D1403" s="4" t="n">
        <v>498.8225</v>
      </c>
      <c r="E1403" s="5" t="n">
        <v>57.9</v>
      </c>
      <c r="F1403" s="3" t="inlineStr">
        <is>
          <t>남이면</t>
        </is>
      </c>
      <c r="G1403" s="3" t="inlineStr">
        <is>
          <t>석판리</t>
        </is>
      </c>
      <c r="H1403" s="3" t="inlineStr">
        <is>
          <t>자연녹지지역</t>
        </is>
      </c>
      <c r="I1403" s="3" t="inlineStr">
        <is>
          <t>임야</t>
        </is>
      </c>
      <c r="J1403" s="3" t="inlineStr">
        <is>
          <t>남이면</t>
        </is>
      </c>
    </row>
    <row r="1404">
      <c r="A1404" s="3" t="n">
        <v>2022</v>
      </c>
      <c r="B1404" s="4" t="n">
        <v>22650</v>
      </c>
      <c r="C1404" s="4" t="n">
        <v>501</v>
      </c>
      <c r="D1404" s="4" t="n">
        <v>151.5525</v>
      </c>
      <c r="E1404" s="5" t="n">
        <v>149.5</v>
      </c>
      <c r="F1404" s="3" t="inlineStr">
        <is>
          <t>남이면</t>
        </is>
      </c>
      <c r="G1404" s="3" t="inlineStr">
        <is>
          <t>석판리</t>
        </is>
      </c>
      <c r="H1404" s="3" t="inlineStr">
        <is>
          <t>자연녹지지역</t>
        </is>
      </c>
      <c r="I1404" s="3" t="inlineStr">
        <is>
          <t>대</t>
        </is>
      </c>
      <c r="J1404" s="3" t="inlineStr">
        <is>
          <t>남이면</t>
        </is>
      </c>
    </row>
    <row r="1405">
      <c r="A1405" s="3" t="n">
        <v>2022</v>
      </c>
      <c r="B1405" s="4" t="n">
        <v>350</v>
      </c>
      <c r="C1405" s="4" t="n">
        <v>8</v>
      </c>
      <c r="D1405" s="4" t="n">
        <v>2.42</v>
      </c>
      <c r="E1405" s="5" t="n">
        <v>144.6</v>
      </c>
      <c r="F1405" s="3" t="inlineStr">
        <is>
          <t>남이면</t>
        </is>
      </c>
      <c r="G1405" s="3" t="inlineStr">
        <is>
          <t>석실리</t>
        </is>
      </c>
      <c r="H1405" s="3" t="inlineStr">
        <is>
          <t>용도미지정</t>
        </is>
      </c>
      <c r="I1405" s="3" t="inlineStr">
        <is>
          <t>도로</t>
        </is>
      </c>
      <c r="J1405" s="3" t="inlineStr">
        <is>
          <t>남이면</t>
        </is>
      </c>
    </row>
    <row r="1406">
      <c r="A1406" s="3" t="n">
        <v>2022</v>
      </c>
      <c r="B1406" s="4" t="n">
        <v>300</v>
      </c>
      <c r="C1406" s="4" t="n">
        <v>28</v>
      </c>
      <c r="D1406" s="4" t="n">
        <v>8.469999999999999</v>
      </c>
      <c r="E1406" s="5" t="n">
        <v>35.4</v>
      </c>
      <c r="F1406" s="3" t="inlineStr">
        <is>
          <t>남이면</t>
        </is>
      </c>
      <c r="G1406" s="3" t="inlineStr">
        <is>
          <t>외천리</t>
        </is>
      </c>
      <c r="H1406" s="3" t="inlineStr">
        <is>
          <t>계획관리지역</t>
        </is>
      </c>
      <c r="I1406" s="3" t="inlineStr">
        <is>
          <t>전</t>
        </is>
      </c>
      <c r="J1406" s="3" t="inlineStr">
        <is>
          <t>남이면</t>
        </is>
      </c>
    </row>
    <row r="1407">
      <c r="A1407" s="3" t="n">
        <v>2022</v>
      </c>
      <c r="B1407" s="4" t="n">
        <v>10253</v>
      </c>
      <c r="C1407" s="4" t="n">
        <v>1456</v>
      </c>
      <c r="D1407" s="4" t="n">
        <v>440.44</v>
      </c>
      <c r="E1407" s="5" t="n">
        <v>23.3</v>
      </c>
      <c r="F1407" s="3" t="inlineStr">
        <is>
          <t>남이면</t>
        </is>
      </c>
      <c r="G1407" s="3" t="inlineStr">
        <is>
          <t>구암리</t>
        </is>
      </c>
      <c r="H1407" s="3" t="inlineStr">
        <is>
          <t>보전녹지지역</t>
        </is>
      </c>
      <c r="I1407" s="3" t="inlineStr">
        <is>
          <t>임야</t>
        </is>
      </c>
      <c r="J1407" s="3" t="inlineStr">
        <is>
          <t>남이면</t>
        </is>
      </c>
    </row>
    <row r="1408">
      <c r="A1408" s="3" t="n">
        <v>2022</v>
      </c>
      <c r="B1408" s="4" t="n">
        <v>23272</v>
      </c>
      <c r="C1408" s="4" t="n">
        <v>3305</v>
      </c>
      <c r="D1408" s="4" t="n">
        <v>999.7624999999999</v>
      </c>
      <c r="E1408" s="5" t="n">
        <v>23.3</v>
      </c>
      <c r="F1408" s="3" t="inlineStr">
        <is>
          <t>남이면</t>
        </is>
      </c>
      <c r="G1408" s="3" t="inlineStr">
        <is>
          <t>구암리</t>
        </is>
      </c>
      <c r="H1408" s="3" t="inlineStr">
        <is>
          <t>보전녹지지역</t>
        </is>
      </c>
      <c r="I1408" s="3" t="inlineStr">
        <is>
          <t>임야</t>
        </is>
      </c>
      <c r="J1408" s="3" t="inlineStr">
        <is>
          <t>남이면</t>
        </is>
      </c>
    </row>
    <row r="1409">
      <c r="A1409" s="3" t="n">
        <v>2022</v>
      </c>
      <c r="B1409" s="4" t="n">
        <v>46475</v>
      </c>
      <c r="C1409" s="4" t="n">
        <v>6600</v>
      </c>
      <c r="D1409" s="4" t="n">
        <v>1996.5</v>
      </c>
      <c r="E1409" s="5" t="n">
        <v>23.3</v>
      </c>
      <c r="F1409" s="3" t="inlineStr">
        <is>
          <t>남이면</t>
        </is>
      </c>
      <c r="G1409" s="3" t="inlineStr">
        <is>
          <t>구암리</t>
        </is>
      </c>
      <c r="H1409" s="3" t="inlineStr">
        <is>
          <t>보전녹지지역</t>
        </is>
      </c>
      <c r="I1409" s="3" t="inlineStr">
        <is>
          <t>임야</t>
        </is>
      </c>
      <c r="J1409" s="3" t="inlineStr">
        <is>
          <t>남이면</t>
        </is>
      </c>
    </row>
    <row r="1410">
      <c r="A1410" s="3" t="n">
        <v>2022</v>
      </c>
      <c r="B1410" s="4" t="n">
        <v>49448</v>
      </c>
      <c r="C1410" s="4" t="n">
        <v>817</v>
      </c>
      <c r="D1410" s="4" t="n">
        <v>247.1425</v>
      </c>
      <c r="E1410" s="5" t="n">
        <v>200.1</v>
      </c>
      <c r="F1410" s="3" t="inlineStr">
        <is>
          <t>남이면</t>
        </is>
      </c>
      <c r="G1410" s="3" t="inlineStr">
        <is>
          <t>양촌리</t>
        </is>
      </c>
      <c r="H1410" s="3" t="inlineStr">
        <is>
          <t>보전녹지지역</t>
        </is>
      </c>
      <c r="I1410" s="3" t="inlineStr">
        <is>
          <t>임야</t>
        </is>
      </c>
      <c r="J1410" s="3" t="inlineStr">
        <is>
          <t>남이면</t>
        </is>
      </c>
    </row>
    <row r="1411">
      <c r="A1411" s="3" t="n">
        <v>2022</v>
      </c>
      <c r="B1411" s="4" t="n">
        <v>34500</v>
      </c>
      <c r="C1411" s="4" t="n">
        <v>524</v>
      </c>
      <c r="D1411" s="4" t="n">
        <v>158.51</v>
      </c>
      <c r="E1411" s="5" t="n">
        <v>217.7</v>
      </c>
      <c r="F1411" s="3" t="inlineStr">
        <is>
          <t>남이면</t>
        </is>
      </c>
      <c r="G1411" s="3" t="inlineStr">
        <is>
          <t>석판리</t>
        </is>
      </c>
      <c r="H1411" s="3" t="inlineStr">
        <is>
          <t>자연녹지지역</t>
        </is>
      </c>
      <c r="I1411" s="3" t="inlineStr">
        <is>
          <t>대</t>
        </is>
      </c>
      <c r="J1411" s="3" t="inlineStr">
        <is>
          <t>남이면</t>
        </is>
      </c>
    </row>
    <row r="1412">
      <c r="A1412" s="3" t="n">
        <v>2026</v>
      </c>
      <c r="B1412" s="4" t="n">
        <v>100</v>
      </c>
      <c r="C1412" s="4" t="n">
        <v>8</v>
      </c>
      <c r="D1412" s="4" t="n">
        <v>2.42</v>
      </c>
      <c r="E1412" s="5" t="n">
        <v>41.3</v>
      </c>
      <c r="F1412" s="3" t="inlineStr">
        <is>
          <t>남이면</t>
        </is>
      </c>
      <c r="G1412" s="3" t="inlineStr">
        <is>
          <t>척산리</t>
        </is>
      </c>
      <c r="H1412" s="3" t="inlineStr">
        <is>
          <t>계획관리지역</t>
        </is>
      </c>
      <c r="I1412" s="3" t="inlineStr">
        <is>
          <t>대</t>
        </is>
      </c>
      <c r="J1412" s="3" t="inlineStr">
        <is>
          <t>남이면</t>
        </is>
      </c>
    </row>
    <row r="1413">
      <c r="A1413" s="3" t="n">
        <v>2026</v>
      </c>
      <c r="B1413" s="4" t="n">
        <v>21100</v>
      </c>
      <c r="C1413" s="4" t="n">
        <v>510</v>
      </c>
      <c r="D1413" s="4" t="n">
        <v>154.275</v>
      </c>
      <c r="E1413" s="5" t="n">
        <v>136.8</v>
      </c>
      <c r="F1413" s="3" t="inlineStr">
        <is>
          <t>남이면</t>
        </is>
      </c>
      <c r="G1413" s="3" t="inlineStr">
        <is>
          <t>가마리</t>
        </is>
      </c>
      <c r="H1413" s="3" t="inlineStr">
        <is>
          <t>보전녹지지역</t>
        </is>
      </c>
      <c r="I1413" s="3" t="inlineStr">
        <is>
          <t>임야</t>
        </is>
      </c>
      <c r="J1413" s="3" t="inlineStr">
        <is>
          <t>남이면</t>
        </is>
      </c>
    </row>
    <row r="1414">
      <c r="A1414" s="3" t="n">
        <v>2024</v>
      </c>
      <c r="B1414" s="4" t="n">
        <v>33900</v>
      </c>
      <c r="C1414" s="4" t="n">
        <v>500</v>
      </c>
      <c r="D1414" s="4" t="n">
        <v>151.25</v>
      </c>
      <c r="E1414" s="5" t="n">
        <v>224.1</v>
      </c>
      <c r="F1414" s="3" t="inlineStr">
        <is>
          <t>연동면</t>
        </is>
      </c>
      <c r="G1414" s="3" t="inlineStr">
        <is>
          <t>송용리</t>
        </is>
      </c>
      <c r="H1414" s="3" t="inlineStr">
        <is>
          <t>보전관리지역</t>
        </is>
      </c>
      <c r="I1414" s="3" t="inlineStr">
        <is>
          <t>대</t>
        </is>
      </c>
      <c r="J1414" s="3" t="inlineStr">
        <is>
          <t>연동면</t>
        </is>
      </c>
    </row>
    <row r="1415">
      <c r="A1415" s="3" t="n">
        <v>2024</v>
      </c>
      <c r="B1415" s="4" t="n">
        <v>3600</v>
      </c>
      <c r="C1415" s="4" t="n">
        <v>2479</v>
      </c>
      <c r="D1415" s="4" t="n">
        <v>749.8974999999999</v>
      </c>
      <c r="E1415" s="5" t="n">
        <v>4.8</v>
      </c>
      <c r="F1415" s="3" t="inlineStr">
        <is>
          <t>남이면</t>
        </is>
      </c>
      <c r="G1415" s="3" t="inlineStr">
        <is>
          <t>양촌리</t>
        </is>
      </c>
      <c r="H1415" s="3" t="inlineStr">
        <is>
          <t>보전녹지지역</t>
        </is>
      </c>
      <c r="I1415" s="3" t="inlineStr">
        <is>
          <t>임야</t>
        </is>
      </c>
      <c r="J1415" s="3" t="inlineStr">
        <is>
          <t>남이면</t>
        </is>
      </c>
    </row>
    <row r="1416">
      <c r="A1416" s="3" t="n">
        <v>2024</v>
      </c>
      <c r="B1416" s="4" t="n">
        <v>24850</v>
      </c>
      <c r="C1416" s="4" t="n">
        <v>1623</v>
      </c>
      <c r="D1416" s="4" t="n">
        <v>490.9575</v>
      </c>
      <c r="E1416" s="5" t="n">
        <v>50.6</v>
      </c>
      <c r="F1416" s="3" t="inlineStr">
        <is>
          <t>남이면</t>
        </is>
      </c>
      <c r="G1416" s="3" t="inlineStr">
        <is>
          <t>구미리</t>
        </is>
      </c>
      <c r="H1416" s="3" t="inlineStr">
        <is>
          <t>계획관리지역</t>
        </is>
      </c>
      <c r="I1416" s="3" t="inlineStr">
        <is>
          <t>전</t>
        </is>
      </c>
      <c r="J1416" s="3" t="inlineStr">
        <is>
          <t>남이면</t>
        </is>
      </c>
    </row>
    <row r="1417">
      <c r="A1417" s="3" t="n">
        <v>2024</v>
      </c>
      <c r="B1417" s="4" t="n">
        <v>72</v>
      </c>
      <c r="C1417" s="4" t="n">
        <v>14</v>
      </c>
      <c r="D1417" s="4" t="n">
        <v>4.234999999999999</v>
      </c>
      <c r="E1417" s="5" t="n">
        <v>17</v>
      </c>
      <c r="F1417" s="3" t="inlineStr">
        <is>
          <t>남이면</t>
        </is>
      </c>
      <c r="G1417" s="3" t="inlineStr">
        <is>
          <t>외천리</t>
        </is>
      </c>
      <c r="H1417" s="3" t="inlineStr">
        <is>
          <t>계획관리지역</t>
        </is>
      </c>
      <c r="I1417" s="3" t="inlineStr">
        <is>
          <t>전</t>
        </is>
      </c>
      <c r="J1417" s="3" t="inlineStr">
        <is>
          <t>남이면</t>
        </is>
      </c>
    </row>
    <row r="1418">
      <c r="A1418" s="3" t="n">
        <v>2024</v>
      </c>
      <c r="B1418" s="4" t="n">
        <v>94000</v>
      </c>
      <c r="C1418" s="4" t="n">
        <v>2476</v>
      </c>
      <c r="D1418" s="4" t="n">
        <v>748.99</v>
      </c>
      <c r="E1418" s="5" t="n">
        <v>125.5</v>
      </c>
      <c r="F1418" s="3" t="inlineStr">
        <is>
          <t>남이면</t>
        </is>
      </c>
      <c r="G1418" s="3" t="inlineStr">
        <is>
          <t>가마리</t>
        </is>
      </c>
      <c r="H1418" s="3" t="inlineStr">
        <is>
          <t>자연녹지지역</t>
        </is>
      </c>
      <c r="I1418" s="3" t="inlineStr">
        <is>
          <t>답</t>
        </is>
      </c>
      <c r="J1418" s="3" t="inlineStr">
        <is>
          <t>남이면</t>
        </is>
      </c>
    </row>
    <row r="1419">
      <c r="A1419" s="3" t="n">
        <v>2024</v>
      </c>
      <c r="B1419" s="4" t="n">
        <v>27275</v>
      </c>
      <c r="C1419" s="4" t="n">
        <v>533</v>
      </c>
      <c r="D1419" s="4" t="n">
        <v>161.2325</v>
      </c>
      <c r="E1419" s="5" t="n">
        <v>169.2</v>
      </c>
      <c r="F1419" s="3" t="inlineStr">
        <is>
          <t>남이면</t>
        </is>
      </c>
      <c r="G1419" s="3" t="inlineStr">
        <is>
          <t>가마리</t>
        </is>
      </c>
      <c r="H1419" s="3" t="inlineStr">
        <is>
          <t>보전녹지지역</t>
        </is>
      </c>
      <c r="I1419" s="3" t="inlineStr">
        <is>
          <t>임야</t>
        </is>
      </c>
      <c r="J1419" s="3" t="inlineStr">
        <is>
          <t>남이면</t>
        </is>
      </c>
    </row>
    <row r="1420">
      <c r="A1420" s="3" t="n">
        <v>2024</v>
      </c>
      <c r="B1420" s="4" t="n">
        <v>3376</v>
      </c>
      <c r="C1420" s="4" t="n">
        <v>97</v>
      </c>
      <c r="D1420" s="4" t="n">
        <v>29.3425</v>
      </c>
      <c r="E1420" s="5" t="n">
        <v>115.1</v>
      </c>
      <c r="F1420" s="3" t="inlineStr">
        <is>
          <t>남이면</t>
        </is>
      </c>
      <c r="G1420" s="3" t="inlineStr">
        <is>
          <t>가좌리</t>
        </is>
      </c>
      <c r="H1420" s="3" t="inlineStr">
        <is>
          <t>자연녹지지역</t>
        </is>
      </c>
      <c r="I1420" s="3" t="inlineStr">
        <is>
          <t>하천</t>
        </is>
      </c>
      <c r="J1420" s="3" t="inlineStr">
        <is>
          <t>남이면</t>
        </is>
      </c>
    </row>
    <row r="1421">
      <c r="A1421" s="3" t="n">
        <v>2024</v>
      </c>
      <c r="B1421" s="4" t="n">
        <v>2927</v>
      </c>
      <c r="C1421" s="4" t="n">
        <v>84.09999999999999</v>
      </c>
      <c r="D1421" s="4" t="n">
        <v>25.44025</v>
      </c>
      <c r="E1421" s="5" t="n">
        <v>115.1</v>
      </c>
      <c r="F1421" s="3" t="inlineStr">
        <is>
          <t>남이면</t>
        </is>
      </c>
      <c r="G1421" s="3" t="inlineStr">
        <is>
          <t>가좌리</t>
        </is>
      </c>
      <c r="H1421" s="3" t="inlineStr">
        <is>
          <t>자연녹지지역</t>
        </is>
      </c>
      <c r="I1421" s="3" t="inlineStr">
        <is>
          <t>하천</t>
        </is>
      </c>
      <c r="J1421" s="3" t="inlineStr">
        <is>
          <t>남이면</t>
        </is>
      </c>
    </row>
    <row r="1422">
      <c r="A1422" s="3" t="n">
        <v>2024</v>
      </c>
      <c r="B1422" s="4" t="n">
        <v>2000</v>
      </c>
      <c r="C1422" s="4" t="n">
        <v>69</v>
      </c>
      <c r="D1422" s="4" t="n">
        <v>20.8725</v>
      </c>
      <c r="E1422" s="5" t="n">
        <v>95.8</v>
      </c>
      <c r="F1422" s="3" t="inlineStr">
        <is>
          <t>남이면</t>
        </is>
      </c>
      <c r="G1422" s="3" t="inlineStr">
        <is>
          <t>수대리</t>
        </is>
      </c>
      <c r="H1422" s="3" t="inlineStr">
        <is>
          <t>자연녹지지역</t>
        </is>
      </c>
      <c r="I1422" s="3" t="inlineStr">
        <is>
          <t>답</t>
        </is>
      </c>
      <c r="J1422" s="3" t="inlineStr">
        <is>
          <t>남이면</t>
        </is>
      </c>
    </row>
    <row r="1423">
      <c r="A1423" s="3" t="n">
        <v>2024</v>
      </c>
      <c r="B1423" s="4" t="n">
        <v>35000</v>
      </c>
      <c r="C1423" s="4" t="n">
        <v>612</v>
      </c>
      <c r="D1423" s="4" t="n">
        <v>185.13</v>
      </c>
      <c r="E1423" s="5" t="n">
        <v>189.1</v>
      </c>
      <c r="F1423" s="3" t="inlineStr">
        <is>
          <t>남이면</t>
        </is>
      </c>
      <c r="G1423" s="3" t="inlineStr">
        <is>
          <t>석판리</t>
        </is>
      </c>
      <c r="H1423" s="3" t="inlineStr">
        <is>
          <t>자연녹지지역</t>
        </is>
      </c>
      <c r="I1423" s="3" t="inlineStr">
        <is>
          <t>묘지</t>
        </is>
      </c>
      <c r="J1423" s="3" t="inlineStr">
        <is>
          <t>남이면</t>
        </is>
      </c>
    </row>
    <row r="1424">
      <c r="A1424" s="3" t="n">
        <v>2024</v>
      </c>
      <c r="B1424" s="4" t="n">
        <v>38700</v>
      </c>
      <c r="C1424" s="4" t="n">
        <v>826</v>
      </c>
      <c r="D1424" s="4" t="n">
        <v>249.865</v>
      </c>
      <c r="E1424" s="5" t="n">
        <v>154.9</v>
      </c>
      <c r="F1424" s="3" t="inlineStr">
        <is>
          <t>남이면</t>
        </is>
      </c>
      <c r="G1424" s="3" t="inlineStr">
        <is>
          <t>상발리</t>
        </is>
      </c>
      <c r="H1424" s="3" t="inlineStr">
        <is>
          <t>기타</t>
        </is>
      </c>
      <c r="I1424" s="3" t="inlineStr">
        <is>
          <t>전</t>
        </is>
      </c>
      <c r="J1424" s="3" t="inlineStr">
        <is>
          <t>남이면</t>
        </is>
      </c>
    </row>
    <row r="1425">
      <c r="A1425" s="3" t="n">
        <v>2024</v>
      </c>
      <c r="B1425" s="4" t="n">
        <v>637</v>
      </c>
      <c r="C1425" s="4" t="n">
        <v>36</v>
      </c>
      <c r="D1425" s="4" t="n">
        <v>10.89</v>
      </c>
      <c r="E1425" s="5" t="n">
        <v>58.5</v>
      </c>
      <c r="F1425" s="3" t="inlineStr">
        <is>
          <t>남이면</t>
        </is>
      </c>
      <c r="G1425" s="3" t="inlineStr">
        <is>
          <t>외천리</t>
        </is>
      </c>
      <c r="H1425" s="3" t="inlineStr">
        <is>
          <t>보전관리지역</t>
        </is>
      </c>
      <c r="I1425" s="3" t="inlineStr">
        <is>
          <t>제방</t>
        </is>
      </c>
      <c r="J1425" s="3" t="inlineStr">
        <is>
          <t>남이면</t>
        </is>
      </c>
    </row>
    <row r="1426">
      <c r="A1426" s="3" t="n">
        <v>2024</v>
      </c>
      <c r="B1426" s="4" t="n">
        <v>387</v>
      </c>
      <c r="C1426" s="4" t="n">
        <v>28</v>
      </c>
      <c r="D1426" s="4" t="n">
        <v>8.469999999999999</v>
      </c>
      <c r="E1426" s="5" t="n">
        <v>45.7</v>
      </c>
      <c r="F1426" s="3" t="inlineStr">
        <is>
          <t>남이면</t>
        </is>
      </c>
      <c r="G1426" s="3" t="inlineStr">
        <is>
          <t>외천리</t>
        </is>
      </c>
      <c r="H1426" s="3" t="inlineStr">
        <is>
          <t>보전관리지역</t>
        </is>
      </c>
      <c r="I1426" s="3" t="inlineStr">
        <is>
          <t>답</t>
        </is>
      </c>
      <c r="J1426" s="3" t="inlineStr">
        <is>
          <t>남이면</t>
        </is>
      </c>
    </row>
    <row r="1427">
      <c r="A1427" s="3" t="n">
        <v>2024</v>
      </c>
      <c r="B1427" s="4" t="n">
        <v>9200</v>
      </c>
      <c r="C1427" s="4" t="n">
        <v>380</v>
      </c>
      <c r="D1427" s="4" t="n">
        <v>114.95</v>
      </c>
      <c r="E1427" s="5" t="n">
        <v>80</v>
      </c>
      <c r="F1427" s="3" t="inlineStr">
        <is>
          <t>남이면</t>
        </is>
      </c>
      <c r="G1427" s="3" t="inlineStr">
        <is>
          <t>척북리</t>
        </is>
      </c>
      <c r="H1427" s="3" t="inlineStr">
        <is>
          <t>자연녹지지역</t>
        </is>
      </c>
      <c r="I1427" s="3" t="inlineStr">
        <is>
          <t>대</t>
        </is>
      </c>
      <c r="J1427" s="3" t="inlineStr">
        <is>
          <t>남이면</t>
        </is>
      </c>
    </row>
    <row r="1428">
      <c r="A1428" s="3" t="n">
        <v>2024</v>
      </c>
      <c r="B1428" s="4" t="n">
        <v>24079</v>
      </c>
      <c r="C1428" s="4" t="n">
        <v>521</v>
      </c>
      <c r="D1428" s="4" t="n">
        <v>157.6025</v>
      </c>
      <c r="E1428" s="5" t="n">
        <v>152.8</v>
      </c>
      <c r="F1428" s="3" t="inlineStr">
        <is>
          <t>남이면</t>
        </is>
      </c>
      <c r="G1428" s="3" t="inlineStr">
        <is>
          <t>가마리</t>
        </is>
      </c>
      <c r="H1428" s="3" t="inlineStr">
        <is>
          <t>보전녹지지역</t>
        </is>
      </c>
      <c r="I1428" s="3" t="inlineStr">
        <is>
          <t>임야</t>
        </is>
      </c>
      <c r="J1428" s="3" t="inlineStr">
        <is>
          <t>남이면</t>
        </is>
      </c>
    </row>
    <row r="1429">
      <c r="A1429" s="3" t="n">
        <v>2024</v>
      </c>
      <c r="B1429" s="4" t="n">
        <v>35606</v>
      </c>
      <c r="C1429" s="4" t="n">
        <v>1521</v>
      </c>
      <c r="D1429" s="4" t="n">
        <v>460.1025</v>
      </c>
      <c r="E1429" s="5" t="n">
        <v>77.40000000000001</v>
      </c>
      <c r="F1429" s="3" t="inlineStr">
        <is>
          <t>남이면</t>
        </is>
      </c>
      <c r="G1429" s="3" t="inlineStr">
        <is>
          <t>가좌리</t>
        </is>
      </c>
      <c r="H1429" s="3" t="inlineStr">
        <is>
          <t>자연녹지지역</t>
        </is>
      </c>
      <c r="I1429" s="3" t="inlineStr">
        <is>
          <t>전</t>
        </is>
      </c>
      <c r="J1429" s="3" t="inlineStr">
        <is>
          <t>남이면</t>
        </is>
      </c>
    </row>
    <row r="1430">
      <c r="A1430" s="3" t="n">
        <v>2024</v>
      </c>
      <c r="B1430" s="4" t="n">
        <v>66952</v>
      </c>
      <c r="C1430" s="4" t="n">
        <v>2860</v>
      </c>
      <c r="D1430" s="4" t="n">
        <v>865.15</v>
      </c>
      <c r="E1430" s="5" t="n">
        <v>77.40000000000001</v>
      </c>
      <c r="F1430" s="3" t="inlineStr">
        <is>
          <t>남이면</t>
        </is>
      </c>
      <c r="G1430" s="3" t="inlineStr">
        <is>
          <t>가좌리</t>
        </is>
      </c>
      <c r="H1430" s="3" t="inlineStr">
        <is>
          <t>자연녹지지역</t>
        </is>
      </c>
      <c r="I1430" s="3" t="inlineStr">
        <is>
          <t>전</t>
        </is>
      </c>
      <c r="J1430" s="3" t="inlineStr">
        <is>
          <t>남이면</t>
        </is>
      </c>
    </row>
    <row r="1431">
      <c r="A1431" s="3" t="n">
        <v>2024</v>
      </c>
      <c r="B1431" s="4" t="n">
        <v>42442</v>
      </c>
      <c r="C1431" s="4" t="n">
        <v>1813</v>
      </c>
      <c r="D1431" s="4" t="n">
        <v>548.4325</v>
      </c>
      <c r="E1431" s="5" t="n">
        <v>77.40000000000001</v>
      </c>
      <c r="F1431" s="3" t="inlineStr">
        <is>
          <t>남이면</t>
        </is>
      </c>
      <c r="G1431" s="3" t="inlineStr">
        <is>
          <t>가좌리</t>
        </is>
      </c>
      <c r="H1431" s="3" t="inlineStr">
        <is>
          <t>자연녹지지역</t>
        </is>
      </c>
      <c r="I1431" s="3" t="inlineStr">
        <is>
          <t>전</t>
        </is>
      </c>
      <c r="J1431" s="3" t="inlineStr">
        <is>
          <t>남이면</t>
        </is>
      </c>
    </row>
    <row r="1432">
      <c r="A1432" s="3" t="n">
        <v>2024</v>
      </c>
      <c r="B1432" s="4" t="n">
        <v>7600</v>
      </c>
      <c r="C1432" s="4" t="n">
        <v>968</v>
      </c>
      <c r="D1432" s="4" t="n">
        <v>292.82</v>
      </c>
      <c r="E1432" s="5" t="n">
        <v>26</v>
      </c>
      <c r="F1432" s="3" t="inlineStr">
        <is>
          <t>남이면</t>
        </is>
      </c>
      <c r="G1432" s="3" t="inlineStr">
        <is>
          <t>척산리</t>
        </is>
      </c>
      <c r="H1432" s="3" t="inlineStr">
        <is>
          <t>자연녹지지역</t>
        </is>
      </c>
      <c r="I1432" s="3" t="inlineStr">
        <is>
          <t>전</t>
        </is>
      </c>
      <c r="J1432" s="3" t="inlineStr">
        <is>
          <t>남이면</t>
        </is>
      </c>
    </row>
    <row r="1433">
      <c r="A1433" s="3" t="n">
        <v>2025</v>
      </c>
      <c r="B1433" s="4" t="n">
        <v>2200</v>
      </c>
      <c r="C1433" s="4" t="n">
        <v>229</v>
      </c>
      <c r="D1433" s="4" t="n">
        <v>69.27249999999999</v>
      </c>
      <c r="E1433" s="5" t="n">
        <v>31.8</v>
      </c>
      <c r="F1433" s="3" t="inlineStr">
        <is>
          <t>강내면</t>
        </is>
      </c>
      <c r="G1433" s="3" t="inlineStr">
        <is>
          <t>저산리</t>
        </is>
      </c>
      <c r="H1433" s="3" t="inlineStr">
        <is>
          <t>농림지역</t>
        </is>
      </c>
      <c r="I1433" s="3" t="inlineStr">
        <is>
          <t>전</t>
        </is>
      </c>
      <c r="J1433" s="3" t="inlineStr">
        <is>
          <t>강내면</t>
        </is>
      </c>
    </row>
    <row r="1434">
      <c r="A1434" s="3" t="n">
        <v>2024</v>
      </c>
      <c r="B1434" s="4" t="n">
        <v>644</v>
      </c>
      <c r="C1434" s="4" t="n">
        <v>36</v>
      </c>
      <c r="D1434" s="4" t="n">
        <v>10.89</v>
      </c>
      <c r="E1434" s="5" t="n">
        <v>59.1</v>
      </c>
      <c r="F1434" s="3" t="inlineStr">
        <is>
          <t>남이면</t>
        </is>
      </c>
      <c r="G1434" s="3" t="inlineStr">
        <is>
          <t>외천리</t>
        </is>
      </c>
      <c r="H1434" s="3" t="inlineStr">
        <is>
          <t>보전관리지역</t>
        </is>
      </c>
      <c r="I1434" s="3" t="inlineStr">
        <is>
          <t>제방</t>
        </is>
      </c>
      <c r="J1434" s="3" t="inlineStr">
        <is>
          <t>남이면</t>
        </is>
      </c>
    </row>
    <row r="1435">
      <c r="A1435" s="3" t="n">
        <v>2024</v>
      </c>
      <c r="B1435" s="4" t="n">
        <v>15000</v>
      </c>
      <c r="C1435" s="4" t="n">
        <v>3013</v>
      </c>
      <c r="D1435" s="4" t="n">
        <v>911.4325</v>
      </c>
      <c r="E1435" s="5" t="n">
        <v>16.5</v>
      </c>
      <c r="F1435" s="3" t="inlineStr">
        <is>
          <t>남이면</t>
        </is>
      </c>
      <c r="G1435" s="3" t="inlineStr">
        <is>
          <t>사동리</t>
        </is>
      </c>
      <c r="H1435" s="3" t="inlineStr">
        <is>
          <t>보전녹지지역</t>
        </is>
      </c>
      <c r="I1435" s="3" t="inlineStr">
        <is>
          <t>임야</t>
        </is>
      </c>
      <c r="J1435" s="3" t="inlineStr">
        <is>
          <t>남이면</t>
        </is>
      </c>
    </row>
    <row r="1436">
      <c r="A1436" s="3" t="n">
        <v>2024</v>
      </c>
      <c r="B1436" s="4" t="n">
        <v>15480</v>
      </c>
      <c r="C1436" s="4" t="n">
        <v>1279</v>
      </c>
      <c r="D1436" s="4" t="n">
        <v>386.8975</v>
      </c>
      <c r="E1436" s="5" t="n">
        <v>40</v>
      </c>
      <c r="F1436" s="3" t="inlineStr">
        <is>
          <t>부강면</t>
        </is>
      </c>
      <c r="G1436" s="3" t="inlineStr">
        <is>
          <t>노호리</t>
        </is>
      </c>
      <c r="H1436" s="3" t="inlineStr">
        <is>
          <t>계획관리지역</t>
        </is>
      </c>
      <c r="I1436" s="3" t="inlineStr">
        <is>
          <t>답</t>
        </is>
      </c>
      <c r="J1436" s="3" t="inlineStr">
        <is>
          <t>부강면</t>
        </is>
      </c>
    </row>
    <row r="1437">
      <c r="A1437" s="3" t="n">
        <v>2024</v>
      </c>
      <c r="B1437" s="4" t="n">
        <v>16680</v>
      </c>
      <c r="C1437" s="4" t="n">
        <v>1838</v>
      </c>
      <c r="D1437" s="4" t="n">
        <v>555.995</v>
      </c>
      <c r="E1437" s="5" t="n">
        <v>30</v>
      </c>
      <c r="F1437" s="3" t="inlineStr">
        <is>
          <t>부강면</t>
        </is>
      </c>
      <c r="G1437" s="3" t="inlineStr">
        <is>
          <t>노호리</t>
        </is>
      </c>
      <c r="H1437" s="3" t="inlineStr">
        <is>
          <t>계획관리지역</t>
        </is>
      </c>
      <c r="I1437" s="3" t="inlineStr">
        <is>
          <t>전</t>
        </is>
      </c>
      <c r="J1437" s="3" t="inlineStr">
        <is>
          <t>부강면</t>
        </is>
      </c>
    </row>
    <row r="1438">
      <c r="A1438" s="3" t="n">
        <v>2023</v>
      </c>
      <c r="B1438" s="4" t="n">
        <v>52000</v>
      </c>
      <c r="C1438" s="4" t="n">
        <v>337.9</v>
      </c>
      <c r="D1438" s="4" t="n">
        <v>102.21475</v>
      </c>
      <c r="E1438" s="5" t="n">
        <v>508.7</v>
      </c>
      <c r="F1438" s="3" t="inlineStr">
        <is>
          <t>아름동</t>
        </is>
      </c>
      <c r="G1438" s="3" t="inlineStr"/>
      <c r="H1438" s="3" t="inlineStr">
        <is>
          <t>제1종전용주거지역</t>
        </is>
      </c>
      <c r="I1438" s="3" t="inlineStr">
        <is>
          <t>대</t>
        </is>
      </c>
      <c r="J1438" s="3" t="inlineStr">
        <is>
          <t>아름동</t>
        </is>
      </c>
    </row>
    <row r="1439">
      <c r="A1439" s="3" t="n">
        <v>2023</v>
      </c>
      <c r="B1439" s="4" t="n">
        <v>1912</v>
      </c>
      <c r="C1439" s="4" t="n">
        <v>2281</v>
      </c>
      <c r="D1439" s="4" t="n">
        <v>690.0024999999999</v>
      </c>
      <c r="E1439" s="5" t="n">
        <v>2.8</v>
      </c>
      <c r="F1439" s="3" t="inlineStr">
        <is>
          <t>연서면</t>
        </is>
      </c>
      <c r="G1439" s="3" t="inlineStr">
        <is>
          <t>기룡리</t>
        </is>
      </c>
      <c r="H1439" s="3" t="inlineStr">
        <is>
          <t>농림지역</t>
        </is>
      </c>
      <c r="I1439" s="3" t="inlineStr">
        <is>
          <t>임야</t>
        </is>
      </c>
      <c r="J1439" s="3" t="inlineStr">
        <is>
          <t>연서면</t>
        </is>
      </c>
    </row>
    <row r="1440">
      <c r="A1440" s="3" t="n">
        <v>2023</v>
      </c>
      <c r="B1440" s="4" t="n">
        <v>38088</v>
      </c>
      <c r="C1440" s="4" t="n">
        <v>45620</v>
      </c>
      <c r="D1440" s="4" t="n">
        <v>13800.05</v>
      </c>
      <c r="E1440" s="5" t="n">
        <v>2.8</v>
      </c>
      <c r="F1440" s="3" t="inlineStr">
        <is>
          <t>연서면</t>
        </is>
      </c>
      <c r="G1440" s="3" t="inlineStr">
        <is>
          <t>기룡리</t>
        </is>
      </c>
      <c r="H1440" s="3" t="inlineStr">
        <is>
          <t>농림지역</t>
        </is>
      </c>
      <c r="I1440" s="3" t="inlineStr">
        <is>
          <t>임야</t>
        </is>
      </c>
      <c r="J1440" s="3" t="inlineStr">
        <is>
          <t>연서면</t>
        </is>
      </c>
    </row>
    <row r="1441">
      <c r="A1441" s="3" t="n">
        <v>2023</v>
      </c>
      <c r="B1441" s="4" t="n">
        <v>135000</v>
      </c>
      <c r="C1441" s="4" t="n">
        <v>3949.1</v>
      </c>
      <c r="D1441" s="4" t="n">
        <v>1194.60275</v>
      </c>
      <c r="E1441" s="5" t="n">
        <v>113</v>
      </c>
      <c r="F1441" s="3" t="inlineStr">
        <is>
          <t>오송읍</t>
        </is>
      </c>
      <c r="G1441" s="3" t="inlineStr">
        <is>
          <t>정중리</t>
        </is>
      </c>
      <c r="H1441" s="3" t="inlineStr">
        <is>
          <t>일반공업지역</t>
        </is>
      </c>
      <c r="I1441" s="3" t="inlineStr">
        <is>
          <t>공장용지</t>
        </is>
      </c>
      <c r="J1441" s="3" t="inlineStr">
        <is>
          <t>오송읍</t>
        </is>
      </c>
    </row>
    <row r="1442">
      <c r="A1442" s="3" t="n">
        <v>2023</v>
      </c>
      <c r="B1442" s="4" t="n">
        <v>9550</v>
      </c>
      <c r="C1442" s="4" t="n">
        <v>330</v>
      </c>
      <c r="D1442" s="4" t="n">
        <v>99.825</v>
      </c>
      <c r="E1442" s="5" t="n">
        <v>95.7</v>
      </c>
      <c r="F1442" s="3" t="inlineStr">
        <is>
          <t>강내면</t>
        </is>
      </c>
      <c r="G1442" s="3" t="inlineStr">
        <is>
          <t>사곡리</t>
        </is>
      </c>
      <c r="H1442" s="3" t="inlineStr">
        <is>
          <t>보전관리지역</t>
        </is>
      </c>
      <c r="I1442" s="3" t="inlineStr">
        <is>
          <t>전</t>
        </is>
      </c>
      <c r="J1442" s="3" t="inlineStr">
        <is>
          <t>강내면</t>
        </is>
      </c>
    </row>
    <row r="1443">
      <c r="A1443" s="3" t="n">
        <v>2023</v>
      </c>
      <c r="B1443" s="4" t="n">
        <v>61233</v>
      </c>
      <c r="C1443" s="4" t="n">
        <v>1901</v>
      </c>
      <c r="D1443" s="4" t="n">
        <v>575.0525</v>
      </c>
      <c r="E1443" s="5" t="n">
        <v>106.5</v>
      </c>
      <c r="F1443" s="3" t="inlineStr">
        <is>
          <t>오송읍</t>
        </is>
      </c>
      <c r="G1443" s="3" t="inlineStr">
        <is>
          <t>궁평리</t>
        </is>
      </c>
      <c r="H1443" s="3" t="inlineStr">
        <is>
          <t>농림지역</t>
        </is>
      </c>
      <c r="I1443" s="3" t="inlineStr">
        <is>
          <t>답</t>
        </is>
      </c>
      <c r="J1443" s="3" t="inlineStr">
        <is>
          <t>오송읍</t>
        </is>
      </c>
    </row>
    <row r="1444">
      <c r="A1444" s="3" t="n">
        <v>2023</v>
      </c>
      <c r="B1444" s="4" t="n">
        <v>8490</v>
      </c>
      <c r="C1444" s="4" t="n">
        <v>401</v>
      </c>
      <c r="D1444" s="4" t="n">
        <v>121.3025</v>
      </c>
      <c r="E1444" s="5" t="n">
        <v>70</v>
      </c>
      <c r="F1444" s="3" t="inlineStr">
        <is>
          <t>강내면</t>
        </is>
      </c>
      <c r="G1444" s="3" t="inlineStr">
        <is>
          <t>저산리</t>
        </is>
      </c>
      <c r="H1444" s="3" t="inlineStr">
        <is>
          <t>계획관리지역</t>
        </is>
      </c>
      <c r="I1444" s="3" t="inlineStr">
        <is>
          <t>전</t>
        </is>
      </c>
      <c r="J1444" s="3" t="inlineStr">
        <is>
          <t>강내면</t>
        </is>
      </c>
    </row>
    <row r="1445">
      <c r="A1445" s="3" t="n">
        <v>2023</v>
      </c>
      <c r="B1445" s="4" t="n">
        <v>2350</v>
      </c>
      <c r="C1445" s="4" t="n">
        <v>111</v>
      </c>
      <c r="D1445" s="4" t="n">
        <v>33.5775</v>
      </c>
      <c r="E1445" s="5" t="n">
        <v>70</v>
      </c>
      <c r="F1445" s="3" t="inlineStr">
        <is>
          <t>강내면</t>
        </is>
      </c>
      <c r="G1445" s="3" t="inlineStr">
        <is>
          <t>저산리</t>
        </is>
      </c>
      <c r="H1445" s="3" t="inlineStr">
        <is>
          <t>계획관리지역</t>
        </is>
      </c>
      <c r="I1445" s="3" t="inlineStr">
        <is>
          <t>전</t>
        </is>
      </c>
      <c r="J1445" s="3" t="inlineStr">
        <is>
          <t>강내면</t>
        </is>
      </c>
    </row>
    <row r="1446">
      <c r="A1446" s="3" t="n">
        <v>2023</v>
      </c>
      <c r="B1446" s="4" t="n">
        <v>4720</v>
      </c>
      <c r="C1446" s="4" t="n">
        <v>223</v>
      </c>
      <c r="D1446" s="4" t="n">
        <v>67.4575</v>
      </c>
      <c r="E1446" s="5" t="n">
        <v>70</v>
      </c>
      <c r="F1446" s="3" t="inlineStr">
        <is>
          <t>강내면</t>
        </is>
      </c>
      <c r="G1446" s="3" t="inlineStr">
        <is>
          <t>저산리</t>
        </is>
      </c>
      <c r="H1446" s="3" t="inlineStr">
        <is>
          <t>계획관리지역</t>
        </is>
      </c>
      <c r="I1446" s="3" t="inlineStr">
        <is>
          <t>임야</t>
        </is>
      </c>
      <c r="J1446" s="3" t="inlineStr">
        <is>
          <t>강내면</t>
        </is>
      </c>
    </row>
    <row r="1447">
      <c r="A1447" s="3" t="n">
        <v>2023</v>
      </c>
      <c r="B1447" s="4" t="n">
        <v>572</v>
      </c>
      <c r="C1447" s="4" t="n">
        <v>27</v>
      </c>
      <c r="D1447" s="4" t="n">
        <v>8.1675</v>
      </c>
      <c r="E1447" s="5" t="n">
        <v>70</v>
      </c>
      <c r="F1447" s="3" t="inlineStr">
        <is>
          <t>강내면</t>
        </is>
      </c>
      <c r="G1447" s="3" t="inlineStr">
        <is>
          <t>저산리</t>
        </is>
      </c>
      <c r="H1447" s="3" t="inlineStr">
        <is>
          <t>계획관리지역</t>
        </is>
      </c>
      <c r="I1447" s="3" t="inlineStr">
        <is>
          <t>전</t>
        </is>
      </c>
      <c r="J1447" s="3" t="inlineStr">
        <is>
          <t>강내면</t>
        </is>
      </c>
    </row>
    <row r="1448">
      <c r="A1448" s="3" t="n">
        <v>2023</v>
      </c>
      <c r="B1448" s="4" t="n">
        <v>3048</v>
      </c>
      <c r="C1448" s="4" t="n">
        <v>144</v>
      </c>
      <c r="D1448" s="4" t="n">
        <v>43.56</v>
      </c>
      <c r="E1448" s="5" t="n">
        <v>70</v>
      </c>
      <c r="F1448" s="3" t="inlineStr">
        <is>
          <t>강내면</t>
        </is>
      </c>
      <c r="G1448" s="3" t="inlineStr">
        <is>
          <t>저산리</t>
        </is>
      </c>
      <c r="H1448" s="3" t="inlineStr">
        <is>
          <t>계획관리지역</t>
        </is>
      </c>
      <c r="I1448" s="3" t="inlineStr">
        <is>
          <t>도로</t>
        </is>
      </c>
      <c r="J1448" s="3" t="inlineStr">
        <is>
          <t>강내면</t>
        </is>
      </c>
    </row>
    <row r="1449">
      <c r="A1449" s="3" t="n">
        <v>2023</v>
      </c>
      <c r="B1449" s="4" t="n">
        <v>55000</v>
      </c>
      <c r="C1449" s="4" t="n">
        <v>1155</v>
      </c>
      <c r="D1449" s="4" t="n">
        <v>349.3875</v>
      </c>
      <c r="E1449" s="5" t="n">
        <v>157.4</v>
      </c>
      <c r="F1449" s="3" t="inlineStr">
        <is>
          <t>오송읍</t>
        </is>
      </c>
      <c r="G1449" s="3" t="inlineStr">
        <is>
          <t>만수리</t>
        </is>
      </c>
      <c r="H1449" s="3" t="inlineStr">
        <is>
          <t>농림지역</t>
        </is>
      </c>
      <c r="I1449" s="3" t="inlineStr">
        <is>
          <t>답</t>
        </is>
      </c>
      <c r="J1449" s="3" t="inlineStr">
        <is>
          <t>오송읍</t>
        </is>
      </c>
    </row>
    <row r="1450">
      <c r="A1450" s="3" t="n">
        <v>2022</v>
      </c>
      <c r="B1450" s="4" t="n">
        <v>10000</v>
      </c>
      <c r="C1450" s="4" t="n">
        <v>493</v>
      </c>
      <c r="D1450" s="4" t="n">
        <v>149.1325</v>
      </c>
      <c r="E1450" s="5" t="n">
        <v>67.09999999999999</v>
      </c>
      <c r="F1450" s="3" t="inlineStr">
        <is>
          <t>연서면</t>
        </is>
      </c>
      <c r="G1450" s="3" t="inlineStr">
        <is>
          <t>기룡리</t>
        </is>
      </c>
      <c r="H1450" s="3" t="inlineStr">
        <is>
          <t>생산관리지역</t>
        </is>
      </c>
      <c r="I1450" s="3" t="inlineStr">
        <is>
          <t>전</t>
        </is>
      </c>
      <c r="J1450" s="3" t="inlineStr">
        <is>
          <t>연서면</t>
        </is>
      </c>
    </row>
    <row r="1451">
      <c r="A1451" s="3" t="n">
        <v>2022</v>
      </c>
      <c r="B1451" s="4" t="n">
        <v>17700</v>
      </c>
      <c r="C1451" s="4" t="n">
        <v>1002</v>
      </c>
      <c r="D1451" s="4" t="n">
        <v>303.105</v>
      </c>
      <c r="E1451" s="5" t="n">
        <v>58.4</v>
      </c>
      <c r="F1451" s="3" t="inlineStr">
        <is>
          <t>연서면</t>
        </is>
      </c>
      <c r="G1451" s="3" t="inlineStr">
        <is>
          <t>기룡리</t>
        </is>
      </c>
      <c r="H1451" s="3" t="inlineStr">
        <is>
          <t>생산관리지역</t>
        </is>
      </c>
      <c r="I1451" s="3" t="inlineStr">
        <is>
          <t>전</t>
        </is>
      </c>
      <c r="J1451" s="3" t="inlineStr">
        <is>
          <t>연서면</t>
        </is>
      </c>
    </row>
    <row r="1452">
      <c r="A1452" s="3" t="n">
        <v>2022</v>
      </c>
      <c r="B1452" s="4" t="n">
        <v>15260</v>
      </c>
      <c r="C1452" s="4" t="n">
        <v>108</v>
      </c>
      <c r="D1452" s="4" t="n">
        <v>32.67</v>
      </c>
      <c r="E1452" s="5" t="n">
        <v>467.1</v>
      </c>
      <c r="F1452" s="3" t="inlineStr">
        <is>
          <t>연서면</t>
        </is>
      </c>
      <c r="G1452" s="3" t="inlineStr">
        <is>
          <t>봉암리</t>
        </is>
      </c>
      <c r="H1452" s="3" t="inlineStr">
        <is>
          <t>계획관리지역</t>
        </is>
      </c>
      <c r="I1452" s="3" t="inlineStr">
        <is>
          <t>대</t>
        </is>
      </c>
      <c r="J1452" s="3" t="inlineStr">
        <is>
          <t>연서면</t>
        </is>
      </c>
    </row>
    <row r="1453">
      <c r="A1453" s="3" t="n">
        <v>2022</v>
      </c>
      <c r="B1453" s="4" t="n">
        <v>1272</v>
      </c>
      <c r="C1453" s="4" t="n">
        <v>9</v>
      </c>
      <c r="D1453" s="4" t="n">
        <v>2.7225</v>
      </c>
      <c r="E1453" s="5" t="n">
        <v>467.2</v>
      </c>
      <c r="F1453" s="3" t="inlineStr">
        <is>
          <t>연서면</t>
        </is>
      </c>
      <c r="G1453" s="3" t="inlineStr">
        <is>
          <t>봉암리</t>
        </is>
      </c>
      <c r="H1453" s="3" t="inlineStr">
        <is>
          <t>계획관리지역</t>
        </is>
      </c>
      <c r="I1453" s="3" t="inlineStr">
        <is>
          <t>대</t>
        </is>
      </c>
      <c r="J1453" s="3" t="inlineStr">
        <is>
          <t>연서면</t>
        </is>
      </c>
    </row>
    <row r="1454">
      <c r="A1454" s="3" t="n">
        <v>2022</v>
      </c>
      <c r="B1454" s="4" t="n">
        <v>9000</v>
      </c>
      <c r="C1454" s="4" t="n">
        <v>179</v>
      </c>
      <c r="D1454" s="4" t="n">
        <v>54.1475</v>
      </c>
      <c r="E1454" s="5" t="n">
        <v>166.2</v>
      </c>
      <c r="F1454" s="3" t="inlineStr">
        <is>
          <t>연서면</t>
        </is>
      </c>
      <c r="G1454" s="3" t="inlineStr">
        <is>
          <t>쌍전리</t>
        </is>
      </c>
      <c r="H1454" s="3" t="inlineStr">
        <is>
          <t>자연녹지지역</t>
        </is>
      </c>
      <c r="I1454" s="3" t="inlineStr">
        <is>
          <t>과수원</t>
        </is>
      </c>
      <c r="J1454" s="3" t="inlineStr">
        <is>
          <t>연서면</t>
        </is>
      </c>
    </row>
    <row r="1455">
      <c r="A1455" s="3" t="n">
        <v>2024</v>
      </c>
      <c r="B1455" s="4" t="n">
        <v>15125</v>
      </c>
      <c r="C1455" s="4" t="n">
        <v>1000</v>
      </c>
      <c r="D1455" s="4" t="n">
        <v>302.5</v>
      </c>
      <c r="E1455" s="5" t="n">
        <v>50</v>
      </c>
      <c r="F1455" s="3" t="inlineStr">
        <is>
          <t>강내면</t>
        </is>
      </c>
      <c r="G1455" s="3" t="inlineStr">
        <is>
          <t>탑연리</t>
        </is>
      </c>
      <c r="H1455" s="3" t="inlineStr">
        <is>
          <t>자연녹지지역</t>
        </is>
      </c>
      <c r="I1455" s="3" t="inlineStr">
        <is>
          <t>전</t>
        </is>
      </c>
      <c r="J1455" s="3" t="inlineStr">
        <is>
          <t>강내면</t>
        </is>
      </c>
    </row>
    <row r="1456">
      <c r="A1456" s="3" t="n">
        <v>2024</v>
      </c>
      <c r="B1456" s="4" t="n">
        <v>492</v>
      </c>
      <c r="C1456" s="4" t="n">
        <v>19</v>
      </c>
      <c r="D1456" s="4" t="n">
        <v>5.7475</v>
      </c>
      <c r="E1456" s="5" t="n">
        <v>85.59999999999999</v>
      </c>
      <c r="F1456" s="3" t="inlineStr">
        <is>
          <t>강내면</t>
        </is>
      </c>
      <c r="G1456" s="3" t="inlineStr">
        <is>
          <t>석화리</t>
        </is>
      </c>
      <c r="H1456" s="3" t="inlineStr">
        <is>
          <t>자연녹지지역</t>
        </is>
      </c>
      <c r="I1456" s="3" t="inlineStr">
        <is>
          <t>도로</t>
        </is>
      </c>
      <c r="J1456" s="3" t="inlineStr">
        <is>
          <t>강내면</t>
        </is>
      </c>
    </row>
    <row r="1457">
      <c r="A1457" s="3" t="n">
        <v>2024</v>
      </c>
      <c r="B1457" s="4" t="n">
        <v>31000</v>
      </c>
      <c r="C1457" s="4" t="n">
        <v>436.2</v>
      </c>
      <c r="D1457" s="4" t="n">
        <v>131.9505</v>
      </c>
      <c r="E1457" s="5" t="n">
        <v>234.9</v>
      </c>
      <c r="F1457" s="3" t="inlineStr">
        <is>
          <t>오송읍</t>
        </is>
      </c>
      <c r="G1457" s="3" t="inlineStr">
        <is>
          <t>봉산리</t>
        </is>
      </c>
      <c r="H1457" s="3" t="inlineStr">
        <is>
          <t>제1종일반주거지역</t>
        </is>
      </c>
      <c r="I1457" s="3" t="inlineStr">
        <is>
          <t>대</t>
        </is>
      </c>
      <c r="J1457" s="3" t="inlineStr">
        <is>
          <t>오송읍</t>
        </is>
      </c>
    </row>
    <row r="1458">
      <c r="A1458" s="3" t="n">
        <v>2024</v>
      </c>
      <c r="B1458" s="4" t="n">
        <v>12015</v>
      </c>
      <c r="C1458" s="4" t="n">
        <v>239</v>
      </c>
      <c r="D1458" s="4" t="n">
        <v>72.2975</v>
      </c>
      <c r="E1458" s="5" t="n">
        <v>166.2</v>
      </c>
      <c r="F1458" s="3" t="inlineStr">
        <is>
          <t>강내면</t>
        </is>
      </c>
      <c r="G1458" s="3" t="inlineStr">
        <is>
          <t>탑연리</t>
        </is>
      </c>
      <c r="H1458" s="3" t="inlineStr">
        <is>
          <t>자연녹지지역</t>
        </is>
      </c>
      <c r="I1458" s="3" t="inlineStr">
        <is>
          <t>답</t>
        </is>
      </c>
      <c r="J1458" s="3" t="inlineStr">
        <is>
          <t>강내면</t>
        </is>
      </c>
    </row>
    <row r="1459">
      <c r="A1459" s="3" t="n">
        <v>2024</v>
      </c>
      <c r="B1459" s="4" t="n">
        <v>30046</v>
      </c>
      <c r="C1459" s="4" t="n">
        <v>2353.4</v>
      </c>
      <c r="D1459" s="4" t="n">
        <v>711.9035</v>
      </c>
      <c r="E1459" s="5" t="n">
        <v>42.2</v>
      </c>
      <c r="F1459" s="3" t="inlineStr">
        <is>
          <t>강내면</t>
        </is>
      </c>
      <c r="G1459" s="3" t="inlineStr">
        <is>
          <t>저산리</t>
        </is>
      </c>
      <c r="H1459" s="3" t="inlineStr">
        <is>
          <t>계획관리지역</t>
        </is>
      </c>
      <c r="I1459" s="3" t="inlineStr">
        <is>
          <t>답</t>
        </is>
      </c>
      <c r="J1459" s="3" t="inlineStr">
        <is>
          <t>강내면</t>
        </is>
      </c>
    </row>
    <row r="1460">
      <c r="A1460" s="3" t="n">
        <v>2024</v>
      </c>
      <c r="B1460" s="4" t="n">
        <v>38954</v>
      </c>
      <c r="C1460" s="4" t="n">
        <v>3043.6</v>
      </c>
      <c r="D1460" s="4" t="n">
        <v>920.689</v>
      </c>
      <c r="E1460" s="5" t="n">
        <v>42.3</v>
      </c>
      <c r="F1460" s="3" t="inlineStr">
        <is>
          <t>강내면</t>
        </is>
      </c>
      <c r="G1460" s="3" t="inlineStr">
        <is>
          <t>저산리</t>
        </is>
      </c>
      <c r="H1460" s="3" t="inlineStr">
        <is>
          <t>계획관리지역</t>
        </is>
      </c>
      <c r="I1460" s="3" t="inlineStr">
        <is>
          <t>답</t>
        </is>
      </c>
      <c r="J1460" s="3" t="inlineStr">
        <is>
          <t>강내면</t>
        </is>
      </c>
    </row>
    <row r="1461">
      <c r="A1461" s="3" t="n">
        <v>2024</v>
      </c>
      <c r="B1461" s="4" t="n">
        <v>2652</v>
      </c>
      <c r="C1461" s="4" t="n">
        <v>39</v>
      </c>
      <c r="D1461" s="4" t="n">
        <v>11.7975</v>
      </c>
      <c r="E1461" s="5" t="n">
        <v>224.8</v>
      </c>
      <c r="F1461" s="3" t="inlineStr">
        <is>
          <t>강내면</t>
        </is>
      </c>
      <c r="G1461" s="3" t="inlineStr">
        <is>
          <t>월곡리</t>
        </is>
      </c>
      <c r="H1461" s="3" t="inlineStr">
        <is>
          <t>제2종일반주거지역</t>
        </is>
      </c>
      <c r="I1461" s="3" t="inlineStr">
        <is>
          <t>답</t>
        </is>
      </c>
      <c r="J1461" s="3" t="inlineStr">
        <is>
          <t>강내면</t>
        </is>
      </c>
    </row>
    <row r="1462">
      <c r="A1462" s="3" t="n">
        <v>2024</v>
      </c>
      <c r="B1462" s="4" t="n">
        <v>448</v>
      </c>
      <c r="C1462" s="4" t="n">
        <v>6</v>
      </c>
      <c r="D1462" s="4" t="n">
        <v>1.815</v>
      </c>
      <c r="E1462" s="5" t="n">
        <v>246.8</v>
      </c>
      <c r="F1462" s="3" t="inlineStr">
        <is>
          <t>강내면</t>
        </is>
      </c>
      <c r="G1462" s="3" t="inlineStr">
        <is>
          <t>월곡리</t>
        </is>
      </c>
      <c r="H1462" s="3" t="inlineStr">
        <is>
          <t>제2종일반주거지역</t>
        </is>
      </c>
      <c r="I1462" s="3" t="inlineStr">
        <is>
          <t>답</t>
        </is>
      </c>
      <c r="J1462" s="3" t="inlineStr">
        <is>
          <t>강내면</t>
        </is>
      </c>
    </row>
    <row r="1463">
      <c r="A1463" s="3" t="n">
        <v>2024</v>
      </c>
      <c r="B1463" s="4" t="n">
        <v>4170</v>
      </c>
      <c r="C1463" s="4" t="n">
        <v>124</v>
      </c>
      <c r="D1463" s="4" t="n">
        <v>37.51</v>
      </c>
      <c r="E1463" s="5" t="n">
        <v>111.2</v>
      </c>
      <c r="F1463" s="3" t="inlineStr">
        <is>
          <t>강내면</t>
        </is>
      </c>
      <c r="G1463" s="3" t="inlineStr">
        <is>
          <t>저산리</t>
        </is>
      </c>
      <c r="H1463" s="3" t="inlineStr">
        <is>
          <t>계획관리지역</t>
        </is>
      </c>
      <c r="I1463" s="3" t="inlineStr">
        <is>
          <t>대</t>
        </is>
      </c>
      <c r="J1463" s="3" t="inlineStr">
        <is>
          <t>강내면</t>
        </is>
      </c>
    </row>
    <row r="1464">
      <c r="A1464" s="3" t="n">
        <v>2024</v>
      </c>
      <c r="B1464" s="4" t="n">
        <v>7400</v>
      </c>
      <c r="C1464" s="4" t="n">
        <v>220</v>
      </c>
      <c r="D1464" s="4" t="n">
        <v>66.55</v>
      </c>
      <c r="E1464" s="5" t="n">
        <v>111.2</v>
      </c>
      <c r="F1464" s="3" t="inlineStr">
        <is>
          <t>강내면</t>
        </is>
      </c>
      <c r="G1464" s="3" t="inlineStr">
        <is>
          <t>저산리</t>
        </is>
      </c>
      <c r="H1464" s="3" t="inlineStr">
        <is>
          <t>계획관리지역</t>
        </is>
      </c>
      <c r="I1464" s="3" t="inlineStr">
        <is>
          <t>대</t>
        </is>
      </c>
      <c r="J1464" s="3" t="inlineStr">
        <is>
          <t>강내면</t>
        </is>
      </c>
    </row>
    <row r="1465">
      <c r="A1465" s="3" t="n">
        <v>2024</v>
      </c>
      <c r="B1465" s="4" t="n">
        <v>2380</v>
      </c>
      <c r="C1465" s="4" t="n">
        <v>71</v>
      </c>
      <c r="D1465" s="4" t="n">
        <v>21.4775</v>
      </c>
      <c r="E1465" s="5" t="n">
        <v>110.8</v>
      </c>
      <c r="F1465" s="3" t="inlineStr">
        <is>
          <t>강내면</t>
        </is>
      </c>
      <c r="G1465" s="3" t="inlineStr">
        <is>
          <t>저산리</t>
        </is>
      </c>
      <c r="H1465" s="3" t="inlineStr">
        <is>
          <t>계획관리지역</t>
        </is>
      </c>
      <c r="I1465" s="3" t="inlineStr">
        <is>
          <t>도로</t>
        </is>
      </c>
      <c r="J1465" s="3" t="inlineStr">
        <is>
          <t>강내면</t>
        </is>
      </c>
    </row>
    <row r="1466">
      <c r="A1466" s="3" t="n">
        <v>2024</v>
      </c>
      <c r="B1466" s="4" t="n">
        <v>15800</v>
      </c>
      <c r="C1466" s="4" t="n">
        <v>231</v>
      </c>
      <c r="D1466" s="4" t="n">
        <v>69.8775</v>
      </c>
      <c r="E1466" s="5" t="n">
        <v>226.1</v>
      </c>
      <c r="F1466" s="3" t="inlineStr">
        <is>
          <t>강내면</t>
        </is>
      </c>
      <c r="G1466" s="3" t="inlineStr">
        <is>
          <t>탑연리</t>
        </is>
      </c>
      <c r="H1466" s="3" t="inlineStr">
        <is>
          <t>자연녹지지역</t>
        </is>
      </c>
      <c r="I1466" s="3" t="inlineStr">
        <is>
          <t>공장용지</t>
        </is>
      </c>
      <c r="J1466" s="3" t="inlineStr">
        <is>
          <t>강내면</t>
        </is>
      </c>
    </row>
    <row r="1467">
      <c r="A1467" s="3" t="n">
        <v>2022</v>
      </c>
      <c r="B1467" s="4" t="n">
        <v>1100</v>
      </c>
      <c r="C1467" s="4" t="n">
        <v>10</v>
      </c>
      <c r="D1467" s="4" t="n">
        <v>3.025</v>
      </c>
      <c r="E1467" s="5" t="n">
        <v>363.6</v>
      </c>
      <c r="F1467" s="3" t="inlineStr">
        <is>
          <t>남이면</t>
        </is>
      </c>
      <c r="G1467" s="3" t="inlineStr">
        <is>
          <t>외천리</t>
        </is>
      </c>
      <c r="H1467" s="3" t="inlineStr">
        <is>
          <t>계획관리지역</t>
        </is>
      </c>
      <c r="I1467" s="3" t="inlineStr">
        <is>
          <t>대</t>
        </is>
      </c>
      <c r="J1467" s="3" t="inlineStr">
        <is>
          <t>남이면</t>
        </is>
      </c>
    </row>
    <row r="1468">
      <c r="A1468" s="3" t="n">
        <v>2022</v>
      </c>
      <c r="B1468" s="4" t="n">
        <v>2400</v>
      </c>
      <c r="C1468" s="4" t="n">
        <v>132</v>
      </c>
      <c r="D1468" s="4" t="n">
        <v>39.93</v>
      </c>
      <c r="E1468" s="5" t="n">
        <v>60.1</v>
      </c>
      <c r="F1468" s="3" t="inlineStr">
        <is>
          <t>남이면</t>
        </is>
      </c>
      <c r="G1468" s="3" t="inlineStr">
        <is>
          <t>문동리</t>
        </is>
      </c>
      <c r="H1468" s="3" t="inlineStr">
        <is>
          <t>자연녹지지역</t>
        </is>
      </c>
      <c r="I1468" s="3" t="inlineStr">
        <is>
          <t>도로</t>
        </is>
      </c>
      <c r="J1468" s="3" t="inlineStr">
        <is>
          <t>남이면</t>
        </is>
      </c>
    </row>
    <row r="1469">
      <c r="A1469" s="3" t="n">
        <v>2022</v>
      </c>
      <c r="B1469" s="4" t="n">
        <v>13854</v>
      </c>
      <c r="C1469" s="4" t="n">
        <v>701</v>
      </c>
      <c r="D1469" s="4" t="n">
        <v>212.0525</v>
      </c>
      <c r="E1469" s="5" t="n">
        <v>65.3</v>
      </c>
      <c r="F1469" s="3" t="inlineStr">
        <is>
          <t>남이면</t>
        </is>
      </c>
      <c r="G1469" s="3" t="inlineStr">
        <is>
          <t>팔봉리</t>
        </is>
      </c>
      <c r="H1469" s="3" t="inlineStr">
        <is>
          <t>자연녹지지역</t>
        </is>
      </c>
      <c r="I1469" s="3" t="inlineStr">
        <is>
          <t>전</t>
        </is>
      </c>
      <c r="J1469" s="3" t="inlineStr">
        <is>
          <t>남이면</t>
        </is>
      </c>
    </row>
    <row r="1470">
      <c r="A1470" s="3" t="n">
        <v>2022</v>
      </c>
      <c r="B1470" s="4" t="n">
        <v>28000</v>
      </c>
      <c r="C1470" s="4" t="n">
        <v>2059</v>
      </c>
      <c r="D1470" s="4" t="n">
        <v>622.8475</v>
      </c>
      <c r="E1470" s="5" t="n">
        <v>45</v>
      </c>
      <c r="F1470" s="3" t="inlineStr">
        <is>
          <t>남이면</t>
        </is>
      </c>
      <c r="G1470" s="3" t="inlineStr">
        <is>
          <t>가좌리</t>
        </is>
      </c>
      <c r="H1470" s="3" t="inlineStr">
        <is>
          <t>자연녹지지역</t>
        </is>
      </c>
      <c r="I1470" s="3" t="inlineStr">
        <is>
          <t>임야</t>
        </is>
      </c>
      <c r="J1470" s="3" t="inlineStr">
        <is>
          <t>남이면</t>
        </is>
      </c>
    </row>
    <row r="1471">
      <c r="A1471" s="3" t="n">
        <v>2022</v>
      </c>
      <c r="B1471" s="4" t="n">
        <v>57114</v>
      </c>
      <c r="C1471" s="4" t="n">
        <v>791</v>
      </c>
      <c r="D1471" s="4" t="n">
        <v>239.2775</v>
      </c>
      <c r="E1471" s="5" t="n">
        <v>238.7</v>
      </c>
      <c r="F1471" s="3" t="inlineStr">
        <is>
          <t>남이면</t>
        </is>
      </c>
      <c r="G1471" s="3" t="inlineStr">
        <is>
          <t>석판리</t>
        </is>
      </c>
      <c r="H1471" s="3" t="inlineStr">
        <is>
          <t>자연녹지지역</t>
        </is>
      </c>
      <c r="I1471" s="3" t="inlineStr">
        <is>
          <t>묘지</t>
        </is>
      </c>
      <c r="J1471" s="3" t="inlineStr">
        <is>
          <t>남이면</t>
        </is>
      </c>
    </row>
    <row r="1472">
      <c r="A1472" s="3" t="n">
        <v>2022</v>
      </c>
      <c r="B1472" s="4" t="n">
        <v>23100</v>
      </c>
      <c r="C1472" s="4" t="n">
        <v>2015</v>
      </c>
      <c r="D1472" s="4" t="n">
        <v>609.5375</v>
      </c>
      <c r="E1472" s="5" t="n">
        <v>37.9</v>
      </c>
      <c r="F1472" s="3" t="inlineStr">
        <is>
          <t>남이면</t>
        </is>
      </c>
      <c r="G1472" s="3" t="inlineStr">
        <is>
          <t>외천리</t>
        </is>
      </c>
      <c r="H1472" s="3" t="inlineStr">
        <is>
          <t>계획관리지역</t>
        </is>
      </c>
      <c r="I1472" s="3" t="inlineStr">
        <is>
          <t>전</t>
        </is>
      </c>
      <c r="J1472" s="3" t="inlineStr">
        <is>
          <t>남이면</t>
        </is>
      </c>
    </row>
    <row r="1473">
      <c r="A1473" s="3" t="n">
        <v>2022</v>
      </c>
      <c r="B1473" s="4" t="n">
        <v>900</v>
      </c>
      <c r="C1473" s="4" t="n">
        <v>190</v>
      </c>
      <c r="D1473" s="4" t="n">
        <v>57.475</v>
      </c>
      <c r="E1473" s="5" t="n">
        <v>15.7</v>
      </c>
      <c r="F1473" s="3" t="inlineStr">
        <is>
          <t>남이면</t>
        </is>
      </c>
      <c r="G1473" s="3" t="inlineStr">
        <is>
          <t>외천리</t>
        </is>
      </c>
      <c r="H1473" s="3" t="inlineStr">
        <is>
          <t>계획관리지역</t>
        </is>
      </c>
      <c r="I1473" s="3" t="inlineStr">
        <is>
          <t>전</t>
        </is>
      </c>
      <c r="J1473" s="3" t="inlineStr">
        <is>
          <t>남이면</t>
        </is>
      </c>
    </row>
    <row r="1474">
      <c r="A1474" s="3" t="n">
        <v>2022</v>
      </c>
      <c r="B1474" s="4" t="n">
        <v>2000</v>
      </c>
      <c r="C1474" s="4" t="n">
        <v>231</v>
      </c>
      <c r="D1474" s="4" t="n">
        <v>69.8775</v>
      </c>
      <c r="E1474" s="5" t="n">
        <v>28.6</v>
      </c>
      <c r="F1474" s="3" t="inlineStr">
        <is>
          <t>남이면</t>
        </is>
      </c>
      <c r="G1474" s="3" t="inlineStr">
        <is>
          <t>외천리</t>
        </is>
      </c>
      <c r="H1474" s="3" t="inlineStr">
        <is>
          <t>계획관리지역</t>
        </is>
      </c>
      <c r="I1474" s="3" t="inlineStr">
        <is>
          <t>임야</t>
        </is>
      </c>
      <c r="J1474" s="3" t="inlineStr">
        <is>
          <t>남이면</t>
        </is>
      </c>
    </row>
    <row r="1475">
      <c r="A1475" s="3" t="n">
        <v>2022</v>
      </c>
      <c r="B1475" s="4" t="n">
        <v>26500</v>
      </c>
      <c r="C1475" s="4" t="n">
        <v>1689</v>
      </c>
      <c r="D1475" s="4" t="n">
        <v>510.9225</v>
      </c>
      <c r="E1475" s="5" t="n">
        <v>51.9</v>
      </c>
      <c r="F1475" s="3" t="inlineStr">
        <is>
          <t>남이면</t>
        </is>
      </c>
      <c r="G1475" s="3" t="inlineStr">
        <is>
          <t>부용외천리</t>
        </is>
      </c>
      <c r="H1475" s="3" t="inlineStr">
        <is>
          <t>계획관리지역</t>
        </is>
      </c>
      <c r="I1475" s="3" t="inlineStr">
        <is>
          <t>답</t>
        </is>
      </c>
      <c r="J1475" s="3" t="inlineStr">
        <is>
          <t>남이면</t>
        </is>
      </c>
    </row>
    <row r="1476">
      <c r="A1476" s="3" t="n">
        <v>2023</v>
      </c>
      <c r="B1476" s="4" t="n">
        <v>28000</v>
      </c>
      <c r="C1476" s="4" t="n">
        <v>592</v>
      </c>
      <c r="D1476" s="4" t="n">
        <v>179.08</v>
      </c>
      <c r="E1476" s="5" t="n">
        <v>156.4</v>
      </c>
      <c r="F1476" s="3" t="inlineStr">
        <is>
          <t>오송읍</t>
        </is>
      </c>
      <c r="G1476" s="3" t="inlineStr">
        <is>
          <t>정중리</t>
        </is>
      </c>
      <c r="H1476" s="3" t="inlineStr">
        <is>
          <t>보전관리지역</t>
        </is>
      </c>
      <c r="I1476" s="3" t="inlineStr">
        <is>
          <t>임야</t>
        </is>
      </c>
      <c r="J1476" s="3" t="inlineStr">
        <is>
          <t>오송읍</t>
        </is>
      </c>
    </row>
    <row r="1477">
      <c r="A1477" s="3" t="n">
        <v>2023</v>
      </c>
      <c r="B1477" s="4" t="n">
        <v>137000</v>
      </c>
      <c r="C1477" s="4" t="n">
        <v>3306</v>
      </c>
      <c r="D1477" s="4" t="n">
        <v>1000.065</v>
      </c>
      <c r="E1477" s="5" t="n">
        <v>137</v>
      </c>
      <c r="F1477" s="3" t="inlineStr">
        <is>
          <t>강내면</t>
        </is>
      </c>
      <c r="G1477" s="3" t="inlineStr">
        <is>
          <t>태성리</t>
        </is>
      </c>
      <c r="H1477" s="3" t="inlineStr">
        <is>
          <t>계획관리지역</t>
        </is>
      </c>
      <c r="I1477" s="3" t="inlineStr">
        <is>
          <t>답</t>
        </is>
      </c>
      <c r="J1477" s="3" t="inlineStr">
        <is>
          <t>강내면</t>
        </is>
      </c>
    </row>
    <row r="1478">
      <c r="A1478" s="3" t="n">
        <v>2023</v>
      </c>
      <c r="B1478" s="4" t="n">
        <v>21913</v>
      </c>
      <c r="C1478" s="4" t="n">
        <v>360</v>
      </c>
      <c r="D1478" s="4" t="n">
        <v>108.9</v>
      </c>
      <c r="E1478" s="5" t="n">
        <v>201.2</v>
      </c>
      <c r="F1478" s="3" t="inlineStr">
        <is>
          <t>오송읍</t>
        </is>
      </c>
      <c r="G1478" s="3" t="inlineStr">
        <is>
          <t>정중리</t>
        </is>
      </c>
      <c r="H1478" s="3" t="inlineStr">
        <is>
          <t>생산관리지역</t>
        </is>
      </c>
      <c r="I1478" s="3" t="inlineStr">
        <is>
          <t>전</t>
        </is>
      </c>
      <c r="J1478" s="3" t="inlineStr">
        <is>
          <t>오송읍</t>
        </is>
      </c>
    </row>
    <row r="1479">
      <c r="A1479" s="3" t="n">
        <v>2023</v>
      </c>
      <c r="B1479" s="4" t="n">
        <v>21913</v>
      </c>
      <c r="C1479" s="4" t="n">
        <v>360</v>
      </c>
      <c r="D1479" s="4" t="n">
        <v>108.9</v>
      </c>
      <c r="E1479" s="5" t="n">
        <v>201.2</v>
      </c>
      <c r="F1479" s="3" t="inlineStr">
        <is>
          <t>오송읍</t>
        </is>
      </c>
      <c r="G1479" s="3" t="inlineStr">
        <is>
          <t>정중리</t>
        </is>
      </c>
      <c r="H1479" s="3" t="inlineStr">
        <is>
          <t>생산관리지역</t>
        </is>
      </c>
      <c r="I1479" s="3" t="inlineStr">
        <is>
          <t>전</t>
        </is>
      </c>
      <c r="J1479" s="3" t="inlineStr">
        <is>
          <t>오송읍</t>
        </is>
      </c>
    </row>
    <row r="1480">
      <c r="A1480" s="3" t="n">
        <v>2023</v>
      </c>
      <c r="B1480" s="4" t="n">
        <v>34047</v>
      </c>
      <c r="C1480" s="4" t="n">
        <v>566</v>
      </c>
      <c r="D1480" s="4" t="n">
        <v>171.215</v>
      </c>
      <c r="E1480" s="5" t="n">
        <v>198.9</v>
      </c>
      <c r="F1480" s="3" t="inlineStr">
        <is>
          <t>오송읍</t>
        </is>
      </c>
      <c r="G1480" s="3" t="inlineStr">
        <is>
          <t>정중리</t>
        </is>
      </c>
      <c r="H1480" s="3" t="inlineStr">
        <is>
          <t>생산관리지역</t>
        </is>
      </c>
      <c r="I1480" s="3" t="inlineStr">
        <is>
          <t>임야</t>
        </is>
      </c>
      <c r="J1480" s="3" t="inlineStr">
        <is>
          <t>오송읍</t>
        </is>
      </c>
    </row>
    <row r="1481">
      <c r="A1481" s="3" t="n">
        <v>2023</v>
      </c>
      <c r="B1481" s="4" t="n">
        <v>28303</v>
      </c>
      <c r="C1481" s="4" t="n">
        <v>514</v>
      </c>
      <c r="D1481" s="4" t="n">
        <v>155.485</v>
      </c>
      <c r="E1481" s="5" t="n">
        <v>182</v>
      </c>
      <c r="F1481" s="3" t="inlineStr">
        <is>
          <t>오송읍</t>
        </is>
      </c>
      <c r="G1481" s="3" t="inlineStr">
        <is>
          <t>정중리</t>
        </is>
      </c>
      <c r="H1481" s="3" t="inlineStr">
        <is>
          <t>생산관리지역</t>
        </is>
      </c>
      <c r="I1481" s="3" t="inlineStr">
        <is>
          <t>임야</t>
        </is>
      </c>
      <c r="J1481" s="3" t="inlineStr">
        <is>
          <t>오송읍</t>
        </is>
      </c>
    </row>
    <row r="1482">
      <c r="A1482" s="3" t="n">
        <v>2024</v>
      </c>
      <c r="B1482" s="4" t="n">
        <v>11900</v>
      </c>
      <c r="C1482" s="4" t="n">
        <v>372</v>
      </c>
      <c r="D1482" s="4" t="n">
        <v>112.53</v>
      </c>
      <c r="E1482" s="5" t="n">
        <v>105.7</v>
      </c>
      <c r="F1482" s="3" t="inlineStr">
        <is>
          <t>강내면</t>
        </is>
      </c>
      <c r="G1482" s="3" t="inlineStr">
        <is>
          <t>태성리</t>
        </is>
      </c>
      <c r="H1482" s="3" t="inlineStr">
        <is>
          <t>계획관리지역</t>
        </is>
      </c>
      <c r="I1482" s="3" t="inlineStr">
        <is>
          <t>대</t>
        </is>
      </c>
      <c r="J1482" s="3" t="inlineStr">
        <is>
          <t>강내면</t>
        </is>
      </c>
    </row>
    <row r="1483">
      <c r="A1483" s="3" t="n">
        <v>2024</v>
      </c>
      <c r="B1483" s="4" t="n">
        <v>11900</v>
      </c>
      <c r="C1483" s="4" t="n">
        <v>372</v>
      </c>
      <c r="D1483" s="4" t="n">
        <v>112.53</v>
      </c>
      <c r="E1483" s="5" t="n">
        <v>105.7</v>
      </c>
      <c r="F1483" s="3" t="inlineStr">
        <is>
          <t>강내면</t>
        </is>
      </c>
      <c r="G1483" s="3" t="inlineStr">
        <is>
          <t>태성리</t>
        </is>
      </c>
      <c r="H1483" s="3" t="inlineStr">
        <is>
          <t>계획관리지역</t>
        </is>
      </c>
      <c r="I1483" s="3" t="inlineStr">
        <is>
          <t>대</t>
        </is>
      </c>
      <c r="J1483" s="3" t="inlineStr">
        <is>
          <t>강내면</t>
        </is>
      </c>
    </row>
    <row r="1484">
      <c r="A1484" s="3" t="n">
        <v>2024</v>
      </c>
      <c r="B1484" s="4" t="n">
        <v>27000</v>
      </c>
      <c r="C1484" s="4" t="n">
        <v>240.9</v>
      </c>
      <c r="D1484" s="4" t="n">
        <v>72.87224999999999</v>
      </c>
      <c r="E1484" s="5" t="n">
        <v>370.5</v>
      </c>
      <c r="F1484" s="3" t="inlineStr">
        <is>
          <t>오송읍</t>
        </is>
      </c>
      <c r="G1484" s="3" t="inlineStr">
        <is>
          <t>봉산리</t>
        </is>
      </c>
      <c r="H1484" s="3" t="inlineStr">
        <is>
          <t>제1종일반주거지역</t>
        </is>
      </c>
      <c r="I1484" s="3" t="inlineStr">
        <is>
          <t>대</t>
        </is>
      </c>
      <c r="J1484" s="3" t="inlineStr">
        <is>
          <t>오송읍</t>
        </is>
      </c>
    </row>
    <row r="1485">
      <c r="A1485" s="3" t="n">
        <v>2024</v>
      </c>
      <c r="B1485" s="4" t="n">
        <v>4600</v>
      </c>
      <c r="C1485" s="4" t="n">
        <v>387</v>
      </c>
      <c r="D1485" s="4" t="n">
        <v>117.0675</v>
      </c>
      <c r="E1485" s="5" t="n">
        <v>39.3</v>
      </c>
      <c r="F1485" s="3" t="inlineStr">
        <is>
          <t>오송읍</t>
        </is>
      </c>
      <c r="G1485" s="3" t="inlineStr">
        <is>
          <t>서평리</t>
        </is>
      </c>
      <c r="H1485" s="3" t="inlineStr">
        <is>
          <t>생산관리지역</t>
        </is>
      </c>
      <c r="I1485" s="3" t="inlineStr">
        <is>
          <t>전</t>
        </is>
      </c>
      <c r="J1485" s="3" t="inlineStr">
        <is>
          <t>오송읍</t>
        </is>
      </c>
    </row>
    <row r="1486">
      <c r="A1486" s="3" t="n">
        <v>2024</v>
      </c>
      <c r="B1486" s="4" t="n">
        <v>32000</v>
      </c>
      <c r="C1486" s="4" t="n">
        <v>2645</v>
      </c>
      <c r="D1486" s="4" t="n">
        <v>800.1125</v>
      </c>
      <c r="E1486" s="5" t="n">
        <v>40</v>
      </c>
      <c r="F1486" s="3" t="inlineStr">
        <is>
          <t>오송읍</t>
        </is>
      </c>
      <c r="G1486" s="3" t="inlineStr">
        <is>
          <t>서평리</t>
        </is>
      </c>
      <c r="H1486" s="3" t="inlineStr">
        <is>
          <t>생산관리지역</t>
        </is>
      </c>
      <c r="I1486" s="3" t="inlineStr">
        <is>
          <t>전</t>
        </is>
      </c>
      <c r="J1486" s="3" t="inlineStr">
        <is>
          <t>오송읍</t>
        </is>
      </c>
    </row>
    <row r="1487">
      <c r="A1487" s="3" t="n">
        <v>2024</v>
      </c>
      <c r="B1487" s="4" t="n">
        <v>5200</v>
      </c>
      <c r="C1487" s="4" t="n">
        <v>248</v>
      </c>
      <c r="D1487" s="4" t="n">
        <v>75.02</v>
      </c>
      <c r="E1487" s="5" t="n">
        <v>69.3</v>
      </c>
      <c r="F1487" s="3" t="inlineStr">
        <is>
          <t>강내면</t>
        </is>
      </c>
      <c r="G1487" s="3" t="inlineStr">
        <is>
          <t>학천리</t>
        </is>
      </c>
      <c r="H1487" s="3" t="inlineStr">
        <is>
          <t>자연녹지지역</t>
        </is>
      </c>
      <c r="I1487" s="3" t="inlineStr">
        <is>
          <t>대</t>
        </is>
      </c>
      <c r="J1487" s="3" t="inlineStr">
        <is>
          <t>강내면</t>
        </is>
      </c>
    </row>
    <row r="1488">
      <c r="A1488" s="3" t="n">
        <v>2024</v>
      </c>
      <c r="B1488" s="4" t="n">
        <v>8502</v>
      </c>
      <c r="C1488" s="4" t="n">
        <v>846</v>
      </c>
      <c r="D1488" s="4" t="n">
        <v>255.915</v>
      </c>
      <c r="E1488" s="5" t="n">
        <v>33.2</v>
      </c>
      <c r="F1488" s="3" t="inlineStr">
        <is>
          <t>오송읍</t>
        </is>
      </c>
      <c r="G1488" s="3" t="inlineStr">
        <is>
          <t>쌍청리</t>
        </is>
      </c>
      <c r="H1488" s="3" t="inlineStr">
        <is>
          <t>농림지역</t>
        </is>
      </c>
      <c r="I1488" s="3" t="inlineStr">
        <is>
          <t>전</t>
        </is>
      </c>
      <c r="J1488" s="3" t="inlineStr">
        <is>
          <t>오송읍</t>
        </is>
      </c>
    </row>
    <row r="1489">
      <c r="A1489" s="3" t="n">
        <v>2024</v>
      </c>
      <c r="B1489" s="4" t="n">
        <v>15064</v>
      </c>
      <c r="C1489" s="4" t="n">
        <v>1382</v>
      </c>
      <c r="D1489" s="4" t="n">
        <v>418.055</v>
      </c>
      <c r="E1489" s="5" t="n">
        <v>36</v>
      </c>
      <c r="F1489" s="3" t="inlineStr">
        <is>
          <t>오송읍</t>
        </is>
      </c>
      <c r="G1489" s="3" t="inlineStr">
        <is>
          <t>쌍청리</t>
        </is>
      </c>
      <c r="H1489" s="3" t="inlineStr">
        <is>
          <t>농림지역</t>
        </is>
      </c>
      <c r="I1489" s="3" t="inlineStr">
        <is>
          <t>전</t>
        </is>
      </c>
      <c r="J1489" s="3" t="inlineStr">
        <is>
          <t>오송읍</t>
        </is>
      </c>
    </row>
    <row r="1490">
      <c r="A1490" s="3" t="n">
        <v>2024</v>
      </c>
      <c r="B1490" s="4" t="n">
        <v>20000</v>
      </c>
      <c r="C1490" s="4" t="n">
        <v>2688</v>
      </c>
      <c r="D1490" s="4" t="n">
        <v>813.12</v>
      </c>
      <c r="E1490" s="5" t="n">
        <v>24.6</v>
      </c>
      <c r="F1490" s="3" t="inlineStr">
        <is>
          <t>강내면</t>
        </is>
      </c>
      <c r="G1490" s="3" t="inlineStr">
        <is>
          <t>학천리</t>
        </is>
      </c>
      <c r="H1490" s="3" t="inlineStr">
        <is>
          <t>자연녹지지역</t>
        </is>
      </c>
      <c r="I1490" s="3" t="inlineStr">
        <is>
          <t>답</t>
        </is>
      </c>
      <c r="J1490" s="3" t="inlineStr">
        <is>
          <t>강내면</t>
        </is>
      </c>
    </row>
    <row r="1491">
      <c r="A1491" s="3" t="n">
        <v>2025</v>
      </c>
      <c r="B1491" s="4" t="n">
        <v>40000</v>
      </c>
      <c r="C1491" s="4" t="n">
        <v>317</v>
      </c>
      <c r="D1491" s="4" t="n">
        <v>95.8925</v>
      </c>
      <c r="E1491" s="5" t="n">
        <v>417.1</v>
      </c>
      <c r="F1491" s="3" t="inlineStr">
        <is>
          <t>조치원읍</t>
        </is>
      </c>
      <c r="G1491" s="3" t="inlineStr">
        <is>
          <t>신안리</t>
        </is>
      </c>
      <c r="H1491" s="3" t="inlineStr">
        <is>
          <t>제2종일반주거지역</t>
        </is>
      </c>
      <c r="I1491" s="3" t="inlineStr">
        <is>
          <t>대</t>
        </is>
      </c>
      <c r="J1491" s="3" t="inlineStr">
        <is>
          <t>조치원읍</t>
        </is>
      </c>
    </row>
    <row r="1492">
      <c r="A1492" s="3" t="n">
        <v>2025</v>
      </c>
      <c r="B1492" s="4" t="n">
        <v>40000</v>
      </c>
      <c r="C1492" s="4" t="n">
        <v>294</v>
      </c>
      <c r="D1492" s="4" t="n">
        <v>88.935</v>
      </c>
      <c r="E1492" s="5" t="n">
        <v>449.8</v>
      </c>
      <c r="F1492" s="3" t="inlineStr">
        <is>
          <t>조치원읍</t>
        </is>
      </c>
      <c r="G1492" s="3" t="inlineStr">
        <is>
          <t>신안리</t>
        </is>
      </c>
      <c r="H1492" s="3" t="inlineStr">
        <is>
          <t>제2종일반주거지역</t>
        </is>
      </c>
      <c r="I1492" s="3" t="inlineStr">
        <is>
          <t>대</t>
        </is>
      </c>
      <c r="J1492" s="3" t="inlineStr">
        <is>
          <t>조치원읍</t>
        </is>
      </c>
    </row>
    <row r="1493">
      <c r="A1493" s="3" t="n">
        <v>2023</v>
      </c>
      <c r="B1493" s="4" t="n">
        <v>39152</v>
      </c>
      <c r="C1493" s="4" t="n">
        <v>600</v>
      </c>
      <c r="D1493" s="4" t="n">
        <v>181.5</v>
      </c>
      <c r="E1493" s="5" t="n">
        <v>215.7</v>
      </c>
      <c r="F1493" s="3" t="inlineStr">
        <is>
          <t>오송읍</t>
        </is>
      </c>
      <c r="G1493" s="3" t="inlineStr">
        <is>
          <t>정중리</t>
        </is>
      </c>
      <c r="H1493" s="3" t="inlineStr">
        <is>
          <t>생산관리지역</t>
        </is>
      </c>
      <c r="I1493" s="3" t="inlineStr">
        <is>
          <t>임야</t>
        </is>
      </c>
      <c r="J1493" s="3" t="inlineStr">
        <is>
          <t>오송읍</t>
        </is>
      </c>
    </row>
    <row r="1494">
      <c r="A1494" s="3" t="n">
        <v>2023</v>
      </c>
      <c r="B1494" s="4" t="n">
        <v>24070</v>
      </c>
      <c r="C1494" s="4" t="n">
        <v>351</v>
      </c>
      <c r="D1494" s="4" t="n">
        <v>106.1775</v>
      </c>
      <c r="E1494" s="5" t="n">
        <v>226.7</v>
      </c>
      <c r="F1494" s="3" t="inlineStr">
        <is>
          <t>오송읍</t>
        </is>
      </c>
      <c r="G1494" s="3" t="inlineStr">
        <is>
          <t>정중리</t>
        </is>
      </c>
      <c r="H1494" s="3" t="inlineStr">
        <is>
          <t>생산관리지역</t>
        </is>
      </c>
      <c r="I1494" s="3" t="inlineStr">
        <is>
          <t>임야</t>
        </is>
      </c>
      <c r="J1494" s="3" t="inlineStr">
        <is>
          <t>오송읍</t>
        </is>
      </c>
    </row>
    <row r="1495">
      <c r="A1495" s="3" t="n">
        <v>2023</v>
      </c>
      <c r="B1495" s="4" t="n">
        <v>5042</v>
      </c>
      <c r="C1495" s="4" t="n">
        <v>85</v>
      </c>
      <c r="D1495" s="4" t="n">
        <v>25.7125</v>
      </c>
      <c r="E1495" s="5" t="n">
        <v>196.1</v>
      </c>
      <c r="F1495" s="3" t="inlineStr">
        <is>
          <t>오송읍</t>
        </is>
      </c>
      <c r="G1495" s="3" t="inlineStr">
        <is>
          <t>정중리</t>
        </is>
      </c>
      <c r="H1495" s="3" t="inlineStr">
        <is>
          <t>계획관리지역</t>
        </is>
      </c>
      <c r="I1495" s="3" t="inlineStr">
        <is>
          <t>전</t>
        </is>
      </c>
      <c r="J1495" s="3" t="inlineStr">
        <is>
          <t>오송읍</t>
        </is>
      </c>
    </row>
    <row r="1496">
      <c r="A1496" s="3" t="n">
        <v>2023</v>
      </c>
      <c r="B1496" s="4" t="n">
        <v>1138</v>
      </c>
      <c r="C1496" s="4" t="n">
        <v>23</v>
      </c>
      <c r="D1496" s="4" t="n">
        <v>6.9575</v>
      </c>
      <c r="E1496" s="5" t="n">
        <v>163.6</v>
      </c>
      <c r="F1496" s="3" t="inlineStr">
        <is>
          <t>오송읍</t>
        </is>
      </c>
      <c r="G1496" s="3" t="inlineStr">
        <is>
          <t>정중리</t>
        </is>
      </c>
      <c r="H1496" s="3" t="inlineStr">
        <is>
          <t>생산관리지역</t>
        </is>
      </c>
      <c r="I1496" s="3" t="inlineStr">
        <is>
          <t>대</t>
        </is>
      </c>
      <c r="J1496" s="3" t="inlineStr">
        <is>
          <t>오송읍</t>
        </is>
      </c>
    </row>
    <row r="1497">
      <c r="A1497" s="3" t="n">
        <v>2023</v>
      </c>
      <c r="B1497" s="4" t="n">
        <v>48</v>
      </c>
      <c r="C1497" s="4" t="n">
        <v>1</v>
      </c>
      <c r="D1497" s="4" t="n">
        <v>0.3025</v>
      </c>
      <c r="E1497" s="5" t="n">
        <v>158.7</v>
      </c>
      <c r="F1497" s="3" t="inlineStr">
        <is>
          <t>오송읍</t>
        </is>
      </c>
      <c r="G1497" s="3" t="inlineStr">
        <is>
          <t>정중리</t>
        </is>
      </c>
      <c r="H1497" s="3" t="inlineStr">
        <is>
          <t>생산관리지역</t>
        </is>
      </c>
      <c r="I1497" s="3" t="inlineStr">
        <is>
          <t>전</t>
        </is>
      </c>
      <c r="J1497" s="3" t="inlineStr">
        <is>
          <t>오송읍</t>
        </is>
      </c>
    </row>
    <row r="1498">
      <c r="A1498" s="3" t="n">
        <v>2023</v>
      </c>
      <c r="B1498" s="4" t="n">
        <v>25163</v>
      </c>
      <c r="C1498" s="4" t="n">
        <v>390</v>
      </c>
      <c r="D1498" s="4" t="n">
        <v>117.975</v>
      </c>
      <c r="E1498" s="5" t="n">
        <v>213.3</v>
      </c>
      <c r="F1498" s="3" t="inlineStr">
        <is>
          <t>오송읍</t>
        </is>
      </c>
      <c r="G1498" s="3" t="inlineStr">
        <is>
          <t>정중리</t>
        </is>
      </c>
      <c r="H1498" s="3" t="inlineStr">
        <is>
          <t>생산관리지역</t>
        </is>
      </c>
      <c r="I1498" s="3" t="inlineStr">
        <is>
          <t>대</t>
        </is>
      </c>
      <c r="J1498" s="3" t="inlineStr">
        <is>
          <t>오송읍</t>
        </is>
      </c>
    </row>
    <row r="1499">
      <c r="A1499" s="3" t="n">
        <v>2023</v>
      </c>
      <c r="B1499" s="4" t="n">
        <v>142</v>
      </c>
      <c r="C1499" s="4" t="n">
        <v>6</v>
      </c>
      <c r="D1499" s="4" t="n">
        <v>1.815</v>
      </c>
      <c r="E1499" s="5" t="n">
        <v>78.2</v>
      </c>
      <c r="F1499" s="3" t="inlineStr">
        <is>
          <t>오송읍</t>
        </is>
      </c>
      <c r="G1499" s="3" t="inlineStr">
        <is>
          <t>정중리</t>
        </is>
      </c>
      <c r="H1499" s="3" t="inlineStr">
        <is>
          <t>생산관리지역</t>
        </is>
      </c>
      <c r="I1499" s="3" t="inlineStr">
        <is>
          <t>임야</t>
        </is>
      </c>
      <c r="J1499" s="3" t="inlineStr">
        <is>
          <t>오송읍</t>
        </is>
      </c>
    </row>
    <row r="1500">
      <c r="A1500" s="3" t="n">
        <v>2024</v>
      </c>
      <c r="B1500" s="4" t="n">
        <v>40620</v>
      </c>
      <c r="C1500" s="4" t="n">
        <v>4663</v>
      </c>
      <c r="D1500" s="4" t="n">
        <v>1410.5575</v>
      </c>
      <c r="E1500" s="5" t="n">
        <v>28.8</v>
      </c>
      <c r="F1500" s="3" t="inlineStr">
        <is>
          <t>남이면</t>
        </is>
      </c>
      <c r="G1500" s="3" t="inlineStr">
        <is>
          <t>구미리</t>
        </is>
      </c>
      <c r="H1500" s="3" t="inlineStr">
        <is>
          <t>계획관리지역</t>
        </is>
      </c>
      <c r="I1500" s="3" t="inlineStr">
        <is>
          <t>임야</t>
        </is>
      </c>
      <c r="J1500" s="3" t="inlineStr">
        <is>
          <t>남이면</t>
        </is>
      </c>
    </row>
    <row r="1501">
      <c r="A1501" s="3" t="n">
        <v>2025</v>
      </c>
      <c r="B1501" s="4" t="n">
        <v>71795</v>
      </c>
      <c r="C1501" s="4" t="n">
        <v>2421</v>
      </c>
      <c r="D1501" s="4" t="n">
        <v>732.3525</v>
      </c>
      <c r="E1501" s="5" t="n">
        <v>98</v>
      </c>
      <c r="F1501" s="3" t="inlineStr">
        <is>
          <t>남이면</t>
        </is>
      </c>
      <c r="G1501" s="3" t="inlineStr">
        <is>
          <t>수대리</t>
        </is>
      </c>
      <c r="H1501" s="3" t="inlineStr">
        <is>
          <t>자연녹지지역</t>
        </is>
      </c>
      <c r="I1501" s="3" t="inlineStr">
        <is>
          <t>창고용지</t>
        </is>
      </c>
      <c r="J1501" s="3" t="inlineStr">
        <is>
          <t>남이면</t>
        </is>
      </c>
    </row>
    <row r="1502">
      <c r="A1502" s="3" t="n">
        <v>2026</v>
      </c>
      <c r="B1502" s="4" t="n">
        <v>19055</v>
      </c>
      <c r="C1502" s="4" t="n">
        <v>484</v>
      </c>
      <c r="D1502" s="4" t="n">
        <v>146.41</v>
      </c>
      <c r="E1502" s="5" t="n">
        <v>130.1</v>
      </c>
      <c r="F1502" s="3" t="inlineStr">
        <is>
          <t>남이면</t>
        </is>
      </c>
      <c r="G1502" s="3" t="inlineStr">
        <is>
          <t>석판리</t>
        </is>
      </c>
      <c r="H1502" s="3" t="inlineStr">
        <is>
          <t>자연녹지지역</t>
        </is>
      </c>
      <c r="I1502" s="3" t="inlineStr">
        <is>
          <t>임야</t>
        </is>
      </c>
      <c r="J1502" s="3" t="inlineStr">
        <is>
          <t>남이면</t>
        </is>
      </c>
    </row>
    <row r="1503">
      <c r="A1503" s="3" t="n">
        <v>2026</v>
      </c>
      <c r="B1503" s="4" t="n">
        <v>44000</v>
      </c>
      <c r="C1503" s="4" t="n">
        <v>4893</v>
      </c>
      <c r="D1503" s="4" t="n">
        <v>1480.1325</v>
      </c>
      <c r="E1503" s="5" t="n">
        <v>29.7</v>
      </c>
      <c r="F1503" s="3" t="inlineStr">
        <is>
          <t>남이면</t>
        </is>
      </c>
      <c r="G1503" s="3" t="inlineStr">
        <is>
          <t>척산리</t>
        </is>
      </c>
      <c r="H1503" s="3" t="inlineStr">
        <is>
          <t>생산관리지역</t>
        </is>
      </c>
      <c r="I1503" s="3" t="inlineStr">
        <is>
          <t>답</t>
        </is>
      </c>
      <c r="J1503" s="3" t="inlineStr">
        <is>
          <t>남이면</t>
        </is>
      </c>
    </row>
    <row r="1504">
      <c r="A1504" s="3" t="n">
        <v>2026</v>
      </c>
      <c r="B1504" s="4" t="n">
        <v>32418</v>
      </c>
      <c r="C1504" s="4" t="n">
        <v>1521</v>
      </c>
      <c r="D1504" s="4" t="n">
        <v>460.1025</v>
      </c>
      <c r="E1504" s="5" t="n">
        <v>70.5</v>
      </c>
      <c r="F1504" s="3" t="inlineStr">
        <is>
          <t>남이면</t>
        </is>
      </c>
      <c r="G1504" s="3" t="inlineStr">
        <is>
          <t>상발리</t>
        </is>
      </c>
      <c r="H1504" s="3" t="inlineStr">
        <is>
          <t>자연녹지지역</t>
        </is>
      </c>
      <c r="I1504" s="3" t="inlineStr">
        <is>
          <t>답</t>
        </is>
      </c>
      <c r="J1504" s="3" t="inlineStr">
        <is>
          <t>남이면</t>
        </is>
      </c>
    </row>
    <row r="1505">
      <c r="A1505" s="3" t="n">
        <v>2026</v>
      </c>
      <c r="B1505" s="4" t="n">
        <v>13129</v>
      </c>
      <c r="C1505" s="4" t="n">
        <v>618</v>
      </c>
      <c r="D1505" s="4" t="n">
        <v>186.945</v>
      </c>
      <c r="E1505" s="5" t="n">
        <v>70.2</v>
      </c>
      <c r="F1505" s="3" t="inlineStr">
        <is>
          <t>남이면</t>
        </is>
      </c>
      <c r="G1505" s="3" t="inlineStr">
        <is>
          <t>상발리</t>
        </is>
      </c>
      <c r="H1505" s="3" t="inlineStr">
        <is>
          <t>자연녹지지역</t>
        </is>
      </c>
      <c r="I1505" s="3" t="inlineStr">
        <is>
          <t>답</t>
        </is>
      </c>
      <c r="J1505" s="3" t="inlineStr">
        <is>
          <t>남이면</t>
        </is>
      </c>
    </row>
    <row r="1506">
      <c r="A1506" s="3" t="n">
        <v>2026</v>
      </c>
      <c r="B1506" s="4" t="n">
        <v>1373</v>
      </c>
      <c r="C1506" s="4" t="n">
        <v>65</v>
      </c>
      <c r="D1506" s="4" t="n">
        <v>19.6625</v>
      </c>
      <c r="E1506" s="5" t="n">
        <v>69.8</v>
      </c>
      <c r="F1506" s="3" t="inlineStr">
        <is>
          <t>남이면</t>
        </is>
      </c>
      <c r="G1506" s="3" t="inlineStr">
        <is>
          <t>상발리</t>
        </is>
      </c>
      <c r="H1506" s="3" t="inlineStr">
        <is>
          <t>자연녹지지역</t>
        </is>
      </c>
      <c r="I1506" s="3" t="inlineStr">
        <is>
          <t>답</t>
        </is>
      </c>
      <c r="J1506" s="3" t="inlineStr">
        <is>
          <t>남이면</t>
        </is>
      </c>
    </row>
    <row r="1507">
      <c r="A1507" s="3" t="n">
        <v>2026</v>
      </c>
      <c r="B1507" s="4" t="n">
        <v>211</v>
      </c>
      <c r="C1507" s="4" t="n">
        <v>83</v>
      </c>
      <c r="D1507" s="4" t="n">
        <v>25.1075</v>
      </c>
      <c r="E1507" s="5" t="n">
        <v>8.4</v>
      </c>
      <c r="F1507" s="3" t="inlineStr">
        <is>
          <t>남이면</t>
        </is>
      </c>
      <c r="G1507" s="3" t="inlineStr">
        <is>
          <t>상발리</t>
        </is>
      </c>
      <c r="H1507" s="3" t="inlineStr">
        <is>
          <t>자연녹지지역</t>
        </is>
      </c>
      <c r="I1507" s="3" t="inlineStr">
        <is>
          <t>도로</t>
        </is>
      </c>
      <c r="J1507" s="3" t="inlineStr">
        <is>
          <t>남이면</t>
        </is>
      </c>
    </row>
    <row r="1508">
      <c r="A1508" s="3" t="n">
        <v>2026</v>
      </c>
      <c r="B1508" s="4" t="n">
        <v>53</v>
      </c>
      <c r="C1508" s="4" t="n">
        <v>19</v>
      </c>
      <c r="D1508" s="4" t="n">
        <v>5.7475</v>
      </c>
      <c r="E1508" s="5" t="n">
        <v>9.199999999999999</v>
      </c>
      <c r="F1508" s="3" t="inlineStr">
        <is>
          <t>남이면</t>
        </is>
      </c>
      <c r="G1508" s="3" t="inlineStr">
        <is>
          <t>상발리</t>
        </is>
      </c>
      <c r="H1508" s="3" t="inlineStr">
        <is>
          <t>자연녹지지역</t>
        </is>
      </c>
      <c r="I1508" s="3" t="inlineStr">
        <is>
          <t>도로</t>
        </is>
      </c>
      <c r="J1508" s="3" t="inlineStr">
        <is>
          <t>남이면</t>
        </is>
      </c>
    </row>
    <row r="1509">
      <c r="A1509" s="3" t="n">
        <v>2026</v>
      </c>
      <c r="B1509" s="4" t="n">
        <v>106</v>
      </c>
      <c r="C1509" s="4" t="n">
        <v>37</v>
      </c>
      <c r="D1509" s="4" t="n">
        <v>11.1925</v>
      </c>
      <c r="E1509" s="5" t="n">
        <v>9.5</v>
      </c>
      <c r="F1509" s="3" t="inlineStr">
        <is>
          <t>남이면</t>
        </is>
      </c>
      <c r="G1509" s="3" t="inlineStr">
        <is>
          <t>상발리</t>
        </is>
      </c>
      <c r="H1509" s="3" t="inlineStr">
        <is>
          <t>자연녹지지역</t>
        </is>
      </c>
      <c r="I1509" s="3" t="inlineStr">
        <is>
          <t>도로</t>
        </is>
      </c>
      <c r="J1509" s="3" t="inlineStr">
        <is>
          <t>남이면</t>
        </is>
      </c>
    </row>
    <row r="1510">
      <c r="A1510" s="3" t="n">
        <v>2026</v>
      </c>
      <c r="B1510" s="4" t="n">
        <v>810</v>
      </c>
      <c r="C1510" s="4" t="n">
        <v>37</v>
      </c>
      <c r="D1510" s="4" t="n">
        <v>11.1925</v>
      </c>
      <c r="E1510" s="5" t="n">
        <v>72.40000000000001</v>
      </c>
      <c r="F1510" s="3" t="inlineStr">
        <is>
          <t>남이면</t>
        </is>
      </c>
      <c r="G1510" s="3" t="inlineStr">
        <is>
          <t>상발리</t>
        </is>
      </c>
      <c r="H1510" s="3" t="inlineStr">
        <is>
          <t>자연녹지지역</t>
        </is>
      </c>
      <c r="I1510" s="3" t="inlineStr">
        <is>
          <t>답</t>
        </is>
      </c>
      <c r="J1510" s="3" t="inlineStr">
        <is>
          <t>남이면</t>
        </is>
      </c>
    </row>
    <row r="1511">
      <c r="A1511" s="3" t="n">
        <v>2022</v>
      </c>
      <c r="B1511" s="4" t="n">
        <v>14000</v>
      </c>
      <c r="C1511" s="4" t="n">
        <v>429</v>
      </c>
      <c r="D1511" s="4" t="n">
        <v>129.7725</v>
      </c>
      <c r="E1511" s="5" t="n">
        <v>107.9</v>
      </c>
      <c r="F1511" s="3" t="inlineStr">
        <is>
          <t>남이면</t>
        </is>
      </c>
      <c r="G1511" s="3" t="inlineStr">
        <is>
          <t>부용외천리</t>
        </is>
      </c>
      <c r="H1511" s="3" t="inlineStr">
        <is>
          <t>계획관리지역</t>
        </is>
      </c>
      <c r="I1511" s="3" t="inlineStr">
        <is>
          <t>전</t>
        </is>
      </c>
      <c r="J1511" s="3" t="inlineStr">
        <is>
          <t>남이면</t>
        </is>
      </c>
    </row>
    <row r="1512">
      <c r="A1512" s="3" t="n">
        <v>2022</v>
      </c>
      <c r="B1512" s="4" t="n">
        <v>13618</v>
      </c>
      <c r="C1512" s="4" t="n">
        <v>429</v>
      </c>
      <c r="D1512" s="4" t="n">
        <v>129.7725</v>
      </c>
      <c r="E1512" s="5" t="n">
        <v>104.9</v>
      </c>
      <c r="F1512" s="3" t="inlineStr">
        <is>
          <t>남이면</t>
        </is>
      </c>
      <c r="G1512" s="3" t="inlineStr">
        <is>
          <t>부용외천리</t>
        </is>
      </c>
      <c r="H1512" s="3" t="inlineStr">
        <is>
          <t>계획관리지역</t>
        </is>
      </c>
      <c r="I1512" s="3" t="inlineStr">
        <is>
          <t>답</t>
        </is>
      </c>
      <c r="J1512" s="3" t="inlineStr">
        <is>
          <t>남이면</t>
        </is>
      </c>
    </row>
    <row r="1513">
      <c r="A1513" s="3" t="n">
        <v>2022</v>
      </c>
      <c r="B1513" s="4" t="n">
        <v>24690</v>
      </c>
      <c r="C1513" s="4" t="n">
        <v>583</v>
      </c>
      <c r="D1513" s="4" t="n">
        <v>176.3575</v>
      </c>
      <c r="E1513" s="5" t="n">
        <v>140</v>
      </c>
      <c r="F1513" s="3" t="inlineStr">
        <is>
          <t>남이면</t>
        </is>
      </c>
      <c r="G1513" s="3" t="inlineStr">
        <is>
          <t>부용외천리</t>
        </is>
      </c>
      <c r="H1513" s="3" t="inlineStr">
        <is>
          <t>계획관리지역</t>
        </is>
      </c>
      <c r="I1513" s="3" t="inlineStr">
        <is>
          <t>대</t>
        </is>
      </c>
      <c r="J1513" s="3" t="inlineStr">
        <is>
          <t>남이면</t>
        </is>
      </c>
    </row>
    <row r="1514">
      <c r="A1514" s="3" t="n">
        <v>2022</v>
      </c>
      <c r="B1514" s="4" t="n">
        <v>28900</v>
      </c>
      <c r="C1514" s="4" t="n">
        <v>1100</v>
      </c>
      <c r="D1514" s="4" t="n">
        <v>332.75</v>
      </c>
      <c r="E1514" s="5" t="n">
        <v>86.90000000000001</v>
      </c>
      <c r="F1514" s="3" t="inlineStr">
        <is>
          <t>남이면</t>
        </is>
      </c>
      <c r="G1514" s="3" t="inlineStr">
        <is>
          <t>팔봉리</t>
        </is>
      </c>
      <c r="H1514" s="3" t="inlineStr">
        <is>
          <t>자연녹지지역</t>
        </is>
      </c>
      <c r="I1514" s="3" t="inlineStr">
        <is>
          <t>답</t>
        </is>
      </c>
      <c r="J1514" s="3" t="inlineStr">
        <is>
          <t>남이면</t>
        </is>
      </c>
    </row>
    <row r="1515">
      <c r="A1515" s="3" t="n">
        <v>2022</v>
      </c>
      <c r="B1515" s="4" t="n">
        <v>18300</v>
      </c>
      <c r="C1515" s="4" t="n">
        <v>697</v>
      </c>
      <c r="D1515" s="4" t="n">
        <v>210.8425</v>
      </c>
      <c r="E1515" s="5" t="n">
        <v>86.8</v>
      </c>
      <c r="F1515" s="3" t="inlineStr">
        <is>
          <t>남이면</t>
        </is>
      </c>
      <c r="G1515" s="3" t="inlineStr">
        <is>
          <t>팔봉리</t>
        </is>
      </c>
      <c r="H1515" s="3" t="inlineStr">
        <is>
          <t>자연녹지지역</t>
        </is>
      </c>
      <c r="I1515" s="3" t="inlineStr">
        <is>
          <t>답</t>
        </is>
      </c>
      <c r="J1515" s="3" t="inlineStr">
        <is>
          <t>남이면</t>
        </is>
      </c>
    </row>
    <row r="1516">
      <c r="A1516" s="3" t="n">
        <v>2022</v>
      </c>
      <c r="B1516" s="4" t="n">
        <v>30200</v>
      </c>
      <c r="C1516" s="4" t="n">
        <v>1150</v>
      </c>
      <c r="D1516" s="4" t="n">
        <v>347.875</v>
      </c>
      <c r="E1516" s="5" t="n">
        <v>86.8</v>
      </c>
      <c r="F1516" s="3" t="inlineStr">
        <is>
          <t>남이면</t>
        </is>
      </c>
      <c r="G1516" s="3" t="inlineStr">
        <is>
          <t>팔봉리</t>
        </is>
      </c>
      <c r="H1516" s="3" t="inlineStr">
        <is>
          <t>자연녹지지역</t>
        </is>
      </c>
      <c r="I1516" s="3" t="inlineStr">
        <is>
          <t>전</t>
        </is>
      </c>
      <c r="J1516" s="3" t="inlineStr">
        <is>
          <t>남이면</t>
        </is>
      </c>
    </row>
    <row r="1517">
      <c r="A1517" s="3" t="n">
        <v>2022</v>
      </c>
      <c r="B1517" s="4" t="n">
        <v>7100</v>
      </c>
      <c r="C1517" s="4" t="n">
        <v>269</v>
      </c>
      <c r="D1517" s="4" t="n">
        <v>81.3725</v>
      </c>
      <c r="E1517" s="5" t="n">
        <v>87.3</v>
      </c>
      <c r="F1517" s="3" t="inlineStr">
        <is>
          <t>남이면</t>
        </is>
      </c>
      <c r="G1517" s="3" t="inlineStr">
        <is>
          <t>팔봉리</t>
        </is>
      </c>
      <c r="H1517" s="3" t="inlineStr">
        <is>
          <t>자연녹지지역</t>
        </is>
      </c>
      <c r="I1517" s="3" t="inlineStr">
        <is>
          <t>답</t>
        </is>
      </c>
      <c r="J1517" s="3" t="inlineStr">
        <is>
          <t>남이면</t>
        </is>
      </c>
    </row>
    <row r="1518">
      <c r="A1518" s="3" t="n">
        <v>2022</v>
      </c>
      <c r="B1518" s="4" t="n">
        <v>100</v>
      </c>
      <c r="C1518" s="4" t="n">
        <v>9</v>
      </c>
      <c r="D1518" s="4" t="n">
        <v>2.7225</v>
      </c>
      <c r="E1518" s="5" t="n">
        <v>36.7</v>
      </c>
      <c r="F1518" s="3" t="inlineStr">
        <is>
          <t>남이면</t>
        </is>
      </c>
      <c r="G1518" s="3" t="inlineStr">
        <is>
          <t>가마리</t>
        </is>
      </c>
      <c r="H1518" s="3" t="inlineStr">
        <is>
          <t>자연녹지지역</t>
        </is>
      </c>
      <c r="I1518" s="3" t="inlineStr">
        <is>
          <t>도로</t>
        </is>
      </c>
      <c r="J1518" s="3" t="inlineStr">
        <is>
          <t>남이면</t>
        </is>
      </c>
    </row>
    <row r="1519">
      <c r="A1519" s="3" t="n">
        <v>2022</v>
      </c>
      <c r="B1519" s="4" t="n">
        <v>100</v>
      </c>
      <c r="C1519" s="4" t="n">
        <v>6</v>
      </c>
      <c r="D1519" s="4" t="n">
        <v>1.815</v>
      </c>
      <c r="E1519" s="5" t="n">
        <v>55.1</v>
      </c>
      <c r="F1519" s="3" t="inlineStr">
        <is>
          <t>남이면</t>
        </is>
      </c>
      <c r="G1519" s="3" t="inlineStr">
        <is>
          <t>가마리</t>
        </is>
      </c>
      <c r="H1519" s="3" t="inlineStr">
        <is>
          <t>자연녹지지역</t>
        </is>
      </c>
      <c r="I1519" s="3" t="inlineStr">
        <is>
          <t>도로</t>
        </is>
      </c>
      <c r="J1519" s="3" t="inlineStr">
        <is>
          <t>남이면</t>
        </is>
      </c>
    </row>
    <row r="1520">
      <c r="A1520" s="3" t="n">
        <v>2022</v>
      </c>
      <c r="B1520" s="4" t="n">
        <v>5000</v>
      </c>
      <c r="C1520" s="4" t="n">
        <v>119</v>
      </c>
      <c r="D1520" s="4" t="n">
        <v>35.9975</v>
      </c>
      <c r="E1520" s="5" t="n">
        <v>138.9</v>
      </c>
      <c r="F1520" s="3" t="inlineStr">
        <is>
          <t>남이면</t>
        </is>
      </c>
      <c r="G1520" s="3" t="inlineStr">
        <is>
          <t>가마리</t>
        </is>
      </c>
      <c r="H1520" s="3" t="inlineStr">
        <is>
          <t>자연녹지지역</t>
        </is>
      </c>
      <c r="I1520" s="3" t="inlineStr">
        <is>
          <t>대</t>
        </is>
      </c>
      <c r="J1520" s="3" t="inlineStr">
        <is>
          <t>남이면</t>
        </is>
      </c>
    </row>
    <row r="1521">
      <c r="A1521" s="3" t="n">
        <v>2022</v>
      </c>
      <c r="B1521" s="4" t="n">
        <v>2000</v>
      </c>
      <c r="C1521" s="4" t="n">
        <v>50</v>
      </c>
      <c r="D1521" s="4" t="n">
        <v>15.125</v>
      </c>
      <c r="E1521" s="5" t="n">
        <v>132.2</v>
      </c>
      <c r="F1521" s="3" t="inlineStr">
        <is>
          <t>남이면</t>
        </is>
      </c>
      <c r="G1521" s="3" t="inlineStr">
        <is>
          <t>가마리</t>
        </is>
      </c>
      <c r="H1521" s="3" t="inlineStr">
        <is>
          <t>자연녹지지역</t>
        </is>
      </c>
      <c r="I1521" s="3" t="inlineStr">
        <is>
          <t>대</t>
        </is>
      </c>
      <c r="J1521" s="3" t="inlineStr">
        <is>
          <t>남이면</t>
        </is>
      </c>
    </row>
    <row r="1522">
      <c r="A1522" s="3" t="n">
        <v>2022</v>
      </c>
      <c r="B1522" s="4" t="n">
        <v>3500</v>
      </c>
      <c r="C1522" s="4" t="n">
        <v>370</v>
      </c>
      <c r="D1522" s="4" t="n">
        <v>111.925</v>
      </c>
      <c r="E1522" s="5" t="n">
        <v>31.3</v>
      </c>
      <c r="F1522" s="3" t="inlineStr">
        <is>
          <t>남이면</t>
        </is>
      </c>
      <c r="G1522" s="3" t="inlineStr">
        <is>
          <t>척산리</t>
        </is>
      </c>
      <c r="H1522" s="3" t="inlineStr">
        <is>
          <t>보전관리지역</t>
        </is>
      </c>
      <c r="I1522" s="3" t="inlineStr">
        <is>
          <t>전</t>
        </is>
      </c>
      <c r="J1522" s="3" t="inlineStr">
        <is>
          <t>남이면</t>
        </is>
      </c>
    </row>
    <row r="1523">
      <c r="A1523" s="3" t="n">
        <v>2022</v>
      </c>
      <c r="B1523" s="4" t="n">
        <v>10000</v>
      </c>
      <c r="C1523" s="4" t="n">
        <v>417</v>
      </c>
      <c r="D1523" s="4" t="n">
        <v>126.1425</v>
      </c>
      <c r="E1523" s="5" t="n">
        <v>79.3</v>
      </c>
      <c r="F1523" s="3" t="inlineStr">
        <is>
          <t>남이면</t>
        </is>
      </c>
      <c r="G1523" s="3" t="inlineStr">
        <is>
          <t>가마리</t>
        </is>
      </c>
      <c r="H1523" s="3" t="inlineStr">
        <is>
          <t>자연녹지지역</t>
        </is>
      </c>
      <c r="I1523" s="3" t="inlineStr">
        <is>
          <t>전</t>
        </is>
      </c>
      <c r="J1523" s="3" t="inlineStr">
        <is>
          <t>남이면</t>
        </is>
      </c>
    </row>
    <row r="1524">
      <c r="A1524" s="3" t="n">
        <v>2022</v>
      </c>
      <c r="B1524" s="4" t="n">
        <v>11000</v>
      </c>
      <c r="C1524" s="4" t="n">
        <v>820</v>
      </c>
      <c r="D1524" s="4" t="n">
        <v>248.05</v>
      </c>
      <c r="E1524" s="5" t="n">
        <v>44.3</v>
      </c>
      <c r="F1524" s="3" t="inlineStr">
        <is>
          <t>남이면</t>
        </is>
      </c>
      <c r="G1524" s="3" t="inlineStr">
        <is>
          <t>사동리</t>
        </is>
      </c>
      <c r="H1524" s="3" t="inlineStr">
        <is>
          <t>생산관리지역</t>
        </is>
      </c>
      <c r="I1524" s="3" t="inlineStr">
        <is>
          <t>답</t>
        </is>
      </c>
      <c r="J1524" s="3" t="inlineStr">
        <is>
          <t>남이면</t>
        </is>
      </c>
    </row>
    <row r="1525">
      <c r="A1525" s="3" t="n">
        <v>2022</v>
      </c>
      <c r="B1525" s="4" t="n">
        <v>1400</v>
      </c>
      <c r="C1525" s="4" t="n">
        <v>304</v>
      </c>
      <c r="D1525" s="4" t="n">
        <v>91.95999999999999</v>
      </c>
      <c r="E1525" s="5" t="n">
        <v>15.2</v>
      </c>
      <c r="F1525" s="3" t="inlineStr">
        <is>
          <t>남이면</t>
        </is>
      </c>
      <c r="G1525" s="3" t="inlineStr">
        <is>
          <t>부용외천리</t>
        </is>
      </c>
      <c r="H1525" s="3" t="inlineStr">
        <is>
          <t>생산관리지역</t>
        </is>
      </c>
      <c r="I1525" s="3" t="inlineStr">
        <is>
          <t>전</t>
        </is>
      </c>
      <c r="J1525" s="3" t="inlineStr">
        <is>
          <t>남이면</t>
        </is>
      </c>
    </row>
    <row r="1526">
      <c r="A1526" s="3" t="n">
        <v>2026</v>
      </c>
      <c r="B1526" s="4" t="n">
        <v>450</v>
      </c>
      <c r="C1526" s="4" t="n">
        <v>2</v>
      </c>
      <c r="D1526" s="4" t="n">
        <v>0.605</v>
      </c>
      <c r="E1526" s="5" t="n">
        <v>743.8</v>
      </c>
      <c r="F1526" s="3" t="inlineStr">
        <is>
          <t>남이면</t>
        </is>
      </c>
      <c r="G1526" s="3" t="inlineStr">
        <is>
          <t>석판리</t>
        </is>
      </c>
      <c r="H1526" s="3" t="inlineStr">
        <is>
          <t>자연녹지지역</t>
        </is>
      </c>
      <c r="I1526" s="3" t="inlineStr">
        <is>
          <t>대</t>
        </is>
      </c>
      <c r="J1526" s="3" t="inlineStr">
        <is>
          <t>남이면</t>
        </is>
      </c>
    </row>
    <row r="1527">
      <c r="A1527" s="3" t="n">
        <v>2023</v>
      </c>
      <c r="B1527" s="4" t="n">
        <v>32804</v>
      </c>
      <c r="C1527" s="4" t="n">
        <v>519</v>
      </c>
      <c r="D1527" s="4" t="n">
        <v>156.9975</v>
      </c>
      <c r="E1527" s="5" t="n">
        <v>208.9</v>
      </c>
      <c r="F1527" s="3" t="inlineStr">
        <is>
          <t>오송읍</t>
        </is>
      </c>
      <c r="G1527" s="3" t="inlineStr">
        <is>
          <t>정중리</t>
        </is>
      </c>
      <c r="H1527" s="3" t="inlineStr">
        <is>
          <t>생산관리지역</t>
        </is>
      </c>
      <c r="I1527" s="3" t="inlineStr">
        <is>
          <t>임야</t>
        </is>
      </c>
      <c r="J1527" s="3" t="inlineStr">
        <is>
          <t>오송읍</t>
        </is>
      </c>
    </row>
    <row r="1528">
      <c r="A1528" s="3" t="n">
        <v>2026</v>
      </c>
      <c r="B1528" s="4" t="n">
        <v>3408</v>
      </c>
      <c r="C1528" s="4" t="n">
        <v>145</v>
      </c>
      <c r="D1528" s="4" t="n">
        <v>43.8625</v>
      </c>
      <c r="E1528" s="5" t="n">
        <v>77.7</v>
      </c>
      <c r="F1528" s="3" t="inlineStr">
        <is>
          <t>남이면</t>
        </is>
      </c>
      <c r="G1528" s="3" t="inlineStr">
        <is>
          <t>수대리</t>
        </is>
      </c>
      <c r="H1528" s="3" t="inlineStr">
        <is>
          <t>자연녹지지역</t>
        </is>
      </c>
      <c r="I1528" s="3" t="inlineStr">
        <is>
          <t>답</t>
        </is>
      </c>
      <c r="J1528" s="3" t="inlineStr">
        <is>
          <t>남이면</t>
        </is>
      </c>
    </row>
    <row r="1529">
      <c r="A1529" s="3" t="n">
        <v>2026</v>
      </c>
      <c r="B1529" s="4" t="n">
        <v>2656</v>
      </c>
      <c r="C1529" s="4" t="n">
        <v>113</v>
      </c>
      <c r="D1529" s="4" t="n">
        <v>34.1825</v>
      </c>
      <c r="E1529" s="5" t="n">
        <v>77.7</v>
      </c>
      <c r="F1529" s="3" t="inlineStr">
        <is>
          <t>남이면</t>
        </is>
      </c>
      <c r="G1529" s="3" t="inlineStr">
        <is>
          <t>수대리</t>
        </is>
      </c>
      <c r="H1529" s="3" t="inlineStr">
        <is>
          <t>자연녹지지역</t>
        </is>
      </c>
      <c r="I1529" s="3" t="inlineStr">
        <is>
          <t>답</t>
        </is>
      </c>
      <c r="J1529" s="3" t="inlineStr">
        <is>
          <t>남이면</t>
        </is>
      </c>
    </row>
    <row r="1530">
      <c r="A1530" s="3" t="n">
        <v>2022</v>
      </c>
      <c r="B1530" s="4" t="n">
        <v>9200</v>
      </c>
      <c r="C1530" s="4" t="n">
        <v>241</v>
      </c>
      <c r="D1530" s="4" t="n">
        <v>72.9025</v>
      </c>
      <c r="E1530" s="5" t="n">
        <v>126.2</v>
      </c>
      <c r="F1530" s="3" t="inlineStr">
        <is>
          <t>부강면</t>
        </is>
      </c>
      <c r="G1530" s="3" t="inlineStr">
        <is>
          <t>금호리</t>
        </is>
      </c>
      <c r="H1530" s="3" t="inlineStr">
        <is>
          <t>생산관리지역</t>
        </is>
      </c>
      <c r="I1530" s="3" t="inlineStr">
        <is>
          <t>대</t>
        </is>
      </c>
      <c r="J1530" s="3" t="inlineStr">
        <is>
          <t>부강면</t>
        </is>
      </c>
    </row>
    <row r="1531">
      <c r="A1531" s="3" t="n">
        <v>2022</v>
      </c>
      <c r="B1531" s="4" t="n">
        <v>18200</v>
      </c>
      <c r="C1531" s="4" t="n">
        <v>475</v>
      </c>
      <c r="D1531" s="4" t="n">
        <v>143.6875</v>
      </c>
      <c r="E1531" s="5" t="n">
        <v>126.7</v>
      </c>
      <c r="F1531" s="3" t="inlineStr">
        <is>
          <t>부강면</t>
        </is>
      </c>
      <c r="G1531" s="3" t="inlineStr">
        <is>
          <t>금호리</t>
        </is>
      </c>
      <c r="H1531" s="3" t="inlineStr">
        <is>
          <t>생산관리지역</t>
        </is>
      </c>
      <c r="I1531" s="3" t="inlineStr">
        <is>
          <t>대</t>
        </is>
      </c>
      <c r="J1531" s="3" t="inlineStr">
        <is>
          <t>부강면</t>
        </is>
      </c>
    </row>
    <row r="1532">
      <c r="A1532" s="3" t="n">
        <v>2022</v>
      </c>
      <c r="B1532" s="4" t="n">
        <v>20300</v>
      </c>
      <c r="C1532" s="4" t="n">
        <v>893</v>
      </c>
      <c r="D1532" s="4" t="n">
        <v>270.1325</v>
      </c>
      <c r="E1532" s="5" t="n">
        <v>75.09999999999999</v>
      </c>
      <c r="F1532" s="3" t="inlineStr">
        <is>
          <t>남이면</t>
        </is>
      </c>
      <c r="G1532" s="3" t="inlineStr">
        <is>
          <t>비룡리</t>
        </is>
      </c>
      <c r="H1532" s="3" t="inlineStr">
        <is>
          <t>계획관리지역</t>
        </is>
      </c>
      <c r="I1532" s="3" t="inlineStr">
        <is>
          <t>답</t>
        </is>
      </c>
      <c r="J1532" s="3" t="inlineStr">
        <is>
          <t>남이면</t>
        </is>
      </c>
    </row>
    <row r="1533">
      <c r="A1533" s="3" t="n">
        <v>2022</v>
      </c>
      <c r="B1533" s="4" t="n">
        <v>11643</v>
      </c>
      <c r="C1533" s="4" t="n">
        <v>456</v>
      </c>
      <c r="D1533" s="4" t="n">
        <v>137.94</v>
      </c>
      <c r="E1533" s="5" t="n">
        <v>84.40000000000001</v>
      </c>
      <c r="F1533" s="3" t="inlineStr">
        <is>
          <t>남이면</t>
        </is>
      </c>
      <c r="G1533" s="3" t="inlineStr">
        <is>
          <t>비룡리</t>
        </is>
      </c>
      <c r="H1533" s="3" t="inlineStr">
        <is>
          <t>계획관리지역</t>
        </is>
      </c>
      <c r="I1533" s="3" t="inlineStr">
        <is>
          <t>임야</t>
        </is>
      </c>
      <c r="J1533" s="3" t="inlineStr">
        <is>
          <t>남이면</t>
        </is>
      </c>
    </row>
    <row r="1534">
      <c r="A1534" s="3" t="n">
        <v>2022</v>
      </c>
      <c r="B1534" s="4" t="n">
        <v>93357</v>
      </c>
      <c r="C1534" s="4" t="n">
        <v>2630</v>
      </c>
      <c r="D1534" s="4" t="n">
        <v>795.5749999999999</v>
      </c>
      <c r="E1534" s="5" t="n">
        <v>117.3</v>
      </c>
      <c r="F1534" s="3" t="inlineStr">
        <is>
          <t>남이면</t>
        </is>
      </c>
      <c r="G1534" s="3" t="inlineStr">
        <is>
          <t>비룡리</t>
        </is>
      </c>
      <c r="H1534" s="3" t="inlineStr">
        <is>
          <t>계획관리지역</t>
        </is>
      </c>
      <c r="I1534" s="3" t="inlineStr">
        <is>
          <t>답</t>
        </is>
      </c>
      <c r="J1534" s="3" t="inlineStr">
        <is>
          <t>남이면</t>
        </is>
      </c>
    </row>
    <row r="1535">
      <c r="A1535" s="3" t="n">
        <v>2022</v>
      </c>
      <c r="B1535" s="4" t="n">
        <v>2700</v>
      </c>
      <c r="C1535" s="4" t="n">
        <v>87</v>
      </c>
      <c r="D1535" s="4" t="n">
        <v>26.3175</v>
      </c>
      <c r="E1535" s="5" t="n">
        <v>102.6</v>
      </c>
      <c r="F1535" s="3" t="inlineStr">
        <is>
          <t>남이면</t>
        </is>
      </c>
      <c r="G1535" s="3" t="inlineStr">
        <is>
          <t>비룡리</t>
        </is>
      </c>
      <c r="H1535" s="3" t="inlineStr">
        <is>
          <t>계획관리지역</t>
        </is>
      </c>
      <c r="I1535" s="3" t="inlineStr">
        <is>
          <t>임야</t>
        </is>
      </c>
      <c r="J1535" s="3" t="inlineStr">
        <is>
          <t>남이면</t>
        </is>
      </c>
    </row>
    <row r="1536">
      <c r="A1536" s="3" t="n">
        <v>2022</v>
      </c>
      <c r="B1536" s="4" t="n">
        <v>5800</v>
      </c>
      <c r="C1536" s="4" t="n">
        <v>435</v>
      </c>
      <c r="D1536" s="4" t="n">
        <v>131.5875</v>
      </c>
      <c r="E1536" s="5" t="n">
        <v>44.1</v>
      </c>
      <c r="F1536" s="3" t="inlineStr">
        <is>
          <t>남이면</t>
        </is>
      </c>
      <c r="G1536" s="3" t="inlineStr">
        <is>
          <t>갈원리</t>
        </is>
      </c>
      <c r="H1536" s="3" t="inlineStr">
        <is>
          <t>자연녹지지역</t>
        </is>
      </c>
      <c r="I1536" s="3" t="inlineStr">
        <is>
          <t>전</t>
        </is>
      </c>
      <c r="J1536" s="3" t="inlineStr">
        <is>
          <t>남이면</t>
        </is>
      </c>
    </row>
    <row r="1537">
      <c r="A1537" s="3" t="n">
        <v>2022</v>
      </c>
      <c r="B1537" s="4" t="n">
        <v>25139</v>
      </c>
      <c r="C1537" s="4" t="n">
        <v>3612</v>
      </c>
      <c r="D1537" s="4" t="n">
        <v>1092.63</v>
      </c>
      <c r="E1537" s="5" t="n">
        <v>23</v>
      </c>
      <c r="F1537" s="3" t="inlineStr">
        <is>
          <t>남이면</t>
        </is>
      </c>
      <c r="G1537" s="3" t="inlineStr">
        <is>
          <t>구미리</t>
        </is>
      </c>
      <c r="H1537" s="3" t="inlineStr">
        <is>
          <t>계획관리지역</t>
        </is>
      </c>
      <c r="I1537" s="3" t="inlineStr">
        <is>
          <t>임야</t>
        </is>
      </c>
      <c r="J1537" s="3" t="inlineStr">
        <is>
          <t>남이면</t>
        </is>
      </c>
    </row>
    <row r="1538">
      <c r="A1538" s="3" t="n">
        <v>2022</v>
      </c>
      <c r="B1538" s="4" t="n">
        <v>3473</v>
      </c>
      <c r="C1538" s="4" t="n">
        <v>500</v>
      </c>
      <c r="D1538" s="4" t="n">
        <v>151.25</v>
      </c>
      <c r="E1538" s="5" t="n">
        <v>23</v>
      </c>
      <c r="F1538" s="3" t="inlineStr">
        <is>
          <t>남이면</t>
        </is>
      </c>
      <c r="G1538" s="3" t="inlineStr">
        <is>
          <t>구미리</t>
        </is>
      </c>
      <c r="H1538" s="3" t="inlineStr">
        <is>
          <t>계획관리지역</t>
        </is>
      </c>
      <c r="I1538" s="3" t="inlineStr">
        <is>
          <t>묘지</t>
        </is>
      </c>
      <c r="J1538" s="3" t="inlineStr">
        <is>
          <t>남이면</t>
        </is>
      </c>
    </row>
    <row r="1539">
      <c r="A1539" s="3" t="n">
        <v>2022</v>
      </c>
      <c r="B1539" s="4" t="n">
        <v>16864</v>
      </c>
      <c r="C1539" s="4" t="n">
        <v>620</v>
      </c>
      <c r="D1539" s="4" t="n">
        <v>187.55</v>
      </c>
      <c r="E1539" s="5" t="n">
        <v>89.90000000000001</v>
      </c>
      <c r="F1539" s="3" t="inlineStr">
        <is>
          <t>남이면</t>
        </is>
      </c>
      <c r="G1539" s="3" t="inlineStr">
        <is>
          <t>가좌리</t>
        </is>
      </c>
      <c r="H1539" s="3" t="inlineStr">
        <is>
          <t>자연녹지지역</t>
        </is>
      </c>
      <c r="I1539" s="3" t="inlineStr">
        <is>
          <t>답</t>
        </is>
      </c>
      <c r="J1539" s="3" t="inlineStr">
        <is>
          <t>남이면</t>
        </is>
      </c>
    </row>
    <row r="1540">
      <c r="A1540" s="3" t="n">
        <v>2022</v>
      </c>
      <c r="B1540" s="4" t="n">
        <v>6810</v>
      </c>
      <c r="C1540" s="4" t="n">
        <v>250</v>
      </c>
      <c r="D1540" s="4" t="n">
        <v>75.625</v>
      </c>
      <c r="E1540" s="5" t="n">
        <v>90</v>
      </c>
      <c r="F1540" s="3" t="inlineStr">
        <is>
          <t>남이면</t>
        </is>
      </c>
      <c r="G1540" s="3" t="inlineStr">
        <is>
          <t>가좌리</t>
        </is>
      </c>
      <c r="H1540" s="3" t="inlineStr">
        <is>
          <t>자연녹지지역</t>
        </is>
      </c>
      <c r="I1540" s="3" t="inlineStr">
        <is>
          <t>답</t>
        </is>
      </c>
      <c r="J1540" s="3" t="inlineStr">
        <is>
          <t>남이면</t>
        </is>
      </c>
    </row>
    <row r="1541">
      <c r="A1541" s="3" t="n">
        <v>2022</v>
      </c>
      <c r="B1541" s="4" t="n">
        <v>1110</v>
      </c>
      <c r="C1541" s="4" t="n">
        <v>57</v>
      </c>
      <c r="D1541" s="4" t="n">
        <v>17.2425</v>
      </c>
      <c r="E1541" s="5" t="n">
        <v>64.40000000000001</v>
      </c>
      <c r="F1541" s="3" t="inlineStr">
        <is>
          <t>남이면</t>
        </is>
      </c>
      <c r="G1541" s="3" t="inlineStr">
        <is>
          <t>부용외천리</t>
        </is>
      </c>
      <c r="H1541" s="3" t="inlineStr">
        <is>
          <t>생산관리지역</t>
        </is>
      </c>
      <c r="I1541" s="3" t="inlineStr">
        <is>
          <t>전</t>
        </is>
      </c>
      <c r="J1541" s="3" t="inlineStr">
        <is>
          <t>남이면</t>
        </is>
      </c>
    </row>
    <row r="1542">
      <c r="A1542" s="3" t="n">
        <v>2022</v>
      </c>
      <c r="B1542" s="4" t="n">
        <v>5390</v>
      </c>
      <c r="C1542" s="4" t="n">
        <v>290</v>
      </c>
      <c r="D1542" s="4" t="n">
        <v>87.72499999999999</v>
      </c>
      <c r="E1542" s="5" t="n">
        <v>61.4</v>
      </c>
      <c r="F1542" s="3" t="inlineStr">
        <is>
          <t>남이면</t>
        </is>
      </c>
      <c r="G1542" s="3" t="inlineStr">
        <is>
          <t>부용외천리</t>
        </is>
      </c>
      <c r="H1542" s="3" t="inlineStr">
        <is>
          <t>생산관리지역</t>
        </is>
      </c>
      <c r="I1542" s="3" t="inlineStr">
        <is>
          <t>전</t>
        </is>
      </c>
      <c r="J1542" s="3" t="inlineStr">
        <is>
          <t>남이면</t>
        </is>
      </c>
    </row>
    <row r="1543">
      <c r="A1543" s="3" t="n">
        <v>2026</v>
      </c>
      <c r="B1543" s="4" t="n">
        <v>36300</v>
      </c>
      <c r="C1543" s="4" t="n">
        <v>3000</v>
      </c>
      <c r="D1543" s="4" t="n">
        <v>907.5</v>
      </c>
      <c r="E1543" s="5" t="n">
        <v>40</v>
      </c>
      <c r="F1543" s="3" t="inlineStr">
        <is>
          <t>남이면</t>
        </is>
      </c>
      <c r="G1543" s="3" t="inlineStr">
        <is>
          <t>구암리</t>
        </is>
      </c>
      <c r="H1543" s="3" t="inlineStr">
        <is>
          <t>보전녹지지역</t>
        </is>
      </c>
      <c r="I1543" s="3" t="inlineStr">
        <is>
          <t>임야</t>
        </is>
      </c>
      <c r="J1543" s="3" t="inlineStr">
        <is>
          <t>남이면</t>
        </is>
      </c>
    </row>
    <row r="1544">
      <c r="A1544" s="3" t="n">
        <v>2026</v>
      </c>
      <c r="B1544" s="4" t="n">
        <v>43355</v>
      </c>
      <c r="C1544" s="4" t="n">
        <v>2205</v>
      </c>
      <c r="D1544" s="4" t="n">
        <v>667.0124999999999</v>
      </c>
      <c r="E1544" s="5" t="n">
        <v>65</v>
      </c>
      <c r="F1544" s="3" t="inlineStr">
        <is>
          <t>남이면</t>
        </is>
      </c>
      <c r="G1544" s="3" t="inlineStr">
        <is>
          <t>구암리</t>
        </is>
      </c>
      <c r="H1544" s="3" t="inlineStr">
        <is>
          <t>보전녹지지역</t>
        </is>
      </c>
      <c r="I1544" s="3" t="inlineStr">
        <is>
          <t>임야</t>
        </is>
      </c>
      <c r="J1544" s="3" t="inlineStr">
        <is>
          <t>남이면</t>
        </is>
      </c>
    </row>
    <row r="1545">
      <c r="A1545" s="3" t="n">
        <v>2026</v>
      </c>
      <c r="B1545" s="4" t="n">
        <v>6645</v>
      </c>
      <c r="C1545" s="4" t="n">
        <v>338</v>
      </c>
      <c r="D1545" s="4" t="n">
        <v>102.245</v>
      </c>
      <c r="E1545" s="5" t="n">
        <v>65</v>
      </c>
      <c r="F1545" s="3" t="inlineStr">
        <is>
          <t>남이면</t>
        </is>
      </c>
      <c r="G1545" s="3" t="inlineStr">
        <is>
          <t>구암리</t>
        </is>
      </c>
      <c r="H1545" s="3" t="inlineStr">
        <is>
          <t>보전녹지지역</t>
        </is>
      </c>
      <c r="I1545" s="3" t="inlineStr">
        <is>
          <t>임야</t>
        </is>
      </c>
      <c r="J1545" s="3" t="inlineStr">
        <is>
          <t>남이면</t>
        </is>
      </c>
    </row>
    <row r="1546">
      <c r="A1546" s="3" t="n">
        <v>2026</v>
      </c>
      <c r="B1546" s="4" t="n">
        <v>20010</v>
      </c>
      <c r="C1546" s="4" t="n">
        <v>2205</v>
      </c>
      <c r="D1546" s="4" t="n">
        <v>667.0124999999999</v>
      </c>
      <c r="E1546" s="5" t="n">
        <v>30</v>
      </c>
      <c r="F1546" s="3" t="inlineStr">
        <is>
          <t>남이면</t>
        </is>
      </c>
      <c r="G1546" s="3" t="inlineStr">
        <is>
          <t>구암리</t>
        </is>
      </c>
      <c r="H1546" s="3" t="inlineStr">
        <is>
          <t>보전녹지지역</t>
        </is>
      </c>
      <c r="I1546" s="3" t="inlineStr">
        <is>
          <t>임야</t>
        </is>
      </c>
      <c r="J1546" s="3" t="inlineStr">
        <is>
          <t>남이면</t>
        </is>
      </c>
    </row>
    <row r="1547">
      <c r="A1547" s="3" t="n">
        <v>2026</v>
      </c>
      <c r="B1547" s="4" t="n">
        <v>3060</v>
      </c>
      <c r="C1547" s="4" t="n">
        <v>338</v>
      </c>
      <c r="D1547" s="4" t="n">
        <v>102.245</v>
      </c>
      <c r="E1547" s="5" t="n">
        <v>29.9</v>
      </c>
      <c r="F1547" s="3" t="inlineStr">
        <is>
          <t>남이면</t>
        </is>
      </c>
      <c r="G1547" s="3" t="inlineStr">
        <is>
          <t>구암리</t>
        </is>
      </c>
      <c r="H1547" s="3" t="inlineStr">
        <is>
          <t>보전녹지지역</t>
        </is>
      </c>
      <c r="I1547" s="3" t="inlineStr">
        <is>
          <t>임야</t>
        </is>
      </c>
      <c r="J1547" s="3" t="inlineStr">
        <is>
          <t>남이면</t>
        </is>
      </c>
    </row>
    <row r="1548">
      <c r="A1548" s="3" t="n">
        <v>2026</v>
      </c>
      <c r="B1548" s="4" t="n">
        <v>400</v>
      </c>
      <c r="C1548" s="4" t="n">
        <v>328</v>
      </c>
      <c r="D1548" s="4" t="n">
        <v>99.22</v>
      </c>
      <c r="E1548" s="5" t="n">
        <v>4</v>
      </c>
      <c r="F1548" s="3" t="inlineStr">
        <is>
          <t>남이면</t>
        </is>
      </c>
      <c r="G1548" s="3" t="inlineStr">
        <is>
          <t>외천리</t>
        </is>
      </c>
      <c r="H1548" s="3" t="inlineStr">
        <is>
          <t>농림지역</t>
        </is>
      </c>
      <c r="I1548" s="3" t="inlineStr">
        <is>
          <t>임야</t>
        </is>
      </c>
      <c r="J1548" s="3" t="inlineStr">
        <is>
          <t>남이면</t>
        </is>
      </c>
    </row>
    <row r="1549">
      <c r="A1549" s="3" t="n">
        <v>2026</v>
      </c>
      <c r="B1549" s="4" t="n">
        <v>217760</v>
      </c>
      <c r="C1549" s="4" t="n">
        <v>5127.7</v>
      </c>
      <c r="D1549" s="4" t="n">
        <v>1551.12925</v>
      </c>
      <c r="E1549" s="5" t="n">
        <v>140.4</v>
      </c>
      <c r="F1549" s="3" t="inlineStr">
        <is>
          <t>남이면</t>
        </is>
      </c>
      <c r="G1549" s="3" t="inlineStr">
        <is>
          <t>척산리</t>
        </is>
      </c>
      <c r="H1549" s="3" t="inlineStr">
        <is>
          <t>계획관리지역</t>
        </is>
      </c>
      <c r="I1549" s="3" t="inlineStr">
        <is>
          <t>공장용지</t>
        </is>
      </c>
      <c r="J1549" s="3" t="inlineStr">
        <is>
          <t>남이면</t>
        </is>
      </c>
    </row>
    <row r="1550">
      <c r="A1550" s="3" t="n">
        <v>2026</v>
      </c>
      <c r="B1550" s="4" t="n">
        <v>11000</v>
      </c>
      <c r="C1550" s="4" t="n">
        <v>2003</v>
      </c>
      <c r="D1550" s="4" t="n">
        <v>605.9075</v>
      </c>
      <c r="E1550" s="5" t="n">
        <v>18.2</v>
      </c>
      <c r="F1550" s="3" t="inlineStr">
        <is>
          <t>남이면</t>
        </is>
      </c>
      <c r="G1550" s="3" t="inlineStr">
        <is>
          <t>부용외천리</t>
        </is>
      </c>
      <c r="H1550" s="3" t="inlineStr">
        <is>
          <t>보전관리지역</t>
        </is>
      </c>
      <c r="I1550" s="3" t="inlineStr">
        <is>
          <t>전</t>
        </is>
      </c>
      <c r="J1550" s="3" t="inlineStr">
        <is>
          <t>남이면</t>
        </is>
      </c>
    </row>
    <row r="1551">
      <c r="A1551" s="3" t="n">
        <v>2026</v>
      </c>
      <c r="B1551" s="4" t="n">
        <v>45000</v>
      </c>
      <c r="C1551" s="4" t="n">
        <v>990</v>
      </c>
      <c r="D1551" s="4" t="n">
        <v>299.475</v>
      </c>
      <c r="E1551" s="5" t="n">
        <v>150.3</v>
      </c>
      <c r="F1551" s="3" t="inlineStr">
        <is>
          <t>남이면</t>
        </is>
      </c>
      <c r="G1551" s="3" t="inlineStr">
        <is>
          <t>상발리</t>
        </is>
      </c>
      <c r="H1551" s="3" t="inlineStr">
        <is>
          <t>자연녹지지역</t>
        </is>
      </c>
      <c r="I1551" s="3" t="inlineStr">
        <is>
          <t>전</t>
        </is>
      </c>
      <c r="J1551" s="3" t="inlineStr">
        <is>
          <t>남이면</t>
        </is>
      </c>
    </row>
    <row r="1552">
      <c r="A1552" s="3" t="n">
        <v>2026</v>
      </c>
      <c r="B1552" s="4" t="n">
        <v>9000</v>
      </c>
      <c r="C1552" s="4" t="n">
        <v>10287</v>
      </c>
      <c r="D1552" s="4" t="n">
        <v>3111.8175</v>
      </c>
      <c r="E1552" s="5" t="n">
        <v>2.9</v>
      </c>
      <c r="F1552" s="3" t="inlineStr">
        <is>
          <t>남이면</t>
        </is>
      </c>
      <c r="G1552" s="3" t="inlineStr">
        <is>
          <t>갈원리</t>
        </is>
      </c>
      <c r="H1552" s="3" t="inlineStr">
        <is>
          <t>계획관리지역</t>
        </is>
      </c>
      <c r="I1552" s="3" t="inlineStr">
        <is>
          <t>임야</t>
        </is>
      </c>
      <c r="J1552" s="3" t="inlineStr">
        <is>
          <t>남이면</t>
        </is>
      </c>
    </row>
    <row r="1553">
      <c r="A1553" s="3" t="n">
        <v>2026</v>
      </c>
      <c r="B1553" s="4" t="n">
        <v>14614</v>
      </c>
      <c r="C1553" s="4" t="n">
        <v>405</v>
      </c>
      <c r="D1553" s="4" t="n">
        <v>122.5125</v>
      </c>
      <c r="E1553" s="5" t="n">
        <v>119.3</v>
      </c>
      <c r="F1553" s="3" t="inlineStr">
        <is>
          <t>남이면</t>
        </is>
      </c>
      <c r="G1553" s="3" t="inlineStr">
        <is>
          <t>구암리</t>
        </is>
      </c>
      <c r="H1553" s="3" t="inlineStr">
        <is>
          <t>보전녹지지역</t>
        </is>
      </c>
      <c r="I1553" s="3" t="inlineStr">
        <is>
          <t>임야</t>
        </is>
      </c>
      <c r="J1553" s="3" t="inlineStr">
        <is>
          <t>남이면</t>
        </is>
      </c>
    </row>
    <row r="1554">
      <c r="A1554" s="3" t="n">
        <v>2026</v>
      </c>
      <c r="B1554" s="4" t="n">
        <v>19031</v>
      </c>
      <c r="C1554" s="4" t="n">
        <v>803</v>
      </c>
      <c r="D1554" s="4" t="n">
        <v>242.9075</v>
      </c>
      <c r="E1554" s="5" t="n">
        <v>78.3</v>
      </c>
      <c r="F1554" s="3" t="inlineStr">
        <is>
          <t>남이면</t>
        </is>
      </c>
      <c r="G1554" s="3" t="inlineStr">
        <is>
          <t>수대리</t>
        </is>
      </c>
      <c r="H1554" s="3" t="inlineStr">
        <is>
          <t>보전녹지지역</t>
        </is>
      </c>
      <c r="I1554" s="3" t="inlineStr">
        <is>
          <t>임야</t>
        </is>
      </c>
      <c r="J1554" s="3" t="inlineStr">
        <is>
          <t>남이면</t>
        </is>
      </c>
    </row>
    <row r="1555">
      <c r="A1555" s="3" t="n">
        <v>2026</v>
      </c>
      <c r="B1555" s="4" t="n">
        <v>95</v>
      </c>
      <c r="C1555" s="4" t="n">
        <v>4</v>
      </c>
      <c r="D1555" s="4" t="n">
        <v>1.21</v>
      </c>
      <c r="E1555" s="5" t="n">
        <v>78.5</v>
      </c>
      <c r="F1555" s="3" t="inlineStr">
        <is>
          <t>남이면</t>
        </is>
      </c>
      <c r="G1555" s="3" t="inlineStr">
        <is>
          <t>수대리</t>
        </is>
      </c>
      <c r="H1555" s="3" t="inlineStr">
        <is>
          <t>보전녹지지역</t>
        </is>
      </c>
      <c r="I1555" s="3" t="inlineStr">
        <is>
          <t>임야</t>
        </is>
      </c>
      <c r="J1555" s="3" t="inlineStr">
        <is>
          <t>남이면</t>
        </is>
      </c>
    </row>
    <row r="1556">
      <c r="A1556" s="3" t="n">
        <v>2026</v>
      </c>
      <c r="B1556" s="4" t="n">
        <v>1500</v>
      </c>
      <c r="C1556" s="4" t="n">
        <v>79</v>
      </c>
      <c r="D1556" s="4" t="n">
        <v>23.8975</v>
      </c>
      <c r="E1556" s="5" t="n">
        <v>62.8</v>
      </c>
      <c r="F1556" s="3" t="inlineStr">
        <is>
          <t>남이면</t>
        </is>
      </c>
      <c r="G1556" s="3" t="inlineStr">
        <is>
          <t>외천리</t>
        </is>
      </c>
      <c r="H1556" s="3" t="inlineStr">
        <is>
          <t>계획관리지역</t>
        </is>
      </c>
      <c r="I1556" s="3" t="inlineStr">
        <is>
          <t>전</t>
        </is>
      </c>
      <c r="J1556" s="3" t="inlineStr">
        <is>
          <t>남이면</t>
        </is>
      </c>
    </row>
    <row r="1557">
      <c r="A1557" s="3" t="n">
        <v>2026</v>
      </c>
      <c r="B1557" s="4" t="n">
        <v>4500</v>
      </c>
      <c r="C1557" s="4" t="n">
        <v>333</v>
      </c>
      <c r="D1557" s="4" t="n">
        <v>100.7325</v>
      </c>
      <c r="E1557" s="5" t="n">
        <v>44.7</v>
      </c>
      <c r="F1557" s="3" t="inlineStr">
        <is>
          <t>남이면</t>
        </is>
      </c>
      <c r="G1557" s="3" t="inlineStr">
        <is>
          <t>양촌리</t>
        </is>
      </c>
      <c r="H1557" s="3" t="inlineStr">
        <is>
          <t>자연녹지지역</t>
        </is>
      </c>
      <c r="I1557" s="3" t="inlineStr">
        <is>
          <t>대</t>
        </is>
      </c>
      <c r="J1557" s="3" t="inlineStr">
        <is>
          <t>남이면</t>
        </is>
      </c>
    </row>
    <row r="1558">
      <c r="A1558" s="3" t="n">
        <v>2026</v>
      </c>
      <c r="B1558" s="4" t="n">
        <v>33000</v>
      </c>
      <c r="C1558" s="4" t="n">
        <v>266.7</v>
      </c>
      <c r="D1558" s="4" t="n">
        <v>80.67675</v>
      </c>
      <c r="E1558" s="5" t="n">
        <v>409</v>
      </c>
      <c r="F1558" s="3" t="inlineStr">
        <is>
          <t>오송읍</t>
        </is>
      </c>
      <c r="G1558" s="3" t="inlineStr">
        <is>
          <t>봉산리</t>
        </is>
      </c>
      <c r="H1558" s="3" t="inlineStr">
        <is>
          <t>제1종일반주거지역</t>
        </is>
      </c>
      <c r="I1558" s="3" t="inlineStr">
        <is>
          <t>대</t>
        </is>
      </c>
      <c r="J1558" s="3" t="inlineStr">
        <is>
          <t>오송읍</t>
        </is>
      </c>
    </row>
    <row r="1559">
      <c r="A1559" s="3" t="n">
        <v>2026</v>
      </c>
      <c r="B1559" s="4" t="n">
        <v>28000</v>
      </c>
      <c r="C1559" s="4" t="n">
        <v>276.3</v>
      </c>
      <c r="D1559" s="4" t="n">
        <v>83.58074999999999</v>
      </c>
      <c r="E1559" s="5" t="n">
        <v>335</v>
      </c>
      <c r="F1559" s="3" t="inlineStr">
        <is>
          <t>오송읍</t>
        </is>
      </c>
      <c r="G1559" s="3" t="inlineStr">
        <is>
          <t>봉산리</t>
        </is>
      </c>
      <c r="H1559" s="3" t="inlineStr">
        <is>
          <t>제1종일반주거지역</t>
        </is>
      </c>
      <c r="I1559" s="3" t="inlineStr">
        <is>
          <t>대</t>
        </is>
      </c>
      <c r="J1559" s="3" t="inlineStr">
        <is>
          <t>오송읍</t>
        </is>
      </c>
    </row>
    <row r="1560">
      <c r="A1560" s="3" t="n">
        <v>2026</v>
      </c>
      <c r="B1560" s="4" t="n">
        <v>211</v>
      </c>
      <c r="C1560" s="4" t="n">
        <v>83</v>
      </c>
      <c r="D1560" s="4" t="n">
        <v>25.1075</v>
      </c>
      <c r="E1560" s="5" t="n">
        <v>8.4</v>
      </c>
      <c r="F1560" s="3" t="inlineStr">
        <is>
          <t>남이면</t>
        </is>
      </c>
      <c r="G1560" s="3" t="inlineStr">
        <is>
          <t>상발리</t>
        </is>
      </c>
      <c r="H1560" s="3" t="inlineStr">
        <is>
          <t>자연녹지지역</t>
        </is>
      </c>
      <c r="I1560" s="3" t="inlineStr">
        <is>
          <t>도로</t>
        </is>
      </c>
      <c r="J1560" s="3" t="inlineStr">
        <is>
          <t>남이면</t>
        </is>
      </c>
    </row>
    <row r="1561">
      <c r="A1561" s="3" t="n">
        <v>2026</v>
      </c>
      <c r="B1561" s="4" t="n">
        <v>53</v>
      </c>
      <c r="C1561" s="4" t="n">
        <v>19</v>
      </c>
      <c r="D1561" s="4" t="n">
        <v>5.7475</v>
      </c>
      <c r="E1561" s="5" t="n">
        <v>9.199999999999999</v>
      </c>
      <c r="F1561" s="3" t="inlineStr">
        <is>
          <t>남이면</t>
        </is>
      </c>
      <c r="G1561" s="3" t="inlineStr">
        <is>
          <t>상발리</t>
        </is>
      </c>
      <c r="H1561" s="3" t="inlineStr">
        <is>
          <t>자연녹지지역</t>
        </is>
      </c>
      <c r="I1561" s="3" t="inlineStr">
        <is>
          <t>도로</t>
        </is>
      </c>
      <c r="J1561" s="3" t="inlineStr">
        <is>
          <t>남이면</t>
        </is>
      </c>
    </row>
    <row r="1562">
      <c r="A1562" s="3" t="n">
        <v>2026</v>
      </c>
      <c r="B1562" s="4" t="n">
        <v>106</v>
      </c>
      <c r="C1562" s="4" t="n">
        <v>37</v>
      </c>
      <c r="D1562" s="4" t="n">
        <v>11.1925</v>
      </c>
      <c r="E1562" s="5" t="n">
        <v>9.5</v>
      </c>
      <c r="F1562" s="3" t="inlineStr">
        <is>
          <t>남이면</t>
        </is>
      </c>
      <c r="G1562" s="3" t="inlineStr">
        <is>
          <t>상발리</t>
        </is>
      </c>
      <c r="H1562" s="3" t="inlineStr">
        <is>
          <t>자연녹지지역</t>
        </is>
      </c>
      <c r="I1562" s="3" t="inlineStr">
        <is>
          <t>도로</t>
        </is>
      </c>
      <c r="J1562" s="3" t="inlineStr">
        <is>
          <t>남이면</t>
        </is>
      </c>
    </row>
    <row r="1563">
      <c r="A1563" s="3" t="n">
        <v>2026</v>
      </c>
      <c r="B1563" s="4" t="n">
        <v>810</v>
      </c>
      <c r="C1563" s="4" t="n">
        <v>37</v>
      </c>
      <c r="D1563" s="4" t="n">
        <v>11.1925</v>
      </c>
      <c r="E1563" s="5" t="n">
        <v>72.40000000000001</v>
      </c>
      <c r="F1563" s="3" t="inlineStr">
        <is>
          <t>남이면</t>
        </is>
      </c>
      <c r="G1563" s="3" t="inlineStr">
        <is>
          <t>상발리</t>
        </is>
      </c>
      <c r="H1563" s="3" t="inlineStr">
        <is>
          <t>자연녹지지역</t>
        </is>
      </c>
      <c r="I1563" s="3" t="inlineStr">
        <is>
          <t>답</t>
        </is>
      </c>
      <c r="J1563" s="3" t="inlineStr">
        <is>
          <t>남이면</t>
        </is>
      </c>
    </row>
    <row r="1564">
      <c r="A1564" s="3" t="n">
        <v>2026</v>
      </c>
      <c r="B1564" s="4" t="n">
        <v>15500</v>
      </c>
      <c r="C1564" s="4" t="n">
        <v>1421</v>
      </c>
      <c r="D1564" s="4" t="n">
        <v>429.8525</v>
      </c>
      <c r="E1564" s="5" t="n">
        <v>36.1</v>
      </c>
      <c r="F1564" s="3" t="inlineStr">
        <is>
          <t>남이면</t>
        </is>
      </c>
      <c r="G1564" s="3" t="inlineStr">
        <is>
          <t>팔봉리</t>
        </is>
      </c>
      <c r="H1564" s="3" t="inlineStr">
        <is>
          <t>자연녹지지역</t>
        </is>
      </c>
      <c r="I1564" s="3" t="inlineStr">
        <is>
          <t>전</t>
        </is>
      </c>
      <c r="J1564" s="3" t="inlineStr">
        <is>
          <t>남이면</t>
        </is>
      </c>
    </row>
    <row r="1565">
      <c r="A1565" s="3" t="n">
        <v>2026</v>
      </c>
      <c r="B1565" s="4" t="n">
        <v>11433</v>
      </c>
      <c r="C1565" s="4" t="n">
        <v>1131</v>
      </c>
      <c r="D1565" s="4" t="n">
        <v>342.1275</v>
      </c>
      <c r="E1565" s="5" t="n">
        <v>33.4</v>
      </c>
      <c r="F1565" s="3" t="inlineStr">
        <is>
          <t>남이면</t>
        </is>
      </c>
      <c r="G1565" s="3" t="inlineStr">
        <is>
          <t>척산리</t>
        </is>
      </c>
      <c r="H1565" s="3" t="inlineStr">
        <is>
          <t>자연녹지지역</t>
        </is>
      </c>
      <c r="I1565" s="3" t="inlineStr">
        <is>
          <t>전</t>
        </is>
      </c>
      <c r="J1565" s="3" t="inlineStr">
        <is>
          <t>남이면</t>
        </is>
      </c>
    </row>
    <row r="1566">
      <c r="A1566" s="3" t="n">
        <v>2026</v>
      </c>
      <c r="B1566" s="4" t="n">
        <v>51000</v>
      </c>
      <c r="C1566" s="4" t="n">
        <v>1779</v>
      </c>
      <c r="D1566" s="4" t="n">
        <v>538.1475</v>
      </c>
      <c r="E1566" s="5" t="n">
        <v>94.8</v>
      </c>
      <c r="F1566" s="3" t="inlineStr">
        <is>
          <t>남이면</t>
        </is>
      </c>
      <c r="G1566" s="3" t="inlineStr">
        <is>
          <t>외천리</t>
        </is>
      </c>
      <c r="H1566" s="3" t="inlineStr">
        <is>
          <t>생산관리지역</t>
        </is>
      </c>
      <c r="I1566" s="3" t="inlineStr">
        <is>
          <t>답</t>
        </is>
      </c>
      <c r="J1566" s="3" t="inlineStr">
        <is>
          <t>남이면</t>
        </is>
      </c>
    </row>
    <row r="1567">
      <c r="A1567" s="3" t="n">
        <v>2024</v>
      </c>
      <c r="B1567" s="4" t="n">
        <v>1400</v>
      </c>
      <c r="C1567" s="4" t="n">
        <v>21</v>
      </c>
      <c r="D1567" s="4" t="n">
        <v>6.3525</v>
      </c>
      <c r="E1567" s="5" t="n">
        <v>220.4</v>
      </c>
      <c r="F1567" s="3" t="inlineStr">
        <is>
          <t>오송읍</t>
        </is>
      </c>
      <c r="G1567" s="3" t="inlineStr">
        <is>
          <t>궁평리</t>
        </is>
      </c>
      <c r="H1567" s="3" t="inlineStr">
        <is>
          <t>계획관리지역</t>
        </is>
      </c>
      <c r="I1567" s="3" t="inlineStr">
        <is>
          <t>대</t>
        </is>
      </c>
      <c r="J1567" s="3" t="inlineStr">
        <is>
          <t>오송읍</t>
        </is>
      </c>
    </row>
    <row r="1568">
      <c r="A1568" s="3" t="n">
        <v>2024</v>
      </c>
      <c r="B1568" s="4" t="n">
        <v>40000</v>
      </c>
      <c r="C1568" s="4" t="n">
        <v>1483</v>
      </c>
      <c r="D1568" s="4" t="n">
        <v>448.6075</v>
      </c>
      <c r="E1568" s="5" t="n">
        <v>89.2</v>
      </c>
      <c r="F1568" s="3" t="inlineStr">
        <is>
          <t>오송읍</t>
        </is>
      </c>
      <c r="G1568" s="3" t="inlineStr">
        <is>
          <t>서평리</t>
        </is>
      </c>
      <c r="H1568" s="3" t="inlineStr">
        <is>
          <t>농림지역</t>
        </is>
      </c>
      <c r="I1568" s="3" t="inlineStr">
        <is>
          <t>답</t>
        </is>
      </c>
      <c r="J1568" s="3" t="inlineStr">
        <is>
          <t>오송읍</t>
        </is>
      </c>
    </row>
    <row r="1569">
      <c r="A1569" s="3" t="n">
        <v>2024</v>
      </c>
      <c r="B1569" s="4" t="n">
        <v>1700</v>
      </c>
      <c r="C1569" s="4" t="n">
        <v>58</v>
      </c>
      <c r="D1569" s="4" t="n">
        <v>17.545</v>
      </c>
      <c r="E1569" s="5" t="n">
        <v>96.90000000000001</v>
      </c>
      <c r="F1569" s="3" t="inlineStr">
        <is>
          <t>오송읍</t>
        </is>
      </c>
      <c r="G1569" s="3" t="inlineStr">
        <is>
          <t>서평리</t>
        </is>
      </c>
      <c r="H1569" s="3" t="inlineStr">
        <is>
          <t>농림지역</t>
        </is>
      </c>
      <c r="I1569" s="3" t="inlineStr">
        <is>
          <t>답</t>
        </is>
      </c>
      <c r="J1569" s="3" t="inlineStr">
        <is>
          <t>오송읍</t>
        </is>
      </c>
    </row>
    <row r="1570">
      <c r="A1570" s="3" t="n">
        <v>2024</v>
      </c>
      <c r="B1570" s="4" t="n">
        <v>1300</v>
      </c>
      <c r="C1570" s="4" t="n">
        <v>20</v>
      </c>
      <c r="D1570" s="4" t="n">
        <v>6.05</v>
      </c>
      <c r="E1570" s="5" t="n">
        <v>214.9</v>
      </c>
      <c r="F1570" s="3" t="inlineStr">
        <is>
          <t>오송읍</t>
        </is>
      </c>
      <c r="G1570" s="3" t="inlineStr">
        <is>
          <t>서평리</t>
        </is>
      </c>
      <c r="H1570" s="3" t="inlineStr">
        <is>
          <t>농림지역</t>
        </is>
      </c>
      <c r="I1570" s="3" t="inlineStr">
        <is>
          <t>도로</t>
        </is>
      </c>
      <c r="J1570" s="3" t="inlineStr">
        <is>
          <t>오송읍</t>
        </is>
      </c>
    </row>
    <row r="1571">
      <c r="A1571" s="3" t="n">
        <v>2024</v>
      </c>
      <c r="B1571" s="4" t="n">
        <v>3010</v>
      </c>
      <c r="C1571" s="4" t="n">
        <v>1253</v>
      </c>
      <c r="D1571" s="4" t="n">
        <v>379.0325</v>
      </c>
      <c r="E1571" s="5" t="n">
        <v>7.9</v>
      </c>
      <c r="F1571" s="3" t="inlineStr">
        <is>
          <t>남이면</t>
        </is>
      </c>
      <c r="G1571" s="3" t="inlineStr">
        <is>
          <t>산막리</t>
        </is>
      </c>
      <c r="H1571" s="3" t="inlineStr">
        <is>
          <t>보전관리지역</t>
        </is>
      </c>
      <c r="I1571" s="3" t="inlineStr">
        <is>
          <t>답</t>
        </is>
      </c>
      <c r="J1571" s="3" t="inlineStr">
        <is>
          <t>남이면</t>
        </is>
      </c>
    </row>
    <row r="1572">
      <c r="A1572" s="3" t="n">
        <v>2024</v>
      </c>
      <c r="B1572" s="4" t="n">
        <v>1650</v>
      </c>
      <c r="C1572" s="4" t="n">
        <v>863</v>
      </c>
      <c r="D1572" s="4" t="n">
        <v>261.0575</v>
      </c>
      <c r="E1572" s="5" t="n">
        <v>6.3</v>
      </c>
      <c r="F1572" s="3" t="inlineStr">
        <is>
          <t>남이면</t>
        </is>
      </c>
      <c r="G1572" s="3" t="inlineStr">
        <is>
          <t>산막리</t>
        </is>
      </c>
      <c r="H1572" s="3" t="inlineStr">
        <is>
          <t>보전관리지역</t>
        </is>
      </c>
      <c r="I1572" s="3" t="inlineStr">
        <is>
          <t>전</t>
        </is>
      </c>
      <c r="J1572" s="3" t="inlineStr">
        <is>
          <t>남이면</t>
        </is>
      </c>
    </row>
    <row r="1573">
      <c r="A1573" s="3" t="n">
        <v>2024</v>
      </c>
      <c r="B1573" s="4" t="n">
        <v>40000</v>
      </c>
      <c r="C1573" s="4" t="n">
        <v>1593</v>
      </c>
      <c r="D1573" s="4" t="n">
        <v>481.8825</v>
      </c>
      <c r="E1573" s="5" t="n">
        <v>83</v>
      </c>
      <c r="F1573" s="3" t="inlineStr">
        <is>
          <t>남이면</t>
        </is>
      </c>
      <c r="G1573" s="3" t="inlineStr">
        <is>
          <t>척산리</t>
        </is>
      </c>
      <c r="H1573" s="3" t="inlineStr">
        <is>
          <t>계획관리지역</t>
        </is>
      </c>
      <c r="I1573" s="3" t="inlineStr">
        <is>
          <t>답</t>
        </is>
      </c>
      <c r="J1573" s="3" t="inlineStr">
        <is>
          <t>남이면</t>
        </is>
      </c>
    </row>
    <row r="1574">
      <c r="A1574" s="3" t="n">
        <v>2024</v>
      </c>
      <c r="B1574" s="4" t="n">
        <v>37937</v>
      </c>
      <c r="C1574" s="4" t="n">
        <v>1511</v>
      </c>
      <c r="D1574" s="4" t="n">
        <v>457.0775</v>
      </c>
      <c r="E1574" s="5" t="n">
        <v>83</v>
      </c>
      <c r="F1574" s="3" t="inlineStr">
        <is>
          <t>남이면</t>
        </is>
      </c>
      <c r="G1574" s="3" t="inlineStr">
        <is>
          <t>척산리</t>
        </is>
      </c>
      <c r="H1574" s="3" t="inlineStr">
        <is>
          <t>계획관리지역</t>
        </is>
      </c>
      <c r="I1574" s="3" t="inlineStr">
        <is>
          <t>답</t>
        </is>
      </c>
      <c r="J1574" s="3" t="inlineStr">
        <is>
          <t>남이면</t>
        </is>
      </c>
    </row>
    <row r="1575">
      <c r="A1575" s="3" t="n">
        <v>2024</v>
      </c>
      <c r="B1575" s="4" t="n">
        <v>99000</v>
      </c>
      <c r="C1575" s="4" t="n">
        <v>2638</v>
      </c>
      <c r="D1575" s="4" t="n">
        <v>797.995</v>
      </c>
      <c r="E1575" s="5" t="n">
        <v>124.1</v>
      </c>
      <c r="F1575" s="3" t="inlineStr">
        <is>
          <t>남이면</t>
        </is>
      </c>
      <c r="G1575" s="3" t="inlineStr">
        <is>
          <t>가좌리</t>
        </is>
      </c>
      <c r="H1575" s="3" t="inlineStr">
        <is>
          <t>자연녹지지역</t>
        </is>
      </c>
      <c r="I1575" s="3" t="inlineStr">
        <is>
          <t>임야</t>
        </is>
      </c>
      <c r="J1575" s="3" t="inlineStr">
        <is>
          <t>남이면</t>
        </is>
      </c>
    </row>
    <row r="1576">
      <c r="A1576" s="3" t="n">
        <v>2024</v>
      </c>
      <c r="B1576" s="4" t="n">
        <v>1000</v>
      </c>
      <c r="C1576" s="4" t="n">
        <v>24</v>
      </c>
      <c r="D1576" s="4" t="n">
        <v>7.26</v>
      </c>
      <c r="E1576" s="5" t="n">
        <v>137.7</v>
      </c>
      <c r="F1576" s="3" t="inlineStr">
        <is>
          <t>남이면</t>
        </is>
      </c>
      <c r="G1576" s="3" t="inlineStr">
        <is>
          <t>가좌리</t>
        </is>
      </c>
      <c r="H1576" s="3" t="inlineStr">
        <is>
          <t>자연녹지지역</t>
        </is>
      </c>
      <c r="I1576" s="3" t="inlineStr">
        <is>
          <t>대</t>
        </is>
      </c>
      <c r="J1576" s="3" t="inlineStr">
        <is>
          <t>남이면</t>
        </is>
      </c>
    </row>
    <row r="1577">
      <c r="A1577" s="3" t="n">
        <v>2024</v>
      </c>
      <c r="B1577" s="4" t="n">
        <v>3331</v>
      </c>
      <c r="C1577" s="4" t="n">
        <v>110</v>
      </c>
      <c r="D1577" s="4" t="n">
        <v>33.275</v>
      </c>
      <c r="E1577" s="5" t="n">
        <v>100.1</v>
      </c>
      <c r="F1577" s="3" t="inlineStr">
        <is>
          <t>남이면</t>
        </is>
      </c>
      <c r="G1577" s="3" t="inlineStr">
        <is>
          <t>척산리</t>
        </is>
      </c>
      <c r="H1577" s="3" t="inlineStr">
        <is>
          <t>계획관리지역</t>
        </is>
      </c>
      <c r="I1577" s="3" t="inlineStr">
        <is>
          <t>전</t>
        </is>
      </c>
      <c r="J1577" s="3" t="inlineStr">
        <is>
          <t>남이면</t>
        </is>
      </c>
    </row>
    <row r="1578">
      <c r="A1578" s="3" t="n">
        <v>2024</v>
      </c>
      <c r="B1578" s="4" t="n">
        <v>20006</v>
      </c>
      <c r="C1578" s="4" t="n">
        <v>696</v>
      </c>
      <c r="D1578" s="4" t="n">
        <v>210.54</v>
      </c>
      <c r="E1578" s="5" t="n">
        <v>95</v>
      </c>
      <c r="F1578" s="3" t="inlineStr">
        <is>
          <t>남이면</t>
        </is>
      </c>
      <c r="G1578" s="3" t="inlineStr">
        <is>
          <t>척산리</t>
        </is>
      </c>
      <c r="H1578" s="3" t="inlineStr">
        <is>
          <t>계획관리지역</t>
        </is>
      </c>
      <c r="I1578" s="3" t="inlineStr">
        <is>
          <t>전</t>
        </is>
      </c>
      <c r="J1578" s="3" t="inlineStr">
        <is>
          <t>남이면</t>
        </is>
      </c>
    </row>
    <row r="1579">
      <c r="A1579" s="3" t="n">
        <v>2024</v>
      </c>
      <c r="B1579" s="4" t="n">
        <v>2604</v>
      </c>
      <c r="C1579" s="4" t="n">
        <v>155</v>
      </c>
      <c r="D1579" s="4" t="n">
        <v>46.8875</v>
      </c>
      <c r="E1579" s="5" t="n">
        <v>55.5</v>
      </c>
      <c r="F1579" s="3" t="inlineStr">
        <is>
          <t>남이면</t>
        </is>
      </c>
      <c r="G1579" s="3" t="inlineStr">
        <is>
          <t>양촌리</t>
        </is>
      </c>
      <c r="H1579" s="3" t="inlineStr">
        <is>
          <t>자연녹지지역</t>
        </is>
      </c>
      <c r="I1579" s="3" t="inlineStr">
        <is>
          <t>전</t>
        </is>
      </c>
      <c r="J1579" s="3" t="inlineStr">
        <is>
          <t>남이면</t>
        </is>
      </c>
    </row>
    <row r="1580">
      <c r="A1580" s="3" t="n">
        <v>2024</v>
      </c>
      <c r="B1580" s="4" t="n">
        <v>8000</v>
      </c>
      <c r="C1580" s="4" t="n">
        <v>485</v>
      </c>
      <c r="D1580" s="4" t="n">
        <v>146.7125</v>
      </c>
      <c r="E1580" s="5" t="n">
        <v>54.5</v>
      </c>
      <c r="F1580" s="3" t="inlineStr">
        <is>
          <t>남이면</t>
        </is>
      </c>
      <c r="G1580" s="3" t="inlineStr">
        <is>
          <t>가좌리</t>
        </is>
      </c>
      <c r="H1580" s="3" t="inlineStr">
        <is>
          <t>보전녹지지역</t>
        </is>
      </c>
      <c r="I1580" s="3" t="inlineStr">
        <is>
          <t>임야</t>
        </is>
      </c>
      <c r="J1580" s="3" t="inlineStr">
        <is>
          <t>남이면</t>
        </is>
      </c>
    </row>
    <row r="1581">
      <c r="A1581" s="3" t="n">
        <v>2024</v>
      </c>
      <c r="B1581" s="4" t="n">
        <v>360</v>
      </c>
      <c r="C1581" s="4" t="n">
        <v>60</v>
      </c>
      <c r="D1581" s="4" t="n">
        <v>18.15</v>
      </c>
      <c r="E1581" s="5" t="n">
        <v>19.8</v>
      </c>
      <c r="F1581" s="3" t="inlineStr">
        <is>
          <t>남이면</t>
        </is>
      </c>
      <c r="G1581" s="3" t="inlineStr">
        <is>
          <t>문동리</t>
        </is>
      </c>
      <c r="H1581" s="3" t="inlineStr">
        <is>
          <t>생산관리지역</t>
        </is>
      </c>
      <c r="I1581" s="3" t="inlineStr">
        <is>
          <t>답</t>
        </is>
      </c>
      <c r="J1581" s="3" t="inlineStr">
        <is>
          <t>남이면</t>
        </is>
      </c>
    </row>
    <row r="1582">
      <c r="A1582" s="3" t="n">
        <v>2024</v>
      </c>
      <c r="B1582" s="4" t="n">
        <v>800</v>
      </c>
      <c r="C1582" s="4" t="n">
        <v>152</v>
      </c>
      <c r="D1582" s="4" t="n">
        <v>45.98</v>
      </c>
      <c r="E1582" s="5" t="n">
        <v>17.4</v>
      </c>
      <c r="F1582" s="3" t="inlineStr">
        <is>
          <t>남이면</t>
        </is>
      </c>
      <c r="G1582" s="3" t="inlineStr">
        <is>
          <t>팔봉리</t>
        </is>
      </c>
      <c r="H1582" s="3" t="inlineStr">
        <is>
          <t>자연녹지지역</t>
        </is>
      </c>
      <c r="I1582" s="3" t="inlineStr">
        <is>
          <t>임야</t>
        </is>
      </c>
      <c r="J1582" s="3" t="inlineStr">
        <is>
          <t>남이면</t>
        </is>
      </c>
    </row>
    <row r="1583">
      <c r="A1583" s="3" t="n">
        <v>2024</v>
      </c>
      <c r="B1583" s="4" t="n">
        <v>23200</v>
      </c>
      <c r="C1583" s="4" t="n">
        <v>590</v>
      </c>
      <c r="D1583" s="4" t="n">
        <v>178.475</v>
      </c>
      <c r="E1583" s="5" t="n">
        <v>130</v>
      </c>
      <c r="F1583" s="3" t="inlineStr">
        <is>
          <t>남이면</t>
        </is>
      </c>
      <c r="G1583" s="3" t="inlineStr">
        <is>
          <t>구암리</t>
        </is>
      </c>
      <c r="H1583" s="3" t="inlineStr">
        <is>
          <t>기타</t>
        </is>
      </c>
      <c r="I1583" s="3" t="inlineStr">
        <is>
          <t>전</t>
        </is>
      </c>
      <c r="J1583" s="3" t="inlineStr">
        <is>
          <t>남이면</t>
        </is>
      </c>
    </row>
    <row r="1584">
      <c r="A1584" s="3" t="n">
        <v>2024</v>
      </c>
      <c r="B1584" s="4" t="n">
        <v>631</v>
      </c>
      <c r="C1584" s="4" t="n">
        <v>36</v>
      </c>
      <c r="D1584" s="4" t="n">
        <v>10.89</v>
      </c>
      <c r="E1584" s="5" t="n">
        <v>57.9</v>
      </c>
      <c r="F1584" s="3" t="inlineStr">
        <is>
          <t>남이면</t>
        </is>
      </c>
      <c r="G1584" s="3" t="inlineStr">
        <is>
          <t>외천리</t>
        </is>
      </c>
      <c r="H1584" s="3" t="inlineStr">
        <is>
          <t>보전관리지역</t>
        </is>
      </c>
      <c r="I1584" s="3" t="inlineStr">
        <is>
          <t>도로</t>
        </is>
      </c>
      <c r="J1584" s="3" t="inlineStr">
        <is>
          <t>남이면</t>
        </is>
      </c>
    </row>
    <row r="1585">
      <c r="A1585" s="3" t="n">
        <v>2024</v>
      </c>
      <c r="B1585" s="4" t="n">
        <v>2000</v>
      </c>
      <c r="C1585" s="4" t="n">
        <v>3769</v>
      </c>
      <c r="D1585" s="4" t="n">
        <v>1140.1225</v>
      </c>
      <c r="E1585" s="5" t="n">
        <v>1.8</v>
      </c>
      <c r="F1585" s="3" t="inlineStr">
        <is>
          <t>남이면</t>
        </is>
      </c>
      <c r="G1585" s="3" t="inlineStr">
        <is>
          <t>척산리</t>
        </is>
      </c>
      <c r="H1585" s="3" t="inlineStr">
        <is>
          <t>보전녹지지역</t>
        </is>
      </c>
      <c r="I1585" s="3" t="inlineStr">
        <is>
          <t>임야</t>
        </is>
      </c>
      <c r="J1585" s="3" t="inlineStr">
        <is>
          <t>남이면</t>
        </is>
      </c>
    </row>
    <row r="1586">
      <c r="A1586" s="3" t="n">
        <v>2024</v>
      </c>
      <c r="B1586" s="4" t="n">
        <v>51800</v>
      </c>
      <c r="C1586" s="4" t="n">
        <v>1711</v>
      </c>
      <c r="D1586" s="4" t="n">
        <v>517.5775</v>
      </c>
      <c r="E1586" s="5" t="n">
        <v>100.1</v>
      </c>
      <c r="F1586" s="3" t="inlineStr">
        <is>
          <t>남이면</t>
        </is>
      </c>
      <c r="G1586" s="3" t="inlineStr">
        <is>
          <t>가좌리</t>
        </is>
      </c>
      <c r="H1586" s="3" t="inlineStr">
        <is>
          <t>자연녹지지역</t>
        </is>
      </c>
      <c r="I1586" s="3" t="inlineStr">
        <is>
          <t>임야</t>
        </is>
      </c>
      <c r="J1586" s="3" t="inlineStr">
        <is>
          <t>남이면</t>
        </is>
      </c>
    </row>
    <row r="1587">
      <c r="A1587" s="3" t="n">
        <v>2024</v>
      </c>
      <c r="B1587" s="4" t="n">
        <v>2000</v>
      </c>
      <c r="C1587" s="4" t="n">
        <v>21</v>
      </c>
      <c r="D1587" s="4" t="n">
        <v>6.3525</v>
      </c>
      <c r="E1587" s="5" t="n">
        <v>314.8</v>
      </c>
      <c r="F1587" s="3" t="inlineStr">
        <is>
          <t>남이면</t>
        </is>
      </c>
      <c r="G1587" s="3" t="inlineStr">
        <is>
          <t>수대리</t>
        </is>
      </c>
      <c r="H1587" s="3" t="inlineStr">
        <is>
          <t>자연녹지지역</t>
        </is>
      </c>
      <c r="I1587" s="3" t="inlineStr">
        <is>
          <t>도로</t>
        </is>
      </c>
      <c r="J1587" s="3" t="inlineStr">
        <is>
          <t>남이면</t>
        </is>
      </c>
    </row>
    <row r="1588">
      <c r="A1588" s="3" t="n">
        <v>2024</v>
      </c>
      <c r="B1588" s="4" t="n">
        <v>11857</v>
      </c>
      <c r="C1588" s="4" t="n">
        <v>631</v>
      </c>
      <c r="D1588" s="4" t="n">
        <v>190.8775</v>
      </c>
      <c r="E1588" s="5" t="n">
        <v>62.1</v>
      </c>
      <c r="F1588" s="3" t="inlineStr">
        <is>
          <t>남이면</t>
        </is>
      </c>
      <c r="G1588" s="3" t="inlineStr">
        <is>
          <t>팔봉리</t>
        </is>
      </c>
      <c r="H1588" s="3" t="inlineStr">
        <is>
          <t>자연녹지지역</t>
        </is>
      </c>
      <c r="I1588" s="3" t="inlineStr">
        <is>
          <t>전</t>
        </is>
      </c>
      <c r="J1588" s="3" t="inlineStr">
        <is>
          <t>남이면</t>
        </is>
      </c>
    </row>
    <row r="1589">
      <c r="A1589" s="3" t="n">
        <v>2024</v>
      </c>
      <c r="B1589" s="4" t="n">
        <v>8000</v>
      </c>
      <c r="C1589" s="4" t="n">
        <v>485</v>
      </c>
      <c r="D1589" s="4" t="n">
        <v>146.7125</v>
      </c>
      <c r="E1589" s="5" t="n">
        <v>54.5</v>
      </c>
      <c r="F1589" s="3" t="inlineStr">
        <is>
          <t>남이면</t>
        </is>
      </c>
      <c r="G1589" s="3" t="inlineStr">
        <is>
          <t>가좌리</t>
        </is>
      </c>
      <c r="H1589" s="3" t="inlineStr">
        <is>
          <t>보전녹지지역</t>
        </is>
      </c>
      <c r="I1589" s="3" t="inlineStr">
        <is>
          <t>임야</t>
        </is>
      </c>
      <c r="J1589" s="3" t="inlineStr">
        <is>
          <t>남이면</t>
        </is>
      </c>
    </row>
    <row r="1590">
      <c r="A1590" s="3" t="n">
        <v>2022</v>
      </c>
      <c r="B1590" s="4" t="n">
        <v>10056</v>
      </c>
      <c r="C1590" s="4" t="n">
        <v>262</v>
      </c>
      <c r="D1590" s="4" t="n">
        <v>79.255</v>
      </c>
      <c r="E1590" s="5" t="n">
        <v>126.9</v>
      </c>
      <c r="F1590" s="3" t="inlineStr">
        <is>
          <t>부강면</t>
        </is>
      </c>
      <c r="G1590" s="3" t="inlineStr">
        <is>
          <t>금호리</t>
        </is>
      </c>
      <c r="H1590" s="3" t="inlineStr">
        <is>
          <t>생산관리지역</t>
        </is>
      </c>
      <c r="I1590" s="3" t="inlineStr">
        <is>
          <t>답</t>
        </is>
      </c>
      <c r="J1590" s="3" t="inlineStr">
        <is>
          <t>부강면</t>
        </is>
      </c>
    </row>
    <row r="1591">
      <c r="A1591" s="3" t="n">
        <v>2024</v>
      </c>
      <c r="B1591" s="4" t="n">
        <v>4400</v>
      </c>
      <c r="C1591" s="4" t="n">
        <v>57</v>
      </c>
      <c r="D1591" s="4" t="n">
        <v>17.2425</v>
      </c>
      <c r="E1591" s="5" t="n">
        <v>255.2</v>
      </c>
      <c r="F1591" s="3" t="inlineStr">
        <is>
          <t>연서면</t>
        </is>
      </c>
      <c r="G1591" s="3" t="inlineStr">
        <is>
          <t>고복리</t>
        </is>
      </c>
      <c r="H1591" s="3" t="inlineStr">
        <is>
          <t>자연환경보전</t>
        </is>
      </c>
      <c r="I1591" s="3" t="inlineStr">
        <is>
          <t>답</t>
        </is>
      </c>
      <c r="J1591" s="3" t="inlineStr">
        <is>
          <t>연서면</t>
        </is>
      </c>
    </row>
    <row r="1592">
      <c r="A1592" s="3" t="n">
        <v>2022</v>
      </c>
      <c r="B1592" s="4" t="n">
        <v>23100</v>
      </c>
      <c r="C1592" s="4" t="n">
        <v>2015</v>
      </c>
      <c r="D1592" s="4" t="n">
        <v>609.5375</v>
      </c>
      <c r="E1592" s="5" t="n">
        <v>37.9</v>
      </c>
      <c r="F1592" s="3" t="inlineStr">
        <is>
          <t>남이면</t>
        </is>
      </c>
      <c r="G1592" s="3" t="inlineStr">
        <is>
          <t>외천리</t>
        </is>
      </c>
      <c r="H1592" s="3" t="inlineStr">
        <is>
          <t>계획관리지역</t>
        </is>
      </c>
      <c r="I1592" s="3" t="inlineStr">
        <is>
          <t>전</t>
        </is>
      </c>
      <c r="J1592" s="3" t="inlineStr">
        <is>
          <t>남이면</t>
        </is>
      </c>
    </row>
    <row r="1593">
      <c r="A1593" s="3" t="n">
        <v>2022</v>
      </c>
      <c r="B1593" s="4" t="n">
        <v>900</v>
      </c>
      <c r="C1593" s="4" t="n">
        <v>190</v>
      </c>
      <c r="D1593" s="4" t="n">
        <v>57.475</v>
      </c>
      <c r="E1593" s="5" t="n">
        <v>15.7</v>
      </c>
      <c r="F1593" s="3" t="inlineStr">
        <is>
          <t>남이면</t>
        </is>
      </c>
      <c r="G1593" s="3" t="inlineStr">
        <is>
          <t>외천리</t>
        </is>
      </c>
      <c r="H1593" s="3" t="inlineStr">
        <is>
          <t>계획관리지역</t>
        </is>
      </c>
      <c r="I1593" s="3" t="inlineStr">
        <is>
          <t>전</t>
        </is>
      </c>
      <c r="J1593" s="3" t="inlineStr">
        <is>
          <t>남이면</t>
        </is>
      </c>
    </row>
    <row r="1594">
      <c r="A1594" s="3" t="n">
        <v>2022</v>
      </c>
      <c r="B1594" s="4" t="n">
        <v>2000</v>
      </c>
      <c r="C1594" s="4" t="n">
        <v>231</v>
      </c>
      <c r="D1594" s="4" t="n">
        <v>69.8775</v>
      </c>
      <c r="E1594" s="5" t="n">
        <v>28.6</v>
      </c>
      <c r="F1594" s="3" t="inlineStr">
        <is>
          <t>남이면</t>
        </is>
      </c>
      <c r="G1594" s="3" t="inlineStr">
        <is>
          <t>외천리</t>
        </is>
      </c>
      <c r="H1594" s="3" t="inlineStr">
        <is>
          <t>계획관리지역</t>
        </is>
      </c>
      <c r="I1594" s="3" t="inlineStr">
        <is>
          <t>임야</t>
        </is>
      </c>
      <c r="J1594" s="3" t="inlineStr">
        <is>
          <t>남이면</t>
        </is>
      </c>
    </row>
    <row r="1595">
      <c r="A1595" s="3" t="n">
        <v>2022</v>
      </c>
      <c r="B1595" s="4" t="n">
        <v>10000</v>
      </c>
      <c r="C1595" s="4" t="n">
        <v>403</v>
      </c>
      <c r="D1595" s="4" t="n">
        <v>121.9075</v>
      </c>
      <c r="E1595" s="5" t="n">
        <v>82</v>
      </c>
      <c r="F1595" s="3" t="inlineStr">
        <is>
          <t>남이면</t>
        </is>
      </c>
      <c r="G1595" s="3" t="inlineStr">
        <is>
          <t>석판리</t>
        </is>
      </c>
      <c r="H1595" s="3" t="inlineStr">
        <is>
          <t>자연녹지지역</t>
        </is>
      </c>
      <c r="I1595" s="3" t="inlineStr">
        <is>
          <t>대</t>
        </is>
      </c>
      <c r="J1595" s="3" t="inlineStr">
        <is>
          <t>남이면</t>
        </is>
      </c>
    </row>
    <row r="1596">
      <c r="A1596" s="3" t="n">
        <v>2022</v>
      </c>
      <c r="B1596" s="4" t="n">
        <v>4300</v>
      </c>
      <c r="C1596" s="4" t="n">
        <v>415</v>
      </c>
      <c r="D1596" s="4" t="n">
        <v>125.5375</v>
      </c>
      <c r="E1596" s="5" t="n">
        <v>34.3</v>
      </c>
      <c r="F1596" s="3" t="inlineStr">
        <is>
          <t>남이면</t>
        </is>
      </c>
      <c r="G1596" s="3" t="inlineStr">
        <is>
          <t>산막리</t>
        </is>
      </c>
      <c r="H1596" s="3" t="inlineStr">
        <is>
          <t>생산관리지역</t>
        </is>
      </c>
      <c r="I1596" s="3" t="inlineStr">
        <is>
          <t>구거</t>
        </is>
      </c>
      <c r="J1596" s="3" t="inlineStr">
        <is>
          <t>남이면</t>
        </is>
      </c>
    </row>
    <row r="1597">
      <c r="A1597" s="3" t="n">
        <v>2022</v>
      </c>
      <c r="B1597" s="4" t="n">
        <v>18800</v>
      </c>
      <c r="C1597" s="4" t="n">
        <v>1556</v>
      </c>
      <c r="D1597" s="4" t="n">
        <v>470.69</v>
      </c>
      <c r="E1597" s="5" t="n">
        <v>39.9</v>
      </c>
      <c r="F1597" s="3" t="inlineStr">
        <is>
          <t>남이면</t>
        </is>
      </c>
      <c r="G1597" s="3" t="inlineStr">
        <is>
          <t>산막리</t>
        </is>
      </c>
      <c r="H1597" s="3" t="inlineStr">
        <is>
          <t>생산관리지역</t>
        </is>
      </c>
      <c r="I1597" s="3" t="inlineStr">
        <is>
          <t>잡종지</t>
        </is>
      </c>
      <c r="J1597" s="3" t="inlineStr">
        <is>
          <t>남이면</t>
        </is>
      </c>
    </row>
    <row r="1598">
      <c r="A1598" s="3" t="n">
        <v>2022</v>
      </c>
      <c r="B1598" s="4" t="n">
        <v>1500</v>
      </c>
      <c r="C1598" s="4" t="n">
        <v>149</v>
      </c>
      <c r="D1598" s="4" t="n">
        <v>45.0725</v>
      </c>
      <c r="E1598" s="5" t="n">
        <v>33.3</v>
      </c>
      <c r="F1598" s="3" t="inlineStr">
        <is>
          <t>남이면</t>
        </is>
      </c>
      <c r="G1598" s="3" t="inlineStr">
        <is>
          <t>산막리</t>
        </is>
      </c>
      <c r="H1598" s="3" t="inlineStr">
        <is>
          <t>생산관리지역</t>
        </is>
      </c>
      <c r="I1598" s="3" t="inlineStr">
        <is>
          <t>구거</t>
        </is>
      </c>
      <c r="J1598" s="3" t="inlineStr">
        <is>
          <t>남이면</t>
        </is>
      </c>
    </row>
    <row r="1599">
      <c r="A1599" s="3" t="n">
        <v>2022</v>
      </c>
      <c r="B1599" s="4" t="n">
        <v>26000</v>
      </c>
      <c r="C1599" s="4" t="n">
        <v>1615</v>
      </c>
      <c r="D1599" s="4" t="n">
        <v>488.5375</v>
      </c>
      <c r="E1599" s="5" t="n">
        <v>53.2</v>
      </c>
      <c r="F1599" s="3" t="inlineStr">
        <is>
          <t>남이면</t>
        </is>
      </c>
      <c r="G1599" s="3" t="inlineStr">
        <is>
          <t>석실리</t>
        </is>
      </c>
      <c r="H1599" s="3" t="inlineStr">
        <is>
          <t>자연녹지지역</t>
        </is>
      </c>
      <c r="I1599" s="3" t="inlineStr">
        <is>
          <t>답</t>
        </is>
      </c>
      <c r="J1599" s="3" t="inlineStr">
        <is>
          <t>남이면</t>
        </is>
      </c>
    </row>
    <row r="1600">
      <c r="A1600" s="3" t="n">
        <v>2022</v>
      </c>
      <c r="B1600" s="4" t="n">
        <v>14000</v>
      </c>
      <c r="C1600" s="4" t="n">
        <v>429</v>
      </c>
      <c r="D1600" s="4" t="n">
        <v>129.7725</v>
      </c>
      <c r="E1600" s="5" t="n">
        <v>107.9</v>
      </c>
      <c r="F1600" s="3" t="inlineStr">
        <is>
          <t>남이면</t>
        </is>
      </c>
      <c r="G1600" s="3" t="inlineStr">
        <is>
          <t>부용외천리</t>
        </is>
      </c>
      <c r="H1600" s="3" t="inlineStr">
        <is>
          <t>계획관리지역</t>
        </is>
      </c>
      <c r="I1600" s="3" t="inlineStr">
        <is>
          <t>전</t>
        </is>
      </c>
      <c r="J1600" s="3" t="inlineStr">
        <is>
          <t>남이면</t>
        </is>
      </c>
    </row>
    <row r="1601">
      <c r="A1601" s="3" t="n">
        <v>2022</v>
      </c>
      <c r="B1601" s="4" t="n">
        <v>13618</v>
      </c>
      <c r="C1601" s="4" t="n">
        <v>429</v>
      </c>
      <c r="D1601" s="4" t="n">
        <v>129.7725</v>
      </c>
      <c r="E1601" s="5" t="n">
        <v>104.9</v>
      </c>
      <c r="F1601" s="3" t="inlineStr">
        <is>
          <t>남이면</t>
        </is>
      </c>
      <c r="G1601" s="3" t="inlineStr">
        <is>
          <t>부용외천리</t>
        </is>
      </c>
      <c r="H1601" s="3" t="inlineStr">
        <is>
          <t>계획관리지역</t>
        </is>
      </c>
      <c r="I1601" s="3" t="inlineStr">
        <is>
          <t>답</t>
        </is>
      </c>
      <c r="J1601" s="3" t="inlineStr">
        <is>
          <t>남이면</t>
        </is>
      </c>
    </row>
    <row r="1602">
      <c r="A1602" s="3" t="n">
        <v>2022</v>
      </c>
      <c r="B1602" s="4" t="n">
        <v>24690</v>
      </c>
      <c r="C1602" s="4" t="n">
        <v>583</v>
      </c>
      <c r="D1602" s="4" t="n">
        <v>176.3575</v>
      </c>
      <c r="E1602" s="5" t="n">
        <v>140</v>
      </c>
      <c r="F1602" s="3" t="inlineStr">
        <is>
          <t>남이면</t>
        </is>
      </c>
      <c r="G1602" s="3" t="inlineStr">
        <is>
          <t>부용외천리</t>
        </is>
      </c>
      <c r="H1602" s="3" t="inlineStr">
        <is>
          <t>계획관리지역</t>
        </is>
      </c>
      <c r="I1602" s="3" t="inlineStr">
        <is>
          <t>대</t>
        </is>
      </c>
      <c r="J1602" s="3" t="inlineStr">
        <is>
          <t>남이면</t>
        </is>
      </c>
    </row>
    <row r="1603">
      <c r="A1603" s="3" t="n">
        <v>2022</v>
      </c>
      <c r="B1603" s="4" t="n">
        <v>14200</v>
      </c>
      <c r="C1603" s="4" t="n">
        <v>1204</v>
      </c>
      <c r="D1603" s="4" t="n">
        <v>364.21</v>
      </c>
      <c r="E1603" s="5" t="n">
        <v>39</v>
      </c>
      <c r="F1603" s="3" t="inlineStr">
        <is>
          <t>남이면</t>
        </is>
      </c>
      <c r="G1603" s="3" t="inlineStr">
        <is>
          <t>척산리</t>
        </is>
      </c>
      <c r="H1603" s="3" t="inlineStr">
        <is>
          <t>생산관리지역</t>
        </is>
      </c>
      <c r="I1603" s="3" t="inlineStr">
        <is>
          <t>전</t>
        </is>
      </c>
      <c r="J1603" s="3" t="inlineStr">
        <is>
          <t>남이면</t>
        </is>
      </c>
    </row>
    <row r="1604">
      <c r="A1604" s="3" t="n">
        <v>2022</v>
      </c>
      <c r="B1604" s="4" t="n">
        <v>400</v>
      </c>
      <c r="C1604" s="4" t="n">
        <v>32</v>
      </c>
      <c r="D1604" s="4" t="n">
        <v>9.68</v>
      </c>
      <c r="E1604" s="5" t="n">
        <v>41.3</v>
      </c>
      <c r="F1604" s="3" t="inlineStr">
        <is>
          <t>남이면</t>
        </is>
      </c>
      <c r="G1604" s="3" t="inlineStr">
        <is>
          <t>척산리</t>
        </is>
      </c>
      <c r="H1604" s="3" t="inlineStr">
        <is>
          <t>생산관리지역</t>
        </is>
      </c>
      <c r="I1604" s="3" t="inlineStr">
        <is>
          <t>전</t>
        </is>
      </c>
      <c r="J1604" s="3" t="inlineStr">
        <is>
          <t>남이면</t>
        </is>
      </c>
    </row>
    <row r="1605">
      <c r="A1605" s="3" t="n">
        <v>2022</v>
      </c>
      <c r="B1605" s="4" t="n">
        <v>150</v>
      </c>
      <c r="C1605" s="4" t="n">
        <v>16</v>
      </c>
      <c r="D1605" s="4" t="n">
        <v>4.84</v>
      </c>
      <c r="E1605" s="5" t="n">
        <v>31</v>
      </c>
      <c r="F1605" s="3" t="inlineStr">
        <is>
          <t>남이면</t>
        </is>
      </c>
      <c r="G1605" s="3" t="inlineStr">
        <is>
          <t>척산리</t>
        </is>
      </c>
      <c r="H1605" s="3" t="inlineStr">
        <is>
          <t>생산관리지역</t>
        </is>
      </c>
      <c r="I1605" s="3" t="inlineStr">
        <is>
          <t>전</t>
        </is>
      </c>
      <c r="J1605" s="3" t="inlineStr">
        <is>
          <t>남이면</t>
        </is>
      </c>
    </row>
    <row r="1606">
      <c r="A1606" s="3" t="n">
        <v>2022</v>
      </c>
      <c r="B1606" s="4" t="n">
        <v>250</v>
      </c>
      <c r="C1606" s="4" t="n">
        <v>18</v>
      </c>
      <c r="D1606" s="4" t="n">
        <v>5.445</v>
      </c>
      <c r="E1606" s="5" t="n">
        <v>45.9</v>
      </c>
      <c r="F1606" s="3" t="inlineStr">
        <is>
          <t>남이면</t>
        </is>
      </c>
      <c r="G1606" s="3" t="inlineStr">
        <is>
          <t>척산리</t>
        </is>
      </c>
      <c r="H1606" s="3" t="inlineStr">
        <is>
          <t>생산관리지역</t>
        </is>
      </c>
      <c r="I1606" s="3" t="inlineStr">
        <is>
          <t>전</t>
        </is>
      </c>
      <c r="J1606" s="3" t="inlineStr">
        <is>
          <t>남이면</t>
        </is>
      </c>
    </row>
    <row r="1607">
      <c r="A1607" s="3" t="n">
        <v>2022</v>
      </c>
      <c r="B1607" s="4" t="n">
        <v>14500</v>
      </c>
      <c r="C1607" s="4" t="n">
        <v>1425</v>
      </c>
      <c r="D1607" s="4" t="n">
        <v>431.0625</v>
      </c>
      <c r="E1607" s="5" t="n">
        <v>33.6</v>
      </c>
      <c r="F1607" s="3" t="inlineStr">
        <is>
          <t>남이면</t>
        </is>
      </c>
      <c r="G1607" s="3" t="inlineStr">
        <is>
          <t>산막리</t>
        </is>
      </c>
      <c r="H1607" s="3" t="inlineStr">
        <is>
          <t>보전관리지역</t>
        </is>
      </c>
      <c r="I1607" s="3" t="inlineStr">
        <is>
          <t>전</t>
        </is>
      </c>
      <c r="J1607" s="3" t="inlineStr">
        <is>
          <t>남이면</t>
        </is>
      </c>
    </row>
    <row r="1608">
      <c r="A1608" s="3" t="n">
        <v>2022</v>
      </c>
      <c r="B1608" s="4" t="n">
        <v>5000</v>
      </c>
      <c r="C1608" s="4" t="n">
        <v>447</v>
      </c>
      <c r="D1608" s="4" t="n">
        <v>135.2175</v>
      </c>
      <c r="E1608" s="5" t="n">
        <v>37</v>
      </c>
      <c r="F1608" s="3" t="inlineStr">
        <is>
          <t>남이면</t>
        </is>
      </c>
      <c r="G1608" s="3" t="inlineStr">
        <is>
          <t>가좌리</t>
        </is>
      </c>
      <c r="H1608" s="3" t="inlineStr">
        <is>
          <t>자연녹지지역</t>
        </is>
      </c>
      <c r="I1608" s="3" t="inlineStr">
        <is>
          <t>임야</t>
        </is>
      </c>
      <c r="J1608" s="3" t="inlineStr">
        <is>
          <t>남이면</t>
        </is>
      </c>
    </row>
    <row r="1609">
      <c r="A1609" s="3" t="n">
        <v>2022</v>
      </c>
      <c r="B1609" s="4" t="n">
        <v>5000</v>
      </c>
      <c r="C1609" s="4" t="n">
        <v>277</v>
      </c>
      <c r="D1609" s="4" t="n">
        <v>83.7925</v>
      </c>
      <c r="E1609" s="5" t="n">
        <v>59.7</v>
      </c>
      <c r="F1609" s="3" t="inlineStr">
        <is>
          <t>남이면</t>
        </is>
      </c>
      <c r="G1609" s="3" t="inlineStr">
        <is>
          <t>척산리</t>
        </is>
      </c>
      <c r="H1609" s="3" t="inlineStr">
        <is>
          <t>계획관리지역</t>
        </is>
      </c>
      <c r="I1609" s="3" t="inlineStr">
        <is>
          <t>답</t>
        </is>
      </c>
      <c r="J1609" s="3" t="inlineStr">
        <is>
          <t>남이면</t>
        </is>
      </c>
    </row>
    <row r="1610">
      <c r="A1610" s="3" t="n">
        <v>2022</v>
      </c>
      <c r="B1610" s="4" t="n">
        <v>5000</v>
      </c>
      <c r="C1610" s="4" t="n">
        <v>285</v>
      </c>
      <c r="D1610" s="4" t="n">
        <v>86.21249999999999</v>
      </c>
      <c r="E1610" s="5" t="n">
        <v>58</v>
      </c>
      <c r="F1610" s="3" t="inlineStr">
        <is>
          <t>남이면</t>
        </is>
      </c>
      <c r="G1610" s="3" t="inlineStr">
        <is>
          <t>척산리</t>
        </is>
      </c>
      <c r="H1610" s="3" t="inlineStr">
        <is>
          <t>계획관리지역</t>
        </is>
      </c>
      <c r="I1610" s="3" t="inlineStr">
        <is>
          <t>답</t>
        </is>
      </c>
      <c r="J1610" s="3" t="inlineStr">
        <is>
          <t>남이면</t>
        </is>
      </c>
    </row>
    <row r="1611">
      <c r="A1611" s="3" t="n">
        <v>2022</v>
      </c>
      <c r="B1611" s="4" t="n">
        <v>1000</v>
      </c>
      <c r="C1611" s="4" t="n">
        <v>53</v>
      </c>
      <c r="D1611" s="4" t="n">
        <v>16.0325</v>
      </c>
      <c r="E1611" s="5" t="n">
        <v>62.4</v>
      </c>
      <c r="F1611" s="3" t="inlineStr">
        <is>
          <t>남이면</t>
        </is>
      </c>
      <c r="G1611" s="3" t="inlineStr">
        <is>
          <t>척산리</t>
        </is>
      </c>
      <c r="H1611" s="3" t="inlineStr">
        <is>
          <t>계획관리지역</t>
        </is>
      </c>
      <c r="I1611" s="3" t="inlineStr">
        <is>
          <t>대</t>
        </is>
      </c>
      <c r="J1611" s="3" t="inlineStr">
        <is>
          <t>남이면</t>
        </is>
      </c>
    </row>
    <row r="1612">
      <c r="A1612" s="3" t="n">
        <v>2022</v>
      </c>
      <c r="B1612" s="4" t="n">
        <v>1425</v>
      </c>
      <c r="C1612" s="4" t="n">
        <v>75</v>
      </c>
      <c r="D1612" s="4" t="n">
        <v>22.6875</v>
      </c>
      <c r="E1612" s="5" t="n">
        <v>62.8</v>
      </c>
      <c r="F1612" s="3" t="inlineStr">
        <is>
          <t>남이면</t>
        </is>
      </c>
      <c r="G1612" s="3" t="inlineStr">
        <is>
          <t>팔봉리</t>
        </is>
      </c>
      <c r="H1612" s="3" t="inlineStr">
        <is>
          <t>자연녹지지역</t>
        </is>
      </c>
      <c r="I1612" s="3" t="inlineStr">
        <is>
          <t>전</t>
        </is>
      </c>
      <c r="J1612" s="3" t="inlineStr">
        <is>
          <t>남이면</t>
        </is>
      </c>
    </row>
    <row r="1613">
      <c r="A1613" s="3" t="n">
        <v>2022</v>
      </c>
      <c r="B1613" s="4" t="n">
        <v>10000</v>
      </c>
      <c r="C1613" s="4" t="n">
        <v>825</v>
      </c>
      <c r="D1613" s="4" t="n">
        <v>249.5625</v>
      </c>
      <c r="E1613" s="5" t="n">
        <v>40.1</v>
      </c>
      <c r="F1613" s="3" t="inlineStr">
        <is>
          <t>남이면</t>
        </is>
      </c>
      <c r="G1613" s="3" t="inlineStr">
        <is>
          <t>외천리</t>
        </is>
      </c>
      <c r="H1613" s="3" t="inlineStr">
        <is>
          <t>계획관리지역</t>
        </is>
      </c>
      <c r="I1613" s="3" t="inlineStr">
        <is>
          <t>전</t>
        </is>
      </c>
      <c r="J1613" s="3" t="inlineStr">
        <is>
          <t>남이면</t>
        </is>
      </c>
    </row>
    <row r="1614">
      <c r="A1614" s="3" t="n">
        <v>2022</v>
      </c>
      <c r="B1614" s="4" t="n">
        <v>65000</v>
      </c>
      <c r="C1614" s="4" t="n">
        <v>17008</v>
      </c>
      <c r="D1614" s="4" t="n">
        <v>5144.92</v>
      </c>
      <c r="E1614" s="5" t="n">
        <v>12.6</v>
      </c>
      <c r="F1614" s="3" t="inlineStr">
        <is>
          <t>남이면</t>
        </is>
      </c>
      <c r="G1614" s="3" t="inlineStr">
        <is>
          <t>석실리</t>
        </is>
      </c>
      <c r="H1614" s="3" t="inlineStr">
        <is>
          <t>보전녹지지역</t>
        </is>
      </c>
      <c r="I1614" s="3" t="inlineStr">
        <is>
          <t>임야</t>
        </is>
      </c>
      <c r="J1614" s="3" t="inlineStr">
        <is>
          <t>남이면</t>
        </is>
      </c>
    </row>
    <row r="1615">
      <c r="A1615" s="3" t="n">
        <v>2022</v>
      </c>
      <c r="B1615" s="4" t="n">
        <v>10000</v>
      </c>
      <c r="C1615" s="4" t="n">
        <v>1943</v>
      </c>
      <c r="D1615" s="4" t="n">
        <v>587.7574999999999</v>
      </c>
      <c r="E1615" s="5" t="n">
        <v>17</v>
      </c>
      <c r="F1615" s="3" t="inlineStr">
        <is>
          <t>남이면</t>
        </is>
      </c>
      <c r="G1615" s="3" t="inlineStr">
        <is>
          <t>구암리</t>
        </is>
      </c>
      <c r="H1615" s="3" t="inlineStr">
        <is>
          <t>자연녹지지역</t>
        </is>
      </c>
      <c r="I1615" s="3" t="inlineStr">
        <is>
          <t>전</t>
        </is>
      </c>
      <c r="J1615" s="3" t="inlineStr">
        <is>
          <t>남이면</t>
        </is>
      </c>
    </row>
    <row r="1616">
      <c r="A1616" s="3" t="n">
        <v>2022</v>
      </c>
      <c r="B1616" s="4" t="n">
        <v>1000</v>
      </c>
      <c r="C1616" s="4" t="n">
        <v>29</v>
      </c>
      <c r="D1616" s="4" t="n">
        <v>8.772499999999999</v>
      </c>
      <c r="E1616" s="5" t="n">
        <v>114</v>
      </c>
      <c r="F1616" s="3" t="inlineStr">
        <is>
          <t>남이면</t>
        </is>
      </c>
      <c r="G1616" s="3" t="inlineStr">
        <is>
          <t>외천리</t>
        </is>
      </c>
      <c r="H1616" s="3" t="inlineStr">
        <is>
          <t>계획관리지역</t>
        </is>
      </c>
      <c r="I1616" s="3" t="inlineStr">
        <is>
          <t>도로</t>
        </is>
      </c>
      <c r="J1616" s="3" t="inlineStr">
        <is>
          <t>남이면</t>
        </is>
      </c>
    </row>
    <row r="1617">
      <c r="A1617" s="3" t="n">
        <v>2022</v>
      </c>
      <c r="B1617" s="4" t="n">
        <v>37440</v>
      </c>
      <c r="C1617" s="4" t="n">
        <v>1904</v>
      </c>
      <c r="D1617" s="4" t="n">
        <v>575.96</v>
      </c>
      <c r="E1617" s="5" t="n">
        <v>65</v>
      </c>
      <c r="F1617" s="3" t="inlineStr">
        <is>
          <t>남이면</t>
        </is>
      </c>
      <c r="G1617" s="3" t="inlineStr">
        <is>
          <t>대련리</t>
        </is>
      </c>
      <c r="H1617" s="3" t="inlineStr">
        <is>
          <t>자연녹지지역</t>
        </is>
      </c>
      <c r="I1617" s="3" t="inlineStr">
        <is>
          <t>전</t>
        </is>
      </c>
      <c r="J1617" s="3" t="inlineStr">
        <is>
          <t>남이면</t>
        </is>
      </c>
    </row>
    <row r="1618">
      <c r="A1618" s="3" t="n">
        <v>2022</v>
      </c>
      <c r="B1618" s="4" t="n">
        <v>2700</v>
      </c>
      <c r="C1618" s="4" t="n">
        <v>1144</v>
      </c>
      <c r="D1618" s="4" t="n">
        <v>346.06</v>
      </c>
      <c r="E1618" s="5" t="n">
        <v>7.8</v>
      </c>
      <c r="F1618" s="3" t="inlineStr">
        <is>
          <t>남이면</t>
        </is>
      </c>
      <c r="G1618" s="3" t="inlineStr">
        <is>
          <t>갈원리</t>
        </is>
      </c>
      <c r="H1618" s="3" t="inlineStr">
        <is>
          <t>계획관리지역</t>
        </is>
      </c>
      <c r="I1618" s="3" t="inlineStr">
        <is>
          <t>임야</t>
        </is>
      </c>
      <c r="J1618" s="3" t="inlineStr">
        <is>
          <t>남이면</t>
        </is>
      </c>
    </row>
    <row r="1619">
      <c r="A1619" s="3" t="n">
        <v>2023</v>
      </c>
      <c r="B1619" s="4" t="n">
        <v>52</v>
      </c>
      <c r="C1619" s="4" t="n">
        <v>1</v>
      </c>
      <c r="D1619" s="4" t="n">
        <v>0.3025</v>
      </c>
      <c r="E1619" s="5" t="n">
        <v>171.9</v>
      </c>
      <c r="F1619" s="3" t="inlineStr">
        <is>
          <t>오송읍</t>
        </is>
      </c>
      <c r="G1619" s="3" t="inlineStr">
        <is>
          <t>정중리</t>
        </is>
      </c>
      <c r="H1619" s="3" t="inlineStr">
        <is>
          <t>생산관리지역</t>
        </is>
      </c>
      <c r="I1619" s="3" t="inlineStr">
        <is>
          <t>대</t>
        </is>
      </c>
      <c r="J1619" s="3" t="inlineStr">
        <is>
          <t>오송읍</t>
        </is>
      </c>
    </row>
    <row r="1620">
      <c r="A1620" s="3" t="n">
        <v>2023</v>
      </c>
      <c r="B1620" s="4" t="n">
        <v>20031</v>
      </c>
      <c r="C1620" s="4" t="n">
        <v>224</v>
      </c>
      <c r="D1620" s="4" t="n">
        <v>67.75999999999999</v>
      </c>
      <c r="E1620" s="5" t="n">
        <v>295.6</v>
      </c>
      <c r="F1620" s="3" t="inlineStr">
        <is>
          <t>오송읍</t>
        </is>
      </c>
      <c r="G1620" s="3" t="inlineStr">
        <is>
          <t>정중리</t>
        </is>
      </c>
      <c r="H1620" s="3" t="inlineStr">
        <is>
          <t>계획관리지역</t>
        </is>
      </c>
      <c r="I1620" s="3" t="inlineStr">
        <is>
          <t>전</t>
        </is>
      </c>
      <c r="J1620" s="3" t="inlineStr">
        <is>
          <t>오송읍</t>
        </is>
      </c>
    </row>
    <row r="1621">
      <c r="A1621" s="3" t="n">
        <v>2023</v>
      </c>
      <c r="B1621" s="4" t="n">
        <v>12410</v>
      </c>
      <c r="C1621" s="4" t="n">
        <v>136</v>
      </c>
      <c r="D1621" s="4" t="n">
        <v>41.14</v>
      </c>
      <c r="E1621" s="5" t="n">
        <v>301.7</v>
      </c>
      <c r="F1621" s="3" t="inlineStr">
        <is>
          <t>오송읍</t>
        </is>
      </c>
      <c r="G1621" s="3" t="inlineStr">
        <is>
          <t>정중리</t>
        </is>
      </c>
      <c r="H1621" s="3" t="inlineStr">
        <is>
          <t>생산관리지역</t>
        </is>
      </c>
      <c r="I1621" s="3" t="inlineStr">
        <is>
          <t>대</t>
        </is>
      </c>
      <c r="J1621" s="3" t="inlineStr">
        <is>
          <t>오송읍</t>
        </is>
      </c>
    </row>
    <row r="1622">
      <c r="A1622" s="3" t="n">
        <v>2023</v>
      </c>
      <c r="B1622" s="4" t="n">
        <v>32500</v>
      </c>
      <c r="C1622" s="4" t="n">
        <v>351</v>
      </c>
      <c r="D1622" s="4" t="n">
        <v>106.1775</v>
      </c>
      <c r="E1622" s="5" t="n">
        <v>306.1</v>
      </c>
      <c r="F1622" s="3" t="inlineStr">
        <is>
          <t>오송읍</t>
        </is>
      </c>
      <c r="G1622" s="3" t="inlineStr">
        <is>
          <t>정중리</t>
        </is>
      </c>
      <c r="H1622" s="3" t="inlineStr">
        <is>
          <t>계획관리지역</t>
        </is>
      </c>
      <c r="I1622" s="3" t="inlineStr">
        <is>
          <t>대</t>
        </is>
      </c>
      <c r="J1622" s="3" t="inlineStr">
        <is>
          <t>오송읍</t>
        </is>
      </c>
    </row>
    <row r="1623">
      <c r="A1623" s="3" t="n">
        <v>2023</v>
      </c>
      <c r="B1623" s="4" t="n">
        <v>2400</v>
      </c>
      <c r="C1623" s="4" t="n">
        <v>53</v>
      </c>
      <c r="D1623" s="4" t="n">
        <v>16.0325</v>
      </c>
      <c r="E1623" s="5" t="n">
        <v>149.7</v>
      </c>
      <c r="F1623" s="3" t="inlineStr">
        <is>
          <t>오송읍</t>
        </is>
      </c>
      <c r="G1623" s="3" t="inlineStr">
        <is>
          <t>정중리</t>
        </is>
      </c>
      <c r="H1623" s="3" t="inlineStr">
        <is>
          <t>생산관리지역</t>
        </is>
      </c>
      <c r="I1623" s="3" t="inlineStr">
        <is>
          <t>임야</t>
        </is>
      </c>
      <c r="J1623" s="3" t="inlineStr">
        <is>
          <t>오송읍</t>
        </is>
      </c>
    </row>
    <row r="1624">
      <c r="A1624" s="3" t="n">
        <v>2023</v>
      </c>
      <c r="B1624" s="4" t="n">
        <v>30420</v>
      </c>
      <c r="C1624" s="4" t="n">
        <v>324</v>
      </c>
      <c r="D1624" s="4" t="n">
        <v>98.00999999999999</v>
      </c>
      <c r="E1624" s="5" t="n">
        <v>310.4</v>
      </c>
      <c r="F1624" s="3" t="inlineStr">
        <is>
          <t>오송읍</t>
        </is>
      </c>
      <c r="G1624" s="3" t="inlineStr">
        <is>
          <t>정중리</t>
        </is>
      </c>
      <c r="H1624" s="3" t="inlineStr">
        <is>
          <t>계획관리지역</t>
        </is>
      </c>
      <c r="I1624" s="3" t="inlineStr">
        <is>
          <t>대</t>
        </is>
      </c>
      <c r="J1624" s="3" t="inlineStr">
        <is>
          <t>오송읍</t>
        </is>
      </c>
    </row>
    <row r="1625">
      <c r="A1625" s="3" t="n">
        <v>2023</v>
      </c>
      <c r="B1625" s="4" t="n">
        <v>2100</v>
      </c>
      <c r="C1625" s="4" t="n">
        <v>24</v>
      </c>
      <c r="D1625" s="4" t="n">
        <v>7.26</v>
      </c>
      <c r="E1625" s="5" t="n">
        <v>289.3</v>
      </c>
      <c r="F1625" s="3" t="inlineStr">
        <is>
          <t>오송읍</t>
        </is>
      </c>
      <c r="G1625" s="3" t="inlineStr">
        <is>
          <t>오송리</t>
        </is>
      </c>
      <c r="H1625" s="3" t="inlineStr">
        <is>
          <t>농림지역</t>
        </is>
      </c>
      <c r="I1625" s="3" t="inlineStr">
        <is>
          <t>도로</t>
        </is>
      </c>
      <c r="J1625" s="3" t="inlineStr">
        <is>
          <t>오송읍</t>
        </is>
      </c>
    </row>
    <row r="1626">
      <c r="A1626" s="3" t="n">
        <v>2023</v>
      </c>
      <c r="B1626" s="4" t="n">
        <v>7100</v>
      </c>
      <c r="C1626" s="4" t="n">
        <v>143</v>
      </c>
      <c r="D1626" s="4" t="n">
        <v>43.2575</v>
      </c>
      <c r="E1626" s="5" t="n">
        <v>164.1</v>
      </c>
      <c r="F1626" s="3" t="inlineStr">
        <is>
          <t>강내면</t>
        </is>
      </c>
      <c r="G1626" s="3" t="inlineStr">
        <is>
          <t>석화리</t>
        </is>
      </c>
      <c r="H1626" s="3" t="inlineStr">
        <is>
          <t>자연녹지지역</t>
        </is>
      </c>
      <c r="I1626" s="3" t="inlineStr">
        <is>
          <t>대</t>
        </is>
      </c>
      <c r="J1626" s="3" t="inlineStr">
        <is>
          <t>강내면</t>
        </is>
      </c>
    </row>
    <row r="1627">
      <c r="A1627" s="3" t="n">
        <v>2023</v>
      </c>
      <c r="B1627" s="4" t="n">
        <v>1075</v>
      </c>
      <c r="C1627" s="4" t="n">
        <v>15</v>
      </c>
      <c r="D1627" s="4" t="n">
        <v>4.5375</v>
      </c>
      <c r="E1627" s="5" t="n">
        <v>236.9</v>
      </c>
      <c r="F1627" s="3" t="inlineStr">
        <is>
          <t>오송읍</t>
        </is>
      </c>
      <c r="G1627" s="3" t="inlineStr">
        <is>
          <t>오송리</t>
        </is>
      </c>
      <c r="H1627" s="3" t="inlineStr">
        <is>
          <t>계획관리지역</t>
        </is>
      </c>
      <c r="I1627" s="3" t="inlineStr">
        <is>
          <t>대</t>
        </is>
      </c>
      <c r="J1627" s="3" t="inlineStr">
        <is>
          <t>오송읍</t>
        </is>
      </c>
    </row>
    <row r="1628">
      <c r="A1628" s="3" t="n">
        <v>2023</v>
      </c>
      <c r="B1628" s="4" t="n">
        <v>5394</v>
      </c>
      <c r="C1628" s="4" t="n">
        <v>79</v>
      </c>
      <c r="D1628" s="4" t="n">
        <v>23.8975</v>
      </c>
      <c r="E1628" s="5" t="n">
        <v>225.7</v>
      </c>
      <c r="F1628" s="3" t="inlineStr">
        <is>
          <t>오송읍</t>
        </is>
      </c>
      <c r="G1628" s="3" t="inlineStr">
        <is>
          <t>오송리</t>
        </is>
      </c>
      <c r="H1628" s="3" t="inlineStr">
        <is>
          <t>계획관리지역</t>
        </is>
      </c>
      <c r="I1628" s="3" t="inlineStr">
        <is>
          <t>대</t>
        </is>
      </c>
      <c r="J1628" s="3" t="inlineStr">
        <is>
          <t>오송읍</t>
        </is>
      </c>
    </row>
    <row r="1629">
      <c r="A1629" s="3" t="n">
        <v>2023</v>
      </c>
      <c r="B1629" s="4" t="n">
        <v>51400</v>
      </c>
      <c r="C1629" s="4" t="n">
        <v>2178</v>
      </c>
      <c r="D1629" s="4" t="n">
        <v>658.845</v>
      </c>
      <c r="E1629" s="5" t="n">
        <v>78</v>
      </c>
      <c r="F1629" s="3" t="inlineStr">
        <is>
          <t>강내면</t>
        </is>
      </c>
      <c r="G1629" s="3" t="inlineStr">
        <is>
          <t>저산리</t>
        </is>
      </c>
      <c r="H1629" s="3" t="inlineStr">
        <is>
          <t>계획관리지역</t>
        </is>
      </c>
      <c r="I1629" s="3" t="inlineStr">
        <is>
          <t>전</t>
        </is>
      </c>
      <c r="J1629" s="3" t="inlineStr">
        <is>
          <t>강내면</t>
        </is>
      </c>
    </row>
    <row r="1630">
      <c r="A1630" s="3" t="n">
        <v>2023</v>
      </c>
      <c r="B1630" s="4" t="n">
        <v>30000</v>
      </c>
      <c r="C1630" s="4" t="n">
        <v>271.1</v>
      </c>
      <c r="D1630" s="4" t="n">
        <v>82.00775</v>
      </c>
      <c r="E1630" s="5" t="n">
        <v>365.8</v>
      </c>
      <c r="F1630" s="3" t="inlineStr">
        <is>
          <t>오송읍</t>
        </is>
      </c>
      <c r="G1630" s="3" t="inlineStr">
        <is>
          <t>봉산리</t>
        </is>
      </c>
      <c r="H1630" s="3" t="inlineStr">
        <is>
          <t>제1종일반주거지역</t>
        </is>
      </c>
      <c r="I1630" s="3" t="inlineStr">
        <is>
          <t>대</t>
        </is>
      </c>
      <c r="J1630" s="3" t="inlineStr">
        <is>
          <t>오송읍</t>
        </is>
      </c>
    </row>
    <row r="1631">
      <c r="A1631" s="3" t="n">
        <v>2023</v>
      </c>
      <c r="B1631" s="4" t="n">
        <v>11855</v>
      </c>
      <c r="C1631" s="4" t="n">
        <v>196.3</v>
      </c>
      <c r="D1631" s="4" t="n">
        <v>59.38075</v>
      </c>
      <c r="E1631" s="5" t="n">
        <v>199.6</v>
      </c>
      <c r="F1631" s="3" t="inlineStr">
        <is>
          <t>강내면</t>
        </is>
      </c>
      <c r="G1631" s="3" t="inlineStr">
        <is>
          <t>사곡리</t>
        </is>
      </c>
      <c r="H1631" s="3" t="inlineStr">
        <is>
          <t>보전관리지역</t>
        </is>
      </c>
      <c r="I1631" s="3" t="inlineStr">
        <is>
          <t>대</t>
        </is>
      </c>
      <c r="J1631" s="3" t="inlineStr">
        <is>
          <t>강내면</t>
        </is>
      </c>
    </row>
    <row r="1632">
      <c r="A1632" s="3" t="n">
        <v>2023</v>
      </c>
      <c r="B1632" s="4" t="n">
        <v>10000</v>
      </c>
      <c r="C1632" s="4" t="n">
        <v>517</v>
      </c>
      <c r="D1632" s="4" t="n">
        <v>156.3925</v>
      </c>
      <c r="E1632" s="5" t="n">
        <v>63.9</v>
      </c>
      <c r="F1632" s="3" t="inlineStr">
        <is>
          <t>오송읍</t>
        </is>
      </c>
      <c r="G1632" s="3" t="inlineStr">
        <is>
          <t>정중리</t>
        </is>
      </c>
      <c r="H1632" s="3" t="inlineStr">
        <is>
          <t>생산관리지역</t>
        </is>
      </c>
      <c r="I1632" s="3" t="inlineStr">
        <is>
          <t>전</t>
        </is>
      </c>
      <c r="J1632" s="3" t="inlineStr">
        <is>
          <t>오송읍</t>
        </is>
      </c>
    </row>
    <row r="1633">
      <c r="A1633" s="3" t="n">
        <v>2023</v>
      </c>
      <c r="B1633" s="4" t="n">
        <v>2208</v>
      </c>
      <c r="C1633" s="4" t="n">
        <v>1216</v>
      </c>
      <c r="D1633" s="4" t="n">
        <v>367.84</v>
      </c>
      <c r="E1633" s="5" t="n">
        <v>6</v>
      </c>
      <c r="F1633" s="3" t="inlineStr">
        <is>
          <t>강내면</t>
        </is>
      </c>
      <c r="G1633" s="3" t="inlineStr">
        <is>
          <t>궁현리</t>
        </is>
      </c>
      <c r="H1633" s="3" t="inlineStr">
        <is>
          <t>계획관리지역</t>
        </is>
      </c>
      <c r="I1633" s="3" t="inlineStr">
        <is>
          <t>전</t>
        </is>
      </c>
      <c r="J1633" s="3" t="inlineStr">
        <is>
          <t>강내면</t>
        </is>
      </c>
    </row>
    <row r="1634">
      <c r="A1634" s="3" t="n">
        <v>2023</v>
      </c>
      <c r="B1634" s="4" t="n">
        <v>3224</v>
      </c>
      <c r="C1634" s="4" t="n">
        <v>85</v>
      </c>
      <c r="D1634" s="4" t="n">
        <v>25.7125</v>
      </c>
      <c r="E1634" s="5" t="n">
        <v>125.4</v>
      </c>
      <c r="F1634" s="3" t="inlineStr">
        <is>
          <t>오송읍</t>
        </is>
      </c>
      <c r="G1634" s="3" t="inlineStr">
        <is>
          <t>정중리</t>
        </is>
      </c>
      <c r="H1634" s="3" t="inlineStr">
        <is>
          <t>계획관리지역</t>
        </is>
      </c>
      <c r="I1634" s="3" t="inlineStr">
        <is>
          <t>전</t>
        </is>
      </c>
      <c r="J1634" s="3" t="inlineStr">
        <is>
          <t>오송읍</t>
        </is>
      </c>
    </row>
    <row r="1635">
      <c r="A1635" s="3" t="n">
        <v>2023</v>
      </c>
      <c r="B1635" s="4" t="n">
        <v>1403</v>
      </c>
      <c r="C1635" s="4" t="n">
        <v>37</v>
      </c>
      <c r="D1635" s="4" t="n">
        <v>11.1925</v>
      </c>
      <c r="E1635" s="5" t="n">
        <v>125.4</v>
      </c>
      <c r="F1635" s="3" t="inlineStr">
        <is>
          <t>오송읍</t>
        </is>
      </c>
      <c r="G1635" s="3" t="inlineStr">
        <is>
          <t>정중리</t>
        </is>
      </c>
      <c r="H1635" s="3" t="inlineStr">
        <is>
          <t>계획관리지역</t>
        </is>
      </c>
      <c r="I1635" s="3" t="inlineStr">
        <is>
          <t>전</t>
        </is>
      </c>
      <c r="J1635" s="3" t="inlineStr">
        <is>
          <t>오송읍</t>
        </is>
      </c>
    </row>
    <row r="1636">
      <c r="A1636" s="3" t="n">
        <v>2023</v>
      </c>
      <c r="B1636" s="4" t="n">
        <v>8495</v>
      </c>
      <c r="C1636" s="4" t="n">
        <v>224</v>
      </c>
      <c r="D1636" s="4" t="n">
        <v>67.75999999999999</v>
      </c>
      <c r="E1636" s="5" t="n">
        <v>125.4</v>
      </c>
      <c r="F1636" s="3" t="inlineStr">
        <is>
          <t>오송읍</t>
        </is>
      </c>
      <c r="G1636" s="3" t="inlineStr">
        <is>
          <t>정중리</t>
        </is>
      </c>
      <c r="H1636" s="3" t="inlineStr">
        <is>
          <t>계획관리지역</t>
        </is>
      </c>
      <c r="I1636" s="3" t="inlineStr">
        <is>
          <t>전</t>
        </is>
      </c>
      <c r="J1636" s="3" t="inlineStr">
        <is>
          <t>오송읍</t>
        </is>
      </c>
    </row>
    <row r="1637">
      <c r="A1637" s="3" t="n">
        <v>2023</v>
      </c>
      <c r="B1637" s="4" t="n">
        <v>40</v>
      </c>
      <c r="C1637" s="4" t="n">
        <v>1</v>
      </c>
      <c r="D1637" s="4" t="n">
        <v>0.3025</v>
      </c>
      <c r="E1637" s="5" t="n">
        <v>132.2</v>
      </c>
      <c r="F1637" s="3" t="inlineStr">
        <is>
          <t>오송읍</t>
        </is>
      </c>
      <c r="G1637" s="3" t="inlineStr">
        <is>
          <t>정중리</t>
        </is>
      </c>
      <c r="H1637" s="3" t="inlineStr">
        <is>
          <t>생산관리지역</t>
        </is>
      </c>
      <c r="I1637" s="3" t="inlineStr">
        <is>
          <t>전</t>
        </is>
      </c>
      <c r="J1637" s="3" t="inlineStr">
        <is>
          <t>오송읍</t>
        </is>
      </c>
    </row>
    <row r="1638">
      <c r="A1638" s="3" t="n">
        <v>2023</v>
      </c>
      <c r="B1638" s="4" t="n">
        <v>13653</v>
      </c>
      <c r="C1638" s="4" t="n">
        <v>360</v>
      </c>
      <c r="D1638" s="4" t="n">
        <v>108.9</v>
      </c>
      <c r="E1638" s="5" t="n">
        <v>125.4</v>
      </c>
      <c r="F1638" s="3" t="inlineStr">
        <is>
          <t>오송읍</t>
        </is>
      </c>
      <c r="G1638" s="3" t="inlineStr">
        <is>
          <t>정중리</t>
        </is>
      </c>
      <c r="H1638" s="3" t="inlineStr">
        <is>
          <t>생산관리지역</t>
        </is>
      </c>
      <c r="I1638" s="3" t="inlineStr">
        <is>
          <t>전</t>
        </is>
      </c>
      <c r="J1638" s="3" t="inlineStr">
        <is>
          <t>오송읍</t>
        </is>
      </c>
    </row>
    <row r="1639">
      <c r="A1639" s="3" t="n">
        <v>2023</v>
      </c>
      <c r="B1639" s="4" t="n">
        <v>13653</v>
      </c>
      <c r="C1639" s="4" t="n">
        <v>360</v>
      </c>
      <c r="D1639" s="4" t="n">
        <v>108.9</v>
      </c>
      <c r="E1639" s="5" t="n">
        <v>125.4</v>
      </c>
      <c r="F1639" s="3" t="inlineStr">
        <is>
          <t>오송읍</t>
        </is>
      </c>
      <c r="G1639" s="3" t="inlineStr">
        <is>
          <t>정중리</t>
        </is>
      </c>
      <c r="H1639" s="3" t="inlineStr">
        <is>
          <t>생산관리지역</t>
        </is>
      </c>
      <c r="I1639" s="3" t="inlineStr">
        <is>
          <t>전</t>
        </is>
      </c>
      <c r="J1639" s="3" t="inlineStr">
        <is>
          <t>오송읍</t>
        </is>
      </c>
    </row>
    <row r="1640">
      <c r="A1640" s="3" t="n">
        <v>2023</v>
      </c>
      <c r="B1640" s="4" t="n">
        <v>3262</v>
      </c>
      <c r="C1640" s="4" t="n">
        <v>86</v>
      </c>
      <c r="D1640" s="4" t="n">
        <v>26.015</v>
      </c>
      <c r="E1640" s="5" t="n">
        <v>125.4</v>
      </c>
      <c r="F1640" s="3" t="inlineStr">
        <is>
          <t>오송읍</t>
        </is>
      </c>
      <c r="G1640" s="3" t="inlineStr">
        <is>
          <t>정중리</t>
        </is>
      </c>
      <c r="H1640" s="3" t="inlineStr">
        <is>
          <t>생산관리지역</t>
        </is>
      </c>
      <c r="I1640" s="3" t="inlineStr">
        <is>
          <t>전</t>
        </is>
      </c>
      <c r="J1640" s="3" t="inlineStr">
        <is>
          <t>오송읍</t>
        </is>
      </c>
    </row>
    <row r="1641">
      <c r="A1641" s="3" t="n">
        <v>2023</v>
      </c>
      <c r="B1641" s="4" t="n">
        <v>872</v>
      </c>
      <c r="C1641" s="4" t="n">
        <v>23</v>
      </c>
      <c r="D1641" s="4" t="n">
        <v>6.9575</v>
      </c>
      <c r="E1641" s="5" t="n">
        <v>125.3</v>
      </c>
      <c r="F1641" s="3" t="inlineStr">
        <is>
          <t>오송읍</t>
        </is>
      </c>
      <c r="G1641" s="3" t="inlineStr">
        <is>
          <t>정중리</t>
        </is>
      </c>
      <c r="H1641" s="3" t="inlineStr">
        <is>
          <t>계획관리지역</t>
        </is>
      </c>
      <c r="I1641" s="3" t="inlineStr">
        <is>
          <t>도로</t>
        </is>
      </c>
      <c r="J1641" s="3" t="inlineStr">
        <is>
          <t>오송읍</t>
        </is>
      </c>
    </row>
    <row r="1642">
      <c r="A1642" s="3" t="n">
        <v>2023</v>
      </c>
      <c r="B1642" s="4" t="n">
        <v>303</v>
      </c>
      <c r="C1642" s="4" t="n">
        <v>8</v>
      </c>
      <c r="D1642" s="4" t="n">
        <v>2.42</v>
      </c>
      <c r="E1642" s="5" t="n">
        <v>125.2</v>
      </c>
      <c r="F1642" s="3" t="inlineStr">
        <is>
          <t>오송읍</t>
        </is>
      </c>
      <c r="G1642" s="3" t="inlineStr">
        <is>
          <t>정중리</t>
        </is>
      </c>
      <c r="H1642" s="3" t="inlineStr">
        <is>
          <t>계획관리지역</t>
        </is>
      </c>
      <c r="I1642" s="3" t="inlineStr">
        <is>
          <t>도로</t>
        </is>
      </c>
      <c r="J1642" s="3" t="inlineStr">
        <is>
          <t>오송읍</t>
        </is>
      </c>
    </row>
    <row r="1643">
      <c r="A1643" s="3" t="n">
        <v>2026</v>
      </c>
      <c r="B1643" s="4" t="n">
        <v>450</v>
      </c>
      <c r="C1643" s="4" t="n">
        <v>1028</v>
      </c>
      <c r="D1643" s="4" t="n">
        <v>310.97</v>
      </c>
      <c r="E1643" s="5" t="n">
        <v>1.4</v>
      </c>
      <c r="F1643" s="3" t="inlineStr">
        <is>
          <t>오송읍</t>
        </is>
      </c>
      <c r="G1643" s="3" t="inlineStr">
        <is>
          <t>공북리</t>
        </is>
      </c>
      <c r="H1643" s="3" t="inlineStr">
        <is>
          <t>보전관리지역</t>
        </is>
      </c>
      <c r="I1643" s="3" t="inlineStr">
        <is>
          <t>전</t>
        </is>
      </c>
      <c r="J1643" s="3" t="inlineStr">
        <is>
          <t>오송읍</t>
        </is>
      </c>
    </row>
    <row r="1644">
      <c r="A1644" s="3" t="n">
        <v>2026</v>
      </c>
      <c r="B1644" s="4" t="n">
        <v>142000</v>
      </c>
      <c r="C1644" s="4" t="n">
        <v>1113.2</v>
      </c>
      <c r="D1644" s="4" t="n">
        <v>336.743</v>
      </c>
      <c r="E1644" s="5" t="n">
        <v>421.7</v>
      </c>
      <c r="F1644" s="3" t="inlineStr">
        <is>
          <t>오송읍</t>
        </is>
      </c>
      <c r="G1644" s="3" t="inlineStr">
        <is>
          <t>정중리</t>
        </is>
      </c>
      <c r="H1644" s="3" t="inlineStr">
        <is>
          <t>준공업지역</t>
        </is>
      </c>
      <c r="I1644" s="3" t="inlineStr">
        <is>
          <t>주차장</t>
        </is>
      </c>
      <c r="J1644" s="3" t="inlineStr">
        <is>
          <t>오송읍</t>
        </is>
      </c>
    </row>
    <row r="1645">
      <c r="A1645" s="3" t="n">
        <v>2026</v>
      </c>
      <c r="B1645" s="4" t="n">
        <v>13000</v>
      </c>
      <c r="C1645" s="4" t="n">
        <v>1400</v>
      </c>
      <c r="D1645" s="4" t="n">
        <v>423.5</v>
      </c>
      <c r="E1645" s="5" t="n">
        <v>30.7</v>
      </c>
      <c r="F1645" s="3" t="inlineStr">
        <is>
          <t>남이면</t>
        </is>
      </c>
      <c r="G1645" s="3" t="inlineStr">
        <is>
          <t>사동리</t>
        </is>
      </c>
      <c r="H1645" s="3" t="inlineStr">
        <is>
          <t>생산관리지역</t>
        </is>
      </c>
      <c r="I1645" s="3" t="inlineStr">
        <is>
          <t>전</t>
        </is>
      </c>
      <c r="J1645" s="3" t="inlineStr">
        <is>
          <t>남이면</t>
        </is>
      </c>
    </row>
    <row r="1646">
      <c r="A1646" s="3" t="n">
        <v>2026</v>
      </c>
      <c r="B1646" s="4" t="n">
        <v>42000</v>
      </c>
      <c r="C1646" s="4" t="n">
        <v>8191</v>
      </c>
      <c r="D1646" s="4" t="n">
        <v>2477.7775</v>
      </c>
      <c r="E1646" s="5" t="n">
        <v>17</v>
      </c>
      <c r="F1646" s="3" t="inlineStr">
        <is>
          <t>남이면</t>
        </is>
      </c>
      <c r="G1646" s="3" t="inlineStr">
        <is>
          <t>갈원리</t>
        </is>
      </c>
      <c r="H1646" s="3" t="inlineStr">
        <is>
          <t>보전녹지지역</t>
        </is>
      </c>
      <c r="I1646" s="3" t="inlineStr">
        <is>
          <t>임야</t>
        </is>
      </c>
      <c r="J1646" s="3" t="inlineStr">
        <is>
          <t>남이면</t>
        </is>
      </c>
    </row>
    <row r="1647">
      <c r="A1647" s="3" t="n">
        <v>2024</v>
      </c>
      <c r="B1647" s="4" t="n">
        <v>55800</v>
      </c>
      <c r="C1647" s="4" t="n">
        <v>2528.5</v>
      </c>
      <c r="D1647" s="4" t="n">
        <v>764.87125</v>
      </c>
      <c r="E1647" s="5" t="n">
        <v>73</v>
      </c>
      <c r="F1647" s="3" t="inlineStr">
        <is>
          <t>연동면</t>
        </is>
      </c>
      <c r="G1647" s="3" t="inlineStr">
        <is>
          <t>명학리</t>
        </is>
      </c>
      <c r="H1647" s="3" t="inlineStr">
        <is>
          <t>자연녹지지역</t>
        </is>
      </c>
      <c r="I1647" s="3" t="inlineStr">
        <is>
          <t>답</t>
        </is>
      </c>
      <c r="J1647" s="3" t="inlineStr">
        <is>
          <t>연동면</t>
        </is>
      </c>
    </row>
    <row r="1648">
      <c r="A1648" s="3" t="n">
        <v>2022</v>
      </c>
      <c r="B1648" s="4" t="n">
        <v>179500</v>
      </c>
      <c r="C1648" s="4" t="n">
        <v>2374</v>
      </c>
      <c r="D1648" s="4" t="n">
        <v>718.135</v>
      </c>
      <c r="E1648" s="5" t="n">
        <v>250</v>
      </c>
      <c r="F1648" s="3" t="inlineStr">
        <is>
          <t>남이면</t>
        </is>
      </c>
      <c r="G1648" s="3" t="inlineStr">
        <is>
          <t>양촌리</t>
        </is>
      </c>
      <c r="H1648" s="3" t="inlineStr">
        <is>
          <t>자연녹지지역</t>
        </is>
      </c>
      <c r="I1648" s="3" t="inlineStr">
        <is>
          <t>답</t>
        </is>
      </c>
      <c r="J1648" s="3" t="inlineStr">
        <is>
          <t>남이면</t>
        </is>
      </c>
    </row>
    <row r="1649">
      <c r="A1649" s="3" t="n">
        <v>2022</v>
      </c>
      <c r="B1649" s="4" t="n">
        <v>6300</v>
      </c>
      <c r="C1649" s="4" t="n">
        <v>83</v>
      </c>
      <c r="D1649" s="4" t="n">
        <v>25.1075</v>
      </c>
      <c r="E1649" s="5" t="n">
        <v>250.9</v>
      </c>
      <c r="F1649" s="3" t="inlineStr">
        <is>
          <t>남이면</t>
        </is>
      </c>
      <c r="G1649" s="3" t="inlineStr">
        <is>
          <t>양촌리</t>
        </is>
      </c>
      <c r="H1649" s="3" t="inlineStr">
        <is>
          <t>자연녹지지역</t>
        </is>
      </c>
      <c r="I1649" s="3" t="inlineStr">
        <is>
          <t>답</t>
        </is>
      </c>
      <c r="J1649" s="3" t="inlineStr">
        <is>
          <t>남이면</t>
        </is>
      </c>
    </row>
    <row r="1650">
      <c r="A1650" s="3" t="n">
        <v>2022</v>
      </c>
      <c r="B1650" s="4" t="n">
        <v>79200</v>
      </c>
      <c r="C1650" s="4" t="n">
        <v>1587</v>
      </c>
      <c r="D1650" s="4" t="n">
        <v>480.0675</v>
      </c>
      <c r="E1650" s="5" t="n">
        <v>165</v>
      </c>
      <c r="F1650" s="3" t="inlineStr">
        <is>
          <t>남이면</t>
        </is>
      </c>
      <c r="G1650" s="3" t="inlineStr">
        <is>
          <t>양촌리</t>
        </is>
      </c>
      <c r="H1650" s="3" t="inlineStr">
        <is>
          <t>자연녹지지역</t>
        </is>
      </c>
      <c r="I1650" s="3" t="inlineStr">
        <is>
          <t>전</t>
        </is>
      </c>
      <c r="J1650" s="3" t="inlineStr">
        <is>
          <t>남이면</t>
        </is>
      </c>
    </row>
    <row r="1651">
      <c r="A1651" s="3" t="n">
        <v>2022</v>
      </c>
      <c r="B1651" s="4" t="n">
        <v>26000</v>
      </c>
      <c r="C1651" s="4" t="n">
        <v>1615</v>
      </c>
      <c r="D1651" s="4" t="n">
        <v>488.5375</v>
      </c>
      <c r="E1651" s="5" t="n">
        <v>53.2</v>
      </c>
      <c r="F1651" s="3" t="inlineStr">
        <is>
          <t>남이면</t>
        </is>
      </c>
      <c r="G1651" s="3" t="inlineStr">
        <is>
          <t>석실리</t>
        </is>
      </c>
      <c r="H1651" s="3" t="inlineStr">
        <is>
          <t>자연녹지지역</t>
        </is>
      </c>
      <c r="I1651" s="3" t="inlineStr">
        <is>
          <t>답</t>
        </is>
      </c>
      <c r="J1651" s="3" t="inlineStr">
        <is>
          <t>남이면</t>
        </is>
      </c>
    </row>
    <row r="1652">
      <c r="A1652" s="3" t="n">
        <v>2022</v>
      </c>
      <c r="B1652" s="4" t="n">
        <v>1970</v>
      </c>
      <c r="C1652" s="4" t="n">
        <v>889</v>
      </c>
      <c r="D1652" s="4" t="n">
        <v>268.9225</v>
      </c>
      <c r="E1652" s="5" t="n">
        <v>7.3</v>
      </c>
      <c r="F1652" s="3" t="inlineStr">
        <is>
          <t>남이면</t>
        </is>
      </c>
      <c r="G1652" s="3" t="inlineStr">
        <is>
          <t>부용외천리</t>
        </is>
      </c>
      <c r="H1652" s="3" t="inlineStr">
        <is>
          <t>보전관리지역</t>
        </is>
      </c>
      <c r="I1652" s="3" t="inlineStr">
        <is>
          <t>답</t>
        </is>
      </c>
      <c r="J1652" s="3" t="inlineStr">
        <is>
          <t>남이면</t>
        </is>
      </c>
    </row>
    <row r="1653">
      <c r="A1653" s="3" t="n">
        <v>2022</v>
      </c>
      <c r="B1653" s="4" t="n">
        <v>4030</v>
      </c>
      <c r="C1653" s="4" t="n">
        <v>1815</v>
      </c>
      <c r="D1653" s="4" t="n">
        <v>549.0375</v>
      </c>
      <c r="E1653" s="5" t="n">
        <v>7.3</v>
      </c>
      <c r="F1653" s="3" t="inlineStr">
        <is>
          <t>남이면</t>
        </is>
      </c>
      <c r="G1653" s="3" t="inlineStr">
        <is>
          <t>부용외천리</t>
        </is>
      </c>
      <c r="H1653" s="3" t="inlineStr">
        <is>
          <t>보전관리지역</t>
        </is>
      </c>
      <c r="I1653" s="3" t="inlineStr">
        <is>
          <t>답</t>
        </is>
      </c>
      <c r="J1653" s="3" t="inlineStr">
        <is>
          <t>남이면</t>
        </is>
      </c>
    </row>
    <row r="1654">
      <c r="A1654" s="3" t="n">
        <v>2022</v>
      </c>
      <c r="B1654" s="4" t="n">
        <v>41310</v>
      </c>
      <c r="C1654" s="4" t="n">
        <v>942</v>
      </c>
      <c r="D1654" s="4" t="n">
        <v>284.955</v>
      </c>
      <c r="E1654" s="5" t="n">
        <v>145</v>
      </c>
      <c r="F1654" s="3" t="inlineStr">
        <is>
          <t>남이면</t>
        </is>
      </c>
      <c r="G1654" s="3" t="inlineStr">
        <is>
          <t>척산리</t>
        </is>
      </c>
      <c r="H1654" s="3" t="inlineStr">
        <is>
          <t>계획관리지역</t>
        </is>
      </c>
      <c r="I1654" s="3" t="inlineStr">
        <is>
          <t>공장용지</t>
        </is>
      </c>
      <c r="J1654" s="3" t="inlineStr">
        <is>
          <t>남이면</t>
        </is>
      </c>
    </row>
    <row r="1655">
      <c r="A1655" s="3" t="n">
        <v>2023</v>
      </c>
      <c r="B1655" s="4" t="n">
        <v>8000</v>
      </c>
      <c r="C1655" s="4" t="n">
        <v>360</v>
      </c>
      <c r="D1655" s="4" t="n">
        <v>108.9</v>
      </c>
      <c r="E1655" s="5" t="n">
        <v>73.5</v>
      </c>
      <c r="F1655" s="3" t="inlineStr">
        <is>
          <t>연서면</t>
        </is>
      </c>
      <c r="G1655" s="3" t="inlineStr">
        <is>
          <t>성제리</t>
        </is>
      </c>
      <c r="H1655" s="3" t="inlineStr">
        <is>
          <t>자연녹지지역</t>
        </is>
      </c>
      <c r="I1655" s="3" t="inlineStr">
        <is>
          <t>대</t>
        </is>
      </c>
      <c r="J1655" s="3" t="inlineStr">
        <is>
          <t>연서면</t>
        </is>
      </c>
    </row>
    <row r="1656">
      <c r="A1656" s="3" t="n">
        <v>2023</v>
      </c>
      <c r="B1656" s="4" t="n">
        <v>21000</v>
      </c>
      <c r="C1656" s="4" t="n">
        <v>281</v>
      </c>
      <c r="D1656" s="4" t="n">
        <v>85.0025</v>
      </c>
      <c r="E1656" s="5" t="n">
        <v>247.1</v>
      </c>
      <c r="F1656" s="3" t="inlineStr">
        <is>
          <t>연서면</t>
        </is>
      </c>
      <c r="G1656" s="3" t="inlineStr">
        <is>
          <t>고복리</t>
        </is>
      </c>
      <c r="H1656" s="3" t="inlineStr">
        <is>
          <t>자연환경보전</t>
        </is>
      </c>
      <c r="I1656" s="3" t="inlineStr">
        <is>
          <t>대</t>
        </is>
      </c>
      <c r="J1656" s="3" t="inlineStr">
        <is>
          <t>연서면</t>
        </is>
      </c>
    </row>
    <row r="1657">
      <c r="A1657" s="3" t="n">
        <v>2023</v>
      </c>
      <c r="B1657" s="4" t="n">
        <v>17822</v>
      </c>
      <c r="C1657" s="4" t="n">
        <v>491</v>
      </c>
      <c r="D1657" s="4" t="n">
        <v>148.5275</v>
      </c>
      <c r="E1657" s="5" t="n">
        <v>120</v>
      </c>
      <c r="F1657" s="3" t="inlineStr">
        <is>
          <t>연서면</t>
        </is>
      </c>
      <c r="G1657" s="3" t="inlineStr">
        <is>
          <t>쌍류리</t>
        </is>
      </c>
      <c r="H1657" s="3" t="inlineStr">
        <is>
          <t>보전관리지역</t>
        </is>
      </c>
      <c r="I1657" s="3" t="inlineStr">
        <is>
          <t>임야</t>
        </is>
      </c>
      <c r="J1657" s="3" t="inlineStr">
        <is>
          <t>연서면</t>
        </is>
      </c>
    </row>
    <row r="1658">
      <c r="A1658" s="3" t="n">
        <v>2023</v>
      </c>
      <c r="B1658" s="4" t="n">
        <v>10000</v>
      </c>
      <c r="C1658" s="4" t="n">
        <v>1288</v>
      </c>
      <c r="D1658" s="4" t="n">
        <v>389.62</v>
      </c>
      <c r="E1658" s="5" t="n">
        <v>25.7</v>
      </c>
      <c r="F1658" s="3" t="inlineStr">
        <is>
          <t>부강면</t>
        </is>
      </c>
      <c r="G1658" s="3" t="inlineStr">
        <is>
          <t>금호리</t>
        </is>
      </c>
      <c r="H1658" s="3" t="inlineStr">
        <is>
          <t>계획관리지역</t>
        </is>
      </c>
      <c r="I1658" s="3" t="inlineStr">
        <is>
          <t>전</t>
        </is>
      </c>
      <c r="J1658" s="3" t="inlineStr">
        <is>
          <t>부강면</t>
        </is>
      </c>
    </row>
    <row r="1659">
      <c r="A1659" s="3" t="n">
        <v>2023</v>
      </c>
      <c r="B1659" s="4" t="n">
        <v>230</v>
      </c>
      <c r="C1659" s="4" t="n">
        <v>11</v>
      </c>
      <c r="D1659" s="4" t="n">
        <v>3.3275</v>
      </c>
      <c r="E1659" s="5" t="n">
        <v>69.09999999999999</v>
      </c>
      <c r="F1659" s="3" t="inlineStr">
        <is>
          <t>연서면</t>
        </is>
      </c>
      <c r="G1659" s="3" t="inlineStr">
        <is>
          <t>와촌리</t>
        </is>
      </c>
      <c r="H1659" s="3" t="inlineStr">
        <is>
          <t>계획관리지역</t>
        </is>
      </c>
      <c r="I1659" s="3" t="inlineStr">
        <is>
          <t>대</t>
        </is>
      </c>
      <c r="J1659" s="3" t="inlineStr">
        <is>
          <t>연서면</t>
        </is>
      </c>
    </row>
    <row r="1660">
      <c r="A1660" s="3" t="n">
        <v>2022</v>
      </c>
      <c r="B1660" s="4" t="n">
        <v>21000</v>
      </c>
      <c r="C1660" s="4" t="n">
        <v>670</v>
      </c>
      <c r="D1660" s="4" t="n">
        <v>202.675</v>
      </c>
      <c r="E1660" s="5" t="n">
        <v>103.6</v>
      </c>
      <c r="F1660" s="3" t="inlineStr">
        <is>
          <t>남이면</t>
        </is>
      </c>
      <c r="G1660" s="3" t="inlineStr">
        <is>
          <t>양촌리</t>
        </is>
      </c>
      <c r="H1660" s="3" t="inlineStr">
        <is>
          <t>자연녹지지역</t>
        </is>
      </c>
      <c r="I1660" s="3" t="inlineStr">
        <is>
          <t>전</t>
        </is>
      </c>
      <c r="J1660" s="3" t="inlineStr">
        <is>
          <t>남이면</t>
        </is>
      </c>
    </row>
    <row r="1661">
      <c r="A1661" s="3" t="n">
        <v>2022</v>
      </c>
      <c r="B1661" s="4" t="n">
        <v>59000</v>
      </c>
      <c r="C1661" s="4" t="n">
        <v>2453</v>
      </c>
      <c r="D1661" s="4" t="n">
        <v>742.0325</v>
      </c>
      <c r="E1661" s="5" t="n">
        <v>79.5</v>
      </c>
      <c r="F1661" s="3" t="inlineStr">
        <is>
          <t>남이면</t>
        </is>
      </c>
      <c r="G1661" s="3" t="inlineStr">
        <is>
          <t>수대리</t>
        </is>
      </c>
      <c r="H1661" s="3" t="inlineStr">
        <is>
          <t>자연녹지지역</t>
        </is>
      </c>
      <c r="I1661" s="3" t="inlineStr">
        <is>
          <t>전</t>
        </is>
      </c>
      <c r="J1661" s="3" t="inlineStr">
        <is>
          <t>남이면</t>
        </is>
      </c>
    </row>
    <row r="1662">
      <c r="A1662" s="3" t="n">
        <v>2022</v>
      </c>
      <c r="B1662" s="4" t="n">
        <v>80070</v>
      </c>
      <c r="C1662" s="4" t="n">
        <v>1557</v>
      </c>
      <c r="D1662" s="4" t="n">
        <v>470.9925</v>
      </c>
      <c r="E1662" s="5" t="n">
        <v>170</v>
      </c>
      <c r="F1662" s="3" t="inlineStr">
        <is>
          <t>남이면</t>
        </is>
      </c>
      <c r="G1662" s="3" t="inlineStr">
        <is>
          <t>부용외천리</t>
        </is>
      </c>
      <c r="H1662" s="3" t="inlineStr">
        <is>
          <t>계획관리지역</t>
        </is>
      </c>
      <c r="I1662" s="3" t="inlineStr">
        <is>
          <t>임야</t>
        </is>
      </c>
      <c r="J1662" s="3" t="inlineStr">
        <is>
          <t>남이면</t>
        </is>
      </c>
    </row>
    <row r="1663">
      <c r="A1663" s="3" t="n">
        <v>2022</v>
      </c>
      <c r="B1663" s="4" t="n">
        <v>4930</v>
      </c>
      <c r="C1663" s="4" t="n">
        <v>97</v>
      </c>
      <c r="D1663" s="4" t="n">
        <v>29.3425</v>
      </c>
      <c r="E1663" s="5" t="n">
        <v>168</v>
      </c>
      <c r="F1663" s="3" t="inlineStr">
        <is>
          <t>남이면</t>
        </is>
      </c>
      <c r="G1663" s="3" t="inlineStr">
        <is>
          <t>부용외천리</t>
        </is>
      </c>
      <c r="H1663" s="3" t="inlineStr">
        <is>
          <t>계획관리지역</t>
        </is>
      </c>
      <c r="I1663" s="3" t="inlineStr">
        <is>
          <t>임야</t>
        </is>
      </c>
      <c r="J1663" s="3" t="inlineStr">
        <is>
          <t>남이면</t>
        </is>
      </c>
    </row>
    <row r="1664">
      <c r="A1664" s="3" t="n">
        <v>2022</v>
      </c>
      <c r="B1664" s="4" t="n">
        <v>1700</v>
      </c>
      <c r="C1664" s="4" t="n">
        <v>578</v>
      </c>
      <c r="D1664" s="4" t="n">
        <v>174.845</v>
      </c>
      <c r="E1664" s="5" t="n">
        <v>9.699999999999999</v>
      </c>
      <c r="F1664" s="3" t="inlineStr">
        <is>
          <t>남이면</t>
        </is>
      </c>
      <c r="G1664" s="3" t="inlineStr">
        <is>
          <t>비룡리</t>
        </is>
      </c>
      <c r="H1664" s="3" t="inlineStr">
        <is>
          <t>계획관리지역</t>
        </is>
      </c>
      <c r="I1664" s="3" t="inlineStr">
        <is>
          <t>임야</t>
        </is>
      </c>
      <c r="J1664" s="3" t="inlineStr">
        <is>
          <t>남이면</t>
        </is>
      </c>
    </row>
    <row r="1665">
      <c r="A1665" s="3" t="n">
        <v>2022</v>
      </c>
      <c r="B1665" s="4" t="n">
        <v>75200</v>
      </c>
      <c r="C1665" s="4" t="n">
        <v>1553</v>
      </c>
      <c r="D1665" s="4" t="n">
        <v>469.7825</v>
      </c>
      <c r="E1665" s="5" t="n">
        <v>160.1</v>
      </c>
      <c r="F1665" s="3" t="inlineStr">
        <is>
          <t>남이면</t>
        </is>
      </c>
      <c r="G1665" s="3" t="inlineStr">
        <is>
          <t>가마리</t>
        </is>
      </c>
      <c r="H1665" s="3" t="inlineStr">
        <is>
          <t>자연녹지지역</t>
        </is>
      </c>
      <c r="I1665" s="3" t="inlineStr">
        <is>
          <t>전</t>
        </is>
      </c>
      <c r="J1665" s="3" t="inlineStr">
        <is>
          <t>남이면</t>
        </is>
      </c>
    </row>
    <row r="1666">
      <c r="A1666" s="3" t="n">
        <v>2022</v>
      </c>
      <c r="B1666" s="4" t="n">
        <v>3500</v>
      </c>
      <c r="C1666" s="4" t="n">
        <v>275</v>
      </c>
      <c r="D1666" s="4" t="n">
        <v>83.1875</v>
      </c>
      <c r="E1666" s="5" t="n">
        <v>42.1</v>
      </c>
      <c r="F1666" s="3" t="inlineStr">
        <is>
          <t>남이면</t>
        </is>
      </c>
      <c r="G1666" s="3" t="inlineStr">
        <is>
          <t>갈원리</t>
        </is>
      </c>
      <c r="H1666" s="3" t="inlineStr">
        <is>
          <t>자연녹지지역</t>
        </is>
      </c>
      <c r="I1666" s="3" t="inlineStr">
        <is>
          <t>전</t>
        </is>
      </c>
      <c r="J1666" s="3" t="inlineStr">
        <is>
          <t>남이면</t>
        </is>
      </c>
    </row>
    <row r="1667">
      <c r="A1667" s="3" t="n">
        <v>2022</v>
      </c>
      <c r="B1667" s="4" t="n">
        <v>8800</v>
      </c>
      <c r="C1667" s="4" t="n">
        <v>426</v>
      </c>
      <c r="D1667" s="4" t="n">
        <v>128.865</v>
      </c>
      <c r="E1667" s="5" t="n">
        <v>68.3</v>
      </c>
      <c r="F1667" s="3" t="inlineStr">
        <is>
          <t>남이면</t>
        </is>
      </c>
      <c r="G1667" s="3" t="inlineStr">
        <is>
          <t>부용외천리</t>
        </is>
      </c>
      <c r="H1667" s="3" t="inlineStr">
        <is>
          <t>계획관리지역</t>
        </is>
      </c>
      <c r="I1667" s="3" t="inlineStr">
        <is>
          <t>대</t>
        </is>
      </c>
      <c r="J1667" s="3" t="inlineStr">
        <is>
          <t>남이면</t>
        </is>
      </c>
    </row>
    <row r="1668">
      <c r="A1668" s="3" t="n">
        <v>2022</v>
      </c>
      <c r="B1668" s="4" t="n">
        <v>125</v>
      </c>
      <c r="C1668" s="4" t="n">
        <v>71</v>
      </c>
      <c r="D1668" s="4" t="n">
        <v>21.4775</v>
      </c>
      <c r="E1668" s="5" t="n">
        <v>5.8</v>
      </c>
      <c r="F1668" s="3" t="inlineStr">
        <is>
          <t>남이면</t>
        </is>
      </c>
      <c r="G1668" s="3" t="inlineStr">
        <is>
          <t>부용외천리</t>
        </is>
      </c>
      <c r="H1668" s="3" t="inlineStr">
        <is>
          <t>계획관리지역</t>
        </is>
      </c>
      <c r="I1668" s="3" t="inlineStr">
        <is>
          <t>임야</t>
        </is>
      </c>
      <c r="J1668" s="3" t="inlineStr">
        <is>
          <t>남이면</t>
        </is>
      </c>
    </row>
    <row r="1669">
      <c r="A1669" s="3" t="n">
        <v>2022</v>
      </c>
      <c r="B1669" s="4" t="n">
        <v>75</v>
      </c>
      <c r="C1669" s="4" t="n">
        <v>41</v>
      </c>
      <c r="D1669" s="4" t="n">
        <v>12.4025</v>
      </c>
      <c r="E1669" s="5" t="n">
        <v>6</v>
      </c>
      <c r="F1669" s="3" t="inlineStr">
        <is>
          <t>남이면</t>
        </is>
      </c>
      <c r="G1669" s="3" t="inlineStr">
        <is>
          <t>부용외천리</t>
        </is>
      </c>
      <c r="H1669" s="3" t="inlineStr">
        <is>
          <t>계획관리지역</t>
        </is>
      </c>
      <c r="I1669" s="3" t="inlineStr">
        <is>
          <t>임야</t>
        </is>
      </c>
      <c r="J1669" s="3" t="inlineStr">
        <is>
          <t>남이면</t>
        </is>
      </c>
    </row>
    <row r="1670">
      <c r="A1670" s="3" t="n">
        <v>2022</v>
      </c>
      <c r="B1670" s="4" t="n">
        <v>6000</v>
      </c>
      <c r="C1670" s="4" t="n">
        <v>991</v>
      </c>
      <c r="D1670" s="4" t="n">
        <v>299.7775</v>
      </c>
      <c r="E1670" s="5" t="n">
        <v>20</v>
      </c>
      <c r="F1670" s="3" t="inlineStr">
        <is>
          <t>남이면</t>
        </is>
      </c>
      <c r="G1670" s="3" t="inlineStr">
        <is>
          <t>갈원리</t>
        </is>
      </c>
      <c r="H1670" s="3" t="inlineStr">
        <is>
          <t>계획관리지역</t>
        </is>
      </c>
      <c r="I1670" s="3" t="inlineStr">
        <is>
          <t>임야</t>
        </is>
      </c>
      <c r="J1670" s="3" t="inlineStr">
        <is>
          <t>남이면</t>
        </is>
      </c>
    </row>
    <row r="1671">
      <c r="A1671" s="3" t="n">
        <v>2022</v>
      </c>
      <c r="B1671" s="4" t="n">
        <v>120700</v>
      </c>
      <c r="C1671" s="4" t="n">
        <v>4697</v>
      </c>
      <c r="D1671" s="4" t="n">
        <v>1420.8425</v>
      </c>
      <c r="E1671" s="5" t="n">
        <v>84.90000000000001</v>
      </c>
      <c r="F1671" s="3" t="inlineStr">
        <is>
          <t>남이면</t>
        </is>
      </c>
      <c r="G1671" s="3" t="inlineStr">
        <is>
          <t>수대리</t>
        </is>
      </c>
      <c r="H1671" s="3" t="inlineStr">
        <is>
          <t>자연녹지지역</t>
        </is>
      </c>
      <c r="I1671" s="3" t="inlineStr">
        <is>
          <t>답</t>
        </is>
      </c>
      <c r="J1671" s="3" t="inlineStr">
        <is>
          <t>남이면</t>
        </is>
      </c>
    </row>
    <row r="1672">
      <c r="A1672" s="3" t="n">
        <v>2022</v>
      </c>
      <c r="B1672" s="4" t="n">
        <v>9400</v>
      </c>
      <c r="C1672" s="4" t="n">
        <v>654</v>
      </c>
      <c r="D1672" s="4" t="n">
        <v>197.835</v>
      </c>
      <c r="E1672" s="5" t="n">
        <v>47.5</v>
      </c>
      <c r="F1672" s="3" t="inlineStr">
        <is>
          <t>남이면</t>
        </is>
      </c>
      <c r="G1672" s="3" t="inlineStr">
        <is>
          <t>외천리</t>
        </is>
      </c>
      <c r="H1672" s="3" t="inlineStr">
        <is>
          <t>계획관리지역</t>
        </is>
      </c>
      <c r="I1672" s="3" t="inlineStr">
        <is>
          <t>전</t>
        </is>
      </c>
      <c r="J1672" s="3" t="inlineStr">
        <is>
          <t>남이면</t>
        </is>
      </c>
    </row>
    <row r="1673">
      <c r="A1673" s="3" t="n">
        <v>2022</v>
      </c>
      <c r="B1673" s="4" t="n">
        <v>27220</v>
      </c>
      <c r="C1673" s="4" t="n">
        <v>857</v>
      </c>
      <c r="D1673" s="4" t="n">
        <v>259.2425</v>
      </c>
      <c r="E1673" s="5" t="n">
        <v>105</v>
      </c>
      <c r="F1673" s="3" t="inlineStr">
        <is>
          <t>남이면</t>
        </is>
      </c>
      <c r="G1673" s="3" t="inlineStr">
        <is>
          <t>양촌리</t>
        </is>
      </c>
      <c r="H1673" s="3" t="inlineStr">
        <is>
          <t>자연녹지지역</t>
        </is>
      </c>
      <c r="I1673" s="3" t="inlineStr">
        <is>
          <t>전</t>
        </is>
      </c>
      <c r="J1673" s="3" t="inlineStr">
        <is>
          <t>남이면</t>
        </is>
      </c>
    </row>
    <row r="1674">
      <c r="A1674" s="3" t="n">
        <v>2022</v>
      </c>
      <c r="B1674" s="4" t="n">
        <v>3030</v>
      </c>
      <c r="C1674" s="4" t="n">
        <v>106</v>
      </c>
      <c r="D1674" s="4" t="n">
        <v>32.065</v>
      </c>
      <c r="E1674" s="5" t="n">
        <v>94.5</v>
      </c>
      <c r="F1674" s="3" t="inlineStr">
        <is>
          <t>남이면</t>
        </is>
      </c>
      <c r="G1674" s="3" t="inlineStr">
        <is>
          <t>부용외천리</t>
        </is>
      </c>
      <c r="H1674" s="3" t="inlineStr">
        <is>
          <t>계획관리지역</t>
        </is>
      </c>
      <c r="I1674" s="3" t="inlineStr">
        <is>
          <t>대</t>
        </is>
      </c>
      <c r="J1674" s="3" t="inlineStr">
        <is>
          <t>남이면</t>
        </is>
      </c>
    </row>
    <row r="1675">
      <c r="A1675" s="3" t="n">
        <v>2022</v>
      </c>
      <c r="B1675" s="4" t="n">
        <v>17464</v>
      </c>
      <c r="C1675" s="4" t="n">
        <v>455</v>
      </c>
      <c r="D1675" s="4" t="n">
        <v>137.6375</v>
      </c>
      <c r="E1675" s="5" t="n">
        <v>126.9</v>
      </c>
      <c r="F1675" s="3" t="inlineStr">
        <is>
          <t>부강면</t>
        </is>
      </c>
      <c r="G1675" s="3" t="inlineStr">
        <is>
          <t>금호리</t>
        </is>
      </c>
      <c r="H1675" s="3" t="inlineStr">
        <is>
          <t>생산관리지역</t>
        </is>
      </c>
      <c r="I1675" s="3" t="inlineStr">
        <is>
          <t>답</t>
        </is>
      </c>
      <c r="J1675" s="3" t="inlineStr">
        <is>
          <t>부강면</t>
        </is>
      </c>
    </row>
    <row r="1676">
      <c r="A1676" s="3" t="n">
        <v>2022</v>
      </c>
      <c r="B1676" s="4" t="n">
        <v>24200</v>
      </c>
      <c r="C1676" s="4" t="n">
        <v>801</v>
      </c>
      <c r="D1676" s="4" t="n">
        <v>242.3025</v>
      </c>
      <c r="E1676" s="5" t="n">
        <v>99.90000000000001</v>
      </c>
      <c r="F1676" s="3" t="inlineStr">
        <is>
          <t>연서면</t>
        </is>
      </c>
      <c r="G1676" s="3" t="inlineStr">
        <is>
          <t>쌍류리</t>
        </is>
      </c>
      <c r="H1676" s="3" t="inlineStr">
        <is>
          <t>생산관리지역</t>
        </is>
      </c>
      <c r="I1676" s="3" t="inlineStr">
        <is>
          <t>답</t>
        </is>
      </c>
      <c r="J1676" s="3" t="inlineStr">
        <is>
          <t>연서면</t>
        </is>
      </c>
    </row>
    <row r="1677">
      <c r="A1677" s="3" t="n">
        <v>2022</v>
      </c>
      <c r="B1677" s="4" t="n">
        <v>50880</v>
      </c>
      <c r="C1677" s="4" t="n">
        <v>1051</v>
      </c>
      <c r="D1677" s="4" t="n">
        <v>317.9275</v>
      </c>
      <c r="E1677" s="5" t="n">
        <v>160</v>
      </c>
      <c r="F1677" s="3" t="inlineStr">
        <is>
          <t>연서면</t>
        </is>
      </c>
      <c r="G1677" s="3" t="inlineStr">
        <is>
          <t>쌍전리</t>
        </is>
      </c>
      <c r="H1677" s="3" t="inlineStr">
        <is>
          <t>자연녹지지역</t>
        </is>
      </c>
      <c r="I1677" s="3" t="inlineStr">
        <is>
          <t>과수원</t>
        </is>
      </c>
      <c r="J1677" s="3" t="inlineStr">
        <is>
          <t>연서면</t>
        </is>
      </c>
    </row>
    <row r="1678">
      <c r="A1678" s="3" t="n">
        <v>2022</v>
      </c>
      <c r="B1678" s="4" t="n">
        <v>15000</v>
      </c>
      <c r="C1678" s="4" t="n">
        <v>6612</v>
      </c>
      <c r="D1678" s="4" t="n">
        <v>2000.13</v>
      </c>
      <c r="E1678" s="5" t="n">
        <v>7.5</v>
      </c>
      <c r="F1678" s="3" t="inlineStr">
        <is>
          <t>연서면</t>
        </is>
      </c>
      <c r="G1678" s="3" t="inlineStr">
        <is>
          <t>쌍류리</t>
        </is>
      </c>
      <c r="H1678" s="3" t="inlineStr">
        <is>
          <t>농림지역</t>
        </is>
      </c>
      <c r="I1678" s="3" t="inlineStr">
        <is>
          <t>임야</t>
        </is>
      </c>
      <c r="J1678" s="3" t="inlineStr">
        <is>
          <t>연서면</t>
        </is>
      </c>
    </row>
    <row r="1679">
      <c r="A1679" s="3" t="n">
        <v>2022</v>
      </c>
      <c r="B1679" s="4" t="n">
        <v>21250</v>
      </c>
      <c r="C1679" s="4" t="n">
        <v>8265</v>
      </c>
      <c r="D1679" s="4" t="n">
        <v>2500.1625</v>
      </c>
      <c r="E1679" s="5" t="n">
        <v>8.5</v>
      </c>
      <c r="F1679" s="3" t="inlineStr">
        <is>
          <t>연서면</t>
        </is>
      </c>
      <c r="G1679" s="3" t="inlineStr">
        <is>
          <t>쌍류리</t>
        </is>
      </c>
      <c r="H1679" s="3" t="inlineStr">
        <is>
          <t>농림지역</t>
        </is>
      </c>
      <c r="I1679" s="3" t="inlineStr">
        <is>
          <t>임야</t>
        </is>
      </c>
      <c r="J1679" s="3" t="inlineStr">
        <is>
          <t>연서면</t>
        </is>
      </c>
    </row>
    <row r="1680">
      <c r="A1680" s="3" t="n">
        <v>2022</v>
      </c>
      <c r="B1680" s="4" t="n">
        <v>32200</v>
      </c>
      <c r="C1680" s="4" t="n">
        <v>1745</v>
      </c>
      <c r="D1680" s="4" t="n">
        <v>527.8625</v>
      </c>
      <c r="E1680" s="5" t="n">
        <v>61</v>
      </c>
      <c r="F1680" s="3" t="inlineStr">
        <is>
          <t>부강면</t>
        </is>
      </c>
      <c r="G1680" s="3" t="inlineStr">
        <is>
          <t>금호리</t>
        </is>
      </c>
      <c r="H1680" s="3" t="inlineStr">
        <is>
          <t>계획관리지역</t>
        </is>
      </c>
      <c r="I1680" s="3" t="inlineStr">
        <is>
          <t>전</t>
        </is>
      </c>
      <c r="J1680" s="3" t="inlineStr">
        <is>
          <t>부강면</t>
        </is>
      </c>
    </row>
    <row r="1681">
      <c r="A1681" s="3" t="n">
        <v>2022</v>
      </c>
      <c r="B1681" s="4" t="n">
        <v>15800</v>
      </c>
      <c r="C1681" s="4" t="n">
        <v>856</v>
      </c>
      <c r="D1681" s="4" t="n">
        <v>258.94</v>
      </c>
      <c r="E1681" s="5" t="n">
        <v>61</v>
      </c>
      <c r="F1681" s="3" t="inlineStr">
        <is>
          <t>부강면</t>
        </is>
      </c>
      <c r="G1681" s="3" t="inlineStr">
        <is>
          <t>금호리</t>
        </is>
      </c>
      <c r="H1681" s="3" t="inlineStr">
        <is>
          <t>계획관리지역</t>
        </is>
      </c>
      <c r="I1681" s="3" t="inlineStr">
        <is>
          <t>전</t>
        </is>
      </c>
      <c r="J1681" s="3" t="inlineStr">
        <is>
          <t>부강면</t>
        </is>
      </c>
    </row>
    <row r="1682">
      <c r="A1682" s="3" t="n">
        <v>2022</v>
      </c>
      <c r="B1682" s="4" t="n">
        <v>54800</v>
      </c>
      <c r="C1682" s="4" t="n">
        <v>3554</v>
      </c>
      <c r="D1682" s="4" t="n">
        <v>1075.085</v>
      </c>
      <c r="E1682" s="5" t="n">
        <v>51</v>
      </c>
      <c r="F1682" s="3" t="inlineStr">
        <is>
          <t>남이면</t>
        </is>
      </c>
      <c r="G1682" s="3" t="inlineStr">
        <is>
          <t>상발리</t>
        </is>
      </c>
      <c r="H1682" s="3" t="inlineStr">
        <is>
          <t>자연녹지지역</t>
        </is>
      </c>
      <c r="I1682" s="3" t="inlineStr">
        <is>
          <t>답</t>
        </is>
      </c>
      <c r="J1682" s="3" t="inlineStr">
        <is>
          <t>남이면</t>
        </is>
      </c>
    </row>
    <row r="1683">
      <c r="A1683" s="3" t="n">
        <v>2022</v>
      </c>
      <c r="B1683" s="4" t="n">
        <v>17500</v>
      </c>
      <c r="C1683" s="4" t="n">
        <v>1736</v>
      </c>
      <c r="D1683" s="4" t="n">
        <v>525.14</v>
      </c>
      <c r="E1683" s="5" t="n">
        <v>33.3</v>
      </c>
      <c r="F1683" s="3" t="inlineStr">
        <is>
          <t>남이면</t>
        </is>
      </c>
      <c r="G1683" s="3" t="inlineStr">
        <is>
          <t>수대리</t>
        </is>
      </c>
      <c r="H1683" s="3" t="inlineStr">
        <is>
          <t>자연녹지지역</t>
        </is>
      </c>
      <c r="I1683" s="3" t="inlineStr">
        <is>
          <t>답</t>
        </is>
      </c>
      <c r="J1683" s="3" t="inlineStr">
        <is>
          <t>남이면</t>
        </is>
      </c>
    </row>
    <row r="1684">
      <c r="A1684" s="3" t="n">
        <v>2022</v>
      </c>
      <c r="B1684" s="4" t="n">
        <v>2300</v>
      </c>
      <c r="C1684" s="4" t="n">
        <v>128</v>
      </c>
      <c r="D1684" s="4" t="n">
        <v>38.72</v>
      </c>
      <c r="E1684" s="5" t="n">
        <v>59.4</v>
      </c>
      <c r="F1684" s="3" t="inlineStr">
        <is>
          <t>남이면</t>
        </is>
      </c>
      <c r="G1684" s="3" t="inlineStr">
        <is>
          <t>부용외천리</t>
        </is>
      </c>
      <c r="H1684" s="3" t="inlineStr">
        <is>
          <t>생산관리지역</t>
        </is>
      </c>
      <c r="I1684" s="3" t="inlineStr">
        <is>
          <t>전</t>
        </is>
      </c>
      <c r="J1684" s="3" t="inlineStr">
        <is>
          <t>남이면</t>
        </is>
      </c>
    </row>
    <row r="1685">
      <c r="A1685" s="3" t="n">
        <v>2022</v>
      </c>
      <c r="B1685" s="4" t="n">
        <v>15200</v>
      </c>
      <c r="C1685" s="4" t="n">
        <v>541</v>
      </c>
      <c r="D1685" s="4" t="n">
        <v>163.6525</v>
      </c>
      <c r="E1685" s="5" t="n">
        <v>92.90000000000001</v>
      </c>
      <c r="F1685" s="3" t="inlineStr">
        <is>
          <t>남이면</t>
        </is>
      </c>
      <c r="G1685" s="3" t="inlineStr">
        <is>
          <t>가좌리</t>
        </is>
      </c>
      <c r="H1685" s="3" t="inlineStr">
        <is>
          <t>자연녹지지역</t>
        </is>
      </c>
      <c r="I1685" s="3" t="inlineStr">
        <is>
          <t>답</t>
        </is>
      </c>
      <c r="J1685" s="3" t="inlineStr">
        <is>
          <t>남이면</t>
        </is>
      </c>
    </row>
    <row r="1686">
      <c r="A1686" s="3" t="n">
        <v>2022</v>
      </c>
      <c r="B1686" s="4" t="n">
        <v>35825</v>
      </c>
      <c r="C1686" s="4" t="n">
        <v>3552</v>
      </c>
      <c r="D1686" s="4" t="n">
        <v>1074.48</v>
      </c>
      <c r="E1686" s="5" t="n">
        <v>33.3</v>
      </c>
      <c r="F1686" s="3" t="inlineStr">
        <is>
          <t>남이면</t>
        </is>
      </c>
      <c r="G1686" s="3" t="inlineStr">
        <is>
          <t>척산리</t>
        </is>
      </c>
      <c r="H1686" s="3" t="inlineStr">
        <is>
          <t>계획관리지역</t>
        </is>
      </c>
      <c r="I1686" s="3" t="inlineStr">
        <is>
          <t>전</t>
        </is>
      </c>
      <c r="J1686" s="3" t="inlineStr">
        <is>
          <t>남이면</t>
        </is>
      </c>
    </row>
    <row r="1687">
      <c r="A1687" s="3" t="n">
        <v>2022</v>
      </c>
      <c r="B1687" s="4" t="n">
        <v>8900</v>
      </c>
      <c r="C1687" s="4" t="n">
        <v>368</v>
      </c>
      <c r="D1687" s="4" t="n">
        <v>111.32</v>
      </c>
      <c r="E1687" s="5" t="n">
        <v>79.90000000000001</v>
      </c>
      <c r="F1687" s="3" t="inlineStr">
        <is>
          <t>남이면</t>
        </is>
      </c>
      <c r="G1687" s="3" t="inlineStr">
        <is>
          <t>척산리</t>
        </is>
      </c>
      <c r="H1687" s="3" t="inlineStr">
        <is>
          <t>보전녹지지역</t>
        </is>
      </c>
      <c r="I1687" s="3" t="inlineStr">
        <is>
          <t>대</t>
        </is>
      </c>
      <c r="J1687" s="3" t="inlineStr">
        <is>
          <t>남이면</t>
        </is>
      </c>
    </row>
    <row r="1688">
      <c r="A1688" s="3" t="n">
        <v>2022</v>
      </c>
      <c r="B1688" s="4" t="n">
        <v>61</v>
      </c>
      <c r="C1688" s="4" t="n">
        <v>1</v>
      </c>
      <c r="D1688" s="4" t="n">
        <v>0.3025</v>
      </c>
      <c r="E1688" s="5" t="n">
        <v>201.7</v>
      </c>
      <c r="F1688" s="3" t="inlineStr">
        <is>
          <t>남이면</t>
        </is>
      </c>
      <c r="G1688" s="3" t="inlineStr">
        <is>
          <t>양촌리</t>
        </is>
      </c>
      <c r="H1688" s="3" t="inlineStr">
        <is>
          <t>보전녹지지역</t>
        </is>
      </c>
      <c r="I1688" s="3" t="inlineStr">
        <is>
          <t>임야</t>
        </is>
      </c>
      <c r="J1688" s="3" t="inlineStr">
        <is>
          <t>남이면</t>
        </is>
      </c>
    </row>
    <row r="1689">
      <c r="A1689" s="3" t="n">
        <v>2022</v>
      </c>
      <c r="B1689" s="4" t="n">
        <v>6460</v>
      </c>
      <c r="C1689" s="4" t="n">
        <v>224</v>
      </c>
      <c r="D1689" s="4" t="n">
        <v>67.75999999999999</v>
      </c>
      <c r="E1689" s="5" t="n">
        <v>95.3</v>
      </c>
      <c r="F1689" s="3" t="inlineStr">
        <is>
          <t>남이면</t>
        </is>
      </c>
      <c r="G1689" s="3" t="inlineStr">
        <is>
          <t>가좌리</t>
        </is>
      </c>
      <c r="H1689" s="3" t="inlineStr">
        <is>
          <t>자연녹지지역</t>
        </is>
      </c>
      <c r="I1689" s="3" t="inlineStr">
        <is>
          <t>임야</t>
        </is>
      </c>
      <c r="J1689" s="3" t="inlineStr">
        <is>
          <t>남이면</t>
        </is>
      </c>
    </row>
    <row r="1690">
      <c r="A1690" s="3" t="n">
        <v>2022</v>
      </c>
      <c r="B1690" s="4" t="n">
        <v>3840</v>
      </c>
      <c r="C1690" s="4" t="n">
        <v>133</v>
      </c>
      <c r="D1690" s="4" t="n">
        <v>40.2325</v>
      </c>
      <c r="E1690" s="5" t="n">
        <v>95.40000000000001</v>
      </c>
      <c r="F1690" s="3" t="inlineStr">
        <is>
          <t>남이면</t>
        </is>
      </c>
      <c r="G1690" s="3" t="inlineStr">
        <is>
          <t>가좌리</t>
        </is>
      </c>
      <c r="H1690" s="3" t="inlineStr">
        <is>
          <t>자연녹지지역</t>
        </is>
      </c>
      <c r="I1690" s="3" t="inlineStr">
        <is>
          <t>답</t>
        </is>
      </c>
      <c r="J1690" s="3" t="inlineStr">
        <is>
          <t>남이면</t>
        </is>
      </c>
    </row>
    <row r="1691">
      <c r="A1691" s="3" t="n">
        <v>2022</v>
      </c>
      <c r="B1691" s="4" t="n">
        <v>1100</v>
      </c>
      <c r="C1691" s="4" t="n">
        <v>41</v>
      </c>
      <c r="D1691" s="4" t="n">
        <v>12.4025</v>
      </c>
      <c r="E1691" s="5" t="n">
        <v>88.7</v>
      </c>
      <c r="F1691" s="3" t="inlineStr">
        <is>
          <t>남이면</t>
        </is>
      </c>
      <c r="G1691" s="3" t="inlineStr">
        <is>
          <t>가좌리</t>
        </is>
      </c>
      <c r="H1691" s="3" t="inlineStr">
        <is>
          <t>자연녹지지역</t>
        </is>
      </c>
      <c r="I1691" s="3" t="inlineStr">
        <is>
          <t>답</t>
        </is>
      </c>
      <c r="J1691" s="3" t="inlineStr">
        <is>
          <t>남이면</t>
        </is>
      </c>
    </row>
    <row r="1692">
      <c r="A1692" s="3" t="n">
        <v>2022</v>
      </c>
      <c r="B1692" s="4" t="n">
        <v>20250</v>
      </c>
      <c r="C1692" s="4" t="n">
        <v>535</v>
      </c>
      <c r="D1692" s="4" t="n">
        <v>161.8375</v>
      </c>
      <c r="E1692" s="5" t="n">
        <v>125.1</v>
      </c>
      <c r="F1692" s="3" t="inlineStr">
        <is>
          <t>남이면</t>
        </is>
      </c>
      <c r="G1692" s="3" t="inlineStr">
        <is>
          <t>양촌리</t>
        </is>
      </c>
      <c r="H1692" s="3" t="inlineStr">
        <is>
          <t>보전녹지지역</t>
        </is>
      </c>
      <c r="I1692" s="3" t="inlineStr">
        <is>
          <t>임야</t>
        </is>
      </c>
      <c r="J1692" s="3" t="inlineStr">
        <is>
          <t>남이면</t>
        </is>
      </c>
    </row>
    <row r="1693">
      <c r="A1693" s="3" t="n">
        <v>2022</v>
      </c>
      <c r="B1693" s="4" t="n">
        <v>10200</v>
      </c>
      <c r="C1693" s="4" t="n">
        <v>526.8</v>
      </c>
      <c r="D1693" s="4" t="n">
        <v>159.357</v>
      </c>
      <c r="E1693" s="5" t="n">
        <v>64</v>
      </c>
      <c r="F1693" s="3" t="inlineStr">
        <is>
          <t>남이면</t>
        </is>
      </c>
      <c r="G1693" s="3" t="inlineStr">
        <is>
          <t>가좌리</t>
        </is>
      </c>
      <c r="H1693" s="3" t="inlineStr">
        <is>
          <t>자연녹지지역</t>
        </is>
      </c>
      <c r="I1693" s="3" t="inlineStr">
        <is>
          <t>임야</t>
        </is>
      </c>
      <c r="J1693" s="3" t="inlineStr">
        <is>
          <t>남이면</t>
        </is>
      </c>
    </row>
    <row r="1694">
      <c r="A1694" s="3" t="n">
        <v>2022</v>
      </c>
      <c r="B1694" s="4" t="n">
        <v>2000</v>
      </c>
      <c r="C1694" s="4" t="n">
        <v>56</v>
      </c>
      <c r="D1694" s="4" t="n">
        <v>16.94</v>
      </c>
      <c r="E1694" s="5" t="n">
        <v>118.1</v>
      </c>
      <c r="F1694" s="3" t="inlineStr">
        <is>
          <t>남이면</t>
        </is>
      </c>
      <c r="G1694" s="3" t="inlineStr">
        <is>
          <t>척산리</t>
        </is>
      </c>
      <c r="H1694" s="3" t="inlineStr">
        <is>
          <t>계획관리지역</t>
        </is>
      </c>
      <c r="I1694" s="3" t="inlineStr">
        <is>
          <t>답</t>
        </is>
      </c>
      <c r="J1694" s="3" t="inlineStr">
        <is>
          <t>남이면</t>
        </is>
      </c>
    </row>
    <row r="1695">
      <c r="A1695" s="3" t="n">
        <v>2022</v>
      </c>
      <c r="B1695" s="4" t="n">
        <v>53800</v>
      </c>
      <c r="C1695" s="4" t="n">
        <v>8900</v>
      </c>
      <c r="D1695" s="4" t="n">
        <v>2692.25</v>
      </c>
      <c r="E1695" s="5" t="n">
        <v>20</v>
      </c>
      <c r="F1695" s="3" t="inlineStr">
        <is>
          <t>남이면</t>
        </is>
      </c>
      <c r="G1695" s="3" t="inlineStr">
        <is>
          <t>부용외천리</t>
        </is>
      </c>
      <c r="H1695" s="3" t="inlineStr">
        <is>
          <t>농림지역</t>
        </is>
      </c>
      <c r="I1695" s="3" t="inlineStr">
        <is>
          <t>임야</t>
        </is>
      </c>
      <c r="J1695" s="3" t="inlineStr">
        <is>
          <t>남이면</t>
        </is>
      </c>
    </row>
    <row r="1696">
      <c r="A1696" s="3" t="n">
        <v>2022</v>
      </c>
      <c r="B1696" s="4" t="n">
        <v>13100</v>
      </c>
      <c r="C1696" s="4" t="n">
        <v>413</v>
      </c>
      <c r="D1696" s="4" t="n">
        <v>124.9325</v>
      </c>
      <c r="E1696" s="5" t="n">
        <v>104.9</v>
      </c>
      <c r="F1696" s="3" t="inlineStr">
        <is>
          <t>남이면</t>
        </is>
      </c>
      <c r="G1696" s="3" t="inlineStr">
        <is>
          <t>척산리</t>
        </is>
      </c>
      <c r="H1696" s="3" t="inlineStr">
        <is>
          <t>자연녹지지역</t>
        </is>
      </c>
      <c r="I1696" s="3" t="inlineStr">
        <is>
          <t>공장용지</t>
        </is>
      </c>
      <c r="J1696" s="3" t="inlineStr">
        <is>
          <t>남이면</t>
        </is>
      </c>
    </row>
    <row r="1697">
      <c r="A1697" s="3" t="n">
        <v>2022</v>
      </c>
      <c r="B1697" s="4" t="n">
        <v>300</v>
      </c>
      <c r="C1697" s="4" t="n">
        <v>40</v>
      </c>
      <c r="D1697" s="4" t="n">
        <v>12.1</v>
      </c>
      <c r="E1697" s="5" t="n">
        <v>24.8</v>
      </c>
      <c r="F1697" s="3" t="inlineStr">
        <is>
          <t>남이면</t>
        </is>
      </c>
      <c r="G1697" s="3" t="inlineStr">
        <is>
          <t>척산리</t>
        </is>
      </c>
      <c r="H1697" s="3" t="inlineStr">
        <is>
          <t>자연녹지지역</t>
        </is>
      </c>
      <c r="I1697" s="3" t="inlineStr">
        <is>
          <t>도로</t>
        </is>
      </c>
      <c r="J1697" s="3" t="inlineStr">
        <is>
          <t>남이면</t>
        </is>
      </c>
    </row>
    <row r="1698">
      <c r="A1698" s="3" t="n">
        <v>2022</v>
      </c>
      <c r="B1698" s="4" t="n">
        <v>900</v>
      </c>
      <c r="C1698" s="4" t="n">
        <v>94</v>
      </c>
      <c r="D1698" s="4" t="n">
        <v>28.435</v>
      </c>
      <c r="E1698" s="5" t="n">
        <v>31.7</v>
      </c>
      <c r="F1698" s="3" t="inlineStr">
        <is>
          <t>남이면</t>
        </is>
      </c>
      <c r="G1698" s="3" t="inlineStr">
        <is>
          <t>척산리</t>
        </is>
      </c>
      <c r="H1698" s="3" t="inlineStr">
        <is>
          <t>자연녹지지역</t>
        </is>
      </c>
      <c r="I1698" s="3" t="inlineStr">
        <is>
          <t>공장용지</t>
        </is>
      </c>
      <c r="J1698" s="3" t="inlineStr">
        <is>
          <t>남이면</t>
        </is>
      </c>
    </row>
    <row r="1699">
      <c r="A1699" s="3" t="n">
        <v>2022</v>
      </c>
      <c r="B1699" s="4" t="n">
        <v>199559</v>
      </c>
      <c r="C1699" s="4" t="n">
        <v>2199</v>
      </c>
      <c r="D1699" s="4" t="n">
        <v>665.1975</v>
      </c>
      <c r="E1699" s="5" t="n">
        <v>300</v>
      </c>
      <c r="F1699" s="3" t="inlineStr">
        <is>
          <t>남이면</t>
        </is>
      </c>
      <c r="G1699" s="3" t="inlineStr">
        <is>
          <t>양촌리</t>
        </is>
      </c>
      <c r="H1699" s="3" t="inlineStr">
        <is>
          <t>자연녹지지역</t>
        </is>
      </c>
      <c r="I1699" s="3" t="inlineStr">
        <is>
          <t>답</t>
        </is>
      </c>
      <c r="J1699" s="3" t="inlineStr">
        <is>
          <t>남이면</t>
        </is>
      </c>
    </row>
    <row r="1700">
      <c r="A1700" s="3" t="n">
        <v>2022</v>
      </c>
      <c r="B1700" s="4" t="n">
        <v>8060</v>
      </c>
      <c r="C1700" s="4" t="n">
        <v>382</v>
      </c>
      <c r="D1700" s="4" t="n">
        <v>115.555</v>
      </c>
      <c r="E1700" s="5" t="n">
        <v>69.8</v>
      </c>
      <c r="F1700" s="3" t="inlineStr">
        <is>
          <t>남이면</t>
        </is>
      </c>
      <c r="G1700" s="3" t="inlineStr">
        <is>
          <t>수대리</t>
        </is>
      </c>
      <c r="H1700" s="3" t="inlineStr">
        <is>
          <t>자연녹지지역</t>
        </is>
      </c>
      <c r="I1700" s="3" t="inlineStr">
        <is>
          <t>전</t>
        </is>
      </c>
      <c r="J1700" s="3" t="inlineStr">
        <is>
          <t>남이면</t>
        </is>
      </c>
    </row>
    <row r="1701">
      <c r="A1701" s="3" t="n">
        <v>2022</v>
      </c>
      <c r="B1701" s="4" t="n">
        <v>38000</v>
      </c>
      <c r="C1701" s="4" t="n">
        <v>1795</v>
      </c>
      <c r="D1701" s="4" t="n">
        <v>542.9875</v>
      </c>
      <c r="E1701" s="5" t="n">
        <v>70</v>
      </c>
      <c r="F1701" s="3" t="inlineStr">
        <is>
          <t>남이면</t>
        </is>
      </c>
      <c r="G1701" s="3" t="inlineStr">
        <is>
          <t>수대리</t>
        </is>
      </c>
      <c r="H1701" s="3" t="inlineStr">
        <is>
          <t>보전녹지지역</t>
        </is>
      </c>
      <c r="I1701" s="3" t="inlineStr">
        <is>
          <t>전</t>
        </is>
      </c>
      <c r="J1701" s="3" t="inlineStr">
        <is>
          <t>남이면</t>
        </is>
      </c>
    </row>
    <row r="1702">
      <c r="A1702" s="3" t="n">
        <v>2022</v>
      </c>
      <c r="B1702" s="4" t="n">
        <v>20160</v>
      </c>
      <c r="C1702" s="4" t="n">
        <v>954</v>
      </c>
      <c r="D1702" s="4" t="n">
        <v>288.585</v>
      </c>
      <c r="E1702" s="5" t="n">
        <v>69.90000000000001</v>
      </c>
      <c r="F1702" s="3" t="inlineStr">
        <is>
          <t>남이면</t>
        </is>
      </c>
      <c r="G1702" s="3" t="inlineStr">
        <is>
          <t>수대리</t>
        </is>
      </c>
      <c r="H1702" s="3" t="inlineStr">
        <is>
          <t>자연녹지지역</t>
        </is>
      </c>
      <c r="I1702" s="3" t="inlineStr">
        <is>
          <t>전</t>
        </is>
      </c>
      <c r="J1702" s="3" t="inlineStr">
        <is>
          <t>남이면</t>
        </is>
      </c>
    </row>
    <row r="1703">
      <c r="A1703" s="3" t="n">
        <v>2022</v>
      </c>
      <c r="B1703" s="4" t="n">
        <v>800</v>
      </c>
      <c r="C1703" s="4" t="n">
        <v>67</v>
      </c>
      <c r="D1703" s="4" t="n">
        <v>20.2675</v>
      </c>
      <c r="E1703" s="5" t="n">
        <v>39.5</v>
      </c>
      <c r="F1703" s="3" t="inlineStr">
        <is>
          <t>남이면</t>
        </is>
      </c>
      <c r="G1703" s="3" t="inlineStr">
        <is>
          <t>구미리</t>
        </is>
      </c>
      <c r="H1703" s="3" t="inlineStr">
        <is>
          <t>계획관리지역</t>
        </is>
      </c>
      <c r="I1703" s="3" t="inlineStr">
        <is>
          <t>공장용지</t>
        </is>
      </c>
      <c r="J1703" s="3" t="inlineStr">
        <is>
          <t>남이면</t>
        </is>
      </c>
    </row>
    <row r="1704">
      <c r="A1704" s="3" t="n">
        <v>2022</v>
      </c>
      <c r="B1704" s="4" t="n">
        <v>900</v>
      </c>
      <c r="C1704" s="4" t="n">
        <v>27</v>
      </c>
      <c r="D1704" s="4" t="n">
        <v>8.1675</v>
      </c>
      <c r="E1704" s="5" t="n">
        <v>110.2</v>
      </c>
      <c r="F1704" s="3" t="inlineStr">
        <is>
          <t>남이면</t>
        </is>
      </c>
      <c r="G1704" s="3" t="inlineStr">
        <is>
          <t>가좌리</t>
        </is>
      </c>
      <c r="H1704" s="3" t="inlineStr">
        <is>
          <t>자연녹지지역</t>
        </is>
      </c>
      <c r="I1704" s="3" t="inlineStr">
        <is>
          <t>임야</t>
        </is>
      </c>
      <c r="J1704" s="3" t="inlineStr">
        <is>
          <t>남이면</t>
        </is>
      </c>
    </row>
    <row r="1705">
      <c r="A1705" s="3" t="n">
        <v>2022</v>
      </c>
      <c r="B1705" s="4" t="n">
        <v>49100</v>
      </c>
      <c r="C1705" s="4" t="n">
        <v>1626</v>
      </c>
      <c r="D1705" s="4" t="n">
        <v>491.865</v>
      </c>
      <c r="E1705" s="5" t="n">
        <v>99.8</v>
      </c>
      <c r="F1705" s="3" t="inlineStr">
        <is>
          <t>남이면</t>
        </is>
      </c>
      <c r="G1705" s="3" t="inlineStr">
        <is>
          <t>가좌리</t>
        </is>
      </c>
      <c r="H1705" s="3" t="inlineStr">
        <is>
          <t>자연녹지지역</t>
        </is>
      </c>
      <c r="I1705" s="3" t="inlineStr">
        <is>
          <t>임야</t>
        </is>
      </c>
      <c r="J1705" s="3" t="inlineStr">
        <is>
          <t>남이면</t>
        </is>
      </c>
    </row>
    <row r="1706">
      <c r="A1706" s="3" t="n">
        <v>2022</v>
      </c>
      <c r="B1706" s="4" t="n">
        <v>19421</v>
      </c>
      <c r="C1706" s="4" t="n">
        <v>1605</v>
      </c>
      <c r="D1706" s="4" t="n">
        <v>485.5125</v>
      </c>
      <c r="E1706" s="5" t="n">
        <v>40</v>
      </c>
      <c r="F1706" s="3" t="inlineStr">
        <is>
          <t>남이면</t>
        </is>
      </c>
      <c r="G1706" s="3" t="inlineStr">
        <is>
          <t>갈원리</t>
        </is>
      </c>
      <c r="H1706" s="3" t="inlineStr">
        <is>
          <t>농림지역</t>
        </is>
      </c>
      <c r="I1706" s="3" t="inlineStr">
        <is>
          <t>답</t>
        </is>
      </c>
      <c r="J1706" s="3" t="inlineStr">
        <is>
          <t>남이면</t>
        </is>
      </c>
    </row>
    <row r="1707">
      <c r="A1707" s="3" t="n">
        <v>2023</v>
      </c>
      <c r="B1707" s="4" t="n">
        <v>12095</v>
      </c>
      <c r="C1707" s="4" t="n">
        <v>319</v>
      </c>
      <c r="D1707" s="4" t="n">
        <v>96.4975</v>
      </c>
      <c r="E1707" s="5" t="n">
        <v>125.3</v>
      </c>
      <c r="F1707" s="3" t="inlineStr">
        <is>
          <t>오송읍</t>
        </is>
      </c>
      <c r="G1707" s="3" t="inlineStr">
        <is>
          <t>정중리</t>
        </is>
      </c>
      <c r="H1707" s="3" t="inlineStr">
        <is>
          <t>계획관리지역</t>
        </is>
      </c>
      <c r="I1707" s="3" t="inlineStr">
        <is>
          <t>도로</t>
        </is>
      </c>
      <c r="J1707" s="3" t="inlineStr">
        <is>
          <t>오송읍</t>
        </is>
      </c>
    </row>
    <row r="1708">
      <c r="A1708" s="3" t="n">
        <v>2026</v>
      </c>
      <c r="B1708" s="4" t="n">
        <v>940000</v>
      </c>
      <c r="C1708" s="4" t="n">
        <v>33991.9</v>
      </c>
      <c r="D1708" s="4" t="n">
        <v>10282.54975</v>
      </c>
      <c r="E1708" s="5" t="n">
        <v>91.40000000000001</v>
      </c>
      <c r="F1708" s="3" t="inlineStr">
        <is>
          <t>오송읍</t>
        </is>
      </c>
      <c r="G1708" s="3" t="inlineStr">
        <is>
          <t>정중리</t>
        </is>
      </c>
      <c r="H1708" s="3" t="inlineStr">
        <is>
          <t>일반공업지역</t>
        </is>
      </c>
      <c r="I1708" s="3" t="inlineStr">
        <is>
          <t>공장용지</t>
        </is>
      </c>
      <c r="J1708" s="3" t="inlineStr">
        <is>
          <t>오송읍</t>
        </is>
      </c>
    </row>
    <row r="1709">
      <c r="A1709" s="3" t="n">
        <v>2023</v>
      </c>
      <c r="B1709" s="4" t="n">
        <v>68000</v>
      </c>
      <c r="C1709" s="4" t="n">
        <v>370.5</v>
      </c>
      <c r="D1709" s="4" t="n">
        <v>112.07625</v>
      </c>
      <c r="E1709" s="5" t="n">
        <v>606.7</v>
      </c>
      <c r="F1709" s="3" t="inlineStr">
        <is>
          <t>반곡동</t>
        </is>
      </c>
      <c r="G1709" s="3" t="inlineStr"/>
      <c r="H1709" s="3" t="inlineStr">
        <is>
          <t>제1종전용주거지역</t>
        </is>
      </c>
      <c r="I1709" s="3" t="inlineStr">
        <is>
          <t>대</t>
        </is>
      </c>
      <c r="J1709" s="3" t="inlineStr">
        <is>
          <t>반곡동</t>
        </is>
      </c>
    </row>
    <row r="1710">
      <c r="A1710" s="3" t="n">
        <v>2023</v>
      </c>
      <c r="B1710" s="4" t="n">
        <v>11076</v>
      </c>
      <c r="C1710" s="4" t="n">
        <v>410</v>
      </c>
      <c r="D1710" s="4" t="n">
        <v>124.025</v>
      </c>
      <c r="E1710" s="5" t="n">
        <v>89.3</v>
      </c>
      <c r="F1710" s="3" t="inlineStr">
        <is>
          <t>연서면</t>
        </is>
      </c>
      <c r="G1710" s="3" t="inlineStr">
        <is>
          <t>성제리</t>
        </is>
      </c>
      <c r="H1710" s="3" t="inlineStr">
        <is>
          <t>자연녹지지역</t>
        </is>
      </c>
      <c r="I1710" s="3" t="inlineStr">
        <is>
          <t>전</t>
        </is>
      </c>
      <c r="J1710" s="3" t="inlineStr">
        <is>
          <t>연서면</t>
        </is>
      </c>
    </row>
    <row r="1711">
      <c r="A1711" s="3" t="n">
        <v>2023</v>
      </c>
      <c r="B1711" s="4" t="n">
        <v>16534</v>
      </c>
      <c r="C1711" s="4" t="n">
        <v>612</v>
      </c>
      <c r="D1711" s="4" t="n">
        <v>185.13</v>
      </c>
      <c r="E1711" s="5" t="n">
        <v>89.3</v>
      </c>
      <c r="F1711" s="3" t="inlineStr">
        <is>
          <t>연서면</t>
        </is>
      </c>
      <c r="G1711" s="3" t="inlineStr">
        <is>
          <t>성제리</t>
        </is>
      </c>
      <c r="H1711" s="3" t="inlineStr">
        <is>
          <t>자연녹지지역</t>
        </is>
      </c>
      <c r="I1711" s="3" t="inlineStr">
        <is>
          <t>전</t>
        </is>
      </c>
      <c r="J1711" s="3" t="inlineStr">
        <is>
          <t>연서면</t>
        </is>
      </c>
    </row>
    <row r="1712">
      <c r="A1712" s="3" t="n">
        <v>2023</v>
      </c>
      <c r="B1712" s="4" t="n">
        <v>29744</v>
      </c>
      <c r="C1712" s="4" t="n">
        <v>1101</v>
      </c>
      <c r="D1712" s="4" t="n">
        <v>333.0525</v>
      </c>
      <c r="E1712" s="5" t="n">
        <v>89.3</v>
      </c>
      <c r="F1712" s="3" t="inlineStr">
        <is>
          <t>연서면</t>
        </is>
      </c>
      <c r="G1712" s="3" t="inlineStr">
        <is>
          <t>성제리</t>
        </is>
      </c>
      <c r="H1712" s="3" t="inlineStr">
        <is>
          <t>자연녹지지역</t>
        </is>
      </c>
      <c r="I1712" s="3" t="inlineStr">
        <is>
          <t>전</t>
        </is>
      </c>
      <c r="J1712" s="3" t="inlineStr">
        <is>
          <t>연서면</t>
        </is>
      </c>
    </row>
    <row r="1713">
      <c r="A1713" s="3" t="n">
        <v>2023</v>
      </c>
      <c r="B1713" s="4" t="n">
        <v>8487</v>
      </c>
      <c r="C1713" s="4" t="n">
        <v>314</v>
      </c>
      <c r="D1713" s="4" t="n">
        <v>94.985</v>
      </c>
      <c r="E1713" s="5" t="n">
        <v>89.40000000000001</v>
      </c>
      <c r="F1713" s="3" t="inlineStr">
        <is>
          <t>연서면</t>
        </is>
      </c>
      <c r="G1713" s="3" t="inlineStr">
        <is>
          <t>성제리</t>
        </is>
      </c>
      <c r="H1713" s="3" t="inlineStr">
        <is>
          <t>자연녹지지역</t>
        </is>
      </c>
      <c r="I1713" s="3" t="inlineStr">
        <is>
          <t>전</t>
        </is>
      </c>
      <c r="J1713" s="3" t="inlineStr">
        <is>
          <t>연서면</t>
        </is>
      </c>
    </row>
    <row r="1714">
      <c r="A1714" s="3" t="n">
        <v>2023</v>
      </c>
      <c r="B1714" s="4" t="n">
        <v>99845</v>
      </c>
      <c r="C1714" s="4" t="n">
        <v>3669</v>
      </c>
      <c r="D1714" s="4" t="n">
        <v>1109.8725</v>
      </c>
      <c r="E1714" s="5" t="n">
        <v>90</v>
      </c>
      <c r="F1714" s="3" t="inlineStr">
        <is>
          <t>연서면</t>
        </is>
      </c>
      <c r="G1714" s="3" t="inlineStr">
        <is>
          <t>성제리</t>
        </is>
      </c>
      <c r="H1714" s="3" t="inlineStr">
        <is>
          <t>자연녹지지역</t>
        </is>
      </c>
      <c r="I1714" s="3" t="inlineStr">
        <is>
          <t>임야</t>
        </is>
      </c>
      <c r="J1714" s="3" t="inlineStr">
        <is>
          <t>연서면</t>
        </is>
      </c>
    </row>
    <row r="1715">
      <c r="A1715" s="3" t="n">
        <v>2023</v>
      </c>
      <c r="B1715" s="4" t="n">
        <v>56685</v>
      </c>
      <c r="C1715" s="4" t="n">
        <v>2083</v>
      </c>
      <c r="D1715" s="4" t="n">
        <v>630.1075</v>
      </c>
      <c r="E1715" s="5" t="n">
        <v>90</v>
      </c>
      <c r="F1715" s="3" t="inlineStr">
        <is>
          <t>연서면</t>
        </is>
      </c>
      <c r="G1715" s="3" t="inlineStr">
        <is>
          <t>성제리</t>
        </is>
      </c>
      <c r="H1715" s="3" t="inlineStr">
        <is>
          <t>자연녹지지역</t>
        </is>
      </c>
      <c r="I1715" s="3" t="inlineStr">
        <is>
          <t>임야</t>
        </is>
      </c>
      <c r="J1715" s="3" t="inlineStr">
        <is>
          <t>연서면</t>
        </is>
      </c>
    </row>
    <row r="1716">
      <c r="A1716" s="3" t="n">
        <v>2023</v>
      </c>
      <c r="B1716" s="4" t="n">
        <v>33463</v>
      </c>
      <c r="C1716" s="4" t="n">
        <v>1230</v>
      </c>
      <c r="D1716" s="4" t="n">
        <v>372.075</v>
      </c>
      <c r="E1716" s="5" t="n">
        <v>89.90000000000001</v>
      </c>
      <c r="F1716" s="3" t="inlineStr">
        <is>
          <t>연서면</t>
        </is>
      </c>
      <c r="G1716" s="3" t="inlineStr">
        <is>
          <t>성제리</t>
        </is>
      </c>
      <c r="H1716" s="3" t="inlineStr">
        <is>
          <t>자연녹지지역</t>
        </is>
      </c>
      <c r="I1716" s="3" t="inlineStr">
        <is>
          <t>전</t>
        </is>
      </c>
      <c r="J1716" s="3" t="inlineStr">
        <is>
          <t>연서면</t>
        </is>
      </c>
    </row>
    <row r="1717">
      <c r="A1717" s="3" t="n">
        <v>2023</v>
      </c>
      <c r="B1717" s="4" t="n">
        <v>34007</v>
      </c>
      <c r="C1717" s="4" t="n">
        <v>1250</v>
      </c>
      <c r="D1717" s="4" t="n">
        <v>378.125</v>
      </c>
      <c r="E1717" s="5" t="n">
        <v>89.90000000000001</v>
      </c>
      <c r="F1717" s="3" t="inlineStr">
        <is>
          <t>연서면</t>
        </is>
      </c>
      <c r="G1717" s="3" t="inlineStr">
        <is>
          <t>성제리</t>
        </is>
      </c>
      <c r="H1717" s="3" t="inlineStr">
        <is>
          <t>자연녹지지역</t>
        </is>
      </c>
      <c r="I1717" s="3" t="inlineStr">
        <is>
          <t>전</t>
        </is>
      </c>
      <c r="J1717" s="3" t="inlineStr">
        <is>
          <t>연서면</t>
        </is>
      </c>
    </row>
    <row r="1718">
      <c r="A1718" s="3" t="n">
        <v>2023</v>
      </c>
      <c r="B1718" s="4" t="n">
        <v>68000</v>
      </c>
      <c r="C1718" s="4" t="n">
        <v>370.5</v>
      </c>
      <c r="D1718" s="4" t="n">
        <v>112.07625</v>
      </c>
      <c r="E1718" s="5" t="n">
        <v>606.7</v>
      </c>
      <c r="F1718" s="3" t="inlineStr">
        <is>
          <t>반곡동</t>
        </is>
      </c>
      <c r="G1718" s="3" t="inlineStr"/>
      <c r="H1718" s="3" t="inlineStr">
        <is>
          <t>제1종전용주거지역</t>
        </is>
      </c>
      <c r="I1718" s="3" t="inlineStr">
        <is>
          <t>대</t>
        </is>
      </c>
      <c r="J1718" s="3" t="inlineStr">
        <is>
          <t>반곡동</t>
        </is>
      </c>
    </row>
    <row r="1719">
      <c r="A1719" s="3" t="n">
        <v>2026</v>
      </c>
      <c r="B1719" s="4" t="n">
        <v>14000</v>
      </c>
      <c r="C1719" s="4" t="n">
        <v>1076</v>
      </c>
      <c r="D1719" s="4" t="n">
        <v>325.49</v>
      </c>
      <c r="E1719" s="5" t="n">
        <v>43</v>
      </c>
      <c r="F1719" s="3" t="inlineStr">
        <is>
          <t>남이면</t>
        </is>
      </c>
      <c r="G1719" s="3" t="inlineStr">
        <is>
          <t>팔봉리</t>
        </is>
      </c>
      <c r="H1719" s="3" t="inlineStr">
        <is>
          <t>보전관리지역</t>
        </is>
      </c>
      <c r="I1719" s="3" t="inlineStr">
        <is>
          <t>임야</t>
        </is>
      </c>
      <c r="J1719" s="3" t="inlineStr">
        <is>
          <t>남이면</t>
        </is>
      </c>
    </row>
    <row r="1720">
      <c r="A1720" s="3" t="n">
        <v>2026</v>
      </c>
      <c r="B1720" s="4" t="n">
        <v>9500</v>
      </c>
      <c r="C1720" s="4" t="n">
        <v>330</v>
      </c>
      <c r="D1720" s="4" t="n">
        <v>99.825</v>
      </c>
      <c r="E1720" s="5" t="n">
        <v>95.2</v>
      </c>
      <c r="F1720" s="3" t="inlineStr">
        <is>
          <t>남이면</t>
        </is>
      </c>
      <c r="G1720" s="3" t="inlineStr">
        <is>
          <t>척산리</t>
        </is>
      </c>
      <c r="H1720" s="3" t="inlineStr">
        <is>
          <t>계획관리지역</t>
        </is>
      </c>
      <c r="I1720" s="3" t="inlineStr">
        <is>
          <t>답</t>
        </is>
      </c>
      <c r="J1720" s="3" t="inlineStr">
        <is>
          <t>남이면</t>
        </is>
      </c>
    </row>
    <row r="1721">
      <c r="A1721" s="3" t="n">
        <v>2026</v>
      </c>
      <c r="B1721" s="4" t="n">
        <v>3000</v>
      </c>
      <c r="C1721" s="4" t="n">
        <v>1200</v>
      </c>
      <c r="D1721" s="4" t="n">
        <v>363</v>
      </c>
      <c r="E1721" s="5" t="n">
        <v>8.300000000000001</v>
      </c>
      <c r="F1721" s="3" t="inlineStr">
        <is>
          <t>남이면</t>
        </is>
      </c>
      <c r="G1721" s="3" t="inlineStr">
        <is>
          <t>비룡리</t>
        </is>
      </c>
      <c r="H1721" s="3" t="inlineStr">
        <is>
          <t>보전관리지역</t>
        </is>
      </c>
      <c r="I1721" s="3" t="inlineStr">
        <is>
          <t>임야</t>
        </is>
      </c>
      <c r="J1721" s="3" t="inlineStr">
        <is>
          <t>남이면</t>
        </is>
      </c>
    </row>
    <row r="1722">
      <c r="A1722" s="3" t="n">
        <v>2026</v>
      </c>
      <c r="B1722" s="4" t="n">
        <v>15000</v>
      </c>
      <c r="C1722" s="4" t="n">
        <v>968.1</v>
      </c>
      <c r="D1722" s="4" t="n">
        <v>292.85025</v>
      </c>
      <c r="E1722" s="5" t="n">
        <v>51.2</v>
      </c>
      <c r="F1722" s="3" t="inlineStr">
        <is>
          <t>남이면</t>
        </is>
      </c>
      <c r="G1722" s="3" t="inlineStr">
        <is>
          <t>대련리</t>
        </is>
      </c>
      <c r="H1722" s="3" t="inlineStr">
        <is>
          <t>자연녹지지역</t>
        </is>
      </c>
      <c r="I1722" s="3" t="inlineStr">
        <is>
          <t>답</t>
        </is>
      </c>
      <c r="J1722" s="3" t="inlineStr">
        <is>
          <t>남이면</t>
        </is>
      </c>
    </row>
    <row r="1723">
      <c r="A1723" s="3" t="n">
        <v>2026</v>
      </c>
      <c r="B1723" s="4" t="n">
        <v>25000</v>
      </c>
      <c r="C1723" s="4" t="n">
        <v>363</v>
      </c>
      <c r="D1723" s="4" t="n">
        <v>109.8075</v>
      </c>
      <c r="E1723" s="5" t="n">
        <v>227.7</v>
      </c>
      <c r="F1723" s="3" t="inlineStr">
        <is>
          <t>남이면</t>
        </is>
      </c>
      <c r="G1723" s="3" t="inlineStr">
        <is>
          <t>석판리</t>
        </is>
      </c>
      <c r="H1723" s="3" t="inlineStr">
        <is>
          <t>자연녹지지역</t>
        </is>
      </c>
      <c r="I1723" s="3" t="inlineStr">
        <is>
          <t>대</t>
        </is>
      </c>
      <c r="J1723" s="3" t="inlineStr">
        <is>
          <t>남이면</t>
        </is>
      </c>
    </row>
    <row r="1724">
      <c r="A1724" s="3" t="n">
        <v>2026</v>
      </c>
      <c r="B1724" s="4" t="n">
        <v>20490</v>
      </c>
      <c r="C1724" s="4" t="n">
        <v>431</v>
      </c>
      <c r="D1724" s="4" t="n">
        <v>130.3775</v>
      </c>
      <c r="E1724" s="5" t="n">
        <v>157.2</v>
      </c>
      <c r="F1724" s="3" t="inlineStr">
        <is>
          <t>남이면</t>
        </is>
      </c>
      <c r="G1724" s="3" t="inlineStr">
        <is>
          <t>양촌리</t>
        </is>
      </c>
      <c r="H1724" s="3" t="inlineStr">
        <is>
          <t>자연녹지지역</t>
        </is>
      </c>
      <c r="I1724" s="3" t="inlineStr">
        <is>
          <t>전</t>
        </is>
      </c>
      <c r="J1724" s="3" t="inlineStr">
        <is>
          <t>남이면</t>
        </is>
      </c>
    </row>
    <row r="1725">
      <c r="A1725" s="3" t="n">
        <v>2026</v>
      </c>
      <c r="B1725" s="4" t="n">
        <v>24010</v>
      </c>
      <c r="C1725" s="4" t="n">
        <v>505</v>
      </c>
      <c r="D1725" s="4" t="n">
        <v>152.7625</v>
      </c>
      <c r="E1725" s="5" t="n">
        <v>157.2</v>
      </c>
      <c r="F1725" s="3" t="inlineStr">
        <is>
          <t>남이면</t>
        </is>
      </c>
      <c r="G1725" s="3" t="inlineStr">
        <is>
          <t>양촌리</t>
        </is>
      </c>
      <c r="H1725" s="3" t="inlineStr">
        <is>
          <t>자연녹지지역</t>
        </is>
      </c>
      <c r="I1725" s="3" t="inlineStr">
        <is>
          <t>전</t>
        </is>
      </c>
      <c r="J1725" s="3" t="inlineStr">
        <is>
          <t>남이면</t>
        </is>
      </c>
    </row>
    <row r="1726">
      <c r="A1726" s="3" t="n">
        <v>2026</v>
      </c>
      <c r="B1726" s="4" t="n">
        <v>17870</v>
      </c>
      <c r="C1726" s="4" t="n">
        <v>591</v>
      </c>
      <c r="D1726" s="4" t="n">
        <v>178.7775</v>
      </c>
      <c r="E1726" s="5" t="n">
        <v>100</v>
      </c>
      <c r="F1726" s="3" t="inlineStr">
        <is>
          <t>남이면</t>
        </is>
      </c>
      <c r="G1726" s="3" t="inlineStr">
        <is>
          <t>구암리</t>
        </is>
      </c>
      <c r="H1726" s="3" t="inlineStr">
        <is>
          <t>자연녹지지역</t>
        </is>
      </c>
      <c r="I1726" s="3" t="inlineStr">
        <is>
          <t>대</t>
        </is>
      </c>
      <c r="J1726" s="3" t="inlineStr">
        <is>
          <t>남이면</t>
        </is>
      </c>
    </row>
    <row r="1727">
      <c r="A1727" s="3" t="n">
        <v>2026</v>
      </c>
      <c r="B1727" s="4" t="n">
        <v>18500</v>
      </c>
      <c r="C1727" s="4" t="n">
        <v>1564.2</v>
      </c>
      <c r="D1727" s="4" t="n">
        <v>473.1705</v>
      </c>
      <c r="E1727" s="5" t="n">
        <v>39.1</v>
      </c>
      <c r="F1727" s="3" t="inlineStr">
        <is>
          <t>남이면</t>
        </is>
      </c>
      <c r="G1727" s="3" t="inlineStr">
        <is>
          <t>대련리</t>
        </is>
      </c>
      <c r="H1727" s="3" t="inlineStr">
        <is>
          <t>자연녹지지역</t>
        </is>
      </c>
      <c r="I1727" s="3" t="inlineStr">
        <is>
          <t>전</t>
        </is>
      </c>
      <c r="J1727" s="3" t="inlineStr">
        <is>
          <t>남이면</t>
        </is>
      </c>
    </row>
    <row r="1728">
      <c r="A1728" s="3" t="n">
        <v>2025</v>
      </c>
      <c r="B1728" s="4" t="n">
        <v>13000</v>
      </c>
      <c r="C1728" s="4" t="n">
        <v>685</v>
      </c>
      <c r="D1728" s="4" t="n">
        <v>207.2125</v>
      </c>
      <c r="E1728" s="5" t="n">
        <v>62.7</v>
      </c>
      <c r="F1728" s="3" t="inlineStr">
        <is>
          <t>강내면</t>
        </is>
      </c>
      <c r="G1728" s="3" t="inlineStr">
        <is>
          <t>태성리</t>
        </is>
      </c>
      <c r="H1728" s="3" t="inlineStr">
        <is>
          <t>계획관리지역</t>
        </is>
      </c>
      <c r="I1728" s="3" t="inlineStr">
        <is>
          <t>전</t>
        </is>
      </c>
      <c r="J1728" s="3" t="inlineStr">
        <is>
          <t>강내면</t>
        </is>
      </c>
    </row>
    <row r="1729">
      <c r="A1729" s="3" t="n">
        <v>2025</v>
      </c>
      <c r="B1729" s="4" t="n">
        <v>39000</v>
      </c>
      <c r="C1729" s="4" t="n">
        <v>267.6</v>
      </c>
      <c r="D1729" s="4" t="n">
        <v>80.949</v>
      </c>
      <c r="E1729" s="5" t="n">
        <v>481.8</v>
      </c>
      <c r="F1729" s="3" t="inlineStr">
        <is>
          <t>오송읍</t>
        </is>
      </c>
      <c r="G1729" s="3" t="inlineStr">
        <is>
          <t>봉산리</t>
        </is>
      </c>
      <c r="H1729" s="3" t="inlineStr">
        <is>
          <t>제1종일반주거지역</t>
        </is>
      </c>
      <c r="I1729" s="3" t="inlineStr">
        <is>
          <t>대</t>
        </is>
      </c>
      <c r="J1729" s="3" t="inlineStr">
        <is>
          <t>오송읍</t>
        </is>
      </c>
    </row>
    <row r="1730">
      <c r="A1730" s="3" t="n">
        <v>2025</v>
      </c>
      <c r="B1730" s="4" t="n">
        <v>67680</v>
      </c>
      <c r="C1730" s="4" t="n">
        <v>3858</v>
      </c>
      <c r="D1730" s="4" t="n">
        <v>1167.045</v>
      </c>
      <c r="E1730" s="5" t="n">
        <v>58</v>
      </c>
      <c r="F1730" s="3" t="inlineStr">
        <is>
          <t>오송읍</t>
        </is>
      </c>
      <c r="G1730" s="3" t="inlineStr">
        <is>
          <t>서평리</t>
        </is>
      </c>
      <c r="H1730" s="3" t="inlineStr">
        <is>
          <t>농림지역</t>
        </is>
      </c>
      <c r="I1730" s="3" t="inlineStr">
        <is>
          <t>답</t>
        </is>
      </c>
      <c r="J1730" s="3" t="inlineStr">
        <is>
          <t>오송읍</t>
        </is>
      </c>
    </row>
    <row r="1731">
      <c r="A1731" s="3" t="n">
        <v>2025</v>
      </c>
      <c r="B1731" s="4" t="n">
        <v>5955</v>
      </c>
      <c r="C1731" s="4" t="n">
        <v>200</v>
      </c>
      <c r="D1731" s="4" t="n">
        <v>60.5</v>
      </c>
      <c r="E1731" s="5" t="n">
        <v>98.40000000000001</v>
      </c>
      <c r="F1731" s="3" t="inlineStr">
        <is>
          <t>강내면</t>
        </is>
      </c>
      <c r="G1731" s="3" t="inlineStr">
        <is>
          <t>저산리</t>
        </is>
      </c>
      <c r="H1731" s="3" t="inlineStr">
        <is>
          <t>계획관리지역</t>
        </is>
      </c>
      <c r="I1731" s="3" t="inlineStr">
        <is>
          <t>대</t>
        </is>
      </c>
      <c r="J1731" s="3" t="inlineStr">
        <is>
          <t>강내면</t>
        </is>
      </c>
    </row>
    <row r="1732">
      <c r="A1732" s="3" t="n">
        <v>2025</v>
      </c>
      <c r="B1732" s="4" t="n">
        <v>1876</v>
      </c>
      <c r="C1732" s="4" t="n">
        <v>63</v>
      </c>
      <c r="D1732" s="4" t="n">
        <v>19.0575</v>
      </c>
      <c r="E1732" s="5" t="n">
        <v>98.40000000000001</v>
      </c>
      <c r="F1732" s="3" t="inlineStr">
        <is>
          <t>강내면</t>
        </is>
      </c>
      <c r="G1732" s="3" t="inlineStr">
        <is>
          <t>저산리</t>
        </is>
      </c>
      <c r="H1732" s="3" t="inlineStr">
        <is>
          <t>계획관리지역</t>
        </is>
      </c>
      <c r="I1732" s="3" t="inlineStr">
        <is>
          <t>대</t>
        </is>
      </c>
      <c r="J1732" s="3" t="inlineStr">
        <is>
          <t>강내면</t>
        </is>
      </c>
    </row>
    <row r="1733">
      <c r="A1733" s="3" t="n">
        <v>2025</v>
      </c>
      <c r="B1733" s="4" t="n">
        <v>89</v>
      </c>
      <c r="C1733" s="4" t="n">
        <v>3</v>
      </c>
      <c r="D1733" s="4" t="n">
        <v>0.9075</v>
      </c>
      <c r="E1733" s="5" t="n">
        <v>98.09999999999999</v>
      </c>
      <c r="F1733" s="3" t="inlineStr">
        <is>
          <t>강내면</t>
        </is>
      </c>
      <c r="G1733" s="3" t="inlineStr">
        <is>
          <t>저산리</t>
        </is>
      </c>
      <c r="H1733" s="3" t="inlineStr">
        <is>
          <t>계획관리지역</t>
        </is>
      </c>
      <c r="I1733" s="3" t="inlineStr">
        <is>
          <t>대</t>
        </is>
      </c>
      <c r="J1733" s="3" t="inlineStr">
        <is>
          <t>강내면</t>
        </is>
      </c>
    </row>
    <row r="1734">
      <c r="A1734" s="3" t="n">
        <v>2025</v>
      </c>
      <c r="B1734" s="4" t="n">
        <v>6759</v>
      </c>
      <c r="C1734" s="4" t="n">
        <v>227</v>
      </c>
      <c r="D1734" s="4" t="n">
        <v>68.6675</v>
      </c>
      <c r="E1734" s="5" t="n">
        <v>98.40000000000001</v>
      </c>
      <c r="F1734" s="3" t="inlineStr">
        <is>
          <t>강내면</t>
        </is>
      </c>
      <c r="G1734" s="3" t="inlineStr">
        <is>
          <t>저산리</t>
        </is>
      </c>
      <c r="H1734" s="3" t="inlineStr">
        <is>
          <t>계획관리지역</t>
        </is>
      </c>
      <c r="I1734" s="3" t="inlineStr">
        <is>
          <t>대</t>
        </is>
      </c>
      <c r="J1734" s="3" t="inlineStr">
        <is>
          <t>강내면</t>
        </is>
      </c>
    </row>
    <row r="1735">
      <c r="A1735" s="3" t="n">
        <v>2022</v>
      </c>
      <c r="B1735" s="4" t="n">
        <v>5500</v>
      </c>
      <c r="C1735" s="4" t="n">
        <v>179.6</v>
      </c>
      <c r="D1735" s="4" t="n">
        <v>54.32899999999999</v>
      </c>
      <c r="E1735" s="5" t="n">
        <v>101.2</v>
      </c>
      <c r="F1735" s="3" t="inlineStr">
        <is>
          <t>남이면</t>
        </is>
      </c>
      <c r="G1735" s="3" t="inlineStr">
        <is>
          <t>가좌리</t>
        </is>
      </c>
      <c r="H1735" s="3" t="inlineStr">
        <is>
          <t>자연녹지지역</t>
        </is>
      </c>
      <c r="I1735" s="3" t="inlineStr">
        <is>
          <t>임야</t>
        </is>
      </c>
      <c r="J1735" s="3" t="inlineStr">
        <is>
          <t>남이면</t>
        </is>
      </c>
    </row>
    <row r="1736">
      <c r="A1736" s="3" t="n">
        <v>2022</v>
      </c>
      <c r="B1736" s="4" t="n">
        <v>16450</v>
      </c>
      <c r="C1736" s="4" t="n">
        <v>575</v>
      </c>
      <c r="D1736" s="4" t="n">
        <v>173.9375</v>
      </c>
      <c r="E1736" s="5" t="n">
        <v>94.59999999999999</v>
      </c>
      <c r="F1736" s="3" t="inlineStr">
        <is>
          <t>남이면</t>
        </is>
      </c>
      <c r="G1736" s="3" t="inlineStr">
        <is>
          <t>갈원리</t>
        </is>
      </c>
      <c r="H1736" s="3" t="inlineStr">
        <is>
          <t>계획관리지역</t>
        </is>
      </c>
      <c r="I1736" s="3" t="inlineStr">
        <is>
          <t>대</t>
        </is>
      </c>
      <c r="J1736" s="3" t="inlineStr">
        <is>
          <t>남이면</t>
        </is>
      </c>
    </row>
    <row r="1737">
      <c r="A1737" s="3" t="n">
        <v>2022</v>
      </c>
      <c r="B1737" s="4" t="n">
        <v>6780</v>
      </c>
      <c r="C1737" s="4" t="n">
        <v>237</v>
      </c>
      <c r="D1737" s="4" t="n">
        <v>71.6925</v>
      </c>
      <c r="E1737" s="5" t="n">
        <v>94.59999999999999</v>
      </c>
      <c r="F1737" s="3" t="inlineStr">
        <is>
          <t>남이면</t>
        </is>
      </c>
      <c r="G1737" s="3" t="inlineStr">
        <is>
          <t>갈원리</t>
        </is>
      </c>
      <c r="H1737" s="3" t="inlineStr">
        <is>
          <t>계획관리지역</t>
        </is>
      </c>
      <c r="I1737" s="3" t="inlineStr">
        <is>
          <t>전</t>
        </is>
      </c>
      <c r="J1737" s="3" t="inlineStr">
        <is>
          <t>남이면</t>
        </is>
      </c>
    </row>
    <row r="1738">
      <c r="A1738" s="3" t="n">
        <v>2022</v>
      </c>
      <c r="B1738" s="4" t="n">
        <v>13818</v>
      </c>
      <c r="C1738" s="4" t="n">
        <v>483</v>
      </c>
      <c r="D1738" s="4" t="n">
        <v>146.1075</v>
      </c>
      <c r="E1738" s="5" t="n">
        <v>94.59999999999999</v>
      </c>
      <c r="F1738" s="3" t="inlineStr">
        <is>
          <t>남이면</t>
        </is>
      </c>
      <c r="G1738" s="3" t="inlineStr">
        <is>
          <t>갈원리</t>
        </is>
      </c>
      <c r="H1738" s="3" t="inlineStr">
        <is>
          <t>계획관리지역</t>
        </is>
      </c>
      <c r="I1738" s="3" t="inlineStr">
        <is>
          <t>대</t>
        </is>
      </c>
      <c r="J1738" s="3" t="inlineStr">
        <is>
          <t>남이면</t>
        </is>
      </c>
    </row>
    <row r="1739">
      <c r="A1739" s="3" t="n">
        <v>2022</v>
      </c>
      <c r="B1739" s="4" t="n">
        <v>6151</v>
      </c>
      <c r="C1739" s="4" t="n">
        <v>215</v>
      </c>
      <c r="D1739" s="4" t="n">
        <v>65.03749999999999</v>
      </c>
      <c r="E1739" s="5" t="n">
        <v>94.59999999999999</v>
      </c>
      <c r="F1739" s="3" t="inlineStr">
        <is>
          <t>남이면</t>
        </is>
      </c>
      <c r="G1739" s="3" t="inlineStr">
        <is>
          <t>갈원리</t>
        </is>
      </c>
      <c r="H1739" s="3" t="inlineStr">
        <is>
          <t>계획관리지역</t>
        </is>
      </c>
      <c r="I1739" s="3" t="inlineStr">
        <is>
          <t>전</t>
        </is>
      </c>
      <c r="J1739" s="3" t="inlineStr">
        <is>
          <t>남이면</t>
        </is>
      </c>
    </row>
    <row r="1740">
      <c r="A1740" s="3" t="n">
        <v>2022</v>
      </c>
      <c r="B1740" s="4" t="n">
        <v>12270</v>
      </c>
      <c r="C1740" s="4" t="n">
        <v>473</v>
      </c>
      <c r="D1740" s="4" t="n">
        <v>143.0825</v>
      </c>
      <c r="E1740" s="5" t="n">
        <v>85.8</v>
      </c>
      <c r="F1740" s="3" t="inlineStr">
        <is>
          <t>남이면</t>
        </is>
      </c>
      <c r="G1740" s="3" t="inlineStr">
        <is>
          <t>가좌리</t>
        </is>
      </c>
      <c r="H1740" s="3" t="inlineStr">
        <is>
          <t>보전녹지지역</t>
        </is>
      </c>
      <c r="I1740" s="3" t="inlineStr">
        <is>
          <t>임야</t>
        </is>
      </c>
      <c r="J1740" s="3" t="inlineStr">
        <is>
          <t>남이면</t>
        </is>
      </c>
    </row>
    <row r="1741">
      <c r="A1741" s="3" t="n">
        <v>2022</v>
      </c>
      <c r="B1741" s="4" t="n">
        <v>100</v>
      </c>
      <c r="C1741" s="4" t="n">
        <v>67</v>
      </c>
      <c r="D1741" s="4" t="n">
        <v>20.2675</v>
      </c>
      <c r="E1741" s="5" t="n">
        <v>4.9</v>
      </c>
      <c r="F1741" s="3" t="inlineStr">
        <is>
          <t>남이면</t>
        </is>
      </c>
      <c r="G1741" s="3" t="inlineStr">
        <is>
          <t>외천리</t>
        </is>
      </c>
      <c r="H1741" s="3" t="inlineStr">
        <is>
          <t>용도미지정</t>
        </is>
      </c>
      <c r="I1741" s="3" t="inlineStr">
        <is>
          <t>전</t>
        </is>
      </c>
      <c r="J1741" s="3" t="inlineStr">
        <is>
          <t>남이면</t>
        </is>
      </c>
    </row>
    <row r="1742">
      <c r="A1742" s="3" t="n">
        <v>2022</v>
      </c>
      <c r="B1742" s="4" t="n">
        <v>3000</v>
      </c>
      <c r="C1742" s="4" t="n">
        <v>275</v>
      </c>
      <c r="D1742" s="4" t="n">
        <v>83.1875</v>
      </c>
      <c r="E1742" s="5" t="n">
        <v>36.1</v>
      </c>
      <c r="F1742" s="3" t="inlineStr">
        <is>
          <t>남이면</t>
        </is>
      </c>
      <c r="G1742" s="3" t="inlineStr">
        <is>
          <t>양촌리</t>
        </is>
      </c>
      <c r="H1742" s="3" t="inlineStr">
        <is>
          <t>자연녹지지역</t>
        </is>
      </c>
      <c r="I1742" s="3" t="inlineStr">
        <is>
          <t>대</t>
        </is>
      </c>
      <c r="J1742" s="3" t="inlineStr">
        <is>
          <t>남이면</t>
        </is>
      </c>
    </row>
    <row r="1743">
      <c r="A1743" s="3" t="n">
        <v>2022</v>
      </c>
      <c r="B1743" s="4" t="n">
        <v>10000</v>
      </c>
      <c r="C1743" s="4" t="n">
        <v>819</v>
      </c>
      <c r="D1743" s="4" t="n">
        <v>247.7475</v>
      </c>
      <c r="E1743" s="5" t="n">
        <v>40.4</v>
      </c>
      <c r="F1743" s="3" t="inlineStr">
        <is>
          <t>남이면</t>
        </is>
      </c>
      <c r="G1743" s="3" t="inlineStr">
        <is>
          <t>양촌리</t>
        </is>
      </c>
      <c r="H1743" s="3" t="inlineStr">
        <is>
          <t>보전녹지지역</t>
        </is>
      </c>
      <c r="I1743" s="3" t="inlineStr">
        <is>
          <t>임야</t>
        </is>
      </c>
      <c r="J1743" s="3" t="inlineStr">
        <is>
          <t>남이면</t>
        </is>
      </c>
    </row>
    <row r="1744">
      <c r="A1744" s="3" t="n">
        <v>2022</v>
      </c>
      <c r="B1744" s="4" t="n">
        <v>51400</v>
      </c>
      <c r="C1744" s="4" t="n">
        <v>1716</v>
      </c>
      <c r="D1744" s="4" t="n">
        <v>519.09</v>
      </c>
      <c r="E1744" s="5" t="n">
        <v>99</v>
      </c>
      <c r="F1744" s="3" t="inlineStr">
        <is>
          <t>남이면</t>
        </is>
      </c>
      <c r="G1744" s="3" t="inlineStr">
        <is>
          <t>팔봉리</t>
        </is>
      </c>
      <c r="H1744" s="3" t="inlineStr">
        <is>
          <t>자연녹지지역</t>
        </is>
      </c>
      <c r="I1744" s="3" t="inlineStr">
        <is>
          <t>답</t>
        </is>
      </c>
      <c r="J1744" s="3" t="inlineStr">
        <is>
          <t>남이면</t>
        </is>
      </c>
    </row>
    <row r="1745">
      <c r="A1745" s="3" t="n">
        <v>2022</v>
      </c>
      <c r="B1745" s="4" t="n">
        <v>4300</v>
      </c>
      <c r="C1745" s="4" t="n">
        <v>44</v>
      </c>
      <c r="D1745" s="4" t="n">
        <v>13.31</v>
      </c>
      <c r="E1745" s="5" t="n">
        <v>323.1</v>
      </c>
      <c r="F1745" s="3" t="inlineStr">
        <is>
          <t>남이면</t>
        </is>
      </c>
      <c r="G1745" s="3" t="inlineStr">
        <is>
          <t>양촌리</t>
        </is>
      </c>
      <c r="H1745" s="3" t="inlineStr">
        <is>
          <t>자연녹지지역</t>
        </is>
      </c>
      <c r="I1745" s="3" t="inlineStr">
        <is>
          <t>대</t>
        </is>
      </c>
      <c r="J1745" s="3" t="inlineStr">
        <is>
          <t>남이면</t>
        </is>
      </c>
    </row>
    <row r="1746">
      <c r="A1746" s="3" t="n">
        <v>2022</v>
      </c>
      <c r="B1746" s="4" t="n">
        <v>5500</v>
      </c>
      <c r="C1746" s="4" t="n">
        <v>137</v>
      </c>
      <c r="D1746" s="4" t="n">
        <v>41.4425</v>
      </c>
      <c r="E1746" s="5" t="n">
        <v>132.7</v>
      </c>
      <c r="F1746" s="3" t="inlineStr">
        <is>
          <t>남이면</t>
        </is>
      </c>
      <c r="G1746" s="3" t="inlineStr">
        <is>
          <t>양촌리</t>
        </is>
      </c>
      <c r="H1746" s="3" t="inlineStr">
        <is>
          <t>자연녹지지역</t>
        </is>
      </c>
      <c r="I1746" s="3" t="inlineStr">
        <is>
          <t>전</t>
        </is>
      </c>
      <c r="J1746" s="3" t="inlineStr">
        <is>
          <t>남이면</t>
        </is>
      </c>
    </row>
    <row r="1747">
      <c r="A1747" s="3" t="n">
        <v>2022</v>
      </c>
      <c r="B1747" s="4" t="n">
        <v>2600</v>
      </c>
      <c r="C1747" s="4" t="n">
        <v>44</v>
      </c>
      <c r="D1747" s="4" t="n">
        <v>13.31</v>
      </c>
      <c r="E1747" s="5" t="n">
        <v>195.3</v>
      </c>
      <c r="F1747" s="3" t="inlineStr">
        <is>
          <t>남이면</t>
        </is>
      </c>
      <c r="G1747" s="3" t="inlineStr">
        <is>
          <t>양촌리</t>
        </is>
      </c>
      <c r="H1747" s="3" t="inlineStr">
        <is>
          <t>자연녹지지역</t>
        </is>
      </c>
      <c r="I1747" s="3" t="inlineStr">
        <is>
          <t>대</t>
        </is>
      </c>
      <c r="J1747" s="3" t="inlineStr">
        <is>
          <t>남이면</t>
        </is>
      </c>
    </row>
    <row r="1748">
      <c r="A1748" s="3" t="n">
        <v>2022</v>
      </c>
      <c r="B1748" s="4" t="n">
        <v>10500</v>
      </c>
      <c r="C1748" s="4" t="n">
        <v>21818</v>
      </c>
      <c r="D1748" s="4" t="n">
        <v>6599.945</v>
      </c>
      <c r="E1748" s="5" t="n">
        <v>1.6</v>
      </c>
      <c r="F1748" s="3" t="inlineStr">
        <is>
          <t>남이면</t>
        </is>
      </c>
      <c r="G1748" s="3" t="inlineStr">
        <is>
          <t>문동리</t>
        </is>
      </c>
      <c r="H1748" s="3" t="inlineStr">
        <is>
          <t>자연환경보전</t>
        </is>
      </c>
      <c r="I1748" s="3" t="inlineStr">
        <is>
          <t>임야</t>
        </is>
      </c>
      <c r="J1748" s="3" t="inlineStr">
        <is>
          <t>남이면</t>
        </is>
      </c>
    </row>
    <row r="1749">
      <c r="A1749" s="3" t="n">
        <v>2022</v>
      </c>
      <c r="B1749" s="4" t="n">
        <v>3000</v>
      </c>
      <c r="C1749" s="4" t="n">
        <v>137</v>
      </c>
      <c r="D1749" s="4" t="n">
        <v>41.4425</v>
      </c>
      <c r="E1749" s="5" t="n">
        <v>72.40000000000001</v>
      </c>
      <c r="F1749" s="3" t="inlineStr">
        <is>
          <t>남이면</t>
        </is>
      </c>
      <c r="G1749" s="3" t="inlineStr">
        <is>
          <t>양촌리</t>
        </is>
      </c>
      <c r="H1749" s="3" t="inlineStr">
        <is>
          <t>자연녹지지역</t>
        </is>
      </c>
      <c r="I1749" s="3" t="inlineStr">
        <is>
          <t>전</t>
        </is>
      </c>
      <c r="J1749" s="3" t="inlineStr">
        <is>
          <t>남이면</t>
        </is>
      </c>
    </row>
    <row r="1750">
      <c r="A1750" s="3" t="n">
        <v>2022</v>
      </c>
      <c r="B1750" s="4" t="n">
        <v>26000</v>
      </c>
      <c r="C1750" s="4" t="n">
        <v>1615</v>
      </c>
      <c r="D1750" s="4" t="n">
        <v>488.5375</v>
      </c>
      <c r="E1750" s="5" t="n">
        <v>53.2</v>
      </c>
      <c r="F1750" s="3" t="inlineStr">
        <is>
          <t>남이면</t>
        </is>
      </c>
      <c r="G1750" s="3" t="inlineStr">
        <is>
          <t>석실리</t>
        </is>
      </c>
      <c r="H1750" s="3" t="inlineStr">
        <is>
          <t>자연녹지지역</t>
        </is>
      </c>
      <c r="I1750" s="3" t="inlineStr">
        <is>
          <t>답</t>
        </is>
      </c>
      <c r="J1750" s="3" t="inlineStr">
        <is>
          <t>남이면</t>
        </is>
      </c>
    </row>
    <row r="1751">
      <c r="A1751" s="3" t="n">
        <v>2022</v>
      </c>
      <c r="B1751" s="4" t="n">
        <v>4530</v>
      </c>
      <c r="C1751" s="4" t="n">
        <v>1000</v>
      </c>
      <c r="D1751" s="4" t="n">
        <v>302.5</v>
      </c>
      <c r="E1751" s="5" t="n">
        <v>15</v>
      </c>
      <c r="F1751" s="3" t="inlineStr">
        <is>
          <t>남이면</t>
        </is>
      </c>
      <c r="G1751" s="3" t="inlineStr">
        <is>
          <t>문동리</t>
        </is>
      </c>
      <c r="H1751" s="3" t="inlineStr">
        <is>
          <t>자연녹지지역</t>
        </is>
      </c>
      <c r="I1751" s="3" t="inlineStr">
        <is>
          <t>임야</t>
        </is>
      </c>
      <c r="J1751" s="3" t="inlineStr">
        <is>
          <t>남이면</t>
        </is>
      </c>
    </row>
    <row r="1752">
      <c r="A1752" s="3" t="n">
        <v>2022</v>
      </c>
      <c r="B1752" s="4" t="n">
        <v>95000</v>
      </c>
      <c r="C1752" s="4" t="n">
        <v>9025</v>
      </c>
      <c r="D1752" s="4" t="n">
        <v>2730.0625</v>
      </c>
      <c r="E1752" s="5" t="n">
        <v>34.8</v>
      </c>
      <c r="F1752" s="3" t="inlineStr">
        <is>
          <t>남이면</t>
        </is>
      </c>
      <c r="G1752" s="3" t="inlineStr">
        <is>
          <t>가좌리</t>
        </is>
      </c>
      <c r="H1752" s="3" t="inlineStr">
        <is>
          <t>자연녹지지역</t>
        </is>
      </c>
      <c r="I1752" s="3" t="inlineStr">
        <is>
          <t>임야</t>
        </is>
      </c>
      <c r="J1752" s="3" t="inlineStr">
        <is>
          <t>남이면</t>
        </is>
      </c>
    </row>
    <row r="1753">
      <c r="A1753" s="3" t="n">
        <v>2022</v>
      </c>
      <c r="B1753" s="4" t="n">
        <v>41600</v>
      </c>
      <c r="C1753" s="4" t="n">
        <v>2056</v>
      </c>
      <c r="D1753" s="4" t="n">
        <v>621.9399999999999</v>
      </c>
      <c r="E1753" s="5" t="n">
        <v>66.90000000000001</v>
      </c>
      <c r="F1753" s="3" t="inlineStr">
        <is>
          <t>남이면</t>
        </is>
      </c>
      <c r="G1753" s="3" t="inlineStr">
        <is>
          <t>부용외천리</t>
        </is>
      </c>
      <c r="H1753" s="3" t="inlineStr">
        <is>
          <t>계획관리지역</t>
        </is>
      </c>
      <c r="I1753" s="3" t="inlineStr">
        <is>
          <t>답</t>
        </is>
      </c>
      <c r="J1753" s="3" t="inlineStr">
        <is>
          <t>남이면</t>
        </is>
      </c>
    </row>
    <row r="1754">
      <c r="A1754" s="3" t="n">
        <v>2022</v>
      </c>
      <c r="B1754" s="4" t="n">
        <v>10595</v>
      </c>
      <c r="C1754" s="4" t="n">
        <v>538</v>
      </c>
      <c r="D1754" s="4" t="n">
        <v>162.745</v>
      </c>
      <c r="E1754" s="5" t="n">
        <v>65.09999999999999</v>
      </c>
      <c r="F1754" s="3" t="inlineStr">
        <is>
          <t>남이면</t>
        </is>
      </c>
      <c r="G1754" s="3" t="inlineStr">
        <is>
          <t>문동리</t>
        </is>
      </c>
      <c r="H1754" s="3" t="inlineStr">
        <is>
          <t>보전녹지지역</t>
        </is>
      </c>
      <c r="I1754" s="3" t="inlineStr">
        <is>
          <t>임야</t>
        </is>
      </c>
      <c r="J1754" s="3" t="inlineStr">
        <is>
          <t>남이면</t>
        </is>
      </c>
    </row>
    <row r="1755">
      <c r="A1755" s="3" t="n">
        <v>2022</v>
      </c>
      <c r="B1755" s="4" t="n">
        <v>54800</v>
      </c>
      <c r="C1755" s="4" t="n">
        <v>3554</v>
      </c>
      <c r="D1755" s="4" t="n">
        <v>1075.085</v>
      </c>
      <c r="E1755" s="5" t="n">
        <v>51</v>
      </c>
      <c r="F1755" s="3" t="inlineStr">
        <is>
          <t>남이면</t>
        </is>
      </c>
      <c r="G1755" s="3" t="inlineStr">
        <is>
          <t>상발리</t>
        </is>
      </c>
      <c r="H1755" s="3" t="inlineStr">
        <is>
          <t>자연녹지지역</t>
        </is>
      </c>
      <c r="I1755" s="3" t="inlineStr">
        <is>
          <t>답</t>
        </is>
      </c>
      <c r="J1755" s="3" t="inlineStr">
        <is>
          <t>남이면</t>
        </is>
      </c>
    </row>
    <row r="1756">
      <c r="A1756" s="3" t="n">
        <v>2022</v>
      </c>
      <c r="B1756" s="4" t="n">
        <v>3375</v>
      </c>
      <c r="C1756" s="4" t="n">
        <v>132</v>
      </c>
      <c r="D1756" s="4" t="n">
        <v>39.93</v>
      </c>
      <c r="E1756" s="5" t="n">
        <v>84.5</v>
      </c>
      <c r="F1756" s="3" t="inlineStr">
        <is>
          <t>남이면</t>
        </is>
      </c>
      <c r="G1756" s="3" t="inlineStr">
        <is>
          <t>구암리</t>
        </is>
      </c>
      <c r="H1756" s="3" t="inlineStr">
        <is>
          <t>자연녹지지역</t>
        </is>
      </c>
      <c r="I1756" s="3" t="inlineStr">
        <is>
          <t>전</t>
        </is>
      </c>
      <c r="J1756" s="3" t="inlineStr">
        <is>
          <t>남이면</t>
        </is>
      </c>
    </row>
    <row r="1757">
      <c r="A1757" s="3" t="n">
        <v>2022</v>
      </c>
      <c r="B1757" s="4" t="n">
        <v>50625</v>
      </c>
      <c r="C1757" s="4" t="n">
        <v>1980</v>
      </c>
      <c r="D1757" s="4" t="n">
        <v>598.9499999999999</v>
      </c>
      <c r="E1757" s="5" t="n">
        <v>84.5</v>
      </c>
      <c r="F1757" s="3" t="inlineStr">
        <is>
          <t>남이면</t>
        </is>
      </c>
      <c r="G1757" s="3" t="inlineStr">
        <is>
          <t>구암리</t>
        </is>
      </c>
      <c r="H1757" s="3" t="inlineStr">
        <is>
          <t>자연녹지지역</t>
        </is>
      </c>
      <c r="I1757" s="3" t="inlineStr">
        <is>
          <t>전</t>
        </is>
      </c>
      <c r="J1757" s="3" t="inlineStr">
        <is>
          <t>남이면</t>
        </is>
      </c>
    </row>
    <row r="1758">
      <c r="A1758" s="3" t="n">
        <v>2024</v>
      </c>
      <c r="B1758" s="4" t="n">
        <v>2000</v>
      </c>
      <c r="C1758" s="4" t="n">
        <v>164</v>
      </c>
      <c r="D1758" s="4" t="n">
        <v>49.61</v>
      </c>
      <c r="E1758" s="5" t="n">
        <v>40.3</v>
      </c>
      <c r="F1758" s="3" t="inlineStr">
        <is>
          <t>남이면</t>
        </is>
      </c>
      <c r="G1758" s="3" t="inlineStr">
        <is>
          <t>팔봉리</t>
        </is>
      </c>
      <c r="H1758" s="3" t="inlineStr">
        <is>
          <t>자연녹지지역</t>
        </is>
      </c>
      <c r="I1758" s="3" t="inlineStr">
        <is>
          <t>임야</t>
        </is>
      </c>
      <c r="J1758" s="3" t="inlineStr">
        <is>
          <t>남이면</t>
        </is>
      </c>
    </row>
    <row r="1759">
      <c r="A1759" s="3" t="n">
        <v>2024</v>
      </c>
      <c r="B1759" s="4" t="n">
        <v>23875</v>
      </c>
      <c r="C1759" s="4" t="n">
        <v>563</v>
      </c>
      <c r="D1759" s="4" t="n">
        <v>170.3075</v>
      </c>
      <c r="E1759" s="5" t="n">
        <v>140.2</v>
      </c>
      <c r="F1759" s="3" t="inlineStr">
        <is>
          <t>남이면</t>
        </is>
      </c>
      <c r="G1759" s="3" t="inlineStr">
        <is>
          <t>가마리</t>
        </is>
      </c>
      <c r="H1759" s="3" t="inlineStr">
        <is>
          <t>보전녹지지역</t>
        </is>
      </c>
      <c r="I1759" s="3" t="inlineStr">
        <is>
          <t>임야</t>
        </is>
      </c>
      <c r="J1759" s="3" t="inlineStr">
        <is>
          <t>남이면</t>
        </is>
      </c>
    </row>
    <row r="1760">
      <c r="A1760" s="3" t="n">
        <v>2024</v>
      </c>
      <c r="B1760" s="4" t="n">
        <v>25660</v>
      </c>
      <c r="C1760" s="4" t="n">
        <v>487</v>
      </c>
      <c r="D1760" s="4" t="n">
        <v>147.3175</v>
      </c>
      <c r="E1760" s="5" t="n">
        <v>174.2</v>
      </c>
      <c r="F1760" s="3" t="inlineStr">
        <is>
          <t>남이면</t>
        </is>
      </c>
      <c r="G1760" s="3" t="inlineStr">
        <is>
          <t>가마리</t>
        </is>
      </c>
      <c r="H1760" s="3" t="inlineStr">
        <is>
          <t>보전녹지지역</t>
        </is>
      </c>
      <c r="I1760" s="3" t="inlineStr">
        <is>
          <t>임야</t>
        </is>
      </c>
      <c r="J1760" s="3" t="inlineStr">
        <is>
          <t>남이면</t>
        </is>
      </c>
    </row>
    <row r="1761">
      <c r="A1761" s="3" t="n">
        <v>2024</v>
      </c>
      <c r="B1761" s="4" t="n">
        <v>45470</v>
      </c>
      <c r="C1761" s="4" t="n">
        <v>2133</v>
      </c>
      <c r="D1761" s="4" t="n">
        <v>645.2325</v>
      </c>
      <c r="E1761" s="5" t="n">
        <v>70.5</v>
      </c>
      <c r="F1761" s="3" t="inlineStr">
        <is>
          <t>남이면</t>
        </is>
      </c>
      <c r="G1761" s="3" t="inlineStr">
        <is>
          <t>척산리</t>
        </is>
      </c>
      <c r="H1761" s="3" t="inlineStr">
        <is>
          <t>생산관리지역</t>
        </is>
      </c>
      <c r="I1761" s="3" t="inlineStr">
        <is>
          <t>답</t>
        </is>
      </c>
      <c r="J1761" s="3" t="inlineStr">
        <is>
          <t>남이면</t>
        </is>
      </c>
    </row>
    <row r="1762">
      <c r="A1762" s="3" t="n">
        <v>2024</v>
      </c>
      <c r="B1762" s="4" t="n">
        <v>44440</v>
      </c>
      <c r="C1762" s="4" t="n">
        <v>2083</v>
      </c>
      <c r="D1762" s="4" t="n">
        <v>630.1075</v>
      </c>
      <c r="E1762" s="5" t="n">
        <v>70.5</v>
      </c>
      <c r="F1762" s="3" t="inlineStr">
        <is>
          <t>남이면</t>
        </is>
      </c>
      <c r="G1762" s="3" t="inlineStr">
        <is>
          <t>척산리</t>
        </is>
      </c>
      <c r="H1762" s="3" t="inlineStr">
        <is>
          <t>생산관리지역</t>
        </is>
      </c>
      <c r="I1762" s="3" t="inlineStr">
        <is>
          <t>답</t>
        </is>
      </c>
      <c r="J1762" s="3" t="inlineStr">
        <is>
          <t>남이면</t>
        </is>
      </c>
    </row>
    <row r="1763">
      <c r="A1763" s="3" t="n">
        <v>2024</v>
      </c>
      <c r="B1763" s="4" t="n">
        <v>10130</v>
      </c>
      <c r="C1763" s="4" t="n">
        <v>475</v>
      </c>
      <c r="D1763" s="4" t="n">
        <v>143.6875</v>
      </c>
      <c r="E1763" s="5" t="n">
        <v>70.5</v>
      </c>
      <c r="F1763" s="3" t="inlineStr">
        <is>
          <t>남이면</t>
        </is>
      </c>
      <c r="G1763" s="3" t="inlineStr">
        <is>
          <t>척산리</t>
        </is>
      </c>
      <c r="H1763" s="3" t="inlineStr">
        <is>
          <t>생산관리지역</t>
        </is>
      </c>
      <c r="I1763" s="3" t="inlineStr">
        <is>
          <t>답</t>
        </is>
      </c>
      <c r="J1763" s="3" t="inlineStr">
        <is>
          <t>남이면</t>
        </is>
      </c>
    </row>
    <row r="1764">
      <c r="A1764" s="3" t="n">
        <v>2024</v>
      </c>
      <c r="B1764" s="4" t="n">
        <v>2300</v>
      </c>
      <c r="C1764" s="4" t="n">
        <v>185</v>
      </c>
      <c r="D1764" s="4" t="n">
        <v>55.9625</v>
      </c>
      <c r="E1764" s="5" t="n">
        <v>41.1</v>
      </c>
      <c r="F1764" s="3" t="inlineStr">
        <is>
          <t>남이면</t>
        </is>
      </c>
      <c r="G1764" s="3" t="inlineStr">
        <is>
          <t>외천리</t>
        </is>
      </c>
      <c r="H1764" s="3" t="inlineStr">
        <is>
          <t>계획관리지역</t>
        </is>
      </c>
      <c r="I1764" s="3" t="inlineStr">
        <is>
          <t>임야</t>
        </is>
      </c>
      <c r="J1764" s="3" t="inlineStr">
        <is>
          <t>남이면</t>
        </is>
      </c>
    </row>
    <row r="1765">
      <c r="A1765" s="3" t="n">
        <v>2024</v>
      </c>
      <c r="B1765" s="4" t="n">
        <v>45470</v>
      </c>
      <c r="C1765" s="4" t="n">
        <v>2133</v>
      </c>
      <c r="D1765" s="4" t="n">
        <v>645.2325</v>
      </c>
      <c r="E1765" s="5" t="n">
        <v>70.5</v>
      </c>
      <c r="F1765" s="3" t="inlineStr">
        <is>
          <t>남이면</t>
        </is>
      </c>
      <c r="G1765" s="3" t="inlineStr">
        <is>
          <t>척산리</t>
        </is>
      </c>
      <c r="H1765" s="3" t="inlineStr">
        <is>
          <t>생산관리지역</t>
        </is>
      </c>
      <c r="I1765" s="3" t="inlineStr">
        <is>
          <t>답</t>
        </is>
      </c>
      <c r="J1765" s="3" t="inlineStr">
        <is>
          <t>남이면</t>
        </is>
      </c>
    </row>
    <row r="1766">
      <c r="A1766" s="3" t="n">
        <v>2024</v>
      </c>
      <c r="B1766" s="4" t="n">
        <v>44440</v>
      </c>
      <c r="C1766" s="4" t="n">
        <v>2083</v>
      </c>
      <c r="D1766" s="4" t="n">
        <v>630.1075</v>
      </c>
      <c r="E1766" s="5" t="n">
        <v>70.5</v>
      </c>
      <c r="F1766" s="3" t="inlineStr">
        <is>
          <t>남이면</t>
        </is>
      </c>
      <c r="G1766" s="3" t="inlineStr">
        <is>
          <t>척산리</t>
        </is>
      </c>
      <c r="H1766" s="3" t="inlineStr">
        <is>
          <t>생산관리지역</t>
        </is>
      </c>
      <c r="I1766" s="3" t="inlineStr">
        <is>
          <t>답</t>
        </is>
      </c>
      <c r="J1766" s="3" t="inlineStr">
        <is>
          <t>남이면</t>
        </is>
      </c>
    </row>
    <row r="1767">
      <c r="A1767" s="3" t="n">
        <v>2024</v>
      </c>
      <c r="B1767" s="4" t="n">
        <v>10130</v>
      </c>
      <c r="C1767" s="4" t="n">
        <v>475</v>
      </c>
      <c r="D1767" s="4" t="n">
        <v>143.6875</v>
      </c>
      <c r="E1767" s="5" t="n">
        <v>70.5</v>
      </c>
      <c r="F1767" s="3" t="inlineStr">
        <is>
          <t>남이면</t>
        </is>
      </c>
      <c r="G1767" s="3" t="inlineStr">
        <is>
          <t>척산리</t>
        </is>
      </c>
      <c r="H1767" s="3" t="inlineStr">
        <is>
          <t>생산관리지역</t>
        </is>
      </c>
      <c r="I1767" s="3" t="inlineStr">
        <is>
          <t>답</t>
        </is>
      </c>
      <c r="J1767" s="3" t="inlineStr">
        <is>
          <t>남이면</t>
        </is>
      </c>
    </row>
    <row r="1768">
      <c r="A1768" s="3" t="n">
        <v>2024</v>
      </c>
      <c r="B1768" s="4" t="n">
        <v>950</v>
      </c>
      <c r="C1768" s="4" t="n">
        <v>38</v>
      </c>
      <c r="D1768" s="4" t="n">
        <v>11.495</v>
      </c>
      <c r="E1768" s="5" t="n">
        <v>82.59999999999999</v>
      </c>
      <c r="F1768" s="3" t="inlineStr">
        <is>
          <t>남이면</t>
        </is>
      </c>
      <c r="G1768" s="3" t="inlineStr">
        <is>
          <t>가마리</t>
        </is>
      </c>
      <c r="H1768" s="3" t="inlineStr">
        <is>
          <t>자연녹지지역</t>
        </is>
      </c>
      <c r="I1768" s="3" t="inlineStr">
        <is>
          <t>전</t>
        </is>
      </c>
      <c r="J1768" s="3" t="inlineStr">
        <is>
          <t>남이면</t>
        </is>
      </c>
    </row>
    <row r="1769">
      <c r="A1769" s="3" t="n">
        <v>2024</v>
      </c>
      <c r="B1769" s="4" t="n">
        <v>50</v>
      </c>
      <c r="C1769" s="4" t="n">
        <v>2</v>
      </c>
      <c r="D1769" s="4" t="n">
        <v>0.605</v>
      </c>
      <c r="E1769" s="5" t="n">
        <v>82.59999999999999</v>
      </c>
      <c r="F1769" s="3" t="inlineStr">
        <is>
          <t>남이면</t>
        </is>
      </c>
      <c r="G1769" s="3" t="inlineStr">
        <is>
          <t>가마리</t>
        </is>
      </c>
      <c r="H1769" s="3" t="inlineStr">
        <is>
          <t>자연녹지지역</t>
        </is>
      </c>
      <c r="I1769" s="3" t="inlineStr">
        <is>
          <t>전</t>
        </is>
      </c>
      <c r="J1769" s="3" t="inlineStr">
        <is>
          <t>남이면</t>
        </is>
      </c>
    </row>
    <row r="1770">
      <c r="A1770" s="3" t="n">
        <v>2024</v>
      </c>
      <c r="B1770" s="4" t="n">
        <v>23875</v>
      </c>
      <c r="C1770" s="4" t="n">
        <v>563</v>
      </c>
      <c r="D1770" s="4" t="n">
        <v>170.3075</v>
      </c>
      <c r="E1770" s="5" t="n">
        <v>140.2</v>
      </c>
      <c r="F1770" s="3" t="inlineStr">
        <is>
          <t>남이면</t>
        </is>
      </c>
      <c r="G1770" s="3" t="inlineStr">
        <is>
          <t>가마리</t>
        </is>
      </c>
      <c r="H1770" s="3" t="inlineStr">
        <is>
          <t>보전녹지지역</t>
        </is>
      </c>
      <c r="I1770" s="3" t="inlineStr">
        <is>
          <t>임야</t>
        </is>
      </c>
      <c r="J1770" s="3" t="inlineStr">
        <is>
          <t>남이면</t>
        </is>
      </c>
    </row>
    <row r="1771">
      <c r="A1771" s="3" t="n">
        <v>2024</v>
      </c>
      <c r="B1771" s="4" t="n">
        <v>16200</v>
      </c>
      <c r="C1771" s="4" t="n">
        <v>359</v>
      </c>
      <c r="D1771" s="4" t="n">
        <v>108.5975</v>
      </c>
      <c r="E1771" s="5" t="n">
        <v>149.2</v>
      </c>
      <c r="F1771" s="3" t="inlineStr">
        <is>
          <t>남이면</t>
        </is>
      </c>
      <c r="G1771" s="3" t="inlineStr">
        <is>
          <t>척산리</t>
        </is>
      </c>
      <c r="H1771" s="3" t="inlineStr">
        <is>
          <t>계획관리지역</t>
        </is>
      </c>
      <c r="I1771" s="3" t="inlineStr">
        <is>
          <t>공장용지</t>
        </is>
      </c>
      <c r="J1771" s="3" t="inlineStr">
        <is>
          <t>남이면</t>
        </is>
      </c>
    </row>
    <row r="1772">
      <c r="A1772" s="3" t="n">
        <v>2024</v>
      </c>
      <c r="B1772" s="4" t="n">
        <v>25660</v>
      </c>
      <c r="C1772" s="4" t="n">
        <v>487</v>
      </c>
      <c r="D1772" s="4" t="n">
        <v>147.3175</v>
      </c>
      <c r="E1772" s="5" t="n">
        <v>174.2</v>
      </c>
      <c r="F1772" s="3" t="inlineStr">
        <is>
          <t>남이면</t>
        </is>
      </c>
      <c r="G1772" s="3" t="inlineStr">
        <is>
          <t>가마리</t>
        </is>
      </c>
      <c r="H1772" s="3" t="inlineStr">
        <is>
          <t>보전녹지지역</t>
        </is>
      </c>
      <c r="I1772" s="3" t="inlineStr">
        <is>
          <t>임야</t>
        </is>
      </c>
      <c r="J1772" s="3" t="inlineStr">
        <is>
          <t>남이면</t>
        </is>
      </c>
    </row>
    <row r="1773">
      <c r="A1773" s="3" t="n">
        <v>2024</v>
      </c>
      <c r="B1773" s="4" t="n">
        <v>14310</v>
      </c>
      <c r="C1773" s="4" t="n">
        <v>1577</v>
      </c>
      <c r="D1773" s="4" t="n">
        <v>477.0425</v>
      </c>
      <c r="E1773" s="5" t="n">
        <v>30</v>
      </c>
      <c r="F1773" s="3" t="inlineStr">
        <is>
          <t>남이면</t>
        </is>
      </c>
      <c r="G1773" s="3" t="inlineStr">
        <is>
          <t>팔봉리</t>
        </is>
      </c>
      <c r="H1773" s="3" t="inlineStr">
        <is>
          <t>보전녹지지역</t>
        </is>
      </c>
      <c r="I1773" s="3" t="inlineStr">
        <is>
          <t>전</t>
        </is>
      </c>
      <c r="J1773" s="3" t="inlineStr">
        <is>
          <t>남이면</t>
        </is>
      </c>
    </row>
    <row r="1774">
      <c r="A1774" s="3" t="n">
        <v>2024</v>
      </c>
      <c r="B1774" s="4" t="n">
        <v>12777</v>
      </c>
      <c r="C1774" s="4" t="n">
        <v>1408</v>
      </c>
      <c r="D1774" s="4" t="n">
        <v>425.92</v>
      </c>
      <c r="E1774" s="5" t="n">
        <v>30</v>
      </c>
      <c r="F1774" s="3" t="inlineStr">
        <is>
          <t>남이면</t>
        </is>
      </c>
      <c r="G1774" s="3" t="inlineStr">
        <is>
          <t>팔봉리</t>
        </is>
      </c>
      <c r="H1774" s="3" t="inlineStr">
        <is>
          <t>보전녹지지역</t>
        </is>
      </c>
      <c r="I1774" s="3" t="inlineStr">
        <is>
          <t>전</t>
        </is>
      </c>
      <c r="J1774" s="3" t="inlineStr">
        <is>
          <t>남이면</t>
        </is>
      </c>
    </row>
    <row r="1775">
      <c r="A1775" s="3" t="n">
        <v>2024</v>
      </c>
      <c r="B1775" s="4" t="n">
        <v>2766</v>
      </c>
      <c r="C1775" s="4" t="n">
        <v>305</v>
      </c>
      <c r="D1775" s="4" t="n">
        <v>92.2625</v>
      </c>
      <c r="E1775" s="5" t="n">
        <v>30</v>
      </c>
      <c r="F1775" s="3" t="inlineStr">
        <is>
          <t>남이면</t>
        </is>
      </c>
      <c r="G1775" s="3" t="inlineStr">
        <is>
          <t>팔봉리</t>
        </is>
      </c>
      <c r="H1775" s="3" t="inlineStr">
        <is>
          <t>자연녹지지역</t>
        </is>
      </c>
      <c r="I1775" s="3" t="inlineStr">
        <is>
          <t>전</t>
        </is>
      </c>
      <c r="J1775" s="3" t="inlineStr">
        <is>
          <t>남이면</t>
        </is>
      </c>
    </row>
    <row r="1776">
      <c r="A1776" s="3" t="n">
        <v>2024</v>
      </c>
      <c r="B1776" s="4" t="n">
        <v>30147</v>
      </c>
      <c r="C1776" s="4" t="n">
        <v>5950</v>
      </c>
      <c r="D1776" s="4" t="n">
        <v>1799.875</v>
      </c>
      <c r="E1776" s="5" t="n">
        <v>16.7</v>
      </c>
      <c r="F1776" s="3" t="inlineStr">
        <is>
          <t>남이면</t>
        </is>
      </c>
      <c r="G1776" s="3" t="inlineStr">
        <is>
          <t>팔봉리</t>
        </is>
      </c>
      <c r="H1776" s="3" t="inlineStr">
        <is>
          <t>보전녹지지역</t>
        </is>
      </c>
      <c r="I1776" s="3" t="inlineStr">
        <is>
          <t>임야</t>
        </is>
      </c>
      <c r="J1776" s="3" t="inlineStr">
        <is>
          <t>남이면</t>
        </is>
      </c>
    </row>
    <row r="1777">
      <c r="A1777" s="3" t="n">
        <v>2024</v>
      </c>
      <c r="B1777" s="4" t="n">
        <v>58488</v>
      </c>
      <c r="C1777" s="4" t="n">
        <v>3962</v>
      </c>
      <c r="D1777" s="4" t="n">
        <v>1198.505</v>
      </c>
      <c r="E1777" s="5" t="n">
        <v>48.8</v>
      </c>
      <c r="F1777" s="3" t="inlineStr">
        <is>
          <t>남이면</t>
        </is>
      </c>
      <c r="G1777" s="3" t="inlineStr">
        <is>
          <t>척산리</t>
        </is>
      </c>
      <c r="H1777" s="3" t="inlineStr">
        <is>
          <t>계획관리지역</t>
        </is>
      </c>
      <c r="I1777" s="3" t="inlineStr">
        <is>
          <t>임야</t>
        </is>
      </c>
      <c r="J1777" s="3" t="inlineStr">
        <is>
          <t>남이면</t>
        </is>
      </c>
    </row>
    <row r="1778">
      <c r="A1778" s="3" t="n">
        <v>2024</v>
      </c>
      <c r="B1778" s="4" t="n">
        <v>2067</v>
      </c>
      <c r="C1778" s="4" t="n">
        <v>140</v>
      </c>
      <c r="D1778" s="4" t="n">
        <v>42.35</v>
      </c>
      <c r="E1778" s="5" t="n">
        <v>48.8</v>
      </c>
      <c r="F1778" s="3" t="inlineStr">
        <is>
          <t>남이면</t>
        </is>
      </c>
      <c r="G1778" s="3" t="inlineStr">
        <is>
          <t>척산리</t>
        </is>
      </c>
      <c r="H1778" s="3" t="inlineStr">
        <is>
          <t>계획관리지역</t>
        </is>
      </c>
      <c r="I1778" s="3" t="inlineStr">
        <is>
          <t>임야</t>
        </is>
      </c>
      <c r="J1778" s="3" t="inlineStr">
        <is>
          <t>남이면</t>
        </is>
      </c>
    </row>
    <row r="1779">
      <c r="A1779" s="3" t="n">
        <v>2022</v>
      </c>
      <c r="B1779" s="4" t="n">
        <v>45500</v>
      </c>
      <c r="C1779" s="4" t="n">
        <v>1203</v>
      </c>
      <c r="D1779" s="4" t="n">
        <v>363.9075</v>
      </c>
      <c r="E1779" s="5" t="n">
        <v>125</v>
      </c>
      <c r="F1779" s="3" t="inlineStr">
        <is>
          <t>남이면</t>
        </is>
      </c>
      <c r="G1779" s="3" t="inlineStr">
        <is>
          <t>가좌리</t>
        </is>
      </c>
      <c r="H1779" s="3" t="inlineStr">
        <is>
          <t>자연녹지지역</t>
        </is>
      </c>
      <c r="I1779" s="3" t="inlineStr">
        <is>
          <t>전</t>
        </is>
      </c>
      <c r="J1779" s="3" t="inlineStr">
        <is>
          <t>남이면</t>
        </is>
      </c>
    </row>
    <row r="1780">
      <c r="A1780" s="3" t="n">
        <v>2022</v>
      </c>
      <c r="B1780" s="4" t="n">
        <v>70951</v>
      </c>
      <c r="C1780" s="4" t="n">
        <v>770</v>
      </c>
      <c r="D1780" s="4" t="n">
        <v>232.925</v>
      </c>
      <c r="E1780" s="5" t="n">
        <v>304.6</v>
      </c>
      <c r="F1780" s="3" t="inlineStr">
        <is>
          <t>남이면</t>
        </is>
      </c>
      <c r="G1780" s="3" t="inlineStr">
        <is>
          <t>양촌리</t>
        </is>
      </c>
      <c r="H1780" s="3" t="inlineStr">
        <is>
          <t>자연녹지지역</t>
        </is>
      </c>
      <c r="I1780" s="3" t="inlineStr">
        <is>
          <t>답</t>
        </is>
      </c>
      <c r="J1780" s="3" t="inlineStr">
        <is>
          <t>남이면</t>
        </is>
      </c>
    </row>
    <row r="1781">
      <c r="A1781" s="3" t="n">
        <v>2022</v>
      </c>
      <c r="B1781" s="4" t="n">
        <v>16000</v>
      </c>
      <c r="C1781" s="4" t="n">
        <v>293</v>
      </c>
      <c r="D1781" s="4" t="n">
        <v>88.63249999999999</v>
      </c>
      <c r="E1781" s="5" t="n">
        <v>180.5</v>
      </c>
      <c r="F1781" s="3" t="inlineStr">
        <is>
          <t>남이면</t>
        </is>
      </c>
      <c r="G1781" s="3" t="inlineStr">
        <is>
          <t>척북리</t>
        </is>
      </c>
      <c r="H1781" s="3" t="inlineStr">
        <is>
          <t>자연녹지지역</t>
        </is>
      </c>
      <c r="I1781" s="3" t="inlineStr">
        <is>
          <t>전</t>
        </is>
      </c>
      <c r="J1781" s="3" t="inlineStr">
        <is>
          <t>남이면</t>
        </is>
      </c>
    </row>
    <row r="1782">
      <c r="A1782" s="3" t="n">
        <v>2022</v>
      </c>
      <c r="B1782" s="4" t="n">
        <v>3500</v>
      </c>
      <c r="C1782" s="4" t="n">
        <v>323</v>
      </c>
      <c r="D1782" s="4" t="n">
        <v>97.7075</v>
      </c>
      <c r="E1782" s="5" t="n">
        <v>35.8</v>
      </c>
      <c r="F1782" s="3" t="inlineStr">
        <is>
          <t>남이면</t>
        </is>
      </c>
      <c r="G1782" s="3" t="inlineStr">
        <is>
          <t>척북리</t>
        </is>
      </c>
      <c r="H1782" s="3" t="inlineStr">
        <is>
          <t>자연녹지지역</t>
        </is>
      </c>
      <c r="I1782" s="3" t="inlineStr">
        <is>
          <t>임야</t>
        </is>
      </c>
      <c r="J1782" s="3" t="inlineStr">
        <is>
          <t>남이면</t>
        </is>
      </c>
    </row>
    <row r="1783">
      <c r="A1783" s="3" t="n">
        <v>2022</v>
      </c>
      <c r="B1783" s="4" t="n">
        <v>26900</v>
      </c>
      <c r="C1783" s="4" t="n">
        <v>558</v>
      </c>
      <c r="D1783" s="4" t="n">
        <v>168.795</v>
      </c>
      <c r="E1783" s="5" t="n">
        <v>159.4</v>
      </c>
      <c r="F1783" s="3" t="inlineStr">
        <is>
          <t>남이면</t>
        </is>
      </c>
      <c r="G1783" s="3" t="inlineStr">
        <is>
          <t>척북리</t>
        </is>
      </c>
      <c r="H1783" s="3" t="inlineStr">
        <is>
          <t>자연녹지지역</t>
        </is>
      </c>
      <c r="I1783" s="3" t="inlineStr">
        <is>
          <t>전</t>
        </is>
      </c>
      <c r="J1783" s="3" t="inlineStr">
        <is>
          <t>남이면</t>
        </is>
      </c>
    </row>
    <row r="1784">
      <c r="A1784" s="3" t="n">
        <v>2022</v>
      </c>
      <c r="B1784" s="4" t="n">
        <v>2600</v>
      </c>
      <c r="C1784" s="4" t="n">
        <v>365</v>
      </c>
      <c r="D1784" s="4" t="n">
        <v>110.4125</v>
      </c>
      <c r="E1784" s="5" t="n">
        <v>23.5</v>
      </c>
      <c r="F1784" s="3" t="inlineStr">
        <is>
          <t>남이면</t>
        </is>
      </c>
      <c r="G1784" s="3" t="inlineStr">
        <is>
          <t>척북리</t>
        </is>
      </c>
      <c r="H1784" s="3" t="inlineStr">
        <is>
          <t>자연녹지지역</t>
        </is>
      </c>
      <c r="I1784" s="3" t="inlineStr">
        <is>
          <t>임야</t>
        </is>
      </c>
      <c r="J1784" s="3" t="inlineStr">
        <is>
          <t>남이면</t>
        </is>
      </c>
    </row>
    <row r="1785">
      <c r="A1785" s="3" t="n">
        <v>2022</v>
      </c>
      <c r="B1785" s="4" t="n">
        <v>12250</v>
      </c>
      <c r="C1785" s="4" t="n">
        <v>324</v>
      </c>
      <c r="D1785" s="4" t="n">
        <v>98.00999999999999</v>
      </c>
      <c r="E1785" s="5" t="n">
        <v>125</v>
      </c>
      <c r="F1785" s="3" t="inlineStr">
        <is>
          <t>남이면</t>
        </is>
      </c>
      <c r="G1785" s="3" t="inlineStr">
        <is>
          <t>양촌리</t>
        </is>
      </c>
      <c r="H1785" s="3" t="inlineStr">
        <is>
          <t>보전녹지지역</t>
        </is>
      </c>
      <c r="I1785" s="3" t="inlineStr">
        <is>
          <t>임야</t>
        </is>
      </c>
      <c r="J1785" s="3" t="inlineStr">
        <is>
          <t>남이면</t>
        </is>
      </c>
    </row>
    <row r="1786">
      <c r="A1786" s="3" t="n">
        <v>2022</v>
      </c>
      <c r="B1786" s="4" t="n">
        <v>3375</v>
      </c>
      <c r="C1786" s="4" t="n">
        <v>132</v>
      </c>
      <c r="D1786" s="4" t="n">
        <v>39.93</v>
      </c>
      <c r="E1786" s="5" t="n">
        <v>84.5</v>
      </c>
      <c r="F1786" s="3" t="inlineStr">
        <is>
          <t>남이면</t>
        </is>
      </c>
      <c r="G1786" s="3" t="inlineStr">
        <is>
          <t>구암리</t>
        </is>
      </c>
      <c r="H1786" s="3" t="inlineStr">
        <is>
          <t>자연녹지지역</t>
        </is>
      </c>
      <c r="I1786" s="3" t="inlineStr">
        <is>
          <t>전</t>
        </is>
      </c>
      <c r="J1786" s="3" t="inlineStr">
        <is>
          <t>남이면</t>
        </is>
      </c>
    </row>
    <row r="1787">
      <c r="A1787" s="3" t="n">
        <v>2022</v>
      </c>
      <c r="B1787" s="4" t="n">
        <v>50625</v>
      </c>
      <c r="C1787" s="4" t="n">
        <v>1980</v>
      </c>
      <c r="D1787" s="4" t="n">
        <v>598.9499999999999</v>
      </c>
      <c r="E1787" s="5" t="n">
        <v>84.5</v>
      </c>
      <c r="F1787" s="3" t="inlineStr">
        <is>
          <t>남이면</t>
        </is>
      </c>
      <c r="G1787" s="3" t="inlineStr">
        <is>
          <t>구암리</t>
        </is>
      </c>
      <c r="H1787" s="3" t="inlineStr">
        <is>
          <t>자연녹지지역</t>
        </is>
      </c>
      <c r="I1787" s="3" t="inlineStr">
        <is>
          <t>전</t>
        </is>
      </c>
      <c r="J1787" s="3" t="inlineStr">
        <is>
          <t>남이면</t>
        </is>
      </c>
    </row>
    <row r="1788">
      <c r="A1788" s="3" t="n">
        <v>2022</v>
      </c>
      <c r="B1788" s="4" t="n">
        <v>2120</v>
      </c>
      <c r="C1788" s="4" t="n">
        <v>132</v>
      </c>
      <c r="D1788" s="4" t="n">
        <v>39.93</v>
      </c>
      <c r="E1788" s="5" t="n">
        <v>53.1</v>
      </c>
      <c r="F1788" s="3" t="inlineStr">
        <is>
          <t>연서면</t>
        </is>
      </c>
      <c r="G1788" s="3" t="inlineStr">
        <is>
          <t>신대리</t>
        </is>
      </c>
      <c r="H1788" s="3" t="inlineStr">
        <is>
          <t>계획관리지역</t>
        </is>
      </c>
      <c r="I1788" s="3" t="inlineStr">
        <is>
          <t>전</t>
        </is>
      </c>
      <c r="J1788" s="3" t="inlineStr">
        <is>
          <t>연서면</t>
        </is>
      </c>
    </row>
    <row r="1789">
      <c r="A1789" s="3" t="n">
        <v>2022</v>
      </c>
      <c r="B1789" s="4" t="n">
        <v>47100</v>
      </c>
      <c r="C1789" s="4" t="n">
        <v>2946</v>
      </c>
      <c r="D1789" s="4" t="n">
        <v>891.165</v>
      </c>
      <c r="E1789" s="5" t="n">
        <v>52.9</v>
      </c>
      <c r="F1789" s="3" t="inlineStr">
        <is>
          <t>연서면</t>
        </is>
      </c>
      <c r="G1789" s="3" t="inlineStr">
        <is>
          <t>쌍류리</t>
        </is>
      </c>
      <c r="H1789" s="3" t="inlineStr">
        <is>
          <t>생산관리지역</t>
        </is>
      </c>
      <c r="I1789" s="3" t="inlineStr">
        <is>
          <t>과수원</t>
        </is>
      </c>
      <c r="J1789" s="3" t="inlineStr">
        <is>
          <t>연서면</t>
        </is>
      </c>
    </row>
    <row r="1790">
      <c r="A1790" s="3" t="n">
        <v>2022</v>
      </c>
      <c r="B1790" s="4" t="n">
        <v>13690</v>
      </c>
      <c r="C1790" s="4" t="n">
        <v>856</v>
      </c>
      <c r="D1790" s="4" t="n">
        <v>258.94</v>
      </c>
      <c r="E1790" s="5" t="n">
        <v>52.9</v>
      </c>
      <c r="F1790" s="3" t="inlineStr">
        <is>
          <t>연서면</t>
        </is>
      </c>
      <c r="G1790" s="3" t="inlineStr">
        <is>
          <t>쌍류리</t>
        </is>
      </c>
      <c r="H1790" s="3" t="inlineStr">
        <is>
          <t>생산관리지역</t>
        </is>
      </c>
      <c r="I1790" s="3" t="inlineStr">
        <is>
          <t>과수원</t>
        </is>
      </c>
      <c r="J1790" s="3" t="inlineStr">
        <is>
          <t>연서면</t>
        </is>
      </c>
    </row>
    <row r="1791">
      <c r="A1791" s="3" t="n">
        <v>2022</v>
      </c>
      <c r="B1791" s="4" t="n">
        <v>37210</v>
      </c>
      <c r="C1791" s="4" t="n">
        <v>2328</v>
      </c>
      <c r="D1791" s="4" t="n">
        <v>704.22</v>
      </c>
      <c r="E1791" s="5" t="n">
        <v>52.8</v>
      </c>
      <c r="F1791" s="3" t="inlineStr">
        <is>
          <t>연서면</t>
        </is>
      </c>
      <c r="G1791" s="3" t="inlineStr">
        <is>
          <t>쌍류리</t>
        </is>
      </c>
      <c r="H1791" s="3" t="inlineStr">
        <is>
          <t>생산관리지역</t>
        </is>
      </c>
      <c r="I1791" s="3" t="inlineStr">
        <is>
          <t>답</t>
        </is>
      </c>
      <c r="J1791" s="3" t="inlineStr">
        <is>
          <t>연서면</t>
        </is>
      </c>
    </row>
    <row r="1792">
      <c r="A1792" s="3" t="n">
        <v>2022</v>
      </c>
      <c r="B1792" s="4" t="n">
        <v>48000</v>
      </c>
      <c r="C1792" s="4" t="n">
        <v>993</v>
      </c>
      <c r="D1792" s="4" t="n">
        <v>300.3825</v>
      </c>
      <c r="E1792" s="5" t="n">
        <v>159.8</v>
      </c>
      <c r="F1792" s="3" t="inlineStr">
        <is>
          <t>조치원읍</t>
        </is>
      </c>
      <c r="G1792" s="3" t="inlineStr">
        <is>
          <t>신안리</t>
        </is>
      </c>
      <c r="H1792" s="3" t="inlineStr">
        <is>
          <t>자연녹지지역</t>
        </is>
      </c>
      <c r="I1792" s="3" t="inlineStr">
        <is>
          <t>전</t>
        </is>
      </c>
      <c r="J1792" s="3" t="inlineStr">
        <is>
          <t>조치원읍</t>
        </is>
      </c>
    </row>
    <row r="1793">
      <c r="A1793" s="3" t="n">
        <v>2022</v>
      </c>
      <c r="B1793" s="4" t="n">
        <v>48606</v>
      </c>
      <c r="C1793" s="4" t="n">
        <v>1339</v>
      </c>
      <c r="D1793" s="4" t="n">
        <v>405.0475</v>
      </c>
      <c r="E1793" s="5" t="n">
        <v>120</v>
      </c>
      <c r="F1793" s="3" t="inlineStr">
        <is>
          <t>연서면</t>
        </is>
      </c>
      <c r="G1793" s="3" t="inlineStr">
        <is>
          <t>고복리</t>
        </is>
      </c>
      <c r="H1793" s="3" t="inlineStr">
        <is>
          <t>자연녹지지역</t>
        </is>
      </c>
      <c r="I1793" s="3" t="inlineStr">
        <is>
          <t>과수원</t>
        </is>
      </c>
      <c r="J1793" s="3" t="inlineStr">
        <is>
          <t>연서면</t>
        </is>
      </c>
    </row>
    <row r="1794">
      <c r="A1794" s="3" t="n">
        <v>2024</v>
      </c>
      <c r="B1794" s="4" t="n">
        <v>5905</v>
      </c>
      <c r="C1794" s="4" t="n">
        <v>400</v>
      </c>
      <c r="D1794" s="4" t="n">
        <v>121</v>
      </c>
      <c r="E1794" s="5" t="n">
        <v>48.8</v>
      </c>
      <c r="F1794" s="3" t="inlineStr">
        <is>
          <t>남이면</t>
        </is>
      </c>
      <c r="G1794" s="3" t="inlineStr">
        <is>
          <t>척산리</t>
        </is>
      </c>
      <c r="H1794" s="3" t="inlineStr">
        <is>
          <t>계획관리지역</t>
        </is>
      </c>
      <c r="I1794" s="3" t="inlineStr">
        <is>
          <t>임야</t>
        </is>
      </c>
      <c r="J1794" s="3" t="inlineStr">
        <is>
          <t>남이면</t>
        </is>
      </c>
    </row>
    <row r="1795">
      <c r="A1795" s="3" t="n">
        <v>2026</v>
      </c>
      <c r="B1795" s="4" t="n">
        <v>56600</v>
      </c>
      <c r="C1795" s="4" t="n">
        <v>4982</v>
      </c>
      <c r="D1795" s="4" t="n">
        <v>1507.055</v>
      </c>
      <c r="E1795" s="5" t="n">
        <v>37.6</v>
      </c>
      <c r="F1795" s="3" t="inlineStr">
        <is>
          <t>남이면</t>
        </is>
      </c>
      <c r="G1795" s="3" t="inlineStr">
        <is>
          <t>구미리</t>
        </is>
      </c>
      <c r="H1795" s="3" t="inlineStr">
        <is>
          <t>보전관리지역</t>
        </is>
      </c>
      <c r="I1795" s="3" t="inlineStr">
        <is>
          <t>대</t>
        </is>
      </c>
      <c r="J1795" s="3" t="inlineStr">
        <is>
          <t>남이면</t>
        </is>
      </c>
    </row>
    <row r="1796">
      <c r="A1796" s="3" t="n">
        <v>2026</v>
      </c>
      <c r="B1796" s="4" t="n">
        <v>13900</v>
      </c>
      <c r="C1796" s="4" t="n">
        <v>2003</v>
      </c>
      <c r="D1796" s="4" t="n">
        <v>605.9075</v>
      </c>
      <c r="E1796" s="5" t="n">
        <v>22.9</v>
      </c>
      <c r="F1796" s="3" t="inlineStr">
        <is>
          <t>남이면</t>
        </is>
      </c>
      <c r="G1796" s="3" t="inlineStr">
        <is>
          <t>부용외천리</t>
        </is>
      </c>
      <c r="H1796" s="3" t="inlineStr">
        <is>
          <t>보전관리지역</t>
        </is>
      </c>
      <c r="I1796" s="3" t="inlineStr">
        <is>
          <t>전</t>
        </is>
      </c>
      <c r="J1796" s="3" t="inlineStr">
        <is>
          <t>남이면</t>
        </is>
      </c>
    </row>
    <row r="1797">
      <c r="A1797" s="3" t="n">
        <v>2026</v>
      </c>
      <c r="B1797" s="4" t="n">
        <v>56000</v>
      </c>
      <c r="C1797" s="4" t="n">
        <v>2006</v>
      </c>
      <c r="D1797" s="4" t="n">
        <v>606.8149999999999</v>
      </c>
      <c r="E1797" s="5" t="n">
        <v>92.3</v>
      </c>
      <c r="F1797" s="3" t="inlineStr">
        <is>
          <t>남이면</t>
        </is>
      </c>
      <c r="G1797" s="3" t="inlineStr">
        <is>
          <t>석판리</t>
        </is>
      </c>
      <c r="H1797" s="3" t="inlineStr">
        <is>
          <t>자연녹지지역</t>
        </is>
      </c>
      <c r="I1797" s="3" t="inlineStr">
        <is>
          <t>답</t>
        </is>
      </c>
      <c r="J1797" s="3" t="inlineStr">
        <is>
          <t>남이면</t>
        </is>
      </c>
    </row>
    <row r="1798">
      <c r="A1798" s="3" t="n">
        <v>2022</v>
      </c>
      <c r="B1798" s="4" t="n">
        <v>3375</v>
      </c>
      <c r="C1798" s="4" t="n">
        <v>132</v>
      </c>
      <c r="D1798" s="4" t="n">
        <v>39.93</v>
      </c>
      <c r="E1798" s="5" t="n">
        <v>84.5</v>
      </c>
      <c r="F1798" s="3" t="inlineStr">
        <is>
          <t>남이면</t>
        </is>
      </c>
      <c r="G1798" s="3" t="inlineStr">
        <is>
          <t>구암리</t>
        </is>
      </c>
      <c r="H1798" s="3" t="inlineStr">
        <is>
          <t>자연녹지지역</t>
        </is>
      </c>
      <c r="I1798" s="3" t="inlineStr">
        <is>
          <t>전</t>
        </is>
      </c>
      <c r="J1798" s="3" t="inlineStr">
        <is>
          <t>남이면</t>
        </is>
      </c>
    </row>
    <row r="1799">
      <c r="A1799" s="3" t="n">
        <v>2022</v>
      </c>
      <c r="B1799" s="4" t="n">
        <v>50625</v>
      </c>
      <c r="C1799" s="4" t="n">
        <v>1980</v>
      </c>
      <c r="D1799" s="4" t="n">
        <v>598.9499999999999</v>
      </c>
      <c r="E1799" s="5" t="n">
        <v>84.5</v>
      </c>
      <c r="F1799" s="3" t="inlineStr">
        <is>
          <t>남이면</t>
        </is>
      </c>
      <c r="G1799" s="3" t="inlineStr">
        <is>
          <t>구암리</t>
        </is>
      </c>
      <c r="H1799" s="3" t="inlineStr">
        <is>
          <t>자연녹지지역</t>
        </is>
      </c>
      <c r="I1799" s="3" t="inlineStr">
        <is>
          <t>전</t>
        </is>
      </c>
      <c r="J1799" s="3" t="inlineStr">
        <is>
          <t>남이면</t>
        </is>
      </c>
    </row>
    <row r="1800">
      <c r="A1800" s="3" t="n">
        <v>2022</v>
      </c>
      <c r="B1800" s="4" t="n">
        <v>25000</v>
      </c>
      <c r="C1800" s="4" t="n">
        <v>868</v>
      </c>
      <c r="D1800" s="4" t="n">
        <v>262.57</v>
      </c>
      <c r="E1800" s="5" t="n">
        <v>95.2</v>
      </c>
      <c r="F1800" s="3" t="inlineStr">
        <is>
          <t>남이면</t>
        </is>
      </c>
      <c r="G1800" s="3" t="inlineStr">
        <is>
          <t>팔봉리</t>
        </is>
      </c>
      <c r="H1800" s="3" t="inlineStr">
        <is>
          <t>자연녹지지역</t>
        </is>
      </c>
      <c r="I1800" s="3" t="inlineStr">
        <is>
          <t>답</t>
        </is>
      </c>
      <c r="J1800" s="3" t="inlineStr">
        <is>
          <t>남이면</t>
        </is>
      </c>
    </row>
    <row r="1801">
      <c r="A1801" s="3" t="n">
        <v>2022</v>
      </c>
      <c r="B1801" s="4" t="n">
        <v>35900</v>
      </c>
      <c r="C1801" s="4" t="n">
        <v>2638</v>
      </c>
      <c r="D1801" s="4" t="n">
        <v>797.995</v>
      </c>
      <c r="E1801" s="5" t="n">
        <v>45</v>
      </c>
      <c r="F1801" s="3" t="inlineStr">
        <is>
          <t>남이면</t>
        </is>
      </c>
      <c r="G1801" s="3" t="inlineStr">
        <is>
          <t>가좌리</t>
        </is>
      </c>
      <c r="H1801" s="3" t="inlineStr">
        <is>
          <t>자연녹지지역</t>
        </is>
      </c>
      <c r="I1801" s="3" t="inlineStr">
        <is>
          <t>임야</t>
        </is>
      </c>
      <c r="J1801" s="3" t="inlineStr">
        <is>
          <t>남이면</t>
        </is>
      </c>
    </row>
    <row r="1802">
      <c r="A1802" s="3" t="n">
        <v>2022</v>
      </c>
      <c r="B1802" s="4" t="n">
        <v>30000</v>
      </c>
      <c r="C1802" s="4" t="n">
        <v>755</v>
      </c>
      <c r="D1802" s="4" t="n">
        <v>228.3875</v>
      </c>
      <c r="E1802" s="5" t="n">
        <v>131.4</v>
      </c>
      <c r="F1802" s="3" t="inlineStr">
        <is>
          <t>남이면</t>
        </is>
      </c>
      <c r="G1802" s="3" t="inlineStr">
        <is>
          <t>석판리</t>
        </is>
      </c>
      <c r="H1802" s="3" t="inlineStr">
        <is>
          <t>자연녹지지역</t>
        </is>
      </c>
      <c r="I1802" s="3" t="inlineStr">
        <is>
          <t>전</t>
        </is>
      </c>
      <c r="J1802" s="3" t="inlineStr">
        <is>
          <t>남이면</t>
        </is>
      </c>
    </row>
    <row r="1803">
      <c r="A1803" s="3" t="n">
        <v>2022</v>
      </c>
      <c r="B1803" s="4" t="n">
        <v>500</v>
      </c>
      <c r="C1803" s="4" t="n">
        <v>19</v>
      </c>
      <c r="D1803" s="4" t="n">
        <v>5.7475</v>
      </c>
      <c r="E1803" s="5" t="n">
        <v>87</v>
      </c>
      <c r="F1803" s="3" t="inlineStr">
        <is>
          <t>남이면</t>
        </is>
      </c>
      <c r="G1803" s="3" t="inlineStr">
        <is>
          <t>석판리</t>
        </is>
      </c>
      <c r="H1803" s="3" t="inlineStr">
        <is>
          <t>자연녹지지역</t>
        </is>
      </c>
      <c r="I1803" s="3" t="inlineStr">
        <is>
          <t>도로</t>
        </is>
      </c>
      <c r="J1803" s="3" t="inlineStr">
        <is>
          <t>남이면</t>
        </is>
      </c>
    </row>
    <row r="1804">
      <c r="A1804" s="3" t="n">
        <v>2022</v>
      </c>
      <c r="B1804" s="4" t="n">
        <v>22000</v>
      </c>
      <c r="C1804" s="4" t="n">
        <v>1490</v>
      </c>
      <c r="D1804" s="4" t="n">
        <v>450.725</v>
      </c>
      <c r="E1804" s="5" t="n">
        <v>48.8</v>
      </c>
      <c r="F1804" s="3" t="inlineStr">
        <is>
          <t>남이면</t>
        </is>
      </c>
      <c r="G1804" s="3" t="inlineStr">
        <is>
          <t>문동리</t>
        </is>
      </c>
      <c r="H1804" s="3" t="inlineStr">
        <is>
          <t>보전녹지지역</t>
        </is>
      </c>
      <c r="I1804" s="3" t="inlineStr">
        <is>
          <t>임야</t>
        </is>
      </c>
      <c r="J1804" s="3" t="inlineStr">
        <is>
          <t>남이면</t>
        </is>
      </c>
    </row>
    <row r="1805">
      <c r="A1805" s="3" t="n">
        <v>2022</v>
      </c>
      <c r="B1805" s="4" t="n">
        <v>4650</v>
      </c>
      <c r="C1805" s="4" t="n">
        <v>124</v>
      </c>
      <c r="D1805" s="4" t="n">
        <v>37.51</v>
      </c>
      <c r="E1805" s="5" t="n">
        <v>124</v>
      </c>
      <c r="F1805" s="3" t="inlineStr">
        <is>
          <t>남이면</t>
        </is>
      </c>
      <c r="G1805" s="3" t="inlineStr">
        <is>
          <t>양촌리</t>
        </is>
      </c>
      <c r="H1805" s="3" t="inlineStr">
        <is>
          <t>자연녹지지역</t>
        </is>
      </c>
      <c r="I1805" s="3" t="inlineStr">
        <is>
          <t>도로</t>
        </is>
      </c>
      <c r="J1805" s="3" t="inlineStr">
        <is>
          <t>남이면</t>
        </is>
      </c>
    </row>
    <row r="1806">
      <c r="A1806" s="3" t="n">
        <v>2022</v>
      </c>
      <c r="B1806" s="4" t="n">
        <v>7950</v>
      </c>
      <c r="C1806" s="4" t="n">
        <v>212</v>
      </c>
      <c r="D1806" s="4" t="n">
        <v>64.13</v>
      </c>
      <c r="E1806" s="5" t="n">
        <v>124</v>
      </c>
      <c r="F1806" s="3" t="inlineStr">
        <is>
          <t>남이면</t>
        </is>
      </c>
      <c r="G1806" s="3" t="inlineStr">
        <is>
          <t>양촌리</t>
        </is>
      </c>
      <c r="H1806" s="3" t="inlineStr">
        <is>
          <t>자연녹지지역</t>
        </is>
      </c>
      <c r="I1806" s="3" t="inlineStr">
        <is>
          <t>도로</t>
        </is>
      </c>
      <c r="J1806" s="3" t="inlineStr">
        <is>
          <t>남이면</t>
        </is>
      </c>
    </row>
    <row r="1807">
      <c r="A1807" s="3" t="n">
        <v>2022</v>
      </c>
      <c r="B1807" s="4" t="n">
        <v>12451</v>
      </c>
      <c r="C1807" s="4" t="n">
        <v>803</v>
      </c>
      <c r="D1807" s="4" t="n">
        <v>242.9075</v>
      </c>
      <c r="E1807" s="5" t="n">
        <v>51.3</v>
      </c>
      <c r="F1807" s="3" t="inlineStr">
        <is>
          <t>남이면</t>
        </is>
      </c>
      <c r="G1807" s="3" t="inlineStr">
        <is>
          <t>수대리</t>
        </is>
      </c>
      <c r="H1807" s="3" t="inlineStr">
        <is>
          <t>보전녹지지역</t>
        </is>
      </c>
      <c r="I1807" s="3" t="inlineStr">
        <is>
          <t>임야</t>
        </is>
      </c>
      <c r="J1807" s="3" t="inlineStr">
        <is>
          <t>남이면</t>
        </is>
      </c>
    </row>
    <row r="1808">
      <c r="A1808" s="3" t="n">
        <v>2022</v>
      </c>
      <c r="B1808" s="4" t="n">
        <v>62</v>
      </c>
      <c r="C1808" s="4" t="n">
        <v>4</v>
      </c>
      <c r="D1808" s="4" t="n">
        <v>1.21</v>
      </c>
      <c r="E1808" s="5" t="n">
        <v>51.2</v>
      </c>
      <c r="F1808" s="3" t="inlineStr">
        <is>
          <t>남이면</t>
        </is>
      </c>
      <c r="G1808" s="3" t="inlineStr">
        <is>
          <t>수대리</t>
        </is>
      </c>
      <c r="H1808" s="3" t="inlineStr">
        <is>
          <t>보전녹지지역</t>
        </is>
      </c>
      <c r="I1808" s="3" t="inlineStr">
        <is>
          <t>임야</t>
        </is>
      </c>
      <c r="J1808" s="3" t="inlineStr">
        <is>
          <t>남이면</t>
        </is>
      </c>
    </row>
    <row r="1809">
      <c r="A1809" s="3" t="n">
        <v>2022</v>
      </c>
      <c r="B1809" s="4" t="n">
        <v>7910</v>
      </c>
      <c r="C1809" s="4" t="n">
        <v>1154</v>
      </c>
      <c r="D1809" s="4" t="n">
        <v>349.085</v>
      </c>
      <c r="E1809" s="5" t="n">
        <v>22.7</v>
      </c>
      <c r="F1809" s="3" t="inlineStr">
        <is>
          <t>남이면</t>
        </is>
      </c>
      <c r="G1809" s="3" t="inlineStr">
        <is>
          <t>비룡리</t>
        </is>
      </c>
      <c r="H1809" s="3" t="inlineStr">
        <is>
          <t>계획관리지역</t>
        </is>
      </c>
      <c r="I1809" s="3" t="inlineStr">
        <is>
          <t>전</t>
        </is>
      </c>
      <c r="J1809" s="3" t="inlineStr">
        <is>
          <t>남이면</t>
        </is>
      </c>
    </row>
    <row r="1810">
      <c r="A1810" s="3" t="n">
        <v>2026</v>
      </c>
      <c r="B1810" s="4" t="n">
        <v>10300</v>
      </c>
      <c r="C1810" s="4" t="n">
        <v>351</v>
      </c>
      <c r="D1810" s="4" t="n">
        <v>106.1775</v>
      </c>
      <c r="E1810" s="5" t="n">
        <v>97</v>
      </c>
      <c r="F1810" s="3" t="inlineStr">
        <is>
          <t>남이면</t>
        </is>
      </c>
      <c r="G1810" s="3" t="inlineStr">
        <is>
          <t>가마리</t>
        </is>
      </c>
      <c r="H1810" s="3" t="inlineStr">
        <is>
          <t>자연녹지지역</t>
        </is>
      </c>
      <c r="I1810" s="3" t="inlineStr">
        <is>
          <t>전</t>
        </is>
      </c>
      <c r="J1810" s="3" t="inlineStr">
        <is>
          <t>남이면</t>
        </is>
      </c>
    </row>
    <row r="1811">
      <c r="A1811" s="3" t="n">
        <v>2026</v>
      </c>
      <c r="B1811" s="4" t="n">
        <v>44913</v>
      </c>
      <c r="C1811" s="4" t="n">
        <v>785</v>
      </c>
      <c r="D1811" s="4" t="n">
        <v>237.4625</v>
      </c>
      <c r="E1811" s="5" t="n">
        <v>189.1</v>
      </c>
      <c r="F1811" s="3" t="inlineStr">
        <is>
          <t>남이면</t>
        </is>
      </c>
      <c r="G1811" s="3" t="inlineStr">
        <is>
          <t>부용외천리</t>
        </is>
      </c>
      <c r="H1811" s="3" t="inlineStr">
        <is>
          <t>계획관리지역</t>
        </is>
      </c>
      <c r="I1811" s="3" t="inlineStr">
        <is>
          <t>공장용지</t>
        </is>
      </c>
      <c r="J1811" s="3" t="inlineStr">
        <is>
          <t>남이면</t>
        </is>
      </c>
    </row>
    <row r="1812">
      <c r="A1812" s="3" t="n">
        <v>2026</v>
      </c>
      <c r="B1812" s="4" t="n">
        <v>768</v>
      </c>
      <c r="C1812" s="4" t="n">
        <v>28</v>
      </c>
      <c r="D1812" s="4" t="n">
        <v>8.469999999999999</v>
      </c>
      <c r="E1812" s="5" t="n">
        <v>90.7</v>
      </c>
      <c r="F1812" s="3" t="inlineStr">
        <is>
          <t>남이면</t>
        </is>
      </c>
      <c r="G1812" s="3" t="inlineStr">
        <is>
          <t>부용외천리</t>
        </is>
      </c>
      <c r="H1812" s="3" t="inlineStr">
        <is>
          <t>계획관리지역</t>
        </is>
      </c>
      <c r="I1812" s="3" t="inlineStr">
        <is>
          <t>답</t>
        </is>
      </c>
      <c r="J1812" s="3" t="inlineStr">
        <is>
          <t>남이면</t>
        </is>
      </c>
    </row>
    <row r="1813">
      <c r="A1813" s="3" t="n">
        <v>2026</v>
      </c>
      <c r="B1813" s="4" t="n">
        <v>271</v>
      </c>
      <c r="C1813" s="4" t="n">
        <v>13</v>
      </c>
      <c r="D1813" s="4" t="n">
        <v>3.9325</v>
      </c>
      <c r="E1813" s="5" t="n">
        <v>68.90000000000001</v>
      </c>
      <c r="F1813" s="3" t="inlineStr">
        <is>
          <t>남이면</t>
        </is>
      </c>
      <c r="G1813" s="3" t="inlineStr">
        <is>
          <t>부용외천리</t>
        </is>
      </c>
      <c r="H1813" s="3" t="inlineStr">
        <is>
          <t>계획관리지역</t>
        </is>
      </c>
      <c r="I1813" s="3" t="inlineStr">
        <is>
          <t>답</t>
        </is>
      </c>
      <c r="J1813" s="3" t="inlineStr">
        <is>
          <t>남이면</t>
        </is>
      </c>
    </row>
    <row r="1814">
      <c r="A1814" s="3" t="n">
        <v>2026</v>
      </c>
      <c r="B1814" s="4" t="n">
        <v>12947</v>
      </c>
      <c r="C1814" s="4" t="n">
        <v>2040</v>
      </c>
      <c r="D1814" s="4" t="n">
        <v>617.1</v>
      </c>
      <c r="E1814" s="5" t="n">
        <v>21</v>
      </c>
      <c r="F1814" s="3" t="inlineStr">
        <is>
          <t>남이면</t>
        </is>
      </c>
      <c r="G1814" s="3" t="inlineStr">
        <is>
          <t>비룡리</t>
        </is>
      </c>
      <c r="H1814" s="3" t="inlineStr">
        <is>
          <t>계획관리지역</t>
        </is>
      </c>
      <c r="I1814" s="3" t="inlineStr">
        <is>
          <t>전</t>
        </is>
      </c>
      <c r="J1814" s="3" t="inlineStr">
        <is>
          <t>남이면</t>
        </is>
      </c>
    </row>
    <row r="1815">
      <c r="A1815" s="3" t="n">
        <v>2026</v>
      </c>
      <c r="B1815" s="4" t="n">
        <v>24000</v>
      </c>
      <c r="C1815" s="4" t="n">
        <v>4503</v>
      </c>
      <c r="D1815" s="4" t="n">
        <v>1362.1575</v>
      </c>
      <c r="E1815" s="5" t="n">
        <v>17.6</v>
      </c>
      <c r="F1815" s="3" t="inlineStr">
        <is>
          <t>남이면</t>
        </is>
      </c>
      <c r="G1815" s="3" t="inlineStr">
        <is>
          <t>갈원리</t>
        </is>
      </c>
      <c r="H1815" s="3" t="inlineStr">
        <is>
          <t>자연녹지지역</t>
        </is>
      </c>
      <c r="I1815" s="3" t="inlineStr">
        <is>
          <t>임야</t>
        </is>
      </c>
      <c r="J1815" s="3" t="inlineStr">
        <is>
          <t>남이면</t>
        </is>
      </c>
    </row>
    <row r="1816">
      <c r="A1816" s="3" t="n">
        <v>2026</v>
      </c>
      <c r="B1816" s="4" t="n">
        <v>13000</v>
      </c>
      <c r="C1816" s="4" t="n">
        <v>2040</v>
      </c>
      <c r="D1816" s="4" t="n">
        <v>617.1</v>
      </c>
      <c r="E1816" s="5" t="n">
        <v>21.1</v>
      </c>
      <c r="F1816" s="3" t="inlineStr">
        <is>
          <t>남이면</t>
        </is>
      </c>
      <c r="G1816" s="3" t="inlineStr">
        <is>
          <t>비룡리</t>
        </is>
      </c>
      <c r="H1816" s="3" t="inlineStr">
        <is>
          <t>계획관리지역</t>
        </is>
      </c>
      <c r="I1816" s="3" t="inlineStr">
        <is>
          <t>전</t>
        </is>
      </c>
      <c r="J1816" s="3" t="inlineStr">
        <is>
          <t>남이면</t>
        </is>
      </c>
    </row>
    <row r="1817">
      <c r="A1817" s="3" t="n">
        <v>2026</v>
      </c>
      <c r="B1817" s="4" t="n">
        <v>36319</v>
      </c>
      <c r="C1817" s="4" t="n">
        <v>877</v>
      </c>
      <c r="D1817" s="4" t="n">
        <v>265.2925</v>
      </c>
      <c r="E1817" s="5" t="n">
        <v>136.9</v>
      </c>
      <c r="F1817" s="3" t="inlineStr">
        <is>
          <t>남이면</t>
        </is>
      </c>
      <c r="G1817" s="3" t="inlineStr">
        <is>
          <t>양촌리</t>
        </is>
      </c>
      <c r="H1817" s="3" t="inlineStr">
        <is>
          <t>자연녹지지역</t>
        </is>
      </c>
      <c r="I1817" s="3" t="inlineStr">
        <is>
          <t>전</t>
        </is>
      </c>
      <c r="J1817" s="3" t="inlineStr">
        <is>
          <t>남이면</t>
        </is>
      </c>
    </row>
    <row r="1818">
      <c r="A1818" s="3" t="n">
        <v>2026</v>
      </c>
      <c r="B1818" s="4" t="n">
        <v>538</v>
      </c>
      <c r="C1818" s="4" t="n">
        <v>13</v>
      </c>
      <c r="D1818" s="4" t="n">
        <v>3.9325</v>
      </c>
      <c r="E1818" s="5" t="n">
        <v>136.8</v>
      </c>
      <c r="F1818" s="3" t="inlineStr">
        <is>
          <t>남이면</t>
        </is>
      </c>
      <c r="G1818" s="3" t="inlineStr">
        <is>
          <t>양촌리</t>
        </is>
      </c>
      <c r="H1818" s="3" t="inlineStr">
        <is>
          <t>자연녹지지역</t>
        </is>
      </c>
      <c r="I1818" s="3" t="inlineStr">
        <is>
          <t>전</t>
        </is>
      </c>
      <c r="J1818" s="3" t="inlineStr">
        <is>
          <t>남이면</t>
        </is>
      </c>
    </row>
    <row r="1819">
      <c r="A1819" s="3" t="n">
        <v>2026</v>
      </c>
      <c r="B1819" s="4" t="n">
        <v>15406</v>
      </c>
      <c r="C1819" s="4" t="n">
        <v>372</v>
      </c>
      <c r="D1819" s="4" t="n">
        <v>112.53</v>
      </c>
      <c r="E1819" s="5" t="n">
        <v>136.9</v>
      </c>
      <c r="F1819" s="3" t="inlineStr">
        <is>
          <t>남이면</t>
        </is>
      </c>
      <c r="G1819" s="3" t="inlineStr">
        <is>
          <t>양촌리</t>
        </is>
      </c>
      <c r="H1819" s="3" t="inlineStr">
        <is>
          <t>자연녹지지역</t>
        </is>
      </c>
      <c r="I1819" s="3" t="inlineStr">
        <is>
          <t>전</t>
        </is>
      </c>
      <c r="J1819" s="3" t="inlineStr">
        <is>
          <t>남이면</t>
        </is>
      </c>
    </row>
    <row r="1820">
      <c r="A1820" s="3" t="n">
        <v>2023</v>
      </c>
      <c r="B1820" s="4" t="n">
        <v>68322</v>
      </c>
      <c r="C1820" s="4" t="n">
        <v>1914.2</v>
      </c>
      <c r="D1820" s="4" t="n">
        <v>579.0454999999999</v>
      </c>
      <c r="E1820" s="5" t="n">
        <v>118</v>
      </c>
      <c r="F1820" s="3" t="inlineStr">
        <is>
          <t>오송읍</t>
        </is>
      </c>
      <c r="G1820" s="3" t="inlineStr">
        <is>
          <t>정중리</t>
        </is>
      </c>
      <c r="H1820" s="3" t="inlineStr">
        <is>
          <t>일반공업지역</t>
        </is>
      </c>
      <c r="I1820" s="3" t="inlineStr">
        <is>
          <t>대</t>
        </is>
      </c>
      <c r="J1820" s="3" t="inlineStr">
        <is>
          <t>오송읍</t>
        </is>
      </c>
    </row>
    <row r="1821">
      <c r="A1821" s="3" t="n">
        <v>2023</v>
      </c>
      <c r="B1821" s="4" t="n">
        <v>1300</v>
      </c>
      <c r="C1821" s="4" t="n">
        <v>108</v>
      </c>
      <c r="D1821" s="4" t="n">
        <v>32.67</v>
      </c>
      <c r="E1821" s="5" t="n">
        <v>39.8</v>
      </c>
      <c r="F1821" s="3" t="inlineStr">
        <is>
          <t>오송읍</t>
        </is>
      </c>
      <c r="G1821" s="3" t="inlineStr">
        <is>
          <t>연제리</t>
        </is>
      </c>
      <c r="H1821" s="3" t="inlineStr">
        <is>
          <t>계획관리지역</t>
        </is>
      </c>
      <c r="I1821" s="3" t="inlineStr">
        <is>
          <t>도로</t>
        </is>
      </c>
      <c r="J1821" s="3" t="inlineStr">
        <is>
          <t>오송읍</t>
        </is>
      </c>
    </row>
    <row r="1822">
      <c r="A1822" s="3" t="n">
        <v>2023</v>
      </c>
      <c r="B1822" s="4" t="n">
        <v>1500</v>
      </c>
      <c r="C1822" s="4" t="n">
        <v>73</v>
      </c>
      <c r="D1822" s="4" t="n">
        <v>22.0825</v>
      </c>
      <c r="E1822" s="5" t="n">
        <v>67.90000000000001</v>
      </c>
      <c r="F1822" s="3" t="inlineStr">
        <is>
          <t>오송읍</t>
        </is>
      </c>
      <c r="G1822" s="3" t="inlineStr">
        <is>
          <t>연제리</t>
        </is>
      </c>
      <c r="H1822" s="3" t="inlineStr">
        <is>
          <t>계획관리지역</t>
        </is>
      </c>
      <c r="I1822" s="3" t="inlineStr">
        <is>
          <t>전</t>
        </is>
      </c>
      <c r="J1822" s="3" t="inlineStr">
        <is>
          <t>오송읍</t>
        </is>
      </c>
    </row>
    <row r="1823">
      <c r="A1823" s="3" t="n">
        <v>2023</v>
      </c>
      <c r="B1823" s="4" t="n">
        <v>8600</v>
      </c>
      <c r="C1823" s="4" t="n">
        <v>547</v>
      </c>
      <c r="D1823" s="4" t="n">
        <v>165.4675</v>
      </c>
      <c r="E1823" s="5" t="n">
        <v>52</v>
      </c>
      <c r="F1823" s="3" t="inlineStr">
        <is>
          <t>강내면</t>
        </is>
      </c>
      <c r="G1823" s="3" t="inlineStr">
        <is>
          <t>연정리</t>
        </is>
      </c>
      <c r="H1823" s="3" t="inlineStr">
        <is>
          <t>계획관리지역</t>
        </is>
      </c>
      <c r="I1823" s="3" t="inlineStr">
        <is>
          <t>임야</t>
        </is>
      </c>
      <c r="J1823" s="3" t="inlineStr">
        <is>
          <t>강내면</t>
        </is>
      </c>
    </row>
    <row r="1824">
      <c r="A1824" s="3" t="n">
        <v>2023</v>
      </c>
      <c r="B1824" s="4" t="n">
        <v>23400</v>
      </c>
      <c r="C1824" s="4" t="n">
        <v>1510</v>
      </c>
      <c r="D1824" s="4" t="n">
        <v>456.775</v>
      </c>
      <c r="E1824" s="5" t="n">
        <v>51.2</v>
      </c>
      <c r="F1824" s="3" t="inlineStr">
        <is>
          <t>강내면</t>
        </is>
      </c>
      <c r="G1824" s="3" t="inlineStr">
        <is>
          <t>연정리</t>
        </is>
      </c>
      <c r="H1824" s="3" t="inlineStr">
        <is>
          <t>계획관리지역</t>
        </is>
      </c>
      <c r="I1824" s="3" t="inlineStr">
        <is>
          <t>임야</t>
        </is>
      </c>
      <c r="J1824" s="3" t="inlineStr">
        <is>
          <t>강내면</t>
        </is>
      </c>
    </row>
    <row r="1825">
      <c r="A1825" s="3" t="n">
        <v>2023</v>
      </c>
      <c r="B1825" s="4" t="n">
        <v>53500</v>
      </c>
      <c r="C1825" s="4" t="n">
        <v>1653</v>
      </c>
      <c r="D1825" s="4" t="n">
        <v>500.0325</v>
      </c>
      <c r="E1825" s="5" t="n">
        <v>107</v>
      </c>
      <c r="F1825" s="3" t="inlineStr">
        <is>
          <t>강내면</t>
        </is>
      </c>
      <c r="G1825" s="3" t="inlineStr">
        <is>
          <t>궁현리</t>
        </is>
      </c>
      <c r="H1825" s="3" t="inlineStr">
        <is>
          <t>계획관리지역</t>
        </is>
      </c>
      <c r="I1825" s="3" t="inlineStr">
        <is>
          <t>전</t>
        </is>
      </c>
      <c r="J1825" s="3" t="inlineStr">
        <is>
          <t>강내면</t>
        </is>
      </c>
    </row>
    <row r="1826">
      <c r="A1826" s="3" t="n">
        <v>2023</v>
      </c>
      <c r="B1826" s="4" t="n">
        <v>67000</v>
      </c>
      <c r="C1826" s="4" t="n">
        <v>4000</v>
      </c>
      <c r="D1826" s="4" t="n">
        <v>1210</v>
      </c>
      <c r="E1826" s="5" t="n">
        <v>55.4</v>
      </c>
      <c r="F1826" s="3" t="inlineStr">
        <is>
          <t>오송읍</t>
        </is>
      </c>
      <c r="G1826" s="3" t="inlineStr">
        <is>
          <t>봉산리</t>
        </is>
      </c>
      <c r="H1826" s="3" t="inlineStr">
        <is>
          <t>농림지역</t>
        </is>
      </c>
      <c r="I1826" s="3" t="inlineStr">
        <is>
          <t>답</t>
        </is>
      </c>
      <c r="J1826" s="3" t="inlineStr">
        <is>
          <t>오송읍</t>
        </is>
      </c>
    </row>
    <row r="1827">
      <c r="A1827" s="3" t="n">
        <v>2023</v>
      </c>
      <c r="B1827" s="4" t="n">
        <v>89230</v>
      </c>
      <c r="C1827" s="4" t="n">
        <v>1965.3</v>
      </c>
      <c r="D1827" s="4" t="n">
        <v>594.50325</v>
      </c>
      <c r="E1827" s="5" t="n">
        <v>150.1</v>
      </c>
      <c r="F1827" s="3" t="inlineStr">
        <is>
          <t>오송읍</t>
        </is>
      </c>
      <c r="G1827" s="3" t="inlineStr">
        <is>
          <t>공북리</t>
        </is>
      </c>
      <c r="H1827" s="3" t="inlineStr">
        <is>
          <t>계획관리지역</t>
        </is>
      </c>
      <c r="I1827" s="3" t="inlineStr">
        <is>
          <t>답</t>
        </is>
      </c>
      <c r="J1827" s="3" t="inlineStr">
        <is>
          <t>오송읍</t>
        </is>
      </c>
    </row>
    <row r="1828">
      <c r="A1828" s="3" t="n">
        <v>2023</v>
      </c>
      <c r="B1828" s="4" t="n">
        <v>45400</v>
      </c>
      <c r="C1828" s="4" t="n">
        <v>1000</v>
      </c>
      <c r="D1828" s="4" t="n">
        <v>302.5</v>
      </c>
      <c r="E1828" s="5" t="n">
        <v>150.1</v>
      </c>
      <c r="F1828" s="3" t="inlineStr">
        <is>
          <t>오송읍</t>
        </is>
      </c>
      <c r="G1828" s="3" t="inlineStr">
        <is>
          <t>공북리</t>
        </is>
      </c>
      <c r="H1828" s="3" t="inlineStr">
        <is>
          <t>계획관리지역</t>
        </is>
      </c>
      <c r="I1828" s="3" t="inlineStr">
        <is>
          <t>답</t>
        </is>
      </c>
      <c r="J1828" s="3" t="inlineStr">
        <is>
          <t>오송읍</t>
        </is>
      </c>
    </row>
    <row r="1829">
      <c r="A1829" s="3" t="n">
        <v>2023</v>
      </c>
      <c r="B1829" s="4" t="n">
        <v>42050</v>
      </c>
      <c r="C1829" s="4" t="n">
        <v>926.4</v>
      </c>
      <c r="D1829" s="4" t="n">
        <v>280.236</v>
      </c>
      <c r="E1829" s="5" t="n">
        <v>150.1</v>
      </c>
      <c r="F1829" s="3" t="inlineStr">
        <is>
          <t>오송읍</t>
        </is>
      </c>
      <c r="G1829" s="3" t="inlineStr">
        <is>
          <t>공북리</t>
        </is>
      </c>
      <c r="H1829" s="3" t="inlineStr">
        <is>
          <t>계획관리지역</t>
        </is>
      </c>
      <c r="I1829" s="3" t="inlineStr">
        <is>
          <t>답</t>
        </is>
      </c>
      <c r="J1829" s="3" t="inlineStr">
        <is>
          <t>오송읍</t>
        </is>
      </c>
    </row>
    <row r="1830">
      <c r="A1830" s="3" t="n">
        <v>2023</v>
      </c>
      <c r="B1830" s="4" t="n">
        <v>1997</v>
      </c>
      <c r="C1830" s="4" t="n">
        <v>44.9</v>
      </c>
      <c r="D1830" s="4" t="n">
        <v>13.58225</v>
      </c>
      <c r="E1830" s="5" t="n">
        <v>147</v>
      </c>
      <c r="F1830" s="3" t="inlineStr">
        <is>
          <t>오송읍</t>
        </is>
      </c>
      <c r="G1830" s="3" t="inlineStr">
        <is>
          <t>공북리</t>
        </is>
      </c>
      <c r="H1830" s="3" t="inlineStr">
        <is>
          <t>계획관리지역</t>
        </is>
      </c>
      <c r="I1830" s="3" t="inlineStr">
        <is>
          <t>답</t>
        </is>
      </c>
      <c r="J1830" s="3" t="inlineStr">
        <is>
          <t>오송읍</t>
        </is>
      </c>
    </row>
    <row r="1831">
      <c r="A1831" s="3" t="n">
        <v>2023</v>
      </c>
      <c r="B1831" s="4" t="n">
        <v>47400</v>
      </c>
      <c r="C1831" s="4" t="n">
        <v>3577</v>
      </c>
      <c r="D1831" s="4" t="n">
        <v>1082.0425</v>
      </c>
      <c r="E1831" s="5" t="n">
        <v>43.8</v>
      </c>
      <c r="F1831" s="3" t="inlineStr">
        <is>
          <t>강내면</t>
        </is>
      </c>
      <c r="G1831" s="3" t="inlineStr">
        <is>
          <t>월곡리</t>
        </is>
      </c>
      <c r="H1831" s="3" t="inlineStr">
        <is>
          <t>자연녹지지역</t>
        </is>
      </c>
      <c r="I1831" s="3" t="inlineStr">
        <is>
          <t>답</t>
        </is>
      </c>
      <c r="J1831" s="3" t="inlineStr">
        <is>
          <t>강내면</t>
        </is>
      </c>
    </row>
    <row r="1832">
      <c r="A1832" s="3" t="n">
        <v>2026</v>
      </c>
      <c r="B1832" s="4" t="n">
        <v>52700</v>
      </c>
      <c r="C1832" s="4" t="n">
        <v>699</v>
      </c>
      <c r="D1832" s="4" t="n">
        <v>211.4475</v>
      </c>
      <c r="E1832" s="5" t="n">
        <v>249.2</v>
      </c>
      <c r="F1832" s="3" t="inlineStr">
        <is>
          <t>강내면</t>
        </is>
      </c>
      <c r="G1832" s="3" t="inlineStr">
        <is>
          <t>월곡리</t>
        </is>
      </c>
      <c r="H1832" s="3" t="inlineStr">
        <is>
          <t>자연녹지지역</t>
        </is>
      </c>
      <c r="I1832" s="3" t="inlineStr">
        <is>
          <t>전</t>
        </is>
      </c>
      <c r="J1832" s="3" t="inlineStr">
        <is>
          <t>강내면</t>
        </is>
      </c>
    </row>
    <row r="1833">
      <c r="A1833" s="3" t="n">
        <v>2026</v>
      </c>
      <c r="B1833" s="4" t="n">
        <v>27280</v>
      </c>
      <c r="C1833" s="4" t="n">
        <v>1126</v>
      </c>
      <c r="D1833" s="4" t="n">
        <v>340.615</v>
      </c>
      <c r="E1833" s="5" t="n">
        <v>80.09999999999999</v>
      </c>
      <c r="F1833" s="3" t="inlineStr">
        <is>
          <t>오송읍</t>
        </is>
      </c>
      <c r="G1833" s="3" t="inlineStr">
        <is>
          <t>궁평리</t>
        </is>
      </c>
      <c r="H1833" s="3" t="inlineStr">
        <is>
          <t>농림지역</t>
        </is>
      </c>
      <c r="I1833" s="3" t="inlineStr">
        <is>
          <t>답</t>
        </is>
      </c>
      <c r="J1833" s="3" t="inlineStr">
        <is>
          <t>오송읍</t>
        </is>
      </c>
    </row>
    <row r="1834">
      <c r="A1834" s="3" t="n">
        <v>2026</v>
      </c>
      <c r="B1834" s="4" t="n">
        <v>3740</v>
      </c>
      <c r="C1834" s="4" t="n">
        <v>309</v>
      </c>
      <c r="D1834" s="4" t="n">
        <v>93.4725</v>
      </c>
      <c r="E1834" s="5" t="n">
        <v>40</v>
      </c>
      <c r="F1834" s="3" t="inlineStr">
        <is>
          <t>강내면</t>
        </is>
      </c>
      <c r="G1834" s="3" t="inlineStr">
        <is>
          <t>황탄리</t>
        </is>
      </c>
      <c r="H1834" s="3" t="inlineStr">
        <is>
          <t>계획관리지역</t>
        </is>
      </c>
      <c r="I1834" s="3" t="inlineStr">
        <is>
          <t>대</t>
        </is>
      </c>
      <c r="J1834" s="3" t="inlineStr">
        <is>
          <t>강내면</t>
        </is>
      </c>
    </row>
    <row r="1835">
      <c r="A1835" s="3" t="n">
        <v>2026</v>
      </c>
      <c r="B1835" s="4" t="n">
        <v>20000</v>
      </c>
      <c r="C1835" s="4" t="n">
        <v>2168</v>
      </c>
      <c r="D1835" s="4" t="n">
        <v>655.8199999999999</v>
      </c>
      <c r="E1835" s="5" t="n">
        <v>30.5</v>
      </c>
      <c r="F1835" s="3" t="inlineStr">
        <is>
          <t>오송읍</t>
        </is>
      </c>
      <c r="G1835" s="3" t="inlineStr">
        <is>
          <t>쌍청리</t>
        </is>
      </c>
      <c r="H1835" s="3" t="inlineStr">
        <is>
          <t>농림지역</t>
        </is>
      </c>
      <c r="I1835" s="3" t="inlineStr">
        <is>
          <t>전</t>
        </is>
      </c>
      <c r="J1835" s="3" t="inlineStr">
        <is>
          <t>오송읍</t>
        </is>
      </c>
    </row>
    <row r="1836">
      <c r="A1836" s="3" t="n">
        <v>2026</v>
      </c>
      <c r="B1836" s="4" t="n">
        <v>29500</v>
      </c>
      <c r="C1836" s="4" t="n">
        <v>3993</v>
      </c>
      <c r="D1836" s="4" t="n">
        <v>1207.8825</v>
      </c>
      <c r="E1836" s="5" t="n">
        <v>24.4</v>
      </c>
      <c r="F1836" s="3" t="inlineStr">
        <is>
          <t>강내면</t>
        </is>
      </c>
      <c r="G1836" s="3" t="inlineStr">
        <is>
          <t>학천리</t>
        </is>
      </c>
      <c r="H1836" s="3" t="inlineStr">
        <is>
          <t>생산녹지지역</t>
        </is>
      </c>
      <c r="I1836" s="3" t="inlineStr">
        <is>
          <t>답</t>
        </is>
      </c>
      <c r="J1836" s="3" t="inlineStr">
        <is>
          <t>강내면</t>
        </is>
      </c>
    </row>
    <row r="1837">
      <c r="A1837" s="3" t="n">
        <v>2026</v>
      </c>
      <c r="B1837" s="4" t="n">
        <v>16300</v>
      </c>
      <c r="C1837" s="4" t="n">
        <v>245</v>
      </c>
      <c r="D1837" s="4" t="n">
        <v>74.1125</v>
      </c>
      <c r="E1837" s="5" t="n">
        <v>219.9</v>
      </c>
      <c r="F1837" s="3" t="inlineStr">
        <is>
          <t>오송읍</t>
        </is>
      </c>
      <c r="G1837" s="3" t="inlineStr">
        <is>
          <t>정중리</t>
        </is>
      </c>
      <c r="H1837" s="3" t="inlineStr">
        <is>
          <t>계획관리지역</t>
        </is>
      </c>
      <c r="I1837" s="3" t="inlineStr">
        <is>
          <t>대</t>
        </is>
      </c>
      <c r="J1837" s="3" t="inlineStr">
        <is>
          <t>오송읍</t>
        </is>
      </c>
    </row>
    <row r="1838">
      <c r="A1838" s="3" t="n">
        <v>2026</v>
      </c>
      <c r="B1838" s="4" t="n">
        <v>300</v>
      </c>
      <c r="C1838" s="4" t="n">
        <v>26</v>
      </c>
      <c r="D1838" s="4" t="n">
        <v>7.865</v>
      </c>
      <c r="E1838" s="5" t="n">
        <v>38.1</v>
      </c>
      <c r="F1838" s="3" t="inlineStr">
        <is>
          <t>강내면</t>
        </is>
      </c>
      <c r="G1838" s="3" t="inlineStr">
        <is>
          <t>월곡리</t>
        </is>
      </c>
      <c r="H1838" s="3" t="inlineStr">
        <is>
          <t>제2종일반주거지역</t>
        </is>
      </c>
      <c r="I1838" s="3" t="inlineStr">
        <is>
          <t>임야</t>
        </is>
      </c>
      <c r="J1838" s="3" t="inlineStr">
        <is>
          <t>강내면</t>
        </is>
      </c>
    </row>
    <row r="1839">
      <c r="A1839" s="3" t="n">
        <v>2026</v>
      </c>
      <c r="B1839" s="4" t="n">
        <v>200</v>
      </c>
      <c r="C1839" s="4" t="n">
        <v>20</v>
      </c>
      <c r="D1839" s="4" t="n">
        <v>6.05</v>
      </c>
      <c r="E1839" s="5" t="n">
        <v>33.1</v>
      </c>
      <c r="F1839" s="3" t="inlineStr">
        <is>
          <t>강내면</t>
        </is>
      </c>
      <c r="G1839" s="3" t="inlineStr">
        <is>
          <t>월곡리</t>
        </is>
      </c>
      <c r="H1839" s="3" t="inlineStr">
        <is>
          <t>제2종일반주거지역</t>
        </is>
      </c>
      <c r="I1839" s="3" t="inlineStr">
        <is>
          <t>전</t>
        </is>
      </c>
      <c r="J1839" s="3" t="inlineStr">
        <is>
          <t>강내면</t>
        </is>
      </c>
    </row>
    <row r="1840">
      <c r="A1840" s="3" t="n">
        <v>2026</v>
      </c>
      <c r="B1840" s="4" t="n">
        <v>3839</v>
      </c>
      <c r="C1840" s="4" t="n">
        <v>365</v>
      </c>
      <c r="D1840" s="4" t="n">
        <v>110.4125</v>
      </c>
      <c r="E1840" s="5" t="n">
        <v>34.8</v>
      </c>
      <c r="F1840" s="3" t="inlineStr">
        <is>
          <t>강내면</t>
        </is>
      </c>
      <c r="G1840" s="3" t="inlineStr">
        <is>
          <t>산단리</t>
        </is>
      </c>
      <c r="H1840" s="3" t="inlineStr">
        <is>
          <t>계획관리지역</t>
        </is>
      </c>
      <c r="I1840" s="3" t="inlineStr">
        <is>
          <t>목장용지</t>
        </is>
      </c>
      <c r="J1840" s="3" t="inlineStr">
        <is>
          <t>강내면</t>
        </is>
      </c>
    </row>
    <row r="1841">
      <c r="A1841" s="3" t="n">
        <v>2026</v>
      </c>
      <c r="B1841" s="4" t="n">
        <v>2172</v>
      </c>
      <c r="C1841" s="4" t="n">
        <v>170</v>
      </c>
      <c r="D1841" s="4" t="n">
        <v>51.425</v>
      </c>
      <c r="E1841" s="5" t="n">
        <v>42.2</v>
      </c>
      <c r="F1841" s="3" t="inlineStr">
        <is>
          <t>강내면</t>
        </is>
      </c>
      <c r="G1841" s="3" t="inlineStr">
        <is>
          <t>산단리</t>
        </is>
      </c>
      <c r="H1841" s="3" t="inlineStr">
        <is>
          <t>계획관리지역</t>
        </is>
      </c>
      <c r="I1841" s="3" t="inlineStr">
        <is>
          <t>과수원</t>
        </is>
      </c>
      <c r="J1841" s="3" t="inlineStr">
        <is>
          <t>강내면</t>
        </is>
      </c>
    </row>
    <row r="1842">
      <c r="A1842" s="3" t="n">
        <v>2026</v>
      </c>
      <c r="B1842" s="4" t="n">
        <v>5847</v>
      </c>
      <c r="C1842" s="4" t="n">
        <v>481</v>
      </c>
      <c r="D1842" s="4" t="n">
        <v>145.5025</v>
      </c>
      <c r="E1842" s="5" t="n">
        <v>40.2</v>
      </c>
      <c r="F1842" s="3" t="inlineStr">
        <is>
          <t>강내면</t>
        </is>
      </c>
      <c r="G1842" s="3" t="inlineStr">
        <is>
          <t>산단리</t>
        </is>
      </c>
      <c r="H1842" s="3" t="inlineStr">
        <is>
          <t>계획관리지역</t>
        </is>
      </c>
      <c r="I1842" s="3" t="inlineStr">
        <is>
          <t>과수원</t>
        </is>
      </c>
      <c r="J1842" s="3" t="inlineStr">
        <is>
          <t>강내면</t>
        </is>
      </c>
    </row>
    <row r="1843">
      <c r="A1843" s="3" t="n">
        <v>2026</v>
      </c>
      <c r="B1843" s="4" t="n">
        <v>27785</v>
      </c>
      <c r="C1843" s="4" t="n">
        <v>10747</v>
      </c>
      <c r="D1843" s="4" t="n">
        <v>3250.9675</v>
      </c>
      <c r="E1843" s="5" t="n">
        <v>8.5</v>
      </c>
      <c r="F1843" s="3" t="inlineStr">
        <is>
          <t>강내면</t>
        </is>
      </c>
      <c r="G1843" s="3" t="inlineStr">
        <is>
          <t>산단리</t>
        </is>
      </c>
      <c r="H1843" s="3" t="inlineStr">
        <is>
          <t>계획관리지역</t>
        </is>
      </c>
      <c r="I1843" s="3" t="inlineStr">
        <is>
          <t>임야</t>
        </is>
      </c>
      <c r="J1843" s="3" t="inlineStr">
        <is>
          <t>강내면</t>
        </is>
      </c>
    </row>
    <row r="1844">
      <c r="A1844" s="3" t="n">
        <v>2026</v>
      </c>
      <c r="B1844" s="4" t="n">
        <v>13662</v>
      </c>
      <c r="C1844" s="4" t="n">
        <v>11227</v>
      </c>
      <c r="D1844" s="4" t="n">
        <v>3396.1675</v>
      </c>
      <c r="E1844" s="5" t="n">
        <v>4</v>
      </c>
      <c r="F1844" s="3" t="inlineStr">
        <is>
          <t>강내면</t>
        </is>
      </c>
      <c r="G1844" s="3" t="inlineStr">
        <is>
          <t>산단리</t>
        </is>
      </c>
      <c r="H1844" s="3" t="inlineStr">
        <is>
          <t>계획관리지역</t>
        </is>
      </c>
      <c r="I1844" s="3" t="inlineStr">
        <is>
          <t>임야</t>
        </is>
      </c>
      <c r="J1844" s="3" t="inlineStr">
        <is>
          <t>강내면</t>
        </is>
      </c>
    </row>
    <row r="1845">
      <c r="A1845" s="3" t="n">
        <v>2026</v>
      </c>
      <c r="B1845" s="4" t="n">
        <v>6740</v>
      </c>
      <c r="C1845" s="4" t="n">
        <v>253</v>
      </c>
      <c r="D1845" s="4" t="n">
        <v>76.5325</v>
      </c>
      <c r="E1845" s="5" t="n">
        <v>88.09999999999999</v>
      </c>
      <c r="F1845" s="3" t="inlineStr">
        <is>
          <t>강내면</t>
        </is>
      </c>
      <c r="G1845" s="3" t="inlineStr">
        <is>
          <t>산단리</t>
        </is>
      </c>
      <c r="H1845" s="3" t="inlineStr">
        <is>
          <t>계획관리지역</t>
        </is>
      </c>
      <c r="I1845" s="3" t="inlineStr">
        <is>
          <t>공장용지</t>
        </is>
      </c>
      <c r="J1845" s="3" t="inlineStr">
        <is>
          <t>강내면</t>
        </is>
      </c>
    </row>
    <row r="1846">
      <c r="A1846" s="3" t="n">
        <v>2026</v>
      </c>
      <c r="B1846" s="4" t="n">
        <v>10337</v>
      </c>
      <c r="C1846" s="4" t="n">
        <v>1895</v>
      </c>
      <c r="D1846" s="4" t="n">
        <v>573.2375</v>
      </c>
      <c r="E1846" s="5" t="n">
        <v>18</v>
      </c>
      <c r="F1846" s="3" t="inlineStr">
        <is>
          <t>강내면</t>
        </is>
      </c>
      <c r="G1846" s="3" t="inlineStr">
        <is>
          <t>산단리</t>
        </is>
      </c>
      <c r="H1846" s="3" t="inlineStr">
        <is>
          <t>계획관리지역</t>
        </is>
      </c>
      <c r="I1846" s="3" t="inlineStr">
        <is>
          <t>도로</t>
        </is>
      </c>
      <c r="J1846" s="3" t="inlineStr">
        <is>
          <t>강내면</t>
        </is>
      </c>
    </row>
    <row r="1847">
      <c r="A1847" s="3" t="n">
        <v>2026</v>
      </c>
      <c r="B1847" s="4" t="n">
        <v>639</v>
      </c>
      <c r="C1847" s="4" t="n">
        <v>1119</v>
      </c>
      <c r="D1847" s="4" t="n">
        <v>338.4975</v>
      </c>
      <c r="E1847" s="5" t="n">
        <v>1.9</v>
      </c>
      <c r="F1847" s="3" t="inlineStr">
        <is>
          <t>강내면</t>
        </is>
      </c>
      <c r="G1847" s="3" t="inlineStr">
        <is>
          <t>산단리</t>
        </is>
      </c>
      <c r="H1847" s="3" t="inlineStr">
        <is>
          <t>계획관리지역</t>
        </is>
      </c>
      <c r="I1847" s="3" t="inlineStr">
        <is>
          <t>도로</t>
        </is>
      </c>
      <c r="J1847" s="3" t="inlineStr">
        <is>
          <t>강내면</t>
        </is>
      </c>
    </row>
    <row r="1848">
      <c r="A1848" s="3" t="n">
        <v>2026</v>
      </c>
      <c r="B1848" s="4" t="n">
        <v>10000</v>
      </c>
      <c r="C1848" s="4" t="n">
        <v>625</v>
      </c>
      <c r="D1848" s="4" t="n">
        <v>189.0625</v>
      </c>
      <c r="E1848" s="5" t="n">
        <v>52.9</v>
      </c>
      <c r="F1848" s="3" t="inlineStr">
        <is>
          <t>강내면</t>
        </is>
      </c>
      <c r="G1848" s="3" t="inlineStr">
        <is>
          <t>사곡리</t>
        </is>
      </c>
      <c r="H1848" s="3" t="inlineStr">
        <is>
          <t>계획관리지역</t>
        </is>
      </c>
      <c r="I1848" s="3" t="inlineStr">
        <is>
          <t>대</t>
        </is>
      </c>
      <c r="J1848" s="3" t="inlineStr">
        <is>
          <t>강내면</t>
        </is>
      </c>
    </row>
    <row r="1849">
      <c r="A1849" s="3" t="n">
        <v>2026</v>
      </c>
      <c r="B1849" s="4" t="n">
        <v>2000</v>
      </c>
      <c r="C1849" s="4" t="n">
        <v>12</v>
      </c>
      <c r="D1849" s="4" t="n">
        <v>3.63</v>
      </c>
      <c r="E1849" s="5" t="n">
        <v>551</v>
      </c>
      <c r="F1849" s="3" t="inlineStr">
        <is>
          <t>오송읍</t>
        </is>
      </c>
      <c r="G1849" s="3" t="inlineStr">
        <is>
          <t>오송리</t>
        </is>
      </c>
      <c r="H1849" s="3" t="inlineStr">
        <is>
          <t>준주거지역</t>
        </is>
      </c>
      <c r="I1849" s="3" t="inlineStr">
        <is>
          <t>대</t>
        </is>
      </c>
      <c r="J1849" s="3" t="inlineStr">
        <is>
          <t>오송읍</t>
        </is>
      </c>
    </row>
    <row r="1850">
      <c r="A1850" s="3" t="n">
        <v>2026</v>
      </c>
      <c r="B1850" s="4" t="n">
        <v>1298</v>
      </c>
      <c r="C1850" s="4" t="n">
        <v>197</v>
      </c>
      <c r="D1850" s="4" t="n">
        <v>59.5925</v>
      </c>
      <c r="E1850" s="5" t="n">
        <v>21.8</v>
      </c>
      <c r="F1850" s="3" t="inlineStr">
        <is>
          <t>강내면</t>
        </is>
      </c>
      <c r="G1850" s="3" t="inlineStr">
        <is>
          <t>궁현리</t>
        </is>
      </c>
      <c r="H1850" s="3" t="inlineStr">
        <is>
          <t>계획관리지역</t>
        </is>
      </c>
      <c r="I1850" s="3" t="inlineStr">
        <is>
          <t>전</t>
        </is>
      </c>
      <c r="J1850" s="3" t="inlineStr">
        <is>
          <t>강내면</t>
        </is>
      </c>
    </row>
    <row r="1851">
      <c r="A1851" s="3" t="n">
        <v>2026</v>
      </c>
      <c r="B1851" s="4" t="n">
        <v>1298</v>
      </c>
      <c r="C1851" s="4" t="n">
        <v>197</v>
      </c>
      <c r="D1851" s="4" t="n">
        <v>59.5925</v>
      </c>
      <c r="E1851" s="5" t="n">
        <v>21.8</v>
      </c>
      <c r="F1851" s="3" t="inlineStr">
        <is>
          <t>강내면</t>
        </is>
      </c>
      <c r="G1851" s="3" t="inlineStr">
        <is>
          <t>궁현리</t>
        </is>
      </c>
      <c r="H1851" s="3" t="inlineStr">
        <is>
          <t>계획관리지역</t>
        </is>
      </c>
      <c r="I1851" s="3" t="inlineStr">
        <is>
          <t>전</t>
        </is>
      </c>
      <c r="J1851" s="3" t="inlineStr">
        <is>
          <t>강내면</t>
        </is>
      </c>
    </row>
    <row r="1852">
      <c r="A1852" s="3" t="n">
        <v>2023</v>
      </c>
      <c r="B1852" s="4" t="n">
        <v>10600</v>
      </c>
      <c r="C1852" s="4" t="n">
        <v>800</v>
      </c>
      <c r="D1852" s="4" t="n">
        <v>242</v>
      </c>
      <c r="E1852" s="5" t="n">
        <v>43.8</v>
      </c>
      <c r="F1852" s="3" t="inlineStr">
        <is>
          <t>강내면</t>
        </is>
      </c>
      <c r="G1852" s="3" t="inlineStr">
        <is>
          <t>월곡리</t>
        </is>
      </c>
      <c r="H1852" s="3" t="inlineStr">
        <is>
          <t>자연녹지지역</t>
        </is>
      </c>
      <c r="I1852" s="3" t="inlineStr">
        <is>
          <t>전</t>
        </is>
      </c>
      <c r="J1852" s="3" t="inlineStr">
        <is>
          <t>강내면</t>
        </is>
      </c>
    </row>
    <row r="1853">
      <c r="A1853" s="3" t="n">
        <v>2026</v>
      </c>
      <c r="B1853" s="4" t="n">
        <v>6413</v>
      </c>
      <c r="C1853" s="4" t="n">
        <v>106</v>
      </c>
      <c r="D1853" s="4" t="n">
        <v>32.065</v>
      </c>
      <c r="E1853" s="5" t="n">
        <v>200</v>
      </c>
      <c r="F1853" s="3" t="inlineStr">
        <is>
          <t>오송읍</t>
        </is>
      </c>
      <c r="G1853" s="3" t="inlineStr">
        <is>
          <t>궁평리</t>
        </is>
      </c>
      <c r="H1853" s="3" t="inlineStr">
        <is>
          <t>용도미지정</t>
        </is>
      </c>
      <c r="I1853" s="3" t="inlineStr">
        <is>
          <t>대</t>
        </is>
      </c>
      <c r="J1853" s="3" t="inlineStr">
        <is>
          <t>오송읍</t>
        </is>
      </c>
    </row>
    <row r="1854">
      <c r="A1854" s="3" t="n">
        <v>2026</v>
      </c>
      <c r="B1854" s="4" t="n">
        <v>44000</v>
      </c>
      <c r="C1854" s="4" t="n">
        <v>2430</v>
      </c>
      <c r="D1854" s="4" t="n">
        <v>735.0749999999999</v>
      </c>
      <c r="E1854" s="5" t="n">
        <v>59.9</v>
      </c>
      <c r="F1854" s="3" t="inlineStr">
        <is>
          <t>오송읍</t>
        </is>
      </c>
      <c r="G1854" s="3" t="inlineStr">
        <is>
          <t>서평리</t>
        </is>
      </c>
      <c r="H1854" s="3" t="inlineStr">
        <is>
          <t>농림지역</t>
        </is>
      </c>
      <c r="I1854" s="3" t="inlineStr">
        <is>
          <t>답</t>
        </is>
      </c>
      <c r="J1854" s="3" t="inlineStr">
        <is>
          <t>오송읍</t>
        </is>
      </c>
    </row>
    <row r="1855">
      <c r="A1855" s="3" t="n">
        <v>2026</v>
      </c>
      <c r="B1855" s="4" t="n">
        <v>45280</v>
      </c>
      <c r="C1855" s="4" t="n">
        <v>935</v>
      </c>
      <c r="D1855" s="4" t="n">
        <v>282.8375</v>
      </c>
      <c r="E1855" s="5" t="n">
        <v>160.1</v>
      </c>
      <c r="F1855" s="3" t="inlineStr">
        <is>
          <t>강내면</t>
        </is>
      </c>
      <c r="G1855" s="3" t="inlineStr">
        <is>
          <t>사곡리</t>
        </is>
      </c>
      <c r="H1855" s="3" t="inlineStr">
        <is>
          <t>계획관리지역</t>
        </is>
      </c>
      <c r="I1855" s="3" t="inlineStr">
        <is>
          <t>전</t>
        </is>
      </c>
      <c r="J1855" s="3" t="inlineStr">
        <is>
          <t>강내면</t>
        </is>
      </c>
    </row>
    <row r="1856">
      <c r="A1856" s="3" t="n">
        <v>2024</v>
      </c>
      <c r="B1856" s="4" t="n">
        <v>12851</v>
      </c>
      <c r="C1856" s="4" t="n">
        <v>431</v>
      </c>
      <c r="D1856" s="4" t="n">
        <v>130.3775</v>
      </c>
      <c r="E1856" s="5" t="n">
        <v>98.59999999999999</v>
      </c>
      <c r="F1856" s="3" t="inlineStr">
        <is>
          <t>강내면</t>
        </is>
      </c>
      <c r="G1856" s="3" t="inlineStr">
        <is>
          <t>저산리</t>
        </is>
      </c>
      <c r="H1856" s="3" t="inlineStr">
        <is>
          <t>계획관리지역</t>
        </is>
      </c>
      <c r="I1856" s="3" t="inlineStr">
        <is>
          <t>답</t>
        </is>
      </c>
      <c r="J1856" s="3" t="inlineStr">
        <is>
          <t>강내면</t>
        </is>
      </c>
    </row>
    <row r="1857">
      <c r="A1857" s="3" t="n">
        <v>2024</v>
      </c>
      <c r="B1857" s="4" t="n">
        <v>61000</v>
      </c>
      <c r="C1857" s="4" t="n">
        <v>2529</v>
      </c>
      <c r="D1857" s="4" t="n">
        <v>765.0224999999999</v>
      </c>
      <c r="E1857" s="5" t="n">
        <v>79.7</v>
      </c>
      <c r="F1857" s="3" t="inlineStr">
        <is>
          <t>강내면</t>
        </is>
      </c>
      <c r="G1857" s="3" t="inlineStr">
        <is>
          <t>학천리</t>
        </is>
      </c>
      <c r="H1857" s="3" t="inlineStr">
        <is>
          <t>자연녹지지역</t>
        </is>
      </c>
      <c r="I1857" s="3" t="inlineStr">
        <is>
          <t>전</t>
        </is>
      </c>
      <c r="J1857" s="3" t="inlineStr">
        <is>
          <t>강내면</t>
        </is>
      </c>
    </row>
    <row r="1858">
      <c r="A1858" s="3" t="n">
        <v>2024</v>
      </c>
      <c r="B1858" s="4" t="n">
        <v>33000</v>
      </c>
      <c r="C1858" s="4" t="n">
        <v>248.5</v>
      </c>
      <c r="D1858" s="4" t="n">
        <v>75.17125</v>
      </c>
      <c r="E1858" s="5" t="n">
        <v>439</v>
      </c>
      <c r="F1858" s="3" t="inlineStr">
        <is>
          <t>오송읍</t>
        </is>
      </c>
      <c r="G1858" s="3" t="inlineStr">
        <is>
          <t>봉산리</t>
        </is>
      </c>
      <c r="H1858" s="3" t="inlineStr">
        <is>
          <t>제1종일반주거지역</t>
        </is>
      </c>
      <c r="I1858" s="3" t="inlineStr">
        <is>
          <t>대</t>
        </is>
      </c>
      <c r="J1858" s="3" t="inlineStr">
        <is>
          <t>오송읍</t>
        </is>
      </c>
    </row>
    <row r="1859">
      <c r="A1859" s="3" t="n">
        <v>2024</v>
      </c>
      <c r="B1859" s="4" t="n">
        <v>1540</v>
      </c>
      <c r="C1859" s="4" t="n">
        <v>103</v>
      </c>
      <c r="D1859" s="4" t="n">
        <v>31.1575</v>
      </c>
      <c r="E1859" s="5" t="n">
        <v>49.4</v>
      </c>
      <c r="F1859" s="3" t="inlineStr">
        <is>
          <t>강내면</t>
        </is>
      </c>
      <c r="G1859" s="3" t="inlineStr">
        <is>
          <t>다락리</t>
        </is>
      </c>
      <c r="H1859" s="3" t="inlineStr">
        <is>
          <t>계획관리지역</t>
        </is>
      </c>
      <c r="I1859" s="3" t="inlineStr">
        <is>
          <t>임야</t>
        </is>
      </c>
      <c r="J1859" s="3" t="inlineStr">
        <is>
          <t>강내면</t>
        </is>
      </c>
    </row>
    <row r="1860">
      <c r="A1860" s="3" t="n">
        <v>2024</v>
      </c>
      <c r="B1860" s="4" t="n">
        <v>6590</v>
      </c>
      <c r="C1860" s="4" t="n">
        <v>440</v>
      </c>
      <c r="D1860" s="4" t="n">
        <v>133.1</v>
      </c>
      <c r="E1860" s="5" t="n">
        <v>49.5</v>
      </c>
      <c r="F1860" s="3" t="inlineStr">
        <is>
          <t>강내면</t>
        </is>
      </c>
      <c r="G1860" s="3" t="inlineStr">
        <is>
          <t>다락리</t>
        </is>
      </c>
      <c r="H1860" s="3" t="inlineStr">
        <is>
          <t>계획관리지역</t>
        </is>
      </c>
      <c r="I1860" s="3" t="inlineStr">
        <is>
          <t>임야</t>
        </is>
      </c>
      <c r="J1860" s="3" t="inlineStr">
        <is>
          <t>강내면</t>
        </is>
      </c>
    </row>
    <row r="1861">
      <c r="A1861" s="3" t="n">
        <v>2024</v>
      </c>
      <c r="B1861" s="4" t="n">
        <v>13800</v>
      </c>
      <c r="C1861" s="4" t="n">
        <v>921</v>
      </c>
      <c r="D1861" s="4" t="n">
        <v>278.6025</v>
      </c>
      <c r="E1861" s="5" t="n">
        <v>49.5</v>
      </c>
      <c r="F1861" s="3" t="inlineStr">
        <is>
          <t>강내면</t>
        </is>
      </c>
      <c r="G1861" s="3" t="inlineStr">
        <is>
          <t>다락리</t>
        </is>
      </c>
      <c r="H1861" s="3" t="inlineStr">
        <is>
          <t>계획관리지역</t>
        </is>
      </c>
      <c r="I1861" s="3" t="inlineStr">
        <is>
          <t>임야</t>
        </is>
      </c>
      <c r="J1861" s="3" t="inlineStr">
        <is>
          <t>강내면</t>
        </is>
      </c>
    </row>
    <row r="1862">
      <c r="A1862" s="3" t="n">
        <v>2024</v>
      </c>
      <c r="B1862" s="4" t="n">
        <v>1900</v>
      </c>
      <c r="C1862" s="4" t="n">
        <v>127</v>
      </c>
      <c r="D1862" s="4" t="n">
        <v>38.4175</v>
      </c>
      <c r="E1862" s="5" t="n">
        <v>49.5</v>
      </c>
      <c r="F1862" s="3" t="inlineStr">
        <is>
          <t>강내면</t>
        </is>
      </c>
      <c r="G1862" s="3" t="inlineStr">
        <is>
          <t>다락리</t>
        </is>
      </c>
      <c r="H1862" s="3" t="inlineStr">
        <is>
          <t>계획관리지역</t>
        </is>
      </c>
      <c r="I1862" s="3" t="inlineStr">
        <is>
          <t>임야</t>
        </is>
      </c>
      <c r="J1862" s="3" t="inlineStr">
        <is>
          <t>강내면</t>
        </is>
      </c>
    </row>
    <row r="1863">
      <c r="A1863" s="3" t="n">
        <v>2024</v>
      </c>
      <c r="B1863" s="4" t="n">
        <v>810</v>
      </c>
      <c r="C1863" s="4" t="n">
        <v>54</v>
      </c>
      <c r="D1863" s="4" t="n">
        <v>16.335</v>
      </c>
      <c r="E1863" s="5" t="n">
        <v>49.6</v>
      </c>
      <c r="F1863" s="3" t="inlineStr">
        <is>
          <t>강내면</t>
        </is>
      </c>
      <c r="G1863" s="3" t="inlineStr">
        <is>
          <t>다락리</t>
        </is>
      </c>
      <c r="H1863" s="3" t="inlineStr">
        <is>
          <t>계획관리지역</t>
        </is>
      </c>
      <c r="I1863" s="3" t="inlineStr">
        <is>
          <t>임야</t>
        </is>
      </c>
      <c r="J1863" s="3" t="inlineStr">
        <is>
          <t>강내면</t>
        </is>
      </c>
    </row>
    <row r="1864">
      <c r="A1864" s="3" t="n">
        <v>2024</v>
      </c>
      <c r="B1864" s="4" t="n">
        <v>5270</v>
      </c>
      <c r="C1864" s="4" t="n">
        <v>352</v>
      </c>
      <c r="D1864" s="4" t="n">
        <v>106.48</v>
      </c>
      <c r="E1864" s="5" t="n">
        <v>49.5</v>
      </c>
      <c r="F1864" s="3" t="inlineStr">
        <is>
          <t>강내면</t>
        </is>
      </c>
      <c r="G1864" s="3" t="inlineStr">
        <is>
          <t>다락리</t>
        </is>
      </c>
      <c r="H1864" s="3" t="inlineStr">
        <is>
          <t>계획관리지역</t>
        </is>
      </c>
      <c r="I1864" s="3" t="inlineStr">
        <is>
          <t>임야</t>
        </is>
      </c>
      <c r="J1864" s="3" t="inlineStr">
        <is>
          <t>강내면</t>
        </is>
      </c>
    </row>
    <row r="1865">
      <c r="A1865" s="3" t="n">
        <v>2024</v>
      </c>
      <c r="B1865" s="4" t="n">
        <v>1930</v>
      </c>
      <c r="C1865" s="4" t="n">
        <v>129</v>
      </c>
      <c r="D1865" s="4" t="n">
        <v>39.0225</v>
      </c>
      <c r="E1865" s="5" t="n">
        <v>49.5</v>
      </c>
      <c r="F1865" s="3" t="inlineStr">
        <is>
          <t>강내면</t>
        </is>
      </c>
      <c r="G1865" s="3" t="inlineStr">
        <is>
          <t>다락리</t>
        </is>
      </c>
      <c r="H1865" s="3" t="inlineStr">
        <is>
          <t>계획관리지역</t>
        </is>
      </c>
      <c r="I1865" s="3" t="inlineStr">
        <is>
          <t>임야</t>
        </is>
      </c>
      <c r="J1865" s="3" t="inlineStr">
        <is>
          <t>강내면</t>
        </is>
      </c>
    </row>
    <row r="1866">
      <c r="A1866" s="3" t="n">
        <v>2024</v>
      </c>
      <c r="B1866" s="4" t="n">
        <v>6820</v>
      </c>
      <c r="C1866" s="4" t="n">
        <v>455</v>
      </c>
      <c r="D1866" s="4" t="n">
        <v>137.6375</v>
      </c>
      <c r="E1866" s="5" t="n">
        <v>49.6</v>
      </c>
      <c r="F1866" s="3" t="inlineStr">
        <is>
          <t>강내면</t>
        </is>
      </c>
      <c r="G1866" s="3" t="inlineStr">
        <is>
          <t>다락리</t>
        </is>
      </c>
      <c r="H1866" s="3" t="inlineStr">
        <is>
          <t>계획관리지역</t>
        </is>
      </c>
      <c r="I1866" s="3" t="inlineStr">
        <is>
          <t>임야</t>
        </is>
      </c>
      <c r="J1866" s="3" t="inlineStr">
        <is>
          <t>강내면</t>
        </is>
      </c>
    </row>
    <row r="1867">
      <c r="A1867" s="3" t="n">
        <v>2024</v>
      </c>
      <c r="B1867" s="4" t="n">
        <v>40200</v>
      </c>
      <c r="C1867" s="4" t="n">
        <v>1593</v>
      </c>
      <c r="D1867" s="4" t="n">
        <v>481.8825</v>
      </c>
      <c r="E1867" s="5" t="n">
        <v>83.40000000000001</v>
      </c>
      <c r="F1867" s="3" t="inlineStr">
        <is>
          <t>오송읍</t>
        </is>
      </c>
      <c r="G1867" s="3" t="inlineStr">
        <is>
          <t>서평리</t>
        </is>
      </c>
      <c r="H1867" s="3" t="inlineStr">
        <is>
          <t>농림지역</t>
        </is>
      </c>
      <c r="I1867" s="3" t="inlineStr">
        <is>
          <t>답</t>
        </is>
      </c>
      <c r="J1867" s="3" t="inlineStr">
        <is>
          <t>오송읍</t>
        </is>
      </c>
    </row>
    <row r="1868">
      <c r="A1868" s="3" t="n">
        <v>2024</v>
      </c>
      <c r="B1868" s="4" t="n">
        <v>2000</v>
      </c>
      <c r="C1868" s="4" t="n">
        <v>78</v>
      </c>
      <c r="D1868" s="4" t="n">
        <v>23.595</v>
      </c>
      <c r="E1868" s="5" t="n">
        <v>84.8</v>
      </c>
      <c r="F1868" s="3" t="inlineStr">
        <is>
          <t>오송읍</t>
        </is>
      </c>
      <c r="G1868" s="3" t="inlineStr">
        <is>
          <t>서평리</t>
        </is>
      </c>
      <c r="H1868" s="3" t="inlineStr">
        <is>
          <t>농림지역</t>
        </is>
      </c>
      <c r="I1868" s="3" t="inlineStr">
        <is>
          <t>답</t>
        </is>
      </c>
      <c r="J1868" s="3" t="inlineStr">
        <is>
          <t>오송읍</t>
        </is>
      </c>
    </row>
    <row r="1869">
      <c r="A1869" s="3" t="n">
        <v>2024</v>
      </c>
      <c r="B1869" s="4" t="n">
        <v>900</v>
      </c>
      <c r="C1869" s="4" t="n">
        <v>36</v>
      </c>
      <c r="D1869" s="4" t="n">
        <v>10.89</v>
      </c>
      <c r="E1869" s="5" t="n">
        <v>82.59999999999999</v>
      </c>
      <c r="F1869" s="3" t="inlineStr">
        <is>
          <t>오송읍</t>
        </is>
      </c>
      <c r="G1869" s="3" t="inlineStr">
        <is>
          <t>서평리</t>
        </is>
      </c>
      <c r="H1869" s="3" t="inlineStr">
        <is>
          <t>농림지역</t>
        </is>
      </c>
      <c r="I1869" s="3" t="inlineStr">
        <is>
          <t>도로</t>
        </is>
      </c>
      <c r="J1869" s="3" t="inlineStr">
        <is>
          <t>오송읍</t>
        </is>
      </c>
    </row>
    <row r="1870">
      <c r="A1870" s="3" t="n">
        <v>2025</v>
      </c>
      <c r="B1870" s="4" t="n">
        <v>10600</v>
      </c>
      <c r="C1870" s="4" t="n">
        <v>1775</v>
      </c>
      <c r="D1870" s="4" t="n">
        <v>536.9375</v>
      </c>
      <c r="E1870" s="5" t="n">
        <v>19.7</v>
      </c>
      <c r="F1870" s="3" t="inlineStr">
        <is>
          <t>남이면</t>
        </is>
      </c>
      <c r="G1870" s="3" t="inlineStr">
        <is>
          <t>석실리</t>
        </is>
      </c>
      <c r="H1870" s="3" t="inlineStr">
        <is>
          <t>보전녹지지역</t>
        </is>
      </c>
      <c r="I1870" s="3" t="inlineStr">
        <is>
          <t>전</t>
        </is>
      </c>
      <c r="J1870" s="3" t="inlineStr">
        <is>
          <t>남이면</t>
        </is>
      </c>
    </row>
    <row r="1871">
      <c r="A1871" s="3" t="n">
        <v>2025</v>
      </c>
      <c r="B1871" s="4" t="n">
        <v>350</v>
      </c>
      <c r="C1871" s="4" t="n">
        <v>753</v>
      </c>
      <c r="D1871" s="4" t="n">
        <v>227.7825</v>
      </c>
      <c r="E1871" s="5" t="n">
        <v>1.5</v>
      </c>
      <c r="F1871" s="3" t="inlineStr">
        <is>
          <t>남이면</t>
        </is>
      </c>
      <c r="G1871" s="3" t="inlineStr">
        <is>
          <t>석실리</t>
        </is>
      </c>
      <c r="H1871" s="3" t="inlineStr">
        <is>
          <t>보전녹지지역</t>
        </is>
      </c>
      <c r="I1871" s="3" t="inlineStr">
        <is>
          <t>임야</t>
        </is>
      </c>
      <c r="J1871" s="3" t="inlineStr">
        <is>
          <t>남이면</t>
        </is>
      </c>
    </row>
    <row r="1872">
      <c r="A1872" s="3" t="n">
        <v>2025</v>
      </c>
      <c r="B1872" s="4" t="n">
        <v>39500</v>
      </c>
      <c r="C1872" s="4" t="n">
        <v>1719</v>
      </c>
      <c r="D1872" s="4" t="n">
        <v>519.9974999999999</v>
      </c>
      <c r="E1872" s="5" t="n">
        <v>76</v>
      </c>
      <c r="F1872" s="3" t="inlineStr">
        <is>
          <t>남이면</t>
        </is>
      </c>
      <c r="G1872" s="3" t="inlineStr">
        <is>
          <t>팔봉리</t>
        </is>
      </c>
      <c r="H1872" s="3" t="inlineStr">
        <is>
          <t>자연녹지지역</t>
        </is>
      </c>
      <c r="I1872" s="3" t="inlineStr">
        <is>
          <t>전</t>
        </is>
      </c>
      <c r="J1872" s="3" t="inlineStr">
        <is>
          <t>남이면</t>
        </is>
      </c>
    </row>
    <row r="1873">
      <c r="A1873" s="3" t="n">
        <v>2025</v>
      </c>
      <c r="B1873" s="4" t="n">
        <v>860</v>
      </c>
      <c r="C1873" s="4" t="n">
        <v>16</v>
      </c>
      <c r="D1873" s="4" t="n">
        <v>4.84</v>
      </c>
      <c r="E1873" s="5" t="n">
        <v>177.7</v>
      </c>
      <c r="F1873" s="3" t="inlineStr">
        <is>
          <t>남이면</t>
        </is>
      </c>
      <c r="G1873" s="3" t="inlineStr">
        <is>
          <t>양촌리</t>
        </is>
      </c>
      <c r="H1873" s="3" t="inlineStr">
        <is>
          <t>자연녹지지역</t>
        </is>
      </c>
      <c r="I1873" s="3" t="inlineStr">
        <is>
          <t>전</t>
        </is>
      </c>
      <c r="J1873" s="3" t="inlineStr">
        <is>
          <t>남이면</t>
        </is>
      </c>
    </row>
    <row r="1874">
      <c r="A1874" s="3" t="n">
        <v>2025</v>
      </c>
      <c r="B1874" s="4" t="n">
        <v>1000</v>
      </c>
      <c r="C1874" s="4" t="n">
        <v>33</v>
      </c>
      <c r="D1874" s="4" t="n">
        <v>9.9825</v>
      </c>
      <c r="E1874" s="5" t="n">
        <v>100.2</v>
      </c>
      <c r="F1874" s="3" t="inlineStr">
        <is>
          <t>남이면</t>
        </is>
      </c>
      <c r="G1874" s="3" t="inlineStr">
        <is>
          <t>양촌리</t>
        </is>
      </c>
      <c r="H1874" s="3" t="inlineStr">
        <is>
          <t>자연녹지지역</t>
        </is>
      </c>
      <c r="I1874" s="3" t="inlineStr">
        <is>
          <t>대</t>
        </is>
      </c>
      <c r="J1874" s="3" t="inlineStr">
        <is>
          <t>남이면</t>
        </is>
      </c>
    </row>
    <row r="1875">
      <c r="A1875" s="3" t="n">
        <v>2025</v>
      </c>
      <c r="B1875" s="4" t="n">
        <v>2156</v>
      </c>
      <c r="C1875" s="4" t="n">
        <v>120</v>
      </c>
      <c r="D1875" s="4" t="n">
        <v>36.3</v>
      </c>
      <c r="E1875" s="5" t="n">
        <v>59.4</v>
      </c>
      <c r="F1875" s="3" t="inlineStr">
        <is>
          <t>남이면</t>
        </is>
      </c>
      <c r="G1875" s="3" t="inlineStr">
        <is>
          <t>척산리</t>
        </is>
      </c>
      <c r="H1875" s="3" t="inlineStr">
        <is>
          <t>계획관리지역</t>
        </is>
      </c>
      <c r="I1875" s="3" t="inlineStr">
        <is>
          <t>답</t>
        </is>
      </c>
      <c r="J1875" s="3" t="inlineStr">
        <is>
          <t>남이면</t>
        </is>
      </c>
    </row>
    <row r="1876">
      <c r="A1876" s="3" t="n">
        <v>2025</v>
      </c>
      <c r="B1876" s="4" t="n">
        <v>898</v>
      </c>
      <c r="C1876" s="4" t="n">
        <v>50</v>
      </c>
      <c r="D1876" s="4" t="n">
        <v>15.125</v>
      </c>
      <c r="E1876" s="5" t="n">
        <v>59.4</v>
      </c>
      <c r="F1876" s="3" t="inlineStr">
        <is>
          <t>남이면</t>
        </is>
      </c>
      <c r="G1876" s="3" t="inlineStr">
        <is>
          <t>척산리</t>
        </is>
      </c>
      <c r="H1876" s="3" t="inlineStr">
        <is>
          <t>생산관리지역</t>
        </is>
      </c>
      <c r="I1876" s="3" t="inlineStr">
        <is>
          <t>답</t>
        </is>
      </c>
      <c r="J1876" s="3" t="inlineStr">
        <is>
          <t>남이면</t>
        </is>
      </c>
    </row>
    <row r="1877">
      <c r="A1877" s="3" t="n">
        <v>2025</v>
      </c>
      <c r="B1877" s="4" t="n">
        <v>646</v>
      </c>
      <c r="C1877" s="4" t="n">
        <v>36</v>
      </c>
      <c r="D1877" s="4" t="n">
        <v>10.89</v>
      </c>
      <c r="E1877" s="5" t="n">
        <v>59.3</v>
      </c>
      <c r="F1877" s="3" t="inlineStr">
        <is>
          <t>남이면</t>
        </is>
      </c>
      <c r="G1877" s="3" t="inlineStr">
        <is>
          <t>척산리</t>
        </is>
      </c>
      <c r="H1877" s="3" t="inlineStr">
        <is>
          <t>생산관리지역</t>
        </is>
      </c>
      <c r="I1877" s="3" t="inlineStr">
        <is>
          <t>도로</t>
        </is>
      </c>
      <c r="J1877" s="3" t="inlineStr">
        <is>
          <t>남이면</t>
        </is>
      </c>
    </row>
    <row r="1878">
      <c r="A1878" s="3" t="n">
        <v>2025</v>
      </c>
      <c r="B1878" s="4" t="n">
        <v>3930</v>
      </c>
      <c r="C1878" s="4" t="n">
        <v>185</v>
      </c>
      <c r="D1878" s="4" t="n">
        <v>55.9625</v>
      </c>
      <c r="E1878" s="5" t="n">
        <v>70.2</v>
      </c>
      <c r="F1878" s="3" t="inlineStr">
        <is>
          <t>남이면</t>
        </is>
      </c>
      <c r="G1878" s="3" t="inlineStr">
        <is>
          <t>수대리</t>
        </is>
      </c>
      <c r="H1878" s="3" t="inlineStr">
        <is>
          <t>자연녹지지역</t>
        </is>
      </c>
      <c r="I1878" s="3" t="inlineStr">
        <is>
          <t>전</t>
        </is>
      </c>
      <c r="J1878" s="3" t="inlineStr">
        <is>
          <t>남이면</t>
        </is>
      </c>
    </row>
    <row r="1879">
      <c r="A1879" s="3" t="n">
        <v>2025</v>
      </c>
      <c r="B1879" s="4" t="n">
        <v>70</v>
      </c>
      <c r="C1879" s="4" t="n">
        <v>3</v>
      </c>
      <c r="D1879" s="4" t="n">
        <v>0.9075</v>
      </c>
      <c r="E1879" s="5" t="n">
        <v>77.09999999999999</v>
      </c>
      <c r="F1879" s="3" t="inlineStr">
        <is>
          <t>남이면</t>
        </is>
      </c>
      <c r="G1879" s="3" t="inlineStr">
        <is>
          <t>수대리</t>
        </is>
      </c>
      <c r="H1879" s="3" t="inlineStr">
        <is>
          <t>자연녹지지역</t>
        </is>
      </c>
      <c r="I1879" s="3" t="inlineStr">
        <is>
          <t>전</t>
        </is>
      </c>
      <c r="J1879" s="3" t="inlineStr">
        <is>
          <t>남이면</t>
        </is>
      </c>
    </row>
    <row r="1880">
      <c r="A1880" s="3" t="n">
        <v>2025</v>
      </c>
      <c r="B1880" s="4" t="n">
        <v>150</v>
      </c>
      <c r="C1880" s="4" t="n">
        <v>2</v>
      </c>
      <c r="D1880" s="4" t="n">
        <v>0.605</v>
      </c>
      <c r="E1880" s="5" t="n">
        <v>247.9</v>
      </c>
      <c r="F1880" s="3" t="inlineStr">
        <is>
          <t>남이면</t>
        </is>
      </c>
      <c r="G1880" s="3" t="inlineStr">
        <is>
          <t>수대리</t>
        </is>
      </c>
      <c r="H1880" s="3" t="inlineStr">
        <is>
          <t>자연녹지지역</t>
        </is>
      </c>
      <c r="I1880" s="3" t="inlineStr">
        <is>
          <t>도로</t>
        </is>
      </c>
      <c r="J1880" s="3" t="inlineStr">
        <is>
          <t>남이면</t>
        </is>
      </c>
    </row>
    <row r="1881">
      <c r="A1881" s="3" t="n">
        <v>2025</v>
      </c>
      <c r="B1881" s="4" t="n">
        <v>400</v>
      </c>
      <c r="C1881" s="4" t="n">
        <v>297</v>
      </c>
      <c r="D1881" s="4" t="n">
        <v>89.8425</v>
      </c>
      <c r="E1881" s="5" t="n">
        <v>4.5</v>
      </c>
      <c r="F1881" s="3" t="inlineStr">
        <is>
          <t>남이면</t>
        </is>
      </c>
      <c r="G1881" s="3" t="inlineStr">
        <is>
          <t>외천리</t>
        </is>
      </c>
      <c r="H1881" s="3" t="inlineStr">
        <is>
          <t>계획관리지역</t>
        </is>
      </c>
      <c r="I1881" s="3" t="inlineStr">
        <is>
          <t>전</t>
        </is>
      </c>
      <c r="J1881" s="3" t="inlineStr">
        <is>
          <t>남이면</t>
        </is>
      </c>
    </row>
    <row r="1882">
      <c r="A1882" s="3" t="n">
        <v>2023</v>
      </c>
      <c r="B1882" s="4" t="n">
        <v>36000</v>
      </c>
      <c r="C1882" s="4" t="n">
        <v>364</v>
      </c>
      <c r="D1882" s="4" t="n">
        <v>110.11</v>
      </c>
      <c r="E1882" s="5" t="n">
        <v>326.9</v>
      </c>
      <c r="F1882" s="3" t="inlineStr">
        <is>
          <t>연동면</t>
        </is>
      </c>
      <c r="G1882" s="3" t="inlineStr">
        <is>
          <t>노송리</t>
        </is>
      </c>
      <c r="H1882" s="3" t="inlineStr">
        <is>
          <t>계획관리지역</t>
        </is>
      </c>
      <c r="I1882" s="3" t="inlineStr">
        <is>
          <t>전</t>
        </is>
      </c>
      <c r="J1882" s="3" t="inlineStr">
        <is>
          <t>연동면</t>
        </is>
      </c>
    </row>
    <row r="1883">
      <c r="A1883" s="3" t="n">
        <v>2026</v>
      </c>
      <c r="B1883" s="4" t="n">
        <v>4000</v>
      </c>
      <c r="C1883" s="4" t="n">
        <v>232</v>
      </c>
      <c r="D1883" s="4" t="n">
        <v>70.17999999999999</v>
      </c>
      <c r="E1883" s="5" t="n">
        <v>57</v>
      </c>
      <c r="F1883" s="3" t="inlineStr">
        <is>
          <t>남이면</t>
        </is>
      </c>
      <c r="G1883" s="3" t="inlineStr">
        <is>
          <t>외천리</t>
        </is>
      </c>
      <c r="H1883" s="3" t="inlineStr">
        <is>
          <t>계획관리지역</t>
        </is>
      </c>
      <c r="I1883" s="3" t="inlineStr">
        <is>
          <t>대</t>
        </is>
      </c>
      <c r="J1883" s="3" t="inlineStr">
        <is>
          <t>남이면</t>
        </is>
      </c>
    </row>
    <row r="1884">
      <c r="A1884" s="3" t="n">
        <v>2026</v>
      </c>
      <c r="B1884" s="4" t="n">
        <v>47480</v>
      </c>
      <c r="C1884" s="4" t="n">
        <v>3737</v>
      </c>
      <c r="D1884" s="4" t="n">
        <v>1130.4425</v>
      </c>
      <c r="E1884" s="5" t="n">
        <v>42</v>
      </c>
      <c r="F1884" s="3" t="inlineStr">
        <is>
          <t>남이면</t>
        </is>
      </c>
      <c r="G1884" s="3" t="inlineStr">
        <is>
          <t>척산리</t>
        </is>
      </c>
      <c r="H1884" s="3" t="inlineStr">
        <is>
          <t>자연녹지지역</t>
        </is>
      </c>
      <c r="I1884" s="3" t="inlineStr">
        <is>
          <t>답</t>
        </is>
      </c>
      <c r="J1884" s="3" t="inlineStr">
        <is>
          <t>남이면</t>
        </is>
      </c>
    </row>
    <row r="1885">
      <c r="A1885" s="3" t="n">
        <v>2026</v>
      </c>
      <c r="B1885" s="4" t="n">
        <v>20020</v>
      </c>
      <c r="C1885" s="4" t="n">
        <v>1576</v>
      </c>
      <c r="D1885" s="4" t="n">
        <v>476.74</v>
      </c>
      <c r="E1885" s="5" t="n">
        <v>42</v>
      </c>
      <c r="F1885" s="3" t="inlineStr">
        <is>
          <t>남이면</t>
        </is>
      </c>
      <c r="G1885" s="3" t="inlineStr">
        <is>
          <t>척산리</t>
        </is>
      </c>
      <c r="H1885" s="3" t="inlineStr">
        <is>
          <t>자연녹지지역</t>
        </is>
      </c>
      <c r="I1885" s="3" t="inlineStr">
        <is>
          <t>답</t>
        </is>
      </c>
      <c r="J1885" s="3" t="inlineStr">
        <is>
          <t>남이면</t>
        </is>
      </c>
    </row>
    <row r="1886">
      <c r="A1886" s="3" t="n">
        <v>2026</v>
      </c>
      <c r="B1886" s="4" t="n">
        <v>20000</v>
      </c>
      <c r="C1886" s="4" t="n">
        <v>1732</v>
      </c>
      <c r="D1886" s="4" t="n">
        <v>523.9299999999999</v>
      </c>
      <c r="E1886" s="5" t="n">
        <v>38.2</v>
      </c>
      <c r="F1886" s="3" t="inlineStr">
        <is>
          <t>남이면</t>
        </is>
      </c>
      <c r="G1886" s="3" t="inlineStr">
        <is>
          <t>척산리</t>
        </is>
      </c>
      <c r="H1886" s="3" t="inlineStr">
        <is>
          <t>자연녹지지역</t>
        </is>
      </c>
      <c r="I1886" s="3" t="inlineStr">
        <is>
          <t>전</t>
        </is>
      </c>
      <c r="J1886" s="3" t="inlineStr">
        <is>
          <t>남이면</t>
        </is>
      </c>
    </row>
    <row r="1887">
      <c r="A1887" s="3" t="n">
        <v>2026</v>
      </c>
      <c r="B1887" s="4" t="n">
        <v>10000</v>
      </c>
      <c r="C1887" s="4" t="n">
        <v>1527</v>
      </c>
      <c r="D1887" s="4" t="n">
        <v>461.9175</v>
      </c>
      <c r="E1887" s="5" t="n">
        <v>21.6</v>
      </c>
      <c r="F1887" s="3" t="inlineStr">
        <is>
          <t>남이면</t>
        </is>
      </c>
      <c r="G1887" s="3" t="inlineStr">
        <is>
          <t>척산리</t>
        </is>
      </c>
      <c r="H1887" s="3" t="inlineStr">
        <is>
          <t>자연녹지지역</t>
        </is>
      </c>
      <c r="I1887" s="3" t="inlineStr">
        <is>
          <t>전</t>
        </is>
      </c>
      <c r="J1887" s="3" t="inlineStr">
        <is>
          <t>남이면</t>
        </is>
      </c>
    </row>
    <row r="1888">
      <c r="A1888" s="3" t="n">
        <v>2026</v>
      </c>
      <c r="B1888" s="4" t="n">
        <v>5736</v>
      </c>
      <c r="C1888" s="4" t="n">
        <v>271</v>
      </c>
      <c r="D1888" s="4" t="n">
        <v>81.97749999999999</v>
      </c>
      <c r="E1888" s="5" t="n">
        <v>70</v>
      </c>
      <c r="F1888" s="3" t="inlineStr">
        <is>
          <t>남이면</t>
        </is>
      </c>
      <c r="G1888" s="3" t="inlineStr">
        <is>
          <t>부용외천리</t>
        </is>
      </c>
      <c r="H1888" s="3" t="inlineStr">
        <is>
          <t>계획관리지역</t>
        </is>
      </c>
      <c r="I1888" s="3" t="inlineStr">
        <is>
          <t>답</t>
        </is>
      </c>
      <c r="J1888" s="3" t="inlineStr">
        <is>
          <t>남이면</t>
        </is>
      </c>
    </row>
    <row r="1889">
      <c r="A1889" s="3" t="n">
        <v>2026</v>
      </c>
      <c r="B1889" s="4" t="n">
        <v>18458</v>
      </c>
      <c r="C1889" s="4" t="n">
        <v>662</v>
      </c>
      <c r="D1889" s="4" t="n">
        <v>200.255</v>
      </c>
      <c r="E1889" s="5" t="n">
        <v>92.2</v>
      </c>
      <c r="F1889" s="3" t="inlineStr">
        <is>
          <t>남이면</t>
        </is>
      </c>
      <c r="G1889" s="3" t="inlineStr">
        <is>
          <t>부용외천리</t>
        </is>
      </c>
      <c r="H1889" s="3" t="inlineStr">
        <is>
          <t>계획관리지역</t>
        </is>
      </c>
      <c r="I1889" s="3" t="inlineStr">
        <is>
          <t>답</t>
        </is>
      </c>
      <c r="J1889" s="3" t="inlineStr">
        <is>
          <t>남이면</t>
        </is>
      </c>
    </row>
    <row r="1890">
      <c r="A1890" s="3" t="n">
        <v>2026</v>
      </c>
      <c r="B1890" s="4" t="n">
        <v>27707</v>
      </c>
      <c r="C1890" s="4" t="n">
        <v>1212</v>
      </c>
      <c r="D1890" s="4" t="n">
        <v>366.63</v>
      </c>
      <c r="E1890" s="5" t="n">
        <v>75.59999999999999</v>
      </c>
      <c r="F1890" s="3" t="inlineStr">
        <is>
          <t>남이면</t>
        </is>
      </c>
      <c r="G1890" s="3" t="inlineStr">
        <is>
          <t>부용외천리</t>
        </is>
      </c>
      <c r="H1890" s="3" t="inlineStr">
        <is>
          <t>계획관리지역</t>
        </is>
      </c>
      <c r="I1890" s="3" t="inlineStr">
        <is>
          <t>답</t>
        </is>
      </c>
      <c r="J1890" s="3" t="inlineStr">
        <is>
          <t>남이면</t>
        </is>
      </c>
    </row>
    <row r="1891">
      <c r="A1891" s="3" t="n">
        <v>2026</v>
      </c>
      <c r="B1891" s="4" t="n">
        <v>9000</v>
      </c>
      <c r="C1891" s="4" t="n">
        <v>492</v>
      </c>
      <c r="D1891" s="4" t="n">
        <v>148.83</v>
      </c>
      <c r="E1891" s="5" t="n">
        <v>60.5</v>
      </c>
      <c r="F1891" s="3" t="inlineStr">
        <is>
          <t>남이면</t>
        </is>
      </c>
      <c r="G1891" s="3" t="inlineStr">
        <is>
          <t>외천리</t>
        </is>
      </c>
      <c r="H1891" s="3" t="inlineStr">
        <is>
          <t>계획관리지역</t>
        </is>
      </c>
      <c r="I1891" s="3" t="inlineStr">
        <is>
          <t>대</t>
        </is>
      </c>
      <c r="J1891" s="3" t="inlineStr">
        <is>
          <t>남이면</t>
        </is>
      </c>
    </row>
    <row r="1892">
      <c r="A1892" s="3" t="n">
        <v>2026</v>
      </c>
      <c r="B1892" s="4" t="n">
        <v>10000</v>
      </c>
      <c r="C1892" s="4" t="n">
        <v>926</v>
      </c>
      <c r="D1892" s="4" t="n">
        <v>280.115</v>
      </c>
      <c r="E1892" s="5" t="n">
        <v>35.7</v>
      </c>
      <c r="F1892" s="3" t="inlineStr">
        <is>
          <t>남이면</t>
        </is>
      </c>
      <c r="G1892" s="3" t="inlineStr">
        <is>
          <t>산막리</t>
        </is>
      </c>
      <c r="H1892" s="3" t="inlineStr">
        <is>
          <t>계획관리지역</t>
        </is>
      </c>
      <c r="I1892" s="3" t="inlineStr">
        <is>
          <t>대</t>
        </is>
      </c>
      <c r="J1892" s="3" t="inlineStr">
        <is>
          <t>남이면</t>
        </is>
      </c>
    </row>
    <row r="1893">
      <c r="A1893" s="3" t="n">
        <v>2026</v>
      </c>
      <c r="B1893" s="4" t="n">
        <v>7000</v>
      </c>
      <c r="C1893" s="4" t="n">
        <v>331</v>
      </c>
      <c r="D1893" s="4" t="n">
        <v>100.1275</v>
      </c>
      <c r="E1893" s="5" t="n">
        <v>69.90000000000001</v>
      </c>
      <c r="F1893" s="3" t="inlineStr">
        <is>
          <t>남이면</t>
        </is>
      </c>
      <c r="G1893" s="3" t="inlineStr">
        <is>
          <t>외천리</t>
        </is>
      </c>
      <c r="H1893" s="3" t="inlineStr">
        <is>
          <t>계획관리지역</t>
        </is>
      </c>
      <c r="I1893" s="3" t="inlineStr">
        <is>
          <t>대</t>
        </is>
      </c>
      <c r="J1893" s="3" t="inlineStr">
        <is>
          <t>남이면</t>
        </is>
      </c>
    </row>
    <row r="1894">
      <c r="A1894" s="3" t="n">
        <v>2026</v>
      </c>
      <c r="B1894" s="4" t="n">
        <v>81000</v>
      </c>
      <c r="C1894" s="4" t="n">
        <v>2694</v>
      </c>
      <c r="D1894" s="4" t="n">
        <v>814.9349999999999</v>
      </c>
      <c r="E1894" s="5" t="n">
        <v>99.40000000000001</v>
      </c>
      <c r="F1894" s="3" t="inlineStr">
        <is>
          <t>남이면</t>
        </is>
      </c>
      <c r="G1894" s="3" t="inlineStr">
        <is>
          <t>척산리</t>
        </is>
      </c>
      <c r="H1894" s="3" t="inlineStr">
        <is>
          <t>계획관리지역</t>
        </is>
      </c>
      <c r="I1894" s="3" t="inlineStr">
        <is>
          <t>공장용지</t>
        </is>
      </c>
      <c r="J1894" s="3" t="inlineStr">
        <is>
          <t>남이면</t>
        </is>
      </c>
    </row>
    <row r="1895">
      <c r="A1895" s="3" t="n">
        <v>2026</v>
      </c>
      <c r="B1895" s="4" t="n">
        <v>25710</v>
      </c>
      <c r="C1895" s="4" t="n">
        <v>2073</v>
      </c>
      <c r="D1895" s="4" t="n">
        <v>627.0825</v>
      </c>
      <c r="E1895" s="5" t="n">
        <v>41</v>
      </c>
      <c r="F1895" s="3" t="inlineStr">
        <is>
          <t>남이면</t>
        </is>
      </c>
      <c r="G1895" s="3" t="inlineStr">
        <is>
          <t>척산리</t>
        </is>
      </c>
      <c r="H1895" s="3" t="inlineStr">
        <is>
          <t>자연녹지지역</t>
        </is>
      </c>
      <c r="I1895" s="3" t="inlineStr">
        <is>
          <t>답</t>
        </is>
      </c>
      <c r="J1895" s="3" t="inlineStr">
        <is>
          <t>남이면</t>
        </is>
      </c>
    </row>
    <row r="1896">
      <c r="A1896" s="3" t="n">
        <v>2026</v>
      </c>
      <c r="B1896" s="4" t="n">
        <v>800</v>
      </c>
      <c r="C1896" s="4" t="n">
        <v>6</v>
      </c>
      <c r="D1896" s="4" t="n">
        <v>1.815</v>
      </c>
      <c r="E1896" s="5" t="n">
        <v>440.8</v>
      </c>
      <c r="F1896" s="3" t="inlineStr">
        <is>
          <t>남이면</t>
        </is>
      </c>
      <c r="G1896" s="3" t="inlineStr">
        <is>
          <t>외천리</t>
        </is>
      </c>
      <c r="H1896" s="3" t="inlineStr">
        <is>
          <t>계획관리지역</t>
        </is>
      </c>
      <c r="I1896" s="3" t="inlineStr">
        <is>
          <t>대</t>
        </is>
      </c>
      <c r="J1896" s="3" t="inlineStr">
        <is>
          <t>남이면</t>
        </is>
      </c>
    </row>
    <row r="1897">
      <c r="A1897" s="3" t="n">
        <v>2026</v>
      </c>
      <c r="B1897" s="4" t="n">
        <v>3700</v>
      </c>
      <c r="C1897" s="4" t="n">
        <v>72</v>
      </c>
      <c r="D1897" s="4" t="n">
        <v>21.78</v>
      </c>
      <c r="E1897" s="5" t="n">
        <v>169.9</v>
      </c>
      <c r="F1897" s="3" t="inlineStr">
        <is>
          <t>남이면</t>
        </is>
      </c>
      <c r="G1897" s="3" t="inlineStr">
        <is>
          <t>부용외천리</t>
        </is>
      </c>
      <c r="H1897" s="3" t="inlineStr">
        <is>
          <t>계획관리지역</t>
        </is>
      </c>
      <c r="I1897" s="3" t="inlineStr">
        <is>
          <t>임야</t>
        </is>
      </c>
      <c r="J1897" s="3" t="inlineStr">
        <is>
          <t>남이면</t>
        </is>
      </c>
    </row>
    <row r="1898">
      <c r="A1898" s="3" t="n">
        <v>2023</v>
      </c>
      <c r="B1898" s="4" t="n">
        <v>49000</v>
      </c>
      <c r="C1898" s="4" t="n">
        <v>304.2</v>
      </c>
      <c r="D1898" s="4" t="n">
        <v>92.0205</v>
      </c>
      <c r="E1898" s="5" t="n">
        <v>532.5</v>
      </c>
      <c r="F1898" s="3" t="inlineStr">
        <is>
          <t>아름동</t>
        </is>
      </c>
      <c r="G1898" s="3" t="inlineStr"/>
      <c r="H1898" s="3" t="inlineStr">
        <is>
          <t>제1종전용주거지역</t>
        </is>
      </c>
      <c r="I1898" s="3" t="inlineStr">
        <is>
          <t>대</t>
        </is>
      </c>
      <c r="J1898" s="3" t="inlineStr">
        <is>
          <t>아름동</t>
        </is>
      </c>
    </row>
    <row r="1899">
      <c r="A1899" s="3" t="n">
        <v>2023</v>
      </c>
      <c r="B1899" s="4" t="n">
        <v>1341</v>
      </c>
      <c r="C1899" s="4" t="n">
        <v>1842</v>
      </c>
      <c r="D1899" s="4" t="n">
        <v>557.2049999999999</v>
      </c>
      <c r="E1899" s="5" t="n">
        <v>2.4</v>
      </c>
      <c r="F1899" s="3" t="inlineStr">
        <is>
          <t>연서면</t>
        </is>
      </c>
      <c r="G1899" s="3" t="inlineStr">
        <is>
          <t>고복리</t>
        </is>
      </c>
      <c r="H1899" s="3" t="inlineStr">
        <is>
          <t>농림지역</t>
        </is>
      </c>
      <c r="I1899" s="3" t="inlineStr">
        <is>
          <t>임야</t>
        </is>
      </c>
      <c r="J1899" s="3" t="inlineStr">
        <is>
          <t>연서면</t>
        </is>
      </c>
    </row>
    <row r="1900">
      <c r="A1900" s="3" t="n">
        <v>2023</v>
      </c>
      <c r="B1900" s="4" t="n">
        <v>2554</v>
      </c>
      <c r="C1900" s="4" t="n">
        <v>2409</v>
      </c>
      <c r="D1900" s="4" t="n">
        <v>728.7225</v>
      </c>
      <c r="E1900" s="5" t="n">
        <v>3.5</v>
      </c>
      <c r="F1900" s="3" t="inlineStr">
        <is>
          <t>연서면</t>
        </is>
      </c>
      <c r="G1900" s="3" t="inlineStr">
        <is>
          <t>고복리</t>
        </is>
      </c>
      <c r="H1900" s="3" t="inlineStr">
        <is>
          <t>농림지역</t>
        </is>
      </c>
      <c r="I1900" s="3" t="inlineStr">
        <is>
          <t>임야</t>
        </is>
      </c>
      <c r="J1900" s="3" t="inlineStr">
        <is>
          <t>연서면</t>
        </is>
      </c>
    </row>
    <row r="1901">
      <c r="A1901" s="3" t="n">
        <v>2022</v>
      </c>
      <c r="B1901" s="4" t="n">
        <v>30080</v>
      </c>
      <c r="C1901" s="4" t="n">
        <v>622</v>
      </c>
      <c r="D1901" s="4" t="n">
        <v>188.155</v>
      </c>
      <c r="E1901" s="5" t="n">
        <v>159.9</v>
      </c>
      <c r="F1901" s="3" t="inlineStr">
        <is>
          <t>연서면</t>
        </is>
      </c>
      <c r="G1901" s="3" t="inlineStr">
        <is>
          <t>쌍전리</t>
        </is>
      </c>
      <c r="H1901" s="3" t="inlineStr">
        <is>
          <t>자연녹지지역</t>
        </is>
      </c>
      <c r="I1901" s="3" t="inlineStr">
        <is>
          <t>과수원</t>
        </is>
      </c>
      <c r="J1901" s="3" t="inlineStr">
        <is>
          <t>연서면</t>
        </is>
      </c>
    </row>
    <row r="1902">
      <c r="A1902" s="3" t="n">
        <v>2022</v>
      </c>
      <c r="B1902" s="4" t="n">
        <v>69000</v>
      </c>
      <c r="C1902" s="4" t="n">
        <v>993</v>
      </c>
      <c r="D1902" s="4" t="n">
        <v>300.3825</v>
      </c>
      <c r="E1902" s="5" t="n">
        <v>229.7</v>
      </c>
      <c r="F1902" s="3" t="inlineStr">
        <is>
          <t>연서면</t>
        </is>
      </c>
      <c r="G1902" s="3" t="inlineStr">
        <is>
          <t>봉암리</t>
        </is>
      </c>
      <c r="H1902" s="3" t="inlineStr">
        <is>
          <t>농림지역</t>
        </is>
      </c>
      <c r="I1902" s="3" t="inlineStr">
        <is>
          <t>전</t>
        </is>
      </c>
      <c r="J1902" s="3" t="inlineStr">
        <is>
          <t>연서면</t>
        </is>
      </c>
    </row>
    <row r="1903">
      <c r="A1903" s="3" t="n">
        <v>2022</v>
      </c>
      <c r="B1903" s="4" t="n">
        <v>1204</v>
      </c>
      <c r="C1903" s="4" t="n">
        <v>17</v>
      </c>
      <c r="D1903" s="4" t="n">
        <v>5.1425</v>
      </c>
      <c r="E1903" s="5" t="n">
        <v>234.1</v>
      </c>
      <c r="F1903" s="3" t="inlineStr">
        <is>
          <t>조치원읍</t>
        </is>
      </c>
      <c r="G1903" s="3" t="inlineStr">
        <is>
          <t>명리</t>
        </is>
      </c>
      <c r="H1903" s="3" t="inlineStr">
        <is>
          <t>제2종일반주거지역</t>
        </is>
      </c>
      <c r="I1903" s="3" t="inlineStr">
        <is>
          <t>잡종지</t>
        </is>
      </c>
      <c r="J1903" s="3" t="inlineStr">
        <is>
          <t>조치원읍</t>
        </is>
      </c>
    </row>
    <row r="1904">
      <c r="A1904" s="3" t="n">
        <v>2022</v>
      </c>
      <c r="B1904" s="4" t="n">
        <v>23400</v>
      </c>
      <c r="C1904" s="4" t="n">
        <v>150</v>
      </c>
      <c r="D1904" s="4" t="n">
        <v>45.375</v>
      </c>
      <c r="E1904" s="5" t="n">
        <v>515.7</v>
      </c>
      <c r="F1904" s="3" t="inlineStr">
        <is>
          <t>조치원읍</t>
        </is>
      </c>
      <c r="G1904" s="3" t="inlineStr">
        <is>
          <t>정리</t>
        </is>
      </c>
      <c r="H1904" s="3" t="inlineStr">
        <is>
          <t>준주거지역</t>
        </is>
      </c>
      <c r="I1904" s="3" t="inlineStr">
        <is>
          <t>대</t>
        </is>
      </c>
      <c r="J1904" s="3" t="inlineStr">
        <is>
          <t>조치원읍</t>
        </is>
      </c>
    </row>
    <row r="1905">
      <c r="A1905" s="3" t="n">
        <v>2022</v>
      </c>
      <c r="B1905" s="4" t="n">
        <v>38900</v>
      </c>
      <c r="C1905" s="4" t="n">
        <v>249</v>
      </c>
      <c r="D1905" s="4" t="n">
        <v>75.32249999999999</v>
      </c>
      <c r="E1905" s="5" t="n">
        <v>516.4</v>
      </c>
      <c r="F1905" s="3" t="inlineStr">
        <is>
          <t>조치원읍</t>
        </is>
      </c>
      <c r="G1905" s="3" t="inlineStr">
        <is>
          <t>정리</t>
        </is>
      </c>
      <c r="H1905" s="3" t="inlineStr">
        <is>
          <t>준주거지역</t>
        </is>
      </c>
      <c r="I1905" s="3" t="inlineStr">
        <is>
          <t>대</t>
        </is>
      </c>
      <c r="J1905" s="3" t="inlineStr">
        <is>
          <t>조치원읍</t>
        </is>
      </c>
    </row>
    <row r="1906">
      <c r="A1906" s="3" t="n">
        <v>2022</v>
      </c>
      <c r="B1906" s="4" t="n">
        <v>6200</v>
      </c>
      <c r="C1906" s="4" t="n">
        <v>40</v>
      </c>
      <c r="D1906" s="4" t="n">
        <v>12.1</v>
      </c>
      <c r="E1906" s="5" t="n">
        <v>512.4</v>
      </c>
      <c r="F1906" s="3" t="inlineStr">
        <is>
          <t>조치원읍</t>
        </is>
      </c>
      <c r="G1906" s="3" t="inlineStr">
        <is>
          <t>정리</t>
        </is>
      </c>
      <c r="H1906" s="3" t="inlineStr">
        <is>
          <t>준주거지역</t>
        </is>
      </c>
      <c r="I1906" s="3" t="inlineStr">
        <is>
          <t>대</t>
        </is>
      </c>
      <c r="J1906" s="3" t="inlineStr">
        <is>
          <t>조치원읍</t>
        </is>
      </c>
    </row>
    <row r="1907">
      <c r="A1907" s="3" t="n">
        <v>2022</v>
      </c>
      <c r="B1907" s="4" t="n">
        <v>7300</v>
      </c>
      <c r="C1907" s="4" t="n">
        <v>46</v>
      </c>
      <c r="D1907" s="4" t="n">
        <v>13.915</v>
      </c>
      <c r="E1907" s="5" t="n">
        <v>524.6</v>
      </c>
      <c r="F1907" s="3" t="inlineStr">
        <is>
          <t>조치원읍</t>
        </is>
      </c>
      <c r="G1907" s="3" t="inlineStr">
        <is>
          <t>정리</t>
        </is>
      </c>
      <c r="H1907" s="3" t="inlineStr">
        <is>
          <t>준주거지역</t>
        </is>
      </c>
      <c r="I1907" s="3" t="inlineStr">
        <is>
          <t>답</t>
        </is>
      </c>
      <c r="J1907" s="3" t="inlineStr">
        <is>
          <t>조치원읍</t>
        </is>
      </c>
    </row>
    <row r="1908">
      <c r="A1908" s="3" t="n">
        <v>2022</v>
      </c>
      <c r="B1908" s="4" t="n">
        <v>8300</v>
      </c>
      <c r="C1908" s="4" t="n">
        <v>330</v>
      </c>
      <c r="D1908" s="4" t="n">
        <v>99.825</v>
      </c>
      <c r="E1908" s="5" t="n">
        <v>83.09999999999999</v>
      </c>
      <c r="F1908" s="3" t="inlineStr">
        <is>
          <t>연동면</t>
        </is>
      </c>
      <c r="G1908" s="3" t="inlineStr">
        <is>
          <t>명학리</t>
        </is>
      </c>
      <c r="H1908" s="3" t="inlineStr">
        <is>
          <t>농림지역</t>
        </is>
      </c>
      <c r="I1908" s="3" t="inlineStr">
        <is>
          <t>임야</t>
        </is>
      </c>
      <c r="J1908" s="3" t="inlineStr">
        <is>
          <t>연동면</t>
        </is>
      </c>
    </row>
    <row r="1909">
      <c r="A1909" s="3" t="n">
        <v>2022</v>
      </c>
      <c r="B1909" s="4" t="n">
        <v>1610</v>
      </c>
      <c r="C1909" s="4" t="n">
        <v>83</v>
      </c>
      <c r="D1909" s="4" t="n">
        <v>25.1075</v>
      </c>
      <c r="E1909" s="5" t="n">
        <v>64.09999999999999</v>
      </c>
      <c r="F1909" s="3" t="inlineStr">
        <is>
          <t>부강면</t>
        </is>
      </c>
      <c r="G1909" s="3" t="inlineStr">
        <is>
          <t>문곡리</t>
        </is>
      </c>
      <c r="H1909" s="3" t="inlineStr">
        <is>
          <t>계획관리지역</t>
        </is>
      </c>
      <c r="I1909" s="3" t="inlineStr">
        <is>
          <t>답</t>
        </is>
      </c>
      <c r="J1909" s="3" t="inlineStr">
        <is>
          <t>부강면</t>
        </is>
      </c>
    </row>
    <row r="1910">
      <c r="A1910" s="3" t="n">
        <v>2022</v>
      </c>
      <c r="B1910" s="4" t="n">
        <v>390</v>
      </c>
      <c r="C1910" s="4" t="n">
        <v>20</v>
      </c>
      <c r="D1910" s="4" t="n">
        <v>6.05</v>
      </c>
      <c r="E1910" s="5" t="n">
        <v>64.5</v>
      </c>
      <c r="F1910" s="3" t="inlineStr">
        <is>
          <t>부강면</t>
        </is>
      </c>
      <c r="G1910" s="3" t="inlineStr">
        <is>
          <t>문곡리</t>
        </is>
      </c>
      <c r="H1910" s="3" t="inlineStr">
        <is>
          <t>계획관리지역</t>
        </is>
      </c>
      <c r="I1910" s="3" t="inlineStr">
        <is>
          <t>답</t>
        </is>
      </c>
      <c r="J1910" s="3" t="inlineStr">
        <is>
          <t>부강면</t>
        </is>
      </c>
    </row>
    <row r="1911">
      <c r="A1911" s="3" t="n">
        <v>2022</v>
      </c>
      <c r="B1911" s="4" t="n">
        <v>3600</v>
      </c>
      <c r="C1911" s="4" t="n">
        <v>40</v>
      </c>
      <c r="D1911" s="4" t="n">
        <v>12.1</v>
      </c>
      <c r="E1911" s="5" t="n">
        <v>297.5</v>
      </c>
      <c r="F1911" s="3" t="inlineStr">
        <is>
          <t>조치원읍</t>
        </is>
      </c>
      <c r="G1911" s="3" t="inlineStr">
        <is>
          <t>서창리</t>
        </is>
      </c>
      <c r="H1911" s="3" t="inlineStr">
        <is>
          <t>제1종일반주거지역</t>
        </is>
      </c>
      <c r="I1911" s="3" t="inlineStr">
        <is>
          <t>대</t>
        </is>
      </c>
      <c r="J1911" s="3" t="inlineStr">
        <is>
          <t>조치원읍</t>
        </is>
      </c>
    </row>
    <row r="1912">
      <c r="A1912" s="3" t="n">
        <v>2022</v>
      </c>
      <c r="B1912" s="4" t="n">
        <v>29000</v>
      </c>
      <c r="C1912" s="4" t="n">
        <v>501</v>
      </c>
      <c r="D1912" s="4" t="n">
        <v>151.5525</v>
      </c>
      <c r="E1912" s="5" t="n">
        <v>191.4</v>
      </c>
      <c r="F1912" s="3" t="inlineStr">
        <is>
          <t>남이면</t>
        </is>
      </c>
      <c r="G1912" s="3" t="inlineStr">
        <is>
          <t>석판리</t>
        </is>
      </c>
      <c r="H1912" s="3" t="inlineStr">
        <is>
          <t>자연녹지지역</t>
        </is>
      </c>
      <c r="I1912" s="3" t="inlineStr">
        <is>
          <t>묘지</t>
        </is>
      </c>
      <c r="J1912" s="3" t="inlineStr">
        <is>
          <t>남이면</t>
        </is>
      </c>
    </row>
    <row r="1913">
      <c r="A1913" s="3" t="n">
        <v>2022</v>
      </c>
      <c r="B1913" s="4" t="n">
        <v>6557</v>
      </c>
      <c r="C1913" s="4" t="n">
        <v>1081.8</v>
      </c>
      <c r="D1913" s="4" t="n">
        <v>327.2445</v>
      </c>
      <c r="E1913" s="5" t="n">
        <v>20</v>
      </c>
      <c r="F1913" s="3" t="inlineStr">
        <is>
          <t>남이면</t>
        </is>
      </c>
      <c r="G1913" s="3" t="inlineStr">
        <is>
          <t>구미리</t>
        </is>
      </c>
      <c r="H1913" s="3" t="inlineStr">
        <is>
          <t>농림지역</t>
        </is>
      </c>
      <c r="I1913" s="3" t="inlineStr">
        <is>
          <t>답</t>
        </is>
      </c>
      <c r="J1913" s="3" t="inlineStr">
        <is>
          <t>남이면</t>
        </is>
      </c>
    </row>
    <row r="1914">
      <c r="A1914" s="3" t="n">
        <v>2022</v>
      </c>
      <c r="B1914" s="4" t="n">
        <v>15043</v>
      </c>
      <c r="C1914" s="4" t="n">
        <v>2481.9</v>
      </c>
      <c r="D1914" s="4" t="n">
        <v>750.77475</v>
      </c>
      <c r="E1914" s="5" t="n">
        <v>20</v>
      </c>
      <c r="F1914" s="3" t="inlineStr">
        <is>
          <t>남이면</t>
        </is>
      </c>
      <c r="G1914" s="3" t="inlineStr">
        <is>
          <t>구미리</t>
        </is>
      </c>
      <c r="H1914" s="3" t="inlineStr">
        <is>
          <t>농림지역</t>
        </is>
      </c>
      <c r="I1914" s="3" t="inlineStr">
        <is>
          <t>답</t>
        </is>
      </c>
      <c r="J1914" s="3" t="inlineStr">
        <is>
          <t>남이면</t>
        </is>
      </c>
    </row>
    <row r="1915">
      <c r="A1915" s="3" t="n">
        <v>2022</v>
      </c>
      <c r="B1915" s="4" t="n">
        <v>55</v>
      </c>
      <c r="C1915" s="4" t="n">
        <v>3</v>
      </c>
      <c r="D1915" s="4" t="n">
        <v>0.9075</v>
      </c>
      <c r="E1915" s="5" t="n">
        <v>60.6</v>
      </c>
      <c r="F1915" s="3" t="inlineStr">
        <is>
          <t>남이면</t>
        </is>
      </c>
      <c r="G1915" s="3" t="inlineStr">
        <is>
          <t>석판리</t>
        </is>
      </c>
      <c r="H1915" s="3" t="inlineStr">
        <is>
          <t>자연녹지지역</t>
        </is>
      </c>
      <c r="I1915" s="3" t="inlineStr">
        <is>
          <t>대</t>
        </is>
      </c>
      <c r="J1915" s="3" t="inlineStr">
        <is>
          <t>남이면</t>
        </is>
      </c>
    </row>
    <row r="1916">
      <c r="A1916" s="3" t="n">
        <v>2022</v>
      </c>
      <c r="B1916" s="4" t="n">
        <v>80</v>
      </c>
      <c r="C1916" s="4" t="n">
        <v>4</v>
      </c>
      <c r="D1916" s="4" t="n">
        <v>1.21</v>
      </c>
      <c r="E1916" s="5" t="n">
        <v>66.09999999999999</v>
      </c>
      <c r="F1916" s="3" t="inlineStr">
        <is>
          <t>남이면</t>
        </is>
      </c>
      <c r="G1916" s="3" t="inlineStr">
        <is>
          <t>석판리</t>
        </is>
      </c>
      <c r="H1916" s="3" t="inlineStr">
        <is>
          <t>자연녹지지역</t>
        </is>
      </c>
      <c r="I1916" s="3" t="inlineStr">
        <is>
          <t>대</t>
        </is>
      </c>
      <c r="J1916" s="3" t="inlineStr">
        <is>
          <t>남이면</t>
        </is>
      </c>
    </row>
    <row r="1917">
      <c r="A1917" s="3" t="n">
        <v>2022</v>
      </c>
      <c r="B1917" s="4" t="n">
        <v>6000</v>
      </c>
      <c r="C1917" s="4" t="n">
        <v>216.9</v>
      </c>
      <c r="D1917" s="4" t="n">
        <v>65.61225</v>
      </c>
      <c r="E1917" s="5" t="n">
        <v>91.40000000000001</v>
      </c>
      <c r="F1917" s="3" t="inlineStr">
        <is>
          <t>남이면</t>
        </is>
      </c>
      <c r="G1917" s="3" t="inlineStr">
        <is>
          <t>가좌리</t>
        </is>
      </c>
      <c r="H1917" s="3" t="inlineStr">
        <is>
          <t>자연녹지지역</t>
        </is>
      </c>
      <c r="I1917" s="3" t="inlineStr">
        <is>
          <t>임야</t>
        </is>
      </c>
      <c r="J1917" s="3" t="inlineStr">
        <is>
          <t>남이면</t>
        </is>
      </c>
    </row>
    <row r="1918">
      <c r="A1918" s="3" t="n">
        <v>2022</v>
      </c>
      <c r="B1918" s="4" t="n">
        <v>7000</v>
      </c>
      <c r="C1918" s="4" t="n">
        <v>296</v>
      </c>
      <c r="D1918" s="4" t="n">
        <v>89.53999999999999</v>
      </c>
      <c r="E1918" s="5" t="n">
        <v>78.2</v>
      </c>
      <c r="F1918" s="3" t="inlineStr">
        <is>
          <t>남이면</t>
        </is>
      </c>
      <c r="G1918" s="3" t="inlineStr">
        <is>
          <t>가좌리</t>
        </is>
      </c>
      <c r="H1918" s="3" t="inlineStr">
        <is>
          <t>자연녹지지역</t>
        </is>
      </c>
      <c r="I1918" s="3" t="inlineStr">
        <is>
          <t>임야</t>
        </is>
      </c>
      <c r="J1918" s="3" t="inlineStr">
        <is>
          <t>남이면</t>
        </is>
      </c>
    </row>
    <row r="1919">
      <c r="A1919" s="3" t="n">
        <v>2022</v>
      </c>
      <c r="B1919" s="4" t="n">
        <v>7500</v>
      </c>
      <c r="C1919" s="4" t="n">
        <v>313.5</v>
      </c>
      <c r="D1919" s="4" t="n">
        <v>94.83374999999999</v>
      </c>
      <c r="E1919" s="5" t="n">
        <v>79.09999999999999</v>
      </c>
      <c r="F1919" s="3" t="inlineStr">
        <is>
          <t>남이면</t>
        </is>
      </c>
      <c r="G1919" s="3" t="inlineStr">
        <is>
          <t>가좌리</t>
        </is>
      </c>
      <c r="H1919" s="3" t="inlineStr">
        <is>
          <t>자연녹지지역</t>
        </is>
      </c>
      <c r="I1919" s="3" t="inlineStr">
        <is>
          <t>임야</t>
        </is>
      </c>
      <c r="J1919" s="3" t="inlineStr">
        <is>
          <t>남이면</t>
        </is>
      </c>
    </row>
    <row r="1920">
      <c r="A1920" s="3" t="n">
        <v>2022</v>
      </c>
      <c r="B1920" s="4" t="n">
        <v>594</v>
      </c>
      <c r="C1920" s="4" t="n">
        <v>60</v>
      </c>
      <c r="D1920" s="4" t="n">
        <v>18.15</v>
      </c>
      <c r="E1920" s="5" t="n">
        <v>32.7</v>
      </c>
      <c r="F1920" s="3" t="inlineStr">
        <is>
          <t>남이면</t>
        </is>
      </c>
      <c r="G1920" s="3" t="inlineStr">
        <is>
          <t>석실리</t>
        </is>
      </c>
      <c r="H1920" s="3" t="inlineStr">
        <is>
          <t>자연녹지지역</t>
        </is>
      </c>
      <c r="I1920" s="3" t="inlineStr">
        <is>
          <t>도로</t>
        </is>
      </c>
      <c r="J1920" s="3" t="inlineStr">
        <is>
          <t>남이면</t>
        </is>
      </c>
    </row>
    <row r="1921">
      <c r="A1921" s="3" t="n">
        <v>2022</v>
      </c>
      <c r="B1921" s="4" t="n">
        <v>178</v>
      </c>
      <c r="C1921" s="4" t="n">
        <v>18</v>
      </c>
      <c r="D1921" s="4" t="n">
        <v>5.445</v>
      </c>
      <c r="E1921" s="5" t="n">
        <v>32.7</v>
      </c>
      <c r="F1921" s="3" t="inlineStr">
        <is>
          <t>남이면</t>
        </is>
      </c>
      <c r="G1921" s="3" t="inlineStr">
        <is>
          <t>석실리</t>
        </is>
      </c>
      <c r="H1921" s="3" t="inlineStr">
        <is>
          <t>자연녹지지역</t>
        </is>
      </c>
      <c r="I1921" s="3" t="inlineStr">
        <is>
          <t>도로</t>
        </is>
      </c>
      <c r="J1921" s="3" t="inlineStr">
        <is>
          <t>남이면</t>
        </is>
      </c>
    </row>
    <row r="1922">
      <c r="A1922" s="3" t="n">
        <v>2022</v>
      </c>
      <c r="B1922" s="4" t="n">
        <v>228</v>
      </c>
      <c r="C1922" s="4" t="n">
        <v>23</v>
      </c>
      <c r="D1922" s="4" t="n">
        <v>6.9575</v>
      </c>
      <c r="E1922" s="5" t="n">
        <v>32.8</v>
      </c>
      <c r="F1922" s="3" t="inlineStr">
        <is>
          <t>남이면</t>
        </is>
      </c>
      <c r="G1922" s="3" t="inlineStr">
        <is>
          <t>석실리</t>
        </is>
      </c>
      <c r="H1922" s="3" t="inlineStr">
        <is>
          <t>자연녹지지역</t>
        </is>
      </c>
      <c r="I1922" s="3" t="inlineStr">
        <is>
          <t>도로</t>
        </is>
      </c>
      <c r="J1922" s="3" t="inlineStr">
        <is>
          <t>남이면</t>
        </is>
      </c>
    </row>
    <row r="1923">
      <c r="A1923" s="3" t="n">
        <v>2022</v>
      </c>
      <c r="B1923" s="4" t="n">
        <v>7000</v>
      </c>
      <c r="C1923" s="4" t="n">
        <v>1048</v>
      </c>
      <c r="D1923" s="4" t="n">
        <v>317.02</v>
      </c>
      <c r="E1923" s="5" t="n">
        <v>22.1</v>
      </c>
      <c r="F1923" s="3" t="inlineStr">
        <is>
          <t>남이면</t>
        </is>
      </c>
      <c r="G1923" s="3" t="inlineStr">
        <is>
          <t>산막리</t>
        </is>
      </c>
      <c r="H1923" s="3" t="inlineStr">
        <is>
          <t>생산관리지역</t>
        </is>
      </c>
      <c r="I1923" s="3" t="inlineStr">
        <is>
          <t>전</t>
        </is>
      </c>
      <c r="J1923" s="3" t="inlineStr">
        <is>
          <t>남이면</t>
        </is>
      </c>
    </row>
    <row r="1924">
      <c r="A1924" s="3" t="n">
        <v>2022</v>
      </c>
      <c r="B1924" s="4" t="n">
        <v>12000</v>
      </c>
      <c r="C1924" s="4" t="n">
        <v>1248</v>
      </c>
      <c r="D1924" s="4" t="n">
        <v>377.52</v>
      </c>
      <c r="E1924" s="5" t="n">
        <v>31.8</v>
      </c>
      <c r="F1924" s="3" t="inlineStr">
        <is>
          <t>남이면</t>
        </is>
      </c>
      <c r="G1924" s="3" t="inlineStr">
        <is>
          <t>상발리</t>
        </is>
      </c>
      <c r="H1924" s="3" t="inlineStr">
        <is>
          <t>자연녹지지역</t>
        </is>
      </c>
      <c r="I1924" s="3" t="inlineStr">
        <is>
          <t>잡종지</t>
        </is>
      </c>
      <c r="J1924" s="3" t="inlineStr">
        <is>
          <t>남이면</t>
        </is>
      </c>
    </row>
    <row r="1925">
      <c r="A1925" s="3" t="n">
        <v>2022</v>
      </c>
      <c r="B1925" s="4" t="n">
        <v>3000</v>
      </c>
      <c r="C1925" s="4" t="n">
        <v>496</v>
      </c>
      <c r="D1925" s="4" t="n">
        <v>150.04</v>
      </c>
      <c r="E1925" s="5" t="n">
        <v>20</v>
      </c>
      <c r="F1925" s="3" t="inlineStr">
        <is>
          <t>남이면</t>
        </is>
      </c>
      <c r="G1925" s="3" t="inlineStr">
        <is>
          <t>상발리</t>
        </is>
      </c>
      <c r="H1925" s="3" t="inlineStr">
        <is>
          <t>보전녹지지역</t>
        </is>
      </c>
      <c r="I1925" s="3" t="inlineStr">
        <is>
          <t>임야</t>
        </is>
      </c>
      <c r="J1925" s="3" t="inlineStr">
        <is>
          <t>남이면</t>
        </is>
      </c>
    </row>
    <row r="1926">
      <c r="A1926" s="3" t="n">
        <v>2022</v>
      </c>
      <c r="B1926" s="4" t="n">
        <v>4379</v>
      </c>
      <c r="C1926" s="4" t="n">
        <v>437</v>
      </c>
      <c r="D1926" s="4" t="n">
        <v>132.1925</v>
      </c>
      <c r="E1926" s="5" t="n">
        <v>33.1</v>
      </c>
      <c r="F1926" s="3" t="inlineStr">
        <is>
          <t>남이면</t>
        </is>
      </c>
      <c r="G1926" s="3" t="inlineStr">
        <is>
          <t>산막리</t>
        </is>
      </c>
      <c r="H1926" s="3" t="inlineStr">
        <is>
          <t>생산관리지역</t>
        </is>
      </c>
      <c r="I1926" s="3" t="inlineStr">
        <is>
          <t>전</t>
        </is>
      </c>
      <c r="J1926" s="3" t="inlineStr">
        <is>
          <t>남이면</t>
        </is>
      </c>
    </row>
    <row r="1927">
      <c r="A1927" s="3" t="n">
        <v>2022</v>
      </c>
      <c r="B1927" s="4" t="n">
        <v>700</v>
      </c>
      <c r="C1927" s="4" t="n">
        <v>11</v>
      </c>
      <c r="D1927" s="4" t="n">
        <v>3.3275</v>
      </c>
      <c r="E1927" s="5" t="n">
        <v>210.4</v>
      </c>
      <c r="F1927" s="3" t="inlineStr">
        <is>
          <t>남이면</t>
        </is>
      </c>
      <c r="G1927" s="3" t="inlineStr">
        <is>
          <t>양촌리</t>
        </is>
      </c>
      <c r="H1927" s="3" t="inlineStr">
        <is>
          <t>자연녹지지역</t>
        </is>
      </c>
      <c r="I1927" s="3" t="inlineStr">
        <is>
          <t>도로</t>
        </is>
      </c>
      <c r="J1927" s="3" t="inlineStr">
        <is>
          <t>남이면</t>
        </is>
      </c>
    </row>
    <row r="1928">
      <c r="A1928" s="3" t="n">
        <v>2024</v>
      </c>
      <c r="B1928" s="4" t="n">
        <v>102000</v>
      </c>
      <c r="C1928" s="4" t="n">
        <v>1172</v>
      </c>
      <c r="D1928" s="4" t="n">
        <v>354.53</v>
      </c>
      <c r="E1928" s="5" t="n">
        <v>287.7</v>
      </c>
      <c r="F1928" s="3" t="inlineStr">
        <is>
          <t>남이면</t>
        </is>
      </c>
      <c r="G1928" s="3" t="inlineStr">
        <is>
          <t>부용외천리</t>
        </is>
      </c>
      <c r="H1928" s="3" t="inlineStr">
        <is>
          <t>계획관리지역</t>
        </is>
      </c>
      <c r="I1928" s="3" t="inlineStr">
        <is>
          <t>대</t>
        </is>
      </c>
      <c r="J1928" s="3" t="inlineStr">
        <is>
          <t>남이면</t>
        </is>
      </c>
    </row>
    <row r="1929">
      <c r="A1929" s="3" t="n">
        <v>2024</v>
      </c>
      <c r="B1929" s="4" t="n">
        <v>84500</v>
      </c>
      <c r="C1929" s="4" t="n">
        <v>2653</v>
      </c>
      <c r="D1929" s="4" t="n">
        <v>802.5325</v>
      </c>
      <c r="E1929" s="5" t="n">
        <v>105.3</v>
      </c>
      <c r="F1929" s="3" t="inlineStr">
        <is>
          <t>남이면</t>
        </is>
      </c>
      <c r="G1929" s="3" t="inlineStr">
        <is>
          <t>가좌리</t>
        </is>
      </c>
      <c r="H1929" s="3" t="inlineStr">
        <is>
          <t>자연녹지지역</t>
        </is>
      </c>
      <c r="I1929" s="3" t="inlineStr">
        <is>
          <t>답</t>
        </is>
      </c>
      <c r="J1929" s="3" t="inlineStr">
        <is>
          <t>남이면</t>
        </is>
      </c>
    </row>
    <row r="1930">
      <c r="A1930" s="3" t="n">
        <v>2024</v>
      </c>
      <c r="B1930" s="4" t="n">
        <v>3500</v>
      </c>
      <c r="C1930" s="4" t="n">
        <v>100</v>
      </c>
      <c r="D1930" s="4" t="n">
        <v>30.25</v>
      </c>
      <c r="E1930" s="5" t="n">
        <v>115.7</v>
      </c>
      <c r="F1930" s="3" t="inlineStr">
        <is>
          <t>남이면</t>
        </is>
      </c>
      <c r="G1930" s="3" t="inlineStr">
        <is>
          <t>가좌리</t>
        </is>
      </c>
      <c r="H1930" s="3" t="inlineStr">
        <is>
          <t>자연녹지지역</t>
        </is>
      </c>
      <c r="I1930" s="3" t="inlineStr">
        <is>
          <t>답</t>
        </is>
      </c>
      <c r="J1930" s="3" t="inlineStr">
        <is>
          <t>남이면</t>
        </is>
      </c>
    </row>
    <row r="1931">
      <c r="A1931" s="3" t="n">
        <v>2024</v>
      </c>
      <c r="B1931" s="4" t="n">
        <v>9000</v>
      </c>
      <c r="C1931" s="4" t="n">
        <v>1471</v>
      </c>
      <c r="D1931" s="4" t="n">
        <v>444.9775</v>
      </c>
      <c r="E1931" s="5" t="n">
        <v>20.2</v>
      </c>
      <c r="F1931" s="3" t="inlineStr">
        <is>
          <t>남이면</t>
        </is>
      </c>
      <c r="G1931" s="3" t="inlineStr">
        <is>
          <t>갈원리</t>
        </is>
      </c>
      <c r="H1931" s="3" t="inlineStr">
        <is>
          <t>농림지역</t>
        </is>
      </c>
      <c r="I1931" s="3" t="inlineStr">
        <is>
          <t>답</t>
        </is>
      </c>
      <c r="J1931" s="3" t="inlineStr">
        <is>
          <t>남이면</t>
        </is>
      </c>
    </row>
    <row r="1932">
      <c r="A1932" s="3" t="n">
        <v>2024</v>
      </c>
      <c r="B1932" s="4" t="n">
        <v>4180</v>
      </c>
      <c r="C1932" s="4" t="n">
        <v>102</v>
      </c>
      <c r="D1932" s="4" t="n">
        <v>30.855</v>
      </c>
      <c r="E1932" s="5" t="n">
        <v>135.5</v>
      </c>
      <c r="F1932" s="3" t="inlineStr">
        <is>
          <t>남이면</t>
        </is>
      </c>
      <c r="G1932" s="3" t="inlineStr">
        <is>
          <t>부용외천리</t>
        </is>
      </c>
      <c r="H1932" s="3" t="inlineStr">
        <is>
          <t>계획관리지역</t>
        </is>
      </c>
      <c r="I1932" s="3" t="inlineStr">
        <is>
          <t>전</t>
        </is>
      </c>
      <c r="J1932" s="3" t="inlineStr">
        <is>
          <t>남이면</t>
        </is>
      </c>
    </row>
    <row r="1933">
      <c r="A1933" s="3" t="n">
        <v>2024</v>
      </c>
      <c r="B1933" s="4" t="n">
        <v>74000</v>
      </c>
      <c r="C1933" s="4" t="n">
        <v>2258</v>
      </c>
      <c r="D1933" s="4" t="n">
        <v>683.045</v>
      </c>
      <c r="E1933" s="5" t="n">
        <v>108.3</v>
      </c>
      <c r="F1933" s="3" t="inlineStr">
        <is>
          <t>남이면</t>
        </is>
      </c>
      <c r="G1933" s="3" t="inlineStr">
        <is>
          <t>석실리</t>
        </is>
      </c>
      <c r="H1933" s="3" t="inlineStr">
        <is>
          <t>자연녹지지역</t>
        </is>
      </c>
      <c r="I1933" s="3" t="inlineStr">
        <is>
          <t>전</t>
        </is>
      </c>
      <c r="J1933" s="3" t="inlineStr">
        <is>
          <t>남이면</t>
        </is>
      </c>
    </row>
    <row r="1934">
      <c r="A1934" s="3" t="n">
        <v>2024</v>
      </c>
      <c r="B1934" s="4" t="n">
        <v>200</v>
      </c>
      <c r="C1934" s="4" t="n">
        <v>102</v>
      </c>
      <c r="D1934" s="4" t="n">
        <v>30.855</v>
      </c>
      <c r="E1934" s="5" t="n">
        <v>6.5</v>
      </c>
      <c r="F1934" s="3" t="inlineStr">
        <is>
          <t>남이면</t>
        </is>
      </c>
      <c r="G1934" s="3" t="inlineStr">
        <is>
          <t>팔봉리</t>
        </is>
      </c>
      <c r="H1934" s="3" t="inlineStr">
        <is>
          <t>자연녹지지역</t>
        </is>
      </c>
      <c r="I1934" s="3" t="inlineStr">
        <is>
          <t>도로</t>
        </is>
      </c>
      <c r="J1934" s="3" t="inlineStr">
        <is>
          <t>남이면</t>
        </is>
      </c>
    </row>
    <row r="1935">
      <c r="A1935" s="3" t="n">
        <v>2024</v>
      </c>
      <c r="B1935" s="4" t="n">
        <v>1153</v>
      </c>
      <c r="C1935" s="4" t="n">
        <v>44</v>
      </c>
      <c r="D1935" s="4" t="n">
        <v>13.31</v>
      </c>
      <c r="E1935" s="5" t="n">
        <v>86.59999999999999</v>
      </c>
      <c r="F1935" s="3" t="inlineStr">
        <is>
          <t>남이면</t>
        </is>
      </c>
      <c r="G1935" s="3" t="inlineStr">
        <is>
          <t>척산리</t>
        </is>
      </c>
      <c r="H1935" s="3" t="inlineStr">
        <is>
          <t>계획관리지역</t>
        </is>
      </c>
      <c r="I1935" s="3" t="inlineStr">
        <is>
          <t>도로</t>
        </is>
      </c>
      <c r="J1935" s="3" t="inlineStr">
        <is>
          <t>남이면</t>
        </is>
      </c>
    </row>
    <row r="1936">
      <c r="A1936" s="3" t="n">
        <v>2024</v>
      </c>
      <c r="B1936" s="4" t="n">
        <v>4000</v>
      </c>
      <c r="C1936" s="4" t="n">
        <v>1775</v>
      </c>
      <c r="D1936" s="4" t="n">
        <v>536.9375</v>
      </c>
      <c r="E1936" s="5" t="n">
        <v>7.4</v>
      </c>
      <c r="F1936" s="3" t="inlineStr">
        <is>
          <t>남이면</t>
        </is>
      </c>
      <c r="G1936" s="3" t="inlineStr">
        <is>
          <t>사동리</t>
        </is>
      </c>
      <c r="H1936" s="3" t="inlineStr">
        <is>
          <t>보전관리지역</t>
        </is>
      </c>
      <c r="I1936" s="3" t="inlineStr">
        <is>
          <t>전</t>
        </is>
      </c>
      <c r="J1936" s="3" t="inlineStr">
        <is>
          <t>남이면</t>
        </is>
      </c>
    </row>
    <row r="1937">
      <c r="A1937" s="3" t="n">
        <v>2024</v>
      </c>
      <c r="B1937" s="4" t="n">
        <v>17875</v>
      </c>
      <c r="C1937" s="4" t="n">
        <v>2364</v>
      </c>
      <c r="D1937" s="4" t="n">
        <v>715.11</v>
      </c>
      <c r="E1937" s="5" t="n">
        <v>25</v>
      </c>
      <c r="F1937" s="3" t="inlineStr">
        <is>
          <t>남이면</t>
        </is>
      </c>
      <c r="G1937" s="3" t="inlineStr">
        <is>
          <t>비룡리</t>
        </is>
      </c>
      <c r="H1937" s="3" t="inlineStr">
        <is>
          <t>농림지역</t>
        </is>
      </c>
      <c r="I1937" s="3" t="inlineStr">
        <is>
          <t>답</t>
        </is>
      </c>
      <c r="J1937" s="3" t="inlineStr">
        <is>
          <t>남이면</t>
        </is>
      </c>
    </row>
    <row r="1938">
      <c r="A1938" s="3" t="n">
        <v>2024</v>
      </c>
      <c r="B1938" s="4" t="n">
        <v>3270</v>
      </c>
      <c r="C1938" s="4" t="n">
        <v>864</v>
      </c>
      <c r="D1938" s="4" t="n">
        <v>261.36</v>
      </c>
      <c r="E1938" s="5" t="n">
        <v>12.5</v>
      </c>
      <c r="F1938" s="3" t="inlineStr">
        <is>
          <t>남이면</t>
        </is>
      </c>
      <c r="G1938" s="3" t="inlineStr">
        <is>
          <t>문동리</t>
        </is>
      </c>
      <c r="H1938" s="3" t="inlineStr">
        <is>
          <t>농림지역</t>
        </is>
      </c>
      <c r="I1938" s="3" t="inlineStr">
        <is>
          <t>답</t>
        </is>
      </c>
      <c r="J1938" s="3" t="inlineStr">
        <is>
          <t>남이면</t>
        </is>
      </c>
    </row>
    <row r="1939">
      <c r="A1939" s="3" t="n">
        <v>2024</v>
      </c>
      <c r="B1939" s="4" t="n">
        <v>7230</v>
      </c>
      <c r="C1939" s="4" t="n">
        <v>1835</v>
      </c>
      <c r="D1939" s="4" t="n">
        <v>555.0875</v>
      </c>
      <c r="E1939" s="5" t="n">
        <v>13</v>
      </c>
      <c r="F1939" s="3" t="inlineStr">
        <is>
          <t>남이면</t>
        </is>
      </c>
      <c r="G1939" s="3" t="inlineStr">
        <is>
          <t>문동리</t>
        </is>
      </c>
      <c r="H1939" s="3" t="inlineStr">
        <is>
          <t>농림지역</t>
        </is>
      </c>
      <c r="I1939" s="3" t="inlineStr">
        <is>
          <t>답</t>
        </is>
      </c>
      <c r="J1939" s="3" t="inlineStr">
        <is>
          <t>남이면</t>
        </is>
      </c>
    </row>
    <row r="1940">
      <c r="A1940" s="3" t="n">
        <v>2024</v>
      </c>
      <c r="B1940" s="4" t="n">
        <v>32630</v>
      </c>
      <c r="C1940" s="4" t="n">
        <v>832</v>
      </c>
      <c r="D1940" s="4" t="n">
        <v>251.68</v>
      </c>
      <c r="E1940" s="5" t="n">
        <v>129.6</v>
      </c>
      <c r="F1940" s="3" t="inlineStr">
        <is>
          <t>남이면</t>
        </is>
      </c>
      <c r="G1940" s="3" t="inlineStr">
        <is>
          <t>가좌리</t>
        </is>
      </c>
      <c r="H1940" s="3" t="inlineStr">
        <is>
          <t>자연녹지지역</t>
        </is>
      </c>
      <c r="I1940" s="3" t="inlineStr">
        <is>
          <t>전</t>
        </is>
      </c>
      <c r="J1940" s="3" t="inlineStr">
        <is>
          <t>남이면</t>
        </is>
      </c>
    </row>
    <row r="1941">
      <c r="A1941" s="3" t="n">
        <v>2024</v>
      </c>
      <c r="B1941" s="4" t="n">
        <v>9700</v>
      </c>
      <c r="C1941" s="4" t="n">
        <v>618</v>
      </c>
      <c r="D1941" s="4" t="n">
        <v>186.945</v>
      </c>
      <c r="E1941" s="5" t="n">
        <v>51.9</v>
      </c>
      <c r="F1941" s="3" t="inlineStr">
        <is>
          <t>남이면</t>
        </is>
      </c>
      <c r="G1941" s="3" t="inlineStr">
        <is>
          <t>문동리</t>
        </is>
      </c>
      <c r="H1941" s="3" t="inlineStr">
        <is>
          <t>생산관리지역</t>
        </is>
      </c>
      <c r="I1941" s="3" t="inlineStr">
        <is>
          <t>전</t>
        </is>
      </c>
      <c r="J1941" s="3" t="inlineStr">
        <is>
          <t>남이면</t>
        </is>
      </c>
    </row>
    <row r="1942">
      <c r="A1942" s="3" t="n">
        <v>2024</v>
      </c>
      <c r="B1942" s="4" t="n">
        <v>57368</v>
      </c>
      <c r="C1942" s="4" t="n">
        <v>1959</v>
      </c>
      <c r="D1942" s="4" t="n">
        <v>592.5975</v>
      </c>
      <c r="E1942" s="5" t="n">
        <v>96.8</v>
      </c>
      <c r="F1942" s="3" t="inlineStr">
        <is>
          <t>남이면</t>
        </is>
      </c>
      <c r="G1942" s="3" t="inlineStr">
        <is>
          <t>구암리</t>
        </is>
      </c>
      <c r="H1942" s="3" t="inlineStr">
        <is>
          <t>보전녹지지역</t>
        </is>
      </c>
      <c r="I1942" s="3" t="inlineStr">
        <is>
          <t>대</t>
        </is>
      </c>
      <c r="J1942" s="3" t="inlineStr">
        <is>
          <t>남이면</t>
        </is>
      </c>
    </row>
    <row r="1943">
      <c r="A1943" s="3" t="n">
        <v>2024</v>
      </c>
      <c r="B1943" s="4" t="n">
        <v>6286</v>
      </c>
      <c r="C1943" s="4" t="n">
        <v>105</v>
      </c>
      <c r="D1943" s="4" t="n">
        <v>31.7625</v>
      </c>
      <c r="E1943" s="5" t="n">
        <v>197.9</v>
      </c>
      <c r="F1943" s="3" t="inlineStr">
        <is>
          <t>남이면</t>
        </is>
      </c>
      <c r="G1943" s="3" t="inlineStr">
        <is>
          <t>구암리</t>
        </is>
      </c>
      <c r="H1943" s="3" t="inlineStr">
        <is>
          <t>자연녹지지역</t>
        </is>
      </c>
      <c r="I1943" s="3" t="inlineStr">
        <is>
          <t>임야</t>
        </is>
      </c>
      <c r="J1943" s="3" t="inlineStr">
        <is>
          <t>남이면</t>
        </is>
      </c>
    </row>
    <row r="1944">
      <c r="A1944" s="3" t="n">
        <v>2024</v>
      </c>
      <c r="B1944" s="4" t="n">
        <v>41000</v>
      </c>
      <c r="C1944" s="4" t="n">
        <v>1023</v>
      </c>
      <c r="D1944" s="4" t="n">
        <v>309.4575</v>
      </c>
      <c r="E1944" s="5" t="n">
        <v>132.5</v>
      </c>
      <c r="F1944" s="3" t="inlineStr">
        <is>
          <t>남이면</t>
        </is>
      </c>
      <c r="G1944" s="3" t="inlineStr">
        <is>
          <t>양촌리</t>
        </is>
      </c>
      <c r="H1944" s="3" t="inlineStr">
        <is>
          <t>보전녹지지역</t>
        </is>
      </c>
      <c r="I1944" s="3" t="inlineStr">
        <is>
          <t>전</t>
        </is>
      </c>
      <c r="J1944" s="3" t="inlineStr">
        <is>
          <t>남이면</t>
        </is>
      </c>
    </row>
    <row r="1945">
      <c r="A1945" s="3" t="n">
        <v>2024</v>
      </c>
      <c r="B1945" s="4" t="n">
        <v>18590</v>
      </c>
      <c r="C1945" s="4" t="n">
        <v>476</v>
      </c>
      <c r="D1945" s="4" t="n">
        <v>143.99</v>
      </c>
      <c r="E1945" s="5" t="n">
        <v>129.1</v>
      </c>
      <c r="F1945" s="3" t="inlineStr">
        <is>
          <t>남이면</t>
        </is>
      </c>
      <c r="G1945" s="3" t="inlineStr">
        <is>
          <t>석판리</t>
        </is>
      </c>
      <c r="H1945" s="3" t="inlineStr">
        <is>
          <t>자연녹지지역</t>
        </is>
      </c>
      <c r="I1945" s="3" t="inlineStr">
        <is>
          <t>전</t>
        </is>
      </c>
      <c r="J1945" s="3" t="inlineStr">
        <is>
          <t>남이면</t>
        </is>
      </c>
    </row>
    <row r="1946">
      <c r="A1946" s="3" t="n">
        <v>2023</v>
      </c>
      <c r="B1946" s="4" t="n">
        <v>2100</v>
      </c>
      <c r="C1946" s="4" t="n">
        <v>661</v>
      </c>
      <c r="D1946" s="4" t="n">
        <v>199.9525</v>
      </c>
      <c r="E1946" s="5" t="n">
        <v>10.5</v>
      </c>
      <c r="F1946" s="3" t="inlineStr">
        <is>
          <t>부강면</t>
        </is>
      </c>
      <c r="G1946" s="3" t="inlineStr">
        <is>
          <t>노호리</t>
        </is>
      </c>
      <c r="H1946" s="3" t="inlineStr">
        <is>
          <t>보전관리지역</t>
        </is>
      </c>
      <c r="I1946" s="3" t="inlineStr">
        <is>
          <t>임야</t>
        </is>
      </c>
      <c r="J1946" s="3" t="inlineStr">
        <is>
          <t>부강면</t>
        </is>
      </c>
    </row>
    <row r="1947">
      <c r="A1947" s="3" t="n">
        <v>2025</v>
      </c>
      <c r="B1947" s="4" t="n">
        <v>16500</v>
      </c>
      <c r="C1947" s="4" t="n">
        <v>314</v>
      </c>
      <c r="D1947" s="4" t="n">
        <v>94.985</v>
      </c>
      <c r="E1947" s="5" t="n">
        <v>173.7</v>
      </c>
      <c r="F1947" s="3" t="inlineStr">
        <is>
          <t>조치원읍</t>
        </is>
      </c>
      <c r="G1947" s="3" t="inlineStr">
        <is>
          <t>신안리</t>
        </is>
      </c>
      <c r="H1947" s="3" t="inlineStr">
        <is>
          <t>제2종일반주거지역</t>
        </is>
      </c>
      <c r="I1947" s="3" t="inlineStr">
        <is>
          <t>과수원</t>
        </is>
      </c>
      <c r="J1947" s="3" t="inlineStr">
        <is>
          <t>조치원읍</t>
        </is>
      </c>
    </row>
    <row r="1948">
      <c r="A1948" s="3" t="n">
        <v>2026</v>
      </c>
      <c r="B1948" s="4" t="n">
        <v>8887</v>
      </c>
      <c r="C1948" s="4" t="n">
        <v>140</v>
      </c>
      <c r="D1948" s="4" t="n">
        <v>42.35</v>
      </c>
      <c r="E1948" s="5" t="n">
        <v>209.8</v>
      </c>
      <c r="F1948" s="3" t="inlineStr">
        <is>
          <t>연서면</t>
        </is>
      </c>
      <c r="G1948" s="3" t="inlineStr">
        <is>
          <t>부동리</t>
        </is>
      </c>
      <c r="H1948" s="3" t="inlineStr">
        <is>
          <t>계획관리지역</t>
        </is>
      </c>
      <c r="I1948" s="3" t="inlineStr">
        <is>
          <t>과수원</t>
        </is>
      </c>
      <c r="J1948" s="3" t="inlineStr">
        <is>
          <t>연서면</t>
        </is>
      </c>
    </row>
    <row r="1949">
      <c r="A1949" s="3" t="n">
        <v>2026</v>
      </c>
      <c r="B1949" s="4" t="n">
        <v>14000</v>
      </c>
      <c r="C1949" s="4" t="n">
        <v>615</v>
      </c>
      <c r="D1949" s="4" t="n">
        <v>186.0375</v>
      </c>
      <c r="E1949" s="5" t="n">
        <v>75.3</v>
      </c>
      <c r="F1949" s="3" t="inlineStr">
        <is>
          <t>조치원읍</t>
        </is>
      </c>
      <c r="G1949" s="3" t="inlineStr">
        <is>
          <t>봉산리</t>
        </is>
      </c>
      <c r="H1949" s="3" t="inlineStr">
        <is>
          <t>자연녹지지역</t>
        </is>
      </c>
      <c r="I1949" s="3" t="inlineStr">
        <is>
          <t>임야</t>
        </is>
      </c>
      <c r="J1949" s="3" t="inlineStr">
        <is>
          <t>조치원읍</t>
        </is>
      </c>
    </row>
    <row r="1950">
      <c r="A1950" s="3" t="n">
        <v>2026</v>
      </c>
      <c r="B1950" s="4" t="n">
        <v>13000</v>
      </c>
      <c r="C1950" s="4" t="n">
        <v>615</v>
      </c>
      <c r="D1950" s="4" t="n">
        <v>186.0375</v>
      </c>
      <c r="E1950" s="5" t="n">
        <v>69.90000000000001</v>
      </c>
      <c r="F1950" s="3" t="inlineStr">
        <is>
          <t>조치원읍</t>
        </is>
      </c>
      <c r="G1950" s="3" t="inlineStr">
        <is>
          <t>봉산리</t>
        </is>
      </c>
      <c r="H1950" s="3" t="inlineStr">
        <is>
          <t>자연녹지지역</t>
        </is>
      </c>
      <c r="I1950" s="3" t="inlineStr">
        <is>
          <t>임야</t>
        </is>
      </c>
      <c r="J1950" s="3" t="inlineStr">
        <is>
          <t>조치원읍</t>
        </is>
      </c>
    </row>
    <row r="1951">
      <c r="A1951" s="3" t="n">
        <v>2024</v>
      </c>
      <c r="B1951" s="4" t="n">
        <v>455</v>
      </c>
      <c r="C1951" s="4" t="n">
        <v>15</v>
      </c>
      <c r="D1951" s="4" t="n">
        <v>4.5375</v>
      </c>
      <c r="E1951" s="5" t="n">
        <v>100.3</v>
      </c>
      <c r="F1951" s="3" t="inlineStr">
        <is>
          <t>부강면</t>
        </is>
      </c>
      <c r="G1951" s="3" t="inlineStr">
        <is>
          <t>노호리</t>
        </is>
      </c>
      <c r="H1951" s="3" t="inlineStr">
        <is>
          <t>보전관리지역</t>
        </is>
      </c>
      <c r="I1951" s="3" t="inlineStr">
        <is>
          <t>대</t>
        </is>
      </c>
      <c r="J1951" s="3" t="inlineStr">
        <is>
          <t>부강면</t>
        </is>
      </c>
    </row>
    <row r="1952">
      <c r="A1952" s="3" t="n">
        <v>2024</v>
      </c>
      <c r="B1952" s="4" t="n">
        <v>300</v>
      </c>
      <c r="C1952" s="4" t="n">
        <v>3</v>
      </c>
      <c r="D1952" s="4" t="n">
        <v>0.9075</v>
      </c>
      <c r="E1952" s="5" t="n">
        <v>330.6</v>
      </c>
      <c r="F1952" s="3" t="inlineStr">
        <is>
          <t>조치원읍</t>
        </is>
      </c>
      <c r="G1952" s="3" t="inlineStr">
        <is>
          <t>신안리</t>
        </is>
      </c>
      <c r="H1952" s="3" t="inlineStr">
        <is>
          <t>제2종일반주거지역</t>
        </is>
      </c>
      <c r="I1952" s="3" t="inlineStr">
        <is>
          <t>대</t>
        </is>
      </c>
      <c r="J1952" s="3" t="inlineStr">
        <is>
          <t>조치원읍</t>
        </is>
      </c>
    </row>
    <row r="1953">
      <c r="A1953" s="3" t="n">
        <v>2024</v>
      </c>
      <c r="B1953" s="4" t="n">
        <v>23000</v>
      </c>
      <c r="C1953" s="4" t="n">
        <v>5241</v>
      </c>
      <c r="D1953" s="4" t="n">
        <v>1585.4025</v>
      </c>
      <c r="E1953" s="5" t="n">
        <v>14.5</v>
      </c>
      <c r="F1953" s="3" t="inlineStr">
        <is>
          <t>연동면</t>
        </is>
      </c>
      <c r="G1953" s="3" t="inlineStr">
        <is>
          <t>응암리</t>
        </is>
      </c>
      <c r="H1953" s="3" t="inlineStr">
        <is>
          <t>계획관리지역</t>
        </is>
      </c>
      <c r="I1953" s="3" t="inlineStr">
        <is>
          <t>공장용지</t>
        </is>
      </c>
      <c r="J1953" s="3" t="inlineStr">
        <is>
          <t>연동면</t>
        </is>
      </c>
    </row>
    <row r="1954">
      <c r="A1954" s="3" t="n">
        <v>2024</v>
      </c>
      <c r="B1954" s="4" t="n">
        <v>87200</v>
      </c>
      <c r="C1954" s="4" t="n">
        <v>1441</v>
      </c>
      <c r="D1954" s="4" t="n">
        <v>435.9025</v>
      </c>
      <c r="E1954" s="5" t="n">
        <v>200</v>
      </c>
      <c r="F1954" s="3" t="inlineStr">
        <is>
          <t>연서면</t>
        </is>
      </c>
      <c r="G1954" s="3" t="inlineStr">
        <is>
          <t>쌍전리</t>
        </is>
      </c>
      <c r="H1954" s="3" t="inlineStr">
        <is>
          <t>자연녹지지역</t>
        </is>
      </c>
      <c r="I1954" s="3" t="inlineStr">
        <is>
          <t>과수원</t>
        </is>
      </c>
      <c r="J1954" s="3" t="inlineStr">
        <is>
          <t>연서면</t>
        </is>
      </c>
    </row>
    <row r="1955">
      <c r="A1955" s="3" t="n">
        <v>2024</v>
      </c>
      <c r="B1955" s="4" t="n">
        <v>63000</v>
      </c>
      <c r="C1955" s="4" t="n">
        <v>377.8</v>
      </c>
      <c r="D1955" s="4" t="n">
        <v>114.2845</v>
      </c>
      <c r="E1955" s="5" t="n">
        <v>551.3</v>
      </c>
      <c r="F1955" s="3" t="inlineStr">
        <is>
          <t>반곡동</t>
        </is>
      </c>
      <c r="G1955" s="3" t="inlineStr"/>
      <c r="H1955" s="3" t="inlineStr">
        <is>
          <t>제1종전용주거지역</t>
        </is>
      </c>
      <c r="I1955" s="3" t="inlineStr">
        <is>
          <t>대</t>
        </is>
      </c>
      <c r="J1955" s="3" t="inlineStr">
        <is>
          <t>반곡동</t>
        </is>
      </c>
    </row>
    <row r="1956">
      <c r="A1956" s="3" t="n">
        <v>2024</v>
      </c>
      <c r="B1956" s="4" t="n">
        <v>35000</v>
      </c>
      <c r="C1956" s="4" t="n">
        <v>3260</v>
      </c>
      <c r="D1956" s="4" t="n">
        <v>986.15</v>
      </c>
      <c r="E1956" s="5" t="n">
        <v>35.5</v>
      </c>
      <c r="F1956" s="3" t="inlineStr">
        <is>
          <t>연서면</t>
        </is>
      </c>
      <c r="G1956" s="3" t="inlineStr">
        <is>
          <t>쌍류리</t>
        </is>
      </c>
      <c r="H1956" s="3" t="inlineStr">
        <is>
          <t>생산관리지역</t>
        </is>
      </c>
      <c r="I1956" s="3" t="inlineStr">
        <is>
          <t>과수원</t>
        </is>
      </c>
      <c r="J1956" s="3" t="inlineStr">
        <is>
          <t>연서면</t>
        </is>
      </c>
    </row>
    <row r="1957">
      <c r="A1957" s="3" t="n">
        <v>2025</v>
      </c>
      <c r="B1957" s="4" t="n">
        <v>42500</v>
      </c>
      <c r="C1957" s="4" t="n">
        <v>309.9</v>
      </c>
      <c r="D1957" s="4" t="n">
        <v>93.74475</v>
      </c>
      <c r="E1957" s="5" t="n">
        <v>453.4</v>
      </c>
      <c r="F1957" s="3" t="inlineStr">
        <is>
          <t>한솔동</t>
        </is>
      </c>
      <c r="G1957" s="3" t="inlineStr"/>
      <c r="H1957" s="3" t="inlineStr">
        <is>
          <t>제1종전용주거지역</t>
        </is>
      </c>
      <c r="I1957" s="3" t="inlineStr">
        <is>
          <t>대</t>
        </is>
      </c>
      <c r="J1957" s="3" t="inlineStr">
        <is>
          <t>한솔동</t>
        </is>
      </c>
    </row>
    <row r="1958">
      <c r="A1958" s="3" t="n">
        <v>2025</v>
      </c>
      <c r="B1958" s="4" t="n">
        <v>35210</v>
      </c>
      <c r="C1958" s="4" t="n">
        <v>1663</v>
      </c>
      <c r="D1958" s="4" t="n">
        <v>503.0575</v>
      </c>
      <c r="E1958" s="5" t="n">
        <v>70</v>
      </c>
      <c r="F1958" s="3" t="inlineStr">
        <is>
          <t>연서면</t>
        </is>
      </c>
      <c r="G1958" s="3" t="inlineStr">
        <is>
          <t>국촌리</t>
        </is>
      </c>
      <c r="H1958" s="3" t="inlineStr">
        <is>
          <t>농림지역</t>
        </is>
      </c>
      <c r="I1958" s="3" t="inlineStr">
        <is>
          <t>답</t>
        </is>
      </c>
      <c r="J1958" s="3" t="inlineStr">
        <is>
          <t>연서면</t>
        </is>
      </c>
    </row>
    <row r="1959">
      <c r="A1959" s="3" t="n">
        <v>2025</v>
      </c>
      <c r="B1959" s="4" t="n">
        <v>38000</v>
      </c>
      <c r="C1959" s="4" t="n">
        <v>384</v>
      </c>
      <c r="D1959" s="4" t="n">
        <v>116.16</v>
      </c>
      <c r="E1959" s="5" t="n">
        <v>327.1</v>
      </c>
      <c r="F1959" s="3" t="inlineStr">
        <is>
          <t>조치원읍</t>
        </is>
      </c>
      <c r="G1959" s="3" t="inlineStr">
        <is>
          <t>신안리</t>
        </is>
      </c>
      <c r="H1959" s="3" t="inlineStr">
        <is>
          <t>제1종일반주거지역</t>
        </is>
      </c>
      <c r="I1959" s="3" t="inlineStr">
        <is>
          <t>대</t>
        </is>
      </c>
      <c r="J1959" s="3" t="inlineStr">
        <is>
          <t>조치원읍</t>
        </is>
      </c>
    </row>
    <row r="1960">
      <c r="A1960" s="3" t="n">
        <v>2025</v>
      </c>
      <c r="B1960" s="4" t="n">
        <v>5000</v>
      </c>
      <c r="C1960" s="4" t="n">
        <v>50</v>
      </c>
      <c r="D1960" s="4" t="n">
        <v>15.125</v>
      </c>
      <c r="E1960" s="5" t="n">
        <v>330.6</v>
      </c>
      <c r="F1960" s="3" t="inlineStr">
        <is>
          <t>조치원읍</t>
        </is>
      </c>
      <c r="G1960" s="3" t="inlineStr">
        <is>
          <t>신안리</t>
        </is>
      </c>
      <c r="H1960" s="3" t="inlineStr">
        <is>
          <t>제1종일반주거지역</t>
        </is>
      </c>
      <c r="I1960" s="3" t="inlineStr">
        <is>
          <t>대</t>
        </is>
      </c>
      <c r="J1960" s="3" t="inlineStr">
        <is>
          <t>조치원읍</t>
        </is>
      </c>
    </row>
    <row r="1961">
      <c r="A1961" s="3" t="n">
        <v>2025</v>
      </c>
      <c r="B1961" s="4" t="n">
        <v>8853</v>
      </c>
      <c r="C1961" s="4" t="n">
        <v>166</v>
      </c>
      <c r="D1961" s="4" t="n">
        <v>50.215</v>
      </c>
      <c r="E1961" s="5" t="n">
        <v>176.3</v>
      </c>
      <c r="F1961" s="3" t="inlineStr">
        <is>
          <t>남이면</t>
        </is>
      </c>
      <c r="G1961" s="3" t="inlineStr">
        <is>
          <t>양촌리</t>
        </is>
      </c>
      <c r="H1961" s="3" t="inlineStr">
        <is>
          <t>자연녹지지역</t>
        </is>
      </c>
      <c r="I1961" s="3" t="inlineStr">
        <is>
          <t>전</t>
        </is>
      </c>
      <c r="J1961" s="3" t="inlineStr">
        <is>
          <t>남이면</t>
        </is>
      </c>
    </row>
    <row r="1962">
      <c r="A1962" s="3" t="n">
        <v>2025</v>
      </c>
      <c r="B1962" s="4" t="n">
        <v>21972</v>
      </c>
      <c r="C1962" s="4" t="n">
        <v>412</v>
      </c>
      <c r="D1962" s="4" t="n">
        <v>124.63</v>
      </c>
      <c r="E1962" s="5" t="n">
        <v>176.3</v>
      </c>
      <c r="F1962" s="3" t="inlineStr">
        <is>
          <t>남이면</t>
        </is>
      </c>
      <c r="G1962" s="3" t="inlineStr">
        <is>
          <t>양촌리</t>
        </is>
      </c>
      <c r="H1962" s="3" t="inlineStr">
        <is>
          <t>자연녹지지역</t>
        </is>
      </c>
      <c r="I1962" s="3" t="inlineStr">
        <is>
          <t>임야</t>
        </is>
      </c>
      <c r="J1962" s="3" t="inlineStr">
        <is>
          <t>남이면</t>
        </is>
      </c>
    </row>
    <row r="1963">
      <c r="A1963" s="3" t="n">
        <v>2025</v>
      </c>
      <c r="B1963" s="4" t="n">
        <v>29000</v>
      </c>
      <c r="C1963" s="4" t="n">
        <v>2377</v>
      </c>
      <c r="D1963" s="4" t="n">
        <v>719.0425</v>
      </c>
      <c r="E1963" s="5" t="n">
        <v>40.3</v>
      </c>
      <c r="F1963" s="3" t="inlineStr">
        <is>
          <t>남이면</t>
        </is>
      </c>
      <c r="G1963" s="3" t="inlineStr">
        <is>
          <t>사동리</t>
        </is>
      </c>
      <c r="H1963" s="3" t="inlineStr">
        <is>
          <t>자연녹지지역</t>
        </is>
      </c>
      <c r="I1963" s="3" t="inlineStr">
        <is>
          <t>답</t>
        </is>
      </c>
      <c r="J1963" s="3" t="inlineStr">
        <is>
          <t>남이면</t>
        </is>
      </c>
    </row>
    <row r="1964">
      <c r="A1964" s="3" t="n">
        <v>2025</v>
      </c>
      <c r="B1964" s="4" t="n">
        <v>4800</v>
      </c>
      <c r="C1964" s="4" t="n">
        <v>790</v>
      </c>
      <c r="D1964" s="4" t="n">
        <v>238.975</v>
      </c>
      <c r="E1964" s="5" t="n">
        <v>20.1</v>
      </c>
      <c r="F1964" s="3" t="inlineStr">
        <is>
          <t>남이면</t>
        </is>
      </c>
      <c r="G1964" s="3" t="inlineStr">
        <is>
          <t>산막리</t>
        </is>
      </c>
      <c r="H1964" s="3" t="inlineStr">
        <is>
          <t>계획관리지역</t>
        </is>
      </c>
      <c r="I1964" s="3" t="inlineStr">
        <is>
          <t>대</t>
        </is>
      </c>
      <c r="J1964" s="3" t="inlineStr">
        <is>
          <t>남이면</t>
        </is>
      </c>
    </row>
    <row r="1965">
      <c r="A1965" s="3" t="n">
        <v>2025</v>
      </c>
      <c r="B1965" s="4" t="n">
        <v>5770</v>
      </c>
      <c r="C1965" s="4" t="n">
        <v>502</v>
      </c>
      <c r="D1965" s="4" t="n">
        <v>151.855</v>
      </c>
      <c r="E1965" s="5" t="n">
        <v>38</v>
      </c>
      <c r="F1965" s="3" t="inlineStr">
        <is>
          <t>남이면</t>
        </is>
      </c>
      <c r="G1965" s="3" t="inlineStr">
        <is>
          <t>가좌리</t>
        </is>
      </c>
      <c r="H1965" s="3" t="inlineStr">
        <is>
          <t>보전녹지지역</t>
        </is>
      </c>
      <c r="I1965" s="3" t="inlineStr">
        <is>
          <t>임야</t>
        </is>
      </c>
      <c r="J1965" s="3" t="inlineStr">
        <is>
          <t>남이면</t>
        </is>
      </c>
    </row>
    <row r="1966">
      <c r="A1966" s="3" t="n">
        <v>2025</v>
      </c>
      <c r="B1966" s="4" t="n">
        <v>450</v>
      </c>
      <c r="C1966" s="4" t="n">
        <v>86</v>
      </c>
      <c r="D1966" s="4" t="n">
        <v>26.015</v>
      </c>
      <c r="E1966" s="5" t="n">
        <v>17.3</v>
      </c>
      <c r="F1966" s="3" t="inlineStr">
        <is>
          <t>남이면</t>
        </is>
      </c>
      <c r="G1966" s="3" t="inlineStr">
        <is>
          <t>석실리</t>
        </is>
      </c>
      <c r="H1966" s="3" t="inlineStr">
        <is>
          <t>자연녹지지역</t>
        </is>
      </c>
      <c r="I1966" s="3" t="inlineStr">
        <is>
          <t>전</t>
        </is>
      </c>
      <c r="J1966" s="3" t="inlineStr">
        <is>
          <t>남이면</t>
        </is>
      </c>
    </row>
    <row r="1967">
      <c r="A1967" s="3" t="n">
        <v>2025</v>
      </c>
      <c r="B1967" s="4" t="n">
        <v>16832</v>
      </c>
      <c r="C1967" s="4" t="n">
        <v>507</v>
      </c>
      <c r="D1967" s="4" t="n">
        <v>153.3675</v>
      </c>
      <c r="E1967" s="5" t="n">
        <v>109.7</v>
      </c>
      <c r="F1967" s="3" t="inlineStr">
        <is>
          <t>남이면</t>
        </is>
      </c>
      <c r="G1967" s="3" t="inlineStr">
        <is>
          <t>척산리</t>
        </is>
      </c>
      <c r="H1967" s="3" t="inlineStr">
        <is>
          <t>계획관리지역</t>
        </is>
      </c>
      <c r="I1967" s="3" t="inlineStr">
        <is>
          <t>답</t>
        </is>
      </c>
      <c r="J1967" s="3" t="inlineStr">
        <is>
          <t>남이면</t>
        </is>
      </c>
    </row>
    <row r="1968">
      <c r="A1968" s="3" t="n">
        <v>2025</v>
      </c>
      <c r="B1968" s="4" t="n">
        <v>30374</v>
      </c>
      <c r="C1968" s="4" t="n">
        <v>2049</v>
      </c>
      <c r="D1968" s="4" t="n">
        <v>619.8225</v>
      </c>
      <c r="E1968" s="5" t="n">
        <v>49</v>
      </c>
      <c r="F1968" s="3" t="inlineStr">
        <is>
          <t>남이면</t>
        </is>
      </c>
      <c r="G1968" s="3" t="inlineStr">
        <is>
          <t>가좌리</t>
        </is>
      </c>
      <c r="H1968" s="3" t="inlineStr">
        <is>
          <t>자연녹지지역</t>
        </is>
      </c>
      <c r="I1968" s="3" t="inlineStr">
        <is>
          <t>전</t>
        </is>
      </c>
      <c r="J1968" s="3" t="inlineStr">
        <is>
          <t>남이면</t>
        </is>
      </c>
    </row>
    <row r="1969">
      <c r="A1969" s="3" t="n">
        <v>2025</v>
      </c>
      <c r="B1969" s="4" t="n">
        <v>4121</v>
      </c>
      <c r="C1969" s="4" t="n">
        <v>278</v>
      </c>
      <c r="D1969" s="4" t="n">
        <v>84.095</v>
      </c>
      <c r="E1969" s="5" t="n">
        <v>49</v>
      </c>
      <c r="F1969" s="3" t="inlineStr">
        <is>
          <t>남이면</t>
        </is>
      </c>
      <c r="G1969" s="3" t="inlineStr">
        <is>
          <t>가좌리</t>
        </is>
      </c>
      <c r="H1969" s="3" t="inlineStr">
        <is>
          <t>자연녹지지역</t>
        </is>
      </c>
      <c r="I1969" s="3" t="inlineStr">
        <is>
          <t>전</t>
        </is>
      </c>
      <c r="J1969" s="3" t="inlineStr">
        <is>
          <t>남이면</t>
        </is>
      </c>
    </row>
    <row r="1970">
      <c r="A1970" s="3" t="n">
        <v>2025</v>
      </c>
      <c r="B1970" s="4" t="n">
        <v>5000</v>
      </c>
      <c r="C1970" s="4" t="n">
        <v>19438</v>
      </c>
      <c r="D1970" s="4" t="n">
        <v>5879.995</v>
      </c>
      <c r="E1970" s="5" t="n">
        <v>0.9</v>
      </c>
      <c r="F1970" s="3" t="inlineStr">
        <is>
          <t>남이면</t>
        </is>
      </c>
      <c r="G1970" s="3" t="inlineStr">
        <is>
          <t>외천리</t>
        </is>
      </c>
      <c r="H1970" s="3" t="inlineStr">
        <is>
          <t>농림지역</t>
        </is>
      </c>
      <c r="I1970" s="3" t="inlineStr">
        <is>
          <t>임야</t>
        </is>
      </c>
      <c r="J1970" s="3" t="inlineStr">
        <is>
          <t>남이면</t>
        </is>
      </c>
    </row>
    <row r="1971">
      <c r="A1971" s="3" t="n">
        <v>2025</v>
      </c>
      <c r="B1971" s="4" t="n">
        <v>5770</v>
      </c>
      <c r="C1971" s="4" t="n">
        <v>502</v>
      </c>
      <c r="D1971" s="4" t="n">
        <v>151.855</v>
      </c>
      <c r="E1971" s="5" t="n">
        <v>38</v>
      </c>
      <c r="F1971" s="3" t="inlineStr">
        <is>
          <t>남이면</t>
        </is>
      </c>
      <c r="G1971" s="3" t="inlineStr">
        <is>
          <t>가좌리</t>
        </is>
      </c>
      <c r="H1971" s="3" t="inlineStr">
        <is>
          <t>보전녹지지역</t>
        </is>
      </c>
      <c r="I1971" s="3" t="inlineStr">
        <is>
          <t>임야</t>
        </is>
      </c>
      <c r="J1971" s="3" t="inlineStr">
        <is>
          <t>남이면</t>
        </is>
      </c>
    </row>
    <row r="1972">
      <c r="A1972" s="3" t="n">
        <v>2025</v>
      </c>
      <c r="B1972" s="4" t="n">
        <v>6135</v>
      </c>
      <c r="C1972" s="4" t="n">
        <v>204</v>
      </c>
      <c r="D1972" s="4" t="n">
        <v>61.71</v>
      </c>
      <c r="E1972" s="5" t="n">
        <v>99.40000000000001</v>
      </c>
      <c r="F1972" s="3" t="inlineStr">
        <is>
          <t>남이면</t>
        </is>
      </c>
      <c r="G1972" s="3" t="inlineStr">
        <is>
          <t>양촌리</t>
        </is>
      </c>
      <c r="H1972" s="3" t="inlineStr">
        <is>
          <t>자연녹지지역</t>
        </is>
      </c>
      <c r="I1972" s="3" t="inlineStr">
        <is>
          <t>전</t>
        </is>
      </c>
      <c r="J1972" s="3" t="inlineStr">
        <is>
          <t>남이면</t>
        </is>
      </c>
    </row>
    <row r="1973">
      <c r="A1973" s="3" t="n">
        <v>2025</v>
      </c>
      <c r="B1973" s="4" t="n">
        <v>1865</v>
      </c>
      <c r="C1973" s="4" t="n">
        <v>62</v>
      </c>
      <c r="D1973" s="4" t="n">
        <v>18.755</v>
      </c>
      <c r="E1973" s="5" t="n">
        <v>99.40000000000001</v>
      </c>
      <c r="F1973" s="3" t="inlineStr">
        <is>
          <t>남이면</t>
        </is>
      </c>
      <c r="G1973" s="3" t="inlineStr">
        <is>
          <t>양촌리</t>
        </is>
      </c>
      <c r="H1973" s="3" t="inlineStr">
        <is>
          <t>자연녹지지역</t>
        </is>
      </c>
      <c r="I1973" s="3" t="inlineStr">
        <is>
          <t>임야</t>
        </is>
      </c>
      <c r="J1973" s="3" t="inlineStr">
        <is>
          <t>남이면</t>
        </is>
      </c>
    </row>
    <row r="1974">
      <c r="A1974" s="3" t="n">
        <v>2025</v>
      </c>
      <c r="B1974" s="4" t="n">
        <v>11657</v>
      </c>
      <c r="C1974" s="4" t="n">
        <v>204</v>
      </c>
      <c r="D1974" s="4" t="n">
        <v>61.71</v>
      </c>
      <c r="E1974" s="5" t="n">
        <v>188.9</v>
      </c>
      <c r="F1974" s="3" t="inlineStr">
        <is>
          <t>남이면</t>
        </is>
      </c>
      <c r="G1974" s="3" t="inlineStr">
        <is>
          <t>양촌리</t>
        </is>
      </c>
      <c r="H1974" s="3" t="inlineStr">
        <is>
          <t>자연녹지지역</t>
        </is>
      </c>
      <c r="I1974" s="3" t="inlineStr">
        <is>
          <t>전</t>
        </is>
      </c>
      <c r="J1974" s="3" t="inlineStr">
        <is>
          <t>남이면</t>
        </is>
      </c>
    </row>
    <row r="1975">
      <c r="A1975" s="3" t="n">
        <v>2025</v>
      </c>
      <c r="B1975" s="4" t="n">
        <v>3543</v>
      </c>
      <c r="C1975" s="4" t="n">
        <v>62</v>
      </c>
      <c r="D1975" s="4" t="n">
        <v>18.755</v>
      </c>
      <c r="E1975" s="5" t="n">
        <v>188.9</v>
      </c>
      <c r="F1975" s="3" t="inlineStr">
        <is>
          <t>남이면</t>
        </is>
      </c>
      <c r="G1975" s="3" t="inlineStr">
        <is>
          <t>양촌리</t>
        </is>
      </c>
      <c r="H1975" s="3" t="inlineStr">
        <is>
          <t>자연녹지지역</t>
        </is>
      </c>
      <c r="I1975" s="3" t="inlineStr">
        <is>
          <t>임야</t>
        </is>
      </c>
      <c r="J1975" s="3" t="inlineStr">
        <is>
          <t>남이면</t>
        </is>
      </c>
    </row>
    <row r="1976">
      <c r="A1976" s="3" t="n">
        <v>2025</v>
      </c>
      <c r="B1976" s="4" t="n">
        <v>54000</v>
      </c>
      <c r="C1976" s="4" t="n">
        <v>2797</v>
      </c>
      <c r="D1976" s="4" t="n">
        <v>846.0925</v>
      </c>
      <c r="E1976" s="5" t="n">
        <v>63.8</v>
      </c>
      <c r="F1976" s="3" t="inlineStr">
        <is>
          <t>남이면</t>
        </is>
      </c>
      <c r="G1976" s="3" t="inlineStr">
        <is>
          <t>대련리</t>
        </is>
      </c>
      <c r="H1976" s="3" t="inlineStr">
        <is>
          <t>자연녹지지역</t>
        </is>
      </c>
      <c r="I1976" s="3" t="inlineStr">
        <is>
          <t>답</t>
        </is>
      </c>
      <c r="J1976" s="3" t="inlineStr">
        <is>
          <t>남이면</t>
        </is>
      </c>
    </row>
    <row r="1977">
      <c r="A1977" s="3" t="n">
        <v>2025</v>
      </c>
      <c r="B1977" s="4" t="n">
        <v>59080</v>
      </c>
      <c r="C1977" s="4" t="n">
        <v>1920</v>
      </c>
      <c r="D1977" s="4" t="n">
        <v>580.8</v>
      </c>
      <c r="E1977" s="5" t="n">
        <v>101.7</v>
      </c>
      <c r="F1977" s="3" t="inlineStr">
        <is>
          <t>남이면</t>
        </is>
      </c>
      <c r="G1977" s="3" t="inlineStr">
        <is>
          <t>수대리</t>
        </is>
      </c>
      <c r="H1977" s="3" t="inlineStr">
        <is>
          <t>보전녹지지역</t>
        </is>
      </c>
      <c r="I1977" s="3" t="inlineStr">
        <is>
          <t>대</t>
        </is>
      </c>
      <c r="J1977" s="3" t="inlineStr">
        <is>
          <t>남이면</t>
        </is>
      </c>
    </row>
    <row r="1978">
      <c r="A1978" s="3" t="n">
        <v>2025</v>
      </c>
      <c r="B1978" s="4" t="n">
        <v>6100</v>
      </c>
      <c r="C1978" s="4" t="n">
        <v>367</v>
      </c>
      <c r="D1978" s="4" t="n">
        <v>111.0175</v>
      </c>
      <c r="E1978" s="5" t="n">
        <v>54.9</v>
      </c>
      <c r="F1978" s="3" t="inlineStr">
        <is>
          <t>연서면</t>
        </is>
      </c>
      <c r="G1978" s="3" t="inlineStr">
        <is>
          <t>고복리</t>
        </is>
      </c>
      <c r="H1978" s="3" t="inlineStr">
        <is>
          <t>생산관리지역</t>
        </is>
      </c>
      <c r="I1978" s="3" t="inlineStr">
        <is>
          <t>과수원</t>
        </is>
      </c>
      <c r="J1978" s="3" t="inlineStr">
        <is>
          <t>연서면</t>
        </is>
      </c>
    </row>
    <row r="1979">
      <c r="A1979" s="3" t="n">
        <v>2025</v>
      </c>
      <c r="B1979" s="4" t="n">
        <v>59350</v>
      </c>
      <c r="C1979" s="4" t="n">
        <v>3020</v>
      </c>
      <c r="D1979" s="4" t="n">
        <v>913.55</v>
      </c>
      <c r="E1979" s="5" t="n">
        <v>65</v>
      </c>
      <c r="F1979" s="3" t="inlineStr">
        <is>
          <t>연서면</t>
        </is>
      </c>
      <c r="G1979" s="3" t="inlineStr">
        <is>
          <t>성제리</t>
        </is>
      </c>
      <c r="H1979" s="3" t="inlineStr">
        <is>
          <t>농림지역</t>
        </is>
      </c>
      <c r="I1979" s="3" t="inlineStr">
        <is>
          <t>답</t>
        </is>
      </c>
      <c r="J1979" s="3" t="inlineStr">
        <is>
          <t>연서면</t>
        </is>
      </c>
    </row>
    <row r="1980">
      <c r="A1980" s="3" t="n">
        <v>2025</v>
      </c>
      <c r="B1980" s="4" t="n">
        <v>9500</v>
      </c>
      <c r="C1980" s="4" t="n">
        <v>325</v>
      </c>
      <c r="D1980" s="4" t="n">
        <v>98.3125</v>
      </c>
      <c r="E1980" s="5" t="n">
        <v>96.59999999999999</v>
      </c>
      <c r="F1980" s="3" t="inlineStr">
        <is>
          <t>연서면</t>
        </is>
      </c>
      <c r="G1980" s="3" t="inlineStr">
        <is>
          <t>월하리</t>
        </is>
      </c>
      <c r="H1980" s="3" t="inlineStr">
        <is>
          <t>자연녹지지역</t>
        </is>
      </c>
      <c r="I1980" s="3" t="inlineStr">
        <is>
          <t>전</t>
        </is>
      </c>
      <c r="J1980" s="3" t="inlineStr">
        <is>
          <t>연서면</t>
        </is>
      </c>
    </row>
    <row r="1981">
      <c r="A1981" s="3" t="n">
        <v>2025</v>
      </c>
      <c r="B1981" s="4" t="n">
        <v>360</v>
      </c>
      <c r="C1981" s="4" t="n">
        <v>12</v>
      </c>
      <c r="D1981" s="4" t="n">
        <v>3.63</v>
      </c>
      <c r="E1981" s="5" t="n">
        <v>99.2</v>
      </c>
      <c r="F1981" s="3" t="inlineStr">
        <is>
          <t>연서면</t>
        </is>
      </c>
      <c r="G1981" s="3" t="inlineStr">
        <is>
          <t>월하리</t>
        </is>
      </c>
      <c r="H1981" s="3" t="inlineStr">
        <is>
          <t>자연녹지지역</t>
        </is>
      </c>
      <c r="I1981" s="3" t="inlineStr">
        <is>
          <t>도로</t>
        </is>
      </c>
      <c r="J1981" s="3" t="inlineStr">
        <is>
          <t>연서면</t>
        </is>
      </c>
    </row>
    <row r="1982">
      <c r="A1982" s="3" t="n">
        <v>2025</v>
      </c>
      <c r="B1982" s="4" t="n">
        <v>85700</v>
      </c>
      <c r="C1982" s="4" t="n">
        <v>1425</v>
      </c>
      <c r="D1982" s="4" t="n">
        <v>431.0625</v>
      </c>
      <c r="E1982" s="5" t="n">
        <v>198.8</v>
      </c>
      <c r="F1982" s="3" t="inlineStr">
        <is>
          <t>연서면</t>
        </is>
      </c>
      <c r="G1982" s="3" t="inlineStr">
        <is>
          <t>월하리</t>
        </is>
      </c>
      <c r="H1982" s="3" t="inlineStr">
        <is>
          <t>자연녹지지역</t>
        </is>
      </c>
      <c r="I1982" s="3" t="inlineStr">
        <is>
          <t>전</t>
        </is>
      </c>
      <c r="J1982" s="3" t="inlineStr">
        <is>
          <t>연서면</t>
        </is>
      </c>
    </row>
    <row r="1983">
      <c r="A1983" s="3" t="n">
        <v>2025</v>
      </c>
      <c r="B1983" s="4" t="n">
        <v>58000</v>
      </c>
      <c r="C1983" s="4" t="n">
        <v>376</v>
      </c>
      <c r="D1983" s="4" t="n">
        <v>113.74</v>
      </c>
      <c r="E1983" s="5" t="n">
        <v>509.9</v>
      </c>
      <c r="F1983" s="3" t="inlineStr">
        <is>
          <t>조치원읍</t>
        </is>
      </c>
      <c r="G1983" s="3" t="inlineStr">
        <is>
          <t>신안리</t>
        </is>
      </c>
      <c r="H1983" s="3" t="inlineStr">
        <is>
          <t>제2종일반주거지역</t>
        </is>
      </c>
      <c r="I1983" s="3" t="inlineStr">
        <is>
          <t>대</t>
        </is>
      </c>
      <c r="J1983" s="3" t="inlineStr">
        <is>
          <t>조치원읍</t>
        </is>
      </c>
    </row>
    <row r="1984">
      <c r="A1984" s="3" t="n">
        <v>2022</v>
      </c>
      <c r="B1984" s="4" t="n">
        <v>12000</v>
      </c>
      <c r="C1984" s="4" t="n">
        <v>826</v>
      </c>
      <c r="D1984" s="4" t="n">
        <v>249.865</v>
      </c>
      <c r="E1984" s="5" t="n">
        <v>48</v>
      </c>
      <c r="F1984" s="3" t="inlineStr">
        <is>
          <t>남이면</t>
        </is>
      </c>
      <c r="G1984" s="3" t="inlineStr">
        <is>
          <t>석실리</t>
        </is>
      </c>
      <c r="H1984" s="3" t="inlineStr">
        <is>
          <t>자연녹지지역</t>
        </is>
      </c>
      <c r="I1984" s="3" t="inlineStr">
        <is>
          <t>전</t>
        </is>
      </c>
      <c r="J1984" s="3" t="inlineStr">
        <is>
          <t>남이면</t>
        </is>
      </c>
    </row>
    <row r="1985">
      <c r="A1985" s="3" t="n">
        <v>2022</v>
      </c>
      <c r="B1985" s="4" t="n">
        <v>20938</v>
      </c>
      <c r="C1985" s="4" t="n">
        <v>1823</v>
      </c>
      <c r="D1985" s="4" t="n">
        <v>551.4575</v>
      </c>
      <c r="E1985" s="5" t="n">
        <v>38</v>
      </c>
      <c r="F1985" s="3" t="inlineStr">
        <is>
          <t>남이면</t>
        </is>
      </c>
      <c r="G1985" s="3" t="inlineStr">
        <is>
          <t>구미리</t>
        </is>
      </c>
      <c r="H1985" s="3" t="inlineStr">
        <is>
          <t>계획관리지역</t>
        </is>
      </c>
      <c r="I1985" s="3" t="inlineStr">
        <is>
          <t>전</t>
        </is>
      </c>
      <c r="J1985" s="3" t="inlineStr">
        <is>
          <t>남이면</t>
        </is>
      </c>
    </row>
    <row r="1986">
      <c r="A1986" s="3" t="n">
        <v>2022</v>
      </c>
      <c r="B1986" s="4" t="n">
        <v>9165</v>
      </c>
      <c r="C1986" s="4" t="n">
        <v>1725</v>
      </c>
      <c r="D1986" s="4" t="n">
        <v>521.8125</v>
      </c>
      <c r="E1986" s="5" t="n">
        <v>17.6</v>
      </c>
      <c r="F1986" s="3" t="inlineStr">
        <is>
          <t>남이면</t>
        </is>
      </c>
      <c r="G1986" s="3" t="inlineStr">
        <is>
          <t>구암리</t>
        </is>
      </c>
      <c r="H1986" s="3" t="inlineStr">
        <is>
          <t>보전녹지지역</t>
        </is>
      </c>
      <c r="I1986" s="3" t="inlineStr">
        <is>
          <t>임야</t>
        </is>
      </c>
      <c r="J1986" s="3" t="inlineStr">
        <is>
          <t>남이면</t>
        </is>
      </c>
    </row>
    <row r="1987">
      <c r="A1987" s="3" t="n">
        <v>2022</v>
      </c>
      <c r="B1987" s="4" t="n">
        <v>4835</v>
      </c>
      <c r="C1987" s="4" t="n">
        <v>910</v>
      </c>
      <c r="D1987" s="4" t="n">
        <v>275.275</v>
      </c>
      <c r="E1987" s="5" t="n">
        <v>17.6</v>
      </c>
      <c r="F1987" s="3" t="inlineStr">
        <is>
          <t>남이면</t>
        </is>
      </c>
      <c r="G1987" s="3" t="inlineStr">
        <is>
          <t>구암리</t>
        </is>
      </c>
      <c r="H1987" s="3" t="inlineStr">
        <is>
          <t>보전녹지지역</t>
        </is>
      </c>
      <c r="I1987" s="3" t="inlineStr">
        <is>
          <t>임야</t>
        </is>
      </c>
      <c r="J1987" s="3" t="inlineStr">
        <is>
          <t>남이면</t>
        </is>
      </c>
    </row>
    <row r="1988">
      <c r="A1988" s="3" t="n">
        <v>2022</v>
      </c>
      <c r="B1988" s="4" t="n">
        <v>25500</v>
      </c>
      <c r="C1988" s="4" t="n">
        <v>2526</v>
      </c>
      <c r="D1988" s="4" t="n">
        <v>764.115</v>
      </c>
      <c r="E1988" s="5" t="n">
        <v>33.4</v>
      </c>
      <c r="F1988" s="3" t="inlineStr">
        <is>
          <t>남이면</t>
        </is>
      </c>
      <c r="G1988" s="3" t="inlineStr">
        <is>
          <t>외천리</t>
        </is>
      </c>
      <c r="H1988" s="3" t="inlineStr">
        <is>
          <t>보전관리지역</t>
        </is>
      </c>
      <c r="I1988" s="3" t="inlineStr">
        <is>
          <t>전</t>
        </is>
      </c>
      <c r="J1988" s="3" t="inlineStr">
        <is>
          <t>남이면</t>
        </is>
      </c>
    </row>
    <row r="1989">
      <c r="A1989" s="3" t="n">
        <v>2022</v>
      </c>
      <c r="B1989" s="4" t="n">
        <v>186093</v>
      </c>
      <c r="C1989" s="4" t="n">
        <v>4548</v>
      </c>
      <c r="D1989" s="4" t="n">
        <v>1375.77</v>
      </c>
      <c r="E1989" s="5" t="n">
        <v>135.3</v>
      </c>
      <c r="F1989" s="3" t="inlineStr">
        <is>
          <t>남이면</t>
        </is>
      </c>
      <c r="G1989" s="3" t="inlineStr">
        <is>
          <t>가좌리</t>
        </is>
      </c>
      <c r="H1989" s="3" t="inlineStr">
        <is>
          <t>자연녹지지역</t>
        </is>
      </c>
      <c r="I1989" s="3" t="inlineStr">
        <is>
          <t>체육용지</t>
        </is>
      </c>
      <c r="J1989" s="3" t="inlineStr">
        <is>
          <t>남이면</t>
        </is>
      </c>
    </row>
    <row r="1990">
      <c r="A1990" s="3" t="n">
        <v>2022</v>
      </c>
      <c r="B1990" s="4" t="n">
        <v>12357</v>
      </c>
      <c r="C1990" s="4" t="n">
        <v>302</v>
      </c>
      <c r="D1990" s="4" t="n">
        <v>91.355</v>
      </c>
      <c r="E1990" s="5" t="n">
        <v>135.3</v>
      </c>
      <c r="F1990" s="3" t="inlineStr">
        <is>
          <t>남이면</t>
        </is>
      </c>
      <c r="G1990" s="3" t="inlineStr">
        <is>
          <t>가좌리</t>
        </is>
      </c>
      <c r="H1990" s="3" t="inlineStr">
        <is>
          <t>자연녹지지역</t>
        </is>
      </c>
      <c r="I1990" s="3" t="inlineStr">
        <is>
          <t>체육용지</t>
        </is>
      </c>
      <c r="J1990" s="3" t="inlineStr">
        <is>
          <t>남이면</t>
        </is>
      </c>
    </row>
    <row r="1991">
      <c r="A1991" s="3" t="n">
        <v>2022</v>
      </c>
      <c r="B1991" s="4" t="n">
        <v>2570</v>
      </c>
      <c r="C1991" s="4" t="n">
        <v>135</v>
      </c>
      <c r="D1991" s="4" t="n">
        <v>40.8375</v>
      </c>
      <c r="E1991" s="5" t="n">
        <v>62.9</v>
      </c>
      <c r="F1991" s="3" t="inlineStr">
        <is>
          <t>남이면</t>
        </is>
      </c>
      <c r="G1991" s="3" t="inlineStr">
        <is>
          <t>외천리</t>
        </is>
      </c>
      <c r="H1991" s="3" t="inlineStr">
        <is>
          <t>계획관리지역</t>
        </is>
      </c>
      <c r="I1991" s="3" t="inlineStr">
        <is>
          <t>전</t>
        </is>
      </c>
      <c r="J1991" s="3" t="inlineStr">
        <is>
          <t>남이면</t>
        </is>
      </c>
    </row>
    <row r="1992">
      <c r="A1992" s="3" t="n">
        <v>2022</v>
      </c>
      <c r="B1992" s="4" t="n">
        <v>42630</v>
      </c>
      <c r="C1992" s="4" t="n">
        <v>2239</v>
      </c>
      <c r="D1992" s="4" t="n">
        <v>677.2975</v>
      </c>
      <c r="E1992" s="5" t="n">
        <v>62.9</v>
      </c>
      <c r="F1992" s="3" t="inlineStr">
        <is>
          <t>남이면</t>
        </is>
      </c>
      <c r="G1992" s="3" t="inlineStr">
        <is>
          <t>외천리</t>
        </is>
      </c>
      <c r="H1992" s="3" t="inlineStr">
        <is>
          <t>계획관리지역</t>
        </is>
      </c>
      <c r="I1992" s="3" t="inlineStr">
        <is>
          <t>전</t>
        </is>
      </c>
      <c r="J1992" s="3" t="inlineStr">
        <is>
          <t>남이면</t>
        </is>
      </c>
    </row>
    <row r="1993">
      <c r="A1993" s="3" t="n">
        <v>2022</v>
      </c>
      <c r="B1993" s="4" t="n">
        <v>50000</v>
      </c>
      <c r="C1993" s="4" t="n">
        <v>2896</v>
      </c>
      <c r="D1993" s="4" t="n">
        <v>876.04</v>
      </c>
      <c r="E1993" s="5" t="n">
        <v>57.1</v>
      </c>
      <c r="F1993" s="3" t="inlineStr">
        <is>
          <t>남이면</t>
        </is>
      </c>
      <c r="G1993" s="3" t="inlineStr">
        <is>
          <t>척산리</t>
        </is>
      </c>
      <c r="H1993" s="3" t="inlineStr">
        <is>
          <t>자연녹지지역</t>
        </is>
      </c>
      <c r="I1993" s="3" t="inlineStr">
        <is>
          <t>전</t>
        </is>
      </c>
      <c r="J1993" s="3" t="inlineStr">
        <is>
          <t>남이면</t>
        </is>
      </c>
    </row>
    <row r="1994">
      <c r="A1994" s="3" t="n">
        <v>2022</v>
      </c>
      <c r="B1994" s="4" t="n">
        <v>5000</v>
      </c>
      <c r="C1994" s="4" t="n">
        <v>274</v>
      </c>
      <c r="D1994" s="4" t="n">
        <v>82.88499999999999</v>
      </c>
      <c r="E1994" s="5" t="n">
        <v>60.3</v>
      </c>
      <c r="F1994" s="3" t="inlineStr">
        <is>
          <t>남이면</t>
        </is>
      </c>
      <c r="G1994" s="3" t="inlineStr">
        <is>
          <t>척산리</t>
        </is>
      </c>
      <c r="H1994" s="3" t="inlineStr">
        <is>
          <t>자연녹지지역</t>
        </is>
      </c>
      <c r="I1994" s="3" t="inlineStr">
        <is>
          <t>전</t>
        </is>
      </c>
      <c r="J1994" s="3" t="inlineStr">
        <is>
          <t>남이면</t>
        </is>
      </c>
    </row>
    <row r="1995">
      <c r="A1995" s="3" t="n">
        <v>2022</v>
      </c>
      <c r="B1995" s="4" t="n">
        <v>31500</v>
      </c>
      <c r="C1995" s="4" t="n">
        <v>1626</v>
      </c>
      <c r="D1995" s="4" t="n">
        <v>491.865</v>
      </c>
      <c r="E1995" s="5" t="n">
        <v>64</v>
      </c>
      <c r="F1995" s="3" t="inlineStr">
        <is>
          <t>남이면</t>
        </is>
      </c>
      <c r="G1995" s="3" t="inlineStr">
        <is>
          <t>외천리</t>
        </is>
      </c>
      <c r="H1995" s="3" t="inlineStr">
        <is>
          <t>계획관리지역</t>
        </is>
      </c>
      <c r="I1995" s="3" t="inlineStr">
        <is>
          <t>답</t>
        </is>
      </c>
      <c r="J1995" s="3" t="inlineStr">
        <is>
          <t>남이면</t>
        </is>
      </c>
    </row>
    <row r="1996">
      <c r="A1996" s="3" t="n">
        <v>2022</v>
      </c>
      <c r="B1996" s="4" t="n">
        <v>37600</v>
      </c>
      <c r="C1996" s="4" t="n">
        <v>1944</v>
      </c>
      <c r="D1996" s="4" t="n">
        <v>588.0599999999999</v>
      </c>
      <c r="E1996" s="5" t="n">
        <v>63.9</v>
      </c>
      <c r="F1996" s="3" t="inlineStr">
        <is>
          <t>남이면</t>
        </is>
      </c>
      <c r="G1996" s="3" t="inlineStr">
        <is>
          <t>외천리</t>
        </is>
      </c>
      <c r="H1996" s="3" t="inlineStr">
        <is>
          <t>계획관리지역</t>
        </is>
      </c>
      <c r="I1996" s="3" t="inlineStr">
        <is>
          <t>답</t>
        </is>
      </c>
      <c r="J1996" s="3" t="inlineStr">
        <is>
          <t>남이면</t>
        </is>
      </c>
    </row>
    <row r="1997">
      <c r="A1997" s="3" t="n">
        <v>2022</v>
      </c>
      <c r="B1997" s="4" t="n">
        <v>26300</v>
      </c>
      <c r="C1997" s="4" t="n">
        <v>1358</v>
      </c>
      <c r="D1997" s="4" t="n">
        <v>410.795</v>
      </c>
      <c r="E1997" s="5" t="n">
        <v>64</v>
      </c>
      <c r="F1997" s="3" t="inlineStr">
        <is>
          <t>남이면</t>
        </is>
      </c>
      <c r="G1997" s="3" t="inlineStr">
        <is>
          <t>외천리</t>
        </is>
      </c>
      <c r="H1997" s="3" t="inlineStr">
        <is>
          <t>계획관리지역</t>
        </is>
      </c>
      <c r="I1997" s="3" t="inlineStr">
        <is>
          <t>답</t>
        </is>
      </c>
      <c r="J1997" s="3" t="inlineStr">
        <is>
          <t>남이면</t>
        </is>
      </c>
    </row>
    <row r="1998">
      <c r="A1998" s="3" t="n">
        <v>2022</v>
      </c>
      <c r="B1998" s="4" t="n">
        <v>16000</v>
      </c>
      <c r="C1998" s="4" t="n">
        <v>1269</v>
      </c>
      <c r="D1998" s="4" t="n">
        <v>383.8725</v>
      </c>
      <c r="E1998" s="5" t="n">
        <v>41.7</v>
      </c>
      <c r="F1998" s="3" t="inlineStr">
        <is>
          <t>남이면</t>
        </is>
      </c>
      <c r="G1998" s="3" t="inlineStr">
        <is>
          <t>척산리</t>
        </is>
      </c>
      <c r="H1998" s="3" t="inlineStr">
        <is>
          <t>자연녹지지역</t>
        </is>
      </c>
      <c r="I1998" s="3" t="inlineStr">
        <is>
          <t>답</t>
        </is>
      </c>
      <c r="J1998" s="3" t="inlineStr">
        <is>
          <t>남이면</t>
        </is>
      </c>
    </row>
    <row r="1999">
      <c r="A1999" s="3" t="n">
        <v>2022</v>
      </c>
      <c r="B1999" s="4" t="n">
        <v>52000</v>
      </c>
      <c r="C1999" s="4" t="n">
        <v>1141</v>
      </c>
      <c r="D1999" s="4" t="n">
        <v>345.1525</v>
      </c>
      <c r="E1999" s="5" t="n">
        <v>150.7</v>
      </c>
      <c r="F1999" s="3" t="inlineStr">
        <is>
          <t>남이면</t>
        </is>
      </c>
      <c r="G1999" s="3" t="inlineStr">
        <is>
          <t>석판리</t>
        </is>
      </c>
      <c r="H1999" s="3" t="inlineStr">
        <is>
          <t>자연녹지지역</t>
        </is>
      </c>
      <c r="I1999" s="3" t="inlineStr">
        <is>
          <t>전</t>
        </is>
      </c>
      <c r="J1999" s="3" t="inlineStr">
        <is>
          <t>남이면</t>
        </is>
      </c>
    </row>
    <row r="2000">
      <c r="A2000" s="3" t="n">
        <v>2022</v>
      </c>
      <c r="B2000" s="4" t="n">
        <v>14600</v>
      </c>
      <c r="C2000" s="4" t="n">
        <v>242</v>
      </c>
      <c r="D2000" s="4" t="n">
        <v>73.205</v>
      </c>
      <c r="E2000" s="5" t="n">
        <v>199.4</v>
      </c>
      <c r="F2000" s="3" t="inlineStr">
        <is>
          <t>남이면</t>
        </is>
      </c>
      <c r="G2000" s="3" t="inlineStr">
        <is>
          <t>석판리</t>
        </is>
      </c>
      <c r="H2000" s="3" t="inlineStr">
        <is>
          <t>자연녹지지역</t>
        </is>
      </c>
      <c r="I2000" s="3" t="inlineStr">
        <is>
          <t>전</t>
        </is>
      </c>
      <c r="J2000" s="3" t="inlineStr">
        <is>
          <t>남이면</t>
        </is>
      </c>
    </row>
    <row r="2001">
      <c r="A2001" s="3" t="n">
        <v>2022</v>
      </c>
      <c r="B2001" s="4" t="n">
        <v>46680</v>
      </c>
      <c r="C2001" s="4" t="n">
        <v>879</v>
      </c>
      <c r="D2001" s="4" t="n">
        <v>265.8975</v>
      </c>
      <c r="E2001" s="5" t="n">
        <v>175.6</v>
      </c>
      <c r="F2001" s="3" t="inlineStr">
        <is>
          <t>남이면</t>
        </is>
      </c>
      <c r="G2001" s="3" t="inlineStr">
        <is>
          <t>부용외천리</t>
        </is>
      </c>
      <c r="H2001" s="3" t="inlineStr">
        <is>
          <t>계획관리지역</t>
        </is>
      </c>
      <c r="I2001" s="3" t="inlineStr">
        <is>
          <t>전</t>
        </is>
      </c>
      <c r="J2001" s="3" t="inlineStr">
        <is>
          <t>남이면</t>
        </is>
      </c>
    </row>
    <row r="2002">
      <c r="A2002" s="3" t="n">
        <v>2022</v>
      </c>
      <c r="B2002" s="4" t="n">
        <v>1540</v>
      </c>
      <c r="C2002" s="4" t="n">
        <v>29</v>
      </c>
      <c r="D2002" s="4" t="n">
        <v>8.772499999999999</v>
      </c>
      <c r="E2002" s="5" t="n">
        <v>175.5</v>
      </c>
      <c r="F2002" s="3" t="inlineStr">
        <is>
          <t>남이면</t>
        </is>
      </c>
      <c r="G2002" s="3" t="inlineStr">
        <is>
          <t>부용외천리</t>
        </is>
      </c>
      <c r="H2002" s="3" t="inlineStr">
        <is>
          <t>계획관리지역</t>
        </is>
      </c>
      <c r="I2002" s="3" t="inlineStr">
        <is>
          <t>전</t>
        </is>
      </c>
      <c r="J2002" s="3" t="inlineStr">
        <is>
          <t>남이면</t>
        </is>
      </c>
    </row>
    <row r="2003">
      <c r="A2003" s="3" t="n">
        <v>2022</v>
      </c>
      <c r="B2003" s="4" t="n">
        <v>20000</v>
      </c>
      <c r="C2003" s="4" t="n">
        <v>1535</v>
      </c>
      <c r="D2003" s="4" t="n">
        <v>464.3375</v>
      </c>
      <c r="E2003" s="5" t="n">
        <v>43.1</v>
      </c>
      <c r="F2003" s="3" t="inlineStr">
        <is>
          <t>남이면</t>
        </is>
      </c>
      <c r="G2003" s="3" t="inlineStr">
        <is>
          <t>석실리</t>
        </is>
      </c>
      <c r="H2003" s="3" t="inlineStr">
        <is>
          <t>자연녹지지역</t>
        </is>
      </c>
      <c r="I2003" s="3" t="inlineStr">
        <is>
          <t>전</t>
        </is>
      </c>
      <c r="J2003" s="3" t="inlineStr">
        <is>
          <t>남이면</t>
        </is>
      </c>
    </row>
    <row r="2004">
      <c r="A2004" s="3" t="n">
        <v>2022</v>
      </c>
      <c r="B2004" s="4" t="n">
        <v>17293</v>
      </c>
      <c r="C2004" s="4" t="n">
        <v>1307</v>
      </c>
      <c r="D2004" s="4" t="n">
        <v>395.3675</v>
      </c>
      <c r="E2004" s="5" t="n">
        <v>43.7</v>
      </c>
      <c r="F2004" s="3" t="inlineStr">
        <is>
          <t>남이면</t>
        </is>
      </c>
      <c r="G2004" s="3" t="inlineStr">
        <is>
          <t>팔봉리</t>
        </is>
      </c>
      <c r="H2004" s="3" t="inlineStr">
        <is>
          <t>자연녹지지역</t>
        </is>
      </c>
      <c r="I2004" s="3" t="inlineStr">
        <is>
          <t>답</t>
        </is>
      </c>
      <c r="J2004" s="3" t="inlineStr">
        <is>
          <t>남이면</t>
        </is>
      </c>
    </row>
    <row r="2005">
      <c r="A2005" s="3" t="n">
        <v>2022</v>
      </c>
      <c r="B2005" s="4" t="n">
        <v>13707</v>
      </c>
      <c r="C2005" s="4" t="n">
        <v>1036</v>
      </c>
      <c r="D2005" s="4" t="n">
        <v>313.39</v>
      </c>
      <c r="E2005" s="5" t="n">
        <v>43.7</v>
      </c>
      <c r="F2005" s="3" t="inlineStr">
        <is>
          <t>남이면</t>
        </is>
      </c>
      <c r="G2005" s="3" t="inlineStr">
        <is>
          <t>팔봉리</t>
        </is>
      </c>
      <c r="H2005" s="3" t="inlineStr">
        <is>
          <t>자연녹지지역</t>
        </is>
      </c>
      <c r="I2005" s="3" t="inlineStr">
        <is>
          <t>답</t>
        </is>
      </c>
      <c r="J2005" s="3" t="inlineStr">
        <is>
          <t>남이면</t>
        </is>
      </c>
    </row>
    <row r="2006">
      <c r="A2006" s="3" t="n">
        <v>2026</v>
      </c>
      <c r="B2006" s="4" t="n">
        <v>258106</v>
      </c>
      <c r="C2006" s="4" t="n">
        <v>3855.5</v>
      </c>
      <c r="D2006" s="4" t="n">
        <v>1166.28875</v>
      </c>
      <c r="E2006" s="5" t="n">
        <v>221.3</v>
      </c>
      <c r="F2006" s="3" t="inlineStr">
        <is>
          <t>집현동</t>
        </is>
      </c>
      <c r="G2006" s="3" t="inlineStr"/>
      <c r="H2006" s="3" t="inlineStr">
        <is>
          <t>준주거지역</t>
        </is>
      </c>
      <c r="I2006" s="3" t="inlineStr">
        <is>
          <t>대</t>
        </is>
      </c>
      <c r="J2006" s="3" t="inlineStr">
        <is>
          <t>집현동</t>
        </is>
      </c>
    </row>
    <row r="2007">
      <c r="A2007" s="3" t="n">
        <v>2026</v>
      </c>
      <c r="B2007" s="4" t="n">
        <v>8100</v>
      </c>
      <c r="C2007" s="4" t="n">
        <v>434</v>
      </c>
      <c r="D2007" s="4" t="n">
        <v>131.285</v>
      </c>
      <c r="E2007" s="5" t="n">
        <v>61.7</v>
      </c>
      <c r="F2007" s="3" t="inlineStr">
        <is>
          <t>부강면</t>
        </is>
      </c>
      <c r="G2007" s="3" t="inlineStr">
        <is>
          <t>갈산리</t>
        </is>
      </c>
      <c r="H2007" s="3" t="inlineStr">
        <is>
          <t>계획관리지역</t>
        </is>
      </c>
      <c r="I2007" s="3" t="inlineStr">
        <is>
          <t>대</t>
        </is>
      </c>
      <c r="J2007" s="3" t="inlineStr">
        <is>
          <t>부강면</t>
        </is>
      </c>
    </row>
    <row r="2008">
      <c r="A2008" s="3" t="n">
        <v>2026</v>
      </c>
      <c r="B2008" s="4" t="n">
        <v>31000</v>
      </c>
      <c r="C2008" s="4" t="n">
        <v>290</v>
      </c>
      <c r="D2008" s="4" t="n">
        <v>87.72499999999999</v>
      </c>
      <c r="E2008" s="5" t="n">
        <v>353.4</v>
      </c>
      <c r="F2008" s="3" t="inlineStr">
        <is>
          <t>고운동</t>
        </is>
      </c>
      <c r="G2008" s="3" t="inlineStr"/>
      <c r="H2008" s="3" t="inlineStr">
        <is>
          <t>제1종전용주거지역</t>
        </is>
      </c>
      <c r="I2008" s="3" t="inlineStr">
        <is>
          <t>대</t>
        </is>
      </c>
      <c r="J2008" s="3" t="inlineStr">
        <is>
          <t>고운동</t>
        </is>
      </c>
    </row>
    <row r="2009">
      <c r="A2009" s="3" t="n">
        <v>2026</v>
      </c>
      <c r="B2009" s="4" t="n">
        <v>86500</v>
      </c>
      <c r="C2009" s="4" t="n">
        <v>2610</v>
      </c>
      <c r="D2009" s="4" t="n">
        <v>789.525</v>
      </c>
      <c r="E2009" s="5" t="n">
        <v>109.6</v>
      </c>
      <c r="F2009" s="3" t="inlineStr">
        <is>
          <t>연서면</t>
        </is>
      </c>
      <c r="G2009" s="3" t="inlineStr">
        <is>
          <t>성제리</t>
        </is>
      </c>
      <c r="H2009" s="3" t="inlineStr">
        <is>
          <t>자연녹지지역</t>
        </is>
      </c>
      <c r="I2009" s="3" t="inlineStr">
        <is>
          <t>과수원</t>
        </is>
      </c>
      <c r="J2009" s="3" t="inlineStr">
        <is>
          <t>연서면</t>
        </is>
      </c>
    </row>
    <row r="2010">
      <c r="A2010" s="3" t="n">
        <v>2024</v>
      </c>
      <c r="B2010" s="4" t="n">
        <v>60000</v>
      </c>
      <c r="C2010" s="4" t="n">
        <v>1679</v>
      </c>
      <c r="D2010" s="4" t="n">
        <v>507.8975</v>
      </c>
      <c r="E2010" s="5" t="n">
        <v>118.1</v>
      </c>
      <c r="F2010" s="3" t="inlineStr">
        <is>
          <t>남이면</t>
        </is>
      </c>
      <c r="G2010" s="3" t="inlineStr">
        <is>
          <t>가좌리</t>
        </is>
      </c>
      <c r="H2010" s="3" t="inlineStr">
        <is>
          <t>자연녹지지역</t>
        </is>
      </c>
      <c r="I2010" s="3" t="inlineStr">
        <is>
          <t>전</t>
        </is>
      </c>
      <c r="J2010" s="3" t="inlineStr">
        <is>
          <t>남이면</t>
        </is>
      </c>
    </row>
    <row r="2011">
      <c r="A2011" s="3" t="n">
        <v>2024</v>
      </c>
      <c r="B2011" s="4" t="n">
        <v>1600</v>
      </c>
      <c r="C2011" s="4" t="n">
        <v>171</v>
      </c>
      <c r="D2011" s="4" t="n">
        <v>51.7275</v>
      </c>
      <c r="E2011" s="5" t="n">
        <v>30.9</v>
      </c>
      <c r="F2011" s="3" t="inlineStr">
        <is>
          <t>남이면</t>
        </is>
      </c>
      <c r="G2011" s="3" t="inlineStr">
        <is>
          <t>구미리</t>
        </is>
      </c>
      <c r="H2011" s="3" t="inlineStr">
        <is>
          <t>계획관리지역</t>
        </is>
      </c>
      <c r="I2011" s="3" t="inlineStr">
        <is>
          <t>임야</t>
        </is>
      </c>
      <c r="J2011" s="3" t="inlineStr">
        <is>
          <t>남이면</t>
        </is>
      </c>
    </row>
    <row r="2012">
      <c r="A2012" s="3" t="n">
        <v>2024</v>
      </c>
      <c r="B2012" s="4" t="n">
        <v>13020</v>
      </c>
      <c r="C2012" s="4" t="n">
        <v>1076</v>
      </c>
      <c r="D2012" s="4" t="n">
        <v>325.49</v>
      </c>
      <c r="E2012" s="5" t="n">
        <v>40</v>
      </c>
      <c r="F2012" s="3" t="inlineStr">
        <is>
          <t>남이면</t>
        </is>
      </c>
      <c r="G2012" s="3" t="inlineStr">
        <is>
          <t>팔봉리</t>
        </is>
      </c>
      <c r="H2012" s="3" t="inlineStr">
        <is>
          <t>보전관리지역</t>
        </is>
      </c>
      <c r="I2012" s="3" t="inlineStr">
        <is>
          <t>임야</t>
        </is>
      </c>
      <c r="J2012" s="3" t="inlineStr">
        <is>
          <t>남이면</t>
        </is>
      </c>
    </row>
    <row r="2013">
      <c r="A2013" s="3" t="n">
        <v>2024</v>
      </c>
      <c r="B2013" s="4" t="n">
        <v>22400</v>
      </c>
      <c r="C2013" s="4" t="n">
        <v>776</v>
      </c>
      <c r="D2013" s="4" t="n">
        <v>234.74</v>
      </c>
      <c r="E2013" s="5" t="n">
        <v>95.40000000000001</v>
      </c>
      <c r="F2013" s="3" t="inlineStr">
        <is>
          <t>남이면</t>
        </is>
      </c>
      <c r="G2013" s="3" t="inlineStr">
        <is>
          <t>상발리</t>
        </is>
      </c>
      <c r="H2013" s="3" t="inlineStr">
        <is>
          <t>보전녹지지역</t>
        </is>
      </c>
      <c r="I2013" s="3" t="inlineStr">
        <is>
          <t>임야</t>
        </is>
      </c>
      <c r="J2013" s="3" t="inlineStr">
        <is>
          <t>남이면</t>
        </is>
      </c>
    </row>
    <row r="2014">
      <c r="A2014" s="3" t="n">
        <v>2024</v>
      </c>
      <c r="B2014" s="4" t="n">
        <v>3000</v>
      </c>
      <c r="C2014" s="4" t="n">
        <v>936</v>
      </c>
      <c r="D2014" s="4" t="n">
        <v>283.14</v>
      </c>
      <c r="E2014" s="5" t="n">
        <v>10.6</v>
      </c>
      <c r="F2014" s="3" t="inlineStr">
        <is>
          <t>남이면</t>
        </is>
      </c>
      <c r="G2014" s="3" t="inlineStr">
        <is>
          <t>갈원리</t>
        </is>
      </c>
      <c r="H2014" s="3" t="inlineStr">
        <is>
          <t>보전녹지지역</t>
        </is>
      </c>
      <c r="I2014" s="3" t="inlineStr">
        <is>
          <t>전</t>
        </is>
      </c>
      <c r="J2014" s="3" t="inlineStr">
        <is>
          <t>남이면</t>
        </is>
      </c>
    </row>
    <row r="2015">
      <c r="A2015" s="3" t="n">
        <v>2024</v>
      </c>
      <c r="B2015" s="4" t="n">
        <v>10936</v>
      </c>
      <c r="C2015" s="4" t="n">
        <v>575</v>
      </c>
      <c r="D2015" s="4" t="n">
        <v>173.9375</v>
      </c>
      <c r="E2015" s="5" t="n">
        <v>62.9</v>
      </c>
      <c r="F2015" s="3" t="inlineStr">
        <is>
          <t>남이면</t>
        </is>
      </c>
      <c r="G2015" s="3" t="inlineStr">
        <is>
          <t>가마리</t>
        </is>
      </c>
      <c r="H2015" s="3" t="inlineStr">
        <is>
          <t>기타</t>
        </is>
      </c>
      <c r="I2015" s="3" t="inlineStr">
        <is>
          <t>전</t>
        </is>
      </c>
      <c r="J2015" s="3" t="inlineStr">
        <is>
          <t>남이면</t>
        </is>
      </c>
    </row>
    <row r="2016">
      <c r="A2016" s="3" t="n">
        <v>2024</v>
      </c>
      <c r="B2016" s="4" t="n">
        <v>15000</v>
      </c>
      <c r="C2016" s="4" t="n">
        <v>1000</v>
      </c>
      <c r="D2016" s="4" t="n">
        <v>302.5</v>
      </c>
      <c r="E2016" s="5" t="n">
        <v>49.6</v>
      </c>
      <c r="F2016" s="3" t="inlineStr">
        <is>
          <t>남이면</t>
        </is>
      </c>
      <c r="G2016" s="3" t="inlineStr">
        <is>
          <t>석판리</t>
        </is>
      </c>
      <c r="H2016" s="3" t="inlineStr">
        <is>
          <t>보전녹지지역</t>
        </is>
      </c>
      <c r="I2016" s="3" t="inlineStr">
        <is>
          <t>전</t>
        </is>
      </c>
      <c r="J2016" s="3" t="inlineStr">
        <is>
          <t>남이면</t>
        </is>
      </c>
    </row>
    <row r="2017">
      <c r="A2017" s="3" t="n">
        <v>2024</v>
      </c>
      <c r="B2017" s="4" t="n">
        <v>14541</v>
      </c>
      <c r="C2017" s="4" t="n">
        <v>437</v>
      </c>
      <c r="D2017" s="4" t="n">
        <v>132.1925</v>
      </c>
      <c r="E2017" s="5" t="n">
        <v>110</v>
      </c>
      <c r="F2017" s="3" t="inlineStr">
        <is>
          <t>남이면</t>
        </is>
      </c>
      <c r="G2017" s="3" t="inlineStr">
        <is>
          <t>외천리</t>
        </is>
      </c>
      <c r="H2017" s="3" t="inlineStr">
        <is>
          <t>계획관리지역</t>
        </is>
      </c>
      <c r="I2017" s="3" t="inlineStr">
        <is>
          <t>대</t>
        </is>
      </c>
      <c r="J2017" s="3" t="inlineStr">
        <is>
          <t>남이면</t>
        </is>
      </c>
    </row>
    <row r="2018">
      <c r="A2018" s="3" t="n">
        <v>2024</v>
      </c>
      <c r="B2018" s="4" t="n">
        <v>6460</v>
      </c>
      <c r="C2018" s="4" t="n">
        <v>200</v>
      </c>
      <c r="D2018" s="4" t="n">
        <v>60.5</v>
      </c>
      <c r="E2018" s="5" t="n">
        <v>106.8</v>
      </c>
      <c r="F2018" s="3" t="inlineStr">
        <is>
          <t>남이면</t>
        </is>
      </c>
      <c r="G2018" s="3" t="inlineStr">
        <is>
          <t>외천리</t>
        </is>
      </c>
      <c r="H2018" s="3" t="inlineStr">
        <is>
          <t>계획관리지역</t>
        </is>
      </c>
      <c r="I2018" s="3" t="inlineStr">
        <is>
          <t>대</t>
        </is>
      </c>
      <c r="J2018" s="3" t="inlineStr">
        <is>
          <t>남이면</t>
        </is>
      </c>
    </row>
    <row r="2019">
      <c r="A2019" s="3" t="n">
        <v>2024</v>
      </c>
      <c r="B2019" s="4" t="n">
        <v>756</v>
      </c>
      <c r="C2019" s="4" t="n">
        <v>50</v>
      </c>
      <c r="D2019" s="4" t="n">
        <v>15.125</v>
      </c>
      <c r="E2019" s="5" t="n">
        <v>50</v>
      </c>
      <c r="F2019" s="3" t="inlineStr">
        <is>
          <t>남이면</t>
        </is>
      </c>
      <c r="G2019" s="3" t="inlineStr">
        <is>
          <t>외천리</t>
        </is>
      </c>
      <c r="H2019" s="3" t="inlineStr">
        <is>
          <t>계획관리지역</t>
        </is>
      </c>
      <c r="I2019" s="3" t="inlineStr">
        <is>
          <t>임야</t>
        </is>
      </c>
      <c r="J2019" s="3" t="inlineStr">
        <is>
          <t>남이면</t>
        </is>
      </c>
    </row>
    <row r="2020">
      <c r="A2020" s="3" t="n">
        <v>2024</v>
      </c>
      <c r="B2020" s="4" t="n">
        <v>4477</v>
      </c>
      <c r="C2020" s="4" t="n">
        <v>296</v>
      </c>
      <c r="D2020" s="4" t="n">
        <v>89.53999999999999</v>
      </c>
      <c r="E2020" s="5" t="n">
        <v>50</v>
      </c>
      <c r="F2020" s="3" t="inlineStr">
        <is>
          <t>남이면</t>
        </is>
      </c>
      <c r="G2020" s="3" t="inlineStr">
        <is>
          <t>외천리</t>
        </is>
      </c>
      <c r="H2020" s="3" t="inlineStr">
        <is>
          <t>계획관리지역</t>
        </is>
      </c>
      <c r="I2020" s="3" t="inlineStr">
        <is>
          <t>답</t>
        </is>
      </c>
      <c r="J2020" s="3" t="inlineStr">
        <is>
          <t>남이면</t>
        </is>
      </c>
    </row>
    <row r="2021">
      <c r="A2021" s="3" t="n">
        <v>2024</v>
      </c>
      <c r="B2021" s="4" t="n">
        <v>3766</v>
      </c>
      <c r="C2021" s="4" t="n">
        <v>249</v>
      </c>
      <c r="D2021" s="4" t="n">
        <v>75.32249999999999</v>
      </c>
      <c r="E2021" s="5" t="n">
        <v>50</v>
      </c>
      <c r="F2021" s="3" t="inlineStr">
        <is>
          <t>남이면</t>
        </is>
      </c>
      <c r="G2021" s="3" t="inlineStr">
        <is>
          <t>외천리</t>
        </is>
      </c>
      <c r="H2021" s="3" t="inlineStr">
        <is>
          <t>계획관리지역</t>
        </is>
      </c>
      <c r="I2021" s="3" t="inlineStr">
        <is>
          <t>전</t>
        </is>
      </c>
      <c r="J2021" s="3" t="inlineStr">
        <is>
          <t>남이면</t>
        </is>
      </c>
    </row>
    <row r="2022">
      <c r="A2022" s="3" t="n">
        <v>2024</v>
      </c>
      <c r="B2022" s="4" t="n">
        <v>260</v>
      </c>
      <c r="C2022" s="4" t="n">
        <v>78</v>
      </c>
      <c r="D2022" s="4" t="n">
        <v>23.595</v>
      </c>
      <c r="E2022" s="5" t="n">
        <v>11</v>
      </c>
      <c r="F2022" s="3" t="inlineStr">
        <is>
          <t>남이면</t>
        </is>
      </c>
      <c r="G2022" s="3" t="inlineStr">
        <is>
          <t>부용외천리</t>
        </is>
      </c>
      <c r="H2022" s="3" t="inlineStr">
        <is>
          <t>생산관리지역</t>
        </is>
      </c>
      <c r="I2022" s="3" t="inlineStr">
        <is>
          <t>답</t>
        </is>
      </c>
      <c r="J2022" s="3" t="inlineStr">
        <is>
          <t>남이면</t>
        </is>
      </c>
    </row>
    <row r="2023">
      <c r="A2023" s="3" t="n">
        <v>2024</v>
      </c>
      <c r="B2023" s="4" t="n">
        <v>4740</v>
      </c>
      <c r="C2023" s="4" t="n">
        <v>1447</v>
      </c>
      <c r="D2023" s="4" t="n">
        <v>437.7175</v>
      </c>
      <c r="E2023" s="5" t="n">
        <v>10.8</v>
      </c>
      <c r="F2023" s="3" t="inlineStr">
        <is>
          <t>남이면</t>
        </is>
      </c>
      <c r="G2023" s="3" t="inlineStr">
        <is>
          <t>부용외천리</t>
        </is>
      </c>
      <c r="H2023" s="3" t="inlineStr">
        <is>
          <t>생산관리지역</t>
        </is>
      </c>
      <c r="I2023" s="3" t="inlineStr">
        <is>
          <t>전</t>
        </is>
      </c>
      <c r="J2023" s="3" t="inlineStr">
        <is>
          <t>남이면</t>
        </is>
      </c>
    </row>
    <row r="2024">
      <c r="A2024" s="3" t="n">
        <v>2024</v>
      </c>
      <c r="B2024" s="4" t="n">
        <v>10605</v>
      </c>
      <c r="C2024" s="4" t="n">
        <v>575</v>
      </c>
      <c r="D2024" s="4" t="n">
        <v>173.9375</v>
      </c>
      <c r="E2024" s="5" t="n">
        <v>61</v>
      </c>
      <c r="F2024" s="3" t="inlineStr">
        <is>
          <t>남이면</t>
        </is>
      </c>
      <c r="G2024" s="3" t="inlineStr">
        <is>
          <t>가마리</t>
        </is>
      </c>
      <c r="H2024" s="3" t="inlineStr">
        <is>
          <t>기타</t>
        </is>
      </c>
      <c r="I2024" s="3" t="inlineStr">
        <is>
          <t>전</t>
        </is>
      </c>
      <c r="J2024" s="3" t="inlineStr">
        <is>
          <t>남이면</t>
        </is>
      </c>
    </row>
    <row r="2025">
      <c r="A2025" s="3" t="n">
        <v>2024</v>
      </c>
      <c r="B2025" s="4" t="n">
        <v>29073</v>
      </c>
      <c r="C2025" s="4" t="n">
        <v>1361</v>
      </c>
      <c r="D2025" s="4" t="n">
        <v>411.7025</v>
      </c>
      <c r="E2025" s="5" t="n">
        <v>70.59999999999999</v>
      </c>
      <c r="F2025" s="3" t="inlineStr">
        <is>
          <t>남이면</t>
        </is>
      </c>
      <c r="G2025" s="3" t="inlineStr">
        <is>
          <t>문동리</t>
        </is>
      </c>
      <c r="H2025" s="3" t="inlineStr">
        <is>
          <t>농림지역</t>
        </is>
      </c>
      <c r="I2025" s="3" t="inlineStr">
        <is>
          <t>답</t>
        </is>
      </c>
      <c r="J2025" s="3" t="inlineStr">
        <is>
          <t>남이면</t>
        </is>
      </c>
    </row>
    <row r="2026">
      <c r="A2026" s="3" t="n">
        <v>2024</v>
      </c>
      <c r="B2026" s="4" t="n">
        <v>7797</v>
      </c>
      <c r="C2026" s="4" t="n">
        <v>365</v>
      </c>
      <c r="D2026" s="4" t="n">
        <v>110.4125</v>
      </c>
      <c r="E2026" s="5" t="n">
        <v>70.59999999999999</v>
      </c>
      <c r="F2026" s="3" t="inlineStr">
        <is>
          <t>남이면</t>
        </is>
      </c>
      <c r="G2026" s="3" t="inlineStr">
        <is>
          <t>문동리</t>
        </is>
      </c>
      <c r="H2026" s="3" t="inlineStr">
        <is>
          <t>농림지역</t>
        </is>
      </c>
      <c r="I2026" s="3" t="inlineStr">
        <is>
          <t>답</t>
        </is>
      </c>
      <c r="J2026" s="3" t="inlineStr">
        <is>
          <t>남이면</t>
        </is>
      </c>
    </row>
    <row r="2027">
      <c r="A2027" s="3" t="n">
        <v>2024</v>
      </c>
      <c r="B2027" s="4" t="n">
        <v>4500</v>
      </c>
      <c r="C2027" s="4" t="n">
        <v>1785</v>
      </c>
      <c r="D2027" s="4" t="n">
        <v>539.9625</v>
      </c>
      <c r="E2027" s="5" t="n">
        <v>8.300000000000001</v>
      </c>
      <c r="F2027" s="3" t="inlineStr">
        <is>
          <t>남이면</t>
        </is>
      </c>
      <c r="G2027" s="3" t="inlineStr">
        <is>
          <t>석판리</t>
        </is>
      </c>
      <c r="H2027" s="3" t="inlineStr">
        <is>
          <t>보전녹지지역</t>
        </is>
      </c>
      <c r="I2027" s="3" t="inlineStr">
        <is>
          <t>임야</t>
        </is>
      </c>
      <c r="J2027" s="3" t="inlineStr">
        <is>
          <t>남이면</t>
        </is>
      </c>
    </row>
    <row r="2028">
      <c r="A2028" s="3" t="n">
        <v>2022</v>
      </c>
      <c r="B2028" s="4" t="n">
        <v>34814</v>
      </c>
      <c r="C2028" s="4" t="n">
        <v>879</v>
      </c>
      <c r="D2028" s="4" t="n">
        <v>265.8975</v>
      </c>
      <c r="E2028" s="5" t="n">
        <v>130.9</v>
      </c>
      <c r="F2028" s="3" t="inlineStr">
        <is>
          <t>남이면</t>
        </is>
      </c>
      <c r="G2028" s="3" t="inlineStr">
        <is>
          <t>석판리</t>
        </is>
      </c>
      <c r="H2028" s="3" t="inlineStr">
        <is>
          <t>자연녹지지역</t>
        </is>
      </c>
      <c r="I2028" s="3" t="inlineStr">
        <is>
          <t>전</t>
        </is>
      </c>
      <c r="J2028" s="3" t="inlineStr">
        <is>
          <t>남이면</t>
        </is>
      </c>
    </row>
    <row r="2029">
      <c r="A2029" s="3" t="n">
        <v>2022</v>
      </c>
      <c r="B2029" s="4" t="n">
        <v>186</v>
      </c>
      <c r="C2029" s="4" t="n">
        <v>43</v>
      </c>
      <c r="D2029" s="4" t="n">
        <v>13.0075</v>
      </c>
      <c r="E2029" s="5" t="n">
        <v>14.3</v>
      </c>
      <c r="F2029" s="3" t="inlineStr">
        <is>
          <t>남이면</t>
        </is>
      </c>
      <c r="G2029" s="3" t="inlineStr">
        <is>
          <t>석판리</t>
        </is>
      </c>
      <c r="H2029" s="3" t="inlineStr">
        <is>
          <t>자연녹지지역</t>
        </is>
      </c>
      <c r="I2029" s="3" t="inlineStr">
        <is>
          <t>도로</t>
        </is>
      </c>
      <c r="J2029" s="3" t="inlineStr">
        <is>
          <t>남이면</t>
        </is>
      </c>
    </row>
    <row r="2030">
      <c r="A2030" s="3" t="n">
        <v>2022</v>
      </c>
      <c r="B2030" s="4" t="n">
        <v>3450</v>
      </c>
      <c r="C2030" s="4" t="n">
        <v>992</v>
      </c>
      <c r="D2030" s="4" t="n">
        <v>300.08</v>
      </c>
      <c r="E2030" s="5" t="n">
        <v>11.5</v>
      </c>
      <c r="F2030" s="3" t="inlineStr">
        <is>
          <t>남이면</t>
        </is>
      </c>
      <c r="G2030" s="3" t="inlineStr">
        <is>
          <t>수대리</t>
        </is>
      </c>
      <c r="H2030" s="3" t="inlineStr">
        <is>
          <t>자연녹지지역</t>
        </is>
      </c>
      <c r="I2030" s="3" t="inlineStr">
        <is>
          <t>임야</t>
        </is>
      </c>
      <c r="J2030" s="3" t="inlineStr">
        <is>
          <t>남이면</t>
        </is>
      </c>
    </row>
    <row r="2031">
      <c r="A2031" s="3" t="n">
        <v>2022</v>
      </c>
      <c r="B2031" s="4" t="n">
        <v>50000</v>
      </c>
      <c r="C2031" s="4" t="n">
        <v>4460.8</v>
      </c>
      <c r="D2031" s="4" t="n">
        <v>1349.392</v>
      </c>
      <c r="E2031" s="5" t="n">
        <v>37.1</v>
      </c>
      <c r="F2031" s="3" t="inlineStr">
        <is>
          <t>남이면</t>
        </is>
      </c>
      <c r="G2031" s="3" t="inlineStr">
        <is>
          <t>비룡리</t>
        </is>
      </c>
      <c r="H2031" s="3" t="inlineStr">
        <is>
          <t>농림지역</t>
        </is>
      </c>
      <c r="I2031" s="3" t="inlineStr">
        <is>
          <t>답</t>
        </is>
      </c>
      <c r="J2031" s="3" t="inlineStr">
        <is>
          <t>남이면</t>
        </is>
      </c>
    </row>
    <row r="2032">
      <c r="A2032" s="3" t="n">
        <v>2022</v>
      </c>
      <c r="B2032" s="4" t="n">
        <v>70600</v>
      </c>
      <c r="C2032" s="4" t="n">
        <v>1656</v>
      </c>
      <c r="D2032" s="4" t="n">
        <v>500.94</v>
      </c>
      <c r="E2032" s="5" t="n">
        <v>140.9</v>
      </c>
      <c r="F2032" s="3" t="inlineStr">
        <is>
          <t>남이면</t>
        </is>
      </c>
      <c r="G2032" s="3" t="inlineStr">
        <is>
          <t>가마리</t>
        </is>
      </c>
      <c r="H2032" s="3" t="inlineStr">
        <is>
          <t>자연녹지지역</t>
        </is>
      </c>
      <c r="I2032" s="3" t="inlineStr">
        <is>
          <t>전</t>
        </is>
      </c>
      <c r="J2032" s="3" t="inlineStr">
        <is>
          <t>남이면</t>
        </is>
      </c>
    </row>
    <row r="2033">
      <c r="A2033" s="3" t="n">
        <v>2022</v>
      </c>
      <c r="B2033" s="4" t="n">
        <v>19960</v>
      </c>
      <c r="C2033" s="4" t="n">
        <v>467</v>
      </c>
      <c r="D2033" s="4" t="n">
        <v>141.2675</v>
      </c>
      <c r="E2033" s="5" t="n">
        <v>141.3</v>
      </c>
      <c r="F2033" s="3" t="inlineStr">
        <is>
          <t>남이면</t>
        </is>
      </c>
      <c r="G2033" s="3" t="inlineStr">
        <is>
          <t>가마리</t>
        </is>
      </c>
      <c r="H2033" s="3" t="inlineStr">
        <is>
          <t>자연녹지지역</t>
        </is>
      </c>
      <c r="I2033" s="3" t="inlineStr">
        <is>
          <t>전</t>
        </is>
      </c>
      <c r="J2033" s="3" t="inlineStr">
        <is>
          <t>남이면</t>
        </is>
      </c>
    </row>
    <row r="2034">
      <c r="A2034" s="3" t="n">
        <v>2022</v>
      </c>
      <c r="B2034" s="4" t="n">
        <v>16860</v>
      </c>
      <c r="C2034" s="4" t="n">
        <v>532</v>
      </c>
      <c r="D2034" s="4" t="n">
        <v>160.93</v>
      </c>
      <c r="E2034" s="5" t="n">
        <v>104.8</v>
      </c>
      <c r="F2034" s="3" t="inlineStr">
        <is>
          <t>남이면</t>
        </is>
      </c>
      <c r="G2034" s="3" t="inlineStr">
        <is>
          <t>팔봉리</t>
        </is>
      </c>
      <c r="H2034" s="3" t="inlineStr">
        <is>
          <t>자연녹지지역</t>
        </is>
      </c>
      <c r="I2034" s="3" t="inlineStr">
        <is>
          <t>전</t>
        </is>
      </c>
      <c r="J2034" s="3" t="inlineStr">
        <is>
          <t>남이면</t>
        </is>
      </c>
    </row>
    <row r="2035">
      <c r="A2035" s="3" t="n">
        <v>2022</v>
      </c>
      <c r="B2035" s="4" t="n">
        <v>21100</v>
      </c>
      <c r="C2035" s="4" t="n">
        <v>975</v>
      </c>
      <c r="D2035" s="4" t="n">
        <v>294.9375</v>
      </c>
      <c r="E2035" s="5" t="n">
        <v>71.5</v>
      </c>
      <c r="F2035" s="3" t="inlineStr">
        <is>
          <t>남이면</t>
        </is>
      </c>
      <c r="G2035" s="3" t="inlineStr">
        <is>
          <t>양촌리</t>
        </is>
      </c>
      <c r="H2035" s="3" t="inlineStr">
        <is>
          <t>자연녹지지역</t>
        </is>
      </c>
      <c r="I2035" s="3" t="inlineStr">
        <is>
          <t>대</t>
        </is>
      </c>
      <c r="J2035" s="3" t="inlineStr">
        <is>
          <t>남이면</t>
        </is>
      </c>
    </row>
    <row r="2036">
      <c r="A2036" s="3" t="n">
        <v>2022</v>
      </c>
      <c r="B2036" s="4" t="n">
        <v>4000</v>
      </c>
      <c r="C2036" s="4" t="n">
        <v>12397</v>
      </c>
      <c r="D2036" s="4" t="n">
        <v>3750.0925</v>
      </c>
      <c r="E2036" s="5" t="n">
        <v>1.1</v>
      </c>
      <c r="F2036" s="3" t="inlineStr">
        <is>
          <t>남이면</t>
        </is>
      </c>
      <c r="G2036" s="3" t="inlineStr">
        <is>
          <t>가좌리</t>
        </is>
      </c>
      <c r="H2036" s="3" t="inlineStr">
        <is>
          <t>보전녹지지역</t>
        </is>
      </c>
      <c r="I2036" s="3" t="inlineStr">
        <is>
          <t>임야</t>
        </is>
      </c>
      <c r="J2036" s="3" t="inlineStr">
        <is>
          <t>남이면</t>
        </is>
      </c>
    </row>
    <row r="2037">
      <c r="A2037" s="3" t="n">
        <v>2022</v>
      </c>
      <c r="B2037" s="4" t="n">
        <v>3100</v>
      </c>
      <c r="C2037" s="4" t="n">
        <v>68</v>
      </c>
      <c r="D2037" s="4" t="n">
        <v>20.57</v>
      </c>
      <c r="E2037" s="5" t="n">
        <v>150.7</v>
      </c>
      <c r="F2037" s="3" t="inlineStr">
        <is>
          <t>남이면</t>
        </is>
      </c>
      <c r="G2037" s="3" t="inlineStr">
        <is>
          <t>양촌리</t>
        </is>
      </c>
      <c r="H2037" s="3" t="inlineStr">
        <is>
          <t>자연녹지지역</t>
        </is>
      </c>
      <c r="I2037" s="3" t="inlineStr">
        <is>
          <t>전</t>
        </is>
      </c>
      <c r="J2037" s="3" t="inlineStr">
        <is>
          <t>남이면</t>
        </is>
      </c>
    </row>
    <row r="2038">
      <c r="A2038" s="3" t="n">
        <v>2022</v>
      </c>
      <c r="B2038" s="4" t="n">
        <v>82800</v>
      </c>
      <c r="C2038" s="4" t="n">
        <v>1825</v>
      </c>
      <c r="D2038" s="4" t="n">
        <v>552.0625</v>
      </c>
      <c r="E2038" s="5" t="n">
        <v>150</v>
      </c>
      <c r="F2038" s="3" t="inlineStr">
        <is>
          <t>남이면</t>
        </is>
      </c>
      <c r="G2038" s="3" t="inlineStr">
        <is>
          <t>양촌리</t>
        </is>
      </c>
      <c r="H2038" s="3" t="inlineStr">
        <is>
          <t>자연녹지지역</t>
        </is>
      </c>
      <c r="I2038" s="3" t="inlineStr">
        <is>
          <t>전</t>
        </is>
      </c>
      <c r="J2038" s="3" t="inlineStr">
        <is>
          <t>남이면</t>
        </is>
      </c>
    </row>
    <row r="2039">
      <c r="A2039" s="3" t="n">
        <v>2022</v>
      </c>
      <c r="B2039" s="4" t="n">
        <v>34700</v>
      </c>
      <c r="C2039" s="4" t="n">
        <v>765</v>
      </c>
      <c r="D2039" s="4" t="n">
        <v>231.4125</v>
      </c>
      <c r="E2039" s="5" t="n">
        <v>149.9</v>
      </c>
      <c r="F2039" s="3" t="inlineStr">
        <is>
          <t>남이면</t>
        </is>
      </c>
      <c r="G2039" s="3" t="inlineStr">
        <is>
          <t>양촌리</t>
        </is>
      </c>
      <c r="H2039" s="3" t="inlineStr">
        <is>
          <t>자연녹지지역</t>
        </is>
      </c>
      <c r="I2039" s="3" t="inlineStr">
        <is>
          <t>전</t>
        </is>
      </c>
      <c r="J2039" s="3" t="inlineStr">
        <is>
          <t>남이면</t>
        </is>
      </c>
    </row>
    <row r="2040">
      <c r="A2040" s="3" t="n">
        <v>2022</v>
      </c>
      <c r="B2040" s="4" t="n">
        <v>29400</v>
      </c>
      <c r="C2040" s="4" t="n">
        <v>649</v>
      </c>
      <c r="D2040" s="4" t="n">
        <v>196.3225</v>
      </c>
      <c r="E2040" s="5" t="n">
        <v>149.8</v>
      </c>
      <c r="F2040" s="3" t="inlineStr">
        <is>
          <t>남이면</t>
        </is>
      </c>
      <c r="G2040" s="3" t="inlineStr">
        <is>
          <t>양촌리</t>
        </is>
      </c>
      <c r="H2040" s="3" t="inlineStr">
        <is>
          <t>자연녹지지역</t>
        </is>
      </c>
      <c r="I2040" s="3" t="inlineStr">
        <is>
          <t>답</t>
        </is>
      </c>
      <c r="J2040" s="3" t="inlineStr">
        <is>
          <t>남이면</t>
        </is>
      </c>
    </row>
    <row r="2041">
      <c r="A2041" s="3" t="n">
        <v>2022</v>
      </c>
      <c r="B2041" s="4" t="n">
        <v>7800</v>
      </c>
      <c r="C2041" s="4" t="n">
        <v>882</v>
      </c>
      <c r="D2041" s="4" t="n">
        <v>266.805</v>
      </c>
      <c r="E2041" s="5" t="n">
        <v>29.2</v>
      </c>
      <c r="F2041" s="3" t="inlineStr">
        <is>
          <t>남이면</t>
        </is>
      </c>
      <c r="G2041" s="3" t="inlineStr">
        <is>
          <t>상발리</t>
        </is>
      </c>
      <c r="H2041" s="3" t="inlineStr">
        <is>
          <t>자연녹지지역</t>
        </is>
      </c>
      <c r="I2041" s="3" t="inlineStr">
        <is>
          <t>전</t>
        </is>
      </c>
      <c r="J2041" s="3" t="inlineStr">
        <is>
          <t>남이면</t>
        </is>
      </c>
    </row>
    <row r="2042">
      <c r="A2042" s="3" t="n">
        <v>2024</v>
      </c>
      <c r="B2042" s="4" t="n">
        <v>5000</v>
      </c>
      <c r="C2042" s="4" t="n">
        <v>1924</v>
      </c>
      <c r="D2042" s="4" t="n">
        <v>582.01</v>
      </c>
      <c r="E2042" s="5" t="n">
        <v>8.6</v>
      </c>
      <c r="F2042" s="3" t="inlineStr">
        <is>
          <t>부강면</t>
        </is>
      </c>
      <c r="G2042" s="3" t="inlineStr">
        <is>
          <t>행산리</t>
        </is>
      </c>
      <c r="H2042" s="3" t="inlineStr">
        <is>
          <t>계획관리지역</t>
        </is>
      </c>
      <c r="I2042" s="3" t="inlineStr">
        <is>
          <t>답</t>
        </is>
      </c>
      <c r="J2042" s="3" t="inlineStr">
        <is>
          <t>부강면</t>
        </is>
      </c>
    </row>
    <row r="2043">
      <c r="A2043" s="3" t="n">
        <v>2024</v>
      </c>
      <c r="B2043" s="4" t="n">
        <v>5614</v>
      </c>
      <c r="C2043" s="4" t="n">
        <v>54</v>
      </c>
      <c r="D2043" s="4" t="n">
        <v>16.335</v>
      </c>
      <c r="E2043" s="5" t="n">
        <v>343.7</v>
      </c>
      <c r="F2043" s="3" t="inlineStr">
        <is>
          <t>조치원읍</t>
        </is>
      </c>
      <c r="G2043" s="3" t="inlineStr">
        <is>
          <t>평리</t>
        </is>
      </c>
      <c r="H2043" s="3" t="inlineStr">
        <is>
          <t>제2종일반주거지역</t>
        </is>
      </c>
      <c r="I2043" s="3" t="inlineStr">
        <is>
          <t>대</t>
        </is>
      </c>
      <c r="J2043" s="3" t="inlineStr">
        <is>
          <t>조치원읍</t>
        </is>
      </c>
    </row>
    <row r="2044">
      <c r="A2044" s="3" t="n">
        <v>2024</v>
      </c>
      <c r="B2044" s="4" t="n">
        <v>25000</v>
      </c>
      <c r="C2044" s="4" t="n">
        <v>2202.8</v>
      </c>
      <c r="D2044" s="4" t="n">
        <v>666.347</v>
      </c>
      <c r="E2044" s="5" t="n">
        <v>37.5</v>
      </c>
      <c r="F2044" s="3" t="inlineStr">
        <is>
          <t>연동면</t>
        </is>
      </c>
      <c r="G2044" s="3" t="inlineStr">
        <is>
          <t>명학리</t>
        </is>
      </c>
      <c r="H2044" s="3" t="inlineStr">
        <is>
          <t>농림지역</t>
        </is>
      </c>
      <c r="I2044" s="3" t="inlineStr">
        <is>
          <t>답</t>
        </is>
      </c>
      <c r="J2044" s="3" t="inlineStr">
        <is>
          <t>연동면</t>
        </is>
      </c>
    </row>
    <row r="2045">
      <c r="A2045" s="3" t="n">
        <v>2024</v>
      </c>
      <c r="B2045" s="4" t="n">
        <v>182000</v>
      </c>
      <c r="C2045" s="4" t="n">
        <v>1041</v>
      </c>
      <c r="D2045" s="4" t="n">
        <v>314.9025</v>
      </c>
      <c r="E2045" s="5" t="n">
        <v>578</v>
      </c>
      <c r="F2045" s="3" t="inlineStr">
        <is>
          <t>연동면</t>
        </is>
      </c>
      <c r="G2045" s="3" t="inlineStr">
        <is>
          <t>내판리</t>
        </is>
      </c>
      <c r="H2045" s="3" t="inlineStr">
        <is>
          <t>계획관리지역</t>
        </is>
      </c>
      <c r="I2045" s="3" t="inlineStr">
        <is>
          <t>잡종지</t>
        </is>
      </c>
      <c r="J2045" s="3" t="inlineStr">
        <is>
          <t>연동면</t>
        </is>
      </c>
    </row>
    <row r="2046">
      <c r="A2046" s="3" t="n">
        <v>2024</v>
      </c>
      <c r="B2046" s="4" t="n">
        <v>13000</v>
      </c>
      <c r="C2046" s="4" t="n">
        <v>294</v>
      </c>
      <c r="D2046" s="4" t="n">
        <v>88.935</v>
      </c>
      <c r="E2046" s="5" t="n">
        <v>146.2</v>
      </c>
      <c r="F2046" s="3" t="inlineStr">
        <is>
          <t>조치원읍</t>
        </is>
      </c>
      <c r="G2046" s="3" t="inlineStr">
        <is>
          <t>서창리</t>
        </is>
      </c>
      <c r="H2046" s="3" t="inlineStr">
        <is>
          <t>제1종일반주거지역</t>
        </is>
      </c>
      <c r="I2046" s="3" t="inlineStr">
        <is>
          <t>대</t>
        </is>
      </c>
      <c r="J2046" s="3" t="inlineStr">
        <is>
          <t>조치원읍</t>
        </is>
      </c>
    </row>
    <row r="2047">
      <c r="A2047" s="3" t="n">
        <v>2023</v>
      </c>
      <c r="B2047" s="4" t="n">
        <v>6500</v>
      </c>
      <c r="C2047" s="4" t="n">
        <v>1021</v>
      </c>
      <c r="D2047" s="4" t="n">
        <v>308.8525</v>
      </c>
      <c r="E2047" s="5" t="n">
        <v>21</v>
      </c>
      <c r="F2047" s="3" t="inlineStr">
        <is>
          <t>부강면</t>
        </is>
      </c>
      <c r="G2047" s="3" t="inlineStr">
        <is>
          <t>문곡리</t>
        </is>
      </c>
      <c r="H2047" s="3" t="inlineStr">
        <is>
          <t>생산관리지역</t>
        </is>
      </c>
      <c r="I2047" s="3" t="inlineStr">
        <is>
          <t>전</t>
        </is>
      </c>
      <c r="J2047" s="3" t="inlineStr">
        <is>
          <t>부강면</t>
        </is>
      </c>
    </row>
    <row r="2048">
      <c r="A2048" s="3" t="n">
        <v>2023</v>
      </c>
      <c r="B2048" s="4" t="n">
        <v>7000</v>
      </c>
      <c r="C2048" s="4" t="n">
        <v>1088</v>
      </c>
      <c r="D2048" s="4" t="n">
        <v>329.12</v>
      </c>
      <c r="E2048" s="5" t="n">
        <v>21.3</v>
      </c>
      <c r="F2048" s="3" t="inlineStr">
        <is>
          <t>부강면</t>
        </is>
      </c>
      <c r="G2048" s="3" t="inlineStr">
        <is>
          <t>문곡리</t>
        </is>
      </c>
      <c r="H2048" s="3" t="inlineStr">
        <is>
          <t>생산관리지역</t>
        </is>
      </c>
      <c r="I2048" s="3" t="inlineStr">
        <is>
          <t>전</t>
        </is>
      </c>
      <c r="J2048" s="3" t="inlineStr">
        <is>
          <t>부강면</t>
        </is>
      </c>
    </row>
    <row r="2049">
      <c r="A2049" s="3" t="n">
        <v>2023</v>
      </c>
      <c r="B2049" s="4" t="n">
        <v>40800</v>
      </c>
      <c r="C2049" s="4" t="n">
        <v>3375.2</v>
      </c>
      <c r="D2049" s="4" t="n">
        <v>1020.998</v>
      </c>
      <c r="E2049" s="5" t="n">
        <v>40</v>
      </c>
      <c r="F2049" s="3" t="inlineStr">
        <is>
          <t>연서면</t>
        </is>
      </c>
      <c r="G2049" s="3" t="inlineStr">
        <is>
          <t>월하리</t>
        </is>
      </c>
      <c r="H2049" s="3" t="inlineStr">
        <is>
          <t>농림지역</t>
        </is>
      </c>
      <c r="I2049" s="3" t="inlineStr">
        <is>
          <t>답</t>
        </is>
      </c>
      <c r="J2049" s="3" t="inlineStr">
        <is>
          <t>연서면</t>
        </is>
      </c>
    </row>
    <row r="2050">
      <c r="A2050" s="3" t="n">
        <v>2023</v>
      </c>
      <c r="B2050" s="4" t="n">
        <v>1050</v>
      </c>
      <c r="C2050" s="4" t="n">
        <v>54</v>
      </c>
      <c r="D2050" s="4" t="n">
        <v>16.335</v>
      </c>
      <c r="E2050" s="5" t="n">
        <v>64.3</v>
      </c>
      <c r="F2050" s="3" t="inlineStr">
        <is>
          <t>연서면</t>
        </is>
      </c>
      <c r="G2050" s="3" t="inlineStr">
        <is>
          <t>쌍류리</t>
        </is>
      </c>
      <c r="H2050" s="3" t="inlineStr">
        <is>
          <t>생산관리지역</t>
        </is>
      </c>
      <c r="I2050" s="3" t="inlineStr">
        <is>
          <t>임야</t>
        </is>
      </c>
      <c r="J2050" s="3" t="inlineStr">
        <is>
          <t>연서면</t>
        </is>
      </c>
    </row>
    <row r="2051">
      <c r="A2051" s="3" t="n">
        <v>2022</v>
      </c>
      <c r="B2051" s="4" t="n">
        <v>2000</v>
      </c>
      <c r="C2051" s="4" t="n">
        <v>233</v>
      </c>
      <c r="D2051" s="4" t="n">
        <v>70.4825</v>
      </c>
      <c r="E2051" s="5" t="n">
        <v>28.4</v>
      </c>
      <c r="F2051" s="3" t="inlineStr">
        <is>
          <t>부강면</t>
        </is>
      </c>
      <c r="G2051" s="3" t="inlineStr">
        <is>
          <t>노호리</t>
        </is>
      </c>
      <c r="H2051" s="3" t="inlineStr">
        <is>
          <t>계획관리지역</t>
        </is>
      </c>
      <c r="I2051" s="3" t="inlineStr">
        <is>
          <t>임야</t>
        </is>
      </c>
      <c r="J2051" s="3" t="inlineStr">
        <is>
          <t>부강면</t>
        </is>
      </c>
    </row>
    <row r="2052">
      <c r="A2052" s="3" t="n">
        <v>2022</v>
      </c>
      <c r="B2052" s="4" t="n">
        <v>90000</v>
      </c>
      <c r="C2052" s="4" t="n">
        <v>660</v>
      </c>
      <c r="D2052" s="4" t="n">
        <v>199.65</v>
      </c>
      <c r="E2052" s="5" t="n">
        <v>450.8</v>
      </c>
      <c r="F2052" s="3" t="inlineStr">
        <is>
          <t>부강면</t>
        </is>
      </c>
      <c r="G2052" s="3" t="inlineStr">
        <is>
          <t>금호리</t>
        </is>
      </c>
      <c r="H2052" s="3" t="inlineStr">
        <is>
          <t>계획관리지역</t>
        </is>
      </c>
      <c r="I2052" s="3" t="inlineStr">
        <is>
          <t>전</t>
        </is>
      </c>
      <c r="J2052" s="3" t="inlineStr">
        <is>
          <t>부강면</t>
        </is>
      </c>
    </row>
    <row r="2053">
      <c r="A2053" s="3" t="n">
        <v>2022</v>
      </c>
      <c r="B2053" s="4" t="n">
        <v>1656</v>
      </c>
      <c r="C2053" s="4" t="n">
        <v>81</v>
      </c>
      <c r="D2053" s="4" t="n">
        <v>24.5025</v>
      </c>
      <c r="E2053" s="5" t="n">
        <v>67.59999999999999</v>
      </c>
      <c r="F2053" s="3" t="inlineStr">
        <is>
          <t>연서면</t>
        </is>
      </c>
      <c r="G2053" s="3" t="inlineStr">
        <is>
          <t>월하리</t>
        </is>
      </c>
      <c r="H2053" s="3" t="inlineStr">
        <is>
          <t>자연녹지지역</t>
        </is>
      </c>
      <c r="I2053" s="3" t="inlineStr">
        <is>
          <t>임야</t>
        </is>
      </c>
      <c r="J2053" s="3" t="inlineStr">
        <is>
          <t>연서면</t>
        </is>
      </c>
    </row>
    <row r="2054">
      <c r="A2054" s="3" t="n">
        <v>2022</v>
      </c>
      <c r="B2054" s="4" t="n">
        <v>6500</v>
      </c>
      <c r="C2054" s="4" t="n">
        <v>288</v>
      </c>
      <c r="D2054" s="4" t="n">
        <v>87.12</v>
      </c>
      <c r="E2054" s="5" t="n">
        <v>74.59999999999999</v>
      </c>
      <c r="F2054" s="3" t="inlineStr">
        <is>
          <t>연서면</t>
        </is>
      </c>
      <c r="G2054" s="3" t="inlineStr">
        <is>
          <t>와촌리</t>
        </is>
      </c>
      <c r="H2054" s="3" t="inlineStr">
        <is>
          <t>계획관리지역</t>
        </is>
      </c>
      <c r="I2054" s="3" t="inlineStr">
        <is>
          <t>전</t>
        </is>
      </c>
      <c r="J2054" s="3" t="inlineStr">
        <is>
          <t>연서면</t>
        </is>
      </c>
    </row>
    <row r="2055">
      <c r="A2055" s="3" t="n">
        <v>2022</v>
      </c>
      <c r="B2055" s="4" t="n">
        <v>47500</v>
      </c>
      <c r="C2055" s="4" t="n">
        <v>2833</v>
      </c>
      <c r="D2055" s="4" t="n">
        <v>856.9825</v>
      </c>
      <c r="E2055" s="5" t="n">
        <v>55.4</v>
      </c>
      <c r="F2055" s="3" t="inlineStr">
        <is>
          <t>연서면</t>
        </is>
      </c>
      <c r="G2055" s="3" t="inlineStr">
        <is>
          <t>청라리</t>
        </is>
      </c>
      <c r="H2055" s="3" t="inlineStr">
        <is>
          <t>생산관리지역</t>
        </is>
      </c>
      <c r="I2055" s="3" t="inlineStr">
        <is>
          <t>답</t>
        </is>
      </c>
      <c r="J2055" s="3" t="inlineStr">
        <is>
          <t>연서면</t>
        </is>
      </c>
    </row>
    <row r="2056">
      <c r="A2056" s="3" t="n">
        <v>2022</v>
      </c>
      <c r="B2056" s="4" t="n">
        <v>196000</v>
      </c>
      <c r="C2056" s="4" t="n">
        <v>1674</v>
      </c>
      <c r="D2056" s="4" t="n">
        <v>506.385</v>
      </c>
      <c r="E2056" s="5" t="n">
        <v>387.1</v>
      </c>
      <c r="F2056" s="3" t="inlineStr">
        <is>
          <t>부강면</t>
        </is>
      </c>
      <c r="G2056" s="3" t="inlineStr">
        <is>
          <t>부강리</t>
        </is>
      </c>
      <c r="H2056" s="3" t="inlineStr">
        <is>
          <t>생산녹지지역</t>
        </is>
      </c>
      <c r="I2056" s="3" t="inlineStr">
        <is>
          <t>대</t>
        </is>
      </c>
      <c r="J2056" s="3" t="inlineStr">
        <is>
          <t>부강면</t>
        </is>
      </c>
    </row>
    <row r="2057">
      <c r="A2057" s="3" t="n">
        <v>2022</v>
      </c>
      <c r="B2057" s="4" t="n">
        <v>103700</v>
      </c>
      <c r="C2057" s="4" t="n">
        <v>1550</v>
      </c>
      <c r="D2057" s="4" t="n">
        <v>468.875</v>
      </c>
      <c r="E2057" s="5" t="n">
        <v>221.2</v>
      </c>
      <c r="F2057" s="3" t="inlineStr">
        <is>
          <t>부강면</t>
        </is>
      </c>
      <c r="G2057" s="3" t="inlineStr">
        <is>
          <t>부강리</t>
        </is>
      </c>
      <c r="H2057" s="3" t="inlineStr">
        <is>
          <t>생산녹지지역</t>
        </is>
      </c>
      <c r="I2057" s="3" t="inlineStr">
        <is>
          <t>대</t>
        </is>
      </c>
      <c r="J2057" s="3" t="inlineStr">
        <is>
          <t>부강면</t>
        </is>
      </c>
    </row>
    <row r="2058">
      <c r="A2058" s="3" t="n">
        <v>2022</v>
      </c>
      <c r="B2058" s="4" t="n">
        <v>71000</v>
      </c>
      <c r="C2058" s="4" t="n">
        <v>285.9</v>
      </c>
      <c r="D2058" s="4" t="n">
        <v>86.48474999999999</v>
      </c>
      <c r="E2058" s="5" t="n">
        <v>821</v>
      </c>
      <c r="F2058" s="3" t="inlineStr">
        <is>
          <t>아름동</t>
        </is>
      </c>
      <c r="G2058" s="3" t="inlineStr"/>
      <c r="H2058" s="3" t="inlineStr">
        <is>
          <t>제1종전용주거지역</t>
        </is>
      </c>
      <c r="I2058" s="3" t="inlineStr">
        <is>
          <t>대</t>
        </is>
      </c>
      <c r="J2058" s="3" t="inlineStr">
        <is>
          <t>아름동</t>
        </is>
      </c>
    </row>
    <row r="2059">
      <c r="A2059" s="3" t="n">
        <v>2022</v>
      </c>
      <c r="B2059" s="4" t="n">
        <v>25000</v>
      </c>
      <c r="C2059" s="4" t="n">
        <v>631</v>
      </c>
      <c r="D2059" s="4" t="n">
        <v>190.8775</v>
      </c>
      <c r="E2059" s="5" t="n">
        <v>131</v>
      </c>
      <c r="F2059" s="3" t="inlineStr">
        <is>
          <t>연서면</t>
        </is>
      </c>
      <c r="G2059" s="3" t="inlineStr">
        <is>
          <t>기룡리</t>
        </is>
      </c>
      <c r="H2059" s="3" t="inlineStr">
        <is>
          <t>계획관리지역</t>
        </is>
      </c>
      <c r="I2059" s="3" t="inlineStr">
        <is>
          <t>대</t>
        </is>
      </c>
      <c r="J2059" s="3" t="inlineStr">
        <is>
          <t>연서면</t>
        </is>
      </c>
    </row>
    <row r="2060">
      <c r="A2060" s="3" t="n">
        <v>2022</v>
      </c>
      <c r="B2060" s="4" t="n">
        <v>211400</v>
      </c>
      <c r="C2060" s="4" t="n">
        <v>2410</v>
      </c>
      <c r="D2060" s="4" t="n">
        <v>729.025</v>
      </c>
      <c r="E2060" s="5" t="n">
        <v>290</v>
      </c>
      <c r="F2060" s="3" t="inlineStr">
        <is>
          <t>연동면</t>
        </is>
      </c>
      <c r="G2060" s="3" t="inlineStr">
        <is>
          <t>문주리</t>
        </is>
      </c>
      <c r="H2060" s="3" t="inlineStr">
        <is>
          <t>계획관리지역</t>
        </is>
      </c>
      <c r="I2060" s="3" t="inlineStr">
        <is>
          <t>답</t>
        </is>
      </c>
      <c r="J2060" s="3" t="inlineStr">
        <is>
          <t>연동면</t>
        </is>
      </c>
    </row>
    <row r="2061">
      <c r="A2061" s="3" t="n">
        <v>2022</v>
      </c>
      <c r="B2061" s="4" t="n">
        <v>39000</v>
      </c>
      <c r="C2061" s="4" t="n">
        <v>1078</v>
      </c>
      <c r="D2061" s="4" t="n">
        <v>326.095</v>
      </c>
      <c r="E2061" s="5" t="n">
        <v>119.6</v>
      </c>
      <c r="F2061" s="3" t="inlineStr">
        <is>
          <t>부강면</t>
        </is>
      </c>
      <c r="G2061" s="3" t="inlineStr">
        <is>
          <t>문곡리</t>
        </is>
      </c>
      <c r="H2061" s="3" t="inlineStr">
        <is>
          <t>계획관리지역</t>
        </is>
      </c>
      <c r="I2061" s="3" t="inlineStr">
        <is>
          <t>전</t>
        </is>
      </c>
      <c r="J2061" s="3" t="inlineStr">
        <is>
          <t>부강면</t>
        </is>
      </c>
    </row>
    <row r="2062">
      <c r="A2062" s="3" t="n">
        <v>2022</v>
      </c>
      <c r="B2062" s="4" t="n">
        <v>35000</v>
      </c>
      <c r="C2062" s="4" t="n">
        <v>973</v>
      </c>
      <c r="D2062" s="4" t="n">
        <v>294.3325</v>
      </c>
      <c r="E2062" s="5" t="n">
        <v>118.9</v>
      </c>
      <c r="F2062" s="3" t="inlineStr">
        <is>
          <t>부강면</t>
        </is>
      </c>
      <c r="G2062" s="3" t="inlineStr">
        <is>
          <t>문곡리</t>
        </is>
      </c>
      <c r="H2062" s="3" t="inlineStr">
        <is>
          <t>계획관리지역</t>
        </is>
      </c>
      <c r="I2062" s="3" t="inlineStr">
        <is>
          <t>답</t>
        </is>
      </c>
      <c r="J2062" s="3" t="inlineStr">
        <is>
          <t>부강면</t>
        </is>
      </c>
    </row>
    <row r="2063">
      <c r="A2063" s="3" t="n">
        <v>2022</v>
      </c>
      <c r="B2063" s="4" t="n">
        <v>6000</v>
      </c>
      <c r="C2063" s="4" t="n">
        <v>171</v>
      </c>
      <c r="D2063" s="4" t="n">
        <v>51.7275</v>
      </c>
      <c r="E2063" s="5" t="n">
        <v>116</v>
      </c>
      <c r="F2063" s="3" t="inlineStr">
        <is>
          <t>부강면</t>
        </is>
      </c>
      <c r="G2063" s="3" t="inlineStr">
        <is>
          <t>문곡리</t>
        </is>
      </c>
      <c r="H2063" s="3" t="inlineStr">
        <is>
          <t>계획관리지역</t>
        </is>
      </c>
      <c r="I2063" s="3" t="inlineStr">
        <is>
          <t>도로</t>
        </is>
      </c>
      <c r="J2063" s="3" t="inlineStr">
        <is>
          <t>부강면</t>
        </is>
      </c>
    </row>
    <row r="2064">
      <c r="A2064" s="3" t="n">
        <v>2022</v>
      </c>
      <c r="B2064" s="4" t="n">
        <v>96500</v>
      </c>
      <c r="C2064" s="4" t="n">
        <v>427</v>
      </c>
      <c r="D2064" s="4" t="n">
        <v>129.1675</v>
      </c>
      <c r="E2064" s="5" t="n">
        <v>747.1</v>
      </c>
      <c r="F2064" s="3" t="inlineStr">
        <is>
          <t>조치원읍</t>
        </is>
      </c>
      <c r="G2064" s="3" t="inlineStr">
        <is>
          <t>상리</t>
        </is>
      </c>
      <c r="H2064" s="3" t="inlineStr">
        <is>
          <t>일반상업지역</t>
        </is>
      </c>
      <c r="I2064" s="3" t="inlineStr">
        <is>
          <t>대</t>
        </is>
      </c>
      <c r="J2064" s="3" t="inlineStr">
        <is>
          <t>조치원읍</t>
        </is>
      </c>
    </row>
    <row r="2065">
      <c r="A2065" s="3" t="n">
        <v>2022</v>
      </c>
      <c r="B2065" s="4" t="n">
        <v>142000</v>
      </c>
      <c r="C2065" s="4" t="n">
        <v>1423</v>
      </c>
      <c r="D2065" s="4" t="n">
        <v>430.4575</v>
      </c>
      <c r="E2065" s="5" t="n">
        <v>329.9</v>
      </c>
      <c r="F2065" s="3" t="inlineStr">
        <is>
          <t>부강면</t>
        </is>
      </c>
      <c r="G2065" s="3" t="inlineStr">
        <is>
          <t>부강리</t>
        </is>
      </c>
      <c r="H2065" s="3" t="inlineStr">
        <is>
          <t>계획관리지역</t>
        </is>
      </c>
      <c r="I2065" s="3" t="inlineStr">
        <is>
          <t>공장용지</t>
        </is>
      </c>
      <c r="J2065" s="3" t="inlineStr">
        <is>
          <t>부강면</t>
        </is>
      </c>
    </row>
    <row r="2066">
      <c r="A2066" s="3" t="n">
        <v>2022</v>
      </c>
      <c r="B2066" s="4" t="n">
        <v>56000</v>
      </c>
      <c r="C2066" s="4" t="n">
        <v>2106</v>
      </c>
      <c r="D2066" s="4" t="n">
        <v>637.0649999999999</v>
      </c>
      <c r="E2066" s="5" t="n">
        <v>87.90000000000001</v>
      </c>
      <c r="F2066" s="3" t="inlineStr">
        <is>
          <t>연서면</t>
        </is>
      </c>
      <c r="G2066" s="3" t="inlineStr">
        <is>
          <t>용암리</t>
        </is>
      </c>
      <c r="H2066" s="3" t="inlineStr">
        <is>
          <t>농림지역</t>
        </is>
      </c>
      <c r="I2066" s="3" t="inlineStr">
        <is>
          <t>과수원</t>
        </is>
      </c>
      <c r="J2066" s="3" t="inlineStr">
        <is>
          <t>연서면</t>
        </is>
      </c>
    </row>
    <row r="2067">
      <c r="A2067" s="3" t="n">
        <v>2022</v>
      </c>
      <c r="B2067" s="4" t="n">
        <v>71000</v>
      </c>
      <c r="C2067" s="4" t="n">
        <v>285.9</v>
      </c>
      <c r="D2067" s="4" t="n">
        <v>86.48474999999999</v>
      </c>
      <c r="E2067" s="5" t="n">
        <v>821</v>
      </c>
      <c r="F2067" s="3" t="inlineStr">
        <is>
          <t>아름동</t>
        </is>
      </c>
      <c r="G2067" s="3" t="inlineStr"/>
      <c r="H2067" s="3" t="inlineStr">
        <is>
          <t>제1종전용주거지역</t>
        </is>
      </c>
      <c r="I2067" s="3" t="inlineStr">
        <is>
          <t>대</t>
        </is>
      </c>
      <c r="J2067" s="3" t="inlineStr">
        <is>
          <t>아름동</t>
        </is>
      </c>
    </row>
    <row r="2068">
      <c r="A2068" s="3" t="n">
        <v>2023</v>
      </c>
      <c r="B2068" s="4" t="n">
        <v>812</v>
      </c>
      <c r="C2068" s="4" t="n">
        <v>27</v>
      </c>
      <c r="D2068" s="4" t="n">
        <v>8.1675</v>
      </c>
      <c r="E2068" s="5" t="n">
        <v>99.40000000000001</v>
      </c>
      <c r="F2068" s="3" t="inlineStr">
        <is>
          <t>강내면</t>
        </is>
      </c>
      <c r="G2068" s="3" t="inlineStr">
        <is>
          <t>태성리</t>
        </is>
      </c>
      <c r="H2068" s="3" t="inlineStr">
        <is>
          <t>계획관리지역</t>
        </is>
      </c>
      <c r="I2068" s="3" t="inlineStr">
        <is>
          <t>공장용지</t>
        </is>
      </c>
      <c r="J2068" s="3" t="inlineStr">
        <is>
          <t>강내면</t>
        </is>
      </c>
    </row>
    <row r="2069">
      <c r="A2069" s="3" t="n">
        <v>2023</v>
      </c>
      <c r="B2069" s="4" t="n">
        <v>23900</v>
      </c>
      <c r="C2069" s="4" t="n">
        <v>495</v>
      </c>
      <c r="D2069" s="4" t="n">
        <v>149.7375</v>
      </c>
      <c r="E2069" s="5" t="n">
        <v>159.6</v>
      </c>
      <c r="F2069" s="3" t="inlineStr">
        <is>
          <t>오송읍</t>
        </is>
      </c>
      <c r="G2069" s="3" t="inlineStr">
        <is>
          <t>정중리</t>
        </is>
      </c>
      <c r="H2069" s="3" t="inlineStr">
        <is>
          <t>생산관리지역</t>
        </is>
      </c>
      <c r="I2069" s="3" t="inlineStr">
        <is>
          <t>답</t>
        </is>
      </c>
      <c r="J2069" s="3" t="inlineStr">
        <is>
          <t>오송읍</t>
        </is>
      </c>
    </row>
    <row r="2070">
      <c r="A2070" s="3" t="n">
        <v>2023</v>
      </c>
      <c r="B2070" s="4" t="n">
        <v>142000</v>
      </c>
      <c r="C2070" s="4" t="n">
        <v>548.8</v>
      </c>
      <c r="D2070" s="4" t="n">
        <v>166.012</v>
      </c>
      <c r="E2070" s="5" t="n">
        <v>855.4</v>
      </c>
      <c r="F2070" s="3" t="inlineStr">
        <is>
          <t>오송읍</t>
        </is>
      </c>
      <c r="G2070" s="3" t="inlineStr">
        <is>
          <t>정중리</t>
        </is>
      </c>
      <c r="H2070" s="3" t="inlineStr">
        <is>
          <t>준공업지역</t>
        </is>
      </c>
      <c r="I2070" s="3" t="inlineStr">
        <is>
          <t>대</t>
        </is>
      </c>
      <c r="J2070" s="3" t="inlineStr">
        <is>
          <t>오송읍</t>
        </is>
      </c>
    </row>
    <row r="2071">
      <c r="A2071" s="3" t="n">
        <v>2023</v>
      </c>
      <c r="B2071" s="4" t="n">
        <v>190000</v>
      </c>
      <c r="C2071" s="4" t="n">
        <v>17005</v>
      </c>
      <c r="D2071" s="4" t="n">
        <v>5144.0125</v>
      </c>
      <c r="E2071" s="5" t="n">
        <v>36.9</v>
      </c>
      <c r="F2071" s="3" t="inlineStr">
        <is>
          <t>강내면</t>
        </is>
      </c>
      <c r="G2071" s="3" t="inlineStr">
        <is>
          <t>황탄리</t>
        </is>
      </c>
      <c r="H2071" s="3" t="inlineStr">
        <is>
          <t>보전관리지역</t>
        </is>
      </c>
      <c r="I2071" s="3" t="inlineStr">
        <is>
          <t>임야</t>
        </is>
      </c>
      <c r="J2071" s="3" t="inlineStr">
        <is>
          <t>강내면</t>
        </is>
      </c>
    </row>
    <row r="2072">
      <c r="A2072" s="3" t="n">
        <v>2023</v>
      </c>
      <c r="B2072" s="4" t="n">
        <v>154684</v>
      </c>
      <c r="C2072" s="4" t="n">
        <v>6648.4</v>
      </c>
      <c r="D2072" s="4" t="n">
        <v>2011.141</v>
      </c>
      <c r="E2072" s="5" t="n">
        <v>76.90000000000001</v>
      </c>
      <c r="F2072" s="3" t="inlineStr">
        <is>
          <t>오송읍</t>
        </is>
      </c>
      <c r="G2072" s="3" t="inlineStr">
        <is>
          <t>연제리</t>
        </is>
      </c>
      <c r="H2072" s="3" t="inlineStr">
        <is>
          <t>준공업지역</t>
        </is>
      </c>
      <c r="I2072" s="3" t="inlineStr">
        <is>
          <t>대</t>
        </is>
      </c>
      <c r="J2072" s="3" t="inlineStr">
        <is>
          <t>오송읍</t>
        </is>
      </c>
    </row>
    <row r="2073">
      <c r="A2073" s="3" t="n">
        <v>2023</v>
      </c>
      <c r="B2073" s="4" t="n">
        <v>145000</v>
      </c>
      <c r="C2073" s="4" t="n">
        <v>3577</v>
      </c>
      <c r="D2073" s="4" t="n">
        <v>1082.0425</v>
      </c>
      <c r="E2073" s="5" t="n">
        <v>134</v>
      </c>
      <c r="F2073" s="3" t="inlineStr">
        <is>
          <t>강내면</t>
        </is>
      </c>
      <c r="G2073" s="3" t="inlineStr">
        <is>
          <t>태성리</t>
        </is>
      </c>
      <c r="H2073" s="3" t="inlineStr">
        <is>
          <t>계획관리지역</t>
        </is>
      </c>
      <c r="I2073" s="3" t="inlineStr">
        <is>
          <t>답</t>
        </is>
      </c>
      <c r="J2073" s="3" t="inlineStr">
        <is>
          <t>강내면</t>
        </is>
      </c>
    </row>
    <row r="2074">
      <c r="A2074" s="3" t="n">
        <v>2023</v>
      </c>
      <c r="B2074" s="4" t="n">
        <v>190</v>
      </c>
      <c r="C2074" s="4" t="n">
        <v>6</v>
      </c>
      <c r="D2074" s="4" t="n">
        <v>1.815</v>
      </c>
      <c r="E2074" s="5" t="n">
        <v>104.7</v>
      </c>
      <c r="F2074" s="3" t="inlineStr">
        <is>
          <t>강내면</t>
        </is>
      </c>
      <c r="G2074" s="3" t="inlineStr">
        <is>
          <t>저산리</t>
        </is>
      </c>
      <c r="H2074" s="3" t="inlineStr">
        <is>
          <t>계획관리지역</t>
        </is>
      </c>
      <c r="I2074" s="3" t="inlineStr">
        <is>
          <t>대</t>
        </is>
      </c>
      <c r="J2074" s="3" t="inlineStr">
        <is>
          <t>강내면</t>
        </is>
      </c>
    </row>
    <row r="2075">
      <c r="A2075" s="3" t="n">
        <v>2023</v>
      </c>
      <c r="B2075" s="4" t="n">
        <v>23702</v>
      </c>
      <c r="C2075" s="4" t="n">
        <v>241</v>
      </c>
      <c r="D2075" s="4" t="n">
        <v>72.9025</v>
      </c>
      <c r="E2075" s="5" t="n">
        <v>325.1</v>
      </c>
      <c r="F2075" s="3" t="inlineStr">
        <is>
          <t>오송읍</t>
        </is>
      </c>
      <c r="G2075" s="3" t="inlineStr">
        <is>
          <t>정중리</t>
        </is>
      </c>
      <c r="H2075" s="3" t="inlineStr">
        <is>
          <t>계획관리지역</t>
        </is>
      </c>
      <c r="I2075" s="3" t="inlineStr">
        <is>
          <t>전</t>
        </is>
      </c>
      <c r="J2075" s="3" t="inlineStr">
        <is>
          <t>오송읍</t>
        </is>
      </c>
    </row>
    <row r="2076">
      <c r="A2076" s="3" t="n">
        <v>2023</v>
      </c>
      <c r="B2076" s="4" t="n">
        <v>9535</v>
      </c>
      <c r="C2076" s="4" t="n">
        <v>97</v>
      </c>
      <c r="D2076" s="4" t="n">
        <v>29.3425</v>
      </c>
      <c r="E2076" s="5" t="n">
        <v>325</v>
      </c>
      <c r="F2076" s="3" t="inlineStr">
        <is>
          <t>오송읍</t>
        </is>
      </c>
      <c r="G2076" s="3" t="inlineStr">
        <is>
          <t>정중리</t>
        </is>
      </c>
      <c r="H2076" s="3" t="inlineStr">
        <is>
          <t>계획관리지역</t>
        </is>
      </c>
      <c r="I2076" s="3" t="inlineStr">
        <is>
          <t>대</t>
        </is>
      </c>
      <c r="J2076" s="3" t="inlineStr">
        <is>
          <t>오송읍</t>
        </is>
      </c>
    </row>
    <row r="2077">
      <c r="A2077" s="3" t="n">
        <v>2024</v>
      </c>
      <c r="B2077" s="4" t="n">
        <v>42800</v>
      </c>
      <c r="C2077" s="4" t="n">
        <v>1418</v>
      </c>
      <c r="D2077" s="4" t="n">
        <v>428.945</v>
      </c>
      <c r="E2077" s="5" t="n">
        <v>99.8</v>
      </c>
      <c r="F2077" s="3" t="inlineStr">
        <is>
          <t>부강면</t>
        </is>
      </c>
      <c r="G2077" s="3" t="inlineStr">
        <is>
          <t>금호리</t>
        </is>
      </c>
      <c r="H2077" s="3" t="inlineStr">
        <is>
          <t>보전관리지역</t>
        </is>
      </c>
      <c r="I2077" s="3" t="inlineStr">
        <is>
          <t>전</t>
        </is>
      </c>
      <c r="J2077" s="3" t="inlineStr">
        <is>
          <t>부강면</t>
        </is>
      </c>
    </row>
    <row r="2078">
      <c r="A2078" s="3" t="n">
        <v>2024</v>
      </c>
      <c r="B2078" s="4" t="n">
        <v>6200</v>
      </c>
      <c r="C2078" s="4" t="n">
        <v>205</v>
      </c>
      <c r="D2078" s="4" t="n">
        <v>62.0125</v>
      </c>
      <c r="E2078" s="5" t="n">
        <v>100</v>
      </c>
      <c r="F2078" s="3" t="inlineStr">
        <is>
          <t>부강면</t>
        </is>
      </c>
      <c r="G2078" s="3" t="inlineStr">
        <is>
          <t>금호리</t>
        </is>
      </c>
      <c r="H2078" s="3" t="inlineStr">
        <is>
          <t>보전관리지역</t>
        </is>
      </c>
      <c r="I2078" s="3" t="inlineStr">
        <is>
          <t>하천</t>
        </is>
      </c>
      <c r="J2078" s="3" t="inlineStr">
        <is>
          <t>부강면</t>
        </is>
      </c>
    </row>
    <row r="2079">
      <c r="A2079" s="3" t="n">
        <v>2024</v>
      </c>
      <c r="B2079" s="4" t="n">
        <v>8000</v>
      </c>
      <c r="C2079" s="4" t="n">
        <v>264</v>
      </c>
      <c r="D2079" s="4" t="n">
        <v>79.86</v>
      </c>
      <c r="E2079" s="5" t="n">
        <v>100.2</v>
      </c>
      <c r="F2079" s="3" t="inlineStr">
        <is>
          <t>부강면</t>
        </is>
      </c>
      <c r="G2079" s="3" t="inlineStr">
        <is>
          <t>금호리</t>
        </is>
      </c>
      <c r="H2079" s="3" t="inlineStr">
        <is>
          <t>보전관리지역</t>
        </is>
      </c>
      <c r="I2079" s="3" t="inlineStr">
        <is>
          <t>전</t>
        </is>
      </c>
      <c r="J2079" s="3" t="inlineStr">
        <is>
          <t>부강면</t>
        </is>
      </c>
    </row>
    <row r="2080">
      <c r="A2080" s="3" t="n">
        <v>2024</v>
      </c>
      <c r="B2080" s="4" t="n">
        <v>5000</v>
      </c>
      <c r="C2080" s="4" t="n">
        <v>165</v>
      </c>
      <c r="D2080" s="4" t="n">
        <v>49.9125</v>
      </c>
      <c r="E2080" s="5" t="n">
        <v>100.2</v>
      </c>
      <c r="F2080" s="3" t="inlineStr">
        <is>
          <t>부강면</t>
        </is>
      </c>
      <c r="G2080" s="3" t="inlineStr">
        <is>
          <t>금호리</t>
        </is>
      </c>
      <c r="H2080" s="3" t="inlineStr">
        <is>
          <t>보전관리지역</t>
        </is>
      </c>
      <c r="I2080" s="3" t="inlineStr">
        <is>
          <t>전</t>
        </is>
      </c>
      <c r="J2080" s="3" t="inlineStr">
        <is>
          <t>부강면</t>
        </is>
      </c>
    </row>
    <row r="2081">
      <c r="A2081" s="3" t="n">
        <v>2024</v>
      </c>
      <c r="B2081" s="4" t="n">
        <v>24793</v>
      </c>
      <c r="C2081" s="4" t="n">
        <v>235</v>
      </c>
      <c r="D2081" s="4" t="n">
        <v>71.08749999999999</v>
      </c>
      <c r="E2081" s="5" t="n">
        <v>348.8</v>
      </c>
      <c r="F2081" s="3" t="inlineStr">
        <is>
          <t>조치원읍</t>
        </is>
      </c>
      <c r="G2081" s="3" t="inlineStr">
        <is>
          <t>신안리</t>
        </is>
      </c>
      <c r="H2081" s="3" t="inlineStr">
        <is>
          <t>제2종일반주거지역</t>
        </is>
      </c>
      <c r="I2081" s="3" t="inlineStr">
        <is>
          <t>대</t>
        </is>
      </c>
      <c r="J2081" s="3" t="inlineStr">
        <is>
          <t>조치원읍</t>
        </is>
      </c>
    </row>
    <row r="2082">
      <c r="A2082" s="3" t="n">
        <v>2024</v>
      </c>
      <c r="B2082" s="4" t="n">
        <v>80000</v>
      </c>
      <c r="C2082" s="4" t="n">
        <v>530</v>
      </c>
      <c r="D2082" s="4" t="n">
        <v>160.325</v>
      </c>
      <c r="E2082" s="5" t="n">
        <v>499</v>
      </c>
      <c r="F2082" s="3" t="inlineStr">
        <is>
          <t>조치원읍</t>
        </is>
      </c>
      <c r="G2082" s="3" t="inlineStr">
        <is>
          <t>신안리</t>
        </is>
      </c>
      <c r="H2082" s="3" t="inlineStr">
        <is>
          <t>제2종일반주거지역</t>
        </is>
      </c>
      <c r="I2082" s="3" t="inlineStr">
        <is>
          <t>대</t>
        </is>
      </c>
      <c r="J2082" s="3" t="inlineStr">
        <is>
          <t>조치원읍</t>
        </is>
      </c>
    </row>
    <row r="2083">
      <c r="A2083" s="3" t="n">
        <v>2025</v>
      </c>
      <c r="B2083" s="4" t="n">
        <v>252177</v>
      </c>
      <c r="C2083" s="4" t="n">
        <v>4128.8</v>
      </c>
      <c r="D2083" s="4" t="n">
        <v>1248.962</v>
      </c>
      <c r="E2083" s="5" t="n">
        <v>201.9</v>
      </c>
      <c r="F2083" s="3" t="inlineStr">
        <is>
          <t>집현동</t>
        </is>
      </c>
      <c r="G2083" s="3" t="inlineStr"/>
      <c r="H2083" s="3" t="inlineStr">
        <is>
          <t>준주거지역</t>
        </is>
      </c>
      <c r="I2083" s="3" t="inlineStr">
        <is>
          <t>대</t>
        </is>
      </c>
      <c r="J2083" s="3" t="inlineStr">
        <is>
          <t>집현동</t>
        </is>
      </c>
    </row>
    <row r="2084">
      <c r="A2084" s="3" t="n">
        <v>2025</v>
      </c>
      <c r="B2084" s="4" t="n">
        <v>10000</v>
      </c>
      <c r="C2084" s="4" t="n">
        <v>190</v>
      </c>
      <c r="D2084" s="4" t="n">
        <v>57.475</v>
      </c>
      <c r="E2084" s="5" t="n">
        <v>174</v>
      </c>
      <c r="F2084" s="3" t="inlineStr">
        <is>
          <t>조치원읍</t>
        </is>
      </c>
      <c r="G2084" s="3" t="inlineStr">
        <is>
          <t>신안리</t>
        </is>
      </c>
      <c r="H2084" s="3" t="inlineStr">
        <is>
          <t>제1종일반주거지역</t>
        </is>
      </c>
      <c r="I2084" s="3" t="inlineStr">
        <is>
          <t>대</t>
        </is>
      </c>
      <c r="J2084" s="3" t="inlineStr">
        <is>
          <t>조치원읍</t>
        </is>
      </c>
    </row>
    <row r="2085">
      <c r="A2085" s="3" t="n">
        <v>2025</v>
      </c>
      <c r="B2085" s="4" t="n">
        <v>6000</v>
      </c>
      <c r="C2085" s="4" t="n">
        <v>110</v>
      </c>
      <c r="D2085" s="4" t="n">
        <v>33.275</v>
      </c>
      <c r="E2085" s="5" t="n">
        <v>180.3</v>
      </c>
      <c r="F2085" s="3" t="inlineStr">
        <is>
          <t>조치원읍</t>
        </is>
      </c>
      <c r="G2085" s="3" t="inlineStr">
        <is>
          <t>신안리</t>
        </is>
      </c>
      <c r="H2085" s="3" t="inlineStr">
        <is>
          <t>제1종일반주거지역</t>
        </is>
      </c>
      <c r="I2085" s="3" t="inlineStr">
        <is>
          <t>대</t>
        </is>
      </c>
      <c r="J2085" s="3" t="inlineStr">
        <is>
          <t>조치원읍</t>
        </is>
      </c>
    </row>
    <row r="2086">
      <c r="A2086" s="3" t="n">
        <v>2025</v>
      </c>
      <c r="B2086" s="4" t="n">
        <v>87243</v>
      </c>
      <c r="C2086" s="4" t="n">
        <v>400</v>
      </c>
      <c r="D2086" s="4" t="n">
        <v>121</v>
      </c>
      <c r="E2086" s="5" t="n">
        <v>721</v>
      </c>
      <c r="F2086" s="3" t="inlineStr">
        <is>
          <t>도담동</t>
        </is>
      </c>
      <c r="G2086" s="3" t="inlineStr"/>
      <c r="H2086" s="3" t="inlineStr">
        <is>
          <t>제1종전용주거지역</t>
        </is>
      </c>
      <c r="I2086" s="3" t="inlineStr">
        <is>
          <t>대</t>
        </is>
      </c>
      <c r="J2086" s="3" t="inlineStr">
        <is>
          <t>도담동</t>
        </is>
      </c>
    </row>
    <row r="2087">
      <c r="A2087" s="3" t="n">
        <v>2026</v>
      </c>
      <c r="B2087" s="4" t="n">
        <v>1300</v>
      </c>
      <c r="C2087" s="4" t="n">
        <v>38</v>
      </c>
      <c r="D2087" s="4" t="n">
        <v>11.495</v>
      </c>
      <c r="E2087" s="5" t="n">
        <v>113.1</v>
      </c>
      <c r="F2087" s="3" t="inlineStr">
        <is>
          <t>남이면</t>
        </is>
      </c>
      <c r="G2087" s="3" t="inlineStr">
        <is>
          <t>부용외천리</t>
        </is>
      </c>
      <c r="H2087" s="3" t="inlineStr">
        <is>
          <t>계획관리지역</t>
        </is>
      </c>
      <c r="I2087" s="3" t="inlineStr">
        <is>
          <t>임야</t>
        </is>
      </c>
      <c r="J2087" s="3" t="inlineStr">
        <is>
          <t>남이면</t>
        </is>
      </c>
    </row>
    <row r="2088">
      <c r="A2088" s="3" t="n">
        <v>2026</v>
      </c>
      <c r="B2088" s="4" t="n">
        <v>10000</v>
      </c>
      <c r="C2088" s="4" t="n">
        <v>37884</v>
      </c>
      <c r="D2088" s="4" t="n">
        <v>11459.91</v>
      </c>
      <c r="E2088" s="5" t="n">
        <v>0.9</v>
      </c>
      <c r="F2088" s="3" t="inlineStr">
        <is>
          <t>남이면</t>
        </is>
      </c>
      <c r="G2088" s="3" t="inlineStr">
        <is>
          <t>석실리</t>
        </is>
      </c>
      <c r="H2088" s="3" t="inlineStr">
        <is>
          <t>보전녹지지역</t>
        </is>
      </c>
      <c r="I2088" s="3" t="inlineStr">
        <is>
          <t>임야</t>
        </is>
      </c>
      <c r="J2088" s="3" t="inlineStr">
        <is>
          <t>남이면</t>
        </is>
      </c>
    </row>
    <row r="2089">
      <c r="A2089" s="3" t="n">
        <v>2026</v>
      </c>
      <c r="B2089" s="4" t="n">
        <v>5200</v>
      </c>
      <c r="C2089" s="4" t="n">
        <v>774</v>
      </c>
      <c r="D2089" s="4" t="n">
        <v>234.135</v>
      </c>
      <c r="E2089" s="5" t="n">
        <v>22.2</v>
      </c>
      <c r="F2089" s="3" t="inlineStr">
        <is>
          <t>남이면</t>
        </is>
      </c>
      <c r="G2089" s="3" t="inlineStr">
        <is>
          <t>수대리</t>
        </is>
      </c>
      <c r="H2089" s="3" t="inlineStr">
        <is>
          <t>보전녹지지역</t>
        </is>
      </c>
      <c r="I2089" s="3" t="inlineStr">
        <is>
          <t>전</t>
        </is>
      </c>
      <c r="J2089" s="3" t="inlineStr">
        <is>
          <t>남이면</t>
        </is>
      </c>
    </row>
    <row r="2090">
      <c r="A2090" s="3" t="n">
        <v>2026</v>
      </c>
      <c r="B2090" s="4" t="n">
        <v>28170</v>
      </c>
      <c r="C2090" s="4" t="n">
        <v>384</v>
      </c>
      <c r="D2090" s="4" t="n">
        <v>116.16</v>
      </c>
      <c r="E2090" s="5" t="n">
        <v>242.5</v>
      </c>
      <c r="F2090" s="3" t="inlineStr">
        <is>
          <t>남이면</t>
        </is>
      </c>
      <c r="G2090" s="3" t="inlineStr">
        <is>
          <t>가마리</t>
        </is>
      </c>
      <c r="H2090" s="3" t="inlineStr">
        <is>
          <t>자연녹지지역</t>
        </is>
      </c>
      <c r="I2090" s="3" t="inlineStr">
        <is>
          <t>대</t>
        </is>
      </c>
      <c r="J2090" s="3" t="inlineStr">
        <is>
          <t>남이면</t>
        </is>
      </c>
    </row>
    <row r="2091">
      <c r="A2091" s="3" t="n">
        <v>2026</v>
      </c>
      <c r="B2091" s="4" t="n">
        <v>20026</v>
      </c>
      <c r="C2091" s="4" t="n">
        <v>273</v>
      </c>
      <c r="D2091" s="4" t="n">
        <v>82.5825</v>
      </c>
      <c r="E2091" s="5" t="n">
        <v>242.5</v>
      </c>
      <c r="F2091" s="3" t="inlineStr">
        <is>
          <t>남이면</t>
        </is>
      </c>
      <c r="G2091" s="3" t="inlineStr">
        <is>
          <t>가마리</t>
        </is>
      </c>
      <c r="H2091" s="3" t="inlineStr">
        <is>
          <t>자연녹지지역</t>
        </is>
      </c>
      <c r="I2091" s="3" t="inlineStr">
        <is>
          <t>대</t>
        </is>
      </c>
      <c r="J2091" s="3" t="inlineStr">
        <is>
          <t>남이면</t>
        </is>
      </c>
    </row>
    <row r="2092">
      <c r="A2092" s="3" t="n">
        <v>2022</v>
      </c>
      <c r="B2092" s="4" t="n">
        <v>7865</v>
      </c>
      <c r="C2092" s="4" t="n">
        <v>200</v>
      </c>
      <c r="D2092" s="4" t="n">
        <v>60.5</v>
      </c>
      <c r="E2092" s="5" t="n">
        <v>130</v>
      </c>
      <c r="F2092" s="3" t="inlineStr">
        <is>
          <t>남이면</t>
        </is>
      </c>
      <c r="G2092" s="3" t="inlineStr">
        <is>
          <t>가마리</t>
        </is>
      </c>
      <c r="H2092" s="3" t="inlineStr">
        <is>
          <t>자연녹지지역</t>
        </is>
      </c>
      <c r="I2092" s="3" t="inlineStr">
        <is>
          <t>전</t>
        </is>
      </c>
      <c r="J2092" s="3" t="inlineStr">
        <is>
          <t>남이면</t>
        </is>
      </c>
    </row>
    <row r="2093">
      <c r="A2093" s="3" t="n">
        <v>2022</v>
      </c>
      <c r="B2093" s="4" t="n">
        <v>57049</v>
      </c>
      <c r="C2093" s="4" t="n">
        <v>2119</v>
      </c>
      <c r="D2093" s="4" t="n">
        <v>640.9974999999999</v>
      </c>
      <c r="E2093" s="5" t="n">
        <v>89</v>
      </c>
      <c r="F2093" s="3" t="inlineStr">
        <is>
          <t>남이면</t>
        </is>
      </c>
      <c r="G2093" s="3" t="inlineStr">
        <is>
          <t>문동리</t>
        </is>
      </c>
      <c r="H2093" s="3" t="inlineStr">
        <is>
          <t>보전녹지지역</t>
        </is>
      </c>
      <c r="I2093" s="3" t="inlineStr">
        <is>
          <t>임야</t>
        </is>
      </c>
      <c r="J2093" s="3" t="inlineStr">
        <is>
          <t>남이면</t>
        </is>
      </c>
    </row>
    <row r="2094">
      <c r="A2094" s="3" t="n">
        <v>2022</v>
      </c>
      <c r="B2094" s="4" t="n">
        <v>7800</v>
      </c>
      <c r="C2094" s="4" t="n">
        <v>87</v>
      </c>
      <c r="D2094" s="4" t="n">
        <v>26.3175</v>
      </c>
      <c r="E2094" s="5" t="n">
        <v>296.4</v>
      </c>
      <c r="F2094" s="3" t="inlineStr">
        <is>
          <t>강내면</t>
        </is>
      </c>
      <c r="G2094" s="3" t="inlineStr">
        <is>
          <t>월곡리</t>
        </is>
      </c>
      <c r="H2094" s="3" t="inlineStr">
        <is>
          <t>제2종일반주거지역</t>
        </is>
      </c>
      <c r="I2094" s="3" t="inlineStr">
        <is>
          <t>답</t>
        </is>
      </c>
      <c r="J2094" s="3" t="inlineStr">
        <is>
          <t>강내면</t>
        </is>
      </c>
    </row>
    <row r="2095">
      <c r="A2095" s="3" t="n">
        <v>2022</v>
      </c>
      <c r="B2095" s="4" t="n">
        <v>1070000</v>
      </c>
      <c r="C2095" s="4" t="n">
        <v>1265.7</v>
      </c>
      <c r="D2095" s="4" t="n">
        <v>382.87425</v>
      </c>
      <c r="E2095" s="5" t="n">
        <v>2794.7</v>
      </c>
      <c r="F2095" s="3" t="inlineStr">
        <is>
          <t>오송읍</t>
        </is>
      </c>
      <c r="G2095" s="3" t="inlineStr">
        <is>
          <t>봉산리</t>
        </is>
      </c>
      <c r="H2095" s="3" t="inlineStr">
        <is>
          <t>일반상업지역</t>
        </is>
      </c>
      <c r="I2095" s="3" t="inlineStr">
        <is>
          <t>대</t>
        </is>
      </c>
      <c r="J2095" s="3" t="inlineStr">
        <is>
          <t>오송읍</t>
        </is>
      </c>
    </row>
    <row r="2096">
      <c r="A2096" s="3" t="n">
        <v>2022</v>
      </c>
      <c r="B2096" s="4" t="n">
        <v>72900</v>
      </c>
      <c r="C2096" s="4" t="n">
        <v>2411</v>
      </c>
      <c r="D2096" s="4" t="n">
        <v>729.3275</v>
      </c>
      <c r="E2096" s="5" t="n">
        <v>100</v>
      </c>
      <c r="F2096" s="3" t="inlineStr">
        <is>
          <t>오송읍</t>
        </is>
      </c>
      <c r="G2096" s="3" t="inlineStr">
        <is>
          <t>공북리</t>
        </is>
      </c>
      <c r="H2096" s="3" t="inlineStr">
        <is>
          <t>농림지역</t>
        </is>
      </c>
      <c r="I2096" s="3" t="inlineStr">
        <is>
          <t>답</t>
        </is>
      </c>
      <c r="J2096" s="3" t="inlineStr">
        <is>
          <t>오송읍</t>
        </is>
      </c>
    </row>
    <row r="2097">
      <c r="A2097" s="3" t="n">
        <v>2022</v>
      </c>
      <c r="B2097" s="4" t="n">
        <v>30000</v>
      </c>
      <c r="C2097" s="4" t="n">
        <v>235.1</v>
      </c>
      <c r="D2097" s="4" t="n">
        <v>71.11775</v>
      </c>
      <c r="E2097" s="5" t="n">
        <v>421.8</v>
      </c>
      <c r="F2097" s="3" t="inlineStr">
        <is>
          <t>오송읍</t>
        </is>
      </c>
      <c r="G2097" s="3" t="inlineStr">
        <is>
          <t>봉산리</t>
        </is>
      </c>
      <c r="H2097" s="3" t="inlineStr">
        <is>
          <t>제1종일반주거지역</t>
        </is>
      </c>
      <c r="I2097" s="3" t="inlineStr">
        <is>
          <t>대</t>
        </is>
      </c>
      <c r="J2097" s="3" t="inlineStr">
        <is>
          <t>오송읍</t>
        </is>
      </c>
    </row>
    <row r="2098">
      <c r="A2098" s="3" t="n">
        <v>2022</v>
      </c>
      <c r="B2098" s="4" t="n">
        <v>23730</v>
      </c>
      <c r="C2098" s="4" t="n">
        <v>499.4</v>
      </c>
      <c r="D2098" s="4" t="n">
        <v>151.0685</v>
      </c>
      <c r="E2098" s="5" t="n">
        <v>157.1</v>
      </c>
      <c r="F2098" s="3" t="inlineStr">
        <is>
          <t>강내면</t>
        </is>
      </c>
      <c r="G2098" s="3" t="inlineStr">
        <is>
          <t>사곡리</t>
        </is>
      </c>
      <c r="H2098" s="3" t="inlineStr">
        <is>
          <t>보전관리지역</t>
        </is>
      </c>
      <c r="I2098" s="3" t="inlineStr">
        <is>
          <t>임야</t>
        </is>
      </c>
      <c r="J2098" s="3" t="inlineStr">
        <is>
          <t>강내면</t>
        </is>
      </c>
    </row>
    <row r="2099">
      <c r="A2099" s="3" t="n">
        <v>2022</v>
      </c>
      <c r="B2099" s="4" t="n">
        <v>20800</v>
      </c>
      <c r="C2099" s="4" t="n">
        <v>532.5</v>
      </c>
      <c r="D2099" s="4" t="n">
        <v>161.08125</v>
      </c>
      <c r="E2099" s="5" t="n">
        <v>129.1</v>
      </c>
      <c r="F2099" s="3" t="inlineStr">
        <is>
          <t>강내면</t>
        </is>
      </c>
      <c r="G2099" s="3" t="inlineStr">
        <is>
          <t>사곡리</t>
        </is>
      </c>
      <c r="H2099" s="3" t="inlineStr">
        <is>
          <t>보전관리지역</t>
        </is>
      </c>
      <c r="I2099" s="3" t="inlineStr">
        <is>
          <t>임야</t>
        </is>
      </c>
      <c r="J2099" s="3" t="inlineStr">
        <is>
          <t>강내면</t>
        </is>
      </c>
    </row>
    <row r="2100">
      <c r="A2100" s="3" t="n">
        <v>2022</v>
      </c>
      <c r="B2100" s="4" t="n">
        <v>22035</v>
      </c>
      <c r="C2100" s="4" t="n">
        <v>485.5</v>
      </c>
      <c r="D2100" s="4" t="n">
        <v>146.86375</v>
      </c>
      <c r="E2100" s="5" t="n">
        <v>150</v>
      </c>
      <c r="F2100" s="3" t="inlineStr">
        <is>
          <t>강내면</t>
        </is>
      </c>
      <c r="G2100" s="3" t="inlineStr">
        <is>
          <t>사곡리</t>
        </is>
      </c>
      <c r="H2100" s="3" t="inlineStr">
        <is>
          <t>보전관리지역</t>
        </is>
      </c>
      <c r="I2100" s="3" t="inlineStr">
        <is>
          <t>임야</t>
        </is>
      </c>
      <c r="J2100" s="3" t="inlineStr">
        <is>
          <t>강내면</t>
        </is>
      </c>
    </row>
    <row r="2101">
      <c r="A2101" s="3" t="n">
        <v>2022</v>
      </c>
      <c r="B2101" s="4" t="n">
        <v>44600</v>
      </c>
      <c r="C2101" s="4" t="n">
        <v>2948</v>
      </c>
      <c r="D2101" s="4" t="n">
        <v>891.77</v>
      </c>
      <c r="E2101" s="5" t="n">
        <v>50</v>
      </c>
      <c r="F2101" s="3" t="inlineStr">
        <is>
          <t>강내면</t>
        </is>
      </c>
      <c r="G2101" s="3" t="inlineStr">
        <is>
          <t>궁현리</t>
        </is>
      </c>
      <c r="H2101" s="3" t="inlineStr">
        <is>
          <t>농림지역</t>
        </is>
      </c>
      <c r="I2101" s="3" t="inlineStr">
        <is>
          <t>답</t>
        </is>
      </c>
      <c r="J2101" s="3" t="inlineStr">
        <is>
          <t>강내면</t>
        </is>
      </c>
    </row>
    <row r="2102">
      <c r="A2102" s="3" t="n">
        <v>2022</v>
      </c>
      <c r="B2102" s="4" t="n">
        <v>3750</v>
      </c>
      <c r="C2102" s="4" t="n">
        <v>826</v>
      </c>
      <c r="D2102" s="4" t="n">
        <v>249.865</v>
      </c>
      <c r="E2102" s="5" t="n">
        <v>15</v>
      </c>
      <c r="F2102" s="3" t="inlineStr">
        <is>
          <t>강내면</t>
        </is>
      </c>
      <c r="G2102" s="3" t="inlineStr">
        <is>
          <t>사인리</t>
        </is>
      </c>
      <c r="H2102" s="3" t="inlineStr">
        <is>
          <t>자연녹지지역</t>
        </is>
      </c>
      <c r="I2102" s="3" t="inlineStr">
        <is>
          <t>전</t>
        </is>
      </c>
      <c r="J2102" s="3" t="inlineStr">
        <is>
          <t>강내면</t>
        </is>
      </c>
    </row>
    <row r="2103">
      <c r="A2103" s="3" t="n">
        <v>2022</v>
      </c>
      <c r="B2103" s="4" t="n">
        <v>74400</v>
      </c>
      <c r="C2103" s="4" t="n">
        <v>3967</v>
      </c>
      <c r="D2103" s="4" t="n">
        <v>1200.0175</v>
      </c>
      <c r="E2103" s="5" t="n">
        <v>62</v>
      </c>
      <c r="F2103" s="3" t="inlineStr">
        <is>
          <t>오송읍</t>
        </is>
      </c>
      <c r="G2103" s="3" t="inlineStr">
        <is>
          <t>궁평리</t>
        </is>
      </c>
      <c r="H2103" s="3" t="inlineStr">
        <is>
          <t>농림지역</t>
        </is>
      </c>
      <c r="I2103" s="3" t="inlineStr">
        <is>
          <t>답</t>
        </is>
      </c>
      <c r="J2103" s="3" t="inlineStr">
        <is>
          <t>오송읍</t>
        </is>
      </c>
    </row>
    <row r="2104">
      <c r="A2104" s="3" t="n">
        <v>2022</v>
      </c>
      <c r="B2104" s="4" t="n">
        <v>4582</v>
      </c>
      <c r="C2104" s="4" t="n">
        <v>252</v>
      </c>
      <c r="D2104" s="4" t="n">
        <v>76.23</v>
      </c>
      <c r="E2104" s="5" t="n">
        <v>60.1</v>
      </c>
      <c r="F2104" s="3" t="inlineStr">
        <is>
          <t>강내면</t>
        </is>
      </c>
      <c r="G2104" s="3" t="inlineStr">
        <is>
          <t>사인리</t>
        </is>
      </c>
      <c r="H2104" s="3" t="inlineStr">
        <is>
          <t>자연녹지지역</t>
        </is>
      </c>
      <c r="I2104" s="3" t="inlineStr">
        <is>
          <t>임야</t>
        </is>
      </c>
      <c r="J2104" s="3" t="inlineStr">
        <is>
          <t>강내면</t>
        </is>
      </c>
    </row>
    <row r="2105">
      <c r="A2105" s="3" t="n">
        <v>2022</v>
      </c>
      <c r="B2105" s="4" t="n">
        <v>1500</v>
      </c>
      <c r="C2105" s="4" t="n">
        <v>257</v>
      </c>
      <c r="D2105" s="4" t="n">
        <v>77.74249999999999</v>
      </c>
      <c r="E2105" s="5" t="n">
        <v>19.3</v>
      </c>
      <c r="F2105" s="3" t="inlineStr">
        <is>
          <t>강내면</t>
        </is>
      </c>
      <c r="G2105" s="3" t="inlineStr">
        <is>
          <t>사인리</t>
        </is>
      </c>
      <c r="H2105" s="3" t="inlineStr">
        <is>
          <t>자연녹지지역</t>
        </is>
      </c>
      <c r="I2105" s="3" t="inlineStr">
        <is>
          <t>임야</t>
        </is>
      </c>
      <c r="J2105" s="3" t="inlineStr">
        <is>
          <t>강내면</t>
        </is>
      </c>
    </row>
    <row r="2106">
      <c r="A2106" s="3" t="n">
        <v>2025</v>
      </c>
      <c r="B2106" s="4" t="n">
        <v>11000</v>
      </c>
      <c r="C2106" s="4" t="n">
        <v>1190</v>
      </c>
      <c r="D2106" s="4" t="n">
        <v>359.975</v>
      </c>
      <c r="E2106" s="5" t="n">
        <v>30.6</v>
      </c>
      <c r="F2106" s="3" t="inlineStr">
        <is>
          <t>남이면</t>
        </is>
      </c>
      <c r="G2106" s="3" t="inlineStr">
        <is>
          <t>수대리</t>
        </is>
      </c>
      <c r="H2106" s="3" t="inlineStr">
        <is>
          <t>보전녹지지역</t>
        </is>
      </c>
      <c r="I2106" s="3" t="inlineStr">
        <is>
          <t>전</t>
        </is>
      </c>
      <c r="J2106" s="3" t="inlineStr">
        <is>
          <t>남이면</t>
        </is>
      </c>
    </row>
    <row r="2107">
      <c r="A2107" s="3" t="n">
        <v>2025</v>
      </c>
      <c r="B2107" s="4" t="n">
        <v>8500</v>
      </c>
      <c r="C2107" s="4" t="n">
        <v>873</v>
      </c>
      <c r="D2107" s="4" t="n">
        <v>264.0825</v>
      </c>
      <c r="E2107" s="5" t="n">
        <v>32.2</v>
      </c>
      <c r="F2107" s="3" t="inlineStr">
        <is>
          <t>남이면</t>
        </is>
      </c>
      <c r="G2107" s="3" t="inlineStr">
        <is>
          <t>수대리</t>
        </is>
      </c>
      <c r="H2107" s="3" t="inlineStr">
        <is>
          <t>자연녹지지역</t>
        </is>
      </c>
      <c r="I2107" s="3" t="inlineStr">
        <is>
          <t>전</t>
        </is>
      </c>
      <c r="J2107" s="3" t="inlineStr">
        <is>
          <t>남이면</t>
        </is>
      </c>
    </row>
    <row r="2108">
      <c r="A2108" s="3" t="n">
        <v>2025</v>
      </c>
      <c r="B2108" s="4" t="n">
        <v>2300</v>
      </c>
      <c r="C2108" s="4" t="n">
        <v>796</v>
      </c>
      <c r="D2108" s="4" t="n">
        <v>240.79</v>
      </c>
      <c r="E2108" s="5" t="n">
        <v>9.6</v>
      </c>
      <c r="F2108" s="3" t="inlineStr">
        <is>
          <t>남이면</t>
        </is>
      </c>
      <c r="G2108" s="3" t="inlineStr">
        <is>
          <t>척산리</t>
        </is>
      </c>
      <c r="H2108" s="3" t="inlineStr">
        <is>
          <t>보전관리지역</t>
        </is>
      </c>
      <c r="I2108" s="3" t="inlineStr">
        <is>
          <t>잡종지</t>
        </is>
      </c>
      <c r="J2108" s="3" t="inlineStr">
        <is>
          <t>남이면</t>
        </is>
      </c>
    </row>
    <row r="2109">
      <c r="A2109" s="3" t="n">
        <v>2025</v>
      </c>
      <c r="B2109" s="4" t="n">
        <v>25524</v>
      </c>
      <c r="C2109" s="4" t="n">
        <v>2344</v>
      </c>
      <c r="D2109" s="4" t="n">
        <v>709.0599999999999</v>
      </c>
      <c r="E2109" s="5" t="n">
        <v>36</v>
      </c>
      <c r="F2109" s="3" t="inlineStr">
        <is>
          <t>남이면</t>
        </is>
      </c>
      <c r="G2109" s="3" t="inlineStr">
        <is>
          <t>척산리</t>
        </is>
      </c>
      <c r="H2109" s="3" t="inlineStr">
        <is>
          <t>자연녹지지역</t>
        </is>
      </c>
      <c r="I2109" s="3" t="inlineStr">
        <is>
          <t>답</t>
        </is>
      </c>
      <c r="J2109" s="3" t="inlineStr">
        <is>
          <t>남이면</t>
        </is>
      </c>
    </row>
    <row r="2110">
      <c r="A2110" s="3" t="n">
        <v>2025</v>
      </c>
      <c r="B2110" s="4" t="n">
        <v>4500</v>
      </c>
      <c r="C2110" s="4" t="n">
        <v>175</v>
      </c>
      <c r="D2110" s="4" t="n">
        <v>52.9375</v>
      </c>
      <c r="E2110" s="5" t="n">
        <v>85</v>
      </c>
      <c r="F2110" s="3" t="inlineStr">
        <is>
          <t>남이면</t>
        </is>
      </c>
      <c r="G2110" s="3" t="inlineStr">
        <is>
          <t>구암리</t>
        </is>
      </c>
      <c r="H2110" s="3" t="inlineStr">
        <is>
          <t>자연녹지지역</t>
        </is>
      </c>
      <c r="I2110" s="3" t="inlineStr">
        <is>
          <t>임야</t>
        </is>
      </c>
      <c r="J2110" s="3" t="inlineStr">
        <is>
          <t>남이면</t>
        </is>
      </c>
    </row>
    <row r="2111">
      <c r="A2111" s="3" t="n">
        <v>2025</v>
      </c>
      <c r="B2111" s="4" t="n">
        <v>14400</v>
      </c>
      <c r="C2111" s="4" t="n">
        <v>992.7</v>
      </c>
      <c r="D2111" s="4" t="n">
        <v>300.29175</v>
      </c>
      <c r="E2111" s="5" t="n">
        <v>48</v>
      </c>
      <c r="F2111" s="3" t="inlineStr">
        <is>
          <t>연동면</t>
        </is>
      </c>
      <c r="G2111" s="3" t="inlineStr">
        <is>
          <t>응암리</t>
        </is>
      </c>
      <c r="H2111" s="3" t="inlineStr">
        <is>
          <t>농림지역</t>
        </is>
      </c>
      <c r="I2111" s="3" t="inlineStr">
        <is>
          <t>답</t>
        </is>
      </c>
      <c r="J2111" s="3" t="inlineStr">
        <is>
          <t>연동면</t>
        </is>
      </c>
    </row>
    <row r="2112">
      <c r="A2112" s="3" t="n">
        <v>2025</v>
      </c>
      <c r="B2112" s="4" t="n">
        <v>35280</v>
      </c>
      <c r="C2112" s="4" t="n">
        <v>2428.8</v>
      </c>
      <c r="D2112" s="4" t="n">
        <v>734.712</v>
      </c>
      <c r="E2112" s="5" t="n">
        <v>48</v>
      </c>
      <c r="F2112" s="3" t="inlineStr">
        <is>
          <t>연동면</t>
        </is>
      </c>
      <c r="G2112" s="3" t="inlineStr">
        <is>
          <t>응암리</t>
        </is>
      </c>
      <c r="H2112" s="3" t="inlineStr">
        <is>
          <t>농림지역</t>
        </is>
      </c>
      <c r="I2112" s="3" t="inlineStr">
        <is>
          <t>답</t>
        </is>
      </c>
      <c r="J2112" s="3" t="inlineStr">
        <is>
          <t>연동면</t>
        </is>
      </c>
    </row>
    <row r="2113">
      <c r="A2113" s="3" t="n">
        <v>2025</v>
      </c>
      <c r="B2113" s="4" t="n">
        <v>135000</v>
      </c>
      <c r="C2113" s="4" t="n">
        <v>13352</v>
      </c>
      <c r="D2113" s="4" t="n">
        <v>4038.98</v>
      </c>
      <c r="E2113" s="5" t="n">
        <v>33.4</v>
      </c>
      <c r="F2113" s="3" t="inlineStr">
        <is>
          <t>조치원읍</t>
        </is>
      </c>
      <c r="G2113" s="3" t="inlineStr">
        <is>
          <t>신안리</t>
        </is>
      </c>
      <c r="H2113" s="3" t="inlineStr">
        <is>
          <t>자연녹지지역</t>
        </is>
      </c>
      <c r="I2113" s="3" t="inlineStr">
        <is>
          <t>전</t>
        </is>
      </c>
      <c r="J2113" s="3" t="inlineStr">
        <is>
          <t>조치원읍</t>
        </is>
      </c>
    </row>
    <row r="2114">
      <c r="A2114" s="3" t="n">
        <v>2025</v>
      </c>
      <c r="B2114" s="4" t="n">
        <v>20000</v>
      </c>
      <c r="C2114" s="4" t="n">
        <v>1951</v>
      </c>
      <c r="D2114" s="4" t="n">
        <v>590.1775</v>
      </c>
      <c r="E2114" s="5" t="n">
        <v>33.9</v>
      </c>
      <c r="F2114" s="3" t="inlineStr">
        <is>
          <t>조치원읍</t>
        </is>
      </c>
      <c r="G2114" s="3" t="inlineStr">
        <is>
          <t>신안리</t>
        </is>
      </c>
      <c r="H2114" s="3" t="inlineStr">
        <is>
          <t>자연녹지지역</t>
        </is>
      </c>
      <c r="I2114" s="3" t="inlineStr">
        <is>
          <t>임야</t>
        </is>
      </c>
      <c r="J2114" s="3" t="inlineStr">
        <is>
          <t>조치원읍</t>
        </is>
      </c>
    </row>
    <row r="2115">
      <c r="A2115" s="3" t="n">
        <v>2025</v>
      </c>
      <c r="B2115" s="4" t="n">
        <v>16000</v>
      </c>
      <c r="C2115" s="4" t="n">
        <v>2864</v>
      </c>
      <c r="D2115" s="4" t="n">
        <v>866.36</v>
      </c>
      <c r="E2115" s="5" t="n">
        <v>18.5</v>
      </c>
      <c r="F2115" s="3" t="inlineStr">
        <is>
          <t>부강면</t>
        </is>
      </c>
      <c r="G2115" s="3" t="inlineStr">
        <is>
          <t>금호리</t>
        </is>
      </c>
      <c r="H2115" s="3" t="inlineStr">
        <is>
          <t>보전관리지역</t>
        </is>
      </c>
      <c r="I2115" s="3" t="inlineStr">
        <is>
          <t>임야</t>
        </is>
      </c>
      <c r="J2115" s="3" t="inlineStr">
        <is>
          <t>부강면</t>
        </is>
      </c>
    </row>
    <row r="2116">
      <c r="A2116" s="3" t="n">
        <v>2025</v>
      </c>
      <c r="B2116" s="4" t="n">
        <v>34060</v>
      </c>
      <c r="C2116" s="4" t="n">
        <v>1719</v>
      </c>
      <c r="D2116" s="4" t="n">
        <v>519.9974999999999</v>
      </c>
      <c r="E2116" s="5" t="n">
        <v>65.5</v>
      </c>
      <c r="F2116" s="3" t="inlineStr">
        <is>
          <t>부강면</t>
        </is>
      </c>
      <c r="G2116" s="3" t="inlineStr">
        <is>
          <t>금호리</t>
        </is>
      </c>
      <c r="H2116" s="3" t="inlineStr">
        <is>
          <t>보전관리지역</t>
        </is>
      </c>
      <c r="I2116" s="3" t="inlineStr">
        <is>
          <t>임야</t>
        </is>
      </c>
      <c r="J2116" s="3" t="inlineStr">
        <is>
          <t>부강면</t>
        </is>
      </c>
    </row>
    <row r="2117">
      <c r="A2117" s="3" t="n">
        <v>2025</v>
      </c>
      <c r="B2117" s="4" t="n">
        <v>5980</v>
      </c>
      <c r="C2117" s="4" t="n">
        <v>152</v>
      </c>
      <c r="D2117" s="4" t="n">
        <v>45.98</v>
      </c>
      <c r="E2117" s="5" t="n">
        <v>130.1</v>
      </c>
      <c r="F2117" s="3" t="inlineStr">
        <is>
          <t>조치원읍</t>
        </is>
      </c>
      <c r="G2117" s="3" t="inlineStr">
        <is>
          <t>번암리</t>
        </is>
      </c>
      <c r="H2117" s="3" t="inlineStr">
        <is>
          <t>자연녹지지역</t>
        </is>
      </c>
      <c r="I2117" s="3" t="inlineStr">
        <is>
          <t>대</t>
        </is>
      </c>
      <c r="J2117" s="3" t="inlineStr">
        <is>
          <t>조치원읍</t>
        </is>
      </c>
    </row>
    <row r="2118">
      <c r="A2118" s="3" t="n">
        <v>2025</v>
      </c>
      <c r="B2118" s="4" t="n">
        <v>9020</v>
      </c>
      <c r="C2118" s="4" t="n">
        <v>204</v>
      </c>
      <c r="D2118" s="4" t="n">
        <v>61.71</v>
      </c>
      <c r="E2118" s="5" t="n">
        <v>146.2</v>
      </c>
      <c r="F2118" s="3" t="inlineStr">
        <is>
          <t>조치원읍</t>
        </is>
      </c>
      <c r="G2118" s="3" t="inlineStr">
        <is>
          <t>번암리</t>
        </is>
      </c>
      <c r="H2118" s="3" t="inlineStr">
        <is>
          <t>자연녹지지역</t>
        </is>
      </c>
      <c r="I2118" s="3" t="inlineStr">
        <is>
          <t>창고용지</t>
        </is>
      </c>
      <c r="J2118" s="3" t="inlineStr">
        <is>
          <t>조치원읍</t>
        </is>
      </c>
    </row>
    <row r="2119">
      <c r="A2119" s="3" t="n">
        <v>2025</v>
      </c>
      <c r="B2119" s="4" t="n">
        <v>66940</v>
      </c>
      <c r="C2119" s="4" t="n">
        <v>985</v>
      </c>
      <c r="D2119" s="4" t="n">
        <v>297.9625</v>
      </c>
      <c r="E2119" s="5" t="n">
        <v>224.7</v>
      </c>
      <c r="F2119" s="3" t="inlineStr">
        <is>
          <t>조치원읍</t>
        </is>
      </c>
      <c r="G2119" s="3" t="inlineStr">
        <is>
          <t>번암리</t>
        </is>
      </c>
      <c r="H2119" s="3" t="inlineStr">
        <is>
          <t>일반공업지역</t>
        </is>
      </c>
      <c r="I2119" s="3" t="inlineStr">
        <is>
          <t>전</t>
        </is>
      </c>
      <c r="J2119" s="3" t="inlineStr">
        <is>
          <t>조치원읍</t>
        </is>
      </c>
    </row>
    <row r="2120">
      <c r="A2120" s="3" t="n">
        <v>2025</v>
      </c>
      <c r="B2120" s="4" t="n">
        <v>13660</v>
      </c>
      <c r="C2120" s="4" t="n">
        <v>201</v>
      </c>
      <c r="D2120" s="4" t="n">
        <v>60.80249999999999</v>
      </c>
      <c r="E2120" s="5" t="n">
        <v>224.7</v>
      </c>
      <c r="F2120" s="3" t="inlineStr">
        <is>
          <t>조치원읍</t>
        </is>
      </c>
      <c r="G2120" s="3" t="inlineStr">
        <is>
          <t>번암리</t>
        </is>
      </c>
      <c r="H2120" s="3" t="inlineStr">
        <is>
          <t>일반공업지역</t>
        </is>
      </c>
      <c r="I2120" s="3" t="inlineStr">
        <is>
          <t>대</t>
        </is>
      </c>
      <c r="J2120" s="3" t="inlineStr">
        <is>
          <t>조치원읍</t>
        </is>
      </c>
    </row>
    <row r="2121">
      <c r="A2121" s="3" t="n">
        <v>2025</v>
      </c>
      <c r="B2121" s="4" t="n">
        <v>65</v>
      </c>
      <c r="C2121" s="4" t="n">
        <v>107</v>
      </c>
      <c r="D2121" s="4" t="n">
        <v>32.3675</v>
      </c>
      <c r="E2121" s="5" t="n">
        <v>2</v>
      </c>
      <c r="F2121" s="3" t="inlineStr">
        <is>
          <t>조치원읍</t>
        </is>
      </c>
      <c r="G2121" s="3" t="inlineStr">
        <is>
          <t>번암리</t>
        </is>
      </c>
      <c r="H2121" s="3" t="inlineStr">
        <is>
          <t>일반공업지역</t>
        </is>
      </c>
      <c r="I2121" s="3" t="inlineStr">
        <is>
          <t>전</t>
        </is>
      </c>
      <c r="J2121" s="3" t="inlineStr">
        <is>
          <t>조치원읍</t>
        </is>
      </c>
    </row>
    <row r="2122">
      <c r="A2122" s="3" t="n">
        <v>2025</v>
      </c>
      <c r="B2122" s="4" t="n">
        <v>152600</v>
      </c>
      <c r="C2122" s="4" t="n">
        <v>2093</v>
      </c>
      <c r="D2122" s="4" t="n">
        <v>633.1324999999999</v>
      </c>
      <c r="E2122" s="5" t="n">
        <v>241</v>
      </c>
      <c r="F2122" s="3" t="inlineStr">
        <is>
          <t>조치원읍</t>
        </is>
      </c>
      <c r="G2122" s="3" t="inlineStr">
        <is>
          <t>번암리</t>
        </is>
      </c>
      <c r="H2122" s="3" t="inlineStr">
        <is>
          <t>일반공업지역</t>
        </is>
      </c>
      <c r="I2122" s="3" t="inlineStr">
        <is>
          <t>잡종지</t>
        </is>
      </c>
      <c r="J2122" s="3" t="inlineStr">
        <is>
          <t>조치원읍</t>
        </is>
      </c>
    </row>
    <row r="2123">
      <c r="A2123" s="3" t="n">
        <v>2025</v>
      </c>
      <c r="B2123" s="4" t="n">
        <v>22455</v>
      </c>
      <c r="C2123" s="4" t="n">
        <v>322</v>
      </c>
      <c r="D2123" s="4" t="n">
        <v>97.405</v>
      </c>
      <c r="E2123" s="5" t="n">
        <v>230.5</v>
      </c>
      <c r="F2123" s="3" t="inlineStr">
        <is>
          <t>조치원읍</t>
        </is>
      </c>
      <c r="G2123" s="3" t="inlineStr">
        <is>
          <t>번암리</t>
        </is>
      </c>
      <c r="H2123" s="3" t="inlineStr">
        <is>
          <t>일반공업지역</t>
        </is>
      </c>
      <c r="I2123" s="3" t="inlineStr">
        <is>
          <t>대</t>
        </is>
      </c>
      <c r="J2123" s="3" t="inlineStr">
        <is>
          <t>조치원읍</t>
        </is>
      </c>
    </row>
    <row r="2124">
      <c r="A2124" s="3" t="n">
        <v>2025</v>
      </c>
      <c r="B2124" s="4" t="n">
        <v>16945</v>
      </c>
      <c r="C2124" s="4" t="n">
        <v>199</v>
      </c>
      <c r="D2124" s="4" t="n">
        <v>60.1975</v>
      </c>
      <c r="E2124" s="5" t="n">
        <v>281.5</v>
      </c>
      <c r="F2124" s="3" t="inlineStr">
        <is>
          <t>조치원읍</t>
        </is>
      </c>
      <c r="G2124" s="3" t="inlineStr">
        <is>
          <t>번암리</t>
        </is>
      </c>
      <c r="H2124" s="3" t="inlineStr">
        <is>
          <t>일반공업지역</t>
        </is>
      </c>
      <c r="I2124" s="3" t="inlineStr">
        <is>
          <t>전</t>
        </is>
      </c>
      <c r="J2124" s="3" t="inlineStr">
        <is>
          <t>조치원읍</t>
        </is>
      </c>
    </row>
    <row r="2125">
      <c r="A2125" s="3" t="n">
        <v>2025</v>
      </c>
      <c r="B2125" s="4" t="n">
        <v>20000</v>
      </c>
      <c r="C2125" s="4" t="n">
        <v>700</v>
      </c>
      <c r="D2125" s="4" t="n">
        <v>211.75</v>
      </c>
      <c r="E2125" s="5" t="n">
        <v>94.5</v>
      </c>
      <c r="F2125" s="3" t="inlineStr">
        <is>
          <t>연서면</t>
        </is>
      </c>
      <c r="G2125" s="3" t="inlineStr">
        <is>
          <t>기룡리</t>
        </is>
      </c>
      <c r="H2125" s="3" t="inlineStr">
        <is>
          <t>계획관리지역</t>
        </is>
      </c>
      <c r="I2125" s="3" t="inlineStr">
        <is>
          <t>대</t>
        </is>
      </c>
      <c r="J2125" s="3" t="inlineStr">
        <is>
          <t>연서면</t>
        </is>
      </c>
    </row>
    <row r="2126">
      <c r="A2126" s="3" t="n">
        <v>2025</v>
      </c>
      <c r="B2126" s="4" t="n">
        <v>52000</v>
      </c>
      <c r="C2126" s="4" t="n">
        <v>325.1</v>
      </c>
      <c r="D2126" s="4" t="n">
        <v>98.34275000000001</v>
      </c>
      <c r="E2126" s="5" t="n">
        <v>528.8</v>
      </c>
      <c r="F2126" s="3" t="inlineStr">
        <is>
          <t>해밀동</t>
        </is>
      </c>
      <c r="G2126" s="3" t="inlineStr"/>
      <c r="H2126" s="3" t="inlineStr">
        <is>
          <t>제1종전용주거지역</t>
        </is>
      </c>
      <c r="I2126" s="3" t="inlineStr">
        <is>
          <t>대</t>
        </is>
      </c>
      <c r="J2126" s="3" t="inlineStr">
        <is>
          <t>해밀동</t>
        </is>
      </c>
    </row>
    <row r="2127">
      <c r="A2127" s="3" t="n">
        <v>2025</v>
      </c>
      <c r="B2127" s="4" t="n">
        <v>40000</v>
      </c>
      <c r="C2127" s="4" t="n">
        <v>11163</v>
      </c>
      <c r="D2127" s="4" t="n">
        <v>3376.8075</v>
      </c>
      <c r="E2127" s="5" t="n">
        <v>11.8</v>
      </c>
      <c r="F2127" s="3" t="inlineStr">
        <is>
          <t>연서면</t>
        </is>
      </c>
      <c r="G2127" s="3" t="inlineStr">
        <is>
          <t>기룡리</t>
        </is>
      </c>
      <c r="H2127" s="3" t="inlineStr">
        <is>
          <t>생산관리지역</t>
        </is>
      </c>
      <c r="I2127" s="3" t="inlineStr">
        <is>
          <t>임야</t>
        </is>
      </c>
      <c r="J2127" s="3" t="inlineStr">
        <is>
          <t>연서면</t>
        </is>
      </c>
    </row>
    <row r="2128">
      <c r="A2128" s="3" t="n">
        <v>2025</v>
      </c>
      <c r="B2128" s="4" t="n">
        <v>135000</v>
      </c>
      <c r="C2128" s="4" t="n">
        <v>13352</v>
      </c>
      <c r="D2128" s="4" t="n">
        <v>4038.98</v>
      </c>
      <c r="E2128" s="5" t="n">
        <v>33.4</v>
      </c>
      <c r="F2128" s="3" t="inlineStr">
        <is>
          <t>조치원읍</t>
        </is>
      </c>
      <c r="G2128" s="3" t="inlineStr">
        <is>
          <t>신안리</t>
        </is>
      </c>
      <c r="H2128" s="3" t="inlineStr">
        <is>
          <t>자연녹지지역</t>
        </is>
      </c>
      <c r="I2128" s="3" t="inlineStr">
        <is>
          <t>전</t>
        </is>
      </c>
      <c r="J2128" s="3" t="inlineStr">
        <is>
          <t>조치원읍</t>
        </is>
      </c>
    </row>
    <row r="2129">
      <c r="A2129" s="3" t="n">
        <v>2025</v>
      </c>
      <c r="B2129" s="4" t="n">
        <v>20000</v>
      </c>
      <c r="C2129" s="4" t="n">
        <v>1951</v>
      </c>
      <c r="D2129" s="4" t="n">
        <v>590.1775</v>
      </c>
      <c r="E2129" s="5" t="n">
        <v>33.9</v>
      </c>
      <c r="F2129" s="3" t="inlineStr">
        <is>
          <t>조치원읍</t>
        </is>
      </c>
      <c r="G2129" s="3" t="inlineStr">
        <is>
          <t>신안리</t>
        </is>
      </c>
      <c r="H2129" s="3" t="inlineStr">
        <is>
          <t>자연녹지지역</t>
        </is>
      </c>
      <c r="I2129" s="3" t="inlineStr">
        <is>
          <t>임야</t>
        </is>
      </c>
      <c r="J2129" s="3" t="inlineStr">
        <is>
          <t>조치원읍</t>
        </is>
      </c>
    </row>
    <row r="2130">
      <c r="A2130" s="3" t="n">
        <v>2025</v>
      </c>
      <c r="B2130" s="4" t="n">
        <v>26200</v>
      </c>
      <c r="C2130" s="4" t="n">
        <v>241</v>
      </c>
      <c r="D2130" s="4" t="n">
        <v>72.9025</v>
      </c>
      <c r="E2130" s="5" t="n">
        <v>359.4</v>
      </c>
      <c r="F2130" s="3" t="inlineStr">
        <is>
          <t>조치원읍</t>
        </is>
      </c>
      <c r="G2130" s="3" t="inlineStr">
        <is>
          <t>침산리</t>
        </is>
      </c>
      <c r="H2130" s="3" t="inlineStr">
        <is>
          <t>제2종일반주거지역</t>
        </is>
      </c>
      <c r="I2130" s="3" t="inlineStr">
        <is>
          <t>대</t>
        </is>
      </c>
      <c r="J2130" s="3" t="inlineStr">
        <is>
          <t>조치원읍</t>
        </is>
      </c>
    </row>
    <row r="2131">
      <c r="A2131" s="3" t="n">
        <v>2025</v>
      </c>
      <c r="B2131" s="4" t="n">
        <v>30000</v>
      </c>
      <c r="C2131" s="4" t="n">
        <v>1983.7</v>
      </c>
      <c r="D2131" s="4" t="n">
        <v>600.06925</v>
      </c>
      <c r="E2131" s="5" t="n">
        <v>50</v>
      </c>
      <c r="F2131" s="3" t="inlineStr">
        <is>
          <t>연동면</t>
        </is>
      </c>
      <c r="G2131" s="3" t="inlineStr">
        <is>
          <t>문주리</t>
        </is>
      </c>
      <c r="H2131" s="3" t="inlineStr">
        <is>
          <t>농림지역</t>
        </is>
      </c>
      <c r="I2131" s="3" t="inlineStr">
        <is>
          <t>답</t>
        </is>
      </c>
      <c r="J2131" s="3" t="inlineStr">
        <is>
          <t>연동면</t>
        </is>
      </c>
    </row>
    <row r="2132">
      <c r="A2132" s="3" t="n">
        <v>2025</v>
      </c>
      <c r="B2132" s="4" t="n">
        <v>9152</v>
      </c>
      <c r="C2132" s="4" t="n">
        <v>296.1</v>
      </c>
      <c r="D2132" s="4" t="n">
        <v>89.57025</v>
      </c>
      <c r="E2132" s="5" t="n">
        <v>102.2</v>
      </c>
      <c r="F2132" s="3" t="inlineStr">
        <is>
          <t>연서면</t>
        </is>
      </c>
      <c r="G2132" s="3" t="inlineStr">
        <is>
          <t>청라리</t>
        </is>
      </c>
      <c r="H2132" s="3" t="inlineStr">
        <is>
          <t>계획관리지역</t>
        </is>
      </c>
      <c r="I2132" s="3" t="inlineStr">
        <is>
          <t>대</t>
        </is>
      </c>
      <c r="J2132" s="3" t="inlineStr">
        <is>
          <t>연서면</t>
        </is>
      </c>
    </row>
    <row r="2133">
      <c r="A2133" s="3" t="n">
        <v>2025</v>
      </c>
      <c r="B2133" s="4" t="n">
        <v>10849</v>
      </c>
      <c r="C2133" s="4" t="n">
        <v>351</v>
      </c>
      <c r="D2133" s="4" t="n">
        <v>106.1775</v>
      </c>
      <c r="E2133" s="5" t="n">
        <v>102.2</v>
      </c>
      <c r="F2133" s="3" t="inlineStr">
        <is>
          <t>연서면</t>
        </is>
      </c>
      <c r="G2133" s="3" t="inlineStr">
        <is>
          <t>청라리</t>
        </is>
      </c>
      <c r="H2133" s="3" t="inlineStr">
        <is>
          <t>계획관리지역</t>
        </is>
      </c>
      <c r="I2133" s="3" t="inlineStr">
        <is>
          <t>대</t>
        </is>
      </c>
      <c r="J2133" s="3" t="inlineStr">
        <is>
          <t>연서면</t>
        </is>
      </c>
    </row>
    <row r="2134">
      <c r="A2134" s="3" t="n">
        <v>2025</v>
      </c>
      <c r="B2134" s="4" t="n">
        <v>53000</v>
      </c>
      <c r="C2134" s="4" t="n">
        <v>2498</v>
      </c>
      <c r="D2134" s="4" t="n">
        <v>755.645</v>
      </c>
      <c r="E2134" s="5" t="n">
        <v>70.09999999999999</v>
      </c>
      <c r="F2134" s="3" t="inlineStr">
        <is>
          <t>연서면</t>
        </is>
      </c>
      <c r="G2134" s="3" t="inlineStr">
        <is>
          <t>신대리</t>
        </is>
      </c>
      <c r="H2134" s="3" t="inlineStr">
        <is>
          <t>농림지역</t>
        </is>
      </c>
      <c r="I2134" s="3" t="inlineStr">
        <is>
          <t>답</t>
        </is>
      </c>
      <c r="J2134" s="3" t="inlineStr">
        <is>
          <t>연서면</t>
        </is>
      </c>
    </row>
    <row r="2135">
      <c r="A2135" s="3" t="n">
        <v>2023</v>
      </c>
      <c r="B2135" s="4" t="n">
        <v>27500</v>
      </c>
      <c r="C2135" s="4" t="n">
        <v>1819</v>
      </c>
      <c r="D2135" s="4" t="n">
        <v>550.2474999999999</v>
      </c>
      <c r="E2135" s="5" t="n">
        <v>50</v>
      </c>
      <c r="F2135" s="3" t="inlineStr">
        <is>
          <t>강내면</t>
        </is>
      </c>
      <c r="G2135" s="3" t="inlineStr">
        <is>
          <t>당곡리</t>
        </is>
      </c>
      <c r="H2135" s="3" t="inlineStr">
        <is>
          <t>농림지역</t>
        </is>
      </c>
      <c r="I2135" s="3" t="inlineStr">
        <is>
          <t>답</t>
        </is>
      </c>
      <c r="J2135" s="3" t="inlineStr">
        <is>
          <t>강내면</t>
        </is>
      </c>
    </row>
    <row r="2136">
      <c r="A2136" s="3" t="n">
        <v>2023</v>
      </c>
      <c r="B2136" s="4" t="n">
        <v>12500</v>
      </c>
      <c r="C2136" s="4" t="n">
        <v>1357.2</v>
      </c>
      <c r="D2136" s="4" t="n">
        <v>410.553</v>
      </c>
      <c r="E2136" s="5" t="n">
        <v>30.4</v>
      </c>
      <c r="F2136" s="3" t="inlineStr">
        <is>
          <t>강내면</t>
        </is>
      </c>
      <c r="G2136" s="3" t="inlineStr">
        <is>
          <t>산단리</t>
        </is>
      </c>
      <c r="H2136" s="3" t="inlineStr">
        <is>
          <t>농림지역</t>
        </is>
      </c>
      <c r="I2136" s="3" t="inlineStr">
        <is>
          <t>답</t>
        </is>
      </c>
      <c r="J2136" s="3" t="inlineStr">
        <is>
          <t>강내면</t>
        </is>
      </c>
    </row>
    <row r="2137">
      <c r="A2137" s="3" t="n">
        <v>2023</v>
      </c>
      <c r="B2137" s="4" t="n">
        <v>30000</v>
      </c>
      <c r="C2137" s="4" t="n">
        <v>1928</v>
      </c>
      <c r="D2137" s="4" t="n">
        <v>583.22</v>
      </c>
      <c r="E2137" s="5" t="n">
        <v>51.4</v>
      </c>
      <c r="F2137" s="3" t="inlineStr">
        <is>
          <t>강내면</t>
        </is>
      </c>
      <c r="G2137" s="3" t="inlineStr">
        <is>
          <t>다락리</t>
        </is>
      </c>
      <c r="H2137" s="3" t="inlineStr">
        <is>
          <t>농림지역</t>
        </is>
      </c>
      <c r="I2137" s="3" t="inlineStr">
        <is>
          <t>전</t>
        </is>
      </c>
      <c r="J2137" s="3" t="inlineStr">
        <is>
          <t>강내면</t>
        </is>
      </c>
    </row>
    <row r="2138">
      <c r="A2138" s="3" t="n">
        <v>2023</v>
      </c>
      <c r="B2138" s="4" t="n">
        <v>1900</v>
      </c>
      <c r="C2138" s="4" t="n">
        <v>66</v>
      </c>
      <c r="D2138" s="4" t="n">
        <v>19.965</v>
      </c>
      <c r="E2138" s="5" t="n">
        <v>95.2</v>
      </c>
      <c r="F2138" s="3" t="inlineStr">
        <is>
          <t>강내면</t>
        </is>
      </c>
      <c r="G2138" s="3" t="inlineStr">
        <is>
          <t>사인리</t>
        </is>
      </c>
      <c r="H2138" s="3" t="inlineStr">
        <is>
          <t>자연녹지지역</t>
        </is>
      </c>
      <c r="I2138" s="3" t="inlineStr">
        <is>
          <t>도로</t>
        </is>
      </c>
      <c r="J2138" s="3" t="inlineStr">
        <is>
          <t>강내면</t>
        </is>
      </c>
    </row>
    <row r="2139">
      <c r="A2139" s="3" t="n">
        <v>2023</v>
      </c>
      <c r="B2139" s="4" t="n">
        <v>25762</v>
      </c>
      <c r="C2139" s="4" t="n">
        <v>501</v>
      </c>
      <c r="D2139" s="4" t="n">
        <v>151.5525</v>
      </c>
      <c r="E2139" s="5" t="n">
        <v>170</v>
      </c>
      <c r="F2139" s="3" t="inlineStr">
        <is>
          <t>오송읍</t>
        </is>
      </c>
      <c r="G2139" s="3" t="inlineStr">
        <is>
          <t>궁평리</t>
        </is>
      </c>
      <c r="H2139" s="3" t="inlineStr">
        <is>
          <t>농림지역</t>
        </is>
      </c>
      <c r="I2139" s="3" t="inlineStr">
        <is>
          <t>대</t>
        </is>
      </c>
      <c r="J2139" s="3" t="inlineStr">
        <is>
          <t>오송읍</t>
        </is>
      </c>
    </row>
    <row r="2140">
      <c r="A2140" s="3" t="n">
        <v>2023</v>
      </c>
      <c r="B2140" s="4" t="n">
        <v>10497</v>
      </c>
      <c r="C2140" s="4" t="n">
        <v>285</v>
      </c>
      <c r="D2140" s="4" t="n">
        <v>86.21249999999999</v>
      </c>
      <c r="E2140" s="5" t="n">
        <v>121.8</v>
      </c>
      <c r="F2140" s="3" t="inlineStr">
        <is>
          <t>강내면</t>
        </is>
      </c>
      <c r="G2140" s="3" t="inlineStr">
        <is>
          <t>저산리</t>
        </is>
      </c>
      <c r="H2140" s="3" t="inlineStr">
        <is>
          <t>계획관리지역</t>
        </is>
      </c>
      <c r="I2140" s="3" t="inlineStr">
        <is>
          <t>임야</t>
        </is>
      </c>
      <c r="J2140" s="3" t="inlineStr">
        <is>
          <t>강내면</t>
        </is>
      </c>
    </row>
    <row r="2141">
      <c r="A2141" s="3" t="n">
        <v>2023</v>
      </c>
      <c r="B2141" s="4" t="n">
        <v>5303</v>
      </c>
      <c r="C2141" s="4" t="n">
        <v>144</v>
      </c>
      <c r="D2141" s="4" t="n">
        <v>43.56</v>
      </c>
      <c r="E2141" s="5" t="n">
        <v>121.7</v>
      </c>
      <c r="F2141" s="3" t="inlineStr">
        <is>
          <t>강내면</t>
        </is>
      </c>
      <c r="G2141" s="3" t="inlineStr">
        <is>
          <t>저산리</t>
        </is>
      </c>
      <c r="H2141" s="3" t="inlineStr">
        <is>
          <t>계획관리지역</t>
        </is>
      </c>
      <c r="I2141" s="3" t="inlineStr">
        <is>
          <t>전</t>
        </is>
      </c>
      <c r="J2141" s="3" t="inlineStr">
        <is>
          <t>강내면</t>
        </is>
      </c>
    </row>
    <row r="2142">
      <c r="A2142" s="3" t="n">
        <v>2023</v>
      </c>
      <c r="B2142" s="4" t="n">
        <v>37273</v>
      </c>
      <c r="C2142" s="4" t="n">
        <v>615</v>
      </c>
      <c r="D2142" s="4" t="n">
        <v>186.0375</v>
      </c>
      <c r="E2142" s="5" t="n">
        <v>200.4</v>
      </c>
      <c r="F2142" s="3" t="inlineStr">
        <is>
          <t>오송읍</t>
        </is>
      </c>
      <c r="G2142" s="3" t="inlineStr">
        <is>
          <t>궁평리</t>
        </is>
      </c>
      <c r="H2142" s="3" t="inlineStr">
        <is>
          <t>농림지역</t>
        </is>
      </c>
      <c r="I2142" s="3" t="inlineStr">
        <is>
          <t>답</t>
        </is>
      </c>
      <c r="J2142" s="3" t="inlineStr">
        <is>
          <t>오송읍</t>
        </is>
      </c>
    </row>
    <row r="2143">
      <c r="A2143" s="3" t="n">
        <v>2023</v>
      </c>
      <c r="B2143" s="4" t="n">
        <v>2727</v>
      </c>
      <c r="C2143" s="4" t="n">
        <v>45</v>
      </c>
      <c r="D2143" s="4" t="n">
        <v>13.6125</v>
      </c>
      <c r="E2143" s="5" t="n">
        <v>200.3</v>
      </c>
      <c r="F2143" s="3" t="inlineStr">
        <is>
          <t>오송읍</t>
        </is>
      </c>
      <c r="G2143" s="3" t="inlineStr">
        <is>
          <t>궁평리</t>
        </is>
      </c>
      <c r="H2143" s="3" t="inlineStr">
        <is>
          <t>농림지역</t>
        </is>
      </c>
      <c r="I2143" s="3" t="inlineStr">
        <is>
          <t>답</t>
        </is>
      </c>
      <c r="J2143" s="3" t="inlineStr">
        <is>
          <t>오송읍</t>
        </is>
      </c>
    </row>
    <row r="2144">
      <c r="A2144" s="3" t="n">
        <v>2023</v>
      </c>
      <c r="B2144" s="4" t="n">
        <v>3000</v>
      </c>
      <c r="C2144" s="4" t="n">
        <v>17</v>
      </c>
      <c r="D2144" s="4" t="n">
        <v>5.1425</v>
      </c>
      <c r="E2144" s="5" t="n">
        <v>583.4</v>
      </c>
      <c r="F2144" s="3" t="inlineStr">
        <is>
          <t>오송읍</t>
        </is>
      </c>
      <c r="G2144" s="3" t="inlineStr">
        <is>
          <t>오송리</t>
        </is>
      </c>
      <c r="H2144" s="3" t="inlineStr">
        <is>
          <t>계획관리지역</t>
        </is>
      </c>
      <c r="I2144" s="3" t="inlineStr">
        <is>
          <t>대</t>
        </is>
      </c>
      <c r="J2144" s="3" t="inlineStr">
        <is>
          <t>오송읍</t>
        </is>
      </c>
    </row>
    <row r="2145">
      <c r="A2145" s="3" t="n">
        <v>2022</v>
      </c>
      <c r="B2145" s="4" t="n">
        <v>2115</v>
      </c>
      <c r="C2145" s="4" t="n">
        <v>466</v>
      </c>
      <c r="D2145" s="4" t="n">
        <v>140.965</v>
      </c>
      <c r="E2145" s="5" t="n">
        <v>15</v>
      </c>
      <c r="F2145" s="3" t="inlineStr">
        <is>
          <t>남이면</t>
        </is>
      </c>
      <c r="G2145" s="3" t="inlineStr">
        <is>
          <t>문동리</t>
        </is>
      </c>
      <c r="H2145" s="3" t="inlineStr">
        <is>
          <t>자연환경보전</t>
        </is>
      </c>
      <c r="I2145" s="3" t="inlineStr">
        <is>
          <t>답</t>
        </is>
      </c>
      <c r="J2145" s="3" t="inlineStr">
        <is>
          <t>남이면</t>
        </is>
      </c>
    </row>
    <row r="2146">
      <c r="A2146" s="3" t="n">
        <v>2022</v>
      </c>
      <c r="B2146" s="4" t="n">
        <v>13200</v>
      </c>
      <c r="C2146" s="4" t="n">
        <v>483</v>
      </c>
      <c r="D2146" s="4" t="n">
        <v>146.1075</v>
      </c>
      <c r="E2146" s="5" t="n">
        <v>90.3</v>
      </c>
      <c r="F2146" s="3" t="inlineStr">
        <is>
          <t>남이면</t>
        </is>
      </c>
      <c r="G2146" s="3" t="inlineStr">
        <is>
          <t>양촌리</t>
        </is>
      </c>
      <c r="H2146" s="3" t="inlineStr">
        <is>
          <t>자연녹지지역</t>
        </is>
      </c>
      <c r="I2146" s="3" t="inlineStr">
        <is>
          <t>답</t>
        </is>
      </c>
      <c r="J2146" s="3" t="inlineStr">
        <is>
          <t>남이면</t>
        </is>
      </c>
    </row>
    <row r="2147">
      <c r="A2147" s="3" t="n">
        <v>2022</v>
      </c>
      <c r="B2147" s="4" t="n">
        <v>17000</v>
      </c>
      <c r="C2147" s="4" t="n">
        <v>2334</v>
      </c>
      <c r="D2147" s="4" t="n">
        <v>706.035</v>
      </c>
      <c r="E2147" s="5" t="n">
        <v>24.1</v>
      </c>
      <c r="F2147" s="3" t="inlineStr">
        <is>
          <t>남이면</t>
        </is>
      </c>
      <c r="G2147" s="3" t="inlineStr">
        <is>
          <t>양촌리</t>
        </is>
      </c>
      <c r="H2147" s="3" t="inlineStr">
        <is>
          <t>자연녹지지역</t>
        </is>
      </c>
      <c r="I2147" s="3" t="inlineStr">
        <is>
          <t>전</t>
        </is>
      </c>
      <c r="J2147" s="3" t="inlineStr">
        <is>
          <t>남이면</t>
        </is>
      </c>
    </row>
    <row r="2148">
      <c r="A2148" s="3" t="n">
        <v>2022</v>
      </c>
      <c r="B2148" s="4" t="n">
        <v>3800</v>
      </c>
      <c r="C2148" s="4" t="n">
        <v>930</v>
      </c>
      <c r="D2148" s="4" t="n">
        <v>281.325</v>
      </c>
      <c r="E2148" s="5" t="n">
        <v>13.5</v>
      </c>
      <c r="F2148" s="3" t="inlineStr">
        <is>
          <t>남이면</t>
        </is>
      </c>
      <c r="G2148" s="3" t="inlineStr">
        <is>
          <t>양촌리</t>
        </is>
      </c>
      <c r="H2148" s="3" t="inlineStr">
        <is>
          <t>자연녹지지역</t>
        </is>
      </c>
      <c r="I2148" s="3" t="inlineStr">
        <is>
          <t>답</t>
        </is>
      </c>
      <c r="J2148" s="3" t="inlineStr">
        <is>
          <t>남이면</t>
        </is>
      </c>
    </row>
    <row r="2149">
      <c r="A2149" s="3" t="n">
        <v>2022</v>
      </c>
      <c r="B2149" s="4" t="n">
        <v>10000</v>
      </c>
      <c r="C2149" s="4" t="n">
        <v>426</v>
      </c>
      <c r="D2149" s="4" t="n">
        <v>128.865</v>
      </c>
      <c r="E2149" s="5" t="n">
        <v>77.59999999999999</v>
      </c>
      <c r="F2149" s="3" t="inlineStr">
        <is>
          <t>남이면</t>
        </is>
      </c>
      <c r="G2149" s="3" t="inlineStr">
        <is>
          <t>양촌리</t>
        </is>
      </c>
      <c r="H2149" s="3" t="inlineStr">
        <is>
          <t>자연녹지지역</t>
        </is>
      </c>
      <c r="I2149" s="3" t="inlineStr">
        <is>
          <t>전</t>
        </is>
      </c>
      <c r="J2149" s="3" t="inlineStr">
        <is>
          <t>남이면</t>
        </is>
      </c>
    </row>
    <row r="2150">
      <c r="A2150" s="3" t="n">
        <v>2022</v>
      </c>
      <c r="B2150" s="4" t="n">
        <v>22200</v>
      </c>
      <c r="C2150" s="4" t="n">
        <v>1394</v>
      </c>
      <c r="D2150" s="4" t="n">
        <v>421.685</v>
      </c>
      <c r="E2150" s="5" t="n">
        <v>52.6</v>
      </c>
      <c r="F2150" s="3" t="inlineStr">
        <is>
          <t>남이면</t>
        </is>
      </c>
      <c r="G2150" s="3" t="inlineStr">
        <is>
          <t>양촌리</t>
        </is>
      </c>
      <c r="H2150" s="3" t="inlineStr">
        <is>
          <t>자연녹지지역</t>
        </is>
      </c>
      <c r="I2150" s="3" t="inlineStr">
        <is>
          <t>전</t>
        </is>
      </c>
      <c r="J2150" s="3" t="inlineStr">
        <is>
          <t>남이면</t>
        </is>
      </c>
    </row>
    <row r="2151">
      <c r="A2151" s="3" t="n">
        <v>2022</v>
      </c>
      <c r="B2151" s="4" t="n">
        <v>31300</v>
      </c>
      <c r="C2151" s="4" t="n">
        <v>1217</v>
      </c>
      <c r="D2151" s="4" t="n">
        <v>368.1425</v>
      </c>
      <c r="E2151" s="5" t="n">
        <v>85</v>
      </c>
      <c r="F2151" s="3" t="inlineStr">
        <is>
          <t>남이면</t>
        </is>
      </c>
      <c r="G2151" s="3" t="inlineStr">
        <is>
          <t>양촌리</t>
        </is>
      </c>
      <c r="H2151" s="3" t="inlineStr">
        <is>
          <t>자연녹지지역</t>
        </is>
      </c>
      <c r="I2151" s="3" t="inlineStr">
        <is>
          <t>전</t>
        </is>
      </c>
      <c r="J2151" s="3" t="inlineStr">
        <is>
          <t>남이면</t>
        </is>
      </c>
    </row>
    <row r="2152">
      <c r="A2152" s="3" t="n">
        <v>2022</v>
      </c>
      <c r="B2152" s="4" t="n">
        <v>20100</v>
      </c>
      <c r="C2152" s="4" t="n">
        <v>777</v>
      </c>
      <c r="D2152" s="4" t="n">
        <v>235.0425</v>
      </c>
      <c r="E2152" s="5" t="n">
        <v>85.5</v>
      </c>
      <c r="F2152" s="3" t="inlineStr">
        <is>
          <t>남이면</t>
        </is>
      </c>
      <c r="G2152" s="3" t="inlineStr">
        <is>
          <t>양촌리</t>
        </is>
      </c>
      <c r="H2152" s="3" t="inlineStr">
        <is>
          <t>자연녹지지역</t>
        </is>
      </c>
      <c r="I2152" s="3" t="inlineStr">
        <is>
          <t>전</t>
        </is>
      </c>
      <c r="J2152" s="3" t="inlineStr">
        <is>
          <t>남이면</t>
        </is>
      </c>
    </row>
    <row r="2153">
      <c r="A2153" s="3" t="n">
        <v>2022</v>
      </c>
      <c r="B2153" s="4" t="n">
        <v>42400</v>
      </c>
      <c r="C2153" s="4" t="n">
        <v>3388</v>
      </c>
      <c r="D2153" s="4" t="n">
        <v>1024.87</v>
      </c>
      <c r="E2153" s="5" t="n">
        <v>41.4</v>
      </c>
      <c r="F2153" s="3" t="inlineStr">
        <is>
          <t>남이면</t>
        </is>
      </c>
      <c r="G2153" s="3" t="inlineStr">
        <is>
          <t>양촌리</t>
        </is>
      </c>
      <c r="H2153" s="3" t="inlineStr">
        <is>
          <t>자연녹지지역</t>
        </is>
      </c>
      <c r="I2153" s="3" t="inlineStr">
        <is>
          <t>전</t>
        </is>
      </c>
      <c r="J2153" s="3" t="inlineStr">
        <is>
          <t>남이면</t>
        </is>
      </c>
    </row>
    <row r="2154">
      <c r="A2154" s="3" t="n">
        <v>2024</v>
      </c>
      <c r="B2154" s="4" t="n">
        <v>9230</v>
      </c>
      <c r="C2154" s="4" t="n">
        <v>138</v>
      </c>
      <c r="D2154" s="4" t="n">
        <v>41.745</v>
      </c>
      <c r="E2154" s="5" t="n">
        <v>221.1</v>
      </c>
      <c r="F2154" s="3" t="inlineStr">
        <is>
          <t>남이면</t>
        </is>
      </c>
      <c r="G2154" s="3" t="inlineStr">
        <is>
          <t>양촌리</t>
        </is>
      </c>
      <c r="H2154" s="3" t="inlineStr">
        <is>
          <t>자연녹지지역</t>
        </is>
      </c>
      <c r="I2154" s="3" t="inlineStr">
        <is>
          <t>임야</t>
        </is>
      </c>
      <c r="J2154" s="3" t="inlineStr">
        <is>
          <t>남이면</t>
        </is>
      </c>
    </row>
    <row r="2155">
      <c r="A2155" s="3" t="n">
        <v>2024</v>
      </c>
      <c r="B2155" s="4" t="n">
        <v>30770</v>
      </c>
      <c r="C2155" s="4" t="n">
        <v>460</v>
      </c>
      <c r="D2155" s="4" t="n">
        <v>139.15</v>
      </c>
      <c r="E2155" s="5" t="n">
        <v>221.1</v>
      </c>
      <c r="F2155" s="3" t="inlineStr">
        <is>
          <t>남이면</t>
        </is>
      </c>
      <c r="G2155" s="3" t="inlineStr">
        <is>
          <t>양촌리</t>
        </is>
      </c>
      <c r="H2155" s="3" t="inlineStr">
        <is>
          <t>자연녹지지역</t>
        </is>
      </c>
      <c r="I2155" s="3" t="inlineStr">
        <is>
          <t>전</t>
        </is>
      </c>
      <c r="J2155" s="3" t="inlineStr">
        <is>
          <t>남이면</t>
        </is>
      </c>
    </row>
    <row r="2156">
      <c r="A2156" s="3" t="n">
        <v>2025</v>
      </c>
      <c r="B2156" s="4" t="n">
        <v>39430</v>
      </c>
      <c r="C2156" s="4" t="n">
        <v>863</v>
      </c>
      <c r="D2156" s="4" t="n">
        <v>261.0575</v>
      </c>
      <c r="E2156" s="5" t="n">
        <v>151</v>
      </c>
      <c r="F2156" s="3" t="inlineStr">
        <is>
          <t>남이면</t>
        </is>
      </c>
      <c r="G2156" s="3" t="inlineStr">
        <is>
          <t>부용외천리</t>
        </is>
      </c>
      <c r="H2156" s="3" t="inlineStr">
        <is>
          <t>계획관리지역</t>
        </is>
      </c>
      <c r="I2156" s="3" t="inlineStr">
        <is>
          <t>공장용지</t>
        </is>
      </c>
      <c r="J2156" s="3" t="inlineStr">
        <is>
          <t>남이면</t>
        </is>
      </c>
    </row>
    <row r="2157">
      <c r="A2157" s="3" t="n">
        <v>2025</v>
      </c>
      <c r="B2157" s="4" t="n">
        <v>2923</v>
      </c>
      <c r="C2157" s="4" t="n">
        <v>79</v>
      </c>
      <c r="D2157" s="4" t="n">
        <v>23.8975</v>
      </c>
      <c r="E2157" s="5" t="n">
        <v>122.3</v>
      </c>
      <c r="F2157" s="3" t="inlineStr">
        <is>
          <t>남이면</t>
        </is>
      </c>
      <c r="G2157" s="3" t="inlineStr">
        <is>
          <t>부용외천리</t>
        </is>
      </c>
      <c r="H2157" s="3" t="inlineStr">
        <is>
          <t>계획관리지역</t>
        </is>
      </c>
      <c r="I2157" s="3" t="inlineStr">
        <is>
          <t>공장용지</t>
        </is>
      </c>
      <c r="J2157" s="3" t="inlineStr">
        <is>
          <t>남이면</t>
        </is>
      </c>
    </row>
    <row r="2158">
      <c r="A2158" s="3" t="n">
        <v>2025</v>
      </c>
      <c r="B2158" s="4" t="n">
        <v>51932</v>
      </c>
      <c r="C2158" s="4" t="n">
        <v>1782</v>
      </c>
      <c r="D2158" s="4" t="n">
        <v>539.0549999999999</v>
      </c>
      <c r="E2158" s="5" t="n">
        <v>96.3</v>
      </c>
      <c r="F2158" s="3" t="inlineStr">
        <is>
          <t>남이면</t>
        </is>
      </c>
      <c r="G2158" s="3" t="inlineStr">
        <is>
          <t>부용외천리</t>
        </is>
      </c>
      <c r="H2158" s="3" t="inlineStr">
        <is>
          <t>계획관리지역</t>
        </is>
      </c>
      <c r="I2158" s="3" t="inlineStr">
        <is>
          <t>공장용지</t>
        </is>
      </c>
      <c r="J2158" s="3" t="inlineStr">
        <is>
          <t>남이면</t>
        </is>
      </c>
    </row>
    <row r="2159">
      <c r="A2159" s="3" t="n">
        <v>2025</v>
      </c>
      <c r="B2159" s="4" t="n">
        <v>25891</v>
      </c>
      <c r="C2159" s="4" t="n">
        <v>916</v>
      </c>
      <c r="D2159" s="4" t="n">
        <v>277.09</v>
      </c>
      <c r="E2159" s="5" t="n">
        <v>93.40000000000001</v>
      </c>
      <c r="F2159" s="3" t="inlineStr">
        <is>
          <t>남이면</t>
        </is>
      </c>
      <c r="G2159" s="3" t="inlineStr">
        <is>
          <t>부용외천리</t>
        </is>
      </c>
      <c r="H2159" s="3" t="inlineStr">
        <is>
          <t>계획관리지역</t>
        </is>
      </c>
      <c r="I2159" s="3" t="inlineStr">
        <is>
          <t>공장용지</t>
        </is>
      </c>
      <c r="J2159" s="3" t="inlineStr">
        <is>
          <t>남이면</t>
        </is>
      </c>
    </row>
    <row r="2160">
      <c r="A2160" s="3" t="n">
        <v>2025</v>
      </c>
      <c r="B2160" s="4" t="n">
        <v>48793</v>
      </c>
      <c r="C2160" s="4" t="n">
        <v>1062</v>
      </c>
      <c r="D2160" s="4" t="n">
        <v>321.255</v>
      </c>
      <c r="E2160" s="5" t="n">
        <v>151.9</v>
      </c>
      <c r="F2160" s="3" t="inlineStr">
        <is>
          <t>남이면</t>
        </is>
      </c>
      <c r="G2160" s="3" t="inlineStr">
        <is>
          <t>부용외천리</t>
        </is>
      </c>
      <c r="H2160" s="3" t="inlineStr">
        <is>
          <t>계획관리지역</t>
        </is>
      </c>
      <c r="I2160" s="3" t="inlineStr">
        <is>
          <t>공장용지</t>
        </is>
      </c>
      <c r="J2160" s="3" t="inlineStr">
        <is>
          <t>남이면</t>
        </is>
      </c>
    </row>
    <row r="2161">
      <c r="A2161" s="3" t="n">
        <v>2025</v>
      </c>
      <c r="B2161" s="4" t="n">
        <v>30419</v>
      </c>
      <c r="C2161" s="4" t="n">
        <v>660</v>
      </c>
      <c r="D2161" s="4" t="n">
        <v>199.65</v>
      </c>
      <c r="E2161" s="5" t="n">
        <v>152.4</v>
      </c>
      <c r="F2161" s="3" t="inlineStr">
        <is>
          <t>남이면</t>
        </is>
      </c>
      <c r="G2161" s="3" t="inlineStr">
        <is>
          <t>부용외천리</t>
        </is>
      </c>
      <c r="H2161" s="3" t="inlineStr">
        <is>
          <t>계획관리지역</t>
        </is>
      </c>
      <c r="I2161" s="3" t="inlineStr">
        <is>
          <t>공장용지</t>
        </is>
      </c>
      <c r="J2161" s="3" t="inlineStr">
        <is>
          <t>남이면</t>
        </is>
      </c>
    </row>
    <row r="2162">
      <c r="A2162" s="3" t="n">
        <v>2025</v>
      </c>
      <c r="B2162" s="4" t="n">
        <v>10066</v>
      </c>
      <c r="C2162" s="4" t="n">
        <v>218</v>
      </c>
      <c r="D2162" s="4" t="n">
        <v>65.94499999999999</v>
      </c>
      <c r="E2162" s="5" t="n">
        <v>152.6</v>
      </c>
      <c r="F2162" s="3" t="inlineStr">
        <is>
          <t>남이면</t>
        </is>
      </c>
      <c r="G2162" s="3" t="inlineStr">
        <is>
          <t>부용외천리</t>
        </is>
      </c>
      <c r="H2162" s="3" t="inlineStr">
        <is>
          <t>계획관리지역</t>
        </is>
      </c>
      <c r="I2162" s="3" t="inlineStr">
        <is>
          <t>공장용지</t>
        </is>
      </c>
      <c r="J2162" s="3" t="inlineStr">
        <is>
          <t>남이면</t>
        </is>
      </c>
    </row>
    <row r="2163">
      <c r="A2163" s="3" t="n">
        <v>2025</v>
      </c>
      <c r="B2163" s="4" t="n">
        <v>27199</v>
      </c>
      <c r="C2163" s="4" t="n">
        <v>600</v>
      </c>
      <c r="D2163" s="4" t="n">
        <v>181.5</v>
      </c>
      <c r="E2163" s="5" t="n">
        <v>149.9</v>
      </c>
      <c r="F2163" s="3" t="inlineStr">
        <is>
          <t>남이면</t>
        </is>
      </c>
      <c r="G2163" s="3" t="inlineStr">
        <is>
          <t>부용외천리</t>
        </is>
      </c>
      <c r="H2163" s="3" t="inlineStr">
        <is>
          <t>계획관리지역</t>
        </is>
      </c>
      <c r="I2163" s="3" t="inlineStr">
        <is>
          <t>공장용지</t>
        </is>
      </c>
      <c r="J2163" s="3" t="inlineStr">
        <is>
          <t>남이면</t>
        </is>
      </c>
    </row>
    <row r="2164">
      <c r="A2164" s="3" t="n">
        <v>2025</v>
      </c>
      <c r="B2164" s="4" t="n">
        <v>1480</v>
      </c>
      <c r="C2164" s="4" t="n">
        <v>992</v>
      </c>
      <c r="D2164" s="4" t="n">
        <v>300.08</v>
      </c>
      <c r="E2164" s="5" t="n">
        <v>4.9</v>
      </c>
      <c r="F2164" s="3" t="inlineStr">
        <is>
          <t>남이면</t>
        </is>
      </c>
      <c r="G2164" s="3" t="inlineStr">
        <is>
          <t>부용외천리</t>
        </is>
      </c>
      <c r="H2164" s="3" t="inlineStr">
        <is>
          <t>계획관리지역</t>
        </is>
      </c>
      <c r="I2164" s="3" t="inlineStr">
        <is>
          <t>임야</t>
        </is>
      </c>
      <c r="J2164" s="3" t="inlineStr">
        <is>
          <t>남이면</t>
        </is>
      </c>
    </row>
    <row r="2165">
      <c r="A2165" s="3" t="n">
        <v>2025</v>
      </c>
      <c r="B2165" s="4" t="n">
        <v>36044</v>
      </c>
      <c r="C2165" s="4" t="n">
        <v>785</v>
      </c>
      <c r="D2165" s="4" t="n">
        <v>237.4625</v>
      </c>
      <c r="E2165" s="5" t="n">
        <v>151.8</v>
      </c>
      <c r="F2165" s="3" t="inlineStr">
        <is>
          <t>남이면</t>
        </is>
      </c>
      <c r="G2165" s="3" t="inlineStr">
        <is>
          <t>부용외천리</t>
        </is>
      </c>
      <c r="H2165" s="3" t="inlineStr">
        <is>
          <t>계획관리지역</t>
        </is>
      </c>
      <c r="I2165" s="3" t="inlineStr">
        <is>
          <t>공장용지</t>
        </is>
      </c>
      <c r="J2165" s="3" t="inlineStr">
        <is>
          <t>남이면</t>
        </is>
      </c>
    </row>
    <row r="2166">
      <c r="A2166" s="3" t="n">
        <v>2025</v>
      </c>
      <c r="B2166" s="4" t="n">
        <v>36466</v>
      </c>
      <c r="C2166" s="4" t="n">
        <v>1732</v>
      </c>
      <c r="D2166" s="4" t="n">
        <v>523.9299999999999</v>
      </c>
      <c r="E2166" s="5" t="n">
        <v>69.59999999999999</v>
      </c>
      <c r="F2166" s="3" t="inlineStr">
        <is>
          <t>남이면</t>
        </is>
      </c>
      <c r="G2166" s="3" t="inlineStr">
        <is>
          <t>부용외천리</t>
        </is>
      </c>
      <c r="H2166" s="3" t="inlineStr">
        <is>
          <t>계획관리지역</t>
        </is>
      </c>
      <c r="I2166" s="3" t="inlineStr">
        <is>
          <t>전</t>
        </is>
      </c>
      <c r="J2166" s="3" t="inlineStr">
        <is>
          <t>남이면</t>
        </is>
      </c>
    </row>
    <row r="2167">
      <c r="A2167" s="3" t="n">
        <v>2025</v>
      </c>
      <c r="B2167" s="4" t="n">
        <v>28962</v>
      </c>
      <c r="C2167" s="4" t="n">
        <v>1568</v>
      </c>
      <c r="D2167" s="4" t="n">
        <v>474.32</v>
      </c>
      <c r="E2167" s="5" t="n">
        <v>61.1</v>
      </c>
      <c r="F2167" s="3" t="inlineStr">
        <is>
          <t>남이면</t>
        </is>
      </c>
      <c r="G2167" s="3" t="inlineStr">
        <is>
          <t>부용외천리</t>
        </is>
      </c>
      <c r="H2167" s="3" t="inlineStr">
        <is>
          <t>계획관리지역</t>
        </is>
      </c>
      <c r="I2167" s="3" t="inlineStr">
        <is>
          <t>답</t>
        </is>
      </c>
      <c r="J2167" s="3" t="inlineStr">
        <is>
          <t>남이면</t>
        </is>
      </c>
    </row>
    <row r="2168">
      <c r="A2168" s="3" t="n">
        <v>2025</v>
      </c>
      <c r="B2168" s="4" t="n">
        <v>5411</v>
      </c>
      <c r="C2168" s="4" t="n">
        <v>218</v>
      </c>
      <c r="D2168" s="4" t="n">
        <v>65.94499999999999</v>
      </c>
      <c r="E2168" s="5" t="n">
        <v>82.09999999999999</v>
      </c>
      <c r="F2168" s="3" t="inlineStr">
        <is>
          <t>남이면</t>
        </is>
      </c>
      <c r="G2168" s="3" t="inlineStr">
        <is>
          <t>부용외천리</t>
        </is>
      </c>
      <c r="H2168" s="3" t="inlineStr">
        <is>
          <t>계획관리지역</t>
        </is>
      </c>
      <c r="I2168" s="3" t="inlineStr">
        <is>
          <t>답</t>
        </is>
      </c>
      <c r="J2168" s="3" t="inlineStr">
        <is>
          <t>남이면</t>
        </is>
      </c>
    </row>
    <row r="2169">
      <c r="A2169" s="3" t="n">
        <v>2025</v>
      </c>
      <c r="B2169" s="4" t="n">
        <v>655</v>
      </c>
      <c r="C2169" s="4" t="n">
        <v>28</v>
      </c>
      <c r="D2169" s="4" t="n">
        <v>8.469999999999999</v>
      </c>
      <c r="E2169" s="5" t="n">
        <v>77.3</v>
      </c>
      <c r="F2169" s="3" t="inlineStr">
        <is>
          <t>남이면</t>
        </is>
      </c>
      <c r="G2169" s="3" t="inlineStr">
        <is>
          <t>부용외천리</t>
        </is>
      </c>
      <c r="H2169" s="3" t="inlineStr">
        <is>
          <t>계획관리지역</t>
        </is>
      </c>
      <c r="I2169" s="3" t="inlineStr">
        <is>
          <t>답</t>
        </is>
      </c>
      <c r="J2169" s="3" t="inlineStr">
        <is>
          <t>남이면</t>
        </is>
      </c>
    </row>
    <row r="2170">
      <c r="A2170" s="3" t="n">
        <v>2025</v>
      </c>
      <c r="B2170" s="4" t="n">
        <v>256</v>
      </c>
      <c r="C2170" s="4" t="n">
        <v>13</v>
      </c>
      <c r="D2170" s="4" t="n">
        <v>3.9325</v>
      </c>
      <c r="E2170" s="5" t="n">
        <v>65.09999999999999</v>
      </c>
      <c r="F2170" s="3" t="inlineStr">
        <is>
          <t>남이면</t>
        </is>
      </c>
      <c r="G2170" s="3" t="inlineStr">
        <is>
          <t>부용외천리</t>
        </is>
      </c>
      <c r="H2170" s="3" t="inlineStr">
        <is>
          <t>계획관리지역</t>
        </is>
      </c>
      <c r="I2170" s="3" t="inlineStr">
        <is>
          <t>답</t>
        </is>
      </c>
      <c r="J2170" s="3" t="inlineStr">
        <is>
          <t>남이면</t>
        </is>
      </c>
    </row>
    <row r="2171">
      <c r="A2171" s="3" t="n">
        <v>2022</v>
      </c>
      <c r="B2171" s="4" t="n">
        <v>35000</v>
      </c>
      <c r="C2171" s="4" t="n">
        <v>1735</v>
      </c>
      <c r="D2171" s="4" t="n">
        <v>524.8375</v>
      </c>
      <c r="E2171" s="5" t="n">
        <v>66.7</v>
      </c>
      <c r="F2171" s="3" t="inlineStr">
        <is>
          <t>강내면</t>
        </is>
      </c>
      <c r="G2171" s="3" t="inlineStr">
        <is>
          <t>저산리</t>
        </is>
      </c>
      <c r="H2171" s="3" t="inlineStr">
        <is>
          <t>농림지역</t>
        </is>
      </c>
      <c r="I2171" s="3" t="inlineStr">
        <is>
          <t>답</t>
        </is>
      </c>
      <c r="J2171" s="3" t="inlineStr">
        <is>
          <t>강내면</t>
        </is>
      </c>
    </row>
    <row r="2172">
      <c r="A2172" s="3" t="n">
        <v>2023</v>
      </c>
      <c r="B2172" s="4" t="n">
        <v>22000</v>
      </c>
      <c r="C2172" s="4" t="n">
        <v>588</v>
      </c>
      <c r="D2172" s="4" t="n">
        <v>177.87</v>
      </c>
      <c r="E2172" s="5" t="n">
        <v>123.7</v>
      </c>
      <c r="F2172" s="3" t="inlineStr">
        <is>
          <t>강내면</t>
        </is>
      </c>
      <c r="G2172" s="3" t="inlineStr">
        <is>
          <t>저산리</t>
        </is>
      </c>
      <c r="H2172" s="3" t="inlineStr">
        <is>
          <t>보전관리지역</t>
        </is>
      </c>
      <c r="I2172" s="3" t="inlineStr">
        <is>
          <t>임야</t>
        </is>
      </c>
      <c r="J2172" s="3" t="inlineStr">
        <is>
          <t>강내면</t>
        </is>
      </c>
    </row>
    <row r="2173">
      <c r="A2173" s="3" t="n">
        <v>2026</v>
      </c>
      <c r="B2173" s="4" t="n">
        <v>40000</v>
      </c>
      <c r="C2173" s="4" t="n">
        <v>272.9</v>
      </c>
      <c r="D2173" s="4" t="n">
        <v>82.55224999999999</v>
      </c>
      <c r="E2173" s="5" t="n">
        <v>484.5</v>
      </c>
      <c r="F2173" s="3" t="inlineStr">
        <is>
          <t>오송읍</t>
        </is>
      </c>
      <c r="G2173" s="3" t="inlineStr">
        <is>
          <t>봉산리</t>
        </is>
      </c>
      <c r="H2173" s="3" t="inlineStr">
        <is>
          <t>제1종일반주거지역</t>
        </is>
      </c>
      <c r="I2173" s="3" t="inlineStr">
        <is>
          <t>대</t>
        </is>
      </c>
      <c r="J2173" s="3" t="inlineStr">
        <is>
          <t>오송읍</t>
        </is>
      </c>
    </row>
    <row r="2174">
      <c r="A2174" s="3" t="n">
        <v>2025</v>
      </c>
      <c r="B2174" s="4" t="n">
        <v>60000</v>
      </c>
      <c r="C2174" s="4" t="n">
        <v>1920</v>
      </c>
      <c r="D2174" s="4" t="n">
        <v>580.8</v>
      </c>
      <c r="E2174" s="5" t="n">
        <v>103.3</v>
      </c>
      <c r="F2174" s="3" t="inlineStr">
        <is>
          <t>남이면</t>
        </is>
      </c>
      <c r="G2174" s="3" t="inlineStr">
        <is>
          <t>수대리</t>
        </is>
      </c>
      <c r="H2174" s="3" t="inlineStr">
        <is>
          <t>보전녹지지역</t>
        </is>
      </c>
      <c r="I2174" s="3" t="inlineStr">
        <is>
          <t>대</t>
        </is>
      </c>
      <c r="J2174" s="3" t="inlineStr">
        <is>
          <t>남이면</t>
        </is>
      </c>
    </row>
    <row r="2175">
      <c r="A2175" s="3" t="n">
        <v>2025</v>
      </c>
      <c r="B2175" s="4" t="n">
        <v>17120</v>
      </c>
      <c r="C2175" s="4" t="n">
        <v>613</v>
      </c>
      <c r="D2175" s="4" t="n">
        <v>185.4325</v>
      </c>
      <c r="E2175" s="5" t="n">
        <v>92.3</v>
      </c>
      <c r="F2175" s="3" t="inlineStr">
        <is>
          <t>남이면</t>
        </is>
      </c>
      <c r="G2175" s="3" t="inlineStr">
        <is>
          <t>문동리</t>
        </is>
      </c>
      <c r="H2175" s="3" t="inlineStr">
        <is>
          <t>보전녹지지역</t>
        </is>
      </c>
      <c r="I2175" s="3" t="inlineStr">
        <is>
          <t>임야</t>
        </is>
      </c>
      <c r="J2175" s="3" t="inlineStr">
        <is>
          <t>남이면</t>
        </is>
      </c>
    </row>
    <row r="2176">
      <c r="A2176" s="3" t="n">
        <v>2025</v>
      </c>
      <c r="B2176" s="4" t="n">
        <v>13761</v>
      </c>
      <c r="C2176" s="4" t="n">
        <v>518</v>
      </c>
      <c r="D2176" s="4" t="n">
        <v>156.695</v>
      </c>
      <c r="E2176" s="5" t="n">
        <v>87.8</v>
      </c>
      <c r="F2176" s="3" t="inlineStr">
        <is>
          <t>남이면</t>
        </is>
      </c>
      <c r="G2176" s="3" t="inlineStr">
        <is>
          <t>상발리</t>
        </is>
      </c>
      <c r="H2176" s="3" t="inlineStr">
        <is>
          <t>자연녹지지역</t>
        </is>
      </c>
      <c r="I2176" s="3" t="inlineStr">
        <is>
          <t>전</t>
        </is>
      </c>
      <c r="J2176" s="3" t="inlineStr">
        <is>
          <t>남이면</t>
        </is>
      </c>
    </row>
    <row r="2177">
      <c r="A2177" s="3" t="n">
        <v>2025</v>
      </c>
      <c r="B2177" s="4" t="n">
        <v>22602</v>
      </c>
      <c r="C2177" s="4" t="n">
        <v>706</v>
      </c>
      <c r="D2177" s="4" t="n">
        <v>213.565</v>
      </c>
      <c r="E2177" s="5" t="n">
        <v>105.8</v>
      </c>
      <c r="F2177" s="3" t="inlineStr">
        <is>
          <t>남이면</t>
        </is>
      </c>
      <c r="G2177" s="3" t="inlineStr">
        <is>
          <t>상발리</t>
        </is>
      </c>
      <c r="H2177" s="3" t="inlineStr">
        <is>
          <t>자연녹지지역</t>
        </is>
      </c>
      <c r="I2177" s="3" t="inlineStr">
        <is>
          <t>전</t>
        </is>
      </c>
      <c r="J2177" s="3" t="inlineStr">
        <is>
          <t>남이면</t>
        </is>
      </c>
    </row>
    <row r="2178">
      <c r="A2178" s="3" t="n">
        <v>2025</v>
      </c>
      <c r="B2178" s="4" t="n">
        <v>11237</v>
      </c>
      <c r="C2178" s="4" t="n">
        <v>351</v>
      </c>
      <c r="D2178" s="4" t="n">
        <v>106.1775</v>
      </c>
      <c r="E2178" s="5" t="n">
        <v>105.8</v>
      </c>
      <c r="F2178" s="3" t="inlineStr">
        <is>
          <t>남이면</t>
        </is>
      </c>
      <c r="G2178" s="3" t="inlineStr">
        <is>
          <t>상발리</t>
        </is>
      </c>
      <c r="H2178" s="3" t="inlineStr">
        <is>
          <t>자연녹지지역</t>
        </is>
      </c>
      <c r="I2178" s="3" t="inlineStr">
        <is>
          <t>답</t>
        </is>
      </c>
      <c r="J2178" s="3" t="inlineStr">
        <is>
          <t>남이면</t>
        </is>
      </c>
    </row>
    <row r="2179">
      <c r="A2179" s="3" t="n">
        <v>2025</v>
      </c>
      <c r="B2179" s="4" t="n">
        <v>24100</v>
      </c>
      <c r="C2179" s="4" t="n">
        <v>521</v>
      </c>
      <c r="D2179" s="4" t="n">
        <v>157.6025</v>
      </c>
      <c r="E2179" s="5" t="n">
        <v>152.9</v>
      </c>
      <c r="F2179" s="3" t="inlineStr">
        <is>
          <t>남이면</t>
        </is>
      </c>
      <c r="G2179" s="3" t="inlineStr">
        <is>
          <t>가마리</t>
        </is>
      </c>
      <c r="H2179" s="3" t="inlineStr">
        <is>
          <t>보전녹지지역</t>
        </is>
      </c>
      <c r="I2179" s="3" t="inlineStr">
        <is>
          <t>임야</t>
        </is>
      </c>
      <c r="J2179" s="3" t="inlineStr">
        <is>
          <t>남이면</t>
        </is>
      </c>
    </row>
    <row r="2180">
      <c r="A2180" s="3" t="n">
        <v>2025</v>
      </c>
      <c r="B2180" s="4" t="n">
        <v>330150</v>
      </c>
      <c r="C2180" s="4" t="n">
        <v>11896</v>
      </c>
      <c r="D2180" s="4" t="n">
        <v>3598.54</v>
      </c>
      <c r="E2180" s="5" t="n">
        <v>91.7</v>
      </c>
      <c r="F2180" s="3" t="inlineStr">
        <is>
          <t>남이면</t>
        </is>
      </c>
      <c r="G2180" s="3" t="inlineStr">
        <is>
          <t>구미리</t>
        </is>
      </c>
      <c r="H2180" s="3" t="inlineStr">
        <is>
          <t>계획관리지역</t>
        </is>
      </c>
      <c r="I2180" s="3" t="inlineStr">
        <is>
          <t>임야</t>
        </is>
      </c>
      <c r="J2180" s="3" t="inlineStr">
        <is>
          <t>남이면</t>
        </is>
      </c>
    </row>
    <row r="2181">
      <c r="A2181" s="3" t="n">
        <v>2025</v>
      </c>
      <c r="B2181" s="4" t="n">
        <v>40600</v>
      </c>
      <c r="C2181" s="4" t="n">
        <v>791</v>
      </c>
      <c r="D2181" s="4" t="n">
        <v>239.2775</v>
      </c>
      <c r="E2181" s="5" t="n">
        <v>169.7</v>
      </c>
      <c r="F2181" s="3" t="inlineStr">
        <is>
          <t>남이면</t>
        </is>
      </c>
      <c r="G2181" s="3" t="inlineStr">
        <is>
          <t>구미리</t>
        </is>
      </c>
      <c r="H2181" s="3" t="inlineStr">
        <is>
          <t>계획관리지역</t>
        </is>
      </c>
      <c r="I2181" s="3" t="inlineStr">
        <is>
          <t>대</t>
        </is>
      </c>
      <c r="J2181" s="3" t="inlineStr">
        <is>
          <t>남이면</t>
        </is>
      </c>
    </row>
    <row r="2182">
      <c r="A2182" s="3" t="n">
        <v>2025</v>
      </c>
      <c r="B2182" s="4" t="n">
        <v>6800</v>
      </c>
      <c r="C2182" s="4" t="n">
        <v>253</v>
      </c>
      <c r="D2182" s="4" t="n">
        <v>76.5325</v>
      </c>
      <c r="E2182" s="5" t="n">
        <v>88.90000000000001</v>
      </c>
      <c r="F2182" s="3" t="inlineStr">
        <is>
          <t>남이면</t>
        </is>
      </c>
      <c r="G2182" s="3" t="inlineStr">
        <is>
          <t>구미리</t>
        </is>
      </c>
      <c r="H2182" s="3" t="inlineStr">
        <is>
          <t>계획관리지역</t>
        </is>
      </c>
      <c r="I2182" s="3" t="inlineStr">
        <is>
          <t>임야</t>
        </is>
      </c>
      <c r="J2182" s="3" t="inlineStr">
        <is>
          <t>남이면</t>
        </is>
      </c>
    </row>
    <row r="2183">
      <c r="A2183" s="3" t="n">
        <v>2025</v>
      </c>
      <c r="B2183" s="4" t="n">
        <v>6100</v>
      </c>
      <c r="C2183" s="4" t="n">
        <v>119</v>
      </c>
      <c r="D2183" s="4" t="n">
        <v>35.9975</v>
      </c>
      <c r="E2183" s="5" t="n">
        <v>169.5</v>
      </c>
      <c r="F2183" s="3" t="inlineStr">
        <is>
          <t>남이면</t>
        </is>
      </c>
      <c r="G2183" s="3" t="inlineStr">
        <is>
          <t>구미리</t>
        </is>
      </c>
      <c r="H2183" s="3" t="inlineStr">
        <is>
          <t>계획관리지역</t>
        </is>
      </c>
      <c r="I2183" s="3" t="inlineStr">
        <is>
          <t>대</t>
        </is>
      </c>
      <c r="J2183" s="3" t="inlineStr">
        <is>
          <t>남이면</t>
        </is>
      </c>
    </row>
    <row r="2184">
      <c r="A2184" s="3" t="n">
        <v>2025</v>
      </c>
      <c r="B2184" s="4" t="n">
        <v>25000</v>
      </c>
      <c r="C2184" s="4" t="n">
        <v>1271</v>
      </c>
      <c r="D2184" s="4" t="n">
        <v>384.4775</v>
      </c>
      <c r="E2184" s="5" t="n">
        <v>65</v>
      </c>
      <c r="F2184" s="3" t="inlineStr">
        <is>
          <t>남이면</t>
        </is>
      </c>
      <c r="G2184" s="3" t="inlineStr">
        <is>
          <t>수대리</t>
        </is>
      </c>
      <c r="H2184" s="3" t="inlineStr">
        <is>
          <t>자연녹지지역</t>
        </is>
      </c>
      <c r="I2184" s="3" t="inlineStr">
        <is>
          <t>답</t>
        </is>
      </c>
      <c r="J2184" s="3" t="inlineStr">
        <is>
          <t>남이면</t>
        </is>
      </c>
    </row>
    <row r="2185">
      <c r="A2185" s="3" t="n">
        <v>2025</v>
      </c>
      <c r="B2185" s="4" t="n">
        <v>1220</v>
      </c>
      <c r="C2185" s="4" t="n">
        <v>33</v>
      </c>
      <c r="D2185" s="4" t="n">
        <v>9.9825</v>
      </c>
      <c r="E2185" s="5" t="n">
        <v>122.2</v>
      </c>
      <c r="F2185" s="3" t="inlineStr">
        <is>
          <t>남이면</t>
        </is>
      </c>
      <c r="G2185" s="3" t="inlineStr">
        <is>
          <t>가마리</t>
        </is>
      </c>
      <c r="H2185" s="3" t="inlineStr">
        <is>
          <t>자연녹지지역</t>
        </is>
      </c>
      <c r="I2185" s="3" t="inlineStr">
        <is>
          <t>전</t>
        </is>
      </c>
      <c r="J2185" s="3" t="inlineStr">
        <is>
          <t>남이면</t>
        </is>
      </c>
    </row>
    <row r="2186">
      <c r="A2186" s="3" t="n">
        <v>2025</v>
      </c>
      <c r="B2186" s="4" t="n">
        <v>2292</v>
      </c>
      <c r="C2186" s="4" t="n">
        <v>62</v>
      </c>
      <c r="D2186" s="4" t="n">
        <v>18.755</v>
      </c>
      <c r="E2186" s="5" t="n">
        <v>122.2</v>
      </c>
      <c r="F2186" s="3" t="inlineStr">
        <is>
          <t>남이면</t>
        </is>
      </c>
      <c r="G2186" s="3" t="inlineStr">
        <is>
          <t>가마리</t>
        </is>
      </c>
      <c r="H2186" s="3" t="inlineStr">
        <is>
          <t>자연녹지지역</t>
        </is>
      </c>
      <c r="I2186" s="3" t="inlineStr">
        <is>
          <t>전</t>
        </is>
      </c>
      <c r="J2186" s="3" t="inlineStr">
        <is>
          <t>남이면</t>
        </is>
      </c>
    </row>
    <row r="2187">
      <c r="A2187" s="3" t="n">
        <v>2025</v>
      </c>
      <c r="B2187" s="4" t="n">
        <v>16268</v>
      </c>
      <c r="C2187" s="4" t="n">
        <v>440</v>
      </c>
      <c r="D2187" s="4" t="n">
        <v>133.1</v>
      </c>
      <c r="E2187" s="5" t="n">
        <v>122.2</v>
      </c>
      <c r="F2187" s="3" t="inlineStr">
        <is>
          <t>남이면</t>
        </is>
      </c>
      <c r="G2187" s="3" t="inlineStr">
        <is>
          <t>가마리</t>
        </is>
      </c>
      <c r="H2187" s="3" t="inlineStr">
        <is>
          <t>자연녹지지역</t>
        </is>
      </c>
      <c r="I2187" s="3" t="inlineStr">
        <is>
          <t>전</t>
        </is>
      </c>
      <c r="J2187" s="3" t="inlineStr">
        <is>
          <t>남이면</t>
        </is>
      </c>
    </row>
    <row r="2188">
      <c r="A2188" s="3" t="n">
        <v>2025</v>
      </c>
      <c r="B2188" s="4" t="n">
        <v>65106</v>
      </c>
      <c r="C2188" s="4" t="n">
        <v>1620</v>
      </c>
      <c r="D2188" s="4" t="n">
        <v>490.05</v>
      </c>
      <c r="E2188" s="5" t="n">
        <v>132.9</v>
      </c>
      <c r="F2188" s="3" t="inlineStr">
        <is>
          <t>남이면</t>
        </is>
      </c>
      <c r="G2188" s="3" t="inlineStr">
        <is>
          <t>가마리</t>
        </is>
      </c>
      <c r="H2188" s="3" t="inlineStr">
        <is>
          <t>자연녹지지역</t>
        </is>
      </c>
      <c r="I2188" s="3" t="inlineStr">
        <is>
          <t>전</t>
        </is>
      </c>
      <c r="J2188" s="3" t="inlineStr">
        <is>
          <t>남이면</t>
        </is>
      </c>
    </row>
    <row r="2189">
      <c r="A2189" s="3" t="n">
        <v>2025</v>
      </c>
      <c r="B2189" s="4" t="n">
        <v>2760</v>
      </c>
      <c r="C2189" s="4" t="n">
        <v>76</v>
      </c>
      <c r="D2189" s="4" t="n">
        <v>22.99</v>
      </c>
      <c r="E2189" s="5" t="n">
        <v>120.1</v>
      </c>
      <c r="F2189" s="3" t="inlineStr">
        <is>
          <t>오송읍</t>
        </is>
      </c>
      <c r="G2189" s="3" t="inlineStr">
        <is>
          <t>상정리</t>
        </is>
      </c>
      <c r="H2189" s="3" t="inlineStr">
        <is>
          <t>생산관리지역</t>
        </is>
      </c>
      <c r="I2189" s="3" t="inlineStr">
        <is>
          <t>구거</t>
        </is>
      </c>
      <c r="J2189" s="3" t="inlineStr">
        <is>
          <t>오송읍</t>
        </is>
      </c>
    </row>
    <row r="2190">
      <c r="A2190" s="3" t="n">
        <v>2025</v>
      </c>
      <c r="B2190" s="4" t="n">
        <v>21714</v>
      </c>
      <c r="C2190" s="4" t="n">
        <v>465</v>
      </c>
      <c r="D2190" s="4" t="n">
        <v>140.6625</v>
      </c>
      <c r="E2190" s="5" t="n">
        <v>154.4</v>
      </c>
      <c r="F2190" s="3" t="inlineStr">
        <is>
          <t>강내면</t>
        </is>
      </c>
      <c r="G2190" s="3" t="inlineStr">
        <is>
          <t>사곡리</t>
        </is>
      </c>
      <c r="H2190" s="3" t="inlineStr">
        <is>
          <t>보전관리지역</t>
        </is>
      </c>
      <c r="I2190" s="3" t="inlineStr">
        <is>
          <t>대</t>
        </is>
      </c>
      <c r="J2190" s="3" t="inlineStr">
        <is>
          <t>강내면</t>
        </is>
      </c>
    </row>
    <row r="2191">
      <c r="A2191" s="3" t="n">
        <v>2025</v>
      </c>
      <c r="B2191" s="4" t="n">
        <v>2852</v>
      </c>
      <c r="C2191" s="4" t="n">
        <v>71</v>
      </c>
      <c r="D2191" s="4" t="n">
        <v>21.4775</v>
      </c>
      <c r="E2191" s="5" t="n">
        <v>132.8</v>
      </c>
      <c r="F2191" s="3" t="inlineStr">
        <is>
          <t>남이면</t>
        </is>
      </c>
      <c r="G2191" s="3" t="inlineStr">
        <is>
          <t>가마리</t>
        </is>
      </c>
      <c r="H2191" s="3" t="inlineStr">
        <is>
          <t>자연녹지지역</t>
        </is>
      </c>
      <c r="I2191" s="3" t="inlineStr">
        <is>
          <t>전</t>
        </is>
      </c>
      <c r="J2191" s="3" t="inlineStr">
        <is>
          <t>남이면</t>
        </is>
      </c>
    </row>
    <row r="2192">
      <c r="A2192" s="3" t="n">
        <v>2024</v>
      </c>
      <c r="B2192" s="4" t="n">
        <v>2700</v>
      </c>
      <c r="C2192" s="4" t="n">
        <v>1395</v>
      </c>
      <c r="D2192" s="4" t="n">
        <v>421.9875</v>
      </c>
      <c r="E2192" s="5" t="n">
        <v>6.4</v>
      </c>
      <c r="F2192" s="3" t="inlineStr">
        <is>
          <t>남이면</t>
        </is>
      </c>
      <c r="G2192" s="3" t="inlineStr">
        <is>
          <t>부용외천리</t>
        </is>
      </c>
      <c r="H2192" s="3" t="inlineStr">
        <is>
          <t>계획관리지역</t>
        </is>
      </c>
      <c r="I2192" s="3" t="inlineStr">
        <is>
          <t>전</t>
        </is>
      </c>
      <c r="J2192" s="3" t="inlineStr">
        <is>
          <t>남이면</t>
        </is>
      </c>
    </row>
    <row r="2193">
      <c r="A2193" s="3" t="n">
        <v>2024</v>
      </c>
      <c r="B2193" s="4" t="n">
        <v>3400</v>
      </c>
      <c r="C2193" s="4" t="n">
        <v>1123</v>
      </c>
      <c r="D2193" s="4" t="n">
        <v>339.7075</v>
      </c>
      <c r="E2193" s="5" t="n">
        <v>10</v>
      </c>
      <c r="F2193" s="3" t="inlineStr">
        <is>
          <t>남이면</t>
        </is>
      </c>
      <c r="G2193" s="3" t="inlineStr">
        <is>
          <t>비룡리</t>
        </is>
      </c>
      <c r="H2193" s="3" t="inlineStr">
        <is>
          <t>기타</t>
        </is>
      </c>
      <c r="I2193" s="3" t="inlineStr">
        <is>
          <t>임야</t>
        </is>
      </c>
      <c r="J2193" s="3" t="inlineStr">
        <is>
          <t>남이면</t>
        </is>
      </c>
    </row>
    <row r="2194">
      <c r="A2194" s="3" t="n">
        <v>2024</v>
      </c>
      <c r="B2194" s="4" t="n">
        <v>29073</v>
      </c>
      <c r="C2194" s="4" t="n">
        <v>1361</v>
      </c>
      <c r="D2194" s="4" t="n">
        <v>411.7025</v>
      </c>
      <c r="E2194" s="5" t="n">
        <v>70.59999999999999</v>
      </c>
      <c r="F2194" s="3" t="inlineStr">
        <is>
          <t>남이면</t>
        </is>
      </c>
      <c r="G2194" s="3" t="inlineStr">
        <is>
          <t>문동리</t>
        </is>
      </c>
      <c r="H2194" s="3" t="inlineStr">
        <is>
          <t>농림지역</t>
        </is>
      </c>
      <c r="I2194" s="3" t="inlineStr">
        <is>
          <t>답</t>
        </is>
      </c>
      <c r="J2194" s="3" t="inlineStr">
        <is>
          <t>남이면</t>
        </is>
      </c>
    </row>
    <row r="2195">
      <c r="A2195" s="3" t="n">
        <v>2024</v>
      </c>
      <c r="B2195" s="4" t="n">
        <v>7797</v>
      </c>
      <c r="C2195" s="4" t="n">
        <v>365</v>
      </c>
      <c r="D2195" s="4" t="n">
        <v>110.4125</v>
      </c>
      <c r="E2195" s="5" t="n">
        <v>70.59999999999999</v>
      </c>
      <c r="F2195" s="3" t="inlineStr">
        <is>
          <t>남이면</t>
        </is>
      </c>
      <c r="G2195" s="3" t="inlineStr">
        <is>
          <t>문동리</t>
        </is>
      </c>
      <c r="H2195" s="3" t="inlineStr">
        <is>
          <t>농림지역</t>
        </is>
      </c>
      <c r="I2195" s="3" t="inlineStr">
        <is>
          <t>답</t>
        </is>
      </c>
      <c r="J2195" s="3" t="inlineStr">
        <is>
          <t>남이면</t>
        </is>
      </c>
    </row>
    <row r="2196">
      <c r="A2196" s="3" t="n">
        <v>2024</v>
      </c>
      <c r="B2196" s="4" t="n">
        <v>1500</v>
      </c>
      <c r="C2196" s="4" t="n">
        <v>49</v>
      </c>
      <c r="D2196" s="4" t="n">
        <v>14.8225</v>
      </c>
      <c r="E2196" s="5" t="n">
        <v>101.2</v>
      </c>
      <c r="F2196" s="3" t="inlineStr">
        <is>
          <t>남이면</t>
        </is>
      </c>
      <c r="G2196" s="3" t="inlineStr">
        <is>
          <t>양촌리</t>
        </is>
      </c>
      <c r="H2196" s="3" t="inlineStr">
        <is>
          <t>자연녹지지역</t>
        </is>
      </c>
      <c r="I2196" s="3" t="inlineStr">
        <is>
          <t>도로</t>
        </is>
      </c>
      <c r="J2196" s="3" t="inlineStr">
        <is>
          <t>남이면</t>
        </is>
      </c>
    </row>
    <row r="2197">
      <c r="A2197" s="3" t="n">
        <v>2024</v>
      </c>
      <c r="B2197" s="4" t="n">
        <v>8300</v>
      </c>
      <c r="C2197" s="4" t="n">
        <v>920</v>
      </c>
      <c r="D2197" s="4" t="n">
        <v>278.3</v>
      </c>
      <c r="E2197" s="5" t="n">
        <v>29.8</v>
      </c>
      <c r="F2197" s="3" t="inlineStr">
        <is>
          <t>남이면</t>
        </is>
      </c>
      <c r="G2197" s="3" t="inlineStr">
        <is>
          <t>외천리</t>
        </is>
      </c>
      <c r="H2197" s="3" t="inlineStr">
        <is>
          <t>생산관리지역</t>
        </is>
      </c>
      <c r="I2197" s="3" t="inlineStr">
        <is>
          <t>답</t>
        </is>
      </c>
      <c r="J2197" s="3" t="inlineStr">
        <is>
          <t>남이면</t>
        </is>
      </c>
    </row>
    <row r="2198">
      <c r="A2198" s="3" t="n">
        <v>2024</v>
      </c>
      <c r="B2198" s="4" t="n">
        <v>26800</v>
      </c>
      <c r="C2198" s="4" t="n">
        <v>922</v>
      </c>
      <c r="D2198" s="4" t="n">
        <v>278.905</v>
      </c>
      <c r="E2198" s="5" t="n">
        <v>96.09999999999999</v>
      </c>
      <c r="F2198" s="3" t="inlineStr">
        <is>
          <t>남이면</t>
        </is>
      </c>
      <c r="G2198" s="3" t="inlineStr">
        <is>
          <t>외천리</t>
        </is>
      </c>
      <c r="H2198" s="3" t="inlineStr">
        <is>
          <t>생산관리지역</t>
        </is>
      </c>
      <c r="I2198" s="3" t="inlineStr">
        <is>
          <t>답</t>
        </is>
      </c>
      <c r="J2198" s="3" t="inlineStr">
        <is>
          <t>남이면</t>
        </is>
      </c>
    </row>
    <row r="2199">
      <c r="A2199" s="3" t="n">
        <v>2024</v>
      </c>
      <c r="B2199" s="4" t="n">
        <v>24900</v>
      </c>
      <c r="C2199" s="4" t="n">
        <v>857</v>
      </c>
      <c r="D2199" s="4" t="n">
        <v>259.2425</v>
      </c>
      <c r="E2199" s="5" t="n">
        <v>96</v>
      </c>
      <c r="F2199" s="3" t="inlineStr">
        <is>
          <t>남이면</t>
        </is>
      </c>
      <c r="G2199" s="3" t="inlineStr">
        <is>
          <t>외천리</t>
        </is>
      </c>
      <c r="H2199" s="3" t="inlineStr">
        <is>
          <t>생산관리지역</t>
        </is>
      </c>
      <c r="I2199" s="3" t="inlineStr">
        <is>
          <t>답</t>
        </is>
      </c>
      <c r="J2199" s="3" t="inlineStr">
        <is>
          <t>남이면</t>
        </is>
      </c>
    </row>
    <row r="2200">
      <c r="A2200" s="3" t="n">
        <v>2024</v>
      </c>
      <c r="B2200" s="4" t="n">
        <v>18848</v>
      </c>
      <c r="C2200" s="4" t="n">
        <v>249.1</v>
      </c>
      <c r="D2200" s="4" t="n">
        <v>75.35275</v>
      </c>
      <c r="E2200" s="5" t="n">
        <v>250.1</v>
      </c>
      <c r="F2200" s="3" t="inlineStr">
        <is>
          <t>오송읍</t>
        </is>
      </c>
      <c r="G2200" s="3" t="inlineStr">
        <is>
          <t>오송리</t>
        </is>
      </c>
      <c r="H2200" s="3" t="inlineStr">
        <is>
          <t>용도미지정</t>
        </is>
      </c>
      <c r="I2200" s="3" t="inlineStr">
        <is>
          <t>대</t>
        </is>
      </c>
      <c r="J2200" s="3" t="inlineStr">
        <is>
          <t>오송읍</t>
        </is>
      </c>
    </row>
    <row r="2201">
      <c r="A2201" s="3" t="n">
        <v>2024</v>
      </c>
      <c r="B2201" s="4" t="n">
        <v>24000</v>
      </c>
      <c r="C2201" s="4" t="n">
        <v>239.5</v>
      </c>
      <c r="D2201" s="4" t="n">
        <v>72.44875</v>
      </c>
      <c r="E2201" s="5" t="n">
        <v>331.3</v>
      </c>
      <c r="F2201" s="3" t="inlineStr">
        <is>
          <t>오송읍</t>
        </is>
      </c>
      <c r="G2201" s="3" t="inlineStr">
        <is>
          <t>봉산리</t>
        </is>
      </c>
      <c r="H2201" s="3" t="inlineStr">
        <is>
          <t>제1종일반주거지역</t>
        </is>
      </c>
      <c r="I2201" s="3" t="inlineStr">
        <is>
          <t>대</t>
        </is>
      </c>
      <c r="J2201" s="3" t="inlineStr">
        <is>
          <t>오송읍</t>
        </is>
      </c>
    </row>
    <row r="2202">
      <c r="A2202" s="3" t="n">
        <v>2024</v>
      </c>
      <c r="B2202" s="4" t="n">
        <v>7424</v>
      </c>
      <c r="C2202" s="4" t="n">
        <v>276</v>
      </c>
      <c r="D2202" s="4" t="n">
        <v>83.48999999999999</v>
      </c>
      <c r="E2202" s="5" t="n">
        <v>88.90000000000001</v>
      </c>
      <c r="F2202" s="3" t="inlineStr">
        <is>
          <t>강내면</t>
        </is>
      </c>
      <c r="G2202" s="3" t="inlineStr">
        <is>
          <t>연정리</t>
        </is>
      </c>
      <c r="H2202" s="3" t="inlineStr">
        <is>
          <t>계획관리지역</t>
        </is>
      </c>
      <c r="I2202" s="3" t="inlineStr">
        <is>
          <t>잡종지</t>
        </is>
      </c>
      <c r="J2202" s="3" t="inlineStr">
        <is>
          <t>강내면</t>
        </is>
      </c>
    </row>
    <row r="2203">
      <c r="A2203" s="3" t="n">
        <v>2024</v>
      </c>
      <c r="B2203" s="4" t="n">
        <v>1000</v>
      </c>
      <c r="C2203" s="4" t="n">
        <v>13</v>
      </c>
      <c r="D2203" s="4" t="n">
        <v>3.9325</v>
      </c>
      <c r="E2203" s="5" t="n">
        <v>254.3</v>
      </c>
      <c r="F2203" s="3" t="inlineStr">
        <is>
          <t>오송읍</t>
        </is>
      </c>
      <c r="G2203" s="3" t="inlineStr">
        <is>
          <t>오송리</t>
        </is>
      </c>
      <c r="H2203" s="3" t="inlineStr">
        <is>
          <t>농림지역</t>
        </is>
      </c>
      <c r="I2203" s="3" t="inlineStr">
        <is>
          <t>도로</t>
        </is>
      </c>
      <c r="J2203" s="3" t="inlineStr">
        <is>
          <t>오송읍</t>
        </is>
      </c>
    </row>
    <row r="2204">
      <c r="A2204" s="3" t="n">
        <v>2022</v>
      </c>
      <c r="B2204" s="4" t="n">
        <v>900</v>
      </c>
      <c r="C2204" s="4" t="n">
        <v>24</v>
      </c>
      <c r="D2204" s="4" t="n">
        <v>7.26</v>
      </c>
      <c r="E2204" s="5" t="n">
        <v>124</v>
      </c>
      <c r="F2204" s="3" t="inlineStr">
        <is>
          <t>남이면</t>
        </is>
      </c>
      <c r="G2204" s="3" t="inlineStr">
        <is>
          <t>가좌리</t>
        </is>
      </c>
      <c r="H2204" s="3" t="inlineStr">
        <is>
          <t>자연녹지지역</t>
        </is>
      </c>
      <c r="I2204" s="3" t="inlineStr">
        <is>
          <t>대</t>
        </is>
      </c>
      <c r="J2204" s="3" t="inlineStr">
        <is>
          <t>남이면</t>
        </is>
      </c>
    </row>
    <row r="2205">
      <c r="A2205" s="3" t="n">
        <v>2022</v>
      </c>
      <c r="B2205" s="4" t="n">
        <v>1300</v>
      </c>
      <c r="C2205" s="4" t="n">
        <v>159</v>
      </c>
      <c r="D2205" s="4" t="n">
        <v>48.0975</v>
      </c>
      <c r="E2205" s="5" t="n">
        <v>27</v>
      </c>
      <c r="F2205" s="3" t="inlineStr">
        <is>
          <t>남이면</t>
        </is>
      </c>
      <c r="G2205" s="3" t="inlineStr">
        <is>
          <t>대련리</t>
        </is>
      </c>
      <c r="H2205" s="3" t="inlineStr">
        <is>
          <t>자연녹지지역</t>
        </is>
      </c>
      <c r="I2205" s="3" t="inlineStr">
        <is>
          <t>전</t>
        </is>
      </c>
      <c r="J2205" s="3" t="inlineStr">
        <is>
          <t>남이면</t>
        </is>
      </c>
    </row>
    <row r="2206">
      <c r="A2206" s="3" t="n">
        <v>2022</v>
      </c>
      <c r="B2206" s="4" t="n">
        <v>30700</v>
      </c>
      <c r="C2206" s="4" t="n">
        <v>2000</v>
      </c>
      <c r="D2206" s="4" t="n">
        <v>605</v>
      </c>
      <c r="E2206" s="5" t="n">
        <v>50.7</v>
      </c>
      <c r="F2206" s="3" t="inlineStr">
        <is>
          <t>남이면</t>
        </is>
      </c>
      <c r="G2206" s="3" t="inlineStr">
        <is>
          <t>대련리</t>
        </is>
      </c>
      <c r="H2206" s="3" t="inlineStr">
        <is>
          <t>자연녹지지역</t>
        </is>
      </c>
      <c r="I2206" s="3" t="inlineStr">
        <is>
          <t>전</t>
        </is>
      </c>
      <c r="J2206" s="3" t="inlineStr">
        <is>
          <t>남이면</t>
        </is>
      </c>
    </row>
    <row r="2207">
      <c r="A2207" s="3" t="n">
        <v>2022</v>
      </c>
      <c r="B2207" s="4" t="n">
        <v>100</v>
      </c>
      <c r="C2207" s="4" t="n">
        <v>2</v>
      </c>
      <c r="D2207" s="4" t="n">
        <v>0.605</v>
      </c>
      <c r="E2207" s="5" t="n">
        <v>165.3</v>
      </c>
      <c r="F2207" s="3" t="inlineStr">
        <is>
          <t>남이면</t>
        </is>
      </c>
      <c r="G2207" s="3" t="inlineStr">
        <is>
          <t>양촌리</t>
        </is>
      </c>
      <c r="H2207" s="3" t="inlineStr">
        <is>
          <t>자연녹지지역</t>
        </is>
      </c>
      <c r="I2207" s="3" t="inlineStr">
        <is>
          <t>도로</t>
        </is>
      </c>
      <c r="J2207" s="3" t="inlineStr">
        <is>
          <t>남이면</t>
        </is>
      </c>
    </row>
    <row r="2208">
      <c r="A2208" s="3" t="n">
        <v>2022</v>
      </c>
      <c r="B2208" s="4" t="n">
        <v>11535</v>
      </c>
      <c r="C2208" s="4" t="n">
        <v>549</v>
      </c>
      <c r="D2208" s="4" t="n">
        <v>166.0725</v>
      </c>
      <c r="E2208" s="5" t="n">
        <v>69.5</v>
      </c>
      <c r="F2208" s="3" t="inlineStr">
        <is>
          <t>남이면</t>
        </is>
      </c>
      <c r="G2208" s="3" t="inlineStr">
        <is>
          <t>가좌리</t>
        </is>
      </c>
      <c r="H2208" s="3" t="inlineStr">
        <is>
          <t>보전녹지지역</t>
        </is>
      </c>
      <c r="I2208" s="3" t="inlineStr">
        <is>
          <t>임야</t>
        </is>
      </c>
      <c r="J2208" s="3" t="inlineStr">
        <is>
          <t>남이면</t>
        </is>
      </c>
    </row>
    <row r="2209">
      <c r="A2209" s="3" t="n">
        <v>2022</v>
      </c>
      <c r="B2209" s="4" t="n">
        <v>1200</v>
      </c>
      <c r="C2209" s="4" t="n">
        <v>57</v>
      </c>
      <c r="D2209" s="4" t="n">
        <v>17.2425</v>
      </c>
      <c r="E2209" s="5" t="n">
        <v>69.59999999999999</v>
      </c>
      <c r="F2209" s="3" t="inlineStr">
        <is>
          <t>남이면</t>
        </is>
      </c>
      <c r="G2209" s="3" t="inlineStr">
        <is>
          <t>가좌리</t>
        </is>
      </c>
      <c r="H2209" s="3" t="inlineStr">
        <is>
          <t>보전녹지지역</t>
        </is>
      </c>
      <c r="I2209" s="3" t="inlineStr">
        <is>
          <t>임야</t>
        </is>
      </c>
      <c r="J2209" s="3" t="inlineStr">
        <is>
          <t>남이면</t>
        </is>
      </c>
    </row>
    <row r="2210">
      <c r="A2210" s="3" t="n">
        <v>2022</v>
      </c>
      <c r="B2210" s="4" t="n">
        <v>3336</v>
      </c>
      <c r="C2210" s="4" t="n">
        <v>2759</v>
      </c>
      <c r="D2210" s="4" t="n">
        <v>834.5975</v>
      </c>
      <c r="E2210" s="5" t="n">
        <v>4</v>
      </c>
      <c r="F2210" s="3" t="inlineStr">
        <is>
          <t>남이면</t>
        </is>
      </c>
      <c r="G2210" s="3" t="inlineStr">
        <is>
          <t>문동리</t>
        </is>
      </c>
      <c r="H2210" s="3" t="inlineStr">
        <is>
          <t>보전녹지지역</t>
        </is>
      </c>
      <c r="I2210" s="3" t="inlineStr">
        <is>
          <t>임야</t>
        </is>
      </c>
      <c r="J2210" s="3" t="inlineStr">
        <is>
          <t>남이면</t>
        </is>
      </c>
    </row>
    <row r="2211">
      <c r="A2211" s="3" t="n">
        <v>2022</v>
      </c>
      <c r="B2211" s="4" t="n">
        <v>476</v>
      </c>
      <c r="C2211" s="4" t="n">
        <v>395</v>
      </c>
      <c r="D2211" s="4" t="n">
        <v>119.4875</v>
      </c>
      <c r="E2211" s="5" t="n">
        <v>4</v>
      </c>
      <c r="F2211" s="3" t="inlineStr">
        <is>
          <t>남이면</t>
        </is>
      </c>
      <c r="G2211" s="3" t="inlineStr">
        <is>
          <t>문동리</t>
        </is>
      </c>
      <c r="H2211" s="3" t="inlineStr">
        <is>
          <t>자연녹지지역</t>
        </is>
      </c>
      <c r="I2211" s="3" t="inlineStr">
        <is>
          <t>임야</t>
        </is>
      </c>
      <c r="J2211" s="3" t="inlineStr">
        <is>
          <t>남이면</t>
        </is>
      </c>
    </row>
    <row r="2212">
      <c r="A2212" s="3" t="n">
        <v>2022</v>
      </c>
      <c r="B2212" s="4" t="n">
        <v>3648</v>
      </c>
      <c r="C2212" s="4" t="n">
        <v>3016</v>
      </c>
      <c r="D2212" s="4" t="n">
        <v>912.3399999999999</v>
      </c>
      <c r="E2212" s="5" t="n">
        <v>4</v>
      </c>
      <c r="F2212" s="3" t="inlineStr">
        <is>
          <t>남이면</t>
        </is>
      </c>
      <c r="G2212" s="3" t="inlineStr">
        <is>
          <t>문동리</t>
        </is>
      </c>
      <c r="H2212" s="3" t="inlineStr">
        <is>
          <t>보전녹지지역</t>
        </is>
      </c>
      <c r="I2212" s="3" t="inlineStr">
        <is>
          <t>임야</t>
        </is>
      </c>
      <c r="J2212" s="3" t="inlineStr">
        <is>
          <t>남이면</t>
        </is>
      </c>
    </row>
    <row r="2213">
      <c r="A2213" s="3" t="n">
        <v>2022</v>
      </c>
      <c r="B2213" s="4" t="n">
        <v>11535</v>
      </c>
      <c r="C2213" s="4" t="n">
        <v>549</v>
      </c>
      <c r="D2213" s="4" t="n">
        <v>166.0725</v>
      </c>
      <c r="E2213" s="5" t="n">
        <v>69.5</v>
      </c>
      <c r="F2213" s="3" t="inlineStr">
        <is>
          <t>남이면</t>
        </is>
      </c>
      <c r="G2213" s="3" t="inlineStr">
        <is>
          <t>가좌리</t>
        </is>
      </c>
      <c r="H2213" s="3" t="inlineStr">
        <is>
          <t>보전녹지지역</t>
        </is>
      </c>
      <c r="I2213" s="3" t="inlineStr">
        <is>
          <t>임야</t>
        </is>
      </c>
      <c r="J2213" s="3" t="inlineStr">
        <is>
          <t>남이면</t>
        </is>
      </c>
    </row>
    <row r="2214">
      <c r="A2214" s="3" t="n">
        <v>2022</v>
      </c>
      <c r="B2214" s="4" t="n">
        <v>1200</v>
      </c>
      <c r="C2214" s="4" t="n">
        <v>57</v>
      </c>
      <c r="D2214" s="4" t="n">
        <v>17.2425</v>
      </c>
      <c r="E2214" s="5" t="n">
        <v>69.59999999999999</v>
      </c>
      <c r="F2214" s="3" t="inlineStr">
        <is>
          <t>남이면</t>
        </is>
      </c>
      <c r="G2214" s="3" t="inlineStr">
        <is>
          <t>가좌리</t>
        </is>
      </c>
      <c r="H2214" s="3" t="inlineStr">
        <is>
          <t>보전녹지지역</t>
        </is>
      </c>
      <c r="I2214" s="3" t="inlineStr">
        <is>
          <t>임야</t>
        </is>
      </c>
      <c r="J2214" s="3" t="inlineStr">
        <is>
          <t>남이면</t>
        </is>
      </c>
    </row>
    <row r="2215">
      <c r="A2215" s="3" t="n">
        <v>2026</v>
      </c>
      <c r="B2215" s="4" t="n">
        <v>68000</v>
      </c>
      <c r="C2215" s="4" t="n">
        <v>512</v>
      </c>
      <c r="D2215" s="4" t="n">
        <v>154.88</v>
      </c>
      <c r="E2215" s="5" t="n">
        <v>439</v>
      </c>
      <c r="F2215" s="3" t="inlineStr">
        <is>
          <t>고운동</t>
        </is>
      </c>
      <c r="G2215" s="3" t="inlineStr"/>
      <c r="H2215" s="3" t="inlineStr">
        <is>
          <t>제1종전용주거지역</t>
        </is>
      </c>
      <c r="I2215" s="3" t="inlineStr">
        <is>
          <t>대</t>
        </is>
      </c>
      <c r="J2215" s="3" t="inlineStr">
        <is>
          <t>고운동</t>
        </is>
      </c>
    </row>
    <row r="2216">
      <c r="A2216" s="3" t="n">
        <v>2022</v>
      </c>
      <c r="B2216" s="4" t="n">
        <v>12360</v>
      </c>
      <c r="C2216" s="4" t="n">
        <v>341</v>
      </c>
      <c r="D2216" s="4" t="n">
        <v>103.1525</v>
      </c>
      <c r="E2216" s="5" t="n">
        <v>119.8</v>
      </c>
      <c r="F2216" s="3" t="inlineStr">
        <is>
          <t>강내면</t>
        </is>
      </c>
      <c r="G2216" s="3" t="inlineStr">
        <is>
          <t>황탄리</t>
        </is>
      </c>
      <c r="H2216" s="3" t="inlineStr">
        <is>
          <t>계획관리지역</t>
        </is>
      </c>
      <c r="I2216" s="3" t="inlineStr">
        <is>
          <t>대</t>
        </is>
      </c>
      <c r="J2216" s="3" t="inlineStr">
        <is>
          <t>강내면</t>
        </is>
      </c>
    </row>
    <row r="2217">
      <c r="A2217" s="3" t="n">
        <v>2022</v>
      </c>
      <c r="B2217" s="4" t="n">
        <v>102000</v>
      </c>
      <c r="C2217" s="4" t="n">
        <v>3967</v>
      </c>
      <c r="D2217" s="4" t="n">
        <v>1200.0175</v>
      </c>
      <c r="E2217" s="5" t="n">
        <v>85</v>
      </c>
      <c r="F2217" s="3" t="inlineStr">
        <is>
          <t>오송읍</t>
        </is>
      </c>
      <c r="G2217" s="3" t="inlineStr">
        <is>
          <t>궁평리</t>
        </is>
      </c>
      <c r="H2217" s="3" t="inlineStr">
        <is>
          <t>농림지역</t>
        </is>
      </c>
      <c r="I2217" s="3" t="inlineStr">
        <is>
          <t>전</t>
        </is>
      </c>
      <c r="J2217" s="3" t="inlineStr">
        <is>
          <t>오송읍</t>
        </is>
      </c>
    </row>
    <row r="2218">
      <c r="A2218" s="3" t="n">
        <v>2022</v>
      </c>
      <c r="B2218" s="4" t="n">
        <v>30000</v>
      </c>
      <c r="C2218" s="4" t="n">
        <v>241</v>
      </c>
      <c r="D2218" s="4" t="n">
        <v>72.9025</v>
      </c>
      <c r="E2218" s="5" t="n">
        <v>411.5</v>
      </c>
      <c r="F2218" s="3" t="inlineStr">
        <is>
          <t>오송읍</t>
        </is>
      </c>
      <c r="G2218" s="3" t="inlineStr">
        <is>
          <t>봉산리</t>
        </is>
      </c>
      <c r="H2218" s="3" t="inlineStr">
        <is>
          <t>제1종일반주거지역</t>
        </is>
      </c>
      <c r="I2218" s="3" t="inlineStr">
        <is>
          <t>대</t>
        </is>
      </c>
      <c r="J2218" s="3" t="inlineStr">
        <is>
          <t>오송읍</t>
        </is>
      </c>
    </row>
    <row r="2219">
      <c r="A2219" s="3" t="n">
        <v>2022</v>
      </c>
      <c r="B2219" s="4" t="n">
        <v>40200</v>
      </c>
      <c r="C2219" s="4" t="n">
        <v>1745</v>
      </c>
      <c r="D2219" s="4" t="n">
        <v>527.8625</v>
      </c>
      <c r="E2219" s="5" t="n">
        <v>76.2</v>
      </c>
      <c r="F2219" s="3" t="inlineStr">
        <is>
          <t>오송읍</t>
        </is>
      </c>
      <c r="G2219" s="3" t="inlineStr">
        <is>
          <t>정중리</t>
        </is>
      </c>
      <c r="H2219" s="3" t="inlineStr">
        <is>
          <t>생산관리지역</t>
        </is>
      </c>
      <c r="I2219" s="3" t="inlineStr">
        <is>
          <t>과수원</t>
        </is>
      </c>
      <c r="J2219" s="3" t="inlineStr">
        <is>
          <t>오송읍</t>
        </is>
      </c>
    </row>
    <row r="2220">
      <c r="A2220" s="3" t="n">
        <v>2022</v>
      </c>
      <c r="B2220" s="4" t="n">
        <v>47100</v>
      </c>
      <c r="C2220" s="4" t="n">
        <v>622</v>
      </c>
      <c r="D2220" s="4" t="n">
        <v>188.155</v>
      </c>
      <c r="E2220" s="5" t="n">
        <v>250.3</v>
      </c>
      <c r="F2220" s="3" t="inlineStr">
        <is>
          <t>오송읍</t>
        </is>
      </c>
      <c r="G2220" s="3" t="inlineStr">
        <is>
          <t>궁평리</t>
        </is>
      </c>
      <c r="H2220" s="3" t="inlineStr">
        <is>
          <t>농림지역</t>
        </is>
      </c>
      <c r="I2220" s="3" t="inlineStr">
        <is>
          <t>답</t>
        </is>
      </c>
      <c r="J2220" s="3" t="inlineStr">
        <is>
          <t>오송읍</t>
        </is>
      </c>
    </row>
    <row r="2221">
      <c r="A2221" s="3" t="n">
        <v>2022</v>
      </c>
      <c r="B2221" s="4" t="n">
        <v>46400</v>
      </c>
      <c r="C2221" s="4" t="n">
        <v>620</v>
      </c>
      <c r="D2221" s="4" t="n">
        <v>187.55</v>
      </c>
      <c r="E2221" s="5" t="n">
        <v>247.4</v>
      </c>
      <c r="F2221" s="3" t="inlineStr">
        <is>
          <t>오송읍</t>
        </is>
      </c>
      <c r="G2221" s="3" t="inlineStr">
        <is>
          <t>궁평리</t>
        </is>
      </c>
      <c r="H2221" s="3" t="inlineStr">
        <is>
          <t>농림지역</t>
        </is>
      </c>
      <c r="I2221" s="3" t="inlineStr">
        <is>
          <t>답</t>
        </is>
      </c>
      <c r="J2221" s="3" t="inlineStr">
        <is>
          <t>오송읍</t>
        </is>
      </c>
    </row>
    <row r="2222">
      <c r="A2222" s="3" t="n">
        <v>2022</v>
      </c>
      <c r="B2222" s="4" t="n">
        <v>46400</v>
      </c>
      <c r="C2222" s="4" t="n">
        <v>620</v>
      </c>
      <c r="D2222" s="4" t="n">
        <v>187.55</v>
      </c>
      <c r="E2222" s="5" t="n">
        <v>247.4</v>
      </c>
      <c r="F2222" s="3" t="inlineStr">
        <is>
          <t>오송읍</t>
        </is>
      </c>
      <c r="G2222" s="3" t="inlineStr">
        <is>
          <t>궁평리</t>
        </is>
      </c>
      <c r="H2222" s="3" t="inlineStr">
        <is>
          <t>농림지역</t>
        </is>
      </c>
      <c r="I2222" s="3" t="inlineStr">
        <is>
          <t>답</t>
        </is>
      </c>
      <c r="J2222" s="3" t="inlineStr">
        <is>
          <t>오송읍</t>
        </is>
      </c>
    </row>
    <row r="2223">
      <c r="A2223" s="3" t="n">
        <v>2022</v>
      </c>
      <c r="B2223" s="4" t="n">
        <v>46500</v>
      </c>
      <c r="C2223" s="4" t="n">
        <v>620</v>
      </c>
      <c r="D2223" s="4" t="n">
        <v>187.55</v>
      </c>
      <c r="E2223" s="5" t="n">
        <v>247.9</v>
      </c>
      <c r="F2223" s="3" t="inlineStr">
        <is>
          <t>오송읍</t>
        </is>
      </c>
      <c r="G2223" s="3" t="inlineStr">
        <is>
          <t>궁평리</t>
        </is>
      </c>
      <c r="H2223" s="3" t="inlineStr">
        <is>
          <t>농림지역</t>
        </is>
      </c>
      <c r="I2223" s="3" t="inlineStr">
        <is>
          <t>답</t>
        </is>
      </c>
      <c r="J2223" s="3" t="inlineStr">
        <is>
          <t>오송읍</t>
        </is>
      </c>
    </row>
    <row r="2224">
      <c r="A2224" s="3" t="n">
        <v>2022</v>
      </c>
      <c r="B2224" s="4" t="n">
        <v>47100</v>
      </c>
      <c r="C2224" s="4" t="n">
        <v>622</v>
      </c>
      <c r="D2224" s="4" t="n">
        <v>188.155</v>
      </c>
      <c r="E2224" s="5" t="n">
        <v>250.3</v>
      </c>
      <c r="F2224" s="3" t="inlineStr">
        <is>
          <t>오송읍</t>
        </is>
      </c>
      <c r="G2224" s="3" t="inlineStr">
        <is>
          <t>궁평리</t>
        </is>
      </c>
      <c r="H2224" s="3" t="inlineStr">
        <is>
          <t>농림지역</t>
        </is>
      </c>
      <c r="I2224" s="3" t="inlineStr">
        <is>
          <t>답</t>
        </is>
      </c>
      <c r="J2224" s="3" t="inlineStr">
        <is>
          <t>오송읍</t>
        </is>
      </c>
    </row>
    <row r="2225">
      <c r="A2225" s="3" t="n">
        <v>2022</v>
      </c>
      <c r="B2225" s="4" t="n">
        <v>202000</v>
      </c>
      <c r="C2225" s="4" t="n">
        <v>3220</v>
      </c>
      <c r="D2225" s="4" t="n">
        <v>974.05</v>
      </c>
      <c r="E2225" s="5" t="n">
        <v>207.4</v>
      </c>
      <c r="F2225" s="3" t="inlineStr">
        <is>
          <t>오송읍</t>
        </is>
      </c>
      <c r="G2225" s="3" t="inlineStr">
        <is>
          <t>궁평리</t>
        </is>
      </c>
      <c r="H2225" s="3" t="inlineStr">
        <is>
          <t>농림지역</t>
        </is>
      </c>
      <c r="I2225" s="3" t="inlineStr">
        <is>
          <t>답</t>
        </is>
      </c>
      <c r="J2225" s="3" t="inlineStr">
        <is>
          <t>오송읍</t>
        </is>
      </c>
    </row>
    <row r="2226">
      <c r="A2226" s="3" t="n">
        <v>2022</v>
      </c>
      <c r="B2226" s="4" t="n">
        <v>108000</v>
      </c>
      <c r="C2226" s="4" t="n">
        <v>1625</v>
      </c>
      <c r="D2226" s="4" t="n">
        <v>491.5625</v>
      </c>
      <c r="E2226" s="5" t="n">
        <v>219.7</v>
      </c>
      <c r="F2226" s="3" t="inlineStr">
        <is>
          <t>강내면</t>
        </is>
      </c>
      <c r="G2226" s="3" t="inlineStr">
        <is>
          <t>월곡리</t>
        </is>
      </c>
      <c r="H2226" s="3" t="inlineStr">
        <is>
          <t>제1종일반주거지역</t>
        </is>
      </c>
      <c r="I2226" s="3" t="inlineStr">
        <is>
          <t>전</t>
        </is>
      </c>
      <c r="J2226" s="3" t="inlineStr">
        <is>
          <t>강내면</t>
        </is>
      </c>
    </row>
    <row r="2227">
      <c r="A2227" s="3" t="n">
        <v>2022</v>
      </c>
      <c r="B2227" s="4" t="n">
        <v>115800</v>
      </c>
      <c r="C2227" s="4" t="n">
        <v>6961</v>
      </c>
      <c r="D2227" s="4" t="n">
        <v>2105.7025</v>
      </c>
      <c r="E2227" s="5" t="n">
        <v>55</v>
      </c>
      <c r="F2227" s="3" t="inlineStr">
        <is>
          <t>강내면</t>
        </is>
      </c>
      <c r="G2227" s="3" t="inlineStr">
        <is>
          <t>태성리</t>
        </is>
      </c>
      <c r="H2227" s="3" t="inlineStr">
        <is>
          <t>계획관리지역</t>
        </is>
      </c>
      <c r="I2227" s="3" t="inlineStr">
        <is>
          <t>답</t>
        </is>
      </c>
      <c r="J2227" s="3" t="inlineStr">
        <is>
          <t>강내면</t>
        </is>
      </c>
    </row>
    <row r="2228">
      <c r="A2228" s="3" t="n">
        <v>2023</v>
      </c>
      <c r="B2228" s="4" t="n">
        <v>26000</v>
      </c>
      <c r="C2228" s="4" t="n">
        <v>307</v>
      </c>
      <c r="D2228" s="4" t="n">
        <v>92.86749999999999</v>
      </c>
      <c r="E2228" s="5" t="n">
        <v>280</v>
      </c>
      <c r="F2228" s="3" t="inlineStr">
        <is>
          <t>오송읍</t>
        </is>
      </c>
      <c r="G2228" s="3" t="inlineStr">
        <is>
          <t>궁평리</t>
        </is>
      </c>
      <c r="H2228" s="3" t="inlineStr">
        <is>
          <t>일반상업지역</t>
        </is>
      </c>
      <c r="I2228" s="3" t="inlineStr">
        <is>
          <t>대</t>
        </is>
      </c>
      <c r="J2228" s="3" t="inlineStr">
        <is>
          <t>오송읍</t>
        </is>
      </c>
    </row>
    <row r="2229">
      <c r="A2229" s="3" t="n">
        <v>2023</v>
      </c>
      <c r="B2229" s="4" t="n">
        <v>2044</v>
      </c>
      <c r="C2229" s="4" t="n">
        <v>56</v>
      </c>
      <c r="D2229" s="4" t="n">
        <v>16.94</v>
      </c>
      <c r="E2229" s="5" t="n">
        <v>120.7</v>
      </c>
      <c r="F2229" s="3" t="inlineStr">
        <is>
          <t>오송읍</t>
        </is>
      </c>
      <c r="G2229" s="3" t="inlineStr">
        <is>
          <t>상봉리</t>
        </is>
      </c>
      <c r="H2229" s="3" t="inlineStr">
        <is>
          <t>계획관리지역</t>
        </is>
      </c>
      <c r="I2229" s="3" t="inlineStr">
        <is>
          <t>구거</t>
        </is>
      </c>
      <c r="J2229" s="3" t="inlineStr">
        <is>
          <t>오송읍</t>
        </is>
      </c>
    </row>
    <row r="2230">
      <c r="A2230" s="3" t="n">
        <v>2023</v>
      </c>
      <c r="B2230" s="4" t="n">
        <v>23641</v>
      </c>
      <c r="C2230" s="4" t="n">
        <v>415.3</v>
      </c>
      <c r="D2230" s="4" t="n">
        <v>125.62825</v>
      </c>
      <c r="E2230" s="5" t="n">
        <v>188.2</v>
      </c>
      <c r="F2230" s="3" t="inlineStr">
        <is>
          <t>강내면</t>
        </is>
      </c>
      <c r="G2230" s="3" t="inlineStr">
        <is>
          <t>사곡리</t>
        </is>
      </c>
      <c r="H2230" s="3" t="inlineStr">
        <is>
          <t>보전관리지역</t>
        </is>
      </c>
      <c r="I2230" s="3" t="inlineStr">
        <is>
          <t>대</t>
        </is>
      </c>
      <c r="J2230" s="3" t="inlineStr">
        <is>
          <t>강내면</t>
        </is>
      </c>
    </row>
    <row r="2231">
      <c r="A2231" s="3" t="n">
        <v>2023</v>
      </c>
      <c r="B2231" s="4" t="n">
        <v>3632</v>
      </c>
      <c r="C2231" s="4" t="n">
        <v>63.8</v>
      </c>
      <c r="D2231" s="4" t="n">
        <v>19.2995</v>
      </c>
      <c r="E2231" s="5" t="n">
        <v>188.2</v>
      </c>
      <c r="F2231" s="3" t="inlineStr">
        <is>
          <t>강내면</t>
        </is>
      </c>
      <c r="G2231" s="3" t="inlineStr">
        <is>
          <t>사곡리</t>
        </is>
      </c>
      <c r="H2231" s="3" t="inlineStr">
        <is>
          <t>보전관리지역</t>
        </is>
      </c>
      <c r="I2231" s="3" t="inlineStr">
        <is>
          <t>대</t>
        </is>
      </c>
      <c r="J2231" s="3" t="inlineStr">
        <is>
          <t>강내면</t>
        </is>
      </c>
    </row>
    <row r="2232">
      <c r="A2232" s="3" t="n">
        <v>2023</v>
      </c>
      <c r="B2232" s="4" t="n">
        <v>288627</v>
      </c>
      <c r="C2232" s="4" t="n">
        <v>1034.5</v>
      </c>
      <c r="D2232" s="4" t="n">
        <v>312.93625</v>
      </c>
      <c r="E2232" s="5" t="n">
        <v>922.3</v>
      </c>
      <c r="F2232" s="3" t="inlineStr">
        <is>
          <t>오송읍</t>
        </is>
      </c>
      <c r="G2232" s="3" t="inlineStr">
        <is>
          <t>봉산리</t>
        </is>
      </c>
      <c r="H2232" s="3" t="inlineStr">
        <is>
          <t>일반상업지역</t>
        </is>
      </c>
      <c r="I2232" s="3" t="inlineStr">
        <is>
          <t>대</t>
        </is>
      </c>
      <c r="J2232" s="3" t="inlineStr">
        <is>
          <t>오송읍</t>
        </is>
      </c>
    </row>
    <row r="2233">
      <c r="A2233" s="3" t="n">
        <v>2023</v>
      </c>
      <c r="B2233" s="4" t="n">
        <v>30000</v>
      </c>
      <c r="C2233" s="4" t="n">
        <v>356</v>
      </c>
      <c r="D2233" s="4" t="n">
        <v>107.69</v>
      </c>
      <c r="E2233" s="5" t="n">
        <v>278.6</v>
      </c>
      <c r="F2233" s="3" t="inlineStr">
        <is>
          <t>오송읍</t>
        </is>
      </c>
      <c r="G2233" s="3" t="inlineStr">
        <is>
          <t>오송리</t>
        </is>
      </c>
      <c r="H2233" s="3" t="inlineStr">
        <is>
          <t>계획관리지역</t>
        </is>
      </c>
      <c r="I2233" s="3" t="inlineStr">
        <is>
          <t>전</t>
        </is>
      </c>
      <c r="J2233" s="3" t="inlineStr">
        <is>
          <t>오송읍</t>
        </is>
      </c>
    </row>
    <row r="2234">
      <c r="A2234" s="3" t="n">
        <v>2023</v>
      </c>
      <c r="B2234" s="4" t="n">
        <v>21000</v>
      </c>
      <c r="C2234" s="4" t="n">
        <v>182</v>
      </c>
      <c r="D2234" s="4" t="n">
        <v>55.055</v>
      </c>
      <c r="E2234" s="5" t="n">
        <v>381.4</v>
      </c>
      <c r="F2234" s="3" t="inlineStr">
        <is>
          <t>오송읍</t>
        </is>
      </c>
      <c r="G2234" s="3" t="inlineStr">
        <is>
          <t>오송리</t>
        </is>
      </c>
      <c r="H2234" s="3" t="inlineStr">
        <is>
          <t>계획관리지역</t>
        </is>
      </c>
      <c r="I2234" s="3" t="inlineStr">
        <is>
          <t>대</t>
        </is>
      </c>
      <c r="J2234" s="3" t="inlineStr">
        <is>
          <t>오송읍</t>
        </is>
      </c>
    </row>
    <row r="2235">
      <c r="A2235" s="3" t="n">
        <v>2023</v>
      </c>
      <c r="B2235" s="4" t="n">
        <v>278315</v>
      </c>
      <c r="C2235" s="4" t="n">
        <v>1017.6</v>
      </c>
      <c r="D2235" s="4" t="n">
        <v>307.824</v>
      </c>
      <c r="E2235" s="5" t="n">
        <v>904.1</v>
      </c>
      <c r="F2235" s="3" t="inlineStr">
        <is>
          <t>오송읍</t>
        </is>
      </c>
      <c r="G2235" s="3" t="inlineStr">
        <is>
          <t>봉산리</t>
        </is>
      </c>
      <c r="H2235" s="3" t="inlineStr">
        <is>
          <t>일반상업지역</t>
        </is>
      </c>
      <c r="I2235" s="3" t="inlineStr">
        <is>
          <t>대</t>
        </is>
      </c>
      <c r="J2235" s="3" t="inlineStr">
        <is>
          <t>오송읍</t>
        </is>
      </c>
    </row>
    <row r="2236">
      <c r="A2236" s="3" t="n">
        <v>2023</v>
      </c>
      <c r="B2236" s="4" t="n">
        <v>21500</v>
      </c>
      <c r="C2236" s="4" t="n">
        <v>1871</v>
      </c>
      <c r="D2236" s="4" t="n">
        <v>565.9775</v>
      </c>
      <c r="E2236" s="5" t="n">
        <v>38</v>
      </c>
      <c r="F2236" s="3" t="inlineStr">
        <is>
          <t>강내면</t>
        </is>
      </c>
      <c r="G2236" s="3" t="inlineStr">
        <is>
          <t>학천리</t>
        </is>
      </c>
      <c r="H2236" s="3" t="inlineStr">
        <is>
          <t>자연녹지지역</t>
        </is>
      </c>
      <c r="I2236" s="3" t="inlineStr">
        <is>
          <t>답</t>
        </is>
      </c>
      <c r="J2236" s="3" t="inlineStr">
        <is>
          <t>강내면</t>
        </is>
      </c>
    </row>
    <row r="2237">
      <c r="A2237" s="3" t="n">
        <v>2023</v>
      </c>
      <c r="B2237" s="4" t="n">
        <v>20092</v>
      </c>
      <c r="C2237" s="4" t="n">
        <v>999</v>
      </c>
      <c r="D2237" s="4" t="n">
        <v>302.1975</v>
      </c>
      <c r="E2237" s="5" t="n">
        <v>66.5</v>
      </c>
      <c r="F2237" s="3" t="inlineStr">
        <is>
          <t>강내면</t>
        </is>
      </c>
      <c r="G2237" s="3" t="inlineStr">
        <is>
          <t>학천리</t>
        </is>
      </c>
      <c r="H2237" s="3" t="inlineStr">
        <is>
          <t>자연녹지지역</t>
        </is>
      </c>
      <c r="I2237" s="3" t="inlineStr">
        <is>
          <t>전</t>
        </is>
      </c>
      <c r="J2237" s="3" t="inlineStr">
        <is>
          <t>강내면</t>
        </is>
      </c>
    </row>
    <row r="2238">
      <c r="A2238" s="3" t="n">
        <v>2023</v>
      </c>
      <c r="B2238" s="4" t="n">
        <v>22750</v>
      </c>
      <c r="C2238" s="4" t="n">
        <v>1131</v>
      </c>
      <c r="D2238" s="4" t="n">
        <v>342.1275</v>
      </c>
      <c r="E2238" s="5" t="n">
        <v>66.5</v>
      </c>
      <c r="F2238" s="3" t="inlineStr">
        <is>
          <t>강내면</t>
        </is>
      </c>
      <c r="G2238" s="3" t="inlineStr">
        <is>
          <t>학천리</t>
        </is>
      </c>
      <c r="H2238" s="3" t="inlineStr">
        <is>
          <t>자연녹지지역</t>
        </is>
      </c>
      <c r="I2238" s="3" t="inlineStr">
        <is>
          <t>전</t>
        </is>
      </c>
      <c r="J2238" s="3" t="inlineStr">
        <is>
          <t>강내면</t>
        </is>
      </c>
    </row>
    <row r="2239">
      <c r="A2239" s="3" t="n">
        <v>2023</v>
      </c>
      <c r="B2239" s="4" t="n">
        <v>6758</v>
      </c>
      <c r="C2239" s="4" t="n">
        <v>336</v>
      </c>
      <c r="D2239" s="4" t="n">
        <v>101.64</v>
      </c>
      <c r="E2239" s="5" t="n">
        <v>66.5</v>
      </c>
      <c r="F2239" s="3" t="inlineStr">
        <is>
          <t>강내면</t>
        </is>
      </c>
      <c r="G2239" s="3" t="inlineStr">
        <is>
          <t>학천리</t>
        </is>
      </c>
      <c r="H2239" s="3" t="inlineStr">
        <is>
          <t>자연녹지지역</t>
        </is>
      </c>
      <c r="I2239" s="3" t="inlineStr">
        <is>
          <t>전</t>
        </is>
      </c>
      <c r="J2239" s="3" t="inlineStr">
        <is>
          <t>강내면</t>
        </is>
      </c>
    </row>
    <row r="2240">
      <c r="A2240" s="3" t="n">
        <v>2023</v>
      </c>
      <c r="B2240" s="4" t="n">
        <v>6540</v>
      </c>
      <c r="C2240" s="4" t="n">
        <v>721</v>
      </c>
      <c r="D2240" s="4" t="n">
        <v>218.1025</v>
      </c>
      <c r="E2240" s="5" t="n">
        <v>30</v>
      </c>
      <c r="F2240" s="3" t="inlineStr">
        <is>
          <t>강내면</t>
        </is>
      </c>
      <c r="G2240" s="3" t="inlineStr">
        <is>
          <t>저산리</t>
        </is>
      </c>
      <c r="H2240" s="3" t="inlineStr">
        <is>
          <t>계획관리지역</t>
        </is>
      </c>
      <c r="I2240" s="3" t="inlineStr">
        <is>
          <t>전</t>
        </is>
      </c>
      <c r="J2240" s="3" t="inlineStr">
        <is>
          <t>강내면</t>
        </is>
      </c>
    </row>
    <row r="2241">
      <c r="A2241" s="3" t="n">
        <v>2023</v>
      </c>
      <c r="B2241" s="4" t="n">
        <v>21000</v>
      </c>
      <c r="C2241" s="4" t="n">
        <v>356</v>
      </c>
      <c r="D2241" s="4" t="n">
        <v>107.69</v>
      </c>
      <c r="E2241" s="5" t="n">
        <v>195</v>
      </c>
      <c r="F2241" s="3" t="inlineStr">
        <is>
          <t>오송읍</t>
        </is>
      </c>
      <c r="G2241" s="3" t="inlineStr">
        <is>
          <t>오송리</t>
        </is>
      </c>
      <c r="H2241" s="3" t="inlineStr">
        <is>
          <t>계획관리지역</t>
        </is>
      </c>
      <c r="I2241" s="3" t="inlineStr">
        <is>
          <t>전</t>
        </is>
      </c>
      <c r="J2241" s="3" t="inlineStr">
        <is>
          <t>오송읍</t>
        </is>
      </c>
    </row>
    <row r="2242">
      <c r="A2242" s="3" t="n">
        <v>2023</v>
      </c>
      <c r="B2242" s="4" t="n">
        <v>48080</v>
      </c>
      <c r="C2242" s="4" t="n">
        <v>620</v>
      </c>
      <c r="D2242" s="4" t="n">
        <v>187.55</v>
      </c>
      <c r="E2242" s="5" t="n">
        <v>256.4</v>
      </c>
      <c r="F2242" s="3" t="inlineStr">
        <is>
          <t>오송읍</t>
        </is>
      </c>
      <c r="G2242" s="3" t="inlineStr">
        <is>
          <t>궁평리</t>
        </is>
      </c>
      <c r="H2242" s="3" t="inlineStr">
        <is>
          <t>농림지역</t>
        </is>
      </c>
      <c r="I2242" s="3" t="inlineStr">
        <is>
          <t>대</t>
        </is>
      </c>
      <c r="J2242" s="3" t="inlineStr">
        <is>
          <t>오송읍</t>
        </is>
      </c>
    </row>
    <row r="2243">
      <c r="A2243" s="3" t="n">
        <v>2023</v>
      </c>
      <c r="B2243" s="4" t="n">
        <v>30000</v>
      </c>
      <c r="C2243" s="4" t="n">
        <v>273.8</v>
      </c>
      <c r="D2243" s="4" t="n">
        <v>82.8245</v>
      </c>
      <c r="E2243" s="5" t="n">
        <v>362.2</v>
      </c>
      <c r="F2243" s="3" t="inlineStr">
        <is>
          <t>오송읍</t>
        </is>
      </c>
      <c r="G2243" s="3" t="inlineStr">
        <is>
          <t>봉산리</t>
        </is>
      </c>
      <c r="H2243" s="3" t="inlineStr">
        <is>
          <t>제1종일반주거지역</t>
        </is>
      </c>
      <c r="I2243" s="3" t="inlineStr">
        <is>
          <t>대</t>
        </is>
      </c>
      <c r="J2243" s="3" t="inlineStr">
        <is>
          <t>오송읍</t>
        </is>
      </c>
    </row>
    <row r="2244">
      <c r="A2244" s="3" t="n">
        <v>2023</v>
      </c>
      <c r="B2244" s="4" t="n">
        <v>13892</v>
      </c>
      <c r="C2244" s="4" t="n">
        <v>418</v>
      </c>
      <c r="D2244" s="4" t="n">
        <v>126.445</v>
      </c>
      <c r="E2244" s="5" t="n">
        <v>109.9</v>
      </c>
      <c r="F2244" s="3" t="inlineStr">
        <is>
          <t>강내면</t>
        </is>
      </c>
      <c r="G2244" s="3" t="inlineStr">
        <is>
          <t>저산리</t>
        </is>
      </c>
      <c r="H2244" s="3" t="inlineStr">
        <is>
          <t>보전관리지역</t>
        </is>
      </c>
      <c r="I2244" s="3" t="inlineStr">
        <is>
          <t>대</t>
        </is>
      </c>
      <c r="J2244" s="3" t="inlineStr">
        <is>
          <t>강내면</t>
        </is>
      </c>
    </row>
    <row r="2245">
      <c r="A2245" s="3" t="n">
        <v>2026</v>
      </c>
      <c r="B2245" s="4" t="n">
        <v>400</v>
      </c>
      <c r="C2245" s="4" t="n">
        <v>322</v>
      </c>
      <c r="D2245" s="4" t="n">
        <v>97.405</v>
      </c>
      <c r="E2245" s="5" t="n">
        <v>4.1</v>
      </c>
      <c r="F2245" s="3" t="inlineStr">
        <is>
          <t>강내면</t>
        </is>
      </c>
      <c r="G2245" s="3" t="inlineStr">
        <is>
          <t>당곡리</t>
        </is>
      </c>
      <c r="H2245" s="3" t="inlineStr">
        <is>
          <t>보전관리지역</t>
        </is>
      </c>
      <c r="I2245" s="3" t="inlineStr">
        <is>
          <t>임야</t>
        </is>
      </c>
      <c r="J2245" s="3" t="inlineStr">
        <is>
          <t>강내면</t>
        </is>
      </c>
    </row>
    <row r="2246">
      <c r="A2246" s="3" t="n">
        <v>2026</v>
      </c>
      <c r="B2246" s="4" t="n">
        <v>21702</v>
      </c>
      <c r="C2246" s="4" t="n">
        <v>444.1</v>
      </c>
      <c r="D2246" s="4" t="n">
        <v>134.34025</v>
      </c>
      <c r="E2246" s="5" t="n">
        <v>161.5</v>
      </c>
      <c r="F2246" s="3" t="inlineStr">
        <is>
          <t>강내면</t>
        </is>
      </c>
      <c r="G2246" s="3" t="inlineStr">
        <is>
          <t>사곡리</t>
        </is>
      </c>
      <c r="H2246" s="3" t="inlineStr">
        <is>
          <t>보전관리지역</t>
        </is>
      </c>
      <c r="I2246" s="3" t="inlineStr">
        <is>
          <t>대</t>
        </is>
      </c>
      <c r="J2246" s="3" t="inlineStr">
        <is>
          <t>강내면</t>
        </is>
      </c>
    </row>
    <row r="2247">
      <c r="A2247" s="3" t="n">
        <v>2024</v>
      </c>
      <c r="B2247" s="4" t="n">
        <v>60000</v>
      </c>
      <c r="C2247" s="4" t="n">
        <v>326</v>
      </c>
      <c r="D2247" s="4" t="n">
        <v>98.61499999999999</v>
      </c>
      <c r="E2247" s="5" t="n">
        <v>608.4</v>
      </c>
      <c r="F2247" s="3" t="inlineStr">
        <is>
          <t>해밀동</t>
        </is>
      </c>
      <c r="G2247" s="3" t="inlineStr"/>
      <c r="H2247" s="3" t="inlineStr">
        <is>
          <t>기타</t>
        </is>
      </c>
      <c r="I2247" s="3" t="inlineStr">
        <is>
          <t>대</t>
        </is>
      </c>
      <c r="J2247" s="3" t="inlineStr">
        <is>
          <t>해밀동</t>
        </is>
      </c>
    </row>
    <row r="2248">
      <c r="A2248" s="3" t="n">
        <v>2024</v>
      </c>
      <c r="B2248" s="4" t="n">
        <v>50000</v>
      </c>
      <c r="C2248" s="4" t="n">
        <v>322</v>
      </c>
      <c r="D2248" s="4" t="n">
        <v>97.405</v>
      </c>
      <c r="E2248" s="5" t="n">
        <v>513.3</v>
      </c>
      <c r="F2248" s="3" t="inlineStr">
        <is>
          <t>반곡동</t>
        </is>
      </c>
      <c r="G2248" s="3" t="inlineStr"/>
      <c r="H2248" s="3" t="inlineStr">
        <is>
          <t>제1종전용주거지역</t>
        </is>
      </c>
      <c r="I2248" s="3" t="inlineStr">
        <is>
          <t>대</t>
        </is>
      </c>
      <c r="J2248" s="3" t="inlineStr">
        <is>
          <t>반곡동</t>
        </is>
      </c>
    </row>
    <row r="2249">
      <c r="A2249" s="3" t="n">
        <v>2024</v>
      </c>
      <c r="B2249" s="4" t="n">
        <v>24350</v>
      </c>
      <c r="C2249" s="4" t="n">
        <v>256</v>
      </c>
      <c r="D2249" s="4" t="n">
        <v>77.44</v>
      </c>
      <c r="E2249" s="5" t="n">
        <v>314.4</v>
      </c>
      <c r="F2249" s="3" t="inlineStr">
        <is>
          <t>집현동</t>
        </is>
      </c>
      <c r="G2249" s="3" t="inlineStr"/>
      <c r="H2249" s="3" t="inlineStr">
        <is>
          <t>기타</t>
        </is>
      </c>
      <c r="I2249" s="3" t="inlineStr">
        <is>
          <t>대</t>
        </is>
      </c>
      <c r="J2249" s="3" t="inlineStr">
        <is>
          <t>집현동</t>
        </is>
      </c>
    </row>
    <row r="2250">
      <c r="A2250" s="3" t="n">
        <v>2023</v>
      </c>
      <c r="B2250" s="4" t="n">
        <v>70000</v>
      </c>
      <c r="C2250" s="4" t="n">
        <v>1077</v>
      </c>
      <c r="D2250" s="4" t="n">
        <v>325.7925</v>
      </c>
      <c r="E2250" s="5" t="n">
        <v>214.9</v>
      </c>
      <c r="F2250" s="3" t="inlineStr">
        <is>
          <t>연서면</t>
        </is>
      </c>
      <c r="G2250" s="3" t="inlineStr">
        <is>
          <t>월하리</t>
        </is>
      </c>
      <c r="H2250" s="3" t="inlineStr">
        <is>
          <t>계획관리지역</t>
        </is>
      </c>
      <c r="I2250" s="3" t="inlineStr">
        <is>
          <t>답</t>
        </is>
      </c>
      <c r="J2250" s="3" t="inlineStr">
        <is>
          <t>연서면</t>
        </is>
      </c>
    </row>
    <row r="2251">
      <c r="A2251" s="3" t="n">
        <v>2023</v>
      </c>
      <c r="B2251" s="4" t="n">
        <v>1300</v>
      </c>
      <c r="C2251" s="4" t="n">
        <v>33</v>
      </c>
      <c r="D2251" s="4" t="n">
        <v>9.9825</v>
      </c>
      <c r="E2251" s="5" t="n">
        <v>130.2</v>
      </c>
      <c r="F2251" s="3" t="inlineStr">
        <is>
          <t>연동면</t>
        </is>
      </c>
      <c r="G2251" s="3" t="inlineStr">
        <is>
          <t>송용리</t>
        </is>
      </c>
      <c r="H2251" s="3" t="inlineStr">
        <is>
          <t>계획관리지역</t>
        </is>
      </c>
      <c r="I2251" s="3" t="inlineStr">
        <is>
          <t>도로</t>
        </is>
      </c>
      <c r="J2251" s="3" t="inlineStr">
        <is>
          <t>연동면</t>
        </is>
      </c>
    </row>
    <row r="2252">
      <c r="A2252" s="3" t="n">
        <v>2023</v>
      </c>
      <c r="B2252" s="4" t="n">
        <v>3770</v>
      </c>
      <c r="C2252" s="4" t="n">
        <v>96</v>
      </c>
      <c r="D2252" s="4" t="n">
        <v>29.04</v>
      </c>
      <c r="E2252" s="5" t="n">
        <v>129.8</v>
      </c>
      <c r="F2252" s="3" t="inlineStr">
        <is>
          <t>연동면</t>
        </is>
      </c>
      <c r="G2252" s="3" t="inlineStr">
        <is>
          <t>송용리</t>
        </is>
      </c>
      <c r="H2252" s="3" t="inlineStr">
        <is>
          <t>계획관리지역</t>
        </is>
      </c>
      <c r="I2252" s="3" t="inlineStr">
        <is>
          <t>도로</t>
        </is>
      </c>
      <c r="J2252" s="3" t="inlineStr">
        <is>
          <t>연동면</t>
        </is>
      </c>
    </row>
    <row r="2253">
      <c r="A2253" s="3" t="n">
        <v>2022</v>
      </c>
      <c r="B2253" s="4" t="n">
        <v>75500</v>
      </c>
      <c r="C2253" s="4" t="n">
        <v>303.1</v>
      </c>
      <c r="D2253" s="4" t="n">
        <v>91.68775000000001</v>
      </c>
      <c r="E2253" s="5" t="n">
        <v>823.4</v>
      </c>
      <c r="F2253" s="3" t="inlineStr">
        <is>
          <t>한솔동</t>
        </is>
      </c>
      <c r="G2253" s="3" t="inlineStr"/>
      <c r="H2253" s="3" t="inlineStr">
        <is>
          <t>제1종전용주거지역</t>
        </is>
      </c>
      <c r="I2253" s="3" t="inlineStr">
        <is>
          <t>대</t>
        </is>
      </c>
      <c r="J2253" s="3" t="inlineStr">
        <is>
          <t>한솔동</t>
        </is>
      </c>
    </row>
    <row r="2254">
      <c r="A2254" s="3" t="n">
        <v>2024</v>
      </c>
      <c r="B2254" s="4" t="n">
        <v>12892</v>
      </c>
      <c r="C2254" s="4" t="n">
        <v>668</v>
      </c>
      <c r="D2254" s="4" t="n">
        <v>202.07</v>
      </c>
      <c r="E2254" s="5" t="n">
        <v>63.8</v>
      </c>
      <c r="F2254" s="3" t="inlineStr">
        <is>
          <t>남이면</t>
        </is>
      </c>
      <c r="G2254" s="3" t="inlineStr">
        <is>
          <t>구미리</t>
        </is>
      </c>
      <c r="H2254" s="3" t="inlineStr">
        <is>
          <t>계획관리지역</t>
        </is>
      </c>
      <c r="I2254" s="3" t="inlineStr">
        <is>
          <t>답</t>
        </is>
      </c>
      <c r="J2254" s="3" t="inlineStr">
        <is>
          <t>남이면</t>
        </is>
      </c>
    </row>
    <row r="2255">
      <c r="A2255" s="3" t="n">
        <v>2025</v>
      </c>
      <c r="B2255" s="4" t="n">
        <v>32596</v>
      </c>
      <c r="C2255" s="4" t="n">
        <v>1755</v>
      </c>
      <c r="D2255" s="4" t="n">
        <v>530.8874999999999</v>
      </c>
      <c r="E2255" s="5" t="n">
        <v>61.4</v>
      </c>
      <c r="F2255" s="3" t="inlineStr">
        <is>
          <t>남이면</t>
        </is>
      </c>
      <c r="G2255" s="3" t="inlineStr">
        <is>
          <t>부용외천리</t>
        </is>
      </c>
      <c r="H2255" s="3" t="inlineStr">
        <is>
          <t>계획관리지역</t>
        </is>
      </c>
      <c r="I2255" s="3" t="inlineStr">
        <is>
          <t>전</t>
        </is>
      </c>
      <c r="J2255" s="3" t="inlineStr">
        <is>
          <t>남이면</t>
        </is>
      </c>
    </row>
    <row r="2256">
      <c r="A2256" s="3" t="n">
        <v>2025</v>
      </c>
      <c r="B2256" s="4" t="n">
        <v>442</v>
      </c>
      <c r="C2256" s="4" t="n">
        <v>11</v>
      </c>
      <c r="D2256" s="4" t="n">
        <v>3.3275</v>
      </c>
      <c r="E2256" s="5" t="n">
        <v>132.8</v>
      </c>
      <c r="F2256" s="3" t="inlineStr">
        <is>
          <t>남이면</t>
        </is>
      </c>
      <c r="G2256" s="3" t="inlineStr">
        <is>
          <t>가마리</t>
        </is>
      </c>
      <c r="H2256" s="3" t="inlineStr">
        <is>
          <t>자연녹지지역</t>
        </is>
      </c>
      <c r="I2256" s="3" t="inlineStr">
        <is>
          <t>전</t>
        </is>
      </c>
      <c r="J2256" s="3" t="inlineStr">
        <is>
          <t>남이면</t>
        </is>
      </c>
    </row>
    <row r="2257">
      <c r="A2257" s="3" t="n">
        <v>2025</v>
      </c>
      <c r="B2257" s="4" t="n">
        <v>10684</v>
      </c>
      <c r="C2257" s="4" t="n">
        <v>1371</v>
      </c>
      <c r="D2257" s="4" t="n">
        <v>414.7275</v>
      </c>
      <c r="E2257" s="5" t="n">
        <v>25.8</v>
      </c>
      <c r="F2257" s="3" t="inlineStr">
        <is>
          <t>남이면</t>
        </is>
      </c>
      <c r="G2257" s="3" t="inlineStr">
        <is>
          <t>가좌리</t>
        </is>
      </c>
      <c r="H2257" s="3" t="inlineStr">
        <is>
          <t>자연녹지지역</t>
        </is>
      </c>
      <c r="I2257" s="3" t="inlineStr">
        <is>
          <t>답</t>
        </is>
      </c>
      <c r="J2257" s="3" t="inlineStr">
        <is>
          <t>남이면</t>
        </is>
      </c>
    </row>
    <row r="2258">
      <c r="A2258" s="3" t="n">
        <v>2024</v>
      </c>
      <c r="B2258" s="4" t="n">
        <v>11000</v>
      </c>
      <c r="C2258" s="4" t="n">
        <v>377</v>
      </c>
      <c r="D2258" s="4" t="n">
        <v>114.0425</v>
      </c>
      <c r="E2258" s="5" t="n">
        <v>96.5</v>
      </c>
      <c r="F2258" s="3" t="inlineStr">
        <is>
          <t>강내면</t>
        </is>
      </c>
      <c r="G2258" s="3" t="inlineStr">
        <is>
          <t>학천리</t>
        </is>
      </c>
      <c r="H2258" s="3" t="inlineStr">
        <is>
          <t>자연녹지지역</t>
        </is>
      </c>
      <c r="I2258" s="3" t="inlineStr">
        <is>
          <t>대</t>
        </is>
      </c>
      <c r="J2258" s="3" t="inlineStr">
        <is>
          <t>강내면</t>
        </is>
      </c>
    </row>
    <row r="2259">
      <c r="A2259" s="3" t="n">
        <v>2024</v>
      </c>
      <c r="B2259" s="4" t="n">
        <v>16841</v>
      </c>
      <c r="C2259" s="4" t="n">
        <v>4960</v>
      </c>
      <c r="D2259" s="4" t="n">
        <v>1500.4</v>
      </c>
      <c r="E2259" s="5" t="n">
        <v>11.2</v>
      </c>
      <c r="F2259" s="3" t="inlineStr">
        <is>
          <t>강내면</t>
        </is>
      </c>
      <c r="G2259" s="3" t="inlineStr">
        <is>
          <t>저산리</t>
        </is>
      </c>
      <c r="H2259" s="3" t="inlineStr">
        <is>
          <t>보전관리지역</t>
        </is>
      </c>
      <c r="I2259" s="3" t="inlineStr">
        <is>
          <t>임야</t>
        </is>
      </c>
      <c r="J2259" s="3" t="inlineStr">
        <is>
          <t>강내면</t>
        </is>
      </c>
    </row>
    <row r="2260">
      <c r="A2260" s="3" t="n">
        <v>2025</v>
      </c>
      <c r="B2260" s="4" t="n">
        <v>144000</v>
      </c>
      <c r="C2260" s="4" t="n">
        <v>3967</v>
      </c>
      <c r="D2260" s="4" t="n">
        <v>1200.0175</v>
      </c>
      <c r="E2260" s="5" t="n">
        <v>120</v>
      </c>
      <c r="F2260" s="3" t="inlineStr">
        <is>
          <t>오송읍</t>
        </is>
      </c>
      <c r="G2260" s="3" t="inlineStr">
        <is>
          <t>궁평리</t>
        </is>
      </c>
      <c r="H2260" s="3" t="inlineStr">
        <is>
          <t>농림지역</t>
        </is>
      </c>
      <c r="I2260" s="3" t="inlineStr">
        <is>
          <t>답</t>
        </is>
      </c>
      <c r="J2260" s="3" t="inlineStr">
        <is>
          <t>오송읍</t>
        </is>
      </c>
    </row>
    <row r="2261">
      <c r="A2261" s="3" t="n">
        <v>2025</v>
      </c>
      <c r="B2261" s="4" t="n">
        <v>500</v>
      </c>
      <c r="C2261" s="4" t="n">
        <v>10</v>
      </c>
      <c r="D2261" s="4" t="n">
        <v>3.025</v>
      </c>
      <c r="E2261" s="5" t="n">
        <v>165.3</v>
      </c>
      <c r="F2261" s="3" t="inlineStr">
        <is>
          <t>오송읍</t>
        </is>
      </c>
      <c r="G2261" s="3" t="inlineStr">
        <is>
          <t>봉산리</t>
        </is>
      </c>
      <c r="H2261" s="3" t="inlineStr">
        <is>
          <t>계획관리지역</t>
        </is>
      </c>
      <c r="I2261" s="3" t="inlineStr">
        <is>
          <t>답</t>
        </is>
      </c>
      <c r="J2261" s="3" t="inlineStr">
        <is>
          <t>오송읍</t>
        </is>
      </c>
    </row>
    <row r="2262">
      <c r="A2262" s="3" t="n">
        <v>2025</v>
      </c>
      <c r="B2262" s="4" t="n">
        <v>9000</v>
      </c>
      <c r="C2262" s="4" t="n">
        <v>744</v>
      </c>
      <c r="D2262" s="4" t="n">
        <v>225.06</v>
      </c>
      <c r="E2262" s="5" t="n">
        <v>40</v>
      </c>
      <c r="F2262" s="3" t="inlineStr">
        <is>
          <t>오송읍</t>
        </is>
      </c>
      <c r="G2262" s="3" t="inlineStr">
        <is>
          <t>서평리</t>
        </is>
      </c>
      <c r="H2262" s="3" t="inlineStr">
        <is>
          <t>농림지역</t>
        </is>
      </c>
      <c r="I2262" s="3" t="inlineStr">
        <is>
          <t>전</t>
        </is>
      </c>
      <c r="J2262" s="3" t="inlineStr">
        <is>
          <t>오송읍</t>
        </is>
      </c>
    </row>
    <row r="2263">
      <c r="A2263" s="3" t="n">
        <v>2025</v>
      </c>
      <c r="B2263" s="4" t="n">
        <v>21587</v>
      </c>
      <c r="C2263" s="4" t="n">
        <v>2198</v>
      </c>
      <c r="D2263" s="4" t="n">
        <v>664.895</v>
      </c>
      <c r="E2263" s="5" t="n">
        <v>32.5</v>
      </c>
      <c r="F2263" s="3" t="inlineStr">
        <is>
          <t>오송읍</t>
        </is>
      </c>
      <c r="G2263" s="3" t="inlineStr">
        <is>
          <t>동평리</t>
        </is>
      </c>
      <c r="H2263" s="3" t="inlineStr">
        <is>
          <t>농림지역</t>
        </is>
      </c>
      <c r="I2263" s="3" t="inlineStr">
        <is>
          <t>답</t>
        </is>
      </c>
      <c r="J2263" s="3" t="inlineStr">
        <is>
          <t>오송읍</t>
        </is>
      </c>
    </row>
    <row r="2264">
      <c r="A2264" s="3" t="n">
        <v>2025</v>
      </c>
      <c r="B2264" s="4" t="n">
        <v>3413</v>
      </c>
      <c r="C2264" s="4" t="n">
        <v>347</v>
      </c>
      <c r="D2264" s="4" t="n">
        <v>104.9675</v>
      </c>
      <c r="E2264" s="5" t="n">
        <v>32.5</v>
      </c>
      <c r="F2264" s="3" t="inlineStr">
        <is>
          <t>오송읍</t>
        </is>
      </c>
      <c r="G2264" s="3" t="inlineStr">
        <is>
          <t>동평리</t>
        </is>
      </c>
      <c r="H2264" s="3" t="inlineStr">
        <is>
          <t>농림지역</t>
        </is>
      </c>
      <c r="I2264" s="3" t="inlineStr">
        <is>
          <t>답</t>
        </is>
      </c>
      <c r="J2264" s="3" t="inlineStr">
        <is>
          <t>오송읍</t>
        </is>
      </c>
    </row>
    <row r="2265">
      <c r="A2265" s="3" t="n">
        <v>2025</v>
      </c>
      <c r="B2265" s="4" t="n">
        <v>460</v>
      </c>
      <c r="C2265" s="4" t="n">
        <v>75</v>
      </c>
      <c r="D2265" s="4" t="n">
        <v>22.6875</v>
      </c>
      <c r="E2265" s="5" t="n">
        <v>20.3</v>
      </c>
      <c r="F2265" s="3" t="inlineStr">
        <is>
          <t>강내면</t>
        </is>
      </c>
      <c r="G2265" s="3" t="inlineStr">
        <is>
          <t>다락리</t>
        </is>
      </c>
      <c r="H2265" s="3" t="inlineStr">
        <is>
          <t>계획관리지역</t>
        </is>
      </c>
      <c r="I2265" s="3" t="inlineStr">
        <is>
          <t>전</t>
        </is>
      </c>
      <c r="J2265" s="3" t="inlineStr">
        <is>
          <t>강내면</t>
        </is>
      </c>
    </row>
    <row r="2266">
      <c r="A2266" s="3" t="n">
        <v>2025</v>
      </c>
      <c r="B2266" s="4" t="n">
        <v>1600</v>
      </c>
      <c r="C2266" s="4" t="n">
        <v>265</v>
      </c>
      <c r="D2266" s="4" t="n">
        <v>80.16249999999999</v>
      </c>
      <c r="E2266" s="5" t="n">
        <v>20</v>
      </c>
      <c r="F2266" s="3" t="inlineStr">
        <is>
          <t>강내면</t>
        </is>
      </c>
      <c r="G2266" s="3" t="inlineStr">
        <is>
          <t>다락리</t>
        </is>
      </c>
      <c r="H2266" s="3" t="inlineStr">
        <is>
          <t>계획관리지역</t>
        </is>
      </c>
      <c r="I2266" s="3" t="inlineStr">
        <is>
          <t>전</t>
        </is>
      </c>
      <c r="J2266" s="3" t="inlineStr">
        <is>
          <t>강내면</t>
        </is>
      </c>
    </row>
    <row r="2267">
      <c r="A2267" s="3" t="n">
        <v>2025</v>
      </c>
      <c r="B2267" s="4" t="n">
        <v>16956</v>
      </c>
      <c r="C2267" s="4" t="n">
        <v>2176</v>
      </c>
      <c r="D2267" s="4" t="n">
        <v>658.24</v>
      </c>
      <c r="E2267" s="5" t="n">
        <v>25.8</v>
      </c>
      <c r="F2267" s="3" t="inlineStr">
        <is>
          <t>남이면</t>
        </is>
      </c>
      <c r="G2267" s="3" t="inlineStr">
        <is>
          <t>가좌리</t>
        </is>
      </c>
      <c r="H2267" s="3" t="inlineStr">
        <is>
          <t>자연녹지지역</t>
        </is>
      </c>
      <c r="I2267" s="3" t="inlineStr">
        <is>
          <t>답</t>
        </is>
      </c>
      <c r="J2267" s="3" t="inlineStr">
        <is>
          <t>남이면</t>
        </is>
      </c>
    </row>
    <row r="2268">
      <c r="A2268" s="3" t="n">
        <v>2022</v>
      </c>
      <c r="B2268" s="4" t="n">
        <v>5400</v>
      </c>
      <c r="C2268" s="4" t="n">
        <v>631</v>
      </c>
      <c r="D2268" s="4" t="n">
        <v>190.8775</v>
      </c>
      <c r="E2268" s="5" t="n">
        <v>28.3</v>
      </c>
      <c r="F2268" s="3" t="inlineStr">
        <is>
          <t>남이면</t>
        </is>
      </c>
      <c r="G2268" s="3" t="inlineStr">
        <is>
          <t>산막리</t>
        </is>
      </c>
      <c r="H2268" s="3" t="inlineStr">
        <is>
          <t>보전관리지역</t>
        </is>
      </c>
      <c r="I2268" s="3" t="inlineStr">
        <is>
          <t>전</t>
        </is>
      </c>
      <c r="J2268" s="3" t="inlineStr">
        <is>
          <t>남이면</t>
        </is>
      </c>
    </row>
    <row r="2269">
      <c r="A2269" s="3" t="n">
        <v>2022</v>
      </c>
      <c r="B2269" s="4" t="n">
        <v>10500</v>
      </c>
      <c r="C2269" s="4" t="n">
        <v>532</v>
      </c>
      <c r="D2269" s="4" t="n">
        <v>160.93</v>
      </c>
      <c r="E2269" s="5" t="n">
        <v>65.2</v>
      </c>
      <c r="F2269" s="3" t="inlineStr">
        <is>
          <t>남이면</t>
        </is>
      </c>
      <c r="G2269" s="3" t="inlineStr">
        <is>
          <t>석판리</t>
        </is>
      </c>
      <c r="H2269" s="3" t="inlineStr">
        <is>
          <t>자연녹지지역</t>
        </is>
      </c>
      <c r="I2269" s="3" t="inlineStr">
        <is>
          <t>대</t>
        </is>
      </c>
      <c r="J2269" s="3" t="inlineStr">
        <is>
          <t>남이면</t>
        </is>
      </c>
    </row>
    <row r="2270">
      <c r="A2270" s="3" t="n">
        <v>2022</v>
      </c>
      <c r="B2270" s="4" t="n">
        <v>1300</v>
      </c>
      <c r="C2270" s="4" t="n">
        <v>159</v>
      </c>
      <c r="D2270" s="4" t="n">
        <v>48.0975</v>
      </c>
      <c r="E2270" s="5" t="n">
        <v>27</v>
      </c>
      <c r="F2270" s="3" t="inlineStr">
        <is>
          <t>남이면</t>
        </is>
      </c>
      <c r="G2270" s="3" t="inlineStr">
        <is>
          <t>대련리</t>
        </is>
      </c>
      <c r="H2270" s="3" t="inlineStr">
        <is>
          <t>자연녹지지역</t>
        </is>
      </c>
      <c r="I2270" s="3" t="inlineStr">
        <is>
          <t>전</t>
        </is>
      </c>
      <c r="J2270" s="3" t="inlineStr">
        <is>
          <t>남이면</t>
        </is>
      </c>
    </row>
    <row r="2271">
      <c r="A2271" s="3" t="n">
        <v>2022</v>
      </c>
      <c r="B2271" s="4" t="n">
        <v>4500</v>
      </c>
      <c r="C2271" s="4" t="n">
        <v>499</v>
      </c>
      <c r="D2271" s="4" t="n">
        <v>150.9475</v>
      </c>
      <c r="E2271" s="5" t="n">
        <v>29.8</v>
      </c>
      <c r="F2271" s="3" t="inlineStr">
        <is>
          <t>남이면</t>
        </is>
      </c>
      <c r="G2271" s="3" t="inlineStr">
        <is>
          <t>대련리</t>
        </is>
      </c>
      <c r="H2271" s="3" t="inlineStr">
        <is>
          <t>자연녹지지역</t>
        </is>
      </c>
      <c r="I2271" s="3" t="inlineStr">
        <is>
          <t>전</t>
        </is>
      </c>
      <c r="J2271" s="3" t="inlineStr">
        <is>
          <t>남이면</t>
        </is>
      </c>
    </row>
    <row r="2272">
      <c r="A2272" s="3" t="n">
        <v>2022</v>
      </c>
      <c r="B2272" s="4" t="n">
        <v>30700</v>
      </c>
      <c r="C2272" s="4" t="n">
        <v>2000</v>
      </c>
      <c r="D2272" s="4" t="n">
        <v>605</v>
      </c>
      <c r="E2272" s="5" t="n">
        <v>50.7</v>
      </c>
      <c r="F2272" s="3" t="inlineStr">
        <is>
          <t>남이면</t>
        </is>
      </c>
      <c r="G2272" s="3" t="inlineStr">
        <is>
          <t>대련리</t>
        </is>
      </c>
      <c r="H2272" s="3" t="inlineStr">
        <is>
          <t>자연녹지지역</t>
        </is>
      </c>
      <c r="I2272" s="3" t="inlineStr">
        <is>
          <t>전</t>
        </is>
      </c>
      <c r="J2272" s="3" t="inlineStr">
        <is>
          <t>남이면</t>
        </is>
      </c>
    </row>
    <row r="2273">
      <c r="A2273" s="3" t="n">
        <v>2022</v>
      </c>
      <c r="B2273" s="4" t="n">
        <v>36800</v>
      </c>
      <c r="C2273" s="4" t="n">
        <v>2585</v>
      </c>
      <c r="D2273" s="4" t="n">
        <v>781.9625</v>
      </c>
      <c r="E2273" s="5" t="n">
        <v>47.1</v>
      </c>
      <c r="F2273" s="3" t="inlineStr">
        <is>
          <t>남이면</t>
        </is>
      </c>
      <c r="G2273" s="3" t="inlineStr">
        <is>
          <t>석실리</t>
        </is>
      </c>
      <c r="H2273" s="3" t="inlineStr">
        <is>
          <t>자연녹지지역</t>
        </is>
      </c>
      <c r="I2273" s="3" t="inlineStr">
        <is>
          <t>답</t>
        </is>
      </c>
      <c r="J2273" s="3" t="inlineStr">
        <is>
          <t>남이면</t>
        </is>
      </c>
    </row>
    <row r="2274">
      <c r="A2274" s="3" t="n">
        <v>2022</v>
      </c>
      <c r="B2274" s="4" t="n">
        <v>45000</v>
      </c>
      <c r="C2274" s="4" t="n">
        <v>2618</v>
      </c>
      <c r="D2274" s="4" t="n">
        <v>791.9449999999999</v>
      </c>
      <c r="E2274" s="5" t="n">
        <v>56.8</v>
      </c>
      <c r="F2274" s="3" t="inlineStr">
        <is>
          <t>남이면</t>
        </is>
      </c>
      <c r="G2274" s="3" t="inlineStr">
        <is>
          <t>수대리</t>
        </is>
      </c>
      <c r="H2274" s="3" t="inlineStr">
        <is>
          <t>자연녹지지역</t>
        </is>
      </c>
      <c r="I2274" s="3" t="inlineStr">
        <is>
          <t>전</t>
        </is>
      </c>
      <c r="J2274" s="3" t="inlineStr">
        <is>
          <t>남이면</t>
        </is>
      </c>
    </row>
    <row r="2275">
      <c r="A2275" s="3" t="n">
        <v>2022</v>
      </c>
      <c r="B2275" s="4" t="n">
        <v>15000</v>
      </c>
      <c r="C2275" s="4" t="n">
        <v>1250</v>
      </c>
      <c r="D2275" s="4" t="n">
        <v>378.125</v>
      </c>
      <c r="E2275" s="5" t="n">
        <v>39.7</v>
      </c>
      <c r="F2275" s="3" t="inlineStr">
        <is>
          <t>남이면</t>
        </is>
      </c>
      <c r="G2275" s="3" t="inlineStr">
        <is>
          <t>수대리</t>
        </is>
      </c>
      <c r="H2275" s="3" t="inlineStr">
        <is>
          <t>자연녹지지역</t>
        </is>
      </c>
      <c r="I2275" s="3" t="inlineStr">
        <is>
          <t>전</t>
        </is>
      </c>
      <c r="J2275" s="3" t="inlineStr">
        <is>
          <t>남이면</t>
        </is>
      </c>
    </row>
    <row r="2276">
      <c r="A2276" s="3" t="n">
        <v>2022</v>
      </c>
      <c r="B2276" s="4" t="n">
        <v>26000</v>
      </c>
      <c r="C2276" s="4" t="n">
        <v>705</v>
      </c>
      <c r="D2276" s="4" t="n">
        <v>213.2625</v>
      </c>
      <c r="E2276" s="5" t="n">
        <v>121.9</v>
      </c>
      <c r="F2276" s="3" t="inlineStr">
        <is>
          <t>남이면</t>
        </is>
      </c>
      <c r="G2276" s="3" t="inlineStr">
        <is>
          <t>구암리</t>
        </is>
      </c>
      <c r="H2276" s="3" t="inlineStr">
        <is>
          <t>자연녹지지역</t>
        </is>
      </c>
      <c r="I2276" s="3" t="inlineStr">
        <is>
          <t>임야</t>
        </is>
      </c>
      <c r="J2276" s="3" t="inlineStr">
        <is>
          <t>남이면</t>
        </is>
      </c>
    </row>
    <row r="2277">
      <c r="A2277" s="3" t="n">
        <v>2022</v>
      </c>
      <c r="B2277" s="4" t="n">
        <v>15000</v>
      </c>
      <c r="C2277" s="4" t="n">
        <v>4860</v>
      </c>
      <c r="D2277" s="4" t="n">
        <v>1470.15</v>
      </c>
      <c r="E2277" s="5" t="n">
        <v>10.2</v>
      </c>
      <c r="F2277" s="3" t="inlineStr">
        <is>
          <t>강내면</t>
        </is>
      </c>
      <c r="G2277" s="3" t="inlineStr">
        <is>
          <t>탑연리</t>
        </is>
      </c>
      <c r="H2277" s="3" t="inlineStr">
        <is>
          <t>보전녹지지역</t>
        </is>
      </c>
      <c r="I2277" s="3" t="inlineStr">
        <is>
          <t>임야</t>
        </is>
      </c>
      <c r="J2277" s="3" t="inlineStr">
        <is>
          <t>강내면</t>
        </is>
      </c>
    </row>
    <row r="2278">
      <c r="A2278" s="3" t="n">
        <v>2022</v>
      </c>
      <c r="B2278" s="4" t="n">
        <v>6200</v>
      </c>
      <c r="C2278" s="4" t="n">
        <v>223</v>
      </c>
      <c r="D2278" s="4" t="n">
        <v>67.4575</v>
      </c>
      <c r="E2278" s="5" t="n">
        <v>91.90000000000001</v>
      </c>
      <c r="F2278" s="3" t="inlineStr">
        <is>
          <t>오송읍</t>
        </is>
      </c>
      <c r="G2278" s="3" t="inlineStr">
        <is>
          <t>궁평리</t>
        </is>
      </c>
      <c r="H2278" s="3" t="inlineStr">
        <is>
          <t>농림지역</t>
        </is>
      </c>
      <c r="I2278" s="3" t="inlineStr">
        <is>
          <t>대</t>
        </is>
      </c>
      <c r="J2278" s="3" t="inlineStr">
        <is>
          <t>오송읍</t>
        </is>
      </c>
    </row>
    <row r="2279">
      <c r="A2279" s="3" t="n">
        <v>2022</v>
      </c>
      <c r="B2279" s="4" t="n">
        <v>47000</v>
      </c>
      <c r="C2279" s="4" t="n">
        <v>273.5</v>
      </c>
      <c r="D2279" s="4" t="n">
        <v>82.73375</v>
      </c>
      <c r="E2279" s="5" t="n">
        <v>568.1</v>
      </c>
      <c r="F2279" s="3" t="inlineStr">
        <is>
          <t>오송읍</t>
        </is>
      </c>
      <c r="G2279" s="3" t="inlineStr">
        <is>
          <t>봉산리</t>
        </is>
      </c>
      <c r="H2279" s="3" t="inlineStr">
        <is>
          <t>제1종일반주거지역</t>
        </is>
      </c>
      <c r="I2279" s="3" t="inlineStr">
        <is>
          <t>대</t>
        </is>
      </c>
      <c r="J2279" s="3" t="inlineStr">
        <is>
          <t>오송읍</t>
        </is>
      </c>
    </row>
    <row r="2280">
      <c r="A2280" s="3" t="n">
        <v>2022</v>
      </c>
      <c r="B2280" s="4" t="n">
        <v>28000</v>
      </c>
      <c r="C2280" s="4" t="n">
        <v>271.9</v>
      </c>
      <c r="D2280" s="4" t="n">
        <v>82.24974999999999</v>
      </c>
      <c r="E2280" s="5" t="n">
        <v>340.4</v>
      </c>
      <c r="F2280" s="3" t="inlineStr">
        <is>
          <t>오송읍</t>
        </is>
      </c>
      <c r="G2280" s="3" t="inlineStr">
        <is>
          <t>봉산리</t>
        </is>
      </c>
      <c r="H2280" s="3" t="inlineStr">
        <is>
          <t>제1종일반주거지역</t>
        </is>
      </c>
      <c r="I2280" s="3" t="inlineStr">
        <is>
          <t>대</t>
        </is>
      </c>
      <c r="J2280" s="3" t="inlineStr">
        <is>
          <t>오송읍</t>
        </is>
      </c>
    </row>
    <row r="2281">
      <c r="A2281" s="3" t="n">
        <v>2022</v>
      </c>
      <c r="B2281" s="4" t="n">
        <v>12000</v>
      </c>
      <c r="C2281" s="4" t="n">
        <v>1851</v>
      </c>
      <c r="D2281" s="4" t="n">
        <v>559.9275</v>
      </c>
      <c r="E2281" s="5" t="n">
        <v>21.4</v>
      </c>
      <c r="F2281" s="3" t="inlineStr">
        <is>
          <t>강내면</t>
        </is>
      </c>
      <c r="G2281" s="3" t="inlineStr">
        <is>
          <t>궁현리</t>
        </is>
      </c>
      <c r="H2281" s="3" t="inlineStr">
        <is>
          <t>농림지역</t>
        </is>
      </c>
      <c r="I2281" s="3" t="inlineStr">
        <is>
          <t>전</t>
        </is>
      </c>
      <c r="J2281" s="3" t="inlineStr">
        <is>
          <t>강내면</t>
        </is>
      </c>
    </row>
    <row r="2282">
      <c r="A2282" s="3" t="n">
        <v>2022</v>
      </c>
      <c r="B2282" s="4" t="n">
        <v>14190</v>
      </c>
      <c r="C2282" s="4" t="n">
        <v>853</v>
      </c>
      <c r="D2282" s="4" t="n">
        <v>258.0325</v>
      </c>
      <c r="E2282" s="5" t="n">
        <v>55</v>
      </c>
      <c r="F2282" s="3" t="inlineStr">
        <is>
          <t>오송읍</t>
        </is>
      </c>
      <c r="G2282" s="3" t="inlineStr">
        <is>
          <t>서평리</t>
        </is>
      </c>
      <c r="H2282" s="3" t="inlineStr">
        <is>
          <t>농림지역</t>
        </is>
      </c>
      <c r="I2282" s="3" t="inlineStr">
        <is>
          <t>답</t>
        </is>
      </c>
      <c r="J2282" s="3" t="inlineStr">
        <is>
          <t>오송읍</t>
        </is>
      </c>
    </row>
    <row r="2283">
      <c r="A2283" s="3" t="n">
        <v>2022</v>
      </c>
      <c r="B2283" s="4" t="n">
        <v>2720</v>
      </c>
      <c r="C2283" s="4" t="n">
        <v>112</v>
      </c>
      <c r="D2283" s="4" t="n">
        <v>33.88</v>
      </c>
      <c r="E2283" s="5" t="n">
        <v>80.3</v>
      </c>
      <c r="F2283" s="3" t="inlineStr">
        <is>
          <t>강내면</t>
        </is>
      </c>
      <c r="G2283" s="3" t="inlineStr">
        <is>
          <t>월탄리</t>
        </is>
      </c>
      <c r="H2283" s="3" t="inlineStr">
        <is>
          <t>자연녹지지역</t>
        </is>
      </c>
      <c r="I2283" s="3" t="inlineStr">
        <is>
          <t>임야</t>
        </is>
      </c>
      <c r="J2283" s="3" t="inlineStr">
        <is>
          <t>강내면</t>
        </is>
      </c>
    </row>
    <row r="2284">
      <c r="A2284" s="3" t="n">
        <v>2022</v>
      </c>
      <c r="B2284" s="4" t="n">
        <v>54400</v>
      </c>
      <c r="C2284" s="4" t="n">
        <v>265</v>
      </c>
      <c r="D2284" s="4" t="n">
        <v>80.16249999999999</v>
      </c>
      <c r="E2284" s="5" t="n">
        <v>678.6</v>
      </c>
      <c r="F2284" s="3" t="inlineStr">
        <is>
          <t>강내면</t>
        </is>
      </c>
      <c r="G2284" s="3" t="inlineStr">
        <is>
          <t>월곡리</t>
        </is>
      </c>
      <c r="H2284" s="3" t="inlineStr">
        <is>
          <t>제2종일반주거지역</t>
        </is>
      </c>
      <c r="I2284" s="3" t="inlineStr">
        <is>
          <t>답</t>
        </is>
      </c>
      <c r="J2284" s="3" t="inlineStr">
        <is>
          <t>강내면</t>
        </is>
      </c>
    </row>
    <row r="2285">
      <c r="A2285" s="3" t="n">
        <v>2022</v>
      </c>
      <c r="B2285" s="4" t="n">
        <v>10000</v>
      </c>
      <c r="C2285" s="4" t="n">
        <v>403</v>
      </c>
      <c r="D2285" s="4" t="n">
        <v>121.9075</v>
      </c>
      <c r="E2285" s="5" t="n">
        <v>82</v>
      </c>
      <c r="F2285" s="3" t="inlineStr">
        <is>
          <t>오송읍</t>
        </is>
      </c>
      <c r="G2285" s="3" t="inlineStr">
        <is>
          <t>동평리</t>
        </is>
      </c>
      <c r="H2285" s="3" t="inlineStr">
        <is>
          <t>농림지역</t>
        </is>
      </c>
      <c r="I2285" s="3" t="inlineStr">
        <is>
          <t>전</t>
        </is>
      </c>
      <c r="J2285" s="3" t="inlineStr">
        <is>
          <t>오송읍</t>
        </is>
      </c>
    </row>
    <row r="2286">
      <c r="A2286" s="3" t="n">
        <v>2022</v>
      </c>
      <c r="B2286" s="4" t="n">
        <v>59677</v>
      </c>
      <c r="C2286" s="4" t="n">
        <v>2908</v>
      </c>
      <c r="D2286" s="4" t="n">
        <v>879.67</v>
      </c>
      <c r="E2286" s="5" t="n">
        <v>67.8</v>
      </c>
      <c r="F2286" s="3" t="inlineStr">
        <is>
          <t>오송읍</t>
        </is>
      </c>
      <c r="G2286" s="3" t="inlineStr">
        <is>
          <t>연제리</t>
        </is>
      </c>
      <c r="H2286" s="3" t="inlineStr">
        <is>
          <t>준공업지역</t>
        </is>
      </c>
      <c r="I2286" s="3" t="inlineStr">
        <is>
          <t>대</t>
        </is>
      </c>
      <c r="J2286" s="3" t="inlineStr">
        <is>
          <t>오송읍</t>
        </is>
      </c>
    </row>
    <row r="2287">
      <c r="A2287" s="3" t="n">
        <v>2022</v>
      </c>
      <c r="B2287" s="4" t="n">
        <v>7100</v>
      </c>
      <c r="C2287" s="4" t="n">
        <v>235</v>
      </c>
      <c r="D2287" s="4" t="n">
        <v>71.08749999999999</v>
      </c>
      <c r="E2287" s="5" t="n">
        <v>99.90000000000001</v>
      </c>
      <c r="F2287" s="3" t="inlineStr">
        <is>
          <t>강내면</t>
        </is>
      </c>
      <c r="G2287" s="3" t="inlineStr">
        <is>
          <t>산단리</t>
        </is>
      </c>
      <c r="H2287" s="3" t="inlineStr">
        <is>
          <t>계획관리지역</t>
        </is>
      </c>
      <c r="I2287" s="3" t="inlineStr">
        <is>
          <t>대</t>
        </is>
      </c>
      <c r="J2287" s="3" t="inlineStr">
        <is>
          <t>강내면</t>
        </is>
      </c>
    </row>
    <row r="2288">
      <c r="A2288" s="3" t="n">
        <v>2022</v>
      </c>
      <c r="B2288" s="4" t="n">
        <v>7800</v>
      </c>
      <c r="C2288" s="4" t="n">
        <v>87</v>
      </c>
      <c r="D2288" s="4" t="n">
        <v>26.3175</v>
      </c>
      <c r="E2288" s="5" t="n">
        <v>296.4</v>
      </c>
      <c r="F2288" s="3" t="inlineStr">
        <is>
          <t>강내면</t>
        </is>
      </c>
      <c r="G2288" s="3" t="inlineStr">
        <is>
          <t>월곡리</t>
        </is>
      </c>
      <c r="H2288" s="3" t="inlineStr">
        <is>
          <t>제2종일반주거지역</t>
        </is>
      </c>
      <c r="I2288" s="3" t="inlineStr">
        <is>
          <t>답</t>
        </is>
      </c>
      <c r="J2288" s="3" t="inlineStr">
        <is>
          <t>강내면</t>
        </is>
      </c>
    </row>
    <row r="2289">
      <c r="A2289" s="3" t="n">
        <v>2022</v>
      </c>
      <c r="B2289" s="4" t="n">
        <v>34300</v>
      </c>
      <c r="C2289" s="4" t="n">
        <v>1012</v>
      </c>
      <c r="D2289" s="4" t="n">
        <v>306.13</v>
      </c>
      <c r="E2289" s="5" t="n">
        <v>112</v>
      </c>
      <c r="F2289" s="3" t="inlineStr">
        <is>
          <t>오송읍</t>
        </is>
      </c>
      <c r="G2289" s="3" t="inlineStr">
        <is>
          <t>연제리</t>
        </is>
      </c>
      <c r="H2289" s="3" t="inlineStr">
        <is>
          <t>계획관리지역</t>
        </is>
      </c>
      <c r="I2289" s="3" t="inlineStr">
        <is>
          <t>전</t>
        </is>
      </c>
      <c r="J2289" s="3" t="inlineStr">
        <is>
          <t>오송읍</t>
        </is>
      </c>
    </row>
    <row r="2290">
      <c r="A2290" s="3" t="n">
        <v>2022</v>
      </c>
      <c r="B2290" s="4" t="n">
        <v>29933</v>
      </c>
      <c r="C2290" s="4" t="n">
        <v>882</v>
      </c>
      <c r="D2290" s="4" t="n">
        <v>266.805</v>
      </c>
      <c r="E2290" s="5" t="n">
        <v>112.2</v>
      </c>
      <c r="F2290" s="3" t="inlineStr">
        <is>
          <t>오송읍</t>
        </is>
      </c>
      <c r="G2290" s="3" t="inlineStr">
        <is>
          <t>정중리</t>
        </is>
      </c>
      <c r="H2290" s="3" t="inlineStr">
        <is>
          <t>계획관리지역</t>
        </is>
      </c>
      <c r="I2290" s="3" t="inlineStr">
        <is>
          <t>전</t>
        </is>
      </c>
      <c r="J2290" s="3" t="inlineStr">
        <is>
          <t>오송읍</t>
        </is>
      </c>
    </row>
    <row r="2291">
      <c r="A2291" s="3" t="n">
        <v>2022</v>
      </c>
      <c r="B2291" s="4" t="n">
        <v>15730</v>
      </c>
      <c r="C2291" s="4" t="n">
        <v>416</v>
      </c>
      <c r="D2291" s="4" t="n">
        <v>125.84</v>
      </c>
      <c r="E2291" s="5" t="n">
        <v>125</v>
      </c>
      <c r="F2291" s="3" t="inlineStr">
        <is>
          <t>오송읍</t>
        </is>
      </c>
      <c r="G2291" s="3" t="inlineStr">
        <is>
          <t>공북리</t>
        </is>
      </c>
      <c r="H2291" s="3" t="inlineStr">
        <is>
          <t>계획관리지역</t>
        </is>
      </c>
      <c r="I2291" s="3" t="inlineStr">
        <is>
          <t>답</t>
        </is>
      </c>
      <c r="J2291" s="3" t="inlineStr">
        <is>
          <t>오송읍</t>
        </is>
      </c>
    </row>
    <row r="2292">
      <c r="A2292" s="3" t="n">
        <v>2022</v>
      </c>
      <c r="B2292" s="4" t="n">
        <v>15730</v>
      </c>
      <c r="C2292" s="4" t="n">
        <v>416</v>
      </c>
      <c r="D2292" s="4" t="n">
        <v>125.84</v>
      </c>
      <c r="E2292" s="5" t="n">
        <v>125</v>
      </c>
      <c r="F2292" s="3" t="inlineStr">
        <is>
          <t>오송읍</t>
        </is>
      </c>
      <c r="G2292" s="3" t="inlineStr">
        <is>
          <t>공북리</t>
        </is>
      </c>
      <c r="H2292" s="3" t="inlineStr">
        <is>
          <t>계획관리지역</t>
        </is>
      </c>
      <c r="I2292" s="3" t="inlineStr">
        <is>
          <t>답</t>
        </is>
      </c>
      <c r="J2292" s="3" t="inlineStr">
        <is>
          <t>오송읍</t>
        </is>
      </c>
    </row>
    <row r="2293">
      <c r="A2293" s="3" t="n">
        <v>2022</v>
      </c>
      <c r="B2293" s="4" t="n">
        <v>30000</v>
      </c>
      <c r="C2293" s="4" t="n">
        <v>271.8</v>
      </c>
      <c r="D2293" s="4" t="n">
        <v>82.2195</v>
      </c>
      <c r="E2293" s="5" t="n">
        <v>364.9</v>
      </c>
      <c r="F2293" s="3" t="inlineStr">
        <is>
          <t>오송읍</t>
        </is>
      </c>
      <c r="G2293" s="3" t="inlineStr">
        <is>
          <t>봉산리</t>
        </is>
      </c>
      <c r="H2293" s="3" t="inlineStr">
        <is>
          <t>제1종일반주거지역</t>
        </is>
      </c>
      <c r="I2293" s="3" t="inlineStr">
        <is>
          <t>대</t>
        </is>
      </c>
      <c r="J2293" s="3" t="inlineStr">
        <is>
          <t>오송읍</t>
        </is>
      </c>
    </row>
    <row r="2294">
      <c r="A2294" s="3" t="n">
        <v>2022</v>
      </c>
      <c r="B2294" s="4" t="n">
        <v>15690</v>
      </c>
      <c r="C2294" s="4" t="n">
        <v>415</v>
      </c>
      <c r="D2294" s="4" t="n">
        <v>125.5375</v>
      </c>
      <c r="E2294" s="5" t="n">
        <v>125</v>
      </c>
      <c r="F2294" s="3" t="inlineStr">
        <is>
          <t>오송읍</t>
        </is>
      </c>
      <c r="G2294" s="3" t="inlineStr">
        <is>
          <t>공북리</t>
        </is>
      </c>
      <c r="H2294" s="3" t="inlineStr">
        <is>
          <t>계획관리지역</t>
        </is>
      </c>
      <c r="I2294" s="3" t="inlineStr">
        <is>
          <t>답</t>
        </is>
      </c>
      <c r="J2294" s="3" t="inlineStr">
        <is>
          <t>오송읍</t>
        </is>
      </c>
    </row>
    <row r="2295">
      <c r="A2295" s="3" t="n">
        <v>2023</v>
      </c>
      <c r="B2295" s="4" t="n">
        <v>36310</v>
      </c>
      <c r="C2295" s="4" t="n">
        <v>532</v>
      </c>
      <c r="D2295" s="4" t="n">
        <v>160.93</v>
      </c>
      <c r="E2295" s="5" t="n">
        <v>225.6</v>
      </c>
      <c r="F2295" s="3" t="inlineStr">
        <is>
          <t>오송읍</t>
        </is>
      </c>
      <c r="G2295" s="3" t="inlineStr">
        <is>
          <t>정중리</t>
        </is>
      </c>
      <c r="H2295" s="3" t="inlineStr">
        <is>
          <t>생산관리지역</t>
        </is>
      </c>
      <c r="I2295" s="3" t="inlineStr">
        <is>
          <t>임야</t>
        </is>
      </c>
      <c r="J2295" s="3" t="inlineStr">
        <is>
          <t>오송읍</t>
        </is>
      </c>
    </row>
    <row r="2296">
      <c r="A2296" s="3" t="n">
        <v>2023</v>
      </c>
      <c r="B2296" s="4" t="n">
        <v>50000</v>
      </c>
      <c r="C2296" s="4" t="n">
        <v>1083</v>
      </c>
      <c r="D2296" s="4" t="n">
        <v>327.6075</v>
      </c>
      <c r="E2296" s="5" t="n">
        <v>152.6</v>
      </c>
      <c r="F2296" s="3" t="inlineStr">
        <is>
          <t>오송읍</t>
        </is>
      </c>
      <c r="G2296" s="3" t="inlineStr">
        <is>
          <t>연제리</t>
        </is>
      </c>
      <c r="H2296" s="3" t="inlineStr">
        <is>
          <t>계획관리지역</t>
        </is>
      </c>
      <c r="I2296" s="3" t="inlineStr">
        <is>
          <t>임야</t>
        </is>
      </c>
      <c r="J2296" s="3" t="inlineStr">
        <is>
          <t>오송읍</t>
        </is>
      </c>
    </row>
    <row r="2297">
      <c r="A2297" s="3" t="n">
        <v>2023</v>
      </c>
      <c r="B2297" s="4" t="n">
        <v>9535</v>
      </c>
      <c r="C2297" s="4" t="n">
        <v>97</v>
      </c>
      <c r="D2297" s="4" t="n">
        <v>29.3425</v>
      </c>
      <c r="E2297" s="5" t="n">
        <v>325</v>
      </c>
      <c r="F2297" s="3" t="inlineStr">
        <is>
          <t>오송읍</t>
        </is>
      </c>
      <c r="G2297" s="3" t="inlineStr">
        <is>
          <t>정중리</t>
        </is>
      </c>
      <c r="H2297" s="3" t="inlineStr">
        <is>
          <t>계획관리지역</t>
        </is>
      </c>
      <c r="I2297" s="3" t="inlineStr">
        <is>
          <t>대</t>
        </is>
      </c>
      <c r="J2297" s="3" t="inlineStr">
        <is>
          <t>오송읍</t>
        </is>
      </c>
    </row>
    <row r="2298">
      <c r="A2298" s="3" t="n">
        <v>2023</v>
      </c>
      <c r="B2298" s="4" t="n">
        <v>22820</v>
      </c>
      <c r="C2298" s="4" t="n">
        <v>1247</v>
      </c>
      <c r="D2298" s="4" t="n">
        <v>377.2175</v>
      </c>
      <c r="E2298" s="5" t="n">
        <v>60.5</v>
      </c>
      <c r="F2298" s="3" t="inlineStr">
        <is>
          <t>강내면</t>
        </is>
      </c>
      <c r="G2298" s="3" t="inlineStr">
        <is>
          <t>저산리</t>
        </is>
      </c>
      <c r="H2298" s="3" t="inlineStr">
        <is>
          <t>계획관리지역</t>
        </is>
      </c>
      <c r="I2298" s="3" t="inlineStr">
        <is>
          <t>전</t>
        </is>
      </c>
      <c r="J2298" s="3" t="inlineStr">
        <is>
          <t>강내면</t>
        </is>
      </c>
    </row>
    <row r="2299">
      <c r="A2299" s="3" t="n">
        <v>2023</v>
      </c>
      <c r="B2299" s="4" t="n">
        <v>31231</v>
      </c>
      <c r="C2299" s="4" t="n">
        <v>958</v>
      </c>
      <c r="D2299" s="4" t="n">
        <v>289.795</v>
      </c>
      <c r="E2299" s="5" t="n">
        <v>107.8</v>
      </c>
      <c r="F2299" s="3" t="inlineStr">
        <is>
          <t>오송읍</t>
        </is>
      </c>
      <c r="G2299" s="3" t="inlineStr">
        <is>
          <t>연제리</t>
        </is>
      </c>
      <c r="H2299" s="3" t="inlineStr">
        <is>
          <t>계획관리지역</t>
        </is>
      </c>
      <c r="I2299" s="3" t="inlineStr">
        <is>
          <t>구거</t>
        </is>
      </c>
      <c r="J2299" s="3" t="inlineStr">
        <is>
          <t>오송읍</t>
        </is>
      </c>
    </row>
    <row r="2300">
      <c r="A2300" s="3" t="n">
        <v>2023</v>
      </c>
      <c r="B2300" s="4" t="n">
        <v>12714</v>
      </c>
      <c r="C2300" s="4" t="n">
        <v>390</v>
      </c>
      <c r="D2300" s="4" t="n">
        <v>117.975</v>
      </c>
      <c r="E2300" s="5" t="n">
        <v>107.8</v>
      </c>
      <c r="F2300" s="3" t="inlineStr">
        <is>
          <t>오송읍</t>
        </is>
      </c>
      <c r="G2300" s="3" t="inlineStr">
        <is>
          <t>연제리</t>
        </is>
      </c>
      <c r="H2300" s="3" t="inlineStr">
        <is>
          <t>계획관리지역</t>
        </is>
      </c>
      <c r="I2300" s="3" t="inlineStr">
        <is>
          <t>전</t>
        </is>
      </c>
      <c r="J2300" s="3" t="inlineStr">
        <is>
          <t>오송읍</t>
        </is>
      </c>
    </row>
    <row r="2301">
      <c r="A2301" s="3" t="n">
        <v>2025</v>
      </c>
      <c r="B2301" s="4" t="n">
        <v>100569</v>
      </c>
      <c r="C2301" s="4" t="n">
        <v>4821.6</v>
      </c>
      <c r="D2301" s="4" t="n">
        <v>1458.534</v>
      </c>
      <c r="E2301" s="5" t="n">
        <v>69</v>
      </c>
      <c r="F2301" s="3" t="inlineStr">
        <is>
          <t>오송읍</t>
        </is>
      </c>
      <c r="G2301" s="3" t="inlineStr">
        <is>
          <t>연제리</t>
        </is>
      </c>
      <c r="H2301" s="3" t="inlineStr">
        <is>
          <t>준공업지역</t>
        </is>
      </c>
      <c r="I2301" s="3" t="inlineStr">
        <is>
          <t>대</t>
        </is>
      </c>
      <c r="J2301" s="3" t="inlineStr">
        <is>
          <t>오송읍</t>
        </is>
      </c>
    </row>
    <row r="2302">
      <c r="A2302" s="3" t="n">
        <v>2025</v>
      </c>
      <c r="B2302" s="4" t="n">
        <v>45600</v>
      </c>
      <c r="C2302" s="4" t="n">
        <v>3015</v>
      </c>
      <c r="D2302" s="4" t="n">
        <v>912.0375</v>
      </c>
      <c r="E2302" s="5" t="n">
        <v>50</v>
      </c>
      <c r="F2302" s="3" t="inlineStr">
        <is>
          <t>오송읍</t>
        </is>
      </c>
      <c r="G2302" s="3" t="inlineStr">
        <is>
          <t>서평리</t>
        </is>
      </c>
      <c r="H2302" s="3" t="inlineStr">
        <is>
          <t>농림지역</t>
        </is>
      </c>
      <c r="I2302" s="3" t="inlineStr">
        <is>
          <t>답</t>
        </is>
      </c>
      <c r="J2302" s="3" t="inlineStr">
        <is>
          <t>오송읍</t>
        </is>
      </c>
    </row>
    <row r="2303">
      <c r="A2303" s="3" t="n">
        <v>2025</v>
      </c>
      <c r="B2303" s="4" t="n">
        <v>61800</v>
      </c>
      <c r="C2303" s="4" t="n">
        <v>4086</v>
      </c>
      <c r="D2303" s="4" t="n">
        <v>1236.015</v>
      </c>
      <c r="E2303" s="5" t="n">
        <v>50</v>
      </c>
      <c r="F2303" s="3" t="inlineStr">
        <is>
          <t>오송읍</t>
        </is>
      </c>
      <c r="G2303" s="3" t="inlineStr">
        <is>
          <t>서평리</t>
        </is>
      </c>
      <c r="H2303" s="3" t="inlineStr">
        <is>
          <t>농림지역</t>
        </is>
      </c>
      <c r="I2303" s="3" t="inlineStr">
        <is>
          <t>답</t>
        </is>
      </c>
      <c r="J2303" s="3" t="inlineStr">
        <is>
          <t>오송읍</t>
        </is>
      </c>
    </row>
    <row r="2304">
      <c r="A2304" s="3" t="n">
        <v>2025</v>
      </c>
      <c r="B2304" s="4" t="n">
        <v>16050</v>
      </c>
      <c r="C2304" s="4" t="n">
        <v>1061</v>
      </c>
      <c r="D2304" s="4" t="n">
        <v>320.9525</v>
      </c>
      <c r="E2304" s="5" t="n">
        <v>50</v>
      </c>
      <c r="F2304" s="3" t="inlineStr">
        <is>
          <t>오송읍</t>
        </is>
      </c>
      <c r="G2304" s="3" t="inlineStr">
        <is>
          <t>서평리</t>
        </is>
      </c>
      <c r="H2304" s="3" t="inlineStr">
        <is>
          <t>농림지역</t>
        </is>
      </c>
      <c r="I2304" s="3" t="inlineStr">
        <is>
          <t>답</t>
        </is>
      </c>
      <c r="J2304" s="3" t="inlineStr">
        <is>
          <t>오송읍</t>
        </is>
      </c>
    </row>
    <row r="2305">
      <c r="A2305" s="3" t="n">
        <v>2025</v>
      </c>
      <c r="B2305" s="4" t="n">
        <v>37000</v>
      </c>
      <c r="C2305" s="4" t="n">
        <v>272.9</v>
      </c>
      <c r="D2305" s="4" t="n">
        <v>82.55224999999999</v>
      </c>
      <c r="E2305" s="5" t="n">
        <v>448.2</v>
      </c>
      <c r="F2305" s="3" t="inlineStr">
        <is>
          <t>오송읍</t>
        </is>
      </c>
      <c r="G2305" s="3" t="inlineStr">
        <is>
          <t>봉산리</t>
        </is>
      </c>
      <c r="H2305" s="3" t="inlineStr">
        <is>
          <t>제1종일반주거지역</t>
        </is>
      </c>
      <c r="I2305" s="3" t="inlineStr">
        <is>
          <t>대</t>
        </is>
      </c>
      <c r="J2305" s="3" t="inlineStr">
        <is>
          <t>오송읍</t>
        </is>
      </c>
    </row>
    <row r="2306">
      <c r="A2306" s="3" t="n">
        <v>2025</v>
      </c>
      <c r="B2306" s="4" t="n">
        <v>360</v>
      </c>
      <c r="C2306" s="4" t="n">
        <v>116</v>
      </c>
      <c r="D2306" s="4" t="n">
        <v>35.09</v>
      </c>
      <c r="E2306" s="5" t="n">
        <v>10.3</v>
      </c>
      <c r="F2306" s="3" t="inlineStr">
        <is>
          <t>강내면</t>
        </is>
      </c>
      <c r="G2306" s="3" t="inlineStr">
        <is>
          <t>태성리</t>
        </is>
      </c>
      <c r="H2306" s="3" t="inlineStr">
        <is>
          <t>계획관리지역</t>
        </is>
      </c>
      <c r="I2306" s="3" t="inlineStr">
        <is>
          <t>하천</t>
        </is>
      </c>
      <c r="J2306" s="3" t="inlineStr">
        <is>
          <t>강내면</t>
        </is>
      </c>
    </row>
    <row r="2307">
      <c r="A2307" s="3" t="n">
        <v>2025</v>
      </c>
      <c r="B2307" s="4" t="n">
        <v>194000</v>
      </c>
      <c r="C2307" s="4" t="n">
        <v>505.6</v>
      </c>
      <c r="D2307" s="4" t="n">
        <v>152.944</v>
      </c>
      <c r="E2307" s="5" t="n">
        <v>1268.4</v>
      </c>
      <c r="F2307" s="3" t="inlineStr">
        <is>
          <t>오송읍</t>
        </is>
      </c>
      <c r="G2307" s="3" t="inlineStr">
        <is>
          <t>만수리</t>
        </is>
      </c>
      <c r="H2307" s="3" t="inlineStr">
        <is>
          <t>일반상업지역</t>
        </is>
      </c>
      <c r="I2307" s="3" t="inlineStr">
        <is>
          <t>대</t>
        </is>
      </c>
      <c r="J2307" s="3" t="inlineStr">
        <is>
          <t>오송읍</t>
        </is>
      </c>
    </row>
    <row r="2308">
      <c r="A2308" s="3" t="n">
        <v>2025</v>
      </c>
      <c r="B2308" s="4" t="n">
        <v>40000</v>
      </c>
      <c r="C2308" s="4" t="n">
        <v>273</v>
      </c>
      <c r="D2308" s="4" t="n">
        <v>82.5825</v>
      </c>
      <c r="E2308" s="5" t="n">
        <v>484.4</v>
      </c>
      <c r="F2308" s="3" t="inlineStr">
        <is>
          <t>오송읍</t>
        </is>
      </c>
      <c r="G2308" s="3" t="inlineStr">
        <is>
          <t>봉산리</t>
        </is>
      </c>
      <c r="H2308" s="3" t="inlineStr">
        <is>
          <t>제1종일반주거지역</t>
        </is>
      </c>
      <c r="I2308" s="3" t="inlineStr">
        <is>
          <t>대</t>
        </is>
      </c>
      <c r="J2308" s="3" t="inlineStr">
        <is>
          <t>오송읍</t>
        </is>
      </c>
    </row>
    <row r="2309">
      <c r="A2309" s="3" t="n">
        <v>2025</v>
      </c>
      <c r="B2309" s="4" t="n">
        <v>91750</v>
      </c>
      <c r="C2309" s="4" t="n">
        <v>2589</v>
      </c>
      <c r="D2309" s="4" t="n">
        <v>783.1725</v>
      </c>
      <c r="E2309" s="5" t="n">
        <v>117.2</v>
      </c>
      <c r="F2309" s="3" t="inlineStr">
        <is>
          <t>강내면</t>
        </is>
      </c>
      <c r="G2309" s="3" t="inlineStr">
        <is>
          <t>석화리</t>
        </is>
      </c>
      <c r="H2309" s="3" t="inlineStr">
        <is>
          <t>자연녹지지역</t>
        </is>
      </c>
      <c r="I2309" s="3" t="inlineStr">
        <is>
          <t>공장용지</t>
        </is>
      </c>
      <c r="J2309" s="3" t="inlineStr">
        <is>
          <t>강내면</t>
        </is>
      </c>
    </row>
    <row r="2310">
      <c r="A2310" s="3" t="n">
        <v>2025</v>
      </c>
      <c r="B2310" s="4" t="n">
        <v>500</v>
      </c>
      <c r="C2310" s="4" t="n">
        <v>34</v>
      </c>
      <c r="D2310" s="4" t="n">
        <v>10.285</v>
      </c>
      <c r="E2310" s="5" t="n">
        <v>48.6</v>
      </c>
      <c r="F2310" s="3" t="inlineStr">
        <is>
          <t>강내면</t>
        </is>
      </c>
      <c r="G2310" s="3" t="inlineStr">
        <is>
          <t>석화리</t>
        </is>
      </c>
      <c r="H2310" s="3" t="inlineStr">
        <is>
          <t>자연녹지지역</t>
        </is>
      </c>
      <c r="I2310" s="3" t="inlineStr">
        <is>
          <t>도로</t>
        </is>
      </c>
      <c r="J2310" s="3" t="inlineStr">
        <is>
          <t>강내면</t>
        </is>
      </c>
    </row>
    <row r="2311">
      <c r="A2311" s="3" t="n">
        <v>2025</v>
      </c>
      <c r="B2311" s="4" t="n">
        <v>250</v>
      </c>
      <c r="C2311" s="4" t="n">
        <v>15</v>
      </c>
      <c r="D2311" s="4" t="n">
        <v>4.5375</v>
      </c>
      <c r="E2311" s="5" t="n">
        <v>55.1</v>
      </c>
      <c r="F2311" s="3" t="inlineStr">
        <is>
          <t>강내면</t>
        </is>
      </c>
      <c r="G2311" s="3" t="inlineStr">
        <is>
          <t>석화리</t>
        </is>
      </c>
      <c r="H2311" s="3" t="inlineStr">
        <is>
          <t>자연녹지지역</t>
        </is>
      </c>
      <c r="I2311" s="3" t="inlineStr">
        <is>
          <t>도로</t>
        </is>
      </c>
      <c r="J2311" s="3" t="inlineStr">
        <is>
          <t>강내면</t>
        </is>
      </c>
    </row>
    <row r="2312">
      <c r="A2312" s="3" t="n">
        <v>2025</v>
      </c>
      <c r="B2312" s="4" t="n">
        <v>90600</v>
      </c>
      <c r="C2312" s="4" t="n">
        <v>2995</v>
      </c>
      <c r="D2312" s="4" t="n">
        <v>905.9875</v>
      </c>
      <c r="E2312" s="5" t="n">
        <v>100</v>
      </c>
      <c r="F2312" s="3" t="inlineStr">
        <is>
          <t>강내면</t>
        </is>
      </c>
      <c r="G2312" s="3" t="inlineStr">
        <is>
          <t>월곡리</t>
        </is>
      </c>
      <c r="H2312" s="3" t="inlineStr">
        <is>
          <t>자연녹지지역</t>
        </is>
      </c>
      <c r="I2312" s="3" t="inlineStr">
        <is>
          <t>답</t>
        </is>
      </c>
      <c r="J2312" s="3" t="inlineStr">
        <is>
          <t>강내면</t>
        </is>
      </c>
    </row>
    <row r="2313">
      <c r="A2313" s="3" t="n">
        <v>2025</v>
      </c>
      <c r="B2313" s="4" t="n">
        <v>34320</v>
      </c>
      <c r="C2313" s="4" t="n">
        <v>291.1</v>
      </c>
      <c r="D2313" s="4" t="n">
        <v>88.05775</v>
      </c>
      <c r="E2313" s="5" t="n">
        <v>389.7</v>
      </c>
      <c r="F2313" s="3" t="inlineStr">
        <is>
          <t>오송읍</t>
        </is>
      </c>
      <c r="G2313" s="3" t="inlineStr">
        <is>
          <t>봉산리</t>
        </is>
      </c>
      <c r="H2313" s="3" t="inlineStr">
        <is>
          <t>제1종일반주거지역</t>
        </is>
      </c>
      <c r="I2313" s="3" t="inlineStr">
        <is>
          <t>대</t>
        </is>
      </c>
      <c r="J2313" s="3" t="inlineStr">
        <is>
          <t>오송읍</t>
        </is>
      </c>
    </row>
    <row r="2314">
      <c r="A2314" s="3" t="n">
        <v>2025</v>
      </c>
      <c r="B2314" s="4" t="n">
        <v>60000</v>
      </c>
      <c r="C2314" s="4" t="n">
        <v>3465</v>
      </c>
      <c r="D2314" s="4" t="n">
        <v>1048.1625</v>
      </c>
      <c r="E2314" s="5" t="n">
        <v>57.2</v>
      </c>
      <c r="F2314" s="3" t="inlineStr">
        <is>
          <t>오송읍</t>
        </is>
      </c>
      <c r="G2314" s="3" t="inlineStr">
        <is>
          <t>서평리</t>
        </is>
      </c>
      <c r="H2314" s="3" t="inlineStr">
        <is>
          <t>농림지역</t>
        </is>
      </c>
      <c r="I2314" s="3" t="inlineStr">
        <is>
          <t>전</t>
        </is>
      </c>
      <c r="J2314" s="3" t="inlineStr">
        <is>
          <t>오송읍</t>
        </is>
      </c>
    </row>
    <row r="2315">
      <c r="A2315" s="3" t="n">
        <v>2025</v>
      </c>
      <c r="B2315" s="4" t="n">
        <v>18000</v>
      </c>
      <c r="C2315" s="4" t="n">
        <v>595</v>
      </c>
      <c r="D2315" s="4" t="n">
        <v>179.9875</v>
      </c>
      <c r="E2315" s="5" t="n">
        <v>100</v>
      </c>
      <c r="F2315" s="3" t="inlineStr">
        <is>
          <t>강내면</t>
        </is>
      </c>
      <c r="G2315" s="3" t="inlineStr">
        <is>
          <t>월곡리</t>
        </is>
      </c>
      <c r="H2315" s="3" t="inlineStr">
        <is>
          <t>자연녹지지역</t>
        </is>
      </c>
      <c r="I2315" s="3" t="inlineStr">
        <is>
          <t>답</t>
        </is>
      </c>
      <c r="J2315" s="3" t="inlineStr">
        <is>
          <t>강내면</t>
        </is>
      </c>
    </row>
    <row r="2316">
      <c r="A2316" s="3" t="n">
        <v>2025</v>
      </c>
      <c r="B2316" s="4" t="n">
        <v>64200</v>
      </c>
      <c r="C2316" s="4" t="n">
        <v>2122</v>
      </c>
      <c r="D2316" s="4" t="n">
        <v>641.905</v>
      </c>
      <c r="E2316" s="5" t="n">
        <v>100</v>
      </c>
      <c r="F2316" s="3" t="inlineStr">
        <is>
          <t>강내면</t>
        </is>
      </c>
      <c r="G2316" s="3" t="inlineStr">
        <is>
          <t>월곡리</t>
        </is>
      </c>
      <c r="H2316" s="3" t="inlineStr">
        <is>
          <t>자연녹지지역</t>
        </is>
      </c>
      <c r="I2316" s="3" t="inlineStr">
        <is>
          <t>답</t>
        </is>
      </c>
      <c r="J2316" s="3" t="inlineStr">
        <is>
          <t>강내면</t>
        </is>
      </c>
    </row>
    <row r="2317">
      <c r="A2317" s="3" t="n">
        <v>2022</v>
      </c>
      <c r="B2317" s="4" t="n">
        <v>134</v>
      </c>
      <c r="C2317" s="4" t="n">
        <v>28</v>
      </c>
      <c r="D2317" s="4" t="n">
        <v>8.469999999999999</v>
      </c>
      <c r="E2317" s="5" t="n">
        <v>15.8</v>
      </c>
      <c r="F2317" s="3" t="inlineStr">
        <is>
          <t>강내면</t>
        </is>
      </c>
      <c r="G2317" s="3" t="inlineStr">
        <is>
          <t>월탄리</t>
        </is>
      </c>
      <c r="H2317" s="3" t="inlineStr">
        <is>
          <t>보전관리지역</t>
        </is>
      </c>
      <c r="I2317" s="3" t="inlineStr">
        <is>
          <t>임야</t>
        </is>
      </c>
      <c r="J2317" s="3" t="inlineStr">
        <is>
          <t>강내면</t>
        </is>
      </c>
    </row>
    <row r="2318">
      <c r="A2318" s="3" t="n">
        <v>2022</v>
      </c>
      <c r="B2318" s="4" t="n">
        <v>187</v>
      </c>
      <c r="C2318" s="4" t="n">
        <v>39</v>
      </c>
      <c r="D2318" s="4" t="n">
        <v>11.7975</v>
      </c>
      <c r="E2318" s="5" t="n">
        <v>15.9</v>
      </c>
      <c r="F2318" s="3" t="inlineStr">
        <is>
          <t>강내면</t>
        </is>
      </c>
      <c r="G2318" s="3" t="inlineStr">
        <is>
          <t>월탄리</t>
        </is>
      </c>
      <c r="H2318" s="3" t="inlineStr">
        <is>
          <t>보전관리지역</t>
        </is>
      </c>
      <c r="I2318" s="3" t="inlineStr">
        <is>
          <t>임야</t>
        </is>
      </c>
      <c r="J2318" s="3" t="inlineStr">
        <is>
          <t>강내면</t>
        </is>
      </c>
    </row>
    <row r="2319">
      <c r="A2319" s="3" t="n">
        <v>2022</v>
      </c>
      <c r="B2319" s="4" t="n">
        <v>16687</v>
      </c>
      <c r="C2319" s="4" t="n">
        <v>1227</v>
      </c>
      <c r="D2319" s="4" t="n">
        <v>371.1675</v>
      </c>
      <c r="E2319" s="5" t="n">
        <v>45</v>
      </c>
      <c r="F2319" s="3" t="inlineStr">
        <is>
          <t>강내면</t>
        </is>
      </c>
      <c r="G2319" s="3" t="inlineStr">
        <is>
          <t>태성리</t>
        </is>
      </c>
      <c r="H2319" s="3" t="inlineStr">
        <is>
          <t>계획관리지역</t>
        </is>
      </c>
      <c r="I2319" s="3" t="inlineStr">
        <is>
          <t>임야</t>
        </is>
      </c>
      <c r="J2319" s="3" t="inlineStr">
        <is>
          <t>강내면</t>
        </is>
      </c>
    </row>
    <row r="2320">
      <c r="A2320" s="3" t="n">
        <v>2022</v>
      </c>
      <c r="B2320" s="4" t="n">
        <v>10437</v>
      </c>
      <c r="C2320" s="4" t="n">
        <v>631</v>
      </c>
      <c r="D2320" s="4" t="n">
        <v>190.8775</v>
      </c>
      <c r="E2320" s="5" t="n">
        <v>54.7</v>
      </c>
      <c r="F2320" s="3" t="inlineStr">
        <is>
          <t>강내면</t>
        </is>
      </c>
      <c r="G2320" s="3" t="inlineStr">
        <is>
          <t>태성리</t>
        </is>
      </c>
      <c r="H2320" s="3" t="inlineStr">
        <is>
          <t>계획관리지역</t>
        </is>
      </c>
      <c r="I2320" s="3" t="inlineStr">
        <is>
          <t>임야</t>
        </is>
      </c>
      <c r="J2320" s="3" t="inlineStr">
        <is>
          <t>강내면</t>
        </is>
      </c>
    </row>
    <row r="2321">
      <c r="A2321" s="3" t="n">
        <v>2022</v>
      </c>
      <c r="B2321" s="4" t="n">
        <v>1053</v>
      </c>
      <c r="C2321" s="4" t="n">
        <v>77</v>
      </c>
      <c r="D2321" s="4" t="n">
        <v>23.2925</v>
      </c>
      <c r="E2321" s="5" t="n">
        <v>45.2</v>
      </c>
      <c r="F2321" s="3" t="inlineStr">
        <is>
          <t>강내면</t>
        </is>
      </c>
      <c r="G2321" s="3" t="inlineStr">
        <is>
          <t>태성리</t>
        </is>
      </c>
      <c r="H2321" s="3" t="inlineStr">
        <is>
          <t>계획관리지역</t>
        </is>
      </c>
      <c r="I2321" s="3" t="inlineStr">
        <is>
          <t>임야</t>
        </is>
      </c>
      <c r="J2321" s="3" t="inlineStr">
        <is>
          <t>강내면</t>
        </is>
      </c>
    </row>
    <row r="2322">
      <c r="A2322" s="3" t="n">
        <v>2022</v>
      </c>
      <c r="B2322" s="4" t="n">
        <v>37277</v>
      </c>
      <c r="C2322" s="4" t="n">
        <v>2273</v>
      </c>
      <c r="D2322" s="4" t="n">
        <v>687.5825</v>
      </c>
      <c r="E2322" s="5" t="n">
        <v>54.2</v>
      </c>
      <c r="F2322" s="3" t="inlineStr">
        <is>
          <t>강내면</t>
        </is>
      </c>
      <c r="G2322" s="3" t="inlineStr">
        <is>
          <t>태성리</t>
        </is>
      </c>
      <c r="H2322" s="3" t="inlineStr">
        <is>
          <t>계획관리지역</t>
        </is>
      </c>
      <c r="I2322" s="3" t="inlineStr">
        <is>
          <t>임야</t>
        </is>
      </c>
      <c r="J2322" s="3" t="inlineStr">
        <is>
          <t>강내면</t>
        </is>
      </c>
    </row>
    <row r="2323">
      <c r="A2323" s="3" t="n">
        <v>2022</v>
      </c>
      <c r="B2323" s="4" t="n">
        <v>4551</v>
      </c>
      <c r="C2323" s="4" t="n">
        <v>291</v>
      </c>
      <c r="D2323" s="4" t="n">
        <v>88.0275</v>
      </c>
      <c r="E2323" s="5" t="n">
        <v>51.7</v>
      </c>
      <c r="F2323" s="3" t="inlineStr">
        <is>
          <t>강내면</t>
        </is>
      </c>
      <c r="G2323" s="3" t="inlineStr">
        <is>
          <t>태성리</t>
        </is>
      </c>
      <c r="H2323" s="3" t="inlineStr">
        <is>
          <t>계획관리지역</t>
        </is>
      </c>
      <c r="I2323" s="3" t="inlineStr">
        <is>
          <t>전</t>
        </is>
      </c>
      <c r="J2323" s="3" t="inlineStr">
        <is>
          <t>강내면</t>
        </is>
      </c>
    </row>
    <row r="2324">
      <c r="A2324" s="3" t="n">
        <v>2022</v>
      </c>
      <c r="B2324" s="4" t="n">
        <v>2808</v>
      </c>
      <c r="C2324" s="4" t="n">
        <v>90</v>
      </c>
      <c r="D2324" s="4" t="n">
        <v>27.225</v>
      </c>
      <c r="E2324" s="5" t="n">
        <v>103.1</v>
      </c>
      <c r="F2324" s="3" t="inlineStr">
        <is>
          <t>강내면</t>
        </is>
      </c>
      <c r="G2324" s="3" t="inlineStr">
        <is>
          <t>연정리</t>
        </is>
      </c>
      <c r="H2324" s="3" t="inlineStr">
        <is>
          <t>계획관리지역</t>
        </is>
      </c>
      <c r="I2324" s="3" t="inlineStr">
        <is>
          <t>대</t>
        </is>
      </c>
      <c r="J2324" s="3" t="inlineStr">
        <is>
          <t>강내면</t>
        </is>
      </c>
    </row>
    <row r="2325">
      <c r="A2325" s="3" t="n">
        <v>2022</v>
      </c>
      <c r="B2325" s="4" t="n">
        <v>5014</v>
      </c>
      <c r="C2325" s="4" t="n">
        <v>185</v>
      </c>
      <c r="D2325" s="4" t="n">
        <v>55.9625</v>
      </c>
      <c r="E2325" s="5" t="n">
        <v>89.59999999999999</v>
      </c>
      <c r="F2325" s="3" t="inlineStr">
        <is>
          <t>오송읍</t>
        </is>
      </c>
      <c r="G2325" s="3" t="inlineStr">
        <is>
          <t>오송리</t>
        </is>
      </c>
      <c r="H2325" s="3" t="inlineStr">
        <is>
          <t>계획관리지역</t>
        </is>
      </c>
      <c r="I2325" s="3" t="inlineStr">
        <is>
          <t>전</t>
        </is>
      </c>
      <c r="J2325" s="3" t="inlineStr">
        <is>
          <t>오송읍</t>
        </is>
      </c>
    </row>
    <row r="2326">
      <c r="A2326" s="3" t="n">
        <v>2022</v>
      </c>
      <c r="B2326" s="4" t="n">
        <v>16048</v>
      </c>
      <c r="C2326" s="4" t="n">
        <v>295</v>
      </c>
      <c r="D2326" s="4" t="n">
        <v>89.2375</v>
      </c>
      <c r="E2326" s="5" t="n">
        <v>179.8</v>
      </c>
      <c r="F2326" s="3" t="inlineStr">
        <is>
          <t>오송읍</t>
        </is>
      </c>
      <c r="G2326" s="3" t="inlineStr">
        <is>
          <t>오송리</t>
        </is>
      </c>
      <c r="H2326" s="3" t="inlineStr">
        <is>
          <t>계획관리지역</t>
        </is>
      </c>
      <c r="I2326" s="3" t="inlineStr">
        <is>
          <t>공장용지</t>
        </is>
      </c>
      <c r="J2326" s="3" t="inlineStr">
        <is>
          <t>오송읍</t>
        </is>
      </c>
    </row>
    <row r="2327">
      <c r="A2327" s="3" t="n">
        <v>2022</v>
      </c>
      <c r="B2327" s="4" t="n">
        <v>33000</v>
      </c>
      <c r="C2327" s="4" t="n">
        <v>1789</v>
      </c>
      <c r="D2327" s="4" t="n">
        <v>541.1725</v>
      </c>
      <c r="E2327" s="5" t="n">
        <v>61</v>
      </c>
      <c r="F2327" s="3" t="inlineStr">
        <is>
          <t>강내면</t>
        </is>
      </c>
      <c r="G2327" s="3" t="inlineStr">
        <is>
          <t>황탄리</t>
        </is>
      </c>
      <c r="H2327" s="3" t="inlineStr">
        <is>
          <t>계획관리지역</t>
        </is>
      </c>
      <c r="I2327" s="3" t="inlineStr">
        <is>
          <t>임야</t>
        </is>
      </c>
      <c r="J2327" s="3" t="inlineStr">
        <is>
          <t>강내면</t>
        </is>
      </c>
    </row>
    <row r="2328">
      <c r="A2328" s="3" t="n">
        <v>2022</v>
      </c>
      <c r="B2328" s="4" t="n">
        <v>7500</v>
      </c>
      <c r="C2328" s="4" t="n">
        <v>214</v>
      </c>
      <c r="D2328" s="4" t="n">
        <v>64.735</v>
      </c>
      <c r="E2328" s="5" t="n">
        <v>115.9</v>
      </c>
      <c r="F2328" s="3" t="inlineStr">
        <is>
          <t>강내면</t>
        </is>
      </c>
      <c r="G2328" s="3" t="inlineStr">
        <is>
          <t>태성리</t>
        </is>
      </c>
      <c r="H2328" s="3" t="inlineStr">
        <is>
          <t>계획관리지역</t>
        </is>
      </c>
      <c r="I2328" s="3" t="inlineStr">
        <is>
          <t>답</t>
        </is>
      </c>
      <c r="J2328" s="3" t="inlineStr">
        <is>
          <t>강내면</t>
        </is>
      </c>
    </row>
    <row r="2329">
      <c r="A2329" s="3" t="n">
        <v>2022</v>
      </c>
      <c r="B2329" s="4" t="n">
        <v>567700</v>
      </c>
      <c r="C2329" s="4" t="n">
        <v>1525.8</v>
      </c>
      <c r="D2329" s="4" t="n">
        <v>461.5545</v>
      </c>
      <c r="E2329" s="5" t="n">
        <v>1230</v>
      </c>
      <c r="F2329" s="3" t="inlineStr">
        <is>
          <t>오송읍</t>
        </is>
      </c>
      <c r="G2329" s="3" t="inlineStr">
        <is>
          <t>봉산리</t>
        </is>
      </c>
      <c r="H2329" s="3" t="inlineStr">
        <is>
          <t>일반상업지역</t>
        </is>
      </c>
      <c r="I2329" s="3" t="inlineStr">
        <is>
          <t>대</t>
        </is>
      </c>
      <c r="J2329" s="3" t="inlineStr">
        <is>
          <t>오송읍</t>
        </is>
      </c>
    </row>
    <row r="2330">
      <c r="A2330" s="3" t="n">
        <v>2022</v>
      </c>
      <c r="B2330" s="4" t="n">
        <v>210000</v>
      </c>
      <c r="C2330" s="4" t="n">
        <v>514.6</v>
      </c>
      <c r="D2330" s="4" t="n">
        <v>155.6665</v>
      </c>
      <c r="E2330" s="5" t="n">
        <v>1349</v>
      </c>
      <c r="F2330" s="3" t="inlineStr">
        <is>
          <t>오송읍</t>
        </is>
      </c>
      <c r="G2330" s="3" t="inlineStr">
        <is>
          <t>만수리</t>
        </is>
      </c>
      <c r="H2330" s="3" t="inlineStr">
        <is>
          <t>일반상업지역</t>
        </is>
      </c>
      <c r="I2330" s="3" t="inlineStr">
        <is>
          <t>대</t>
        </is>
      </c>
      <c r="J2330" s="3" t="inlineStr">
        <is>
          <t>오송읍</t>
        </is>
      </c>
    </row>
    <row r="2331">
      <c r="A2331" s="3" t="n">
        <v>2022</v>
      </c>
      <c r="B2331" s="4" t="n">
        <v>90000</v>
      </c>
      <c r="C2331" s="4" t="n">
        <v>2018</v>
      </c>
      <c r="D2331" s="4" t="n">
        <v>610.4449999999999</v>
      </c>
      <c r="E2331" s="5" t="n">
        <v>147.4</v>
      </c>
      <c r="F2331" s="3" t="inlineStr">
        <is>
          <t>오송읍</t>
        </is>
      </c>
      <c r="G2331" s="3" t="inlineStr">
        <is>
          <t>궁평리</t>
        </is>
      </c>
      <c r="H2331" s="3" t="inlineStr">
        <is>
          <t>농림지역</t>
        </is>
      </c>
      <c r="I2331" s="3" t="inlineStr">
        <is>
          <t>답</t>
        </is>
      </c>
      <c r="J2331" s="3" t="inlineStr">
        <is>
          <t>오송읍</t>
        </is>
      </c>
    </row>
    <row r="2332">
      <c r="A2332" s="3" t="n">
        <v>2022</v>
      </c>
      <c r="B2332" s="4" t="n">
        <v>31000</v>
      </c>
      <c r="C2332" s="4" t="n">
        <v>249.3</v>
      </c>
      <c r="D2332" s="4" t="n">
        <v>75.41325000000001</v>
      </c>
      <c r="E2332" s="5" t="n">
        <v>411.1</v>
      </c>
      <c r="F2332" s="3" t="inlineStr">
        <is>
          <t>오송읍</t>
        </is>
      </c>
      <c r="G2332" s="3" t="inlineStr">
        <is>
          <t>봉산리</t>
        </is>
      </c>
      <c r="H2332" s="3" t="inlineStr">
        <is>
          <t>제1종일반주거지역</t>
        </is>
      </c>
      <c r="I2332" s="3" t="inlineStr">
        <is>
          <t>대</t>
        </is>
      </c>
      <c r="J2332" s="3" t="inlineStr">
        <is>
          <t>오송읍</t>
        </is>
      </c>
    </row>
    <row r="2333">
      <c r="A2333" s="3" t="n">
        <v>2022</v>
      </c>
      <c r="B2333" s="4" t="n">
        <v>28000</v>
      </c>
      <c r="C2333" s="4" t="n">
        <v>2059</v>
      </c>
      <c r="D2333" s="4" t="n">
        <v>622.8475</v>
      </c>
      <c r="E2333" s="5" t="n">
        <v>45</v>
      </c>
      <c r="F2333" s="3" t="inlineStr">
        <is>
          <t>오송읍</t>
        </is>
      </c>
      <c r="G2333" s="3" t="inlineStr">
        <is>
          <t>호계리</t>
        </is>
      </c>
      <c r="H2333" s="3" t="inlineStr">
        <is>
          <t>농림지역</t>
        </is>
      </c>
      <c r="I2333" s="3" t="inlineStr">
        <is>
          <t>답</t>
        </is>
      </c>
      <c r="J2333" s="3" t="inlineStr">
        <is>
          <t>오송읍</t>
        </is>
      </c>
    </row>
    <row r="2334">
      <c r="A2334" s="3" t="n">
        <v>2022</v>
      </c>
      <c r="B2334" s="4" t="n">
        <v>14687</v>
      </c>
      <c r="C2334" s="4" t="n">
        <v>503.6</v>
      </c>
      <c r="D2334" s="4" t="n">
        <v>152.339</v>
      </c>
      <c r="E2334" s="5" t="n">
        <v>96.40000000000001</v>
      </c>
      <c r="F2334" s="3" t="inlineStr">
        <is>
          <t>오송읍</t>
        </is>
      </c>
      <c r="G2334" s="3" t="inlineStr">
        <is>
          <t>상정리</t>
        </is>
      </c>
      <c r="H2334" s="3" t="inlineStr">
        <is>
          <t>계획관리지역</t>
        </is>
      </c>
      <c r="I2334" s="3" t="inlineStr">
        <is>
          <t>대</t>
        </is>
      </c>
      <c r="J2334" s="3" t="inlineStr">
        <is>
          <t>오송읍</t>
        </is>
      </c>
    </row>
    <row r="2335">
      <c r="A2335" s="3" t="n">
        <v>2022</v>
      </c>
      <c r="B2335" s="4" t="n">
        <v>10800</v>
      </c>
      <c r="C2335" s="4" t="n">
        <v>60</v>
      </c>
      <c r="D2335" s="4" t="n">
        <v>18.15</v>
      </c>
      <c r="E2335" s="5" t="n">
        <v>595</v>
      </c>
      <c r="F2335" s="3" t="inlineStr">
        <is>
          <t>오송읍</t>
        </is>
      </c>
      <c r="G2335" s="3" t="inlineStr">
        <is>
          <t>봉산리</t>
        </is>
      </c>
      <c r="H2335" s="3" t="inlineStr">
        <is>
          <t>계획관리지역</t>
        </is>
      </c>
      <c r="I2335" s="3" t="inlineStr">
        <is>
          <t>대</t>
        </is>
      </c>
      <c r="J2335" s="3" t="inlineStr">
        <is>
          <t>오송읍</t>
        </is>
      </c>
    </row>
    <row r="2336">
      <c r="A2336" s="3" t="n">
        <v>2022</v>
      </c>
      <c r="B2336" s="4" t="n">
        <v>30594</v>
      </c>
      <c r="C2336" s="4" t="n">
        <v>33711</v>
      </c>
      <c r="D2336" s="4" t="n">
        <v>10197.5775</v>
      </c>
      <c r="E2336" s="5" t="n">
        <v>3</v>
      </c>
      <c r="F2336" s="3" t="inlineStr">
        <is>
          <t>강내면</t>
        </is>
      </c>
      <c r="G2336" s="3" t="inlineStr">
        <is>
          <t>당곡리</t>
        </is>
      </c>
      <c r="H2336" s="3" t="inlineStr">
        <is>
          <t>보전관리지역</t>
        </is>
      </c>
      <c r="I2336" s="3" t="inlineStr">
        <is>
          <t>임야</t>
        </is>
      </c>
      <c r="J2336" s="3" t="inlineStr">
        <is>
          <t>강내면</t>
        </is>
      </c>
    </row>
    <row r="2337">
      <c r="A2337" s="3" t="n">
        <v>2022</v>
      </c>
      <c r="B2337" s="4" t="n">
        <v>615</v>
      </c>
      <c r="C2337" s="4" t="n">
        <v>678</v>
      </c>
      <c r="D2337" s="4" t="n">
        <v>205.095</v>
      </c>
      <c r="E2337" s="5" t="n">
        <v>3</v>
      </c>
      <c r="F2337" s="3" t="inlineStr">
        <is>
          <t>강내면</t>
        </is>
      </c>
      <c r="G2337" s="3" t="inlineStr">
        <is>
          <t>당곡리</t>
        </is>
      </c>
      <c r="H2337" s="3" t="inlineStr">
        <is>
          <t>계획관리지역</t>
        </is>
      </c>
      <c r="I2337" s="3" t="inlineStr">
        <is>
          <t>임야</t>
        </is>
      </c>
      <c r="J2337" s="3" t="inlineStr">
        <is>
          <t>강내면</t>
        </is>
      </c>
    </row>
    <row r="2338">
      <c r="A2338" s="3" t="n">
        <v>2022</v>
      </c>
      <c r="B2338" s="4" t="n">
        <v>303</v>
      </c>
      <c r="C2338" s="4" t="n">
        <v>336</v>
      </c>
      <c r="D2338" s="4" t="n">
        <v>101.64</v>
      </c>
      <c r="E2338" s="5" t="n">
        <v>3</v>
      </c>
      <c r="F2338" s="3" t="inlineStr">
        <is>
          <t>강내면</t>
        </is>
      </c>
      <c r="G2338" s="3" t="inlineStr">
        <is>
          <t>당곡리</t>
        </is>
      </c>
      <c r="H2338" s="3" t="inlineStr">
        <is>
          <t>보전관리지역</t>
        </is>
      </c>
      <c r="I2338" s="3" t="inlineStr">
        <is>
          <t>임야</t>
        </is>
      </c>
      <c r="J2338" s="3" t="inlineStr">
        <is>
          <t>강내면</t>
        </is>
      </c>
    </row>
    <row r="2339">
      <c r="A2339" s="3" t="n">
        <v>2022</v>
      </c>
      <c r="B2339" s="4" t="n">
        <v>657</v>
      </c>
      <c r="C2339" s="4" t="n">
        <v>724</v>
      </c>
      <c r="D2339" s="4" t="n">
        <v>219.01</v>
      </c>
      <c r="E2339" s="5" t="n">
        <v>3</v>
      </c>
      <c r="F2339" s="3" t="inlineStr">
        <is>
          <t>강내면</t>
        </is>
      </c>
      <c r="G2339" s="3" t="inlineStr">
        <is>
          <t>당곡리</t>
        </is>
      </c>
      <c r="H2339" s="3" t="inlineStr">
        <is>
          <t>보전관리지역</t>
        </is>
      </c>
      <c r="I2339" s="3" t="inlineStr">
        <is>
          <t>임야</t>
        </is>
      </c>
      <c r="J2339" s="3" t="inlineStr">
        <is>
          <t>강내면</t>
        </is>
      </c>
    </row>
    <row r="2340">
      <c r="A2340" s="3" t="n">
        <v>2022</v>
      </c>
      <c r="B2340" s="4" t="n">
        <v>30120</v>
      </c>
      <c r="C2340" s="4" t="n">
        <v>4980</v>
      </c>
      <c r="D2340" s="4" t="n">
        <v>1506.45</v>
      </c>
      <c r="E2340" s="5" t="n">
        <v>20</v>
      </c>
      <c r="F2340" s="3" t="inlineStr">
        <is>
          <t>강내면</t>
        </is>
      </c>
      <c r="G2340" s="3" t="inlineStr">
        <is>
          <t>당곡리</t>
        </is>
      </c>
      <c r="H2340" s="3" t="inlineStr">
        <is>
          <t>보전관리지역</t>
        </is>
      </c>
      <c r="I2340" s="3" t="inlineStr">
        <is>
          <t>전</t>
        </is>
      </c>
      <c r="J2340" s="3" t="inlineStr">
        <is>
          <t>강내면</t>
        </is>
      </c>
    </row>
    <row r="2341">
      <c r="A2341" s="3" t="n">
        <v>2022</v>
      </c>
      <c r="B2341" s="4" t="n">
        <v>25000</v>
      </c>
      <c r="C2341" s="4" t="n">
        <v>270.4</v>
      </c>
      <c r="D2341" s="4" t="n">
        <v>81.79599999999999</v>
      </c>
      <c r="E2341" s="5" t="n">
        <v>305.6</v>
      </c>
      <c r="F2341" s="3" t="inlineStr">
        <is>
          <t>오송읍</t>
        </is>
      </c>
      <c r="G2341" s="3" t="inlineStr">
        <is>
          <t>봉산리</t>
        </is>
      </c>
      <c r="H2341" s="3" t="inlineStr">
        <is>
          <t>제1종일반주거지역</t>
        </is>
      </c>
      <c r="I2341" s="3" t="inlineStr">
        <is>
          <t>대</t>
        </is>
      </c>
      <c r="J2341" s="3" t="inlineStr">
        <is>
          <t>오송읍</t>
        </is>
      </c>
    </row>
    <row r="2342">
      <c r="A2342" s="3" t="n">
        <v>2022</v>
      </c>
      <c r="B2342" s="4" t="n">
        <v>25000</v>
      </c>
      <c r="C2342" s="4" t="n">
        <v>283.5</v>
      </c>
      <c r="D2342" s="4" t="n">
        <v>85.75874999999999</v>
      </c>
      <c r="E2342" s="5" t="n">
        <v>291.5</v>
      </c>
      <c r="F2342" s="3" t="inlineStr">
        <is>
          <t>오송읍</t>
        </is>
      </c>
      <c r="G2342" s="3" t="inlineStr">
        <is>
          <t>봉산리</t>
        </is>
      </c>
      <c r="H2342" s="3" t="inlineStr">
        <is>
          <t>제1종일반주거지역</t>
        </is>
      </c>
      <c r="I2342" s="3" t="inlineStr">
        <is>
          <t>대</t>
        </is>
      </c>
      <c r="J2342" s="3" t="inlineStr">
        <is>
          <t>오송읍</t>
        </is>
      </c>
    </row>
    <row r="2343">
      <c r="A2343" s="3" t="n">
        <v>2022</v>
      </c>
      <c r="B2343" s="4" t="n">
        <v>30000</v>
      </c>
      <c r="C2343" s="4" t="n">
        <v>270.7</v>
      </c>
      <c r="D2343" s="4" t="n">
        <v>81.88674999999999</v>
      </c>
      <c r="E2343" s="5" t="n">
        <v>366.4</v>
      </c>
      <c r="F2343" s="3" t="inlineStr">
        <is>
          <t>오송읍</t>
        </is>
      </c>
      <c r="G2343" s="3" t="inlineStr">
        <is>
          <t>봉산리</t>
        </is>
      </c>
      <c r="H2343" s="3" t="inlineStr">
        <is>
          <t>제1종일반주거지역</t>
        </is>
      </c>
      <c r="I2343" s="3" t="inlineStr">
        <is>
          <t>대</t>
        </is>
      </c>
      <c r="J2343" s="3" t="inlineStr">
        <is>
          <t>오송읍</t>
        </is>
      </c>
    </row>
    <row r="2344">
      <c r="A2344" s="3" t="n">
        <v>2022</v>
      </c>
      <c r="B2344" s="4" t="n">
        <v>30000</v>
      </c>
      <c r="C2344" s="4" t="n">
        <v>271.4</v>
      </c>
      <c r="D2344" s="4" t="n">
        <v>82.09849999999999</v>
      </c>
      <c r="E2344" s="5" t="n">
        <v>365.4</v>
      </c>
      <c r="F2344" s="3" t="inlineStr">
        <is>
          <t>오송읍</t>
        </is>
      </c>
      <c r="G2344" s="3" t="inlineStr">
        <is>
          <t>봉산리</t>
        </is>
      </c>
      <c r="H2344" s="3" t="inlineStr">
        <is>
          <t>제1종일반주거지역</t>
        </is>
      </c>
      <c r="I2344" s="3" t="inlineStr">
        <is>
          <t>대</t>
        </is>
      </c>
      <c r="J2344" s="3" t="inlineStr">
        <is>
          <t>오송읍</t>
        </is>
      </c>
    </row>
    <row r="2345">
      <c r="A2345" s="3" t="n">
        <v>2023</v>
      </c>
      <c r="B2345" s="4" t="n">
        <v>18700</v>
      </c>
      <c r="C2345" s="4" t="n">
        <v>1031</v>
      </c>
      <c r="D2345" s="4" t="n">
        <v>311.8775</v>
      </c>
      <c r="E2345" s="5" t="n">
        <v>60</v>
      </c>
      <c r="F2345" s="3" t="inlineStr">
        <is>
          <t>강내면</t>
        </is>
      </c>
      <c r="G2345" s="3" t="inlineStr">
        <is>
          <t>월곡리</t>
        </is>
      </c>
      <c r="H2345" s="3" t="inlineStr">
        <is>
          <t>자연녹지지역</t>
        </is>
      </c>
      <c r="I2345" s="3" t="inlineStr">
        <is>
          <t>답</t>
        </is>
      </c>
      <c r="J2345" s="3" t="inlineStr">
        <is>
          <t>강내면</t>
        </is>
      </c>
    </row>
    <row r="2346">
      <c r="A2346" s="3" t="n">
        <v>2023</v>
      </c>
      <c r="B2346" s="4" t="n">
        <v>7011</v>
      </c>
      <c r="C2346" s="4" t="n">
        <v>155.8</v>
      </c>
      <c r="D2346" s="4" t="n">
        <v>47.1295</v>
      </c>
      <c r="E2346" s="5" t="n">
        <v>148.8</v>
      </c>
      <c r="F2346" s="3" t="inlineStr">
        <is>
          <t>오송읍</t>
        </is>
      </c>
      <c r="G2346" s="3" t="inlineStr">
        <is>
          <t>공북리</t>
        </is>
      </c>
      <c r="H2346" s="3" t="inlineStr">
        <is>
          <t>계획관리지역</t>
        </is>
      </c>
      <c r="I2346" s="3" t="inlineStr">
        <is>
          <t>답</t>
        </is>
      </c>
      <c r="J2346" s="3" t="inlineStr">
        <is>
          <t>오송읍</t>
        </is>
      </c>
    </row>
    <row r="2347">
      <c r="A2347" s="3" t="n">
        <v>2023</v>
      </c>
      <c r="B2347" s="4" t="n">
        <v>3312</v>
      </c>
      <c r="C2347" s="4" t="n">
        <v>73.59999999999999</v>
      </c>
      <c r="D2347" s="4" t="n">
        <v>22.264</v>
      </c>
      <c r="E2347" s="5" t="n">
        <v>148.8</v>
      </c>
      <c r="F2347" s="3" t="inlineStr">
        <is>
          <t>오송읍</t>
        </is>
      </c>
      <c r="G2347" s="3" t="inlineStr">
        <is>
          <t>공북리</t>
        </is>
      </c>
      <c r="H2347" s="3" t="inlineStr">
        <is>
          <t>계획관리지역</t>
        </is>
      </c>
      <c r="I2347" s="3" t="inlineStr">
        <is>
          <t>답</t>
        </is>
      </c>
      <c r="J2347" s="3" t="inlineStr">
        <is>
          <t>오송읍</t>
        </is>
      </c>
    </row>
    <row r="2348">
      <c r="A2348" s="3" t="n">
        <v>2023</v>
      </c>
      <c r="B2348" s="4" t="n">
        <v>21000</v>
      </c>
      <c r="C2348" s="4" t="n">
        <v>356</v>
      </c>
      <c r="D2348" s="4" t="n">
        <v>107.69</v>
      </c>
      <c r="E2348" s="5" t="n">
        <v>195</v>
      </c>
      <c r="F2348" s="3" t="inlineStr">
        <is>
          <t>오송읍</t>
        </is>
      </c>
      <c r="G2348" s="3" t="inlineStr">
        <is>
          <t>오송리</t>
        </is>
      </c>
      <c r="H2348" s="3" t="inlineStr">
        <is>
          <t>계획관리지역</t>
        </is>
      </c>
      <c r="I2348" s="3" t="inlineStr">
        <is>
          <t>전</t>
        </is>
      </c>
      <c r="J2348" s="3" t="inlineStr">
        <is>
          <t>오송읍</t>
        </is>
      </c>
    </row>
    <row r="2349">
      <c r="A2349" s="3" t="n">
        <v>2023</v>
      </c>
      <c r="B2349" s="4" t="n">
        <v>28282</v>
      </c>
      <c r="C2349" s="4" t="n">
        <v>550</v>
      </c>
      <c r="D2349" s="4" t="n">
        <v>166.375</v>
      </c>
      <c r="E2349" s="5" t="n">
        <v>170</v>
      </c>
      <c r="F2349" s="3" t="inlineStr">
        <is>
          <t>오송읍</t>
        </is>
      </c>
      <c r="G2349" s="3" t="inlineStr">
        <is>
          <t>궁평리</t>
        </is>
      </c>
      <c r="H2349" s="3" t="inlineStr">
        <is>
          <t>농림지역</t>
        </is>
      </c>
      <c r="I2349" s="3" t="inlineStr">
        <is>
          <t>대</t>
        </is>
      </c>
      <c r="J2349" s="3" t="inlineStr">
        <is>
          <t>오송읍</t>
        </is>
      </c>
    </row>
    <row r="2350">
      <c r="A2350" s="3" t="n">
        <v>2023</v>
      </c>
      <c r="B2350" s="4" t="n">
        <v>12000</v>
      </c>
      <c r="C2350" s="4" t="n">
        <v>182</v>
      </c>
      <c r="D2350" s="4" t="n">
        <v>55.055</v>
      </c>
      <c r="E2350" s="5" t="n">
        <v>218</v>
      </c>
      <c r="F2350" s="3" t="inlineStr">
        <is>
          <t>오송읍</t>
        </is>
      </c>
      <c r="G2350" s="3" t="inlineStr">
        <is>
          <t>오송리</t>
        </is>
      </c>
      <c r="H2350" s="3" t="inlineStr">
        <is>
          <t>계획관리지역</t>
        </is>
      </c>
      <c r="I2350" s="3" t="inlineStr">
        <is>
          <t>대</t>
        </is>
      </c>
      <c r="J2350" s="3" t="inlineStr">
        <is>
          <t>오송읍</t>
        </is>
      </c>
    </row>
    <row r="2351">
      <c r="A2351" s="3" t="n">
        <v>2023</v>
      </c>
      <c r="B2351" s="4" t="n">
        <v>2160</v>
      </c>
      <c r="C2351" s="4" t="n">
        <v>53</v>
      </c>
      <c r="D2351" s="4" t="n">
        <v>16.0325</v>
      </c>
      <c r="E2351" s="5" t="n">
        <v>134.7</v>
      </c>
      <c r="F2351" s="3" t="inlineStr">
        <is>
          <t>강내면</t>
        </is>
      </c>
      <c r="G2351" s="3" t="inlineStr">
        <is>
          <t>태성리</t>
        </is>
      </c>
      <c r="H2351" s="3" t="inlineStr">
        <is>
          <t>계획관리지역</t>
        </is>
      </c>
      <c r="I2351" s="3" t="inlineStr">
        <is>
          <t>대</t>
        </is>
      </c>
      <c r="J2351" s="3" t="inlineStr">
        <is>
          <t>강내면</t>
        </is>
      </c>
    </row>
    <row r="2352">
      <c r="A2352" s="3" t="n">
        <v>2024</v>
      </c>
      <c r="B2352" s="4" t="n">
        <v>73986</v>
      </c>
      <c r="C2352" s="4" t="n">
        <v>3524</v>
      </c>
      <c r="D2352" s="4" t="n">
        <v>1066.01</v>
      </c>
      <c r="E2352" s="5" t="n">
        <v>69.40000000000001</v>
      </c>
      <c r="F2352" s="3" t="inlineStr">
        <is>
          <t>남이면</t>
        </is>
      </c>
      <c r="G2352" s="3" t="inlineStr">
        <is>
          <t>석판리</t>
        </is>
      </c>
      <c r="H2352" s="3" t="inlineStr">
        <is>
          <t>보전녹지지역</t>
        </is>
      </c>
      <c r="I2352" s="3" t="inlineStr">
        <is>
          <t>전</t>
        </is>
      </c>
      <c r="J2352" s="3" t="inlineStr">
        <is>
          <t>남이면</t>
        </is>
      </c>
    </row>
    <row r="2353">
      <c r="A2353" s="3" t="n">
        <v>2024</v>
      </c>
      <c r="B2353" s="4" t="n">
        <v>20160</v>
      </c>
      <c r="C2353" s="4" t="n">
        <v>1388</v>
      </c>
      <c r="D2353" s="4" t="n">
        <v>419.87</v>
      </c>
      <c r="E2353" s="5" t="n">
        <v>48</v>
      </c>
      <c r="F2353" s="3" t="inlineStr">
        <is>
          <t>남이면</t>
        </is>
      </c>
      <c r="G2353" s="3" t="inlineStr">
        <is>
          <t>석판리</t>
        </is>
      </c>
      <c r="H2353" s="3" t="inlineStr">
        <is>
          <t>보전녹지지역</t>
        </is>
      </c>
      <c r="I2353" s="3" t="inlineStr">
        <is>
          <t>임야</t>
        </is>
      </c>
      <c r="J2353" s="3" t="inlineStr">
        <is>
          <t>남이면</t>
        </is>
      </c>
    </row>
    <row r="2354">
      <c r="A2354" s="3" t="n">
        <v>2024</v>
      </c>
      <c r="B2354" s="4" t="n">
        <v>4724</v>
      </c>
      <c r="C2354" s="4" t="n">
        <v>225</v>
      </c>
      <c r="D2354" s="4" t="n">
        <v>68.0625</v>
      </c>
      <c r="E2354" s="5" t="n">
        <v>69.40000000000001</v>
      </c>
      <c r="F2354" s="3" t="inlineStr">
        <is>
          <t>남이면</t>
        </is>
      </c>
      <c r="G2354" s="3" t="inlineStr">
        <is>
          <t>석판리</t>
        </is>
      </c>
      <c r="H2354" s="3" t="inlineStr">
        <is>
          <t>자연녹지지역</t>
        </is>
      </c>
      <c r="I2354" s="3" t="inlineStr">
        <is>
          <t>전</t>
        </is>
      </c>
      <c r="J2354" s="3" t="inlineStr">
        <is>
          <t>남이면</t>
        </is>
      </c>
    </row>
    <row r="2355">
      <c r="A2355" s="3" t="n">
        <v>2024</v>
      </c>
      <c r="B2355" s="4" t="n">
        <v>1131</v>
      </c>
      <c r="C2355" s="4" t="n">
        <v>298</v>
      </c>
      <c r="D2355" s="4" t="n">
        <v>90.145</v>
      </c>
      <c r="E2355" s="5" t="n">
        <v>12.5</v>
      </c>
      <c r="F2355" s="3" t="inlineStr">
        <is>
          <t>남이면</t>
        </is>
      </c>
      <c r="G2355" s="3" t="inlineStr">
        <is>
          <t>석판리</t>
        </is>
      </c>
      <c r="H2355" s="3" t="inlineStr">
        <is>
          <t>보전녹지지역</t>
        </is>
      </c>
      <c r="I2355" s="3" t="inlineStr">
        <is>
          <t>임야</t>
        </is>
      </c>
      <c r="J2355" s="3" t="inlineStr">
        <is>
          <t>남이면</t>
        </is>
      </c>
    </row>
    <row r="2356">
      <c r="A2356" s="3" t="n">
        <v>2024</v>
      </c>
      <c r="B2356" s="4" t="n">
        <v>1092</v>
      </c>
      <c r="C2356" s="4" t="n">
        <v>52</v>
      </c>
      <c r="D2356" s="4" t="n">
        <v>15.73</v>
      </c>
      <c r="E2356" s="5" t="n">
        <v>69.40000000000001</v>
      </c>
      <c r="F2356" s="3" t="inlineStr">
        <is>
          <t>남이면</t>
        </is>
      </c>
      <c r="G2356" s="3" t="inlineStr">
        <is>
          <t>양촌리</t>
        </is>
      </c>
      <c r="H2356" s="3" t="inlineStr">
        <is>
          <t>자연녹지지역</t>
        </is>
      </c>
      <c r="I2356" s="3" t="inlineStr">
        <is>
          <t>전</t>
        </is>
      </c>
      <c r="J2356" s="3" t="inlineStr">
        <is>
          <t>남이면</t>
        </is>
      </c>
    </row>
    <row r="2357">
      <c r="A2357" s="3" t="n">
        <v>2024</v>
      </c>
      <c r="B2357" s="4" t="n">
        <v>231</v>
      </c>
      <c r="C2357" s="4" t="n">
        <v>11</v>
      </c>
      <c r="D2357" s="4" t="n">
        <v>3.3275</v>
      </c>
      <c r="E2357" s="5" t="n">
        <v>69.40000000000001</v>
      </c>
      <c r="F2357" s="3" t="inlineStr">
        <is>
          <t>남이면</t>
        </is>
      </c>
      <c r="G2357" s="3" t="inlineStr">
        <is>
          <t>양촌리</t>
        </is>
      </c>
      <c r="H2357" s="3" t="inlineStr">
        <is>
          <t>자연녹지지역</t>
        </is>
      </c>
      <c r="I2357" s="3" t="inlineStr">
        <is>
          <t>전</t>
        </is>
      </c>
      <c r="J2357" s="3" t="inlineStr">
        <is>
          <t>남이면</t>
        </is>
      </c>
    </row>
    <row r="2358">
      <c r="A2358" s="3" t="n">
        <v>2024</v>
      </c>
      <c r="B2358" s="4" t="n">
        <v>903</v>
      </c>
      <c r="C2358" s="4" t="n">
        <v>43</v>
      </c>
      <c r="D2358" s="4" t="n">
        <v>13.0075</v>
      </c>
      <c r="E2358" s="5" t="n">
        <v>69.40000000000001</v>
      </c>
      <c r="F2358" s="3" t="inlineStr">
        <is>
          <t>남이면</t>
        </is>
      </c>
      <c r="G2358" s="3" t="inlineStr">
        <is>
          <t>양촌리</t>
        </is>
      </c>
      <c r="H2358" s="3" t="inlineStr">
        <is>
          <t>자연녹지지역</t>
        </is>
      </c>
      <c r="I2358" s="3" t="inlineStr">
        <is>
          <t>전</t>
        </is>
      </c>
      <c r="J2358" s="3" t="inlineStr">
        <is>
          <t>남이면</t>
        </is>
      </c>
    </row>
    <row r="2359">
      <c r="A2359" s="3" t="n">
        <v>2024</v>
      </c>
      <c r="B2359" s="4" t="n">
        <v>620</v>
      </c>
      <c r="C2359" s="4" t="n">
        <v>20</v>
      </c>
      <c r="D2359" s="4" t="n">
        <v>6.05</v>
      </c>
      <c r="E2359" s="5" t="n">
        <v>102.5</v>
      </c>
      <c r="F2359" s="3" t="inlineStr">
        <is>
          <t>남이면</t>
        </is>
      </c>
      <c r="G2359" s="3" t="inlineStr">
        <is>
          <t>양촌리</t>
        </is>
      </c>
      <c r="H2359" s="3" t="inlineStr">
        <is>
          <t>자연녹지지역</t>
        </is>
      </c>
      <c r="I2359" s="3" t="inlineStr">
        <is>
          <t>전</t>
        </is>
      </c>
      <c r="J2359" s="3" t="inlineStr">
        <is>
          <t>남이면</t>
        </is>
      </c>
    </row>
    <row r="2360">
      <c r="A2360" s="3" t="n">
        <v>2024</v>
      </c>
      <c r="B2360" s="4" t="n">
        <v>4700</v>
      </c>
      <c r="C2360" s="4" t="n">
        <v>4722</v>
      </c>
      <c r="D2360" s="4" t="n">
        <v>1428.405</v>
      </c>
      <c r="E2360" s="5" t="n">
        <v>3.3</v>
      </c>
      <c r="F2360" s="3" t="inlineStr">
        <is>
          <t>남이면</t>
        </is>
      </c>
      <c r="G2360" s="3" t="inlineStr">
        <is>
          <t>양촌리</t>
        </is>
      </c>
      <c r="H2360" s="3" t="inlineStr">
        <is>
          <t>보전녹지지역</t>
        </is>
      </c>
      <c r="I2360" s="3" t="inlineStr">
        <is>
          <t>임야</t>
        </is>
      </c>
      <c r="J2360" s="3" t="inlineStr">
        <is>
          <t>남이면</t>
        </is>
      </c>
    </row>
    <row r="2361">
      <c r="A2361" s="3" t="n">
        <v>2024</v>
      </c>
      <c r="B2361" s="4" t="n">
        <v>1800</v>
      </c>
      <c r="C2361" s="4" t="n">
        <v>236</v>
      </c>
      <c r="D2361" s="4" t="n">
        <v>71.39</v>
      </c>
      <c r="E2361" s="5" t="n">
        <v>25.2</v>
      </c>
      <c r="F2361" s="3" t="inlineStr">
        <is>
          <t>남이면</t>
        </is>
      </c>
      <c r="G2361" s="3" t="inlineStr">
        <is>
          <t>양촌리</t>
        </is>
      </c>
      <c r="H2361" s="3" t="inlineStr">
        <is>
          <t>보전녹지지역</t>
        </is>
      </c>
      <c r="I2361" s="3" t="inlineStr">
        <is>
          <t>임야</t>
        </is>
      </c>
      <c r="J2361" s="3" t="inlineStr">
        <is>
          <t>남이면</t>
        </is>
      </c>
    </row>
    <row r="2362">
      <c r="A2362" s="3" t="n">
        <v>2024</v>
      </c>
      <c r="B2362" s="4" t="n">
        <v>6840</v>
      </c>
      <c r="C2362" s="4" t="n">
        <v>502</v>
      </c>
      <c r="D2362" s="4" t="n">
        <v>151.855</v>
      </c>
      <c r="E2362" s="5" t="n">
        <v>45</v>
      </c>
      <c r="F2362" s="3" t="inlineStr">
        <is>
          <t>남이면</t>
        </is>
      </c>
      <c r="G2362" s="3" t="inlineStr">
        <is>
          <t>구암리</t>
        </is>
      </c>
      <c r="H2362" s="3" t="inlineStr">
        <is>
          <t>자연녹지지역</t>
        </is>
      </c>
      <c r="I2362" s="3" t="inlineStr">
        <is>
          <t>답</t>
        </is>
      </c>
      <c r="J2362" s="3" t="inlineStr">
        <is>
          <t>남이면</t>
        </is>
      </c>
    </row>
    <row r="2363">
      <c r="A2363" s="3" t="n">
        <v>2023</v>
      </c>
      <c r="B2363" s="4" t="n">
        <v>34210</v>
      </c>
      <c r="C2363" s="4" t="n">
        <v>504</v>
      </c>
      <c r="D2363" s="4" t="n">
        <v>152.46</v>
      </c>
      <c r="E2363" s="5" t="n">
        <v>224.4</v>
      </c>
      <c r="F2363" s="3" t="inlineStr">
        <is>
          <t>강내면</t>
        </is>
      </c>
      <c r="G2363" s="3" t="inlineStr">
        <is>
          <t>월탄리</t>
        </is>
      </c>
      <c r="H2363" s="3" t="inlineStr">
        <is>
          <t>계획관리지역</t>
        </is>
      </c>
      <c r="I2363" s="3" t="inlineStr">
        <is>
          <t>전</t>
        </is>
      </c>
      <c r="J2363" s="3" t="inlineStr">
        <is>
          <t>강내면</t>
        </is>
      </c>
    </row>
    <row r="2364">
      <c r="A2364" s="3" t="n">
        <v>2025</v>
      </c>
      <c r="B2364" s="4" t="n">
        <v>2500</v>
      </c>
      <c r="C2364" s="4" t="n">
        <v>83</v>
      </c>
      <c r="D2364" s="4" t="n">
        <v>25.1075</v>
      </c>
      <c r="E2364" s="5" t="n">
        <v>99.59999999999999</v>
      </c>
      <c r="F2364" s="3" t="inlineStr">
        <is>
          <t>강내면</t>
        </is>
      </c>
      <c r="G2364" s="3" t="inlineStr">
        <is>
          <t>월곡리</t>
        </is>
      </c>
      <c r="H2364" s="3" t="inlineStr">
        <is>
          <t>자연녹지지역</t>
        </is>
      </c>
      <c r="I2364" s="3" t="inlineStr">
        <is>
          <t>구거</t>
        </is>
      </c>
      <c r="J2364" s="3" t="inlineStr">
        <is>
          <t>강내면</t>
        </is>
      </c>
    </row>
    <row r="2365">
      <c r="A2365" s="3" t="n">
        <v>2026</v>
      </c>
      <c r="B2365" s="4" t="n">
        <v>65000</v>
      </c>
      <c r="C2365" s="4" t="n">
        <v>1653</v>
      </c>
      <c r="D2365" s="4" t="n">
        <v>500.0325</v>
      </c>
      <c r="E2365" s="5" t="n">
        <v>130</v>
      </c>
      <c r="F2365" s="3" t="inlineStr">
        <is>
          <t>오송읍</t>
        </is>
      </c>
      <c r="G2365" s="3" t="inlineStr">
        <is>
          <t>서평리</t>
        </is>
      </c>
      <c r="H2365" s="3" t="inlineStr">
        <is>
          <t>생산관리지역</t>
        </is>
      </c>
      <c r="I2365" s="3" t="inlineStr">
        <is>
          <t>과수원</t>
        </is>
      </c>
      <c r="J2365" s="3" t="inlineStr">
        <is>
          <t>오송읍</t>
        </is>
      </c>
    </row>
    <row r="2366">
      <c r="A2366" s="3" t="n">
        <v>2026</v>
      </c>
      <c r="B2366" s="4" t="n">
        <v>18000</v>
      </c>
      <c r="C2366" s="4" t="n">
        <v>1076</v>
      </c>
      <c r="D2366" s="4" t="n">
        <v>325.49</v>
      </c>
      <c r="E2366" s="5" t="n">
        <v>55.3</v>
      </c>
      <c r="F2366" s="3" t="inlineStr">
        <is>
          <t>오송읍</t>
        </is>
      </c>
      <c r="G2366" s="3" t="inlineStr">
        <is>
          <t>연제리</t>
        </is>
      </c>
      <c r="H2366" s="3" t="inlineStr">
        <is>
          <t>계획관리지역</t>
        </is>
      </c>
      <c r="I2366" s="3" t="inlineStr">
        <is>
          <t>임야</t>
        </is>
      </c>
      <c r="J2366" s="3" t="inlineStr">
        <is>
          <t>오송읍</t>
        </is>
      </c>
    </row>
    <row r="2367">
      <c r="A2367" s="3" t="n">
        <v>2024</v>
      </c>
      <c r="B2367" s="4" t="n">
        <v>61000</v>
      </c>
      <c r="C2367" s="4" t="n">
        <v>488</v>
      </c>
      <c r="D2367" s="4" t="n">
        <v>147.62</v>
      </c>
      <c r="E2367" s="5" t="n">
        <v>413.2</v>
      </c>
      <c r="F2367" s="3" t="inlineStr">
        <is>
          <t>반곡동</t>
        </is>
      </c>
      <c r="G2367" s="3" t="inlineStr"/>
      <c r="H2367" s="3" t="inlineStr">
        <is>
          <t>제2종전용주거지역</t>
        </is>
      </c>
      <c r="I2367" s="3" t="inlineStr">
        <is>
          <t>대</t>
        </is>
      </c>
      <c r="J2367" s="3" t="inlineStr">
        <is>
          <t>반곡동</t>
        </is>
      </c>
    </row>
    <row r="2368">
      <c r="A2368" s="3" t="n">
        <v>2024</v>
      </c>
      <c r="B2368" s="4" t="n">
        <v>60000</v>
      </c>
      <c r="C2368" s="4" t="n">
        <v>478</v>
      </c>
      <c r="D2368" s="4" t="n">
        <v>144.595</v>
      </c>
      <c r="E2368" s="5" t="n">
        <v>415</v>
      </c>
      <c r="F2368" s="3" t="inlineStr">
        <is>
          <t>연서면</t>
        </is>
      </c>
      <c r="G2368" s="3" t="inlineStr">
        <is>
          <t>월하리</t>
        </is>
      </c>
      <c r="H2368" s="3" t="inlineStr">
        <is>
          <t>자연녹지지역</t>
        </is>
      </c>
      <c r="I2368" s="3" t="inlineStr">
        <is>
          <t>과수원</t>
        </is>
      </c>
      <c r="J2368" s="3" t="inlineStr">
        <is>
          <t>연서면</t>
        </is>
      </c>
    </row>
    <row r="2369">
      <c r="A2369" s="3" t="n">
        <v>2024</v>
      </c>
      <c r="B2369" s="4" t="n">
        <v>80000</v>
      </c>
      <c r="C2369" s="4" t="n">
        <v>494</v>
      </c>
      <c r="D2369" s="4" t="n">
        <v>149.435</v>
      </c>
      <c r="E2369" s="5" t="n">
        <v>535.3</v>
      </c>
      <c r="F2369" s="3" t="inlineStr">
        <is>
          <t>연서면</t>
        </is>
      </c>
      <c r="G2369" s="3" t="inlineStr">
        <is>
          <t>월하리</t>
        </is>
      </c>
      <c r="H2369" s="3" t="inlineStr">
        <is>
          <t>자연녹지지역</t>
        </is>
      </c>
      <c r="I2369" s="3" t="inlineStr">
        <is>
          <t>대</t>
        </is>
      </c>
      <c r="J2369" s="3" t="inlineStr">
        <is>
          <t>연서면</t>
        </is>
      </c>
    </row>
    <row r="2370">
      <c r="A2370" s="3" t="n">
        <v>2022</v>
      </c>
      <c r="B2370" s="4" t="n">
        <v>139000</v>
      </c>
      <c r="C2370" s="4" t="n">
        <v>3078</v>
      </c>
      <c r="D2370" s="4" t="n">
        <v>931.095</v>
      </c>
      <c r="E2370" s="5" t="n">
        <v>149.3</v>
      </c>
      <c r="F2370" s="3" t="inlineStr">
        <is>
          <t>오송읍</t>
        </is>
      </c>
      <c r="G2370" s="3" t="inlineStr">
        <is>
          <t>궁평리</t>
        </is>
      </c>
      <c r="H2370" s="3" t="inlineStr">
        <is>
          <t>농림지역</t>
        </is>
      </c>
      <c r="I2370" s="3" t="inlineStr">
        <is>
          <t>전</t>
        </is>
      </c>
      <c r="J2370" s="3" t="inlineStr">
        <is>
          <t>오송읍</t>
        </is>
      </c>
    </row>
    <row r="2371">
      <c r="A2371" s="3" t="n">
        <v>2022</v>
      </c>
      <c r="B2371" s="4" t="n">
        <v>24800</v>
      </c>
      <c r="C2371" s="4" t="n">
        <v>247.1</v>
      </c>
      <c r="D2371" s="4" t="n">
        <v>74.74775</v>
      </c>
      <c r="E2371" s="5" t="n">
        <v>331.8</v>
      </c>
      <c r="F2371" s="3" t="inlineStr">
        <is>
          <t>오송읍</t>
        </is>
      </c>
      <c r="G2371" s="3" t="inlineStr">
        <is>
          <t>봉산리</t>
        </is>
      </c>
      <c r="H2371" s="3" t="inlineStr">
        <is>
          <t>제1종일반주거지역</t>
        </is>
      </c>
      <c r="I2371" s="3" t="inlineStr">
        <is>
          <t>대</t>
        </is>
      </c>
      <c r="J2371" s="3" t="inlineStr">
        <is>
          <t>오송읍</t>
        </is>
      </c>
    </row>
    <row r="2372">
      <c r="A2372" s="3" t="n">
        <v>2022</v>
      </c>
      <c r="B2372" s="4" t="n">
        <v>786</v>
      </c>
      <c r="C2372" s="4" t="n">
        <v>28</v>
      </c>
      <c r="D2372" s="4" t="n">
        <v>8.469999999999999</v>
      </c>
      <c r="E2372" s="5" t="n">
        <v>92.8</v>
      </c>
      <c r="F2372" s="3" t="inlineStr">
        <is>
          <t>오송읍</t>
        </is>
      </c>
      <c r="G2372" s="3" t="inlineStr">
        <is>
          <t>궁평리</t>
        </is>
      </c>
      <c r="H2372" s="3" t="inlineStr">
        <is>
          <t>농림지역</t>
        </is>
      </c>
      <c r="I2372" s="3" t="inlineStr">
        <is>
          <t>도로</t>
        </is>
      </c>
      <c r="J2372" s="3" t="inlineStr">
        <is>
          <t>오송읍</t>
        </is>
      </c>
    </row>
    <row r="2373">
      <c r="A2373" s="3" t="n">
        <v>2022</v>
      </c>
      <c r="B2373" s="4" t="n">
        <v>2976</v>
      </c>
      <c r="C2373" s="4" t="n">
        <v>84</v>
      </c>
      <c r="D2373" s="4" t="n">
        <v>25.41</v>
      </c>
      <c r="E2373" s="5" t="n">
        <v>117.1</v>
      </c>
      <c r="F2373" s="3" t="inlineStr">
        <is>
          <t>오송읍</t>
        </is>
      </c>
      <c r="G2373" s="3" t="inlineStr">
        <is>
          <t>궁평리</t>
        </is>
      </c>
      <c r="H2373" s="3" t="inlineStr">
        <is>
          <t>농림지역</t>
        </is>
      </c>
      <c r="I2373" s="3" t="inlineStr">
        <is>
          <t>도로</t>
        </is>
      </c>
      <c r="J2373" s="3" t="inlineStr">
        <is>
          <t>오송읍</t>
        </is>
      </c>
    </row>
    <row r="2374">
      <c r="A2374" s="3" t="n">
        <v>2022</v>
      </c>
      <c r="B2374" s="4" t="n">
        <v>5230</v>
      </c>
      <c r="C2374" s="4" t="n">
        <v>298</v>
      </c>
      <c r="D2374" s="4" t="n">
        <v>90.145</v>
      </c>
      <c r="E2374" s="5" t="n">
        <v>58</v>
      </c>
      <c r="F2374" s="3" t="inlineStr">
        <is>
          <t>강내면</t>
        </is>
      </c>
      <c r="G2374" s="3" t="inlineStr">
        <is>
          <t>학천리</t>
        </is>
      </c>
      <c r="H2374" s="3" t="inlineStr">
        <is>
          <t>자연녹지지역</t>
        </is>
      </c>
      <c r="I2374" s="3" t="inlineStr">
        <is>
          <t>전</t>
        </is>
      </c>
      <c r="J2374" s="3" t="inlineStr">
        <is>
          <t>강내면</t>
        </is>
      </c>
    </row>
    <row r="2375">
      <c r="A2375" s="3" t="n">
        <v>2022</v>
      </c>
      <c r="B2375" s="4" t="n">
        <v>9210</v>
      </c>
      <c r="C2375" s="4" t="n">
        <v>1016</v>
      </c>
      <c r="D2375" s="4" t="n">
        <v>307.34</v>
      </c>
      <c r="E2375" s="5" t="n">
        <v>30</v>
      </c>
      <c r="F2375" s="3" t="inlineStr">
        <is>
          <t>오송읍</t>
        </is>
      </c>
      <c r="G2375" s="3" t="inlineStr">
        <is>
          <t>상봉리</t>
        </is>
      </c>
      <c r="H2375" s="3" t="inlineStr">
        <is>
          <t>농림지역</t>
        </is>
      </c>
      <c r="I2375" s="3" t="inlineStr">
        <is>
          <t>답</t>
        </is>
      </c>
      <c r="J2375" s="3" t="inlineStr">
        <is>
          <t>오송읍</t>
        </is>
      </c>
    </row>
    <row r="2376">
      <c r="A2376" s="3" t="n">
        <v>2022</v>
      </c>
      <c r="B2376" s="4" t="n">
        <v>5010</v>
      </c>
      <c r="C2376" s="4" t="n">
        <v>552</v>
      </c>
      <c r="D2376" s="4" t="n">
        <v>166.98</v>
      </c>
      <c r="E2376" s="5" t="n">
        <v>30</v>
      </c>
      <c r="F2376" s="3" t="inlineStr">
        <is>
          <t>오송읍</t>
        </is>
      </c>
      <c r="G2376" s="3" t="inlineStr">
        <is>
          <t>상봉리</t>
        </is>
      </c>
      <c r="H2376" s="3" t="inlineStr">
        <is>
          <t>농림지역</t>
        </is>
      </c>
      <c r="I2376" s="3" t="inlineStr">
        <is>
          <t>답</t>
        </is>
      </c>
      <c r="J2376" s="3" t="inlineStr">
        <is>
          <t>오송읍</t>
        </is>
      </c>
    </row>
    <row r="2377">
      <c r="A2377" s="3" t="n">
        <v>2022</v>
      </c>
      <c r="B2377" s="4" t="n">
        <v>4350</v>
      </c>
      <c r="C2377" s="4" t="n">
        <v>480</v>
      </c>
      <c r="D2377" s="4" t="n">
        <v>145.2</v>
      </c>
      <c r="E2377" s="5" t="n">
        <v>30</v>
      </c>
      <c r="F2377" s="3" t="inlineStr">
        <is>
          <t>오송읍</t>
        </is>
      </c>
      <c r="G2377" s="3" t="inlineStr">
        <is>
          <t>상봉리</t>
        </is>
      </c>
      <c r="H2377" s="3" t="inlineStr">
        <is>
          <t>농림지역</t>
        </is>
      </c>
      <c r="I2377" s="3" t="inlineStr">
        <is>
          <t>답</t>
        </is>
      </c>
      <c r="J2377" s="3" t="inlineStr">
        <is>
          <t>오송읍</t>
        </is>
      </c>
    </row>
    <row r="2378">
      <c r="A2378" s="3" t="n">
        <v>2022</v>
      </c>
      <c r="B2378" s="4" t="n">
        <v>29000</v>
      </c>
      <c r="C2378" s="4" t="n">
        <v>269.8</v>
      </c>
      <c r="D2378" s="4" t="n">
        <v>81.61450000000001</v>
      </c>
      <c r="E2378" s="5" t="n">
        <v>355.3</v>
      </c>
      <c r="F2378" s="3" t="inlineStr">
        <is>
          <t>오송읍</t>
        </is>
      </c>
      <c r="G2378" s="3" t="inlineStr">
        <is>
          <t>봉산리</t>
        </is>
      </c>
      <c r="H2378" s="3" t="inlineStr">
        <is>
          <t>제1종일반주거지역</t>
        </is>
      </c>
      <c r="I2378" s="3" t="inlineStr">
        <is>
          <t>대</t>
        </is>
      </c>
      <c r="J2378" s="3" t="inlineStr">
        <is>
          <t>오송읍</t>
        </is>
      </c>
    </row>
    <row r="2379">
      <c r="A2379" s="3" t="n">
        <v>2022</v>
      </c>
      <c r="B2379" s="4" t="n">
        <v>21000</v>
      </c>
      <c r="C2379" s="4" t="n">
        <v>711</v>
      </c>
      <c r="D2379" s="4" t="n">
        <v>215.0775</v>
      </c>
      <c r="E2379" s="5" t="n">
        <v>97.59999999999999</v>
      </c>
      <c r="F2379" s="3" t="inlineStr">
        <is>
          <t>강내면</t>
        </is>
      </c>
      <c r="G2379" s="3" t="inlineStr">
        <is>
          <t>산단리</t>
        </is>
      </c>
      <c r="H2379" s="3" t="inlineStr">
        <is>
          <t>계획관리지역</t>
        </is>
      </c>
      <c r="I2379" s="3" t="inlineStr">
        <is>
          <t>대</t>
        </is>
      </c>
      <c r="J2379" s="3" t="inlineStr">
        <is>
          <t>강내면</t>
        </is>
      </c>
    </row>
    <row r="2380">
      <c r="A2380" s="3" t="n">
        <v>2022</v>
      </c>
      <c r="B2380" s="4" t="n">
        <v>21207</v>
      </c>
      <c r="C2380" s="4" t="n">
        <v>566</v>
      </c>
      <c r="D2380" s="4" t="n">
        <v>171.215</v>
      </c>
      <c r="E2380" s="5" t="n">
        <v>123.9</v>
      </c>
      <c r="F2380" s="3" t="inlineStr">
        <is>
          <t>오송읍</t>
        </is>
      </c>
      <c r="G2380" s="3" t="inlineStr">
        <is>
          <t>쌍청리</t>
        </is>
      </c>
      <c r="H2380" s="3" t="inlineStr">
        <is>
          <t>계획관리지역</t>
        </is>
      </c>
      <c r="I2380" s="3" t="inlineStr">
        <is>
          <t>공장용지</t>
        </is>
      </c>
      <c r="J2380" s="3" t="inlineStr">
        <is>
          <t>오송읍</t>
        </is>
      </c>
    </row>
    <row r="2381">
      <c r="A2381" s="3" t="n">
        <v>2022</v>
      </c>
      <c r="B2381" s="4" t="n">
        <v>2178</v>
      </c>
      <c r="C2381" s="4" t="n">
        <v>240</v>
      </c>
      <c r="D2381" s="4" t="n">
        <v>72.59999999999999</v>
      </c>
      <c r="E2381" s="5" t="n">
        <v>30</v>
      </c>
      <c r="F2381" s="3" t="inlineStr">
        <is>
          <t>강내면</t>
        </is>
      </c>
      <c r="G2381" s="3" t="inlineStr">
        <is>
          <t>사곡리</t>
        </is>
      </c>
      <c r="H2381" s="3" t="inlineStr">
        <is>
          <t>보전관리지역</t>
        </is>
      </c>
      <c r="I2381" s="3" t="inlineStr">
        <is>
          <t>임야</t>
        </is>
      </c>
      <c r="J2381" s="3" t="inlineStr">
        <is>
          <t>강내면</t>
        </is>
      </c>
    </row>
    <row r="2382">
      <c r="A2382" s="3" t="n">
        <v>2022</v>
      </c>
      <c r="B2382" s="4" t="n">
        <v>900</v>
      </c>
      <c r="C2382" s="4" t="n">
        <v>60</v>
      </c>
      <c r="D2382" s="4" t="n">
        <v>18.15</v>
      </c>
      <c r="E2382" s="5" t="n">
        <v>49.6</v>
      </c>
      <c r="F2382" s="3" t="inlineStr">
        <is>
          <t>강내면</t>
        </is>
      </c>
      <c r="G2382" s="3" t="inlineStr">
        <is>
          <t>사곡리</t>
        </is>
      </c>
      <c r="H2382" s="3" t="inlineStr">
        <is>
          <t>보전관리지역</t>
        </is>
      </c>
      <c r="I2382" s="3" t="inlineStr">
        <is>
          <t>전</t>
        </is>
      </c>
      <c r="J2382" s="3" t="inlineStr">
        <is>
          <t>강내면</t>
        </is>
      </c>
    </row>
    <row r="2383">
      <c r="A2383" s="3" t="n">
        <v>2022</v>
      </c>
      <c r="B2383" s="4" t="n">
        <v>30000</v>
      </c>
      <c r="C2383" s="4" t="n">
        <v>273.6</v>
      </c>
      <c r="D2383" s="4" t="n">
        <v>82.76400000000001</v>
      </c>
      <c r="E2383" s="5" t="n">
        <v>362.5</v>
      </c>
      <c r="F2383" s="3" t="inlineStr">
        <is>
          <t>오송읍</t>
        </is>
      </c>
      <c r="G2383" s="3" t="inlineStr">
        <is>
          <t>봉산리</t>
        </is>
      </c>
      <c r="H2383" s="3" t="inlineStr">
        <is>
          <t>제1종일반주거지역</t>
        </is>
      </c>
      <c r="I2383" s="3" t="inlineStr">
        <is>
          <t>대</t>
        </is>
      </c>
      <c r="J2383" s="3" t="inlineStr">
        <is>
          <t>오송읍</t>
        </is>
      </c>
    </row>
    <row r="2384">
      <c r="A2384" s="3" t="n">
        <v>2022</v>
      </c>
      <c r="B2384" s="4" t="n">
        <v>30000</v>
      </c>
      <c r="C2384" s="4" t="n">
        <v>1993</v>
      </c>
      <c r="D2384" s="4" t="n">
        <v>602.8824999999999</v>
      </c>
      <c r="E2384" s="5" t="n">
        <v>49.8</v>
      </c>
      <c r="F2384" s="3" t="inlineStr">
        <is>
          <t>오송읍</t>
        </is>
      </c>
      <c r="G2384" s="3" t="inlineStr">
        <is>
          <t>호계리</t>
        </is>
      </c>
      <c r="H2384" s="3" t="inlineStr">
        <is>
          <t>농림지역</t>
        </is>
      </c>
      <c r="I2384" s="3" t="inlineStr">
        <is>
          <t>답</t>
        </is>
      </c>
      <c r="J2384" s="3" t="inlineStr">
        <is>
          <t>오송읍</t>
        </is>
      </c>
    </row>
    <row r="2385">
      <c r="A2385" s="3" t="n">
        <v>2022</v>
      </c>
      <c r="B2385" s="4" t="n">
        <v>30500</v>
      </c>
      <c r="C2385" s="4" t="n">
        <v>264</v>
      </c>
      <c r="D2385" s="4" t="n">
        <v>79.86</v>
      </c>
      <c r="E2385" s="5" t="n">
        <v>381.9</v>
      </c>
      <c r="F2385" s="3" t="inlineStr">
        <is>
          <t>강내면</t>
        </is>
      </c>
      <c r="G2385" s="3" t="inlineStr">
        <is>
          <t>월곡리</t>
        </is>
      </c>
      <c r="H2385" s="3" t="inlineStr">
        <is>
          <t>제2종일반주거지역</t>
        </is>
      </c>
      <c r="I2385" s="3" t="inlineStr">
        <is>
          <t>전</t>
        </is>
      </c>
      <c r="J2385" s="3" t="inlineStr">
        <is>
          <t>강내면</t>
        </is>
      </c>
    </row>
    <row r="2386">
      <c r="A2386" s="3" t="n">
        <v>2022</v>
      </c>
      <c r="B2386" s="4" t="n">
        <v>27000</v>
      </c>
      <c r="C2386" s="4" t="n">
        <v>265.3</v>
      </c>
      <c r="D2386" s="4" t="n">
        <v>80.25324999999999</v>
      </c>
      <c r="E2386" s="5" t="n">
        <v>336.4</v>
      </c>
      <c r="F2386" s="3" t="inlineStr">
        <is>
          <t>오송읍</t>
        </is>
      </c>
      <c r="G2386" s="3" t="inlineStr">
        <is>
          <t>봉산리</t>
        </is>
      </c>
      <c r="H2386" s="3" t="inlineStr">
        <is>
          <t>제1종일반주거지역</t>
        </is>
      </c>
      <c r="I2386" s="3" t="inlineStr">
        <is>
          <t>대</t>
        </is>
      </c>
      <c r="J2386" s="3" t="inlineStr">
        <is>
          <t>오송읍</t>
        </is>
      </c>
    </row>
    <row r="2387">
      <c r="A2387" s="3" t="n">
        <v>2022</v>
      </c>
      <c r="B2387" s="4" t="n">
        <v>21890</v>
      </c>
      <c r="C2387" s="4" t="n">
        <v>566</v>
      </c>
      <c r="D2387" s="4" t="n">
        <v>171.215</v>
      </c>
      <c r="E2387" s="5" t="n">
        <v>127.9</v>
      </c>
      <c r="F2387" s="3" t="inlineStr">
        <is>
          <t>오송읍</t>
        </is>
      </c>
      <c r="G2387" s="3" t="inlineStr">
        <is>
          <t>쌍청리</t>
        </is>
      </c>
      <c r="H2387" s="3" t="inlineStr">
        <is>
          <t>계획관리지역</t>
        </is>
      </c>
      <c r="I2387" s="3" t="inlineStr">
        <is>
          <t>공장용지</t>
        </is>
      </c>
      <c r="J2387" s="3" t="inlineStr">
        <is>
          <t>오송읍</t>
        </is>
      </c>
    </row>
    <row r="2388">
      <c r="A2388" s="3" t="n">
        <v>2022</v>
      </c>
      <c r="B2388" s="4" t="n">
        <v>250</v>
      </c>
      <c r="C2388" s="4" t="n">
        <v>83</v>
      </c>
      <c r="D2388" s="4" t="n">
        <v>25.1075</v>
      </c>
      <c r="E2388" s="5" t="n">
        <v>10</v>
      </c>
      <c r="F2388" s="3" t="inlineStr">
        <is>
          <t>남이면</t>
        </is>
      </c>
      <c r="G2388" s="3" t="inlineStr">
        <is>
          <t>부용외천리</t>
        </is>
      </c>
      <c r="H2388" s="3" t="inlineStr">
        <is>
          <t>계획관리지역</t>
        </is>
      </c>
      <c r="I2388" s="3" t="inlineStr">
        <is>
          <t>목장용지</t>
        </is>
      </c>
      <c r="J2388" s="3" t="inlineStr">
        <is>
          <t>남이면</t>
        </is>
      </c>
    </row>
    <row r="2389">
      <c r="A2389" s="3" t="n">
        <v>2022</v>
      </c>
      <c r="B2389" s="4" t="n">
        <v>650</v>
      </c>
      <c r="C2389" s="4" t="n">
        <v>206</v>
      </c>
      <c r="D2389" s="4" t="n">
        <v>62.315</v>
      </c>
      <c r="E2389" s="5" t="n">
        <v>10.4</v>
      </c>
      <c r="F2389" s="3" t="inlineStr">
        <is>
          <t>남이면</t>
        </is>
      </c>
      <c r="G2389" s="3" t="inlineStr">
        <is>
          <t>부용외천리</t>
        </is>
      </c>
      <c r="H2389" s="3" t="inlineStr">
        <is>
          <t>계획관리지역</t>
        </is>
      </c>
      <c r="I2389" s="3" t="inlineStr">
        <is>
          <t>목장용지</t>
        </is>
      </c>
      <c r="J2389" s="3" t="inlineStr">
        <is>
          <t>남이면</t>
        </is>
      </c>
    </row>
    <row r="2390">
      <c r="A2390" s="3" t="n">
        <v>2022</v>
      </c>
      <c r="B2390" s="4" t="n">
        <v>42360</v>
      </c>
      <c r="C2390" s="4" t="n">
        <v>2334</v>
      </c>
      <c r="D2390" s="4" t="n">
        <v>706.035</v>
      </c>
      <c r="E2390" s="5" t="n">
        <v>60</v>
      </c>
      <c r="F2390" s="3" t="inlineStr">
        <is>
          <t>남이면</t>
        </is>
      </c>
      <c r="G2390" s="3" t="inlineStr">
        <is>
          <t>양촌리</t>
        </is>
      </c>
      <c r="H2390" s="3" t="inlineStr">
        <is>
          <t>자연녹지지역</t>
        </is>
      </c>
      <c r="I2390" s="3" t="inlineStr">
        <is>
          <t>전</t>
        </is>
      </c>
      <c r="J2390" s="3" t="inlineStr">
        <is>
          <t>남이면</t>
        </is>
      </c>
    </row>
    <row r="2391">
      <c r="A2391" s="3" t="n">
        <v>2022</v>
      </c>
      <c r="B2391" s="4" t="n">
        <v>2428</v>
      </c>
      <c r="C2391" s="4" t="n">
        <v>139</v>
      </c>
      <c r="D2391" s="4" t="n">
        <v>42.0475</v>
      </c>
      <c r="E2391" s="5" t="n">
        <v>57.7</v>
      </c>
      <c r="F2391" s="3" t="inlineStr">
        <is>
          <t>남이면</t>
        </is>
      </c>
      <c r="G2391" s="3" t="inlineStr">
        <is>
          <t>외천리</t>
        </is>
      </c>
      <c r="H2391" s="3" t="inlineStr">
        <is>
          <t>계획관리지역</t>
        </is>
      </c>
      <c r="I2391" s="3" t="inlineStr">
        <is>
          <t>전</t>
        </is>
      </c>
      <c r="J2391" s="3" t="inlineStr">
        <is>
          <t>남이면</t>
        </is>
      </c>
    </row>
    <row r="2392">
      <c r="A2392" s="3" t="n">
        <v>2022</v>
      </c>
      <c r="B2392" s="4" t="n">
        <v>7631</v>
      </c>
      <c r="C2392" s="4" t="n">
        <v>498</v>
      </c>
      <c r="D2392" s="4" t="n">
        <v>150.645</v>
      </c>
      <c r="E2392" s="5" t="n">
        <v>50.7</v>
      </c>
      <c r="F2392" s="3" t="inlineStr">
        <is>
          <t>남이면</t>
        </is>
      </c>
      <c r="G2392" s="3" t="inlineStr">
        <is>
          <t>외천리</t>
        </is>
      </c>
      <c r="H2392" s="3" t="inlineStr">
        <is>
          <t>계획관리지역</t>
        </is>
      </c>
      <c r="I2392" s="3" t="inlineStr">
        <is>
          <t>답</t>
        </is>
      </c>
      <c r="J2392" s="3" t="inlineStr">
        <is>
          <t>남이면</t>
        </is>
      </c>
    </row>
    <row r="2393">
      <c r="A2393" s="3" t="n">
        <v>2022</v>
      </c>
      <c r="B2393" s="4" t="n">
        <v>941</v>
      </c>
      <c r="C2393" s="4" t="n">
        <v>54</v>
      </c>
      <c r="D2393" s="4" t="n">
        <v>16.335</v>
      </c>
      <c r="E2393" s="5" t="n">
        <v>57.6</v>
      </c>
      <c r="F2393" s="3" t="inlineStr">
        <is>
          <t>남이면</t>
        </is>
      </c>
      <c r="G2393" s="3" t="inlineStr">
        <is>
          <t>외천리</t>
        </is>
      </c>
      <c r="H2393" s="3" t="inlineStr">
        <is>
          <t>계획관리지역</t>
        </is>
      </c>
      <c r="I2393" s="3" t="inlineStr">
        <is>
          <t>답</t>
        </is>
      </c>
      <c r="J2393" s="3" t="inlineStr">
        <is>
          <t>남이면</t>
        </is>
      </c>
    </row>
    <row r="2394">
      <c r="A2394" s="3" t="n">
        <v>2022</v>
      </c>
      <c r="B2394" s="4" t="n">
        <v>42000</v>
      </c>
      <c r="C2394" s="4" t="n">
        <v>3927</v>
      </c>
      <c r="D2394" s="4" t="n">
        <v>1187.9175</v>
      </c>
      <c r="E2394" s="5" t="n">
        <v>35.4</v>
      </c>
      <c r="F2394" s="3" t="inlineStr">
        <is>
          <t>남이면</t>
        </is>
      </c>
      <c r="G2394" s="3" t="inlineStr">
        <is>
          <t>가좌리</t>
        </is>
      </c>
      <c r="H2394" s="3" t="inlineStr">
        <is>
          <t>자연녹지지역</t>
        </is>
      </c>
      <c r="I2394" s="3" t="inlineStr">
        <is>
          <t>답</t>
        </is>
      </c>
      <c r="J2394" s="3" t="inlineStr">
        <is>
          <t>남이면</t>
        </is>
      </c>
    </row>
    <row r="2395">
      <c r="A2395" s="3" t="n">
        <v>2022</v>
      </c>
      <c r="B2395" s="4" t="n">
        <v>10000</v>
      </c>
      <c r="C2395" s="4" t="n">
        <v>1775</v>
      </c>
      <c r="D2395" s="4" t="n">
        <v>536.9375</v>
      </c>
      <c r="E2395" s="5" t="n">
        <v>18.6</v>
      </c>
      <c r="F2395" s="3" t="inlineStr">
        <is>
          <t>남이면</t>
        </is>
      </c>
      <c r="G2395" s="3" t="inlineStr">
        <is>
          <t>척산리</t>
        </is>
      </c>
      <c r="H2395" s="3" t="inlineStr">
        <is>
          <t>계획관리지역</t>
        </is>
      </c>
      <c r="I2395" s="3" t="inlineStr">
        <is>
          <t>도로</t>
        </is>
      </c>
      <c r="J2395" s="3" t="inlineStr">
        <is>
          <t>남이면</t>
        </is>
      </c>
    </row>
    <row r="2396">
      <c r="A2396" s="3" t="n">
        <v>2022</v>
      </c>
      <c r="B2396" s="4" t="n">
        <v>34485</v>
      </c>
      <c r="C2396" s="4" t="n">
        <v>760</v>
      </c>
      <c r="D2396" s="4" t="n">
        <v>229.9</v>
      </c>
      <c r="E2396" s="5" t="n">
        <v>150</v>
      </c>
      <c r="F2396" s="3" t="inlineStr">
        <is>
          <t>남이면</t>
        </is>
      </c>
      <c r="G2396" s="3" t="inlineStr">
        <is>
          <t>부용외천리</t>
        </is>
      </c>
      <c r="H2396" s="3" t="inlineStr">
        <is>
          <t>계획관리지역</t>
        </is>
      </c>
      <c r="I2396" s="3" t="inlineStr">
        <is>
          <t>답</t>
        </is>
      </c>
      <c r="J2396" s="3" t="inlineStr">
        <is>
          <t>남이면</t>
        </is>
      </c>
    </row>
    <row r="2397">
      <c r="A2397" s="3" t="n">
        <v>2022</v>
      </c>
      <c r="B2397" s="4" t="n">
        <v>15700</v>
      </c>
      <c r="C2397" s="4" t="n">
        <v>427</v>
      </c>
      <c r="D2397" s="4" t="n">
        <v>129.1675</v>
      </c>
      <c r="E2397" s="5" t="n">
        <v>121.5</v>
      </c>
      <c r="F2397" s="3" t="inlineStr">
        <is>
          <t>남이면</t>
        </is>
      </c>
      <c r="G2397" s="3" t="inlineStr">
        <is>
          <t>척북리</t>
        </is>
      </c>
      <c r="H2397" s="3" t="inlineStr">
        <is>
          <t>자연녹지지역</t>
        </is>
      </c>
      <c r="I2397" s="3" t="inlineStr">
        <is>
          <t>답</t>
        </is>
      </c>
      <c r="J2397" s="3" t="inlineStr">
        <is>
          <t>남이면</t>
        </is>
      </c>
    </row>
    <row r="2398">
      <c r="A2398" s="3" t="n">
        <v>2022</v>
      </c>
      <c r="B2398" s="4" t="n">
        <v>109189</v>
      </c>
      <c r="C2398" s="4" t="n">
        <v>1818</v>
      </c>
      <c r="D2398" s="4" t="n">
        <v>549.9449999999999</v>
      </c>
      <c r="E2398" s="5" t="n">
        <v>198.5</v>
      </c>
      <c r="F2398" s="3" t="inlineStr">
        <is>
          <t>남이면</t>
        </is>
      </c>
      <c r="G2398" s="3" t="inlineStr">
        <is>
          <t>구암리</t>
        </is>
      </c>
      <c r="H2398" s="3" t="inlineStr">
        <is>
          <t>자연녹지지역</t>
        </is>
      </c>
      <c r="I2398" s="3" t="inlineStr">
        <is>
          <t>주차장</t>
        </is>
      </c>
      <c r="J2398" s="3" t="inlineStr">
        <is>
          <t>남이면</t>
        </is>
      </c>
    </row>
    <row r="2399">
      <c r="A2399" s="3" t="n">
        <v>2023</v>
      </c>
      <c r="B2399" s="4" t="n">
        <v>34003</v>
      </c>
      <c r="C2399" s="4" t="n">
        <v>501</v>
      </c>
      <c r="D2399" s="4" t="n">
        <v>151.5525</v>
      </c>
      <c r="E2399" s="5" t="n">
        <v>224.4</v>
      </c>
      <c r="F2399" s="3" t="inlineStr">
        <is>
          <t>강내면</t>
        </is>
      </c>
      <c r="G2399" s="3" t="inlineStr">
        <is>
          <t>월탄리</t>
        </is>
      </c>
      <c r="H2399" s="3" t="inlineStr">
        <is>
          <t>계획관리지역</t>
        </is>
      </c>
      <c r="I2399" s="3" t="inlineStr">
        <is>
          <t>전</t>
        </is>
      </c>
      <c r="J2399" s="3" t="inlineStr">
        <is>
          <t>강내면</t>
        </is>
      </c>
    </row>
    <row r="2400">
      <c r="A2400" s="3" t="n">
        <v>2023</v>
      </c>
      <c r="B2400" s="4" t="n">
        <v>136</v>
      </c>
      <c r="C2400" s="4" t="n">
        <v>2</v>
      </c>
      <c r="D2400" s="4" t="n">
        <v>0.605</v>
      </c>
      <c r="E2400" s="5" t="n">
        <v>224.8</v>
      </c>
      <c r="F2400" s="3" t="inlineStr">
        <is>
          <t>강내면</t>
        </is>
      </c>
      <c r="G2400" s="3" t="inlineStr">
        <is>
          <t>월탄리</t>
        </is>
      </c>
      <c r="H2400" s="3" t="inlineStr">
        <is>
          <t>계획관리지역</t>
        </is>
      </c>
      <c r="I2400" s="3" t="inlineStr">
        <is>
          <t>전</t>
        </is>
      </c>
      <c r="J2400" s="3" t="inlineStr">
        <is>
          <t>강내면</t>
        </is>
      </c>
    </row>
    <row r="2401">
      <c r="A2401" s="3" t="n">
        <v>2023</v>
      </c>
      <c r="B2401" s="4" t="n">
        <v>36175</v>
      </c>
      <c r="C2401" s="4" t="n">
        <v>533</v>
      </c>
      <c r="D2401" s="4" t="n">
        <v>161.2325</v>
      </c>
      <c r="E2401" s="5" t="n">
        <v>224.4</v>
      </c>
      <c r="F2401" s="3" t="inlineStr">
        <is>
          <t>강내면</t>
        </is>
      </c>
      <c r="G2401" s="3" t="inlineStr">
        <is>
          <t>월탄리</t>
        </is>
      </c>
      <c r="H2401" s="3" t="inlineStr">
        <is>
          <t>계획관리지역</t>
        </is>
      </c>
      <c r="I2401" s="3" t="inlineStr">
        <is>
          <t>전</t>
        </is>
      </c>
      <c r="J2401" s="3" t="inlineStr">
        <is>
          <t>강내면</t>
        </is>
      </c>
    </row>
    <row r="2402">
      <c r="A2402" s="3" t="n">
        <v>2023</v>
      </c>
      <c r="B2402" s="4" t="n">
        <v>62000</v>
      </c>
      <c r="C2402" s="4" t="n">
        <v>261.7</v>
      </c>
      <c r="D2402" s="4" t="n">
        <v>79.16425</v>
      </c>
      <c r="E2402" s="5" t="n">
        <v>783.2</v>
      </c>
      <c r="F2402" s="3" t="inlineStr">
        <is>
          <t>오송읍</t>
        </is>
      </c>
      <c r="G2402" s="3" t="inlineStr">
        <is>
          <t>봉산리</t>
        </is>
      </c>
      <c r="H2402" s="3" t="inlineStr">
        <is>
          <t>제1종일반주거지역</t>
        </is>
      </c>
      <c r="I2402" s="3" t="inlineStr">
        <is>
          <t>대</t>
        </is>
      </c>
      <c r="J2402" s="3" t="inlineStr">
        <is>
          <t>오송읍</t>
        </is>
      </c>
    </row>
    <row r="2403">
      <c r="A2403" s="3" t="n">
        <v>2023</v>
      </c>
      <c r="B2403" s="4" t="n">
        <v>68375</v>
      </c>
      <c r="C2403" s="4" t="n">
        <v>1811</v>
      </c>
      <c r="D2403" s="4" t="n">
        <v>547.8275</v>
      </c>
      <c r="E2403" s="5" t="n">
        <v>124.8</v>
      </c>
      <c r="F2403" s="3" t="inlineStr">
        <is>
          <t>강내면</t>
        </is>
      </c>
      <c r="G2403" s="3" t="inlineStr">
        <is>
          <t>다락리</t>
        </is>
      </c>
      <c r="H2403" s="3" t="inlineStr">
        <is>
          <t>계획관리지역</t>
        </is>
      </c>
      <c r="I2403" s="3" t="inlineStr">
        <is>
          <t>답</t>
        </is>
      </c>
      <c r="J2403" s="3" t="inlineStr">
        <is>
          <t>강내면</t>
        </is>
      </c>
    </row>
    <row r="2404">
      <c r="A2404" s="3" t="n">
        <v>2023</v>
      </c>
      <c r="B2404" s="4" t="n">
        <v>17625</v>
      </c>
      <c r="C2404" s="4" t="n">
        <v>465</v>
      </c>
      <c r="D2404" s="4" t="n">
        <v>140.6625</v>
      </c>
      <c r="E2404" s="5" t="n">
        <v>125.3</v>
      </c>
      <c r="F2404" s="3" t="inlineStr">
        <is>
          <t>강내면</t>
        </is>
      </c>
      <c r="G2404" s="3" t="inlineStr">
        <is>
          <t>다락리</t>
        </is>
      </c>
      <c r="H2404" s="3" t="inlineStr">
        <is>
          <t>계획관리지역</t>
        </is>
      </c>
      <c r="I2404" s="3" t="inlineStr">
        <is>
          <t>답</t>
        </is>
      </c>
      <c r="J2404" s="3" t="inlineStr">
        <is>
          <t>강내면</t>
        </is>
      </c>
    </row>
    <row r="2405">
      <c r="A2405" s="3" t="n">
        <v>2023</v>
      </c>
      <c r="B2405" s="4" t="n">
        <v>29541</v>
      </c>
      <c r="C2405" s="4" t="n">
        <v>501.2</v>
      </c>
      <c r="D2405" s="4" t="n">
        <v>151.613</v>
      </c>
      <c r="E2405" s="5" t="n">
        <v>194.8</v>
      </c>
      <c r="F2405" s="3" t="inlineStr">
        <is>
          <t>강내면</t>
        </is>
      </c>
      <c r="G2405" s="3" t="inlineStr">
        <is>
          <t>사곡리</t>
        </is>
      </c>
      <c r="H2405" s="3" t="inlineStr">
        <is>
          <t>보전관리지역</t>
        </is>
      </c>
      <c r="I2405" s="3" t="inlineStr">
        <is>
          <t>대</t>
        </is>
      </c>
      <c r="J2405" s="3" t="inlineStr">
        <is>
          <t>강내면</t>
        </is>
      </c>
    </row>
    <row r="2406">
      <c r="A2406" s="3" t="n">
        <v>2023</v>
      </c>
      <c r="B2406" s="4" t="n">
        <v>5988</v>
      </c>
      <c r="C2406" s="4" t="n">
        <v>101.6</v>
      </c>
      <c r="D2406" s="4" t="n">
        <v>30.734</v>
      </c>
      <c r="E2406" s="5" t="n">
        <v>194.8</v>
      </c>
      <c r="F2406" s="3" t="inlineStr">
        <is>
          <t>강내면</t>
        </is>
      </c>
      <c r="G2406" s="3" t="inlineStr">
        <is>
          <t>사곡리</t>
        </is>
      </c>
      <c r="H2406" s="3" t="inlineStr">
        <is>
          <t>보전관리지역</t>
        </is>
      </c>
      <c r="I2406" s="3" t="inlineStr">
        <is>
          <t>대</t>
        </is>
      </c>
      <c r="J2406" s="3" t="inlineStr">
        <is>
          <t>강내면</t>
        </is>
      </c>
    </row>
    <row r="2407">
      <c r="A2407" s="3" t="n">
        <v>2023</v>
      </c>
      <c r="B2407" s="4" t="n">
        <v>35000</v>
      </c>
      <c r="C2407" s="4" t="n">
        <v>271.4</v>
      </c>
      <c r="D2407" s="4" t="n">
        <v>82.09849999999999</v>
      </c>
      <c r="E2407" s="5" t="n">
        <v>426.3</v>
      </c>
      <c r="F2407" s="3" t="inlineStr">
        <is>
          <t>오송읍</t>
        </is>
      </c>
      <c r="G2407" s="3" t="inlineStr">
        <is>
          <t>봉산리</t>
        </is>
      </c>
      <c r="H2407" s="3" t="inlineStr">
        <is>
          <t>제1종일반주거지역</t>
        </is>
      </c>
      <c r="I2407" s="3" t="inlineStr">
        <is>
          <t>대</t>
        </is>
      </c>
      <c r="J2407" s="3" t="inlineStr">
        <is>
          <t>오송읍</t>
        </is>
      </c>
    </row>
    <row r="2408">
      <c r="A2408" s="3" t="n">
        <v>2023</v>
      </c>
      <c r="B2408" s="4" t="n">
        <v>26040</v>
      </c>
      <c r="C2408" s="4" t="n">
        <v>287</v>
      </c>
      <c r="D2408" s="4" t="n">
        <v>86.8175</v>
      </c>
      <c r="E2408" s="5" t="n">
        <v>299.9</v>
      </c>
      <c r="F2408" s="3" t="inlineStr">
        <is>
          <t>오송읍</t>
        </is>
      </c>
      <c r="G2408" s="3" t="inlineStr">
        <is>
          <t>정중리</t>
        </is>
      </c>
      <c r="H2408" s="3" t="inlineStr">
        <is>
          <t>계획관리지역</t>
        </is>
      </c>
      <c r="I2408" s="3" t="inlineStr">
        <is>
          <t>대</t>
        </is>
      </c>
      <c r="J2408" s="3" t="inlineStr">
        <is>
          <t>오송읍</t>
        </is>
      </c>
    </row>
    <row r="2409">
      <c r="A2409" s="3" t="n">
        <v>2023</v>
      </c>
      <c r="B2409" s="4" t="n">
        <v>9430</v>
      </c>
      <c r="C2409" s="4" t="n">
        <v>104</v>
      </c>
      <c r="D2409" s="4" t="n">
        <v>31.46</v>
      </c>
      <c r="E2409" s="5" t="n">
        <v>299.7</v>
      </c>
      <c r="F2409" s="3" t="inlineStr">
        <is>
          <t>오송읍</t>
        </is>
      </c>
      <c r="G2409" s="3" t="inlineStr">
        <is>
          <t>정중리</t>
        </is>
      </c>
      <c r="H2409" s="3" t="inlineStr">
        <is>
          <t>생산관리지역</t>
        </is>
      </c>
      <c r="I2409" s="3" t="inlineStr">
        <is>
          <t>임야</t>
        </is>
      </c>
      <c r="J2409" s="3" t="inlineStr">
        <is>
          <t>오송읍</t>
        </is>
      </c>
    </row>
    <row r="2410">
      <c r="A2410" s="3" t="n">
        <v>2023</v>
      </c>
      <c r="B2410" s="4" t="n">
        <v>39310</v>
      </c>
      <c r="C2410" s="4" t="n">
        <v>551</v>
      </c>
      <c r="D2410" s="4" t="n">
        <v>166.6775</v>
      </c>
      <c r="E2410" s="5" t="n">
        <v>235.8</v>
      </c>
      <c r="F2410" s="3" t="inlineStr">
        <is>
          <t>오송읍</t>
        </is>
      </c>
      <c r="G2410" s="3" t="inlineStr">
        <is>
          <t>정중리</t>
        </is>
      </c>
      <c r="H2410" s="3" t="inlineStr">
        <is>
          <t>생산관리지역</t>
        </is>
      </c>
      <c r="I2410" s="3" t="inlineStr">
        <is>
          <t>임야</t>
        </is>
      </c>
      <c r="J2410" s="3" t="inlineStr">
        <is>
          <t>오송읍</t>
        </is>
      </c>
    </row>
    <row r="2411">
      <c r="A2411" s="3" t="n">
        <v>2022</v>
      </c>
      <c r="B2411" s="4" t="n">
        <v>190811</v>
      </c>
      <c r="C2411" s="4" t="n">
        <v>3177</v>
      </c>
      <c r="D2411" s="4" t="n">
        <v>961.0425</v>
      </c>
      <c r="E2411" s="5" t="n">
        <v>198.5</v>
      </c>
      <c r="F2411" s="3" t="inlineStr">
        <is>
          <t>남이면</t>
        </is>
      </c>
      <c r="G2411" s="3" t="inlineStr">
        <is>
          <t>구암리</t>
        </is>
      </c>
      <c r="H2411" s="3" t="inlineStr">
        <is>
          <t>자연녹지지역</t>
        </is>
      </c>
      <c r="I2411" s="3" t="inlineStr">
        <is>
          <t>주차장</t>
        </is>
      </c>
      <c r="J2411" s="3" t="inlineStr">
        <is>
          <t>남이면</t>
        </is>
      </c>
    </row>
    <row r="2412">
      <c r="A2412" s="3" t="n">
        <v>2025</v>
      </c>
      <c r="B2412" s="4" t="n">
        <v>12680</v>
      </c>
      <c r="C2412" s="4" t="n">
        <v>1048</v>
      </c>
      <c r="D2412" s="4" t="n">
        <v>317.02</v>
      </c>
      <c r="E2412" s="5" t="n">
        <v>40</v>
      </c>
      <c r="F2412" s="3" t="inlineStr">
        <is>
          <t>남이면</t>
        </is>
      </c>
      <c r="G2412" s="3" t="inlineStr">
        <is>
          <t>구암리</t>
        </is>
      </c>
      <c r="H2412" s="3" t="inlineStr">
        <is>
          <t>자연녹지지역</t>
        </is>
      </c>
      <c r="I2412" s="3" t="inlineStr">
        <is>
          <t>답</t>
        </is>
      </c>
      <c r="J2412" s="3" t="inlineStr">
        <is>
          <t>남이면</t>
        </is>
      </c>
    </row>
    <row r="2413">
      <c r="A2413" s="3" t="n">
        <v>2025</v>
      </c>
      <c r="B2413" s="4" t="n">
        <v>600</v>
      </c>
      <c r="C2413" s="4" t="n">
        <v>20</v>
      </c>
      <c r="D2413" s="4" t="n">
        <v>6.05</v>
      </c>
      <c r="E2413" s="5" t="n">
        <v>99.2</v>
      </c>
      <c r="F2413" s="3" t="inlineStr">
        <is>
          <t>강내면</t>
        </is>
      </c>
      <c r="G2413" s="3" t="inlineStr">
        <is>
          <t>월곡리</t>
        </is>
      </c>
      <c r="H2413" s="3" t="inlineStr">
        <is>
          <t>자연녹지지역</t>
        </is>
      </c>
      <c r="I2413" s="3" t="inlineStr">
        <is>
          <t>구거</t>
        </is>
      </c>
      <c r="J2413" s="3" t="inlineStr">
        <is>
          <t>강내면</t>
        </is>
      </c>
    </row>
    <row r="2414">
      <c r="A2414" s="3" t="n">
        <v>2025</v>
      </c>
      <c r="B2414" s="4" t="n">
        <v>6600</v>
      </c>
      <c r="C2414" s="4" t="n">
        <v>139</v>
      </c>
      <c r="D2414" s="4" t="n">
        <v>42.0475</v>
      </c>
      <c r="E2414" s="5" t="n">
        <v>157</v>
      </c>
      <c r="F2414" s="3" t="inlineStr">
        <is>
          <t>오송읍</t>
        </is>
      </c>
      <c r="G2414" s="3" t="inlineStr">
        <is>
          <t>궁평리</t>
        </is>
      </c>
      <c r="H2414" s="3" t="inlineStr">
        <is>
          <t>계획관리지역</t>
        </is>
      </c>
      <c r="I2414" s="3" t="inlineStr">
        <is>
          <t>대</t>
        </is>
      </c>
      <c r="J2414" s="3" t="inlineStr">
        <is>
          <t>오송읍</t>
        </is>
      </c>
    </row>
    <row r="2415">
      <c r="A2415" s="3" t="n">
        <v>2025</v>
      </c>
      <c r="B2415" s="4" t="n">
        <v>4600</v>
      </c>
      <c r="C2415" s="4" t="n">
        <v>109</v>
      </c>
      <c r="D2415" s="4" t="n">
        <v>32.9725</v>
      </c>
      <c r="E2415" s="5" t="n">
        <v>139.5</v>
      </c>
      <c r="F2415" s="3" t="inlineStr">
        <is>
          <t>오송읍</t>
        </is>
      </c>
      <c r="G2415" s="3" t="inlineStr">
        <is>
          <t>궁평리</t>
        </is>
      </c>
      <c r="H2415" s="3" t="inlineStr">
        <is>
          <t>계획관리지역</t>
        </is>
      </c>
      <c r="I2415" s="3" t="inlineStr">
        <is>
          <t>대</t>
        </is>
      </c>
      <c r="J2415" s="3" t="inlineStr">
        <is>
          <t>오송읍</t>
        </is>
      </c>
    </row>
    <row r="2416">
      <c r="A2416" s="3" t="n">
        <v>2025</v>
      </c>
      <c r="B2416" s="4" t="n">
        <v>70</v>
      </c>
      <c r="C2416" s="4" t="n">
        <v>7</v>
      </c>
      <c r="D2416" s="4" t="n">
        <v>2.1175</v>
      </c>
      <c r="E2416" s="5" t="n">
        <v>33.1</v>
      </c>
      <c r="F2416" s="3" t="inlineStr">
        <is>
          <t>오송읍</t>
        </is>
      </c>
      <c r="G2416" s="3" t="inlineStr">
        <is>
          <t>궁평리</t>
        </is>
      </c>
      <c r="H2416" s="3" t="inlineStr">
        <is>
          <t>계획관리지역</t>
        </is>
      </c>
      <c r="I2416" s="3" t="inlineStr">
        <is>
          <t>도로</t>
        </is>
      </c>
      <c r="J2416" s="3" t="inlineStr">
        <is>
          <t>오송읍</t>
        </is>
      </c>
    </row>
    <row r="2417">
      <c r="A2417" s="3" t="n">
        <v>2025</v>
      </c>
      <c r="B2417" s="4" t="n">
        <v>30</v>
      </c>
      <c r="C2417" s="4" t="n">
        <v>4</v>
      </c>
      <c r="D2417" s="4" t="n">
        <v>1.21</v>
      </c>
      <c r="E2417" s="5" t="n">
        <v>24.8</v>
      </c>
      <c r="F2417" s="3" t="inlineStr">
        <is>
          <t>오송읍</t>
        </is>
      </c>
      <c r="G2417" s="3" t="inlineStr">
        <is>
          <t>궁평리</t>
        </is>
      </c>
      <c r="H2417" s="3" t="inlineStr">
        <is>
          <t>계획관리지역</t>
        </is>
      </c>
      <c r="I2417" s="3" t="inlineStr">
        <is>
          <t>도로</t>
        </is>
      </c>
      <c r="J2417" s="3" t="inlineStr">
        <is>
          <t>오송읍</t>
        </is>
      </c>
    </row>
    <row r="2418">
      <c r="A2418" s="3" t="n">
        <v>2025</v>
      </c>
      <c r="B2418" s="4" t="n">
        <v>21714</v>
      </c>
      <c r="C2418" s="4" t="n">
        <v>465</v>
      </c>
      <c r="D2418" s="4" t="n">
        <v>140.6625</v>
      </c>
      <c r="E2418" s="5" t="n">
        <v>154.4</v>
      </c>
      <c r="F2418" s="3" t="inlineStr">
        <is>
          <t>강내면</t>
        </is>
      </c>
      <c r="G2418" s="3" t="inlineStr">
        <is>
          <t>사곡리</t>
        </is>
      </c>
      <c r="H2418" s="3" t="inlineStr">
        <is>
          <t>보전관리지역</t>
        </is>
      </c>
      <c r="I2418" s="3" t="inlineStr">
        <is>
          <t>대</t>
        </is>
      </c>
      <c r="J2418" s="3" t="inlineStr">
        <is>
          <t>강내면</t>
        </is>
      </c>
    </row>
    <row r="2419">
      <c r="A2419" s="3" t="n">
        <v>2025</v>
      </c>
      <c r="B2419" s="4" t="n">
        <v>43422</v>
      </c>
      <c r="C2419" s="4" t="n">
        <v>4135.4</v>
      </c>
      <c r="D2419" s="4" t="n">
        <v>1250.9585</v>
      </c>
      <c r="E2419" s="5" t="n">
        <v>34.7</v>
      </c>
      <c r="F2419" s="3" t="inlineStr">
        <is>
          <t>강내면</t>
        </is>
      </c>
      <c r="G2419" s="3" t="inlineStr">
        <is>
          <t>저산리</t>
        </is>
      </c>
      <c r="H2419" s="3" t="inlineStr">
        <is>
          <t>계획관리지역</t>
        </is>
      </c>
      <c r="I2419" s="3" t="inlineStr">
        <is>
          <t>답</t>
        </is>
      </c>
      <c r="J2419" s="3" t="inlineStr">
        <is>
          <t>강내면</t>
        </is>
      </c>
    </row>
    <row r="2420">
      <c r="A2420" s="3" t="n">
        <v>2025</v>
      </c>
      <c r="B2420" s="4" t="n">
        <v>228000</v>
      </c>
      <c r="C2420" s="4" t="n">
        <v>558.8</v>
      </c>
      <c r="D2420" s="4" t="n">
        <v>169.037</v>
      </c>
      <c r="E2420" s="5" t="n">
        <v>1348.8</v>
      </c>
      <c r="F2420" s="3" t="inlineStr">
        <is>
          <t>오송읍</t>
        </is>
      </c>
      <c r="G2420" s="3" t="inlineStr">
        <is>
          <t>정중리</t>
        </is>
      </c>
      <c r="H2420" s="3" t="inlineStr">
        <is>
          <t>준공업지역</t>
        </is>
      </c>
      <c r="I2420" s="3" t="inlineStr">
        <is>
          <t>대</t>
        </is>
      </c>
      <c r="J2420" s="3" t="inlineStr">
        <is>
          <t>오송읍</t>
        </is>
      </c>
    </row>
    <row r="2421">
      <c r="A2421" s="3" t="n">
        <v>2025</v>
      </c>
      <c r="B2421" s="4" t="n">
        <v>172000</v>
      </c>
      <c r="C2421" s="4" t="n">
        <v>584.2</v>
      </c>
      <c r="D2421" s="4" t="n">
        <v>176.7205</v>
      </c>
      <c r="E2421" s="5" t="n">
        <v>973.3</v>
      </c>
      <c r="F2421" s="3" t="inlineStr">
        <is>
          <t>오송읍</t>
        </is>
      </c>
      <c r="G2421" s="3" t="inlineStr">
        <is>
          <t>정중리</t>
        </is>
      </c>
      <c r="H2421" s="3" t="inlineStr">
        <is>
          <t>준공업지역</t>
        </is>
      </c>
      <c r="I2421" s="3" t="inlineStr">
        <is>
          <t>대</t>
        </is>
      </c>
      <c r="J2421" s="3" t="inlineStr">
        <is>
          <t>오송읍</t>
        </is>
      </c>
    </row>
    <row r="2422">
      <c r="A2422" s="3" t="n">
        <v>2022</v>
      </c>
      <c r="B2422" s="4" t="n">
        <v>59265</v>
      </c>
      <c r="C2422" s="4" t="n">
        <v>9752</v>
      </c>
      <c r="D2422" s="4" t="n">
        <v>2949.98</v>
      </c>
      <c r="E2422" s="5" t="n">
        <v>20.1</v>
      </c>
      <c r="F2422" s="3" t="inlineStr">
        <is>
          <t>남이면</t>
        </is>
      </c>
      <c r="G2422" s="3" t="inlineStr">
        <is>
          <t>석판리</t>
        </is>
      </c>
      <c r="H2422" s="3" t="inlineStr">
        <is>
          <t>보전녹지지역</t>
        </is>
      </c>
      <c r="I2422" s="3" t="inlineStr">
        <is>
          <t>임야</t>
        </is>
      </c>
      <c r="J2422" s="3" t="inlineStr">
        <is>
          <t>남이면</t>
        </is>
      </c>
    </row>
    <row r="2423">
      <c r="A2423" s="3" t="n">
        <v>2022</v>
      </c>
      <c r="B2423" s="4" t="n">
        <v>600</v>
      </c>
      <c r="C2423" s="4" t="n">
        <v>22</v>
      </c>
      <c r="D2423" s="4" t="n">
        <v>6.654999999999999</v>
      </c>
      <c r="E2423" s="5" t="n">
        <v>90.2</v>
      </c>
      <c r="F2423" s="3" t="inlineStr">
        <is>
          <t>남이면</t>
        </is>
      </c>
      <c r="G2423" s="3" t="inlineStr">
        <is>
          <t>가마리</t>
        </is>
      </c>
      <c r="H2423" s="3" t="inlineStr">
        <is>
          <t>자연녹지지역</t>
        </is>
      </c>
      <c r="I2423" s="3" t="inlineStr">
        <is>
          <t>대</t>
        </is>
      </c>
      <c r="J2423" s="3" t="inlineStr">
        <is>
          <t>남이면</t>
        </is>
      </c>
    </row>
    <row r="2424">
      <c r="A2424" s="3" t="n">
        <v>2022</v>
      </c>
      <c r="B2424" s="4" t="n">
        <v>25530</v>
      </c>
      <c r="C2424" s="4" t="n">
        <v>938</v>
      </c>
      <c r="D2424" s="4" t="n">
        <v>283.745</v>
      </c>
      <c r="E2424" s="5" t="n">
        <v>90</v>
      </c>
      <c r="F2424" s="3" t="inlineStr">
        <is>
          <t>남이면</t>
        </is>
      </c>
      <c r="G2424" s="3" t="inlineStr">
        <is>
          <t>가마리</t>
        </is>
      </c>
      <c r="H2424" s="3" t="inlineStr">
        <is>
          <t>자연녹지지역</t>
        </is>
      </c>
      <c r="I2424" s="3" t="inlineStr">
        <is>
          <t>대</t>
        </is>
      </c>
      <c r="J2424" s="3" t="inlineStr">
        <is>
          <t>남이면</t>
        </is>
      </c>
    </row>
    <row r="2425">
      <c r="A2425" s="3" t="n">
        <v>2022</v>
      </c>
      <c r="B2425" s="4" t="n">
        <v>1000</v>
      </c>
      <c r="C2425" s="4" t="n">
        <v>1000</v>
      </c>
      <c r="D2425" s="4" t="n">
        <v>302.5</v>
      </c>
      <c r="E2425" s="5" t="n">
        <v>3.3</v>
      </c>
      <c r="F2425" s="3" t="inlineStr">
        <is>
          <t>남이면</t>
        </is>
      </c>
      <c r="G2425" s="3" t="inlineStr">
        <is>
          <t>석판리</t>
        </is>
      </c>
      <c r="H2425" s="3" t="inlineStr">
        <is>
          <t>보전녹지지역</t>
        </is>
      </c>
      <c r="I2425" s="3" t="inlineStr">
        <is>
          <t>임야</t>
        </is>
      </c>
      <c r="J2425" s="3" t="inlineStr">
        <is>
          <t>남이면</t>
        </is>
      </c>
    </row>
    <row r="2426">
      <c r="A2426" s="3" t="n">
        <v>2022</v>
      </c>
      <c r="B2426" s="4" t="n">
        <v>1000</v>
      </c>
      <c r="C2426" s="4" t="n">
        <v>1000</v>
      </c>
      <c r="D2426" s="4" t="n">
        <v>302.5</v>
      </c>
      <c r="E2426" s="5" t="n">
        <v>3.3</v>
      </c>
      <c r="F2426" s="3" t="inlineStr">
        <is>
          <t>남이면</t>
        </is>
      </c>
      <c r="G2426" s="3" t="inlineStr">
        <is>
          <t>석판리</t>
        </is>
      </c>
      <c r="H2426" s="3" t="inlineStr">
        <is>
          <t>보전녹지지역</t>
        </is>
      </c>
      <c r="I2426" s="3" t="inlineStr">
        <is>
          <t>임야</t>
        </is>
      </c>
      <c r="J2426" s="3" t="inlineStr">
        <is>
          <t>남이면</t>
        </is>
      </c>
    </row>
    <row r="2427">
      <c r="A2427" s="3" t="n">
        <v>2022</v>
      </c>
      <c r="B2427" s="4" t="n">
        <v>1000</v>
      </c>
      <c r="C2427" s="4" t="n">
        <v>1000</v>
      </c>
      <c r="D2427" s="4" t="n">
        <v>302.5</v>
      </c>
      <c r="E2427" s="5" t="n">
        <v>3.3</v>
      </c>
      <c r="F2427" s="3" t="inlineStr">
        <is>
          <t>남이면</t>
        </is>
      </c>
      <c r="G2427" s="3" t="inlineStr">
        <is>
          <t>석판리</t>
        </is>
      </c>
      <c r="H2427" s="3" t="inlineStr">
        <is>
          <t>보전녹지지역</t>
        </is>
      </c>
      <c r="I2427" s="3" t="inlineStr">
        <is>
          <t>임야</t>
        </is>
      </c>
      <c r="J2427" s="3" t="inlineStr">
        <is>
          <t>남이면</t>
        </is>
      </c>
    </row>
    <row r="2428">
      <c r="A2428" s="3" t="n">
        <v>2022</v>
      </c>
      <c r="B2428" s="4" t="n">
        <v>693</v>
      </c>
      <c r="C2428" s="4" t="n">
        <v>693</v>
      </c>
      <c r="D2428" s="4" t="n">
        <v>209.6325</v>
      </c>
      <c r="E2428" s="5" t="n">
        <v>3.3</v>
      </c>
      <c r="F2428" s="3" t="inlineStr">
        <is>
          <t>남이면</t>
        </is>
      </c>
      <c r="G2428" s="3" t="inlineStr">
        <is>
          <t>석판리</t>
        </is>
      </c>
      <c r="H2428" s="3" t="inlineStr">
        <is>
          <t>보전녹지지역</t>
        </is>
      </c>
      <c r="I2428" s="3" t="inlineStr">
        <is>
          <t>임야</t>
        </is>
      </c>
      <c r="J2428" s="3" t="inlineStr">
        <is>
          <t>남이면</t>
        </is>
      </c>
    </row>
    <row r="2429">
      <c r="A2429" s="3" t="n">
        <v>2022</v>
      </c>
      <c r="B2429" s="4" t="n">
        <v>6020</v>
      </c>
      <c r="C2429" s="4" t="n">
        <v>94</v>
      </c>
      <c r="D2429" s="4" t="n">
        <v>28.435</v>
      </c>
      <c r="E2429" s="5" t="n">
        <v>211.7</v>
      </c>
      <c r="F2429" s="3" t="inlineStr">
        <is>
          <t>남이면</t>
        </is>
      </c>
      <c r="G2429" s="3" t="inlineStr">
        <is>
          <t>가마리</t>
        </is>
      </c>
      <c r="H2429" s="3" t="inlineStr">
        <is>
          <t>자연녹지지역</t>
        </is>
      </c>
      <c r="I2429" s="3" t="inlineStr">
        <is>
          <t>도로</t>
        </is>
      </c>
      <c r="J2429" s="3" t="inlineStr">
        <is>
          <t>남이면</t>
        </is>
      </c>
    </row>
    <row r="2430">
      <c r="A2430" s="3" t="n">
        <v>2022</v>
      </c>
      <c r="B2430" s="4" t="n">
        <v>1000</v>
      </c>
      <c r="C2430" s="4" t="n">
        <v>1000</v>
      </c>
      <c r="D2430" s="4" t="n">
        <v>302.5</v>
      </c>
      <c r="E2430" s="5" t="n">
        <v>3.3</v>
      </c>
      <c r="F2430" s="3" t="inlineStr">
        <is>
          <t>남이면</t>
        </is>
      </c>
      <c r="G2430" s="3" t="inlineStr">
        <is>
          <t>석판리</t>
        </is>
      </c>
      <c r="H2430" s="3" t="inlineStr">
        <is>
          <t>보전녹지지역</t>
        </is>
      </c>
      <c r="I2430" s="3" t="inlineStr">
        <is>
          <t>임야</t>
        </is>
      </c>
      <c r="J2430" s="3" t="inlineStr">
        <is>
          <t>남이면</t>
        </is>
      </c>
    </row>
    <row r="2431">
      <c r="A2431" s="3" t="n">
        <v>2022</v>
      </c>
      <c r="B2431" s="4" t="n">
        <v>9990</v>
      </c>
      <c r="C2431" s="4" t="n">
        <v>367</v>
      </c>
      <c r="D2431" s="4" t="n">
        <v>111.0175</v>
      </c>
      <c r="E2431" s="5" t="n">
        <v>90</v>
      </c>
      <c r="F2431" s="3" t="inlineStr">
        <is>
          <t>남이면</t>
        </is>
      </c>
      <c r="G2431" s="3" t="inlineStr">
        <is>
          <t>가마리</t>
        </is>
      </c>
      <c r="H2431" s="3" t="inlineStr">
        <is>
          <t>자연녹지지역</t>
        </is>
      </c>
      <c r="I2431" s="3" t="inlineStr">
        <is>
          <t>대</t>
        </is>
      </c>
      <c r="J2431" s="3" t="inlineStr">
        <is>
          <t>남이면</t>
        </is>
      </c>
    </row>
    <row r="2432">
      <c r="A2432" s="3" t="n">
        <v>2022</v>
      </c>
      <c r="B2432" s="4" t="n">
        <v>2120</v>
      </c>
      <c r="C2432" s="4" t="n">
        <v>78</v>
      </c>
      <c r="D2432" s="4" t="n">
        <v>23.595</v>
      </c>
      <c r="E2432" s="5" t="n">
        <v>89.8</v>
      </c>
      <c r="F2432" s="3" t="inlineStr">
        <is>
          <t>남이면</t>
        </is>
      </c>
      <c r="G2432" s="3" t="inlineStr">
        <is>
          <t>가마리</t>
        </is>
      </c>
      <c r="H2432" s="3" t="inlineStr">
        <is>
          <t>자연녹지지역</t>
        </is>
      </c>
      <c r="I2432" s="3" t="inlineStr">
        <is>
          <t>도로</t>
        </is>
      </c>
      <c r="J2432" s="3" t="inlineStr">
        <is>
          <t>남이면</t>
        </is>
      </c>
    </row>
    <row r="2433">
      <c r="A2433" s="3" t="n">
        <v>2022</v>
      </c>
      <c r="B2433" s="4" t="n">
        <v>10000</v>
      </c>
      <c r="C2433" s="4" t="n">
        <v>398</v>
      </c>
      <c r="D2433" s="4" t="n">
        <v>120.395</v>
      </c>
      <c r="E2433" s="5" t="n">
        <v>83.09999999999999</v>
      </c>
      <c r="F2433" s="3" t="inlineStr">
        <is>
          <t>남이면</t>
        </is>
      </c>
      <c r="G2433" s="3" t="inlineStr">
        <is>
          <t>구미리</t>
        </is>
      </c>
      <c r="H2433" s="3" t="inlineStr">
        <is>
          <t>계획관리지역</t>
        </is>
      </c>
      <c r="I2433" s="3" t="inlineStr">
        <is>
          <t>대</t>
        </is>
      </c>
      <c r="J2433" s="3" t="inlineStr">
        <is>
          <t>남이면</t>
        </is>
      </c>
    </row>
    <row r="2434">
      <c r="A2434" s="3" t="n">
        <v>2022</v>
      </c>
      <c r="B2434" s="4" t="n">
        <v>600</v>
      </c>
      <c r="C2434" s="4" t="n">
        <v>22</v>
      </c>
      <c r="D2434" s="4" t="n">
        <v>6.654999999999999</v>
      </c>
      <c r="E2434" s="5" t="n">
        <v>90.2</v>
      </c>
      <c r="F2434" s="3" t="inlineStr">
        <is>
          <t>남이면</t>
        </is>
      </c>
      <c r="G2434" s="3" t="inlineStr">
        <is>
          <t>가마리</t>
        </is>
      </c>
      <c r="H2434" s="3" t="inlineStr">
        <is>
          <t>자연녹지지역</t>
        </is>
      </c>
      <c r="I2434" s="3" t="inlineStr">
        <is>
          <t>대</t>
        </is>
      </c>
      <c r="J2434" s="3" t="inlineStr">
        <is>
          <t>남이면</t>
        </is>
      </c>
    </row>
    <row r="2435">
      <c r="A2435" s="3" t="n">
        <v>2022</v>
      </c>
      <c r="B2435" s="4" t="n">
        <v>25530</v>
      </c>
      <c r="C2435" s="4" t="n">
        <v>938</v>
      </c>
      <c r="D2435" s="4" t="n">
        <v>283.745</v>
      </c>
      <c r="E2435" s="5" t="n">
        <v>90</v>
      </c>
      <c r="F2435" s="3" t="inlineStr">
        <is>
          <t>남이면</t>
        </is>
      </c>
      <c r="G2435" s="3" t="inlineStr">
        <is>
          <t>가마리</t>
        </is>
      </c>
      <c r="H2435" s="3" t="inlineStr">
        <is>
          <t>자연녹지지역</t>
        </is>
      </c>
      <c r="I2435" s="3" t="inlineStr">
        <is>
          <t>대</t>
        </is>
      </c>
      <c r="J2435" s="3" t="inlineStr">
        <is>
          <t>남이면</t>
        </is>
      </c>
    </row>
    <row r="2436">
      <c r="A2436" s="3" t="n">
        <v>2022</v>
      </c>
      <c r="B2436" s="4" t="n">
        <v>73134</v>
      </c>
      <c r="C2436" s="4" t="n">
        <v>4449</v>
      </c>
      <c r="D2436" s="4" t="n">
        <v>1345.8225</v>
      </c>
      <c r="E2436" s="5" t="n">
        <v>54.3</v>
      </c>
      <c r="F2436" s="3" t="inlineStr">
        <is>
          <t>남이면</t>
        </is>
      </c>
      <c r="G2436" s="3" t="inlineStr">
        <is>
          <t>가마리</t>
        </is>
      </c>
      <c r="H2436" s="3" t="inlineStr">
        <is>
          <t>보전녹지지역</t>
        </is>
      </c>
      <c r="I2436" s="3" t="inlineStr">
        <is>
          <t>임야</t>
        </is>
      </c>
      <c r="J2436" s="3" t="inlineStr">
        <is>
          <t>남이면</t>
        </is>
      </c>
    </row>
    <row r="2437">
      <c r="A2437" s="3" t="n">
        <v>2022</v>
      </c>
      <c r="B2437" s="4" t="n">
        <v>2400</v>
      </c>
      <c r="C2437" s="4" t="n">
        <v>99</v>
      </c>
      <c r="D2437" s="4" t="n">
        <v>29.9475</v>
      </c>
      <c r="E2437" s="5" t="n">
        <v>80.09999999999999</v>
      </c>
      <c r="F2437" s="3" t="inlineStr">
        <is>
          <t>남이면</t>
        </is>
      </c>
      <c r="G2437" s="3" t="inlineStr">
        <is>
          <t>구미리</t>
        </is>
      </c>
      <c r="H2437" s="3" t="inlineStr">
        <is>
          <t>계획관리지역</t>
        </is>
      </c>
      <c r="I2437" s="3" t="inlineStr">
        <is>
          <t>전</t>
        </is>
      </c>
      <c r="J2437" s="3" t="inlineStr">
        <is>
          <t>남이면</t>
        </is>
      </c>
    </row>
    <row r="2438">
      <c r="A2438" s="3" t="n">
        <v>2022</v>
      </c>
      <c r="B2438" s="4" t="n">
        <v>47600</v>
      </c>
      <c r="C2438" s="4" t="n">
        <v>1574</v>
      </c>
      <c r="D2438" s="4" t="n">
        <v>476.135</v>
      </c>
      <c r="E2438" s="5" t="n">
        <v>100</v>
      </c>
      <c r="F2438" s="3" t="inlineStr">
        <is>
          <t>남이면</t>
        </is>
      </c>
      <c r="G2438" s="3" t="inlineStr">
        <is>
          <t>석판리</t>
        </is>
      </c>
      <c r="H2438" s="3" t="inlineStr">
        <is>
          <t>자연녹지지역</t>
        </is>
      </c>
      <c r="I2438" s="3" t="inlineStr">
        <is>
          <t>답</t>
        </is>
      </c>
      <c r="J2438" s="3" t="inlineStr">
        <is>
          <t>남이면</t>
        </is>
      </c>
    </row>
    <row r="2439">
      <c r="A2439" s="3" t="n">
        <v>2022</v>
      </c>
      <c r="B2439" s="4" t="n">
        <v>5200</v>
      </c>
      <c r="C2439" s="4" t="n">
        <v>172</v>
      </c>
      <c r="D2439" s="4" t="n">
        <v>52.03</v>
      </c>
      <c r="E2439" s="5" t="n">
        <v>99.90000000000001</v>
      </c>
      <c r="F2439" s="3" t="inlineStr">
        <is>
          <t>남이면</t>
        </is>
      </c>
      <c r="G2439" s="3" t="inlineStr">
        <is>
          <t>석판리</t>
        </is>
      </c>
      <c r="H2439" s="3" t="inlineStr">
        <is>
          <t>자연녹지지역</t>
        </is>
      </c>
      <c r="I2439" s="3" t="inlineStr">
        <is>
          <t>답</t>
        </is>
      </c>
      <c r="J2439" s="3" t="inlineStr">
        <is>
          <t>남이면</t>
        </is>
      </c>
    </row>
    <row r="2440">
      <c r="A2440" s="3" t="n">
        <v>2022</v>
      </c>
      <c r="B2440" s="4" t="n">
        <v>6000</v>
      </c>
      <c r="C2440" s="4" t="n">
        <v>483</v>
      </c>
      <c r="D2440" s="4" t="n">
        <v>146.1075</v>
      </c>
      <c r="E2440" s="5" t="n">
        <v>41.1</v>
      </c>
      <c r="F2440" s="3" t="inlineStr">
        <is>
          <t>남이면</t>
        </is>
      </c>
      <c r="G2440" s="3" t="inlineStr">
        <is>
          <t>산막리</t>
        </is>
      </c>
      <c r="H2440" s="3" t="inlineStr">
        <is>
          <t>계획관리지역</t>
        </is>
      </c>
      <c r="I2440" s="3" t="inlineStr">
        <is>
          <t>대</t>
        </is>
      </c>
      <c r="J2440" s="3" t="inlineStr">
        <is>
          <t>남이면</t>
        </is>
      </c>
    </row>
    <row r="2441">
      <c r="A2441" s="3" t="n">
        <v>2022</v>
      </c>
      <c r="B2441" s="4" t="n">
        <v>17000</v>
      </c>
      <c r="C2441" s="4" t="n">
        <v>14777</v>
      </c>
      <c r="D2441" s="4" t="n">
        <v>4470.0425</v>
      </c>
      <c r="E2441" s="5" t="n">
        <v>3.8</v>
      </c>
      <c r="F2441" s="3" t="inlineStr">
        <is>
          <t>남이면</t>
        </is>
      </c>
      <c r="G2441" s="3" t="inlineStr">
        <is>
          <t>산막리</t>
        </is>
      </c>
      <c r="H2441" s="3" t="inlineStr">
        <is>
          <t>보전관리지역</t>
        </is>
      </c>
      <c r="I2441" s="3" t="inlineStr">
        <is>
          <t>임야</t>
        </is>
      </c>
      <c r="J2441" s="3" t="inlineStr">
        <is>
          <t>남이면</t>
        </is>
      </c>
    </row>
    <row r="2442">
      <c r="A2442" s="3" t="n">
        <v>2022</v>
      </c>
      <c r="B2442" s="4" t="n">
        <v>4958</v>
      </c>
      <c r="C2442" s="4" t="n">
        <v>82</v>
      </c>
      <c r="D2442" s="4" t="n">
        <v>24.805</v>
      </c>
      <c r="E2442" s="5" t="n">
        <v>199.9</v>
      </c>
      <c r="F2442" s="3" t="inlineStr">
        <is>
          <t>남이면</t>
        </is>
      </c>
      <c r="G2442" s="3" t="inlineStr">
        <is>
          <t>수대리</t>
        </is>
      </c>
      <c r="H2442" s="3" t="inlineStr">
        <is>
          <t>자연녹지지역</t>
        </is>
      </c>
      <c r="I2442" s="3" t="inlineStr">
        <is>
          <t>도로</t>
        </is>
      </c>
      <c r="J2442" s="3" t="inlineStr">
        <is>
          <t>남이면</t>
        </is>
      </c>
    </row>
    <row r="2443">
      <c r="A2443" s="3" t="n">
        <v>2022</v>
      </c>
      <c r="B2443" s="4" t="n">
        <v>3507</v>
      </c>
      <c r="C2443" s="4" t="n">
        <v>58</v>
      </c>
      <c r="D2443" s="4" t="n">
        <v>17.545</v>
      </c>
      <c r="E2443" s="5" t="n">
        <v>199.9</v>
      </c>
      <c r="F2443" s="3" t="inlineStr">
        <is>
          <t>남이면</t>
        </is>
      </c>
      <c r="G2443" s="3" t="inlineStr">
        <is>
          <t>수대리</t>
        </is>
      </c>
      <c r="H2443" s="3" t="inlineStr">
        <is>
          <t>자연녹지지역</t>
        </is>
      </c>
      <c r="I2443" s="3" t="inlineStr">
        <is>
          <t>도로</t>
        </is>
      </c>
      <c r="J2443" s="3" t="inlineStr">
        <is>
          <t>남이면</t>
        </is>
      </c>
    </row>
    <row r="2444">
      <c r="A2444" s="3" t="n">
        <v>2022</v>
      </c>
      <c r="B2444" s="4" t="n">
        <v>53935</v>
      </c>
      <c r="C2444" s="4" t="n">
        <v>892</v>
      </c>
      <c r="D2444" s="4" t="n">
        <v>269.83</v>
      </c>
      <c r="E2444" s="5" t="n">
        <v>199.9</v>
      </c>
      <c r="F2444" s="3" t="inlineStr">
        <is>
          <t>남이면</t>
        </is>
      </c>
      <c r="G2444" s="3" t="inlineStr">
        <is>
          <t>수대리</t>
        </is>
      </c>
      <c r="H2444" s="3" t="inlineStr">
        <is>
          <t>자연녹지지역</t>
        </is>
      </c>
      <c r="I2444" s="3" t="inlineStr">
        <is>
          <t>임야</t>
        </is>
      </c>
      <c r="J2444" s="3" t="inlineStr">
        <is>
          <t>남이면</t>
        </is>
      </c>
    </row>
    <row r="2445">
      <c r="A2445" s="3" t="n">
        <v>2022</v>
      </c>
      <c r="B2445" s="4" t="n">
        <v>37000</v>
      </c>
      <c r="C2445" s="4" t="n">
        <v>1328</v>
      </c>
      <c r="D2445" s="4" t="n">
        <v>401.72</v>
      </c>
      <c r="E2445" s="5" t="n">
        <v>92.09999999999999</v>
      </c>
      <c r="F2445" s="3" t="inlineStr">
        <is>
          <t>남이면</t>
        </is>
      </c>
      <c r="G2445" s="3" t="inlineStr">
        <is>
          <t>문동리</t>
        </is>
      </c>
      <c r="H2445" s="3" t="inlineStr">
        <is>
          <t>보전녹지지역</t>
        </is>
      </c>
      <c r="I2445" s="3" t="inlineStr">
        <is>
          <t>임야</t>
        </is>
      </c>
      <c r="J2445" s="3" t="inlineStr">
        <is>
          <t>남이면</t>
        </is>
      </c>
    </row>
    <row r="2446">
      <c r="A2446" s="3" t="n">
        <v>2022</v>
      </c>
      <c r="B2446" s="4" t="n">
        <v>2621</v>
      </c>
      <c r="C2446" s="4" t="n">
        <v>261</v>
      </c>
      <c r="D2446" s="4" t="n">
        <v>78.9525</v>
      </c>
      <c r="E2446" s="5" t="n">
        <v>33.2</v>
      </c>
      <c r="F2446" s="3" t="inlineStr">
        <is>
          <t>남이면</t>
        </is>
      </c>
      <c r="G2446" s="3" t="inlineStr">
        <is>
          <t>산막리</t>
        </is>
      </c>
      <c r="H2446" s="3" t="inlineStr">
        <is>
          <t>생산관리지역</t>
        </is>
      </c>
      <c r="I2446" s="3" t="inlineStr">
        <is>
          <t>전</t>
        </is>
      </c>
      <c r="J2446" s="3" t="inlineStr">
        <is>
          <t>남이면</t>
        </is>
      </c>
    </row>
    <row r="2447">
      <c r="A2447" s="3" t="n">
        <v>2022</v>
      </c>
      <c r="B2447" s="4" t="n">
        <v>39000</v>
      </c>
      <c r="C2447" s="4" t="n">
        <v>2466</v>
      </c>
      <c r="D2447" s="4" t="n">
        <v>745.965</v>
      </c>
      <c r="E2447" s="5" t="n">
        <v>52.3</v>
      </c>
      <c r="F2447" s="3" t="inlineStr">
        <is>
          <t>강내면</t>
        </is>
      </c>
      <c r="G2447" s="3" t="inlineStr">
        <is>
          <t>학천리</t>
        </is>
      </c>
      <c r="H2447" s="3" t="inlineStr">
        <is>
          <t>자연녹지지역</t>
        </is>
      </c>
      <c r="I2447" s="3" t="inlineStr">
        <is>
          <t>전</t>
        </is>
      </c>
      <c r="J2447" s="3" t="inlineStr">
        <is>
          <t>강내면</t>
        </is>
      </c>
    </row>
    <row r="2448">
      <c r="A2448" s="3" t="n">
        <v>2022</v>
      </c>
      <c r="B2448" s="4" t="n">
        <v>26072</v>
      </c>
      <c r="C2448" s="4" t="n">
        <v>1928</v>
      </c>
      <c r="D2448" s="4" t="n">
        <v>583.22</v>
      </c>
      <c r="E2448" s="5" t="n">
        <v>44.7</v>
      </c>
      <c r="F2448" s="3" t="inlineStr">
        <is>
          <t>오송읍</t>
        </is>
      </c>
      <c r="G2448" s="3" t="inlineStr">
        <is>
          <t>상정리</t>
        </is>
      </c>
      <c r="H2448" s="3" t="inlineStr">
        <is>
          <t>농림지역</t>
        </is>
      </c>
      <c r="I2448" s="3" t="inlineStr">
        <is>
          <t>답</t>
        </is>
      </c>
      <c r="J2448" s="3" t="inlineStr">
        <is>
          <t>오송읍</t>
        </is>
      </c>
    </row>
    <row r="2449">
      <c r="A2449" s="3" t="n">
        <v>2022</v>
      </c>
      <c r="B2449" s="4" t="n">
        <v>10428</v>
      </c>
      <c r="C2449" s="4" t="n">
        <v>771</v>
      </c>
      <c r="D2449" s="4" t="n">
        <v>233.2275</v>
      </c>
      <c r="E2449" s="5" t="n">
        <v>44.7</v>
      </c>
      <c r="F2449" s="3" t="inlineStr">
        <is>
          <t>오송읍</t>
        </is>
      </c>
      <c r="G2449" s="3" t="inlineStr">
        <is>
          <t>상정리</t>
        </is>
      </c>
      <c r="H2449" s="3" t="inlineStr">
        <is>
          <t>농림지역</t>
        </is>
      </c>
      <c r="I2449" s="3" t="inlineStr">
        <is>
          <t>답</t>
        </is>
      </c>
      <c r="J2449" s="3" t="inlineStr">
        <is>
          <t>오송읍</t>
        </is>
      </c>
    </row>
    <row r="2450">
      <c r="A2450" s="3" t="n">
        <v>2022</v>
      </c>
      <c r="B2450" s="4" t="n">
        <v>50000</v>
      </c>
      <c r="C2450" s="4" t="n">
        <v>1475</v>
      </c>
      <c r="D2450" s="4" t="n">
        <v>446.1875</v>
      </c>
      <c r="E2450" s="5" t="n">
        <v>112.1</v>
      </c>
      <c r="F2450" s="3" t="inlineStr">
        <is>
          <t>강내면</t>
        </is>
      </c>
      <c r="G2450" s="3" t="inlineStr">
        <is>
          <t>연정리</t>
        </is>
      </c>
      <c r="H2450" s="3" t="inlineStr">
        <is>
          <t>계획관리지역</t>
        </is>
      </c>
      <c r="I2450" s="3" t="inlineStr">
        <is>
          <t>임야</t>
        </is>
      </c>
      <c r="J2450" s="3" t="inlineStr">
        <is>
          <t>강내면</t>
        </is>
      </c>
    </row>
    <row r="2451">
      <c r="A2451" s="3" t="n">
        <v>2022</v>
      </c>
      <c r="B2451" s="4" t="n">
        <v>1000</v>
      </c>
      <c r="C2451" s="4" t="n">
        <v>357</v>
      </c>
      <c r="D2451" s="4" t="n">
        <v>107.9925</v>
      </c>
      <c r="E2451" s="5" t="n">
        <v>9.300000000000001</v>
      </c>
      <c r="F2451" s="3" t="inlineStr">
        <is>
          <t>오송읍</t>
        </is>
      </c>
      <c r="G2451" s="3" t="inlineStr">
        <is>
          <t>호계리</t>
        </is>
      </c>
      <c r="H2451" s="3" t="inlineStr">
        <is>
          <t>계획관리지역</t>
        </is>
      </c>
      <c r="I2451" s="3" t="inlineStr">
        <is>
          <t>전</t>
        </is>
      </c>
      <c r="J2451" s="3" t="inlineStr">
        <is>
          <t>오송읍</t>
        </is>
      </c>
    </row>
    <row r="2452">
      <c r="A2452" s="3" t="n">
        <v>2022</v>
      </c>
      <c r="B2452" s="4" t="n">
        <v>70000</v>
      </c>
      <c r="C2452" s="4" t="n">
        <v>3798</v>
      </c>
      <c r="D2452" s="4" t="n">
        <v>1148.895</v>
      </c>
      <c r="E2452" s="5" t="n">
        <v>60.9</v>
      </c>
      <c r="F2452" s="3" t="inlineStr">
        <is>
          <t>오송읍</t>
        </is>
      </c>
      <c r="G2452" s="3" t="inlineStr">
        <is>
          <t>쌍청리</t>
        </is>
      </c>
      <c r="H2452" s="3" t="inlineStr">
        <is>
          <t>농림지역</t>
        </is>
      </c>
      <c r="I2452" s="3" t="inlineStr">
        <is>
          <t>답</t>
        </is>
      </c>
      <c r="J2452" s="3" t="inlineStr">
        <is>
          <t>오송읍</t>
        </is>
      </c>
    </row>
    <row r="2453">
      <c r="A2453" s="3" t="n">
        <v>2022</v>
      </c>
      <c r="B2453" s="4" t="n">
        <v>200</v>
      </c>
      <c r="C2453" s="4" t="n">
        <v>17</v>
      </c>
      <c r="D2453" s="4" t="n">
        <v>5.1425</v>
      </c>
      <c r="E2453" s="5" t="n">
        <v>38.9</v>
      </c>
      <c r="F2453" s="3" t="inlineStr">
        <is>
          <t>강내면</t>
        </is>
      </c>
      <c r="G2453" s="3" t="inlineStr">
        <is>
          <t>산단리</t>
        </is>
      </c>
      <c r="H2453" s="3" t="inlineStr">
        <is>
          <t>계획관리지역</t>
        </is>
      </c>
      <c r="I2453" s="3" t="inlineStr">
        <is>
          <t>도로</t>
        </is>
      </c>
      <c r="J2453" s="3" t="inlineStr">
        <is>
          <t>강내면</t>
        </is>
      </c>
    </row>
    <row r="2454">
      <c r="A2454" s="3" t="n">
        <v>2022</v>
      </c>
      <c r="B2454" s="4" t="n">
        <v>26500</v>
      </c>
      <c r="C2454" s="4" t="n">
        <v>1819</v>
      </c>
      <c r="D2454" s="4" t="n">
        <v>550.2474999999999</v>
      </c>
      <c r="E2454" s="5" t="n">
        <v>48.2</v>
      </c>
      <c r="F2454" s="3" t="inlineStr">
        <is>
          <t>강내면</t>
        </is>
      </c>
      <c r="G2454" s="3" t="inlineStr">
        <is>
          <t>당곡리</t>
        </is>
      </c>
      <c r="H2454" s="3" t="inlineStr">
        <is>
          <t>농림지역</t>
        </is>
      </c>
      <c r="I2454" s="3" t="inlineStr">
        <is>
          <t>답</t>
        </is>
      </c>
      <c r="J2454" s="3" t="inlineStr">
        <is>
          <t>강내면</t>
        </is>
      </c>
    </row>
    <row r="2455">
      <c r="A2455" s="3" t="n">
        <v>2022</v>
      </c>
      <c r="B2455" s="4" t="n">
        <v>28450</v>
      </c>
      <c r="C2455" s="4" t="n">
        <v>1537</v>
      </c>
      <c r="D2455" s="4" t="n">
        <v>464.9425</v>
      </c>
      <c r="E2455" s="5" t="n">
        <v>61.2</v>
      </c>
      <c r="F2455" s="3" t="inlineStr">
        <is>
          <t>오송읍</t>
        </is>
      </c>
      <c r="G2455" s="3" t="inlineStr">
        <is>
          <t>오송리</t>
        </is>
      </c>
      <c r="H2455" s="3" t="inlineStr">
        <is>
          <t>농림지역</t>
        </is>
      </c>
      <c r="I2455" s="3" t="inlineStr">
        <is>
          <t>전</t>
        </is>
      </c>
      <c r="J2455" s="3" t="inlineStr">
        <is>
          <t>오송읍</t>
        </is>
      </c>
    </row>
    <row r="2456">
      <c r="A2456" s="3" t="n">
        <v>2022</v>
      </c>
      <c r="B2456" s="4" t="n">
        <v>1550</v>
      </c>
      <c r="C2456" s="4" t="n">
        <v>84</v>
      </c>
      <c r="D2456" s="4" t="n">
        <v>25.41</v>
      </c>
      <c r="E2456" s="5" t="n">
        <v>61</v>
      </c>
      <c r="F2456" s="3" t="inlineStr">
        <is>
          <t>오송읍</t>
        </is>
      </c>
      <c r="G2456" s="3" t="inlineStr">
        <is>
          <t>오송리</t>
        </is>
      </c>
      <c r="H2456" s="3" t="inlineStr">
        <is>
          <t>농림지역</t>
        </is>
      </c>
      <c r="I2456" s="3" t="inlineStr">
        <is>
          <t>전</t>
        </is>
      </c>
      <c r="J2456" s="3" t="inlineStr">
        <is>
          <t>오송읍</t>
        </is>
      </c>
    </row>
    <row r="2457">
      <c r="A2457" s="3" t="n">
        <v>2022</v>
      </c>
      <c r="B2457" s="4" t="n">
        <v>3950</v>
      </c>
      <c r="C2457" s="4" t="n">
        <v>162</v>
      </c>
      <c r="D2457" s="4" t="n">
        <v>49.005</v>
      </c>
      <c r="E2457" s="5" t="n">
        <v>80.59999999999999</v>
      </c>
      <c r="F2457" s="3" t="inlineStr">
        <is>
          <t>강내면</t>
        </is>
      </c>
      <c r="G2457" s="3" t="inlineStr">
        <is>
          <t>저산리</t>
        </is>
      </c>
      <c r="H2457" s="3" t="inlineStr">
        <is>
          <t>계획관리지역</t>
        </is>
      </c>
      <c r="I2457" s="3" t="inlineStr">
        <is>
          <t>임야</t>
        </is>
      </c>
      <c r="J2457" s="3" t="inlineStr">
        <is>
          <t>강내면</t>
        </is>
      </c>
    </row>
    <row r="2458">
      <c r="A2458" s="3" t="n">
        <v>2022</v>
      </c>
      <c r="B2458" s="4" t="n">
        <v>1000</v>
      </c>
      <c r="C2458" s="4" t="n">
        <v>202</v>
      </c>
      <c r="D2458" s="4" t="n">
        <v>61.105</v>
      </c>
      <c r="E2458" s="5" t="n">
        <v>16.4</v>
      </c>
      <c r="F2458" s="3" t="inlineStr">
        <is>
          <t>오송읍</t>
        </is>
      </c>
      <c r="G2458" s="3" t="inlineStr">
        <is>
          <t>상봉리</t>
        </is>
      </c>
      <c r="H2458" s="3" t="inlineStr">
        <is>
          <t>생산관리지역</t>
        </is>
      </c>
      <c r="I2458" s="3" t="inlineStr">
        <is>
          <t>도로</t>
        </is>
      </c>
      <c r="J2458" s="3" t="inlineStr">
        <is>
          <t>오송읍</t>
        </is>
      </c>
    </row>
    <row r="2459">
      <c r="A2459" s="3" t="n">
        <v>2022</v>
      </c>
      <c r="B2459" s="4" t="n">
        <v>11400</v>
      </c>
      <c r="C2459" s="4" t="n">
        <v>397</v>
      </c>
      <c r="D2459" s="4" t="n">
        <v>120.0925</v>
      </c>
      <c r="E2459" s="5" t="n">
        <v>94.90000000000001</v>
      </c>
      <c r="F2459" s="3" t="inlineStr">
        <is>
          <t>강내면</t>
        </is>
      </c>
      <c r="G2459" s="3" t="inlineStr">
        <is>
          <t>궁현리</t>
        </is>
      </c>
      <c r="H2459" s="3" t="inlineStr">
        <is>
          <t>보전관리지역</t>
        </is>
      </c>
      <c r="I2459" s="3" t="inlineStr">
        <is>
          <t>묘지</t>
        </is>
      </c>
      <c r="J2459" s="3" t="inlineStr">
        <is>
          <t>강내면</t>
        </is>
      </c>
    </row>
    <row r="2460">
      <c r="A2460" s="3" t="n">
        <v>2022</v>
      </c>
      <c r="B2460" s="4" t="n">
        <v>38000</v>
      </c>
      <c r="C2460" s="4" t="n">
        <v>247</v>
      </c>
      <c r="D2460" s="4" t="n">
        <v>74.7175</v>
      </c>
      <c r="E2460" s="5" t="n">
        <v>508.6</v>
      </c>
      <c r="F2460" s="3" t="inlineStr">
        <is>
          <t>오송읍</t>
        </is>
      </c>
      <c r="G2460" s="3" t="inlineStr">
        <is>
          <t>봉산리</t>
        </is>
      </c>
      <c r="H2460" s="3" t="inlineStr">
        <is>
          <t>제1종일반주거지역</t>
        </is>
      </c>
      <c r="I2460" s="3" t="inlineStr">
        <is>
          <t>대</t>
        </is>
      </c>
      <c r="J2460" s="3" t="inlineStr">
        <is>
          <t>오송읍</t>
        </is>
      </c>
    </row>
    <row r="2461">
      <c r="A2461" s="3" t="n">
        <v>2022</v>
      </c>
      <c r="B2461" s="4" t="n">
        <v>500</v>
      </c>
      <c r="C2461" s="4" t="n">
        <v>94</v>
      </c>
      <c r="D2461" s="4" t="n">
        <v>28.435</v>
      </c>
      <c r="E2461" s="5" t="n">
        <v>17.6</v>
      </c>
      <c r="F2461" s="3" t="inlineStr">
        <is>
          <t>강내면</t>
        </is>
      </c>
      <c r="G2461" s="3" t="inlineStr">
        <is>
          <t>학천리</t>
        </is>
      </c>
      <c r="H2461" s="3" t="inlineStr">
        <is>
          <t>생산녹지지역</t>
        </is>
      </c>
      <c r="I2461" s="3" t="inlineStr">
        <is>
          <t>답</t>
        </is>
      </c>
      <c r="J2461" s="3" t="inlineStr">
        <is>
          <t>강내면</t>
        </is>
      </c>
    </row>
    <row r="2462">
      <c r="A2462" s="3" t="n">
        <v>2022</v>
      </c>
      <c r="B2462" s="4" t="n">
        <v>4000</v>
      </c>
      <c r="C2462" s="4" t="n">
        <v>780</v>
      </c>
      <c r="D2462" s="4" t="n">
        <v>235.95</v>
      </c>
      <c r="E2462" s="5" t="n">
        <v>17</v>
      </c>
      <c r="F2462" s="3" t="inlineStr">
        <is>
          <t>강내면</t>
        </is>
      </c>
      <c r="G2462" s="3" t="inlineStr">
        <is>
          <t>학천리</t>
        </is>
      </c>
      <c r="H2462" s="3" t="inlineStr">
        <is>
          <t>생산녹지지역</t>
        </is>
      </c>
      <c r="I2462" s="3" t="inlineStr">
        <is>
          <t>답</t>
        </is>
      </c>
      <c r="J2462" s="3" t="inlineStr">
        <is>
          <t>강내면</t>
        </is>
      </c>
    </row>
    <row r="2463">
      <c r="A2463" s="3" t="n">
        <v>2022</v>
      </c>
      <c r="B2463" s="4" t="n">
        <v>41000</v>
      </c>
      <c r="C2463" s="4" t="n">
        <v>470</v>
      </c>
      <c r="D2463" s="4" t="n">
        <v>142.175</v>
      </c>
      <c r="E2463" s="5" t="n">
        <v>288.4</v>
      </c>
      <c r="F2463" s="3" t="inlineStr">
        <is>
          <t>강내면</t>
        </is>
      </c>
      <c r="G2463" s="3" t="inlineStr">
        <is>
          <t>탑연리</t>
        </is>
      </c>
      <c r="H2463" s="3" t="inlineStr">
        <is>
          <t>자연녹지지역</t>
        </is>
      </c>
      <c r="I2463" s="3" t="inlineStr">
        <is>
          <t>답</t>
        </is>
      </c>
      <c r="J2463" s="3" t="inlineStr">
        <is>
          <t>강내면</t>
        </is>
      </c>
    </row>
    <row r="2464">
      <c r="A2464" s="3" t="n">
        <v>2022</v>
      </c>
      <c r="B2464" s="4" t="n">
        <v>1400</v>
      </c>
      <c r="C2464" s="4" t="n">
        <v>272</v>
      </c>
      <c r="D2464" s="4" t="n">
        <v>82.28</v>
      </c>
      <c r="E2464" s="5" t="n">
        <v>17</v>
      </c>
      <c r="F2464" s="3" t="inlineStr">
        <is>
          <t>강내면</t>
        </is>
      </c>
      <c r="G2464" s="3" t="inlineStr">
        <is>
          <t>학천리</t>
        </is>
      </c>
      <c r="H2464" s="3" t="inlineStr">
        <is>
          <t>생산녹지지역</t>
        </is>
      </c>
      <c r="I2464" s="3" t="inlineStr">
        <is>
          <t>답</t>
        </is>
      </c>
      <c r="J2464" s="3" t="inlineStr">
        <is>
          <t>강내면</t>
        </is>
      </c>
    </row>
    <row r="2465">
      <c r="A2465" s="3" t="n">
        <v>2022</v>
      </c>
      <c r="B2465" s="4" t="n">
        <v>43000</v>
      </c>
      <c r="C2465" s="4" t="n">
        <v>287</v>
      </c>
      <c r="D2465" s="4" t="n">
        <v>86.8175</v>
      </c>
      <c r="E2465" s="5" t="n">
        <v>495.3</v>
      </c>
      <c r="F2465" s="3" t="inlineStr">
        <is>
          <t>오송읍</t>
        </is>
      </c>
      <c r="G2465" s="3" t="inlineStr">
        <is>
          <t>봉산리</t>
        </is>
      </c>
      <c r="H2465" s="3" t="inlineStr">
        <is>
          <t>제1종일반주거지역</t>
        </is>
      </c>
      <c r="I2465" s="3" t="inlineStr">
        <is>
          <t>대</t>
        </is>
      </c>
      <c r="J2465" s="3" t="inlineStr">
        <is>
          <t>오송읍</t>
        </is>
      </c>
    </row>
    <row r="2466">
      <c r="A2466" s="3" t="n">
        <v>2022</v>
      </c>
      <c r="B2466" s="4" t="n">
        <v>27000</v>
      </c>
      <c r="C2466" s="4" t="n">
        <v>653</v>
      </c>
      <c r="D2466" s="4" t="n">
        <v>197.5325</v>
      </c>
      <c r="E2466" s="5" t="n">
        <v>136.7</v>
      </c>
      <c r="F2466" s="3" t="inlineStr">
        <is>
          <t>오송읍</t>
        </is>
      </c>
      <c r="G2466" s="3" t="inlineStr">
        <is>
          <t>공북리</t>
        </is>
      </c>
      <c r="H2466" s="3" t="inlineStr">
        <is>
          <t>계획관리지역</t>
        </is>
      </c>
      <c r="I2466" s="3" t="inlineStr">
        <is>
          <t>전</t>
        </is>
      </c>
      <c r="J2466" s="3" t="inlineStr">
        <is>
          <t>오송읍</t>
        </is>
      </c>
    </row>
    <row r="2467">
      <c r="A2467" s="3" t="n">
        <v>2022</v>
      </c>
      <c r="B2467" s="4" t="n">
        <v>35000</v>
      </c>
      <c r="C2467" s="4" t="n">
        <v>2939</v>
      </c>
      <c r="D2467" s="4" t="n">
        <v>889.0475</v>
      </c>
      <c r="E2467" s="5" t="n">
        <v>39.4</v>
      </c>
      <c r="F2467" s="3" t="inlineStr">
        <is>
          <t>강내면</t>
        </is>
      </c>
      <c r="G2467" s="3" t="inlineStr">
        <is>
          <t>사인리</t>
        </is>
      </c>
      <c r="H2467" s="3" t="inlineStr">
        <is>
          <t>생산녹지지역</t>
        </is>
      </c>
      <c r="I2467" s="3" t="inlineStr">
        <is>
          <t>답</t>
        </is>
      </c>
      <c r="J2467" s="3" t="inlineStr">
        <is>
          <t>강내면</t>
        </is>
      </c>
    </row>
    <row r="2468">
      <c r="A2468" s="3" t="n">
        <v>2022</v>
      </c>
      <c r="B2468" s="4" t="n">
        <v>10500</v>
      </c>
      <c r="C2468" s="4" t="n">
        <v>466</v>
      </c>
      <c r="D2468" s="4" t="n">
        <v>140.965</v>
      </c>
      <c r="E2468" s="5" t="n">
        <v>74.5</v>
      </c>
      <c r="F2468" s="3" t="inlineStr">
        <is>
          <t>강내면</t>
        </is>
      </c>
      <c r="G2468" s="3" t="inlineStr">
        <is>
          <t>저산리</t>
        </is>
      </c>
      <c r="H2468" s="3" t="inlineStr">
        <is>
          <t>계획관리지역</t>
        </is>
      </c>
      <c r="I2468" s="3" t="inlineStr">
        <is>
          <t>답</t>
        </is>
      </c>
      <c r="J2468" s="3" t="inlineStr">
        <is>
          <t>강내면</t>
        </is>
      </c>
    </row>
    <row r="2469">
      <c r="A2469" s="3" t="n">
        <v>2022</v>
      </c>
      <c r="B2469" s="4" t="n">
        <v>21000</v>
      </c>
      <c r="C2469" s="4" t="n">
        <v>2165</v>
      </c>
      <c r="D2469" s="4" t="n">
        <v>654.9125</v>
      </c>
      <c r="E2469" s="5" t="n">
        <v>32.1</v>
      </c>
      <c r="F2469" s="3" t="inlineStr">
        <is>
          <t>강내면</t>
        </is>
      </c>
      <c r="G2469" s="3" t="inlineStr">
        <is>
          <t>학천리</t>
        </is>
      </c>
      <c r="H2469" s="3" t="inlineStr">
        <is>
          <t>생산녹지지역</t>
        </is>
      </c>
      <c r="I2469" s="3" t="inlineStr">
        <is>
          <t>답</t>
        </is>
      </c>
      <c r="J2469" s="3" t="inlineStr">
        <is>
          <t>강내면</t>
        </is>
      </c>
    </row>
    <row r="2470">
      <c r="A2470" s="3" t="n">
        <v>2022</v>
      </c>
      <c r="B2470" s="4" t="n">
        <v>2175</v>
      </c>
      <c r="C2470" s="4" t="n">
        <v>96</v>
      </c>
      <c r="D2470" s="4" t="n">
        <v>29.04</v>
      </c>
      <c r="E2470" s="5" t="n">
        <v>74.90000000000001</v>
      </c>
      <c r="F2470" s="3" t="inlineStr">
        <is>
          <t>강내면</t>
        </is>
      </c>
      <c r="G2470" s="3" t="inlineStr">
        <is>
          <t>저산리</t>
        </is>
      </c>
      <c r="H2470" s="3" t="inlineStr">
        <is>
          <t>계획관리지역</t>
        </is>
      </c>
      <c r="I2470" s="3" t="inlineStr">
        <is>
          <t>답</t>
        </is>
      </c>
      <c r="J2470" s="3" t="inlineStr">
        <is>
          <t>강내면</t>
        </is>
      </c>
    </row>
    <row r="2471">
      <c r="A2471" s="3" t="n">
        <v>2022</v>
      </c>
      <c r="B2471" s="4" t="n">
        <v>35000</v>
      </c>
      <c r="C2471" s="4" t="n">
        <v>1242</v>
      </c>
      <c r="D2471" s="4" t="n">
        <v>375.705</v>
      </c>
      <c r="E2471" s="5" t="n">
        <v>93.2</v>
      </c>
      <c r="F2471" s="3" t="inlineStr">
        <is>
          <t>강내면</t>
        </is>
      </c>
      <c r="G2471" s="3" t="inlineStr">
        <is>
          <t>석화리</t>
        </is>
      </c>
      <c r="H2471" s="3" t="inlineStr">
        <is>
          <t>농림지역</t>
        </is>
      </c>
      <c r="I2471" s="3" t="inlineStr">
        <is>
          <t>전</t>
        </is>
      </c>
      <c r="J2471" s="3" t="inlineStr">
        <is>
          <t>강내면</t>
        </is>
      </c>
    </row>
    <row r="2472">
      <c r="A2472" s="3" t="n">
        <v>2022</v>
      </c>
      <c r="B2472" s="4" t="n">
        <v>60000</v>
      </c>
      <c r="C2472" s="4" t="n">
        <v>808</v>
      </c>
      <c r="D2472" s="4" t="n">
        <v>244.42</v>
      </c>
      <c r="E2472" s="5" t="n">
        <v>245.5</v>
      </c>
      <c r="F2472" s="3" t="inlineStr">
        <is>
          <t>강내면</t>
        </is>
      </c>
      <c r="G2472" s="3" t="inlineStr">
        <is>
          <t>월곡리</t>
        </is>
      </c>
      <c r="H2472" s="3" t="inlineStr">
        <is>
          <t>자연녹지지역</t>
        </is>
      </c>
      <c r="I2472" s="3" t="inlineStr">
        <is>
          <t>답</t>
        </is>
      </c>
      <c r="J2472" s="3" t="inlineStr">
        <is>
          <t>강내면</t>
        </is>
      </c>
    </row>
    <row r="2473">
      <c r="A2473" s="3" t="n">
        <v>2022</v>
      </c>
      <c r="B2473" s="4" t="n">
        <v>30000</v>
      </c>
      <c r="C2473" s="4" t="n">
        <v>267.7</v>
      </c>
      <c r="D2473" s="4" t="n">
        <v>80.97924999999999</v>
      </c>
      <c r="E2473" s="5" t="n">
        <v>370.5</v>
      </c>
      <c r="F2473" s="3" t="inlineStr">
        <is>
          <t>오송읍</t>
        </is>
      </c>
      <c r="G2473" s="3" t="inlineStr">
        <is>
          <t>봉산리</t>
        </is>
      </c>
      <c r="H2473" s="3" t="inlineStr">
        <is>
          <t>제1종일반주거지역</t>
        </is>
      </c>
      <c r="I2473" s="3" t="inlineStr">
        <is>
          <t>대</t>
        </is>
      </c>
      <c r="J2473" s="3" t="inlineStr">
        <is>
          <t>오송읍</t>
        </is>
      </c>
    </row>
    <row r="2474">
      <c r="A2474" s="3" t="n">
        <v>2026</v>
      </c>
      <c r="B2474" s="4" t="n">
        <v>950</v>
      </c>
      <c r="C2474" s="4" t="n">
        <v>595</v>
      </c>
      <c r="D2474" s="4" t="n">
        <v>179.9875</v>
      </c>
      <c r="E2474" s="5" t="n">
        <v>5.3</v>
      </c>
      <c r="F2474" s="3" t="inlineStr">
        <is>
          <t>강내면</t>
        </is>
      </c>
      <c r="G2474" s="3" t="inlineStr">
        <is>
          <t>당곡리</t>
        </is>
      </c>
      <c r="H2474" s="3" t="inlineStr">
        <is>
          <t>계획관리지역</t>
        </is>
      </c>
      <c r="I2474" s="3" t="inlineStr">
        <is>
          <t>임야</t>
        </is>
      </c>
      <c r="J2474" s="3" t="inlineStr">
        <is>
          <t>강내면</t>
        </is>
      </c>
    </row>
    <row r="2475">
      <c r="A2475" s="3" t="n">
        <v>2026</v>
      </c>
      <c r="B2475" s="4" t="n">
        <v>20000</v>
      </c>
      <c r="C2475" s="4" t="n">
        <v>2777</v>
      </c>
      <c r="D2475" s="4" t="n">
        <v>840.0425</v>
      </c>
      <c r="E2475" s="5" t="n">
        <v>23.8</v>
      </c>
      <c r="F2475" s="3" t="inlineStr">
        <is>
          <t>오송읍</t>
        </is>
      </c>
      <c r="G2475" s="3" t="inlineStr">
        <is>
          <t>상정리</t>
        </is>
      </c>
      <c r="H2475" s="3" t="inlineStr">
        <is>
          <t>농림지역</t>
        </is>
      </c>
      <c r="I2475" s="3" t="inlineStr">
        <is>
          <t>답</t>
        </is>
      </c>
      <c r="J2475" s="3" t="inlineStr">
        <is>
          <t>오송읍</t>
        </is>
      </c>
    </row>
    <row r="2476">
      <c r="A2476" s="3" t="n">
        <v>2026</v>
      </c>
      <c r="B2476" s="4" t="n">
        <v>26277</v>
      </c>
      <c r="C2476" s="4" t="n">
        <v>2766</v>
      </c>
      <c r="D2476" s="4" t="n">
        <v>836.715</v>
      </c>
      <c r="E2476" s="5" t="n">
        <v>31.4</v>
      </c>
      <c r="F2476" s="3" t="inlineStr">
        <is>
          <t>강내면</t>
        </is>
      </c>
      <c r="G2476" s="3" t="inlineStr">
        <is>
          <t>연정리</t>
        </is>
      </c>
      <c r="H2476" s="3" t="inlineStr">
        <is>
          <t>농림지역</t>
        </is>
      </c>
      <c r="I2476" s="3" t="inlineStr">
        <is>
          <t>답</t>
        </is>
      </c>
      <c r="J2476" s="3" t="inlineStr">
        <is>
          <t>강내면</t>
        </is>
      </c>
    </row>
    <row r="2477">
      <c r="A2477" s="3" t="n">
        <v>2026</v>
      </c>
      <c r="B2477" s="4" t="n">
        <v>11315</v>
      </c>
      <c r="C2477" s="4" t="n">
        <v>3934</v>
      </c>
      <c r="D2477" s="4" t="n">
        <v>1190.035</v>
      </c>
      <c r="E2477" s="5" t="n">
        <v>9.5</v>
      </c>
      <c r="F2477" s="3" t="inlineStr">
        <is>
          <t>오송읍</t>
        </is>
      </c>
      <c r="G2477" s="3" t="inlineStr">
        <is>
          <t>상봉리</t>
        </is>
      </c>
      <c r="H2477" s="3" t="inlineStr">
        <is>
          <t>생산관리지역</t>
        </is>
      </c>
      <c r="I2477" s="3" t="inlineStr">
        <is>
          <t>임야</t>
        </is>
      </c>
      <c r="J2477" s="3" t="inlineStr">
        <is>
          <t>오송읍</t>
        </is>
      </c>
    </row>
    <row r="2478">
      <c r="A2478" s="3" t="n">
        <v>2026</v>
      </c>
      <c r="B2478" s="4" t="n">
        <v>851</v>
      </c>
      <c r="C2478" s="4" t="n">
        <v>36</v>
      </c>
      <c r="D2478" s="4" t="n">
        <v>10.89</v>
      </c>
      <c r="E2478" s="5" t="n">
        <v>78.09999999999999</v>
      </c>
      <c r="F2478" s="3" t="inlineStr">
        <is>
          <t>강내면</t>
        </is>
      </c>
      <c r="G2478" s="3" t="inlineStr">
        <is>
          <t>사인리</t>
        </is>
      </c>
      <c r="H2478" s="3" t="inlineStr">
        <is>
          <t>생산녹지지역</t>
        </is>
      </c>
      <c r="I2478" s="3" t="inlineStr">
        <is>
          <t>도로</t>
        </is>
      </c>
      <c r="J2478" s="3" t="inlineStr">
        <is>
          <t>강내면</t>
        </is>
      </c>
    </row>
    <row r="2479">
      <c r="A2479" s="3" t="n">
        <v>2023</v>
      </c>
      <c r="B2479" s="4" t="n">
        <v>31396</v>
      </c>
      <c r="C2479" s="4" t="n">
        <v>328</v>
      </c>
      <c r="D2479" s="4" t="n">
        <v>99.22</v>
      </c>
      <c r="E2479" s="5" t="n">
        <v>316.4</v>
      </c>
      <c r="F2479" s="3" t="inlineStr">
        <is>
          <t>오송읍</t>
        </is>
      </c>
      <c r="G2479" s="3" t="inlineStr">
        <is>
          <t>정중리</t>
        </is>
      </c>
      <c r="H2479" s="3" t="inlineStr">
        <is>
          <t>계획관리지역</t>
        </is>
      </c>
      <c r="I2479" s="3" t="inlineStr">
        <is>
          <t>대</t>
        </is>
      </c>
      <c r="J2479" s="3" t="inlineStr">
        <is>
          <t>오송읍</t>
        </is>
      </c>
    </row>
    <row r="2480">
      <c r="A2480" s="3" t="n">
        <v>2023</v>
      </c>
      <c r="B2480" s="4" t="n">
        <v>32000</v>
      </c>
      <c r="C2480" s="4" t="n">
        <v>1627</v>
      </c>
      <c r="D2480" s="4" t="n">
        <v>492.1675</v>
      </c>
      <c r="E2480" s="5" t="n">
        <v>65</v>
      </c>
      <c r="F2480" s="3" t="inlineStr">
        <is>
          <t>오송읍</t>
        </is>
      </c>
      <c r="G2480" s="3" t="inlineStr">
        <is>
          <t>서평리</t>
        </is>
      </c>
      <c r="H2480" s="3" t="inlineStr">
        <is>
          <t>농림지역</t>
        </is>
      </c>
      <c r="I2480" s="3" t="inlineStr">
        <is>
          <t>전</t>
        </is>
      </c>
      <c r="J2480" s="3" t="inlineStr">
        <is>
          <t>오송읍</t>
        </is>
      </c>
    </row>
    <row r="2481">
      <c r="A2481" s="3" t="n">
        <v>2023</v>
      </c>
      <c r="B2481" s="4" t="n">
        <v>1000</v>
      </c>
      <c r="C2481" s="4" t="n">
        <v>224</v>
      </c>
      <c r="D2481" s="4" t="n">
        <v>67.75999999999999</v>
      </c>
      <c r="E2481" s="5" t="n">
        <v>14.8</v>
      </c>
      <c r="F2481" s="3" t="inlineStr">
        <is>
          <t>오송읍</t>
        </is>
      </c>
      <c r="G2481" s="3" t="inlineStr">
        <is>
          <t>동평리</t>
        </is>
      </c>
      <c r="H2481" s="3" t="inlineStr">
        <is>
          <t>농림지역</t>
        </is>
      </c>
      <c r="I2481" s="3" t="inlineStr">
        <is>
          <t>도로</t>
        </is>
      </c>
      <c r="J2481" s="3" t="inlineStr">
        <is>
          <t>오송읍</t>
        </is>
      </c>
    </row>
    <row r="2482">
      <c r="A2482" s="3" t="n">
        <v>2023</v>
      </c>
      <c r="B2482" s="4" t="n">
        <v>2400</v>
      </c>
      <c r="C2482" s="4" t="n">
        <v>66</v>
      </c>
      <c r="D2482" s="4" t="n">
        <v>19.965</v>
      </c>
      <c r="E2482" s="5" t="n">
        <v>120.2</v>
      </c>
      <c r="F2482" s="3" t="inlineStr">
        <is>
          <t>오송읍</t>
        </is>
      </c>
      <c r="G2482" s="3" t="inlineStr">
        <is>
          <t>공북리</t>
        </is>
      </c>
      <c r="H2482" s="3" t="inlineStr">
        <is>
          <t>계획관리지역</t>
        </is>
      </c>
      <c r="I2482" s="3" t="inlineStr">
        <is>
          <t>대</t>
        </is>
      </c>
      <c r="J2482" s="3" t="inlineStr">
        <is>
          <t>오송읍</t>
        </is>
      </c>
    </row>
    <row r="2483">
      <c r="A2483" s="3" t="n">
        <v>2023</v>
      </c>
      <c r="B2483" s="4" t="n">
        <v>150000</v>
      </c>
      <c r="C2483" s="4" t="n">
        <v>978.1</v>
      </c>
      <c r="D2483" s="4" t="n">
        <v>295.87525</v>
      </c>
      <c r="E2483" s="5" t="n">
        <v>507</v>
      </c>
      <c r="F2483" s="3" t="inlineStr">
        <is>
          <t>오송읍</t>
        </is>
      </c>
      <c r="G2483" s="3" t="inlineStr">
        <is>
          <t>봉산리</t>
        </is>
      </c>
      <c r="H2483" s="3" t="inlineStr">
        <is>
          <t>제1종일반주거지역</t>
        </is>
      </c>
      <c r="I2483" s="3" t="inlineStr">
        <is>
          <t>주차장</t>
        </is>
      </c>
      <c r="J2483" s="3" t="inlineStr">
        <is>
          <t>오송읍</t>
        </is>
      </c>
    </row>
    <row r="2484">
      <c r="A2484" s="3" t="n">
        <v>2025</v>
      </c>
      <c r="B2484" s="4" t="n">
        <v>14000</v>
      </c>
      <c r="C2484" s="4" t="n">
        <v>190</v>
      </c>
      <c r="D2484" s="4" t="n">
        <v>57.475</v>
      </c>
      <c r="E2484" s="5" t="n">
        <v>243.6</v>
      </c>
      <c r="F2484" s="3" t="inlineStr">
        <is>
          <t>조치원읍</t>
        </is>
      </c>
      <c r="G2484" s="3" t="inlineStr">
        <is>
          <t>신안리</t>
        </is>
      </c>
      <c r="H2484" s="3" t="inlineStr">
        <is>
          <t>제1종일반주거지역</t>
        </is>
      </c>
      <c r="I2484" s="3" t="inlineStr">
        <is>
          <t>대</t>
        </is>
      </c>
      <c r="J2484" s="3" t="inlineStr">
        <is>
          <t>조치원읍</t>
        </is>
      </c>
    </row>
    <row r="2485">
      <c r="A2485" s="3" t="n">
        <v>2025</v>
      </c>
      <c r="B2485" s="4" t="n">
        <v>11000</v>
      </c>
      <c r="C2485" s="4" t="n">
        <v>110</v>
      </c>
      <c r="D2485" s="4" t="n">
        <v>33.275</v>
      </c>
      <c r="E2485" s="5" t="n">
        <v>330.6</v>
      </c>
      <c r="F2485" s="3" t="inlineStr">
        <is>
          <t>조치원읍</t>
        </is>
      </c>
      <c r="G2485" s="3" t="inlineStr">
        <is>
          <t>신안리</t>
        </is>
      </c>
      <c r="H2485" s="3" t="inlineStr">
        <is>
          <t>제1종일반주거지역</t>
        </is>
      </c>
      <c r="I2485" s="3" t="inlineStr">
        <is>
          <t>대</t>
        </is>
      </c>
      <c r="J2485" s="3" t="inlineStr">
        <is>
          <t>조치원읍</t>
        </is>
      </c>
    </row>
    <row r="2486">
      <c r="A2486" s="3" t="n">
        <v>2025</v>
      </c>
      <c r="B2486" s="4" t="n">
        <v>10</v>
      </c>
      <c r="C2486" s="4" t="n">
        <v>10</v>
      </c>
      <c r="D2486" s="4" t="n">
        <v>3.025</v>
      </c>
      <c r="E2486" s="5" t="n">
        <v>3.3</v>
      </c>
      <c r="F2486" s="3" t="inlineStr">
        <is>
          <t>조치원읍</t>
        </is>
      </c>
      <c r="G2486" s="3" t="inlineStr">
        <is>
          <t>신안리</t>
        </is>
      </c>
      <c r="H2486" s="3" t="inlineStr">
        <is>
          <t>제1종일반주거지역</t>
        </is>
      </c>
      <c r="I2486" s="3" t="inlineStr">
        <is>
          <t>대</t>
        </is>
      </c>
      <c r="J2486" s="3" t="inlineStr">
        <is>
          <t>조치원읍</t>
        </is>
      </c>
    </row>
    <row r="2487">
      <c r="A2487" s="3" t="n">
        <v>2025</v>
      </c>
      <c r="B2487" s="4" t="n">
        <v>6000</v>
      </c>
      <c r="C2487" s="4" t="n">
        <v>46</v>
      </c>
      <c r="D2487" s="4" t="n">
        <v>13.915</v>
      </c>
      <c r="E2487" s="5" t="n">
        <v>431.2</v>
      </c>
      <c r="F2487" s="3" t="inlineStr">
        <is>
          <t>조치원읍</t>
        </is>
      </c>
      <c r="G2487" s="3" t="inlineStr">
        <is>
          <t>명리</t>
        </is>
      </c>
      <c r="H2487" s="3" t="inlineStr">
        <is>
          <t>제2종일반주거지역</t>
        </is>
      </c>
      <c r="I2487" s="3" t="inlineStr">
        <is>
          <t>대</t>
        </is>
      </c>
      <c r="J2487" s="3" t="inlineStr">
        <is>
          <t>조치원읍</t>
        </is>
      </c>
    </row>
    <row r="2488">
      <c r="A2488" s="3" t="n">
        <v>2025</v>
      </c>
      <c r="B2488" s="4" t="n">
        <v>100000</v>
      </c>
      <c r="C2488" s="4" t="n">
        <v>1940</v>
      </c>
      <c r="D2488" s="4" t="n">
        <v>586.85</v>
      </c>
      <c r="E2488" s="5" t="n">
        <v>170.4</v>
      </c>
      <c r="F2488" s="3" t="inlineStr">
        <is>
          <t>연서면</t>
        </is>
      </c>
      <c r="G2488" s="3" t="inlineStr">
        <is>
          <t>봉암리</t>
        </is>
      </c>
      <c r="H2488" s="3" t="inlineStr">
        <is>
          <t>계획관리지역</t>
        </is>
      </c>
      <c r="I2488" s="3" t="inlineStr">
        <is>
          <t>전</t>
        </is>
      </c>
      <c r="J2488" s="3" t="inlineStr">
        <is>
          <t>연서면</t>
        </is>
      </c>
    </row>
    <row r="2489">
      <c r="A2489" s="3" t="n">
        <v>2025</v>
      </c>
      <c r="B2489" s="4" t="n">
        <v>12000</v>
      </c>
      <c r="C2489" s="4" t="n">
        <v>1237</v>
      </c>
      <c r="D2489" s="4" t="n">
        <v>374.1925</v>
      </c>
      <c r="E2489" s="5" t="n">
        <v>32.1</v>
      </c>
      <c r="F2489" s="3" t="inlineStr">
        <is>
          <t>연서면</t>
        </is>
      </c>
      <c r="G2489" s="3" t="inlineStr">
        <is>
          <t>월하리</t>
        </is>
      </c>
      <c r="H2489" s="3" t="inlineStr">
        <is>
          <t>자연녹지지역</t>
        </is>
      </c>
      <c r="I2489" s="3" t="inlineStr">
        <is>
          <t>임야</t>
        </is>
      </c>
      <c r="J2489" s="3" t="inlineStr">
        <is>
          <t>연서면</t>
        </is>
      </c>
    </row>
    <row r="2490">
      <c r="A2490" s="3" t="n">
        <v>2025</v>
      </c>
      <c r="B2490" s="4" t="n">
        <v>3667250</v>
      </c>
      <c r="C2490" s="4" t="n">
        <v>12106</v>
      </c>
      <c r="D2490" s="4" t="n">
        <v>3662.065</v>
      </c>
      <c r="E2490" s="5" t="n">
        <v>1001.4</v>
      </c>
      <c r="F2490" s="3" t="inlineStr">
        <is>
          <t>집현동</t>
        </is>
      </c>
      <c r="G2490" s="3" t="inlineStr"/>
      <c r="H2490" s="3" t="inlineStr">
        <is>
          <t>일반상업지역</t>
        </is>
      </c>
      <c r="I2490" s="3" t="inlineStr">
        <is>
          <t>대</t>
        </is>
      </c>
      <c r="J2490" s="3" t="inlineStr">
        <is>
          <t>집현동</t>
        </is>
      </c>
    </row>
    <row r="2491">
      <c r="A2491" s="3" t="n">
        <v>2025</v>
      </c>
      <c r="B2491" s="4" t="n">
        <v>45000</v>
      </c>
      <c r="C2491" s="4" t="n">
        <v>315</v>
      </c>
      <c r="D2491" s="4" t="n">
        <v>95.28749999999999</v>
      </c>
      <c r="E2491" s="5" t="n">
        <v>472.3</v>
      </c>
      <c r="F2491" s="3" t="inlineStr">
        <is>
          <t>조치원읍</t>
        </is>
      </c>
      <c r="G2491" s="3" t="inlineStr">
        <is>
          <t>신안리</t>
        </is>
      </c>
      <c r="H2491" s="3" t="inlineStr">
        <is>
          <t>제2종일반주거지역</t>
        </is>
      </c>
      <c r="I2491" s="3" t="inlineStr">
        <is>
          <t>전</t>
        </is>
      </c>
      <c r="J2491" s="3" t="inlineStr">
        <is>
          <t>조치원읍</t>
        </is>
      </c>
    </row>
    <row r="2492">
      <c r="A2492" s="3" t="n">
        <v>2025</v>
      </c>
      <c r="B2492" s="4" t="n">
        <v>37655</v>
      </c>
      <c r="C2492" s="4" t="n">
        <v>307</v>
      </c>
      <c r="D2492" s="4" t="n">
        <v>92.86749999999999</v>
      </c>
      <c r="E2492" s="5" t="n">
        <v>405.5</v>
      </c>
      <c r="F2492" s="3" t="inlineStr">
        <is>
          <t>조치원읍</t>
        </is>
      </c>
      <c r="G2492" s="3" t="inlineStr">
        <is>
          <t>신안리</t>
        </is>
      </c>
      <c r="H2492" s="3" t="inlineStr">
        <is>
          <t>제2종일반주거지역</t>
        </is>
      </c>
      <c r="I2492" s="3" t="inlineStr">
        <is>
          <t>대</t>
        </is>
      </c>
      <c r="J2492" s="3" t="inlineStr">
        <is>
          <t>조치원읍</t>
        </is>
      </c>
    </row>
    <row r="2493">
      <c r="A2493" s="3" t="n">
        <v>2025</v>
      </c>
      <c r="B2493" s="4" t="n">
        <v>5887</v>
      </c>
      <c r="C2493" s="4" t="n">
        <v>48</v>
      </c>
      <c r="D2493" s="4" t="n">
        <v>14.52</v>
      </c>
      <c r="E2493" s="5" t="n">
        <v>405.4</v>
      </c>
      <c r="F2493" s="3" t="inlineStr">
        <is>
          <t>조치원읍</t>
        </is>
      </c>
      <c r="G2493" s="3" t="inlineStr">
        <is>
          <t>신안리</t>
        </is>
      </c>
      <c r="H2493" s="3" t="inlineStr">
        <is>
          <t>제2종일반주거지역</t>
        </is>
      </c>
      <c r="I2493" s="3" t="inlineStr">
        <is>
          <t>대</t>
        </is>
      </c>
      <c r="J2493" s="3" t="inlineStr">
        <is>
          <t>조치원읍</t>
        </is>
      </c>
    </row>
    <row r="2494">
      <c r="A2494" s="3" t="n">
        <v>2025</v>
      </c>
      <c r="B2494" s="4" t="n">
        <v>20605</v>
      </c>
      <c r="C2494" s="4" t="n">
        <v>168</v>
      </c>
      <c r="D2494" s="4" t="n">
        <v>50.82</v>
      </c>
      <c r="E2494" s="5" t="n">
        <v>405.5</v>
      </c>
      <c r="F2494" s="3" t="inlineStr">
        <is>
          <t>조치원읍</t>
        </is>
      </c>
      <c r="G2494" s="3" t="inlineStr">
        <is>
          <t>신안리</t>
        </is>
      </c>
      <c r="H2494" s="3" t="inlineStr">
        <is>
          <t>제2종일반주거지역</t>
        </is>
      </c>
      <c r="I2494" s="3" t="inlineStr">
        <is>
          <t>답</t>
        </is>
      </c>
      <c r="J2494" s="3" t="inlineStr">
        <is>
          <t>조치원읍</t>
        </is>
      </c>
    </row>
    <row r="2495">
      <c r="A2495" s="3" t="n">
        <v>2025</v>
      </c>
      <c r="B2495" s="4" t="n">
        <v>39130</v>
      </c>
      <c r="C2495" s="4" t="n">
        <v>319</v>
      </c>
      <c r="D2495" s="4" t="n">
        <v>96.4975</v>
      </c>
      <c r="E2495" s="5" t="n">
        <v>405.5</v>
      </c>
      <c r="F2495" s="3" t="inlineStr">
        <is>
          <t>조치원읍</t>
        </is>
      </c>
      <c r="G2495" s="3" t="inlineStr">
        <is>
          <t>신안리</t>
        </is>
      </c>
      <c r="H2495" s="3" t="inlineStr">
        <is>
          <t>제2종일반주거지역</t>
        </is>
      </c>
      <c r="I2495" s="3" t="inlineStr">
        <is>
          <t>답</t>
        </is>
      </c>
      <c r="J2495" s="3" t="inlineStr">
        <is>
          <t>조치원읍</t>
        </is>
      </c>
    </row>
    <row r="2496">
      <c r="A2496" s="3" t="n">
        <v>2025</v>
      </c>
      <c r="B2496" s="4" t="n">
        <v>42683</v>
      </c>
      <c r="C2496" s="4" t="n">
        <v>348</v>
      </c>
      <c r="D2496" s="4" t="n">
        <v>105.27</v>
      </c>
      <c r="E2496" s="5" t="n">
        <v>405.5</v>
      </c>
      <c r="F2496" s="3" t="inlineStr">
        <is>
          <t>조치원읍</t>
        </is>
      </c>
      <c r="G2496" s="3" t="inlineStr">
        <is>
          <t>신안리</t>
        </is>
      </c>
      <c r="H2496" s="3" t="inlineStr">
        <is>
          <t>제2종일반주거지역</t>
        </is>
      </c>
      <c r="I2496" s="3" t="inlineStr">
        <is>
          <t>답</t>
        </is>
      </c>
      <c r="J2496" s="3" t="inlineStr">
        <is>
          <t>조치원읍</t>
        </is>
      </c>
    </row>
    <row r="2497">
      <c r="A2497" s="3" t="n">
        <v>2025</v>
      </c>
      <c r="B2497" s="4" t="n">
        <v>2207</v>
      </c>
      <c r="C2497" s="4" t="n">
        <v>18</v>
      </c>
      <c r="D2497" s="4" t="n">
        <v>5.445</v>
      </c>
      <c r="E2497" s="5" t="n">
        <v>405.3</v>
      </c>
      <c r="F2497" s="3" t="inlineStr">
        <is>
          <t>조치원읍</t>
        </is>
      </c>
      <c r="G2497" s="3" t="inlineStr">
        <is>
          <t>신안리</t>
        </is>
      </c>
      <c r="H2497" s="3" t="inlineStr">
        <is>
          <t>제2종일반주거지역</t>
        </is>
      </c>
      <c r="I2497" s="3" t="inlineStr">
        <is>
          <t>답</t>
        </is>
      </c>
      <c r="J2497" s="3" t="inlineStr">
        <is>
          <t>조치원읍</t>
        </is>
      </c>
    </row>
    <row r="2498">
      <c r="A2498" s="3" t="n">
        <v>2025</v>
      </c>
      <c r="B2498" s="4" t="n">
        <v>33974</v>
      </c>
      <c r="C2498" s="4" t="n">
        <v>277</v>
      </c>
      <c r="D2498" s="4" t="n">
        <v>83.7925</v>
      </c>
      <c r="E2498" s="5" t="n">
        <v>405.5</v>
      </c>
      <c r="F2498" s="3" t="inlineStr">
        <is>
          <t>조치원읍</t>
        </is>
      </c>
      <c r="G2498" s="3" t="inlineStr">
        <is>
          <t>신안리</t>
        </is>
      </c>
      <c r="H2498" s="3" t="inlineStr">
        <is>
          <t>제2종일반주거지역</t>
        </is>
      </c>
      <c r="I2498" s="3" t="inlineStr">
        <is>
          <t>답</t>
        </is>
      </c>
      <c r="J2498" s="3" t="inlineStr">
        <is>
          <t>조치원읍</t>
        </is>
      </c>
    </row>
    <row r="2499">
      <c r="A2499" s="3" t="n">
        <v>2025</v>
      </c>
      <c r="B2499" s="4" t="n">
        <v>37286</v>
      </c>
      <c r="C2499" s="4" t="n">
        <v>304</v>
      </c>
      <c r="D2499" s="4" t="n">
        <v>91.95999999999999</v>
      </c>
      <c r="E2499" s="5" t="n">
        <v>405.5</v>
      </c>
      <c r="F2499" s="3" t="inlineStr">
        <is>
          <t>조치원읍</t>
        </is>
      </c>
      <c r="G2499" s="3" t="inlineStr">
        <is>
          <t>신안리</t>
        </is>
      </c>
      <c r="H2499" s="3" t="inlineStr">
        <is>
          <t>제2종일반주거지역</t>
        </is>
      </c>
      <c r="I2499" s="3" t="inlineStr">
        <is>
          <t>전</t>
        </is>
      </c>
      <c r="J2499" s="3" t="inlineStr">
        <is>
          <t>조치원읍</t>
        </is>
      </c>
    </row>
    <row r="2500">
      <c r="A2500" s="3" t="n">
        <v>2025</v>
      </c>
      <c r="B2500" s="4" t="n">
        <v>22813</v>
      </c>
      <c r="C2500" s="4" t="n">
        <v>186</v>
      </c>
      <c r="D2500" s="4" t="n">
        <v>56.265</v>
      </c>
      <c r="E2500" s="5" t="n">
        <v>405.5</v>
      </c>
      <c r="F2500" s="3" t="inlineStr">
        <is>
          <t>조치원읍</t>
        </is>
      </c>
      <c r="G2500" s="3" t="inlineStr">
        <is>
          <t>신안리</t>
        </is>
      </c>
      <c r="H2500" s="3" t="inlineStr">
        <is>
          <t>제2종일반주거지역</t>
        </is>
      </c>
      <c r="I2500" s="3" t="inlineStr">
        <is>
          <t>대</t>
        </is>
      </c>
      <c r="J2500" s="3" t="inlineStr">
        <is>
          <t>조치원읍</t>
        </is>
      </c>
    </row>
    <row r="2501">
      <c r="A2501" s="3" t="n">
        <v>2025</v>
      </c>
      <c r="B2501" s="4" t="n">
        <v>38758</v>
      </c>
      <c r="C2501" s="4" t="n">
        <v>316</v>
      </c>
      <c r="D2501" s="4" t="n">
        <v>95.59</v>
      </c>
      <c r="E2501" s="5" t="n">
        <v>405.5</v>
      </c>
      <c r="F2501" s="3" t="inlineStr">
        <is>
          <t>조치원읍</t>
        </is>
      </c>
      <c r="G2501" s="3" t="inlineStr">
        <is>
          <t>신안리</t>
        </is>
      </c>
      <c r="H2501" s="3" t="inlineStr">
        <is>
          <t>제2종일반주거지역</t>
        </is>
      </c>
      <c r="I2501" s="3" t="inlineStr">
        <is>
          <t>대</t>
        </is>
      </c>
      <c r="J2501" s="3" t="inlineStr">
        <is>
          <t>조치원읍</t>
        </is>
      </c>
    </row>
    <row r="2502">
      <c r="A2502" s="3" t="n">
        <v>2025</v>
      </c>
      <c r="B2502" s="4" t="n">
        <v>39249</v>
      </c>
      <c r="C2502" s="4" t="n">
        <v>320</v>
      </c>
      <c r="D2502" s="4" t="n">
        <v>96.8</v>
      </c>
      <c r="E2502" s="5" t="n">
        <v>405.5</v>
      </c>
      <c r="F2502" s="3" t="inlineStr">
        <is>
          <t>조치원읍</t>
        </is>
      </c>
      <c r="G2502" s="3" t="inlineStr">
        <is>
          <t>신안리</t>
        </is>
      </c>
      <c r="H2502" s="3" t="inlineStr">
        <is>
          <t>제2종일반주거지역</t>
        </is>
      </c>
      <c r="I2502" s="3" t="inlineStr">
        <is>
          <t>답</t>
        </is>
      </c>
      <c r="J2502" s="3" t="inlineStr">
        <is>
          <t>조치원읍</t>
        </is>
      </c>
    </row>
    <row r="2503">
      <c r="A2503" s="3" t="n">
        <v>2025</v>
      </c>
      <c r="B2503" s="4" t="n">
        <v>12633</v>
      </c>
      <c r="C2503" s="4" t="n">
        <v>103</v>
      </c>
      <c r="D2503" s="4" t="n">
        <v>31.1575</v>
      </c>
      <c r="E2503" s="5" t="n">
        <v>405.5</v>
      </c>
      <c r="F2503" s="3" t="inlineStr">
        <is>
          <t>조치원읍</t>
        </is>
      </c>
      <c r="G2503" s="3" t="inlineStr">
        <is>
          <t>신안리</t>
        </is>
      </c>
      <c r="H2503" s="3" t="inlineStr">
        <is>
          <t>제2종일반주거지역</t>
        </is>
      </c>
      <c r="I2503" s="3" t="inlineStr">
        <is>
          <t>답</t>
        </is>
      </c>
      <c r="J2503" s="3" t="inlineStr">
        <is>
          <t>조치원읍</t>
        </is>
      </c>
    </row>
    <row r="2504">
      <c r="A2504" s="3" t="n">
        <v>2025</v>
      </c>
      <c r="B2504" s="4" t="n">
        <v>52740</v>
      </c>
      <c r="C2504" s="4" t="n">
        <v>430</v>
      </c>
      <c r="D2504" s="4" t="n">
        <v>130.075</v>
      </c>
      <c r="E2504" s="5" t="n">
        <v>405.5</v>
      </c>
      <c r="F2504" s="3" t="inlineStr">
        <is>
          <t>조치원읍</t>
        </is>
      </c>
      <c r="G2504" s="3" t="inlineStr">
        <is>
          <t>신안리</t>
        </is>
      </c>
      <c r="H2504" s="3" t="inlineStr">
        <is>
          <t>제2종일반주거지역</t>
        </is>
      </c>
      <c r="I2504" s="3" t="inlineStr">
        <is>
          <t>답</t>
        </is>
      </c>
      <c r="J2504" s="3" t="inlineStr">
        <is>
          <t>조치원읍</t>
        </is>
      </c>
    </row>
    <row r="2505">
      <c r="A2505" s="3" t="n">
        <v>2025</v>
      </c>
      <c r="B2505" s="4" t="n">
        <v>19380</v>
      </c>
      <c r="C2505" s="4" t="n">
        <v>158</v>
      </c>
      <c r="D2505" s="4" t="n">
        <v>47.795</v>
      </c>
      <c r="E2505" s="5" t="n">
        <v>405.5</v>
      </c>
      <c r="F2505" s="3" t="inlineStr">
        <is>
          <t>조치원읍</t>
        </is>
      </c>
      <c r="G2505" s="3" t="inlineStr">
        <is>
          <t>신안리</t>
        </is>
      </c>
      <c r="H2505" s="3" t="inlineStr">
        <is>
          <t>제2종일반주거지역</t>
        </is>
      </c>
      <c r="I2505" s="3" t="inlineStr">
        <is>
          <t>답</t>
        </is>
      </c>
      <c r="J2505" s="3" t="inlineStr">
        <is>
          <t>조치원읍</t>
        </is>
      </c>
    </row>
    <row r="2506">
      <c r="A2506" s="3" t="n">
        <v>2025</v>
      </c>
      <c r="B2506" s="4" t="n">
        <v>28500</v>
      </c>
      <c r="C2506" s="4" t="n">
        <v>2658</v>
      </c>
      <c r="D2506" s="4" t="n">
        <v>804.045</v>
      </c>
      <c r="E2506" s="5" t="n">
        <v>35.4</v>
      </c>
      <c r="F2506" s="3" t="inlineStr">
        <is>
          <t>오송읍</t>
        </is>
      </c>
      <c r="G2506" s="3" t="inlineStr">
        <is>
          <t>오송리</t>
        </is>
      </c>
      <c r="H2506" s="3" t="inlineStr">
        <is>
          <t>농림지역</t>
        </is>
      </c>
      <c r="I2506" s="3" t="inlineStr">
        <is>
          <t>답</t>
        </is>
      </c>
      <c r="J2506" s="3" t="inlineStr">
        <is>
          <t>오송읍</t>
        </is>
      </c>
    </row>
    <row r="2507">
      <c r="A2507" s="3" t="n">
        <v>2025</v>
      </c>
      <c r="B2507" s="4" t="n">
        <v>2000</v>
      </c>
      <c r="C2507" s="4" t="n">
        <v>51</v>
      </c>
      <c r="D2507" s="4" t="n">
        <v>15.4275</v>
      </c>
      <c r="E2507" s="5" t="n">
        <v>129.6</v>
      </c>
      <c r="F2507" s="3" t="inlineStr">
        <is>
          <t>오송읍</t>
        </is>
      </c>
      <c r="G2507" s="3" t="inlineStr">
        <is>
          <t>연제리</t>
        </is>
      </c>
      <c r="H2507" s="3" t="inlineStr">
        <is>
          <t>계획관리지역</t>
        </is>
      </c>
      <c r="I2507" s="3" t="inlineStr">
        <is>
          <t>대</t>
        </is>
      </c>
      <c r="J2507" s="3" t="inlineStr">
        <is>
          <t>오송읍</t>
        </is>
      </c>
    </row>
    <row r="2508">
      <c r="A2508" s="3" t="n">
        <v>2025</v>
      </c>
      <c r="B2508" s="4" t="n">
        <v>24000</v>
      </c>
      <c r="C2508" s="4" t="n">
        <v>1279</v>
      </c>
      <c r="D2508" s="4" t="n">
        <v>386.8975</v>
      </c>
      <c r="E2508" s="5" t="n">
        <v>62</v>
      </c>
      <c r="F2508" s="3" t="inlineStr">
        <is>
          <t>오송읍</t>
        </is>
      </c>
      <c r="G2508" s="3" t="inlineStr">
        <is>
          <t>서평리</t>
        </is>
      </c>
      <c r="H2508" s="3" t="inlineStr">
        <is>
          <t>농림지역</t>
        </is>
      </c>
      <c r="I2508" s="3" t="inlineStr">
        <is>
          <t>답</t>
        </is>
      </c>
      <c r="J2508" s="3" t="inlineStr">
        <is>
          <t>오송읍</t>
        </is>
      </c>
    </row>
    <row r="2509">
      <c r="A2509" s="3" t="n">
        <v>2025</v>
      </c>
      <c r="B2509" s="4" t="n">
        <v>47000</v>
      </c>
      <c r="C2509" s="4" t="n">
        <v>3411</v>
      </c>
      <c r="D2509" s="4" t="n">
        <v>1031.8275</v>
      </c>
      <c r="E2509" s="5" t="n">
        <v>45.6</v>
      </c>
      <c r="F2509" s="3" t="inlineStr">
        <is>
          <t>강내면</t>
        </is>
      </c>
      <c r="G2509" s="3" t="inlineStr">
        <is>
          <t>궁현리</t>
        </is>
      </c>
      <c r="H2509" s="3" t="inlineStr">
        <is>
          <t>계획관리지역</t>
        </is>
      </c>
      <c r="I2509" s="3" t="inlineStr">
        <is>
          <t>답</t>
        </is>
      </c>
      <c r="J2509" s="3" t="inlineStr">
        <is>
          <t>강내면</t>
        </is>
      </c>
    </row>
    <row r="2510">
      <c r="A2510" s="3" t="n">
        <v>2025</v>
      </c>
      <c r="B2510" s="4" t="n">
        <v>1500</v>
      </c>
      <c r="C2510" s="4" t="n">
        <v>2075</v>
      </c>
      <c r="D2510" s="4" t="n">
        <v>627.6875</v>
      </c>
      <c r="E2510" s="5" t="n">
        <v>2.4</v>
      </c>
      <c r="F2510" s="3" t="inlineStr">
        <is>
          <t>강내면</t>
        </is>
      </c>
      <c r="G2510" s="3" t="inlineStr">
        <is>
          <t>산단리</t>
        </is>
      </c>
      <c r="H2510" s="3" t="inlineStr">
        <is>
          <t>계획관리지역</t>
        </is>
      </c>
      <c r="I2510" s="3" t="inlineStr">
        <is>
          <t>임야</t>
        </is>
      </c>
      <c r="J2510" s="3" t="inlineStr">
        <is>
          <t>강내면</t>
        </is>
      </c>
    </row>
    <row r="2511">
      <c r="A2511" s="3" t="n">
        <v>2025</v>
      </c>
      <c r="B2511" s="4" t="n">
        <v>4364</v>
      </c>
      <c r="C2511" s="4" t="n">
        <v>608</v>
      </c>
      <c r="D2511" s="4" t="n">
        <v>183.92</v>
      </c>
      <c r="E2511" s="5" t="n">
        <v>23.7</v>
      </c>
      <c r="F2511" s="3" t="inlineStr">
        <is>
          <t>강내면</t>
        </is>
      </c>
      <c r="G2511" s="3" t="inlineStr">
        <is>
          <t>산단리</t>
        </is>
      </c>
      <c r="H2511" s="3" t="inlineStr">
        <is>
          <t>계획관리지역</t>
        </is>
      </c>
      <c r="I2511" s="3" t="inlineStr">
        <is>
          <t>답</t>
        </is>
      </c>
      <c r="J2511" s="3" t="inlineStr">
        <is>
          <t>강내면</t>
        </is>
      </c>
    </row>
    <row r="2512">
      <c r="A2512" s="3" t="n">
        <v>2025</v>
      </c>
      <c r="B2512" s="4" t="n">
        <v>11447</v>
      </c>
      <c r="C2512" s="4" t="n">
        <v>1595</v>
      </c>
      <c r="D2512" s="4" t="n">
        <v>482.4875</v>
      </c>
      <c r="E2512" s="5" t="n">
        <v>23.7</v>
      </c>
      <c r="F2512" s="3" t="inlineStr">
        <is>
          <t>강내면</t>
        </is>
      </c>
      <c r="G2512" s="3" t="inlineStr">
        <is>
          <t>산단리</t>
        </is>
      </c>
      <c r="H2512" s="3" t="inlineStr">
        <is>
          <t>계획관리지역</t>
        </is>
      </c>
      <c r="I2512" s="3" t="inlineStr">
        <is>
          <t>답</t>
        </is>
      </c>
      <c r="J2512" s="3" t="inlineStr">
        <is>
          <t>강내면</t>
        </is>
      </c>
    </row>
    <row r="2513">
      <c r="A2513" s="3" t="n">
        <v>2025</v>
      </c>
      <c r="B2513" s="4" t="n">
        <v>14189</v>
      </c>
      <c r="C2513" s="4" t="n">
        <v>1977</v>
      </c>
      <c r="D2513" s="4" t="n">
        <v>598.0425</v>
      </c>
      <c r="E2513" s="5" t="n">
        <v>23.7</v>
      </c>
      <c r="F2513" s="3" t="inlineStr">
        <is>
          <t>강내면</t>
        </is>
      </c>
      <c r="G2513" s="3" t="inlineStr">
        <is>
          <t>산단리</t>
        </is>
      </c>
      <c r="H2513" s="3" t="inlineStr">
        <is>
          <t>계획관리지역</t>
        </is>
      </c>
      <c r="I2513" s="3" t="inlineStr">
        <is>
          <t>답</t>
        </is>
      </c>
      <c r="J2513" s="3" t="inlineStr">
        <is>
          <t>강내면</t>
        </is>
      </c>
    </row>
    <row r="2514">
      <c r="A2514" s="3" t="n">
        <v>2025</v>
      </c>
      <c r="B2514" s="4" t="n">
        <v>18000</v>
      </c>
      <c r="C2514" s="4" t="n">
        <v>3319</v>
      </c>
      <c r="D2514" s="4" t="n">
        <v>1003.9975</v>
      </c>
      <c r="E2514" s="5" t="n">
        <v>17.9</v>
      </c>
      <c r="F2514" s="3" t="inlineStr">
        <is>
          <t>강내면</t>
        </is>
      </c>
      <c r="G2514" s="3" t="inlineStr">
        <is>
          <t>황탄리</t>
        </is>
      </c>
      <c r="H2514" s="3" t="inlineStr">
        <is>
          <t>농림지역</t>
        </is>
      </c>
      <c r="I2514" s="3" t="inlineStr">
        <is>
          <t>전</t>
        </is>
      </c>
      <c r="J2514" s="3" t="inlineStr">
        <is>
          <t>강내면</t>
        </is>
      </c>
    </row>
    <row r="2515">
      <c r="A2515" s="3" t="n">
        <v>2025</v>
      </c>
      <c r="B2515" s="4" t="n">
        <v>20308</v>
      </c>
      <c r="C2515" s="4" t="n">
        <v>223.6</v>
      </c>
      <c r="D2515" s="4" t="n">
        <v>67.639</v>
      </c>
      <c r="E2515" s="5" t="n">
        <v>300.2</v>
      </c>
      <c r="F2515" s="3" t="inlineStr">
        <is>
          <t>오송읍</t>
        </is>
      </c>
      <c r="G2515" s="3" t="inlineStr">
        <is>
          <t>오송리</t>
        </is>
      </c>
      <c r="H2515" s="3" t="inlineStr">
        <is>
          <t>용도미지정</t>
        </is>
      </c>
      <c r="I2515" s="3" t="inlineStr">
        <is>
          <t>대</t>
        </is>
      </c>
      <c r="J2515" s="3" t="inlineStr">
        <is>
          <t>오송읍</t>
        </is>
      </c>
    </row>
    <row r="2516">
      <c r="A2516" s="3" t="n">
        <v>2025</v>
      </c>
      <c r="B2516" s="4" t="n">
        <v>35000</v>
      </c>
      <c r="C2516" s="4" t="n">
        <v>1105</v>
      </c>
      <c r="D2516" s="4" t="n">
        <v>334.2625</v>
      </c>
      <c r="E2516" s="5" t="n">
        <v>104.7</v>
      </c>
      <c r="F2516" s="3" t="inlineStr">
        <is>
          <t>오송읍</t>
        </is>
      </c>
      <c r="G2516" s="3" t="inlineStr">
        <is>
          <t>정중리</t>
        </is>
      </c>
      <c r="H2516" s="3" t="inlineStr">
        <is>
          <t>계획관리지역</t>
        </is>
      </c>
      <c r="I2516" s="3" t="inlineStr">
        <is>
          <t>전</t>
        </is>
      </c>
      <c r="J2516" s="3" t="inlineStr">
        <is>
          <t>오송읍</t>
        </is>
      </c>
    </row>
    <row r="2517">
      <c r="A2517" s="3" t="n">
        <v>2025</v>
      </c>
      <c r="B2517" s="4" t="n">
        <v>39800</v>
      </c>
      <c r="C2517" s="4" t="n">
        <v>1269</v>
      </c>
      <c r="D2517" s="4" t="n">
        <v>383.8725</v>
      </c>
      <c r="E2517" s="5" t="n">
        <v>103.7</v>
      </c>
      <c r="F2517" s="3" t="inlineStr">
        <is>
          <t>강내면</t>
        </is>
      </c>
      <c r="G2517" s="3" t="inlineStr">
        <is>
          <t>월곡리</t>
        </is>
      </c>
      <c r="H2517" s="3" t="inlineStr">
        <is>
          <t>자연녹지지역</t>
        </is>
      </c>
      <c r="I2517" s="3" t="inlineStr">
        <is>
          <t>답</t>
        </is>
      </c>
      <c r="J2517" s="3" t="inlineStr">
        <is>
          <t>강내면</t>
        </is>
      </c>
    </row>
    <row r="2518">
      <c r="A2518" s="3" t="n">
        <v>2025</v>
      </c>
      <c r="B2518" s="4" t="n">
        <v>4600</v>
      </c>
      <c r="C2518" s="4" t="n">
        <v>387</v>
      </c>
      <c r="D2518" s="4" t="n">
        <v>117.0675</v>
      </c>
      <c r="E2518" s="5" t="n">
        <v>39.3</v>
      </c>
      <c r="F2518" s="3" t="inlineStr">
        <is>
          <t>오송읍</t>
        </is>
      </c>
      <c r="G2518" s="3" t="inlineStr">
        <is>
          <t>서평리</t>
        </is>
      </c>
      <c r="H2518" s="3" t="inlineStr">
        <is>
          <t>생산관리지역</t>
        </is>
      </c>
      <c r="I2518" s="3" t="inlineStr">
        <is>
          <t>전</t>
        </is>
      </c>
      <c r="J2518" s="3" t="inlineStr">
        <is>
          <t>오송읍</t>
        </is>
      </c>
    </row>
    <row r="2519">
      <c r="A2519" s="3" t="n">
        <v>2025</v>
      </c>
      <c r="B2519" s="4" t="n">
        <v>11200</v>
      </c>
      <c r="C2519" s="4" t="n">
        <v>566</v>
      </c>
      <c r="D2519" s="4" t="n">
        <v>171.215</v>
      </c>
      <c r="E2519" s="5" t="n">
        <v>65.40000000000001</v>
      </c>
      <c r="F2519" s="3" t="inlineStr">
        <is>
          <t>강내면</t>
        </is>
      </c>
      <c r="G2519" s="3" t="inlineStr">
        <is>
          <t>당곡리</t>
        </is>
      </c>
      <c r="H2519" s="3" t="inlineStr">
        <is>
          <t>계획관리지역</t>
        </is>
      </c>
      <c r="I2519" s="3" t="inlineStr">
        <is>
          <t>전</t>
        </is>
      </c>
      <c r="J2519" s="3" t="inlineStr">
        <is>
          <t>강내면</t>
        </is>
      </c>
    </row>
    <row r="2520">
      <c r="A2520" s="3" t="n">
        <v>2025</v>
      </c>
      <c r="B2520" s="4" t="n">
        <v>36000</v>
      </c>
      <c r="C2520" s="4" t="n">
        <v>287.2</v>
      </c>
      <c r="D2520" s="4" t="n">
        <v>86.878</v>
      </c>
      <c r="E2520" s="5" t="n">
        <v>414.4</v>
      </c>
      <c r="F2520" s="3" t="inlineStr">
        <is>
          <t>오송읍</t>
        </is>
      </c>
      <c r="G2520" s="3" t="inlineStr">
        <is>
          <t>봉산리</t>
        </is>
      </c>
      <c r="H2520" s="3" t="inlineStr">
        <is>
          <t>제1종일반주거지역</t>
        </is>
      </c>
      <c r="I2520" s="3" t="inlineStr">
        <is>
          <t>대</t>
        </is>
      </c>
      <c r="J2520" s="3" t="inlineStr">
        <is>
          <t>오송읍</t>
        </is>
      </c>
    </row>
    <row r="2521">
      <c r="A2521" s="3" t="n">
        <v>2025</v>
      </c>
      <c r="B2521" s="4" t="n">
        <v>4600</v>
      </c>
      <c r="C2521" s="4" t="n">
        <v>76</v>
      </c>
      <c r="D2521" s="4" t="n">
        <v>22.99</v>
      </c>
      <c r="E2521" s="5" t="n">
        <v>200.1</v>
      </c>
      <c r="F2521" s="3" t="inlineStr">
        <is>
          <t>오송읍</t>
        </is>
      </c>
      <c r="G2521" s="3" t="inlineStr">
        <is>
          <t>상정리</t>
        </is>
      </c>
      <c r="H2521" s="3" t="inlineStr">
        <is>
          <t>계획관리지역</t>
        </is>
      </c>
      <c r="I2521" s="3" t="inlineStr">
        <is>
          <t>창고용지</t>
        </is>
      </c>
      <c r="J2521" s="3" t="inlineStr">
        <is>
          <t>오송읍</t>
        </is>
      </c>
    </row>
    <row r="2522">
      <c r="A2522" s="3" t="n">
        <v>2025</v>
      </c>
      <c r="B2522" s="4" t="n">
        <v>2640</v>
      </c>
      <c r="C2522" s="4" t="n">
        <v>47</v>
      </c>
      <c r="D2522" s="4" t="n">
        <v>14.2175</v>
      </c>
      <c r="E2522" s="5" t="n">
        <v>185.7</v>
      </c>
      <c r="F2522" s="3" t="inlineStr">
        <is>
          <t>강내면</t>
        </is>
      </c>
      <c r="G2522" s="3" t="inlineStr">
        <is>
          <t>월탄리</t>
        </is>
      </c>
      <c r="H2522" s="3" t="inlineStr">
        <is>
          <t>계획관리지역</t>
        </is>
      </c>
      <c r="I2522" s="3" t="inlineStr">
        <is>
          <t>전</t>
        </is>
      </c>
      <c r="J2522" s="3" t="inlineStr">
        <is>
          <t>강내면</t>
        </is>
      </c>
    </row>
    <row r="2523">
      <c r="A2523" s="3" t="n">
        <v>2025</v>
      </c>
      <c r="B2523" s="4" t="n">
        <v>3641</v>
      </c>
      <c r="C2523" s="4" t="n">
        <v>63</v>
      </c>
      <c r="D2523" s="4" t="n">
        <v>19.0575</v>
      </c>
      <c r="E2523" s="5" t="n">
        <v>191.1</v>
      </c>
      <c r="F2523" s="3" t="inlineStr">
        <is>
          <t>강내면</t>
        </is>
      </c>
      <c r="G2523" s="3" t="inlineStr">
        <is>
          <t>월탄리</t>
        </is>
      </c>
      <c r="H2523" s="3" t="inlineStr">
        <is>
          <t>계획관리지역</t>
        </is>
      </c>
      <c r="I2523" s="3" t="inlineStr">
        <is>
          <t>전</t>
        </is>
      </c>
      <c r="J2523" s="3" t="inlineStr">
        <is>
          <t>강내면</t>
        </is>
      </c>
    </row>
    <row r="2524">
      <c r="A2524" s="3" t="n">
        <v>2025</v>
      </c>
      <c r="B2524" s="4" t="n">
        <v>7686</v>
      </c>
      <c r="C2524" s="4" t="n">
        <v>133</v>
      </c>
      <c r="D2524" s="4" t="n">
        <v>40.2325</v>
      </c>
      <c r="E2524" s="5" t="n">
        <v>191</v>
      </c>
      <c r="F2524" s="3" t="inlineStr">
        <is>
          <t>강내면</t>
        </is>
      </c>
      <c r="G2524" s="3" t="inlineStr">
        <is>
          <t>월탄리</t>
        </is>
      </c>
      <c r="H2524" s="3" t="inlineStr">
        <is>
          <t>계획관리지역</t>
        </is>
      </c>
      <c r="I2524" s="3" t="inlineStr">
        <is>
          <t>전</t>
        </is>
      </c>
      <c r="J2524" s="3" t="inlineStr">
        <is>
          <t>강내면</t>
        </is>
      </c>
    </row>
    <row r="2525">
      <c r="A2525" s="3" t="n">
        <v>2022</v>
      </c>
      <c r="B2525" s="4" t="n">
        <v>14501</v>
      </c>
      <c r="C2525" s="4" t="n">
        <v>12501</v>
      </c>
      <c r="D2525" s="4" t="n">
        <v>3781.5525</v>
      </c>
      <c r="E2525" s="5" t="n">
        <v>3.8</v>
      </c>
      <c r="F2525" s="3" t="inlineStr">
        <is>
          <t>강내면</t>
        </is>
      </c>
      <c r="G2525" s="3" t="inlineStr">
        <is>
          <t>궁현리</t>
        </is>
      </c>
      <c r="H2525" s="3" t="inlineStr">
        <is>
          <t>보전관리지역</t>
        </is>
      </c>
      <c r="I2525" s="3" t="inlineStr">
        <is>
          <t>임야</t>
        </is>
      </c>
      <c r="J2525" s="3" t="inlineStr">
        <is>
          <t>강내면</t>
        </is>
      </c>
    </row>
    <row r="2526">
      <c r="A2526" s="3" t="n">
        <v>2022</v>
      </c>
      <c r="B2526" s="4" t="n">
        <v>403</v>
      </c>
      <c r="C2526" s="4" t="n">
        <v>336</v>
      </c>
      <c r="D2526" s="4" t="n">
        <v>101.64</v>
      </c>
      <c r="E2526" s="5" t="n">
        <v>4</v>
      </c>
      <c r="F2526" s="3" t="inlineStr">
        <is>
          <t>강내면</t>
        </is>
      </c>
      <c r="G2526" s="3" t="inlineStr">
        <is>
          <t>궁현리</t>
        </is>
      </c>
      <c r="H2526" s="3" t="inlineStr">
        <is>
          <t>보전관리지역</t>
        </is>
      </c>
      <c r="I2526" s="3" t="inlineStr">
        <is>
          <t>임야</t>
        </is>
      </c>
      <c r="J2526" s="3" t="inlineStr">
        <is>
          <t>강내면</t>
        </is>
      </c>
    </row>
    <row r="2527">
      <c r="A2527" s="3" t="n">
        <v>2022</v>
      </c>
      <c r="B2527" s="4" t="n">
        <v>18900</v>
      </c>
      <c r="C2527" s="4" t="n">
        <v>1333</v>
      </c>
      <c r="D2527" s="4" t="n">
        <v>403.2325</v>
      </c>
      <c r="E2527" s="5" t="n">
        <v>46.9</v>
      </c>
      <c r="F2527" s="3" t="inlineStr">
        <is>
          <t>오송읍</t>
        </is>
      </c>
      <c r="G2527" s="3" t="inlineStr">
        <is>
          <t>상봉리</t>
        </is>
      </c>
      <c r="H2527" s="3" t="inlineStr">
        <is>
          <t>생산관리지역</t>
        </is>
      </c>
      <c r="I2527" s="3" t="inlineStr">
        <is>
          <t>전</t>
        </is>
      </c>
      <c r="J2527" s="3" t="inlineStr">
        <is>
          <t>오송읍</t>
        </is>
      </c>
    </row>
    <row r="2528">
      <c r="A2528" s="3" t="n">
        <v>2022</v>
      </c>
      <c r="B2528" s="4" t="n">
        <v>8000</v>
      </c>
      <c r="C2528" s="4" t="n">
        <v>3386</v>
      </c>
      <c r="D2528" s="4" t="n">
        <v>1024.265</v>
      </c>
      <c r="E2528" s="5" t="n">
        <v>7.8</v>
      </c>
      <c r="F2528" s="3" t="inlineStr">
        <is>
          <t>오송읍</t>
        </is>
      </c>
      <c r="G2528" s="3" t="inlineStr">
        <is>
          <t>정중리</t>
        </is>
      </c>
      <c r="H2528" s="3" t="inlineStr">
        <is>
          <t>농림지역</t>
        </is>
      </c>
      <c r="I2528" s="3" t="inlineStr">
        <is>
          <t>임야</t>
        </is>
      </c>
      <c r="J2528" s="3" t="inlineStr">
        <is>
          <t>오송읍</t>
        </is>
      </c>
    </row>
    <row r="2529">
      <c r="A2529" s="3" t="n">
        <v>2022</v>
      </c>
      <c r="B2529" s="4" t="n">
        <v>2000</v>
      </c>
      <c r="C2529" s="4" t="n">
        <v>73</v>
      </c>
      <c r="D2529" s="4" t="n">
        <v>22.0825</v>
      </c>
      <c r="E2529" s="5" t="n">
        <v>90.59999999999999</v>
      </c>
      <c r="F2529" s="3" t="inlineStr">
        <is>
          <t>강내면</t>
        </is>
      </c>
      <c r="G2529" s="3" t="inlineStr">
        <is>
          <t>사인리</t>
        </is>
      </c>
      <c r="H2529" s="3" t="inlineStr">
        <is>
          <t>자연녹지지역</t>
        </is>
      </c>
      <c r="I2529" s="3" t="inlineStr">
        <is>
          <t>전</t>
        </is>
      </c>
      <c r="J2529" s="3" t="inlineStr">
        <is>
          <t>강내면</t>
        </is>
      </c>
    </row>
    <row r="2530">
      <c r="A2530" s="3" t="n">
        <v>2022</v>
      </c>
      <c r="B2530" s="4" t="n">
        <v>23900</v>
      </c>
      <c r="C2530" s="4" t="n">
        <v>566</v>
      </c>
      <c r="D2530" s="4" t="n">
        <v>171.215</v>
      </c>
      <c r="E2530" s="5" t="n">
        <v>139.6</v>
      </c>
      <c r="F2530" s="3" t="inlineStr">
        <is>
          <t>오송읍</t>
        </is>
      </c>
      <c r="G2530" s="3" t="inlineStr">
        <is>
          <t>쌍청리</t>
        </is>
      </c>
      <c r="H2530" s="3" t="inlineStr">
        <is>
          <t>계획관리지역</t>
        </is>
      </c>
      <c r="I2530" s="3" t="inlineStr">
        <is>
          <t>공장용지</t>
        </is>
      </c>
      <c r="J2530" s="3" t="inlineStr">
        <is>
          <t>오송읍</t>
        </is>
      </c>
    </row>
    <row r="2531">
      <c r="A2531" s="3" t="n">
        <v>2022</v>
      </c>
      <c r="B2531" s="4" t="n">
        <v>14894</v>
      </c>
      <c r="C2531" s="4" t="n">
        <v>1047</v>
      </c>
      <c r="D2531" s="4" t="n">
        <v>316.7175</v>
      </c>
      <c r="E2531" s="5" t="n">
        <v>47</v>
      </c>
      <c r="F2531" s="3" t="inlineStr">
        <is>
          <t>오송읍</t>
        </is>
      </c>
      <c r="G2531" s="3" t="inlineStr">
        <is>
          <t>상봉리</t>
        </is>
      </c>
      <c r="H2531" s="3" t="inlineStr">
        <is>
          <t>생산관리지역</t>
        </is>
      </c>
      <c r="I2531" s="3" t="inlineStr">
        <is>
          <t>전</t>
        </is>
      </c>
      <c r="J2531" s="3" t="inlineStr">
        <is>
          <t>오송읍</t>
        </is>
      </c>
    </row>
    <row r="2532">
      <c r="A2532" s="3" t="n">
        <v>2022</v>
      </c>
      <c r="B2532" s="4" t="n">
        <v>16643</v>
      </c>
      <c r="C2532" s="4" t="n">
        <v>1170</v>
      </c>
      <c r="D2532" s="4" t="n">
        <v>353.925</v>
      </c>
      <c r="E2532" s="5" t="n">
        <v>47</v>
      </c>
      <c r="F2532" s="3" t="inlineStr">
        <is>
          <t>오송읍</t>
        </is>
      </c>
      <c r="G2532" s="3" t="inlineStr">
        <is>
          <t>상봉리</t>
        </is>
      </c>
      <c r="H2532" s="3" t="inlineStr">
        <is>
          <t>생산관리지역</t>
        </is>
      </c>
      <c r="I2532" s="3" t="inlineStr">
        <is>
          <t>답</t>
        </is>
      </c>
      <c r="J2532" s="3" t="inlineStr">
        <is>
          <t>오송읍</t>
        </is>
      </c>
    </row>
    <row r="2533">
      <c r="A2533" s="3" t="n">
        <v>2022</v>
      </c>
      <c r="B2533" s="4" t="n">
        <v>5875</v>
      </c>
      <c r="C2533" s="4" t="n">
        <v>413</v>
      </c>
      <c r="D2533" s="4" t="n">
        <v>124.9325</v>
      </c>
      <c r="E2533" s="5" t="n">
        <v>47</v>
      </c>
      <c r="F2533" s="3" t="inlineStr">
        <is>
          <t>오송읍</t>
        </is>
      </c>
      <c r="G2533" s="3" t="inlineStr">
        <is>
          <t>상봉리</t>
        </is>
      </c>
      <c r="H2533" s="3" t="inlineStr">
        <is>
          <t>생산관리지역</t>
        </is>
      </c>
      <c r="I2533" s="3" t="inlineStr">
        <is>
          <t>전</t>
        </is>
      </c>
      <c r="J2533" s="3" t="inlineStr">
        <is>
          <t>오송읍</t>
        </is>
      </c>
    </row>
    <row r="2534">
      <c r="A2534" s="3" t="n">
        <v>2022</v>
      </c>
      <c r="B2534" s="4" t="n">
        <v>59920</v>
      </c>
      <c r="C2534" s="4" t="n">
        <v>3574</v>
      </c>
      <c r="D2534" s="4" t="n">
        <v>1081.135</v>
      </c>
      <c r="E2534" s="5" t="n">
        <v>55.4</v>
      </c>
      <c r="F2534" s="3" t="inlineStr">
        <is>
          <t>강내면</t>
        </is>
      </c>
      <c r="G2534" s="3" t="inlineStr">
        <is>
          <t>궁현리</t>
        </is>
      </c>
      <c r="H2534" s="3" t="inlineStr">
        <is>
          <t>농림지역</t>
        </is>
      </c>
      <c r="I2534" s="3" t="inlineStr">
        <is>
          <t>답</t>
        </is>
      </c>
      <c r="J2534" s="3" t="inlineStr">
        <is>
          <t>강내면</t>
        </is>
      </c>
    </row>
    <row r="2535">
      <c r="A2535" s="3" t="n">
        <v>2022</v>
      </c>
      <c r="B2535" s="4" t="n">
        <v>1080</v>
      </c>
      <c r="C2535" s="4" t="n">
        <v>66</v>
      </c>
      <c r="D2535" s="4" t="n">
        <v>19.965</v>
      </c>
      <c r="E2535" s="5" t="n">
        <v>54.1</v>
      </c>
      <c r="F2535" s="3" t="inlineStr">
        <is>
          <t>강내면</t>
        </is>
      </c>
      <c r="G2535" s="3" t="inlineStr">
        <is>
          <t>궁현리</t>
        </is>
      </c>
      <c r="H2535" s="3" t="inlineStr">
        <is>
          <t>농림지역</t>
        </is>
      </c>
      <c r="I2535" s="3" t="inlineStr">
        <is>
          <t>도로</t>
        </is>
      </c>
      <c r="J2535" s="3" t="inlineStr">
        <is>
          <t>강내면</t>
        </is>
      </c>
    </row>
    <row r="2536">
      <c r="A2536" s="3" t="n">
        <v>2022</v>
      </c>
      <c r="B2536" s="4" t="n">
        <v>31300</v>
      </c>
      <c r="C2536" s="4" t="n">
        <v>1759</v>
      </c>
      <c r="D2536" s="4" t="n">
        <v>532.0975</v>
      </c>
      <c r="E2536" s="5" t="n">
        <v>58.8</v>
      </c>
      <c r="F2536" s="3" t="inlineStr">
        <is>
          <t>강내면</t>
        </is>
      </c>
      <c r="G2536" s="3" t="inlineStr">
        <is>
          <t>월곡리</t>
        </is>
      </c>
      <c r="H2536" s="3" t="inlineStr">
        <is>
          <t>생산녹지지역</t>
        </is>
      </c>
      <c r="I2536" s="3" t="inlineStr">
        <is>
          <t>답</t>
        </is>
      </c>
      <c r="J2536" s="3" t="inlineStr">
        <is>
          <t>강내면</t>
        </is>
      </c>
    </row>
    <row r="2537">
      <c r="A2537" s="3" t="n">
        <v>2022</v>
      </c>
      <c r="B2537" s="4" t="n">
        <v>56200</v>
      </c>
      <c r="C2537" s="4" t="n">
        <v>3154</v>
      </c>
      <c r="D2537" s="4" t="n">
        <v>954.0849999999999</v>
      </c>
      <c r="E2537" s="5" t="n">
        <v>58.9</v>
      </c>
      <c r="F2537" s="3" t="inlineStr">
        <is>
          <t>강내면</t>
        </is>
      </c>
      <c r="G2537" s="3" t="inlineStr">
        <is>
          <t>월곡리</t>
        </is>
      </c>
      <c r="H2537" s="3" t="inlineStr">
        <is>
          <t>생산녹지지역</t>
        </is>
      </c>
      <c r="I2537" s="3" t="inlineStr">
        <is>
          <t>답</t>
        </is>
      </c>
      <c r="J2537" s="3" t="inlineStr">
        <is>
          <t>강내면</t>
        </is>
      </c>
    </row>
    <row r="2538">
      <c r="A2538" s="3" t="n">
        <v>2022</v>
      </c>
      <c r="B2538" s="4" t="n">
        <v>31300</v>
      </c>
      <c r="C2538" s="4" t="n">
        <v>1759</v>
      </c>
      <c r="D2538" s="4" t="n">
        <v>532.0975</v>
      </c>
      <c r="E2538" s="5" t="n">
        <v>58.8</v>
      </c>
      <c r="F2538" s="3" t="inlineStr">
        <is>
          <t>강내면</t>
        </is>
      </c>
      <c r="G2538" s="3" t="inlineStr">
        <is>
          <t>월곡리</t>
        </is>
      </c>
      <c r="H2538" s="3" t="inlineStr">
        <is>
          <t>생산녹지지역</t>
        </is>
      </c>
      <c r="I2538" s="3" t="inlineStr">
        <is>
          <t>답</t>
        </is>
      </c>
      <c r="J2538" s="3" t="inlineStr">
        <is>
          <t>강내면</t>
        </is>
      </c>
    </row>
    <row r="2539">
      <c r="A2539" s="3" t="n">
        <v>2022</v>
      </c>
      <c r="B2539" s="4" t="n">
        <v>56200</v>
      </c>
      <c r="C2539" s="4" t="n">
        <v>3154</v>
      </c>
      <c r="D2539" s="4" t="n">
        <v>954.0849999999999</v>
      </c>
      <c r="E2539" s="5" t="n">
        <v>58.9</v>
      </c>
      <c r="F2539" s="3" t="inlineStr">
        <is>
          <t>강내면</t>
        </is>
      </c>
      <c r="G2539" s="3" t="inlineStr">
        <is>
          <t>월곡리</t>
        </is>
      </c>
      <c r="H2539" s="3" t="inlineStr">
        <is>
          <t>생산녹지지역</t>
        </is>
      </c>
      <c r="I2539" s="3" t="inlineStr">
        <is>
          <t>답</t>
        </is>
      </c>
      <c r="J2539" s="3" t="inlineStr">
        <is>
          <t>강내면</t>
        </is>
      </c>
    </row>
    <row r="2540">
      <c r="A2540" s="3" t="n">
        <v>2022</v>
      </c>
      <c r="B2540" s="4" t="n">
        <v>6000</v>
      </c>
      <c r="C2540" s="4" t="n">
        <v>43</v>
      </c>
      <c r="D2540" s="4" t="n">
        <v>13.0075</v>
      </c>
      <c r="E2540" s="5" t="n">
        <v>461.3</v>
      </c>
      <c r="F2540" s="3" t="inlineStr">
        <is>
          <t>오송읍</t>
        </is>
      </c>
      <c r="G2540" s="3" t="inlineStr">
        <is>
          <t>오송리</t>
        </is>
      </c>
      <c r="H2540" s="3" t="inlineStr">
        <is>
          <t>준주거지역</t>
        </is>
      </c>
      <c r="I2540" s="3" t="inlineStr">
        <is>
          <t>잡종지</t>
        </is>
      </c>
      <c r="J2540" s="3" t="inlineStr">
        <is>
          <t>오송읍</t>
        </is>
      </c>
    </row>
    <row r="2541">
      <c r="A2541" s="3" t="n">
        <v>2022</v>
      </c>
      <c r="B2541" s="4" t="n">
        <v>28000</v>
      </c>
      <c r="C2541" s="4" t="n">
        <v>232</v>
      </c>
      <c r="D2541" s="4" t="n">
        <v>70.17999999999999</v>
      </c>
      <c r="E2541" s="5" t="n">
        <v>399</v>
      </c>
      <c r="F2541" s="3" t="inlineStr">
        <is>
          <t>오송읍</t>
        </is>
      </c>
      <c r="G2541" s="3" t="inlineStr">
        <is>
          <t>봉산리</t>
        </is>
      </c>
      <c r="H2541" s="3" t="inlineStr">
        <is>
          <t>계획관리지역</t>
        </is>
      </c>
      <c r="I2541" s="3" t="inlineStr">
        <is>
          <t>대</t>
        </is>
      </c>
      <c r="J2541" s="3" t="inlineStr">
        <is>
          <t>오송읍</t>
        </is>
      </c>
    </row>
    <row r="2542">
      <c r="A2542" s="3" t="n">
        <v>2022</v>
      </c>
      <c r="B2542" s="4" t="n">
        <v>28000</v>
      </c>
      <c r="C2542" s="4" t="n">
        <v>240.9</v>
      </c>
      <c r="D2542" s="4" t="n">
        <v>72.87224999999999</v>
      </c>
      <c r="E2542" s="5" t="n">
        <v>384.2</v>
      </c>
      <c r="F2542" s="3" t="inlineStr">
        <is>
          <t>오송읍</t>
        </is>
      </c>
      <c r="G2542" s="3" t="inlineStr">
        <is>
          <t>봉산리</t>
        </is>
      </c>
      <c r="H2542" s="3" t="inlineStr">
        <is>
          <t>제1종일반주거지역</t>
        </is>
      </c>
      <c r="I2542" s="3" t="inlineStr">
        <is>
          <t>대</t>
        </is>
      </c>
      <c r="J2542" s="3" t="inlineStr">
        <is>
          <t>오송읍</t>
        </is>
      </c>
    </row>
    <row r="2543">
      <c r="A2543" s="3" t="n">
        <v>2022</v>
      </c>
      <c r="B2543" s="4" t="n">
        <v>30500</v>
      </c>
      <c r="C2543" s="4" t="n">
        <v>267.7</v>
      </c>
      <c r="D2543" s="4" t="n">
        <v>80.97924999999999</v>
      </c>
      <c r="E2543" s="5" t="n">
        <v>376.6</v>
      </c>
      <c r="F2543" s="3" t="inlineStr">
        <is>
          <t>오송읍</t>
        </is>
      </c>
      <c r="G2543" s="3" t="inlineStr">
        <is>
          <t>봉산리</t>
        </is>
      </c>
      <c r="H2543" s="3" t="inlineStr">
        <is>
          <t>제1종일반주거지역</t>
        </is>
      </c>
      <c r="I2543" s="3" t="inlineStr">
        <is>
          <t>대</t>
        </is>
      </c>
      <c r="J2543" s="3" t="inlineStr">
        <is>
          <t>오송읍</t>
        </is>
      </c>
    </row>
    <row r="2544">
      <c r="A2544" s="3" t="n">
        <v>2022</v>
      </c>
      <c r="B2544" s="4" t="n">
        <v>28600</v>
      </c>
      <c r="C2544" s="4" t="n">
        <v>946</v>
      </c>
      <c r="D2544" s="4" t="n">
        <v>286.165</v>
      </c>
      <c r="E2544" s="5" t="n">
        <v>99.90000000000001</v>
      </c>
      <c r="F2544" s="3" t="inlineStr">
        <is>
          <t>오송읍</t>
        </is>
      </c>
      <c r="G2544" s="3" t="inlineStr">
        <is>
          <t>쌍청리</t>
        </is>
      </c>
      <c r="H2544" s="3" t="inlineStr">
        <is>
          <t>계획관리지역</t>
        </is>
      </c>
      <c r="I2544" s="3" t="inlineStr">
        <is>
          <t>전</t>
        </is>
      </c>
      <c r="J2544" s="3" t="inlineStr">
        <is>
          <t>오송읍</t>
        </is>
      </c>
    </row>
    <row r="2545">
      <c r="A2545" s="3" t="n">
        <v>2022</v>
      </c>
      <c r="B2545" s="4" t="n">
        <v>369580</v>
      </c>
      <c r="C2545" s="4" t="n">
        <v>7187</v>
      </c>
      <c r="D2545" s="4" t="n">
        <v>2174.0675</v>
      </c>
      <c r="E2545" s="5" t="n">
        <v>170</v>
      </c>
      <c r="F2545" s="3" t="inlineStr">
        <is>
          <t>강내면</t>
        </is>
      </c>
      <c r="G2545" s="3" t="inlineStr">
        <is>
          <t>사곡리</t>
        </is>
      </c>
      <c r="H2545" s="3" t="inlineStr">
        <is>
          <t>계획관리지역</t>
        </is>
      </c>
      <c r="I2545" s="3" t="inlineStr">
        <is>
          <t>대</t>
        </is>
      </c>
      <c r="J2545" s="3" t="inlineStr">
        <is>
          <t>강내면</t>
        </is>
      </c>
    </row>
    <row r="2546">
      <c r="A2546" s="3" t="n">
        <v>2022</v>
      </c>
      <c r="B2546" s="4" t="n">
        <v>51000</v>
      </c>
      <c r="C2546" s="4" t="n">
        <v>296</v>
      </c>
      <c r="D2546" s="4" t="n">
        <v>89.53999999999999</v>
      </c>
      <c r="E2546" s="5" t="n">
        <v>569.6</v>
      </c>
      <c r="F2546" s="3" t="inlineStr">
        <is>
          <t>오송읍</t>
        </is>
      </c>
      <c r="G2546" s="3" t="inlineStr">
        <is>
          <t>오송리</t>
        </is>
      </c>
      <c r="H2546" s="3" t="inlineStr">
        <is>
          <t>준주거지역</t>
        </is>
      </c>
      <c r="I2546" s="3" t="inlineStr">
        <is>
          <t>대</t>
        </is>
      </c>
      <c r="J2546" s="3" t="inlineStr">
        <is>
          <t>오송읍</t>
        </is>
      </c>
    </row>
    <row r="2547">
      <c r="A2547" s="3" t="n">
        <v>2022</v>
      </c>
      <c r="B2547" s="4" t="n">
        <v>29000</v>
      </c>
      <c r="C2547" s="4" t="n">
        <v>985</v>
      </c>
      <c r="D2547" s="4" t="n">
        <v>297.9625</v>
      </c>
      <c r="E2547" s="5" t="n">
        <v>97.3</v>
      </c>
      <c r="F2547" s="3" t="inlineStr">
        <is>
          <t>강내면</t>
        </is>
      </c>
      <c r="G2547" s="3" t="inlineStr">
        <is>
          <t>연정리</t>
        </is>
      </c>
      <c r="H2547" s="3" t="inlineStr">
        <is>
          <t>계획관리지역</t>
        </is>
      </c>
      <c r="I2547" s="3" t="inlineStr">
        <is>
          <t>답</t>
        </is>
      </c>
      <c r="J2547" s="3" t="inlineStr">
        <is>
          <t>강내면</t>
        </is>
      </c>
    </row>
    <row r="2548">
      <c r="A2548" s="3" t="n">
        <v>2022</v>
      </c>
      <c r="B2548" s="4" t="n">
        <v>1000</v>
      </c>
      <c r="C2548" s="4" t="n">
        <v>35</v>
      </c>
      <c r="D2548" s="4" t="n">
        <v>10.5875</v>
      </c>
      <c r="E2548" s="5" t="n">
        <v>94.5</v>
      </c>
      <c r="F2548" s="3" t="inlineStr">
        <is>
          <t>강내면</t>
        </is>
      </c>
      <c r="G2548" s="3" t="inlineStr">
        <is>
          <t>연정리</t>
        </is>
      </c>
      <c r="H2548" s="3" t="inlineStr">
        <is>
          <t>계획관리지역</t>
        </is>
      </c>
      <c r="I2548" s="3" t="inlineStr">
        <is>
          <t>답</t>
        </is>
      </c>
      <c r="J2548" s="3" t="inlineStr">
        <is>
          <t>강내면</t>
        </is>
      </c>
    </row>
    <row r="2549">
      <c r="A2549" s="3" t="n">
        <v>2022</v>
      </c>
      <c r="B2549" s="4" t="n">
        <v>7000</v>
      </c>
      <c r="C2549" s="4" t="n">
        <v>135</v>
      </c>
      <c r="D2549" s="4" t="n">
        <v>40.8375</v>
      </c>
      <c r="E2549" s="5" t="n">
        <v>171.4</v>
      </c>
      <c r="F2549" s="3" t="inlineStr">
        <is>
          <t>오송읍</t>
        </is>
      </c>
      <c r="G2549" s="3" t="inlineStr">
        <is>
          <t>오송리</t>
        </is>
      </c>
      <c r="H2549" s="3" t="inlineStr">
        <is>
          <t>계획관리지역</t>
        </is>
      </c>
      <c r="I2549" s="3" t="inlineStr">
        <is>
          <t>답</t>
        </is>
      </c>
      <c r="J2549" s="3" t="inlineStr">
        <is>
          <t>오송읍</t>
        </is>
      </c>
    </row>
    <row r="2550">
      <c r="A2550" s="3" t="n">
        <v>2022</v>
      </c>
      <c r="B2550" s="4" t="n">
        <v>5000</v>
      </c>
      <c r="C2550" s="4" t="n">
        <v>747</v>
      </c>
      <c r="D2550" s="4" t="n">
        <v>225.9675</v>
      </c>
      <c r="E2550" s="5" t="n">
        <v>22.1</v>
      </c>
      <c r="F2550" s="3" t="inlineStr">
        <is>
          <t>오송읍</t>
        </is>
      </c>
      <c r="G2550" s="3" t="inlineStr">
        <is>
          <t>상봉리</t>
        </is>
      </c>
      <c r="H2550" s="3" t="inlineStr">
        <is>
          <t>계획관리지역</t>
        </is>
      </c>
      <c r="I2550" s="3" t="inlineStr">
        <is>
          <t>답</t>
        </is>
      </c>
      <c r="J2550" s="3" t="inlineStr">
        <is>
          <t>오송읍</t>
        </is>
      </c>
    </row>
    <row r="2551">
      <c r="A2551" s="3" t="n">
        <v>2022</v>
      </c>
      <c r="B2551" s="4" t="n">
        <v>12000</v>
      </c>
      <c r="C2551" s="4" t="n">
        <v>165</v>
      </c>
      <c r="D2551" s="4" t="n">
        <v>49.9125</v>
      </c>
      <c r="E2551" s="5" t="n">
        <v>240.4</v>
      </c>
      <c r="F2551" s="3" t="inlineStr">
        <is>
          <t>오송읍</t>
        </is>
      </c>
      <c r="G2551" s="3" t="inlineStr">
        <is>
          <t>오송리</t>
        </is>
      </c>
      <c r="H2551" s="3" t="inlineStr">
        <is>
          <t>계획관리지역</t>
        </is>
      </c>
      <c r="I2551" s="3" t="inlineStr">
        <is>
          <t>전</t>
        </is>
      </c>
      <c r="J2551" s="3" t="inlineStr">
        <is>
          <t>오송읍</t>
        </is>
      </c>
    </row>
    <row r="2552">
      <c r="A2552" s="3" t="n">
        <v>2022</v>
      </c>
      <c r="B2552" s="4" t="n">
        <v>29000</v>
      </c>
      <c r="C2552" s="4" t="n">
        <v>985</v>
      </c>
      <c r="D2552" s="4" t="n">
        <v>297.9625</v>
      </c>
      <c r="E2552" s="5" t="n">
        <v>97.3</v>
      </c>
      <c r="F2552" s="3" t="inlineStr">
        <is>
          <t>강내면</t>
        </is>
      </c>
      <c r="G2552" s="3" t="inlineStr">
        <is>
          <t>연정리</t>
        </is>
      </c>
      <c r="H2552" s="3" t="inlineStr">
        <is>
          <t>계획관리지역</t>
        </is>
      </c>
      <c r="I2552" s="3" t="inlineStr">
        <is>
          <t>답</t>
        </is>
      </c>
      <c r="J2552" s="3" t="inlineStr">
        <is>
          <t>강내면</t>
        </is>
      </c>
    </row>
    <row r="2553">
      <c r="A2553" s="3" t="n">
        <v>2022</v>
      </c>
      <c r="B2553" s="4" t="n">
        <v>1000</v>
      </c>
      <c r="C2553" s="4" t="n">
        <v>35</v>
      </c>
      <c r="D2553" s="4" t="n">
        <v>10.5875</v>
      </c>
      <c r="E2553" s="5" t="n">
        <v>94.5</v>
      </c>
      <c r="F2553" s="3" t="inlineStr">
        <is>
          <t>강내면</t>
        </is>
      </c>
      <c r="G2553" s="3" t="inlineStr">
        <is>
          <t>연정리</t>
        </is>
      </c>
      <c r="H2553" s="3" t="inlineStr">
        <is>
          <t>계획관리지역</t>
        </is>
      </c>
      <c r="I2553" s="3" t="inlineStr">
        <is>
          <t>답</t>
        </is>
      </c>
      <c r="J2553" s="3" t="inlineStr">
        <is>
          <t>강내면</t>
        </is>
      </c>
    </row>
    <row r="2554">
      <c r="A2554" s="3" t="n">
        <v>2022</v>
      </c>
      <c r="B2554" s="4" t="n">
        <v>37500</v>
      </c>
      <c r="C2554" s="4" t="n">
        <v>990</v>
      </c>
      <c r="D2554" s="4" t="n">
        <v>299.475</v>
      </c>
      <c r="E2554" s="5" t="n">
        <v>125.2</v>
      </c>
      <c r="F2554" s="3" t="inlineStr">
        <is>
          <t>강내면</t>
        </is>
      </c>
      <c r="G2554" s="3" t="inlineStr">
        <is>
          <t>월곡리</t>
        </is>
      </c>
      <c r="H2554" s="3" t="inlineStr">
        <is>
          <t>자연녹지지역</t>
        </is>
      </c>
      <c r="I2554" s="3" t="inlineStr">
        <is>
          <t>임야</t>
        </is>
      </c>
      <c r="J2554" s="3" t="inlineStr">
        <is>
          <t>강내면</t>
        </is>
      </c>
    </row>
    <row r="2555">
      <c r="A2555" s="3" t="n">
        <v>2023</v>
      </c>
      <c r="B2555" s="4" t="n">
        <v>33100</v>
      </c>
      <c r="C2555" s="4" t="n">
        <v>1093</v>
      </c>
      <c r="D2555" s="4" t="n">
        <v>330.6325</v>
      </c>
      <c r="E2555" s="5" t="n">
        <v>100.1</v>
      </c>
      <c r="F2555" s="3" t="inlineStr">
        <is>
          <t>강내면</t>
        </is>
      </c>
      <c r="G2555" s="3" t="inlineStr">
        <is>
          <t>저산리</t>
        </is>
      </c>
      <c r="H2555" s="3" t="inlineStr">
        <is>
          <t>계획관리지역</t>
        </is>
      </c>
      <c r="I2555" s="3" t="inlineStr">
        <is>
          <t>임야</t>
        </is>
      </c>
      <c r="J2555" s="3" t="inlineStr">
        <is>
          <t>강내면</t>
        </is>
      </c>
    </row>
    <row r="2556">
      <c r="A2556" s="3" t="n">
        <v>2023</v>
      </c>
      <c r="B2556" s="4" t="n">
        <v>79000</v>
      </c>
      <c r="C2556" s="4" t="n">
        <v>3494</v>
      </c>
      <c r="D2556" s="4" t="n">
        <v>1056.935</v>
      </c>
      <c r="E2556" s="5" t="n">
        <v>74.7</v>
      </c>
      <c r="F2556" s="3" t="inlineStr">
        <is>
          <t>오송읍</t>
        </is>
      </c>
      <c r="G2556" s="3" t="inlineStr">
        <is>
          <t>궁평리</t>
        </is>
      </c>
      <c r="H2556" s="3" t="inlineStr">
        <is>
          <t>농림지역</t>
        </is>
      </c>
      <c r="I2556" s="3" t="inlineStr">
        <is>
          <t>전</t>
        </is>
      </c>
      <c r="J2556" s="3" t="inlineStr">
        <is>
          <t>오송읍</t>
        </is>
      </c>
    </row>
    <row r="2557">
      <c r="A2557" s="3" t="n">
        <v>2023</v>
      </c>
      <c r="B2557" s="4" t="n">
        <v>21000</v>
      </c>
      <c r="C2557" s="4" t="n">
        <v>1584</v>
      </c>
      <c r="D2557" s="4" t="n">
        <v>479.16</v>
      </c>
      <c r="E2557" s="5" t="n">
        <v>43.8</v>
      </c>
      <c r="F2557" s="3" t="inlineStr">
        <is>
          <t>오송읍</t>
        </is>
      </c>
      <c r="G2557" s="3" t="inlineStr">
        <is>
          <t>호계리</t>
        </is>
      </c>
      <c r="H2557" s="3" t="inlineStr">
        <is>
          <t>농림지역</t>
        </is>
      </c>
      <c r="I2557" s="3" t="inlineStr">
        <is>
          <t>답</t>
        </is>
      </c>
      <c r="J2557" s="3" t="inlineStr">
        <is>
          <t>오송읍</t>
        </is>
      </c>
    </row>
    <row r="2558">
      <c r="A2558" s="3" t="n">
        <v>2023</v>
      </c>
      <c r="B2558" s="4" t="n">
        <v>13500</v>
      </c>
      <c r="C2558" s="4" t="n">
        <v>137</v>
      </c>
      <c r="D2558" s="4" t="n">
        <v>41.4425</v>
      </c>
      <c r="E2558" s="5" t="n">
        <v>325.8</v>
      </c>
      <c r="F2558" s="3" t="inlineStr">
        <is>
          <t>강내면</t>
        </is>
      </c>
      <c r="G2558" s="3" t="inlineStr">
        <is>
          <t>월곡리</t>
        </is>
      </c>
      <c r="H2558" s="3" t="inlineStr">
        <is>
          <t>제2종일반주거지역</t>
        </is>
      </c>
      <c r="I2558" s="3" t="inlineStr">
        <is>
          <t>대</t>
        </is>
      </c>
      <c r="J2558" s="3" t="inlineStr">
        <is>
          <t>강내면</t>
        </is>
      </c>
    </row>
    <row r="2559">
      <c r="A2559" s="3" t="n">
        <v>2023</v>
      </c>
      <c r="B2559" s="4" t="n">
        <v>32000</v>
      </c>
      <c r="C2559" s="4" t="n">
        <v>276.5</v>
      </c>
      <c r="D2559" s="4" t="n">
        <v>83.64125</v>
      </c>
      <c r="E2559" s="5" t="n">
        <v>382.6</v>
      </c>
      <c r="F2559" s="3" t="inlineStr">
        <is>
          <t>오송읍</t>
        </is>
      </c>
      <c r="G2559" s="3" t="inlineStr">
        <is>
          <t>봉산리</t>
        </is>
      </c>
      <c r="H2559" s="3" t="inlineStr">
        <is>
          <t>제1종일반주거지역</t>
        </is>
      </c>
      <c r="I2559" s="3" t="inlineStr">
        <is>
          <t>대</t>
        </is>
      </c>
      <c r="J2559" s="3" t="inlineStr">
        <is>
          <t>오송읍</t>
        </is>
      </c>
    </row>
    <row r="2560">
      <c r="A2560" s="3" t="n">
        <v>2023</v>
      </c>
      <c r="B2560" s="4" t="n">
        <v>6600</v>
      </c>
      <c r="C2560" s="4" t="n">
        <v>460.5</v>
      </c>
      <c r="D2560" s="4" t="n">
        <v>139.30125</v>
      </c>
      <c r="E2560" s="5" t="n">
        <v>47.4</v>
      </c>
      <c r="F2560" s="3" t="inlineStr">
        <is>
          <t>강내면</t>
        </is>
      </c>
      <c r="G2560" s="3" t="inlineStr">
        <is>
          <t>석화리</t>
        </is>
      </c>
      <c r="H2560" s="3" t="inlineStr">
        <is>
          <t>자연녹지지역</t>
        </is>
      </c>
      <c r="I2560" s="3" t="inlineStr">
        <is>
          <t>대</t>
        </is>
      </c>
      <c r="J2560" s="3" t="inlineStr">
        <is>
          <t>강내면</t>
        </is>
      </c>
    </row>
    <row r="2561">
      <c r="A2561" s="3" t="n">
        <v>2023</v>
      </c>
      <c r="B2561" s="4" t="n">
        <v>35000</v>
      </c>
      <c r="C2561" s="4" t="n">
        <v>257</v>
      </c>
      <c r="D2561" s="4" t="n">
        <v>77.74249999999999</v>
      </c>
      <c r="E2561" s="5" t="n">
        <v>450.2</v>
      </c>
      <c r="F2561" s="3" t="inlineStr">
        <is>
          <t>오송읍</t>
        </is>
      </c>
      <c r="G2561" s="3" t="inlineStr">
        <is>
          <t>봉산리</t>
        </is>
      </c>
      <c r="H2561" s="3" t="inlineStr">
        <is>
          <t>제1종일반주거지역</t>
        </is>
      </c>
      <c r="I2561" s="3" t="inlineStr">
        <is>
          <t>대</t>
        </is>
      </c>
      <c r="J2561" s="3" t="inlineStr">
        <is>
          <t>오송읍</t>
        </is>
      </c>
    </row>
    <row r="2562">
      <c r="A2562" s="3" t="n">
        <v>2023</v>
      </c>
      <c r="B2562" s="4" t="n">
        <v>15500</v>
      </c>
      <c r="C2562" s="4" t="n">
        <v>2228</v>
      </c>
      <c r="D2562" s="4" t="n">
        <v>673.97</v>
      </c>
      <c r="E2562" s="5" t="n">
        <v>23</v>
      </c>
      <c r="F2562" s="3" t="inlineStr">
        <is>
          <t>강내면</t>
        </is>
      </c>
      <c r="G2562" s="3" t="inlineStr">
        <is>
          <t>사곡리</t>
        </is>
      </c>
      <c r="H2562" s="3" t="inlineStr">
        <is>
          <t>계획관리지역</t>
        </is>
      </c>
      <c r="I2562" s="3" t="inlineStr">
        <is>
          <t>전</t>
        </is>
      </c>
      <c r="J2562" s="3" t="inlineStr">
        <is>
          <t>강내면</t>
        </is>
      </c>
    </row>
    <row r="2563">
      <c r="A2563" s="3" t="n">
        <v>2023</v>
      </c>
      <c r="B2563" s="4" t="n">
        <v>1044</v>
      </c>
      <c r="C2563" s="4" t="n">
        <v>417</v>
      </c>
      <c r="D2563" s="4" t="n">
        <v>126.1425</v>
      </c>
      <c r="E2563" s="5" t="n">
        <v>8.300000000000001</v>
      </c>
      <c r="F2563" s="3" t="inlineStr">
        <is>
          <t>강내면</t>
        </is>
      </c>
      <c r="G2563" s="3" t="inlineStr">
        <is>
          <t>황탄리</t>
        </is>
      </c>
      <c r="H2563" s="3" t="inlineStr">
        <is>
          <t>계획관리지역</t>
        </is>
      </c>
      <c r="I2563" s="3" t="inlineStr">
        <is>
          <t>전</t>
        </is>
      </c>
      <c r="J2563" s="3" t="inlineStr">
        <is>
          <t>강내면</t>
        </is>
      </c>
    </row>
    <row r="2564">
      <c r="A2564" s="3" t="n">
        <v>2023</v>
      </c>
      <c r="B2564" s="4" t="n">
        <v>156</v>
      </c>
      <c r="C2564" s="4" t="n">
        <v>80</v>
      </c>
      <c r="D2564" s="4" t="n">
        <v>24.2</v>
      </c>
      <c r="E2564" s="5" t="n">
        <v>6.4</v>
      </c>
      <c r="F2564" s="3" t="inlineStr">
        <is>
          <t>강내면</t>
        </is>
      </c>
      <c r="G2564" s="3" t="inlineStr">
        <is>
          <t>황탄리</t>
        </is>
      </c>
      <c r="H2564" s="3" t="inlineStr">
        <is>
          <t>계획관리지역</t>
        </is>
      </c>
      <c r="I2564" s="3" t="inlineStr">
        <is>
          <t>대</t>
        </is>
      </c>
      <c r="J2564" s="3" t="inlineStr">
        <is>
          <t>강내면</t>
        </is>
      </c>
    </row>
    <row r="2565">
      <c r="A2565" s="3" t="n">
        <v>2026</v>
      </c>
      <c r="B2565" s="4" t="n">
        <v>75700</v>
      </c>
      <c r="C2565" s="4" t="n">
        <v>355.9</v>
      </c>
      <c r="D2565" s="4" t="n">
        <v>107.65975</v>
      </c>
      <c r="E2565" s="5" t="n">
        <v>703.1</v>
      </c>
      <c r="F2565" s="3" t="inlineStr">
        <is>
          <t>조치원읍</t>
        </is>
      </c>
      <c r="G2565" s="3" t="inlineStr">
        <is>
          <t>침산리</t>
        </is>
      </c>
      <c r="H2565" s="3" t="inlineStr">
        <is>
          <t>제2종일반주거지역</t>
        </is>
      </c>
      <c r="I2565" s="3" t="inlineStr">
        <is>
          <t>대</t>
        </is>
      </c>
      <c r="J2565" s="3" t="inlineStr">
        <is>
          <t>조치원읍</t>
        </is>
      </c>
    </row>
    <row r="2566">
      <c r="A2566" s="3" t="n">
        <v>2026</v>
      </c>
      <c r="B2566" s="4" t="n">
        <v>83300</v>
      </c>
      <c r="C2566" s="4" t="n">
        <v>353.2</v>
      </c>
      <c r="D2566" s="4" t="n">
        <v>106.843</v>
      </c>
      <c r="E2566" s="5" t="n">
        <v>779.6</v>
      </c>
      <c r="F2566" s="3" t="inlineStr">
        <is>
          <t>고운동</t>
        </is>
      </c>
      <c r="G2566" s="3" t="inlineStr"/>
      <c r="H2566" s="3" t="inlineStr">
        <is>
          <t>제1종전용주거지역</t>
        </is>
      </c>
      <c r="I2566" s="3" t="inlineStr">
        <is>
          <t>대</t>
        </is>
      </c>
      <c r="J2566" s="3" t="inlineStr">
        <is>
          <t>고운동</t>
        </is>
      </c>
    </row>
    <row r="2567">
      <c r="A2567" s="3" t="n">
        <v>2026</v>
      </c>
      <c r="B2567" s="4" t="n">
        <v>75700</v>
      </c>
      <c r="C2567" s="4" t="n">
        <v>355.9</v>
      </c>
      <c r="D2567" s="4" t="n">
        <v>107.65975</v>
      </c>
      <c r="E2567" s="5" t="n">
        <v>703.1</v>
      </c>
      <c r="F2567" s="3" t="inlineStr">
        <is>
          <t>조치원읍</t>
        </is>
      </c>
      <c r="G2567" s="3" t="inlineStr">
        <is>
          <t>침산리</t>
        </is>
      </c>
      <c r="H2567" s="3" t="inlineStr">
        <is>
          <t>제2종일반주거지역</t>
        </is>
      </c>
      <c r="I2567" s="3" t="inlineStr">
        <is>
          <t>대</t>
        </is>
      </c>
      <c r="J2567" s="3" t="inlineStr">
        <is>
          <t>조치원읍</t>
        </is>
      </c>
    </row>
    <row r="2568">
      <c r="A2568" s="3" t="n">
        <v>2026</v>
      </c>
      <c r="B2568" s="4" t="n">
        <v>74000</v>
      </c>
      <c r="C2568" s="4" t="n">
        <v>2585</v>
      </c>
      <c r="D2568" s="4" t="n">
        <v>781.9625</v>
      </c>
      <c r="E2568" s="5" t="n">
        <v>94.59999999999999</v>
      </c>
      <c r="F2568" s="3" t="inlineStr">
        <is>
          <t>연서면</t>
        </is>
      </c>
      <c r="G2568" s="3" t="inlineStr">
        <is>
          <t>와촌리</t>
        </is>
      </c>
      <c r="H2568" s="3" t="inlineStr">
        <is>
          <t>농림지역</t>
        </is>
      </c>
      <c r="I2568" s="3" t="inlineStr">
        <is>
          <t>답</t>
        </is>
      </c>
      <c r="J2568" s="3" t="inlineStr">
        <is>
          <t>연서면</t>
        </is>
      </c>
    </row>
    <row r="2569">
      <c r="A2569" s="3" t="n">
        <v>2026</v>
      </c>
      <c r="B2569" s="4" t="n">
        <v>70000</v>
      </c>
      <c r="C2569" s="4" t="n">
        <v>510</v>
      </c>
      <c r="D2569" s="4" t="n">
        <v>154.275</v>
      </c>
      <c r="E2569" s="5" t="n">
        <v>453.7</v>
      </c>
      <c r="F2569" s="3" t="inlineStr">
        <is>
          <t>반곡동</t>
        </is>
      </c>
      <c r="G2569" s="3" t="inlineStr"/>
      <c r="H2569" s="3" t="inlineStr">
        <is>
          <t>제1종전용주거지역</t>
        </is>
      </c>
      <c r="I2569" s="3" t="inlineStr">
        <is>
          <t>대</t>
        </is>
      </c>
      <c r="J2569" s="3" t="inlineStr">
        <is>
          <t>반곡동</t>
        </is>
      </c>
    </row>
    <row r="2570">
      <c r="A2570" s="3" t="n">
        <v>2024</v>
      </c>
      <c r="B2570" s="4" t="n">
        <v>49400</v>
      </c>
      <c r="C2570" s="4" t="n">
        <v>358.7</v>
      </c>
      <c r="D2570" s="4" t="n">
        <v>108.50675</v>
      </c>
      <c r="E2570" s="5" t="n">
        <v>455.3</v>
      </c>
      <c r="F2570" s="3" t="inlineStr">
        <is>
          <t>고운동</t>
        </is>
      </c>
      <c r="G2570" s="3" t="inlineStr"/>
      <c r="H2570" s="3" t="inlineStr">
        <is>
          <t>제1종전용주거지역</t>
        </is>
      </c>
      <c r="I2570" s="3" t="inlineStr">
        <is>
          <t>대</t>
        </is>
      </c>
      <c r="J2570" s="3" t="inlineStr">
        <is>
          <t>고운동</t>
        </is>
      </c>
    </row>
    <row r="2571">
      <c r="A2571" s="3" t="n">
        <v>2024</v>
      </c>
      <c r="B2571" s="4" t="n">
        <v>14000</v>
      </c>
      <c r="C2571" s="4" t="n">
        <v>155</v>
      </c>
      <c r="D2571" s="4" t="n">
        <v>46.8875</v>
      </c>
      <c r="E2571" s="5" t="n">
        <v>298.6</v>
      </c>
      <c r="F2571" s="3" t="inlineStr">
        <is>
          <t>조치원읍</t>
        </is>
      </c>
      <c r="G2571" s="3" t="inlineStr">
        <is>
          <t>남리</t>
        </is>
      </c>
      <c r="H2571" s="3" t="inlineStr">
        <is>
          <t>제2종일반주거지역</t>
        </is>
      </c>
      <c r="I2571" s="3" t="inlineStr">
        <is>
          <t>대</t>
        </is>
      </c>
      <c r="J2571" s="3" t="inlineStr">
        <is>
          <t>조치원읍</t>
        </is>
      </c>
    </row>
    <row r="2572">
      <c r="A2572" s="3" t="n">
        <v>2024</v>
      </c>
      <c r="B2572" s="4" t="n">
        <v>18000</v>
      </c>
      <c r="C2572" s="4" t="n">
        <v>841</v>
      </c>
      <c r="D2572" s="4" t="n">
        <v>254.4025</v>
      </c>
      <c r="E2572" s="5" t="n">
        <v>70.8</v>
      </c>
      <c r="F2572" s="3" t="inlineStr">
        <is>
          <t>연서면</t>
        </is>
      </c>
      <c r="G2572" s="3" t="inlineStr">
        <is>
          <t>기룡리</t>
        </is>
      </c>
      <c r="H2572" s="3" t="inlineStr">
        <is>
          <t>계획관리지역</t>
        </is>
      </c>
      <c r="I2572" s="3" t="inlineStr">
        <is>
          <t>답</t>
        </is>
      </c>
      <c r="J2572" s="3" t="inlineStr">
        <is>
          <t>연서면</t>
        </is>
      </c>
    </row>
    <row r="2573">
      <c r="A2573" s="3" t="n">
        <v>2024</v>
      </c>
      <c r="B2573" s="4" t="n">
        <v>59000</v>
      </c>
      <c r="C2573" s="4" t="n">
        <v>707</v>
      </c>
      <c r="D2573" s="4" t="n">
        <v>213.8675</v>
      </c>
      <c r="E2573" s="5" t="n">
        <v>275.9</v>
      </c>
      <c r="F2573" s="3" t="inlineStr">
        <is>
          <t>연동면</t>
        </is>
      </c>
      <c r="G2573" s="3" t="inlineStr">
        <is>
          <t>내판리</t>
        </is>
      </c>
      <c r="H2573" s="3" t="inlineStr">
        <is>
          <t>계획관리지역</t>
        </is>
      </c>
      <c r="I2573" s="3" t="inlineStr">
        <is>
          <t>대</t>
        </is>
      </c>
      <c r="J2573" s="3" t="inlineStr">
        <is>
          <t>연동면</t>
        </is>
      </c>
    </row>
    <row r="2574">
      <c r="A2574" s="3" t="n">
        <v>2024</v>
      </c>
      <c r="B2574" s="4" t="n">
        <v>7500</v>
      </c>
      <c r="C2574" s="4" t="n">
        <v>595</v>
      </c>
      <c r="D2574" s="4" t="n">
        <v>179.9875</v>
      </c>
      <c r="E2574" s="5" t="n">
        <v>41.7</v>
      </c>
      <c r="F2574" s="3" t="inlineStr">
        <is>
          <t>조치원읍</t>
        </is>
      </c>
      <c r="G2574" s="3" t="inlineStr">
        <is>
          <t>서창리</t>
        </is>
      </c>
      <c r="H2574" s="3" t="inlineStr">
        <is>
          <t>자연녹지지역</t>
        </is>
      </c>
      <c r="I2574" s="3" t="inlineStr">
        <is>
          <t>도로</t>
        </is>
      </c>
      <c r="J2574" s="3" t="inlineStr">
        <is>
          <t>조치원읍</t>
        </is>
      </c>
    </row>
    <row r="2575">
      <c r="A2575" s="3" t="n">
        <v>2024</v>
      </c>
      <c r="B2575" s="4" t="n">
        <v>50094</v>
      </c>
      <c r="C2575" s="4" t="n">
        <v>552</v>
      </c>
      <c r="D2575" s="4" t="n">
        <v>166.98</v>
      </c>
      <c r="E2575" s="5" t="n">
        <v>300</v>
      </c>
      <c r="F2575" s="3" t="inlineStr">
        <is>
          <t>연서면</t>
        </is>
      </c>
      <c r="G2575" s="3" t="inlineStr">
        <is>
          <t>신대리</t>
        </is>
      </c>
      <c r="H2575" s="3" t="inlineStr">
        <is>
          <t>계획관리지역</t>
        </is>
      </c>
      <c r="I2575" s="3" t="inlineStr">
        <is>
          <t>전</t>
        </is>
      </c>
      <c r="J2575" s="3" t="inlineStr">
        <is>
          <t>연서면</t>
        </is>
      </c>
    </row>
    <row r="2576">
      <c r="A2576" s="3" t="n">
        <v>2026</v>
      </c>
      <c r="B2576" s="4" t="n">
        <v>10412</v>
      </c>
      <c r="C2576" s="4" t="n">
        <v>1076</v>
      </c>
      <c r="D2576" s="4" t="n">
        <v>325.49</v>
      </c>
      <c r="E2576" s="5" t="n">
        <v>32</v>
      </c>
      <c r="F2576" s="3" t="inlineStr">
        <is>
          <t>오송읍</t>
        </is>
      </c>
      <c r="G2576" s="3" t="inlineStr">
        <is>
          <t>상봉리</t>
        </is>
      </c>
      <c r="H2576" s="3" t="inlineStr">
        <is>
          <t>농림지역</t>
        </is>
      </c>
      <c r="I2576" s="3" t="inlineStr">
        <is>
          <t>답</t>
        </is>
      </c>
      <c r="J2576" s="3" t="inlineStr">
        <is>
          <t>오송읍</t>
        </is>
      </c>
    </row>
    <row r="2577">
      <c r="A2577" s="3" t="n">
        <v>2026</v>
      </c>
      <c r="B2577" s="4" t="n">
        <v>43000</v>
      </c>
      <c r="C2577" s="4" t="n">
        <v>505</v>
      </c>
      <c r="D2577" s="4" t="n">
        <v>152.7625</v>
      </c>
      <c r="E2577" s="5" t="n">
        <v>281.5</v>
      </c>
      <c r="F2577" s="3" t="inlineStr">
        <is>
          <t>강내면</t>
        </is>
      </c>
      <c r="G2577" s="3" t="inlineStr">
        <is>
          <t>탑연리</t>
        </is>
      </c>
      <c r="H2577" s="3" t="inlineStr">
        <is>
          <t>제2종일반주거지역</t>
        </is>
      </c>
      <c r="I2577" s="3" t="inlineStr">
        <is>
          <t>전</t>
        </is>
      </c>
      <c r="J2577" s="3" t="inlineStr">
        <is>
          <t>강내면</t>
        </is>
      </c>
    </row>
    <row r="2578">
      <c r="A2578" s="3" t="n">
        <v>2022</v>
      </c>
      <c r="B2578" s="4" t="n">
        <v>11000</v>
      </c>
      <c r="C2578" s="4" t="n">
        <v>132</v>
      </c>
      <c r="D2578" s="4" t="n">
        <v>39.93</v>
      </c>
      <c r="E2578" s="5" t="n">
        <v>275.5</v>
      </c>
      <c r="F2578" s="3" t="inlineStr">
        <is>
          <t>오송읍</t>
        </is>
      </c>
      <c r="G2578" s="3" t="inlineStr">
        <is>
          <t>궁평리</t>
        </is>
      </c>
      <c r="H2578" s="3" t="inlineStr">
        <is>
          <t>농림지역</t>
        </is>
      </c>
      <c r="I2578" s="3" t="inlineStr">
        <is>
          <t>답</t>
        </is>
      </c>
      <c r="J2578" s="3" t="inlineStr">
        <is>
          <t>오송읍</t>
        </is>
      </c>
    </row>
    <row r="2579">
      <c r="A2579" s="3" t="n">
        <v>2022</v>
      </c>
      <c r="B2579" s="4" t="n">
        <v>53000</v>
      </c>
      <c r="C2579" s="4" t="n">
        <v>660</v>
      </c>
      <c r="D2579" s="4" t="n">
        <v>199.65</v>
      </c>
      <c r="E2579" s="5" t="n">
        <v>265.5</v>
      </c>
      <c r="F2579" s="3" t="inlineStr">
        <is>
          <t>오송읍</t>
        </is>
      </c>
      <c r="G2579" s="3" t="inlineStr">
        <is>
          <t>궁평리</t>
        </is>
      </c>
      <c r="H2579" s="3" t="inlineStr">
        <is>
          <t>농림지역</t>
        </is>
      </c>
      <c r="I2579" s="3" t="inlineStr">
        <is>
          <t>답</t>
        </is>
      </c>
      <c r="J2579" s="3" t="inlineStr">
        <is>
          <t>오송읍</t>
        </is>
      </c>
    </row>
    <row r="2580">
      <c r="A2580" s="3" t="n">
        <v>2022</v>
      </c>
      <c r="B2580" s="4" t="n">
        <v>77000</v>
      </c>
      <c r="C2580" s="4" t="n">
        <v>3636</v>
      </c>
      <c r="D2580" s="4" t="n">
        <v>1099.89</v>
      </c>
      <c r="E2580" s="5" t="n">
        <v>70</v>
      </c>
      <c r="F2580" s="3" t="inlineStr">
        <is>
          <t>오송읍</t>
        </is>
      </c>
      <c r="G2580" s="3" t="inlineStr">
        <is>
          <t>연제리</t>
        </is>
      </c>
      <c r="H2580" s="3" t="inlineStr">
        <is>
          <t>계획관리지역</t>
        </is>
      </c>
      <c r="I2580" s="3" t="inlineStr">
        <is>
          <t>임야</t>
        </is>
      </c>
      <c r="J2580" s="3" t="inlineStr">
        <is>
          <t>오송읍</t>
        </is>
      </c>
    </row>
    <row r="2581">
      <c r="A2581" s="3" t="n">
        <v>2022</v>
      </c>
      <c r="B2581" s="4" t="n">
        <v>53545</v>
      </c>
      <c r="C2581" s="4" t="n">
        <v>331</v>
      </c>
      <c r="D2581" s="4" t="n">
        <v>100.1275</v>
      </c>
      <c r="E2581" s="5" t="n">
        <v>534.8</v>
      </c>
      <c r="F2581" s="3" t="inlineStr">
        <is>
          <t>강내면</t>
        </is>
      </c>
      <c r="G2581" s="3" t="inlineStr">
        <is>
          <t>탑연리</t>
        </is>
      </c>
      <c r="H2581" s="3" t="inlineStr">
        <is>
          <t>일반상업지역</t>
        </is>
      </c>
      <c r="I2581" s="3" t="inlineStr">
        <is>
          <t>대</t>
        </is>
      </c>
      <c r="J2581" s="3" t="inlineStr">
        <is>
          <t>강내면</t>
        </is>
      </c>
    </row>
    <row r="2582">
      <c r="A2582" s="3" t="n">
        <v>2022</v>
      </c>
      <c r="B2582" s="4" t="n">
        <v>483</v>
      </c>
      <c r="C2582" s="4" t="n">
        <v>4</v>
      </c>
      <c r="D2582" s="4" t="n">
        <v>1.21</v>
      </c>
      <c r="E2582" s="5" t="n">
        <v>399.2</v>
      </c>
      <c r="F2582" s="3" t="inlineStr">
        <is>
          <t>강내면</t>
        </is>
      </c>
      <c r="G2582" s="3" t="inlineStr">
        <is>
          <t>탑연리</t>
        </is>
      </c>
      <c r="H2582" s="3" t="inlineStr">
        <is>
          <t>일반상업지역</t>
        </is>
      </c>
      <c r="I2582" s="3" t="inlineStr">
        <is>
          <t>전</t>
        </is>
      </c>
      <c r="J2582" s="3" t="inlineStr">
        <is>
          <t>강내면</t>
        </is>
      </c>
    </row>
    <row r="2583">
      <c r="A2583" s="3" t="n">
        <v>2022</v>
      </c>
      <c r="B2583" s="4" t="n">
        <v>5911</v>
      </c>
      <c r="C2583" s="4" t="n">
        <v>49</v>
      </c>
      <c r="D2583" s="4" t="n">
        <v>14.8225</v>
      </c>
      <c r="E2583" s="5" t="n">
        <v>398.8</v>
      </c>
      <c r="F2583" s="3" t="inlineStr">
        <is>
          <t>강내면</t>
        </is>
      </c>
      <c r="G2583" s="3" t="inlineStr">
        <is>
          <t>탑연리</t>
        </is>
      </c>
      <c r="H2583" s="3" t="inlineStr">
        <is>
          <t>일반상업지역</t>
        </is>
      </c>
      <c r="I2583" s="3" t="inlineStr">
        <is>
          <t>대</t>
        </is>
      </c>
      <c r="J2583" s="3" t="inlineStr">
        <is>
          <t>강내면</t>
        </is>
      </c>
    </row>
    <row r="2584">
      <c r="A2584" s="3" t="n">
        <v>2022</v>
      </c>
      <c r="B2584" s="4" t="n">
        <v>4102</v>
      </c>
      <c r="C2584" s="4" t="n">
        <v>34</v>
      </c>
      <c r="D2584" s="4" t="n">
        <v>10.285</v>
      </c>
      <c r="E2584" s="5" t="n">
        <v>398.8</v>
      </c>
      <c r="F2584" s="3" t="inlineStr">
        <is>
          <t>강내면</t>
        </is>
      </c>
      <c r="G2584" s="3" t="inlineStr">
        <is>
          <t>탑연리</t>
        </is>
      </c>
      <c r="H2584" s="3" t="inlineStr">
        <is>
          <t>일반상업지역</t>
        </is>
      </c>
      <c r="I2584" s="3" t="inlineStr">
        <is>
          <t>전</t>
        </is>
      </c>
      <c r="J2584" s="3" t="inlineStr">
        <is>
          <t>강내면</t>
        </is>
      </c>
    </row>
    <row r="2585">
      <c r="A2585" s="3" t="n">
        <v>2022</v>
      </c>
      <c r="B2585" s="4" t="n">
        <v>32072</v>
      </c>
      <c r="C2585" s="4" t="n">
        <v>162</v>
      </c>
      <c r="D2585" s="4" t="n">
        <v>49.005</v>
      </c>
      <c r="E2585" s="5" t="n">
        <v>654.5</v>
      </c>
      <c r="F2585" s="3" t="inlineStr">
        <is>
          <t>강내면</t>
        </is>
      </c>
      <c r="G2585" s="3" t="inlineStr">
        <is>
          <t>탑연리</t>
        </is>
      </c>
      <c r="H2585" s="3" t="inlineStr">
        <is>
          <t>일반상업지역</t>
        </is>
      </c>
      <c r="I2585" s="3" t="inlineStr">
        <is>
          <t>임야</t>
        </is>
      </c>
      <c r="J2585" s="3" t="inlineStr">
        <is>
          <t>강내면</t>
        </is>
      </c>
    </row>
    <row r="2586">
      <c r="A2586" s="3" t="n">
        <v>2022</v>
      </c>
      <c r="B2586" s="4" t="n">
        <v>14875</v>
      </c>
      <c r="C2586" s="4" t="n">
        <v>1759</v>
      </c>
      <c r="D2586" s="4" t="n">
        <v>532.0975</v>
      </c>
      <c r="E2586" s="5" t="n">
        <v>28</v>
      </c>
      <c r="F2586" s="3" t="inlineStr">
        <is>
          <t>강내면</t>
        </is>
      </c>
      <c r="G2586" s="3" t="inlineStr">
        <is>
          <t>월곡리</t>
        </is>
      </c>
      <c r="H2586" s="3" t="inlineStr">
        <is>
          <t>생산녹지지역</t>
        </is>
      </c>
      <c r="I2586" s="3" t="inlineStr">
        <is>
          <t>답</t>
        </is>
      </c>
      <c r="J2586" s="3" t="inlineStr">
        <is>
          <t>강내면</t>
        </is>
      </c>
    </row>
    <row r="2587">
      <c r="A2587" s="3" t="n">
        <v>2022</v>
      </c>
      <c r="B2587" s="4" t="n">
        <v>72625</v>
      </c>
      <c r="C2587" s="4" t="n">
        <v>3154</v>
      </c>
      <c r="D2587" s="4" t="n">
        <v>954.0849999999999</v>
      </c>
      <c r="E2587" s="5" t="n">
        <v>76.09999999999999</v>
      </c>
      <c r="F2587" s="3" t="inlineStr">
        <is>
          <t>강내면</t>
        </is>
      </c>
      <c r="G2587" s="3" t="inlineStr">
        <is>
          <t>월곡리</t>
        </is>
      </c>
      <c r="H2587" s="3" t="inlineStr">
        <is>
          <t>생산녹지지역</t>
        </is>
      </c>
      <c r="I2587" s="3" t="inlineStr">
        <is>
          <t>답</t>
        </is>
      </c>
      <c r="J2587" s="3" t="inlineStr">
        <is>
          <t>강내면</t>
        </is>
      </c>
    </row>
    <row r="2588">
      <c r="A2588" s="3" t="n">
        <v>2022</v>
      </c>
      <c r="B2588" s="4" t="n">
        <v>23400</v>
      </c>
      <c r="C2588" s="4" t="n">
        <v>1193</v>
      </c>
      <c r="D2588" s="4" t="n">
        <v>360.8825</v>
      </c>
      <c r="E2588" s="5" t="n">
        <v>64.8</v>
      </c>
      <c r="F2588" s="3" t="inlineStr">
        <is>
          <t>강내면</t>
        </is>
      </c>
      <c r="G2588" s="3" t="inlineStr">
        <is>
          <t>당곡리</t>
        </is>
      </c>
      <c r="H2588" s="3" t="inlineStr">
        <is>
          <t>계획관리지역</t>
        </is>
      </c>
      <c r="I2588" s="3" t="inlineStr">
        <is>
          <t>임야</t>
        </is>
      </c>
      <c r="J2588" s="3" t="inlineStr">
        <is>
          <t>강내면</t>
        </is>
      </c>
    </row>
    <row r="2589">
      <c r="A2589" s="3" t="n">
        <v>2022</v>
      </c>
      <c r="B2589" s="4" t="n">
        <v>17550</v>
      </c>
      <c r="C2589" s="4" t="n">
        <v>894</v>
      </c>
      <c r="D2589" s="4" t="n">
        <v>270.435</v>
      </c>
      <c r="E2589" s="5" t="n">
        <v>64.90000000000001</v>
      </c>
      <c r="F2589" s="3" t="inlineStr">
        <is>
          <t>강내면</t>
        </is>
      </c>
      <c r="G2589" s="3" t="inlineStr">
        <is>
          <t>당곡리</t>
        </is>
      </c>
      <c r="H2589" s="3" t="inlineStr">
        <is>
          <t>계획관리지역</t>
        </is>
      </c>
      <c r="I2589" s="3" t="inlineStr">
        <is>
          <t>답</t>
        </is>
      </c>
      <c r="J2589" s="3" t="inlineStr">
        <is>
          <t>강내면</t>
        </is>
      </c>
    </row>
    <row r="2590">
      <c r="A2590" s="3" t="n">
        <v>2022</v>
      </c>
      <c r="B2590" s="4" t="n">
        <v>33800</v>
      </c>
      <c r="C2590" s="4" t="n">
        <v>1722</v>
      </c>
      <c r="D2590" s="4" t="n">
        <v>520.905</v>
      </c>
      <c r="E2590" s="5" t="n">
        <v>64.90000000000001</v>
      </c>
      <c r="F2590" s="3" t="inlineStr">
        <is>
          <t>강내면</t>
        </is>
      </c>
      <c r="G2590" s="3" t="inlineStr">
        <is>
          <t>당곡리</t>
        </is>
      </c>
      <c r="H2590" s="3" t="inlineStr">
        <is>
          <t>계획관리지역</t>
        </is>
      </c>
      <c r="I2590" s="3" t="inlineStr">
        <is>
          <t>전</t>
        </is>
      </c>
      <c r="J2590" s="3" t="inlineStr">
        <is>
          <t>강내면</t>
        </is>
      </c>
    </row>
    <row r="2591">
      <c r="A2591" s="3" t="n">
        <v>2022</v>
      </c>
      <c r="B2591" s="4" t="n">
        <v>8000</v>
      </c>
      <c r="C2591" s="4" t="n">
        <v>480</v>
      </c>
      <c r="D2591" s="4" t="n">
        <v>145.2</v>
      </c>
      <c r="E2591" s="5" t="n">
        <v>55.1</v>
      </c>
      <c r="F2591" s="3" t="inlineStr">
        <is>
          <t>강내면</t>
        </is>
      </c>
      <c r="G2591" s="3" t="inlineStr">
        <is>
          <t>저산리</t>
        </is>
      </c>
      <c r="H2591" s="3" t="inlineStr">
        <is>
          <t>계획관리지역</t>
        </is>
      </c>
      <c r="I2591" s="3" t="inlineStr">
        <is>
          <t>임야</t>
        </is>
      </c>
      <c r="J2591" s="3" t="inlineStr">
        <is>
          <t>강내면</t>
        </is>
      </c>
    </row>
    <row r="2592">
      <c r="A2592" s="3" t="n">
        <v>2022</v>
      </c>
      <c r="B2592" s="4" t="n">
        <v>33000</v>
      </c>
      <c r="C2592" s="4" t="n">
        <v>283.2</v>
      </c>
      <c r="D2592" s="4" t="n">
        <v>85.66799999999999</v>
      </c>
      <c r="E2592" s="5" t="n">
        <v>385.2</v>
      </c>
      <c r="F2592" s="3" t="inlineStr">
        <is>
          <t>오송읍</t>
        </is>
      </c>
      <c r="G2592" s="3" t="inlineStr">
        <is>
          <t>봉산리</t>
        </is>
      </c>
      <c r="H2592" s="3" t="inlineStr">
        <is>
          <t>제1종일반주거지역</t>
        </is>
      </c>
      <c r="I2592" s="3" t="inlineStr">
        <is>
          <t>대</t>
        </is>
      </c>
      <c r="J2592" s="3" t="inlineStr">
        <is>
          <t>오송읍</t>
        </is>
      </c>
    </row>
    <row r="2593">
      <c r="A2593" s="3" t="n">
        <v>2022</v>
      </c>
      <c r="B2593" s="4" t="n">
        <v>43500</v>
      </c>
      <c r="C2593" s="4" t="n">
        <v>2579</v>
      </c>
      <c r="D2593" s="4" t="n">
        <v>780.1474999999999</v>
      </c>
      <c r="E2593" s="5" t="n">
        <v>55.8</v>
      </c>
      <c r="F2593" s="3" t="inlineStr">
        <is>
          <t>강내면</t>
        </is>
      </c>
      <c r="G2593" s="3" t="inlineStr">
        <is>
          <t>저산리</t>
        </is>
      </c>
      <c r="H2593" s="3" t="inlineStr">
        <is>
          <t>계획관리지역</t>
        </is>
      </c>
      <c r="I2593" s="3" t="inlineStr">
        <is>
          <t>임야</t>
        </is>
      </c>
      <c r="J2593" s="3" t="inlineStr">
        <is>
          <t>강내면</t>
        </is>
      </c>
    </row>
    <row r="2594">
      <c r="A2594" s="3" t="n">
        <v>2022</v>
      </c>
      <c r="B2594" s="4" t="n">
        <v>18000</v>
      </c>
      <c r="C2594" s="4" t="n">
        <v>1937</v>
      </c>
      <c r="D2594" s="4" t="n">
        <v>585.9425</v>
      </c>
      <c r="E2594" s="5" t="n">
        <v>30.7</v>
      </c>
      <c r="F2594" s="3" t="inlineStr">
        <is>
          <t>오송읍</t>
        </is>
      </c>
      <c r="G2594" s="3" t="inlineStr">
        <is>
          <t>호계리</t>
        </is>
      </c>
      <c r="H2594" s="3" t="inlineStr">
        <is>
          <t>농림지역</t>
        </is>
      </c>
      <c r="I2594" s="3" t="inlineStr">
        <is>
          <t>전</t>
        </is>
      </c>
      <c r="J2594" s="3" t="inlineStr">
        <is>
          <t>오송읍</t>
        </is>
      </c>
    </row>
    <row r="2595">
      <c r="A2595" s="3" t="n">
        <v>2022</v>
      </c>
      <c r="B2595" s="4" t="n">
        <v>15863</v>
      </c>
      <c r="C2595" s="4" t="n">
        <v>251</v>
      </c>
      <c r="D2595" s="4" t="n">
        <v>75.92749999999999</v>
      </c>
      <c r="E2595" s="5" t="n">
        <v>208.9</v>
      </c>
      <c r="F2595" s="3" t="inlineStr">
        <is>
          <t>강내면</t>
        </is>
      </c>
      <c r="G2595" s="3" t="inlineStr">
        <is>
          <t>월곡리</t>
        </is>
      </c>
      <c r="H2595" s="3" t="inlineStr">
        <is>
          <t>제2종일반주거지역</t>
        </is>
      </c>
      <c r="I2595" s="3" t="inlineStr">
        <is>
          <t>도로</t>
        </is>
      </c>
      <c r="J2595" s="3" t="inlineStr">
        <is>
          <t>강내면</t>
        </is>
      </c>
    </row>
    <row r="2596">
      <c r="A2596" s="3" t="n">
        <v>2022</v>
      </c>
      <c r="B2596" s="4" t="n">
        <v>884</v>
      </c>
      <c r="C2596" s="4" t="n">
        <v>13</v>
      </c>
      <c r="D2596" s="4" t="n">
        <v>3.9325</v>
      </c>
      <c r="E2596" s="5" t="n">
        <v>224.8</v>
      </c>
      <c r="F2596" s="3" t="inlineStr">
        <is>
          <t>강내면</t>
        </is>
      </c>
      <c r="G2596" s="3" t="inlineStr">
        <is>
          <t>월곡리</t>
        </is>
      </c>
      <c r="H2596" s="3" t="inlineStr">
        <is>
          <t>제2종일반주거지역</t>
        </is>
      </c>
      <c r="I2596" s="3" t="inlineStr">
        <is>
          <t>도로</t>
        </is>
      </c>
      <c r="J2596" s="3" t="inlineStr">
        <is>
          <t>강내면</t>
        </is>
      </c>
    </row>
    <row r="2597">
      <c r="A2597" s="3" t="n">
        <v>2023</v>
      </c>
      <c r="B2597" s="4" t="n">
        <v>40600</v>
      </c>
      <c r="C2597" s="4" t="n">
        <v>671</v>
      </c>
      <c r="D2597" s="4" t="n">
        <v>202.9775</v>
      </c>
      <c r="E2597" s="5" t="n">
        <v>200</v>
      </c>
      <c r="F2597" s="3" t="inlineStr">
        <is>
          <t>강내면</t>
        </is>
      </c>
      <c r="G2597" s="3" t="inlineStr">
        <is>
          <t>월탄리</t>
        </is>
      </c>
      <c r="H2597" s="3" t="inlineStr">
        <is>
          <t>계획관리지역</t>
        </is>
      </c>
      <c r="I2597" s="3" t="inlineStr">
        <is>
          <t>답</t>
        </is>
      </c>
      <c r="J2597" s="3" t="inlineStr">
        <is>
          <t>강내면</t>
        </is>
      </c>
    </row>
    <row r="2598">
      <c r="A2598" s="3" t="n">
        <v>2023</v>
      </c>
      <c r="B2598" s="4" t="n">
        <v>1400</v>
      </c>
      <c r="C2598" s="4" t="n">
        <v>23</v>
      </c>
      <c r="D2598" s="4" t="n">
        <v>6.9575</v>
      </c>
      <c r="E2598" s="5" t="n">
        <v>201.2</v>
      </c>
      <c r="F2598" s="3" t="inlineStr">
        <is>
          <t>강내면</t>
        </is>
      </c>
      <c r="G2598" s="3" t="inlineStr">
        <is>
          <t>월탄리</t>
        </is>
      </c>
      <c r="H2598" s="3" t="inlineStr">
        <is>
          <t>용도미지정</t>
        </is>
      </c>
      <c r="I2598" s="3" t="inlineStr">
        <is>
          <t>답</t>
        </is>
      </c>
      <c r="J2598" s="3" t="inlineStr">
        <is>
          <t>강내면</t>
        </is>
      </c>
    </row>
    <row r="2599">
      <c r="A2599" s="3" t="n">
        <v>2023</v>
      </c>
      <c r="B2599" s="4" t="n">
        <v>2928</v>
      </c>
      <c r="C2599" s="4" t="n">
        <v>44</v>
      </c>
      <c r="D2599" s="4" t="n">
        <v>13.31</v>
      </c>
      <c r="E2599" s="5" t="n">
        <v>220</v>
      </c>
      <c r="F2599" s="3" t="inlineStr">
        <is>
          <t>강내면</t>
        </is>
      </c>
      <c r="G2599" s="3" t="inlineStr">
        <is>
          <t>월곡리</t>
        </is>
      </c>
      <c r="H2599" s="3" t="inlineStr">
        <is>
          <t>제2종일반주거지역</t>
        </is>
      </c>
      <c r="I2599" s="3" t="inlineStr">
        <is>
          <t>답</t>
        </is>
      </c>
      <c r="J2599" s="3" t="inlineStr">
        <is>
          <t>강내면</t>
        </is>
      </c>
    </row>
    <row r="2600">
      <c r="A2600" s="3" t="n">
        <v>2023</v>
      </c>
      <c r="B2600" s="4" t="n">
        <v>6500</v>
      </c>
      <c r="C2600" s="4" t="n">
        <v>380</v>
      </c>
      <c r="D2600" s="4" t="n">
        <v>114.95</v>
      </c>
      <c r="E2600" s="5" t="n">
        <v>56.5</v>
      </c>
      <c r="F2600" s="3" t="inlineStr">
        <is>
          <t>강내면</t>
        </is>
      </c>
      <c r="G2600" s="3" t="inlineStr">
        <is>
          <t>태성리</t>
        </is>
      </c>
      <c r="H2600" s="3" t="inlineStr">
        <is>
          <t>계획관리지역</t>
        </is>
      </c>
      <c r="I2600" s="3" t="inlineStr">
        <is>
          <t>답</t>
        </is>
      </c>
      <c r="J2600" s="3" t="inlineStr">
        <is>
          <t>강내면</t>
        </is>
      </c>
    </row>
    <row r="2601">
      <c r="A2601" s="3" t="n">
        <v>2023</v>
      </c>
      <c r="B2601" s="4" t="n">
        <v>1380</v>
      </c>
      <c r="C2601" s="4" t="n">
        <v>38</v>
      </c>
      <c r="D2601" s="4" t="n">
        <v>11.495</v>
      </c>
      <c r="E2601" s="5" t="n">
        <v>120.1</v>
      </c>
      <c r="F2601" s="3" t="inlineStr">
        <is>
          <t>오송읍</t>
        </is>
      </c>
      <c r="G2601" s="3" t="inlineStr">
        <is>
          <t>상정리</t>
        </is>
      </c>
      <c r="H2601" s="3" t="inlineStr">
        <is>
          <t>생산관리지역</t>
        </is>
      </c>
      <c r="I2601" s="3" t="inlineStr">
        <is>
          <t>구거</t>
        </is>
      </c>
      <c r="J2601" s="3" t="inlineStr">
        <is>
          <t>오송읍</t>
        </is>
      </c>
    </row>
    <row r="2602">
      <c r="A2602" s="3" t="n">
        <v>2023</v>
      </c>
      <c r="B2602" s="4" t="n">
        <v>47900</v>
      </c>
      <c r="C2602" s="4" t="n">
        <v>620</v>
      </c>
      <c r="D2602" s="4" t="n">
        <v>187.55</v>
      </c>
      <c r="E2602" s="5" t="n">
        <v>255.4</v>
      </c>
      <c r="F2602" s="3" t="inlineStr">
        <is>
          <t>오송읍</t>
        </is>
      </c>
      <c r="G2602" s="3" t="inlineStr">
        <is>
          <t>궁평리</t>
        </is>
      </c>
      <c r="H2602" s="3" t="inlineStr">
        <is>
          <t>농림지역</t>
        </is>
      </c>
      <c r="I2602" s="3" t="inlineStr">
        <is>
          <t>대</t>
        </is>
      </c>
      <c r="J2602" s="3" t="inlineStr">
        <is>
          <t>오송읍</t>
        </is>
      </c>
    </row>
    <row r="2603">
      <c r="A2603" s="3" t="n">
        <v>2023</v>
      </c>
      <c r="B2603" s="4" t="n">
        <v>55000</v>
      </c>
      <c r="C2603" s="4" t="n">
        <v>1945</v>
      </c>
      <c r="D2603" s="4" t="n">
        <v>588.3625</v>
      </c>
      <c r="E2603" s="5" t="n">
        <v>93.5</v>
      </c>
      <c r="F2603" s="3" t="inlineStr">
        <is>
          <t>강내면</t>
        </is>
      </c>
      <c r="G2603" s="3" t="inlineStr">
        <is>
          <t>저산리</t>
        </is>
      </c>
      <c r="H2603" s="3" t="inlineStr">
        <is>
          <t>계획관리지역</t>
        </is>
      </c>
      <c r="I2603" s="3" t="inlineStr">
        <is>
          <t>임야</t>
        </is>
      </c>
      <c r="J2603" s="3" t="inlineStr">
        <is>
          <t>강내면</t>
        </is>
      </c>
    </row>
    <row r="2604">
      <c r="A2604" s="3" t="n">
        <v>2023</v>
      </c>
      <c r="B2604" s="4" t="n">
        <v>20000</v>
      </c>
      <c r="C2604" s="4" t="n">
        <v>843</v>
      </c>
      <c r="D2604" s="4" t="n">
        <v>255.0075</v>
      </c>
      <c r="E2604" s="5" t="n">
        <v>78.40000000000001</v>
      </c>
      <c r="F2604" s="3" t="inlineStr">
        <is>
          <t>강내면</t>
        </is>
      </c>
      <c r="G2604" s="3" t="inlineStr">
        <is>
          <t>태성리</t>
        </is>
      </c>
      <c r="H2604" s="3" t="inlineStr">
        <is>
          <t>계획관리지역</t>
        </is>
      </c>
      <c r="I2604" s="3" t="inlineStr">
        <is>
          <t>전</t>
        </is>
      </c>
      <c r="J2604" s="3" t="inlineStr">
        <is>
          <t>강내면</t>
        </is>
      </c>
    </row>
    <row r="2605">
      <c r="A2605" s="3" t="n">
        <v>2023</v>
      </c>
      <c r="B2605" s="4" t="n">
        <v>150000</v>
      </c>
      <c r="C2605" s="4" t="n">
        <v>978.1</v>
      </c>
      <c r="D2605" s="4" t="n">
        <v>295.87525</v>
      </c>
      <c r="E2605" s="5" t="n">
        <v>507</v>
      </c>
      <c r="F2605" s="3" t="inlineStr">
        <is>
          <t>오송읍</t>
        </is>
      </c>
      <c r="G2605" s="3" t="inlineStr">
        <is>
          <t>봉산리</t>
        </is>
      </c>
      <c r="H2605" s="3" t="inlineStr">
        <is>
          <t>제1종일반주거지역</t>
        </is>
      </c>
      <c r="I2605" s="3" t="inlineStr">
        <is>
          <t>주차장</t>
        </is>
      </c>
      <c r="J2605" s="3" t="inlineStr">
        <is>
          <t>오송읍</t>
        </is>
      </c>
    </row>
    <row r="2606">
      <c r="A2606" s="3" t="n">
        <v>2023</v>
      </c>
      <c r="B2606" s="4" t="n">
        <v>30000</v>
      </c>
      <c r="C2606" s="4" t="n">
        <v>799</v>
      </c>
      <c r="D2606" s="4" t="n">
        <v>241.6975</v>
      </c>
      <c r="E2606" s="5" t="n">
        <v>124.1</v>
      </c>
      <c r="F2606" s="3" t="inlineStr">
        <is>
          <t>강내면</t>
        </is>
      </c>
      <c r="G2606" s="3" t="inlineStr">
        <is>
          <t>태성리</t>
        </is>
      </c>
      <c r="H2606" s="3" t="inlineStr">
        <is>
          <t>계획관리지역</t>
        </is>
      </c>
      <c r="I2606" s="3" t="inlineStr">
        <is>
          <t>공장용지</t>
        </is>
      </c>
      <c r="J2606" s="3" t="inlineStr">
        <is>
          <t>강내면</t>
        </is>
      </c>
    </row>
    <row r="2607">
      <c r="A2607" s="3" t="n">
        <v>2023</v>
      </c>
      <c r="B2607" s="4" t="n">
        <v>220000</v>
      </c>
      <c r="C2607" s="4" t="n">
        <v>654.1</v>
      </c>
      <c r="D2607" s="4" t="n">
        <v>197.86525</v>
      </c>
      <c r="E2607" s="5" t="n">
        <v>1111.9</v>
      </c>
      <c r="F2607" s="3" t="inlineStr">
        <is>
          <t>오송읍</t>
        </is>
      </c>
      <c r="G2607" s="3" t="inlineStr">
        <is>
          <t>봉산리</t>
        </is>
      </c>
      <c r="H2607" s="3" t="inlineStr">
        <is>
          <t>일반상업지역</t>
        </is>
      </c>
      <c r="I2607" s="3" t="inlineStr">
        <is>
          <t>대</t>
        </is>
      </c>
      <c r="J2607" s="3" t="inlineStr">
        <is>
          <t>오송읍</t>
        </is>
      </c>
    </row>
    <row r="2608">
      <c r="A2608" s="3" t="n">
        <v>2023</v>
      </c>
      <c r="B2608" s="4" t="n">
        <v>1084</v>
      </c>
      <c r="C2608" s="4" t="n">
        <v>13</v>
      </c>
      <c r="D2608" s="4" t="n">
        <v>3.9325</v>
      </c>
      <c r="E2608" s="5" t="n">
        <v>275.7</v>
      </c>
      <c r="F2608" s="3" t="inlineStr">
        <is>
          <t>오송읍</t>
        </is>
      </c>
      <c r="G2608" s="3" t="inlineStr">
        <is>
          <t>오송리</t>
        </is>
      </c>
      <c r="H2608" s="3" t="inlineStr">
        <is>
          <t>제1종일반주거지역</t>
        </is>
      </c>
      <c r="I2608" s="3" t="inlineStr">
        <is>
          <t>답</t>
        </is>
      </c>
      <c r="J2608" s="3" t="inlineStr">
        <is>
          <t>오송읍</t>
        </is>
      </c>
    </row>
    <row r="2609">
      <c r="A2609" s="3" t="n">
        <v>2023</v>
      </c>
      <c r="B2609" s="4" t="n">
        <v>916</v>
      </c>
      <c r="C2609" s="4" t="n">
        <v>11</v>
      </c>
      <c r="D2609" s="4" t="n">
        <v>3.3275</v>
      </c>
      <c r="E2609" s="5" t="n">
        <v>275.3</v>
      </c>
      <c r="F2609" s="3" t="inlineStr">
        <is>
          <t>오송읍</t>
        </is>
      </c>
      <c r="G2609" s="3" t="inlineStr">
        <is>
          <t>오송리</t>
        </is>
      </c>
      <c r="H2609" s="3" t="inlineStr">
        <is>
          <t>제1종일반주거지역</t>
        </is>
      </c>
      <c r="I2609" s="3" t="inlineStr">
        <is>
          <t>답</t>
        </is>
      </c>
      <c r="J2609" s="3" t="inlineStr">
        <is>
          <t>오송읍</t>
        </is>
      </c>
    </row>
    <row r="2610">
      <c r="A2610" s="3" t="n">
        <v>2023</v>
      </c>
      <c r="B2610" s="4" t="n">
        <v>45000</v>
      </c>
      <c r="C2610" s="4" t="n">
        <v>409</v>
      </c>
      <c r="D2610" s="4" t="n">
        <v>123.7225</v>
      </c>
      <c r="E2610" s="5" t="n">
        <v>363.7</v>
      </c>
      <c r="F2610" s="3" t="inlineStr">
        <is>
          <t>오송읍</t>
        </is>
      </c>
      <c r="G2610" s="3" t="inlineStr">
        <is>
          <t>오송리</t>
        </is>
      </c>
      <c r="H2610" s="3" t="inlineStr">
        <is>
          <t>제1종일반주거지역</t>
        </is>
      </c>
      <c r="I2610" s="3" t="inlineStr">
        <is>
          <t>대</t>
        </is>
      </c>
      <c r="J2610" s="3" t="inlineStr">
        <is>
          <t>오송읍</t>
        </is>
      </c>
    </row>
    <row r="2611">
      <c r="A2611" s="3" t="n">
        <v>2023</v>
      </c>
      <c r="B2611" s="4" t="n">
        <v>17200</v>
      </c>
      <c r="C2611" s="4" t="n">
        <v>701</v>
      </c>
      <c r="D2611" s="4" t="n">
        <v>212.0525</v>
      </c>
      <c r="E2611" s="5" t="n">
        <v>81.09999999999999</v>
      </c>
      <c r="F2611" s="3" t="inlineStr">
        <is>
          <t>연서면</t>
        </is>
      </c>
      <c r="G2611" s="3" t="inlineStr">
        <is>
          <t>고복리</t>
        </is>
      </c>
      <c r="H2611" s="3" t="inlineStr">
        <is>
          <t>보전관리지역</t>
        </is>
      </c>
      <c r="I2611" s="3" t="inlineStr">
        <is>
          <t>임야</t>
        </is>
      </c>
      <c r="J2611" s="3" t="inlineStr">
        <is>
          <t>연서면</t>
        </is>
      </c>
    </row>
    <row r="2612">
      <c r="A2612" s="3" t="n">
        <v>2023</v>
      </c>
      <c r="B2612" s="4" t="n">
        <v>1700</v>
      </c>
      <c r="C2612" s="4" t="n">
        <v>70</v>
      </c>
      <c r="D2612" s="4" t="n">
        <v>21.175</v>
      </c>
      <c r="E2612" s="5" t="n">
        <v>80.3</v>
      </c>
      <c r="F2612" s="3" t="inlineStr">
        <is>
          <t>연서면</t>
        </is>
      </c>
      <c r="G2612" s="3" t="inlineStr">
        <is>
          <t>고복리</t>
        </is>
      </c>
      <c r="H2612" s="3" t="inlineStr">
        <is>
          <t>보전관리지역</t>
        </is>
      </c>
      <c r="I2612" s="3" t="inlineStr">
        <is>
          <t>임야</t>
        </is>
      </c>
      <c r="J2612" s="3" t="inlineStr">
        <is>
          <t>연서면</t>
        </is>
      </c>
    </row>
    <row r="2613">
      <c r="A2613" s="3" t="n">
        <v>2022</v>
      </c>
      <c r="B2613" s="4" t="n">
        <v>70000</v>
      </c>
      <c r="C2613" s="4" t="n">
        <v>2359.4</v>
      </c>
      <c r="D2613" s="4" t="n">
        <v>713.7185000000001</v>
      </c>
      <c r="E2613" s="5" t="n">
        <v>98.09999999999999</v>
      </c>
      <c r="F2613" s="3" t="inlineStr">
        <is>
          <t>연동면</t>
        </is>
      </c>
      <c r="G2613" s="3" t="inlineStr">
        <is>
          <t>문주리</t>
        </is>
      </c>
      <c r="H2613" s="3" t="inlineStr">
        <is>
          <t>농림지역</t>
        </is>
      </c>
      <c r="I2613" s="3" t="inlineStr">
        <is>
          <t>답</t>
        </is>
      </c>
      <c r="J2613" s="3" t="inlineStr">
        <is>
          <t>연동면</t>
        </is>
      </c>
    </row>
    <row r="2614">
      <c r="A2614" s="3" t="n">
        <v>2022</v>
      </c>
      <c r="B2614" s="4" t="n">
        <v>32000</v>
      </c>
      <c r="C2614" s="4" t="n">
        <v>265</v>
      </c>
      <c r="D2614" s="4" t="n">
        <v>80.16249999999999</v>
      </c>
      <c r="E2614" s="5" t="n">
        <v>399.2</v>
      </c>
      <c r="F2614" s="3" t="inlineStr">
        <is>
          <t>조치원읍</t>
        </is>
      </c>
      <c r="G2614" s="3" t="inlineStr">
        <is>
          <t>신안리</t>
        </is>
      </c>
      <c r="H2614" s="3" t="inlineStr">
        <is>
          <t>제2종일반주거지역</t>
        </is>
      </c>
      <c r="I2614" s="3" t="inlineStr">
        <is>
          <t>답</t>
        </is>
      </c>
      <c r="J2614" s="3" t="inlineStr">
        <is>
          <t>조치원읍</t>
        </is>
      </c>
    </row>
    <row r="2615">
      <c r="A2615" s="3" t="n">
        <v>2023</v>
      </c>
      <c r="B2615" s="4" t="n">
        <v>7000</v>
      </c>
      <c r="C2615" s="4" t="n">
        <v>1088</v>
      </c>
      <c r="D2615" s="4" t="n">
        <v>329.12</v>
      </c>
      <c r="E2615" s="5" t="n">
        <v>21.3</v>
      </c>
      <c r="F2615" s="3" t="inlineStr">
        <is>
          <t>부강면</t>
        </is>
      </c>
      <c r="G2615" s="3" t="inlineStr">
        <is>
          <t>문곡리</t>
        </is>
      </c>
      <c r="H2615" s="3" t="inlineStr">
        <is>
          <t>생산관리지역</t>
        </is>
      </c>
      <c r="I2615" s="3" t="inlineStr">
        <is>
          <t>전</t>
        </is>
      </c>
      <c r="J2615" s="3" t="inlineStr">
        <is>
          <t>부강면</t>
        </is>
      </c>
    </row>
    <row r="2616">
      <c r="A2616" s="3" t="n">
        <v>2024</v>
      </c>
      <c r="B2616" s="4" t="n">
        <v>29900</v>
      </c>
      <c r="C2616" s="4" t="n">
        <v>161</v>
      </c>
      <c r="D2616" s="4" t="n">
        <v>48.7025</v>
      </c>
      <c r="E2616" s="5" t="n">
        <v>613.9</v>
      </c>
      <c r="F2616" s="3" t="inlineStr">
        <is>
          <t>조치원읍</t>
        </is>
      </c>
      <c r="G2616" s="3" t="inlineStr">
        <is>
          <t>침산리</t>
        </is>
      </c>
      <c r="H2616" s="3" t="inlineStr">
        <is>
          <t>제2종일반주거지역</t>
        </is>
      </c>
      <c r="I2616" s="3" t="inlineStr">
        <is>
          <t>대</t>
        </is>
      </c>
      <c r="J2616" s="3" t="inlineStr">
        <is>
          <t>조치원읍</t>
        </is>
      </c>
    </row>
    <row r="2617">
      <c r="A2617" s="3" t="n">
        <v>2026</v>
      </c>
      <c r="B2617" s="4" t="n">
        <v>25526</v>
      </c>
      <c r="C2617" s="4" t="n">
        <v>2638</v>
      </c>
      <c r="D2617" s="4" t="n">
        <v>797.995</v>
      </c>
      <c r="E2617" s="5" t="n">
        <v>32</v>
      </c>
      <c r="F2617" s="3" t="inlineStr">
        <is>
          <t>오송읍</t>
        </is>
      </c>
      <c r="G2617" s="3" t="inlineStr">
        <is>
          <t>상봉리</t>
        </is>
      </c>
      <c r="H2617" s="3" t="inlineStr">
        <is>
          <t>농림지역</t>
        </is>
      </c>
      <c r="I2617" s="3" t="inlineStr">
        <is>
          <t>답</t>
        </is>
      </c>
      <c r="J2617" s="3" t="inlineStr">
        <is>
          <t>오송읍</t>
        </is>
      </c>
    </row>
    <row r="2618">
      <c r="A2618" s="3" t="n">
        <v>2026</v>
      </c>
      <c r="B2618" s="4" t="n">
        <v>223</v>
      </c>
      <c r="C2618" s="4" t="n">
        <v>23</v>
      </c>
      <c r="D2618" s="4" t="n">
        <v>6.9575</v>
      </c>
      <c r="E2618" s="5" t="n">
        <v>32.1</v>
      </c>
      <c r="F2618" s="3" t="inlineStr">
        <is>
          <t>오송읍</t>
        </is>
      </c>
      <c r="G2618" s="3" t="inlineStr">
        <is>
          <t>상봉리</t>
        </is>
      </c>
      <c r="H2618" s="3" t="inlineStr">
        <is>
          <t>생산관리지역</t>
        </is>
      </c>
      <c r="I2618" s="3" t="inlineStr">
        <is>
          <t>답</t>
        </is>
      </c>
      <c r="J2618" s="3" t="inlineStr">
        <is>
          <t>오송읍</t>
        </is>
      </c>
    </row>
    <row r="2619">
      <c r="A2619" s="3" t="n">
        <v>2026</v>
      </c>
      <c r="B2619" s="4" t="n">
        <v>5000</v>
      </c>
      <c r="C2619" s="4" t="n">
        <v>282</v>
      </c>
      <c r="D2619" s="4" t="n">
        <v>85.30499999999999</v>
      </c>
      <c r="E2619" s="5" t="n">
        <v>58.6</v>
      </c>
      <c r="F2619" s="3" t="inlineStr">
        <is>
          <t>오송읍</t>
        </is>
      </c>
      <c r="G2619" s="3" t="inlineStr">
        <is>
          <t>상봉리</t>
        </is>
      </c>
      <c r="H2619" s="3" t="inlineStr">
        <is>
          <t>생산관리지역</t>
        </is>
      </c>
      <c r="I2619" s="3" t="inlineStr">
        <is>
          <t>대</t>
        </is>
      </c>
      <c r="J2619" s="3" t="inlineStr">
        <is>
          <t>오송읍</t>
        </is>
      </c>
    </row>
    <row r="2620">
      <c r="A2620" s="3" t="n">
        <v>2026</v>
      </c>
      <c r="B2620" s="4" t="n">
        <v>500</v>
      </c>
      <c r="C2620" s="4" t="n">
        <v>32</v>
      </c>
      <c r="D2620" s="4" t="n">
        <v>9.68</v>
      </c>
      <c r="E2620" s="5" t="n">
        <v>51.7</v>
      </c>
      <c r="F2620" s="3" t="inlineStr">
        <is>
          <t>강내면</t>
        </is>
      </c>
      <c r="G2620" s="3" t="inlineStr">
        <is>
          <t>황탄리</t>
        </is>
      </c>
      <c r="H2620" s="3" t="inlineStr">
        <is>
          <t>계획관리지역</t>
        </is>
      </c>
      <c r="I2620" s="3" t="inlineStr">
        <is>
          <t>대</t>
        </is>
      </c>
      <c r="J2620" s="3" t="inlineStr">
        <is>
          <t>강내면</t>
        </is>
      </c>
    </row>
    <row r="2621">
      <c r="A2621" s="3" t="n">
        <v>2026</v>
      </c>
      <c r="B2621" s="4" t="n">
        <v>5000</v>
      </c>
      <c r="C2621" s="4" t="n">
        <v>282</v>
      </c>
      <c r="D2621" s="4" t="n">
        <v>85.30499999999999</v>
      </c>
      <c r="E2621" s="5" t="n">
        <v>58.6</v>
      </c>
      <c r="F2621" s="3" t="inlineStr">
        <is>
          <t>오송읍</t>
        </is>
      </c>
      <c r="G2621" s="3" t="inlineStr">
        <is>
          <t>상봉리</t>
        </is>
      </c>
      <c r="H2621" s="3" t="inlineStr">
        <is>
          <t>생산관리지역</t>
        </is>
      </c>
      <c r="I2621" s="3" t="inlineStr">
        <is>
          <t>대</t>
        </is>
      </c>
      <c r="J2621" s="3" t="inlineStr">
        <is>
          <t>오송읍</t>
        </is>
      </c>
    </row>
    <row r="2622">
      <c r="A2622" s="3" t="n">
        <v>2022</v>
      </c>
      <c r="B2622" s="4" t="n">
        <v>15000</v>
      </c>
      <c r="C2622" s="4" t="n">
        <v>4959</v>
      </c>
      <c r="D2622" s="4" t="n">
        <v>1500.0975</v>
      </c>
      <c r="E2622" s="5" t="n">
        <v>10</v>
      </c>
      <c r="F2622" s="3" t="inlineStr">
        <is>
          <t>강내면</t>
        </is>
      </c>
      <c r="G2622" s="3" t="inlineStr">
        <is>
          <t>궁현리</t>
        </is>
      </c>
      <c r="H2622" s="3" t="inlineStr">
        <is>
          <t>보전관리지역</t>
        </is>
      </c>
      <c r="I2622" s="3" t="inlineStr">
        <is>
          <t>임야</t>
        </is>
      </c>
      <c r="J2622" s="3" t="inlineStr">
        <is>
          <t>강내면</t>
        </is>
      </c>
    </row>
    <row r="2623">
      <c r="A2623" s="3" t="n">
        <v>2022</v>
      </c>
      <c r="B2623" s="4" t="n">
        <v>167470</v>
      </c>
      <c r="C2623" s="4" t="n">
        <v>5157</v>
      </c>
      <c r="D2623" s="4" t="n">
        <v>1559.9925</v>
      </c>
      <c r="E2623" s="5" t="n">
        <v>107.4</v>
      </c>
      <c r="F2623" s="3" t="inlineStr">
        <is>
          <t>오송읍</t>
        </is>
      </c>
      <c r="G2623" s="3" t="inlineStr">
        <is>
          <t>연제리</t>
        </is>
      </c>
      <c r="H2623" s="3" t="inlineStr">
        <is>
          <t>계획관리지역</t>
        </is>
      </c>
      <c r="I2623" s="3" t="inlineStr">
        <is>
          <t>임야</t>
        </is>
      </c>
      <c r="J2623" s="3" t="inlineStr">
        <is>
          <t>오송읍</t>
        </is>
      </c>
    </row>
    <row r="2624">
      <c r="A2624" s="3" t="n">
        <v>2022</v>
      </c>
      <c r="B2624" s="4" t="n">
        <v>19320</v>
      </c>
      <c r="C2624" s="4" t="n">
        <v>595</v>
      </c>
      <c r="D2624" s="4" t="n">
        <v>179.9875</v>
      </c>
      <c r="E2624" s="5" t="n">
        <v>107.3</v>
      </c>
      <c r="F2624" s="3" t="inlineStr">
        <is>
          <t>오송읍</t>
        </is>
      </c>
      <c r="G2624" s="3" t="inlineStr">
        <is>
          <t>연제리</t>
        </is>
      </c>
      <c r="H2624" s="3" t="inlineStr">
        <is>
          <t>계획관리지역</t>
        </is>
      </c>
      <c r="I2624" s="3" t="inlineStr">
        <is>
          <t>임야</t>
        </is>
      </c>
      <c r="J2624" s="3" t="inlineStr">
        <is>
          <t>오송읍</t>
        </is>
      </c>
    </row>
    <row r="2625">
      <c r="A2625" s="3" t="n">
        <v>2022</v>
      </c>
      <c r="B2625" s="4" t="n">
        <v>3210</v>
      </c>
      <c r="C2625" s="4" t="n">
        <v>99</v>
      </c>
      <c r="D2625" s="4" t="n">
        <v>29.9475</v>
      </c>
      <c r="E2625" s="5" t="n">
        <v>107.2</v>
      </c>
      <c r="F2625" s="3" t="inlineStr">
        <is>
          <t>오송읍</t>
        </is>
      </c>
      <c r="G2625" s="3" t="inlineStr">
        <is>
          <t>연제리</t>
        </is>
      </c>
      <c r="H2625" s="3" t="inlineStr">
        <is>
          <t>계획관리지역</t>
        </is>
      </c>
      <c r="I2625" s="3" t="inlineStr">
        <is>
          <t>임야</t>
        </is>
      </c>
      <c r="J2625" s="3" t="inlineStr">
        <is>
          <t>오송읍</t>
        </is>
      </c>
    </row>
    <row r="2626">
      <c r="A2626" s="3" t="n">
        <v>2022</v>
      </c>
      <c r="B2626" s="4" t="n">
        <v>83000</v>
      </c>
      <c r="C2626" s="4" t="n">
        <v>3967</v>
      </c>
      <c r="D2626" s="4" t="n">
        <v>1200.0175</v>
      </c>
      <c r="E2626" s="5" t="n">
        <v>69.2</v>
      </c>
      <c r="F2626" s="3" t="inlineStr">
        <is>
          <t>오송읍</t>
        </is>
      </c>
      <c r="G2626" s="3" t="inlineStr">
        <is>
          <t>궁평리</t>
        </is>
      </c>
      <c r="H2626" s="3" t="inlineStr">
        <is>
          <t>농림지역</t>
        </is>
      </c>
      <c r="I2626" s="3" t="inlineStr">
        <is>
          <t>답</t>
        </is>
      </c>
      <c r="J2626" s="3" t="inlineStr">
        <is>
          <t>오송읍</t>
        </is>
      </c>
    </row>
    <row r="2627">
      <c r="A2627" s="3" t="n">
        <v>2022</v>
      </c>
      <c r="B2627" s="4" t="n">
        <v>9000</v>
      </c>
      <c r="C2627" s="4" t="n">
        <v>615</v>
      </c>
      <c r="D2627" s="4" t="n">
        <v>186.0375</v>
      </c>
      <c r="E2627" s="5" t="n">
        <v>48.4</v>
      </c>
      <c r="F2627" s="3" t="inlineStr">
        <is>
          <t>강내면</t>
        </is>
      </c>
      <c r="G2627" s="3" t="inlineStr">
        <is>
          <t>태성리</t>
        </is>
      </c>
      <c r="H2627" s="3" t="inlineStr">
        <is>
          <t>계획관리지역</t>
        </is>
      </c>
      <c r="I2627" s="3" t="inlineStr">
        <is>
          <t>전</t>
        </is>
      </c>
      <c r="J2627" s="3" t="inlineStr">
        <is>
          <t>강내면</t>
        </is>
      </c>
    </row>
    <row r="2628">
      <c r="A2628" s="3" t="n">
        <v>2022</v>
      </c>
      <c r="B2628" s="4" t="n">
        <v>10000</v>
      </c>
      <c r="C2628" s="4" t="n">
        <v>1603</v>
      </c>
      <c r="D2628" s="4" t="n">
        <v>484.9075</v>
      </c>
      <c r="E2628" s="5" t="n">
        <v>20.6</v>
      </c>
      <c r="F2628" s="3" t="inlineStr">
        <is>
          <t>강내면</t>
        </is>
      </c>
      <c r="G2628" s="3" t="inlineStr">
        <is>
          <t>사곡리</t>
        </is>
      </c>
      <c r="H2628" s="3" t="inlineStr">
        <is>
          <t>생산관리지역</t>
        </is>
      </c>
      <c r="I2628" s="3" t="inlineStr">
        <is>
          <t>전</t>
        </is>
      </c>
      <c r="J2628" s="3" t="inlineStr">
        <is>
          <t>강내면</t>
        </is>
      </c>
    </row>
    <row r="2629">
      <c r="A2629" s="3" t="n">
        <v>2022</v>
      </c>
      <c r="B2629" s="4" t="n">
        <v>23500</v>
      </c>
      <c r="C2629" s="4" t="n">
        <v>2366</v>
      </c>
      <c r="D2629" s="4" t="n">
        <v>715.715</v>
      </c>
      <c r="E2629" s="5" t="n">
        <v>32.8</v>
      </c>
      <c r="F2629" s="3" t="inlineStr">
        <is>
          <t>강내면</t>
        </is>
      </c>
      <c r="G2629" s="3" t="inlineStr">
        <is>
          <t>궁현리</t>
        </is>
      </c>
      <c r="H2629" s="3" t="inlineStr">
        <is>
          <t>농림지역</t>
        </is>
      </c>
      <c r="I2629" s="3" t="inlineStr">
        <is>
          <t>답</t>
        </is>
      </c>
      <c r="J2629" s="3" t="inlineStr">
        <is>
          <t>강내면</t>
        </is>
      </c>
    </row>
    <row r="2630">
      <c r="A2630" s="3" t="n">
        <v>2022</v>
      </c>
      <c r="B2630" s="4" t="n">
        <v>32000</v>
      </c>
      <c r="C2630" s="4" t="n">
        <v>270.1</v>
      </c>
      <c r="D2630" s="4" t="n">
        <v>81.70525000000001</v>
      </c>
      <c r="E2630" s="5" t="n">
        <v>391.7</v>
      </c>
      <c r="F2630" s="3" t="inlineStr">
        <is>
          <t>오송읍</t>
        </is>
      </c>
      <c r="G2630" s="3" t="inlineStr">
        <is>
          <t>봉산리</t>
        </is>
      </c>
      <c r="H2630" s="3" t="inlineStr">
        <is>
          <t>제1종일반주거지역</t>
        </is>
      </c>
      <c r="I2630" s="3" t="inlineStr">
        <is>
          <t>대</t>
        </is>
      </c>
      <c r="J2630" s="3" t="inlineStr">
        <is>
          <t>오송읍</t>
        </is>
      </c>
    </row>
    <row r="2631">
      <c r="A2631" s="3" t="n">
        <v>2022</v>
      </c>
      <c r="B2631" s="4" t="n">
        <v>51400</v>
      </c>
      <c r="C2631" s="4" t="n">
        <v>1566</v>
      </c>
      <c r="D2631" s="4" t="n">
        <v>473.715</v>
      </c>
      <c r="E2631" s="5" t="n">
        <v>108.5</v>
      </c>
      <c r="F2631" s="3" t="inlineStr">
        <is>
          <t>오송읍</t>
        </is>
      </c>
      <c r="G2631" s="3" t="inlineStr">
        <is>
          <t>정중리</t>
        </is>
      </c>
      <c r="H2631" s="3" t="inlineStr">
        <is>
          <t>생산관리지역</t>
        </is>
      </c>
      <c r="I2631" s="3" t="inlineStr">
        <is>
          <t>전</t>
        </is>
      </c>
      <c r="J2631" s="3" t="inlineStr">
        <is>
          <t>오송읍</t>
        </is>
      </c>
    </row>
    <row r="2632">
      <c r="A2632" s="3" t="n">
        <v>2022</v>
      </c>
      <c r="B2632" s="4" t="n">
        <v>41500</v>
      </c>
      <c r="C2632" s="4" t="n">
        <v>394</v>
      </c>
      <c r="D2632" s="4" t="n">
        <v>119.185</v>
      </c>
      <c r="E2632" s="5" t="n">
        <v>348.2</v>
      </c>
      <c r="F2632" s="3" t="inlineStr">
        <is>
          <t>강내면</t>
        </is>
      </c>
      <c r="G2632" s="3" t="inlineStr">
        <is>
          <t>탑연리</t>
        </is>
      </c>
      <c r="H2632" s="3" t="inlineStr">
        <is>
          <t>제2종일반주거지역</t>
        </is>
      </c>
      <c r="I2632" s="3" t="inlineStr">
        <is>
          <t>답</t>
        </is>
      </c>
      <c r="J2632" s="3" t="inlineStr">
        <is>
          <t>강내면</t>
        </is>
      </c>
    </row>
    <row r="2633">
      <c r="A2633" s="3" t="n">
        <v>2023</v>
      </c>
      <c r="B2633" s="4" t="n">
        <v>178266</v>
      </c>
      <c r="C2633" s="4" t="n">
        <v>8241.799999999999</v>
      </c>
      <c r="D2633" s="4" t="n">
        <v>2493.1445</v>
      </c>
      <c r="E2633" s="5" t="n">
        <v>71.5</v>
      </c>
      <c r="F2633" s="3" t="inlineStr">
        <is>
          <t>오송읍</t>
        </is>
      </c>
      <c r="G2633" s="3" t="inlineStr">
        <is>
          <t>연제리</t>
        </is>
      </c>
      <c r="H2633" s="3" t="inlineStr">
        <is>
          <t>준공업지역</t>
        </is>
      </c>
      <c r="I2633" s="3" t="inlineStr">
        <is>
          <t>대</t>
        </is>
      </c>
      <c r="J2633" s="3" t="inlineStr">
        <is>
          <t>오송읍</t>
        </is>
      </c>
    </row>
    <row r="2634">
      <c r="A2634" s="3" t="n">
        <v>2023</v>
      </c>
      <c r="B2634" s="4" t="n">
        <v>13681</v>
      </c>
      <c r="C2634" s="4" t="n">
        <v>483</v>
      </c>
      <c r="D2634" s="4" t="n">
        <v>146.1075</v>
      </c>
      <c r="E2634" s="5" t="n">
        <v>93.59999999999999</v>
      </c>
      <c r="F2634" s="3" t="inlineStr">
        <is>
          <t>강내면</t>
        </is>
      </c>
      <c r="G2634" s="3" t="inlineStr">
        <is>
          <t>학천리</t>
        </is>
      </c>
      <c r="H2634" s="3" t="inlineStr">
        <is>
          <t>자연녹지지역</t>
        </is>
      </c>
      <c r="I2634" s="3" t="inlineStr">
        <is>
          <t>전</t>
        </is>
      </c>
      <c r="J2634" s="3" t="inlineStr">
        <is>
          <t>강내면</t>
        </is>
      </c>
    </row>
    <row r="2635">
      <c r="A2635" s="3" t="n">
        <v>2023</v>
      </c>
      <c r="B2635" s="4" t="n">
        <v>27616</v>
      </c>
      <c r="C2635" s="4" t="n">
        <v>2132</v>
      </c>
      <c r="D2635" s="4" t="n">
        <v>644.9299999999999</v>
      </c>
      <c r="E2635" s="5" t="n">
        <v>42.8</v>
      </c>
      <c r="F2635" s="3" t="inlineStr">
        <is>
          <t>오송읍</t>
        </is>
      </c>
      <c r="G2635" s="3" t="inlineStr">
        <is>
          <t>서평리</t>
        </is>
      </c>
      <c r="H2635" s="3" t="inlineStr">
        <is>
          <t>농림지역</t>
        </is>
      </c>
      <c r="I2635" s="3" t="inlineStr">
        <is>
          <t>답</t>
        </is>
      </c>
      <c r="J2635" s="3" t="inlineStr">
        <is>
          <t>오송읍</t>
        </is>
      </c>
    </row>
    <row r="2636">
      <c r="A2636" s="3" t="n">
        <v>2023</v>
      </c>
      <c r="B2636" s="4" t="n">
        <v>34000</v>
      </c>
      <c r="C2636" s="4" t="n">
        <v>267.6</v>
      </c>
      <c r="D2636" s="4" t="n">
        <v>80.949</v>
      </c>
      <c r="E2636" s="5" t="n">
        <v>420</v>
      </c>
      <c r="F2636" s="3" t="inlineStr">
        <is>
          <t>오송읍</t>
        </is>
      </c>
      <c r="G2636" s="3" t="inlineStr">
        <is>
          <t>봉산리</t>
        </is>
      </c>
      <c r="H2636" s="3" t="inlineStr">
        <is>
          <t>제1종일반주거지역</t>
        </is>
      </c>
      <c r="I2636" s="3" t="inlineStr">
        <is>
          <t>대</t>
        </is>
      </c>
      <c r="J2636" s="3" t="inlineStr">
        <is>
          <t>오송읍</t>
        </is>
      </c>
    </row>
    <row r="2637">
      <c r="A2637" s="3" t="n">
        <v>2023</v>
      </c>
      <c r="B2637" s="4" t="n">
        <v>59000</v>
      </c>
      <c r="C2637" s="4" t="n">
        <v>248.6</v>
      </c>
      <c r="D2637" s="4" t="n">
        <v>75.2015</v>
      </c>
      <c r="E2637" s="5" t="n">
        <v>784.6</v>
      </c>
      <c r="F2637" s="3" t="inlineStr">
        <is>
          <t>오송읍</t>
        </is>
      </c>
      <c r="G2637" s="3" t="inlineStr">
        <is>
          <t>봉산리</t>
        </is>
      </c>
      <c r="H2637" s="3" t="inlineStr">
        <is>
          <t>제1종일반주거지역</t>
        </is>
      </c>
      <c r="I2637" s="3" t="inlineStr">
        <is>
          <t>대</t>
        </is>
      </c>
      <c r="J2637" s="3" t="inlineStr">
        <is>
          <t>오송읍</t>
        </is>
      </c>
    </row>
    <row r="2638">
      <c r="A2638" s="3" t="n">
        <v>2023</v>
      </c>
      <c r="B2638" s="4" t="n">
        <v>1000</v>
      </c>
      <c r="C2638" s="4" t="n">
        <v>149</v>
      </c>
      <c r="D2638" s="4" t="n">
        <v>45.0725</v>
      </c>
      <c r="E2638" s="5" t="n">
        <v>22.2</v>
      </c>
      <c r="F2638" s="3" t="inlineStr">
        <is>
          <t>강내면</t>
        </is>
      </c>
      <c r="G2638" s="3" t="inlineStr">
        <is>
          <t>황탄리</t>
        </is>
      </c>
      <c r="H2638" s="3" t="inlineStr">
        <is>
          <t>계획관리지역</t>
        </is>
      </c>
      <c r="I2638" s="3" t="inlineStr">
        <is>
          <t>도로</t>
        </is>
      </c>
      <c r="J2638" s="3" t="inlineStr">
        <is>
          <t>강내면</t>
        </is>
      </c>
    </row>
    <row r="2639">
      <c r="A2639" s="3" t="n">
        <v>2023</v>
      </c>
      <c r="B2639" s="4" t="n">
        <v>1200</v>
      </c>
      <c r="C2639" s="4" t="n">
        <v>191</v>
      </c>
      <c r="D2639" s="4" t="n">
        <v>57.7775</v>
      </c>
      <c r="E2639" s="5" t="n">
        <v>20.8</v>
      </c>
      <c r="F2639" s="3" t="inlineStr">
        <is>
          <t>강내면</t>
        </is>
      </c>
      <c r="G2639" s="3" t="inlineStr">
        <is>
          <t>황탄리</t>
        </is>
      </c>
      <c r="H2639" s="3" t="inlineStr">
        <is>
          <t>계획관리지역</t>
        </is>
      </c>
      <c r="I2639" s="3" t="inlineStr">
        <is>
          <t>도로</t>
        </is>
      </c>
      <c r="J2639" s="3" t="inlineStr">
        <is>
          <t>강내면</t>
        </is>
      </c>
    </row>
    <row r="2640">
      <c r="A2640" s="3" t="n">
        <v>2023</v>
      </c>
      <c r="B2640" s="4" t="n">
        <v>3950</v>
      </c>
      <c r="C2640" s="4" t="n">
        <v>162</v>
      </c>
      <c r="D2640" s="4" t="n">
        <v>49.005</v>
      </c>
      <c r="E2640" s="5" t="n">
        <v>80.59999999999999</v>
      </c>
      <c r="F2640" s="3" t="inlineStr">
        <is>
          <t>강내면</t>
        </is>
      </c>
      <c r="G2640" s="3" t="inlineStr">
        <is>
          <t>저산리</t>
        </is>
      </c>
      <c r="H2640" s="3" t="inlineStr">
        <is>
          <t>계획관리지역</t>
        </is>
      </c>
      <c r="I2640" s="3" t="inlineStr">
        <is>
          <t>임야</t>
        </is>
      </c>
      <c r="J2640" s="3" t="inlineStr">
        <is>
          <t>강내면</t>
        </is>
      </c>
    </row>
    <row r="2641">
      <c r="A2641" s="3" t="n">
        <v>2023</v>
      </c>
      <c r="B2641" s="4" t="n">
        <v>3367</v>
      </c>
      <c r="C2641" s="4" t="n">
        <v>44</v>
      </c>
      <c r="D2641" s="4" t="n">
        <v>13.31</v>
      </c>
      <c r="E2641" s="5" t="n">
        <v>253</v>
      </c>
      <c r="F2641" s="3" t="inlineStr">
        <is>
          <t>강내면</t>
        </is>
      </c>
      <c r="G2641" s="3" t="inlineStr">
        <is>
          <t>월곡리</t>
        </is>
      </c>
      <c r="H2641" s="3" t="inlineStr">
        <is>
          <t>제2종일반주거지역</t>
        </is>
      </c>
      <c r="I2641" s="3" t="inlineStr">
        <is>
          <t>답</t>
        </is>
      </c>
      <c r="J2641" s="3" t="inlineStr">
        <is>
          <t>강내면</t>
        </is>
      </c>
    </row>
    <row r="2642">
      <c r="A2642" s="3" t="n">
        <v>2023</v>
      </c>
      <c r="B2642" s="4" t="n">
        <v>3008</v>
      </c>
      <c r="C2642" s="4" t="n">
        <v>280</v>
      </c>
      <c r="D2642" s="4" t="n">
        <v>84.7</v>
      </c>
      <c r="E2642" s="5" t="n">
        <v>35.5</v>
      </c>
      <c r="F2642" s="3" t="inlineStr">
        <is>
          <t>강내면</t>
        </is>
      </c>
      <c r="G2642" s="3" t="inlineStr">
        <is>
          <t>저산리</t>
        </is>
      </c>
      <c r="H2642" s="3" t="inlineStr">
        <is>
          <t>계획관리지역</t>
        </is>
      </c>
      <c r="I2642" s="3" t="inlineStr">
        <is>
          <t>전</t>
        </is>
      </c>
      <c r="J2642" s="3" t="inlineStr">
        <is>
          <t>강내면</t>
        </is>
      </c>
    </row>
    <row r="2643">
      <c r="A2643" s="3" t="n">
        <v>2023</v>
      </c>
      <c r="B2643" s="4" t="n">
        <v>4501</v>
      </c>
      <c r="C2643" s="4" t="n">
        <v>419</v>
      </c>
      <c r="D2643" s="4" t="n">
        <v>126.7475</v>
      </c>
      <c r="E2643" s="5" t="n">
        <v>35.5</v>
      </c>
      <c r="F2643" s="3" t="inlineStr">
        <is>
          <t>강내면</t>
        </is>
      </c>
      <c r="G2643" s="3" t="inlineStr">
        <is>
          <t>저산리</t>
        </is>
      </c>
      <c r="H2643" s="3" t="inlineStr">
        <is>
          <t>보전관리지역</t>
        </is>
      </c>
      <c r="I2643" s="3" t="inlineStr">
        <is>
          <t>전</t>
        </is>
      </c>
      <c r="J2643" s="3" t="inlineStr">
        <is>
          <t>강내면</t>
        </is>
      </c>
    </row>
    <row r="2644">
      <c r="A2644" s="3" t="n">
        <v>2023</v>
      </c>
      <c r="B2644" s="4" t="n">
        <v>1686</v>
      </c>
      <c r="C2644" s="4" t="n">
        <v>157</v>
      </c>
      <c r="D2644" s="4" t="n">
        <v>47.4925</v>
      </c>
      <c r="E2644" s="5" t="n">
        <v>35.5</v>
      </c>
      <c r="F2644" s="3" t="inlineStr">
        <is>
          <t>강내면</t>
        </is>
      </c>
      <c r="G2644" s="3" t="inlineStr">
        <is>
          <t>저산리</t>
        </is>
      </c>
      <c r="H2644" s="3" t="inlineStr">
        <is>
          <t>계획관리지역</t>
        </is>
      </c>
      <c r="I2644" s="3" t="inlineStr">
        <is>
          <t>전</t>
        </is>
      </c>
      <c r="J2644" s="3" t="inlineStr">
        <is>
          <t>강내면</t>
        </is>
      </c>
    </row>
    <row r="2645">
      <c r="A2645" s="3" t="n">
        <v>2023</v>
      </c>
      <c r="B2645" s="4" t="n">
        <v>450</v>
      </c>
      <c r="C2645" s="4" t="n">
        <v>10</v>
      </c>
      <c r="D2645" s="4" t="n">
        <v>3.025</v>
      </c>
      <c r="E2645" s="5" t="n">
        <v>148.8</v>
      </c>
      <c r="F2645" s="3" t="inlineStr">
        <is>
          <t>강내면</t>
        </is>
      </c>
      <c r="G2645" s="3" t="inlineStr">
        <is>
          <t>석화리</t>
        </is>
      </c>
      <c r="H2645" s="3" t="inlineStr">
        <is>
          <t>자연녹지지역</t>
        </is>
      </c>
      <c r="I2645" s="3" t="inlineStr">
        <is>
          <t>대</t>
        </is>
      </c>
      <c r="J2645" s="3" t="inlineStr">
        <is>
          <t>강내면</t>
        </is>
      </c>
    </row>
    <row r="2646">
      <c r="A2646" s="3" t="n">
        <v>2023</v>
      </c>
      <c r="B2646" s="4" t="n">
        <v>6015</v>
      </c>
      <c r="C2646" s="4" t="n">
        <v>560</v>
      </c>
      <c r="D2646" s="4" t="n">
        <v>169.4</v>
      </c>
      <c r="E2646" s="5" t="n">
        <v>35.5</v>
      </c>
      <c r="F2646" s="3" t="inlineStr">
        <is>
          <t>강내면</t>
        </is>
      </c>
      <c r="G2646" s="3" t="inlineStr">
        <is>
          <t>저산리</t>
        </is>
      </c>
      <c r="H2646" s="3" t="inlineStr">
        <is>
          <t>보전관리지역</t>
        </is>
      </c>
      <c r="I2646" s="3" t="inlineStr">
        <is>
          <t>임야</t>
        </is>
      </c>
      <c r="J2646" s="3" t="inlineStr">
        <is>
          <t>강내면</t>
        </is>
      </c>
    </row>
    <row r="2647">
      <c r="A2647" s="3" t="n">
        <v>2023</v>
      </c>
      <c r="B2647" s="4" t="n">
        <v>14040</v>
      </c>
      <c r="C2647" s="4" t="n">
        <v>1307</v>
      </c>
      <c r="D2647" s="4" t="n">
        <v>395.3675</v>
      </c>
      <c r="E2647" s="5" t="n">
        <v>35.5</v>
      </c>
      <c r="F2647" s="3" t="inlineStr">
        <is>
          <t>강내면</t>
        </is>
      </c>
      <c r="G2647" s="3" t="inlineStr">
        <is>
          <t>저산리</t>
        </is>
      </c>
      <c r="H2647" s="3" t="inlineStr">
        <is>
          <t>보전관리지역</t>
        </is>
      </c>
      <c r="I2647" s="3" t="inlineStr">
        <is>
          <t>임야</t>
        </is>
      </c>
      <c r="J2647" s="3" t="inlineStr">
        <is>
          <t>강내면</t>
        </is>
      </c>
    </row>
    <row r="2648">
      <c r="A2648" s="3" t="n">
        <v>2023</v>
      </c>
      <c r="B2648" s="4" t="n">
        <v>7670</v>
      </c>
      <c r="C2648" s="4" t="n">
        <v>714</v>
      </c>
      <c r="D2648" s="4" t="n">
        <v>215.985</v>
      </c>
      <c r="E2648" s="5" t="n">
        <v>35.5</v>
      </c>
      <c r="F2648" s="3" t="inlineStr">
        <is>
          <t>강내면</t>
        </is>
      </c>
      <c r="G2648" s="3" t="inlineStr">
        <is>
          <t>저산리</t>
        </is>
      </c>
      <c r="H2648" s="3" t="inlineStr">
        <is>
          <t>보전관리지역</t>
        </is>
      </c>
      <c r="I2648" s="3" t="inlineStr">
        <is>
          <t>임야</t>
        </is>
      </c>
      <c r="J2648" s="3" t="inlineStr">
        <is>
          <t>강내면</t>
        </is>
      </c>
    </row>
    <row r="2649">
      <c r="A2649" s="3" t="n">
        <v>2023</v>
      </c>
      <c r="B2649" s="4" t="n">
        <v>6698</v>
      </c>
      <c r="C2649" s="4" t="n">
        <v>651</v>
      </c>
      <c r="D2649" s="4" t="n">
        <v>196.9275</v>
      </c>
      <c r="E2649" s="5" t="n">
        <v>34</v>
      </c>
      <c r="F2649" s="3" t="inlineStr">
        <is>
          <t>강내면</t>
        </is>
      </c>
      <c r="G2649" s="3" t="inlineStr">
        <is>
          <t>저산리</t>
        </is>
      </c>
      <c r="H2649" s="3" t="inlineStr">
        <is>
          <t>계획관리지역</t>
        </is>
      </c>
      <c r="I2649" s="3" t="inlineStr">
        <is>
          <t>전</t>
        </is>
      </c>
      <c r="J2649" s="3" t="inlineStr">
        <is>
          <t>강내면</t>
        </is>
      </c>
    </row>
    <row r="2650">
      <c r="A2650" s="3" t="n">
        <v>2023</v>
      </c>
      <c r="B2650" s="4" t="n">
        <v>24350</v>
      </c>
      <c r="C2650" s="4" t="n">
        <v>1747</v>
      </c>
      <c r="D2650" s="4" t="n">
        <v>528.4675</v>
      </c>
      <c r="E2650" s="5" t="n">
        <v>46.1</v>
      </c>
      <c r="F2650" s="3" t="inlineStr">
        <is>
          <t>오송읍</t>
        </is>
      </c>
      <c r="G2650" s="3" t="inlineStr">
        <is>
          <t>상봉리</t>
        </is>
      </c>
      <c r="H2650" s="3" t="inlineStr">
        <is>
          <t>농림지역</t>
        </is>
      </c>
      <c r="I2650" s="3" t="inlineStr">
        <is>
          <t>과수원</t>
        </is>
      </c>
      <c r="J2650" s="3" t="inlineStr">
        <is>
          <t>오송읍</t>
        </is>
      </c>
    </row>
    <row r="2651">
      <c r="A2651" s="3" t="n">
        <v>2023</v>
      </c>
      <c r="B2651" s="4" t="n">
        <v>11150</v>
      </c>
      <c r="C2651" s="4" t="n">
        <v>800</v>
      </c>
      <c r="D2651" s="4" t="n">
        <v>242</v>
      </c>
      <c r="E2651" s="5" t="n">
        <v>46.1</v>
      </c>
      <c r="F2651" s="3" t="inlineStr">
        <is>
          <t>오송읍</t>
        </is>
      </c>
      <c r="G2651" s="3" t="inlineStr">
        <is>
          <t>상봉리</t>
        </is>
      </c>
      <c r="H2651" s="3" t="inlineStr">
        <is>
          <t>농림지역</t>
        </is>
      </c>
      <c r="I2651" s="3" t="inlineStr">
        <is>
          <t>과수원</t>
        </is>
      </c>
      <c r="J2651" s="3" t="inlineStr">
        <is>
          <t>오송읍</t>
        </is>
      </c>
    </row>
    <row r="2652">
      <c r="A2652" s="3" t="n">
        <v>2023</v>
      </c>
      <c r="B2652" s="4" t="n">
        <v>23580</v>
      </c>
      <c r="C2652" s="4" t="n">
        <v>1298</v>
      </c>
      <c r="D2652" s="4" t="n">
        <v>392.645</v>
      </c>
      <c r="E2652" s="5" t="n">
        <v>60.1</v>
      </c>
      <c r="F2652" s="3" t="inlineStr">
        <is>
          <t>강내면</t>
        </is>
      </c>
      <c r="G2652" s="3" t="inlineStr">
        <is>
          <t>사곡리</t>
        </is>
      </c>
      <c r="H2652" s="3" t="inlineStr">
        <is>
          <t>보전관리지역</t>
        </is>
      </c>
      <c r="I2652" s="3" t="inlineStr">
        <is>
          <t>전</t>
        </is>
      </c>
      <c r="J2652" s="3" t="inlineStr">
        <is>
          <t>강내면</t>
        </is>
      </c>
    </row>
    <row r="2653">
      <c r="A2653" s="3" t="n">
        <v>2026</v>
      </c>
      <c r="B2653" s="4" t="n">
        <v>57000</v>
      </c>
      <c r="C2653" s="4" t="n">
        <v>5136</v>
      </c>
      <c r="D2653" s="4" t="n">
        <v>1553.64</v>
      </c>
      <c r="E2653" s="5" t="n">
        <v>36.7</v>
      </c>
      <c r="F2653" s="3" t="inlineStr">
        <is>
          <t>연동면</t>
        </is>
      </c>
      <c r="G2653" s="3" t="inlineStr">
        <is>
          <t>송용리</t>
        </is>
      </c>
      <c r="H2653" s="3" t="inlineStr">
        <is>
          <t>농림지역</t>
        </is>
      </c>
      <c r="I2653" s="3" t="inlineStr">
        <is>
          <t>답</t>
        </is>
      </c>
      <c r="J2653" s="3" t="inlineStr">
        <is>
          <t>연동면</t>
        </is>
      </c>
    </row>
    <row r="2654">
      <c r="A2654" s="3" t="n">
        <v>2026</v>
      </c>
      <c r="B2654" s="4" t="n">
        <v>10000</v>
      </c>
      <c r="C2654" s="4" t="n">
        <v>3967</v>
      </c>
      <c r="D2654" s="4" t="n">
        <v>1200.0175</v>
      </c>
      <c r="E2654" s="5" t="n">
        <v>8.300000000000001</v>
      </c>
      <c r="F2654" s="3" t="inlineStr">
        <is>
          <t>부강면</t>
        </is>
      </c>
      <c r="G2654" s="3" t="inlineStr">
        <is>
          <t>노호리</t>
        </is>
      </c>
      <c r="H2654" s="3" t="inlineStr">
        <is>
          <t>보전관리지역</t>
        </is>
      </c>
      <c r="I2654" s="3" t="inlineStr">
        <is>
          <t>임야</t>
        </is>
      </c>
      <c r="J2654" s="3" t="inlineStr">
        <is>
          <t>부강면</t>
        </is>
      </c>
    </row>
    <row r="2655">
      <c r="A2655" s="3" t="n">
        <v>2026</v>
      </c>
      <c r="B2655" s="4" t="n">
        <v>56850</v>
      </c>
      <c r="C2655" s="4" t="n">
        <v>2502</v>
      </c>
      <c r="D2655" s="4" t="n">
        <v>756.855</v>
      </c>
      <c r="E2655" s="5" t="n">
        <v>75.09999999999999</v>
      </c>
      <c r="F2655" s="3" t="inlineStr">
        <is>
          <t>부강면</t>
        </is>
      </c>
      <c r="G2655" s="3" t="inlineStr">
        <is>
          <t>등곡리</t>
        </is>
      </c>
      <c r="H2655" s="3" t="inlineStr">
        <is>
          <t>계획관리지역</t>
        </is>
      </c>
      <c r="I2655" s="3" t="inlineStr">
        <is>
          <t>전</t>
        </is>
      </c>
      <c r="J2655" s="3" t="inlineStr">
        <is>
          <t>부강면</t>
        </is>
      </c>
    </row>
    <row r="2656">
      <c r="A2656" s="3" t="n">
        <v>2026</v>
      </c>
      <c r="B2656" s="4" t="n">
        <v>4000</v>
      </c>
      <c r="C2656" s="4" t="n">
        <v>201</v>
      </c>
      <c r="D2656" s="4" t="n">
        <v>60.80249999999999</v>
      </c>
      <c r="E2656" s="5" t="n">
        <v>65.8</v>
      </c>
      <c r="F2656" s="3" t="inlineStr">
        <is>
          <t>연동면</t>
        </is>
      </c>
      <c r="G2656" s="3" t="inlineStr">
        <is>
          <t>노송리</t>
        </is>
      </c>
      <c r="H2656" s="3" t="inlineStr">
        <is>
          <t>계획관리지역</t>
        </is>
      </c>
      <c r="I2656" s="3" t="inlineStr">
        <is>
          <t>전</t>
        </is>
      </c>
      <c r="J2656" s="3" t="inlineStr">
        <is>
          <t>연동면</t>
        </is>
      </c>
    </row>
    <row r="2657">
      <c r="A2657" s="3" t="n">
        <v>2026</v>
      </c>
      <c r="B2657" s="4" t="n">
        <v>60000</v>
      </c>
      <c r="C2657" s="4" t="n">
        <v>1046</v>
      </c>
      <c r="D2657" s="4" t="n">
        <v>316.415</v>
      </c>
      <c r="E2657" s="5" t="n">
        <v>189.6</v>
      </c>
      <c r="F2657" s="3" t="inlineStr">
        <is>
          <t>조치원읍</t>
        </is>
      </c>
      <c r="G2657" s="3" t="inlineStr">
        <is>
          <t>신안리</t>
        </is>
      </c>
      <c r="H2657" s="3" t="inlineStr">
        <is>
          <t>자연녹지지역</t>
        </is>
      </c>
      <c r="I2657" s="3" t="inlineStr">
        <is>
          <t>전</t>
        </is>
      </c>
      <c r="J2657" s="3" t="inlineStr">
        <is>
          <t>조치원읍</t>
        </is>
      </c>
    </row>
    <row r="2658">
      <c r="A2658" s="3" t="n">
        <v>2026</v>
      </c>
      <c r="B2658" s="4" t="n">
        <v>2800</v>
      </c>
      <c r="C2658" s="4" t="n">
        <v>675</v>
      </c>
      <c r="D2658" s="4" t="n">
        <v>204.1875</v>
      </c>
      <c r="E2658" s="5" t="n">
        <v>13.7</v>
      </c>
      <c r="F2658" s="3" t="inlineStr">
        <is>
          <t>연동면</t>
        </is>
      </c>
      <c r="G2658" s="3" t="inlineStr">
        <is>
          <t>예양리</t>
        </is>
      </c>
      <c r="H2658" s="3" t="inlineStr">
        <is>
          <t>보전관리지역</t>
        </is>
      </c>
      <c r="I2658" s="3" t="inlineStr">
        <is>
          <t>임야</t>
        </is>
      </c>
      <c r="J2658" s="3" t="inlineStr">
        <is>
          <t>연동면</t>
        </is>
      </c>
    </row>
    <row r="2659">
      <c r="A2659" s="3" t="n">
        <v>2023</v>
      </c>
      <c r="B2659" s="4" t="n">
        <v>11940</v>
      </c>
      <c r="C2659" s="4" t="n">
        <v>1315</v>
      </c>
      <c r="D2659" s="4" t="n">
        <v>397.7875</v>
      </c>
      <c r="E2659" s="5" t="n">
        <v>30</v>
      </c>
      <c r="F2659" s="3" t="inlineStr">
        <is>
          <t>강내면</t>
        </is>
      </c>
      <c r="G2659" s="3" t="inlineStr">
        <is>
          <t>사곡리</t>
        </is>
      </c>
      <c r="H2659" s="3" t="inlineStr">
        <is>
          <t>용도미지정</t>
        </is>
      </c>
      <c r="I2659" s="3" t="inlineStr">
        <is>
          <t>임야</t>
        </is>
      </c>
      <c r="J2659" s="3" t="inlineStr">
        <is>
          <t>강내면</t>
        </is>
      </c>
    </row>
    <row r="2660">
      <c r="A2660" s="3" t="n">
        <v>2025</v>
      </c>
      <c r="B2660" s="4" t="n">
        <v>5200</v>
      </c>
      <c r="C2660" s="4" t="n">
        <v>259</v>
      </c>
      <c r="D2660" s="4" t="n">
        <v>78.3475</v>
      </c>
      <c r="E2660" s="5" t="n">
        <v>66.40000000000001</v>
      </c>
      <c r="F2660" s="3" t="inlineStr">
        <is>
          <t>강내면</t>
        </is>
      </c>
      <c r="G2660" s="3" t="inlineStr">
        <is>
          <t>월탄리</t>
        </is>
      </c>
      <c r="H2660" s="3" t="inlineStr">
        <is>
          <t>계획관리지역</t>
        </is>
      </c>
      <c r="I2660" s="3" t="inlineStr">
        <is>
          <t>임야</t>
        </is>
      </c>
      <c r="J2660" s="3" t="inlineStr">
        <is>
          <t>강내면</t>
        </is>
      </c>
    </row>
    <row r="2661">
      <c r="A2661" s="3" t="n">
        <v>2025</v>
      </c>
      <c r="B2661" s="4" t="n">
        <v>33000</v>
      </c>
      <c r="C2661" s="4" t="n">
        <v>267.5</v>
      </c>
      <c r="D2661" s="4" t="n">
        <v>80.91875</v>
      </c>
      <c r="E2661" s="5" t="n">
        <v>407.8</v>
      </c>
      <c r="F2661" s="3" t="inlineStr">
        <is>
          <t>오송읍</t>
        </is>
      </c>
      <c r="G2661" s="3" t="inlineStr">
        <is>
          <t>봉산리</t>
        </is>
      </c>
      <c r="H2661" s="3" t="inlineStr">
        <is>
          <t>제1종일반주거지역</t>
        </is>
      </c>
      <c r="I2661" s="3" t="inlineStr">
        <is>
          <t>대</t>
        </is>
      </c>
      <c r="J2661" s="3" t="inlineStr">
        <is>
          <t>오송읍</t>
        </is>
      </c>
    </row>
    <row r="2662">
      <c r="A2662" s="3" t="n">
        <v>2025</v>
      </c>
      <c r="B2662" s="4" t="n">
        <v>364</v>
      </c>
      <c r="C2662" s="4" t="n">
        <v>17</v>
      </c>
      <c r="D2662" s="4" t="n">
        <v>5.1425</v>
      </c>
      <c r="E2662" s="5" t="n">
        <v>70.8</v>
      </c>
      <c r="F2662" s="3" t="inlineStr">
        <is>
          <t>오송읍</t>
        </is>
      </c>
      <c r="G2662" s="3" t="inlineStr">
        <is>
          <t>공북리</t>
        </is>
      </c>
      <c r="H2662" s="3" t="inlineStr">
        <is>
          <t>농림지역</t>
        </is>
      </c>
      <c r="I2662" s="3" t="inlineStr">
        <is>
          <t>도로</t>
        </is>
      </c>
      <c r="J2662" s="3" t="inlineStr">
        <is>
          <t>오송읍</t>
        </is>
      </c>
    </row>
    <row r="2663">
      <c r="A2663" s="3" t="n">
        <v>2025</v>
      </c>
      <c r="B2663" s="4" t="n">
        <v>38000</v>
      </c>
      <c r="C2663" s="4" t="n">
        <v>232</v>
      </c>
      <c r="D2663" s="4" t="n">
        <v>70.17999999999999</v>
      </c>
      <c r="E2663" s="5" t="n">
        <v>541.5</v>
      </c>
      <c r="F2663" s="3" t="inlineStr">
        <is>
          <t>오송읍</t>
        </is>
      </c>
      <c r="G2663" s="3" t="inlineStr">
        <is>
          <t>오송리</t>
        </is>
      </c>
      <c r="H2663" s="3" t="inlineStr">
        <is>
          <t>제1종일반주거지역</t>
        </is>
      </c>
      <c r="I2663" s="3" t="inlineStr">
        <is>
          <t>대</t>
        </is>
      </c>
      <c r="J2663" s="3" t="inlineStr">
        <is>
          <t>오송읍</t>
        </is>
      </c>
    </row>
    <row r="2664">
      <c r="A2664" s="3" t="n">
        <v>2025</v>
      </c>
      <c r="B2664" s="4" t="n">
        <v>42000</v>
      </c>
      <c r="C2664" s="4" t="n">
        <v>2668</v>
      </c>
      <c r="D2664" s="4" t="n">
        <v>807.0699999999999</v>
      </c>
      <c r="E2664" s="5" t="n">
        <v>52</v>
      </c>
      <c r="F2664" s="3" t="inlineStr">
        <is>
          <t>오송읍</t>
        </is>
      </c>
      <c r="G2664" s="3" t="inlineStr">
        <is>
          <t>서평리</t>
        </is>
      </c>
      <c r="H2664" s="3" t="inlineStr">
        <is>
          <t>농림지역</t>
        </is>
      </c>
      <c r="I2664" s="3" t="inlineStr">
        <is>
          <t>답</t>
        </is>
      </c>
      <c r="J2664" s="3" t="inlineStr">
        <is>
          <t>오송읍</t>
        </is>
      </c>
    </row>
    <row r="2665">
      <c r="A2665" s="3" t="n">
        <v>2025</v>
      </c>
      <c r="B2665" s="4" t="n">
        <v>60000</v>
      </c>
      <c r="C2665" s="4" t="n">
        <v>990</v>
      </c>
      <c r="D2665" s="4" t="n">
        <v>299.475</v>
      </c>
      <c r="E2665" s="5" t="n">
        <v>200.4</v>
      </c>
      <c r="F2665" s="3" t="inlineStr">
        <is>
          <t>강내면</t>
        </is>
      </c>
      <c r="G2665" s="3" t="inlineStr">
        <is>
          <t>다락리</t>
        </is>
      </c>
      <c r="H2665" s="3" t="inlineStr">
        <is>
          <t>계획관리지역</t>
        </is>
      </c>
      <c r="I2665" s="3" t="inlineStr">
        <is>
          <t>대</t>
        </is>
      </c>
      <c r="J2665" s="3" t="inlineStr">
        <is>
          <t>강내면</t>
        </is>
      </c>
    </row>
    <row r="2666">
      <c r="A2666" s="3" t="n">
        <v>2025</v>
      </c>
      <c r="B2666" s="4" t="n">
        <v>25000</v>
      </c>
      <c r="C2666" s="4" t="n">
        <v>639</v>
      </c>
      <c r="D2666" s="4" t="n">
        <v>193.2975</v>
      </c>
      <c r="E2666" s="5" t="n">
        <v>129.3</v>
      </c>
      <c r="F2666" s="3" t="inlineStr">
        <is>
          <t>강내면</t>
        </is>
      </c>
      <c r="G2666" s="3" t="inlineStr">
        <is>
          <t>다락리</t>
        </is>
      </c>
      <c r="H2666" s="3" t="inlineStr">
        <is>
          <t>계획관리지역</t>
        </is>
      </c>
      <c r="I2666" s="3" t="inlineStr">
        <is>
          <t>전</t>
        </is>
      </c>
      <c r="J2666" s="3" t="inlineStr">
        <is>
          <t>강내면</t>
        </is>
      </c>
    </row>
    <row r="2667">
      <c r="A2667" s="3" t="n">
        <v>2025</v>
      </c>
      <c r="B2667" s="4" t="n">
        <v>33700</v>
      </c>
      <c r="C2667" s="4" t="n">
        <v>1993</v>
      </c>
      <c r="D2667" s="4" t="n">
        <v>602.8824999999999</v>
      </c>
      <c r="E2667" s="5" t="n">
        <v>55.9</v>
      </c>
      <c r="F2667" s="3" t="inlineStr">
        <is>
          <t>오송읍</t>
        </is>
      </c>
      <c r="G2667" s="3" t="inlineStr">
        <is>
          <t>서평리</t>
        </is>
      </c>
      <c r="H2667" s="3" t="inlineStr">
        <is>
          <t>농림지역</t>
        </is>
      </c>
      <c r="I2667" s="3" t="inlineStr">
        <is>
          <t>답</t>
        </is>
      </c>
      <c r="J2667" s="3" t="inlineStr">
        <is>
          <t>오송읍</t>
        </is>
      </c>
    </row>
    <row r="2668">
      <c r="A2668" s="3" t="n">
        <v>2025</v>
      </c>
      <c r="B2668" s="4" t="n">
        <v>11104</v>
      </c>
      <c r="C2668" s="4" t="n">
        <v>250.6</v>
      </c>
      <c r="D2668" s="4" t="n">
        <v>75.8065</v>
      </c>
      <c r="E2668" s="5" t="n">
        <v>146.5</v>
      </c>
      <c r="F2668" s="3" t="inlineStr">
        <is>
          <t>오송읍</t>
        </is>
      </c>
      <c r="G2668" s="3" t="inlineStr">
        <is>
          <t>오송리</t>
        </is>
      </c>
      <c r="H2668" s="3" t="inlineStr">
        <is>
          <t>제1종일반주거지역</t>
        </is>
      </c>
      <c r="I2668" s="3" t="inlineStr">
        <is>
          <t>대</t>
        </is>
      </c>
      <c r="J2668" s="3" t="inlineStr">
        <is>
          <t>오송읍</t>
        </is>
      </c>
    </row>
    <row r="2669">
      <c r="A2669" s="3" t="n">
        <v>2025</v>
      </c>
      <c r="B2669" s="4" t="n">
        <v>48427</v>
      </c>
      <c r="C2669" s="4" t="n">
        <v>2097</v>
      </c>
      <c r="D2669" s="4" t="n">
        <v>634.3425</v>
      </c>
      <c r="E2669" s="5" t="n">
        <v>76.3</v>
      </c>
      <c r="F2669" s="3" t="inlineStr">
        <is>
          <t>강내면</t>
        </is>
      </c>
      <c r="G2669" s="3" t="inlineStr">
        <is>
          <t>저산리</t>
        </is>
      </c>
      <c r="H2669" s="3" t="inlineStr">
        <is>
          <t>계획관리지역</t>
        </is>
      </c>
      <c r="I2669" s="3" t="inlineStr">
        <is>
          <t>창고용지</t>
        </is>
      </c>
      <c r="J2669" s="3" t="inlineStr">
        <is>
          <t>강내면</t>
        </is>
      </c>
    </row>
    <row r="2670">
      <c r="A2670" s="3" t="n">
        <v>2025</v>
      </c>
      <c r="B2670" s="4" t="n">
        <v>160000</v>
      </c>
      <c r="C2670" s="4" t="n">
        <v>819.4</v>
      </c>
      <c r="D2670" s="4" t="n">
        <v>247.8685</v>
      </c>
      <c r="E2670" s="5" t="n">
        <v>645.5</v>
      </c>
      <c r="F2670" s="3" t="inlineStr">
        <is>
          <t>오송읍</t>
        </is>
      </c>
      <c r="G2670" s="3" t="inlineStr">
        <is>
          <t>연제리</t>
        </is>
      </c>
      <c r="H2670" s="3" t="inlineStr">
        <is>
          <t>일반상업지역</t>
        </is>
      </c>
      <c r="I2670" s="3" t="inlineStr">
        <is>
          <t>대</t>
        </is>
      </c>
      <c r="J2670" s="3" t="inlineStr">
        <is>
          <t>오송읍</t>
        </is>
      </c>
    </row>
    <row r="2671">
      <c r="A2671" s="3" t="n">
        <v>2025</v>
      </c>
      <c r="B2671" s="4" t="n">
        <v>6197</v>
      </c>
      <c r="C2671" s="4" t="n">
        <v>251</v>
      </c>
      <c r="D2671" s="4" t="n">
        <v>75.92749999999999</v>
      </c>
      <c r="E2671" s="5" t="n">
        <v>81.59999999999999</v>
      </c>
      <c r="F2671" s="3" t="inlineStr">
        <is>
          <t>남이면</t>
        </is>
      </c>
      <c r="G2671" s="3" t="inlineStr">
        <is>
          <t>부용외천리</t>
        </is>
      </c>
      <c r="H2671" s="3" t="inlineStr">
        <is>
          <t>계획관리지역</t>
        </is>
      </c>
      <c r="I2671" s="3" t="inlineStr">
        <is>
          <t>전</t>
        </is>
      </c>
      <c r="J2671" s="3" t="inlineStr">
        <is>
          <t>남이면</t>
        </is>
      </c>
    </row>
    <row r="2672">
      <c r="A2672" s="3" t="n">
        <v>2025</v>
      </c>
      <c r="B2672" s="4" t="n">
        <v>28500</v>
      </c>
      <c r="C2672" s="4" t="n">
        <v>1464</v>
      </c>
      <c r="D2672" s="4" t="n">
        <v>442.86</v>
      </c>
      <c r="E2672" s="5" t="n">
        <v>64.40000000000001</v>
      </c>
      <c r="F2672" s="3" t="inlineStr">
        <is>
          <t>남이면</t>
        </is>
      </c>
      <c r="G2672" s="3" t="inlineStr">
        <is>
          <t>팔봉리</t>
        </is>
      </c>
      <c r="H2672" s="3" t="inlineStr">
        <is>
          <t>자연녹지지역</t>
        </is>
      </c>
      <c r="I2672" s="3" t="inlineStr">
        <is>
          <t>전</t>
        </is>
      </c>
      <c r="J2672" s="3" t="inlineStr">
        <is>
          <t>남이면</t>
        </is>
      </c>
    </row>
    <row r="2673">
      <c r="A2673" s="3" t="n">
        <v>2025</v>
      </c>
      <c r="B2673" s="4" t="n">
        <v>10500</v>
      </c>
      <c r="C2673" s="4" t="n">
        <v>349</v>
      </c>
      <c r="D2673" s="4" t="n">
        <v>105.5725</v>
      </c>
      <c r="E2673" s="5" t="n">
        <v>99.5</v>
      </c>
      <c r="F2673" s="3" t="inlineStr">
        <is>
          <t>남이면</t>
        </is>
      </c>
      <c r="G2673" s="3" t="inlineStr">
        <is>
          <t>가마리</t>
        </is>
      </c>
      <c r="H2673" s="3" t="inlineStr">
        <is>
          <t>자연녹지지역</t>
        </is>
      </c>
      <c r="I2673" s="3" t="inlineStr">
        <is>
          <t>대</t>
        </is>
      </c>
      <c r="J2673" s="3" t="inlineStr">
        <is>
          <t>남이면</t>
        </is>
      </c>
    </row>
    <row r="2674">
      <c r="A2674" s="3" t="n">
        <v>2025</v>
      </c>
      <c r="B2674" s="4" t="n">
        <v>600</v>
      </c>
      <c r="C2674" s="4" t="n">
        <v>84</v>
      </c>
      <c r="D2674" s="4" t="n">
        <v>25.41</v>
      </c>
      <c r="E2674" s="5" t="n">
        <v>23.6</v>
      </c>
      <c r="F2674" s="3" t="inlineStr">
        <is>
          <t>남이면</t>
        </is>
      </c>
      <c r="G2674" s="3" t="inlineStr">
        <is>
          <t>척북리</t>
        </is>
      </c>
      <c r="H2674" s="3" t="inlineStr">
        <is>
          <t>농림지역</t>
        </is>
      </c>
      <c r="I2674" s="3" t="inlineStr">
        <is>
          <t>전</t>
        </is>
      </c>
      <c r="J2674" s="3" t="inlineStr">
        <is>
          <t>남이면</t>
        </is>
      </c>
    </row>
    <row r="2675">
      <c r="A2675" s="3" t="n">
        <v>2025</v>
      </c>
      <c r="B2675" s="4" t="n">
        <v>7400</v>
      </c>
      <c r="C2675" s="4" t="n">
        <v>825</v>
      </c>
      <c r="D2675" s="4" t="n">
        <v>249.5625</v>
      </c>
      <c r="E2675" s="5" t="n">
        <v>29.7</v>
      </c>
      <c r="F2675" s="3" t="inlineStr">
        <is>
          <t>남이면</t>
        </is>
      </c>
      <c r="G2675" s="3" t="inlineStr">
        <is>
          <t>척북리</t>
        </is>
      </c>
      <c r="H2675" s="3" t="inlineStr">
        <is>
          <t>계획관리지역</t>
        </is>
      </c>
      <c r="I2675" s="3" t="inlineStr">
        <is>
          <t>전</t>
        </is>
      </c>
      <c r="J2675" s="3" t="inlineStr">
        <is>
          <t>남이면</t>
        </is>
      </c>
    </row>
    <row r="2676">
      <c r="A2676" s="3" t="n">
        <v>2025</v>
      </c>
      <c r="B2676" s="4" t="n">
        <v>50000</v>
      </c>
      <c r="C2676" s="4" t="n">
        <v>1825</v>
      </c>
      <c r="D2676" s="4" t="n">
        <v>552.0625</v>
      </c>
      <c r="E2676" s="5" t="n">
        <v>90.59999999999999</v>
      </c>
      <c r="F2676" s="3" t="inlineStr">
        <is>
          <t>남이면</t>
        </is>
      </c>
      <c r="G2676" s="3" t="inlineStr">
        <is>
          <t>석실리</t>
        </is>
      </c>
      <c r="H2676" s="3" t="inlineStr">
        <is>
          <t>자연녹지지역</t>
        </is>
      </c>
      <c r="I2676" s="3" t="inlineStr">
        <is>
          <t>답</t>
        </is>
      </c>
      <c r="J2676" s="3" t="inlineStr">
        <is>
          <t>남이면</t>
        </is>
      </c>
    </row>
    <row r="2677">
      <c r="A2677" s="3" t="n">
        <v>2025</v>
      </c>
      <c r="B2677" s="4" t="n">
        <v>45000</v>
      </c>
      <c r="C2677" s="4" t="n">
        <v>1653</v>
      </c>
      <c r="D2677" s="4" t="n">
        <v>500.0325</v>
      </c>
      <c r="E2677" s="5" t="n">
        <v>90</v>
      </c>
      <c r="F2677" s="3" t="inlineStr">
        <is>
          <t>남이면</t>
        </is>
      </c>
      <c r="G2677" s="3" t="inlineStr">
        <is>
          <t>석실리</t>
        </is>
      </c>
      <c r="H2677" s="3" t="inlineStr">
        <is>
          <t>자연녹지지역</t>
        </is>
      </c>
      <c r="I2677" s="3" t="inlineStr">
        <is>
          <t>답</t>
        </is>
      </c>
      <c r="J2677" s="3" t="inlineStr">
        <is>
          <t>남이면</t>
        </is>
      </c>
    </row>
    <row r="2678">
      <c r="A2678" s="3" t="n">
        <v>2025</v>
      </c>
      <c r="B2678" s="4" t="n">
        <v>55000</v>
      </c>
      <c r="C2678" s="4" t="n">
        <v>273.4</v>
      </c>
      <c r="D2678" s="4" t="n">
        <v>82.70349999999999</v>
      </c>
      <c r="E2678" s="5" t="n">
        <v>665</v>
      </c>
      <c r="F2678" s="3" t="inlineStr">
        <is>
          <t>오송읍</t>
        </is>
      </c>
      <c r="G2678" s="3" t="inlineStr">
        <is>
          <t>봉산리</t>
        </is>
      </c>
      <c r="H2678" s="3" t="inlineStr">
        <is>
          <t>제1종일반주거지역</t>
        </is>
      </c>
      <c r="I2678" s="3" t="inlineStr">
        <is>
          <t>대</t>
        </is>
      </c>
      <c r="J2678" s="3" t="inlineStr">
        <is>
          <t>오송읍</t>
        </is>
      </c>
    </row>
    <row r="2679">
      <c r="A2679" s="3" t="n">
        <v>2025</v>
      </c>
      <c r="B2679" s="4" t="n">
        <v>64000</v>
      </c>
      <c r="C2679" s="4" t="n">
        <v>2647</v>
      </c>
      <c r="D2679" s="4" t="n">
        <v>800.7175</v>
      </c>
      <c r="E2679" s="5" t="n">
        <v>79.90000000000001</v>
      </c>
      <c r="F2679" s="3" t="inlineStr">
        <is>
          <t>오송읍</t>
        </is>
      </c>
      <c r="G2679" s="3" t="inlineStr">
        <is>
          <t>궁평리</t>
        </is>
      </c>
      <c r="H2679" s="3" t="inlineStr">
        <is>
          <t>농림지역</t>
        </is>
      </c>
      <c r="I2679" s="3" t="inlineStr">
        <is>
          <t>전</t>
        </is>
      </c>
      <c r="J2679" s="3" t="inlineStr">
        <is>
          <t>오송읍</t>
        </is>
      </c>
    </row>
    <row r="2680">
      <c r="A2680" s="3" t="n">
        <v>2025</v>
      </c>
      <c r="B2680" s="4" t="n">
        <v>16000</v>
      </c>
      <c r="C2680" s="4" t="n">
        <v>660</v>
      </c>
      <c r="D2680" s="4" t="n">
        <v>199.65</v>
      </c>
      <c r="E2680" s="5" t="n">
        <v>80.09999999999999</v>
      </c>
      <c r="F2680" s="3" t="inlineStr">
        <is>
          <t>오송읍</t>
        </is>
      </c>
      <c r="G2680" s="3" t="inlineStr">
        <is>
          <t>궁평리</t>
        </is>
      </c>
      <c r="H2680" s="3" t="inlineStr">
        <is>
          <t>농림지역</t>
        </is>
      </c>
      <c r="I2680" s="3" t="inlineStr">
        <is>
          <t>전</t>
        </is>
      </c>
      <c r="J2680" s="3" t="inlineStr">
        <is>
          <t>오송읍</t>
        </is>
      </c>
    </row>
    <row r="2681">
      <c r="A2681" s="3" t="n">
        <v>2025</v>
      </c>
      <c r="B2681" s="4" t="n">
        <v>200000</v>
      </c>
      <c r="C2681" s="4" t="n">
        <v>558.8</v>
      </c>
      <c r="D2681" s="4" t="n">
        <v>169.037</v>
      </c>
      <c r="E2681" s="5" t="n">
        <v>1183.2</v>
      </c>
      <c r="F2681" s="3" t="inlineStr">
        <is>
          <t>오송읍</t>
        </is>
      </c>
      <c r="G2681" s="3" t="inlineStr">
        <is>
          <t>정중리</t>
        </is>
      </c>
      <c r="H2681" s="3" t="inlineStr">
        <is>
          <t>준공업지역</t>
        </is>
      </c>
      <c r="I2681" s="3" t="inlineStr">
        <is>
          <t>대</t>
        </is>
      </c>
      <c r="J2681" s="3" t="inlineStr">
        <is>
          <t>오송읍</t>
        </is>
      </c>
    </row>
    <row r="2682">
      <c r="A2682" s="3" t="n">
        <v>2025</v>
      </c>
      <c r="B2682" s="4" t="n">
        <v>200000</v>
      </c>
      <c r="C2682" s="4" t="n">
        <v>584.2</v>
      </c>
      <c r="D2682" s="4" t="n">
        <v>176.7205</v>
      </c>
      <c r="E2682" s="5" t="n">
        <v>1131.7</v>
      </c>
      <c r="F2682" s="3" t="inlineStr">
        <is>
          <t>오송읍</t>
        </is>
      </c>
      <c r="G2682" s="3" t="inlineStr">
        <is>
          <t>정중리</t>
        </is>
      </c>
      <c r="H2682" s="3" t="inlineStr">
        <is>
          <t>준공업지역</t>
        </is>
      </c>
      <c r="I2682" s="3" t="inlineStr">
        <is>
          <t>대</t>
        </is>
      </c>
      <c r="J2682" s="3" t="inlineStr">
        <is>
          <t>오송읍</t>
        </is>
      </c>
    </row>
    <row r="2683">
      <c r="A2683" s="3" t="n">
        <v>2025</v>
      </c>
      <c r="B2683" s="4" t="n">
        <v>16560</v>
      </c>
      <c r="C2683" s="4" t="n">
        <v>1370</v>
      </c>
      <c r="D2683" s="4" t="n">
        <v>414.425</v>
      </c>
      <c r="E2683" s="5" t="n">
        <v>40</v>
      </c>
      <c r="F2683" s="3" t="inlineStr">
        <is>
          <t>강내면</t>
        </is>
      </c>
      <c r="G2683" s="3" t="inlineStr">
        <is>
          <t>다락리</t>
        </is>
      </c>
      <c r="H2683" s="3" t="inlineStr">
        <is>
          <t>계획관리지역</t>
        </is>
      </c>
      <c r="I2683" s="3" t="inlineStr">
        <is>
          <t>임야</t>
        </is>
      </c>
      <c r="J2683" s="3" t="inlineStr">
        <is>
          <t>강내면</t>
        </is>
      </c>
    </row>
    <row r="2684">
      <c r="A2684" s="3" t="n">
        <v>2025</v>
      </c>
      <c r="B2684" s="4" t="n">
        <v>4780</v>
      </c>
      <c r="C2684" s="4" t="n">
        <v>79</v>
      </c>
      <c r="D2684" s="4" t="n">
        <v>23.8975</v>
      </c>
      <c r="E2684" s="5" t="n">
        <v>200</v>
      </c>
      <c r="F2684" s="3" t="inlineStr">
        <is>
          <t>오송읍</t>
        </is>
      </c>
      <c r="G2684" s="3" t="inlineStr">
        <is>
          <t>궁평리</t>
        </is>
      </c>
      <c r="H2684" s="3" t="inlineStr">
        <is>
          <t>농림지역</t>
        </is>
      </c>
      <c r="I2684" s="3" t="inlineStr">
        <is>
          <t>도로</t>
        </is>
      </c>
      <c r="J2684" s="3" t="inlineStr">
        <is>
          <t>오송읍</t>
        </is>
      </c>
    </row>
    <row r="2685">
      <c r="A2685" s="3" t="n">
        <v>2025</v>
      </c>
      <c r="B2685" s="4" t="n">
        <v>5134</v>
      </c>
      <c r="C2685" s="4" t="n">
        <v>721</v>
      </c>
      <c r="D2685" s="4" t="n">
        <v>218.1025</v>
      </c>
      <c r="E2685" s="5" t="n">
        <v>23.5</v>
      </c>
      <c r="F2685" s="3" t="inlineStr">
        <is>
          <t>남이면</t>
        </is>
      </c>
      <c r="G2685" s="3" t="inlineStr">
        <is>
          <t>산막리</t>
        </is>
      </c>
      <c r="H2685" s="3" t="inlineStr">
        <is>
          <t>생산관리지역</t>
        </is>
      </c>
      <c r="I2685" s="3" t="inlineStr">
        <is>
          <t>답</t>
        </is>
      </c>
      <c r="J2685" s="3" t="inlineStr">
        <is>
          <t>남이면</t>
        </is>
      </c>
    </row>
    <row r="2686">
      <c r="A2686" s="3" t="n">
        <v>2025</v>
      </c>
      <c r="B2686" s="4" t="n">
        <v>10367</v>
      </c>
      <c r="C2686" s="4" t="n">
        <v>1456</v>
      </c>
      <c r="D2686" s="4" t="n">
        <v>440.44</v>
      </c>
      <c r="E2686" s="5" t="n">
        <v>23.5</v>
      </c>
      <c r="F2686" s="3" t="inlineStr">
        <is>
          <t>남이면</t>
        </is>
      </c>
      <c r="G2686" s="3" t="inlineStr">
        <is>
          <t>산막리</t>
        </is>
      </c>
      <c r="H2686" s="3" t="inlineStr">
        <is>
          <t>생산관리지역</t>
        </is>
      </c>
      <c r="I2686" s="3" t="inlineStr">
        <is>
          <t>전</t>
        </is>
      </c>
      <c r="J2686" s="3" t="inlineStr">
        <is>
          <t>남이면</t>
        </is>
      </c>
    </row>
    <row r="2687">
      <c r="A2687" s="3" t="n">
        <v>2025</v>
      </c>
      <c r="B2687" s="4" t="n">
        <v>360</v>
      </c>
      <c r="C2687" s="4" t="n">
        <v>390</v>
      </c>
      <c r="D2687" s="4" t="n">
        <v>117.975</v>
      </c>
      <c r="E2687" s="5" t="n">
        <v>3.1</v>
      </c>
      <c r="F2687" s="3" t="inlineStr">
        <is>
          <t>남이면</t>
        </is>
      </c>
      <c r="G2687" s="3" t="inlineStr">
        <is>
          <t>외천리</t>
        </is>
      </c>
      <c r="H2687" s="3" t="inlineStr">
        <is>
          <t>계획관리지역</t>
        </is>
      </c>
      <c r="I2687" s="3" t="inlineStr">
        <is>
          <t>임야</t>
        </is>
      </c>
      <c r="J2687" s="3" t="inlineStr">
        <is>
          <t>남이면</t>
        </is>
      </c>
    </row>
    <row r="2688">
      <c r="A2688" s="3" t="n">
        <v>2026</v>
      </c>
      <c r="B2688" s="4" t="n">
        <v>6000</v>
      </c>
      <c r="C2688" s="4" t="n">
        <v>3273</v>
      </c>
      <c r="D2688" s="4" t="n">
        <v>990.0825</v>
      </c>
      <c r="E2688" s="5" t="n">
        <v>6.1</v>
      </c>
      <c r="F2688" s="3" t="inlineStr">
        <is>
          <t>연동면</t>
        </is>
      </c>
      <c r="G2688" s="3" t="inlineStr">
        <is>
          <t>명학리</t>
        </is>
      </c>
      <c r="H2688" s="3" t="inlineStr">
        <is>
          <t>농림지역</t>
        </is>
      </c>
      <c r="I2688" s="3" t="inlineStr">
        <is>
          <t>임야</t>
        </is>
      </c>
      <c r="J2688" s="3" t="inlineStr">
        <is>
          <t>연동면</t>
        </is>
      </c>
    </row>
    <row r="2689">
      <c r="A2689" s="3" t="n">
        <v>2026</v>
      </c>
      <c r="B2689" s="4" t="n">
        <v>33078</v>
      </c>
      <c r="C2689" s="4" t="n">
        <v>2956</v>
      </c>
      <c r="D2689" s="4" t="n">
        <v>894.1899999999999</v>
      </c>
      <c r="E2689" s="5" t="n">
        <v>37</v>
      </c>
      <c r="F2689" s="3" t="inlineStr">
        <is>
          <t>연동면</t>
        </is>
      </c>
      <c r="G2689" s="3" t="inlineStr">
        <is>
          <t>송용리</t>
        </is>
      </c>
      <c r="H2689" s="3" t="inlineStr">
        <is>
          <t>농림지역</t>
        </is>
      </c>
      <c r="I2689" s="3" t="inlineStr">
        <is>
          <t>답</t>
        </is>
      </c>
      <c r="J2689" s="3" t="inlineStr">
        <is>
          <t>연동면</t>
        </is>
      </c>
    </row>
    <row r="2690">
      <c r="A2690" s="3" t="n">
        <v>2026</v>
      </c>
      <c r="B2690" s="4" t="n">
        <v>22500</v>
      </c>
      <c r="C2690" s="4" t="n">
        <v>743</v>
      </c>
      <c r="D2690" s="4" t="n">
        <v>224.7575</v>
      </c>
      <c r="E2690" s="5" t="n">
        <v>100.1</v>
      </c>
      <c r="F2690" s="3" t="inlineStr">
        <is>
          <t>연서면</t>
        </is>
      </c>
      <c r="G2690" s="3" t="inlineStr">
        <is>
          <t>고복리</t>
        </is>
      </c>
      <c r="H2690" s="3" t="inlineStr">
        <is>
          <t>보전관리지역</t>
        </is>
      </c>
      <c r="I2690" s="3" t="inlineStr">
        <is>
          <t>과수원</t>
        </is>
      </c>
      <c r="J2690" s="3" t="inlineStr">
        <is>
          <t>연서면</t>
        </is>
      </c>
    </row>
    <row r="2691">
      <c r="A2691" s="3" t="n">
        <v>2026</v>
      </c>
      <c r="B2691" s="4" t="n">
        <v>42300</v>
      </c>
      <c r="C2691" s="4" t="n">
        <v>335.9</v>
      </c>
      <c r="D2691" s="4" t="n">
        <v>101.60975</v>
      </c>
      <c r="E2691" s="5" t="n">
        <v>416.3</v>
      </c>
      <c r="F2691" s="3" t="inlineStr">
        <is>
          <t>고운동</t>
        </is>
      </c>
      <c r="G2691" s="3" t="inlineStr"/>
      <c r="H2691" s="3" t="inlineStr">
        <is>
          <t>제1종전용주거지역</t>
        </is>
      </c>
      <c r="I2691" s="3" t="inlineStr">
        <is>
          <t>대</t>
        </is>
      </c>
      <c r="J2691" s="3" t="inlineStr">
        <is>
          <t>고운동</t>
        </is>
      </c>
    </row>
    <row r="2692">
      <c r="A2692" s="3" t="n">
        <v>2026</v>
      </c>
      <c r="B2692" s="4" t="n">
        <v>27000</v>
      </c>
      <c r="C2692" s="4" t="n">
        <v>2343</v>
      </c>
      <c r="D2692" s="4" t="n">
        <v>708.7574999999999</v>
      </c>
      <c r="E2692" s="5" t="n">
        <v>38.1</v>
      </c>
      <c r="F2692" s="3" t="inlineStr">
        <is>
          <t>연서면</t>
        </is>
      </c>
      <c r="G2692" s="3" t="inlineStr">
        <is>
          <t>쌍류리</t>
        </is>
      </c>
      <c r="H2692" s="3" t="inlineStr">
        <is>
          <t>생산관리지역</t>
        </is>
      </c>
      <c r="I2692" s="3" t="inlineStr">
        <is>
          <t>답</t>
        </is>
      </c>
      <c r="J2692" s="3" t="inlineStr">
        <is>
          <t>연서면</t>
        </is>
      </c>
    </row>
    <row r="2693">
      <c r="A2693" s="3" t="n">
        <v>2026</v>
      </c>
      <c r="B2693" s="4" t="n">
        <v>12000</v>
      </c>
      <c r="C2693" s="4" t="n">
        <v>659</v>
      </c>
      <c r="D2693" s="4" t="n">
        <v>199.3475</v>
      </c>
      <c r="E2693" s="5" t="n">
        <v>60.2</v>
      </c>
      <c r="F2693" s="3" t="inlineStr">
        <is>
          <t>연서면</t>
        </is>
      </c>
      <c r="G2693" s="3" t="inlineStr">
        <is>
          <t>와촌리</t>
        </is>
      </c>
      <c r="H2693" s="3" t="inlineStr">
        <is>
          <t>보전관리지역</t>
        </is>
      </c>
      <c r="I2693" s="3" t="inlineStr">
        <is>
          <t>임야</t>
        </is>
      </c>
      <c r="J2693" s="3" t="inlineStr">
        <is>
          <t>연서면</t>
        </is>
      </c>
    </row>
    <row r="2694">
      <c r="A2694" s="3" t="n">
        <v>2026</v>
      </c>
      <c r="B2694" s="4" t="n">
        <v>47000</v>
      </c>
      <c r="C2694" s="4" t="n">
        <v>351</v>
      </c>
      <c r="D2694" s="4" t="n">
        <v>106.1775</v>
      </c>
      <c r="E2694" s="5" t="n">
        <v>442.7</v>
      </c>
      <c r="F2694" s="3" t="inlineStr">
        <is>
          <t>고운동</t>
        </is>
      </c>
      <c r="G2694" s="3" t="inlineStr"/>
      <c r="H2694" s="3" t="inlineStr">
        <is>
          <t>제1종전용주거지역</t>
        </is>
      </c>
      <c r="I2694" s="3" t="inlineStr">
        <is>
          <t>대</t>
        </is>
      </c>
      <c r="J2694" s="3" t="inlineStr">
        <is>
          <t>고운동</t>
        </is>
      </c>
    </row>
    <row r="2695">
      <c r="A2695" s="3" t="n">
        <v>2022</v>
      </c>
      <c r="B2695" s="4" t="n">
        <v>1640</v>
      </c>
      <c r="C2695" s="4" t="n">
        <v>81</v>
      </c>
      <c r="D2695" s="4" t="n">
        <v>24.5025</v>
      </c>
      <c r="E2695" s="5" t="n">
        <v>66.90000000000001</v>
      </c>
      <c r="F2695" s="3" t="inlineStr">
        <is>
          <t>오송읍</t>
        </is>
      </c>
      <c r="G2695" s="3" t="inlineStr">
        <is>
          <t>공북리</t>
        </is>
      </c>
      <c r="H2695" s="3" t="inlineStr">
        <is>
          <t>계획관리지역</t>
        </is>
      </c>
      <c r="I2695" s="3" t="inlineStr">
        <is>
          <t>잡종지</t>
        </is>
      </c>
      <c r="J2695" s="3" t="inlineStr">
        <is>
          <t>오송읍</t>
        </is>
      </c>
    </row>
    <row r="2696">
      <c r="A2696" s="3" t="n">
        <v>2022</v>
      </c>
      <c r="B2696" s="4" t="n">
        <v>35000</v>
      </c>
      <c r="C2696" s="4" t="n">
        <v>271.1</v>
      </c>
      <c r="D2696" s="4" t="n">
        <v>82.00775</v>
      </c>
      <c r="E2696" s="5" t="n">
        <v>426.8</v>
      </c>
      <c r="F2696" s="3" t="inlineStr">
        <is>
          <t>오송읍</t>
        </is>
      </c>
      <c r="G2696" s="3" t="inlineStr">
        <is>
          <t>봉산리</t>
        </is>
      </c>
      <c r="H2696" s="3" t="inlineStr">
        <is>
          <t>제1종일반주거지역</t>
        </is>
      </c>
      <c r="I2696" s="3" t="inlineStr">
        <is>
          <t>대</t>
        </is>
      </c>
      <c r="J2696" s="3" t="inlineStr">
        <is>
          <t>오송읍</t>
        </is>
      </c>
    </row>
    <row r="2697">
      <c r="A2697" s="3" t="n">
        <v>2022</v>
      </c>
      <c r="B2697" s="4" t="n">
        <v>669</v>
      </c>
      <c r="C2697" s="4" t="n">
        <v>38</v>
      </c>
      <c r="D2697" s="4" t="n">
        <v>11.495</v>
      </c>
      <c r="E2697" s="5" t="n">
        <v>58.2</v>
      </c>
      <c r="F2697" s="3" t="inlineStr">
        <is>
          <t>오송읍</t>
        </is>
      </c>
      <c r="G2697" s="3" t="inlineStr">
        <is>
          <t>연제리</t>
        </is>
      </c>
      <c r="H2697" s="3" t="inlineStr">
        <is>
          <t>계획관리지역</t>
        </is>
      </c>
      <c r="I2697" s="3" t="inlineStr">
        <is>
          <t>과수원</t>
        </is>
      </c>
      <c r="J2697" s="3" t="inlineStr">
        <is>
          <t>오송읍</t>
        </is>
      </c>
    </row>
    <row r="2698">
      <c r="A2698" s="3" t="n">
        <v>2022</v>
      </c>
      <c r="B2698" s="4" t="n">
        <v>25500</v>
      </c>
      <c r="C2698" s="4" t="n">
        <v>246.9</v>
      </c>
      <c r="D2698" s="4" t="n">
        <v>74.68725000000001</v>
      </c>
      <c r="E2698" s="5" t="n">
        <v>341.4</v>
      </c>
      <c r="F2698" s="3" t="inlineStr">
        <is>
          <t>오송읍</t>
        </is>
      </c>
      <c r="G2698" s="3" t="inlineStr">
        <is>
          <t>봉산리</t>
        </is>
      </c>
      <c r="H2698" s="3" t="inlineStr">
        <is>
          <t>제1종일반주거지역</t>
        </is>
      </c>
      <c r="I2698" s="3" t="inlineStr">
        <is>
          <t>대</t>
        </is>
      </c>
      <c r="J2698" s="3" t="inlineStr">
        <is>
          <t>오송읍</t>
        </is>
      </c>
    </row>
    <row r="2699">
      <c r="A2699" s="3" t="n">
        <v>2022</v>
      </c>
      <c r="B2699" s="4" t="n">
        <v>108000</v>
      </c>
      <c r="C2699" s="4" t="n">
        <v>1555</v>
      </c>
      <c r="D2699" s="4" t="n">
        <v>470.3875</v>
      </c>
      <c r="E2699" s="5" t="n">
        <v>229.6</v>
      </c>
      <c r="F2699" s="3" t="inlineStr">
        <is>
          <t>오송읍</t>
        </is>
      </c>
      <c r="G2699" s="3" t="inlineStr">
        <is>
          <t>궁평리</t>
        </is>
      </c>
      <c r="H2699" s="3" t="inlineStr">
        <is>
          <t>농림지역</t>
        </is>
      </c>
      <c r="I2699" s="3" t="inlineStr">
        <is>
          <t>답</t>
        </is>
      </c>
      <c r="J2699" s="3" t="inlineStr">
        <is>
          <t>오송읍</t>
        </is>
      </c>
    </row>
    <row r="2700">
      <c r="A2700" s="3" t="n">
        <v>2022</v>
      </c>
      <c r="B2700" s="4" t="n">
        <v>50000</v>
      </c>
      <c r="C2700" s="4" t="n">
        <v>3712</v>
      </c>
      <c r="D2700" s="4" t="n">
        <v>1122.88</v>
      </c>
      <c r="E2700" s="5" t="n">
        <v>44.5</v>
      </c>
      <c r="F2700" s="3" t="inlineStr">
        <is>
          <t>오송읍</t>
        </is>
      </c>
      <c r="G2700" s="3" t="inlineStr">
        <is>
          <t>오송리</t>
        </is>
      </c>
      <c r="H2700" s="3" t="inlineStr">
        <is>
          <t>농림지역</t>
        </is>
      </c>
      <c r="I2700" s="3" t="inlineStr">
        <is>
          <t>답</t>
        </is>
      </c>
      <c r="J2700" s="3" t="inlineStr">
        <is>
          <t>오송읍</t>
        </is>
      </c>
    </row>
    <row r="2701">
      <c r="A2701" s="3" t="n">
        <v>2022</v>
      </c>
      <c r="B2701" s="4" t="n">
        <v>2350</v>
      </c>
      <c r="C2701" s="4" t="n">
        <v>311</v>
      </c>
      <c r="D2701" s="4" t="n">
        <v>94.0775</v>
      </c>
      <c r="E2701" s="5" t="n">
        <v>25</v>
      </c>
      <c r="F2701" s="3" t="inlineStr">
        <is>
          <t>오송읍</t>
        </is>
      </c>
      <c r="G2701" s="3" t="inlineStr">
        <is>
          <t>상봉리</t>
        </is>
      </c>
      <c r="H2701" s="3" t="inlineStr">
        <is>
          <t>생산관리지역</t>
        </is>
      </c>
      <c r="I2701" s="3" t="inlineStr">
        <is>
          <t>답</t>
        </is>
      </c>
      <c r="J2701" s="3" t="inlineStr">
        <is>
          <t>오송읍</t>
        </is>
      </c>
    </row>
    <row r="2702">
      <c r="A2702" s="3" t="n">
        <v>2022</v>
      </c>
      <c r="B2702" s="4" t="n">
        <v>568300</v>
      </c>
      <c r="C2702" s="4" t="n">
        <v>1019.6</v>
      </c>
      <c r="D2702" s="4" t="n">
        <v>308.429</v>
      </c>
      <c r="E2702" s="5" t="n">
        <v>1842.6</v>
      </c>
      <c r="F2702" s="3" t="inlineStr">
        <is>
          <t>오송읍</t>
        </is>
      </c>
      <c r="G2702" s="3" t="inlineStr">
        <is>
          <t>봉산리</t>
        </is>
      </c>
      <c r="H2702" s="3" t="inlineStr">
        <is>
          <t>일반상업지역</t>
        </is>
      </c>
      <c r="I2702" s="3" t="inlineStr">
        <is>
          <t>대</t>
        </is>
      </c>
      <c r="J2702" s="3" t="inlineStr">
        <is>
          <t>오송읍</t>
        </is>
      </c>
    </row>
    <row r="2703">
      <c r="A2703" s="3" t="n">
        <v>2022</v>
      </c>
      <c r="B2703" s="4" t="n">
        <v>1000</v>
      </c>
      <c r="C2703" s="4" t="n">
        <v>66</v>
      </c>
      <c r="D2703" s="4" t="n">
        <v>19.965</v>
      </c>
      <c r="E2703" s="5" t="n">
        <v>50.1</v>
      </c>
      <c r="F2703" s="3" t="inlineStr">
        <is>
          <t>강내면</t>
        </is>
      </c>
      <c r="G2703" s="3" t="inlineStr">
        <is>
          <t>궁현리</t>
        </is>
      </c>
      <c r="H2703" s="3" t="inlineStr">
        <is>
          <t>농림지역</t>
        </is>
      </c>
      <c r="I2703" s="3" t="inlineStr">
        <is>
          <t>도로</t>
        </is>
      </c>
      <c r="J2703" s="3" t="inlineStr">
        <is>
          <t>강내면</t>
        </is>
      </c>
    </row>
    <row r="2704">
      <c r="A2704" s="3" t="n">
        <v>2022</v>
      </c>
      <c r="B2704" s="4" t="n">
        <v>11650</v>
      </c>
      <c r="C2704" s="4" t="n">
        <v>505</v>
      </c>
      <c r="D2704" s="4" t="n">
        <v>152.7625</v>
      </c>
      <c r="E2704" s="5" t="n">
        <v>76.3</v>
      </c>
      <c r="F2704" s="3" t="inlineStr">
        <is>
          <t>강내면</t>
        </is>
      </c>
      <c r="G2704" s="3" t="inlineStr">
        <is>
          <t>궁현리</t>
        </is>
      </c>
      <c r="H2704" s="3" t="inlineStr">
        <is>
          <t>계획관리지역</t>
        </is>
      </c>
      <c r="I2704" s="3" t="inlineStr">
        <is>
          <t>전</t>
        </is>
      </c>
      <c r="J2704" s="3" t="inlineStr">
        <is>
          <t>강내면</t>
        </is>
      </c>
    </row>
    <row r="2705">
      <c r="A2705" s="3" t="n">
        <v>2022</v>
      </c>
      <c r="B2705" s="4" t="n">
        <v>4850</v>
      </c>
      <c r="C2705" s="4" t="n">
        <v>465</v>
      </c>
      <c r="D2705" s="4" t="n">
        <v>140.6625</v>
      </c>
      <c r="E2705" s="5" t="n">
        <v>34.5</v>
      </c>
      <c r="F2705" s="3" t="inlineStr">
        <is>
          <t>강내면</t>
        </is>
      </c>
      <c r="G2705" s="3" t="inlineStr">
        <is>
          <t>궁현리</t>
        </is>
      </c>
      <c r="H2705" s="3" t="inlineStr">
        <is>
          <t>계획관리지역</t>
        </is>
      </c>
      <c r="I2705" s="3" t="inlineStr">
        <is>
          <t>임야</t>
        </is>
      </c>
      <c r="J2705" s="3" t="inlineStr">
        <is>
          <t>강내면</t>
        </is>
      </c>
    </row>
    <row r="2706">
      <c r="A2706" s="3" t="n">
        <v>2022</v>
      </c>
      <c r="B2706" s="4" t="n">
        <v>6500</v>
      </c>
      <c r="C2706" s="4" t="n">
        <v>545</v>
      </c>
      <c r="D2706" s="4" t="n">
        <v>164.8625</v>
      </c>
      <c r="E2706" s="5" t="n">
        <v>39.4</v>
      </c>
      <c r="F2706" s="3" t="inlineStr">
        <is>
          <t>강내면</t>
        </is>
      </c>
      <c r="G2706" s="3" t="inlineStr">
        <is>
          <t>궁현리</t>
        </is>
      </c>
      <c r="H2706" s="3" t="inlineStr">
        <is>
          <t>계획관리지역</t>
        </is>
      </c>
      <c r="I2706" s="3" t="inlineStr">
        <is>
          <t>전</t>
        </is>
      </c>
      <c r="J2706" s="3" t="inlineStr">
        <is>
          <t>강내면</t>
        </is>
      </c>
    </row>
    <row r="2707">
      <c r="A2707" s="3" t="n">
        <v>2022</v>
      </c>
      <c r="B2707" s="4" t="n">
        <v>6700</v>
      </c>
      <c r="C2707" s="4" t="n">
        <v>555</v>
      </c>
      <c r="D2707" s="4" t="n">
        <v>167.8875</v>
      </c>
      <c r="E2707" s="5" t="n">
        <v>39.9</v>
      </c>
      <c r="F2707" s="3" t="inlineStr">
        <is>
          <t>강내면</t>
        </is>
      </c>
      <c r="G2707" s="3" t="inlineStr">
        <is>
          <t>궁현리</t>
        </is>
      </c>
      <c r="H2707" s="3" t="inlineStr">
        <is>
          <t>계획관리지역</t>
        </is>
      </c>
      <c r="I2707" s="3" t="inlineStr">
        <is>
          <t>임야</t>
        </is>
      </c>
      <c r="J2707" s="3" t="inlineStr">
        <is>
          <t>강내면</t>
        </is>
      </c>
    </row>
    <row r="2708">
      <c r="A2708" s="3" t="n">
        <v>2022</v>
      </c>
      <c r="B2708" s="4" t="n">
        <v>27000</v>
      </c>
      <c r="C2708" s="4" t="n">
        <v>2250</v>
      </c>
      <c r="D2708" s="4" t="n">
        <v>680.625</v>
      </c>
      <c r="E2708" s="5" t="n">
        <v>39.7</v>
      </c>
      <c r="F2708" s="3" t="inlineStr">
        <is>
          <t>강내면</t>
        </is>
      </c>
      <c r="G2708" s="3" t="inlineStr">
        <is>
          <t>궁현리</t>
        </is>
      </c>
      <c r="H2708" s="3" t="inlineStr">
        <is>
          <t>계획관리지역</t>
        </is>
      </c>
      <c r="I2708" s="3" t="inlineStr">
        <is>
          <t>전</t>
        </is>
      </c>
      <c r="J2708" s="3" t="inlineStr">
        <is>
          <t>강내면</t>
        </is>
      </c>
    </row>
    <row r="2709">
      <c r="A2709" s="3" t="n">
        <v>2022</v>
      </c>
      <c r="B2709" s="4" t="n">
        <v>150000</v>
      </c>
      <c r="C2709" s="4" t="n">
        <v>819.4</v>
      </c>
      <c r="D2709" s="4" t="n">
        <v>247.8685</v>
      </c>
      <c r="E2709" s="5" t="n">
        <v>605.2</v>
      </c>
      <c r="F2709" s="3" t="inlineStr">
        <is>
          <t>오송읍</t>
        </is>
      </c>
      <c r="G2709" s="3" t="inlineStr">
        <is>
          <t>연제리</t>
        </is>
      </c>
      <c r="H2709" s="3" t="inlineStr">
        <is>
          <t>일반상업지역</t>
        </is>
      </c>
      <c r="I2709" s="3" t="inlineStr">
        <is>
          <t>대</t>
        </is>
      </c>
      <c r="J2709" s="3" t="inlineStr">
        <is>
          <t>오송읍</t>
        </is>
      </c>
    </row>
    <row r="2710">
      <c r="A2710" s="3" t="n">
        <v>2022</v>
      </c>
      <c r="B2710" s="4" t="n">
        <v>25000</v>
      </c>
      <c r="C2710" s="4" t="n">
        <v>592</v>
      </c>
      <c r="D2710" s="4" t="n">
        <v>179.08</v>
      </c>
      <c r="E2710" s="5" t="n">
        <v>139.6</v>
      </c>
      <c r="F2710" s="3" t="inlineStr">
        <is>
          <t>오송읍</t>
        </is>
      </c>
      <c r="G2710" s="3" t="inlineStr">
        <is>
          <t>정중리</t>
        </is>
      </c>
      <c r="H2710" s="3" t="inlineStr">
        <is>
          <t>보전관리지역</t>
        </is>
      </c>
      <c r="I2710" s="3" t="inlineStr">
        <is>
          <t>임야</t>
        </is>
      </c>
      <c r="J2710" s="3" t="inlineStr">
        <is>
          <t>오송읍</t>
        </is>
      </c>
    </row>
    <row r="2711">
      <c r="A2711" s="3" t="n">
        <v>2022</v>
      </c>
      <c r="B2711" s="4" t="n">
        <v>8500</v>
      </c>
      <c r="C2711" s="4" t="n">
        <v>68</v>
      </c>
      <c r="D2711" s="4" t="n">
        <v>20.57</v>
      </c>
      <c r="E2711" s="5" t="n">
        <v>413.2</v>
      </c>
      <c r="F2711" s="3" t="inlineStr">
        <is>
          <t>오송읍</t>
        </is>
      </c>
      <c r="G2711" s="3" t="inlineStr">
        <is>
          <t>봉산리</t>
        </is>
      </c>
      <c r="H2711" s="3" t="inlineStr">
        <is>
          <t>계획관리지역</t>
        </is>
      </c>
      <c r="I2711" s="3" t="inlineStr">
        <is>
          <t>도로</t>
        </is>
      </c>
      <c r="J2711" s="3" t="inlineStr">
        <is>
          <t>오송읍</t>
        </is>
      </c>
    </row>
    <row r="2712">
      <c r="A2712" s="3" t="n">
        <v>2022</v>
      </c>
      <c r="B2712" s="4" t="n">
        <v>35500</v>
      </c>
      <c r="C2712" s="4" t="n">
        <v>1920</v>
      </c>
      <c r="D2712" s="4" t="n">
        <v>580.8</v>
      </c>
      <c r="E2712" s="5" t="n">
        <v>61.1</v>
      </c>
      <c r="F2712" s="3" t="inlineStr">
        <is>
          <t>강내면</t>
        </is>
      </c>
      <c r="G2712" s="3" t="inlineStr">
        <is>
          <t>산단리</t>
        </is>
      </c>
      <c r="H2712" s="3" t="inlineStr">
        <is>
          <t>계획관리지역</t>
        </is>
      </c>
      <c r="I2712" s="3" t="inlineStr">
        <is>
          <t>전</t>
        </is>
      </c>
      <c r="J2712" s="3" t="inlineStr">
        <is>
          <t>강내면</t>
        </is>
      </c>
    </row>
    <row r="2713">
      <c r="A2713" s="3" t="n">
        <v>2022</v>
      </c>
      <c r="B2713" s="4" t="n">
        <v>4500</v>
      </c>
      <c r="C2713" s="4" t="n">
        <v>245</v>
      </c>
      <c r="D2713" s="4" t="n">
        <v>74.1125</v>
      </c>
      <c r="E2713" s="5" t="n">
        <v>60.7</v>
      </c>
      <c r="F2713" s="3" t="inlineStr">
        <is>
          <t>강내면</t>
        </is>
      </c>
      <c r="G2713" s="3" t="inlineStr">
        <is>
          <t>산단리</t>
        </is>
      </c>
      <c r="H2713" s="3" t="inlineStr">
        <is>
          <t>계획관리지역</t>
        </is>
      </c>
      <c r="I2713" s="3" t="inlineStr">
        <is>
          <t>대</t>
        </is>
      </c>
      <c r="J2713" s="3" t="inlineStr">
        <is>
          <t>강내면</t>
        </is>
      </c>
    </row>
    <row r="2714">
      <c r="A2714" s="3" t="n">
        <v>2023</v>
      </c>
      <c r="B2714" s="4" t="n">
        <v>2700</v>
      </c>
      <c r="C2714" s="4" t="n">
        <v>297</v>
      </c>
      <c r="D2714" s="4" t="n">
        <v>89.8425</v>
      </c>
      <c r="E2714" s="5" t="n">
        <v>30.1</v>
      </c>
      <c r="F2714" s="3" t="inlineStr">
        <is>
          <t>강내면</t>
        </is>
      </c>
      <c r="G2714" s="3" t="inlineStr">
        <is>
          <t>사곡리</t>
        </is>
      </c>
      <c r="H2714" s="3" t="inlineStr">
        <is>
          <t>용도미지정</t>
        </is>
      </c>
      <c r="I2714" s="3" t="inlineStr">
        <is>
          <t>임야</t>
        </is>
      </c>
      <c r="J2714" s="3" t="inlineStr">
        <is>
          <t>강내면</t>
        </is>
      </c>
    </row>
    <row r="2715">
      <c r="A2715" s="3" t="n">
        <v>2023</v>
      </c>
      <c r="B2715" s="4" t="n">
        <v>12600</v>
      </c>
      <c r="C2715" s="4" t="n">
        <v>409</v>
      </c>
      <c r="D2715" s="4" t="n">
        <v>123.7225</v>
      </c>
      <c r="E2715" s="5" t="n">
        <v>101.8</v>
      </c>
      <c r="F2715" s="3" t="inlineStr">
        <is>
          <t>강내면</t>
        </is>
      </c>
      <c r="G2715" s="3" t="inlineStr">
        <is>
          <t>다락리</t>
        </is>
      </c>
      <c r="H2715" s="3" t="inlineStr">
        <is>
          <t>계획관리지역</t>
        </is>
      </c>
      <c r="I2715" s="3" t="inlineStr">
        <is>
          <t>전</t>
        </is>
      </c>
      <c r="J2715" s="3" t="inlineStr">
        <is>
          <t>강내면</t>
        </is>
      </c>
    </row>
    <row r="2716">
      <c r="A2716" s="3" t="n">
        <v>2023</v>
      </c>
      <c r="B2716" s="4" t="n">
        <v>31534</v>
      </c>
      <c r="C2716" s="4" t="n">
        <v>891</v>
      </c>
      <c r="D2716" s="4" t="n">
        <v>269.5275</v>
      </c>
      <c r="E2716" s="5" t="n">
        <v>117</v>
      </c>
      <c r="F2716" s="3" t="inlineStr">
        <is>
          <t>강내면</t>
        </is>
      </c>
      <c r="G2716" s="3" t="inlineStr">
        <is>
          <t>궁현리</t>
        </is>
      </c>
      <c r="H2716" s="3" t="inlineStr">
        <is>
          <t>계획관리지역</t>
        </is>
      </c>
      <c r="I2716" s="3" t="inlineStr">
        <is>
          <t>전</t>
        </is>
      </c>
      <c r="J2716" s="3" t="inlineStr">
        <is>
          <t>강내면</t>
        </is>
      </c>
    </row>
    <row r="2717">
      <c r="A2717" s="3" t="n">
        <v>2023</v>
      </c>
      <c r="B2717" s="4" t="n">
        <v>7000</v>
      </c>
      <c r="C2717" s="4" t="n">
        <v>330</v>
      </c>
      <c r="D2717" s="4" t="n">
        <v>99.825</v>
      </c>
      <c r="E2717" s="5" t="n">
        <v>70.09999999999999</v>
      </c>
      <c r="F2717" s="3" t="inlineStr">
        <is>
          <t>오송읍</t>
        </is>
      </c>
      <c r="G2717" s="3" t="inlineStr">
        <is>
          <t>공북리</t>
        </is>
      </c>
      <c r="H2717" s="3" t="inlineStr">
        <is>
          <t>농림지역</t>
        </is>
      </c>
      <c r="I2717" s="3" t="inlineStr">
        <is>
          <t>답</t>
        </is>
      </c>
      <c r="J2717" s="3" t="inlineStr">
        <is>
          <t>오송읍</t>
        </is>
      </c>
    </row>
    <row r="2718">
      <c r="A2718" s="3" t="n">
        <v>2023</v>
      </c>
      <c r="B2718" s="4" t="n">
        <v>410</v>
      </c>
      <c r="C2718" s="4" t="n">
        <v>28</v>
      </c>
      <c r="D2718" s="4" t="n">
        <v>8.469999999999999</v>
      </c>
      <c r="E2718" s="5" t="n">
        <v>48.4</v>
      </c>
      <c r="F2718" s="3" t="inlineStr">
        <is>
          <t>강내면</t>
        </is>
      </c>
      <c r="G2718" s="3" t="inlineStr">
        <is>
          <t>사인리</t>
        </is>
      </c>
      <c r="H2718" s="3" t="inlineStr">
        <is>
          <t>자연녹지지역</t>
        </is>
      </c>
      <c r="I2718" s="3" t="inlineStr">
        <is>
          <t>임야</t>
        </is>
      </c>
      <c r="J2718" s="3" t="inlineStr">
        <is>
          <t>강내면</t>
        </is>
      </c>
    </row>
    <row r="2719">
      <c r="A2719" s="3" t="n">
        <v>2023</v>
      </c>
      <c r="B2719" s="4" t="n">
        <v>228</v>
      </c>
      <c r="C2719" s="4" t="n">
        <v>7</v>
      </c>
      <c r="D2719" s="4" t="n">
        <v>2.1175</v>
      </c>
      <c r="E2719" s="5" t="n">
        <v>107.7</v>
      </c>
      <c r="F2719" s="3" t="inlineStr">
        <is>
          <t>강내면</t>
        </is>
      </c>
      <c r="G2719" s="3" t="inlineStr">
        <is>
          <t>산단리</t>
        </is>
      </c>
      <c r="H2719" s="3" t="inlineStr">
        <is>
          <t>계획관리지역</t>
        </is>
      </c>
      <c r="I2719" s="3" t="inlineStr">
        <is>
          <t>답</t>
        </is>
      </c>
      <c r="J2719" s="3" t="inlineStr">
        <is>
          <t>강내면</t>
        </is>
      </c>
    </row>
    <row r="2720">
      <c r="A2720" s="3" t="n">
        <v>2023</v>
      </c>
      <c r="B2720" s="4" t="n">
        <v>30000</v>
      </c>
      <c r="C2720" s="4" t="n">
        <v>1200</v>
      </c>
      <c r="D2720" s="4" t="n">
        <v>363</v>
      </c>
      <c r="E2720" s="5" t="n">
        <v>82.59999999999999</v>
      </c>
      <c r="F2720" s="3" t="inlineStr">
        <is>
          <t>강내면</t>
        </is>
      </c>
      <c r="G2720" s="3" t="inlineStr">
        <is>
          <t>태성리</t>
        </is>
      </c>
      <c r="H2720" s="3" t="inlineStr">
        <is>
          <t>계획관리지역</t>
        </is>
      </c>
      <c r="I2720" s="3" t="inlineStr">
        <is>
          <t>공장용지</t>
        </is>
      </c>
      <c r="J2720" s="3" t="inlineStr">
        <is>
          <t>강내면</t>
        </is>
      </c>
    </row>
    <row r="2721">
      <c r="A2721" s="3" t="n">
        <v>2023</v>
      </c>
      <c r="B2721" s="4" t="n">
        <v>22000</v>
      </c>
      <c r="C2721" s="4" t="n">
        <v>823</v>
      </c>
      <c r="D2721" s="4" t="n">
        <v>248.9575</v>
      </c>
      <c r="E2721" s="5" t="n">
        <v>88.40000000000001</v>
      </c>
      <c r="F2721" s="3" t="inlineStr">
        <is>
          <t>강내면</t>
        </is>
      </c>
      <c r="G2721" s="3" t="inlineStr">
        <is>
          <t>저산리</t>
        </is>
      </c>
      <c r="H2721" s="3" t="inlineStr">
        <is>
          <t>계획관리지역</t>
        </is>
      </c>
      <c r="I2721" s="3" t="inlineStr">
        <is>
          <t>전</t>
        </is>
      </c>
      <c r="J2721" s="3" t="inlineStr">
        <is>
          <t>강내면</t>
        </is>
      </c>
    </row>
    <row r="2722">
      <c r="A2722" s="3" t="n">
        <v>2023</v>
      </c>
      <c r="B2722" s="4" t="n">
        <v>248100</v>
      </c>
      <c r="C2722" s="4" t="n">
        <v>5468</v>
      </c>
      <c r="D2722" s="4" t="n">
        <v>1654.07</v>
      </c>
      <c r="E2722" s="5" t="n">
        <v>150</v>
      </c>
      <c r="F2722" s="3" t="inlineStr">
        <is>
          <t>강내면</t>
        </is>
      </c>
      <c r="G2722" s="3" t="inlineStr">
        <is>
          <t>궁현리</t>
        </is>
      </c>
      <c r="H2722" s="3" t="inlineStr">
        <is>
          <t>계획관리지역</t>
        </is>
      </c>
      <c r="I2722" s="3" t="inlineStr">
        <is>
          <t>답</t>
        </is>
      </c>
      <c r="J2722" s="3" t="inlineStr">
        <is>
          <t>강내면</t>
        </is>
      </c>
    </row>
    <row r="2723">
      <c r="A2723" s="3" t="n">
        <v>2023</v>
      </c>
      <c r="B2723" s="4" t="n">
        <v>136500</v>
      </c>
      <c r="C2723" s="4" t="n">
        <v>3008</v>
      </c>
      <c r="D2723" s="4" t="n">
        <v>909.92</v>
      </c>
      <c r="E2723" s="5" t="n">
        <v>150</v>
      </c>
      <c r="F2723" s="3" t="inlineStr">
        <is>
          <t>강내면</t>
        </is>
      </c>
      <c r="G2723" s="3" t="inlineStr">
        <is>
          <t>궁현리</t>
        </is>
      </c>
      <c r="H2723" s="3" t="inlineStr">
        <is>
          <t>계획관리지역</t>
        </is>
      </c>
      <c r="I2723" s="3" t="inlineStr">
        <is>
          <t>답</t>
        </is>
      </c>
      <c r="J2723" s="3" t="inlineStr">
        <is>
          <t>강내면</t>
        </is>
      </c>
    </row>
    <row r="2724">
      <c r="A2724" s="3" t="n">
        <v>2023</v>
      </c>
      <c r="B2724" s="4" t="n">
        <v>169650</v>
      </c>
      <c r="C2724" s="4" t="n">
        <v>3738</v>
      </c>
      <c r="D2724" s="4" t="n">
        <v>1130.745</v>
      </c>
      <c r="E2724" s="5" t="n">
        <v>150</v>
      </c>
      <c r="F2724" s="3" t="inlineStr">
        <is>
          <t>강내면</t>
        </is>
      </c>
      <c r="G2724" s="3" t="inlineStr">
        <is>
          <t>궁현리</t>
        </is>
      </c>
      <c r="H2724" s="3" t="inlineStr">
        <is>
          <t>계획관리지역</t>
        </is>
      </c>
      <c r="I2724" s="3" t="inlineStr">
        <is>
          <t>답</t>
        </is>
      </c>
      <c r="J2724" s="3" t="inlineStr">
        <is>
          <t>강내면</t>
        </is>
      </c>
    </row>
    <row r="2725">
      <c r="A2725" s="3" t="n">
        <v>2023</v>
      </c>
      <c r="B2725" s="4" t="n">
        <v>7000</v>
      </c>
      <c r="C2725" s="4" t="n">
        <v>72</v>
      </c>
      <c r="D2725" s="4" t="n">
        <v>21.78</v>
      </c>
      <c r="E2725" s="5" t="n">
        <v>321.4</v>
      </c>
      <c r="F2725" s="3" t="inlineStr">
        <is>
          <t>오송읍</t>
        </is>
      </c>
      <c r="G2725" s="3" t="inlineStr">
        <is>
          <t>오송리</t>
        </is>
      </c>
      <c r="H2725" s="3" t="inlineStr">
        <is>
          <t>계획관리지역</t>
        </is>
      </c>
      <c r="I2725" s="3" t="inlineStr">
        <is>
          <t>대</t>
        </is>
      </c>
      <c r="J2725" s="3" t="inlineStr">
        <is>
          <t>오송읍</t>
        </is>
      </c>
    </row>
    <row r="2726">
      <c r="A2726" s="3" t="n">
        <v>2023</v>
      </c>
      <c r="B2726" s="4" t="n">
        <v>7000</v>
      </c>
      <c r="C2726" s="4" t="n">
        <v>72</v>
      </c>
      <c r="D2726" s="4" t="n">
        <v>21.78</v>
      </c>
      <c r="E2726" s="5" t="n">
        <v>321.4</v>
      </c>
      <c r="F2726" s="3" t="inlineStr">
        <is>
          <t>오송읍</t>
        </is>
      </c>
      <c r="G2726" s="3" t="inlineStr">
        <is>
          <t>오송리</t>
        </is>
      </c>
      <c r="H2726" s="3" t="inlineStr">
        <is>
          <t>계획관리지역</t>
        </is>
      </c>
      <c r="I2726" s="3" t="inlineStr">
        <is>
          <t>대</t>
        </is>
      </c>
      <c r="J2726" s="3" t="inlineStr">
        <is>
          <t>오송읍</t>
        </is>
      </c>
    </row>
    <row r="2727">
      <c r="A2727" s="3" t="n">
        <v>2024</v>
      </c>
      <c r="B2727" s="4" t="n">
        <v>315926</v>
      </c>
      <c r="C2727" s="4" t="n">
        <v>873</v>
      </c>
      <c r="D2727" s="4" t="n">
        <v>264.0825</v>
      </c>
      <c r="E2727" s="5" t="n">
        <v>1196.3</v>
      </c>
      <c r="F2727" s="3" t="inlineStr">
        <is>
          <t>조치원읍</t>
        </is>
      </c>
      <c r="G2727" s="3" t="inlineStr">
        <is>
          <t>죽림리</t>
        </is>
      </c>
      <c r="H2727" s="3" t="inlineStr">
        <is>
          <t>일반상업지역</t>
        </is>
      </c>
      <c r="I2727" s="3" t="inlineStr">
        <is>
          <t>전</t>
        </is>
      </c>
      <c r="J2727" s="3" t="inlineStr">
        <is>
          <t>조치원읍</t>
        </is>
      </c>
    </row>
    <row r="2728">
      <c r="A2728" s="3" t="n">
        <v>2024</v>
      </c>
      <c r="B2728" s="4" t="n">
        <v>172258</v>
      </c>
      <c r="C2728" s="4" t="n">
        <v>476</v>
      </c>
      <c r="D2728" s="4" t="n">
        <v>143.99</v>
      </c>
      <c r="E2728" s="5" t="n">
        <v>1196.3</v>
      </c>
      <c r="F2728" s="3" t="inlineStr">
        <is>
          <t>조치원읍</t>
        </is>
      </c>
      <c r="G2728" s="3" t="inlineStr">
        <is>
          <t>죽림리</t>
        </is>
      </c>
      <c r="H2728" s="3" t="inlineStr">
        <is>
          <t>일반상업지역</t>
        </is>
      </c>
      <c r="I2728" s="3" t="inlineStr">
        <is>
          <t>대</t>
        </is>
      </c>
      <c r="J2728" s="3" t="inlineStr">
        <is>
          <t>조치원읍</t>
        </is>
      </c>
    </row>
    <row r="2729">
      <c r="A2729" s="3" t="n">
        <v>2024</v>
      </c>
      <c r="B2729" s="4" t="n">
        <v>37500</v>
      </c>
      <c r="C2729" s="4" t="n">
        <v>450</v>
      </c>
      <c r="D2729" s="4" t="n">
        <v>136.125</v>
      </c>
      <c r="E2729" s="5" t="n">
        <v>275.5</v>
      </c>
      <c r="F2729" s="3" t="inlineStr">
        <is>
          <t>연동면</t>
        </is>
      </c>
      <c r="G2729" s="3" t="inlineStr">
        <is>
          <t>내판리</t>
        </is>
      </c>
      <c r="H2729" s="3" t="inlineStr">
        <is>
          <t>보전관리지역</t>
        </is>
      </c>
      <c r="I2729" s="3" t="inlineStr">
        <is>
          <t>대</t>
        </is>
      </c>
      <c r="J2729" s="3" t="inlineStr">
        <is>
          <t>연동면</t>
        </is>
      </c>
    </row>
    <row r="2730">
      <c r="A2730" s="3" t="n">
        <v>2024</v>
      </c>
      <c r="B2730" s="4" t="n">
        <v>24500</v>
      </c>
      <c r="C2730" s="4" t="n">
        <v>262.4</v>
      </c>
      <c r="D2730" s="4" t="n">
        <v>79.37599999999999</v>
      </c>
      <c r="E2730" s="5" t="n">
        <v>308.7</v>
      </c>
      <c r="F2730" s="3" t="inlineStr">
        <is>
          <t>집현동</t>
        </is>
      </c>
      <c r="G2730" s="3" t="inlineStr"/>
      <c r="H2730" s="3" t="inlineStr">
        <is>
          <t>제1종일반주거지역</t>
        </is>
      </c>
      <c r="I2730" s="3" t="inlineStr">
        <is>
          <t>대</t>
        </is>
      </c>
      <c r="J2730" s="3" t="inlineStr">
        <is>
          <t>집현동</t>
        </is>
      </c>
    </row>
    <row r="2731">
      <c r="A2731" s="3" t="n">
        <v>2025</v>
      </c>
      <c r="B2731" s="4" t="n">
        <v>45000</v>
      </c>
      <c r="C2731" s="4" t="n">
        <v>303.8</v>
      </c>
      <c r="D2731" s="4" t="n">
        <v>91.8995</v>
      </c>
      <c r="E2731" s="5" t="n">
        <v>489.7</v>
      </c>
      <c r="F2731" s="3" t="inlineStr">
        <is>
          <t>아름동</t>
        </is>
      </c>
      <c r="G2731" s="3" t="inlineStr"/>
      <c r="H2731" s="3" t="inlineStr">
        <is>
          <t>제1종전용주거지역</t>
        </is>
      </c>
      <c r="I2731" s="3" t="inlineStr">
        <is>
          <t>대</t>
        </is>
      </c>
      <c r="J2731" s="3" t="inlineStr">
        <is>
          <t>아름동</t>
        </is>
      </c>
    </row>
    <row r="2732">
      <c r="A2732" s="3" t="n">
        <v>2024</v>
      </c>
      <c r="B2732" s="4" t="n">
        <v>34000</v>
      </c>
      <c r="C2732" s="4" t="n">
        <v>283.7</v>
      </c>
      <c r="D2732" s="4" t="n">
        <v>85.81925</v>
      </c>
      <c r="E2732" s="5" t="n">
        <v>396.2</v>
      </c>
      <c r="F2732" s="3" t="inlineStr">
        <is>
          <t>다정동</t>
        </is>
      </c>
      <c r="G2732" s="3" t="inlineStr"/>
      <c r="H2732" s="3" t="inlineStr">
        <is>
          <t>제2종전용주거지역</t>
        </is>
      </c>
      <c r="I2732" s="3" t="inlineStr">
        <is>
          <t>대</t>
        </is>
      </c>
      <c r="J2732" s="3" t="inlineStr">
        <is>
          <t>다정동</t>
        </is>
      </c>
    </row>
    <row r="2733">
      <c r="A2733" s="3" t="n">
        <v>2024</v>
      </c>
      <c r="B2733" s="4" t="n">
        <v>8000</v>
      </c>
      <c r="C2733" s="4" t="n">
        <v>46</v>
      </c>
      <c r="D2733" s="4" t="n">
        <v>13.915</v>
      </c>
      <c r="E2733" s="5" t="n">
        <v>574.9</v>
      </c>
      <c r="F2733" s="3" t="inlineStr">
        <is>
          <t>조치원읍</t>
        </is>
      </c>
      <c r="G2733" s="3" t="inlineStr">
        <is>
          <t>원리</t>
        </is>
      </c>
      <c r="H2733" s="3" t="inlineStr">
        <is>
          <t>제2종일반주거지역</t>
        </is>
      </c>
      <c r="I2733" s="3" t="inlineStr">
        <is>
          <t>대</t>
        </is>
      </c>
      <c r="J2733" s="3" t="inlineStr">
        <is>
          <t>조치원읍</t>
        </is>
      </c>
    </row>
    <row r="2734">
      <c r="A2734" s="3" t="n">
        <v>2024</v>
      </c>
      <c r="B2734" s="4" t="n">
        <v>4052</v>
      </c>
      <c r="C2734" s="4" t="n">
        <v>67</v>
      </c>
      <c r="D2734" s="4" t="n">
        <v>20.2675</v>
      </c>
      <c r="E2734" s="5" t="n">
        <v>199.9</v>
      </c>
      <c r="F2734" s="3" t="inlineStr">
        <is>
          <t>부강면</t>
        </is>
      </c>
      <c r="G2734" s="3" t="inlineStr">
        <is>
          <t>부강리</t>
        </is>
      </c>
      <c r="H2734" s="3" t="inlineStr">
        <is>
          <t>계획관리지역</t>
        </is>
      </c>
      <c r="I2734" s="3" t="inlineStr">
        <is>
          <t>공장용지</t>
        </is>
      </c>
      <c r="J2734" s="3" t="inlineStr">
        <is>
          <t>부강면</t>
        </is>
      </c>
    </row>
    <row r="2735">
      <c r="A2735" s="3" t="n">
        <v>2024</v>
      </c>
      <c r="B2735" s="4" t="n">
        <v>3200</v>
      </c>
      <c r="C2735" s="4" t="n">
        <v>200</v>
      </c>
      <c r="D2735" s="4" t="n">
        <v>60.5</v>
      </c>
      <c r="E2735" s="5" t="n">
        <v>52.9</v>
      </c>
      <c r="F2735" s="3" t="inlineStr">
        <is>
          <t>부강면</t>
        </is>
      </c>
      <c r="G2735" s="3" t="inlineStr">
        <is>
          <t>문곡리</t>
        </is>
      </c>
      <c r="H2735" s="3" t="inlineStr">
        <is>
          <t>계획관리지역</t>
        </is>
      </c>
      <c r="I2735" s="3" t="inlineStr">
        <is>
          <t>답</t>
        </is>
      </c>
      <c r="J2735" s="3" t="inlineStr">
        <is>
          <t>부강면</t>
        </is>
      </c>
    </row>
    <row r="2736">
      <c r="A2736" s="3" t="n">
        <v>2024</v>
      </c>
      <c r="B2736" s="4" t="n">
        <v>69000</v>
      </c>
      <c r="C2736" s="4" t="n">
        <v>330</v>
      </c>
      <c r="D2736" s="4" t="n">
        <v>99.825</v>
      </c>
      <c r="E2736" s="5" t="n">
        <v>691.2</v>
      </c>
      <c r="F2736" s="3" t="inlineStr">
        <is>
          <t>반곡동</t>
        </is>
      </c>
      <c r="G2736" s="3" t="inlineStr"/>
      <c r="H2736" s="3" t="inlineStr">
        <is>
          <t>제2종전용주거지역</t>
        </is>
      </c>
      <c r="I2736" s="3" t="inlineStr">
        <is>
          <t>대</t>
        </is>
      </c>
      <c r="J2736" s="3" t="inlineStr">
        <is>
          <t>반곡동</t>
        </is>
      </c>
    </row>
    <row r="2737">
      <c r="A2737" s="3" t="n">
        <v>2024</v>
      </c>
      <c r="B2737" s="4" t="n">
        <v>64073</v>
      </c>
      <c r="C2737" s="4" t="n">
        <v>2777</v>
      </c>
      <c r="D2737" s="4" t="n">
        <v>840.0425</v>
      </c>
      <c r="E2737" s="5" t="n">
        <v>76.3</v>
      </c>
      <c r="F2737" s="3" t="inlineStr">
        <is>
          <t>조치원읍</t>
        </is>
      </c>
      <c r="G2737" s="3" t="inlineStr">
        <is>
          <t>신안리</t>
        </is>
      </c>
      <c r="H2737" s="3" t="inlineStr">
        <is>
          <t>자연녹지지역</t>
        </is>
      </c>
      <c r="I2737" s="3" t="inlineStr">
        <is>
          <t>전</t>
        </is>
      </c>
      <c r="J2737" s="3" t="inlineStr">
        <is>
          <t>조치원읍</t>
        </is>
      </c>
    </row>
    <row r="2738">
      <c r="A2738" s="3" t="n">
        <v>2024</v>
      </c>
      <c r="B2738" s="4" t="n">
        <v>10000</v>
      </c>
      <c r="C2738" s="4" t="n">
        <v>234</v>
      </c>
      <c r="D2738" s="4" t="n">
        <v>70.785</v>
      </c>
      <c r="E2738" s="5" t="n">
        <v>141.3</v>
      </c>
      <c r="F2738" s="3" t="inlineStr">
        <is>
          <t>연서면</t>
        </is>
      </c>
      <c r="G2738" s="3" t="inlineStr">
        <is>
          <t>봉암리</t>
        </is>
      </c>
      <c r="H2738" s="3" t="inlineStr">
        <is>
          <t>계획관리지역</t>
        </is>
      </c>
      <c r="I2738" s="3" t="inlineStr">
        <is>
          <t>대</t>
        </is>
      </c>
      <c r="J2738" s="3" t="inlineStr">
        <is>
          <t>연서면</t>
        </is>
      </c>
    </row>
    <row r="2739">
      <c r="A2739" s="3" t="n">
        <v>2024</v>
      </c>
      <c r="B2739" s="4" t="n">
        <v>34000</v>
      </c>
      <c r="C2739" s="4" t="n">
        <v>319</v>
      </c>
      <c r="D2739" s="4" t="n">
        <v>96.4975</v>
      </c>
      <c r="E2739" s="5" t="n">
        <v>352.3</v>
      </c>
      <c r="F2739" s="3" t="inlineStr">
        <is>
          <t>연서면</t>
        </is>
      </c>
      <c r="G2739" s="3" t="inlineStr">
        <is>
          <t>월하리</t>
        </is>
      </c>
      <c r="H2739" s="3" t="inlineStr">
        <is>
          <t>제1종일반주거지역</t>
        </is>
      </c>
      <c r="I2739" s="3" t="inlineStr">
        <is>
          <t>대</t>
        </is>
      </c>
      <c r="J2739" s="3" t="inlineStr">
        <is>
          <t>연서면</t>
        </is>
      </c>
    </row>
    <row r="2740">
      <c r="A2740" s="3" t="n">
        <v>2024</v>
      </c>
      <c r="B2740" s="4" t="n">
        <v>39806</v>
      </c>
      <c r="C2740" s="4" t="n">
        <v>595</v>
      </c>
      <c r="D2740" s="4" t="n">
        <v>179.9875</v>
      </c>
      <c r="E2740" s="5" t="n">
        <v>221.2</v>
      </c>
      <c r="F2740" s="3" t="inlineStr">
        <is>
          <t>조치원읍</t>
        </is>
      </c>
      <c r="G2740" s="3" t="inlineStr">
        <is>
          <t>신안리</t>
        </is>
      </c>
      <c r="H2740" s="3" t="inlineStr">
        <is>
          <t>자연녹지지역</t>
        </is>
      </c>
      <c r="I2740" s="3" t="inlineStr">
        <is>
          <t>과수원</t>
        </is>
      </c>
      <c r="J2740" s="3" t="inlineStr">
        <is>
          <t>조치원읍</t>
        </is>
      </c>
    </row>
    <row r="2741">
      <c r="A2741" s="3" t="n">
        <v>2023</v>
      </c>
      <c r="B2741" s="4" t="n">
        <v>6500</v>
      </c>
      <c r="C2741" s="4" t="n">
        <v>1021</v>
      </c>
      <c r="D2741" s="4" t="n">
        <v>308.8525</v>
      </c>
      <c r="E2741" s="5" t="n">
        <v>21</v>
      </c>
      <c r="F2741" s="3" t="inlineStr">
        <is>
          <t>부강면</t>
        </is>
      </c>
      <c r="G2741" s="3" t="inlineStr">
        <is>
          <t>문곡리</t>
        </is>
      </c>
      <c r="H2741" s="3" t="inlineStr">
        <is>
          <t>생산관리지역</t>
        </is>
      </c>
      <c r="I2741" s="3" t="inlineStr">
        <is>
          <t>전</t>
        </is>
      </c>
      <c r="J2741" s="3" t="inlineStr">
        <is>
          <t>부강면</t>
        </is>
      </c>
    </row>
    <row r="2742">
      <c r="A2742" s="3" t="n">
        <v>2022</v>
      </c>
      <c r="B2742" s="4" t="n">
        <v>56800</v>
      </c>
      <c r="C2742" s="4" t="n">
        <v>2086</v>
      </c>
      <c r="D2742" s="4" t="n">
        <v>631.015</v>
      </c>
      <c r="E2742" s="5" t="n">
        <v>90</v>
      </c>
      <c r="F2742" s="3" t="inlineStr">
        <is>
          <t>연서면</t>
        </is>
      </c>
      <c r="G2742" s="3" t="inlineStr">
        <is>
          <t>쌍류리</t>
        </is>
      </c>
      <c r="H2742" s="3" t="inlineStr">
        <is>
          <t>생산관리지역</t>
        </is>
      </c>
      <c r="I2742" s="3" t="inlineStr">
        <is>
          <t>과수원</t>
        </is>
      </c>
      <c r="J2742" s="3" t="inlineStr">
        <is>
          <t>연서면</t>
        </is>
      </c>
    </row>
    <row r="2743">
      <c r="A2743" s="3" t="n">
        <v>2022</v>
      </c>
      <c r="B2743" s="4" t="n">
        <v>62200</v>
      </c>
      <c r="C2743" s="4" t="n">
        <v>2290</v>
      </c>
      <c r="D2743" s="4" t="n">
        <v>692.725</v>
      </c>
      <c r="E2743" s="5" t="n">
        <v>89.8</v>
      </c>
      <c r="F2743" s="3" t="inlineStr">
        <is>
          <t>연서면</t>
        </is>
      </c>
      <c r="G2743" s="3" t="inlineStr">
        <is>
          <t>쌍류리</t>
        </is>
      </c>
      <c r="H2743" s="3" t="inlineStr">
        <is>
          <t>생산관리지역</t>
        </is>
      </c>
      <c r="I2743" s="3" t="inlineStr">
        <is>
          <t>과수원</t>
        </is>
      </c>
      <c r="J2743" s="3" t="inlineStr">
        <is>
          <t>연서면</t>
        </is>
      </c>
    </row>
    <row r="2744">
      <c r="A2744" s="3" t="n">
        <v>2022</v>
      </c>
      <c r="B2744" s="4" t="n">
        <v>480</v>
      </c>
      <c r="C2744" s="4" t="n">
        <v>20</v>
      </c>
      <c r="D2744" s="4" t="n">
        <v>6.05</v>
      </c>
      <c r="E2744" s="5" t="n">
        <v>79.3</v>
      </c>
      <c r="F2744" s="3" t="inlineStr">
        <is>
          <t>부강면</t>
        </is>
      </c>
      <c r="G2744" s="3" t="inlineStr">
        <is>
          <t>금호리</t>
        </is>
      </c>
      <c r="H2744" s="3" t="inlineStr">
        <is>
          <t>계획관리지역</t>
        </is>
      </c>
      <c r="I2744" s="3" t="inlineStr">
        <is>
          <t>전</t>
        </is>
      </c>
      <c r="J2744" s="3" t="inlineStr">
        <is>
          <t>부강면</t>
        </is>
      </c>
    </row>
    <row r="2745">
      <c r="A2745" s="3" t="n">
        <v>2022</v>
      </c>
      <c r="B2745" s="4" t="n">
        <v>7600</v>
      </c>
      <c r="C2745" s="4" t="n">
        <v>125</v>
      </c>
      <c r="D2745" s="4" t="n">
        <v>37.8125</v>
      </c>
      <c r="E2745" s="5" t="n">
        <v>201</v>
      </c>
      <c r="F2745" s="3" t="inlineStr">
        <is>
          <t>부강면</t>
        </is>
      </c>
      <c r="G2745" s="3" t="inlineStr">
        <is>
          <t>금호리</t>
        </is>
      </c>
      <c r="H2745" s="3" t="inlineStr">
        <is>
          <t>계획관리지역</t>
        </is>
      </c>
      <c r="I2745" s="3" t="inlineStr">
        <is>
          <t>답</t>
        </is>
      </c>
      <c r="J2745" s="3" t="inlineStr">
        <is>
          <t>부강면</t>
        </is>
      </c>
    </row>
    <row r="2746">
      <c r="A2746" s="3" t="n">
        <v>2022</v>
      </c>
      <c r="B2746" s="4" t="n">
        <v>19784</v>
      </c>
      <c r="C2746" s="4" t="n">
        <v>545</v>
      </c>
      <c r="D2746" s="4" t="n">
        <v>164.8625</v>
      </c>
      <c r="E2746" s="5" t="n">
        <v>120</v>
      </c>
      <c r="F2746" s="3" t="inlineStr">
        <is>
          <t>연서면</t>
        </is>
      </c>
      <c r="G2746" s="3" t="inlineStr">
        <is>
          <t>쌍류리</t>
        </is>
      </c>
      <c r="H2746" s="3" t="inlineStr">
        <is>
          <t>생산관리지역</t>
        </is>
      </c>
      <c r="I2746" s="3" t="inlineStr">
        <is>
          <t>전</t>
        </is>
      </c>
      <c r="J2746" s="3" t="inlineStr">
        <is>
          <t>연서면</t>
        </is>
      </c>
    </row>
    <row r="2747">
      <c r="A2747" s="3" t="n">
        <v>2022</v>
      </c>
      <c r="B2747" s="4" t="n">
        <v>62700</v>
      </c>
      <c r="C2747" s="4" t="n">
        <v>886</v>
      </c>
      <c r="D2747" s="4" t="n">
        <v>268.015</v>
      </c>
      <c r="E2747" s="5" t="n">
        <v>233.9</v>
      </c>
      <c r="F2747" s="3" t="inlineStr">
        <is>
          <t>연서면</t>
        </is>
      </c>
      <c r="G2747" s="3" t="inlineStr">
        <is>
          <t>신대리</t>
        </is>
      </c>
      <c r="H2747" s="3" t="inlineStr">
        <is>
          <t>계획관리지역</t>
        </is>
      </c>
      <c r="I2747" s="3" t="inlineStr">
        <is>
          <t>대</t>
        </is>
      </c>
      <c r="J2747" s="3" t="inlineStr">
        <is>
          <t>연서면</t>
        </is>
      </c>
    </row>
    <row r="2748">
      <c r="A2748" s="3" t="n">
        <v>2022</v>
      </c>
      <c r="B2748" s="4" t="n">
        <v>6300</v>
      </c>
      <c r="C2748" s="4" t="n">
        <v>2675</v>
      </c>
      <c r="D2748" s="4" t="n">
        <v>809.1875</v>
      </c>
      <c r="E2748" s="5" t="n">
        <v>7.8</v>
      </c>
      <c r="F2748" s="3" t="inlineStr">
        <is>
          <t>연서면</t>
        </is>
      </c>
      <c r="G2748" s="3" t="inlineStr">
        <is>
          <t>쌍류리</t>
        </is>
      </c>
      <c r="H2748" s="3" t="inlineStr">
        <is>
          <t>보전관리지역</t>
        </is>
      </c>
      <c r="I2748" s="3" t="inlineStr">
        <is>
          <t>임야</t>
        </is>
      </c>
      <c r="J2748" s="3" t="inlineStr">
        <is>
          <t>연서면</t>
        </is>
      </c>
    </row>
    <row r="2749">
      <c r="A2749" s="3" t="n">
        <v>2022</v>
      </c>
      <c r="B2749" s="4" t="n">
        <v>1000</v>
      </c>
      <c r="C2749" s="4" t="n">
        <v>345</v>
      </c>
      <c r="D2749" s="4" t="n">
        <v>104.3625</v>
      </c>
      <c r="E2749" s="5" t="n">
        <v>9.6</v>
      </c>
      <c r="F2749" s="3" t="inlineStr">
        <is>
          <t>연서면</t>
        </is>
      </c>
      <c r="G2749" s="3" t="inlineStr">
        <is>
          <t>쌍류리</t>
        </is>
      </c>
      <c r="H2749" s="3" t="inlineStr">
        <is>
          <t>보전관리지역</t>
        </is>
      </c>
      <c r="I2749" s="3" t="inlineStr">
        <is>
          <t>임야</t>
        </is>
      </c>
      <c r="J2749" s="3" t="inlineStr">
        <is>
          <t>연서면</t>
        </is>
      </c>
    </row>
    <row r="2750">
      <c r="A2750" s="3" t="n">
        <v>2022</v>
      </c>
      <c r="B2750" s="4" t="n">
        <v>2700</v>
      </c>
      <c r="C2750" s="4" t="n">
        <v>318</v>
      </c>
      <c r="D2750" s="4" t="n">
        <v>96.19499999999999</v>
      </c>
      <c r="E2750" s="5" t="n">
        <v>28.1</v>
      </c>
      <c r="F2750" s="3" t="inlineStr">
        <is>
          <t>연서면</t>
        </is>
      </c>
      <c r="G2750" s="3" t="inlineStr">
        <is>
          <t>쌍류리</t>
        </is>
      </c>
      <c r="H2750" s="3" t="inlineStr">
        <is>
          <t>보전관리지역</t>
        </is>
      </c>
      <c r="I2750" s="3" t="inlineStr">
        <is>
          <t>임야</t>
        </is>
      </c>
      <c r="J2750" s="3" t="inlineStr">
        <is>
          <t>연서면</t>
        </is>
      </c>
    </row>
    <row r="2751">
      <c r="A2751" s="3" t="n">
        <v>2022</v>
      </c>
      <c r="B2751" s="4" t="n">
        <v>6300</v>
      </c>
      <c r="C2751" s="4" t="n">
        <v>2675</v>
      </c>
      <c r="D2751" s="4" t="n">
        <v>809.1875</v>
      </c>
      <c r="E2751" s="5" t="n">
        <v>7.8</v>
      </c>
      <c r="F2751" s="3" t="inlineStr">
        <is>
          <t>연서면</t>
        </is>
      </c>
      <c r="G2751" s="3" t="inlineStr">
        <is>
          <t>쌍류리</t>
        </is>
      </c>
      <c r="H2751" s="3" t="inlineStr">
        <is>
          <t>보전관리지역</t>
        </is>
      </c>
      <c r="I2751" s="3" t="inlineStr">
        <is>
          <t>임야</t>
        </is>
      </c>
      <c r="J2751" s="3" t="inlineStr">
        <is>
          <t>연서면</t>
        </is>
      </c>
    </row>
    <row r="2752">
      <c r="A2752" s="3" t="n">
        <v>2022</v>
      </c>
      <c r="B2752" s="4" t="n">
        <v>1000</v>
      </c>
      <c r="C2752" s="4" t="n">
        <v>345</v>
      </c>
      <c r="D2752" s="4" t="n">
        <v>104.3625</v>
      </c>
      <c r="E2752" s="5" t="n">
        <v>9.6</v>
      </c>
      <c r="F2752" s="3" t="inlineStr">
        <is>
          <t>연서면</t>
        </is>
      </c>
      <c r="G2752" s="3" t="inlineStr">
        <is>
          <t>쌍류리</t>
        </is>
      </c>
      <c r="H2752" s="3" t="inlineStr">
        <is>
          <t>보전관리지역</t>
        </is>
      </c>
      <c r="I2752" s="3" t="inlineStr">
        <is>
          <t>임야</t>
        </is>
      </c>
      <c r="J2752" s="3" t="inlineStr">
        <is>
          <t>연서면</t>
        </is>
      </c>
    </row>
    <row r="2753">
      <c r="A2753" s="3" t="n">
        <v>2022</v>
      </c>
      <c r="B2753" s="4" t="n">
        <v>2700</v>
      </c>
      <c r="C2753" s="4" t="n">
        <v>318</v>
      </c>
      <c r="D2753" s="4" t="n">
        <v>96.19499999999999</v>
      </c>
      <c r="E2753" s="5" t="n">
        <v>28.1</v>
      </c>
      <c r="F2753" s="3" t="inlineStr">
        <is>
          <t>연서면</t>
        </is>
      </c>
      <c r="G2753" s="3" t="inlineStr">
        <is>
          <t>쌍류리</t>
        </is>
      </c>
      <c r="H2753" s="3" t="inlineStr">
        <is>
          <t>보전관리지역</t>
        </is>
      </c>
      <c r="I2753" s="3" t="inlineStr">
        <is>
          <t>임야</t>
        </is>
      </c>
      <c r="J2753" s="3" t="inlineStr">
        <is>
          <t>연서면</t>
        </is>
      </c>
    </row>
    <row r="2754">
      <c r="A2754" s="3" t="n">
        <v>2022</v>
      </c>
      <c r="B2754" s="4" t="n">
        <v>11365</v>
      </c>
      <c r="C2754" s="4" t="n">
        <v>6522</v>
      </c>
      <c r="D2754" s="4" t="n">
        <v>1972.905</v>
      </c>
      <c r="E2754" s="5" t="n">
        <v>5.8</v>
      </c>
      <c r="F2754" s="3" t="inlineStr">
        <is>
          <t>연서면</t>
        </is>
      </c>
      <c r="G2754" s="3" t="inlineStr">
        <is>
          <t>쌍류리</t>
        </is>
      </c>
      <c r="H2754" s="3" t="inlineStr">
        <is>
          <t>농림지역</t>
        </is>
      </c>
      <c r="I2754" s="3" t="inlineStr">
        <is>
          <t>임야</t>
        </is>
      </c>
      <c r="J2754" s="3" t="inlineStr">
        <is>
          <t>연서면</t>
        </is>
      </c>
    </row>
    <row r="2755">
      <c r="A2755" s="3" t="n">
        <v>2022</v>
      </c>
      <c r="B2755" s="4" t="n">
        <v>12478</v>
      </c>
      <c r="C2755" s="4" t="n">
        <v>1650</v>
      </c>
      <c r="D2755" s="4" t="n">
        <v>499.125</v>
      </c>
      <c r="E2755" s="5" t="n">
        <v>25</v>
      </c>
      <c r="F2755" s="3" t="inlineStr">
        <is>
          <t>연서면</t>
        </is>
      </c>
      <c r="G2755" s="3" t="inlineStr">
        <is>
          <t>쌍류리</t>
        </is>
      </c>
      <c r="H2755" s="3" t="inlineStr">
        <is>
          <t>농림지역</t>
        </is>
      </c>
      <c r="I2755" s="3" t="inlineStr">
        <is>
          <t>임야</t>
        </is>
      </c>
      <c r="J2755" s="3" t="inlineStr">
        <is>
          <t>연서면</t>
        </is>
      </c>
    </row>
    <row r="2756">
      <c r="A2756" s="3" t="n">
        <v>2022</v>
      </c>
      <c r="B2756" s="4" t="n">
        <v>12478</v>
      </c>
      <c r="C2756" s="4" t="n">
        <v>1650</v>
      </c>
      <c r="D2756" s="4" t="n">
        <v>499.125</v>
      </c>
      <c r="E2756" s="5" t="n">
        <v>25</v>
      </c>
      <c r="F2756" s="3" t="inlineStr">
        <is>
          <t>연서면</t>
        </is>
      </c>
      <c r="G2756" s="3" t="inlineStr">
        <is>
          <t>쌍류리</t>
        </is>
      </c>
      <c r="H2756" s="3" t="inlineStr">
        <is>
          <t>농림지역</t>
        </is>
      </c>
      <c r="I2756" s="3" t="inlineStr">
        <is>
          <t>임야</t>
        </is>
      </c>
      <c r="J2756" s="3" t="inlineStr">
        <is>
          <t>연서면</t>
        </is>
      </c>
    </row>
    <row r="2757">
      <c r="A2757" s="3" t="n">
        <v>2022</v>
      </c>
      <c r="B2757" s="4" t="n">
        <v>12478</v>
      </c>
      <c r="C2757" s="4" t="n">
        <v>1650</v>
      </c>
      <c r="D2757" s="4" t="n">
        <v>499.125</v>
      </c>
      <c r="E2757" s="5" t="n">
        <v>25</v>
      </c>
      <c r="F2757" s="3" t="inlineStr">
        <is>
          <t>연서면</t>
        </is>
      </c>
      <c r="G2757" s="3" t="inlineStr">
        <is>
          <t>쌍류리</t>
        </is>
      </c>
      <c r="H2757" s="3" t="inlineStr">
        <is>
          <t>농림지역</t>
        </is>
      </c>
      <c r="I2757" s="3" t="inlineStr">
        <is>
          <t>임야</t>
        </is>
      </c>
      <c r="J2757" s="3" t="inlineStr">
        <is>
          <t>연서면</t>
        </is>
      </c>
    </row>
    <row r="2758">
      <c r="A2758" s="3" t="n">
        <v>2022</v>
      </c>
      <c r="B2758" s="4" t="n">
        <v>24956</v>
      </c>
      <c r="C2758" s="4" t="n">
        <v>3300</v>
      </c>
      <c r="D2758" s="4" t="n">
        <v>998.25</v>
      </c>
      <c r="E2758" s="5" t="n">
        <v>25</v>
      </c>
      <c r="F2758" s="3" t="inlineStr">
        <is>
          <t>연서면</t>
        </is>
      </c>
      <c r="G2758" s="3" t="inlineStr">
        <is>
          <t>쌍류리</t>
        </is>
      </c>
      <c r="H2758" s="3" t="inlineStr">
        <is>
          <t>농림지역</t>
        </is>
      </c>
      <c r="I2758" s="3" t="inlineStr">
        <is>
          <t>임야</t>
        </is>
      </c>
      <c r="J2758" s="3" t="inlineStr">
        <is>
          <t>연서면</t>
        </is>
      </c>
    </row>
    <row r="2759">
      <c r="A2759" s="3" t="n">
        <v>2022</v>
      </c>
      <c r="B2759" s="4" t="n">
        <v>2400</v>
      </c>
      <c r="C2759" s="4" t="n">
        <v>793</v>
      </c>
      <c r="D2759" s="4" t="n">
        <v>239.8825</v>
      </c>
      <c r="E2759" s="5" t="n">
        <v>10</v>
      </c>
      <c r="F2759" s="3" t="inlineStr">
        <is>
          <t>남이면</t>
        </is>
      </c>
      <c r="G2759" s="3" t="inlineStr">
        <is>
          <t>척산리</t>
        </is>
      </c>
      <c r="H2759" s="3" t="inlineStr">
        <is>
          <t>보전관리지역</t>
        </is>
      </c>
      <c r="I2759" s="3" t="inlineStr">
        <is>
          <t>전</t>
        </is>
      </c>
      <c r="J2759" s="3" t="inlineStr">
        <is>
          <t>남이면</t>
        </is>
      </c>
    </row>
    <row r="2760">
      <c r="A2760" s="3" t="n">
        <v>2022</v>
      </c>
      <c r="B2760" s="4" t="n">
        <v>12000</v>
      </c>
      <c r="C2760" s="4" t="n">
        <v>1206.2</v>
      </c>
      <c r="D2760" s="4" t="n">
        <v>364.8755</v>
      </c>
      <c r="E2760" s="5" t="n">
        <v>32.9</v>
      </c>
      <c r="F2760" s="3" t="inlineStr">
        <is>
          <t>남이면</t>
        </is>
      </c>
      <c r="G2760" s="3" t="inlineStr">
        <is>
          <t>사동리</t>
        </is>
      </c>
      <c r="H2760" s="3" t="inlineStr">
        <is>
          <t>농림지역</t>
        </is>
      </c>
      <c r="I2760" s="3" t="inlineStr">
        <is>
          <t>답</t>
        </is>
      </c>
      <c r="J2760" s="3" t="inlineStr">
        <is>
          <t>남이면</t>
        </is>
      </c>
    </row>
    <row r="2761">
      <c r="A2761" s="3" t="n">
        <v>2022</v>
      </c>
      <c r="B2761" s="4" t="n">
        <v>5381</v>
      </c>
      <c r="C2761" s="4" t="n">
        <v>135</v>
      </c>
      <c r="D2761" s="4" t="n">
        <v>40.8375</v>
      </c>
      <c r="E2761" s="5" t="n">
        <v>131.8</v>
      </c>
      <c r="F2761" s="3" t="inlineStr">
        <is>
          <t>남이면</t>
        </is>
      </c>
      <c r="G2761" s="3" t="inlineStr">
        <is>
          <t>가마리</t>
        </is>
      </c>
      <c r="H2761" s="3" t="inlineStr">
        <is>
          <t>자연녹지지역</t>
        </is>
      </c>
      <c r="I2761" s="3" t="inlineStr">
        <is>
          <t>도로</t>
        </is>
      </c>
      <c r="J2761" s="3" t="inlineStr">
        <is>
          <t>남이면</t>
        </is>
      </c>
    </row>
    <row r="2762">
      <c r="A2762" s="3" t="n">
        <v>2022</v>
      </c>
      <c r="B2762" s="4" t="n">
        <v>30376</v>
      </c>
      <c r="C2762" s="4" t="n">
        <v>887</v>
      </c>
      <c r="D2762" s="4" t="n">
        <v>268.3175</v>
      </c>
      <c r="E2762" s="5" t="n">
        <v>113.2</v>
      </c>
      <c r="F2762" s="3" t="inlineStr">
        <is>
          <t>남이면</t>
        </is>
      </c>
      <c r="G2762" s="3" t="inlineStr">
        <is>
          <t>가좌리</t>
        </is>
      </c>
      <c r="H2762" s="3" t="inlineStr">
        <is>
          <t>자연녹지지역</t>
        </is>
      </c>
      <c r="I2762" s="3" t="inlineStr">
        <is>
          <t>전</t>
        </is>
      </c>
      <c r="J2762" s="3" t="inlineStr">
        <is>
          <t>남이면</t>
        </is>
      </c>
    </row>
    <row r="2763">
      <c r="A2763" s="3" t="n">
        <v>2022</v>
      </c>
      <c r="B2763" s="4" t="n">
        <v>26095</v>
      </c>
      <c r="C2763" s="4" t="n">
        <v>762</v>
      </c>
      <c r="D2763" s="4" t="n">
        <v>230.505</v>
      </c>
      <c r="E2763" s="5" t="n">
        <v>113.2</v>
      </c>
      <c r="F2763" s="3" t="inlineStr">
        <is>
          <t>남이면</t>
        </is>
      </c>
      <c r="G2763" s="3" t="inlineStr">
        <is>
          <t>가좌리</t>
        </is>
      </c>
      <c r="H2763" s="3" t="inlineStr">
        <is>
          <t>자연녹지지역</t>
        </is>
      </c>
      <c r="I2763" s="3" t="inlineStr">
        <is>
          <t>임야</t>
        </is>
      </c>
      <c r="J2763" s="3" t="inlineStr">
        <is>
          <t>남이면</t>
        </is>
      </c>
    </row>
    <row r="2764">
      <c r="A2764" s="3" t="n">
        <v>2022</v>
      </c>
      <c r="B2764" s="4" t="n">
        <v>17037</v>
      </c>
      <c r="C2764" s="4" t="n">
        <v>352</v>
      </c>
      <c r="D2764" s="4" t="n">
        <v>106.48</v>
      </c>
      <c r="E2764" s="5" t="n">
        <v>160</v>
      </c>
      <c r="F2764" s="3" t="inlineStr">
        <is>
          <t>남이면</t>
        </is>
      </c>
      <c r="G2764" s="3" t="inlineStr">
        <is>
          <t>부용외천리</t>
        </is>
      </c>
      <c r="H2764" s="3" t="inlineStr">
        <is>
          <t>계획관리지역</t>
        </is>
      </c>
      <c r="I2764" s="3" t="inlineStr">
        <is>
          <t>임야</t>
        </is>
      </c>
      <c r="J2764" s="3" t="inlineStr">
        <is>
          <t>남이면</t>
        </is>
      </c>
    </row>
    <row r="2765">
      <c r="A2765" s="3" t="n">
        <v>2022</v>
      </c>
      <c r="B2765" s="4" t="n">
        <v>16795</v>
      </c>
      <c r="C2765" s="4" t="n">
        <v>347</v>
      </c>
      <c r="D2765" s="4" t="n">
        <v>104.9675</v>
      </c>
      <c r="E2765" s="5" t="n">
        <v>160</v>
      </c>
      <c r="F2765" s="3" t="inlineStr">
        <is>
          <t>남이면</t>
        </is>
      </c>
      <c r="G2765" s="3" t="inlineStr">
        <is>
          <t>부용외천리</t>
        </is>
      </c>
      <c r="H2765" s="3" t="inlineStr">
        <is>
          <t>계획관리지역</t>
        </is>
      </c>
      <c r="I2765" s="3" t="inlineStr">
        <is>
          <t>임야</t>
        </is>
      </c>
      <c r="J2765" s="3" t="inlineStr">
        <is>
          <t>남이면</t>
        </is>
      </c>
    </row>
    <row r="2766">
      <c r="A2766" s="3" t="n">
        <v>2022</v>
      </c>
      <c r="B2766" s="4" t="n">
        <v>2904</v>
      </c>
      <c r="C2766" s="4" t="n">
        <v>60</v>
      </c>
      <c r="D2766" s="4" t="n">
        <v>18.15</v>
      </c>
      <c r="E2766" s="5" t="n">
        <v>160</v>
      </c>
      <c r="F2766" s="3" t="inlineStr">
        <is>
          <t>남이면</t>
        </is>
      </c>
      <c r="G2766" s="3" t="inlineStr">
        <is>
          <t>부용외천리</t>
        </is>
      </c>
      <c r="H2766" s="3" t="inlineStr">
        <is>
          <t>계획관리지역</t>
        </is>
      </c>
      <c r="I2766" s="3" t="inlineStr">
        <is>
          <t>대</t>
        </is>
      </c>
      <c r="J2766" s="3" t="inlineStr">
        <is>
          <t>남이면</t>
        </is>
      </c>
    </row>
    <row r="2767">
      <c r="A2767" s="3" t="n">
        <v>2022</v>
      </c>
      <c r="B2767" s="4" t="n">
        <v>4065</v>
      </c>
      <c r="C2767" s="4" t="n">
        <v>84</v>
      </c>
      <c r="D2767" s="4" t="n">
        <v>25.41</v>
      </c>
      <c r="E2767" s="5" t="n">
        <v>160</v>
      </c>
      <c r="F2767" s="3" t="inlineStr">
        <is>
          <t>남이면</t>
        </is>
      </c>
      <c r="G2767" s="3" t="inlineStr">
        <is>
          <t>부용외천리</t>
        </is>
      </c>
      <c r="H2767" s="3" t="inlineStr">
        <is>
          <t>계획관리지역</t>
        </is>
      </c>
      <c r="I2767" s="3" t="inlineStr">
        <is>
          <t>임야</t>
        </is>
      </c>
      <c r="J2767" s="3" t="inlineStr">
        <is>
          <t>남이면</t>
        </is>
      </c>
    </row>
    <row r="2768">
      <c r="A2768" s="3" t="n">
        <v>2022</v>
      </c>
      <c r="B2768" s="4" t="n">
        <v>4000</v>
      </c>
      <c r="C2768" s="4" t="n">
        <v>1531</v>
      </c>
      <c r="D2768" s="4" t="n">
        <v>463.1275</v>
      </c>
      <c r="E2768" s="5" t="n">
        <v>8.6</v>
      </c>
      <c r="F2768" s="3" t="inlineStr">
        <is>
          <t>남이면</t>
        </is>
      </c>
      <c r="G2768" s="3" t="inlineStr">
        <is>
          <t>가좌리</t>
        </is>
      </c>
      <c r="H2768" s="3" t="inlineStr">
        <is>
          <t>자연녹지지역</t>
        </is>
      </c>
      <c r="I2768" s="3" t="inlineStr">
        <is>
          <t>전</t>
        </is>
      </c>
      <c r="J2768" s="3" t="inlineStr">
        <is>
          <t>남이면</t>
        </is>
      </c>
    </row>
    <row r="2769">
      <c r="A2769" s="3" t="n">
        <v>2022</v>
      </c>
      <c r="B2769" s="4" t="n">
        <v>500</v>
      </c>
      <c r="C2769" s="4" t="n">
        <v>53</v>
      </c>
      <c r="D2769" s="4" t="n">
        <v>16.0325</v>
      </c>
      <c r="E2769" s="5" t="n">
        <v>31.2</v>
      </c>
      <c r="F2769" s="3" t="inlineStr">
        <is>
          <t>남이면</t>
        </is>
      </c>
      <c r="G2769" s="3" t="inlineStr">
        <is>
          <t>양촌리</t>
        </is>
      </c>
      <c r="H2769" s="3" t="inlineStr">
        <is>
          <t>자연녹지지역</t>
        </is>
      </c>
      <c r="I2769" s="3" t="inlineStr">
        <is>
          <t>도로</t>
        </is>
      </c>
      <c r="J2769" s="3" t="inlineStr">
        <is>
          <t>남이면</t>
        </is>
      </c>
    </row>
    <row r="2770">
      <c r="A2770" s="3" t="n">
        <v>2022</v>
      </c>
      <c r="B2770" s="4" t="n">
        <v>20000</v>
      </c>
      <c r="C2770" s="4" t="n">
        <v>1726</v>
      </c>
      <c r="D2770" s="4" t="n">
        <v>522.115</v>
      </c>
      <c r="E2770" s="5" t="n">
        <v>38.3</v>
      </c>
      <c r="F2770" s="3" t="inlineStr">
        <is>
          <t>남이면</t>
        </is>
      </c>
      <c r="G2770" s="3" t="inlineStr">
        <is>
          <t>문동리</t>
        </is>
      </c>
      <c r="H2770" s="3" t="inlineStr">
        <is>
          <t>생산관리지역</t>
        </is>
      </c>
      <c r="I2770" s="3" t="inlineStr">
        <is>
          <t>답</t>
        </is>
      </c>
      <c r="J2770" s="3" t="inlineStr">
        <is>
          <t>남이면</t>
        </is>
      </c>
    </row>
    <row r="2771">
      <c r="A2771" s="3" t="n">
        <v>2022</v>
      </c>
      <c r="B2771" s="4" t="n">
        <v>2500</v>
      </c>
      <c r="C2771" s="4" t="n">
        <v>938</v>
      </c>
      <c r="D2771" s="4" t="n">
        <v>283.745</v>
      </c>
      <c r="E2771" s="5" t="n">
        <v>8.800000000000001</v>
      </c>
      <c r="F2771" s="3" t="inlineStr">
        <is>
          <t>남이면</t>
        </is>
      </c>
      <c r="G2771" s="3" t="inlineStr">
        <is>
          <t>척북리</t>
        </is>
      </c>
      <c r="H2771" s="3" t="inlineStr">
        <is>
          <t>계획관리지역</t>
        </is>
      </c>
      <c r="I2771" s="3" t="inlineStr">
        <is>
          <t>임야</t>
        </is>
      </c>
      <c r="J2771" s="3" t="inlineStr">
        <is>
          <t>남이면</t>
        </is>
      </c>
    </row>
    <row r="2772">
      <c r="A2772" s="3" t="n">
        <v>2022</v>
      </c>
      <c r="B2772" s="4" t="n">
        <v>5000</v>
      </c>
      <c r="C2772" s="4" t="n">
        <v>4726</v>
      </c>
      <c r="D2772" s="4" t="n">
        <v>1429.615</v>
      </c>
      <c r="E2772" s="5" t="n">
        <v>3.5</v>
      </c>
      <c r="F2772" s="3" t="inlineStr">
        <is>
          <t>남이면</t>
        </is>
      </c>
      <c r="G2772" s="3" t="inlineStr">
        <is>
          <t>산막리</t>
        </is>
      </c>
      <c r="H2772" s="3" t="inlineStr">
        <is>
          <t>보전관리지역</t>
        </is>
      </c>
      <c r="I2772" s="3" t="inlineStr">
        <is>
          <t>임야</t>
        </is>
      </c>
      <c r="J2772" s="3" t="inlineStr">
        <is>
          <t>남이면</t>
        </is>
      </c>
    </row>
    <row r="2773">
      <c r="A2773" s="3" t="n">
        <v>2022</v>
      </c>
      <c r="B2773" s="4" t="n">
        <v>12000</v>
      </c>
      <c r="C2773" s="4" t="n">
        <v>9521</v>
      </c>
      <c r="D2773" s="4" t="n">
        <v>2880.1025</v>
      </c>
      <c r="E2773" s="5" t="n">
        <v>4.2</v>
      </c>
      <c r="F2773" s="3" t="inlineStr">
        <is>
          <t>남이면</t>
        </is>
      </c>
      <c r="G2773" s="3" t="inlineStr">
        <is>
          <t>산막리</t>
        </is>
      </c>
      <c r="H2773" s="3" t="inlineStr">
        <is>
          <t>보전관리지역</t>
        </is>
      </c>
      <c r="I2773" s="3" t="inlineStr">
        <is>
          <t>임야</t>
        </is>
      </c>
      <c r="J2773" s="3" t="inlineStr">
        <is>
          <t>남이면</t>
        </is>
      </c>
    </row>
    <row r="2774">
      <c r="A2774" s="3" t="n">
        <v>2022</v>
      </c>
      <c r="B2774" s="4" t="n">
        <v>15500</v>
      </c>
      <c r="C2774" s="4" t="n">
        <v>501</v>
      </c>
      <c r="D2774" s="4" t="n">
        <v>151.5525</v>
      </c>
      <c r="E2774" s="5" t="n">
        <v>102.3</v>
      </c>
      <c r="F2774" s="3" t="inlineStr">
        <is>
          <t>남이면</t>
        </is>
      </c>
      <c r="G2774" s="3" t="inlineStr">
        <is>
          <t>척산리</t>
        </is>
      </c>
      <c r="H2774" s="3" t="inlineStr">
        <is>
          <t>계획관리지역</t>
        </is>
      </c>
      <c r="I2774" s="3" t="inlineStr">
        <is>
          <t>대</t>
        </is>
      </c>
      <c r="J2774" s="3" t="inlineStr">
        <is>
          <t>남이면</t>
        </is>
      </c>
    </row>
    <row r="2775">
      <c r="A2775" s="3" t="n">
        <v>2022</v>
      </c>
      <c r="B2775" s="4" t="n">
        <v>53496</v>
      </c>
      <c r="C2775" s="4" t="n">
        <v>1159</v>
      </c>
      <c r="D2775" s="4" t="n">
        <v>350.5975</v>
      </c>
      <c r="E2775" s="5" t="n">
        <v>152.6</v>
      </c>
      <c r="F2775" s="3" t="inlineStr">
        <is>
          <t>남이면</t>
        </is>
      </c>
      <c r="G2775" s="3" t="inlineStr">
        <is>
          <t>부용외천리</t>
        </is>
      </c>
      <c r="H2775" s="3" t="inlineStr">
        <is>
          <t>계획관리지역</t>
        </is>
      </c>
      <c r="I2775" s="3" t="inlineStr">
        <is>
          <t>도로</t>
        </is>
      </c>
      <c r="J2775" s="3" t="inlineStr">
        <is>
          <t>남이면</t>
        </is>
      </c>
    </row>
    <row r="2776">
      <c r="A2776" s="3" t="n">
        <v>2022</v>
      </c>
      <c r="B2776" s="4" t="n">
        <v>167497</v>
      </c>
      <c r="C2776" s="4" t="n">
        <v>3634</v>
      </c>
      <c r="D2776" s="4" t="n">
        <v>1099.285</v>
      </c>
      <c r="E2776" s="5" t="n">
        <v>152.4</v>
      </c>
      <c r="F2776" s="3" t="inlineStr">
        <is>
          <t>남이면</t>
        </is>
      </c>
      <c r="G2776" s="3" t="inlineStr">
        <is>
          <t>부용외천리</t>
        </is>
      </c>
      <c r="H2776" s="3" t="inlineStr">
        <is>
          <t>계획관리지역</t>
        </is>
      </c>
      <c r="I2776" s="3" t="inlineStr">
        <is>
          <t>임야</t>
        </is>
      </c>
      <c r="J2776" s="3" t="inlineStr">
        <is>
          <t>남이면</t>
        </is>
      </c>
    </row>
    <row r="2777">
      <c r="A2777" s="3" t="n">
        <v>2022</v>
      </c>
      <c r="B2777" s="4" t="n">
        <v>39931</v>
      </c>
      <c r="C2777" s="4" t="n">
        <v>867</v>
      </c>
      <c r="D2777" s="4" t="n">
        <v>262.2675</v>
      </c>
      <c r="E2777" s="5" t="n">
        <v>152.3</v>
      </c>
      <c r="F2777" s="3" t="inlineStr">
        <is>
          <t>남이면</t>
        </is>
      </c>
      <c r="G2777" s="3" t="inlineStr">
        <is>
          <t>부용외천리</t>
        </is>
      </c>
      <c r="H2777" s="3" t="inlineStr">
        <is>
          <t>계획관리지역</t>
        </is>
      </c>
      <c r="I2777" s="3" t="inlineStr">
        <is>
          <t>도로</t>
        </is>
      </c>
      <c r="J2777" s="3" t="inlineStr">
        <is>
          <t>남이면</t>
        </is>
      </c>
    </row>
    <row r="2778">
      <c r="A2778" s="3" t="n">
        <v>2022</v>
      </c>
      <c r="B2778" s="4" t="n">
        <v>34292</v>
      </c>
      <c r="C2778" s="4" t="n">
        <v>745</v>
      </c>
      <c r="D2778" s="4" t="n">
        <v>225.3625</v>
      </c>
      <c r="E2778" s="5" t="n">
        <v>152.2</v>
      </c>
      <c r="F2778" s="3" t="inlineStr">
        <is>
          <t>남이면</t>
        </is>
      </c>
      <c r="G2778" s="3" t="inlineStr">
        <is>
          <t>부용외천리</t>
        </is>
      </c>
      <c r="H2778" s="3" t="inlineStr">
        <is>
          <t>계획관리지역</t>
        </is>
      </c>
      <c r="I2778" s="3" t="inlineStr">
        <is>
          <t>임야</t>
        </is>
      </c>
      <c r="J2778" s="3" t="inlineStr">
        <is>
          <t>남이면</t>
        </is>
      </c>
    </row>
    <row r="2779">
      <c r="A2779" s="3" t="n">
        <v>2022</v>
      </c>
      <c r="B2779" s="4" t="n">
        <v>14784</v>
      </c>
      <c r="C2779" s="4" t="n">
        <v>319</v>
      </c>
      <c r="D2779" s="4" t="n">
        <v>96.4975</v>
      </c>
      <c r="E2779" s="5" t="n">
        <v>153.2</v>
      </c>
      <c r="F2779" s="3" t="inlineStr">
        <is>
          <t>남이면</t>
        </is>
      </c>
      <c r="G2779" s="3" t="inlineStr">
        <is>
          <t>부용외천리</t>
        </is>
      </c>
      <c r="H2779" s="3" t="inlineStr">
        <is>
          <t>계획관리지역</t>
        </is>
      </c>
      <c r="I2779" s="3" t="inlineStr">
        <is>
          <t>임야</t>
        </is>
      </c>
      <c r="J2779" s="3" t="inlineStr">
        <is>
          <t>남이면</t>
        </is>
      </c>
    </row>
    <row r="2780">
      <c r="A2780" s="3" t="n">
        <v>2022</v>
      </c>
      <c r="B2780" s="4" t="n">
        <v>25360</v>
      </c>
      <c r="C2780" s="4" t="n">
        <v>2737</v>
      </c>
      <c r="D2780" s="4" t="n">
        <v>827.9425</v>
      </c>
      <c r="E2780" s="5" t="n">
        <v>30.6</v>
      </c>
      <c r="F2780" s="3" t="inlineStr">
        <is>
          <t>남이면</t>
        </is>
      </c>
      <c r="G2780" s="3" t="inlineStr">
        <is>
          <t>가좌리</t>
        </is>
      </c>
      <c r="H2780" s="3" t="inlineStr">
        <is>
          <t>자연녹지지역</t>
        </is>
      </c>
      <c r="I2780" s="3" t="inlineStr">
        <is>
          <t>답</t>
        </is>
      </c>
      <c r="J2780" s="3" t="inlineStr">
        <is>
          <t>남이면</t>
        </is>
      </c>
    </row>
    <row r="2781">
      <c r="A2781" s="3" t="n">
        <v>2022</v>
      </c>
      <c r="B2781" s="4" t="n">
        <v>9640</v>
      </c>
      <c r="C2781" s="4" t="n">
        <v>1041</v>
      </c>
      <c r="D2781" s="4" t="n">
        <v>314.9025</v>
      </c>
      <c r="E2781" s="5" t="n">
        <v>30.6</v>
      </c>
      <c r="F2781" s="3" t="inlineStr">
        <is>
          <t>남이면</t>
        </is>
      </c>
      <c r="G2781" s="3" t="inlineStr">
        <is>
          <t>가좌리</t>
        </is>
      </c>
      <c r="H2781" s="3" t="inlineStr">
        <is>
          <t>자연녹지지역</t>
        </is>
      </c>
      <c r="I2781" s="3" t="inlineStr">
        <is>
          <t>답</t>
        </is>
      </c>
      <c r="J2781" s="3" t="inlineStr">
        <is>
          <t>남이면</t>
        </is>
      </c>
    </row>
    <row r="2782">
      <c r="A2782" s="3" t="n">
        <v>2022</v>
      </c>
      <c r="B2782" s="4" t="n">
        <v>3251</v>
      </c>
      <c r="C2782" s="4" t="n">
        <v>84</v>
      </c>
      <c r="D2782" s="4" t="n">
        <v>25.41</v>
      </c>
      <c r="E2782" s="5" t="n">
        <v>127.9</v>
      </c>
      <c r="F2782" s="3" t="inlineStr">
        <is>
          <t>남이면</t>
        </is>
      </c>
      <c r="G2782" s="3" t="inlineStr">
        <is>
          <t>부용외천리</t>
        </is>
      </c>
      <c r="H2782" s="3" t="inlineStr">
        <is>
          <t>용도미지정</t>
        </is>
      </c>
      <c r="I2782" s="3" t="inlineStr">
        <is>
          <t>임야</t>
        </is>
      </c>
      <c r="J2782" s="3" t="inlineStr">
        <is>
          <t>남이면</t>
        </is>
      </c>
    </row>
    <row r="2783">
      <c r="A2783" s="3" t="n">
        <v>2023</v>
      </c>
      <c r="B2783" s="4" t="n">
        <v>7800</v>
      </c>
      <c r="C2783" s="4" t="n">
        <v>116</v>
      </c>
      <c r="D2783" s="4" t="n">
        <v>35.09</v>
      </c>
      <c r="E2783" s="5" t="n">
        <v>222.3</v>
      </c>
      <c r="F2783" s="3" t="inlineStr">
        <is>
          <t>연동면</t>
        </is>
      </c>
      <c r="G2783" s="3" t="inlineStr">
        <is>
          <t>내판리</t>
        </is>
      </c>
      <c r="H2783" s="3" t="inlineStr">
        <is>
          <t>계획관리지역</t>
        </is>
      </c>
      <c r="I2783" s="3" t="inlineStr">
        <is>
          <t>대</t>
        </is>
      </c>
      <c r="J2783" s="3" t="inlineStr">
        <is>
          <t>연동면</t>
        </is>
      </c>
    </row>
    <row r="2784">
      <c r="A2784" s="3" t="n">
        <v>2023</v>
      </c>
      <c r="B2784" s="4" t="n">
        <v>2703</v>
      </c>
      <c r="C2784" s="4" t="n">
        <v>99</v>
      </c>
      <c r="D2784" s="4" t="n">
        <v>29.9475</v>
      </c>
      <c r="E2784" s="5" t="n">
        <v>90.3</v>
      </c>
      <c r="F2784" s="3" t="inlineStr">
        <is>
          <t>연서면</t>
        </is>
      </c>
      <c r="G2784" s="3" t="inlineStr">
        <is>
          <t>용암리</t>
        </is>
      </c>
      <c r="H2784" s="3" t="inlineStr">
        <is>
          <t>농림지역</t>
        </is>
      </c>
      <c r="I2784" s="3" t="inlineStr">
        <is>
          <t>전</t>
        </is>
      </c>
      <c r="J2784" s="3" t="inlineStr">
        <is>
          <t>연서면</t>
        </is>
      </c>
    </row>
    <row r="2785">
      <c r="A2785" s="3" t="n">
        <v>2023</v>
      </c>
      <c r="B2785" s="4" t="n">
        <v>55000</v>
      </c>
      <c r="C2785" s="4" t="n">
        <v>258.5</v>
      </c>
      <c r="D2785" s="4" t="n">
        <v>78.19624999999999</v>
      </c>
      <c r="E2785" s="5" t="n">
        <v>703.4</v>
      </c>
      <c r="F2785" s="3" t="inlineStr">
        <is>
          <t>한솔동</t>
        </is>
      </c>
      <c r="G2785" s="3" t="inlineStr"/>
      <c r="H2785" s="3" t="inlineStr">
        <is>
          <t>제1종전용주거지역</t>
        </is>
      </c>
      <c r="I2785" s="3" t="inlineStr">
        <is>
          <t>대</t>
        </is>
      </c>
      <c r="J2785" s="3" t="inlineStr">
        <is>
          <t>한솔동</t>
        </is>
      </c>
    </row>
    <row r="2786">
      <c r="A2786" s="3" t="n">
        <v>2023</v>
      </c>
      <c r="B2786" s="4" t="n">
        <v>14000</v>
      </c>
      <c r="C2786" s="4" t="n">
        <v>48</v>
      </c>
      <c r="D2786" s="4" t="n">
        <v>14.52</v>
      </c>
      <c r="E2786" s="5" t="n">
        <v>964.2</v>
      </c>
      <c r="F2786" s="3" t="inlineStr">
        <is>
          <t>연서면</t>
        </is>
      </c>
      <c r="G2786" s="3" t="inlineStr">
        <is>
          <t>봉암리</t>
        </is>
      </c>
      <c r="H2786" s="3" t="inlineStr">
        <is>
          <t>계획관리지역</t>
        </is>
      </c>
      <c r="I2786" s="3" t="inlineStr">
        <is>
          <t>대</t>
        </is>
      </c>
      <c r="J2786" s="3" t="inlineStr">
        <is>
          <t>연서면</t>
        </is>
      </c>
    </row>
    <row r="2787">
      <c r="A2787" s="3" t="n">
        <v>2023</v>
      </c>
      <c r="B2787" s="4" t="n">
        <v>44950</v>
      </c>
      <c r="C2787" s="4" t="n">
        <v>293.7</v>
      </c>
      <c r="D2787" s="4" t="n">
        <v>88.84424999999999</v>
      </c>
      <c r="E2787" s="5" t="n">
        <v>505.9</v>
      </c>
      <c r="F2787" s="3" t="inlineStr">
        <is>
          <t>다정동</t>
        </is>
      </c>
      <c r="G2787" s="3" t="inlineStr"/>
      <c r="H2787" s="3" t="inlineStr">
        <is>
          <t>제1종전용주거지역</t>
        </is>
      </c>
      <c r="I2787" s="3" t="inlineStr">
        <is>
          <t>대</t>
        </is>
      </c>
      <c r="J2787" s="3" t="inlineStr">
        <is>
          <t>다정동</t>
        </is>
      </c>
    </row>
    <row r="2788">
      <c r="A2788" s="3" t="n">
        <v>2023</v>
      </c>
      <c r="B2788" s="4" t="n">
        <v>30000</v>
      </c>
      <c r="C2788" s="4" t="n">
        <v>661</v>
      </c>
      <c r="D2788" s="4" t="n">
        <v>199.9525</v>
      </c>
      <c r="E2788" s="5" t="n">
        <v>150</v>
      </c>
      <c r="F2788" s="3" t="inlineStr">
        <is>
          <t>부강면</t>
        </is>
      </c>
      <c r="G2788" s="3" t="inlineStr">
        <is>
          <t>문곡리</t>
        </is>
      </c>
      <c r="H2788" s="3" t="inlineStr">
        <is>
          <t>계획관리지역</t>
        </is>
      </c>
      <c r="I2788" s="3" t="inlineStr">
        <is>
          <t>답</t>
        </is>
      </c>
      <c r="J2788" s="3" t="inlineStr">
        <is>
          <t>부강면</t>
        </is>
      </c>
    </row>
    <row r="2789">
      <c r="A2789" s="3" t="n">
        <v>2022</v>
      </c>
      <c r="B2789" s="4" t="n">
        <v>10000</v>
      </c>
      <c r="C2789" s="4" t="n">
        <v>298</v>
      </c>
      <c r="D2789" s="4" t="n">
        <v>90.145</v>
      </c>
      <c r="E2789" s="5" t="n">
        <v>110.9</v>
      </c>
      <c r="F2789" s="3" t="inlineStr">
        <is>
          <t>조치원읍</t>
        </is>
      </c>
      <c r="G2789" s="3" t="inlineStr">
        <is>
          <t>신안리</t>
        </is>
      </c>
      <c r="H2789" s="3" t="inlineStr">
        <is>
          <t>자연녹지지역</t>
        </is>
      </c>
      <c r="I2789" s="3" t="inlineStr">
        <is>
          <t>답</t>
        </is>
      </c>
      <c r="J2789" s="3" t="inlineStr">
        <is>
          <t>조치원읍</t>
        </is>
      </c>
    </row>
    <row r="2790">
      <c r="A2790" s="3" t="n">
        <v>2022</v>
      </c>
      <c r="B2790" s="4" t="n">
        <v>25000</v>
      </c>
      <c r="C2790" s="4" t="n">
        <v>729</v>
      </c>
      <c r="D2790" s="4" t="n">
        <v>220.5225</v>
      </c>
      <c r="E2790" s="5" t="n">
        <v>113.4</v>
      </c>
      <c r="F2790" s="3" t="inlineStr">
        <is>
          <t>조치원읍</t>
        </is>
      </c>
      <c r="G2790" s="3" t="inlineStr">
        <is>
          <t>신안리</t>
        </is>
      </c>
      <c r="H2790" s="3" t="inlineStr">
        <is>
          <t>자연녹지지역</t>
        </is>
      </c>
      <c r="I2790" s="3" t="inlineStr">
        <is>
          <t>답</t>
        </is>
      </c>
      <c r="J2790" s="3" t="inlineStr">
        <is>
          <t>조치원읍</t>
        </is>
      </c>
    </row>
    <row r="2791">
      <c r="A2791" s="3" t="n">
        <v>2022</v>
      </c>
      <c r="B2791" s="4" t="n">
        <v>9300</v>
      </c>
      <c r="C2791" s="4" t="n">
        <v>307</v>
      </c>
      <c r="D2791" s="4" t="n">
        <v>92.86749999999999</v>
      </c>
      <c r="E2791" s="5" t="n">
        <v>100.1</v>
      </c>
      <c r="F2791" s="3" t="inlineStr">
        <is>
          <t>연서면</t>
        </is>
      </c>
      <c r="G2791" s="3" t="inlineStr">
        <is>
          <t>신대리</t>
        </is>
      </c>
      <c r="H2791" s="3" t="inlineStr">
        <is>
          <t>계획관리지역</t>
        </is>
      </c>
      <c r="I2791" s="3" t="inlineStr">
        <is>
          <t>답</t>
        </is>
      </c>
      <c r="J2791" s="3" t="inlineStr">
        <is>
          <t>연서면</t>
        </is>
      </c>
    </row>
    <row r="2792">
      <c r="A2792" s="3" t="n">
        <v>2022</v>
      </c>
      <c r="B2792" s="4" t="n">
        <v>130000</v>
      </c>
      <c r="C2792" s="4" t="n">
        <v>45841</v>
      </c>
      <c r="D2792" s="4" t="n">
        <v>13866.9025</v>
      </c>
      <c r="E2792" s="5" t="n">
        <v>9.4</v>
      </c>
      <c r="F2792" s="3" t="inlineStr">
        <is>
          <t>부강면</t>
        </is>
      </c>
      <c r="G2792" s="3" t="inlineStr">
        <is>
          <t>등곡리</t>
        </is>
      </c>
      <c r="H2792" s="3" t="inlineStr">
        <is>
          <t>농림지역</t>
        </is>
      </c>
      <c r="I2792" s="3" t="inlineStr">
        <is>
          <t>임야</t>
        </is>
      </c>
      <c r="J2792" s="3" t="inlineStr">
        <is>
          <t>부강면</t>
        </is>
      </c>
    </row>
    <row r="2793">
      <c r="A2793" s="3" t="n">
        <v>2022</v>
      </c>
      <c r="B2793" s="4" t="n">
        <v>20000</v>
      </c>
      <c r="C2793" s="4" t="n">
        <v>839</v>
      </c>
      <c r="D2793" s="4" t="n">
        <v>253.7975</v>
      </c>
      <c r="E2793" s="5" t="n">
        <v>78.8</v>
      </c>
      <c r="F2793" s="3" t="inlineStr">
        <is>
          <t>부강면</t>
        </is>
      </c>
      <c r="G2793" s="3" t="inlineStr">
        <is>
          <t>등곡리</t>
        </is>
      </c>
      <c r="H2793" s="3" t="inlineStr">
        <is>
          <t>계획관리지역</t>
        </is>
      </c>
      <c r="I2793" s="3" t="inlineStr">
        <is>
          <t>목장용지</t>
        </is>
      </c>
      <c r="J2793" s="3" t="inlineStr">
        <is>
          <t>부강면</t>
        </is>
      </c>
    </row>
    <row r="2794">
      <c r="A2794" s="3" t="n">
        <v>2022</v>
      </c>
      <c r="B2794" s="4" t="n">
        <v>13500</v>
      </c>
      <c r="C2794" s="4" t="n">
        <v>446</v>
      </c>
      <c r="D2794" s="4" t="n">
        <v>134.915</v>
      </c>
      <c r="E2794" s="5" t="n">
        <v>100.1</v>
      </c>
      <c r="F2794" s="3" t="inlineStr">
        <is>
          <t>연서면</t>
        </is>
      </c>
      <c r="G2794" s="3" t="inlineStr">
        <is>
          <t>국촌리</t>
        </is>
      </c>
      <c r="H2794" s="3" t="inlineStr">
        <is>
          <t>계획관리지역</t>
        </is>
      </c>
      <c r="I2794" s="3" t="inlineStr">
        <is>
          <t>전</t>
        </is>
      </c>
      <c r="J2794" s="3" t="inlineStr">
        <is>
          <t>연서면</t>
        </is>
      </c>
    </row>
    <row r="2795">
      <c r="A2795" s="3" t="n">
        <v>2023</v>
      </c>
      <c r="B2795" s="4" t="n">
        <v>5000</v>
      </c>
      <c r="C2795" s="4" t="n">
        <v>93</v>
      </c>
      <c r="D2795" s="4" t="n">
        <v>28.1325</v>
      </c>
      <c r="E2795" s="5" t="n">
        <v>177.7</v>
      </c>
      <c r="F2795" s="3" t="inlineStr">
        <is>
          <t>연동면</t>
        </is>
      </c>
      <c r="G2795" s="3" t="inlineStr">
        <is>
          <t>내판리</t>
        </is>
      </c>
      <c r="H2795" s="3" t="inlineStr">
        <is>
          <t>계획관리지역</t>
        </is>
      </c>
      <c r="I2795" s="3" t="inlineStr">
        <is>
          <t>대</t>
        </is>
      </c>
      <c r="J2795" s="3" t="inlineStr">
        <is>
          <t>연동면</t>
        </is>
      </c>
    </row>
    <row r="2796">
      <c r="A2796" s="3" t="n">
        <v>2024</v>
      </c>
      <c r="B2796" s="4" t="n">
        <v>7400</v>
      </c>
      <c r="C2796" s="4" t="n">
        <v>463</v>
      </c>
      <c r="D2796" s="4" t="n">
        <v>140.0575</v>
      </c>
      <c r="E2796" s="5" t="n">
        <v>52.8</v>
      </c>
      <c r="F2796" s="3" t="inlineStr">
        <is>
          <t>부강면</t>
        </is>
      </c>
      <c r="G2796" s="3" t="inlineStr">
        <is>
          <t>문곡리</t>
        </is>
      </c>
      <c r="H2796" s="3" t="inlineStr">
        <is>
          <t>계획관리지역</t>
        </is>
      </c>
      <c r="I2796" s="3" t="inlineStr">
        <is>
          <t>답</t>
        </is>
      </c>
      <c r="J2796" s="3" t="inlineStr">
        <is>
          <t>부강면</t>
        </is>
      </c>
    </row>
    <row r="2797">
      <c r="A2797" s="3" t="n">
        <v>2025</v>
      </c>
      <c r="B2797" s="4" t="n">
        <v>104500</v>
      </c>
      <c r="C2797" s="4" t="n">
        <v>397.3</v>
      </c>
      <c r="D2797" s="4" t="n">
        <v>120.18325</v>
      </c>
      <c r="E2797" s="5" t="n">
        <v>869.5</v>
      </c>
      <c r="F2797" s="3" t="inlineStr">
        <is>
          <t>한솔동</t>
        </is>
      </c>
      <c r="G2797" s="3" t="inlineStr"/>
      <c r="H2797" s="3" t="inlineStr">
        <is>
          <t>제1종전용주거지역</t>
        </is>
      </c>
      <c r="I2797" s="3" t="inlineStr">
        <is>
          <t>대</t>
        </is>
      </c>
      <c r="J2797" s="3" t="inlineStr">
        <is>
          <t>한솔동</t>
        </is>
      </c>
    </row>
    <row r="2798">
      <c r="A2798" s="3" t="n">
        <v>2025</v>
      </c>
      <c r="B2798" s="4" t="n">
        <v>48450</v>
      </c>
      <c r="C2798" s="4" t="n">
        <v>317.2</v>
      </c>
      <c r="D2798" s="4" t="n">
        <v>95.95299999999999</v>
      </c>
      <c r="E2798" s="5" t="n">
        <v>504.9</v>
      </c>
      <c r="F2798" s="3" t="inlineStr">
        <is>
          <t>고운동</t>
        </is>
      </c>
      <c r="G2798" s="3" t="inlineStr"/>
      <c r="H2798" s="3" t="inlineStr">
        <is>
          <t>제1종전용주거지역</t>
        </is>
      </c>
      <c r="I2798" s="3" t="inlineStr">
        <is>
          <t>대</t>
        </is>
      </c>
      <c r="J2798" s="3" t="inlineStr">
        <is>
          <t>고운동</t>
        </is>
      </c>
    </row>
    <row r="2799">
      <c r="A2799" s="3" t="n">
        <v>2025</v>
      </c>
      <c r="B2799" s="4" t="n">
        <v>77500</v>
      </c>
      <c r="C2799" s="4" t="n">
        <v>299.5</v>
      </c>
      <c r="D2799" s="4" t="n">
        <v>90.59875</v>
      </c>
      <c r="E2799" s="5" t="n">
        <v>855.4</v>
      </c>
      <c r="F2799" s="3" t="inlineStr">
        <is>
          <t>한솔동</t>
        </is>
      </c>
      <c r="G2799" s="3" t="inlineStr"/>
      <c r="H2799" s="3" t="inlineStr">
        <is>
          <t>제1종전용주거지역</t>
        </is>
      </c>
      <c r="I2799" s="3" t="inlineStr">
        <is>
          <t>대</t>
        </is>
      </c>
      <c r="J2799" s="3" t="inlineStr">
        <is>
          <t>한솔동</t>
        </is>
      </c>
    </row>
    <row r="2800">
      <c r="A2800" s="3" t="n">
        <v>2025</v>
      </c>
      <c r="B2800" s="4" t="n">
        <v>18439</v>
      </c>
      <c r="C2800" s="4" t="n">
        <v>237</v>
      </c>
      <c r="D2800" s="4" t="n">
        <v>71.6925</v>
      </c>
      <c r="E2800" s="5" t="n">
        <v>257.2</v>
      </c>
      <c r="F2800" s="3" t="inlineStr">
        <is>
          <t>연서면</t>
        </is>
      </c>
      <c r="G2800" s="3" t="inlineStr">
        <is>
          <t>봉암리</t>
        </is>
      </c>
      <c r="H2800" s="3" t="inlineStr">
        <is>
          <t>계획관리지역</t>
        </is>
      </c>
      <c r="I2800" s="3" t="inlineStr">
        <is>
          <t>과수원</t>
        </is>
      </c>
      <c r="J2800" s="3" t="inlineStr">
        <is>
          <t>연서면</t>
        </is>
      </c>
    </row>
    <row r="2801">
      <c r="A2801" s="3" t="n">
        <v>2026</v>
      </c>
      <c r="B2801" s="4" t="n">
        <v>55000</v>
      </c>
      <c r="C2801" s="4" t="n">
        <v>3523</v>
      </c>
      <c r="D2801" s="4" t="n">
        <v>1065.7075</v>
      </c>
      <c r="E2801" s="5" t="n">
        <v>51.6</v>
      </c>
      <c r="F2801" s="3" t="inlineStr">
        <is>
          <t>연서면</t>
        </is>
      </c>
      <c r="G2801" s="3" t="inlineStr">
        <is>
          <t>봉암리</t>
        </is>
      </c>
      <c r="H2801" s="3" t="inlineStr">
        <is>
          <t>농림지역</t>
        </is>
      </c>
      <c r="I2801" s="3" t="inlineStr">
        <is>
          <t>전</t>
        </is>
      </c>
      <c r="J2801" s="3" t="inlineStr">
        <is>
          <t>연서면</t>
        </is>
      </c>
    </row>
    <row r="2802">
      <c r="A2802" s="3" t="n">
        <v>2026</v>
      </c>
      <c r="B2802" s="4" t="n">
        <v>1000</v>
      </c>
      <c r="C2802" s="4" t="n">
        <v>19</v>
      </c>
      <c r="D2802" s="4" t="n">
        <v>5.7475</v>
      </c>
      <c r="E2802" s="5" t="n">
        <v>174</v>
      </c>
      <c r="F2802" s="3" t="inlineStr">
        <is>
          <t>조치원읍</t>
        </is>
      </c>
      <c r="G2802" s="3" t="inlineStr">
        <is>
          <t>봉산리</t>
        </is>
      </c>
      <c r="H2802" s="3" t="inlineStr">
        <is>
          <t>자연녹지지역</t>
        </is>
      </c>
      <c r="I2802" s="3" t="inlineStr">
        <is>
          <t>과수원</t>
        </is>
      </c>
      <c r="J2802" s="3" t="inlineStr">
        <is>
          <t>조치원읍</t>
        </is>
      </c>
    </row>
    <row r="2803">
      <c r="A2803" s="3" t="n">
        <v>2024</v>
      </c>
      <c r="B2803" s="4" t="n">
        <v>31000</v>
      </c>
      <c r="C2803" s="4" t="n">
        <v>168</v>
      </c>
      <c r="D2803" s="4" t="n">
        <v>50.82</v>
      </c>
      <c r="E2803" s="5" t="n">
        <v>610</v>
      </c>
      <c r="F2803" s="3" t="inlineStr">
        <is>
          <t>반곡동</t>
        </is>
      </c>
      <c r="G2803" s="3" t="inlineStr"/>
      <c r="H2803" s="3" t="inlineStr">
        <is>
          <t>제1종일반주거지역</t>
        </is>
      </c>
      <c r="I2803" s="3" t="inlineStr">
        <is>
          <t>대</t>
        </is>
      </c>
      <c r="J2803" s="3" t="inlineStr">
        <is>
          <t>반곡동</t>
        </is>
      </c>
    </row>
    <row r="2804">
      <c r="A2804" s="3" t="n">
        <v>2024</v>
      </c>
      <c r="B2804" s="4" t="n">
        <v>3200</v>
      </c>
      <c r="C2804" s="4" t="n">
        <v>509</v>
      </c>
      <c r="D2804" s="4" t="n">
        <v>153.9725</v>
      </c>
      <c r="E2804" s="5" t="n">
        <v>20.8</v>
      </c>
      <c r="F2804" s="3" t="inlineStr">
        <is>
          <t>부강면</t>
        </is>
      </c>
      <c r="G2804" s="3" t="inlineStr">
        <is>
          <t>노호리</t>
        </is>
      </c>
      <c r="H2804" s="3" t="inlineStr">
        <is>
          <t>계획관리지역</t>
        </is>
      </c>
      <c r="I2804" s="3" t="inlineStr">
        <is>
          <t>답</t>
        </is>
      </c>
      <c r="J2804" s="3" t="inlineStr">
        <is>
          <t>부강면</t>
        </is>
      </c>
    </row>
    <row r="2805">
      <c r="A2805" s="3" t="n">
        <v>2024</v>
      </c>
      <c r="B2805" s="4" t="n">
        <v>7300</v>
      </c>
      <c r="C2805" s="4" t="n">
        <v>1193</v>
      </c>
      <c r="D2805" s="4" t="n">
        <v>360.8825</v>
      </c>
      <c r="E2805" s="5" t="n">
        <v>20.2</v>
      </c>
      <c r="F2805" s="3" t="inlineStr">
        <is>
          <t>부강면</t>
        </is>
      </c>
      <c r="G2805" s="3" t="inlineStr">
        <is>
          <t>노호리</t>
        </is>
      </c>
      <c r="H2805" s="3" t="inlineStr">
        <is>
          <t>계획관리지역</t>
        </is>
      </c>
      <c r="I2805" s="3" t="inlineStr">
        <is>
          <t>전</t>
        </is>
      </c>
      <c r="J2805" s="3" t="inlineStr">
        <is>
          <t>부강면</t>
        </is>
      </c>
    </row>
    <row r="2806">
      <c r="A2806" s="3" t="n">
        <v>2024</v>
      </c>
      <c r="B2806" s="4" t="n">
        <v>21500</v>
      </c>
      <c r="C2806" s="4" t="n">
        <v>1279</v>
      </c>
      <c r="D2806" s="4" t="n">
        <v>386.8975</v>
      </c>
      <c r="E2806" s="5" t="n">
        <v>55.6</v>
      </c>
      <c r="F2806" s="3" t="inlineStr">
        <is>
          <t>연서면</t>
        </is>
      </c>
      <c r="G2806" s="3" t="inlineStr">
        <is>
          <t>청라리</t>
        </is>
      </c>
      <c r="H2806" s="3" t="inlineStr">
        <is>
          <t>생산관리지역</t>
        </is>
      </c>
      <c r="I2806" s="3" t="inlineStr">
        <is>
          <t>전</t>
        </is>
      </c>
      <c r="J2806" s="3" t="inlineStr">
        <is>
          <t>연서면</t>
        </is>
      </c>
    </row>
    <row r="2807">
      <c r="A2807" s="3" t="n">
        <v>2024</v>
      </c>
      <c r="B2807" s="4" t="n">
        <v>18000</v>
      </c>
      <c r="C2807" s="4" t="n">
        <v>737</v>
      </c>
      <c r="D2807" s="4" t="n">
        <v>222.9425</v>
      </c>
      <c r="E2807" s="5" t="n">
        <v>80.7</v>
      </c>
      <c r="F2807" s="3" t="inlineStr">
        <is>
          <t>연서면</t>
        </is>
      </c>
      <c r="G2807" s="3" t="inlineStr">
        <is>
          <t>용암리</t>
        </is>
      </c>
      <c r="H2807" s="3" t="inlineStr">
        <is>
          <t>농림지역</t>
        </is>
      </c>
      <c r="I2807" s="3" t="inlineStr">
        <is>
          <t>과수원</t>
        </is>
      </c>
      <c r="J2807" s="3" t="inlineStr">
        <is>
          <t>연서면</t>
        </is>
      </c>
    </row>
    <row r="2808">
      <c r="A2808" s="3" t="n">
        <v>2024</v>
      </c>
      <c r="B2808" s="4" t="n">
        <v>1378</v>
      </c>
      <c r="C2808" s="4" t="n">
        <v>23</v>
      </c>
      <c r="D2808" s="4" t="n">
        <v>6.9575</v>
      </c>
      <c r="E2808" s="5" t="n">
        <v>198.1</v>
      </c>
      <c r="F2808" s="3" t="inlineStr">
        <is>
          <t>조치원읍</t>
        </is>
      </c>
      <c r="G2808" s="3" t="inlineStr">
        <is>
          <t>신안리</t>
        </is>
      </c>
      <c r="H2808" s="3" t="inlineStr">
        <is>
          <t>자연녹지지역</t>
        </is>
      </c>
      <c r="I2808" s="3" t="inlineStr">
        <is>
          <t>양어장</t>
        </is>
      </c>
      <c r="J2808" s="3" t="inlineStr">
        <is>
          <t>조치원읍</t>
        </is>
      </c>
    </row>
    <row r="2809">
      <c r="A2809" s="3" t="n">
        <v>2024</v>
      </c>
      <c r="B2809" s="4" t="n">
        <v>180</v>
      </c>
      <c r="C2809" s="4" t="n">
        <v>3</v>
      </c>
      <c r="D2809" s="4" t="n">
        <v>0.9075</v>
      </c>
      <c r="E2809" s="5" t="n">
        <v>198.3</v>
      </c>
      <c r="F2809" s="3" t="inlineStr">
        <is>
          <t>조치원읍</t>
        </is>
      </c>
      <c r="G2809" s="3" t="inlineStr">
        <is>
          <t>신안리</t>
        </is>
      </c>
      <c r="H2809" s="3" t="inlineStr">
        <is>
          <t>자연녹지지역</t>
        </is>
      </c>
      <c r="I2809" s="3" t="inlineStr">
        <is>
          <t>양어장</t>
        </is>
      </c>
      <c r="J2809" s="3" t="inlineStr">
        <is>
          <t>조치원읍</t>
        </is>
      </c>
    </row>
    <row r="2810">
      <c r="A2810" s="3" t="n">
        <v>2024</v>
      </c>
      <c r="B2810" s="4" t="n">
        <v>1355</v>
      </c>
      <c r="C2810" s="4" t="n">
        <v>25</v>
      </c>
      <c r="D2810" s="4" t="n">
        <v>7.5625</v>
      </c>
      <c r="E2810" s="5" t="n">
        <v>179.2</v>
      </c>
      <c r="F2810" s="3" t="inlineStr">
        <is>
          <t>조치원읍</t>
        </is>
      </c>
      <c r="G2810" s="3" t="inlineStr">
        <is>
          <t>신안리</t>
        </is>
      </c>
      <c r="H2810" s="3" t="inlineStr">
        <is>
          <t>자연녹지지역</t>
        </is>
      </c>
      <c r="I2810" s="3" t="inlineStr">
        <is>
          <t>공원</t>
        </is>
      </c>
      <c r="J2810" s="3" t="inlineStr">
        <is>
          <t>조치원읍</t>
        </is>
      </c>
    </row>
    <row r="2811">
      <c r="A2811" s="3" t="n">
        <v>2024</v>
      </c>
      <c r="B2811" s="4" t="n">
        <v>20000</v>
      </c>
      <c r="C2811" s="4" t="n">
        <v>248</v>
      </c>
      <c r="D2811" s="4" t="n">
        <v>75.02</v>
      </c>
      <c r="E2811" s="5" t="n">
        <v>266.6</v>
      </c>
      <c r="F2811" s="3" t="inlineStr">
        <is>
          <t>조치원읍</t>
        </is>
      </c>
      <c r="G2811" s="3" t="inlineStr">
        <is>
          <t>교리</t>
        </is>
      </c>
      <c r="H2811" s="3" t="inlineStr">
        <is>
          <t>준주거지역</t>
        </is>
      </c>
      <c r="I2811" s="3" t="inlineStr">
        <is>
          <t>대</t>
        </is>
      </c>
      <c r="J2811" s="3" t="inlineStr">
        <is>
          <t>조치원읍</t>
        </is>
      </c>
    </row>
    <row r="2812">
      <c r="A2812" s="3" t="n">
        <v>2024</v>
      </c>
      <c r="B2812" s="4" t="n">
        <v>22824</v>
      </c>
      <c r="C2812" s="4" t="n">
        <v>503</v>
      </c>
      <c r="D2812" s="4" t="n">
        <v>152.1575</v>
      </c>
      <c r="E2812" s="5" t="n">
        <v>150</v>
      </c>
      <c r="F2812" s="3" t="inlineStr">
        <is>
          <t>연동면</t>
        </is>
      </c>
      <c r="G2812" s="3" t="inlineStr">
        <is>
          <t>내판리</t>
        </is>
      </c>
      <c r="H2812" s="3" t="inlineStr">
        <is>
          <t>보전관리지역</t>
        </is>
      </c>
      <c r="I2812" s="3" t="inlineStr">
        <is>
          <t>대</t>
        </is>
      </c>
      <c r="J2812" s="3" t="inlineStr">
        <is>
          <t>연동면</t>
        </is>
      </c>
    </row>
    <row r="2813">
      <c r="A2813" s="3" t="n">
        <v>2024</v>
      </c>
      <c r="B2813" s="4" t="n">
        <v>11661</v>
      </c>
      <c r="C2813" s="4" t="n">
        <v>257</v>
      </c>
      <c r="D2813" s="4" t="n">
        <v>77.74249999999999</v>
      </c>
      <c r="E2813" s="5" t="n">
        <v>150</v>
      </c>
      <c r="F2813" s="3" t="inlineStr">
        <is>
          <t>연동면</t>
        </is>
      </c>
      <c r="G2813" s="3" t="inlineStr">
        <is>
          <t>내판리</t>
        </is>
      </c>
      <c r="H2813" s="3" t="inlineStr">
        <is>
          <t>보전관리지역</t>
        </is>
      </c>
      <c r="I2813" s="3" t="inlineStr">
        <is>
          <t>공원</t>
        </is>
      </c>
      <c r="J2813" s="3" t="inlineStr">
        <is>
          <t>연동면</t>
        </is>
      </c>
    </row>
    <row r="2814">
      <c r="A2814" s="3" t="n">
        <v>2024</v>
      </c>
      <c r="B2814" s="4" t="n">
        <v>71000</v>
      </c>
      <c r="C2814" s="4" t="n">
        <v>385.5</v>
      </c>
      <c r="D2814" s="4" t="n">
        <v>116.61375</v>
      </c>
      <c r="E2814" s="5" t="n">
        <v>608.8</v>
      </c>
      <c r="F2814" s="3" t="inlineStr">
        <is>
          <t>고운동</t>
        </is>
      </c>
      <c r="G2814" s="3" t="inlineStr"/>
      <c r="H2814" s="3" t="inlineStr">
        <is>
          <t>제1종전용주거지역</t>
        </is>
      </c>
      <c r="I2814" s="3" t="inlineStr">
        <is>
          <t>대</t>
        </is>
      </c>
      <c r="J2814" s="3" t="inlineStr">
        <is>
          <t>고운동</t>
        </is>
      </c>
    </row>
    <row r="2815">
      <c r="A2815" s="3" t="n">
        <v>2023</v>
      </c>
      <c r="B2815" s="4" t="n">
        <v>35000</v>
      </c>
      <c r="C2815" s="4" t="n">
        <v>2255</v>
      </c>
      <c r="D2815" s="4" t="n">
        <v>682.1374999999999</v>
      </c>
      <c r="E2815" s="5" t="n">
        <v>51.3</v>
      </c>
      <c r="F2815" s="3" t="inlineStr">
        <is>
          <t>연동면</t>
        </is>
      </c>
      <c r="G2815" s="3" t="inlineStr">
        <is>
          <t>명학리</t>
        </is>
      </c>
      <c r="H2815" s="3" t="inlineStr">
        <is>
          <t>계획관리지역</t>
        </is>
      </c>
      <c r="I2815" s="3" t="inlineStr">
        <is>
          <t>임야</t>
        </is>
      </c>
      <c r="J2815" s="3" t="inlineStr">
        <is>
          <t>연동면</t>
        </is>
      </c>
    </row>
    <row r="2816">
      <c r="A2816" s="3" t="n">
        <v>2023</v>
      </c>
      <c r="B2816" s="4" t="n">
        <v>108000</v>
      </c>
      <c r="C2816" s="4" t="n">
        <v>1323</v>
      </c>
      <c r="D2816" s="4" t="n">
        <v>400.2075</v>
      </c>
      <c r="E2816" s="5" t="n">
        <v>269.9</v>
      </c>
      <c r="F2816" s="3" t="inlineStr">
        <is>
          <t>연서면</t>
        </is>
      </c>
      <c r="G2816" s="3" t="inlineStr">
        <is>
          <t>월하리</t>
        </is>
      </c>
      <c r="H2816" s="3" t="inlineStr">
        <is>
          <t>자연녹지지역</t>
        </is>
      </c>
      <c r="I2816" s="3" t="inlineStr">
        <is>
          <t>전</t>
        </is>
      </c>
      <c r="J2816" s="3" t="inlineStr">
        <is>
          <t>연서면</t>
        </is>
      </c>
    </row>
    <row r="2817">
      <c r="A2817" s="3" t="n">
        <v>2022</v>
      </c>
      <c r="B2817" s="4" t="n">
        <v>140000</v>
      </c>
      <c r="C2817" s="4" t="n">
        <v>11901</v>
      </c>
      <c r="D2817" s="4" t="n">
        <v>3600.0525</v>
      </c>
      <c r="E2817" s="5" t="n">
        <v>38.9</v>
      </c>
      <c r="F2817" s="3" t="inlineStr">
        <is>
          <t>연서면</t>
        </is>
      </c>
      <c r="G2817" s="3" t="inlineStr">
        <is>
          <t>신대리</t>
        </is>
      </c>
      <c r="H2817" s="3" t="inlineStr">
        <is>
          <t>보전관리지역</t>
        </is>
      </c>
      <c r="I2817" s="3" t="inlineStr">
        <is>
          <t>임야</t>
        </is>
      </c>
      <c r="J2817" s="3" t="inlineStr">
        <is>
          <t>연서면</t>
        </is>
      </c>
    </row>
    <row r="2818">
      <c r="A2818" s="3" t="n">
        <v>2022</v>
      </c>
      <c r="B2818" s="4" t="n">
        <v>7680</v>
      </c>
      <c r="C2818" s="4" t="n">
        <v>640</v>
      </c>
      <c r="D2818" s="4" t="n">
        <v>193.6</v>
      </c>
      <c r="E2818" s="5" t="n">
        <v>39.7</v>
      </c>
      <c r="F2818" s="3" t="inlineStr">
        <is>
          <t>연서면</t>
        </is>
      </c>
      <c r="G2818" s="3" t="inlineStr">
        <is>
          <t>와촌리</t>
        </is>
      </c>
      <c r="H2818" s="3" t="inlineStr">
        <is>
          <t>생산관리지역</t>
        </is>
      </c>
      <c r="I2818" s="3" t="inlineStr">
        <is>
          <t>전</t>
        </is>
      </c>
      <c r="J2818" s="3" t="inlineStr">
        <is>
          <t>연서면</t>
        </is>
      </c>
    </row>
    <row r="2819">
      <c r="A2819" s="3" t="n">
        <v>2022</v>
      </c>
      <c r="B2819" s="4" t="n">
        <v>7800</v>
      </c>
      <c r="C2819" s="4" t="n">
        <v>650</v>
      </c>
      <c r="D2819" s="4" t="n">
        <v>196.625</v>
      </c>
      <c r="E2819" s="5" t="n">
        <v>39.7</v>
      </c>
      <c r="F2819" s="3" t="inlineStr">
        <is>
          <t>연서면</t>
        </is>
      </c>
      <c r="G2819" s="3" t="inlineStr">
        <is>
          <t>와촌리</t>
        </is>
      </c>
      <c r="H2819" s="3" t="inlineStr">
        <is>
          <t>농림지역</t>
        </is>
      </c>
      <c r="I2819" s="3" t="inlineStr">
        <is>
          <t>답</t>
        </is>
      </c>
      <c r="J2819" s="3" t="inlineStr">
        <is>
          <t>연서면</t>
        </is>
      </c>
    </row>
    <row r="2820">
      <c r="A2820" s="3" t="n">
        <v>2022</v>
      </c>
      <c r="B2820" s="4" t="n">
        <v>1000</v>
      </c>
      <c r="C2820" s="4" t="n">
        <v>18</v>
      </c>
      <c r="D2820" s="4" t="n">
        <v>5.445</v>
      </c>
      <c r="E2820" s="5" t="n">
        <v>183.7</v>
      </c>
      <c r="F2820" s="3" t="inlineStr">
        <is>
          <t>부강면</t>
        </is>
      </c>
      <c r="G2820" s="3" t="inlineStr">
        <is>
          <t>행산리</t>
        </is>
      </c>
      <c r="H2820" s="3" t="inlineStr">
        <is>
          <t>계획관리지역</t>
        </is>
      </c>
      <c r="I2820" s="3" t="inlineStr">
        <is>
          <t>대</t>
        </is>
      </c>
      <c r="J2820" s="3" t="inlineStr">
        <is>
          <t>부강면</t>
        </is>
      </c>
    </row>
    <row r="2821">
      <c r="A2821" s="3" t="n">
        <v>2026</v>
      </c>
      <c r="B2821" s="4" t="n">
        <v>7000</v>
      </c>
      <c r="C2821" s="4" t="n">
        <v>1916</v>
      </c>
      <c r="D2821" s="4" t="n">
        <v>579.59</v>
      </c>
      <c r="E2821" s="5" t="n">
        <v>12.1</v>
      </c>
      <c r="F2821" s="3" t="inlineStr">
        <is>
          <t>조치원읍</t>
        </is>
      </c>
      <c r="G2821" s="3" t="inlineStr">
        <is>
          <t>봉산리</t>
        </is>
      </c>
      <c r="H2821" s="3" t="inlineStr">
        <is>
          <t>보전녹지지역</t>
        </is>
      </c>
      <c r="I2821" s="3" t="inlineStr">
        <is>
          <t>임야</t>
        </is>
      </c>
      <c r="J2821" s="3" t="inlineStr">
        <is>
          <t>조치원읍</t>
        </is>
      </c>
    </row>
    <row r="2822">
      <c r="A2822" s="3" t="n">
        <v>2026</v>
      </c>
      <c r="B2822" s="4" t="n">
        <v>24000</v>
      </c>
      <c r="C2822" s="4" t="n">
        <v>1653</v>
      </c>
      <c r="D2822" s="4" t="n">
        <v>500.0325</v>
      </c>
      <c r="E2822" s="5" t="n">
        <v>48</v>
      </c>
      <c r="F2822" s="3" t="inlineStr">
        <is>
          <t>부강면</t>
        </is>
      </c>
      <c r="G2822" s="3" t="inlineStr">
        <is>
          <t>노호리</t>
        </is>
      </c>
      <c r="H2822" s="3" t="inlineStr">
        <is>
          <t>보전관리지역</t>
        </is>
      </c>
      <c r="I2822" s="3" t="inlineStr">
        <is>
          <t>임야</t>
        </is>
      </c>
      <c r="J2822" s="3" t="inlineStr">
        <is>
          <t>부강면</t>
        </is>
      </c>
    </row>
    <row r="2823">
      <c r="A2823" s="3" t="n">
        <v>2026</v>
      </c>
      <c r="B2823" s="4" t="n">
        <v>175</v>
      </c>
      <c r="C2823" s="4" t="n">
        <v>2</v>
      </c>
      <c r="D2823" s="4" t="n">
        <v>0.605</v>
      </c>
      <c r="E2823" s="5" t="n">
        <v>289.3</v>
      </c>
      <c r="F2823" s="3" t="inlineStr">
        <is>
          <t>연서면</t>
        </is>
      </c>
      <c r="G2823" s="3" t="inlineStr">
        <is>
          <t>월하리</t>
        </is>
      </c>
      <c r="H2823" s="3" t="inlineStr">
        <is>
          <t>계획관리지역</t>
        </is>
      </c>
      <c r="I2823" s="3" t="inlineStr">
        <is>
          <t>답</t>
        </is>
      </c>
      <c r="J2823" s="3" t="inlineStr">
        <is>
          <t>연서면</t>
        </is>
      </c>
    </row>
    <row r="2824">
      <c r="A2824" s="3" t="n">
        <v>2026</v>
      </c>
      <c r="B2824" s="4" t="n">
        <v>87500</v>
      </c>
      <c r="C2824" s="4" t="n">
        <v>1000</v>
      </c>
      <c r="D2824" s="4" t="n">
        <v>302.5</v>
      </c>
      <c r="E2824" s="5" t="n">
        <v>289.3</v>
      </c>
      <c r="F2824" s="3" t="inlineStr">
        <is>
          <t>연서면</t>
        </is>
      </c>
      <c r="G2824" s="3" t="inlineStr">
        <is>
          <t>월하리</t>
        </is>
      </c>
      <c r="H2824" s="3" t="inlineStr">
        <is>
          <t>계획관리지역</t>
        </is>
      </c>
      <c r="I2824" s="3" t="inlineStr">
        <is>
          <t>답</t>
        </is>
      </c>
      <c r="J2824" s="3" t="inlineStr">
        <is>
          <t>연서면</t>
        </is>
      </c>
    </row>
    <row r="2825">
      <c r="A2825" s="3" t="n">
        <v>2026</v>
      </c>
      <c r="B2825" s="4" t="n">
        <v>52360</v>
      </c>
      <c r="C2825" s="4" t="n">
        <v>1018</v>
      </c>
      <c r="D2825" s="4" t="n">
        <v>307.945</v>
      </c>
      <c r="E2825" s="5" t="n">
        <v>170</v>
      </c>
      <c r="F2825" s="3" t="inlineStr">
        <is>
          <t>연서면</t>
        </is>
      </c>
      <c r="G2825" s="3" t="inlineStr">
        <is>
          <t>와촌리</t>
        </is>
      </c>
      <c r="H2825" s="3" t="inlineStr">
        <is>
          <t>계획관리지역</t>
        </is>
      </c>
      <c r="I2825" s="3" t="inlineStr">
        <is>
          <t>전</t>
        </is>
      </c>
      <c r="J2825" s="3" t="inlineStr">
        <is>
          <t>연서면</t>
        </is>
      </c>
    </row>
    <row r="2826">
      <c r="A2826" s="3" t="n">
        <v>2026</v>
      </c>
      <c r="B2826" s="4" t="n">
        <v>64000</v>
      </c>
      <c r="C2826" s="4" t="n">
        <v>4243</v>
      </c>
      <c r="D2826" s="4" t="n">
        <v>1283.5075</v>
      </c>
      <c r="E2826" s="5" t="n">
        <v>49.9</v>
      </c>
      <c r="F2826" s="3" t="inlineStr">
        <is>
          <t>연서면</t>
        </is>
      </c>
      <c r="G2826" s="3" t="inlineStr">
        <is>
          <t>쌍류리</t>
        </is>
      </c>
      <c r="H2826" s="3" t="inlineStr">
        <is>
          <t>생산관리지역</t>
        </is>
      </c>
      <c r="I2826" s="3" t="inlineStr">
        <is>
          <t>과수원</t>
        </is>
      </c>
      <c r="J2826" s="3" t="inlineStr">
        <is>
          <t>연서면</t>
        </is>
      </c>
    </row>
    <row r="2827">
      <c r="A2827" s="3" t="n">
        <v>2026</v>
      </c>
      <c r="B2827" s="4" t="n">
        <v>62383</v>
      </c>
      <c r="C2827" s="4" t="n">
        <v>405.4</v>
      </c>
      <c r="D2827" s="4" t="n">
        <v>122.6335</v>
      </c>
      <c r="E2827" s="5" t="n">
        <v>508.7</v>
      </c>
      <c r="F2827" s="3" t="inlineStr">
        <is>
          <t>고운동</t>
        </is>
      </c>
      <c r="G2827" s="3" t="inlineStr"/>
      <c r="H2827" s="3" t="inlineStr">
        <is>
          <t>제1종전용주거지역</t>
        </is>
      </c>
      <c r="I2827" s="3" t="inlineStr">
        <is>
          <t>대</t>
        </is>
      </c>
      <c r="J2827" s="3" t="inlineStr">
        <is>
          <t>고운동</t>
        </is>
      </c>
    </row>
    <row r="2828">
      <c r="A2828" s="3" t="n">
        <v>2024</v>
      </c>
      <c r="B2828" s="4" t="n">
        <v>14870</v>
      </c>
      <c r="C2828" s="4" t="n">
        <v>228</v>
      </c>
      <c r="D2828" s="4" t="n">
        <v>68.97</v>
      </c>
      <c r="E2828" s="5" t="n">
        <v>215.6</v>
      </c>
      <c r="F2828" s="3" t="inlineStr">
        <is>
          <t>연서면</t>
        </is>
      </c>
      <c r="G2828" s="3" t="inlineStr">
        <is>
          <t>월하리</t>
        </is>
      </c>
      <c r="H2828" s="3" t="inlineStr">
        <is>
          <t>자연녹지지역</t>
        </is>
      </c>
      <c r="I2828" s="3" t="inlineStr">
        <is>
          <t>전</t>
        </is>
      </c>
      <c r="J2828" s="3" t="inlineStr">
        <is>
          <t>연서면</t>
        </is>
      </c>
    </row>
    <row r="2829">
      <c r="A2829" s="3" t="n">
        <v>2024</v>
      </c>
      <c r="B2829" s="4" t="n">
        <v>68130</v>
      </c>
      <c r="C2829" s="4" t="n">
        <v>1045</v>
      </c>
      <c r="D2829" s="4" t="n">
        <v>316.1125</v>
      </c>
      <c r="E2829" s="5" t="n">
        <v>215.5</v>
      </c>
      <c r="F2829" s="3" t="inlineStr">
        <is>
          <t>연서면</t>
        </is>
      </c>
      <c r="G2829" s="3" t="inlineStr">
        <is>
          <t>월하리</t>
        </is>
      </c>
      <c r="H2829" s="3" t="inlineStr">
        <is>
          <t>자연녹지지역</t>
        </is>
      </c>
      <c r="I2829" s="3" t="inlineStr">
        <is>
          <t>전</t>
        </is>
      </c>
      <c r="J2829" s="3" t="inlineStr">
        <is>
          <t>연서면</t>
        </is>
      </c>
    </row>
    <row r="2830">
      <c r="A2830" s="3" t="n">
        <v>2024</v>
      </c>
      <c r="B2830" s="4" t="n">
        <v>22000</v>
      </c>
      <c r="C2830" s="4" t="n">
        <v>1094</v>
      </c>
      <c r="D2830" s="4" t="n">
        <v>330.935</v>
      </c>
      <c r="E2830" s="5" t="n">
        <v>66.5</v>
      </c>
      <c r="F2830" s="3" t="inlineStr">
        <is>
          <t>연동면</t>
        </is>
      </c>
      <c r="G2830" s="3" t="inlineStr">
        <is>
          <t>응암리</t>
        </is>
      </c>
      <c r="H2830" s="3" t="inlineStr">
        <is>
          <t>계획관리지역</t>
        </is>
      </c>
      <c r="I2830" s="3" t="inlineStr">
        <is>
          <t>전</t>
        </is>
      </c>
      <c r="J2830" s="3" t="inlineStr">
        <is>
          <t>연동면</t>
        </is>
      </c>
    </row>
    <row r="2831">
      <c r="A2831" s="3" t="n">
        <v>2024</v>
      </c>
      <c r="B2831" s="4" t="n">
        <v>30000</v>
      </c>
      <c r="C2831" s="4" t="n">
        <v>344</v>
      </c>
      <c r="D2831" s="4" t="n">
        <v>104.06</v>
      </c>
      <c r="E2831" s="5" t="n">
        <v>288.3</v>
      </c>
      <c r="F2831" s="3" t="inlineStr">
        <is>
          <t>조치원읍</t>
        </is>
      </c>
      <c r="G2831" s="3" t="inlineStr">
        <is>
          <t>신안리</t>
        </is>
      </c>
      <c r="H2831" s="3" t="inlineStr">
        <is>
          <t>제1종일반주거지역</t>
        </is>
      </c>
      <c r="I2831" s="3" t="inlineStr">
        <is>
          <t>대</t>
        </is>
      </c>
      <c r="J2831" s="3" t="inlineStr">
        <is>
          <t>조치원읍</t>
        </is>
      </c>
    </row>
    <row r="2832">
      <c r="A2832" s="3" t="n">
        <v>2024</v>
      </c>
      <c r="B2832" s="4" t="n">
        <v>30000</v>
      </c>
      <c r="C2832" s="4" t="n">
        <v>280</v>
      </c>
      <c r="D2832" s="4" t="n">
        <v>84.7</v>
      </c>
      <c r="E2832" s="5" t="n">
        <v>354.2</v>
      </c>
      <c r="F2832" s="3" t="inlineStr">
        <is>
          <t>조치원읍</t>
        </is>
      </c>
      <c r="G2832" s="3" t="inlineStr">
        <is>
          <t>신안리</t>
        </is>
      </c>
      <c r="H2832" s="3" t="inlineStr">
        <is>
          <t>제1종일반주거지역</t>
        </is>
      </c>
      <c r="I2832" s="3" t="inlineStr">
        <is>
          <t>대</t>
        </is>
      </c>
      <c r="J2832" s="3" t="inlineStr">
        <is>
          <t>조치원읍</t>
        </is>
      </c>
    </row>
    <row r="2833">
      <c r="A2833" s="3" t="n">
        <v>2025</v>
      </c>
      <c r="B2833" s="4" t="n">
        <v>1500</v>
      </c>
      <c r="C2833" s="4" t="n">
        <v>165</v>
      </c>
      <c r="D2833" s="4" t="n">
        <v>49.9125</v>
      </c>
      <c r="E2833" s="5" t="n">
        <v>30.1</v>
      </c>
      <c r="F2833" s="3" t="inlineStr">
        <is>
          <t>연서면</t>
        </is>
      </c>
      <c r="G2833" s="3" t="inlineStr">
        <is>
          <t>고복리</t>
        </is>
      </c>
      <c r="H2833" s="3" t="inlineStr">
        <is>
          <t>생산관리지역</t>
        </is>
      </c>
      <c r="I2833" s="3" t="inlineStr">
        <is>
          <t>전</t>
        </is>
      </c>
      <c r="J2833" s="3" t="inlineStr">
        <is>
          <t>연서면</t>
        </is>
      </c>
    </row>
    <row r="2834">
      <c r="A2834" s="3" t="n">
        <v>2025</v>
      </c>
      <c r="B2834" s="4" t="n">
        <v>1500</v>
      </c>
      <c r="C2834" s="4" t="n">
        <v>165</v>
      </c>
      <c r="D2834" s="4" t="n">
        <v>49.9125</v>
      </c>
      <c r="E2834" s="5" t="n">
        <v>30.1</v>
      </c>
      <c r="F2834" s="3" t="inlineStr">
        <is>
          <t>연서면</t>
        </is>
      </c>
      <c r="G2834" s="3" t="inlineStr">
        <is>
          <t>고복리</t>
        </is>
      </c>
      <c r="H2834" s="3" t="inlineStr">
        <is>
          <t>생산관리지역</t>
        </is>
      </c>
      <c r="I2834" s="3" t="inlineStr">
        <is>
          <t>과수원</t>
        </is>
      </c>
      <c r="J2834" s="3" t="inlineStr">
        <is>
          <t>연서면</t>
        </is>
      </c>
    </row>
    <row r="2835">
      <c r="A2835" s="3" t="n">
        <v>2025</v>
      </c>
      <c r="B2835" s="4" t="n">
        <v>5280</v>
      </c>
      <c r="C2835" s="4" t="n">
        <v>88</v>
      </c>
      <c r="D2835" s="4" t="n">
        <v>26.62</v>
      </c>
      <c r="E2835" s="5" t="n">
        <v>198.3</v>
      </c>
      <c r="F2835" s="3" t="inlineStr">
        <is>
          <t>연서면</t>
        </is>
      </c>
      <c r="G2835" s="3" t="inlineStr">
        <is>
          <t>쌍전리</t>
        </is>
      </c>
      <c r="H2835" s="3" t="inlineStr">
        <is>
          <t>자연녹지지역</t>
        </is>
      </c>
      <c r="I2835" s="3" t="inlineStr">
        <is>
          <t>잡종지</t>
        </is>
      </c>
      <c r="J2835" s="3" t="inlineStr">
        <is>
          <t>연서면</t>
        </is>
      </c>
    </row>
    <row r="2836">
      <c r="A2836" s="3" t="n">
        <v>2025</v>
      </c>
      <c r="B2836" s="4" t="n">
        <v>4720</v>
      </c>
      <c r="C2836" s="4" t="n">
        <v>78</v>
      </c>
      <c r="D2836" s="4" t="n">
        <v>23.595</v>
      </c>
      <c r="E2836" s="5" t="n">
        <v>200</v>
      </c>
      <c r="F2836" s="3" t="inlineStr">
        <is>
          <t>연서면</t>
        </is>
      </c>
      <c r="G2836" s="3" t="inlineStr">
        <is>
          <t>쌍전리</t>
        </is>
      </c>
      <c r="H2836" s="3" t="inlineStr">
        <is>
          <t>자연녹지지역</t>
        </is>
      </c>
      <c r="I2836" s="3" t="inlineStr">
        <is>
          <t>잡종지</t>
        </is>
      </c>
      <c r="J2836" s="3" t="inlineStr">
        <is>
          <t>연서면</t>
        </is>
      </c>
    </row>
    <row r="2837">
      <c r="A2837" s="3" t="n">
        <v>2025</v>
      </c>
      <c r="B2837" s="4" t="n">
        <v>13700</v>
      </c>
      <c r="C2837" s="4" t="n">
        <v>1372</v>
      </c>
      <c r="D2837" s="4" t="n">
        <v>415.03</v>
      </c>
      <c r="E2837" s="5" t="n">
        <v>33</v>
      </c>
      <c r="F2837" s="3" t="inlineStr">
        <is>
          <t>연서면</t>
        </is>
      </c>
      <c r="G2837" s="3" t="inlineStr">
        <is>
          <t>기룡리</t>
        </is>
      </c>
      <c r="H2837" s="3" t="inlineStr">
        <is>
          <t>생산관리지역</t>
        </is>
      </c>
      <c r="I2837" s="3" t="inlineStr">
        <is>
          <t>전</t>
        </is>
      </c>
      <c r="J2837" s="3" t="inlineStr">
        <is>
          <t>연서면</t>
        </is>
      </c>
    </row>
    <row r="2838">
      <c r="A2838" s="3" t="n">
        <v>2025</v>
      </c>
      <c r="B2838" s="4" t="n">
        <v>7800</v>
      </c>
      <c r="C2838" s="4" t="n">
        <v>783</v>
      </c>
      <c r="D2838" s="4" t="n">
        <v>236.8575</v>
      </c>
      <c r="E2838" s="5" t="n">
        <v>32.9</v>
      </c>
      <c r="F2838" s="3" t="inlineStr">
        <is>
          <t>연서면</t>
        </is>
      </c>
      <c r="G2838" s="3" t="inlineStr">
        <is>
          <t>기룡리</t>
        </is>
      </c>
      <c r="H2838" s="3" t="inlineStr">
        <is>
          <t>생산관리지역</t>
        </is>
      </c>
      <c r="I2838" s="3" t="inlineStr">
        <is>
          <t>전</t>
        </is>
      </c>
      <c r="J2838" s="3" t="inlineStr">
        <is>
          <t>연서면</t>
        </is>
      </c>
    </row>
    <row r="2839">
      <c r="A2839" s="3" t="n">
        <v>2024</v>
      </c>
      <c r="B2839" s="4" t="n">
        <v>16900</v>
      </c>
      <c r="C2839" s="4" t="n">
        <v>187</v>
      </c>
      <c r="D2839" s="4" t="n">
        <v>56.5675</v>
      </c>
      <c r="E2839" s="5" t="n">
        <v>298.8</v>
      </c>
      <c r="F2839" s="3" t="inlineStr">
        <is>
          <t>연동면</t>
        </is>
      </c>
      <c r="G2839" s="3" t="inlineStr">
        <is>
          <t>문주리</t>
        </is>
      </c>
      <c r="H2839" s="3" t="inlineStr">
        <is>
          <t>계획관리지역</t>
        </is>
      </c>
      <c r="I2839" s="3" t="inlineStr">
        <is>
          <t>전</t>
        </is>
      </c>
      <c r="J2839" s="3" t="inlineStr">
        <is>
          <t>연동면</t>
        </is>
      </c>
    </row>
    <row r="2840">
      <c r="A2840" s="3" t="n">
        <v>2024</v>
      </c>
      <c r="B2840" s="4" t="n">
        <v>2700</v>
      </c>
      <c r="C2840" s="4" t="n">
        <v>99</v>
      </c>
      <c r="D2840" s="4" t="n">
        <v>29.9475</v>
      </c>
      <c r="E2840" s="5" t="n">
        <v>90.2</v>
      </c>
      <c r="F2840" s="3" t="inlineStr">
        <is>
          <t>연동면</t>
        </is>
      </c>
      <c r="G2840" s="3" t="inlineStr">
        <is>
          <t>문주리</t>
        </is>
      </c>
      <c r="H2840" s="3" t="inlineStr">
        <is>
          <t>보전관리지역</t>
        </is>
      </c>
      <c r="I2840" s="3" t="inlineStr">
        <is>
          <t>과수원</t>
        </is>
      </c>
      <c r="J2840" s="3" t="inlineStr">
        <is>
          <t>연동면</t>
        </is>
      </c>
    </row>
    <row r="2841">
      <c r="A2841" s="3" t="n">
        <v>2024</v>
      </c>
      <c r="B2841" s="4" t="n">
        <v>2100</v>
      </c>
      <c r="C2841" s="4" t="n">
        <v>78</v>
      </c>
      <c r="D2841" s="4" t="n">
        <v>23.595</v>
      </c>
      <c r="E2841" s="5" t="n">
        <v>89</v>
      </c>
      <c r="F2841" s="3" t="inlineStr">
        <is>
          <t>연동면</t>
        </is>
      </c>
      <c r="G2841" s="3" t="inlineStr">
        <is>
          <t>문주리</t>
        </is>
      </c>
      <c r="H2841" s="3" t="inlineStr">
        <is>
          <t>보전관리지역</t>
        </is>
      </c>
      <c r="I2841" s="3" t="inlineStr">
        <is>
          <t>과수원</t>
        </is>
      </c>
      <c r="J2841" s="3" t="inlineStr">
        <is>
          <t>연동면</t>
        </is>
      </c>
    </row>
    <row r="2842">
      <c r="A2842" s="3" t="n">
        <v>2024</v>
      </c>
      <c r="B2842" s="4" t="n">
        <v>50000</v>
      </c>
      <c r="C2842" s="4" t="n">
        <v>331.9</v>
      </c>
      <c r="D2842" s="4" t="n">
        <v>100.39975</v>
      </c>
      <c r="E2842" s="5" t="n">
        <v>498</v>
      </c>
      <c r="F2842" s="3" t="inlineStr">
        <is>
          <t>고운동</t>
        </is>
      </c>
      <c r="G2842" s="3" t="inlineStr"/>
      <c r="H2842" s="3" t="inlineStr">
        <is>
          <t>제1종전용주거지역</t>
        </is>
      </c>
      <c r="I2842" s="3" t="inlineStr">
        <is>
          <t>대</t>
        </is>
      </c>
      <c r="J2842" s="3" t="inlineStr">
        <is>
          <t>고운동</t>
        </is>
      </c>
    </row>
    <row r="2843">
      <c r="A2843" s="3" t="n">
        <v>2024</v>
      </c>
      <c r="B2843" s="4" t="n">
        <v>5200</v>
      </c>
      <c r="C2843" s="4" t="n">
        <v>139</v>
      </c>
      <c r="D2843" s="4" t="n">
        <v>42.0475</v>
      </c>
      <c r="E2843" s="5" t="n">
        <v>123.7</v>
      </c>
      <c r="F2843" s="3" t="inlineStr">
        <is>
          <t>연서면</t>
        </is>
      </c>
      <c r="G2843" s="3" t="inlineStr">
        <is>
          <t>봉암리</t>
        </is>
      </c>
      <c r="H2843" s="3" t="inlineStr">
        <is>
          <t>계획관리지역</t>
        </is>
      </c>
      <c r="I2843" s="3" t="inlineStr">
        <is>
          <t>대</t>
        </is>
      </c>
      <c r="J2843" s="3" t="inlineStr">
        <is>
          <t>연서면</t>
        </is>
      </c>
    </row>
    <row r="2844">
      <c r="A2844" s="3" t="n">
        <v>2024</v>
      </c>
      <c r="B2844" s="4" t="n">
        <v>55000</v>
      </c>
      <c r="C2844" s="4" t="n">
        <v>353.6</v>
      </c>
      <c r="D2844" s="4" t="n">
        <v>106.964</v>
      </c>
      <c r="E2844" s="5" t="n">
        <v>514.2</v>
      </c>
      <c r="F2844" s="3" t="inlineStr">
        <is>
          <t>고운동</t>
        </is>
      </c>
      <c r="G2844" s="3" t="inlineStr"/>
      <c r="H2844" s="3" t="inlineStr">
        <is>
          <t>제1종전용주거지역</t>
        </is>
      </c>
      <c r="I2844" s="3" t="inlineStr">
        <is>
          <t>대</t>
        </is>
      </c>
      <c r="J2844" s="3" t="inlineStr">
        <is>
          <t>고운동</t>
        </is>
      </c>
    </row>
    <row r="2845">
      <c r="A2845" s="3" t="n">
        <v>2024</v>
      </c>
      <c r="B2845" s="4" t="n">
        <v>22500</v>
      </c>
      <c r="C2845" s="4" t="n">
        <v>163</v>
      </c>
      <c r="D2845" s="4" t="n">
        <v>49.3075</v>
      </c>
      <c r="E2845" s="5" t="n">
        <v>456.3</v>
      </c>
      <c r="F2845" s="3" t="inlineStr">
        <is>
          <t>반곡동</t>
        </is>
      </c>
      <c r="G2845" s="3" t="inlineStr"/>
      <c r="H2845" s="3" t="inlineStr">
        <is>
          <t>제1종전용주거지역</t>
        </is>
      </c>
      <c r="I2845" s="3" t="inlineStr">
        <is>
          <t>대</t>
        </is>
      </c>
      <c r="J2845" s="3" t="inlineStr">
        <is>
          <t>반곡동</t>
        </is>
      </c>
    </row>
    <row r="2846">
      <c r="A2846" s="3" t="n">
        <v>2024</v>
      </c>
      <c r="B2846" s="4" t="n">
        <v>122390</v>
      </c>
      <c r="C2846" s="4" t="n">
        <v>2749</v>
      </c>
      <c r="D2846" s="4" t="n">
        <v>831.5725</v>
      </c>
      <c r="E2846" s="5" t="n">
        <v>147.2</v>
      </c>
      <c r="F2846" s="3" t="inlineStr">
        <is>
          <t>연서면</t>
        </is>
      </c>
      <c r="G2846" s="3" t="inlineStr">
        <is>
          <t>와촌리</t>
        </is>
      </c>
      <c r="H2846" s="3" t="inlineStr">
        <is>
          <t>계획관리지역</t>
        </is>
      </c>
      <c r="I2846" s="3" t="inlineStr">
        <is>
          <t>과수원</t>
        </is>
      </c>
      <c r="J2846" s="3" t="inlineStr">
        <is>
          <t>연서면</t>
        </is>
      </c>
    </row>
    <row r="2847">
      <c r="A2847" s="3" t="n">
        <v>2024</v>
      </c>
      <c r="B2847" s="4" t="n">
        <v>2000</v>
      </c>
      <c r="C2847" s="4" t="n">
        <v>28</v>
      </c>
      <c r="D2847" s="4" t="n">
        <v>8.469999999999999</v>
      </c>
      <c r="E2847" s="5" t="n">
        <v>236.1</v>
      </c>
      <c r="F2847" s="3" t="inlineStr">
        <is>
          <t>조치원읍</t>
        </is>
      </c>
      <c r="G2847" s="3" t="inlineStr">
        <is>
          <t>신안리</t>
        </is>
      </c>
      <c r="H2847" s="3" t="inlineStr">
        <is>
          <t>제2종일반주거지역</t>
        </is>
      </c>
      <c r="I2847" s="3" t="inlineStr">
        <is>
          <t>제방</t>
        </is>
      </c>
      <c r="J2847" s="3" t="inlineStr">
        <is>
          <t>조치원읍</t>
        </is>
      </c>
    </row>
    <row r="2848">
      <c r="A2848" s="3" t="n">
        <v>2024</v>
      </c>
      <c r="B2848" s="4" t="n">
        <v>9000</v>
      </c>
      <c r="C2848" s="4" t="n">
        <v>83</v>
      </c>
      <c r="D2848" s="4" t="n">
        <v>25.1075</v>
      </c>
      <c r="E2848" s="5" t="n">
        <v>358.5</v>
      </c>
      <c r="F2848" s="3" t="inlineStr">
        <is>
          <t>조치원읍</t>
        </is>
      </c>
      <c r="G2848" s="3" t="inlineStr">
        <is>
          <t>신안리</t>
        </is>
      </c>
      <c r="H2848" s="3" t="inlineStr">
        <is>
          <t>제2종일반주거지역</t>
        </is>
      </c>
      <c r="I2848" s="3" t="inlineStr">
        <is>
          <t>대</t>
        </is>
      </c>
      <c r="J2848" s="3" t="inlineStr">
        <is>
          <t>조치원읍</t>
        </is>
      </c>
    </row>
    <row r="2849">
      <c r="A2849" s="3" t="n">
        <v>2024</v>
      </c>
      <c r="B2849" s="4" t="n">
        <v>9120</v>
      </c>
      <c r="C2849" s="4" t="n">
        <v>754</v>
      </c>
      <c r="D2849" s="4" t="n">
        <v>228.085</v>
      </c>
      <c r="E2849" s="5" t="n">
        <v>40</v>
      </c>
      <c r="F2849" s="3" t="inlineStr">
        <is>
          <t>부강면</t>
        </is>
      </c>
      <c r="G2849" s="3" t="inlineStr">
        <is>
          <t>노호리</t>
        </is>
      </c>
      <c r="H2849" s="3" t="inlineStr">
        <is>
          <t>계획관리지역</t>
        </is>
      </c>
      <c r="I2849" s="3" t="inlineStr">
        <is>
          <t>전</t>
        </is>
      </c>
      <c r="J2849" s="3" t="inlineStr">
        <is>
          <t>부강면</t>
        </is>
      </c>
    </row>
    <row r="2850">
      <c r="A2850" s="3" t="n">
        <v>2024</v>
      </c>
      <c r="B2850" s="4" t="n">
        <v>3506</v>
      </c>
      <c r="C2850" s="4" t="n">
        <v>68</v>
      </c>
      <c r="D2850" s="4" t="n">
        <v>20.57</v>
      </c>
      <c r="E2850" s="5" t="n">
        <v>170.4</v>
      </c>
      <c r="F2850" s="3" t="inlineStr">
        <is>
          <t>조치원읍</t>
        </is>
      </c>
      <c r="G2850" s="3" t="inlineStr">
        <is>
          <t>봉산리</t>
        </is>
      </c>
      <c r="H2850" s="3" t="inlineStr">
        <is>
          <t>자연녹지지역</t>
        </is>
      </c>
      <c r="I2850" s="3" t="inlineStr">
        <is>
          <t>답</t>
        </is>
      </c>
      <c r="J2850" s="3" t="inlineStr">
        <is>
          <t>조치원읍</t>
        </is>
      </c>
    </row>
    <row r="2851">
      <c r="A2851" s="3" t="n">
        <v>2024</v>
      </c>
      <c r="B2851" s="4" t="n">
        <v>45000</v>
      </c>
      <c r="C2851" s="4" t="n">
        <v>769</v>
      </c>
      <c r="D2851" s="4" t="n">
        <v>232.6225</v>
      </c>
      <c r="E2851" s="5" t="n">
        <v>193.4</v>
      </c>
      <c r="F2851" s="3" t="inlineStr">
        <is>
          <t>연서면</t>
        </is>
      </c>
      <c r="G2851" s="3" t="inlineStr">
        <is>
          <t>와촌리</t>
        </is>
      </c>
      <c r="H2851" s="3" t="inlineStr">
        <is>
          <t>생산관리지역</t>
        </is>
      </c>
      <c r="I2851" s="3" t="inlineStr">
        <is>
          <t>답</t>
        </is>
      </c>
      <c r="J2851" s="3" t="inlineStr">
        <is>
          <t>연서면</t>
        </is>
      </c>
    </row>
    <row r="2852">
      <c r="A2852" s="3" t="n">
        <v>2024</v>
      </c>
      <c r="B2852" s="4" t="n">
        <v>5000</v>
      </c>
      <c r="C2852" s="4" t="n">
        <v>119</v>
      </c>
      <c r="D2852" s="4" t="n">
        <v>35.9975</v>
      </c>
      <c r="E2852" s="5" t="n">
        <v>138.9</v>
      </c>
      <c r="F2852" s="3" t="inlineStr">
        <is>
          <t>연서면</t>
        </is>
      </c>
      <c r="G2852" s="3" t="inlineStr">
        <is>
          <t>와촌리</t>
        </is>
      </c>
      <c r="H2852" s="3" t="inlineStr">
        <is>
          <t>생산관리지역</t>
        </is>
      </c>
      <c r="I2852" s="3" t="inlineStr">
        <is>
          <t>답</t>
        </is>
      </c>
      <c r="J2852" s="3" t="inlineStr">
        <is>
          <t>연서면</t>
        </is>
      </c>
    </row>
    <row r="2853">
      <c r="A2853" s="3" t="n">
        <v>2023</v>
      </c>
      <c r="B2853" s="4" t="n">
        <v>4000</v>
      </c>
      <c r="C2853" s="4" t="n">
        <v>66</v>
      </c>
      <c r="D2853" s="4" t="n">
        <v>19.965</v>
      </c>
      <c r="E2853" s="5" t="n">
        <v>200.4</v>
      </c>
      <c r="F2853" s="3" t="inlineStr">
        <is>
          <t>부강면</t>
        </is>
      </c>
      <c r="G2853" s="3" t="inlineStr">
        <is>
          <t>금호리</t>
        </is>
      </c>
      <c r="H2853" s="3" t="inlineStr">
        <is>
          <t>보전관리지역</t>
        </is>
      </c>
      <c r="I2853" s="3" t="inlineStr">
        <is>
          <t>전</t>
        </is>
      </c>
      <c r="J2853" s="3" t="inlineStr">
        <is>
          <t>부강면</t>
        </is>
      </c>
    </row>
    <row r="2854">
      <c r="A2854" s="3" t="n">
        <v>2023</v>
      </c>
      <c r="B2854" s="4" t="n">
        <v>64000</v>
      </c>
      <c r="C2854" s="4" t="n">
        <v>1970</v>
      </c>
      <c r="D2854" s="4" t="n">
        <v>595.925</v>
      </c>
      <c r="E2854" s="5" t="n">
        <v>107.4</v>
      </c>
      <c r="F2854" s="3" t="inlineStr">
        <is>
          <t>연서면</t>
        </is>
      </c>
      <c r="G2854" s="3" t="inlineStr">
        <is>
          <t>성제리</t>
        </is>
      </c>
      <c r="H2854" s="3" t="inlineStr">
        <is>
          <t>농림지역</t>
        </is>
      </c>
      <c r="I2854" s="3" t="inlineStr">
        <is>
          <t>답</t>
        </is>
      </c>
      <c r="J2854" s="3" t="inlineStr">
        <is>
          <t>연서면</t>
        </is>
      </c>
    </row>
    <row r="2855">
      <c r="A2855" s="3" t="n">
        <v>2022</v>
      </c>
      <c r="B2855" s="4" t="n">
        <v>2540</v>
      </c>
      <c r="C2855" s="4" t="n">
        <v>1159</v>
      </c>
      <c r="D2855" s="4" t="n">
        <v>350.5975</v>
      </c>
      <c r="E2855" s="5" t="n">
        <v>7.2</v>
      </c>
      <c r="F2855" s="3" t="inlineStr">
        <is>
          <t>부강면</t>
        </is>
      </c>
      <c r="G2855" s="3" t="inlineStr">
        <is>
          <t>부강리</t>
        </is>
      </c>
      <c r="H2855" s="3" t="inlineStr">
        <is>
          <t>농림지역</t>
        </is>
      </c>
      <c r="I2855" s="3" t="inlineStr">
        <is>
          <t>임야</t>
        </is>
      </c>
      <c r="J2855" s="3" t="inlineStr">
        <is>
          <t>부강면</t>
        </is>
      </c>
    </row>
    <row r="2856">
      <c r="A2856" s="3" t="n">
        <v>2024</v>
      </c>
      <c r="B2856" s="4" t="n">
        <v>55500</v>
      </c>
      <c r="C2856" s="4" t="n">
        <v>415.6</v>
      </c>
      <c r="D2856" s="4" t="n">
        <v>125.719</v>
      </c>
      <c r="E2856" s="5" t="n">
        <v>441.5</v>
      </c>
      <c r="F2856" s="3" t="inlineStr">
        <is>
          <t>조치원읍</t>
        </is>
      </c>
      <c r="G2856" s="3" t="inlineStr">
        <is>
          <t>서창리</t>
        </is>
      </c>
      <c r="H2856" s="3" t="inlineStr">
        <is>
          <t>제2종일반주거지역</t>
        </is>
      </c>
      <c r="I2856" s="3" t="inlineStr">
        <is>
          <t>대</t>
        </is>
      </c>
      <c r="J2856" s="3" t="inlineStr">
        <is>
          <t>조치원읍</t>
        </is>
      </c>
    </row>
    <row r="2857">
      <c r="A2857" s="3" t="n">
        <v>2024</v>
      </c>
      <c r="B2857" s="4" t="n">
        <v>50000</v>
      </c>
      <c r="C2857" s="4" t="n">
        <v>896</v>
      </c>
      <c r="D2857" s="4" t="n">
        <v>271.04</v>
      </c>
      <c r="E2857" s="5" t="n">
        <v>184.5</v>
      </c>
      <c r="F2857" s="3" t="inlineStr">
        <is>
          <t>부강면</t>
        </is>
      </c>
      <c r="G2857" s="3" t="inlineStr">
        <is>
          <t>산수리</t>
        </is>
      </c>
      <c r="H2857" s="3" t="inlineStr">
        <is>
          <t>계획관리지역</t>
        </is>
      </c>
      <c r="I2857" s="3" t="inlineStr">
        <is>
          <t>공장용지</t>
        </is>
      </c>
      <c r="J2857" s="3" t="inlineStr">
        <is>
          <t>부강면</t>
        </is>
      </c>
    </row>
    <row r="2858">
      <c r="A2858" s="3" t="n">
        <v>2024</v>
      </c>
      <c r="B2858" s="4" t="n">
        <v>45000</v>
      </c>
      <c r="C2858" s="4" t="n">
        <v>690</v>
      </c>
      <c r="D2858" s="4" t="n">
        <v>208.725</v>
      </c>
      <c r="E2858" s="5" t="n">
        <v>215.6</v>
      </c>
      <c r="F2858" s="3" t="inlineStr">
        <is>
          <t>부강면</t>
        </is>
      </c>
      <c r="G2858" s="3" t="inlineStr">
        <is>
          <t>부강리</t>
        </is>
      </c>
      <c r="H2858" s="3" t="inlineStr">
        <is>
          <t>제2종일반주거지역</t>
        </is>
      </c>
      <c r="I2858" s="3" t="inlineStr">
        <is>
          <t>대</t>
        </is>
      </c>
      <c r="J2858" s="3" t="inlineStr">
        <is>
          <t>부강면</t>
        </is>
      </c>
    </row>
    <row r="2859">
      <c r="A2859" s="3" t="n">
        <v>2024</v>
      </c>
      <c r="B2859" s="4" t="n">
        <v>300</v>
      </c>
      <c r="C2859" s="4" t="n">
        <v>7</v>
      </c>
      <c r="D2859" s="4" t="n">
        <v>2.1175</v>
      </c>
      <c r="E2859" s="5" t="n">
        <v>141.7</v>
      </c>
      <c r="F2859" s="3" t="inlineStr">
        <is>
          <t>조치원읍</t>
        </is>
      </c>
      <c r="G2859" s="3" t="inlineStr">
        <is>
          <t>평리</t>
        </is>
      </c>
      <c r="H2859" s="3" t="inlineStr">
        <is>
          <t>제2종일반주거지역</t>
        </is>
      </c>
      <c r="I2859" s="3" t="inlineStr">
        <is>
          <t>대</t>
        </is>
      </c>
      <c r="J2859" s="3" t="inlineStr">
        <is>
          <t>조치원읍</t>
        </is>
      </c>
    </row>
    <row r="2860">
      <c r="A2860" s="3" t="n">
        <v>2024</v>
      </c>
      <c r="B2860" s="4" t="n">
        <v>150000</v>
      </c>
      <c r="C2860" s="4" t="n">
        <v>6616.8</v>
      </c>
      <c r="D2860" s="4" t="n">
        <v>2001.582</v>
      </c>
      <c r="E2860" s="5" t="n">
        <v>74.90000000000001</v>
      </c>
      <c r="F2860" s="3" t="inlineStr">
        <is>
          <t>연서면</t>
        </is>
      </c>
      <c r="G2860" s="3" t="inlineStr">
        <is>
          <t>쌍전리</t>
        </is>
      </c>
      <c r="H2860" s="3" t="inlineStr">
        <is>
          <t>농림지역</t>
        </is>
      </c>
      <c r="I2860" s="3" t="inlineStr">
        <is>
          <t>답</t>
        </is>
      </c>
      <c r="J2860" s="3" t="inlineStr">
        <is>
          <t>연서면</t>
        </is>
      </c>
    </row>
    <row r="2861">
      <c r="A2861" s="3" t="n">
        <v>2024</v>
      </c>
      <c r="B2861" s="4" t="n">
        <v>48750</v>
      </c>
      <c r="C2861" s="4" t="n">
        <v>2148</v>
      </c>
      <c r="D2861" s="4" t="n">
        <v>649.77</v>
      </c>
      <c r="E2861" s="5" t="n">
        <v>75</v>
      </c>
      <c r="F2861" s="3" t="inlineStr">
        <is>
          <t>조치원읍</t>
        </is>
      </c>
      <c r="G2861" s="3" t="inlineStr">
        <is>
          <t>신안리</t>
        </is>
      </c>
      <c r="H2861" s="3" t="inlineStr">
        <is>
          <t>자연녹지지역</t>
        </is>
      </c>
      <c r="I2861" s="3" t="inlineStr">
        <is>
          <t>임야</t>
        </is>
      </c>
      <c r="J2861" s="3" t="inlineStr">
        <is>
          <t>조치원읍</t>
        </is>
      </c>
    </row>
    <row r="2862">
      <c r="A2862" s="3" t="n">
        <v>2023</v>
      </c>
      <c r="B2862" s="4" t="n">
        <v>9500</v>
      </c>
      <c r="C2862" s="4" t="n">
        <v>820</v>
      </c>
      <c r="D2862" s="4" t="n">
        <v>248.05</v>
      </c>
      <c r="E2862" s="5" t="n">
        <v>38.3</v>
      </c>
      <c r="F2862" s="3" t="inlineStr">
        <is>
          <t>부강면</t>
        </is>
      </c>
      <c r="G2862" s="3" t="inlineStr">
        <is>
          <t>문곡리</t>
        </is>
      </c>
      <c r="H2862" s="3" t="inlineStr">
        <is>
          <t>계획관리지역</t>
        </is>
      </c>
      <c r="I2862" s="3" t="inlineStr">
        <is>
          <t>답</t>
        </is>
      </c>
      <c r="J2862" s="3" t="inlineStr">
        <is>
          <t>부강면</t>
        </is>
      </c>
    </row>
    <row r="2863">
      <c r="A2863" s="3" t="n">
        <v>2023</v>
      </c>
      <c r="B2863" s="4" t="n">
        <v>6000</v>
      </c>
      <c r="C2863" s="4" t="n">
        <v>1309</v>
      </c>
      <c r="D2863" s="4" t="n">
        <v>395.9725</v>
      </c>
      <c r="E2863" s="5" t="n">
        <v>15.2</v>
      </c>
      <c r="F2863" s="3" t="inlineStr">
        <is>
          <t>부강면</t>
        </is>
      </c>
      <c r="G2863" s="3" t="inlineStr">
        <is>
          <t>행산리</t>
        </is>
      </c>
      <c r="H2863" s="3" t="inlineStr">
        <is>
          <t>계획관리지역</t>
        </is>
      </c>
      <c r="I2863" s="3" t="inlineStr">
        <is>
          <t>전</t>
        </is>
      </c>
      <c r="J2863" s="3" t="inlineStr">
        <is>
          <t>부강면</t>
        </is>
      </c>
    </row>
    <row r="2864">
      <c r="A2864" s="3" t="n">
        <v>2023</v>
      </c>
      <c r="B2864" s="4" t="n">
        <v>48000</v>
      </c>
      <c r="C2864" s="4" t="n">
        <v>1360</v>
      </c>
      <c r="D2864" s="4" t="n">
        <v>411.4</v>
      </c>
      <c r="E2864" s="5" t="n">
        <v>116.7</v>
      </c>
      <c r="F2864" s="3" t="inlineStr">
        <is>
          <t>연동면</t>
        </is>
      </c>
      <c r="G2864" s="3" t="inlineStr">
        <is>
          <t>문주리</t>
        </is>
      </c>
      <c r="H2864" s="3" t="inlineStr">
        <is>
          <t>계획관리지역</t>
        </is>
      </c>
      <c r="I2864" s="3" t="inlineStr">
        <is>
          <t>답</t>
        </is>
      </c>
      <c r="J2864" s="3" t="inlineStr">
        <is>
          <t>연동면</t>
        </is>
      </c>
    </row>
    <row r="2865">
      <c r="A2865" s="3" t="n">
        <v>2022</v>
      </c>
      <c r="B2865" s="4" t="n">
        <v>5000</v>
      </c>
      <c r="C2865" s="4" t="n">
        <v>601</v>
      </c>
      <c r="D2865" s="4" t="n">
        <v>181.8025</v>
      </c>
      <c r="E2865" s="5" t="n">
        <v>27.5</v>
      </c>
      <c r="F2865" s="3" t="inlineStr">
        <is>
          <t>연동면</t>
        </is>
      </c>
      <c r="G2865" s="3" t="inlineStr">
        <is>
          <t>노송리</t>
        </is>
      </c>
      <c r="H2865" s="3" t="inlineStr">
        <is>
          <t>보전관리지역</t>
        </is>
      </c>
      <c r="I2865" s="3" t="inlineStr">
        <is>
          <t>임야</t>
        </is>
      </c>
      <c r="J2865" s="3" t="inlineStr">
        <is>
          <t>연동면</t>
        </is>
      </c>
    </row>
    <row r="2866">
      <c r="A2866" s="3" t="n">
        <v>2022</v>
      </c>
      <c r="B2866" s="4" t="n">
        <v>32600</v>
      </c>
      <c r="C2866" s="4" t="n">
        <v>1078</v>
      </c>
      <c r="D2866" s="4" t="n">
        <v>326.095</v>
      </c>
      <c r="E2866" s="5" t="n">
        <v>100</v>
      </c>
      <c r="F2866" s="3" t="inlineStr">
        <is>
          <t>연서면</t>
        </is>
      </c>
      <c r="G2866" s="3" t="inlineStr">
        <is>
          <t>신대리</t>
        </is>
      </c>
      <c r="H2866" s="3" t="inlineStr">
        <is>
          <t>농림지역</t>
        </is>
      </c>
      <c r="I2866" s="3" t="inlineStr">
        <is>
          <t>답</t>
        </is>
      </c>
      <c r="J2866" s="3" t="inlineStr">
        <is>
          <t>연서면</t>
        </is>
      </c>
    </row>
    <row r="2867">
      <c r="A2867" s="3" t="n">
        <v>2022</v>
      </c>
      <c r="B2867" s="4" t="n">
        <v>22400</v>
      </c>
      <c r="C2867" s="4" t="n">
        <v>739</v>
      </c>
      <c r="D2867" s="4" t="n">
        <v>223.5475</v>
      </c>
      <c r="E2867" s="5" t="n">
        <v>100.2</v>
      </c>
      <c r="F2867" s="3" t="inlineStr">
        <is>
          <t>연서면</t>
        </is>
      </c>
      <c r="G2867" s="3" t="inlineStr">
        <is>
          <t>신대리</t>
        </is>
      </c>
      <c r="H2867" s="3" t="inlineStr">
        <is>
          <t>농림지역</t>
        </is>
      </c>
      <c r="I2867" s="3" t="inlineStr">
        <is>
          <t>답</t>
        </is>
      </c>
      <c r="J2867" s="3" t="inlineStr">
        <is>
          <t>연서면</t>
        </is>
      </c>
    </row>
    <row r="2868">
      <c r="A2868" s="3" t="n">
        <v>2022</v>
      </c>
      <c r="B2868" s="4" t="n">
        <v>13350</v>
      </c>
      <c r="C2868" s="4" t="n">
        <v>833</v>
      </c>
      <c r="D2868" s="4" t="n">
        <v>251.9825</v>
      </c>
      <c r="E2868" s="5" t="n">
        <v>53</v>
      </c>
      <c r="F2868" s="3" t="inlineStr">
        <is>
          <t>부강면</t>
        </is>
      </c>
      <c r="G2868" s="3" t="inlineStr">
        <is>
          <t>문곡리</t>
        </is>
      </c>
      <c r="H2868" s="3" t="inlineStr">
        <is>
          <t>생산관리지역</t>
        </is>
      </c>
      <c r="I2868" s="3" t="inlineStr">
        <is>
          <t>답</t>
        </is>
      </c>
      <c r="J2868" s="3" t="inlineStr">
        <is>
          <t>부강면</t>
        </is>
      </c>
    </row>
    <row r="2869">
      <c r="A2869" s="3" t="n">
        <v>2026</v>
      </c>
      <c r="B2869" s="4" t="n">
        <v>37500</v>
      </c>
      <c r="C2869" s="4" t="n">
        <v>284.9</v>
      </c>
      <c r="D2869" s="4" t="n">
        <v>86.18225</v>
      </c>
      <c r="E2869" s="5" t="n">
        <v>435.1</v>
      </c>
      <c r="F2869" s="3" t="inlineStr">
        <is>
          <t>집현동</t>
        </is>
      </c>
      <c r="G2869" s="3" t="inlineStr"/>
      <c r="H2869" s="3" t="inlineStr">
        <is>
          <t>제1종전용주거지역</t>
        </is>
      </c>
      <c r="I2869" s="3" t="inlineStr">
        <is>
          <t>대</t>
        </is>
      </c>
      <c r="J2869" s="3" t="inlineStr">
        <is>
          <t>집현동</t>
        </is>
      </c>
    </row>
    <row r="2870">
      <c r="A2870" s="3" t="n">
        <v>2026</v>
      </c>
      <c r="B2870" s="4" t="n">
        <v>5561</v>
      </c>
      <c r="C2870" s="4" t="n">
        <v>233</v>
      </c>
      <c r="D2870" s="4" t="n">
        <v>70.4825</v>
      </c>
      <c r="E2870" s="5" t="n">
        <v>78.90000000000001</v>
      </c>
      <c r="F2870" s="3" t="inlineStr">
        <is>
          <t>부강면</t>
        </is>
      </c>
      <c r="G2870" s="3" t="inlineStr">
        <is>
          <t>문곡리</t>
        </is>
      </c>
      <c r="H2870" s="3" t="inlineStr">
        <is>
          <t>계획관리지역</t>
        </is>
      </c>
      <c r="I2870" s="3" t="inlineStr">
        <is>
          <t>전</t>
        </is>
      </c>
      <c r="J2870" s="3" t="inlineStr">
        <is>
          <t>부강면</t>
        </is>
      </c>
    </row>
    <row r="2871">
      <c r="A2871" s="3" t="n">
        <v>2026</v>
      </c>
      <c r="B2871" s="4" t="n">
        <v>8353</v>
      </c>
      <c r="C2871" s="4" t="n">
        <v>350</v>
      </c>
      <c r="D2871" s="4" t="n">
        <v>105.875</v>
      </c>
      <c r="E2871" s="5" t="n">
        <v>78.90000000000001</v>
      </c>
      <c r="F2871" s="3" t="inlineStr">
        <is>
          <t>부강면</t>
        </is>
      </c>
      <c r="G2871" s="3" t="inlineStr">
        <is>
          <t>문곡리</t>
        </is>
      </c>
      <c r="H2871" s="3" t="inlineStr">
        <is>
          <t>계획관리지역</t>
        </is>
      </c>
      <c r="I2871" s="3" t="inlineStr">
        <is>
          <t>대</t>
        </is>
      </c>
      <c r="J2871" s="3" t="inlineStr">
        <is>
          <t>부강면</t>
        </is>
      </c>
    </row>
    <row r="2872">
      <c r="A2872" s="3" t="n">
        <v>2026</v>
      </c>
      <c r="B2872" s="4" t="n">
        <v>15561</v>
      </c>
      <c r="C2872" s="4" t="n">
        <v>652</v>
      </c>
      <c r="D2872" s="4" t="n">
        <v>197.23</v>
      </c>
      <c r="E2872" s="5" t="n">
        <v>78.90000000000001</v>
      </c>
      <c r="F2872" s="3" t="inlineStr">
        <is>
          <t>부강면</t>
        </is>
      </c>
      <c r="G2872" s="3" t="inlineStr">
        <is>
          <t>문곡리</t>
        </is>
      </c>
      <c r="H2872" s="3" t="inlineStr">
        <is>
          <t>계획관리지역</t>
        </is>
      </c>
      <c r="I2872" s="3" t="inlineStr">
        <is>
          <t>전</t>
        </is>
      </c>
      <c r="J2872" s="3" t="inlineStr">
        <is>
          <t>부강면</t>
        </is>
      </c>
    </row>
    <row r="2873">
      <c r="A2873" s="3" t="n">
        <v>2026</v>
      </c>
      <c r="B2873" s="4" t="n">
        <v>525</v>
      </c>
      <c r="C2873" s="4" t="n">
        <v>22</v>
      </c>
      <c r="D2873" s="4" t="n">
        <v>6.654999999999999</v>
      </c>
      <c r="E2873" s="5" t="n">
        <v>78.90000000000001</v>
      </c>
      <c r="F2873" s="3" t="inlineStr">
        <is>
          <t>부강면</t>
        </is>
      </c>
      <c r="G2873" s="3" t="inlineStr">
        <is>
          <t>문곡리</t>
        </is>
      </c>
      <c r="H2873" s="3" t="inlineStr">
        <is>
          <t>계획관리지역</t>
        </is>
      </c>
      <c r="I2873" s="3" t="inlineStr">
        <is>
          <t>전</t>
        </is>
      </c>
      <c r="J2873" s="3" t="inlineStr">
        <is>
          <t>부강면</t>
        </is>
      </c>
    </row>
    <row r="2874">
      <c r="A2874" s="3" t="n">
        <v>2023</v>
      </c>
      <c r="B2874" s="4" t="n">
        <v>82600</v>
      </c>
      <c r="C2874" s="4" t="n">
        <v>2732</v>
      </c>
      <c r="D2874" s="4" t="n">
        <v>826.4299999999999</v>
      </c>
      <c r="E2874" s="5" t="n">
        <v>99.90000000000001</v>
      </c>
      <c r="F2874" s="3" t="inlineStr">
        <is>
          <t>부강면</t>
        </is>
      </c>
      <c r="G2874" s="3" t="inlineStr">
        <is>
          <t>노호리</t>
        </is>
      </c>
      <c r="H2874" s="3" t="inlineStr">
        <is>
          <t>계획관리지역</t>
        </is>
      </c>
      <c r="I2874" s="3" t="inlineStr">
        <is>
          <t>답</t>
        </is>
      </c>
      <c r="J2874" s="3" t="inlineStr">
        <is>
          <t>부강면</t>
        </is>
      </c>
    </row>
    <row r="2875">
      <c r="A2875" s="3" t="n">
        <v>2023</v>
      </c>
      <c r="B2875" s="4" t="n">
        <v>32000</v>
      </c>
      <c r="C2875" s="4" t="n">
        <v>1058</v>
      </c>
      <c r="D2875" s="4" t="n">
        <v>320.045</v>
      </c>
      <c r="E2875" s="5" t="n">
        <v>100</v>
      </c>
      <c r="F2875" s="3" t="inlineStr">
        <is>
          <t>부강면</t>
        </is>
      </c>
      <c r="G2875" s="3" t="inlineStr">
        <is>
          <t>노호리</t>
        </is>
      </c>
      <c r="H2875" s="3" t="inlineStr">
        <is>
          <t>계획관리지역</t>
        </is>
      </c>
      <c r="I2875" s="3" t="inlineStr">
        <is>
          <t>답</t>
        </is>
      </c>
      <c r="J2875" s="3" t="inlineStr">
        <is>
          <t>부강면</t>
        </is>
      </c>
    </row>
    <row r="2876">
      <c r="A2876" s="3" t="n">
        <v>2023</v>
      </c>
      <c r="B2876" s="4" t="n">
        <v>37000</v>
      </c>
      <c r="C2876" s="4" t="n">
        <v>1224</v>
      </c>
      <c r="D2876" s="4" t="n">
        <v>370.26</v>
      </c>
      <c r="E2876" s="5" t="n">
        <v>99.90000000000001</v>
      </c>
      <c r="F2876" s="3" t="inlineStr">
        <is>
          <t>부강면</t>
        </is>
      </c>
      <c r="G2876" s="3" t="inlineStr">
        <is>
          <t>노호리</t>
        </is>
      </c>
      <c r="H2876" s="3" t="inlineStr">
        <is>
          <t>계획관리지역</t>
        </is>
      </c>
      <c r="I2876" s="3" t="inlineStr">
        <is>
          <t>답</t>
        </is>
      </c>
      <c r="J2876" s="3" t="inlineStr">
        <is>
          <t>부강면</t>
        </is>
      </c>
    </row>
    <row r="2877">
      <c r="A2877" s="3" t="n">
        <v>2023</v>
      </c>
      <c r="B2877" s="4" t="n">
        <v>42079</v>
      </c>
      <c r="C2877" s="4" t="n">
        <v>647</v>
      </c>
      <c r="D2877" s="4" t="n">
        <v>195.7175</v>
      </c>
      <c r="E2877" s="5" t="n">
        <v>215</v>
      </c>
      <c r="F2877" s="3" t="inlineStr">
        <is>
          <t>부강면</t>
        </is>
      </c>
      <c r="G2877" s="3" t="inlineStr">
        <is>
          <t>금호리</t>
        </is>
      </c>
      <c r="H2877" s="3" t="inlineStr">
        <is>
          <t>계획관리지역</t>
        </is>
      </c>
      <c r="I2877" s="3" t="inlineStr">
        <is>
          <t>전</t>
        </is>
      </c>
      <c r="J2877" s="3" t="inlineStr">
        <is>
          <t>부강면</t>
        </is>
      </c>
    </row>
    <row r="2878">
      <c r="A2878" s="3" t="n">
        <v>2022</v>
      </c>
      <c r="B2878" s="4" t="n">
        <v>140000</v>
      </c>
      <c r="C2878" s="4" t="n">
        <v>11901</v>
      </c>
      <c r="D2878" s="4" t="n">
        <v>3600.0525</v>
      </c>
      <c r="E2878" s="5" t="n">
        <v>38.9</v>
      </c>
      <c r="F2878" s="3" t="inlineStr">
        <is>
          <t>연서면</t>
        </is>
      </c>
      <c r="G2878" s="3" t="inlineStr">
        <is>
          <t>신대리</t>
        </is>
      </c>
      <c r="H2878" s="3" t="inlineStr">
        <is>
          <t>보전관리지역</t>
        </is>
      </c>
      <c r="I2878" s="3" t="inlineStr">
        <is>
          <t>임야</t>
        </is>
      </c>
      <c r="J2878" s="3" t="inlineStr">
        <is>
          <t>연서면</t>
        </is>
      </c>
    </row>
    <row r="2879">
      <c r="A2879" s="3" t="n">
        <v>2026</v>
      </c>
      <c r="B2879" s="4" t="n">
        <v>2052650</v>
      </c>
      <c r="C2879" s="4" t="n">
        <v>18000</v>
      </c>
      <c r="D2879" s="4" t="n">
        <v>5445</v>
      </c>
      <c r="E2879" s="5" t="n">
        <v>377</v>
      </c>
      <c r="F2879" s="3" t="inlineStr">
        <is>
          <t>고운동</t>
        </is>
      </c>
      <c r="G2879" s="3" t="inlineStr"/>
      <c r="H2879" s="3" t="inlineStr">
        <is>
          <t>제2종일반주거지역</t>
        </is>
      </c>
      <c r="I2879" s="3" t="inlineStr">
        <is>
          <t>대</t>
        </is>
      </c>
      <c r="J2879" s="3" t="inlineStr">
        <is>
          <t>고운동</t>
        </is>
      </c>
    </row>
    <row r="2880">
      <c r="A2880" s="3" t="n">
        <v>2026</v>
      </c>
      <c r="B2880" s="4" t="n">
        <v>1500</v>
      </c>
      <c r="C2880" s="4" t="n">
        <v>200</v>
      </c>
      <c r="D2880" s="4" t="n">
        <v>60.5</v>
      </c>
      <c r="E2880" s="5" t="n">
        <v>24.8</v>
      </c>
      <c r="F2880" s="3" t="inlineStr">
        <is>
          <t>연동면</t>
        </is>
      </c>
      <c r="G2880" s="3" t="inlineStr">
        <is>
          <t>송용리</t>
        </is>
      </c>
      <c r="H2880" s="3" t="inlineStr">
        <is>
          <t>계획관리지역</t>
        </is>
      </c>
      <c r="I2880" s="3" t="inlineStr">
        <is>
          <t>임야</t>
        </is>
      </c>
      <c r="J2880" s="3" t="inlineStr">
        <is>
          <t>연동면</t>
        </is>
      </c>
    </row>
    <row r="2881">
      <c r="A2881" s="3" t="n">
        <v>2026</v>
      </c>
      <c r="B2881" s="4" t="n">
        <v>3000</v>
      </c>
      <c r="C2881" s="4" t="n">
        <v>17</v>
      </c>
      <c r="D2881" s="4" t="n">
        <v>5.1425</v>
      </c>
      <c r="E2881" s="5" t="n">
        <v>583.4</v>
      </c>
      <c r="F2881" s="3" t="inlineStr">
        <is>
          <t>연서면</t>
        </is>
      </c>
      <c r="G2881" s="3" t="inlineStr">
        <is>
          <t>월하리</t>
        </is>
      </c>
      <c r="H2881" s="3" t="inlineStr">
        <is>
          <t>자연녹지지역</t>
        </is>
      </c>
      <c r="I2881" s="3" t="inlineStr">
        <is>
          <t>과수원</t>
        </is>
      </c>
      <c r="J2881" s="3" t="inlineStr">
        <is>
          <t>연서면</t>
        </is>
      </c>
    </row>
    <row r="2882">
      <c r="A2882" s="3" t="n">
        <v>2024</v>
      </c>
      <c r="B2882" s="4" t="n">
        <v>25000</v>
      </c>
      <c r="C2882" s="4" t="n">
        <v>2182</v>
      </c>
      <c r="D2882" s="4" t="n">
        <v>660.0549999999999</v>
      </c>
      <c r="E2882" s="5" t="n">
        <v>37.9</v>
      </c>
      <c r="F2882" s="3" t="inlineStr">
        <is>
          <t>부강면</t>
        </is>
      </c>
      <c r="G2882" s="3" t="inlineStr">
        <is>
          <t>갈산리</t>
        </is>
      </c>
      <c r="H2882" s="3" t="inlineStr">
        <is>
          <t>계획관리지역</t>
        </is>
      </c>
      <c r="I2882" s="3" t="inlineStr">
        <is>
          <t>임야</t>
        </is>
      </c>
      <c r="J2882" s="3" t="inlineStr">
        <is>
          <t>부강면</t>
        </is>
      </c>
    </row>
    <row r="2883">
      <c r="A2883" s="3" t="n">
        <v>2024</v>
      </c>
      <c r="B2883" s="4" t="n">
        <v>1263</v>
      </c>
      <c r="C2883" s="4" t="n">
        <v>28</v>
      </c>
      <c r="D2883" s="4" t="n">
        <v>8.469999999999999</v>
      </c>
      <c r="E2883" s="5" t="n">
        <v>149.1</v>
      </c>
      <c r="F2883" s="3" t="inlineStr">
        <is>
          <t>조치원읍</t>
        </is>
      </c>
      <c r="G2883" s="3" t="inlineStr">
        <is>
          <t>죽림리</t>
        </is>
      </c>
      <c r="H2883" s="3" t="inlineStr">
        <is>
          <t>자연녹지지역</t>
        </is>
      </c>
      <c r="I2883" s="3" t="inlineStr">
        <is>
          <t>답</t>
        </is>
      </c>
      <c r="J2883" s="3" t="inlineStr">
        <is>
          <t>조치원읍</t>
        </is>
      </c>
    </row>
    <row r="2884">
      <c r="A2884" s="3" t="n">
        <v>2024</v>
      </c>
      <c r="B2884" s="4" t="n">
        <v>7943</v>
      </c>
      <c r="C2884" s="4" t="n">
        <v>169</v>
      </c>
      <c r="D2884" s="4" t="n">
        <v>51.1225</v>
      </c>
      <c r="E2884" s="5" t="n">
        <v>155.4</v>
      </c>
      <c r="F2884" s="3" t="inlineStr">
        <is>
          <t>조치원읍</t>
        </is>
      </c>
      <c r="G2884" s="3" t="inlineStr">
        <is>
          <t>죽림리</t>
        </is>
      </c>
      <c r="H2884" s="3" t="inlineStr">
        <is>
          <t>자연녹지지역</t>
        </is>
      </c>
      <c r="I2884" s="3" t="inlineStr">
        <is>
          <t>전</t>
        </is>
      </c>
      <c r="J2884" s="3" t="inlineStr">
        <is>
          <t>조치원읍</t>
        </is>
      </c>
    </row>
    <row r="2885">
      <c r="A2885" s="3" t="n">
        <v>2024</v>
      </c>
      <c r="B2885" s="4" t="n">
        <v>3000</v>
      </c>
      <c r="C2885" s="4" t="n">
        <v>331</v>
      </c>
      <c r="D2885" s="4" t="n">
        <v>100.1275</v>
      </c>
      <c r="E2885" s="5" t="n">
        <v>30</v>
      </c>
      <c r="F2885" s="3" t="inlineStr">
        <is>
          <t>연동면</t>
        </is>
      </c>
      <c r="G2885" s="3" t="inlineStr">
        <is>
          <t>내판리</t>
        </is>
      </c>
      <c r="H2885" s="3" t="inlineStr">
        <is>
          <t>계획관리지역</t>
        </is>
      </c>
      <c r="I2885" s="3" t="inlineStr">
        <is>
          <t>임야</t>
        </is>
      </c>
      <c r="J2885" s="3" t="inlineStr">
        <is>
          <t>연동면</t>
        </is>
      </c>
    </row>
    <row r="2886">
      <c r="A2886" s="3" t="n">
        <v>2024</v>
      </c>
      <c r="B2886" s="4" t="n">
        <v>76250</v>
      </c>
      <c r="C2886" s="4" t="n">
        <v>1009</v>
      </c>
      <c r="D2886" s="4" t="n">
        <v>305.2225</v>
      </c>
      <c r="E2886" s="5" t="n">
        <v>249.8</v>
      </c>
      <c r="F2886" s="3" t="inlineStr">
        <is>
          <t>연동면</t>
        </is>
      </c>
      <c r="G2886" s="3" t="inlineStr">
        <is>
          <t>응암리</t>
        </is>
      </c>
      <c r="H2886" s="3" t="inlineStr">
        <is>
          <t>계획관리지역</t>
        </is>
      </c>
      <c r="I2886" s="3" t="inlineStr">
        <is>
          <t>전</t>
        </is>
      </c>
      <c r="J2886" s="3" t="inlineStr">
        <is>
          <t>연동면</t>
        </is>
      </c>
    </row>
    <row r="2887">
      <c r="A2887" s="3" t="n">
        <v>2024</v>
      </c>
      <c r="B2887" s="4" t="n">
        <v>29680</v>
      </c>
      <c r="C2887" s="4" t="n">
        <v>311.9</v>
      </c>
      <c r="D2887" s="4" t="n">
        <v>94.34974999999999</v>
      </c>
      <c r="E2887" s="5" t="n">
        <v>314.6</v>
      </c>
      <c r="F2887" s="3" t="inlineStr">
        <is>
          <t>집현동</t>
        </is>
      </c>
      <c r="G2887" s="3" t="inlineStr"/>
      <c r="H2887" s="3" t="inlineStr">
        <is>
          <t>제1종일반주거지역</t>
        </is>
      </c>
      <c r="I2887" s="3" t="inlineStr">
        <is>
          <t>대</t>
        </is>
      </c>
      <c r="J2887" s="3" t="inlineStr">
        <is>
          <t>집현동</t>
        </is>
      </c>
    </row>
    <row r="2888">
      <c r="A2888" s="3" t="n">
        <v>2024</v>
      </c>
      <c r="B2888" s="4" t="n">
        <v>18265</v>
      </c>
      <c r="C2888" s="4" t="n">
        <v>929</v>
      </c>
      <c r="D2888" s="4" t="n">
        <v>281.0225</v>
      </c>
      <c r="E2888" s="5" t="n">
        <v>65</v>
      </c>
      <c r="F2888" s="3" t="inlineStr">
        <is>
          <t>연동면</t>
        </is>
      </c>
      <c r="G2888" s="3" t="inlineStr">
        <is>
          <t>송용리</t>
        </is>
      </c>
      <c r="H2888" s="3" t="inlineStr">
        <is>
          <t>계획관리지역</t>
        </is>
      </c>
      <c r="I2888" s="3" t="inlineStr">
        <is>
          <t>대</t>
        </is>
      </c>
      <c r="J2888" s="3" t="inlineStr">
        <is>
          <t>연동면</t>
        </is>
      </c>
    </row>
    <row r="2889">
      <c r="A2889" s="3" t="n">
        <v>2024</v>
      </c>
      <c r="B2889" s="4" t="n">
        <v>9929</v>
      </c>
      <c r="C2889" s="4" t="n">
        <v>505</v>
      </c>
      <c r="D2889" s="4" t="n">
        <v>152.7625</v>
      </c>
      <c r="E2889" s="5" t="n">
        <v>65</v>
      </c>
      <c r="F2889" s="3" t="inlineStr">
        <is>
          <t>연동면</t>
        </is>
      </c>
      <c r="G2889" s="3" t="inlineStr">
        <is>
          <t>송용리</t>
        </is>
      </c>
      <c r="H2889" s="3" t="inlineStr">
        <is>
          <t>계획관리지역</t>
        </is>
      </c>
      <c r="I2889" s="3" t="inlineStr">
        <is>
          <t>대</t>
        </is>
      </c>
      <c r="J2889" s="3" t="inlineStr">
        <is>
          <t>연동면</t>
        </is>
      </c>
    </row>
    <row r="2890">
      <c r="A2890" s="3" t="n">
        <v>2024</v>
      </c>
      <c r="B2890" s="4" t="n">
        <v>16000</v>
      </c>
      <c r="C2890" s="4" t="n">
        <v>554</v>
      </c>
      <c r="D2890" s="4" t="n">
        <v>167.585</v>
      </c>
      <c r="E2890" s="5" t="n">
        <v>95.5</v>
      </c>
      <c r="F2890" s="3" t="inlineStr">
        <is>
          <t>부강면</t>
        </is>
      </c>
      <c r="G2890" s="3" t="inlineStr">
        <is>
          <t>부강리</t>
        </is>
      </c>
      <c r="H2890" s="3" t="inlineStr">
        <is>
          <t>제2종일반주거지역</t>
        </is>
      </c>
      <c r="I2890" s="3" t="inlineStr">
        <is>
          <t>전</t>
        </is>
      </c>
      <c r="J2890" s="3" t="inlineStr">
        <is>
          <t>부강면</t>
        </is>
      </c>
    </row>
    <row r="2891">
      <c r="A2891" s="3" t="n">
        <v>2024</v>
      </c>
      <c r="B2891" s="4" t="n">
        <v>8500</v>
      </c>
      <c r="C2891" s="4" t="n">
        <v>292</v>
      </c>
      <c r="D2891" s="4" t="n">
        <v>88.33</v>
      </c>
      <c r="E2891" s="5" t="n">
        <v>96.2</v>
      </c>
      <c r="F2891" s="3" t="inlineStr">
        <is>
          <t>연서면</t>
        </is>
      </c>
      <c r="G2891" s="3" t="inlineStr">
        <is>
          <t>쌍류리</t>
        </is>
      </c>
      <c r="H2891" s="3" t="inlineStr">
        <is>
          <t>생산관리지역</t>
        </is>
      </c>
      <c r="I2891" s="3" t="inlineStr">
        <is>
          <t>임야</t>
        </is>
      </c>
      <c r="J2891" s="3" t="inlineStr">
        <is>
          <t>연서면</t>
        </is>
      </c>
    </row>
    <row r="2892">
      <c r="A2892" s="3" t="n">
        <v>2025</v>
      </c>
      <c r="B2892" s="4" t="n">
        <v>31700</v>
      </c>
      <c r="C2892" s="4" t="n">
        <v>440</v>
      </c>
      <c r="D2892" s="4" t="n">
        <v>133.1</v>
      </c>
      <c r="E2892" s="5" t="n">
        <v>238.2</v>
      </c>
      <c r="F2892" s="3" t="inlineStr">
        <is>
          <t>조치원읍</t>
        </is>
      </c>
      <c r="G2892" s="3" t="inlineStr">
        <is>
          <t>신안리</t>
        </is>
      </c>
      <c r="H2892" s="3" t="inlineStr">
        <is>
          <t>제2종일반주거지역</t>
        </is>
      </c>
      <c r="I2892" s="3" t="inlineStr">
        <is>
          <t>대</t>
        </is>
      </c>
      <c r="J2892" s="3" t="inlineStr">
        <is>
          <t>조치원읍</t>
        </is>
      </c>
    </row>
    <row r="2893">
      <c r="A2893" s="3" t="n">
        <v>2025</v>
      </c>
      <c r="B2893" s="4" t="n">
        <v>56780</v>
      </c>
      <c r="C2893" s="4" t="n">
        <v>1105</v>
      </c>
      <c r="D2893" s="4" t="n">
        <v>334.2625</v>
      </c>
      <c r="E2893" s="5" t="n">
        <v>169.9</v>
      </c>
      <c r="F2893" s="3" t="inlineStr">
        <is>
          <t>부강면</t>
        </is>
      </c>
      <c r="G2893" s="3" t="inlineStr">
        <is>
          <t>행산리</t>
        </is>
      </c>
      <c r="H2893" s="3" t="inlineStr">
        <is>
          <t>계획관리지역</t>
        </is>
      </c>
      <c r="I2893" s="3" t="inlineStr">
        <is>
          <t>전</t>
        </is>
      </c>
      <c r="J2893" s="3" t="inlineStr">
        <is>
          <t>부강면</t>
        </is>
      </c>
    </row>
    <row r="2894">
      <c r="A2894" s="3" t="n">
        <v>2025</v>
      </c>
      <c r="B2894" s="4" t="n">
        <v>1902</v>
      </c>
      <c r="C2894" s="4" t="n">
        <v>58</v>
      </c>
      <c r="D2894" s="4" t="n">
        <v>17.545</v>
      </c>
      <c r="E2894" s="5" t="n">
        <v>108.4</v>
      </c>
      <c r="F2894" s="3" t="inlineStr">
        <is>
          <t>부강면</t>
        </is>
      </c>
      <c r="G2894" s="3" t="inlineStr">
        <is>
          <t>부강리</t>
        </is>
      </c>
      <c r="H2894" s="3" t="inlineStr">
        <is>
          <t>제2종일반주거지역</t>
        </is>
      </c>
      <c r="I2894" s="3" t="inlineStr">
        <is>
          <t>대</t>
        </is>
      </c>
      <c r="J2894" s="3" t="inlineStr">
        <is>
          <t>부강면</t>
        </is>
      </c>
    </row>
    <row r="2895">
      <c r="A2895" s="3" t="n">
        <v>2025</v>
      </c>
      <c r="B2895" s="4" t="n">
        <v>33</v>
      </c>
      <c r="C2895" s="4" t="n">
        <v>1</v>
      </c>
      <c r="D2895" s="4" t="n">
        <v>0.3025</v>
      </c>
      <c r="E2895" s="5" t="n">
        <v>109.1</v>
      </c>
      <c r="F2895" s="3" t="inlineStr">
        <is>
          <t>부강면</t>
        </is>
      </c>
      <c r="G2895" s="3" t="inlineStr">
        <is>
          <t>부강리</t>
        </is>
      </c>
      <c r="H2895" s="3" t="inlineStr">
        <is>
          <t>제2종일반주거지역</t>
        </is>
      </c>
      <c r="I2895" s="3" t="inlineStr">
        <is>
          <t>대</t>
        </is>
      </c>
      <c r="J2895" s="3" t="inlineStr">
        <is>
          <t>부강면</t>
        </is>
      </c>
    </row>
    <row r="2896">
      <c r="A2896" s="3" t="n">
        <v>2025</v>
      </c>
      <c r="B2896" s="4" t="n">
        <v>33</v>
      </c>
      <c r="C2896" s="4" t="n">
        <v>1</v>
      </c>
      <c r="D2896" s="4" t="n">
        <v>0.3025</v>
      </c>
      <c r="E2896" s="5" t="n">
        <v>109.1</v>
      </c>
      <c r="F2896" s="3" t="inlineStr">
        <is>
          <t>부강면</t>
        </is>
      </c>
      <c r="G2896" s="3" t="inlineStr">
        <is>
          <t>부강리</t>
        </is>
      </c>
      <c r="H2896" s="3" t="inlineStr">
        <is>
          <t>제2종일반주거지역</t>
        </is>
      </c>
      <c r="I2896" s="3" t="inlineStr">
        <is>
          <t>대</t>
        </is>
      </c>
      <c r="J2896" s="3" t="inlineStr">
        <is>
          <t>부강면</t>
        </is>
      </c>
    </row>
    <row r="2897">
      <c r="A2897" s="3" t="n">
        <v>2025</v>
      </c>
      <c r="B2897" s="4" t="n">
        <v>33</v>
      </c>
      <c r="C2897" s="4" t="n">
        <v>1</v>
      </c>
      <c r="D2897" s="4" t="n">
        <v>0.3025</v>
      </c>
      <c r="E2897" s="5" t="n">
        <v>109.1</v>
      </c>
      <c r="F2897" s="3" t="inlineStr">
        <is>
          <t>부강면</t>
        </is>
      </c>
      <c r="G2897" s="3" t="inlineStr">
        <is>
          <t>부강리</t>
        </is>
      </c>
      <c r="H2897" s="3" t="inlineStr">
        <is>
          <t>제2종일반주거지역</t>
        </is>
      </c>
      <c r="I2897" s="3" t="inlineStr">
        <is>
          <t>대</t>
        </is>
      </c>
      <c r="J2897" s="3" t="inlineStr">
        <is>
          <t>부강면</t>
        </is>
      </c>
    </row>
    <row r="2898">
      <c r="A2898" s="3" t="n">
        <v>2025</v>
      </c>
      <c r="B2898" s="4" t="n">
        <v>2230</v>
      </c>
      <c r="C2898" s="4" t="n">
        <v>68</v>
      </c>
      <c r="D2898" s="4" t="n">
        <v>20.57</v>
      </c>
      <c r="E2898" s="5" t="n">
        <v>108.4</v>
      </c>
      <c r="F2898" s="3" t="inlineStr">
        <is>
          <t>부강면</t>
        </is>
      </c>
      <c r="G2898" s="3" t="inlineStr">
        <is>
          <t>부강리</t>
        </is>
      </c>
      <c r="H2898" s="3" t="inlineStr">
        <is>
          <t>제2종일반주거지역</t>
        </is>
      </c>
      <c r="I2898" s="3" t="inlineStr">
        <is>
          <t>대</t>
        </is>
      </c>
      <c r="J2898" s="3" t="inlineStr">
        <is>
          <t>부강면</t>
        </is>
      </c>
    </row>
    <row r="2899">
      <c r="A2899" s="3" t="n">
        <v>2025</v>
      </c>
      <c r="B2899" s="4" t="n">
        <v>33</v>
      </c>
      <c r="C2899" s="4" t="n">
        <v>1</v>
      </c>
      <c r="D2899" s="4" t="n">
        <v>0.3025</v>
      </c>
      <c r="E2899" s="5" t="n">
        <v>109.1</v>
      </c>
      <c r="F2899" s="3" t="inlineStr">
        <is>
          <t>부강면</t>
        </is>
      </c>
      <c r="G2899" s="3" t="inlineStr">
        <is>
          <t>부강리</t>
        </is>
      </c>
      <c r="H2899" s="3" t="inlineStr">
        <is>
          <t>제2종일반주거지역</t>
        </is>
      </c>
      <c r="I2899" s="3" t="inlineStr">
        <is>
          <t>대</t>
        </is>
      </c>
      <c r="J2899" s="3" t="inlineStr">
        <is>
          <t>부강면</t>
        </is>
      </c>
    </row>
    <row r="2900">
      <c r="A2900" s="3" t="n">
        <v>2025</v>
      </c>
      <c r="B2900" s="4" t="n">
        <v>15378</v>
      </c>
      <c r="C2900" s="4" t="n">
        <v>1973.5</v>
      </c>
      <c r="D2900" s="4" t="n">
        <v>596.98375</v>
      </c>
      <c r="E2900" s="5" t="n">
        <v>25.8</v>
      </c>
      <c r="F2900" s="3" t="inlineStr">
        <is>
          <t>남이면</t>
        </is>
      </c>
      <c r="G2900" s="3" t="inlineStr">
        <is>
          <t>가좌리</t>
        </is>
      </c>
      <c r="H2900" s="3" t="inlineStr">
        <is>
          <t>자연녹지지역</t>
        </is>
      </c>
      <c r="I2900" s="3" t="inlineStr">
        <is>
          <t>답</t>
        </is>
      </c>
      <c r="J2900" s="3" t="inlineStr">
        <is>
          <t>남이면</t>
        </is>
      </c>
    </row>
    <row r="2901">
      <c r="A2901" s="3" t="n">
        <v>2022</v>
      </c>
      <c r="B2901" s="4" t="n">
        <v>31112</v>
      </c>
      <c r="C2901" s="4" t="n">
        <v>1753</v>
      </c>
      <c r="D2901" s="4" t="n">
        <v>530.2825</v>
      </c>
      <c r="E2901" s="5" t="n">
        <v>58.7</v>
      </c>
      <c r="F2901" s="3" t="inlineStr">
        <is>
          <t>부강면</t>
        </is>
      </c>
      <c r="G2901" s="3" t="inlineStr">
        <is>
          <t>등곡리</t>
        </is>
      </c>
      <c r="H2901" s="3" t="inlineStr">
        <is>
          <t>보전관리지역</t>
        </is>
      </c>
      <c r="I2901" s="3" t="inlineStr">
        <is>
          <t>임야</t>
        </is>
      </c>
      <c r="J2901" s="3" t="inlineStr">
        <is>
          <t>부강면</t>
        </is>
      </c>
    </row>
    <row r="2902">
      <c r="A2902" s="3" t="n">
        <v>2022</v>
      </c>
      <c r="B2902" s="4" t="n">
        <v>8520</v>
      </c>
      <c r="C2902" s="4" t="n">
        <v>1753</v>
      </c>
      <c r="D2902" s="4" t="n">
        <v>530.2825</v>
      </c>
      <c r="E2902" s="5" t="n">
        <v>16.1</v>
      </c>
      <c r="F2902" s="3" t="inlineStr">
        <is>
          <t>부강면</t>
        </is>
      </c>
      <c r="G2902" s="3" t="inlineStr">
        <is>
          <t>등곡리</t>
        </is>
      </c>
      <c r="H2902" s="3" t="inlineStr">
        <is>
          <t>보전관리지역</t>
        </is>
      </c>
      <c r="I2902" s="3" t="inlineStr">
        <is>
          <t>임야</t>
        </is>
      </c>
      <c r="J2902" s="3" t="inlineStr">
        <is>
          <t>부강면</t>
        </is>
      </c>
    </row>
    <row r="2903">
      <c r="A2903" s="3" t="n">
        <v>2022</v>
      </c>
      <c r="B2903" s="4" t="n">
        <v>300000</v>
      </c>
      <c r="C2903" s="4" t="n">
        <v>3224</v>
      </c>
      <c r="D2903" s="4" t="n">
        <v>975.26</v>
      </c>
      <c r="E2903" s="5" t="n">
        <v>307.6</v>
      </c>
      <c r="F2903" s="3" t="inlineStr">
        <is>
          <t>부강면</t>
        </is>
      </c>
      <c r="G2903" s="3" t="inlineStr">
        <is>
          <t>부강리</t>
        </is>
      </c>
      <c r="H2903" s="3" t="inlineStr">
        <is>
          <t>생산녹지지역</t>
        </is>
      </c>
      <c r="I2903" s="3" t="inlineStr">
        <is>
          <t>답</t>
        </is>
      </c>
      <c r="J2903" s="3" t="inlineStr">
        <is>
          <t>부강면</t>
        </is>
      </c>
    </row>
    <row r="2904">
      <c r="A2904" s="3" t="n">
        <v>2022</v>
      </c>
      <c r="B2904" s="4" t="n">
        <v>84000</v>
      </c>
      <c r="C2904" s="4" t="n">
        <v>330</v>
      </c>
      <c r="D2904" s="4" t="n">
        <v>99.825</v>
      </c>
      <c r="E2904" s="5" t="n">
        <v>841.5</v>
      </c>
      <c r="F2904" s="3" t="inlineStr">
        <is>
          <t>아름동</t>
        </is>
      </c>
      <c r="G2904" s="3" t="inlineStr"/>
      <c r="H2904" s="3" t="inlineStr">
        <is>
          <t>제1종전용주거지역</t>
        </is>
      </c>
      <c r="I2904" s="3" t="inlineStr">
        <is>
          <t>대</t>
        </is>
      </c>
      <c r="J2904" s="3" t="inlineStr">
        <is>
          <t>아름동</t>
        </is>
      </c>
    </row>
    <row r="2905">
      <c r="A2905" s="3" t="n">
        <v>2022</v>
      </c>
      <c r="B2905" s="4" t="n">
        <v>1200</v>
      </c>
      <c r="C2905" s="4" t="n">
        <v>47</v>
      </c>
      <c r="D2905" s="4" t="n">
        <v>14.2175</v>
      </c>
      <c r="E2905" s="5" t="n">
        <v>84.40000000000001</v>
      </c>
      <c r="F2905" s="3" t="inlineStr">
        <is>
          <t>연동면</t>
        </is>
      </c>
      <c r="G2905" s="3" t="inlineStr">
        <is>
          <t>송용리</t>
        </is>
      </c>
      <c r="H2905" s="3" t="inlineStr">
        <is>
          <t>계획관리지역</t>
        </is>
      </c>
      <c r="I2905" s="3" t="inlineStr">
        <is>
          <t>전</t>
        </is>
      </c>
      <c r="J2905" s="3" t="inlineStr">
        <is>
          <t>연동면</t>
        </is>
      </c>
    </row>
    <row r="2906">
      <c r="A2906" s="3" t="n">
        <v>2022</v>
      </c>
      <c r="B2906" s="4" t="n">
        <v>203000</v>
      </c>
      <c r="C2906" s="4" t="n">
        <v>1523</v>
      </c>
      <c r="D2906" s="4" t="n">
        <v>460.7075</v>
      </c>
      <c r="E2906" s="5" t="n">
        <v>440.6</v>
      </c>
      <c r="F2906" s="3" t="inlineStr">
        <is>
          <t>부강면</t>
        </is>
      </c>
      <c r="G2906" s="3" t="inlineStr">
        <is>
          <t>부강리</t>
        </is>
      </c>
      <c r="H2906" s="3" t="inlineStr">
        <is>
          <t>일반공업지역</t>
        </is>
      </c>
      <c r="I2906" s="3" t="inlineStr">
        <is>
          <t>답</t>
        </is>
      </c>
      <c r="J2906" s="3" t="inlineStr">
        <is>
          <t>부강면</t>
        </is>
      </c>
    </row>
    <row r="2907">
      <c r="A2907" s="3" t="n">
        <v>2026</v>
      </c>
      <c r="B2907" s="4" t="n">
        <v>1687</v>
      </c>
      <c r="C2907" s="4" t="n">
        <v>23</v>
      </c>
      <c r="D2907" s="4" t="n">
        <v>6.9575</v>
      </c>
      <c r="E2907" s="5" t="n">
        <v>242.5</v>
      </c>
      <c r="F2907" s="3" t="inlineStr">
        <is>
          <t>남이면</t>
        </is>
      </c>
      <c r="G2907" s="3" t="inlineStr">
        <is>
          <t>가마리</t>
        </is>
      </c>
      <c r="H2907" s="3" t="inlineStr">
        <is>
          <t>자연녹지지역</t>
        </is>
      </c>
      <c r="I2907" s="3" t="inlineStr">
        <is>
          <t>도로</t>
        </is>
      </c>
      <c r="J2907" s="3" t="inlineStr">
        <is>
          <t>남이면</t>
        </is>
      </c>
    </row>
    <row r="2908">
      <c r="A2908" s="3" t="n">
        <v>2026</v>
      </c>
      <c r="B2908" s="4" t="n">
        <v>32418</v>
      </c>
      <c r="C2908" s="4" t="n">
        <v>1521</v>
      </c>
      <c r="D2908" s="4" t="n">
        <v>460.1025</v>
      </c>
      <c r="E2908" s="5" t="n">
        <v>70.5</v>
      </c>
      <c r="F2908" s="3" t="inlineStr">
        <is>
          <t>남이면</t>
        </is>
      </c>
      <c r="G2908" s="3" t="inlineStr">
        <is>
          <t>상발리</t>
        </is>
      </c>
      <c r="H2908" s="3" t="inlineStr">
        <is>
          <t>자연녹지지역</t>
        </is>
      </c>
      <c r="I2908" s="3" t="inlineStr">
        <is>
          <t>답</t>
        </is>
      </c>
      <c r="J2908" s="3" t="inlineStr">
        <is>
          <t>남이면</t>
        </is>
      </c>
    </row>
    <row r="2909">
      <c r="A2909" s="3" t="n">
        <v>2026</v>
      </c>
      <c r="B2909" s="4" t="n">
        <v>2130</v>
      </c>
      <c r="C2909" s="4" t="n">
        <v>235</v>
      </c>
      <c r="D2909" s="4" t="n">
        <v>71.08749999999999</v>
      </c>
      <c r="E2909" s="5" t="n">
        <v>30</v>
      </c>
      <c r="F2909" s="3" t="inlineStr">
        <is>
          <t>남이면</t>
        </is>
      </c>
      <c r="G2909" s="3" t="inlineStr">
        <is>
          <t>부용외천리</t>
        </is>
      </c>
      <c r="H2909" s="3" t="inlineStr">
        <is>
          <t>보전관리지역</t>
        </is>
      </c>
      <c r="I2909" s="3" t="inlineStr">
        <is>
          <t>답</t>
        </is>
      </c>
      <c r="J2909" s="3" t="inlineStr">
        <is>
          <t>남이면</t>
        </is>
      </c>
    </row>
    <row r="2910">
      <c r="A2910" s="3" t="n">
        <v>2026</v>
      </c>
      <c r="B2910" s="4" t="n">
        <v>33511</v>
      </c>
      <c r="C2910" s="4" t="n">
        <v>600</v>
      </c>
      <c r="D2910" s="4" t="n">
        <v>181.5</v>
      </c>
      <c r="E2910" s="5" t="n">
        <v>184.6</v>
      </c>
      <c r="F2910" s="3" t="inlineStr">
        <is>
          <t>남이면</t>
        </is>
      </c>
      <c r="G2910" s="3" t="inlineStr">
        <is>
          <t>부용외천리</t>
        </is>
      </c>
      <c r="H2910" s="3" t="inlineStr">
        <is>
          <t>계획관리지역</t>
        </is>
      </c>
      <c r="I2910" s="3" t="inlineStr">
        <is>
          <t>공장용지</t>
        </is>
      </c>
      <c r="J2910" s="3" t="inlineStr">
        <is>
          <t>남이면</t>
        </is>
      </c>
    </row>
    <row r="2911">
      <c r="A2911" s="3" t="n">
        <v>2022</v>
      </c>
      <c r="B2911" s="4" t="n">
        <v>17787</v>
      </c>
      <c r="C2911" s="4" t="n">
        <v>490</v>
      </c>
      <c r="D2911" s="4" t="n">
        <v>148.225</v>
      </c>
      <c r="E2911" s="5" t="n">
        <v>120</v>
      </c>
      <c r="F2911" s="3" t="inlineStr">
        <is>
          <t>연서면</t>
        </is>
      </c>
      <c r="G2911" s="3" t="inlineStr">
        <is>
          <t>쌍류리</t>
        </is>
      </c>
      <c r="H2911" s="3" t="inlineStr">
        <is>
          <t>생산관리지역</t>
        </is>
      </c>
      <c r="I2911" s="3" t="inlineStr">
        <is>
          <t>전</t>
        </is>
      </c>
      <c r="J2911" s="3" t="inlineStr">
        <is>
          <t>연서면</t>
        </is>
      </c>
    </row>
    <row r="2912">
      <c r="A2912" s="3" t="n">
        <v>2026</v>
      </c>
      <c r="B2912" s="4" t="n">
        <v>200000</v>
      </c>
      <c r="C2912" s="4" t="n">
        <v>34655</v>
      </c>
      <c r="D2912" s="4" t="n">
        <v>10483.1375</v>
      </c>
      <c r="E2912" s="5" t="n">
        <v>19.1</v>
      </c>
      <c r="F2912" s="3" t="inlineStr">
        <is>
          <t>연서면</t>
        </is>
      </c>
      <c r="G2912" s="3" t="inlineStr">
        <is>
          <t>신대리</t>
        </is>
      </c>
      <c r="H2912" s="3" t="inlineStr">
        <is>
          <t>계획관리지역</t>
        </is>
      </c>
      <c r="I2912" s="3" t="inlineStr">
        <is>
          <t>임야</t>
        </is>
      </c>
      <c r="J2912" s="3" t="inlineStr">
        <is>
          <t>연서면</t>
        </is>
      </c>
    </row>
    <row r="2913">
      <c r="A2913" s="3" t="n">
        <v>2024</v>
      </c>
      <c r="B2913" s="4" t="n">
        <v>22230</v>
      </c>
      <c r="C2913" s="4" t="n">
        <v>1132</v>
      </c>
      <c r="D2913" s="4" t="n">
        <v>342.43</v>
      </c>
      <c r="E2913" s="5" t="n">
        <v>64.90000000000001</v>
      </c>
      <c r="F2913" s="3" t="inlineStr">
        <is>
          <t>부강면</t>
        </is>
      </c>
      <c r="G2913" s="3" t="inlineStr">
        <is>
          <t>갈산리</t>
        </is>
      </c>
      <c r="H2913" s="3" t="inlineStr">
        <is>
          <t>계획관리지역</t>
        </is>
      </c>
      <c r="I2913" s="3" t="inlineStr">
        <is>
          <t>전</t>
        </is>
      </c>
      <c r="J2913" s="3" t="inlineStr">
        <is>
          <t>부강면</t>
        </is>
      </c>
    </row>
    <row r="2914">
      <c r="A2914" s="3" t="n">
        <v>2024</v>
      </c>
      <c r="B2914" s="4" t="n">
        <v>12100</v>
      </c>
      <c r="C2914" s="4" t="n">
        <v>113</v>
      </c>
      <c r="D2914" s="4" t="n">
        <v>34.1825</v>
      </c>
      <c r="E2914" s="5" t="n">
        <v>354</v>
      </c>
      <c r="F2914" s="3" t="inlineStr">
        <is>
          <t>조치원읍</t>
        </is>
      </c>
      <c r="G2914" s="3" t="inlineStr">
        <is>
          <t>번암리</t>
        </is>
      </c>
      <c r="H2914" s="3" t="inlineStr">
        <is>
          <t>제2종일반주거지역</t>
        </is>
      </c>
      <c r="I2914" s="3" t="inlineStr">
        <is>
          <t>전</t>
        </is>
      </c>
      <c r="J2914" s="3" t="inlineStr">
        <is>
          <t>조치원읍</t>
        </is>
      </c>
    </row>
    <row r="2915">
      <c r="A2915" s="3" t="n">
        <v>2024</v>
      </c>
      <c r="B2915" s="4" t="n">
        <v>60000</v>
      </c>
      <c r="C2915" s="4" t="n">
        <v>32826</v>
      </c>
      <c r="D2915" s="4" t="n">
        <v>9929.865</v>
      </c>
      <c r="E2915" s="5" t="n">
        <v>6</v>
      </c>
      <c r="F2915" s="3" t="inlineStr">
        <is>
          <t>연서면</t>
        </is>
      </c>
      <c r="G2915" s="3" t="inlineStr">
        <is>
          <t>기룡리</t>
        </is>
      </c>
      <c r="H2915" s="3" t="inlineStr">
        <is>
          <t>보전관리지역</t>
        </is>
      </c>
      <c r="I2915" s="3" t="inlineStr">
        <is>
          <t>임야</t>
        </is>
      </c>
      <c r="J2915" s="3" t="inlineStr">
        <is>
          <t>연서면</t>
        </is>
      </c>
    </row>
    <row r="2916">
      <c r="A2916" s="3" t="n">
        <v>2024</v>
      </c>
      <c r="B2916" s="4" t="n">
        <v>52000</v>
      </c>
      <c r="C2916" s="4" t="n">
        <v>2149</v>
      </c>
      <c r="D2916" s="4" t="n">
        <v>650.0725</v>
      </c>
      <c r="E2916" s="5" t="n">
        <v>80</v>
      </c>
      <c r="F2916" s="3" t="inlineStr">
        <is>
          <t>연서면</t>
        </is>
      </c>
      <c r="G2916" s="3" t="inlineStr">
        <is>
          <t>국촌리</t>
        </is>
      </c>
      <c r="H2916" s="3" t="inlineStr">
        <is>
          <t>계획관리지역</t>
        </is>
      </c>
      <c r="I2916" s="3" t="inlineStr">
        <is>
          <t>전</t>
        </is>
      </c>
      <c r="J2916" s="3" t="inlineStr">
        <is>
          <t>연서면</t>
        </is>
      </c>
    </row>
    <row r="2917">
      <c r="A2917" s="3" t="n">
        <v>2022</v>
      </c>
      <c r="B2917" s="4" t="n">
        <v>650</v>
      </c>
      <c r="C2917" s="4" t="n">
        <v>54</v>
      </c>
      <c r="D2917" s="4" t="n">
        <v>16.335</v>
      </c>
      <c r="E2917" s="5" t="n">
        <v>39.8</v>
      </c>
      <c r="F2917" s="3" t="inlineStr">
        <is>
          <t>남이면</t>
        </is>
      </c>
      <c r="G2917" s="3" t="inlineStr">
        <is>
          <t>수대리</t>
        </is>
      </c>
      <c r="H2917" s="3" t="inlineStr">
        <is>
          <t>보전녹지지역</t>
        </is>
      </c>
      <c r="I2917" s="3" t="inlineStr">
        <is>
          <t>도로</t>
        </is>
      </c>
      <c r="J2917" s="3" t="inlineStr">
        <is>
          <t>남이면</t>
        </is>
      </c>
    </row>
    <row r="2918">
      <c r="A2918" s="3" t="n">
        <v>2022</v>
      </c>
      <c r="B2918" s="4" t="n">
        <v>37000</v>
      </c>
      <c r="C2918" s="4" t="n">
        <v>1390</v>
      </c>
      <c r="D2918" s="4" t="n">
        <v>420.475</v>
      </c>
      <c r="E2918" s="5" t="n">
        <v>88</v>
      </c>
      <c r="F2918" s="3" t="inlineStr">
        <is>
          <t>남이면</t>
        </is>
      </c>
      <c r="G2918" s="3" t="inlineStr">
        <is>
          <t>외천리</t>
        </is>
      </c>
      <c r="H2918" s="3" t="inlineStr">
        <is>
          <t>계획관리지역</t>
        </is>
      </c>
      <c r="I2918" s="3" t="inlineStr">
        <is>
          <t>답</t>
        </is>
      </c>
      <c r="J2918" s="3" t="inlineStr">
        <is>
          <t>남이면</t>
        </is>
      </c>
    </row>
    <row r="2919">
      <c r="A2919" s="3" t="n">
        <v>2022</v>
      </c>
      <c r="B2919" s="4" t="n">
        <v>60000</v>
      </c>
      <c r="C2919" s="4" t="n">
        <v>6354</v>
      </c>
      <c r="D2919" s="4" t="n">
        <v>1922.085</v>
      </c>
      <c r="E2919" s="5" t="n">
        <v>31.2</v>
      </c>
      <c r="F2919" s="3" t="inlineStr">
        <is>
          <t>남이면</t>
        </is>
      </c>
      <c r="G2919" s="3" t="inlineStr">
        <is>
          <t>가좌리</t>
        </is>
      </c>
      <c r="H2919" s="3" t="inlineStr">
        <is>
          <t>자연녹지지역</t>
        </is>
      </c>
      <c r="I2919" s="3" t="inlineStr">
        <is>
          <t>답</t>
        </is>
      </c>
      <c r="J2919" s="3" t="inlineStr">
        <is>
          <t>남이면</t>
        </is>
      </c>
    </row>
    <row r="2920">
      <c r="A2920" s="3" t="n">
        <v>2022</v>
      </c>
      <c r="B2920" s="4" t="n">
        <v>2500</v>
      </c>
      <c r="C2920" s="4" t="n">
        <v>83</v>
      </c>
      <c r="D2920" s="4" t="n">
        <v>25.1075</v>
      </c>
      <c r="E2920" s="5" t="n">
        <v>99.59999999999999</v>
      </c>
      <c r="F2920" s="3" t="inlineStr">
        <is>
          <t>남이면</t>
        </is>
      </c>
      <c r="G2920" s="3" t="inlineStr">
        <is>
          <t>양촌리</t>
        </is>
      </c>
      <c r="H2920" s="3" t="inlineStr">
        <is>
          <t>자연녹지지역</t>
        </is>
      </c>
      <c r="I2920" s="3" t="inlineStr">
        <is>
          <t>전</t>
        </is>
      </c>
      <c r="J2920" s="3" t="inlineStr">
        <is>
          <t>남이면</t>
        </is>
      </c>
    </row>
    <row r="2921">
      <c r="A2921" s="3" t="n">
        <v>2022</v>
      </c>
      <c r="B2921" s="4" t="n">
        <v>51300</v>
      </c>
      <c r="C2921" s="4" t="n">
        <v>879</v>
      </c>
      <c r="D2921" s="4" t="n">
        <v>265.8975</v>
      </c>
      <c r="E2921" s="5" t="n">
        <v>192.9</v>
      </c>
      <c r="F2921" s="3" t="inlineStr">
        <is>
          <t>남이면</t>
        </is>
      </c>
      <c r="G2921" s="3" t="inlineStr">
        <is>
          <t>부용외천리</t>
        </is>
      </c>
      <c r="H2921" s="3" t="inlineStr">
        <is>
          <t>계획관리지역</t>
        </is>
      </c>
      <c r="I2921" s="3" t="inlineStr">
        <is>
          <t>전</t>
        </is>
      </c>
      <c r="J2921" s="3" t="inlineStr">
        <is>
          <t>남이면</t>
        </is>
      </c>
    </row>
    <row r="2922">
      <c r="A2922" s="3" t="n">
        <v>2022</v>
      </c>
      <c r="B2922" s="4" t="n">
        <v>1700</v>
      </c>
      <c r="C2922" s="4" t="n">
        <v>29</v>
      </c>
      <c r="D2922" s="4" t="n">
        <v>8.772499999999999</v>
      </c>
      <c r="E2922" s="5" t="n">
        <v>193.8</v>
      </c>
      <c r="F2922" s="3" t="inlineStr">
        <is>
          <t>남이면</t>
        </is>
      </c>
      <c r="G2922" s="3" t="inlineStr">
        <is>
          <t>부용외천리</t>
        </is>
      </c>
      <c r="H2922" s="3" t="inlineStr">
        <is>
          <t>계획관리지역</t>
        </is>
      </c>
      <c r="I2922" s="3" t="inlineStr">
        <is>
          <t>전</t>
        </is>
      </c>
      <c r="J2922" s="3" t="inlineStr">
        <is>
          <t>남이면</t>
        </is>
      </c>
    </row>
    <row r="2923">
      <c r="A2923" s="3" t="n">
        <v>2022</v>
      </c>
      <c r="B2923" s="4" t="n">
        <v>500</v>
      </c>
      <c r="C2923" s="4" t="n">
        <v>53</v>
      </c>
      <c r="D2923" s="4" t="n">
        <v>16.0325</v>
      </c>
      <c r="E2923" s="5" t="n">
        <v>31.2</v>
      </c>
      <c r="F2923" s="3" t="inlineStr">
        <is>
          <t>남이면</t>
        </is>
      </c>
      <c r="G2923" s="3" t="inlineStr">
        <is>
          <t>양촌리</t>
        </is>
      </c>
      <c r="H2923" s="3" t="inlineStr">
        <is>
          <t>자연녹지지역</t>
        </is>
      </c>
      <c r="I2923" s="3" t="inlineStr">
        <is>
          <t>도로</t>
        </is>
      </c>
      <c r="J2923" s="3" t="inlineStr">
        <is>
          <t>남이면</t>
        </is>
      </c>
    </row>
    <row r="2924">
      <c r="A2924" s="3" t="n">
        <v>2022</v>
      </c>
      <c r="B2924" s="4" t="n">
        <v>3000</v>
      </c>
      <c r="C2924" s="4" t="n">
        <v>585</v>
      </c>
      <c r="D2924" s="4" t="n">
        <v>176.9625</v>
      </c>
      <c r="E2924" s="5" t="n">
        <v>17</v>
      </c>
      <c r="F2924" s="3" t="inlineStr">
        <is>
          <t>남이면</t>
        </is>
      </c>
      <c r="G2924" s="3" t="inlineStr">
        <is>
          <t>산막리</t>
        </is>
      </c>
      <c r="H2924" s="3" t="inlineStr">
        <is>
          <t>농림지역</t>
        </is>
      </c>
      <c r="I2924" s="3" t="inlineStr">
        <is>
          <t>전</t>
        </is>
      </c>
      <c r="J2924" s="3" t="inlineStr">
        <is>
          <t>남이면</t>
        </is>
      </c>
    </row>
    <row r="2925">
      <c r="A2925" s="3" t="n">
        <v>2022</v>
      </c>
      <c r="B2925" s="4" t="n">
        <v>3500</v>
      </c>
      <c r="C2925" s="4" t="n">
        <v>2380</v>
      </c>
      <c r="D2925" s="4" t="n">
        <v>719.9499999999999</v>
      </c>
      <c r="E2925" s="5" t="n">
        <v>4.9</v>
      </c>
      <c r="F2925" s="3" t="inlineStr">
        <is>
          <t>남이면</t>
        </is>
      </c>
      <c r="G2925" s="3" t="inlineStr">
        <is>
          <t>부용외천리</t>
        </is>
      </c>
      <c r="H2925" s="3" t="inlineStr">
        <is>
          <t>계획관리지역</t>
        </is>
      </c>
      <c r="I2925" s="3" t="inlineStr">
        <is>
          <t>답</t>
        </is>
      </c>
      <c r="J2925" s="3" t="inlineStr">
        <is>
          <t>남이면</t>
        </is>
      </c>
    </row>
    <row r="2926">
      <c r="A2926" s="3" t="n">
        <v>2022</v>
      </c>
      <c r="B2926" s="4" t="n">
        <v>3800</v>
      </c>
      <c r="C2926" s="4" t="n">
        <v>317</v>
      </c>
      <c r="D2926" s="4" t="n">
        <v>95.8925</v>
      </c>
      <c r="E2926" s="5" t="n">
        <v>39.6</v>
      </c>
      <c r="F2926" s="3" t="inlineStr">
        <is>
          <t>남이면</t>
        </is>
      </c>
      <c r="G2926" s="3" t="inlineStr">
        <is>
          <t>양촌리</t>
        </is>
      </c>
      <c r="H2926" s="3" t="inlineStr">
        <is>
          <t>자연녹지지역</t>
        </is>
      </c>
      <c r="I2926" s="3" t="inlineStr">
        <is>
          <t>전</t>
        </is>
      </c>
      <c r="J2926" s="3" t="inlineStr">
        <is>
          <t>남이면</t>
        </is>
      </c>
    </row>
    <row r="2927">
      <c r="A2927" s="3" t="n">
        <v>2022</v>
      </c>
      <c r="B2927" s="4" t="n">
        <v>112800</v>
      </c>
      <c r="C2927" s="4" t="n">
        <v>3962</v>
      </c>
      <c r="D2927" s="4" t="n">
        <v>1198.505</v>
      </c>
      <c r="E2927" s="5" t="n">
        <v>94.09999999999999</v>
      </c>
      <c r="F2927" s="3" t="inlineStr">
        <is>
          <t>남이면</t>
        </is>
      </c>
      <c r="G2927" s="3" t="inlineStr">
        <is>
          <t>구암리</t>
        </is>
      </c>
      <c r="H2927" s="3" t="inlineStr">
        <is>
          <t>자연녹지지역</t>
        </is>
      </c>
      <c r="I2927" s="3" t="inlineStr">
        <is>
          <t>답</t>
        </is>
      </c>
      <c r="J2927" s="3" t="inlineStr">
        <is>
          <t>남이면</t>
        </is>
      </c>
    </row>
    <row r="2928">
      <c r="A2928" s="3" t="n">
        <v>2023</v>
      </c>
      <c r="B2928" s="4" t="n">
        <v>26500</v>
      </c>
      <c r="C2928" s="4" t="n">
        <v>1689</v>
      </c>
      <c r="D2928" s="4" t="n">
        <v>510.9225</v>
      </c>
      <c r="E2928" s="5" t="n">
        <v>51.9</v>
      </c>
      <c r="F2928" s="3" t="inlineStr">
        <is>
          <t>남이면</t>
        </is>
      </c>
      <c r="G2928" s="3" t="inlineStr">
        <is>
          <t>부용외천리</t>
        </is>
      </c>
      <c r="H2928" s="3" t="inlineStr">
        <is>
          <t>계획관리지역</t>
        </is>
      </c>
      <c r="I2928" s="3" t="inlineStr">
        <is>
          <t>답</t>
        </is>
      </c>
      <c r="J2928" s="3" t="inlineStr">
        <is>
          <t>남이면</t>
        </is>
      </c>
    </row>
    <row r="2929">
      <c r="A2929" s="3" t="n">
        <v>2023</v>
      </c>
      <c r="B2929" s="4" t="n">
        <v>18200</v>
      </c>
      <c r="C2929" s="4" t="n">
        <v>430</v>
      </c>
      <c r="D2929" s="4" t="n">
        <v>130.075</v>
      </c>
      <c r="E2929" s="5" t="n">
        <v>139.9</v>
      </c>
      <c r="F2929" s="3" t="inlineStr">
        <is>
          <t>남이면</t>
        </is>
      </c>
      <c r="G2929" s="3" t="inlineStr">
        <is>
          <t>가좌리</t>
        </is>
      </c>
      <c r="H2929" s="3" t="inlineStr">
        <is>
          <t>자연녹지지역</t>
        </is>
      </c>
      <c r="I2929" s="3" t="inlineStr">
        <is>
          <t>답</t>
        </is>
      </c>
      <c r="J2929" s="3" t="inlineStr">
        <is>
          <t>남이면</t>
        </is>
      </c>
    </row>
    <row r="2930">
      <c r="A2930" s="3" t="n">
        <v>2023</v>
      </c>
      <c r="B2930" s="4" t="n">
        <v>8000</v>
      </c>
      <c r="C2930" s="4" t="n">
        <v>542</v>
      </c>
      <c r="D2930" s="4" t="n">
        <v>163.955</v>
      </c>
      <c r="E2930" s="5" t="n">
        <v>48.8</v>
      </c>
      <c r="F2930" s="3" t="inlineStr">
        <is>
          <t>남이면</t>
        </is>
      </c>
      <c r="G2930" s="3" t="inlineStr">
        <is>
          <t>문동리</t>
        </is>
      </c>
      <c r="H2930" s="3" t="inlineStr">
        <is>
          <t>자연녹지지역</t>
        </is>
      </c>
      <c r="I2930" s="3" t="inlineStr">
        <is>
          <t>임야</t>
        </is>
      </c>
      <c r="J2930" s="3" t="inlineStr">
        <is>
          <t>남이면</t>
        </is>
      </c>
    </row>
    <row r="2931">
      <c r="A2931" s="3" t="n">
        <v>2023</v>
      </c>
      <c r="B2931" s="4" t="n">
        <v>27248</v>
      </c>
      <c r="C2931" s="4" t="n">
        <v>1571</v>
      </c>
      <c r="D2931" s="4" t="n">
        <v>475.2275</v>
      </c>
      <c r="E2931" s="5" t="n">
        <v>57.3</v>
      </c>
      <c r="F2931" s="3" t="inlineStr">
        <is>
          <t>남이면</t>
        </is>
      </c>
      <c r="G2931" s="3" t="inlineStr">
        <is>
          <t>대련리</t>
        </is>
      </c>
      <c r="H2931" s="3" t="inlineStr">
        <is>
          <t>자연녹지지역</t>
        </is>
      </c>
      <c r="I2931" s="3" t="inlineStr">
        <is>
          <t>답</t>
        </is>
      </c>
      <c r="J2931" s="3" t="inlineStr">
        <is>
          <t>남이면</t>
        </is>
      </c>
    </row>
    <row r="2932">
      <c r="A2932" s="3" t="n">
        <v>2023</v>
      </c>
      <c r="B2932" s="4" t="n">
        <v>3382</v>
      </c>
      <c r="C2932" s="4" t="n">
        <v>195</v>
      </c>
      <c r="D2932" s="4" t="n">
        <v>58.9875</v>
      </c>
      <c r="E2932" s="5" t="n">
        <v>57.3</v>
      </c>
      <c r="F2932" s="3" t="inlineStr">
        <is>
          <t>남이면</t>
        </is>
      </c>
      <c r="G2932" s="3" t="inlineStr">
        <is>
          <t>대련리</t>
        </is>
      </c>
      <c r="H2932" s="3" t="inlineStr">
        <is>
          <t>자연녹지지역</t>
        </is>
      </c>
      <c r="I2932" s="3" t="inlineStr">
        <is>
          <t>답</t>
        </is>
      </c>
      <c r="J2932" s="3" t="inlineStr">
        <is>
          <t>남이면</t>
        </is>
      </c>
    </row>
    <row r="2933">
      <c r="A2933" s="3" t="n">
        <v>2023</v>
      </c>
      <c r="B2933" s="4" t="n">
        <v>94926</v>
      </c>
      <c r="C2933" s="4" t="n">
        <v>1728</v>
      </c>
      <c r="D2933" s="4" t="n">
        <v>522.72</v>
      </c>
      <c r="E2933" s="5" t="n">
        <v>181.6</v>
      </c>
      <c r="F2933" s="3" t="inlineStr">
        <is>
          <t>부강면</t>
        </is>
      </c>
      <c r="G2933" s="3" t="inlineStr">
        <is>
          <t>등곡리</t>
        </is>
      </c>
      <c r="H2933" s="3" t="inlineStr">
        <is>
          <t>계획관리지역</t>
        </is>
      </c>
      <c r="I2933" s="3" t="inlineStr">
        <is>
          <t>공장용지</t>
        </is>
      </c>
      <c r="J2933" s="3" t="inlineStr">
        <is>
          <t>부강면</t>
        </is>
      </c>
    </row>
    <row r="2934">
      <c r="A2934" s="3" t="n">
        <v>2022</v>
      </c>
      <c r="B2934" s="4" t="n">
        <v>5943</v>
      </c>
      <c r="C2934" s="4" t="n">
        <v>355</v>
      </c>
      <c r="D2934" s="4" t="n">
        <v>107.3875</v>
      </c>
      <c r="E2934" s="5" t="n">
        <v>55.3</v>
      </c>
      <c r="F2934" s="3" t="inlineStr">
        <is>
          <t>연서면</t>
        </is>
      </c>
      <c r="G2934" s="3" t="inlineStr">
        <is>
          <t>신대리</t>
        </is>
      </c>
      <c r="H2934" s="3" t="inlineStr">
        <is>
          <t>계획관리지역</t>
        </is>
      </c>
      <c r="I2934" s="3" t="inlineStr">
        <is>
          <t>대</t>
        </is>
      </c>
      <c r="J2934" s="3" t="inlineStr">
        <is>
          <t>연서면</t>
        </is>
      </c>
    </row>
    <row r="2935">
      <c r="A2935" s="3" t="n">
        <v>2022</v>
      </c>
      <c r="B2935" s="4" t="n">
        <v>4662</v>
      </c>
      <c r="C2935" s="4" t="n">
        <v>62</v>
      </c>
      <c r="D2935" s="4" t="n">
        <v>18.755</v>
      </c>
      <c r="E2935" s="5" t="n">
        <v>248.6</v>
      </c>
      <c r="F2935" s="3" t="inlineStr">
        <is>
          <t>연서면</t>
        </is>
      </c>
      <c r="G2935" s="3" t="inlineStr">
        <is>
          <t>봉암리</t>
        </is>
      </c>
      <c r="H2935" s="3" t="inlineStr">
        <is>
          <t>계획관리지역</t>
        </is>
      </c>
      <c r="I2935" s="3" t="inlineStr">
        <is>
          <t>대</t>
        </is>
      </c>
      <c r="J2935" s="3" t="inlineStr">
        <is>
          <t>연서면</t>
        </is>
      </c>
    </row>
    <row r="2936">
      <c r="A2936" s="3" t="n">
        <v>2025</v>
      </c>
      <c r="B2936" s="4" t="n">
        <v>33</v>
      </c>
      <c r="C2936" s="4" t="n">
        <v>1</v>
      </c>
      <c r="D2936" s="4" t="n">
        <v>0.3025</v>
      </c>
      <c r="E2936" s="5" t="n">
        <v>109.1</v>
      </c>
      <c r="F2936" s="3" t="inlineStr">
        <is>
          <t>부강면</t>
        </is>
      </c>
      <c r="G2936" s="3" t="inlineStr">
        <is>
          <t>부강리</t>
        </is>
      </c>
      <c r="H2936" s="3" t="inlineStr">
        <is>
          <t>제2종일반주거지역</t>
        </is>
      </c>
      <c r="I2936" s="3" t="inlineStr">
        <is>
          <t>대</t>
        </is>
      </c>
      <c r="J2936" s="3" t="inlineStr">
        <is>
          <t>부강면</t>
        </is>
      </c>
    </row>
    <row r="2937">
      <c r="A2937" s="3" t="n">
        <v>2025</v>
      </c>
      <c r="B2937" s="4" t="n">
        <v>820</v>
      </c>
      <c r="C2937" s="4" t="n">
        <v>25</v>
      </c>
      <c r="D2937" s="4" t="n">
        <v>7.5625</v>
      </c>
      <c r="E2937" s="5" t="n">
        <v>108.4</v>
      </c>
      <c r="F2937" s="3" t="inlineStr">
        <is>
          <t>부강면</t>
        </is>
      </c>
      <c r="G2937" s="3" t="inlineStr">
        <is>
          <t>부강리</t>
        </is>
      </c>
      <c r="H2937" s="3" t="inlineStr">
        <is>
          <t>제2종일반주거지역</t>
        </is>
      </c>
      <c r="I2937" s="3" t="inlineStr">
        <is>
          <t>대</t>
        </is>
      </c>
      <c r="J2937" s="3" t="inlineStr">
        <is>
          <t>부강면</t>
        </is>
      </c>
    </row>
    <row r="2938">
      <c r="A2938" s="3" t="n">
        <v>2025</v>
      </c>
      <c r="B2938" s="4" t="n">
        <v>33</v>
      </c>
      <c r="C2938" s="4" t="n">
        <v>1</v>
      </c>
      <c r="D2938" s="4" t="n">
        <v>0.3025</v>
      </c>
      <c r="E2938" s="5" t="n">
        <v>109.1</v>
      </c>
      <c r="F2938" s="3" t="inlineStr">
        <is>
          <t>부강면</t>
        </is>
      </c>
      <c r="G2938" s="3" t="inlineStr">
        <is>
          <t>부강리</t>
        </is>
      </c>
      <c r="H2938" s="3" t="inlineStr">
        <is>
          <t>제2종일반주거지역</t>
        </is>
      </c>
      <c r="I2938" s="3" t="inlineStr">
        <is>
          <t>대</t>
        </is>
      </c>
      <c r="J2938" s="3" t="inlineStr">
        <is>
          <t>부강면</t>
        </is>
      </c>
    </row>
    <row r="2939">
      <c r="A2939" s="3" t="n">
        <v>2025</v>
      </c>
      <c r="B2939" s="4" t="n">
        <v>33</v>
      </c>
      <c r="C2939" s="4" t="n">
        <v>1</v>
      </c>
      <c r="D2939" s="4" t="n">
        <v>0.3025</v>
      </c>
      <c r="E2939" s="5" t="n">
        <v>109.1</v>
      </c>
      <c r="F2939" s="3" t="inlineStr">
        <is>
          <t>부강면</t>
        </is>
      </c>
      <c r="G2939" s="3" t="inlineStr">
        <is>
          <t>부강리</t>
        </is>
      </c>
      <c r="H2939" s="3" t="inlineStr">
        <is>
          <t>제2종일반주거지역</t>
        </is>
      </c>
      <c r="I2939" s="3" t="inlineStr">
        <is>
          <t>대</t>
        </is>
      </c>
      <c r="J2939" s="3" t="inlineStr">
        <is>
          <t>부강면</t>
        </is>
      </c>
    </row>
    <row r="2940">
      <c r="A2940" s="3" t="n">
        <v>2025</v>
      </c>
      <c r="B2940" s="4" t="n">
        <v>33</v>
      </c>
      <c r="C2940" s="4" t="n">
        <v>1</v>
      </c>
      <c r="D2940" s="4" t="n">
        <v>0.3025</v>
      </c>
      <c r="E2940" s="5" t="n">
        <v>109.1</v>
      </c>
      <c r="F2940" s="3" t="inlineStr">
        <is>
          <t>부강면</t>
        </is>
      </c>
      <c r="G2940" s="3" t="inlineStr">
        <is>
          <t>부강리</t>
        </is>
      </c>
      <c r="H2940" s="3" t="inlineStr">
        <is>
          <t>제2종일반주거지역</t>
        </is>
      </c>
      <c r="I2940" s="3" t="inlineStr">
        <is>
          <t>대</t>
        </is>
      </c>
      <c r="J2940" s="3" t="inlineStr">
        <is>
          <t>부강면</t>
        </is>
      </c>
    </row>
    <row r="2941">
      <c r="A2941" s="3" t="n">
        <v>2025</v>
      </c>
      <c r="B2941" s="4" t="n">
        <v>33</v>
      </c>
      <c r="C2941" s="4" t="n">
        <v>1</v>
      </c>
      <c r="D2941" s="4" t="n">
        <v>0.3025</v>
      </c>
      <c r="E2941" s="5" t="n">
        <v>109.1</v>
      </c>
      <c r="F2941" s="3" t="inlineStr">
        <is>
          <t>부강면</t>
        </is>
      </c>
      <c r="G2941" s="3" t="inlineStr">
        <is>
          <t>부강리</t>
        </is>
      </c>
      <c r="H2941" s="3" t="inlineStr">
        <is>
          <t>제2종일반주거지역</t>
        </is>
      </c>
      <c r="I2941" s="3" t="inlineStr">
        <is>
          <t>대</t>
        </is>
      </c>
      <c r="J2941" s="3" t="inlineStr">
        <is>
          <t>부강면</t>
        </is>
      </c>
    </row>
    <row r="2942">
      <c r="A2942" s="3" t="n">
        <v>2025</v>
      </c>
      <c r="B2942" s="4" t="n">
        <v>33</v>
      </c>
      <c r="C2942" s="4" t="n">
        <v>1</v>
      </c>
      <c r="D2942" s="4" t="n">
        <v>0.3025</v>
      </c>
      <c r="E2942" s="5" t="n">
        <v>109.1</v>
      </c>
      <c r="F2942" s="3" t="inlineStr">
        <is>
          <t>부강면</t>
        </is>
      </c>
      <c r="G2942" s="3" t="inlineStr">
        <is>
          <t>부강리</t>
        </is>
      </c>
      <c r="H2942" s="3" t="inlineStr">
        <is>
          <t>제2종일반주거지역</t>
        </is>
      </c>
      <c r="I2942" s="3" t="inlineStr">
        <is>
          <t>대</t>
        </is>
      </c>
      <c r="J2942" s="3" t="inlineStr">
        <is>
          <t>부강면</t>
        </is>
      </c>
    </row>
    <row r="2943">
      <c r="A2943" s="3" t="n">
        <v>2025</v>
      </c>
      <c r="B2943" s="4" t="n">
        <v>1902</v>
      </c>
      <c r="C2943" s="4" t="n">
        <v>58</v>
      </c>
      <c r="D2943" s="4" t="n">
        <v>17.545</v>
      </c>
      <c r="E2943" s="5" t="n">
        <v>108.4</v>
      </c>
      <c r="F2943" s="3" t="inlineStr">
        <is>
          <t>부강면</t>
        </is>
      </c>
      <c r="G2943" s="3" t="inlineStr">
        <is>
          <t>부강리</t>
        </is>
      </c>
      <c r="H2943" s="3" t="inlineStr">
        <is>
          <t>제2종일반주거지역</t>
        </is>
      </c>
      <c r="I2943" s="3" t="inlineStr">
        <is>
          <t>대</t>
        </is>
      </c>
      <c r="J2943" s="3" t="inlineStr">
        <is>
          <t>부강면</t>
        </is>
      </c>
    </row>
    <row r="2944">
      <c r="A2944" s="3" t="n">
        <v>2025</v>
      </c>
      <c r="B2944" s="4" t="n">
        <v>33</v>
      </c>
      <c r="C2944" s="4" t="n">
        <v>1</v>
      </c>
      <c r="D2944" s="4" t="n">
        <v>0.3025</v>
      </c>
      <c r="E2944" s="5" t="n">
        <v>109.1</v>
      </c>
      <c r="F2944" s="3" t="inlineStr">
        <is>
          <t>부강면</t>
        </is>
      </c>
      <c r="G2944" s="3" t="inlineStr">
        <is>
          <t>부강리</t>
        </is>
      </c>
      <c r="H2944" s="3" t="inlineStr">
        <is>
          <t>제2종일반주거지역</t>
        </is>
      </c>
      <c r="I2944" s="3" t="inlineStr">
        <is>
          <t>대</t>
        </is>
      </c>
      <c r="J2944" s="3" t="inlineStr">
        <is>
          <t>부강면</t>
        </is>
      </c>
    </row>
    <row r="2945">
      <c r="A2945" s="3" t="n">
        <v>2025</v>
      </c>
      <c r="B2945" s="4" t="n">
        <v>820</v>
      </c>
      <c r="C2945" s="4" t="n">
        <v>25</v>
      </c>
      <c r="D2945" s="4" t="n">
        <v>7.5625</v>
      </c>
      <c r="E2945" s="5" t="n">
        <v>108.4</v>
      </c>
      <c r="F2945" s="3" t="inlineStr">
        <is>
          <t>부강면</t>
        </is>
      </c>
      <c r="G2945" s="3" t="inlineStr">
        <is>
          <t>부강리</t>
        </is>
      </c>
      <c r="H2945" s="3" t="inlineStr">
        <is>
          <t>제2종일반주거지역</t>
        </is>
      </c>
      <c r="I2945" s="3" t="inlineStr">
        <is>
          <t>대</t>
        </is>
      </c>
      <c r="J2945" s="3" t="inlineStr">
        <is>
          <t>부강면</t>
        </is>
      </c>
    </row>
    <row r="2946">
      <c r="A2946" s="3" t="n">
        <v>2025</v>
      </c>
      <c r="B2946" s="4" t="n">
        <v>25000</v>
      </c>
      <c r="C2946" s="4" t="n">
        <v>1750</v>
      </c>
      <c r="D2946" s="4" t="n">
        <v>529.375</v>
      </c>
      <c r="E2946" s="5" t="n">
        <v>47.2</v>
      </c>
      <c r="F2946" s="3" t="inlineStr">
        <is>
          <t>부강면</t>
        </is>
      </c>
      <c r="G2946" s="3" t="inlineStr">
        <is>
          <t>문곡리</t>
        </is>
      </c>
      <c r="H2946" s="3" t="inlineStr">
        <is>
          <t>계획관리지역</t>
        </is>
      </c>
      <c r="I2946" s="3" t="inlineStr">
        <is>
          <t>답</t>
        </is>
      </c>
      <c r="J2946" s="3" t="inlineStr">
        <is>
          <t>부강면</t>
        </is>
      </c>
    </row>
    <row r="2947">
      <c r="A2947" s="3" t="n">
        <v>2025</v>
      </c>
      <c r="B2947" s="4" t="n">
        <v>29117</v>
      </c>
      <c r="C2947" s="4" t="n">
        <v>1957</v>
      </c>
      <c r="D2947" s="4" t="n">
        <v>591.9924999999999</v>
      </c>
      <c r="E2947" s="5" t="n">
        <v>49.2</v>
      </c>
      <c r="F2947" s="3" t="inlineStr">
        <is>
          <t>부강면</t>
        </is>
      </c>
      <c r="G2947" s="3" t="inlineStr">
        <is>
          <t>노호리</t>
        </is>
      </c>
      <c r="H2947" s="3" t="inlineStr">
        <is>
          <t>보전관리지역</t>
        </is>
      </c>
      <c r="I2947" s="3" t="inlineStr">
        <is>
          <t>임야</t>
        </is>
      </c>
      <c r="J2947" s="3" t="inlineStr">
        <is>
          <t>부강면</t>
        </is>
      </c>
    </row>
    <row r="2948">
      <c r="A2948" s="3" t="n">
        <v>2025</v>
      </c>
      <c r="B2948" s="4" t="n">
        <v>15000</v>
      </c>
      <c r="C2948" s="4" t="n">
        <v>2314</v>
      </c>
      <c r="D2948" s="4" t="n">
        <v>699.985</v>
      </c>
      <c r="E2948" s="5" t="n">
        <v>21.4</v>
      </c>
      <c r="F2948" s="3" t="inlineStr">
        <is>
          <t>연서면</t>
        </is>
      </c>
      <c r="G2948" s="3" t="inlineStr">
        <is>
          <t>청라리</t>
        </is>
      </c>
      <c r="H2948" s="3" t="inlineStr">
        <is>
          <t>생산관리지역</t>
        </is>
      </c>
      <c r="I2948" s="3" t="inlineStr">
        <is>
          <t>과수원</t>
        </is>
      </c>
      <c r="J2948" s="3" t="inlineStr">
        <is>
          <t>연서면</t>
        </is>
      </c>
    </row>
    <row r="2949">
      <c r="A2949" s="3" t="n">
        <v>2025</v>
      </c>
      <c r="B2949" s="4" t="n">
        <v>21100</v>
      </c>
      <c r="C2949" s="4" t="n">
        <v>1531</v>
      </c>
      <c r="D2949" s="4" t="n">
        <v>463.1275</v>
      </c>
      <c r="E2949" s="5" t="n">
        <v>45.6</v>
      </c>
      <c r="F2949" s="3" t="inlineStr">
        <is>
          <t>부강면</t>
        </is>
      </c>
      <c r="G2949" s="3" t="inlineStr">
        <is>
          <t>문곡리</t>
        </is>
      </c>
      <c r="H2949" s="3" t="inlineStr">
        <is>
          <t>계획관리지역</t>
        </is>
      </c>
      <c r="I2949" s="3" t="inlineStr">
        <is>
          <t>답</t>
        </is>
      </c>
      <c r="J2949" s="3" t="inlineStr">
        <is>
          <t>부강면</t>
        </is>
      </c>
    </row>
    <row r="2950">
      <c r="A2950" s="3" t="n">
        <v>2025</v>
      </c>
      <c r="B2950" s="4" t="n">
        <v>2800</v>
      </c>
      <c r="C2950" s="4" t="n">
        <v>200</v>
      </c>
      <c r="D2950" s="4" t="n">
        <v>60.5</v>
      </c>
      <c r="E2950" s="5" t="n">
        <v>46.3</v>
      </c>
      <c r="F2950" s="3" t="inlineStr">
        <is>
          <t>부강면</t>
        </is>
      </c>
      <c r="G2950" s="3" t="inlineStr">
        <is>
          <t>문곡리</t>
        </is>
      </c>
      <c r="H2950" s="3" t="inlineStr">
        <is>
          <t>계획관리지역</t>
        </is>
      </c>
      <c r="I2950" s="3" t="inlineStr">
        <is>
          <t>답</t>
        </is>
      </c>
      <c r="J2950" s="3" t="inlineStr">
        <is>
          <t>부강면</t>
        </is>
      </c>
    </row>
    <row r="2951">
      <c r="A2951" s="3" t="n">
        <v>2025</v>
      </c>
      <c r="B2951" s="4" t="n">
        <v>13100</v>
      </c>
      <c r="C2951" s="4" t="n">
        <v>855</v>
      </c>
      <c r="D2951" s="4" t="n">
        <v>258.6375</v>
      </c>
      <c r="E2951" s="5" t="n">
        <v>50.7</v>
      </c>
      <c r="F2951" s="3" t="inlineStr">
        <is>
          <t>부강면</t>
        </is>
      </c>
      <c r="G2951" s="3" t="inlineStr">
        <is>
          <t>문곡리</t>
        </is>
      </c>
      <c r="H2951" s="3" t="inlineStr">
        <is>
          <t>계획관리지역</t>
        </is>
      </c>
      <c r="I2951" s="3" t="inlineStr">
        <is>
          <t>답</t>
        </is>
      </c>
      <c r="J2951" s="3" t="inlineStr">
        <is>
          <t>부강면</t>
        </is>
      </c>
    </row>
    <row r="2952">
      <c r="A2952" s="3" t="n">
        <v>2025</v>
      </c>
      <c r="B2952" s="4" t="n">
        <v>21000</v>
      </c>
      <c r="C2952" s="4" t="n">
        <v>1501</v>
      </c>
      <c r="D2952" s="4" t="n">
        <v>454.0525</v>
      </c>
      <c r="E2952" s="5" t="n">
        <v>46.3</v>
      </c>
      <c r="F2952" s="3" t="inlineStr">
        <is>
          <t>부강면</t>
        </is>
      </c>
      <c r="G2952" s="3" t="inlineStr">
        <is>
          <t>문곡리</t>
        </is>
      </c>
      <c r="H2952" s="3" t="inlineStr">
        <is>
          <t>계획관리지역</t>
        </is>
      </c>
      <c r="I2952" s="3" t="inlineStr">
        <is>
          <t>답</t>
        </is>
      </c>
      <c r="J2952" s="3" t="inlineStr">
        <is>
          <t>부강면</t>
        </is>
      </c>
    </row>
    <row r="2953">
      <c r="A2953" s="3" t="n">
        <v>2025</v>
      </c>
      <c r="B2953" s="4" t="n">
        <v>21100</v>
      </c>
      <c r="C2953" s="4" t="n">
        <v>1531</v>
      </c>
      <c r="D2953" s="4" t="n">
        <v>463.1275</v>
      </c>
      <c r="E2953" s="5" t="n">
        <v>45.6</v>
      </c>
      <c r="F2953" s="3" t="inlineStr">
        <is>
          <t>부강면</t>
        </is>
      </c>
      <c r="G2953" s="3" t="inlineStr">
        <is>
          <t>문곡리</t>
        </is>
      </c>
      <c r="H2953" s="3" t="inlineStr">
        <is>
          <t>계획관리지역</t>
        </is>
      </c>
      <c r="I2953" s="3" t="inlineStr">
        <is>
          <t>답</t>
        </is>
      </c>
      <c r="J2953" s="3" t="inlineStr">
        <is>
          <t>부강면</t>
        </is>
      </c>
    </row>
    <row r="2954">
      <c r="A2954" s="3" t="n">
        <v>2025</v>
      </c>
      <c r="B2954" s="4" t="n">
        <v>2800</v>
      </c>
      <c r="C2954" s="4" t="n">
        <v>200</v>
      </c>
      <c r="D2954" s="4" t="n">
        <v>60.5</v>
      </c>
      <c r="E2954" s="5" t="n">
        <v>46.3</v>
      </c>
      <c r="F2954" s="3" t="inlineStr">
        <is>
          <t>부강면</t>
        </is>
      </c>
      <c r="G2954" s="3" t="inlineStr">
        <is>
          <t>문곡리</t>
        </is>
      </c>
      <c r="H2954" s="3" t="inlineStr">
        <is>
          <t>계획관리지역</t>
        </is>
      </c>
      <c r="I2954" s="3" t="inlineStr">
        <is>
          <t>답</t>
        </is>
      </c>
      <c r="J2954" s="3" t="inlineStr">
        <is>
          <t>부강면</t>
        </is>
      </c>
    </row>
    <row r="2955">
      <c r="A2955" s="3" t="n">
        <v>2025</v>
      </c>
      <c r="B2955" s="4" t="n">
        <v>8900</v>
      </c>
      <c r="C2955" s="4" t="n">
        <v>635</v>
      </c>
      <c r="D2955" s="4" t="n">
        <v>192.0875</v>
      </c>
      <c r="E2955" s="5" t="n">
        <v>46.3</v>
      </c>
      <c r="F2955" s="3" t="inlineStr">
        <is>
          <t>부강면</t>
        </is>
      </c>
      <c r="G2955" s="3" t="inlineStr">
        <is>
          <t>행산리</t>
        </is>
      </c>
      <c r="H2955" s="3" t="inlineStr">
        <is>
          <t>계획관리지역</t>
        </is>
      </c>
      <c r="I2955" s="3" t="inlineStr">
        <is>
          <t>전</t>
        </is>
      </c>
      <c r="J2955" s="3" t="inlineStr">
        <is>
          <t>부강면</t>
        </is>
      </c>
    </row>
    <row r="2956">
      <c r="A2956" s="3" t="n">
        <v>2025</v>
      </c>
      <c r="B2956" s="4" t="n">
        <v>3000</v>
      </c>
      <c r="C2956" s="4" t="n">
        <v>218</v>
      </c>
      <c r="D2956" s="4" t="n">
        <v>65.94499999999999</v>
      </c>
      <c r="E2956" s="5" t="n">
        <v>45.5</v>
      </c>
      <c r="F2956" s="3" t="inlineStr">
        <is>
          <t>부강면</t>
        </is>
      </c>
      <c r="G2956" s="3" t="inlineStr">
        <is>
          <t>행산리</t>
        </is>
      </c>
      <c r="H2956" s="3" t="inlineStr">
        <is>
          <t>계획관리지역</t>
        </is>
      </c>
      <c r="I2956" s="3" t="inlineStr">
        <is>
          <t>전</t>
        </is>
      </c>
      <c r="J2956" s="3" t="inlineStr">
        <is>
          <t>부강면</t>
        </is>
      </c>
    </row>
    <row r="2957">
      <c r="A2957" s="3" t="n">
        <v>2025</v>
      </c>
      <c r="B2957" s="4" t="n">
        <v>900</v>
      </c>
      <c r="C2957" s="4" t="n">
        <v>298</v>
      </c>
      <c r="D2957" s="4" t="n">
        <v>90.145</v>
      </c>
      <c r="E2957" s="5" t="n">
        <v>10</v>
      </c>
      <c r="F2957" s="3" t="inlineStr">
        <is>
          <t>부강면</t>
        </is>
      </c>
      <c r="G2957" s="3" t="inlineStr">
        <is>
          <t>행산리</t>
        </is>
      </c>
      <c r="H2957" s="3" t="inlineStr">
        <is>
          <t>계획관리지역</t>
        </is>
      </c>
      <c r="I2957" s="3" t="inlineStr">
        <is>
          <t>임야</t>
        </is>
      </c>
      <c r="J2957" s="3" t="inlineStr">
        <is>
          <t>부강면</t>
        </is>
      </c>
    </row>
    <row r="2958">
      <c r="A2958" s="3" t="n">
        <v>2025</v>
      </c>
      <c r="B2958" s="4" t="n">
        <v>3900</v>
      </c>
      <c r="C2958" s="4" t="n">
        <v>1288</v>
      </c>
      <c r="D2958" s="4" t="n">
        <v>389.62</v>
      </c>
      <c r="E2958" s="5" t="n">
        <v>10</v>
      </c>
      <c r="F2958" s="3" t="inlineStr">
        <is>
          <t>부강면</t>
        </is>
      </c>
      <c r="G2958" s="3" t="inlineStr">
        <is>
          <t>행산리</t>
        </is>
      </c>
      <c r="H2958" s="3" t="inlineStr">
        <is>
          <t>계획관리지역</t>
        </is>
      </c>
      <c r="I2958" s="3" t="inlineStr">
        <is>
          <t>임야</t>
        </is>
      </c>
      <c r="J2958" s="3" t="inlineStr">
        <is>
          <t>부강면</t>
        </is>
      </c>
    </row>
    <row r="2959">
      <c r="A2959" s="3" t="n">
        <v>2024</v>
      </c>
      <c r="B2959" s="4" t="n">
        <v>6800</v>
      </c>
      <c r="C2959" s="4" t="n">
        <v>799</v>
      </c>
      <c r="D2959" s="4" t="n">
        <v>241.6975</v>
      </c>
      <c r="E2959" s="5" t="n">
        <v>28.1</v>
      </c>
      <c r="F2959" s="3" t="inlineStr">
        <is>
          <t>연서면</t>
        </is>
      </c>
      <c r="G2959" s="3" t="inlineStr">
        <is>
          <t>청라리</t>
        </is>
      </c>
      <c r="H2959" s="3" t="inlineStr">
        <is>
          <t>생산관리지역</t>
        </is>
      </c>
      <c r="I2959" s="3" t="inlineStr">
        <is>
          <t>답</t>
        </is>
      </c>
      <c r="J2959" s="3" t="inlineStr">
        <is>
          <t>연서면</t>
        </is>
      </c>
    </row>
    <row r="2960">
      <c r="A2960" s="3" t="n">
        <v>2024</v>
      </c>
      <c r="B2960" s="4" t="n">
        <v>3200</v>
      </c>
      <c r="C2960" s="4" t="n">
        <v>372</v>
      </c>
      <c r="D2960" s="4" t="n">
        <v>112.53</v>
      </c>
      <c r="E2960" s="5" t="n">
        <v>28.4</v>
      </c>
      <c r="F2960" s="3" t="inlineStr">
        <is>
          <t>연서면</t>
        </is>
      </c>
      <c r="G2960" s="3" t="inlineStr">
        <is>
          <t>청라리</t>
        </is>
      </c>
      <c r="H2960" s="3" t="inlineStr">
        <is>
          <t>생산관리지역</t>
        </is>
      </c>
      <c r="I2960" s="3" t="inlineStr">
        <is>
          <t>답</t>
        </is>
      </c>
      <c r="J2960" s="3" t="inlineStr">
        <is>
          <t>연서면</t>
        </is>
      </c>
    </row>
    <row r="2961">
      <c r="A2961" s="3" t="n">
        <v>2024</v>
      </c>
      <c r="B2961" s="4" t="n">
        <v>22450</v>
      </c>
      <c r="C2961" s="4" t="n">
        <v>190.6</v>
      </c>
      <c r="D2961" s="4" t="n">
        <v>57.65649999999999</v>
      </c>
      <c r="E2961" s="5" t="n">
        <v>389.4</v>
      </c>
      <c r="F2961" s="3" t="inlineStr">
        <is>
          <t>조치원읍</t>
        </is>
      </c>
      <c r="G2961" s="3" t="inlineStr">
        <is>
          <t>남리</t>
        </is>
      </c>
      <c r="H2961" s="3" t="inlineStr">
        <is>
          <t>제2종일반주거지역</t>
        </is>
      </c>
      <c r="I2961" s="3" t="inlineStr">
        <is>
          <t>대</t>
        </is>
      </c>
      <c r="J2961" s="3" t="inlineStr">
        <is>
          <t>조치원읍</t>
        </is>
      </c>
    </row>
    <row r="2962">
      <c r="A2962" s="3" t="n">
        <v>2024</v>
      </c>
      <c r="B2962" s="4" t="n">
        <v>37000</v>
      </c>
      <c r="C2962" s="4" t="n">
        <v>990</v>
      </c>
      <c r="D2962" s="4" t="n">
        <v>299.475</v>
      </c>
      <c r="E2962" s="5" t="n">
        <v>123.5</v>
      </c>
      <c r="F2962" s="3" t="inlineStr">
        <is>
          <t>조치원읍</t>
        </is>
      </c>
      <c r="G2962" s="3" t="inlineStr">
        <is>
          <t>신안리</t>
        </is>
      </c>
      <c r="H2962" s="3" t="inlineStr">
        <is>
          <t>자연녹지지역</t>
        </is>
      </c>
      <c r="I2962" s="3" t="inlineStr">
        <is>
          <t>전</t>
        </is>
      </c>
      <c r="J2962" s="3" t="inlineStr">
        <is>
          <t>조치원읍</t>
        </is>
      </c>
    </row>
    <row r="2963">
      <c r="A2963" s="3" t="n">
        <v>2024</v>
      </c>
      <c r="B2963" s="4" t="n">
        <v>23000</v>
      </c>
      <c r="C2963" s="4" t="n">
        <v>617</v>
      </c>
      <c r="D2963" s="4" t="n">
        <v>186.6425</v>
      </c>
      <c r="E2963" s="5" t="n">
        <v>123.2</v>
      </c>
      <c r="F2963" s="3" t="inlineStr">
        <is>
          <t>조치원읍</t>
        </is>
      </c>
      <c r="G2963" s="3" t="inlineStr">
        <is>
          <t>신안리</t>
        </is>
      </c>
      <c r="H2963" s="3" t="inlineStr">
        <is>
          <t>자연녹지지역</t>
        </is>
      </c>
      <c r="I2963" s="3" t="inlineStr">
        <is>
          <t>전</t>
        </is>
      </c>
      <c r="J2963" s="3" t="inlineStr">
        <is>
          <t>조치원읍</t>
        </is>
      </c>
    </row>
    <row r="2964">
      <c r="A2964" s="3" t="n">
        <v>2024</v>
      </c>
      <c r="B2964" s="4" t="n">
        <v>10</v>
      </c>
      <c r="C2964" s="4" t="n">
        <v>1</v>
      </c>
      <c r="D2964" s="4" t="n">
        <v>0.3025</v>
      </c>
      <c r="E2964" s="5" t="n">
        <v>33.1</v>
      </c>
      <c r="F2964" s="3" t="inlineStr">
        <is>
          <t>조치원읍</t>
        </is>
      </c>
      <c r="G2964" s="3" t="inlineStr">
        <is>
          <t>신안리</t>
        </is>
      </c>
      <c r="H2964" s="3" t="inlineStr">
        <is>
          <t>자연녹지지역</t>
        </is>
      </c>
      <c r="I2964" s="3" t="inlineStr">
        <is>
          <t>도로</t>
        </is>
      </c>
      <c r="J2964" s="3" t="inlineStr">
        <is>
          <t>조치원읍</t>
        </is>
      </c>
    </row>
    <row r="2965">
      <c r="A2965" s="3" t="n">
        <v>2024</v>
      </c>
      <c r="B2965" s="4" t="n">
        <v>56000</v>
      </c>
      <c r="C2965" s="4" t="n">
        <v>1409</v>
      </c>
      <c r="D2965" s="4" t="n">
        <v>426.2225</v>
      </c>
      <c r="E2965" s="5" t="n">
        <v>131.4</v>
      </c>
      <c r="F2965" s="3" t="inlineStr">
        <is>
          <t>부강면</t>
        </is>
      </c>
      <c r="G2965" s="3" t="inlineStr">
        <is>
          <t>문곡리</t>
        </is>
      </c>
      <c r="H2965" s="3" t="inlineStr">
        <is>
          <t>계획관리지역</t>
        </is>
      </c>
      <c r="I2965" s="3" t="inlineStr">
        <is>
          <t>전</t>
        </is>
      </c>
      <c r="J2965" s="3" t="inlineStr">
        <is>
          <t>부강면</t>
        </is>
      </c>
    </row>
    <row r="2966">
      <c r="A2966" s="3" t="n">
        <v>2024</v>
      </c>
      <c r="B2966" s="4" t="n">
        <v>16500</v>
      </c>
      <c r="C2966" s="4" t="n">
        <v>236</v>
      </c>
      <c r="D2966" s="4" t="n">
        <v>71.39</v>
      </c>
      <c r="E2966" s="5" t="n">
        <v>231.1</v>
      </c>
      <c r="F2966" s="3" t="inlineStr">
        <is>
          <t>부강면</t>
        </is>
      </c>
      <c r="G2966" s="3" t="inlineStr">
        <is>
          <t>문곡리</t>
        </is>
      </c>
      <c r="H2966" s="3" t="inlineStr">
        <is>
          <t>계획관리지역</t>
        </is>
      </c>
      <c r="I2966" s="3" t="inlineStr">
        <is>
          <t>대</t>
        </is>
      </c>
      <c r="J2966" s="3" t="inlineStr">
        <is>
          <t>부강면</t>
        </is>
      </c>
    </row>
    <row r="2967">
      <c r="A2967" s="3" t="n">
        <v>2026</v>
      </c>
      <c r="B2967" s="4" t="n">
        <v>49350</v>
      </c>
      <c r="C2967" s="4" t="n">
        <v>1551</v>
      </c>
      <c r="D2967" s="4" t="n">
        <v>469.1775</v>
      </c>
      <c r="E2967" s="5" t="n">
        <v>105.2</v>
      </c>
      <c r="F2967" s="3" t="inlineStr">
        <is>
          <t>연서면</t>
        </is>
      </c>
      <c r="G2967" s="3" t="inlineStr">
        <is>
          <t>와촌리</t>
        </is>
      </c>
      <c r="H2967" s="3" t="inlineStr">
        <is>
          <t>농림지역</t>
        </is>
      </c>
      <c r="I2967" s="3" t="inlineStr">
        <is>
          <t>답</t>
        </is>
      </c>
      <c r="J2967" s="3" t="inlineStr">
        <is>
          <t>연서면</t>
        </is>
      </c>
    </row>
    <row r="2968">
      <c r="A2968" s="3" t="n">
        <v>2023</v>
      </c>
      <c r="B2968" s="4" t="n">
        <v>43000</v>
      </c>
      <c r="C2968" s="4" t="n">
        <v>303</v>
      </c>
      <c r="D2968" s="4" t="n">
        <v>91.6575</v>
      </c>
      <c r="E2968" s="5" t="n">
        <v>469.1</v>
      </c>
      <c r="F2968" s="3" t="inlineStr">
        <is>
          <t>연동면</t>
        </is>
      </c>
      <c r="G2968" s="3" t="inlineStr">
        <is>
          <t>내판리</t>
        </is>
      </c>
      <c r="H2968" s="3" t="inlineStr">
        <is>
          <t>계획관리지역</t>
        </is>
      </c>
      <c r="I2968" s="3" t="inlineStr">
        <is>
          <t>과수원</t>
        </is>
      </c>
      <c r="J2968" s="3" t="inlineStr">
        <is>
          <t>연동면</t>
        </is>
      </c>
    </row>
    <row r="2969">
      <c r="A2969" s="3" t="n">
        <v>2023</v>
      </c>
      <c r="B2969" s="4" t="n">
        <v>2000</v>
      </c>
      <c r="C2969" s="4" t="n">
        <v>70</v>
      </c>
      <c r="D2969" s="4" t="n">
        <v>21.175</v>
      </c>
      <c r="E2969" s="5" t="n">
        <v>94.5</v>
      </c>
      <c r="F2969" s="3" t="inlineStr">
        <is>
          <t>연서면</t>
        </is>
      </c>
      <c r="G2969" s="3" t="inlineStr">
        <is>
          <t>신대리</t>
        </is>
      </c>
      <c r="H2969" s="3" t="inlineStr">
        <is>
          <t>계획관리지역</t>
        </is>
      </c>
      <c r="I2969" s="3" t="inlineStr">
        <is>
          <t>대</t>
        </is>
      </c>
      <c r="J2969" s="3" t="inlineStr">
        <is>
          <t>연서면</t>
        </is>
      </c>
    </row>
    <row r="2970">
      <c r="A2970" s="3" t="n">
        <v>2022</v>
      </c>
      <c r="B2970" s="4" t="n">
        <v>6760</v>
      </c>
      <c r="C2970" s="4" t="n">
        <v>172</v>
      </c>
      <c r="D2970" s="4" t="n">
        <v>52.03</v>
      </c>
      <c r="E2970" s="5" t="n">
        <v>129.9</v>
      </c>
      <c r="F2970" s="3" t="inlineStr">
        <is>
          <t>연동면</t>
        </is>
      </c>
      <c r="G2970" s="3" t="inlineStr">
        <is>
          <t>내판리</t>
        </is>
      </c>
      <c r="H2970" s="3" t="inlineStr">
        <is>
          <t>계획관리지역</t>
        </is>
      </c>
      <c r="I2970" s="3" t="inlineStr">
        <is>
          <t>도로</t>
        </is>
      </c>
      <c r="J2970" s="3" t="inlineStr">
        <is>
          <t>연동면</t>
        </is>
      </c>
    </row>
    <row r="2971">
      <c r="A2971" s="3" t="n">
        <v>2025</v>
      </c>
      <c r="B2971" s="4" t="n">
        <v>87662</v>
      </c>
      <c r="C2971" s="4" t="n">
        <v>1418.8</v>
      </c>
      <c r="D2971" s="4" t="n">
        <v>429.187</v>
      </c>
      <c r="E2971" s="5" t="n">
        <v>204.3</v>
      </c>
      <c r="F2971" s="3" t="inlineStr">
        <is>
          <t>집현동</t>
        </is>
      </c>
      <c r="G2971" s="3" t="inlineStr"/>
      <c r="H2971" s="3" t="inlineStr">
        <is>
          <t>준주거지역</t>
        </is>
      </c>
      <c r="I2971" s="3" t="inlineStr">
        <is>
          <t>대</t>
        </is>
      </c>
      <c r="J2971" s="3" t="inlineStr">
        <is>
          <t>집현동</t>
        </is>
      </c>
    </row>
    <row r="2972">
      <c r="A2972" s="3" t="n">
        <v>2025</v>
      </c>
      <c r="B2972" s="4" t="n">
        <v>3400</v>
      </c>
      <c r="C2972" s="4" t="n">
        <v>1127</v>
      </c>
      <c r="D2972" s="4" t="n">
        <v>340.9175</v>
      </c>
      <c r="E2972" s="5" t="n">
        <v>10</v>
      </c>
      <c r="F2972" s="3" t="inlineStr">
        <is>
          <t>부강면</t>
        </is>
      </c>
      <c r="G2972" s="3" t="inlineStr">
        <is>
          <t>행산리</t>
        </is>
      </c>
      <c r="H2972" s="3" t="inlineStr">
        <is>
          <t>계획관리지역</t>
        </is>
      </c>
      <c r="I2972" s="3" t="inlineStr">
        <is>
          <t>전</t>
        </is>
      </c>
      <c r="J2972" s="3" t="inlineStr">
        <is>
          <t>부강면</t>
        </is>
      </c>
    </row>
    <row r="2973">
      <c r="A2973" s="3" t="n">
        <v>2023</v>
      </c>
      <c r="B2973" s="4" t="n">
        <v>52500</v>
      </c>
      <c r="C2973" s="4" t="n">
        <v>335</v>
      </c>
      <c r="D2973" s="4" t="n">
        <v>101.3375</v>
      </c>
      <c r="E2973" s="5" t="n">
        <v>518.1</v>
      </c>
      <c r="F2973" s="3" t="inlineStr">
        <is>
          <t>고운동</t>
        </is>
      </c>
      <c r="G2973" s="3" t="inlineStr"/>
      <c r="H2973" s="3" t="inlineStr">
        <is>
          <t>제1종전용주거지역</t>
        </is>
      </c>
      <c r="I2973" s="3" t="inlineStr">
        <is>
          <t>대</t>
        </is>
      </c>
      <c r="J2973" s="3" t="inlineStr">
        <is>
          <t>고운동</t>
        </is>
      </c>
    </row>
    <row r="2974">
      <c r="A2974" s="3" t="n">
        <v>2023</v>
      </c>
      <c r="B2974" s="4" t="n">
        <v>2500</v>
      </c>
      <c r="C2974" s="4" t="n">
        <v>8</v>
      </c>
      <c r="D2974" s="4" t="n">
        <v>2.42</v>
      </c>
      <c r="E2974" s="5" t="n">
        <v>1033.1</v>
      </c>
      <c r="F2974" s="3" t="inlineStr">
        <is>
          <t>조치원읍</t>
        </is>
      </c>
      <c r="G2974" s="3" t="inlineStr">
        <is>
          <t>신안리</t>
        </is>
      </c>
      <c r="H2974" s="3" t="inlineStr">
        <is>
          <t>제2종일반주거지역</t>
        </is>
      </c>
      <c r="I2974" s="3" t="inlineStr">
        <is>
          <t>대</t>
        </is>
      </c>
      <c r="J2974" s="3" t="inlineStr">
        <is>
          <t>조치원읍</t>
        </is>
      </c>
    </row>
    <row r="2975">
      <c r="A2975" s="3" t="n">
        <v>2023</v>
      </c>
      <c r="B2975" s="4" t="n">
        <v>2500</v>
      </c>
      <c r="C2975" s="4" t="n">
        <v>9</v>
      </c>
      <c r="D2975" s="4" t="n">
        <v>2.7225</v>
      </c>
      <c r="E2975" s="5" t="n">
        <v>918.3</v>
      </c>
      <c r="F2975" s="3" t="inlineStr">
        <is>
          <t>조치원읍</t>
        </is>
      </c>
      <c r="G2975" s="3" t="inlineStr">
        <is>
          <t>신안리</t>
        </is>
      </c>
      <c r="H2975" s="3" t="inlineStr">
        <is>
          <t>제2종일반주거지역</t>
        </is>
      </c>
      <c r="I2975" s="3" t="inlineStr">
        <is>
          <t>도로</t>
        </is>
      </c>
      <c r="J2975" s="3" t="inlineStr">
        <is>
          <t>조치원읍</t>
        </is>
      </c>
    </row>
    <row r="2976">
      <c r="A2976" s="3" t="n">
        <v>2023</v>
      </c>
      <c r="B2976" s="4" t="n">
        <v>126900</v>
      </c>
      <c r="C2976" s="4" t="n">
        <v>1556</v>
      </c>
      <c r="D2976" s="4" t="n">
        <v>470.69</v>
      </c>
      <c r="E2976" s="5" t="n">
        <v>269.6</v>
      </c>
      <c r="F2976" s="3" t="inlineStr">
        <is>
          <t>연서면</t>
        </is>
      </c>
      <c r="G2976" s="3" t="inlineStr">
        <is>
          <t>월하리</t>
        </is>
      </c>
      <c r="H2976" s="3" t="inlineStr">
        <is>
          <t>자연녹지지역</t>
        </is>
      </c>
      <c r="I2976" s="3" t="inlineStr">
        <is>
          <t>전</t>
        </is>
      </c>
      <c r="J2976" s="3" t="inlineStr">
        <is>
          <t>연서면</t>
        </is>
      </c>
    </row>
    <row r="2977">
      <c r="A2977" s="3" t="n">
        <v>2022</v>
      </c>
      <c r="B2977" s="4" t="n">
        <v>19779</v>
      </c>
      <c r="C2977" s="4" t="n">
        <v>2734</v>
      </c>
      <c r="D2977" s="4" t="n">
        <v>827.035</v>
      </c>
      <c r="E2977" s="5" t="n">
        <v>23.9</v>
      </c>
      <c r="F2977" s="3" t="inlineStr">
        <is>
          <t>연동면</t>
        </is>
      </c>
      <c r="G2977" s="3" t="inlineStr">
        <is>
          <t>예양리</t>
        </is>
      </c>
      <c r="H2977" s="3" t="inlineStr">
        <is>
          <t>농림지역</t>
        </is>
      </c>
      <c r="I2977" s="3" t="inlineStr">
        <is>
          <t>답</t>
        </is>
      </c>
      <c r="J2977" s="3" t="inlineStr">
        <is>
          <t>연동면</t>
        </is>
      </c>
    </row>
    <row r="2978">
      <c r="A2978" s="3" t="n">
        <v>2022</v>
      </c>
      <c r="B2978" s="4" t="n">
        <v>66096</v>
      </c>
      <c r="C2978" s="4" t="n">
        <v>9136.5</v>
      </c>
      <c r="D2978" s="4" t="n">
        <v>2763.79125</v>
      </c>
      <c r="E2978" s="5" t="n">
        <v>23.9</v>
      </c>
      <c r="F2978" s="3" t="inlineStr">
        <is>
          <t>연동면</t>
        </is>
      </c>
      <c r="G2978" s="3" t="inlineStr">
        <is>
          <t>예양리</t>
        </is>
      </c>
      <c r="H2978" s="3" t="inlineStr">
        <is>
          <t>농림지역</t>
        </is>
      </c>
      <c r="I2978" s="3" t="inlineStr">
        <is>
          <t>답</t>
        </is>
      </c>
      <c r="J2978" s="3" t="inlineStr">
        <is>
          <t>연동면</t>
        </is>
      </c>
    </row>
    <row r="2979">
      <c r="A2979" s="3" t="n">
        <v>2025</v>
      </c>
      <c r="B2979" s="4" t="n">
        <v>20000</v>
      </c>
      <c r="C2979" s="4" t="n">
        <v>458</v>
      </c>
      <c r="D2979" s="4" t="n">
        <v>138.545</v>
      </c>
      <c r="E2979" s="5" t="n">
        <v>144.4</v>
      </c>
      <c r="F2979" s="3" t="inlineStr">
        <is>
          <t>연서면</t>
        </is>
      </c>
      <c r="G2979" s="3" t="inlineStr">
        <is>
          <t>고복리</t>
        </is>
      </c>
      <c r="H2979" s="3" t="inlineStr">
        <is>
          <t>생산관리지역</t>
        </is>
      </c>
      <c r="I2979" s="3" t="inlineStr">
        <is>
          <t>대</t>
        </is>
      </c>
      <c r="J2979" s="3" t="inlineStr">
        <is>
          <t>연서면</t>
        </is>
      </c>
    </row>
    <row r="2980">
      <c r="A2980" s="3" t="n">
        <v>2025</v>
      </c>
      <c r="B2980" s="4" t="n">
        <v>9000</v>
      </c>
      <c r="C2980" s="4" t="n">
        <v>204</v>
      </c>
      <c r="D2980" s="4" t="n">
        <v>61.71</v>
      </c>
      <c r="E2980" s="5" t="n">
        <v>145.8</v>
      </c>
      <c r="F2980" s="3" t="inlineStr">
        <is>
          <t>연서면</t>
        </is>
      </c>
      <c r="G2980" s="3" t="inlineStr">
        <is>
          <t>고복리</t>
        </is>
      </c>
      <c r="H2980" s="3" t="inlineStr">
        <is>
          <t>생산관리지역</t>
        </is>
      </c>
      <c r="I2980" s="3" t="inlineStr">
        <is>
          <t>대</t>
        </is>
      </c>
      <c r="J2980" s="3" t="inlineStr">
        <is>
          <t>연서면</t>
        </is>
      </c>
    </row>
    <row r="2981">
      <c r="A2981" s="3" t="n">
        <v>2025</v>
      </c>
      <c r="B2981" s="4" t="n">
        <v>6450</v>
      </c>
      <c r="C2981" s="4" t="n">
        <v>496</v>
      </c>
      <c r="D2981" s="4" t="n">
        <v>150.04</v>
      </c>
      <c r="E2981" s="5" t="n">
        <v>43</v>
      </c>
      <c r="F2981" s="3" t="inlineStr">
        <is>
          <t>부강면</t>
        </is>
      </c>
      <c r="G2981" s="3" t="inlineStr">
        <is>
          <t>갈산리</t>
        </is>
      </c>
      <c r="H2981" s="3" t="inlineStr">
        <is>
          <t>계획관리지역</t>
        </is>
      </c>
      <c r="I2981" s="3" t="inlineStr">
        <is>
          <t>임야</t>
        </is>
      </c>
      <c r="J2981" s="3" t="inlineStr">
        <is>
          <t>부강면</t>
        </is>
      </c>
    </row>
    <row r="2982">
      <c r="A2982" s="3" t="n">
        <v>2025</v>
      </c>
      <c r="B2982" s="4" t="n">
        <v>800</v>
      </c>
      <c r="C2982" s="4" t="n">
        <v>38</v>
      </c>
      <c r="D2982" s="4" t="n">
        <v>11.495</v>
      </c>
      <c r="E2982" s="5" t="n">
        <v>69.59999999999999</v>
      </c>
      <c r="F2982" s="3" t="inlineStr">
        <is>
          <t>부강면</t>
        </is>
      </c>
      <c r="G2982" s="3" t="inlineStr">
        <is>
          <t>문곡리</t>
        </is>
      </c>
      <c r="H2982" s="3" t="inlineStr">
        <is>
          <t>계획관리지역</t>
        </is>
      </c>
      <c r="I2982" s="3" t="inlineStr">
        <is>
          <t>도로</t>
        </is>
      </c>
      <c r="J2982" s="3" t="inlineStr">
        <is>
          <t>부강면</t>
        </is>
      </c>
    </row>
    <row r="2983">
      <c r="A2983" s="3" t="n">
        <v>2025</v>
      </c>
      <c r="B2983" s="4" t="n">
        <v>43000</v>
      </c>
      <c r="C2983" s="4" t="n">
        <v>2062.4</v>
      </c>
      <c r="D2983" s="4" t="n">
        <v>623.876</v>
      </c>
      <c r="E2983" s="5" t="n">
        <v>68.90000000000001</v>
      </c>
      <c r="F2983" s="3" t="inlineStr">
        <is>
          <t>연서면</t>
        </is>
      </c>
      <c r="G2983" s="3" t="inlineStr">
        <is>
          <t>쌍전리</t>
        </is>
      </c>
      <c r="H2983" s="3" t="inlineStr">
        <is>
          <t>농림지역</t>
        </is>
      </c>
      <c r="I2983" s="3" t="inlineStr">
        <is>
          <t>답</t>
        </is>
      </c>
      <c r="J2983" s="3" t="inlineStr">
        <is>
          <t>연서면</t>
        </is>
      </c>
    </row>
    <row r="2984">
      <c r="A2984" s="3" t="n">
        <v>2025</v>
      </c>
      <c r="B2984" s="4" t="n">
        <v>4500</v>
      </c>
      <c r="C2984" s="4" t="n">
        <v>439</v>
      </c>
      <c r="D2984" s="4" t="n">
        <v>132.7975</v>
      </c>
      <c r="E2984" s="5" t="n">
        <v>33.9</v>
      </c>
      <c r="F2984" s="3" t="inlineStr">
        <is>
          <t>연동면</t>
        </is>
      </c>
      <c r="G2984" s="3" t="inlineStr">
        <is>
          <t>노송리</t>
        </is>
      </c>
      <c r="H2984" s="3" t="inlineStr">
        <is>
          <t>계획관리지역</t>
        </is>
      </c>
      <c r="I2984" s="3" t="inlineStr">
        <is>
          <t>전</t>
        </is>
      </c>
      <c r="J2984" s="3" t="inlineStr">
        <is>
          <t>연동면</t>
        </is>
      </c>
    </row>
    <row r="2985">
      <c r="A2985" s="3" t="n">
        <v>2025</v>
      </c>
      <c r="B2985" s="4" t="n">
        <v>82000</v>
      </c>
      <c r="C2985" s="4" t="n">
        <v>1355</v>
      </c>
      <c r="D2985" s="4" t="n">
        <v>409.8875</v>
      </c>
      <c r="E2985" s="5" t="n">
        <v>200.1</v>
      </c>
      <c r="F2985" s="3" t="inlineStr">
        <is>
          <t>연서면</t>
        </is>
      </c>
      <c r="G2985" s="3" t="inlineStr">
        <is>
          <t>쌍전리</t>
        </is>
      </c>
      <c r="H2985" s="3" t="inlineStr">
        <is>
          <t>자연녹지지역</t>
        </is>
      </c>
      <c r="I2985" s="3" t="inlineStr">
        <is>
          <t>과수원</t>
        </is>
      </c>
      <c r="J2985" s="3" t="inlineStr">
        <is>
          <t>연서면</t>
        </is>
      </c>
    </row>
    <row r="2986">
      <c r="A2986" s="3" t="n">
        <v>2025</v>
      </c>
      <c r="B2986" s="4" t="n">
        <v>26000</v>
      </c>
      <c r="C2986" s="4" t="n">
        <v>160.5</v>
      </c>
      <c r="D2986" s="4" t="n">
        <v>48.55125</v>
      </c>
      <c r="E2986" s="5" t="n">
        <v>535.5</v>
      </c>
      <c r="F2986" s="3" t="inlineStr">
        <is>
          <t>조치원읍</t>
        </is>
      </c>
      <c r="G2986" s="3" t="inlineStr">
        <is>
          <t>침산리</t>
        </is>
      </c>
      <c r="H2986" s="3" t="inlineStr">
        <is>
          <t>제2종일반주거지역</t>
        </is>
      </c>
      <c r="I2986" s="3" t="inlineStr">
        <is>
          <t>대</t>
        </is>
      </c>
      <c r="J2986" s="3" t="inlineStr">
        <is>
          <t>조치원읍</t>
        </is>
      </c>
    </row>
    <row r="2987">
      <c r="A2987" s="3" t="n">
        <v>2025</v>
      </c>
      <c r="B2987" s="4" t="n">
        <v>10500</v>
      </c>
      <c r="C2987" s="4" t="n">
        <v>662</v>
      </c>
      <c r="D2987" s="4" t="n">
        <v>200.255</v>
      </c>
      <c r="E2987" s="5" t="n">
        <v>52.4</v>
      </c>
      <c r="F2987" s="3" t="inlineStr">
        <is>
          <t>조치원읍</t>
        </is>
      </c>
      <c r="G2987" s="3" t="inlineStr">
        <is>
          <t>번암리</t>
        </is>
      </c>
      <c r="H2987" s="3" t="inlineStr">
        <is>
          <t>보전녹지지역</t>
        </is>
      </c>
      <c r="I2987" s="3" t="inlineStr">
        <is>
          <t>전</t>
        </is>
      </c>
      <c r="J2987" s="3" t="inlineStr">
        <is>
          <t>조치원읍</t>
        </is>
      </c>
    </row>
    <row r="2988">
      <c r="A2988" s="3" t="n">
        <v>2025</v>
      </c>
      <c r="B2988" s="4" t="n">
        <v>60500</v>
      </c>
      <c r="C2988" s="4" t="n">
        <v>2305</v>
      </c>
      <c r="D2988" s="4" t="n">
        <v>697.2624999999999</v>
      </c>
      <c r="E2988" s="5" t="n">
        <v>86.8</v>
      </c>
      <c r="F2988" s="3" t="inlineStr">
        <is>
          <t>부강면</t>
        </is>
      </c>
      <c r="G2988" s="3" t="inlineStr">
        <is>
          <t>갈산리</t>
        </is>
      </c>
      <c r="H2988" s="3" t="inlineStr">
        <is>
          <t>계획관리지역</t>
        </is>
      </c>
      <c r="I2988" s="3" t="inlineStr">
        <is>
          <t>답</t>
        </is>
      </c>
      <c r="J2988" s="3" t="inlineStr">
        <is>
          <t>부강면</t>
        </is>
      </c>
    </row>
    <row r="2989">
      <c r="A2989" s="3" t="n">
        <v>2025</v>
      </c>
      <c r="B2989" s="4" t="n">
        <v>60000</v>
      </c>
      <c r="C2989" s="4" t="n">
        <v>328.2</v>
      </c>
      <c r="D2989" s="4" t="n">
        <v>99.28049999999999</v>
      </c>
      <c r="E2989" s="5" t="n">
        <v>604.3</v>
      </c>
      <c r="F2989" s="3" t="inlineStr">
        <is>
          <t>해밀동</t>
        </is>
      </c>
      <c r="G2989" s="3" t="inlineStr"/>
      <c r="H2989" s="3" t="inlineStr">
        <is>
          <t>제2종전용주거지역</t>
        </is>
      </c>
      <c r="I2989" s="3" t="inlineStr">
        <is>
          <t>대</t>
        </is>
      </c>
      <c r="J2989" s="3" t="inlineStr">
        <is>
          <t>해밀동</t>
        </is>
      </c>
    </row>
    <row r="2990">
      <c r="A2990" s="3" t="n">
        <v>2025</v>
      </c>
      <c r="B2990" s="4" t="n">
        <v>10000</v>
      </c>
      <c r="C2990" s="4" t="n">
        <v>2764</v>
      </c>
      <c r="D2990" s="4" t="n">
        <v>836.11</v>
      </c>
      <c r="E2990" s="5" t="n">
        <v>12</v>
      </c>
      <c r="F2990" s="3" t="inlineStr">
        <is>
          <t>연서면</t>
        </is>
      </c>
      <c r="G2990" s="3" t="inlineStr">
        <is>
          <t>쌍류리</t>
        </is>
      </c>
      <c r="H2990" s="3" t="inlineStr">
        <is>
          <t>보전관리지역</t>
        </is>
      </c>
      <c r="I2990" s="3" t="inlineStr">
        <is>
          <t>답</t>
        </is>
      </c>
      <c r="J2990" s="3" t="inlineStr">
        <is>
          <t>연서면</t>
        </is>
      </c>
    </row>
    <row r="2991">
      <c r="A2991" s="3" t="n">
        <v>2025</v>
      </c>
      <c r="B2991" s="4" t="n">
        <v>2095</v>
      </c>
      <c r="C2991" s="4" t="n">
        <v>16</v>
      </c>
      <c r="D2991" s="4" t="n">
        <v>4.84</v>
      </c>
      <c r="E2991" s="5" t="n">
        <v>432.9</v>
      </c>
      <c r="F2991" s="3" t="inlineStr">
        <is>
          <t>조치원읍</t>
        </is>
      </c>
      <c r="G2991" s="3" t="inlineStr">
        <is>
          <t>신흥리</t>
        </is>
      </c>
      <c r="H2991" s="3" t="inlineStr">
        <is>
          <t>제2종일반주거지역</t>
        </is>
      </c>
      <c r="I2991" s="3" t="inlineStr">
        <is>
          <t>대</t>
        </is>
      </c>
      <c r="J2991" s="3" t="inlineStr">
        <is>
          <t>조치원읍</t>
        </is>
      </c>
    </row>
    <row r="2992">
      <c r="A2992" s="3" t="n">
        <v>2023</v>
      </c>
      <c r="B2992" s="4" t="n">
        <v>13246</v>
      </c>
      <c r="C2992" s="4" t="n">
        <v>370</v>
      </c>
      <c r="D2992" s="4" t="n">
        <v>111.925</v>
      </c>
      <c r="E2992" s="5" t="n">
        <v>118.3</v>
      </c>
      <c r="F2992" s="3" t="inlineStr">
        <is>
          <t>연서면</t>
        </is>
      </c>
      <c r="G2992" s="3" t="inlineStr">
        <is>
          <t>쌍전리</t>
        </is>
      </c>
      <c r="H2992" s="3" t="inlineStr">
        <is>
          <t>계획관리지역</t>
        </is>
      </c>
      <c r="I2992" s="3" t="inlineStr">
        <is>
          <t>구거</t>
        </is>
      </c>
      <c r="J2992" s="3" t="inlineStr">
        <is>
          <t>연서면</t>
        </is>
      </c>
    </row>
    <row r="2993">
      <c r="A2993" s="3" t="n">
        <v>2023</v>
      </c>
      <c r="B2993" s="4" t="n">
        <v>44100</v>
      </c>
      <c r="C2993" s="4" t="n">
        <v>418</v>
      </c>
      <c r="D2993" s="4" t="n">
        <v>126.445</v>
      </c>
      <c r="E2993" s="5" t="n">
        <v>348.8</v>
      </c>
      <c r="F2993" s="3" t="inlineStr">
        <is>
          <t>조치원읍</t>
        </is>
      </c>
      <c r="G2993" s="3" t="inlineStr">
        <is>
          <t>죽림리</t>
        </is>
      </c>
      <c r="H2993" s="3" t="inlineStr">
        <is>
          <t>제2종일반주거지역</t>
        </is>
      </c>
      <c r="I2993" s="3" t="inlineStr">
        <is>
          <t>과수원</t>
        </is>
      </c>
      <c r="J2993" s="3" t="inlineStr">
        <is>
          <t>조치원읍</t>
        </is>
      </c>
    </row>
    <row r="2994">
      <c r="A2994" s="3" t="n">
        <v>2023</v>
      </c>
      <c r="B2994" s="4" t="n">
        <v>8200</v>
      </c>
      <c r="C2994" s="4" t="n">
        <v>286</v>
      </c>
      <c r="D2994" s="4" t="n">
        <v>86.515</v>
      </c>
      <c r="E2994" s="5" t="n">
        <v>94.8</v>
      </c>
      <c r="F2994" s="3" t="inlineStr">
        <is>
          <t>연서면</t>
        </is>
      </c>
      <c r="G2994" s="3" t="inlineStr">
        <is>
          <t>쌍류리</t>
        </is>
      </c>
      <c r="H2994" s="3" t="inlineStr">
        <is>
          <t>생산관리지역</t>
        </is>
      </c>
      <c r="I2994" s="3" t="inlineStr">
        <is>
          <t>과수원</t>
        </is>
      </c>
      <c r="J2994" s="3" t="inlineStr">
        <is>
          <t>연서면</t>
        </is>
      </c>
    </row>
    <row r="2995">
      <c r="A2995" s="3" t="n">
        <v>2023</v>
      </c>
      <c r="B2995" s="4" t="n">
        <v>8500</v>
      </c>
      <c r="C2995" s="4" t="n">
        <v>297</v>
      </c>
      <c r="D2995" s="4" t="n">
        <v>89.8425</v>
      </c>
      <c r="E2995" s="5" t="n">
        <v>94.59999999999999</v>
      </c>
      <c r="F2995" s="3" t="inlineStr">
        <is>
          <t>연서면</t>
        </is>
      </c>
      <c r="G2995" s="3" t="inlineStr">
        <is>
          <t>쌍류리</t>
        </is>
      </c>
      <c r="H2995" s="3" t="inlineStr">
        <is>
          <t>생산관리지역</t>
        </is>
      </c>
      <c r="I2995" s="3" t="inlineStr">
        <is>
          <t>답</t>
        </is>
      </c>
      <c r="J2995" s="3" t="inlineStr">
        <is>
          <t>연서면</t>
        </is>
      </c>
    </row>
    <row r="2996">
      <c r="A2996" s="3" t="n">
        <v>2023</v>
      </c>
      <c r="B2996" s="4" t="n">
        <v>92000</v>
      </c>
      <c r="C2996" s="4" t="n">
        <v>581</v>
      </c>
      <c r="D2996" s="4" t="n">
        <v>175.7525</v>
      </c>
      <c r="E2996" s="5" t="n">
        <v>523.5</v>
      </c>
      <c r="F2996" s="3" t="inlineStr">
        <is>
          <t>조치원읍</t>
        </is>
      </c>
      <c r="G2996" s="3" t="inlineStr">
        <is>
          <t>번암리</t>
        </is>
      </c>
      <c r="H2996" s="3" t="inlineStr">
        <is>
          <t>제2종일반주거지역</t>
        </is>
      </c>
      <c r="I2996" s="3" t="inlineStr">
        <is>
          <t>과수원</t>
        </is>
      </c>
      <c r="J2996" s="3" t="inlineStr">
        <is>
          <t>조치원읍</t>
        </is>
      </c>
    </row>
    <row r="2997">
      <c r="A2997" s="3" t="n">
        <v>2023</v>
      </c>
      <c r="B2997" s="4" t="n">
        <v>36000</v>
      </c>
      <c r="C2997" s="4" t="n">
        <v>657</v>
      </c>
      <c r="D2997" s="4" t="n">
        <v>198.7425</v>
      </c>
      <c r="E2997" s="5" t="n">
        <v>181.1</v>
      </c>
      <c r="F2997" s="3" t="inlineStr">
        <is>
          <t>부강면</t>
        </is>
      </c>
      <c r="G2997" s="3" t="inlineStr">
        <is>
          <t>노호리</t>
        </is>
      </c>
      <c r="H2997" s="3" t="inlineStr">
        <is>
          <t>계획관리지역</t>
        </is>
      </c>
      <c r="I2997" s="3" t="inlineStr">
        <is>
          <t>잡종지</t>
        </is>
      </c>
      <c r="J2997" s="3" t="inlineStr">
        <is>
          <t>부강면</t>
        </is>
      </c>
    </row>
    <row r="2998">
      <c r="A2998" s="3" t="n">
        <v>2023</v>
      </c>
      <c r="B2998" s="4" t="n">
        <v>20000</v>
      </c>
      <c r="C2998" s="4" t="n">
        <v>566</v>
      </c>
      <c r="D2998" s="4" t="n">
        <v>171.215</v>
      </c>
      <c r="E2998" s="5" t="n">
        <v>116.8</v>
      </c>
      <c r="F2998" s="3" t="inlineStr">
        <is>
          <t>연서면</t>
        </is>
      </c>
      <c r="G2998" s="3" t="inlineStr">
        <is>
          <t>쌍류리</t>
        </is>
      </c>
      <c r="H2998" s="3" t="inlineStr">
        <is>
          <t>생산관리지역</t>
        </is>
      </c>
      <c r="I2998" s="3" t="inlineStr">
        <is>
          <t>답</t>
        </is>
      </c>
      <c r="J2998" s="3" t="inlineStr">
        <is>
          <t>연서면</t>
        </is>
      </c>
    </row>
    <row r="2999">
      <c r="A2999" s="3" t="n">
        <v>2022</v>
      </c>
      <c r="B2999" s="4" t="n">
        <v>12046</v>
      </c>
      <c r="C2999" s="4" t="n">
        <v>1713.8</v>
      </c>
      <c r="D2999" s="4" t="n">
        <v>518.4245</v>
      </c>
      <c r="E2999" s="5" t="n">
        <v>23.2</v>
      </c>
      <c r="F2999" s="3" t="inlineStr">
        <is>
          <t>연동면</t>
        </is>
      </c>
      <c r="G2999" s="3" t="inlineStr">
        <is>
          <t>예양리</t>
        </is>
      </c>
      <c r="H2999" s="3" t="inlineStr">
        <is>
          <t>농림지역</t>
        </is>
      </c>
      <c r="I2999" s="3" t="inlineStr">
        <is>
          <t>답</t>
        </is>
      </c>
      <c r="J2999" s="3" t="inlineStr">
        <is>
          <t>연동면</t>
        </is>
      </c>
    </row>
    <row r="3000">
      <c r="A3000" s="3" t="n">
        <v>2022</v>
      </c>
      <c r="B3000" s="4" t="n">
        <v>50000</v>
      </c>
      <c r="C3000" s="4" t="n">
        <v>265.6</v>
      </c>
      <c r="D3000" s="4" t="n">
        <v>80.34400000000001</v>
      </c>
      <c r="E3000" s="5" t="n">
        <v>622.3</v>
      </c>
      <c r="F3000" s="3" t="inlineStr">
        <is>
          <t>조치원읍</t>
        </is>
      </c>
      <c r="G3000" s="3" t="inlineStr">
        <is>
          <t>침산리</t>
        </is>
      </c>
      <c r="H3000" s="3" t="inlineStr">
        <is>
          <t>제2종일반주거지역</t>
        </is>
      </c>
      <c r="I3000" s="3" t="inlineStr">
        <is>
          <t>대</t>
        </is>
      </c>
      <c r="J3000" s="3" t="inlineStr">
        <is>
          <t>조치원읍</t>
        </is>
      </c>
    </row>
    <row r="3001">
      <c r="A3001" s="3" t="n">
        <v>2022</v>
      </c>
      <c r="B3001" s="4" t="n">
        <v>16000</v>
      </c>
      <c r="C3001" s="4" t="n">
        <v>6612</v>
      </c>
      <c r="D3001" s="4" t="n">
        <v>2000.13</v>
      </c>
      <c r="E3001" s="5" t="n">
        <v>8</v>
      </c>
      <c r="F3001" s="3" t="inlineStr">
        <is>
          <t>연서면</t>
        </is>
      </c>
      <c r="G3001" s="3" t="inlineStr">
        <is>
          <t>쌍류리</t>
        </is>
      </c>
      <c r="H3001" s="3" t="inlineStr">
        <is>
          <t>농림지역</t>
        </is>
      </c>
      <c r="I3001" s="3" t="inlineStr">
        <is>
          <t>임야</t>
        </is>
      </c>
      <c r="J3001" s="3" t="inlineStr">
        <is>
          <t>연서면</t>
        </is>
      </c>
    </row>
    <row r="3002">
      <c r="A3002" s="3" t="n">
        <v>2022</v>
      </c>
      <c r="B3002" s="4" t="n">
        <v>20000</v>
      </c>
      <c r="C3002" s="4" t="n">
        <v>8265</v>
      </c>
      <c r="D3002" s="4" t="n">
        <v>2500.1625</v>
      </c>
      <c r="E3002" s="5" t="n">
        <v>8</v>
      </c>
      <c r="F3002" s="3" t="inlineStr">
        <is>
          <t>연서면</t>
        </is>
      </c>
      <c r="G3002" s="3" t="inlineStr">
        <is>
          <t>쌍류리</t>
        </is>
      </c>
      <c r="H3002" s="3" t="inlineStr">
        <is>
          <t>농림지역</t>
        </is>
      </c>
      <c r="I3002" s="3" t="inlineStr">
        <is>
          <t>임야</t>
        </is>
      </c>
      <c r="J3002" s="3" t="inlineStr">
        <is>
          <t>연서면</t>
        </is>
      </c>
    </row>
    <row r="3003">
      <c r="A3003" s="3" t="n">
        <v>2022</v>
      </c>
      <c r="B3003" s="4" t="n">
        <v>19080</v>
      </c>
      <c r="C3003" s="4" t="n">
        <v>526</v>
      </c>
      <c r="D3003" s="4" t="n">
        <v>159.115</v>
      </c>
      <c r="E3003" s="5" t="n">
        <v>119.9</v>
      </c>
      <c r="F3003" s="3" t="inlineStr">
        <is>
          <t>연서면</t>
        </is>
      </c>
      <c r="G3003" s="3" t="inlineStr">
        <is>
          <t>쌍류리</t>
        </is>
      </c>
      <c r="H3003" s="3" t="inlineStr">
        <is>
          <t>생산관리지역</t>
        </is>
      </c>
      <c r="I3003" s="3" t="inlineStr">
        <is>
          <t>과수원</t>
        </is>
      </c>
      <c r="J3003" s="3" t="inlineStr">
        <is>
          <t>연서면</t>
        </is>
      </c>
    </row>
    <row r="3004">
      <c r="A3004" s="3" t="n">
        <v>2022</v>
      </c>
      <c r="B3004" s="4" t="n">
        <v>17630</v>
      </c>
      <c r="C3004" s="4" t="n">
        <v>486</v>
      </c>
      <c r="D3004" s="4" t="n">
        <v>147.015</v>
      </c>
      <c r="E3004" s="5" t="n">
        <v>119.9</v>
      </c>
      <c r="F3004" s="3" t="inlineStr">
        <is>
          <t>연서면</t>
        </is>
      </c>
      <c r="G3004" s="3" t="inlineStr">
        <is>
          <t>쌍류리</t>
        </is>
      </c>
      <c r="H3004" s="3" t="inlineStr">
        <is>
          <t>생산관리지역</t>
        </is>
      </c>
      <c r="I3004" s="3" t="inlineStr">
        <is>
          <t>과수원</t>
        </is>
      </c>
      <c r="J3004" s="3" t="inlineStr">
        <is>
          <t>연서면</t>
        </is>
      </c>
    </row>
    <row r="3005">
      <c r="A3005" s="3" t="n">
        <v>2022</v>
      </c>
      <c r="B3005" s="4" t="n">
        <v>22330</v>
      </c>
      <c r="C3005" s="4" t="n">
        <v>615</v>
      </c>
      <c r="D3005" s="4" t="n">
        <v>186.0375</v>
      </c>
      <c r="E3005" s="5" t="n">
        <v>120</v>
      </c>
      <c r="F3005" s="3" t="inlineStr">
        <is>
          <t>연서면</t>
        </is>
      </c>
      <c r="G3005" s="3" t="inlineStr">
        <is>
          <t>쌍류리</t>
        </is>
      </c>
      <c r="H3005" s="3" t="inlineStr">
        <is>
          <t>생산관리지역</t>
        </is>
      </c>
      <c r="I3005" s="3" t="inlineStr">
        <is>
          <t>과수원</t>
        </is>
      </c>
      <c r="J3005" s="3" t="inlineStr">
        <is>
          <t>연서면</t>
        </is>
      </c>
    </row>
    <row r="3006">
      <c r="A3006" s="3" t="n">
        <v>2022</v>
      </c>
      <c r="B3006" s="4" t="n">
        <v>583920</v>
      </c>
      <c r="C3006" s="4" t="n">
        <v>4709</v>
      </c>
      <c r="D3006" s="4" t="n">
        <v>1424.4725</v>
      </c>
      <c r="E3006" s="5" t="n">
        <v>409.9</v>
      </c>
      <c r="F3006" s="3" t="inlineStr">
        <is>
          <t>조치원읍</t>
        </is>
      </c>
      <c r="G3006" s="3" t="inlineStr">
        <is>
          <t>봉산리</t>
        </is>
      </c>
      <c r="H3006" s="3" t="inlineStr">
        <is>
          <t>준주거지역</t>
        </is>
      </c>
      <c r="I3006" s="3" t="inlineStr">
        <is>
          <t>대</t>
        </is>
      </c>
      <c r="J3006" s="3" t="inlineStr">
        <is>
          <t>조치원읍</t>
        </is>
      </c>
    </row>
    <row r="3007">
      <c r="A3007" s="3" t="n">
        <v>2022</v>
      </c>
      <c r="B3007" s="4" t="n">
        <v>558540</v>
      </c>
      <c r="C3007" s="4" t="n">
        <v>4597</v>
      </c>
      <c r="D3007" s="4" t="n">
        <v>1390.5925</v>
      </c>
      <c r="E3007" s="5" t="n">
        <v>401.7</v>
      </c>
      <c r="F3007" s="3" t="inlineStr">
        <is>
          <t>조치원읍</t>
        </is>
      </c>
      <c r="G3007" s="3" t="inlineStr">
        <is>
          <t>봉산리</t>
        </is>
      </c>
      <c r="H3007" s="3" t="inlineStr">
        <is>
          <t>준주거지역</t>
        </is>
      </c>
      <c r="I3007" s="3" t="inlineStr">
        <is>
          <t>대</t>
        </is>
      </c>
      <c r="J3007" s="3" t="inlineStr">
        <is>
          <t>조치원읍</t>
        </is>
      </c>
    </row>
    <row r="3008">
      <c r="A3008" s="3" t="n">
        <v>2022</v>
      </c>
      <c r="B3008" s="4" t="n">
        <v>34560</v>
      </c>
      <c r="C3008" s="4" t="n">
        <v>952</v>
      </c>
      <c r="D3008" s="4" t="n">
        <v>287.98</v>
      </c>
      <c r="E3008" s="5" t="n">
        <v>120</v>
      </c>
      <c r="F3008" s="3" t="inlineStr">
        <is>
          <t>연서면</t>
        </is>
      </c>
      <c r="G3008" s="3" t="inlineStr">
        <is>
          <t>쌍류리</t>
        </is>
      </c>
      <c r="H3008" s="3" t="inlineStr">
        <is>
          <t>생산관리지역</t>
        </is>
      </c>
      <c r="I3008" s="3" t="inlineStr">
        <is>
          <t>과수원</t>
        </is>
      </c>
      <c r="J3008" s="3" t="inlineStr">
        <is>
          <t>연서면</t>
        </is>
      </c>
    </row>
    <row r="3009">
      <c r="A3009" s="3" t="n">
        <v>2022</v>
      </c>
      <c r="B3009" s="4" t="n">
        <v>18010</v>
      </c>
      <c r="C3009" s="4" t="n">
        <v>496</v>
      </c>
      <c r="D3009" s="4" t="n">
        <v>150.04</v>
      </c>
      <c r="E3009" s="5" t="n">
        <v>120</v>
      </c>
      <c r="F3009" s="3" t="inlineStr">
        <is>
          <t>연서면</t>
        </is>
      </c>
      <c r="G3009" s="3" t="inlineStr">
        <is>
          <t>쌍류리</t>
        </is>
      </c>
      <c r="H3009" s="3" t="inlineStr">
        <is>
          <t>생산관리지역</t>
        </is>
      </c>
      <c r="I3009" s="3" t="inlineStr">
        <is>
          <t>과수원</t>
        </is>
      </c>
      <c r="J3009" s="3" t="inlineStr">
        <is>
          <t>연서면</t>
        </is>
      </c>
    </row>
    <row r="3010">
      <c r="A3010" s="3" t="n">
        <v>2022</v>
      </c>
      <c r="B3010" s="4" t="n">
        <v>20150</v>
      </c>
      <c r="C3010" s="4" t="n">
        <v>555</v>
      </c>
      <c r="D3010" s="4" t="n">
        <v>167.8875</v>
      </c>
      <c r="E3010" s="5" t="n">
        <v>120</v>
      </c>
      <c r="F3010" s="3" t="inlineStr">
        <is>
          <t>연서면</t>
        </is>
      </c>
      <c r="G3010" s="3" t="inlineStr">
        <is>
          <t>쌍류리</t>
        </is>
      </c>
      <c r="H3010" s="3" t="inlineStr">
        <is>
          <t>생산관리지역</t>
        </is>
      </c>
      <c r="I3010" s="3" t="inlineStr">
        <is>
          <t>과수원</t>
        </is>
      </c>
      <c r="J3010" s="3" t="inlineStr">
        <is>
          <t>연서면</t>
        </is>
      </c>
    </row>
    <row r="3011">
      <c r="A3011" s="3" t="n">
        <v>2022</v>
      </c>
      <c r="B3011" s="4" t="n">
        <v>1650</v>
      </c>
      <c r="C3011" s="4" t="n">
        <v>44</v>
      </c>
      <c r="D3011" s="4" t="n">
        <v>13.31</v>
      </c>
      <c r="E3011" s="5" t="n">
        <v>124</v>
      </c>
      <c r="F3011" s="3" t="inlineStr">
        <is>
          <t>부강면</t>
        </is>
      </c>
      <c r="G3011" s="3" t="inlineStr">
        <is>
          <t>문곡리</t>
        </is>
      </c>
      <c r="H3011" s="3" t="inlineStr">
        <is>
          <t>계획관리지역</t>
        </is>
      </c>
      <c r="I3011" s="3" t="inlineStr">
        <is>
          <t>대</t>
        </is>
      </c>
      <c r="J3011" s="3" t="inlineStr">
        <is>
          <t>부강면</t>
        </is>
      </c>
    </row>
    <row r="3012">
      <c r="A3012" s="3" t="n">
        <v>2022</v>
      </c>
      <c r="B3012" s="4" t="n">
        <v>1350</v>
      </c>
      <c r="C3012" s="4" t="n">
        <v>30</v>
      </c>
      <c r="D3012" s="4" t="n">
        <v>9.074999999999999</v>
      </c>
      <c r="E3012" s="5" t="n">
        <v>148.8</v>
      </c>
      <c r="F3012" s="3" t="inlineStr">
        <is>
          <t>부강면</t>
        </is>
      </c>
      <c r="G3012" s="3" t="inlineStr">
        <is>
          <t>문곡리</t>
        </is>
      </c>
      <c r="H3012" s="3" t="inlineStr">
        <is>
          <t>계획관리지역</t>
        </is>
      </c>
      <c r="I3012" s="3" t="inlineStr">
        <is>
          <t>대</t>
        </is>
      </c>
      <c r="J3012" s="3" t="inlineStr">
        <is>
          <t>부강면</t>
        </is>
      </c>
    </row>
    <row r="3013">
      <c r="A3013" s="3" t="n">
        <v>2022</v>
      </c>
      <c r="B3013" s="4" t="n">
        <v>29000</v>
      </c>
      <c r="C3013" s="4" t="n">
        <v>432</v>
      </c>
      <c r="D3013" s="4" t="n">
        <v>130.68</v>
      </c>
      <c r="E3013" s="5" t="n">
        <v>221.9</v>
      </c>
      <c r="F3013" s="3" t="inlineStr">
        <is>
          <t>연서면</t>
        </is>
      </c>
      <c r="G3013" s="3" t="inlineStr">
        <is>
          <t>신대리</t>
        </is>
      </c>
      <c r="H3013" s="3" t="inlineStr">
        <is>
          <t>계획관리지역</t>
        </is>
      </c>
      <c r="I3013" s="3" t="inlineStr">
        <is>
          <t>전</t>
        </is>
      </c>
      <c r="J3013" s="3" t="inlineStr">
        <is>
          <t>연서면</t>
        </is>
      </c>
    </row>
    <row r="3014">
      <c r="A3014" s="3" t="n">
        <v>2022</v>
      </c>
      <c r="B3014" s="4" t="n">
        <v>450</v>
      </c>
      <c r="C3014" s="4" t="n">
        <v>5</v>
      </c>
      <c r="D3014" s="4" t="n">
        <v>1.5125</v>
      </c>
      <c r="E3014" s="5" t="n">
        <v>297.5</v>
      </c>
      <c r="F3014" s="3" t="inlineStr">
        <is>
          <t>조치원읍</t>
        </is>
      </c>
      <c r="G3014" s="3" t="inlineStr">
        <is>
          <t>남리</t>
        </is>
      </c>
      <c r="H3014" s="3" t="inlineStr">
        <is>
          <t>제2종일반주거지역</t>
        </is>
      </c>
      <c r="I3014" s="3" t="inlineStr">
        <is>
          <t>대</t>
        </is>
      </c>
      <c r="J3014" s="3" t="inlineStr">
        <is>
          <t>조치원읍</t>
        </is>
      </c>
    </row>
    <row r="3015">
      <c r="A3015" s="3" t="n">
        <v>2022</v>
      </c>
      <c r="B3015" s="4" t="n">
        <v>21447</v>
      </c>
      <c r="C3015" s="4" t="n">
        <v>71</v>
      </c>
      <c r="D3015" s="4" t="n">
        <v>21.4775</v>
      </c>
      <c r="E3015" s="5" t="n">
        <v>998.6</v>
      </c>
      <c r="F3015" s="3" t="inlineStr">
        <is>
          <t>연서면</t>
        </is>
      </c>
      <c r="G3015" s="3" t="inlineStr">
        <is>
          <t>봉암리</t>
        </is>
      </c>
      <c r="H3015" s="3" t="inlineStr">
        <is>
          <t>계획관리지역</t>
        </is>
      </c>
      <c r="I3015" s="3" t="inlineStr">
        <is>
          <t>답</t>
        </is>
      </c>
      <c r="J3015" s="3" t="inlineStr">
        <is>
          <t>연서면</t>
        </is>
      </c>
    </row>
    <row r="3016">
      <c r="A3016" s="3" t="n">
        <v>2022</v>
      </c>
      <c r="B3016" s="4" t="n">
        <v>17820</v>
      </c>
      <c r="C3016" s="4" t="n">
        <v>59</v>
      </c>
      <c r="D3016" s="4" t="n">
        <v>17.8475</v>
      </c>
      <c r="E3016" s="5" t="n">
        <v>998.5</v>
      </c>
      <c r="F3016" s="3" t="inlineStr">
        <is>
          <t>연서면</t>
        </is>
      </c>
      <c r="G3016" s="3" t="inlineStr">
        <is>
          <t>봉암리</t>
        </is>
      </c>
      <c r="H3016" s="3" t="inlineStr">
        <is>
          <t>계획관리지역</t>
        </is>
      </c>
      <c r="I3016" s="3" t="inlineStr">
        <is>
          <t>답</t>
        </is>
      </c>
      <c r="J3016" s="3" t="inlineStr">
        <is>
          <t>연서면</t>
        </is>
      </c>
    </row>
    <row r="3017">
      <c r="A3017" s="3" t="n">
        <v>2022</v>
      </c>
      <c r="B3017" s="4" t="n">
        <v>41076</v>
      </c>
      <c r="C3017" s="4" t="n">
        <v>136</v>
      </c>
      <c r="D3017" s="4" t="n">
        <v>41.14</v>
      </c>
      <c r="E3017" s="5" t="n">
        <v>998.4</v>
      </c>
      <c r="F3017" s="3" t="inlineStr">
        <is>
          <t>연서면</t>
        </is>
      </c>
      <c r="G3017" s="3" t="inlineStr">
        <is>
          <t>봉암리</t>
        </is>
      </c>
      <c r="H3017" s="3" t="inlineStr">
        <is>
          <t>계획관리지역</t>
        </is>
      </c>
      <c r="I3017" s="3" t="inlineStr">
        <is>
          <t>답</t>
        </is>
      </c>
      <c r="J3017" s="3" t="inlineStr">
        <is>
          <t>연서면</t>
        </is>
      </c>
    </row>
    <row r="3018">
      <c r="A3018" s="3" t="n">
        <v>2022</v>
      </c>
      <c r="B3018" s="4" t="n">
        <v>21747</v>
      </c>
      <c r="C3018" s="4" t="n">
        <v>72</v>
      </c>
      <c r="D3018" s="4" t="n">
        <v>21.78</v>
      </c>
      <c r="E3018" s="5" t="n">
        <v>998.5</v>
      </c>
      <c r="F3018" s="3" t="inlineStr">
        <is>
          <t>연서면</t>
        </is>
      </c>
      <c r="G3018" s="3" t="inlineStr">
        <is>
          <t>봉암리</t>
        </is>
      </c>
      <c r="H3018" s="3" t="inlineStr">
        <is>
          <t>계획관리지역</t>
        </is>
      </c>
      <c r="I3018" s="3" t="inlineStr">
        <is>
          <t>답</t>
        </is>
      </c>
      <c r="J3018" s="3" t="inlineStr">
        <is>
          <t>연서면</t>
        </is>
      </c>
    </row>
    <row r="3019">
      <c r="A3019" s="3" t="n">
        <v>2022</v>
      </c>
      <c r="B3019" s="4" t="n">
        <v>32922</v>
      </c>
      <c r="C3019" s="4" t="n">
        <v>109</v>
      </c>
      <c r="D3019" s="4" t="n">
        <v>32.9725</v>
      </c>
      <c r="E3019" s="5" t="n">
        <v>998.5</v>
      </c>
      <c r="F3019" s="3" t="inlineStr">
        <is>
          <t>연서면</t>
        </is>
      </c>
      <c r="G3019" s="3" t="inlineStr">
        <is>
          <t>봉암리</t>
        </is>
      </c>
      <c r="H3019" s="3" t="inlineStr">
        <is>
          <t>계획관리지역</t>
        </is>
      </c>
      <c r="I3019" s="3" t="inlineStr">
        <is>
          <t>답</t>
        </is>
      </c>
      <c r="J3019" s="3" t="inlineStr">
        <is>
          <t>연서면</t>
        </is>
      </c>
    </row>
    <row r="3020">
      <c r="A3020" s="3" t="n">
        <v>2022</v>
      </c>
      <c r="B3020" s="4" t="n">
        <v>12988</v>
      </c>
      <c r="C3020" s="4" t="n">
        <v>43</v>
      </c>
      <c r="D3020" s="4" t="n">
        <v>13.0075</v>
      </c>
      <c r="E3020" s="5" t="n">
        <v>998.5</v>
      </c>
      <c r="F3020" s="3" t="inlineStr">
        <is>
          <t>연서면</t>
        </is>
      </c>
      <c r="G3020" s="3" t="inlineStr">
        <is>
          <t>봉암리</t>
        </is>
      </c>
      <c r="H3020" s="3" t="inlineStr">
        <is>
          <t>농림지역</t>
        </is>
      </c>
      <c r="I3020" s="3" t="inlineStr">
        <is>
          <t>답</t>
        </is>
      </c>
      <c r="J3020" s="3" t="inlineStr">
        <is>
          <t>연서면</t>
        </is>
      </c>
    </row>
    <row r="3021">
      <c r="A3021" s="3" t="n">
        <v>2022</v>
      </c>
      <c r="B3021" s="4" t="n">
        <v>600</v>
      </c>
      <c r="C3021" s="4" t="n">
        <v>6</v>
      </c>
      <c r="D3021" s="4" t="n">
        <v>1.815</v>
      </c>
      <c r="E3021" s="5" t="n">
        <v>330.6</v>
      </c>
      <c r="F3021" s="3" t="inlineStr">
        <is>
          <t>조치원읍</t>
        </is>
      </c>
      <c r="G3021" s="3" t="inlineStr">
        <is>
          <t>신안리</t>
        </is>
      </c>
      <c r="H3021" s="3" t="inlineStr">
        <is>
          <t>제2종일반주거지역</t>
        </is>
      </c>
      <c r="I3021" s="3" t="inlineStr">
        <is>
          <t>도로</t>
        </is>
      </c>
      <c r="J3021" s="3" t="inlineStr">
        <is>
          <t>조치원읍</t>
        </is>
      </c>
    </row>
    <row r="3022">
      <c r="A3022" s="3" t="n">
        <v>2022</v>
      </c>
      <c r="B3022" s="4" t="n">
        <v>21447</v>
      </c>
      <c r="C3022" s="4" t="n">
        <v>71</v>
      </c>
      <c r="D3022" s="4" t="n">
        <v>21.4775</v>
      </c>
      <c r="E3022" s="5" t="n">
        <v>998.6</v>
      </c>
      <c r="F3022" s="3" t="inlineStr">
        <is>
          <t>연서면</t>
        </is>
      </c>
      <c r="G3022" s="3" t="inlineStr">
        <is>
          <t>봉암리</t>
        </is>
      </c>
      <c r="H3022" s="3" t="inlineStr">
        <is>
          <t>계획관리지역</t>
        </is>
      </c>
      <c r="I3022" s="3" t="inlineStr">
        <is>
          <t>답</t>
        </is>
      </c>
      <c r="J3022" s="3" t="inlineStr">
        <is>
          <t>연서면</t>
        </is>
      </c>
    </row>
    <row r="3023">
      <c r="A3023" s="3" t="n">
        <v>2022</v>
      </c>
      <c r="B3023" s="4" t="n">
        <v>17820</v>
      </c>
      <c r="C3023" s="4" t="n">
        <v>59</v>
      </c>
      <c r="D3023" s="4" t="n">
        <v>17.8475</v>
      </c>
      <c r="E3023" s="5" t="n">
        <v>998.5</v>
      </c>
      <c r="F3023" s="3" t="inlineStr">
        <is>
          <t>연서면</t>
        </is>
      </c>
      <c r="G3023" s="3" t="inlineStr">
        <is>
          <t>봉암리</t>
        </is>
      </c>
      <c r="H3023" s="3" t="inlineStr">
        <is>
          <t>계획관리지역</t>
        </is>
      </c>
      <c r="I3023" s="3" t="inlineStr">
        <is>
          <t>답</t>
        </is>
      </c>
      <c r="J3023" s="3" t="inlineStr">
        <is>
          <t>연서면</t>
        </is>
      </c>
    </row>
    <row r="3024">
      <c r="A3024" s="3" t="n">
        <v>2022</v>
      </c>
      <c r="B3024" s="4" t="n">
        <v>41076</v>
      </c>
      <c r="C3024" s="4" t="n">
        <v>136</v>
      </c>
      <c r="D3024" s="4" t="n">
        <v>41.14</v>
      </c>
      <c r="E3024" s="5" t="n">
        <v>998.4</v>
      </c>
      <c r="F3024" s="3" t="inlineStr">
        <is>
          <t>연서면</t>
        </is>
      </c>
      <c r="G3024" s="3" t="inlineStr">
        <is>
          <t>봉암리</t>
        </is>
      </c>
      <c r="H3024" s="3" t="inlineStr">
        <is>
          <t>계획관리지역</t>
        </is>
      </c>
      <c r="I3024" s="3" t="inlineStr">
        <is>
          <t>답</t>
        </is>
      </c>
      <c r="J3024" s="3" t="inlineStr">
        <is>
          <t>연서면</t>
        </is>
      </c>
    </row>
    <row r="3025">
      <c r="A3025" s="3" t="n">
        <v>2022</v>
      </c>
      <c r="B3025" s="4" t="n">
        <v>21747</v>
      </c>
      <c r="C3025" s="4" t="n">
        <v>72</v>
      </c>
      <c r="D3025" s="4" t="n">
        <v>21.78</v>
      </c>
      <c r="E3025" s="5" t="n">
        <v>998.5</v>
      </c>
      <c r="F3025" s="3" t="inlineStr">
        <is>
          <t>연서면</t>
        </is>
      </c>
      <c r="G3025" s="3" t="inlineStr">
        <is>
          <t>봉암리</t>
        </is>
      </c>
      <c r="H3025" s="3" t="inlineStr">
        <is>
          <t>계획관리지역</t>
        </is>
      </c>
      <c r="I3025" s="3" t="inlineStr">
        <is>
          <t>답</t>
        </is>
      </c>
      <c r="J3025" s="3" t="inlineStr">
        <is>
          <t>연서면</t>
        </is>
      </c>
    </row>
    <row r="3026">
      <c r="A3026" s="3" t="n">
        <v>2022</v>
      </c>
      <c r="B3026" s="4" t="n">
        <v>32922</v>
      </c>
      <c r="C3026" s="4" t="n">
        <v>109</v>
      </c>
      <c r="D3026" s="4" t="n">
        <v>32.9725</v>
      </c>
      <c r="E3026" s="5" t="n">
        <v>998.5</v>
      </c>
      <c r="F3026" s="3" t="inlineStr">
        <is>
          <t>연서면</t>
        </is>
      </c>
      <c r="G3026" s="3" t="inlineStr">
        <is>
          <t>봉암리</t>
        </is>
      </c>
      <c r="H3026" s="3" t="inlineStr">
        <is>
          <t>계획관리지역</t>
        </is>
      </c>
      <c r="I3026" s="3" t="inlineStr">
        <is>
          <t>답</t>
        </is>
      </c>
      <c r="J3026" s="3" t="inlineStr">
        <is>
          <t>연서면</t>
        </is>
      </c>
    </row>
    <row r="3027">
      <c r="A3027" s="3" t="n">
        <v>2022</v>
      </c>
      <c r="B3027" s="4" t="n">
        <v>12988</v>
      </c>
      <c r="C3027" s="4" t="n">
        <v>43</v>
      </c>
      <c r="D3027" s="4" t="n">
        <v>13.0075</v>
      </c>
      <c r="E3027" s="5" t="n">
        <v>998.5</v>
      </c>
      <c r="F3027" s="3" t="inlineStr">
        <is>
          <t>연서면</t>
        </is>
      </c>
      <c r="G3027" s="3" t="inlineStr">
        <is>
          <t>봉암리</t>
        </is>
      </c>
      <c r="H3027" s="3" t="inlineStr">
        <is>
          <t>농림지역</t>
        </is>
      </c>
      <c r="I3027" s="3" t="inlineStr">
        <is>
          <t>답</t>
        </is>
      </c>
      <c r="J3027" s="3" t="inlineStr">
        <is>
          <t>연서면</t>
        </is>
      </c>
    </row>
    <row r="3028">
      <c r="A3028" s="3" t="n">
        <v>2025</v>
      </c>
      <c r="B3028" s="4" t="n">
        <v>14200</v>
      </c>
      <c r="C3028" s="4" t="n">
        <v>196</v>
      </c>
      <c r="D3028" s="4" t="n">
        <v>59.29</v>
      </c>
      <c r="E3028" s="5" t="n">
        <v>239.5</v>
      </c>
      <c r="F3028" s="3" t="inlineStr">
        <is>
          <t>연동면</t>
        </is>
      </c>
      <c r="G3028" s="3" t="inlineStr">
        <is>
          <t>명학리</t>
        </is>
      </c>
      <c r="H3028" s="3" t="inlineStr">
        <is>
          <t>계획관리지역</t>
        </is>
      </c>
      <c r="I3028" s="3" t="inlineStr">
        <is>
          <t>대</t>
        </is>
      </c>
      <c r="J3028" s="3" t="inlineStr">
        <is>
          <t>연동면</t>
        </is>
      </c>
    </row>
    <row r="3029">
      <c r="A3029" s="3" t="n">
        <v>2025</v>
      </c>
      <c r="B3029" s="4" t="n">
        <v>24564</v>
      </c>
      <c r="C3029" s="4" t="n">
        <v>884</v>
      </c>
      <c r="D3029" s="4" t="n">
        <v>267.41</v>
      </c>
      <c r="E3029" s="5" t="n">
        <v>91.90000000000001</v>
      </c>
      <c r="F3029" s="3" t="inlineStr">
        <is>
          <t>연동면</t>
        </is>
      </c>
      <c r="G3029" s="3" t="inlineStr">
        <is>
          <t>명학리</t>
        </is>
      </c>
      <c r="H3029" s="3" t="inlineStr">
        <is>
          <t>계획관리지역</t>
        </is>
      </c>
      <c r="I3029" s="3" t="inlineStr">
        <is>
          <t>전</t>
        </is>
      </c>
      <c r="J3029" s="3" t="inlineStr">
        <is>
          <t>연동면</t>
        </is>
      </c>
    </row>
    <row r="3030">
      <c r="A3030" s="3" t="n">
        <v>2025</v>
      </c>
      <c r="B3030" s="4" t="n">
        <v>13000</v>
      </c>
      <c r="C3030" s="4" t="n">
        <v>871</v>
      </c>
      <c r="D3030" s="4" t="n">
        <v>263.4775</v>
      </c>
      <c r="E3030" s="5" t="n">
        <v>49.3</v>
      </c>
      <c r="F3030" s="3" t="inlineStr">
        <is>
          <t>조치원읍</t>
        </is>
      </c>
      <c r="G3030" s="3" t="inlineStr">
        <is>
          <t>신안리</t>
        </is>
      </c>
      <c r="H3030" s="3" t="inlineStr">
        <is>
          <t>생산녹지지역</t>
        </is>
      </c>
      <c r="I3030" s="3" t="inlineStr">
        <is>
          <t>전</t>
        </is>
      </c>
      <c r="J3030" s="3" t="inlineStr">
        <is>
          <t>조치원읍</t>
        </is>
      </c>
    </row>
    <row r="3031">
      <c r="A3031" s="3" t="n">
        <v>2026</v>
      </c>
      <c r="B3031" s="4" t="n">
        <v>870</v>
      </c>
      <c r="C3031" s="4" t="n">
        <v>124</v>
      </c>
      <c r="D3031" s="4" t="n">
        <v>37.51</v>
      </c>
      <c r="E3031" s="5" t="n">
        <v>23.2</v>
      </c>
      <c r="F3031" s="3" t="inlineStr">
        <is>
          <t>조치원읍</t>
        </is>
      </c>
      <c r="G3031" s="3" t="inlineStr">
        <is>
          <t>신안리</t>
        </is>
      </c>
      <c r="H3031" s="3" t="inlineStr">
        <is>
          <t>보전녹지지역</t>
        </is>
      </c>
      <c r="I3031" s="3" t="inlineStr">
        <is>
          <t>임야</t>
        </is>
      </c>
      <c r="J3031" s="3" t="inlineStr">
        <is>
          <t>조치원읍</t>
        </is>
      </c>
    </row>
    <row r="3032">
      <c r="A3032" s="3" t="n">
        <v>2026</v>
      </c>
      <c r="B3032" s="4" t="n">
        <v>530</v>
      </c>
      <c r="C3032" s="4" t="n">
        <v>75</v>
      </c>
      <c r="D3032" s="4" t="n">
        <v>22.6875</v>
      </c>
      <c r="E3032" s="5" t="n">
        <v>23.4</v>
      </c>
      <c r="F3032" s="3" t="inlineStr">
        <is>
          <t>조치원읍</t>
        </is>
      </c>
      <c r="G3032" s="3" t="inlineStr">
        <is>
          <t>신안리</t>
        </is>
      </c>
      <c r="H3032" s="3" t="inlineStr">
        <is>
          <t>보전녹지지역</t>
        </is>
      </c>
      <c r="I3032" s="3" t="inlineStr">
        <is>
          <t>임야</t>
        </is>
      </c>
      <c r="J3032" s="3" t="inlineStr">
        <is>
          <t>조치원읍</t>
        </is>
      </c>
    </row>
    <row r="3033">
      <c r="A3033" s="3" t="n">
        <v>2026</v>
      </c>
      <c r="B3033" s="4" t="n">
        <v>1220</v>
      </c>
      <c r="C3033" s="4" t="n">
        <v>134</v>
      </c>
      <c r="D3033" s="4" t="n">
        <v>40.535</v>
      </c>
      <c r="E3033" s="5" t="n">
        <v>30.1</v>
      </c>
      <c r="F3033" s="3" t="inlineStr">
        <is>
          <t>조치원읍</t>
        </is>
      </c>
      <c r="G3033" s="3" t="inlineStr">
        <is>
          <t>신안리</t>
        </is>
      </c>
      <c r="H3033" s="3" t="inlineStr">
        <is>
          <t>자연녹지지역</t>
        </is>
      </c>
      <c r="I3033" s="3" t="inlineStr">
        <is>
          <t>임야</t>
        </is>
      </c>
      <c r="J3033" s="3" t="inlineStr">
        <is>
          <t>조치원읍</t>
        </is>
      </c>
    </row>
    <row r="3034">
      <c r="A3034" s="3" t="n">
        <v>2026</v>
      </c>
      <c r="B3034" s="4" t="n">
        <v>900</v>
      </c>
      <c r="C3034" s="4" t="n">
        <v>217</v>
      </c>
      <c r="D3034" s="4" t="n">
        <v>65.6425</v>
      </c>
      <c r="E3034" s="5" t="n">
        <v>13.7</v>
      </c>
      <c r="F3034" s="3" t="inlineStr">
        <is>
          <t>조치원읍</t>
        </is>
      </c>
      <c r="G3034" s="3" t="inlineStr">
        <is>
          <t>신안리</t>
        </is>
      </c>
      <c r="H3034" s="3" t="inlineStr">
        <is>
          <t>자연녹지지역</t>
        </is>
      </c>
      <c r="I3034" s="3" t="inlineStr">
        <is>
          <t>임야</t>
        </is>
      </c>
      <c r="J3034" s="3" t="inlineStr">
        <is>
          <t>조치원읍</t>
        </is>
      </c>
    </row>
    <row r="3035">
      <c r="A3035" s="3" t="n">
        <v>2026</v>
      </c>
      <c r="B3035" s="4" t="n">
        <v>8000</v>
      </c>
      <c r="C3035" s="4" t="n">
        <v>425</v>
      </c>
      <c r="D3035" s="4" t="n">
        <v>128.5625</v>
      </c>
      <c r="E3035" s="5" t="n">
        <v>62.2</v>
      </c>
      <c r="F3035" s="3" t="inlineStr">
        <is>
          <t>조치원읍</t>
        </is>
      </c>
      <c r="G3035" s="3" t="inlineStr">
        <is>
          <t>신안리</t>
        </is>
      </c>
      <c r="H3035" s="3" t="inlineStr">
        <is>
          <t>보전녹지지역</t>
        </is>
      </c>
      <c r="I3035" s="3" t="inlineStr">
        <is>
          <t>임야</t>
        </is>
      </c>
      <c r="J3035" s="3" t="inlineStr">
        <is>
          <t>조치원읍</t>
        </is>
      </c>
    </row>
    <row r="3036">
      <c r="A3036" s="3" t="n">
        <v>2026</v>
      </c>
      <c r="B3036" s="4" t="n">
        <v>12320</v>
      </c>
      <c r="C3036" s="4" t="n">
        <v>88</v>
      </c>
      <c r="D3036" s="4" t="n">
        <v>26.62</v>
      </c>
      <c r="E3036" s="5" t="n">
        <v>462.8</v>
      </c>
      <c r="F3036" s="3" t="inlineStr">
        <is>
          <t>조치원읍</t>
        </is>
      </c>
      <c r="G3036" s="3" t="inlineStr">
        <is>
          <t>서창리</t>
        </is>
      </c>
      <c r="H3036" s="3" t="inlineStr">
        <is>
          <t>준주거지역</t>
        </is>
      </c>
      <c r="I3036" s="3" t="inlineStr">
        <is>
          <t>대</t>
        </is>
      </c>
      <c r="J3036" s="3" t="inlineStr">
        <is>
          <t>조치원읍</t>
        </is>
      </c>
    </row>
    <row r="3037">
      <c r="A3037" s="3" t="n">
        <v>2026</v>
      </c>
      <c r="B3037" s="4" t="n">
        <v>23478</v>
      </c>
      <c r="C3037" s="4" t="n">
        <v>1805.7</v>
      </c>
      <c r="D3037" s="4" t="n">
        <v>546.22425</v>
      </c>
      <c r="E3037" s="5" t="n">
        <v>43</v>
      </c>
      <c r="F3037" s="3" t="inlineStr">
        <is>
          <t>연동면</t>
        </is>
      </c>
      <c r="G3037" s="3" t="inlineStr">
        <is>
          <t>응암리</t>
        </is>
      </c>
      <c r="H3037" s="3" t="inlineStr">
        <is>
          <t>농림지역</t>
        </is>
      </c>
      <c r="I3037" s="3" t="inlineStr">
        <is>
          <t>답</t>
        </is>
      </c>
      <c r="J3037" s="3" t="inlineStr">
        <is>
          <t>연동면</t>
        </is>
      </c>
    </row>
    <row r="3038">
      <c r="A3038" s="3" t="n">
        <v>2026</v>
      </c>
      <c r="B3038" s="4" t="n">
        <v>25155</v>
      </c>
      <c r="C3038" s="4" t="n">
        <v>1935.2</v>
      </c>
      <c r="D3038" s="4" t="n">
        <v>585.398</v>
      </c>
      <c r="E3038" s="5" t="n">
        <v>43</v>
      </c>
      <c r="F3038" s="3" t="inlineStr">
        <is>
          <t>연동면</t>
        </is>
      </c>
      <c r="G3038" s="3" t="inlineStr">
        <is>
          <t>응암리</t>
        </is>
      </c>
      <c r="H3038" s="3" t="inlineStr">
        <is>
          <t>농림지역</t>
        </is>
      </c>
      <c r="I3038" s="3" t="inlineStr">
        <is>
          <t>답</t>
        </is>
      </c>
      <c r="J3038" s="3" t="inlineStr">
        <is>
          <t>연동면</t>
        </is>
      </c>
    </row>
    <row r="3039">
      <c r="A3039" s="3" t="n">
        <v>2026</v>
      </c>
      <c r="B3039" s="4" t="n">
        <v>23826</v>
      </c>
      <c r="C3039" s="4" t="n">
        <v>2387</v>
      </c>
      <c r="D3039" s="4" t="n">
        <v>722.0675</v>
      </c>
      <c r="E3039" s="5" t="n">
        <v>33</v>
      </c>
      <c r="F3039" s="3" t="inlineStr">
        <is>
          <t>연서면</t>
        </is>
      </c>
      <c r="G3039" s="3" t="inlineStr">
        <is>
          <t>청라리</t>
        </is>
      </c>
      <c r="H3039" s="3" t="inlineStr">
        <is>
          <t>생산관리지역</t>
        </is>
      </c>
      <c r="I3039" s="3" t="inlineStr">
        <is>
          <t>답</t>
        </is>
      </c>
      <c r="J3039" s="3" t="inlineStr">
        <is>
          <t>연서면</t>
        </is>
      </c>
    </row>
    <row r="3040">
      <c r="A3040" s="3" t="n">
        <v>2026</v>
      </c>
      <c r="B3040" s="4" t="n">
        <v>25872</v>
      </c>
      <c r="C3040" s="4" t="n">
        <v>2592</v>
      </c>
      <c r="D3040" s="4" t="n">
        <v>784.0799999999999</v>
      </c>
      <c r="E3040" s="5" t="n">
        <v>33</v>
      </c>
      <c r="F3040" s="3" t="inlineStr">
        <is>
          <t>연서면</t>
        </is>
      </c>
      <c r="G3040" s="3" t="inlineStr">
        <is>
          <t>청라리</t>
        </is>
      </c>
      <c r="H3040" s="3" t="inlineStr">
        <is>
          <t>생산관리지역</t>
        </is>
      </c>
      <c r="I3040" s="3" t="inlineStr">
        <is>
          <t>답</t>
        </is>
      </c>
      <c r="J3040" s="3" t="inlineStr">
        <is>
          <t>연서면</t>
        </is>
      </c>
    </row>
    <row r="3041">
      <c r="A3041" s="3" t="n">
        <v>2026</v>
      </c>
      <c r="B3041" s="4" t="n">
        <v>1000</v>
      </c>
      <c r="C3041" s="4" t="n">
        <v>102</v>
      </c>
      <c r="D3041" s="4" t="n">
        <v>30.855</v>
      </c>
      <c r="E3041" s="5" t="n">
        <v>32.4</v>
      </c>
      <c r="F3041" s="3" t="inlineStr">
        <is>
          <t>부강면</t>
        </is>
      </c>
      <c r="G3041" s="3" t="inlineStr">
        <is>
          <t>산수리</t>
        </is>
      </c>
      <c r="H3041" s="3" t="inlineStr">
        <is>
          <t>계획관리지역</t>
        </is>
      </c>
      <c r="I3041" s="3" t="inlineStr">
        <is>
          <t>전</t>
        </is>
      </c>
      <c r="J3041" s="3" t="inlineStr">
        <is>
          <t>부강면</t>
        </is>
      </c>
    </row>
    <row r="3042">
      <c r="A3042" s="3" t="n">
        <v>2026</v>
      </c>
      <c r="B3042" s="4" t="n">
        <v>4200</v>
      </c>
      <c r="C3042" s="4" t="n">
        <v>393</v>
      </c>
      <c r="D3042" s="4" t="n">
        <v>118.8825</v>
      </c>
      <c r="E3042" s="5" t="n">
        <v>35.3</v>
      </c>
      <c r="F3042" s="3" t="inlineStr">
        <is>
          <t>부강면</t>
        </is>
      </c>
      <c r="G3042" s="3" t="inlineStr">
        <is>
          <t>산수리</t>
        </is>
      </c>
      <c r="H3042" s="3" t="inlineStr">
        <is>
          <t>계획관리지역</t>
        </is>
      </c>
      <c r="I3042" s="3" t="inlineStr">
        <is>
          <t>전</t>
        </is>
      </c>
      <c r="J3042" s="3" t="inlineStr">
        <is>
          <t>부강면</t>
        </is>
      </c>
    </row>
    <row r="3043">
      <c r="A3043" s="3" t="n">
        <v>2025</v>
      </c>
      <c r="B3043" s="4" t="n">
        <v>58000</v>
      </c>
      <c r="C3043" s="4" t="n">
        <v>368.7</v>
      </c>
      <c r="D3043" s="4" t="n">
        <v>111.53175</v>
      </c>
      <c r="E3043" s="5" t="n">
        <v>520</v>
      </c>
      <c r="F3043" s="3" t="inlineStr">
        <is>
          <t>아름동</t>
        </is>
      </c>
      <c r="G3043" s="3" t="inlineStr"/>
      <c r="H3043" s="3" t="inlineStr">
        <is>
          <t>제1종전용주거지역</t>
        </is>
      </c>
      <c r="I3043" s="3" t="inlineStr">
        <is>
          <t>대</t>
        </is>
      </c>
      <c r="J3043" s="3" t="inlineStr">
        <is>
          <t>아름동</t>
        </is>
      </c>
    </row>
    <row r="3044">
      <c r="A3044" s="3" t="n">
        <v>2025</v>
      </c>
      <c r="B3044" s="4" t="n">
        <v>13500</v>
      </c>
      <c r="C3044" s="4" t="n">
        <v>1409</v>
      </c>
      <c r="D3044" s="4" t="n">
        <v>426.2225</v>
      </c>
      <c r="E3044" s="5" t="n">
        <v>31.7</v>
      </c>
      <c r="F3044" s="3" t="inlineStr">
        <is>
          <t>연동면</t>
        </is>
      </c>
      <c r="G3044" s="3" t="inlineStr">
        <is>
          <t>응암리</t>
        </is>
      </c>
      <c r="H3044" s="3" t="inlineStr">
        <is>
          <t>농림지역</t>
        </is>
      </c>
      <c r="I3044" s="3" t="inlineStr">
        <is>
          <t>답</t>
        </is>
      </c>
      <c r="J3044" s="3" t="inlineStr">
        <is>
          <t>연동면</t>
        </is>
      </c>
    </row>
    <row r="3045">
      <c r="A3045" s="3" t="n">
        <v>2025</v>
      </c>
      <c r="B3045" s="4" t="n">
        <v>1373</v>
      </c>
      <c r="C3045" s="4" t="n">
        <v>8</v>
      </c>
      <c r="D3045" s="4" t="n">
        <v>2.42</v>
      </c>
      <c r="E3045" s="5" t="n">
        <v>567.4</v>
      </c>
      <c r="F3045" s="3" t="inlineStr">
        <is>
          <t>조치원읍</t>
        </is>
      </c>
      <c r="G3045" s="3" t="inlineStr">
        <is>
          <t>침산리</t>
        </is>
      </c>
      <c r="H3045" s="3" t="inlineStr">
        <is>
          <t>제2종일반주거지역</t>
        </is>
      </c>
      <c r="I3045" s="3" t="inlineStr">
        <is>
          <t>대</t>
        </is>
      </c>
      <c r="J3045" s="3" t="inlineStr">
        <is>
          <t>조치원읍</t>
        </is>
      </c>
    </row>
    <row r="3046">
      <c r="A3046" s="3" t="n">
        <v>2025</v>
      </c>
      <c r="B3046" s="4" t="n">
        <v>515</v>
      </c>
      <c r="C3046" s="4" t="n">
        <v>3</v>
      </c>
      <c r="D3046" s="4" t="n">
        <v>0.9075</v>
      </c>
      <c r="E3046" s="5" t="n">
        <v>567.5</v>
      </c>
      <c r="F3046" s="3" t="inlineStr">
        <is>
          <t>조치원읍</t>
        </is>
      </c>
      <c r="G3046" s="3" t="inlineStr">
        <is>
          <t>침산리</t>
        </is>
      </c>
      <c r="H3046" s="3" t="inlineStr">
        <is>
          <t>제2종일반주거지역</t>
        </is>
      </c>
      <c r="I3046" s="3" t="inlineStr">
        <is>
          <t>대</t>
        </is>
      </c>
      <c r="J3046" s="3" t="inlineStr">
        <is>
          <t>조치원읍</t>
        </is>
      </c>
    </row>
    <row r="3047">
      <c r="A3047" s="3" t="n">
        <v>2025</v>
      </c>
      <c r="B3047" s="4" t="n">
        <v>1202</v>
      </c>
      <c r="C3047" s="4" t="n">
        <v>7</v>
      </c>
      <c r="D3047" s="4" t="n">
        <v>2.1175</v>
      </c>
      <c r="E3047" s="5" t="n">
        <v>567.7</v>
      </c>
      <c r="F3047" s="3" t="inlineStr">
        <is>
          <t>조치원읍</t>
        </is>
      </c>
      <c r="G3047" s="3" t="inlineStr">
        <is>
          <t>침산리</t>
        </is>
      </c>
      <c r="H3047" s="3" t="inlineStr">
        <is>
          <t>제2종일반주거지역</t>
        </is>
      </c>
      <c r="I3047" s="3" t="inlineStr">
        <is>
          <t>대</t>
        </is>
      </c>
      <c r="J3047" s="3" t="inlineStr">
        <is>
          <t>조치원읍</t>
        </is>
      </c>
    </row>
    <row r="3048">
      <c r="A3048" s="3" t="n">
        <v>2025</v>
      </c>
      <c r="B3048" s="4" t="n">
        <v>3200</v>
      </c>
      <c r="C3048" s="4" t="n">
        <v>17</v>
      </c>
      <c r="D3048" s="4" t="n">
        <v>5.1425</v>
      </c>
      <c r="E3048" s="5" t="n">
        <v>622.3</v>
      </c>
      <c r="F3048" s="3" t="inlineStr">
        <is>
          <t>부강면</t>
        </is>
      </c>
      <c r="G3048" s="3" t="inlineStr">
        <is>
          <t>부강리</t>
        </is>
      </c>
      <c r="H3048" s="3" t="inlineStr">
        <is>
          <t>제2종일반주거지역</t>
        </is>
      </c>
      <c r="I3048" s="3" t="inlineStr">
        <is>
          <t>대</t>
        </is>
      </c>
      <c r="J3048" s="3" t="inlineStr">
        <is>
          <t>부강면</t>
        </is>
      </c>
    </row>
    <row r="3049">
      <c r="A3049" s="3" t="n">
        <v>2023</v>
      </c>
      <c r="B3049" s="4" t="n">
        <v>141000</v>
      </c>
      <c r="C3049" s="4" t="n">
        <v>2496</v>
      </c>
      <c r="D3049" s="4" t="n">
        <v>755.04</v>
      </c>
      <c r="E3049" s="5" t="n">
        <v>186.7</v>
      </c>
      <c r="F3049" s="3" t="inlineStr">
        <is>
          <t>연서면</t>
        </is>
      </c>
      <c r="G3049" s="3" t="inlineStr">
        <is>
          <t>신대리</t>
        </is>
      </c>
      <c r="H3049" s="3" t="inlineStr">
        <is>
          <t>보전관리지역</t>
        </is>
      </c>
      <c r="I3049" s="3" t="inlineStr">
        <is>
          <t>임야</t>
        </is>
      </c>
      <c r="J3049" s="3" t="inlineStr">
        <is>
          <t>연서면</t>
        </is>
      </c>
    </row>
    <row r="3050">
      <c r="A3050" s="3" t="n">
        <v>2023</v>
      </c>
      <c r="B3050" s="4" t="n">
        <v>193</v>
      </c>
      <c r="C3050" s="4" t="n">
        <v>157</v>
      </c>
      <c r="D3050" s="4" t="n">
        <v>47.4925</v>
      </c>
      <c r="E3050" s="5" t="n">
        <v>4.1</v>
      </c>
      <c r="F3050" s="3" t="inlineStr">
        <is>
          <t>연서면</t>
        </is>
      </c>
      <c r="G3050" s="3" t="inlineStr">
        <is>
          <t>신대리</t>
        </is>
      </c>
      <c r="H3050" s="3" t="inlineStr">
        <is>
          <t>보전관리지역</t>
        </is>
      </c>
      <c r="I3050" s="3" t="inlineStr">
        <is>
          <t>임야</t>
        </is>
      </c>
      <c r="J3050" s="3" t="inlineStr">
        <is>
          <t>연서면</t>
        </is>
      </c>
    </row>
    <row r="3051">
      <c r="A3051" s="3" t="n">
        <v>2023</v>
      </c>
      <c r="B3051" s="4" t="n">
        <v>55170</v>
      </c>
      <c r="C3051" s="4" t="n">
        <v>3040</v>
      </c>
      <c r="D3051" s="4" t="n">
        <v>919.6</v>
      </c>
      <c r="E3051" s="5" t="n">
        <v>60</v>
      </c>
      <c r="F3051" s="3" t="inlineStr">
        <is>
          <t>연서면</t>
        </is>
      </c>
      <c r="G3051" s="3" t="inlineStr">
        <is>
          <t>고복리</t>
        </is>
      </c>
      <c r="H3051" s="3" t="inlineStr">
        <is>
          <t>농림지역</t>
        </is>
      </c>
      <c r="I3051" s="3" t="inlineStr">
        <is>
          <t>답</t>
        </is>
      </c>
      <c r="J3051" s="3" t="inlineStr">
        <is>
          <t>연서면</t>
        </is>
      </c>
    </row>
    <row r="3052">
      <c r="A3052" s="3" t="n">
        <v>2022</v>
      </c>
      <c r="B3052" s="4" t="n">
        <v>134630</v>
      </c>
      <c r="C3052" s="4" t="n">
        <v>2172</v>
      </c>
      <c r="D3052" s="4" t="n">
        <v>657.03</v>
      </c>
      <c r="E3052" s="5" t="n">
        <v>204.9</v>
      </c>
      <c r="F3052" s="3" t="inlineStr">
        <is>
          <t>연서면</t>
        </is>
      </c>
      <c r="G3052" s="3" t="inlineStr">
        <is>
          <t>부동리</t>
        </is>
      </c>
      <c r="H3052" s="3" t="inlineStr">
        <is>
          <t>계획관리지역</t>
        </is>
      </c>
      <c r="I3052" s="3" t="inlineStr">
        <is>
          <t>전</t>
        </is>
      </c>
      <c r="J3052" s="3" t="inlineStr">
        <is>
          <t>연서면</t>
        </is>
      </c>
    </row>
    <row r="3053">
      <c r="A3053" s="3" t="n">
        <v>2022</v>
      </c>
      <c r="B3053" s="4" t="n">
        <v>2200</v>
      </c>
      <c r="C3053" s="4" t="n">
        <v>112</v>
      </c>
      <c r="D3053" s="4" t="n">
        <v>33.88</v>
      </c>
      <c r="E3053" s="5" t="n">
        <v>64.90000000000001</v>
      </c>
      <c r="F3053" s="3" t="inlineStr">
        <is>
          <t>연서면</t>
        </is>
      </c>
      <c r="G3053" s="3" t="inlineStr">
        <is>
          <t>성제리</t>
        </is>
      </c>
      <c r="H3053" s="3" t="inlineStr">
        <is>
          <t>자연녹지지역</t>
        </is>
      </c>
      <c r="I3053" s="3" t="inlineStr">
        <is>
          <t>전</t>
        </is>
      </c>
      <c r="J3053" s="3" t="inlineStr">
        <is>
          <t>연서면</t>
        </is>
      </c>
    </row>
    <row r="3054">
      <c r="A3054" s="3" t="n">
        <v>2022</v>
      </c>
      <c r="B3054" s="4" t="n">
        <v>47000</v>
      </c>
      <c r="C3054" s="4" t="n">
        <v>585</v>
      </c>
      <c r="D3054" s="4" t="n">
        <v>176.9625</v>
      </c>
      <c r="E3054" s="5" t="n">
        <v>265.6</v>
      </c>
      <c r="F3054" s="3" t="inlineStr">
        <is>
          <t>연동면</t>
        </is>
      </c>
      <c r="G3054" s="3" t="inlineStr">
        <is>
          <t>문주리</t>
        </is>
      </c>
      <c r="H3054" s="3" t="inlineStr">
        <is>
          <t>계획관리지역</t>
        </is>
      </c>
      <c r="I3054" s="3" t="inlineStr">
        <is>
          <t>대</t>
        </is>
      </c>
      <c r="J3054" s="3" t="inlineStr">
        <is>
          <t>연동면</t>
        </is>
      </c>
    </row>
    <row r="3055">
      <c r="A3055" s="3" t="n">
        <v>2022</v>
      </c>
      <c r="B3055" s="4" t="n">
        <v>77400</v>
      </c>
      <c r="C3055" s="4" t="n">
        <v>854</v>
      </c>
      <c r="D3055" s="4" t="n">
        <v>258.335</v>
      </c>
      <c r="E3055" s="5" t="n">
        <v>299.6</v>
      </c>
      <c r="F3055" s="3" t="inlineStr">
        <is>
          <t>부강면</t>
        </is>
      </c>
      <c r="G3055" s="3" t="inlineStr">
        <is>
          <t>부강리</t>
        </is>
      </c>
      <c r="H3055" s="3" t="inlineStr">
        <is>
          <t>계획관리지역</t>
        </is>
      </c>
      <c r="I3055" s="3" t="inlineStr">
        <is>
          <t>공장용지</t>
        </is>
      </c>
      <c r="J3055" s="3" t="inlineStr">
        <is>
          <t>부강면</t>
        </is>
      </c>
    </row>
    <row r="3056">
      <c r="A3056" s="3" t="n">
        <v>2022</v>
      </c>
      <c r="B3056" s="4" t="n">
        <v>53000</v>
      </c>
      <c r="C3056" s="4" t="n">
        <v>608</v>
      </c>
      <c r="D3056" s="4" t="n">
        <v>183.92</v>
      </c>
      <c r="E3056" s="5" t="n">
        <v>288.2</v>
      </c>
      <c r="F3056" s="3" t="inlineStr">
        <is>
          <t>연동면</t>
        </is>
      </c>
      <c r="G3056" s="3" t="inlineStr">
        <is>
          <t>문주리</t>
        </is>
      </c>
      <c r="H3056" s="3" t="inlineStr">
        <is>
          <t>계획관리지역</t>
        </is>
      </c>
      <c r="I3056" s="3" t="inlineStr">
        <is>
          <t>전</t>
        </is>
      </c>
      <c r="J3056" s="3" t="inlineStr">
        <is>
          <t>연동면</t>
        </is>
      </c>
    </row>
    <row r="3057">
      <c r="A3057" s="3" t="n">
        <v>2023</v>
      </c>
      <c r="B3057" s="4" t="n">
        <v>4000</v>
      </c>
      <c r="C3057" s="4" t="n">
        <v>529</v>
      </c>
      <c r="D3057" s="4" t="n">
        <v>160.0225</v>
      </c>
      <c r="E3057" s="5" t="n">
        <v>25</v>
      </c>
      <c r="F3057" s="3" t="inlineStr">
        <is>
          <t>부강면</t>
        </is>
      </c>
      <c r="G3057" s="3" t="inlineStr">
        <is>
          <t>부강리</t>
        </is>
      </c>
      <c r="H3057" s="3" t="inlineStr">
        <is>
          <t>계획관리지역</t>
        </is>
      </c>
      <c r="I3057" s="3" t="inlineStr">
        <is>
          <t>전</t>
        </is>
      </c>
      <c r="J3057" s="3" t="inlineStr">
        <is>
          <t>부강면</t>
        </is>
      </c>
    </row>
    <row r="3058">
      <c r="A3058" s="3" t="n">
        <v>2025</v>
      </c>
      <c r="B3058" s="4" t="n">
        <v>2540</v>
      </c>
      <c r="C3058" s="4" t="n">
        <v>7</v>
      </c>
      <c r="D3058" s="4" t="n">
        <v>2.1175</v>
      </c>
      <c r="E3058" s="5" t="n">
        <v>1199.5</v>
      </c>
      <c r="F3058" s="3" t="inlineStr">
        <is>
          <t>조치원읍</t>
        </is>
      </c>
      <c r="G3058" s="3" t="inlineStr">
        <is>
          <t>명리</t>
        </is>
      </c>
      <c r="H3058" s="3" t="inlineStr">
        <is>
          <t>일반상업지역</t>
        </is>
      </c>
      <c r="I3058" s="3" t="inlineStr">
        <is>
          <t>대</t>
        </is>
      </c>
      <c r="J3058" s="3" t="inlineStr">
        <is>
          <t>조치원읍</t>
        </is>
      </c>
    </row>
    <row r="3059">
      <c r="A3059" s="3" t="n">
        <v>2025</v>
      </c>
      <c r="B3059" s="4" t="n">
        <v>1500</v>
      </c>
      <c r="C3059" s="4" t="n">
        <v>198</v>
      </c>
      <c r="D3059" s="4" t="n">
        <v>59.895</v>
      </c>
      <c r="E3059" s="5" t="n">
        <v>25</v>
      </c>
      <c r="F3059" s="3" t="inlineStr">
        <is>
          <t>부강면</t>
        </is>
      </c>
      <c r="G3059" s="3" t="inlineStr">
        <is>
          <t>등곡리</t>
        </is>
      </c>
      <c r="H3059" s="3" t="inlineStr">
        <is>
          <t>계획관리지역</t>
        </is>
      </c>
      <c r="I3059" s="3" t="inlineStr">
        <is>
          <t>대</t>
        </is>
      </c>
      <c r="J3059" s="3" t="inlineStr">
        <is>
          <t>부강면</t>
        </is>
      </c>
    </row>
    <row r="3060">
      <c r="A3060" s="3" t="n">
        <v>2025</v>
      </c>
      <c r="B3060" s="4" t="n">
        <v>24000</v>
      </c>
      <c r="C3060" s="4" t="n">
        <v>1056</v>
      </c>
      <c r="D3060" s="4" t="n">
        <v>319.44</v>
      </c>
      <c r="E3060" s="5" t="n">
        <v>75.09999999999999</v>
      </c>
      <c r="F3060" s="3" t="inlineStr">
        <is>
          <t>연서면</t>
        </is>
      </c>
      <c r="G3060" s="3" t="inlineStr">
        <is>
          <t>쌍류리</t>
        </is>
      </c>
      <c r="H3060" s="3" t="inlineStr">
        <is>
          <t>생산관리지역</t>
        </is>
      </c>
      <c r="I3060" s="3" t="inlineStr">
        <is>
          <t>답</t>
        </is>
      </c>
      <c r="J3060" s="3" t="inlineStr">
        <is>
          <t>연서면</t>
        </is>
      </c>
    </row>
    <row r="3061">
      <c r="A3061" s="3" t="n">
        <v>2025</v>
      </c>
      <c r="B3061" s="4" t="n">
        <v>3600</v>
      </c>
      <c r="C3061" s="4" t="n">
        <v>130</v>
      </c>
      <c r="D3061" s="4" t="n">
        <v>39.325</v>
      </c>
      <c r="E3061" s="5" t="n">
        <v>91.5</v>
      </c>
      <c r="F3061" s="3" t="inlineStr">
        <is>
          <t>연서면</t>
        </is>
      </c>
      <c r="G3061" s="3" t="inlineStr">
        <is>
          <t>쌍류리</t>
        </is>
      </c>
      <c r="H3061" s="3" t="inlineStr">
        <is>
          <t>생산관리지역</t>
        </is>
      </c>
      <c r="I3061" s="3" t="inlineStr">
        <is>
          <t>답</t>
        </is>
      </c>
      <c r="J3061" s="3" t="inlineStr">
        <is>
          <t>연서면</t>
        </is>
      </c>
    </row>
    <row r="3062">
      <c r="A3062" s="3" t="n">
        <v>2025</v>
      </c>
      <c r="B3062" s="4" t="n">
        <v>21000</v>
      </c>
      <c r="C3062" s="4" t="n">
        <v>927</v>
      </c>
      <c r="D3062" s="4" t="n">
        <v>280.4175</v>
      </c>
      <c r="E3062" s="5" t="n">
        <v>74.90000000000001</v>
      </c>
      <c r="F3062" s="3" t="inlineStr">
        <is>
          <t>연서면</t>
        </is>
      </c>
      <c r="G3062" s="3" t="inlineStr">
        <is>
          <t>쌍류리</t>
        </is>
      </c>
      <c r="H3062" s="3" t="inlineStr">
        <is>
          <t>생산관리지역</t>
        </is>
      </c>
      <c r="I3062" s="3" t="inlineStr">
        <is>
          <t>답</t>
        </is>
      </c>
      <c r="J3062" s="3" t="inlineStr">
        <is>
          <t>연서면</t>
        </is>
      </c>
    </row>
    <row r="3063">
      <c r="A3063" s="3" t="n">
        <v>2025</v>
      </c>
      <c r="B3063" s="4" t="n">
        <v>200</v>
      </c>
      <c r="C3063" s="4" t="n">
        <v>33</v>
      </c>
      <c r="D3063" s="4" t="n">
        <v>9.9825</v>
      </c>
      <c r="E3063" s="5" t="n">
        <v>20</v>
      </c>
      <c r="F3063" s="3" t="inlineStr">
        <is>
          <t>연서면</t>
        </is>
      </c>
      <c r="G3063" s="3" t="inlineStr">
        <is>
          <t>고복리</t>
        </is>
      </c>
      <c r="H3063" s="3" t="inlineStr">
        <is>
          <t>농림지역</t>
        </is>
      </c>
      <c r="I3063" s="3" t="inlineStr">
        <is>
          <t>대</t>
        </is>
      </c>
      <c r="J3063" s="3" t="inlineStr">
        <is>
          <t>연서면</t>
        </is>
      </c>
    </row>
    <row r="3064">
      <c r="A3064" s="3" t="n">
        <v>2025</v>
      </c>
      <c r="B3064" s="4" t="n">
        <v>7527</v>
      </c>
      <c r="C3064" s="4" t="n">
        <v>1653</v>
      </c>
      <c r="D3064" s="4" t="n">
        <v>500.0325</v>
      </c>
      <c r="E3064" s="5" t="n">
        <v>15.1</v>
      </c>
      <c r="F3064" s="3" t="inlineStr">
        <is>
          <t>부강면</t>
        </is>
      </c>
      <c r="G3064" s="3" t="inlineStr">
        <is>
          <t>노호리</t>
        </is>
      </c>
      <c r="H3064" s="3" t="inlineStr">
        <is>
          <t>보전관리지역</t>
        </is>
      </c>
      <c r="I3064" s="3" t="inlineStr">
        <is>
          <t>임야</t>
        </is>
      </c>
      <c r="J3064" s="3" t="inlineStr">
        <is>
          <t>부강면</t>
        </is>
      </c>
    </row>
    <row r="3065">
      <c r="A3065" s="3" t="n">
        <v>2025</v>
      </c>
      <c r="B3065" s="4" t="n">
        <v>13473</v>
      </c>
      <c r="C3065" s="4" t="n">
        <v>2959</v>
      </c>
      <c r="D3065" s="4" t="n">
        <v>895.0975</v>
      </c>
      <c r="E3065" s="5" t="n">
        <v>15.1</v>
      </c>
      <c r="F3065" s="3" t="inlineStr">
        <is>
          <t>부강면</t>
        </is>
      </c>
      <c r="G3065" s="3" t="inlineStr">
        <is>
          <t>노호리</t>
        </is>
      </c>
      <c r="H3065" s="3" t="inlineStr">
        <is>
          <t>보전관리지역</t>
        </is>
      </c>
      <c r="I3065" s="3" t="inlineStr">
        <is>
          <t>임야</t>
        </is>
      </c>
      <c r="J3065" s="3" t="inlineStr">
        <is>
          <t>부강면</t>
        </is>
      </c>
    </row>
    <row r="3066">
      <c r="A3066" s="3" t="n">
        <v>2025</v>
      </c>
      <c r="B3066" s="4" t="n">
        <v>21000</v>
      </c>
      <c r="C3066" s="4" t="n">
        <v>4612</v>
      </c>
      <c r="D3066" s="4" t="n">
        <v>1395.13</v>
      </c>
      <c r="E3066" s="5" t="n">
        <v>15.1</v>
      </c>
      <c r="F3066" s="3" t="inlineStr">
        <is>
          <t>부강면</t>
        </is>
      </c>
      <c r="G3066" s="3" t="inlineStr">
        <is>
          <t>노호리</t>
        </is>
      </c>
      <c r="H3066" s="3" t="inlineStr">
        <is>
          <t>보전관리지역</t>
        </is>
      </c>
      <c r="I3066" s="3" t="inlineStr">
        <is>
          <t>임야</t>
        </is>
      </c>
      <c r="J3066" s="3" t="inlineStr">
        <is>
          <t>부강면</t>
        </is>
      </c>
    </row>
    <row r="3067">
      <c r="A3067" s="3" t="n">
        <v>2026</v>
      </c>
      <c r="B3067" s="4" t="n">
        <v>21850</v>
      </c>
      <c r="C3067" s="4" t="n">
        <v>916</v>
      </c>
      <c r="D3067" s="4" t="n">
        <v>277.09</v>
      </c>
      <c r="E3067" s="5" t="n">
        <v>78.90000000000001</v>
      </c>
      <c r="F3067" s="3" t="inlineStr">
        <is>
          <t>연서면</t>
        </is>
      </c>
      <c r="G3067" s="3" t="inlineStr">
        <is>
          <t>고복리</t>
        </is>
      </c>
      <c r="H3067" s="3" t="inlineStr">
        <is>
          <t>농림지역</t>
        </is>
      </c>
      <c r="I3067" s="3" t="inlineStr">
        <is>
          <t>답</t>
        </is>
      </c>
      <c r="J3067" s="3" t="inlineStr">
        <is>
          <t>연서면</t>
        </is>
      </c>
    </row>
    <row r="3068">
      <c r="A3068" s="3" t="n">
        <v>2026</v>
      </c>
      <c r="B3068" s="4" t="n">
        <v>3673</v>
      </c>
      <c r="C3068" s="4" t="n">
        <v>154</v>
      </c>
      <c r="D3068" s="4" t="n">
        <v>46.585</v>
      </c>
      <c r="E3068" s="5" t="n">
        <v>78.8</v>
      </c>
      <c r="F3068" s="3" t="inlineStr">
        <is>
          <t>연서면</t>
        </is>
      </c>
      <c r="G3068" s="3" t="inlineStr">
        <is>
          <t>고복리</t>
        </is>
      </c>
      <c r="H3068" s="3" t="inlineStr">
        <is>
          <t>농림지역</t>
        </is>
      </c>
      <c r="I3068" s="3" t="inlineStr">
        <is>
          <t>답</t>
        </is>
      </c>
      <c r="J3068" s="3" t="inlineStr">
        <is>
          <t>연서면</t>
        </is>
      </c>
    </row>
    <row r="3069">
      <c r="A3069" s="3" t="n">
        <v>2026</v>
      </c>
      <c r="B3069" s="4" t="n">
        <v>477</v>
      </c>
      <c r="C3069" s="4" t="n">
        <v>20</v>
      </c>
      <c r="D3069" s="4" t="n">
        <v>6.05</v>
      </c>
      <c r="E3069" s="5" t="n">
        <v>78.8</v>
      </c>
      <c r="F3069" s="3" t="inlineStr">
        <is>
          <t>연서면</t>
        </is>
      </c>
      <c r="G3069" s="3" t="inlineStr">
        <is>
          <t>고복리</t>
        </is>
      </c>
      <c r="H3069" s="3" t="inlineStr">
        <is>
          <t>농림지역</t>
        </is>
      </c>
      <c r="I3069" s="3" t="inlineStr">
        <is>
          <t>답</t>
        </is>
      </c>
      <c r="J3069" s="3" t="inlineStr">
        <is>
          <t>연서면</t>
        </is>
      </c>
    </row>
    <row r="3070">
      <c r="A3070" s="3" t="n">
        <v>2023</v>
      </c>
      <c r="B3070" s="4" t="n">
        <v>68800</v>
      </c>
      <c r="C3070" s="4" t="n">
        <v>567</v>
      </c>
      <c r="D3070" s="4" t="n">
        <v>171.5175</v>
      </c>
      <c r="E3070" s="5" t="n">
        <v>401.1</v>
      </c>
      <c r="F3070" s="3" t="inlineStr">
        <is>
          <t>조치원읍</t>
        </is>
      </c>
      <c r="G3070" s="3" t="inlineStr">
        <is>
          <t>번암리</t>
        </is>
      </c>
      <c r="H3070" s="3" t="inlineStr">
        <is>
          <t>제2종일반주거지역</t>
        </is>
      </c>
      <c r="I3070" s="3" t="inlineStr">
        <is>
          <t>답</t>
        </is>
      </c>
      <c r="J3070" s="3" t="inlineStr">
        <is>
          <t>조치원읍</t>
        </is>
      </c>
    </row>
    <row r="3071">
      <c r="A3071" s="3" t="n">
        <v>2023</v>
      </c>
      <c r="B3071" s="4" t="n">
        <v>40765</v>
      </c>
      <c r="C3071" s="4" t="n">
        <v>631</v>
      </c>
      <c r="D3071" s="4" t="n">
        <v>190.8775</v>
      </c>
      <c r="E3071" s="5" t="n">
        <v>213.6</v>
      </c>
      <c r="F3071" s="3" t="inlineStr">
        <is>
          <t>연서면</t>
        </is>
      </c>
      <c r="G3071" s="3" t="inlineStr">
        <is>
          <t>국촌리</t>
        </is>
      </c>
      <c r="H3071" s="3" t="inlineStr">
        <is>
          <t>계획관리지역</t>
        </is>
      </c>
      <c r="I3071" s="3" t="inlineStr">
        <is>
          <t>대</t>
        </is>
      </c>
      <c r="J3071" s="3" t="inlineStr">
        <is>
          <t>연서면</t>
        </is>
      </c>
    </row>
    <row r="3072">
      <c r="A3072" s="3" t="n">
        <v>2023</v>
      </c>
      <c r="B3072" s="4" t="n">
        <v>7235</v>
      </c>
      <c r="C3072" s="4" t="n">
        <v>112</v>
      </c>
      <c r="D3072" s="4" t="n">
        <v>33.88</v>
      </c>
      <c r="E3072" s="5" t="n">
        <v>213.5</v>
      </c>
      <c r="F3072" s="3" t="inlineStr">
        <is>
          <t>연서면</t>
        </is>
      </c>
      <c r="G3072" s="3" t="inlineStr">
        <is>
          <t>국촌리</t>
        </is>
      </c>
      <c r="H3072" s="3" t="inlineStr">
        <is>
          <t>계획관리지역</t>
        </is>
      </c>
      <c r="I3072" s="3" t="inlineStr">
        <is>
          <t>대</t>
        </is>
      </c>
      <c r="J3072" s="3" t="inlineStr">
        <is>
          <t>연서면</t>
        </is>
      </c>
    </row>
    <row r="3073">
      <c r="A3073" s="3" t="n">
        <v>2023</v>
      </c>
      <c r="B3073" s="4" t="n">
        <v>21500</v>
      </c>
      <c r="C3073" s="4" t="n">
        <v>817</v>
      </c>
      <c r="D3073" s="4" t="n">
        <v>247.1425</v>
      </c>
      <c r="E3073" s="5" t="n">
        <v>87</v>
      </c>
      <c r="F3073" s="3" t="inlineStr">
        <is>
          <t>연서면</t>
        </is>
      </c>
      <c r="G3073" s="3" t="inlineStr">
        <is>
          <t>고복리</t>
        </is>
      </c>
      <c r="H3073" s="3" t="inlineStr">
        <is>
          <t>보전관리지역</t>
        </is>
      </c>
      <c r="I3073" s="3" t="inlineStr">
        <is>
          <t>과수원</t>
        </is>
      </c>
      <c r="J3073" s="3" t="inlineStr">
        <is>
          <t>연서면</t>
        </is>
      </c>
    </row>
    <row r="3074">
      <c r="A3074" s="3" t="n">
        <v>2023</v>
      </c>
      <c r="B3074" s="4" t="n">
        <v>26790</v>
      </c>
      <c r="C3074" s="4" t="n">
        <v>635</v>
      </c>
      <c r="D3074" s="4" t="n">
        <v>192.0875</v>
      </c>
      <c r="E3074" s="5" t="n">
        <v>139.5</v>
      </c>
      <c r="F3074" s="3" t="inlineStr">
        <is>
          <t>연서면</t>
        </is>
      </c>
      <c r="G3074" s="3" t="inlineStr">
        <is>
          <t>고복리</t>
        </is>
      </c>
      <c r="H3074" s="3" t="inlineStr">
        <is>
          <t>보전관리지역</t>
        </is>
      </c>
      <c r="I3074" s="3" t="inlineStr">
        <is>
          <t>과수원</t>
        </is>
      </c>
      <c r="J3074" s="3" t="inlineStr">
        <is>
          <t>연서면</t>
        </is>
      </c>
    </row>
    <row r="3075">
      <c r="A3075" s="3" t="n">
        <v>2023</v>
      </c>
      <c r="B3075" s="4" t="n">
        <v>983</v>
      </c>
      <c r="C3075" s="4" t="n">
        <v>40</v>
      </c>
      <c r="D3075" s="4" t="n">
        <v>12.1</v>
      </c>
      <c r="E3075" s="5" t="n">
        <v>81.2</v>
      </c>
      <c r="F3075" s="3" t="inlineStr">
        <is>
          <t>연서면</t>
        </is>
      </c>
      <c r="G3075" s="3" t="inlineStr">
        <is>
          <t>와촌리</t>
        </is>
      </c>
      <c r="H3075" s="3" t="inlineStr">
        <is>
          <t>계획관리지역</t>
        </is>
      </c>
      <c r="I3075" s="3" t="inlineStr">
        <is>
          <t>답</t>
        </is>
      </c>
      <c r="J3075" s="3" t="inlineStr">
        <is>
          <t>연서면</t>
        </is>
      </c>
    </row>
    <row r="3076">
      <c r="A3076" s="3" t="n">
        <v>2022</v>
      </c>
      <c r="B3076" s="4" t="n">
        <v>600</v>
      </c>
      <c r="C3076" s="4" t="n">
        <v>6</v>
      </c>
      <c r="D3076" s="4" t="n">
        <v>1.815</v>
      </c>
      <c r="E3076" s="5" t="n">
        <v>330.6</v>
      </c>
      <c r="F3076" s="3" t="inlineStr">
        <is>
          <t>조치원읍</t>
        </is>
      </c>
      <c r="G3076" s="3" t="inlineStr">
        <is>
          <t>신안리</t>
        </is>
      </c>
      <c r="H3076" s="3" t="inlineStr">
        <is>
          <t>제2종일반주거지역</t>
        </is>
      </c>
      <c r="I3076" s="3" t="inlineStr">
        <is>
          <t>도로</t>
        </is>
      </c>
      <c r="J3076" s="3" t="inlineStr">
        <is>
          <t>조치원읍</t>
        </is>
      </c>
    </row>
    <row r="3077">
      <c r="A3077" s="3" t="n">
        <v>2022</v>
      </c>
      <c r="B3077" s="4" t="n">
        <v>1900</v>
      </c>
      <c r="C3077" s="4" t="n">
        <v>27</v>
      </c>
      <c r="D3077" s="4" t="n">
        <v>8.1675</v>
      </c>
      <c r="E3077" s="5" t="n">
        <v>232.6</v>
      </c>
      <c r="F3077" s="3" t="inlineStr">
        <is>
          <t>조치원읍</t>
        </is>
      </c>
      <c r="G3077" s="3" t="inlineStr">
        <is>
          <t>신안리</t>
        </is>
      </c>
      <c r="H3077" s="3" t="inlineStr">
        <is>
          <t>제2종일반주거지역</t>
        </is>
      </c>
      <c r="I3077" s="3" t="inlineStr">
        <is>
          <t>도로</t>
        </is>
      </c>
      <c r="J3077" s="3" t="inlineStr">
        <is>
          <t>조치원읍</t>
        </is>
      </c>
    </row>
    <row r="3078">
      <c r="A3078" s="3" t="n">
        <v>2022</v>
      </c>
      <c r="B3078" s="4" t="n">
        <v>926554</v>
      </c>
      <c r="C3078" s="4" t="n">
        <v>22483</v>
      </c>
      <c r="D3078" s="4" t="n">
        <v>6801.1075</v>
      </c>
      <c r="E3078" s="5" t="n">
        <v>136.2</v>
      </c>
      <c r="F3078" s="3" t="inlineStr">
        <is>
          <t>부강면</t>
        </is>
      </c>
      <c r="G3078" s="3" t="inlineStr">
        <is>
          <t>문곡리</t>
        </is>
      </c>
      <c r="H3078" s="3" t="inlineStr">
        <is>
          <t>계획관리지역</t>
        </is>
      </c>
      <c r="I3078" s="3" t="inlineStr">
        <is>
          <t>임야</t>
        </is>
      </c>
      <c r="J3078" s="3" t="inlineStr">
        <is>
          <t>부강면</t>
        </is>
      </c>
    </row>
    <row r="3079">
      <c r="A3079" s="3" t="n">
        <v>2022</v>
      </c>
      <c r="B3079" s="4" t="n">
        <v>15595</v>
      </c>
      <c r="C3079" s="4" t="n">
        <v>4195</v>
      </c>
      <c r="D3079" s="4" t="n">
        <v>1268.9875</v>
      </c>
      <c r="E3079" s="5" t="n">
        <v>12.3</v>
      </c>
      <c r="F3079" s="3" t="inlineStr">
        <is>
          <t>부강면</t>
        </is>
      </c>
      <c r="G3079" s="3" t="inlineStr">
        <is>
          <t>문곡리</t>
        </is>
      </c>
      <c r="H3079" s="3" t="inlineStr">
        <is>
          <t>계획관리지역</t>
        </is>
      </c>
      <c r="I3079" s="3" t="inlineStr">
        <is>
          <t>임야</t>
        </is>
      </c>
      <c r="J3079" s="3" t="inlineStr">
        <is>
          <t>부강면</t>
        </is>
      </c>
    </row>
    <row r="3080">
      <c r="A3080" s="3" t="n">
        <v>2022</v>
      </c>
      <c r="B3080" s="4" t="n">
        <v>27500</v>
      </c>
      <c r="C3080" s="4" t="n">
        <v>271</v>
      </c>
      <c r="D3080" s="4" t="n">
        <v>81.97749999999999</v>
      </c>
      <c r="E3080" s="5" t="n">
        <v>335.5</v>
      </c>
      <c r="F3080" s="3" t="inlineStr">
        <is>
          <t>조치원읍</t>
        </is>
      </c>
      <c r="G3080" s="3" t="inlineStr">
        <is>
          <t>신안리</t>
        </is>
      </c>
      <c r="H3080" s="3" t="inlineStr">
        <is>
          <t>제2종일반주거지역</t>
        </is>
      </c>
      <c r="I3080" s="3" t="inlineStr">
        <is>
          <t>대</t>
        </is>
      </c>
      <c r="J3080" s="3" t="inlineStr">
        <is>
          <t>조치원읍</t>
        </is>
      </c>
    </row>
    <row r="3081">
      <c r="A3081" s="3" t="n">
        <v>2026</v>
      </c>
      <c r="B3081" s="4" t="n">
        <v>62360</v>
      </c>
      <c r="C3081" s="4" t="n">
        <v>4820</v>
      </c>
      <c r="D3081" s="4" t="n">
        <v>1458.05</v>
      </c>
      <c r="E3081" s="5" t="n">
        <v>42.8</v>
      </c>
      <c r="F3081" s="3" t="inlineStr">
        <is>
          <t>부강면</t>
        </is>
      </c>
      <c r="G3081" s="3" t="inlineStr">
        <is>
          <t>갈산리</t>
        </is>
      </c>
      <c r="H3081" s="3" t="inlineStr">
        <is>
          <t>계획관리지역</t>
        </is>
      </c>
      <c r="I3081" s="3" t="inlineStr">
        <is>
          <t>전</t>
        </is>
      </c>
      <c r="J3081" s="3" t="inlineStr">
        <is>
          <t>부강면</t>
        </is>
      </c>
    </row>
    <row r="3082">
      <c r="A3082" s="3" t="n">
        <v>2026</v>
      </c>
      <c r="B3082" s="4" t="n">
        <v>15000</v>
      </c>
      <c r="C3082" s="4" t="n">
        <v>1068</v>
      </c>
      <c r="D3082" s="4" t="n">
        <v>323.07</v>
      </c>
      <c r="E3082" s="5" t="n">
        <v>46.4</v>
      </c>
      <c r="F3082" s="3" t="inlineStr">
        <is>
          <t>연서면</t>
        </is>
      </c>
      <c r="G3082" s="3" t="inlineStr">
        <is>
          <t>기룡리</t>
        </is>
      </c>
      <c r="H3082" s="3" t="inlineStr">
        <is>
          <t>생산관리지역</t>
        </is>
      </c>
      <c r="I3082" s="3" t="inlineStr">
        <is>
          <t>전</t>
        </is>
      </c>
      <c r="J3082" s="3" t="inlineStr">
        <is>
          <t>연서면</t>
        </is>
      </c>
    </row>
    <row r="3083">
      <c r="A3083" s="3" t="n">
        <v>2026</v>
      </c>
      <c r="B3083" s="4" t="n">
        <v>4300</v>
      </c>
      <c r="C3083" s="4" t="n">
        <v>522</v>
      </c>
      <c r="D3083" s="4" t="n">
        <v>157.905</v>
      </c>
      <c r="E3083" s="5" t="n">
        <v>27.2</v>
      </c>
      <c r="F3083" s="3" t="inlineStr">
        <is>
          <t>연서면</t>
        </is>
      </c>
      <c r="G3083" s="3" t="inlineStr">
        <is>
          <t>쌍류리</t>
        </is>
      </c>
      <c r="H3083" s="3" t="inlineStr">
        <is>
          <t>보전관리지역</t>
        </is>
      </c>
      <c r="I3083" s="3" t="inlineStr">
        <is>
          <t>전</t>
        </is>
      </c>
      <c r="J3083" s="3" t="inlineStr">
        <is>
          <t>연서면</t>
        </is>
      </c>
    </row>
    <row r="3084">
      <c r="A3084" s="3" t="n">
        <v>2022</v>
      </c>
      <c r="B3084" s="4" t="n">
        <v>3140</v>
      </c>
      <c r="C3084" s="4" t="n">
        <v>63</v>
      </c>
      <c r="D3084" s="4" t="n">
        <v>19.0575</v>
      </c>
      <c r="E3084" s="5" t="n">
        <v>164.8</v>
      </c>
      <c r="F3084" s="3" t="inlineStr">
        <is>
          <t>부강면</t>
        </is>
      </c>
      <c r="G3084" s="3" t="inlineStr">
        <is>
          <t>갈산리</t>
        </is>
      </c>
      <c r="H3084" s="3" t="inlineStr">
        <is>
          <t>계획관리지역</t>
        </is>
      </c>
      <c r="I3084" s="3" t="inlineStr">
        <is>
          <t>답</t>
        </is>
      </c>
      <c r="J3084" s="3" t="inlineStr">
        <is>
          <t>부강면</t>
        </is>
      </c>
    </row>
    <row r="3085">
      <c r="A3085" s="3" t="n">
        <v>2022</v>
      </c>
      <c r="B3085" s="4" t="n">
        <v>11860</v>
      </c>
      <c r="C3085" s="4" t="n">
        <v>238</v>
      </c>
      <c r="D3085" s="4" t="n">
        <v>71.995</v>
      </c>
      <c r="E3085" s="5" t="n">
        <v>164.7</v>
      </c>
      <c r="F3085" s="3" t="inlineStr">
        <is>
          <t>부강면</t>
        </is>
      </c>
      <c r="G3085" s="3" t="inlineStr">
        <is>
          <t>갈산리</t>
        </is>
      </c>
      <c r="H3085" s="3" t="inlineStr">
        <is>
          <t>계획관리지역</t>
        </is>
      </c>
      <c r="I3085" s="3" t="inlineStr">
        <is>
          <t>답</t>
        </is>
      </c>
      <c r="J3085" s="3" t="inlineStr">
        <is>
          <t>부강면</t>
        </is>
      </c>
    </row>
    <row r="3086">
      <c r="A3086" s="3" t="n">
        <v>2022</v>
      </c>
      <c r="B3086" s="4" t="n">
        <v>11920</v>
      </c>
      <c r="C3086" s="4" t="n">
        <v>972</v>
      </c>
      <c r="D3086" s="4" t="n">
        <v>294.03</v>
      </c>
      <c r="E3086" s="5" t="n">
        <v>40.5</v>
      </c>
      <c r="F3086" s="3" t="inlineStr">
        <is>
          <t>부강면</t>
        </is>
      </c>
      <c r="G3086" s="3" t="inlineStr">
        <is>
          <t>갈산리</t>
        </is>
      </c>
      <c r="H3086" s="3" t="inlineStr">
        <is>
          <t>계획관리지역</t>
        </is>
      </c>
      <c r="I3086" s="3" t="inlineStr">
        <is>
          <t>전</t>
        </is>
      </c>
      <c r="J3086" s="3" t="inlineStr">
        <is>
          <t>부강면</t>
        </is>
      </c>
    </row>
    <row r="3087">
      <c r="A3087" s="3" t="n">
        <v>2022</v>
      </c>
      <c r="B3087" s="4" t="n">
        <v>69400</v>
      </c>
      <c r="C3087" s="4" t="n">
        <v>8155</v>
      </c>
      <c r="D3087" s="4" t="n">
        <v>2466.8875</v>
      </c>
      <c r="E3087" s="5" t="n">
        <v>28.1</v>
      </c>
      <c r="F3087" s="3" t="inlineStr">
        <is>
          <t>부강면</t>
        </is>
      </c>
      <c r="G3087" s="3" t="inlineStr">
        <is>
          <t>갈산리</t>
        </is>
      </c>
      <c r="H3087" s="3" t="inlineStr">
        <is>
          <t>계획관리지역</t>
        </is>
      </c>
      <c r="I3087" s="3" t="inlineStr">
        <is>
          <t>임야</t>
        </is>
      </c>
      <c r="J3087" s="3" t="inlineStr">
        <is>
          <t>부강면</t>
        </is>
      </c>
    </row>
    <row r="3088">
      <c r="A3088" s="3" t="n">
        <v>2022</v>
      </c>
      <c r="B3088" s="4" t="n">
        <v>222180</v>
      </c>
      <c r="C3088" s="4" t="n">
        <v>26695</v>
      </c>
      <c r="D3088" s="4" t="n">
        <v>8075.2375</v>
      </c>
      <c r="E3088" s="5" t="n">
        <v>27.5</v>
      </c>
      <c r="F3088" s="3" t="inlineStr">
        <is>
          <t>부강면</t>
        </is>
      </c>
      <c r="G3088" s="3" t="inlineStr">
        <is>
          <t>갈산리</t>
        </is>
      </c>
      <c r="H3088" s="3" t="inlineStr">
        <is>
          <t>계획관리지역</t>
        </is>
      </c>
      <c r="I3088" s="3" t="inlineStr">
        <is>
          <t>임야</t>
        </is>
      </c>
      <c r="J3088" s="3" t="inlineStr">
        <is>
          <t>부강면</t>
        </is>
      </c>
    </row>
    <row r="3089">
      <c r="A3089" s="3" t="n">
        <v>2022</v>
      </c>
      <c r="B3089" s="4" t="n">
        <v>780</v>
      </c>
      <c r="C3089" s="4" t="n">
        <v>9</v>
      </c>
      <c r="D3089" s="4" t="n">
        <v>2.7225</v>
      </c>
      <c r="E3089" s="5" t="n">
        <v>286.5</v>
      </c>
      <c r="F3089" s="3" t="inlineStr">
        <is>
          <t>조치원읍</t>
        </is>
      </c>
      <c r="G3089" s="3" t="inlineStr">
        <is>
          <t>봉산리</t>
        </is>
      </c>
      <c r="H3089" s="3" t="inlineStr">
        <is>
          <t>자연녹지지역</t>
        </is>
      </c>
      <c r="I3089" s="3" t="inlineStr">
        <is>
          <t>대</t>
        </is>
      </c>
      <c r="J3089" s="3" t="inlineStr">
        <is>
          <t>조치원읍</t>
        </is>
      </c>
    </row>
    <row r="3090">
      <c r="A3090" s="3" t="n">
        <v>2025</v>
      </c>
      <c r="B3090" s="4" t="n">
        <v>40000</v>
      </c>
      <c r="C3090" s="4" t="n">
        <v>232</v>
      </c>
      <c r="D3090" s="4" t="n">
        <v>70.17999999999999</v>
      </c>
      <c r="E3090" s="5" t="n">
        <v>570</v>
      </c>
      <c r="F3090" s="3" t="inlineStr">
        <is>
          <t>조치원읍</t>
        </is>
      </c>
      <c r="G3090" s="3" t="inlineStr">
        <is>
          <t>신안리</t>
        </is>
      </c>
      <c r="H3090" s="3" t="inlineStr">
        <is>
          <t>제2종일반주거지역</t>
        </is>
      </c>
      <c r="I3090" s="3" t="inlineStr">
        <is>
          <t>창고용지</t>
        </is>
      </c>
      <c r="J3090" s="3" t="inlineStr">
        <is>
          <t>조치원읍</t>
        </is>
      </c>
    </row>
    <row r="3091">
      <c r="A3091" s="3" t="n">
        <v>2025</v>
      </c>
      <c r="B3091" s="4" t="n">
        <v>17000</v>
      </c>
      <c r="C3091" s="4" t="n">
        <v>1121</v>
      </c>
      <c r="D3091" s="4" t="n">
        <v>339.1025</v>
      </c>
      <c r="E3091" s="5" t="n">
        <v>50.1</v>
      </c>
      <c r="F3091" s="3" t="inlineStr">
        <is>
          <t>연서면</t>
        </is>
      </c>
      <c r="G3091" s="3" t="inlineStr">
        <is>
          <t>신대리</t>
        </is>
      </c>
      <c r="H3091" s="3" t="inlineStr">
        <is>
          <t>계획관리지역</t>
        </is>
      </c>
      <c r="I3091" s="3" t="inlineStr">
        <is>
          <t>과수원</t>
        </is>
      </c>
      <c r="J3091" s="3" t="inlineStr">
        <is>
          <t>연서면</t>
        </is>
      </c>
    </row>
    <row r="3092">
      <c r="A3092" s="3" t="n">
        <v>2025</v>
      </c>
      <c r="B3092" s="4" t="n">
        <v>6600</v>
      </c>
      <c r="C3092" s="4" t="n">
        <v>73</v>
      </c>
      <c r="D3092" s="4" t="n">
        <v>22.0825</v>
      </c>
      <c r="E3092" s="5" t="n">
        <v>298.9</v>
      </c>
      <c r="F3092" s="3" t="inlineStr">
        <is>
          <t>연서면</t>
        </is>
      </c>
      <c r="G3092" s="3" t="inlineStr">
        <is>
          <t>용암리</t>
        </is>
      </c>
      <c r="H3092" s="3" t="inlineStr">
        <is>
          <t>자연환경보전</t>
        </is>
      </c>
      <c r="I3092" s="3" t="inlineStr">
        <is>
          <t>대</t>
        </is>
      </c>
      <c r="J3092" s="3" t="inlineStr">
        <is>
          <t>연서면</t>
        </is>
      </c>
    </row>
    <row r="3093">
      <c r="A3093" s="3" t="n">
        <v>2025</v>
      </c>
      <c r="B3093" s="4" t="n">
        <v>48500</v>
      </c>
      <c r="C3093" s="4" t="n">
        <v>1656</v>
      </c>
      <c r="D3093" s="4" t="n">
        <v>500.94</v>
      </c>
      <c r="E3093" s="5" t="n">
        <v>96.8</v>
      </c>
      <c r="F3093" s="3" t="inlineStr">
        <is>
          <t>연서면</t>
        </is>
      </c>
      <c r="G3093" s="3" t="inlineStr">
        <is>
          <t>부동리</t>
        </is>
      </c>
      <c r="H3093" s="3" t="inlineStr">
        <is>
          <t>계획관리지역</t>
        </is>
      </c>
      <c r="I3093" s="3" t="inlineStr">
        <is>
          <t>답</t>
        </is>
      </c>
      <c r="J3093" s="3" t="inlineStr">
        <is>
          <t>연서면</t>
        </is>
      </c>
    </row>
    <row r="3094">
      <c r="A3094" s="3" t="n">
        <v>2025</v>
      </c>
      <c r="B3094" s="4" t="n">
        <v>1800</v>
      </c>
      <c r="C3094" s="4" t="n">
        <v>6</v>
      </c>
      <c r="D3094" s="4" t="n">
        <v>1.815</v>
      </c>
      <c r="E3094" s="5" t="n">
        <v>991.7</v>
      </c>
      <c r="F3094" s="3" t="inlineStr">
        <is>
          <t>조치원읍</t>
        </is>
      </c>
      <c r="G3094" s="3" t="inlineStr">
        <is>
          <t>신안리</t>
        </is>
      </c>
      <c r="H3094" s="3" t="inlineStr">
        <is>
          <t>제2종일반주거지역</t>
        </is>
      </c>
      <c r="I3094" s="3" t="inlineStr">
        <is>
          <t>도로</t>
        </is>
      </c>
      <c r="J3094" s="3" t="inlineStr">
        <is>
          <t>조치원읍</t>
        </is>
      </c>
    </row>
    <row r="3095">
      <c r="A3095" s="3" t="n">
        <v>2025</v>
      </c>
      <c r="B3095" s="4" t="n">
        <v>3100</v>
      </c>
      <c r="C3095" s="4" t="n">
        <v>27</v>
      </c>
      <c r="D3095" s="4" t="n">
        <v>8.1675</v>
      </c>
      <c r="E3095" s="5" t="n">
        <v>379.6</v>
      </c>
      <c r="F3095" s="3" t="inlineStr">
        <is>
          <t>조치원읍</t>
        </is>
      </c>
      <c r="G3095" s="3" t="inlineStr">
        <is>
          <t>신안리</t>
        </is>
      </c>
      <c r="H3095" s="3" t="inlineStr">
        <is>
          <t>제2종일반주거지역</t>
        </is>
      </c>
      <c r="I3095" s="3" t="inlineStr">
        <is>
          <t>도로</t>
        </is>
      </c>
      <c r="J3095" s="3" t="inlineStr">
        <is>
          <t>조치원읍</t>
        </is>
      </c>
    </row>
    <row r="3096">
      <c r="A3096" s="3" t="n">
        <v>2025</v>
      </c>
      <c r="B3096" s="4" t="n">
        <v>33100</v>
      </c>
      <c r="C3096" s="4" t="n">
        <v>271</v>
      </c>
      <c r="D3096" s="4" t="n">
        <v>81.97749999999999</v>
      </c>
      <c r="E3096" s="5" t="n">
        <v>403.8</v>
      </c>
      <c r="F3096" s="3" t="inlineStr">
        <is>
          <t>조치원읍</t>
        </is>
      </c>
      <c r="G3096" s="3" t="inlineStr">
        <is>
          <t>신안리</t>
        </is>
      </c>
      <c r="H3096" s="3" t="inlineStr">
        <is>
          <t>제2종일반주거지역</t>
        </is>
      </c>
      <c r="I3096" s="3" t="inlineStr">
        <is>
          <t>대</t>
        </is>
      </c>
      <c r="J3096" s="3" t="inlineStr">
        <is>
          <t>조치원읍</t>
        </is>
      </c>
    </row>
    <row r="3097">
      <c r="A3097" s="3" t="n">
        <v>2025</v>
      </c>
      <c r="B3097" s="4" t="n">
        <v>2880</v>
      </c>
      <c r="C3097" s="4" t="n">
        <v>476</v>
      </c>
      <c r="D3097" s="4" t="n">
        <v>143.99</v>
      </c>
      <c r="E3097" s="5" t="n">
        <v>20</v>
      </c>
      <c r="F3097" s="3" t="inlineStr">
        <is>
          <t>부강면</t>
        </is>
      </c>
      <c r="G3097" s="3" t="inlineStr">
        <is>
          <t>문곡리</t>
        </is>
      </c>
      <c r="H3097" s="3" t="inlineStr">
        <is>
          <t>계획관리지역</t>
        </is>
      </c>
      <c r="I3097" s="3" t="inlineStr">
        <is>
          <t>전</t>
        </is>
      </c>
      <c r="J3097" s="3" t="inlineStr">
        <is>
          <t>부강면</t>
        </is>
      </c>
    </row>
    <row r="3098">
      <c r="A3098" s="3" t="n">
        <v>2025</v>
      </c>
      <c r="B3098" s="4" t="n">
        <v>500</v>
      </c>
      <c r="C3098" s="4" t="n">
        <v>112</v>
      </c>
      <c r="D3098" s="4" t="n">
        <v>33.88</v>
      </c>
      <c r="E3098" s="5" t="n">
        <v>14.8</v>
      </c>
      <c r="F3098" s="3" t="inlineStr">
        <is>
          <t>부강면</t>
        </is>
      </c>
      <c r="G3098" s="3" t="inlineStr">
        <is>
          <t>문곡리</t>
        </is>
      </c>
      <c r="H3098" s="3" t="inlineStr">
        <is>
          <t>계획관리지역</t>
        </is>
      </c>
      <c r="I3098" s="3" t="inlineStr">
        <is>
          <t>전</t>
        </is>
      </c>
      <c r="J3098" s="3" t="inlineStr">
        <is>
          <t>부강면</t>
        </is>
      </c>
    </row>
    <row r="3099">
      <c r="A3099" s="3" t="n">
        <v>2025</v>
      </c>
      <c r="B3099" s="4" t="n">
        <v>4900</v>
      </c>
      <c r="C3099" s="4" t="n">
        <v>1098</v>
      </c>
      <c r="D3099" s="4" t="n">
        <v>332.145</v>
      </c>
      <c r="E3099" s="5" t="n">
        <v>14.8</v>
      </c>
      <c r="F3099" s="3" t="inlineStr">
        <is>
          <t>부강면</t>
        </is>
      </c>
      <c r="G3099" s="3" t="inlineStr">
        <is>
          <t>문곡리</t>
        </is>
      </c>
      <c r="H3099" s="3" t="inlineStr">
        <is>
          <t>계획관리지역</t>
        </is>
      </c>
      <c r="I3099" s="3" t="inlineStr">
        <is>
          <t>전</t>
        </is>
      </c>
      <c r="J3099" s="3" t="inlineStr">
        <is>
          <t>부강면</t>
        </is>
      </c>
    </row>
    <row r="3100">
      <c r="A3100" s="3" t="n">
        <v>2025</v>
      </c>
      <c r="B3100" s="4" t="n">
        <v>353</v>
      </c>
      <c r="C3100" s="4" t="n">
        <v>79</v>
      </c>
      <c r="D3100" s="4" t="n">
        <v>23.8975</v>
      </c>
      <c r="E3100" s="5" t="n">
        <v>14.8</v>
      </c>
      <c r="F3100" s="3" t="inlineStr">
        <is>
          <t>부강면</t>
        </is>
      </c>
      <c r="G3100" s="3" t="inlineStr">
        <is>
          <t>문곡리</t>
        </is>
      </c>
      <c r="H3100" s="3" t="inlineStr">
        <is>
          <t>계획관리지역</t>
        </is>
      </c>
      <c r="I3100" s="3" t="inlineStr">
        <is>
          <t>전</t>
        </is>
      </c>
      <c r="J3100" s="3" t="inlineStr">
        <is>
          <t>부강면</t>
        </is>
      </c>
    </row>
    <row r="3101">
      <c r="A3101" s="3" t="n">
        <v>2025</v>
      </c>
      <c r="B3101" s="4" t="n">
        <v>3062</v>
      </c>
      <c r="C3101" s="4" t="n">
        <v>724</v>
      </c>
      <c r="D3101" s="4" t="n">
        <v>219.01</v>
      </c>
      <c r="E3101" s="5" t="n">
        <v>14</v>
      </c>
      <c r="F3101" s="3" t="inlineStr">
        <is>
          <t>부강면</t>
        </is>
      </c>
      <c r="G3101" s="3" t="inlineStr">
        <is>
          <t>문곡리</t>
        </is>
      </c>
      <c r="H3101" s="3" t="inlineStr">
        <is>
          <t>계획관리지역</t>
        </is>
      </c>
      <c r="I3101" s="3" t="inlineStr">
        <is>
          <t>전</t>
        </is>
      </c>
      <c r="J3101" s="3" t="inlineStr">
        <is>
          <t>부강면</t>
        </is>
      </c>
    </row>
    <row r="3102">
      <c r="A3102" s="3" t="n">
        <v>2025</v>
      </c>
      <c r="B3102" s="4" t="n">
        <v>3311</v>
      </c>
      <c r="C3102" s="4" t="n">
        <v>446</v>
      </c>
      <c r="D3102" s="4" t="n">
        <v>134.915</v>
      </c>
      <c r="E3102" s="5" t="n">
        <v>24.5</v>
      </c>
      <c r="F3102" s="3" t="inlineStr">
        <is>
          <t>부강면</t>
        </is>
      </c>
      <c r="G3102" s="3" t="inlineStr">
        <is>
          <t>문곡리</t>
        </is>
      </c>
      <c r="H3102" s="3" t="inlineStr">
        <is>
          <t>계획관리지역</t>
        </is>
      </c>
      <c r="I3102" s="3" t="inlineStr">
        <is>
          <t>답</t>
        </is>
      </c>
      <c r="J3102" s="3" t="inlineStr">
        <is>
          <t>부강면</t>
        </is>
      </c>
    </row>
    <row r="3103">
      <c r="A3103" s="3" t="n">
        <v>2025</v>
      </c>
      <c r="B3103" s="4" t="n">
        <v>6994</v>
      </c>
      <c r="C3103" s="4" t="n">
        <v>1091</v>
      </c>
      <c r="D3103" s="4" t="n">
        <v>330.0275</v>
      </c>
      <c r="E3103" s="5" t="n">
        <v>21.2</v>
      </c>
      <c r="F3103" s="3" t="inlineStr">
        <is>
          <t>부강면</t>
        </is>
      </c>
      <c r="G3103" s="3" t="inlineStr">
        <is>
          <t>문곡리</t>
        </is>
      </c>
      <c r="H3103" s="3" t="inlineStr">
        <is>
          <t>계획관리지역</t>
        </is>
      </c>
      <c r="I3103" s="3" t="inlineStr">
        <is>
          <t>전</t>
        </is>
      </c>
      <c r="J3103" s="3" t="inlineStr">
        <is>
          <t>부강면</t>
        </is>
      </c>
    </row>
    <row r="3104">
      <c r="A3104" s="3" t="n">
        <v>2025</v>
      </c>
      <c r="B3104" s="4" t="n">
        <v>21500</v>
      </c>
      <c r="C3104" s="4" t="n">
        <v>9917</v>
      </c>
      <c r="D3104" s="4" t="n">
        <v>2999.8925</v>
      </c>
      <c r="E3104" s="5" t="n">
        <v>7.2</v>
      </c>
      <c r="F3104" s="3" t="inlineStr">
        <is>
          <t>연서면</t>
        </is>
      </c>
      <c r="G3104" s="3" t="inlineStr">
        <is>
          <t>기룡리</t>
        </is>
      </c>
      <c r="H3104" s="3" t="inlineStr">
        <is>
          <t>농림지역</t>
        </is>
      </c>
      <c r="I3104" s="3" t="inlineStr">
        <is>
          <t>임야</t>
        </is>
      </c>
      <c r="J3104" s="3" t="inlineStr">
        <is>
          <t>연서면</t>
        </is>
      </c>
    </row>
    <row r="3105">
      <c r="A3105" s="3" t="n">
        <v>2025</v>
      </c>
      <c r="B3105" s="4" t="n">
        <v>464412</v>
      </c>
      <c r="C3105" s="4" t="n">
        <v>10488.9</v>
      </c>
      <c r="D3105" s="4" t="n">
        <v>3172.89225</v>
      </c>
      <c r="E3105" s="5" t="n">
        <v>146.4</v>
      </c>
      <c r="F3105" s="3" t="inlineStr">
        <is>
          <t>연동면</t>
        </is>
      </c>
      <c r="G3105" s="3" t="inlineStr">
        <is>
          <t>내판리</t>
        </is>
      </c>
      <c r="H3105" s="3" t="inlineStr">
        <is>
          <t>일반공업지역</t>
        </is>
      </c>
      <c r="I3105" s="3" t="inlineStr">
        <is>
          <t>공장용지</t>
        </is>
      </c>
      <c r="J3105" s="3" t="inlineStr">
        <is>
          <t>연동면</t>
        </is>
      </c>
    </row>
    <row r="3106">
      <c r="A3106" s="3" t="n">
        <v>2025</v>
      </c>
      <c r="B3106" s="4" t="n">
        <v>49000</v>
      </c>
      <c r="C3106" s="4" t="n">
        <v>299.6</v>
      </c>
      <c r="D3106" s="4" t="n">
        <v>90.629</v>
      </c>
      <c r="E3106" s="5" t="n">
        <v>540.7</v>
      </c>
      <c r="F3106" s="3" t="inlineStr">
        <is>
          <t>해밀동</t>
        </is>
      </c>
      <c r="G3106" s="3" t="inlineStr"/>
      <c r="H3106" s="3" t="inlineStr">
        <is>
          <t>제1종전용주거지역</t>
        </is>
      </c>
      <c r="I3106" s="3" t="inlineStr">
        <is>
          <t>대</t>
        </is>
      </c>
      <c r="J3106" s="3" t="inlineStr">
        <is>
          <t>해밀동</t>
        </is>
      </c>
    </row>
    <row r="3107">
      <c r="A3107" s="3" t="n">
        <v>2024</v>
      </c>
      <c r="B3107" s="4" t="n">
        <v>15000</v>
      </c>
      <c r="C3107" s="4" t="n">
        <v>100</v>
      </c>
      <c r="D3107" s="4" t="n">
        <v>30.25</v>
      </c>
      <c r="E3107" s="5" t="n">
        <v>495.9</v>
      </c>
      <c r="F3107" s="3" t="inlineStr">
        <is>
          <t>조치원읍</t>
        </is>
      </c>
      <c r="G3107" s="3" t="inlineStr">
        <is>
          <t>죽림리</t>
        </is>
      </c>
      <c r="H3107" s="3" t="inlineStr">
        <is>
          <t>제2종일반주거지역</t>
        </is>
      </c>
      <c r="I3107" s="3" t="inlineStr">
        <is>
          <t>과수원</t>
        </is>
      </c>
      <c r="J3107" s="3" t="inlineStr">
        <is>
          <t>조치원읍</t>
        </is>
      </c>
    </row>
    <row r="3108">
      <c r="A3108" s="3" t="n">
        <v>2024</v>
      </c>
      <c r="B3108" s="4" t="n">
        <v>10</v>
      </c>
      <c r="C3108" s="4" t="n">
        <v>1</v>
      </c>
      <c r="D3108" s="4" t="n">
        <v>0.3025</v>
      </c>
      <c r="E3108" s="5" t="n">
        <v>33.1</v>
      </c>
      <c r="F3108" s="3" t="inlineStr">
        <is>
          <t>조치원읍</t>
        </is>
      </c>
      <c r="G3108" s="3" t="inlineStr">
        <is>
          <t>신안리</t>
        </is>
      </c>
      <c r="H3108" s="3" t="inlineStr">
        <is>
          <t>자연녹지지역</t>
        </is>
      </c>
      <c r="I3108" s="3" t="inlineStr">
        <is>
          <t>도로</t>
        </is>
      </c>
      <c r="J3108" s="3" t="inlineStr">
        <is>
          <t>조치원읍</t>
        </is>
      </c>
    </row>
    <row r="3109">
      <c r="A3109" s="3" t="n">
        <v>2023</v>
      </c>
      <c r="B3109" s="4" t="n">
        <v>105</v>
      </c>
      <c r="C3109" s="4" t="n">
        <v>2</v>
      </c>
      <c r="D3109" s="4" t="n">
        <v>0.605</v>
      </c>
      <c r="E3109" s="5" t="n">
        <v>173.6</v>
      </c>
      <c r="F3109" s="3" t="inlineStr">
        <is>
          <t>조치원읍</t>
        </is>
      </c>
      <c r="G3109" s="3" t="inlineStr">
        <is>
          <t>신흥리</t>
        </is>
      </c>
      <c r="H3109" s="3" t="inlineStr">
        <is>
          <t>제2종일반주거지역</t>
        </is>
      </c>
      <c r="I3109" s="3" t="inlineStr">
        <is>
          <t>대</t>
        </is>
      </c>
      <c r="J3109" s="3" t="inlineStr">
        <is>
          <t>조치원읍</t>
        </is>
      </c>
    </row>
    <row r="3110">
      <c r="A3110" s="3" t="n">
        <v>2023</v>
      </c>
      <c r="B3110" s="4" t="n">
        <v>1850</v>
      </c>
      <c r="C3110" s="4" t="n">
        <v>661</v>
      </c>
      <c r="D3110" s="4" t="n">
        <v>199.9525</v>
      </c>
      <c r="E3110" s="5" t="n">
        <v>9.300000000000001</v>
      </c>
      <c r="F3110" s="3" t="inlineStr">
        <is>
          <t>부강면</t>
        </is>
      </c>
      <c r="G3110" s="3" t="inlineStr">
        <is>
          <t>노호리</t>
        </is>
      </c>
      <c r="H3110" s="3" t="inlineStr">
        <is>
          <t>보전관리지역</t>
        </is>
      </c>
      <c r="I3110" s="3" t="inlineStr">
        <is>
          <t>임야</t>
        </is>
      </c>
      <c r="J3110" s="3" t="inlineStr">
        <is>
          <t>부강면</t>
        </is>
      </c>
    </row>
    <row r="3111">
      <c r="A3111" s="3" t="n">
        <v>2022</v>
      </c>
      <c r="B3111" s="4" t="n">
        <v>13200</v>
      </c>
      <c r="C3111" s="4" t="n">
        <v>693</v>
      </c>
      <c r="D3111" s="4" t="n">
        <v>209.6325</v>
      </c>
      <c r="E3111" s="5" t="n">
        <v>63</v>
      </c>
      <c r="F3111" s="3" t="inlineStr">
        <is>
          <t>연서면</t>
        </is>
      </c>
      <c r="G3111" s="3" t="inlineStr">
        <is>
          <t>신대리</t>
        </is>
      </c>
      <c r="H3111" s="3" t="inlineStr">
        <is>
          <t>생산관리지역</t>
        </is>
      </c>
      <c r="I3111" s="3" t="inlineStr">
        <is>
          <t>답</t>
        </is>
      </c>
      <c r="J3111" s="3" t="inlineStr">
        <is>
          <t>연서면</t>
        </is>
      </c>
    </row>
    <row r="3112">
      <c r="A3112" s="3" t="n">
        <v>2022</v>
      </c>
      <c r="B3112" s="4" t="n">
        <v>55500</v>
      </c>
      <c r="C3112" s="4" t="n">
        <v>2449.1</v>
      </c>
      <c r="D3112" s="4" t="n">
        <v>740.8527499999999</v>
      </c>
      <c r="E3112" s="5" t="n">
        <v>74.90000000000001</v>
      </c>
      <c r="F3112" s="3" t="inlineStr">
        <is>
          <t>연동면</t>
        </is>
      </c>
      <c r="G3112" s="3" t="inlineStr">
        <is>
          <t>문주리</t>
        </is>
      </c>
      <c r="H3112" s="3" t="inlineStr">
        <is>
          <t>농림지역</t>
        </is>
      </c>
      <c r="I3112" s="3" t="inlineStr">
        <is>
          <t>대</t>
        </is>
      </c>
      <c r="J3112" s="3" t="inlineStr">
        <is>
          <t>연동면</t>
        </is>
      </c>
    </row>
    <row r="3113">
      <c r="A3113" s="3" t="n">
        <v>2022</v>
      </c>
      <c r="B3113" s="4" t="n">
        <v>317</v>
      </c>
      <c r="C3113" s="4" t="n">
        <v>4</v>
      </c>
      <c r="D3113" s="4" t="n">
        <v>1.21</v>
      </c>
      <c r="E3113" s="5" t="n">
        <v>262</v>
      </c>
      <c r="F3113" s="3" t="inlineStr">
        <is>
          <t>조치원읍</t>
        </is>
      </c>
      <c r="G3113" s="3" t="inlineStr">
        <is>
          <t>침산리</t>
        </is>
      </c>
      <c r="H3113" s="3" t="inlineStr">
        <is>
          <t>제1종일반주거지역</t>
        </is>
      </c>
      <c r="I3113" s="3" t="inlineStr">
        <is>
          <t>대</t>
        </is>
      </c>
      <c r="J3113" s="3" t="inlineStr">
        <is>
          <t>조치원읍</t>
        </is>
      </c>
    </row>
    <row r="3114">
      <c r="A3114" s="3" t="n">
        <v>2022</v>
      </c>
      <c r="B3114" s="4" t="n">
        <v>12000</v>
      </c>
      <c r="C3114" s="4" t="n">
        <v>495</v>
      </c>
      <c r="D3114" s="4" t="n">
        <v>149.7375</v>
      </c>
      <c r="E3114" s="5" t="n">
        <v>80.09999999999999</v>
      </c>
      <c r="F3114" s="3" t="inlineStr">
        <is>
          <t>조치원읍</t>
        </is>
      </c>
      <c r="G3114" s="3" t="inlineStr">
        <is>
          <t>번암리</t>
        </is>
      </c>
      <c r="H3114" s="3" t="inlineStr">
        <is>
          <t>일반공업지역</t>
        </is>
      </c>
      <c r="I3114" s="3" t="inlineStr">
        <is>
          <t>임야</t>
        </is>
      </c>
      <c r="J3114" s="3" t="inlineStr">
        <is>
          <t>조치원읍</t>
        </is>
      </c>
    </row>
    <row r="3115">
      <c r="A3115" s="3" t="n">
        <v>2022</v>
      </c>
      <c r="B3115" s="4" t="n">
        <v>17500</v>
      </c>
      <c r="C3115" s="4" t="n">
        <v>819</v>
      </c>
      <c r="D3115" s="4" t="n">
        <v>247.7475</v>
      </c>
      <c r="E3115" s="5" t="n">
        <v>70.59999999999999</v>
      </c>
      <c r="F3115" s="3" t="inlineStr">
        <is>
          <t>부강면</t>
        </is>
      </c>
      <c r="G3115" s="3" t="inlineStr">
        <is>
          <t>등곡리</t>
        </is>
      </c>
      <c r="H3115" s="3" t="inlineStr">
        <is>
          <t>계획관리지역</t>
        </is>
      </c>
      <c r="I3115" s="3" t="inlineStr">
        <is>
          <t>대</t>
        </is>
      </c>
      <c r="J3115" s="3" t="inlineStr">
        <is>
          <t>부강면</t>
        </is>
      </c>
    </row>
    <row r="3116">
      <c r="A3116" s="3" t="n">
        <v>2025</v>
      </c>
      <c r="B3116" s="4" t="n">
        <v>3700</v>
      </c>
      <c r="C3116" s="4" t="n">
        <v>68</v>
      </c>
      <c r="D3116" s="4" t="n">
        <v>20.57</v>
      </c>
      <c r="E3116" s="5" t="n">
        <v>179.9</v>
      </c>
      <c r="F3116" s="3" t="inlineStr">
        <is>
          <t>조치원읍</t>
        </is>
      </c>
      <c r="G3116" s="3" t="inlineStr">
        <is>
          <t>봉산리</t>
        </is>
      </c>
      <c r="H3116" s="3" t="inlineStr">
        <is>
          <t>자연녹지지역</t>
        </is>
      </c>
      <c r="I3116" s="3" t="inlineStr">
        <is>
          <t>답</t>
        </is>
      </c>
      <c r="J3116" s="3" t="inlineStr">
        <is>
          <t>조치원읍</t>
        </is>
      </c>
    </row>
    <row r="3117">
      <c r="A3117" s="3" t="n">
        <v>2025</v>
      </c>
      <c r="B3117" s="4" t="n">
        <v>1200</v>
      </c>
      <c r="C3117" s="4" t="n">
        <v>27</v>
      </c>
      <c r="D3117" s="4" t="n">
        <v>8.1675</v>
      </c>
      <c r="E3117" s="5" t="n">
        <v>146.9</v>
      </c>
      <c r="F3117" s="3" t="inlineStr">
        <is>
          <t>조치원읍</t>
        </is>
      </c>
      <c r="G3117" s="3" t="inlineStr">
        <is>
          <t>봉산리</t>
        </is>
      </c>
      <c r="H3117" s="3" t="inlineStr">
        <is>
          <t>자연녹지지역</t>
        </is>
      </c>
      <c r="I3117" s="3" t="inlineStr">
        <is>
          <t>답</t>
        </is>
      </c>
      <c r="J3117" s="3" t="inlineStr">
        <is>
          <t>조치원읍</t>
        </is>
      </c>
    </row>
    <row r="3118">
      <c r="A3118" s="3" t="n">
        <v>2025</v>
      </c>
      <c r="B3118" s="4" t="n">
        <v>18265</v>
      </c>
      <c r="C3118" s="4" t="n">
        <v>929</v>
      </c>
      <c r="D3118" s="4" t="n">
        <v>281.0225</v>
      </c>
      <c r="E3118" s="5" t="n">
        <v>65</v>
      </c>
      <c r="F3118" s="3" t="inlineStr">
        <is>
          <t>연동면</t>
        </is>
      </c>
      <c r="G3118" s="3" t="inlineStr">
        <is>
          <t>송용리</t>
        </is>
      </c>
      <c r="H3118" s="3" t="inlineStr">
        <is>
          <t>계획관리지역</t>
        </is>
      </c>
      <c r="I3118" s="3" t="inlineStr">
        <is>
          <t>대</t>
        </is>
      </c>
      <c r="J3118" s="3" t="inlineStr">
        <is>
          <t>연동면</t>
        </is>
      </c>
    </row>
    <row r="3119">
      <c r="A3119" s="3" t="n">
        <v>2025</v>
      </c>
      <c r="B3119" s="4" t="n">
        <v>30000</v>
      </c>
      <c r="C3119" s="4" t="n">
        <v>1321</v>
      </c>
      <c r="D3119" s="4" t="n">
        <v>399.6025</v>
      </c>
      <c r="E3119" s="5" t="n">
        <v>75.09999999999999</v>
      </c>
      <c r="F3119" s="3" t="inlineStr">
        <is>
          <t>부강면</t>
        </is>
      </c>
      <c r="G3119" s="3" t="inlineStr">
        <is>
          <t>금호리</t>
        </is>
      </c>
      <c r="H3119" s="3" t="inlineStr">
        <is>
          <t>생산관리지역</t>
        </is>
      </c>
      <c r="I3119" s="3" t="inlineStr">
        <is>
          <t>전</t>
        </is>
      </c>
      <c r="J3119" s="3" t="inlineStr">
        <is>
          <t>부강면</t>
        </is>
      </c>
    </row>
    <row r="3120">
      <c r="A3120" s="3" t="n">
        <v>2025</v>
      </c>
      <c r="B3120" s="4" t="n">
        <v>29150</v>
      </c>
      <c r="C3120" s="4" t="n">
        <v>289.9</v>
      </c>
      <c r="D3120" s="4" t="n">
        <v>87.69474999999998</v>
      </c>
      <c r="E3120" s="5" t="n">
        <v>332.4</v>
      </c>
      <c r="F3120" s="3" t="inlineStr">
        <is>
          <t>집현동</t>
        </is>
      </c>
      <c r="G3120" s="3" t="inlineStr"/>
      <c r="H3120" s="3" t="inlineStr">
        <is>
          <t>제1종전용주거지역</t>
        </is>
      </c>
      <c r="I3120" s="3" t="inlineStr">
        <is>
          <t>대</t>
        </is>
      </c>
      <c r="J3120" s="3" t="inlineStr">
        <is>
          <t>집현동</t>
        </is>
      </c>
    </row>
    <row r="3121">
      <c r="A3121" s="3" t="n">
        <v>2025</v>
      </c>
      <c r="B3121" s="4" t="n">
        <v>21000</v>
      </c>
      <c r="C3121" s="4" t="n">
        <v>3967</v>
      </c>
      <c r="D3121" s="4" t="n">
        <v>1200.0175</v>
      </c>
      <c r="E3121" s="5" t="n">
        <v>17.5</v>
      </c>
      <c r="F3121" s="3" t="inlineStr">
        <is>
          <t>부강면</t>
        </is>
      </c>
      <c r="G3121" s="3" t="inlineStr">
        <is>
          <t>산수리</t>
        </is>
      </c>
      <c r="H3121" s="3" t="inlineStr">
        <is>
          <t>농림지역</t>
        </is>
      </c>
      <c r="I3121" s="3" t="inlineStr">
        <is>
          <t>답</t>
        </is>
      </c>
      <c r="J3121" s="3" t="inlineStr">
        <is>
          <t>부강면</t>
        </is>
      </c>
    </row>
    <row r="3122">
      <c r="A3122" s="3" t="n">
        <v>2024</v>
      </c>
      <c r="B3122" s="4" t="n">
        <v>45000</v>
      </c>
      <c r="C3122" s="4" t="n">
        <v>364.6</v>
      </c>
      <c r="D3122" s="4" t="n">
        <v>110.2915</v>
      </c>
      <c r="E3122" s="5" t="n">
        <v>408</v>
      </c>
      <c r="F3122" s="3" t="inlineStr">
        <is>
          <t>고운동</t>
        </is>
      </c>
      <c r="G3122" s="3" t="inlineStr"/>
      <c r="H3122" s="3" t="inlineStr">
        <is>
          <t>제1종전용주거지역</t>
        </is>
      </c>
      <c r="I3122" s="3" t="inlineStr">
        <is>
          <t>대</t>
        </is>
      </c>
      <c r="J3122" s="3" t="inlineStr">
        <is>
          <t>고운동</t>
        </is>
      </c>
    </row>
    <row r="3123">
      <c r="A3123" s="3" t="n">
        <v>2024</v>
      </c>
      <c r="B3123" s="4" t="n">
        <v>60000</v>
      </c>
      <c r="C3123" s="4" t="n">
        <v>32826</v>
      </c>
      <c r="D3123" s="4" t="n">
        <v>9929.865</v>
      </c>
      <c r="E3123" s="5" t="n">
        <v>6</v>
      </c>
      <c r="F3123" s="3" t="inlineStr">
        <is>
          <t>연서면</t>
        </is>
      </c>
      <c r="G3123" s="3" t="inlineStr">
        <is>
          <t>기룡리</t>
        </is>
      </c>
      <c r="H3123" s="3" t="inlineStr">
        <is>
          <t>보전관리지역</t>
        </is>
      </c>
      <c r="I3123" s="3" t="inlineStr">
        <is>
          <t>임야</t>
        </is>
      </c>
      <c r="J3123" s="3" t="inlineStr">
        <is>
          <t>연서면</t>
        </is>
      </c>
    </row>
    <row r="3124">
      <c r="A3124" s="3" t="n">
        <v>2026</v>
      </c>
      <c r="B3124" s="4" t="n">
        <v>272</v>
      </c>
      <c r="C3124" s="4" t="n">
        <v>9</v>
      </c>
      <c r="D3124" s="4" t="n">
        <v>2.7225</v>
      </c>
      <c r="E3124" s="5" t="n">
        <v>99.90000000000001</v>
      </c>
      <c r="F3124" s="3" t="inlineStr">
        <is>
          <t>남이면</t>
        </is>
      </c>
      <c r="G3124" s="3" t="inlineStr">
        <is>
          <t>외천리</t>
        </is>
      </c>
      <c r="H3124" s="3" t="inlineStr">
        <is>
          <t>계획관리지역</t>
        </is>
      </c>
      <c r="I3124" s="3" t="inlineStr">
        <is>
          <t>도로</t>
        </is>
      </c>
      <c r="J3124" s="3" t="inlineStr">
        <is>
          <t>남이면</t>
        </is>
      </c>
    </row>
    <row r="3125">
      <c r="A3125" s="3" t="n">
        <v>2022</v>
      </c>
      <c r="B3125" s="4" t="n">
        <v>88540</v>
      </c>
      <c r="C3125" s="4" t="n">
        <v>1541</v>
      </c>
      <c r="D3125" s="4" t="n">
        <v>466.1525</v>
      </c>
      <c r="E3125" s="5" t="n">
        <v>189.9</v>
      </c>
      <c r="F3125" s="3" t="inlineStr">
        <is>
          <t>강내면</t>
        </is>
      </c>
      <c r="G3125" s="3" t="inlineStr">
        <is>
          <t>탑연리</t>
        </is>
      </c>
      <c r="H3125" s="3" t="inlineStr">
        <is>
          <t>자연녹지지역</t>
        </is>
      </c>
      <c r="I3125" s="3" t="inlineStr">
        <is>
          <t>답</t>
        </is>
      </c>
      <c r="J3125" s="3" t="inlineStr">
        <is>
          <t>강내면</t>
        </is>
      </c>
    </row>
    <row r="3126">
      <c r="A3126" s="3" t="n">
        <v>2022</v>
      </c>
      <c r="B3126" s="4" t="n">
        <v>10500</v>
      </c>
      <c r="C3126" s="4" t="n">
        <v>347</v>
      </c>
      <c r="D3126" s="4" t="n">
        <v>104.9675</v>
      </c>
      <c r="E3126" s="5" t="n">
        <v>100</v>
      </c>
      <c r="F3126" s="3" t="inlineStr">
        <is>
          <t>강내면</t>
        </is>
      </c>
      <c r="G3126" s="3" t="inlineStr">
        <is>
          <t>저산리</t>
        </is>
      </c>
      <c r="H3126" s="3" t="inlineStr">
        <is>
          <t>계획관리지역</t>
        </is>
      </c>
      <c r="I3126" s="3" t="inlineStr">
        <is>
          <t>전</t>
        </is>
      </c>
      <c r="J3126" s="3" t="inlineStr">
        <is>
          <t>강내면</t>
        </is>
      </c>
    </row>
    <row r="3127">
      <c r="A3127" s="3" t="n">
        <v>2022</v>
      </c>
      <c r="B3127" s="4" t="n">
        <v>68000</v>
      </c>
      <c r="C3127" s="4" t="n">
        <v>1699</v>
      </c>
      <c r="D3127" s="4" t="n">
        <v>513.9475</v>
      </c>
      <c r="E3127" s="5" t="n">
        <v>132.3</v>
      </c>
      <c r="F3127" s="3" t="inlineStr">
        <is>
          <t>강내면</t>
        </is>
      </c>
      <c r="G3127" s="3" t="inlineStr">
        <is>
          <t>저산리</t>
        </is>
      </c>
      <c r="H3127" s="3" t="inlineStr">
        <is>
          <t>계획관리지역</t>
        </is>
      </c>
      <c r="I3127" s="3" t="inlineStr">
        <is>
          <t>전</t>
        </is>
      </c>
      <c r="J3127" s="3" t="inlineStr">
        <is>
          <t>강내면</t>
        </is>
      </c>
    </row>
    <row r="3128">
      <c r="A3128" s="3" t="n">
        <v>2022</v>
      </c>
      <c r="B3128" s="4" t="n">
        <v>40000</v>
      </c>
      <c r="C3128" s="4" t="n">
        <v>641</v>
      </c>
      <c r="D3128" s="4" t="n">
        <v>193.9025</v>
      </c>
      <c r="E3128" s="5" t="n">
        <v>206.3</v>
      </c>
      <c r="F3128" s="3" t="inlineStr">
        <is>
          <t>강내면</t>
        </is>
      </c>
      <c r="G3128" s="3" t="inlineStr">
        <is>
          <t>탑연리</t>
        </is>
      </c>
      <c r="H3128" s="3" t="inlineStr">
        <is>
          <t>자연녹지지역</t>
        </is>
      </c>
      <c r="I3128" s="3" t="inlineStr">
        <is>
          <t>전</t>
        </is>
      </c>
      <c r="J3128" s="3" t="inlineStr">
        <is>
          <t>강내면</t>
        </is>
      </c>
    </row>
    <row r="3129">
      <c r="A3129" s="3" t="n">
        <v>2022</v>
      </c>
      <c r="B3129" s="4" t="n">
        <v>9100</v>
      </c>
      <c r="C3129" s="4" t="n">
        <v>149</v>
      </c>
      <c r="D3129" s="4" t="n">
        <v>45.0725</v>
      </c>
      <c r="E3129" s="5" t="n">
        <v>201.9</v>
      </c>
      <c r="F3129" s="3" t="inlineStr">
        <is>
          <t>강내면</t>
        </is>
      </c>
      <c r="G3129" s="3" t="inlineStr">
        <is>
          <t>월탄리</t>
        </is>
      </c>
      <c r="H3129" s="3" t="inlineStr">
        <is>
          <t>계획관리지역</t>
        </is>
      </c>
      <c r="I3129" s="3" t="inlineStr">
        <is>
          <t>대</t>
        </is>
      </c>
      <c r="J3129" s="3" t="inlineStr">
        <is>
          <t>강내면</t>
        </is>
      </c>
    </row>
    <row r="3130">
      <c r="A3130" s="3" t="n">
        <v>2022</v>
      </c>
      <c r="B3130" s="4" t="n">
        <v>49300</v>
      </c>
      <c r="C3130" s="4" t="n">
        <v>816</v>
      </c>
      <c r="D3130" s="4" t="n">
        <v>246.84</v>
      </c>
      <c r="E3130" s="5" t="n">
        <v>199.7</v>
      </c>
      <c r="F3130" s="3" t="inlineStr">
        <is>
          <t>강내면</t>
        </is>
      </c>
      <c r="G3130" s="3" t="inlineStr">
        <is>
          <t>월탄리</t>
        </is>
      </c>
      <c r="H3130" s="3" t="inlineStr">
        <is>
          <t>계획관리지역</t>
        </is>
      </c>
      <c r="I3130" s="3" t="inlineStr">
        <is>
          <t>대</t>
        </is>
      </c>
      <c r="J3130" s="3" t="inlineStr">
        <is>
          <t>강내면</t>
        </is>
      </c>
    </row>
    <row r="3131">
      <c r="A3131" s="3" t="n">
        <v>2022</v>
      </c>
      <c r="B3131" s="4" t="n">
        <v>23900</v>
      </c>
      <c r="C3131" s="4" t="n">
        <v>1217</v>
      </c>
      <c r="D3131" s="4" t="n">
        <v>368.1425</v>
      </c>
      <c r="E3131" s="5" t="n">
        <v>64.90000000000001</v>
      </c>
      <c r="F3131" s="3" t="inlineStr">
        <is>
          <t>오송읍</t>
        </is>
      </c>
      <c r="G3131" s="3" t="inlineStr">
        <is>
          <t>호계리</t>
        </is>
      </c>
      <c r="H3131" s="3" t="inlineStr">
        <is>
          <t>농림지역</t>
        </is>
      </c>
      <c r="I3131" s="3" t="inlineStr">
        <is>
          <t>답</t>
        </is>
      </c>
      <c r="J3131" s="3" t="inlineStr">
        <is>
          <t>오송읍</t>
        </is>
      </c>
    </row>
    <row r="3132">
      <c r="A3132" s="3" t="n">
        <v>2022</v>
      </c>
      <c r="B3132" s="4" t="n">
        <v>46400</v>
      </c>
      <c r="C3132" s="4" t="n">
        <v>1927</v>
      </c>
      <c r="D3132" s="4" t="n">
        <v>582.9175</v>
      </c>
      <c r="E3132" s="5" t="n">
        <v>79.59999999999999</v>
      </c>
      <c r="F3132" s="3" t="inlineStr">
        <is>
          <t>오송읍</t>
        </is>
      </c>
      <c r="G3132" s="3" t="inlineStr">
        <is>
          <t>호계리</t>
        </is>
      </c>
      <c r="H3132" s="3" t="inlineStr">
        <is>
          <t>계획관리지역</t>
        </is>
      </c>
      <c r="I3132" s="3" t="inlineStr">
        <is>
          <t>전</t>
        </is>
      </c>
      <c r="J3132" s="3" t="inlineStr">
        <is>
          <t>오송읍</t>
        </is>
      </c>
    </row>
    <row r="3133">
      <c r="A3133" s="3" t="n">
        <v>2022</v>
      </c>
      <c r="B3133" s="4" t="n">
        <v>13800</v>
      </c>
      <c r="C3133" s="4" t="n">
        <v>685</v>
      </c>
      <c r="D3133" s="4" t="n">
        <v>207.2125</v>
      </c>
      <c r="E3133" s="5" t="n">
        <v>66.59999999999999</v>
      </c>
      <c r="F3133" s="3" t="inlineStr">
        <is>
          <t>강내면</t>
        </is>
      </c>
      <c r="G3133" s="3" t="inlineStr">
        <is>
          <t>태성리</t>
        </is>
      </c>
      <c r="H3133" s="3" t="inlineStr">
        <is>
          <t>계획관리지역</t>
        </is>
      </c>
      <c r="I3133" s="3" t="inlineStr">
        <is>
          <t>전</t>
        </is>
      </c>
      <c r="J3133" s="3" t="inlineStr">
        <is>
          <t>강내면</t>
        </is>
      </c>
    </row>
    <row r="3134">
      <c r="A3134" s="3" t="n">
        <v>2022</v>
      </c>
      <c r="B3134" s="4" t="n">
        <v>10100</v>
      </c>
      <c r="C3134" s="4" t="n">
        <v>522</v>
      </c>
      <c r="D3134" s="4" t="n">
        <v>157.905</v>
      </c>
      <c r="E3134" s="5" t="n">
        <v>64</v>
      </c>
      <c r="F3134" s="3" t="inlineStr">
        <is>
          <t>강내면</t>
        </is>
      </c>
      <c r="G3134" s="3" t="inlineStr">
        <is>
          <t>산단리</t>
        </is>
      </c>
      <c r="H3134" s="3" t="inlineStr">
        <is>
          <t>계획관리지역</t>
        </is>
      </c>
      <c r="I3134" s="3" t="inlineStr">
        <is>
          <t>전</t>
        </is>
      </c>
      <c r="J3134" s="3" t="inlineStr">
        <is>
          <t>강내면</t>
        </is>
      </c>
    </row>
    <row r="3135">
      <c r="A3135" s="3" t="n">
        <v>2022</v>
      </c>
      <c r="B3135" s="4" t="n">
        <v>67320</v>
      </c>
      <c r="C3135" s="4" t="n">
        <v>1309</v>
      </c>
      <c r="D3135" s="4" t="n">
        <v>395.9725</v>
      </c>
      <c r="E3135" s="5" t="n">
        <v>170</v>
      </c>
      <c r="F3135" s="3" t="inlineStr">
        <is>
          <t>오송읍</t>
        </is>
      </c>
      <c r="G3135" s="3" t="inlineStr">
        <is>
          <t>궁평리</t>
        </is>
      </c>
      <c r="H3135" s="3" t="inlineStr">
        <is>
          <t>농림지역</t>
        </is>
      </c>
      <c r="I3135" s="3" t="inlineStr">
        <is>
          <t>답</t>
        </is>
      </c>
      <c r="J3135" s="3" t="inlineStr">
        <is>
          <t>오송읍</t>
        </is>
      </c>
    </row>
    <row r="3136">
      <c r="A3136" s="3" t="n">
        <v>2022</v>
      </c>
      <c r="B3136" s="4" t="n">
        <v>40700</v>
      </c>
      <c r="C3136" s="4" t="n">
        <v>1498</v>
      </c>
      <c r="D3136" s="4" t="n">
        <v>453.145</v>
      </c>
      <c r="E3136" s="5" t="n">
        <v>89.8</v>
      </c>
      <c r="F3136" s="3" t="inlineStr">
        <is>
          <t>강내면</t>
        </is>
      </c>
      <c r="G3136" s="3" t="inlineStr">
        <is>
          <t>태성리</t>
        </is>
      </c>
      <c r="H3136" s="3" t="inlineStr">
        <is>
          <t>계획관리지역</t>
        </is>
      </c>
      <c r="I3136" s="3" t="inlineStr">
        <is>
          <t>전</t>
        </is>
      </c>
      <c r="J3136" s="3" t="inlineStr">
        <is>
          <t>강내면</t>
        </is>
      </c>
    </row>
    <row r="3137">
      <c r="A3137" s="3" t="n">
        <v>2022</v>
      </c>
      <c r="B3137" s="4" t="n">
        <v>1300</v>
      </c>
      <c r="C3137" s="4" t="n">
        <v>49</v>
      </c>
      <c r="D3137" s="4" t="n">
        <v>14.8225</v>
      </c>
      <c r="E3137" s="5" t="n">
        <v>87.7</v>
      </c>
      <c r="F3137" s="3" t="inlineStr">
        <is>
          <t>강내면</t>
        </is>
      </c>
      <c r="G3137" s="3" t="inlineStr">
        <is>
          <t>태성리</t>
        </is>
      </c>
      <c r="H3137" s="3" t="inlineStr">
        <is>
          <t>계획관리지역</t>
        </is>
      </c>
      <c r="I3137" s="3" t="inlineStr">
        <is>
          <t>전</t>
        </is>
      </c>
      <c r="J3137" s="3" t="inlineStr">
        <is>
          <t>강내면</t>
        </is>
      </c>
    </row>
    <row r="3138">
      <c r="A3138" s="3" t="n">
        <v>2022</v>
      </c>
      <c r="B3138" s="4" t="n">
        <v>52000</v>
      </c>
      <c r="C3138" s="4" t="n">
        <v>1910</v>
      </c>
      <c r="D3138" s="4" t="n">
        <v>577.775</v>
      </c>
      <c r="E3138" s="5" t="n">
        <v>90</v>
      </c>
      <c r="F3138" s="3" t="inlineStr">
        <is>
          <t>강내면</t>
        </is>
      </c>
      <c r="G3138" s="3" t="inlineStr">
        <is>
          <t>다락리</t>
        </is>
      </c>
      <c r="H3138" s="3" t="inlineStr">
        <is>
          <t>농림지역</t>
        </is>
      </c>
      <c r="I3138" s="3" t="inlineStr">
        <is>
          <t>답</t>
        </is>
      </c>
      <c r="J3138" s="3" t="inlineStr">
        <is>
          <t>강내면</t>
        </is>
      </c>
    </row>
    <row r="3139">
      <c r="A3139" s="3" t="n">
        <v>2022</v>
      </c>
      <c r="B3139" s="4" t="n">
        <v>59800</v>
      </c>
      <c r="C3139" s="4" t="n">
        <v>247.7</v>
      </c>
      <c r="D3139" s="4" t="n">
        <v>74.92925</v>
      </c>
      <c r="E3139" s="5" t="n">
        <v>798.1</v>
      </c>
      <c r="F3139" s="3" t="inlineStr">
        <is>
          <t>오송읍</t>
        </is>
      </c>
      <c r="G3139" s="3" t="inlineStr">
        <is>
          <t>봉산리</t>
        </is>
      </c>
      <c r="H3139" s="3" t="inlineStr">
        <is>
          <t>제1종일반주거지역</t>
        </is>
      </c>
      <c r="I3139" s="3" t="inlineStr">
        <is>
          <t>대</t>
        </is>
      </c>
      <c r="J3139" s="3" t="inlineStr">
        <is>
          <t>오송읍</t>
        </is>
      </c>
    </row>
    <row r="3140">
      <c r="A3140" s="3" t="n">
        <v>2022</v>
      </c>
      <c r="B3140" s="4" t="n">
        <v>46255</v>
      </c>
      <c r="C3140" s="4" t="n">
        <v>2781</v>
      </c>
      <c r="D3140" s="4" t="n">
        <v>841.2524999999999</v>
      </c>
      <c r="E3140" s="5" t="n">
        <v>55</v>
      </c>
      <c r="F3140" s="3" t="inlineStr">
        <is>
          <t>오송읍</t>
        </is>
      </c>
      <c r="G3140" s="3" t="inlineStr">
        <is>
          <t>정중리</t>
        </is>
      </c>
      <c r="H3140" s="3" t="inlineStr">
        <is>
          <t>농림지역</t>
        </is>
      </c>
      <c r="I3140" s="3" t="inlineStr">
        <is>
          <t>답</t>
        </is>
      </c>
      <c r="J3140" s="3" t="inlineStr">
        <is>
          <t>오송읍</t>
        </is>
      </c>
    </row>
    <row r="3141">
      <c r="A3141" s="3" t="n">
        <v>2022</v>
      </c>
      <c r="B3141" s="4" t="n">
        <v>4345</v>
      </c>
      <c r="C3141" s="4" t="n">
        <v>260</v>
      </c>
      <c r="D3141" s="4" t="n">
        <v>78.64999999999999</v>
      </c>
      <c r="E3141" s="5" t="n">
        <v>55.2</v>
      </c>
      <c r="F3141" s="3" t="inlineStr">
        <is>
          <t>오송읍</t>
        </is>
      </c>
      <c r="G3141" s="3" t="inlineStr">
        <is>
          <t>정중리</t>
        </is>
      </c>
      <c r="H3141" s="3" t="inlineStr">
        <is>
          <t>농림지역</t>
        </is>
      </c>
      <c r="I3141" s="3" t="inlineStr">
        <is>
          <t>답</t>
        </is>
      </c>
      <c r="J3141" s="3" t="inlineStr">
        <is>
          <t>오송읍</t>
        </is>
      </c>
    </row>
    <row r="3142">
      <c r="A3142" s="3" t="n">
        <v>2022</v>
      </c>
      <c r="B3142" s="4" t="n">
        <v>13400</v>
      </c>
      <c r="C3142" s="4" t="n">
        <v>807</v>
      </c>
      <c r="D3142" s="4" t="n">
        <v>244.1175</v>
      </c>
      <c r="E3142" s="5" t="n">
        <v>54.9</v>
      </c>
      <c r="F3142" s="3" t="inlineStr">
        <is>
          <t>오송읍</t>
        </is>
      </c>
      <c r="G3142" s="3" t="inlineStr">
        <is>
          <t>정중리</t>
        </is>
      </c>
      <c r="H3142" s="3" t="inlineStr">
        <is>
          <t>농림지역</t>
        </is>
      </c>
      <c r="I3142" s="3" t="inlineStr">
        <is>
          <t>답</t>
        </is>
      </c>
      <c r="J3142" s="3" t="inlineStr">
        <is>
          <t>오송읍</t>
        </is>
      </c>
    </row>
    <row r="3143">
      <c r="A3143" s="3" t="n">
        <v>2022</v>
      </c>
      <c r="B3143" s="4" t="n">
        <v>8000</v>
      </c>
      <c r="C3143" s="4" t="n">
        <v>447</v>
      </c>
      <c r="D3143" s="4" t="n">
        <v>135.2175</v>
      </c>
      <c r="E3143" s="5" t="n">
        <v>59.2</v>
      </c>
      <c r="F3143" s="3" t="inlineStr">
        <is>
          <t>강내면</t>
        </is>
      </c>
      <c r="G3143" s="3" t="inlineStr">
        <is>
          <t>저산리</t>
        </is>
      </c>
      <c r="H3143" s="3" t="inlineStr">
        <is>
          <t>계획관리지역</t>
        </is>
      </c>
      <c r="I3143" s="3" t="inlineStr">
        <is>
          <t>전</t>
        </is>
      </c>
      <c r="J3143" s="3" t="inlineStr">
        <is>
          <t>강내면</t>
        </is>
      </c>
    </row>
    <row r="3144">
      <c r="A3144" s="3" t="n">
        <v>2022</v>
      </c>
      <c r="B3144" s="4" t="n">
        <v>465</v>
      </c>
      <c r="C3144" s="4" t="n">
        <v>25</v>
      </c>
      <c r="D3144" s="4" t="n">
        <v>7.5625</v>
      </c>
      <c r="E3144" s="5" t="n">
        <v>61.5</v>
      </c>
      <c r="F3144" s="3" t="inlineStr">
        <is>
          <t>강내면</t>
        </is>
      </c>
      <c r="G3144" s="3" t="inlineStr">
        <is>
          <t>저산리</t>
        </is>
      </c>
      <c r="H3144" s="3" t="inlineStr">
        <is>
          <t>계획관리지역</t>
        </is>
      </c>
      <c r="I3144" s="3" t="inlineStr">
        <is>
          <t>전</t>
        </is>
      </c>
      <c r="J3144" s="3" t="inlineStr">
        <is>
          <t>강내면</t>
        </is>
      </c>
    </row>
    <row r="3145">
      <c r="A3145" s="3" t="n">
        <v>2022</v>
      </c>
      <c r="B3145" s="4" t="n">
        <v>975</v>
      </c>
      <c r="C3145" s="4" t="n">
        <v>56</v>
      </c>
      <c r="D3145" s="4" t="n">
        <v>16.94</v>
      </c>
      <c r="E3145" s="5" t="n">
        <v>57.6</v>
      </c>
      <c r="F3145" s="3" t="inlineStr">
        <is>
          <t>강내면</t>
        </is>
      </c>
      <c r="G3145" s="3" t="inlineStr">
        <is>
          <t>저산리</t>
        </is>
      </c>
      <c r="H3145" s="3" t="inlineStr">
        <is>
          <t>계획관리지역</t>
        </is>
      </c>
      <c r="I3145" s="3" t="inlineStr">
        <is>
          <t>도로</t>
        </is>
      </c>
      <c r="J3145" s="3" t="inlineStr">
        <is>
          <t>강내면</t>
        </is>
      </c>
    </row>
    <row r="3146">
      <c r="A3146" s="3" t="n">
        <v>2022</v>
      </c>
      <c r="B3146" s="4" t="n">
        <v>28000</v>
      </c>
      <c r="C3146" s="4" t="n">
        <v>279.9</v>
      </c>
      <c r="D3146" s="4" t="n">
        <v>84.66974999999999</v>
      </c>
      <c r="E3146" s="5" t="n">
        <v>330.7</v>
      </c>
      <c r="F3146" s="3" t="inlineStr">
        <is>
          <t>오송읍</t>
        </is>
      </c>
      <c r="G3146" s="3" t="inlineStr">
        <is>
          <t>봉산리</t>
        </is>
      </c>
      <c r="H3146" s="3" t="inlineStr">
        <is>
          <t>제1종일반주거지역</t>
        </is>
      </c>
      <c r="I3146" s="3" t="inlineStr">
        <is>
          <t>대</t>
        </is>
      </c>
      <c r="J3146" s="3" t="inlineStr">
        <is>
          <t>오송읍</t>
        </is>
      </c>
    </row>
    <row r="3147">
      <c r="A3147" s="3" t="n">
        <v>2022</v>
      </c>
      <c r="B3147" s="4" t="n">
        <v>58000</v>
      </c>
      <c r="C3147" s="4" t="n">
        <v>4075</v>
      </c>
      <c r="D3147" s="4" t="n">
        <v>1232.6875</v>
      </c>
      <c r="E3147" s="5" t="n">
        <v>47.1</v>
      </c>
      <c r="F3147" s="3" t="inlineStr">
        <is>
          <t>강내면</t>
        </is>
      </c>
      <c r="G3147" s="3" t="inlineStr">
        <is>
          <t>궁현리</t>
        </is>
      </c>
      <c r="H3147" s="3" t="inlineStr">
        <is>
          <t>계획관리지역</t>
        </is>
      </c>
      <c r="I3147" s="3" t="inlineStr">
        <is>
          <t>전</t>
        </is>
      </c>
      <c r="J3147" s="3" t="inlineStr">
        <is>
          <t>강내면</t>
        </is>
      </c>
    </row>
    <row r="3148">
      <c r="A3148" s="3" t="n">
        <v>2022</v>
      </c>
      <c r="B3148" s="4" t="n">
        <v>57860</v>
      </c>
      <c r="C3148" s="4" t="n">
        <v>300</v>
      </c>
      <c r="D3148" s="4" t="n">
        <v>90.75</v>
      </c>
      <c r="E3148" s="5" t="n">
        <v>637.6</v>
      </c>
      <c r="F3148" s="3" t="inlineStr">
        <is>
          <t>오송읍</t>
        </is>
      </c>
      <c r="G3148" s="3" t="inlineStr">
        <is>
          <t>오송리</t>
        </is>
      </c>
      <c r="H3148" s="3" t="inlineStr">
        <is>
          <t>제1종일반주거지역</t>
        </is>
      </c>
      <c r="I3148" s="3" t="inlineStr">
        <is>
          <t>대</t>
        </is>
      </c>
      <c r="J3148" s="3" t="inlineStr">
        <is>
          <t>오송읍</t>
        </is>
      </c>
    </row>
    <row r="3149">
      <c r="A3149" s="3" t="n">
        <v>2022</v>
      </c>
      <c r="B3149" s="4" t="n">
        <v>15000</v>
      </c>
      <c r="C3149" s="4" t="n">
        <v>180</v>
      </c>
      <c r="D3149" s="4" t="n">
        <v>54.45</v>
      </c>
      <c r="E3149" s="5" t="n">
        <v>275.5</v>
      </c>
      <c r="F3149" s="3" t="inlineStr">
        <is>
          <t>오송읍</t>
        </is>
      </c>
      <c r="G3149" s="3" t="inlineStr">
        <is>
          <t>오송리</t>
        </is>
      </c>
      <c r="H3149" s="3" t="inlineStr">
        <is>
          <t>계획관리지역</t>
        </is>
      </c>
      <c r="I3149" s="3" t="inlineStr">
        <is>
          <t>대</t>
        </is>
      </c>
      <c r="J3149" s="3" t="inlineStr">
        <is>
          <t>오송읍</t>
        </is>
      </c>
    </row>
    <row r="3150">
      <c r="A3150" s="3" t="n">
        <v>2026</v>
      </c>
      <c r="B3150" s="4" t="n">
        <v>2150</v>
      </c>
      <c r="C3150" s="4" t="n">
        <v>711</v>
      </c>
      <c r="D3150" s="4" t="n">
        <v>215.0775</v>
      </c>
      <c r="E3150" s="5" t="n">
        <v>10</v>
      </c>
      <c r="F3150" s="3" t="inlineStr">
        <is>
          <t>남이면</t>
        </is>
      </c>
      <c r="G3150" s="3" t="inlineStr">
        <is>
          <t>석실리</t>
        </is>
      </c>
      <c r="H3150" s="3" t="inlineStr">
        <is>
          <t>자연녹지지역</t>
        </is>
      </c>
      <c r="I3150" s="3" t="inlineStr">
        <is>
          <t>답</t>
        </is>
      </c>
      <c r="J3150" s="3" t="inlineStr">
        <is>
          <t>남이면</t>
        </is>
      </c>
    </row>
    <row r="3151">
      <c r="A3151" s="3" t="n">
        <v>2026</v>
      </c>
      <c r="B3151" s="4" t="n">
        <v>7850</v>
      </c>
      <c r="C3151" s="4" t="n">
        <v>2628</v>
      </c>
      <c r="D3151" s="4" t="n">
        <v>794.97</v>
      </c>
      <c r="E3151" s="5" t="n">
        <v>9.9</v>
      </c>
      <c r="F3151" s="3" t="inlineStr">
        <is>
          <t>남이면</t>
        </is>
      </c>
      <c r="G3151" s="3" t="inlineStr">
        <is>
          <t>석실리</t>
        </is>
      </c>
      <c r="H3151" s="3" t="inlineStr">
        <is>
          <t>자연녹지지역</t>
        </is>
      </c>
      <c r="I3151" s="3" t="inlineStr">
        <is>
          <t>답</t>
        </is>
      </c>
      <c r="J3151" s="3" t="inlineStr">
        <is>
          <t>남이면</t>
        </is>
      </c>
    </row>
    <row r="3152">
      <c r="A3152" s="3" t="n">
        <v>2022</v>
      </c>
      <c r="B3152" s="4" t="n">
        <v>91000</v>
      </c>
      <c r="C3152" s="4" t="n">
        <v>854</v>
      </c>
      <c r="D3152" s="4" t="n">
        <v>258.335</v>
      </c>
      <c r="E3152" s="5" t="n">
        <v>352.3</v>
      </c>
      <c r="F3152" s="3" t="inlineStr">
        <is>
          <t>부강면</t>
        </is>
      </c>
      <c r="G3152" s="3" t="inlineStr">
        <is>
          <t>부강리</t>
        </is>
      </c>
      <c r="H3152" s="3" t="inlineStr">
        <is>
          <t>계획관리지역</t>
        </is>
      </c>
      <c r="I3152" s="3" t="inlineStr">
        <is>
          <t>공장용지</t>
        </is>
      </c>
      <c r="J3152" s="3" t="inlineStr">
        <is>
          <t>부강면</t>
        </is>
      </c>
    </row>
    <row r="3153">
      <c r="A3153" s="3" t="n">
        <v>2022</v>
      </c>
      <c r="B3153" s="4" t="n">
        <v>91000</v>
      </c>
      <c r="C3153" s="4" t="n">
        <v>854</v>
      </c>
      <c r="D3153" s="4" t="n">
        <v>258.335</v>
      </c>
      <c r="E3153" s="5" t="n">
        <v>352.3</v>
      </c>
      <c r="F3153" s="3" t="inlineStr">
        <is>
          <t>부강면</t>
        </is>
      </c>
      <c r="G3153" s="3" t="inlineStr">
        <is>
          <t>부강리</t>
        </is>
      </c>
      <c r="H3153" s="3" t="inlineStr">
        <is>
          <t>계획관리지역</t>
        </is>
      </c>
      <c r="I3153" s="3" t="inlineStr">
        <is>
          <t>공장용지</t>
        </is>
      </c>
      <c r="J3153" s="3" t="inlineStr">
        <is>
          <t>부강면</t>
        </is>
      </c>
    </row>
    <row r="3154">
      <c r="A3154" s="3" t="n">
        <v>2022</v>
      </c>
      <c r="B3154" s="4" t="n">
        <v>23000</v>
      </c>
      <c r="C3154" s="4" t="n">
        <v>1959</v>
      </c>
      <c r="D3154" s="4" t="n">
        <v>592.5975</v>
      </c>
      <c r="E3154" s="5" t="n">
        <v>38.8</v>
      </c>
      <c r="F3154" s="3" t="inlineStr">
        <is>
          <t>연서면</t>
        </is>
      </c>
      <c r="G3154" s="3" t="inlineStr">
        <is>
          <t>쌍류리</t>
        </is>
      </c>
      <c r="H3154" s="3" t="inlineStr">
        <is>
          <t>생산관리지역</t>
        </is>
      </c>
      <c r="I3154" s="3" t="inlineStr">
        <is>
          <t>과수원</t>
        </is>
      </c>
      <c r="J3154" s="3" t="inlineStr">
        <is>
          <t>연서면</t>
        </is>
      </c>
    </row>
    <row r="3155">
      <c r="A3155" s="3" t="n">
        <v>2022</v>
      </c>
      <c r="B3155" s="4" t="n">
        <v>5000</v>
      </c>
      <c r="C3155" s="4" t="n">
        <v>283</v>
      </c>
      <c r="D3155" s="4" t="n">
        <v>85.6075</v>
      </c>
      <c r="E3155" s="5" t="n">
        <v>58.4</v>
      </c>
      <c r="F3155" s="3" t="inlineStr">
        <is>
          <t>부강면</t>
        </is>
      </c>
      <c r="G3155" s="3" t="inlineStr">
        <is>
          <t>금호리</t>
        </is>
      </c>
      <c r="H3155" s="3" t="inlineStr">
        <is>
          <t>계획관리지역</t>
        </is>
      </c>
      <c r="I3155" s="3" t="inlineStr">
        <is>
          <t>임야</t>
        </is>
      </c>
      <c r="J3155" s="3" t="inlineStr">
        <is>
          <t>부강면</t>
        </is>
      </c>
    </row>
    <row r="3156">
      <c r="A3156" s="3" t="n">
        <v>2022</v>
      </c>
      <c r="B3156" s="4" t="n">
        <v>2300</v>
      </c>
      <c r="C3156" s="4" t="n">
        <v>368</v>
      </c>
      <c r="D3156" s="4" t="n">
        <v>111.32</v>
      </c>
      <c r="E3156" s="5" t="n">
        <v>20.7</v>
      </c>
      <c r="F3156" s="3" t="inlineStr">
        <is>
          <t>부강면</t>
        </is>
      </c>
      <c r="G3156" s="3" t="inlineStr">
        <is>
          <t>금호리</t>
        </is>
      </c>
      <c r="H3156" s="3" t="inlineStr">
        <is>
          <t>계획관리지역</t>
        </is>
      </c>
      <c r="I3156" s="3" t="inlineStr">
        <is>
          <t>임야</t>
        </is>
      </c>
      <c r="J3156" s="3" t="inlineStr">
        <is>
          <t>부강면</t>
        </is>
      </c>
    </row>
    <row r="3157">
      <c r="A3157" s="3" t="n">
        <v>2022</v>
      </c>
      <c r="B3157" s="4" t="n">
        <v>30495</v>
      </c>
      <c r="C3157" s="4" t="n">
        <v>1061</v>
      </c>
      <c r="D3157" s="4" t="n">
        <v>320.9525</v>
      </c>
      <c r="E3157" s="5" t="n">
        <v>95</v>
      </c>
      <c r="F3157" s="3" t="inlineStr">
        <is>
          <t>부강면</t>
        </is>
      </c>
      <c r="G3157" s="3" t="inlineStr">
        <is>
          <t>금호리</t>
        </is>
      </c>
      <c r="H3157" s="3" t="inlineStr">
        <is>
          <t>계획관리지역</t>
        </is>
      </c>
      <c r="I3157" s="3" t="inlineStr">
        <is>
          <t>답</t>
        </is>
      </c>
      <c r="J3157" s="3" t="inlineStr">
        <is>
          <t>부강면</t>
        </is>
      </c>
    </row>
    <row r="3158">
      <c r="A3158" s="3" t="n">
        <v>2022</v>
      </c>
      <c r="B3158" s="4" t="n">
        <v>59600</v>
      </c>
      <c r="C3158" s="4" t="n">
        <v>1029</v>
      </c>
      <c r="D3158" s="4" t="n">
        <v>311.2725</v>
      </c>
      <c r="E3158" s="5" t="n">
        <v>191.5</v>
      </c>
      <c r="F3158" s="3" t="inlineStr">
        <is>
          <t>연서면</t>
        </is>
      </c>
      <c r="G3158" s="3" t="inlineStr">
        <is>
          <t>국촌리</t>
        </is>
      </c>
      <c r="H3158" s="3" t="inlineStr">
        <is>
          <t>농림지역</t>
        </is>
      </c>
      <c r="I3158" s="3" t="inlineStr">
        <is>
          <t>임야</t>
        </is>
      </c>
      <c r="J3158" s="3" t="inlineStr">
        <is>
          <t>연서면</t>
        </is>
      </c>
    </row>
    <row r="3159">
      <c r="A3159" s="3" t="n">
        <v>2022</v>
      </c>
      <c r="B3159" s="4" t="n">
        <v>38400</v>
      </c>
      <c r="C3159" s="4" t="n">
        <v>661</v>
      </c>
      <c r="D3159" s="4" t="n">
        <v>199.9525</v>
      </c>
      <c r="E3159" s="5" t="n">
        <v>192</v>
      </c>
      <c r="F3159" s="3" t="inlineStr">
        <is>
          <t>연서면</t>
        </is>
      </c>
      <c r="G3159" s="3" t="inlineStr">
        <is>
          <t>국촌리</t>
        </is>
      </c>
      <c r="H3159" s="3" t="inlineStr">
        <is>
          <t>농림지역</t>
        </is>
      </c>
      <c r="I3159" s="3" t="inlineStr">
        <is>
          <t>임야</t>
        </is>
      </c>
      <c r="J3159" s="3" t="inlineStr">
        <is>
          <t>연서면</t>
        </is>
      </c>
    </row>
    <row r="3160">
      <c r="A3160" s="3" t="n">
        <v>2022</v>
      </c>
      <c r="B3160" s="4" t="n">
        <v>11000</v>
      </c>
      <c r="C3160" s="4" t="n">
        <v>137</v>
      </c>
      <c r="D3160" s="4" t="n">
        <v>41.4425</v>
      </c>
      <c r="E3160" s="5" t="n">
        <v>265.4</v>
      </c>
      <c r="F3160" s="3" t="inlineStr">
        <is>
          <t>조치원읍</t>
        </is>
      </c>
      <c r="G3160" s="3" t="inlineStr">
        <is>
          <t>죽림리</t>
        </is>
      </c>
      <c r="H3160" s="3" t="inlineStr">
        <is>
          <t>제2종일반주거지역</t>
        </is>
      </c>
      <c r="I3160" s="3" t="inlineStr">
        <is>
          <t>과수원</t>
        </is>
      </c>
      <c r="J3160" s="3" t="inlineStr">
        <is>
          <t>조치원읍</t>
        </is>
      </c>
    </row>
    <row r="3161">
      <c r="A3161" s="3" t="n">
        <v>2022</v>
      </c>
      <c r="B3161" s="4" t="n">
        <v>80</v>
      </c>
      <c r="C3161" s="4" t="n">
        <v>1</v>
      </c>
      <c r="D3161" s="4" t="n">
        <v>0.3025</v>
      </c>
      <c r="E3161" s="5" t="n">
        <v>264.5</v>
      </c>
      <c r="F3161" s="3" t="inlineStr">
        <is>
          <t>조치원읍</t>
        </is>
      </c>
      <c r="G3161" s="3" t="inlineStr">
        <is>
          <t>죽림리</t>
        </is>
      </c>
      <c r="H3161" s="3" t="inlineStr">
        <is>
          <t>제2종일반주거지역</t>
        </is>
      </c>
      <c r="I3161" s="3" t="inlineStr">
        <is>
          <t>과수원</t>
        </is>
      </c>
      <c r="J3161" s="3" t="inlineStr">
        <is>
          <t>조치원읍</t>
        </is>
      </c>
    </row>
    <row r="3162">
      <c r="A3162" s="3" t="n">
        <v>2025</v>
      </c>
      <c r="B3162" s="4" t="n">
        <v>14800</v>
      </c>
      <c r="C3162" s="4" t="n">
        <v>1969.7</v>
      </c>
      <c r="D3162" s="4" t="n">
        <v>595.83425</v>
      </c>
      <c r="E3162" s="5" t="n">
        <v>24.8</v>
      </c>
      <c r="F3162" s="3" t="inlineStr">
        <is>
          <t>부강면</t>
        </is>
      </c>
      <c r="G3162" s="3" t="inlineStr">
        <is>
          <t>산수리</t>
        </is>
      </c>
      <c r="H3162" s="3" t="inlineStr">
        <is>
          <t>농림지역</t>
        </is>
      </c>
      <c r="I3162" s="3" t="inlineStr">
        <is>
          <t>답</t>
        </is>
      </c>
      <c r="J3162" s="3" t="inlineStr">
        <is>
          <t>부강면</t>
        </is>
      </c>
    </row>
    <row r="3163">
      <c r="A3163" s="3" t="n">
        <v>2025</v>
      </c>
      <c r="B3163" s="4" t="n">
        <v>43110</v>
      </c>
      <c r="C3163" s="4" t="n">
        <v>294</v>
      </c>
      <c r="D3163" s="4" t="n">
        <v>88.935</v>
      </c>
      <c r="E3163" s="5" t="n">
        <v>484.7</v>
      </c>
      <c r="F3163" s="3" t="inlineStr">
        <is>
          <t>고운동</t>
        </is>
      </c>
      <c r="G3163" s="3" t="inlineStr"/>
      <c r="H3163" s="3" t="inlineStr">
        <is>
          <t>제1종전용주거지역</t>
        </is>
      </c>
      <c r="I3163" s="3" t="inlineStr">
        <is>
          <t>대</t>
        </is>
      </c>
      <c r="J3163" s="3" t="inlineStr">
        <is>
          <t>고운동</t>
        </is>
      </c>
    </row>
    <row r="3164">
      <c r="A3164" s="3" t="n">
        <v>2025</v>
      </c>
      <c r="B3164" s="4" t="n">
        <v>1890</v>
      </c>
      <c r="C3164" s="4" t="n">
        <v>12.9</v>
      </c>
      <c r="D3164" s="4" t="n">
        <v>3.90225</v>
      </c>
      <c r="E3164" s="5" t="n">
        <v>484.3</v>
      </c>
      <c r="F3164" s="3" t="inlineStr">
        <is>
          <t>고운동</t>
        </is>
      </c>
      <c r="G3164" s="3" t="inlineStr"/>
      <c r="H3164" s="3" t="inlineStr">
        <is>
          <t>제1종전용주거지역</t>
        </is>
      </c>
      <c r="I3164" s="3" t="inlineStr">
        <is>
          <t>주차장</t>
        </is>
      </c>
      <c r="J3164" s="3" t="inlineStr">
        <is>
          <t>고운동</t>
        </is>
      </c>
    </row>
    <row r="3165">
      <c r="A3165" s="3" t="n">
        <v>2025</v>
      </c>
      <c r="B3165" s="4" t="n">
        <v>35000</v>
      </c>
      <c r="C3165" s="4" t="n">
        <v>297.3</v>
      </c>
      <c r="D3165" s="4" t="n">
        <v>89.93325</v>
      </c>
      <c r="E3165" s="5" t="n">
        <v>389.2</v>
      </c>
      <c r="F3165" s="3" t="inlineStr">
        <is>
          <t>다정동</t>
        </is>
      </c>
      <c r="G3165" s="3" t="inlineStr"/>
      <c r="H3165" s="3" t="inlineStr">
        <is>
          <t>제1종전용주거지역</t>
        </is>
      </c>
      <c r="I3165" s="3" t="inlineStr">
        <is>
          <t>대</t>
        </is>
      </c>
      <c r="J3165" s="3" t="inlineStr">
        <is>
          <t>다정동</t>
        </is>
      </c>
    </row>
    <row r="3166">
      <c r="A3166" s="3" t="n">
        <v>2025</v>
      </c>
      <c r="B3166" s="4" t="n">
        <v>228</v>
      </c>
      <c r="C3166" s="4" t="n">
        <v>21</v>
      </c>
      <c r="D3166" s="4" t="n">
        <v>6.3525</v>
      </c>
      <c r="E3166" s="5" t="n">
        <v>35.9</v>
      </c>
      <c r="F3166" s="3" t="inlineStr">
        <is>
          <t>조치원읍</t>
        </is>
      </c>
      <c r="G3166" s="3" t="inlineStr">
        <is>
          <t>봉산리</t>
        </is>
      </c>
      <c r="H3166" s="3" t="inlineStr">
        <is>
          <t>자연녹지지역</t>
        </is>
      </c>
      <c r="I3166" s="3" t="inlineStr">
        <is>
          <t>대</t>
        </is>
      </c>
      <c r="J3166" s="3" t="inlineStr">
        <is>
          <t>조치원읍</t>
        </is>
      </c>
    </row>
    <row r="3167">
      <c r="A3167" s="3" t="n">
        <v>2025</v>
      </c>
      <c r="B3167" s="4" t="n">
        <v>25000</v>
      </c>
      <c r="C3167" s="4" t="n">
        <v>173</v>
      </c>
      <c r="D3167" s="4" t="n">
        <v>52.3325</v>
      </c>
      <c r="E3167" s="5" t="n">
        <v>477.7</v>
      </c>
      <c r="F3167" s="3" t="inlineStr">
        <is>
          <t>조치원읍</t>
        </is>
      </c>
      <c r="G3167" s="3" t="inlineStr">
        <is>
          <t>신안리</t>
        </is>
      </c>
      <c r="H3167" s="3" t="inlineStr">
        <is>
          <t>제1종일반주거지역</t>
        </is>
      </c>
      <c r="I3167" s="3" t="inlineStr">
        <is>
          <t>대</t>
        </is>
      </c>
      <c r="J3167" s="3" t="inlineStr">
        <is>
          <t>조치원읍</t>
        </is>
      </c>
    </row>
    <row r="3168">
      <c r="A3168" s="3" t="n">
        <v>2025</v>
      </c>
      <c r="B3168" s="4" t="n">
        <v>25000</v>
      </c>
      <c r="C3168" s="4" t="n">
        <v>190</v>
      </c>
      <c r="D3168" s="4" t="n">
        <v>57.475</v>
      </c>
      <c r="E3168" s="5" t="n">
        <v>435</v>
      </c>
      <c r="F3168" s="3" t="inlineStr">
        <is>
          <t>조치원읍</t>
        </is>
      </c>
      <c r="G3168" s="3" t="inlineStr">
        <is>
          <t>신안리</t>
        </is>
      </c>
      <c r="H3168" s="3" t="inlineStr">
        <is>
          <t>제1종일반주거지역</t>
        </is>
      </c>
      <c r="I3168" s="3" t="inlineStr">
        <is>
          <t>대</t>
        </is>
      </c>
      <c r="J3168" s="3" t="inlineStr">
        <is>
          <t>조치원읍</t>
        </is>
      </c>
    </row>
    <row r="3169">
      <c r="A3169" s="3" t="n">
        <v>2025</v>
      </c>
      <c r="B3169" s="4" t="n">
        <v>10200</v>
      </c>
      <c r="C3169" s="4" t="n">
        <v>710</v>
      </c>
      <c r="D3169" s="4" t="n">
        <v>214.775</v>
      </c>
      <c r="E3169" s="5" t="n">
        <v>47.5</v>
      </c>
      <c r="F3169" s="3" t="inlineStr">
        <is>
          <t>연서면</t>
        </is>
      </c>
      <c r="G3169" s="3" t="inlineStr">
        <is>
          <t>기룡리</t>
        </is>
      </c>
      <c r="H3169" s="3" t="inlineStr">
        <is>
          <t>계획관리지역</t>
        </is>
      </c>
      <c r="I3169" s="3" t="inlineStr">
        <is>
          <t>전</t>
        </is>
      </c>
      <c r="J3169" s="3" t="inlineStr">
        <is>
          <t>연서면</t>
        </is>
      </c>
    </row>
    <row r="3170">
      <c r="A3170" s="3" t="n">
        <v>2025</v>
      </c>
      <c r="B3170" s="4" t="n">
        <v>100</v>
      </c>
      <c r="C3170" s="4" t="n">
        <v>8</v>
      </c>
      <c r="D3170" s="4" t="n">
        <v>2.42</v>
      </c>
      <c r="E3170" s="5" t="n">
        <v>41.3</v>
      </c>
      <c r="F3170" s="3" t="inlineStr">
        <is>
          <t>연서면</t>
        </is>
      </c>
      <c r="G3170" s="3" t="inlineStr">
        <is>
          <t>기룡리</t>
        </is>
      </c>
      <c r="H3170" s="3" t="inlineStr">
        <is>
          <t>보전관리지역</t>
        </is>
      </c>
      <c r="I3170" s="3" t="inlineStr">
        <is>
          <t>도로</t>
        </is>
      </c>
      <c r="J3170" s="3" t="inlineStr">
        <is>
          <t>연서면</t>
        </is>
      </c>
    </row>
    <row r="3171">
      <c r="A3171" s="3" t="n">
        <v>2025</v>
      </c>
      <c r="B3171" s="4" t="n">
        <v>36479</v>
      </c>
      <c r="C3171" s="4" t="n">
        <v>4729.4</v>
      </c>
      <c r="D3171" s="4" t="n">
        <v>1430.6435</v>
      </c>
      <c r="E3171" s="5" t="n">
        <v>25.5</v>
      </c>
      <c r="F3171" s="3" t="inlineStr">
        <is>
          <t>연서면</t>
        </is>
      </c>
      <c r="G3171" s="3" t="inlineStr">
        <is>
          <t>봉암리</t>
        </is>
      </c>
      <c r="H3171" s="3" t="inlineStr">
        <is>
          <t>농림지역</t>
        </is>
      </c>
      <c r="I3171" s="3" t="inlineStr">
        <is>
          <t>답</t>
        </is>
      </c>
      <c r="J3171" s="3" t="inlineStr">
        <is>
          <t>연서면</t>
        </is>
      </c>
    </row>
    <row r="3172">
      <c r="A3172" s="3" t="n">
        <v>2025</v>
      </c>
      <c r="B3172" s="4" t="n">
        <v>117000</v>
      </c>
      <c r="C3172" s="4" t="n">
        <v>710</v>
      </c>
      <c r="D3172" s="4" t="n">
        <v>214.775</v>
      </c>
      <c r="E3172" s="5" t="n">
        <v>544.8</v>
      </c>
      <c r="F3172" s="3" t="inlineStr">
        <is>
          <t>부강면</t>
        </is>
      </c>
      <c r="G3172" s="3" t="inlineStr">
        <is>
          <t>부강리</t>
        </is>
      </c>
      <c r="H3172" s="3" t="inlineStr">
        <is>
          <t>일반상업지역</t>
        </is>
      </c>
      <c r="I3172" s="3" t="inlineStr">
        <is>
          <t>대</t>
        </is>
      </c>
      <c r="J3172" s="3" t="inlineStr">
        <is>
          <t>부강면</t>
        </is>
      </c>
    </row>
    <row r="3173">
      <c r="A3173" s="3" t="n">
        <v>2024</v>
      </c>
      <c r="B3173" s="4" t="n">
        <v>49500</v>
      </c>
      <c r="C3173" s="4" t="n">
        <v>990</v>
      </c>
      <c r="D3173" s="4" t="n">
        <v>299.475</v>
      </c>
      <c r="E3173" s="5" t="n">
        <v>165.3</v>
      </c>
      <c r="F3173" s="3" t="inlineStr">
        <is>
          <t>조치원읍</t>
        </is>
      </c>
      <c r="G3173" s="3" t="inlineStr">
        <is>
          <t>신안리</t>
        </is>
      </c>
      <c r="H3173" s="3" t="inlineStr">
        <is>
          <t>자연녹지지역</t>
        </is>
      </c>
      <c r="I3173" s="3" t="inlineStr">
        <is>
          <t>전</t>
        </is>
      </c>
      <c r="J3173" s="3" t="inlineStr">
        <is>
          <t>조치원읍</t>
        </is>
      </c>
    </row>
    <row r="3174">
      <c r="A3174" s="3" t="n">
        <v>2024</v>
      </c>
      <c r="B3174" s="4" t="n">
        <v>30500</v>
      </c>
      <c r="C3174" s="4" t="n">
        <v>617</v>
      </c>
      <c r="D3174" s="4" t="n">
        <v>186.6425</v>
      </c>
      <c r="E3174" s="5" t="n">
        <v>163.4</v>
      </c>
      <c r="F3174" s="3" t="inlineStr">
        <is>
          <t>조치원읍</t>
        </is>
      </c>
      <c r="G3174" s="3" t="inlineStr">
        <is>
          <t>신안리</t>
        </is>
      </c>
      <c r="H3174" s="3" t="inlineStr">
        <is>
          <t>자연녹지지역</t>
        </is>
      </c>
      <c r="I3174" s="3" t="inlineStr">
        <is>
          <t>전</t>
        </is>
      </c>
      <c r="J3174" s="3" t="inlineStr">
        <is>
          <t>조치원읍</t>
        </is>
      </c>
    </row>
    <row r="3175">
      <c r="A3175" s="3" t="n">
        <v>2024</v>
      </c>
      <c r="B3175" s="4" t="n">
        <v>10</v>
      </c>
      <c r="C3175" s="4" t="n">
        <v>1</v>
      </c>
      <c r="D3175" s="4" t="n">
        <v>0.3025</v>
      </c>
      <c r="E3175" s="5" t="n">
        <v>33.1</v>
      </c>
      <c r="F3175" s="3" t="inlineStr">
        <is>
          <t>조치원읍</t>
        </is>
      </c>
      <c r="G3175" s="3" t="inlineStr">
        <is>
          <t>신안리</t>
        </is>
      </c>
      <c r="H3175" s="3" t="inlineStr">
        <is>
          <t>자연녹지지역</t>
        </is>
      </c>
      <c r="I3175" s="3" t="inlineStr">
        <is>
          <t>도로</t>
        </is>
      </c>
      <c r="J3175" s="3" t="inlineStr">
        <is>
          <t>조치원읍</t>
        </is>
      </c>
    </row>
    <row r="3176">
      <c r="A3176" s="3" t="n">
        <v>2024</v>
      </c>
      <c r="B3176" s="4" t="n">
        <v>5000</v>
      </c>
      <c r="C3176" s="4" t="n">
        <v>85</v>
      </c>
      <c r="D3176" s="4" t="n">
        <v>25.7125</v>
      </c>
      <c r="E3176" s="5" t="n">
        <v>194.5</v>
      </c>
      <c r="F3176" s="3" t="inlineStr">
        <is>
          <t>조치원읍</t>
        </is>
      </c>
      <c r="G3176" s="3" t="inlineStr">
        <is>
          <t>신안리</t>
        </is>
      </c>
      <c r="H3176" s="3" t="inlineStr">
        <is>
          <t>자연녹지지역</t>
        </is>
      </c>
      <c r="I3176" s="3" t="inlineStr">
        <is>
          <t>답</t>
        </is>
      </c>
      <c r="J3176" s="3" t="inlineStr">
        <is>
          <t>조치원읍</t>
        </is>
      </c>
    </row>
    <row r="3177">
      <c r="A3177" s="3" t="n">
        <v>2024</v>
      </c>
      <c r="B3177" s="4" t="n">
        <v>8400</v>
      </c>
      <c r="C3177" s="4" t="n">
        <v>556</v>
      </c>
      <c r="D3177" s="4" t="n">
        <v>168.19</v>
      </c>
      <c r="E3177" s="5" t="n">
        <v>49.9</v>
      </c>
      <c r="F3177" s="3" t="inlineStr">
        <is>
          <t>부강면</t>
        </is>
      </c>
      <c r="G3177" s="3" t="inlineStr">
        <is>
          <t>문곡리</t>
        </is>
      </c>
      <c r="H3177" s="3" t="inlineStr">
        <is>
          <t>보전관리지역</t>
        </is>
      </c>
      <c r="I3177" s="3" t="inlineStr">
        <is>
          <t>임야</t>
        </is>
      </c>
      <c r="J3177" s="3" t="inlineStr">
        <is>
          <t>부강면</t>
        </is>
      </c>
    </row>
    <row r="3178">
      <c r="A3178" s="3" t="n">
        <v>2024</v>
      </c>
      <c r="B3178" s="4" t="n">
        <v>50</v>
      </c>
      <c r="C3178" s="4" t="n">
        <v>16</v>
      </c>
      <c r="D3178" s="4" t="n">
        <v>4.84</v>
      </c>
      <c r="E3178" s="5" t="n">
        <v>10.3</v>
      </c>
      <c r="F3178" s="3" t="inlineStr">
        <is>
          <t>부강면</t>
        </is>
      </c>
      <c r="G3178" s="3" t="inlineStr">
        <is>
          <t>문곡리</t>
        </is>
      </c>
      <c r="H3178" s="3" t="inlineStr">
        <is>
          <t>보전관리지역</t>
        </is>
      </c>
      <c r="I3178" s="3" t="inlineStr">
        <is>
          <t>임야</t>
        </is>
      </c>
      <c r="J3178" s="3" t="inlineStr">
        <is>
          <t>부강면</t>
        </is>
      </c>
    </row>
    <row r="3179">
      <c r="A3179" s="3" t="n">
        <v>2024</v>
      </c>
      <c r="B3179" s="4" t="n">
        <v>1200</v>
      </c>
      <c r="C3179" s="4" t="n">
        <v>397</v>
      </c>
      <c r="D3179" s="4" t="n">
        <v>120.0925</v>
      </c>
      <c r="E3179" s="5" t="n">
        <v>10</v>
      </c>
      <c r="F3179" s="3" t="inlineStr">
        <is>
          <t>부강면</t>
        </is>
      </c>
      <c r="G3179" s="3" t="inlineStr">
        <is>
          <t>문곡리</t>
        </is>
      </c>
      <c r="H3179" s="3" t="inlineStr">
        <is>
          <t>보전관리지역</t>
        </is>
      </c>
      <c r="I3179" s="3" t="inlineStr">
        <is>
          <t>도로</t>
        </is>
      </c>
      <c r="J3179" s="3" t="inlineStr">
        <is>
          <t>부강면</t>
        </is>
      </c>
    </row>
    <row r="3180">
      <c r="A3180" s="3" t="n">
        <v>2024</v>
      </c>
      <c r="B3180" s="4" t="n">
        <v>45000</v>
      </c>
      <c r="C3180" s="4" t="n">
        <v>1577</v>
      </c>
      <c r="D3180" s="4" t="n">
        <v>477.0425</v>
      </c>
      <c r="E3180" s="5" t="n">
        <v>94.3</v>
      </c>
      <c r="F3180" s="3" t="inlineStr">
        <is>
          <t>연서면</t>
        </is>
      </c>
      <c r="G3180" s="3" t="inlineStr">
        <is>
          <t>봉암리</t>
        </is>
      </c>
      <c r="H3180" s="3" t="inlineStr">
        <is>
          <t>농림지역</t>
        </is>
      </c>
      <c r="I3180" s="3" t="inlineStr">
        <is>
          <t>답</t>
        </is>
      </c>
      <c r="J3180" s="3" t="inlineStr">
        <is>
          <t>연서면</t>
        </is>
      </c>
    </row>
    <row r="3181">
      <c r="A3181" s="3" t="n">
        <v>2024</v>
      </c>
      <c r="B3181" s="4" t="n">
        <v>95000</v>
      </c>
      <c r="C3181" s="4" t="n">
        <v>714</v>
      </c>
      <c r="D3181" s="4" t="n">
        <v>215.985</v>
      </c>
      <c r="E3181" s="5" t="n">
        <v>439.8</v>
      </c>
      <c r="F3181" s="3" t="inlineStr">
        <is>
          <t>조치원읍</t>
        </is>
      </c>
      <c r="G3181" s="3" t="inlineStr">
        <is>
          <t>번암리</t>
        </is>
      </c>
      <c r="H3181" s="3" t="inlineStr">
        <is>
          <t>일반공업지역</t>
        </is>
      </c>
      <c r="I3181" s="3" t="inlineStr">
        <is>
          <t>과수원</t>
        </is>
      </c>
      <c r="J3181" s="3" t="inlineStr">
        <is>
          <t>조치원읍</t>
        </is>
      </c>
    </row>
    <row r="3182">
      <c r="A3182" s="3" t="n">
        <v>2024</v>
      </c>
      <c r="B3182" s="4" t="n">
        <v>48000</v>
      </c>
      <c r="C3182" s="4" t="n">
        <v>2437.7</v>
      </c>
      <c r="D3182" s="4" t="n">
        <v>737.4042499999999</v>
      </c>
      <c r="E3182" s="5" t="n">
        <v>65.09999999999999</v>
      </c>
      <c r="F3182" s="3" t="inlineStr">
        <is>
          <t>연서면</t>
        </is>
      </c>
      <c r="G3182" s="3" t="inlineStr">
        <is>
          <t>쌍전리</t>
        </is>
      </c>
      <c r="H3182" s="3" t="inlineStr">
        <is>
          <t>농림지역</t>
        </is>
      </c>
      <c r="I3182" s="3" t="inlineStr">
        <is>
          <t>답</t>
        </is>
      </c>
      <c r="J3182" s="3" t="inlineStr">
        <is>
          <t>연서면</t>
        </is>
      </c>
    </row>
    <row r="3183">
      <c r="A3183" s="3" t="n">
        <v>2022</v>
      </c>
      <c r="B3183" s="4" t="n">
        <v>243810</v>
      </c>
      <c r="C3183" s="4" t="n">
        <v>3838</v>
      </c>
      <c r="D3183" s="4" t="n">
        <v>1160.995</v>
      </c>
      <c r="E3183" s="5" t="n">
        <v>210</v>
      </c>
      <c r="F3183" s="3" t="inlineStr">
        <is>
          <t>연서면</t>
        </is>
      </c>
      <c r="G3183" s="3" t="inlineStr">
        <is>
          <t>월하리</t>
        </is>
      </c>
      <c r="H3183" s="3" t="inlineStr">
        <is>
          <t>자연녹지지역</t>
        </is>
      </c>
      <c r="I3183" s="3" t="inlineStr">
        <is>
          <t>답</t>
        </is>
      </c>
      <c r="J3183" s="3" t="inlineStr">
        <is>
          <t>연서면</t>
        </is>
      </c>
    </row>
    <row r="3184">
      <c r="A3184" s="3" t="n">
        <v>2022</v>
      </c>
      <c r="B3184" s="4" t="n">
        <v>50820</v>
      </c>
      <c r="C3184" s="4" t="n">
        <v>799</v>
      </c>
      <c r="D3184" s="4" t="n">
        <v>241.6975</v>
      </c>
      <c r="E3184" s="5" t="n">
        <v>210.3</v>
      </c>
      <c r="F3184" s="3" t="inlineStr">
        <is>
          <t>연서면</t>
        </is>
      </c>
      <c r="G3184" s="3" t="inlineStr">
        <is>
          <t>월하리</t>
        </is>
      </c>
      <c r="H3184" s="3" t="inlineStr">
        <is>
          <t>자연녹지지역</t>
        </is>
      </c>
      <c r="I3184" s="3" t="inlineStr">
        <is>
          <t>답</t>
        </is>
      </c>
      <c r="J3184" s="3" t="inlineStr">
        <is>
          <t>연서면</t>
        </is>
      </c>
    </row>
    <row r="3185">
      <c r="A3185" s="3" t="n">
        <v>2022</v>
      </c>
      <c r="B3185" s="4" t="n">
        <v>45000</v>
      </c>
      <c r="C3185" s="4" t="n">
        <v>11841</v>
      </c>
      <c r="D3185" s="4" t="n">
        <v>3581.9025</v>
      </c>
      <c r="E3185" s="5" t="n">
        <v>12.6</v>
      </c>
      <c r="F3185" s="3" t="inlineStr">
        <is>
          <t>부강면</t>
        </is>
      </c>
      <c r="G3185" s="3" t="inlineStr">
        <is>
          <t>문곡리</t>
        </is>
      </c>
      <c r="H3185" s="3" t="inlineStr">
        <is>
          <t>농림지역</t>
        </is>
      </c>
      <c r="I3185" s="3" t="inlineStr">
        <is>
          <t>임야</t>
        </is>
      </c>
      <c r="J3185" s="3" t="inlineStr">
        <is>
          <t>부강면</t>
        </is>
      </c>
    </row>
    <row r="3186">
      <c r="A3186" s="3" t="n">
        <v>2022</v>
      </c>
      <c r="B3186" s="4" t="n">
        <v>100000</v>
      </c>
      <c r="C3186" s="4" t="n">
        <v>27955</v>
      </c>
      <c r="D3186" s="4" t="n">
        <v>8456.387499999999</v>
      </c>
      <c r="E3186" s="5" t="n">
        <v>11.8</v>
      </c>
      <c r="F3186" s="3" t="inlineStr">
        <is>
          <t>부강면</t>
        </is>
      </c>
      <c r="G3186" s="3" t="inlineStr">
        <is>
          <t>문곡리</t>
        </is>
      </c>
      <c r="H3186" s="3" t="inlineStr">
        <is>
          <t>농림지역</t>
        </is>
      </c>
      <c r="I3186" s="3" t="inlineStr">
        <is>
          <t>임야</t>
        </is>
      </c>
      <c r="J3186" s="3" t="inlineStr">
        <is>
          <t>부강면</t>
        </is>
      </c>
    </row>
    <row r="3187">
      <c r="A3187" s="3" t="n">
        <v>2022</v>
      </c>
      <c r="B3187" s="4" t="n">
        <v>34900</v>
      </c>
      <c r="C3187" s="4" t="n">
        <v>1359</v>
      </c>
      <c r="D3187" s="4" t="n">
        <v>411.0975</v>
      </c>
      <c r="E3187" s="5" t="n">
        <v>84.90000000000001</v>
      </c>
      <c r="F3187" s="3" t="inlineStr">
        <is>
          <t>부강면</t>
        </is>
      </c>
      <c r="G3187" s="3" t="inlineStr">
        <is>
          <t>행산리</t>
        </is>
      </c>
      <c r="H3187" s="3" t="inlineStr">
        <is>
          <t>계획관리지역</t>
        </is>
      </c>
      <c r="I3187" s="3" t="inlineStr">
        <is>
          <t>전</t>
        </is>
      </c>
      <c r="J3187" s="3" t="inlineStr">
        <is>
          <t>부강면</t>
        </is>
      </c>
    </row>
    <row r="3188">
      <c r="A3188" s="3" t="n">
        <v>2025</v>
      </c>
      <c r="B3188" s="4" t="n">
        <v>3400</v>
      </c>
      <c r="C3188" s="4" t="n">
        <v>331</v>
      </c>
      <c r="D3188" s="4" t="n">
        <v>100.1275</v>
      </c>
      <c r="E3188" s="5" t="n">
        <v>34</v>
      </c>
      <c r="F3188" s="3" t="inlineStr">
        <is>
          <t>오송읍</t>
        </is>
      </c>
      <c r="G3188" s="3" t="inlineStr">
        <is>
          <t>쌍청리</t>
        </is>
      </c>
      <c r="H3188" s="3" t="inlineStr">
        <is>
          <t>농림지역</t>
        </is>
      </c>
      <c r="I3188" s="3" t="inlineStr">
        <is>
          <t>전</t>
        </is>
      </c>
      <c r="J3188" s="3" t="inlineStr">
        <is>
          <t>오송읍</t>
        </is>
      </c>
    </row>
    <row r="3189">
      <c r="A3189" s="3" t="n">
        <v>2025</v>
      </c>
      <c r="B3189" s="4" t="n">
        <v>270000</v>
      </c>
      <c r="C3189" s="4" t="n">
        <v>4983</v>
      </c>
      <c r="D3189" s="4" t="n">
        <v>1507.3575</v>
      </c>
      <c r="E3189" s="5" t="n">
        <v>179.1</v>
      </c>
      <c r="F3189" s="3" t="inlineStr">
        <is>
          <t>오송읍</t>
        </is>
      </c>
      <c r="G3189" s="3" t="inlineStr">
        <is>
          <t>연제리</t>
        </is>
      </c>
      <c r="H3189" s="3" t="inlineStr">
        <is>
          <t>일반공업지역</t>
        </is>
      </c>
      <c r="I3189" s="3" t="inlineStr">
        <is>
          <t>공장용지</t>
        </is>
      </c>
      <c r="J3189" s="3" t="inlineStr">
        <is>
          <t>오송읍</t>
        </is>
      </c>
    </row>
    <row r="3190">
      <c r="A3190" s="3" t="n">
        <v>2025</v>
      </c>
      <c r="B3190" s="4" t="n">
        <v>1010</v>
      </c>
      <c r="C3190" s="4" t="n">
        <v>54</v>
      </c>
      <c r="D3190" s="4" t="n">
        <v>16.335</v>
      </c>
      <c r="E3190" s="5" t="n">
        <v>61.8</v>
      </c>
      <c r="F3190" s="3" t="inlineStr">
        <is>
          <t>강내면</t>
        </is>
      </c>
      <c r="G3190" s="3" t="inlineStr">
        <is>
          <t>궁현리</t>
        </is>
      </c>
      <c r="H3190" s="3" t="inlineStr">
        <is>
          <t>계획관리지역</t>
        </is>
      </c>
      <c r="I3190" s="3" t="inlineStr">
        <is>
          <t>전</t>
        </is>
      </c>
      <c r="J3190" s="3" t="inlineStr">
        <is>
          <t>강내면</t>
        </is>
      </c>
    </row>
    <row r="3191">
      <c r="A3191" s="3" t="n">
        <v>2025</v>
      </c>
      <c r="B3191" s="4" t="n">
        <v>3000</v>
      </c>
      <c r="C3191" s="4" t="n">
        <v>65</v>
      </c>
      <c r="D3191" s="4" t="n">
        <v>19.6625</v>
      </c>
      <c r="E3191" s="5" t="n">
        <v>152.6</v>
      </c>
      <c r="F3191" s="3" t="inlineStr">
        <is>
          <t>오송읍</t>
        </is>
      </c>
      <c r="G3191" s="3" t="inlineStr">
        <is>
          <t>동평리</t>
        </is>
      </c>
      <c r="H3191" s="3" t="inlineStr">
        <is>
          <t>계획관리지역</t>
        </is>
      </c>
      <c r="I3191" s="3" t="inlineStr">
        <is>
          <t>대</t>
        </is>
      </c>
      <c r="J3191" s="3" t="inlineStr">
        <is>
          <t>오송읍</t>
        </is>
      </c>
    </row>
    <row r="3192">
      <c r="A3192" s="3" t="n">
        <v>2025</v>
      </c>
      <c r="B3192" s="4" t="n">
        <v>3000</v>
      </c>
      <c r="C3192" s="4" t="n">
        <v>64</v>
      </c>
      <c r="D3192" s="4" t="n">
        <v>19.36</v>
      </c>
      <c r="E3192" s="5" t="n">
        <v>155</v>
      </c>
      <c r="F3192" s="3" t="inlineStr">
        <is>
          <t>오송읍</t>
        </is>
      </c>
      <c r="G3192" s="3" t="inlineStr">
        <is>
          <t>동평리</t>
        </is>
      </c>
      <c r="H3192" s="3" t="inlineStr">
        <is>
          <t>계획관리지역</t>
        </is>
      </c>
      <c r="I3192" s="3" t="inlineStr">
        <is>
          <t>대</t>
        </is>
      </c>
      <c r="J3192" s="3" t="inlineStr">
        <is>
          <t>오송읍</t>
        </is>
      </c>
    </row>
    <row r="3193">
      <c r="A3193" s="3" t="n">
        <v>2025</v>
      </c>
      <c r="B3193" s="4" t="n">
        <v>18000</v>
      </c>
      <c r="C3193" s="4" t="n">
        <v>1200</v>
      </c>
      <c r="D3193" s="4" t="n">
        <v>363</v>
      </c>
      <c r="E3193" s="5" t="n">
        <v>49.6</v>
      </c>
      <c r="F3193" s="3" t="inlineStr">
        <is>
          <t>오송읍</t>
        </is>
      </c>
      <c r="G3193" s="3" t="inlineStr">
        <is>
          <t>정중리</t>
        </is>
      </c>
      <c r="H3193" s="3" t="inlineStr">
        <is>
          <t>농림지역</t>
        </is>
      </c>
      <c r="I3193" s="3" t="inlineStr">
        <is>
          <t>답</t>
        </is>
      </c>
      <c r="J3193" s="3" t="inlineStr">
        <is>
          <t>오송읍</t>
        </is>
      </c>
    </row>
    <row r="3194">
      <c r="A3194" s="3" t="n">
        <v>2025</v>
      </c>
      <c r="B3194" s="4" t="n">
        <v>51100</v>
      </c>
      <c r="C3194" s="4" t="n">
        <v>849</v>
      </c>
      <c r="D3194" s="4" t="n">
        <v>256.8225</v>
      </c>
      <c r="E3194" s="5" t="n">
        <v>199</v>
      </c>
      <c r="F3194" s="3" t="inlineStr">
        <is>
          <t>강내면</t>
        </is>
      </c>
      <c r="G3194" s="3" t="inlineStr">
        <is>
          <t>태성리</t>
        </is>
      </c>
      <c r="H3194" s="3" t="inlineStr">
        <is>
          <t>계획관리지역</t>
        </is>
      </c>
      <c r="I3194" s="3" t="inlineStr">
        <is>
          <t>대</t>
        </is>
      </c>
      <c r="J3194" s="3" t="inlineStr">
        <is>
          <t>강내면</t>
        </is>
      </c>
    </row>
    <row r="3195">
      <c r="A3195" s="3" t="n">
        <v>2025</v>
      </c>
      <c r="B3195" s="4" t="n">
        <v>7574</v>
      </c>
      <c r="C3195" s="4" t="n">
        <v>1052</v>
      </c>
      <c r="D3195" s="4" t="n">
        <v>318.23</v>
      </c>
      <c r="E3195" s="5" t="n">
        <v>23.8</v>
      </c>
      <c r="F3195" s="3" t="inlineStr">
        <is>
          <t>강내면</t>
        </is>
      </c>
      <c r="G3195" s="3" t="inlineStr">
        <is>
          <t>연정리</t>
        </is>
      </c>
      <c r="H3195" s="3" t="inlineStr">
        <is>
          <t>보전관리지역</t>
        </is>
      </c>
      <c r="I3195" s="3" t="inlineStr">
        <is>
          <t>전</t>
        </is>
      </c>
      <c r="J3195" s="3" t="inlineStr">
        <is>
          <t>강내면</t>
        </is>
      </c>
    </row>
    <row r="3196">
      <c r="A3196" s="3" t="n">
        <v>2025</v>
      </c>
      <c r="B3196" s="4" t="n">
        <v>1015</v>
      </c>
      <c r="C3196" s="4" t="n">
        <v>141</v>
      </c>
      <c r="D3196" s="4" t="n">
        <v>42.6525</v>
      </c>
      <c r="E3196" s="5" t="n">
        <v>23.8</v>
      </c>
      <c r="F3196" s="3" t="inlineStr">
        <is>
          <t>강내면</t>
        </is>
      </c>
      <c r="G3196" s="3" t="inlineStr">
        <is>
          <t>연정리</t>
        </is>
      </c>
      <c r="H3196" s="3" t="inlineStr">
        <is>
          <t>보전관리지역</t>
        </is>
      </c>
      <c r="I3196" s="3" t="inlineStr">
        <is>
          <t>전</t>
        </is>
      </c>
      <c r="J3196" s="3" t="inlineStr">
        <is>
          <t>강내면</t>
        </is>
      </c>
    </row>
    <row r="3197">
      <c r="A3197" s="3" t="n">
        <v>2025</v>
      </c>
      <c r="B3197" s="4" t="n">
        <v>1800</v>
      </c>
      <c r="C3197" s="4" t="n">
        <v>102</v>
      </c>
      <c r="D3197" s="4" t="n">
        <v>30.855</v>
      </c>
      <c r="E3197" s="5" t="n">
        <v>58.3</v>
      </c>
      <c r="F3197" s="3" t="inlineStr">
        <is>
          <t>오송읍</t>
        </is>
      </c>
      <c r="G3197" s="3" t="inlineStr">
        <is>
          <t>동평리</t>
        </is>
      </c>
      <c r="H3197" s="3" t="inlineStr">
        <is>
          <t>농림지역</t>
        </is>
      </c>
      <c r="I3197" s="3" t="inlineStr">
        <is>
          <t>답</t>
        </is>
      </c>
      <c r="J3197" s="3" t="inlineStr">
        <is>
          <t>오송읍</t>
        </is>
      </c>
    </row>
    <row r="3198">
      <c r="A3198" s="3" t="n">
        <v>2025</v>
      </c>
      <c r="B3198" s="4" t="n">
        <v>52754</v>
      </c>
      <c r="C3198" s="4" t="n">
        <v>2501.8</v>
      </c>
      <c r="D3198" s="4" t="n">
        <v>756.7945000000001</v>
      </c>
      <c r="E3198" s="5" t="n">
        <v>69.7</v>
      </c>
      <c r="F3198" s="3" t="inlineStr">
        <is>
          <t>오송읍</t>
        </is>
      </c>
      <c r="G3198" s="3" t="inlineStr">
        <is>
          <t>연제리</t>
        </is>
      </c>
      <c r="H3198" s="3" t="inlineStr">
        <is>
          <t>준공업지역</t>
        </is>
      </c>
      <c r="I3198" s="3" t="inlineStr">
        <is>
          <t>대</t>
        </is>
      </c>
      <c r="J3198" s="3" t="inlineStr">
        <is>
          <t>오송읍</t>
        </is>
      </c>
    </row>
    <row r="3199">
      <c r="A3199" s="3" t="n">
        <v>2025</v>
      </c>
      <c r="B3199" s="4" t="n">
        <v>53130</v>
      </c>
      <c r="C3199" s="4" t="n">
        <v>2519.6</v>
      </c>
      <c r="D3199" s="4" t="n">
        <v>762.179</v>
      </c>
      <c r="E3199" s="5" t="n">
        <v>69.7</v>
      </c>
      <c r="F3199" s="3" t="inlineStr">
        <is>
          <t>오송읍</t>
        </is>
      </c>
      <c r="G3199" s="3" t="inlineStr">
        <is>
          <t>연제리</t>
        </is>
      </c>
      <c r="H3199" s="3" t="inlineStr">
        <is>
          <t>준공업지역</t>
        </is>
      </c>
      <c r="I3199" s="3" t="inlineStr">
        <is>
          <t>대</t>
        </is>
      </c>
      <c r="J3199" s="3" t="inlineStr">
        <is>
          <t>오송읍</t>
        </is>
      </c>
    </row>
    <row r="3200">
      <c r="A3200" s="3" t="n">
        <v>2025</v>
      </c>
      <c r="B3200" s="4" t="n">
        <v>14000</v>
      </c>
      <c r="C3200" s="4" t="n">
        <v>418</v>
      </c>
      <c r="D3200" s="4" t="n">
        <v>126.445</v>
      </c>
      <c r="E3200" s="5" t="n">
        <v>110.7</v>
      </c>
      <c r="F3200" s="3" t="inlineStr">
        <is>
          <t>강내면</t>
        </is>
      </c>
      <c r="G3200" s="3" t="inlineStr">
        <is>
          <t>저산리</t>
        </is>
      </c>
      <c r="H3200" s="3" t="inlineStr">
        <is>
          <t>계획관리지역</t>
        </is>
      </c>
      <c r="I3200" s="3" t="inlineStr">
        <is>
          <t>임야</t>
        </is>
      </c>
      <c r="J3200" s="3" t="inlineStr">
        <is>
          <t>강내면</t>
        </is>
      </c>
    </row>
    <row r="3201">
      <c r="A3201" s="3" t="n">
        <v>2025</v>
      </c>
      <c r="B3201" s="4" t="n">
        <v>12000</v>
      </c>
      <c r="C3201" s="4" t="n">
        <v>616</v>
      </c>
      <c r="D3201" s="4" t="n">
        <v>186.34</v>
      </c>
      <c r="E3201" s="5" t="n">
        <v>64.40000000000001</v>
      </c>
      <c r="F3201" s="3" t="inlineStr">
        <is>
          <t>강내면</t>
        </is>
      </c>
      <c r="G3201" s="3" t="inlineStr">
        <is>
          <t>석화리</t>
        </is>
      </c>
      <c r="H3201" s="3" t="inlineStr">
        <is>
          <t>생산녹지지역</t>
        </is>
      </c>
      <c r="I3201" s="3" t="inlineStr">
        <is>
          <t>전</t>
        </is>
      </c>
      <c r="J3201" s="3" t="inlineStr">
        <is>
          <t>강내면</t>
        </is>
      </c>
    </row>
    <row r="3202">
      <c r="A3202" s="3" t="n">
        <v>2025</v>
      </c>
      <c r="B3202" s="4" t="n">
        <v>7574</v>
      </c>
      <c r="C3202" s="4" t="n">
        <v>1052</v>
      </c>
      <c r="D3202" s="4" t="n">
        <v>318.23</v>
      </c>
      <c r="E3202" s="5" t="n">
        <v>23.8</v>
      </c>
      <c r="F3202" s="3" t="inlineStr">
        <is>
          <t>강내면</t>
        </is>
      </c>
      <c r="G3202" s="3" t="inlineStr">
        <is>
          <t>연정리</t>
        </is>
      </c>
      <c r="H3202" s="3" t="inlineStr">
        <is>
          <t>보전관리지역</t>
        </is>
      </c>
      <c r="I3202" s="3" t="inlineStr">
        <is>
          <t>전</t>
        </is>
      </c>
      <c r="J3202" s="3" t="inlineStr">
        <is>
          <t>강내면</t>
        </is>
      </c>
    </row>
    <row r="3203">
      <c r="A3203" s="3" t="n">
        <v>2025</v>
      </c>
      <c r="B3203" s="4" t="n">
        <v>1015</v>
      </c>
      <c r="C3203" s="4" t="n">
        <v>141</v>
      </c>
      <c r="D3203" s="4" t="n">
        <v>42.6525</v>
      </c>
      <c r="E3203" s="5" t="n">
        <v>23.8</v>
      </c>
      <c r="F3203" s="3" t="inlineStr">
        <is>
          <t>강내면</t>
        </is>
      </c>
      <c r="G3203" s="3" t="inlineStr">
        <is>
          <t>연정리</t>
        </is>
      </c>
      <c r="H3203" s="3" t="inlineStr">
        <is>
          <t>보전관리지역</t>
        </is>
      </c>
      <c r="I3203" s="3" t="inlineStr">
        <is>
          <t>전</t>
        </is>
      </c>
      <c r="J3203" s="3" t="inlineStr">
        <is>
          <t>강내면</t>
        </is>
      </c>
    </row>
    <row r="3204">
      <c r="A3204" s="3" t="n">
        <v>2024</v>
      </c>
      <c r="B3204" s="4" t="n">
        <v>810</v>
      </c>
      <c r="C3204" s="4" t="n">
        <v>51</v>
      </c>
      <c r="D3204" s="4" t="n">
        <v>15.4275</v>
      </c>
      <c r="E3204" s="5" t="n">
        <v>52.5</v>
      </c>
      <c r="F3204" s="3" t="inlineStr">
        <is>
          <t>조치원읍</t>
        </is>
      </c>
      <c r="G3204" s="3" t="inlineStr">
        <is>
          <t>서창리</t>
        </is>
      </c>
      <c r="H3204" s="3" t="inlineStr">
        <is>
          <t>제1종일반주거지역</t>
        </is>
      </c>
      <c r="I3204" s="3" t="inlineStr">
        <is>
          <t>도로</t>
        </is>
      </c>
      <c r="J3204" s="3" t="inlineStr">
        <is>
          <t>조치원읍</t>
        </is>
      </c>
    </row>
    <row r="3205">
      <c r="A3205" s="3" t="n">
        <v>2024</v>
      </c>
      <c r="B3205" s="4" t="n">
        <v>490</v>
      </c>
      <c r="C3205" s="4" t="n">
        <v>31</v>
      </c>
      <c r="D3205" s="4" t="n">
        <v>9.3775</v>
      </c>
      <c r="E3205" s="5" t="n">
        <v>52.3</v>
      </c>
      <c r="F3205" s="3" t="inlineStr">
        <is>
          <t>조치원읍</t>
        </is>
      </c>
      <c r="G3205" s="3" t="inlineStr">
        <is>
          <t>서창리</t>
        </is>
      </c>
      <c r="H3205" s="3" t="inlineStr">
        <is>
          <t>제1종일반주거지역</t>
        </is>
      </c>
      <c r="I3205" s="3" t="inlineStr">
        <is>
          <t>전</t>
        </is>
      </c>
      <c r="J3205" s="3" t="inlineStr">
        <is>
          <t>조치원읍</t>
        </is>
      </c>
    </row>
    <row r="3206">
      <c r="A3206" s="3" t="n">
        <v>2024</v>
      </c>
      <c r="B3206" s="4" t="n">
        <v>9025</v>
      </c>
      <c r="C3206" s="4" t="n">
        <v>199</v>
      </c>
      <c r="D3206" s="4" t="n">
        <v>60.1975</v>
      </c>
      <c r="E3206" s="5" t="n">
        <v>149.9</v>
      </c>
      <c r="F3206" s="3" t="inlineStr">
        <is>
          <t>부강면</t>
        </is>
      </c>
      <c r="G3206" s="3" t="inlineStr">
        <is>
          <t>부강리</t>
        </is>
      </c>
      <c r="H3206" s="3" t="inlineStr">
        <is>
          <t>계획관리지역</t>
        </is>
      </c>
      <c r="I3206" s="3" t="inlineStr">
        <is>
          <t>공장용지</t>
        </is>
      </c>
      <c r="J3206" s="3" t="inlineStr">
        <is>
          <t>부강면</t>
        </is>
      </c>
    </row>
    <row r="3207">
      <c r="A3207" s="3" t="n">
        <v>2024</v>
      </c>
      <c r="B3207" s="4" t="n">
        <v>25000</v>
      </c>
      <c r="C3207" s="4" t="n">
        <v>280</v>
      </c>
      <c r="D3207" s="4" t="n">
        <v>84.7</v>
      </c>
      <c r="E3207" s="5" t="n">
        <v>295.2</v>
      </c>
      <c r="F3207" s="3" t="inlineStr">
        <is>
          <t>조치원읍</t>
        </is>
      </c>
      <c r="G3207" s="3" t="inlineStr">
        <is>
          <t>신안리</t>
        </is>
      </c>
      <c r="H3207" s="3" t="inlineStr">
        <is>
          <t>제1종일반주거지역</t>
        </is>
      </c>
      <c r="I3207" s="3" t="inlineStr">
        <is>
          <t>대</t>
        </is>
      </c>
      <c r="J3207" s="3" t="inlineStr">
        <is>
          <t>조치원읍</t>
        </is>
      </c>
    </row>
    <row r="3208">
      <c r="A3208" s="3" t="n">
        <v>2024</v>
      </c>
      <c r="B3208" s="4" t="n">
        <v>20000</v>
      </c>
      <c r="C3208" s="4" t="n">
        <v>286</v>
      </c>
      <c r="D3208" s="4" t="n">
        <v>86.515</v>
      </c>
      <c r="E3208" s="5" t="n">
        <v>231.2</v>
      </c>
      <c r="F3208" s="3" t="inlineStr">
        <is>
          <t>조치원읍</t>
        </is>
      </c>
      <c r="G3208" s="3" t="inlineStr">
        <is>
          <t>신안리</t>
        </is>
      </c>
      <c r="H3208" s="3" t="inlineStr">
        <is>
          <t>제1종일반주거지역</t>
        </is>
      </c>
      <c r="I3208" s="3" t="inlineStr">
        <is>
          <t>대</t>
        </is>
      </c>
      <c r="J3208" s="3" t="inlineStr">
        <is>
          <t>조치원읍</t>
        </is>
      </c>
    </row>
    <row r="3209">
      <c r="A3209" s="3" t="n">
        <v>2024</v>
      </c>
      <c r="B3209" s="4" t="n">
        <v>5000</v>
      </c>
      <c r="C3209" s="4" t="n">
        <v>61</v>
      </c>
      <c r="D3209" s="4" t="n">
        <v>18.4525</v>
      </c>
      <c r="E3209" s="5" t="n">
        <v>271</v>
      </c>
      <c r="F3209" s="3" t="inlineStr">
        <is>
          <t>조치원읍</t>
        </is>
      </c>
      <c r="G3209" s="3" t="inlineStr">
        <is>
          <t>신안리</t>
        </is>
      </c>
      <c r="H3209" s="3" t="inlineStr">
        <is>
          <t>제1종일반주거지역</t>
        </is>
      </c>
      <c r="I3209" s="3" t="inlineStr">
        <is>
          <t>도로</t>
        </is>
      </c>
      <c r="J3209" s="3" t="inlineStr">
        <is>
          <t>조치원읍</t>
        </is>
      </c>
    </row>
    <row r="3210">
      <c r="A3210" s="3" t="n">
        <v>2025</v>
      </c>
      <c r="B3210" s="4" t="n">
        <v>34000</v>
      </c>
      <c r="C3210" s="4" t="n">
        <v>270.7</v>
      </c>
      <c r="D3210" s="4" t="n">
        <v>81.88674999999999</v>
      </c>
      <c r="E3210" s="5" t="n">
        <v>415.2</v>
      </c>
      <c r="F3210" s="3" t="inlineStr">
        <is>
          <t>아름동</t>
        </is>
      </c>
      <c r="G3210" s="3" t="inlineStr"/>
      <c r="H3210" s="3" t="inlineStr">
        <is>
          <t>제1종전용주거지역</t>
        </is>
      </c>
      <c r="I3210" s="3" t="inlineStr">
        <is>
          <t>대</t>
        </is>
      </c>
      <c r="J3210" s="3" t="inlineStr">
        <is>
          <t>아름동</t>
        </is>
      </c>
    </row>
    <row r="3211">
      <c r="A3211" s="3" t="n">
        <v>2025</v>
      </c>
      <c r="B3211" s="4" t="n">
        <v>2572</v>
      </c>
      <c r="C3211" s="4" t="n">
        <v>109</v>
      </c>
      <c r="D3211" s="4" t="n">
        <v>32.9725</v>
      </c>
      <c r="E3211" s="5" t="n">
        <v>78</v>
      </c>
      <c r="F3211" s="3" t="inlineStr">
        <is>
          <t>부강면</t>
        </is>
      </c>
      <c r="G3211" s="3" t="inlineStr">
        <is>
          <t>산수리</t>
        </is>
      </c>
      <c r="H3211" s="3" t="inlineStr">
        <is>
          <t>보전관리지역</t>
        </is>
      </c>
      <c r="I3211" s="3" t="inlineStr">
        <is>
          <t>답</t>
        </is>
      </c>
      <c r="J3211" s="3" t="inlineStr">
        <is>
          <t>부강면</t>
        </is>
      </c>
    </row>
    <row r="3212">
      <c r="A3212" s="3" t="n">
        <v>2025</v>
      </c>
      <c r="B3212" s="4" t="n">
        <v>10827</v>
      </c>
      <c r="C3212" s="4" t="n">
        <v>374</v>
      </c>
      <c r="D3212" s="4" t="n">
        <v>113.135</v>
      </c>
      <c r="E3212" s="5" t="n">
        <v>95.7</v>
      </c>
      <c r="F3212" s="3" t="inlineStr">
        <is>
          <t>부강면</t>
        </is>
      </c>
      <c r="G3212" s="3" t="inlineStr">
        <is>
          <t>산수리</t>
        </is>
      </c>
      <c r="H3212" s="3" t="inlineStr">
        <is>
          <t>계획관리지역</t>
        </is>
      </c>
      <c r="I3212" s="3" t="inlineStr">
        <is>
          <t>전</t>
        </is>
      </c>
      <c r="J3212" s="3" t="inlineStr">
        <is>
          <t>부강면</t>
        </is>
      </c>
    </row>
    <row r="3213">
      <c r="A3213" s="3" t="n">
        <v>2025</v>
      </c>
      <c r="B3213" s="4" t="n">
        <v>33000</v>
      </c>
      <c r="C3213" s="4" t="n">
        <v>2448</v>
      </c>
      <c r="D3213" s="4" t="n">
        <v>740.52</v>
      </c>
      <c r="E3213" s="5" t="n">
        <v>44.6</v>
      </c>
      <c r="F3213" s="3" t="inlineStr">
        <is>
          <t>연동면</t>
        </is>
      </c>
      <c r="G3213" s="3" t="inlineStr">
        <is>
          <t>송용리</t>
        </is>
      </c>
      <c r="H3213" s="3" t="inlineStr">
        <is>
          <t>농림지역</t>
        </is>
      </c>
      <c r="I3213" s="3" t="inlineStr">
        <is>
          <t>답</t>
        </is>
      </c>
      <c r="J3213" s="3" t="inlineStr">
        <is>
          <t>연동면</t>
        </is>
      </c>
    </row>
    <row r="3214">
      <c r="A3214" s="3" t="n">
        <v>2025</v>
      </c>
      <c r="B3214" s="4" t="n">
        <v>16614</v>
      </c>
      <c r="C3214" s="4" t="n">
        <v>704</v>
      </c>
      <c r="D3214" s="4" t="n">
        <v>212.96</v>
      </c>
      <c r="E3214" s="5" t="n">
        <v>78</v>
      </c>
      <c r="F3214" s="3" t="inlineStr">
        <is>
          <t>부강면</t>
        </is>
      </c>
      <c r="G3214" s="3" t="inlineStr">
        <is>
          <t>산수리</t>
        </is>
      </c>
      <c r="H3214" s="3" t="inlineStr">
        <is>
          <t>보전관리지역</t>
        </is>
      </c>
      <c r="I3214" s="3" t="inlineStr">
        <is>
          <t>답</t>
        </is>
      </c>
      <c r="J3214" s="3" t="inlineStr">
        <is>
          <t>부강면</t>
        </is>
      </c>
    </row>
    <row r="3215">
      <c r="A3215" s="3" t="n">
        <v>2025</v>
      </c>
      <c r="B3215" s="4" t="n">
        <v>57500</v>
      </c>
      <c r="C3215" s="4" t="n">
        <v>356.9</v>
      </c>
      <c r="D3215" s="4" t="n">
        <v>107.96225</v>
      </c>
      <c r="E3215" s="5" t="n">
        <v>532.6</v>
      </c>
      <c r="F3215" s="3" t="inlineStr">
        <is>
          <t>고운동</t>
        </is>
      </c>
      <c r="G3215" s="3" t="inlineStr"/>
      <c r="H3215" s="3" t="inlineStr">
        <is>
          <t>제1종전용주거지역</t>
        </is>
      </c>
      <c r="I3215" s="3" t="inlineStr">
        <is>
          <t>대</t>
        </is>
      </c>
      <c r="J3215" s="3" t="inlineStr">
        <is>
          <t>고운동</t>
        </is>
      </c>
    </row>
    <row r="3216">
      <c r="A3216" s="3" t="n">
        <v>2026</v>
      </c>
      <c r="B3216" s="4" t="n">
        <v>31247</v>
      </c>
      <c r="C3216" s="4" t="n">
        <v>1568</v>
      </c>
      <c r="D3216" s="4" t="n">
        <v>474.32</v>
      </c>
      <c r="E3216" s="5" t="n">
        <v>65.90000000000001</v>
      </c>
      <c r="F3216" s="3" t="inlineStr">
        <is>
          <t>남이면</t>
        </is>
      </c>
      <c r="G3216" s="3" t="inlineStr">
        <is>
          <t>부용외천리</t>
        </is>
      </c>
      <c r="H3216" s="3" t="inlineStr">
        <is>
          <t>계획관리지역</t>
        </is>
      </c>
      <c r="I3216" s="3" t="inlineStr">
        <is>
          <t>답</t>
        </is>
      </c>
      <c r="J3216" s="3" t="inlineStr">
        <is>
          <t>남이면</t>
        </is>
      </c>
    </row>
    <row r="3217">
      <c r="A3217" s="3" t="n">
        <v>2026</v>
      </c>
      <c r="B3217" s="4" t="n">
        <v>6085</v>
      </c>
      <c r="C3217" s="4" t="n">
        <v>218</v>
      </c>
      <c r="D3217" s="4" t="n">
        <v>65.94499999999999</v>
      </c>
      <c r="E3217" s="5" t="n">
        <v>92.3</v>
      </c>
      <c r="F3217" s="3" t="inlineStr">
        <is>
          <t>남이면</t>
        </is>
      </c>
      <c r="G3217" s="3" t="inlineStr">
        <is>
          <t>부용외천리</t>
        </is>
      </c>
      <c r="H3217" s="3" t="inlineStr">
        <is>
          <t>계획관리지역</t>
        </is>
      </c>
      <c r="I3217" s="3" t="inlineStr">
        <is>
          <t>답</t>
        </is>
      </c>
      <c r="J3217" s="3" t="inlineStr">
        <is>
          <t>남이면</t>
        </is>
      </c>
    </row>
    <row r="3218">
      <c r="A3218" s="3" t="n">
        <v>2022</v>
      </c>
      <c r="B3218" s="4" t="n">
        <v>12906</v>
      </c>
      <c r="C3218" s="4" t="n">
        <v>950</v>
      </c>
      <c r="D3218" s="4" t="n">
        <v>287.375</v>
      </c>
      <c r="E3218" s="5" t="n">
        <v>44.9</v>
      </c>
      <c r="F3218" s="3" t="inlineStr">
        <is>
          <t>부강면</t>
        </is>
      </c>
      <c r="G3218" s="3" t="inlineStr">
        <is>
          <t>문곡리</t>
        </is>
      </c>
      <c r="H3218" s="3" t="inlineStr">
        <is>
          <t>보전관리지역</t>
        </is>
      </c>
      <c r="I3218" s="3" t="inlineStr">
        <is>
          <t>임야</t>
        </is>
      </c>
      <c r="J3218" s="3" t="inlineStr">
        <is>
          <t>부강면</t>
        </is>
      </c>
    </row>
    <row r="3219">
      <c r="A3219" s="3" t="n">
        <v>2022</v>
      </c>
      <c r="B3219" s="4" t="n">
        <v>10200</v>
      </c>
      <c r="C3219" s="4" t="n">
        <v>843</v>
      </c>
      <c r="D3219" s="4" t="n">
        <v>255.0075</v>
      </c>
      <c r="E3219" s="5" t="n">
        <v>40</v>
      </c>
      <c r="F3219" s="3" t="inlineStr">
        <is>
          <t>부강면</t>
        </is>
      </c>
      <c r="G3219" s="3" t="inlineStr">
        <is>
          <t>문곡리</t>
        </is>
      </c>
      <c r="H3219" s="3" t="inlineStr">
        <is>
          <t>보전관리지역</t>
        </is>
      </c>
      <c r="I3219" s="3" t="inlineStr">
        <is>
          <t>임야</t>
        </is>
      </c>
      <c r="J3219" s="3" t="inlineStr">
        <is>
          <t>부강면</t>
        </is>
      </c>
    </row>
    <row r="3220">
      <c r="A3220" s="3" t="n">
        <v>2022</v>
      </c>
      <c r="B3220" s="4" t="n">
        <v>2444</v>
      </c>
      <c r="C3220" s="4" t="n">
        <v>202</v>
      </c>
      <c r="D3220" s="4" t="n">
        <v>61.105</v>
      </c>
      <c r="E3220" s="5" t="n">
        <v>40</v>
      </c>
      <c r="F3220" s="3" t="inlineStr">
        <is>
          <t>부강면</t>
        </is>
      </c>
      <c r="G3220" s="3" t="inlineStr">
        <is>
          <t>문곡리</t>
        </is>
      </c>
      <c r="H3220" s="3" t="inlineStr">
        <is>
          <t>보전관리지역</t>
        </is>
      </c>
      <c r="I3220" s="3" t="inlineStr">
        <is>
          <t>임야</t>
        </is>
      </c>
      <c r="J3220" s="3" t="inlineStr">
        <is>
          <t>부강면</t>
        </is>
      </c>
    </row>
    <row r="3221">
      <c r="A3221" s="3" t="n">
        <v>2023</v>
      </c>
      <c r="B3221" s="4" t="n">
        <v>25000</v>
      </c>
      <c r="C3221" s="4" t="n">
        <v>508</v>
      </c>
      <c r="D3221" s="4" t="n">
        <v>153.67</v>
      </c>
      <c r="E3221" s="5" t="n">
        <v>162.7</v>
      </c>
      <c r="F3221" s="3" t="inlineStr">
        <is>
          <t>강내면</t>
        </is>
      </c>
      <c r="G3221" s="3" t="inlineStr">
        <is>
          <t>연정리</t>
        </is>
      </c>
      <c r="H3221" s="3" t="inlineStr">
        <is>
          <t>계획관리지역</t>
        </is>
      </c>
      <c r="I3221" s="3" t="inlineStr">
        <is>
          <t>대</t>
        </is>
      </c>
      <c r="J3221" s="3" t="inlineStr">
        <is>
          <t>강내면</t>
        </is>
      </c>
    </row>
    <row r="3222">
      <c r="A3222" s="3" t="n">
        <v>2023</v>
      </c>
      <c r="B3222" s="4" t="n">
        <v>30000</v>
      </c>
      <c r="C3222" s="4" t="n">
        <v>800</v>
      </c>
      <c r="D3222" s="4" t="n">
        <v>242</v>
      </c>
      <c r="E3222" s="5" t="n">
        <v>124</v>
      </c>
      <c r="F3222" s="3" t="inlineStr">
        <is>
          <t>강내면</t>
        </is>
      </c>
      <c r="G3222" s="3" t="inlineStr">
        <is>
          <t>연정리</t>
        </is>
      </c>
      <c r="H3222" s="3" t="inlineStr">
        <is>
          <t>계획관리지역</t>
        </is>
      </c>
      <c r="I3222" s="3" t="inlineStr">
        <is>
          <t>대</t>
        </is>
      </c>
      <c r="J3222" s="3" t="inlineStr">
        <is>
          <t>강내면</t>
        </is>
      </c>
    </row>
    <row r="3223">
      <c r="A3223" s="3" t="n">
        <v>2023</v>
      </c>
      <c r="B3223" s="4" t="n">
        <v>12000</v>
      </c>
      <c r="C3223" s="4" t="n">
        <v>356</v>
      </c>
      <c r="D3223" s="4" t="n">
        <v>107.69</v>
      </c>
      <c r="E3223" s="5" t="n">
        <v>111.4</v>
      </c>
      <c r="F3223" s="3" t="inlineStr">
        <is>
          <t>강내면</t>
        </is>
      </c>
      <c r="G3223" s="3" t="inlineStr">
        <is>
          <t>연정리</t>
        </is>
      </c>
      <c r="H3223" s="3" t="inlineStr">
        <is>
          <t>계획관리지역</t>
        </is>
      </c>
      <c r="I3223" s="3" t="inlineStr">
        <is>
          <t>대</t>
        </is>
      </c>
      <c r="J3223" s="3" t="inlineStr">
        <is>
          <t>강내면</t>
        </is>
      </c>
    </row>
    <row r="3224">
      <c r="A3224" s="3" t="n">
        <v>2023</v>
      </c>
      <c r="B3224" s="4" t="n">
        <v>248100</v>
      </c>
      <c r="C3224" s="4" t="n">
        <v>5468</v>
      </c>
      <c r="D3224" s="4" t="n">
        <v>1654.07</v>
      </c>
      <c r="E3224" s="5" t="n">
        <v>150</v>
      </c>
      <c r="F3224" s="3" t="inlineStr">
        <is>
          <t>강내면</t>
        </is>
      </c>
      <c r="G3224" s="3" t="inlineStr">
        <is>
          <t>궁현리</t>
        </is>
      </c>
      <c r="H3224" s="3" t="inlineStr">
        <is>
          <t>계획관리지역</t>
        </is>
      </c>
      <c r="I3224" s="3" t="inlineStr">
        <is>
          <t>답</t>
        </is>
      </c>
      <c r="J3224" s="3" t="inlineStr">
        <is>
          <t>강내면</t>
        </is>
      </c>
    </row>
    <row r="3225">
      <c r="A3225" s="3" t="n">
        <v>2023</v>
      </c>
      <c r="B3225" s="4" t="n">
        <v>136500</v>
      </c>
      <c r="C3225" s="4" t="n">
        <v>3008</v>
      </c>
      <c r="D3225" s="4" t="n">
        <v>909.92</v>
      </c>
      <c r="E3225" s="5" t="n">
        <v>150</v>
      </c>
      <c r="F3225" s="3" t="inlineStr">
        <is>
          <t>강내면</t>
        </is>
      </c>
      <c r="G3225" s="3" t="inlineStr">
        <is>
          <t>궁현리</t>
        </is>
      </c>
      <c r="H3225" s="3" t="inlineStr">
        <is>
          <t>계획관리지역</t>
        </is>
      </c>
      <c r="I3225" s="3" t="inlineStr">
        <is>
          <t>답</t>
        </is>
      </c>
      <c r="J3225" s="3" t="inlineStr">
        <is>
          <t>강내면</t>
        </is>
      </c>
    </row>
    <row r="3226">
      <c r="A3226" s="3" t="n">
        <v>2023</v>
      </c>
      <c r="B3226" s="4" t="n">
        <v>169650</v>
      </c>
      <c r="C3226" s="4" t="n">
        <v>3738</v>
      </c>
      <c r="D3226" s="4" t="n">
        <v>1130.745</v>
      </c>
      <c r="E3226" s="5" t="n">
        <v>150</v>
      </c>
      <c r="F3226" s="3" t="inlineStr">
        <is>
          <t>강내면</t>
        </is>
      </c>
      <c r="G3226" s="3" t="inlineStr">
        <is>
          <t>궁현리</t>
        </is>
      </c>
      <c r="H3226" s="3" t="inlineStr">
        <is>
          <t>계획관리지역</t>
        </is>
      </c>
      <c r="I3226" s="3" t="inlineStr">
        <is>
          <t>답</t>
        </is>
      </c>
      <c r="J3226" s="3" t="inlineStr">
        <is>
          <t>강내면</t>
        </is>
      </c>
    </row>
    <row r="3227">
      <c r="A3227" s="3" t="n">
        <v>2023</v>
      </c>
      <c r="B3227" s="4" t="n">
        <v>50400</v>
      </c>
      <c r="C3227" s="4" t="n">
        <v>1111</v>
      </c>
      <c r="D3227" s="4" t="n">
        <v>336.0775</v>
      </c>
      <c r="E3227" s="5" t="n">
        <v>150</v>
      </c>
      <c r="F3227" s="3" t="inlineStr">
        <is>
          <t>강내면</t>
        </is>
      </c>
      <c r="G3227" s="3" t="inlineStr">
        <is>
          <t>궁현리</t>
        </is>
      </c>
      <c r="H3227" s="3" t="inlineStr">
        <is>
          <t>계획관리지역</t>
        </is>
      </c>
      <c r="I3227" s="3" t="inlineStr">
        <is>
          <t>전</t>
        </is>
      </c>
      <c r="J3227" s="3" t="inlineStr">
        <is>
          <t>강내면</t>
        </is>
      </c>
    </row>
    <row r="3228">
      <c r="A3228" s="3" t="n">
        <v>2023</v>
      </c>
      <c r="B3228" s="4" t="n">
        <v>27000</v>
      </c>
      <c r="C3228" s="4" t="n">
        <v>2635</v>
      </c>
      <c r="D3228" s="4" t="n">
        <v>797.0875</v>
      </c>
      <c r="E3228" s="5" t="n">
        <v>33.9</v>
      </c>
      <c r="F3228" s="3" t="inlineStr">
        <is>
          <t>오송읍</t>
        </is>
      </c>
      <c r="G3228" s="3" t="inlineStr">
        <is>
          <t>서평리</t>
        </is>
      </c>
      <c r="H3228" s="3" t="inlineStr">
        <is>
          <t>농림지역</t>
        </is>
      </c>
      <c r="I3228" s="3" t="inlineStr">
        <is>
          <t>답</t>
        </is>
      </c>
      <c r="J3228" s="3" t="inlineStr">
        <is>
          <t>오송읍</t>
        </is>
      </c>
    </row>
    <row r="3229">
      <c r="A3229" s="3" t="n">
        <v>2023</v>
      </c>
      <c r="B3229" s="4" t="n">
        <v>41000</v>
      </c>
      <c r="C3229" s="4" t="n">
        <v>2243</v>
      </c>
      <c r="D3229" s="4" t="n">
        <v>678.5074999999999</v>
      </c>
      <c r="E3229" s="5" t="n">
        <v>60.4</v>
      </c>
      <c r="F3229" s="3" t="inlineStr">
        <is>
          <t>강내면</t>
        </is>
      </c>
      <c r="G3229" s="3" t="inlineStr">
        <is>
          <t>사곡리</t>
        </is>
      </c>
      <c r="H3229" s="3" t="inlineStr">
        <is>
          <t>용도미지정</t>
        </is>
      </c>
      <c r="I3229" s="3" t="inlineStr">
        <is>
          <t>답</t>
        </is>
      </c>
      <c r="J3229" s="3" t="inlineStr">
        <is>
          <t>강내면</t>
        </is>
      </c>
    </row>
    <row r="3230">
      <c r="A3230" s="3" t="n">
        <v>2023</v>
      </c>
      <c r="B3230" s="4" t="n">
        <v>23800</v>
      </c>
      <c r="C3230" s="4" t="n">
        <v>1300</v>
      </c>
      <c r="D3230" s="4" t="n">
        <v>393.25</v>
      </c>
      <c r="E3230" s="5" t="n">
        <v>60.5</v>
      </c>
      <c r="F3230" s="3" t="inlineStr">
        <is>
          <t>강내면</t>
        </is>
      </c>
      <c r="G3230" s="3" t="inlineStr">
        <is>
          <t>태성리</t>
        </is>
      </c>
      <c r="H3230" s="3" t="inlineStr">
        <is>
          <t>계획관리지역</t>
        </is>
      </c>
      <c r="I3230" s="3" t="inlineStr">
        <is>
          <t>임야</t>
        </is>
      </c>
      <c r="J3230" s="3" t="inlineStr">
        <is>
          <t>강내면</t>
        </is>
      </c>
    </row>
    <row r="3231">
      <c r="A3231" s="3" t="n">
        <v>2023</v>
      </c>
      <c r="B3231" s="4" t="n">
        <v>3700</v>
      </c>
      <c r="C3231" s="4" t="n">
        <v>197</v>
      </c>
      <c r="D3231" s="4" t="n">
        <v>59.5925</v>
      </c>
      <c r="E3231" s="5" t="n">
        <v>62.1</v>
      </c>
      <c r="F3231" s="3" t="inlineStr">
        <is>
          <t>강내면</t>
        </is>
      </c>
      <c r="G3231" s="3" t="inlineStr">
        <is>
          <t>태성리</t>
        </is>
      </c>
      <c r="H3231" s="3" t="inlineStr">
        <is>
          <t>계획관리지역</t>
        </is>
      </c>
      <c r="I3231" s="3" t="inlineStr">
        <is>
          <t>임야</t>
        </is>
      </c>
      <c r="J3231" s="3" t="inlineStr">
        <is>
          <t>강내면</t>
        </is>
      </c>
    </row>
    <row r="3232">
      <c r="A3232" s="3" t="n">
        <v>2023</v>
      </c>
      <c r="B3232" s="4" t="n">
        <v>33500</v>
      </c>
      <c r="C3232" s="4" t="n">
        <v>318</v>
      </c>
      <c r="D3232" s="4" t="n">
        <v>96.19499999999999</v>
      </c>
      <c r="E3232" s="5" t="n">
        <v>348.3</v>
      </c>
      <c r="F3232" s="3" t="inlineStr">
        <is>
          <t>오송읍</t>
        </is>
      </c>
      <c r="G3232" s="3" t="inlineStr">
        <is>
          <t>오송리</t>
        </is>
      </c>
      <c r="H3232" s="3" t="inlineStr">
        <is>
          <t>계획관리지역</t>
        </is>
      </c>
      <c r="I3232" s="3" t="inlineStr">
        <is>
          <t>전</t>
        </is>
      </c>
      <c r="J3232" s="3" t="inlineStr">
        <is>
          <t>오송읍</t>
        </is>
      </c>
    </row>
    <row r="3233">
      <c r="A3233" s="3" t="n">
        <v>2023</v>
      </c>
      <c r="B3233" s="4" t="n">
        <v>6500</v>
      </c>
      <c r="C3233" s="4" t="n">
        <v>64</v>
      </c>
      <c r="D3233" s="4" t="n">
        <v>19.36</v>
      </c>
      <c r="E3233" s="5" t="n">
        <v>335.7</v>
      </c>
      <c r="F3233" s="3" t="inlineStr">
        <is>
          <t>오송읍</t>
        </is>
      </c>
      <c r="G3233" s="3" t="inlineStr">
        <is>
          <t>오송리</t>
        </is>
      </c>
      <c r="H3233" s="3" t="inlineStr">
        <is>
          <t>계획관리지역</t>
        </is>
      </c>
      <c r="I3233" s="3" t="inlineStr">
        <is>
          <t>전</t>
        </is>
      </c>
      <c r="J3233" s="3" t="inlineStr">
        <is>
          <t>오송읍</t>
        </is>
      </c>
    </row>
    <row r="3234">
      <c r="A3234" s="3" t="n">
        <v>2023</v>
      </c>
      <c r="B3234" s="4" t="n">
        <v>7550</v>
      </c>
      <c r="C3234" s="4" t="n">
        <v>1000</v>
      </c>
      <c r="D3234" s="4" t="n">
        <v>302.5</v>
      </c>
      <c r="E3234" s="5" t="n">
        <v>25</v>
      </c>
      <c r="F3234" s="3" t="inlineStr">
        <is>
          <t>강내면</t>
        </is>
      </c>
      <c r="G3234" s="3" t="inlineStr">
        <is>
          <t>궁현리</t>
        </is>
      </c>
      <c r="H3234" s="3" t="inlineStr">
        <is>
          <t>계획관리지역</t>
        </is>
      </c>
      <c r="I3234" s="3" t="inlineStr">
        <is>
          <t>임야</t>
        </is>
      </c>
      <c r="J3234" s="3" t="inlineStr">
        <is>
          <t>강내면</t>
        </is>
      </c>
    </row>
    <row r="3235">
      <c r="A3235" s="3" t="n">
        <v>2023</v>
      </c>
      <c r="B3235" s="4" t="n">
        <v>3750</v>
      </c>
      <c r="C3235" s="4" t="n">
        <v>495</v>
      </c>
      <c r="D3235" s="4" t="n">
        <v>149.7375</v>
      </c>
      <c r="E3235" s="5" t="n">
        <v>25</v>
      </c>
      <c r="F3235" s="3" t="inlineStr">
        <is>
          <t>강내면</t>
        </is>
      </c>
      <c r="G3235" s="3" t="inlineStr">
        <is>
          <t>궁현리</t>
        </is>
      </c>
      <c r="H3235" s="3" t="inlineStr">
        <is>
          <t>계획관리지역</t>
        </is>
      </c>
      <c r="I3235" s="3" t="inlineStr">
        <is>
          <t>임야</t>
        </is>
      </c>
      <c r="J3235" s="3" t="inlineStr">
        <is>
          <t>강내면</t>
        </is>
      </c>
    </row>
    <row r="3236">
      <c r="A3236" s="3" t="n">
        <v>2023</v>
      </c>
      <c r="B3236" s="4" t="n">
        <v>1900</v>
      </c>
      <c r="C3236" s="4" t="n">
        <v>125</v>
      </c>
      <c r="D3236" s="4" t="n">
        <v>37.8125</v>
      </c>
      <c r="E3236" s="5" t="n">
        <v>50.2</v>
      </c>
      <c r="F3236" s="3" t="inlineStr">
        <is>
          <t>강내면</t>
        </is>
      </c>
      <c r="G3236" s="3" t="inlineStr">
        <is>
          <t>궁현리</t>
        </is>
      </c>
      <c r="H3236" s="3" t="inlineStr">
        <is>
          <t>용도미지정</t>
        </is>
      </c>
      <c r="I3236" s="3" t="inlineStr">
        <is>
          <t>임야</t>
        </is>
      </c>
      <c r="J3236" s="3" t="inlineStr">
        <is>
          <t>강내면</t>
        </is>
      </c>
    </row>
    <row r="3237">
      <c r="A3237" s="3" t="n">
        <v>2023</v>
      </c>
      <c r="B3237" s="4" t="n">
        <v>1100</v>
      </c>
      <c r="C3237" s="4" t="n">
        <v>73</v>
      </c>
      <c r="D3237" s="4" t="n">
        <v>22.0825</v>
      </c>
      <c r="E3237" s="5" t="n">
        <v>49.8</v>
      </c>
      <c r="F3237" s="3" t="inlineStr">
        <is>
          <t>강내면</t>
        </is>
      </c>
      <c r="G3237" s="3" t="inlineStr">
        <is>
          <t>궁현리</t>
        </is>
      </c>
      <c r="H3237" s="3" t="inlineStr">
        <is>
          <t>용도미지정</t>
        </is>
      </c>
      <c r="I3237" s="3" t="inlineStr">
        <is>
          <t>임야</t>
        </is>
      </c>
      <c r="J3237" s="3" t="inlineStr">
        <is>
          <t>강내면</t>
        </is>
      </c>
    </row>
    <row r="3238">
      <c r="A3238" s="3" t="n">
        <v>2023</v>
      </c>
      <c r="B3238" s="4" t="n">
        <v>37100</v>
      </c>
      <c r="C3238" s="4" t="n">
        <v>1227</v>
      </c>
      <c r="D3238" s="4" t="n">
        <v>371.1675</v>
      </c>
      <c r="E3238" s="5" t="n">
        <v>100</v>
      </c>
      <c r="F3238" s="3" t="inlineStr">
        <is>
          <t>강내면</t>
        </is>
      </c>
      <c r="G3238" s="3" t="inlineStr">
        <is>
          <t>태성리</t>
        </is>
      </c>
      <c r="H3238" s="3" t="inlineStr">
        <is>
          <t>계획관리지역</t>
        </is>
      </c>
      <c r="I3238" s="3" t="inlineStr">
        <is>
          <t>임야</t>
        </is>
      </c>
      <c r="J3238" s="3" t="inlineStr">
        <is>
          <t>강내면</t>
        </is>
      </c>
    </row>
    <row r="3239">
      <c r="A3239" s="3" t="n">
        <v>2023</v>
      </c>
      <c r="B3239" s="4" t="n">
        <v>2300</v>
      </c>
      <c r="C3239" s="4" t="n">
        <v>77</v>
      </c>
      <c r="D3239" s="4" t="n">
        <v>23.2925</v>
      </c>
      <c r="E3239" s="5" t="n">
        <v>98.7</v>
      </c>
      <c r="F3239" s="3" t="inlineStr">
        <is>
          <t>강내면</t>
        </is>
      </c>
      <c r="G3239" s="3" t="inlineStr">
        <is>
          <t>태성리</t>
        </is>
      </c>
      <c r="H3239" s="3" t="inlineStr">
        <is>
          <t>계획관리지역</t>
        </is>
      </c>
      <c r="I3239" s="3" t="inlineStr">
        <is>
          <t>임야</t>
        </is>
      </c>
      <c r="J3239" s="3" t="inlineStr">
        <is>
          <t>강내면</t>
        </is>
      </c>
    </row>
    <row r="3240">
      <c r="A3240" s="3" t="n">
        <v>2026</v>
      </c>
      <c r="B3240" s="4" t="n">
        <v>7880</v>
      </c>
      <c r="C3240" s="4" t="n">
        <v>651</v>
      </c>
      <c r="D3240" s="4" t="n">
        <v>196.9275</v>
      </c>
      <c r="E3240" s="5" t="n">
        <v>40</v>
      </c>
      <c r="F3240" s="3" t="inlineStr">
        <is>
          <t>연서면</t>
        </is>
      </c>
      <c r="G3240" s="3" t="inlineStr">
        <is>
          <t>부동리</t>
        </is>
      </c>
      <c r="H3240" s="3" t="inlineStr">
        <is>
          <t>농림지역</t>
        </is>
      </c>
      <c r="I3240" s="3" t="inlineStr">
        <is>
          <t>답</t>
        </is>
      </c>
      <c r="J3240" s="3" t="inlineStr">
        <is>
          <t>연서면</t>
        </is>
      </c>
    </row>
    <row r="3241">
      <c r="A3241" s="3" t="n">
        <v>2024</v>
      </c>
      <c r="B3241" s="4" t="n">
        <v>10320</v>
      </c>
      <c r="C3241" s="4" t="n">
        <v>569</v>
      </c>
      <c r="D3241" s="4" t="n">
        <v>172.1225</v>
      </c>
      <c r="E3241" s="5" t="n">
        <v>60</v>
      </c>
      <c r="F3241" s="3" t="inlineStr">
        <is>
          <t>연서면</t>
        </is>
      </c>
      <c r="G3241" s="3" t="inlineStr">
        <is>
          <t>기룡리</t>
        </is>
      </c>
      <c r="H3241" s="3" t="inlineStr">
        <is>
          <t>생산관리지역</t>
        </is>
      </c>
      <c r="I3241" s="3" t="inlineStr">
        <is>
          <t>답</t>
        </is>
      </c>
      <c r="J3241" s="3" t="inlineStr">
        <is>
          <t>연서면</t>
        </is>
      </c>
    </row>
    <row r="3242">
      <c r="A3242" s="3" t="n">
        <v>2024</v>
      </c>
      <c r="B3242" s="4" t="n">
        <v>41970</v>
      </c>
      <c r="C3242" s="4" t="n">
        <v>2472</v>
      </c>
      <c r="D3242" s="4" t="n">
        <v>747.78</v>
      </c>
      <c r="E3242" s="5" t="n">
        <v>56.1</v>
      </c>
      <c r="F3242" s="3" t="inlineStr">
        <is>
          <t>연서면</t>
        </is>
      </c>
      <c r="G3242" s="3" t="inlineStr">
        <is>
          <t>성제리</t>
        </is>
      </c>
      <c r="H3242" s="3" t="inlineStr">
        <is>
          <t>보전관리지역</t>
        </is>
      </c>
      <c r="I3242" s="3" t="inlineStr">
        <is>
          <t>임야</t>
        </is>
      </c>
      <c r="J3242" s="3" t="inlineStr">
        <is>
          <t>연서면</t>
        </is>
      </c>
    </row>
    <row r="3243">
      <c r="A3243" s="3" t="n">
        <v>2024</v>
      </c>
      <c r="B3243" s="4" t="n">
        <v>4315</v>
      </c>
      <c r="C3243" s="4" t="n">
        <v>314</v>
      </c>
      <c r="D3243" s="4" t="n">
        <v>94.985</v>
      </c>
      <c r="E3243" s="5" t="n">
        <v>45.4</v>
      </c>
      <c r="F3243" s="3" t="inlineStr">
        <is>
          <t>연서면</t>
        </is>
      </c>
      <c r="G3243" s="3" t="inlineStr">
        <is>
          <t>성제리</t>
        </is>
      </c>
      <c r="H3243" s="3" t="inlineStr">
        <is>
          <t>보전관리지역</t>
        </is>
      </c>
      <c r="I3243" s="3" t="inlineStr">
        <is>
          <t>임야</t>
        </is>
      </c>
      <c r="J3243" s="3" t="inlineStr">
        <is>
          <t>연서면</t>
        </is>
      </c>
    </row>
    <row r="3244">
      <c r="A3244" s="3" t="n">
        <v>2024</v>
      </c>
      <c r="B3244" s="4" t="n">
        <v>13027</v>
      </c>
      <c r="C3244" s="4" t="n">
        <v>948</v>
      </c>
      <c r="D3244" s="4" t="n">
        <v>286.77</v>
      </c>
      <c r="E3244" s="5" t="n">
        <v>45.4</v>
      </c>
      <c r="F3244" s="3" t="inlineStr">
        <is>
          <t>연서면</t>
        </is>
      </c>
      <c r="G3244" s="3" t="inlineStr">
        <is>
          <t>성제리</t>
        </is>
      </c>
      <c r="H3244" s="3" t="inlineStr">
        <is>
          <t>보전관리지역</t>
        </is>
      </c>
      <c r="I3244" s="3" t="inlineStr">
        <is>
          <t>임야</t>
        </is>
      </c>
      <c r="J3244" s="3" t="inlineStr">
        <is>
          <t>연서면</t>
        </is>
      </c>
    </row>
    <row r="3245">
      <c r="A3245" s="3" t="n">
        <v>2024</v>
      </c>
      <c r="B3245" s="4" t="n">
        <v>21025</v>
      </c>
      <c r="C3245" s="4" t="n">
        <v>1530</v>
      </c>
      <c r="D3245" s="4" t="n">
        <v>462.825</v>
      </c>
      <c r="E3245" s="5" t="n">
        <v>45.4</v>
      </c>
      <c r="F3245" s="3" t="inlineStr">
        <is>
          <t>연서면</t>
        </is>
      </c>
      <c r="G3245" s="3" t="inlineStr">
        <is>
          <t>성제리</t>
        </is>
      </c>
      <c r="H3245" s="3" t="inlineStr">
        <is>
          <t>보전관리지역</t>
        </is>
      </c>
      <c r="I3245" s="3" t="inlineStr">
        <is>
          <t>임야</t>
        </is>
      </c>
      <c r="J3245" s="3" t="inlineStr">
        <is>
          <t>연서면</t>
        </is>
      </c>
    </row>
    <row r="3246">
      <c r="A3246" s="3" t="n">
        <v>2024</v>
      </c>
      <c r="B3246" s="4" t="n">
        <v>2927</v>
      </c>
      <c r="C3246" s="4" t="n">
        <v>213</v>
      </c>
      <c r="D3246" s="4" t="n">
        <v>64.4325</v>
      </c>
      <c r="E3246" s="5" t="n">
        <v>45.4</v>
      </c>
      <c r="F3246" s="3" t="inlineStr">
        <is>
          <t>연서면</t>
        </is>
      </c>
      <c r="G3246" s="3" t="inlineStr">
        <is>
          <t>성제리</t>
        </is>
      </c>
      <c r="H3246" s="3" t="inlineStr">
        <is>
          <t>보전관리지역</t>
        </is>
      </c>
      <c r="I3246" s="3" t="inlineStr">
        <is>
          <t>임야</t>
        </is>
      </c>
      <c r="J3246" s="3" t="inlineStr">
        <is>
          <t>연서면</t>
        </is>
      </c>
    </row>
    <row r="3247">
      <c r="A3247" s="3" t="n">
        <v>2023</v>
      </c>
      <c r="B3247" s="4" t="n">
        <v>56000</v>
      </c>
      <c r="C3247" s="4" t="n">
        <v>1958</v>
      </c>
      <c r="D3247" s="4" t="n">
        <v>592.295</v>
      </c>
      <c r="E3247" s="5" t="n">
        <v>94.5</v>
      </c>
      <c r="F3247" s="3" t="inlineStr">
        <is>
          <t>연서면</t>
        </is>
      </c>
      <c r="G3247" s="3" t="inlineStr">
        <is>
          <t>쌍류리</t>
        </is>
      </c>
      <c r="H3247" s="3" t="inlineStr">
        <is>
          <t>생산관리지역</t>
        </is>
      </c>
      <c r="I3247" s="3" t="inlineStr">
        <is>
          <t>과수원</t>
        </is>
      </c>
      <c r="J3247" s="3" t="inlineStr">
        <is>
          <t>연서면</t>
        </is>
      </c>
    </row>
    <row r="3248">
      <c r="A3248" s="3" t="n">
        <v>2023</v>
      </c>
      <c r="B3248" s="4" t="n">
        <v>29000</v>
      </c>
      <c r="C3248" s="4" t="n">
        <v>462</v>
      </c>
      <c r="D3248" s="4" t="n">
        <v>139.755</v>
      </c>
      <c r="E3248" s="5" t="n">
        <v>207.5</v>
      </c>
      <c r="F3248" s="3" t="inlineStr">
        <is>
          <t>조치원읍</t>
        </is>
      </c>
      <c r="G3248" s="3" t="inlineStr">
        <is>
          <t>서창리</t>
        </is>
      </c>
      <c r="H3248" s="3" t="inlineStr">
        <is>
          <t>자연녹지지역</t>
        </is>
      </c>
      <c r="I3248" s="3" t="inlineStr">
        <is>
          <t>답</t>
        </is>
      </c>
      <c r="J3248" s="3" t="inlineStr">
        <is>
          <t>조치원읍</t>
        </is>
      </c>
    </row>
    <row r="3249">
      <c r="A3249" s="3" t="n">
        <v>2023</v>
      </c>
      <c r="B3249" s="4" t="n">
        <v>19350</v>
      </c>
      <c r="C3249" s="4" t="n">
        <v>425</v>
      </c>
      <c r="D3249" s="4" t="n">
        <v>128.5625</v>
      </c>
      <c r="E3249" s="5" t="n">
        <v>150.5</v>
      </c>
      <c r="F3249" s="3" t="inlineStr">
        <is>
          <t>연서면</t>
        </is>
      </c>
      <c r="G3249" s="3" t="inlineStr">
        <is>
          <t>성제리</t>
        </is>
      </c>
      <c r="H3249" s="3" t="inlineStr">
        <is>
          <t>계획관리지역</t>
        </is>
      </c>
      <c r="I3249" s="3" t="inlineStr">
        <is>
          <t>대</t>
        </is>
      </c>
      <c r="J3249" s="3" t="inlineStr">
        <is>
          <t>연서면</t>
        </is>
      </c>
    </row>
    <row r="3250">
      <c r="A3250" s="3" t="n">
        <v>2023</v>
      </c>
      <c r="B3250" s="4" t="n">
        <v>9600</v>
      </c>
      <c r="C3250" s="4" t="n">
        <v>676</v>
      </c>
      <c r="D3250" s="4" t="n">
        <v>204.49</v>
      </c>
      <c r="E3250" s="5" t="n">
        <v>46.9</v>
      </c>
      <c r="F3250" s="3" t="inlineStr">
        <is>
          <t>부강면</t>
        </is>
      </c>
      <c r="G3250" s="3" t="inlineStr">
        <is>
          <t>노호리</t>
        </is>
      </c>
      <c r="H3250" s="3" t="inlineStr">
        <is>
          <t>계획관리지역</t>
        </is>
      </c>
      <c r="I3250" s="3" t="inlineStr">
        <is>
          <t>잡종지</t>
        </is>
      </c>
      <c r="J3250" s="3" t="inlineStr">
        <is>
          <t>부강면</t>
        </is>
      </c>
    </row>
    <row r="3251">
      <c r="A3251" s="3" t="n">
        <v>2023</v>
      </c>
      <c r="B3251" s="4" t="n">
        <v>300</v>
      </c>
      <c r="C3251" s="4" t="n">
        <v>38</v>
      </c>
      <c r="D3251" s="4" t="n">
        <v>11.495</v>
      </c>
      <c r="E3251" s="5" t="n">
        <v>26.1</v>
      </c>
      <c r="F3251" s="3" t="inlineStr">
        <is>
          <t>부강면</t>
        </is>
      </c>
      <c r="G3251" s="3" t="inlineStr">
        <is>
          <t>노호리</t>
        </is>
      </c>
      <c r="H3251" s="3" t="inlineStr">
        <is>
          <t>계획관리지역</t>
        </is>
      </c>
      <c r="I3251" s="3" t="inlineStr">
        <is>
          <t>도로</t>
        </is>
      </c>
      <c r="J3251" s="3" t="inlineStr">
        <is>
          <t>부강면</t>
        </is>
      </c>
    </row>
    <row r="3252">
      <c r="A3252" s="3" t="n">
        <v>2026</v>
      </c>
      <c r="B3252" s="4" t="n">
        <v>1891</v>
      </c>
      <c r="C3252" s="4" t="n">
        <v>992</v>
      </c>
      <c r="D3252" s="4" t="n">
        <v>300.08</v>
      </c>
      <c r="E3252" s="5" t="n">
        <v>6.3</v>
      </c>
      <c r="F3252" s="3" t="inlineStr">
        <is>
          <t>남이면</t>
        </is>
      </c>
      <c r="G3252" s="3" t="inlineStr">
        <is>
          <t>부용외천리</t>
        </is>
      </c>
      <c r="H3252" s="3" t="inlineStr">
        <is>
          <t>보전관리지역</t>
        </is>
      </c>
      <c r="I3252" s="3" t="inlineStr">
        <is>
          <t>임야</t>
        </is>
      </c>
      <c r="J3252" s="3" t="inlineStr">
        <is>
          <t>남이면</t>
        </is>
      </c>
    </row>
    <row r="3253">
      <c r="A3253" s="3" t="n">
        <v>2026</v>
      </c>
      <c r="B3253" s="4" t="n">
        <v>37952</v>
      </c>
      <c r="C3253" s="4" t="n">
        <v>1732</v>
      </c>
      <c r="D3253" s="4" t="n">
        <v>523.9299999999999</v>
      </c>
      <c r="E3253" s="5" t="n">
        <v>72.40000000000001</v>
      </c>
      <c r="F3253" s="3" t="inlineStr">
        <is>
          <t>남이면</t>
        </is>
      </c>
      <c r="G3253" s="3" t="inlineStr">
        <is>
          <t>부용외천리</t>
        </is>
      </c>
      <c r="H3253" s="3" t="inlineStr">
        <is>
          <t>계획관리지역</t>
        </is>
      </c>
      <c r="I3253" s="3" t="inlineStr">
        <is>
          <t>전</t>
        </is>
      </c>
      <c r="J3253" s="3" t="inlineStr">
        <is>
          <t>남이면</t>
        </is>
      </c>
    </row>
    <row r="3254">
      <c r="A3254" s="3" t="n">
        <v>2022</v>
      </c>
      <c r="B3254" s="4" t="n">
        <v>7000</v>
      </c>
      <c r="C3254" s="4" t="n">
        <v>122</v>
      </c>
      <c r="D3254" s="4" t="n">
        <v>36.905</v>
      </c>
      <c r="E3254" s="5" t="n">
        <v>189.7</v>
      </c>
      <c r="F3254" s="3" t="inlineStr">
        <is>
          <t>부강면</t>
        </is>
      </c>
      <c r="G3254" s="3" t="inlineStr">
        <is>
          <t>갈산리</t>
        </is>
      </c>
      <c r="H3254" s="3" t="inlineStr">
        <is>
          <t>계획관리지역</t>
        </is>
      </c>
      <c r="I3254" s="3" t="inlineStr">
        <is>
          <t>답</t>
        </is>
      </c>
      <c r="J3254" s="3" t="inlineStr">
        <is>
          <t>부강면</t>
        </is>
      </c>
    </row>
    <row r="3255">
      <c r="A3255" s="3" t="n">
        <v>2022</v>
      </c>
      <c r="B3255" s="4" t="n">
        <v>4424</v>
      </c>
      <c r="C3255" s="4" t="n">
        <v>140</v>
      </c>
      <c r="D3255" s="4" t="n">
        <v>42.35</v>
      </c>
      <c r="E3255" s="5" t="n">
        <v>104.5</v>
      </c>
      <c r="F3255" s="3" t="inlineStr">
        <is>
          <t>부강면</t>
        </is>
      </c>
      <c r="G3255" s="3" t="inlineStr">
        <is>
          <t>등곡리</t>
        </is>
      </c>
      <c r="H3255" s="3" t="inlineStr">
        <is>
          <t>계획관리지역</t>
        </is>
      </c>
      <c r="I3255" s="3" t="inlineStr">
        <is>
          <t>공장용지</t>
        </is>
      </c>
      <c r="J3255" s="3" t="inlineStr">
        <is>
          <t>부강면</t>
        </is>
      </c>
    </row>
    <row r="3256">
      <c r="A3256" s="3" t="n">
        <v>2022</v>
      </c>
      <c r="B3256" s="4" t="n">
        <v>12000</v>
      </c>
      <c r="C3256" s="4" t="n">
        <v>569</v>
      </c>
      <c r="D3256" s="4" t="n">
        <v>172.1225</v>
      </c>
      <c r="E3256" s="5" t="n">
        <v>69.7</v>
      </c>
      <c r="F3256" s="3" t="inlineStr">
        <is>
          <t>부강면</t>
        </is>
      </c>
      <c r="G3256" s="3" t="inlineStr">
        <is>
          <t>노호리</t>
        </is>
      </c>
      <c r="H3256" s="3" t="inlineStr">
        <is>
          <t>계획관리지역</t>
        </is>
      </c>
      <c r="I3256" s="3" t="inlineStr">
        <is>
          <t>전</t>
        </is>
      </c>
      <c r="J3256" s="3" t="inlineStr">
        <is>
          <t>부강면</t>
        </is>
      </c>
    </row>
    <row r="3257">
      <c r="A3257" s="3" t="n">
        <v>2022</v>
      </c>
      <c r="B3257" s="4" t="n">
        <v>1000</v>
      </c>
      <c r="C3257" s="4" t="n">
        <v>47</v>
      </c>
      <c r="D3257" s="4" t="n">
        <v>14.2175</v>
      </c>
      <c r="E3257" s="5" t="n">
        <v>70.3</v>
      </c>
      <c r="F3257" s="3" t="inlineStr">
        <is>
          <t>부강면</t>
        </is>
      </c>
      <c r="G3257" s="3" t="inlineStr">
        <is>
          <t>노호리</t>
        </is>
      </c>
      <c r="H3257" s="3" t="inlineStr">
        <is>
          <t>계획관리지역</t>
        </is>
      </c>
      <c r="I3257" s="3" t="inlineStr">
        <is>
          <t>전</t>
        </is>
      </c>
      <c r="J3257" s="3" t="inlineStr">
        <is>
          <t>부강면</t>
        </is>
      </c>
    </row>
    <row r="3258">
      <c r="A3258" s="3" t="n">
        <v>2022</v>
      </c>
      <c r="B3258" s="4" t="n">
        <v>31500</v>
      </c>
      <c r="C3258" s="4" t="n">
        <v>166</v>
      </c>
      <c r="D3258" s="4" t="n">
        <v>50.215</v>
      </c>
      <c r="E3258" s="5" t="n">
        <v>627.3</v>
      </c>
      <c r="F3258" s="3" t="inlineStr">
        <is>
          <t>조치원읍</t>
        </is>
      </c>
      <c r="G3258" s="3" t="inlineStr">
        <is>
          <t>죽림리</t>
        </is>
      </c>
      <c r="H3258" s="3" t="inlineStr">
        <is>
          <t>제2종일반주거지역</t>
        </is>
      </c>
      <c r="I3258" s="3" t="inlineStr">
        <is>
          <t>대</t>
        </is>
      </c>
      <c r="J3258" s="3" t="inlineStr">
        <is>
          <t>조치원읍</t>
        </is>
      </c>
    </row>
    <row r="3259">
      <c r="A3259" s="3" t="n">
        <v>2022</v>
      </c>
      <c r="B3259" s="4" t="n">
        <v>20000</v>
      </c>
      <c r="C3259" s="4" t="n">
        <v>140.8</v>
      </c>
      <c r="D3259" s="4" t="n">
        <v>42.592</v>
      </c>
      <c r="E3259" s="5" t="n">
        <v>469.6</v>
      </c>
      <c r="F3259" s="3" t="inlineStr">
        <is>
          <t>조치원읍</t>
        </is>
      </c>
      <c r="G3259" s="3" t="inlineStr">
        <is>
          <t>교리</t>
        </is>
      </c>
      <c r="H3259" s="3" t="inlineStr">
        <is>
          <t>제2종일반주거지역</t>
        </is>
      </c>
      <c r="I3259" s="3" t="inlineStr">
        <is>
          <t>대</t>
        </is>
      </c>
      <c r="J3259" s="3" t="inlineStr">
        <is>
          <t>조치원읍</t>
        </is>
      </c>
    </row>
    <row r="3260">
      <c r="A3260" s="3" t="n">
        <v>2022</v>
      </c>
      <c r="B3260" s="4" t="n">
        <v>160000</v>
      </c>
      <c r="C3260" s="4" t="n">
        <v>9991</v>
      </c>
      <c r="D3260" s="4" t="n">
        <v>3022.2775</v>
      </c>
      <c r="E3260" s="5" t="n">
        <v>52.9</v>
      </c>
      <c r="F3260" s="3" t="inlineStr">
        <is>
          <t>연동면</t>
        </is>
      </c>
      <c r="G3260" s="3" t="inlineStr">
        <is>
          <t>문주리</t>
        </is>
      </c>
      <c r="H3260" s="3" t="inlineStr">
        <is>
          <t>보전관리지역</t>
        </is>
      </c>
      <c r="I3260" s="3" t="inlineStr">
        <is>
          <t>임야</t>
        </is>
      </c>
      <c r="J3260" s="3" t="inlineStr">
        <is>
          <t>연동면</t>
        </is>
      </c>
    </row>
    <row r="3261">
      <c r="A3261" s="3" t="n">
        <v>2022</v>
      </c>
      <c r="B3261" s="4" t="n">
        <v>1000</v>
      </c>
      <c r="C3261" s="4" t="n">
        <v>47</v>
      </c>
      <c r="D3261" s="4" t="n">
        <v>14.2175</v>
      </c>
      <c r="E3261" s="5" t="n">
        <v>70.3</v>
      </c>
      <c r="F3261" s="3" t="inlineStr">
        <is>
          <t>부강면</t>
        </is>
      </c>
      <c r="G3261" s="3" t="inlineStr">
        <is>
          <t>노호리</t>
        </is>
      </c>
      <c r="H3261" s="3" t="inlineStr">
        <is>
          <t>계획관리지역</t>
        </is>
      </c>
      <c r="I3261" s="3" t="inlineStr">
        <is>
          <t>전</t>
        </is>
      </c>
      <c r="J3261" s="3" t="inlineStr">
        <is>
          <t>부강면</t>
        </is>
      </c>
    </row>
    <row r="3262">
      <c r="A3262" s="3" t="n">
        <v>2023</v>
      </c>
      <c r="B3262" s="4" t="n">
        <v>49630</v>
      </c>
      <c r="C3262" s="4" t="n">
        <v>4935</v>
      </c>
      <c r="D3262" s="4" t="n">
        <v>1492.8375</v>
      </c>
      <c r="E3262" s="5" t="n">
        <v>33.2</v>
      </c>
      <c r="F3262" s="3" t="inlineStr">
        <is>
          <t>남이면</t>
        </is>
      </c>
      <c r="G3262" s="3" t="inlineStr">
        <is>
          <t>갈원리</t>
        </is>
      </c>
      <c r="H3262" s="3" t="inlineStr">
        <is>
          <t>보전관리지역</t>
        </is>
      </c>
      <c r="I3262" s="3" t="inlineStr">
        <is>
          <t>임야</t>
        </is>
      </c>
      <c r="J3262" s="3" t="inlineStr">
        <is>
          <t>남이면</t>
        </is>
      </c>
    </row>
    <row r="3263">
      <c r="A3263" s="3" t="n">
        <v>2023</v>
      </c>
      <c r="B3263" s="4" t="n">
        <v>370</v>
      </c>
      <c r="C3263" s="4" t="n">
        <v>94</v>
      </c>
      <c r="D3263" s="4" t="n">
        <v>28.435</v>
      </c>
      <c r="E3263" s="5" t="n">
        <v>13</v>
      </c>
      <c r="F3263" s="3" t="inlineStr">
        <is>
          <t>남이면</t>
        </is>
      </c>
      <c r="G3263" s="3" t="inlineStr">
        <is>
          <t>갈원리</t>
        </is>
      </c>
      <c r="H3263" s="3" t="inlineStr">
        <is>
          <t>보전관리지역</t>
        </is>
      </c>
      <c r="I3263" s="3" t="inlineStr">
        <is>
          <t>임야</t>
        </is>
      </c>
      <c r="J3263" s="3" t="inlineStr">
        <is>
          <t>남이면</t>
        </is>
      </c>
    </row>
    <row r="3264">
      <c r="A3264" s="3" t="n">
        <v>2023</v>
      </c>
      <c r="B3264" s="4" t="n">
        <v>17000</v>
      </c>
      <c r="C3264" s="4" t="n">
        <v>396</v>
      </c>
      <c r="D3264" s="4" t="n">
        <v>119.79</v>
      </c>
      <c r="E3264" s="5" t="n">
        <v>141.9</v>
      </c>
      <c r="F3264" s="3" t="inlineStr">
        <is>
          <t>남이면</t>
        </is>
      </c>
      <c r="G3264" s="3" t="inlineStr">
        <is>
          <t>석판리</t>
        </is>
      </c>
      <c r="H3264" s="3" t="inlineStr">
        <is>
          <t>자연녹지지역</t>
        </is>
      </c>
      <c r="I3264" s="3" t="inlineStr">
        <is>
          <t>전</t>
        </is>
      </c>
      <c r="J3264" s="3" t="inlineStr">
        <is>
          <t>남이면</t>
        </is>
      </c>
    </row>
    <row r="3265">
      <c r="A3265" s="3" t="n">
        <v>2023</v>
      </c>
      <c r="B3265" s="4" t="n">
        <v>74160</v>
      </c>
      <c r="C3265" s="4" t="n">
        <v>4638</v>
      </c>
      <c r="D3265" s="4" t="n">
        <v>1402.995</v>
      </c>
      <c r="E3265" s="5" t="n">
        <v>52.9</v>
      </c>
      <c r="F3265" s="3" t="inlineStr">
        <is>
          <t>남이면</t>
        </is>
      </c>
      <c r="G3265" s="3" t="inlineStr">
        <is>
          <t>가좌리</t>
        </is>
      </c>
      <c r="H3265" s="3" t="inlineStr">
        <is>
          <t>보전녹지지역</t>
        </is>
      </c>
      <c r="I3265" s="3" t="inlineStr">
        <is>
          <t>임야</t>
        </is>
      </c>
      <c r="J3265" s="3" t="inlineStr">
        <is>
          <t>남이면</t>
        </is>
      </c>
    </row>
    <row r="3266">
      <c r="A3266" s="3" t="n">
        <v>2023</v>
      </c>
      <c r="B3266" s="4" t="n">
        <v>840</v>
      </c>
      <c r="C3266" s="4" t="n">
        <v>55</v>
      </c>
      <c r="D3266" s="4" t="n">
        <v>16.6375</v>
      </c>
      <c r="E3266" s="5" t="n">
        <v>50.5</v>
      </c>
      <c r="F3266" s="3" t="inlineStr">
        <is>
          <t>남이면</t>
        </is>
      </c>
      <c r="G3266" s="3" t="inlineStr">
        <is>
          <t>가좌리</t>
        </is>
      </c>
      <c r="H3266" s="3" t="inlineStr">
        <is>
          <t>보전녹지지역</t>
        </is>
      </c>
      <c r="I3266" s="3" t="inlineStr">
        <is>
          <t>임야</t>
        </is>
      </c>
      <c r="J3266" s="3" t="inlineStr">
        <is>
          <t>남이면</t>
        </is>
      </c>
    </row>
    <row r="3267">
      <c r="A3267" s="3" t="n">
        <v>2023</v>
      </c>
      <c r="B3267" s="4" t="n">
        <v>86000</v>
      </c>
      <c r="C3267" s="4" t="n">
        <v>1170.6</v>
      </c>
      <c r="D3267" s="4" t="n">
        <v>354.1065</v>
      </c>
      <c r="E3267" s="5" t="n">
        <v>242.9</v>
      </c>
      <c r="F3267" s="3" t="inlineStr">
        <is>
          <t>남이면</t>
        </is>
      </c>
      <c r="G3267" s="3" t="inlineStr">
        <is>
          <t>가마리</t>
        </is>
      </c>
      <c r="H3267" s="3" t="inlineStr">
        <is>
          <t>자연녹지지역</t>
        </is>
      </c>
      <c r="I3267" s="3" t="inlineStr">
        <is>
          <t>답</t>
        </is>
      </c>
      <c r="J3267" s="3" t="inlineStr">
        <is>
          <t>남이면</t>
        </is>
      </c>
    </row>
    <row r="3268">
      <c r="A3268" s="3" t="n">
        <v>2023</v>
      </c>
      <c r="B3268" s="4" t="n">
        <v>57465</v>
      </c>
      <c r="C3268" s="4" t="n">
        <v>3592</v>
      </c>
      <c r="D3268" s="4" t="n">
        <v>1086.58</v>
      </c>
      <c r="E3268" s="5" t="n">
        <v>52.9</v>
      </c>
      <c r="F3268" s="3" t="inlineStr">
        <is>
          <t>남이면</t>
        </is>
      </c>
      <c r="G3268" s="3" t="inlineStr">
        <is>
          <t>가좌리</t>
        </is>
      </c>
      <c r="H3268" s="3" t="inlineStr">
        <is>
          <t>보전녹지지역</t>
        </is>
      </c>
      <c r="I3268" s="3" t="inlineStr">
        <is>
          <t>임야</t>
        </is>
      </c>
      <c r="J3268" s="3" t="inlineStr">
        <is>
          <t>남이면</t>
        </is>
      </c>
    </row>
    <row r="3269">
      <c r="A3269" s="3" t="n">
        <v>2023</v>
      </c>
      <c r="B3269" s="4" t="n">
        <v>2035</v>
      </c>
      <c r="C3269" s="4" t="n">
        <v>124</v>
      </c>
      <c r="D3269" s="4" t="n">
        <v>37.51</v>
      </c>
      <c r="E3269" s="5" t="n">
        <v>54.3</v>
      </c>
      <c r="F3269" s="3" t="inlineStr">
        <is>
          <t>남이면</t>
        </is>
      </c>
      <c r="G3269" s="3" t="inlineStr">
        <is>
          <t>가좌리</t>
        </is>
      </c>
      <c r="H3269" s="3" t="inlineStr">
        <is>
          <t>보전녹지지역</t>
        </is>
      </c>
      <c r="I3269" s="3" t="inlineStr">
        <is>
          <t>임야</t>
        </is>
      </c>
      <c r="J3269" s="3" t="inlineStr">
        <is>
          <t>남이면</t>
        </is>
      </c>
    </row>
    <row r="3270">
      <c r="A3270" s="3" t="n">
        <v>2023</v>
      </c>
      <c r="B3270" s="4" t="n">
        <v>29000</v>
      </c>
      <c r="C3270" s="4" t="n">
        <v>15980</v>
      </c>
      <c r="D3270" s="4" t="n">
        <v>4833.95</v>
      </c>
      <c r="E3270" s="5" t="n">
        <v>6</v>
      </c>
      <c r="F3270" s="3" t="inlineStr">
        <is>
          <t>남이면</t>
        </is>
      </c>
      <c r="G3270" s="3" t="inlineStr">
        <is>
          <t>팔봉리</t>
        </is>
      </c>
      <c r="H3270" s="3" t="inlineStr">
        <is>
          <t>보전녹지지역</t>
        </is>
      </c>
      <c r="I3270" s="3" t="inlineStr">
        <is>
          <t>임야</t>
        </is>
      </c>
      <c r="J3270" s="3" t="inlineStr">
        <is>
          <t>남이면</t>
        </is>
      </c>
    </row>
    <row r="3271">
      <c r="A3271" s="3" t="n">
        <v>2023</v>
      </c>
      <c r="B3271" s="4" t="n">
        <v>15426</v>
      </c>
      <c r="C3271" s="4" t="n">
        <v>405</v>
      </c>
      <c r="D3271" s="4" t="n">
        <v>122.5125</v>
      </c>
      <c r="E3271" s="5" t="n">
        <v>125.9</v>
      </c>
      <c r="F3271" s="3" t="inlineStr">
        <is>
          <t>남이면</t>
        </is>
      </c>
      <c r="G3271" s="3" t="inlineStr">
        <is>
          <t>구암리</t>
        </is>
      </c>
      <c r="H3271" s="3" t="inlineStr">
        <is>
          <t>보전녹지지역</t>
        </is>
      </c>
      <c r="I3271" s="3" t="inlineStr">
        <is>
          <t>임야</t>
        </is>
      </c>
      <c r="J3271" s="3" t="inlineStr">
        <is>
          <t>남이면</t>
        </is>
      </c>
    </row>
    <row r="3272">
      <c r="A3272" s="3" t="n">
        <v>2023</v>
      </c>
      <c r="B3272" s="4" t="n">
        <v>11880</v>
      </c>
      <c r="C3272" s="4" t="n">
        <v>560</v>
      </c>
      <c r="D3272" s="4" t="n">
        <v>169.4</v>
      </c>
      <c r="E3272" s="5" t="n">
        <v>70.09999999999999</v>
      </c>
      <c r="F3272" s="3" t="inlineStr">
        <is>
          <t>남이면</t>
        </is>
      </c>
      <c r="G3272" s="3" t="inlineStr">
        <is>
          <t>팔봉리</t>
        </is>
      </c>
      <c r="H3272" s="3" t="inlineStr">
        <is>
          <t>자연녹지지역</t>
        </is>
      </c>
      <c r="I3272" s="3" t="inlineStr">
        <is>
          <t>전</t>
        </is>
      </c>
      <c r="J3272" s="3" t="inlineStr">
        <is>
          <t>남이면</t>
        </is>
      </c>
    </row>
    <row r="3273">
      <c r="A3273" s="3" t="n">
        <v>2023</v>
      </c>
      <c r="B3273" s="4" t="n">
        <v>26549</v>
      </c>
      <c r="C3273" s="4" t="n">
        <v>834</v>
      </c>
      <c r="D3273" s="4" t="n">
        <v>252.285</v>
      </c>
      <c r="E3273" s="5" t="n">
        <v>105.2</v>
      </c>
      <c r="F3273" s="3" t="inlineStr">
        <is>
          <t>남이면</t>
        </is>
      </c>
      <c r="G3273" s="3" t="inlineStr">
        <is>
          <t>구암리</t>
        </is>
      </c>
      <c r="H3273" s="3" t="inlineStr">
        <is>
          <t>보전녹지지역</t>
        </is>
      </c>
      <c r="I3273" s="3" t="inlineStr">
        <is>
          <t>임야</t>
        </is>
      </c>
      <c r="J3273" s="3" t="inlineStr">
        <is>
          <t>남이면</t>
        </is>
      </c>
    </row>
    <row r="3274">
      <c r="A3274" s="3" t="n">
        <v>2023</v>
      </c>
      <c r="B3274" s="4" t="n">
        <v>13159</v>
      </c>
      <c r="C3274" s="4" t="n">
        <v>404</v>
      </c>
      <c r="D3274" s="4" t="n">
        <v>122.21</v>
      </c>
      <c r="E3274" s="5" t="n">
        <v>107.7</v>
      </c>
      <c r="F3274" s="3" t="inlineStr">
        <is>
          <t>남이면</t>
        </is>
      </c>
      <c r="G3274" s="3" t="inlineStr">
        <is>
          <t>구암리</t>
        </is>
      </c>
      <c r="H3274" s="3" t="inlineStr">
        <is>
          <t>보전녹지지역</t>
        </is>
      </c>
      <c r="I3274" s="3" t="inlineStr">
        <is>
          <t>임야</t>
        </is>
      </c>
      <c r="J3274" s="3" t="inlineStr">
        <is>
          <t>남이면</t>
        </is>
      </c>
    </row>
    <row r="3275">
      <c r="A3275" s="3" t="n">
        <v>2023</v>
      </c>
      <c r="B3275" s="4" t="n">
        <v>18928</v>
      </c>
      <c r="C3275" s="4" t="n">
        <v>576</v>
      </c>
      <c r="D3275" s="4" t="n">
        <v>174.24</v>
      </c>
      <c r="E3275" s="5" t="n">
        <v>108.6</v>
      </c>
      <c r="F3275" s="3" t="inlineStr">
        <is>
          <t>남이면</t>
        </is>
      </c>
      <c r="G3275" s="3" t="inlineStr">
        <is>
          <t>구암리</t>
        </is>
      </c>
      <c r="H3275" s="3" t="inlineStr">
        <is>
          <t>보전녹지지역</t>
        </is>
      </c>
      <c r="I3275" s="3" t="inlineStr">
        <is>
          <t>임야</t>
        </is>
      </c>
      <c r="J3275" s="3" t="inlineStr">
        <is>
          <t>남이면</t>
        </is>
      </c>
    </row>
    <row r="3276">
      <c r="A3276" s="3" t="n">
        <v>2023</v>
      </c>
      <c r="B3276" s="4" t="n">
        <v>20012</v>
      </c>
      <c r="C3276" s="4" t="n">
        <v>627</v>
      </c>
      <c r="D3276" s="4" t="n">
        <v>189.6675</v>
      </c>
      <c r="E3276" s="5" t="n">
        <v>105.5</v>
      </c>
      <c r="F3276" s="3" t="inlineStr">
        <is>
          <t>남이면</t>
        </is>
      </c>
      <c r="G3276" s="3" t="inlineStr">
        <is>
          <t>구암리</t>
        </is>
      </c>
      <c r="H3276" s="3" t="inlineStr">
        <is>
          <t>보전녹지지역</t>
        </is>
      </c>
      <c r="I3276" s="3" t="inlineStr">
        <is>
          <t>임야</t>
        </is>
      </c>
      <c r="J3276" s="3" t="inlineStr">
        <is>
          <t>남이면</t>
        </is>
      </c>
    </row>
    <row r="3277">
      <c r="A3277" s="3" t="n">
        <v>2023</v>
      </c>
      <c r="B3277" s="4" t="n">
        <v>15008</v>
      </c>
      <c r="C3277" s="4" t="n">
        <v>396</v>
      </c>
      <c r="D3277" s="4" t="n">
        <v>119.79</v>
      </c>
      <c r="E3277" s="5" t="n">
        <v>125.3</v>
      </c>
      <c r="F3277" s="3" t="inlineStr">
        <is>
          <t>남이면</t>
        </is>
      </c>
      <c r="G3277" s="3" t="inlineStr">
        <is>
          <t>구암리</t>
        </is>
      </c>
      <c r="H3277" s="3" t="inlineStr">
        <is>
          <t>보전녹지지역</t>
        </is>
      </c>
      <c r="I3277" s="3" t="inlineStr">
        <is>
          <t>임야</t>
        </is>
      </c>
      <c r="J3277" s="3" t="inlineStr">
        <is>
          <t>남이면</t>
        </is>
      </c>
    </row>
    <row r="3278">
      <c r="A3278" s="3" t="n">
        <v>2023</v>
      </c>
      <c r="B3278" s="4" t="n">
        <v>16926</v>
      </c>
      <c r="C3278" s="4" t="n">
        <v>516</v>
      </c>
      <c r="D3278" s="4" t="n">
        <v>156.09</v>
      </c>
      <c r="E3278" s="5" t="n">
        <v>108.4</v>
      </c>
      <c r="F3278" s="3" t="inlineStr">
        <is>
          <t>남이면</t>
        </is>
      </c>
      <c r="G3278" s="3" t="inlineStr">
        <is>
          <t>구암리</t>
        </is>
      </c>
      <c r="H3278" s="3" t="inlineStr">
        <is>
          <t>보전녹지지역</t>
        </is>
      </c>
      <c r="I3278" s="3" t="inlineStr">
        <is>
          <t>임야</t>
        </is>
      </c>
      <c r="J3278" s="3" t="inlineStr">
        <is>
          <t>남이면</t>
        </is>
      </c>
    </row>
    <row r="3279">
      <c r="A3279" s="3" t="n">
        <v>2023</v>
      </c>
      <c r="B3279" s="4" t="n">
        <v>16676</v>
      </c>
      <c r="C3279" s="4" t="n">
        <v>506</v>
      </c>
      <c r="D3279" s="4" t="n">
        <v>153.065</v>
      </c>
      <c r="E3279" s="5" t="n">
        <v>108.9</v>
      </c>
      <c r="F3279" s="3" t="inlineStr">
        <is>
          <t>남이면</t>
        </is>
      </c>
      <c r="G3279" s="3" t="inlineStr">
        <is>
          <t>구암리</t>
        </is>
      </c>
      <c r="H3279" s="3" t="inlineStr">
        <is>
          <t>보전녹지지역</t>
        </is>
      </c>
      <c r="I3279" s="3" t="inlineStr">
        <is>
          <t>임야</t>
        </is>
      </c>
      <c r="J3279" s="3" t="inlineStr">
        <is>
          <t>남이면</t>
        </is>
      </c>
    </row>
    <row r="3280">
      <c r="A3280" s="3" t="n">
        <v>2023</v>
      </c>
      <c r="B3280" s="4" t="n">
        <v>13591</v>
      </c>
      <c r="C3280" s="4" t="n">
        <v>413</v>
      </c>
      <c r="D3280" s="4" t="n">
        <v>124.9325</v>
      </c>
      <c r="E3280" s="5" t="n">
        <v>108.8</v>
      </c>
      <c r="F3280" s="3" t="inlineStr">
        <is>
          <t>남이면</t>
        </is>
      </c>
      <c r="G3280" s="3" t="inlineStr">
        <is>
          <t>구암리</t>
        </is>
      </c>
      <c r="H3280" s="3" t="inlineStr">
        <is>
          <t>보전녹지지역</t>
        </is>
      </c>
      <c r="I3280" s="3" t="inlineStr">
        <is>
          <t>임야</t>
        </is>
      </c>
      <c r="J3280" s="3" t="inlineStr">
        <is>
          <t>남이면</t>
        </is>
      </c>
    </row>
    <row r="3281">
      <c r="A3281" s="3" t="n">
        <v>2023</v>
      </c>
      <c r="B3281" s="4" t="n">
        <v>13174</v>
      </c>
      <c r="C3281" s="4" t="n">
        <v>396</v>
      </c>
      <c r="D3281" s="4" t="n">
        <v>119.79</v>
      </c>
      <c r="E3281" s="5" t="n">
        <v>110</v>
      </c>
      <c r="F3281" s="3" t="inlineStr">
        <is>
          <t>남이면</t>
        </is>
      </c>
      <c r="G3281" s="3" t="inlineStr">
        <is>
          <t>구암리</t>
        </is>
      </c>
      <c r="H3281" s="3" t="inlineStr">
        <is>
          <t>보전녹지지역</t>
        </is>
      </c>
      <c r="I3281" s="3" t="inlineStr">
        <is>
          <t>임야</t>
        </is>
      </c>
      <c r="J3281" s="3" t="inlineStr">
        <is>
          <t>남이면</t>
        </is>
      </c>
    </row>
    <row r="3282">
      <c r="A3282" s="3" t="n">
        <v>2023</v>
      </c>
      <c r="B3282" s="4" t="n">
        <v>15008</v>
      </c>
      <c r="C3282" s="4" t="n">
        <v>396</v>
      </c>
      <c r="D3282" s="4" t="n">
        <v>119.79</v>
      </c>
      <c r="E3282" s="5" t="n">
        <v>125.3</v>
      </c>
      <c r="F3282" s="3" t="inlineStr">
        <is>
          <t>남이면</t>
        </is>
      </c>
      <c r="G3282" s="3" t="inlineStr">
        <is>
          <t>구암리</t>
        </is>
      </c>
      <c r="H3282" s="3" t="inlineStr">
        <is>
          <t>보전녹지지역</t>
        </is>
      </c>
      <c r="I3282" s="3" t="inlineStr">
        <is>
          <t>임야</t>
        </is>
      </c>
      <c r="J3282" s="3" t="inlineStr">
        <is>
          <t>남이면</t>
        </is>
      </c>
    </row>
    <row r="3283">
      <c r="A3283" s="3" t="n">
        <v>2023</v>
      </c>
      <c r="B3283" s="4" t="n">
        <v>13200</v>
      </c>
      <c r="C3283" s="4" t="n">
        <v>1484</v>
      </c>
      <c r="D3283" s="4" t="n">
        <v>448.91</v>
      </c>
      <c r="E3283" s="5" t="n">
        <v>29.4</v>
      </c>
      <c r="F3283" s="3" t="inlineStr">
        <is>
          <t>남이면</t>
        </is>
      </c>
      <c r="G3283" s="3" t="inlineStr">
        <is>
          <t>문동리</t>
        </is>
      </c>
      <c r="H3283" s="3" t="inlineStr">
        <is>
          <t>자연환경보전</t>
        </is>
      </c>
      <c r="I3283" s="3" t="inlineStr">
        <is>
          <t>전</t>
        </is>
      </c>
      <c r="J3283" s="3" t="inlineStr">
        <is>
          <t>남이면</t>
        </is>
      </c>
    </row>
    <row r="3284">
      <c r="A3284" s="3" t="n">
        <v>2023</v>
      </c>
      <c r="B3284" s="4" t="n">
        <v>800</v>
      </c>
      <c r="C3284" s="4" t="n">
        <v>99</v>
      </c>
      <c r="D3284" s="4" t="n">
        <v>29.9475</v>
      </c>
      <c r="E3284" s="5" t="n">
        <v>26.7</v>
      </c>
      <c r="F3284" s="3" t="inlineStr">
        <is>
          <t>남이면</t>
        </is>
      </c>
      <c r="G3284" s="3" t="inlineStr">
        <is>
          <t>문동리</t>
        </is>
      </c>
      <c r="H3284" s="3" t="inlineStr">
        <is>
          <t>자연환경보전</t>
        </is>
      </c>
      <c r="I3284" s="3" t="inlineStr">
        <is>
          <t>답</t>
        </is>
      </c>
      <c r="J3284" s="3" t="inlineStr">
        <is>
          <t>남이면</t>
        </is>
      </c>
    </row>
    <row r="3285">
      <c r="A3285" s="3" t="n">
        <v>2023</v>
      </c>
      <c r="B3285" s="4" t="n">
        <v>26718</v>
      </c>
      <c r="C3285" s="4" t="n">
        <v>1722</v>
      </c>
      <c r="D3285" s="4" t="n">
        <v>520.905</v>
      </c>
      <c r="E3285" s="5" t="n">
        <v>51.3</v>
      </c>
      <c r="F3285" s="3" t="inlineStr">
        <is>
          <t>남이면</t>
        </is>
      </c>
      <c r="G3285" s="3" t="inlineStr">
        <is>
          <t>척산리</t>
        </is>
      </c>
      <c r="H3285" s="3" t="inlineStr">
        <is>
          <t>계획관리지역</t>
        </is>
      </c>
      <c r="I3285" s="3" t="inlineStr">
        <is>
          <t>전</t>
        </is>
      </c>
      <c r="J3285" s="3" t="inlineStr">
        <is>
          <t>남이면</t>
        </is>
      </c>
    </row>
    <row r="3286">
      <c r="A3286" s="3" t="n">
        <v>2023</v>
      </c>
      <c r="B3286" s="4" t="n">
        <v>5980</v>
      </c>
      <c r="C3286" s="4" t="n">
        <v>666</v>
      </c>
      <c r="D3286" s="4" t="n">
        <v>201.465</v>
      </c>
      <c r="E3286" s="5" t="n">
        <v>29.7</v>
      </c>
      <c r="F3286" s="3" t="inlineStr">
        <is>
          <t>남이면</t>
        </is>
      </c>
      <c r="G3286" s="3" t="inlineStr">
        <is>
          <t>문동리</t>
        </is>
      </c>
      <c r="H3286" s="3" t="inlineStr">
        <is>
          <t>보전녹지지역</t>
        </is>
      </c>
      <c r="I3286" s="3" t="inlineStr">
        <is>
          <t>임야</t>
        </is>
      </c>
      <c r="J3286" s="3" t="inlineStr">
        <is>
          <t>남이면</t>
        </is>
      </c>
    </row>
    <row r="3287">
      <c r="A3287" s="3" t="n">
        <v>2022</v>
      </c>
      <c r="B3287" s="4" t="n">
        <v>23660</v>
      </c>
      <c r="C3287" s="4" t="n">
        <v>554</v>
      </c>
      <c r="D3287" s="4" t="n">
        <v>167.585</v>
      </c>
      <c r="E3287" s="5" t="n">
        <v>141.2</v>
      </c>
      <c r="F3287" s="3" t="inlineStr">
        <is>
          <t>강내면</t>
        </is>
      </c>
      <c r="G3287" s="3" t="inlineStr">
        <is>
          <t>저산리</t>
        </is>
      </c>
      <c r="H3287" s="3" t="inlineStr">
        <is>
          <t>보전관리지역</t>
        </is>
      </c>
      <c r="I3287" s="3" t="inlineStr">
        <is>
          <t>임야</t>
        </is>
      </c>
      <c r="J3287" s="3" t="inlineStr">
        <is>
          <t>강내면</t>
        </is>
      </c>
    </row>
    <row r="3288">
      <c r="A3288" s="3" t="n">
        <v>2022</v>
      </c>
      <c r="B3288" s="4" t="n">
        <v>17800</v>
      </c>
      <c r="C3288" s="4" t="n">
        <v>492</v>
      </c>
      <c r="D3288" s="4" t="n">
        <v>148.83</v>
      </c>
      <c r="E3288" s="5" t="n">
        <v>119.6</v>
      </c>
      <c r="F3288" s="3" t="inlineStr">
        <is>
          <t>강내면</t>
        </is>
      </c>
      <c r="G3288" s="3" t="inlineStr">
        <is>
          <t>사곡리</t>
        </is>
      </c>
      <c r="H3288" s="3" t="inlineStr">
        <is>
          <t>보전관리지역</t>
        </is>
      </c>
      <c r="I3288" s="3" t="inlineStr">
        <is>
          <t>임야</t>
        </is>
      </c>
      <c r="J3288" s="3" t="inlineStr">
        <is>
          <t>강내면</t>
        </is>
      </c>
    </row>
    <row r="3289">
      <c r="A3289" s="3" t="n">
        <v>2022</v>
      </c>
      <c r="B3289" s="4" t="n">
        <v>115000</v>
      </c>
      <c r="C3289" s="4" t="n">
        <v>2757</v>
      </c>
      <c r="D3289" s="4" t="n">
        <v>833.9924999999999</v>
      </c>
      <c r="E3289" s="5" t="n">
        <v>137.9</v>
      </c>
      <c r="F3289" s="3" t="inlineStr">
        <is>
          <t>강내면</t>
        </is>
      </c>
      <c r="G3289" s="3" t="inlineStr">
        <is>
          <t>탑연리</t>
        </is>
      </c>
      <c r="H3289" s="3" t="inlineStr">
        <is>
          <t>자연녹지지역</t>
        </is>
      </c>
      <c r="I3289" s="3" t="inlineStr">
        <is>
          <t>전</t>
        </is>
      </c>
      <c r="J3289" s="3" t="inlineStr">
        <is>
          <t>강내면</t>
        </is>
      </c>
    </row>
    <row r="3290">
      <c r="A3290" s="3" t="n">
        <v>2022</v>
      </c>
      <c r="B3290" s="4" t="n">
        <v>33500</v>
      </c>
      <c r="C3290" s="4" t="n">
        <v>267.7</v>
      </c>
      <c r="D3290" s="4" t="n">
        <v>80.97924999999999</v>
      </c>
      <c r="E3290" s="5" t="n">
        <v>413.7</v>
      </c>
      <c r="F3290" s="3" t="inlineStr">
        <is>
          <t>오송읍</t>
        </is>
      </c>
      <c r="G3290" s="3" t="inlineStr">
        <is>
          <t>봉산리</t>
        </is>
      </c>
      <c r="H3290" s="3" t="inlineStr">
        <is>
          <t>제1종일반주거지역</t>
        </is>
      </c>
      <c r="I3290" s="3" t="inlineStr">
        <is>
          <t>대</t>
        </is>
      </c>
      <c r="J3290" s="3" t="inlineStr">
        <is>
          <t>오송읍</t>
        </is>
      </c>
    </row>
    <row r="3291">
      <c r="A3291" s="3" t="n">
        <v>2022</v>
      </c>
      <c r="B3291" s="4" t="n">
        <v>100000</v>
      </c>
      <c r="C3291" s="4" t="n">
        <v>6427</v>
      </c>
      <c r="D3291" s="4" t="n">
        <v>1944.1675</v>
      </c>
      <c r="E3291" s="5" t="n">
        <v>51.4</v>
      </c>
      <c r="F3291" s="3" t="inlineStr">
        <is>
          <t>강내면</t>
        </is>
      </c>
      <c r="G3291" s="3" t="inlineStr">
        <is>
          <t>저산리</t>
        </is>
      </c>
      <c r="H3291" s="3" t="inlineStr">
        <is>
          <t>보전관리지역</t>
        </is>
      </c>
      <c r="I3291" s="3" t="inlineStr">
        <is>
          <t>임야</t>
        </is>
      </c>
      <c r="J3291" s="3" t="inlineStr">
        <is>
          <t>강내면</t>
        </is>
      </c>
    </row>
    <row r="3292">
      <c r="A3292" s="3" t="n">
        <v>2022</v>
      </c>
      <c r="B3292" s="4" t="n">
        <v>37000</v>
      </c>
      <c r="C3292" s="4" t="n">
        <v>1230</v>
      </c>
      <c r="D3292" s="4" t="n">
        <v>372.075</v>
      </c>
      <c r="E3292" s="5" t="n">
        <v>99.40000000000001</v>
      </c>
      <c r="F3292" s="3" t="inlineStr">
        <is>
          <t>오송읍</t>
        </is>
      </c>
      <c r="G3292" s="3" t="inlineStr">
        <is>
          <t>공북리</t>
        </is>
      </c>
      <c r="H3292" s="3" t="inlineStr">
        <is>
          <t>농림지역</t>
        </is>
      </c>
      <c r="I3292" s="3" t="inlineStr">
        <is>
          <t>전</t>
        </is>
      </c>
      <c r="J3292" s="3" t="inlineStr">
        <is>
          <t>오송읍</t>
        </is>
      </c>
    </row>
    <row r="3293">
      <c r="A3293" s="3" t="n">
        <v>2022</v>
      </c>
      <c r="B3293" s="4" t="n">
        <v>37000</v>
      </c>
      <c r="C3293" s="4" t="n">
        <v>1121</v>
      </c>
      <c r="D3293" s="4" t="n">
        <v>339.1025</v>
      </c>
      <c r="E3293" s="5" t="n">
        <v>109.1</v>
      </c>
      <c r="F3293" s="3" t="inlineStr">
        <is>
          <t>강내면</t>
        </is>
      </c>
      <c r="G3293" s="3" t="inlineStr">
        <is>
          <t>월곡리</t>
        </is>
      </c>
      <c r="H3293" s="3" t="inlineStr">
        <is>
          <t>제2종일반주거지역</t>
        </is>
      </c>
      <c r="I3293" s="3" t="inlineStr">
        <is>
          <t>전</t>
        </is>
      </c>
      <c r="J3293" s="3" t="inlineStr">
        <is>
          <t>강내면</t>
        </is>
      </c>
    </row>
    <row r="3294">
      <c r="A3294" s="3" t="n">
        <v>2022</v>
      </c>
      <c r="B3294" s="4" t="n">
        <v>35000</v>
      </c>
      <c r="C3294" s="4" t="n">
        <v>260</v>
      </c>
      <c r="D3294" s="4" t="n">
        <v>78.64999999999999</v>
      </c>
      <c r="E3294" s="5" t="n">
        <v>445</v>
      </c>
      <c r="F3294" s="3" t="inlineStr">
        <is>
          <t>오송읍</t>
        </is>
      </c>
      <c r="G3294" s="3" t="inlineStr">
        <is>
          <t>봉산리</t>
        </is>
      </c>
      <c r="H3294" s="3" t="inlineStr">
        <is>
          <t>제1종일반주거지역</t>
        </is>
      </c>
      <c r="I3294" s="3" t="inlineStr">
        <is>
          <t>대</t>
        </is>
      </c>
      <c r="J3294" s="3" t="inlineStr">
        <is>
          <t>오송읍</t>
        </is>
      </c>
    </row>
    <row r="3295">
      <c r="A3295" s="3" t="n">
        <v>2022</v>
      </c>
      <c r="B3295" s="4" t="n">
        <v>4800</v>
      </c>
      <c r="C3295" s="4" t="n">
        <v>932</v>
      </c>
      <c r="D3295" s="4" t="n">
        <v>281.93</v>
      </c>
      <c r="E3295" s="5" t="n">
        <v>17</v>
      </c>
      <c r="F3295" s="3" t="inlineStr">
        <is>
          <t>강내면</t>
        </is>
      </c>
      <c r="G3295" s="3" t="inlineStr">
        <is>
          <t>당곡리</t>
        </is>
      </c>
      <c r="H3295" s="3" t="inlineStr">
        <is>
          <t>생산관리지역</t>
        </is>
      </c>
      <c r="I3295" s="3" t="inlineStr">
        <is>
          <t>전</t>
        </is>
      </c>
      <c r="J3295" s="3" t="inlineStr">
        <is>
          <t>강내면</t>
        </is>
      </c>
    </row>
    <row r="3296">
      <c r="A3296" s="3" t="n">
        <v>2025</v>
      </c>
      <c r="B3296" s="4" t="n">
        <v>6400</v>
      </c>
      <c r="C3296" s="4" t="n">
        <v>333</v>
      </c>
      <c r="D3296" s="4" t="n">
        <v>100.7325</v>
      </c>
      <c r="E3296" s="5" t="n">
        <v>63.5</v>
      </c>
      <c r="F3296" s="3" t="inlineStr">
        <is>
          <t>연서면</t>
        </is>
      </c>
      <c r="G3296" s="3" t="inlineStr">
        <is>
          <t>와촌리</t>
        </is>
      </c>
      <c r="H3296" s="3" t="inlineStr">
        <is>
          <t>계획관리지역</t>
        </is>
      </c>
      <c r="I3296" s="3" t="inlineStr">
        <is>
          <t>과수원</t>
        </is>
      </c>
      <c r="J3296" s="3" t="inlineStr">
        <is>
          <t>연서면</t>
        </is>
      </c>
    </row>
    <row r="3297">
      <c r="A3297" s="3" t="n">
        <v>2025</v>
      </c>
      <c r="B3297" s="4" t="n">
        <v>23161</v>
      </c>
      <c r="C3297" s="4" t="n">
        <v>883</v>
      </c>
      <c r="D3297" s="4" t="n">
        <v>267.1075</v>
      </c>
      <c r="E3297" s="5" t="n">
        <v>86.7</v>
      </c>
      <c r="F3297" s="3" t="inlineStr">
        <is>
          <t>조치원읍</t>
        </is>
      </c>
      <c r="G3297" s="3" t="inlineStr">
        <is>
          <t>신안리</t>
        </is>
      </c>
      <c r="H3297" s="3" t="inlineStr">
        <is>
          <t>제2종일반주거지역</t>
        </is>
      </c>
      <c r="I3297" s="3" t="inlineStr">
        <is>
          <t>대</t>
        </is>
      </c>
      <c r="J3297" s="3" t="inlineStr">
        <is>
          <t>조치원읍</t>
        </is>
      </c>
    </row>
    <row r="3298">
      <c r="A3298" s="3" t="n">
        <v>2025</v>
      </c>
      <c r="B3298" s="4" t="n">
        <v>3751</v>
      </c>
      <c r="C3298" s="4" t="n">
        <v>143</v>
      </c>
      <c r="D3298" s="4" t="n">
        <v>43.2575</v>
      </c>
      <c r="E3298" s="5" t="n">
        <v>86.7</v>
      </c>
      <c r="F3298" s="3" t="inlineStr">
        <is>
          <t>조치원읍</t>
        </is>
      </c>
      <c r="G3298" s="3" t="inlineStr">
        <is>
          <t>신안리</t>
        </is>
      </c>
      <c r="H3298" s="3" t="inlineStr">
        <is>
          <t>자연녹지지역</t>
        </is>
      </c>
      <c r="I3298" s="3" t="inlineStr">
        <is>
          <t>대</t>
        </is>
      </c>
      <c r="J3298" s="3" t="inlineStr">
        <is>
          <t>조치원읍</t>
        </is>
      </c>
    </row>
    <row r="3299">
      <c r="A3299" s="3" t="n">
        <v>2025</v>
      </c>
      <c r="B3299" s="4" t="n">
        <v>136472</v>
      </c>
      <c r="C3299" s="4" t="n">
        <v>5203</v>
      </c>
      <c r="D3299" s="4" t="n">
        <v>1573.9075</v>
      </c>
      <c r="E3299" s="5" t="n">
        <v>86.7</v>
      </c>
      <c r="F3299" s="3" t="inlineStr">
        <is>
          <t>조치원읍</t>
        </is>
      </c>
      <c r="G3299" s="3" t="inlineStr">
        <is>
          <t>신안리</t>
        </is>
      </c>
      <c r="H3299" s="3" t="inlineStr">
        <is>
          <t>자연녹지지역</t>
        </is>
      </c>
      <c r="I3299" s="3" t="inlineStr">
        <is>
          <t>대</t>
        </is>
      </c>
      <c r="J3299" s="3" t="inlineStr">
        <is>
          <t>조치원읍</t>
        </is>
      </c>
    </row>
    <row r="3300">
      <c r="A3300" s="3" t="n">
        <v>2025</v>
      </c>
      <c r="B3300" s="4" t="n">
        <v>40393</v>
      </c>
      <c r="C3300" s="4" t="n">
        <v>1540</v>
      </c>
      <c r="D3300" s="4" t="n">
        <v>465.85</v>
      </c>
      <c r="E3300" s="5" t="n">
        <v>86.7</v>
      </c>
      <c r="F3300" s="3" t="inlineStr">
        <is>
          <t>조치원읍</t>
        </is>
      </c>
      <c r="G3300" s="3" t="inlineStr">
        <is>
          <t>신안리</t>
        </is>
      </c>
      <c r="H3300" s="3" t="inlineStr">
        <is>
          <t>자연녹지지역</t>
        </is>
      </c>
      <c r="I3300" s="3" t="inlineStr">
        <is>
          <t>대</t>
        </is>
      </c>
      <c r="J3300" s="3" t="inlineStr">
        <is>
          <t>조치원읍</t>
        </is>
      </c>
    </row>
    <row r="3301">
      <c r="A3301" s="3" t="n">
        <v>2025</v>
      </c>
      <c r="B3301" s="4" t="n">
        <v>14400</v>
      </c>
      <c r="C3301" s="4" t="n">
        <v>549</v>
      </c>
      <c r="D3301" s="4" t="n">
        <v>166.0725</v>
      </c>
      <c r="E3301" s="5" t="n">
        <v>86.7</v>
      </c>
      <c r="F3301" s="3" t="inlineStr">
        <is>
          <t>조치원읍</t>
        </is>
      </c>
      <c r="G3301" s="3" t="inlineStr">
        <is>
          <t>신안리</t>
        </is>
      </c>
      <c r="H3301" s="3" t="inlineStr">
        <is>
          <t>자연녹지지역</t>
        </is>
      </c>
      <c r="I3301" s="3" t="inlineStr">
        <is>
          <t>대</t>
        </is>
      </c>
      <c r="J3301" s="3" t="inlineStr">
        <is>
          <t>조치원읍</t>
        </is>
      </c>
    </row>
    <row r="3302">
      <c r="A3302" s="3" t="n">
        <v>2025</v>
      </c>
      <c r="B3302" s="4" t="n">
        <v>10000</v>
      </c>
      <c r="C3302" s="4" t="n">
        <v>330</v>
      </c>
      <c r="D3302" s="4" t="n">
        <v>99.825</v>
      </c>
      <c r="E3302" s="5" t="n">
        <v>100.2</v>
      </c>
      <c r="F3302" s="3" t="inlineStr">
        <is>
          <t>부강면</t>
        </is>
      </c>
      <c r="G3302" s="3" t="inlineStr">
        <is>
          <t>노호리</t>
        </is>
      </c>
      <c r="H3302" s="3" t="inlineStr">
        <is>
          <t>계획관리지역</t>
        </is>
      </c>
      <c r="I3302" s="3" t="inlineStr">
        <is>
          <t>전</t>
        </is>
      </c>
      <c r="J3302" s="3" t="inlineStr">
        <is>
          <t>부강면</t>
        </is>
      </c>
    </row>
    <row r="3303">
      <c r="A3303" s="3" t="n">
        <v>2026</v>
      </c>
      <c r="B3303" s="4" t="n">
        <v>15000</v>
      </c>
      <c r="C3303" s="4" t="n">
        <v>992</v>
      </c>
      <c r="D3303" s="4" t="n">
        <v>300.08</v>
      </c>
      <c r="E3303" s="5" t="n">
        <v>50</v>
      </c>
      <c r="F3303" s="3" t="inlineStr">
        <is>
          <t>부강면</t>
        </is>
      </c>
      <c r="G3303" s="3" t="inlineStr">
        <is>
          <t>노호리</t>
        </is>
      </c>
      <c r="H3303" s="3" t="inlineStr">
        <is>
          <t>계획관리지역</t>
        </is>
      </c>
      <c r="I3303" s="3" t="inlineStr">
        <is>
          <t>임야</t>
        </is>
      </c>
      <c r="J3303" s="3" t="inlineStr">
        <is>
          <t>부강면</t>
        </is>
      </c>
    </row>
    <row r="3304">
      <c r="A3304" s="3" t="n">
        <v>2026</v>
      </c>
      <c r="B3304" s="4" t="n">
        <v>7745</v>
      </c>
      <c r="C3304" s="4" t="n">
        <v>600</v>
      </c>
      <c r="D3304" s="4" t="n">
        <v>181.5</v>
      </c>
      <c r="E3304" s="5" t="n">
        <v>42.7</v>
      </c>
      <c r="F3304" s="3" t="inlineStr">
        <is>
          <t>연동면</t>
        </is>
      </c>
      <c r="G3304" s="3" t="inlineStr">
        <is>
          <t>송용리</t>
        </is>
      </c>
      <c r="H3304" s="3" t="inlineStr">
        <is>
          <t>농림지역</t>
        </is>
      </c>
      <c r="I3304" s="3" t="inlineStr">
        <is>
          <t>답</t>
        </is>
      </c>
      <c r="J3304" s="3" t="inlineStr">
        <is>
          <t>연동면</t>
        </is>
      </c>
    </row>
    <row r="3305">
      <c r="A3305" s="3" t="n">
        <v>2026</v>
      </c>
      <c r="B3305" s="4" t="n">
        <v>27255</v>
      </c>
      <c r="C3305" s="4" t="n">
        <v>2111.6</v>
      </c>
      <c r="D3305" s="4" t="n">
        <v>638.7589999999999</v>
      </c>
      <c r="E3305" s="5" t="n">
        <v>42.7</v>
      </c>
      <c r="F3305" s="3" t="inlineStr">
        <is>
          <t>연동면</t>
        </is>
      </c>
      <c r="G3305" s="3" t="inlineStr">
        <is>
          <t>송용리</t>
        </is>
      </c>
      <c r="H3305" s="3" t="inlineStr">
        <is>
          <t>농림지역</t>
        </is>
      </c>
      <c r="I3305" s="3" t="inlineStr">
        <is>
          <t>답</t>
        </is>
      </c>
      <c r="J3305" s="3" t="inlineStr">
        <is>
          <t>연동면</t>
        </is>
      </c>
    </row>
    <row r="3306">
      <c r="A3306" s="3" t="n">
        <v>2026</v>
      </c>
      <c r="B3306" s="4" t="n">
        <v>62000</v>
      </c>
      <c r="C3306" s="4" t="n">
        <v>11008</v>
      </c>
      <c r="D3306" s="4" t="n">
        <v>3329.92</v>
      </c>
      <c r="E3306" s="5" t="n">
        <v>18.6</v>
      </c>
      <c r="F3306" s="3" t="inlineStr">
        <is>
          <t>조치원읍</t>
        </is>
      </c>
      <c r="G3306" s="3" t="inlineStr">
        <is>
          <t>신안리</t>
        </is>
      </c>
      <c r="H3306" s="3" t="inlineStr">
        <is>
          <t>자연녹지지역</t>
        </is>
      </c>
      <c r="I3306" s="3" t="inlineStr">
        <is>
          <t>임야</t>
        </is>
      </c>
      <c r="J3306" s="3" t="inlineStr">
        <is>
          <t>조치원읍</t>
        </is>
      </c>
    </row>
    <row r="3307">
      <c r="A3307" s="3" t="n">
        <v>2026</v>
      </c>
      <c r="B3307" s="4" t="n">
        <v>7340</v>
      </c>
      <c r="C3307" s="4" t="n">
        <v>122</v>
      </c>
      <c r="D3307" s="4" t="n">
        <v>36.905</v>
      </c>
      <c r="E3307" s="5" t="n">
        <v>198.9</v>
      </c>
      <c r="F3307" s="3" t="inlineStr">
        <is>
          <t>부강면</t>
        </is>
      </c>
      <c r="G3307" s="3" t="inlineStr">
        <is>
          <t>갈산리</t>
        </is>
      </c>
      <c r="H3307" s="3" t="inlineStr">
        <is>
          <t>계획관리지역</t>
        </is>
      </c>
      <c r="I3307" s="3" t="inlineStr">
        <is>
          <t>답</t>
        </is>
      </c>
      <c r="J3307" s="3" t="inlineStr">
        <is>
          <t>부강면</t>
        </is>
      </c>
    </row>
    <row r="3308">
      <c r="A3308" s="3" t="n">
        <v>2026</v>
      </c>
      <c r="B3308" s="4" t="n">
        <v>26000</v>
      </c>
      <c r="C3308" s="4" t="n">
        <v>1322</v>
      </c>
      <c r="D3308" s="4" t="n">
        <v>399.905</v>
      </c>
      <c r="E3308" s="5" t="n">
        <v>65</v>
      </c>
      <c r="F3308" s="3" t="inlineStr">
        <is>
          <t>연동면</t>
        </is>
      </c>
      <c r="G3308" s="3" t="inlineStr">
        <is>
          <t>명학리</t>
        </is>
      </c>
      <c r="H3308" s="3" t="inlineStr">
        <is>
          <t>계획관리지역</t>
        </is>
      </c>
      <c r="I3308" s="3" t="inlineStr">
        <is>
          <t>전</t>
        </is>
      </c>
      <c r="J3308" s="3" t="inlineStr">
        <is>
          <t>연동면</t>
        </is>
      </c>
    </row>
    <row r="3309">
      <c r="A3309" s="3" t="n">
        <v>2024</v>
      </c>
      <c r="B3309" s="4" t="n">
        <v>10830</v>
      </c>
      <c r="C3309" s="4" t="n">
        <v>1320.7</v>
      </c>
      <c r="D3309" s="4" t="n">
        <v>399.51175</v>
      </c>
      <c r="E3309" s="5" t="n">
        <v>27.1</v>
      </c>
      <c r="F3309" s="3" t="inlineStr">
        <is>
          <t>연서면</t>
        </is>
      </c>
      <c r="G3309" s="3" t="inlineStr">
        <is>
          <t>쌍전리</t>
        </is>
      </c>
      <c r="H3309" s="3" t="inlineStr">
        <is>
          <t>농림지역</t>
        </is>
      </c>
      <c r="I3309" s="3" t="inlineStr">
        <is>
          <t>답</t>
        </is>
      </c>
      <c r="J3309" s="3" t="inlineStr">
        <is>
          <t>연서면</t>
        </is>
      </c>
    </row>
    <row r="3310">
      <c r="A3310" s="3" t="n">
        <v>2024</v>
      </c>
      <c r="B3310" s="4" t="n">
        <v>21700</v>
      </c>
      <c r="C3310" s="4" t="n">
        <v>2055.1</v>
      </c>
      <c r="D3310" s="4" t="n">
        <v>621.66775</v>
      </c>
      <c r="E3310" s="5" t="n">
        <v>34.9</v>
      </c>
      <c r="F3310" s="3" t="inlineStr">
        <is>
          <t>부강면</t>
        </is>
      </c>
      <c r="G3310" s="3" t="inlineStr">
        <is>
          <t>행산리</t>
        </is>
      </c>
      <c r="H3310" s="3" t="inlineStr">
        <is>
          <t>농림지역</t>
        </is>
      </c>
      <c r="I3310" s="3" t="inlineStr">
        <is>
          <t>답</t>
        </is>
      </c>
      <c r="J3310" s="3" t="inlineStr">
        <is>
          <t>부강면</t>
        </is>
      </c>
    </row>
    <row r="3311">
      <c r="A3311" s="3" t="n">
        <v>2025</v>
      </c>
      <c r="B3311" s="4" t="n">
        <v>1000</v>
      </c>
      <c r="C3311" s="4" t="n">
        <v>140</v>
      </c>
      <c r="D3311" s="4" t="n">
        <v>42.35</v>
      </c>
      <c r="E3311" s="5" t="n">
        <v>23.6</v>
      </c>
      <c r="F3311" s="3" t="inlineStr">
        <is>
          <t>부강면</t>
        </is>
      </c>
      <c r="G3311" s="3" t="inlineStr">
        <is>
          <t>문곡리</t>
        </is>
      </c>
      <c r="H3311" s="3" t="inlineStr">
        <is>
          <t>계획관리지역</t>
        </is>
      </c>
      <c r="I3311" s="3" t="inlineStr">
        <is>
          <t>답</t>
        </is>
      </c>
      <c r="J3311" s="3" t="inlineStr">
        <is>
          <t>부강면</t>
        </is>
      </c>
    </row>
    <row r="3312">
      <c r="A3312" s="3" t="n">
        <v>2025</v>
      </c>
      <c r="B3312" s="4" t="n">
        <v>179</v>
      </c>
      <c r="C3312" s="4" t="n">
        <v>12</v>
      </c>
      <c r="D3312" s="4" t="n">
        <v>3.63</v>
      </c>
      <c r="E3312" s="5" t="n">
        <v>49.3</v>
      </c>
      <c r="F3312" s="3" t="inlineStr">
        <is>
          <t>부강면</t>
        </is>
      </c>
      <c r="G3312" s="3" t="inlineStr">
        <is>
          <t>등곡리</t>
        </is>
      </c>
      <c r="H3312" s="3" t="inlineStr">
        <is>
          <t>보전관리지역</t>
        </is>
      </c>
      <c r="I3312" s="3" t="inlineStr">
        <is>
          <t>임야</t>
        </is>
      </c>
      <c r="J3312" s="3" t="inlineStr">
        <is>
          <t>부강면</t>
        </is>
      </c>
    </row>
    <row r="3313">
      <c r="A3313" s="3" t="n">
        <v>2025</v>
      </c>
      <c r="B3313" s="4" t="n">
        <v>209</v>
      </c>
      <c r="C3313" s="4" t="n">
        <v>14</v>
      </c>
      <c r="D3313" s="4" t="n">
        <v>4.234999999999999</v>
      </c>
      <c r="E3313" s="5" t="n">
        <v>49.4</v>
      </c>
      <c r="F3313" s="3" t="inlineStr">
        <is>
          <t>부강면</t>
        </is>
      </c>
      <c r="G3313" s="3" t="inlineStr">
        <is>
          <t>등곡리</t>
        </is>
      </c>
      <c r="H3313" s="3" t="inlineStr">
        <is>
          <t>보전관리지역</t>
        </is>
      </c>
      <c r="I3313" s="3" t="inlineStr">
        <is>
          <t>임야</t>
        </is>
      </c>
      <c r="J3313" s="3" t="inlineStr">
        <is>
          <t>부강면</t>
        </is>
      </c>
    </row>
    <row r="3314">
      <c r="A3314" s="3" t="n">
        <v>2025</v>
      </c>
      <c r="B3314" s="4" t="n">
        <v>1571</v>
      </c>
      <c r="C3314" s="4" t="n">
        <v>105</v>
      </c>
      <c r="D3314" s="4" t="n">
        <v>31.7625</v>
      </c>
      <c r="E3314" s="5" t="n">
        <v>49.5</v>
      </c>
      <c r="F3314" s="3" t="inlineStr">
        <is>
          <t>부강면</t>
        </is>
      </c>
      <c r="G3314" s="3" t="inlineStr">
        <is>
          <t>등곡리</t>
        </is>
      </c>
      <c r="H3314" s="3" t="inlineStr">
        <is>
          <t>계획관리지역</t>
        </is>
      </c>
      <c r="I3314" s="3" t="inlineStr">
        <is>
          <t>공장용지</t>
        </is>
      </c>
      <c r="J3314" s="3" t="inlineStr">
        <is>
          <t>부강면</t>
        </is>
      </c>
    </row>
    <row r="3315">
      <c r="A3315" s="3" t="n">
        <v>2025</v>
      </c>
      <c r="B3315" s="4" t="n">
        <v>299</v>
      </c>
      <c r="C3315" s="4" t="n">
        <v>20</v>
      </c>
      <c r="D3315" s="4" t="n">
        <v>6.05</v>
      </c>
      <c r="E3315" s="5" t="n">
        <v>49.4</v>
      </c>
      <c r="F3315" s="3" t="inlineStr">
        <is>
          <t>부강면</t>
        </is>
      </c>
      <c r="G3315" s="3" t="inlineStr">
        <is>
          <t>등곡리</t>
        </is>
      </c>
      <c r="H3315" s="3" t="inlineStr">
        <is>
          <t>계획관리지역</t>
        </is>
      </c>
      <c r="I3315" s="3" t="inlineStr">
        <is>
          <t>공장용지</t>
        </is>
      </c>
      <c r="J3315" s="3" t="inlineStr">
        <is>
          <t>부강면</t>
        </is>
      </c>
    </row>
    <row r="3316">
      <c r="A3316" s="3" t="n">
        <v>2025</v>
      </c>
      <c r="B3316" s="4" t="n">
        <v>823</v>
      </c>
      <c r="C3316" s="4" t="n">
        <v>55</v>
      </c>
      <c r="D3316" s="4" t="n">
        <v>16.6375</v>
      </c>
      <c r="E3316" s="5" t="n">
        <v>49.5</v>
      </c>
      <c r="F3316" s="3" t="inlineStr">
        <is>
          <t>부강면</t>
        </is>
      </c>
      <c r="G3316" s="3" t="inlineStr">
        <is>
          <t>등곡리</t>
        </is>
      </c>
      <c r="H3316" s="3" t="inlineStr">
        <is>
          <t>계획관리지역</t>
        </is>
      </c>
      <c r="I3316" s="3" t="inlineStr">
        <is>
          <t>임야</t>
        </is>
      </c>
      <c r="J3316" s="3" t="inlineStr">
        <is>
          <t>부강면</t>
        </is>
      </c>
    </row>
    <row r="3317">
      <c r="A3317" s="3" t="n">
        <v>2025</v>
      </c>
      <c r="B3317" s="4" t="n">
        <v>419</v>
      </c>
      <c r="C3317" s="4" t="n">
        <v>28</v>
      </c>
      <c r="D3317" s="4" t="n">
        <v>8.469999999999999</v>
      </c>
      <c r="E3317" s="5" t="n">
        <v>49.5</v>
      </c>
      <c r="F3317" s="3" t="inlineStr">
        <is>
          <t>부강면</t>
        </is>
      </c>
      <c r="G3317" s="3" t="inlineStr">
        <is>
          <t>등곡리</t>
        </is>
      </c>
      <c r="H3317" s="3" t="inlineStr">
        <is>
          <t>계획관리지역</t>
        </is>
      </c>
      <c r="I3317" s="3" t="inlineStr">
        <is>
          <t>임야</t>
        </is>
      </c>
      <c r="J3317" s="3" t="inlineStr">
        <is>
          <t>부강면</t>
        </is>
      </c>
    </row>
    <row r="3318">
      <c r="A3318" s="3" t="n">
        <v>2025</v>
      </c>
      <c r="B3318" s="4" t="n">
        <v>350000</v>
      </c>
      <c r="C3318" s="4" t="n">
        <v>1554</v>
      </c>
      <c r="D3318" s="4" t="n">
        <v>470.085</v>
      </c>
      <c r="E3318" s="5" t="n">
        <v>744.5</v>
      </c>
      <c r="F3318" s="3" t="inlineStr">
        <is>
          <t>집현동</t>
        </is>
      </c>
      <c r="G3318" s="3" t="inlineStr"/>
      <c r="H3318" s="3" t="inlineStr">
        <is>
          <t>제2종일반주거지역</t>
        </is>
      </c>
      <c r="I3318" s="3" t="inlineStr">
        <is>
          <t>종교용지</t>
        </is>
      </c>
      <c r="J3318" s="3" t="inlineStr">
        <is>
          <t>집현동</t>
        </is>
      </c>
    </row>
    <row r="3319">
      <c r="A3319" s="3" t="n">
        <v>2025</v>
      </c>
      <c r="B3319" s="4" t="n">
        <v>70000</v>
      </c>
      <c r="C3319" s="4" t="n">
        <v>3328.1</v>
      </c>
      <c r="D3319" s="4" t="n">
        <v>1006.75025</v>
      </c>
      <c r="E3319" s="5" t="n">
        <v>69.5</v>
      </c>
      <c r="F3319" s="3" t="inlineStr">
        <is>
          <t>연서면</t>
        </is>
      </c>
      <c r="G3319" s="3" t="inlineStr">
        <is>
          <t>쌍류리</t>
        </is>
      </c>
      <c r="H3319" s="3" t="inlineStr">
        <is>
          <t>생산관리지역</t>
        </is>
      </c>
      <c r="I3319" s="3" t="inlineStr">
        <is>
          <t>전</t>
        </is>
      </c>
      <c r="J3319" s="3" t="inlineStr">
        <is>
          <t>연서면</t>
        </is>
      </c>
    </row>
    <row r="3320">
      <c r="A3320" s="3" t="n">
        <v>2025</v>
      </c>
      <c r="B3320" s="4" t="n">
        <v>43926</v>
      </c>
      <c r="C3320" s="4" t="n">
        <v>753</v>
      </c>
      <c r="D3320" s="4" t="n">
        <v>227.7825</v>
      </c>
      <c r="E3320" s="5" t="n">
        <v>192.8</v>
      </c>
      <c r="F3320" s="3" t="inlineStr">
        <is>
          <t>연동면</t>
        </is>
      </c>
      <c r="G3320" s="3" t="inlineStr">
        <is>
          <t>내판리</t>
        </is>
      </c>
      <c r="H3320" s="3" t="inlineStr">
        <is>
          <t>계획관리지역</t>
        </is>
      </c>
      <c r="I3320" s="3" t="inlineStr">
        <is>
          <t>임야</t>
        </is>
      </c>
      <c r="J3320" s="3" t="inlineStr">
        <is>
          <t>연동면</t>
        </is>
      </c>
    </row>
    <row r="3321">
      <c r="A3321" s="3" t="n">
        <v>2025</v>
      </c>
      <c r="B3321" s="4" t="n">
        <v>12775</v>
      </c>
      <c r="C3321" s="4" t="n">
        <v>219</v>
      </c>
      <c r="D3321" s="4" t="n">
        <v>66.2475</v>
      </c>
      <c r="E3321" s="5" t="n">
        <v>192.8</v>
      </c>
      <c r="F3321" s="3" t="inlineStr">
        <is>
          <t>연동면</t>
        </is>
      </c>
      <c r="G3321" s="3" t="inlineStr">
        <is>
          <t>내판리</t>
        </is>
      </c>
      <c r="H3321" s="3" t="inlineStr">
        <is>
          <t>계획관리지역</t>
        </is>
      </c>
      <c r="I3321" s="3" t="inlineStr">
        <is>
          <t>임야</t>
        </is>
      </c>
      <c r="J3321" s="3" t="inlineStr">
        <is>
          <t>연동면</t>
        </is>
      </c>
    </row>
    <row r="3322">
      <c r="A3322" s="3" t="n">
        <v>2025</v>
      </c>
      <c r="B3322" s="4" t="n">
        <v>3500</v>
      </c>
      <c r="C3322" s="4" t="n">
        <v>60</v>
      </c>
      <c r="D3322" s="4" t="n">
        <v>18.15</v>
      </c>
      <c r="E3322" s="5" t="n">
        <v>192.8</v>
      </c>
      <c r="F3322" s="3" t="inlineStr">
        <is>
          <t>연동면</t>
        </is>
      </c>
      <c r="G3322" s="3" t="inlineStr">
        <is>
          <t>내판리</t>
        </is>
      </c>
      <c r="H3322" s="3" t="inlineStr">
        <is>
          <t>계획관리지역</t>
        </is>
      </c>
      <c r="I3322" s="3" t="inlineStr">
        <is>
          <t>임야</t>
        </is>
      </c>
      <c r="J3322" s="3" t="inlineStr">
        <is>
          <t>연동면</t>
        </is>
      </c>
    </row>
    <row r="3323">
      <c r="A3323" s="3" t="n">
        <v>2023</v>
      </c>
      <c r="B3323" s="4" t="n">
        <v>17711</v>
      </c>
      <c r="C3323" s="4" t="n">
        <v>658</v>
      </c>
      <c r="D3323" s="4" t="n">
        <v>199.045</v>
      </c>
      <c r="E3323" s="5" t="n">
        <v>89</v>
      </c>
      <c r="F3323" s="3" t="inlineStr">
        <is>
          <t>연동면</t>
        </is>
      </c>
      <c r="G3323" s="3" t="inlineStr">
        <is>
          <t>명학리</t>
        </is>
      </c>
      <c r="H3323" s="3" t="inlineStr">
        <is>
          <t>농림지역</t>
        </is>
      </c>
      <c r="I3323" s="3" t="inlineStr">
        <is>
          <t>임야</t>
        </is>
      </c>
      <c r="J3323" s="3" t="inlineStr">
        <is>
          <t>연동면</t>
        </is>
      </c>
    </row>
    <row r="3324">
      <c r="A3324" s="3" t="n">
        <v>2023</v>
      </c>
      <c r="B3324" s="4" t="n">
        <v>52000</v>
      </c>
      <c r="C3324" s="4" t="n">
        <v>337.9</v>
      </c>
      <c r="D3324" s="4" t="n">
        <v>102.21475</v>
      </c>
      <c r="E3324" s="5" t="n">
        <v>508.7</v>
      </c>
      <c r="F3324" s="3" t="inlineStr">
        <is>
          <t>아름동</t>
        </is>
      </c>
      <c r="G3324" s="3" t="inlineStr"/>
      <c r="H3324" s="3" t="inlineStr">
        <is>
          <t>제1종전용주거지역</t>
        </is>
      </c>
      <c r="I3324" s="3" t="inlineStr">
        <is>
          <t>대</t>
        </is>
      </c>
      <c r="J3324" s="3" t="inlineStr">
        <is>
          <t>아름동</t>
        </is>
      </c>
    </row>
    <row r="3325">
      <c r="A3325" s="3" t="n">
        <v>2022</v>
      </c>
      <c r="B3325" s="4" t="n">
        <v>60000</v>
      </c>
      <c r="C3325" s="4" t="n">
        <v>345</v>
      </c>
      <c r="D3325" s="4" t="n">
        <v>104.3625</v>
      </c>
      <c r="E3325" s="5" t="n">
        <v>574.9</v>
      </c>
      <c r="F3325" s="3" t="inlineStr">
        <is>
          <t>고운동</t>
        </is>
      </c>
      <c r="G3325" s="3" t="inlineStr"/>
      <c r="H3325" s="3" t="inlineStr">
        <is>
          <t>제1종전용주거지역</t>
        </is>
      </c>
      <c r="I3325" s="3" t="inlineStr">
        <is>
          <t>대</t>
        </is>
      </c>
      <c r="J3325" s="3" t="inlineStr">
        <is>
          <t>고운동</t>
        </is>
      </c>
    </row>
    <row r="3326">
      <c r="A3326" s="3" t="n">
        <v>2022</v>
      </c>
      <c r="B3326" s="4" t="n">
        <v>6500</v>
      </c>
      <c r="C3326" s="4" t="n">
        <v>1200</v>
      </c>
      <c r="D3326" s="4" t="n">
        <v>363</v>
      </c>
      <c r="E3326" s="5" t="n">
        <v>17.9</v>
      </c>
      <c r="F3326" s="3" t="inlineStr">
        <is>
          <t>연서면</t>
        </is>
      </c>
      <c r="G3326" s="3" t="inlineStr">
        <is>
          <t>성제리</t>
        </is>
      </c>
      <c r="H3326" s="3" t="inlineStr">
        <is>
          <t>보전관리지역</t>
        </is>
      </c>
      <c r="I3326" s="3" t="inlineStr">
        <is>
          <t>전</t>
        </is>
      </c>
      <c r="J3326" s="3" t="inlineStr">
        <is>
          <t>연서면</t>
        </is>
      </c>
    </row>
    <row r="3327">
      <c r="A3327" s="3" t="n">
        <v>2025</v>
      </c>
      <c r="B3327" s="4" t="n">
        <v>55000</v>
      </c>
      <c r="C3327" s="4" t="n">
        <v>2180</v>
      </c>
      <c r="D3327" s="4" t="n">
        <v>659.4499999999999</v>
      </c>
      <c r="E3327" s="5" t="n">
        <v>83.40000000000001</v>
      </c>
      <c r="F3327" s="3" t="inlineStr">
        <is>
          <t>연서면</t>
        </is>
      </c>
      <c r="G3327" s="3" t="inlineStr">
        <is>
          <t>성제리</t>
        </is>
      </c>
      <c r="H3327" s="3" t="inlineStr">
        <is>
          <t>농림지역</t>
        </is>
      </c>
      <c r="I3327" s="3" t="inlineStr">
        <is>
          <t>답</t>
        </is>
      </c>
      <c r="J3327" s="3" t="inlineStr">
        <is>
          <t>연서면</t>
        </is>
      </c>
    </row>
    <row r="3328">
      <c r="A3328" s="3" t="n">
        <v>2025</v>
      </c>
      <c r="B3328" s="4" t="n">
        <v>12000</v>
      </c>
      <c r="C3328" s="4" t="n">
        <v>51</v>
      </c>
      <c r="D3328" s="4" t="n">
        <v>15.4275</v>
      </c>
      <c r="E3328" s="5" t="n">
        <v>777.8</v>
      </c>
      <c r="F3328" s="3" t="inlineStr">
        <is>
          <t>조치원읍</t>
        </is>
      </c>
      <c r="G3328" s="3" t="inlineStr">
        <is>
          <t>신안리</t>
        </is>
      </c>
      <c r="H3328" s="3" t="inlineStr">
        <is>
          <t>제2종일반주거지역</t>
        </is>
      </c>
      <c r="I3328" s="3" t="inlineStr">
        <is>
          <t>대</t>
        </is>
      </c>
      <c r="J3328" s="3" t="inlineStr">
        <is>
          <t>조치원읍</t>
        </is>
      </c>
    </row>
    <row r="3329">
      <c r="A3329" s="3" t="n">
        <v>2025</v>
      </c>
      <c r="B3329" s="4" t="n">
        <v>41200</v>
      </c>
      <c r="C3329" s="4" t="n">
        <v>3911</v>
      </c>
      <c r="D3329" s="4" t="n">
        <v>1183.0775</v>
      </c>
      <c r="E3329" s="5" t="n">
        <v>34.8</v>
      </c>
      <c r="F3329" s="3" t="inlineStr">
        <is>
          <t>연서면</t>
        </is>
      </c>
      <c r="G3329" s="3" t="inlineStr">
        <is>
          <t>기룡리</t>
        </is>
      </c>
      <c r="H3329" s="3" t="inlineStr">
        <is>
          <t>생산관리지역</t>
        </is>
      </c>
      <c r="I3329" s="3" t="inlineStr">
        <is>
          <t>답</t>
        </is>
      </c>
      <c r="J3329" s="3" t="inlineStr">
        <is>
          <t>연서면</t>
        </is>
      </c>
    </row>
    <row r="3330">
      <c r="A3330" s="3" t="n">
        <v>2025</v>
      </c>
      <c r="B3330" s="4" t="n">
        <v>1800</v>
      </c>
      <c r="C3330" s="4" t="n">
        <v>169</v>
      </c>
      <c r="D3330" s="4" t="n">
        <v>51.1225</v>
      </c>
      <c r="E3330" s="5" t="n">
        <v>35.2</v>
      </c>
      <c r="F3330" s="3" t="inlineStr">
        <is>
          <t>연서면</t>
        </is>
      </c>
      <c r="G3330" s="3" t="inlineStr">
        <is>
          <t>기룡리</t>
        </is>
      </c>
      <c r="H3330" s="3" t="inlineStr">
        <is>
          <t>생산관리지역</t>
        </is>
      </c>
      <c r="I3330" s="3" t="inlineStr">
        <is>
          <t>답</t>
        </is>
      </c>
      <c r="J3330" s="3" t="inlineStr">
        <is>
          <t>연서면</t>
        </is>
      </c>
    </row>
    <row r="3331">
      <c r="A3331" s="3" t="n">
        <v>2025</v>
      </c>
      <c r="B3331" s="4" t="n">
        <v>7122</v>
      </c>
      <c r="C3331" s="4" t="n">
        <v>239</v>
      </c>
      <c r="D3331" s="4" t="n">
        <v>72.2975</v>
      </c>
      <c r="E3331" s="5" t="n">
        <v>98.5</v>
      </c>
      <c r="F3331" s="3" t="inlineStr">
        <is>
          <t>연동면</t>
        </is>
      </c>
      <c r="G3331" s="3" t="inlineStr">
        <is>
          <t>송용리</t>
        </is>
      </c>
      <c r="H3331" s="3" t="inlineStr">
        <is>
          <t>계획관리지역</t>
        </is>
      </c>
      <c r="I3331" s="3" t="inlineStr">
        <is>
          <t>전</t>
        </is>
      </c>
      <c r="J3331" s="3" t="inlineStr">
        <is>
          <t>연동면</t>
        </is>
      </c>
    </row>
    <row r="3332">
      <c r="A3332" s="3" t="n">
        <v>2025</v>
      </c>
      <c r="B3332" s="4" t="n">
        <v>60</v>
      </c>
      <c r="C3332" s="4" t="n">
        <v>2</v>
      </c>
      <c r="D3332" s="4" t="n">
        <v>0.605</v>
      </c>
      <c r="E3332" s="5" t="n">
        <v>99.2</v>
      </c>
      <c r="F3332" s="3" t="inlineStr">
        <is>
          <t>연동면</t>
        </is>
      </c>
      <c r="G3332" s="3" t="inlineStr">
        <is>
          <t>송용리</t>
        </is>
      </c>
      <c r="H3332" s="3" t="inlineStr">
        <is>
          <t>계획관리지역</t>
        </is>
      </c>
      <c r="I3332" s="3" t="inlineStr">
        <is>
          <t>전</t>
        </is>
      </c>
      <c r="J3332" s="3" t="inlineStr">
        <is>
          <t>연동면</t>
        </is>
      </c>
    </row>
    <row r="3333">
      <c r="A3333" s="3" t="n">
        <v>2025</v>
      </c>
      <c r="B3333" s="4" t="n">
        <v>21000</v>
      </c>
      <c r="C3333" s="4" t="n">
        <v>1437</v>
      </c>
      <c r="D3333" s="4" t="n">
        <v>434.6925</v>
      </c>
      <c r="E3333" s="5" t="n">
        <v>48.3</v>
      </c>
      <c r="F3333" s="3" t="inlineStr">
        <is>
          <t>부강면</t>
        </is>
      </c>
      <c r="G3333" s="3" t="inlineStr">
        <is>
          <t>행산리</t>
        </is>
      </c>
      <c r="H3333" s="3" t="inlineStr">
        <is>
          <t>농림지역</t>
        </is>
      </c>
      <c r="I3333" s="3" t="inlineStr">
        <is>
          <t>전</t>
        </is>
      </c>
      <c r="J3333" s="3" t="inlineStr">
        <is>
          <t>부강면</t>
        </is>
      </c>
    </row>
    <row r="3334">
      <c r="A3334" s="3" t="n">
        <v>2025</v>
      </c>
      <c r="B3334" s="4" t="n">
        <v>65000</v>
      </c>
      <c r="C3334" s="4" t="n">
        <v>287</v>
      </c>
      <c r="D3334" s="4" t="n">
        <v>86.8175</v>
      </c>
      <c r="E3334" s="5" t="n">
        <v>748.7</v>
      </c>
      <c r="F3334" s="3" t="inlineStr">
        <is>
          <t>반곡동</t>
        </is>
      </c>
      <c r="G3334" s="3" t="inlineStr"/>
      <c r="H3334" s="3" t="inlineStr">
        <is>
          <t>제1종전용주거지역</t>
        </is>
      </c>
      <c r="I3334" s="3" t="inlineStr">
        <is>
          <t>대</t>
        </is>
      </c>
      <c r="J3334" s="3" t="inlineStr">
        <is>
          <t>반곡동</t>
        </is>
      </c>
    </row>
    <row r="3335">
      <c r="A3335" s="3" t="n">
        <v>2023</v>
      </c>
      <c r="B3335" s="4" t="n">
        <v>52500</v>
      </c>
      <c r="C3335" s="4" t="n">
        <v>322.2</v>
      </c>
      <c r="D3335" s="4" t="n">
        <v>97.46549999999999</v>
      </c>
      <c r="E3335" s="5" t="n">
        <v>538.7</v>
      </c>
      <c r="F3335" s="3" t="inlineStr">
        <is>
          <t>고운동</t>
        </is>
      </c>
      <c r="G3335" s="3" t="inlineStr"/>
      <c r="H3335" s="3" t="inlineStr">
        <is>
          <t>제1종전용주거지역</t>
        </is>
      </c>
      <c r="I3335" s="3" t="inlineStr">
        <is>
          <t>대</t>
        </is>
      </c>
      <c r="J3335" s="3" t="inlineStr">
        <is>
          <t>고운동</t>
        </is>
      </c>
    </row>
    <row r="3336">
      <c r="A3336" s="3" t="n">
        <v>2023</v>
      </c>
      <c r="B3336" s="4" t="n">
        <v>53000</v>
      </c>
      <c r="C3336" s="4" t="n">
        <v>322.2</v>
      </c>
      <c r="D3336" s="4" t="n">
        <v>97.46549999999999</v>
      </c>
      <c r="E3336" s="5" t="n">
        <v>543.8</v>
      </c>
      <c r="F3336" s="3" t="inlineStr">
        <is>
          <t>고운동</t>
        </is>
      </c>
      <c r="G3336" s="3" t="inlineStr"/>
      <c r="H3336" s="3" t="inlineStr">
        <is>
          <t>제1종전용주거지역</t>
        </is>
      </c>
      <c r="I3336" s="3" t="inlineStr">
        <is>
          <t>대</t>
        </is>
      </c>
      <c r="J3336" s="3" t="inlineStr">
        <is>
          <t>고운동</t>
        </is>
      </c>
    </row>
    <row r="3337">
      <c r="A3337" s="3" t="n">
        <v>2023</v>
      </c>
      <c r="B3337" s="4" t="n">
        <v>37310</v>
      </c>
      <c r="C3337" s="4" t="n">
        <v>3523.8</v>
      </c>
      <c r="D3337" s="4" t="n">
        <v>1065.9495</v>
      </c>
      <c r="E3337" s="5" t="n">
        <v>35</v>
      </c>
      <c r="F3337" s="3" t="inlineStr">
        <is>
          <t>부강면</t>
        </is>
      </c>
      <c r="G3337" s="3" t="inlineStr">
        <is>
          <t>행산리</t>
        </is>
      </c>
      <c r="H3337" s="3" t="inlineStr">
        <is>
          <t>생산관리지역</t>
        </is>
      </c>
      <c r="I3337" s="3" t="inlineStr">
        <is>
          <t>답</t>
        </is>
      </c>
      <c r="J3337" s="3" t="inlineStr">
        <is>
          <t>부강면</t>
        </is>
      </c>
    </row>
    <row r="3338">
      <c r="A3338" s="3" t="n">
        <v>2023</v>
      </c>
      <c r="B3338" s="4" t="n">
        <v>5500</v>
      </c>
      <c r="C3338" s="4" t="n">
        <v>251</v>
      </c>
      <c r="D3338" s="4" t="n">
        <v>75.92749999999999</v>
      </c>
      <c r="E3338" s="5" t="n">
        <v>72.40000000000001</v>
      </c>
      <c r="F3338" s="3" t="inlineStr">
        <is>
          <t>연서면</t>
        </is>
      </c>
      <c r="G3338" s="3" t="inlineStr">
        <is>
          <t>월하리</t>
        </is>
      </c>
      <c r="H3338" s="3" t="inlineStr">
        <is>
          <t>자연녹지지역</t>
        </is>
      </c>
      <c r="I3338" s="3" t="inlineStr">
        <is>
          <t>과수원</t>
        </is>
      </c>
      <c r="J3338" s="3" t="inlineStr">
        <is>
          <t>연서면</t>
        </is>
      </c>
    </row>
    <row r="3339">
      <c r="A3339" s="3" t="n">
        <v>2023</v>
      </c>
      <c r="B3339" s="4" t="n">
        <v>43000</v>
      </c>
      <c r="C3339" s="4" t="n">
        <v>616</v>
      </c>
      <c r="D3339" s="4" t="n">
        <v>186.34</v>
      </c>
      <c r="E3339" s="5" t="n">
        <v>230.8</v>
      </c>
      <c r="F3339" s="3" t="inlineStr">
        <is>
          <t>연동면</t>
        </is>
      </c>
      <c r="G3339" s="3" t="inlineStr">
        <is>
          <t>노송리</t>
        </is>
      </c>
      <c r="H3339" s="3" t="inlineStr">
        <is>
          <t>계획관리지역</t>
        </is>
      </c>
      <c r="I3339" s="3" t="inlineStr">
        <is>
          <t>임야</t>
        </is>
      </c>
      <c r="J3339" s="3" t="inlineStr">
        <is>
          <t>연동면</t>
        </is>
      </c>
    </row>
    <row r="3340">
      <c r="A3340" s="3" t="n">
        <v>2023</v>
      </c>
      <c r="B3340" s="4" t="n">
        <v>210000</v>
      </c>
      <c r="C3340" s="4" t="n">
        <v>538</v>
      </c>
      <c r="D3340" s="4" t="n">
        <v>162.745</v>
      </c>
      <c r="E3340" s="5" t="n">
        <v>1290.4</v>
      </c>
      <c r="F3340" s="3" t="inlineStr">
        <is>
          <t>부강면</t>
        </is>
      </c>
      <c r="G3340" s="3" t="inlineStr">
        <is>
          <t>부강리</t>
        </is>
      </c>
      <c r="H3340" s="3" t="inlineStr">
        <is>
          <t>일반상업지역</t>
        </is>
      </c>
      <c r="I3340" s="3" t="inlineStr">
        <is>
          <t>답</t>
        </is>
      </c>
      <c r="J3340" s="3" t="inlineStr">
        <is>
          <t>부강면</t>
        </is>
      </c>
    </row>
    <row r="3341">
      <c r="A3341" s="3" t="n">
        <v>2023</v>
      </c>
      <c r="B3341" s="4" t="n">
        <v>28840</v>
      </c>
      <c r="C3341" s="4" t="n">
        <v>2383</v>
      </c>
      <c r="D3341" s="4" t="n">
        <v>720.8575</v>
      </c>
      <c r="E3341" s="5" t="n">
        <v>40</v>
      </c>
      <c r="F3341" s="3" t="inlineStr">
        <is>
          <t>부강면</t>
        </is>
      </c>
      <c r="G3341" s="3" t="inlineStr">
        <is>
          <t>노호리</t>
        </is>
      </c>
      <c r="H3341" s="3" t="inlineStr">
        <is>
          <t>생산관리지역</t>
        </is>
      </c>
      <c r="I3341" s="3" t="inlineStr">
        <is>
          <t>전</t>
        </is>
      </c>
      <c r="J3341" s="3" t="inlineStr">
        <is>
          <t>부강면</t>
        </is>
      </c>
    </row>
    <row r="3342">
      <c r="A3342" s="3" t="n">
        <v>2022</v>
      </c>
      <c r="B3342" s="4" t="n">
        <v>1800</v>
      </c>
      <c r="C3342" s="4" t="n">
        <v>200</v>
      </c>
      <c r="D3342" s="4" t="n">
        <v>60.5</v>
      </c>
      <c r="E3342" s="5" t="n">
        <v>29.8</v>
      </c>
      <c r="F3342" s="3" t="inlineStr">
        <is>
          <t>연서면</t>
        </is>
      </c>
      <c r="G3342" s="3" t="inlineStr">
        <is>
          <t>신대리</t>
        </is>
      </c>
      <c r="H3342" s="3" t="inlineStr">
        <is>
          <t>보전관리지역</t>
        </is>
      </c>
      <c r="I3342" s="3" t="inlineStr">
        <is>
          <t>전</t>
        </is>
      </c>
      <c r="J3342" s="3" t="inlineStr">
        <is>
          <t>연서면</t>
        </is>
      </c>
    </row>
    <row r="3343">
      <c r="A3343" s="3" t="n">
        <v>2022</v>
      </c>
      <c r="B3343" s="4" t="n">
        <v>28500</v>
      </c>
      <c r="C3343" s="4" t="n">
        <v>568</v>
      </c>
      <c r="D3343" s="4" t="n">
        <v>171.82</v>
      </c>
      <c r="E3343" s="5" t="n">
        <v>165.9</v>
      </c>
      <c r="F3343" s="3" t="inlineStr">
        <is>
          <t>연서면</t>
        </is>
      </c>
      <c r="G3343" s="3" t="inlineStr">
        <is>
          <t>고복리</t>
        </is>
      </c>
      <c r="H3343" s="3" t="inlineStr">
        <is>
          <t>자연환경보전</t>
        </is>
      </c>
      <c r="I3343" s="3" t="inlineStr">
        <is>
          <t>답</t>
        </is>
      </c>
      <c r="J3343" s="3" t="inlineStr">
        <is>
          <t>연서면</t>
        </is>
      </c>
    </row>
    <row r="3344">
      <c r="A3344" s="3" t="n">
        <v>2022</v>
      </c>
      <c r="B3344" s="4" t="n">
        <v>25000</v>
      </c>
      <c r="C3344" s="4" t="n">
        <v>963</v>
      </c>
      <c r="D3344" s="4" t="n">
        <v>291.3075</v>
      </c>
      <c r="E3344" s="5" t="n">
        <v>85.8</v>
      </c>
      <c r="F3344" s="3" t="inlineStr">
        <is>
          <t>조치원읍</t>
        </is>
      </c>
      <c r="G3344" s="3" t="inlineStr">
        <is>
          <t>신안리</t>
        </is>
      </c>
      <c r="H3344" s="3" t="inlineStr">
        <is>
          <t>자연녹지지역</t>
        </is>
      </c>
      <c r="I3344" s="3" t="inlineStr">
        <is>
          <t>전</t>
        </is>
      </c>
      <c r="J3344" s="3" t="inlineStr">
        <is>
          <t>조치원읍</t>
        </is>
      </c>
    </row>
    <row r="3345">
      <c r="A3345" s="3" t="n">
        <v>2022</v>
      </c>
      <c r="B3345" s="4" t="n">
        <v>20000</v>
      </c>
      <c r="C3345" s="4" t="n">
        <v>614</v>
      </c>
      <c r="D3345" s="4" t="n">
        <v>185.735</v>
      </c>
      <c r="E3345" s="5" t="n">
        <v>107.7</v>
      </c>
      <c r="F3345" s="3" t="inlineStr">
        <is>
          <t>조치원읍</t>
        </is>
      </c>
      <c r="G3345" s="3" t="inlineStr">
        <is>
          <t>신안리</t>
        </is>
      </c>
      <c r="H3345" s="3" t="inlineStr">
        <is>
          <t>자연녹지지역</t>
        </is>
      </c>
      <c r="I3345" s="3" t="inlineStr">
        <is>
          <t>답</t>
        </is>
      </c>
      <c r="J3345" s="3" t="inlineStr">
        <is>
          <t>조치원읍</t>
        </is>
      </c>
    </row>
    <row r="3346">
      <c r="A3346" s="3" t="n">
        <v>2022</v>
      </c>
      <c r="B3346" s="4" t="n">
        <v>17000</v>
      </c>
      <c r="C3346" s="4" t="n">
        <v>1243</v>
      </c>
      <c r="D3346" s="4" t="n">
        <v>376.0075</v>
      </c>
      <c r="E3346" s="5" t="n">
        <v>45.2</v>
      </c>
      <c r="F3346" s="3" t="inlineStr">
        <is>
          <t>조치원읍</t>
        </is>
      </c>
      <c r="G3346" s="3" t="inlineStr">
        <is>
          <t>서창리</t>
        </is>
      </c>
      <c r="H3346" s="3" t="inlineStr">
        <is>
          <t>자연녹지지역</t>
        </is>
      </c>
      <c r="I3346" s="3" t="inlineStr">
        <is>
          <t>대</t>
        </is>
      </c>
      <c r="J3346" s="3" t="inlineStr">
        <is>
          <t>조치원읍</t>
        </is>
      </c>
    </row>
    <row r="3347">
      <c r="A3347" s="3" t="n">
        <v>2022</v>
      </c>
      <c r="B3347" s="4" t="n">
        <v>6090</v>
      </c>
      <c r="C3347" s="4" t="n">
        <v>28</v>
      </c>
      <c r="D3347" s="4" t="n">
        <v>8.469999999999999</v>
      </c>
      <c r="E3347" s="5" t="n">
        <v>719</v>
      </c>
      <c r="F3347" s="3" t="inlineStr">
        <is>
          <t>조치원읍</t>
        </is>
      </c>
      <c r="G3347" s="3" t="inlineStr">
        <is>
          <t>원리</t>
        </is>
      </c>
      <c r="H3347" s="3" t="inlineStr">
        <is>
          <t>제2종일반주거지역</t>
        </is>
      </c>
      <c r="I3347" s="3" t="inlineStr">
        <is>
          <t>대</t>
        </is>
      </c>
      <c r="J3347" s="3" t="inlineStr">
        <is>
          <t>조치원읍</t>
        </is>
      </c>
    </row>
    <row r="3348">
      <c r="A3348" s="3" t="n">
        <v>2022</v>
      </c>
      <c r="B3348" s="4" t="n">
        <v>70000</v>
      </c>
      <c r="C3348" s="4" t="n">
        <v>370.8</v>
      </c>
      <c r="D3348" s="4" t="n">
        <v>112.167</v>
      </c>
      <c r="E3348" s="5" t="n">
        <v>624.1</v>
      </c>
      <c r="F3348" s="3" t="inlineStr">
        <is>
          <t>고운동</t>
        </is>
      </c>
      <c r="G3348" s="3" t="inlineStr"/>
      <c r="H3348" s="3" t="inlineStr">
        <is>
          <t>제1종전용주거지역</t>
        </is>
      </c>
      <c r="I3348" s="3" t="inlineStr">
        <is>
          <t>대</t>
        </is>
      </c>
      <c r="J3348" s="3" t="inlineStr">
        <is>
          <t>고운동</t>
        </is>
      </c>
    </row>
    <row r="3349">
      <c r="A3349" s="3" t="n">
        <v>2024</v>
      </c>
      <c r="B3349" s="4" t="n">
        <v>85780</v>
      </c>
      <c r="C3349" s="4" t="n">
        <v>835</v>
      </c>
      <c r="D3349" s="4" t="n">
        <v>252.5875</v>
      </c>
      <c r="E3349" s="5" t="n">
        <v>339.6</v>
      </c>
      <c r="F3349" s="3" t="inlineStr">
        <is>
          <t>연동면</t>
        </is>
      </c>
      <c r="G3349" s="3" t="inlineStr">
        <is>
          <t>내판리</t>
        </is>
      </c>
      <c r="H3349" s="3" t="inlineStr">
        <is>
          <t>계획관리지역</t>
        </is>
      </c>
      <c r="I3349" s="3" t="inlineStr">
        <is>
          <t>대</t>
        </is>
      </c>
      <c r="J3349" s="3" t="inlineStr">
        <is>
          <t>연동면</t>
        </is>
      </c>
    </row>
    <row r="3350">
      <c r="A3350" s="3" t="n">
        <v>2024</v>
      </c>
      <c r="B3350" s="4" t="n">
        <v>1910</v>
      </c>
      <c r="C3350" s="4" t="n">
        <v>136</v>
      </c>
      <c r="D3350" s="4" t="n">
        <v>41.14</v>
      </c>
      <c r="E3350" s="5" t="n">
        <v>46.4</v>
      </c>
      <c r="F3350" s="3" t="inlineStr">
        <is>
          <t>남이면</t>
        </is>
      </c>
      <c r="G3350" s="3" t="inlineStr">
        <is>
          <t>구미리</t>
        </is>
      </c>
      <c r="H3350" s="3" t="inlineStr">
        <is>
          <t>기타</t>
        </is>
      </c>
      <c r="I3350" s="3" t="inlineStr">
        <is>
          <t>임야</t>
        </is>
      </c>
      <c r="J3350" s="3" t="inlineStr">
        <is>
          <t>남이면</t>
        </is>
      </c>
    </row>
    <row r="3351">
      <c r="A3351" s="3" t="n">
        <v>2024</v>
      </c>
      <c r="B3351" s="4" t="n">
        <v>94372</v>
      </c>
      <c r="C3351" s="4" t="n">
        <v>1730</v>
      </c>
      <c r="D3351" s="4" t="n">
        <v>523.3249999999999</v>
      </c>
      <c r="E3351" s="5" t="n">
        <v>180.3</v>
      </c>
      <c r="F3351" s="3" t="inlineStr">
        <is>
          <t>남이면</t>
        </is>
      </c>
      <c r="G3351" s="3" t="inlineStr">
        <is>
          <t>부용외천리</t>
        </is>
      </c>
      <c r="H3351" s="3" t="inlineStr">
        <is>
          <t>계획관리지역</t>
        </is>
      </c>
      <c r="I3351" s="3" t="inlineStr">
        <is>
          <t>대</t>
        </is>
      </c>
      <c r="J3351" s="3" t="inlineStr">
        <is>
          <t>남이면</t>
        </is>
      </c>
    </row>
    <row r="3352">
      <c r="A3352" s="3" t="n">
        <v>2024</v>
      </c>
      <c r="B3352" s="4" t="n">
        <v>20900</v>
      </c>
      <c r="C3352" s="4" t="n">
        <v>1276</v>
      </c>
      <c r="D3352" s="4" t="n">
        <v>385.99</v>
      </c>
      <c r="E3352" s="5" t="n">
        <v>54.1</v>
      </c>
      <c r="F3352" s="3" t="inlineStr">
        <is>
          <t>남이면</t>
        </is>
      </c>
      <c r="G3352" s="3" t="inlineStr">
        <is>
          <t>사동리</t>
        </is>
      </c>
      <c r="H3352" s="3" t="inlineStr">
        <is>
          <t>생산관리지역</t>
        </is>
      </c>
      <c r="I3352" s="3" t="inlineStr">
        <is>
          <t>전</t>
        </is>
      </c>
      <c r="J3352" s="3" t="inlineStr">
        <is>
          <t>남이면</t>
        </is>
      </c>
    </row>
    <row r="3353">
      <c r="A3353" s="3" t="n">
        <v>2024</v>
      </c>
      <c r="B3353" s="4" t="n">
        <v>23000</v>
      </c>
      <c r="C3353" s="4" t="n">
        <v>557</v>
      </c>
      <c r="D3353" s="4" t="n">
        <v>168.4925</v>
      </c>
      <c r="E3353" s="5" t="n">
        <v>136.5</v>
      </c>
      <c r="F3353" s="3" t="inlineStr">
        <is>
          <t>남이면</t>
        </is>
      </c>
      <c r="G3353" s="3" t="inlineStr">
        <is>
          <t>척북리</t>
        </is>
      </c>
      <c r="H3353" s="3" t="inlineStr">
        <is>
          <t>계획관리지역</t>
        </is>
      </c>
      <c r="I3353" s="3" t="inlineStr">
        <is>
          <t>임야</t>
        </is>
      </c>
      <c r="J3353" s="3" t="inlineStr">
        <is>
          <t>남이면</t>
        </is>
      </c>
    </row>
    <row r="3354">
      <c r="A3354" s="3" t="n">
        <v>2024</v>
      </c>
      <c r="B3354" s="4" t="n">
        <v>38000</v>
      </c>
      <c r="C3354" s="4" t="n">
        <v>1322</v>
      </c>
      <c r="D3354" s="4" t="n">
        <v>399.905</v>
      </c>
      <c r="E3354" s="5" t="n">
        <v>95</v>
      </c>
      <c r="F3354" s="3" t="inlineStr">
        <is>
          <t>남이면</t>
        </is>
      </c>
      <c r="G3354" s="3" t="inlineStr">
        <is>
          <t>팔봉리</t>
        </is>
      </c>
      <c r="H3354" s="3" t="inlineStr">
        <is>
          <t>자연녹지지역</t>
        </is>
      </c>
      <c r="I3354" s="3" t="inlineStr">
        <is>
          <t>전</t>
        </is>
      </c>
      <c r="J3354" s="3" t="inlineStr">
        <is>
          <t>남이면</t>
        </is>
      </c>
    </row>
    <row r="3355">
      <c r="A3355" s="3" t="n">
        <v>2025</v>
      </c>
      <c r="B3355" s="4" t="n">
        <v>26700</v>
      </c>
      <c r="C3355" s="4" t="n">
        <v>635</v>
      </c>
      <c r="D3355" s="4" t="n">
        <v>192.0875</v>
      </c>
      <c r="E3355" s="5" t="n">
        <v>139</v>
      </c>
      <c r="F3355" s="3" t="inlineStr">
        <is>
          <t>연서면</t>
        </is>
      </c>
      <c r="G3355" s="3" t="inlineStr">
        <is>
          <t>와촌리</t>
        </is>
      </c>
      <c r="H3355" s="3" t="inlineStr">
        <is>
          <t>계획관리지역</t>
        </is>
      </c>
      <c r="I3355" s="3" t="inlineStr">
        <is>
          <t>전</t>
        </is>
      </c>
      <c r="J3355" s="3" t="inlineStr">
        <is>
          <t>연서면</t>
        </is>
      </c>
    </row>
    <row r="3356">
      <c r="A3356" s="3" t="n">
        <v>2025</v>
      </c>
      <c r="B3356" s="4" t="n">
        <v>152800</v>
      </c>
      <c r="C3356" s="4" t="n">
        <v>8782</v>
      </c>
      <c r="D3356" s="4" t="n">
        <v>2656.555</v>
      </c>
      <c r="E3356" s="5" t="n">
        <v>57.5</v>
      </c>
      <c r="F3356" s="3" t="inlineStr">
        <is>
          <t>연서면</t>
        </is>
      </c>
      <c r="G3356" s="3" t="inlineStr">
        <is>
          <t>와촌리</t>
        </is>
      </c>
      <c r="H3356" s="3" t="inlineStr">
        <is>
          <t>계획관리지역</t>
        </is>
      </c>
      <c r="I3356" s="3" t="inlineStr">
        <is>
          <t>임야</t>
        </is>
      </c>
      <c r="J3356" s="3" t="inlineStr">
        <is>
          <t>연서면</t>
        </is>
      </c>
    </row>
    <row r="3357">
      <c r="A3357" s="3" t="n">
        <v>2025</v>
      </c>
      <c r="B3357" s="4" t="n">
        <v>74400</v>
      </c>
      <c r="C3357" s="4" t="n">
        <v>4463</v>
      </c>
      <c r="D3357" s="4" t="n">
        <v>1350.0575</v>
      </c>
      <c r="E3357" s="5" t="n">
        <v>55.1</v>
      </c>
      <c r="F3357" s="3" t="inlineStr">
        <is>
          <t>연서면</t>
        </is>
      </c>
      <c r="G3357" s="3" t="inlineStr">
        <is>
          <t>와촌리</t>
        </is>
      </c>
      <c r="H3357" s="3" t="inlineStr">
        <is>
          <t>계획관리지역</t>
        </is>
      </c>
      <c r="I3357" s="3" t="inlineStr">
        <is>
          <t>임야</t>
        </is>
      </c>
      <c r="J3357" s="3" t="inlineStr">
        <is>
          <t>연서면</t>
        </is>
      </c>
    </row>
    <row r="3358">
      <c r="A3358" s="3" t="n">
        <v>2025</v>
      </c>
      <c r="B3358" s="4" t="n">
        <v>195400</v>
      </c>
      <c r="C3358" s="4" t="n">
        <v>11710</v>
      </c>
      <c r="D3358" s="4" t="n">
        <v>3542.275</v>
      </c>
      <c r="E3358" s="5" t="n">
        <v>55.2</v>
      </c>
      <c r="F3358" s="3" t="inlineStr">
        <is>
          <t>연서면</t>
        </is>
      </c>
      <c r="G3358" s="3" t="inlineStr">
        <is>
          <t>와촌리</t>
        </is>
      </c>
      <c r="H3358" s="3" t="inlineStr">
        <is>
          <t>계획관리지역</t>
        </is>
      </c>
      <c r="I3358" s="3" t="inlineStr">
        <is>
          <t>임야</t>
        </is>
      </c>
      <c r="J3358" s="3" t="inlineStr">
        <is>
          <t>연서면</t>
        </is>
      </c>
    </row>
    <row r="3359">
      <c r="A3359" s="3" t="n">
        <v>2025</v>
      </c>
      <c r="B3359" s="4" t="n">
        <v>25700</v>
      </c>
      <c r="C3359" s="4" t="n">
        <v>1487</v>
      </c>
      <c r="D3359" s="4" t="n">
        <v>449.8175</v>
      </c>
      <c r="E3359" s="5" t="n">
        <v>57.1</v>
      </c>
      <c r="F3359" s="3" t="inlineStr">
        <is>
          <t>연서면</t>
        </is>
      </c>
      <c r="G3359" s="3" t="inlineStr">
        <is>
          <t>와촌리</t>
        </is>
      </c>
      <c r="H3359" s="3" t="inlineStr">
        <is>
          <t>계획관리지역</t>
        </is>
      </c>
      <c r="I3359" s="3" t="inlineStr">
        <is>
          <t>임야</t>
        </is>
      </c>
      <c r="J3359" s="3" t="inlineStr">
        <is>
          <t>연서면</t>
        </is>
      </c>
    </row>
    <row r="3360">
      <c r="A3360" s="3" t="n">
        <v>2025</v>
      </c>
      <c r="B3360" s="4" t="n">
        <v>13300</v>
      </c>
      <c r="C3360" s="4" t="n">
        <v>200</v>
      </c>
      <c r="D3360" s="4" t="n">
        <v>60.5</v>
      </c>
      <c r="E3360" s="5" t="n">
        <v>219.8</v>
      </c>
      <c r="F3360" s="3" t="inlineStr">
        <is>
          <t>연동면</t>
        </is>
      </c>
      <c r="G3360" s="3" t="inlineStr">
        <is>
          <t>응암리</t>
        </is>
      </c>
      <c r="H3360" s="3" t="inlineStr">
        <is>
          <t>계획관리지역</t>
        </is>
      </c>
      <c r="I3360" s="3" t="inlineStr">
        <is>
          <t>답</t>
        </is>
      </c>
      <c r="J3360" s="3" t="inlineStr">
        <is>
          <t>연동면</t>
        </is>
      </c>
    </row>
    <row r="3361">
      <c r="A3361" s="3" t="n">
        <v>2025</v>
      </c>
      <c r="B3361" s="4" t="n">
        <v>10000</v>
      </c>
      <c r="C3361" s="4" t="n">
        <v>764</v>
      </c>
      <c r="D3361" s="4" t="n">
        <v>231.11</v>
      </c>
      <c r="E3361" s="5" t="n">
        <v>43.3</v>
      </c>
      <c r="F3361" s="3" t="inlineStr">
        <is>
          <t>부강면</t>
        </is>
      </c>
      <c r="G3361" s="3" t="inlineStr">
        <is>
          <t>갈산리</t>
        </is>
      </c>
      <c r="H3361" s="3" t="inlineStr">
        <is>
          <t>계획관리지역</t>
        </is>
      </c>
      <c r="I3361" s="3" t="inlineStr">
        <is>
          <t>전</t>
        </is>
      </c>
      <c r="J3361" s="3" t="inlineStr">
        <is>
          <t>부강면</t>
        </is>
      </c>
    </row>
    <row r="3362">
      <c r="A3362" s="3" t="n">
        <v>2025</v>
      </c>
      <c r="B3362" s="4" t="n">
        <v>5000</v>
      </c>
      <c r="C3362" s="4" t="n">
        <v>50</v>
      </c>
      <c r="D3362" s="4" t="n">
        <v>15.125</v>
      </c>
      <c r="E3362" s="5" t="n">
        <v>330.6</v>
      </c>
      <c r="F3362" s="3" t="inlineStr">
        <is>
          <t>부강면</t>
        </is>
      </c>
      <c r="G3362" s="3" t="inlineStr">
        <is>
          <t>등곡리</t>
        </is>
      </c>
      <c r="H3362" s="3" t="inlineStr">
        <is>
          <t>계획관리지역</t>
        </is>
      </c>
      <c r="I3362" s="3" t="inlineStr">
        <is>
          <t>도로</t>
        </is>
      </c>
      <c r="J3362" s="3" t="inlineStr">
        <is>
          <t>부강면</t>
        </is>
      </c>
    </row>
    <row r="3363">
      <c r="A3363" s="3" t="n">
        <v>2025</v>
      </c>
      <c r="B3363" s="4" t="n">
        <v>5748</v>
      </c>
      <c r="C3363" s="4" t="n">
        <v>19</v>
      </c>
      <c r="D3363" s="4" t="n">
        <v>5.7475</v>
      </c>
      <c r="E3363" s="5" t="n">
        <v>1000.1</v>
      </c>
      <c r="F3363" s="3" t="inlineStr">
        <is>
          <t>조치원읍</t>
        </is>
      </c>
      <c r="G3363" s="3" t="inlineStr">
        <is>
          <t>명리</t>
        </is>
      </c>
      <c r="H3363" s="3" t="inlineStr">
        <is>
          <t>일반상업지역</t>
        </is>
      </c>
      <c r="I3363" s="3" t="inlineStr">
        <is>
          <t>대</t>
        </is>
      </c>
      <c r="J3363" s="3" t="inlineStr">
        <is>
          <t>조치원읍</t>
        </is>
      </c>
    </row>
    <row r="3364">
      <c r="A3364" s="3" t="n">
        <v>2025</v>
      </c>
      <c r="B3364" s="4" t="n">
        <v>3049</v>
      </c>
      <c r="C3364" s="4" t="n">
        <v>71</v>
      </c>
      <c r="D3364" s="4" t="n">
        <v>21.4775</v>
      </c>
      <c r="E3364" s="5" t="n">
        <v>142</v>
      </c>
      <c r="F3364" s="3" t="inlineStr">
        <is>
          <t>연동면</t>
        </is>
      </c>
      <c r="G3364" s="3" t="inlineStr">
        <is>
          <t>합강리</t>
        </is>
      </c>
      <c r="H3364" s="3" t="inlineStr">
        <is>
          <t>보전관리지역</t>
        </is>
      </c>
      <c r="I3364" s="3" t="inlineStr">
        <is>
          <t>전</t>
        </is>
      </c>
      <c r="J3364" s="3" t="inlineStr">
        <is>
          <t>연동면</t>
        </is>
      </c>
    </row>
    <row r="3365">
      <c r="A3365" s="3" t="n">
        <v>2025</v>
      </c>
      <c r="B3365" s="4" t="n">
        <v>65000</v>
      </c>
      <c r="C3365" s="4" t="n">
        <v>960</v>
      </c>
      <c r="D3365" s="4" t="n">
        <v>290.4</v>
      </c>
      <c r="E3365" s="5" t="n">
        <v>223.8</v>
      </c>
      <c r="F3365" s="3" t="inlineStr">
        <is>
          <t>연서면</t>
        </is>
      </c>
      <c r="G3365" s="3" t="inlineStr">
        <is>
          <t>와촌리</t>
        </is>
      </c>
      <c r="H3365" s="3" t="inlineStr">
        <is>
          <t>계획관리지역</t>
        </is>
      </c>
      <c r="I3365" s="3" t="inlineStr">
        <is>
          <t>전</t>
        </is>
      </c>
      <c r="J3365" s="3" t="inlineStr">
        <is>
          <t>연서면</t>
        </is>
      </c>
    </row>
    <row r="3366">
      <c r="A3366" s="3" t="n">
        <v>2025</v>
      </c>
      <c r="B3366" s="4" t="n">
        <v>91709</v>
      </c>
      <c r="C3366" s="4" t="n">
        <v>1418.8</v>
      </c>
      <c r="D3366" s="4" t="n">
        <v>429.187</v>
      </c>
      <c r="E3366" s="5" t="n">
        <v>213.7</v>
      </c>
      <c r="F3366" s="3" t="inlineStr">
        <is>
          <t>집현동</t>
        </is>
      </c>
      <c r="G3366" s="3" t="inlineStr"/>
      <c r="H3366" s="3" t="inlineStr">
        <is>
          <t>준주거지역</t>
        </is>
      </c>
      <c r="I3366" s="3" t="inlineStr">
        <is>
          <t>대</t>
        </is>
      </c>
      <c r="J3366" s="3" t="inlineStr">
        <is>
          <t>집현동</t>
        </is>
      </c>
    </row>
    <row r="3367">
      <c r="A3367" s="3" t="n">
        <v>2023</v>
      </c>
      <c r="B3367" s="4" t="n">
        <v>28000</v>
      </c>
      <c r="C3367" s="4" t="n">
        <v>869</v>
      </c>
      <c r="D3367" s="4" t="n">
        <v>262.8725</v>
      </c>
      <c r="E3367" s="5" t="n">
        <v>106.5</v>
      </c>
      <c r="F3367" s="3" t="inlineStr">
        <is>
          <t>남이면</t>
        </is>
      </c>
      <c r="G3367" s="3" t="inlineStr">
        <is>
          <t>석판리</t>
        </is>
      </c>
      <c r="H3367" s="3" t="inlineStr">
        <is>
          <t>자연녹지지역</t>
        </is>
      </c>
      <c r="I3367" s="3" t="inlineStr">
        <is>
          <t>전</t>
        </is>
      </c>
      <c r="J3367" s="3" t="inlineStr">
        <is>
          <t>남이면</t>
        </is>
      </c>
    </row>
    <row r="3368">
      <c r="A3368" s="3" t="n">
        <v>2023</v>
      </c>
      <c r="B3368" s="4" t="n">
        <v>5925</v>
      </c>
      <c r="C3368" s="4" t="n">
        <v>337</v>
      </c>
      <c r="D3368" s="4" t="n">
        <v>101.9425</v>
      </c>
      <c r="E3368" s="5" t="n">
        <v>58.1</v>
      </c>
      <c r="F3368" s="3" t="inlineStr">
        <is>
          <t>남이면</t>
        </is>
      </c>
      <c r="G3368" s="3" t="inlineStr">
        <is>
          <t>부용외천리</t>
        </is>
      </c>
      <c r="H3368" s="3" t="inlineStr">
        <is>
          <t>생산관리지역</t>
        </is>
      </c>
      <c r="I3368" s="3" t="inlineStr">
        <is>
          <t>전</t>
        </is>
      </c>
      <c r="J3368" s="3" t="inlineStr">
        <is>
          <t>남이면</t>
        </is>
      </c>
    </row>
    <row r="3369">
      <c r="A3369" s="3" t="n">
        <v>2023</v>
      </c>
      <c r="B3369" s="4" t="n">
        <v>28000</v>
      </c>
      <c r="C3369" s="4" t="n">
        <v>1366</v>
      </c>
      <c r="D3369" s="4" t="n">
        <v>413.215</v>
      </c>
      <c r="E3369" s="5" t="n">
        <v>67.8</v>
      </c>
      <c r="F3369" s="3" t="inlineStr">
        <is>
          <t>남이면</t>
        </is>
      </c>
      <c r="G3369" s="3" t="inlineStr">
        <is>
          <t>구미리</t>
        </is>
      </c>
      <c r="H3369" s="3" t="inlineStr">
        <is>
          <t>계획관리지역</t>
        </is>
      </c>
      <c r="I3369" s="3" t="inlineStr">
        <is>
          <t>대</t>
        </is>
      </c>
      <c r="J3369" s="3" t="inlineStr">
        <is>
          <t>남이면</t>
        </is>
      </c>
    </row>
    <row r="3370">
      <c r="A3370" s="3" t="n">
        <v>2023</v>
      </c>
      <c r="B3370" s="4" t="n">
        <v>17528</v>
      </c>
      <c r="C3370" s="4" t="n">
        <v>1220</v>
      </c>
      <c r="D3370" s="4" t="n">
        <v>369.05</v>
      </c>
      <c r="E3370" s="5" t="n">
        <v>47.5</v>
      </c>
      <c r="F3370" s="3" t="inlineStr">
        <is>
          <t>남이면</t>
        </is>
      </c>
      <c r="G3370" s="3" t="inlineStr">
        <is>
          <t>팔봉리</t>
        </is>
      </c>
      <c r="H3370" s="3" t="inlineStr">
        <is>
          <t>보전녹지지역</t>
        </is>
      </c>
      <c r="I3370" s="3" t="inlineStr">
        <is>
          <t>임야</t>
        </is>
      </c>
      <c r="J3370" s="3" t="inlineStr">
        <is>
          <t>남이면</t>
        </is>
      </c>
    </row>
    <row r="3371">
      <c r="A3371" s="3" t="n">
        <v>2023</v>
      </c>
      <c r="B3371" s="4" t="n">
        <v>21400</v>
      </c>
      <c r="C3371" s="4" t="n">
        <v>1910</v>
      </c>
      <c r="D3371" s="4" t="n">
        <v>577.775</v>
      </c>
      <c r="E3371" s="5" t="n">
        <v>37</v>
      </c>
      <c r="F3371" s="3" t="inlineStr">
        <is>
          <t>남이면</t>
        </is>
      </c>
      <c r="G3371" s="3" t="inlineStr">
        <is>
          <t>양촌리</t>
        </is>
      </c>
      <c r="H3371" s="3" t="inlineStr">
        <is>
          <t>보전녹지지역</t>
        </is>
      </c>
      <c r="I3371" s="3" t="inlineStr">
        <is>
          <t>임야</t>
        </is>
      </c>
      <c r="J3371" s="3" t="inlineStr">
        <is>
          <t>남이면</t>
        </is>
      </c>
    </row>
    <row r="3372">
      <c r="A3372" s="3" t="n">
        <v>2023</v>
      </c>
      <c r="B3372" s="4" t="n">
        <v>21400</v>
      </c>
      <c r="C3372" s="4" t="n">
        <v>1910</v>
      </c>
      <c r="D3372" s="4" t="n">
        <v>577.775</v>
      </c>
      <c r="E3372" s="5" t="n">
        <v>37</v>
      </c>
      <c r="F3372" s="3" t="inlineStr">
        <is>
          <t>남이면</t>
        </is>
      </c>
      <c r="G3372" s="3" t="inlineStr">
        <is>
          <t>양촌리</t>
        </is>
      </c>
      <c r="H3372" s="3" t="inlineStr">
        <is>
          <t>보전녹지지역</t>
        </is>
      </c>
      <c r="I3372" s="3" t="inlineStr">
        <is>
          <t>임야</t>
        </is>
      </c>
      <c r="J3372" s="3" t="inlineStr">
        <is>
          <t>남이면</t>
        </is>
      </c>
    </row>
    <row r="3373">
      <c r="A3373" s="3" t="n">
        <v>2023</v>
      </c>
      <c r="B3373" s="4" t="n">
        <v>5300</v>
      </c>
      <c r="C3373" s="4" t="n">
        <v>478</v>
      </c>
      <c r="D3373" s="4" t="n">
        <v>144.595</v>
      </c>
      <c r="E3373" s="5" t="n">
        <v>36.7</v>
      </c>
      <c r="F3373" s="3" t="inlineStr">
        <is>
          <t>남이면</t>
        </is>
      </c>
      <c r="G3373" s="3" t="inlineStr">
        <is>
          <t>양촌리</t>
        </is>
      </c>
      <c r="H3373" s="3" t="inlineStr">
        <is>
          <t>보전녹지지역</t>
        </is>
      </c>
      <c r="I3373" s="3" t="inlineStr">
        <is>
          <t>임야</t>
        </is>
      </c>
      <c r="J3373" s="3" t="inlineStr">
        <is>
          <t>남이면</t>
        </is>
      </c>
    </row>
    <row r="3374">
      <c r="A3374" s="3" t="n">
        <v>2023</v>
      </c>
      <c r="B3374" s="4" t="n">
        <v>15500</v>
      </c>
      <c r="C3374" s="4" t="n">
        <v>432</v>
      </c>
      <c r="D3374" s="4" t="n">
        <v>130.68</v>
      </c>
      <c r="E3374" s="5" t="n">
        <v>118.6</v>
      </c>
      <c r="F3374" s="3" t="inlineStr">
        <is>
          <t>남이면</t>
        </is>
      </c>
      <c r="G3374" s="3" t="inlineStr">
        <is>
          <t>팔봉리</t>
        </is>
      </c>
      <c r="H3374" s="3" t="inlineStr">
        <is>
          <t>자연녹지지역</t>
        </is>
      </c>
      <c r="I3374" s="3" t="inlineStr">
        <is>
          <t>답</t>
        </is>
      </c>
      <c r="J3374" s="3" t="inlineStr">
        <is>
          <t>남이면</t>
        </is>
      </c>
    </row>
    <row r="3375">
      <c r="A3375" s="3" t="n">
        <v>2024</v>
      </c>
      <c r="B3375" s="4" t="n">
        <v>90000</v>
      </c>
      <c r="C3375" s="4" t="n">
        <v>1113</v>
      </c>
      <c r="D3375" s="4" t="n">
        <v>336.6825</v>
      </c>
      <c r="E3375" s="5" t="n">
        <v>267.3</v>
      </c>
      <c r="F3375" s="3" t="inlineStr">
        <is>
          <t>연서면</t>
        </is>
      </c>
      <c r="G3375" s="3" t="inlineStr">
        <is>
          <t>성제리</t>
        </is>
      </c>
      <c r="H3375" s="3" t="inlineStr">
        <is>
          <t>계획관리지역</t>
        </is>
      </c>
      <c r="I3375" s="3" t="inlineStr">
        <is>
          <t>전</t>
        </is>
      </c>
      <c r="J3375" s="3" t="inlineStr">
        <is>
          <t>연서면</t>
        </is>
      </c>
    </row>
    <row r="3376">
      <c r="A3376" s="3" t="n">
        <v>2024</v>
      </c>
      <c r="B3376" s="4" t="n">
        <v>23700</v>
      </c>
      <c r="C3376" s="4" t="n">
        <v>290</v>
      </c>
      <c r="D3376" s="4" t="n">
        <v>87.72499999999999</v>
      </c>
      <c r="E3376" s="5" t="n">
        <v>270.2</v>
      </c>
      <c r="F3376" s="3" t="inlineStr">
        <is>
          <t>고운동</t>
        </is>
      </c>
      <c r="G3376" s="3" t="inlineStr"/>
      <c r="H3376" s="3" t="inlineStr">
        <is>
          <t>제1종전용주거지역</t>
        </is>
      </c>
      <c r="I3376" s="3" t="inlineStr">
        <is>
          <t>대</t>
        </is>
      </c>
      <c r="J3376" s="3" t="inlineStr">
        <is>
          <t>고운동</t>
        </is>
      </c>
    </row>
    <row r="3377">
      <c r="A3377" s="3" t="n">
        <v>2023</v>
      </c>
      <c r="B3377" s="4" t="n">
        <v>45000</v>
      </c>
      <c r="C3377" s="4" t="n">
        <v>251.7</v>
      </c>
      <c r="D3377" s="4" t="n">
        <v>76.13924999999999</v>
      </c>
      <c r="E3377" s="5" t="n">
        <v>591</v>
      </c>
      <c r="F3377" s="3" t="inlineStr">
        <is>
          <t>다정동</t>
        </is>
      </c>
      <c r="G3377" s="3" t="inlineStr"/>
      <c r="H3377" s="3" t="inlineStr">
        <is>
          <t>제1종전용주거지역</t>
        </is>
      </c>
      <c r="I3377" s="3" t="inlineStr">
        <is>
          <t>대</t>
        </is>
      </c>
      <c r="J3377" s="3" t="inlineStr">
        <is>
          <t>다정동</t>
        </is>
      </c>
    </row>
    <row r="3378">
      <c r="A3378" s="3" t="n">
        <v>2023</v>
      </c>
      <c r="B3378" s="4" t="n">
        <v>45000</v>
      </c>
      <c r="C3378" s="4" t="n">
        <v>271</v>
      </c>
      <c r="D3378" s="4" t="n">
        <v>81.97749999999999</v>
      </c>
      <c r="E3378" s="5" t="n">
        <v>548.9</v>
      </c>
      <c r="F3378" s="3" t="inlineStr">
        <is>
          <t>다정동</t>
        </is>
      </c>
      <c r="G3378" s="3" t="inlineStr"/>
      <c r="H3378" s="3" t="inlineStr">
        <is>
          <t>제1종전용주거지역</t>
        </is>
      </c>
      <c r="I3378" s="3" t="inlineStr">
        <is>
          <t>대</t>
        </is>
      </c>
      <c r="J3378" s="3" t="inlineStr">
        <is>
          <t>다정동</t>
        </is>
      </c>
    </row>
    <row r="3379">
      <c r="A3379" s="3" t="n">
        <v>2023</v>
      </c>
      <c r="B3379" s="4" t="n">
        <v>23400</v>
      </c>
      <c r="C3379" s="4" t="n">
        <v>645</v>
      </c>
      <c r="D3379" s="4" t="n">
        <v>195.1125</v>
      </c>
      <c r="E3379" s="5" t="n">
        <v>119.9</v>
      </c>
      <c r="F3379" s="3" t="inlineStr">
        <is>
          <t>연서면</t>
        </is>
      </c>
      <c r="G3379" s="3" t="inlineStr">
        <is>
          <t>와촌리</t>
        </is>
      </c>
      <c r="H3379" s="3" t="inlineStr">
        <is>
          <t>계획관리지역</t>
        </is>
      </c>
      <c r="I3379" s="3" t="inlineStr">
        <is>
          <t>전</t>
        </is>
      </c>
      <c r="J3379" s="3" t="inlineStr">
        <is>
          <t>연서면</t>
        </is>
      </c>
    </row>
    <row r="3380">
      <c r="A3380" s="3" t="n">
        <v>2023</v>
      </c>
      <c r="B3380" s="4" t="n">
        <v>100000</v>
      </c>
      <c r="C3380" s="4" t="n">
        <v>3235</v>
      </c>
      <c r="D3380" s="4" t="n">
        <v>978.5875</v>
      </c>
      <c r="E3380" s="5" t="n">
        <v>102.2</v>
      </c>
      <c r="F3380" s="3" t="inlineStr">
        <is>
          <t>남이면</t>
        </is>
      </c>
      <c r="G3380" s="3" t="inlineStr">
        <is>
          <t>석실리</t>
        </is>
      </c>
      <c r="H3380" s="3" t="inlineStr">
        <is>
          <t>자연녹지지역</t>
        </is>
      </c>
      <c r="I3380" s="3" t="inlineStr">
        <is>
          <t>답</t>
        </is>
      </c>
      <c r="J3380" s="3" t="inlineStr">
        <is>
          <t>남이면</t>
        </is>
      </c>
    </row>
    <row r="3381">
      <c r="A3381" s="3" t="n">
        <v>2023</v>
      </c>
      <c r="B3381" s="4" t="n">
        <v>8000</v>
      </c>
      <c r="C3381" s="4" t="n">
        <v>310</v>
      </c>
      <c r="D3381" s="4" t="n">
        <v>93.77499999999999</v>
      </c>
      <c r="E3381" s="5" t="n">
        <v>85.3</v>
      </c>
      <c r="F3381" s="3" t="inlineStr">
        <is>
          <t>남이면</t>
        </is>
      </c>
      <c r="G3381" s="3" t="inlineStr">
        <is>
          <t>팔봉리</t>
        </is>
      </c>
      <c r="H3381" s="3" t="inlineStr">
        <is>
          <t>자연녹지지역</t>
        </is>
      </c>
      <c r="I3381" s="3" t="inlineStr">
        <is>
          <t>대</t>
        </is>
      </c>
      <c r="J3381" s="3" t="inlineStr">
        <is>
          <t>남이면</t>
        </is>
      </c>
    </row>
    <row r="3382">
      <c r="A3382" s="3" t="n">
        <v>2023</v>
      </c>
      <c r="B3382" s="4" t="n">
        <v>2000</v>
      </c>
      <c r="C3382" s="4" t="n">
        <v>76</v>
      </c>
      <c r="D3382" s="4" t="n">
        <v>22.99</v>
      </c>
      <c r="E3382" s="5" t="n">
        <v>87</v>
      </c>
      <c r="F3382" s="3" t="inlineStr">
        <is>
          <t>남이면</t>
        </is>
      </c>
      <c r="G3382" s="3" t="inlineStr">
        <is>
          <t>팔봉리</t>
        </is>
      </c>
      <c r="H3382" s="3" t="inlineStr">
        <is>
          <t>자연녹지지역</t>
        </is>
      </c>
      <c r="I3382" s="3" t="inlineStr">
        <is>
          <t>답</t>
        </is>
      </c>
      <c r="J3382" s="3" t="inlineStr">
        <is>
          <t>남이면</t>
        </is>
      </c>
    </row>
    <row r="3383">
      <c r="A3383" s="3" t="n">
        <v>2023</v>
      </c>
      <c r="B3383" s="4" t="n">
        <v>3350</v>
      </c>
      <c r="C3383" s="4" t="n">
        <v>912</v>
      </c>
      <c r="D3383" s="4" t="n">
        <v>275.88</v>
      </c>
      <c r="E3383" s="5" t="n">
        <v>12.1</v>
      </c>
      <c r="F3383" s="3" t="inlineStr">
        <is>
          <t>남이면</t>
        </is>
      </c>
      <c r="G3383" s="3" t="inlineStr">
        <is>
          <t>척산리</t>
        </is>
      </c>
      <c r="H3383" s="3" t="inlineStr">
        <is>
          <t>생산관리지역</t>
        </is>
      </c>
      <c r="I3383" s="3" t="inlineStr">
        <is>
          <t>전</t>
        </is>
      </c>
      <c r="J3383" s="3" t="inlineStr">
        <is>
          <t>남이면</t>
        </is>
      </c>
    </row>
    <row r="3384">
      <c r="A3384" s="3" t="n">
        <v>2023</v>
      </c>
      <c r="B3384" s="4" t="n">
        <v>26400</v>
      </c>
      <c r="C3384" s="4" t="n">
        <v>3967</v>
      </c>
      <c r="D3384" s="4" t="n">
        <v>1200.0175</v>
      </c>
      <c r="E3384" s="5" t="n">
        <v>22</v>
      </c>
      <c r="F3384" s="3" t="inlineStr">
        <is>
          <t>남이면</t>
        </is>
      </c>
      <c r="G3384" s="3" t="inlineStr">
        <is>
          <t>팔봉리</t>
        </is>
      </c>
      <c r="H3384" s="3" t="inlineStr">
        <is>
          <t>보전녹지지역</t>
        </is>
      </c>
      <c r="I3384" s="3" t="inlineStr">
        <is>
          <t>전</t>
        </is>
      </c>
      <c r="J3384" s="3" t="inlineStr">
        <is>
          <t>남이면</t>
        </is>
      </c>
    </row>
    <row r="3385">
      <c r="A3385" s="3" t="n">
        <v>2023</v>
      </c>
      <c r="B3385" s="4" t="n">
        <v>48500</v>
      </c>
      <c r="C3385" s="4" t="n">
        <v>1653</v>
      </c>
      <c r="D3385" s="4" t="n">
        <v>500.0325</v>
      </c>
      <c r="E3385" s="5" t="n">
        <v>97</v>
      </c>
      <c r="F3385" s="3" t="inlineStr">
        <is>
          <t>남이면</t>
        </is>
      </c>
      <c r="G3385" s="3" t="inlineStr">
        <is>
          <t>척북리</t>
        </is>
      </c>
      <c r="H3385" s="3" t="inlineStr">
        <is>
          <t>자연녹지지역</t>
        </is>
      </c>
      <c r="I3385" s="3" t="inlineStr">
        <is>
          <t>답</t>
        </is>
      </c>
      <c r="J3385" s="3" t="inlineStr">
        <is>
          <t>남이면</t>
        </is>
      </c>
    </row>
    <row r="3386">
      <c r="A3386" s="3" t="n">
        <v>2023</v>
      </c>
      <c r="B3386" s="4" t="n">
        <v>20210</v>
      </c>
      <c r="C3386" s="4" t="n">
        <v>498</v>
      </c>
      <c r="D3386" s="4" t="n">
        <v>150.645</v>
      </c>
      <c r="E3386" s="5" t="n">
        <v>134.2</v>
      </c>
      <c r="F3386" s="3" t="inlineStr">
        <is>
          <t>남이면</t>
        </is>
      </c>
      <c r="G3386" s="3" t="inlineStr">
        <is>
          <t>가마리</t>
        </is>
      </c>
      <c r="H3386" s="3" t="inlineStr">
        <is>
          <t>자연녹지지역</t>
        </is>
      </c>
      <c r="I3386" s="3" t="inlineStr">
        <is>
          <t>답</t>
        </is>
      </c>
      <c r="J3386" s="3" t="inlineStr">
        <is>
          <t>남이면</t>
        </is>
      </c>
    </row>
    <row r="3387">
      <c r="A3387" s="3" t="n">
        <v>2023</v>
      </c>
      <c r="B3387" s="4" t="n">
        <v>41920</v>
      </c>
      <c r="C3387" s="4" t="n">
        <v>1033</v>
      </c>
      <c r="D3387" s="4" t="n">
        <v>312.4825</v>
      </c>
      <c r="E3387" s="5" t="n">
        <v>134.2</v>
      </c>
      <c r="F3387" s="3" t="inlineStr">
        <is>
          <t>남이면</t>
        </is>
      </c>
      <c r="G3387" s="3" t="inlineStr">
        <is>
          <t>가마리</t>
        </is>
      </c>
      <c r="H3387" s="3" t="inlineStr">
        <is>
          <t>자연녹지지역</t>
        </is>
      </c>
      <c r="I3387" s="3" t="inlineStr">
        <is>
          <t>답</t>
        </is>
      </c>
      <c r="J3387" s="3" t="inlineStr">
        <is>
          <t>남이면</t>
        </is>
      </c>
    </row>
    <row r="3388">
      <c r="A3388" s="3" t="n">
        <v>2023</v>
      </c>
      <c r="B3388" s="4" t="n">
        <v>1870</v>
      </c>
      <c r="C3388" s="4" t="n">
        <v>46</v>
      </c>
      <c r="D3388" s="4" t="n">
        <v>13.915</v>
      </c>
      <c r="E3388" s="5" t="n">
        <v>134.4</v>
      </c>
      <c r="F3388" s="3" t="inlineStr">
        <is>
          <t>남이면</t>
        </is>
      </c>
      <c r="G3388" s="3" t="inlineStr">
        <is>
          <t>가마리</t>
        </is>
      </c>
      <c r="H3388" s="3" t="inlineStr">
        <is>
          <t>자연녹지지역</t>
        </is>
      </c>
      <c r="I3388" s="3" t="inlineStr">
        <is>
          <t>답</t>
        </is>
      </c>
      <c r="J3388" s="3" t="inlineStr">
        <is>
          <t>남이면</t>
        </is>
      </c>
    </row>
    <row r="3389">
      <c r="A3389" s="3" t="n">
        <v>2023</v>
      </c>
      <c r="B3389" s="4" t="n">
        <v>622</v>
      </c>
      <c r="C3389" s="4" t="n">
        <v>17</v>
      </c>
      <c r="D3389" s="4" t="n">
        <v>5.1425</v>
      </c>
      <c r="E3389" s="5" t="n">
        <v>121</v>
      </c>
      <c r="F3389" s="3" t="inlineStr">
        <is>
          <t>남이면</t>
        </is>
      </c>
      <c r="G3389" s="3" t="inlineStr">
        <is>
          <t>수대리</t>
        </is>
      </c>
      <c r="H3389" s="3" t="inlineStr">
        <is>
          <t>자연녹지지역</t>
        </is>
      </c>
      <c r="I3389" s="3" t="inlineStr">
        <is>
          <t>대</t>
        </is>
      </c>
      <c r="J3389" s="3" t="inlineStr">
        <is>
          <t>남이면</t>
        </is>
      </c>
    </row>
    <row r="3390">
      <c r="A3390" s="3" t="n">
        <v>2023</v>
      </c>
      <c r="B3390" s="4" t="n">
        <v>4158</v>
      </c>
      <c r="C3390" s="4" t="n">
        <v>235</v>
      </c>
      <c r="D3390" s="4" t="n">
        <v>71.08749999999999</v>
      </c>
      <c r="E3390" s="5" t="n">
        <v>58.5</v>
      </c>
      <c r="F3390" s="3" t="inlineStr">
        <is>
          <t>남이면</t>
        </is>
      </c>
      <c r="G3390" s="3" t="inlineStr">
        <is>
          <t>사동리</t>
        </is>
      </c>
      <c r="H3390" s="3" t="inlineStr">
        <is>
          <t>생산관리지역</t>
        </is>
      </c>
      <c r="I3390" s="3" t="inlineStr">
        <is>
          <t>전</t>
        </is>
      </c>
      <c r="J3390" s="3" t="inlineStr">
        <is>
          <t>남이면</t>
        </is>
      </c>
    </row>
    <row r="3391">
      <c r="A3391" s="3" t="n">
        <v>2023</v>
      </c>
      <c r="B3391" s="4" t="n">
        <v>16842</v>
      </c>
      <c r="C3391" s="4" t="n">
        <v>952</v>
      </c>
      <c r="D3391" s="4" t="n">
        <v>287.98</v>
      </c>
      <c r="E3391" s="5" t="n">
        <v>58.5</v>
      </c>
      <c r="F3391" s="3" t="inlineStr">
        <is>
          <t>남이면</t>
        </is>
      </c>
      <c r="G3391" s="3" t="inlineStr">
        <is>
          <t>사동리</t>
        </is>
      </c>
      <c r="H3391" s="3" t="inlineStr">
        <is>
          <t>생산관리지역</t>
        </is>
      </c>
      <c r="I3391" s="3" t="inlineStr">
        <is>
          <t>답</t>
        </is>
      </c>
      <c r="J3391" s="3" t="inlineStr">
        <is>
          <t>남이면</t>
        </is>
      </c>
    </row>
    <row r="3392">
      <c r="A3392" s="3" t="n">
        <v>2023</v>
      </c>
      <c r="B3392" s="4" t="n">
        <v>3326</v>
      </c>
      <c r="C3392" s="4" t="n">
        <v>188</v>
      </c>
      <c r="D3392" s="4" t="n">
        <v>56.87</v>
      </c>
      <c r="E3392" s="5" t="n">
        <v>58.5</v>
      </c>
      <c r="F3392" s="3" t="inlineStr">
        <is>
          <t>남이면</t>
        </is>
      </c>
      <c r="G3392" s="3" t="inlineStr">
        <is>
          <t>사동리</t>
        </is>
      </c>
      <c r="H3392" s="3" t="inlineStr">
        <is>
          <t>생산관리지역</t>
        </is>
      </c>
      <c r="I3392" s="3" t="inlineStr">
        <is>
          <t>전</t>
        </is>
      </c>
      <c r="J3392" s="3" t="inlineStr">
        <is>
          <t>남이면</t>
        </is>
      </c>
    </row>
    <row r="3393">
      <c r="A3393" s="3" t="n">
        <v>2023</v>
      </c>
      <c r="B3393" s="4" t="n">
        <v>14737</v>
      </c>
      <c r="C3393" s="4" t="n">
        <v>833</v>
      </c>
      <c r="D3393" s="4" t="n">
        <v>251.9825</v>
      </c>
      <c r="E3393" s="5" t="n">
        <v>58.5</v>
      </c>
      <c r="F3393" s="3" t="inlineStr">
        <is>
          <t>남이면</t>
        </is>
      </c>
      <c r="G3393" s="3" t="inlineStr">
        <is>
          <t>사동리</t>
        </is>
      </c>
      <c r="H3393" s="3" t="inlineStr">
        <is>
          <t>생산관리지역</t>
        </is>
      </c>
      <c r="I3393" s="3" t="inlineStr">
        <is>
          <t>잡종지</t>
        </is>
      </c>
      <c r="J3393" s="3" t="inlineStr">
        <is>
          <t>남이면</t>
        </is>
      </c>
    </row>
    <row r="3394">
      <c r="A3394" s="3" t="n">
        <v>2023</v>
      </c>
      <c r="B3394" s="4" t="n">
        <v>2937</v>
      </c>
      <c r="C3394" s="4" t="n">
        <v>166</v>
      </c>
      <c r="D3394" s="4" t="n">
        <v>50.215</v>
      </c>
      <c r="E3394" s="5" t="n">
        <v>58.5</v>
      </c>
      <c r="F3394" s="3" t="inlineStr">
        <is>
          <t>남이면</t>
        </is>
      </c>
      <c r="G3394" s="3" t="inlineStr">
        <is>
          <t>사동리</t>
        </is>
      </c>
      <c r="H3394" s="3" t="inlineStr">
        <is>
          <t>생산관리지역</t>
        </is>
      </c>
      <c r="I3394" s="3" t="inlineStr">
        <is>
          <t>잡종지</t>
        </is>
      </c>
      <c r="J3394" s="3" t="inlineStr">
        <is>
          <t>남이면</t>
        </is>
      </c>
    </row>
    <row r="3395">
      <c r="A3395" s="3" t="n">
        <v>2023</v>
      </c>
      <c r="B3395" s="4" t="n">
        <v>43485</v>
      </c>
      <c r="C3395" s="4" t="n">
        <v>2301</v>
      </c>
      <c r="D3395" s="4" t="n">
        <v>696.0525</v>
      </c>
      <c r="E3395" s="5" t="n">
        <v>62.5</v>
      </c>
      <c r="F3395" s="3" t="inlineStr">
        <is>
          <t>남이면</t>
        </is>
      </c>
      <c r="G3395" s="3" t="inlineStr">
        <is>
          <t>팔봉리</t>
        </is>
      </c>
      <c r="H3395" s="3" t="inlineStr">
        <is>
          <t>자연녹지지역</t>
        </is>
      </c>
      <c r="I3395" s="3" t="inlineStr">
        <is>
          <t>전</t>
        </is>
      </c>
      <c r="J3395" s="3" t="inlineStr">
        <is>
          <t>남이면</t>
        </is>
      </c>
    </row>
    <row r="3396">
      <c r="A3396" s="3" t="n">
        <v>2022</v>
      </c>
      <c r="B3396" s="4" t="n">
        <v>40000</v>
      </c>
      <c r="C3396" s="4" t="n">
        <v>990</v>
      </c>
      <c r="D3396" s="4" t="n">
        <v>299.475</v>
      </c>
      <c r="E3396" s="5" t="n">
        <v>133.6</v>
      </c>
      <c r="F3396" s="3" t="inlineStr">
        <is>
          <t>조치원읍</t>
        </is>
      </c>
      <c r="G3396" s="3" t="inlineStr">
        <is>
          <t>번암리</t>
        </is>
      </c>
      <c r="H3396" s="3" t="inlineStr">
        <is>
          <t>자연녹지지역</t>
        </is>
      </c>
      <c r="I3396" s="3" t="inlineStr">
        <is>
          <t>전</t>
        </is>
      </c>
      <c r="J3396" s="3" t="inlineStr">
        <is>
          <t>조치원읍</t>
        </is>
      </c>
    </row>
    <row r="3397">
      <c r="A3397" s="3" t="n">
        <v>2022</v>
      </c>
      <c r="B3397" s="4" t="n">
        <v>40000</v>
      </c>
      <c r="C3397" s="4" t="n">
        <v>990</v>
      </c>
      <c r="D3397" s="4" t="n">
        <v>299.475</v>
      </c>
      <c r="E3397" s="5" t="n">
        <v>133.6</v>
      </c>
      <c r="F3397" s="3" t="inlineStr">
        <is>
          <t>조치원읍</t>
        </is>
      </c>
      <c r="G3397" s="3" t="inlineStr">
        <is>
          <t>번암리</t>
        </is>
      </c>
      <c r="H3397" s="3" t="inlineStr">
        <is>
          <t>자연녹지지역</t>
        </is>
      </c>
      <c r="I3397" s="3" t="inlineStr">
        <is>
          <t>전</t>
        </is>
      </c>
      <c r="J3397" s="3" t="inlineStr">
        <is>
          <t>조치원읍</t>
        </is>
      </c>
    </row>
    <row r="3398">
      <c r="A3398" s="3" t="n">
        <v>2022</v>
      </c>
      <c r="B3398" s="4" t="n">
        <v>160000</v>
      </c>
      <c r="C3398" s="4" t="n">
        <v>9991</v>
      </c>
      <c r="D3398" s="4" t="n">
        <v>3022.2775</v>
      </c>
      <c r="E3398" s="5" t="n">
        <v>52.9</v>
      </c>
      <c r="F3398" s="3" t="inlineStr">
        <is>
          <t>연동면</t>
        </is>
      </c>
      <c r="G3398" s="3" t="inlineStr">
        <is>
          <t>문주리</t>
        </is>
      </c>
      <c r="H3398" s="3" t="inlineStr">
        <is>
          <t>보전관리지역</t>
        </is>
      </c>
      <c r="I3398" s="3" t="inlineStr">
        <is>
          <t>임야</t>
        </is>
      </c>
      <c r="J3398" s="3" t="inlineStr">
        <is>
          <t>연동면</t>
        </is>
      </c>
    </row>
    <row r="3399">
      <c r="A3399" s="3" t="n">
        <v>2022</v>
      </c>
      <c r="B3399" s="4" t="n">
        <v>20500</v>
      </c>
      <c r="C3399" s="4" t="n">
        <v>1505</v>
      </c>
      <c r="D3399" s="4" t="n">
        <v>455.2625</v>
      </c>
      <c r="E3399" s="5" t="n">
        <v>45</v>
      </c>
      <c r="F3399" s="3" t="inlineStr">
        <is>
          <t>연동면</t>
        </is>
      </c>
      <c r="G3399" s="3" t="inlineStr">
        <is>
          <t>문주리</t>
        </is>
      </c>
      <c r="H3399" s="3" t="inlineStr">
        <is>
          <t>보전관리지역</t>
        </is>
      </c>
      <c r="I3399" s="3" t="inlineStr">
        <is>
          <t>과수원</t>
        </is>
      </c>
      <c r="J3399" s="3" t="inlineStr">
        <is>
          <t>연동면</t>
        </is>
      </c>
    </row>
    <row r="3400">
      <c r="A3400" s="3" t="n">
        <v>2022</v>
      </c>
      <c r="B3400" s="4" t="n">
        <v>259500</v>
      </c>
      <c r="C3400" s="4" t="n">
        <v>9129</v>
      </c>
      <c r="D3400" s="4" t="n">
        <v>2761.5225</v>
      </c>
      <c r="E3400" s="5" t="n">
        <v>94</v>
      </c>
      <c r="F3400" s="3" t="inlineStr">
        <is>
          <t>연동면</t>
        </is>
      </c>
      <c r="G3400" s="3" t="inlineStr">
        <is>
          <t>문주리</t>
        </is>
      </c>
      <c r="H3400" s="3" t="inlineStr">
        <is>
          <t>보전관리지역</t>
        </is>
      </c>
      <c r="I3400" s="3" t="inlineStr">
        <is>
          <t>과수원</t>
        </is>
      </c>
      <c r="J3400" s="3" t="inlineStr">
        <is>
          <t>연동면</t>
        </is>
      </c>
    </row>
    <row r="3401">
      <c r="A3401" s="3" t="n">
        <v>2022</v>
      </c>
      <c r="B3401" s="4" t="n">
        <v>40000</v>
      </c>
      <c r="C3401" s="4" t="n">
        <v>990</v>
      </c>
      <c r="D3401" s="4" t="n">
        <v>299.475</v>
      </c>
      <c r="E3401" s="5" t="n">
        <v>133.6</v>
      </c>
      <c r="F3401" s="3" t="inlineStr">
        <is>
          <t>조치원읍</t>
        </is>
      </c>
      <c r="G3401" s="3" t="inlineStr">
        <is>
          <t>번암리</t>
        </is>
      </c>
      <c r="H3401" s="3" t="inlineStr">
        <is>
          <t>자연녹지지역</t>
        </is>
      </c>
      <c r="I3401" s="3" t="inlineStr">
        <is>
          <t>전</t>
        </is>
      </c>
      <c r="J3401" s="3" t="inlineStr">
        <is>
          <t>조치원읍</t>
        </is>
      </c>
    </row>
    <row r="3402">
      <c r="A3402" s="3" t="n">
        <v>2022</v>
      </c>
      <c r="B3402" s="4" t="n">
        <v>40000</v>
      </c>
      <c r="C3402" s="4" t="n">
        <v>990</v>
      </c>
      <c r="D3402" s="4" t="n">
        <v>299.475</v>
      </c>
      <c r="E3402" s="5" t="n">
        <v>133.6</v>
      </c>
      <c r="F3402" s="3" t="inlineStr">
        <is>
          <t>조치원읍</t>
        </is>
      </c>
      <c r="G3402" s="3" t="inlineStr">
        <is>
          <t>번암리</t>
        </is>
      </c>
      <c r="H3402" s="3" t="inlineStr">
        <is>
          <t>자연녹지지역</t>
        </is>
      </c>
      <c r="I3402" s="3" t="inlineStr">
        <is>
          <t>전</t>
        </is>
      </c>
      <c r="J3402" s="3" t="inlineStr">
        <is>
          <t>조치원읍</t>
        </is>
      </c>
    </row>
    <row r="3403">
      <c r="A3403" s="3" t="n">
        <v>2022</v>
      </c>
      <c r="B3403" s="4" t="n">
        <v>5000</v>
      </c>
      <c r="C3403" s="4" t="n">
        <v>54</v>
      </c>
      <c r="D3403" s="4" t="n">
        <v>16.335</v>
      </c>
      <c r="E3403" s="5" t="n">
        <v>306.1</v>
      </c>
      <c r="F3403" s="3" t="inlineStr">
        <is>
          <t>조치원읍</t>
        </is>
      </c>
      <c r="G3403" s="3" t="inlineStr">
        <is>
          <t>평리</t>
        </is>
      </c>
      <c r="H3403" s="3" t="inlineStr">
        <is>
          <t>제2종일반주거지역</t>
        </is>
      </c>
      <c r="I3403" s="3" t="inlineStr">
        <is>
          <t>대</t>
        </is>
      </c>
      <c r="J3403" s="3" t="inlineStr">
        <is>
          <t>조치원읍</t>
        </is>
      </c>
    </row>
    <row r="3404">
      <c r="A3404" s="3" t="n">
        <v>2023</v>
      </c>
      <c r="B3404" s="4" t="n">
        <v>3515</v>
      </c>
      <c r="C3404" s="4" t="n">
        <v>186</v>
      </c>
      <c r="D3404" s="4" t="n">
        <v>56.265</v>
      </c>
      <c r="E3404" s="5" t="n">
        <v>62.5</v>
      </c>
      <c r="F3404" s="3" t="inlineStr">
        <is>
          <t>남이면</t>
        </is>
      </c>
      <c r="G3404" s="3" t="inlineStr">
        <is>
          <t>팔봉리</t>
        </is>
      </c>
      <c r="H3404" s="3" t="inlineStr">
        <is>
          <t>자연녹지지역</t>
        </is>
      </c>
      <c r="I3404" s="3" t="inlineStr">
        <is>
          <t>묘지</t>
        </is>
      </c>
      <c r="J3404" s="3" t="inlineStr">
        <is>
          <t>남이면</t>
        </is>
      </c>
    </row>
    <row r="3405">
      <c r="A3405" s="3" t="n">
        <v>2024</v>
      </c>
      <c r="B3405" s="4" t="n">
        <v>11598</v>
      </c>
      <c r="C3405" s="4" t="n">
        <v>417</v>
      </c>
      <c r="D3405" s="4" t="n">
        <v>126.1425</v>
      </c>
      <c r="E3405" s="5" t="n">
        <v>91.90000000000001</v>
      </c>
      <c r="F3405" s="3" t="inlineStr">
        <is>
          <t>남이면</t>
        </is>
      </c>
      <c r="G3405" s="3" t="inlineStr">
        <is>
          <t>가좌리</t>
        </is>
      </c>
      <c r="H3405" s="3" t="inlineStr">
        <is>
          <t>자연녹지지역</t>
        </is>
      </c>
      <c r="I3405" s="3" t="inlineStr">
        <is>
          <t>답</t>
        </is>
      </c>
      <c r="J3405" s="3" t="inlineStr">
        <is>
          <t>남이면</t>
        </is>
      </c>
    </row>
    <row r="3406">
      <c r="A3406" s="3" t="n">
        <v>2026</v>
      </c>
      <c r="B3406" s="4" t="n">
        <v>200</v>
      </c>
      <c r="C3406" s="4" t="n">
        <v>7</v>
      </c>
      <c r="D3406" s="4" t="n">
        <v>2.1175</v>
      </c>
      <c r="E3406" s="5" t="n">
        <v>94.5</v>
      </c>
      <c r="F3406" s="3" t="inlineStr">
        <is>
          <t>남이면</t>
        </is>
      </c>
      <c r="G3406" s="3" t="inlineStr">
        <is>
          <t>가마리</t>
        </is>
      </c>
      <c r="H3406" s="3" t="inlineStr">
        <is>
          <t>자연녹지지역</t>
        </is>
      </c>
      <c r="I3406" s="3" t="inlineStr">
        <is>
          <t>전</t>
        </is>
      </c>
      <c r="J3406" s="3" t="inlineStr">
        <is>
          <t>남이면</t>
        </is>
      </c>
    </row>
    <row r="3407">
      <c r="A3407" s="3" t="n">
        <v>2026</v>
      </c>
      <c r="B3407" s="4" t="n">
        <v>27500</v>
      </c>
      <c r="C3407" s="4" t="n">
        <v>889</v>
      </c>
      <c r="D3407" s="4" t="n">
        <v>268.9225</v>
      </c>
      <c r="E3407" s="5" t="n">
        <v>102.3</v>
      </c>
      <c r="F3407" s="3" t="inlineStr">
        <is>
          <t>남이면</t>
        </is>
      </c>
      <c r="G3407" s="3" t="inlineStr">
        <is>
          <t>가마리</t>
        </is>
      </c>
      <c r="H3407" s="3" t="inlineStr">
        <is>
          <t>자연녹지지역</t>
        </is>
      </c>
      <c r="I3407" s="3" t="inlineStr">
        <is>
          <t>전</t>
        </is>
      </c>
      <c r="J3407" s="3" t="inlineStr">
        <is>
          <t>남이면</t>
        </is>
      </c>
    </row>
    <row r="3408">
      <c r="A3408" s="3" t="n">
        <v>2022</v>
      </c>
      <c r="B3408" s="4" t="n">
        <v>900</v>
      </c>
      <c r="C3408" s="4" t="n">
        <v>307</v>
      </c>
      <c r="D3408" s="4" t="n">
        <v>92.86749999999999</v>
      </c>
      <c r="E3408" s="5" t="n">
        <v>9.699999999999999</v>
      </c>
      <c r="F3408" s="3" t="inlineStr">
        <is>
          <t>강내면</t>
        </is>
      </c>
      <c r="G3408" s="3" t="inlineStr">
        <is>
          <t>산단리</t>
        </is>
      </c>
      <c r="H3408" s="3" t="inlineStr">
        <is>
          <t>계획관리지역</t>
        </is>
      </c>
      <c r="I3408" s="3" t="inlineStr">
        <is>
          <t>도로</t>
        </is>
      </c>
      <c r="J3408" s="3" t="inlineStr">
        <is>
          <t>강내면</t>
        </is>
      </c>
    </row>
    <row r="3409">
      <c r="A3409" s="3" t="n">
        <v>2022</v>
      </c>
      <c r="B3409" s="4" t="n">
        <v>30000</v>
      </c>
      <c r="C3409" s="4" t="n">
        <v>265.1</v>
      </c>
      <c r="D3409" s="4" t="n">
        <v>80.19275</v>
      </c>
      <c r="E3409" s="5" t="n">
        <v>374.1</v>
      </c>
      <c r="F3409" s="3" t="inlineStr">
        <is>
          <t>오송읍</t>
        </is>
      </c>
      <c r="G3409" s="3" t="inlineStr">
        <is>
          <t>봉산리</t>
        </is>
      </c>
      <c r="H3409" s="3" t="inlineStr">
        <is>
          <t>제1종일반주거지역</t>
        </is>
      </c>
      <c r="I3409" s="3" t="inlineStr">
        <is>
          <t>대</t>
        </is>
      </c>
      <c r="J3409" s="3" t="inlineStr">
        <is>
          <t>오송읍</t>
        </is>
      </c>
    </row>
    <row r="3410">
      <c r="A3410" s="3" t="n">
        <v>2022</v>
      </c>
      <c r="B3410" s="4" t="n">
        <v>235</v>
      </c>
      <c r="C3410" s="4" t="n">
        <v>12</v>
      </c>
      <c r="D3410" s="4" t="n">
        <v>3.63</v>
      </c>
      <c r="E3410" s="5" t="n">
        <v>64.7</v>
      </c>
      <c r="F3410" s="3" t="inlineStr">
        <is>
          <t>강내면</t>
        </is>
      </c>
      <c r="G3410" s="3" t="inlineStr">
        <is>
          <t>탑연리</t>
        </is>
      </c>
      <c r="H3410" s="3" t="inlineStr">
        <is>
          <t>자연녹지지역</t>
        </is>
      </c>
      <c r="I3410" s="3" t="inlineStr">
        <is>
          <t>도로</t>
        </is>
      </c>
      <c r="J3410" s="3" t="inlineStr">
        <is>
          <t>강내면</t>
        </is>
      </c>
    </row>
    <row r="3411">
      <c r="A3411" s="3" t="n">
        <v>2022</v>
      </c>
      <c r="B3411" s="4" t="n">
        <v>55000</v>
      </c>
      <c r="C3411" s="4" t="n">
        <v>286.8</v>
      </c>
      <c r="D3411" s="4" t="n">
        <v>86.75700000000001</v>
      </c>
      <c r="E3411" s="5" t="n">
        <v>634</v>
      </c>
      <c r="F3411" s="3" t="inlineStr">
        <is>
          <t>오송읍</t>
        </is>
      </c>
      <c r="G3411" s="3" t="inlineStr">
        <is>
          <t>봉산리</t>
        </is>
      </c>
      <c r="H3411" s="3" t="inlineStr">
        <is>
          <t>제1종일반주거지역</t>
        </is>
      </c>
      <c r="I3411" s="3" t="inlineStr">
        <is>
          <t>대</t>
        </is>
      </c>
      <c r="J3411" s="3" t="inlineStr">
        <is>
          <t>오송읍</t>
        </is>
      </c>
    </row>
    <row r="3412">
      <c r="A3412" s="3" t="n">
        <v>2022</v>
      </c>
      <c r="B3412" s="4" t="n">
        <v>6040</v>
      </c>
      <c r="C3412" s="4" t="n">
        <v>1000</v>
      </c>
      <c r="D3412" s="4" t="n">
        <v>302.5</v>
      </c>
      <c r="E3412" s="5" t="n">
        <v>20</v>
      </c>
      <c r="F3412" s="3" t="inlineStr">
        <is>
          <t>오송읍</t>
        </is>
      </c>
      <c r="G3412" s="3" t="inlineStr">
        <is>
          <t>연제리</t>
        </is>
      </c>
      <c r="H3412" s="3" t="inlineStr">
        <is>
          <t>계획관리지역</t>
        </is>
      </c>
      <c r="I3412" s="3" t="inlineStr">
        <is>
          <t>대</t>
        </is>
      </c>
      <c r="J3412" s="3" t="inlineStr">
        <is>
          <t>오송읍</t>
        </is>
      </c>
    </row>
    <row r="3413">
      <c r="A3413" s="3" t="n">
        <v>2022</v>
      </c>
      <c r="B3413" s="4" t="n">
        <v>32000</v>
      </c>
      <c r="C3413" s="4" t="n">
        <v>267.6</v>
      </c>
      <c r="D3413" s="4" t="n">
        <v>80.949</v>
      </c>
      <c r="E3413" s="5" t="n">
        <v>395.3</v>
      </c>
      <c r="F3413" s="3" t="inlineStr">
        <is>
          <t>오송읍</t>
        </is>
      </c>
      <c r="G3413" s="3" t="inlineStr">
        <is>
          <t>봉산리</t>
        </is>
      </c>
      <c r="H3413" s="3" t="inlineStr">
        <is>
          <t>제1종일반주거지역</t>
        </is>
      </c>
      <c r="I3413" s="3" t="inlineStr">
        <is>
          <t>대</t>
        </is>
      </c>
      <c r="J3413" s="3" t="inlineStr">
        <is>
          <t>오송읍</t>
        </is>
      </c>
    </row>
    <row r="3414">
      <c r="A3414" s="3" t="n">
        <v>2025</v>
      </c>
      <c r="B3414" s="4" t="n">
        <v>1200</v>
      </c>
      <c r="C3414" s="4" t="n">
        <v>317</v>
      </c>
      <c r="D3414" s="4" t="n">
        <v>95.8925</v>
      </c>
      <c r="E3414" s="5" t="n">
        <v>12.5</v>
      </c>
      <c r="F3414" s="3" t="inlineStr">
        <is>
          <t>남이면</t>
        </is>
      </c>
      <c r="G3414" s="3" t="inlineStr">
        <is>
          <t>외천리</t>
        </is>
      </c>
      <c r="H3414" s="3" t="inlineStr">
        <is>
          <t>보전관리지역</t>
        </is>
      </c>
      <c r="I3414" s="3" t="inlineStr">
        <is>
          <t>답</t>
        </is>
      </c>
      <c r="J3414" s="3" t="inlineStr">
        <is>
          <t>남이면</t>
        </is>
      </c>
    </row>
    <row r="3415">
      <c r="A3415" s="3" t="n">
        <v>2025</v>
      </c>
      <c r="B3415" s="4" t="n">
        <v>11760</v>
      </c>
      <c r="C3415" s="4" t="n">
        <v>555</v>
      </c>
      <c r="D3415" s="4" t="n">
        <v>167.8875</v>
      </c>
      <c r="E3415" s="5" t="n">
        <v>70</v>
      </c>
      <c r="F3415" s="3" t="inlineStr">
        <is>
          <t>남이면</t>
        </is>
      </c>
      <c r="G3415" s="3" t="inlineStr">
        <is>
          <t>외천리</t>
        </is>
      </c>
      <c r="H3415" s="3" t="inlineStr">
        <is>
          <t>계획관리지역</t>
        </is>
      </c>
      <c r="I3415" s="3" t="inlineStr">
        <is>
          <t>대</t>
        </is>
      </c>
      <c r="J3415" s="3" t="inlineStr">
        <is>
          <t>남이면</t>
        </is>
      </c>
    </row>
    <row r="3416">
      <c r="A3416" s="3" t="n">
        <v>2025</v>
      </c>
      <c r="B3416" s="4" t="n">
        <v>15829</v>
      </c>
      <c r="C3416" s="4" t="n">
        <v>659</v>
      </c>
      <c r="D3416" s="4" t="n">
        <v>199.3475</v>
      </c>
      <c r="E3416" s="5" t="n">
        <v>79.40000000000001</v>
      </c>
      <c r="F3416" s="3" t="inlineStr">
        <is>
          <t>남이면</t>
        </is>
      </c>
      <c r="G3416" s="3" t="inlineStr">
        <is>
          <t>척산리</t>
        </is>
      </c>
      <c r="H3416" s="3" t="inlineStr">
        <is>
          <t>계획관리지역</t>
        </is>
      </c>
      <c r="I3416" s="3" t="inlineStr">
        <is>
          <t>대</t>
        </is>
      </c>
      <c r="J3416" s="3" t="inlineStr">
        <is>
          <t>남이면</t>
        </is>
      </c>
    </row>
    <row r="3417">
      <c r="A3417" s="3" t="n">
        <v>2025</v>
      </c>
      <c r="B3417" s="4" t="n">
        <v>12775</v>
      </c>
      <c r="C3417" s="4" t="n">
        <v>566</v>
      </c>
      <c r="D3417" s="4" t="n">
        <v>171.215</v>
      </c>
      <c r="E3417" s="5" t="n">
        <v>74.59999999999999</v>
      </c>
      <c r="F3417" s="3" t="inlineStr">
        <is>
          <t>남이면</t>
        </is>
      </c>
      <c r="G3417" s="3" t="inlineStr">
        <is>
          <t>척산리</t>
        </is>
      </c>
      <c r="H3417" s="3" t="inlineStr">
        <is>
          <t>계획관리지역</t>
        </is>
      </c>
      <c r="I3417" s="3" t="inlineStr">
        <is>
          <t>대</t>
        </is>
      </c>
      <c r="J3417" s="3" t="inlineStr">
        <is>
          <t>남이면</t>
        </is>
      </c>
    </row>
    <row r="3418">
      <c r="A3418" s="3" t="n">
        <v>2025</v>
      </c>
      <c r="B3418" s="4" t="n">
        <v>24540</v>
      </c>
      <c r="C3418" s="4" t="n">
        <v>1250</v>
      </c>
      <c r="D3418" s="4" t="n">
        <v>378.125</v>
      </c>
      <c r="E3418" s="5" t="n">
        <v>64.90000000000001</v>
      </c>
      <c r="F3418" s="3" t="inlineStr">
        <is>
          <t>남이면</t>
        </is>
      </c>
      <c r="G3418" s="3" t="inlineStr">
        <is>
          <t>팔봉리</t>
        </is>
      </c>
      <c r="H3418" s="3" t="inlineStr">
        <is>
          <t>보전녹지지역</t>
        </is>
      </c>
      <c r="I3418" s="3" t="inlineStr">
        <is>
          <t>임야</t>
        </is>
      </c>
      <c r="J3418" s="3" t="inlineStr">
        <is>
          <t>남이면</t>
        </is>
      </c>
    </row>
    <row r="3419">
      <c r="A3419" s="3" t="n">
        <v>2026</v>
      </c>
      <c r="B3419" s="4" t="n">
        <v>88425</v>
      </c>
      <c r="C3419" s="4" t="n">
        <v>2663</v>
      </c>
      <c r="D3419" s="4" t="n">
        <v>805.5575</v>
      </c>
      <c r="E3419" s="5" t="n">
        <v>109.8</v>
      </c>
      <c r="F3419" s="3" t="inlineStr">
        <is>
          <t>남이면</t>
        </is>
      </c>
      <c r="G3419" s="3" t="inlineStr">
        <is>
          <t>가좌리</t>
        </is>
      </c>
      <c r="H3419" s="3" t="inlineStr">
        <is>
          <t>자연녹지지역</t>
        </is>
      </c>
      <c r="I3419" s="3" t="inlineStr">
        <is>
          <t>임야</t>
        </is>
      </c>
      <c r="J3419" s="3" t="inlineStr">
        <is>
          <t>남이면</t>
        </is>
      </c>
    </row>
    <row r="3420">
      <c r="A3420" s="3" t="n">
        <v>2026</v>
      </c>
      <c r="B3420" s="4" t="n">
        <v>6575</v>
      </c>
      <c r="C3420" s="4" t="n">
        <v>198</v>
      </c>
      <c r="D3420" s="4" t="n">
        <v>59.895</v>
      </c>
      <c r="E3420" s="5" t="n">
        <v>109.8</v>
      </c>
      <c r="F3420" s="3" t="inlineStr">
        <is>
          <t>남이면</t>
        </is>
      </c>
      <c r="G3420" s="3" t="inlineStr">
        <is>
          <t>가좌리</t>
        </is>
      </c>
      <c r="H3420" s="3" t="inlineStr">
        <is>
          <t>자연녹지지역</t>
        </is>
      </c>
      <c r="I3420" s="3" t="inlineStr">
        <is>
          <t>임야</t>
        </is>
      </c>
      <c r="J3420" s="3" t="inlineStr">
        <is>
          <t>남이면</t>
        </is>
      </c>
    </row>
    <row r="3421">
      <c r="A3421" s="3" t="n">
        <v>2026</v>
      </c>
      <c r="B3421" s="4" t="n">
        <v>95000</v>
      </c>
      <c r="C3421" s="4" t="n">
        <v>2861</v>
      </c>
      <c r="D3421" s="4" t="n">
        <v>865.4525</v>
      </c>
      <c r="E3421" s="5" t="n">
        <v>109.8</v>
      </c>
      <c r="F3421" s="3" t="inlineStr">
        <is>
          <t>남이면</t>
        </is>
      </c>
      <c r="G3421" s="3" t="inlineStr">
        <is>
          <t>가좌리</t>
        </is>
      </c>
      <c r="H3421" s="3" t="inlineStr">
        <is>
          <t>자연녹지지역</t>
        </is>
      </c>
      <c r="I3421" s="3" t="inlineStr">
        <is>
          <t>임야</t>
        </is>
      </c>
      <c r="J3421" s="3" t="inlineStr">
        <is>
          <t>남이면</t>
        </is>
      </c>
    </row>
    <row r="3422">
      <c r="A3422" s="3" t="n">
        <v>2026</v>
      </c>
      <c r="B3422" s="4" t="n">
        <v>82500</v>
      </c>
      <c r="C3422" s="4" t="n">
        <v>495</v>
      </c>
      <c r="D3422" s="4" t="n">
        <v>149.7375</v>
      </c>
      <c r="E3422" s="5" t="n">
        <v>551</v>
      </c>
      <c r="F3422" s="3" t="inlineStr">
        <is>
          <t>남이면</t>
        </is>
      </c>
      <c r="G3422" s="3" t="inlineStr">
        <is>
          <t>가마리</t>
        </is>
      </c>
      <c r="H3422" s="3" t="inlineStr">
        <is>
          <t>자연녹지지역</t>
        </is>
      </c>
      <c r="I3422" s="3" t="inlineStr">
        <is>
          <t>답</t>
        </is>
      </c>
      <c r="J3422" s="3" t="inlineStr">
        <is>
          <t>남이면</t>
        </is>
      </c>
    </row>
    <row r="3423">
      <c r="A3423" s="3" t="n">
        <v>2026</v>
      </c>
      <c r="B3423" s="4" t="n">
        <v>82500</v>
      </c>
      <c r="C3423" s="4" t="n">
        <v>495</v>
      </c>
      <c r="D3423" s="4" t="n">
        <v>149.7375</v>
      </c>
      <c r="E3423" s="5" t="n">
        <v>551</v>
      </c>
      <c r="F3423" s="3" t="inlineStr">
        <is>
          <t>남이면</t>
        </is>
      </c>
      <c r="G3423" s="3" t="inlineStr">
        <is>
          <t>가마리</t>
        </is>
      </c>
      <c r="H3423" s="3" t="inlineStr">
        <is>
          <t>자연녹지지역</t>
        </is>
      </c>
      <c r="I3423" s="3" t="inlineStr">
        <is>
          <t>답</t>
        </is>
      </c>
      <c r="J3423" s="3" t="inlineStr">
        <is>
          <t>남이면</t>
        </is>
      </c>
    </row>
    <row r="3424">
      <c r="A3424" s="3" t="n">
        <v>2026</v>
      </c>
      <c r="B3424" s="4" t="n">
        <v>54147</v>
      </c>
      <c r="C3424" s="4" t="n">
        <v>730</v>
      </c>
      <c r="D3424" s="4" t="n">
        <v>220.825</v>
      </c>
      <c r="E3424" s="5" t="n">
        <v>245.2</v>
      </c>
      <c r="F3424" s="3" t="inlineStr">
        <is>
          <t>남이면</t>
        </is>
      </c>
      <c r="G3424" s="3" t="inlineStr">
        <is>
          <t>양촌리</t>
        </is>
      </c>
      <c r="H3424" s="3" t="inlineStr">
        <is>
          <t>자연녹지지역</t>
        </is>
      </c>
      <c r="I3424" s="3" t="inlineStr">
        <is>
          <t>대</t>
        </is>
      </c>
      <c r="J3424" s="3" t="inlineStr">
        <is>
          <t>남이면</t>
        </is>
      </c>
    </row>
    <row r="3425">
      <c r="A3425" s="3" t="n">
        <v>2026</v>
      </c>
      <c r="B3425" s="4" t="n">
        <v>683</v>
      </c>
      <c r="C3425" s="4" t="n">
        <v>28</v>
      </c>
      <c r="D3425" s="4" t="n">
        <v>8.469999999999999</v>
      </c>
      <c r="E3425" s="5" t="n">
        <v>80.59999999999999</v>
      </c>
      <c r="F3425" s="3" t="inlineStr">
        <is>
          <t>남이면</t>
        </is>
      </c>
      <c r="G3425" s="3" t="inlineStr">
        <is>
          <t>양촌리</t>
        </is>
      </c>
      <c r="H3425" s="3" t="inlineStr">
        <is>
          <t>자연녹지지역</t>
        </is>
      </c>
      <c r="I3425" s="3" t="inlineStr">
        <is>
          <t>도로</t>
        </is>
      </c>
      <c r="J3425" s="3" t="inlineStr">
        <is>
          <t>남이면</t>
        </is>
      </c>
    </row>
    <row r="3426">
      <c r="A3426" s="3" t="n">
        <v>2026</v>
      </c>
      <c r="B3426" s="4" t="n">
        <v>171</v>
      </c>
      <c r="C3426" s="4" t="n">
        <v>7</v>
      </c>
      <c r="D3426" s="4" t="n">
        <v>2.1175</v>
      </c>
      <c r="E3426" s="5" t="n">
        <v>80.8</v>
      </c>
      <c r="F3426" s="3" t="inlineStr">
        <is>
          <t>남이면</t>
        </is>
      </c>
      <c r="G3426" s="3" t="inlineStr">
        <is>
          <t>양촌리</t>
        </is>
      </c>
      <c r="H3426" s="3" t="inlineStr">
        <is>
          <t>자연녹지지역</t>
        </is>
      </c>
      <c r="I3426" s="3" t="inlineStr">
        <is>
          <t>도로</t>
        </is>
      </c>
      <c r="J3426" s="3" t="inlineStr">
        <is>
          <t>남이면</t>
        </is>
      </c>
    </row>
    <row r="3427">
      <c r="A3427" s="3" t="n">
        <v>2026</v>
      </c>
      <c r="B3427" s="4" t="n">
        <v>66</v>
      </c>
      <c r="C3427" s="4" t="n">
        <v>55</v>
      </c>
      <c r="D3427" s="4" t="n">
        <v>16.6375</v>
      </c>
      <c r="E3427" s="5" t="n">
        <v>4</v>
      </c>
      <c r="F3427" s="3" t="inlineStr">
        <is>
          <t>남이면</t>
        </is>
      </c>
      <c r="G3427" s="3" t="inlineStr">
        <is>
          <t>문동리</t>
        </is>
      </c>
      <c r="H3427" s="3" t="inlineStr">
        <is>
          <t>보전녹지지역</t>
        </is>
      </c>
      <c r="I3427" s="3" t="inlineStr">
        <is>
          <t>임야</t>
        </is>
      </c>
      <c r="J3427" s="3" t="inlineStr">
        <is>
          <t>남이면</t>
        </is>
      </c>
    </row>
    <row r="3428">
      <c r="A3428" s="3" t="n">
        <v>2026</v>
      </c>
      <c r="B3428" s="4" t="n">
        <v>53000</v>
      </c>
      <c r="C3428" s="4" t="n">
        <v>563</v>
      </c>
      <c r="D3428" s="4" t="n">
        <v>170.3075</v>
      </c>
      <c r="E3428" s="5" t="n">
        <v>311.2</v>
      </c>
      <c r="F3428" s="3" t="inlineStr">
        <is>
          <t>남이면</t>
        </is>
      </c>
      <c r="G3428" s="3" t="inlineStr">
        <is>
          <t>양촌리</t>
        </is>
      </c>
      <c r="H3428" s="3" t="inlineStr">
        <is>
          <t>자연녹지지역</t>
        </is>
      </c>
      <c r="I3428" s="3" t="inlineStr">
        <is>
          <t>대</t>
        </is>
      </c>
      <c r="J3428" s="3" t="inlineStr">
        <is>
          <t>남이면</t>
        </is>
      </c>
    </row>
    <row r="3429">
      <c r="A3429" s="3" t="n">
        <v>2026</v>
      </c>
      <c r="B3429" s="4" t="n">
        <v>1907</v>
      </c>
      <c r="C3429" s="4" t="n">
        <v>26</v>
      </c>
      <c r="D3429" s="4" t="n">
        <v>7.865</v>
      </c>
      <c r="E3429" s="5" t="n">
        <v>242.5</v>
      </c>
      <c r="F3429" s="3" t="inlineStr">
        <is>
          <t>남이면</t>
        </is>
      </c>
      <c r="G3429" s="3" t="inlineStr">
        <is>
          <t>가마리</t>
        </is>
      </c>
      <c r="H3429" s="3" t="inlineStr">
        <is>
          <t>자연녹지지역</t>
        </is>
      </c>
      <c r="I3429" s="3" t="inlineStr">
        <is>
          <t>대</t>
        </is>
      </c>
      <c r="J3429" s="3" t="inlineStr">
        <is>
          <t>남이면</t>
        </is>
      </c>
    </row>
    <row r="3430">
      <c r="A3430" s="3" t="n">
        <v>2026</v>
      </c>
      <c r="B3430" s="4" t="n">
        <v>6300</v>
      </c>
      <c r="C3430" s="4" t="n">
        <v>5225</v>
      </c>
      <c r="D3430" s="4" t="n">
        <v>1580.5625</v>
      </c>
      <c r="E3430" s="5" t="n">
        <v>4</v>
      </c>
      <c r="F3430" s="3" t="inlineStr">
        <is>
          <t>남이면</t>
        </is>
      </c>
      <c r="G3430" s="3" t="inlineStr">
        <is>
          <t>수대리</t>
        </is>
      </c>
      <c r="H3430" s="3" t="inlineStr">
        <is>
          <t>보전녹지지역</t>
        </is>
      </c>
      <c r="I3430" s="3" t="inlineStr">
        <is>
          <t>임야</t>
        </is>
      </c>
      <c r="J3430" s="3" t="inlineStr">
        <is>
          <t>남이면</t>
        </is>
      </c>
    </row>
    <row r="3431">
      <c r="A3431" s="3" t="n">
        <v>2026</v>
      </c>
      <c r="B3431" s="4" t="n">
        <v>50000</v>
      </c>
      <c r="C3431" s="4" t="n">
        <v>3477</v>
      </c>
      <c r="D3431" s="4" t="n">
        <v>1051.7925</v>
      </c>
      <c r="E3431" s="5" t="n">
        <v>47.5</v>
      </c>
      <c r="F3431" s="3" t="inlineStr">
        <is>
          <t>남이면</t>
        </is>
      </c>
      <c r="G3431" s="3" t="inlineStr">
        <is>
          <t>외천리</t>
        </is>
      </c>
      <c r="H3431" s="3" t="inlineStr">
        <is>
          <t>계획관리지역</t>
        </is>
      </c>
      <c r="I3431" s="3" t="inlineStr">
        <is>
          <t>임야</t>
        </is>
      </c>
      <c r="J3431" s="3" t="inlineStr">
        <is>
          <t>남이면</t>
        </is>
      </c>
    </row>
    <row r="3432">
      <c r="A3432" s="3" t="n">
        <v>2026</v>
      </c>
      <c r="B3432" s="4" t="n">
        <v>30483</v>
      </c>
      <c r="C3432" s="4" t="n">
        <v>2400</v>
      </c>
      <c r="D3432" s="4" t="n">
        <v>726</v>
      </c>
      <c r="E3432" s="5" t="n">
        <v>42</v>
      </c>
      <c r="F3432" s="3" t="inlineStr">
        <is>
          <t>남이면</t>
        </is>
      </c>
      <c r="G3432" s="3" t="inlineStr">
        <is>
          <t>척산리</t>
        </is>
      </c>
      <c r="H3432" s="3" t="inlineStr">
        <is>
          <t>자연녹지지역</t>
        </is>
      </c>
      <c r="I3432" s="3" t="inlineStr">
        <is>
          <t>전</t>
        </is>
      </c>
      <c r="J3432" s="3" t="inlineStr">
        <is>
          <t>남이면</t>
        </is>
      </c>
    </row>
    <row r="3433">
      <c r="A3433" s="3" t="n">
        <v>2026</v>
      </c>
      <c r="B3433" s="4" t="n">
        <v>33417</v>
      </c>
      <c r="C3433" s="4" t="n">
        <v>2631</v>
      </c>
      <c r="D3433" s="4" t="n">
        <v>795.8774999999999</v>
      </c>
      <c r="E3433" s="5" t="n">
        <v>42</v>
      </c>
      <c r="F3433" s="3" t="inlineStr">
        <is>
          <t>남이면</t>
        </is>
      </c>
      <c r="G3433" s="3" t="inlineStr">
        <is>
          <t>척산리</t>
        </is>
      </c>
      <c r="H3433" s="3" t="inlineStr">
        <is>
          <t>자연녹지지역</t>
        </is>
      </c>
      <c r="I3433" s="3" t="inlineStr">
        <is>
          <t>전</t>
        </is>
      </c>
      <c r="J3433" s="3" t="inlineStr">
        <is>
          <t>남이면</t>
        </is>
      </c>
    </row>
    <row r="3434">
      <c r="A3434" s="3" t="n">
        <v>2026</v>
      </c>
      <c r="B3434" s="4" t="n">
        <v>2518</v>
      </c>
      <c r="C3434" s="4" t="n">
        <v>185</v>
      </c>
      <c r="D3434" s="4" t="n">
        <v>55.9625</v>
      </c>
      <c r="E3434" s="5" t="n">
        <v>45</v>
      </c>
      <c r="F3434" s="3" t="inlineStr">
        <is>
          <t>남이면</t>
        </is>
      </c>
      <c r="G3434" s="3" t="inlineStr">
        <is>
          <t>척산리</t>
        </is>
      </c>
      <c r="H3434" s="3" t="inlineStr">
        <is>
          <t>자연녹지지역</t>
        </is>
      </c>
      <c r="I3434" s="3" t="inlineStr">
        <is>
          <t>답</t>
        </is>
      </c>
      <c r="J3434" s="3" t="inlineStr">
        <is>
          <t>남이면</t>
        </is>
      </c>
    </row>
    <row r="3435">
      <c r="A3435" s="3" t="n">
        <v>2025</v>
      </c>
      <c r="B3435" s="4" t="n">
        <v>37000</v>
      </c>
      <c r="C3435" s="4" t="n">
        <v>518</v>
      </c>
      <c r="D3435" s="4" t="n">
        <v>156.695</v>
      </c>
      <c r="E3435" s="5" t="n">
        <v>236.1</v>
      </c>
      <c r="F3435" s="3" t="inlineStr">
        <is>
          <t>부강면</t>
        </is>
      </c>
      <c r="G3435" s="3" t="inlineStr">
        <is>
          <t>부강리</t>
        </is>
      </c>
      <c r="H3435" s="3" t="inlineStr">
        <is>
          <t>제2종일반주거지역</t>
        </is>
      </c>
      <c r="I3435" s="3" t="inlineStr">
        <is>
          <t>답</t>
        </is>
      </c>
      <c r="J3435" s="3" t="inlineStr">
        <is>
          <t>부강면</t>
        </is>
      </c>
    </row>
    <row r="3436">
      <c r="A3436" s="3" t="n">
        <v>2025</v>
      </c>
      <c r="B3436" s="4" t="n">
        <v>36000</v>
      </c>
      <c r="C3436" s="4" t="n">
        <v>546</v>
      </c>
      <c r="D3436" s="4" t="n">
        <v>165.165</v>
      </c>
      <c r="E3436" s="5" t="n">
        <v>218</v>
      </c>
      <c r="F3436" s="3" t="inlineStr">
        <is>
          <t>부강면</t>
        </is>
      </c>
      <c r="G3436" s="3" t="inlineStr">
        <is>
          <t>부강리</t>
        </is>
      </c>
      <c r="H3436" s="3" t="inlineStr">
        <is>
          <t>제2종일반주거지역</t>
        </is>
      </c>
      <c r="I3436" s="3" t="inlineStr">
        <is>
          <t>답</t>
        </is>
      </c>
      <c r="J3436" s="3" t="inlineStr">
        <is>
          <t>부강면</t>
        </is>
      </c>
    </row>
    <row r="3437">
      <c r="A3437" s="3" t="n">
        <v>2025</v>
      </c>
      <c r="B3437" s="4" t="n">
        <v>2000</v>
      </c>
      <c r="C3437" s="4" t="n">
        <v>38</v>
      </c>
      <c r="D3437" s="4" t="n">
        <v>11.495</v>
      </c>
      <c r="E3437" s="5" t="n">
        <v>174</v>
      </c>
      <c r="F3437" s="3" t="inlineStr">
        <is>
          <t>부강면</t>
        </is>
      </c>
      <c r="G3437" s="3" t="inlineStr">
        <is>
          <t>부강리</t>
        </is>
      </c>
      <c r="H3437" s="3" t="inlineStr">
        <is>
          <t>제2종일반주거지역</t>
        </is>
      </c>
      <c r="I3437" s="3" t="inlineStr">
        <is>
          <t>답</t>
        </is>
      </c>
      <c r="J3437" s="3" t="inlineStr">
        <is>
          <t>부강면</t>
        </is>
      </c>
    </row>
    <row r="3438">
      <c r="A3438" s="3" t="n">
        <v>2025</v>
      </c>
      <c r="B3438" s="4" t="n">
        <v>52000</v>
      </c>
      <c r="C3438" s="4" t="n">
        <v>352</v>
      </c>
      <c r="D3438" s="4" t="n">
        <v>106.48</v>
      </c>
      <c r="E3438" s="5" t="n">
        <v>488.4</v>
      </c>
      <c r="F3438" s="3" t="inlineStr">
        <is>
          <t>고운동</t>
        </is>
      </c>
      <c r="G3438" s="3" t="inlineStr"/>
      <c r="H3438" s="3" t="inlineStr">
        <is>
          <t>제1종전용주거지역</t>
        </is>
      </c>
      <c r="I3438" s="3" t="inlineStr">
        <is>
          <t>대</t>
        </is>
      </c>
      <c r="J3438" s="3" t="inlineStr">
        <is>
          <t>고운동</t>
        </is>
      </c>
    </row>
    <row r="3439">
      <c r="A3439" s="3" t="n">
        <v>2025</v>
      </c>
      <c r="B3439" s="4" t="n">
        <v>30000</v>
      </c>
      <c r="C3439" s="4" t="n">
        <v>214</v>
      </c>
      <c r="D3439" s="4" t="n">
        <v>64.735</v>
      </c>
      <c r="E3439" s="5" t="n">
        <v>463.4</v>
      </c>
      <c r="F3439" s="3" t="inlineStr">
        <is>
          <t>조치원읍</t>
        </is>
      </c>
      <c r="G3439" s="3" t="inlineStr">
        <is>
          <t>신안리</t>
        </is>
      </c>
      <c r="H3439" s="3" t="inlineStr">
        <is>
          <t>제2종일반주거지역</t>
        </is>
      </c>
      <c r="I3439" s="3" t="inlineStr">
        <is>
          <t>대</t>
        </is>
      </c>
      <c r="J3439" s="3" t="inlineStr">
        <is>
          <t>조치원읍</t>
        </is>
      </c>
    </row>
    <row r="3440">
      <c r="A3440" s="3" t="n">
        <v>2025</v>
      </c>
      <c r="B3440" s="4" t="n">
        <v>17000</v>
      </c>
      <c r="C3440" s="4" t="n">
        <v>1156</v>
      </c>
      <c r="D3440" s="4" t="n">
        <v>349.69</v>
      </c>
      <c r="E3440" s="5" t="n">
        <v>48.6</v>
      </c>
      <c r="F3440" s="3" t="inlineStr">
        <is>
          <t>부강면</t>
        </is>
      </c>
      <c r="G3440" s="3" t="inlineStr">
        <is>
          <t>갈산리</t>
        </is>
      </c>
      <c r="H3440" s="3" t="inlineStr">
        <is>
          <t>계획관리지역</t>
        </is>
      </c>
      <c r="I3440" s="3" t="inlineStr">
        <is>
          <t>전</t>
        </is>
      </c>
      <c r="J3440" s="3" t="inlineStr">
        <is>
          <t>부강면</t>
        </is>
      </c>
    </row>
    <row r="3441">
      <c r="A3441" s="3" t="n">
        <v>2025</v>
      </c>
      <c r="B3441" s="4" t="n">
        <v>16400</v>
      </c>
      <c r="C3441" s="4" t="n">
        <v>403</v>
      </c>
      <c r="D3441" s="4" t="n">
        <v>121.9075</v>
      </c>
      <c r="E3441" s="5" t="n">
        <v>134.5</v>
      </c>
      <c r="F3441" s="3" t="inlineStr">
        <is>
          <t>부강면</t>
        </is>
      </c>
      <c r="G3441" s="3" t="inlineStr">
        <is>
          <t>금호리</t>
        </is>
      </c>
      <c r="H3441" s="3" t="inlineStr">
        <is>
          <t>생산관리지역</t>
        </is>
      </c>
      <c r="I3441" s="3" t="inlineStr">
        <is>
          <t>답</t>
        </is>
      </c>
      <c r="J3441" s="3" t="inlineStr">
        <is>
          <t>부강면</t>
        </is>
      </c>
    </row>
    <row r="3442">
      <c r="A3442" s="3" t="n">
        <v>2025</v>
      </c>
      <c r="B3442" s="4" t="n">
        <v>33600</v>
      </c>
      <c r="C3442" s="4" t="n">
        <v>816</v>
      </c>
      <c r="D3442" s="4" t="n">
        <v>246.84</v>
      </c>
      <c r="E3442" s="5" t="n">
        <v>136.1</v>
      </c>
      <c r="F3442" s="3" t="inlineStr">
        <is>
          <t>부강면</t>
        </is>
      </c>
      <c r="G3442" s="3" t="inlineStr">
        <is>
          <t>금호리</t>
        </is>
      </c>
      <c r="H3442" s="3" t="inlineStr">
        <is>
          <t>생산관리지역</t>
        </is>
      </c>
      <c r="I3442" s="3" t="inlineStr">
        <is>
          <t>답</t>
        </is>
      </c>
      <c r="J3442" s="3" t="inlineStr">
        <is>
          <t>부강면</t>
        </is>
      </c>
    </row>
    <row r="3443">
      <c r="A3443" s="3" t="n">
        <v>2025</v>
      </c>
      <c r="B3443" s="4" t="n">
        <v>16300</v>
      </c>
      <c r="C3443" s="4" t="n">
        <v>534</v>
      </c>
      <c r="D3443" s="4" t="n">
        <v>161.535</v>
      </c>
      <c r="E3443" s="5" t="n">
        <v>100.9</v>
      </c>
      <c r="F3443" s="3" t="inlineStr">
        <is>
          <t>부강면</t>
        </is>
      </c>
      <c r="G3443" s="3" t="inlineStr">
        <is>
          <t>금호리</t>
        </is>
      </c>
      <c r="H3443" s="3" t="inlineStr">
        <is>
          <t>생산관리지역</t>
        </is>
      </c>
      <c r="I3443" s="3" t="inlineStr">
        <is>
          <t>답</t>
        </is>
      </c>
      <c r="J3443" s="3" t="inlineStr">
        <is>
          <t>부강면</t>
        </is>
      </c>
    </row>
    <row r="3444">
      <c r="A3444" s="3" t="n">
        <v>2025</v>
      </c>
      <c r="B3444" s="4" t="n">
        <v>73700</v>
      </c>
      <c r="C3444" s="4" t="n">
        <v>2410</v>
      </c>
      <c r="D3444" s="4" t="n">
        <v>729.025</v>
      </c>
      <c r="E3444" s="5" t="n">
        <v>101.1</v>
      </c>
      <c r="F3444" s="3" t="inlineStr">
        <is>
          <t>부강면</t>
        </is>
      </c>
      <c r="G3444" s="3" t="inlineStr">
        <is>
          <t>금호리</t>
        </is>
      </c>
      <c r="H3444" s="3" t="inlineStr">
        <is>
          <t>생산관리지역</t>
        </is>
      </c>
      <c r="I3444" s="3" t="inlineStr">
        <is>
          <t>답</t>
        </is>
      </c>
      <c r="J3444" s="3" t="inlineStr">
        <is>
          <t>부강면</t>
        </is>
      </c>
    </row>
    <row r="3445">
      <c r="A3445" s="3" t="n">
        <v>2025</v>
      </c>
      <c r="B3445" s="4" t="n">
        <v>40000</v>
      </c>
      <c r="C3445" s="4" t="n">
        <v>11163</v>
      </c>
      <c r="D3445" s="4" t="n">
        <v>3376.8075</v>
      </c>
      <c r="E3445" s="5" t="n">
        <v>11.8</v>
      </c>
      <c r="F3445" s="3" t="inlineStr">
        <is>
          <t>연서면</t>
        </is>
      </c>
      <c r="G3445" s="3" t="inlineStr">
        <is>
          <t>기룡리</t>
        </is>
      </c>
      <c r="H3445" s="3" t="inlineStr">
        <is>
          <t>생산관리지역</t>
        </is>
      </c>
      <c r="I3445" s="3" t="inlineStr">
        <is>
          <t>임야</t>
        </is>
      </c>
      <c r="J3445" s="3" t="inlineStr">
        <is>
          <t>연서면</t>
        </is>
      </c>
    </row>
    <row r="3446">
      <c r="A3446" s="3" t="n">
        <v>2025</v>
      </c>
      <c r="B3446" s="4" t="n">
        <v>10000</v>
      </c>
      <c r="C3446" s="4" t="n">
        <v>10915</v>
      </c>
      <c r="D3446" s="4" t="n">
        <v>3301.7875</v>
      </c>
      <c r="E3446" s="5" t="n">
        <v>3</v>
      </c>
      <c r="F3446" s="3" t="inlineStr">
        <is>
          <t>조치원읍</t>
        </is>
      </c>
      <c r="G3446" s="3" t="inlineStr">
        <is>
          <t>신안리</t>
        </is>
      </c>
      <c r="H3446" s="3" t="inlineStr">
        <is>
          <t>보전녹지지역</t>
        </is>
      </c>
      <c r="I3446" s="3" t="inlineStr">
        <is>
          <t>임야</t>
        </is>
      </c>
      <c r="J3446" s="3" t="inlineStr">
        <is>
          <t>조치원읍</t>
        </is>
      </c>
    </row>
    <row r="3447">
      <c r="A3447" s="3" t="n">
        <v>2025</v>
      </c>
      <c r="B3447" s="4" t="n">
        <v>40000</v>
      </c>
      <c r="C3447" s="4" t="n">
        <v>11163</v>
      </c>
      <c r="D3447" s="4" t="n">
        <v>3376.8075</v>
      </c>
      <c r="E3447" s="5" t="n">
        <v>11.8</v>
      </c>
      <c r="F3447" s="3" t="inlineStr">
        <is>
          <t>연서면</t>
        </is>
      </c>
      <c r="G3447" s="3" t="inlineStr">
        <is>
          <t>기룡리</t>
        </is>
      </c>
      <c r="H3447" s="3" t="inlineStr">
        <is>
          <t>생산관리지역</t>
        </is>
      </c>
      <c r="I3447" s="3" t="inlineStr">
        <is>
          <t>임야</t>
        </is>
      </c>
      <c r="J3447" s="3" t="inlineStr">
        <is>
          <t>연서면</t>
        </is>
      </c>
    </row>
    <row r="3448">
      <c r="A3448" s="3" t="n">
        <v>2025</v>
      </c>
      <c r="B3448" s="4" t="n">
        <v>53000</v>
      </c>
      <c r="C3448" s="4" t="n">
        <v>1726</v>
      </c>
      <c r="D3448" s="4" t="n">
        <v>522.115</v>
      </c>
      <c r="E3448" s="5" t="n">
        <v>101.5</v>
      </c>
      <c r="F3448" s="3" t="inlineStr">
        <is>
          <t>연서면</t>
        </is>
      </c>
      <c r="G3448" s="3" t="inlineStr">
        <is>
          <t>봉암리</t>
        </is>
      </c>
      <c r="H3448" s="3" t="inlineStr">
        <is>
          <t>농림지역</t>
        </is>
      </c>
      <c r="I3448" s="3" t="inlineStr">
        <is>
          <t>목장용지</t>
        </is>
      </c>
      <c r="J3448" s="3" t="inlineStr">
        <is>
          <t>연서면</t>
        </is>
      </c>
    </row>
    <row r="3449">
      <c r="A3449" s="3" t="n">
        <v>2025</v>
      </c>
      <c r="B3449" s="4" t="n">
        <v>14500</v>
      </c>
      <c r="C3449" s="4" t="n">
        <v>1987</v>
      </c>
      <c r="D3449" s="4" t="n">
        <v>601.0675</v>
      </c>
      <c r="E3449" s="5" t="n">
        <v>24.1</v>
      </c>
      <c r="F3449" s="3" t="inlineStr">
        <is>
          <t>남이면</t>
        </is>
      </c>
      <c r="G3449" s="3" t="inlineStr">
        <is>
          <t>상발리</t>
        </is>
      </c>
      <c r="H3449" s="3" t="inlineStr">
        <is>
          <t>자연녹지지역</t>
        </is>
      </c>
      <c r="I3449" s="3" t="inlineStr">
        <is>
          <t>대</t>
        </is>
      </c>
      <c r="J3449" s="3" t="inlineStr">
        <is>
          <t>남이면</t>
        </is>
      </c>
    </row>
    <row r="3450">
      <c r="A3450" s="3" t="n">
        <v>2025</v>
      </c>
      <c r="B3450" s="4" t="n">
        <v>5000</v>
      </c>
      <c r="C3450" s="4" t="n">
        <v>526.8</v>
      </c>
      <c r="D3450" s="4" t="n">
        <v>159.357</v>
      </c>
      <c r="E3450" s="5" t="n">
        <v>31.4</v>
      </c>
      <c r="F3450" s="3" t="inlineStr">
        <is>
          <t>남이면</t>
        </is>
      </c>
      <c r="G3450" s="3" t="inlineStr">
        <is>
          <t>가좌리</t>
        </is>
      </c>
      <c r="H3450" s="3" t="inlineStr">
        <is>
          <t>자연녹지지역</t>
        </is>
      </c>
      <c r="I3450" s="3" t="inlineStr">
        <is>
          <t>임야</t>
        </is>
      </c>
      <c r="J3450" s="3" t="inlineStr">
        <is>
          <t>남이면</t>
        </is>
      </c>
    </row>
    <row r="3451">
      <c r="A3451" s="3" t="n">
        <v>2025</v>
      </c>
      <c r="B3451" s="4" t="n">
        <v>11500</v>
      </c>
      <c r="C3451" s="4" t="n">
        <v>1686</v>
      </c>
      <c r="D3451" s="4" t="n">
        <v>510.015</v>
      </c>
      <c r="E3451" s="5" t="n">
        <v>22.5</v>
      </c>
      <c r="F3451" s="3" t="inlineStr">
        <is>
          <t>남이면</t>
        </is>
      </c>
      <c r="G3451" s="3" t="inlineStr">
        <is>
          <t>가좌리</t>
        </is>
      </c>
      <c r="H3451" s="3" t="inlineStr">
        <is>
          <t>자연녹지지역</t>
        </is>
      </c>
      <c r="I3451" s="3" t="inlineStr">
        <is>
          <t>전</t>
        </is>
      </c>
      <c r="J3451" s="3" t="inlineStr">
        <is>
          <t>남이면</t>
        </is>
      </c>
    </row>
    <row r="3452">
      <c r="A3452" s="3" t="n">
        <v>2025</v>
      </c>
      <c r="B3452" s="4" t="n">
        <v>94573</v>
      </c>
      <c r="C3452" s="4" t="n">
        <v>2511</v>
      </c>
      <c r="D3452" s="4" t="n">
        <v>759.5775</v>
      </c>
      <c r="E3452" s="5" t="n">
        <v>124.5</v>
      </c>
      <c r="F3452" s="3" t="inlineStr">
        <is>
          <t>남이면</t>
        </is>
      </c>
      <c r="G3452" s="3" t="inlineStr">
        <is>
          <t>구암리</t>
        </is>
      </c>
      <c r="H3452" s="3" t="inlineStr">
        <is>
          <t>보전녹지지역</t>
        </is>
      </c>
      <c r="I3452" s="3" t="inlineStr">
        <is>
          <t>임야</t>
        </is>
      </c>
      <c r="J3452" s="3" t="inlineStr">
        <is>
          <t>남이면</t>
        </is>
      </c>
    </row>
    <row r="3453">
      <c r="A3453" s="3" t="n">
        <v>2025</v>
      </c>
      <c r="B3453" s="4" t="n">
        <v>122000</v>
      </c>
      <c r="C3453" s="4" t="n">
        <v>3962</v>
      </c>
      <c r="D3453" s="4" t="n">
        <v>1198.505</v>
      </c>
      <c r="E3453" s="5" t="n">
        <v>101.8</v>
      </c>
      <c r="F3453" s="3" t="inlineStr">
        <is>
          <t>남이면</t>
        </is>
      </c>
      <c r="G3453" s="3" t="inlineStr">
        <is>
          <t>구암리</t>
        </is>
      </c>
      <c r="H3453" s="3" t="inlineStr">
        <is>
          <t>자연녹지지역</t>
        </is>
      </c>
      <c r="I3453" s="3" t="inlineStr">
        <is>
          <t>답</t>
        </is>
      </c>
      <c r="J3453" s="3" t="inlineStr">
        <is>
          <t>남이면</t>
        </is>
      </c>
    </row>
    <row r="3454">
      <c r="A3454" s="3" t="n">
        <v>2025</v>
      </c>
      <c r="B3454" s="4" t="n">
        <v>39200</v>
      </c>
      <c r="C3454" s="4" t="n">
        <v>1499</v>
      </c>
      <c r="D3454" s="4" t="n">
        <v>453.4475</v>
      </c>
      <c r="E3454" s="5" t="n">
        <v>86.40000000000001</v>
      </c>
      <c r="F3454" s="3" t="inlineStr">
        <is>
          <t>남이면</t>
        </is>
      </c>
      <c r="G3454" s="3" t="inlineStr">
        <is>
          <t>양촌리</t>
        </is>
      </c>
      <c r="H3454" s="3" t="inlineStr">
        <is>
          <t>자연녹지지역</t>
        </is>
      </c>
      <c r="I3454" s="3" t="inlineStr">
        <is>
          <t>임야</t>
        </is>
      </c>
      <c r="J3454" s="3" t="inlineStr">
        <is>
          <t>남이면</t>
        </is>
      </c>
    </row>
    <row r="3455">
      <c r="A3455" s="3" t="n">
        <v>2025</v>
      </c>
      <c r="B3455" s="4" t="n">
        <v>20800</v>
      </c>
      <c r="C3455" s="4" t="n">
        <v>794</v>
      </c>
      <c r="D3455" s="4" t="n">
        <v>240.185</v>
      </c>
      <c r="E3455" s="5" t="n">
        <v>86.59999999999999</v>
      </c>
      <c r="F3455" s="3" t="inlineStr">
        <is>
          <t>남이면</t>
        </is>
      </c>
      <c r="G3455" s="3" t="inlineStr">
        <is>
          <t>양촌리</t>
        </is>
      </c>
      <c r="H3455" s="3" t="inlineStr">
        <is>
          <t>자연녹지지역</t>
        </is>
      </c>
      <c r="I3455" s="3" t="inlineStr">
        <is>
          <t>전</t>
        </is>
      </c>
      <c r="J3455" s="3" t="inlineStr">
        <is>
          <t>남이면</t>
        </is>
      </c>
    </row>
    <row r="3456">
      <c r="A3456" s="3" t="n">
        <v>2025</v>
      </c>
      <c r="B3456" s="4" t="n">
        <v>21000</v>
      </c>
      <c r="C3456" s="4" t="n">
        <v>4436</v>
      </c>
      <c r="D3456" s="4" t="n">
        <v>1341.89</v>
      </c>
      <c r="E3456" s="5" t="n">
        <v>15.6</v>
      </c>
      <c r="F3456" s="3" t="inlineStr">
        <is>
          <t>남이면</t>
        </is>
      </c>
      <c r="G3456" s="3" t="inlineStr">
        <is>
          <t>척산리</t>
        </is>
      </c>
      <c r="H3456" s="3" t="inlineStr">
        <is>
          <t>계획관리지역</t>
        </is>
      </c>
      <c r="I3456" s="3" t="inlineStr">
        <is>
          <t>임야</t>
        </is>
      </c>
      <c r="J3456" s="3" t="inlineStr">
        <is>
          <t>남이면</t>
        </is>
      </c>
    </row>
    <row r="3457">
      <c r="A3457" s="3" t="n">
        <v>2025</v>
      </c>
      <c r="B3457" s="4" t="n">
        <v>43290</v>
      </c>
      <c r="C3457" s="4" t="n">
        <v>1101</v>
      </c>
      <c r="D3457" s="4" t="n">
        <v>333.0525</v>
      </c>
      <c r="E3457" s="5" t="n">
        <v>130</v>
      </c>
      <c r="F3457" s="3" t="inlineStr">
        <is>
          <t>남이면</t>
        </is>
      </c>
      <c r="G3457" s="3" t="inlineStr">
        <is>
          <t>가좌리</t>
        </is>
      </c>
      <c r="H3457" s="3" t="inlineStr">
        <is>
          <t>자연녹지지역</t>
        </is>
      </c>
      <c r="I3457" s="3" t="inlineStr">
        <is>
          <t>전</t>
        </is>
      </c>
      <c r="J3457" s="3" t="inlineStr">
        <is>
          <t>남이면</t>
        </is>
      </c>
    </row>
    <row r="3458">
      <c r="A3458" s="3" t="n">
        <v>2025</v>
      </c>
      <c r="B3458" s="4" t="n">
        <v>7600</v>
      </c>
      <c r="C3458" s="4" t="n">
        <v>598</v>
      </c>
      <c r="D3458" s="4" t="n">
        <v>180.895</v>
      </c>
      <c r="E3458" s="5" t="n">
        <v>42</v>
      </c>
      <c r="F3458" s="3" t="inlineStr">
        <is>
          <t>남이면</t>
        </is>
      </c>
      <c r="G3458" s="3" t="inlineStr">
        <is>
          <t>문동리</t>
        </is>
      </c>
      <c r="H3458" s="3" t="inlineStr">
        <is>
          <t>자연환경보전</t>
        </is>
      </c>
      <c r="I3458" s="3" t="inlineStr">
        <is>
          <t>전</t>
        </is>
      </c>
      <c r="J3458" s="3" t="inlineStr">
        <is>
          <t>남이면</t>
        </is>
      </c>
    </row>
    <row r="3459">
      <c r="A3459" s="3" t="n">
        <v>2025</v>
      </c>
      <c r="B3459" s="4" t="n">
        <v>45540</v>
      </c>
      <c r="C3459" s="4" t="n">
        <v>689</v>
      </c>
      <c r="D3459" s="4" t="n">
        <v>208.4225</v>
      </c>
      <c r="E3459" s="5" t="n">
        <v>218.5</v>
      </c>
      <c r="F3459" s="3" t="inlineStr">
        <is>
          <t>남이면</t>
        </is>
      </c>
      <c r="G3459" s="3" t="inlineStr">
        <is>
          <t>석판리</t>
        </is>
      </c>
      <c r="H3459" s="3" t="inlineStr">
        <is>
          <t>자연녹지지역</t>
        </is>
      </c>
      <c r="I3459" s="3" t="inlineStr">
        <is>
          <t>대</t>
        </is>
      </c>
      <c r="J3459" s="3" t="inlineStr">
        <is>
          <t>남이면</t>
        </is>
      </c>
    </row>
    <row r="3460">
      <c r="A3460" s="3" t="n">
        <v>2025</v>
      </c>
      <c r="B3460" s="4" t="n">
        <v>34000</v>
      </c>
      <c r="C3460" s="4" t="n">
        <v>851</v>
      </c>
      <c r="D3460" s="4" t="n">
        <v>257.4275</v>
      </c>
      <c r="E3460" s="5" t="n">
        <v>132.1</v>
      </c>
      <c r="F3460" s="3" t="inlineStr">
        <is>
          <t>남이면</t>
        </is>
      </c>
      <c r="G3460" s="3" t="inlineStr">
        <is>
          <t>양촌리</t>
        </is>
      </c>
      <c r="H3460" s="3" t="inlineStr">
        <is>
          <t>자연녹지지역</t>
        </is>
      </c>
      <c r="I3460" s="3" t="inlineStr">
        <is>
          <t>답</t>
        </is>
      </c>
      <c r="J3460" s="3" t="inlineStr">
        <is>
          <t>남이면</t>
        </is>
      </c>
    </row>
    <row r="3461">
      <c r="A3461" s="3" t="n">
        <v>2025</v>
      </c>
      <c r="B3461" s="4" t="n">
        <v>2495</v>
      </c>
      <c r="C3461" s="4" t="n">
        <v>66</v>
      </c>
      <c r="D3461" s="4" t="n">
        <v>19.965</v>
      </c>
      <c r="E3461" s="5" t="n">
        <v>125</v>
      </c>
      <c r="F3461" s="3" t="inlineStr">
        <is>
          <t>남이면</t>
        </is>
      </c>
      <c r="G3461" s="3" t="inlineStr">
        <is>
          <t>가마리</t>
        </is>
      </c>
      <c r="H3461" s="3" t="inlineStr">
        <is>
          <t>자연녹지지역</t>
        </is>
      </c>
      <c r="I3461" s="3" t="inlineStr">
        <is>
          <t>대</t>
        </is>
      </c>
      <c r="J3461" s="3" t="inlineStr">
        <is>
          <t>남이면</t>
        </is>
      </c>
    </row>
    <row r="3462">
      <c r="A3462" s="3" t="n">
        <v>2025</v>
      </c>
      <c r="B3462" s="4" t="n">
        <v>11500</v>
      </c>
      <c r="C3462" s="4" t="n">
        <v>1686</v>
      </c>
      <c r="D3462" s="4" t="n">
        <v>510.015</v>
      </c>
      <c r="E3462" s="5" t="n">
        <v>22.5</v>
      </c>
      <c r="F3462" s="3" t="inlineStr">
        <is>
          <t>남이면</t>
        </is>
      </c>
      <c r="G3462" s="3" t="inlineStr">
        <is>
          <t>가좌리</t>
        </is>
      </c>
      <c r="H3462" s="3" t="inlineStr">
        <is>
          <t>자연녹지지역</t>
        </is>
      </c>
      <c r="I3462" s="3" t="inlineStr">
        <is>
          <t>전</t>
        </is>
      </c>
      <c r="J3462" s="3" t="inlineStr">
        <is>
          <t>남이면</t>
        </is>
      </c>
    </row>
    <row r="3463">
      <c r="A3463" s="3" t="n">
        <v>2024</v>
      </c>
      <c r="B3463" s="4" t="n">
        <v>16620</v>
      </c>
      <c r="C3463" s="4" t="n">
        <v>172</v>
      </c>
      <c r="D3463" s="4" t="n">
        <v>52.03</v>
      </c>
      <c r="E3463" s="5" t="n">
        <v>319.4</v>
      </c>
      <c r="F3463" s="3" t="inlineStr">
        <is>
          <t>조치원읍</t>
        </is>
      </c>
      <c r="G3463" s="3" t="inlineStr">
        <is>
          <t>명리</t>
        </is>
      </c>
      <c r="H3463" s="3" t="inlineStr">
        <is>
          <t>제2종일반주거지역</t>
        </is>
      </c>
      <c r="I3463" s="3" t="inlineStr">
        <is>
          <t>대</t>
        </is>
      </c>
      <c r="J3463" s="3" t="inlineStr">
        <is>
          <t>조치원읍</t>
        </is>
      </c>
    </row>
    <row r="3464">
      <c r="A3464" s="3" t="n">
        <v>2024</v>
      </c>
      <c r="B3464" s="4" t="n">
        <v>1500</v>
      </c>
      <c r="C3464" s="4" t="n">
        <v>65</v>
      </c>
      <c r="D3464" s="4" t="n">
        <v>19.6625</v>
      </c>
      <c r="E3464" s="5" t="n">
        <v>76.3</v>
      </c>
      <c r="F3464" s="3" t="inlineStr">
        <is>
          <t>연서면</t>
        </is>
      </c>
      <c r="G3464" s="3" t="inlineStr">
        <is>
          <t>신대리</t>
        </is>
      </c>
      <c r="H3464" s="3" t="inlineStr">
        <is>
          <t>보전관리지역</t>
        </is>
      </c>
      <c r="I3464" s="3" t="inlineStr">
        <is>
          <t>전</t>
        </is>
      </c>
      <c r="J3464" s="3" t="inlineStr">
        <is>
          <t>연서면</t>
        </is>
      </c>
    </row>
    <row r="3465">
      <c r="A3465" s="3" t="n">
        <v>2024</v>
      </c>
      <c r="B3465" s="4" t="n">
        <v>51300</v>
      </c>
      <c r="C3465" s="4" t="n">
        <v>345.6</v>
      </c>
      <c r="D3465" s="4" t="n">
        <v>104.544</v>
      </c>
      <c r="E3465" s="5" t="n">
        <v>490.7</v>
      </c>
      <c r="F3465" s="3" t="inlineStr">
        <is>
          <t>고운동</t>
        </is>
      </c>
      <c r="G3465" s="3" t="inlineStr"/>
      <c r="H3465" s="3" t="inlineStr">
        <is>
          <t>제1종전용주거지역</t>
        </is>
      </c>
      <c r="I3465" s="3" t="inlineStr">
        <is>
          <t>대</t>
        </is>
      </c>
      <c r="J3465" s="3" t="inlineStr">
        <is>
          <t>고운동</t>
        </is>
      </c>
    </row>
    <row r="3466">
      <c r="A3466" s="3" t="n">
        <v>2023</v>
      </c>
      <c r="B3466" s="4" t="n">
        <v>22441</v>
      </c>
      <c r="C3466" s="4" t="n">
        <v>1092</v>
      </c>
      <c r="D3466" s="4" t="n">
        <v>330.33</v>
      </c>
      <c r="E3466" s="5" t="n">
        <v>67.90000000000001</v>
      </c>
      <c r="F3466" s="3" t="inlineStr">
        <is>
          <t>연서면</t>
        </is>
      </c>
      <c r="G3466" s="3" t="inlineStr">
        <is>
          <t>청라리</t>
        </is>
      </c>
      <c r="H3466" s="3" t="inlineStr">
        <is>
          <t>생산관리지역</t>
        </is>
      </c>
      <c r="I3466" s="3" t="inlineStr">
        <is>
          <t>목장용지</t>
        </is>
      </c>
      <c r="J3466" s="3" t="inlineStr">
        <is>
          <t>연서면</t>
        </is>
      </c>
    </row>
    <row r="3467">
      <c r="A3467" s="3" t="n">
        <v>2022</v>
      </c>
      <c r="B3467" s="4" t="n">
        <v>288</v>
      </c>
      <c r="C3467" s="4" t="n">
        <v>3</v>
      </c>
      <c r="D3467" s="4" t="n">
        <v>0.9075</v>
      </c>
      <c r="E3467" s="5" t="n">
        <v>317.4</v>
      </c>
      <c r="F3467" s="3" t="inlineStr">
        <is>
          <t>조치원읍</t>
        </is>
      </c>
      <c r="G3467" s="3" t="inlineStr">
        <is>
          <t>명리</t>
        </is>
      </c>
      <c r="H3467" s="3" t="inlineStr">
        <is>
          <t>제2종일반주거지역</t>
        </is>
      </c>
      <c r="I3467" s="3" t="inlineStr">
        <is>
          <t>대</t>
        </is>
      </c>
      <c r="J3467" s="3" t="inlineStr">
        <is>
          <t>조치원읍</t>
        </is>
      </c>
    </row>
    <row r="3468">
      <c r="A3468" s="3" t="n">
        <v>2022</v>
      </c>
      <c r="B3468" s="4" t="n">
        <v>16770</v>
      </c>
      <c r="C3468" s="4" t="n">
        <v>462</v>
      </c>
      <c r="D3468" s="4" t="n">
        <v>139.755</v>
      </c>
      <c r="E3468" s="5" t="n">
        <v>120</v>
      </c>
      <c r="F3468" s="3" t="inlineStr">
        <is>
          <t>연서면</t>
        </is>
      </c>
      <c r="G3468" s="3" t="inlineStr">
        <is>
          <t>쌍류리</t>
        </is>
      </c>
      <c r="H3468" s="3" t="inlineStr">
        <is>
          <t>생산관리지역</t>
        </is>
      </c>
      <c r="I3468" s="3" t="inlineStr">
        <is>
          <t>전</t>
        </is>
      </c>
      <c r="J3468" s="3" t="inlineStr">
        <is>
          <t>연서면</t>
        </is>
      </c>
    </row>
    <row r="3469">
      <c r="A3469" s="3" t="n">
        <v>2022</v>
      </c>
      <c r="B3469" s="4" t="n">
        <v>540</v>
      </c>
      <c r="C3469" s="4" t="n">
        <v>15</v>
      </c>
      <c r="D3469" s="4" t="n">
        <v>4.5375</v>
      </c>
      <c r="E3469" s="5" t="n">
        <v>119</v>
      </c>
      <c r="F3469" s="3" t="inlineStr">
        <is>
          <t>연서면</t>
        </is>
      </c>
      <c r="G3469" s="3" t="inlineStr">
        <is>
          <t>쌍류리</t>
        </is>
      </c>
      <c r="H3469" s="3" t="inlineStr">
        <is>
          <t>농림지역</t>
        </is>
      </c>
      <c r="I3469" s="3" t="inlineStr">
        <is>
          <t>전</t>
        </is>
      </c>
      <c r="J3469" s="3" t="inlineStr">
        <is>
          <t>연서면</t>
        </is>
      </c>
    </row>
    <row r="3470">
      <c r="A3470" s="3" t="n">
        <v>2022</v>
      </c>
      <c r="B3470" s="4" t="n">
        <v>51000</v>
      </c>
      <c r="C3470" s="4" t="n">
        <v>314.1</v>
      </c>
      <c r="D3470" s="4" t="n">
        <v>95.01525000000001</v>
      </c>
      <c r="E3470" s="5" t="n">
        <v>536.8</v>
      </c>
      <c r="F3470" s="3" t="inlineStr">
        <is>
          <t>고운동</t>
        </is>
      </c>
      <c r="G3470" s="3" t="inlineStr"/>
      <c r="H3470" s="3" t="inlineStr">
        <is>
          <t>제1종전용주거지역</t>
        </is>
      </c>
      <c r="I3470" s="3" t="inlineStr">
        <is>
          <t>대</t>
        </is>
      </c>
      <c r="J3470" s="3" t="inlineStr">
        <is>
          <t>고운동</t>
        </is>
      </c>
    </row>
    <row r="3471">
      <c r="A3471" s="3" t="n">
        <v>2022</v>
      </c>
      <c r="B3471" s="4" t="n">
        <v>54000</v>
      </c>
      <c r="C3471" s="4" t="n">
        <v>896</v>
      </c>
      <c r="D3471" s="4" t="n">
        <v>271.04</v>
      </c>
      <c r="E3471" s="5" t="n">
        <v>199.2</v>
      </c>
      <c r="F3471" s="3" t="inlineStr">
        <is>
          <t>연서면</t>
        </is>
      </c>
      <c r="G3471" s="3" t="inlineStr">
        <is>
          <t>봉암리</t>
        </is>
      </c>
      <c r="H3471" s="3" t="inlineStr">
        <is>
          <t>계획관리지역</t>
        </is>
      </c>
      <c r="I3471" s="3" t="inlineStr">
        <is>
          <t>전</t>
        </is>
      </c>
      <c r="J3471" s="3" t="inlineStr">
        <is>
          <t>연서면</t>
        </is>
      </c>
    </row>
    <row r="3472">
      <c r="A3472" s="3" t="n">
        <v>2022</v>
      </c>
      <c r="B3472" s="4" t="n">
        <v>1500</v>
      </c>
      <c r="C3472" s="4" t="n">
        <v>11</v>
      </c>
      <c r="D3472" s="4" t="n">
        <v>3.3275</v>
      </c>
      <c r="E3472" s="5" t="n">
        <v>450.8</v>
      </c>
      <c r="F3472" s="3" t="inlineStr">
        <is>
          <t>부강면</t>
        </is>
      </c>
      <c r="G3472" s="3" t="inlineStr">
        <is>
          <t>금호리</t>
        </is>
      </c>
      <c r="H3472" s="3" t="inlineStr">
        <is>
          <t>계획관리지역</t>
        </is>
      </c>
      <c r="I3472" s="3" t="inlineStr">
        <is>
          <t>도로</t>
        </is>
      </c>
      <c r="J3472" s="3" t="inlineStr">
        <is>
          <t>부강면</t>
        </is>
      </c>
    </row>
    <row r="3473">
      <c r="A3473" s="3" t="n">
        <v>2022</v>
      </c>
      <c r="B3473" s="4" t="n">
        <v>3600</v>
      </c>
      <c r="C3473" s="4" t="n">
        <v>605</v>
      </c>
      <c r="D3473" s="4" t="n">
        <v>183.0125</v>
      </c>
      <c r="E3473" s="5" t="n">
        <v>19.7</v>
      </c>
      <c r="F3473" s="3" t="inlineStr">
        <is>
          <t>부강면</t>
        </is>
      </c>
      <c r="G3473" s="3" t="inlineStr">
        <is>
          <t>문곡리</t>
        </is>
      </c>
      <c r="H3473" s="3" t="inlineStr">
        <is>
          <t>계획관리지역</t>
        </is>
      </c>
      <c r="I3473" s="3" t="inlineStr">
        <is>
          <t>전</t>
        </is>
      </c>
      <c r="J3473" s="3" t="inlineStr">
        <is>
          <t>부강면</t>
        </is>
      </c>
    </row>
    <row r="3474">
      <c r="A3474" s="3" t="n">
        <v>2025</v>
      </c>
      <c r="B3474" s="4" t="n">
        <v>38200</v>
      </c>
      <c r="C3474" s="4" t="n">
        <v>3157</v>
      </c>
      <c r="D3474" s="4" t="n">
        <v>954.9924999999999</v>
      </c>
      <c r="E3474" s="5" t="n">
        <v>40</v>
      </c>
      <c r="F3474" s="3" t="inlineStr">
        <is>
          <t>남이면</t>
        </is>
      </c>
      <c r="G3474" s="3" t="inlineStr">
        <is>
          <t>구암리</t>
        </is>
      </c>
      <c r="H3474" s="3" t="inlineStr">
        <is>
          <t>자연녹지지역</t>
        </is>
      </c>
      <c r="I3474" s="3" t="inlineStr">
        <is>
          <t>답</t>
        </is>
      </c>
      <c r="J3474" s="3" t="inlineStr">
        <is>
          <t>남이면</t>
        </is>
      </c>
    </row>
    <row r="3475">
      <c r="A3475" s="3" t="n">
        <v>2025</v>
      </c>
      <c r="B3475" s="4" t="n">
        <v>54000</v>
      </c>
      <c r="C3475" s="4" t="n">
        <v>2797</v>
      </c>
      <c r="D3475" s="4" t="n">
        <v>846.0925</v>
      </c>
      <c r="E3475" s="5" t="n">
        <v>63.8</v>
      </c>
      <c r="F3475" s="3" t="inlineStr">
        <is>
          <t>남이면</t>
        </is>
      </c>
      <c r="G3475" s="3" t="inlineStr">
        <is>
          <t>대련리</t>
        </is>
      </c>
      <c r="H3475" s="3" t="inlineStr">
        <is>
          <t>자연녹지지역</t>
        </is>
      </c>
      <c r="I3475" s="3" t="inlineStr">
        <is>
          <t>답</t>
        </is>
      </c>
      <c r="J3475" s="3" t="inlineStr">
        <is>
          <t>남이면</t>
        </is>
      </c>
    </row>
    <row r="3476">
      <c r="A3476" s="3" t="n">
        <v>2025</v>
      </c>
      <c r="B3476" s="4" t="n">
        <v>57200</v>
      </c>
      <c r="C3476" s="4" t="n">
        <v>2155</v>
      </c>
      <c r="D3476" s="4" t="n">
        <v>651.8874999999999</v>
      </c>
      <c r="E3476" s="5" t="n">
        <v>87.7</v>
      </c>
      <c r="F3476" s="3" t="inlineStr">
        <is>
          <t>남이면</t>
        </is>
      </c>
      <c r="G3476" s="3" t="inlineStr">
        <is>
          <t>대련리</t>
        </is>
      </c>
      <c r="H3476" s="3" t="inlineStr">
        <is>
          <t>자연녹지지역</t>
        </is>
      </c>
      <c r="I3476" s="3" t="inlineStr">
        <is>
          <t>전</t>
        </is>
      </c>
      <c r="J3476" s="3" t="inlineStr">
        <is>
          <t>남이면</t>
        </is>
      </c>
    </row>
    <row r="3477">
      <c r="A3477" s="3" t="n">
        <v>2025</v>
      </c>
      <c r="B3477" s="4" t="n">
        <v>62000</v>
      </c>
      <c r="C3477" s="4" t="n">
        <v>2813</v>
      </c>
      <c r="D3477" s="4" t="n">
        <v>850.9325</v>
      </c>
      <c r="E3477" s="5" t="n">
        <v>72.90000000000001</v>
      </c>
      <c r="F3477" s="3" t="inlineStr">
        <is>
          <t>남이면</t>
        </is>
      </c>
      <c r="G3477" s="3" t="inlineStr">
        <is>
          <t>상발리</t>
        </is>
      </c>
      <c r="H3477" s="3" t="inlineStr">
        <is>
          <t>자연녹지지역</t>
        </is>
      </c>
      <c r="I3477" s="3" t="inlineStr">
        <is>
          <t>답</t>
        </is>
      </c>
      <c r="J3477" s="3" t="inlineStr">
        <is>
          <t>남이면</t>
        </is>
      </c>
    </row>
    <row r="3478">
      <c r="A3478" s="3" t="n">
        <v>2025</v>
      </c>
      <c r="B3478" s="4" t="n">
        <v>29200</v>
      </c>
      <c r="C3478" s="4" t="n">
        <v>1216</v>
      </c>
      <c r="D3478" s="4" t="n">
        <v>367.84</v>
      </c>
      <c r="E3478" s="5" t="n">
        <v>79.40000000000001</v>
      </c>
      <c r="F3478" s="3" t="inlineStr">
        <is>
          <t>남이면</t>
        </is>
      </c>
      <c r="G3478" s="3" t="inlineStr">
        <is>
          <t>외천리</t>
        </is>
      </c>
      <c r="H3478" s="3" t="inlineStr">
        <is>
          <t>농림지역</t>
        </is>
      </c>
      <c r="I3478" s="3" t="inlineStr">
        <is>
          <t>답</t>
        </is>
      </c>
      <c r="J3478" s="3" t="inlineStr">
        <is>
          <t>남이면</t>
        </is>
      </c>
    </row>
    <row r="3479">
      <c r="A3479" s="3" t="n">
        <v>2025</v>
      </c>
      <c r="B3479" s="4" t="n">
        <v>9111</v>
      </c>
      <c r="C3479" s="4" t="n">
        <v>1029.3</v>
      </c>
      <c r="D3479" s="4" t="n">
        <v>311.36325</v>
      </c>
      <c r="E3479" s="5" t="n">
        <v>29.3</v>
      </c>
      <c r="F3479" s="3" t="inlineStr">
        <is>
          <t>남이면</t>
        </is>
      </c>
      <c r="G3479" s="3" t="inlineStr">
        <is>
          <t>갈원리</t>
        </is>
      </c>
      <c r="H3479" s="3" t="inlineStr">
        <is>
          <t>농림지역</t>
        </is>
      </c>
      <c r="I3479" s="3" t="inlineStr">
        <is>
          <t>답</t>
        </is>
      </c>
      <c r="J3479" s="3" t="inlineStr">
        <is>
          <t>남이면</t>
        </is>
      </c>
    </row>
    <row r="3480">
      <c r="A3480" s="3" t="n">
        <v>2025</v>
      </c>
      <c r="B3480" s="4" t="n">
        <v>95109</v>
      </c>
      <c r="C3480" s="4" t="n">
        <v>2139</v>
      </c>
      <c r="D3480" s="4" t="n">
        <v>647.0475</v>
      </c>
      <c r="E3480" s="5" t="n">
        <v>147</v>
      </c>
      <c r="F3480" s="3" t="inlineStr">
        <is>
          <t>남이면</t>
        </is>
      </c>
      <c r="G3480" s="3" t="inlineStr">
        <is>
          <t>가마리</t>
        </is>
      </c>
      <c r="H3480" s="3" t="inlineStr">
        <is>
          <t>자연녹지지역</t>
        </is>
      </c>
      <c r="I3480" s="3" t="inlineStr">
        <is>
          <t>답</t>
        </is>
      </c>
      <c r="J3480" s="3" t="inlineStr">
        <is>
          <t>남이면</t>
        </is>
      </c>
    </row>
    <row r="3481">
      <c r="A3481" s="3" t="n">
        <v>2025</v>
      </c>
      <c r="B3481" s="4" t="n">
        <v>11220</v>
      </c>
      <c r="C3481" s="4" t="n">
        <v>1427</v>
      </c>
      <c r="D3481" s="4" t="n">
        <v>431.6675</v>
      </c>
      <c r="E3481" s="5" t="n">
        <v>26</v>
      </c>
      <c r="F3481" s="3" t="inlineStr">
        <is>
          <t>남이면</t>
        </is>
      </c>
      <c r="G3481" s="3" t="inlineStr">
        <is>
          <t>구미리</t>
        </is>
      </c>
      <c r="H3481" s="3" t="inlineStr">
        <is>
          <t>계획관리지역</t>
        </is>
      </c>
      <c r="I3481" s="3" t="inlineStr">
        <is>
          <t>임야</t>
        </is>
      </c>
      <c r="J3481" s="3" t="inlineStr">
        <is>
          <t>남이면</t>
        </is>
      </c>
    </row>
    <row r="3482">
      <c r="A3482" s="3" t="n">
        <v>2025</v>
      </c>
      <c r="B3482" s="4" t="n">
        <v>3340</v>
      </c>
      <c r="C3482" s="4" t="n">
        <v>425</v>
      </c>
      <c r="D3482" s="4" t="n">
        <v>128.5625</v>
      </c>
      <c r="E3482" s="5" t="n">
        <v>26</v>
      </c>
      <c r="F3482" s="3" t="inlineStr">
        <is>
          <t>남이면</t>
        </is>
      </c>
      <c r="G3482" s="3" t="inlineStr">
        <is>
          <t>구미리</t>
        </is>
      </c>
      <c r="H3482" s="3" t="inlineStr">
        <is>
          <t>계획관리지역</t>
        </is>
      </c>
      <c r="I3482" s="3" t="inlineStr">
        <is>
          <t>임야</t>
        </is>
      </c>
      <c r="J3482" s="3" t="inlineStr">
        <is>
          <t>남이면</t>
        </is>
      </c>
    </row>
    <row r="3483">
      <c r="A3483" s="3" t="n">
        <v>2025</v>
      </c>
      <c r="B3483" s="4" t="n">
        <v>37681</v>
      </c>
      <c r="C3483" s="4" t="n">
        <v>1385</v>
      </c>
      <c r="D3483" s="4" t="n">
        <v>418.9625</v>
      </c>
      <c r="E3483" s="5" t="n">
        <v>89.90000000000001</v>
      </c>
      <c r="F3483" s="3" t="inlineStr">
        <is>
          <t>남이면</t>
        </is>
      </c>
      <c r="G3483" s="3" t="inlineStr">
        <is>
          <t>가좌리</t>
        </is>
      </c>
      <c r="H3483" s="3" t="inlineStr">
        <is>
          <t>자연녹지지역</t>
        </is>
      </c>
      <c r="I3483" s="3" t="inlineStr">
        <is>
          <t>답</t>
        </is>
      </c>
      <c r="J3483" s="3" t="inlineStr">
        <is>
          <t>남이면</t>
        </is>
      </c>
    </row>
    <row r="3484">
      <c r="A3484" s="3" t="n">
        <v>2025</v>
      </c>
      <c r="B3484" s="4" t="n">
        <v>44319</v>
      </c>
      <c r="C3484" s="4" t="n">
        <v>1629</v>
      </c>
      <c r="D3484" s="4" t="n">
        <v>492.7725</v>
      </c>
      <c r="E3484" s="5" t="n">
        <v>89.90000000000001</v>
      </c>
      <c r="F3484" s="3" t="inlineStr">
        <is>
          <t>남이면</t>
        </is>
      </c>
      <c r="G3484" s="3" t="inlineStr">
        <is>
          <t>가좌리</t>
        </is>
      </c>
      <c r="H3484" s="3" t="inlineStr">
        <is>
          <t>자연녹지지역</t>
        </is>
      </c>
      <c r="I3484" s="3" t="inlineStr">
        <is>
          <t>답</t>
        </is>
      </c>
      <c r="J3484" s="3" t="inlineStr">
        <is>
          <t>남이면</t>
        </is>
      </c>
    </row>
    <row r="3485">
      <c r="A3485" s="3" t="n">
        <v>2025</v>
      </c>
      <c r="B3485" s="4" t="n">
        <v>14000</v>
      </c>
      <c r="C3485" s="4" t="n">
        <v>853</v>
      </c>
      <c r="D3485" s="4" t="n">
        <v>258.0325</v>
      </c>
      <c r="E3485" s="5" t="n">
        <v>54.3</v>
      </c>
      <c r="F3485" s="3" t="inlineStr">
        <is>
          <t>남이면</t>
        </is>
      </c>
      <c r="G3485" s="3" t="inlineStr">
        <is>
          <t>문동리</t>
        </is>
      </c>
      <c r="H3485" s="3" t="inlineStr">
        <is>
          <t>자연녹지지역</t>
        </is>
      </c>
      <c r="I3485" s="3" t="inlineStr">
        <is>
          <t>대</t>
        </is>
      </c>
      <c r="J3485" s="3" t="inlineStr">
        <is>
          <t>남이면</t>
        </is>
      </c>
    </row>
    <row r="3486">
      <c r="A3486" s="3" t="n">
        <v>2024</v>
      </c>
      <c r="B3486" s="4" t="n">
        <v>4005</v>
      </c>
      <c r="C3486" s="4" t="n">
        <v>144</v>
      </c>
      <c r="D3486" s="4" t="n">
        <v>43.56</v>
      </c>
      <c r="E3486" s="5" t="n">
        <v>91.90000000000001</v>
      </c>
      <c r="F3486" s="3" t="inlineStr">
        <is>
          <t>남이면</t>
        </is>
      </c>
      <c r="G3486" s="3" t="inlineStr">
        <is>
          <t>가좌리</t>
        </is>
      </c>
      <c r="H3486" s="3" t="inlineStr">
        <is>
          <t>자연녹지지역</t>
        </is>
      </c>
      <c r="I3486" s="3" t="inlineStr">
        <is>
          <t>답</t>
        </is>
      </c>
      <c r="J3486" s="3" t="inlineStr">
        <is>
          <t>남이면</t>
        </is>
      </c>
    </row>
    <row r="3487">
      <c r="A3487" s="3" t="n">
        <v>2024</v>
      </c>
      <c r="B3487" s="4" t="n">
        <v>360</v>
      </c>
      <c r="C3487" s="4" t="n">
        <v>54</v>
      </c>
      <c r="D3487" s="4" t="n">
        <v>16.335</v>
      </c>
      <c r="E3487" s="5" t="n">
        <v>22</v>
      </c>
      <c r="F3487" s="3" t="inlineStr">
        <is>
          <t>남이면</t>
        </is>
      </c>
      <c r="G3487" s="3" t="inlineStr">
        <is>
          <t>문동리</t>
        </is>
      </c>
      <c r="H3487" s="3" t="inlineStr">
        <is>
          <t>자연환경보전</t>
        </is>
      </c>
      <c r="I3487" s="3" t="inlineStr">
        <is>
          <t>답</t>
        </is>
      </c>
      <c r="J3487" s="3" t="inlineStr">
        <is>
          <t>남이면</t>
        </is>
      </c>
    </row>
    <row r="3488">
      <c r="A3488" s="3" t="n">
        <v>2024</v>
      </c>
      <c r="B3488" s="4" t="n">
        <v>5555</v>
      </c>
      <c r="C3488" s="4" t="n">
        <v>134</v>
      </c>
      <c r="D3488" s="4" t="n">
        <v>40.535</v>
      </c>
      <c r="E3488" s="5" t="n">
        <v>137</v>
      </c>
      <c r="F3488" s="3" t="inlineStr">
        <is>
          <t>남이면</t>
        </is>
      </c>
      <c r="G3488" s="3" t="inlineStr">
        <is>
          <t>양촌리</t>
        </is>
      </c>
      <c r="H3488" s="3" t="inlineStr">
        <is>
          <t>자연녹지지역</t>
        </is>
      </c>
      <c r="I3488" s="3" t="inlineStr">
        <is>
          <t>답</t>
        </is>
      </c>
      <c r="J3488" s="3" t="inlineStr">
        <is>
          <t>남이면</t>
        </is>
      </c>
    </row>
    <row r="3489">
      <c r="A3489" s="3" t="n">
        <v>2024</v>
      </c>
      <c r="B3489" s="4" t="n">
        <v>41037</v>
      </c>
      <c r="C3489" s="4" t="n">
        <v>990</v>
      </c>
      <c r="D3489" s="4" t="n">
        <v>299.475</v>
      </c>
      <c r="E3489" s="5" t="n">
        <v>137</v>
      </c>
      <c r="F3489" s="3" t="inlineStr">
        <is>
          <t>남이면</t>
        </is>
      </c>
      <c r="G3489" s="3" t="inlineStr">
        <is>
          <t>양촌리</t>
        </is>
      </c>
      <c r="H3489" s="3" t="inlineStr">
        <is>
          <t>자연녹지지역</t>
        </is>
      </c>
      <c r="I3489" s="3" t="inlineStr">
        <is>
          <t>전</t>
        </is>
      </c>
      <c r="J3489" s="3" t="inlineStr">
        <is>
          <t>남이면</t>
        </is>
      </c>
    </row>
    <row r="3490">
      <c r="A3490" s="3" t="n">
        <v>2024</v>
      </c>
      <c r="B3490" s="4" t="n">
        <v>2777</v>
      </c>
      <c r="C3490" s="4" t="n">
        <v>67</v>
      </c>
      <c r="D3490" s="4" t="n">
        <v>20.2675</v>
      </c>
      <c r="E3490" s="5" t="n">
        <v>137</v>
      </c>
      <c r="F3490" s="3" t="inlineStr">
        <is>
          <t>남이면</t>
        </is>
      </c>
      <c r="G3490" s="3" t="inlineStr">
        <is>
          <t>양촌리</t>
        </is>
      </c>
      <c r="H3490" s="3" t="inlineStr">
        <is>
          <t>자연녹지지역</t>
        </is>
      </c>
      <c r="I3490" s="3" t="inlineStr">
        <is>
          <t>전</t>
        </is>
      </c>
      <c r="J3490" s="3" t="inlineStr">
        <is>
          <t>남이면</t>
        </is>
      </c>
    </row>
    <row r="3491">
      <c r="A3491" s="3" t="n">
        <v>2024</v>
      </c>
      <c r="B3491" s="4" t="n">
        <v>13099</v>
      </c>
      <c r="C3491" s="4" t="n">
        <v>316</v>
      </c>
      <c r="D3491" s="4" t="n">
        <v>95.59</v>
      </c>
      <c r="E3491" s="5" t="n">
        <v>137</v>
      </c>
      <c r="F3491" s="3" t="inlineStr">
        <is>
          <t>남이면</t>
        </is>
      </c>
      <c r="G3491" s="3" t="inlineStr">
        <is>
          <t>양촌리</t>
        </is>
      </c>
      <c r="H3491" s="3" t="inlineStr">
        <is>
          <t>자연녹지지역</t>
        </is>
      </c>
      <c r="I3491" s="3" t="inlineStr">
        <is>
          <t>임야</t>
        </is>
      </c>
      <c r="J3491" s="3" t="inlineStr">
        <is>
          <t>남이면</t>
        </is>
      </c>
    </row>
    <row r="3492">
      <c r="A3492" s="3" t="n">
        <v>2024</v>
      </c>
      <c r="B3492" s="4" t="n">
        <v>45000</v>
      </c>
      <c r="C3492" s="4" t="n">
        <v>18645</v>
      </c>
      <c r="D3492" s="4" t="n">
        <v>5640.1125</v>
      </c>
      <c r="E3492" s="5" t="n">
        <v>8</v>
      </c>
      <c r="F3492" s="3" t="inlineStr">
        <is>
          <t>남이면</t>
        </is>
      </c>
      <c r="G3492" s="3" t="inlineStr">
        <is>
          <t>비룡리</t>
        </is>
      </c>
      <c r="H3492" s="3" t="inlineStr">
        <is>
          <t>계획관리지역</t>
        </is>
      </c>
      <c r="I3492" s="3" t="inlineStr">
        <is>
          <t>임야</t>
        </is>
      </c>
      <c r="J3492" s="3" t="inlineStr">
        <is>
          <t>남이면</t>
        </is>
      </c>
    </row>
    <row r="3493">
      <c r="A3493" s="3" t="n">
        <v>2024</v>
      </c>
      <c r="B3493" s="4" t="n">
        <v>5450</v>
      </c>
      <c r="C3493" s="4" t="n">
        <v>707</v>
      </c>
      <c r="D3493" s="4" t="n">
        <v>213.8675</v>
      </c>
      <c r="E3493" s="5" t="n">
        <v>25.5</v>
      </c>
      <c r="F3493" s="3" t="inlineStr">
        <is>
          <t>남이면</t>
        </is>
      </c>
      <c r="G3493" s="3" t="inlineStr">
        <is>
          <t>산막리</t>
        </is>
      </c>
      <c r="H3493" s="3" t="inlineStr">
        <is>
          <t>생산관리지역</t>
        </is>
      </c>
      <c r="I3493" s="3" t="inlineStr">
        <is>
          <t>전</t>
        </is>
      </c>
      <c r="J3493" s="3" t="inlineStr">
        <is>
          <t>남이면</t>
        </is>
      </c>
    </row>
    <row r="3494">
      <c r="A3494" s="3" t="n">
        <v>2024</v>
      </c>
      <c r="B3494" s="4" t="n">
        <v>26800</v>
      </c>
      <c r="C3494" s="4" t="n">
        <v>888</v>
      </c>
      <c r="D3494" s="4" t="n">
        <v>268.62</v>
      </c>
      <c r="E3494" s="5" t="n">
        <v>99.8</v>
      </c>
      <c r="F3494" s="3" t="inlineStr">
        <is>
          <t>남이면</t>
        </is>
      </c>
      <c r="G3494" s="3" t="inlineStr">
        <is>
          <t>척산리</t>
        </is>
      </c>
      <c r="H3494" s="3" t="inlineStr">
        <is>
          <t>계획관리지역</t>
        </is>
      </c>
      <c r="I3494" s="3" t="inlineStr">
        <is>
          <t>답</t>
        </is>
      </c>
      <c r="J3494" s="3" t="inlineStr">
        <is>
          <t>남이면</t>
        </is>
      </c>
    </row>
    <row r="3495">
      <c r="A3495" s="3" t="n">
        <v>2024</v>
      </c>
      <c r="B3495" s="4" t="n">
        <v>36800</v>
      </c>
      <c r="C3495" s="4" t="n">
        <v>1217</v>
      </c>
      <c r="D3495" s="4" t="n">
        <v>368.1425</v>
      </c>
      <c r="E3495" s="5" t="n">
        <v>100</v>
      </c>
      <c r="F3495" s="3" t="inlineStr">
        <is>
          <t>남이면</t>
        </is>
      </c>
      <c r="G3495" s="3" t="inlineStr">
        <is>
          <t>척산리</t>
        </is>
      </c>
      <c r="H3495" s="3" t="inlineStr">
        <is>
          <t>계획관리지역</t>
        </is>
      </c>
      <c r="I3495" s="3" t="inlineStr">
        <is>
          <t>주차장</t>
        </is>
      </c>
      <c r="J3495" s="3" t="inlineStr">
        <is>
          <t>남이면</t>
        </is>
      </c>
    </row>
    <row r="3496">
      <c r="A3496" s="3" t="n">
        <v>2024</v>
      </c>
      <c r="B3496" s="4" t="n">
        <v>5450</v>
      </c>
      <c r="C3496" s="4" t="n">
        <v>707</v>
      </c>
      <c r="D3496" s="4" t="n">
        <v>213.8675</v>
      </c>
      <c r="E3496" s="5" t="n">
        <v>25.5</v>
      </c>
      <c r="F3496" s="3" t="inlineStr">
        <is>
          <t>남이면</t>
        </is>
      </c>
      <c r="G3496" s="3" t="inlineStr">
        <is>
          <t>산막리</t>
        </is>
      </c>
      <c r="H3496" s="3" t="inlineStr">
        <is>
          <t>생산관리지역</t>
        </is>
      </c>
      <c r="I3496" s="3" t="inlineStr">
        <is>
          <t>전</t>
        </is>
      </c>
      <c r="J3496" s="3" t="inlineStr">
        <is>
          <t>남이면</t>
        </is>
      </c>
    </row>
    <row r="3497">
      <c r="A3497" s="3" t="n">
        <v>2024</v>
      </c>
      <c r="B3497" s="4" t="n">
        <v>7000</v>
      </c>
      <c r="C3497" s="4" t="n">
        <v>754</v>
      </c>
      <c r="D3497" s="4" t="n">
        <v>228.085</v>
      </c>
      <c r="E3497" s="5" t="n">
        <v>30.7</v>
      </c>
      <c r="F3497" s="3" t="inlineStr">
        <is>
          <t>남이면</t>
        </is>
      </c>
      <c r="G3497" s="3" t="inlineStr">
        <is>
          <t>석실리</t>
        </is>
      </c>
      <c r="H3497" s="3" t="inlineStr">
        <is>
          <t>보전녹지지역</t>
        </is>
      </c>
      <c r="I3497" s="3" t="inlineStr">
        <is>
          <t>전</t>
        </is>
      </c>
      <c r="J3497" s="3" t="inlineStr">
        <is>
          <t>남이면</t>
        </is>
      </c>
    </row>
    <row r="3498">
      <c r="A3498" s="3" t="n">
        <v>2024</v>
      </c>
      <c r="B3498" s="4" t="n">
        <v>17000</v>
      </c>
      <c r="C3498" s="4" t="n">
        <v>1461</v>
      </c>
      <c r="D3498" s="4" t="n">
        <v>441.9525</v>
      </c>
      <c r="E3498" s="5" t="n">
        <v>38.5</v>
      </c>
      <c r="F3498" s="3" t="inlineStr">
        <is>
          <t>남이면</t>
        </is>
      </c>
      <c r="G3498" s="3" t="inlineStr">
        <is>
          <t>문동리</t>
        </is>
      </c>
      <c r="H3498" s="3" t="inlineStr">
        <is>
          <t>보전녹지지역</t>
        </is>
      </c>
      <c r="I3498" s="3" t="inlineStr">
        <is>
          <t>임야</t>
        </is>
      </c>
      <c r="J3498" s="3" t="inlineStr">
        <is>
          <t>남이면</t>
        </is>
      </c>
    </row>
    <row r="3499">
      <c r="A3499" s="3" t="n">
        <v>2024</v>
      </c>
      <c r="B3499" s="4" t="n">
        <v>1500</v>
      </c>
      <c r="C3499" s="4" t="n">
        <v>49</v>
      </c>
      <c r="D3499" s="4" t="n">
        <v>14.8225</v>
      </c>
      <c r="E3499" s="5" t="n">
        <v>101.2</v>
      </c>
      <c r="F3499" s="3" t="inlineStr">
        <is>
          <t>남이면</t>
        </is>
      </c>
      <c r="G3499" s="3" t="inlineStr">
        <is>
          <t>양촌리</t>
        </is>
      </c>
      <c r="H3499" s="3" t="inlineStr">
        <is>
          <t>자연녹지지역</t>
        </is>
      </c>
      <c r="I3499" s="3" t="inlineStr">
        <is>
          <t>도로</t>
        </is>
      </c>
      <c r="J3499" s="3" t="inlineStr">
        <is>
          <t>남이면</t>
        </is>
      </c>
    </row>
    <row r="3500">
      <c r="A3500" s="3" t="n">
        <v>2024</v>
      </c>
      <c r="B3500" s="4" t="n">
        <v>1500</v>
      </c>
      <c r="C3500" s="4" t="n">
        <v>49</v>
      </c>
      <c r="D3500" s="4" t="n">
        <v>14.8225</v>
      </c>
      <c r="E3500" s="5" t="n">
        <v>101.2</v>
      </c>
      <c r="F3500" s="3" t="inlineStr">
        <is>
          <t>남이면</t>
        </is>
      </c>
      <c r="G3500" s="3" t="inlineStr">
        <is>
          <t>수대리</t>
        </is>
      </c>
      <c r="H3500" s="3" t="inlineStr">
        <is>
          <t>기타</t>
        </is>
      </c>
      <c r="I3500" s="3" t="inlineStr">
        <is>
          <t>도로</t>
        </is>
      </c>
      <c r="J3500" s="3" t="inlineStr">
        <is>
          <t>남이면</t>
        </is>
      </c>
    </row>
    <row r="3501">
      <c r="A3501" s="3" t="n">
        <v>2023</v>
      </c>
      <c r="B3501" s="4" t="n">
        <v>26369</v>
      </c>
      <c r="C3501" s="4" t="n">
        <v>2301</v>
      </c>
      <c r="D3501" s="4" t="n">
        <v>696.0525</v>
      </c>
      <c r="E3501" s="5" t="n">
        <v>37.9</v>
      </c>
      <c r="F3501" s="3" t="inlineStr">
        <is>
          <t>남이면</t>
        </is>
      </c>
      <c r="G3501" s="3" t="inlineStr">
        <is>
          <t>팔봉리</t>
        </is>
      </c>
      <c r="H3501" s="3" t="inlineStr">
        <is>
          <t>자연녹지지역</t>
        </is>
      </c>
      <c r="I3501" s="3" t="inlineStr">
        <is>
          <t>전</t>
        </is>
      </c>
      <c r="J3501" s="3" t="inlineStr">
        <is>
          <t>남이면</t>
        </is>
      </c>
    </row>
    <row r="3502">
      <c r="A3502" s="3" t="n">
        <v>2023</v>
      </c>
      <c r="B3502" s="4" t="n">
        <v>2131</v>
      </c>
      <c r="C3502" s="4" t="n">
        <v>186</v>
      </c>
      <c r="D3502" s="4" t="n">
        <v>56.265</v>
      </c>
      <c r="E3502" s="5" t="n">
        <v>37.9</v>
      </c>
      <c r="F3502" s="3" t="inlineStr">
        <is>
          <t>남이면</t>
        </is>
      </c>
      <c r="G3502" s="3" t="inlineStr">
        <is>
          <t>팔봉리</t>
        </is>
      </c>
      <c r="H3502" s="3" t="inlineStr">
        <is>
          <t>자연녹지지역</t>
        </is>
      </c>
      <c r="I3502" s="3" t="inlineStr">
        <is>
          <t>묘지</t>
        </is>
      </c>
      <c r="J3502" s="3" t="inlineStr">
        <is>
          <t>남이면</t>
        </is>
      </c>
    </row>
    <row r="3503">
      <c r="A3503" s="3" t="n">
        <v>2023</v>
      </c>
      <c r="B3503" s="4" t="n">
        <v>2300</v>
      </c>
      <c r="C3503" s="4" t="n">
        <v>171</v>
      </c>
      <c r="D3503" s="4" t="n">
        <v>51.7275</v>
      </c>
      <c r="E3503" s="5" t="n">
        <v>44.5</v>
      </c>
      <c r="F3503" s="3" t="inlineStr">
        <is>
          <t>남이면</t>
        </is>
      </c>
      <c r="G3503" s="3" t="inlineStr">
        <is>
          <t>팔봉리</t>
        </is>
      </c>
      <c r="H3503" s="3" t="inlineStr">
        <is>
          <t>자연녹지지역</t>
        </is>
      </c>
      <c r="I3503" s="3" t="inlineStr">
        <is>
          <t>묘지</t>
        </is>
      </c>
      <c r="J3503" s="3" t="inlineStr">
        <is>
          <t>남이면</t>
        </is>
      </c>
    </row>
    <row r="3504">
      <c r="A3504" s="3" t="n">
        <v>2023</v>
      </c>
      <c r="B3504" s="4" t="n">
        <v>41000</v>
      </c>
      <c r="C3504" s="4" t="n">
        <v>3031</v>
      </c>
      <c r="D3504" s="4" t="n">
        <v>916.8774999999999</v>
      </c>
      <c r="E3504" s="5" t="n">
        <v>44.7</v>
      </c>
      <c r="F3504" s="3" t="inlineStr">
        <is>
          <t>남이면</t>
        </is>
      </c>
      <c r="G3504" s="3" t="inlineStr">
        <is>
          <t>팔봉리</t>
        </is>
      </c>
      <c r="H3504" s="3" t="inlineStr">
        <is>
          <t>자연녹지지역</t>
        </is>
      </c>
      <c r="I3504" s="3" t="inlineStr">
        <is>
          <t>답</t>
        </is>
      </c>
      <c r="J3504" s="3" t="inlineStr">
        <is>
          <t>남이면</t>
        </is>
      </c>
    </row>
    <row r="3505">
      <c r="A3505" s="3" t="n">
        <v>2023</v>
      </c>
      <c r="B3505" s="4" t="n">
        <v>58000</v>
      </c>
      <c r="C3505" s="4" t="n">
        <v>3031</v>
      </c>
      <c r="D3505" s="4" t="n">
        <v>916.8774999999999</v>
      </c>
      <c r="E3505" s="5" t="n">
        <v>63.3</v>
      </c>
      <c r="F3505" s="3" t="inlineStr">
        <is>
          <t>남이면</t>
        </is>
      </c>
      <c r="G3505" s="3" t="inlineStr">
        <is>
          <t>팔봉리</t>
        </is>
      </c>
      <c r="H3505" s="3" t="inlineStr">
        <is>
          <t>자연녹지지역</t>
        </is>
      </c>
      <c r="I3505" s="3" t="inlineStr">
        <is>
          <t>답</t>
        </is>
      </c>
      <c r="J3505" s="3" t="inlineStr">
        <is>
          <t>남이면</t>
        </is>
      </c>
    </row>
    <row r="3506">
      <c r="A3506" s="3" t="n">
        <v>2023</v>
      </c>
      <c r="B3506" s="4" t="n">
        <v>2080</v>
      </c>
      <c r="C3506" s="4" t="n">
        <v>171</v>
      </c>
      <c r="D3506" s="4" t="n">
        <v>51.7275</v>
      </c>
      <c r="E3506" s="5" t="n">
        <v>40.2</v>
      </c>
      <c r="F3506" s="3" t="inlineStr">
        <is>
          <t>남이면</t>
        </is>
      </c>
      <c r="G3506" s="3" t="inlineStr">
        <is>
          <t>팔봉리</t>
        </is>
      </c>
      <c r="H3506" s="3" t="inlineStr">
        <is>
          <t>자연녹지지역</t>
        </is>
      </c>
      <c r="I3506" s="3" t="inlineStr">
        <is>
          <t>묘지</t>
        </is>
      </c>
      <c r="J3506" s="3" t="inlineStr">
        <is>
          <t>남이면</t>
        </is>
      </c>
    </row>
    <row r="3507">
      <c r="A3507" s="3" t="n">
        <v>2023</v>
      </c>
      <c r="B3507" s="4" t="n">
        <v>21780</v>
      </c>
      <c r="C3507" s="4" t="n">
        <v>144</v>
      </c>
      <c r="D3507" s="4" t="n">
        <v>43.56</v>
      </c>
      <c r="E3507" s="5" t="n">
        <v>500</v>
      </c>
      <c r="F3507" s="3" t="inlineStr">
        <is>
          <t>남이면</t>
        </is>
      </c>
      <c r="G3507" s="3" t="inlineStr">
        <is>
          <t>가좌리</t>
        </is>
      </c>
      <c r="H3507" s="3" t="inlineStr">
        <is>
          <t>자연녹지지역</t>
        </is>
      </c>
      <c r="I3507" s="3" t="inlineStr">
        <is>
          <t>답</t>
        </is>
      </c>
      <c r="J3507" s="3" t="inlineStr">
        <is>
          <t>남이면</t>
        </is>
      </c>
    </row>
    <row r="3508">
      <c r="A3508" s="3" t="n">
        <v>2023</v>
      </c>
      <c r="B3508" s="4" t="n">
        <v>1064</v>
      </c>
      <c r="C3508" s="4" t="n">
        <v>127</v>
      </c>
      <c r="D3508" s="4" t="n">
        <v>38.4175</v>
      </c>
      <c r="E3508" s="5" t="n">
        <v>27.7</v>
      </c>
      <c r="F3508" s="3" t="inlineStr">
        <is>
          <t>남이면</t>
        </is>
      </c>
      <c r="G3508" s="3" t="inlineStr">
        <is>
          <t>갈원리</t>
        </is>
      </c>
      <c r="H3508" s="3" t="inlineStr">
        <is>
          <t>계획관리지역</t>
        </is>
      </c>
      <c r="I3508" s="3" t="inlineStr">
        <is>
          <t>도로</t>
        </is>
      </c>
      <c r="J3508" s="3" t="inlineStr">
        <is>
          <t>남이면</t>
        </is>
      </c>
    </row>
    <row r="3509">
      <c r="A3509" s="3" t="n">
        <v>2023</v>
      </c>
      <c r="B3509" s="4" t="n">
        <v>10650</v>
      </c>
      <c r="C3509" s="4" t="n">
        <v>471</v>
      </c>
      <c r="D3509" s="4" t="n">
        <v>142.4775</v>
      </c>
      <c r="E3509" s="5" t="n">
        <v>74.7</v>
      </c>
      <c r="F3509" s="3" t="inlineStr">
        <is>
          <t>남이면</t>
        </is>
      </c>
      <c r="G3509" s="3" t="inlineStr">
        <is>
          <t>가마리</t>
        </is>
      </c>
      <c r="H3509" s="3" t="inlineStr">
        <is>
          <t>자연녹지지역</t>
        </is>
      </c>
      <c r="I3509" s="3" t="inlineStr">
        <is>
          <t>임야</t>
        </is>
      </c>
      <c r="J3509" s="3" t="inlineStr">
        <is>
          <t>남이면</t>
        </is>
      </c>
    </row>
    <row r="3510">
      <c r="A3510" s="3" t="n">
        <v>2023</v>
      </c>
      <c r="B3510" s="4" t="n">
        <v>2400</v>
      </c>
      <c r="C3510" s="4" t="n">
        <v>100</v>
      </c>
      <c r="D3510" s="4" t="n">
        <v>30.25</v>
      </c>
      <c r="E3510" s="5" t="n">
        <v>79.3</v>
      </c>
      <c r="F3510" s="3" t="inlineStr">
        <is>
          <t>남이면</t>
        </is>
      </c>
      <c r="G3510" s="3" t="inlineStr">
        <is>
          <t>양촌리</t>
        </is>
      </c>
      <c r="H3510" s="3" t="inlineStr">
        <is>
          <t>자연녹지지역</t>
        </is>
      </c>
      <c r="I3510" s="3" t="inlineStr">
        <is>
          <t>전</t>
        </is>
      </c>
      <c r="J3510" s="3" t="inlineStr">
        <is>
          <t>남이면</t>
        </is>
      </c>
    </row>
    <row r="3511">
      <c r="A3511" s="3" t="n">
        <v>2023</v>
      </c>
      <c r="B3511" s="4" t="n">
        <v>31322</v>
      </c>
      <c r="C3511" s="4" t="n">
        <v>1336</v>
      </c>
      <c r="D3511" s="4" t="n">
        <v>404.14</v>
      </c>
      <c r="E3511" s="5" t="n">
        <v>77.5</v>
      </c>
      <c r="F3511" s="3" t="inlineStr">
        <is>
          <t>남이면</t>
        </is>
      </c>
      <c r="G3511" s="3" t="inlineStr">
        <is>
          <t>팔봉리</t>
        </is>
      </c>
      <c r="H3511" s="3" t="inlineStr">
        <is>
          <t>자연녹지지역</t>
        </is>
      </c>
      <c r="I3511" s="3" t="inlineStr">
        <is>
          <t>전</t>
        </is>
      </c>
      <c r="J3511" s="3" t="inlineStr">
        <is>
          <t>남이면</t>
        </is>
      </c>
    </row>
    <row r="3512">
      <c r="A3512" s="3" t="n">
        <v>2023</v>
      </c>
      <c r="B3512" s="4" t="n">
        <v>17348</v>
      </c>
      <c r="C3512" s="4" t="n">
        <v>740</v>
      </c>
      <c r="D3512" s="4" t="n">
        <v>223.85</v>
      </c>
      <c r="E3512" s="5" t="n">
        <v>77.5</v>
      </c>
      <c r="F3512" s="3" t="inlineStr">
        <is>
          <t>남이면</t>
        </is>
      </c>
      <c r="G3512" s="3" t="inlineStr">
        <is>
          <t>팔봉리</t>
        </is>
      </c>
      <c r="H3512" s="3" t="inlineStr">
        <is>
          <t>자연녹지지역</t>
        </is>
      </c>
      <c r="I3512" s="3" t="inlineStr">
        <is>
          <t>전</t>
        </is>
      </c>
      <c r="J3512" s="3" t="inlineStr">
        <is>
          <t>남이면</t>
        </is>
      </c>
    </row>
    <row r="3513">
      <c r="A3513" s="3" t="n">
        <v>2023</v>
      </c>
      <c r="B3513" s="4" t="n">
        <v>20160</v>
      </c>
      <c r="C3513" s="4" t="n">
        <v>1388</v>
      </c>
      <c r="D3513" s="4" t="n">
        <v>419.87</v>
      </c>
      <c r="E3513" s="5" t="n">
        <v>48</v>
      </c>
      <c r="F3513" s="3" t="inlineStr">
        <is>
          <t>남이면</t>
        </is>
      </c>
      <c r="G3513" s="3" t="inlineStr">
        <is>
          <t>석판리</t>
        </is>
      </c>
      <c r="H3513" s="3" t="inlineStr">
        <is>
          <t>자연녹지지역</t>
        </is>
      </c>
      <c r="I3513" s="3" t="inlineStr">
        <is>
          <t>임야</t>
        </is>
      </c>
      <c r="J3513" s="3" t="inlineStr">
        <is>
          <t>남이면</t>
        </is>
      </c>
    </row>
    <row r="3514">
      <c r="A3514" s="3" t="n">
        <v>2023</v>
      </c>
      <c r="B3514" s="4" t="n">
        <v>1131</v>
      </c>
      <c r="C3514" s="4" t="n">
        <v>298</v>
      </c>
      <c r="D3514" s="4" t="n">
        <v>90.145</v>
      </c>
      <c r="E3514" s="5" t="n">
        <v>12.5</v>
      </c>
      <c r="F3514" s="3" t="inlineStr">
        <is>
          <t>남이면</t>
        </is>
      </c>
      <c r="G3514" s="3" t="inlineStr">
        <is>
          <t>석판리</t>
        </is>
      </c>
      <c r="H3514" s="3" t="inlineStr">
        <is>
          <t>보전녹지지역</t>
        </is>
      </c>
      <c r="I3514" s="3" t="inlineStr">
        <is>
          <t>임야</t>
        </is>
      </c>
      <c r="J3514" s="3" t="inlineStr">
        <is>
          <t>남이면</t>
        </is>
      </c>
    </row>
    <row r="3515">
      <c r="A3515" s="3" t="n">
        <v>2023</v>
      </c>
      <c r="B3515" s="4" t="n">
        <v>78709</v>
      </c>
      <c r="C3515" s="4" t="n">
        <v>3749</v>
      </c>
      <c r="D3515" s="4" t="n">
        <v>1134.0725</v>
      </c>
      <c r="E3515" s="5" t="n">
        <v>69.40000000000001</v>
      </c>
      <c r="F3515" s="3" t="inlineStr">
        <is>
          <t>남이면</t>
        </is>
      </c>
      <c r="G3515" s="3" t="inlineStr">
        <is>
          <t>석판리</t>
        </is>
      </c>
      <c r="H3515" s="3" t="inlineStr">
        <is>
          <t>자연녹지지역</t>
        </is>
      </c>
      <c r="I3515" s="3" t="inlineStr">
        <is>
          <t>전</t>
        </is>
      </c>
      <c r="J3515" s="3" t="inlineStr">
        <is>
          <t>남이면</t>
        </is>
      </c>
    </row>
    <row r="3516">
      <c r="A3516" s="3" t="n">
        <v>2023</v>
      </c>
      <c r="B3516" s="4" t="n">
        <v>9200</v>
      </c>
      <c r="C3516" s="4" t="n">
        <v>366</v>
      </c>
      <c r="D3516" s="4" t="n">
        <v>110.715</v>
      </c>
      <c r="E3516" s="5" t="n">
        <v>83.09999999999999</v>
      </c>
      <c r="F3516" s="3" t="inlineStr">
        <is>
          <t>남이면</t>
        </is>
      </c>
      <c r="G3516" s="3" t="inlineStr">
        <is>
          <t>양촌리</t>
        </is>
      </c>
      <c r="H3516" s="3" t="inlineStr">
        <is>
          <t>자연녹지지역</t>
        </is>
      </c>
      <c r="I3516" s="3" t="inlineStr">
        <is>
          <t>답</t>
        </is>
      </c>
      <c r="J3516" s="3" t="inlineStr">
        <is>
          <t>남이면</t>
        </is>
      </c>
    </row>
    <row r="3517">
      <c r="A3517" s="3" t="n">
        <v>2023</v>
      </c>
      <c r="B3517" s="4" t="n">
        <v>10600</v>
      </c>
      <c r="C3517" s="4" t="n">
        <v>422</v>
      </c>
      <c r="D3517" s="4" t="n">
        <v>127.655</v>
      </c>
      <c r="E3517" s="5" t="n">
        <v>83</v>
      </c>
      <c r="F3517" s="3" t="inlineStr">
        <is>
          <t>남이면</t>
        </is>
      </c>
      <c r="G3517" s="3" t="inlineStr">
        <is>
          <t>양촌리</t>
        </is>
      </c>
      <c r="H3517" s="3" t="inlineStr">
        <is>
          <t>자연녹지지역</t>
        </is>
      </c>
      <c r="I3517" s="3" t="inlineStr">
        <is>
          <t>전</t>
        </is>
      </c>
      <c r="J3517" s="3" t="inlineStr">
        <is>
          <t>남이면</t>
        </is>
      </c>
    </row>
    <row r="3518">
      <c r="A3518" s="3" t="n">
        <v>2023</v>
      </c>
      <c r="B3518" s="4" t="n">
        <v>126700</v>
      </c>
      <c r="C3518" s="4" t="n">
        <v>2841</v>
      </c>
      <c r="D3518" s="4" t="n">
        <v>859.4024999999999</v>
      </c>
      <c r="E3518" s="5" t="n">
        <v>147.4</v>
      </c>
      <c r="F3518" s="3" t="inlineStr">
        <is>
          <t>남이면</t>
        </is>
      </c>
      <c r="G3518" s="3" t="inlineStr">
        <is>
          <t>상발리</t>
        </is>
      </c>
      <c r="H3518" s="3" t="inlineStr">
        <is>
          <t>계획관리지역</t>
        </is>
      </c>
      <c r="I3518" s="3" t="inlineStr">
        <is>
          <t>답</t>
        </is>
      </c>
      <c r="J3518" s="3" t="inlineStr">
        <is>
          <t>남이면</t>
        </is>
      </c>
    </row>
    <row r="3519">
      <c r="A3519" s="3" t="n">
        <v>2023</v>
      </c>
      <c r="B3519" s="4" t="n">
        <v>50000</v>
      </c>
      <c r="C3519" s="4" t="n">
        <v>4803</v>
      </c>
      <c r="D3519" s="4" t="n">
        <v>1452.9075</v>
      </c>
      <c r="E3519" s="5" t="n">
        <v>34.4</v>
      </c>
      <c r="F3519" s="3" t="inlineStr">
        <is>
          <t>남이면</t>
        </is>
      </c>
      <c r="G3519" s="3" t="inlineStr">
        <is>
          <t>수대리</t>
        </is>
      </c>
      <c r="H3519" s="3" t="inlineStr">
        <is>
          <t>자연녹지지역</t>
        </is>
      </c>
      <c r="I3519" s="3" t="inlineStr">
        <is>
          <t>답</t>
        </is>
      </c>
      <c r="J3519" s="3" t="inlineStr">
        <is>
          <t>남이면</t>
        </is>
      </c>
    </row>
    <row r="3520">
      <c r="A3520" s="3" t="n">
        <v>2023</v>
      </c>
      <c r="B3520" s="4" t="n">
        <v>7000</v>
      </c>
      <c r="C3520" s="4" t="n">
        <v>460</v>
      </c>
      <c r="D3520" s="4" t="n">
        <v>139.15</v>
      </c>
      <c r="E3520" s="5" t="n">
        <v>50.3</v>
      </c>
      <c r="F3520" s="3" t="inlineStr">
        <is>
          <t>남이면</t>
        </is>
      </c>
      <c r="G3520" s="3" t="inlineStr">
        <is>
          <t>수대리</t>
        </is>
      </c>
      <c r="H3520" s="3" t="inlineStr">
        <is>
          <t>자연녹지지역</t>
        </is>
      </c>
      <c r="I3520" s="3" t="inlineStr">
        <is>
          <t>전</t>
        </is>
      </c>
      <c r="J3520" s="3" t="inlineStr">
        <is>
          <t>남이면</t>
        </is>
      </c>
    </row>
    <row r="3521">
      <c r="A3521" s="3" t="n">
        <v>2023</v>
      </c>
      <c r="B3521" s="4" t="n">
        <v>22790</v>
      </c>
      <c r="C3521" s="4" t="n">
        <v>1421</v>
      </c>
      <c r="D3521" s="4" t="n">
        <v>429.8525</v>
      </c>
      <c r="E3521" s="5" t="n">
        <v>53</v>
      </c>
      <c r="F3521" s="3" t="inlineStr">
        <is>
          <t>남이면</t>
        </is>
      </c>
      <c r="G3521" s="3" t="inlineStr">
        <is>
          <t>팔봉리</t>
        </is>
      </c>
      <c r="H3521" s="3" t="inlineStr">
        <is>
          <t>자연녹지지역</t>
        </is>
      </c>
      <c r="I3521" s="3" t="inlineStr">
        <is>
          <t>전</t>
        </is>
      </c>
      <c r="J3521" s="3" t="inlineStr">
        <is>
          <t>남이면</t>
        </is>
      </c>
    </row>
    <row r="3522">
      <c r="A3522" s="3" t="n">
        <v>2023</v>
      </c>
      <c r="B3522" s="4" t="n">
        <v>15756</v>
      </c>
      <c r="C3522" s="4" t="n">
        <v>660</v>
      </c>
      <c r="D3522" s="4" t="n">
        <v>199.65</v>
      </c>
      <c r="E3522" s="5" t="n">
        <v>78.90000000000001</v>
      </c>
      <c r="F3522" s="3" t="inlineStr">
        <is>
          <t>남이면</t>
        </is>
      </c>
      <c r="G3522" s="3" t="inlineStr">
        <is>
          <t>수대리</t>
        </is>
      </c>
      <c r="H3522" s="3" t="inlineStr">
        <is>
          <t>자연녹지지역</t>
        </is>
      </c>
      <c r="I3522" s="3" t="inlineStr">
        <is>
          <t>전</t>
        </is>
      </c>
      <c r="J3522" s="3" t="inlineStr">
        <is>
          <t>남이면</t>
        </is>
      </c>
    </row>
    <row r="3523">
      <c r="A3523" s="3" t="n">
        <v>2024</v>
      </c>
      <c r="B3523" s="4" t="n">
        <v>48137</v>
      </c>
      <c r="C3523" s="4" t="n">
        <v>2720</v>
      </c>
      <c r="D3523" s="4" t="n">
        <v>822.8</v>
      </c>
      <c r="E3523" s="5" t="n">
        <v>58.5</v>
      </c>
      <c r="F3523" s="3" t="inlineStr">
        <is>
          <t>연서면</t>
        </is>
      </c>
      <c r="G3523" s="3" t="inlineStr">
        <is>
          <t>기룡리</t>
        </is>
      </c>
      <c r="H3523" s="3" t="inlineStr">
        <is>
          <t>생산관리지역</t>
        </is>
      </c>
      <c r="I3523" s="3" t="inlineStr">
        <is>
          <t>목장용지</t>
        </is>
      </c>
      <c r="J3523" s="3" t="inlineStr">
        <is>
          <t>연서면</t>
        </is>
      </c>
    </row>
    <row r="3524">
      <c r="A3524" s="3" t="n">
        <v>2024</v>
      </c>
      <c r="B3524" s="4" t="n">
        <v>1363</v>
      </c>
      <c r="C3524" s="4" t="n">
        <v>77</v>
      </c>
      <c r="D3524" s="4" t="n">
        <v>23.2925</v>
      </c>
      <c r="E3524" s="5" t="n">
        <v>58.5</v>
      </c>
      <c r="F3524" s="3" t="inlineStr">
        <is>
          <t>연서면</t>
        </is>
      </c>
      <c r="G3524" s="3" t="inlineStr">
        <is>
          <t>기룡리</t>
        </is>
      </c>
      <c r="H3524" s="3" t="inlineStr">
        <is>
          <t>생산관리지역</t>
        </is>
      </c>
      <c r="I3524" s="3" t="inlineStr">
        <is>
          <t>목장용지</t>
        </is>
      </c>
      <c r="J3524" s="3" t="inlineStr">
        <is>
          <t>연서면</t>
        </is>
      </c>
    </row>
    <row r="3525">
      <c r="A3525" s="3" t="n">
        <v>2023</v>
      </c>
      <c r="B3525" s="4" t="n">
        <v>40000</v>
      </c>
      <c r="C3525" s="4" t="n">
        <v>2000</v>
      </c>
      <c r="D3525" s="4" t="n">
        <v>605</v>
      </c>
      <c r="E3525" s="5" t="n">
        <v>66.09999999999999</v>
      </c>
      <c r="F3525" s="3" t="inlineStr">
        <is>
          <t>연동면</t>
        </is>
      </c>
      <c r="G3525" s="3" t="inlineStr">
        <is>
          <t>예양리</t>
        </is>
      </c>
      <c r="H3525" s="3" t="inlineStr">
        <is>
          <t>농림지역</t>
        </is>
      </c>
      <c r="I3525" s="3" t="inlineStr">
        <is>
          <t>답</t>
        </is>
      </c>
      <c r="J3525" s="3" t="inlineStr">
        <is>
          <t>연동면</t>
        </is>
      </c>
    </row>
    <row r="3526">
      <c r="A3526" s="3" t="n">
        <v>2023</v>
      </c>
      <c r="B3526" s="4" t="n">
        <v>4500</v>
      </c>
      <c r="C3526" s="4" t="n">
        <v>474</v>
      </c>
      <c r="D3526" s="4" t="n">
        <v>143.385</v>
      </c>
      <c r="E3526" s="5" t="n">
        <v>31.4</v>
      </c>
      <c r="F3526" s="3" t="inlineStr">
        <is>
          <t>연서면</t>
        </is>
      </c>
      <c r="G3526" s="3" t="inlineStr">
        <is>
          <t>고복리</t>
        </is>
      </c>
      <c r="H3526" s="3" t="inlineStr">
        <is>
          <t>자연녹지지역</t>
        </is>
      </c>
      <c r="I3526" s="3" t="inlineStr">
        <is>
          <t>도로</t>
        </is>
      </c>
      <c r="J3526" s="3" t="inlineStr">
        <is>
          <t>연서면</t>
        </is>
      </c>
    </row>
    <row r="3527">
      <c r="A3527" s="3" t="n">
        <v>2023</v>
      </c>
      <c r="B3527" s="4" t="n">
        <v>1600</v>
      </c>
      <c r="C3527" s="4" t="n">
        <v>50</v>
      </c>
      <c r="D3527" s="4" t="n">
        <v>15.125</v>
      </c>
      <c r="E3527" s="5" t="n">
        <v>105.8</v>
      </c>
      <c r="F3527" s="3" t="inlineStr">
        <is>
          <t>조치원읍</t>
        </is>
      </c>
      <c r="G3527" s="3" t="inlineStr">
        <is>
          <t>서창리</t>
        </is>
      </c>
      <c r="H3527" s="3" t="inlineStr">
        <is>
          <t>제1종일반주거지역</t>
        </is>
      </c>
      <c r="I3527" s="3" t="inlineStr">
        <is>
          <t>대</t>
        </is>
      </c>
      <c r="J3527" s="3" t="inlineStr">
        <is>
          <t>조치원읍</t>
        </is>
      </c>
    </row>
    <row r="3528">
      <c r="A3528" s="3" t="n">
        <v>2023</v>
      </c>
      <c r="B3528" s="4" t="n">
        <v>831</v>
      </c>
      <c r="C3528" s="4" t="n">
        <v>55</v>
      </c>
      <c r="D3528" s="4" t="n">
        <v>16.6375</v>
      </c>
      <c r="E3528" s="5" t="n">
        <v>49.9</v>
      </c>
      <c r="F3528" s="3" t="inlineStr">
        <is>
          <t>연동면</t>
        </is>
      </c>
      <c r="G3528" s="3" t="inlineStr">
        <is>
          <t>명학리</t>
        </is>
      </c>
      <c r="H3528" s="3" t="inlineStr">
        <is>
          <t>보전관리지역</t>
        </is>
      </c>
      <c r="I3528" s="3" t="inlineStr">
        <is>
          <t>묘지</t>
        </is>
      </c>
      <c r="J3528" s="3" t="inlineStr">
        <is>
          <t>연동면</t>
        </is>
      </c>
    </row>
    <row r="3529">
      <c r="A3529" s="3" t="n">
        <v>2023</v>
      </c>
      <c r="B3529" s="4" t="n">
        <v>2200</v>
      </c>
      <c r="C3529" s="4" t="n">
        <v>397</v>
      </c>
      <c r="D3529" s="4" t="n">
        <v>120.0925</v>
      </c>
      <c r="E3529" s="5" t="n">
        <v>18.3</v>
      </c>
      <c r="F3529" s="3" t="inlineStr">
        <is>
          <t>부강면</t>
        </is>
      </c>
      <c r="G3529" s="3" t="inlineStr">
        <is>
          <t>행산리</t>
        </is>
      </c>
      <c r="H3529" s="3" t="inlineStr">
        <is>
          <t>계획관리지역</t>
        </is>
      </c>
      <c r="I3529" s="3" t="inlineStr">
        <is>
          <t>임야</t>
        </is>
      </c>
      <c r="J3529" s="3" t="inlineStr">
        <is>
          <t>부강면</t>
        </is>
      </c>
    </row>
    <row r="3530">
      <c r="A3530" s="3" t="n">
        <v>2024</v>
      </c>
      <c r="B3530" s="4" t="n">
        <v>10000</v>
      </c>
      <c r="C3530" s="4" t="n">
        <v>321</v>
      </c>
      <c r="D3530" s="4" t="n">
        <v>97.10249999999999</v>
      </c>
      <c r="E3530" s="5" t="n">
        <v>103</v>
      </c>
      <c r="F3530" s="3" t="inlineStr">
        <is>
          <t>연동면</t>
        </is>
      </c>
      <c r="G3530" s="3" t="inlineStr">
        <is>
          <t>노송리</t>
        </is>
      </c>
      <c r="H3530" s="3" t="inlineStr">
        <is>
          <t>계획관리지역</t>
        </is>
      </c>
      <c r="I3530" s="3" t="inlineStr">
        <is>
          <t>대</t>
        </is>
      </c>
      <c r="J3530" s="3" t="inlineStr">
        <is>
          <t>연동면</t>
        </is>
      </c>
    </row>
    <row r="3531">
      <c r="A3531" s="3" t="n">
        <v>2025</v>
      </c>
      <c r="B3531" s="4" t="n">
        <v>91709</v>
      </c>
      <c r="C3531" s="4" t="n">
        <v>1418.8</v>
      </c>
      <c r="D3531" s="4" t="n">
        <v>429.187</v>
      </c>
      <c r="E3531" s="5" t="n">
        <v>213.7</v>
      </c>
      <c r="F3531" s="3" t="inlineStr">
        <is>
          <t>집현동</t>
        </is>
      </c>
      <c r="G3531" s="3" t="inlineStr"/>
      <c r="H3531" s="3" t="inlineStr">
        <is>
          <t>준주거지역</t>
        </is>
      </c>
      <c r="I3531" s="3" t="inlineStr">
        <is>
          <t>대</t>
        </is>
      </c>
      <c r="J3531" s="3" t="inlineStr">
        <is>
          <t>집현동</t>
        </is>
      </c>
    </row>
    <row r="3532">
      <c r="A3532" s="3" t="n">
        <v>2025</v>
      </c>
      <c r="B3532" s="4" t="n">
        <v>53000</v>
      </c>
      <c r="C3532" s="4" t="n">
        <v>3357.6</v>
      </c>
      <c r="D3532" s="4" t="n">
        <v>1015.674</v>
      </c>
      <c r="E3532" s="5" t="n">
        <v>52.2</v>
      </c>
      <c r="F3532" s="3" t="inlineStr">
        <is>
          <t>연동면</t>
        </is>
      </c>
      <c r="G3532" s="3" t="inlineStr">
        <is>
          <t>문주리</t>
        </is>
      </c>
      <c r="H3532" s="3" t="inlineStr">
        <is>
          <t>농림지역</t>
        </is>
      </c>
      <c r="I3532" s="3" t="inlineStr">
        <is>
          <t>답</t>
        </is>
      </c>
      <c r="J3532" s="3" t="inlineStr">
        <is>
          <t>연동면</t>
        </is>
      </c>
    </row>
    <row r="3533">
      <c r="A3533" s="3" t="n">
        <v>2025</v>
      </c>
      <c r="B3533" s="4" t="n">
        <v>3000</v>
      </c>
      <c r="C3533" s="4" t="n">
        <v>242</v>
      </c>
      <c r="D3533" s="4" t="n">
        <v>73.205</v>
      </c>
      <c r="E3533" s="5" t="n">
        <v>41</v>
      </c>
      <c r="F3533" s="3" t="inlineStr">
        <is>
          <t>연서면</t>
        </is>
      </c>
      <c r="G3533" s="3" t="inlineStr">
        <is>
          <t>성제리</t>
        </is>
      </c>
      <c r="H3533" s="3" t="inlineStr">
        <is>
          <t>계획관리지역</t>
        </is>
      </c>
      <c r="I3533" s="3" t="inlineStr">
        <is>
          <t>임야</t>
        </is>
      </c>
      <c r="J3533" s="3" t="inlineStr">
        <is>
          <t>연서면</t>
        </is>
      </c>
    </row>
    <row r="3534">
      <c r="A3534" s="3" t="n">
        <v>2025</v>
      </c>
      <c r="B3534" s="4" t="n">
        <v>35000</v>
      </c>
      <c r="C3534" s="4" t="n">
        <v>1160</v>
      </c>
      <c r="D3534" s="4" t="n">
        <v>350.9</v>
      </c>
      <c r="E3534" s="5" t="n">
        <v>99.7</v>
      </c>
      <c r="F3534" s="3" t="inlineStr">
        <is>
          <t>연서면</t>
        </is>
      </c>
      <c r="G3534" s="3" t="inlineStr">
        <is>
          <t>봉암리</t>
        </is>
      </c>
      <c r="H3534" s="3" t="inlineStr">
        <is>
          <t>농림지역</t>
        </is>
      </c>
      <c r="I3534" s="3" t="inlineStr">
        <is>
          <t>답</t>
        </is>
      </c>
      <c r="J3534" s="3" t="inlineStr">
        <is>
          <t>연서면</t>
        </is>
      </c>
    </row>
    <row r="3535">
      <c r="A3535" s="3" t="n">
        <v>2025</v>
      </c>
      <c r="B3535" s="4" t="n">
        <v>4813</v>
      </c>
      <c r="C3535" s="4" t="n">
        <v>139.3</v>
      </c>
      <c r="D3535" s="4" t="n">
        <v>42.13825</v>
      </c>
      <c r="E3535" s="5" t="n">
        <v>114.2</v>
      </c>
      <c r="F3535" s="3" t="inlineStr">
        <is>
          <t>연서면</t>
        </is>
      </c>
      <c r="G3535" s="3" t="inlineStr">
        <is>
          <t>월하리</t>
        </is>
      </c>
      <c r="H3535" s="3" t="inlineStr">
        <is>
          <t>계획관리지역</t>
        </is>
      </c>
      <c r="I3535" s="3" t="inlineStr">
        <is>
          <t>도로</t>
        </is>
      </c>
      <c r="J3535" s="3" t="inlineStr">
        <is>
          <t>연서면</t>
        </is>
      </c>
    </row>
    <row r="3536">
      <c r="A3536" s="3" t="n">
        <v>2026</v>
      </c>
      <c r="B3536" s="4" t="n">
        <v>38000</v>
      </c>
      <c r="C3536" s="4" t="n">
        <v>308.7</v>
      </c>
      <c r="D3536" s="4" t="n">
        <v>93.38175</v>
      </c>
      <c r="E3536" s="5" t="n">
        <v>406.9</v>
      </c>
      <c r="F3536" s="3" t="inlineStr">
        <is>
          <t>집현동</t>
        </is>
      </c>
      <c r="G3536" s="3" t="inlineStr"/>
      <c r="H3536" s="3" t="inlineStr">
        <is>
          <t>제1종전용주거지역</t>
        </is>
      </c>
      <c r="I3536" s="3" t="inlineStr">
        <is>
          <t>대</t>
        </is>
      </c>
      <c r="J3536" s="3" t="inlineStr">
        <is>
          <t>집현동</t>
        </is>
      </c>
    </row>
    <row r="3537">
      <c r="A3537" s="3" t="n">
        <v>2026</v>
      </c>
      <c r="B3537" s="4" t="n">
        <v>10000</v>
      </c>
      <c r="C3537" s="4" t="n">
        <v>420</v>
      </c>
      <c r="D3537" s="4" t="n">
        <v>127.05</v>
      </c>
      <c r="E3537" s="5" t="n">
        <v>78.7</v>
      </c>
      <c r="F3537" s="3" t="inlineStr">
        <is>
          <t>부강면</t>
        </is>
      </c>
      <c r="G3537" s="3" t="inlineStr">
        <is>
          <t>금호리</t>
        </is>
      </c>
      <c r="H3537" s="3" t="inlineStr">
        <is>
          <t>계획관리지역</t>
        </is>
      </c>
      <c r="I3537" s="3" t="inlineStr">
        <is>
          <t>대</t>
        </is>
      </c>
      <c r="J3537" s="3" t="inlineStr">
        <is>
          <t>부강면</t>
        </is>
      </c>
    </row>
    <row r="3538">
      <c r="A3538" s="3" t="n">
        <v>2024</v>
      </c>
      <c r="B3538" s="4" t="n">
        <v>26920</v>
      </c>
      <c r="C3538" s="4" t="n">
        <v>2225.2</v>
      </c>
      <c r="D3538" s="4" t="n">
        <v>673.1229999999999</v>
      </c>
      <c r="E3538" s="5" t="n">
        <v>40</v>
      </c>
      <c r="F3538" s="3" t="inlineStr">
        <is>
          <t>연서면</t>
        </is>
      </c>
      <c r="G3538" s="3" t="inlineStr">
        <is>
          <t>월하리</t>
        </is>
      </c>
      <c r="H3538" s="3" t="inlineStr">
        <is>
          <t>농림지역</t>
        </is>
      </c>
      <c r="I3538" s="3" t="inlineStr">
        <is>
          <t>답</t>
        </is>
      </c>
      <c r="J3538" s="3" t="inlineStr">
        <is>
          <t>연서면</t>
        </is>
      </c>
    </row>
    <row r="3539">
      <c r="A3539" s="3" t="n">
        <v>2025</v>
      </c>
      <c r="B3539" s="4" t="n">
        <v>3750</v>
      </c>
      <c r="C3539" s="4" t="n">
        <v>51</v>
      </c>
      <c r="D3539" s="4" t="n">
        <v>15.4275</v>
      </c>
      <c r="E3539" s="5" t="n">
        <v>243.1</v>
      </c>
      <c r="F3539" s="3" t="inlineStr">
        <is>
          <t>조치원읍</t>
        </is>
      </c>
      <c r="G3539" s="3" t="inlineStr">
        <is>
          <t>신안리</t>
        </is>
      </c>
      <c r="H3539" s="3" t="inlineStr">
        <is>
          <t>제2종일반주거지역</t>
        </is>
      </c>
      <c r="I3539" s="3" t="inlineStr">
        <is>
          <t>대</t>
        </is>
      </c>
      <c r="J3539" s="3" t="inlineStr">
        <is>
          <t>조치원읍</t>
        </is>
      </c>
    </row>
    <row r="3540">
      <c r="A3540" s="3" t="n">
        <v>2025</v>
      </c>
      <c r="B3540" s="4" t="n">
        <v>39000</v>
      </c>
      <c r="C3540" s="4" t="n">
        <v>315</v>
      </c>
      <c r="D3540" s="4" t="n">
        <v>95.28749999999999</v>
      </c>
      <c r="E3540" s="5" t="n">
        <v>409.3</v>
      </c>
      <c r="F3540" s="3" t="inlineStr">
        <is>
          <t>다정동</t>
        </is>
      </c>
      <c r="G3540" s="3" t="inlineStr"/>
      <c r="H3540" s="3" t="inlineStr">
        <is>
          <t>제1종전용주거지역</t>
        </is>
      </c>
      <c r="I3540" s="3" t="inlineStr">
        <is>
          <t>대</t>
        </is>
      </c>
      <c r="J3540" s="3" t="inlineStr">
        <is>
          <t>다정동</t>
        </is>
      </c>
    </row>
    <row r="3541">
      <c r="A3541" s="3" t="n">
        <v>2025</v>
      </c>
      <c r="B3541" s="4" t="n">
        <v>31530</v>
      </c>
      <c r="C3541" s="4" t="n">
        <v>330.7</v>
      </c>
      <c r="D3541" s="4" t="n">
        <v>100.03675</v>
      </c>
      <c r="E3541" s="5" t="n">
        <v>315.2</v>
      </c>
      <c r="F3541" s="3" t="inlineStr">
        <is>
          <t>해밀동</t>
        </is>
      </c>
      <c r="G3541" s="3" t="inlineStr"/>
      <c r="H3541" s="3" t="inlineStr">
        <is>
          <t>제1종전용주거지역</t>
        </is>
      </c>
      <c r="I3541" s="3" t="inlineStr">
        <is>
          <t>대</t>
        </is>
      </c>
      <c r="J3541" s="3" t="inlineStr">
        <is>
          <t>해밀동</t>
        </is>
      </c>
    </row>
    <row r="3542">
      <c r="A3542" s="3" t="n">
        <v>2025</v>
      </c>
      <c r="B3542" s="4" t="n">
        <v>32100</v>
      </c>
      <c r="C3542" s="4" t="n">
        <v>319.9</v>
      </c>
      <c r="D3542" s="4" t="n">
        <v>96.76974999999999</v>
      </c>
      <c r="E3542" s="5" t="n">
        <v>331.7</v>
      </c>
      <c r="F3542" s="3" t="inlineStr">
        <is>
          <t>집현동</t>
        </is>
      </c>
      <c r="G3542" s="3" t="inlineStr"/>
      <c r="H3542" s="3" t="inlineStr">
        <is>
          <t>제1종일반주거지역</t>
        </is>
      </c>
      <c r="I3542" s="3" t="inlineStr">
        <is>
          <t>대</t>
        </is>
      </c>
      <c r="J3542" s="3" t="inlineStr">
        <is>
          <t>집현동</t>
        </is>
      </c>
    </row>
    <row r="3543">
      <c r="A3543" s="3" t="n">
        <v>2025</v>
      </c>
      <c r="B3543" s="4" t="n">
        <v>29630</v>
      </c>
      <c r="C3543" s="4" t="n">
        <v>279.3</v>
      </c>
      <c r="D3543" s="4" t="n">
        <v>84.48825000000001</v>
      </c>
      <c r="E3543" s="5" t="n">
        <v>350.7</v>
      </c>
      <c r="F3543" s="3" t="inlineStr">
        <is>
          <t>해밀동</t>
        </is>
      </c>
      <c r="G3543" s="3" t="inlineStr"/>
      <c r="H3543" s="3" t="inlineStr">
        <is>
          <t>제1종전용주거지역</t>
        </is>
      </c>
      <c r="I3543" s="3" t="inlineStr">
        <is>
          <t>대</t>
        </is>
      </c>
      <c r="J3543" s="3" t="inlineStr">
        <is>
          <t>해밀동</t>
        </is>
      </c>
    </row>
    <row r="3544">
      <c r="A3544" s="3" t="n">
        <v>2023</v>
      </c>
      <c r="B3544" s="4" t="n">
        <v>77500</v>
      </c>
      <c r="C3544" s="4" t="n">
        <v>1025</v>
      </c>
      <c r="D3544" s="4" t="n">
        <v>310.0625</v>
      </c>
      <c r="E3544" s="5" t="n">
        <v>249.9</v>
      </c>
      <c r="F3544" s="3" t="inlineStr">
        <is>
          <t>조치원읍</t>
        </is>
      </c>
      <c r="G3544" s="3" t="inlineStr">
        <is>
          <t>봉산리</t>
        </is>
      </c>
      <c r="H3544" s="3" t="inlineStr">
        <is>
          <t>자연녹지지역</t>
        </is>
      </c>
      <c r="I3544" s="3" t="inlineStr">
        <is>
          <t>과수원</t>
        </is>
      </c>
      <c r="J3544" s="3" t="inlineStr">
        <is>
          <t>조치원읍</t>
        </is>
      </c>
    </row>
    <row r="3545">
      <c r="A3545" s="3" t="n">
        <v>2023</v>
      </c>
      <c r="B3545" s="4" t="n">
        <v>69400</v>
      </c>
      <c r="C3545" s="4" t="n">
        <v>1339</v>
      </c>
      <c r="D3545" s="4" t="n">
        <v>405.0475</v>
      </c>
      <c r="E3545" s="5" t="n">
        <v>171.3</v>
      </c>
      <c r="F3545" s="3" t="inlineStr">
        <is>
          <t>연서면</t>
        </is>
      </c>
      <c r="G3545" s="3" t="inlineStr">
        <is>
          <t>와촌리</t>
        </is>
      </c>
      <c r="H3545" s="3" t="inlineStr">
        <is>
          <t>계획관리지역</t>
        </is>
      </c>
      <c r="I3545" s="3" t="inlineStr">
        <is>
          <t>유지</t>
        </is>
      </c>
      <c r="J3545" s="3" t="inlineStr">
        <is>
          <t>연서면</t>
        </is>
      </c>
    </row>
    <row r="3546">
      <c r="A3546" s="3" t="n">
        <v>2023</v>
      </c>
      <c r="B3546" s="4" t="n">
        <v>145600</v>
      </c>
      <c r="C3546" s="4" t="n">
        <v>2805</v>
      </c>
      <c r="D3546" s="4" t="n">
        <v>848.5124999999999</v>
      </c>
      <c r="E3546" s="5" t="n">
        <v>171.6</v>
      </c>
      <c r="F3546" s="3" t="inlineStr">
        <is>
          <t>연서면</t>
        </is>
      </c>
      <c r="G3546" s="3" t="inlineStr">
        <is>
          <t>와촌리</t>
        </is>
      </c>
      <c r="H3546" s="3" t="inlineStr">
        <is>
          <t>계획관리지역</t>
        </is>
      </c>
      <c r="I3546" s="3" t="inlineStr">
        <is>
          <t>유지</t>
        </is>
      </c>
      <c r="J3546" s="3" t="inlineStr">
        <is>
          <t>연서면</t>
        </is>
      </c>
    </row>
    <row r="3547">
      <c r="A3547" s="3" t="n">
        <v>2023</v>
      </c>
      <c r="B3547" s="4" t="n">
        <v>19500</v>
      </c>
      <c r="C3547" s="4" t="n">
        <v>377</v>
      </c>
      <c r="D3547" s="4" t="n">
        <v>114.0425</v>
      </c>
      <c r="E3547" s="5" t="n">
        <v>171</v>
      </c>
      <c r="F3547" s="3" t="inlineStr">
        <is>
          <t>연서면</t>
        </is>
      </c>
      <c r="G3547" s="3" t="inlineStr">
        <is>
          <t>와촌리</t>
        </is>
      </c>
      <c r="H3547" s="3" t="inlineStr">
        <is>
          <t>계획관리지역</t>
        </is>
      </c>
      <c r="I3547" s="3" t="inlineStr">
        <is>
          <t>잡종지</t>
        </is>
      </c>
      <c r="J3547" s="3" t="inlineStr">
        <is>
          <t>연서면</t>
        </is>
      </c>
    </row>
    <row r="3548">
      <c r="A3548" s="3" t="n">
        <v>2023</v>
      </c>
      <c r="B3548" s="4" t="n">
        <v>2500</v>
      </c>
      <c r="C3548" s="4" t="n">
        <v>116</v>
      </c>
      <c r="D3548" s="4" t="n">
        <v>35.09</v>
      </c>
      <c r="E3548" s="5" t="n">
        <v>71.2</v>
      </c>
      <c r="F3548" s="3" t="inlineStr">
        <is>
          <t>부강면</t>
        </is>
      </c>
      <c r="G3548" s="3" t="inlineStr">
        <is>
          <t>부강리</t>
        </is>
      </c>
      <c r="H3548" s="3" t="inlineStr">
        <is>
          <t>제2종일반주거지역</t>
        </is>
      </c>
      <c r="I3548" s="3" t="inlineStr">
        <is>
          <t>대</t>
        </is>
      </c>
      <c r="J3548" s="3" t="inlineStr">
        <is>
          <t>부강면</t>
        </is>
      </c>
    </row>
    <row r="3549">
      <c r="A3549" s="3" t="n">
        <v>2025</v>
      </c>
      <c r="B3549" s="4" t="n">
        <v>6500</v>
      </c>
      <c r="C3549" s="4" t="n">
        <v>2053</v>
      </c>
      <c r="D3549" s="4" t="n">
        <v>621.0325</v>
      </c>
      <c r="E3549" s="5" t="n">
        <v>10.5</v>
      </c>
      <c r="F3549" s="3" t="inlineStr">
        <is>
          <t>남이면</t>
        </is>
      </c>
      <c r="G3549" s="3" t="inlineStr">
        <is>
          <t>대련리</t>
        </is>
      </c>
      <c r="H3549" s="3" t="inlineStr">
        <is>
          <t>보전녹지지역</t>
        </is>
      </c>
      <c r="I3549" s="3" t="inlineStr">
        <is>
          <t>전</t>
        </is>
      </c>
      <c r="J3549" s="3" t="inlineStr">
        <is>
          <t>남이면</t>
        </is>
      </c>
    </row>
    <row r="3550">
      <c r="A3550" s="3" t="n">
        <v>2025</v>
      </c>
      <c r="B3550" s="4" t="n">
        <v>58200</v>
      </c>
      <c r="C3550" s="4" t="n">
        <v>2646</v>
      </c>
      <c r="D3550" s="4" t="n">
        <v>800.415</v>
      </c>
      <c r="E3550" s="5" t="n">
        <v>72.7</v>
      </c>
      <c r="F3550" s="3" t="inlineStr">
        <is>
          <t>남이면</t>
        </is>
      </c>
      <c r="G3550" s="3" t="inlineStr">
        <is>
          <t>가마리</t>
        </is>
      </c>
      <c r="H3550" s="3" t="inlineStr">
        <is>
          <t>자연녹지지역</t>
        </is>
      </c>
      <c r="I3550" s="3" t="inlineStr">
        <is>
          <t>전</t>
        </is>
      </c>
      <c r="J3550" s="3" t="inlineStr">
        <is>
          <t>남이면</t>
        </is>
      </c>
    </row>
    <row r="3551">
      <c r="A3551" s="3" t="n">
        <v>2025</v>
      </c>
      <c r="B3551" s="4" t="n">
        <v>3700</v>
      </c>
      <c r="C3551" s="4" t="n">
        <v>568</v>
      </c>
      <c r="D3551" s="4" t="n">
        <v>171.82</v>
      </c>
      <c r="E3551" s="5" t="n">
        <v>21.5</v>
      </c>
      <c r="F3551" s="3" t="inlineStr">
        <is>
          <t>남이면</t>
        </is>
      </c>
      <c r="G3551" s="3" t="inlineStr">
        <is>
          <t>가마리</t>
        </is>
      </c>
      <c r="H3551" s="3" t="inlineStr">
        <is>
          <t>자연녹지지역</t>
        </is>
      </c>
      <c r="I3551" s="3" t="inlineStr">
        <is>
          <t>임야</t>
        </is>
      </c>
      <c r="J3551" s="3" t="inlineStr">
        <is>
          <t>남이면</t>
        </is>
      </c>
    </row>
    <row r="3552">
      <c r="A3552" s="3" t="n">
        <v>2025</v>
      </c>
      <c r="B3552" s="4" t="n">
        <v>200</v>
      </c>
      <c r="C3552" s="4" t="n">
        <v>275</v>
      </c>
      <c r="D3552" s="4" t="n">
        <v>83.1875</v>
      </c>
      <c r="E3552" s="5" t="n">
        <v>2.4</v>
      </c>
      <c r="F3552" s="3" t="inlineStr">
        <is>
          <t>남이면</t>
        </is>
      </c>
      <c r="G3552" s="3" t="inlineStr">
        <is>
          <t>가마리</t>
        </is>
      </c>
      <c r="H3552" s="3" t="inlineStr">
        <is>
          <t>보전녹지지역</t>
        </is>
      </c>
      <c r="I3552" s="3" t="inlineStr">
        <is>
          <t>임야</t>
        </is>
      </c>
      <c r="J3552" s="3" t="inlineStr">
        <is>
          <t>남이면</t>
        </is>
      </c>
    </row>
    <row r="3553">
      <c r="A3553" s="3" t="n">
        <v>2025</v>
      </c>
      <c r="B3553" s="4" t="n">
        <v>1728</v>
      </c>
      <c r="C3553" s="4" t="n">
        <v>50</v>
      </c>
      <c r="D3553" s="4" t="n">
        <v>15.125</v>
      </c>
      <c r="E3553" s="5" t="n">
        <v>114.2</v>
      </c>
      <c r="F3553" s="3" t="inlineStr">
        <is>
          <t>연서면</t>
        </is>
      </c>
      <c r="G3553" s="3" t="inlineStr">
        <is>
          <t>월하리</t>
        </is>
      </c>
      <c r="H3553" s="3" t="inlineStr">
        <is>
          <t>계획관리지역</t>
        </is>
      </c>
      <c r="I3553" s="3" t="inlineStr">
        <is>
          <t>도로</t>
        </is>
      </c>
      <c r="J3553" s="3" t="inlineStr">
        <is>
          <t>연서면</t>
        </is>
      </c>
    </row>
    <row r="3554">
      <c r="A3554" s="3" t="n">
        <v>2025</v>
      </c>
      <c r="B3554" s="4" t="n">
        <v>15000</v>
      </c>
      <c r="C3554" s="4" t="n">
        <v>522</v>
      </c>
      <c r="D3554" s="4" t="n">
        <v>157.905</v>
      </c>
      <c r="E3554" s="5" t="n">
        <v>95</v>
      </c>
      <c r="F3554" s="3" t="inlineStr">
        <is>
          <t>조치원읍</t>
        </is>
      </c>
      <c r="G3554" s="3" t="inlineStr">
        <is>
          <t>봉산리</t>
        </is>
      </c>
      <c r="H3554" s="3" t="inlineStr">
        <is>
          <t>자연녹지지역</t>
        </is>
      </c>
      <c r="I3554" s="3" t="inlineStr">
        <is>
          <t>대</t>
        </is>
      </c>
      <c r="J3554" s="3" t="inlineStr">
        <is>
          <t>조치원읍</t>
        </is>
      </c>
    </row>
    <row r="3555">
      <c r="A3555" s="3" t="n">
        <v>2025</v>
      </c>
      <c r="B3555" s="4" t="n">
        <v>1500</v>
      </c>
      <c r="C3555" s="4" t="n">
        <v>50</v>
      </c>
      <c r="D3555" s="4" t="n">
        <v>15.125</v>
      </c>
      <c r="E3555" s="5" t="n">
        <v>99.2</v>
      </c>
      <c r="F3555" s="3" t="inlineStr">
        <is>
          <t>연서면</t>
        </is>
      </c>
      <c r="G3555" s="3" t="inlineStr">
        <is>
          <t>청라리</t>
        </is>
      </c>
      <c r="H3555" s="3" t="inlineStr">
        <is>
          <t>계획관리지역</t>
        </is>
      </c>
      <c r="I3555" s="3" t="inlineStr">
        <is>
          <t>대</t>
        </is>
      </c>
      <c r="J3555" s="3" t="inlineStr">
        <is>
          <t>연서면</t>
        </is>
      </c>
    </row>
    <row r="3556">
      <c r="A3556" s="3" t="n">
        <v>2025</v>
      </c>
      <c r="B3556" s="4" t="n">
        <v>53000</v>
      </c>
      <c r="C3556" s="4" t="n">
        <v>3357.6</v>
      </c>
      <c r="D3556" s="4" t="n">
        <v>1015.674</v>
      </c>
      <c r="E3556" s="5" t="n">
        <v>52.2</v>
      </c>
      <c r="F3556" s="3" t="inlineStr">
        <is>
          <t>연동면</t>
        </is>
      </c>
      <c r="G3556" s="3" t="inlineStr">
        <is>
          <t>문주리</t>
        </is>
      </c>
      <c r="H3556" s="3" t="inlineStr">
        <is>
          <t>농림지역</t>
        </is>
      </c>
      <c r="I3556" s="3" t="inlineStr">
        <is>
          <t>답</t>
        </is>
      </c>
      <c r="J3556" s="3" t="inlineStr">
        <is>
          <t>연동면</t>
        </is>
      </c>
    </row>
    <row r="3557">
      <c r="A3557" s="3" t="n">
        <v>2025</v>
      </c>
      <c r="B3557" s="4" t="n">
        <v>12000</v>
      </c>
      <c r="C3557" s="4" t="n">
        <v>838</v>
      </c>
      <c r="D3557" s="4" t="n">
        <v>253.495</v>
      </c>
      <c r="E3557" s="5" t="n">
        <v>47.3</v>
      </c>
      <c r="F3557" s="3" t="inlineStr">
        <is>
          <t>연서면</t>
        </is>
      </c>
      <c r="G3557" s="3" t="inlineStr">
        <is>
          <t>용암리</t>
        </is>
      </c>
      <c r="H3557" s="3" t="inlineStr">
        <is>
          <t>생산관리지역</t>
        </is>
      </c>
      <c r="I3557" s="3" t="inlineStr">
        <is>
          <t>전</t>
        </is>
      </c>
      <c r="J3557" s="3" t="inlineStr">
        <is>
          <t>연서면</t>
        </is>
      </c>
    </row>
    <row r="3558">
      <c r="A3558" s="3" t="n">
        <v>2025</v>
      </c>
      <c r="B3558" s="4" t="n">
        <v>725</v>
      </c>
      <c r="C3558" s="4" t="n">
        <v>7</v>
      </c>
      <c r="D3558" s="4" t="n">
        <v>2.1175</v>
      </c>
      <c r="E3558" s="5" t="n">
        <v>342.4</v>
      </c>
      <c r="F3558" s="3" t="inlineStr">
        <is>
          <t>조치원읍</t>
        </is>
      </c>
      <c r="G3558" s="3" t="inlineStr">
        <is>
          <t>죽림리</t>
        </is>
      </c>
      <c r="H3558" s="3" t="inlineStr">
        <is>
          <t>제2종일반주거지역</t>
        </is>
      </c>
      <c r="I3558" s="3" t="inlineStr">
        <is>
          <t>도로</t>
        </is>
      </c>
      <c r="J3558" s="3" t="inlineStr">
        <is>
          <t>조치원읍</t>
        </is>
      </c>
    </row>
    <row r="3559">
      <c r="A3559" s="3" t="n">
        <v>2025</v>
      </c>
      <c r="B3559" s="4" t="n">
        <v>725</v>
      </c>
      <c r="C3559" s="4" t="n">
        <v>7</v>
      </c>
      <c r="D3559" s="4" t="n">
        <v>2.1175</v>
      </c>
      <c r="E3559" s="5" t="n">
        <v>342.4</v>
      </c>
      <c r="F3559" s="3" t="inlineStr">
        <is>
          <t>조치원읍</t>
        </is>
      </c>
      <c r="G3559" s="3" t="inlineStr">
        <is>
          <t>죽림리</t>
        </is>
      </c>
      <c r="H3559" s="3" t="inlineStr">
        <is>
          <t>제2종일반주거지역</t>
        </is>
      </c>
      <c r="I3559" s="3" t="inlineStr">
        <is>
          <t>도로</t>
        </is>
      </c>
      <c r="J3559" s="3" t="inlineStr">
        <is>
          <t>조치원읍</t>
        </is>
      </c>
    </row>
    <row r="3560">
      <c r="A3560" s="3" t="n">
        <v>2025</v>
      </c>
      <c r="B3560" s="4" t="n">
        <v>1000</v>
      </c>
      <c r="C3560" s="4" t="n">
        <v>52</v>
      </c>
      <c r="D3560" s="4" t="n">
        <v>15.73</v>
      </c>
      <c r="E3560" s="5" t="n">
        <v>63.6</v>
      </c>
      <c r="F3560" s="3" t="inlineStr">
        <is>
          <t>연서면</t>
        </is>
      </c>
      <c r="G3560" s="3" t="inlineStr">
        <is>
          <t>신대리</t>
        </is>
      </c>
      <c r="H3560" s="3" t="inlineStr">
        <is>
          <t>계획관리지역</t>
        </is>
      </c>
      <c r="I3560" s="3" t="inlineStr">
        <is>
          <t>전</t>
        </is>
      </c>
      <c r="J3560" s="3" t="inlineStr">
        <is>
          <t>연서면</t>
        </is>
      </c>
    </row>
    <row r="3561">
      <c r="A3561" s="3" t="n">
        <v>2026</v>
      </c>
      <c r="B3561" s="4" t="n">
        <v>10800</v>
      </c>
      <c r="C3561" s="4" t="n">
        <v>446</v>
      </c>
      <c r="D3561" s="4" t="n">
        <v>134.915</v>
      </c>
      <c r="E3561" s="5" t="n">
        <v>80.09999999999999</v>
      </c>
      <c r="F3561" s="3" t="inlineStr">
        <is>
          <t>조치원읍</t>
        </is>
      </c>
      <c r="G3561" s="3" t="inlineStr">
        <is>
          <t>신안리</t>
        </is>
      </c>
      <c r="H3561" s="3" t="inlineStr">
        <is>
          <t>보전녹지지역</t>
        </is>
      </c>
      <c r="I3561" s="3" t="inlineStr">
        <is>
          <t>임야</t>
        </is>
      </c>
      <c r="J3561" s="3" t="inlineStr">
        <is>
          <t>조치원읍</t>
        </is>
      </c>
    </row>
    <row r="3562">
      <c r="A3562" s="3" t="n">
        <v>2026</v>
      </c>
      <c r="B3562" s="4" t="n">
        <v>11000</v>
      </c>
      <c r="C3562" s="4" t="n">
        <v>945</v>
      </c>
      <c r="D3562" s="4" t="n">
        <v>285.8625</v>
      </c>
      <c r="E3562" s="5" t="n">
        <v>38.5</v>
      </c>
      <c r="F3562" s="3" t="inlineStr">
        <is>
          <t>부강면</t>
        </is>
      </c>
      <c r="G3562" s="3" t="inlineStr">
        <is>
          <t>등곡리</t>
        </is>
      </c>
      <c r="H3562" s="3" t="inlineStr">
        <is>
          <t>계획관리지역</t>
        </is>
      </c>
      <c r="I3562" s="3" t="inlineStr">
        <is>
          <t>전</t>
        </is>
      </c>
      <c r="J3562" s="3" t="inlineStr">
        <is>
          <t>부강면</t>
        </is>
      </c>
    </row>
    <row r="3563">
      <c r="A3563" s="3" t="n">
        <v>2026</v>
      </c>
      <c r="B3563" s="4" t="n">
        <v>59200</v>
      </c>
      <c r="C3563" s="4" t="n">
        <v>2646</v>
      </c>
      <c r="D3563" s="4" t="n">
        <v>800.415</v>
      </c>
      <c r="E3563" s="5" t="n">
        <v>74</v>
      </c>
      <c r="F3563" s="3" t="inlineStr">
        <is>
          <t>연동면</t>
        </is>
      </c>
      <c r="G3563" s="3" t="inlineStr">
        <is>
          <t>송용리</t>
        </is>
      </c>
      <c r="H3563" s="3" t="inlineStr">
        <is>
          <t>농림지역</t>
        </is>
      </c>
      <c r="I3563" s="3" t="inlineStr">
        <is>
          <t>답</t>
        </is>
      </c>
      <c r="J3563" s="3" t="inlineStr">
        <is>
          <t>연동면</t>
        </is>
      </c>
    </row>
    <row r="3564">
      <c r="A3564" s="3" t="n">
        <v>2026</v>
      </c>
      <c r="B3564" s="4" t="n">
        <v>41000</v>
      </c>
      <c r="C3564" s="4" t="n">
        <v>1108</v>
      </c>
      <c r="D3564" s="4" t="n">
        <v>335.17</v>
      </c>
      <c r="E3564" s="5" t="n">
        <v>122.3</v>
      </c>
      <c r="F3564" s="3" t="inlineStr">
        <is>
          <t>연서면</t>
        </is>
      </c>
      <c r="G3564" s="3" t="inlineStr">
        <is>
          <t>성제리</t>
        </is>
      </c>
      <c r="H3564" s="3" t="inlineStr">
        <is>
          <t>자연녹지지역</t>
        </is>
      </c>
      <c r="I3564" s="3" t="inlineStr">
        <is>
          <t>대</t>
        </is>
      </c>
      <c r="J3564" s="3" t="inlineStr">
        <is>
          <t>연서면</t>
        </is>
      </c>
    </row>
    <row r="3565">
      <c r="A3565" s="3" t="n">
        <v>2026</v>
      </c>
      <c r="B3565" s="4" t="n">
        <v>10800</v>
      </c>
      <c r="C3565" s="4" t="n">
        <v>893</v>
      </c>
      <c r="D3565" s="4" t="n">
        <v>270.1325</v>
      </c>
      <c r="E3565" s="5" t="n">
        <v>40</v>
      </c>
      <c r="F3565" s="3" t="inlineStr">
        <is>
          <t>연동면</t>
        </is>
      </c>
      <c r="G3565" s="3" t="inlineStr">
        <is>
          <t>명학리</t>
        </is>
      </c>
      <c r="H3565" s="3" t="inlineStr">
        <is>
          <t>계획관리지역</t>
        </is>
      </c>
      <c r="I3565" s="3" t="inlineStr">
        <is>
          <t>임야</t>
        </is>
      </c>
      <c r="J3565" s="3" t="inlineStr">
        <is>
          <t>연동면</t>
        </is>
      </c>
    </row>
    <row r="3566">
      <c r="A3566" s="3" t="n">
        <v>2026</v>
      </c>
      <c r="B3566" s="4" t="n">
        <v>65300</v>
      </c>
      <c r="C3566" s="4" t="n">
        <v>2921.4</v>
      </c>
      <c r="D3566" s="4" t="n">
        <v>883.7235000000001</v>
      </c>
      <c r="E3566" s="5" t="n">
        <v>73.90000000000001</v>
      </c>
      <c r="F3566" s="3" t="inlineStr">
        <is>
          <t>연동면</t>
        </is>
      </c>
      <c r="G3566" s="3" t="inlineStr">
        <is>
          <t>송용리</t>
        </is>
      </c>
      <c r="H3566" s="3" t="inlineStr">
        <is>
          <t>농림지역</t>
        </is>
      </c>
      <c r="I3566" s="3" t="inlineStr">
        <is>
          <t>답</t>
        </is>
      </c>
      <c r="J3566" s="3" t="inlineStr">
        <is>
          <t>연동면</t>
        </is>
      </c>
    </row>
    <row r="3567">
      <c r="A3567" s="3" t="n">
        <v>2026</v>
      </c>
      <c r="B3567" s="4" t="n">
        <v>107600</v>
      </c>
      <c r="C3567" s="4" t="n">
        <v>2152</v>
      </c>
      <c r="D3567" s="4" t="n">
        <v>650.98</v>
      </c>
      <c r="E3567" s="5" t="n">
        <v>165.3</v>
      </c>
      <c r="F3567" s="3" t="inlineStr">
        <is>
          <t>연서면</t>
        </is>
      </c>
      <c r="G3567" s="3" t="inlineStr">
        <is>
          <t>성제리</t>
        </is>
      </c>
      <c r="H3567" s="3" t="inlineStr">
        <is>
          <t>자연녹지지역</t>
        </is>
      </c>
      <c r="I3567" s="3" t="inlineStr">
        <is>
          <t>전</t>
        </is>
      </c>
      <c r="J3567" s="3" t="inlineStr">
        <is>
          <t>연서면</t>
        </is>
      </c>
    </row>
    <row r="3568">
      <c r="A3568" s="3" t="n">
        <v>2026</v>
      </c>
      <c r="B3568" s="4" t="n">
        <v>285956</v>
      </c>
      <c r="C3568" s="4" t="n">
        <v>6809</v>
      </c>
      <c r="D3568" s="4" t="n">
        <v>2059.7225</v>
      </c>
      <c r="E3568" s="5" t="n">
        <v>138.8</v>
      </c>
      <c r="F3568" s="3" t="inlineStr">
        <is>
          <t>연서면</t>
        </is>
      </c>
      <c r="G3568" s="3" t="inlineStr">
        <is>
          <t>성제리</t>
        </is>
      </c>
      <c r="H3568" s="3" t="inlineStr">
        <is>
          <t>자연녹지지역</t>
        </is>
      </c>
      <c r="I3568" s="3" t="inlineStr">
        <is>
          <t>임야</t>
        </is>
      </c>
      <c r="J3568" s="3" t="inlineStr">
        <is>
          <t>연서면</t>
        </is>
      </c>
    </row>
    <row r="3569">
      <c r="A3569" s="3" t="n">
        <v>2026</v>
      </c>
      <c r="B3569" s="4" t="n">
        <v>51545</v>
      </c>
      <c r="C3569" s="4" t="n">
        <v>845</v>
      </c>
      <c r="D3569" s="4" t="n">
        <v>255.6125</v>
      </c>
      <c r="E3569" s="5" t="n">
        <v>201.7</v>
      </c>
      <c r="F3569" s="3" t="inlineStr">
        <is>
          <t>연서면</t>
        </is>
      </c>
      <c r="G3569" s="3" t="inlineStr">
        <is>
          <t>성제리</t>
        </is>
      </c>
      <c r="H3569" s="3" t="inlineStr">
        <is>
          <t>자연녹지지역</t>
        </is>
      </c>
      <c r="I3569" s="3" t="inlineStr">
        <is>
          <t>전</t>
        </is>
      </c>
      <c r="J3569" s="3" t="inlineStr">
        <is>
          <t>연서면</t>
        </is>
      </c>
    </row>
    <row r="3570">
      <c r="A3570" s="3" t="n">
        <v>2026</v>
      </c>
      <c r="B3570" s="4" t="n">
        <v>4074</v>
      </c>
      <c r="C3570" s="4" t="n">
        <v>97</v>
      </c>
      <c r="D3570" s="4" t="n">
        <v>29.3425</v>
      </c>
      <c r="E3570" s="5" t="n">
        <v>138.8</v>
      </c>
      <c r="F3570" s="3" t="inlineStr">
        <is>
          <t>연서면</t>
        </is>
      </c>
      <c r="G3570" s="3" t="inlineStr">
        <is>
          <t>성제리</t>
        </is>
      </c>
      <c r="H3570" s="3" t="inlineStr">
        <is>
          <t>자연녹지지역</t>
        </is>
      </c>
      <c r="I3570" s="3" t="inlineStr">
        <is>
          <t>임야</t>
        </is>
      </c>
      <c r="J3570" s="3" t="inlineStr">
        <is>
          <t>연서면</t>
        </is>
      </c>
    </row>
    <row r="3571">
      <c r="A3571" s="3" t="n">
        <v>2026</v>
      </c>
      <c r="B3571" s="4" t="n">
        <v>825</v>
      </c>
      <c r="C3571" s="4" t="n">
        <v>15</v>
      </c>
      <c r="D3571" s="4" t="n">
        <v>4.5375</v>
      </c>
      <c r="E3571" s="5" t="n">
        <v>181.8</v>
      </c>
      <c r="F3571" s="3" t="inlineStr">
        <is>
          <t>연서면</t>
        </is>
      </c>
      <c r="G3571" s="3" t="inlineStr">
        <is>
          <t>성제리</t>
        </is>
      </c>
      <c r="H3571" s="3" t="inlineStr">
        <is>
          <t>자연녹지지역</t>
        </is>
      </c>
      <c r="I3571" s="3" t="inlineStr">
        <is>
          <t>전</t>
        </is>
      </c>
      <c r="J3571" s="3" t="inlineStr">
        <is>
          <t>연서면</t>
        </is>
      </c>
    </row>
    <row r="3572">
      <c r="A3572" s="3" t="n">
        <v>2026</v>
      </c>
      <c r="B3572" s="4" t="n">
        <v>5000</v>
      </c>
      <c r="C3572" s="4" t="n">
        <v>81</v>
      </c>
      <c r="D3572" s="4" t="n">
        <v>24.5025</v>
      </c>
      <c r="E3572" s="5" t="n">
        <v>204.1</v>
      </c>
      <c r="F3572" s="3" t="inlineStr">
        <is>
          <t>연서면</t>
        </is>
      </c>
      <c r="G3572" s="3" t="inlineStr">
        <is>
          <t>월하리</t>
        </is>
      </c>
      <c r="H3572" s="3" t="inlineStr">
        <is>
          <t>자연녹지지역</t>
        </is>
      </c>
      <c r="I3572" s="3" t="inlineStr">
        <is>
          <t>답</t>
        </is>
      </c>
      <c r="J3572" s="3" t="inlineStr">
        <is>
          <t>연서면</t>
        </is>
      </c>
    </row>
    <row r="3573">
      <c r="A3573" s="3" t="n">
        <v>2026</v>
      </c>
      <c r="B3573" s="4" t="n">
        <v>52000</v>
      </c>
      <c r="C3573" s="4" t="n">
        <v>335</v>
      </c>
      <c r="D3573" s="4" t="n">
        <v>101.3375</v>
      </c>
      <c r="E3573" s="5" t="n">
        <v>513.1</v>
      </c>
      <c r="F3573" s="3" t="inlineStr">
        <is>
          <t>아름동</t>
        </is>
      </c>
      <c r="G3573" s="3" t="inlineStr"/>
      <c r="H3573" s="3" t="inlineStr">
        <is>
          <t>제1종전용주거지역</t>
        </is>
      </c>
      <c r="I3573" s="3" t="inlineStr">
        <is>
          <t>대</t>
        </is>
      </c>
      <c r="J3573" s="3" t="inlineStr">
        <is>
          <t>아름동</t>
        </is>
      </c>
    </row>
    <row r="3574">
      <c r="A3574" s="3" t="n">
        <v>2026</v>
      </c>
      <c r="B3574" s="4" t="n">
        <v>53000</v>
      </c>
      <c r="C3574" s="4" t="n">
        <v>348</v>
      </c>
      <c r="D3574" s="4" t="n">
        <v>105.27</v>
      </c>
      <c r="E3574" s="5" t="n">
        <v>503.5</v>
      </c>
      <c r="F3574" s="3" t="inlineStr">
        <is>
          <t>아름동</t>
        </is>
      </c>
      <c r="G3574" s="3" t="inlineStr"/>
      <c r="H3574" s="3" t="inlineStr">
        <is>
          <t>제1종전용주거지역</t>
        </is>
      </c>
      <c r="I3574" s="3" t="inlineStr">
        <is>
          <t>대</t>
        </is>
      </c>
      <c r="J3574" s="3" t="inlineStr">
        <is>
          <t>아름동</t>
        </is>
      </c>
    </row>
    <row r="3575">
      <c r="A3575" s="3" t="n">
        <v>2026</v>
      </c>
      <c r="B3575" s="4" t="n">
        <v>40563</v>
      </c>
      <c r="C3575" s="4" t="n">
        <v>2438</v>
      </c>
      <c r="D3575" s="4" t="n">
        <v>737.495</v>
      </c>
      <c r="E3575" s="5" t="n">
        <v>55</v>
      </c>
      <c r="F3575" s="3" t="inlineStr">
        <is>
          <t>연동면</t>
        </is>
      </c>
      <c r="G3575" s="3" t="inlineStr">
        <is>
          <t>명학리</t>
        </is>
      </c>
      <c r="H3575" s="3" t="inlineStr">
        <is>
          <t>농림지역</t>
        </is>
      </c>
      <c r="I3575" s="3" t="inlineStr">
        <is>
          <t>답</t>
        </is>
      </c>
      <c r="J3575" s="3" t="inlineStr">
        <is>
          <t>연동면</t>
        </is>
      </c>
    </row>
    <row r="3576">
      <c r="A3576" s="3" t="n">
        <v>2024</v>
      </c>
      <c r="B3576" s="4" t="n">
        <v>48240</v>
      </c>
      <c r="C3576" s="4" t="n">
        <v>2660</v>
      </c>
      <c r="D3576" s="4" t="n">
        <v>804.65</v>
      </c>
      <c r="E3576" s="5" t="n">
        <v>60</v>
      </c>
      <c r="F3576" s="3" t="inlineStr">
        <is>
          <t>조치원읍</t>
        </is>
      </c>
      <c r="G3576" s="3" t="inlineStr">
        <is>
          <t>신안리</t>
        </is>
      </c>
      <c r="H3576" s="3" t="inlineStr">
        <is>
          <t>생산녹지지역</t>
        </is>
      </c>
      <c r="I3576" s="3" t="inlineStr">
        <is>
          <t>답</t>
        </is>
      </c>
      <c r="J3576" s="3" t="inlineStr">
        <is>
          <t>조치원읍</t>
        </is>
      </c>
    </row>
    <row r="3577">
      <c r="A3577" s="3" t="n">
        <v>2025</v>
      </c>
      <c r="B3577" s="4" t="n">
        <v>33421</v>
      </c>
      <c r="C3577" s="4" t="n">
        <v>256.5</v>
      </c>
      <c r="D3577" s="4" t="n">
        <v>77.59125</v>
      </c>
      <c r="E3577" s="5" t="n">
        <v>430.7</v>
      </c>
      <c r="F3577" s="3" t="inlineStr">
        <is>
          <t>고운동</t>
        </is>
      </c>
      <c r="G3577" s="3" t="inlineStr"/>
      <c r="H3577" s="3" t="inlineStr">
        <is>
          <t>제1종전용주거지역</t>
        </is>
      </c>
      <c r="I3577" s="3" t="inlineStr">
        <is>
          <t>대</t>
        </is>
      </c>
      <c r="J3577" s="3" t="inlineStr">
        <is>
          <t>고운동</t>
        </is>
      </c>
    </row>
    <row r="3578">
      <c r="A3578" s="3" t="n">
        <v>2023</v>
      </c>
      <c r="B3578" s="4" t="n">
        <v>300</v>
      </c>
      <c r="C3578" s="4" t="n">
        <v>3</v>
      </c>
      <c r="D3578" s="4" t="n">
        <v>0.9075</v>
      </c>
      <c r="E3578" s="5" t="n">
        <v>330.6</v>
      </c>
      <c r="F3578" s="3" t="inlineStr">
        <is>
          <t>조치원읍</t>
        </is>
      </c>
      <c r="G3578" s="3" t="inlineStr">
        <is>
          <t>서창리</t>
        </is>
      </c>
      <c r="H3578" s="3" t="inlineStr">
        <is>
          <t>제1종일반주거지역</t>
        </is>
      </c>
      <c r="I3578" s="3" t="inlineStr">
        <is>
          <t>도로</t>
        </is>
      </c>
      <c r="J3578" s="3" t="inlineStr">
        <is>
          <t>조치원읍</t>
        </is>
      </c>
    </row>
    <row r="3579">
      <c r="A3579" s="3" t="n">
        <v>2022</v>
      </c>
      <c r="B3579" s="4" t="n">
        <v>28350</v>
      </c>
      <c r="C3579" s="4" t="n">
        <v>852</v>
      </c>
      <c r="D3579" s="4" t="n">
        <v>257.73</v>
      </c>
      <c r="E3579" s="5" t="n">
        <v>110</v>
      </c>
      <c r="F3579" s="3" t="inlineStr">
        <is>
          <t>부강면</t>
        </is>
      </c>
      <c r="G3579" s="3" t="inlineStr">
        <is>
          <t>노호리</t>
        </is>
      </c>
      <c r="H3579" s="3" t="inlineStr">
        <is>
          <t>계획관리지역</t>
        </is>
      </c>
      <c r="I3579" s="3" t="inlineStr">
        <is>
          <t>답</t>
        </is>
      </c>
      <c r="J3579" s="3" t="inlineStr">
        <is>
          <t>부강면</t>
        </is>
      </c>
    </row>
    <row r="3580">
      <c r="A3580" s="3" t="n">
        <v>2022</v>
      </c>
      <c r="B3580" s="4" t="n">
        <v>51011</v>
      </c>
      <c r="C3580" s="4" t="n">
        <v>1533</v>
      </c>
      <c r="D3580" s="4" t="n">
        <v>463.7325</v>
      </c>
      <c r="E3580" s="5" t="n">
        <v>110</v>
      </c>
      <c r="F3580" s="3" t="inlineStr">
        <is>
          <t>부강면</t>
        </is>
      </c>
      <c r="G3580" s="3" t="inlineStr">
        <is>
          <t>노호리</t>
        </is>
      </c>
      <c r="H3580" s="3" t="inlineStr">
        <is>
          <t>계획관리지역</t>
        </is>
      </c>
      <c r="I3580" s="3" t="inlineStr">
        <is>
          <t>답</t>
        </is>
      </c>
      <c r="J3580" s="3" t="inlineStr">
        <is>
          <t>부강면</t>
        </is>
      </c>
    </row>
    <row r="3581">
      <c r="A3581" s="3" t="n">
        <v>2022</v>
      </c>
      <c r="B3581" s="4" t="n">
        <v>7187</v>
      </c>
      <c r="C3581" s="4" t="n">
        <v>216</v>
      </c>
      <c r="D3581" s="4" t="n">
        <v>65.34</v>
      </c>
      <c r="E3581" s="5" t="n">
        <v>110</v>
      </c>
      <c r="F3581" s="3" t="inlineStr">
        <is>
          <t>부강면</t>
        </is>
      </c>
      <c r="G3581" s="3" t="inlineStr">
        <is>
          <t>노호리</t>
        </is>
      </c>
      <c r="H3581" s="3" t="inlineStr">
        <is>
          <t>계획관리지역</t>
        </is>
      </c>
      <c r="I3581" s="3" t="inlineStr">
        <is>
          <t>답</t>
        </is>
      </c>
      <c r="J3581" s="3" t="inlineStr">
        <is>
          <t>부강면</t>
        </is>
      </c>
    </row>
    <row r="3582">
      <c r="A3582" s="3" t="n">
        <v>2022</v>
      </c>
      <c r="B3582" s="4" t="n">
        <v>267</v>
      </c>
      <c r="C3582" s="4" t="n">
        <v>6</v>
      </c>
      <c r="D3582" s="4" t="n">
        <v>1.815</v>
      </c>
      <c r="E3582" s="5" t="n">
        <v>147.1</v>
      </c>
      <c r="F3582" s="3" t="inlineStr">
        <is>
          <t>조치원읍</t>
        </is>
      </c>
      <c r="G3582" s="3" t="inlineStr">
        <is>
          <t>신안리</t>
        </is>
      </c>
      <c r="H3582" s="3" t="inlineStr">
        <is>
          <t>제2종일반주거지역</t>
        </is>
      </c>
      <c r="I3582" s="3" t="inlineStr">
        <is>
          <t>대</t>
        </is>
      </c>
      <c r="J3582" s="3" t="inlineStr">
        <is>
          <t>조치원읍</t>
        </is>
      </c>
    </row>
    <row r="3583">
      <c r="A3583" s="3" t="n">
        <v>2022</v>
      </c>
      <c r="B3583" s="4" t="n">
        <v>25000</v>
      </c>
      <c r="C3583" s="4" t="n">
        <v>1653</v>
      </c>
      <c r="D3583" s="4" t="n">
        <v>500.0325</v>
      </c>
      <c r="E3583" s="5" t="n">
        <v>50</v>
      </c>
      <c r="F3583" s="3" t="inlineStr">
        <is>
          <t>부강면</t>
        </is>
      </c>
      <c r="G3583" s="3" t="inlineStr">
        <is>
          <t>금호리</t>
        </is>
      </c>
      <c r="H3583" s="3" t="inlineStr">
        <is>
          <t>생산관리지역</t>
        </is>
      </c>
      <c r="I3583" s="3" t="inlineStr">
        <is>
          <t>답</t>
        </is>
      </c>
      <c r="J3583" s="3" t="inlineStr">
        <is>
          <t>부강면</t>
        </is>
      </c>
    </row>
    <row r="3584">
      <c r="A3584" s="3" t="n">
        <v>2022</v>
      </c>
      <c r="B3584" s="4" t="n">
        <v>1400</v>
      </c>
      <c r="C3584" s="4" t="n">
        <v>62</v>
      </c>
      <c r="D3584" s="4" t="n">
        <v>18.755</v>
      </c>
      <c r="E3584" s="5" t="n">
        <v>74.59999999999999</v>
      </c>
      <c r="F3584" s="3" t="inlineStr">
        <is>
          <t>연동면</t>
        </is>
      </c>
      <c r="G3584" s="3" t="inlineStr">
        <is>
          <t>예양리</t>
        </is>
      </c>
      <c r="H3584" s="3" t="inlineStr">
        <is>
          <t>생산관리지역</t>
        </is>
      </c>
      <c r="I3584" s="3" t="inlineStr">
        <is>
          <t>답</t>
        </is>
      </c>
      <c r="J3584" s="3" t="inlineStr">
        <is>
          <t>연동면</t>
        </is>
      </c>
    </row>
    <row r="3585">
      <c r="A3585" s="3" t="n">
        <v>2025</v>
      </c>
      <c r="B3585" s="4" t="n">
        <v>900</v>
      </c>
      <c r="C3585" s="4" t="n">
        <v>48</v>
      </c>
      <c r="D3585" s="4" t="n">
        <v>14.52</v>
      </c>
      <c r="E3585" s="5" t="n">
        <v>62</v>
      </c>
      <c r="F3585" s="3" t="inlineStr">
        <is>
          <t>연서면</t>
        </is>
      </c>
      <c r="G3585" s="3" t="inlineStr">
        <is>
          <t>신대리</t>
        </is>
      </c>
      <c r="H3585" s="3" t="inlineStr">
        <is>
          <t>계획관리지역</t>
        </is>
      </c>
      <c r="I3585" s="3" t="inlineStr">
        <is>
          <t>전</t>
        </is>
      </c>
      <c r="J3585" s="3" t="inlineStr">
        <is>
          <t>연서면</t>
        </is>
      </c>
    </row>
    <row r="3586">
      <c r="A3586" s="3" t="n">
        <v>2026</v>
      </c>
      <c r="B3586" s="4" t="n">
        <v>40546</v>
      </c>
      <c r="C3586" s="4" t="n">
        <v>2437.3</v>
      </c>
      <c r="D3586" s="4" t="n">
        <v>737.2832500000001</v>
      </c>
      <c r="E3586" s="5" t="n">
        <v>55</v>
      </c>
      <c r="F3586" s="3" t="inlineStr">
        <is>
          <t>연동면</t>
        </is>
      </c>
      <c r="G3586" s="3" t="inlineStr">
        <is>
          <t>명학리</t>
        </is>
      </c>
      <c r="H3586" s="3" t="inlineStr">
        <is>
          <t>농림지역</t>
        </is>
      </c>
      <c r="I3586" s="3" t="inlineStr">
        <is>
          <t>답</t>
        </is>
      </c>
      <c r="J3586" s="3" t="inlineStr">
        <is>
          <t>연동면</t>
        </is>
      </c>
    </row>
    <row r="3587">
      <c r="A3587" s="3" t="n">
        <v>2024</v>
      </c>
      <c r="B3587" s="4" t="n">
        <v>16871</v>
      </c>
      <c r="C3587" s="4" t="n">
        <v>234</v>
      </c>
      <c r="D3587" s="4" t="n">
        <v>70.785</v>
      </c>
      <c r="E3587" s="5" t="n">
        <v>238.3</v>
      </c>
      <c r="F3587" s="3" t="inlineStr">
        <is>
          <t>남이면</t>
        </is>
      </c>
      <c r="G3587" s="3" t="inlineStr">
        <is>
          <t>부용외천리</t>
        </is>
      </c>
      <c r="H3587" s="3" t="inlineStr">
        <is>
          <t>계획관리지역</t>
        </is>
      </c>
      <c r="I3587" s="3" t="inlineStr">
        <is>
          <t>대</t>
        </is>
      </c>
      <c r="J3587" s="3" t="inlineStr">
        <is>
          <t>남이면</t>
        </is>
      </c>
    </row>
    <row r="3588">
      <c r="A3588" s="3" t="n">
        <v>2024</v>
      </c>
      <c r="B3588" s="4" t="n">
        <v>9000</v>
      </c>
      <c r="C3588" s="4" t="n">
        <v>3856</v>
      </c>
      <c r="D3588" s="4" t="n">
        <v>1166.44</v>
      </c>
      <c r="E3588" s="5" t="n">
        <v>7.7</v>
      </c>
      <c r="F3588" s="3" t="inlineStr">
        <is>
          <t>남이면</t>
        </is>
      </c>
      <c r="G3588" s="3" t="inlineStr">
        <is>
          <t>문동리</t>
        </is>
      </c>
      <c r="H3588" s="3" t="inlineStr">
        <is>
          <t>보전관리지역</t>
        </is>
      </c>
      <c r="I3588" s="3" t="inlineStr">
        <is>
          <t>임야</t>
        </is>
      </c>
      <c r="J3588" s="3" t="inlineStr">
        <is>
          <t>남이면</t>
        </is>
      </c>
    </row>
    <row r="3589">
      <c r="A3589" s="3" t="n">
        <v>2024</v>
      </c>
      <c r="B3589" s="4" t="n">
        <v>26400</v>
      </c>
      <c r="C3589" s="4" t="n">
        <v>919</v>
      </c>
      <c r="D3589" s="4" t="n">
        <v>277.9975</v>
      </c>
      <c r="E3589" s="5" t="n">
        <v>95</v>
      </c>
      <c r="F3589" s="3" t="inlineStr">
        <is>
          <t>남이면</t>
        </is>
      </c>
      <c r="G3589" s="3" t="inlineStr">
        <is>
          <t>가좌리</t>
        </is>
      </c>
      <c r="H3589" s="3" t="inlineStr">
        <is>
          <t>자연녹지지역</t>
        </is>
      </c>
      <c r="I3589" s="3" t="inlineStr">
        <is>
          <t>답</t>
        </is>
      </c>
      <c r="J3589" s="3" t="inlineStr">
        <is>
          <t>남이면</t>
        </is>
      </c>
    </row>
    <row r="3590">
      <c r="A3590" s="3" t="n">
        <v>2024</v>
      </c>
      <c r="B3590" s="4" t="n">
        <v>26400</v>
      </c>
      <c r="C3590" s="4" t="n">
        <v>918</v>
      </c>
      <c r="D3590" s="4" t="n">
        <v>277.695</v>
      </c>
      <c r="E3590" s="5" t="n">
        <v>95.09999999999999</v>
      </c>
      <c r="F3590" s="3" t="inlineStr">
        <is>
          <t>남이면</t>
        </is>
      </c>
      <c r="G3590" s="3" t="inlineStr">
        <is>
          <t>가좌리</t>
        </is>
      </c>
      <c r="H3590" s="3" t="inlineStr">
        <is>
          <t>자연녹지지역</t>
        </is>
      </c>
      <c r="I3590" s="3" t="inlineStr">
        <is>
          <t>답</t>
        </is>
      </c>
      <c r="J3590" s="3" t="inlineStr">
        <is>
          <t>남이면</t>
        </is>
      </c>
    </row>
    <row r="3591">
      <c r="A3591" s="3" t="n">
        <v>2024</v>
      </c>
      <c r="B3591" s="4" t="n">
        <v>10690</v>
      </c>
      <c r="C3591" s="4" t="n">
        <v>1107</v>
      </c>
      <c r="D3591" s="4" t="n">
        <v>334.8675</v>
      </c>
      <c r="E3591" s="5" t="n">
        <v>31.9</v>
      </c>
      <c r="F3591" s="3" t="inlineStr">
        <is>
          <t>남이면</t>
        </is>
      </c>
      <c r="G3591" s="3" t="inlineStr">
        <is>
          <t>팔봉리</t>
        </is>
      </c>
      <c r="H3591" s="3" t="inlineStr">
        <is>
          <t>자연녹지지역</t>
        </is>
      </c>
      <c r="I3591" s="3" t="inlineStr">
        <is>
          <t>전</t>
        </is>
      </c>
      <c r="J3591" s="3" t="inlineStr">
        <is>
          <t>남이면</t>
        </is>
      </c>
    </row>
    <row r="3592">
      <c r="A3592" s="3" t="n">
        <v>2024</v>
      </c>
      <c r="B3592" s="4" t="n">
        <v>10865</v>
      </c>
      <c r="C3592" s="4" t="n">
        <v>671</v>
      </c>
      <c r="D3592" s="4" t="n">
        <v>202.9775</v>
      </c>
      <c r="E3592" s="5" t="n">
        <v>53.5</v>
      </c>
      <c r="F3592" s="3" t="inlineStr">
        <is>
          <t>남이면</t>
        </is>
      </c>
      <c r="G3592" s="3" t="inlineStr">
        <is>
          <t>척산리</t>
        </is>
      </c>
      <c r="H3592" s="3" t="inlineStr">
        <is>
          <t>계획관리지역</t>
        </is>
      </c>
      <c r="I3592" s="3" t="inlineStr">
        <is>
          <t>전</t>
        </is>
      </c>
      <c r="J3592" s="3" t="inlineStr">
        <is>
          <t>남이면</t>
        </is>
      </c>
    </row>
    <row r="3593">
      <c r="A3593" s="3" t="n">
        <v>2024</v>
      </c>
      <c r="B3593" s="4" t="n">
        <v>9135</v>
      </c>
      <c r="C3593" s="4" t="n">
        <v>564</v>
      </c>
      <c r="D3593" s="4" t="n">
        <v>170.61</v>
      </c>
      <c r="E3593" s="5" t="n">
        <v>53.5</v>
      </c>
      <c r="F3593" s="3" t="inlineStr">
        <is>
          <t>남이면</t>
        </is>
      </c>
      <c r="G3593" s="3" t="inlineStr">
        <is>
          <t>척산리</t>
        </is>
      </c>
      <c r="H3593" s="3" t="inlineStr">
        <is>
          <t>계획관리지역</t>
        </is>
      </c>
      <c r="I3593" s="3" t="inlineStr">
        <is>
          <t>전</t>
        </is>
      </c>
      <c r="J3593" s="3" t="inlineStr">
        <is>
          <t>남이면</t>
        </is>
      </c>
    </row>
    <row r="3594">
      <c r="A3594" s="3" t="n">
        <v>2023</v>
      </c>
      <c r="B3594" s="4" t="n">
        <v>40300</v>
      </c>
      <c r="C3594" s="4" t="n">
        <v>277.8</v>
      </c>
      <c r="D3594" s="4" t="n">
        <v>84.03449999999999</v>
      </c>
      <c r="E3594" s="5" t="n">
        <v>479.6</v>
      </c>
      <c r="F3594" s="3" t="inlineStr">
        <is>
          <t>한솔동</t>
        </is>
      </c>
      <c r="G3594" s="3" t="inlineStr"/>
      <c r="H3594" s="3" t="inlineStr">
        <is>
          <t>제1종전용주거지역</t>
        </is>
      </c>
      <c r="I3594" s="3" t="inlineStr">
        <is>
          <t>대</t>
        </is>
      </c>
      <c r="J3594" s="3" t="inlineStr">
        <is>
          <t>한솔동</t>
        </is>
      </c>
    </row>
    <row r="3595">
      <c r="A3595" s="3" t="n">
        <v>2023</v>
      </c>
      <c r="B3595" s="4" t="n">
        <v>57600</v>
      </c>
      <c r="C3595" s="4" t="n">
        <v>1709</v>
      </c>
      <c r="D3595" s="4" t="n">
        <v>516.9725</v>
      </c>
      <c r="E3595" s="5" t="n">
        <v>111.4</v>
      </c>
      <c r="F3595" s="3" t="inlineStr">
        <is>
          <t>부강면</t>
        </is>
      </c>
      <c r="G3595" s="3" t="inlineStr">
        <is>
          <t>노호리</t>
        </is>
      </c>
      <c r="H3595" s="3" t="inlineStr">
        <is>
          <t>계획관리지역</t>
        </is>
      </c>
      <c r="I3595" s="3" t="inlineStr">
        <is>
          <t>철도용지</t>
        </is>
      </c>
      <c r="J3595" s="3" t="inlineStr">
        <is>
          <t>부강면</t>
        </is>
      </c>
    </row>
    <row r="3596">
      <c r="A3596" s="3" t="n">
        <v>2023</v>
      </c>
      <c r="B3596" s="4" t="n">
        <v>2400</v>
      </c>
      <c r="C3596" s="4" t="n">
        <v>72</v>
      </c>
      <c r="D3596" s="4" t="n">
        <v>21.78</v>
      </c>
      <c r="E3596" s="5" t="n">
        <v>110.2</v>
      </c>
      <c r="F3596" s="3" t="inlineStr">
        <is>
          <t>부강면</t>
        </is>
      </c>
      <c r="G3596" s="3" t="inlineStr">
        <is>
          <t>노호리</t>
        </is>
      </c>
      <c r="H3596" s="3" t="inlineStr">
        <is>
          <t>계획관리지역</t>
        </is>
      </c>
      <c r="I3596" s="3" t="inlineStr">
        <is>
          <t>철도용지</t>
        </is>
      </c>
      <c r="J3596" s="3" t="inlineStr">
        <is>
          <t>부강면</t>
        </is>
      </c>
    </row>
    <row r="3597">
      <c r="A3597" s="3" t="n">
        <v>2022</v>
      </c>
      <c r="B3597" s="4" t="n">
        <v>150</v>
      </c>
      <c r="C3597" s="4" t="n">
        <v>1</v>
      </c>
      <c r="D3597" s="4" t="n">
        <v>0.3025</v>
      </c>
      <c r="E3597" s="5" t="n">
        <v>495.9</v>
      </c>
      <c r="F3597" s="3" t="inlineStr">
        <is>
          <t>조치원읍</t>
        </is>
      </c>
      <c r="G3597" s="3" t="inlineStr">
        <is>
          <t>신안리</t>
        </is>
      </c>
      <c r="H3597" s="3" t="inlineStr">
        <is>
          <t>제2종일반주거지역</t>
        </is>
      </c>
      <c r="I3597" s="3" t="inlineStr">
        <is>
          <t>대</t>
        </is>
      </c>
      <c r="J3597" s="3" t="inlineStr">
        <is>
          <t>조치원읍</t>
        </is>
      </c>
    </row>
    <row r="3598">
      <c r="A3598" s="3" t="n">
        <v>2022</v>
      </c>
      <c r="B3598" s="4" t="n">
        <v>176400</v>
      </c>
      <c r="C3598" s="4" t="n">
        <v>8331</v>
      </c>
      <c r="D3598" s="4" t="n">
        <v>2520.1275</v>
      </c>
      <c r="E3598" s="5" t="n">
        <v>70</v>
      </c>
      <c r="F3598" s="3" t="inlineStr">
        <is>
          <t>연서면</t>
        </is>
      </c>
      <c r="G3598" s="3" t="inlineStr">
        <is>
          <t>와촌리</t>
        </is>
      </c>
      <c r="H3598" s="3" t="inlineStr">
        <is>
          <t>보전관리지역</t>
        </is>
      </c>
      <c r="I3598" s="3" t="inlineStr">
        <is>
          <t>임야</t>
        </is>
      </c>
      <c r="J3598" s="3" t="inlineStr">
        <is>
          <t>연서면</t>
        </is>
      </c>
    </row>
    <row r="3599">
      <c r="A3599" s="3" t="n">
        <v>2022</v>
      </c>
      <c r="B3599" s="4" t="n">
        <v>600</v>
      </c>
      <c r="C3599" s="4" t="n">
        <v>60</v>
      </c>
      <c r="D3599" s="4" t="n">
        <v>18.15</v>
      </c>
      <c r="E3599" s="5" t="n">
        <v>33.1</v>
      </c>
      <c r="F3599" s="3" t="inlineStr">
        <is>
          <t>연서면</t>
        </is>
      </c>
      <c r="G3599" s="3" t="inlineStr">
        <is>
          <t>용암리</t>
        </is>
      </c>
      <c r="H3599" s="3" t="inlineStr">
        <is>
          <t>농림지역</t>
        </is>
      </c>
      <c r="I3599" s="3" t="inlineStr">
        <is>
          <t>도로</t>
        </is>
      </c>
      <c r="J3599" s="3" t="inlineStr">
        <is>
          <t>연서면</t>
        </is>
      </c>
    </row>
    <row r="3600">
      <c r="A3600" s="3" t="n">
        <v>2022</v>
      </c>
      <c r="B3600" s="4" t="n">
        <v>500</v>
      </c>
      <c r="C3600" s="4" t="n">
        <v>19</v>
      </c>
      <c r="D3600" s="4" t="n">
        <v>5.7475</v>
      </c>
      <c r="E3600" s="5" t="n">
        <v>87</v>
      </c>
      <c r="F3600" s="3" t="inlineStr">
        <is>
          <t>연서면</t>
        </is>
      </c>
      <c r="G3600" s="3" t="inlineStr">
        <is>
          <t>용암리</t>
        </is>
      </c>
      <c r="H3600" s="3" t="inlineStr">
        <is>
          <t>농림지역</t>
        </is>
      </c>
      <c r="I3600" s="3" t="inlineStr">
        <is>
          <t>과수원</t>
        </is>
      </c>
      <c r="J3600" s="3" t="inlineStr">
        <is>
          <t>연서면</t>
        </is>
      </c>
    </row>
    <row r="3601">
      <c r="A3601" s="3" t="n">
        <v>2022</v>
      </c>
      <c r="B3601" s="4" t="n">
        <v>7900</v>
      </c>
      <c r="C3601" s="4" t="n">
        <v>297</v>
      </c>
      <c r="D3601" s="4" t="n">
        <v>89.8425</v>
      </c>
      <c r="E3601" s="5" t="n">
        <v>87.90000000000001</v>
      </c>
      <c r="F3601" s="3" t="inlineStr">
        <is>
          <t>연서면</t>
        </is>
      </c>
      <c r="G3601" s="3" t="inlineStr">
        <is>
          <t>용암리</t>
        </is>
      </c>
      <c r="H3601" s="3" t="inlineStr">
        <is>
          <t>농림지역</t>
        </is>
      </c>
      <c r="I3601" s="3" t="inlineStr">
        <is>
          <t>과수원</t>
        </is>
      </c>
      <c r="J3601" s="3" t="inlineStr">
        <is>
          <t>연서면</t>
        </is>
      </c>
    </row>
    <row r="3602">
      <c r="A3602" s="3" t="n">
        <v>2022</v>
      </c>
      <c r="B3602" s="4" t="n">
        <v>214</v>
      </c>
      <c r="C3602" s="4" t="n">
        <v>17</v>
      </c>
      <c r="D3602" s="4" t="n">
        <v>5.1425</v>
      </c>
      <c r="E3602" s="5" t="n">
        <v>41.6</v>
      </c>
      <c r="F3602" s="3" t="inlineStr">
        <is>
          <t>연서면</t>
        </is>
      </c>
      <c r="G3602" s="3" t="inlineStr">
        <is>
          <t>월하리</t>
        </is>
      </c>
      <c r="H3602" s="3" t="inlineStr">
        <is>
          <t>자연녹지지역</t>
        </is>
      </c>
      <c r="I3602" s="3" t="inlineStr">
        <is>
          <t>답</t>
        </is>
      </c>
      <c r="J3602" s="3" t="inlineStr">
        <is>
          <t>연서면</t>
        </is>
      </c>
    </row>
    <row r="3603">
      <c r="A3603" s="3" t="n">
        <v>2022</v>
      </c>
      <c r="B3603" s="4" t="n">
        <v>616</v>
      </c>
      <c r="C3603" s="4" t="n">
        <v>49</v>
      </c>
      <c r="D3603" s="4" t="n">
        <v>14.8225</v>
      </c>
      <c r="E3603" s="5" t="n">
        <v>41.6</v>
      </c>
      <c r="F3603" s="3" t="inlineStr">
        <is>
          <t>연서면</t>
        </is>
      </c>
      <c r="G3603" s="3" t="inlineStr">
        <is>
          <t>월하리</t>
        </is>
      </c>
      <c r="H3603" s="3" t="inlineStr">
        <is>
          <t>자연녹지지역</t>
        </is>
      </c>
      <c r="I3603" s="3" t="inlineStr">
        <is>
          <t>답</t>
        </is>
      </c>
      <c r="J3603" s="3" t="inlineStr">
        <is>
          <t>연서면</t>
        </is>
      </c>
    </row>
    <row r="3604">
      <c r="A3604" s="3" t="n">
        <v>2022</v>
      </c>
      <c r="B3604" s="4" t="n">
        <v>350</v>
      </c>
      <c r="C3604" s="4" t="n">
        <v>39</v>
      </c>
      <c r="D3604" s="4" t="n">
        <v>11.7975</v>
      </c>
      <c r="E3604" s="5" t="n">
        <v>29.7</v>
      </c>
      <c r="F3604" s="3" t="inlineStr">
        <is>
          <t>연서면</t>
        </is>
      </c>
      <c r="G3604" s="3" t="inlineStr">
        <is>
          <t>월하리</t>
        </is>
      </c>
      <c r="H3604" s="3" t="inlineStr">
        <is>
          <t>자연녹지지역</t>
        </is>
      </c>
      <c r="I3604" s="3" t="inlineStr">
        <is>
          <t>답</t>
        </is>
      </c>
      <c r="J3604" s="3" t="inlineStr">
        <is>
          <t>연서면</t>
        </is>
      </c>
    </row>
    <row r="3605">
      <c r="A3605" s="3" t="n">
        <v>2022</v>
      </c>
      <c r="B3605" s="4" t="n">
        <v>8820</v>
      </c>
      <c r="C3605" s="4" t="n">
        <v>158</v>
      </c>
      <c r="D3605" s="4" t="n">
        <v>47.795</v>
      </c>
      <c r="E3605" s="5" t="n">
        <v>184.5</v>
      </c>
      <c r="F3605" s="3" t="inlineStr">
        <is>
          <t>연서면</t>
        </is>
      </c>
      <c r="G3605" s="3" t="inlineStr">
        <is>
          <t>월하리</t>
        </is>
      </c>
      <c r="H3605" s="3" t="inlineStr">
        <is>
          <t>자연녹지지역</t>
        </is>
      </c>
      <c r="I3605" s="3" t="inlineStr">
        <is>
          <t>전</t>
        </is>
      </c>
      <c r="J3605" s="3" t="inlineStr">
        <is>
          <t>연서면</t>
        </is>
      </c>
    </row>
    <row r="3606">
      <c r="A3606" s="3" t="n">
        <v>2023</v>
      </c>
      <c r="B3606" s="4" t="n">
        <v>50000</v>
      </c>
      <c r="C3606" s="4" t="n">
        <v>350</v>
      </c>
      <c r="D3606" s="4" t="n">
        <v>105.875</v>
      </c>
      <c r="E3606" s="5" t="n">
        <v>472.3</v>
      </c>
      <c r="F3606" s="3" t="inlineStr">
        <is>
          <t>반곡동</t>
        </is>
      </c>
      <c r="G3606" s="3" t="inlineStr"/>
      <c r="H3606" s="3" t="inlineStr">
        <is>
          <t>제1종전용주거지역</t>
        </is>
      </c>
      <c r="I3606" s="3" t="inlineStr">
        <is>
          <t>대</t>
        </is>
      </c>
      <c r="J3606" s="3" t="inlineStr">
        <is>
          <t>반곡동</t>
        </is>
      </c>
    </row>
    <row r="3607">
      <c r="A3607" s="3" t="n">
        <v>2023</v>
      </c>
      <c r="B3607" s="4" t="n">
        <v>1523</v>
      </c>
      <c r="C3607" s="4" t="n">
        <v>12.8</v>
      </c>
      <c r="D3607" s="4" t="n">
        <v>3.872</v>
      </c>
      <c r="E3607" s="5" t="n">
        <v>393.3</v>
      </c>
      <c r="F3607" s="3" t="inlineStr">
        <is>
          <t>고운동</t>
        </is>
      </c>
      <c r="G3607" s="3" t="inlineStr"/>
      <c r="H3607" s="3" t="inlineStr">
        <is>
          <t>제1종전용주거지역</t>
        </is>
      </c>
      <c r="I3607" s="3" t="inlineStr">
        <is>
          <t>주차장</t>
        </is>
      </c>
      <c r="J3607" s="3" t="inlineStr">
        <is>
          <t>고운동</t>
        </is>
      </c>
    </row>
    <row r="3608">
      <c r="A3608" s="3" t="n">
        <v>2023</v>
      </c>
      <c r="B3608" s="4" t="n">
        <v>95000</v>
      </c>
      <c r="C3608" s="4" t="n">
        <v>23405</v>
      </c>
      <c r="D3608" s="4" t="n">
        <v>7080.0125</v>
      </c>
      <c r="E3608" s="5" t="n">
        <v>13.4</v>
      </c>
      <c r="F3608" s="3" t="inlineStr">
        <is>
          <t>부강면</t>
        </is>
      </c>
      <c r="G3608" s="3" t="inlineStr">
        <is>
          <t>문곡리</t>
        </is>
      </c>
      <c r="H3608" s="3" t="inlineStr">
        <is>
          <t>농림지역</t>
        </is>
      </c>
      <c r="I3608" s="3" t="inlineStr">
        <is>
          <t>임야</t>
        </is>
      </c>
      <c r="J3608" s="3" t="inlineStr">
        <is>
          <t>부강면</t>
        </is>
      </c>
    </row>
    <row r="3609">
      <c r="A3609" s="3" t="n">
        <v>2022</v>
      </c>
      <c r="B3609" s="4" t="n">
        <v>2500</v>
      </c>
      <c r="C3609" s="4" t="n">
        <v>945</v>
      </c>
      <c r="D3609" s="4" t="n">
        <v>285.8625</v>
      </c>
      <c r="E3609" s="5" t="n">
        <v>8.699999999999999</v>
      </c>
      <c r="F3609" s="3" t="inlineStr">
        <is>
          <t>연서면</t>
        </is>
      </c>
      <c r="G3609" s="3" t="inlineStr">
        <is>
          <t>쌍류리</t>
        </is>
      </c>
      <c r="H3609" s="3" t="inlineStr">
        <is>
          <t>생산관리지역</t>
        </is>
      </c>
      <c r="I3609" s="3" t="inlineStr">
        <is>
          <t>답</t>
        </is>
      </c>
      <c r="J3609" s="3" t="inlineStr">
        <is>
          <t>연서면</t>
        </is>
      </c>
    </row>
    <row r="3610">
      <c r="A3610" s="3" t="n">
        <v>2023</v>
      </c>
      <c r="B3610" s="4" t="n">
        <v>28736</v>
      </c>
      <c r="C3610" s="4" t="n">
        <v>1635</v>
      </c>
      <c r="D3610" s="4" t="n">
        <v>494.5875</v>
      </c>
      <c r="E3610" s="5" t="n">
        <v>58.1</v>
      </c>
      <c r="F3610" s="3" t="inlineStr">
        <is>
          <t>남이면</t>
        </is>
      </c>
      <c r="G3610" s="3" t="inlineStr">
        <is>
          <t>구암리</t>
        </is>
      </c>
      <c r="H3610" s="3" t="inlineStr">
        <is>
          <t>자연녹지지역</t>
        </is>
      </c>
      <c r="I3610" s="3" t="inlineStr">
        <is>
          <t>답</t>
        </is>
      </c>
      <c r="J3610" s="3" t="inlineStr">
        <is>
          <t>남이면</t>
        </is>
      </c>
    </row>
    <row r="3611">
      <c r="A3611" s="3" t="n">
        <v>2023</v>
      </c>
      <c r="B3611" s="4" t="n">
        <v>69925</v>
      </c>
      <c r="C3611" s="4" t="n">
        <v>1635</v>
      </c>
      <c r="D3611" s="4" t="n">
        <v>494.5875</v>
      </c>
      <c r="E3611" s="5" t="n">
        <v>141.4</v>
      </c>
      <c r="F3611" s="3" t="inlineStr">
        <is>
          <t>남이면</t>
        </is>
      </c>
      <c r="G3611" s="3" t="inlineStr">
        <is>
          <t>구암리</t>
        </is>
      </c>
      <c r="H3611" s="3" t="inlineStr">
        <is>
          <t>자연녹지지역</t>
        </is>
      </c>
      <c r="I3611" s="3" t="inlineStr">
        <is>
          <t>답</t>
        </is>
      </c>
      <c r="J3611" s="3" t="inlineStr">
        <is>
          <t>남이면</t>
        </is>
      </c>
    </row>
    <row r="3612">
      <c r="A3612" s="3" t="n">
        <v>2023</v>
      </c>
      <c r="B3612" s="4" t="n">
        <v>41500</v>
      </c>
      <c r="C3612" s="4" t="n">
        <v>1250</v>
      </c>
      <c r="D3612" s="4" t="n">
        <v>378.125</v>
      </c>
      <c r="E3612" s="5" t="n">
        <v>109.8</v>
      </c>
      <c r="F3612" s="3" t="inlineStr">
        <is>
          <t>남이면</t>
        </is>
      </c>
      <c r="G3612" s="3" t="inlineStr">
        <is>
          <t>부용외천리</t>
        </is>
      </c>
      <c r="H3612" s="3" t="inlineStr">
        <is>
          <t>계획관리지역</t>
        </is>
      </c>
      <c r="I3612" s="3" t="inlineStr">
        <is>
          <t>답</t>
        </is>
      </c>
      <c r="J3612" s="3" t="inlineStr">
        <is>
          <t>남이면</t>
        </is>
      </c>
    </row>
    <row r="3613">
      <c r="A3613" s="3" t="n">
        <v>2023</v>
      </c>
      <c r="B3613" s="4" t="n">
        <v>3872</v>
      </c>
      <c r="C3613" s="4" t="n">
        <v>64</v>
      </c>
      <c r="D3613" s="4" t="n">
        <v>19.36</v>
      </c>
      <c r="E3613" s="5" t="n">
        <v>200</v>
      </c>
      <c r="F3613" s="3" t="inlineStr">
        <is>
          <t>남이면</t>
        </is>
      </c>
      <c r="G3613" s="3" t="inlineStr">
        <is>
          <t>양촌리</t>
        </is>
      </c>
      <c r="H3613" s="3" t="inlineStr">
        <is>
          <t>보전녹지지역</t>
        </is>
      </c>
      <c r="I3613" s="3" t="inlineStr">
        <is>
          <t>임야</t>
        </is>
      </c>
      <c r="J3613" s="3" t="inlineStr">
        <is>
          <t>남이면</t>
        </is>
      </c>
    </row>
    <row r="3614">
      <c r="A3614" s="3" t="n">
        <v>2023</v>
      </c>
      <c r="B3614" s="4" t="n">
        <v>52702</v>
      </c>
      <c r="C3614" s="4" t="n">
        <v>858</v>
      </c>
      <c r="D3614" s="4" t="n">
        <v>259.545</v>
      </c>
      <c r="E3614" s="5" t="n">
        <v>203.1</v>
      </c>
      <c r="F3614" s="3" t="inlineStr">
        <is>
          <t>남이면</t>
        </is>
      </c>
      <c r="G3614" s="3" t="inlineStr">
        <is>
          <t>양촌리</t>
        </is>
      </c>
      <c r="H3614" s="3" t="inlineStr">
        <is>
          <t>자연녹지지역</t>
        </is>
      </c>
      <c r="I3614" s="3" t="inlineStr">
        <is>
          <t>임야</t>
        </is>
      </c>
      <c r="J3614" s="3" t="inlineStr">
        <is>
          <t>남이면</t>
        </is>
      </c>
    </row>
    <row r="3615">
      <c r="A3615" s="3" t="n">
        <v>2023</v>
      </c>
      <c r="B3615" s="4" t="n">
        <v>60000</v>
      </c>
      <c r="C3615" s="4" t="n">
        <v>6607</v>
      </c>
      <c r="D3615" s="4" t="n">
        <v>1998.6175</v>
      </c>
      <c r="E3615" s="5" t="n">
        <v>30</v>
      </c>
      <c r="F3615" s="3" t="inlineStr">
        <is>
          <t>남이면</t>
        </is>
      </c>
      <c r="G3615" s="3" t="inlineStr">
        <is>
          <t>구미리</t>
        </is>
      </c>
      <c r="H3615" s="3" t="inlineStr">
        <is>
          <t>계획관리지역</t>
        </is>
      </c>
      <c r="I3615" s="3" t="inlineStr">
        <is>
          <t>임야</t>
        </is>
      </c>
      <c r="J3615" s="3" t="inlineStr">
        <is>
          <t>남이면</t>
        </is>
      </c>
    </row>
    <row r="3616">
      <c r="A3616" s="3" t="n">
        <v>2023</v>
      </c>
      <c r="B3616" s="4" t="n">
        <v>30000</v>
      </c>
      <c r="C3616" s="4" t="n">
        <v>3056.3</v>
      </c>
      <c r="D3616" s="4" t="n">
        <v>924.53075</v>
      </c>
      <c r="E3616" s="5" t="n">
        <v>32.4</v>
      </c>
      <c r="F3616" s="3" t="inlineStr">
        <is>
          <t>남이면</t>
        </is>
      </c>
      <c r="G3616" s="3" t="inlineStr">
        <is>
          <t>비룡리</t>
        </is>
      </c>
      <c r="H3616" s="3" t="inlineStr">
        <is>
          <t>농림지역</t>
        </is>
      </c>
      <c r="I3616" s="3" t="inlineStr">
        <is>
          <t>답</t>
        </is>
      </c>
      <c r="J3616" s="3" t="inlineStr">
        <is>
          <t>남이면</t>
        </is>
      </c>
    </row>
    <row r="3617">
      <c r="A3617" s="3" t="n">
        <v>2023</v>
      </c>
      <c r="B3617" s="4" t="n">
        <v>25700</v>
      </c>
      <c r="C3617" s="4" t="n">
        <v>1005</v>
      </c>
      <c r="D3617" s="4" t="n">
        <v>304.0125</v>
      </c>
      <c r="E3617" s="5" t="n">
        <v>84.5</v>
      </c>
      <c r="F3617" s="3" t="inlineStr">
        <is>
          <t>남이면</t>
        </is>
      </c>
      <c r="G3617" s="3" t="inlineStr">
        <is>
          <t>상발리</t>
        </is>
      </c>
      <c r="H3617" s="3" t="inlineStr">
        <is>
          <t>자연녹지지역</t>
        </is>
      </c>
      <c r="I3617" s="3" t="inlineStr">
        <is>
          <t>전</t>
        </is>
      </c>
      <c r="J3617" s="3" t="inlineStr">
        <is>
          <t>남이면</t>
        </is>
      </c>
    </row>
    <row r="3618">
      <c r="A3618" s="3" t="n">
        <v>2023</v>
      </c>
      <c r="B3618" s="4" t="n">
        <v>22300</v>
      </c>
      <c r="C3618" s="4" t="n">
        <v>872</v>
      </c>
      <c r="D3618" s="4" t="n">
        <v>263.78</v>
      </c>
      <c r="E3618" s="5" t="n">
        <v>84.5</v>
      </c>
      <c r="F3618" s="3" t="inlineStr">
        <is>
          <t>남이면</t>
        </is>
      </c>
      <c r="G3618" s="3" t="inlineStr">
        <is>
          <t>상발리</t>
        </is>
      </c>
      <c r="H3618" s="3" t="inlineStr">
        <is>
          <t>자연녹지지역</t>
        </is>
      </c>
      <c r="I3618" s="3" t="inlineStr">
        <is>
          <t>답</t>
        </is>
      </c>
      <c r="J3618" s="3" t="inlineStr">
        <is>
          <t>남이면</t>
        </is>
      </c>
    </row>
    <row r="3619">
      <c r="A3619" s="3" t="n">
        <v>2023</v>
      </c>
      <c r="B3619" s="4" t="n">
        <v>14000</v>
      </c>
      <c r="C3619" s="4" t="n">
        <v>1464</v>
      </c>
      <c r="D3619" s="4" t="n">
        <v>442.86</v>
      </c>
      <c r="E3619" s="5" t="n">
        <v>31.6</v>
      </c>
      <c r="F3619" s="3" t="inlineStr">
        <is>
          <t>남이면</t>
        </is>
      </c>
      <c r="G3619" s="3" t="inlineStr">
        <is>
          <t>부용외천리</t>
        </is>
      </c>
      <c r="H3619" s="3" t="inlineStr">
        <is>
          <t>생산관리지역</t>
        </is>
      </c>
      <c r="I3619" s="3" t="inlineStr">
        <is>
          <t>답</t>
        </is>
      </c>
      <c r="J3619" s="3" t="inlineStr">
        <is>
          <t>남이면</t>
        </is>
      </c>
    </row>
    <row r="3620">
      <c r="A3620" s="3" t="n">
        <v>2022</v>
      </c>
      <c r="B3620" s="4" t="n">
        <v>54000</v>
      </c>
      <c r="C3620" s="4" t="n">
        <v>2980</v>
      </c>
      <c r="D3620" s="4" t="n">
        <v>901.4499999999999</v>
      </c>
      <c r="E3620" s="5" t="n">
        <v>59.9</v>
      </c>
      <c r="F3620" s="3" t="inlineStr">
        <is>
          <t>연서면</t>
        </is>
      </c>
      <c r="G3620" s="3" t="inlineStr">
        <is>
          <t>고복리</t>
        </is>
      </c>
      <c r="H3620" s="3" t="inlineStr">
        <is>
          <t>농림지역</t>
        </is>
      </c>
      <c r="I3620" s="3" t="inlineStr">
        <is>
          <t>답</t>
        </is>
      </c>
      <c r="J3620" s="3" t="inlineStr">
        <is>
          <t>연서면</t>
        </is>
      </c>
    </row>
    <row r="3621">
      <c r="A3621" s="3" t="n">
        <v>2022</v>
      </c>
      <c r="B3621" s="4" t="n">
        <v>15720</v>
      </c>
      <c r="C3621" s="4" t="n">
        <v>262</v>
      </c>
      <c r="D3621" s="4" t="n">
        <v>79.255</v>
      </c>
      <c r="E3621" s="5" t="n">
        <v>198.3</v>
      </c>
      <c r="F3621" s="3" t="inlineStr">
        <is>
          <t>조치원읍</t>
        </is>
      </c>
      <c r="G3621" s="3" t="inlineStr">
        <is>
          <t>상리</t>
        </is>
      </c>
      <c r="H3621" s="3" t="inlineStr">
        <is>
          <t>제2종일반주거지역</t>
        </is>
      </c>
      <c r="I3621" s="3" t="inlineStr">
        <is>
          <t>대</t>
        </is>
      </c>
      <c r="J3621" s="3" t="inlineStr">
        <is>
          <t>조치원읍</t>
        </is>
      </c>
    </row>
    <row r="3622">
      <c r="A3622" s="3" t="n">
        <v>2022</v>
      </c>
      <c r="B3622" s="4" t="n">
        <v>883</v>
      </c>
      <c r="C3622" s="4" t="n">
        <v>102</v>
      </c>
      <c r="D3622" s="4" t="n">
        <v>30.855</v>
      </c>
      <c r="E3622" s="5" t="n">
        <v>28.6</v>
      </c>
      <c r="F3622" s="3" t="inlineStr">
        <is>
          <t>연서면</t>
        </is>
      </c>
      <c r="G3622" s="3" t="inlineStr">
        <is>
          <t>쌍류리</t>
        </is>
      </c>
      <c r="H3622" s="3" t="inlineStr">
        <is>
          <t>농림지역</t>
        </is>
      </c>
      <c r="I3622" s="3" t="inlineStr">
        <is>
          <t>임야</t>
        </is>
      </c>
      <c r="J3622" s="3" t="inlineStr">
        <is>
          <t>연서면</t>
        </is>
      </c>
    </row>
    <row r="3623">
      <c r="A3623" s="3" t="n">
        <v>2022</v>
      </c>
      <c r="B3623" s="4" t="n">
        <v>40767</v>
      </c>
      <c r="C3623" s="4" t="n">
        <v>4710</v>
      </c>
      <c r="D3623" s="4" t="n">
        <v>1424.775</v>
      </c>
      <c r="E3623" s="5" t="n">
        <v>28.6</v>
      </c>
      <c r="F3623" s="3" t="inlineStr">
        <is>
          <t>연서면</t>
        </is>
      </c>
      <c r="G3623" s="3" t="inlineStr">
        <is>
          <t>쌍류리</t>
        </is>
      </c>
      <c r="H3623" s="3" t="inlineStr">
        <is>
          <t>농림지역</t>
        </is>
      </c>
      <c r="I3623" s="3" t="inlineStr">
        <is>
          <t>임야</t>
        </is>
      </c>
      <c r="J3623" s="3" t="inlineStr">
        <is>
          <t>연서면</t>
        </is>
      </c>
    </row>
    <row r="3624">
      <c r="A3624" s="3" t="n">
        <v>2022</v>
      </c>
      <c r="B3624" s="4" t="n">
        <v>46350</v>
      </c>
      <c r="C3624" s="4" t="n">
        <v>1021</v>
      </c>
      <c r="D3624" s="4" t="n">
        <v>308.8525</v>
      </c>
      <c r="E3624" s="5" t="n">
        <v>150.1</v>
      </c>
      <c r="F3624" s="3" t="inlineStr">
        <is>
          <t>연서면</t>
        </is>
      </c>
      <c r="G3624" s="3" t="inlineStr">
        <is>
          <t>쌍류리</t>
        </is>
      </c>
      <c r="H3624" s="3" t="inlineStr">
        <is>
          <t>계획관리지역</t>
        </is>
      </c>
      <c r="I3624" s="3" t="inlineStr">
        <is>
          <t>대</t>
        </is>
      </c>
      <c r="J3624" s="3" t="inlineStr">
        <is>
          <t>연서면</t>
        </is>
      </c>
    </row>
    <row r="3625">
      <c r="A3625" s="3" t="n">
        <v>2022</v>
      </c>
      <c r="B3625" s="4" t="n">
        <v>6000</v>
      </c>
      <c r="C3625" s="4" t="n">
        <v>652</v>
      </c>
      <c r="D3625" s="4" t="n">
        <v>197.23</v>
      </c>
      <c r="E3625" s="5" t="n">
        <v>30.4</v>
      </c>
      <c r="F3625" s="3" t="inlineStr">
        <is>
          <t>연서면</t>
        </is>
      </c>
      <c r="G3625" s="3" t="inlineStr">
        <is>
          <t>쌍류리</t>
        </is>
      </c>
      <c r="H3625" s="3" t="inlineStr">
        <is>
          <t>농림지역</t>
        </is>
      </c>
      <c r="I3625" s="3" t="inlineStr">
        <is>
          <t>임야</t>
        </is>
      </c>
      <c r="J3625" s="3" t="inlineStr">
        <is>
          <t>연서면</t>
        </is>
      </c>
    </row>
    <row r="3626">
      <c r="A3626" s="3" t="n">
        <v>2022</v>
      </c>
      <c r="B3626" s="4" t="n">
        <v>101500</v>
      </c>
      <c r="C3626" s="4" t="n">
        <v>427</v>
      </c>
      <c r="D3626" s="4" t="n">
        <v>129.1675</v>
      </c>
      <c r="E3626" s="5" t="n">
        <v>785.8</v>
      </c>
      <c r="F3626" s="3" t="inlineStr">
        <is>
          <t>조치원읍</t>
        </is>
      </c>
      <c r="G3626" s="3" t="inlineStr">
        <is>
          <t>상리</t>
        </is>
      </c>
      <c r="H3626" s="3" t="inlineStr">
        <is>
          <t>일반상업지역</t>
        </is>
      </c>
      <c r="I3626" s="3" t="inlineStr">
        <is>
          <t>대</t>
        </is>
      </c>
      <c r="J3626" s="3" t="inlineStr">
        <is>
          <t>조치원읍</t>
        </is>
      </c>
    </row>
    <row r="3627">
      <c r="A3627" s="3" t="n">
        <v>2025</v>
      </c>
      <c r="B3627" s="4" t="n">
        <v>8500</v>
      </c>
      <c r="C3627" s="4" t="n">
        <v>15963</v>
      </c>
      <c r="D3627" s="4" t="n">
        <v>4828.8075</v>
      </c>
      <c r="E3627" s="5" t="n">
        <v>1.8</v>
      </c>
      <c r="F3627" s="3" t="inlineStr">
        <is>
          <t>남이면</t>
        </is>
      </c>
      <c r="G3627" s="3" t="inlineStr">
        <is>
          <t>가좌리</t>
        </is>
      </c>
      <c r="H3627" s="3" t="inlineStr">
        <is>
          <t>보전녹지지역</t>
        </is>
      </c>
      <c r="I3627" s="3" t="inlineStr">
        <is>
          <t>임야</t>
        </is>
      </c>
      <c r="J3627" s="3" t="inlineStr">
        <is>
          <t>남이면</t>
        </is>
      </c>
    </row>
    <row r="3628">
      <c r="A3628" s="3" t="n">
        <v>2026</v>
      </c>
      <c r="B3628" s="4" t="n">
        <v>5400</v>
      </c>
      <c r="C3628" s="4" t="n">
        <v>187</v>
      </c>
      <c r="D3628" s="4" t="n">
        <v>56.5675</v>
      </c>
      <c r="E3628" s="5" t="n">
        <v>95.5</v>
      </c>
      <c r="F3628" s="3" t="inlineStr">
        <is>
          <t>남이면</t>
        </is>
      </c>
      <c r="G3628" s="3" t="inlineStr">
        <is>
          <t>가마리</t>
        </is>
      </c>
      <c r="H3628" s="3" t="inlineStr">
        <is>
          <t>자연녹지지역</t>
        </is>
      </c>
      <c r="I3628" s="3" t="inlineStr">
        <is>
          <t>전</t>
        </is>
      </c>
      <c r="J3628" s="3" t="inlineStr">
        <is>
          <t>남이면</t>
        </is>
      </c>
    </row>
    <row r="3629">
      <c r="A3629" s="3" t="n">
        <v>2026</v>
      </c>
      <c r="B3629" s="4" t="n">
        <v>1100</v>
      </c>
      <c r="C3629" s="4" t="n">
        <v>36</v>
      </c>
      <c r="D3629" s="4" t="n">
        <v>10.89</v>
      </c>
      <c r="E3629" s="5" t="n">
        <v>101</v>
      </c>
      <c r="F3629" s="3" t="inlineStr">
        <is>
          <t>남이면</t>
        </is>
      </c>
      <c r="G3629" s="3" t="inlineStr">
        <is>
          <t>가마리</t>
        </is>
      </c>
      <c r="H3629" s="3" t="inlineStr">
        <is>
          <t>자연녹지지역</t>
        </is>
      </c>
      <c r="I3629" s="3" t="inlineStr">
        <is>
          <t>전</t>
        </is>
      </c>
      <c r="J3629" s="3" t="inlineStr">
        <is>
          <t>남이면</t>
        </is>
      </c>
    </row>
    <row r="3630">
      <c r="A3630" s="3" t="n">
        <v>2025</v>
      </c>
      <c r="B3630" s="4" t="n">
        <v>2653</v>
      </c>
      <c r="C3630" s="4" t="n">
        <v>46</v>
      </c>
      <c r="D3630" s="4" t="n">
        <v>13.915</v>
      </c>
      <c r="E3630" s="5" t="n">
        <v>190.7</v>
      </c>
      <c r="F3630" s="3" t="inlineStr">
        <is>
          <t>오송읍</t>
        </is>
      </c>
      <c r="G3630" s="3" t="inlineStr">
        <is>
          <t>봉산리</t>
        </is>
      </c>
      <c r="H3630" s="3" t="inlineStr">
        <is>
          <t>계획관리지역</t>
        </is>
      </c>
      <c r="I3630" s="3" t="inlineStr">
        <is>
          <t>도로</t>
        </is>
      </c>
      <c r="J3630" s="3" t="inlineStr">
        <is>
          <t>오송읍</t>
        </is>
      </c>
    </row>
    <row r="3631">
      <c r="A3631" s="3" t="n">
        <v>2025</v>
      </c>
      <c r="B3631" s="4" t="n">
        <v>235412</v>
      </c>
      <c r="C3631" s="4" t="n">
        <v>13274</v>
      </c>
      <c r="D3631" s="4" t="n">
        <v>4015.385</v>
      </c>
      <c r="E3631" s="5" t="n">
        <v>58.6</v>
      </c>
      <c r="F3631" s="3" t="inlineStr">
        <is>
          <t>강내면</t>
        </is>
      </c>
      <c r="G3631" s="3" t="inlineStr">
        <is>
          <t>궁현리</t>
        </is>
      </c>
      <c r="H3631" s="3" t="inlineStr">
        <is>
          <t>계획관리지역</t>
        </is>
      </c>
      <c r="I3631" s="3" t="inlineStr">
        <is>
          <t>임야</t>
        </is>
      </c>
      <c r="J3631" s="3" t="inlineStr">
        <is>
          <t>강내면</t>
        </is>
      </c>
    </row>
    <row r="3632">
      <c r="A3632" s="3" t="n">
        <v>2025</v>
      </c>
      <c r="B3632" s="4" t="n">
        <v>13500</v>
      </c>
      <c r="C3632" s="4" t="n">
        <v>149</v>
      </c>
      <c r="D3632" s="4" t="n">
        <v>45.0725</v>
      </c>
      <c r="E3632" s="5" t="n">
        <v>299.5</v>
      </c>
      <c r="F3632" s="3" t="inlineStr">
        <is>
          <t>오송읍</t>
        </is>
      </c>
      <c r="G3632" s="3" t="inlineStr">
        <is>
          <t>오송리</t>
        </is>
      </c>
      <c r="H3632" s="3" t="inlineStr">
        <is>
          <t>계획관리지역</t>
        </is>
      </c>
      <c r="I3632" s="3" t="inlineStr">
        <is>
          <t>대</t>
        </is>
      </c>
      <c r="J3632" s="3" t="inlineStr">
        <is>
          <t>오송읍</t>
        </is>
      </c>
    </row>
    <row r="3633">
      <c r="A3633" s="3" t="n">
        <v>2025</v>
      </c>
      <c r="B3633" s="4" t="n">
        <v>235412</v>
      </c>
      <c r="C3633" s="4" t="n">
        <v>13274</v>
      </c>
      <c r="D3633" s="4" t="n">
        <v>4015.385</v>
      </c>
      <c r="E3633" s="5" t="n">
        <v>58.6</v>
      </c>
      <c r="F3633" s="3" t="inlineStr">
        <is>
          <t>강내면</t>
        </is>
      </c>
      <c r="G3633" s="3" t="inlineStr">
        <is>
          <t>궁현리</t>
        </is>
      </c>
      <c r="H3633" s="3" t="inlineStr">
        <is>
          <t>계획관리지역</t>
        </is>
      </c>
      <c r="I3633" s="3" t="inlineStr">
        <is>
          <t>임야</t>
        </is>
      </c>
      <c r="J3633" s="3" t="inlineStr">
        <is>
          <t>강내면</t>
        </is>
      </c>
    </row>
    <row r="3634">
      <c r="A3634" s="3" t="n">
        <v>2025</v>
      </c>
      <c r="B3634" s="4" t="n">
        <v>263703</v>
      </c>
      <c r="C3634" s="4" t="n">
        <v>13126</v>
      </c>
      <c r="D3634" s="4" t="n">
        <v>3970.615</v>
      </c>
      <c r="E3634" s="5" t="n">
        <v>66.40000000000001</v>
      </c>
      <c r="F3634" s="3" t="inlineStr">
        <is>
          <t>강내면</t>
        </is>
      </c>
      <c r="G3634" s="3" t="inlineStr">
        <is>
          <t>궁현리</t>
        </is>
      </c>
      <c r="H3634" s="3" t="inlineStr">
        <is>
          <t>계획관리지역</t>
        </is>
      </c>
      <c r="I3634" s="3" t="inlineStr">
        <is>
          <t>임야</t>
        </is>
      </c>
      <c r="J3634" s="3" t="inlineStr">
        <is>
          <t>강내면</t>
        </is>
      </c>
    </row>
    <row r="3635">
      <c r="A3635" s="3" t="n">
        <v>2025</v>
      </c>
      <c r="B3635" s="4" t="n">
        <v>19820</v>
      </c>
      <c r="C3635" s="4" t="n">
        <v>819</v>
      </c>
      <c r="D3635" s="4" t="n">
        <v>247.7475</v>
      </c>
      <c r="E3635" s="5" t="n">
        <v>80</v>
      </c>
      <c r="F3635" s="3" t="inlineStr">
        <is>
          <t>강내면</t>
        </is>
      </c>
      <c r="G3635" s="3" t="inlineStr">
        <is>
          <t>궁현리</t>
        </is>
      </c>
      <c r="H3635" s="3" t="inlineStr">
        <is>
          <t>계획관리지역</t>
        </is>
      </c>
      <c r="I3635" s="3" t="inlineStr">
        <is>
          <t>임야</t>
        </is>
      </c>
      <c r="J3635" s="3" t="inlineStr">
        <is>
          <t>강내면</t>
        </is>
      </c>
    </row>
    <row r="3636">
      <c r="A3636" s="3" t="n">
        <v>2025</v>
      </c>
      <c r="B3636" s="4" t="n">
        <v>1906</v>
      </c>
      <c r="C3636" s="4" t="n">
        <v>90</v>
      </c>
      <c r="D3636" s="4" t="n">
        <v>27.225</v>
      </c>
      <c r="E3636" s="5" t="n">
        <v>70</v>
      </c>
      <c r="F3636" s="3" t="inlineStr">
        <is>
          <t>강내면</t>
        </is>
      </c>
      <c r="G3636" s="3" t="inlineStr">
        <is>
          <t>궁현리</t>
        </is>
      </c>
      <c r="H3636" s="3" t="inlineStr">
        <is>
          <t>계획관리지역</t>
        </is>
      </c>
      <c r="I3636" s="3" t="inlineStr">
        <is>
          <t>임야</t>
        </is>
      </c>
      <c r="J3636" s="3" t="inlineStr">
        <is>
          <t>강내면</t>
        </is>
      </c>
    </row>
    <row r="3637">
      <c r="A3637" s="3" t="n">
        <v>2025</v>
      </c>
      <c r="B3637" s="4" t="n">
        <v>21562</v>
      </c>
      <c r="C3637" s="4" t="n">
        <v>891</v>
      </c>
      <c r="D3637" s="4" t="n">
        <v>269.5275</v>
      </c>
      <c r="E3637" s="5" t="n">
        <v>80</v>
      </c>
      <c r="F3637" s="3" t="inlineStr">
        <is>
          <t>강내면</t>
        </is>
      </c>
      <c r="G3637" s="3" t="inlineStr">
        <is>
          <t>궁현리</t>
        </is>
      </c>
      <c r="H3637" s="3" t="inlineStr">
        <is>
          <t>계획관리지역</t>
        </is>
      </c>
      <c r="I3637" s="3" t="inlineStr">
        <is>
          <t>전</t>
        </is>
      </c>
      <c r="J3637" s="3" t="inlineStr">
        <is>
          <t>강내면</t>
        </is>
      </c>
    </row>
    <row r="3638">
      <c r="A3638" s="3" t="n">
        <v>2025</v>
      </c>
      <c r="B3638" s="4" t="n">
        <v>17220</v>
      </c>
      <c r="C3638" s="4" t="n">
        <v>877</v>
      </c>
      <c r="D3638" s="4" t="n">
        <v>265.2925</v>
      </c>
      <c r="E3638" s="5" t="n">
        <v>64.90000000000001</v>
      </c>
      <c r="F3638" s="3" t="inlineStr">
        <is>
          <t>강내면</t>
        </is>
      </c>
      <c r="G3638" s="3" t="inlineStr">
        <is>
          <t>사곡리</t>
        </is>
      </c>
      <c r="H3638" s="3" t="inlineStr">
        <is>
          <t>농림지역</t>
        </is>
      </c>
      <c r="I3638" s="3" t="inlineStr">
        <is>
          <t>답</t>
        </is>
      </c>
      <c r="J3638" s="3" t="inlineStr">
        <is>
          <t>강내면</t>
        </is>
      </c>
    </row>
    <row r="3639">
      <c r="A3639" s="3" t="n">
        <v>2025</v>
      </c>
      <c r="B3639" s="4" t="n">
        <v>38000</v>
      </c>
      <c r="C3639" s="4" t="n">
        <v>517</v>
      </c>
      <c r="D3639" s="4" t="n">
        <v>156.3925</v>
      </c>
      <c r="E3639" s="5" t="n">
        <v>243</v>
      </c>
      <c r="F3639" s="3" t="inlineStr">
        <is>
          <t>오송읍</t>
        </is>
      </c>
      <c r="G3639" s="3" t="inlineStr">
        <is>
          <t>궁평리</t>
        </is>
      </c>
      <c r="H3639" s="3" t="inlineStr">
        <is>
          <t>일반상업지역</t>
        </is>
      </c>
      <c r="I3639" s="3" t="inlineStr">
        <is>
          <t>대</t>
        </is>
      </c>
      <c r="J3639" s="3" t="inlineStr">
        <is>
          <t>오송읍</t>
        </is>
      </c>
    </row>
    <row r="3640">
      <c r="A3640" s="3" t="n">
        <v>2026</v>
      </c>
      <c r="B3640" s="4" t="n">
        <v>142697</v>
      </c>
      <c r="C3640" s="4" t="n">
        <v>2005.2</v>
      </c>
      <c r="D3640" s="4" t="n">
        <v>606.573</v>
      </c>
      <c r="E3640" s="5" t="n">
        <v>235.3</v>
      </c>
      <c r="F3640" s="3" t="inlineStr">
        <is>
          <t>집현동</t>
        </is>
      </c>
      <c r="G3640" s="3" t="inlineStr"/>
      <c r="H3640" s="3" t="inlineStr">
        <is>
          <t>준주거지역</t>
        </is>
      </c>
      <c r="I3640" s="3" t="inlineStr">
        <is>
          <t>대</t>
        </is>
      </c>
      <c r="J3640" s="3" t="inlineStr">
        <is>
          <t>집현동</t>
        </is>
      </c>
    </row>
    <row r="3641">
      <c r="A3641" s="3" t="n">
        <v>2025</v>
      </c>
      <c r="B3641" s="4" t="n">
        <v>2596</v>
      </c>
      <c r="C3641" s="4" t="n">
        <v>145</v>
      </c>
      <c r="D3641" s="4" t="n">
        <v>43.8625</v>
      </c>
      <c r="E3641" s="5" t="n">
        <v>59.2</v>
      </c>
      <c r="F3641" s="3" t="inlineStr">
        <is>
          <t>연동면</t>
        </is>
      </c>
      <c r="G3641" s="3" t="inlineStr">
        <is>
          <t>송용리</t>
        </is>
      </c>
      <c r="H3641" s="3" t="inlineStr">
        <is>
          <t>계획관리지역</t>
        </is>
      </c>
      <c r="I3641" s="3" t="inlineStr">
        <is>
          <t>임야</t>
        </is>
      </c>
      <c r="J3641" s="3" t="inlineStr">
        <is>
          <t>연동면</t>
        </is>
      </c>
    </row>
    <row r="3642">
      <c r="A3642" s="3" t="n">
        <v>2025</v>
      </c>
      <c r="B3642" s="4" t="n">
        <v>52651</v>
      </c>
      <c r="C3642" s="4" t="n">
        <v>35026</v>
      </c>
      <c r="D3642" s="4" t="n">
        <v>10595.365</v>
      </c>
      <c r="E3642" s="5" t="n">
        <v>5</v>
      </c>
      <c r="F3642" s="3" t="inlineStr">
        <is>
          <t>연서면</t>
        </is>
      </c>
      <c r="G3642" s="3" t="inlineStr">
        <is>
          <t>쌍류리</t>
        </is>
      </c>
      <c r="H3642" s="3" t="inlineStr">
        <is>
          <t>계획관리지역</t>
        </is>
      </c>
      <c r="I3642" s="3" t="inlineStr">
        <is>
          <t>임야</t>
        </is>
      </c>
      <c r="J3642" s="3" t="inlineStr">
        <is>
          <t>연서면</t>
        </is>
      </c>
    </row>
    <row r="3643">
      <c r="A3643" s="3" t="n">
        <v>2025</v>
      </c>
      <c r="B3643" s="4" t="n">
        <v>30500</v>
      </c>
      <c r="C3643" s="4" t="n">
        <v>11163</v>
      </c>
      <c r="D3643" s="4" t="n">
        <v>3376.8075</v>
      </c>
      <c r="E3643" s="5" t="n">
        <v>9</v>
      </c>
      <c r="F3643" s="3" t="inlineStr">
        <is>
          <t>연서면</t>
        </is>
      </c>
      <c r="G3643" s="3" t="inlineStr">
        <is>
          <t>기룡리</t>
        </is>
      </c>
      <c r="H3643" s="3" t="inlineStr">
        <is>
          <t>생산관리지역</t>
        </is>
      </c>
      <c r="I3643" s="3" t="inlineStr">
        <is>
          <t>임야</t>
        </is>
      </c>
      <c r="J3643" s="3" t="inlineStr">
        <is>
          <t>연서면</t>
        </is>
      </c>
    </row>
    <row r="3644">
      <c r="A3644" s="3" t="n">
        <v>2024</v>
      </c>
      <c r="B3644" s="4" t="n">
        <v>46500</v>
      </c>
      <c r="C3644" s="4" t="n">
        <v>329.9</v>
      </c>
      <c r="D3644" s="4" t="n">
        <v>99.79474999999999</v>
      </c>
      <c r="E3644" s="5" t="n">
        <v>466</v>
      </c>
      <c r="F3644" s="3" t="inlineStr">
        <is>
          <t>고운동</t>
        </is>
      </c>
      <c r="G3644" s="3" t="inlineStr"/>
      <c r="H3644" s="3" t="inlineStr">
        <is>
          <t>제1종전용주거지역</t>
        </is>
      </c>
      <c r="I3644" s="3" t="inlineStr">
        <is>
          <t>대</t>
        </is>
      </c>
      <c r="J3644" s="3" t="inlineStr">
        <is>
          <t>고운동</t>
        </is>
      </c>
    </row>
    <row r="3645">
      <c r="A3645" s="3" t="n">
        <v>2025</v>
      </c>
      <c r="B3645" s="4" t="n">
        <v>5200</v>
      </c>
      <c r="C3645" s="4" t="n">
        <v>73</v>
      </c>
      <c r="D3645" s="4" t="n">
        <v>22.0825</v>
      </c>
      <c r="E3645" s="5" t="n">
        <v>235.5</v>
      </c>
      <c r="F3645" s="3" t="inlineStr">
        <is>
          <t>남이면</t>
        </is>
      </c>
      <c r="G3645" s="3" t="inlineStr">
        <is>
          <t>외천리</t>
        </is>
      </c>
      <c r="H3645" s="3" t="inlineStr">
        <is>
          <t>계획관리지역</t>
        </is>
      </c>
      <c r="I3645" s="3" t="inlineStr">
        <is>
          <t>도로</t>
        </is>
      </c>
      <c r="J3645" s="3" t="inlineStr">
        <is>
          <t>남이면</t>
        </is>
      </c>
    </row>
    <row r="3646">
      <c r="A3646" s="3" t="n">
        <v>2025</v>
      </c>
      <c r="B3646" s="4" t="n">
        <v>19000</v>
      </c>
      <c r="C3646" s="4" t="n">
        <v>918</v>
      </c>
      <c r="D3646" s="4" t="n">
        <v>277.695</v>
      </c>
      <c r="E3646" s="5" t="n">
        <v>68.40000000000001</v>
      </c>
      <c r="F3646" s="3" t="inlineStr">
        <is>
          <t>남이면</t>
        </is>
      </c>
      <c r="G3646" s="3" t="inlineStr">
        <is>
          <t>가좌리</t>
        </is>
      </c>
      <c r="H3646" s="3" t="inlineStr">
        <is>
          <t>자연녹지지역</t>
        </is>
      </c>
      <c r="I3646" s="3" t="inlineStr">
        <is>
          <t>전</t>
        </is>
      </c>
      <c r="J3646" s="3" t="inlineStr">
        <is>
          <t>남이면</t>
        </is>
      </c>
    </row>
    <row r="3647">
      <c r="A3647" s="3" t="n">
        <v>2025</v>
      </c>
      <c r="B3647" s="4" t="n">
        <v>105000</v>
      </c>
      <c r="C3647" s="4" t="n">
        <v>4911</v>
      </c>
      <c r="D3647" s="4" t="n">
        <v>1485.5775</v>
      </c>
      <c r="E3647" s="5" t="n">
        <v>70.7</v>
      </c>
      <c r="F3647" s="3" t="inlineStr">
        <is>
          <t>남이면</t>
        </is>
      </c>
      <c r="G3647" s="3" t="inlineStr">
        <is>
          <t>가좌리</t>
        </is>
      </c>
      <c r="H3647" s="3" t="inlineStr">
        <is>
          <t>자연녹지지역</t>
        </is>
      </c>
      <c r="I3647" s="3" t="inlineStr">
        <is>
          <t>답</t>
        </is>
      </c>
      <c r="J3647" s="3" t="inlineStr">
        <is>
          <t>남이면</t>
        </is>
      </c>
    </row>
    <row r="3648">
      <c r="A3648" s="3" t="n">
        <v>2025</v>
      </c>
      <c r="B3648" s="4" t="n">
        <v>6000</v>
      </c>
      <c r="C3648" s="4" t="n">
        <v>205</v>
      </c>
      <c r="D3648" s="4" t="n">
        <v>62.0125</v>
      </c>
      <c r="E3648" s="5" t="n">
        <v>96.8</v>
      </c>
      <c r="F3648" s="3" t="inlineStr">
        <is>
          <t>남이면</t>
        </is>
      </c>
      <c r="G3648" s="3" t="inlineStr">
        <is>
          <t>부용외천리</t>
        </is>
      </c>
      <c r="H3648" s="3" t="inlineStr">
        <is>
          <t>계획관리지역</t>
        </is>
      </c>
      <c r="I3648" s="3" t="inlineStr">
        <is>
          <t>대</t>
        </is>
      </c>
      <c r="J3648" s="3" t="inlineStr">
        <is>
          <t>남이면</t>
        </is>
      </c>
    </row>
    <row r="3649">
      <c r="A3649" s="3" t="n">
        <v>2025</v>
      </c>
      <c r="B3649" s="4" t="n">
        <v>50000</v>
      </c>
      <c r="C3649" s="4" t="n">
        <v>2412</v>
      </c>
      <c r="D3649" s="4" t="n">
        <v>729.63</v>
      </c>
      <c r="E3649" s="5" t="n">
        <v>68.5</v>
      </c>
      <c r="F3649" s="3" t="inlineStr">
        <is>
          <t>남이면</t>
        </is>
      </c>
      <c r="G3649" s="3" t="inlineStr">
        <is>
          <t>척산리</t>
        </is>
      </c>
      <c r="H3649" s="3" t="inlineStr">
        <is>
          <t>농림지역</t>
        </is>
      </c>
      <c r="I3649" s="3" t="inlineStr">
        <is>
          <t>답</t>
        </is>
      </c>
      <c r="J3649" s="3" t="inlineStr">
        <is>
          <t>남이면</t>
        </is>
      </c>
    </row>
    <row r="3650">
      <c r="A3650" s="3" t="n">
        <v>2025</v>
      </c>
      <c r="B3650" s="4" t="n">
        <v>34123</v>
      </c>
      <c r="C3650" s="4" t="n">
        <v>531</v>
      </c>
      <c r="D3650" s="4" t="n">
        <v>160.6275</v>
      </c>
      <c r="E3650" s="5" t="n">
        <v>212.4</v>
      </c>
      <c r="F3650" s="3" t="inlineStr">
        <is>
          <t>남이면</t>
        </is>
      </c>
      <c r="G3650" s="3" t="inlineStr">
        <is>
          <t>가마리</t>
        </is>
      </c>
      <c r="H3650" s="3" t="inlineStr">
        <is>
          <t>자연녹지지역</t>
        </is>
      </c>
      <c r="I3650" s="3" t="inlineStr">
        <is>
          <t>대</t>
        </is>
      </c>
      <c r="J3650" s="3" t="inlineStr">
        <is>
          <t>남이면</t>
        </is>
      </c>
    </row>
    <row r="3651">
      <c r="A3651" s="3" t="n">
        <v>2025</v>
      </c>
      <c r="B3651" s="4" t="n">
        <v>4563</v>
      </c>
      <c r="C3651" s="4" t="n">
        <v>71</v>
      </c>
      <c r="D3651" s="4" t="n">
        <v>21.4775</v>
      </c>
      <c r="E3651" s="5" t="n">
        <v>212.5</v>
      </c>
      <c r="F3651" s="3" t="inlineStr">
        <is>
          <t>남이면</t>
        </is>
      </c>
      <c r="G3651" s="3" t="inlineStr">
        <is>
          <t>가마리</t>
        </is>
      </c>
      <c r="H3651" s="3" t="inlineStr">
        <is>
          <t>자연녹지지역</t>
        </is>
      </c>
      <c r="I3651" s="3" t="inlineStr">
        <is>
          <t>전</t>
        </is>
      </c>
      <c r="J3651" s="3" t="inlineStr">
        <is>
          <t>남이면</t>
        </is>
      </c>
    </row>
    <row r="3652">
      <c r="A3652" s="3" t="n">
        <v>2025</v>
      </c>
      <c r="B3652" s="4" t="n">
        <v>18315</v>
      </c>
      <c r="C3652" s="4" t="n">
        <v>285</v>
      </c>
      <c r="D3652" s="4" t="n">
        <v>86.21249999999999</v>
      </c>
      <c r="E3652" s="5" t="n">
        <v>212.4</v>
      </c>
      <c r="F3652" s="3" t="inlineStr">
        <is>
          <t>남이면</t>
        </is>
      </c>
      <c r="G3652" s="3" t="inlineStr">
        <is>
          <t>가마리</t>
        </is>
      </c>
      <c r="H3652" s="3" t="inlineStr">
        <is>
          <t>자연녹지지역</t>
        </is>
      </c>
      <c r="I3652" s="3" t="inlineStr">
        <is>
          <t>전</t>
        </is>
      </c>
      <c r="J3652" s="3" t="inlineStr">
        <is>
          <t>남이면</t>
        </is>
      </c>
    </row>
    <row r="3653">
      <c r="A3653" s="3" t="n">
        <v>2025</v>
      </c>
      <c r="B3653" s="4" t="n">
        <v>917</v>
      </c>
      <c r="C3653" s="4" t="n">
        <v>25</v>
      </c>
      <c r="D3653" s="4" t="n">
        <v>7.5625</v>
      </c>
      <c r="E3653" s="5" t="n">
        <v>121.3</v>
      </c>
      <c r="F3653" s="3" t="inlineStr">
        <is>
          <t>남이면</t>
        </is>
      </c>
      <c r="G3653" s="3" t="inlineStr">
        <is>
          <t>가마리</t>
        </is>
      </c>
      <c r="H3653" s="3" t="inlineStr">
        <is>
          <t>자연녹지지역</t>
        </is>
      </c>
      <c r="I3653" s="3" t="inlineStr">
        <is>
          <t>도로</t>
        </is>
      </c>
      <c r="J3653" s="3" t="inlineStr">
        <is>
          <t>남이면</t>
        </is>
      </c>
    </row>
    <row r="3654">
      <c r="A3654" s="3" t="n">
        <v>2025</v>
      </c>
      <c r="B3654" s="4" t="n">
        <v>38040</v>
      </c>
      <c r="C3654" s="4" t="n">
        <v>4470</v>
      </c>
      <c r="D3654" s="4" t="n">
        <v>1352.175</v>
      </c>
      <c r="E3654" s="5" t="n">
        <v>28.1</v>
      </c>
      <c r="F3654" s="3" t="inlineStr">
        <is>
          <t>남이면</t>
        </is>
      </c>
      <c r="G3654" s="3" t="inlineStr">
        <is>
          <t>구미리</t>
        </is>
      </c>
      <c r="H3654" s="3" t="inlineStr">
        <is>
          <t>계획관리지역</t>
        </is>
      </c>
      <c r="I3654" s="3" t="inlineStr">
        <is>
          <t>임야</t>
        </is>
      </c>
      <c r="J3654" s="3" t="inlineStr">
        <is>
          <t>남이면</t>
        </is>
      </c>
    </row>
    <row r="3655">
      <c r="A3655" s="3" t="n">
        <v>2025</v>
      </c>
      <c r="B3655" s="4" t="n">
        <v>60</v>
      </c>
      <c r="C3655" s="4" t="n">
        <v>7</v>
      </c>
      <c r="D3655" s="4" t="n">
        <v>2.1175</v>
      </c>
      <c r="E3655" s="5" t="n">
        <v>28.3</v>
      </c>
      <c r="F3655" s="3" t="inlineStr">
        <is>
          <t>남이면</t>
        </is>
      </c>
      <c r="G3655" s="3" t="inlineStr">
        <is>
          <t>구미리</t>
        </is>
      </c>
      <c r="H3655" s="3" t="inlineStr">
        <is>
          <t>계획관리지역</t>
        </is>
      </c>
      <c r="I3655" s="3" t="inlineStr">
        <is>
          <t>임야</t>
        </is>
      </c>
      <c r="J3655" s="3" t="inlineStr">
        <is>
          <t>남이면</t>
        </is>
      </c>
    </row>
    <row r="3656">
      <c r="A3656" s="3" t="n">
        <v>2025</v>
      </c>
      <c r="B3656" s="4" t="n">
        <v>8600</v>
      </c>
      <c r="C3656" s="4" t="n">
        <v>216.9</v>
      </c>
      <c r="D3656" s="4" t="n">
        <v>65.61225</v>
      </c>
      <c r="E3656" s="5" t="n">
        <v>131.1</v>
      </c>
      <c r="F3656" s="3" t="inlineStr">
        <is>
          <t>남이면</t>
        </is>
      </c>
      <c r="G3656" s="3" t="inlineStr">
        <is>
          <t>가좌리</t>
        </is>
      </c>
      <c r="H3656" s="3" t="inlineStr">
        <is>
          <t>자연녹지지역</t>
        </is>
      </c>
      <c r="I3656" s="3" t="inlineStr">
        <is>
          <t>임야</t>
        </is>
      </c>
      <c r="J3656" s="3" t="inlineStr">
        <is>
          <t>남이면</t>
        </is>
      </c>
    </row>
    <row r="3657">
      <c r="A3657" s="3" t="n">
        <v>2025</v>
      </c>
      <c r="B3657" s="4" t="n">
        <v>11700</v>
      </c>
      <c r="C3657" s="4" t="n">
        <v>296</v>
      </c>
      <c r="D3657" s="4" t="n">
        <v>89.53999999999999</v>
      </c>
      <c r="E3657" s="5" t="n">
        <v>130.7</v>
      </c>
      <c r="F3657" s="3" t="inlineStr">
        <is>
          <t>남이면</t>
        </is>
      </c>
      <c r="G3657" s="3" t="inlineStr">
        <is>
          <t>가좌리</t>
        </is>
      </c>
      <c r="H3657" s="3" t="inlineStr">
        <is>
          <t>자연녹지지역</t>
        </is>
      </c>
      <c r="I3657" s="3" t="inlineStr">
        <is>
          <t>임야</t>
        </is>
      </c>
      <c r="J3657" s="3" t="inlineStr">
        <is>
          <t>남이면</t>
        </is>
      </c>
    </row>
    <row r="3658">
      <c r="A3658" s="3" t="n">
        <v>2025</v>
      </c>
      <c r="B3658" s="4" t="n">
        <v>12200</v>
      </c>
      <c r="C3658" s="4" t="n">
        <v>313.5</v>
      </c>
      <c r="D3658" s="4" t="n">
        <v>94.83374999999999</v>
      </c>
      <c r="E3658" s="5" t="n">
        <v>128.6</v>
      </c>
      <c r="F3658" s="3" t="inlineStr">
        <is>
          <t>남이면</t>
        </is>
      </c>
      <c r="G3658" s="3" t="inlineStr">
        <is>
          <t>가좌리</t>
        </is>
      </c>
      <c r="H3658" s="3" t="inlineStr">
        <is>
          <t>자연녹지지역</t>
        </is>
      </c>
      <c r="I3658" s="3" t="inlineStr">
        <is>
          <t>임야</t>
        </is>
      </c>
      <c r="J3658" s="3" t="inlineStr">
        <is>
          <t>남이면</t>
        </is>
      </c>
    </row>
    <row r="3659">
      <c r="A3659" s="3" t="n">
        <v>2025</v>
      </c>
      <c r="B3659" s="4" t="n">
        <v>8294</v>
      </c>
      <c r="C3659" s="4" t="n">
        <v>119</v>
      </c>
      <c r="D3659" s="4" t="n">
        <v>35.9975</v>
      </c>
      <c r="E3659" s="5" t="n">
        <v>230.4</v>
      </c>
      <c r="F3659" s="3" t="inlineStr">
        <is>
          <t>남이면</t>
        </is>
      </c>
      <c r="G3659" s="3" t="inlineStr">
        <is>
          <t>외천리</t>
        </is>
      </c>
      <c r="H3659" s="3" t="inlineStr">
        <is>
          <t>계획관리지역</t>
        </is>
      </c>
      <c r="I3659" s="3" t="inlineStr">
        <is>
          <t>구거</t>
        </is>
      </c>
      <c r="J3659" s="3" t="inlineStr">
        <is>
          <t>남이면</t>
        </is>
      </c>
    </row>
    <row r="3660">
      <c r="A3660" s="3" t="n">
        <v>2025</v>
      </c>
      <c r="B3660" s="4" t="n">
        <v>53768</v>
      </c>
      <c r="C3660" s="4" t="n">
        <v>999.7</v>
      </c>
      <c r="D3660" s="4" t="n">
        <v>302.40925</v>
      </c>
      <c r="E3660" s="5" t="n">
        <v>177.8</v>
      </c>
      <c r="F3660" s="3" t="inlineStr">
        <is>
          <t>남이면</t>
        </is>
      </c>
      <c r="G3660" s="3" t="inlineStr">
        <is>
          <t>석판리</t>
        </is>
      </c>
      <c r="H3660" s="3" t="inlineStr">
        <is>
          <t>자연녹지지역</t>
        </is>
      </c>
      <c r="I3660" s="3" t="inlineStr">
        <is>
          <t>답</t>
        </is>
      </c>
      <c r="J3660" s="3" t="inlineStr">
        <is>
          <t>남이면</t>
        </is>
      </c>
    </row>
    <row r="3661">
      <c r="A3661" s="3" t="n">
        <v>2025</v>
      </c>
      <c r="B3661" s="4" t="n">
        <v>232</v>
      </c>
      <c r="C3661" s="4" t="n">
        <v>4.3</v>
      </c>
      <c r="D3661" s="4" t="n">
        <v>1.30075</v>
      </c>
      <c r="E3661" s="5" t="n">
        <v>178.4</v>
      </c>
      <c r="F3661" s="3" t="inlineStr">
        <is>
          <t>남이면</t>
        </is>
      </c>
      <c r="G3661" s="3" t="inlineStr">
        <is>
          <t>석판리</t>
        </is>
      </c>
      <c r="H3661" s="3" t="inlineStr">
        <is>
          <t>자연녹지지역</t>
        </is>
      </c>
      <c r="I3661" s="3" t="inlineStr">
        <is>
          <t>답</t>
        </is>
      </c>
      <c r="J3661" s="3" t="inlineStr">
        <is>
          <t>남이면</t>
        </is>
      </c>
    </row>
    <row r="3662">
      <c r="A3662" s="3" t="n">
        <v>2025</v>
      </c>
      <c r="B3662" s="4" t="n">
        <v>26517</v>
      </c>
      <c r="C3662" s="4" t="n">
        <v>3652</v>
      </c>
      <c r="D3662" s="4" t="n">
        <v>1104.73</v>
      </c>
      <c r="E3662" s="5" t="n">
        <v>24</v>
      </c>
      <c r="F3662" s="3" t="inlineStr">
        <is>
          <t>남이면</t>
        </is>
      </c>
      <c r="G3662" s="3" t="inlineStr">
        <is>
          <t>구암리</t>
        </is>
      </c>
      <c r="H3662" s="3" t="inlineStr">
        <is>
          <t>보전녹지지역</t>
        </is>
      </c>
      <c r="I3662" s="3" t="inlineStr">
        <is>
          <t>임야</t>
        </is>
      </c>
      <c r="J3662" s="3" t="inlineStr">
        <is>
          <t>남이면</t>
        </is>
      </c>
    </row>
    <row r="3663">
      <c r="A3663" s="3" t="n">
        <v>2025</v>
      </c>
      <c r="B3663" s="4" t="n">
        <v>26571</v>
      </c>
      <c r="C3663" s="4" t="n">
        <v>365</v>
      </c>
      <c r="D3663" s="4" t="n">
        <v>110.4125</v>
      </c>
      <c r="E3663" s="5" t="n">
        <v>240.7</v>
      </c>
      <c r="F3663" s="3" t="inlineStr">
        <is>
          <t>남이면</t>
        </is>
      </c>
      <c r="G3663" s="3" t="inlineStr">
        <is>
          <t>부용외천리</t>
        </is>
      </c>
      <c r="H3663" s="3" t="inlineStr">
        <is>
          <t>계획관리지역</t>
        </is>
      </c>
      <c r="I3663" s="3" t="inlineStr">
        <is>
          <t>창고용지</t>
        </is>
      </c>
      <c r="J3663" s="3" t="inlineStr">
        <is>
          <t>남이면</t>
        </is>
      </c>
    </row>
    <row r="3664">
      <c r="A3664" s="3" t="n">
        <v>2025</v>
      </c>
      <c r="B3664" s="4" t="n">
        <v>11973</v>
      </c>
      <c r="C3664" s="4" t="n">
        <v>173</v>
      </c>
      <c r="D3664" s="4" t="n">
        <v>52.3325</v>
      </c>
      <c r="E3664" s="5" t="n">
        <v>228.8</v>
      </c>
      <c r="F3664" s="3" t="inlineStr">
        <is>
          <t>남이면</t>
        </is>
      </c>
      <c r="G3664" s="3" t="inlineStr">
        <is>
          <t>부용외천리</t>
        </is>
      </c>
      <c r="H3664" s="3" t="inlineStr">
        <is>
          <t>계획관리지역</t>
        </is>
      </c>
      <c r="I3664" s="3" t="inlineStr">
        <is>
          <t>창고용지</t>
        </is>
      </c>
      <c r="J3664" s="3" t="inlineStr">
        <is>
          <t>남이면</t>
        </is>
      </c>
    </row>
    <row r="3665">
      <c r="A3665" s="3" t="n">
        <v>2025</v>
      </c>
      <c r="B3665" s="4" t="n">
        <v>26960</v>
      </c>
      <c r="C3665" s="4" t="n">
        <v>1371</v>
      </c>
      <c r="D3665" s="4" t="n">
        <v>414.7275</v>
      </c>
      <c r="E3665" s="5" t="n">
        <v>65</v>
      </c>
      <c r="F3665" s="3" t="inlineStr">
        <is>
          <t>남이면</t>
        </is>
      </c>
      <c r="G3665" s="3" t="inlineStr">
        <is>
          <t>가좌리</t>
        </is>
      </c>
      <c r="H3665" s="3" t="inlineStr">
        <is>
          <t>자연녹지지역</t>
        </is>
      </c>
      <c r="I3665" s="3" t="inlineStr">
        <is>
          <t>답</t>
        </is>
      </c>
      <c r="J3665" s="3" t="inlineStr">
        <is>
          <t>남이면</t>
        </is>
      </c>
    </row>
    <row r="3666">
      <c r="A3666" s="3" t="n">
        <v>2026</v>
      </c>
      <c r="B3666" s="4" t="n">
        <v>48962</v>
      </c>
      <c r="C3666" s="4" t="n">
        <v>9534</v>
      </c>
      <c r="D3666" s="4" t="n">
        <v>2884.035</v>
      </c>
      <c r="E3666" s="5" t="n">
        <v>17</v>
      </c>
      <c r="F3666" s="3" t="inlineStr">
        <is>
          <t>남이면</t>
        </is>
      </c>
      <c r="G3666" s="3" t="inlineStr">
        <is>
          <t>척산리</t>
        </is>
      </c>
      <c r="H3666" s="3" t="inlineStr">
        <is>
          <t>계획관리지역</t>
        </is>
      </c>
      <c r="I3666" s="3" t="inlineStr">
        <is>
          <t>임야</t>
        </is>
      </c>
      <c r="J3666" s="3" t="inlineStr">
        <is>
          <t>남이면</t>
        </is>
      </c>
    </row>
    <row r="3667">
      <c r="A3667" s="3" t="n">
        <v>2026</v>
      </c>
      <c r="B3667" s="4" t="n">
        <v>10138</v>
      </c>
      <c r="C3667" s="4" t="n">
        <v>1974</v>
      </c>
      <c r="D3667" s="4" t="n">
        <v>597.135</v>
      </c>
      <c r="E3667" s="5" t="n">
        <v>17</v>
      </c>
      <c r="F3667" s="3" t="inlineStr">
        <is>
          <t>남이면</t>
        </is>
      </c>
      <c r="G3667" s="3" t="inlineStr">
        <is>
          <t>척산리</t>
        </is>
      </c>
      <c r="H3667" s="3" t="inlineStr">
        <is>
          <t>계획관리지역</t>
        </is>
      </c>
      <c r="I3667" s="3" t="inlineStr">
        <is>
          <t>임야</t>
        </is>
      </c>
      <c r="J3667" s="3" t="inlineStr">
        <is>
          <t>남이면</t>
        </is>
      </c>
    </row>
    <row r="3668">
      <c r="A3668" s="3" t="n">
        <v>2026</v>
      </c>
      <c r="B3668" s="4" t="n">
        <v>53000</v>
      </c>
      <c r="C3668" s="4" t="n">
        <v>563</v>
      </c>
      <c r="D3668" s="4" t="n">
        <v>170.3075</v>
      </c>
      <c r="E3668" s="5" t="n">
        <v>311.2</v>
      </c>
      <c r="F3668" s="3" t="inlineStr">
        <is>
          <t>남이면</t>
        </is>
      </c>
      <c r="G3668" s="3" t="inlineStr">
        <is>
          <t>양촌리</t>
        </is>
      </c>
      <c r="H3668" s="3" t="inlineStr">
        <is>
          <t>자연녹지지역</t>
        </is>
      </c>
      <c r="I3668" s="3" t="inlineStr">
        <is>
          <t>대</t>
        </is>
      </c>
      <c r="J3668" s="3" t="inlineStr">
        <is>
          <t>남이면</t>
        </is>
      </c>
    </row>
    <row r="3669">
      <c r="A3669" s="3" t="n">
        <v>2026</v>
      </c>
      <c r="B3669" s="4" t="n">
        <v>6600</v>
      </c>
      <c r="C3669" s="4" t="n">
        <v>648</v>
      </c>
      <c r="D3669" s="4" t="n">
        <v>196.02</v>
      </c>
      <c r="E3669" s="5" t="n">
        <v>33.7</v>
      </c>
      <c r="F3669" s="3" t="inlineStr">
        <is>
          <t>남이면</t>
        </is>
      </c>
      <c r="G3669" s="3" t="inlineStr">
        <is>
          <t>부용외천리</t>
        </is>
      </c>
      <c r="H3669" s="3" t="inlineStr">
        <is>
          <t>자연녹지지역</t>
        </is>
      </c>
      <c r="I3669" s="3" t="inlineStr">
        <is>
          <t>잡종지</t>
        </is>
      </c>
      <c r="J3669" s="3" t="inlineStr">
        <is>
          <t>남이면</t>
        </is>
      </c>
    </row>
    <row r="3670">
      <c r="A3670" s="3" t="n">
        <v>2026</v>
      </c>
      <c r="B3670" s="4" t="n">
        <v>6700</v>
      </c>
      <c r="C3670" s="4" t="n">
        <v>833</v>
      </c>
      <c r="D3670" s="4" t="n">
        <v>251.9825</v>
      </c>
      <c r="E3670" s="5" t="n">
        <v>26.6</v>
      </c>
      <c r="F3670" s="3" t="inlineStr">
        <is>
          <t>남이면</t>
        </is>
      </c>
      <c r="G3670" s="3" t="inlineStr">
        <is>
          <t>부용외천리</t>
        </is>
      </c>
      <c r="H3670" s="3" t="inlineStr">
        <is>
          <t>자연녹지지역</t>
        </is>
      </c>
      <c r="I3670" s="3" t="inlineStr">
        <is>
          <t>잡종지</t>
        </is>
      </c>
      <c r="J3670" s="3" t="inlineStr">
        <is>
          <t>남이면</t>
        </is>
      </c>
    </row>
    <row r="3671">
      <c r="A3671" s="3" t="n">
        <v>2026</v>
      </c>
      <c r="B3671" s="4" t="n">
        <v>5800</v>
      </c>
      <c r="C3671" s="4" t="n">
        <v>587</v>
      </c>
      <c r="D3671" s="4" t="n">
        <v>177.5675</v>
      </c>
      <c r="E3671" s="5" t="n">
        <v>32.7</v>
      </c>
      <c r="F3671" s="3" t="inlineStr">
        <is>
          <t>남이면</t>
        </is>
      </c>
      <c r="G3671" s="3" t="inlineStr">
        <is>
          <t>부용외천리</t>
        </is>
      </c>
      <c r="H3671" s="3" t="inlineStr">
        <is>
          <t>자연녹지지역</t>
        </is>
      </c>
      <c r="I3671" s="3" t="inlineStr">
        <is>
          <t>잡종지</t>
        </is>
      </c>
      <c r="J3671" s="3" t="inlineStr">
        <is>
          <t>남이면</t>
        </is>
      </c>
    </row>
    <row r="3672">
      <c r="A3672" s="3" t="n">
        <v>2026</v>
      </c>
      <c r="B3672" s="4" t="n">
        <v>5500</v>
      </c>
      <c r="C3672" s="4" t="n">
        <v>557</v>
      </c>
      <c r="D3672" s="4" t="n">
        <v>168.4925</v>
      </c>
      <c r="E3672" s="5" t="n">
        <v>32.6</v>
      </c>
      <c r="F3672" s="3" t="inlineStr">
        <is>
          <t>남이면</t>
        </is>
      </c>
      <c r="G3672" s="3" t="inlineStr">
        <is>
          <t>부용외천리</t>
        </is>
      </c>
      <c r="H3672" s="3" t="inlineStr">
        <is>
          <t>자연녹지지역</t>
        </is>
      </c>
      <c r="I3672" s="3" t="inlineStr">
        <is>
          <t>잡종지</t>
        </is>
      </c>
      <c r="J3672" s="3" t="inlineStr">
        <is>
          <t>남이면</t>
        </is>
      </c>
    </row>
    <row r="3673">
      <c r="A3673" s="3" t="n">
        <v>2026</v>
      </c>
      <c r="B3673" s="4" t="n">
        <v>5900</v>
      </c>
      <c r="C3673" s="4" t="n">
        <v>584</v>
      </c>
      <c r="D3673" s="4" t="n">
        <v>176.66</v>
      </c>
      <c r="E3673" s="5" t="n">
        <v>33.4</v>
      </c>
      <c r="F3673" s="3" t="inlineStr">
        <is>
          <t>남이면</t>
        </is>
      </c>
      <c r="G3673" s="3" t="inlineStr">
        <is>
          <t>부용외천리</t>
        </is>
      </c>
      <c r="H3673" s="3" t="inlineStr">
        <is>
          <t>자연녹지지역</t>
        </is>
      </c>
      <c r="I3673" s="3" t="inlineStr">
        <is>
          <t>잡종지</t>
        </is>
      </c>
      <c r="J3673" s="3" t="inlineStr">
        <is>
          <t>남이면</t>
        </is>
      </c>
    </row>
    <row r="3674">
      <c r="A3674" s="3" t="n">
        <v>2026</v>
      </c>
      <c r="B3674" s="4" t="n">
        <v>3000</v>
      </c>
      <c r="C3674" s="4" t="n">
        <v>398</v>
      </c>
      <c r="D3674" s="4" t="n">
        <v>120.395</v>
      </c>
      <c r="E3674" s="5" t="n">
        <v>24.9</v>
      </c>
      <c r="F3674" s="3" t="inlineStr">
        <is>
          <t>남이면</t>
        </is>
      </c>
      <c r="G3674" s="3" t="inlineStr">
        <is>
          <t>부용외천리</t>
        </is>
      </c>
      <c r="H3674" s="3" t="inlineStr">
        <is>
          <t>자연녹지지역</t>
        </is>
      </c>
      <c r="I3674" s="3" t="inlineStr">
        <is>
          <t>잡종지</t>
        </is>
      </c>
      <c r="J3674" s="3" t="inlineStr">
        <is>
          <t>남이면</t>
        </is>
      </c>
    </row>
    <row r="3675">
      <c r="A3675" s="3" t="n">
        <v>2026</v>
      </c>
      <c r="B3675" s="4" t="n">
        <v>23590</v>
      </c>
      <c r="C3675" s="4" t="n">
        <v>498</v>
      </c>
      <c r="D3675" s="4" t="n">
        <v>150.645</v>
      </c>
      <c r="E3675" s="5" t="n">
        <v>156.6</v>
      </c>
      <c r="F3675" s="3" t="inlineStr">
        <is>
          <t>남이면</t>
        </is>
      </c>
      <c r="G3675" s="3" t="inlineStr">
        <is>
          <t>석판리</t>
        </is>
      </c>
      <c r="H3675" s="3" t="inlineStr">
        <is>
          <t>자연녹지지역</t>
        </is>
      </c>
      <c r="I3675" s="3" t="inlineStr">
        <is>
          <t>임야</t>
        </is>
      </c>
      <c r="J3675" s="3" t="inlineStr">
        <is>
          <t>남이면</t>
        </is>
      </c>
    </row>
    <row r="3676">
      <c r="A3676" s="3" t="n">
        <v>2026</v>
      </c>
      <c r="B3676" s="4" t="n">
        <v>6000</v>
      </c>
      <c r="C3676" s="4" t="n">
        <v>248</v>
      </c>
      <c r="D3676" s="4" t="n">
        <v>75.02</v>
      </c>
      <c r="E3676" s="5" t="n">
        <v>80</v>
      </c>
      <c r="F3676" s="3" t="inlineStr">
        <is>
          <t>남이면</t>
        </is>
      </c>
      <c r="G3676" s="3" t="inlineStr">
        <is>
          <t>척산리</t>
        </is>
      </c>
      <c r="H3676" s="3" t="inlineStr">
        <is>
          <t>계획관리지역</t>
        </is>
      </c>
      <c r="I3676" s="3" t="inlineStr">
        <is>
          <t>전</t>
        </is>
      </c>
      <c r="J3676" s="3" t="inlineStr">
        <is>
          <t>남이면</t>
        </is>
      </c>
    </row>
    <row r="3677">
      <c r="A3677" s="3" t="n">
        <v>2026</v>
      </c>
      <c r="B3677" s="4" t="n">
        <v>200</v>
      </c>
      <c r="C3677" s="4" t="n">
        <v>13</v>
      </c>
      <c r="D3677" s="4" t="n">
        <v>3.9325</v>
      </c>
      <c r="E3677" s="5" t="n">
        <v>50.9</v>
      </c>
      <c r="F3677" s="3" t="inlineStr">
        <is>
          <t>남이면</t>
        </is>
      </c>
      <c r="G3677" s="3" t="inlineStr">
        <is>
          <t>구미리</t>
        </is>
      </c>
      <c r="H3677" s="3" t="inlineStr">
        <is>
          <t>농림지역</t>
        </is>
      </c>
      <c r="I3677" s="3" t="inlineStr">
        <is>
          <t>답</t>
        </is>
      </c>
      <c r="J3677" s="3" t="inlineStr">
        <is>
          <t>남이면</t>
        </is>
      </c>
    </row>
    <row r="3678">
      <c r="A3678" s="3" t="n">
        <v>2026</v>
      </c>
      <c r="B3678" s="4" t="n">
        <v>107694</v>
      </c>
      <c r="C3678" s="4" t="n">
        <v>730</v>
      </c>
      <c r="D3678" s="4" t="n">
        <v>220.825</v>
      </c>
      <c r="E3678" s="5" t="n">
        <v>487.7</v>
      </c>
      <c r="F3678" s="3" t="inlineStr">
        <is>
          <t>남이면</t>
        </is>
      </c>
      <c r="G3678" s="3" t="inlineStr">
        <is>
          <t>양촌리</t>
        </is>
      </c>
      <c r="H3678" s="3" t="inlineStr">
        <is>
          <t>자연녹지지역</t>
        </is>
      </c>
      <c r="I3678" s="3" t="inlineStr">
        <is>
          <t>대</t>
        </is>
      </c>
      <c r="J3678" s="3" t="inlineStr">
        <is>
          <t>남이면</t>
        </is>
      </c>
    </row>
    <row r="3679">
      <c r="A3679" s="3" t="n">
        <v>2026</v>
      </c>
      <c r="B3679" s="4" t="n">
        <v>244</v>
      </c>
      <c r="C3679" s="4" t="n">
        <v>28</v>
      </c>
      <c r="D3679" s="4" t="n">
        <v>8.469999999999999</v>
      </c>
      <c r="E3679" s="5" t="n">
        <v>28.8</v>
      </c>
      <c r="F3679" s="3" t="inlineStr">
        <is>
          <t>남이면</t>
        </is>
      </c>
      <c r="G3679" s="3" t="inlineStr">
        <is>
          <t>양촌리</t>
        </is>
      </c>
      <c r="H3679" s="3" t="inlineStr">
        <is>
          <t>자연녹지지역</t>
        </is>
      </c>
      <c r="I3679" s="3" t="inlineStr">
        <is>
          <t>도로</t>
        </is>
      </c>
      <c r="J3679" s="3" t="inlineStr">
        <is>
          <t>남이면</t>
        </is>
      </c>
    </row>
    <row r="3680">
      <c r="A3680" s="3" t="n">
        <v>2026</v>
      </c>
      <c r="B3680" s="4" t="n">
        <v>61</v>
      </c>
      <c r="C3680" s="4" t="n">
        <v>7</v>
      </c>
      <c r="D3680" s="4" t="n">
        <v>2.1175</v>
      </c>
      <c r="E3680" s="5" t="n">
        <v>28.8</v>
      </c>
      <c r="F3680" s="3" t="inlineStr">
        <is>
          <t>남이면</t>
        </is>
      </c>
      <c r="G3680" s="3" t="inlineStr">
        <is>
          <t>양촌리</t>
        </is>
      </c>
      <c r="H3680" s="3" t="inlineStr">
        <is>
          <t>자연녹지지역</t>
        </is>
      </c>
      <c r="I3680" s="3" t="inlineStr">
        <is>
          <t>도로</t>
        </is>
      </c>
      <c r="J3680" s="3" t="inlineStr">
        <is>
          <t>남이면</t>
        </is>
      </c>
    </row>
    <row r="3681">
      <c r="A3681" s="3" t="n">
        <v>2026</v>
      </c>
      <c r="B3681" s="4" t="n">
        <v>20590</v>
      </c>
      <c r="C3681" s="4" t="n">
        <v>796</v>
      </c>
      <c r="D3681" s="4" t="n">
        <v>240.79</v>
      </c>
      <c r="E3681" s="5" t="n">
        <v>85.5</v>
      </c>
      <c r="F3681" s="3" t="inlineStr">
        <is>
          <t>남이면</t>
        </is>
      </c>
      <c r="G3681" s="3" t="inlineStr">
        <is>
          <t>가좌리</t>
        </is>
      </c>
      <c r="H3681" s="3" t="inlineStr">
        <is>
          <t>보전녹지지역</t>
        </is>
      </c>
      <c r="I3681" s="3" t="inlineStr">
        <is>
          <t>임야</t>
        </is>
      </c>
      <c r="J3681" s="3" t="inlineStr">
        <is>
          <t>남이면</t>
        </is>
      </c>
    </row>
    <row r="3682">
      <c r="A3682" s="3" t="n">
        <v>2026</v>
      </c>
      <c r="B3682" s="4" t="n">
        <v>3272</v>
      </c>
      <c r="C3682" s="4" t="n">
        <v>126</v>
      </c>
      <c r="D3682" s="4" t="n">
        <v>38.115</v>
      </c>
      <c r="E3682" s="5" t="n">
        <v>85.8</v>
      </c>
      <c r="F3682" s="3" t="inlineStr">
        <is>
          <t>남이면</t>
        </is>
      </c>
      <c r="G3682" s="3" t="inlineStr">
        <is>
          <t>가좌리</t>
        </is>
      </c>
      <c r="H3682" s="3" t="inlineStr">
        <is>
          <t>자연녹지지역</t>
        </is>
      </c>
      <c r="I3682" s="3" t="inlineStr">
        <is>
          <t>임야</t>
        </is>
      </c>
      <c r="J3682" s="3" t="inlineStr">
        <is>
          <t>남이면</t>
        </is>
      </c>
    </row>
    <row r="3683">
      <c r="A3683" s="3" t="n">
        <v>2026</v>
      </c>
      <c r="B3683" s="4" t="n">
        <v>80718</v>
      </c>
      <c r="C3683" s="4" t="n">
        <v>3120</v>
      </c>
      <c r="D3683" s="4" t="n">
        <v>943.8</v>
      </c>
      <c r="E3683" s="5" t="n">
        <v>85.5</v>
      </c>
      <c r="F3683" s="3" t="inlineStr">
        <is>
          <t>남이면</t>
        </is>
      </c>
      <c r="G3683" s="3" t="inlineStr">
        <is>
          <t>가좌리</t>
        </is>
      </c>
      <c r="H3683" s="3" t="inlineStr">
        <is>
          <t>보전녹지지역</t>
        </is>
      </c>
      <c r="I3683" s="3" t="inlineStr">
        <is>
          <t>전</t>
        </is>
      </c>
      <c r="J3683" s="3" t="inlineStr">
        <is>
          <t>남이면</t>
        </is>
      </c>
    </row>
    <row r="3684">
      <c r="A3684" s="3" t="n">
        <v>2026</v>
      </c>
      <c r="B3684" s="4" t="n">
        <v>820</v>
      </c>
      <c r="C3684" s="4" t="n">
        <v>32</v>
      </c>
      <c r="D3684" s="4" t="n">
        <v>9.68</v>
      </c>
      <c r="E3684" s="5" t="n">
        <v>84.7</v>
      </c>
      <c r="F3684" s="3" t="inlineStr">
        <is>
          <t>남이면</t>
        </is>
      </c>
      <c r="G3684" s="3" t="inlineStr">
        <is>
          <t>가좌리</t>
        </is>
      </c>
      <c r="H3684" s="3" t="inlineStr">
        <is>
          <t>자연녹지지역</t>
        </is>
      </c>
      <c r="I3684" s="3" t="inlineStr">
        <is>
          <t>답</t>
        </is>
      </c>
      <c r="J3684" s="3" t="inlineStr">
        <is>
          <t>남이면</t>
        </is>
      </c>
    </row>
    <row r="3685">
      <c r="A3685" s="3" t="n">
        <v>2025</v>
      </c>
      <c r="B3685" s="4" t="n">
        <v>6000</v>
      </c>
      <c r="C3685" s="4" t="n">
        <v>1983</v>
      </c>
      <c r="D3685" s="4" t="n">
        <v>599.8575</v>
      </c>
      <c r="E3685" s="5" t="n">
        <v>10</v>
      </c>
      <c r="F3685" s="3" t="inlineStr">
        <is>
          <t>남이면</t>
        </is>
      </c>
      <c r="G3685" s="3" t="inlineStr">
        <is>
          <t>부용외천리</t>
        </is>
      </c>
      <c r="H3685" s="3" t="inlineStr">
        <is>
          <t>보전관리지역</t>
        </is>
      </c>
      <c r="I3685" s="3" t="inlineStr">
        <is>
          <t>임야</t>
        </is>
      </c>
      <c r="J3685" s="3" t="inlineStr">
        <is>
          <t>남이면</t>
        </is>
      </c>
    </row>
    <row r="3686">
      <c r="A3686" s="3" t="n">
        <v>2025</v>
      </c>
      <c r="B3686" s="4" t="n">
        <v>2000</v>
      </c>
      <c r="C3686" s="4" t="n">
        <v>793</v>
      </c>
      <c r="D3686" s="4" t="n">
        <v>239.8825</v>
      </c>
      <c r="E3686" s="5" t="n">
        <v>8.300000000000001</v>
      </c>
      <c r="F3686" s="3" t="inlineStr">
        <is>
          <t>남이면</t>
        </is>
      </c>
      <c r="G3686" s="3" t="inlineStr">
        <is>
          <t>외천리</t>
        </is>
      </c>
      <c r="H3686" s="3" t="inlineStr">
        <is>
          <t>농림지역</t>
        </is>
      </c>
      <c r="I3686" s="3" t="inlineStr">
        <is>
          <t>임야</t>
        </is>
      </c>
      <c r="J3686" s="3" t="inlineStr">
        <is>
          <t>남이면</t>
        </is>
      </c>
    </row>
    <row r="3687">
      <c r="A3687" s="3" t="n">
        <v>2025</v>
      </c>
      <c r="B3687" s="4" t="n">
        <v>2100</v>
      </c>
      <c r="C3687" s="4" t="n">
        <v>982</v>
      </c>
      <c r="D3687" s="4" t="n">
        <v>297.055</v>
      </c>
      <c r="E3687" s="5" t="n">
        <v>7.1</v>
      </c>
      <c r="F3687" s="3" t="inlineStr">
        <is>
          <t>남이면</t>
        </is>
      </c>
      <c r="G3687" s="3" t="inlineStr">
        <is>
          <t>대련리</t>
        </is>
      </c>
      <c r="H3687" s="3" t="inlineStr">
        <is>
          <t>보전녹지지역</t>
        </is>
      </c>
      <c r="I3687" s="3" t="inlineStr">
        <is>
          <t>임야</t>
        </is>
      </c>
      <c r="J3687" s="3" t="inlineStr">
        <is>
          <t>남이면</t>
        </is>
      </c>
    </row>
    <row r="3688">
      <c r="A3688" s="3" t="n">
        <v>2025</v>
      </c>
      <c r="B3688" s="4" t="n">
        <v>30130</v>
      </c>
      <c r="C3688" s="4" t="n">
        <v>2846</v>
      </c>
      <c r="D3688" s="4" t="n">
        <v>860.915</v>
      </c>
      <c r="E3688" s="5" t="n">
        <v>35</v>
      </c>
      <c r="F3688" s="3" t="inlineStr">
        <is>
          <t>남이면</t>
        </is>
      </c>
      <c r="G3688" s="3" t="inlineStr">
        <is>
          <t>척산리</t>
        </is>
      </c>
      <c r="H3688" s="3" t="inlineStr">
        <is>
          <t>자연녹지지역</t>
        </is>
      </c>
      <c r="I3688" s="3" t="inlineStr">
        <is>
          <t>답</t>
        </is>
      </c>
      <c r="J3688" s="3" t="inlineStr">
        <is>
          <t>남이면</t>
        </is>
      </c>
    </row>
    <row r="3689">
      <c r="A3689" s="3" t="n">
        <v>2025</v>
      </c>
      <c r="B3689" s="4" t="n">
        <v>3400</v>
      </c>
      <c r="C3689" s="4" t="n">
        <v>7797</v>
      </c>
      <c r="D3689" s="4" t="n">
        <v>2358.5925</v>
      </c>
      <c r="E3689" s="5" t="n">
        <v>1.4</v>
      </c>
      <c r="F3689" s="3" t="inlineStr">
        <is>
          <t>남이면</t>
        </is>
      </c>
      <c r="G3689" s="3" t="inlineStr">
        <is>
          <t>부용외천리</t>
        </is>
      </c>
      <c r="H3689" s="3" t="inlineStr">
        <is>
          <t>보전관리지역</t>
        </is>
      </c>
      <c r="I3689" s="3" t="inlineStr">
        <is>
          <t>임야</t>
        </is>
      </c>
      <c r="J3689" s="3" t="inlineStr">
        <is>
          <t>남이면</t>
        </is>
      </c>
    </row>
    <row r="3690">
      <c r="A3690" s="3" t="n">
        <v>2025</v>
      </c>
      <c r="B3690" s="4" t="n">
        <v>575</v>
      </c>
      <c r="C3690" s="4" t="n">
        <v>16</v>
      </c>
      <c r="D3690" s="4" t="n">
        <v>4.84</v>
      </c>
      <c r="E3690" s="5" t="n">
        <v>118.8</v>
      </c>
      <c r="F3690" s="3" t="inlineStr">
        <is>
          <t>남이면</t>
        </is>
      </c>
      <c r="G3690" s="3" t="inlineStr">
        <is>
          <t>양촌리</t>
        </is>
      </c>
      <c r="H3690" s="3" t="inlineStr">
        <is>
          <t>자연녹지지역</t>
        </is>
      </c>
      <c r="I3690" s="3" t="inlineStr">
        <is>
          <t>전</t>
        </is>
      </c>
      <c r="J3690" s="3" t="inlineStr">
        <is>
          <t>남이면</t>
        </is>
      </c>
    </row>
    <row r="3691">
      <c r="A3691" s="3" t="n">
        <v>2025</v>
      </c>
      <c r="B3691" s="4" t="n">
        <v>46909</v>
      </c>
      <c r="C3691" s="4" t="n">
        <v>1306</v>
      </c>
      <c r="D3691" s="4" t="n">
        <v>395.065</v>
      </c>
      <c r="E3691" s="5" t="n">
        <v>118.7</v>
      </c>
      <c r="F3691" s="3" t="inlineStr">
        <is>
          <t>남이면</t>
        </is>
      </c>
      <c r="G3691" s="3" t="inlineStr">
        <is>
          <t>양촌리</t>
        </is>
      </c>
      <c r="H3691" s="3" t="inlineStr">
        <is>
          <t>자연녹지지역</t>
        </is>
      </c>
      <c r="I3691" s="3" t="inlineStr">
        <is>
          <t>전</t>
        </is>
      </c>
      <c r="J3691" s="3" t="inlineStr">
        <is>
          <t>남이면</t>
        </is>
      </c>
    </row>
    <row r="3692">
      <c r="A3692" s="3" t="n">
        <v>2025</v>
      </c>
      <c r="B3692" s="4" t="n">
        <v>42563</v>
      </c>
      <c r="C3692" s="4" t="n">
        <v>1185</v>
      </c>
      <c r="D3692" s="4" t="n">
        <v>358.4625</v>
      </c>
      <c r="E3692" s="5" t="n">
        <v>118.7</v>
      </c>
      <c r="F3692" s="3" t="inlineStr">
        <is>
          <t>남이면</t>
        </is>
      </c>
      <c r="G3692" s="3" t="inlineStr">
        <is>
          <t>양촌리</t>
        </is>
      </c>
      <c r="H3692" s="3" t="inlineStr">
        <is>
          <t>자연녹지지역</t>
        </is>
      </c>
      <c r="I3692" s="3" t="inlineStr">
        <is>
          <t>전</t>
        </is>
      </c>
      <c r="J3692" s="3" t="inlineStr">
        <is>
          <t>남이면</t>
        </is>
      </c>
    </row>
    <row r="3693">
      <c r="A3693" s="3" t="n">
        <v>2025</v>
      </c>
      <c r="B3693" s="4" t="n">
        <v>32631</v>
      </c>
      <c r="C3693" s="4" t="n">
        <v>846</v>
      </c>
      <c r="D3693" s="4" t="n">
        <v>255.915</v>
      </c>
      <c r="E3693" s="5" t="n">
        <v>127.5</v>
      </c>
      <c r="F3693" s="3" t="inlineStr">
        <is>
          <t>남이면</t>
        </is>
      </c>
      <c r="G3693" s="3" t="inlineStr">
        <is>
          <t>양촌리</t>
        </is>
      </c>
      <c r="H3693" s="3" t="inlineStr">
        <is>
          <t>자연녹지지역</t>
        </is>
      </c>
      <c r="I3693" s="3" t="inlineStr">
        <is>
          <t>전</t>
        </is>
      </c>
      <c r="J3693" s="3" t="inlineStr">
        <is>
          <t>남이면</t>
        </is>
      </c>
    </row>
    <row r="3694">
      <c r="A3694" s="3" t="n">
        <v>2025</v>
      </c>
      <c r="B3694" s="4" t="n">
        <v>15660</v>
      </c>
      <c r="C3694" s="4" t="n">
        <v>436</v>
      </c>
      <c r="D3694" s="4" t="n">
        <v>131.89</v>
      </c>
      <c r="E3694" s="5" t="n">
        <v>118.7</v>
      </c>
      <c r="F3694" s="3" t="inlineStr">
        <is>
          <t>남이면</t>
        </is>
      </c>
      <c r="G3694" s="3" t="inlineStr">
        <is>
          <t>양촌리</t>
        </is>
      </c>
      <c r="H3694" s="3" t="inlineStr">
        <is>
          <t>자연녹지지역</t>
        </is>
      </c>
      <c r="I3694" s="3" t="inlineStr">
        <is>
          <t>답</t>
        </is>
      </c>
      <c r="J3694" s="3" t="inlineStr">
        <is>
          <t>남이면</t>
        </is>
      </c>
    </row>
    <row r="3695">
      <c r="A3695" s="3" t="n">
        <v>2025</v>
      </c>
      <c r="B3695" s="4" t="n">
        <v>93845</v>
      </c>
      <c r="C3695" s="4" t="n">
        <v>1183</v>
      </c>
      <c r="D3695" s="4" t="n">
        <v>357.8575</v>
      </c>
      <c r="E3695" s="5" t="n">
        <v>262.2</v>
      </c>
      <c r="F3695" s="3" t="inlineStr">
        <is>
          <t>남이면</t>
        </is>
      </c>
      <c r="G3695" s="3" t="inlineStr">
        <is>
          <t>양촌리</t>
        </is>
      </c>
      <c r="H3695" s="3" t="inlineStr">
        <is>
          <t>자연녹지지역</t>
        </is>
      </c>
      <c r="I3695" s="3" t="inlineStr">
        <is>
          <t>답</t>
        </is>
      </c>
      <c r="J3695" s="3" t="inlineStr">
        <is>
          <t>남이면</t>
        </is>
      </c>
    </row>
    <row r="3696">
      <c r="A3696" s="3" t="n">
        <v>2025</v>
      </c>
      <c r="B3696" s="4" t="n">
        <v>101514</v>
      </c>
      <c r="C3696" s="4" t="n">
        <v>1663</v>
      </c>
      <c r="D3696" s="4" t="n">
        <v>503.0575</v>
      </c>
      <c r="E3696" s="5" t="n">
        <v>201.8</v>
      </c>
      <c r="F3696" s="3" t="inlineStr">
        <is>
          <t>남이면</t>
        </is>
      </c>
      <c r="G3696" s="3" t="inlineStr">
        <is>
          <t>양촌리</t>
        </is>
      </c>
      <c r="H3696" s="3" t="inlineStr">
        <is>
          <t>자연녹지지역</t>
        </is>
      </c>
      <c r="I3696" s="3" t="inlineStr">
        <is>
          <t>답</t>
        </is>
      </c>
      <c r="J3696" s="3" t="inlineStr">
        <is>
          <t>남이면</t>
        </is>
      </c>
    </row>
    <row r="3697">
      <c r="A3697" s="3" t="n">
        <v>2025</v>
      </c>
      <c r="B3697" s="4" t="n">
        <v>26303</v>
      </c>
      <c r="C3697" s="4" t="n">
        <v>255</v>
      </c>
      <c r="D3697" s="4" t="n">
        <v>77.1375</v>
      </c>
      <c r="E3697" s="5" t="n">
        <v>341</v>
      </c>
      <c r="F3697" s="3" t="inlineStr">
        <is>
          <t>남이면</t>
        </is>
      </c>
      <c r="G3697" s="3" t="inlineStr">
        <is>
          <t>양촌리</t>
        </is>
      </c>
      <c r="H3697" s="3" t="inlineStr">
        <is>
          <t>자연녹지지역</t>
        </is>
      </c>
      <c r="I3697" s="3" t="inlineStr">
        <is>
          <t>전</t>
        </is>
      </c>
      <c r="J3697" s="3" t="inlineStr">
        <is>
          <t>남이면</t>
        </is>
      </c>
    </row>
    <row r="3698">
      <c r="A3698" s="3" t="n">
        <v>2025</v>
      </c>
      <c r="B3698" s="4" t="n">
        <v>41000</v>
      </c>
      <c r="C3698" s="4" t="n">
        <v>1023</v>
      </c>
      <c r="D3698" s="4" t="n">
        <v>309.4575</v>
      </c>
      <c r="E3698" s="5" t="n">
        <v>132.5</v>
      </c>
      <c r="F3698" s="3" t="inlineStr">
        <is>
          <t>남이면</t>
        </is>
      </c>
      <c r="G3698" s="3" t="inlineStr">
        <is>
          <t>양촌리</t>
        </is>
      </c>
      <c r="H3698" s="3" t="inlineStr">
        <is>
          <t>자연녹지지역</t>
        </is>
      </c>
      <c r="I3698" s="3" t="inlineStr">
        <is>
          <t>전</t>
        </is>
      </c>
      <c r="J3698" s="3" t="inlineStr">
        <is>
          <t>남이면</t>
        </is>
      </c>
    </row>
    <row r="3699">
      <c r="A3699" s="3" t="n">
        <v>2025</v>
      </c>
      <c r="B3699" s="4" t="n">
        <v>6000</v>
      </c>
      <c r="C3699" s="4" t="n">
        <v>638</v>
      </c>
      <c r="D3699" s="4" t="n">
        <v>192.995</v>
      </c>
      <c r="E3699" s="5" t="n">
        <v>31.1</v>
      </c>
      <c r="F3699" s="3" t="inlineStr">
        <is>
          <t>남이면</t>
        </is>
      </c>
      <c r="G3699" s="3" t="inlineStr">
        <is>
          <t>가좌리</t>
        </is>
      </c>
      <c r="H3699" s="3" t="inlineStr">
        <is>
          <t>자연녹지지역</t>
        </is>
      </c>
      <c r="I3699" s="3" t="inlineStr">
        <is>
          <t>대</t>
        </is>
      </c>
      <c r="J3699" s="3" t="inlineStr">
        <is>
          <t>남이면</t>
        </is>
      </c>
    </row>
    <row r="3700">
      <c r="A3700" s="3" t="n">
        <v>2025</v>
      </c>
      <c r="B3700" s="4" t="n">
        <v>7000</v>
      </c>
      <c r="C3700" s="4" t="n">
        <v>119</v>
      </c>
      <c r="D3700" s="4" t="n">
        <v>35.9975</v>
      </c>
      <c r="E3700" s="5" t="n">
        <v>194.5</v>
      </c>
      <c r="F3700" s="3" t="inlineStr">
        <is>
          <t>남이면</t>
        </is>
      </c>
      <c r="G3700" s="3" t="inlineStr">
        <is>
          <t>구미리</t>
        </is>
      </c>
      <c r="H3700" s="3" t="inlineStr">
        <is>
          <t>계획관리지역</t>
        </is>
      </c>
      <c r="I3700" s="3" t="inlineStr">
        <is>
          <t>대</t>
        </is>
      </c>
      <c r="J3700" s="3" t="inlineStr">
        <is>
          <t>남이면</t>
        </is>
      </c>
    </row>
    <row r="3701">
      <c r="A3701" s="3" t="n">
        <v>2025</v>
      </c>
      <c r="B3701" s="4" t="n">
        <v>46500</v>
      </c>
      <c r="C3701" s="4" t="n">
        <v>791</v>
      </c>
      <c r="D3701" s="4" t="n">
        <v>239.2775</v>
      </c>
      <c r="E3701" s="5" t="n">
        <v>194.3</v>
      </c>
      <c r="F3701" s="3" t="inlineStr">
        <is>
          <t>남이면</t>
        </is>
      </c>
      <c r="G3701" s="3" t="inlineStr">
        <is>
          <t>구미리</t>
        </is>
      </c>
      <c r="H3701" s="3" t="inlineStr">
        <is>
          <t>계획관리지역</t>
        </is>
      </c>
      <c r="I3701" s="3" t="inlineStr">
        <is>
          <t>대</t>
        </is>
      </c>
      <c r="J3701" s="3" t="inlineStr">
        <is>
          <t>남이면</t>
        </is>
      </c>
    </row>
    <row r="3702">
      <c r="A3702" s="3" t="n">
        <v>2025</v>
      </c>
      <c r="B3702" s="4" t="n">
        <v>6800</v>
      </c>
      <c r="C3702" s="4" t="n">
        <v>253</v>
      </c>
      <c r="D3702" s="4" t="n">
        <v>76.5325</v>
      </c>
      <c r="E3702" s="5" t="n">
        <v>88.90000000000001</v>
      </c>
      <c r="F3702" s="3" t="inlineStr">
        <is>
          <t>남이면</t>
        </is>
      </c>
      <c r="G3702" s="3" t="inlineStr">
        <is>
          <t>구미리</t>
        </is>
      </c>
      <c r="H3702" s="3" t="inlineStr">
        <is>
          <t>계획관리지역</t>
        </is>
      </c>
      <c r="I3702" s="3" t="inlineStr">
        <is>
          <t>임야</t>
        </is>
      </c>
      <c r="J3702" s="3" t="inlineStr">
        <is>
          <t>남이면</t>
        </is>
      </c>
    </row>
    <row r="3703">
      <c r="A3703" s="3" t="n">
        <v>2025</v>
      </c>
      <c r="B3703" s="4" t="n">
        <v>323350</v>
      </c>
      <c r="C3703" s="4" t="n">
        <v>11896</v>
      </c>
      <c r="D3703" s="4" t="n">
        <v>3598.54</v>
      </c>
      <c r="E3703" s="5" t="n">
        <v>89.90000000000001</v>
      </c>
      <c r="F3703" s="3" t="inlineStr">
        <is>
          <t>남이면</t>
        </is>
      </c>
      <c r="G3703" s="3" t="inlineStr">
        <is>
          <t>구미리</t>
        </is>
      </c>
      <c r="H3703" s="3" t="inlineStr">
        <is>
          <t>계획관리지역</t>
        </is>
      </c>
      <c r="I3703" s="3" t="inlineStr">
        <is>
          <t>임야</t>
        </is>
      </c>
      <c r="J3703" s="3" t="inlineStr">
        <is>
          <t>남이면</t>
        </is>
      </c>
    </row>
    <row r="3704">
      <c r="A3704" s="3" t="n">
        <v>2025</v>
      </c>
      <c r="B3704" s="4" t="n">
        <v>14300</v>
      </c>
      <c r="C3704" s="4" t="n">
        <v>2149</v>
      </c>
      <c r="D3704" s="4" t="n">
        <v>650.0725</v>
      </c>
      <c r="E3704" s="5" t="n">
        <v>22</v>
      </c>
      <c r="F3704" s="3" t="inlineStr">
        <is>
          <t>남이면</t>
        </is>
      </c>
      <c r="G3704" s="3" t="inlineStr">
        <is>
          <t>산막리</t>
        </is>
      </c>
      <c r="H3704" s="3" t="inlineStr">
        <is>
          <t>생산관리지역</t>
        </is>
      </c>
      <c r="I3704" s="3" t="inlineStr">
        <is>
          <t>답</t>
        </is>
      </c>
      <c r="J3704" s="3" t="inlineStr">
        <is>
          <t>남이면</t>
        </is>
      </c>
    </row>
    <row r="3705">
      <c r="A3705" s="3" t="n">
        <v>2025</v>
      </c>
      <c r="B3705" s="4" t="n">
        <v>16000</v>
      </c>
      <c r="C3705" s="4" t="n">
        <v>2668</v>
      </c>
      <c r="D3705" s="4" t="n">
        <v>807.0699999999999</v>
      </c>
      <c r="E3705" s="5" t="n">
        <v>19.8</v>
      </c>
      <c r="F3705" s="3" t="inlineStr">
        <is>
          <t>남이면</t>
        </is>
      </c>
      <c r="G3705" s="3" t="inlineStr">
        <is>
          <t>산막리</t>
        </is>
      </c>
      <c r="H3705" s="3" t="inlineStr">
        <is>
          <t>생산관리지역</t>
        </is>
      </c>
      <c r="I3705" s="3" t="inlineStr">
        <is>
          <t>답</t>
        </is>
      </c>
      <c r="J3705" s="3" t="inlineStr">
        <is>
          <t>남이면</t>
        </is>
      </c>
    </row>
    <row r="3706">
      <c r="A3706" s="3" t="n">
        <v>2025</v>
      </c>
      <c r="B3706" s="4" t="n">
        <v>10000</v>
      </c>
      <c r="C3706" s="4" t="n">
        <v>1689</v>
      </c>
      <c r="D3706" s="4" t="n">
        <v>510.9225</v>
      </c>
      <c r="E3706" s="5" t="n">
        <v>19.6</v>
      </c>
      <c r="F3706" s="3" t="inlineStr">
        <is>
          <t>남이면</t>
        </is>
      </c>
      <c r="G3706" s="3" t="inlineStr">
        <is>
          <t>산막리</t>
        </is>
      </c>
      <c r="H3706" s="3" t="inlineStr">
        <is>
          <t>생산관리지역</t>
        </is>
      </c>
      <c r="I3706" s="3" t="inlineStr">
        <is>
          <t>답</t>
        </is>
      </c>
      <c r="J3706" s="3" t="inlineStr">
        <is>
          <t>남이면</t>
        </is>
      </c>
    </row>
    <row r="3707">
      <c r="A3707" s="3" t="n">
        <v>2025</v>
      </c>
      <c r="B3707" s="4" t="n">
        <v>54000</v>
      </c>
      <c r="C3707" s="4" t="n">
        <v>4608</v>
      </c>
      <c r="D3707" s="4" t="n">
        <v>1393.92</v>
      </c>
      <c r="E3707" s="5" t="n">
        <v>38.7</v>
      </c>
      <c r="F3707" s="3" t="inlineStr">
        <is>
          <t>남이면</t>
        </is>
      </c>
      <c r="G3707" s="3" t="inlineStr">
        <is>
          <t>외천리</t>
        </is>
      </c>
      <c r="H3707" s="3" t="inlineStr">
        <is>
          <t>계획관리지역</t>
        </is>
      </c>
      <c r="I3707" s="3" t="inlineStr">
        <is>
          <t>전</t>
        </is>
      </c>
      <c r="J3707" s="3" t="inlineStr">
        <is>
          <t>남이면</t>
        </is>
      </c>
    </row>
    <row r="3708">
      <c r="A3708" s="3" t="n">
        <v>2025</v>
      </c>
      <c r="B3708" s="4" t="n">
        <v>32000</v>
      </c>
      <c r="C3708" s="4" t="n">
        <v>2000</v>
      </c>
      <c r="D3708" s="4" t="n">
        <v>605</v>
      </c>
      <c r="E3708" s="5" t="n">
        <v>52.9</v>
      </c>
      <c r="F3708" s="3" t="inlineStr">
        <is>
          <t>남이면</t>
        </is>
      </c>
      <c r="G3708" s="3" t="inlineStr">
        <is>
          <t>석판리</t>
        </is>
      </c>
      <c r="H3708" s="3" t="inlineStr">
        <is>
          <t>자연녹지지역</t>
        </is>
      </c>
      <c r="I3708" s="3" t="inlineStr">
        <is>
          <t>답</t>
        </is>
      </c>
      <c r="J3708" s="3" t="inlineStr">
        <is>
          <t>남이면</t>
        </is>
      </c>
    </row>
    <row r="3709">
      <c r="A3709" s="3" t="n">
        <v>2025</v>
      </c>
      <c r="B3709" s="4" t="n">
        <v>15028</v>
      </c>
      <c r="C3709" s="4" t="n">
        <v>384</v>
      </c>
      <c r="D3709" s="4" t="n">
        <v>116.16</v>
      </c>
      <c r="E3709" s="5" t="n">
        <v>129.4</v>
      </c>
      <c r="F3709" s="3" t="inlineStr">
        <is>
          <t>남이면</t>
        </is>
      </c>
      <c r="G3709" s="3" t="inlineStr">
        <is>
          <t>외천리</t>
        </is>
      </c>
      <c r="H3709" s="3" t="inlineStr">
        <is>
          <t>계획관리지역</t>
        </is>
      </c>
      <c r="I3709" s="3" t="inlineStr">
        <is>
          <t>대</t>
        </is>
      </c>
      <c r="J3709" s="3" t="inlineStr">
        <is>
          <t>남이면</t>
        </is>
      </c>
    </row>
    <row r="3710">
      <c r="A3710" s="3" t="n">
        <v>2025</v>
      </c>
      <c r="B3710" s="4" t="n">
        <v>4425</v>
      </c>
      <c r="C3710" s="4" t="n">
        <v>113</v>
      </c>
      <c r="D3710" s="4" t="n">
        <v>34.1825</v>
      </c>
      <c r="E3710" s="5" t="n">
        <v>129.5</v>
      </c>
      <c r="F3710" s="3" t="inlineStr">
        <is>
          <t>남이면</t>
        </is>
      </c>
      <c r="G3710" s="3" t="inlineStr">
        <is>
          <t>외천리</t>
        </is>
      </c>
      <c r="H3710" s="3" t="inlineStr">
        <is>
          <t>계획관리지역</t>
        </is>
      </c>
      <c r="I3710" s="3" t="inlineStr">
        <is>
          <t>대</t>
        </is>
      </c>
      <c r="J3710" s="3" t="inlineStr">
        <is>
          <t>남이면</t>
        </is>
      </c>
    </row>
    <row r="3711">
      <c r="A3711" s="3" t="n">
        <v>2025</v>
      </c>
      <c r="B3711" s="4" t="n">
        <v>5548</v>
      </c>
      <c r="C3711" s="4" t="n">
        <v>2940</v>
      </c>
      <c r="D3711" s="4" t="n">
        <v>889.35</v>
      </c>
      <c r="E3711" s="5" t="n">
        <v>6.2</v>
      </c>
      <c r="F3711" s="3" t="inlineStr">
        <is>
          <t>남이면</t>
        </is>
      </c>
      <c r="G3711" s="3" t="inlineStr">
        <is>
          <t>외천리</t>
        </is>
      </c>
      <c r="H3711" s="3" t="inlineStr">
        <is>
          <t>보전관리지역</t>
        </is>
      </c>
      <c r="I3711" s="3" t="inlineStr">
        <is>
          <t>임야</t>
        </is>
      </c>
      <c r="J3711" s="3" t="inlineStr">
        <is>
          <t>남이면</t>
        </is>
      </c>
    </row>
    <row r="3712">
      <c r="A3712" s="3" t="n">
        <v>2024</v>
      </c>
      <c r="B3712" s="4" t="n">
        <v>10640</v>
      </c>
      <c r="C3712" s="4" t="n">
        <v>1408</v>
      </c>
      <c r="D3712" s="4" t="n">
        <v>425.92</v>
      </c>
      <c r="E3712" s="5" t="n">
        <v>25</v>
      </c>
      <c r="F3712" s="3" t="inlineStr">
        <is>
          <t>남이면</t>
        </is>
      </c>
      <c r="G3712" s="3" t="inlineStr">
        <is>
          <t>산막리</t>
        </is>
      </c>
      <c r="H3712" s="3" t="inlineStr">
        <is>
          <t>생산관리지역</t>
        </is>
      </c>
      <c r="I3712" s="3" t="inlineStr">
        <is>
          <t>답</t>
        </is>
      </c>
      <c r="J3712" s="3" t="inlineStr">
        <is>
          <t>남이면</t>
        </is>
      </c>
    </row>
    <row r="3713">
      <c r="A3713" s="3" t="n">
        <v>2024</v>
      </c>
      <c r="B3713" s="4" t="n">
        <v>2950</v>
      </c>
      <c r="C3713" s="4" t="n">
        <v>929</v>
      </c>
      <c r="D3713" s="4" t="n">
        <v>281.0225</v>
      </c>
      <c r="E3713" s="5" t="n">
        <v>10.5</v>
      </c>
      <c r="F3713" s="3" t="inlineStr">
        <is>
          <t>남이면</t>
        </is>
      </c>
      <c r="G3713" s="3" t="inlineStr">
        <is>
          <t>부용외천리</t>
        </is>
      </c>
      <c r="H3713" s="3" t="inlineStr">
        <is>
          <t>계획관리지역</t>
        </is>
      </c>
      <c r="I3713" s="3" t="inlineStr">
        <is>
          <t>전</t>
        </is>
      </c>
      <c r="J3713" s="3" t="inlineStr">
        <is>
          <t>남이면</t>
        </is>
      </c>
    </row>
    <row r="3714">
      <c r="A3714" s="3" t="n">
        <v>2024</v>
      </c>
      <c r="B3714" s="4" t="n">
        <v>24000</v>
      </c>
      <c r="C3714" s="4" t="n">
        <v>7927</v>
      </c>
      <c r="D3714" s="4" t="n">
        <v>2397.9175</v>
      </c>
      <c r="E3714" s="5" t="n">
        <v>10</v>
      </c>
      <c r="F3714" s="3" t="inlineStr">
        <is>
          <t>남이면</t>
        </is>
      </c>
      <c r="G3714" s="3" t="inlineStr">
        <is>
          <t>팔봉리</t>
        </is>
      </c>
      <c r="H3714" s="3" t="inlineStr">
        <is>
          <t>보전녹지지역</t>
        </is>
      </c>
      <c r="I3714" s="3" t="inlineStr">
        <is>
          <t>임야</t>
        </is>
      </c>
      <c r="J3714" s="3" t="inlineStr">
        <is>
          <t>남이면</t>
        </is>
      </c>
    </row>
    <row r="3715">
      <c r="A3715" s="3" t="n">
        <v>2024</v>
      </c>
      <c r="B3715" s="4" t="n">
        <v>31000</v>
      </c>
      <c r="C3715" s="4" t="n">
        <v>3182</v>
      </c>
      <c r="D3715" s="4" t="n">
        <v>962.5549999999999</v>
      </c>
      <c r="E3715" s="5" t="n">
        <v>32.2</v>
      </c>
      <c r="F3715" s="3" t="inlineStr">
        <is>
          <t>남이면</t>
        </is>
      </c>
      <c r="G3715" s="3" t="inlineStr">
        <is>
          <t>갈원리</t>
        </is>
      </c>
      <c r="H3715" s="3" t="inlineStr">
        <is>
          <t>생산관리지역</t>
        </is>
      </c>
      <c r="I3715" s="3" t="inlineStr">
        <is>
          <t>전</t>
        </is>
      </c>
      <c r="J3715" s="3" t="inlineStr">
        <is>
          <t>남이면</t>
        </is>
      </c>
    </row>
    <row r="3716">
      <c r="A3716" s="3" t="n">
        <v>2024</v>
      </c>
      <c r="B3716" s="4" t="n">
        <v>14892</v>
      </c>
      <c r="C3716" s="4" t="n">
        <v>486</v>
      </c>
      <c r="D3716" s="4" t="n">
        <v>147.015</v>
      </c>
      <c r="E3716" s="5" t="n">
        <v>101.3</v>
      </c>
      <c r="F3716" s="3" t="inlineStr">
        <is>
          <t>남이면</t>
        </is>
      </c>
      <c r="G3716" s="3" t="inlineStr">
        <is>
          <t>구암리</t>
        </is>
      </c>
      <c r="H3716" s="3" t="inlineStr">
        <is>
          <t>자연녹지지역</t>
        </is>
      </c>
      <c r="I3716" s="3" t="inlineStr">
        <is>
          <t>답</t>
        </is>
      </c>
      <c r="J3716" s="3" t="inlineStr">
        <is>
          <t>남이면</t>
        </is>
      </c>
    </row>
    <row r="3717">
      <c r="A3717" s="3" t="n">
        <v>2024</v>
      </c>
      <c r="B3717" s="4" t="n">
        <v>21984</v>
      </c>
      <c r="C3717" s="4" t="n">
        <v>1091</v>
      </c>
      <c r="D3717" s="4" t="n">
        <v>330.0275</v>
      </c>
      <c r="E3717" s="5" t="n">
        <v>66.59999999999999</v>
      </c>
      <c r="F3717" s="3" t="inlineStr">
        <is>
          <t>남이면</t>
        </is>
      </c>
      <c r="G3717" s="3" t="inlineStr">
        <is>
          <t>가좌리</t>
        </is>
      </c>
      <c r="H3717" s="3" t="inlineStr">
        <is>
          <t>자연녹지지역</t>
        </is>
      </c>
      <c r="I3717" s="3" t="inlineStr">
        <is>
          <t>답</t>
        </is>
      </c>
      <c r="J3717" s="3" t="inlineStr">
        <is>
          <t>남이면</t>
        </is>
      </c>
    </row>
    <row r="3718">
      <c r="A3718" s="3" t="n">
        <v>2024</v>
      </c>
      <c r="B3718" s="4" t="n">
        <v>20000</v>
      </c>
      <c r="C3718" s="4" t="n">
        <v>860</v>
      </c>
      <c r="D3718" s="4" t="n">
        <v>260.15</v>
      </c>
      <c r="E3718" s="5" t="n">
        <v>76.90000000000001</v>
      </c>
      <c r="F3718" s="3" t="inlineStr">
        <is>
          <t>남이면</t>
        </is>
      </c>
      <c r="G3718" s="3" t="inlineStr">
        <is>
          <t>부용외천리</t>
        </is>
      </c>
      <c r="H3718" s="3" t="inlineStr">
        <is>
          <t>계획관리지역</t>
        </is>
      </c>
      <c r="I3718" s="3" t="inlineStr">
        <is>
          <t>전</t>
        </is>
      </c>
      <c r="J3718" s="3" t="inlineStr">
        <is>
          <t>남이면</t>
        </is>
      </c>
    </row>
    <row r="3719">
      <c r="A3719" s="3" t="n">
        <v>2024</v>
      </c>
      <c r="B3719" s="4" t="n">
        <v>10240</v>
      </c>
      <c r="C3719" s="4" t="n">
        <v>1577</v>
      </c>
      <c r="D3719" s="4" t="n">
        <v>477.0425</v>
      </c>
      <c r="E3719" s="5" t="n">
        <v>21.5</v>
      </c>
      <c r="F3719" s="3" t="inlineStr">
        <is>
          <t>남이면</t>
        </is>
      </c>
      <c r="G3719" s="3" t="inlineStr">
        <is>
          <t>팔봉리</t>
        </is>
      </c>
      <c r="H3719" s="3" t="inlineStr">
        <is>
          <t>보전녹지지역</t>
        </is>
      </c>
      <c r="I3719" s="3" t="inlineStr">
        <is>
          <t>전</t>
        </is>
      </c>
      <c r="J3719" s="3" t="inlineStr">
        <is>
          <t>남이면</t>
        </is>
      </c>
    </row>
    <row r="3720">
      <c r="A3720" s="3" t="n">
        <v>2024</v>
      </c>
      <c r="B3720" s="4" t="n">
        <v>9143</v>
      </c>
      <c r="C3720" s="4" t="n">
        <v>1408</v>
      </c>
      <c r="D3720" s="4" t="n">
        <v>425.92</v>
      </c>
      <c r="E3720" s="5" t="n">
        <v>21.5</v>
      </c>
      <c r="F3720" s="3" t="inlineStr">
        <is>
          <t>남이면</t>
        </is>
      </c>
      <c r="G3720" s="3" t="inlineStr">
        <is>
          <t>팔봉리</t>
        </is>
      </c>
      <c r="H3720" s="3" t="inlineStr">
        <is>
          <t>보전녹지지역</t>
        </is>
      </c>
      <c r="I3720" s="3" t="inlineStr">
        <is>
          <t>전</t>
        </is>
      </c>
      <c r="J3720" s="3" t="inlineStr">
        <is>
          <t>남이면</t>
        </is>
      </c>
    </row>
    <row r="3721">
      <c r="A3721" s="3" t="n">
        <v>2024</v>
      </c>
      <c r="B3721" s="4" t="n">
        <v>1981</v>
      </c>
      <c r="C3721" s="4" t="n">
        <v>305</v>
      </c>
      <c r="D3721" s="4" t="n">
        <v>92.2625</v>
      </c>
      <c r="E3721" s="5" t="n">
        <v>21.5</v>
      </c>
      <c r="F3721" s="3" t="inlineStr">
        <is>
          <t>남이면</t>
        </is>
      </c>
      <c r="G3721" s="3" t="inlineStr">
        <is>
          <t>팔봉리</t>
        </is>
      </c>
      <c r="H3721" s="3" t="inlineStr">
        <is>
          <t>자연녹지지역</t>
        </is>
      </c>
      <c r="I3721" s="3" t="inlineStr">
        <is>
          <t>전</t>
        </is>
      </c>
      <c r="J3721" s="3" t="inlineStr">
        <is>
          <t>남이면</t>
        </is>
      </c>
    </row>
    <row r="3722">
      <c r="A3722" s="3" t="n">
        <v>2024</v>
      </c>
      <c r="B3722" s="4" t="n">
        <v>38637</v>
      </c>
      <c r="C3722" s="4" t="n">
        <v>5950</v>
      </c>
      <c r="D3722" s="4" t="n">
        <v>1799.875</v>
      </c>
      <c r="E3722" s="5" t="n">
        <v>21.5</v>
      </c>
      <c r="F3722" s="3" t="inlineStr">
        <is>
          <t>남이면</t>
        </is>
      </c>
      <c r="G3722" s="3" t="inlineStr">
        <is>
          <t>팔봉리</t>
        </is>
      </c>
      <c r="H3722" s="3" t="inlineStr">
        <is>
          <t>자연녹지지역</t>
        </is>
      </c>
      <c r="I3722" s="3" t="inlineStr">
        <is>
          <t>임야</t>
        </is>
      </c>
      <c r="J3722" s="3" t="inlineStr">
        <is>
          <t>남이면</t>
        </is>
      </c>
    </row>
    <row r="3723">
      <c r="A3723" s="3" t="n">
        <v>2024</v>
      </c>
      <c r="B3723" s="4" t="n">
        <v>8550</v>
      </c>
      <c r="C3723" s="4" t="n">
        <v>205</v>
      </c>
      <c r="D3723" s="4" t="n">
        <v>62.0125</v>
      </c>
      <c r="E3723" s="5" t="n">
        <v>137.9</v>
      </c>
      <c r="F3723" s="3" t="inlineStr">
        <is>
          <t>남이면</t>
        </is>
      </c>
      <c r="G3723" s="3" t="inlineStr">
        <is>
          <t>석실리</t>
        </is>
      </c>
      <c r="H3723" s="3" t="inlineStr">
        <is>
          <t>자연녹지지역</t>
        </is>
      </c>
      <c r="I3723" s="3" t="inlineStr">
        <is>
          <t>공장용지</t>
        </is>
      </c>
      <c r="J3723" s="3" t="inlineStr">
        <is>
          <t>남이면</t>
        </is>
      </c>
    </row>
    <row r="3724">
      <c r="A3724" s="3" t="n">
        <v>2024</v>
      </c>
      <c r="B3724" s="4" t="n">
        <v>75180</v>
      </c>
      <c r="C3724" s="4" t="n">
        <v>1800</v>
      </c>
      <c r="D3724" s="4" t="n">
        <v>544.5</v>
      </c>
      <c r="E3724" s="5" t="n">
        <v>138.1</v>
      </c>
      <c r="F3724" s="3" t="inlineStr">
        <is>
          <t>남이면</t>
        </is>
      </c>
      <c r="G3724" s="3" t="inlineStr">
        <is>
          <t>석실리</t>
        </is>
      </c>
      <c r="H3724" s="3" t="inlineStr">
        <is>
          <t>자연녹지지역</t>
        </is>
      </c>
      <c r="I3724" s="3" t="inlineStr">
        <is>
          <t>공장용지</t>
        </is>
      </c>
      <c r="J3724" s="3" t="inlineStr">
        <is>
          <t>남이면</t>
        </is>
      </c>
    </row>
    <row r="3725">
      <c r="A3725" s="3" t="n">
        <v>2024</v>
      </c>
      <c r="B3725" s="4" t="n">
        <v>101910</v>
      </c>
      <c r="C3725" s="4" t="n">
        <v>2440</v>
      </c>
      <c r="D3725" s="4" t="n">
        <v>738.1</v>
      </c>
      <c r="E3725" s="5" t="n">
        <v>138.1</v>
      </c>
      <c r="F3725" s="3" t="inlineStr">
        <is>
          <t>남이면</t>
        </is>
      </c>
      <c r="G3725" s="3" t="inlineStr">
        <is>
          <t>석실리</t>
        </is>
      </c>
      <c r="H3725" s="3" t="inlineStr">
        <is>
          <t>자연녹지지역</t>
        </is>
      </c>
      <c r="I3725" s="3" t="inlineStr">
        <is>
          <t>공장용지</t>
        </is>
      </c>
      <c r="J3725" s="3" t="inlineStr">
        <is>
          <t>남이면</t>
        </is>
      </c>
    </row>
    <row r="3726">
      <c r="A3726" s="3" t="n">
        <v>2024</v>
      </c>
      <c r="B3726" s="4" t="n">
        <v>2750</v>
      </c>
      <c r="C3726" s="4" t="n">
        <v>80</v>
      </c>
      <c r="D3726" s="4" t="n">
        <v>24.2</v>
      </c>
      <c r="E3726" s="5" t="n">
        <v>113.6</v>
      </c>
      <c r="F3726" s="3" t="inlineStr">
        <is>
          <t>남이면</t>
        </is>
      </c>
      <c r="G3726" s="3" t="inlineStr">
        <is>
          <t>석실리</t>
        </is>
      </c>
      <c r="H3726" s="3" t="inlineStr">
        <is>
          <t>자연녹지지역</t>
        </is>
      </c>
      <c r="I3726" s="3" t="inlineStr">
        <is>
          <t>공장용지</t>
        </is>
      </c>
      <c r="J3726" s="3" t="inlineStr">
        <is>
          <t>남이면</t>
        </is>
      </c>
    </row>
    <row r="3727">
      <c r="A3727" s="3" t="n">
        <v>2024</v>
      </c>
      <c r="B3727" s="4" t="n">
        <v>16500</v>
      </c>
      <c r="C3727" s="4" t="n">
        <v>608</v>
      </c>
      <c r="D3727" s="4" t="n">
        <v>183.92</v>
      </c>
      <c r="E3727" s="5" t="n">
        <v>89.7</v>
      </c>
      <c r="F3727" s="3" t="inlineStr">
        <is>
          <t>남이면</t>
        </is>
      </c>
      <c r="G3727" s="3" t="inlineStr">
        <is>
          <t>부용외천리</t>
        </is>
      </c>
      <c r="H3727" s="3" t="inlineStr">
        <is>
          <t>계획관리지역</t>
        </is>
      </c>
      <c r="I3727" s="3" t="inlineStr">
        <is>
          <t>과수원</t>
        </is>
      </c>
      <c r="J3727" s="3" t="inlineStr">
        <is>
          <t>남이면</t>
        </is>
      </c>
    </row>
    <row r="3728">
      <c r="A3728" s="3" t="n">
        <v>2023</v>
      </c>
      <c r="B3728" s="4" t="n">
        <v>5000</v>
      </c>
      <c r="C3728" s="4" t="n">
        <v>526</v>
      </c>
      <c r="D3728" s="4" t="n">
        <v>159.115</v>
      </c>
      <c r="E3728" s="5" t="n">
        <v>31.4</v>
      </c>
      <c r="F3728" s="3" t="inlineStr">
        <is>
          <t>연서면</t>
        </is>
      </c>
      <c r="G3728" s="3" t="inlineStr">
        <is>
          <t>쌍류리</t>
        </is>
      </c>
      <c r="H3728" s="3" t="inlineStr">
        <is>
          <t>계획관리지역</t>
        </is>
      </c>
      <c r="I3728" s="3" t="inlineStr">
        <is>
          <t>전</t>
        </is>
      </c>
      <c r="J3728" s="3" t="inlineStr">
        <is>
          <t>연서면</t>
        </is>
      </c>
    </row>
    <row r="3729">
      <c r="A3729" s="3" t="n">
        <v>2023</v>
      </c>
      <c r="B3729" s="4" t="n">
        <v>21351</v>
      </c>
      <c r="C3729" s="4" t="n">
        <v>178</v>
      </c>
      <c r="D3729" s="4" t="n">
        <v>53.845</v>
      </c>
      <c r="E3729" s="5" t="n">
        <v>396.5</v>
      </c>
      <c r="F3729" s="3" t="inlineStr">
        <is>
          <t>연동면</t>
        </is>
      </c>
      <c r="G3729" s="3" t="inlineStr">
        <is>
          <t>명학리</t>
        </is>
      </c>
      <c r="H3729" s="3" t="inlineStr">
        <is>
          <t>계획관리지역</t>
        </is>
      </c>
      <c r="I3729" s="3" t="inlineStr">
        <is>
          <t>잡종지</t>
        </is>
      </c>
      <c r="J3729" s="3" t="inlineStr">
        <is>
          <t>연동면</t>
        </is>
      </c>
    </row>
    <row r="3730">
      <c r="A3730" s="3" t="n">
        <v>2023</v>
      </c>
      <c r="B3730" s="4" t="n">
        <v>11348</v>
      </c>
      <c r="C3730" s="4" t="n">
        <v>95</v>
      </c>
      <c r="D3730" s="4" t="n">
        <v>28.7375</v>
      </c>
      <c r="E3730" s="5" t="n">
        <v>394.9</v>
      </c>
      <c r="F3730" s="3" t="inlineStr">
        <is>
          <t>연동면</t>
        </is>
      </c>
      <c r="G3730" s="3" t="inlineStr">
        <is>
          <t>명학리</t>
        </is>
      </c>
      <c r="H3730" s="3" t="inlineStr">
        <is>
          <t>계획관리지역</t>
        </is>
      </c>
      <c r="I3730" s="3" t="inlineStr">
        <is>
          <t>잡종지</t>
        </is>
      </c>
      <c r="J3730" s="3" t="inlineStr">
        <is>
          <t>연동면</t>
        </is>
      </c>
    </row>
    <row r="3731">
      <c r="A3731" s="3" t="n">
        <v>2023</v>
      </c>
      <c r="B3731" s="4" t="n">
        <v>64715</v>
      </c>
      <c r="C3731" s="4" t="n">
        <v>537</v>
      </c>
      <c r="D3731" s="4" t="n">
        <v>162.4425</v>
      </c>
      <c r="E3731" s="5" t="n">
        <v>398.4</v>
      </c>
      <c r="F3731" s="3" t="inlineStr">
        <is>
          <t>연동면</t>
        </is>
      </c>
      <c r="G3731" s="3" t="inlineStr">
        <is>
          <t>명학리</t>
        </is>
      </c>
      <c r="H3731" s="3" t="inlineStr">
        <is>
          <t>계획관리지역</t>
        </is>
      </c>
      <c r="I3731" s="3" t="inlineStr">
        <is>
          <t>대</t>
        </is>
      </c>
      <c r="J3731" s="3" t="inlineStr">
        <is>
          <t>연동면</t>
        </is>
      </c>
    </row>
    <row r="3732">
      <c r="A3732" s="3" t="n">
        <v>2023</v>
      </c>
      <c r="B3732" s="4" t="n">
        <v>34700</v>
      </c>
      <c r="C3732" s="4" t="n">
        <v>258</v>
      </c>
      <c r="D3732" s="4" t="n">
        <v>78.045</v>
      </c>
      <c r="E3732" s="5" t="n">
        <v>444.6</v>
      </c>
      <c r="F3732" s="3" t="inlineStr">
        <is>
          <t>조치원읍</t>
        </is>
      </c>
      <c r="G3732" s="3" t="inlineStr">
        <is>
          <t>서창리</t>
        </is>
      </c>
      <c r="H3732" s="3" t="inlineStr">
        <is>
          <t>제2종일반주거지역</t>
        </is>
      </c>
      <c r="I3732" s="3" t="inlineStr">
        <is>
          <t>대</t>
        </is>
      </c>
      <c r="J3732" s="3" t="inlineStr">
        <is>
          <t>조치원읍</t>
        </is>
      </c>
    </row>
    <row r="3733">
      <c r="A3733" s="3" t="n">
        <v>2023</v>
      </c>
      <c r="B3733" s="4" t="n">
        <v>48000</v>
      </c>
      <c r="C3733" s="4" t="n">
        <v>425</v>
      </c>
      <c r="D3733" s="4" t="n">
        <v>128.5625</v>
      </c>
      <c r="E3733" s="5" t="n">
        <v>373.4</v>
      </c>
      <c r="F3733" s="3" t="inlineStr">
        <is>
          <t>연동면</t>
        </is>
      </c>
      <c r="G3733" s="3" t="inlineStr">
        <is>
          <t>명학리</t>
        </is>
      </c>
      <c r="H3733" s="3" t="inlineStr">
        <is>
          <t>계획관리지역</t>
        </is>
      </c>
      <c r="I3733" s="3" t="inlineStr">
        <is>
          <t>잡종지</t>
        </is>
      </c>
      <c r="J3733" s="3" t="inlineStr">
        <is>
          <t>연동면</t>
        </is>
      </c>
    </row>
    <row r="3734">
      <c r="A3734" s="3" t="n">
        <v>2022</v>
      </c>
      <c r="B3734" s="4" t="n">
        <v>4500</v>
      </c>
      <c r="C3734" s="4" t="n">
        <v>291</v>
      </c>
      <c r="D3734" s="4" t="n">
        <v>88.0275</v>
      </c>
      <c r="E3734" s="5" t="n">
        <v>51.1</v>
      </c>
      <c r="F3734" s="3" t="inlineStr">
        <is>
          <t>연서면</t>
        </is>
      </c>
      <c r="G3734" s="3" t="inlineStr">
        <is>
          <t>쌍류리</t>
        </is>
      </c>
      <c r="H3734" s="3" t="inlineStr">
        <is>
          <t>생산관리지역</t>
        </is>
      </c>
      <c r="I3734" s="3" t="inlineStr">
        <is>
          <t>전</t>
        </is>
      </c>
      <c r="J3734" s="3" t="inlineStr">
        <is>
          <t>연서면</t>
        </is>
      </c>
    </row>
    <row r="3735">
      <c r="A3735" s="3" t="n">
        <v>2026</v>
      </c>
      <c r="B3735" s="4" t="n">
        <v>150</v>
      </c>
      <c r="C3735" s="4" t="n">
        <v>19</v>
      </c>
      <c r="D3735" s="4" t="n">
        <v>5.7475</v>
      </c>
      <c r="E3735" s="5" t="n">
        <v>26.1</v>
      </c>
      <c r="F3735" s="3" t="inlineStr">
        <is>
          <t>연서면</t>
        </is>
      </c>
      <c r="G3735" s="3" t="inlineStr">
        <is>
          <t>용암리</t>
        </is>
      </c>
      <c r="H3735" s="3" t="inlineStr">
        <is>
          <t>농림지역</t>
        </is>
      </c>
      <c r="I3735" s="3" t="inlineStr">
        <is>
          <t>과수원</t>
        </is>
      </c>
      <c r="J3735" s="3" t="inlineStr">
        <is>
          <t>연서면</t>
        </is>
      </c>
    </row>
    <row r="3736">
      <c r="A3736" s="3" t="n">
        <v>2026</v>
      </c>
      <c r="B3736" s="4" t="n">
        <v>2350</v>
      </c>
      <c r="C3736" s="4" t="n">
        <v>297</v>
      </c>
      <c r="D3736" s="4" t="n">
        <v>89.8425</v>
      </c>
      <c r="E3736" s="5" t="n">
        <v>26.2</v>
      </c>
      <c r="F3736" s="3" t="inlineStr">
        <is>
          <t>연서면</t>
        </is>
      </c>
      <c r="G3736" s="3" t="inlineStr">
        <is>
          <t>용암리</t>
        </is>
      </c>
      <c r="H3736" s="3" t="inlineStr">
        <is>
          <t>농림지역</t>
        </is>
      </c>
      <c r="I3736" s="3" t="inlineStr">
        <is>
          <t>과수원</t>
        </is>
      </c>
      <c r="J3736" s="3" t="inlineStr">
        <is>
          <t>연서면</t>
        </is>
      </c>
    </row>
    <row r="3737">
      <c r="A3737" s="3" t="n">
        <v>2026</v>
      </c>
      <c r="B3737" s="4" t="n">
        <v>500</v>
      </c>
      <c r="C3737" s="4" t="n">
        <v>60</v>
      </c>
      <c r="D3737" s="4" t="n">
        <v>18.15</v>
      </c>
      <c r="E3737" s="5" t="n">
        <v>27.5</v>
      </c>
      <c r="F3737" s="3" t="inlineStr">
        <is>
          <t>연서면</t>
        </is>
      </c>
      <c r="G3737" s="3" t="inlineStr">
        <is>
          <t>용암리</t>
        </is>
      </c>
      <c r="H3737" s="3" t="inlineStr">
        <is>
          <t>농림지역</t>
        </is>
      </c>
      <c r="I3737" s="3" t="inlineStr">
        <is>
          <t>도로</t>
        </is>
      </c>
      <c r="J3737" s="3" t="inlineStr">
        <is>
          <t>연서면</t>
        </is>
      </c>
    </row>
    <row r="3738">
      <c r="A3738" s="3" t="n">
        <v>2026</v>
      </c>
      <c r="B3738" s="4" t="n">
        <v>35000</v>
      </c>
      <c r="C3738" s="4" t="n">
        <v>262.4</v>
      </c>
      <c r="D3738" s="4" t="n">
        <v>79.37599999999999</v>
      </c>
      <c r="E3738" s="5" t="n">
        <v>440.9</v>
      </c>
      <c r="F3738" s="3" t="inlineStr">
        <is>
          <t>집현동</t>
        </is>
      </c>
      <c r="G3738" s="3" t="inlineStr"/>
      <c r="H3738" s="3" t="inlineStr">
        <is>
          <t>제1종전용주거지역</t>
        </is>
      </c>
      <c r="I3738" s="3" t="inlineStr">
        <is>
          <t>대</t>
        </is>
      </c>
      <c r="J3738" s="3" t="inlineStr">
        <is>
          <t>집현동</t>
        </is>
      </c>
    </row>
    <row r="3739">
      <c r="A3739" s="3" t="n">
        <v>2026</v>
      </c>
      <c r="B3739" s="4" t="n">
        <v>125000</v>
      </c>
      <c r="C3739" s="4" t="n">
        <v>411</v>
      </c>
      <c r="D3739" s="4" t="n">
        <v>124.3275</v>
      </c>
      <c r="E3739" s="5" t="n">
        <v>1005.4</v>
      </c>
      <c r="F3739" s="3" t="inlineStr">
        <is>
          <t>해밀동</t>
        </is>
      </c>
      <c r="G3739" s="3" t="inlineStr"/>
      <c r="H3739" s="3" t="inlineStr">
        <is>
          <t>제2종일반주거지역</t>
        </is>
      </c>
      <c r="I3739" s="3" t="inlineStr">
        <is>
          <t>대</t>
        </is>
      </c>
      <c r="J3739" s="3" t="inlineStr">
        <is>
          <t>해밀동</t>
        </is>
      </c>
    </row>
    <row r="3740">
      <c r="A3740" s="3" t="n">
        <v>2026</v>
      </c>
      <c r="B3740" s="4" t="n">
        <v>125220</v>
      </c>
      <c r="C3740" s="4" t="n">
        <v>10348</v>
      </c>
      <c r="D3740" s="4" t="n">
        <v>3130.27</v>
      </c>
      <c r="E3740" s="5" t="n">
        <v>40</v>
      </c>
      <c r="F3740" s="3" t="inlineStr">
        <is>
          <t>연서면</t>
        </is>
      </c>
      <c r="G3740" s="3" t="inlineStr">
        <is>
          <t>쌍류리</t>
        </is>
      </c>
      <c r="H3740" s="3" t="inlineStr">
        <is>
          <t>생산관리지역</t>
        </is>
      </c>
      <c r="I3740" s="3" t="inlineStr">
        <is>
          <t>과수원</t>
        </is>
      </c>
      <c r="J3740" s="3" t="inlineStr">
        <is>
          <t>연서면</t>
        </is>
      </c>
    </row>
    <row r="3741">
      <c r="A3741" s="3" t="n">
        <v>2026</v>
      </c>
      <c r="B3741" s="4" t="n">
        <v>5000</v>
      </c>
      <c r="C3741" s="4" t="n">
        <v>201.1</v>
      </c>
      <c r="D3741" s="4" t="n">
        <v>60.83275</v>
      </c>
      <c r="E3741" s="5" t="n">
        <v>82.2</v>
      </c>
      <c r="F3741" s="3" t="inlineStr">
        <is>
          <t>연서면</t>
        </is>
      </c>
      <c r="G3741" s="3" t="inlineStr">
        <is>
          <t>청라리</t>
        </is>
      </c>
      <c r="H3741" s="3" t="inlineStr">
        <is>
          <t>계획관리지역</t>
        </is>
      </c>
      <c r="I3741" s="3" t="inlineStr">
        <is>
          <t>대</t>
        </is>
      </c>
      <c r="J3741" s="3" t="inlineStr">
        <is>
          <t>연서면</t>
        </is>
      </c>
    </row>
    <row r="3742">
      <c r="A3742" s="3" t="n">
        <v>2026</v>
      </c>
      <c r="B3742" s="4" t="n">
        <v>220</v>
      </c>
      <c r="C3742" s="4" t="n">
        <v>22</v>
      </c>
      <c r="D3742" s="4" t="n">
        <v>6.654999999999999</v>
      </c>
      <c r="E3742" s="5" t="n">
        <v>33.1</v>
      </c>
      <c r="F3742" s="3" t="inlineStr">
        <is>
          <t>부강면</t>
        </is>
      </c>
      <c r="G3742" s="3" t="inlineStr">
        <is>
          <t>문곡리</t>
        </is>
      </c>
      <c r="H3742" s="3" t="inlineStr">
        <is>
          <t>계획관리지역</t>
        </is>
      </c>
      <c r="I3742" s="3" t="inlineStr">
        <is>
          <t>전</t>
        </is>
      </c>
      <c r="J3742" s="3" t="inlineStr">
        <is>
          <t>부강면</t>
        </is>
      </c>
    </row>
    <row r="3743">
      <c r="A3743" s="3" t="n">
        <v>2024</v>
      </c>
      <c r="B3743" s="4" t="n">
        <v>17837</v>
      </c>
      <c r="C3743" s="4" t="n">
        <v>282</v>
      </c>
      <c r="D3743" s="4" t="n">
        <v>85.30499999999999</v>
      </c>
      <c r="E3743" s="5" t="n">
        <v>209.1</v>
      </c>
      <c r="F3743" s="3" t="inlineStr">
        <is>
          <t>조치원읍</t>
        </is>
      </c>
      <c r="G3743" s="3" t="inlineStr">
        <is>
          <t>번암리</t>
        </is>
      </c>
      <c r="H3743" s="3" t="inlineStr">
        <is>
          <t>일반공업지역</t>
        </is>
      </c>
      <c r="I3743" s="3" t="inlineStr">
        <is>
          <t>답</t>
        </is>
      </c>
      <c r="J3743" s="3" t="inlineStr">
        <is>
          <t>조치원읍</t>
        </is>
      </c>
    </row>
    <row r="3744">
      <c r="A3744" s="3" t="n">
        <v>2024</v>
      </c>
      <c r="B3744" s="4" t="n">
        <v>2024</v>
      </c>
      <c r="C3744" s="4" t="n">
        <v>32</v>
      </c>
      <c r="D3744" s="4" t="n">
        <v>9.68</v>
      </c>
      <c r="E3744" s="5" t="n">
        <v>209.1</v>
      </c>
      <c r="F3744" s="3" t="inlineStr">
        <is>
          <t>조치원읍</t>
        </is>
      </c>
      <c r="G3744" s="3" t="inlineStr">
        <is>
          <t>번암리</t>
        </is>
      </c>
      <c r="H3744" s="3" t="inlineStr">
        <is>
          <t>일반공업지역</t>
        </is>
      </c>
      <c r="I3744" s="3" t="inlineStr">
        <is>
          <t>답</t>
        </is>
      </c>
      <c r="J3744" s="3" t="inlineStr">
        <is>
          <t>조치원읍</t>
        </is>
      </c>
    </row>
    <row r="3745">
      <c r="A3745" s="3" t="n">
        <v>2024</v>
      </c>
      <c r="B3745" s="4" t="n">
        <v>2593</v>
      </c>
      <c r="C3745" s="4" t="n">
        <v>41</v>
      </c>
      <c r="D3745" s="4" t="n">
        <v>12.4025</v>
      </c>
      <c r="E3745" s="5" t="n">
        <v>209.1</v>
      </c>
      <c r="F3745" s="3" t="inlineStr">
        <is>
          <t>조치원읍</t>
        </is>
      </c>
      <c r="G3745" s="3" t="inlineStr">
        <is>
          <t>번암리</t>
        </is>
      </c>
      <c r="H3745" s="3" t="inlineStr">
        <is>
          <t>일반공업지역</t>
        </is>
      </c>
      <c r="I3745" s="3" t="inlineStr">
        <is>
          <t>답</t>
        </is>
      </c>
      <c r="J3745" s="3" t="inlineStr">
        <is>
          <t>조치원읍</t>
        </is>
      </c>
    </row>
    <row r="3746">
      <c r="A3746" s="3" t="n">
        <v>2024</v>
      </c>
      <c r="B3746" s="4" t="n">
        <v>15876</v>
      </c>
      <c r="C3746" s="4" t="n">
        <v>251</v>
      </c>
      <c r="D3746" s="4" t="n">
        <v>75.92749999999999</v>
      </c>
      <c r="E3746" s="5" t="n">
        <v>209.1</v>
      </c>
      <c r="F3746" s="3" t="inlineStr">
        <is>
          <t>조치원읍</t>
        </is>
      </c>
      <c r="G3746" s="3" t="inlineStr">
        <is>
          <t>번암리</t>
        </is>
      </c>
      <c r="H3746" s="3" t="inlineStr">
        <is>
          <t>일반공업지역</t>
        </is>
      </c>
      <c r="I3746" s="3" t="inlineStr">
        <is>
          <t>답</t>
        </is>
      </c>
      <c r="J3746" s="3" t="inlineStr">
        <is>
          <t>조치원읍</t>
        </is>
      </c>
    </row>
    <row r="3747">
      <c r="A3747" s="3" t="n">
        <v>2024</v>
      </c>
      <c r="B3747" s="4" t="n">
        <v>4491</v>
      </c>
      <c r="C3747" s="4" t="n">
        <v>71</v>
      </c>
      <c r="D3747" s="4" t="n">
        <v>21.4775</v>
      </c>
      <c r="E3747" s="5" t="n">
        <v>209.1</v>
      </c>
      <c r="F3747" s="3" t="inlineStr">
        <is>
          <t>조치원읍</t>
        </is>
      </c>
      <c r="G3747" s="3" t="inlineStr">
        <is>
          <t>번암리</t>
        </is>
      </c>
      <c r="H3747" s="3" t="inlineStr">
        <is>
          <t>일반공업지역</t>
        </is>
      </c>
      <c r="I3747" s="3" t="inlineStr">
        <is>
          <t>답</t>
        </is>
      </c>
      <c r="J3747" s="3" t="inlineStr">
        <is>
          <t>조치원읍</t>
        </is>
      </c>
    </row>
    <row r="3748">
      <c r="A3748" s="3" t="n">
        <v>2024</v>
      </c>
      <c r="B3748" s="4" t="n">
        <v>4301</v>
      </c>
      <c r="C3748" s="4" t="n">
        <v>68</v>
      </c>
      <c r="D3748" s="4" t="n">
        <v>20.57</v>
      </c>
      <c r="E3748" s="5" t="n">
        <v>209.1</v>
      </c>
      <c r="F3748" s="3" t="inlineStr">
        <is>
          <t>조치원읍</t>
        </is>
      </c>
      <c r="G3748" s="3" t="inlineStr">
        <is>
          <t>번암리</t>
        </is>
      </c>
      <c r="H3748" s="3" t="inlineStr">
        <is>
          <t>일반공업지역</t>
        </is>
      </c>
      <c r="I3748" s="3" t="inlineStr">
        <is>
          <t>답</t>
        </is>
      </c>
      <c r="J3748" s="3" t="inlineStr">
        <is>
          <t>조치원읍</t>
        </is>
      </c>
    </row>
    <row r="3749">
      <c r="A3749" s="3" t="n">
        <v>2024</v>
      </c>
      <c r="B3749" s="4" t="n">
        <v>1392</v>
      </c>
      <c r="C3749" s="4" t="n">
        <v>22</v>
      </c>
      <c r="D3749" s="4" t="n">
        <v>6.654999999999999</v>
      </c>
      <c r="E3749" s="5" t="n">
        <v>209.2</v>
      </c>
      <c r="F3749" s="3" t="inlineStr">
        <is>
          <t>조치원읍</t>
        </is>
      </c>
      <c r="G3749" s="3" t="inlineStr">
        <is>
          <t>번암리</t>
        </is>
      </c>
      <c r="H3749" s="3" t="inlineStr">
        <is>
          <t>일반공업지역</t>
        </is>
      </c>
      <c r="I3749" s="3" t="inlineStr">
        <is>
          <t>답</t>
        </is>
      </c>
      <c r="J3749" s="3" t="inlineStr">
        <is>
          <t>조치원읍</t>
        </is>
      </c>
    </row>
    <row r="3750">
      <c r="A3750" s="3" t="n">
        <v>2024</v>
      </c>
      <c r="B3750" s="4" t="n">
        <v>2657</v>
      </c>
      <c r="C3750" s="4" t="n">
        <v>42</v>
      </c>
      <c r="D3750" s="4" t="n">
        <v>12.705</v>
      </c>
      <c r="E3750" s="5" t="n">
        <v>209.1</v>
      </c>
      <c r="F3750" s="3" t="inlineStr">
        <is>
          <t>조치원읍</t>
        </is>
      </c>
      <c r="G3750" s="3" t="inlineStr">
        <is>
          <t>번암리</t>
        </is>
      </c>
      <c r="H3750" s="3" t="inlineStr">
        <is>
          <t>일반공업지역</t>
        </is>
      </c>
      <c r="I3750" s="3" t="inlineStr">
        <is>
          <t>답</t>
        </is>
      </c>
      <c r="J3750" s="3" t="inlineStr">
        <is>
          <t>조치원읍</t>
        </is>
      </c>
    </row>
    <row r="3751">
      <c r="A3751" s="3" t="n">
        <v>2024</v>
      </c>
      <c r="B3751" s="4" t="n">
        <v>7527</v>
      </c>
      <c r="C3751" s="4" t="n">
        <v>119</v>
      </c>
      <c r="D3751" s="4" t="n">
        <v>35.9975</v>
      </c>
      <c r="E3751" s="5" t="n">
        <v>209.1</v>
      </c>
      <c r="F3751" s="3" t="inlineStr">
        <is>
          <t>조치원읍</t>
        </is>
      </c>
      <c r="G3751" s="3" t="inlineStr">
        <is>
          <t>번암리</t>
        </is>
      </c>
      <c r="H3751" s="3" t="inlineStr">
        <is>
          <t>일반공업지역</t>
        </is>
      </c>
      <c r="I3751" s="3" t="inlineStr">
        <is>
          <t>답</t>
        </is>
      </c>
      <c r="J3751" s="3" t="inlineStr">
        <is>
          <t>조치원읍</t>
        </is>
      </c>
    </row>
    <row r="3752">
      <c r="A3752" s="3" t="n">
        <v>2024</v>
      </c>
      <c r="B3752" s="4" t="n">
        <v>3416</v>
      </c>
      <c r="C3752" s="4" t="n">
        <v>54</v>
      </c>
      <c r="D3752" s="4" t="n">
        <v>16.335</v>
      </c>
      <c r="E3752" s="5" t="n">
        <v>209.1</v>
      </c>
      <c r="F3752" s="3" t="inlineStr">
        <is>
          <t>조치원읍</t>
        </is>
      </c>
      <c r="G3752" s="3" t="inlineStr">
        <is>
          <t>번암리</t>
        </is>
      </c>
      <c r="H3752" s="3" t="inlineStr">
        <is>
          <t>일반공업지역</t>
        </is>
      </c>
      <c r="I3752" s="3" t="inlineStr">
        <is>
          <t>답</t>
        </is>
      </c>
      <c r="J3752" s="3" t="inlineStr">
        <is>
          <t>조치원읍</t>
        </is>
      </c>
    </row>
    <row r="3753">
      <c r="A3753" s="3" t="n">
        <v>2024</v>
      </c>
      <c r="B3753" s="4" t="n">
        <v>949</v>
      </c>
      <c r="C3753" s="4" t="n">
        <v>15</v>
      </c>
      <c r="D3753" s="4" t="n">
        <v>4.5375</v>
      </c>
      <c r="E3753" s="5" t="n">
        <v>209.1</v>
      </c>
      <c r="F3753" s="3" t="inlineStr">
        <is>
          <t>조치원읍</t>
        </is>
      </c>
      <c r="G3753" s="3" t="inlineStr">
        <is>
          <t>번암리</t>
        </is>
      </c>
      <c r="H3753" s="3" t="inlineStr">
        <is>
          <t>일반공업지역</t>
        </is>
      </c>
      <c r="I3753" s="3" t="inlineStr">
        <is>
          <t>답</t>
        </is>
      </c>
      <c r="J3753" s="3" t="inlineStr">
        <is>
          <t>조치원읍</t>
        </is>
      </c>
    </row>
    <row r="3754">
      <c r="A3754" s="3" t="n">
        <v>2024</v>
      </c>
      <c r="B3754" s="4" t="n">
        <v>9849</v>
      </c>
      <c r="C3754" s="4" t="n">
        <v>148</v>
      </c>
      <c r="D3754" s="4" t="n">
        <v>44.77</v>
      </c>
      <c r="E3754" s="5" t="n">
        <v>220</v>
      </c>
      <c r="F3754" s="3" t="inlineStr">
        <is>
          <t>조치원읍</t>
        </is>
      </c>
      <c r="G3754" s="3" t="inlineStr">
        <is>
          <t>번암리</t>
        </is>
      </c>
      <c r="H3754" s="3" t="inlineStr">
        <is>
          <t>일반공업지역</t>
        </is>
      </c>
      <c r="I3754" s="3" t="inlineStr">
        <is>
          <t>공장용지</t>
        </is>
      </c>
      <c r="J3754" s="3" t="inlineStr">
        <is>
          <t>조치원읍</t>
        </is>
      </c>
    </row>
    <row r="3755">
      <c r="A3755" s="3" t="n">
        <v>2025</v>
      </c>
      <c r="B3755" s="4" t="n">
        <v>7480</v>
      </c>
      <c r="C3755" s="4" t="n">
        <v>1127</v>
      </c>
      <c r="D3755" s="4" t="n">
        <v>340.9175</v>
      </c>
      <c r="E3755" s="5" t="n">
        <v>21.9</v>
      </c>
      <c r="F3755" s="3" t="inlineStr">
        <is>
          <t>부강면</t>
        </is>
      </c>
      <c r="G3755" s="3" t="inlineStr">
        <is>
          <t>행산리</t>
        </is>
      </c>
      <c r="H3755" s="3" t="inlineStr">
        <is>
          <t>계획관리지역</t>
        </is>
      </c>
      <c r="I3755" s="3" t="inlineStr">
        <is>
          <t>전</t>
        </is>
      </c>
      <c r="J3755" s="3" t="inlineStr">
        <is>
          <t>부강면</t>
        </is>
      </c>
    </row>
    <row r="3756">
      <c r="A3756" s="3" t="n">
        <v>2025</v>
      </c>
      <c r="B3756" s="4" t="n">
        <v>6800</v>
      </c>
      <c r="C3756" s="4" t="n">
        <v>1008</v>
      </c>
      <c r="D3756" s="4" t="n">
        <v>304.92</v>
      </c>
      <c r="E3756" s="5" t="n">
        <v>22.3</v>
      </c>
      <c r="F3756" s="3" t="inlineStr">
        <is>
          <t>연서면</t>
        </is>
      </c>
      <c r="G3756" s="3" t="inlineStr">
        <is>
          <t>고복리</t>
        </is>
      </c>
      <c r="H3756" s="3" t="inlineStr">
        <is>
          <t>보전관리지역</t>
        </is>
      </c>
      <c r="I3756" s="3" t="inlineStr">
        <is>
          <t>임야</t>
        </is>
      </c>
      <c r="J3756" s="3" t="inlineStr">
        <is>
          <t>연서면</t>
        </is>
      </c>
    </row>
    <row r="3757">
      <c r="A3757" s="3" t="n">
        <v>2025</v>
      </c>
      <c r="B3757" s="4" t="n">
        <v>177135</v>
      </c>
      <c r="C3757" s="4" t="n">
        <v>3209.5</v>
      </c>
      <c r="D3757" s="4" t="n">
        <v>970.87375</v>
      </c>
      <c r="E3757" s="5" t="n">
        <v>182.4</v>
      </c>
      <c r="F3757" s="3" t="inlineStr">
        <is>
          <t>집현동</t>
        </is>
      </c>
      <c r="G3757" s="3" t="inlineStr"/>
      <c r="H3757" s="3" t="inlineStr">
        <is>
          <t>준주거지역</t>
        </is>
      </c>
      <c r="I3757" s="3" t="inlineStr">
        <is>
          <t>대</t>
        </is>
      </c>
      <c r="J3757" s="3" t="inlineStr">
        <is>
          <t>집현동</t>
        </is>
      </c>
    </row>
    <row r="3758">
      <c r="A3758" s="3" t="n">
        <v>2025</v>
      </c>
      <c r="B3758" s="4" t="n">
        <v>60000</v>
      </c>
      <c r="C3758" s="4" t="n">
        <v>351.6</v>
      </c>
      <c r="D3758" s="4" t="n">
        <v>106.359</v>
      </c>
      <c r="E3758" s="5" t="n">
        <v>564.1</v>
      </c>
      <c r="F3758" s="3" t="inlineStr">
        <is>
          <t>집현동</t>
        </is>
      </c>
      <c r="G3758" s="3" t="inlineStr"/>
      <c r="H3758" s="3" t="inlineStr">
        <is>
          <t>제1종전용주거지역</t>
        </is>
      </c>
      <c r="I3758" s="3" t="inlineStr">
        <is>
          <t>대</t>
        </is>
      </c>
      <c r="J3758" s="3" t="inlineStr">
        <is>
          <t>집현동</t>
        </is>
      </c>
    </row>
    <row r="3759">
      <c r="A3759" s="3" t="n">
        <v>2025</v>
      </c>
      <c r="B3759" s="4" t="n">
        <v>760</v>
      </c>
      <c r="C3759" s="4" t="n">
        <v>155</v>
      </c>
      <c r="D3759" s="4" t="n">
        <v>46.8875</v>
      </c>
      <c r="E3759" s="5" t="n">
        <v>16.2</v>
      </c>
      <c r="F3759" s="3" t="inlineStr">
        <is>
          <t>부강면</t>
        </is>
      </c>
      <c r="G3759" s="3" t="inlineStr">
        <is>
          <t>노호리</t>
        </is>
      </c>
      <c r="H3759" s="3" t="inlineStr">
        <is>
          <t>계획관리지역</t>
        </is>
      </c>
      <c r="I3759" s="3" t="inlineStr">
        <is>
          <t>도로</t>
        </is>
      </c>
      <c r="J3759" s="3" t="inlineStr">
        <is>
          <t>부강면</t>
        </is>
      </c>
    </row>
    <row r="3760">
      <c r="A3760" s="3" t="n">
        <v>2025</v>
      </c>
      <c r="B3760" s="4" t="n">
        <v>167339</v>
      </c>
      <c r="C3760" s="4" t="n">
        <v>3010.7</v>
      </c>
      <c r="D3760" s="4" t="n">
        <v>910.7367499999999</v>
      </c>
      <c r="E3760" s="5" t="n">
        <v>183.7</v>
      </c>
      <c r="F3760" s="3" t="inlineStr">
        <is>
          <t>집현동</t>
        </is>
      </c>
      <c r="G3760" s="3" t="inlineStr"/>
      <c r="H3760" s="3" t="inlineStr">
        <is>
          <t>준주거지역</t>
        </is>
      </c>
      <c r="I3760" s="3" t="inlineStr">
        <is>
          <t>대</t>
        </is>
      </c>
      <c r="J3760" s="3" t="inlineStr">
        <is>
          <t>집현동</t>
        </is>
      </c>
    </row>
    <row r="3761">
      <c r="A3761" s="3" t="n">
        <v>2025</v>
      </c>
      <c r="B3761" s="4" t="n">
        <v>42500</v>
      </c>
      <c r="C3761" s="4" t="n">
        <v>290</v>
      </c>
      <c r="D3761" s="4" t="n">
        <v>87.72499999999999</v>
      </c>
      <c r="E3761" s="5" t="n">
        <v>484.5</v>
      </c>
      <c r="F3761" s="3" t="inlineStr">
        <is>
          <t>고운동</t>
        </is>
      </c>
      <c r="G3761" s="3" t="inlineStr"/>
      <c r="H3761" s="3" t="inlineStr">
        <is>
          <t>제1종전용주거지역</t>
        </is>
      </c>
      <c r="I3761" s="3" t="inlineStr">
        <is>
          <t>대</t>
        </is>
      </c>
      <c r="J3761" s="3" t="inlineStr">
        <is>
          <t>고운동</t>
        </is>
      </c>
    </row>
    <row r="3762">
      <c r="A3762" s="3" t="n">
        <v>2025</v>
      </c>
      <c r="B3762" s="4" t="n">
        <v>15333</v>
      </c>
      <c r="C3762" s="4" t="n">
        <v>220</v>
      </c>
      <c r="D3762" s="4" t="n">
        <v>66.55</v>
      </c>
      <c r="E3762" s="5" t="n">
        <v>230.4</v>
      </c>
      <c r="F3762" s="3" t="inlineStr">
        <is>
          <t>연동면</t>
        </is>
      </c>
      <c r="G3762" s="3" t="inlineStr">
        <is>
          <t>내판리</t>
        </is>
      </c>
      <c r="H3762" s="3" t="inlineStr">
        <is>
          <t>계획관리지역</t>
        </is>
      </c>
      <c r="I3762" s="3" t="inlineStr">
        <is>
          <t>답</t>
        </is>
      </c>
      <c r="J3762" s="3" t="inlineStr">
        <is>
          <t>연동면</t>
        </is>
      </c>
    </row>
    <row r="3763">
      <c r="A3763" s="3" t="n">
        <v>2025</v>
      </c>
      <c r="B3763" s="4" t="n">
        <v>19167</v>
      </c>
      <c r="C3763" s="4" t="n">
        <v>275</v>
      </c>
      <c r="D3763" s="4" t="n">
        <v>83.1875</v>
      </c>
      <c r="E3763" s="5" t="n">
        <v>230.4</v>
      </c>
      <c r="F3763" s="3" t="inlineStr">
        <is>
          <t>연동면</t>
        </is>
      </c>
      <c r="G3763" s="3" t="inlineStr">
        <is>
          <t>내판리</t>
        </is>
      </c>
      <c r="H3763" s="3" t="inlineStr">
        <is>
          <t>계획관리지역</t>
        </is>
      </c>
      <c r="I3763" s="3" t="inlineStr">
        <is>
          <t>답</t>
        </is>
      </c>
      <c r="J3763" s="3" t="inlineStr">
        <is>
          <t>연동면</t>
        </is>
      </c>
    </row>
    <row r="3764">
      <c r="A3764" s="3" t="n">
        <v>2023</v>
      </c>
      <c r="B3764" s="4" t="n">
        <v>60000</v>
      </c>
      <c r="C3764" s="4" t="n">
        <v>2985</v>
      </c>
      <c r="D3764" s="4" t="n">
        <v>902.9625</v>
      </c>
      <c r="E3764" s="5" t="n">
        <v>66.40000000000001</v>
      </c>
      <c r="F3764" s="3" t="inlineStr">
        <is>
          <t>연서면</t>
        </is>
      </c>
      <c r="G3764" s="3" t="inlineStr">
        <is>
          <t>봉암리</t>
        </is>
      </c>
      <c r="H3764" s="3" t="inlineStr">
        <is>
          <t>농림지역</t>
        </is>
      </c>
      <c r="I3764" s="3" t="inlineStr">
        <is>
          <t>답</t>
        </is>
      </c>
      <c r="J3764" s="3" t="inlineStr">
        <is>
          <t>연서면</t>
        </is>
      </c>
    </row>
    <row r="3765">
      <c r="A3765" s="3" t="n">
        <v>2023</v>
      </c>
      <c r="B3765" s="4" t="n">
        <v>45590</v>
      </c>
      <c r="C3765" s="4" t="n">
        <v>320.7</v>
      </c>
      <c r="D3765" s="4" t="n">
        <v>97.01174999999999</v>
      </c>
      <c r="E3765" s="5" t="n">
        <v>469.9</v>
      </c>
      <c r="F3765" s="3" t="inlineStr">
        <is>
          <t>조치원읍</t>
        </is>
      </c>
      <c r="G3765" s="3" t="inlineStr">
        <is>
          <t>침산리</t>
        </is>
      </c>
      <c r="H3765" s="3" t="inlineStr">
        <is>
          <t>제2종일반주거지역</t>
        </is>
      </c>
      <c r="I3765" s="3" t="inlineStr">
        <is>
          <t>대</t>
        </is>
      </c>
      <c r="J3765" s="3" t="inlineStr">
        <is>
          <t>조치원읍</t>
        </is>
      </c>
    </row>
    <row r="3766">
      <c r="A3766" s="3" t="n">
        <v>2023</v>
      </c>
      <c r="B3766" s="4" t="n">
        <v>68858</v>
      </c>
      <c r="C3766" s="4" t="n">
        <v>1669</v>
      </c>
      <c r="D3766" s="4" t="n">
        <v>504.8725</v>
      </c>
      <c r="E3766" s="5" t="n">
        <v>136.4</v>
      </c>
      <c r="F3766" s="3" t="inlineStr">
        <is>
          <t>부강면</t>
        </is>
      </c>
      <c r="G3766" s="3" t="inlineStr">
        <is>
          <t>문곡리</t>
        </is>
      </c>
      <c r="H3766" s="3" t="inlineStr">
        <is>
          <t>계획관리지역</t>
        </is>
      </c>
      <c r="I3766" s="3" t="inlineStr">
        <is>
          <t>답</t>
        </is>
      </c>
      <c r="J3766" s="3" t="inlineStr">
        <is>
          <t>부강면</t>
        </is>
      </c>
    </row>
    <row r="3767">
      <c r="A3767" s="3" t="n">
        <v>2023</v>
      </c>
      <c r="B3767" s="4" t="n">
        <v>49142</v>
      </c>
      <c r="C3767" s="4" t="n">
        <v>1024</v>
      </c>
      <c r="D3767" s="4" t="n">
        <v>309.76</v>
      </c>
      <c r="E3767" s="5" t="n">
        <v>158.6</v>
      </c>
      <c r="F3767" s="3" t="inlineStr">
        <is>
          <t>부강면</t>
        </is>
      </c>
      <c r="G3767" s="3" t="inlineStr">
        <is>
          <t>문곡리</t>
        </is>
      </c>
      <c r="H3767" s="3" t="inlineStr">
        <is>
          <t>계획관리지역</t>
        </is>
      </c>
      <c r="I3767" s="3" t="inlineStr">
        <is>
          <t>답</t>
        </is>
      </c>
      <c r="J3767" s="3" t="inlineStr">
        <is>
          <t>부강면</t>
        </is>
      </c>
    </row>
    <row r="3768">
      <c r="A3768" s="3" t="n">
        <v>2022</v>
      </c>
      <c r="B3768" s="4" t="n">
        <v>2980</v>
      </c>
      <c r="C3768" s="4" t="n">
        <v>152</v>
      </c>
      <c r="D3768" s="4" t="n">
        <v>45.98</v>
      </c>
      <c r="E3768" s="5" t="n">
        <v>64.8</v>
      </c>
      <c r="F3768" s="3" t="inlineStr">
        <is>
          <t>부강면</t>
        </is>
      </c>
      <c r="G3768" s="3" t="inlineStr">
        <is>
          <t>문곡리</t>
        </is>
      </c>
      <c r="H3768" s="3" t="inlineStr">
        <is>
          <t>생산관리지역</t>
        </is>
      </c>
      <c r="I3768" s="3" t="inlineStr">
        <is>
          <t>전</t>
        </is>
      </c>
      <c r="J3768" s="3" t="inlineStr">
        <is>
          <t>부강면</t>
        </is>
      </c>
    </row>
    <row r="3769">
      <c r="A3769" s="3" t="n">
        <v>2022</v>
      </c>
      <c r="B3769" s="4" t="n">
        <v>170</v>
      </c>
      <c r="C3769" s="4" t="n">
        <v>10</v>
      </c>
      <c r="D3769" s="4" t="n">
        <v>3.025</v>
      </c>
      <c r="E3769" s="5" t="n">
        <v>56.2</v>
      </c>
      <c r="F3769" s="3" t="inlineStr">
        <is>
          <t>부강면</t>
        </is>
      </c>
      <c r="G3769" s="3" t="inlineStr">
        <is>
          <t>문곡리</t>
        </is>
      </c>
      <c r="H3769" s="3" t="inlineStr">
        <is>
          <t>생산관리지역</t>
        </is>
      </c>
      <c r="I3769" s="3" t="inlineStr">
        <is>
          <t>임야</t>
        </is>
      </c>
      <c r="J3769" s="3" t="inlineStr">
        <is>
          <t>부강면</t>
        </is>
      </c>
    </row>
    <row r="3770">
      <c r="A3770" s="3" t="n">
        <v>2022</v>
      </c>
      <c r="B3770" s="4" t="n">
        <v>266634</v>
      </c>
      <c r="C3770" s="4" t="n">
        <v>17474</v>
      </c>
      <c r="D3770" s="4" t="n">
        <v>5285.885</v>
      </c>
      <c r="E3770" s="5" t="n">
        <v>50.4</v>
      </c>
      <c r="F3770" s="3" t="inlineStr">
        <is>
          <t>부강면</t>
        </is>
      </c>
      <c r="G3770" s="3" t="inlineStr">
        <is>
          <t>노호리</t>
        </is>
      </c>
      <c r="H3770" s="3" t="inlineStr">
        <is>
          <t>계획관리지역</t>
        </is>
      </c>
      <c r="I3770" s="3" t="inlineStr">
        <is>
          <t>임야</t>
        </is>
      </c>
      <c r="J3770" s="3" t="inlineStr">
        <is>
          <t>부강면</t>
        </is>
      </c>
    </row>
    <row r="3771">
      <c r="A3771" s="3" t="n">
        <v>2022</v>
      </c>
      <c r="B3771" s="4" t="n">
        <v>20889</v>
      </c>
      <c r="C3771" s="4" t="n">
        <v>1369</v>
      </c>
      <c r="D3771" s="4" t="n">
        <v>414.1225</v>
      </c>
      <c r="E3771" s="5" t="n">
        <v>50.4</v>
      </c>
      <c r="F3771" s="3" t="inlineStr">
        <is>
          <t>부강면</t>
        </is>
      </c>
      <c r="G3771" s="3" t="inlineStr">
        <is>
          <t>노호리</t>
        </is>
      </c>
      <c r="H3771" s="3" t="inlineStr">
        <is>
          <t>계획관리지역</t>
        </is>
      </c>
      <c r="I3771" s="3" t="inlineStr">
        <is>
          <t>전</t>
        </is>
      </c>
      <c r="J3771" s="3" t="inlineStr">
        <is>
          <t>부강면</t>
        </is>
      </c>
    </row>
    <row r="3772">
      <c r="A3772" s="3" t="n">
        <v>2022</v>
      </c>
      <c r="B3772" s="4" t="n">
        <v>3555</v>
      </c>
      <c r="C3772" s="4" t="n">
        <v>233</v>
      </c>
      <c r="D3772" s="4" t="n">
        <v>70.4825</v>
      </c>
      <c r="E3772" s="5" t="n">
        <v>50.4</v>
      </c>
      <c r="F3772" s="3" t="inlineStr">
        <is>
          <t>부강면</t>
        </is>
      </c>
      <c r="G3772" s="3" t="inlineStr">
        <is>
          <t>노호리</t>
        </is>
      </c>
      <c r="H3772" s="3" t="inlineStr">
        <is>
          <t>보전관리지역</t>
        </is>
      </c>
      <c r="I3772" s="3" t="inlineStr">
        <is>
          <t>임야</t>
        </is>
      </c>
      <c r="J3772" s="3" t="inlineStr">
        <is>
          <t>부강면</t>
        </is>
      </c>
    </row>
    <row r="3773">
      <c r="A3773" s="3" t="n">
        <v>2022</v>
      </c>
      <c r="B3773" s="4" t="n">
        <v>4547</v>
      </c>
      <c r="C3773" s="4" t="n">
        <v>298</v>
      </c>
      <c r="D3773" s="4" t="n">
        <v>90.145</v>
      </c>
      <c r="E3773" s="5" t="n">
        <v>50.4</v>
      </c>
      <c r="F3773" s="3" t="inlineStr">
        <is>
          <t>부강면</t>
        </is>
      </c>
      <c r="G3773" s="3" t="inlineStr">
        <is>
          <t>노호리</t>
        </is>
      </c>
      <c r="H3773" s="3" t="inlineStr">
        <is>
          <t>보전관리지역</t>
        </is>
      </c>
      <c r="I3773" s="3" t="inlineStr">
        <is>
          <t>임야</t>
        </is>
      </c>
      <c r="J3773" s="3" t="inlineStr">
        <is>
          <t>부강면</t>
        </is>
      </c>
    </row>
    <row r="3774">
      <c r="A3774" s="3" t="n">
        <v>2022</v>
      </c>
      <c r="B3774" s="4" t="n">
        <v>10025</v>
      </c>
      <c r="C3774" s="4" t="n">
        <v>657</v>
      </c>
      <c r="D3774" s="4" t="n">
        <v>198.7425</v>
      </c>
      <c r="E3774" s="5" t="n">
        <v>50.4</v>
      </c>
      <c r="F3774" s="3" t="inlineStr">
        <is>
          <t>부강면</t>
        </is>
      </c>
      <c r="G3774" s="3" t="inlineStr">
        <is>
          <t>노호리</t>
        </is>
      </c>
      <c r="H3774" s="3" t="inlineStr">
        <is>
          <t>계획관리지역</t>
        </is>
      </c>
      <c r="I3774" s="3" t="inlineStr">
        <is>
          <t>임야</t>
        </is>
      </c>
      <c r="J3774" s="3" t="inlineStr">
        <is>
          <t>부강면</t>
        </is>
      </c>
    </row>
    <row r="3775">
      <c r="A3775" s="3" t="n">
        <v>2025</v>
      </c>
      <c r="B3775" s="4" t="n">
        <v>1195</v>
      </c>
      <c r="C3775" s="4" t="n">
        <v>1580</v>
      </c>
      <c r="D3775" s="4" t="n">
        <v>477.95</v>
      </c>
      <c r="E3775" s="5" t="n">
        <v>2.5</v>
      </c>
      <c r="F3775" s="3" t="inlineStr">
        <is>
          <t>부강면</t>
        </is>
      </c>
      <c r="G3775" s="3" t="inlineStr">
        <is>
          <t>등곡리</t>
        </is>
      </c>
      <c r="H3775" s="3" t="inlineStr">
        <is>
          <t>보전관리지역</t>
        </is>
      </c>
      <c r="I3775" s="3" t="inlineStr">
        <is>
          <t>답</t>
        </is>
      </c>
      <c r="J3775" s="3" t="inlineStr">
        <is>
          <t>부강면</t>
        </is>
      </c>
    </row>
    <row r="3776">
      <c r="A3776" s="3" t="n">
        <v>2026</v>
      </c>
      <c r="B3776" s="4" t="n">
        <v>7700</v>
      </c>
      <c r="C3776" s="4" t="n">
        <v>349</v>
      </c>
      <c r="D3776" s="4" t="n">
        <v>105.5725</v>
      </c>
      <c r="E3776" s="5" t="n">
        <v>72.90000000000001</v>
      </c>
      <c r="F3776" s="3" t="inlineStr">
        <is>
          <t>연동면</t>
        </is>
      </c>
      <c r="G3776" s="3" t="inlineStr">
        <is>
          <t>명학리</t>
        </is>
      </c>
      <c r="H3776" s="3" t="inlineStr">
        <is>
          <t>계획관리지역</t>
        </is>
      </c>
      <c r="I3776" s="3" t="inlineStr">
        <is>
          <t>전</t>
        </is>
      </c>
      <c r="J3776" s="3" t="inlineStr">
        <is>
          <t>연동면</t>
        </is>
      </c>
    </row>
    <row r="3777">
      <c r="A3777" s="3" t="n">
        <v>2026</v>
      </c>
      <c r="B3777" s="4" t="n">
        <v>12300</v>
      </c>
      <c r="C3777" s="4" t="n">
        <v>559</v>
      </c>
      <c r="D3777" s="4" t="n">
        <v>169.0975</v>
      </c>
      <c r="E3777" s="5" t="n">
        <v>72.7</v>
      </c>
      <c r="F3777" s="3" t="inlineStr">
        <is>
          <t>연동면</t>
        </is>
      </c>
      <c r="G3777" s="3" t="inlineStr">
        <is>
          <t>명학리</t>
        </is>
      </c>
      <c r="H3777" s="3" t="inlineStr">
        <is>
          <t>계획관리지역</t>
        </is>
      </c>
      <c r="I3777" s="3" t="inlineStr">
        <is>
          <t>전</t>
        </is>
      </c>
      <c r="J3777" s="3" t="inlineStr">
        <is>
          <t>연동면</t>
        </is>
      </c>
    </row>
    <row r="3778">
      <c r="A3778" s="3" t="n">
        <v>2023</v>
      </c>
      <c r="B3778" s="4" t="n">
        <v>2700</v>
      </c>
      <c r="C3778" s="4" t="n">
        <v>205</v>
      </c>
      <c r="D3778" s="4" t="n">
        <v>62.0125</v>
      </c>
      <c r="E3778" s="5" t="n">
        <v>43.5</v>
      </c>
      <c r="F3778" s="3" t="inlineStr">
        <is>
          <t>남이면</t>
        </is>
      </c>
      <c r="G3778" s="3" t="inlineStr">
        <is>
          <t>산막리</t>
        </is>
      </c>
      <c r="H3778" s="3" t="inlineStr">
        <is>
          <t>계획관리지역</t>
        </is>
      </c>
      <c r="I3778" s="3" t="inlineStr">
        <is>
          <t>대</t>
        </is>
      </c>
      <c r="J3778" s="3" t="inlineStr">
        <is>
          <t>남이면</t>
        </is>
      </c>
    </row>
    <row r="3779">
      <c r="A3779" s="3" t="n">
        <v>2023</v>
      </c>
      <c r="B3779" s="4" t="n">
        <v>18000</v>
      </c>
      <c r="C3779" s="4" t="n">
        <v>797</v>
      </c>
      <c r="D3779" s="4" t="n">
        <v>241.0925</v>
      </c>
      <c r="E3779" s="5" t="n">
        <v>74.7</v>
      </c>
      <c r="F3779" s="3" t="inlineStr">
        <is>
          <t>남이면</t>
        </is>
      </c>
      <c r="G3779" s="3" t="inlineStr">
        <is>
          <t>수대리</t>
        </is>
      </c>
      <c r="H3779" s="3" t="inlineStr">
        <is>
          <t>보전녹지지역</t>
        </is>
      </c>
      <c r="I3779" s="3" t="inlineStr">
        <is>
          <t>임야</t>
        </is>
      </c>
      <c r="J3779" s="3" t="inlineStr">
        <is>
          <t>남이면</t>
        </is>
      </c>
    </row>
    <row r="3780">
      <c r="A3780" s="3" t="n">
        <v>2023</v>
      </c>
      <c r="B3780" s="4" t="n">
        <v>4000</v>
      </c>
      <c r="C3780" s="4" t="n">
        <v>883</v>
      </c>
      <c r="D3780" s="4" t="n">
        <v>267.1075</v>
      </c>
      <c r="E3780" s="5" t="n">
        <v>15</v>
      </c>
      <c r="F3780" s="3" t="inlineStr">
        <is>
          <t>남이면</t>
        </is>
      </c>
      <c r="G3780" s="3" t="inlineStr">
        <is>
          <t>외천리</t>
        </is>
      </c>
      <c r="H3780" s="3" t="inlineStr">
        <is>
          <t>계획관리지역</t>
        </is>
      </c>
      <c r="I3780" s="3" t="inlineStr">
        <is>
          <t>전</t>
        </is>
      </c>
      <c r="J3780" s="3" t="inlineStr">
        <is>
          <t>남이면</t>
        </is>
      </c>
    </row>
    <row r="3781">
      <c r="A3781" s="3" t="n">
        <v>2023</v>
      </c>
      <c r="B3781" s="4" t="n">
        <v>27000</v>
      </c>
      <c r="C3781" s="4" t="n">
        <v>1375</v>
      </c>
      <c r="D3781" s="4" t="n">
        <v>415.9375</v>
      </c>
      <c r="E3781" s="5" t="n">
        <v>64.90000000000001</v>
      </c>
      <c r="F3781" s="3" t="inlineStr">
        <is>
          <t>남이면</t>
        </is>
      </c>
      <c r="G3781" s="3" t="inlineStr">
        <is>
          <t>부용외천리</t>
        </is>
      </c>
      <c r="H3781" s="3" t="inlineStr">
        <is>
          <t>계획관리지역</t>
        </is>
      </c>
      <c r="I3781" s="3" t="inlineStr">
        <is>
          <t>전</t>
        </is>
      </c>
      <c r="J3781" s="3" t="inlineStr">
        <is>
          <t>남이면</t>
        </is>
      </c>
    </row>
    <row r="3782">
      <c r="A3782" s="3" t="n">
        <v>2023</v>
      </c>
      <c r="B3782" s="4" t="n">
        <v>5400</v>
      </c>
      <c r="C3782" s="4" t="n">
        <v>274</v>
      </c>
      <c r="D3782" s="4" t="n">
        <v>82.88499999999999</v>
      </c>
      <c r="E3782" s="5" t="n">
        <v>65.2</v>
      </c>
      <c r="F3782" s="3" t="inlineStr">
        <is>
          <t>남이면</t>
        </is>
      </c>
      <c r="G3782" s="3" t="inlineStr">
        <is>
          <t>부용외천리</t>
        </is>
      </c>
      <c r="H3782" s="3" t="inlineStr">
        <is>
          <t>계획관리지역</t>
        </is>
      </c>
      <c r="I3782" s="3" t="inlineStr">
        <is>
          <t>전</t>
        </is>
      </c>
      <c r="J3782" s="3" t="inlineStr">
        <is>
          <t>남이면</t>
        </is>
      </c>
    </row>
    <row r="3783">
      <c r="A3783" s="3" t="n">
        <v>2023</v>
      </c>
      <c r="B3783" s="4" t="n">
        <v>50500</v>
      </c>
      <c r="C3783" s="4" t="n">
        <v>2552</v>
      </c>
      <c r="D3783" s="4" t="n">
        <v>771.98</v>
      </c>
      <c r="E3783" s="5" t="n">
        <v>65.40000000000001</v>
      </c>
      <c r="F3783" s="3" t="inlineStr">
        <is>
          <t>남이면</t>
        </is>
      </c>
      <c r="G3783" s="3" t="inlineStr">
        <is>
          <t>부용외천리</t>
        </is>
      </c>
      <c r="H3783" s="3" t="inlineStr">
        <is>
          <t>계획관리지역</t>
        </is>
      </c>
      <c r="I3783" s="3" t="inlineStr">
        <is>
          <t>답</t>
        </is>
      </c>
      <c r="J3783" s="3" t="inlineStr">
        <is>
          <t>남이면</t>
        </is>
      </c>
    </row>
    <row r="3784">
      <c r="A3784" s="3" t="n">
        <v>2023</v>
      </c>
      <c r="B3784" s="4" t="n">
        <v>19000</v>
      </c>
      <c r="C3784" s="4" t="n">
        <v>962</v>
      </c>
      <c r="D3784" s="4" t="n">
        <v>291.005</v>
      </c>
      <c r="E3784" s="5" t="n">
        <v>65.3</v>
      </c>
      <c r="F3784" s="3" t="inlineStr">
        <is>
          <t>남이면</t>
        </is>
      </c>
      <c r="G3784" s="3" t="inlineStr">
        <is>
          <t>부용외천리</t>
        </is>
      </c>
      <c r="H3784" s="3" t="inlineStr">
        <is>
          <t>계획관리지역</t>
        </is>
      </c>
      <c r="I3784" s="3" t="inlineStr">
        <is>
          <t>전</t>
        </is>
      </c>
      <c r="J3784" s="3" t="inlineStr">
        <is>
          <t>남이면</t>
        </is>
      </c>
    </row>
    <row r="3785">
      <c r="A3785" s="3" t="n">
        <v>2023</v>
      </c>
      <c r="B3785" s="4" t="n">
        <v>46000</v>
      </c>
      <c r="C3785" s="4" t="n">
        <v>2338</v>
      </c>
      <c r="D3785" s="4" t="n">
        <v>707.245</v>
      </c>
      <c r="E3785" s="5" t="n">
        <v>65</v>
      </c>
      <c r="F3785" s="3" t="inlineStr">
        <is>
          <t>남이면</t>
        </is>
      </c>
      <c r="G3785" s="3" t="inlineStr">
        <is>
          <t>부용외천리</t>
        </is>
      </c>
      <c r="H3785" s="3" t="inlineStr">
        <is>
          <t>계획관리지역</t>
        </is>
      </c>
      <c r="I3785" s="3" t="inlineStr">
        <is>
          <t>답</t>
        </is>
      </c>
      <c r="J3785" s="3" t="inlineStr">
        <is>
          <t>남이면</t>
        </is>
      </c>
    </row>
    <row r="3786">
      <c r="A3786" s="3" t="n">
        <v>2023</v>
      </c>
      <c r="B3786" s="4" t="n">
        <v>13500</v>
      </c>
      <c r="C3786" s="4" t="n">
        <v>683</v>
      </c>
      <c r="D3786" s="4" t="n">
        <v>206.6075</v>
      </c>
      <c r="E3786" s="5" t="n">
        <v>65.3</v>
      </c>
      <c r="F3786" s="3" t="inlineStr">
        <is>
          <t>남이면</t>
        </is>
      </c>
      <c r="G3786" s="3" t="inlineStr">
        <is>
          <t>부용외천리</t>
        </is>
      </c>
      <c r="H3786" s="3" t="inlineStr">
        <is>
          <t>계획관리지역</t>
        </is>
      </c>
      <c r="I3786" s="3" t="inlineStr">
        <is>
          <t>전</t>
        </is>
      </c>
      <c r="J3786" s="3" t="inlineStr">
        <is>
          <t>남이면</t>
        </is>
      </c>
    </row>
    <row r="3787">
      <c r="A3787" s="3" t="n">
        <v>2023</v>
      </c>
      <c r="B3787" s="4" t="n">
        <v>28600</v>
      </c>
      <c r="C3787" s="4" t="n">
        <v>1456</v>
      </c>
      <c r="D3787" s="4" t="n">
        <v>440.44</v>
      </c>
      <c r="E3787" s="5" t="n">
        <v>64.90000000000001</v>
      </c>
      <c r="F3787" s="3" t="inlineStr">
        <is>
          <t>남이면</t>
        </is>
      </c>
      <c r="G3787" s="3" t="inlineStr">
        <is>
          <t>부용외천리</t>
        </is>
      </c>
      <c r="H3787" s="3" t="inlineStr">
        <is>
          <t>계획관리지역</t>
        </is>
      </c>
      <c r="I3787" s="3" t="inlineStr">
        <is>
          <t>임야</t>
        </is>
      </c>
      <c r="J3787" s="3" t="inlineStr">
        <is>
          <t>남이면</t>
        </is>
      </c>
    </row>
    <row r="3788">
      <c r="A3788" s="3" t="n">
        <v>2023</v>
      </c>
      <c r="B3788" s="4" t="n">
        <v>7994</v>
      </c>
      <c r="C3788" s="4" t="n">
        <v>1416</v>
      </c>
      <c r="D3788" s="4" t="n">
        <v>428.34</v>
      </c>
      <c r="E3788" s="5" t="n">
        <v>18.7</v>
      </c>
      <c r="F3788" s="3" t="inlineStr">
        <is>
          <t>남이면</t>
        </is>
      </c>
      <c r="G3788" s="3" t="inlineStr">
        <is>
          <t>문동리</t>
        </is>
      </c>
      <c r="H3788" s="3" t="inlineStr">
        <is>
          <t>농림지역</t>
        </is>
      </c>
      <c r="I3788" s="3" t="inlineStr">
        <is>
          <t>답</t>
        </is>
      </c>
      <c r="J3788" s="3" t="inlineStr">
        <is>
          <t>남이면</t>
        </is>
      </c>
    </row>
    <row r="3789">
      <c r="A3789" s="3" t="n">
        <v>2023</v>
      </c>
      <c r="B3789" s="4" t="n">
        <v>7</v>
      </c>
      <c r="C3789" s="4" t="n">
        <v>1</v>
      </c>
      <c r="D3789" s="4" t="n">
        <v>0.3025</v>
      </c>
      <c r="E3789" s="5" t="n">
        <v>23.1</v>
      </c>
      <c r="F3789" s="3" t="inlineStr">
        <is>
          <t>남이면</t>
        </is>
      </c>
      <c r="G3789" s="3" t="inlineStr">
        <is>
          <t>문동리</t>
        </is>
      </c>
      <c r="H3789" s="3" t="inlineStr">
        <is>
          <t>농림지역</t>
        </is>
      </c>
      <c r="I3789" s="3" t="inlineStr">
        <is>
          <t>답</t>
        </is>
      </c>
      <c r="J3789" s="3" t="inlineStr">
        <is>
          <t>남이면</t>
        </is>
      </c>
    </row>
    <row r="3790">
      <c r="A3790" s="3" t="n">
        <v>2023</v>
      </c>
      <c r="B3790" s="4" t="n">
        <v>58000</v>
      </c>
      <c r="C3790" s="4" t="n">
        <v>1938</v>
      </c>
      <c r="D3790" s="4" t="n">
        <v>586.245</v>
      </c>
      <c r="E3790" s="5" t="n">
        <v>98.90000000000001</v>
      </c>
      <c r="F3790" s="3" t="inlineStr">
        <is>
          <t>남이면</t>
        </is>
      </c>
      <c r="G3790" s="3" t="inlineStr">
        <is>
          <t>가좌리</t>
        </is>
      </c>
      <c r="H3790" s="3" t="inlineStr">
        <is>
          <t>자연녹지지역</t>
        </is>
      </c>
      <c r="I3790" s="3" t="inlineStr">
        <is>
          <t>답</t>
        </is>
      </c>
      <c r="J3790" s="3" t="inlineStr">
        <is>
          <t>남이면</t>
        </is>
      </c>
    </row>
    <row r="3791">
      <c r="A3791" s="3" t="n">
        <v>2023</v>
      </c>
      <c r="B3791" s="4" t="n">
        <v>1600</v>
      </c>
      <c r="C3791" s="4" t="n">
        <v>218</v>
      </c>
      <c r="D3791" s="4" t="n">
        <v>65.94499999999999</v>
      </c>
      <c r="E3791" s="5" t="n">
        <v>24.3</v>
      </c>
      <c r="F3791" s="3" t="inlineStr">
        <is>
          <t>남이면</t>
        </is>
      </c>
      <c r="G3791" s="3" t="inlineStr">
        <is>
          <t>구암리</t>
        </is>
      </c>
      <c r="H3791" s="3" t="inlineStr">
        <is>
          <t>자연녹지지역</t>
        </is>
      </c>
      <c r="I3791" s="3" t="inlineStr">
        <is>
          <t>구거</t>
        </is>
      </c>
      <c r="J3791" s="3" t="inlineStr">
        <is>
          <t>남이면</t>
        </is>
      </c>
    </row>
    <row r="3792">
      <c r="A3792" s="3" t="n">
        <v>2023</v>
      </c>
      <c r="B3792" s="4" t="n">
        <v>18000</v>
      </c>
      <c r="C3792" s="4" t="n">
        <v>1012</v>
      </c>
      <c r="D3792" s="4" t="n">
        <v>306.13</v>
      </c>
      <c r="E3792" s="5" t="n">
        <v>58.8</v>
      </c>
      <c r="F3792" s="3" t="inlineStr">
        <is>
          <t>남이면</t>
        </is>
      </c>
      <c r="G3792" s="3" t="inlineStr">
        <is>
          <t>갈원리</t>
        </is>
      </c>
      <c r="H3792" s="3" t="inlineStr">
        <is>
          <t>농림지역</t>
        </is>
      </c>
      <c r="I3792" s="3" t="inlineStr">
        <is>
          <t>답</t>
        </is>
      </c>
      <c r="J3792" s="3" t="inlineStr">
        <is>
          <t>남이면</t>
        </is>
      </c>
    </row>
    <row r="3793">
      <c r="A3793" s="3" t="n">
        <v>2023</v>
      </c>
      <c r="B3793" s="4" t="n">
        <v>14925</v>
      </c>
      <c r="C3793" s="4" t="n">
        <v>396</v>
      </c>
      <c r="D3793" s="4" t="n">
        <v>119.79</v>
      </c>
      <c r="E3793" s="5" t="n">
        <v>124.6</v>
      </c>
      <c r="F3793" s="3" t="inlineStr">
        <is>
          <t>남이면</t>
        </is>
      </c>
      <c r="G3793" s="3" t="inlineStr">
        <is>
          <t>구암리</t>
        </is>
      </c>
      <c r="H3793" s="3" t="inlineStr">
        <is>
          <t>보전녹지지역</t>
        </is>
      </c>
      <c r="I3793" s="3" t="inlineStr">
        <is>
          <t>임야</t>
        </is>
      </c>
      <c r="J3793" s="3" t="inlineStr">
        <is>
          <t>남이면</t>
        </is>
      </c>
    </row>
    <row r="3794">
      <c r="A3794" s="3" t="n">
        <v>2023</v>
      </c>
      <c r="B3794" s="4" t="n">
        <v>20000</v>
      </c>
      <c r="C3794" s="4" t="n">
        <v>2476</v>
      </c>
      <c r="D3794" s="4" t="n">
        <v>748.99</v>
      </c>
      <c r="E3794" s="5" t="n">
        <v>26.7</v>
      </c>
      <c r="F3794" s="3" t="inlineStr">
        <is>
          <t>남이면</t>
        </is>
      </c>
      <c r="G3794" s="3" t="inlineStr">
        <is>
          <t>팔봉리</t>
        </is>
      </c>
      <c r="H3794" s="3" t="inlineStr">
        <is>
          <t>보전관리지역</t>
        </is>
      </c>
      <c r="I3794" s="3" t="inlineStr">
        <is>
          <t>전</t>
        </is>
      </c>
      <c r="J3794" s="3" t="inlineStr">
        <is>
          <t>남이면</t>
        </is>
      </c>
    </row>
    <row r="3795">
      <c r="A3795" s="3" t="n">
        <v>2023</v>
      </c>
      <c r="B3795" s="4" t="n">
        <v>3600</v>
      </c>
      <c r="C3795" s="4" t="n">
        <v>1441</v>
      </c>
      <c r="D3795" s="4" t="n">
        <v>435.9025</v>
      </c>
      <c r="E3795" s="5" t="n">
        <v>8.300000000000001</v>
      </c>
      <c r="F3795" s="3" t="inlineStr">
        <is>
          <t>남이면</t>
        </is>
      </c>
      <c r="G3795" s="3" t="inlineStr">
        <is>
          <t>팔봉리</t>
        </is>
      </c>
      <c r="H3795" s="3" t="inlineStr">
        <is>
          <t>보전관리지역</t>
        </is>
      </c>
      <c r="I3795" s="3" t="inlineStr">
        <is>
          <t>전</t>
        </is>
      </c>
      <c r="J3795" s="3" t="inlineStr">
        <is>
          <t>남이면</t>
        </is>
      </c>
    </row>
    <row r="3796">
      <c r="A3796" s="3" t="n">
        <v>2024</v>
      </c>
      <c r="B3796" s="4" t="n">
        <v>17050</v>
      </c>
      <c r="C3796" s="4" t="n">
        <v>1741.4</v>
      </c>
      <c r="D3796" s="4" t="n">
        <v>526.7735</v>
      </c>
      <c r="E3796" s="5" t="n">
        <v>32.4</v>
      </c>
      <c r="F3796" s="3" t="inlineStr">
        <is>
          <t>연동면</t>
        </is>
      </c>
      <c r="G3796" s="3" t="inlineStr">
        <is>
          <t>응암리</t>
        </is>
      </c>
      <c r="H3796" s="3" t="inlineStr">
        <is>
          <t>농림지역</t>
        </is>
      </c>
      <c r="I3796" s="3" t="inlineStr">
        <is>
          <t>답</t>
        </is>
      </c>
      <c r="J3796" s="3" t="inlineStr">
        <is>
          <t>연동면</t>
        </is>
      </c>
    </row>
    <row r="3797">
      <c r="A3797" s="3" t="n">
        <v>2024</v>
      </c>
      <c r="B3797" s="4" t="n">
        <v>2000</v>
      </c>
      <c r="C3797" s="4" t="n">
        <v>48</v>
      </c>
      <c r="D3797" s="4" t="n">
        <v>14.52</v>
      </c>
      <c r="E3797" s="5" t="n">
        <v>137.7</v>
      </c>
      <c r="F3797" s="3" t="inlineStr">
        <is>
          <t>조치원읍</t>
        </is>
      </c>
      <c r="G3797" s="3" t="inlineStr">
        <is>
          <t>신안리</t>
        </is>
      </c>
      <c r="H3797" s="3" t="inlineStr">
        <is>
          <t>제2종일반주거지역</t>
        </is>
      </c>
      <c r="I3797" s="3" t="inlineStr">
        <is>
          <t>도로</t>
        </is>
      </c>
      <c r="J3797" s="3" t="inlineStr">
        <is>
          <t>조치원읍</t>
        </is>
      </c>
    </row>
    <row r="3798">
      <c r="A3798" s="3" t="n">
        <v>2024</v>
      </c>
      <c r="B3798" s="4" t="n">
        <v>780</v>
      </c>
      <c r="C3798" s="4" t="n">
        <v>11</v>
      </c>
      <c r="D3798" s="4" t="n">
        <v>3.3275</v>
      </c>
      <c r="E3798" s="5" t="n">
        <v>234.4</v>
      </c>
      <c r="F3798" s="3" t="inlineStr">
        <is>
          <t>조치원읍</t>
        </is>
      </c>
      <c r="G3798" s="3" t="inlineStr">
        <is>
          <t>신안리</t>
        </is>
      </c>
      <c r="H3798" s="3" t="inlineStr">
        <is>
          <t>제2종일반주거지역</t>
        </is>
      </c>
      <c r="I3798" s="3" t="inlineStr">
        <is>
          <t>대</t>
        </is>
      </c>
      <c r="J3798" s="3" t="inlineStr">
        <is>
          <t>조치원읍</t>
        </is>
      </c>
    </row>
    <row r="3799">
      <c r="A3799" s="3" t="n">
        <v>2024</v>
      </c>
      <c r="B3799" s="4" t="n">
        <v>10000</v>
      </c>
      <c r="C3799" s="4" t="n">
        <v>104</v>
      </c>
      <c r="D3799" s="4" t="n">
        <v>31.46</v>
      </c>
      <c r="E3799" s="5" t="n">
        <v>317.9</v>
      </c>
      <c r="F3799" s="3" t="inlineStr">
        <is>
          <t>조치원읍</t>
        </is>
      </c>
      <c r="G3799" s="3" t="inlineStr">
        <is>
          <t>신안리</t>
        </is>
      </c>
      <c r="H3799" s="3" t="inlineStr">
        <is>
          <t>제2종일반주거지역</t>
        </is>
      </c>
      <c r="I3799" s="3" t="inlineStr">
        <is>
          <t>대</t>
        </is>
      </c>
      <c r="J3799" s="3" t="inlineStr">
        <is>
          <t>조치원읍</t>
        </is>
      </c>
    </row>
    <row r="3800">
      <c r="A3800" s="3" t="n">
        <v>2024</v>
      </c>
      <c r="B3800" s="4" t="n">
        <v>1220</v>
      </c>
      <c r="C3800" s="4" t="n">
        <v>23</v>
      </c>
      <c r="D3800" s="4" t="n">
        <v>6.9575</v>
      </c>
      <c r="E3800" s="5" t="n">
        <v>175.4</v>
      </c>
      <c r="F3800" s="3" t="inlineStr">
        <is>
          <t>조치원읍</t>
        </is>
      </c>
      <c r="G3800" s="3" t="inlineStr">
        <is>
          <t>신안리</t>
        </is>
      </c>
      <c r="H3800" s="3" t="inlineStr">
        <is>
          <t>제2종일반주거지역</t>
        </is>
      </c>
      <c r="I3800" s="3" t="inlineStr">
        <is>
          <t>도로</t>
        </is>
      </c>
      <c r="J3800" s="3" t="inlineStr">
        <is>
          <t>조치원읍</t>
        </is>
      </c>
    </row>
    <row r="3801">
      <c r="A3801" s="3" t="n">
        <v>2024</v>
      </c>
      <c r="B3801" s="4" t="n">
        <v>29000</v>
      </c>
      <c r="C3801" s="4" t="n">
        <v>438</v>
      </c>
      <c r="D3801" s="4" t="n">
        <v>132.495</v>
      </c>
      <c r="E3801" s="5" t="n">
        <v>218.9</v>
      </c>
      <c r="F3801" s="3" t="inlineStr">
        <is>
          <t>조치원읍</t>
        </is>
      </c>
      <c r="G3801" s="3" t="inlineStr">
        <is>
          <t>신안리</t>
        </is>
      </c>
      <c r="H3801" s="3" t="inlineStr">
        <is>
          <t>제2종일반주거지역</t>
        </is>
      </c>
      <c r="I3801" s="3" t="inlineStr">
        <is>
          <t>대</t>
        </is>
      </c>
      <c r="J3801" s="3" t="inlineStr">
        <is>
          <t>조치원읍</t>
        </is>
      </c>
    </row>
    <row r="3802">
      <c r="A3802" s="3" t="n">
        <v>2024</v>
      </c>
      <c r="B3802" s="4" t="n">
        <v>28000</v>
      </c>
      <c r="C3802" s="4" t="n">
        <v>265</v>
      </c>
      <c r="D3802" s="4" t="n">
        <v>80.16249999999999</v>
      </c>
      <c r="E3802" s="5" t="n">
        <v>349.3</v>
      </c>
      <c r="F3802" s="3" t="inlineStr">
        <is>
          <t>조치원읍</t>
        </is>
      </c>
      <c r="G3802" s="3" t="inlineStr">
        <is>
          <t>신안리</t>
        </is>
      </c>
      <c r="H3802" s="3" t="inlineStr">
        <is>
          <t>제2종일반주거지역</t>
        </is>
      </c>
      <c r="I3802" s="3" t="inlineStr">
        <is>
          <t>대</t>
        </is>
      </c>
      <c r="J3802" s="3" t="inlineStr">
        <is>
          <t>조치원읍</t>
        </is>
      </c>
    </row>
    <row r="3803">
      <c r="A3803" s="3" t="n">
        <v>2024</v>
      </c>
      <c r="B3803" s="4" t="n">
        <v>82500</v>
      </c>
      <c r="C3803" s="4" t="n">
        <v>1540</v>
      </c>
      <c r="D3803" s="4" t="n">
        <v>465.85</v>
      </c>
      <c r="E3803" s="5" t="n">
        <v>177.1</v>
      </c>
      <c r="F3803" s="3" t="inlineStr">
        <is>
          <t>연서면</t>
        </is>
      </c>
      <c r="G3803" s="3" t="inlineStr">
        <is>
          <t>와촌리</t>
        </is>
      </c>
      <c r="H3803" s="3" t="inlineStr">
        <is>
          <t>계획관리지역</t>
        </is>
      </c>
      <c r="I3803" s="3" t="inlineStr">
        <is>
          <t>전</t>
        </is>
      </c>
      <c r="J3803" s="3" t="inlineStr">
        <is>
          <t>연서면</t>
        </is>
      </c>
    </row>
    <row r="3804">
      <c r="A3804" s="3" t="n">
        <v>2024</v>
      </c>
      <c r="B3804" s="4" t="n">
        <v>500</v>
      </c>
      <c r="C3804" s="4" t="n">
        <v>10</v>
      </c>
      <c r="D3804" s="4" t="n">
        <v>3.025</v>
      </c>
      <c r="E3804" s="5" t="n">
        <v>165.3</v>
      </c>
      <c r="F3804" s="3" t="inlineStr">
        <is>
          <t>연서면</t>
        </is>
      </c>
      <c r="G3804" s="3" t="inlineStr">
        <is>
          <t>와촌리</t>
        </is>
      </c>
      <c r="H3804" s="3" t="inlineStr">
        <is>
          <t>계획관리지역</t>
        </is>
      </c>
      <c r="I3804" s="3" t="inlineStr">
        <is>
          <t>도로</t>
        </is>
      </c>
      <c r="J3804" s="3" t="inlineStr">
        <is>
          <t>연서면</t>
        </is>
      </c>
    </row>
    <row r="3805">
      <c r="A3805" s="3" t="n">
        <v>2024</v>
      </c>
      <c r="B3805" s="4" t="n">
        <v>52000</v>
      </c>
      <c r="C3805" s="4" t="n">
        <v>394.6</v>
      </c>
      <c r="D3805" s="4" t="n">
        <v>119.3665</v>
      </c>
      <c r="E3805" s="5" t="n">
        <v>435.6</v>
      </c>
      <c r="F3805" s="3" t="inlineStr">
        <is>
          <t>고운동</t>
        </is>
      </c>
      <c r="G3805" s="3" t="inlineStr"/>
      <c r="H3805" s="3" t="inlineStr">
        <is>
          <t>제1종전용주거지역</t>
        </is>
      </c>
      <c r="I3805" s="3" t="inlineStr">
        <is>
          <t>대</t>
        </is>
      </c>
      <c r="J3805" s="3" t="inlineStr">
        <is>
          <t>고운동</t>
        </is>
      </c>
    </row>
    <row r="3806">
      <c r="A3806" s="3" t="n">
        <v>2022</v>
      </c>
      <c r="B3806" s="4" t="n">
        <v>2000</v>
      </c>
      <c r="C3806" s="4" t="n">
        <v>168</v>
      </c>
      <c r="D3806" s="4" t="n">
        <v>50.82</v>
      </c>
      <c r="E3806" s="5" t="n">
        <v>39.4</v>
      </c>
      <c r="F3806" s="3" t="inlineStr">
        <is>
          <t>강내면</t>
        </is>
      </c>
      <c r="G3806" s="3" t="inlineStr">
        <is>
          <t>사곡리</t>
        </is>
      </c>
      <c r="H3806" s="3" t="inlineStr">
        <is>
          <t>계획관리지역</t>
        </is>
      </c>
      <c r="I3806" s="3" t="inlineStr">
        <is>
          <t>임야</t>
        </is>
      </c>
      <c r="J3806" s="3" t="inlineStr">
        <is>
          <t>강내면</t>
        </is>
      </c>
    </row>
    <row r="3807">
      <c r="A3807" s="3" t="n">
        <v>2022</v>
      </c>
      <c r="B3807" s="4" t="n">
        <v>37000</v>
      </c>
      <c r="C3807" s="4" t="n">
        <v>271.8</v>
      </c>
      <c r="D3807" s="4" t="n">
        <v>82.2195</v>
      </c>
      <c r="E3807" s="5" t="n">
        <v>450</v>
      </c>
      <c r="F3807" s="3" t="inlineStr">
        <is>
          <t>오송읍</t>
        </is>
      </c>
      <c r="G3807" s="3" t="inlineStr">
        <is>
          <t>봉산리</t>
        </is>
      </c>
      <c r="H3807" s="3" t="inlineStr">
        <is>
          <t>제1종일반주거지역</t>
        </is>
      </c>
      <c r="I3807" s="3" t="inlineStr">
        <is>
          <t>대</t>
        </is>
      </c>
      <c r="J3807" s="3" t="inlineStr">
        <is>
          <t>오송읍</t>
        </is>
      </c>
    </row>
    <row r="3808">
      <c r="A3808" s="3" t="n">
        <v>2022</v>
      </c>
      <c r="B3808" s="4" t="n">
        <v>9000</v>
      </c>
      <c r="C3808" s="4" t="n">
        <v>1164</v>
      </c>
      <c r="D3808" s="4" t="n">
        <v>352.11</v>
      </c>
      <c r="E3808" s="5" t="n">
        <v>25.6</v>
      </c>
      <c r="F3808" s="3" t="inlineStr">
        <is>
          <t>강내면</t>
        </is>
      </c>
      <c r="G3808" s="3" t="inlineStr">
        <is>
          <t>다락리</t>
        </is>
      </c>
      <c r="H3808" s="3" t="inlineStr">
        <is>
          <t>자연녹지지역</t>
        </is>
      </c>
      <c r="I3808" s="3" t="inlineStr">
        <is>
          <t>전</t>
        </is>
      </c>
      <c r="J3808" s="3" t="inlineStr">
        <is>
          <t>강내면</t>
        </is>
      </c>
    </row>
    <row r="3809">
      <c r="A3809" s="3" t="n">
        <v>2022</v>
      </c>
      <c r="B3809" s="4" t="n">
        <v>3000</v>
      </c>
      <c r="C3809" s="4" t="n">
        <v>34</v>
      </c>
      <c r="D3809" s="4" t="n">
        <v>10.285</v>
      </c>
      <c r="E3809" s="5" t="n">
        <v>291.7</v>
      </c>
      <c r="F3809" s="3" t="inlineStr">
        <is>
          <t>강내면</t>
        </is>
      </c>
      <c r="G3809" s="3" t="inlineStr">
        <is>
          <t>탑연리</t>
        </is>
      </c>
      <c r="H3809" s="3" t="inlineStr">
        <is>
          <t>계획관리지역</t>
        </is>
      </c>
      <c r="I3809" s="3" t="inlineStr">
        <is>
          <t>답</t>
        </is>
      </c>
      <c r="J3809" s="3" t="inlineStr">
        <is>
          <t>강내면</t>
        </is>
      </c>
    </row>
    <row r="3810">
      <c r="A3810" s="3" t="n">
        <v>2022</v>
      </c>
      <c r="B3810" s="4" t="n">
        <v>500</v>
      </c>
      <c r="C3810" s="4" t="n">
        <v>2</v>
      </c>
      <c r="D3810" s="4" t="n">
        <v>0.605</v>
      </c>
      <c r="E3810" s="5" t="n">
        <v>826.4</v>
      </c>
      <c r="F3810" s="3" t="inlineStr">
        <is>
          <t>오송읍</t>
        </is>
      </c>
      <c r="G3810" s="3" t="inlineStr">
        <is>
          <t>봉산리</t>
        </is>
      </c>
      <c r="H3810" s="3" t="inlineStr">
        <is>
          <t>계획관리지역</t>
        </is>
      </c>
      <c r="I3810" s="3" t="inlineStr">
        <is>
          <t>대</t>
        </is>
      </c>
      <c r="J3810" s="3" t="inlineStr">
        <is>
          <t>오송읍</t>
        </is>
      </c>
    </row>
    <row r="3811">
      <c r="A3811" s="3" t="n">
        <v>2022</v>
      </c>
      <c r="B3811" s="4" t="n">
        <v>190</v>
      </c>
      <c r="C3811" s="4" t="n">
        <v>7</v>
      </c>
      <c r="D3811" s="4" t="n">
        <v>2.1175</v>
      </c>
      <c r="E3811" s="5" t="n">
        <v>89.7</v>
      </c>
      <c r="F3811" s="3" t="inlineStr">
        <is>
          <t>강내면</t>
        </is>
      </c>
      <c r="G3811" s="3" t="inlineStr">
        <is>
          <t>궁현리</t>
        </is>
      </c>
      <c r="H3811" s="3" t="inlineStr">
        <is>
          <t>농림지역</t>
        </is>
      </c>
      <c r="I3811" s="3" t="inlineStr">
        <is>
          <t>답</t>
        </is>
      </c>
      <c r="J3811" s="3" t="inlineStr">
        <is>
          <t>강내면</t>
        </is>
      </c>
    </row>
    <row r="3812">
      <c r="A3812" s="3" t="n">
        <v>2022</v>
      </c>
      <c r="B3812" s="4" t="n">
        <v>7500</v>
      </c>
      <c r="C3812" s="4" t="n">
        <v>80</v>
      </c>
      <c r="D3812" s="4" t="n">
        <v>24.2</v>
      </c>
      <c r="E3812" s="5" t="n">
        <v>309.9</v>
      </c>
      <c r="F3812" s="3" t="inlineStr">
        <is>
          <t>오송읍</t>
        </is>
      </c>
      <c r="G3812" s="3" t="inlineStr">
        <is>
          <t>오송리</t>
        </is>
      </c>
      <c r="H3812" s="3" t="inlineStr">
        <is>
          <t>제2종일반주거지역</t>
        </is>
      </c>
      <c r="I3812" s="3" t="inlineStr">
        <is>
          <t>창고용지</t>
        </is>
      </c>
      <c r="J3812" s="3" t="inlineStr">
        <is>
          <t>오송읍</t>
        </is>
      </c>
    </row>
    <row r="3813">
      <c r="A3813" s="3" t="n">
        <v>2022</v>
      </c>
      <c r="B3813" s="4" t="n">
        <v>40000</v>
      </c>
      <c r="C3813" s="4" t="n">
        <v>226.2</v>
      </c>
      <c r="D3813" s="4" t="n">
        <v>68.4255</v>
      </c>
      <c r="E3813" s="5" t="n">
        <v>584.6</v>
      </c>
      <c r="F3813" s="3" t="inlineStr">
        <is>
          <t>오송읍</t>
        </is>
      </c>
      <c r="G3813" s="3" t="inlineStr">
        <is>
          <t>만수리</t>
        </is>
      </c>
      <c r="H3813" s="3" t="inlineStr">
        <is>
          <t>제1종일반주거지역</t>
        </is>
      </c>
      <c r="I3813" s="3" t="inlineStr">
        <is>
          <t>대</t>
        </is>
      </c>
      <c r="J3813" s="3" t="inlineStr">
        <is>
          <t>오송읍</t>
        </is>
      </c>
    </row>
    <row r="3814">
      <c r="A3814" s="3" t="n">
        <v>2022</v>
      </c>
      <c r="B3814" s="4" t="n">
        <v>37000</v>
      </c>
      <c r="C3814" s="4" t="n">
        <v>226.2</v>
      </c>
      <c r="D3814" s="4" t="n">
        <v>68.4255</v>
      </c>
      <c r="E3814" s="5" t="n">
        <v>540.7</v>
      </c>
      <c r="F3814" s="3" t="inlineStr">
        <is>
          <t>오송읍</t>
        </is>
      </c>
      <c r="G3814" s="3" t="inlineStr">
        <is>
          <t>만수리</t>
        </is>
      </c>
      <c r="H3814" s="3" t="inlineStr">
        <is>
          <t>제1종일반주거지역</t>
        </is>
      </c>
      <c r="I3814" s="3" t="inlineStr">
        <is>
          <t>대</t>
        </is>
      </c>
      <c r="J3814" s="3" t="inlineStr">
        <is>
          <t>오송읍</t>
        </is>
      </c>
    </row>
    <row r="3815">
      <c r="A3815" s="3" t="n">
        <v>2022</v>
      </c>
      <c r="B3815" s="4" t="n">
        <v>41500</v>
      </c>
      <c r="C3815" s="4" t="n">
        <v>247</v>
      </c>
      <c r="D3815" s="4" t="n">
        <v>74.7175</v>
      </c>
      <c r="E3815" s="5" t="n">
        <v>555.4</v>
      </c>
      <c r="F3815" s="3" t="inlineStr">
        <is>
          <t>오송읍</t>
        </is>
      </c>
      <c r="G3815" s="3" t="inlineStr">
        <is>
          <t>봉산리</t>
        </is>
      </c>
      <c r="H3815" s="3" t="inlineStr">
        <is>
          <t>제1종일반주거지역</t>
        </is>
      </c>
      <c r="I3815" s="3" t="inlineStr">
        <is>
          <t>대</t>
        </is>
      </c>
      <c r="J3815" s="3" t="inlineStr">
        <is>
          <t>오송읍</t>
        </is>
      </c>
    </row>
    <row r="3816">
      <c r="A3816" s="3" t="n">
        <v>2022</v>
      </c>
      <c r="B3816" s="4" t="n">
        <v>30000</v>
      </c>
      <c r="C3816" s="4" t="n">
        <v>1336</v>
      </c>
      <c r="D3816" s="4" t="n">
        <v>404.14</v>
      </c>
      <c r="E3816" s="5" t="n">
        <v>74.2</v>
      </c>
      <c r="F3816" s="3" t="inlineStr">
        <is>
          <t>오송읍</t>
        </is>
      </c>
      <c r="G3816" s="3" t="inlineStr">
        <is>
          <t>호계리</t>
        </is>
      </c>
      <c r="H3816" s="3" t="inlineStr">
        <is>
          <t>계획관리지역</t>
        </is>
      </c>
      <c r="I3816" s="3" t="inlineStr">
        <is>
          <t>전</t>
        </is>
      </c>
      <c r="J3816" s="3" t="inlineStr">
        <is>
          <t>오송읍</t>
        </is>
      </c>
    </row>
    <row r="3817">
      <c r="A3817" s="3" t="n">
        <v>2022</v>
      </c>
      <c r="B3817" s="4" t="n">
        <v>2400</v>
      </c>
      <c r="C3817" s="4" t="n">
        <v>178</v>
      </c>
      <c r="D3817" s="4" t="n">
        <v>53.845</v>
      </c>
      <c r="E3817" s="5" t="n">
        <v>44.6</v>
      </c>
      <c r="F3817" s="3" t="inlineStr">
        <is>
          <t>오송읍</t>
        </is>
      </c>
      <c r="G3817" s="3" t="inlineStr">
        <is>
          <t>연제리</t>
        </is>
      </c>
      <c r="H3817" s="3" t="inlineStr">
        <is>
          <t>농림지역</t>
        </is>
      </c>
      <c r="I3817" s="3" t="inlineStr">
        <is>
          <t>전</t>
        </is>
      </c>
      <c r="J3817" s="3" t="inlineStr">
        <is>
          <t>오송읍</t>
        </is>
      </c>
    </row>
    <row r="3818">
      <c r="A3818" s="3" t="n">
        <v>2022</v>
      </c>
      <c r="B3818" s="4" t="n">
        <v>200</v>
      </c>
      <c r="C3818" s="4" t="n">
        <v>9</v>
      </c>
      <c r="D3818" s="4" t="n">
        <v>2.7225</v>
      </c>
      <c r="E3818" s="5" t="n">
        <v>73.5</v>
      </c>
      <c r="F3818" s="3" t="inlineStr">
        <is>
          <t>오송읍</t>
        </is>
      </c>
      <c r="G3818" s="3" t="inlineStr">
        <is>
          <t>궁평리</t>
        </is>
      </c>
      <c r="H3818" s="3" t="inlineStr">
        <is>
          <t>농림지역</t>
        </is>
      </c>
      <c r="I3818" s="3" t="inlineStr">
        <is>
          <t>도로</t>
        </is>
      </c>
      <c r="J3818" s="3" t="inlineStr">
        <is>
          <t>오송읍</t>
        </is>
      </c>
    </row>
    <row r="3819">
      <c r="A3819" s="3" t="n">
        <v>2022</v>
      </c>
      <c r="B3819" s="4" t="n">
        <v>28960</v>
      </c>
      <c r="C3819" s="4" t="n">
        <v>1707</v>
      </c>
      <c r="D3819" s="4" t="n">
        <v>516.3674999999999</v>
      </c>
      <c r="E3819" s="5" t="n">
        <v>56.1</v>
      </c>
      <c r="F3819" s="3" t="inlineStr">
        <is>
          <t>강내면</t>
        </is>
      </c>
      <c r="G3819" s="3" t="inlineStr">
        <is>
          <t>연정리</t>
        </is>
      </c>
      <c r="H3819" s="3" t="inlineStr">
        <is>
          <t>계획관리지역</t>
        </is>
      </c>
      <c r="I3819" s="3" t="inlineStr">
        <is>
          <t>전</t>
        </is>
      </c>
      <c r="J3819" s="3" t="inlineStr">
        <is>
          <t>강내면</t>
        </is>
      </c>
    </row>
    <row r="3820">
      <c r="A3820" s="3" t="n">
        <v>2022</v>
      </c>
      <c r="B3820" s="4" t="n">
        <v>61059</v>
      </c>
      <c r="C3820" s="4" t="n">
        <v>660</v>
      </c>
      <c r="D3820" s="4" t="n">
        <v>199.65</v>
      </c>
      <c r="E3820" s="5" t="n">
        <v>305.8</v>
      </c>
      <c r="F3820" s="3" t="inlineStr">
        <is>
          <t>오송읍</t>
        </is>
      </c>
      <c r="G3820" s="3" t="inlineStr">
        <is>
          <t>궁평리</t>
        </is>
      </c>
      <c r="H3820" s="3" t="inlineStr">
        <is>
          <t>일반상업지역</t>
        </is>
      </c>
      <c r="I3820" s="3" t="inlineStr">
        <is>
          <t>대</t>
        </is>
      </c>
      <c r="J3820" s="3" t="inlineStr">
        <is>
          <t>오송읍</t>
        </is>
      </c>
    </row>
    <row r="3821">
      <c r="A3821" s="3" t="n">
        <v>2023</v>
      </c>
      <c r="B3821" s="4" t="n">
        <v>9000</v>
      </c>
      <c r="C3821" s="4" t="n">
        <v>146</v>
      </c>
      <c r="D3821" s="4" t="n">
        <v>44.165</v>
      </c>
      <c r="E3821" s="5" t="n">
        <v>203.8</v>
      </c>
      <c r="F3821" s="3" t="inlineStr">
        <is>
          <t>조치원읍</t>
        </is>
      </c>
      <c r="G3821" s="3" t="inlineStr">
        <is>
          <t>신흥리</t>
        </is>
      </c>
      <c r="H3821" s="3" t="inlineStr">
        <is>
          <t>제2종일반주거지역</t>
        </is>
      </c>
      <c r="I3821" s="3" t="inlineStr">
        <is>
          <t>전</t>
        </is>
      </c>
      <c r="J3821" s="3" t="inlineStr">
        <is>
          <t>조치원읍</t>
        </is>
      </c>
    </row>
    <row r="3822">
      <c r="A3822" s="3" t="n">
        <v>2023</v>
      </c>
      <c r="B3822" s="4" t="n">
        <v>100</v>
      </c>
      <c r="C3822" s="4" t="n">
        <v>2</v>
      </c>
      <c r="D3822" s="4" t="n">
        <v>0.605</v>
      </c>
      <c r="E3822" s="5" t="n">
        <v>165.3</v>
      </c>
      <c r="F3822" s="3" t="inlineStr">
        <is>
          <t>조치원읍</t>
        </is>
      </c>
      <c r="G3822" s="3" t="inlineStr">
        <is>
          <t>신흥리</t>
        </is>
      </c>
      <c r="H3822" s="3" t="inlineStr">
        <is>
          <t>제2종일반주거지역</t>
        </is>
      </c>
      <c r="I3822" s="3" t="inlineStr">
        <is>
          <t>전</t>
        </is>
      </c>
      <c r="J3822" s="3" t="inlineStr">
        <is>
          <t>조치원읍</t>
        </is>
      </c>
    </row>
    <row r="3823">
      <c r="A3823" s="3" t="n">
        <v>2023</v>
      </c>
      <c r="B3823" s="4" t="n">
        <v>9000</v>
      </c>
      <c r="C3823" s="4" t="n">
        <v>146</v>
      </c>
      <c r="D3823" s="4" t="n">
        <v>44.165</v>
      </c>
      <c r="E3823" s="5" t="n">
        <v>203.8</v>
      </c>
      <c r="F3823" s="3" t="inlineStr">
        <is>
          <t>조치원읍</t>
        </is>
      </c>
      <c r="G3823" s="3" t="inlineStr">
        <is>
          <t>신흥리</t>
        </is>
      </c>
      <c r="H3823" s="3" t="inlineStr">
        <is>
          <t>제2종일반주거지역</t>
        </is>
      </c>
      <c r="I3823" s="3" t="inlineStr">
        <is>
          <t>전</t>
        </is>
      </c>
      <c r="J3823" s="3" t="inlineStr">
        <is>
          <t>조치원읍</t>
        </is>
      </c>
    </row>
    <row r="3824">
      <c r="A3824" s="3" t="n">
        <v>2023</v>
      </c>
      <c r="B3824" s="4" t="n">
        <v>100</v>
      </c>
      <c r="C3824" s="4" t="n">
        <v>2</v>
      </c>
      <c r="D3824" s="4" t="n">
        <v>0.605</v>
      </c>
      <c r="E3824" s="5" t="n">
        <v>165.3</v>
      </c>
      <c r="F3824" s="3" t="inlineStr">
        <is>
          <t>조치원읍</t>
        </is>
      </c>
      <c r="G3824" s="3" t="inlineStr">
        <is>
          <t>신흥리</t>
        </is>
      </c>
      <c r="H3824" s="3" t="inlineStr">
        <is>
          <t>제2종일반주거지역</t>
        </is>
      </c>
      <c r="I3824" s="3" t="inlineStr">
        <is>
          <t>전</t>
        </is>
      </c>
      <c r="J3824" s="3" t="inlineStr">
        <is>
          <t>조치원읍</t>
        </is>
      </c>
    </row>
    <row r="3825">
      <c r="A3825" s="3" t="n">
        <v>2023</v>
      </c>
      <c r="B3825" s="4" t="n">
        <v>48400</v>
      </c>
      <c r="C3825" s="4" t="n">
        <v>2964</v>
      </c>
      <c r="D3825" s="4" t="n">
        <v>896.61</v>
      </c>
      <c r="E3825" s="5" t="n">
        <v>54</v>
      </c>
      <c r="F3825" s="3" t="inlineStr">
        <is>
          <t>부강면</t>
        </is>
      </c>
      <c r="G3825" s="3" t="inlineStr">
        <is>
          <t>금호리</t>
        </is>
      </c>
      <c r="H3825" s="3" t="inlineStr">
        <is>
          <t>농림지역</t>
        </is>
      </c>
      <c r="I3825" s="3" t="inlineStr">
        <is>
          <t>답</t>
        </is>
      </c>
      <c r="J3825" s="3" t="inlineStr">
        <is>
          <t>부강면</t>
        </is>
      </c>
    </row>
    <row r="3826">
      <c r="A3826" s="3" t="n">
        <v>2022</v>
      </c>
      <c r="B3826" s="4" t="n">
        <v>140000</v>
      </c>
      <c r="C3826" s="4" t="n">
        <v>1893</v>
      </c>
      <c r="D3826" s="4" t="n">
        <v>572.6324999999999</v>
      </c>
      <c r="E3826" s="5" t="n">
        <v>244.5</v>
      </c>
      <c r="F3826" s="3" t="inlineStr">
        <is>
          <t>연서면</t>
        </is>
      </c>
      <c r="G3826" s="3" t="inlineStr">
        <is>
          <t>와촌리</t>
        </is>
      </c>
      <c r="H3826" s="3" t="inlineStr">
        <is>
          <t>계획관리지역</t>
        </is>
      </c>
      <c r="I3826" s="3" t="inlineStr">
        <is>
          <t>전</t>
        </is>
      </c>
      <c r="J3826" s="3" t="inlineStr">
        <is>
          <t>연서면</t>
        </is>
      </c>
    </row>
    <row r="3827">
      <c r="A3827" s="3" t="n">
        <v>2022</v>
      </c>
      <c r="B3827" s="4" t="n">
        <v>198682</v>
      </c>
      <c r="C3827" s="4" t="n">
        <v>821</v>
      </c>
      <c r="D3827" s="4" t="n">
        <v>248.3525</v>
      </c>
      <c r="E3827" s="5" t="n">
        <v>800</v>
      </c>
      <c r="F3827" s="3" t="inlineStr">
        <is>
          <t>조치원읍</t>
        </is>
      </c>
      <c r="G3827" s="3" t="inlineStr">
        <is>
          <t>신안리</t>
        </is>
      </c>
      <c r="H3827" s="3" t="inlineStr">
        <is>
          <t>제2종일반주거지역</t>
        </is>
      </c>
      <c r="I3827" s="3" t="inlineStr">
        <is>
          <t>잡종지</t>
        </is>
      </c>
      <c r="J3827" s="3" t="inlineStr">
        <is>
          <t>조치원읍</t>
        </is>
      </c>
    </row>
    <row r="3828">
      <c r="A3828" s="3" t="n">
        <v>2022</v>
      </c>
      <c r="B3828" s="4" t="n">
        <v>49000</v>
      </c>
      <c r="C3828" s="4" t="n">
        <v>4604</v>
      </c>
      <c r="D3828" s="4" t="n">
        <v>1392.71</v>
      </c>
      <c r="E3828" s="5" t="n">
        <v>35.2</v>
      </c>
      <c r="F3828" s="3" t="inlineStr">
        <is>
          <t>연서면</t>
        </is>
      </c>
      <c r="G3828" s="3" t="inlineStr">
        <is>
          <t>쌍류리</t>
        </is>
      </c>
      <c r="H3828" s="3" t="inlineStr">
        <is>
          <t>농림지역</t>
        </is>
      </c>
      <c r="I3828" s="3" t="inlineStr">
        <is>
          <t>임야</t>
        </is>
      </c>
      <c r="J3828" s="3" t="inlineStr">
        <is>
          <t>연서면</t>
        </is>
      </c>
    </row>
    <row r="3829">
      <c r="A3829" s="3" t="n">
        <v>2022</v>
      </c>
      <c r="B3829" s="4" t="n">
        <v>16000</v>
      </c>
      <c r="C3829" s="4" t="n">
        <v>357</v>
      </c>
      <c r="D3829" s="4" t="n">
        <v>107.9925</v>
      </c>
      <c r="E3829" s="5" t="n">
        <v>148.2</v>
      </c>
      <c r="F3829" s="3" t="inlineStr">
        <is>
          <t>연서면</t>
        </is>
      </c>
      <c r="G3829" s="3" t="inlineStr">
        <is>
          <t>쌍류리</t>
        </is>
      </c>
      <c r="H3829" s="3" t="inlineStr">
        <is>
          <t>계획관리지역</t>
        </is>
      </c>
      <c r="I3829" s="3" t="inlineStr">
        <is>
          <t>대</t>
        </is>
      </c>
      <c r="J3829" s="3" t="inlineStr">
        <is>
          <t>연서면</t>
        </is>
      </c>
    </row>
    <row r="3830">
      <c r="A3830" s="3" t="n">
        <v>2022</v>
      </c>
      <c r="B3830" s="4" t="n">
        <v>49000</v>
      </c>
      <c r="C3830" s="4" t="n">
        <v>662</v>
      </c>
      <c r="D3830" s="4" t="n">
        <v>200.255</v>
      </c>
      <c r="E3830" s="5" t="n">
        <v>244.7</v>
      </c>
      <c r="F3830" s="3" t="inlineStr">
        <is>
          <t>연동면</t>
        </is>
      </c>
      <c r="G3830" s="3" t="inlineStr">
        <is>
          <t>노송리</t>
        </is>
      </c>
      <c r="H3830" s="3" t="inlineStr">
        <is>
          <t>계획관리지역</t>
        </is>
      </c>
      <c r="I3830" s="3" t="inlineStr">
        <is>
          <t>전</t>
        </is>
      </c>
      <c r="J3830" s="3" t="inlineStr">
        <is>
          <t>연동면</t>
        </is>
      </c>
    </row>
    <row r="3831">
      <c r="A3831" s="3" t="n">
        <v>2025</v>
      </c>
      <c r="B3831" s="4" t="n">
        <v>10000</v>
      </c>
      <c r="C3831" s="4" t="n">
        <v>179</v>
      </c>
      <c r="D3831" s="4" t="n">
        <v>54.1475</v>
      </c>
      <c r="E3831" s="5" t="n">
        <v>184.7</v>
      </c>
      <c r="F3831" s="3" t="inlineStr">
        <is>
          <t>연서면</t>
        </is>
      </c>
      <c r="G3831" s="3" t="inlineStr">
        <is>
          <t>쌍전리</t>
        </is>
      </c>
      <c r="H3831" s="3" t="inlineStr">
        <is>
          <t>자연녹지지역</t>
        </is>
      </c>
      <c r="I3831" s="3" t="inlineStr">
        <is>
          <t>과수원</t>
        </is>
      </c>
      <c r="J3831" s="3" t="inlineStr">
        <is>
          <t>연서면</t>
        </is>
      </c>
    </row>
    <row r="3832">
      <c r="A3832" s="3" t="n">
        <v>2025</v>
      </c>
      <c r="B3832" s="4" t="n">
        <v>41200</v>
      </c>
      <c r="C3832" s="4" t="n">
        <v>672</v>
      </c>
      <c r="D3832" s="4" t="n">
        <v>203.28</v>
      </c>
      <c r="E3832" s="5" t="n">
        <v>202.7</v>
      </c>
      <c r="F3832" s="3" t="inlineStr">
        <is>
          <t>조치원읍</t>
        </is>
      </c>
      <c r="G3832" s="3" t="inlineStr">
        <is>
          <t>죽림리</t>
        </is>
      </c>
      <c r="H3832" s="3" t="inlineStr">
        <is>
          <t>제2종일반주거지역</t>
        </is>
      </c>
      <c r="I3832" s="3" t="inlineStr">
        <is>
          <t>과수원</t>
        </is>
      </c>
      <c r="J3832" s="3" t="inlineStr">
        <is>
          <t>조치원읍</t>
        </is>
      </c>
    </row>
    <row r="3833">
      <c r="A3833" s="3" t="n">
        <v>2025</v>
      </c>
      <c r="B3833" s="4" t="n">
        <v>3800</v>
      </c>
      <c r="C3833" s="4" t="n">
        <v>62</v>
      </c>
      <c r="D3833" s="4" t="n">
        <v>18.755</v>
      </c>
      <c r="E3833" s="5" t="n">
        <v>202.6</v>
      </c>
      <c r="F3833" s="3" t="inlineStr">
        <is>
          <t>조치원읍</t>
        </is>
      </c>
      <c r="G3833" s="3" t="inlineStr">
        <is>
          <t>죽림리</t>
        </is>
      </c>
      <c r="H3833" s="3" t="inlineStr">
        <is>
          <t>제2종일반주거지역</t>
        </is>
      </c>
      <c r="I3833" s="3" t="inlineStr">
        <is>
          <t>과수원</t>
        </is>
      </c>
      <c r="J3833" s="3" t="inlineStr">
        <is>
          <t>조치원읍</t>
        </is>
      </c>
    </row>
    <row r="3834">
      <c r="A3834" s="3" t="n">
        <v>2025</v>
      </c>
      <c r="B3834" s="4" t="n">
        <v>29019</v>
      </c>
      <c r="C3834" s="4" t="n">
        <v>851</v>
      </c>
      <c r="D3834" s="4" t="n">
        <v>257.4275</v>
      </c>
      <c r="E3834" s="5" t="n">
        <v>112.7</v>
      </c>
      <c r="F3834" s="3" t="inlineStr">
        <is>
          <t>연서면</t>
        </is>
      </c>
      <c r="G3834" s="3" t="inlineStr">
        <is>
          <t>고복리</t>
        </is>
      </c>
      <c r="H3834" s="3" t="inlineStr">
        <is>
          <t>자연녹지지역</t>
        </is>
      </c>
      <c r="I3834" s="3" t="inlineStr">
        <is>
          <t>답</t>
        </is>
      </c>
      <c r="J3834" s="3" t="inlineStr">
        <is>
          <t>연서면</t>
        </is>
      </c>
    </row>
    <row r="3835">
      <c r="A3835" s="3" t="n">
        <v>2025</v>
      </c>
      <c r="B3835" s="4" t="n">
        <v>18453</v>
      </c>
      <c r="C3835" s="4" t="n">
        <v>514</v>
      </c>
      <c r="D3835" s="4" t="n">
        <v>155.485</v>
      </c>
      <c r="E3835" s="5" t="n">
        <v>118.7</v>
      </c>
      <c r="F3835" s="3" t="inlineStr">
        <is>
          <t>연서면</t>
        </is>
      </c>
      <c r="G3835" s="3" t="inlineStr">
        <is>
          <t>고복리</t>
        </is>
      </c>
      <c r="H3835" s="3" t="inlineStr">
        <is>
          <t>자연녹지지역</t>
        </is>
      </c>
      <c r="I3835" s="3" t="inlineStr">
        <is>
          <t>답</t>
        </is>
      </c>
      <c r="J3835" s="3" t="inlineStr">
        <is>
          <t>연서면</t>
        </is>
      </c>
    </row>
    <row r="3836">
      <c r="A3836" s="3" t="n">
        <v>2025</v>
      </c>
      <c r="B3836" s="4" t="n">
        <v>21000</v>
      </c>
      <c r="C3836" s="4" t="n">
        <v>1177</v>
      </c>
      <c r="D3836" s="4" t="n">
        <v>356.0425</v>
      </c>
      <c r="E3836" s="5" t="n">
        <v>59</v>
      </c>
      <c r="F3836" s="3" t="inlineStr">
        <is>
          <t>부강면</t>
        </is>
      </c>
      <c r="G3836" s="3" t="inlineStr">
        <is>
          <t>행산리</t>
        </is>
      </c>
      <c r="H3836" s="3" t="inlineStr">
        <is>
          <t>계획관리지역</t>
        </is>
      </c>
      <c r="I3836" s="3" t="inlineStr">
        <is>
          <t>답</t>
        </is>
      </c>
      <c r="J3836" s="3" t="inlineStr">
        <is>
          <t>부강면</t>
        </is>
      </c>
    </row>
    <row r="3837">
      <c r="A3837" s="3" t="n">
        <v>2025</v>
      </c>
      <c r="B3837" s="4" t="n">
        <v>23000</v>
      </c>
      <c r="C3837" s="4" t="n">
        <v>1279</v>
      </c>
      <c r="D3837" s="4" t="n">
        <v>386.8975</v>
      </c>
      <c r="E3837" s="5" t="n">
        <v>59.4</v>
      </c>
      <c r="F3837" s="3" t="inlineStr">
        <is>
          <t>부강면</t>
        </is>
      </c>
      <c r="G3837" s="3" t="inlineStr">
        <is>
          <t>행산리</t>
        </is>
      </c>
      <c r="H3837" s="3" t="inlineStr">
        <is>
          <t>계획관리지역</t>
        </is>
      </c>
      <c r="I3837" s="3" t="inlineStr">
        <is>
          <t>답</t>
        </is>
      </c>
      <c r="J3837" s="3" t="inlineStr">
        <is>
          <t>부강면</t>
        </is>
      </c>
    </row>
    <row r="3838">
      <c r="A3838" s="3" t="n">
        <v>2025</v>
      </c>
      <c r="B3838" s="4" t="n">
        <v>22000</v>
      </c>
      <c r="C3838" s="4" t="n">
        <v>1229</v>
      </c>
      <c r="D3838" s="4" t="n">
        <v>371.7725</v>
      </c>
      <c r="E3838" s="5" t="n">
        <v>59.2</v>
      </c>
      <c r="F3838" s="3" t="inlineStr">
        <is>
          <t>부강면</t>
        </is>
      </c>
      <c r="G3838" s="3" t="inlineStr">
        <is>
          <t>행산리</t>
        </is>
      </c>
      <c r="H3838" s="3" t="inlineStr">
        <is>
          <t>계획관리지역</t>
        </is>
      </c>
      <c r="I3838" s="3" t="inlineStr">
        <is>
          <t>답</t>
        </is>
      </c>
      <c r="J3838" s="3" t="inlineStr">
        <is>
          <t>부강면</t>
        </is>
      </c>
    </row>
    <row r="3839">
      <c r="A3839" s="3" t="n">
        <v>2025</v>
      </c>
      <c r="B3839" s="4" t="n">
        <v>35400</v>
      </c>
      <c r="C3839" s="4" t="n">
        <v>288.7</v>
      </c>
      <c r="D3839" s="4" t="n">
        <v>87.33175</v>
      </c>
      <c r="E3839" s="5" t="n">
        <v>405.4</v>
      </c>
      <c r="F3839" s="3" t="inlineStr">
        <is>
          <t>다정동</t>
        </is>
      </c>
      <c r="G3839" s="3" t="inlineStr"/>
      <c r="H3839" s="3" t="inlineStr">
        <is>
          <t>제1종전용주거지역</t>
        </is>
      </c>
      <c r="I3839" s="3" t="inlineStr">
        <is>
          <t>대</t>
        </is>
      </c>
      <c r="J3839" s="3" t="inlineStr">
        <is>
          <t>다정동</t>
        </is>
      </c>
    </row>
    <row r="3840">
      <c r="A3840" s="3" t="n">
        <v>2025</v>
      </c>
      <c r="B3840" s="4" t="n">
        <v>29117</v>
      </c>
      <c r="C3840" s="4" t="n">
        <v>1957</v>
      </c>
      <c r="D3840" s="4" t="n">
        <v>591.9924999999999</v>
      </c>
      <c r="E3840" s="5" t="n">
        <v>49.2</v>
      </c>
      <c r="F3840" s="3" t="inlineStr">
        <is>
          <t>부강면</t>
        </is>
      </c>
      <c r="G3840" s="3" t="inlineStr">
        <is>
          <t>노호리</t>
        </is>
      </c>
      <c r="H3840" s="3" t="inlineStr">
        <is>
          <t>보전관리지역</t>
        </is>
      </c>
      <c r="I3840" s="3" t="inlineStr">
        <is>
          <t>임야</t>
        </is>
      </c>
      <c r="J3840" s="3" t="inlineStr">
        <is>
          <t>부강면</t>
        </is>
      </c>
    </row>
    <row r="3841">
      <c r="A3841" s="3" t="n">
        <v>2022</v>
      </c>
      <c r="B3841" s="4" t="n">
        <v>3000</v>
      </c>
      <c r="C3841" s="4" t="n">
        <v>99</v>
      </c>
      <c r="D3841" s="4" t="n">
        <v>29.9475</v>
      </c>
      <c r="E3841" s="5" t="n">
        <v>100.2</v>
      </c>
      <c r="F3841" s="3" t="inlineStr">
        <is>
          <t>연서면</t>
        </is>
      </c>
      <c r="G3841" s="3" t="inlineStr">
        <is>
          <t>기룡리</t>
        </is>
      </c>
      <c r="H3841" s="3" t="inlineStr">
        <is>
          <t>농림지역</t>
        </is>
      </c>
      <c r="I3841" s="3" t="inlineStr">
        <is>
          <t>전</t>
        </is>
      </c>
      <c r="J3841" s="3" t="inlineStr">
        <is>
          <t>연서면</t>
        </is>
      </c>
    </row>
    <row r="3842">
      <c r="A3842" s="3" t="n">
        <v>2022</v>
      </c>
      <c r="B3842" s="4" t="n">
        <v>6000</v>
      </c>
      <c r="C3842" s="4" t="n">
        <v>200</v>
      </c>
      <c r="D3842" s="4" t="n">
        <v>60.5</v>
      </c>
      <c r="E3842" s="5" t="n">
        <v>99.2</v>
      </c>
      <c r="F3842" s="3" t="inlineStr">
        <is>
          <t>연서면</t>
        </is>
      </c>
      <c r="G3842" s="3" t="inlineStr">
        <is>
          <t>성제리</t>
        </is>
      </c>
      <c r="H3842" s="3" t="inlineStr">
        <is>
          <t>계획관리지역</t>
        </is>
      </c>
      <c r="I3842" s="3" t="inlineStr">
        <is>
          <t>전</t>
        </is>
      </c>
      <c r="J3842" s="3" t="inlineStr">
        <is>
          <t>연서면</t>
        </is>
      </c>
    </row>
    <row r="3843">
      <c r="A3843" s="3" t="n">
        <v>2022</v>
      </c>
      <c r="B3843" s="4" t="n">
        <v>21960</v>
      </c>
      <c r="C3843" s="4" t="n">
        <v>1210</v>
      </c>
      <c r="D3843" s="4" t="n">
        <v>366.025</v>
      </c>
      <c r="E3843" s="5" t="n">
        <v>60</v>
      </c>
      <c r="F3843" s="3" t="inlineStr">
        <is>
          <t>연서면</t>
        </is>
      </c>
      <c r="G3843" s="3" t="inlineStr">
        <is>
          <t>고복리</t>
        </is>
      </c>
      <c r="H3843" s="3" t="inlineStr">
        <is>
          <t>농림지역</t>
        </is>
      </c>
      <c r="I3843" s="3" t="inlineStr">
        <is>
          <t>답</t>
        </is>
      </c>
      <c r="J3843" s="3" t="inlineStr">
        <is>
          <t>연서면</t>
        </is>
      </c>
    </row>
    <row r="3844">
      <c r="A3844" s="3" t="n">
        <v>2022</v>
      </c>
      <c r="B3844" s="4" t="n">
        <v>10092</v>
      </c>
      <c r="C3844" s="4" t="n">
        <v>2780</v>
      </c>
      <c r="D3844" s="4" t="n">
        <v>840.9499999999999</v>
      </c>
      <c r="E3844" s="5" t="n">
        <v>12</v>
      </c>
      <c r="F3844" s="3" t="inlineStr">
        <is>
          <t>연동면</t>
        </is>
      </c>
      <c r="G3844" s="3" t="inlineStr">
        <is>
          <t>합강리</t>
        </is>
      </c>
      <c r="H3844" s="3" t="inlineStr">
        <is>
          <t>농림지역</t>
        </is>
      </c>
      <c r="I3844" s="3" t="inlineStr">
        <is>
          <t>임야</t>
        </is>
      </c>
      <c r="J3844" s="3" t="inlineStr">
        <is>
          <t>연동면</t>
        </is>
      </c>
    </row>
    <row r="3845">
      <c r="A3845" s="3" t="n">
        <v>2022</v>
      </c>
      <c r="B3845" s="4" t="n">
        <v>9308</v>
      </c>
      <c r="C3845" s="4" t="n">
        <v>2564</v>
      </c>
      <c r="D3845" s="4" t="n">
        <v>775.61</v>
      </c>
      <c r="E3845" s="5" t="n">
        <v>12</v>
      </c>
      <c r="F3845" s="3" t="inlineStr">
        <is>
          <t>연동면</t>
        </is>
      </c>
      <c r="G3845" s="3" t="inlineStr">
        <is>
          <t>합강리</t>
        </is>
      </c>
      <c r="H3845" s="3" t="inlineStr">
        <is>
          <t>농림지역</t>
        </is>
      </c>
      <c r="I3845" s="3" t="inlineStr">
        <is>
          <t>임야</t>
        </is>
      </c>
      <c r="J3845" s="3" t="inlineStr">
        <is>
          <t>연동면</t>
        </is>
      </c>
    </row>
    <row r="3846">
      <c r="A3846" s="3" t="n">
        <v>2022</v>
      </c>
      <c r="B3846" s="4" t="n">
        <v>10092</v>
      </c>
      <c r="C3846" s="4" t="n">
        <v>2780</v>
      </c>
      <c r="D3846" s="4" t="n">
        <v>840.9499999999999</v>
      </c>
      <c r="E3846" s="5" t="n">
        <v>12</v>
      </c>
      <c r="F3846" s="3" t="inlineStr">
        <is>
          <t>연동면</t>
        </is>
      </c>
      <c r="G3846" s="3" t="inlineStr">
        <is>
          <t>합강리</t>
        </is>
      </c>
      <c r="H3846" s="3" t="inlineStr">
        <is>
          <t>농림지역</t>
        </is>
      </c>
      <c r="I3846" s="3" t="inlineStr">
        <is>
          <t>임야</t>
        </is>
      </c>
      <c r="J3846" s="3" t="inlineStr">
        <is>
          <t>연동면</t>
        </is>
      </c>
    </row>
    <row r="3847">
      <c r="A3847" s="3" t="n">
        <v>2022</v>
      </c>
      <c r="B3847" s="4" t="n">
        <v>9308</v>
      </c>
      <c r="C3847" s="4" t="n">
        <v>2564</v>
      </c>
      <c r="D3847" s="4" t="n">
        <v>775.61</v>
      </c>
      <c r="E3847" s="5" t="n">
        <v>12</v>
      </c>
      <c r="F3847" s="3" t="inlineStr">
        <is>
          <t>연동면</t>
        </is>
      </c>
      <c r="G3847" s="3" t="inlineStr">
        <is>
          <t>합강리</t>
        </is>
      </c>
      <c r="H3847" s="3" t="inlineStr">
        <is>
          <t>농림지역</t>
        </is>
      </c>
      <c r="I3847" s="3" t="inlineStr">
        <is>
          <t>임야</t>
        </is>
      </c>
      <c r="J3847" s="3" t="inlineStr">
        <is>
          <t>연동면</t>
        </is>
      </c>
    </row>
    <row r="3848">
      <c r="A3848" s="3" t="n">
        <v>2023</v>
      </c>
      <c r="B3848" s="4" t="n">
        <v>400</v>
      </c>
      <c r="C3848" s="4" t="n">
        <v>99</v>
      </c>
      <c r="D3848" s="4" t="n">
        <v>29.9475</v>
      </c>
      <c r="E3848" s="5" t="n">
        <v>13.4</v>
      </c>
      <c r="F3848" s="3" t="inlineStr">
        <is>
          <t>남이면</t>
        </is>
      </c>
      <c r="G3848" s="3" t="inlineStr">
        <is>
          <t>팔봉리</t>
        </is>
      </c>
      <c r="H3848" s="3" t="inlineStr">
        <is>
          <t>보전관리지역</t>
        </is>
      </c>
      <c r="I3848" s="3" t="inlineStr">
        <is>
          <t>임야</t>
        </is>
      </c>
      <c r="J3848" s="3" t="inlineStr">
        <is>
          <t>남이면</t>
        </is>
      </c>
    </row>
    <row r="3849">
      <c r="A3849" s="3" t="n">
        <v>2024</v>
      </c>
      <c r="B3849" s="4" t="n">
        <v>21000</v>
      </c>
      <c r="C3849" s="4" t="n">
        <v>1535</v>
      </c>
      <c r="D3849" s="4" t="n">
        <v>464.3375</v>
      </c>
      <c r="E3849" s="5" t="n">
        <v>45.2</v>
      </c>
      <c r="F3849" s="3" t="inlineStr">
        <is>
          <t>남이면</t>
        </is>
      </c>
      <c r="G3849" s="3" t="inlineStr">
        <is>
          <t>석실리</t>
        </is>
      </c>
      <c r="H3849" s="3" t="inlineStr">
        <is>
          <t>자연녹지지역</t>
        </is>
      </c>
      <c r="I3849" s="3" t="inlineStr">
        <is>
          <t>전</t>
        </is>
      </c>
      <c r="J3849" s="3" t="inlineStr">
        <is>
          <t>남이면</t>
        </is>
      </c>
    </row>
    <row r="3850">
      <c r="A3850" s="3" t="n">
        <v>2025</v>
      </c>
      <c r="B3850" s="4" t="n">
        <v>35361</v>
      </c>
      <c r="C3850" s="4" t="n">
        <v>4870</v>
      </c>
      <c r="D3850" s="4" t="n">
        <v>1473.175</v>
      </c>
      <c r="E3850" s="5" t="n">
        <v>24</v>
      </c>
      <c r="F3850" s="3" t="inlineStr">
        <is>
          <t>남이면</t>
        </is>
      </c>
      <c r="G3850" s="3" t="inlineStr">
        <is>
          <t>구암리</t>
        </is>
      </c>
      <c r="H3850" s="3" t="inlineStr">
        <is>
          <t>보전녹지지역</t>
        </is>
      </c>
      <c r="I3850" s="3" t="inlineStr">
        <is>
          <t>임야</t>
        </is>
      </c>
      <c r="J3850" s="3" t="inlineStr">
        <is>
          <t>남이면</t>
        </is>
      </c>
    </row>
    <row r="3851">
      <c r="A3851" s="3" t="n">
        <v>2022</v>
      </c>
      <c r="B3851" s="4" t="n">
        <v>1378</v>
      </c>
      <c r="C3851" s="4" t="n">
        <v>69</v>
      </c>
      <c r="D3851" s="4" t="n">
        <v>20.8725</v>
      </c>
      <c r="E3851" s="5" t="n">
        <v>66</v>
      </c>
      <c r="F3851" s="3" t="inlineStr">
        <is>
          <t>오송읍</t>
        </is>
      </c>
      <c r="G3851" s="3" t="inlineStr">
        <is>
          <t>궁평리</t>
        </is>
      </c>
      <c r="H3851" s="3" t="inlineStr">
        <is>
          <t>일반상업지역</t>
        </is>
      </c>
      <c r="I3851" s="3" t="inlineStr">
        <is>
          <t>전</t>
        </is>
      </c>
      <c r="J3851" s="3" t="inlineStr">
        <is>
          <t>오송읍</t>
        </is>
      </c>
    </row>
    <row r="3852">
      <c r="A3852" s="3" t="n">
        <v>2023</v>
      </c>
      <c r="B3852" s="4" t="n">
        <v>37100</v>
      </c>
      <c r="C3852" s="4" t="n">
        <v>1227</v>
      </c>
      <c r="D3852" s="4" t="n">
        <v>371.1675</v>
      </c>
      <c r="E3852" s="5" t="n">
        <v>100</v>
      </c>
      <c r="F3852" s="3" t="inlineStr">
        <is>
          <t>강내면</t>
        </is>
      </c>
      <c r="G3852" s="3" t="inlineStr">
        <is>
          <t>태성리</t>
        </is>
      </c>
      <c r="H3852" s="3" t="inlineStr">
        <is>
          <t>계획관리지역</t>
        </is>
      </c>
      <c r="I3852" s="3" t="inlineStr">
        <is>
          <t>임야</t>
        </is>
      </c>
      <c r="J3852" s="3" t="inlineStr">
        <is>
          <t>강내면</t>
        </is>
      </c>
    </row>
    <row r="3853">
      <c r="A3853" s="3" t="n">
        <v>2023</v>
      </c>
      <c r="B3853" s="4" t="n">
        <v>2300</v>
      </c>
      <c r="C3853" s="4" t="n">
        <v>77</v>
      </c>
      <c r="D3853" s="4" t="n">
        <v>23.2925</v>
      </c>
      <c r="E3853" s="5" t="n">
        <v>98.7</v>
      </c>
      <c r="F3853" s="3" t="inlineStr">
        <is>
          <t>강내면</t>
        </is>
      </c>
      <c r="G3853" s="3" t="inlineStr">
        <is>
          <t>태성리</t>
        </is>
      </c>
      <c r="H3853" s="3" t="inlineStr">
        <is>
          <t>계획관리지역</t>
        </is>
      </c>
      <c r="I3853" s="3" t="inlineStr">
        <is>
          <t>임야</t>
        </is>
      </c>
      <c r="J3853" s="3" t="inlineStr">
        <is>
          <t>강내면</t>
        </is>
      </c>
    </row>
    <row r="3854">
      <c r="A3854" s="3" t="n">
        <v>2023</v>
      </c>
      <c r="B3854" s="4" t="n">
        <v>220000</v>
      </c>
      <c r="C3854" s="4" t="n">
        <v>925.4</v>
      </c>
      <c r="D3854" s="4" t="n">
        <v>279.9335</v>
      </c>
      <c r="E3854" s="5" t="n">
        <v>785.9</v>
      </c>
      <c r="F3854" s="3" t="inlineStr">
        <is>
          <t>오송읍</t>
        </is>
      </c>
      <c r="G3854" s="3" t="inlineStr">
        <is>
          <t>봉산리</t>
        </is>
      </c>
      <c r="H3854" s="3" t="inlineStr">
        <is>
          <t>일반상업지역</t>
        </is>
      </c>
      <c r="I3854" s="3" t="inlineStr">
        <is>
          <t>대</t>
        </is>
      </c>
      <c r="J3854" s="3" t="inlineStr">
        <is>
          <t>오송읍</t>
        </is>
      </c>
    </row>
    <row r="3855">
      <c r="A3855" s="3" t="n">
        <v>2023</v>
      </c>
      <c r="B3855" s="4" t="n">
        <v>160000</v>
      </c>
      <c r="C3855" s="4" t="n">
        <v>34909</v>
      </c>
      <c r="D3855" s="4" t="n">
        <v>10559.9725</v>
      </c>
      <c r="E3855" s="5" t="n">
        <v>15.2</v>
      </c>
      <c r="F3855" s="3" t="inlineStr">
        <is>
          <t>오송읍</t>
        </is>
      </c>
      <c r="G3855" s="3" t="inlineStr">
        <is>
          <t>공북리</t>
        </is>
      </c>
      <c r="H3855" s="3" t="inlineStr">
        <is>
          <t>보전관리지역</t>
        </is>
      </c>
      <c r="I3855" s="3" t="inlineStr">
        <is>
          <t>임야</t>
        </is>
      </c>
      <c r="J3855" s="3" t="inlineStr">
        <is>
          <t>오송읍</t>
        </is>
      </c>
    </row>
    <row r="3856">
      <c r="A3856" s="3" t="n">
        <v>2023</v>
      </c>
      <c r="B3856" s="4" t="n">
        <v>7700</v>
      </c>
      <c r="C3856" s="4" t="n">
        <v>294</v>
      </c>
      <c r="D3856" s="4" t="n">
        <v>88.935</v>
      </c>
      <c r="E3856" s="5" t="n">
        <v>86.59999999999999</v>
      </c>
      <c r="F3856" s="3" t="inlineStr">
        <is>
          <t>강내면</t>
        </is>
      </c>
      <c r="G3856" s="3" t="inlineStr">
        <is>
          <t>사곡리</t>
        </is>
      </c>
      <c r="H3856" s="3" t="inlineStr">
        <is>
          <t>보전관리지역</t>
        </is>
      </c>
      <c r="I3856" s="3" t="inlineStr">
        <is>
          <t>전</t>
        </is>
      </c>
      <c r="J3856" s="3" t="inlineStr">
        <is>
          <t>강내면</t>
        </is>
      </c>
    </row>
    <row r="3857">
      <c r="A3857" s="3" t="n">
        <v>2023</v>
      </c>
      <c r="B3857" s="4" t="n">
        <v>1540</v>
      </c>
      <c r="C3857" s="4" t="n">
        <v>637</v>
      </c>
      <c r="D3857" s="4" t="n">
        <v>192.6925</v>
      </c>
      <c r="E3857" s="5" t="n">
        <v>8</v>
      </c>
      <c r="F3857" s="3" t="inlineStr">
        <is>
          <t>강내면</t>
        </is>
      </c>
      <c r="G3857" s="3" t="inlineStr">
        <is>
          <t>저산리</t>
        </is>
      </c>
      <c r="H3857" s="3" t="inlineStr">
        <is>
          <t>보전관리지역</t>
        </is>
      </c>
      <c r="I3857" s="3" t="inlineStr">
        <is>
          <t>임야</t>
        </is>
      </c>
      <c r="J3857" s="3" t="inlineStr">
        <is>
          <t>강내면</t>
        </is>
      </c>
    </row>
    <row r="3858">
      <c r="A3858" s="3" t="n">
        <v>2023</v>
      </c>
      <c r="B3858" s="4" t="n">
        <v>17000</v>
      </c>
      <c r="C3858" s="4" t="n">
        <v>1192</v>
      </c>
      <c r="D3858" s="4" t="n">
        <v>360.58</v>
      </c>
      <c r="E3858" s="5" t="n">
        <v>47.1</v>
      </c>
      <c r="F3858" s="3" t="inlineStr">
        <is>
          <t>오송읍</t>
        </is>
      </c>
      <c r="G3858" s="3" t="inlineStr">
        <is>
          <t>호계리</t>
        </is>
      </c>
      <c r="H3858" s="3" t="inlineStr">
        <is>
          <t>농림지역</t>
        </is>
      </c>
      <c r="I3858" s="3" t="inlineStr">
        <is>
          <t>답</t>
        </is>
      </c>
      <c r="J3858" s="3" t="inlineStr">
        <is>
          <t>오송읍</t>
        </is>
      </c>
    </row>
    <row r="3859">
      <c r="A3859" s="3" t="n">
        <v>2023</v>
      </c>
      <c r="B3859" s="4" t="n">
        <v>103000</v>
      </c>
      <c r="C3859" s="4" t="n">
        <v>2273</v>
      </c>
      <c r="D3859" s="4" t="n">
        <v>687.5825</v>
      </c>
      <c r="E3859" s="5" t="n">
        <v>149.8</v>
      </c>
      <c r="F3859" s="3" t="inlineStr">
        <is>
          <t>강내면</t>
        </is>
      </c>
      <c r="G3859" s="3" t="inlineStr">
        <is>
          <t>태성리</t>
        </is>
      </c>
      <c r="H3859" s="3" t="inlineStr">
        <is>
          <t>계획관리지역</t>
        </is>
      </c>
      <c r="I3859" s="3" t="inlineStr">
        <is>
          <t>임야</t>
        </is>
      </c>
      <c r="J3859" s="3" t="inlineStr">
        <is>
          <t>강내면</t>
        </is>
      </c>
    </row>
    <row r="3860">
      <c r="A3860" s="3" t="n">
        <v>2023</v>
      </c>
      <c r="B3860" s="4" t="n">
        <v>19481</v>
      </c>
      <c r="C3860" s="4" t="n">
        <v>454</v>
      </c>
      <c r="D3860" s="4" t="n">
        <v>137.335</v>
      </c>
      <c r="E3860" s="5" t="n">
        <v>141.9</v>
      </c>
      <c r="F3860" s="3" t="inlineStr">
        <is>
          <t>강내면</t>
        </is>
      </c>
      <c r="G3860" s="3" t="inlineStr">
        <is>
          <t>저산리</t>
        </is>
      </c>
      <c r="H3860" s="3" t="inlineStr">
        <is>
          <t>보전관리지역</t>
        </is>
      </c>
      <c r="I3860" s="3" t="inlineStr">
        <is>
          <t>임야</t>
        </is>
      </c>
      <c r="J3860" s="3" t="inlineStr">
        <is>
          <t>강내면</t>
        </is>
      </c>
    </row>
    <row r="3861">
      <c r="A3861" s="3" t="n">
        <v>2023</v>
      </c>
      <c r="B3861" s="4" t="n">
        <v>14240</v>
      </c>
      <c r="C3861" s="4" t="n">
        <v>627</v>
      </c>
      <c r="D3861" s="4" t="n">
        <v>189.6675</v>
      </c>
      <c r="E3861" s="5" t="n">
        <v>75.09999999999999</v>
      </c>
      <c r="F3861" s="3" t="inlineStr">
        <is>
          <t>오송읍</t>
        </is>
      </c>
      <c r="G3861" s="3" t="inlineStr">
        <is>
          <t>정중리</t>
        </is>
      </c>
      <c r="H3861" s="3" t="inlineStr">
        <is>
          <t>생산관리지역</t>
        </is>
      </c>
      <c r="I3861" s="3" t="inlineStr">
        <is>
          <t>전</t>
        </is>
      </c>
      <c r="J3861" s="3" t="inlineStr">
        <is>
          <t>오송읍</t>
        </is>
      </c>
    </row>
    <row r="3862">
      <c r="A3862" s="3" t="n">
        <v>2023</v>
      </c>
      <c r="B3862" s="4" t="n">
        <v>13680</v>
      </c>
      <c r="C3862" s="4" t="n">
        <v>602</v>
      </c>
      <c r="D3862" s="4" t="n">
        <v>182.105</v>
      </c>
      <c r="E3862" s="5" t="n">
        <v>75.09999999999999</v>
      </c>
      <c r="F3862" s="3" t="inlineStr">
        <is>
          <t>오송읍</t>
        </is>
      </c>
      <c r="G3862" s="3" t="inlineStr">
        <is>
          <t>정중리</t>
        </is>
      </c>
      <c r="H3862" s="3" t="inlineStr">
        <is>
          <t>생산관리지역</t>
        </is>
      </c>
      <c r="I3862" s="3" t="inlineStr">
        <is>
          <t>전</t>
        </is>
      </c>
      <c r="J3862" s="3" t="inlineStr">
        <is>
          <t>오송읍</t>
        </is>
      </c>
    </row>
    <row r="3863">
      <c r="A3863" s="3" t="n">
        <v>2023</v>
      </c>
      <c r="B3863" s="4" t="n">
        <v>6840</v>
      </c>
      <c r="C3863" s="4" t="n">
        <v>301</v>
      </c>
      <c r="D3863" s="4" t="n">
        <v>91.05249999999999</v>
      </c>
      <c r="E3863" s="5" t="n">
        <v>75.09999999999999</v>
      </c>
      <c r="F3863" s="3" t="inlineStr">
        <is>
          <t>오송읍</t>
        </is>
      </c>
      <c r="G3863" s="3" t="inlineStr">
        <is>
          <t>정중리</t>
        </is>
      </c>
      <c r="H3863" s="3" t="inlineStr">
        <is>
          <t>생산관리지역</t>
        </is>
      </c>
      <c r="I3863" s="3" t="inlineStr">
        <is>
          <t>전</t>
        </is>
      </c>
      <c r="J3863" s="3" t="inlineStr">
        <is>
          <t>오송읍</t>
        </is>
      </c>
    </row>
    <row r="3864">
      <c r="A3864" s="3" t="n">
        <v>2023</v>
      </c>
      <c r="B3864" s="4" t="n">
        <v>6840</v>
      </c>
      <c r="C3864" s="4" t="n">
        <v>301</v>
      </c>
      <c r="D3864" s="4" t="n">
        <v>91.05249999999999</v>
      </c>
      <c r="E3864" s="5" t="n">
        <v>75.09999999999999</v>
      </c>
      <c r="F3864" s="3" t="inlineStr">
        <is>
          <t>오송읍</t>
        </is>
      </c>
      <c r="G3864" s="3" t="inlineStr">
        <is>
          <t>정중리</t>
        </is>
      </c>
      <c r="H3864" s="3" t="inlineStr">
        <is>
          <t>생산관리지역</t>
        </is>
      </c>
      <c r="I3864" s="3" t="inlineStr">
        <is>
          <t>전</t>
        </is>
      </c>
      <c r="J3864" s="3" t="inlineStr">
        <is>
          <t>오송읍</t>
        </is>
      </c>
    </row>
    <row r="3865">
      <c r="A3865" s="3" t="n">
        <v>2023</v>
      </c>
      <c r="B3865" s="4" t="n">
        <v>32000</v>
      </c>
      <c r="C3865" s="4" t="n">
        <v>276.5</v>
      </c>
      <c r="D3865" s="4" t="n">
        <v>83.64125</v>
      </c>
      <c r="E3865" s="5" t="n">
        <v>382.6</v>
      </c>
      <c r="F3865" s="3" t="inlineStr">
        <is>
          <t>오송읍</t>
        </is>
      </c>
      <c r="G3865" s="3" t="inlineStr">
        <is>
          <t>봉산리</t>
        </is>
      </c>
      <c r="H3865" s="3" t="inlineStr">
        <is>
          <t>제1종일반주거지역</t>
        </is>
      </c>
      <c r="I3865" s="3" t="inlineStr">
        <is>
          <t>대</t>
        </is>
      </c>
      <c r="J3865" s="3" t="inlineStr">
        <is>
          <t>오송읍</t>
        </is>
      </c>
    </row>
    <row r="3866">
      <c r="A3866" s="3" t="n">
        <v>2022</v>
      </c>
      <c r="B3866" s="4" t="n">
        <v>65000</v>
      </c>
      <c r="C3866" s="4" t="n">
        <v>650</v>
      </c>
      <c r="D3866" s="4" t="n">
        <v>196.625</v>
      </c>
      <c r="E3866" s="5" t="n">
        <v>330.6</v>
      </c>
      <c r="F3866" s="3" t="inlineStr">
        <is>
          <t>오송읍</t>
        </is>
      </c>
      <c r="G3866" s="3" t="inlineStr">
        <is>
          <t>오송리</t>
        </is>
      </c>
      <c r="H3866" s="3" t="inlineStr">
        <is>
          <t>준주거지역</t>
        </is>
      </c>
      <c r="I3866" s="3" t="inlineStr">
        <is>
          <t>대</t>
        </is>
      </c>
      <c r="J3866" s="3" t="inlineStr">
        <is>
          <t>오송읍</t>
        </is>
      </c>
    </row>
    <row r="3867">
      <c r="A3867" s="3" t="n">
        <v>2022</v>
      </c>
      <c r="B3867" s="4" t="n">
        <v>17000</v>
      </c>
      <c r="C3867" s="4" t="n">
        <v>1326</v>
      </c>
      <c r="D3867" s="4" t="n">
        <v>401.115</v>
      </c>
      <c r="E3867" s="5" t="n">
        <v>42.4</v>
      </c>
      <c r="F3867" s="3" t="inlineStr">
        <is>
          <t>강내면</t>
        </is>
      </c>
      <c r="G3867" s="3" t="inlineStr">
        <is>
          <t>사곡리</t>
        </is>
      </c>
      <c r="H3867" s="3" t="inlineStr">
        <is>
          <t>생산관리지역</t>
        </is>
      </c>
      <c r="I3867" s="3" t="inlineStr">
        <is>
          <t>전</t>
        </is>
      </c>
      <c r="J3867" s="3" t="inlineStr">
        <is>
          <t>강내면</t>
        </is>
      </c>
    </row>
    <row r="3868">
      <c r="A3868" s="3" t="n">
        <v>2022</v>
      </c>
      <c r="B3868" s="4" t="n">
        <v>20000</v>
      </c>
      <c r="C3868" s="4" t="n">
        <v>530</v>
      </c>
      <c r="D3868" s="4" t="n">
        <v>160.325</v>
      </c>
      <c r="E3868" s="5" t="n">
        <v>124.7</v>
      </c>
      <c r="F3868" s="3" t="inlineStr">
        <is>
          <t>강내면</t>
        </is>
      </c>
      <c r="G3868" s="3" t="inlineStr">
        <is>
          <t>석화리</t>
        </is>
      </c>
      <c r="H3868" s="3" t="inlineStr">
        <is>
          <t>자연녹지지역</t>
        </is>
      </c>
      <c r="I3868" s="3" t="inlineStr">
        <is>
          <t>대</t>
        </is>
      </c>
      <c r="J3868" s="3" t="inlineStr">
        <is>
          <t>강내면</t>
        </is>
      </c>
    </row>
    <row r="3869">
      <c r="A3869" s="3" t="n">
        <v>2022</v>
      </c>
      <c r="B3869" s="4" t="n">
        <v>19000</v>
      </c>
      <c r="C3869" s="4" t="n">
        <v>575</v>
      </c>
      <c r="D3869" s="4" t="n">
        <v>173.9375</v>
      </c>
      <c r="E3869" s="5" t="n">
        <v>109.2</v>
      </c>
      <c r="F3869" s="3" t="inlineStr">
        <is>
          <t>강내면</t>
        </is>
      </c>
      <c r="G3869" s="3" t="inlineStr">
        <is>
          <t>석화리</t>
        </is>
      </c>
      <c r="H3869" s="3" t="inlineStr">
        <is>
          <t>자연녹지지역</t>
        </is>
      </c>
      <c r="I3869" s="3" t="inlineStr">
        <is>
          <t>답</t>
        </is>
      </c>
      <c r="J3869" s="3" t="inlineStr">
        <is>
          <t>강내면</t>
        </is>
      </c>
    </row>
    <row r="3870">
      <c r="A3870" s="3" t="n">
        <v>2022</v>
      </c>
      <c r="B3870" s="4" t="n">
        <v>49000</v>
      </c>
      <c r="C3870" s="4" t="n">
        <v>1402</v>
      </c>
      <c r="D3870" s="4" t="n">
        <v>424.105</v>
      </c>
      <c r="E3870" s="5" t="n">
        <v>115.5</v>
      </c>
      <c r="F3870" s="3" t="inlineStr">
        <is>
          <t>강내면</t>
        </is>
      </c>
      <c r="G3870" s="3" t="inlineStr">
        <is>
          <t>석화리</t>
        </is>
      </c>
      <c r="H3870" s="3" t="inlineStr">
        <is>
          <t>자연녹지지역</t>
        </is>
      </c>
      <c r="I3870" s="3" t="inlineStr">
        <is>
          <t>답</t>
        </is>
      </c>
      <c r="J3870" s="3" t="inlineStr">
        <is>
          <t>강내면</t>
        </is>
      </c>
    </row>
    <row r="3871">
      <c r="A3871" s="3" t="n">
        <v>2022</v>
      </c>
      <c r="B3871" s="4" t="n">
        <v>7000</v>
      </c>
      <c r="C3871" s="4" t="n">
        <v>202</v>
      </c>
      <c r="D3871" s="4" t="n">
        <v>61.105</v>
      </c>
      <c r="E3871" s="5" t="n">
        <v>114.6</v>
      </c>
      <c r="F3871" s="3" t="inlineStr">
        <is>
          <t>강내면</t>
        </is>
      </c>
      <c r="G3871" s="3" t="inlineStr">
        <is>
          <t>석화리</t>
        </is>
      </c>
      <c r="H3871" s="3" t="inlineStr">
        <is>
          <t>자연녹지지역</t>
        </is>
      </c>
      <c r="I3871" s="3" t="inlineStr">
        <is>
          <t>답</t>
        </is>
      </c>
      <c r="J3871" s="3" t="inlineStr">
        <is>
          <t>강내면</t>
        </is>
      </c>
    </row>
    <row r="3872">
      <c r="A3872" s="3" t="n">
        <v>2022</v>
      </c>
      <c r="B3872" s="4" t="n">
        <v>34000</v>
      </c>
      <c r="C3872" s="4" t="n">
        <v>552.4</v>
      </c>
      <c r="D3872" s="4" t="n">
        <v>167.101</v>
      </c>
      <c r="E3872" s="5" t="n">
        <v>203.5</v>
      </c>
      <c r="F3872" s="3" t="inlineStr">
        <is>
          <t>강내면</t>
        </is>
      </c>
      <c r="G3872" s="3" t="inlineStr">
        <is>
          <t>사곡리</t>
        </is>
      </c>
      <c r="H3872" s="3" t="inlineStr">
        <is>
          <t>보전관리지역</t>
        </is>
      </c>
      <c r="I3872" s="3" t="inlineStr">
        <is>
          <t>임야</t>
        </is>
      </c>
      <c r="J3872" s="3" t="inlineStr">
        <is>
          <t>강내면</t>
        </is>
      </c>
    </row>
    <row r="3873">
      <c r="A3873" s="3" t="n">
        <v>2022</v>
      </c>
      <c r="B3873" s="4" t="n">
        <v>18000</v>
      </c>
      <c r="C3873" s="4" t="n">
        <v>1983</v>
      </c>
      <c r="D3873" s="4" t="n">
        <v>599.8575</v>
      </c>
      <c r="E3873" s="5" t="n">
        <v>30</v>
      </c>
      <c r="F3873" s="3" t="inlineStr">
        <is>
          <t>오송읍</t>
        </is>
      </c>
      <c r="G3873" s="3" t="inlineStr">
        <is>
          <t>공북리</t>
        </is>
      </c>
      <c r="H3873" s="3" t="inlineStr">
        <is>
          <t>보전관리지역</t>
        </is>
      </c>
      <c r="I3873" s="3" t="inlineStr">
        <is>
          <t>임야</t>
        </is>
      </c>
      <c r="J3873" s="3" t="inlineStr">
        <is>
          <t>오송읍</t>
        </is>
      </c>
    </row>
    <row r="3874">
      <c r="A3874" s="3" t="n">
        <v>2022</v>
      </c>
      <c r="B3874" s="4" t="n">
        <v>18000</v>
      </c>
      <c r="C3874" s="4" t="n">
        <v>2281</v>
      </c>
      <c r="D3874" s="4" t="n">
        <v>690.0024999999999</v>
      </c>
      <c r="E3874" s="5" t="n">
        <v>26.1</v>
      </c>
      <c r="F3874" s="3" t="inlineStr">
        <is>
          <t>오송읍</t>
        </is>
      </c>
      <c r="G3874" s="3" t="inlineStr">
        <is>
          <t>공북리</t>
        </is>
      </c>
      <c r="H3874" s="3" t="inlineStr">
        <is>
          <t>보전관리지역</t>
        </is>
      </c>
      <c r="I3874" s="3" t="inlineStr">
        <is>
          <t>임야</t>
        </is>
      </c>
      <c r="J3874" s="3" t="inlineStr">
        <is>
          <t>오송읍</t>
        </is>
      </c>
    </row>
    <row r="3875">
      <c r="A3875" s="3" t="n">
        <v>2022</v>
      </c>
      <c r="B3875" s="4" t="n">
        <v>13500</v>
      </c>
      <c r="C3875" s="4" t="n">
        <v>1056</v>
      </c>
      <c r="D3875" s="4" t="n">
        <v>319.44</v>
      </c>
      <c r="E3875" s="5" t="n">
        <v>42.3</v>
      </c>
      <c r="F3875" s="3" t="inlineStr">
        <is>
          <t>오송읍</t>
        </is>
      </c>
      <c r="G3875" s="3" t="inlineStr">
        <is>
          <t>정중리</t>
        </is>
      </c>
      <c r="H3875" s="3" t="inlineStr">
        <is>
          <t>농림지역</t>
        </is>
      </c>
      <c r="I3875" s="3" t="inlineStr">
        <is>
          <t>답</t>
        </is>
      </c>
      <c r="J3875" s="3" t="inlineStr">
        <is>
          <t>오송읍</t>
        </is>
      </c>
    </row>
    <row r="3876">
      <c r="A3876" s="3" t="n">
        <v>2022</v>
      </c>
      <c r="B3876" s="4" t="n">
        <v>5100</v>
      </c>
      <c r="C3876" s="4" t="n">
        <v>436</v>
      </c>
      <c r="D3876" s="4" t="n">
        <v>131.89</v>
      </c>
      <c r="E3876" s="5" t="n">
        <v>38.7</v>
      </c>
      <c r="F3876" s="3" t="inlineStr">
        <is>
          <t>강내면</t>
        </is>
      </c>
      <c r="G3876" s="3" t="inlineStr">
        <is>
          <t>학천리</t>
        </is>
      </c>
      <c r="H3876" s="3" t="inlineStr">
        <is>
          <t>생산녹지지역</t>
        </is>
      </c>
      <c r="I3876" s="3" t="inlineStr">
        <is>
          <t>답</t>
        </is>
      </c>
      <c r="J3876" s="3" t="inlineStr">
        <is>
          <t>강내면</t>
        </is>
      </c>
    </row>
    <row r="3877">
      <c r="A3877" s="3" t="n">
        <v>2022</v>
      </c>
      <c r="B3877" s="4" t="n">
        <v>16100</v>
      </c>
      <c r="C3877" s="4" t="n">
        <v>1369</v>
      </c>
      <c r="D3877" s="4" t="n">
        <v>414.1225</v>
      </c>
      <c r="E3877" s="5" t="n">
        <v>38.9</v>
      </c>
      <c r="F3877" s="3" t="inlineStr">
        <is>
          <t>강내면</t>
        </is>
      </c>
      <c r="G3877" s="3" t="inlineStr">
        <is>
          <t>학천리</t>
        </is>
      </c>
      <c r="H3877" s="3" t="inlineStr">
        <is>
          <t>생산녹지지역</t>
        </is>
      </c>
      <c r="I3877" s="3" t="inlineStr">
        <is>
          <t>답</t>
        </is>
      </c>
      <c r="J3877" s="3" t="inlineStr">
        <is>
          <t>강내면</t>
        </is>
      </c>
    </row>
    <row r="3878">
      <c r="A3878" s="3" t="n">
        <v>2022</v>
      </c>
      <c r="B3878" s="4" t="n">
        <v>11500</v>
      </c>
      <c r="C3878" s="4" t="n">
        <v>982</v>
      </c>
      <c r="D3878" s="4" t="n">
        <v>297.055</v>
      </c>
      <c r="E3878" s="5" t="n">
        <v>38.7</v>
      </c>
      <c r="F3878" s="3" t="inlineStr">
        <is>
          <t>강내면</t>
        </is>
      </c>
      <c r="G3878" s="3" t="inlineStr">
        <is>
          <t>학천리</t>
        </is>
      </c>
      <c r="H3878" s="3" t="inlineStr">
        <is>
          <t>생산녹지지역</t>
        </is>
      </c>
      <c r="I3878" s="3" t="inlineStr">
        <is>
          <t>답</t>
        </is>
      </c>
      <c r="J3878" s="3" t="inlineStr">
        <is>
          <t>강내면</t>
        </is>
      </c>
    </row>
    <row r="3879">
      <c r="A3879" s="3" t="n">
        <v>2022</v>
      </c>
      <c r="B3879" s="4" t="n">
        <v>56564</v>
      </c>
      <c r="C3879" s="4" t="n">
        <v>1100</v>
      </c>
      <c r="D3879" s="4" t="n">
        <v>332.75</v>
      </c>
      <c r="E3879" s="5" t="n">
        <v>170</v>
      </c>
      <c r="F3879" s="3" t="inlineStr">
        <is>
          <t>오송읍</t>
        </is>
      </c>
      <c r="G3879" s="3" t="inlineStr">
        <is>
          <t>궁평리</t>
        </is>
      </c>
      <c r="H3879" s="3" t="inlineStr">
        <is>
          <t>농림지역</t>
        </is>
      </c>
      <c r="I3879" s="3" t="inlineStr">
        <is>
          <t>답</t>
        </is>
      </c>
      <c r="J3879" s="3" t="inlineStr">
        <is>
          <t>오송읍</t>
        </is>
      </c>
    </row>
    <row r="3880">
      <c r="A3880" s="3" t="n">
        <v>2022</v>
      </c>
      <c r="B3880" s="4" t="n">
        <v>51525</v>
      </c>
      <c r="C3880" s="4" t="n">
        <v>1002</v>
      </c>
      <c r="D3880" s="4" t="n">
        <v>303.105</v>
      </c>
      <c r="E3880" s="5" t="n">
        <v>170</v>
      </c>
      <c r="F3880" s="3" t="inlineStr">
        <is>
          <t>오송읍</t>
        </is>
      </c>
      <c r="G3880" s="3" t="inlineStr">
        <is>
          <t>궁평리</t>
        </is>
      </c>
      <c r="H3880" s="3" t="inlineStr">
        <is>
          <t>농림지역</t>
        </is>
      </c>
      <c r="I3880" s="3" t="inlineStr">
        <is>
          <t>답</t>
        </is>
      </c>
      <c r="J3880" s="3" t="inlineStr">
        <is>
          <t>오송읍</t>
        </is>
      </c>
    </row>
    <row r="3881">
      <c r="A3881" s="3" t="n">
        <v>2022</v>
      </c>
      <c r="B3881" s="4" t="n">
        <v>33000</v>
      </c>
      <c r="C3881" s="4" t="n">
        <v>258.6</v>
      </c>
      <c r="D3881" s="4" t="n">
        <v>78.2265</v>
      </c>
      <c r="E3881" s="5" t="n">
        <v>421.9</v>
      </c>
      <c r="F3881" s="3" t="inlineStr">
        <is>
          <t>오송읍</t>
        </is>
      </c>
      <c r="G3881" s="3" t="inlineStr">
        <is>
          <t>봉산리</t>
        </is>
      </c>
      <c r="H3881" s="3" t="inlineStr">
        <is>
          <t>제1종일반주거지역</t>
        </is>
      </c>
      <c r="I3881" s="3" t="inlineStr">
        <is>
          <t>대</t>
        </is>
      </c>
      <c r="J3881" s="3" t="inlineStr">
        <is>
          <t>오송읍</t>
        </is>
      </c>
    </row>
    <row r="3882">
      <c r="A3882" s="3" t="n">
        <v>2022</v>
      </c>
      <c r="B3882" s="4" t="n">
        <v>33000</v>
      </c>
      <c r="C3882" s="4" t="n">
        <v>2196</v>
      </c>
      <c r="D3882" s="4" t="n">
        <v>664.29</v>
      </c>
      <c r="E3882" s="5" t="n">
        <v>49.7</v>
      </c>
      <c r="F3882" s="3" t="inlineStr">
        <is>
          <t>강내면</t>
        </is>
      </c>
      <c r="G3882" s="3" t="inlineStr">
        <is>
          <t>궁현리</t>
        </is>
      </c>
      <c r="H3882" s="3" t="inlineStr">
        <is>
          <t>계획관리지역</t>
        </is>
      </c>
      <c r="I3882" s="3" t="inlineStr">
        <is>
          <t>전</t>
        </is>
      </c>
      <c r="J3882" s="3" t="inlineStr">
        <is>
          <t>강내면</t>
        </is>
      </c>
    </row>
    <row r="3883">
      <c r="A3883" s="3" t="n">
        <v>2022</v>
      </c>
      <c r="B3883" s="4" t="n">
        <v>5518</v>
      </c>
      <c r="C3883" s="4" t="n">
        <v>570</v>
      </c>
      <c r="D3883" s="4" t="n">
        <v>172.425</v>
      </c>
      <c r="E3883" s="5" t="n">
        <v>32</v>
      </c>
      <c r="F3883" s="3" t="inlineStr">
        <is>
          <t>강내면</t>
        </is>
      </c>
      <c r="G3883" s="3" t="inlineStr">
        <is>
          <t>다락리</t>
        </is>
      </c>
      <c r="H3883" s="3" t="inlineStr">
        <is>
          <t>일반공업지역</t>
        </is>
      </c>
      <c r="I3883" s="3" t="inlineStr">
        <is>
          <t>구거</t>
        </is>
      </c>
      <c r="J3883" s="3" t="inlineStr">
        <is>
          <t>강내면</t>
        </is>
      </c>
    </row>
    <row r="3884">
      <c r="A3884" s="3" t="n">
        <v>2023</v>
      </c>
      <c r="B3884" s="4" t="n">
        <v>18000</v>
      </c>
      <c r="C3884" s="4" t="n">
        <v>1012</v>
      </c>
      <c r="D3884" s="4" t="n">
        <v>306.13</v>
      </c>
      <c r="E3884" s="5" t="n">
        <v>58.8</v>
      </c>
      <c r="F3884" s="3" t="inlineStr">
        <is>
          <t>남이면</t>
        </is>
      </c>
      <c r="G3884" s="3" t="inlineStr">
        <is>
          <t>갈원리</t>
        </is>
      </c>
      <c r="H3884" s="3" t="inlineStr">
        <is>
          <t>농림지역</t>
        </is>
      </c>
      <c r="I3884" s="3" t="inlineStr">
        <is>
          <t>답</t>
        </is>
      </c>
      <c r="J3884" s="3" t="inlineStr">
        <is>
          <t>남이면</t>
        </is>
      </c>
    </row>
    <row r="3885">
      <c r="A3885" s="3" t="n">
        <v>2023</v>
      </c>
      <c r="B3885" s="4" t="n">
        <v>10000</v>
      </c>
      <c r="C3885" s="4" t="n">
        <v>1145</v>
      </c>
      <c r="D3885" s="4" t="n">
        <v>346.3625</v>
      </c>
      <c r="E3885" s="5" t="n">
        <v>28.9</v>
      </c>
      <c r="F3885" s="3" t="inlineStr">
        <is>
          <t>남이면</t>
        </is>
      </c>
      <c r="G3885" s="3" t="inlineStr">
        <is>
          <t>양촌리</t>
        </is>
      </c>
      <c r="H3885" s="3" t="inlineStr">
        <is>
          <t>자연녹지지역</t>
        </is>
      </c>
      <c r="I3885" s="3" t="inlineStr">
        <is>
          <t>전</t>
        </is>
      </c>
      <c r="J3885" s="3" t="inlineStr">
        <is>
          <t>남이면</t>
        </is>
      </c>
    </row>
    <row r="3886">
      <c r="A3886" s="3" t="n">
        <v>2023</v>
      </c>
      <c r="B3886" s="4" t="n">
        <v>19500</v>
      </c>
      <c r="C3886" s="4" t="n">
        <v>623</v>
      </c>
      <c r="D3886" s="4" t="n">
        <v>188.4575</v>
      </c>
      <c r="E3886" s="5" t="n">
        <v>103.5</v>
      </c>
      <c r="F3886" s="3" t="inlineStr">
        <is>
          <t>남이면</t>
        </is>
      </c>
      <c r="G3886" s="3" t="inlineStr">
        <is>
          <t>구암리</t>
        </is>
      </c>
      <c r="H3886" s="3" t="inlineStr">
        <is>
          <t>자연녹지지역</t>
        </is>
      </c>
      <c r="I3886" s="3" t="inlineStr">
        <is>
          <t>전</t>
        </is>
      </c>
      <c r="J3886" s="3" t="inlineStr">
        <is>
          <t>남이면</t>
        </is>
      </c>
    </row>
    <row r="3887">
      <c r="A3887" s="3" t="n">
        <v>2023</v>
      </c>
      <c r="B3887" s="4" t="n">
        <v>48434</v>
      </c>
      <c r="C3887" s="4" t="n">
        <v>4341.6</v>
      </c>
      <c r="D3887" s="4" t="n">
        <v>1313.334</v>
      </c>
      <c r="E3887" s="5" t="n">
        <v>36.9</v>
      </c>
      <c r="F3887" s="3" t="inlineStr">
        <is>
          <t>남이면</t>
        </is>
      </c>
      <c r="G3887" s="3" t="inlineStr">
        <is>
          <t>비룡리</t>
        </is>
      </c>
      <c r="H3887" s="3" t="inlineStr">
        <is>
          <t>농림지역</t>
        </is>
      </c>
      <c r="I3887" s="3" t="inlineStr">
        <is>
          <t>답</t>
        </is>
      </c>
      <c r="J3887" s="3" t="inlineStr">
        <is>
          <t>남이면</t>
        </is>
      </c>
    </row>
    <row r="3888">
      <c r="A3888" s="3" t="n">
        <v>2023</v>
      </c>
      <c r="B3888" s="4" t="n">
        <v>106966</v>
      </c>
      <c r="C3888" s="4" t="n">
        <v>9588.299999999999</v>
      </c>
      <c r="D3888" s="4" t="n">
        <v>2900.46075</v>
      </c>
      <c r="E3888" s="5" t="n">
        <v>36.9</v>
      </c>
      <c r="F3888" s="3" t="inlineStr">
        <is>
          <t>남이면</t>
        </is>
      </c>
      <c r="G3888" s="3" t="inlineStr">
        <is>
          <t>비룡리</t>
        </is>
      </c>
      <c r="H3888" s="3" t="inlineStr">
        <is>
          <t>농림지역</t>
        </is>
      </c>
      <c r="I3888" s="3" t="inlineStr">
        <is>
          <t>답</t>
        </is>
      </c>
      <c r="J3888" s="3" t="inlineStr">
        <is>
          <t>남이면</t>
        </is>
      </c>
    </row>
    <row r="3889">
      <c r="A3889" s="3" t="n">
        <v>2023</v>
      </c>
      <c r="B3889" s="4" t="n">
        <v>60000</v>
      </c>
      <c r="C3889" s="4" t="n">
        <v>3663</v>
      </c>
      <c r="D3889" s="4" t="n">
        <v>1108.0575</v>
      </c>
      <c r="E3889" s="5" t="n">
        <v>54.1</v>
      </c>
      <c r="F3889" s="3" t="inlineStr">
        <is>
          <t>남이면</t>
        </is>
      </c>
      <c r="G3889" s="3" t="inlineStr">
        <is>
          <t>수대리</t>
        </is>
      </c>
      <c r="H3889" s="3" t="inlineStr">
        <is>
          <t>자연녹지지역</t>
        </is>
      </c>
      <c r="I3889" s="3" t="inlineStr">
        <is>
          <t>답</t>
        </is>
      </c>
      <c r="J3889" s="3" t="inlineStr">
        <is>
          <t>남이면</t>
        </is>
      </c>
    </row>
    <row r="3890">
      <c r="A3890" s="3" t="n">
        <v>2023</v>
      </c>
      <c r="B3890" s="4" t="n">
        <v>29451</v>
      </c>
      <c r="C3890" s="4" t="n">
        <v>2434</v>
      </c>
      <c r="D3890" s="4" t="n">
        <v>736.285</v>
      </c>
      <c r="E3890" s="5" t="n">
        <v>40</v>
      </c>
      <c r="F3890" s="3" t="inlineStr">
        <is>
          <t>남이면</t>
        </is>
      </c>
      <c r="G3890" s="3" t="inlineStr">
        <is>
          <t>척산리</t>
        </is>
      </c>
      <c r="H3890" s="3" t="inlineStr">
        <is>
          <t>계획관리지역</t>
        </is>
      </c>
      <c r="I3890" s="3" t="inlineStr">
        <is>
          <t>임야</t>
        </is>
      </c>
      <c r="J3890" s="3" t="inlineStr">
        <is>
          <t>남이면</t>
        </is>
      </c>
    </row>
    <row r="3891">
      <c r="A3891" s="3" t="n">
        <v>2023</v>
      </c>
      <c r="B3891" s="4" t="n">
        <v>16588</v>
      </c>
      <c r="C3891" s="4" t="n">
        <v>404</v>
      </c>
      <c r="D3891" s="4" t="n">
        <v>122.21</v>
      </c>
      <c r="E3891" s="5" t="n">
        <v>135.7</v>
      </c>
      <c r="F3891" s="3" t="inlineStr">
        <is>
          <t>남이면</t>
        </is>
      </c>
      <c r="G3891" s="3" t="inlineStr">
        <is>
          <t>구암리</t>
        </is>
      </c>
      <c r="H3891" s="3" t="inlineStr">
        <is>
          <t>보전녹지지역</t>
        </is>
      </c>
      <c r="I3891" s="3" t="inlineStr">
        <is>
          <t>임야</t>
        </is>
      </c>
      <c r="J3891" s="3" t="inlineStr">
        <is>
          <t>남이면</t>
        </is>
      </c>
    </row>
    <row r="3892">
      <c r="A3892" s="3" t="n">
        <v>2026</v>
      </c>
      <c r="B3892" s="4" t="n">
        <v>3450</v>
      </c>
      <c r="C3892" s="4" t="n">
        <v>360</v>
      </c>
      <c r="D3892" s="4" t="n">
        <v>108.9</v>
      </c>
      <c r="E3892" s="5" t="n">
        <v>31.7</v>
      </c>
      <c r="F3892" s="3" t="inlineStr">
        <is>
          <t>남이면</t>
        </is>
      </c>
      <c r="G3892" s="3" t="inlineStr">
        <is>
          <t>부용외천리</t>
        </is>
      </c>
      <c r="H3892" s="3" t="inlineStr">
        <is>
          <t>보전관리지역</t>
        </is>
      </c>
      <c r="I3892" s="3" t="inlineStr">
        <is>
          <t>전</t>
        </is>
      </c>
      <c r="J3892" s="3" t="inlineStr">
        <is>
          <t>남이면</t>
        </is>
      </c>
    </row>
    <row r="3893">
      <c r="A3893" s="3" t="n">
        <v>2026</v>
      </c>
      <c r="B3893" s="4" t="n">
        <v>11900</v>
      </c>
      <c r="C3893" s="4" t="n">
        <v>1332</v>
      </c>
      <c r="D3893" s="4" t="n">
        <v>402.93</v>
      </c>
      <c r="E3893" s="5" t="n">
        <v>29.5</v>
      </c>
      <c r="F3893" s="3" t="inlineStr">
        <is>
          <t>남이면</t>
        </is>
      </c>
      <c r="G3893" s="3" t="inlineStr">
        <is>
          <t>부용외천리</t>
        </is>
      </c>
      <c r="H3893" s="3" t="inlineStr">
        <is>
          <t>보전관리지역</t>
        </is>
      </c>
      <c r="I3893" s="3" t="inlineStr">
        <is>
          <t>답</t>
        </is>
      </c>
      <c r="J3893" s="3" t="inlineStr">
        <is>
          <t>남이면</t>
        </is>
      </c>
    </row>
    <row r="3894">
      <c r="A3894" s="3" t="n">
        <v>2026</v>
      </c>
      <c r="B3894" s="4" t="n">
        <v>30483</v>
      </c>
      <c r="C3894" s="4" t="n">
        <v>2400</v>
      </c>
      <c r="D3894" s="4" t="n">
        <v>726</v>
      </c>
      <c r="E3894" s="5" t="n">
        <v>42</v>
      </c>
      <c r="F3894" s="3" t="inlineStr">
        <is>
          <t>남이면</t>
        </is>
      </c>
      <c r="G3894" s="3" t="inlineStr">
        <is>
          <t>척산리</t>
        </is>
      </c>
      <c r="H3894" s="3" t="inlineStr">
        <is>
          <t>자연녹지지역</t>
        </is>
      </c>
      <c r="I3894" s="3" t="inlineStr">
        <is>
          <t>전</t>
        </is>
      </c>
      <c r="J3894" s="3" t="inlineStr">
        <is>
          <t>남이면</t>
        </is>
      </c>
    </row>
    <row r="3895">
      <c r="A3895" s="3" t="n">
        <v>2026</v>
      </c>
      <c r="B3895" s="4" t="n">
        <v>33417</v>
      </c>
      <c r="C3895" s="4" t="n">
        <v>2631</v>
      </c>
      <c r="D3895" s="4" t="n">
        <v>795.8774999999999</v>
      </c>
      <c r="E3895" s="5" t="n">
        <v>42</v>
      </c>
      <c r="F3895" s="3" t="inlineStr">
        <is>
          <t>남이면</t>
        </is>
      </c>
      <c r="G3895" s="3" t="inlineStr">
        <is>
          <t>척산리</t>
        </is>
      </c>
      <c r="H3895" s="3" t="inlineStr">
        <is>
          <t>자연녹지지역</t>
        </is>
      </c>
      <c r="I3895" s="3" t="inlineStr">
        <is>
          <t>전</t>
        </is>
      </c>
      <c r="J3895" s="3" t="inlineStr">
        <is>
          <t>남이면</t>
        </is>
      </c>
    </row>
    <row r="3896">
      <c r="A3896" s="3" t="n">
        <v>2026</v>
      </c>
      <c r="B3896" s="4" t="n">
        <v>2194741</v>
      </c>
      <c r="C3896" s="4" t="n">
        <v>66942</v>
      </c>
      <c r="D3896" s="4" t="n">
        <v>20249.955</v>
      </c>
      <c r="E3896" s="5" t="n">
        <v>108.4</v>
      </c>
      <c r="F3896" s="3" t="inlineStr">
        <is>
          <t>오송읍</t>
        </is>
      </c>
      <c r="G3896" s="3" t="inlineStr">
        <is>
          <t>공북리</t>
        </is>
      </c>
      <c r="H3896" s="3" t="inlineStr">
        <is>
          <t>계획관리지역</t>
        </is>
      </c>
      <c r="I3896" s="3" t="inlineStr">
        <is>
          <t>체육용지</t>
        </is>
      </c>
      <c r="J3896" s="3" t="inlineStr">
        <is>
          <t>오송읍</t>
        </is>
      </c>
    </row>
    <row r="3897">
      <c r="A3897" s="3" t="n">
        <v>2026</v>
      </c>
      <c r="B3897" s="4" t="n">
        <v>23500</v>
      </c>
      <c r="C3897" s="4" t="n">
        <v>242</v>
      </c>
      <c r="D3897" s="4" t="n">
        <v>73.205</v>
      </c>
      <c r="E3897" s="5" t="n">
        <v>321</v>
      </c>
      <c r="F3897" s="3" t="inlineStr">
        <is>
          <t>오송읍</t>
        </is>
      </c>
      <c r="G3897" s="3" t="inlineStr">
        <is>
          <t>궁평리</t>
        </is>
      </c>
      <c r="H3897" s="3" t="inlineStr">
        <is>
          <t>용도미지정</t>
        </is>
      </c>
      <c r="I3897" s="3" t="inlineStr">
        <is>
          <t>대</t>
        </is>
      </c>
      <c r="J3897" s="3" t="inlineStr">
        <is>
          <t>오송읍</t>
        </is>
      </c>
    </row>
    <row r="3898">
      <c r="A3898" s="3" t="n">
        <v>2023</v>
      </c>
      <c r="B3898" s="4" t="n">
        <v>17450</v>
      </c>
      <c r="C3898" s="4" t="n">
        <v>1156</v>
      </c>
      <c r="D3898" s="4" t="n">
        <v>349.69</v>
      </c>
      <c r="E3898" s="5" t="n">
        <v>49.9</v>
      </c>
      <c r="F3898" s="3" t="inlineStr">
        <is>
          <t>남이면</t>
        </is>
      </c>
      <c r="G3898" s="3" t="inlineStr">
        <is>
          <t>가마리</t>
        </is>
      </c>
      <c r="H3898" s="3" t="inlineStr">
        <is>
          <t>보전녹지지역</t>
        </is>
      </c>
      <c r="I3898" s="3" t="inlineStr">
        <is>
          <t>전</t>
        </is>
      </c>
      <c r="J3898" s="3" t="inlineStr">
        <is>
          <t>남이면</t>
        </is>
      </c>
    </row>
    <row r="3899">
      <c r="A3899" s="3" t="n">
        <v>2023</v>
      </c>
      <c r="B3899" s="4" t="n">
        <v>10000</v>
      </c>
      <c r="C3899" s="4" t="n">
        <v>365</v>
      </c>
      <c r="D3899" s="4" t="n">
        <v>110.4125</v>
      </c>
      <c r="E3899" s="5" t="n">
        <v>90.59999999999999</v>
      </c>
      <c r="F3899" s="3" t="inlineStr">
        <is>
          <t>남이면</t>
        </is>
      </c>
      <c r="G3899" s="3" t="inlineStr">
        <is>
          <t>부용외천리</t>
        </is>
      </c>
      <c r="H3899" s="3" t="inlineStr">
        <is>
          <t>계획관리지역</t>
        </is>
      </c>
      <c r="I3899" s="3" t="inlineStr">
        <is>
          <t>창고용지</t>
        </is>
      </c>
      <c r="J3899" s="3" t="inlineStr">
        <is>
          <t>남이면</t>
        </is>
      </c>
    </row>
    <row r="3900">
      <c r="A3900" s="3" t="n">
        <v>2023</v>
      </c>
      <c r="B3900" s="4" t="n">
        <v>5000</v>
      </c>
      <c r="C3900" s="4" t="n">
        <v>173</v>
      </c>
      <c r="D3900" s="4" t="n">
        <v>52.3325</v>
      </c>
      <c r="E3900" s="5" t="n">
        <v>95.5</v>
      </c>
      <c r="F3900" s="3" t="inlineStr">
        <is>
          <t>남이면</t>
        </is>
      </c>
      <c r="G3900" s="3" t="inlineStr">
        <is>
          <t>부용외천리</t>
        </is>
      </c>
      <c r="H3900" s="3" t="inlineStr">
        <is>
          <t>계획관리지역</t>
        </is>
      </c>
      <c r="I3900" s="3" t="inlineStr">
        <is>
          <t>창고용지</t>
        </is>
      </c>
      <c r="J3900" s="3" t="inlineStr">
        <is>
          <t>남이면</t>
        </is>
      </c>
    </row>
    <row r="3901">
      <c r="A3901" s="3" t="n">
        <v>2023</v>
      </c>
      <c r="B3901" s="4" t="n">
        <v>12000</v>
      </c>
      <c r="C3901" s="4" t="n">
        <v>1050</v>
      </c>
      <c r="D3901" s="4" t="n">
        <v>317.625</v>
      </c>
      <c r="E3901" s="5" t="n">
        <v>37.8</v>
      </c>
      <c r="F3901" s="3" t="inlineStr">
        <is>
          <t>남이면</t>
        </is>
      </c>
      <c r="G3901" s="3" t="inlineStr">
        <is>
          <t>척산리</t>
        </is>
      </c>
      <c r="H3901" s="3" t="inlineStr">
        <is>
          <t>자연녹지지역</t>
        </is>
      </c>
      <c r="I3901" s="3" t="inlineStr">
        <is>
          <t>전</t>
        </is>
      </c>
      <c r="J3901" s="3" t="inlineStr">
        <is>
          <t>남이면</t>
        </is>
      </c>
    </row>
    <row r="3902">
      <c r="A3902" s="3" t="n">
        <v>2023</v>
      </c>
      <c r="B3902" s="4" t="n">
        <v>1250</v>
      </c>
      <c r="C3902" s="4" t="n">
        <v>218</v>
      </c>
      <c r="D3902" s="4" t="n">
        <v>65.94499999999999</v>
      </c>
      <c r="E3902" s="5" t="n">
        <v>19</v>
      </c>
      <c r="F3902" s="3" t="inlineStr">
        <is>
          <t>남이면</t>
        </is>
      </c>
      <c r="G3902" s="3" t="inlineStr">
        <is>
          <t>외천리</t>
        </is>
      </c>
      <c r="H3902" s="3" t="inlineStr">
        <is>
          <t>계획관리지역</t>
        </is>
      </c>
      <c r="I3902" s="3" t="inlineStr">
        <is>
          <t>전</t>
        </is>
      </c>
      <c r="J3902" s="3" t="inlineStr">
        <is>
          <t>남이면</t>
        </is>
      </c>
    </row>
    <row r="3903">
      <c r="A3903" s="3" t="n">
        <v>2023</v>
      </c>
      <c r="B3903" s="4" t="n">
        <v>22000</v>
      </c>
      <c r="C3903" s="4" t="n">
        <v>2079</v>
      </c>
      <c r="D3903" s="4" t="n">
        <v>628.8975</v>
      </c>
      <c r="E3903" s="5" t="n">
        <v>35</v>
      </c>
      <c r="F3903" s="3" t="inlineStr">
        <is>
          <t>남이면</t>
        </is>
      </c>
      <c r="G3903" s="3" t="inlineStr">
        <is>
          <t>가좌리</t>
        </is>
      </c>
      <c r="H3903" s="3" t="inlineStr">
        <is>
          <t>자연녹지지역</t>
        </is>
      </c>
      <c r="I3903" s="3" t="inlineStr">
        <is>
          <t>답</t>
        </is>
      </c>
      <c r="J3903" s="3" t="inlineStr">
        <is>
          <t>남이면</t>
        </is>
      </c>
    </row>
    <row r="3904">
      <c r="A3904" s="3" t="n">
        <v>2023</v>
      </c>
      <c r="B3904" s="4" t="n">
        <v>1100</v>
      </c>
      <c r="C3904" s="4" t="n">
        <v>316</v>
      </c>
      <c r="D3904" s="4" t="n">
        <v>95.59</v>
      </c>
      <c r="E3904" s="5" t="n">
        <v>11.5</v>
      </c>
      <c r="F3904" s="3" t="inlineStr">
        <is>
          <t>남이면</t>
        </is>
      </c>
      <c r="G3904" s="3" t="inlineStr">
        <is>
          <t>비룡리</t>
        </is>
      </c>
      <c r="H3904" s="3" t="inlineStr">
        <is>
          <t>농림지역</t>
        </is>
      </c>
      <c r="I3904" s="3" t="inlineStr">
        <is>
          <t>전</t>
        </is>
      </c>
      <c r="J3904" s="3" t="inlineStr">
        <is>
          <t>남이면</t>
        </is>
      </c>
    </row>
    <row r="3905">
      <c r="A3905" s="3" t="n">
        <v>2023</v>
      </c>
      <c r="B3905" s="4" t="n">
        <v>500</v>
      </c>
      <c r="C3905" s="4" t="n">
        <v>160</v>
      </c>
      <c r="D3905" s="4" t="n">
        <v>48.4</v>
      </c>
      <c r="E3905" s="5" t="n">
        <v>10.3</v>
      </c>
      <c r="F3905" s="3" t="inlineStr">
        <is>
          <t>남이면</t>
        </is>
      </c>
      <c r="G3905" s="3" t="inlineStr">
        <is>
          <t>비룡리</t>
        </is>
      </c>
      <c r="H3905" s="3" t="inlineStr">
        <is>
          <t>농림지역</t>
        </is>
      </c>
      <c r="I3905" s="3" t="inlineStr">
        <is>
          <t>전</t>
        </is>
      </c>
      <c r="J3905" s="3" t="inlineStr">
        <is>
          <t>남이면</t>
        </is>
      </c>
    </row>
    <row r="3906">
      <c r="A3906" s="3" t="n">
        <v>2023</v>
      </c>
      <c r="B3906" s="4" t="n">
        <v>2000</v>
      </c>
      <c r="C3906" s="4" t="n">
        <v>578</v>
      </c>
      <c r="D3906" s="4" t="n">
        <v>174.845</v>
      </c>
      <c r="E3906" s="5" t="n">
        <v>11.4</v>
      </c>
      <c r="F3906" s="3" t="inlineStr">
        <is>
          <t>남이면</t>
        </is>
      </c>
      <c r="G3906" s="3" t="inlineStr">
        <is>
          <t>비룡리</t>
        </is>
      </c>
      <c r="H3906" s="3" t="inlineStr">
        <is>
          <t>농림지역</t>
        </is>
      </c>
      <c r="I3906" s="3" t="inlineStr">
        <is>
          <t>답</t>
        </is>
      </c>
      <c r="J3906" s="3" t="inlineStr">
        <is>
          <t>남이면</t>
        </is>
      </c>
    </row>
    <row r="3907">
      <c r="A3907" s="3" t="n">
        <v>2023</v>
      </c>
      <c r="B3907" s="4" t="n">
        <v>200</v>
      </c>
      <c r="C3907" s="4" t="n">
        <v>66</v>
      </c>
      <c r="D3907" s="4" t="n">
        <v>19.965</v>
      </c>
      <c r="E3907" s="5" t="n">
        <v>10</v>
      </c>
      <c r="F3907" s="3" t="inlineStr">
        <is>
          <t>남이면</t>
        </is>
      </c>
      <c r="G3907" s="3" t="inlineStr">
        <is>
          <t>비룡리</t>
        </is>
      </c>
      <c r="H3907" s="3" t="inlineStr">
        <is>
          <t>농림지역</t>
        </is>
      </c>
      <c r="I3907" s="3" t="inlineStr">
        <is>
          <t>답</t>
        </is>
      </c>
      <c r="J3907" s="3" t="inlineStr">
        <is>
          <t>남이면</t>
        </is>
      </c>
    </row>
    <row r="3908">
      <c r="A3908" s="3" t="n">
        <v>2023</v>
      </c>
      <c r="B3908" s="4" t="n">
        <v>21300</v>
      </c>
      <c r="C3908" s="4" t="n">
        <v>1412</v>
      </c>
      <c r="D3908" s="4" t="n">
        <v>427.13</v>
      </c>
      <c r="E3908" s="5" t="n">
        <v>49.9</v>
      </c>
      <c r="F3908" s="3" t="inlineStr">
        <is>
          <t>남이면</t>
        </is>
      </c>
      <c r="G3908" s="3" t="inlineStr">
        <is>
          <t>대련리</t>
        </is>
      </c>
      <c r="H3908" s="3" t="inlineStr">
        <is>
          <t>자연녹지지역</t>
        </is>
      </c>
      <c r="I3908" s="3" t="inlineStr">
        <is>
          <t>전</t>
        </is>
      </c>
      <c r="J3908" s="3" t="inlineStr">
        <is>
          <t>남이면</t>
        </is>
      </c>
    </row>
    <row r="3909">
      <c r="A3909" s="3" t="n">
        <v>2023</v>
      </c>
      <c r="B3909" s="4" t="n">
        <v>18995</v>
      </c>
      <c r="C3909" s="4" t="n">
        <v>482</v>
      </c>
      <c r="D3909" s="4" t="n">
        <v>145.805</v>
      </c>
      <c r="E3909" s="5" t="n">
        <v>130.3</v>
      </c>
      <c r="F3909" s="3" t="inlineStr">
        <is>
          <t>남이면</t>
        </is>
      </c>
      <c r="G3909" s="3" t="inlineStr">
        <is>
          <t>양촌리</t>
        </is>
      </c>
      <c r="H3909" s="3" t="inlineStr">
        <is>
          <t>보전녹지지역</t>
        </is>
      </c>
      <c r="I3909" s="3" t="inlineStr">
        <is>
          <t>임야</t>
        </is>
      </c>
      <c r="J3909" s="3" t="inlineStr">
        <is>
          <t>남이면</t>
        </is>
      </c>
    </row>
    <row r="3910">
      <c r="A3910" s="3" t="n">
        <v>2023</v>
      </c>
      <c r="B3910" s="4" t="n">
        <v>15000</v>
      </c>
      <c r="C3910" s="4" t="n">
        <v>985</v>
      </c>
      <c r="D3910" s="4" t="n">
        <v>297.9625</v>
      </c>
      <c r="E3910" s="5" t="n">
        <v>50.3</v>
      </c>
      <c r="F3910" s="3" t="inlineStr">
        <is>
          <t>남이면</t>
        </is>
      </c>
      <c r="G3910" s="3" t="inlineStr">
        <is>
          <t>부용외천리</t>
        </is>
      </c>
      <c r="H3910" s="3" t="inlineStr">
        <is>
          <t>계획관리지역</t>
        </is>
      </c>
      <c r="I3910" s="3" t="inlineStr">
        <is>
          <t>답</t>
        </is>
      </c>
      <c r="J3910" s="3" t="inlineStr">
        <is>
          <t>남이면</t>
        </is>
      </c>
    </row>
    <row r="3911">
      <c r="A3911" s="3" t="n">
        <v>2023</v>
      </c>
      <c r="B3911" s="4" t="n">
        <v>18330</v>
      </c>
      <c r="C3911" s="4" t="n">
        <v>2433</v>
      </c>
      <c r="D3911" s="4" t="n">
        <v>735.9825</v>
      </c>
      <c r="E3911" s="5" t="n">
        <v>24.9</v>
      </c>
      <c r="F3911" s="3" t="inlineStr">
        <is>
          <t>남이면</t>
        </is>
      </c>
      <c r="G3911" s="3" t="inlineStr">
        <is>
          <t>산막리</t>
        </is>
      </c>
      <c r="H3911" s="3" t="inlineStr">
        <is>
          <t>생산관리지역</t>
        </is>
      </c>
      <c r="I3911" s="3" t="inlineStr">
        <is>
          <t>답</t>
        </is>
      </c>
      <c r="J3911" s="3" t="inlineStr">
        <is>
          <t>남이면</t>
        </is>
      </c>
    </row>
    <row r="3912">
      <c r="A3912" s="3" t="n">
        <v>2023</v>
      </c>
      <c r="B3912" s="4" t="n">
        <v>2170</v>
      </c>
      <c r="C3912" s="4" t="n">
        <v>288</v>
      </c>
      <c r="D3912" s="4" t="n">
        <v>87.12</v>
      </c>
      <c r="E3912" s="5" t="n">
        <v>24.9</v>
      </c>
      <c r="F3912" s="3" t="inlineStr">
        <is>
          <t>남이면</t>
        </is>
      </c>
      <c r="G3912" s="3" t="inlineStr">
        <is>
          <t>산막리</t>
        </is>
      </c>
      <c r="H3912" s="3" t="inlineStr">
        <is>
          <t>생산관리지역</t>
        </is>
      </c>
      <c r="I3912" s="3" t="inlineStr">
        <is>
          <t>전</t>
        </is>
      </c>
      <c r="J3912" s="3" t="inlineStr">
        <is>
          <t>남이면</t>
        </is>
      </c>
    </row>
    <row r="3913">
      <c r="A3913" s="3" t="n">
        <v>2023</v>
      </c>
      <c r="B3913" s="4" t="n">
        <v>40000</v>
      </c>
      <c r="C3913" s="4" t="n">
        <v>318</v>
      </c>
      <c r="D3913" s="4" t="n">
        <v>96.19499999999999</v>
      </c>
      <c r="E3913" s="5" t="n">
        <v>415.8</v>
      </c>
      <c r="F3913" s="3" t="inlineStr">
        <is>
          <t>한솔동</t>
        </is>
      </c>
      <c r="G3913" s="3" t="inlineStr"/>
      <c r="H3913" s="3" t="inlineStr">
        <is>
          <t>제1종전용주거지역</t>
        </is>
      </c>
      <c r="I3913" s="3" t="inlineStr">
        <is>
          <t>대</t>
        </is>
      </c>
      <c r="J3913" s="3" t="inlineStr">
        <is>
          <t>한솔동</t>
        </is>
      </c>
    </row>
    <row r="3914">
      <c r="A3914" s="3" t="n">
        <v>2023</v>
      </c>
      <c r="B3914" s="4" t="n">
        <v>58113</v>
      </c>
      <c r="C3914" s="4" t="n">
        <v>484</v>
      </c>
      <c r="D3914" s="4" t="n">
        <v>146.41</v>
      </c>
      <c r="E3914" s="5" t="n">
        <v>396.9</v>
      </c>
      <c r="F3914" s="3" t="inlineStr">
        <is>
          <t>연동면</t>
        </is>
      </c>
      <c r="G3914" s="3" t="inlineStr">
        <is>
          <t>명학리</t>
        </is>
      </c>
      <c r="H3914" s="3" t="inlineStr">
        <is>
          <t>계획관리지역</t>
        </is>
      </c>
      <c r="I3914" s="3" t="inlineStr">
        <is>
          <t>잡종지</t>
        </is>
      </c>
      <c r="J3914" s="3" t="inlineStr">
        <is>
          <t>연동면</t>
        </is>
      </c>
    </row>
    <row r="3915">
      <c r="A3915" s="3" t="n">
        <v>2023</v>
      </c>
      <c r="B3915" s="4" t="n">
        <v>4089</v>
      </c>
      <c r="C3915" s="4" t="n">
        <v>250</v>
      </c>
      <c r="D3915" s="4" t="n">
        <v>75.625</v>
      </c>
      <c r="E3915" s="5" t="n">
        <v>54.1</v>
      </c>
      <c r="F3915" s="3" t="inlineStr">
        <is>
          <t>연동면</t>
        </is>
      </c>
      <c r="G3915" s="3" t="inlineStr">
        <is>
          <t>응암리</t>
        </is>
      </c>
      <c r="H3915" s="3" t="inlineStr">
        <is>
          <t>계획관리지역</t>
        </is>
      </c>
      <c r="I3915" s="3" t="inlineStr">
        <is>
          <t>전</t>
        </is>
      </c>
      <c r="J3915" s="3" t="inlineStr">
        <is>
          <t>연동면</t>
        </is>
      </c>
    </row>
    <row r="3916">
      <c r="A3916" s="3" t="n">
        <v>2023</v>
      </c>
      <c r="B3916" s="4" t="n">
        <v>23448</v>
      </c>
      <c r="C3916" s="4" t="n">
        <v>1650</v>
      </c>
      <c r="D3916" s="4" t="n">
        <v>499.125</v>
      </c>
      <c r="E3916" s="5" t="n">
        <v>47</v>
      </c>
      <c r="F3916" s="3" t="inlineStr">
        <is>
          <t>연동면</t>
        </is>
      </c>
      <c r="G3916" s="3" t="inlineStr">
        <is>
          <t>응암리</t>
        </is>
      </c>
      <c r="H3916" s="3" t="inlineStr">
        <is>
          <t>계획관리지역</t>
        </is>
      </c>
      <c r="I3916" s="3" t="inlineStr">
        <is>
          <t>전</t>
        </is>
      </c>
      <c r="J3916" s="3" t="inlineStr">
        <is>
          <t>연동면</t>
        </is>
      </c>
    </row>
    <row r="3917">
      <c r="A3917" s="3" t="n">
        <v>2023</v>
      </c>
      <c r="B3917" s="4" t="n">
        <v>464</v>
      </c>
      <c r="C3917" s="4" t="n">
        <v>43</v>
      </c>
      <c r="D3917" s="4" t="n">
        <v>13.0075</v>
      </c>
      <c r="E3917" s="5" t="n">
        <v>35.7</v>
      </c>
      <c r="F3917" s="3" t="inlineStr">
        <is>
          <t>연동면</t>
        </is>
      </c>
      <c r="G3917" s="3" t="inlineStr">
        <is>
          <t>응암리</t>
        </is>
      </c>
      <c r="H3917" s="3" t="inlineStr">
        <is>
          <t>계획관리지역</t>
        </is>
      </c>
      <c r="I3917" s="3" t="inlineStr">
        <is>
          <t>전</t>
        </is>
      </c>
      <c r="J3917" s="3" t="inlineStr">
        <is>
          <t>연동면</t>
        </is>
      </c>
    </row>
    <row r="3918">
      <c r="A3918" s="3" t="n">
        <v>2023</v>
      </c>
      <c r="B3918" s="4" t="n">
        <v>9420</v>
      </c>
      <c r="C3918" s="4" t="n">
        <v>1799</v>
      </c>
      <c r="D3918" s="4" t="n">
        <v>544.1975</v>
      </c>
      <c r="E3918" s="5" t="n">
        <v>17.3</v>
      </c>
      <c r="F3918" s="3" t="inlineStr">
        <is>
          <t>부강면</t>
        </is>
      </c>
      <c r="G3918" s="3" t="inlineStr">
        <is>
          <t>금호리</t>
        </is>
      </c>
      <c r="H3918" s="3" t="inlineStr">
        <is>
          <t>보전관리지역</t>
        </is>
      </c>
      <c r="I3918" s="3" t="inlineStr">
        <is>
          <t>도로</t>
        </is>
      </c>
      <c r="J3918" s="3" t="inlineStr">
        <is>
          <t>부강면</t>
        </is>
      </c>
    </row>
    <row r="3919">
      <c r="A3919" s="3" t="n">
        <v>2023</v>
      </c>
      <c r="B3919" s="4" t="n">
        <v>220</v>
      </c>
      <c r="C3919" s="4" t="n">
        <v>42</v>
      </c>
      <c r="D3919" s="4" t="n">
        <v>12.705</v>
      </c>
      <c r="E3919" s="5" t="n">
        <v>17.3</v>
      </c>
      <c r="F3919" s="3" t="inlineStr">
        <is>
          <t>부강면</t>
        </is>
      </c>
      <c r="G3919" s="3" t="inlineStr">
        <is>
          <t>금호리</t>
        </is>
      </c>
      <c r="H3919" s="3" t="inlineStr">
        <is>
          <t>계획관리지역</t>
        </is>
      </c>
      <c r="I3919" s="3" t="inlineStr">
        <is>
          <t>도로</t>
        </is>
      </c>
      <c r="J3919" s="3" t="inlineStr">
        <is>
          <t>부강면</t>
        </is>
      </c>
    </row>
    <row r="3920">
      <c r="A3920" s="3" t="n">
        <v>2022</v>
      </c>
      <c r="B3920" s="4" t="n">
        <v>62340</v>
      </c>
      <c r="C3920" s="4" t="n">
        <v>711</v>
      </c>
      <c r="D3920" s="4" t="n">
        <v>215.0775</v>
      </c>
      <c r="E3920" s="5" t="n">
        <v>289.8</v>
      </c>
      <c r="F3920" s="3" t="inlineStr">
        <is>
          <t>연서면</t>
        </is>
      </c>
      <c r="G3920" s="3" t="inlineStr">
        <is>
          <t>성제리</t>
        </is>
      </c>
      <c r="H3920" s="3" t="inlineStr">
        <is>
          <t>제1종일반주거지역</t>
        </is>
      </c>
      <c r="I3920" s="3" t="inlineStr">
        <is>
          <t>전</t>
        </is>
      </c>
      <c r="J3920" s="3" t="inlineStr">
        <is>
          <t>연서면</t>
        </is>
      </c>
    </row>
    <row r="3921">
      <c r="A3921" s="3" t="n">
        <v>2022</v>
      </c>
      <c r="B3921" s="4" t="n">
        <v>110550</v>
      </c>
      <c r="C3921" s="4" t="n">
        <v>1261</v>
      </c>
      <c r="D3921" s="4" t="n">
        <v>381.4525</v>
      </c>
      <c r="E3921" s="5" t="n">
        <v>289.8</v>
      </c>
      <c r="F3921" s="3" t="inlineStr">
        <is>
          <t>연서면</t>
        </is>
      </c>
      <c r="G3921" s="3" t="inlineStr">
        <is>
          <t>성제리</t>
        </is>
      </c>
      <c r="H3921" s="3" t="inlineStr">
        <is>
          <t>제1종일반주거지역</t>
        </is>
      </c>
      <c r="I3921" s="3" t="inlineStr">
        <is>
          <t>전</t>
        </is>
      </c>
      <c r="J3921" s="3" t="inlineStr">
        <is>
          <t>연서면</t>
        </is>
      </c>
    </row>
    <row r="3922">
      <c r="A3922" s="3" t="n">
        <v>2022</v>
      </c>
      <c r="B3922" s="4" t="n">
        <v>7485</v>
      </c>
      <c r="C3922" s="4" t="n">
        <v>165</v>
      </c>
      <c r="D3922" s="4" t="n">
        <v>49.9125</v>
      </c>
      <c r="E3922" s="5" t="n">
        <v>150</v>
      </c>
      <c r="F3922" s="3" t="inlineStr">
        <is>
          <t>연서면</t>
        </is>
      </c>
      <c r="G3922" s="3" t="inlineStr">
        <is>
          <t>성제리</t>
        </is>
      </c>
      <c r="H3922" s="3" t="inlineStr">
        <is>
          <t>제1종일반주거지역</t>
        </is>
      </c>
      <c r="I3922" s="3" t="inlineStr">
        <is>
          <t>과수원</t>
        </is>
      </c>
      <c r="J3922" s="3" t="inlineStr">
        <is>
          <t>연서면</t>
        </is>
      </c>
    </row>
    <row r="3923">
      <c r="A3923" s="3" t="n">
        <v>2022</v>
      </c>
      <c r="B3923" s="4" t="n">
        <v>765</v>
      </c>
      <c r="C3923" s="4" t="n">
        <v>17</v>
      </c>
      <c r="D3923" s="4" t="n">
        <v>5.1425</v>
      </c>
      <c r="E3923" s="5" t="n">
        <v>148.8</v>
      </c>
      <c r="F3923" s="3" t="inlineStr">
        <is>
          <t>연서면</t>
        </is>
      </c>
      <c r="G3923" s="3" t="inlineStr">
        <is>
          <t>성제리</t>
        </is>
      </c>
      <c r="H3923" s="3" t="inlineStr">
        <is>
          <t>제1종일반주거지역</t>
        </is>
      </c>
      <c r="I3923" s="3" t="inlineStr">
        <is>
          <t>과수원</t>
        </is>
      </c>
      <c r="J3923" s="3" t="inlineStr">
        <is>
          <t>연서면</t>
        </is>
      </c>
    </row>
    <row r="3924">
      <c r="A3924" s="3" t="n">
        <v>2022</v>
      </c>
      <c r="B3924" s="4" t="n">
        <v>1940</v>
      </c>
      <c r="C3924" s="4" t="n">
        <v>22</v>
      </c>
      <c r="D3924" s="4" t="n">
        <v>6.654999999999999</v>
      </c>
      <c r="E3924" s="5" t="n">
        <v>291.5</v>
      </c>
      <c r="F3924" s="3" t="inlineStr">
        <is>
          <t>연서면</t>
        </is>
      </c>
      <c r="G3924" s="3" t="inlineStr">
        <is>
          <t>성제리</t>
        </is>
      </c>
      <c r="H3924" s="3" t="inlineStr">
        <is>
          <t>제1종일반주거지역</t>
        </is>
      </c>
      <c r="I3924" s="3" t="inlineStr">
        <is>
          <t>전</t>
        </is>
      </c>
      <c r="J3924" s="3" t="inlineStr">
        <is>
          <t>연서면</t>
        </is>
      </c>
    </row>
    <row r="3925">
      <c r="A3925" s="3" t="n">
        <v>2022</v>
      </c>
      <c r="B3925" s="4" t="n">
        <v>15070</v>
      </c>
      <c r="C3925" s="4" t="n">
        <v>172</v>
      </c>
      <c r="D3925" s="4" t="n">
        <v>52.03</v>
      </c>
      <c r="E3925" s="5" t="n">
        <v>289.6</v>
      </c>
      <c r="F3925" s="3" t="inlineStr">
        <is>
          <t>연서면</t>
        </is>
      </c>
      <c r="G3925" s="3" t="inlineStr">
        <is>
          <t>성제리</t>
        </is>
      </c>
      <c r="H3925" s="3" t="inlineStr">
        <is>
          <t>제1종일반주거지역</t>
        </is>
      </c>
      <c r="I3925" s="3" t="inlineStr">
        <is>
          <t>전</t>
        </is>
      </c>
      <c r="J3925" s="3" t="inlineStr">
        <is>
          <t>연서면</t>
        </is>
      </c>
    </row>
    <row r="3926">
      <c r="A3926" s="3" t="n">
        <v>2022</v>
      </c>
      <c r="B3926" s="4" t="n">
        <v>1850</v>
      </c>
      <c r="C3926" s="4" t="n">
        <v>21</v>
      </c>
      <c r="D3926" s="4" t="n">
        <v>6.3525</v>
      </c>
      <c r="E3926" s="5" t="n">
        <v>291.2</v>
      </c>
      <c r="F3926" s="3" t="inlineStr">
        <is>
          <t>연서면</t>
        </is>
      </c>
      <c r="G3926" s="3" t="inlineStr">
        <is>
          <t>성제리</t>
        </is>
      </c>
      <c r="H3926" s="3" t="inlineStr">
        <is>
          <t>제1종일반주거지역</t>
        </is>
      </c>
      <c r="I3926" s="3" t="inlineStr">
        <is>
          <t>전</t>
        </is>
      </c>
      <c r="J3926" s="3" t="inlineStr">
        <is>
          <t>연서면</t>
        </is>
      </c>
    </row>
    <row r="3927">
      <c r="A3927" s="3" t="n">
        <v>2022</v>
      </c>
      <c r="B3927" s="4" t="n">
        <v>13500</v>
      </c>
      <c r="C3927" s="4" t="n">
        <v>446</v>
      </c>
      <c r="D3927" s="4" t="n">
        <v>134.915</v>
      </c>
      <c r="E3927" s="5" t="n">
        <v>100.1</v>
      </c>
      <c r="F3927" s="3" t="inlineStr">
        <is>
          <t>연동면</t>
        </is>
      </c>
      <c r="G3927" s="3" t="inlineStr">
        <is>
          <t>노송리</t>
        </is>
      </c>
      <c r="H3927" s="3" t="inlineStr">
        <is>
          <t>계획관리지역</t>
        </is>
      </c>
      <c r="I3927" s="3" t="inlineStr">
        <is>
          <t>대</t>
        </is>
      </c>
      <c r="J3927" s="3" t="inlineStr">
        <is>
          <t>연동면</t>
        </is>
      </c>
    </row>
    <row r="3928">
      <c r="A3928" s="3" t="n">
        <v>2022</v>
      </c>
      <c r="B3928" s="4" t="n">
        <v>82271</v>
      </c>
      <c r="C3928" s="4" t="n">
        <v>2104</v>
      </c>
      <c r="D3928" s="4" t="n">
        <v>636.46</v>
      </c>
      <c r="E3928" s="5" t="n">
        <v>129.3</v>
      </c>
      <c r="F3928" s="3" t="inlineStr">
        <is>
          <t>연서면</t>
        </is>
      </c>
      <c r="G3928" s="3" t="inlineStr">
        <is>
          <t>고복리</t>
        </is>
      </c>
      <c r="H3928" s="3" t="inlineStr">
        <is>
          <t>보전관리지역</t>
        </is>
      </c>
      <c r="I3928" s="3" t="inlineStr">
        <is>
          <t>임야</t>
        </is>
      </c>
      <c r="J3928" s="3" t="inlineStr">
        <is>
          <t>연서면</t>
        </is>
      </c>
    </row>
    <row r="3929">
      <c r="A3929" s="3" t="n">
        <v>2022</v>
      </c>
      <c r="B3929" s="4" t="n">
        <v>1439</v>
      </c>
      <c r="C3929" s="4" t="n">
        <v>35</v>
      </c>
      <c r="D3929" s="4" t="n">
        <v>10.5875</v>
      </c>
      <c r="E3929" s="5" t="n">
        <v>135.9</v>
      </c>
      <c r="F3929" s="3" t="inlineStr">
        <is>
          <t>연서면</t>
        </is>
      </c>
      <c r="G3929" s="3" t="inlineStr">
        <is>
          <t>고복리</t>
        </is>
      </c>
      <c r="H3929" s="3" t="inlineStr">
        <is>
          <t>보전관리지역</t>
        </is>
      </c>
      <c r="I3929" s="3" t="inlineStr">
        <is>
          <t>대</t>
        </is>
      </c>
      <c r="J3929" s="3" t="inlineStr">
        <is>
          <t>연서면</t>
        </is>
      </c>
    </row>
    <row r="3930">
      <c r="A3930" s="3" t="n">
        <v>2022</v>
      </c>
      <c r="B3930" s="4" t="n">
        <v>19500</v>
      </c>
      <c r="C3930" s="4" t="n">
        <v>880</v>
      </c>
      <c r="D3930" s="4" t="n">
        <v>266.2</v>
      </c>
      <c r="E3930" s="5" t="n">
        <v>73.3</v>
      </c>
      <c r="F3930" s="3" t="inlineStr">
        <is>
          <t>연서면</t>
        </is>
      </c>
      <c r="G3930" s="3" t="inlineStr">
        <is>
          <t>와촌리</t>
        </is>
      </c>
      <c r="H3930" s="3" t="inlineStr">
        <is>
          <t>보전관리지역</t>
        </is>
      </c>
      <c r="I3930" s="3" t="inlineStr">
        <is>
          <t>임야</t>
        </is>
      </c>
      <c r="J3930" s="3" t="inlineStr">
        <is>
          <t>연서면</t>
        </is>
      </c>
    </row>
    <row r="3931">
      <c r="A3931" s="3" t="n">
        <v>2022</v>
      </c>
      <c r="B3931" s="4" t="n">
        <v>149399</v>
      </c>
      <c r="C3931" s="4" t="n">
        <v>3804</v>
      </c>
      <c r="D3931" s="4" t="n">
        <v>1150.71</v>
      </c>
      <c r="E3931" s="5" t="n">
        <v>129.8</v>
      </c>
      <c r="F3931" s="3" t="inlineStr">
        <is>
          <t>연동면</t>
        </is>
      </c>
      <c r="G3931" s="3" t="inlineStr">
        <is>
          <t>응암리</t>
        </is>
      </c>
      <c r="H3931" s="3" t="inlineStr">
        <is>
          <t>계획관리지역</t>
        </is>
      </c>
      <c r="I3931" s="3" t="inlineStr">
        <is>
          <t>임야</t>
        </is>
      </c>
      <c r="J3931" s="3" t="inlineStr">
        <is>
          <t>연동면</t>
        </is>
      </c>
    </row>
    <row r="3932">
      <c r="A3932" s="3" t="n">
        <v>2022</v>
      </c>
      <c r="B3932" s="4" t="n">
        <v>24612</v>
      </c>
      <c r="C3932" s="4" t="n">
        <v>628</v>
      </c>
      <c r="D3932" s="4" t="n">
        <v>189.97</v>
      </c>
      <c r="E3932" s="5" t="n">
        <v>129.6</v>
      </c>
      <c r="F3932" s="3" t="inlineStr">
        <is>
          <t>연동면</t>
        </is>
      </c>
      <c r="G3932" s="3" t="inlineStr">
        <is>
          <t>응암리</t>
        </is>
      </c>
      <c r="H3932" s="3" t="inlineStr">
        <is>
          <t>계획관리지역</t>
        </is>
      </c>
      <c r="I3932" s="3" t="inlineStr">
        <is>
          <t>전</t>
        </is>
      </c>
      <c r="J3932" s="3" t="inlineStr">
        <is>
          <t>연동면</t>
        </is>
      </c>
    </row>
    <row r="3933">
      <c r="A3933" s="3" t="n">
        <v>2022</v>
      </c>
      <c r="B3933" s="4" t="n">
        <v>149399</v>
      </c>
      <c r="C3933" s="4" t="n">
        <v>3804</v>
      </c>
      <c r="D3933" s="4" t="n">
        <v>1150.71</v>
      </c>
      <c r="E3933" s="5" t="n">
        <v>129.8</v>
      </c>
      <c r="F3933" s="3" t="inlineStr">
        <is>
          <t>연동면</t>
        </is>
      </c>
      <c r="G3933" s="3" t="inlineStr">
        <is>
          <t>응암리</t>
        </is>
      </c>
      <c r="H3933" s="3" t="inlineStr">
        <is>
          <t>계획관리지역</t>
        </is>
      </c>
      <c r="I3933" s="3" t="inlineStr">
        <is>
          <t>임야</t>
        </is>
      </c>
      <c r="J3933" s="3" t="inlineStr">
        <is>
          <t>연동면</t>
        </is>
      </c>
    </row>
    <row r="3934">
      <c r="A3934" s="3" t="n">
        <v>2026</v>
      </c>
      <c r="B3934" s="4" t="n">
        <v>13129</v>
      </c>
      <c r="C3934" s="4" t="n">
        <v>618</v>
      </c>
      <c r="D3934" s="4" t="n">
        <v>186.945</v>
      </c>
      <c r="E3934" s="5" t="n">
        <v>70.2</v>
      </c>
      <c r="F3934" s="3" t="inlineStr">
        <is>
          <t>남이면</t>
        </is>
      </c>
      <c r="G3934" s="3" t="inlineStr">
        <is>
          <t>상발리</t>
        </is>
      </c>
      <c r="H3934" s="3" t="inlineStr">
        <is>
          <t>자연녹지지역</t>
        </is>
      </c>
      <c r="I3934" s="3" t="inlineStr">
        <is>
          <t>답</t>
        </is>
      </c>
      <c r="J3934" s="3" t="inlineStr">
        <is>
          <t>남이면</t>
        </is>
      </c>
    </row>
    <row r="3935">
      <c r="A3935" s="3" t="n">
        <v>2026</v>
      </c>
      <c r="B3935" s="4" t="n">
        <v>1373</v>
      </c>
      <c r="C3935" s="4" t="n">
        <v>65</v>
      </c>
      <c r="D3935" s="4" t="n">
        <v>19.6625</v>
      </c>
      <c r="E3935" s="5" t="n">
        <v>69.8</v>
      </c>
      <c r="F3935" s="3" t="inlineStr">
        <is>
          <t>남이면</t>
        </is>
      </c>
      <c r="G3935" s="3" t="inlineStr">
        <is>
          <t>상발리</t>
        </is>
      </c>
      <c r="H3935" s="3" t="inlineStr">
        <is>
          <t>자연녹지지역</t>
        </is>
      </c>
      <c r="I3935" s="3" t="inlineStr">
        <is>
          <t>답</t>
        </is>
      </c>
      <c r="J3935" s="3" t="inlineStr">
        <is>
          <t>남이면</t>
        </is>
      </c>
    </row>
    <row r="3936">
      <c r="A3936" s="3" t="n">
        <v>2025</v>
      </c>
      <c r="B3936" s="4" t="n">
        <v>8289</v>
      </c>
      <c r="C3936" s="4" t="n">
        <v>137</v>
      </c>
      <c r="D3936" s="4" t="n">
        <v>41.4425</v>
      </c>
      <c r="E3936" s="5" t="n">
        <v>200</v>
      </c>
      <c r="F3936" s="3" t="inlineStr">
        <is>
          <t>오송읍</t>
        </is>
      </c>
      <c r="G3936" s="3" t="inlineStr">
        <is>
          <t>궁평리</t>
        </is>
      </c>
      <c r="H3936" s="3" t="inlineStr">
        <is>
          <t>농림지역</t>
        </is>
      </c>
      <c r="I3936" s="3" t="inlineStr">
        <is>
          <t>대</t>
        </is>
      </c>
      <c r="J3936" s="3" t="inlineStr">
        <is>
          <t>오송읍</t>
        </is>
      </c>
    </row>
    <row r="3937">
      <c r="A3937" s="3" t="n">
        <v>2025</v>
      </c>
      <c r="B3937" s="4" t="n">
        <v>1815</v>
      </c>
      <c r="C3937" s="4" t="n">
        <v>30</v>
      </c>
      <c r="D3937" s="4" t="n">
        <v>9.074999999999999</v>
      </c>
      <c r="E3937" s="5" t="n">
        <v>200</v>
      </c>
      <c r="F3937" s="3" t="inlineStr">
        <is>
          <t>오송읍</t>
        </is>
      </c>
      <c r="G3937" s="3" t="inlineStr">
        <is>
          <t>궁평리</t>
        </is>
      </c>
      <c r="H3937" s="3" t="inlineStr">
        <is>
          <t>농림지역</t>
        </is>
      </c>
      <c r="I3937" s="3" t="inlineStr">
        <is>
          <t>도로</t>
        </is>
      </c>
      <c r="J3937" s="3" t="inlineStr">
        <is>
          <t>오송읍</t>
        </is>
      </c>
    </row>
    <row r="3938">
      <c r="A3938" s="3" t="n">
        <v>2025</v>
      </c>
      <c r="B3938" s="4" t="n">
        <v>21720</v>
      </c>
      <c r="C3938" s="4" t="n">
        <v>359</v>
      </c>
      <c r="D3938" s="4" t="n">
        <v>108.5975</v>
      </c>
      <c r="E3938" s="5" t="n">
        <v>200</v>
      </c>
      <c r="F3938" s="3" t="inlineStr">
        <is>
          <t>오송읍</t>
        </is>
      </c>
      <c r="G3938" s="3" t="inlineStr">
        <is>
          <t>궁평리</t>
        </is>
      </c>
      <c r="H3938" s="3" t="inlineStr">
        <is>
          <t>농림지역</t>
        </is>
      </c>
      <c r="I3938" s="3" t="inlineStr">
        <is>
          <t>대</t>
        </is>
      </c>
      <c r="J3938" s="3" t="inlineStr">
        <is>
          <t>오송읍</t>
        </is>
      </c>
    </row>
    <row r="3939">
      <c r="A3939" s="3" t="n">
        <v>2025</v>
      </c>
      <c r="B3939" s="4" t="n">
        <v>9900</v>
      </c>
      <c r="C3939" s="4" t="n">
        <v>353</v>
      </c>
      <c r="D3939" s="4" t="n">
        <v>106.7825</v>
      </c>
      <c r="E3939" s="5" t="n">
        <v>92.7</v>
      </c>
      <c r="F3939" s="3" t="inlineStr">
        <is>
          <t>강내면</t>
        </is>
      </c>
      <c r="G3939" s="3" t="inlineStr">
        <is>
          <t>태성리</t>
        </is>
      </c>
      <c r="H3939" s="3" t="inlineStr">
        <is>
          <t>계획관리지역</t>
        </is>
      </c>
      <c r="I3939" s="3" t="inlineStr">
        <is>
          <t>임야</t>
        </is>
      </c>
      <c r="J3939" s="3" t="inlineStr">
        <is>
          <t>강내면</t>
        </is>
      </c>
    </row>
    <row r="3940">
      <c r="A3940" s="3" t="n">
        <v>2025</v>
      </c>
      <c r="B3940" s="4" t="n">
        <v>13890</v>
      </c>
      <c r="C3940" s="4" t="n">
        <v>495</v>
      </c>
      <c r="D3940" s="4" t="n">
        <v>149.7375</v>
      </c>
      <c r="E3940" s="5" t="n">
        <v>92.8</v>
      </c>
      <c r="F3940" s="3" t="inlineStr">
        <is>
          <t>강내면</t>
        </is>
      </c>
      <c r="G3940" s="3" t="inlineStr">
        <is>
          <t>태성리</t>
        </is>
      </c>
      <c r="H3940" s="3" t="inlineStr">
        <is>
          <t>계획관리지역</t>
        </is>
      </c>
      <c r="I3940" s="3" t="inlineStr">
        <is>
          <t>전</t>
        </is>
      </c>
      <c r="J3940" s="3" t="inlineStr">
        <is>
          <t>강내면</t>
        </is>
      </c>
    </row>
    <row r="3941">
      <c r="A3941" s="3" t="n">
        <v>2025</v>
      </c>
      <c r="B3941" s="4" t="n">
        <v>37000</v>
      </c>
      <c r="C3941" s="4" t="n">
        <v>290.7</v>
      </c>
      <c r="D3941" s="4" t="n">
        <v>87.93674999999999</v>
      </c>
      <c r="E3941" s="5" t="n">
        <v>420.8</v>
      </c>
      <c r="F3941" s="3" t="inlineStr">
        <is>
          <t>오송읍</t>
        </is>
      </c>
      <c r="G3941" s="3" t="inlineStr">
        <is>
          <t>봉산리</t>
        </is>
      </c>
      <c r="H3941" s="3" t="inlineStr">
        <is>
          <t>제1종일반주거지역</t>
        </is>
      </c>
      <c r="I3941" s="3" t="inlineStr">
        <is>
          <t>대</t>
        </is>
      </c>
      <c r="J3941" s="3" t="inlineStr">
        <is>
          <t>오송읍</t>
        </is>
      </c>
    </row>
    <row r="3942">
      <c r="A3942" s="3" t="n">
        <v>2025</v>
      </c>
      <c r="B3942" s="4" t="n">
        <v>19704</v>
      </c>
      <c r="C3942" s="4" t="n">
        <v>465</v>
      </c>
      <c r="D3942" s="4" t="n">
        <v>140.6625</v>
      </c>
      <c r="E3942" s="5" t="n">
        <v>140.1</v>
      </c>
      <c r="F3942" s="3" t="inlineStr">
        <is>
          <t>강내면</t>
        </is>
      </c>
      <c r="G3942" s="3" t="inlineStr">
        <is>
          <t>사곡리</t>
        </is>
      </c>
      <c r="H3942" s="3" t="inlineStr">
        <is>
          <t>보전관리지역</t>
        </is>
      </c>
      <c r="I3942" s="3" t="inlineStr">
        <is>
          <t>대</t>
        </is>
      </c>
      <c r="J3942" s="3" t="inlineStr">
        <is>
          <t>강내면</t>
        </is>
      </c>
    </row>
    <row r="3943">
      <c r="A3943" s="3" t="n">
        <v>2025</v>
      </c>
      <c r="B3943" s="4" t="n">
        <v>30000</v>
      </c>
      <c r="C3943" s="4" t="n">
        <v>267.6</v>
      </c>
      <c r="D3943" s="4" t="n">
        <v>80.949</v>
      </c>
      <c r="E3943" s="5" t="n">
        <v>370.6</v>
      </c>
      <c r="F3943" s="3" t="inlineStr">
        <is>
          <t>오송읍</t>
        </is>
      </c>
      <c r="G3943" s="3" t="inlineStr">
        <is>
          <t>봉산리</t>
        </is>
      </c>
      <c r="H3943" s="3" t="inlineStr">
        <is>
          <t>제1종일반주거지역</t>
        </is>
      </c>
      <c r="I3943" s="3" t="inlineStr">
        <is>
          <t>대</t>
        </is>
      </c>
      <c r="J3943" s="3" t="inlineStr">
        <is>
          <t>오송읍</t>
        </is>
      </c>
    </row>
    <row r="3944">
      <c r="A3944" s="3" t="n">
        <v>2025</v>
      </c>
      <c r="B3944" s="4" t="n">
        <v>37500</v>
      </c>
      <c r="C3944" s="4" t="n">
        <v>249.1</v>
      </c>
      <c r="D3944" s="4" t="n">
        <v>75.35275</v>
      </c>
      <c r="E3944" s="5" t="n">
        <v>497.7</v>
      </c>
      <c r="F3944" s="3" t="inlineStr">
        <is>
          <t>오송읍</t>
        </is>
      </c>
      <c r="G3944" s="3" t="inlineStr">
        <is>
          <t>봉산리</t>
        </is>
      </c>
      <c r="H3944" s="3" t="inlineStr">
        <is>
          <t>제1종일반주거지역</t>
        </is>
      </c>
      <c r="I3944" s="3" t="inlineStr">
        <is>
          <t>대</t>
        </is>
      </c>
      <c r="J3944" s="3" t="inlineStr">
        <is>
          <t>오송읍</t>
        </is>
      </c>
    </row>
    <row r="3945">
      <c r="A3945" s="3" t="n">
        <v>2025</v>
      </c>
      <c r="B3945" s="4" t="n">
        <v>32000</v>
      </c>
      <c r="C3945" s="4" t="n">
        <v>287.1</v>
      </c>
      <c r="D3945" s="4" t="n">
        <v>86.84775</v>
      </c>
      <c r="E3945" s="5" t="n">
        <v>368.5</v>
      </c>
      <c r="F3945" s="3" t="inlineStr">
        <is>
          <t>오송읍</t>
        </is>
      </c>
      <c r="G3945" s="3" t="inlineStr">
        <is>
          <t>봉산리</t>
        </is>
      </c>
      <c r="H3945" s="3" t="inlineStr">
        <is>
          <t>제1종일반주거지역</t>
        </is>
      </c>
      <c r="I3945" s="3" t="inlineStr">
        <is>
          <t>대</t>
        </is>
      </c>
      <c r="J3945" s="3" t="inlineStr">
        <is>
          <t>오송읍</t>
        </is>
      </c>
    </row>
    <row r="3946">
      <c r="A3946" s="3" t="n">
        <v>2025</v>
      </c>
      <c r="B3946" s="4" t="n">
        <v>55000</v>
      </c>
      <c r="C3946" s="4" t="n">
        <v>3306</v>
      </c>
      <c r="D3946" s="4" t="n">
        <v>1000.065</v>
      </c>
      <c r="E3946" s="5" t="n">
        <v>55</v>
      </c>
      <c r="F3946" s="3" t="inlineStr">
        <is>
          <t>오송읍</t>
        </is>
      </c>
      <c r="G3946" s="3" t="inlineStr">
        <is>
          <t>서평리</t>
        </is>
      </c>
      <c r="H3946" s="3" t="inlineStr">
        <is>
          <t>생산관리지역</t>
        </is>
      </c>
      <c r="I3946" s="3" t="inlineStr">
        <is>
          <t>전</t>
        </is>
      </c>
      <c r="J3946" s="3" t="inlineStr">
        <is>
          <t>오송읍</t>
        </is>
      </c>
    </row>
    <row r="3947">
      <c r="A3947" s="3" t="n">
        <v>2025</v>
      </c>
      <c r="B3947" s="4" t="n">
        <v>30000</v>
      </c>
      <c r="C3947" s="4" t="n">
        <v>1653</v>
      </c>
      <c r="D3947" s="4" t="n">
        <v>500.0325</v>
      </c>
      <c r="E3947" s="5" t="n">
        <v>60</v>
      </c>
      <c r="F3947" s="3" t="inlineStr">
        <is>
          <t>오송읍</t>
        </is>
      </c>
      <c r="G3947" s="3" t="inlineStr">
        <is>
          <t>서평리</t>
        </is>
      </c>
      <c r="H3947" s="3" t="inlineStr">
        <is>
          <t>생산관리지역</t>
        </is>
      </c>
      <c r="I3947" s="3" t="inlineStr">
        <is>
          <t>전</t>
        </is>
      </c>
      <c r="J3947" s="3" t="inlineStr">
        <is>
          <t>오송읍</t>
        </is>
      </c>
    </row>
    <row r="3948">
      <c r="A3948" s="3" t="n">
        <v>2025</v>
      </c>
      <c r="B3948" s="4" t="n">
        <v>10000</v>
      </c>
      <c r="C3948" s="4" t="n">
        <v>340</v>
      </c>
      <c r="D3948" s="4" t="n">
        <v>102.85</v>
      </c>
      <c r="E3948" s="5" t="n">
        <v>97.2</v>
      </c>
      <c r="F3948" s="3" t="inlineStr">
        <is>
          <t>강내면</t>
        </is>
      </c>
      <c r="G3948" s="3" t="inlineStr">
        <is>
          <t>다락리</t>
        </is>
      </c>
      <c r="H3948" s="3" t="inlineStr">
        <is>
          <t>농림지역</t>
        </is>
      </c>
      <c r="I3948" s="3" t="inlineStr">
        <is>
          <t>답</t>
        </is>
      </c>
      <c r="J3948" s="3" t="inlineStr">
        <is>
          <t>강내면</t>
        </is>
      </c>
    </row>
    <row r="3949">
      <c r="A3949" s="3" t="n">
        <v>2025</v>
      </c>
      <c r="B3949" s="4" t="n">
        <v>28992</v>
      </c>
      <c r="C3949" s="4" t="n">
        <v>1997</v>
      </c>
      <c r="D3949" s="4" t="n">
        <v>604.0925</v>
      </c>
      <c r="E3949" s="5" t="n">
        <v>48</v>
      </c>
      <c r="F3949" s="3" t="inlineStr">
        <is>
          <t>오송읍</t>
        </is>
      </c>
      <c r="G3949" s="3" t="inlineStr">
        <is>
          <t>호계리</t>
        </is>
      </c>
      <c r="H3949" s="3" t="inlineStr">
        <is>
          <t>농림지역</t>
        </is>
      </c>
      <c r="I3949" s="3" t="inlineStr">
        <is>
          <t>답</t>
        </is>
      </c>
      <c r="J3949" s="3" t="inlineStr">
        <is>
          <t>오송읍</t>
        </is>
      </c>
    </row>
    <row r="3950">
      <c r="A3950" s="3" t="n">
        <v>2025</v>
      </c>
      <c r="B3950" s="4" t="n">
        <v>28944</v>
      </c>
      <c r="C3950" s="4" t="n">
        <v>1993</v>
      </c>
      <c r="D3950" s="4" t="n">
        <v>602.8824999999999</v>
      </c>
      <c r="E3950" s="5" t="n">
        <v>48</v>
      </c>
      <c r="F3950" s="3" t="inlineStr">
        <is>
          <t>오송읍</t>
        </is>
      </c>
      <c r="G3950" s="3" t="inlineStr">
        <is>
          <t>호계리</t>
        </is>
      </c>
      <c r="H3950" s="3" t="inlineStr">
        <is>
          <t>농림지역</t>
        </is>
      </c>
      <c r="I3950" s="3" t="inlineStr">
        <is>
          <t>답</t>
        </is>
      </c>
      <c r="J3950" s="3" t="inlineStr">
        <is>
          <t>오송읍</t>
        </is>
      </c>
    </row>
    <row r="3951">
      <c r="A3951" s="3" t="n">
        <v>2025</v>
      </c>
      <c r="B3951" s="4" t="n">
        <v>55000</v>
      </c>
      <c r="C3951" s="4" t="n">
        <v>2340</v>
      </c>
      <c r="D3951" s="4" t="n">
        <v>707.85</v>
      </c>
      <c r="E3951" s="5" t="n">
        <v>77.7</v>
      </c>
      <c r="F3951" s="3" t="inlineStr">
        <is>
          <t>강내면</t>
        </is>
      </c>
      <c r="G3951" s="3" t="inlineStr">
        <is>
          <t>사곡리</t>
        </is>
      </c>
      <c r="H3951" s="3" t="inlineStr">
        <is>
          <t>계획관리지역</t>
        </is>
      </c>
      <c r="I3951" s="3" t="inlineStr">
        <is>
          <t>전</t>
        </is>
      </c>
      <c r="J3951" s="3" t="inlineStr">
        <is>
          <t>강내면</t>
        </is>
      </c>
    </row>
    <row r="3952">
      <c r="A3952" s="3" t="n">
        <v>2025</v>
      </c>
      <c r="B3952" s="4" t="n">
        <v>61000</v>
      </c>
      <c r="C3952" s="4" t="n">
        <v>1125</v>
      </c>
      <c r="D3952" s="4" t="n">
        <v>340.3125</v>
      </c>
      <c r="E3952" s="5" t="n">
        <v>179.2</v>
      </c>
      <c r="F3952" s="3" t="inlineStr">
        <is>
          <t>강내면</t>
        </is>
      </c>
      <c r="G3952" s="3" t="inlineStr">
        <is>
          <t>탑연리</t>
        </is>
      </c>
      <c r="H3952" s="3" t="inlineStr">
        <is>
          <t>자연녹지지역</t>
        </is>
      </c>
      <c r="I3952" s="3" t="inlineStr">
        <is>
          <t>답</t>
        </is>
      </c>
      <c r="J3952" s="3" t="inlineStr">
        <is>
          <t>강내면</t>
        </is>
      </c>
    </row>
    <row r="3953">
      <c r="A3953" s="3" t="n">
        <v>2024</v>
      </c>
      <c r="B3953" s="4" t="n">
        <v>31000</v>
      </c>
      <c r="C3953" s="4" t="n">
        <v>1487</v>
      </c>
      <c r="D3953" s="4" t="n">
        <v>449.8175</v>
      </c>
      <c r="E3953" s="5" t="n">
        <v>68.90000000000001</v>
      </c>
      <c r="F3953" s="3" t="inlineStr">
        <is>
          <t>부강면</t>
        </is>
      </c>
      <c r="G3953" s="3" t="inlineStr">
        <is>
          <t>부강리</t>
        </is>
      </c>
      <c r="H3953" s="3" t="inlineStr">
        <is>
          <t>자연녹지지역</t>
        </is>
      </c>
      <c r="I3953" s="3" t="inlineStr">
        <is>
          <t>전</t>
        </is>
      </c>
      <c r="J3953" s="3" t="inlineStr">
        <is>
          <t>부강면</t>
        </is>
      </c>
    </row>
    <row r="3954">
      <c r="A3954" s="3" t="n">
        <v>2024</v>
      </c>
      <c r="B3954" s="4" t="n">
        <v>19000</v>
      </c>
      <c r="C3954" s="4" t="n">
        <v>1954</v>
      </c>
      <c r="D3954" s="4" t="n">
        <v>591.085</v>
      </c>
      <c r="E3954" s="5" t="n">
        <v>32.1</v>
      </c>
      <c r="F3954" s="3" t="inlineStr">
        <is>
          <t>부강면</t>
        </is>
      </c>
      <c r="G3954" s="3" t="inlineStr">
        <is>
          <t>행산리</t>
        </is>
      </c>
      <c r="H3954" s="3" t="inlineStr">
        <is>
          <t>농림지역</t>
        </is>
      </c>
      <c r="I3954" s="3" t="inlineStr">
        <is>
          <t>답</t>
        </is>
      </c>
      <c r="J3954" s="3" t="inlineStr">
        <is>
          <t>부강면</t>
        </is>
      </c>
    </row>
    <row r="3955">
      <c r="A3955" s="3" t="n">
        <v>2024</v>
      </c>
      <c r="B3955" s="4" t="n">
        <v>35000</v>
      </c>
      <c r="C3955" s="4" t="n">
        <v>1736</v>
      </c>
      <c r="D3955" s="4" t="n">
        <v>525.14</v>
      </c>
      <c r="E3955" s="5" t="n">
        <v>66.59999999999999</v>
      </c>
      <c r="F3955" s="3" t="inlineStr">
        <is>
          <t>부강면</t>
        </is>
      </c>
      <c r="G3955" s="3" t="inlineStr">
        <is>
          <t>행산리</t>
        </is>
      </c>
      <c r="H3955" s="3" t="inlineStr">
        <is>
          <t>계획관리지역</t>
        </is>
      </c>
      <c r="I3955" s="3" t="inlineStr">
        <is>
          <t>전</t>
        </is>
      </c>
      <c r="J3955" s="3" t="inlineStr">
        <is>
          <t>부강면</t>
        </is>
      </c>
    </row>
    <row r="3956">
      <c r="A3956" s="3" t="n">
        <v>2024</v>
      </c>
      <c r="B3956" s="4" t="n">
        <v>36400</v>
      </c>
      <c r="C3956" s="4" t="n">
        <v>668</v>
      </c>
      <c r="D3956" s="4" t="n">
        <v>202.07</v>
      </c>
      <c r="E3956" s="5" t="n">
        <v>180.1</v>
      </c>
      <c r="F3956" s="3" t="inlineStr">
        <is>
          <t>남이면</t>
        </is>
      </c>
      <c r="G3956" s="3" t="inlineStr">
        <is>
          <t>가좌리</t>
        </is>
      </c>
      <c r="H3956" s="3" t="inlineStr">
        <is>
          <t>보전녹지지역</t>
        </is>
      </c>
      <c r="I3956" s="3" t="inlineStr">
        <is>
          <t>주유소용지</t>
        </is>
      </c>
      <c r="J3956" s="3" t="inlineStr">
        <is>
          <t>남이면</t>
        </is>
      </c>
    </row>
    <row r="3957">
      <c r="A3957" s="3" t="n">
        <v>2024</v>
      </c>
      <c r="B3957" s="4" t="n">
        <v>4300</v>
      </c>
      <c r="C3957" s="4" t="n">
        <v>80</v>
      </c>
      <c r="D3957" s="4" t="n">
        <v>24.2</v>
      </c>
      <c r="E3957" s="5" t="n">
        <v>177.7</v>
      </c>
      <c r="F3957" s="3" t="inlineStr">
        <is>
          <t>남이면</t>
        </is>
      </c>
      <c r="G3957" s="3" t="inlineStr">
        <is>
          <t>가좌리</t>
        </is>
      </c>
      <c r="H3957" s="3" t="inlineStr">
        <is>
          <t>자연녹지지역</t>
        </is>
      </c>
      <c r="I3957" s="3" t="inlineStr">
        <is>
          <t>공장용지</t>
        </is>
      </c>
      <c r="J3957" s="3" t="inlineStr">
        <is>
          <t>남이면</t>
        </is>
      </c>
    </row>
    <row r="3958">
      <c r="A3958" s="3" t="n">
        <v>2024</v>
      </c>
      <c r="B3958" s="4" t="n">
        <v>1000</v>
      </c>
      <c r="C3958" s="4" t="n">
        <v>18</v>
      </c>
      <c r="D3958" s="4" t="n">
        <v>5.445</v>
      </c>
      <c r="E3958" s="5" t="n">
        <v>183.7</v>
      </c>
      <c r="F3958" s="3" t="inlineStr">
        <is>
          <t>남이면</t>
        </is>
      </c>
      <c r="G3958" s="3" t="inlineStr">
        <is>
          <t>가좌리</t>
        </is>
      </c>
      <c r="H3958" s="3" t="inlineStr">
        <is>
          <t>자연녹지지역</t>
        </is>
      </c>
      <c r="I3958" s="3" t="inlineStr">
        <is>
          <t>주유소용지</t>
        </is>
      </c>
      <c r="J3958" s="3" t="inlineStr">
        <is>
          <t>남이면</t>
        </is>
      </c>
    </row>
    <row r="3959">
      <c r="A3959" s="3" t="n">
        <v>2024</v>
      </c>
      <c r="B3959" s="4" t="n">
        <v>3450</v>
      </c>
      <c r="C3959" s="4" t="n">
        <v>380</v>
      </c>
      <c r="D3959" s="4" t="n">
        <v>114.95</v>
      </c>
      <c r="E3959" s="5" t="n">
        <v>30</v>
      </c>
      <c r="F3959" s="3" t="inlineStr">
        <is>
          <t>남이면</t>
        </is>
      </c>
      <c r="G3959" s="3" t="inlineStr">
        <is>
          <t>척산리</t>
        </is>
      </c>
      <c r="H3959" s="3" t="inlineStr">
        <is>
          <t>생산관리지역</t>
        </is>
      </c>
      <c r="I3959" s="3" t="inlineStr">
        <is>
          <t>답</t>
        </is>
      </c>
      <c r="J3959" s="3" t="inlineStr">
        <is>
          <t>남이면</t>
        </is>
      </c>
    </row>
    <row r="3960">
      <c r="A3960" s="3" t="n">
        <v>2024</v>
      </c>
      <c r="B3960" s="4" t="n">
        <v>32550</v>
      </c>
      <c r="C3960" s="4" t="n">
        <v>3603</v>
      </c>
      <c r="D3960" s="4" t="n">
        <v>1089.9075</v>
      </c>
      <c r="E3960" s="5" t="n">
        <v>29.9</v>
      </c>
      <c r="F3960" s="3" t="inlineStr">
        <is>
          <t>남이면</t>
        </is>
      </c>
      <c r="G3960" s="3" t="inlineStr">
        <is>
          <t>척산리</t>
        </is>
      </c>
      <c r="H3960" s="3" t="inlineStr">
        <is>
          <t>생산관리지역</t>
        </is>
      </c>
      <c r="I3960" s="3" t="inlineStr">
        <is>
          <t>답</t>
        </is>
      </c>
      <c r="J3960" s="3" t="inlineStr">
        <is>
          <t>남이면</t>
        </is>
      </c>
    </row>
    <row r="3961">
      <c r="A3961" s="3" t="n">
        <v>2024</v>
      </c>
      <c r="B3961" s="4" t="n">
        <v>3331</v>
      </c>
      <c r="C3961" s="4" t="n">
        <v>110</v>
      </c>
      <c r="D3961" s="4" t="n">
        <v>33.275</v>
      </c>
      <c r="E3961" s="5" t="n">
        <v>100.1</v>
      </c>
      <c r="F3961" s="3" t="inlineStr">
        <is>
          <t>남이면</t>
        </is>
      </c>
      <c r="G3961" s="3" t="inlineStr">
        <is>
          <t>척산리</t>
        </is>
      </c>
      <c r="H3961" s="3" t="inlineStr">
        <is>
          <t>계획관리지역</t>
        </is>
      </c>
      <c r="I3961" s="3" t="inlineStr">
        <is>
          <t>전</t>
        </is>
      </c>
      <c r="J3961" s="3" t="inlineStr">
        <is>
          <t>남이면</t>
        </is>
      </c>
    </row>
    <row r="3962">
      <c r="A3962" s="3" t="n">
        <v>2024</v>
      </c>
      <c r="B3962" s="4" t="n">
        <v>20006</v>
      </c>
      <c r="C3962" s="4" t="n">
        <v>696</v>
      </c>
      <c r="D3962" s="4" t="n">
        <v>210.54</v>
      </c>
      <c r="E3962" s="5" t="n">
        <v>95</v>
      </c>
      <c r="F3962" s="3" t="inlineStr">
        <is>
          <t>남이면</t>
        </is>
      </c>
      <c r="G3962" s="3" t="inlineStr">
        <is>
          <t>척산리</t>
        </is>
      </c>
      <c r="H3962" s="3" t="inlineStr">
        <is>
          <t>계획관리지역</t>
        </is>
      </c>
      <c r="I3962" s="3" t="inlineStr">
        <is>
          <t>전</t>
        </is>
      </c>
      <c r="J3962" s="3" t="inlineStr">
        <is>
          <t>남이면</t>
        </is>
      </c>
    </row>
    <row r="3963">
      <c r="A3963" s="3" t="n">
        <v>2024</v>
      </c>
      <c r="B3963" s="4" t="n">
        <v>5575</v>
      </c>
      <c r="C3963" s="4" t="n">
        <v>740</v>
      </c>
      <c r="D3963" s="4" t="n">
        <v>223.85</v>
      </c>
      <c r="E3963" s="5" t="n">
        <v>24.9</v>
      </c>
      <c r="F3963" s="3" t="inlineStr">
        <is>
          <t>남이면</t>
        </is>
      </c>
      <c r="G3963" s="3" t="inlineStr">
        <is>
          <t>부용외천리</t>
        </is>
      </c>
      <c r="H3963" s="3" t="inlineStr">
        <is>
          <t>보전관리지역</t>
        </is>
      </c>
      <c r="I3963" s="3" t="inlineStr">
        <is>
          <t>답</t>
        </is>
      </c>
      <c r="J3963" s="3" t="inlineStr">
        <is>
          <t>남이면</t>
        </is>
      </c>
    </row>
    <row r="3964">
      <c r="A3964" s="3" t="n">
        <v>2024</v>
      </c>
      <c r="B3964" s="4" t="n">
        <v>35200</v>
      </c>
      <c r="C3964" s="4" t="n">
        <v>4655</v>
      </c>
      <c r="D3964" s="4" t="n">
        <v>1408.1375</v>
      </c>
      <c r="E3964" s="5" t="n">
        <v>25</v>
      </c>
      <c r="F3964" s="3" t="inlineStr">
        <is>
          <t>남이면</t>
        </is>
      </c>
      <c r="G3964" s="3" t="inlineStr">
        <is>
          <t>부용외천리</t>
        </is>
      </c>
      <c r="H3964" s="3" t="inlineStr">
        <is>
          <t>보전관리지역</t>
        </is>
      </c>
      <c r="I3964" s="3" t="inlineStr">
        <is>
          <t>답</t>
        </is>
      </c>
      <c r="J3964" s="3" t="inlineStr">
        <is>
          <t>남이면</t>
        </is>
      </c>
    </row>
    <row r="3965">
      <c r="A3965" s="3" t="n">
        <v>2024</v>
      </c>
      <c r="B3965" s="4" t="n">
        <v>7800</v>
      </c>
      <c r="C3965" s="4" t="n">
        <v>469</v>
      </c>
      <c r="D3965" s="4" t="n">
        <v>141.8725</v>
      </c>
      <c r="E3965" s="5" t="n">
        <v>55</v>
      </c>
      <c r="F3965" s="3" t="inlineStr">
        <is>
          <t>남이면</t>
        </is>
      </c>
      <c r="G3965" s="3" t="inlineStr">
        <is>
          <t>부용외천리</t>
        </is>
      </c>
      <c r="H3965" s="3" t="inlineStr">
        <is>
          <t>계획관리지역</t>
        </is>
      </c>
      <c r="I3965" s="3" t="inlineStr">
        <is>
          <t>대</t>
        </is>
      </c>
      <c r="J3965" s="3" t="inlineStr">
        <is>
          <t>남이면</t>
        </is>
      </c>
    </row>
    <row r="3966">
      <c r="A3966" s="3" t="n">
        <v>2024</v>
      </c>
      <c r="B3966" s="4" t="n">
        <v>17800</v>
      </c>
      <c r="C3966" s="4" t="n">
        <v>588</v>
      </c>
      <c r="D3966" s="4" t="n">
        <v>177.87</v>
      </c>
      <c r="E3966" s="5" t="n">
        <v>100.1</v>
      </c>
      <c r="F3966" s="3" t="inlineStr">
        <is>
          <t>남이면</t>
        </is>
      </c>
      <c r="G3966" s="3" t="inlineStr">
        <is>
          <t>부용외천리</t>
        </is>
      </c>
      <c r="H3966" s="3" t="inlineStr">
        <is>
          <t>계획관리지역</t>
        </is>
      </c>
      <c r="I3966" s="3" t="inlineStr">
        <is>
          <t>전</t>
        </is>
      </c>
      <c r="J3966" s="3" t="inlineStr">
        <is>
          <t>남이면</t>
        </is>
      </c>
    </row>
    <row r="3967">
      <c r="A3967" s="3" t="n">
        <v>2024</v>
      </c>
      <c r="B3967" s="4" t="n">
        <v>400</v>
      </c>
      <c r="C3967" s="4" t="n">
        <v>44.9</v>
      </c>
      <c r="D3967" s="4" t="n">
        <v>13.58225</v>
      </c>
      <c r="E3967" s="5" t="n">
        <v>29.5</v>
      </c>
      <c r="F3967" s="3" t="inlineStr">
        <is>
          <t>남이면</t>
        </is>
      </c>
      <c r="G3967" s="3" t="inlineStr">
        <is>
          <t>대련리</t>
        </is>
      </c>
      <c r="H3967" s="3" t="inlineStr">
        <is>
          <t>자연녹지지역</t>
        </is>
      </c>
      <c r="I3967" s="3" t="inlineStr">
        <is>
          <t>전</t>
        </is>
      </c>
      <c r="J3967" s="3" t="inlineStr">
        <is>
          <t>남이면</t>
        </is>
      </c>
    </row>
    <row r="3968">
      <c r="A3968" s="3" t="n">
        <v>2023</v>
      </c>
      <c r="B3968" s="4" t="n">
        <v>3000</v>
      </c>
      <c r="C3968" s="4" t="n">
        <v>238</v>
      </c>
      <c r="D3968" s="4" t="n">
        <v>71.995</v>
      </c>
      <c r="E3968" s="5" t="n">
        <v>41.7</v>
      </c>
      <c r="F3968" s="3" t="inlineStr">
        <is>
          <t>연서면</t>
        </is>
      </c>
      <c r="G3968" s="3" t="inlineStr">
        <is>
          <t>와촌리</t>
        </is>
      </c>
      <c r="H3968" s="3" t="inlineStr">
        <is>
          <t>보전관리지역</t>
        </is>
      </c>
      <c r="I3968" s="3" t="inlineStr">
        <is>
          <t>답</t>
        </is>
      </c>
      <c r="J3968" s="3" t="inlineStr">
        <is>
          <t>연서면</t>
        </is>
      </c>
    </row>
    <row r="3969">
      <c r="A3969" s="3" t="n">
        <v>2023</v>
      </c>
      <c r="B3969" s="4" t="n">
        <v>150</v>
      </c>
      <c r="C3969" s="4" t="n">
        <v>18</v>
      </c>
      <c r="D3969" s="4" t="n">
        <v>5.445</v>
      </c>
      <c r="E3969" s="5" t="n">
        <v>27.5</v>
      </c>
      <c r="F3969" s="3" t="inlineStr">
        <is>
          <t>조치원읍</t>
        </is>
      </c>
      <c r="G3969" s="3" t="inlineStr">
        <is>
          <t>신안리</t>
        </is>
      </c>
      <c r="H3969" s="3" t="inlineStr">
        <is>
          <t>자연녹지지역</t>
        </is>
      </c>
      <c r="I3969" s="3" t="inlineStr">
        <is>
          <t>전</t>
        </is>
      </c>
      <c r="J3969" s="3" t="inlineStr">
        <is>
          <t>조치원읍</t>
        </is>
      </c>
    </row>
    <row r="3970">
      <c r="A3970" s="3" t="n">
        <v>2023</v>
      </c>
      <c r="B3970" s="4" t="n">
        <v>2200</v>
      </c>
      <c r="C3970" s="4" t="n">
        <v>91</v>
      </c>
      <c r="D3970" s="4" t="n">
        <v>27.5275</v>
      </c>
      <c r="E3970" s="5" t="n">
        <v>79.90000000000001</v>
      </c>
      <c r="F3970" s="3" t="inlineStr">
        <is>
          <t>조치원읍</t>
        </is>
      </c>
      <c r="G3970" s="3" t="inlineStr">
        <is>
          <t>신안리</t>
        </is>
      </c>
      <c r="H3970" s="3" t="inlineStr">
        <is>
          <t>자연녹지지역</t>
        </is>
      </c>
      <c r="I3970" s="3" t="inlineStr">
        <is>
          <t>주차장</t>
        </is>
      </c>
      <c r="J3970" s="3" t="inlineStr">
        <is>
          <t>조치원읍</t>
        </is>
      </c>
    </row>
    <row r="3971">
      <c r="A3971" s="3" t="n">
        <v>2023</v>
      </c>
      <c r="B3971" s="4" t="n">
        <v>3500</v>
      </c>
      <c r="C3971" s="4" t="n">
        <v>311</v>
      </c>
      <c r="D3971" s="4" t="n">
        <v>94.0775</v>
      </c>
      <c r="E3971" s="5" t="n">
        <v>37.2</v>
      </c>
      <c r="F3971" s="3" t="inlineStr">
        <is>
          <t>조치원읍</t>
        </is>
      </c>
      <c r="G3971" s="3" t="inlineStr">
        <is>
          <t>신안리</t>
        </is>
      </c>
      <c r="H3971" s="3" t="inlineStr">
        <is>
          <t>자연녹지지역</t>
        </is>
      </c>
      <c r="I3971" s="3" t="inlineStr">
        <is>
          <t>전</t>
        </is>
      </c>
      <c r="J3971" s="3" t="inlineStr">
        <is>
          <t>조치원읍</t>
        </is>
      </c>
    </row>
    <row r="3972">
      <c r="A3972" s="3" t="n">
        <v>2022</v>
      </c>
      <c r="B3972" s="4" t="n">
        <v>13500</v>
      </c>
      <c r="C3972" s="4" t="n">
        <v>316</v>
      </c>
      <c r="D3972" s="4" t="n">
        <v>95.59</v>
      </c>
      <c r="E3972" s="5" t="n">
        <v>141.2</v>
      </c>
      <c r="F3972" s="3" t="inlineStr">
        <is>
          <t>부강면</t>
        </is>
      </c>
      <c r="G3972" s="3" t="inlineStr">
        <is>
          <t>문곡리</t>
        </is>
      </c>
      <c r="H3972" s="3" t="inlineStr">
        <is>
          <t>계획관리지역</t>
        </is>
      </c>
      <c r="I3972" s="3" t="inlineStr">
        <is>
          <t>대</t>
        </is>
      </c>
      <c r="J3972" s="3" t="inlineStr">
        <is>
          <t>부강면</t>
        </is>
      </c>
    </row>
    <row r="3973">
      <c r="A3973" s="3" t="n">
        <v>2022</v>
      </c>
      <c r="B3973" s="4" t="n">
        <v>85000</v>
      </c>
      <c r="C3973" s="4" t="n">
        <v>1227</v>
      </c>
      <c r="D3973" s="4" t="n">
        <v>371.1675</v>
      </c>
      <c r="E3973" s="5" t="n">
        <v>229</v>
      </c>
      <c r="F3973" s="3" t="inlineStr">
        <is>
          <t>연서면</t>
        </is>
      </c>
      <c r="G3973" s="3" t="inlineStr">
        <is>
          <t>봉암리</t>
        </is>
      </c>
      <c r="H3973" s="3" t="inlineStr">
        <is>
          <t>농림지역</t>
        </is>
      </c>
      <c r="I3973" s="3" t="inlineStr">
        <is>
          <t>답</t>
        </is>
      </c>
      <c r="J3973" s="3" t="inlineStr">
        <is>
          <t>연서면</t>
        </is>
      </c>
    </row>
    <row r="3974">
      <c r="A3974" s="3" t="n">
        <v>2022</v>
      </c>
      <c r="B3974" s="4" t="n">
        <v>85000</v>
      </c>
      <c r="C3974" s="4" t="n">
        <v>1226</v>
      </c>
      <c r="D3974" s="4" t="n">
        <v>370.865</v>
      </c>
      <c r="E3974" s="5" t="n">
        <v>229.2</v>
      </c>
      <c r="F3974" s="3" t="inlineStr">
        <is>
          <t>연서면</t>
        </is>
      </c>
      <c r="G3974" s="3" t="inlineStr">
        <is>
          <t>봉암리</t>
        </is>
      </c>
      <c r="H3974" s="3" t="inlineStr">
        <is>
          <t>농림지역</t>
        </is>
      </c>
      <c r="I3974" s="3" t="inlineStr">
        <is>
          <t>답</t>
        </is>
      </c>
      <c r="J3974" s="3" t="inlineStr">
        <is>
          <t>연서면</t>
        </is>
      </c>
    </row>
    <row r="3975">
      <c r="A3975" s="3" t="n">
        <v>2023</v>
      </c>
      <c r="B3975" s="4" t="n">
        <v>10000</v>
      </c>
      <c r="C3975" s="4" t="n">
        <v>1296</v>
      </c>
      <c r="D3975" s="4" t="n">
        <v>392.04</v>
      </c>
      <c r="E3975" s="5" t="n">
        <v>25.5</v>
      </c>
      <c r="F3975" s="3" t="inlineStr">
        <is>
          <t>남이면</t>
        </is>
      </c>
      <c r="G3975" s="3" t="inlineStr">
        <is>
          <t>갈원리</t>
        </is>
      </c>
      <c r="H3975" s="3" t="inlineStr">
        <is>
          <t>계획관리지역</t>
        </is>
      </c>
      <c r="I3975" s="3" t="inlineStr">
        <is>
          <t>전</t>
        </is>
      </c>
      <c r="J3975" s="3" t="inlineStr">
        <is>
          <t>남이면</t>
        </is>
      </c>
    </row>
    <row r="3976">
      <c r="A3976" s="3" t="n">
        <v>2023</v>
      </c>
      <c r="B3976" s="4" t="n">
        <v>3509</v>
      </c>
      <c r="C3976" s="4" t="n">
        <v>58</v>
      </c>
      <c r="D3976" s="4" t="n">
        <v>17.545</v>
      </c>
      <c r="E3976" s="5" t="n">
        <v>200</v>
      </c>
      <c r="F3976" s="3" t="inlineStr">
        <is>
          <t>남이면</t>
        </is>
      </c>
      <c r="G3976" s="3" t="inlineStr">
        <is>
          <t>양촌리</t>
        </is>
      </c>
      <c r="H3976" s="3" t="inlineStr">
        <is>
          <t>보전녹지지역</t>
        </is>
      </c>
      <c r="I3976" s="3" t="inlineStr">
        <is>
          <t>임야</t>
        </is>
      </c>
      <c r="J3976" s="3" t="inlineStr">
        <is>
          <t>남이면</t>
        </is>
      </c>
    </row>
    <row r="3977">
      <c r="A3977" s="3" t="n">
        <v>2023</v>
      </c>
      <c r="B3977" s="4" t="n">
        <v>1573</v>
      </c>
      <c r="C3977" s="4" t="n">
        <v>26</v>
      </c>
      <c r="D3977" s="4" t="n">
        <v>7.865</v>
      </c>
      <c r="E3977" s="5" t="n">
        <v>200</v>
      </c>
      <c r="F3977" s="3" t="inlineStr">
        <is>
          <t>남이면</t>
        </is>
      </c>
      <c r="G3977" s="3" t="inlineStr">
        <is>
          <t>양촌리</t>
        </is>
      </c>
      <c r="H3977" s="3" t="inlineStr">
        <is>
          <t>보전녹지지역</t>
        </is>
      </c>
      <c r="I3977" s="3" t="inlineStr">
        <is>
          <t>임야</t>
        </is>
      </c>
      <c r="J3977" s="3" t="inlineStr">
        <is>
          <t>남이면</t>
        </is>
      </c>
    </row>
    <row r="3978">
      <c r="A3978" s="3" t="n">
        <v>2023</v>
      </c>
      <c r="B3978" s="4" t="n">
        <v>1815</v>
      </c>
      <c r="C3978" s="4" t="n">
        <v>30</v>
      </c>
      <c r="D3978" s="4" t="n">
        <v>9.074999999999999</v>
      </c>
      <c r="E3978" s="5" t="n">
        <v>200</v>
      </c>
      <c r="F3978" s="3" t="inlineStr">
        <is>
          <t>남이면</t>
        </is>
      </c>
      <c r="G3978" s="3" t="inlineStr">
        <is>
          <t>양촌리</t>
        </is>
      </c>
      <c r="H3978" s="3" t="inlineStr">
        <is>
          <t>보전녹지지역</t>
        </is>
      </c>
      <c r="I3978" s="3" t="inlineStr">
        <is>
          <t>임야</t>
        </is>
      </c>
      <c r="J3978" s="3" t="inlineStr">
        <is>
          <t>남이면</t>
        </is>
      </c>
    </row>
    <row r="3979">
      <c r="A3979" s="3" t="n">
        <v>2023</v>
      </c>
      <c r="B3979" s="4" t="n">
        <v>134645</v>
      </c>
      <c r="C3979" s="4" t="n">
        <v>4685</v>
      </c>
      <c r="D3979" s="4" t="n">
        <v>1417.2125</v>
      </c>
      <c r="E3979" s="5" t="n">
        <v>95</v>
      </c>
      <c r="F3979" s="3" t="inlineStr">
        <is>
          <t>남이면</t>
        </is>
      </c>
      <c r="G3979" s="3" t="inlineStr">
        <is>
          <t>구암리</t>
        </is>
      </c>
      <c r="H3979" s="3" t="inlineStr">
        <is>
          <t>보전녹지지역</t>
        </is>
      </c>
      <c r="I3979" s="3" t="inlineStr">
        <is>
          <t>임야</t>
        </is>
      </c>
      <c r="J3979" s="3" t="inlineStr">
        <is>
          <t>남이면</t>
        </is>
      </c>
    </row>
    <row r="3980">
      <c r="A3980" s="3" t="n">
        <v>2023</v>
      </c>
      <c r="B3980" s="4" t="n">
        <v>12700</v>
      </c>
      <c r="C3980" s="4" t="n">
        <v>442</v>
      </c>
      <c r="D3980" s="4" t="n">
        <v>133.705</v>
      </c>
      <c r="E3980" s="5" t="n">
        <v>95</v>
      </c>
      <c r="F3980" s="3" t="inlineStr">
        <is>
          <t>남이면</t>
        </is>
      </c>
      <c r="G3980" s="3" t="inlineStr">
        <is>
          <t>구암리</t>
        </is>
      </c>
      <c r="H3980" s="3" t="inlineStr">
        <is>
          <t>보전녹지지역</t>
        </is>
      </c>
      <c r="I3980" s="3" t="inlineStr">
        <is>
          <t>전</t>
        </is>
      </c>
      <c r="J3980" s="3" t="inlineStr">
        <is>
          <t>남이면</t>
        </is>
      </c>
    </row>
    <row r="3981">
      <c r="A3981" s="3" t="n">
        <v>2023</v>
      </c>
      <c r="B3981" s="4" t="n">
        <v>22000</v>
      </c>
      <c r="C3981" s="4" t="n">
        <v>1260</v>
      </c>
      <c r="D3981" s="4" t="n">
        <v>381.15</v>
      </c>
      <c r="E3981" s="5" t="n">
        <v>57.7</v>
      </c>
      <c r="F3981" s="3" t="inlineStr">
        <is>
          <t>남이면</t>
        </is>
      </c>
      <c r="G3981" s="3" t="inlineStr">
        <is>
          <t>척산리</t>
        </is>
      </c>
      <c r="H3981" s="3" t="inlineStr">
        <is>
          <t>자연녹지지역</t>
        </is>
      </c>
      <c r="I3981" s="3" t="inlineStr">
        <is>
          <t>전</t>
        </is>
      </c>
      <c r="J3981" s="3" t="inlineStr">
        <is>
          <t>남이면</t>
        </is>
      </c>
    </row>
    <row r="3982">
      <c r="A3982" s="3" t="n">
        <v>2023</v>
      </c>
      <c r="B3982" s="4" t="n">
        <v>20000</v>
      </c>
      <c r="C3982" s="4" t="n">
        <v>1055</v>
      </c>
      <c r="D3982" s="4" t="n">
        <v>319.1375</v>
      </c>
      <c r="E3982" s="5" t="n">
        <v>62.7</v>
      </c>
      <c r="F3982" s="3" t="inlineStr">
        <is>
          <t>남이면</t>
        </is>
      </c>
      <c r="G3982" s="3" t="inlineStr">
        <is>
          <t>척산리</t>
        </is>
      </c>
      <c r="H3982" s="3" t="inlineStr">
        <is>
          <t>자연녹지지역</t>
        </is>
      </c>
      <c r="I3982" s="3" t="inlineStr">
        <is>
          <t>전</t>
        </is>
      </c>
      <c r="J3982" s="3" t="inlineStr">
        <is>
          <t>남이면</t>
        </is>
      </c>
    </row>
    <row r="3983">
      <c r="A3983" s="3" t="n">
        <v>2023</v>
      </c>
      <c r="B3983" s="4" t="n">
        <v>9155</v>
      </c>
      <c r="C3983" s="4" t="n">
        <v>2479</v>
      </c>
      <c r="D3983" s="4" t="n">
        <v>749.8974999999999</v>
      </c>
      <c r="E3983" s="5" t="n">
        <v>12.2</v>
      </c>
      <c r="F3983" s="3" t="inlineStr">
        <is>
          <t>남이면</t>
        </is>
      </c>
      <c r="G3983" s="3" t="inlineStr">
        <is>
          <t>문동리</t>
        </is>
      </c>
      <c r="H3983" s="3" t="inlineStr">
        <is>
          <t>자연환경보전</t>
        </is>
      </c>
      <c r="I3983" s="3" t="inlineStr">
        <is>
          <t>전</t>
        </is>
      </c>
      <c r="J3983" s="3" t="inlineStr">
        <is>
          <t>남이면</t>
        </is>
      </c>
    </row>
    <row r="3984">
      <c r="A3984" s="3" t="n">
        <v>2023</v>
      </c>
      <c r="B3984" s="4" t="n">
        <v>12518</v>
      </c>
      <c r="C3984" s="4" t="n">
        <v>3174</v>
      </c>
      <c r="D3984" s="4" t="n">
        <v>960.135</v>
      </c>
      <c r="E3984" s="5" t="n">
        <v>13</v>
      </c>
      <c r="F3984" s="3" t="inlineStr">
        <is>
          <t>남이면</t>
        </is>
      </c>
      <c r="G3984" s="3" t="inlineStr">
        <is>
          <t>문동리</t>
        </is>
      </c>
      <c r="H3984" s="3" t="inlineStr">
        <is>
          <t>자연환경보전</t>
        </is>
      </c>
      <c r="I3984" s="3" t="inlineStr">
        <is>
          <t>답</t>
        </is>
      </c>
      <c r="J3984" s="3" t="inlineStr">
        <is>
          <t>남이면</t>
        </is>
      </c>
    </row>
    <row r="3985">
      <c r="A3985" s="3" t="n">
        <v>2023</v>
      </c>
      <c r="B3985" s="4" t="n">
        <v>8327</v>
      </c>
      <c r="C3985" s="4" t="n">
        <v>1764</v>
      </c>
      <c r="D3985" s="4" t="n">
        <v>533.61</v>
      </c>
      <c r="E3985" s="5" t="n">
        <v>15.6</v>
      </c>
      <c r="F3985" s="3" t="inlineStr">
        <is>
          <t>남이면</t>
        </is>
      </c>
      <c r="G3985" s="3" t="inlineStr">
        <is>
          <t>문동리</t>
        </is>
      </c>
      <c r="H3985" s="3" t="inlineStr">
        <is>
          <t>자연환경보전</t>
        </is>
      </c>
      <c r="I3985" s="3" t="inlineStr">
        <is>
          <t>답</t>
        </is>
      </c>
      <c r="J3985" s="3" t="inlineStr">
        <is>
          <t>남이면</t>
        </is>
      </c>
    </row>
    <row r="3986">
      <c r="A3986" s="3" t="n">
        <v>2023</v>
      </c>
      <c r="B3986" s="4" t="n">
        <v>6600</v>
      </c>
      <c r="C3986" s="4" t="n">
        <v>14145</v>
      </c>
      <c r="D3986" s="4" t="n">
        <v>4278.8625</v>
      </c>
      <c r="E3986" s="5" t="n">
        <v>1.5</v>
      </c>
      <c r="F3986" s="3" t="inlineStr">
        <is>
          <t>남이면</t>
        </is>
      </c>
      <c r="G3986" s="3" t="inlineStr">
        <is>
          <t>부용외천리</t>
        </is>
      </c>
      <c r="H3986" s="3" t="inlineStr">
        <is>
          <t>계획관리지역</t>
        </is>
      </c>
      <c r="I3986" s="3" t="inlineStr">
        <is>
          <t>임야</t>
        </is>
      </c>
      <c r="J3986" s="3" t="inlineStr">
        <is>
          <t>남이면</t>
        </is>
      </c>
    </row>
    <row r="3987">
      <c r="A3987" s="3" t="n">
        <v>2023</v>
      </c>
      <c r="B3987" s="4" t="n">
        <v>7512</v>
      </c>
      <c r="C3987" s="4" t="n">
        <v>178</v>
      </c>
      <c r="D3987" s="4" t="n">
        <v>53.845</v>
      </c>
      <c r="E3987" s="5" t="n">
        <v>139.5</v>
      </c>
      <c r="F3987" s="3" t="inlineStr">
        <is>
          <t>남이면</t>
        </is>
      </c>
      <c r="G3987" s="3" t="inlineStr">
        <is>
          <t>외천리</t>
        </is>
      </c>
      <c r="H3987" s="3" t="inlineStr">
        <is>
          <t>계획관리지역</t>
        </is>
      </c>
      <c r="I3987" s="3" t="inlineStr">
        <is>
          <t>공장용지</t>
        </is>
      </c>
      <c r="J3987" s="3" t="inlineStr">
        <is>
          <t>남이면</t>
        </is>
      </c>
    </row>
    <row r="3988">
      <c r="A3988" s="3" t="n">
        <v>2025</v>
      </c>
      <c r="B3988" s="4" t="n">
        <v>35000</v>
      </c>
      <c r="C3988" s="4" t="n">
        <v>182</v>
      </c>
      <c r="D3988" s="4" t="n">
        <v>55.055</v>
      </c>
      <c r="E3988" s="5" t="n">
        <v>635.7</v>
      </c>
      <c r="F3988" s="3" t="inlineStr">
        <is>
          <t>반곡동</t>
        </is>
      </c>
      <c r="G3988" s="3" t="inlineStr"/>
      <c r="H3988" s="3" t="inlineStr">
        <is>
          <t>제1종전용주거지역</t>
        </is>
      </c>
      <c r="I3988" s="3" t="inlineStr">
        <is>
          <t>대</t>
        </is>
      </c>
      <c r="J3988" s="3" t="inlineStr">
        <is>
          <t>반곡동</t>
        </is>
      </c>
    </row>
    <row r="3989">
      <c r="A3989" s="3" t="n">
        <v>2026</v>
      </c>
      <c r="B3989" s="4" t="n">
        <v>57500</v>
      </c>
      <c r="C3989" s="4" t="n">
        <v>4800</v>
      </c>
      <c r="D3989" s="4" t="n">
        <v>1452</v>
      </c>
      <c r="E3989" s="5" t="n">
        <v>39.6</v>
      </c>
      <c r="F3989" s="3" t="inlineStr">
        <is>
          <t>강내면</t>
        </is>
      </c>
      <c r="G3989" s="3" t="inlineStr">
        <is>
          <t>석화리</t>
        </is>
      </c>
      <c r="H3989" s="3" t="inlineStr">
        <is>
          <t>자연녹지지역</t>
        </is>
      </c>
      <c r="I3989" s="3" t="inlineStr">
        <is>
          <t>답</t>
        </is>
      </c>
      <c r="J3989" s="3" t="inlineStr">
        <is>
          <t>강내면</t>
        </is>
      </c>
    </row>
    <row r="3990">
      <c r="A3990" s="3" t="n">
        <v>2026</v>
      </c>
      <c r="B3990" s="4" t="n">
        <v>76626</v>
      </c>
      <c r="C3990" s="4" t="n">
        <v>4644</v>
      </c>
      <c r="D3990" s="4" t="n">
        <v>1404.81</v>
      </c>
      <c r="E3990" s="5" t="n">
        <v>54.5</v>
      </c>
      <c r="F3990" s="3" t="inlineStr">
        <is>
          <t>오송읍</t>
        </is>
      </c>
      <c r="G3990" s="3" t="inlineStr">
        <is>
          <t>서평리</t>
        </is>
      </c>
      <c r="H3990" s="3" t="inlineStr">
        <is>
          <t>농림지역</t>
        </is>
      </c>
      <c r="I3990" s="3" t="inlineStr">
        <is>
          <t>전</t>
        </is>
      </c>
      <c r="J3990" s="3" t="inlineStr">
        <is>
          <t>오송읍</t>
        </is>
      </c>
    </row>
    <row r="3991">
      <c r="A3991" s="3" t="n">
        <v>2026</v>
      </c>
      <c r="B3991" s="4" t="n">
        <v>41300</v>
      </c>
      <c r="C3991" s="4" t="n">
        <v>1741</v>
      </c>
      <c r="D3991" s="4" t="n">
        <v>526.6525</v>
      </c>
      <c r="E3991" s="5" t="n">
        <v>78.40000000000001</v>
      </c>
      <c r="F3991" s="3" t="inlineStr">
        <is>
          <t>강내면</t>
        </is>
      </c>
      <c r="G3991" s="3" t="inlineStr">
        <is>
          <t>학천리</t>
        </is>
      </c>
      <c r="H3991" s="3" t="inlineStr">
        <is>
          <t>자연녹지지역</t>
        </is>
      </c>
      <c r="I3991" s="3" t="inlineStr">
        <is>
          <t>답</t>
        </is>
      </c>
      <c r="J3991" s="3" t="inlineStr">
        <is>
          <t>강내면</t>
        </is>
      </c>
    </row>
    <row r="3992">
      <c r="A3992" s="3" t="n">
        <v>2026</v>
      </c>
      <c r="B3992" s="4" t="n">
        <v>3200</v>
      </c>
      <c r="C3992" s="4" t="n">
        <v>136</v>
      </c>
      <c r="D3992" s="4" t="n">
        <v>41.14</v>
      </c>
      <c r="E3992" s="5" t="n">
        <v>77.8</v>
      </c>
      <c r="F3992" s="3" t="inlineStr">
        <is>
          <t>강내면</t>
        </is>
      </c>
      <c r="G3992" s="3" t="inlineStr">
        <is>
          <t>학천리</t>
        </is>
      </c>
      <c r="H3992" s="3" t="inlineStr">
        <is>
          <t>자연녹지지역</t>
        </is>
      </c>
      <c r="I3992" s="3" t="inlineStr">
        <is>
          <t>답</t>
        </is>
      </c>
      <c r="J3992" s="3" t="inlineStr">
        <is>
          <t>강내면</t>
        </is>
      </c>
    </row>
    <row r="3993">
      <c r="A3993" s="3" t="n">
        <v>2026</v>
      </c>
      <c r="B3993" s="4" t="n">
        <v>40700</v>
      </c>
      <c r="C3993" s="4" t="n">
        <v>1716</v>
      </c>
      <c r="D3993" s="4" t="n">
        <v>519.09</v>
      </c>
      <c r="E3993" s="5" t="n">
        <v>78.40000000000001</v>
      </c>
      <c r="F3993" s="3" t="inlineStr">
        <is>
          <t>강내면</t>
        </is>
      </c>
      <c r="G3993" s="3" t="inlineStr">
        <is>
          <t>학천리</t>
        </is>
      </c>
      <c r="H3993" s="3" t="inlineStr">
        <is>
          <t>자연녹지지역</t>
        </is>
      </c>
      <c r="I3993" s="3" t="inlineStr">
        <is>
          <t>전</t>
        </is>
      </c>
      <c r="J3993" s="3" t="inlineStr">
        <is>
          <t>강내면</t>
        </is>
      </c>
    </row>
    <row r="3994">
      <c r="A3994" s="3" t="n">
        <v>2026</v>
      </c>
      <c r="B3994" s="4" t="n">
        <v>14800</v>
      </c>
      <c r="C3994" s="4" t="n">
        <v>622</v>
      </c>
      <c r="D3994" s="4" t="n">
        <v>188.155</v>
      </c>
      <c r="E3994" s="5" t="n">
        <v>78.7</v>
      </c>
      <c r="F3994" s="3" t="inlineStr">
        <is>
          <t>강내면</t>
        </is>
      </c>
      <c r="G3994" s="3" t="inlineStr">
        <is>
          <t>학천리</t>
        </is>
      </c>
      <c r="H3994" s="3" t="inlineStr">
        <is>
          <t>자연녹지지역</t>
        </is>
      </c>
      <c r="I3994" s="3" t="inlineStr">
        <is>
          <t>전</t>
        </is>
      </c>
      <c r="J3994" s="3" t="inlineStr">
        <is>
          <t>강내면</t>
        </is>
      </c>
    </row>
    <row r="3995">
      <c r="A3995" s="3" t="n">
        <v>2026</v>
      </c>
      <c r="B3995" s="4" t="n">
        <v>33000</v>
      </c>
      <c r="C3995" s="4" t="n">
        <v>1878</v>
      </c>
      <c r="D3995" s="4" t="n">
        <v>568.095</v>
      </c>
      <c r="E3995" s="5" t="n">
        <v>58.1</v>
      </c>
      <c r="F3995" s="3" t="inlineStr">
        <is>
          <t>강내면</t>
        </is>
      </c>
      <c r="G3995" s="3" t="inlineStr">
        <is>
          <t>학천리</t>
        </is>
      </c>
      <c r="H3995" s="3" t="inlineStr">
        <is>
          <t>보전녹지지역</t>
        </is>
      </c>
      <c r="I3995" s="3" t="inlineStr">
        <is>
          <t>임야</t>
        </is>
      </c>
      <c r="J3995" s="3" t="inlineStr">
        <is>
          <t>강내면</t>
        </is>
      </c>
    </row>
    <row r="3996">
      <c r="A3996" s="3" t="n">
        <v>2026</v>
      </c>
      <c r="B3996" s="4" t="n">
        <v>2000</v>
      </c>
      <c r="C3996" s="4" t="n">
        <v>119</v>
      </c>
      <c r="D3996" s="4" t="n">
        <v>35.9975</v>
      </c>
      <c r="E3996" s="5" t="n">
        <v>55.6</v>
      </c>
      <c r="F3996" s="3" t="inlineStr">
        <is>
          <t>강내면</t>
        </is>
      </c>
      <c r="G3996" s="3" t="inlineStr">
        <is>
          <t>학천리</t>
        </is>
      </c>
      <c r="H3996" s="3" t="inlineStr">
        <is>
          <t>자연녹지지역</t>
        </is>
      </c>
      <c r="I3996" s="3" t="inlineStr">
        <is>
          <t>임야</t>
        </is>
      </c>
      <c r="J3996" s="3" t="inlineStr">
        <is>
          <t>강내면</t>
        </is>
      </c>
    </row>
    <row r="3997">
      <c r="A3997" s="3" t="n">
        <v>2026</v>
      </c>
      <c r="B3997" s="4" t="n">
        <v>64000</v>
      </c>
      <c r="C3997" s="4" t="n">
        <v>3680</v>
      </c>
      <c r="D3997" s="4" t="n">
        <v>1113.2</v>
      </c>
      <c r="E3997" s="5" t="n">
        <v>57.5</v>
      </c>
      <c r="F3997" s="3" t="inlineStr">
        <is>
          <t>강내면</t>
        </is>
      </c>
      <c r="G3997" s="3" t="inlineStr">
        <is>
          <t>학천리</t>
        </is>
      </c>
      <c r="H3997" s="3" t="inlineStr">
        <is>
          <t>보전녹지지역</t>
        </is>
      </c>
      <c r="I3997" s="3" t="inlineStr">
        <is>
          <t>임야</t>
        </is>
      </c>
      <c r="J3997" s="3" t="inlineStr">
        <is>
          <t>강내면</t>
        </is>
      </c>
    </row>
    <row r="3998">
      <c r="A3998" s="3" t="n">
        <v>2026</v>
      </c>
      <c r="B3998" s="4" t="n">
        <v>1200</v>
      </c>
      <c r="C3998" s="4" t="n">
        <v>53</v>
      </c>
      <c r="D3998" s="4" t="n">
        <v>16.0325</v>
      </c>
      <c r="E3998" s="5" t="n">
        <v>74.8</v>
      </c>
      <c r="F3998" s="3" t="inlineStr">
        <is>
          <t>강내면</t>
        </is>
      </c>
      <c r="G3998" s="3" t="inlineStr">
        <is>
          <t>학천리</t>
        </is>
      </c>
      <c r="H3998" s="3" t="inlineStr">
        <is>
          <t>자연녹지지역</t>
        </is>
      </c>
      <c r="I3998" s="3" t="inlineStr">
        <is>
          <t>임야</t>
        </is>
      </c>
      <c r="J3998" s="3" t="inlineStr">
        <is>
          <t>강내면</t>
        </is>
      </c>
    </row>
    <row r="3999">
      <c r="A3999" s="3" t="n">
        <v>2026</v>
      </c>
      <c r="B3999" s="4" t="n">
        <v>34500</v>
      </c>
      <c r="C3999" s="4" t="n">
        <v>496</v>
      </c>
      <c r="D3999" s="4" t="n">
        <v>150.04</v>
      </c>
      <c r="E3999" s="5" t="n">
        <v>229.9</v>
      </c>
      <c r="F3999" s="3" t="inlineStr">
        <is>
          <t>오송읍</t>
        </is>
      </c>
      <c r="G3999" s="3" t="inlineStr">
        <is>
          <t>궁평리</t>
        </is>
      </c>
      <c r="H3999" s="3" t="inlineStr">
        <is>
          <t>용도미지정</t>
        </is>
      </c>
      <c r="I3999" s="3" t="inlineStr">
        <is>
          <t>대</t>
        </is>
      </c>
      <c r="J3999" s="3" t="inlineStr">
        <is>
          <t>오송읍</t>
        </is>
      </c>
    </row>
    <row r="4000">
      <c r="A4000" s="3" t="n">
        <v>2026</v>
      </c>
      <c r="B4000" s="4" t="n">
        <v>1000</v>
      </c>
      <c r="C4000" s="4" t="n">
        <v>41</v>
      </c>
      <c r="D4000" s="4" t="n">
        <v>12.4025</v>
      </c>
      <c r="E4000" s="5" t="n">
        <v>80.59999999999999</v>
      </c>
      <c r="F4000" s="3" t="inlineStr">
        <is>
          <t>강내면</t>
        </is>
      </c>
      <c r="G4000" s="3" t="inlineStr">
        <is>
          <t>연정리</t>
        </is>
      </c>
      <c r="H4000" s="3" t="inlineStr">
        <is>
          <t>계획관리지역</t>
        </is>
      </c>
      <c r="I4000" s="3" t="inlineStr">
        <is>
          <t>도로</t>
        </is>
      </c>
      <c r="J4000" s="3" t="inlineStr">
        <is>
          <t>강내면</t>
        </is>
      </c>
    </row>
    <row r="4001">
      <c r="A4001" s="3" t="n">
        <v>2026</v>
      </c>
      <c r="B4001" s="4" t="n">
        <v>1000</v>
      </c>
      <c r="C4001" s="4" t="n">
        <v>50</v>
      </c>
      <c r="D4001" s="4" t="n">
        <v>15.125</v>
      </c>
      <c r="E4001" s="5" t="n">
        <v>66.09999999999999</v>
      </c>
      <c r="F4001" s="3" t="inlineStr">
        <is>
          <t>강내면</t>
        </is>
      </c>
      <c r="G4001" s="3" t="inlineStr">
        <is>
          <t>연정리</t>
        </is>
      </c>
      <c r="H4001" s="3" t="inlineStr">
        <is>
          <t>계획관리지역</t>
        </is>
      </c>
      <c r="I4001" s="3" t="inlineStr">
        <is>
          <t>도로</t>
        </is>
      </c>
      <c r="J4001" s="3" t="inlineStr">
        <is>
          <t>강내면</t>
        </is>
      </c>
    </row>
    <row r="4002">
      <c r="A4002" s="3" t="n">
        <v>2026</v>
      </c>
      <c r="B4002" s="4" t="n">
        <v>1000</v>
      </c>
      <c r="C4002" s="4" t="n">
        <v>7</v>
      </c>
      <c r="D4002" s="4" t="n">
        <v>2.1175</v>
      </c>
      <c r="E4002" s="5" t="n">
        <v>472.3</v>
      </c>
      <c r="F4002" s="3" t="inlineStr">
        <is>
          <t>강내면</t>
        </is>
      </c>
      <c r="G4002" s="3" t="inlineStr">
        <is>
          <t>연정리</t>
        </is>
      </c>
      <c r="H4002" s="3" t="inlineStr">
        <is>
          <t>계획관리지역</t>
        </is>
      </c>
      <c r="I4002" s="3" t="inlineStr">
        <is>
          <t>도로</t>
        </is>
      </c>
      <c r="J4002" s="3" t="inlineStr">
        <is>
          <t>강내면</t>
        </is>
      </c>
    </row>
    <row r="4003">
      <c r="A4003" s="3" t="n">
        <v>2026</v>
      </c>
      <c r="B4003" s="4" t="n">
        <v>12650</v>
      </c>
      <c r="C4003" s="4" t="n">
        <v>186</v>
      </c>
      <c r="D4003" s="4" t="n">
        <v>56.265</v>
      </c>
      <c r="E4003" s="5" t="n">
        <v>224.8</v>
      </c>
      <c r="F4003" s="3" t="inlineStr">
        <is>
          <t>오송읍</t>
        </is>
      </c>
      <c r="G4003" s="3" t="inlineStr">
        <is>
          <t>정중리</t>
        </is>
      </c>
      <c r="H4003" s="3" t="inlineStr">
        <is>
          <t>보전관리지역</t>
        </is>
      </c>
      <c r="I4003" s="3" t="inlineStr">
        <is>
          <t>대</t>
        </is>
      </c>
      <c r="J4003" s="3" t="inlineStr">
        <is>
          <t>오송읍</t>
        </is>
      </c>
    </row>
    <row r="4004">
      <c r="A4004" s="3" t="n">
        <v>2026</v>
      </c>
      <c r="B4004" s="4" t="n">
        <v>10770</v>
      </c>
      <c r="C4004" s="4" t="n">
        <v>158</v>
      </c>
      <c r="D4004" s="4" t="n">
        <v>47.795</v>
      </c>
      <c r="E4004" s="5" t="n">
        <v>225.3</v>
      </c>
      <c r="F4004" s="3" t="inlineStr">
        <is>
          <t>오송읍</t>
        </is>
      </c>
      <c r="G4004" s="3" t="inlineStr">
        <is>
          <t>정중리</t>
        </is>
      </c>
      <c r="H4004" s="3" t="inlineStr">
        <is>
          <t>보전관리지역</t>
        </is>
      </c>
      <c r="I4004" s="3" t="inlineStr">
        <is>
          <t>대</t>
        </is>
      </c>
      <c r="J4004" s="3" t="inlineStr">
        <is>
          <t>오송읍</t>
        </is>
      </c>
    </row>
    <row r="4005">
      <c r="A4005" s="3" t="n">
        <v>2023</v>
      </c>
      <c r="B4005" s="4" t="n">
        <v>130940</v>
      </c>
      <c r="C4005" s="4" t="n">
        <v>4556</v>
      </c>
      <c r="D4005" s="4" t="n">
        <v>1378.19</v>
      </c>
      <c r="E4005" s="5" t="n">
        <v>95</v>
      </c>
      <c r="F4005" s="3" t="inlineStr">
        <is>
          <t>남이면</t>
        </is>
      </c>
      <c r="G4005" s="3" t="inlineStr">
        <is>
          <t>구암리</t>
        </is>
      </c>
      <c r="H4005" s="3" t="inlineStr">
        <is>
          <t>보전녹지지역</t>
        </is>
      </c>
      <c r="I4005" s="3" t="inlineStr">
        <is>
          <t>임야</t>
        </is>
      </c>
      <c r="J4005" s="3" t="inlineStr">
        <is>
          <t>남이면</t>
        </is>
      </c>
    </row>
    <row r="4006">
      <c r="A4006" s="3" t="n">
        <v>2023</v>
      </c>
      <c r="B4006" s="4" t="n">
        <v>12700</v>
      </c>
      <c r="C4006" s="4" t="n">
        <v>442</v>
      </c>
      <c r="D4006" s="4" t="n">
        <v>133.705</v>
      </c>
      <c r="E4006" s="5" t="n">
        <v>95</v>
      </c>
      <c r="F4006" s="3" t="inlineStr">
        <is>
          <t>남이면</t>
        </is>
      </c>
      <c r="G4006" s="3" t="inlineStr">
        <is>
          <t>구암리</t>
        </is>
      </c>
      <c r="H4006" s="3" t="inlineStr">
        <is>
          <t>보전녹지지역</t>
        </is>
      </c>
      <c r="I4006" s="3" t="inlineStr">
        <is>
          <t>전</t>
        </is>
      </c>
      <c r="J4006" s="3" t="inlineStr">
        <is>
          <t>남이면</t>
        </is>
      </c>
    </row>
    <row r="4007">
      <c r="A4007" s="3" t="n">
        <v>2023</v>
      </c>
      <c r="B4007" s="4" t="n">
        <v>37500</v>
      </c>
      <c r="C4007" s="4" t="n">
        <v>2332</v>
      </c>
      <c r="D4007" s="4" t="n">
        <v>705.4299999999999</v>
      </c>
      <c r="E4007" s="5" t="n">
        <v>53.2</v>
      </c>
      <c r="F4007" s="3" t="inlineStr">
        <is>
          <t>남이면</t>
        </is>
      </c>
      <c r="G4007" s="3" t="inlineStr">
        <is>
          <t>문동리</t>
        </is>
      </c>
      <c r="H4007" s="3" t="inlineStr">
        <is>
          <t>생산관리지역</t>
        </is>
      </c>
      <c r="I4007" s="3" t="inlineStr">
        <is>
          <t>답</t>
        </is>
      </c>
      <c r="J4007" s="3" t="inlineStr">
        <is>
          <t>남이면</t>
        </is>
      </c>
    </row>
    <row r="4008">
      <c r="A4008" s="3" t="n">
        <v>2023</v>
      </c>
      <c r="B4008" s="4" t="n">
        <v>12800</v>
      </c>
      <c r="C4008" s="4" t="n">
        <v>2823</v>
      </c>
      <c r="D4008" s="4" t="n">
        <v>853.9575</v>
      </c>
      <c r="E4008" s="5" t="n">
        <v>15</v>
      </c>
      <c r="F4008" s="3" t="inlineStr">
        <is>
          <t>남이면</t>
        </is>
      </c>
      <c r="G4008" s="3" t="inlineStr">
        <is>
          <t>사동리</t>
        </is>
      </c>
      <c r="H4008" s="3" t="inlineStr">
        <is>
          <t>생산관리지역</t>
        </is>
      </c>
      <c r="I4008" s="3" t="inlineStr">
        <is>
          <t>답</t>
        </is>
      </c>
      <c r="J4008" s="3" t="inlineStr">
        <is>
          <t>남이면</t>
        </is>
      </c>
    </row>
    <row r="4009">
      <c r="A4009" s="3" t="n">
        <v>2023</v>
      </c>
      <c r="B4009" s="4" t="n">
        <v>48434</v>
      </c>
      <c r="C4009" s="4" t="n">
        <v>4341.6</v>
      </c>
      <c r="D4009" s="4" t="n">
        <v>1313.334</v>
      </c>
      <c r="E4009" s="5" t="n">
        <v>36.9</v>
      </c>
      <c r="F4009" s="3" t="inlineStr">
        <is>
          <t>남이면</t>
        </is>
      </c>
      <c r="G4009" s="3" t="inlineStr">
        <is>
          <t>비룡리</t>
        </is>
      </c>
      <c r="H4009" s="3" t="inlineStr">
        <is>
          <t>농림지역</t>
        </is>
      </c>
      <c r="I4009" s="3" t="inlineStr">
        <is>
          <t>답</t>
        </is>
      </c>
      <c r="J4009" s="3" t="inlineStr">
        <is>
          <t>남이면</t>
        </is>
      </c>
    </row>
    <row r="4010">
      <c r="A4010" s="3" t="n">
        <v>2023</v>
      </c>
      <c r="B4010" s="4" t="n">
        <v>106966</v>
      </c>
      <c r="C4010" s="4" t="n">
        <v>9588.299999999999</v>
      </c>
      <c r="D4010" s="4" t="n">
        <v>2900.46075</v>
      </c>
      <c r="E4010" s="5" t="n">
        <v>36.9</v>
      </c>
      <c r="F4010" s="3" t="inlineStr">
        <is>
          <t>남이면</t>
        </is>
      </c>
      <c r="G4010" s="3" t="inlineStr">
        <is>
          <t>비룡리</t>
        </is>
      </c>
      <c r="H4010" s="3" t="inlineStr">
        <is>
          <t>농림지역</t>
        </is>
      </c>
      <c r="I4010" s="3" t="inlineStr">
        <is>
          <t>답</t>
        </is>
      </c>
      <c r="J4010" s="3" t="inlineStr">
        <is>
          <t>남이면</t>
        </is>
      </c>
    </row>
    <row r="4011">
      <c r="A4011" s="3" t="n">
        <v>2023</v>
      </c>
      <c r="B4011" s="4" t="n">
        <v>15000</v>
      </c>
      <c r="C4011" s="4" t="n">
        <v>985</v>
      </c>
      <c r="D4011" s="4" t="n">
        <v>297.9625</v>
      </c>
      <c r="E4011" s="5" t="n">
        <v>50.3</v>
      </c>
      <c r="F4011" s="3" t="inlineStr">
        <is>
          <t>남이면</t>
        </is>
      </c>
      <c r="G4011" s="3" t="inlineStr">
        <is>
          <t>부용외천리</t>
        </is>
      </c>
      <c r="H4011" s="3" t="inlineStr">
        <is>
          <t>계획관리지역</t>
        </is>
      </c>
      <c r="I4011" s="3" t="inlineStr">
        <is>
          <t>답</t>
        </is>
      </c>
      <c r="J4011" s="3" t="inlineStr">
        <is>
          <t>남이면</t>
        </is>
      </c>
    </row>
    <row r="4012">
      <c r="A4012" s="3" t="n">
        <v>2023</v>
      </c>
      <c r="B4012" s="4" t="n">
        <v>550</v>
      </c>
      <c r="C4012" s="4" t="n">
        <v>47</v>
      </c>
      <c r="D4012" s="4" t="n">
        <v>14.2175</v>
      </c>
      <c r="E4012" s="5" t="n">
        <v>38.7</v>
      </c>
      <c r="F4012" s="3" t="inlineStr">
        <is>
          <t>남이면</t>
        </is>
      </c>
      <c r="G4012" s="3" t="inlineStr">
        <is>
          <t>부용외천리</t>
        </is>
      </c>
      <c r="H4012" s="3" t="inlineStr">
        <is>
          <t>계획관리지역</t>
        </is>
      </c>
      <c r="I4012" s="3" t="inlineStr">
        <is>
          <t>전</t>
        </is>
      </c>
      <c r="J4012" s="3" t="inlineStr">
        <is>
          <t>남이면</t>
        </is>
      </c>
    </row>
    <row r="4013">
      <c r="A4013" s="3" t="n">
        <v>2023</v>
      </c>
      <c r="B4013" s="4" t="n">
        <v>900</v>
      </c>
      <c r="C4013" s="4" t="n">
        <v>67</v>
      </c>
      <c r="D4013" s="4" t="n">
        <v>20.2675</v>
      </c>
      <c r="E4013" s="5" t="n">
        <v>44.4</v>
      </c>
      <c r="F4013" s="3" t="inlineStr">
        <is>
          <t>남이면</t>
        </is>
      </c>
      <c r="G4013" s="3" t="inlineStr">
        <is>
          <t>가마리</t>
        </is>
      </c>
      <c r="H4013" s="3" t="inlineStr">
        <is>
          <t>자연녹지지역</t>
        </is>
      </c>
      <c r="I4013" s="3" t="inlineStr">
        <is>
          <t>임야</t>
        </is>
      </c>
      <c r="J4013" s="3" t="inlineStr">
        <is>
          <t>남이면</t>
        </is>
      </c>
    </row>
    <row r="4014">
      <c r="A4014" s="3" t="n">
        <v>2023</v>
      </c>
      <c r="B4014" s="4" t="n">
        <v>44000</v>
      </c>
      <c r="C4014" s="4" t="n">
        <v>2185</v>
      </c>
      <c r="D4014" s="4" t="n">
        <v>660.9625</v>
      </c>
      <c r="E4014" s="5" t="n">
        <v>66.59999999999999</v>
      </c>
      <c r="F4014" s="3" t="inlineStr">
        <is>
          <t>남이면</t>
        </is>
      </c>
      <c r="G4014" s="3" t="inlineStr">
        <is>
          <t>구암리</t>
        </is>
      </c>
      <c r="H4014" s="3" t="inlineStr">
        <is>
          <t>자연녹지지역</t>
        </is>
      </c>
      <c r="I4014" s="3" t="inlineStr">
        <is>
          <t>잡종지</t>
        </is>
      </c>
      <c r="J4014" s="3" t="inlineStr">
        <is>
          <t>남이면</t>
        </is>
      </c>
    </row>
    <row r="4015">
      <c r="A4015" s="3" t="n">
        <v>2023</v>
      </c>
      <c r="B4015" s="4" t="n">
        <v>2600</v>
      </c>
      <c r="C4015" s="4" t="n">
        <v>132</v>
      </c>
      <c r="D4015" s="4" t="n">
        <v>39.93</v>
      </c>
      <c r="E4015" s="5" t="n">
        <v>65.09999999999999</v>
      </c>
      <c r="F4015" s="3" t="inlineStr">
        <is>
          <t>남이면</t>
        </is>
      </c>
      <c r="G4015" s="3" t="inlineStr">
        <is>
          <t>구암리</t>
        </is>
      </c>
      <c r="H4015" s="3" t="inlineStr">
        <is>
          <t>자연녹지지역</t>
        </is>
      </c>
      <c r="I4015" s="3" t="inlineStr">
        <is>
          <t>도로</t>
        </is>
      </c>
      <c r="J4015" s="3" t="inlineStr">
        <is>
          <t>남이면</t>
        </is>
      </c>
    </row>
    <row r="4016">
      <c r="A4016" s="3" t="n">
        <v>2023</v>
      </c>
      <c r="B4016" s="4" t="n">
        <v>400</v>
      </c>
      <c r="C4016" s="4" t="n">
        <v>10</v>
      </c>
      <c r="D4016" s="4" t="n">
        <v>3.025</v>
      </c>
      <c r="E4016" s="5" t="n">
        <v>132.2</v>
      </c>
      <c r="F4016" s="3" t="inlineStr">
        <is>
          <t>남이면</t>
        </is>
      </c>
      <c r="G4016" s="3" t="inlineStr">
        <is>
          <t>구암리</t>
        </is>
      </c>
      <c r="H4016" s="3" t="inlineStr">
        <is>
          <t>자연녹지지역</t>
        </is>
      </c>
      <c r="I4016" s="3" t="inlineStr">
        <is>
          <t>도로</t>
        </is>
      </c>
      <c r="J4016" s="3" t="inlineStr">
        <is>
          <t>남이면</t>
        </is>
      </c>
    </row>
    <row r="4017">
      <c r="A4017" s="3" t="n">
        <v>2023</v>
      </c>
      <c r="B4017" s="4" t="n">
        <v>17100</v>
      </c>
      <c r="C4017" s="4" t="n">
        <v>1256</v>
      </c>
      <c r="D4017" s="4" t="n">
        <v>379.94</v>
      </c>
      <c r="E4017" s="5" t="n">
        <v>45</v>
      </c>
      <c r="F4017" s="3" t="inlineStr">
        <is>
          <t>남이면</t>
        </is>
      </c>
      <c r="G4017" s="3" t="inlineStr">
        <is>
          <t>가마리</t>
        </is>
      </c>
      <c r="H4017" s="3" t="inlineStr">
        <is>
          <t>보전녹지지역</t>
        </is>
      </c>
      <c r="I4017" s="3" t="inlineStr">
        <is>
          <t>전</t>
        </is>
      </c>
      <c r="J4017" s="3" t="inlineStr">
        <is>
          <t>남이면</t>
        </is>
      </c>
    </row>
    <row r="4018">
      <c r="A4018" s="3" t="n">
        <v>2023</v>
      </c>
      <c r="B4018" s="4" t="n">
        <v>16000</v>
      </c>
      <c r="C4018" s="4" t="n">
        <v>1028</v>
      </c>
      <c r="D4018" s="4" t="n">
        <v>310.97</v>
      </c>
      <c r="E4018" s="5" t="n">
        <v>51.5</v>
      </c>
      <c r="F4018" s="3" t="inlineStr">
        <is>
          <t>남이면</t>
        </is>
      </c>
      <c r="G4018" s="3" t="inlineStr">
        <is>
          <t>외천리</t>
        </is>
      </c>
      <c r="H4018" s="3" t="inlineStr">
        <is>
          <t>생산관리지역</t>
        </is>
      </c>
      <c r="I4018" s="3" t="inlineStr">
        <is>
          <t>전</t>
        </is>
      </c>
      <c r="J4018" s="3" t="inlineStr">
        <is>
          <t>남이면</t>
        </is>
      </c>
    </row>
    <row r="4019">
      <c r="A4019" s="3" t="n">
        <v>2023</v>
      </c>
      <c r="B4019" s="4" t="n">
        <v>30000</v>
      </c>
      <c r="C4019" s="4" t="n">
        <v>1653</v>
      </c>
      <c r="D4019" s="4" t="n">
        <v>500.0325</v>
      </c>
      <c r="E4019" s="5" t="n">
        <v>60</v>
      </c>
      <c r="F4019" s="3" t="inlineStr">
        <is>
          <t>남이면</t>
        </is>
      </c>
      <c r="G4019" s="3" t="inlineStr">
        <is>
          <t>대련리</t>
        </is>
      </c>
      <c r="H4019" s="3" t="inlineStr">
        <is>
          <t>자연녹지지역</t>
        </is>
      </c>
      <c r="I4019" s="3" t="inlineStr">
        <is>
          <t>전</t>
        </is>
      </c>
      <c r="J4019" s="3" t="inlineStr">
        <is>
          <t>남이면</t>
        </is>
      </c>
    </row>
    <row r="4020">
      <c r="A4020" s="3" t="n">
        <v>2023</v>
      </c>
      <c r="B4020" s="4" t="n">
        <v>1380</v>
      </c>
      <c r="C4020" s="4" t="n">
        <v>456</v>
      </c>
      <c r="D4020" s="4" t="n">
        <v>137.94</v>
      </c>
      <c r="E4020" s="5" t="n">
        <v>10</v>
      </c>
      <c r="F4020" s="3" t="inlineStr">
        <is>
          <t>남이면</t>
        </is>
      </c>
      <c r="G4020" s="3" t="inlineStr">
        <is>
          <t>대련리</t>
        </is>
      </c>
      <c r="H4020" s="3" t="inlineStr">
        <is>
          <t>자연녹지지역</t>
        </is>
      </c>
      <c r="I4020" s="3" t="inlineStr">
        <is>
          <t>전</t>
        </is>
      </c>
      <c r="J4020" s="3" t="inlineStr">
        <is>
          <t>남이면</t>
        </is>
      </c>
    </row>
    <row r="4021">
      <c r="A4021" s="3" t="n">
        <v>2023</v>
      </c>
      <c r="B4021" s="4" t="n">
        <v>10000</v>
      </c>
      <c r="C4021" s="4" t="n">
        <v>1296</v>
      </c>
      <c r="D4021" s="4" t="n">
        <v>392.04</v>
      </c>
      <c r="E4021" s="5" t="n">
        <v>25.5</v>
      </c>
      <c r="F4021" s="3" t="inlineStr">
        <is>
          <t>남이면</t>
        </is>
      </c>
      <c r="G4021" s="3" t="inlineStr">
        <is>
          <t>갈원리</t>
        </is>
      </c>
      <c r="H4021" s="3" t="inlineStr">
        <is>
          <t>계획관리지역</t>
        </is>
      </c>
      <c r="I4021" s="3" t="inlineStr">
        <is>
          <t>전</t>
        </is>
      </c>
      <c r="J4021" s="3" t="inlineStr">
        <is>
          <t>남이면</t>
        </is>
      </c>
    </row>
    <row r="4022">
      <c r="A4022" s="3" t="n">
        <v>2023</v>
      </c>
      <c r="B4022" s="4" t="n">
        <v>30000</v>
      </c>
      <c r="C4022" s="4" t="n">
        <v>3967</v>
      </c>
      <c r="D4022" s="4" t="n">
        <v>1200.0175</v>
      </c>
      <c r="E4022" s="5" t="n">
        <v>25</v>
      </c>
      <c r="F4022" s="3" t="inlineStr">
        <is>
          <t>남이면</t>
        </is>
      </c>
      <c r="G4022" s="3" t="inlineStr">
        <is>
          <t>외천리</t>
        </is>
      </c>
      <c r="H4022" s="3" t="inlineStr">
        <is>
          <t>생산관리지역</t>
        </is>
      </c>
      <c r="I4022" s="3" t="inlineStr">
        <is>
          <t>임야</t>
        </is>
      </c>
      <c r="J4022" s="3" t="inlineStr">
        <is>
          <t>남이면</t>
        </is>
      </c>
    </row>
    <row r="4023">
      <c r="A4023" s="3" t="n">
        <v>2025</v>
      </c>
      <c r="B4023" s="4" t="n">
        <v>2541</v>
      </c>
      <c r="C4023" s="4" t="n">
        <v>129</v>
      </c>
      <c r="D4023" s="4" t="n">
        <v>39.0225</v>
      </c>
      <c r="E4023" s="5" t="n">
        <v>65.09999999999999</v>
      </c>
      <c r="F4023" s="3" t="inlineStr">
        <is>
          <t>남이면</t>
        </is>
      </c>
      <c r="G4023" s="3" t="inlineStr">
        <is>
          <t>부용외천리</t>
        </is>
      </c>
      <c r="H4023" s="3" t="inlineStr">
        <is>
          <t>계획관리지역</t>
        </is>
      </c>
      <c r="I4023" s="3" t="inlineStr">
        <is>
          <t>도로</t>
        </is>
      </c>
      <c r="J4023" s="3" t="inlineStr">
        <is>
          <t>남이면</t>
        </is>
      </c>
    </row>
    <row r="4024">
      <c r="A4024" s="3" t="n">
        <v>2025</v>
      </c>
      <c r="B4024" s="4" t="n">
        <v>22931</v>
      </c>
      <c r="C4024" s="4" t="n">
        <v>1164</v>
      </c>
      <c r="D4024" s="4" t="n">
        <v>352.11</v>
      </c>
      <c r="E4024" s="5" t="n">
        <v>65.09999999999999</v>
      </c>
      <c r="F4024" s="3" t="inlineStr">
        <is>
          <t>남이면</t>
        </is>
      </c>
      <c r="G4024" s="3" t="inlineStr">
        <is>
          <t>부용외천리</t>
        </is>
      </c>
      <c r="H4024" s="3" t="inlineStr">
        <is>
          <t>계획관리지역</t>
        </is>
      </c>
      <c r="I4024" s="3" t="inlineStr">
        <is>
          <t>도로</t>
        </is>
      </c>
      <c r="J4024" s="3" t="inlineStr">
        <is>
          <t>남이면</t>
        </is>
      </c>
    </row>
    <row r="4025">
      <c r="A4025" s="3" t="n">
        <v>2025</v>
      </c>
      <c r="B4025" s="4" t="n">
        <v>10638</v>
      </c>
      <c r="C4025" s="4" t="n">
        <v>540</v>
      </c>
      <c r="D4025" s="4" t="n">
        <v>163.35</v>
      </c>
      <c r="E4025" s="5" t="n">
        <v>65.09999999999999</v>
      </c>
      <c r="F4025" s="3" t="inlineStr">
        <is>
          <t>남이면</t>
        </is>
      </c>
      <c r="G4025" s="3" t="inlineStr">
        <is>
          <t>부용외천리</t>
        </is>
      </c>
      <c r="H4025" s="3" t="inlineStr">
        <is>
          <t>계획관리지역</t>
        </is>
      </c>
      <c r="I4025" s="3" t="inlineStr">
        <is>
          <t>전</t>
        </is>
      </c>
      <c r="J4025" s="3" t="inlineStr">
        <is>
          <t>남이면</t>
        </is>
      </c>
    </row>
    <row r="4026">
      <c r="A4026" s="3" t="n">
        <v>2025</v>
      </c>
      <c r="B4026" s="4" t="n">
        <v>7910</v>
      </c>
      <c r="C4026" s="4" t="n">
        <v>856</v>
      </c>
      <c r="D4026" s="4" t="n">
        <v>258.94</v>
      </c>
      <c r="E4026" s="5" t="n">
        <v>30.5</v>
      </c>
      <c r="F4026" s="3" t="inlineStr">
        <is>
          <t>남이면</t>
        </is>
      </c>
      <c r="G4026" s="3" t="inlineStr">
        <is>
          <t>부용외천리</t>
        </is>
      </c>
      <c r="H4026" s="3" t="inlineStr">
        <is>
          <t>생산관리지역</t>
        </is>
      </c>
      <c r="I4026" s="3" t="inlineStr">
        <is>
          <t>답</t>
        </is>
      </c>
      <c r="J4026" s="3" t="inlineStr">
        <is>
          <t>남이면</t>
        </is>
      </c>
    </row>
    <row r="4027">
      <c r="A4027" s="3" t="n">
        <v>2025</v>
      </c>
      <c r="B4027" s="4" t="n">
        <v>2090</v>
      </c>
      <c r="C4027" s="4" t="n">
        <v>226</v>
      </c>
      <c r="D4027" s="4" t="n">
        <v>68.36499999999999</v>
      </c>
      <c r="E4027" s="5" t="n">
        <v>30.6</v>
      </c>
      <c r="F4027" s="3" t="inlineStr">
        <is>
          <t>남이면</t>
        </is>
      </c>
      <c r="G4027" s="3" t="inlineStr">
        <is>
          <t>부용외천리</t>
        </is>
      </c>
      <c r="H4027" s="3" t="inlineStr">
        <is>
          <t>생산관리지역</t>
        </is>
      </c>
      <c r="I4027" s="3" t="inlineStr">
        <is>
          <t>답</t>
        </is>
      </c>
      <c r="J4027" s="3" t="inlineStr">
        <is>
          <t>남이면</t>
        </is>
      </c>
    </row>
    <row r="4028">
      <c r="A4028" s="3" t="n">
        <v>2025</v>
      </c>
      <c r="B4028" s="4" t="n">
        <v>2200</v>
      </c>
      <c r="C4028" s="4" t="n">
        <v>734</v>
      </c>
      <c r="D4028" s="4" t="n">
        <v>222.035</v>
      </c>
      <c r="E4028" s="5" t="n">
        <v>9.9</v>
      </c>
      <c r="F4028" s="3" t="inlineStr">
        <is>
          <t>남이면</t>
        </is>
      </c>
      <c r="G4028" s="3" t="inlineStr">
        <is>
          <t>척북리</t>
        </is>
      </c>
      <c r="H4028" s="3" t="inlineStr">
        <is>
          <t>보전녹지지역</t>
        </is>
      </c>
      <c r="I4028" s="3" t="inlineStr">
        <is>
          <t>답</t>
        </is>
      </c>
      <c r="J4028" s="3" t="inlineStr">
        <is>
          <t>남이면</t>
        </is>
      </c>
    </row>
    <row r="4029">
      <c r="A4029" s="3" t="n">
        <v>2025</v>
      </c>
      <c r="B4029" s="4" t="n">
        <v>65000</v>
      </c>
      <c r="C4029" s="4" t="n">
        <v>7036</v>
      </c>
      <c r="D4029" s="4" t="n">
        <v>2128.39</v>
      </c>
      <c r="E4029" s="5" t="n">
        <v>30.5</v>
      </c>
      <c r="F4029" s="3" t="inlineStr">
        <is>
          <t>남이면</t>
        </is>
      </c>
      <c r="G4029" s="3" t="inlineStr">
        <is>
          <t>구암리</t>
        </is>
      </c>
      <c r="H4029" s="3" t="inlineStr">
        <is>
          <t>보전녹지지역</t>
        </is>
      </c>
      <c r="I4029" s="3" t="inlineStr">
        <is>
          <t>임야</t>
        </is>
      </c>
      <c r="J4029" s="3" t="inlineStr">
        <is>
          <t>남이면</t>
        </is>
      </c>
    </row>
    <row r="4030">
      <c r="A4030" s="3" t="n">
        <v>2025</v>
      </c>
      <c r="B4030" s="4" t="n">
        <v>3155</v>
      </c>
      <c r="C4030" s="4" t="n">
        <v>66</v>
      </c>
      <c r="D4030" s="4" t="n">
        <v>19.965</v>
      </c>
      <c r="E4030" s="5" t="n">
        <v>158</v>
      </c>
      <c r="F4030" s="3" t="inlineStr">
        <is>
          <t>남이면</t>
        </is>
      </c>
      <c r="G4030" s="3" t="inlineStr">
        <is>
          <t>양촌리</t>
        </is>
      </c>
      <c r="H4030" s="3" t="inlineStr">
        <is>
          <t>자연녹지지역</t>
        </is>
      </c>
      <c r="I4030" s="3" t="inlineStr">
        <is>
          <t>잡종지</t>
        </is>
      </c>
      <c r="J4030" s="3" t="inlineStr">
        <is>
          <t>남이면</t>
        </is>
      </c>
    </row>
    <row r="4031">
      <c r="A4031" s="3" t="n">
        <v>2025</v>
      </c>
      <c r="B4031" s="4" t="n">
        <v>3410</v>
      </c>
      <c r="C4031" s="4" t="n">
        <v>575</v>
      </c>
      <c r="D4031" s="4" t="n">
        <v>173.9375</v>
      </c>
      <c r="E4031" s="5" t="n">
        <v>19.6</v>
      </c>
      <c r="F4031" s="3" t="inlineStr">
        <is>
          <t>남이면</t>
        </is>
      </c>
      <c r="G4031" s="3" t="inlineStr">
        <is>
          <t>부용외천리</t>
        </is>
      </c>
      <c r="H4031" s="3" t="inlineStr">
        <is>
          <t>생산관리지역</t>
        </is>
      </c>
      <c r="I4031" s="3" t="inlineStr">
        <is>
          <t>답</t>
        </is>
      </c>
      <c r="J4031" s="3" t="inlineStr">
        <is>
          <t>남이면</t>
        </is>
      </c>
    </row>
    <row r="4032">
      <c r="A4032" s="3" t="n">
        <v>2023</v>
      </c>
      <c r="B4032" s="4" t="n">
        <v>1443</v>
      </c>
      <c r="C4032" s="4" t="n">
        <v>115</v>
      </c>
      <c r="D4032" s="4" t="n">
        <v>34.7875</v>
      </c>
      <c r="E4032" s="5" t="n">
        <v>41.5</v>
      </c>
      <c r="F4032" s="3" t="inlineStr">
        <is>
          <t>남이면</t>
        </is>
      </c>
      <c r="G4032" s="3" t="inlineStr">
        <is>
          <t>양촌리</t>
        </is>
      </c>
      <c r="H4032" s="3" t="inlineStr">
        <is>
          <t>자연녹지지역</t>
        </is>
      </c>
      <c r="I4032" s="3" t="inlineStr">
        <is>
          <t>전</t>
        </is>
      </c>
      <c r="J4032" s="3" t="inlineStr">
        <is>
          <t>남이면</t>
        </is>
      </c>
    </row>
    <row r="4033">
      <c r="A4033" s="3" t="n">
        <v>2023</v>
      </c>
      <c r="B4033" s="4" t="n">
        <v>577</v>
      </c>
      <c r="C4033" s="4" t="n">
        <v>46</v>
      </c>
      <c r="D4033" s="4" t="n">
        <v>13.915</v>
      </c>
      <c r="E4033" s="5" t="n">
        <v>41.5</v>
      </c>
      <c r="F4033" s="3" t="inlineStr">
        <is>
          <t>남이면</t>
        </is>
      </c>
      <c r="G4033" s="3" t="inlineStr">
        <is>
          <t>양촌리</t>
        </is>
      </c>
      <c r="H4033" s="3" t="inlineStr">
        <is>
          <t>자연녹지지역</t>
        </is>
      </c>
      <c r="I4033" s="3" t="inlineStr">
        <is>
          <t>답</t>
        </is>
      </c>
      <c r="J4033" s="3" t="inlineStr">
        <is>
          <t>남이면</t>
        </is>
      </c>
    </row>
    <row r="4034">
      <c r="A4034" s="3" t="n">
        <v>2023</v>
      </c>
      <c r="B4034" s="4" t="n">
        <v>7198</v>
      </c>
      <c r="C4034" s="4" t="n">
        <v>595</v>
      </c>
      <c r="D4034" s="4" t="n">
        <v>179.9875</v>
      </c>
      <c r="E4034" s="5" t="n">
        <v>40</v>
      </c>
      <c r="F4034" s="3" t="inlineStr">
        <is>
          <t>남이면</t>
        </is>
      </c>
      <c r="G4034" s="3" t="inlineStr">
        <is>
          <t>양촌리</t>
        </is>
      </c>
      <c r="H4034" s="3" t="inlineStr">
        <is>
          <t>자연녹지지역</t>
        </is>
      </c>
      <c r="I4034" s="3" t="inlineStr">
        <is>
          <t>전</t>
        </is>
      </c>
      <c r="J4034" s="3" t="inlineStr">
        <is>
          <t>남이면</t>
        </is>
      </c>
    </row>
    <row r="4035">
      <c r="A4035" s="3" t="n">
        <v>2023</v>
      </c>
      <c r="B4035" s="4" t="n">
        <v>1875</v>
      </c>
      <c r="C4035" s="4" t="n">
        <v>155</v>
      </c>
      <c r="D4035" s="4" t="n">
        <v>46.8875</v>
      </c>
      <c r="E4035" s="5" t="n">
        <v>40</v>
      </c>
      <c r="F4035" s="3" t="inlineStr">
        <is>
          <t>남이면</t>
        </is>
      </c>
      <c r="G4035" s="3" t="inlineStr">
        <is>
          <t>양촌리</t>
        </is>
      </c>
      <c r="H4035" s="3" t="inlineStr">
        <is>
          <t>자연녹지지역</t>
        </is>
      </c>
      <c r="I4035" s="3" t="inlineStr">
        <is>
          <t>전</t>
        </is>
      </c>
      <c r="J4035" s="3" t="inlineStr">
        <is>
          <t>남이면</t>
        </is>
      </c>
    </row>
    <row r="4036">
      <c r="A4036" s="3" t="n">
        <v>2023</v>
      </c>
      <c r="B4036" s="4" t="n">
        <v>1597</v>
      </c>
      <c r="C4036" s="4" t="n">
        <v>132</v>
      </c>
      <c r="D4036" s="4" t="n">
        <v>39.93</v>
      </c>
      <c r="E4036" s="5" t="n">
        <v>40</v>
      </c>
      <c r="F4036" s="3" t="inlineStr">
        <is>
          <t>남이면</t>
        </is>
      </c>
      <c r="G4036" s="3" t="inlineStr">
        <is>
          <t>양촌리</t>
        </is>
      </c>
      <c r="H4036" s="3" t="inlineStr">
        <is>
          <t>자연녹지지역</t>
        </is>
      </c>
      <c r="I4036" s="3" t="inlineStr">
        <is>
          <t>전</t>
        </is>
      </c>
      <c r="J4036" s="3" t="inlineStr">
        <is>
          <t>남이면</t>
        </is>
      </c>
    </row>
    <row r="4037">
      <c r="A4037" s="3" t="n">
        <v>2023</v>
      </c>
      <c r="B4037" s="4" t="n">
        <v>10077</v>
      </c>
      <c r="C4037" s="4" t="n">
        <v>833</v>
      </c>
      <c r="D4037" s="4" t="n">
        <v>251.9825</v>
      </c>
      <c r="E4037" s="5" t="n">
        <v>40</v>
      </c>
      <c r="F4037" s="3" t="inlineStr">
        <is>
          <t>남이면</t>
        </is>
      </c>
      <c r="G4037" s="3" t="inlineStr">
        <is>
          <t>양촌리</t>
        </is>
      </c>
      <c r="H4037" s="3" t="inlineStr">
        <is>
          <t>자연녹지지역</t>
        </is>
      </c>
      <c r="I4037" s="3" t="inlineStr">
        <is>
          <t>전</t>
        </is>
      </c>
      <c r="J4037" s="3" t="inlineStr">
        <is>
          <t>남이면</t>
        </is>
      </c>
    </row>
    <row r="4038">
      <c r="A4038" s="3" t="n">
        <v>2023</v>
      </c>
      <c r="B4038" s="4" t="n">
        <v>6600</v>
      </c>
      <c r="C4038" s="4" t="n">
        <v>1816</v>
      </c>
      <c r="D4038" s="4" t="n">
        <v>549.34</v>
      </c>
      <c r="E4038" s="5" t="n">
        <v>12</v>
      </c>
      <c r="F4038" s="3" t="inlineStr">
        <is>
          <t>남이면</t>
        </is>
      </c>
      <c r="G4038" s="3" t="inlineStr">
        <is>
          <t>문동리</t>
        </is>
      </c>
      <c r="H4038" s="3" t="inlineStr">
        <is>
          <t>자연환경보전</t>
        </is>
      </c>
      <c r="I4038" s="3" t="inlineStr">
        <is>
          <t>전</t>
        </is>
      </c>
      <c r="J4038" s="3" t="inlineStr">
        <is>
          <t>남이면</t>
        </is>
      </c>
    </row>
    <row r="4039">
      <c r="A4039" s="3" t="n">
        <v>2023</v>
      </c>
      <c r="B4039" s="4" t="n">
        <v>17000</v>
      </c>
      <c r="C4039" s="4" t="n">
        <v>2198</v>
      </c>
      <c r="D4039" s="4" t="n">
        <v>664.895</v>
      </c>
      <c r="E4039" s="5" t="n">
        <v>25.6</v>
      </c>
      <c r="F4039" s="3" t="inlineStr">
        <is>
          <t>남이면</t>
        </is>
      </c>
      <c r="G4039" s="3" t="inlineStr">
        <is>
          <t>구암리</t>
        </is>
      </c>
      <c r="H4039" s="3" t="inlineStr">
        <is>
          <t>자연녹지지역</t>
        </is>
      </c>
      <c r="I4039" s="3" t="inlineStr">
        <is>
          <t>답</t>
        </is>
      </c>
      <c r="J4039" s="3" t="inlineStr">
        <is>
          <t>남이면</t>
        </is>
      </c>
    </row>
    <row r="4040">
      <c r="A4040" s="3" t="n">
        <v>2023</v>
      </c>
      <c r="B4040" s="4" t="n">
        <v>11200</v>
      </c>
      <c r="C4040" s="4" t="n">
        <v>820</v>
      </c>
      <c r="D4040" s="4" t="n">
        <v>248.05</v>
      </c>
      <c r="E4040" s="5" t="n">
        <v>45.2</v>
      </c>
      <c r="F4040" s="3" t="inlineStr">
        <is>
          <t>남이면</t>
        </is>
      </c>
      <c r="G4040" s="3" t="inlineStr">
        <is>
          <t>사동리</t>
        </is>
      </c>
      <c r="H4040" s="3" t="inlineStr">
        <is>
          <t>생산관리지역</t>
        </is>
      </c>
      <c r="I4040" s="3" t="inlineStr">
        <is>
          <t>답</t>
        </is>
      </c>
      <c r="J4040" s="3" t="inlineStr">
        <is>
          <t>남이면</t>
        </is>
      </c>
    </row>
    <row r="4041">
      <c r="A4041" s="3" t="n">
        <v>2026</v>
      </c>
      <c r="B4041" s="4" t="n">
        <v>35781</v>
      </c>
      <c r="C4041" s="4" t="n">
        <v>864</v>
      </c>
      <c r="D4041" s="4" t="n">
        <v>261.36</v>
      </c>
      <c r="E4041" s="5" t="n">
        <v>136.9</v>
      </c>
      <c r="F4041" s="3" t="inlineStr">
        <is>
          <t>남이면</t>
        </is>
      </c>
      <c r="G4041" s="3" t="inlineStr">
        <is>
          <t>양촌리</t>
        </is>
      </c>
      <c r="H4041" s="3" t="inlineStr">
        <is>
          <t>자연녹지지역</t>
        </is>
      </c>
      <c r="I4041" s="3" t="inlineStr">
        <is>
          <t>임야</t>
        </is>
      </c>
      <c r="J4041" s="3" t="inlineStr">
        <is>
          <t>남이면</t>
        </is>
      </c>
    </row>
    <row r="4042">
      <c r="A4042" s="3" t="n">
        <v>2026</v>
      </c>
      <c r="B4042" s="4" t="n">
        <v>2526</v>
      </c>
      <c r="C4042" s="4" t="n">
        <v>61</v>
      </c>
      <c r="D4042" s="4" t="n">
        <v>18.4525</v>
      </c>
      <c r="E4042" s="5" t="n">
        <v>136.9</v>
      </c>
      <c r="F4042" s="3" t="inlineStr">
        <is>
          <t>남이면</t>
        </is>
      </c>
      <c r="G4042" s="3" t="inlineStr">
        <is>
          <t>양촌리</t>
        </is>
      </c>
      <c r="H4042" s="3" t="inlineStr">
        <is>
          <t>자연녹지지역</t>
        </is>
      </c>
      <c r="I4042" s="3" t="inlineStr">
        <is>
          <t>전</t>
        </is>
      </c>
      <c r="J4042" s="3" t="inlineStr">
        <is>
          <t>남이면</t>
        </is>
      </c>
    </row>
    <row r="4043">
      <c r="A4043" s="3" t="n">
        <v>2025</v>
      </c>
      <c r="B4043" s="4" t="n">
        <v>12881</v>
      </c>
      <c r="C4043" s="4" t="n">
        <v>1774</v>
      </c>
      <c r="D4043" s="4" t="n">
        <v>536.635</v>
      </c>
      <c r="E4043" s="5" t="n">
        <v>24</v>
      </c>
      <c r="F4043" s="3" t="inlineStr">
        <is>
          <t>남이면</t>
        </is>
      </c>
      <c r="G4043" s="3" t="inlineStr">
        <is>
          <t>구암리</t>
        </is>
      </c>
      <c r="H4043" s="3" t="inlineStr">
        <is>
          <t>보전녹지지역</t>
        </is>
      </c>
      <c r="I4043" s="3" t="inlineStr">
        <is>
          <t>임야</t>
        </is>
      </c>
      <c r="J4043" s="3" t="inlineStr">
        <is>
          <t>남이면</t>
        </is>
      </c>
    </row>
    <row r="4044">
      <c r="A4044" s="3" t="n">
        <v>2025</v>
      </c>
      <c r="B4044" s="4" t="n">
        <v>15000</v>
      </c>
      <c r="C4044" s="4" t="n">
        <v>3107</v>
      </c>
      <c r="D4044" s="4" t="n">
        <v>939.8674999999999</v>
      </c>
      <c r="E4044" s="5" t="n">
        <v>16</v>
      </c>
      <c r="F4044" s="3" t="inlineStr">
        <is>
          <t>남이면</t>
        </is>
      </c>
      <c r="G4044" s="3" t="inlineStr">
        <is>
          <t>산막리</t>
        </is>
      </c>
      <c r="H4044" s="3" t="inlineStr">
        <is>
          <t>보전관리지역</t>
        </is>
      </c>
      <c r="I4044" s="3" t="inlineStr">
        <is>
          <t>답</t>
        </is>
      </c>
      <c r="J4044" s="3" t="inlineStr">
        <is>
          <t>남이면</t>
        </is>
      </c>
    </row>
    <row r="4045">
      <c r="A4045" s="3" t="n">
        <v>2025</v>
      </c>
      <c r="B4045" s="4" t="n">
        <v>8000</v>
      </c>
      <c r="C4045" s="4" t="n">
        <v>1815</v>
      </c>
      <c r="D4045" s="4" t="n">
        <v>549.0375</v>
      </c>
      <c r="E4045" s="5" t="n">
        <v>14.6</v>
      </c>
      <c r="F4045" s="3" t="inlineStr">
        <is>
          <t>남이면</t>
        </is>
      </c>
      <c r="G4045" s="3" t="inlineStr">
        <is>
          <t>산막리</t>
        </is>
      </c>
      <c r="H4045" s="3" t="inlineStr">
        <is>
          <t>계획관리지역</t>
        </is>
      </c>
      <c r="I4045" s="3" t="inlineStr">
        <is>
          <t>답</t>
        </is>
      </c>
      <c r="J4045" s="3" t="inlineStr">
        <is>
          <t>남이면</t>
        </is>
      </c>
    </row>
    <row r="4046">
      <c r="A4046" s="3" t="n">
        <v>2025</v>
      </c>
      <c r="B4046" s="4" t="n">
        <v>21300</v>
      </c>
      <c r="C4046" s="4" t="n">
        <v>1410</v>
      </c>
      <c r="D4046" s="4" t="n">
        <v>426.525</v>
      </c>
      <c r="E4046" s="5" t="n">
        <v>49.9</v>
      </c>
      <c r="F4046" s="3" t="inlineStr">
        <is>
          <t>남이면</t>
        </is>
      </c>
      <c r="G4046" s="3" t="inlineStr">
        <is>
          <t>가좌리</t>
        </is>
      </c>
      <c r="H4046" s="3" t="inlineStr">
        <is>
          <t>자연녹지지역</t>
        </is>
      </c>
      <c r="I4046" s="3" t="inlineStr">
        <is>
          <t>답</t>
        </is>
      </c>
      <c r="J4046" s="3" t="inlineStr">
        <is>
          <t>남이면</t>
        </is>
      </c>
    </row>
    <row r="4047">
      <c r="A4047" s="3" t="n">
        <v>2025</v>
      </c>
      <c r="B4047" s="4" t="n">
        <v>33400</v>
      </c>
      <c r="C4047" s="4" t="n">
        <v>879</v>
      </c>
      <c r="D4047" s="4" t="n">
        <v>265.8975</v>
      </c>
      <c r="E4047" s="5" t="n">
        <v>125.6</v>
      </c>
      <c r="F4047" s="3" t="inlineStr">
        <is>
          <t>남이면</t>
        </is>
      </c>
      <c r="G4047" s="3" t="inlineStr">
        <is>
          <t>석판리</t>
        </is>
      </c>
      <c r="H4047" s="3" t="inlineStr">
        <is>
          <t>자연녹지지역</t>
        </is>
      </c>
      <c r="I4047" s="3" t="inlineStr">
        <is>
          <t>전</t>
        </is>
      </c>
      <c r="J4047" s="3" t="inlineStr">
        <is>
          <t>남이면</t>
        </is>
      </c>
    </row>
    <row r="4048">
      <c r="A4048" s="3" t="n">
        <v>2025</v>
      </c>
      <c r="B4048" s="4" t="n">
        <v>1600</v>
      </c>
      <c r="C4048" s="4" t="n">
        <v>43</v>
      </c>
      <c r="D4048" s="4" t="n">
        <v>13.0075</v>
      </c>
      <c r="E4048" s="5" t="n">
        <v>123</v>
      </c>
      <c r="F4048" s="3" t="inlineStr">
        <is>
          <t>남이면</t>
        </is>
      </c>
      <c r="G4048" s="3" t="inlineStr">
        <is>
          <t>석판리</t>
        </is>
      </c>
      <c r="H4048" s="3" t="inlineStr">
        <is>
          <t>자연녹지지역</t>
        </is>
      </c>
      <c r="I4048" s="3" t="inlineStr">
        <is>
          <t>도로</t>
        </is>
      </c>
      <c r="J4048" s="3" t="inlineStr">
        <is>
          <t>남이면</t>
        </is>
      </c>
    </row>
    <row r="4049">
      <c r="A4049" s="3" t="n">
        <v>2025</v>
      </c>
      <c r="B4049" s="4" t="n">
        <v>23900</v>
      </c>
      <c r="C4049" s="4" t="n">
        <v>2261</v>
      </c>
      <c r="D4049" s="4" t="n">
        <v>683.9525</v>
      </c>
      <c r="E4049" s="5" t="n">
        <v>34.9</v>
      </c>
      <c r="F4049" s="3" t="inlineStr">
        <is>
          <t>남이면</t>
        </is>
      </c>
      <c r="G4049" s="3" t="inlineStr">
        <is>
          <t>척산리</t>
        </is>
      </c>
      <c r="H4049" s="3" t="inlineStr">
        <is>
          <t>자연녹지지역</t>
        </is>
      </c>
      <c r="I4049" s="3" t="inlineStr">
        <is>
          <t>답</t>
        </is>
      </c>
      <c r="J4049" s="3" t="inlineStr">
        <is>
          <t>남이면</t>
        </is>
      </c>
    </row>
    <row r="4050">
      <c r="A4050" s="3" t="n">
        <v>2025</v>
      </c>
      <c r="B4050" s="4" t="n">
        <v>2577</v>
      </c>
      <c r="C4050" s="4" t="n">
        <v>71</v>
      </c>
      <c r="D4050" s="4" t="n">
        <v>21.4775</v>
      </c>
      <c r="E4050" s="5" t="n">
        <v>120</v>
      </c>
      <c r="F4050" s="3" t="inlineStr">
        <is>
          <t>남이면</t>
        </is>
      </c>
      <c r="G4050" s="3" t="inlineStr">
        <is>
          <t>척산리</t>
        </is>
      </c>
      <c r="H4050" s="3" t="inlineStr">
        <is>
          <t>계획관리지역</t>
        </is>
      </c>
      <c r="I4050" s="3" t="inlineStr">
        <is>
          <t>공장용지</t>
        </is>
      </c>
      <c r="J4050" s="3" t="inlineStr">
        <is>
          <t>남이면</t>
        </is>
      </c>
    </row>
    <row r="4051">
      <c r="A4051" s="3" t="n">
        <v>2025</v>
      </c>
      <c r="B4051" s="4" t="n">
        <v>32000</v>
      </c>
      <c r="C4051" s="4" t="n">
        <v>810</v>
      </c>
      <c r="D4051" s="4" t="n">
        <v>245.025</v>
      </c>
      <c r="E4051" s="5" t="n">
        <v>130.6</v>
      </c>
      <c r="F4051" s="3" t="inlineStr">
        <is>
          <t>남이면</t>
        </is>
      </c>
      <c r="G4051" s="3" t="inlineStr">
        <is>
          <t>양촌리</t>
        </is>
      </c>
      <c r="H4051" s="3" t="inlineStr">
        <is>
          <t>자연녹지지역</t>
        </is>
      </c>
      <c r="I4051" s="3" t="inlineStr">
        <is>
          <t>임야</t>
        </is>
      </c>
      <c r="J4051" s="3" t="inlineStr">
        <is>
          <t>남이면</t>
        </is>
      </c>
    </row>
    <row r="4052">
      <c r="A4052" s="3" t="n">
        <v>2025</v>
      </c>
      <c r="B4052" s="4" t="n">
        <v>55000</v>
      </c>
      <c r="C4052" s="4" t="n">
        <v>2172</v>
      </c>
      <c r="D4052" s="4" t="n">
        <v>657.03</v>
      </c>
      <c r="E4052" s="5" t="n">
        <v>83.7</v>
      </c>
      <c r="F4052" s="3" t="inlineStr">
        <is>
          <t>남이면</t>
        </is>
      </c>
      <c r="G4052" s="3" t="inlineStr">
        <is>
          <t>석판리</t>
        </is>
      </c>
      <c r="H4052" s="3" t="inlineStr">
        <is>
          <t>자연녹지지역</t>
        </is>
      </c>
      <c r="I4052" s="3" t="inlineStr">
        <is>
          <t>전</t>
        </is>
      </c>
      <c r="J4052" s="3" t="inlineStr">
        <is>
          <t>남이면</t>
        </is>
      </c>
    </row>
    <row r="4053">
      <c r="A4053" s="3" t="n">
        <v>2025</v>
      </c>
      <c r="B4053" s="4" t="n">
        <v>5500</v>
      </c>
      <c r="C4053" s="4" t="n">
        <v>694</v>
      </c>
      <c r="D4053" s="4" t="n">
        <v>209.935</v>
      </c>
      <c r="E4053" s="5" t="n">
        <v>26.2</v>
      </c>
      <c r="F4053" s="3" t="inlineStr">
        <is>
          <t>남이면</t>
        </is>
      </c>
      <c r="G4053" s="3" t="inlineStr">
        <is>
          <t>척산리</t>
        </is>
      </c>
      <c r="H4053" s="3" t="inlineStr">
        <is>
          <t>자연녹지지역</t>
        </is>
      </c>
      <c r="I4053" s="3" t="inlineStr">
        <is>
          <t>임야</t>
        </is>
      </c>
      <c r="J4053" s="3" t="inlineStr">
        <is>
          <t>남이면</t>
        </is>
      </c>
    </row>
    <row r="4054">
      <c r="A4054" s="3" t="n">
        <v>2025</v>
      </c>
      <c r="B4054" s="4" t="n">
        <v>22300</v>
      </c>
      <c r="C4054" s="4" t="n">
        <v>2734</v>
      </c>
      <c r="D4054" s="4" t="n">
        <v>827.035</v>
      </c>
      <c r="E4054" s="5" t="n">
        <v>27</v>
      </c>
      <c r="F4054" s="3" t="inlineStr">
        <is>
          <t>남이면</t>
        </is>
      </c>
      <c r="G4054" s="3" t="inlineStr">
        <is>
          <t>산막리</t>
        </is>
      </c>
      <c r="H4054" s="3" t="inlineStr">
        <is>
          <t>생산관리지역</t>
        </is>
      </c>
      <c r="I4054" s="3" t="inlineStr">
        <is>
          <t>답</t>
        </is>
      </c>
      <c r="J4054" s="3" t="inlineStr">
        <is>
          <t>남이면</t>
        </is>
      </c>
    </row>
    <row r="4055">
      <c r="A4055" s="3" t="n">
        <v>2025</v>
      </c>
      <c r="B4055" s="4" t="n">
        <v>12800</v>
      </c>
      <c r="C4055" s="4" t="n">
        <v>1212.9</v>
      </c>
      <c r="D4055" s="4" t="n">
        <v>366.90225</v>
      </c>
      <c r="E4055" s="5" t="n">
        <v>34.9</v>
      </c>
      <c r="F4055" s="3" t="inlineStr">
        <is>
          <t>남이면</t>
        </is>
      </c>
      <c r="G4055" s="3" t="inlineStr">
        <is>
          <t>구암리</t>
        </is>
      </c>
      <c r="H4055" s="3" t="inlineStr">
        <is>
          <t>자연녹지지역</t>
        </is>
      </c>
      <c r="I4055" s="3" t="inlineStr">
        <is>
          <t>답</t>
        </is>
      </c>
      <c r="J4055" s="3" t="inlineStr">
        <is>
          <t>남이면</t>
        </is>
      </c>
    </row>
    <row r="4056">
      <c r="A4056" s="3" t="n">
        <v>2025</v>
      </c>
      <c r="B4056" s="4" t="n">
        <v>32000</v>
      </c>
      <c r="C4056" s="4" t="n">
        <v>2198</v>
      </c>
      <c r="D4056" s="4" t="n">
        <v>664.895</v>
      </c>
      <c r="E4056" s="5" t="n">
        <v>48.1</v>
      </c>
      <c r="F4056" s="3" t="inlineStr">
        <is>
          <t>남이면</t>
        </is>
      </c>
      <c r="G4056" s="3" t="inlineStr">
        <is>
          <t>구암리</t>
        </is>
      </c>
      <c r="H4056" s="3" t="inlineStr">
        <is>
          <t>자연녹지지역</t>
        </is>
      </c>
      <c r="I4056" s="3" t="inlineStr">
        <is>
          <t>답</t>
        </is>
      </c>
      <c r="J4056" s="3" t="inlineStr">
        <is>
          <t>남이면</t>
        </is>
      </c>
    </row>
    <row r="4057">
      <c r="A4057" s="3" t="n">
        <v>2025</v>
      </c>
      <c r="B4057" s="4" t="n">
        <v>14500</v>
      </c>
      <c r="C4057" s="4" t="n">
        <v>2371</v>
      </c>
      <c r="D4057" s="4" t="n">
        <v>717.2275</v>
      </c>
      <c r="E4057" s="5" t="n">
        <v>20.2</v>
      </c>
      <c r="F4057" s="3" t="inlineStr">
        <is>
          <t>남이면</t>
        </is>
      </c>
      <c r="G4057" s="3" t="inlineStr">
        <is>
          <t>척산리</t>
        </is>
      </c>
      <c r="H4057" s="3" t="inlineStr">
        <is>
          <t>자연녹지지역</t>
        </is>
      </c>
      <c r="I4057" s="3" t="inlineStr">
        <is>
          <t>묘지</t>
        </is>
      </c>
      <c r="J4057" s="3" t="inlineStr">
        <is>
          <t>남이면</t>
        </is>
      </c>
    </row>
    <row r="4058">
      <c r="A4058" s="3" t="n">
        <v>2025</v>
      </c>
      <c r="B4058" s="4" t="n">
        <v>6000</v>
      </c>
      <c r="C4058" s="4" t="n">
        <v>1557</v>
      </c>
      <c r="D4058" s="4" t="n">
        <v>470.9925</v>
      </c>
      <c r="E4058" s="5" t="n">
        <v>12.7</v>
      </c>
      <c r="F4058" s="3" t="inlineStr">
        <is>
          <t>남이면</t>
        </is>
      </c>
      <c r="G4058" s="3" t="inlineStr">
        <is>
          <t>사동리</t>
        </is>
      </c>
      <c r="H4058" s="3" t="inlineStr">
        <is>
          <t>농림지역</t>
        </is>
      </c>
      <c r="I4058" s="3" t="inlineStr">
        <is>
          <t>답</t>
        </is>
      </c>
      <c r="J4058" s="3" t="inlineStr">
        <is>
          <t>남이면</t>
        </is>
      </c>
    </row>
    <row r="4059">
      <c r="A4059" s="3" t="n">
        <v>2025</v>
      </c>
      <c r="B4059" s="4" t="n">
        <v>48800</v>
      </c>
      <c r="C4059" s="4" t="n">
        <v>1565</v>
      </c>
      <c r="D4059" s="4" t="n">
        <v>473.4125</v>
      </c>
      <c r="E4059" s="5" t="n">
        <v>103.1</v>
      </c>
      <c r="F4059" s="3" t="inlineStr">
        <is>
          <t>남이면</t>
        </is>
      </c>
      <c r="G4059" s="3" t="inlineStr">
        <is>
          <t>대련리</t>
        </is>
      </c>
      <c r="H4059" s="3" t="inlineStr">
        <is>
          <t>자연녹지지역</t>
        </is>
      </c>
      <c r="I4059" s="3" t="inlineStr">
        <is>
          <t>답</t>
        </is>
      </c>
      <c r="J4059" s="3" t="inlineStr">
        <is>
          <t>남이면</t>
        </is>
      </c>
    </row>
    <row r="4060">
      <c r="A4060" s="3" t="n">
        <v>2025</v>
      </c>
      <c r="B4060" s="4" t="n">
        <v>6200</v>
      </c>
      <c r="C4060" s="4" t="n">
        <v>200</v>
      </c>
      <c r="D4060" s="4" t="n">
        <v>60.5</v>
      </c>
      <c r="E4060" s="5" t="n">
        <v>102.5</v>
      </c>
      <c r="F4060" s="3" t="inlineStr">
        <is>
          <t>남이면</t>
        </is>
      </c>
      <c r="G4060" s="3" t="inlineStr">
        <is>
          <t>대련리</t>
        </is>
      </c>
      <c r="H4060" s="3" t="inlineStr">
        <is>
          <t>자연녹지지역</t>
        </is>
      </c>
      <c r="I4060" s="3" t="inlineStr">
        <is>
          <t>답</t>
        </is>
      </c>
      <c r="J4060" s="3" t="inlineStr">
        <is>
          <t>남이면</t>
        </is>
      </c>
    </row>
    <row r="4061">
      <c r="A4061" s="3" t="n">
        <v>2025</v>
      </c>
      <c r="B4061" s="4" t="n">
        <v>3200</v>
      </c>
      <c r="C4061" s="4" t="n">
        <v>103</v>
      </c>
      <c r="D4061" s="4" t="n">
        <v>31.1575</v>
      </c>
      <c r="E4061" s="5" t="n">
        <v>102.7</v>
      </c>
      <c r="F4061" s="3" t="inlineStr">
        <is>
          <t>남이면</t>
        </is>
      </c>
      <c r="G4061" s="3" t="inlineStr">
        <is>
          <t>대련리</t>
        </is>
      </c>
      <c r="H4061" s="3" t="inlineStr">
        <is>
          <t>자연녹지지역</t>
        </is>
      </c>
      <c r="I4061" s="3" t="inlineStr">
        <is>
          <t>답</t>
        </is>
      </c>
      <c r="J4061" s="3" t="inlineStr">
        <is>
          <t>남이면</t>
        </is>
      </c>
    </row>
    <row r="4062">
      <c r="A4062" s="3" t="n">
        <v>2025</v>
      </c>
      <c r="B4062" s="4" t="n">
        <v>7040</v>
      </c>
      <c r="C4062" s="4" t="n">
        <v>212</v>
      </c>
      <c r="D4062" s="4" t="n">
        <v>64.13</v>
      </c>
      <c r="E4062" s="5" t="n">
        <v>109.8</v>
      </c>
      <c r="F4062" s="3" t="inlineStr">
        <is>
          <t>남이면</t>
        </is>
      </c>
      <c r="G4062" s="3" t="inlineStr">
        <is>
          <t>가마리</t>
        </is>
      </c>
      <c r="H4062" s="3" t="inlineStr">
        <is>
          <t>자연녹지지역</t>
        </is>
      </c>
      <c r="I4062" s="3" t="inlineStr">
        <is>
          <t>답</t>
        </is>
      </c>
      <c r="J4062" s="3" t="inlineStr">
        <is>
          <t>남이면</t>
        </is>
      </c>
    </row>
    <row r="4063">
      <c r="A4063" s="3" t="n">
        <v>2025</v>
      </c>
      <c r="B4063" s="4" t="n">
        <v>35000</v>
      </c>
      <c r="C4063" s="4" t="n">
        <v>1449</v>
      </c>
      <c r="D4063" s="4" t="n">
        <v>438.3225</v>
      </c>
      <c r="E4063" s="5" t="n">
        <v>79.8</v>
      </c>
      <c r="F4063" s="3" t="inlineStr">
        <is>
          <t>남이면</t>
        </is>
      </c>
      <c r="G4063" s="3" t="inlineStr">
        <is>
          <t>척산리</t>
        </is>
      </c>
      <c r="H4063" s="3" t="inlineStr">
        <is>
          <t>자연녹지지역</t>
        </is>
      </c>
      <c r="I4063" s="3" t="inlineStr">
        <is>
          <t>답</t>
        </is>
      </c>
      <c r="J4063" s="3" t="inlineStr">
        <is>
          <t>남이면</t>
        </is>
      </c>
    </row>
    <row r="4064">
      <c r="A4064" s="3" t="n">
        <v>2025</v>
      </c>
      <c r="B4064" s="4" t="n">
        <v>11344</v>
      </c>
      <c r="C4064" s="4" t="n">
        <v>549</v>
      </c>
      <c r="D4064" s="4" t="n">
        <v>166.0725</v>
      </c>
      <c r="E4064" s="5" t="n">
        <v>68.3</v>
      </c>
      <c r="F4064" s="3" t="inlineStr">
        <is>
          <t>남이면</t>
        </is>
      </c>
      <c r="G4064" s="3" t="inlineStr">
        <is>
          <t>가좌리</t>
        </is>
      </c>
      <c r="H4064" s="3" t="inlineStr">
        <is>
          <t>보전녹지지역</t>
        </is>
      </c>
      <c r="I4064" s="3" t="inlineStr">
        <is>
          <t>임야</t>
        </is>
      </c>
      <c r="J4064" s="3" t="inlineStr">
        <is>
          <t>남이면</t>
        </is>
      </c>
    </row>
    <row r="4065">
      <c r="A4065" s="3" t="n">
        <v>2025</v>
      </c>
      <c r="B4065" s="4" t="n">
        <v>1178</v>
      </c>
      <c r="C4065" s="4" t="n">
        <v>57</v>
      </c>
      <c r="D4065" s="4" t="n">
        <v>17.2425</v>
      </c>
      <c r="E4065" s="5" t="n">
        <v>68.3</v>
      </c>
      <c r="F4065" s="3" t="inlineStr">
        <is>
          <t>남이면</t>
        </is>
      </c>
      <c r="G4065" s="3" t="inlineStr">
        <is>
          <t>가좌리</t>
        </is>
      </c>
      <c r="H4065" s="3" t="inlineStr">
        <is>
          <t>보전녹지지역</t>
        </is>
      </c>
      <c r="I4065" s="3" t="inlineStr">
        <is>
          <t>임야</t>
        </is>
      </c>
      <c r="J4065" s="3" t="inlineStr">
        <is>
          <t>남이면</t>
        </is>
      </c>
    </row>
    <row r="4066">
      <c r="A4066" s="3" t="n">
        <v>2025</v>
      </c>
      <c r="B4066" s="4" t="n">
        <v>300</v>
      </c>
      <c r="C4066" s="4" t="n">
        <v>4</v>
      </c>
      <c r="D4066" s="4" t="n">
        <v>1.21</v>
      </c>
      <c r="E4066" s="5" t="n">
        <v>247.9</v>
      </c>
      <c r="F4066" s="3" t="inlineStr">
        <is>
          <t>부강면</t>
        </is>
      </c>
      <c r="G4066" s="3" t="inlineStr">
        <is>
          <t>부강리</t>
        </is>
      </c>
      <c r="H4066" s="3" t="inlineStr">
        <is>
          <t>생산녹지지역</t>
        </is>
      </c>
      <c r="I4066" s="3" t="inlineStr">
        <is>
          <t>답</t>
        </is>
      </c>
      <c r="J4066" s="3" t="inlineStr">
        <is>
          <t>부강면</t>
        </is>
      </c>
    </row>
    <row r="4067">
      <c r="A4067" s="3" t="n">
        <v>2025</v>
      </c>
      <c r="B4067" s="4" t="n">
        <v>24900</v>
      </c>
      <c r="C4067" s="4" t="n">
        <v>916</v>
      </c>
      <c r="D4067" s="4" t="n">
        <v>277.09</v>
      </c>
      <c r="E4067" s="5" t="n">
        <v>89.90000000000001</v>
      </c>
      <c r="F4067" s="3" t="inlineStr">
        <is>
          <t>부강면</t>
        </is>
      </c>
      <c r="G4067" s="3" t="inlineStr">
        <is>
          <t>부강리</t>
        </is>
      </c>
      <c r="H4067" s="3" t="inlineStr">
        <is>
          <t>자연녹지지역</t>
        </is>
      </c>
      <c r="I4067" s="3" t="inlineStr">
        <is>
          <t>전</t>
        </is>
      </c>
      <c r="J4067" s="3" t="inlineStr">
        <is>
          <t>부강면</t>
        </is>
      </c>
    </row>
    <row r="4068">
      <c r="A4068" s="3" t="n">
        <v>2025</v>
      </c>
      <c r="B4068" s="4" t="n">
        <v>83300</v>
      </c>
      <c r="C4068" s="4" t="n">
        <v>353.2</v>
      </c>
      <c r="D4068" s="4" t="n">
        <v>106.843</v>
      </c>
      <c r="E4068" s="5" t="n">
        <v>779.6</v>
      </c>
      <c r="F4068" s="3" t="inlineStr">
        <is>
          <t>고운동</t>
        </is>
      </c>
      <c r="G4068" s="3" t="inlineStr"/>
      <c r="H4068" s="3" t="inlineStr">
        <is>
          <t>제1종전용주거지역</t>
        </is>
      </c>
      <c r="I4068" s="3" t="inlineStr">
        <is>
          <t>대</t>
        </is>
      </c>
      <c r="J4068" s="3" t="inlineStr">
        <is>
          <t>고운동</t>
        </is>
      </c>
    </row>
    <row r="4069">
      <c r="A4069" s="3" t="n">
        <v>2025</v>
      </c>
      <c r="B4069" s="4" t="n">
        <v>50000</v>
      </c>
      <c r="C4069" s="4" t="n">
        <v>474</v>
      </c>
      <c r="D4069" s="4" t="n">
        <v>143.385</v>
      </c>
      <c r="E4069" s="5" t="n">
        <v>348.7</v>
      </c>
      <c r="F4069" s="3" t="inlineStr">
        <is>
          <t>다정동</t>
        </is>
      </c>
      <c r="G4069" s="3" t="inlineStr"/>
      <c r="H4069" s="3" t="inlineStr">
        <is>
          <t>제1종전용주거지역</t>
        </is>
      </c>
      <c r="I4069" s="3" t="inlineStr">
        <is>
          <t>대</t>
        </is>
      </c>
      <c r="J4069" s="3" t="inlineStr">
        <is>
          <t>다정동</t>
        </is>
      </c>
    </row>
    <row r="4070">
      <c r="A4070" s="3" t="n">
        <v>2025</v>
      </c>
      <c r="B4070" s="4" t="n">
        <v>387600</v>
      </c>
      <c r="C4070" s="4" t="n">
        <v>3000</v>
      </c>
      <c r="D4070" s="4" t="n">
        <v>907.5</v>
      </c>
      <c r="E4070" s="5" t="n">
        <v>427.1</v>
      </c>
      <c r="F4070" s="3" t="inlineStr">
        <is>
          <t>반곡동</t>
        </is>
      </c>
      <c r="G4070" s="3" t="inlineStr"/>
      <c r="H4070" s="3" t="inlineStr">
        <is>
          <t>제2종일반주거지역</t>
        </is>
      </c>
      <c r="I4070" s="3" t="inlineStr">
        <is>
          <t>학교용지</t>
        </is>
      </c>
      <c r="J4070" s="3" t="inlineStr">
        <is>
          <t>반곡동</t>
        </is>
      </c>
    </row>
    <row r="4071">
      <c r="A4071" s="3" t="n">
        <v>2024</v>
      </c>
      <c r="B4071" s="4" t="n">
        <v>15200</v>
      </c>
      <c r="C4071" s="4" t="n">
        <v>1630</v>
      </c>
      <c r="D4071" s="4" t="n">
        <v>493.075</v>
      </c>
      <c r="E4071" s="5" t="n">
        <v>30.8</v>
      </c>
      <c r="F4071" s="3" t="inlineStr">
        <is>
          <t>남이면</t>
        </is>
      </c>
      <c r="G4071" s="3" t="inlineStr">
        <is>
          <t>외천리</t>
        </is>
      </c>
      <c r="H4071" s="3" t="inlineStr">
        <is>
          <t>농림지역</t>
        </is>
      </c>
      <c r="I4071" s="3" t="inlineStr">
        <is>
          <t>답</t>
        </is>
      </c>
      <c r="J4071" s="3" t="inlineStr">
        <is>
          <t>남이면</t>
        </is>
      </c>
    </row>
    <row r="4072">
      <c r="A4072" s="3" t="n">
        <v>2024</v>
      </c>
      <c r="B4072" s="4" t="n">
        <v>9200</v>
      </c>
      <c r="C4072" s="4" t="n">
        <v>469</v>
      </c>
      <c r="D4072" s="4" t="n">
        <v>141.8725</v>
      </c>
      <c r="E4072" s="5" t="n">
        <v>64.8</v>
      </c>
      <c r="F4072" s="3" t="inlineStr">
        <is>
          <t>남이면</t>
        </is>
      </c>
      <c r="G4072" s="3" t="inlineStr">
        <is>
          <t>외천리</t>
        </is>
      </c>
      <c r="H4072" s="3" t="inlineStr">
        <is>
          <t>보전관리지역</t>
        </is>
      </c>
      <c r="I4072" s="3" t="inlineStr">
        <is>
          <t>답</t>
        </is>
      </c>
      <c r="J4072" s="3" t="inlineStr">
        <is>
          <t>남이면</t>
        </is>
      </c>
    </row>
    <row r="4073">
      <c r="A4073" s="3" t="n">
        <v>2024</v>
      </c>
      <c r="B4073" s="4" t="n">
        <v>9069</v>
      </c>
      <c r="C4073" s="4" t="n">
        <v>192</v>
      </c>
      <c r="D4073" s="4" t="n">
        <v>58.08</v>
      </c>
      <c r="E4073" s="5" t="n">
        <v>156.1</v>
      </c>
      <c r="F4073" s="3" t="inlineStr">
        <is>
          <t>남이면</t>
        </is>
      </c>
      <c r="G4073" s="3" t="inlineStr">
        <is>
          <t>석판리</t>
        </is>
      </c>
      <c r="H4073" s="3" t="inlineStr">
        <is>
          <t>자연녹지지역</t>
        </is>
      </c>
      <c r="I4073" s="3" t="inlineStr">
        <is>
          <t>전</t>
        </is>
      </c>
      <c r="J4073" s="3" t="inlineStr">
        <is>
          <t>남이면</t>
        </is>
      </c>
    </row>
    <row r="4074">
      <c r="A4074" s="3" t="n">
        <v>2024</v>
      </c>
      <c r="B4074" s="4" t="n">
        <v>700</v>
      </c>
      <c r="C4074" s="4" t="n">
        <v>15</v>
      </c>
      <c r="D4074" s="4" t="n">
        <v>4.5375</v>
      </c>
      <c r="E4074" s="5" t="n">
        <v>154.3</v>
      </c>
      <c r="F4074" s="3" t="inlineStr">
        <is>
          <t>남이면</t>
        </is>
      </c>
      <c r="G4074" s="3" t="inlineStr">
        <is>
          <t>석판리</t>
        </is>
      </c>
      <c r="H4074" s="3" t="inlineStr">
        <is>
          <t>자연녹지지역</t>
        </is>
      </c>
      <c r="I4074" s="3" t="inlineStr">
        <is>
          <t>대</t>
        </is>
      </c>
      <c r="J4074" s="3" t="inlineStr">
        <is>
          <t>남이면</t>
        </is>
      </c>
    </row>
    <row r="4075">
      <c r="A4075" s="3" t="n">
        <v>2024</v>
      </c>
      <c r="B4075" s="4" t="n">
        <v>7335</v>
      </c>
      <c r="C4075" s="4" t="n">
        <v>481</v>
      </c>
      <c r="D4075" s="4" t="n">
        <v>145.5025</v>
      </c>
      <c r="E4075" s="5" t="n">
        <v>50.4</v>
      </c>
      <c r="F4075" s="3" t="inlineStr">
        <is>
          <t>남이면</t>
        </is>
      </c>
      <c r="G4075" s="3" t="inlineStr">
        <is>
          <t>부용외천리</t>
        </is>
      </c>
      <c r="H4075" s="3" t="inlineStr">
        <is>
          <t>계획관리지역</t>
        </is>
      </c>
      <c r="I4075" s="3" t="inlineStr">
        <is>
          <t>목장용지</t>
        </is>
      </c>
      <c r="J4075" s="3" t="inlineStr">
        <is>
          <t>남이면</t>
        </is>
      </c>
    </row>
    <row r="4076">
      <c r="A4076" s="3" t="n">
        <v>2024</v>
      </c>
      <c r="B4076" s="4" t="n">
        <v>9600</v>
      </c>
      <c r="C4076" s="4" t="n">
        <v>1098</v>
      </c>
      <c r="D4076" s="4" t="n">
        <v>332.145</v>
      </c>
      <c r="E4076" s="5" t="n">
        <v>28.9</v>
      </c>
      <c r="F4076" s="3" t="inlineStr">
        <is>
          <t>남이면</t>
        </is>
      </c>
      <c r="G4076" s="3" t="inlineStr">
        <is>
          <t>구암리</t>
        </is>
      </c>
      <c r="H4076" s="3" t="inlineStr">
        <is>
          <t>자연녹지지역</t>
        </is>
      </c>
      <c r="I4076" s="3" t="inlineStr">
        <is>
          <t>답</t>
        </is>
      </c>
      <c r="J4076" s="3" t="inlineStr">
        <is>
          <t>남이면</t>
        </is>
      </c>
    </row>
    <row r="4077">
      <c r="A4077" s="3" t="n">
        <v>2024</v>
      </c>
      <c r="B4077" s="4" t="n">
        <v>3220</v>
      </c>
      <c r="C4077" s="4" t="n">
        <v>477</v>
      </c>
      <c r="D4077" s="4" t="n">
        <v>144.2925</v>
      </c>
      <c r="E4077" s="5" t="n">
        <v>22.3</v>
      </c>
      <c r="F4077" s="3" t="inlineStr">
        <is>
          <t>남이면</t>
        </is>
      </c>
      <c r="G4077" s="3" t="inlineStr">
        <is>
          <t>대련리</t>
        </is>
      </c>
      <c r="H4077" s="3" t="inlineStr">
        <is>
          <t>자연녹지지역</t>
        </is>
      </c>
      <c r="I4077" s="3" t="inlineStr">
        <is>
          <t>답</t>
        </is>
      </c>
      <c r="J4077" s="3" t="inlineStr">
        <is>
          <t>남이면</t>
        </is>
      </c>
    </row>
    <row r="4078">
      <c r="A4078" s="3" t="n">
        <v>2024</v>
      </c>
      <c r="B4078" s="4" t="n">
        <v>360</v>
      </c>
      <c r="C4078" s="4" t="n">
        <v>54</v>
      </c>
      <c r="D4078" s="4" t="n">
        <v>16.335</v>
      </c>
      <c r="E4078" s="5" t="n">
        <v>22</v>
      </c>
      <c r="F4078" s="3" t="inlineStr">
        <is>
          <t>남이면</t>
        </is>
      </c>
      <c r="G4078" s="3" t="inlineStr">
        <is>
          <t>대련리</t>
        </is>
      </c>
      <c r="H4078" s="3" t="inlineStr">
        <is>
          <t>자연녹지지역</t>
        </is>
      </c>
      <c r="I4078" s="3" t="inlineStr">
        <is>
          <t>답</t>
        </is>
      </c>
      <c r="J4078" s="3" t="inlineStr">
        <is>
          <t>남이면</t>
        </is>
      </c>
    </row>
    <row r="4079">
      <c r="A4079" s="3" t="n">
        <v>2024</v>
      </c>
      <c r="B4079" s="4" t="n">
        <v>3580</v>
      </c>
      <c r="C4079" s="4" t="n">
        <v>215</v>
      </c>
      <c r="D4079" s="4" t="n">
        <v>65.03749999999999</v>
      </c>
      <c r="E4079" s="5" t="n">
        <v>55</v>
      </c>
      <c r="F4079" s="3" t="inlineStr">
        <is>
          <t>남이면</t>
        </is>
      </c>
      <c r="G4079" s="3" t="inlineStr">
        <is>
          <t>대련리</t>
        </is>
      </c>
      <c r="H4079" s="3" t="inlineStr">
        <is>
          <t>자연녹지지역</t>
        </is>
      </c>
      <c r="I4079" s="3" t="inlineStr">
        <is>
          <t>답</t>
        </is>
      </c>
      <c r="J4079" s="3" t="inlineStr">
        <is>
          <t>남이면</t>
        </is>
      </c>
    </row>
    <row r="4080">
      <c r="A4080" s="3" t="n">
        <v>2024</v>
      </c>
      <c r="B4080" s="4" t="n">
        <v>46910</v>
      </c>
      <c r="C4080" s="4" t="n">
        <v>2820</v>
      </c>
      <c r="D4080" s="4" t="n">
        <v>853.05</v>
      </c>
      <c r="E4080" s="5" t="n">
        <v>55</v>
      </c>
      <c r="F4080" s="3" t="inlineStr">
        <is>
          <t>남이면</t>
        </is>
      </c>
      <c r="G4080" s="3" t="inlineStr">
        <is>
          <t>대련리</t>
        </is>
      </c>
      <c r="H4080" s="3" t="inlineStr">
        <is>
          <t>자연녹지지역</t>
        </is>
      </c>
      <c r="I4080" s="3" t="inlineStr">
        <is>
          <t>답</t>
        </is>
      </c>
      <c r="J4080" s="3" t="inlineStr">
        <is>
          <t>남이면</t>
        </is>
      </c>
    </row>
    <row r="4081">
      <c r="A4081" s="3" t="n">
        <v>2024</v>
      </c>
      <c r="B4081" s="4" t="n">
        <v>3580</v>
      </c>
      <c r="C4081" s="4" t="n">
        <v>215</v>
      </c>
      <c r="D4081" s="4" t="n">
        <v>65.03749999999999</v>
      </c>
      <c r="E4081" s="5" t="n">
        <v>55</v>
      </c>
      <c r="F4081" s="3" t="inlineStr">
        <is>
          <t>남이면</t>
        </is>
      </c>
      <c r="G4081" s="3" t="inlineStr">
        <is>
          <t>대련리</t>
        </is>
      </c>
      <c r="H4081" s="3" t="inlineStr">
        <is>
          <t>자연녹지지역</t>
        </is>
      </c>
      <c r="I4081" s="3" t="inlineStr">
        <is>
          <t>답</t>
        </is>
      </c>
      <c r="J4081" s="3" t="inlineStr">
        <is>
          <t>남이면</t>
        </is>
      </c>
    </row>
    <row r="4082">
      <c r="A4082" s="3" t="n">
        <v>2024</v>
      </c>
      <c r="B4082" s="4" t="n">
        <v>5000</v>
      </c>
      <c r="C4082" s="4" t="n">
        <v>5134</v>
      </c>
      <c r="D4082" s="4" t="n">
        <v>1553.035</v>
      </c>
      <c r="E4082" s="5" t="n">
        <v>3.2</v>
      </c>
      <c r="F4082" s="3" t="inlineStr">
        <is>
          <t>남이면</t>
        </is>
      </c>
      <c r="G4082" s="3" t="inlineStr">
        <is>
          <t>문동리</t>
        </is>
      </c>
      <c r="H4082" s="3" t="inlineStr">
        <is>
          <t>보전녹지지역</t>
        </is>
      </c>
      <c r="I4082" s="3" t="inlineStr">
        <is>
          <t>임야</t>
        </is>
      </c>
      <c r="J4082" s="3" t="inlineStr">
        <is>
          <t>남이면</t>
        </is>
      </c>
    </row>
    <row r="4083">
      <c r="A4083" s="3" t="n">
        <v>2024</v>
      </c>
      <c r="B4083" s="4" t="n">
        <v>300</v>
      </c>
      <c r="C4083" s="4" t="n">
        <v>224</v>
      </c>
      <c r="D4083" s="4" t="n">
        <v>67.75999999999999</v>
      </c>
      <c r="E4083" s="5" t="n">
        <v>4.4</v>
      </c>
      <c r="F4083" s="3" t="inlineStr">
        <is>
          <t>남이면</t>
        </is>
      </c>
      <c r="G4083" s="3" t="inlineStr">
        <is>
          <t>문동리</t>
        </is>
      </c>
      <c r="H4083" s="3" t="inlineStr">
        <is>
          <t>자연녹지지역</t>
        </is>
      </c>
      <c r="I4083" s="3" t="inlineStr">
        <is>
          <t>임야</t>
        </is>
      </c>
      <c r="J4083" s="3" t="inlineStr">
        <is>
          <t>남이면</t>
        </is>
      </c>
    </row>
    <row r="4084">
      <c r="A4084" s="3" t="n">
        <v>2024</v>
      </c>
      <c r="B4084" s="4" t="n">
        <v>20700</v>
      </c>
      <c r="C4084" s="4" t="n">
        <v>1517</v>
      </c>
      <c r="D4084" s="4" t="n">
        <v>458.8925</v>
      </c>
      <c r="E4084" s="5" t="n">
        <v>45.1</v>
      </c>
      <c r="F4084" s="3" t="inlineStr">
        <is>
          <t>남이면</t>
        </is>
      </c>
      <c r="G4084" s="3" t="inlineStr">
        <is>
          <t>가마리</t>
        </is>
      </c>
      <c r="H4084" s="3" t="inlineStr">
        <is>
          <t>자연녹지지역</t>
        </is>
      </c>
      <c r="I4084" s="3" t="inlineStr">
        <is>
          <t>답</t>
        </is>
      </c>
      <c r="J4084" s="3" t="inlineStr">
        <is>
          <t>남이면</t>
        </is>
      </c>
    </row>
    <row r="4085">
      <c r="A4085" s="3" t="n">
        <v>2024</v>
      </c>
      <c r="B4085" s="4" t="n">
        <v>2170</v>
      </c>
      <c r="C4085" s="4" t="n">
        <v>66</v>
      </c>
      <c r="D4085" s="4" t="n">
        <v>19.965</v>
      </c>
      <c r="E4085" s="5" t="n">
        <v>108.7</v>
      </c>
      <c r="F4085" s="3" t="inlineStr">
        <is>
          <t>남이면</t>
        </is>
      </c>
      <c r="G4085" s="3" t="inlineStr">
        <is>
          <t>외천리</t>
        </is>
      </c>
      <c r="H4085" s="3" t="inlineStr">
        <is>
          <t>계획관리지역</t>
        </is>
      </c>
      <c r="I4085" s="3" t="inlineStr">
        <is>
          <t>대</t>
        </is>
      </c>
      <c r="J4085" s="3" t="inlineStr">
        <is>
          <t>남이면</t>
        </is>
      </c>
    </row>
    <row r="4086">
      <c r="A4086" s="3" t="n">
        <v>2023</v>
      </c>
      <c r="B4086" s="4" t="n">
        <v>54525</v>
      </c>
      <c r="C4086" s="4" t="n">
        <v>1448</v>
      </c>
      <c r="D4086" s="4" t="n">
        <v>438.02</v>
      </c>
      <c r="E4086" s="5" t="n">
        <v>124.5</v>
      </c>
      <c r="F4086" s="3" t="inlineStr">
        <is>
          <t>남이면</t>
        </is>
      </c>
      <c r="G4086" s="3" t="inlineStr">
        <is>
          <t>가좌리</t>
        </is>
      </c>
      <c r="H4086" s="3" t="inlineStr">
        <is>
          <t>자연녹지지역</t>
        </is>
      </c>
      <c r="I4086" s="3" t="inlineStr">
        <is>
          <t>임야</t>
        </is>
      </c>
      <c r="J4086" s="3" t="inlineStr">
        <is>
          <t>남이면</t>
        </is>
      </c>
    </row>
    <row r="4087">
      <c r="A4087" s="3" t="n">
        <v>2023</v>
      </c>
      <c r="B4087" s="4" t="n">
        <v>24363</v>
      </c>
      <c r="C4087" s="4" t="n">
        <v>647</v>
      </c>
      <c r="D4087" s="4" t="n">
        <v>195.7175</v>
      </c>
      <c r="E4087" s="5" t="n">
        <v>124.5</v>
      </c>
      <c r="F4087" s="3" t="inlineStr">
        <is>
          <t>남이면</t>
        </is>
      </c>
      <c r="G4087" s="3" t="inlineStr">
        <is>
          <t>가좌리</t>
        </is>
      </c>
      <c r="H4087" s="3" t="inlineStr">
        <is>
          <t>자연녹지지역</t>
        </is>
      </c>
      <c r="I4087" s="3" t="inlineStr">
        <is>
          <t>임야</t>
        </is>
      </c>
      <c r="J4087" s="3" t="inlineStr">
        <is>
          <t>남이면</t>
        </is>
      </c>
    </row>
    <row r="4088">
      <c r="A4088" s="3" t="n">
        <v>2023</v>
      </c>
      <c r="B4088" s="4" t="n">
        <v>57688</v>
      </c>
      <c r="C4088" s="4" t="n">
        <v>1532</v>
      </c>
      <c r="D4088" s="4" t="n">
        <v>463.43</v>
      </c>
      <c r="E4088" s="5" t="n">
        <v>124.5</v>
      </c>
      <c r="F4088" s="3" t="inlineStr">
        <is>
          <t>남이면</t>
        </is>
      </c>
      <c r="G4088" s="3" t="inlineStr">
        <is>
          <t>가좌리</t>
        </is>
      </c>
      <c r="H4088" s="3" t="inlineStr">
        <is>
          <t>자연녹지지역</t>
        </is>
      </c>
      <c r="I4088" s="3" t="inlineStr">
        <is>
          <t>임야</t>
        </is>
      </c>
      <c r="J4088" s="3" t="inlineStr">
        <is>
          <t>남이면</t>
        </is>
      </c>
    </row>
    <row r="4089">
      <c r="A4089" s="3" t="n">
        <v>2023</v>
      </c>
      <c r="B4089" s="4" t="n">
        <v>1385</v>
      </c>
      <c r="C4089" s="4" t="n">
        <v>36.8</v>
      </c>
      <c r="D4089" s="4" t="n">
        <v>11.132</v>
      </c>
      <c r="E4089" s="5" t="n">
        <v>124.4</v>
      </c>
      <c r="F4089" s="3" t="inlineStr">
        <is>
          <t>남이면</t>
        </is>
      </c>
      <c r="G4089" s="3" t="inlineStr">
        <is>
          <t>가좌리</t>
        </is>
      </c>
      <c r="H4089" s="3" t="inlineStr">
        <is>
          <t>자연녹지지역</t>
        </is>
      </c>
      <c r="I4089" s="3" t="inlineStr">
        <is>
          <t>임야</t>
        </is>
      </c>
      <c r="J4089" s="3" t="inlineStr">
        <is>
          <t>남이면</t>
        </is>
      </c>
    </row>
    <row r="4090">
      <c r="A4090" s="3" t="n">
        <v>2023</v>
      </c>
      <c r="B4090" s="4" t="n">
        <v>136575</v>
      </c>
      <c r="C4090" s="4" t="n">
        <v>3627</v>
      </c>
      <c r="D4090" s="4" t="n">
        <v>1097.1675</v>
      </c>
      <c r="E4090" s="5" t="n">
        <v>124.5</v>
      </c>
      <c r="F4090" s="3" t="inlineStr">
        <is>
          <t>남이면</t>
        </is>
      </c>
      <c r="G4090" s="3" t="inlineStr">
        <is>
          <t>가좌리</t>
        </is>
      </c>
      <c r="H4090" s="3" t="inlineStr">
        <is>
          <t>자연녹지지역</t>
        </is>
      </c>
      <c r="I4090" s="3" t="inlineStr">
        <is>
          <t>임야</t>
        </is>
      </c>
      <c r="J4090" s="3" t="inlineStr">
        <is>
          <t>남이면</t>
        </is>
      </c>
    </row>
    <row r="4091">
      <c r="A4091" s="3" t="n">
        <v>2023</v>
      </c>
      <c r="B4091" s="4" t="n">
        <v>1385</v>
      </c>
      <c r="C4091" s="4" t="n">
        <v>36.8</v>
      </c>
      <c r="D4091" s="4" t="n">
        <v>11.132</v>
      </c>
      <c r="E4091" s="5" t="n">
        <v>124.4</v>
      </c>
      <c r="F4091" s="3" t="inlineStr">
        <is>
          <t>남이면</t>
        </is>
      </c>
      <c r="G4091" s="3" t="inlineStr">
        <is>
          <t>가좌리</t>
        </is>
      </c>
      <c r="H4091" s="3" t="inlineStr">
        <is>
          <t>자연녹지지역</t>
        </is>
      </c>
      <c r="I4091" s="3" t="inlineStr">
        <is>
          <t>임야</t>
        </is>
      </c>
      <c r="J4091" s="3" t="inlineStr">
        <is>
          <t>남이면</t>
        </is>
      </c>
    </row>
    <row r="4092">
      <c r="A4092" s="3" t="n">
        <v>2023</v>
      </c>
      <c r="B4092" s="4" t="n">
        <v>2151</v>
      </c>
      <c r="C4092" s="4" t="n">
        <v>164</v>
      </c>
      <c r="D4092" s="4" t="n">
        <v>49.61</v>
      </c>
      <c r="E4092" s="5" t="n">
        <v>43.4</v>
      </c>
      <c r="F4092" s="3" t="inlineStr">
        <is>
          <t>남이면</t>
        </is>
      </c>
      <c r="G4092" s="3" t="inlineStr">
        <is>
          <t>팔봉리</t>
        </is>
      </c>
      <c r="H4092" s="3" t="inlineStr">
        <is>
          <t>자연녹지지역</t>
        </is>
      </c>
      <c r="I4092" s="3" t="inlineStr">
        <is>
          <t>답</t>
        </is>
      </c>
      <c r="J4092" s="3" t="inlineStr">
        <is>
          <t>남이면</t>
        </is>
      </c>
    </row>
    <row r="4093">
      <c r="A4093" s="3" t="n">
        <v>2023</v>
      </c>
      <c r="B4093" s="4" t="n">
        <v>13498</v>
      </c>
      <c r="C4093" s="4" t="n">
        <v>1029</v>
      </c>
      <c r="D4093" s="4" t="n">
        <v>311.2725</v>
      </c>
      <c r="E4093" s="5" t="n">
        <v>43.4</v>
      </c>
      <c r="F4093" s="3" t="inlineStr">
        <is>
          <t>남이면</t>
        </is>
      </c>
      <c r="G4093" s="3" t="inlineStr">
        <is>
          <t>팔봉리</t>
        </is>
      </c>
      <c r="H4093" s="3" t="inlineStr">
        <is>
          <t>자연녹지지역</t>
        </is>
      </c>
      <c r="I4093" s="3" t="inlineStr">
        <is>
          <t>답</t>
        </is>
      </c>
      <c r="J4093" s="3" t="inlineStr">
        <is>
          <t>남이면</t>
        </is>
      </c>
    </row>
    <row r="4094">
      <c r="A4094" s="3" t="n">
        <v>2023</v>
      </c>
      <c r="B4094" s="4" t="n">
        <v>1902</v>
      </c>
      <c r="C4094" s="4" t="n">
        <v>145</v>
      </c>
      <c r="D4094" s="4" t="n">
        <v>43.8625</v>
      </c>
      <c r="E4094" s="5" t="n">
        <v>43.4</v>
      </c>
      <c r="F4094" s="3" t="inlineStr">
        <is>
          <t>남이면</t>
        </is>
      </c>
      <c r="G4094" s="3" t="inlineStr">
        <is>
          <t>팔봉리</t>
        </is>
      </c>
      <c r="H4094" s="3" t="inlineStr">
        <is>
          <t>자연녹지지역</t>
        </is>
      </c>
      <c r="I4094" s="3" t="inlineStr">
        <is>
          <t>답</t>
        </is>
      </c>
      <c r="J4094" s="3" t="inlineStr">
        <is>
          <t>남이면</t>
        </is>
      </c>
    </row>
    <row r="4095">
      <c r="A4095" s="3" t="n">
        <v>2023</v>
      </c>
      <c r="B4095" s="4" t="n">
        <v>12318</v>
      </c>
      <c r="C4095" s="4" t="n">
        <v>939</v>
      </c>
      <c r="D4095" s="4" t="n">
        <v>284.0475</v>
      </c>
      <c r="E4095" s="5" t="n">
        <v>43.4</v>
      </c>
      <c r="F4095" s="3" t="inlineStr">
        <is>
          <t>남이면</t>
        </is>
      </c>
      <c r="G4095" s="3" t="inlineStr">
        <is>
          <t>팔봉리</t>
        </is>
      </c>
      <c r="H4095" s="3" t="inlineStr">
        <is>
          <t>자연녹지지역</t>
        </is>
      </c>
      <c r="I4095" s="3" t="inlineStr">
        <is>
          <t>답</t>
        </is>
      </c>
      <c r="J4095" s="3" t="inlineStr">
        <is>
          <t>남이면</t>
        </is>
      </c>
    </row>
    <row r="4096">
      <c r="A4096" s="3" t="n">
        <v>2023</v>
      </c>
      <c r="B4096" s="4" t="n">
        <v>22000</v>
      </c>
      <c r="C4096" s="4" t="n">
        <v>2017</v>
      </c>
      <c r="D4096" s="4" t="n">
        <v>610.1424999999999</v>
      </c>
      <c r="E4096" s="5" t="n">
        <v>36.1</v>
      </c>
      <c r="F4096" s="3" t="inlineStr">
        <is>
          <t>남이면</t>
        </is>
      </c>
      <c r="G4096" s="3" t="inlineStr">
        <is>
          <t>석실리</t>
        </is>
      </c>
      <c r="H4096" s="3" t="inlineStr">
        <is>
          <t>자연녹지지역</t>
        </is>
      </c>
      <c r="I4096" s="3" t="inlineStr">
        <is>
          <t>답</t>
        </is>
      </c>
      <c r="J4096" s="3" t="inlineStr">
        <is>
          <t>남이면</t>
        </is>
      </c>
    </row>
    <row r="4097">
      <c r="A4097" s="3" t="n">
        <v>2023</v>
      </c>
      <c r="B4097" s="4" t="n">
        <v>1000</v>
      </c>
      <c r="C4097" s="4" t="n">
        <v>84</v>
      </c>
      <c r="D4097" s="4" t="n">
        <v>25.41</v>
      </c>
      <c r="E4097" s="5" t="n">
        <v>39.4</v>
      </c>
      <c r="F4097" s="3" t="inlineStr">
        <is>
          <t>남이면</t>
        </is>
      </c>
      <c r="G4097" s="3" t="inlineStr">
        <is>
          <t>수대리</t>
        </is>
      </c>
      <c r="H4097" s="3" t="inlineStr">
        <is>
          <t>자연녹지지역</t>
        </is>
      </c>
      <c r="I4097" s="3" t="inlineStr">
        <is>
          <t>답</t>
        </is>
      </c>
      <c r="J4097" s="3" t="inlineStr">
        <is>
          <t>남이면</t>
        </is>
      </c>
    </row>
    <row r="4098">
      <c r="A4098" s="3" t="n">
        <v>2023</v>
      </c>
      <c r="B4098" s="4" t="n">
        <v>36090</v>
      </c>
      <c r="C4098" s="4" t="n">
        <v>2338</v>
      </c>
      <c r="D4098" s="4" t="n">
        <v>707.245</v>
      </c>
      <c r="E4098" s="5" t="n">
        <v>51</v>
      </c>
      <c r="F4098" s="3" t="inlineStr">
        <is>
          <t>남이면</t>
        </is>
      </c>
      <c r="G4098" s="3" t="inlineStr">
        <is>
          <t>부용외천리</t>
        </is>
      </c>
      <c r="H4098" s="3" t="inlineStr">
        <is>
          <t>계획관리지역</t>
        </is>
      </c>
      <c r="I4098" s="3" t="inlineStr">
        <is>
          <t>답</t>
        </is>
      </c>
      <c r="J4098" s="3" t="inlineStr">
        <is>
          <t>남이면</t>
        </is>
      </c>
    </row>
    <row r="4099">
      <c r="A4099" s="3" t="n">
        <v>2023</v>
      </c>
      <c r="B4099" s="4" t="n">
        <v>10540</v>
      </c>
      <c r="C4099" s="4" t="n">
        <v>683</v>
      </c>
      <c r="D4099" s="4" t="n">
        <v>206.6075</v>
      </c>
      <c r="E4099" s="5" t="n">
        <v>51</v>
      </c>
      <c r="F4099" s="3" t="inlineStr">
        <is>
          <t>남이면</t>
        </is>
      </c>
      <c r="G4099" s="3" t="inlineStr">
        <is>
          <t>부용외천리</t>
        </is>
      </c>
      <c r="H4099" s="3" t="inlineStr">
        <is>
          <t>계획관리지역</t>
        </is>
      </c>
      <c r="I4099" s="3" t="inlineStr">
        <is>
          <t>전</t>
        </is>
      </c>
      <c r="J4099" s="3" t="inlineStr">
        <is>
          <t>남이면</t>
        </is>
      </c>
    </row>
    <row r="4100">
      <c r="A4100" s="3" t="n">
        <v>2023</v>
      </c>
      <c r="B4100" s="4" t="n">
        <v>11500</v>
      </c>
      <c r="C4100" s="4" t="n">
        <v>274</v>
      </c>
      <c r="D4100" s="4" t="n">
        <v>82.88499999999999</v>
      </c>
      <c r="E4100" s="5" t="n">
        <v>138.7</v>
      </c>
      <c r="F4100" s="3" t="inlineStr">
        <is>
          <t>남이면</t>
        </is>
      </c>
      <c r="G4100" s="3" t="inlineStr">
        <is>
          <t>부용외천리</t>
        </is>
      </c>
      <c r="H4100" s="3" t="inlineStr">
        <is>
          <t>계획관리지역</t>
        </is>
      </c>
      <c r="I4100" s="3" t="inlineStr">
        <is>
          <t>대</t>
        </is>
      </c>
      <c r="J4100" s="3" t="inlineStr">
        <is>
          <t>남이면</t>
        </is>
      </c>
    </row>
    <row r="4101">
      <c r="A4101" s="3" t="n">
        <v>2023</v>
      </c>
      <c r="B4101" s="4" t="n">
        <v>57700</v>
      </c>
      <c r="C4101" s="4" t="n">
        <v>1375</v>
      </c>
      <c r="D4101" s="4" t="n">
        <v>415.9375</v>
      </c>
      <c r="E4101" s="5" t="n">
        <v>138.7</v>
      </c>
      <c r="F4101" s="3" t="inlineStr">
        <is>
          <t>남이면</t>
        </is>
      </c>
      <c r="G4101" s="3" t="inlineStr">
        <is>
          <t>부용외천리</t>
        </is>
      </c>
      <c r="H4101" s="3" t="inlineStr">
        <is>
          <t>계획관리지역</t>
        </is>
      </c>
      <c r="I4101" s="3" t="inlineStr">
        <is>
          <t>대</t>
        </is>
      </c>
      <c r="J4101" s="3" t="inlineStr">
        <is>
          <t>남이면</t>
        </is>
      </c>
    </row>
    <row r="4102">
      <c r="A4102" s="3" t="n">
        <v>2023</v>
      </c>
      <c r="B4102" s="4" t="n">
        <v>55490</v>
      </c>
      <c r="C4102" s="4" t="n">
        <v>1456</v>
      </c>
      <c r="D4102" s="4" t="n">
        <v>440.44</v>
      </c>
      <c r="E4102" s="5" t="n">
        <v>126</v>
      </c>
      <c r="F4102" s="3" t="inlineStr">
        <is>
          <t>남이면</t>
        </is>
      </c>
      <c r="G4102" s="3" t="inlineStr">
        <is>
          <t>부용외천리</t>
        </is>
      </c>
      <c r="H4102" s="3" t="inlineStr">
        <is>
          <t>계획관리지역</t>
        </is>
      </c>
      <c r="I4102" s="3" t="inlineStr">
        <is>
          <t>임야</t>
        </is>
      </c>
      <c r="J4102" s="3" t="inlineStr">
        <is>
          <t>남이면</t>
        </is>
      </c>
    </row>
    <row r="4103">
      <c r="A4103" s="3" t="n">
        <v>2023</v>
      </c>
      <c r="B4103" s="4" t="n">
        <v>17900</v>
      </c>
      <c r="C4103" s="4" t="n">
        <v>1075</v>
      </c>
      <c r="D4103" s="4" t="n">
        <v>325.1875</v>
      </c>
      <c r="E4103" s="5" t="n">
        <v>55</v>
      </c>
      <c r="F4103" s="3" t="inlineStr">
        <is>
          <t>남이면</t>
        </is>
      </c>
      <c r="G4103" s="3" t="inlineStr">
        <is>
          <t>수대리</t>
        </is>
      </c>
      <c r="H4103" s="3" t="inlineStr">
        <is>
          <t>자연녹지지역</t>
        </is>
      </c>
      <c r="I4103" s="3" t="inlineStr">
        <is>
          <t>답</t>
        </is>
      </c>
      <c r="J4103" s="3" t="inlineStr">
        <is>
          <t>남이면</t>
        </is>
      </c>
    </row>
    <row r="4104">
      <c r="A4104" s="3" t="n">
        <v>2023</v>
      </c>
      <c r="B4104" s="4" t="n">
        <v>24600</v>
      </c>
      <c r="C4104" s="4" t="n">
        <v>876</v>
      </c>
      <c r="D4104" s="4" t="n">
        <v>264.99</v>
      </c>
      <c r="E4104" s="5" t="n">
        <v>92.8</v>
      </c>
      <c r="F4104" s="3" t="inlineStr">
        <is>
          <t>남이면</t>
        </is>
      </c>
      <c r="G4104" s="3" t="inlineStr">
        <is>
          <t>양촌리</t>
        </is>
      </c>
      <c r="H4104" s="3" t="inlineStr">
        <is>
          <t>자연녹지지역</t>
        </is>
      </c>
      <c r="I4104" s="3" t="inlineStr">
        <is>
          <t>전</t>
        </is>
      </c>
      <c r="J4104" s="3" t="inlineStr">
        <is>
          <t>남이면</t>
        </is>
      </c>
    </row>
    <row r="4105">
      <c r="A4105" s="3" t="n">
        <v>2023</v>
      </c>
      <c r="B4105" s="4" t="n">
        <v>19000</v>
      </c>
      <c r="C4105" s="4" t="n">
        <v>242</v>
      </c>
      <c r="D4105" s="4" t="n">
        <v>73.205</v>
      </c>
      <c r="E4105" s="5" t="n">
        <v>259.5</v>
      </c>
      <c r="F4105" s="3" t="inlineStr">
        <is>
          <t>남이면</t>
        </is>
      </c>
      <c r="G4105" s="3" t="inlineStr">
        <is>
          <t>석판리</t>
        </is>
      </c>
      <c r="H4105" s="3" t="inlineStr">
        <is>
          <t>자연녹지지역</t>
        </is>
      </c>
      <c r="I4105" s="3" t="inlineStr">
        <is>
          <t>전</t>
        </is>
      </c>
      <c r="J4105" s="3" t="inlineStr">
        <is>
          <t>남이면</t>
        </is>
      </c>
    </row>
    <row r="4106">
      <c r="A4106" s="3" t="n">
        <v>2026</v>
      </c>
      <c r="B4106" s="4" t="n">
        <v>9000</v>
      </c>
      <c r="C4106" s="4" t="n">
        <v>804.8</v>
      </c>
      <c r="D4106" s="4" t="n">
        <v>243.452</v>
      </c>
      <c r="E4106" s="5" t="n">
        <v>37</v>
      </c>
      <c r="F4106" s="3" t="inlineStr">
        <is>
          <t>연동면</t>
        </is>
      </c>
      <c r="G4106" s="3" t="inlineStr">
        <is>
          <t>예양리</t>
        </is>
      </c>
      <c r="H4106" s="3" t="inlineStr">
        <is>
          <t>농림지역</t>
        </is>
      </c>
      <c r="I4106" s="3" t="inlineStr">
        <is>
          <t>답</t>
        </is>
      </c>
      <c r="J4106" s="3" t="inlineStr">
        <is>
          <t>연동면</t>
        </is>
      </c>
    </row>
    <row r="4107">
      <c r="A4107" s="3" t="n">
        <v>2026</v>
      </c>
      <c r="B4107" s="4" t="n">
        <v>7000</v>
      </c>
      <c r="C4107" s="4" t="n">
        <v>535</v>
      </c>
      <c r="D4107" s="4" t="n">
        <v>161.8375</v>
      </c>
      <c r="E4107" s="5" t="n">
        <v>43.3</v>
      </c>
      <c r="F4107" s="3" t="inlineStr">
        <is>
          <t>조치원읍</t>
        </is>
      </c>
      <c r="G4107" s="3" t="inlineStr">
        <is>
          <t>신안리</t>
        </is>
      </c>
      <c r="H4107" s="3" t="inlineStr">
        <is>
          <t>보전녹지지역</t>
        </is>
      </c>
      <c r="I4107" s="3" t="inlineStr">
        <is>
          <t>임야</t>
        </is>
      </c>
      <c r="J4107" s="3" t="inlineStr">
        <is>
          <t>조치원읍</t>
        </is>
      </c>
    </row>
    <row r="4108">
      <c r="A4108" s="3" t="n">
        <v>2026</v>
      </c>
      <c r="B4108" s="4" t="n">
        <v>2000</v>
      </c>
      <c r="C4108" s="4" t="n">
        <v>288</v>
      </c>
      <c r="D4108" s="4" t="n">
        <v>87.12</v>
      </c>
      <c r="E4108" s="5" t="n">
        <v>23</v>
      </c>
      <c r="F4108" s="3" t="inlineStr">
        <is>
          <t>조치원읍</t>
        </is>
      </c>
      <c r="G4108" s="3" t="inlineStr">
        <is>
          <t>죽림리</t>
        </is>
      </c>
      <c r="H4108" s="3" t="inlineStr">
        <is>
          <t>제2종일반주거지역</t>
        </is>
      </c>
      <c r="I4108" s="3" t="inlineStr">
        <is>
          <t>답</t>
        </is>
      </c>
      <c r="J4108" s="3" t="inlineStr">
        <is>
          <t>조치원읍</t>
        </is>
      </c>
    </row>
    <row r="4109">
      <c r="A4109" s="3" t="n">
        <v>2026</v>
      </c>
      <c r="B4109" s="4" t="n">
        <v>8850</v>
      </c>
      <c r="C4109" s="4" t="n">
        <v>489</v>
      </c>
      <c r="D4109" s="4" t="n">
        <v>147.9225</v>
      </c>
      <c r="E4109" s="5" t="n">
        <v>59.8</v>
      </c>
      <c r="F4109" s="3" t="inlineStr">
        <is>
          <t>연서면</t>
        </is>
      </c>
      <c r="G4109" s="3" t="inlineStr">
        <is>
          <t>청라리</t>
        </is>
      </c>
      <c r="H4109" s="3" t="inlineStr">
        <is>
          <t>생산관리지역</t>
        </is>
      </c>
      <c r="I4109" s="3" t="inlineStr">
        <is>
          <t>전</t>
        </is>
      </c>
      <c r="J4109" s="3" t="inlineStr">
        <is>
          <t>연서면</t>
        </is>
      </c>
    </row>
    <row r="4110">
      <c r="A4110" s="3" t="n">
        <v>2026</v>
      </c>
      <c r="B4110" s="4" t="n">
        <v>9500</v>
      </c>
      <c r="C4110" s="4" t="n">
        <v>169</v>
      </c>
      <c r="D4110" s="4" t="n">
        <v>51.1225</v>
      </c>
      <c r="E4110" s="5" t="n">
        <v>185.8</v>
      </c>
      <c r="F4110" s="3" t="inlineStr">
        <is>
          <t>연동면</t>
        </is>
      </c>
      <c r="G4110" s="3" t="inlineStr">
        <is>
          <t>내판리</t>
        </is>
      </c>
      <c r="H4110" s="3" t="inlineStr">
        <is>
          <t>계획관리지역</t>
        </is>
      </c>
      <c r="I4110" s="3" t="inlineStr">
        <is>
          <t>임야</t>
        </is>
      </c>
      <c r="J4110" s="3" t="inlineStr">
        <is>
          <t>연동면</t>
        </is>
      </c>
    </row>
    <row r="4111">
      <c r="A4111" s="3" t="n">
        <v>2026</v>
      </c>
      <c r="B4111" s="4" t="n">
        <v>67000</v>
      </c>
      <c r="C4111" s="4" t="n">
        <v>316.4</v>
      </c>
      <c r="D4111" s="4" t="n">
        <v>95.71099999999998</v>
      </c>
      <c r="E4111" s="5" t="n">
        <v>700</v>
      </c>
      <c r="F4111" s="3" t="inlineStr">
        <is>
          <t>도담동</t>
        </is>
      </c>
      <c r="G4111" s="3" t="inlineStr"/>
      <c r="H4111" s="3" t="inlineStr">
        <is>
          <t>제1종전용주거지역</t>
        </is>
      </c>
      <c r="I4111" s="3" t="inlineStr">
        <is>
          <t>대</t>
        </is>
      </c>
      <c r="J4111" s="3" t="inlineStr">
        <is>
          <t>도담동</t>
        </is>
      </c>
    </row>
    <row r="4112">
      <c r="A4112" s="3" t="n">
        <v>2026</v>
      </c>
      <c r="B4112" s="4" t="n">
        <v>30000</v>
      </c>
      <c r="C4112" s="4" t="n">
        <v>288</v>
      </c>
      <c r="D4112" s="4" t="n">
        <v>87.12</v>
      </c>
      <c r="E4112" s="5" t="n">
        <v>344.4</v>
      </c>
      <c r="F4112" s="3" t="inlineStr">
        <is>
          <t>조치원읍</t>
        </is>
      </c>
      <c r="G4112" s="3" t="inlineStr">
        <is>
          <t>죽림리</t>
        </is>
      </c>
      <c r="H4112" s="3" t="inlineStr">
        <is>
          <t>제2종일반주거지역</t>
        </is>
      </c>
      <c r="I4112" s="3" t="inlineStr">
        <is>
          <t>답</t>
        </is>
      </c>
      <c r="J4112" s="3" t="inlineStr">
        <is>
          <t>조치원읍</t>
        </is>
      </c>
    </row>
    <row r="4113">
      <c r="A4113" s="3" t="n">
        <v>2026</v>
      </c>
      <c r="B4113" s="4" t="n">
        <v>30000</v>
      </c>
      <c r="C4113" s="4" t="n">
        <v>288</v>
      </c>
      <c r="D4113" s="4" t="n">
        <v>87.12</v>
      </c>
      <c r="E4113" s="5" t="n">
        <v>344.4</v>
      </c>
      <c r="F4113" s="3" t="inlineStr">
        <is>
          <t>조치원읍</t>
        </is>
      </c>
      <c r="G4113" s="3" t="inlineStr">
        <is>
          <t>죽림리</t>
        </is>
      </c>
      <c r="H4113" s="3" t="inlineStr">
        <is>
          <t>제2종일반주거지역</t>
        </is>
      </c>
      <c r="I4113" s="3" t="inlineStr">
        <is>
          <t>답</t>
        </is>
      </c>
      <c r="J4113" s="3" t="inlineStr">
        <is>
          <t>조치원읍</t>
        </is>
      </c>
    </row>
    <row r="4114">
      <c r="A4114" s="3" t="n">
        <v>2026</v>
      </c>
      <c r="B4114" s="4" t="n">
        <v>60000</v>
      </c>
      <c r="C4114" s="4" t="n">
        <v>596</v>
      </c>
      <c r="D4114" s="4" t="n">
        <v>180.29</v>
      </c>
      <c r="E4114" s="5" t="n">
        <v>332.8</v>
      </c>
      <c r="F4114" s="3" t="inlineStr">
        <is>
          <t>연서면</t>
        </is>
      </c>
      <c r="G4114" s="3" t="inlineStr">
        <is>
          <t>월하리</t>
        </is>
      </c>
      <c r="H4114" s="3" t="inlineStr">
        <is>
          <t>자연녹지지역</t>
        </is>
      </c>
      <c r="I4114" s="3" t="inlineStr">
        <is>
          <t>전</t>
        </is>
      </c>
      <c r="J4114" s="3" t="inlineStr">
        <is>
          <t>연서면</t>
        </is>
      </c>
    </row>
    <row r="4115">
      <c r="A4115" s="3" t="n">
        <v>2026</v>
      </c>
      <c r="B4115" s="4" t="n">
        <v>15000</v>
      </c>
      <c r="C4115" s="4" t="n">
        <v>873</v>
      </c>
      <c r="D4115" s="4" t="n">
        <v>264.0825</v>
      </c>
      <c r="E4115" s="5" t="n">
        <v>56.8</v>
      </c>
      <c r="F4115" s="3" t="inlineStr">
        <is>
          <t>연서면</t>
        </is>
      </c>
      <c r="G4115" s="3" t="inlineStr">
        <is>
          <t>국촌리</t>
        </is>
      </c>
      <c r="H4115" s="3" t="inlineStr">
        <is>
          <t>계획관리지역</t>
        </is>
      </c>
      <c r="I4115" s="3" t="inlineStr">
        <is>
          <t>과수원</t>
        </is>
      </c>
      <c r="J4115" s="3" t="inlineStr">
        <is>
          <t>연서면</t>
        </is>
      </c>
    </row>
    <row r="4116">
      <c r="A4116" s="3" t="n">
        <v>2025</v>
      </c>
      <c r="B4116" s="4" t="n">
        <v>163056</v>
      </c>
      <c r="C4116" s="4" t="n">
        <v>6626.3</v>
      </c>
      <c r="D4116" s="4" t="n">
        <v>2004.45575</v>
      </c>
      <c r="E4116" s="5" t="n">
        <v>81.3</v>
      </c>
      <c r="F4116" s="3" t="inlineStr">
        <is>
          <t>오송읍</t>
        </is>
      </c>
      <c r="G4116" s="3" t="inlineStr">
        <is>
          <t>연제리</t>
        </is>
      </c>
      <c r="H4116" s="3" t="inlineStr">
        <is>
          <t>준공업지역</t>
        </is>
      </c>
      <c r="I4116" s="3" t="inlineStr">
        <is>
          <t>대</t>
        </is>
      </c>
      <c r="J4116" s="3" t="inlineStr">
        <is>
          <t>오송읍</t>
        </is>
      </c>
    </row>
    <row r="4117">
      <c r="A4117" s="3" t="n">
        <v>2025</v>
      </c>
      <c r="B4117" s="4" t="n">
        <v>21000</v>
      </c>
      <c r="C4117" s="4" t="n">
        <v>545</v>
      </c>
      <c r="D4117" s="4" t="n">
        <v>164.8625</v>
      </c>
      <c r="E4117" s="5" t="n">
        <v>127.4</v>
      </c>
      <c r="F4117" s="3" t="inlineStr">
        <is>
          <t>강내면</t>
        </is>
      </c>
      <c r="G4117" s="3" t="inlineStr">
        <is>
          <t>사곡리</t>
        </is>
      </c>
      <c r="H4117" s="3" t="inlineStr">
        <is>
          <t>계획관리지역</t>
        </is>
      </c>
      <c r="I4117" s="3" t="inlineStr">
        <is>
          <t>임야</t>
        </is>
      </c>
      <c r="J4117" s="3" t="inlineStr">
        <is>
          <t>강내면</t>
        </is>
      </c>
    </row>
    <row r="4118">
      <c r="A4118" s="3" t="n">
        <v>2025</v>
      </c>
      <c r="B4118" s="4" t="n">
        <v>82626</v>
      </c>
      <c r="C4118" s="4" t="n">
        <v>1630</v>
      </c>
      <c r="D4118" s="4" t="n">
        <v>493.075</v>
      </c>
      <c r="E4118" s="5" t="n">
        <v>167.6</v>
      </c>
      <c r="F4118" s="3" t="inlineStr">
        <is>
          <t>오송읍</t>
        </is>
      </c>
      <c r="G4118" s="3" t="inlineStr">
        <is>
          <t>봉산리</t>
        </is>
      </c>
      <c r="H4118" s="3" t="inlineStr">
        <is>
          <t>계획관리지역</t>
        </is>
      </c>
      <c r="I4118" s="3" t="inlineStr">
        <is>
          <t>철도용지</t>
        </is>
      </c>
      <c r="J4118" s="3" t="inlineStr">
        <is>
          <t>오송읍</t>
        </is>
      </c>
    </row>
    <row r="4119">
      <c r="A4119" s="3" t="n">
        <v>2025</v>
      </c>
      <c r="B4119" s="4" t="n">
        <v>30636</v>
      </c>
      <c r="C4119" s="4" t="n">
        <v>273.8</v>
      </c>
      <c r="D4119" s="4" t="n">
        <v>82.8245</v>
      </c>
      <c r="E4119" s="5" t="n">
        <v>369.9</v>
      </c>
      <c r="F4119" s="3" t="inlineStr">
        <is>
          <t>오송읍</t>
        </is>
      </c>
      <c r="G4119" s="3" t="inlineStr">
        <is>
          <t>봉산리</t>
        </is>
      </c>
      <c r="H4119" s="3" t="inlineStr">
        <is>
          <t>제1종일반주거지역</t>
        </is>
      </c>
      <c r="I4119" s="3" t="inlineStr">
        <is>
          <t>대</t>
        </is>
      </c>
      <c r="J4119" s="3" t="inlineStr">
        <is>
          <t>오송읍</t>
        </is>
      </c>
    </row>
    <row r="4120">
      <c r="A4120" s="3" t="n">
        <v>2025</v>
      </c>
      <c r="B4120" s="4" t="n">
        <v>1570</v>
      </c>
      <c r="C4120" s="4" t="n">
        <v>103</v>
      </c>
      <c r="D4120" s="4" t="n">
        <v>31.1575</v>
      </c>
      <c r="E4120" s="5" t="n">
        <v>50.4</v>
      </c>
      <c r="F4120" s="3" t="inlineStr">
        <is>
          <t>강내면</t>
        </is>
      </c>
      <c r="G4120" s="3" t="inlineStr">
        <is>
          <t>탑연리</t>
        </is>
      </c>
      <c r="H4120" s="3" t="inlineStr">
        <is>
          <t>자연녹지지역</t>
        </is>
      </c>
      <c r="I4120" s="3" t="inlineStr">
        <is>
          <t>답</t>
        </is>
      </c>
      <c r="J4120" s="3" t="inlineStr">
        <is>
          <t>강내면</t>
        </is>
      </c>
    </row>
    <row r="4121">
      <c r="A4121" s="3" t="n">
        <v>2025</v>
      </c>
      <c r="B4121" s="4" t="n">
        <v>45600</v>
      </c>
      <c r="C4121" s="4" t="n">
        <v>3353</v>
      </c>
      <c r="D4121" s="4" t="n">
        <v>1014.2825</v>
      </c>
      <c r="E4121" s="5" t="n">
        <v>45</v>
      </c>
      <c r="F4121" s="3" t="inlineStr">
        <is>
          <t>강내면</t>
        </is>
      </c>
      <c r="G4121" s="3" t="inlineStr">
        <is>
          <t>월곡리</t>
        </is>
      </c>
      <c r="H4121" s="3" t="inlineStr">
        <is>
          <t>자연녹지지역</t>
        </is>
      </c>
      <c r="I4121" s="3" t="inlineStr">
        <is>
          <t>답</t>
        </is>
      </c>
      <c r="J4121" s="3" t="inlineStr">
        <is>
          <t>강내면</t>
        </is>
      </c>
    </row>
    <row r="4122">
      <c r="A4122" s="3" t="n">
        <v>2024</v>
      </c>
      <c r="B4122" s="4" t="n">
        <v>17050</v>
      </c>
      <c r="C4122" s="4" t="n">
        <v>1741.4</v>
      </c>
      <c r="D4122" s="4" t="n">
        <v>526.7735</v>
      </c>
      <c r="E4122" s="5" t="n">
        <v>32.4</v>
      </c>
      <c r="F4122" s="3" t="inlineStr">
        <is>
          <t>연동면</t>
        </is>
      </c>
      <c r="G4122" s="3" t="inlineStr">
        <is>
          <t>응암리</t>
        </is>
      </c>
      <c r="H4122" s="3" t="inlineStr">
        <is>
          <t>농림지역</t>
        </is>
      </c>
      <c r="I4122" s="3" t="inlineStr">
        <is>
          <t>답</t>
        </is>
      </c>
      <c r="J4122" s="3" t="inlineStr">
        <is>
          <t>연동면</t>
        </is>
      </c>
    </row>
    <row r="4123">
      <c r="A4123" s="3" t="n">
        <v>2024</v>
      </c>
      <c r="B4123" s="4" t="n">
        <v>57907</v>
      </c>
      <c r="C4123" s="4" t="n">
        <v>1679.5</v>
      </c>
      <c r="D4123" s="4" t="n">
        <v>508.04875</v>
      </c>
      <c r="E4123" s="5" t="n">
        <v>114</v>
      </c>
      <c r="F4123" s="3" t="inlineStr">
        <is>
          <t>연동면</t>
        </is>
      </c>
      <c r="G4123" s="3" t="inlineStr">
        <is>
          <t>응암리</t>
        </is>
      </c>
      <c r="H4123" s="3" t="inlineStr">
        <is>
          <t>농림지역</t>
        </is>
      </c>
      <c r="I4123" s="3" t="inlineStr">
        <is>
          <t>답</t>
        </is>
      </c>
      <c r="J4123" s="3" t="inlineStr">
        <is>
          <t>연동면</t>
        </is>
      </c>
    </row>
    <row r="4124">
      <c r="A4124" s="3" t="n">
        <v>2024</v>
      </c>
      <c r="B4124" s="4" t="n">
        <v>22487</v>
      </c>
      <c r="C4124" s="4" t="n">
        <v>660</v>
      </c>
      <c r="D4124" s="4" t="n">
        <v>199.65</v>
      </c>
      <c r="E4124" s="5" t="n">
        <v>112.6</v>
      </c>
      <c r="F4124" s="3" t="inlineStr">
        <is>
          <t>연동면</t>
        </is>
      </c>
      <c r="G4124" s="3" t="inlineStr">
        <is>
          <t>응암리</t>
        </is>
      </c>
      <c r="H4124" s="3" t="inlineStr">
        <is>
          <t>농림지역</t>
        </is>
      </c>
      <c r="I4124" s="3" t="inlineStr">
        <is>
          <t>답</t>
        </is>
      </c>
      <c r="J4124" s="3" t="inlineStr">
        <is>
          <t>연동면</t>
        </is>
      </c>
    </row>
    <row r="4125">
      <c r="A4125" s="3" t="n">
        <v>2024</v>
      </c>
      <c r="B4125" s="4" t="n">
        <v>29606</v>
      </c>
      <c r="C4125" s="4" t="n">
        <v>869.2</v>
      </c>
      <c r="D4125" s="4" t="n">
        <v>262.933</v>
      </c>
      <c r="E4125" s="5" t="n">
        <v>112.6</v>
      </c>
      <c r="F4125" s="3" t="inlineStr">
        <is>
          <t>연동면</t>
        </is>
      </c>
      <c r="G4125" s="3" t="inlineStr">
        <is>
          <t>응암리</t>
        </is>
      </c>
      <c r="H4125" s="3" t="inlineStr">
        <is>
          <t>농림지역</t>
        </is>
      </c>
      <c r="I4125" s="3" t="inlineStr">
        <is>
          <t>답</t>
        </is>
      </c>
      <c r="J4125" s="3" t="inlineStr">
        <is>
          <t>연동면</t>
        </is>
      </c>
    </row>
    <row r="4126">
      <c r="A4126" s="3" t="n">
        <v>2024</v>
      </c>
      <c r="B4126" s="4" t="n">
        <v>172258</v>
      </c>
      <c r="C4126" s="4" t="n">
        <v>476</v>
      </c>
      <c r="D4126" s="4" t="n">
        <v>143.99</v>
      </c>
      <c r="E4126" s="5" t="n">
        <v>1196.3</v>
      </c>
      <c r="F4126" s="3" t="inlineStr">
        <is>
          <t>조치원읍</t>
        </is>
      </c>
      <c r="G4126" s="3" t="inlineStr">
        <is>
          <t>죽림리</t>
        </is>
      </c>
      <c r="H4126" s="3" t="inlineStr">
        <is>
          <t>일반상업지역</t>
        </is>
      </c>
      <c r="I4126" s="3" t="inlineStr">
        <is>
          <t>대</t>
        </is>
      </c>
      <c r="J4126" s="3" t="inlineStr">
        <is>
          <t>조치원읍</t>
        </is>
      </c>
    </row>
    <row r="4127">
      <c r="A4127" s="3" t="n">
        <v>2024</v>
      </c>
      <c r="B4127" s="4" t="n">
        <v>315926</v>
      </c>
      <c r="C4127" s="4" t="n">
        <v>873</v>
      </c>
      <c r="D4127" s="4" t="n">
        <v>264.0825</v>
      </c>
      <c r="E4127" s="5" t="n">
        <v>1196.3</v>
      </c>
      <c r="F4127" s="3" t="inlineStr">
        <is>
          <t>조치원읍</t>
        </is>
      </c>
      <c r="G4127" s="3" t="inlineStr">
        <is>
          <t>죽림리</t>
        </is>
      </c>
      <c r="H4127" s="3" t="inlineStr">
        <is>
          <t>일반상업지역</t>
        </is>
      </c>
      <c r="I4127" s="3" t="inlineStr">
        <is>
          <t>전</t>
        </is>
      </c>
      <c r="J4127" s="3" t="inlineStr">
        <is>
          <t>조치원읍</t>
        </is>
      </c>
    </row>
    <row r="4128">
      <c r="A4128" s="3" t="n">
        <v>2025</v>
      </c>
      <c r="B4128" s="4" t="n">
        <v>51000</v>
      </c>
      <c r="C4128" s="4" t="n">
        <v>306.7</v>
      </c>
      <c r="D4128" s="4" t="n">
        <v>92.77674999999999</v>
      </c>
      <c r="E4128" s="5" t="n">
        <v>549.7</v>
      </c>
      <c r="F4128" s="3" t="inlineStr">
        <is>
          <t>다정동</t>
        </is>
      </c>
      <c r="G4128" s="3" t="inlineStr"/>
      <c r="H4128" s="3" t="inlineStr">
        <is>
          <t>제1종전용주거지역</t>
        </is>
      </c>
      <c r="I4128" s="3" t="inlineStr">
        <is>
          <t>대</t>
        </is>
      </c>
      <c r="J4128" s="3" t="inlineStr">
        <is>
          <t>다정동</t>
        </is>
      </c>
    </row>
    <row r="4129">
      <c r="A4129" s="3" t="n">
        <v>2025</v>
      </c>
      <c r="B4129" s="4" t="n">
        <v>52000</v>
      </c>
      <c r="C4129" s="4" t="n">
        <v>301.8</v>
      </c>
      <c r="D4129" s="4" t="n">
        <v>91.2945</v>
      </c>
      <c r="E4129" s="5" t="n">
        <v>569.6</v>
      </c>
      <c r="F4129" s="3" t="inlineStr">
        <is>
          <t>한솔동</t>
        </is>
      </c>
      <c r="G4129" s="3" t="inlineStr"/>
      <c r="H4129" s="3" t="inlineStr">
        <is>
          <t>제1종전용주거지역</t>
        </is>
      </c>
      <c r="I4129" s="3" t="inlineStr">
        <is>
          <t>대</t>
        </is>
      </c>
      <c r="J4129" s="3" t="inlineStr">
        <is>
          <t>한솔동</t>
        </is>
      </c>
    </row>
    <row r="4130">
      <c r="A4130" s="3" t="n">
        <v>2025</v>
      </c>
      <c r="B4130" s="4" t="n">
        <v>38700</v>
      </c>
      <c r="C4130" s="4" t="n">
        <v>254.3</v>
      </c>
      <c r="D4130" s="4" t="n">
        <v>76.92575000000001</v>
      </c>
      <c r="E4130" s="5" t="n">
        <v>503.1</v>
      </c>
      <c r="F4130" s="3" t="inlineStr">
        <is>
          <t>다정동</t>
        </is>
      </c>
      <c r="G4130" s="3" t="inlineStr"/>
      <c r="H4130" s="3" t="inlineStr">
        <is>
          <t>제1종전용주거지역</t>
        </is>
      </c>
      <c r="I4130" s="3" t="inlineStr">
        <is>
          <t>대</t>
        </is>
      </c>
      <c r="J4130" s="3" t="inlineStr">
        <is>
          <t>다정동</t>
        </is>
      </c>
    </row>
    <row r="4131">
      <c r="A4131" s="3" t="n">
        <v>2025</v>
      </c>
      <c r="B4131" s="4" t="n">
        <v>13600</v>
      </c>
      <c r="C4131" s="4" t="n">
        <v>361</v>
      </c>
      <c r="D4131" s="4" t="n">
        <v>109.2025</v>
      </c>
      <c r="E4131" s="5" t="n">
        <v>124.5</v>
      </c>
      <c r="F4131" s="3" t="inlineStr">
        <is>
          <t>연서면</t>
        </is>
      </c>
      <c r="G4131" s="3" t="inlineStr">
        <is>
          <t>신대리</t>
        </is>
      </c>
      <c r="H4131" s="3" t="inlineStr">
        <is>
          <t>계획관리지역</t>
        </is>
      </c>
      <c r="I4131" s="3" t="inlineStr">
        <is>
          <t>과수원</t>
        </is>
      </c>
      <c r="J4131" s="3" t="inlineStr">
        <is>
          <t>연서면</t>
        </is>
      </c>
    </row>
    <row r="4132">
      <c r="A4132" s="3" t="n">
        <v>2025</v>
      </c>
      <c r="B4132" s="4" t="n">
        <v>38000</v>
      </c>
      <c r="C4132" s="4" t="n">
        <v>157</v>
      </c>
      <c r="D4132" s="4" t="n">
        <v>47.4925</v>
      </c>
      <c r="E4132" s="5" t="n">
        <v>800.1</v>
      </c>
      <c r="F4132" s="3" t="inlineStr">
        <is>
          <t>반곡동</t>
        </is>
      </c>
      <c r="G4132" s="3" t="inlineStr"/>
      <c r="H4132" s="3" t="inlineStr">
        <is>
          <t>제1종전용주거지역</t>
        </is>
      </c>
      <c r="I4132" s="3" t="inlineStr">
        <is>
          <t>대</t>
        </is>
      </c>
      <c r="J4132" s="3" t="inlineStr">
        <is>
          <t>반곡동</t>
        </is>
      </c>
    </row>
    <row r="4133">
      <c r="A4133" s="3" t="n">
        <v>2023</v>
      </c>
      <c r="B4133" s="4" t="n">
        <v>20000</v>
      </c>
      <c r="C4133" s="4" t="n">
        <v>833</v>
      </c>
      <c r="D4133" s="4" t="n">
        <v>251.9825</v>
      </c>
      <c r="E4133" s="5" t="n">
        <v>79.40000000000001</v>
      </c>
      <c r="F4133" s="3" t="inlineStr">
        <is>
          <t>연서면</t>
        </is>
      </c>
      <c r="G4133" s="3" t="inlineStr">
        <is>
          <t>청라리</t>
        </is>
      </c>
      <c r="H4133" s="3" t="inlineStr">
        <is>
          <t>생산관리지역</t>
        </is>
      </c>
      <c r="I4133" s="3" t="inlineStr">
        <is>
          <t>과수원</t>
        </is>
      </c>
      <c r="J4133" s="3" t="inlineStr">
        <is>
          <t>연서면</t>
        </is>
      </c>
    </row>
    <row r="4134">
      <c r="A4134" s="3" t="n">
        <v>2022</v>
      </c>
      <c r="B4134" s="4" t="n">
        <v>5720</v>
      </c>
      <c r="C4134" s="4" t="n">
        <v>147</v>
      </c>
      <c r="D4134" s="4" t="n">
        <v>44.4675</v>
      </c>
      <c r="E4134" s="5" t="n">
        <v>128.6</v>
      </c>
      <c r="F4134" s="3" t="inlineStr">
        <is>
          <t>연서면</t>
        </is>
      </c>
      <c r="G4134" s="3" t="inlineStr">
        <is>
          <t>신대리</t>
        </is>
      </c>
      <c r="H4134" s="3" t="inlineStr">
        <is>
          <t>계획관리지역</t>
        </is>
      </c>
      <c r="I4134" s="3" t="inlineStr">
        <is>
          <t>전</t>
        </is>
      </c>
      <c r="J4134" s="3" t="inlineStr">
        <is>
          <t>연서면</t>
        </is>
      </c>
    </row>
    <row r="4135">
      <c r="A4135" s="3" t="n">
        <v>2022</v>
      </c>
      <c r="B4135" s="4" t="n">
        <v>18000</v>
      </c>
      <c r="C4135" s="4" t="n">
        <v>472</v>
      </c>
      <c r="D4135" s="4" t="n">
        <v>142.78</v>
      </c>
      <c r="E4135" s="5" t="n">
        <v>126.1</v>
      </c>
      <c r="F4135" s="3" t="inlineStr">
        <is>
          <t>부강면</t>
        </is>
      </c>
      <c r="G4135" s="3" t="inlineStr">
        <is>
          <t>금호리</t>
        </is>
      </c>
      <c r="H4135" s="3" t="inlineStr">
        <is>
          <t>계획관리지역</t>
        </is>
      </c>
      <c r="I4135" s="3" t="inlineStr">
        <is>
          <t>답</t>
        </is>
      </c>
      <c r="J4135" s="3" t="inlineStr">
        <is>
          <t>부강면</t>
        </is>
      </c>
    </row>
    <row r="4136">
      <c r="A4136" s="3" t="n">
        <v>2022</v>
      </c>
      <c r="B4136" s="4" t="n">
        <v>18500</v>
      </c>
      <c r="C4136" s="4" t="n">
        <v>480</v>
      </c>
      <c r="D4136" s="4" t="n">
        <v>145.2</v>
      </c>
      <c r="E4136" s="5" t="n">
        <v>127.4</v>
      </c>
      <c r="F4136" s="3" t="inlineStr">
        <is>
          <t>부강면</t>
        </is>
      </c>
      <c r="G4136" s="3" t="inlineStr">
        <is>
          <t>금호리</t>
        </is>
      </c>
      <c r="H4136" s="3" t="inlineStr">
        <is>
          <t>계획관리지역</t>
        </is>
      </c>
      <c r="I4136" s="3" t="inlineStr">
        <is>
          <t>답</t>
        </is>
      </c>
      <c r="J4136" s="3" t="inlineStr">
        <is>
          <t>부강면</t>
        </is>
      </c>
    </row>
    <row r="4137">
      <c r="A4137" s="3" t="n">
        <v>2022</v>
      </c>
      <c r="B4137" s="4" t="n">
        <v>1820</v>
      </c>
      <c r="C4137" s="4" t="n">
        <v>301</v>
      </c>
      <c r="D4137" s="4" t="n">
        <v>91.05249999999999</v>
      </c>
      <c r="E4137" s="5" t="n">
        <v>20</v>
      </c>
      <c r="F4137" s="3" t="inlineStr">
        <is>
          <t>부강면</t>
        </is>
      </c>
      <c r="G4137" s="3" t="inlineStr">
        <is>
          <t>등곡리</t>
        </is>
      </c>
      <c r="H4137" s="3" t="inlineStr">
        <is>
          <t>계획관리지역</t>
        </is>
      </c>
      <c r="I4137" s="3" t="inlineStr">
        <is>
          <t>도로</t>
        </is>
      </c>
      <c r="J4137" s="3" t="inlineStr">
        <is>
          <t>부강면</t>
        </is>
      </c>
    </row>
    <row r="4138">
      <c r="A4138" s="3" t="n">
        <v>2025</v>
      </c>
      <c r="B4138" s="4" t="n">
        <v>6700</v>
      </c>
      <c r="C4138" s="4" t="n">
        <v>445</v>
      </c>
      <c r="D4138" s="4" t="n">
        <v>134.6125</v>
      </c>
      <c r="E4138" s="5" t="n">
        <v>49.8</v>
      </c>
      <c r="F4138" s="3" t="inlineStr">
        <is>
          <t>부강면</t>
        </is>
      </c>
      <c r="G4138" s="3" t="inlineStr">
        <is>
          <t>갈산리</t>
        </is>
      </c>
      <c r="H4138" s="3" t="inlineStr">
        <is>
          <t>계획관리지역</t>
        </is>
      </c>
      <c r="I4138" s="3" t="inlineStr">
        <is>
          <t>전</t>
        </is>
      </c>
      <c r="J4138" s="3" t="inlineStr">
        <is>
          <t>부강면</t>
        </is>
      </c>
    </row>
    <row r="4139">
      <c r="A4139" s="3" t="n">
        <v>2025</v>
      </c>
      <c r="B4139" s="4" t="n">
        <v>5631</v>
      </c>
      <c r="C4139" s="4" t="n">
        <v>374</v>
      </c>
      <c r="D4139" s="4" t="n">
        <v>113.135</v>
      </c>
      <c r="E4139" s="5" t="n">
        <v>49.8</v>
      </c>
      <c r="F4139" s="3" t="inlineStr">
        <is>
          <t>부강면</t>
        </is>
      </c>
      <c r="G4139" s="3" t="inlineStr">
        <is>
          <t>갈산리</t>
        </is>
      </c>
      <c r="H4139" s="3" t="inlineStr">
        <is>
          <t>계획관리지역</t>
        </is>
      </c>
      <c r="I4139" s="3" t="inlineStr">
        <is>
          <t>전</t>
        </is>
      </c>
      <c r="J4139" s="3" t="inlineStr">
        <is>
          <t>부강면</t>
        </is>
      </c>
    </row>
    <row r="4140">
      <c r="A4140" s="3" t="n">
        <v>2025</v>
      </c>
      <c r="B4140" s="4" t="n">
        <v>4713</v>
      </c>
      <c r="C4140" s="4" t="n">
        <v>313</v>
      </c>
      <c r="D4140" s="4" t="n">
        <v>94.68249999999999</v>
      </c>
      <c r="E4140" s="5" t="n">
        <v>49.8</v>
      </c>
      <c r="F4140" s="3" t="inlineStr">
        <is>
          <t>부강면</t>
        </is>
      </c>
      <c r="G4140" s="3" t="inlineStr">
        <is>
          <t>갈산리</t>
        </is>
      </c>
      <c r="H4140" s="3" t="inlineStr">
        <is>
          <t>계획관리지역</t>
        </is>
      </c>
      <c r="I4140" s="3" t="inlineStr">
        <is>
          <t>전</t>
        </is>
      </c>
      <c r="J4140" s="3" t="inlineStr">
        <is>
          <t>부강면</t>
        </is>
      </c>
    </row>
    <row r="4141">
      <c r="A4141" s="3" t="n">
        <v>2025</v>
      </c>
      <c r="B4141" s="4" t="n">
        <v>1127</v>
      </c>
      <c r="C4141" s="4" t="n">
        <v>326</v>
      </c>
      <c r="D4141" s="4" t="n">
        <v>98.61499999999999</v>
      </c>
      <c r="E4141" s="5" t="n">
        <v>11.4</v>
      </c>
      <c r="F4141" s="3" t="inlineStr">
        <is>
          <t>부강면</t>
        </is>
      </c>
      <c r="G4141" s="3" t="inlineStr">
        <is>
          <t>갈산리</t>
        </is>
      </c>
      <c r="H4141" s="3" t="inlineStr">
        <is>
          <t>계획관리지역</t>
        </is>
      </c>
      <c r="I4141" s="3" t="inlineStr">
        <is>
          <t>임야</t>
        </is>
      </c>
      <c r="J4141" s="3" t="inlineStr">
        <is>
          <t>부강면</t>
        </is>
      </c>
    </row>
    <row r="4142">
      <c r="A4142" s="3" t="n">
        <v>2025</v>
      </c>
      <c r="B4142" s="4" t="n">
        <v>5410</v>
      </c>
      <c r="C4142" s="4" t="n">
        <v>1349</v>
      </c>
      <c r="D4142" s="4" t="n">
        <v>408.0725</v>
      </c>
      <c r="E4142" s="5" t="n">
        <v>13.3</v>
      </c>
      <c r="F4142" s="3" t="inlineStr">
        <is>
          <t>부강면</t>
        </is>
      </c>
      <c r="G4142" s="3" t="inlineStr">
        <is>
          <t>갈산리</t>
        </is>
      </c>
      <c r="H4142" s="3" t="inlineStr">
        <is>
          <t>계획관리지역</t>
        </is>
      </c>
      <c r="I4142" s="3" t="inlineStr">
        <is>
          <t>임야</t>
        </is>
      </c>
      <c r="J4142" s="3" t="inlineStr">
        <is>
          <t>부강면</t>
        </is>
      </c>
    </row>
    <row r="4143">
      <c r="A4143" s="3" t="n">
        <v>2025</v>
      </c>
      <c r="B4143" s="4" t="n">
        <v>120000</v>
      </c>
      <c r="C4143" s="4" t="n">
        <v>1210</v>
      </c>
      <c r="D4143" s="4" t="n">
        <v>366.025</v>
      </c>
      <c r="E4143" s="5" t="n">
        <v>327.8</v>
      </c>
      <c r="F4143" s="3" t="inlineStr">
        <is>
          <t>연서면</t>
        </is>
      </c>
      <c r="G4143" s="3" t="inlineStr">
        <is>
          <t>봉암리</t>
        </is>
      </c>
      <c r="H4143" s="3" t="inlineStr">
        <is>
          <t>계획관리지역</t>
        </is>
      </c>
      <c r="I4143" s="3" t="inlineStr">
        <is>
          <t>전</t>
        </is>
      </c>
      <c r="J4143" s="3" t="inlineStr">
        <is>
          <t>연서면</t>
        </is>
      </c>
    </row>
    <row r="4144">
      <c r="A4144" s="3" t="n">
        <v>2025</v>
      </c>
      <c r="B4144" s="4" t="n">
        <v>20000</v>
      </c>
      <c r="C4144" s="4" t="n">
        <v>95</v>
      </c>
      <c r="D4144" s="4" t="n">
        <v>28.7375</v>
      </c>
      <c r="E4144" s="5" t="n">
        <v>696</v>
      </c>
      <c r="F4144" s="3" t="inlineStr">
        <is>
          <t>연서면</t>
        </is>
      </c>
      <c r="G4144" s="3" t="inlineStr">
        <is>
          <t>봉암리</t>
        </is>
      </c>
      <c r="H4144" s="3" t="inlineStr">
        <is>
          <t>계획관리지역</t>
        </is>
      </c>
      <c r="I4144" s="3" t="inlineStr">
        <is>
          <t>전</t>
        </is>
      </c>
      <c r="J4144" s="3" t="inlineStr">
        <is>
          <t>연서면</t>
        </is>
      </c>
    </row>
    <row r="4145">
      <c r="A4145" s="3" t="n">
        <v>2025</v>
      </c>
      <c r="B4145" s="4" t="n">
        <v>3350</v>
      </c>
      <c r="C4145" s="4" t="n">
        <v>107</v>
      </c>
      <c r="D4145" s="4" t="n">
        <v>32.3675</v>
      </c>
      <c r="E4145" s="5" t="n">
        <v>103.5</v>
      </c>
      <c r="F4145" s="3" t="inlineStr">
        <is>
          <t>연동면</t>
        </is>
      </c>
      <c r="G4145" s="3" t="inlineStr">
        <is>
          <t>내판리</t>
        </is>
      </c>
      <c r="H4145" s="3" t="inlineStr">
        <is>
          <t>계획관리지역</t>
        </is>
      </c>
      <c r="I4145" s="3" t="inlineStr">
        <is>
          <t>대</t>
        </is>
      </c>
      <c r="J4145" s="3" t="inlineStr">
        <is>
          <t>연동면</t>
        </is>
      </c>
    </row>
    <row r="4146">
      <c r="A4146" s="3" t="n">
        <v>2025</v>
      </c>
      <c r="B4146" s="4" t="n">
        <v>2847</v>
      </c>
      <c r="C4146" s="4" t="n">
        <v>71</v>
      </c>
      <c r="D4146" s="4" t="n">
        <v>21.4775</v>
      </c>
      <c r="E4146" s="5" t="n">
        <v>132.6</v>
      </c>
      <c r="F4146" s="3" t="inlineStr">
        <is>
          <t>연서면</t>
        </is>
      </c>
      <c r="G4146" s="3" t="inlineStr">
        <is>
          <t>고복리</t>
        </is>
      </c>
      <c r="H4146" s="3" t="inlineStr">
        <is>
          <t>계획관리지역</t>
        </is>
      </c>
      <c r="I4146" s="3" t="inlineStr">
        <is>
          <t>전</t>
        </is>
      </c>
      <c r="J4146" s="3" t="inlineStr">
        <is>
          <t>연서면</t>
        </is>
      </c>
    </row>
    <row r="4147">
      <c r="A4147" s="3" t="n">
        <v>2025</v>
      </c>
      <c r="B4147" s="4" t="n">
        <v>1526</v>
      </c>
      <c r="C4147" s="4" t="n">
        <v>28</v>
      </c>
      <c r="D4147" s="4" t="n">
        <v>8.469999999999999</v>
      </c>
      <c r="E4147" s="5" t="n">
        <v>180.2</v>
      </c>
      <c r="F4147" s="3" t="inlineStr">
        <is>
          <t>연서면</t>
        </is>
      </c>
      <c r="G4147" s="3" t="inlineStr">
        <is>
          <t>고복리</t>
        </is>
      </c>
      <c r="H4147" s="3" t="inlineStr">
        <is>
          <t>계획관리지역</t>
        </is>
      </c>
      <c r="I4147" s="3" t="inlineStr">
        <is>
          <t>대</t>
        </is>
      </c>
      <c r="J4147" s="3" t="inlineStr">
        <is>
          <t>연서면</t>
        </is>
      </c>
    </row>
    <row r="4148">
      <c r="A4148" s="3" t="n">
        <v>2026</v>
      </c>
      <c r="B4148" s="4" t="n">
        <v>28000</v>
      </c>
      <c r="C4148" s="4" t="n">
        <v>1553</v>
      </c>
      <c r="D4148" s="4" t="n">
        <v>469.7825</v>
      </c>
      <c r="E4148" s="5" t="n">
        <v>59.6</v>
      </c>
      <c r="F4148" s="3" t="inlineStr">
        <is>
          <t>부강면</t>
        </is>
      </c>
      <c r="G4148" s="3" t="inlineStr">
        <is>
          <t>행산리</t>
        </is>
      </c>
      <c r="H4148" s="3" t="inlineStr">
        <is>
          <t>계획관리지역</t>
        </is>
      </c>
      <c r="I4148" s="3" t="inlineStr">
        <is>
          <t>답</t>
        </is>
      </c>
      <c r="J4148" s="3" t="inlineStr">
        <is>
          <t>부강면</t>
        </is>
      </c>
    </row>
    <row r="4149">
      <c r="A4149" s="3" t="n">
        <v>2026</v>
      </c>
      <c r="B4149" s="4" t="n">
        <v>2000</v>
      </c>
      <c r="C4149" s="4" t="n">
        <v>200</v>
      </c>
      <c r="D4149" s="4" t="n">
        <v>60.5</v>
      </c>
      <c r="E4149" s="5" t="n">
        <v>33.1</v>
      </c>
      <c r="F4149" s="3" t="inlineStr">
        <is>
          <t>연서면</t>
        </is>
      </c>
      <c r="G4149" s="3" t="inlineStr">
        <is>
          <t>신대리</t>
        </is>
      </c>
      <c r="H4149" s="3" t="inlineStr">
        <is>
          <t>보전관리지역</t>
        </is>
      </c>
      <c r="I4149" s="3" t="inlineStr">
        <is>
          <t>전</t>
        </is>
      </c>
      <c r="J4149" s="3" t="inlineStr">
        <is>
          <t>연서면</t>
        </is>
      </c>
    </row>
    <row r="4150">
      <c r="A4150" s="3" t="n">
        <v>2026</v>
      </c>
      <c r="B4150" s="4" t="n">
        <v>20037</v>
      </c>
      <c r="C4150" s="4" t="n">
        <v>541</v>
      </c>
      <c r="D4150" s="4" t="n">
        <v>163.6525</v>
      </c>
      <c r="E4150" s="5" t="n">
        <v>122.4</v>
      </c>
      <c r="F4150" s="3" t="inlineStr">
        <is>
          <t>부강면</t>
        </is>
      </c>
      <c r="G4150" s="3" t="inlineStr">
        <is>
          <t>부강리</t>
        </is>
      </c>
      <c r="H4150" s="3" t="inlineStr">
        <is>
          <t>자연녹지지역</t>
        </is>
      </c>
      <c r="I4150" s="3" t="inlineStr">
        <is>
          <t>대</t>
        </is>
      </c>
      <c r="J4150" s="3" t="inlineStr">
        <is>
          <t>부강면</t>
        </is>
      </c>
    </row>
    <row r="4151">
      <c r="A4151" s="3" t="n">
        <v>2026</v>
      </c>
      <c r="B4151" s="4" t="n">
        <v>16063</v>
      </c>
      <c r="C4151" s="4" t="n">
        <v>450</v>
      </c>
      <c r="D4151" s="4" t="n">
        <v>136.125</v>
      </c>
      <c r="E4151" s="5" t="n">
        <v>118</v>
      </c>
      <c r="F4151" s="3" t="inlineStr">
        <is>
          <t>부강면</t>
        </is>
      </c>
      <c r="G4151" s="3" t="inlineStr">
        <is>
          <t>부강리</t>
        </is>
      </c>
      <c r="H4151" s="3" t="inlineStr">
        <is>
          <t>자연녹지지역</t>
        </is>
      </c>
      <c r="I4151" s="3" t="inlineStr">
        <is>
          <t>대</t>
        </is>
      </c>
      <c r="J4151" s="3" t="inlineStr">
        <is>
          <t>부강면</t>
        </is>
      </c>
    </row>
    <row r="4152">
      <c r="A4152" s="3" t="n">
        <v>2026</v>
      </c>
      <c r="B4152" s="4" t="n">
        <v>48633</v>
      </c>
      <c r="C4152" s="4" t="n">
        <v>3740.9</v>
      </c>
      <c r="D4152" s="4" t="n">
        <v>1131.62225</v>
      </c>
      <c r="E4152" s="5" t="n">
        <v>43</v>
      </c>
      <c r="F4152" s="3" t="inlineStr">
        <is>
          <t>연동면</t>
        </is>
      </c>
      <c r="G4152" s="3" t="inlineStr">
        <is>
          <t>응암리</t>
        </is>
      </c>
      <c r="H4152" s="3" t="inlineStr">
        <is>
          <t>농림지역</t>
        </is>
      </c>
      <c r="I4152" s="3" t="inlineStr">
        <is>
          <t>답</t>
        </is>
      </c>
      <c r="J4152" s="3" t="inlineStr">
        <is>
          <t>연동면</t>
        </is>
      </c>
    </row>
    <row r="4153">
      <c r="A4153" s="3" t="n">
        <v>2026</v>
      </c>
      <c r="B4153" s="4" t="n">
        <v>229000</v>
      </c>
      <c r="C4153" s="4" t="n">
        <v>2410</v>
      </c>
      <c r="D4153" s="4" t="n">
        <v>729.025</v>
      </c>
      <c r="E4153" s="5" t="n">
        <v>314.1</v>
      </c>
      <c r="F4153" s="3" t="inlineStr">
        <is>
          <t>연동면</t>
        </is>
      </c>
      <c r="G4153" s="3" t="inlineStr">
        <is>
          <t>문주리</t>
        </is>
      </c>
      <c r="H4153" s="3" t="inlineStr">
        <is>
          <t>계획관리지역</t>
        </is>
      </c>
      <c r="I4153" s="3" t="inlineStr">
        <is>
          <t>답</t>
        </is>
      </c>
      <c r="J4153" s="3" t="inlineStr">
        <is>
          <t>연동면</t>
        </is>
      </c>
    </row>
    <row r="4154">
      <c r="A4154" s="3" t="n">
        <v>2025</v>
      </c>
      <c r="B4154" s="4" t="n">
        <v>9350</v>
      </c>
      <c r="C4154" s="4" t="n">
        <v>1031</v>
      </c>
      <c r="D4154" s="4" t="n">
        <v>311.8775</v>
      </c>
      <c r="E4154" s="5" t="n">
        <v>30</v>
      </c>
      <c r="F4154" s="3" t="inlineStr">
        <is>
          <t>남이면</t>
        </is>
      </c>
      <c r="G4154" s="3" t="inlineStr">
        <is>
          <t>부용외천리</t>
        </is>
      </c>
      <c r="H4154" s="3" t="inlineStr">
        <is>
          <t>생산관리지역</t>
        </is>
      </c>
      <c r="I4154" s="3" t="inlineStr">
        <is>
          <t>답</t>
        </is>
      </c>
      <c r="J4154" s="3" t="inlineStr">
        <is>
          <t>남이면</t>
        </is>
      </c>
    </row>
    <row r="4155">
      <c r="A4155" s="3" t="n">
        <v>2023</v>
      </c>
      <c r="B4155" s="4" t="n">
        <v>1050</v>
      </c>
      <c r="C4155" s="4" t="n">
        <v>26</v>
      </c>
      <c r="D4155" s="4" t="n">
        <v>7.865</v>
      </c>
      <c r="E4155" s="5" t="n">
        <v>133.5</v>
      </c>
      <c r="F4155" s="3" t="inlineStr">
        <is>
          <t>오송읍</t>
        </is>
      </c>
      <c r="G4155" s="3" t="inlineStr">
        <is>
          <t>쌍청리</t>
        </is>
      </c>
      <c r="H4155" s="3" t="inlineStr">
        <is>
          <t>계획관리지역</t>
        </is>
      </c>
      <c r="I4155" s="3" t="inlineStr">
        <is>
          <t>구거</t>
        </is>
      </c>
      <c r="J4155" s="3" t="inlineStr">
        <is>
          <t>오송읍</t>
        </is>
      </c>
    </row>
    <row r="4156">
      <c r="A4156" s="3" t="n">
        <v>2023</v>
      </c>
      <c r="B4156" s="4" t="n">
        <v>10500</v>
      </c>
      <c r="C4156" s="4" t="n">
        <v>807</v>
      </c>
      <c r="D4156" s="4" t="n">
        <v>244.1175</v>
      </c>
      <c r="E4156" s="5" t="n">
        <v>43</v>
      </c>
      <c r="F4156" s="3" t="inlineStr">
        <is>
          <t>강내면</t>
        </is>
      </c>
      <c r="G4156" s="3" t="inlineStr">
        <is>
          <t>석화리</t>
        </is>
      </c>
      <c r="H4156" s="3" t="inlineStr">
        <is>
          <t>자연녹지지역</t>
        </is>
      </c>
      <c r="I4156" s="3" t="inlineStr">
        <is>
          <t>전</t>
        </is>
      </c>
      <c r="J4156" s="3" t="inlineStr">
        <is>
          <t>강내면</t>
        </is>
      </c>
    </row>
    <row r="4157">
      <c r="A4157" s="3" t="n">
        <v>2023</v>
      </c>
      <c r="B4157" s="4" t="n">
        <v>5779</v>
      </c>
      <c r="C4157" s="4" t="n">
        <v>252</v>
      </c>
      <c r="D4157" s="4" t="n">
        <v>76.23</v>
      </c>
      <c r="E4157" s="5" t="n">
        <v>75.8</v>
      </c>
      <c r="F4157" s="3" t="inlineStr">
        <is>
          <t>강내면</t>
        </is>
      </c>
      <c r="G4157" s="3" t="inlineStr">
        <is>
          <t>궁현리</t>
        </is>
      </c>
      <c r="H4157" s="3" t="inlineStr">
        <is>
          <t>용도미지정</t>
        </is>
      </c>
      <c r="I4157" s="3" t="inlineStr">
        <is>
          <t>답</t>
        </is>
      </c>
      <c r="J4157" s="3" t="inlineStr">
        <is>
          <t>강내면</t>
        </is>
      </c>
    </row>
    <row r="4158">
      <c r="A4158" s="3" t="n">
        <v>2023</v>
      </c>
      <c r="B4158" s="4" t="n">
        <v>458</v>
      </c>
      <c r="C4158" s="4" t="n">
        <v>20</v>
      </c>
      <c r="D4158" s="4" t="n">
        <v>6.05</v>
      </c>
      <c r="E4158" s="5" t="n">
        <v>75.7</v>
      </c>
      <c r="F4158" s="3" t="inlineStr">
        <is>
          <t>강내면</t>
        </is>
      </c>
      <c r="G4158" s="3" t="inlineStr">
        <is>
          <t>궁현리</t>
        </is>
      </c>
      <c r="H4158" s="3" t="inlineStr">
        <is>
          <t>용도미지정</t>
        </is>
      </c>
      <c r="I4158" s="3" t="inlineStr">
        <is>
          <t>답</t>
        </is>
      </c>
      <c r="J4158" s="3" t="inlineStr">
        <is>
          <t>강내면</t>
        </is>
      </c>
    </row>
    <row r="4159">
      <c r="A4159" s="3" t="n">
        <v>2023</v>
      </c>
      <c r="B4159" s="4" t="n">
        <v>252</v>
      </c>
      <c r="C4159" s="4" t="n">
        <v>11</v>
      </c>
      <c r="D4159" s="4" t="n">
        <v>3.3275</v>
      </c>
      <c r="E4159" s="5" t="n">
        <v>75.7</v>
      </c>
      <c r="F4159" s="3" t="inlineStr">
        <is>
          <t>강내면</t>
        </is>
      </c>
      <c r="G4159" s="3" t="inlineStr">
        <is>
          <t>궁현리</t>
        </is>
      </c>
      <c r="H4159" s="3" t="inlineStr">
        <is>
          <t>용도미지정</t>
        </is>
      </c>
      <c r="I4159" s="3" t="inlineStr">
        <is>
          <t>답</t>
        </is>
      </c>
      <c r="J4159" s="3" t="inlineStr">
        <is>
          <t>강내면</t>
        </is>
      </c>
    </row>
    <row r="4160">
      <c r="A4160" s="3" t="n">
        <v>2023</v>
      </c>
      <c r="B4160" s="4" t="n">
        <v>5985</v>
      </c>
      <c r="C4160" s="4" t="n">
        <v>261</v>
      </c>
      <c r="D4160" s="4" t="n">
        <v>78.9525</v>
      </c>
      <c r="E4160" s="5" t="n">
        <v>75.8</v>
      </c>
      <c r="F4160" s="3" t="inlineStr">
        <is>
          <t>강내면</t>
        </is>
      </c>
      <c r="G4160" s="3" t="inlineStr">
        <is>
          <t>궁현리</t>
        </is>
      </c>
      <c r="H4160" s="3" t="inlineStr">
        <is>
          <t>용도미지정</t>
        </is>
      </c>
      <c r="I4160" s="3" t="inlineStr">
        <is>
          <t>답</t>
        </is>
      </c>
      <c r="J4160" s="3" t="inlineStr">
        <is>
          <t>강내면</t>
        </is>
      </c>
    </row>
    <row r="4161">
      <c r="A4161" s="3" t="n">
        <v>2023</v>
      </c>
      <c r="B4161" s="4" t="n">
        <v>79000</v>
      </c>
      <c r="C4161" s="4" t="n">
        <v>3494</v>
      </c>
      <c r="D4161" s="4" t="n">
        <v>1056.935</v>
      </c>
      <c r="E4161" s="5" t="n">
        <v>74.7</v>
      </c>
      <c r="F4161" s="3" t="inlineStr">
        <is>
          <t>오송읍</t>
        </is>
      </c>
      <c r="G4161" s="3" t="inlineStr">
        <is>
          <t>궁평리</t>
        </is>
      </c>
      <c r="H4161" s="3" t="inlineStr">
        <is>
          <t>농림지역</t>
        </is>
      </c>
      <c r="I4161" s="3" t="inlineStr">
        <is>
          <t>전</t>
        </is>
      </c>
      <c r="J4161" s="3" t="inlineStr">
        <is>
          <t>오송읍</t>
        </is>
      </c>
    </row>
    <row r="4162">
      <c r="A4162" s="3" t="n">
        <v>2023</v>
      </c>
      <c r="B4162" s="4" t="n">
        <v>30000</v>
      </c>
      <c r="C4162" s="4" t="n">
        <v>241</v>
      </c>
      <c r="D4162" s="4" t="n">
        <v>72.9025</v>
      </c>
      <c r="E4162" s="5" t="n">
        <v>411.5</v>
      </c>
      <c r="F4162" s="3" t="inlineStr">
        <is>
          <t>오송읍</t>
        </is>
      </c>
      <c r="G4162" s="3" t="inlineStr">
        <is>
          <t>봉산리</t>
        </is>
      </c>
      <c r="H4162" s="3" t="inlineStr">
        <is>
          <t>제1종일반주거지역</t>
        </is>
      </c>
      <c r="I4162" s="3" t="inlineStr">
        <is>
          <t>대</t>
        </is>
      </c>
      <c r="J4162" s="3" t="inlineStr">
        <is>
          <t>오송읍</t>
        </is>
      </c>
    </row>
    <row r="4163">
      <c r="A4163" s="3" t="n">
        <v>2024</v>
      </c>
      <c r="B4163" s="4" t="n">
        <v>28000</v>
      </c>
      <c r="C4163" s="4" t="n">
        <v>307</v>
      </c>
      <c r="D4163" s="4" t="n">
        <v>92.86749999999999</v>
      </c>
      <c r="E4163" s="5" t="n">
        <v>301.5</v>
      </c>
      <c r="F4163" s="3" t="inlineStr">
        <is>
          <t>오송읍</t>
        </is>
      </c>
      <c r="G4163" s="3" t="inlineStr">
        <is>
          <t>궁평리</t>
        </is>
      </c>
      <c r="H4163" s="3" t="inlineStr">
        <is>
          <t>일반상업지역</t>
        </is>
      </c>
      <c r="I4163" s="3" t="inlineStr">
        <is>
          <t>대</t>
        </is>
      </c>
      <c r="J4163" s="3" t="inlineStr">
        <is>
          <t>오송읍</t>
        </is>
      </c>
    </row>
    <row r="4164">
      <c r="A4164" s="3" t="n">
        <v>2024</v>
      </c>
      <c r="B4164" s="4" t="n">
        <v>102400</v>
      </c>
      <c r="C4164" s="4" t="n">
        <v>932</v>
      </c>
      <c r="D4164" s="4" t="n">
        <v>281.93</v>
      </c>
      <c r="E4164" s="5" t="n">
        <v>363.2</v>
      </c>
      <c r="F4164" s="3" t="inlineStr">
        <is>
          <t>오송읍</t>
        </is>
      </c>
      <c r="G4164" s="3" t="inlineStr">
        <is>
          <t>궁평리</t>
        </is>
      </c>
      <c r="H4164" s="3" t="inlineStr">
        <is>
          <t>계획관리지역</t>
        </is>
      </c>
      <c r="I4164" s="3" t="inlineStr">
        <is>
          <t>잡종지</t>
        </is>
      </c>
      <c r="J4164" s="3" t="inlineStr">
        <is>
          <t>오송읍</t>
        </is>
      </c>
    </row>
    <row r="4165">
      <c r="A4165" s="3" t="n">
        <v>2024</v>
      </c>
      <c r="B4165" s="4" t="n">
        <v>90240</v>
      </c>
      <c r="C4165" s="4" t="n">
        <v>932</v>
      </c>
      <c r="D4165" s="4" t="n">
        <v>281.93</v>
      </c>
      <c r="E4165" s="5" t="n">
        <v>320.1</v>
      </c>
      <c r="F4165" s="3" t="inlineStr">
        <is>
          <t>오송읍</t>
        </is>
      </c>
      <c r="G4165" s="3" t="inlineStr">
        <is>
          <t>궁평리</t>
        </is>
      </c>
      <c r="H4165" s="3" t="inlineStr">
        <is>
          <t>계획관리지역</t>
        </is>
      </c>
      <c r="I4165" s="3" t="inlineStr">
        <is>
          <t>잡종지</t>
        </is>
      </c>
      <c r="J4165" s="3" t="inlineStr">
        <is>
          <t>오송읍</t>
        </is>
      </c>
    </row>
    <row r="4166">
      <c r="A4166" s="3" t="n">
        <v>2024</v>
      </c>
      <c r="B4166" s="4" t="n">
        <v>12160</v>
      </c>
      <c r="C4166" s="4" t="n">
        <v>126</v>
      </c>
      <c r="D4166" s="4" t="n">
        <v>38.115</v>
      </c>
      <c r="E4166" s="5" t="n">
        <v>319</v>
      </c>
      <c r="F4166" s="3" t="inlineStr">
        <is>
          <t>오송읍</t>
        </is>
      </c>
      <c r="G4166" s="3" t="inlineStr">
        <is>
          <t>궁평리</t>
        </is>
      </c>
      <c r="H4166" s="3" t="inlineStr">
        <is>
          <t>계획관리지역</t>
        </is>
      </c>
      <c r="I4166" s="3" t="inlineStr">
        <is>
          <t>잡종지</t>
        </is>
      </c>
      <c r="J4166" s="3" t="inlineStr">
        <is>
          <t>오송읍</t>
        </is>
      </c>
    </row>
    <row r="4167">
      <c r="A4167" s="3" t="n">
        <v>2022</v>
      </c>
      <c r="B4167" s="4" t="n">
        <v>25950</v>
      </c>
      <c r="C4167" s="4" t="n">
        <v>573</v>
      </c>
      <c r="D4167" s="4" t="n">
        <v>173.3325</v>
      </c>
      <c r="E4167" s="5" t="n">
        <v>149.7</v>
      </c>
      <c r="F4167" s="3" t="inlineStr">
        <is>
          <t>강내면</t>
        </is>
      </c>
      <c r="G4167" s="3" t="inlineStr">
        <is>
          <t>월탄리</t>
        </is>
      </c>
      <c r="H4167" s="3" t="inlineStr">
        <is>
          <t>보전관리지역</t>
        </is>
      </c>
      <c r="I4167" s="3" t="inlineStr">
        <is>
          <t>임야</t>
        </is>
      </c>
      <c r="J4167" s="3" t="inlineStr">
        <is>
          <t>강내면</t>
        </is>
      </c>
    </row>
    <row r="4168">
      <c r="A4168" s="3" t="n">
        <v>2022</v>
      </c>
      <c r="B4168" s="4" t="n">
        <v>52300</v>
      </c>
      <c r="C4168" s="4" t="n">
        <v>2036</v>
      </c>
      <c r="D4168" s="4" t="n">
        <v>615.89</v>
      </c>
      <c r="E4168" s="5" t="n">
        <v>84.90000000000001</v>
      </c>
      <c r="F4168" s="3" t="inlineStr">
        <is>
          <t>오송읍</t>
        </is>
      </c>
      <c r="G4168" s="3" t="inlineStr">
        <is>
          <t>궁평리</t>
        </is>
      </c>
      <c r="H4168" s="3" t="inlineStr">
        <is>
          <t>농림지역</t>
        </is>
      </c>
      <c r="I4168" s="3" t="inlineStr">
        <is>
          <t>답</t>
        </is>
      </c>
      <c r="J4168" s="3" t="inlineStr">
        <is>
          <t>오송읍</t>
        </is>
      </c>
    </row>
    <row r="4169">
      <c r="A4169" s="3" t="n">
        <v>2022</v>
      </c>
      <c r="B4169" s="4" t="n">
        <v>7000</v>
      </c>
      <c r="C4169" s="4" t="n">
        <v>491</v>
      </c>
      <c r="D4169" s="4" t="n">
        <v>148.5275</v>
      </c>
      <c r="E4169" s="5" t="n">
        <v>47.1</v>
      </c>
      <c r="F4169" s="3" t="inlineStr">
        <is>
          <t>강내면</t>
        </is>
      </c>
      <c r="G4169" s="3" t="inlineStr">
        <is>
          <t>다락리</t>
        </is>
      </c>
      <c r="H4169" s="3" t="inlineStr">
        <is>
          <t>계획관리지역</t>
        </is>
      </c>
      <c r="I4169" s="3" t="inlineStr">
        <is>
          <t>대</t>
        </is>
      </c>
      <c r="J4169" s="3" t="inlineStr">
        <is>
          <t>강내면</t>
        </is>
      </c>
    </row>
    <row r="4170">
      <c r="A4170" s="3" t="n">
        <v>2022</v>
      </c>
      <c r="B4170" s="4" t="n">
        <v>17285</v>
      </c>
      <c r="C4170" s="4" t="n">
        <v>477</v>
      </c>
      <c r="D4170" s="4" t="n">
        <v>144.2925</v>
      </c>
      <c r="E4170" s="5" t="n">
        <v>119.8</v>
      </c>
      <c r="F4170" s="3" t="inlineStr">
        <is>
          <t>강내면</t>
        </is>
      </c>
      <c r="G4170" s="3" t="inlineStr">
        <is>
          <t>사인리</t>
        </is>
      </c>
      <c r="H4170" s="3" t="inlineStr">
        <is>
          <t>자연녹지지역</t>
        </is>
      </c>
      <c r="I4170" s="3" t="inlineStr">
        <is>
          <t>전</t>
        </is>
      </c>
      <c r="J4170" s="3" t="inlineStr">
        <is>
          <t>강내면</t>
        </is>
      </c>
    </row>
    <row r="4171">
      <c r="A4171" s="3" t="n">
        <v>2022</v>
      </c>
      <c r="B4171" s="4" t="n">
        <v>63100</v>
      </c>
      <c r="C4171" s="4" t="n">
        <v>2675</v>
      </c>
      <c r="D4171" s="4" t="n">
        <v>809.1875</v>
      </c>
      <c r="E4171" s="5" t="n">
        <v>78</v>
      </c>
      <c r="F4171" s="3" t="inlineStr">
        <is>
          <t>강내면</t>
        </is>
      </c>
      <c r="G4171" s="3" t="inlineStr">
        <is>
          <t>궁현리</t>
        </is>
      </c>
      <c r="H4171" s="3" t="inlineStr">
        <is>
          <t>농림지역</t>
        </is>
      </c>
      <c r="I4171" s="3" t="inlineStr">
        <is>
          <t>전</t>
        </is>
      </c>
      <c r="J4171" s="3" t="inlineStr">
        <is>
          <t>강내면</t>
        </is>
      </c>
    </row>
    <row r="4172">
      <c r="A4172" s="3" t="n">
        <v>2022</v>
      </c>
      <c r="B4172" s="4" t="n">
        <v>30000</v>
      </c>
      <c r="C4172" s="4" t="n">
        <v>240.8</v>
      </c>
      <c r="D4172" s="4" t="n">
        <v>72.842</v>
      </c>
      <c r="E4172" s="5" t="n">
        <v>411.9</v>
      </c>
      <c r="F4172" s="3" t="inlineStr">
        <is>
          <t>오송읍</t>
        </is>
      </c>
      <c r="G4172" s="3" t="inlineStr">
        <is>
          <t>봉산리</t>
        </is>
      </c>
      <c r="H4172" s="3" t="inlineStr">
        <is>
          <t>제1종일반주거지역</t>
        </is>
      </c>
      <c r="I4172" s="3" t="inlineStr">
        <is>
          <t>대</t>
        </is>
      </c>
      <c r="J4172" s="3" t="inlineStr">
        <is>
          <t>오송읍</t>
        </is>
      </c>
    </row>
    <row r="4173">
      <c r="A4173" s="3" t="n">
        <v>2022</v>
      </c>
      <c r="B4173" s="4" t="n">
        <v>600</v>
      </c>
      <c r="C4173" s="4" t="n">
        <v>3</v>
      </c>
      <c r="D4173" s="4" t="n">
        <v>0.9075</v>
      </c>
      <c r="E4173" s="5" t="n">
        <v>661.2</v>
      </c>
      <c r="F4173" s="3" t="inlineStr">
        <is>
          <t>오송읍</t>
        </is>
      </c>
      <c r="G4173" s="3" t="inlineStr">
        <is>
          <t>궁평리</t>
        </is>
      </c>
      <c r="H4173" s="3" t="inlineStr">
        <is>
          <t>일반상업지역</t>
        </is>
      </c>
      <c r="I4173" s="3" t="inlineStr">
        <is>
          <t>전</t>
        </is>
      </c>
      <c r="J4173" s="3" t="inlineStr">
        <is>
          <t>오송읍</t>
        </is>
      </c>
    </row>
    <row r="4174">
      <c r="A4174" s="3" t="n">
        <v>2022</v>
      </c>
      <c r="B4174" s="4" t="n">
        <v>1500</v>
      </c>
      <c r="C4174" s="4" t="n">
        <v>7</v>
      </c>
      <c r="D4174" s="4" t="n">
        <v>2.1175</v>
      </c>
      <c r="E4174" s="5" t="n">
        <v>708.4</v>
      </c>
      <c r="F4174" s="3" t="inlineStr">
        <is>
          <t>오송읍</t>
        </is>
      </c>
      <c r="G4174" s="3" t="inlineStr">
        <is>
          <t>봉산리</t>
        </is>
      </c>
      <c r="H4174" s="3" t="inlineStr">
        <is>
          <t>계획관리지역</t>
        </is>
      </c>
      <c r="I4174" s="3" t="inlineStr">
        <is>
          <t>도로</t>
        </is>
      </c>
      <c r="J4174" s="3" t="inlineStr">
        <is>
          <t>오송읍</t>
        </is>
      </c>
    </row>
    <row r="4175">
      <c r="A4175" s="3" t="n">
        <v>2022</v>
      </c>
      <c r="B4175" s="4" t="n">
        <v>36600</v>
      </c>
      <c r="C4175" s="4" t="n">
        <v>2330</v>
      </c>
      <c r="D4175" s="4" t="n">
        <v>704.8249999999999</v>
      </c>
      <c r="E4175" s="5" t="n">
        <v>51.9</v>
      </c>
      <c r="F4175" s="3" t="inlineStr">
        <is>
          <t>오송읍</t>
        </is>
      </c>
      <c r="G4175" s="3" t="inlineStr">
        <is>
          <t>동평리</t>
        </is>
      </c>
      <c r="H4175" s="3" t="inlineStr">
        <is>
          <t>농림지역</t>
        </is>
      </c>
      <c r="I4175" s="3" t="inlineStr">
        <is>
          <t>답</t>
        </is>
      </c>
      <c r="J4175" s="3" t="inlineStr">
        <is>
          <t>오송읍</t>
        </is>
      </c>
    </row>
    <row r="4176">
      <c r="A4176" s="3" t="n">
        <v>2022</v>
      </c>
      <c r="B4176" s="4" t="n">
        <v>2000</v>
      </c>
      <c r="C4176" s="4" t="n">
        <v>15</v>
      </c>
      <c r="D4176" s="4" t="n">
        <v>4.5375</v>
      </c>
      <c r="E4176" s="5" t="n">
        <v>440.8</v>
      </c>
      <c r="F4176" s="3" t="inlineStr">
        <is>
          <t>오송읍</t>
        </is>
      </c>
      <c r="G4176" s="3" t="inlineStr">
        <is>
          <t>봉산리</t>
        </is>
      </c>
      <c r="H4176" s="3" t="inlineStr">
        <is>
          <t>계획관리지역</t>
        </is>
      </c>
      <c r="I4176" s="3" t="inlineStr">
        <is>
          <t>도로</t>
        </is>
      </c>
      <c r="J4176" s="3" t="inlineStr">
        <is>
          <t>오송읍</t>
        </is>
      </c>
    </row>
    <row r="4177">
      <c r="A4177" s="3" t="n">
        <v>2022</v>
      </c>
      <c r="B4177" s="4" t="n">
        <v>20000</v>
      </c>
      <c r="C4177" s="4" t="n">
        <v>478</v>
      </c>
      <c r="D4177" s="4" t="n">
        <v>144.595</v>
      </c>
      <c r="E4177" s="5" t="n">
        <v>138.3</v>
      </c>
      <c r="F4177" s="3" t="inlineStr">
        <is>
          <t>오송읍</t>
        </is>
      </c>
      <c r="G4177" s="3" t="inlineStr">
        <is>
          <t>오송리</t>
        </is>
      </c>
      <c r="H4177" s="3" t="inlineStr">
        <is>
          <t>농림지역</t>
        </is>
      </c>
      <c r="I4177" s="3" t="inlineStr">
        <is>
          <t>답</t>
        </is>
      </c>
      <c r="J4177" s="3" t="inlineStr">
        <is>
          <t>오송읍</t>
        </is>
      </c>
    </row>
    <row r="4178">
      <c r="A4178" s="3" t="n">
        <v>2022</v>
      </c>
      <c r="B4178" s="4" t="n">
        <v>8000</v>
      </c>
      <c r="C4178" s="4" t="n">
        <v>50</v>
      </c>
      <c r="D4178" s="4" t="n">
        <v>15.125</v>
      </c>
      <c r="E4178" s="5" t="n">
        <v>528.9</v>
      </c>
      <c r="F4178" s="3" t="inlineStr">
        <is>
          <t>오송읍</t>
        </is>
      </c>
      <c r="G4178" s="3" t="inlineStr">
        <is>
          <t>오송리</t>
        </is>
      </c>
      <c r="H4178" s="3" t="inlineStr">
        <is>
          <t>준주거지역</t>
        </is>
      </c>
      <c r="I4178" s="3" t="inlineStr">
        <is>
          <t>답</t>
        </is>
      </c>
      <c r="J4178" s="3" t="inlineStr">
        <is>
          <t>오송읍</t>
        </is>
      </c>
    </row>
    <row r="4179">
      <c r="A4179" s="3" t="n">
        <v>2022</v>
      </c>
      <c r="B4179" s="4" t="n">
        <v>3800</v>
      </c>
      <c r="C4179" s="4" t="n">
        <v>721</v>
      </c>
      <c r="D4179" s="4" t="n">
        <v>218.1025</v>
      </c>
      <c r="E4179" s="5" t="n">
        <v>17.4</v>
      </c>
      <c r="F4179" s="3" t="inlineStr">
        <is>
          <t>강내면</t>
        </is>
      </c>
      <c r="G4179" s="3" t="inlineStr">
        <is>
          <t>학천리</t>
        </is>
      </c>
      <c r="H4179" s="3" t="inlineStr">
        <is>
          <t>생산녹지지역</t>
        </is>
      </c>
      <c r="I4179" s="3" t="inlineStr">
        <is>
          <t>전</t>
        </is>
      </c>
      <c r="J4179" s="3" t="inlineStr">
        <is>
          <t>강내면</t>
        </is>
      </c>
    </row>
    <row r="4180">
      <c r="A4180" s="3" t="n">
        <v>2022</v>
      </c>
      <c r="B4180" s="4" t="n">
        <v>3200</v>
      </c>
      <c r="C4180" s="4" t="n">
        <v>612</v>
      </c>
      <c r="D4180" s="4" t="n">
        <v>185.13</v>
      </c>
      <c r="E4180" s="5" t="n">
        <v>17.3</v>
      </c>
      <c r="F4180" s="3" t="inlineStr">
        <is>
          <t>강내면</t>
        </is>
      </c>
      <c r="G4180" s="3" t="inlineStr">
        <is>
          <t>학천리</t>
        </is>
      </c>
      <c r="H4180" s="3" t="inlineStr">
        <is>
          <t>생산녹지지역</t>
        </is>
      </c>
      <c r="I4180" s="3" t="inlineStr">
        <is>
          <t>전</t>
        </is>
      </c>
      <c r="J4180" s="3" t="inlineStr">
        <is>
          <t>강내면</t>
        </is>
      </c>
    </row>
    <row r="4181">
      <c r="A4181" s="3" t="n">
        <v>2022</v>
      </c>
      <c r="B4181" s="4" t="n">
        <v>13000</v>
      </c>
      <c r="C4181" s="4" t="n">
        <v>192</v>
      </c>
      <c r="D4181" s="4" t="n">
        <v>58.08</v>
      </c>
      <c r="E4181" s="5" t="n">
        <v>223.8</v>
      </c>
      <c r="F4181" s="3" t="inlineStr">
        <is>
          <t>강내면</t>
        </is>
      </c>
      <c r="G4181" s="3" t="inlineStr">
        <is>
          <t>탑연리</t>
        </is>
      </c>
      <c r="H4181" s="3" t="inlineStr">
        <is>
          <t>제2종일반주거지역</t>
        </is>
      </c>
      <c r="I4181" s="3" t="inlineStr">
        <is>
          <t>대</t>
        </is>
      </c>
      <c r="J4181" s="3" t="inlineStr">
        <is>
          <t>강내면</t>
        </is>
      </c>
    </row>
    <row r="4182">
      <c r="A4182" s="3" t="n">
        <v>2026</v>
      </c>
      <c r="B4182" s="4" t="n">
        <v>58650</v>
      </c>
      <c r="C4182" s="4" t="n">
        <v>2985</v>
      </c>
      <c r="D4182" s="4" t="n">
        <v>902.9625</v>
      </c>
      <c r="E4182" s="5" t="n">
        <v>65</v>
      </c>
      <c r="F4182" s="3" t="inlineStr">
        <is>
          <t>연서면</t>
        </is>
      </c>
      <c r="G4182" s="3" t="inlineStr">
        <is>
          <t>성제리</t>
        </is>
      </c>
      <c r="H4182" s="3" t="inlineStr">
        <is>
          <t>농림지역</t>
        </is>
      </c>
      <c r="I4182" s="3" t="inlineStr">
        <is>
          <t>답</t>
        </is>
      </c>
      <c r="J4182" s="3" t="inlineStr">
        <is>
          <t>연서면</t>
        </is>
      </c>
    </row>
    <row r="4183">
      <c r="A4183" s="3" t="n">
        <v>2026</v>
      </c>
      <c r="B4183" s="4" t="n">
        <v>8000</v>
      </c>
      <c r="C4183" s="4" t="n">
        <v>89.90000000000001</v>
      </c>
      <c r="D4183" s="4" t="n">
        <v>27.19475</v>
      </c>
      <c r="E4183" s="5" t="n">
        <v>294.2</v>
      </c>
      <c r="F4183" s="3" t="inlineStr">
        <is>
          <t>조치원읍</t>
        </is>
      </c>
      <c r="G4183" s="3" t="inlineStr">
        <is>
          <t>서창리</t>
        </is>
      </c>
      <c r="H4183" s="3" t="inlineStr">
        <is>
          <t>제2종일반주거지역</t>
        </is>
      </c>
      <c r="I4183" s="3" t="inlineStr">
        <is>
          <t>대</t>
        </is>
      </c>
      <c r="J4183" s="3" t="inlineStr">
        <is>
          <t>조치원읍</t>
        </is>
      </c>
    </row>
    <row r="4184">
      <c r="A4184" s="3" t="n">
        <v>2024</v>
      </c>
      <c r="B4184" s="4" t="n">
        <v>514000</v>
      </c>
      <c r="C4184" s="4" t="n">
        <v>1425</v>
      </c>
      <c r="D4184" s="4" t="n">
        <v>431.0625</v>
      </c>
      <c r="E4184" s="5" t="n">
        <v>1192.4</v>
      </c>
      <c r="F4184" s="3" t="inlineStr">
        <is>
          <t>조치원읍</t>
        </is>
      </c>
      <c r="G4184" s="3" t="inlineStr">
        <is>
          <t>죽림리</t>
        </is>
      </c>
      <c r="H4184" s="3" t="inlineStr">
        <is>
          <t>일반상업지역</t>
        </is>
      </c>
      <c r="I4184" s="3" t="inlineStr">
        <is>
          <t>대</t>
        </is>
      </c>
      <c r="J4184" s="3" t="inlineStr">
        <is>
          <t>조치원읍</t>
        </is>
      </c>
    </row>
    <row r="4185">
      <c r="A4185" s="3" t="n">
        <v>2024</v>
      </c>
      <c r="B4185" s="4" t="n">
        <v>244000</v>
      </c>
      <c r="C4185" s="4" t="n">
        <v>518</v>
      </c>
      <c r="D4185" s="4" t="n">
        <v>156.695</v>
      </c>
      <c r="E4185" s="5" t="n">
        <v>1557.2</v>
      </c>
      <c r="F4185" s="3" t="inlineStr">
        <is>
          <t>조치원읍</t>
        </is>
      </c>
      <c r="G4185" s="3" t="inlineStr">
        <is>
          <t>죽림리</t>
        </is>
      </c>
      <c r="H4185" s="3" t="inlineStr">
        <is>
          <t>일반상업지역</t>
        </is>
      </c>
      <c r="I4185" s="3" t="inlineStr">
        <is>
          <t>대</t>
        </is>
      </c>
      <c r="J4185" s="3" t="inlineStr">
        <is>
          <t>조치원읍</t>
        </is>
      </c>
    </row>
    <row r="4186">
      <c r="A4186" s="3" t="n">
        <v>2024</v>
      </c>
      <c r="B4186" s="4" t="n">
        <v>515000</v>
      </c>
      <c r="C4186" s="4" t="n">
        <v>1967</v>
      </c>
      <c r="D4186" s="4" t="n">
        <v>595.0174999999999</v>
      </c>
      <c r="E4186" s="5" t="n">
        <v>865.5</v>
      </c>
      <c r="F4186" s="3" t="inlineStr">
        <is>
          <t>조치원읍</t>
        </is>
      </c>
      <c r="G4186" s="3" t="inlineStr">
        <is>
          <t>죽림리</t>
        </is>
      </c>
      <c r="H4186" s="3" t="inlineStr">
        <is>
          <t>일반상업지역</t>
        </is>
      </c>
      <c r="I4186" s="3" t="inlineStr">
        <is>
          <t>과수원</t>
        </is>
      </c>
      <c r="J4186" s="3" t="inlineStr">
        <is>
          <t>조치원읍</t>
        </is>
      </c>
    </row>
    <row r="4187">
      <c r="A4187" s="3" t="n">
        <v>2024</v>
      </c>
      <c r="B4187" s="4" t="n">
        <v>3000</v>
      </c>
      <c r="C4187" s="4" t="n">
        <v>492</v>
      </c>
      <c r="D4187" s="4" t="n">
        <v>148.83</v>
      </c>
      <c r="E4187" s="5" t="n">
        <v>20.2</v>
      </c>
      <c r="F4187" s="3" t="inlineStr">
        <is>
          <t>연서면</t>
        </is>
      </c>
      <c r="G4187" s="3" t="inlineStr">
        <is>
          <t>고복리</t>
        </is>
      </c>
      <c r="H4187" s="3" t="inlineStr">
        <is>
          <t>자연환경보전</t>
        </is>
      </c>
      <c r="I4187" s="3" t="inlineStr">
        <is>
          <t>임야</t>
        </is>
      </c>
      <c r="J4187" s="3" t="inlineStr">
        <is>
          <t>연서면</t>
        </is>
      </c>
    </row>
    <row r="4188">
      <c r="A4188" s="3" t="n">
        <v>2024</v>
      </c>
      <c r="B4188" s="4" t="n">
        <v>32000</v>
      </c>
      <c r="C4188" s="4" t="n">
        <v>767</v>
      </c>
      <c r="D4188" s="4" t="n">
        <v>232.0175</v>
      </c>
      <c r="E4188" s="5" t="n">
        <v>137.9</v>
      </c>
      <c r="F4188" s="3" t="inlineStr">
        <is>
          <t>연동면</t>
        </is>
      </c>
      <c r="G4188" s="3" t="inlineStr">
        <is>
          <t>노송리</t>
        </is>
      </c>
      <c r="H4188" s="3" t="inlineStr">
        <is>
          <t>계획관리지역</t>
        </is>
      </c>
      <c r="I4188" s="3" t="inlineStr">
        <is>
          <t>전</t>
        </is>
      </c>
      <c r="J4188" s="3" t="inlineStr">
        <is>
          <t>연동면</t>
        </is>
      </c>
    </row>
    <row r="4189">
      <c r="A4189" s="3" t="n">
        <v>2025</v>
      </c>
      <c r="B4189" s="4" t="n">
        <v>70000</v>
      </c>
      <c r="C4189" s="4" t="n">
        <v>2009</v>
      </c>
      <c r="D4189" s="4" t="n">
        <v>607.7225</v>
      </c>
      <c r="E4189" s="5" t="n">
        <v>115.2</v>
      </c>
      <c r="F4189" s="3" t="inlineStr">
        <is>
          <t>연서면</t>
        </is>
      </c>
      <c r="G4189" s="3" t="inlineStr">
        <is>
          <t>성제리</t>
        </is>
      </c>
      <c r="H4189" s="3" t="inlineStr">
        <is>
          <t>계획관리지역</t>
        </is>
      </c>
      <c r="I4189" s="3" t="inlineStr">
        <is>
          <t>답</t>
        </is>
      </c>
      <c r="J4189" s="3" t="inlineStr">
        <is>
          <t>연서면</t>
        </is>
      </c>
    </row>
    <row r="4190">
      <c r="A4190" s="3" t="n">
        <v>2025</v>
      </c>
      <c r="B4190" s="4" t="n">
        <v>69900</v>
      </c>
      <c r="C4190" s="4" t="n">
        <v>2311</v>
      </c>
      <c r="D4190" s="4" t="n">
        <v>699.0775</v>
      </c>
      <c r="E4190" s="5" t="n">
        <v>100</v>
      </c>
      <c r="F4190" s="3" t="inlineStr">
        <is>
          <t>연서면</t>
        </is>
      </c>
      <c r="G4190" s="3" t="inlineStr">
        <is>
          <t>봉암리</t>
        </is>
      </c>
      <c r="H4190" s="3" t="inlineStr">
        <is>
          <t>농림지역</t>
        </is>
      </c>
      <c r="I4190" s="3" t="inlineStr">
        <is>
          <t>답</t>
        </is>
      </c>
      <c r="J4190" s="3" t="inlineStr">
        <is>
          <t>연서면</t>
        </is>
      </c>
    </row>
    <row r="4191">
      <c r="A4191" s="3" t="n">
        <v>2025</v>
      </c>
      <c r="B4191" s="4" t="n">
        <v>29350</v>
      </c>
      <c r="C4191" s="4" t="n">
        <v>277</v>
      </c>
      <c r="D4191" s="4" t="n">
        <v>83.7925</v>
      </c>
      <c r="E4191" s="5" t="n">
        <v>350.3</v>
      </c>
      <c r="F4191" s="3" t="inlineStr">
        <is>
          <t>집현동</t>
        </is>
      </c>
      <c r="G4191" s="3" t="inlineStr"/>
      <c r="H4191" s="3" t="inlineStr">
        <is>
          <t>제1종전용주거지역</t>
        </is>
      </c>
      <c r="I4191" s="3" t="inlineStr">
        <is>
          <t>대</t>
        </is>
      </c>
      <c r="J4191" s="3" t="inlineStr">
        <is>
          <t>집현동</t>
        </is>
      </c>
    </row>
    <row r="4192">
      <c r="A4192" s="3" t="n">
        <v>2025</v>
      </c>
      <c r="B4192" s="4" t="n">
        <v>42500</v>
      </c>
      <c r="C4192" s="4" t="n">
        <v>290</v>
      </c>
      <c r="D4192" s="4" t="n">
        <v>87.72499999999999</v>
      </c>
      <c r="E4192" s="5" t="n">
        <v>484.5</v>
      </c>
      <c r="F4192" s="3" t="inlineStr">
        <is>
          <t>고운동</t>
        </is>
      </c>
      <c r="G4192" s="3" t="inlineStr"/>
      <c r="H4192" s="3" t="inlineStr">
        <is>
          <t>제1종전용주거지역</t>
        </is>
      </c>
      <c r="I4192" s="3" t="inlineStr">
        <is>
          <t>대</t>
        </is>
      </c>
      <c r="J4192" s="3" t="inlineStr">
        <is>
          <t>고운동</t>
        </is>
      </c>
    </row>
    <row r="4193">
      <c r="A4193" s="3" t="n">
        <v>2025</v>
      </c>
      <c r="B4193" s="4" t="n">
        <v>147155</v>
      </c>
      <c r="C4193" s="4" t="n">
        <v>2001</v>
      </c>
      <c r="D4193" s="4" t="n">
        <v>605.3025</v>
      </c>
      <c r="E4193" s="5" t="n">
        <v>243.1</v>
      </c>
      <c r="F4193" s="3" t="inlineStr">
        <is>
          <t>연서면</t>
        </is>
      </c>
      <c r="G4193" s="3" t="inlineStr">
        <is>
          <t>부동리</t>
        </is>
      </c>
      <c r="H4193" s="3" t="inlineStr">
        <is>
          <t>계획관리지역</t>
        </is>
      </c>
      <c r="I4193" s="3" t="inlineStr">
        <is>
          <t>답</t>
        </is>
      </c>
      <c r="J4193" s="3" t="inlineStr">
        <is>
          <t>연서면</t>
        </is>
      </c>
    </row>
    <row r="4194">
      <c r="A4194" s="3" t="n">
        <v>2025</v>
      </c>
      <c r="B4194" s="4" t="n">
        <v>25460</v>
      </c>
      <c r="C4194" s="4" t="n">
        <v>223</v>
      </c>
      <c r="D4194" s="4" t="n">
        <v>67.4575</v>
      </c>
      <c r="E4194" s="5" t="n">
        <v>377.4</v>
      </c>
      <c r="F4194" s="3" t="inlineStr">
        <is>
          <t>연서면</t>
        </is>
      </c>
      <c r="G4194" s="3" t="inlineStr">
        <is>
          <t>부동리</t>
        </is>
      </c>
      <c r="H4194" s="3" t="inlineStr">
        <is>
          <t>계획관리지역</t>
        </is>
      </c>
      <c r="I4194" s="3" t="inlineStr">
        <is>
          <t>답</t>
        </is>
      </c>
      <c r="J4194" s="3" t="inlineStr">
        <is>
          <t>연서면</t>
        </is>
      </c>
    </row>
    <row r="4195">
      <c r="A4195" s="3" t="n">
        <v>2025</v>
      </c>
      <c r="B4195" s="4" t="n">
        <v>4364</v>
      </c>
      <c r="C4195" s="4" t="n">
        <v>240</v>
      </c>
      <c r="D4195" s="4" t="n">
        <v>72.59999999999999</v>
      </c>
      <c r="E4195" s="5" t="n">
        <v>60.1</v>
      </c>
      <c r="F4195" s="3" t="inlineStr">
        <is>
          <t>남이면</t>
        </is>
      </c>
      <c r="G4195" s="3" t="inlineStr">
        <is>
          <t>가좌리</t>
        </is>
      </c>
      <c r="H4195" s="3" t="inlineStr">
        <is>
          <t>자연녹지지역</t>
        </is>
      </c>
      <c r="I4195" s="3" t="inlineStr">
        <is>
          <t>임야</t>
        </is>
      </c>
      <c r="J4195" s="3" t="inlineStr">
        <is>
          <t>남이면</t>
        </is>
      </c>
    </row>
    <row r="4196">
      <c r="A4196" s="3" t="n">
        <v>2025</v>
      </c>
      <c r="B4196" s="4" t="n">
        <v>854</v>
      </c>
      <c r="C4196" s="4" t="n">
        <v>47</v>
      </c>
      <c r="D4196" s="4" t="n">
        <v>14.2175</v>
      </c>
      <c r="E4196" s="5" t="n">
        <v>60.1</v>
      </c>
      <c r="F4196" s="3" t="inlineStr">
        <is>
          <t>남이면</t>
        </is>
      </c>
      <c r="G4196" s="3" t="inlineStr">
        <is>
          <t>가좌리</t>
        </is>
      </c>
      <c r="H4196" s="3" t="inlineStr">
        <is>
          <t>자연녹지지역</t>
        </is>
      </c>
      <c r="I4196" s="3" t="inlineStr">
        <is>
          <t>임야</t>
        </is>
      </c>
      <c r="J4196" s="3" t="inlineStr">
        <is>
          <t>남이면</t>
        </is>
      </c>
    </row>
    <row r="4197">
      <c r="A4197" s="3" t="n">
        <v>2025</v>
      </c>
      <c r="B4197" s="4" t="n">
        <v>1540</v>
      </c>
      <c r="C4197" s="4" t="n">
        <v>170</v>
      </c>
      <c r="D4197" s="4" t="n">
        <v>51.425</v>
      </c>
      <c r="E4197" s="5" t="n">
        <v>29.9</v>
      </c>
      <c r="F4197" s="3" t="inlineStr">
        <is>
          <t>남이면</t>
        </is>
      </c>
      <c r="G4197" s="3" t="inlineStr">
        <is>
          <t>부용외천리</t>
        </is>
      </c>
      <c r="H4197" s="3" t="inlineStr">
        <is>
          <t>생산관리지역</t>
        </is>
      </c>
      <c r="I4197" s="3" t="inlineStr">
        <is>
          <t>답</t>
        </is>
      </c>
      <c r="J4197" s="3" t="inlineStr">
        <is>
          <t>남이면</t>
        </is>
      </c>
    </row>
    <row r="4198">
      <c r="A4198" s="3" t="n">
        <v>2025</v>
      </c>
      <c r="B4198" s="4" t="n">
        <v>7900</v>
      </c>
      <c r="C4198" s="4" t="n">
        <v>332</v>
      </c>
      <c r="D4198" s="4" t="n">
        <v>100.43</v>
      </c>
      <c r="E4198" s="5" t="n">
        <v>78.7</v>
      </c>
      <c r="F4198" s="3" t="inlineStr">
        <is>
          <t>남이면</t>
        </is>
      </c>
      <c r="G4198" s="3" t="inlineStr">
        <is>
          <t>가좌리</t>
        </is>
      </c>
      <c r="H4198" s="3" t="inlineStr">
        <is>
          <t>자연녹지지역</t>
        </is>
      </c>
      <c r="I4198" s="3" t="inlineStr">
        <is>
          <t>전</t>
        </is>
      </c>
      <c r="J4198" s="3" t="inlineStr">
        <is>
          <t>남이면</t>
        </is>
      </c>
    </row>
    <row r="4199">
      <c r="A4199" s="3" t="n">
        <v>2025</v>
      </c>
      <c r="B4199" s="4" t="n">
        <v>37000</v>
      </c>
      <c r="C4199" s="4" t="n">
        <v>2467</v>
      </c>
      <c r="D4199" s="4" t="n">
        <v>746.2674999999999</v>
      </c>
      <c r="E4199" s="5" t="n">
        <v>49.6</v>
      </c>
      <c r="F4199" s="3" t="inlineStr">
        <is>
          <t>남이면</t>
        </is>
      </c>
      <c r="G4199" s="3" t="inlineStr">
        <is>
          <t>갈원리</t>
        </is>
      </c>
      <c r="H4199" s="3" t="inlineStr">
        <is>
          <t>농림지역</t>
        </is>
      </c>
      <c r="I4199" s="3" t="inlineStr">
        <is>
          <t>답</t>
        </is>
      </c>
      <c r="J4199" s="3" t="inlineStr">
        <is>
          <t>남이면</t>
        </is>
      </c>
    </row>
    <row r="4200">
      <c r="A4200" s="3" t="n">
        <v>2025</v>
      </c>
      <c r="B4200" s="4" t="n">
        <v>65000</v>
      </c>
      <c r="C4200" s="4" t="n">
        <v>2109.7</v>
      </c>
      <c r="D4200" s="4" t="n">
        <v>638.1842499999999</v>
      </c>
      <c r="E4200" s="5" t="n">
        <v>101.9</v>
      </c>
      <c r="F4200" s="3" t="inlineStr">
        <is>
          <t>남이면</t>
        </is>
      </c>
      <c r="G4200" s="3" t="inlineStr">
        <is>
          <t>가좌리</t>
        </is>
      </c>
      <c r="H4200" s="3" t="inlineStr">
        <is>
          <t>자연녹지지역</t>
        </is>
      </c>
      <c r="I4200" s="3" t="inlineStr">
        <is>
          <t>공장용지</t>
        </is>
      </c>
      <c r="J4200" s="3" t="inlineStr">
        <is>
          <t>남이면</t>
        </is>
      </c>
    </row>
    <row r="4201">
      <c r="A4201" s="3" t="n">
        <v>2025</v>
      </c>
      <c r="B4201" s="4" t="n">
        <v>25500</v>
      </c>
      <c r="C4201" s="4" t="n">
        <v>790</v>
      </c>
      <c r="D4201" s="4" t="n">
        <v>238.975</v>
      </c>
      <c r="E4201" s="5" t="n">
        <v>106.7</v>
      </c>
      <c r="F4201" s="3" t="inlineStr">
        <is>
          <t>남이면</t>
        </is>
      </c>
      <c r="G4201" s="3" t="inlineStr">
        <is>
          <t>양촌리</t>
        </is>
      </c>
      <c r="H4201" s="3" t="inlineStr">
        <is>
          <t>자연녹지지역</t>
        </is>
      </c>
      <c r="I4201" s="3" t="inlineStr">
        <is>
          <t>전</t>
        </is>
      </c>
      <c r="J4201" s="3" t="inlineStr">
        <is>
          <t>남이면</t>
        </is>
      </c>
    </row>
    <row r="4202">
      <c r="A4202" s="3" t="n">
        <v>2025</v>
      </c>
      <c r="B4202" s="4" t="n">
        <v>2500</v>
      </c>
      <c r="C4202" s="4" t="n">
        <v>77</v>
      </c>
      <c r="D4202" s="4" t="n">
        <v>23.2925</v>
      </c>
      <c r="E4202" s="5" t="n">
        <v>107.3</v>
      </c>
      <c r="F4202" s="3" t="inlineStr">
        <is>
          <t>남이면</t>
        </is>
      </c>
      <c r="G4202" s="3" t="inlineStr">
        <is>
          <t>양촌리</t>
        </is>
      </c>
      <c r="H4202" s="3" t="inlineStr">
        <is>
          <t>자연녹지지역</t>
        </is>
      </c>
      <c r="I4202" s="3" t="inlineStr">
        <is>
          <t>전</t>
        </is>
      </c>
      <c r="J4202" s="3" t="inlineStr">
        <is>
          <t>남이면</t>
        </is>
      </c>
    </row>
    <row r="4203">
      <c r="A4203" s="3" t="n">
        <v>2025</v>
      </c>
      <c r="B4203" s="4" t="n">
        <v>9800</v>
      </c>
      <c r="C4203" s="4" t="n">
        <v>2575</v>
      </c>
      <c r="D4203" s="4" t="n">
        <v>778.9375</v>
      </c>
      <c r="E4203" s="5" t="n">
        <v>12.6</v>
      </c>
      <c r="F4203" s="3" t="inlineStr">
        <is>
          <t>남이면</t>
        </is>
      </c>
      <c r="G4203" s="3" t="inlineStr">
        <is>
          <t>외천리</t>
        </is>
      </c>
      <c r="H4203" s="3" t="inlineStr">
        <is>
          <t>계획관리지역</t>
        </is>
      </c>
      <c r="I4203" s="3" t="inlineStr">
        <is>
          <t>답</t>
        </is>
      </c>
      <c r="J4203" s="3" t="inlineStr">
        <is>
          <t>남이면</t>
        </is>
      </c>
    </row>
    <row r="4204">
      <c r="A4204" s="3" t="n">
        <v>2025</v>
      </c>
      <c r="B4204" s="4" t="n">
        <v>1200</v>
      </c>
      <c r="C4204" s="4" t="n">
        <v>317</v>
      </c>
      <c r="D4204" s="4" t="n">
        <v>95.8925</v>
      </c>
      <c r="E4204" s="5" t="n">
        <v>12.5</v>
      </c>
      <c r="F4204" s="3" t="inlineStr">
        <is>
          <t>남이면</t>
        </is>
      </c>
      <c r="G4204" s="3" t="inlineStr">
        <is>
          <t>외천리</t>
        </is>
      </c>
      <c r="H4204" s="3" t="inlineStr">
        <is>
          <t>보전관리지역</t>
        </is>
      </c>
      <c r="I4204" s="3" t="inlineStr">
        <is>
          <t>답</t>
        </is>
      </c>
      <c r="J4204" s="3" t="inlineStr">
        <is>
          <t>남이면</t>
        </is>
      </c>
    </row>
    <row r="4205">
      <c r="A4205" s="3" t="n">
        <v>2025</v>
      </c>
      <c r="B4205" s="4" t="n">
        <v>3000</v>
      </c>
      <c r="C4205" s="4" t="n">
        <v>2294</v>
      </c>
      <c r="D4205" s="4" t="n">
        <v>693.9349999999999</v>
      </c>
      <c r="E4205" s="5" t="n">
        <v>4.3</v>
      </c>
      <c r="F4205" s="3" t="inlineStr">
        <is>
          <t>남이면</t>
        </is>
      </c>
      <c r="G4205" s="3" t="inlineStr">
        <is>
          <t>외천리</t>
        </is>
      </c>
      <c r="H4205" s="3" t="inlineStr">
        <is>
          <t>보전관리지역</t>
        </is>
      </c>
      <c r="I4205" s="3" t="inlineStr">
        <is>
          <t>답</t>
        </is>
      </c>
      <c r="J4205" s="3" t="inlineStr">
        <is>
          <t>남이면</t>
        </is>
      </c>
    </row>
    <row r="4206">
      <c r="A4206" s="3" t="n">
        <v>2024</v>
      </c>
      <c r="B4206" s="4" t="n">
        <v>102400</v>
      </c>
      <c r="C4206" s="4" t="n">
        <v>932</v>
      </c>
      <c r="D4206" s="4" t="n">
        <v>281.93</v>
      </c>
      <c r="E4206" s="5" t="n">
        <v>363.2</v>
      </c>
      <c r="F4206" s="3" t="inlineStr">
        <is>
          <t>오송읍</t>
        </is>
      </c>
      <c r="G4206" s="3" t="inlineStr">
        <is>
          <t>궁평리</t>
        </is>
      </c>
      <c r="H4206" s="3" t="inlineStr">
        <is>
          <t>계획관리지역</t>
        </is>
      </c>
      <c r="I4206" s="3" t="inlineStr">
        <is>
          <t>잡종지</t>
        </is>
      </c>
      <c r="J4206" s="3" t="inlineStr">
        <is>
          <t>오송읍</t>
        </is>
      </c>
    </row>
    <row r="4207">
      <c r="A4207" s="3" t="n">
        <v>2026</v>
      </c>
      <c r="B4207" s="4" t="n">
        <v>27500</v>
      </c>
      <c r="C4207" s="4" t="n">
        <v>260.7</v>
      </c>
      <c r="D4207" s="4" t="n">
        <v>78.86175</v>
      </c>
      <c r="E4207" s="5" t="n">
        <v>348.7</v>
      </c>
      <c r="F4207" s="3" t="inlineStr">
        <is>
          <t>오송읍</t>
        </is>
      </c>
      <c r="G4207" s="3" t="inlineStr">
        <is>
          <t>봉산리</t>
        </is>
      </c>
      <c r="H4207" s="3" t="inlineStr">
        <is>
          <t>제1종일반주거지역</t>
        </is>
      </c>
      <c r="I4207" s="3" t="inlineStr">
        <is>
          <t>대</t>
        </is>
      </c>
      <c r="J4207" s="3" t="inlineStr">
        <is>
          <t>오송읍</t>
        </is>
      </c>
    </row>
    <row r="4208">
      <c r="A4208" s="3" t="n">
        <v>2025</v>
      </c>
      <c r="B4208" s="4" t="n">
        <v>42500</v>
      </c>
      <c r="C4208" s="4" t="n">
        <v>1167</v>
      </c>
      <c r="D4208" s="4" t="n">
        <v>353.0175</v>
      </c>
      <c r="E4208" s="5" t="n">
        <v>120.4</v>
      </c>
      <c r="F4208" s="3" t="inlineStr">
        <is>
          <t>남이면</t>
        </is>
      </c>
      <c r="G4208" s="3" t="inlineStr">
        <is>
          <t>양촌리</t>
        </is>
      </c>
      <c r="H4208" s="3" t="inlineStr">
        <is>
          <t>자연녹지지역</t>
        </is>
      </c>
      <c r="I4208" s="3" t="inlineStr">
        <is>
          <t>전</t>
        </is>
      </c>
      <c r="J4208" s="3" t="inlineStr">
        <is>
          <t>남이면</t>
        </is>
      </c>
    </row>
    <row r="4209">
      <c r="A4209" s="3" t="n">
        <v>2025</v>
      </c>
      <c r="B4209" s="4" t="n">
        <v>1000</v>
      </c>
      <c r="C4209" s="4" t="n">
        <v>55</v>
      </c>
      <c r="D4209" s="4" t="n">
        <v>16.6375</v>
      </c>
      <c r="E4209" s="5" t="n">
        <v>60.1</v>
      </c>
      <c r="F4209" s="3" t="inlineStr">
        <is>
          <t>남이면</t>
        </is>
      </c>
      <c r="G4209" s="3" t="inlineStr">
        <is>
          <t>가좌리</t>
        </is>
      </c>
      <c r="H4209" s="3" t="inlineStr">
        <is>
          <t>자연녹지지역</t>
        </is>
      </c>
      <c r="I4209" s="3" t="inlineStr">
        <is>
          <t>전</t>
        </is>
      </c>
      <c r="J4209" s="3" t="inlineStr">
        <is>
          <t>남이면</t>
        </is>
      </c>
    </row>
    <row r="4210">
      <c r="A4210" s="3" t="n">
        <v>2026</v>
      </c>
      <c r="B4210" s="4" t="n">
        <v>8400</v>
      </c>
      <c r="C4210" s="4" t="n">
        <v>215</v>
      </c>
      <c r="D4210" s="4" t="n">
        <v>65.03749999999999</v>
      </c>
      <c r="E4210" s="5" t="n">
        <v>129.2</v>
      </c>
      <c r="F4210" s="3" t="inlineStr">
        <is>
          <t>오송읍</t>
        </is>
      </c>
      <c r="G4210" s="3" t="inlineStr">
        <is>
          <t>공북리</t>
        </is>
      </c>
      <c r="H4210" s="3" t="inlineStr">
        <is>
          <t>계획관리지역</t>
        </is>
      </c>
      <c r="I4210" s="3" t="inlineStr">
        <is>
          <t>대</t>
        </is>
      </c>
      <c r="J4210" s="3" t="inlineStr">
        <is>
          <t>오송읍</t>
        </is>
      </c>
    </row>
    <row r="4211">
      <c r="A4211" s="3" t="n">
        <v>2024</v>
      </c>
      <c r="B4211" s="4" t="n">
        <v>42039</v>
      </c>
      <c r="C4211" s="4" t="n">
        <v>1534</v>
      </c>
      <c r="D4211" s="4" t="n">
        <v>464.035</v>
      </c>
      <c r="E4211" s="5" t="n">
        <v>90.59999999999999</v>
      </c>
      <c r="F4211" s="3" t="inlineStr">
        <is>
          <t>남이면</t>
        </is>
      </c>
      <c r="G4211" s="3" t="inlineStr">
        <is>
          <t>가좌리</t>
        </is>
      </c>
      <c r="H4211" s="3" t="inlineStr">
        <is>
          <t>자연녹지지역</t>
        </is>
      </c>
      <c r="I4211" s="3" t="inlineStr">
        <is>
          <t>임야</t>
        </is>
      </c>
      <c r="J4211" s="3" t="inlineStr">
        <is>
          <t>남이면</t>
        </is>
      </c>
    </row>
    <row r="4212">
      <c r="A4212" s="3" t="n">
        <v>2024</v>
      </c>
      <c r="B4212" s="4" t="n">
        <v>31000</v>
      </c>
      <c r="C4212" s="4" t="n">
        <v>1707</v>
      </c>
      <c r="D4212" s="4" t="n">
        <v>516.3674999999999</v>
      </c>
      <c r="E4212" s="5" t="n">
        <v>60</v>
      </c>
      <c r="F4212" s="3" t="inlineStr">
        <is>
          <t>남이면</t>
        </is>
      </c>
      <c r="G4212" s="3" t="inlineStr">
        <is>
          <t>상발리</t>
        </is>
      </c>
      <c r="H4212" s="3" t="inlineStr">
        <is>
          <t>자연녹지지역</t>
        </is>
      </c>
      <c r="I4212" s="3" t="inlineStr">
        <is>
          <t>답</t>
        </is>
      </c>
      <c r="J4212" s="3" t="inlineStr">
        <is>
          <t>남이면</t>
        </is>
      </c>
    </row>
    <row r="4213">
      <c r="A4213" s="3" t="n">
        <v>2024</v>
      </c>
      <c r="B4213" s="4" t="n">
        <v>190</v>
      </c>
      <c r="C4213" s="4" t="n">
        <v>149</v>
      </c>
      <c r="D4213" s="4" t="n">
        <v>45.0725</v>
      </c>
      <c r="E4213" s="5" t="n">
        <v>4.2</v>
      </c>
      <c r="F4213" s="3" t="inlineStr">
        <is>
          <t>남이면</t>
        </is>
      </c>
      <c r="G4213" s="3" t="inlineStr">
        <is>
          <t>외천리</t>
        </is>
      </c>
      <c r="H4213" s="3" t="inlineStr">
        <is>
          <t>보전관리지역</t>
        </is>
      </c>
      <c r="I4213" s="3" t="inlineStr">
        <is>
          <t>도로</t>
        </is>
      </c>
      <c r="J4213" s="3" t="inlineStr">
        <is>
          <t>남이면</t>
        </is>
      </c>
    </row>
    <row r="4214">
      <c r="A4214" s="3" t="n">
        <v>2024</v>
      </c>
      <c r="B4214" s="4" t="n">
        <v>35</v>
      </c>
      <c r="C4214" s="4" t="n">
        <v>27</v>
      </c>
      <c r="D4214" s="4" t="n">
        <v>8.1675</v>
      </c>
      <c r="E4214" s="5" t="n">
        <v>4.3</v>
      </c>
      <c r="F4214" s="3" t="inlineStr">
        <is>
          <t>남이면</t>
        </is>
      </c>
      <c r="G4214" s="3" t="inlineStr">
        <is>
          <t>외천리</t>
        </is>
      </c>
      <c r="H4214" s="3" t="inlineStr">
        <is>
          <t>보전관리지역</t>
        </is>
      </c>
      <c r="I4214" s="3" t="inlineStr">
        <is>
          <t>도로</t>
        </is>
      </c>
      <c r="J4214" s="3" t="inlineStr">
        <is>
          <t>남이면</t>
        </is>
      </c>
    </row>
    <row r="4215">
      <c r="A4215" s="3" t="n">
        <v>2024</v>
      </c>
      <c r="B4215" s="4" t="n">
        <v>100</v>
      </c>
      <c r="C4215" s="4" t="n">
        <v>80</v>
      </c>
      <c r="D4215" s="4" t="n">
        <v>24.2</v>
      </c>
      <c r="E4215" s="5" t="n">
        <v>4.1</v>
      </c>
      <c r="F4215" s="3" t="inlineStr">
        <is>
          <t>남이면</t>
        </is>
      </c>
      <c r="G4215" s="3" t="inlineStr">
        <is>
          <t>외천리</t>
        </is>
      </c>
      <c r="H4215" s="3" t="inlineStr">
        <is>
          <t>보전관리지역</t>
        </is>
      </c>
      <c r="I4215" s="3" t="inlineStr">
        <is>
          <t>답</t>
        </is>
      </c>
      <c r="J4215" s="3" t="inlineStr">
        <is>
          <t>남이면</t>
        </is>
      </c>
    </row>
    <row r="4216">
      <c r="A4216" s="3" t="n">
        <v>2024</v>
      </c>
      <c r="B4216" s="4" t="n">
        <v>7600</v>
      </c>
      <c r="C4216" s="4" t="n">
        <v>1256</v>
      </c>
      <c r="D4216" s="4" t="n">
        <v>379.94</v>
      </c>
      <c r="E4216" s="5" t="n">
        <v>20</v>
      </c>
      <c r="F4216" s="3" t="inlineStr">
        <is>
          <t>남이면</t>
        </is>
      </c>
      <c r="G4216" s="3" t="inlineStr">
        <is>
          <t>외천리</t>
        </is>
      </c>
      <c r="H4216" s="3" t="inlineStr">
        <is>
          <t>보전관리지역</t>
        </is>
      </c>
      <c r="I4216" s="3" t="inlineStr">
        <is>
          <t>답</t>
        </is>
      </c>
      <c r="J4216" s="3" t="inlineStr">
        <is>
          <t>남이면</t>
        </is>
      </c>
    </row>
    <row r="4217">
      <c r="A4217" s="3" t="n">
        <v>2024</v>
      </c>
      <c r="B4217" s="4" t="n">
        <v>24093</v>
      </c>
      <c r="C4217" s="4" t="n">
        <v>506</v>
      </c>
      <c r="D4217" s="4" t="n">
        <v>153.065</v>
      </c>
      <c r="E4217" s="5" t="n">
        <v>157.4</v>
      </c>
      <c r="F4217" s="3" t="inlineStr">
        <is>
          <t>남이면</t>
        </is>
      </c>
      <c r="G4217" s="3" t="inlineStr">
        <is>
          <t>양촌리</t>
        </is>
      </c>
      <c r="H4217" s="3" t="inlineStr">
        <is>
          <t>보전녹지지역</t>
        </is>
      </c>
      <c r="I4217" s="3" t="inlineStr">
        <is>
          <t>임야</t>
        </is>
      </c>
      <c r="J4217" s="3" t="inlineStr">
        <is>
          <t>남이면</t>
        </is>
      </c>
    </row>
    <row r="4218">
      <c r="A4218" s="3" t="n">
        <v>2024</v>
      </c>
      <c r="B4218" s="4" t="n">
        <v>330</v>
      </c>
      <c r="C4218" s="4" t="n">
        <v>43</v>
      </c>
      <c r="D4218" s="4" t="n">
        <v>13.0075</v>
      </c>
      <c r="E4218" s="5" t="n">
        <v>25.4</v>
      </c>
      <c r="F4218" s="3" t="inlineStr">
        <is>
          <t>남이면</t>
        </is>
      </c>
      <c r="G4218" s="3" t="inlineStr">
        <is>
          <t>구암리</t>
        </is>
      </c>
      <c r="H4218" s="3" t="inlineStr">
        <is>
          <t>보전녹지지역</t>
        </is>
      </c>
      <c r="I4218" s="3" t="inlineStr">
        <is>
          <t>답</t>
        </is>
      </c>
      <c r="J4218" s="3" t="inlineStr">
        <is>
          <t>남이면</t>
        </is>
      </c>
    </row>
    <row r="4219">
      <c r="A4219" s="3" t="n">
        <v>2024</v>
      </c>
      <c r="B4219" s="4" t="n">
        <v>50000</v>
      </c>
      <c r="C4219" s="4" t="n">
        <v>2223</v>
      </c>
      <c r="D4219" s="4" t="n">
        <v>672.4575</v>
      </c>
      <c r="E4219" s="5" t="n">
        <v>74.40000000000001</v>
      </c>
      <c r="F4219" s="3" t="inlineStr">
        <is>
          <t>남이면</t>
        </is>
      </c>
      <c r="G4219" s="3" t="inlineStr">
        <is>
          <t>척산리</t>
        </is>
      </c>
      <c r="H4219" s="3" t="inlineStr">
        <is>
          <t>생산관리지역</t>
        </is>
      </c>
      <c r="I4219" s="3" t="inlineStr">
        <is>
          <t>답</t>
        </is>
      </c>
      <c r="J4219" s="3" t="inlineStr">
        <is>
          <t>남이면</t>
        </is>
      </c>
    </row>
    <row r="4220">
      <c r="A4220" s="3" t="n">
        <v>2024</v>
      </c>
      <c r="B4220" s="4" t="n">
        <v>5780</v>
      </c>
      <c r="C4220" s="4" t="n">
        <v>113</v>
      </c>
      <c r="D4220" s="4" t="n">
        <v>34.1825</v>
      </c>
      <c r="E4220" s="5" t="n">
        <v>169.1</v>
      </c>
      <c r="F4220" s="3" t="inlineStr">
        <is>
          <t>남이면</t>
        </is>
      </c>
      <c r="G4220" s="3" t="inlineStr">
        <is>
          <t>부용외천리</t>
        </is>
      </c>
      <c r="H4220" s="3" t="inlineStr">
        <is>
          <t>계획관리지역</t>
        </is>
      </c>
      <c r="I4220" s="3" t="inlineStr">
        <is>
          <t>도로</t>
        </is>
      </c>
      <c r="J4220" s="3" t="inlineStr">
        <is>
          <t>남이면</t>
        </is>
      </c>
    </row>
    <row r="4221">
      <c r="A4221" s="3" t="n">
        <v>2024</v>
      </c>
      <c r="B4221" s="4" t="n">
        <v>81430</v>
      </c>
      <c r="C4221" s="4" t="n">
        <v>1584</v>
      </c>
      <c r="D4221" s="4" t="n">
        <v>479.16</v>
      </c>
      <c r="E4221" s="5" t="n">
        <v>169.9</v>
      </c>
      <c r="F4221" s="3" t="inlineStr">
        <is>
          <t>남이면</t>
        </is>
      </c>
      <c r="G4221" s="3" t="inlineStr">
        <is>
          <t>부용외천리</t>
        </is>
      </c>
      <c r="H4221" s="3" t="inlineStr">
        <is>
          <t>계획관리지역</t>
        </is>
      </c>
      <c r="I4221" s="3" t="inlineStr">
        <is>
          <t>임야</t>
        </is>
      </c>
      <c r="J4221" s="3" t="inlineStr">
        <is>
          <t>남이면</t>
        </is>
      </c>
    </row>
    <row r="4222">
      <c r="A4222" s="3" t="n">
        <v>2024</v>
      </c>
      <c r="B4222" s="4" t="n">
        <v>38250</v>
      </c>
      <c r="C4222" s="4" t="n">
        <v>740</v>
      </c>
      <c r="D4222" s="4" t="n">
        <v>223.85</v>
      </c>
      <c r="E4222" s="5" t="n">
        <v>170.9</v>
      </c>
      <c r="F4222" s="3" t="inlineStr">
        <is>
          <t>남이면</t>
        </is>
      </c>
      <c r="G4222" s="3" t="inlineStr">
        <is>
          <t>부용외천리</t>
        </is>
      </c>
      <c r="H4222" s="3" t="inlineStr">
        <is>
          <t>계획관리지역</t>
        </is>
      </c>
      <c r="I4222" s="3" t="inlineStr">
        <is>
          <t>임야</t>
        </is>
      </c>
      <c r="J4222" s="3" t="inlineStr">
        <is>
          <t>남이면</t>
        </is>
      </c>
    </row>
    <row r="4223">
      <c r="A4223" s="3" t="n">
        <v>2024</v>
      </c>
      <c r="B4223" s="4" t="n">
        <v>20739</v>
      </c>
      <c r="C4223" s="4" t="n">
        <v>1212</v>
      </c>
      <c r="D4223" s="4" t="n">
        <v>366.63</v>
      </c>
      <c r="E4223" s="5" t="n">
        <v>56.6</v>
      </c>
      <c r="F4223" s="3" t="inlineStr">
        <is>
          <t>남이면</t>
        </is>
      </c>
      <c r="G4223" s="3" t="inlineStr">
        <is>
          <t>척산리</t>
        </is>
      </c>
      <c r="H4223" s="3" t="inlineStr">
        <is>
          <t>자연녹지지역</t>
        </is>
      </c>
      <c r="I4223" s="3" t="inlineStr">
        <is>
          <t>답</t>
        </is>
      </c>
      <c r="J4223" s="3" t="inlineStr">
        <is>
          <t>남이면</t>
        </is>
      </c>
    </row>
    <row r="4224">
      <c r="A4224" s="3" t="n">
        <v>2024</v>
      </c>
      <c r="B4224" s="4" t="n">
        <v>13261</v>
      </c>
      <c r="C4224" s="4" t="n">
        <v>771</v>
      </c>
      <c r="D4224" s="4" t="n">
        <v>233.2275</v>
      </c>
      <c r="E4224" s="5" t="n">
        <v>56.9</v>
      </c>
      <c r="F4224" s="3" t="inlineStr">
        <is>
          <t>남이면</t>
        </is>
      </c>
      <c r="G4224" s="3" t="inlineStr">
        <is>
          <t>척산리</t>
        </is>
      </c>
      <c r="H4224" s="3" t="inlineStr">
        <is>
          <t>자연녹지지역</t>
        </is>
      </c>
      <c r="I4224" s="3" t="inlineStr">
        <is>
          <t>답</t>
        </is>
      </c>
      <c r="J4224" s="3" t="inlineStr">
        <is>
          <t>남이면</t>
        </is>
      </c>
    </row>
    <row r="4225">
      <c r="A4225" s="3" t="n">
        <v>2024</v>
      </c>
      <c r="B4225" s="4" t="n">
        <v>9000</v>
      </c>
      <c r="C4225" s="4" t="n">
        <v>244</v>
      </c>
      <c r="D4225" s="4" t="n">
        <v>73.81</v>
      </c>
      <c r="E4225" s="5" t="n">
        <v>121.9</v>
      </c>
      <c r="F4225" s="3" t="inlineStr">
        <is>
          <t>남이면</t>
        </is>
      </c>
      <c r="G4225" s="3" t="inlineStr">
        <is>
          <t>외천리</t>
        </is>
      </c>
      <c r="H4225" s="3" t="inlineStr">
        <is>
          <t>계획관리지역</t>
        </is>
      </c>
      <c r="I4225" s="3" t="inlineStr">
        <is>
          <t>전</t>
        </is>
      </c>
      <c r="J4225" s="3" t="inlineStr">
        <is>
          <t>남이면</t>
        </is>
      </c>
    </row>
    <row r="4226">
      <c r="A4226" s="3" t="n">
        <v>2024</v>
      </c>
      <c r="B4226" s="4" t="n">
        <v>2200</v>
      </c>
      <c r="C4226" s="4" t="n">
        <v>929</v>
      </c>
      <c r="D4226" s="4" t="n">
        <v>281.0225</v>
      </c>
      <c r="E4226" s="5" t="n">
        <v>7.8</v>
      </c>
      <c r="F4226" s="3" t="inlineStr">
        <is>
          <t>남이면</t>
        </is>
      </c>
      <c r="G4226" s="3" t="inlineStr">
        <is>
          <t>외천리</t>
        </is>
      </c>
      <c r="H4226" s="3" t="inlineStr">
        <is>
          <t>계획관리지역</t>
        </is>
      </c>
      <c r="I4226" s="3" t="inlineStr">
        <is>
          <t>임야</t>
        </is>
      </c>
      <c r="J4226" s="3" t="inlineStr">
        <is>
          <t>남이면</t>
        </is>
      </c>
    </row>
    <row r="4227">
      <c r="A4227" s="3" t="n">
        <v>2024</v>
      </c>
      <c r="B4227" s="4" t="n">
        <v>7600</v>
      </c>
      <c r="C4227" s="4" t="n">
        <v>207</v>
      </c>
      <c r="D4227" s="4" t="n">
        <v>62.6175</v>
      </c>
      <c r="E4227" s="5" t="n">
        <v>121.4</v>
      </c>
      <c r="F4227" s="3" t="inlineStr">
        <is>
          <t>남이면</t>
        </is>
      </c>
      <c r="G4227" s="3" t="inlineStr">
        <is>
          <t>외천리</t>
        </is>
      </c>
      <c r="H4227" s="3" t="inlineStr">
        <is>
          <t>계획관리지역</t>
        </is>
      </c>
      <c r="I4227" s="3" t="inlineStr">
        <is>
          <t>임야</t>
        </is>
      </c>
      <c r="J4227" s="3" t="inlineStr">
        <is>
          <t>남이면</t>
        </is>
      </c>
    </row>
    <row r="4228">
      <c r="A4228" s="3" t="n">
        <v>2024</v>
      </c>
      <c r="B4228" s="4" t="n">
        <v>13000</v>
      </c>
      <c r="C4228" s="4" t="n">
        <v>353</v>
      </c>
      <c r="D4228" s="4" t="n">
        <v>106.7825</v>
      </c>
      <c r="E4228" s="5" t="n">
        <v>121.7</v>
      </c>
      <c r="F4228" s="3" t="inlineStr">
        <is>
          <t>남이면</t>
        </is>
      </c>
      <c r="G4228" s="3" t="inlineStr">
        <is>
          <t>외천리</t>
        </is>
      </c>
      <c r="H4228" s="3" t="inlineStr">
        <is>
          <t>계획관리지역</t>
        </is>
      </c>
      <c r="I4228" s="3" t="inlineStr">
        <is>
          <t>임야</t>
        </is>
      </c>
      <c r="J4228" s="3" t="inlineStr">
        <is>
          <t>남이면</t>
        </is>
      </c>
    </row>
    <row r="4229">
      <c r="A4229" s="3" t="n">
        <v>2024</v>
      </c>
      <c r="B4229" s="4" t="n">
        <v>5950</v>
      </c>
      <c r="C4229" s="4" t="n">
        <v>793</v>
      </c>
      <c r="D4229" s="4" t="n">
        <v>239.8825</v>
      </c>
      <c r="E4229" s="5" t="n">
        <v>24.8</v>
      </c>
      <c r="F4229" s="3" t="inlineStr">
        <is>
          <t>남이면</t>
        </is>
      </c>
      <c r="G4229" s="3" t="inlineStr">
        <is>
          <t>산막리</t>
        </is>
      </c>
      <c r="H4229" s="3" t="inlineStr">
        <is>
          <t>생산관리지역</t>
        </is>
      </c>
      <c r="I4229" s="3" t="inlineStr">
        <is>
          <t>답</t>
        </is>
      </c>
      <c r="J4229" s="3" t="inlineStr">
        <is>
          <t>남이면</t>
        </is>
      </c>
    </row>
    <row r="4230">
      <c r="A4230" s="3" t="n">
        <v>2024</v>
      </c>
      <c r="B4230" s="4" t="n">
        <v>1110</v>
      </c>
      <c r="C4230" s="4" t="n">
        <v>162</v>
      </c>
      <c r="D4230" s="4" t="n">
        <v>49.005</v>
      </c>
      <c r="E4230" s="5" t="n">
        <v>22.7</v>
      </c>
      <c r="F4230" s="3" t="inlineStr">
        <is>
          <t>남이면</t>
        </is>
      </c>
      <c r="G4230" s="3" t="inlineStr">
        <is>
          <t>산막리</t>
        </is>
      </c>
      <c r="H4230" s="3" t="inlineStr">
        <is>
          <t>생산관리지역</t>
        </is>
      </c>
      <c r="I4230" s="3" t="inlineStr">
        <is>
          <t>전</t>
        </is>
      </c>
      <c r="J4230" s="3" t="inlineStr">
        <is>
          <t>남이면</t>
        </is>
      </c>
    </row>
    <row r="4231">
      <c r="A4231" s="3" t="n">
        <v>2023</v>
      </c>
      <c r="B4231" s="4" t="n">
        <v>25000</v>
      </c>
      <c r="C4231" s="4" t="n">
        <v>343</v>
      </c>
      <c r="D4231" s="4" t="n">
        <v>103.7575</v>
      </c>
      <c r="E4231" s="5" t="n">
        <v>240.9</v>
      </c>
      <c r="F4231" s="3" t="inlineStr">
        <is>
          <t>조치원읍</t>
        </is>
      </c>
      <c r="G4231" s="3" t="inlineStr">
        <is>
          <t>신안리</t>
        </is>
      </c>
      <c r="H4231" s="3" t="inlineStr">
        <is>
          <t>제2종일반주거지역</t>
        </is>
      </c>
      <c r="I4231" s="3" t="inlineStr">
        <is>
          <t>전</t>
        </is>
      </c>
      <c r="J4231" s="3" t="inlineStr">
        <is>
          <t>조치원읍</t>
        </is>
      </c>
    </row>
    <row r="4232">
      <c r="A4232" s="3" t="n">
        <v>2023</v>
      </c>
      <c r="B4232" s="4" t="n">
        <v>25000</v>
      </c>
      <c r="C4232" s="4" t="n">
        <v>343</v>
      </c>
      <c r="D4232" s="4" t="n">
        <v>103.7575</v>
      </c>
      <c r="E4232" s="5" t="n">
        <v>240.9</v>
      </c>
      <c r="F4232" s="3" t="inlineStr">
        <is>
          <t>조치원읍</t>
        </is>
      </c>
      <c r="G4232" s="3" t="inlineStr">
        <is>
          <t>신안리</t>
        </is>
      </c>
      <c r="H4232" s="3" t="inlineStr">
        <is>
          <t>제2종일반주거지역</t>
        </is>
      </c>
      <c r="I4232" s="3" t="inlineStr">
        <is>
          <t>전</t>
        </is>
      </c>
      <c r="J4232" s="3" t="inlineStr">
        <is>
          <t>조치원읍</t>
        </is>
      </c>
    </row>
    <row r="4233">
      <c r="A4233" s="3" t="n">
        <v>2023</v>
      </c>
      <c r="B4233" s="4" t="n">
        <v>24000</v>
      </c>
      <c r="C4233" s="4" t="n">
        <v>500</v>
      </c>
      <c r="D4233" s="4" t="n">
        <v>151.25</v>
      </c>
      <c r="E4233" s="5" t="n">
        <v>158.7</v>
      </c>
      <c r="F4233" s="3" t="inlineStr">
        <is>
          <t>연서면</t>
        </is>
      </c>
      <c r="G4233" s="3" t="inlineStr">
        <is>
          <t>와촌리</t>
        </is>
      </c>
      <c r="H4233" s="3" t="inlineStr">
        <is>
          <t>계획관리지역</t>
        </is>
      </c>
      <c r="I4233" s="3" t="inlineStr">
        <is>
          <t>답</t>
        </is>
      </c>
      <c r="J4233" s="3" t="inlineStr">
        <is>
          <t>연서면</t>
        </is>
      </c>
    </row>
    <row r="4234">
      <c r="A4234" s="3" t="n">
        <v>2023</v>
      </c>
      <c r="B4234" s="4" t="n">
        <v>24000</v>
      </c>
      <c r="C4234" s="4" t="n">
        <v>200</v>
      </c>
      <c r="D4234" s="4" t="n">
        <v>60.5</v>
      </c>
      <c r="E4234" s="5" t="n">
        <v>396.7</v>
      </c>
      <c r="F4234" s="3" t="inlineStr">
        <is>
          <t>연서면</t>
        </is>
      </c>
      <c r="G4234" s="3" t="inlineStr">
        <is>
          <t>와촌리</t>
        </is>
      </c>
      <c r="H4234" s="3" t="inlineStr">
        <is>
          <t>보전관리지역</t>
        </is>
      </c>
      <c r="I4234" s="3" t="inlineStr">
        <is>
          <t>전</t>
        </is>
      </c>
      <c r="J4234" s="3" t="inlineStr">
        <is>
          <t>연서면</t>
        </is>
      </c>
    </row>
    <row r="4235">
      <c r="A4235" s="3" t="n">
        <v>2023</v>
      </c>
      <c r="B4235" s="4" t="n">
        <v>54000</v>
      </c>
      <c r="C4235" s="4" t="n">
        <v>342.7</v>
      </c>
      <c r="D4235" s="4" t="n">
        <v>103.66675</v>
      </c>
      <c r="E4235" s="5" t="n">
        <v>520.9</v>
      </c>
      <c r="F4235" s="3" t="inlineStr">
        <is>
          <t>다정동</t>
        </is>
      </c>
      <c r="G4235" s="3" t="inlineStr"/>
      <c r="H4235" s="3" t="inlineStr">
        <is>
          <t>제1종전용주거지역</t>
        </is>
      </c>
      <c r="I4235" s="3" t="inlineStr">
        <is>
          <t>대</t>
        </is>
      </c>
      <c r="J4235" s="3" t="inlineStr">
        <is>
          <t>다정동</t>
        </is>
      </c>
    </row>
    <row r="4236">
      <c r="A4236" s="3" t="n">
        <v>2023</v>
      </c>
      <c r="B4236" s="4" t="n">
        <v>82500</v>
      </c>
      <c r="C4236" s="4" t="n">
        <v>827</v>
      </c>
      <c r="D4236" s="4" t="n">
        <v>250.1675</v>
      </c>
      <c r="E4236" s="5" t="n">
        <v>329.8</v>
      </c>
      <c r="F4236" s="3" t="inlineStr">
        <is>
          <t>연동면</t>
        </is>
      </c>
      <c r="G4236" s="3" t="inlineStr">
        <is>
          <t>송용리</t>
        </is>
      </c>
      <c r="H4236" s="3" t="inlineStr">
        <is>
          <t>계획관리지역</t>
        </is>
      </c>
      <c r="I4236" s="3" t="inlineStr">
        <is>
          <t>전</t>
        </is>
      </c>
      <c r="J4236" s="3" t="inlineStr">
        <is>
          <t>연동면</t>
        </is>
      </c>
    </row>
    <row r="4237">
      <c r="A4237" s="3" t="n">
        <v>2023</v>
      </c>
      <c r="B4237" s="4" t="n">
        <v>55000</v>
      </c>
      <c r="C4237" s="4" t="n">
        <v>345</v>
      </c>
      <c r="D4237" s="4" t="n">
        <v>104.3625</v>
      </c>
      <c r="E4237" s="5" t="n">
        <v>527</v>
      </c>
      <c r="F4237" s="3" t="inlineStr">
        <is>
          <t>고운동</t>
        </is>
      </c>
      <c r="G4237" s="3" t="inlineStr"/>
      <c r="H4237" s="3" t="inlineStr">
        <is>
          <t>제1종전용주거지역</t>
        </is>
      </c>
      <c r="I4237" s="3" t="inlineStr">
        <is>
          <t>대</t>
        </is>
      </c>
      <c r="J4237" s="3" t="inlineStr">
        <is>
          <t>고운동</t>
        </is>
      </c>
    </row>
    <row r="4238">
      <c r="A4238" s="3" t="n">
        <v>2023</v>
      </c>
      <c r="B4238" s="4" t="n">
        <v>31853</v>
      </c>
      <c r="C4238" s="4" t="n">
        <v>702</v>
      </c>
      <c r="D4238" s="4" t="n">
        <v>212.355</v>
      </c>
      <c r="E4238" s="5" t="n">
        <v>150</v>
      </c>
      <c r="F4238" s="3" t="inlineStr">
        <is>
          <t>부강면</t>
        </is>
      </c>
      <c r="G4238" s="3" t="inlineStr">
        <is>
          <t>금호리</t>
        </is>
      </c>
      <c r="H4238" s="3" t="inlineStr">
        <is>
          <t>계획관리지역</t>
        </is>
      </c>
      <c r="I4238" s="3" t="inlineStr">
        <is>
          <t>전</t>
        </is>
      </c>
      <c r="J4238" s="3" t="inlineStr">
        <is>
          <t>부강면</t>
        </is>
      </c>
    </row>
    <row r="4239">
      <c r="A4239" s="3" t="n">
        <v>2023</v>
      </c>
      <c r="B4239" s="4" t="n">
        <v>120000</v>
      </c>
      <c r="C4239" s="4" t="n">
        <v>702</v>
      </c>
      <c r="D4239" s="4" t="n">
        <v>212.355</v>
      </c>
      <c r="E4239" s="5" t="n">
        <v>565.1</v>
      </c>
      <c r="F4239" s="3" t="inlineStr">
        <is>
          <t>부강면</t>
        </is>
      </c>
      <c r="G4239" s="3" t="inlineStr">
        <is>
          <t>금호리</t>
        </is>
      </c>
      <c r="H4239" s="3" t="inlineStr">
        <is>
          <t>계획관리지역</t>
        </is>
      </c>
      <c r="I4239" s="3" t="inlineStr">
        <is>
          <t>전</t>
        </is>
      </c>
      <c r="J4239" s="3" t="inlineStr">
        <is>
          <t>부강면</t>
        </is>
      </c>
    </row>
    <row r="4240">
      <c r="A4240" s="3" t="n">
        <v>2023</v>
      </c>
      <c r="B4240" s="4" t="n">
        <v>5000</v>
      </c>
      <c r="C4240" s="4" t="n">
        <v>298</v>
      </c>
      <c r="D4240" s="4" t="n">
        <v>90.145</v>
      </c>
      <c r="E4240" s="5" t="n">
        <v>55.5</v>
      </c>
      <c r="F4240" s="3" t="inlineStr">
        <is>
          <t>연서면</t>
        </is>
      </c>
      <c r="G4240" s="3" t="inlineStr">
        <is>
          <t>성제리</t>
        </is>
      </c>
      <c r="H4240" s="3" t="inlineStr">
        <is>
          <t>자연녹지지역</t>
        </is>
      </c>
      <c r="I4240" s="3" t="inlineStr">
        <is>
          <t>임야</t>
        </is>
      </c>
      <c r="J4240" s="3" t="inlineStr">
        <is>
          <t>연서면</t>
        </is>
      </c>
    </row>
    <row r="4241">
      <c r="A4241" s="3" t="n">
        <v>2022</v>
      </c>
      <c r="B4241" s="4" t="n">
        <v>12305</v>
      </c>
      <c r="C4241" s="4" t="n">
        <v>354</v>
      </c>
      <c r="D4241" s="4" t="n">
        <v>107.085</v>
      </c>
      <c r="E4241" s="5" t="n">
        <v>114.9</v>
      </c>
      <c r="F4241" s="3" t="inlineStr">
        <is>
          <t>연서면</t>
        </is>
      </c>
      <c r="G4241" s="3" t="inlineStr">
        <is>
          <t>고복리</t>
        </is>
      </c>
      <c r="H4241" s="3" t="inlineStr">
        <is>
          <t>농림지역</t>
        </is>
      </c>
      <c r="I4241" s="3" t="inlineStr">
        <is>
          <t>답</t>
        </is>
      </c>
      <c r="J4241" s="3" t="inlineStr">
        <is>
          <t>연서면</t>
        </is>
      </c>
    </row>
    <row r="4242">
      <c r="A4242" s="3" t="n">
        <v>2022</v>
      </c>
      <c r="B4242" s="4" t="n">
        <v>37490</v>
      </c>
      <c r="C4242" s="4" t="n">
        <v>1077</v>
      </c>
      <c r="D4242" s="4" t="n">
        <v>325.7925</v>
      </c>
      <c r="E4242" s="5" t="n">
        <v>115.1</v>
      </c>
      <c r="F4242" s="3" t="inlineStr">
        <is>
          <t>연서면</t>
        </is>
      </c>
      <c r="G4242" s="3" t="inlineStr">
        <is>
          <t>고복리</t>
        </is>
      </c>
      <c r="H4242" s="3" t="inlineStr">
        <is>
          <t>농림지역</t>
        </is>
      </c>
      <c r="I4242" s="3" t="inlineStr">
        <is>
          <t>답</t>
        </is>
      </c>
      <c r="J4242" s="3" t="inlineStr">
        <is>
          <t>연서면</t>
        </is>
      </c>
    </row>
    <row r="4243">
      <c r="A4243" s="3" t="n">
        <v>2022</v>
      </c>
      <c r="B4243" s="4" t="n">
        <v>51290</v>
      </c>
      <c r="C4243" s="4" t="n">
        <v>1476</v>
      </c>
      <c r="D4243" s="4" t="n">
        <v>446.49</v>
      </c>
      <c r="E4243" s="5" t="n">
        <v>114.9</v>
      </c>
      <c r="F4243" s="3" t="inlineStr">
        <is>
          <t>연서면</t>
        </is>
      </c>
      <c r="G4243" s="3" t="inlineStr">
        <is>
          <t>고복리</t>
        </is>
      </c>
      <c r="H4243" s="3" t="inlineStr">
        <is>
          <t>농림지역</t>
        </is>
      </c>
      <c r="I4243" s="3" t="inlineStr">
        <is>
          <t>답</t>
        </is>
      </c>
      <c r="J4243" s="3" t="inlineStr">
        <is>
          <t>연서면</t>
        </is>
      </c>
    </row>
    <row r="4244">
      <c r="A4244" s="3" t="n">
        <v>2022</v>
      </c>
      <c r="B4244" s="4" t="n">
        <v>1752</v>
      </c>
      <c r="C4244" s="4" t="n">
        <v>91</v>
      </c>
      <c r="D4244" s="4" t="n">
        <v>27.5275</v>
      </c>
      <c r="E4244" s="5" t="n">
        <v>63.6</v>
      </c>
      <c r="F4244" s="3" t="inlineStr">
        <is>
          <t>연동면</t>
        </is>
      </c>
      <c r="G4244" s="3" t="inlineStr">
        <is>
          <t>내판리</t>
        </is>
      </c>
      <c r="H4244" s="3" t="inlineStr">
        <is>
          <t>계획관리지역</t>
        </is>
      </c>
      <c r="I4244" s="3" t="inlineStr">
        <is>
          <t>대</t>
        </is>
      </c>
      <c r="J4244" s="3" t="inlineStr">
        <is>
          <t>연동면</t>
        </is>
      </c>
    </row>
    <row r="4245">
      <c r="A4245" s="3" t="n">
        <v>2022</v>
      </c>
      <c r="B4245" s="4" t="n">
        <v>14577</v>
      </c>
      <c r="C4245" s="4" t="n">
        <v>256</v>
      </c>
      <c r="D4245" s="4" t="n">
        <v>77.44</v>
      </c>
      <c r="E4245" s="5" t="n">
        <v>188.2</v>
      </c>
      <c r="F4245" s="3" t="inlineStr">
        <is>
          <t>연동면</t>
        </is>
      </c>
      <c r="G4245" s="3" t="inlineStr">
        <is>
          <t>내판리</t>
        </is>
      </c>
      <c r="H4245" s="3" t="inlineStr">
        <is>
          <t>계획관리지역</t>
        </is>
      </c>
      <c r="I4245" s="3" t="inlineStr">
        <is>
          <t>대</t>
        </is>
      </c>
      <c r="J4245" s="3" t="inlineStr">
        <is>
          <t>연동면</t>
        </is>
      </c>
    </row>
    <row r="4246">
      <c r="A4246" s="3" t="n">
        <v>2022</v>
      </c>
      <c r="B4246" s="4" t="n">
        <v>900</v>
      </c>
      <c r="C4246" s="4" t="n">
        <v>258</v>
      </c>
      <c r="D4246" s="4" t="n">
        <v>78.045</v>
      </c>
      <c r="E4246" s="5" t="n">
        <v>11.5</v>
      </c>
      <c r="F4246" s="3" t="inlineStr">
        <is>
          <t>연서면</t>
        </is>
      </c>
      <c r="G4246" s="3" t="inlineStr">
        <is>
          <t>쌍류리</t>
        </is>
      </c>
      <c r="H4246" s="3" t="inlineStr">
        <is>
          <t>보전관리지역</t>
        </is>
      </c>
      <c r="I4246" s="3" t="inlineStr">
        <is>
          <t>답</t>
        </is>
      </c>
      <c r="J4246" s="3" t="inlineStr">
        <is>
          <t>연서면</t>
        </is>
      </c>
    </row>
    <row r="4247">
      <c r="A4247" s="3" t="n">
        <v>2022</v>
      </c>
      <c r="B4247" s="4" t="n">
        <v>92000</v>
      </c>
      <c r="C4247" s="4" t="n">
        <v>922</v>
      </c>
      <c r="D4247" s="4" t="n">
        <v>278.905</v>
      </c>
      <c r="E4247" s="5" t="n">
        <v>329.9</v>
      </c>
      <c r="F4247" s="3" t="inlineStr">
        <is>
          <t>연서면</t>
        </is>
      </c>
      <c r="G4247" s="3" t="inlineStr">
        <is>
          <t>고복리</t>
        </is>
      </c>
      <c r="H4247" s="3" t="inlineStr">
        <is>
          <t>보전관리지역</t>
        </is>
      </c>
      <c r="I4247" s="3" t="inlineStr">
        <is>
          <t>답</t>
        </is>
      </c>
      <c r="J4247" s="3" t="inlineStr">
        <is>
          <t>연서면</t>
        </is>
      </c>
    </row>
    <row r="4248">
      <c r="A4248" s="3" t="n">
        <v>2022</v>
      </c>
      <c r="B4248" s="4" t="n">
        <v>2431</v>
      </c>
      <c r="C4248" s="4" t="n">
        <v>141</v>
      </c>
      <c r="D4248" s="4" t="n">
        <v>42.6525</v>
      </c>
      <c r="E4248" s="5" t="n">
        <v>57</v>
      </c>
      <c r="F4248" s="3" t="inlineStr">
        <is>
          <t>연서면</t>
        </is>
      </c>
      <c r="G4248" s="3" t="inlineStr">
        <is>
          <t>와촌리</t>
        </is>
      </c>
      <c r="H4248" s="3" t="inlineStr">
        <is>
          <t>계획관리지역</t>
        </is>
      </c>
      <c r="I4248" s="3" t="inlineStr">
        <is>
          <t>답</t>
        </is>
      </c>
      <c r="J4248" s="3" t="inlineStr">
        <is>
          <t>연서면</t>
        </is>
      </c>
    </row>
    <row r="4249">
      <c r="A4249" s="3" t="n">
        <v>2025</v>
      </c>
      <c r="B4249" s="4" t="n">
        <v>28556</v>
      </c>
      <c r="C4249" s="4" t="n">
        <v>1600</v>
      </c>
      <c r="D4249" s="4" t="n">
        <v>484</v>
      </c>
      <c r="E4249" s="5" t="n">
        <v>59</v>
      </c>
      <c r="F4249" s="3" t="inlineStr">
        <is>
          <t>연서면</t>
        </is>
      </c>
      <c r="G4249" s="3" t="inlineStr">
        <is>
          <t>기룡리</t>
        </is>
      </c>
      <c r="H4249" s="3" t="inlineStr">
        <is>
          <t>생산관리지역</t>
        </is>
      </c>
      <c r="I4249" s="3" t="inlineStr">
        <is>
          <t>전</t>
        </is>
      </c>
      <c r="J4249" s="3" t="inlineStr">
        <is>
          <t>연서면</t>
        </is>
      </c>
    </row>
    <row r="4250">
      <c r="A4250" s="3" t="n">
        <v>2025</v>
      </c>
      <c r="B4250" s="4" t="n">
        <v>944</v>
      </c>
      <c r="C4250" s="4" t="n">
        <v>53</v>
      </c>
      <c r="D4250" s="4" t="n">
        <v>16.0325</v>
      </c>
      <c r="E4250" s="5" t="n">
        <v>58.9</v>
      </c>
      <c r="F4250" s="3" t="inlineStr">
        <is>
          <t>연서면</t>
        </is>
      </c>
      <c r="G4250" s="3" t="inlineStr">
        <is>
          <t>기룡리</t>
        </is>
      </c>
      <c r="H4250" s="3" t="inlineStr">
        <is>
          <t>생산관리지역</t>
        </is>
      </c>
      <c r="I4250" s="3" t="inlineStr">
        <is>
          <t>도로</t>
        </is>
      </c>
      <c r="J4250" s="3" t="inlineStr">
        <is>
          <t>연서면</t>
        </is>
      </c>
    </row>
    <row r="4251">
      <c r="A4251" s="3" t="n">
        <v>2024</v>
      </c>
      <c r="B4251" s="4" t="n">
        <v>59000</v>
      </c>
      <c r="C4251" s="4" t="n">
        <v>2446</v>
      </c>
      <c r="D4251" s="4" t="n">
        <v>739.915</v>
      </c>
      <c r="E4251" s="5" t="n">
        <v>79.7</v>
      </c>
      <c r="F4251" s="3" t="inlineStr">
        <is>
          <t>연동면</t>
        </is>
      </c>
      <c r="G4251" s="3" t="inlineStr">
        <is>
          <t>응암리</t>
        </is>
      </c>
      <c r="H4251" s="3" t="inlineStr">
        <is>
          <t>계획관리지역</t>
        </is>
      </c>
      <c r="I4251" s="3" t="inlineStr">
        <is>
          <t>전</t>
        </is>
      </c>
      <c r="J4251" s="3" t="inlineStr">
        <is>
          <t>연동면</t>
        </is>
      </c>
    </row>
    <row r="4252">
      <c r="A4252" s="3" t="n">
        <v>2024</v>
      </c>
      <c r="B4252" s="4" t="n">
        <v>22681</v>
      </c>
      <c r="C4252" s="4" t="n">
        <v>2280.9</v>
      </c>
      <c r="D4252" s="4" t="n">
        <v>689.97225</v>
      </c>
      <c r="E4252" s="5" t="n">
        <v>32.9</v>
      </c>
      <c r="F4252" s="3" t="inlineStr">
        <is>
          <t>연동면</t>
        </is>
      </c>
      <c r="G4252" s="3" t="inlineStr">
        <is>
          <t>예양리</t>
        </is>
      </c>
      <c r="H4252" s="3" t="inlineStr">
        <is>
          <t>농림지역</t>
        </is>
      </c>
      <c r="I4252" s="3" t="inlineStr">
        <is>
          <t>답</t>
        </is>
      </c>
      <c r="J4252" s="3" t="inlineStr">
        <is>
          <t>연동면</t>
        </is>
      </c>
    </row>
    <row r="4253">
      <c r="A4253" s="3" t="n">
        <v>2024</v>
      </c>
      <c r="B4253" s="4" t="n">
        <v>11208</v>
      </c>
      <c r="C4253" s="4" t="n">
        <v>189</v>
      </c>
      <c r="D4253" s="4" t="n">
        <v>57.1725</v>
      </c>
      <c r="E4253" s="5" t="n">
        <v>196</v>
      </c>
      <c r="F4253" s="3" t="inlineStr">
        <is>
          <t>연서면</t>
        </is>
      </c>
      <c r="G4253" s="3" t="inlineStr">
        <is>
          <t>봉암리</t>
        </is>
      </c>
      <c r="H4253" s="3" t="inlineStr">
        <is>
          <t>계획관리지역</t>
        </is>
      </c>
      <c r="I4253" s="3" t="inlineStr">
        <is>
          <t>구거</t>
        </is>
      </c>
      <c r="J4253" s="3" t="inlineStr">
        <is>
          <t>연서면</t>
        </is>
      </c>
    </row>
    <row r="4254">
      <c r="A4254" s="3" t="n">
        <v>2024</v>
      </c>
      <c r="B4254" s="4" t="n">
        <v>5000</v>
      </c>
      <c r="C4254" s="4" t="n">
        <v>311</v>
      </c>
      <c r="D4254" s="4" t="n">
        <v>94.0775</v>
      </c>
      <c r="E4254" s="5" t="n">
        <v>53.1</v>
      </c>
      <c r="F4254" s="3" t="inlineStr">
        <is>
          <t>연동면</t>
        </is>
      </c>
      <c r="G4254" s="3" t="inlineStr">
        <is>
          <t>응암리</t>
        </is>
      </c>
      <c r="H4254" s="3" t="inlineStr">
        <is>
          <t>계획관리지역</t>
        </is>
      </c>
      <c r="I4254" s="3" t="inlineStr">
        <is>
          <t>전</t>
        </is>
      </c>
      <c r="J4254" s="3" t="inlineStr">
        <is>
          <t>연동면</t>
        </is>
      </c>
    </row>
    <row r="4255">
      <c r="A4255" s="3" t="n">
        <v>2024</v>
      </c>
      <c r="B4255" s="4" t="n">
        <v>42700</v>
      </c>
      <c r="C4255" s="4" t="n">
        <v>295</v>
      </c>
      <c r="D4255" s="4" t="n">
        <v>89.2375</v>
      </c>
      <c r="E4255" s="5" t="n">
        <v>478.5</v>
      </c>
      <c r="F4255" s="3" t="inlineStr">
        <is>
          <t>고운동</t>
        </is>
      </c>
      <c r="G4255" s="3" t="inlineStr"/>
      <c r="H4255" s="3" t="inlineStr">
        <is>
          <t>제1종전용주거지역</t>
        </is>
      </c>
      <c r="I4255" s="3" t="inlineStr">
        <is>
          <t>대</t>
        </is>
      </c>
      <c r="J4255" s="3" t="inlineStr">
        <is>
          <t>고운동</t>
        </is>
      </c>
    </row>
    <row r="4256">
      <c r="A4256" s="3" t="n">
        <v>2024</v>
      </c>
      <c r="B4256" s="4" t="n">
        <v>9900</v>
      </c>
      <c r="C4256" s="4" t="n">
        <v>943</v>
      </c>
      <c r="D4256" s="4" t="n">
        <v>285.2575</v>
      </c>
      <c r="E4256" s="5" t="n">
        <v>34.7</v>
      </c>
      <c r="F4256" s="3" t="inlineStr">
        <is>
          <t>연동면</t>
        </is>
      </c>
      <c r="G4256" s="3" t="inlineStr">
        <is>
          <t>응암리</t>
        </is>
      </c>
      <c r="H4256" s="3" t="inlineStr">
        <is>
          <t>계획관리지역</t>
        </is>
      </c>
      <c r="I4256" s="3" t="inlineStr">
        <is>
          <t>전</t>
        </is>
      </c>
      <c r="J4256" s="3" t="inlineStr">
        <is>
          <t>연동면</t>
        </is>
      </c>
    </row>
    <row r="4257">
      <c r="A4257" s="3" t="n">
        <v>2024</v>
      </c>
      <c r="B4257" s="4" t="n">
        <v>34000</v>
      </c>
      <c r="C4257" s="4" t="n">
        <v>660</v>
      </c>
      <c r="D4257" s="4" t="n">
        <v>199.65</v>
      </c>
      <c r="E4257" s="5" t="n">
        <v>170.3</v>
      </c>
      <c r="F4257" s="3" t="inlineStr">
        <is>
          <t>연동면</t>
        </is>
      </c>
      <c r="G4257" s="3" t="inlineStr">
        <is>
          <t>내판리</t>
        </is>
      </c>
      <c r="H4257" s="3" t="inlineStr">
        <is>
          <t>계획관리지역</t>
        </is>
      </c>
      <c r="I4257" s="3" t="inlineStr">
        <is>
          <t>임야</t>
        </is>
      </c>
      <c r="J4257" s="3" t="inlineStr">
        <is>
          <t>연동면</t>
        </is>
      </c>
    </row>
    <row r="4258">
      <c r="A4258" s="3" t="n">
        <v>2023</v>
      </c>
      <c r="B4258" s="4" t="n">
        <v>4500</v>
      </c>
      <c r="C4258" s="4" t="n">
        <v>1402</v>
      </c>
      <c r="D4258" s="4" t="n">
        <v>424.105</v>
      </c>
      <c r="E4258" s="5" t="n">
        <v>10.6</v>
      </c>
      <c r="F4258" s="3" t="inlineStr">
        <is>
          <t>남이면</t>
        </is>
      </c>
      <c r="G4258" s="3" t="inlineStr">
        <is>
          <t>문동리</t>
        </is>
      </c>
      <c r="H4258" s="3" t="inlineStr">
        <is>
          <t>보전관리지역</t>
        </is>
      </c>
      <c r="I4258" s="3" t="inlineStr">
        <is>
          <t>전</t>
        </is>
      </c>
      <c r="J4258" s="3" t="inlineStr">
        <is>
          <t>남이면</t>
        </is>
      </c>
    </row>
    <row r="4259">
      <c r="A4259" s="3" t="n">
        <v>2023</v>
      </c>
      <c r="B4259" s="4" t="n">
        <v>790</v>
      </c>
      <c r="C4259" s="4" t="n">
        <v>506</v>
      </c>
      <c r="D4259" s="4" t="n">
        <v>153.065</v>
      </c>
      <c r="E4259" s="5" t="n">
        <v>5.2</v>
      </c>
      <c r="F4259" s="3" t="inlineStr">
        <is>
          <t>남이면</t>
        </is>
      </c>
      <c r="G4259" s="3" t="inlineStr">
        <is>
          <t>부용외천리</t>
        </is>
      </c>
      <c r="H4259" s="3" t="inlineStr">
        <is>
          <t>계획관리지역</t>
        </is>
      </c>
      <c r="I4259" s="3" t="inlineStr">
        <is>
          <t>답</t>
        </is>
      </c>
      <c r="J4259" s="3" t="inlineStr">
        <is>
          <t>남이면</t>
        </is>
      </c>
    </row>
    <row r="4260">
      <c r="A4260" s="3" t="n">
        <v>2023</v>
      </c>
      <c r="B4260" s="4" t="n">
        <v>1413</v>
      </c>
      <c r="C4260" s="4" t="n">
        <v>602</v>
      </c>
      <c r="D4260" s="4" t="n">
        <v>182.105</v>
      </c>
      <c r="E4260" s="5" t="n">
        <v>7.8</v>
      </c>
      <c r="F4260" s="3" t="inlineStr">
        <is>
          <t>남이면</t>
        </is>
      </c>
      <c r="G4260" s="3" t="inlineStr">
        <is>
          <t>부용외천리</t>
        </is>
      </c>
      <c r="H4260" s="3" t="inlineStr">
        <is>
          <t>계획관리지역</t>
        </is>
      </c>
      <c r="I4260" s="3" t="inlineStr">
        <is>
          <t>답</t>
        </is>
      </c>
      <c r="J4260" s="3" t="inlineStr">
        <is>
          <t>남이면</t>
        </is>
      </c>
    </row>
    <row r="4261">
      <c r="A4261" s="3" t="n">
        <v>2023</v>
      </c>
      <c r="B4261" s="4" t="n">
        <v>2850</v>
      </c>
      <c r="C4261" s="4" t="n">
        <v>1825</v>
      </c>
      <c r="D4261" s="4" t="n">
        <v>552.0625</v>
      </c>
      <c r="E4261" s="5" t="n">
        <v>5.2</v>
      </c>
      <c r="F4261" s="3" t="inlineStr">
        <is>
          <t>남이면</t>
        </is>
      </c>
      <c r="G4261" s="3" t="inlineStr">
        <is>
          <t>부용외천리</t>
        </is>
      </c>
      <c r="H4261" s="3" t="inlineStr">
        <is>
          <t>계획관리지역</t>
        </is>
      </c>
      <c r="I4261" s="3" t="inlineStr">
        <is>
          <t>답</t>
        </is>
      </c>
      <c r="J4261" s="3" t="inlineStr">
        <is>
          <t>남이면</t>
        </is>
      </c>
    </row>
    <row r="4262">
      <c r="A4262" s="3" t="n">
        <v>2023</v>
      </c>
      <c r="B4262" s="4" t="n">
        <v>471</v>
      </c>
      <c r="C4262" s="4" t="n">
        <v>284</v>
      </c>
      <c r="D4262" s="4" t="n">
        <v>85.91</v>
      </c>
      <c r="E4262" s="5" t="n">
        <v>5.5</v>
      </c>
      <c r="F4262" s="3" t="inlineStr">
        <is>
          <t>남이면</t>
        </is>
      </c>
      <c r="G4262" s="3" t="inlineStr">
        <is>
          <t>부용외천리</t>
        </is>
      </c>
      <c r="H4262" s="3" t="inlineStr">
        <is>
          <t>계획관리지역</t>
        </is>
      </c>
      <c r="I4262" s="3" t="inlineStr">
        <is>
          <t>답</t>
        </is>
      </c>
      <c r="J4262" s="3" t="inlineStr">
        <is>
          <t>남이면</t>
        </is>
      </c>
    </row>
    <row r="4263">
      <c r="A4263" s="3" t="n">
        <v>2023</v>
      </c>
      <c r="B4263" s="4" t="n">
        <v>6340</v>
      </c>
      <c r="C4263" s="4" t="n">
        <v>2817</v>
      </c>
      <c r="D4263" s="4" t="n">
        <v>852.1424999999999</v>
      </c>
      <c r="E4263" s="5" t="n">
        <v>7.4</v>
      </c>
      <c r="F4263" s="3" t="inlineStr">
        <is>
          <t>남이면</t>
        </is>
      </c>
      <c r="G4263" s="3" t="inlineStr">
        <is>
          <t>부용외천리</t>
        </is>
      </c>
      <c r="H4263" s="3" t="inlineStr">
        <is>
          <t>계획관리지역</t>
        </is>
      </c>
      <c r="I4263" s="3" t="inlineStr">
        <is>
          <t>답</t>
        </is>
      </c>
      <c r="J4263" s="3" t="inlineStr">
        <is>
          <t>남이면</t>
        </is>
      </c>
    </row>
    <row r="4264">
      <c r="A4264" s="3" t="n">
        <v>2023</v>
      </c>
      <c r="B4264" s="4" t="n">
        <v>5000</v>
      </c>
      <c r="C4264" s="4" t="n">
        <v>549</v>
      </c>
      <c r="D4264" s="4" t="n">
        <v>166.0725</v>
      </c>
      <c r="E4264" s="5" t="n">
        <v>30.1</v>
      </c>
      <c r="F4264" s="3" t="inlineStr">
        <is>
          <t>남이면</t>
        </is>
      </c>
      <c r="G4264" s="3" t="inlineStr">
        <is>
          <t>사동리</t>
        </is>
      </c>
      <c r="H4264" s="3" t="inlineStr">
        <is>
          <t>생산관리지역</t>
        </is>
      </c>
      <c r="I4264" s="3" t="inlineStr">
        <is>
          <t>답</t>
        </is>
      </c>
      <c r="J4264" s="3" t="inlineStr">
        <is>
          <t>남이면</t>
        </is>
      </c>
    </row>
    <row r="4265">
      <c r="A4265" s="3" t="n">
        <v>2023</v>
      </c>
      <c r="B4265" s="4" t="n">
        <v>4000</v>
      </c>
      <c r="C4265" s="4" t="n">
        <v>374</v>
      </c>
      <c r="D4265" s="4" t="n">
        <v>113.135</v>
      </c>
      <c r="E4265" s="5" t="n">
        <v>35.4</v>
      </c>
      <c r="F4265" s="3" t="inlineStr">
        <is>
          <t>남이면</t>
        </is>
      </c>
      <c r="G4265" s="3" t="inlineStr">
        <is>
          <t>사동리</t>
        </is>
      </c>
      <c r="H4265" s="3" t="inlineStr">
        <is>
          <t>생산관리지역</t>
        </is>
      </c>
      <c r="I4265" s="3" t="inlineStr">
        <is>
          <t>답</t>
        </is>
      </c>
      <c r="J4265" s="3" t="inlineStr">
        <is>
          <t>남이면</t>
        </is>
      </c>
    </row>
    <row r="4266">
      <c r="A4266" s="3" t="n">
        <v>2023</v>
      </c>
      <c r="B4266" s="4" t="n">
        <v>2200</v>
      </c>
      <c r="C4266" s="4" t="n">
        <v>110</v>
      </c>
      <c r="D4266" s="4" t="n">
        <v>33.275</v>
      </c>
      <c r="E4266" s="5" t="n">
        <v>66.09999999999999</v>
      </c>
      <c r="F4266" s="3" t="inlineStr">
        <is>
          <t>남이면</t>
        </is>
      </c>
      <c r="G4266" s="3" t="inlineStr">
        <is>
          <t>가마리</t>
        </is>
      </c>
      <c r="H4266" s="3" t="inlineStr">
        <is>
          <t>자연녹지지역</t>
        </is>
      </c>
      <c r="I4266" s="3" t="inlineStr">
        <is>
          <t>전</t>
        </is>
      </c>
      <c r="J4266" s="3" t="inlineStr">
        <is>
          <t>남이면</t>
        </is>
      </c>
    </row>
    <row r="4267">
      <c r="A4267" s="3" t="n">
        <v>2023</v>
      </c>
      <c r="B4267" s="4" t="n">
        <v>6500</v>
      </c>
      <c r="C4267" s="4" t="n">
        <v>1081</v>
      </c>
      <c r="D4267" s="4" t="n">
        <v>327.0025</v>
      </c>
      <c r="E4267" s="5" t="n">
        <v>19.9</v>
      </c>
      <c r="F4267" s="3" t="inlineStr">
        <is>
          <t>남이면</t>
        </is>
      </c>
      <c r="G4267" s="3" t="inlineStr">
        <is>
          <t>사동리</t>
        </is>
      </c>
      <c r="H4267" s="3" t="inlineStr">
        <is>
          <t>생산관리지역</t>
        </is>
      </c>
      <c r="I4267" s="3" t="inlineStr">
        <is>
          <t>전</t>
        </is>
      </c>
      <c r="J4267" s="3" t="inlineStr">
        <is>
          <t>남이면</t>
        </is>
      </c>
    </row>
    <row r="4268">
      <c r="A4268" s="3" t="n">
        <v>2023</v>
      </c>
      <c r="B4268" s="4" t="n">
        <v>1000</v>
      </c>
      <c r="C4268" s="4" t="n">
        <v>84</v>
      </c>
      <c r="D4268" s="4" t="n">
        <v>25.41</v>
      </c>
      <c r="E4268" s="5" t="n">
        <v>39.4</v>
      </c>
      <c r="F4268" s="3" t="inlineStr">
        <is>
          <t>남이면</t>
        </is>
      </c>
      <c r="G4268" s="3" t="inlineStr">
        <is>
          <t>수대리</t>
        </is>
      </c>
      <c r="H4268" s="3" t="inlineStr">
        <is>
          <t>자연녹지지역</t>
        </is>
      </c>
      <c r="I4268" s="3" t="inlineStr">
        <is>
          <t>답</t>
        </is>
      </c>
      <c r="J4268" s="3" t="inlineStr">
        <is>
          <t>남이면</t>
        </is>
      </c>
    </row>
    <row r="4269">
      <c r="A4269" s="3" t="n">
        <v>2023</v>
      </c>
      <c r="B4269" s="4" t="n">
        <v>840</v>
      </c>
      <c r="C4269" s="4" t="n">
        <v>55</v>
      </c>
      <c r="D4269" s="4" t="n">
        <v>16.6375</v>
      </c>
      <c r="E4269" s="5" t="n">
        <v>50.5</v>
      </c>
      <c r="F4269" s="3" t="inlineStr">
        <is>
          <t>남이면</t>
        </is>
      </c>
      <c r="G4269" s="3" t="inlineStr">
        <is>
          <t>가좌리</t>
        </is>
      </c>
      <c r="H4269" s="3" t="inlineStr">
        <is>
          <t>보전녹지지역</t>
        </is>
      </c>
      <c r="I4269" s="3" t="inlineStr">
        <is>
          <t>임야</t>
        </is>
      </c>
      <c r="J4269" s="3" t="inlineStr">
        <is>
          <t>남이면</t>
        </is>
      </c>
    </row>
    <row r="4270">
      <c r="A4270" s="3" t="n">
        <v>2023</v>
      </c>
      <c r="B4270" s="4" t="n">
        <v>74160</v>
      </c>
      <c r="C4270" s="4" t="n">
        <v>4638</v>
      </c>
      <c r="D4270" s="4" t="n">
        <v>1402.995</v>
      </c>
      <c r="E4270" s="5" t="n">
        <v>52.9</v>
      </c>
      <c r="F4270" s="3" t="inlineStr">
        <is>
          <t>남이면</t>
        </is>
      </c>
      <c r="G4270" s="3" t="inlineStr">
        <is>
          <t>가좌리</t>
        </is>
      </c>
      <c r="H4270" s="3" t="inlineStr">
        <is>
          <t>보전녹지지역</t>
        </is>
      </c>
      <c r="I4270" s="3" t="inlineStr">
        <is>
          <t>임야</t>
        </is>
      </c>
      <c r="J4270" s="3" t="inlineStr">
        <is>
          <t>남이면</t>
        </is>
      </c>
    </row>
    <row r="4271">
      <c r="A4271" s="3" t="n">
        <v>2023</v>
      </c>
      <c r="B4271" s="4" t="n">
        <v>16500</v>
      </c>
      <c r="C4271" s="4" t="n">
        <v>1011</v>
      </c>
      <c r="D4271" s="4" t="n">
        <v>305.8275</v>
      </c>
      <c r="E4271" s="5" t="n">
        <v>54</v>
      </c>
      <c r="F4271" s="3" t="inlineStr">
        <is>
          <t>남이면</t>
        </is>
      </c>
      <c r="G4271" s="3" t="inlineStr">
        <is>
          <t>구미리</t>
        </is>
      </c>
      <c r="H4271" s="3" t="inlineStr">
        <is>
          <t>생산관리지역</t>
        </is>
      </c>
      <c r="I4271" s="3" t="inlineStr">
        <is>
          <t>답</t>
        </is>
      </c>
      <c r="J4271" s="3" t="inlineStr">
        <is>
          <t>남이면</t>
        </is>
      </c>
    </row>
    <row r="4272">
      <c r="A4272" s="3" t="n">
        <v>2023</v>
      </c>
      <c r="B4272" s="4" t="n">
        <v>3000</v>
      </c>
      <c r="C4272" s="4" t="n">
        <v>460</v>
      </c>
      <c r="D4272" s="4" t="n">
        <v>139.15</v>
      </c>
      <c r="E4272" s="5" t="n">
        <v>21.6</v>
      </c>
      <c r="F4272" s="3" t="inlineStr">
        <is>
          <t>남이면</t>
        </is>
      </c>
      <c r="G4272" s="3" t="inlineStr">
        <is>
          <t>부용외천리</t>
        </is>
      </c>
      <c r="H4272" s="3" t="inlineStr">
        <is>
          <t>계획관리지역</t>
        </is>
      </c>
      <c r="I4272" s="3" t="inlineStr">
        <is>
          <t>전</t>
        </is>
      </c>
      <c r="J4272" s="3" t="inlineStr">
        <is>
          <t>남이면</t>
        </is>
      </c>
    </row>
    <row r="4273">
      <c r="A4273" s="3" t="n">
        <v>2023</v>
      </c>
      <c r="B4273" s="4" t="n">
        <v>32000</v>
      </c>
      <c r="C4273" s="4" t="n">
        <v>1355</v>
      </c>
      <c r="D4273" s="4" t="n">
        <v>409.8875</v>
      </c>
      <c r="E4273" s="5" t="n">
        <v>78.09999999999999</v>
      </c>
      <c r="F4273" s="3" t="inlineStr">
        <is>
          <t>남이면</t>
        </is>
      </c>
      <c r="G4273" s="3" t="inlineStr">
        <is>
          <t>부용외천리</t>
        </is>
      </c>
      <c r="H4273" s="3" t="inlineStr">
        <is>
          <t>계획관리지역</t>
        </is>
      </c>
      <c r="I4273" s="3" t="inlineStr">
        <is>
          <t>전</t>
        </is>
      </c>
      <c r="J4273" s="3" t="inlineStr">
        <is>
          <t>남이면</t>
        </is>
      </c>
    </row>
    <row r="4274">
      <c r="A4274" s="3" t="n">
        <v>2023</v>
      </c>
      <c r="B4274" s="4" t="n">
        <v>6400</v>
      </c>
      <c r="C4274" s="4" t="n">
        <v>339</v>
      </c>
      <c r="D4274" s="4" t="n">
        <v>102.5475</v>
      </c>
      <c r="E4274" s="5" t="n">
        <v>62.4</v>
      </c>
      <c r="F4274" s="3" t="inlineStr">
        <is>
          <t>남이면</t>
        </is>
      </c>
      <c r="G4274" s="3" t="inlineStr">
        <is>
          <t>부용외천리</t>
        </is>
      </c>
      <c r="H4274" s="3" t="inlineStr">
        <is>
          <t>계획관리지역</t>
        </is>
      </c>
      <c r="I4274" s="3" t="inlineStr">
        <is>
          <t>전</t>
        </is>
      </c>
      <c r="J4274" s="3" t="inlineStr">
        <is>
          <t>남이면</t>
        </is>
      </c>
    </row>
    <row r="4275">
      <c r="A4275" s="3" t="n">
        <v>2023</v>
      </c>
      <c r="B4275" s="4" t="n">
        <v>10000</v>
      </c>
      <c r="C4275" s="4" t="n">
        <v>838</v>
      </c>
      <c r="D4275" s="4" t="n">
        <v>253.495</v>
      </c>
      <c r="E4275" s="5" t="n">
        <v>39.4</v>
      </c>
      <c r="F4275" s="3" t="inlineStr">
        <is>
          <t>남이면</t>
        </is>
      </c>
      <c r="G4275" s="3" t="inlineStr">
        <is>
          <t>갈원리</t>
        </is>
      </c>
      <c r="H4275" s="3" t="inlineStr">
        <is>
          <t>자연녹지지역</t>
        </is>
      </c>
      <c r="I4275" s="3" t="inlineStr">
        <is>
          <t>전</t>
        </is>
      </c>
      <c r="J4275" s="3" t="inlineStr">
        <is>
          <t>남이면</t>
        </is>
      </c>
    </row>
    <row r="4276">
      <c r="A4276" s="3" t="n">
        <v>2023</v>
      </c>
      <c r="B4276" s="4" t="n">
        <v>1500</v>
      </c>
      <c r="C4276" s="4" t="n">
        <v>145</v>
      </c>
      <c r="D4276" s="4" t="n">
        <v>43.8625</v>
      </c>
      <c r="E4276" s="5" t="n">
        <v>34.2</v>
      </c>
      <c r="F4276" s="3" t="inlineStr">
        <is>
          <t>남이면</t>
        </is>
      </c>
      <c r="G4276" s="3" t="inlineStr">
        <is>
          <t>갈원리</t>
        </is>
      </c>
      <c r="H4276" s="3" t="inlineStr">
        <is>
          <t>자연녹지지역</t>
        </is>
      </c>
      <c r="I4276" s="3" t="inlineStr">
        <is>
          <t>구거</t>
        </is>
      </c>
      <c r="J4276" s="3" t="inlineStr">
        <is>
          <t>남이면</t>
        </is>
      </c>
    </row>
    <row r="4277">
      <c r="A4277" s="3" t="n">
        <v>2023</v>
      </c>
      <c r="B4277" s="4" t="n">
        <v>11000</v>
      </c>
      <c r="C4277" s="4" t="n">
        <v>42446</v>
      </c>
      <c r="D4277" s="4" t="n">
        <v>12839.915</v>
      </c>
      <c r="E4277" s="5" t="n">
        <v>0.9</v>
      </c>
      <c r="F4277" s="3" t="inlineStr">
        <is>
          <t>남이면</t>
        </is>
      </c>
      <c r="G4277" s="3" t="inlineStr">
        <is>
          <t>외천리</t>
        </is>
      </c>
      <c r="H4277" s="3" t="inlineStr">
        <is>
          <t>농림지역</t>
        </is>
      </c>
      <c r="I4277" s="3" t="inlineStr">
        <is>
          <t>임야</t>
        </is>
      </c>
      <c r="J4277" s="3" t="inlineStr">
        <is>
          <t>남이면</t>
        </is>
      </c>
    </row>
    <row r="4278">
      <c r="A4278" s="3" t="n">
        <v>2026</v>
      </c>
      <c r="B4278" s="4" t="n">
        <v>9900</v>
      </c>
      <c r="C4278" s="4" t="n">
        <v>353</v>
      </c>
      <c r="D4278" s="4" t="n">
        <v>106.7825</v>
      </c>
      <c r="E4278" s="5" t="n">
        <v>92.7</v>
      </c>
      <c r="F4278" s="3" t="inlineStr">
        <is>
          <t>강내면</t>
        </is>
      </c>
      <c r="G4278" s="3" t="inlineStr">
        <is>
          <t>태성리</t>
        </is>
      </c>
      <c r="H4278" s="3" t="inlineStr">
        <is>
          <t>계획관리지역</t>
        </is>
      </c>
      <c r="I4278" s="3" t="inlineStr">
        <is>
          <t>임야</t>
        </is>
      </c>
      <c r="J4278" s="3" t="inlineStr">
        <is>
          <t>강내면</t>
        </is>
      </c>
    </row>
    <row r="4279">
      <c r="A4279" s="3" t="n">
        <v>2026</v>
      </c>
      <c r="B4279" s="4" t="n">
        <v>46800</v>
      </c>
      <c r="C4279" s="4" t="n">
        <v>4555.2</v>
      </c>
      <c r="D4279" s="4" t="n">
        <v>1377.948</v>
      </c>
      <c r="E4279" s="5" t="n">
        <v>34</v>
      </c>
      <c r="F4279" s="3" t="inlineStr">
        <is>
          <t>강내면</t>
        </is>
      </c>
      <c r="G4279" s="3" t="inlineStr">
        <is>
          <t>저산리</t>
        </is>
      </c>
      <c r="H4279" s="3" t="inlineStr">
        <is>
          <t>농림지역</t>
        </is>
      </c>
      <c r="I4279" s="3" t="inlineStr">
        <is>
          <t>답</t>
        </is>
      </c>
      <c r="J4279" s="3" t="inlineStr">
        <is>
          <t>강내면</t>
        </is>
      </c>
    </row>
    <row r="4280">
      <c r="A4280" s="3" t="n">
        <v>2026</v>
      </c>
      <c r="B4280" s="4" t="n">
        <v>24951</v>
      </c>
      <c r="C4280" s="4" t="n">
        <v>480.9</v>
      </c>
      <c r="D4280" s="4" t="n">
        <v>145.47225</v>
      </c>
      <c r="E4280" s="5" t="n">
        <v>171.5</v>
      </c>
      <c r="F4280" s="3" t="inlineStr">
        <is>
          <t>강내면</t>
        </is>
      </c>
      <c r="G4280" s="3" t="inlineStr">
        <is>
          <t>사곡리</t>
        </is>
      </c>
      <c r="H4280" s="3" t="inlineStr">
        <is>
          <t>보전관리지역</t>
        </is>
      </c>
      <c r="I4280" s="3" t="inlineStr">
        <is>
          <t>대</t>
        </is>
      </c>
      <c r="J4280" s="3" t="inlineStr">
        <is>
          <t>강내면</t>
        </is>
      </c>
    </row>
    <row r="4281">
      <c r="A4281" s="3" t="n">
        <v>2024</v>
      </c>
      <c r="B4281" s="4" t="n">
        <v>5700</v>
      </c>
      <c r="C4281" s="4" t="n">
        <v>249</v>
      </c>
      <c r="D4281" s="4" t="n">
        <v>75.32249999999999</v>
      </c>
      <c r="E4281" s="5" t="n">
        <v>75.7</v>
      </c>
      <c r="F4281" s="3" t="inlineStr">
        <is>
          <t>남이면</t>
        </is>
      </c>
      <c r="G4281" s="3" t="inlineStr">
        <is>
          <t>양촌리</t>
        </is>
      </c>
      <c r="H4281" s="3" t="inlineStr">
        <is>
          <t>자연녹지지역</t>
        </is>
      </c>
      <c r="I4281" s="3" t="inlineStr">
        <is>
          <t>전</t>
        </is>
      </c>
      <c r="J4281" s="3" t="inlineStr">
        <is>
          <t>남이면</t>
        </is>
      </c>
    </row>
    <row r="4282">
      <c r="A4282" s="3" t="n">
        <v>2024</v>
      </c>
      <c r="B4282" s="4" t="n">
        <v>250</v>
      </c>
      <c r="C4282" s="4" t="n">
        <v>394</v>
      </c>
      <c r="D4282" s="4" t="n">
        <v>119.185</v>
      </c>
      <c r="E4282" s="5" t="n">
        <v>2.1</v>
      </c>
      <c r="F4282" s="3" t="inlineStr">
        <is>
          <t>남이면</t>
        </is>
      </c>
      <c r="G4282" s="3" t="inlineStr">
        <is>
          <t>사동리</t>
        </is>
      </c>
      <c r="H4282" s="3" t="inlineStr">
        <is>
          <t>보전녹지지역</t>
        </is>
      </c>
      <c r="I4282" s="3" t="inlineStr">
        <is>
          <t>임야</t>
        </is>
      </c>
      <c r="J4282" s="3" t="inlineStr">
        <is>
          <t>남이면</t>
        </is>
      </c>
    </row>
    <row r="4283">
      <c r="A4283" s="3" t="n">
        <v>2024</v>
      </c>
      <c r="B4283" s="4" t="n">
        <v>3672</v>
      </c>
      <c r="C4283" s="4" t="n">
        <v>51</v>
      </c>
      <c r="D4283" s="4" t="n">
        <v>15.4275</v>
      </c>
      <c r="E4283" s="5" t="n">
        <v>238</v>
      </c>
      <c r="F4283" s="3" t="inlineStr">
        <is>
          <t>남이면</t>
        </is>
      </c>
      <c r="G4283" s="3" t="inlineStr">
        <is>
          <t>척산리</t>
        </is>
      </c>
      <c r="H4283" s="3" t="inlineStr">
        <is>
          <t>계획관리지역</t>
        </is>
      </c>
      <c r="I4283" s="3" t="inlineStr">
        <is>
          <t>대</t>
        </is>
      </c>
      <c r="J4283" s="3" t="inlineStr">
        <is>
          <t>남이면</t>
        </is>
      </c>
    </row>
    <row r="4284">
      <c r="A4284" s="3" t="n">
        <v>2024</v>
      </c>
      <c r="B4284" s="4" t="n">
        <v>50000</v>
      </c>
      <c r="C4284" s="4" t="n">
        <v>2223</v>
      </c>
      <c r="D4284" s="4" t="n">
        <v>672.4575</v>
      </c>
      <c r="E4284" s="5" t="n">
        <v>74.40000000000001</v>
      </c>
      <c r="F4284" s="3" t="inlineStr">
        <is>
          <t>남이면</t>
        </is>
      </c>
      <c r="G4284" s="3" t="inlineStr">
        <is>
          <t>척산리</t>
        </is>
      </c>
      <c r="H4284" s="3" t="inlineStr">
        <is>
          <t>생산관리지역</t>
        </is>
      </c>
      <c r="I4284" s="3" t="inlineStr">
        <is>
          <t>답</t>
        </is>
      </c>
      <c r="J4284" s="3" t="inlineStr">
        <is>
          <t>남이면</t>
        </is>
      </c>
    </row>
    <row r="4285">
      <c r="A4285" s="3" t="n">
        <v>2024</v>
      </c>
      <c r="B4285" s="4" t="n">
        <v>3672</v>
      </c>
      <c r="C4285" s="4" t="n">
        <v>51</v>
      </c>
      <c r="D4285" s="4" t="n">
        <v>15.4275</v>
      </c>
      <c r="E4285" s="5" t="n">
        <v>238</v>
      </c>
      <c r="F4285" s="3" t="inlineStr">
        <is>
          <t>남이면</t>
        </is>
      </c>
      <c r="G4285" s="3" t="inlineStr">
        <is>
          <t>척산리</t>
        </is>
      </c>
      <c r="H4285" s="3" t="inlineStr">
        <is>
          <t>계획관리지역</t>
        </is>
      </c>
      <c r="I4285" s="3" t="inlineStr">
        <is>
          <t>대</t>
        </is>
      </c>
      <c r="J4285" s="3" t="inlineStr">
        <is>
          <t>남이면</t>
        </is>
      </c>
    </row>
    <row r="4286">
      <c r="A4286" s="3" t="n">
        <v>2024</v>
      </c>
      <c r="B4286" s="4" t="n">
        <v>690</v>
      </c>
      <c r="C4286" s="4" t="n">
        <v>20</v>
      </c>
      <c r="D4286" s="4" t="n">
        <v>6.05</v>
      </c>
      <c r="E4286" s="5" t="n">
        <v>114</v>
      </c>
      <c r="F4286" s="3" t="inlineStr">
        <is>
          <t>남이면</t>
        </is>
      </c>
      <c r="G4286" s="3" t="inlineStr">
        <is>
          <t>외천리</t>
        </is>
      </c>
      <c r="H4286" s="3" t="inlineStr">
        <is>
          <t>계획관리지역</t>
        </is>
      </c>
      <c r="I4286" s="3" t="inlineStr">
        <is>
          <t>임야</t>
        </is>
      </c>
      <c r="J4286" s="3" t="inlineStr">
        <is>
          <t>남이면</t>
        </is>
      </c>
    </row>
    <row r="4287">
      <c r="A4287" s="3" t="n">
        <v>2024</v>
      </c>
      <c r="B4287" s="4" t="n">
        <v>1368</v>
      </c>
      <c r="C4287" s="4" t="n">
        <v>191</v>
      </c>
      <c r="D4287" s="4" t="n">
        <v>57.7775</v>
      </c>
      <c r="E4287" s="5" t="n">
        <v>23.7</v>
      </c>
      <c r="F4287" s="3" t="inlineStr">
        <is>
          <t>남이면</t>
        </is>
      </c>
      <c r="G4287" s="3" t="inlineStr">
        <is>
          <t>산막리</t>
        </is>
      </c>
      <c r="H4287" s="3" t="inlineStr">
        <is>
          <t>계획관리지역</t>
        </is>
      </c>
      <c r="I4287" s="3" t="inlineStr">
        <is>
          <t>전</t>
        </is>
      </c>
      <c r="J4287" s="3" t="inlineStr">
        <is>
          <t>남이면</t>
        </is>
      </c>
    </row>
    <row r="4288">
      <c r="A4288" s="3" t="n">
        <v>2024</v>
      </c>
      <c r="B4288" s="4" t="n">
        <v>14000</v>
      </c>
      <c r="C4288" s="4" t="n">
        <v>462</v>
      </c>
      <c r="D4288" s="4" t="n">
        <v>139.755</v>
      </c>
      <c r="E4288" s="5" t="n">
        <v>100.2</v>
      </c>
      <c r="F4288" s="3" t="inlineStr">
        <is>
          <t>남이면</t>
        </is>
      </c>
      <c r="G4288" s="3" t="inlineStr">
        <is>
          <t>가마리</t>
        </is>
      </c>
      <c r="H4288" s="3" t="inlineStr">
        <is>
          <t>자연녹지지역</t>
        </is>
      </c>
      <c r="I4288" s="3" t="inlineStr">
        <is>
          <t>전</t>
        </is>
      </c>
      <c r="J4288" s="3" t="inlineStr">
        <is>
          <t>남이면</t>
        </is>
      </c>
    </row>
    <row r="4289">
      <c r="A4289" s="3" t="n">
        <v>2024</v>
      </c>
      <c r="B4289" s="4" t="n">
        <v>13000</v>
      </c>
      <c r="C4289" s="4" t="n">
        <v>777</v>
      </c>
      <c r="D4289" s="4" t="n">
        <v>235.0425</v>
      </c>
      <c r="E4289" s="5" t="n">
        <v>55.3</v>
      </c>
      <c r="F4289" s="3" t="inlineStr">
        <is>
          <t>남이면</t>
        </is>
      </c>
      <c r="G4289" s="3" t="inlineStr">
        <is>
          <t>척산리</t>
        </is>
      </c>
      <c r="H4289" s="3" t="inlineStr">
        <is>
          <t>계획관리지역</t>
        </is>
      </c>
      <c r="I4289" s="3" t="inlineStr">
        <is>
          <t>전</t>
        </is>
      </c>
      <c r="J4289" s="3" t="inlineStr">
        <is>
          <t>남이면</t>
        </is>
      </c>
    </row>
    <row r="4290">
      <c r="A4290" s="3" t="n">
        <v>2024</v>
      </c>
      <c r="B4290" s="4" t="n">
        <v>5780</v>
      </c>
      <c r="C4290" s="4" t="n">
        <v>113</v>
      </c>
      <c r="D4290" s="4" t="n">
        <v>34.1825</v>
      </c>
      <c r="E4290" s="5" t="n">
        <v>169.1</v>
      </c>
      <c r="F4290" s="3" t="inlineStr">
        <is>
          <t>남이면</t>
        </is>
      </c>
      <c r="G4290" s="3" t="inlineStr">
        <is>
          <t>부용외천리</t>
        </is>
      </c>
      <c r="H4290" s="3" t="inlineStr">
        <is>
          <t>계획관리지역</t>
        </is>
      </c>
      <c r="I4290" s="3" t="inlineStr">
        <is>
          <t>도로</t>
        </is>
      </c>
      <c r="J4290" s="3" t="inlineStr">
        <is>
          <t>남이면</t>
        </is>
      </c>
    </row>
    <row r="4291">
      <c r="A4291" s="3" t="n">
        <v>2024</v>
      </c>
      <c r="B4291" s="4" t="n">
        <v>81430</v>
      </c>
      <c r="C4291" s="4" t="n">
        <v>1584</v>
      </c>
      <c r="D4291" s="4" t="n">
        <v>479.16</v>
      </c>
      <c r="E4291" s="5" t="n">
        <v>169.9</v>
      </c>
      <c r="F4291" s="3" t="inlineStr">
        <is>
          <t>남이면</t>
        </is>
      </c>
      <c r="G4291" s="3" t="inlineStr">
        <is>
          <t>부용외천리</t>
        </is>
      </c>
      <c r="H4291" s="3" t="inlineStr">
        <is>
          <t>계획관리지역</t>
        </is>
      </c>
      <c r="I4291" s="3" t="inlineStr">
        <is>
          <t>임야</t>
        </is>
      </c>
      <c r="J4291" s="3" t="inlineStr">
        <is>
          <t>남이면</t>
        </is>
      </c>
    </row>
    <row r="4292">
      <c r="A4292" s="3" t="n">
        <v>2024</v>
      </c>
      <c r="B4292" s="4" t="n">
        <v>44370</v>
      </c>
      <c r="C4292" s="4" t="n">
        <v>864</v>
      </c>
      <c r="D4292" s="4" t="n">
        <v>261.36</v>
      </c>
      <c r="E4292" s="5" t="n">
        <v>169.8</v>
      </c>
      <c r="F4292" s="3" t="inlineStr">
        <is>
          <t>남이면</t>
        </is>
      </c>
      <c r="G4292" s="3" t="inlineStr">
        <is>
          <t>부용외천리</t>
        </is>
      </c>
      <c r="H4292" s="3" t="inlineStr">
        <is>
          <t>계획관리지역</t>
        </is>
      </c>
      <c r="I4292" s="3" t="inlineStr">
        <is>
          <t>도로</t>
        </is>
      </c>
      <c r="J4292" s="3" t="inlineStr">
        <is>
          <t>남이면</t>
        </is>
      </c>
    </row>
    <row r="4293">
      <c r="A4293" s="3" t="n">
        <v>2024</v>
      </c>
      <c r="B4293" s="4" t="n">
        <v>38250</v>
      </c>
      <c r="C4293" s="4" t="n">
        <v>740</v>
      </c>
      <c r="D4293" s="4" t="n">
        <v>223.85</v>
      </c>
      <c r="E4293" s="5" t="n">
        <v>170.9</v>
      </c>
      <c r="F4293" s="3" t="inlineStr">
        <is>
          <t>남이면</t>
        </is>
      </c>
      <c r="G4293" s="3" t="inlineStr">
        <is>
          <t>부용외천리</t>
        </is>
      </c>
      <c r="H4293" s="3" t="inlineStr">
        <is>
          <t>계획관리지역</t>
        </is>
      </c>
      <c r="I4293" s="3" t="inlineStr">
        <is>
          <t>임야</t>
        </is>
      </c>
      <c r="J4293" s="3" t="inlineStr">
        <is>
          <t>남이면</t>
        </is>
      </c>
    </row>
    <row r="4294">
      <c r="A4294" s="3" t="n">
        <v>2023</v>
      </c>
      <c r="B4294" s="4" t="n">
        <v>121413</v>
      </c>
      <c r="C4294" s="4" t="n">
        <v>8412</v>
      </c>
      <c r="D4294" s="4" t="n">
        <v>2544.63</v>
      </c>
      <c r="E4294" s="5" t="n">
        <v>47.7</v>
      </c>
      <c r="F4294" s="3" t="inlineStr">
        <is>
          <t>남이면</t>
        </is>
      </c>
      <c r="G4294" s="3" t="inlineStr">
        <is>
          <t>가좌리</t>
        </is>
      </c>
      <c r="H4294" s="3" t="inlineStr">
        <is>
          <t>자연녹지지역</t>
        </is>
      </c>
      <c r="I4294" s="3" t="inlineStr">
        <is>
          <t>임야</t>
        </is>
      </c>
      <c r="J4294" s="3" t="inlineStr">
        <is>
          <t>남이면</t>
        </is>
      </c>
    </row>
    <row r="4295">
      <c r="A4295" s="3" t="n">
        <v>2023</v>
      </c>
      <c r="B4295" s="4" t="n">
        <v>2587</v>
      </c>
      <c r="C4295" s="4" t="n">
        <v>613</v>
      </c>
      <c r="D4295" s="4" t="n">
        <v>185.4325</v>
      </c>
      <c r="E4295" s="5" t="n">
        <v>14</v>
      </c>
      <c r="F4295" s="3" t="inlineStr">
        <is>
          <t>남이면</t>
        </is>
      </c>
      <c r="G4295" s="3" t="inlineStr">
        <is>
          <t>가좌리</t>
        </is>
      </c>
      <c r="H4295" s="3" t="inlineStr">
        <is>
          <t>자연녹지지역</t>
        </is>
      </c>
      <c r="I4295" s="3" t="inlineStr">
        <is>
          <t>임야</t>
        </is>
      </c>
      <c r="J4295" s="3" t="inlineStr">
        <is>
          <t>남이면</t>
        </is>
      </c>
    </row>
    <row r="4296">
      <c r="A4296" s="3" t="n">
        <v>2023</v>
      </c>
      <c r="B4296" s="4" t="n">
        <v>12900</v>
      </c>
      <c r="C4296" s="4" t="n">
        <v>1075</v>
      </c>
      <c r="D4296" s="4" t="n">
        <v>325.1875</v>
      </c>
      <c r="E4296" s="5" t="n">
        <v>39.7</v>
      </c>
      <c r="F4296" s="3" t="inlineStr">
        <is>
          <t>남이면</t>
        </is>
      </c>
      <c r="G4296" s="3" t="inlineStr">
        <is>
          <t>수대리</t>
        </is>
      </c>
      <c r="H4296" s="3" t="inlineStr">
        <is>
          <t>자연녹지지역</t>
        </is>
      </c>
      <c r="I4296" s="3" t="inlineStr">
        <is>
          <t>답</t>
        </is>
      </c>
      <c r="J4296" s="3" t="inlineStr">
        <is>
          <t>남이면</t>
        </is>
      </c>
    </row>
    <row r="4297">
      <c r="A4297" s="3" t="n">
        <v>2023</v>
      </c>
      <c r="B4297" s="4" t="n">
        <v>25350</v>
      </c>
      <c r="C4297" s="4" t="n">
        <v>2441.7</v>
      </c>
      <c r="D4297" s="4" t="n">
        <v>738.61425</v>
      </c>
      <c r="E4297" s="5" t="n">
        <v>34.3</v>
      </c>
      <c r="F4297" s="3" t="inlineStr">
        <is>
          <t>남이면</t>
        </is>
      </c>
      <c r="G4297" s="3" t="inlineStr">
        <is>
          <t>비룡리</t>
        </is>
      </c>
      <c r="H4297" s="3" t="inlineStr">
        <is>
          <t>생산관리지역</t>
        </is>
      </c>
      <c r="I4297" s="3" t="inlineStr">
        <is>
          <t>답</t>
        </is>
      </c>
      <c r="J4297" s="3" t="inlineStr">
        <is>
          <t>남이면</t>
        </is>
      </c>
    </row>
    <row r="4298">
      <c r="A4298" s="3" t="n">
        <v>2023</v>
      </c>
      <c r="B4298" s="4" t="n">
        <v>10000</v>
      </c>
      <c r="C4298" s="4" t="n">
        <v>1248</v>
      </c>
      <c r="D4298" s="4" t="n">
        <v>377.52</v>
      </c>
      <c r="E4298" s="5" t="n">
        <v>26.5</v>
      </c>
      <c r="F4298" s="3" t="inlineStr">
        <is>
          <t>남이면</t>
        </is>
      </c>
      <c r="G4298" s="3" t="inlineStr">
        <is>
          <t>팔봉리</t>
        </is>
      </c>
      <c r="H4298" s="3" t="inlineStr">
        <is>
          <t>자연녹지지역</t>
        </is>
      </c>
      <c r="I4298" s="3" t="inlineStr">
        <is>
          <t>임야</t>
        </is>
      </c>
      <c r="J4298" s="3" t="inlineStr">
        <is>
          <t>남이면</t>
        </is>
      </c>
    </row>
    <row r="4299">
      <c r="A4299" s="3" t="n">
        <v>2023</v>
      </c>
      <c r="B4299" s="4" t="n">
        <v>23619</v>
      </c>
      <c r="C4299" s="4" t="n">
        <v>488</v>
      </c>
      <c r="D4299" s="4" t="n">
        <v>147.62</v>
      </c>
      <c r="E4299" s="5" t="n">
        <v>160</v>
      </c>
      <c r="F4299" s="3" t="inlineStr">
        <is>
          <t>남이면</t>
        </is>
      </c>
      <c r="G4299" s="3" t="inlineStr">
        <is>
          <t>석판리</t>
        </is>
      </c>
      <c r="H4299" s="3" t="inlineStr">
        <is>
          <t>자연녹지지역</t>
        </is>
      </c>
      <c r="I4299" s="3" t="inlineStr">
        <is>
          <t>임야</t>
        </is>
      </c>
      <c r="J4299" s="3" t="inlineStr">
        <is>
          <t>남이면</t>
        </is>
      </c>
    </row>
    <row r="4300">
      <c r="A4300" s="3" t="n">
        <v>2023</v>
      </c>
      <c r="B4300" s="4" t="n">
        <v>1652</v>
      </c>
      <c r="C4300" s="4" t="n">
        <v>173</v>
      </c>
      <c r="D4300" s="4" t="n">
        <v>52.3325</v>
      </c>
      <c r="E4300" s="5" t="n">
        <v>31.6</v>
      </c>
      <c r="F4300" s="3" t="inlineStr">
        <is>
          <t>남이면</t>
        </is>
      </c>
      <c r="G4300" s="3" t="inlineStr">
        <is>
          <t>석실리</t>
        </is>
      </c>
      <c r="H4300" s="3" t="inlineStr">
        <is>
          <t>보전녹지지역</t>
        </is>
      </c>
      <c r="I4300" s="3" t="inlineStr">
        <is>
          <t>임야</t>
        </is>
      </c>
      <c r="J4300" s="3" t="inlineStr">
        <is>
          <t>남이면</t>
        </is>
      </c>
    </row>
    <row r="4301">
      <c r="A4301" s="3" t="n">
        <v>2023</v>
      </c>
      <c r="B4301" s="4" t="n">
        <v>8076</v>
      </c>
      <c r="C4301" s="4" t="n">
        <v>923</v>
      </c>
      <c r="D4301" s="4" t="n">
        <v>279.2075</v>
      </c>
      <c r="E4301" s="5" t="n">
        <v>28.9</v>
      </c>
      <c r="F4301" s="3" t="inlineStr">
        <is>
          <t>남이면</t>
        </is>
      </c>
      <c r="G4301" s="3" t="inlineStr">
        <is>
          <t>석실리</t>
        </is>
      </c>
      <c r="H4301" s="3" t="inlineStr">
        <is>
          <t>보전녹지지역</t>
        </is>
      </c>
      <c r="I4301" s="3" t="inlineStr">
        <is>
          <t>임야</t>
        </is>
      </c>
      <c r="J4301" s="3" t="inlineStr">
        <is>
          <t>남이면</t>
        </is>
      </c>
    </row>
    <row r="4302">
      <c r="A4302" s="3" t="n">
        <v>2023</v>
      </c>
      <c r="B4302" s="4" t="n">
        <v>12654</v>
      </c>
      <c r="C4302" s="4" t="n">
        <v>1325</v>
      </c>
      <c r="D4302" s="4" t="n">
        <v>400.8125</v>
      </c>
      <c r="E4302" s="5" t="n">
        <v>31.6</v>
      </c>
      <c r="F4302" s="3" t="inlineStr">
        <is>
          <t>남이면</t>
        </is>
      </c>
      <c r="G4302" s="3" t="inlineStr">
        <is>
          <t>석실리</t>
        </is>
      </c>
      <c r="H4302" s="3" t="inlineStr">
        <is>
          <t>보전녹지지역</t>
        </is>
      </c>
      <c r="I4302" s="3" t="inlineStr">
        <is>
          <t>임야</t>
        </is>
      </c>
      <c r="J4302" s="3" t="inlineStr">
        <is>
          <t>남이면</t>
        </is>
      </c>
    </row>
    <row r="4303">
      <c r="A4303" s="3" t="n">
        <v>2023</v>
      </c>
      <c r="B4303" s="4" t="n">
        <v>63</v>
      </c>
      <c r="C4303" s="4" t="n">
        <v>4</v>
      </c>
      <c r="D4303" s="4" t="n">
        <v>1.21</v>
      </c>
      <c r="E4303" s="5" t="n">
        <v>52.1</v>
      </c>
      <c r="F4303" s="3" t="inlineStr">
        <is>
          <t>남이면</t>
        </is>
      </c>
      <c r="G4303" s="3" t="inlineStr">
        <is>
          <t>가좌리</t>
        </is>
      </c>
      <c r="H4303" s="3" t="inlineStr">
        <is>
          <t>보전녹지지역</t>
        </is>
      </c>
      <c r="I4303" s="3" t="inlineStr">
        <is>
          <t>전</t>
        </is>
      </c>
      <c r="J4303" s="3" t="inlineStr">
        <is>
          <t>남이면</t>
        </is>
      </c>
    </row>
    <row r="4304">
      <c r="A4304" s="3" t="n">
        <v>2023</v>
      </c>
      <c r="B4304" s="4" t="n">
        <v>64800</v>
      </c>
      <c r="C4304" s="4" t="n">
        <v>1532</v>
      </c>
      <c r="D4304" s="4" t="n">
        <v>463.43</v>
      </c>
      <c r="E4304" s="5" t="n">
        <v>139.8</v>
      </c>
      <c r="F4304" s="3" t="inlineStr">
        <is>
          <t>남이면</t>
        </is>
      </c>
      <c r="G4304" s="3" t="inlineStr">
        <is>
          <t>가좌리</t>
        </is>
      </c>
      <c r="H4304" s="3" t="inlineStr">
        <is>
          <t>자연녹지지역</t>
        </is>
      </c>
      <c r="I4304" s="3" t="inlineStr">
        <is>
          <t>임야</t>
        </is>
      </c>
      <c r="J4304" s="3" t="inlineStr">
        <is>
          <t>남이면</t>
        </is>
      </c>
    </row>
    <row r="4305">
      <c r="A4305" s="3" t="n">
        <v>2023</v>
      </c>
      <c r="B4305" s="4" t="n">
        <v>3700</v>
      </c>
      <c r="C4305" s="4" t="n">
        <v>122</v>
      </c>
      <c r="D4305" s="4" t="n">
        <v>36.905</v>
      </c>
      <c r="E4305" s="5" t="n">
        <v>100.3</v>
      </c>
      <c r="F4305" s="3" t="inlineStr">
        <is>
          <t>남이면</t>
        </is>
      </c>
      <c r="G4305" s="3" t="inlineStr">
        <is>
          <t>가좌리</t>
        </is>
      </c>
      <c r="H4305" s="3" t="inlineStr">
        <is>
          <t>자연녹지지역</t>
        </is>
      </c>
      <c r="I4305" s="3" t="inlineStr">
        <is>
          <t>답</t>
        </is>
      </c>
      <c r="J4305" s="3" t="inlineStr">
        <is>
          <t>남이면</t>
        </is>
      </c>
    </row>
    <row r="4306">
      <c r="A4306" s="3" t="n">
        <v>2023</v>
      </c>
      <c r="B4306" s="4" t="n">
        <v>64800</v>
      </c>
      <c r="C4306" s="4" t="n">
        <v>1532</v>
      </c>
      <c r="D4306" s="4" t="n">
        <v>463.43</v>
      </c>
      <c r="E4306" s="5" t="n">
        <v>139.8</v>
      </c>
      <c r="F4306" s="3" t="inlineStr">
        <is>
          <t>남이면</t>
        </is>
      </c>
      <c r="G4306" s="3" t="inlineStr">
        <is>
          <t>가좌리</t>
        </is>
      </c>
      <c r="H4306" s="3" t="inlineStr">
        <is>
          <t>자연녹지지역</t>
        </is>
      </c>
      <c r="I4306" s="3" t="inlineStr">
        <is>
          <t>임야</t>
        </is>
      </c>
      <c r="J4306" s="3" t="inlineStr">
        <is>
          <t>남이면</t>
        </is>
      </c>
    </row>
    <row r="4307">
      <c r="A4307" s="3" t="n">
        <v>2023</v>
      </c>
      <c r="B4307" s="4" t="n">
        <v>3700</v>
      </c>
      <c r="C4307" s="4" t="n">
        <v>122</v>
      </c>
      <c r="D4307" s="4" t="n">
        <v>36.905</v>
      </c>
      <c r="E4307" s="5" t="n">
        <v>100.3</v>
      </c>
      <c r="F4307" s="3" t="inlineStr">
        <is>
          <t>남이면</t>
        </is>
      </c>
      <c r="G4307" s="3" t="inlineStr">
        <is>
          <t>가좌리</t>
        </is>
      </c>
      <c r="H4307" s="3" t="inlineStr">
        <is>
          <t>자연녹지지역</t>
        </is>
      </c>
      <c r="I4307" s="3" t="inlineStr">
        <is>
          <t>답</t>
        </is>
      </c>
      <c r="J4307" s="3" t="inlineStr">
        <is>
          <t>남이면</t>
        </is>
      </c>
    </row>
    <row r="4308">
      <c r="A4308" s="3" t="n">
        <v>2023</v>
      </c>
      <c r="B4308" s="4" t="n">
        <v>38250</v>
      </c>
      <c r="C4308" s="4" t="n">
        <v>827</v>
      </c>
      <c r="D4308" s="4" t="n">
        <v>250.1675</v>
      </c>
      <c r="E4308" s="5" t="n">
        <v>152.9</v>
      </c>
      <c r="F4308" s="3" t="inlineStr">
        <is>
          <t>남이면</t>
        </is>
      </c>
      <c r="G4308" s="3" t="inlineStr">
        <is>
          <t>양촌리</t>
        </is>
      </c>
      <c r="H4308" s="3" t="inlineStr">
        <is>
          <t>자연녹지지역</t>
        </is>
      </c>
      <c r="I4308" s="3" t="inlineStr">
        <is>
          <t>답</t>
        </is>
      </c>
      <c r="J4308" s="3" t="inlineStr">
        <is>
          <t>남이면</t>
        </is>
      </c>
    </row>
    <row r="4309">
      <c r="A4309" s="3" t="n">
        <v>2023</v>
      </c>
      <c r="B4309" s="4" t="n">
        <v>38000</v>
      </c>
      <c r="C4309" s="4" t="n">
        <v>2373</v>
      </c>
      <c r="D4309" s="4" t="n">
        <v>717.8325</v>
      </c>
      <c r="E4309" s="5" t="n">
        <v>52.9</v>
      </c>
      <c r="F4309" s="3" t="inlineStr">
        <is>
          <t>남이면</t>
        </is>
      </c>
      <c r="G4309" s="3" t="inlineStr">
        <is>
          <t>척산리</t>
        </is>
      </c>
      <c r="H4309" s="3" t="inlineStr">
        <is>
          <t>자연녹지지역</t>
        </is>
      </c>
      <c r="I4309" s="3" t="inlineStr">
        <is>
          <t>답</t>
        </is>
      </c>
      <c r="J4309" s="3" t="inlineStr">
        <is>
          <t>남이면</t>
        </is>
      </c>
    </row>
    <row r="4310">
      <c r="A4310" s="3" t="n">
        <v>2025</v>
      </c>
      <c r="B4310" s="4" t="n">
        <v>21500</v>
      </c>
      <c r="C4310" s="4" t="n">
        <v>1884</v>
      </c>
      <c r="D4310" s="4" t="n">
        <v>569.91</v>
      </c>
      <c r="E4310" s="5" t="n">
        <v>37.7</v>
      </c>
      <c r="F4310" s="3" t="inlineStr">
        <is>
          <t>강내면</t>
        </is>
      </c>
      <c r="G4310" s="3" t="inlineStr">
        <is>
          <t>탑연리</t>
        </is>
      </c>
      <c r="H4310" s="3" t="inlineStr">
        <is>
          <t>자연녹지지역</t>
        </is>
      </c>
      <c r="I4310" s="3" t="inlineStr">
        <is>
          <t>답</t>
        </is>
      </c>
      <c r="J4310" s="3" t="inlineStr">
        <is>
          <t>강내면</t>
        </is>
      </c>
    </row>
    <row r="4311">
      <c r="A4311" s="3" t="n">
        <v>2025</v>
      </c>
      <c r="B4311" s="4" t="n">
        <v>76</v>
      </c>
      <c r="C4311" s="4" t="n">
        <v>7</v>
      </c>
      <c r="D4311" s="4" t="n">
        <v>2.1175</v>
      </c>
      <c r="E4311" s="5" t="n">
        <v>35.9</v>
      </c>
      <c r="F4311" s="3" t="inlineStr">
        <is>
          <t>강내면</t>
        </is>
      </c>
      <c r="G4311" s="3" t="inlineStr">
        <is>
          <t>학천리</t>
        </is>
      </c>
      <c r="H4311" s="3" t="inlineStr">
        <is>
          <t>생산녹지지역</t>
        </is>
      </c>
      <c r="I4311" s="3" t="inlineStr">
        <is>
          <t>답</t>
        </is>
      </c>
      <c r="J4311" s="3" t="inlineStr">
        <is>
          <t>강내면</t>
        </is>
      </c>
    </row>
    <row r="4312">
      <c r="A4312" s="3" t="n">
        <v>2025</v>
      </c>
      <c r="B4312" s="4" t="n">
        <v>700</v>
      </c>
      <c r="C4312" s="4" t="n">
        <v>26</v>
      </c>
      <c r="D4312" s="4" t="n">
        <v>7.865</v>
      </c>
      <c r="E4312" s="5" t="n">
        <v>89</v>
      </c>
      <c r="F4312" s="3" t="inlineStr">
        <is>
          <t>오송읍</t>
        </is>
      </c>
      <c r="G4312" s="3" t="inlineStr">
        <is>
          <t>공북리</t>
        </is>
      </c>
      <c r="H4312" s="3" t="inlineStr">
        <is>
          <t>농림지역</t>
        </is>
      </c>
      <c r="I4312" s="3" t="inlineStr">
        <is>
          <t>답</t>
        </is>
      </c>
      <c r="J4312" s="3" t="inlineStr">
        <is>
          <t>오송읍</t>
        </is>
      </c>
    </row>
    <row r="4313">
      <c r="A4313" s="3" t="n">
        <v>2025</v>
      </c>
      <c r="B4313" s="4" t="n">
        <v>18000</v>
      </c>
      <c r="C4313" s="4" t="n">
        <v>833</v>
      </c>
      <c r="D4313" s="4" t="n">
        <v>251.9825</v>
      </c>
      <c r="E4313" s="5" t="n">
        <v>71.40000000000001</v>
      </c>
      <c r="F4313" s="3" t="inlineStr">
        <is>
          <t>강내면</t>
        </is>
      </c>
      <c r="G4313" s="3" t="inlineStr">
        <is>
          <t>태성리</t>
        </is>
      </c>
      <c r="H4313" s="3" t="inlineStr">
        <is>
          <t>계획관리지역</t>
        </is>
      </c>
      <c r="I4313" s="3" t="inlineStr">
        <is>
          <t>답</t>
        </is>
      </c>
      <c r="J4313" s="3" t="inlineStr">
        <is>
          <t>강내면</t>
        </is>
      </c>
    </row>
    <row r="4314">
      <c r="A4314" s="3" t="n">
        <v>2025</v>
      </c>
      <c r="B4314" s="4" t="n">
        <v>7000</v>
      </c>
      <c r="C4314" s="4" t="n">
        <v>221</v>
      </c>
      <c r="D4314" s="4" t="n">
        <v>66.85249999999999</v>
      </c>
      <c r="E4314" s="5" t="n">
        <v>104.7</v>
      </c>
      <c r="F4314" s="3" t="inlineStr">
        <is>
          <t>강내면</t>
        </is>
      </c>
      <c r="G4314" s="3" t="inlineStr">
        <is>
          <t>사곡리</t>
        </is>
      </c>
      <c r="H4314" s="3" t="inlineStr">
        <is>
          <t>계획관리지역</t>
        </is>
      </c>
      <c r="I4314" s="3" t="inlineStr">
        <is>
          <t>전</t>
        </is>
      </c>
      <c r="J4314" s="3" t="inlineStr">
        <is>
          <t>강내면</t>
        </is>
      </c>
    </row>
    <row r="4315">
      <c r="A4315" s="3" t="n">
        <v>2025</v>
      </c>
      <c r="B4315" s="4" t="n">
        <v>65000</v>
      </c>
      <c r="C4315" s="4" t="n">
        <v>3412</v>
      </c>
      <c r="D4315" s="4" t="n">
        <v>1032.13</v>
      </c>
      <c r="E4315" s="5" t="n">
        <v>63</v>
      </c>
      <c r="F4315" s="3" t="inlineStr">
        <is>
          <t>오송읍</t>
        </is>
      </c>
      <c r="G4315" s="3" t="inlineStr">
        <is>
          <t>서평리</t>
        </is>
      </c>
      <c r="H4315" s="3" t="inlineStr">
        <is>
          <t>농림지역</t>
        </is>
      </c>
      <c r="I4315" s="3" t="inlineStr">
        <is>
          <t>답</t>
        </is>
      </c>
      <c r="J4315" s="3" t="inlineStr">
        <is>
          <t>오송읍</t>
        </is>
      </c>
    </row>
    <row r="4316">
      <c r="A4316" s="3" t="n">
        <v>2025</v>
      </c>
      <c r="B4316" s="4" t="n">
        <v>33700</v>
      </c>
      <c r="C4316" s="4" t="n">
        <v>7339</v>
      </c>
      <c r="D4316" s="4" t="n">
        <v>2220.0475</v>
      </c>
      <c r="E4316" s="5" t="n">
        <v>15.2</v>
      </c>
      <c r="F4316" s="3" t="inlineStr">
        <is>
          <t>오송읍</t>
        </is>
      </c>
      <c r="G4316" s="3" t="inlineStr">
        <is>
          <t>정중리</t>
        </is>
      </c>
      <c r="H4316" s="3" t="inlineStr">
        <is>
          <t>생산관리지역</t>
        </is>
      </c>
      <c r="I4316" s="3" t="inlineStr">
        <is>
          <t>임야</t>
        </is>
      </c>
      <c r="J4316" s="3" t="inlineStr">
        <is>
          <t>오송읍</t>
        </is>
      </c>
    </row>
    <row r="4317">
      <c r="A4317" s="3" t="n">
        <v>2025</v>
      </c>
      <c r="B4317" s="4" t="n">
        <v>774</v>
      </c>
      <c r="C4317" s="4" t="n">
        <v>36</v>
      </c>
      <c r="D4317" s="4" t="n">
        <v>10.89</v>
      </c>
      <c r="E4317" s="5" t="n">
        <v>71.09999999999999</v>
      </c>
      <c r="F4317" s="3" t="inlineStr">
        <is>
          <t>강내면</t>
        </is>
      </c>
      <c r="G4317" s="3" t="inlineStr">
        <is>
          <t>황탄리</t>
        </is>
      </c>
      <c r="H4317" s="3" t="inlineStr">
        <is>
          <t>농림지역</t>
        </is>
      </c>
      <c r="I4317" s="3" t="inlineStr">
        <is>
          <t>답</t>
        </is>
      </c>
      <c r="J4317" s="3" t="inlineStr">
        <is>
          <t>강내면</t>
        </is>
      </c>
    </row>
    <row r="4318">
      <c r="A4318" s="3" t="n">
        <v>2025</v>
      </c>
      <c r="B4318" s="4" t="n">
        <v>36742</v>
      </c>
      <c r="C4318" s="4" t="n">
        <v>1514</v>
      </c>
      <c r="D4318" s="4" t="n">
        <v>457.985</v>
      </c>
      <c r="E4318" s="5" t="n">
        <v>80.2</v>
      </c>
      <c r="F4318" s="3" t="inlineStr">
        <is>
          <t>강내면</t>
        </is>
      </c>
      <c r="G4318" s="3" t="inlineStr">
        <is>
          <t>황탄리</t>
        </is>
      </c>
      <c r="H4318" s="3" t="inlineStr">
        <is>
          <t>농림지역</t>
        </is>
      </c>
      <c r="I4318" s="3" t="inlineStr">
        <is>
          <t>전</t>
        </is>
      </c>
      <c r="J4318" s="3" t="inlineStr">
        <is>
          <t>강내면</t>
        </is>
      </c>
    </row>
    <row r="4319">
      <c r="A4319" s="3" t="n">
        <v>2025</v>
      </c>
      <c r="B4319" s="4" t="n">
        <v>6164</v>
      </c>
      <c r="C4319" s="4" t="n">
        <v>254</v>
      </c>
      <c r="D4319" s="4" t="n">
        <v>76.83499999999999</v>
      </c>
      <c r="E4319" s="5" t="n">
        <v>80.2</v>
      </c>
      <c r="F4319" s="3" t="inlineStr">
        <is>
          <t>강내면</t>
        </is>
      </c>
      <c r="G4319" s="3" t="inlineStr">
        <is>
          <t>황탄리</t>
        </is>
      </c>
      <c r="H4319" s="3" t="inlineStr">
        <is>
          <t>농림지역</t>
        </is>
      </c>
      <c r="I4319" s="3" t="inlineStr">
        <is>
          <t>전</t>
        </is>
      </c>
      <c r="J4319" s="3" t="inlineStr">
        <is>
          <t>강내면</t>
        </is>
      </c>
    </row>
    <row r="4320">
      <c r="A4320" s="3" t="n">
        <v>2025</v>
      </c>
      <c r="B4320" s="4" t="n">
        <v>30500</v>
      </c>
      <c r="C4320" s="4" t="n">
        <v>2119</v>
      </c>
      <c r="D4320" s="4" t="n">
        <v>640.9974999999999</v>
      </c>
      <c r="E4320" s="5" t="n">
        <v>47.6</v>
      </c>
      <c r="F4320" s="3" t="inlineStr">
        <is>
          <t>강내면</t>
        </is>
      </c>
      <c r="G4320" s="3" t="inlineStr">
        <is>
          <t>월탄리</t>
        </is>
      </c>
      <c r="H4320" s="3" t="inlineStr">
        <is>
          <t>농림지역</t>
        </is>
      </c>
      <c r="I4320" s="3" t="inlineStr">
        <is>
          <t>전</t>
        </is>
      </c>
      <c r="J4320" s="3" t="inlineStr">
        <is>
          <t>강내면</t>
        </is>
      </c>
    </row>
    <row r="4321">
      <c r="A4321" s="3" t="n">
        <v>2025</v>
      </c>
      <c r="B4321" s="4" t="n">
        <v>175000</v>
      </c>
      <c r="C4321" s="4" t="n">
        <v>57917</v>
      </c>
      <c r="D4321" s="4" t="n">
        <v>17519.8925</v>
      </c>
      <c r="E4321" s="5" t="n">
        <v>10</v>
      </c>
      <c r="F4321" s="3" t="inlineStr">
        <is>
          <t>오송읍</t>
        </is>
      </c>
      <c r="G4321" s="3" t="inlineStr">
        <is>
          <t>상정리</t>
        </is>
      </c>
      <c r="H4321" s="3" t="inlineStr">
        <is>
          <t>생산관리지역</t>
        </is>
      </c>
      <c r="I4321" s="3" t="inlineStr">
        <is>
          <t>임야</t>
        </is>
      </c>
      <c r="J4321" s="3" t="inlineStr">
        <is>
          <t>오송읍</t>
        </is>
      </c>
    </row>
    <row r="4322">
      <c r="A4322" s="3" t="n">
        <v>2025</v>
      </c>
      <c r="B4322" s="4" t="n">
        <v>9000</v>
      </c>
      <c r="C4322" s="4" t="n">
        <v>165</v>
      </c>
      <c r="D4322" s="4" t="n">
        <v>49.9125</v>
      </c>
      <c r="E4322" s="5" t="n">
        <v>180.3</v>
      </c>
      <c r="F4322" s="3" t="inlineStr">
        <is>
          <t>오송읍</t>
        </is>
      </c>
      <c r="G4322" s="3" t="inlineStr">
        <is>
          <t>쌍청리</t>
        </is>
      </c>
      <c r="H4322" s="3" t="inlineStr">
        <is>
          <t>계획관리지역</t>
        </is>
      </c>
      <c r="I4322" s="3" t="inlineStr">
        <is>
          <t>전</t>
        </is>
      </c>
      <c r="J4322" s="3" t="inlineStr">
        <is>
          <t>오송읍</t>
        </is>
      </c>
    </row>
    <row r="4323">
      <c r="A4323" s="3" t="n">
        <v>2025</v>
      </c>
      <c r="B4323" s="4" t="n">
        <v>7000</v>
      </c>
      <c r="C4323" s="4" t="n">
        <v>128</v>
      </c>
      <c r="D4323" s="4" t="n">
        <v>38.72</v>
      </c>
      <c r="E4323" s="5" t="n">
        <v>180.8</v>
      </c>
      <c r="F4323" s="3" t="inlineStr">
        <is>
          <t>오송읍</t>
        </is>
      </c>
      <c r="G4323" s="3" t="inlineStr">
        <is>
          <t>쌍청리</t>
        </is>
      </c>
      <c r="H4323" s="3" t="inlineStr">
        <is>
          <t>계획관리지역</t>
        </is>
      </c>
      <c r="I4323" s="3" t="inlineStr">
        <is>
          <t>전</t>
        </is>
      </c>
      <c r="J4323" s="3" t="inlineStr">
        <is>
          <t>오송읍</t>
        </is>
      </c>
    </row>
    <row r="4324">
      <c r="A4324" s="3" t="n">
        <v>2025</v>
      </c>
      <c r="B4324" s="4" t="n">
        <v>17000</v>
      </c>
      <c r="C4324" s="4" t="n">
        <v>141</v>
      </c>
      <c r="D4324" s="4" t="n">
        <v>42.6525</v>
      </c>
      <c r="E4324" s="5" t="n">
        <v>398.6</v>
      </c>
      <c r="F4324" s="3" t="inlineStr">
        <is>
          <t>오송읍</t>
        </is>
      </c>
      <c r="G4324" s="3" t="inlineStr">
        <is>
          <t>쌍청리</t>
        </is>
      </c>
      <c r="H4324" s="3" t="inlineStr">
        <is>
          <t>계획관리지역</t>
        </is>
      </c>
      <c r="I4324" s="3" t="inlineStr">
        <is>
          <t>대</t>
        </is>
      </c>
      <c r="J4324" s="3" t="inlineStr">
        <is>
          <t>오송읍</t>
        </is>
      </c>
    </row>
    <row r="4325">
      <c r="A4325" s="3" t="n">
        <v>2025</v>
      </c>
      <c r="B4325" s="4" t="n">
        <v>35000</v>
      </c>
      <c r="C4325" s="4" t="n">
        <v>1170</v>
      </c>
      <c r="D4325" s="4" t="n">
        <v>353.925</v>
      </c>
      <c r="E4325" s="5" t="n">
        <v>98.90000000000001</v>
      </c>
      <c r="F4325" s="3" t="inlineStr">
        <is>
          <t>오송읍</t>
        </is>
      </c>
      <c r="G4325" s="3" t="inlineStr">
        <is>
          <t>서평리</t>
        </is>
      </c>
      <c r="H4325" s="3" t="inlineStr">
        <is>
          <t>농림지역</t>
        </is>
      </c>
      <c r="I4325" s="3" t="inlineStr">
        <is>
          <t>답</t>
        </is>
      </c>
      <c r="J4325" s="3" t="inlineStr">
        <is>
          <t>오송읍</t>
        </is>
      </c>
    </row>
    <row r="4326">
      <c r="A4326" s="3" t="n">
        <v>2025</v>
      </c>
      <c r="B4326" s="4" t="n">
        <v>98000</v>
      </c>
      <c r="C4326" s="4" t="n">
        <v>3982</v>
      </c>
      <c r="D4326" s="4" t="n">
        <v>1204.555</v>
      </c>
      <c r="E4326" s="5" t="n">
        <v>81.40000000000001</v>
      </c>
      <c r="F4326" s="3" t="inlineStr">
        <is>
          <t>오송읍</t>
        </is>
      </c>
      <c r="G4326" s="3" t="inlineStr">
        <is>
          <t>서평리</t>
        </is>
      </c>
      <c r="H4326" s="3" t="inlineStr">
        <is>
          <t>농림지역</t>
        </is>
      </c>
      <c r="I4326" s="3" t="inlineStr">
        <is>
          <t>답</t>
        </is>
      </c>
      <c r="J4326" s="3" t="inlineStr">
        <is>
          <t>오송읍</t>
        </is>
      </c>
    </row>
    <row r="4327">
      <c r="A4327" s="3" t="n">
        <v>2025</v>
      </c>
      <c r="B4327" s="4" t="n">
        <v>74500</v>
      </c>
      <c r="C4327" s="4" t="n">
        <v>4026</v>
      </c>
      <c r="D4327" s="4" t="n">
        <v>1217.865</v>
      </c>
      <c r="E4327" s="5" t="n">
        <v>61.2</v>
      </c>
      <c r="F4327" s="3" t="inlineStr">
        <is>
          <t>오송읍</t>
        </is>
      </c>
      <c r="G4327" s="3" t="inlineStr">
        <is>
          <t>서평리</t>
        </is>
      </c>
      <c r="H4327" s="3" t="inlineStr">
        <is>
          <t>농림지역</t>
        </is>
      </c>
      <c r="I4327" s="3" t="inlineStr">
        <is>
          <t>답</t>
        </is>
      </c>
      <c r="J4327" s="3" t="inlineStr">
        <is>
          <t>오송읍</t>
        </is>
      </c>
    </row>
    <row r="4328">
      <c r="A4328" s="3" t="n">
        <v>2022</v>
      </c>
      <c r="B4328" s="4" t="n">
        <v>27000</v>
      </c>
      <c r="C4328" s="4" t="n">
        <v>244</v>
      </c>
      <c r="D4328" s="4" t="n">
        <v>73.81</v>
      </c>
      <c r="E4328" s="5" t="n">
        <v>365.8</v>
      </c>
      <c r="F4328" s="3" t="inlineStr">
        <is>
          <t>오송읍</t>
        </is>
      </c>
      <c r="G4328" s="3" t="inlineStr">
        <is>
          <t>봉산리</t>
        </is>
      </c>
      <c r="H4328" s="3" t="inlineStr">
        <is>
          <t>제1종일반주거지역</t>
        </is>
      </c>
      <c r="I4328" s="3" t="inlineStr">
        <is>
          <t>대</t>
        </is>
      </c>
      <c r="J4328" s="3" t="inlineStr">
        <is>
          <t>오송읍</t>
        </is>
      </c>
    </row>
    <row r="4329">
      <c r="A4329" s="3" t="n">
        <v>2022</v>
      </c>
      <c r="B4329" s="4" t="n">
        <v>45000</v>
      </c>
      <c r="C4329" s="4" t="n">
        <v>252.1</v>
      </c>
      <c r="D4329" s="4" t="n">
        <v>76.26025</v>
      </c>
      <c r="E4329" s="5" t="n">
        <v>590.1</v>
      </c>
      <c r="F4329" s="3" t="inlineStr">
        <is>
          <t>오송읍</t>
        </is>
      </c>
      <c r="G4329" s="3" t="inlineStr">
        <is>
          <t>봉산리</t>
        </is>
      </c>
      <c r="H4329" s="3" t="inlineStr">
        <is>
          <t>제1종일반주거지역</t>
        </is>
      </c>
      <c r="I4329" s="3" t="inlineStr">
        <is>
          <t>대</t>
        </is>
      </c>
      <c r="J4329" s="3" t="inlineStr">
        <is>
          <t>오송읍</t>
        </is>
      </c>
    </row>
    <row r="4330">
      <c r="A4330" s="3" t="n">
        <v>2022</v>
      </c>
      <c r="B4330" s="4" t="n">
        <v>64800</v>
      </c>
      <c r="C4330" s="4" t="n">
        <v>2144</v>
      </c>
      <c r="D4330" s="4" t="n">
        <v>648.5599999999999</v>
      </c>
      <c r="E4330" s="5" t="n">
        <v>99.90000000000001</v>
      </c>
      <c r="F4330" s="3" t="inlineStr">
        <is>
          <t>오송읍</t>
        </is>
      </c>
      <c r="G4330" s="3" t="inlineStr">
        <is>
          <t>정중리</t>
        </is>
      </c>
      <c r="H4330" s="3" t="inlineStr">
        <is>
          <t>생산관리지역</t>
        </is>
      </c>
      <c r="I4330" s="3" t="inlineStr">
        <is>
          <t>전</t>
        </is>
      </c>
      <c r="J4330" s="3" t="inlineStr">
        <is>
          <t>오송읍</t>
        </is>
      </c>
    </row>
    <row r="4331">
      <c r="A4331" s="3" t="n">
        <v>2022</v>
      </c>
      <c r="B4331" s="4" t="n">
        <v>9120</v>
      </c>
      <c r="C4331" s="4" t="n">
        <v>383</v>
      </c>
      <c r="D4331" s="4" t="n">
        <v>115.8575</v>
      </c>
      <c r="E4331" s="5" t="n">
        <v>78.7</v>
      </c>
      <c r="F4331" s="3" t="inlineStr">
        <is>
          <t>강내면</t>
        </is>
      </c>
      <c r="G4331" s="3" t="inlineStr">
        <is>
          <t>당곡리</t>
        </is>
      </c>
      <c r="H4331" s="3" t="inlineStr">
        <is>
          <t>계획관리지역</t>
        </is>
      </c>
      <c r="I4331" s="3" t="inlineStr">
        <is>
          <t>전</t>
        </is>
      </c>
      <c r="J4331" s="3" t="inlineStr">
        <is>
          <t>강내면</t>
        </is>
      </c>
    </row>
    <row r="4332">
      <c r="A4332" s="3" t="n">
        <v>2022</v>
      </c>
      <c r="B4332" s="4" t="n">
        <v>28000</v>
      </c>
      <c r="C4332" s="4" t="n">
        <v>296.7</v>
      </c>
      <c r="D4332" s="4" t="n">
        <v>89.75174999999999</v>
      </c>
      <c r="E4332" s="5" t="n">
        <v>312</v>
      </c>
      <c r="F4332" s="3" t="inlineStr">
        <is>
          <t>오송읍</t>
        </is>
      </c>
      <c r="G4332" s="3" t="inlineStr">
        <is>
          <t>봉산리</t>
        </is>
      </c>
      <c r="H4332" s="3" t="inlineStr">
        <is>
          <t>제1종일반주거지역</t>
        </is>
      </c>
      <c r="I4332" s="3" t="inlineStr">
        <is>
          <t>대</t>
        </is>
      </c>
      <c r="J4332" s="3" t="inlineStr">
        <is>
          <t>오송읍</t>
        </is>
      </c>
    </row>
    <row r="4333">
      <c r="A4333" s="3" t="n">
        <v>2022</v>
      </c>
      <c r="B4333" s="4" t="n">
        <v>28000</v>
      </c>
      <c r="C4333" s="4" t="n">
        <v>274</v>
      </c>
      <c r="D4333" s="4" t="n">
        <v>82.88499999999999</v>
      </c>
      <c r="E4333" s="5" t="n">
        <v>337.8</v>
      </c>
      <c r="F4333" s="3" t="inlineStr">
        <is>
          <t>오송읍</t>
        </is>
      </c>
      <c r="G4333" s="3" t="inlineStr">
        <is>
          <t>봉산리</t>
        </is>
      </c>
      <c r="H4333" s="3" t="inlineStr">
        <is>
          <t>제1종일반주거지역</t>
        </is>
      </c>
      <c r="I4333" s="3" t="inlineStr">
        <is>
          <t>대</t>
        </is>
      </c>
      <c r="J4333" s="3" t="inlineStr">
        <is>
          <t>오송읍</t>
        </is>
      </c>
    </row>
    <row r="4334">
      <c r="A4334" s="3" t="n">
        <v>2022</v>
      </c>
      <c r="B4334" s="4" t="n">
        <v>18950</v>
      </c>
      <c r="C4334" s="4" t="n">
        <v>1160</v>
      </c>
      <c r="D4334" s="4" t="n">
        <v>350.9</v>
      </c>
      <c r="E4334" s="5" t="n">
        <v>54</v>
      </c>
      <c r="F4334" s="3" t="inlineStr">
        <is>
          <t>오송읍</t>
        </is>
      </c>
      <c r="G4334" s="3" t="inlineStr">
        <is>
          <t>정중리</t>
        </is>
      </c>
      <c r="H4334" s="3" t="inlineStr">
        <is>
          <t>농림지역</t>
        </is>
      </c>
      <c r="I4334" s="3" t="inlineStr">
        <is>
          <t>답</t>
        </is>
      </c>
      <c r="J4334" s="3" t="inlineStr">
        <is>
          <t>오송읍</t>
        </is>
      </c>
    </row>
    <row r="4335">
      <c r="A4335" s="3" t="n">
        <v>2022</v>
      </c>
      <c r="B4335" s="4" t="n">
        <v>42000</v>
      </c>
      <c r="C4335" s="4" t="n">
        <v>517</v>
      </c>
      <c r="D4335" s="4" t="n">
        <v>156.3925</v>
      </c>
      <c r="E4335" s="5" t="n">
        <v>268.6</v>
      </c>
      <c r="F4335" s="3" t="inlineStr">
        <is>
          <t>오송읍</t>
        </is>
      </c>
      <c r="G4335" s="3" t="inlineStr">
        <is>
          <t>연제리</t>
        </is>
      </c>
      <c r="H4335" s="3" t="inlineStr">
        <is>
          <t>계획관리지역</t>
        </is>
      </c>
      <c r="I4335" s="3" t="inlineStr">
        <is>
          <t>공장용지</t>
        </is>
      </c>
      <c r="J4335" s="3" t="inlineStr">
        <is>
          <t>오송읍</t>
        </is>
      </c>
    </row>
    <row r="4336">
      <c r="A4336" s="3" t="n">
        <v>2022</v>
      </c>
      <c r="B4336" s="4" t="n">
        <v>30500</v>
      </c>
      <c r="C4336" s="4" t="n">
        <v>2537</v>
      </c>
      <c r="D4336" s="4" t="n">
        <v>767.4425</v>
      </c>
      <c r="E4336" s="5" t="n">
        <v>39.7</v>
      </c>
      <c r="F4336" s="3" t="inlineStr">
        <is>
          <t>강내면</t>
        </is>
      </c>
      <c r="G4336" s="3" t="inlineStr">
        <is>
          <t>학천리</t>
        </is>
      </c>
      <c r="H4336" s="3" t="inlineStr">
        <is>
          <t>생산녹지지역</t>
        </is>
      </c>
      <c r="I4336" s="3" t="inlineStr">
        <is>
          <t>답</t>
        </is>
      </c>
      <c r="J4336" s="3" t="inlineStr">
        <is>
          <t>강내면</t>
        </is>
      </c>
    </row>
    <row r="4337">
      <c r="A4337" s="3" t="n">
        <v>2022</v>
      </c>
      <c r="B4337" s="4" t="n">
        <v>1939</v>
      </c>
      <c r="C4337" s="4" t="n">
        <v>115</v>
      </c>
      <c r="D4337" s="4" t="n">
        <v>34.7875</v>
      </c>
      <c r="E4337" s="5" t="n">
        <v>55.7</v>
      </c>
      <c r="F4337" s="3" t="inlineStr">
        <is>
          <t>강내면</t>
        </is>
      </c>
      <c r="G4337" s="3" t="inlineStr">
        <is>
          <t>저산리</t>
        </is>
      </c>
      <c r="H4337" s="3" t="inlineStr">
        <is>
          <t>계획관리지역</t>
        </is>
      </c>
      <c r="I4337" s="3" t="inlineStr">
        <is>
          <t>전</t>
        </is>
      </c>
      <c r="J4337" s="3" t="inlineStr">
        <is>
          <t>강내면</t>
        </is>
      </c>
    </row>
    <row r="4338">
      <c r="A4338" s="3" t="n">
        <v>2022</v>
      </c>
      <c r="B4338" s="4" t="n">
        <v>3760</v>
      </c>
      <c r="C4338" s="4" t="n">
        <v>223</v>
      </c>
      <c r="D4338" s="4" t="n">
        <v>67.4575</v>
      </c>
      <c r="E4338" s="5" t="n">
        <v>55.7</v>
      </c>
      <c r="F4338" s="3" t="inlineStr">
        <is>
          <t>강내면</t>
        </is>
      </c>
      <c r="G4338" s="3" t="inlineStr">
        <is>
          <t>저산리</t>
        </is>
      </c>
      <c r="H4338" s="3" t="inlineStr">
        <is>
          <t>계획관리지역</t>
        </is>
      </c>
      <c r="I4338" s="3" t="inlineStr">
        <is>
          <t>임야</t>
        </is>
      </c>
      <c r="J4338" s="3" t="inlineStr">
        <is>
          <t>강내면</t>
        </is>
      </c>
    </row>
    <row r="4339">
      <c r="A4339" s="3" t="n">
        <v>2022</v>
      </c>
      <c r="B4339" s="4" t="n">
        <v>22600</v>
      </c>
      <c r="C4339" s="4" t="n">
        <v>1410</v>
      </c>
      <c r="D4339" s="4" t="n">
        <v>426.525</v>
      </c>
      <c r="E4339" s="5" t="n">
        <v>53</v>
      </c>
      <c r="F4339" s="3" t="inlineStr">
        <is>
          <t>오송읍</t>
        </is>
      </c>
      <c r="G4339" s="3" t="inlineStr">
        <is>
          <t>상정리</t>
        </is>
      </c>
      <c r="H4339" s="3" t="inlineStr">
        <is>
          <t>농림지역</t>
        </is>
      </c>
      <c r="I4339" s="3" t="inlineStr">
        <is>
          <t>답</t>
        </is>
      </c>
      <c r="J4339" s="3" t="inlineStr">
        <is>
          <t>오송읍</t>
        </is>
      </c>
    </row>
    <row r="4340">
      <c r="A4340" s="3" t="n">
        <v>2022</v>
      </c>
      <c r="B4340" s="4" t="n">
        <v>28000</v>
      </c>
      <c r="C4340" s="4" t="n">
        <v>234.7</v>
      </c>
      <c r="D4340" s="4" t="n">
        <v>70.99674999999999</v>
      </c>
      <c r="E4340" s="5" t="n">
        <v>394.4</v>
      </c>
      <c r="F4340" s="3" t="inlineStr">
        <is>
          <t>오송읍</t>
        </is>
      </c>
      <c r="G4340" s="3" t="inlineStr">
        <is>
          <t>봉산리</t>
        </is>
      </c>
      <c r="H4340" s="3" t="inlineStr">
        <is>
          <t>제1종일반주거지역</t>
        </is>
      </c>
      <c r="I4340" s="3" t="inlineStr">
        <is>
          <t>대</t>
        </is>
      </c>
      <c r="J4340" s="3" t="inlineStr">
        <is>
          <t>오송읍</t>
        </is>
      </c>
    </row>
    <row r="4341">
      <c r="A4341" s="3" t="n">
        <v>2022</v>
      </c>
      <c r="B4341" s="4" t="n">
        <v>55000</v>
      </c>
      <c r="C4341" s="4" t="n">
        <v>156</v>
      </c>
      <c r="D4341" s="4" t="n">
        <v>47.19</v>
      </c>
      <c r="E4341" s="5" t="n">
        <v>1165.5</v>
      </c>
      <c r="F4341" s="3" t="inlineStr">
        <is>
          <t>강내면</t>
        </is>
      </c>
      <c r="G4341" s="3" t="inlineStr">
        <is>
          <t>탑연리</t>
        </is>
      </c>
      <c r="H4341" s="3" t="inlineStr">
        <is>
          <t>일반상업지역</t>
        </is>
      </c>
      <c r="I4341" s="3" t="inlineStr">
        <is>
          <t>대</t>
        </is>
      </c>
      <c r="J4341" s="3" t="inlineStr">
        <is>
          <t>강내면</t>
        </is>
      </c>
    </row>
    <row r="4342">
      <c r="A4342" s="3" t="n">
        <v>2022</v>
      </c>
      <c r="B4342" s="4" t="n">
        <v>29340</v>
      </c>
      <c r="C4342" s="4" t="n">
        <v>664</v>
      </c>
      <c r="D4342" s="4" t="n">
        <v>200.86</v>
      </c>
      <c r="E4342" s="5" t="n">
        <v>146.1</v>
      </c>
      <c r="F4342" s="3" t="inlineStr">
        <is>
          <t>오송읍</t>
        </is>
      </c>
      <c r="G4342" s="3" t="inlineStr">
        <is>
          <t>오송리</t>
        </is>
      </c>
      <c r="H4342" s="3" t="inlineStr">
        <is>
          <t>일반상업지역</t>
        </is>
      </c>
      <c r="I4342" s="3" t="inlineStr">
        <is>
          <t>답</t>
        </is>
      </c>
      <c r="J4342" s="3" t="inlineStr">
        <is>
          <t>오송읍</t>
        </is>
      </c>
    </row>
    <row r="4343">
      <c r="A4343" s="3" t="n">
        <v>2022</v>
      </c>
      <c r="B4343" s="4" t="n">
        <v>84920</v>
      </c>
      <c r="C4343" s="4" t="n">
        <v>1983</v>
      </c>
      <c r="D4343" s="4" t="n">
        <v>599.8575</v>
      </c>
      <c r="E4343" s="5" t="n">
        <v>141.6</v>
      </c>
      <c r="F4343" s="3" t="inlineStr">
        <is>
          <t>오송읍</t>
        </is>
      </c>
      <c r="G4343" s="3" t="inlineStr">
        <is>
          <t>오송리</t>
        </is>
      </c>
      <c r="H4343" s="3" t="inlineStr">
        <is>
          <t>일반상업지역</t>
        </is>
      </c>
      <c r="I4343" s="3" t="inlineStr">
        <is>
          <t>답</t>
        </is>
      </c>
      <c r="J4343" s="3" t="inlineStr">
        <is>
          <t>오송읍</t>
        </is>
      </c>
    </row>
    <row r="4344">
      <c r="A4344" s="3" t="n">
        <v>2022</v>
      </c>
      <c r="B4344" s="4" t="n">
        <v>84540</v>
      </c>
      <c r="C4344" s="4" t="n">
        <v>1983</v>
      </c>
      <c r="D4344" s="4" t="n">
        <v>599.8575</v>
      </c>
      <c r="E4344" s="5" t="n">
        <v>140.9</v>
      </c>
      <c r="F4344" s="3" t="inlineStr">
        <is>
          <t>오송읍</t>
        </is>
      </c>
      <c r="G4344" s="3" t="inlineStr">
        <is>
          <t>오송리</t>
        </is>
      </c>
      <c r="H4344" s="3" t="inlineStr">
        <is>
          <t>일반상업지역</t>
        </is>
      </c>
      <c r="I4344" s="3" t="inlineStr">
        <is>
          <t>답</t>
        </is>
      </c>
      <c r="J4344" s="3" t="inlineStr">
        <is>
          <t>오송읍</t>
        </is>
      </c>
    </row>
    <row r="4345">
      <c r="A4345" s="3" t="n">
        <v>2023</v>
      </c>
      <c r="B4345" s="4" t="n">
        <v>38250</v>
      </c>
      <c r="C4345" s="4" t="n">
        <v>827</v>
      </c>
      <c r="D4345" s="4" t="n">
        <v>250.1675</v>
      </c>
      <c r="E4345" s="5" t="n">
        <v>152.9</v>
      </c>
      <c r="F4345" s="3" t="inlineStr">
        <is>
          <t>남이면</t>
        </is>
      </c>
      <c r="G4345" s="3" t="inlineStr">
        <is>
          <t>양촌리</t>
        </is>
      </c>
      <c r="H4345" s="3" t="inlineStr">
        <is>
          <t>자연녹지지역</t>
        </is>
      </c>
      <c r="I4345" s="3" t="inlineStr">
        <is>
          <t>답</t>
        </is>
      </c>
      <c r="J4345" s="3" t="inlineStr">
        <is>
          <t>남이면</t>
        </is>
      </c>
    </row>
    <row r="4346">
      <c r="A4346" s="3" t="n">
        <v>2025</v>
      </c>
      <c r="B4346" s="4" t="n">
        <v>12235</v>
      </c>
      <c r="C4346" s="4" t="n">
        <v>626</v>
      </c>
      <c r="D4346" s="4" t="n">
        <v>189.365</v>
      </c>
      <c r="E4346" s="5" t="n">
        <v>64.59999999999999</v>
      </c>
      <c r="F4346" s="3" t="inlineStr">
        <is>
          <t>남이면</t>
        </is>
      </c>
      <c r="G4346" s="3" t="inlineStr">
        <is>
          <t>가좌리</t>
        </is>
      </c>
      <c r="H4346" s="3" t="inlineStr">
        <is>
          <t>자연녹지지역</t>
        </is>
      </c>
      <c r="I4346" s="3" t="inlineStr">
        <is>
          <t>전</t>
        </is>
      </c>
      <c r="J4346" s="3" t="inlineStr">
        <is>
          <t>남이면</t>
        </is>
      </c>
    </row>
    <row r="4347">
      <c r="A4347" s="3" t="n">
        <v>2025</v>
      </c>
      <c r="B4347" s="4" t="n">
        <v>1200</v>
      </c>
      <c r="C4347" s="4" t="n">
        <v>61</v>
      </c>
      <c r="D4347" s="4" t="n">
        <v>18.4525</v>
      </c>
      <c r="E4347" s="5" t="n">
        <v>65</v>
      </c>
      <c r="F4347" s="3" t="inlineStr">
        <is>
          <t>남이면</t>
        </is>
      </c>
      <c r="G4347" s="3" t="inlineStr">
        <is>
          <t>가좌리</t>
        </is>
      </c>
      <c r="H4347" s="3" t="inlineStr">
        <is>
          <t>자연녹지지역</t>
        </is>
      </c>
      <c r="I4347" s="3" t="inlineStr">
        <is>
          <t>전</t>
        </is>
      </c>
      <c r="J4347" s="3" t="inlineStr">
        <is>
          <t>남이면</t>
        </is>
      </c>
    </row>
    <row r="4348">
      <c r="A4348" s="3" t="n">
        <v>2025</v>
      </c>
      <c r="B4348" s="4" t="n">
        <v>3000</v>
      </c>
      <c r="C4348" s="4" t="n">
        <v>420</v>
      </c>
      <c r="D4348" s="4" t="n">
        <v>127.05</v>
      </c>
      <c r="E4348" s="5" t="n">
        <v>23.6</v>
      </c>
      <c r="F4348" s="3" t="inlineStr">
        <is>
          <t>강내면</t>
        </is>
      </c>
      <c r="G4348" s="3" t="inlineStr">
        <is>
          <t>다락리</t>
        </is>
      </c>
      <c r="H4348" s="3" t="inlineStr">
        <is>
          <t>계획관리지역</t>
        </is>
      </c>
      <c r="I4348" s="3" t="inlineStr">
        <is>
          <t>임야</t>
        </is>
      </c>
      <c r="J4348" s="3" t="inlineStr">
        <is>
          <t>강내면</t>
        </is>
      </c>
    </row>
    <row r="4349">
      <c r="A4349" s="3" t="n">
        <v>2025</v>
      </c>
      <c r="B4349" s="4" t="n">
        <v>49584</v>
      </c>
      <c r="C4349" s="4" t="n">
        <v>2013</v>
      </c>
      <c r="D4349" s="4" t="n">
        <v>608.9325</v>
      </c>
      <c r="E4349" s="5" t="n">
        <v>81.40000000000001</v>
      </c>
      <c r="F4349" s="3" t="inlineStr">
        <is>
          <t>강내면</t>
        </is>
      </c>
      <c r="G4349" s="3" t="inlineStr">
        <is>
          <t>궁현리</t>
        </is>
      </c>
      <c r="H4349" s="3" t="inlineStr">
        <is>
          <t>계획관리지역</t>
        </is>
      </c>
      <c r="I4349" s="3" t="inlineStr">
        <is>
          <t>전</t>
        </is>
      </c>
      <c r="J4349" s="3" t="inlineStr">
        <is>
          <t>강내면</t>
        </is>
      </c>
    </row>
    <row r="4350">
      <c r="A4350" s="3" t="n">
        <v>2025</v>
      </c>
      <c r="B4350" s="4" t="n">
        <v>35416</v>
      </c>
      <c r="C4350" s="4" t="n">
        <v>1398</v>
      </c>
      <c r="D4350" s="4" t="n">
        <v>422.895</v>
      </c>
      <c r="E4350" s="5" t="n">
        <v>83.7</v>
      </c>
      <c r="F4350" s="3" t="inlineStr">
        <is>
          <t>강내면</t>
        </is>
      </c>
      <c r="G4350" s="3" t="inlineStr">
        <is>
          <t>궁현리</t>
        </is>
      </c>
      <c r="H4350" s="3" t="inlineStr">
        <is>
          <t>계획관리지역</t>
        </is>
      </c>
      <c r="I4350" s="3" t="inlineStr">
        <is>
          <t>전</t>
        </is>
      </c>
      <c r="J4350" s="3" t="inlineStr">
        <is>
          <t>강내면</t>
        </is>
      </c>
    </row>
    <row r="4351">
      <c r="A4351" s="3" t="n">
        <v>2025</v>
      </c>
      <c r="B4351" s="4" t="n">
        <v>9166</v>
      </c>
      <c r="C4351" s="4" t="n">
        <v>239</v>
      </c>
      <c r="D4351" s="4" t="n">
        <v>72.2975</v>
      </c>
      <c r="E4351" s="5" t="n">
        <v>126.8</v>
      </c>
      <c r="F4351" s="3" t="inlineStr">
        <is>
          <t>강내면</t>
        </is>
      </c>
      <c r="G4351" s="3" t="inlineStr">
        <is>
          <t>다락리</t>
        </is>
      </c>
      <c r="H4351" s="3" t="inlineStr">
        <is>
          <t>일반공업지역</t>
        </is>
      </c>
      <c r="I4351" s="3" t="inlineStr">
        <is>
          <t>공장용지</t>
        </is>
      </c>
      <c r="J4351" s="3" t="inlineStr">
        <is>
          <t>강내면</t>
        </is>
      </c>
    </row>
    <row r="4352">
      <c r="A4352" s="3" t="n">
        <v>2025</v>
      </c>
      <c r="B4352" s="4" t="n">
        <v>15000</v>
      </c>
      <c r="C4352" s="4" t="n">
        <v>365</v>
      </c>
      <c r="D4352" s="4" t="n">
        <v>110.4125</v>
      </c>
      <c r="E4352" s="5" t="n">
        <v>135.9</v>
      </c>
      <c r="F4352" s="3" t="inlineStr">
        <is>
          <t>오송읍</t>
        </is>
      </c>
      <c r="G4352" s="3" t="inlineStr">
        <is>
          <t>공북리</t>
        </is>
      </c>
      <c r="H4352" s="3" t="inlineStr">
        <is>
          <t>계획관리지역</t>
        </is>
      </c>
      <c r="I4352" s="3" t="inlineStr">
        <is>
          <t>답</t>
        </is>
      </c>
      <c r="J4352" s="3" t="inlineStr">
        <is>
          <t>오송읍</t>
        </is>
      </c>
    </row>
    <row r="4353">
      <c r="A4353" s="3" t="n">
        <v>2025</v>
      </c>
      <c r="B4353" s="4" t="n">
        <v>24400</v>
      </c>
      <c r="C4353" s="4" t="n">
        <v>1375</v>
      </c>
      <c r="D4353" s="4" t="n">
        <v>415.9375</v>
      </c>
      <c r="E4353" s="5" t="n">
        <v>58.7</v>
      </c>
      <c r="F4353" s="3" t="inlineStr">
        <is>
          <t>오송읍</t>
        </is>
      </c>
      <c r="G4353" s="3" t="inlineStr">
        <is>
          <t>서평리</t>
        </is>
      </c>
      <c r="H4353" s="3" t="inlineStr">
        <is>
          <t>생산관리지역</t>
        </is>
      </c>
      <c r="I4353" s="3" t="inlineStr">
        <is>
          <t>답</t>
        </is>
      </c>
      <c r="J4353" s="3" t="inlineStr">
        <is>
          <t>오송읍</t>
        </is>
      </c>
    </row>
    <row r="4354">
      <c r="A4354" s="3" t="n">
        <v>2025</v>
      </c>
      <c r="B4354" s="4" t="n">
        <v>600</v>
      </c>
      <c r="C4354" s="4" t="n">
        <v>40</v>
      </c>
      <c r="D4354" s="4" t="n">
        <v>12.1</v>
      </c>
      <c r="E4354" s="5" t="n">
        <v>49.6</v>
      </c>
      <c r="F4354" s="3" t="inlineStr">
        <is>
          <t>오송읍</t>
        </is>
      </c>
      <c r="G4354" s="3" t="inlineStr">
        <is>
          <t>서평리</t>
        </is>
      </c>
      <c r="H4354" s="3" t="inlineStr">
        <is>
          <t>생산관리지역</t>
        </is>
      </c>
      <c r="I4354" s="3" t="inlineStr">
        <is>
          <t>전</t>
        </is>
      </c>
      <c r="J4354" s="3" t="inlineStr">
        <is>
          <t>오송읍</t>
        </is>
      </c>
    </row>
    <row r="4355">
      <c r="A4355" s="3" t="n">
        <v>2025</v>
      </c>
      <c r="B4355" s="4" t="n">
        <v>4500</v>
      </c>
      <c r="C4355" s="4" t="n">
        <v>150</v>
      </c>
      <c r="D4355" s="4" t="n">
        <v>45.375</v>
      </c>
      <c r="E4355" s="5" t="n">
        <v>99.2</v>
      </c>
      <c r="F4355" s="3" t="inlineStr">
        <is>
          <t>오송읍</t>
        </is>
      </c>
      <c r="G4355" s="3" t="inlineStr">
        <is>
          <t>정중리</t>
        </is>
      </c>
      <c r="H4355" s="3" t="inlineStr">
        <is>
          <t>보전관리지역</t>
        </is>
      </c>
      <c r="I4355" s="3" t="inlineStr">
        <is>
          <t>임야</t>
        </is>
      </c>
      <c r="J4355" s="3" t="inlineStr">
        <is>
          <t>오송읍</t>
        </is>
      </c>
    </row>
    <row r="4356">
      <c r="A4356" s="3" t="n">
        <v>2025</v>
      </c>
      <c r="B4356" s="4" t="n">
        <v>25065</v>
      </c>
      <c r="C4356" s="4" t="n">
        <v>532</v>
      </c>
      <c r="D4356" s="4" t="n">
        <v>160.93</v>
      </c>
      <c r="E4356" s="5" t="n">
        <v>155.8</v>
      </c>
      <c r="F4356" s="3" t="inlineStr">
        <is>
          <t>강내면</t>
        </is>
      </c>
      <c r="G4356" s="3" t="inlineStr">
        <is>
          <t>사곡리</t>
        </is>
      </c>
      <c r="H4356" s="3" t="inlineStr">
        <is>
          <t>보전관리지역</t>
        </is>
      </c>
      <c r="I4356" s="3" t="inlineStr">
        <is>
          <t>대</t>
        </is>
      </c>
      <c r="J4356" s="3" t="inlineStr">
        <is>
          <t>강내면</t>
        </is>
      </c>
    </row>
    <row r="4357">
      <c r="A4357" s="3" t="n">
        <v>2025</v>
      </c>
      <c r="B4357" s="4" t="n">
        <v>58890</v>
      </c>
      <c r="C4357" s="4" t="n">
        <v>2995</v>
      </c>
      <c r="D4357" s="4" t="n">
        <v>905.9875</v>
      </c>
      <c r="E4357" s="5" t="n">
        <v>65</v>
      </c>
      <c r="F4357" s="3" t="inlineStr">
        <is>
          <t>오송읍</t>
        </is>
      </c>
      <c r="G4357" s="3" t="inlineStr">
        <is>
          <t>서평리</t>
        </is>
      </c>
      <c r="H4357" s="3" t="inlineStr">
        <is>
          <t>농림지역</t>
        </is>
      </c>
      <c r="I4357" s="3" t="inlineStr">
        <is>
          <t>전</t>
        </is>
      </c>
      <c r="J4357" s="3" t="inlineStr">
        <is>
          <t>오송읍</t>
        </is>
      </c>
    </row>
    <row r="4358">
      <c r="A4358" s="3" t="n">
        <v>2025</v>
      </c>
      <c r="B4358" s="4" t="n">
        <v>82800</v>
      </c>
      <c r="C4358" s="4" t="n">
        <v>4215</v>
      </c>
      <c r="D4358" s="4" t="n">
        <v>1275.0375</v>
      </c>
      <c r="E4358" s="5" t="n">
        <v>64.90000000000001</v>
      </c>
      <c r="F4358" s="3" t="inlineStr">
        <is>
          <t>오송읍</t>
        </is>
      </c>
      <c r="G4358" s="3" t="inlineStr">
        <is>
          <t>서평리</t>
        </is>
      </c>
      <c r="H4358" s="3" t="inlineStr">
        <is>
          <t>농림지역</t>
        </is>
      </c>
      <c r="I4358" s="3" t="inlineStr">
        <is>
          <t>답</t>
        </is>
      </c>
      <c r="J4358" s="3" t="inlineStr">
        <is>
          <t>오송읍</t>
        </is>
      </c>
    </row>
    <row r="4359">
      <c r="A4359" s="3" t="n">
        <v>2025</v>
      </c>
      <c r="B4359" s="4" t="n">
        <v>25000</v>
      </c>
      <c r="C4359" s="4" t="n">
        <v>240.6</v>
      </c>
      <c r="D4359" s="4" t="n">
        <v>72.78149999999999</v>
      </c>
      <c r="E4359" s="5" t="n">
        <v>343.5</v>
      </c>
      <c r="F4359" s="3" t="inlineStr">
        <is>
          <t>오송읍</t>
        </is>
      </c>
      <c r="G4359" s="3" t="inlineStr">
        <is>
          <t>봉산리</t>
        </is>
      </c>
      <c r="H4359" s="3" t="inlineStr">
        <is>
          <t>제1종일반주거지역</t>
        </is>
      </c>
      <c r="I4359" s="3" t="inlineStr">
        <is>
          <t>대</t>
        </is>
      </c>
      <c r="J4359" s="3" t="inlineStr">
        <is>
          <t>오송읍</t>
        </is>
      </c>
    </row>
    <row r="4360">
      <c r="A4360" s="3" t="n">
        <v>2024</v>
      </c>
      <c r="B4360" s="4" t="n">
        <v>63000</v>
      </c>
      <c r="C4360" s="4" t="n">
        <v>1273</v>
      </c>
      <c r="D4360" s="4" t="n">
        <v>385.0825</v>
      </c>
      <c r="E4360" s="5" t="n">
        <v>163.6</v>
      </c>
      <c r="F4360" s="3" t="inlineStr">
        <is>
          <t>남이면</t>
        </is>
      </c>
      <c r="G4360" s="3" t="inlineStr">
        <is>
          <t>가좌리</t>
        </is>
      </c>
      <c r="H4360" s="3" t="inlineStr">
        <is>
          <t>자연녹지지역</t>
        </is>
      </c>
      <c r="I4360" s="3" t="inlineStr">
        <is>
          <t>답</t>
        </is>
      </c>
      <c r="J4360" s="3" t="inlineStr">
        <is>
          <t>남이면</t>
        </is>
      </c>
    </row>
    <row r="4361">
      <c r="A4361" s="3" t="n">
        <v>2024</v>
      </c>
      <c r="B4361" s="4" t="n">
        <v>4000</v>
      </c>
      <c r="C4361" s="4" t="n">
        <v>436</v>
      </c>
      <c r="D4361" s="4" t="n">
        <v>131.89</v>
      </c>
      <c r="E4361" s="5" t="n">
        <v>30.3</v>
      </c>
      <c r="F4361" s="3" t="inlineStr">
        <is>
          <t>남이면</t>
        </is>
      </c>
      <c r="G4361" s="3" t="inlineStr">
        <is>
          <t>상발리</t>
        </is>
      </c>
      <c r="H4361" s="3" t="inlineStr">
        <is>
          <t>계획관리지역</t>
        </is>
      </c>
      <c r="I4361" s="3" t="inlineStr">
        <is>
          <t>전</t>
        </is>
      </c>
      <c r="J4361" s="3" t="inlineStr">
        <is>
          <t>남이면</t>
        </is>
      </c>
    </row>
    <row r="4362">
      <c r="A4362" s="3" t="n">
        <v>2024</v>
      </c>
      <c r="B4362" s="4" t="n">
        <v>12500</v>
      </c>
      <c r="C4362" s="4" t="n">
        <v>354</v>
      </c>
      <c r="D4362" s="4" t="n">
        <v>107.085</v>
      </c>
      <c r="E4362" s="5" t="n">
        <v>116.7</v>
      </c>
      <c r="F4362" s="3" t="inlineStr">
        <is>
          <t>남이면</t>
        </is>
      </c>
      <c r="G4362" s="3" t="inlineStr">
        <is>
          <t>척산리</t>
        </is>
      </c>
      <c r="H4362" s="3" t="inlineStr">
        <is>
          <t>계획관리지역</t>
        </is>
      </c>
      <c r="I4362" s="3" t="inlineStr">
        <is>
          <t>대</t>
        </is>
      </c>
      <c r="J4362" s="3" t="inlineStr">
        <is>
          <t>남이면</t>
        </is>
      </c>
    </row>
    <row r="4363">
      <c r="A4363" s="3" t="n">
        <v>2024</v>
      </c>
      <c r="B4363" s="4" t="n">
        <v>9320</v>
      </c>
      <c r="C4363" s="4" t="n">
        <v>615</v>
      </c>
      <c r="D4363" s="4" t="n">
        <v>186.0375</v>
      </c>
      <c r="E4363" s="5" t="n">
        <v>50.1</v>
      </c>
      <c r="F4363" s="3" t="inlineStr">
        <is>
          <t>남이면</t>
        </is>
      </c>
      <c r="G4363" s="3" t="inlineStr">
        <is>
          <t>문동리</t>
        </is>
      </c>
      <c r="H4363" s="3" t="inlineStr">
        <is>
          <t>보전녹지지역</t>
        </is>
      </c>
      <c r="I4363" s="3" t="inlineStr">
        <is>
          <t>임야</t>
        </is>
      </c>
      <c r="J4363" s="3" t="inlineStr">
        <is>
          <t>남이면</t>
        </is>
      </c>
    </row>
    <row r="4364">
      <c r="A4364" s="3" t="n">
        <v>2024</v>
      </c>
      <c r="B4364" s="4" t="n">
        <v>1356</v>
      </c>
      <c r="C4364" s="4" t="n">
        <v>96</v>
      </c>
      <c r="D4364" s="4" t="n">
        <v>29.04</v>
      </c>
      <c r="E4364" s="5" t="n">
        <v>46.7</v>
      </c>
      <c r="F4364" s="3" t="inlineStr">
        <is>
          <t>남이면</t>
        </is>
      </c>
      <c r="G4364" s="3" t="inlineStr">
        <is>
          <t>척산리</t>
        </is>
      </c>
      <c r="H4364" s="3" t="inlineStr">
        <is>
          <t>생산관리지역</t>
        </is>
      </c>
      <c r="I4364" s="3" t="inlineStr">
        <is>
          <t>전</t>
        </is>
      </c>
      <c r="J4364" s="3" t="inlineStr">
        <is>
          <t>남이면</t>
        </is>
      </c>
    </row>
    <row r="4365">
      <c r="A4365" s="3" t="n">
        <v>2024</v>
      </c>
      <c r="B4365" s="4" t="n">
        <v>13</v>
      </c>
      <c r="C4365" s="4" t="n">
        <v>1</v>
      </c>
      <c r="D4365" s="4" t="n">
        <v>0.3025</v>
      </c>
      <c r="E4365" s="5" t="n">
        <v>43</v>
      </c>
      <c r="F4365" s="3" t="inlineStr">
        <is>
          <t>남이면</t>
        </is>
      </c>
      <c r="G4365" s="3" t="inlineStr">
        <is>
          <t>척산리</t>
        </is>
      </c>
      <c r="H4365" s="3" t="inlineStr">
        <is>
          <t>생산관리지역</t>
        </is>
      </c>
      <c r="I4365" s="3" t="inlineStr">
        <is>
          <t>전</t>
        </is>
      </c>
      <c r="J4365" s="3" t="inlineStr">
        <is>
          <t>남이면</t>
        </is>
      </c>
    </row>
    <row r="4366">
      <c r="A4366" s="3" t="n">
        <v>2024</v>
      </c>
      <c r="B4366" s="4" t="n">
        <v>164</v>
      </c>
      <c r="C4366" s="4" t="n">
        <v>47</v>
      </c>
      <c r="D4366" s="4" t="n">
        <v>14.2175</v>
      </c>
      <c r="E4366" s="5" t="n">
        <v>11.5</v>
      </c>
      <c r="F4366" s="3" t="inlineStr">
        <is>
          <t>남이면</t>
        </is>
      </c>
      <c r="G4366" s="3" t="inlineStr">
        <is>
          <t>척산리</t>
        </is>
      </c>
      <c r="H4366" s="3" t="inlineStr">
        <is>
          <t>계획관리지역</t>
        </is>
      </c>
      <c r="I4366" s="3" t="inlineStr">
        <is>
          <t>도로</t>
        </is>
      </c>
      <c r="J4366" s="3" t="inlineStr">
        <is>
          <t>남이면</t>
        </is>
      </c>
    </row>
    <row r="4367">
      <c r="A4367" s="3" t="n">
        <v>2024</v>
      </c>
      <c r="B4367" s="4" t="n">
        <v>46500</v>
      </c>
      <c r="C4367" s="4" t="n">
        <v>1605</v>
      </c>
      <c r="D4367" s="4" t="n">
        <v>485.5125</v>
      </c>
      <c r="E4367" s="5" t="n">
        <v>95.8</v>
      </c>
      <c r="F4367" s="3" t="inlineStr">
        <is>
          <t>남이면</t>
        </is>
      </c>
      <c r="G4367" s="3" t="inlineStr">
        <is>
          <t>척산리</t>
        </is>
      </c>
      <c r="H4367" s="3" t="inlineStr">
        <is>
          <t>계획관리지역</t>
        </is>
      </c>
      <c r="I4367" s="3" t="inlineStr">
        <is>
          <t>전</t>
        </is>
      </c>
      <c r="J4367" s="3" t="inlineStr">
        <is>
          <t>남이면</t>
        </is>
      </c>
    </row>
    <row r="4368">
      <c r="A4368" s="3" t="n">
        <v>2024</v>
      </c>
      <c r="B4368" s="4" t="n">
        <v>20556</v>
      </c>
      <c r="C4368" s="4" t="n">
        <v>612</v>
      </c>
      <c r="D4368" s="4" t="n">
        <v>185.13</v>
      </c>
      <c r="E4368" s="5" t="n">
        <v>111</v>
      </c>
      <c r="F4368" s="3" t="inlineStr">
        <is>
          <t>남이면</t>
        </is>
      </c>
      <c r="G4368" s="3" t="inlineStr">
        <is>
          <t>석판리</t>
        </is>
      </c>
      <c r="H4368" s="3" t="inlineStr">
        <is>
          <t>자연녹지지역</t>
        </is>
      </c>
      <c r="I4368" s="3" t="inlineStr">
        <is>
          <t>답</t>
        </is>
      </c>
      <c r="J4368" s="3" t="inlineStr">
        <is>
          <t>남이면</t>
        </is>
      </c>
    </row>
    <row r="4369">
      <c r="A4369" s="3" t="n">
        <v>2024</v>
      </c>
      <c r="B4369" s="4" t="n">
        <v>6950</v>
      </c>
      <c r="C4369" s="4" t="n">
        <v>772</v>
      </c>
      <c r="D4369" s="4" t="n">
        <v>233.53</v>
      </c>
      <c r="E4369" s="5" t="n">
        <v>29.8</v>
      </c>
      <c r="F4369" s="3" t="inlineStr">
        <is>
          <t>남이면</t>
        </is>
      </c>
      <c r="G4369" s="3" t="inlineStr">
        <is>
          <t>문동리</t>
        </is>
      </c>
      <c r="H4369" s="3" t="inlineStr">
        <is>
          <t>보전녹지지역</t>
        </is>
      </c>
      <c r="I4369" s="3" t="inlineStr">
        <is>
          <t>임야</t>
        </is>
      </c>
      <c r="J4369" s="3" t="inlineStr">
        <is>
          <t>남이면</t>
        </is>
      </c>
    </row>
    <row r="4370">
      <c r="A4370" s="3" t="n">
        <v>2024</v>
      </c>
      <c r="B4370" s="4" t="n">
        <v>6950</v>
      </c>
      <c r="C4370" s="4" t="n">
        <v>842</v>
      </c>
      <c r="D4370" s="4" t="n">
        <v>254.705</v>
      </c>
      <c r="E4370" s="5" t="n">
        <v>27.3</v>
      </c>
      <c r="F4370" s="3" t="inlineStr">
        <is>
          <t>남이면</t>
        </is>
      </c>
      <c r="G4370" s="3" t="inlineStr">
        <is>
          <t>문동리</t>
        </is>
      </c>
      <c r="H4370" s="3" t="inlineStr">
        <is>
          <t>보전녹지지역</t>
        </is>
      </c>
      <c r="I4370" s="3" t="inlineStr">
        <is>
          <t>임야</t>
        </is>
      </c>
      <c r="J4370" s="3" t="inlineStr">
        <is>
          <t>남이면</t>
        </is>
      </c>
    </row>
    <row r="4371">
      <c r="A4371" s="3" t="n">
        <v>2022</v>
      </c>
      <c r="B4371" s="4" t="n">
        <v>12600</v>
      </c>
      <c r="C4371" s="4" t="n">
        <v>463</v>
      </c>
      <c r="D4371" s="4" t="n">
        <v>140.0575</v>
      </c>
      <c r="E4371" s="5" t="n">
        <v>90</v>
      </c>
      <c r="F4371" s="3" t="inlineStr">
        <is>
          <t>강내면</t>
        </is>
      </c>
      <c r="G4371" s="3" t="inlineStr">
        <is>
          <t>사곡리</t>
        </is>
      </c>
      <c r="H4371" s="3" t="inlineStr">
        <is>
          <t>계획관리지역</t>
        </is>
      </c>
      <c r="I4371" s="3" t="inlineStr">
        <is>
          <t>대</t>
        </is>
      </c>
      <c r="J4371" s="3" t="inlineStr">
        <is>
          <t>강내면</t>
        </is>
      </c>
    </row>
    <row r="4372">
      <c r="A4372" s="3" t="n">
        <v>2022</v>
      </c>
      <c r="B4372" s="4" t="n">
        <v>9400</v>
      </c>
      <c r="C4372" s="4" t="n">
        <v>417</v>
      </c>
      <c r="D4372" s="4" t="n">
        <v>126.1425</v>
      </c>
      <c r="E4372" s="5" t="n">
        <v>74.5</v>
      </c>
      <c r="F4372" s="3" t="inlineStr">
        <is>
          <t>강내면</t>
        </is>
      </c>
      <c r="G4372" s="3" t="inlineStr">
        <is>
          <t>사곡리</t>
        </is>
      </c>
      <c r="H4372" s="3" t="inlineStr">
        <is>
          <t>계획관리지역</t>
        </is>
      </c>
      <c r="I4372" s="3" t="inlineStr">
        <is>
          <t>전</t>
        </is>
      </c>
      <c r="J4372" s="3" t="inlineStr">
        <is>
          <t>강내면</t>
        </is>
      </c>
    </row>
    <row r="4373">
      <c r="A4373" s="3" t="n">
        <v>2022</v>
      </c>
      <c r="B4373" s="4" t="n">
        <v>9000</v>
      </c>
      <c r="C4373" s="4" t="n">
        <v>60</v>
      </c>
      <c r="D4373" s="4" t="n">
        <v>18.15</v>
      </c>
      <c r="E4373" s="5" t="n">
        <v>495.9</v>
      </c>
      <c r="F4373" s="3" t="inlineStr">
        <is>
          <t>오송읍</t>
        </is>
      </c>
      <c r="G4373" s="3" t="inlineStr">
        <is>
          <t>오송리</t>
        </is>
      </c>
      <c r="H4373" s="3" t="inlineStr">
        <is>
          <t>계획관리지역</t>
        </is>
      </c>
      <c r="I4373" s="3" t="inlineStr">
        <is>
          <t>대</t>
        </is>
      </c>
      <c r="J4373" s="3" t="inlineStr">
        <is>
          <t>오송읍</t>
        </is>
      </c>
    </row>
    <row r="4374">
      <c r="A4374" s="3" t="n">
        <v>2022</v>
      </c>
      <c r="B4374" s="4" t="n">
        <v>50000</v>
      </c>
      <c r="C4374" s="4" t="n">
        <v>286.9</v>
      </c>
      <c r="D4374" s="4" t="n">
        <v>86.78724999999999</v>
      </c>
      <c r="E4374" s="5" t="n">
        <v>576.1</v>
      </c>
      <c r="F4374" s="3" t="inlineStr">
        <is>
          <t>오송읍</t>
        </is>
      </c>
      <c r="G4374" s="3" t="inlineStr">
        <is>
          <t>봉산리</t>
        </is>
      </c>
      <c r="H4374" s="3" t="inlineStr">
        <is>
          <t>제1종일반주거지역</t>
        </is>
      </c>
      <c r="I4374" s="3" t="inlineStr">
        <is>
          <t>대</t>
        </is>
      </c>
      <c r="J4374" s="3" t="inlineStr">
        <is>
          <t>오송읍</t>
        </is>
      </c>
    </row>
    <row r="4375">
      <c r="A4375" s="3" t="n">
        <v>2022</v>
      </c>
      <c r="B4375" s="4" t="n">
        <v>16000</v>
      </c>
      <c r="C4375" s="4" t="n">
        <v>573</v>
      </c>
      <c r="D4375" s="4" t="n">
        <v>173.3325</v>
      </c>
      <c r="E4375" s="5" t="n">
        <v>92.3</v>
      </c>
      <c r="F4375" s="3" t="inlineStr">
        <is>
          <t>오송읍</t>
        </is>
      </c>
      <c r="G4375" s="3" t="inlineStr">
        <is>
          <t>상봉리</t>
        </is>
      </c>
      <c r="H4375" s="3" t="inlineStr">
        <is>
          <t>생산관리지역</t>
        </is>
      </c>
      <c r="I4375" s="3" t="inlineStr">
        <is>
          <t>답</t>
        </is>
      </c>
      <c r="J4375" s="3" t="inlineStr">
        <is>
          <t>오송읍</t>
        </is>
      </c>
    </row>
    <row r="4376">
      <c r="A4376" s="3" t="n">
        <v>2022</v>
      </c>
      <c r="B4376" s="4" t="n">
        <v>15000</v>
      </c>
      <c r="C4376" s="4" t="n">
        <v>1111</v>
      </c>
      <c r="D4376" s="4" t="n">
        <v>336.0775</v>
      </c>
      <c r="E4376" s="5" t="n">
        <v>44.6</v>
      </c>
      <c r="F4376" s="3" t="inlineStr">
        <is>
          <t>강내면</t>
        </is>
      </c>
      <c r="G4376" s="3" t="inlineStr">
        <is>
          <t>학천리</t>
        </is>
      </c>
      <c r="H4376" s="3" t="inlineStr">
        <is>
          <t>자연녹지지역</t>
        </is>
      </c>
      <c r="I4376" s="3" t="inlineStr">
        <is>
          <t>임야</t>
        </is>
      </c>
      <c r="J4376" s="3" t="inlineStr">
        <is>
          <t>강내면</t>
        </is>
      </c>
    </row>
    <row r="4377">
      <c r="A4377" s="3" t="n">
        <v>2024</v>
      </c>
      <c r="B4377" s="4" t="n">
        <v>13997</v>
      </c>
      <c r="C4377" s="4" t="n">
        <v>607</v>
      </c>
      <c r="D4377" s="4" t="n">
        <v>183.6175</v>
      </c>
      <c r="E4377" s="5" t="n">
        <v>76.2</v>
      </c>
      <c r="F4377" s="3" t="inlineStr">
        <is>
          <t>강내면</t>
        </is>
      </c>
      <c r="G4377" s="3" t="inlineStr">
        <is>
          <t>월곡리</t>
        </is>
      </c>
      <c r="H4377" s="3" t="inlineStr">
        <is>
          <t>자연녹지지역</t>
        </is>
      </c>
      <c r="I4377" s="3" t="inlineStr">
        <is>
          <t>대</t>
        </is>
      </c>
      <c r="J4377" s="3" t="inlineStr">
        <is>
          <t>강내면</t>
        </is>
      </c>
    </row>
    <row r="4378">
      <c r="A4378" s="3" t="n">
        <v>2024</v>
      </c>
      <c r="B4378" s="4" t="n">
        <v>1568</v>
      </c>
      <c r="C4378" s="4" t="n">
        <v>66</v>
      </c>
      <c r="D4378" s="4" t="n">
        <v>19.965</v>
      </c>
      <c r="E4378" s="5" t="n">
        <v>78.5</v>
      </c>
      <c r="F4378" s="3" t="inlineStr">
        <is>
          <t>강내면</t>
        </is>
      </c>
      <c r="G4378" s="3" t="inlineStr">
        <is>
          <t>월곡리</t>
        </is>
      </c>
      <c r="H4378" s="3" t="inlineStr">
        <is>
          <t>자연녹지지역</t>
        </is>
      </c>
      <c r="I4378" s="3" t="inlineStr">
        <is>
          <t>대</t>
        </is>
      </c>
      <c r="J4378" s="3" t="inlineStr">
        <is>
          <t>강내면</t>
        </is>
      </c>
    </row>
    <row r="4379">
      <c r="A4379" s="3" t="n">
        <v>2024</v>
      </c>
      <c r="B4379" s="4" t="n">
        <v>26590</v>
      </c>
      <c r="C4379" s="4" t="n">
        <v>1956</v>
      </c>
      <c r="D4379" s="4" t="n">
        <v>591.6899999999999</v>
      </c>
      <c r="E4379" s="5" t="n">
        <v>44.9</v>
      </c>
      <c r="F4379" s="3" t="inlineStr">
        <is>
          <t>강내면</t>
        </is>
      </c>
      <c r="G4379" s="3" t="inlineStr">
        <is>
          <t>사곡리</t>
        </is>
      </c>
      <c r="H4379" s="3" t="inlineStr">
        <is>
          <t>농림지역</t>
        </is>
      </c>
      <c r="I4379" s="3" t="inlineStr">
        <is>
          <t>답</t>
        </is>
      </c>
      <c r="J4379" s="3" t="inlineStr">
        <is>
          <t>강내면</t>
        </is>
      </c>
    </row>
    <row r="4380">
      <c r="A4380" s="3" t="n">
        <v>2024</v>
      </c>
      <c r="B4380" s="4" t="n">
        <v>23500</v>
      </c>
      <c r="C4380" s="4" t="n">
        <v>233</v>
      </c>
      <c r="D4380" s="4" t="n">
        <v>70.4825</v>
      </c>
      <c r="E4380" s="5" t="n">
        <v>333.4</v>
      </c>
      <c r="F4380" s="3" t="inlineStr">
        <is>
          <t>오송읍</t>
        </is>
      </c>
      <c r="G4380" s="3" t="inlineStr">
        <is>
          <t>봉산리</t>
        </is>
      </c>
      <c r="H4380" s="3" t="inlineStr">
        <is>
          <t>제1종일반주거지역</t>
        </is>
      </c>
      <c r="I4380" s="3" t="inlineStr">
        <is>
          <t>대</t>
        </is>
      </c>
      <c r="J4380" s="3" t="inlineStr">
        <is>
          <t>오송읍</t>
        </is>
      </c>
    </row>
    <row r="4381">
      <c r="A4381" s="3" t="n">
        <v>2025</v>
      </c>
      <c r="B4381" s="4" t="n">
        <v>17000</v>
      </c>
      <c r="C4381" s="4" t="n">
        <v>803</v>
      </c>
      <c r="D4381" s="4" t="n">
        <v>242.9075</v>
      </c>
      <c r="E4381" s="5" t="n">
        <v>70</v>
      </c>
      <c r="F4381" s="3" t="inlineStr">
        <is>
          <t>오송읍</t>
        </is>
      </c>
      <c r="G4381" s="3" t="inlineStr">
        <is>
          <t>서평리</t>
        </is>
      </c>
      <c r="H4381" s="3" t="inlineStr">
        <is>
          <t>농림지역</t>
        </is>
      </c>
      <c r="I4381" s="3" t="inlineStr">
        <is>
          <t>답</t>
        </is>
      </c>
      <c r="J4381" s="3" t="inlineStr">
        <is>
          <t>오송읍</t>
        </is>
      </c>
    </row>
    <row r="4382">
      <c r="A4382" s="3" t="n">
        <v>2025</v>
      </c>
      <c r="B4382" s="4" t="n">
        <v>9000</v>
      </c>
      <c r="C4382" s="4" t="n">
        <v>399</v>
      </c>
      <c r="D4382" s="4" t="n">
        <v>120.6975</v>
      </c>
      <c r="E4382" s="5" t="n">
        <v>74.59999999999999</v>
      </c>
      <c r="F4382" s="3" t="inlineStr">
        <is>
          <t>강내면</t>
        </is>
      </c>
      <c r="G4382" s="3" t="inlineStr">
        <is>
          <t>저산리</t>
        </is>
      </c>
      <c r="H4382" s="3" t="inlineStr">
        <is>
          <t>계획관리지역</t>
        </is>
      </c>
      <c r="I4382" s="3" t="inlineStr">
        <is>
          <t>대</t>
        </is>
      </c>
      <c r="J4382" s="3" t="inlineStr">
        <is>
          <t>강내면</t>
        </is>
      </c>
    </row>
    <row r="4383">
      <c r="A4383" s="3" t="n">
        <v>2026</v>
      </c>
      <c r="B4383" s="4" t="n">
        <v>117000</v>
      </c>
      <c r="C4383" s="4" t="n">
        <v>2407</v>
      </c>
      <c r="D4383" s="4" t="n">
        <v>728.1174999999999</v>
      </c>
      <c r="E4383" s="5" t="n">
        <v>160.7</v>
      </c>
      <c r="F4383" s="3" t="inlineStr">
        <is>
          <t>강내면</t>
        </is>
      </c>
      <c r="G4383" s="3" t="inlineStr">
        <is>
          <t>월곡리</t>
        </is>
      </c>
      <c r="H4383" s="3" t="inlineStr">
        <is>
          <t>자연녹지지역</t>
        </is>
      </c>
      <c r="I4383" s="3" t="inlineStr">
        <is>
          <t>전</t>
        </is>
      </c>
      <c r="J4383" s="3" t="inlineStr">
        <is>
          <t>강내면</t>
        </is>
      </c>
    </row>
    <row r="4384">
      <c r="A4384" s="3" t="n">
        <v>2026</v>
      </c>
      <c r="B4384" s="4" t="n">
        <v>4000</v>
      </c>
      <c r="C4384" s="4" t="n">
        <v>119</v>
      </c>
      <c r="D4384" s="4" t="n">
        <v>35.9975</v>
      </c>
      <c r="E4384" s="5" t="n">
        <v>111.1</v>
      </c>
      <c r="F4384" s="3" t="inlineStr">
        <is>
          <t>강내면</t>
        </is>
      </c>
      <c r="G4384" s="3" t="inlineStr">
        <is>
          <t>학천리</t>
        </is>
      </c>
      <c r="H4384" s="3" t="inlineStr">
        <is>
          <t>자연녹지지역</t>
        </is>
      </c>
      <c r="I4384" s="3" t="inlineStr">
        <is>
          <t>임야</t>
        </is>
      </c>
      <c r="J4384" s="3" t="inlineStr">
        <is>
          <t>강내면</t>
        </is>
      </c>
    </row>
    <row r="4385">
      <c r="A4385" s="3" t="n">
        <v>2023</v>
      </c>
      <c r="B4385" s="4" t="n">
        <v>5500</v>
      </c>
      <c r="C4385" s="4" t="n">
        <v>215</v>
      </c>
      <c r="D4385" s="4" t="n">
        <v>65.03749999999999</v>
      </c>
      <c r="E4385" s="5" t="n">
        <v>84.59999999999999</v>
      </c>
      <c r="F4385" s="3" t="inlineStr">
        <is>
          <t>남이면</t>
        </is>
      </c>
      <c r="G4385" s="3" t="inlineStr">
        <is>
          <t>비룡리</t>
        </is>
      </c>
      <c r="H4385" s="3" t="inlineStr">
        <is>
          <t>계획관리지역</t>
        </is>
      </c>
      <c r="I4385" s="3" t="inlineStr">
        <is>
          <t>대</t>
        </is>
      </c>
      <c r="J4385" s="3" t="inlineStr">
        <is>
          <t>남이면</t>
        </is>
      </c>
    </row>
    <row r="4386">
      <c r="A4386" s="3" t="n">
        <v>2023</v>
      </c>
      <c r="B4386" s="4" t="n">
        <v>1200</v>
      </c>
      <c r="C4386" s="4" t="n">
        <v>46</v>
      </c>
      <c r="D4386" s="4" t="n">
        <v>13.915</v>
      </c>
      <c r="E4386" s="5" t="n">
        <v>86.2</v>
      </c>
      <c r="F4386" s="3" t="inlineStr">
        <is>
          <t>남이면</t>
        </is>
      </c>
      <c r="G4386" s="3" t="inlineStr">
        <is>
          <t>비룡리</t>
        </is>
      </c>
      <c r="H4386" s="3" t="inlineStr">
        <is>
          <t>계획관리지역</t>
        </is>
      </c>
      <c r="I4386" s="3" t="inlineStr">
        <is>
          <t>대</t>
        </is>
      </c>
      <c r="J4386" s="3" t="inlineStr">
        <is>
          <t>남이면</t>
        </is>
      </c>
    </row>
    <row r="4387">
      <c r="A4387" s="3" t="n">
        <v>2023</v>
      </c>
      <c r="B4387" s="4" t="n">
        <v>5500</v>
      </c>
      <c r="C4387" s="4" t="n">
        <v>693</v>
      </c>
      <c r="D4387" s="4" t="n">
        <v>209.6325</v>
      </c>
      <c r="E4387" s="5" t="n">
        <v>26.2</v>
      </c>
      <c r="F4387" s="3" t="inlineStr">
        <is>
          <t>남이면</t>
        </is>
      </c>
      <c r="G4387" s="3" t="inlineStr">
        <is>
          <t>구미리</t>
        </is>
      </c>
      <c r="H4387" s="3" t="inlineStr">
        <is>
          <t>계획관리지역</t>
        </is>
      </c>
      <c r="I4387" s="3" t="inlineStr">
        <is>
          <t>임야</t>
        </is>
      </c>
      <c r="J4387" s="3" t="inlineStr">
        <is>
          <t>남이면</t>
        </is>
      </c>
    </row>
    <row r="4388">
      <c r="A4388" s="3" t="n">
        <v>2023</v>
      </c>
      <c r="B4388" s="4" t="n">
        <v>39000</v>
      </c>
      <c r="C4388" s="4" t="n">
        <v>1078</v>
      </c>
      <c r="D4388" s="4" t="n">
        <v>326.095</v>
      </c>
      <c r="E4388" s="5" t="n">
        <v>119.6</v>
      </c>
      <c r="F4388" s="3" t="inlineStr">
        <is>
          <t>남이면</t>
        </is>
      </c>
      <c r="G4388" s="3" t="inlineStr">
        <is>
          <t>상발리</t>
        </is>
      </c>
      <c r="H4388" s="3" t="inlineStr">
        <is>
          <t>자연녹지지역</t>
        </is>
      </c>
      <c r="I4388" s="3" t="inlineStr">
        <is>
          <t>답</t>
        </is>
      </c>
      <c r="J4388" s="3" t="inlineStr">
        <is>
          <t>남이면</t>
        </is>
      </c>
    </row>
    <row r="4389">
      <c r="A4389" s="3" t="n">
        <v>2023</v>
      </c>
      <c r="B4389" s="4" t="n">
        <v>1183</v>
      </c>
      <c r="C4389" s="4" t="n">
        <v>34</v>
      </c>
      <c r="D4389" s="4" t="n">
        <v>10.285</v>
      </c>
      <c r="E4389" s="5" t="n">
        <v>115</v>
      </c>
      <c r="F4389" s="3" t="inlineStr">
        <is>
          <t>남이면</t>
        </is>
      </c>
      <c r="G4389" s="3" t="inlineStr">
        <is>
          <t>구암리</t>
        </is>
      </c>
      <c r="H4389" s="3" t="inlineStr">
        <is>
          <t>보전녹지지역</t>
        </is>
      </c>
      <c r="I4389" s="3" t="inlineStr">
        <is>
          <t>구거</t>
        </is>
      </c>
      <c r="J4389" s="3" t="inlineStr">
        <is>
          <t>남이면</t>
        </is>
      </c>
    </row>
    <row r="4390">
      <c r="A4390" s="3" t="n">
        <v>2023</v>
      </c>
      <c r="B4390" s="4" t="n">
        <v>174</v>
      </c>
      <c r="C4390" s="4" t="n">
        <v>5</v>
      </c>
      <c r="D4390" s="4" t="n">
        <v>1.5125</v>
      </c>
      <c r="E4390" s="5" t="n">
        <v>115</v>
      </c>
      <c r="F4390" s="3" t="inlineStr">
        <is>
          <t>남이면</t>
        </is>
      </c>
      <c r="G4390" s="3" t="inlineStr">
        <is>
          <t>구암리</t>
        </is>
      </c>
      <c r="H4390" s="3" t="inlineStr">
        <is>
          <t>보전녹지지역</t>
        </is>
      </c>
      <c r="I4390" s="3" t="inlineStr">
        <is>
          <t>도로</t>
        </is>
      </c>
      <c r="J4390" s="3" t="inlineStr">
        <is>
          <t>남이면</t>
        </is>
      </c>
    </row>
    <row r="4391">
      <c r="A4391" s="3" t="n">
        <v>2023</v>
      </c>
      <c r="B4391" s="4" t="n">
        <v>104</v>
      </c>
      <c r="C4391" s="4" t="n">
        <v>3</v>
      </c>
      <c r="D4391" s="4" t="n">
        <v>0.9075</v>
      </c>
      <c r="E4391" s="5" t="n">
        <v>114.6</v>
      </c>
      <c r="F4391" s="3" t="inlineStr">
        <is>
          <t>남이면</t>
        </is>
      </c>
      <c r="G4391" s="3" t="inlineStr">
        <is>
          <t>구암리</t>
        </is>
      </c>
      <c r="H4391" s="3" t="inlineStr">
        <is>
          <t>보전녹지지역</t>
        </is>
      </c>
      <c r="I4391" s="3" t="inlineStr">
        <is>
          <t>도로</t>
        </is>
      </c>
      <c r="J4391" s="3" t="inlineStr">
        <is>
          <t>남이면</t>
        </is>
      </c>
    </row>
    <row r="4392">
      <c r="A4392" s="3" t="n">
        <v>2023</v>
      </c>
      <c r="B4392" s="4" t="n">
        <v>592</v>
      </c>
      <c r="C4392" s="4" t="n">
        <v>17</v>
      </c>
      <c r="D4392" s="4" t="n">
        <v>5.1425</v>
      </c>
      <c r="E4392" s="5" t="n">
        <v>115.1</v>
      </c>
      <c r="F4392" s="3" t="inlineStr">
        <is>
          <t>남이면</t>
        </is>
      </c>
      <c r="G4392" s="3" t="inlineStr">
        <is>
          <t>구암리</t>
        </is>
      </c>
      <c r="H4392" s="3" t="inlineStr">
        <is>
          <t>보전녹지지역</t>
        </is>
      </c>
      <c r="I4392" s="3" t="inlineStr">
        <is>
          <t>구거</t>
        </is>
      </c>
      <c r="J4392" s="3" t="inlineStr">
        <is>
          <t>남이면</t>
        </is>
      </c>
    </row>
    <row r="4393">
      <c r="A4393" s="3" t="n">
        <v>2023</v>
      </c>
      <c r="B4393" s="4" t="n">
        <v>2035</v>
      </c>
      <c r="C4393" s="4" t="n">
        <v>212</v>
      </c>
      <c r="D4393" s="4" t="n">
        <v>64.13</v>
      </c>
      <c r="E4393" s="5" t="n">
        <v>31.7</v>
      </c>
      <c r="F4393" s="3" t="inlineStr">
        <is>
          <t>남이면</t>
        </is>
      </c>
      <c r="G4393" s="3" t="inlineStr">
        <is>
          <t>팔봉리</t>
        </is>
      </c>
      <c r="H4393" s="3" t="inlineStr">
        <is>
          <t>자연녹지지역</t>
        </is>
      </c>
      <c r="I4393" s="3" t="inlineStr">
        <is>
          <t>도로</t>
        </is>
      </c>
      <c r="J4393" s="3" t="inlineStr">
        <is>
          <t>남이면</t>
        </is>
      </c>
    </row>
    <row r="4394">
      <c r="A4394" s="3" t="n">
        <v>2023</v>
      </c>
      <c r="B4394" s="4" t="n">
        <v>42000</v>
      </c>
      <c r="C4394" s="4" t="n">
        <v>2387</v>
      </c>
      <c r="D4394" s="4" t="n">
        <v>722.0675</v>
      </c>
      <c r="E4394" s="5" t="n">
        <v>58.2</v>
      </c>
      <c r="F4394" s="3" t="inlineStr">
        <is>
          <t>남이면</t>
        </is>
      </c>
      <c r="G4394" s="3" t="inlineStr">
        <is>
          <t>상발리</t>
        </is>
      </c>
      <c r="H4394" s="3" t="inlineStr">
        <is>
          <t>자연녹지지역</t>
        </is>
      </c>
      <c r="I4394" s="3" t="inlineStr">
        <is>
          <t>답</t>
        </is>
      </c>
      <c r="J4394" s="3" t="inlineStr">
        <is>
          <t>남이면</t>
        </is>
      </c>
    </row>
    <row r="4395">
      <c r="A4395" s="3" t="n">
        <v>2023</v>
      </c>
      <c r="B4395" s="4" t="n">
        <v>10568</v>
      </c>
      <c r="C4395" s="4" t="n">
        <v>317</v>
      </c>
      <c r="D4395" s="4" t="n">
        <v>95.8925</v>
      </c>
      <c r="E4395" s="5" t="n">
        <v>110.2</v>
      </c>
      <c r="F4395" s="3" t="inlineStr">
        <is>
          <t>남이면</t>
        </is>
      </c>
      <c r="G4395" s="3" t="inlineStr">
        <is>
          <t>양촌리</t>
        </is>
      </c>
      <c r="H4395" s="3" t="inlineStr">
        <is>
          <t>자연녹지지역</t>
        </is>
      </c>
      <c r="I4395" s="3" t="inlineStr">
        <is>
          <t>임야</t>
        </is>
      </c>
      <c r="J4395" s="3" t="inlineStr">
        <is>
          <t>남이면</t>
        </is>
      </c>
    </row>
    <row r="4396">
      <c r="A4396" s="3" t="n">
        <v>2023</v>
      </c>
      <c r="B4396" s="4" t="n">
        <v>5971</v>
      </c>
      <c r="C4396" s="4" t="n">
        <v>552</v>
      </c>
      <c r="D4396" s="4" t="n">
        <v>166.98</v>
      </c>
      <c r="E4396" s="5" t="n">
        <v>35.8</v>
      </c>
      <c r="F4396" s="3" t="inlineStr">
        <is>
          <t>남이면</t>
        </is>
      </c>
      <c r="G4396" s="3" t="inlineStr">
        <is>
          <t>부용외천리</t>
        </is>
      </c>
      <c r="H4396" s="3" t="inlineStr">
        <is>
          <t>생산관리지역</t>
        </is>
      </c>
      <c r="I4396" s="3" t="inlineStr">
        <is>
          <t>답</t>
        </is>
      </c>
      <c r="J4396" s="3" t="inlineStr">
        <is>
          <t>남이면</t>
        </is>
      </c>
    </row>
    <row r="4397">
      <c r="A4397" s="3" t="n">
        <v>2023</v>
      </c>
      <c r="B4397" s="4" t="n">
        <v>18250</v>
      </c>
      <c r="C4397" s="4" t="n">
        <v>1207</v>
      </c>
      <c r="D4397" s="4" t="n">
        <v>365.1175</v>
      </c>
      <c r="E4397" s="5" t="n">
        <v>50</v>
      </c>
      <c r="F4397" s="3" t="inlineStr">
        <is>
          <t>남이면</t>
        </is>
      </c>
      <c r="G4397" s="3" t="inlineStr">
        <is>
          <t>가좌리</t>
        </is>
      </c>
      <c r="H4397" s="3" t="inlineStr">
        <is>
          <t>자연녹지지역</t>
        </is>
      </c>
      <c r="I4397" s="3" t="inlineStr">
        <is>
          <t>답</t>
        </is>
      </c>
      <c r="J4397" s="3" t="inlineStr">
        <is>
          <t>남이면</t>
        </is>
      </c>
    </row>
    <row r="4398">
      <c r="A4398" s="3" t="n">
        <v>2024</v>
      </c>
      <c r="B4398" s="4" t="n">
        <v>70000</v>
      </c>
      <c r="C4398" s="4" t="n">
        <v>1461.4</v>
      </c>
      <c r="D4398" s="4" t="n">
        <v>442.0735</v>
      </c>
      <c r="E4398" s="5" t="n">
        <v>158.3</v>
      </c>
      <c r="F4398" s="3" t="inlineStr">
        <is>
          <t>남이면</t>
        </is>
      </c>
      <c r="G4398" s="3" t="inlineStr">
        <is>
          <t>가좌리</t>
        </is>
      </c>
      <c r="H4398" s="3" t="inlineStr">
        <is>
          <t>자연녹지지역</t>
        </is>
      </c>
      <c r="I4398" s="3" t="inlineStr">
        <is>
          <t>전</t>
        </is>
      </c>
      <c r="J4398" s="3" t="inlineStr">
        <is>
          <t>남이면</t>
        </is>
      </c>
    </row>
    <row r="4399">
      <c r="A4399" s="3" t="n">
        <v>2025</v>
      </c>
      <c r="B4399" s="4" t="n">
        <v>20820</v>
      </c>
      <c r="C4399" s="4" t="n">
        <v>2294.6</v>
      </c>
      <c r="D4399" s="4" t="n">
        <v>694.1165</v>
      </c>
      <c r="E4399" s="5" t="n">
        <v>30</v>
      </c>
      <c r="F4399" s="3" t="inlineStr">
        <is>
          <t>부강면</t>
        </is>
      </c>
      <c r="G4399" s="3" t="inlineStr">
        <is>
          <t>행산리</t>
        </is>
      </c>
      <c r="H4399" s="3" t="inlineStr">
        <is>
          <t>농림지역</t>
        </is>
      </c>
      <c r="I4399" s="3" t="inlineStr">
        <is>
          <t>답</t>
        </is>
      </c>
      <c r="J4399" s="3" t="inlineStr">
        <is>
          <t>부강면</t>
        </is>
      </c>
    </row>
    <row r="4400">
      <c r="A4400" s="3" t="n">
        <v>2025</v>
      </c>
      <c r="B4400" s="4" t="n">
        <v>65</v>
      </c>
      <c r="C4400" s="4" t="n">
        <v>3</v>
      </c>
      <c r="D4400" s="4" t="n">
        <v>0.9075</v>
      </c>
      <c r="E4400" s="5" t="n">
        <v>71.59999999999999</v>
      </c>
      <c r="F4400" s="3" t="inlineStr">
        <is>
          <t>남이면</t>
        </is>
      </c>
      <c r="G4400" s="3" t="inlineStr">
        <is>
          <t>가좌리</t>
        </is>
      </c>
      <c r="H4400" s="3" t="inlineStr">
        <is>
          <t>자연녹지지역</t>
        </is>
      </c>
      <c r="I4400" s="3" t="inlineStr">
        <is>
          <t>전</t>
        </is>
      </c>
      <c r="J4400" s="3" t="inlineStr">
        <is>
          <t>남이면</t>
        </is>
      </c>
    </row>
    <row r="4401">
      <c r="A4401" s="3" t="n">
        <v>2025</v>
      </c>
      <c r="B4401" s="4" t="n">
        <v>23920</v>
      </c>
      <c r="C4401" s="4" t="n">
        <v>2083</v>
      </c>
      <c r="D4401" s="4" t="n">
        <v>630.1075</v>
      </c>
      <c r="E4401" s="5" t="n">
        <v>38</v>
      </c>
      <c r="F4401" s="3" t="inlineStr">
        <is>
          <t>남이면</t>
        </is>
      </c>
      <c r="G4401" s="3" t="inlineStr">
        <is>
          <t>구암리</t>
        </is>
      </c>
      <c r="H4401" s="3" t="inlineStr">
        <is>
          <t>자연녹지지역</t>
        </is>
      </c>
      <c r="I4401" s="3" t="inlineStr">
        <is>
          <t>답</t>
        </is>
      </c>
      <c r="J4401" s="3" t="inlineStr">
        <is>
          <t>남이면</t>
        </is>
      </c>
    </row>
    <row r="4402">
      <c r="A4402" s="3" t="n">
        <v>2025</v>
      </c>
      <c r="B4402" s="4" t="n">
        <v>722</v>
      </c>
      <c r="C4402" s="4" t="n">
        <v>63</v>
      </c>
      <c r="D4402" s="4" t="n">
        <v>19.0575</v>
      </c>
      <c r="E4402" s="5" t="n">
        <v>37.9</v>
      </c>
      <c r="F4402" s="3" t="inlineStr">
        <is>
          <t>남이면</t>
        </is>
      </c>
      <c r="G4402" s="3" t="inlineStr">
        <is>
          <t>구암리</t>
        </is>
      </c>
      <c r="H4402" s="3" t="inlineStr">
        <is>
          <t>자연녹지지역</t>
        </is>
      </c>
      <c r="I4402" s="3" t="inlineStr">
        <is>
          <t>구거</t>
        </is>
      </c>
      <c r="J4402" s="3" t="inlineStr">
        <is>
          <t>남이면</t>
        </is>
      </c>
    </row>
    <row r="4403">
      <c r="A4403" s="3" t="n">
        <v>2025</v>
      </c>
      <c r="B4403" s="4" t="n">
        <v>5358</v>
      </c>
      <c r="C4403" s="4" t="n">
        <v>467</v>
      </c>
      <c r="D4403" s="4" t="n">
        <v>141.2675</v>
      </c>
      <c r="E4403" s="5" t="n">
        <v>37.9</v>
      </c>
      <c r="F4403" s="3" t="inlineStr">
        <is>
          <t>남이면</t>
        </is>
      </c>
      <c r="G4403" s="3" t="inlineStr">
        <is>
          <t>구암리</t>
        </is>
      </c>
      <c r="H4403" s="3" t="inlineStr">
        <is>
          <t>자연녹지지역</t>
        </is>
      </c>
      <c r="I4403" s="3" t="inlineStr">
        <is>
          <t>답</t>
        </is>
      </c>
      <c r="J4403" s="3" t="inlineStr">
        <is>
          <t>남이면</t>
        </is>
      </c>
    </row>
    <row r="4404">
      <c r="A4404" s="3" t="n">
        <v>2025</v>
      </c>
      <c r="B4404" s="4" t="n">
        <v>27000</v>
      </c>
      <c r="C4404" s="4" t="n">
        <v>548</v>
      </c>
      <c r="D4404" s="4" t="n">
        <v>165.77</v>
      </c>
      <c r="E4404" s="5" t="n">
        <v>162.9</v>
      </c>
      <c r="F4404" s="3" t="inlineStr">
        <is>
          <t>남이면</t>
        </is>
      </c>
      <c r="G4404" s="3" t="inlineStr">
        <is>
          <t>가마리</t>
        </is>
      </c>
      <c r="H4404" s="3" t="inlineStr">
        <is>
          <t>보전녹지지역</t>
        </is>
      </c>
      <c r="I4404" s="3" t="inlineStr">
        <is>
          <t>임야</t>
        </is>
      </c>
      <c r="J4404" s="3" t="inlineStr">
        <is>
          <t>남이면</t>
        </is>
      </c>
    </row>
    <row r="4405">
      <c r="A4405" s="3" t="n">
        <v>2025</v>
      </c>
      <c r="B4405" s="4" t="n">
        <v>12235</v>
      </c>
      <c r="C4405" s="4" t="n">
        <v>626</v>
      </c>
      <c r="D4405" s="4" t="n">
        <v>189.365</v>
      </c>
      <c r="E4405" s="5" t="n">
        <v>64.59999999999999</v>
      </c>
      <c r="F4405" s="3" t="inlineStr">
        <is>
          <t>남이면</t>
        </is>
      </c>
      <c r="G4405" s="3" t="inlineStr">
        <is>
          <t>가좌리</t>
        </is>
      </c>
      <c r="H4405" s="3" t="inlineStr">
        <is>
          <t>자연녹지지역</t>
        </is>
      </c>
      <c r="I4405" s="3" t="inlineStr">
        <is>
          <t>전</t>
        </is>
      </c>
      <c r="J4405" s="3" t="inlineStr">
        <is>
          <t>남이면</t>
        </is>
      </c>
    </row>
    <row r="4406">
      <c r="A4406" s="3" t="n">
        <v>2025</v>
      </c>
      <c r="B4406" s="4" t="n">
        <v>1200</v>
      </c>
      <c r="C4406" s="4" t="n">
        <v>61</v>
      </c>
      <c r="D4406" s="4" t="n">
        <v>18.4525</v>
      </c>
      <c r="E4406" s="5" t="n">
        <v>65</v>
      </c>
      <c r="F4406" s="3" t="inlineStr">
        <is>
          <t>남이면</t>
        </is>
      </c>
      <c r="G4406" s="3" t="inlineStr">
        <is>
          <t>가좌리</t>
        </is>
      </c>
      <c r="H4406" s="3" t="inlineStr">
        <is>
          <t>자연녹지지역</t>
        </is>
      </c>
      <c r="I4406" s="3" t="inlineStr">
        <is>
          <t>전</t>
        </is>
      </c>
      <c r="J4406" s="3" t="inlineStr">
        <is>
          <t>남이면</t>
        </is>
      </c>
    </row>
    <row r="4407">
      <c r="A4407" s="3" t="n">
        <v>2025</v>
      </c>
      <c r="B4407" s="4" t="n">
        <v>65</v>
      </c>
      <c r="C4407" s="4" t="n">
        <v>3</v>
      </c>
      <c r="D4407" s="4" t="n">
        <v>0.9075</v>
      </c>
      <c r="E4407" s="5" t="n">
        <v>71.59999999999999</v>
      </c>
      <c r="F4407" s="3" t="inlineStr">
        <is>
          <t>남이면</t>
        </is>
      </c>
      <c r="G4407" s="3" t="inlineStr">
        <is>
          <t>가좌리</t>
        </is>
      </c>
      <c r="H4407" s="3" t="inlineStr">
        <is>
          <t>자연녹지지역</t>
        </is>
      </c>
      <c r="I4407" s="3" t="inlineStr">
        <is>
          <t>전</t>
        </is>
      </c>
      <c r="J4407" s="3" t="inlineStr">
        <is>
          <t>남이면</t>
        </is>
      </c>
    </row>
    <row r="4408">
      <c r="A4408" s="3" t="n">
        <v>2025</v>
      </c>
      <c r="B4408" s="4" t="n">
        <v>18420</v>
      </c>
      <c r="C4408" s="4" t="n">
        <v>937</v>
      </c>
      <c r="D4408" s="4" t="n">
        <v>283.4425</v>
      </c>
      <c r="E4408" s="5" t="n">
        <v>65</v>
      </c>
      <c r="F4408" s="3" t="inlineStr">
        <is>
          <t>남이면</t>
        </is>
      </c>
      <c r="G4408" s="3" t="inlineStr">
        <is>
          <t>가좌리</t>
        </is>
      </c>
      <c r="H4408" s="3" t="inlineStr">
        <is>
          <t>자연녹지지역</t>
        </is>
      </c>
      <c r="I4408" s="3" t="inlineStr">
        <is>
          <t>임야</t>
        </is>
      </c>
      <c r="J4408" s="3" t="inlineStr">
        <is>
          <t>남이면</t>
        </is>
      </c>
    </row>
    <row r="4409">
      <c r="A4409" s="3" t="n">
        <v>2025</v>
      </c>
      <c r="B4409" s="4" t="n">
        <v>1000</v>
      </c>
      <c r="C4409" s="4" t="n">
        <v>55</v>
      </c>
      <c r="D4409" s="4" t="n">
        <v>16.6375</v>
      </c>
      <c r="E4409" s="5" t="n">
        <v>60.1</v>
      </c>
      <c r="F4409" s="3" t="inlineStr">
        <is>
          <t>남이면</t>
        </is>
      </c>
      <c r="G4409" s="3" t="inlineStr">
        <is>
          <t>가좌리</t>
        </is>
      </c>
      <c r="H4409" s="3" t="inlineStr">
        <is>
          <t>자연녹지지역</t>
        </is>
      </c>
      <c r="I4409" s="3" t="inlineStr">
        <is>
          <t>전</t>
        </is>
      </c>
      <c r="J4409" s="3" t="inlineStr">
        <is>
          <t>남이면</t>
        </is>
      </c>
    </row>
    <row r="4410">
      <c r="A4410" s="3" t="n">
        <v>2025</v>
      </c>
      <c r="B4410" s="4" t="n">
        <v>5938</v>
      </c>
      <c r="C4410" s="4" t="n">
        <v>302</v>
      </c>
      <c r="D4410" s="4" t="n">
        <v>91.355</v>
      </c>
      <c r="E4410" s="5" t="n">
        <v>65</v>
      </c>
      <c r="F4410" s="3" t="inlineStr">
        <is>
          <t>남이면</t>
        </is>
      </c>
      <c r="G4410" s="3" t="inlineStr">
        <is>
          <t>가좌리</t>
        </is>
      </c>
      <c r="H4410" s="3" t="inlineStr">
        <is>
          <t>자연녹지지역</t>
        </is>
      </c>
      <c r="I4410" s="3" t="inlineStr">
        <is>
          <t>임야</t>
        </is>
      </c>
      <c r="J4410" s="3" t="inlineStr">
        <is>
          <t>남이면</t>
        </is>
      </c>
    </row>
    <row r="4411">
      <c r="A4411" s="3" t="n">
        <v>2025</v>
      </c>
      <c r="B4411" s="4" t="n">
        <v>18823</v>
      </c>
      <c r="C4411" s="4" t="n">
        <v>1196</v>
      </c>
      <c r="D4411" s="4" t="n">
        <v>361.79</v>
      </c>
      <c r="E4411" s="5" t="n">
        <v>52</v>
      </c>
      <c r="F4411" s="3" t="inlineStr">
        <is>
          <t>남이면</t>
        </is>
      </c>
      <c r="G4411" s="3" t="inlineStr">
        <is>
          <t>외천리</t>
        </is>
      </c>
      <c r="H4411" s="3" t="inlineStr">
        <is>
          <t>계획관리지역</t>
        </is>
      </c>
      <c r="I4411" s="3" t="inlineStr">
        <is>
          <t>공장용지</t>
        </is>
      </c>
      <c r="J4411" s="3" t="inlineStr">
        <is>
          <t>남이면</t>
        </is>
      </c>
    </row>
    <row r="4412">
      <c r="A4412" s="3" t="n">
        <v>2025</v>
      </c>
      <c r="B4412" s="4" t="n">
        <v>55052</v>
      </c>
      <c r="C4412" s="4" t="n">
        <v>3498</v>
      </c>
      <c r="D4412" s="4" t="n">
        <v>1058.145</v>
      </c>
      <c r="E4412" s="5" t="n">
        <v>52</v>
      </c>
      <c r="F4412" s="3" t="inlineStr">
        <is>
          <t>남이면</t>
        </is>
      </c>
      <c r="G4412" s="3" t="inlineStr">
        <is>
          <t>외천리</t>
        </is>
      </c>
      <c r="H4412" s="3" t="inlineStr">
        <is>
          <t>계획관리지역</t>
        </is>
      </c>
      <c r="I4412" s="3" t="inlineStr">
        <is>
          <t>공장용지</t>
        </is>
      </c>
      <c r="J4412" s="3" t="inlineStr">
        <is>
          <t>남이면</t>
        </is>
      </c>
    </row>
    <row r="4413">
      <c r="A4413" s="3" t="n">
        <v>2025</v>
      </c>
      <c r="B4413" s="4" t="n">
        <v>46125</v>
      </c>
      <c r="C4413" s="4" t="n">
        <v>1906</v>
      </c>
      <c r="D4413" s="4" t="n">
        <v>576.5649999999999</v>
      </c>
      <c r="E4413" s="5" t="n">
        <v>80</v>
      </c>
      <c r="F4413" s="3" t="inlineStr">
        <is>
          <t>남이면</t>
        </is>
      </c>
      <c r="G4413" s="3" t="inlineStr">
        <is>
          <t>외천리</t>
        </is>
      </c>
      <c r="H4413" s="3" t="inlineStr">
        <is>
          <t>계획관리지역</t>
        </is>
      </c>
      <c r="I4413" s="3" t="inlineStr">
        <is>
          <t>공장용지</t>
        </is>
      </c>
      <c r="J4413" s="3" t="inlineStr">
        <is>
          <t>남이면</t>
        </is>
      </c>
    </row>
    <row r="4414">
      <c r="A4414" s="3" t="n">
        <v>2023</v>
      </c>
      <c r="B4414" s="4" t="n">
        <v>17000</v>
      </c>
      <c r="C4414" s="4" t="n">
        <v>1041</v>
      </c>
      <c r="D4414" s="4" t="n">
        <v>314.9025</v>
      </c>
      <c r="E4414" s="5" t="n">
        <v>54</v>
      </c>
      <c r="F4414" s="3" t="inlineStr">
        <is>
          <t>남이면</t>
        </is>
      </c>
      <c r="G4414" s="3" t="inlineStr">
        <is>
          <t>양촌리</t>
        </is>
      </c>
      <c r="H4414" s="3" t="inlineStr">
        <is>
          <t>자연녹지지역</t>
        </is>
      </c>
      <c r="I4414" s="3" t="inlineStr">
        <is>
          <t>임야</t>
        </is>
      </c>
      <c r="J4414" s="3" t="inlineStr">
        <is>
          <t>남이면</t>
        </is>
      </c>
    </row>
    <row r="4415">
      <c r="A4415" s="3" t="n">
        <v>2023</v>
      </c>
      <c r="B4415" s="4" t="n">
        <v>5700</v>
      </c>
      <c r="C4415" s="4" t="n">
        <v>4722</v>
      </c>
      <c r="D4415" s="4" t="n">
        <v>1428.405</v>
      </c>
      <c r="E4415" s="5" t="n">
        <v>4</v>
      </c>
      <c r="F4415" s="3" t="inlineStr">
        <is>
          <t>남이면</t>
        </is>
      </c>
      <c r="G4415" s="3" t="inlineStr">
        <is>
          <t>양촌리</t>
        </is>
      </c>
      <c r="H4415" s="3" t="inlineStr">
        <is>
          <t>보전녹지지역</t>
        </is>
      </c>
      <c r="I4415" s="3" t="inlineStr">
        <is>
          <t>임야</t>
        </is>
      </c>
      <c r="J4415" s="3" t="inlineStr">
        <is>
          <t>남이면</t>
        </is>
      </c>
    </row>
    <row r="4416">
      <c r="A4416" s="3" t="n">
        <v>2023</v>
      </c>
      <c r="B4416" s="4" t="n">
        <v>13000</v>
      </c>
      <c r="C4416" s="4" t="n">
        <v>825</v>
      </c>
      <c r="D4416" s="4" t="n">
        <v>249.5625</v>
      </c>
      <c r="E4416" s="5" t="n">
        <v>52.1</v>
      </c>
      <c r="F4416" s="3" t="inlineStr">
        <is>
          <t>남이면</t>
        </is>
      </c>
      <c r="G4416" s="3" t="inlineStr">
        <is>
          <t>양촌리</t>
        </is>
      </c>
      <c r="H4416" s="3" t="inlineStr">
        <is>
          <t>자연녹지지역</t>
        </is>
      </c>
      <c r="I4416" s="3" t="inlineStr">
        <is>
          <t>임야</t>
        </is>
      </c>
      <c r="J4416" s="3" t="inlineStr">
        <is>
          <t>남이면</t>
        </is>
      </c>
    </row>
    <row r="4417">
      <c r="A4417" s="3" t="n">
        <v>2023</v>
      </c>
      <c r="B4417" s="4" t="n">
        <v>257</v>
      </c>
      <c r="C4417" s="4" t="n">
        <v>141.5</v>
      </c>
      <c r="D4417" s="4" t="n">
        <v>42.80375</v>
      </c>
      <c r="E4417" s="5" t="n">
        <v>6</v>
      </c>
      <c r="F4417" s="3" t="inlineStr">
        <is>
          <t>남이면</t>
        </is>
      </c>
      <c r="G4417" s="3" t="inlineStr">
        <is>
          <t>문동리</t>
        </is>
      </c>
      <c r="H4417" s="3" t="inlineStr">
        <is>
          <t>보전녹지지역</t>
        </is>
      </c>
      <c r="I4417" s="3" t="inlineStr">
        <is>
          <t>임야</t>
        </is>
      </c>
      <c r="J4417" s="3" t="inlineStr">
        <is>
          <t>남이면</t>
        </is>
      </c>
    </row>
    <row r="4418">
      <c r="A4418" s="3" t="n">
        <v>2023</v>
      </c>
      <c r="B4418" s="4" t="n">
        <v>2300</v>
      </c>
      <c r="C4418" s="4" t="n">
        <v>236</v>
      </c>
      <c r="D4418" s="4" t="n">
        <v>71.39</v>
      </c>
      <c r="E4418" s="5" t="n">
        <v>32.2</v>
      </c>
      <c r="F4418" s="3" t="inlineStr">
        <is>
          <t>남이면</t>
        </is>
      </c>
      <c r="G4418" s="3" t="inlineStr">
        <is>
          <t>양촌리</t>
        </is>
      </c>
      <c r="H4418" s="3" t="inlineStr">
        <is>
          <t>자연녹지지역</t>
        </is>
      </c>
      <c r="I4418" s="3" t="inlineStr">
        <is>
          <t>임야</t>
        </is>
      </c>
      <c r="J4418" s="3" t="inlineStr">
        <is>
          <t>남이면</t>
        </is>
      </c>
    </row>
    <row r="4419">
      <c r="A4419" s="3" t="n">
        <v>2023</v>
      </c>
      <c r="B4419" s="4" t="n">
        <v>87800</v>
      </c>
      <c r="C4419" s="4" t="n">
        <v>1815</v>
      </c>
      <c r="D4419" s="4" t="n">
        <v>549.0375</v>
      </c>
      <c r="E4419" s="5" t="n">
        <v>159.9</v>
      </c>
      <c r="F4419" s="3" t="inlineStr">
        <is>
          <t>남이면</t>
        </is>
      </c>
      <c r="G4419" s="3" t="inlineStr">
        <is>
          <t>상발리</t>
        </is>
      </c>
      <c r="H4419" s="3" t="inlineStr">
        <is>
          <t>자연녹지지역</t>
        </is>
      </c>
      <c r="I4419" s="3" t="inlineStr">
        <is>
          <t>전</t>
        </is>
      </c>
      <c r="J4419" s="3" t="inlineStr">
        <is>
          <t>남이면</t>
        </is>
      </c>
    </row>
    <row r="4420">
      <c r="A4420" s="3" t="n">
        <v>2023</v>
      </c>
      <c r="B4420" s="4" t="n">
        <v>302</v>
      </c>
      <c r="C4420" s="4" t="n">
        <v>16</v>
      </c>
      <c r="D4420" s="4" t="n">
        <v>4.84</v>
      </c>
      <c r="E4420" s="5" t="n">
        <v>62.4</v>
      </c>
      <c r="F4420" s="3" t="inlineStr">
        <is>
          <t>남이면</t>
        </is>
      </c>
      <c r="G4420" s="3" t="inlineStr">
        <is>
          <t>팔봉리</t>
        </is>
      </c>
      <c r="H4420" s="3" t="inlineStr">
        <is>
          <t>자연녹지지역</t>
        </is>
      </c>
      <c r="I4420" s="3" t="inlineStr">
        <is>
          <t>대</t>
        </is>
      </c>
      <c r="J4420" s="3" t="inlineStr">
        <is>
          <t>남이면</t>
        </is>
      </c>
    </row>
    <row r="4421">
      <c r="A4421" s="3" t="n">
        <v>2023</v>
      </c>
      <c r="B4421" s="4" t="n">
        <v>1500</v>
      </c>
      <c r="C4421" s="4" t="n">
        <v>104</v>
      </c>
      <c r="D4421" s="4" t="n">
        <v>31.46</v>
      </c>
      <c r="E4421" s="5" t="n">
        <v>47.7</v>
      </c>
      <c r="F4421" s="3" t="inlineStr">
        <is>
          <t>남이면</t>
        </is>
      </c>
      <c r="G4421" s="3" t="inlineStr">
        <is>
          <t>갈원리</t>
        </is>
      </c>
      <c r="H4421" s="3" t="inlineStr">
        <is>
          <t>보전관리지역</t>
        </is>
      </c>
      <c r="I4421" s="3" t="inlineStr">
        <is>
          <t>임야</t>
        </is>
      </c>
      <c r="J4421" s="3" t="inlineStr">
        <is>
          <t>남이면</t>
        </is>
      </c>
    </row>
    <row r="4422">
      <c r="A4422" s="3" t="n">
        <v>2023</v>
      </c>
      <c r="B4422" s="4" t="n">
        <v>11825</v>
      </c>
      <c r="C4422" s="4" t="n">
        <v>1158</v>
      </c>
      <c r="D4422" s="4" t="n">
        <v>350.295</v>
      </c>
      <c r="E4422" s="5" t="n">
        <v>33.8</v>
      </c>
      <c r="F4422" s="3" t="inlineStr">
        <is>
          <t>남이면</t>
        </is>
      </c>
      <c r="G4422" s="3" t="inlineStr">
        <is>
          <t>갈원리</t>
        </is>
      </c>
      <c r="H4422" s="3" t="inlineStr">
        <is>
          <t>보전관리지역</t>
        </is>
      </c>
      <c r="I4422" s="3" t="inlineStr">
        <is>
          <t>임야</t>
        </is>
      </c>
      <c r="J4422" s="3" t="inlineStr">
        <is>
          <t>남이면</t>
        </is>
      </c>
    </row>
    <row r="4423">
      <c r="A4423" s="3" t="n">
        <v>2023</v>
      </c>
      <c r="B4423" s="4" t="n">
        <v>675</v>
      </c>
      <c r="C4423" s="4" t="n">
        <v>72</v>
      </c>
      <c r="D4423" s="4" t="n">
        <v>21.78</v>
      </c>
      <c r="E4423" s="5" t="n">
        <v>31</v>
      </c>
      <c r="F4423" s="3" t="inlineStr">
        <is>
          <t>남이면</t>
        </is>
      </c>
      <c r="G4423" s="3" t="inlineStr">
        <is>
          <t>갈원리</t>
        </is>
      </c>
      <c r="H4423" s="3" t="inlineStr">
        <is>
          <t>보전관리지역</t>
        </is>
      </c>
      <c r="I4423" s="3" t="inlineStr">
        <is>
          <t>임야</t>
        </is>
      </c>
      <c r="J4423" s="3" t="inlineStr">
        <is>
          <t>남이면</t>
        </is>
      </c>
    </row>
    <row r="4424">
      <c r="A4424" s="3" t="n">
        <v>2023</v>
      </c>
      <c r="B4424" s="4" t="n">
        <v>200</v>
      </c>
      <c r="C4424" s="4" t="n">
        <v>59</v>
      </c>
      <c r="D4424" s="4" t="n">
        <v>17.8475</v>
      </c>
      <c r="E4424" s="5" t="n">
        <v>11.2</v>
      </c>
      <c r="F4424" s="3" t="inlineStr">
        <is>
          <t>남이면</t>
        </is>
      </c>
      <c r="G4424" s="3" t="inlineStr">
        <is>
          <t>문동리</t>
        </is>
      </c>
      <c r="H4424" s="3" t="inlineStr">
        <is>
          <t>생산관리지역</t>
        </is>
      </c>
      <c r="I4424" s="3" t="inlineStr">
        <is>
          <t>도로</t>
        </is>
      </c>
      <c r="J4424" s="3" t="inlineStr">
        <is>
          <t>남이면</t>
        </is>
      </c>
    </row>
    <row r="4425">
      <c r="A4425" s="3" t="n">
        <v>2023</v>
      </c>
      <c r="B4425" s="4" t="n">
        <v>2700</v>
      </c>
      <c r="C4425" s="4" t="n">
        <v>744</v>
      </c>
      <c r="D4425" s="4" t="n">
        <v>225.06</v>
      </c>
      <c r="E4425" s="5" t="n">
        <v>12</v>
      </c>
      <c r="F4425" s="3" t="inlineStr">
        <is>
          <t>남이면</t>
        </is>
      </c>
      <c r="G4425" s="3" t="inlineStr">
        <is>
          <t>부용외천리</t>
        </is>
      </c>
      <c r="H4425" s="3" t="inlineStr">
        <is>
          <t>보전관리지역</t>
        </is>
      </c>
      <c r="I4425" s="3" t="inlineStr">
        <is>
          <t>전</t>
        </is>
      </c>
      <c r="J4425" s="3" t="inlineStr">
        <is>
          <t>남이면</t>
        </is>
      </c>
    </row>
    <row r="4426">
      <c r="A4426" s="3" t="n">
        <v>2023</v>
      </c>
      <c r="B4426" s="4" t="n">
        <v>38259</v>
      </c>
      <c r="C4426" s="4" t="n">
        <v>973</v>
      </c>
      <c r="D4426" s="4" t="n">
        <v>294.3325</v>
      </c>
      <c r="E4426" s="5" t="n">
        <v>130</v>
      </c>
      <c r="F4426" s="3" t="inlineStr">
        <is>
          <t>남이면</t>
        </is>
      </c>
      <c r="G4426" s="3" t="inlineStr">
        <is>
          <t>척산리</t>
        </is>
      </c>
      <c r="H4426" s="3" t="inlineStr">
        <is>
          <t>계획관리지역</t>
        </is>
      </c>
      <c r="I4426" s="3" t="inlineStr">
        <is>
          <t>답</t>
        </is>
      </c>
      <c r="J4426" s="3" t="inlineStr">
        <is>
          <t>남이면</t>
        </is>
      </c>
    </row>
    <row r="4427">
      <c r="A4427" s="3" t="n">
        <v>2023</v>
      </c>
      <c r="B4427" s="4" t="n">
        <v>30041</v>
      </c>
      <c r="C4427" s="4" t="n">
        <v>764</v>
      </c>
      <c r="D4427" s="4" t="n">
        <v>231.11</v>
      </c>
      <c r="E4427" s="5" t="n">
        <v>130</v>
      </c>
      <c r="F4427" s="3" t="inlineStr">
        <is>
          <t>남이면</t>
        </is>
      </c>
      <c r="G4427" s="3" t="inlineStr">
        <is>
          <t>척산리</t>
        </is>
      </c>
      <c r="H4427" s="3" t="inlineStr">
        <is>
          <t>계획관리지역</t>
        </is>
      </c>
      <c r="I4427" s="3" t="inlineStr">
        <is>
          <t>답</t>
        </is>
      </c>
      <c r="J4427" s="3" t="inlineStr">
        <is>
          <t>남이면</t>
        </is>
      </c>
    </row>
    <row r="4428">
      <c r="A4428" s="3" t="n">
        <v>2023</v>
      </c>
      <c r="B4428" s="4" t="n">
        <v>7576</v>
      </c>
      <c r="C4428" s="4" t="n">
        <v>236</v>
      </c>
      <c r="D4428" s="4" t="n">
        <v>71.39</v>
      </c>
      <c r="E4428" s="5" t="n">
        <v>106.1</v>
      </c>
      <c r="F4428" s="3" t="inlineStr">
        <is>
          <t>남이면</t>
        </is>
      </c>
      <c r="G4428" s="3" t="inlineStr">
        <is>
          <t>가좌리</t>
        </is>
      </c>
      <c r="H4428" s="3" t="inlineStr">
        <is>
          <t>자연녹지지역</t>
        </is>
      </c>
      <c r="I4428" s="3" t="inlineStr">
        <is>
          <t>전</t>
        </is>
      </c>
      <c r="J4428" s="3" t="inlineStr">
        <is>
          <t>남이면</t>
        </is>
      </c>
    </row>
    <row r="4429">
      <c r="A4429" s="3" t="n">
        <v>2023</v>
      </c>
      <c r="B4429" s="4" t="n">
        <v>1211</v>
      </c>
      <c r="C4429" s="4" t="n">
        <v>9</v>
      </c>
      <c r="D4429" s="4" t="n">
        <v>2.7225</v>
      </c>
      <c r="E4429" s="5" t="n">
        <v>444.8</v>
      </c>
      <c r="F4429" s="3" t="inlineStr">
        <is>
          <t>조치원읍</t>
        </is>
      </c>
      <c r="G4429" s="3" t="inlineStr">
        <is>
          <t>상리</t>
        </is>
      </c>
      <c r="H4429" s="3" t="inlineStr">
        <is>
          <t>제2종일반주거지역</t>
        </is>
      </c>
      <c r="I4429" s="3" t="inlineStr">
        <is>
          <t>대</t>
        </is>
      </c>
      <c r="J4429" s="3" t="inlineStr">
        <is>
          <t>조치원읍</t>
        </is>
      </c>
    </row>
    <row r="4430">
      <c r="A4430" s="3" t="n">
        <v>2023</v>
      </c>
      <c r="B4430" s="4" t="n">
        <v>100000</v>
      </c>
      <c r="C4430" s="4" t="n">
        <v>11901</v>
      </c>
      <c r="D4430" s="4" t="n">
        <v>3600.0525</v>
      </c>
      <c r="E4430" s="5" t="n">
        <v>27.8</v>
      </c>
      <c r="F4430" s="3" t="inlineStr">
        <is>
          <t>연서면</t>
        </is>
      </c>
      <c r="G4430" s="3" t="inlineStr">
        <is>
          <t>와촌리</t>
        </is>
      </c>
      <c r="H4430" s="3" t="inlineStr">
        <is>
          <t>농림지역</t>
        </is>
      </c>
      <c r="I4430" s="3" t="inlineStr">
        <is>
          <t>임야</t>
        </is>
      </c>
      <c r="J4430" s="3" t="inlineStr">
        <is>
          <t>연서면</t>
        </is>
      </c>
    </row>
    <row r="4431">
      <c r="A4431" s="3" t="n">
        <v>2023</v>
      </c>
      <c r="B4431" s="4" t="n">
        <v>38000</v>
      </c>
      <c r="C4431" s="4" t="n">
        <v>4261.9</v>
      </c>
      <c r="D4431" s="4" t="n">
        <v>1289.22475</v>
      </c>
      <c r="E4431" s="5" t="n">
        <v>29.5</v>
      </c>
      <c r="F4431" s="3" t="inlineStr">
        <is>
          <t>부강면</t>
        </is>
      </c>
      <c r="G4431" s="3" t="inlineStr">
        <is>
          <t>행산리</t>
        </is>
      </c>
      <c r="H4431" s="3" t="inlineStr">
        <is>
          <t>농림지역</t>
        </is>
      </c>
      <c r="I4431" s="3" t="inlineStr">
        <is>
          <t>답</t>
        </is>
      </c>
      <c r="J4431" s="3" t="inlineStr">
        <is>
          <t>부강면</t>
        </is>
      </c>
    </row>
    <row r="4432">
      <c r="A4432" s="3" t="n">
        <v>2023</v>
      </c>
      <c r="B4432" s="4" t="n">
        <v>300</v>
      </c>
      <c r="C4432" s="4" t="n">
        <v>74</v>
      </c>
      <c r="D4432" s="4" t="n">
        <v>22.385</v>
      </c>
      <c r="E4432" s="5" t="n">
        <v>13.4</v>
      </c>
      <c r="F4432" s="3" t="inlineStr">
        <is>
          <t>부강면</t>
        </is>
      </c>
      <c r="G4432" s="3" t="inlineStr">
        <is>
          <t>문곡리</t>
        </is>
      </c>
      <c r="H4432" s="3" t="inlineStr">
        <is>
          <t>계획관리지역</t>
        </is>
      </c>
      <c r="I4432" s="3" t="inlineStr">
        <is>
          <t>도로</t>
        </is>
      </c>
      <c r="J4432" s="3" t="inlineStr">
        <is>
          <t>부강면</t>
        </is>
      </c>
    </row>
    <row r="4433">
      <c r="A4433" s="3" t="n">
        <v>2025</v>
      </c>
      <c r="B4433" s="4" t="n">
        <v>9236</v>
      </c>
      <c r="C4433" s="4" t="n">
        <v>360</v>
      </c>
      <c r="D4433" s="4" t="n">
        <v>108.9</v>
      </c>
      <c r="E4433" s="5" t="n">
        <v>84.8</v>
      </c>
      <c r="F4433" s="3" t="inlineStr">
        <is>
          <t>남이면</t>
        </is>
      </c>
      <c r="G4433" s="3" t="inlineStr">
        <is>
          <t>팔봉리</t>
        </is>
      </c>
      <c r="H4433" s="3" t="inlineStr">
        <is>
          <t>자연녹지지역</t>
        </is>
      </c>
      <c r="I4433" s="3" t="inlineStr">
        <is>
          <t>답</t>
        </is>
      </c>
      <c r="J4433" s="3" t="inlineStr">
        <is>
          <t>남이면</t>
        </is>
      </c>
    </row>
    <row r="4434">
      <c r="A4434" s="3" t="n">
        <v>2025</v>
      </c>
      <c r="B4434" s="4" t="n">
        <v>22000</v>
      </c>
      <c r="C4434" s="4" t="n">
        <v>118</v>
      </c>
      <c r="D4434" s="4" t="n">
        <v>35.695</v>
      </c>
      <c r="E4434" s="5" t="n">
        <v>616.3</v>
      </c>
      <c r="F4434" s="3" t="inlineStr">
        <is>
          <t>남이면</t>
        </is>
      </c>
      <c r="G4434" s="3" t="inlineStr">
        <is>
          <t>가마리</t>
        </is>
      </c>
      <c r="H4434" s="3" t="inlineStr">
        <is>
          <t>자연녹지지역</t>
        </is>
      </c>
      <c r="I4434" s="3" t="inlineStr">
        <is>
          <t>대</t>
        </is>
      </c>
      <c r="J4434" s="3" t="inlineStr">
        <is>
          <t>남이면</t>
        </is>
      </c>
    </row>
    <row r="4435">
      <c r="A4435" s="3" t="n">
        <v>2025</v>
      </c>
      <c r="B4435" s="4" t="n">
        <v>18200</v>
      </c>
      <c r="C4435" s="4" t="n">
        <v>551</v>
      </c>
      <c r="D4435" s="4" t="n">
        <v>166.6775</v>
      </c>
      <c r="E4435" s="5" t="n">
        <v>109.2</v>
      </c>
      <c r="F4435" s="3" t="inlineStr">
        <is>
          <t>남이면</t>
        </is>
      </c>
      <c r="G4435" s="3" t="inlineStr">
        <is>
          <t>석판리</t>
        </is>
      </c>
      <c r="H4435" s="3" t="inlineStr">
        <is>
          <t>자연녹지지역</t>
        </is>
      </c>
      <c r="I4435" s="3" t="inlineStr">
        <is>
          <t>임야</t>
        </is>
      </c>
      <c r="J4435" s="3" t="inlineStr">
        <is>
          <t>남이면</t>
        </is>
      </c>
    </row>
    <row r="4436">
      <c r="A4436" s="3" t="n">
        <v>2025</v>
      </c>
      <c r="B4436" s="4" t="n">
        <v>4500</v>
      </c>
      <c r="C4436" s="4" t="n">
        <v>213</v>
      </c>
      <c r="D4436" s="4" t="n">
        <v>64.4325</v>
      </c>
      <c r="E4436" s="5" t="n">
        <v>69.8</v>
      </c>
      <c r="F4436" s="3" t="inlineStr">
        <is>
          <t>남이면</t>
        </is>
      </c>
      <c r="G4436" s="3" t="inlineStr">
        <is>
          <t>가마리</t>
        </is>
      </c>
      <c r="H4436" s="3" t="inlineStr">
        <is>
          <t>자연녹지지역</t>
        </is>
      </c>
      <c r="I4436" s="3" t="inlineStr">
        <is>
          <t>임야</t>
        </is>
      </c>
      <c r="J4436" s="3" t="inlineStr">
        <is>
          <t>남이면</t>
        </is>
      </c>
    </row>
    <row r="4437">
      <c r="A4437" s="3" t="n">
        <v>2025</v>
      </c>
      <c r="B4437" s="4" t="n">
        <v>21400</v>
      </c>
      <c r="C4437" s="4" t="n">
        <v>1910</v>
      </c>
      <c r="D4437" s="4" t="n">
        <v>577.775</v>
      </c>
      <c r="E4437" s="5" t="n">
        <v>37</v>
      </c>
      <c r="F4437" s="3" t="inlineStr">
        <is>
          <t>남이면</t>
        </is>
      </c>
      <c r="G4437" s="3" t="inlineStr">
        <is>
          <t>양촌리</t>
        </is>
      </c>
      <c r="H4437" s="3" t="inlineStr">
        <is>
          <t>보전녹지지역</t>
        </is>
      </c>
      <c r="I4437" s="3" t="inlineStr">
        <is>
          <t>임야</t>
        </is>
      </c>
      <c r="J4437" s="3" t="inlineStr">
        <is>
          <t>남이면</t>
        </is>
      </c>
    </row>
    <row r="4438">
      <c r="A4438" s="3" t="n">
        <v>2025</v>
      </c>
      <c r="B4438" s="4" t="n">
        <v>21400</v>
      </c>
      <c r="C4438" s="4" t="n">
        <v>1910</v>
      </c>
      <c r="D4438" s="4" t="n">
        <v>577.775</v>
      </c>
      <c r="E4438" s="5" t="n">
        <v>37</v>
      </c>
      <c r="F4438" s="3" t="inlineStr">
        <is>
          <t>남이면</t>
        </is>
      </c>
      <c r="G4438" s="3" t="inlineStr">
        <is>
          <t>양촌리</t>
        </is>
      </c>
      <c r="H4438" s="3" t="inlineStr">
        <is>
          <t>보전녹지지역</t>
        </is>
      </c>
      <c r="I4438" s="3" t="inlineStr">
        <is>
          <t>임야</t>
        </is>
      </c>
      <c r="J4438" s="3" t="inlineStr">
        <is>
          <t>남이면</t>
        </is>
      </c>
    </row>
    <row r="4439">
      <c r="A4439" s="3" t="n">
        <v>2025</v>
      </c>
      <c r="B4439" s="4" t="n">
        <v>5300</v>
      </c>
      <c r="C4439" s="4" t="n">
        <v>478</v>
      </c>
      <c r="D4439" s="4" t="n">
        <v>144.595</v>
      </c>
      <c r="E4439" s="5" t="n">
        <v>36.7</v>
      </c>
      <c r="F4439" s="3" t="inlineStr">
        <is>
          <t>남이면</t>
        </is>
      </c>
      <c r="G4439" s="3" t="inlineStr">
        <is>
          <t>양촌리</t>
        </is>
      </c>
      <c r="H4439" s="3" t="inlineStr">
        <is>
          <t>보전녹지지역</t>
        </is>
      </c>
      <c r="I4439" s="3" t="inlineStr">
        <is>
          <t>임야</t>
        </is>
      </c>
      <c r="J4439" s="3" t="inlineStr">
        <is>
          <t>남이면</t>
        </is>
      </c>
    </row>
    <row r="4440">
      <c r="A4440" s="3" t="n">
        <v>2025</v>
      </c>
      <c r="B4440" s="4" t="n">
        <v>68000</v>
      </c>
      <c r="C4440" s="4" t="n">
        <v>976</v>
      </c>
      <c r="D4440" s="4" t="n">
        <v>295.24</v>
      </c>
      <c r="E4440" s="5" t="n">
        <v>230.3</v>
      </c>
      <c r="F4440" s="3" t="inlineStr">
        <is>
          <t>남이면</t>
        </is>
      </c>
      <c r="G4440" s="3" t="inlineStr">
        <is>
          <t>석실리</t>
        </is>
      </c>
      <c r="H4440" s="3" t="inlineStr">
        <is>
          <t>자연녹지지역</t>
        </is>
      </c>
      <c r="I4440" s="3" t="inlineStr">
        <is>
          <t>대</t>
        </is>
      </c>
      <c r="J4440" s="3" t="inlineStr">
        <is>
          <t>남이면</t>
        </is>
      </c>
    </row>
    <row r="4441">
      <c r="A4441" s="3" t="n">
        <v>2025</v>
      </c>
      <c r="B4441" s="4" t="n">
        <v>15500</v>
      </c>
      <c r="C4441" s="4" t="n">
        <v>223</v>
      </c>
      <c r="D4441" s="4" t="n">
        <v>67.4575</v>
      </c>
      <c r="E4441" s="5" t="n">
        <v>229.8</v>
      </c>
      <c r="F4441" s="3" t="inlineStr">
        <is>
          <t>남이면</t>
        </is>
      </c>
      <c r="G4441" s="3" t="inlineStr">
        <is>
          <t>부용외천리</t>
        </is>
      </c>
      <c r="H4441" s="3" t="inlineStr">
        <is>
          <t>계획관리지역</t>
        </is>
      </c>
      <c r="I4441" s="3" t="inlineStr">
        <is>
          <t>임야</t>
        </is>
      </c>
      <c r="J4441" s="3" t="inlineStr">
        <is>
          <t>남이면</t>
        </is>
      </c>
    </row>
    <row r="4442">
      <c r="A4442" s="3" t="n">
        <v>2025</v>
      </c>
      <c r="B4442" s="4" t="n">
        <v>22200</v>
      </c>
      <c r="C4442" s="4" t="n">
        <v>319</v>
      </c>
      <c r="D4442" s="4" t="n">
        <v>96.4975</v>
      </c>
      <c r="E4442" s="5" t="n">
        <v>230.1</v>
      </c>
      <c r="F4442" s="3" t="inlineStr">
        <is>
          <t>남이면</t>
        </is>
      </c>
      <c r="G4442" s="3" t="inlineStr">
        <is>
          <t>부용외천리</t>
        </is>
      </c>
      <c r="H4442" s="3" t="inlineStr">
        <is>
          <t>계획관리지역</t>
        </is>
      </c>
      <c r="I4442" s="3" t="inlineStr">
        <is>
          <t>임야</t>
        </is>
      </c>
      <c r="J4442" s="3" t="inlineStr">
        <is>
          <t>남이면</t>
        </is>
      </c>
    </row>
    <row r="4443">
      <c r="A4443" s="3" t="n">
        <v>2025</v>
      </c>
      <c r="B4443" s="4" t="n">
        <v>23200</v>
      </c>
      <c r="C4443" s="4" t="n">
        <v>2198</v>
      </c>
      <c r="D4443" s="4" t="n">
        <v>664.895</v>
      </c>
      <c r="E4443" s="5" t="n">
        <v>34.9</v>
      </c>
      <c r="F4443" s="3" t="inlineStr">
        <is>
          <t>남이면</t>
        </is>
      </c>
      <c r="G4443" s="3" t="inlineStr">
        <is>
          <t>팔봉리</t>
        </is>
      </c>
      <c r="H4443" s="3" t="inlineStr">
        <is>
          <t>보전녹지지역</t>
        </is>
      </c>
      <c r="I4443" s="3" t="inlineStr">
        <is>
          <t>답</t>
        </is>
      </c>
      <c r="J4443" s="3" t="inlineStr">
        <is>
          <t>남이면</t>
        </is>
      </c>
    </row>
    <row r="4444">
      <c r="A4444" s="3" t="n">
        <v>2025</v>
      </c>
      <c r="B4444" s="4" t="n">
        <v>9238</v>
      </c>
      <c r="C4444" s="4" t="n">
        <v>1527</v>
      </c>
      <c r="D4444" s="4" t="n">
        <v>461.9175</v>
      </c>
      <c r="E4444" s="5" t="n">
        <v>20</v>
      </c>
      <c r="F4444" s="3" t="inlineStr">
        <is>
          <t>남이면</t>
        </is>
      </c>
      <c r="G4444" s="3" t="inlineStr">
        <is>
          <t>척산리</t>
        </is>
      </c>
      <c r="H4444" s="3" t="inlineStr">
        <is>
          <t>자연녹지지역</t>
        </is>
      </c>
      <c r="I4444" s="3" t="inlineStr">
        <is>
          <t>전</t>
        </is>
      </c>
      <c r="J4444" s="3" t="inlineStr">
        <is>
          <t>남이면</t>
        </is>
      </c>
    </row>
    <row r="4445">
      <c r="A4445" s="3" t="n">
        <v>2025</v>
      </c>
      <c r="B4445" s="4" t="n">
        <v>510</v>
      </c>
      <c r="C4445" s="4" t="n">
        <v>14</v>
      </c>
      <c r="D4445" s="4" t="n">
        <v>4.234999999999999</v>
      </c>
      <c r="E4445" s="5" t="n">
        <v>120.4</v>
      </c>
      <c r="F4445" s="3" t="inlineStr">
        <is>
          <t>남이면</t>
        </is>
      </c>
      <c r="G4445" s="3" t="inlineStr">
        <is>
          <t>척산리</t>
        </is>
      </c>
      <c r="H4445" s="3" t="inlineStr">
        <is>
          <t>계획관리지역</t>
        </is>
      </c>
      <c r="I4445" s="3" t="inlineStr">
        <is>
          <t>대</t>
        </is>
      </c>
      <c r="J4445" s="3" t="inlineStr">
        <is>
          <t>남이면</t>
        </is>
      </c>
    </row>
    <row r="4446">
      <c r="A4446" s="3" t="n">
        <v>2025</v>
      </c>
      <c r="B4446" s="4" t="n">
        <v>14490</v>
      </c>
      <c r="C4446" s="4" t="n">
        <v>402</v>
      </c>
      <c r="D4446" s="4" t="n">
        <v>121.605</v>
      </c>
      <c r="E4446" s="5" t="n">
        <v>119.2</v>
      </c>
      <c r="F4446" s="3" t="inlineStr">
        <is>
          <t>남이면</t>
        </is>
      </c>
      <c r="G4446" s="3" t="inlineStr">
        <is>
          <t>척산리</t>
        </is>
      </c>
      <c r="H4446" s="3" t="inlineStr">
        <is>
          <t>계획관리지역</t>
        </is>
      </c>
      <c r="I4446" s="3" t="inlineStr">
        <is>
          <t>대</t>
        </is>
      </c>
      <c r="J4446" s="3" t="inlineStr">
        <is>
          <t>남이면</t>
        </is>
      </c>
    </row>
    <row r="4447">
      <c r="A4447" s="3" t="n">
        <v>2025</v>
      </c>
      <c r="B4447" s="4" t="n">
        <v>9100</v>
      </c>
      <c r="C4447" s="4" t="n">
        <v>1315</v>
      </c>
      <c r="D4447" s="4" t="n">
        <v>397.7875</v>
      </c>
      <c r="E4447" s="5" t="n">
        <v>22.9</v>
      </c>
      <c r="F4447" s="3" t="inlineStr">
        <is>
          <t>남이면</t>
        </is>
      </c>
      <c r="G4447" s="3" t="inlineStr">
        <is>
          <t>부용외천리</t>
        </is>
      </c>
      <c r="H4447" s="3" t="inlineStr">
        <is>
          <t>보전관리지역</t>
        </is>
      </c>
      <c r="I4447" s="3" t="inlineStr">
        <is>
          <t>전</t>
        </is>
      </c>
      <c r="J4447" s="3" t="inlineStr">
        <is>
          <t>남이면</t>
        </is>
      </c>
    </row>
    <row r="4448">
      <c r="A4448" s="3" t="n">
        <v>2025</v>
      </c>
      <c r="B4448" s="4" t="n">
        <v>300</v>
      </c>
      <c r="C4448" s="4" t="n">
        <v>100</v>
      </c>
      <c r="D4448" s="4" t="n">
        <v>30.25</v>
      </c>
      <c r="E4448" s="5" t="n">
        <v>9.9</v>
      </c>
      <c r="F4448" s="3" t="inlineStr">
        <is>
          <t>남이면</t>
        </is>
      </c>
      <c r="G4448" s="3" t="inlineStr">
        <is>
          <t>척산리</t>
        </is>
      </c>
      <c r="H4448" s="3" t="inlineStr">
        <is>
          <t>보전녹지지역</t>
        </is>
      </c>
      <c r="I4448" s="3" t="inlineStr">
        <is>
          <t>임야</t>
        </is>
      </c>
      <c r="J4448" s="3" t="inlineStr">
        <is>
          <t>남이면</t>
        </is>
      </c>
    </row>
    <row r="4449">
      <c r="A4449" s="3" t="n">
        <v>2025</v>
      </c>
      <c r="B4449" s="4" t="n">
        <v>300</v>
      </c>
      <c r="C4449" s="4" t="n">
        <v>100</v>
      </c>
      <c r="D4449" s="4" t="n">
        <v>30.25</v>
      </c>
      <c r="E4449" s="5" t="n">
        <v>9.9</v>
      </c>
      <c r="F4449" s="3" t="inlineStr">
        <is>
          <t>남이면</t>
        </is>
      </c>
      <c r="G4449" s="3" t="inlineStr">
        <is>
          <t>척산리</t>
        </is>
      </c>
      <c r="H4449" s="3" t="inlineStr">
        <is>
          <t>보전녹지지역</t>
        </is>
      </c>
      <c r="I4449" s="3" t="inlineStr">
        <is>
          <t>임야</t>
        </is>
      </c>
      <c r="J4449" s="3" t="inlineStr">
        <is>
          <t>남이면</t>
        </is>
      </c>
    </row>
    <row r="4450">
      <c r="A4450" s="3" t="n">
        <v>2025</v>
      </c>
      <c r="B4450" s="4" t="n">
        <v>74700</v>
      </c>
      <c r="C4450" s="4" t="n">
        <v>25401</v>
      </c>
      <c r="D4450" s="4" t="n">
        <v>7683.8025</v>
      </c>
      <c r="E4450" s="5" t="n">
        <v>9.699999999999999</v>
      </c>
      <c r="F4450" s="3" t="inlineStr">
        <is>
          <t>남이면</t>
        </is>
      </c>
      <c r="G4450" s="3" t="inlineStr">
        <is>
          <t>척산리</t>
        </is>
      </c>
      <c r="H4450" s="3" t="inlineStr">
        <is>
          <t>보전녹지지역</t>
        </is>
      </c>
      <c r="I4450" s="3" t="inlineStr">
        <is>
          <t>임야</t>
        </is>
      </c>
      <c r="J4450" s="3" t="inlineStr">
        <is>
          <t>남이면</t>
        </is>
      </c>
    </row>
    <row r="4451">
      <c r="A4451" s="3" t="n">
        <v>2025</v>
      </c>
      <c r="B4451" s="4" t="n">
        <v>30800</v>
      </c>
      <c r="C4451" s="4" t="n">
        <v>1458</v>
      </c>
      <c r="D4451" s="4" t="n">
        <v>441.045</v>
      </c>
      <c r="E4451" s="5" t="n">
        <v>69.8</v>
      </c>
      <c r="F4451" s="3" t="inlineStr">
        <is>
          <t>오송읍</t>
        </is>
      </c>
      <c r="G4451" s="3" t="inlineStr">
        <is>
          <t>서평리</t>
        </is>
      </c>
      <c r="H4451" s="3" t="inlineStr">
        <is>
          <t>농림지역</t>
        </is>
      </c>
      <c r="I4451" s="3" t="inlineStr">
        <is>
          <t>답</t>
        </is>
      </c>
      <c r="J4451" s="3" t="inlineStr">
        <is>
          <t>오송읍</t>
        </is>
      </c>
    </row>
    <row r="4452">
      <c r="A4452" s="3" t="n">
        <v>2025</v>
      </c>
      <c r="B4452" s="4" t="n">
        <v>2000</v>
      </c>
      <c r="C4452" s="4" t="n">
        <v>29</v>
      </c>
      <c r="D4452" s="4" t="n">
        <v>8.772499999999999</v>
      </c>
      <c r="E4452" s="5" t="n">
        <v>228</v>
      </c>
      <c r="F4452" s="3" t="inlineStr">
        <is>
          <t>강내면</t>
        </is>
      </c>
      <c r="G4452" s="3" t="inlineStr">
        <is>
          <t>다락리</t>
        </is>
      </c>
      <c r="H4452" s="3" t="inlineStr">
        <is>
          <t>계획관리지역</t>
        </is>
      </c>
      <c r="I4452" s="3" t="inlineStr">
        <is>
          <t>대</t>
        </is>
      </c>
      <c r="J4452" s="3" t="inlineStr">
        <is>
          <t>강내면</t>
        </is>
      </c>
    </row>
    <row r="4453">
      <c r="A4453" s="3" t="n">
        <v>2025</v>
      </c>
      <c r="B4453" s="4" t="n">
        <v>41334</v>
      </c>
      <c r="C4453" s="4" t="n">
        <v>2469</v>
      </c>
      <c r="D4453" s="4" t="n">
        <v>746.8724999999999</v>
      </c>
      <c r="E4453" s="5" t="n">
        <v>55.3</v>
      </c>
      <c r="F4453" s="3" t="inlineStr">
        <is>
          <t>강내면</t>
        </is>
      </c>
      <c r="G4453" s="3" t="inlineStr">
        <is>
          <t>태성리</t>
        </is>
      </c>
      <c r="H4453" s="3" t="inlineStr">
        <is>
          <t>계획관리지역</t>
        </is>
      </c>
      <c r="I4453" s="3" t="inlineStr">
        <is>
          <t>답</t>
        </is>
      </c>
      <c r="J4453" s="3" t="inlineStr">
        <is>
          <t>강내면</t>
        </is>
      </c>
    </row>
    <row r="4454">
      <c r="A4454" s="3" t="n">
        <v>2025</v>
      </c>
      <c r="B4454" s="4" t="n">
        <v>34500</v>
      </c>
      <c r="C4454" s="4" t="n">
        <v>2116</v>
      </c>
      <c r="D4454" s="4" t="n">
        <v>640.09</v>
      </c>
      <c r="E4454" s="5" t="n">
        <v>53.9</v>
      </c>
      <c r="F4454" s="3" t="inlineStr">
        <is>
          <t>강내면</t>
        </is>
      </c>
      <c r="G4454" s="3" t="inlineStr">
        <is>
          <t>태성리</t>
        </is>
      </c>
      <c r="H4454" s="3" t="inlineStr">
        <is>
          <t>계획관리지역</t>
        </is>
      </c>
      <c r="I4454" s="3" t="inlineStr">
        <is>
          <t>답</t>
        </is>
      </c>
      <c r="J4454" s="3" t="inlineStr">
        <is>
          <t>강내면</t>
        </is>
      </c>
    </row>
    <row r="4455">
      <c r="A4455" s="3" t="n">
        <v>2025</v>
      </c>
      <c r="B4455" s="4" t="n">
        <v>65166</v>
      </c>
      <c r="C4455" s="4" t="n">
        <v>3940</v>
      </c>
      <c r="D4455" s="4" t="n">
        <v>1191.85</v>
      </c>
      <c r="E4455" s="5" t="n">
        <v>54.7</v>
      </c>
      <c r="F4455" s="3" t="inlineStr">
        <is>
          <t>강내면</t>
        </is>
      </c>
      <c r="G4455" s="3" t="inlineStr">
        <is>
          <t>태성리</t>
        </is>
      </c>
      <c r="H4455" s="3" t="inlineStr">
        <is>
          <t>계획관리지역</t>
        </is>
      </c>
      <c r="I4455" s="3" t="inlineStr">
        <is>
          <t>답</t>
        </is>
      </c>
      <c r="J4455" s="3" t="inlineStr">
        <is>
          <t>강내면</t>
        </is>
      </c>
    </row>
    <row r="4456">
      <c r="A4456" s="3" t="n">
        <v>2022</v>
      </c>
      <c r="B4456" s="4" t="n">
        <v>7305</v>
      </c>
      <c r="C4456" s="4" t="n">
        <v>356</v>
      </c>
      <c r="D4456" s="4" t="n">
        <v>107.69</v>
      </c>
      <c r="E4456" s="5" t="n">
        <v>67.8</v>
      </c>
      <c r="F4456" s="3" t="inlineStr">
        <is>
          <t>연서면</t>
        </is>
      </c>
      <c r="G4456" s="3" t="inlineStr">
        <is>
          <t>와촌리</t>
        </is>
      </c>
      <c r="H4456" s="3" t="inlineStr">
        <is>
          <t>계획관리지역</t>
        </is>
      </c>
      <c r="I4456" s="3" t="inlineStr">
        <is>
          <t>답</t>
        </is>
      </c>
      <c r="J4456" s="3" t="inlineStr">
        <is>
          <t>연서면</t>
        </is>
      </c>
    </row>
    <row r="4457">
      <c r="A4457" s="3" t="n">
        <v>2022</v>
      </c>
      <c r="B4457" s="4" t="n">
        <v>2031</v>
      </c>
      <c r="C4457" s="4" t="n">
        <v>99</v>
      </c>
      <c r="D4457" s="4" t="n">
        <v>29.9475</v>
      </c>
      <c r="E4457" s="5" t="n">
        <v>67.8</v>
      </c>
      <c r="F4457" s="3" t="inlineStr">
        <is>
          <t>연서면</t>
        </is>
      </c>
      <c r="G4457" s="3" t="inlineStr">
        <is>
          <t>와촌리</t>
        </is>
      </c>
      <c r="H4457" s="3" t="inlineStr">
        <is>
          <t>계획관리지역</t>
        </is>
      </c>
      <c r="I4457" s="3" t="inlineStr">
        <is>
          <t>답</t>
        </is>
      </c>
      <c r="J4457" s="3" t="inlineStr">
        <is>
          <t>연서면</t>
        </is>
      </c>
    </row>
    <row r="4458">
      <c r="A4458" s="3" t="n">
        <v>2022</v>
      </c>
      <c r="B4458" s="4" t="n">
        <v>2431</v>
      </c>
      <c r="C4458" s="4" t="n">
        <v>141</v>
      </c>
      <c r="D4458" s="4" t="n">
        <v>42.6525</v>
      </c>
      <c r="E4458" s="5" t="n">
        <v>57</v>
      </c>
      <c r="F4458" s="3" t="inlineStr">
        <is>
          <t>연서면</t>
        </is>
      </c>
      <c r="G4458" s="3" t="inlineStr">
        <is>
          <t>와촌리</t>
        </is>
      </c>
      <c r="H4458" s="3" t="inlineStr">
        <is>
          <t>계획관리지역</t>
        </is>
      </c>
      <c r="I4458" s="3" t="inlineStr">
        <is>
          <t>답</t>
        </is>
      </c>
      <c r="J4458" s="3" t="inlineStr">
        <is>
          <t>연서면</t>
        </is>
      </c>
    </row>
    <row r="4459">
      <c r="A4459" s="3" t="n">
        <v>2022</v>
      </c>
      <c r="B4459" s="4" t="n">
        <v>7305</v>
      </c>
      <c r="C4459" s="4" t="n">
        <v>356</v>
      </c>
      <c r="D4459" s="4" t="n">
        <v>107.69</v>
      </c>
      <c r="E4459" s="5" t="n">
        <v>67.8</v>
      </c>
      <c r="F4459" s="3" t="inlineStr">
        <is>
          <t>연서면</t>
        </is>
      </c>
      <c r="G4459" s="3" t="inlineStr">
        <is>
          <t>와촌리</t>
        </is>
      </c>
      <c r="H4459" s="3" t="inlineStr">
        <is>
          <t>계획관리지역</t>
        </is>
      </c>
      <c r="I4459" s="3" t="inlineStr">
        <is>
          <t>답</t>
        </is>
      </c>
      <c r="J4459" s="3" t="inlineStr">
        <is>
          <t>연서면</t>
        </is>
      </c>
    </row>
    <row r="4460">
      <c r="A4460" s="3" t="n">
        <v>2022</v>
      </c>
      <c r="B4460" s="4" t="n">
        <v>2031</v>
      </c>
      <c r="C4460" s="4" t="n">
        <v>99</v>
      </c>
      <c r="D4460" s="4" t="n">
        <v>29.9475</v>
      </c>
      <c r="E4460" s="5" t="n">
        <v>67.8</v>
      </c>
      <c r="F4460" s="3" t="inlineStr">
        <is>
          <t>연서면</t>
        </is>
      </c>
      <c r="G4460" s="3" t="inlineStr">
        <is>
          <t>와촌리</t>
        </is>
      </c>
      <c r="H4460" s="3" t="inlineStr">
        <is>
          <t>계획관리지역</t>
        </is>
      </c>
      <c r="I4460" s="3" t="inlineStr">
        <is>
          <t>답</t>
        </is>
      </c>
      <c r="J4460" s="3" t="inlineStr">
        <is>
          <t>연서면</t>
        </is>
      </c>
    </row>
    <row r="4461">
      <c r="A4461" s="3" t="n">
        <v>2024</v>
      </c>
      <c r="B4461" s="4" t="n">
        <v>26590</v>
      </c>
      <c r="C4461" s="4" t="n">
        <v>1956</v>
      </c>
      <c r="D4461" s="4" t="n">
        <v>591.6899999999999</v>
      </c>
      <c r="E4461" s="5" t="n">
        <v>44.9</v>
      </c>
      <c r="F4461" s="3" t="inlineStr">
        <is>
          <t>강내면</t>
        </is>
      </c>
      <c r="G4461" s="3" t="inlineStr">
        <is>
          <t>사곡리</t>
        </is>
      </c>
      <c r="H4461" s="3" t="inlineStr">
        <is>
          <t>농림지역</t>
        </is>
      </c>
      <c r="I4461" s="3" t="inlineStr">
        <is>
          <t>답</t>
        </is>
      </c>
      <c r="J4461" s="3" t="inlineStr">
        <is>
          <t>강내면</t>
        </is>
      </c>
    </row>
    <row r="4462">
      <c r="A4462" s="3" t="n">
        <v>2024</v>
      </c>
      <c r="B4462" s="4" t="n">
        <v>83760</v>
      </c>
      <c r="C4462" s="4" t="n">
        <v>2309</v>
      </c>
      <c r="D4462" s="4" t="n">
        <v>698.4725</v>
      </c>
      <c r="E4462" s="5" t="n">
        <v>119.9</v>
      </c>
      <c r="F4462" s="3" t="inlineStr">
        <is>
          <t>강내면</t>
        </is>
      </c>
      <c r="G4462" s="3" t="inlineStr">
        <is>
          <t>다락리</t>
        </is>
      </c>
      <c r="H4462" s="3" t="inlineStr">
        <is>
          <t>계획관리지역</t>
        </is>
      </c>
      <c r="I4462" s="3" t="inlineStr">
        <is>
          <t>임야</t>
        </is>
      </c>
      <c r="J4462" s="3" t="inlineStr">
        <is>
          <t>강내면</t>
        </is>
      </c>
    </row>
    <row r="4463">
      <c r="A4463" s="3" t="n">
        <v>2024</v>
      </c>
      <c r="B4463" s="4" t="n">
        <v>60000</v>
      </c>
      <c r="C4463" s="4" t="n">
        <v>1806</v>
      </c>
      <c r="D4463" s="4" t="n">
        <v>546.3149999999999</v>
      </c>
      <c r="E4463" s="5" t="n">
        <v>109.8</v>
      </c>
      <c r="F4463" s="3" t="inlineStr">
        <is>
          <t>오송읍</t>
        </is>
      </c>
      <c r="G4463" s="3" t="inlineStr">
        <is>
          <t>쌍청리</t>
        </is>
      </c>
      <c r="H4463" s="3" t="inlineStr">
        <is>
          <t>생산관리지역</t>
        </is>
      </c>
      <c r="I4463" s="3" t="inlineStr">
        <is>
          <t>답</t>
        </is>
      </c>
      <c r="J4463" s="3" t="inlineStr">
        <is>
          <t>오송읍</t>
        </is>
      </c>
    </row>
    <row r="4464">
      <c r="A4464" s="3" t="n">
        <v>2024</v>
      </c>
      <c r="B4464" s="4" t="n">
        <v>29600</v>
      </c>
      <c r="C4464" s="4" t="n">
        <v>612</v>
      </c>
      <c r="D4464" s="4" t="n">
        <v>185.13</v>
      </c>
      <c r="E4464" s="5" t="n">
        <v>159.9</v>
      </c>
      <c r="F4464" s="3" t="inlineStr">
        <is>
          <t>강내면</t>
        </is>
      </c>
      <c r="G4464" s="3" t="inlineStr">
        <is>
          <t>석화리</t>
        </is>
      </c>
      <c r="H4464" s="3" t="inlineStr">
        <is>
          <t>자연녹지지역</t>
        </is>
      </c>
      <c r="I4464" s="3" t="inlineStr">
        <is>
          <t>전</t>
        </is>
      </c>
      <c r="J4464" s="3" t="inlineStr">
        <is>
          <t>강내면</t>
        </is>
      </c>
    </row>
    <row r="4465">
      <c r="A4465" s="3" t="n">
        <v>2024</v>
      </c>
      <c r="B4465" s="4" t="n">
        <v>7910</v>
      </c>
      <c r="C4465" s="4" t="n">
        <v>1440</v>
      </c>
      <c r="D4465" s="4" t="n">
        <v>435.6</v>
      </c>
      <c r="E4465" s="5" t="n">
        <v>18.2</v>
      </c>
      <c r="F4465" s="3" t="inlineStr">
        <is>
          <t>강내면</t>
        </is>
      </c>
      <c r="G4465" s="3" t="inlineStr">
        <is>
          <t>산단리</t>
        </is>
      </c>
      <c r="H4465" s="3" t="inlineStr">
        <is>
          <t>계획관리지역</t>
        </is>
      </c>
      <c r="I4465" s="3" t="inlineStr">
        <is>
          <t>전</t>
        </is>
      </c>
      <c r="J4465" s="3" t="inlineStr">
        <is>
          <t>강내면</t>
        </is>
      </c>
    </row>
    <row r="4466">
      <c r="A4466" s="3" t="n">
        <v>2024</v>
      </c>
      <c r="B4466" s="4" t="n">
        <v>6590</v>
      </c>
      <c r="C4466" s="4" t="n">
        <v>1200</v>
      </c>
      <c r="D4466" s="4" t="n">
        <v>363</v>
      </c>
      <c r="E4466" s="5" t="n">
        <v>18.2</v>
      </c>
      <c r="F4466" s="3" t="inlineStr">
        <is>
          <t>강내면</t>
        </is>
      </c>
      <c r="G4466" s="3" t="inlineStr">
        <is>
          <t>산단리</t>
        </is>
      </c>
      <c r="H4466" s="3" t="inlineStr">
        <is>
          <t>계획관리지역</t>
        </is>
      </c>
      <c r="I4466" s="3" t="inlineStr">
        <is>
          <t>전</t>
        </is>
      </c>
      <c r="J4466" s="3" t="inlineStr">
        <is>
          <t>강내면</t>
        </is>
      </c>
    </row>
    <row r="4467">
      <c r="A4467" s="3" t="n">
        <v>2024</v>
      </c>
      <c r="B4467" s="4" t="n">
        <v>8500</v>
      </c>
      <c r="C4467" s="4" t="n">
        <v>1545</v>
      </c>
      <c r="D4467" s="4" t="n">
        <v>467.3625</v>
      </c>
      <c r="E4467" s="5" t="n">
        <v>18.2</v>
      </c>
      <c r="F4467" s="3" t="inlineStr">
        <is>
          <t>강내면</t>
        </is>
      </c>
      <c r="G4467" s="3" t="inlineStr">
        <is>
          <t>산단리</t>
        </is>
      </c>
      <c r="H4467" s="3" t="inlineStr">
        <is>
          <t>계획관리지역</t>
        </is>
      </c>
      <c r="I4467" s="3" t="inlineStr">
        <is>
          <t>전</t>
        </is>
      </c>
      <c r="J4467" s="3" t="inlineStr">
        <is>
          <t>강내면</t>
        </is>
      </c>
    </row>
    <row r="4468">
      <c r="A4468" s="3" t="n">
        <v>2024</v>
      </c>
      <c r="B4468" s="4" t="n">
        <v>9000</v>
      </c>
      <c r="C4468" s="4" t="n">
        <v>39</v>
      </c>
      <c r="D4468" s="4" t="n">
        <v>11.7975</v>
      </c>
      <c r="E4468" s="5" t="n">
        <v>762.9</v>
      </c>
      <c r="F4468" s="3" t="inlineStr">
        <is>
          <t>강내면</t>
        </is>
      </c>
      <c r="G4468" s="3" t="inlineStr">
        <is>
          <t>탑연리</t>
        </is>
      </c>
      <c r="H4468" s="3" t="inlineStr">
        <is>
          <t>제2종일반주거지역</t>
        </is>
      </c>
      <c r="I4468" s="3" t="inlineStr">
        <is>
          <t>답</t>
        </is>
      </c>
      <c r="J4468" s="3" t="inlineStr">
        <is>
          <t>강내면</t>
        </is>
      </c>
    </row>
    <row r="4469">
      <c r="A4469" s="3" t="n">
        <v>2024</v>
      </c>
      <c r="B4469" s="4" t="n">
        <v>32000</v>
      </c>
      <c r="C4469" s="4" t="n">
        <v>240.5</v>
      </c>
      <c r="D4469" s="4" t="n">
        <v>72.75125</v>
      </c>
      <c r="E4469" s="5" t="n">
        <v>439.9</v>
      </c>
      <c r="F4469" s="3" t="inlineStr">
        <is>
          <t>오송읍</t>
        </is>
      </c>
      <c r="G4469" s="3" t="inlineStr">
        <is>
          <t>봉산리</t>
        </is>
      </c>
      <c r="H4469" s="3" t="inlineStr">
        <is>
          <t>제1종일반주거지역</t>
        </is>
      </c>
      <c r="I4469" s="3" t="inlineStr">
        <is>
          <t>대</t>
        </is>
      </c>
      <c r="J4469" s="3" t="inlineStr">
        <is>
          <t>오송읍</t>
        </is>
      </c>
    </row>
    <row r="4470">
      <c r="A4470" s="3" t="n">
        <v>2024</v>
      </c>
      <c r="B4470" s="4" t="n">
        <v>24254</v>
      </c>
      <c r="C4470" s="4" t="n">
        <v>422</v>
      </c>
      <c r="D4470" s="4" t="n">
        <v>127.655</v>
      </c>
      <c r="E4470" s="5" t="n">
        <v>190</v>
      </c>
      <c r="F4470" s="3" t="inlineStr">
        <is>
          <t>오송읍</t>
        </is>
      </c>
      <c r="G4470" s="3" t="inlineStr">
        <is>
          <t>정중리</t>
        </is>
      </c>
      <c r="H4470" s="3" t="inlineStr">
        <is>
          <t>계획관리지역</t>
        </is>
      </c>
      <c r="I4470" s="3" t="inlineStr">
        <is>
          <t>대</t>
        </is>
      </c>
      <c r="J4470" s="3" t="inlineStr">
        <is>
          <t>오송읍</t>
        </is>
      </c>
    </row>
    <row r="4471">
      <c r="A4471" s="3" t="n">
        <v>2024</v>
      </c>
      <c r="B4471" s="4" t="n">
        <v>4227</v>
      </c>
      <c r="C4471" s="4" t="n">
        <v>350</v>
      </c>
      <c r="D4471" s="4" t="n">
        <v>105.875</v>
      </c>
      <c r="E4471" s="5" t="n">
        <v>39.9</v>
      </c>
      <c r="F4471" s="3" t="inlineStr">
        <is>
          <t>강내면</t>
        </is>
      </c>
      <c r="G4471" s="3" t="inlineStr">
        <is>
          <t>석화리</t>
        </is>
      </c>
      <c r="H4471" s="3" t="inlineStr">
        <is>
          <t>자연녹지지역</t>
        </is>
      </c>
      <c r="I4471" s="3" t="inlineStr">
        <is>
          <t>전</t>
        </is>
      </c>
      <c r="J4471" s="3" t="inlineStr">
        <is>
          <t>강내면</t>
        </is>
      </c>
    </row>
    <row r="4472">
      <c r="A4472" s="3" t="n">
        <v>2024</v>
      </c>
      <c r="B4472" s="4" t="n">
        <v>3333</v>
      </c>
      <c r="C4472" s="4" t="n">
        <v>276</v>
      </c>
      <c r="D4472" s="4" t="n">
        <v>83.48999999999999</v>
      </c>
      <c r="E4472" s="5" t="n">
        <v>39.9</v>
      </c>
      <c r="F4472" s="3" t="inlineStr">
        <is>
          <t>강내면</t>
        </is>
      </c>
      <c r="G4472" s="3" t="inlineStr">
        <is>
          <t>석화리</t>
        </is>
      </c>
      <c r="H4472" s="3" t="inlineStr">
        <is>
          <t>자연녹지지역</t>
        </is>
      </c>
      <c r="I4472" s="3" t="inlineStr">
        <is>
          <t>전</t>
        </is>
      </c>
      <c r="J4472" s="3" t="inlineStr">
        <is>
          <t>강내면</t>
        </is>
      </c>
    </row>
    <row r="4473">
      <c r="A4473" s="3" t="n">
        <v>2024</v>
      </c>
      <c r="B4473" s="4" t="n">
        <v>10000</v>
      </c>
      <c r="C4473" s="4" t="n">
        <v>777</v>
      </c>
      <c r="D4473" s="4" t="n">
        <v>235.0425</v>
      </c>
      <c r="E4473" s="5" t="n">
        <v>42.5</v>
      </c>
      <c r="F4473" s="3" t="inlineStr">
        <is>
          <t>강내면</t>
        </is>
      </c>
      <c r="G4473" s="3" t="inlineStr">
        <is>
          <t>월탄리</t>
        </is>
      </c>
      <c r="H4473" s="3" t="inlineStr">
        <is>
          <t>계획관리지역</t>
        </is>
      </c>
      <c r="I4473" s="3" t="inlineStr">
        <is>
          <t>전</t>
        </is>
      </c>
      <c r="J4473" s="3" t="inlineStr">
        <is>
          <t>강내면</t>
        </is>
      </c>
    </row>
    <row r="4474">
      <c r="A4474" s="3" t="n">
        <v>2024</v>
      </c>
      <c r="B4474" s="4" t="n">
        <v>2000</v>
      </c>
      <c r="C4474" s="4" t="n">
        <v>45</v>
      </c>
      <c r="D4474" s="4" t="n">
        <v>13.6125</v>
      </c>
      <c r="E4474" s="5" t="n">
        <v>146.9</v>
      </c>
      <c r="F4474" s="3" t="inlineStr">
        <is>
          <t>오송읍</t>
        </is>
      </c>
      <c r="G4474" s="3" t="inlineStr">
        <is>
          <t>궁평리</t>
        </is>
      </c>
      <c r="H4474" s="3" t="inlineStr">
        <is>
          <t>농림지역</t>
        </is>
      </c>
      <c r="I4474" s="3" t="inlineStr">
        <is>
          <t>과수원</t>
        </is>
      </c>
      <c r="J4474" s="3" t="inlineStr">
        <is>
          <t>오송읍</t>
        </is>
      </c>
    </row>
    <row r="4475">
      <c r="A4475" s="3" t="n">
        <v>2023</v>
      </c>
      <c r="B4475" s="4" t="n">
        <v>10000</v>
      </c>
      <c r="C4475" s="4" t="n">
        <v>161</v>
      </c>
      <c r="D4475" s="4" t="n">
        <v>48.7025</v>
      </c>
      <c r="E4475" s="5" t="n">
        <v>205.3</v>
      </c>
      <c r="F4475" s="3" t="inlineStr">
        <is>
          <t>부강면</t>
        </is>
      </c>
      <c r="G4475" s="3" t="inlineStr">
        <is>
          <t>문곡리</t>
        </is>
      </c>
      <c r="H4475" s="3" t="inlineStr">
        <is>
          <t>계획관리지역</t>
        </is>
      </c>
      <c r="I4475" s="3" t="inlineStr">
        <is>
          <t>답</t>
        </is>
      </c>
      <c r="J4475" s="3" t="inlineStr">
        <is>
          <t>부강면</t>
        </is>
      </c>
    </row>
    <row r="4476">
      <c r="A4476" s="3" t="n">
        <v>2026</v>
      </c>
      <c r="B4476" s="4" t="n">
        <v>10000</v>
      </c>
      <c r="C4476" s="4" t="n">
        <v>579</v>
      </c>
      <c r="D4476" s="4" t="n">
        <v>175.1475</v>
      </c>
      <c r="E4476" s="5" t="n">
        <v>57.1</v>
      </c>
      <c r="F4476" s="3" t="inlineStr">
        <is>
          <t>연동면</t>
        </is>
      </c>
      <c r="G4476" s="3" t="inlineStr">
        <is>
          <t>명학리</t>
        </is>
      </c>
      <c r="H4476" s="3" t="inlineStr">
        <is>
          <t>보전관리지역</t>
        </is>
      </c>
      <c r="I4476" s="3" t="inlineStr">
        <is>
          <t>전</t>
        </is>
      </c>
      <c r="J4476" s="3" t="inlineStr">
        <is>
          <t>연동면</t>
        </is>
      </c>
    </row>
    <row r="4477">
      <c r="A4477" s="3" t="n">
        <v>2022</v>
      </c>
      <c r="B4477" s="4" t="n">
        <v>12000</v>
      </c>
      <c r="C4477" s="4" t="n">
        <v>568</v>
      </c>
      <c r="D4477" s="4" t="n">
        <v>171.82</v>
      </c>
      <c r="E4477" s="5" t="n">
        <v>69.8</v>
      </c>
      <c r="F4477" s="3" t="inlineStr">
        <is>
          <t>강내면</t>
        </is>
      </c>
      <c r="G4477" s="3" t="inlineStr">
        <is>
          <t>학천리</t>
        </is>
      </c>
      <c r="H4477" s="3" t="inlineStr">
        <is>
          <t>생산녹지지역</t>
        </is>
      </c>
      <c r="I4477" s="3" t="inlineStr">
        <is>
          <t>전</t>
        </is>
      </c>
      <c r="J4477" s="3" t="inlineStr">
        <is>
          <t>강내면</t>
        </is>
      </c>
    </row>
    <row r="4478">
      <c r="A4478" s="3" t="n">
        <v>2022</v>
      </c>
      <c r="B4478" s="4" t="n">
        <v>1600</v>
      </c>
      <c r="C4478" s="4" t="n">
        <v>20</v>
      </c>
      <c r="D4478" s="4" t="n">
        <v>6.05</v>
      </c>
      <c r="E4478" s="5" t="n">
        <v>264.5</v>
      </c>
      <c r="F4478" s="3" t="inlineStr">
        <is>
          <t>오송읍</t>
        </is>
      </c>
      <c r="G4478" s="3" t="inlineStr">
        <is>
          <t>오송리</t>
        </is>
      </c>
      <c r="H4478" s="3" t="inlineStr">
        <is>
          <t>제1종일반주거지역</t>
        </is>
      </c>
      <c r="I4478" s="3" t="inlineStr">
        <is>
          <t>도로</t>
        </is>
      </c>
      <c r="J4478" s="3" t="inlineStr">
        <is>
          <t>오송읍</t>
        </is>
      </c>
    </row>
    <row r="4479">
      <c r="A4479" s="3" t="n">
        <v>2022</v>
      </c>
      <c r="B4479" s="4" t="n">
        <v>28000</v>
      </c>
      <c r="C4479" s="4" t="n">
        <v>241</v>
      </c>
      <c r="D4479" s="4" t="n">
        <v>72.9025</v>
      </c>
      <c r="E4479" s="5" t="n">
        <v>384.1</v>
      </c>
      <c r="F4479" s="3" t="inlineStr">
        <is>
          <t>오송읍</t>
        </is>
      </c>
      <c r="G4479" s="3" t="inlineStr">
        <is>
          <t>봉산리</t>
        </is>
      </c>
      <c r="H4479" s="3" t="inlineStr">
        <is>
          <t>제1종일반주거지역</t>
        </is>
      </c>
      <c r="I4479" s="3" t="inlineStr">
        <is>
          <t>대</t>
        </is>
      </c>
      <c r="J4479" s="3" t="inlineStr">
        <is>
          <t>오송읍</t>
        </is>
      </c>
    </row>
    <row r="4480">
      <c r="A4480" s="3" t="n">
        <v>2022</v>
      </c>
      <c r="B4480" s="4" t="n">
        <v>155700</v>
      </c>
      <c r="C4480" s="4" t="n">
        <v>2059</v>
      </c>
      <c r="D4480" s="4" t="n">
        <v>622.8475</v>
      </c>
      <c r="E4480" s="5" t="n">
        <v>250</v>
      </c>
      <c r="F4480" s="3" t="inlineStr">
        <is>
          <t>오송읍</t>
        </is>
      </c>
      <c r="G4480" s="3" t="inlineStr">
        <is>
          <t>만수리</t>
        </is>
      </c>
      <c r="H4480" s="3" t="inlineStr">
        <is>
          <t>농림지역</t>
        </is>
      </c>
      <c r="I4480" s="3" t="inlineStr">
        <is>
          <t>답</t>
        </is>
      </c>
      <c r="J4480" s="3" t="inlineStr">
        <is>
          <t>오송읍</t>
        </is>
      </c>
    </row>
    <row r="4481">
      <c r="A4481" s="3" t="n">
        <v>2022</v>
      </c>
      <c r="B4481" s="4" t="n">
        <v>1500</v>
      </c>
      <c r="C4481" s="4" t="n">
        <v>20</v>
      </c>
      <c r="D4481" s="4" t="n">
        <v>6.05</v>
      </c>
      <c r="E4481" s="5" t="n">
        <v>247.9</v>
      </c>
      <c r="F4481" s="3" t="inlineStr">
        <is>
          <t>오송읍</t>
        </is>
      </c>
      <c r="G4481" s="3" t="inlineStr">
        <is>
          <t>오송리</t>
        </is>
      </c>
      <c r="H4481" s="3" t="inlineStr">
        <is>
          <t>준주거지역</t>
        </is>
      </c>
      <c r="I4481" s="3" t="inlineStr">
        <is>
          <t>도로</t>
        </is>
      </c>
      <c r="J4481" s="3" t="inlineStr">
        <is>
          <t>오송읍</t>
        </is>
      </c>
    </row>
    <row r="4482">
      <c r="A4482" s="3" t="n">
        <v>2022</v>
      </c>
      <c r="B4482" s="4" t="n">
        <v>98000</v>
      </c>
      <c r="C4482" s="4" t="n">
        <v>3978</v>
      </c>
      <c r="D4482" s="4" t="n">
        <v>1203.345</v>
      </c>
      <c r="E4482" s="5" t="n">
        <v>81.40000000000001</v>
      </c>
      <c r="F4482" s="3" t="inlineStr">
        <is>
          <t>오송읍</t>
        </is>
      </c>
      <c r="G4482" s="3" t="inlineStr">
        <is>
          <t>공북리</t>
        </is>
      </c>
      <c r="H4482" s="3" t="inlineStr">
        <is>
          <t>농림지역</t>
        </is>
      </c>
      <c r="I4482" s="3" t="inlineStr">
        <is>
          <t>답</t>
        </is>
      </c>
      <c r="J4482" s="3" t="inlineStr">
        <is>
          <t>오송읍</t>
        </is>
      </c>
    </row>
    <row r="4483">
      <c r="A4483" s="3" t="n">
        <v>2022</v>
      </c>
      <c r="B4483" s="4" t="n">
        <v>4500</v>
      </c>
      <c r="C4483" s="4" t="n">
        <v>588</v>
      </c>
      <c r="D4483" s="4" t="n">
        <v>177.87</v>
      </c>
      <c r="E4483" s="5" t="n">
        <v>25.3</v>
      </c>
      <c r="F4483" s="3" t="inlineStr">
        <is>
          <t>오송읍</t>
        </is>
      </c>
      <c r="G4483" s="3" t="inlineStr">
        <is>
          <t>연제리</t>
        </is>
      </c>
      <c r="H4483" s="3" t="inlineStr">
        <is>
          <t>농림지역</t>
        </is>
      </c>
      <c r="I4483" s="3" t="inlineStr">
        <is>
          <t>전</t>
        </is>
      </c>
      <c r="J4483" s="3" t="inlineStr">
        <is>
          <t>오송읍</t>
        </is>
      </c>
    </row>
    <row r="4484">
      <c r="A4484" s="3" t="n">
        <v>2022</v>
      </c>
      <c r="B4484" s="4" t="n">
        <v>1200</v>
      </c>
      <c r="C4484" s="4" t="n">
        <v>20</v>
      </c>
      <c r="D4484" s="4" t="n">
        <v>6.05</v>
      </c>
      <c r="E4484" s="5" t="n">
        <v>198.3</v>
      </c>
      <c r="F4484" s="3" t="inlineStr">
        <is>
          <t>오송읍</t>
        </is>
      </c>
      <c r="G4484" s="3" t="inlineStr">
        <is>
          <t>오송리</t>
        </is>
      </c>
      <c r="H4484" s="3" t="inlineStr">
        <is>
          <t>제1종일반주거지역</t>
        </is>
      </c>
      <c r="I4484" s="3" t="inlineStr">
        <is>
          <t>도로</t>
        </is>
      </c>
      <c r="J4484" s="3" t="inlineStr">
        <is>
          <t>오송읍</t>
        </is>
      </c>
    </row>
    <row r="4485">
      <c r="A4485" s="3" t="n">
        <v>2022</v>
      </c>
      <c r="B4485" s="4" t="n">
        <v>43000</v>
      </c>
      <c r="C4485" s="4" t="n">
        <v>2387.3</v>
      </c>
      <c r="D4485" s="4" t="n">
        <v>722.1582500000001</v>
      </c>
      <c r="E4485" s="5" t="n">
        <v>59.5</v>
      </c>
      <c r="F4485" s="3" t="inlineStr">
        <is>
          <t>강내면</t>
        </is>
      </c>
      <c r="G4485" s="3" t="inlineStr">
        <is>
          <t>산단리</t>
        </is>
      </c>
      <c r="H4485" s="3" t="inlineStr">
        <is>
          <t>농림지역</t>
        </is>
      </c>
      <c r="I4485" s="3" t="inlineStr">
        <is>
          <t>답</t>
        </is>
      </c>
      <c r="J4485" s="3" t="inlineStr">
        <is>
          <t>강내면</t>
        </is>
      </c>
    </row>
    <row r="4486">
      <c r="A4486" s="3" t="n">
        <v>2022</v>
      </c>
      <c r="B4486" s="4" t="n">
        <v>4500</v>
      </c>
      <c r="C4486" s="4" t="n">
        <v>440</v>
      </c>
      <c r="D4486" s="4" t="n">
        <v>133.1</v>
      </c>
      <c r="E4486" s="5" t="n">
        <v>33.8</v>
      </c>
      <c r="F4486" s="3" t="inlineStr">
        <is>
          <t>오송읍</t>
        </is>
      </c>
      <c r="G4486" s="3" t="inlineStr">
        <is>
          <t>상봉리</t>
        </is>
      </c>
      <c r="H4486" s="3" t="inlineStr">
        <is>
          <t>생산관리지역</t>
        </is>
      </c>
      <c r="I4486" s="3" t="inlineStr">
        <is>
          <t>답</t>
        </is>
      </c>
      <c r="J4486" s="3" t="inlineStr">
        <is>
          <t>오송읍</t>
        </is>
      </c>
    </row>
    <row r="4487">
      <c r="A4487" s="3" t="n">
        <v>2024</v>
      </c>
      <c r="B4487" s="4" t="n">
        <v>10000</v>
      </c>
      <c r="C4487" s="4" t="n">
        <v>46.6</v>
      </c>
      <c r="D4487" s="4" t="n">
        <v>14.0965</v>
      </c>
      <c r="E4487" s="5" t="n">
        <v>709.4</v>
      </c>
      <c r="F4487" s="3" t="inlineStr">
        <is>
          <t>남이면</t>
        </is>
      </c>
      <c r="G4487" s="3" t="inlineStr">
        <is>
          <t>가좌리</t>
        </is>
      </c>
      <c r="H4487" s="3" t="inlineStr">
        <is>
          <t>자연녹지지역</t>
        </is>
      </c>
      <c r="I4487" s="3" t="inlineStr">
        <is>
          <t>전</t>
        </is>
      </c>
      <c r="J4487" s="3" t="inlineStr">
        <is>
          <t>남이면</t>
        </is>
      </c>
    </row>
    <row r="4488">
      <c r="A4488" s="3" t="n">
        <v>2024</v>
      </c>
      <c r="B4488" s="4" t="n">
        <v>46200</v>
      </c>
      <c r="C4488" s="4" t="n">
        <v>990</v>
      </c>
      <c r="D4488" s="4" t="n">
        <v>299.475</v>
      </c>
      <c r="E4488" s="5" t="n">
        <v>154.3</v>
      </c>
      <c r="F4488" s="3" t="inlineStr">
        <is>
          <t>남이면</t>
        </is>
      </c>
      <c r="G4488" s="3" t="inlineStr">
        <is>
          <t>상발리</t>
        </is>
      </c>
      <c r="H4488" s="3" t="inlineStr">
        <is>
          <t>자연녹지지역</t>
        </is>
      </c>
      <c r="I4488" s="3" t="inlineStr">
        <is>
          <t>전</t>
        </is>
      </c>
      <c r="J4488" s="3" t="inlineStr">
        <is>
          <t>남이면</t>
        </is>
      </c>
    </row>
    <row r="4489">
      <c r="A4489" s="3" t="n">
        <v>2024</v>
      </c>
      <c r="B4489" s="4" t="n">
        <v>2606</v>
      </c>
      <c r="C4489" s="4" t="n">
        <v>103</v>
      </c>
      <c r="D4489" s="4" t="n">
        <v>31.1575</v>
      </c>
      <c r="E4489" s="5" t="n">
        <v>83.59999999999999</v>
      </c>
      <c r="F4489" s="3" t="inlineStr">
        <is>
          <t>남이면</t>
        </is>
      </c>
      <c r="G4489" s="3" t="inlineStr">
        <is>
          <t>문동리</t>
        </is>
      </c>
      <c r="H4489" s="3" t="inlineStr">
        <is>
          <t>자연녹지지역</t>
        </is>
      </c>
      <c r="I4489" s="3" t="inlineStr">
        <is>
          <t>잡종지</t>
        </is>
      </c>
      <c r="J4489" s="3" t="inlineStr">
        <is>
          <t>남이면</t>
        </is>
      </c>
    </row>
    <row r="4490">
      <c r="A4490" s="3" t="n">
        <v>2022</v>
      </c>
      <c r="B4490" s="4" t="n">
        <v>2000</v>
      </c>
      <c r="C4490" s="4" t="n">
        <v>79</v>
      </c>
      <c r="D4490" s="4" t="n">
        <v>23.8975</v>
      </c>
      <c r="E4490" s="5" t="n">
        <v>83.7</v>
      </c>
      <c r="F4490" s="3" t="inlineStr">
        <is>
          <t>연서면</t>
        </is>
      </c>
      <c r="G4490" s="3" t="inlineStr">
        <is>
          <t>와촌리</t>
        </is>
      </c>
      <c r="H4490" s="3" t="inlineStr">
        <is>
          <t>계획관리지역</t>
        </is>
      </c>
      <c r="I4490" s="3" t="inlineStr">
        <is>
          <t>도로</t>
        </is>
      </c>
      <c r="J4490" s="3" t="inlineStr">
        <is>
          <t>연서면</t>
        </is>
      </c>
    </row>
    <row r="4491">
      <c r="A4491" s="3" t="n">
        <v>2022</v>
      </c>
      <c r="B4491" s="4" t="n">
        <v>90760</v>
      </c>
      <c r="C4491" s="4" t="n">
        <v>1623</v>
      </c>
      <c r="D4491" s="4" t="n">
        <v>490.9575</v>
      </c>
      <c r="E4491" s="5" t="n">
        <v>184.9</v>
      </c>
      <c r="F4491" s="3" t="inlineStr">
        <is>
          <t>연서면</t>
        </is>
      </c>
      <c r="G4491" s="3" t="inlineStr">
        <is>
          <t>와촌리</t>
        </is>
      </c>
      <c r="H4491" s="3" t="inlineStr">
        <is>
          <t>계획관리지역</t>
        </is>
      </c>
      <c r="I4491" s="3" t="inlineStr">
        <is>
          <t>답</t>
        </is>
      </c>
      <c r="J4491" s="3" t="inlineStr">
        <is>
          <t>연서면</t>
        </is>
      </c>
    </row>
    <row r="4492">
      <c r="A4492" s="3" t="n">
        <v>2022</v>
      </c>
      <c r="B4492" s="4" t="n">
        <v>25000</v>
      </c>
      <c r="C4492" s="4" t="n">
        <v>230</v>
      </c>
      <c r="D4492" s="4" t="n">
        <v>69.575</v>
      </c>
      <c r="E4492" s="5" t="n">
        <v>359.3</v>
      </c>
      <c r="F4492" s="3" t="inlineStr">
        <is>
          <t>조치원읍</t>
        </is>
      </c>
      <c r="G4492" s="3" t="inlineStr">
        <is>
          <t>죽림리</t>
        </is>
      </c>
      <c r="H4492" s="3" t="inlineStr">
        <is>
          <t>제2종일반주거지역</t>
        </is>
      </c>
      <c r="I4492" s="3" t="inlineStr">
        <is>
          <t>대</t>
        </is>
      </c>
      <c r="J4492" s="3" t="inlineStr">
        <is>
          <t>조치원읍</t>
        </is>
      </c>
    </row>
    <row r="4493">
      <c r="A4493" s="3" t="n">
        <v>2024</v>
      </c>
      <c r="B4493" s="4" t="n">
        <v>2700</v>
      </c>
      <c r="C4493" s="4" t="n">
        <v>297</v>
      </c>
      <c r="D4493" s="4" t="n">
        <v>89.8425</v>
      </c>
      <c r="E4493" s="5" t="n">
        <v>30.1</v>
      </c>
      <c r="F4493" s="3" t="inlineStr">
        <is>
          <t>강내면</t>
        </is>
      </c>
      <c r="G4493" s="3" t="inlineStr">
        <is>
          <t>사곡리</t>
        </is>
      </c>
      <c r="H4493" s="3" t="inlineStr">
        <is>
          <t>보전관리지역</t>
        </is>
      </c>
      <c r="I4493" s="3" t="inlineStr">
        <is>
          <t>임야</t>
        </is>
      </c>
      <c r="J4493" s="3" t="inlineStr">
        <is>
          <t>강내면</t>
        </is>
      </c>
    </row>
    <row r="4494">
      <c r="A4494" s="3" t="n">
        <v>2022</v>
      </c>
      <c r="B4494" s="4" t="n">
        <v>14500</v>
      </c>
      <c r="C4494" s="4" t="n">
        <v>306</v>
      </c>
      <c r="D4494" s="4" t="n">
        <v>92.565</v>
      </c>
      <c r="E4494" s="5" t="n">
        <v>156.6</v>
      </c>
      <c r="F4494" s="3" t="inlineStr">
        <is>
          <t>강내면</t>
        </is>
      </c>
      <c r="G4494" s="3" t="inlineStr">
        <is>
          <t>탑연리</t>
        </is>
      </c>
      <c r="H4494" s="3" t="inlineStr">
        <is>
          <t>자연녹지지역</t>
        </is>
      </c>
      <c r="I4494" s="3" t="inlineStr">
        <is>
          <t>전</t>
        </is>
      </c>
      <c r="J4494" s="3" t="inlineStr">
        <is>
          <t>강내면</t>
        </is>
      </c>
    </row>
    <row r="4495">
      <c r="A4495" s="3" t="n">
        <v>2022</v>
      </c>
      <c r="B4495" s="4" t="n">
        <v>1100</v>
      </c>
      <c r="C4495" s="4" t="n">
        <v>20</v>
      </c>
      <c r="D4495" s="4" t="n">
        <v>6.05</v>
      </c>
      <c r="E4495" s="5" t="n">
        <v>181.8</v>
      </c>
      <c r="F4495" s="3" t="inlineStr">
        <is>
          <t>오송읍</t>
        </is>
      </c>
      <c r="G4495" s="3" t="inlineStr">
        <is>
          <t>오송리</t>
        </is>
      </c>
      <c r="H4495" s="3" t="inlineStr">
        <is>
          <t>준주거지역</t>
        </is>
      </c>
      <c r="I4495" s="3" t="inlineStr">
        <is>
          <t>도로</t>
        </is>
      </c>
      <c r="J4495" s="3" t="inlineStr">
        <is>
          <t>오송읍</t>
        </is>
      </c>
    </row>
    <row r="4496">
      <c r="A4496" s="3" t="n">
        <v>2022</v>
      </c>
      <c r="B4496" s="4" t="n">
        <v>150000</v>
      </c>
      <c r="C4496" s="4" t="n">
        <v>1738</v>
      </c>
      <c r="D4496" s="4" t="n">
        <v>525.745</v>
      </c>
      <c r="E4496" s="5" t="n">
        <v>285.3</v>
      </c>
      <c r="F4496" s="3" t="inlineStr">
        <is>
          <t>오송읍</t>
        </is>
      </c>
      <c r="G4496" s="3" t="inlineStr">
        <is>
          <t>오송리</t>
        </is>
      </c>
      <c r="H4496" s="3" t="inlineStr">
        <is>
          <t>농림지역</t>
        </is>
      </c>
      <c r="I4496" s="3" t="inlineStr">
        <is>
          <t>답</t>
        </is>
      </c>
      <c r="J4496" s="3" t="inlineStr">
        <is>
          <t>오송읍</t>
        </is>
      </c>
    </row>
    <row r="4497">
      <c r="A4497" s="3" t="n">
        <v>2022</v>
      </c>
      <c r="B4497" s="4" t="n">
        <v>25000</v>
      </c>
      <c r="C4497" s="4" t="n">
        <v>232.5</v>
      </c>
      <c r="D4497" s="4" t="n">
        <v>70.33125</v>
      </c>
      <c r="E4497" s="5" t="n">
        <v>355.5</v>
      </c>
      <c r="F4497" s="3" t="inlineStr">
        <is>
          <t>오송읍</t>
        </is>
      </c>
      <c r="G4497" s="3" t="inlineStr">
        <is>
          <t>봉산리</t>
        </is>
      </c>
      <c r="H4497" s="3" t="inlineStr">
        <is>
          <t>제1종일반주거지역</t>
        </is>
      </c>
      <c r="I4497" s="3" t="inlineStr">
        <is>
          <t>대</t>
        </is>
      </c>
      <c r="J4497" s="3" t="inlineStr">
        <is>
          <t>오송읍</t>
        </is>
      </c>
    </row>
    <row r="4498">
      <c r="A4498" s="3" t="n">
        <v>2022</v>
      </c>
      <c r="B4498" s="4" t="n">
        <v>1800</v>
      </c>
      <c r="C4498" s="4" t="n">
        <v>50</v>
      </c>
      <c r="D4498" s="4" t="n">
        <v>15.125</v>
      </c>
      <c r="E4498" s="5" t="n">
        <v>119</v>
      </c>
      <c r="F4498" s="3" t="inlineStr">
        <is>
          <t>강내면</t>
        </is>
      </c>
      <c r="G4498" s="3" t="inlineStr">
        <is>
          <t>저산리</t>
        </is>
      </c>
      <c r="H4498" s="3" t="inlineStr">
        <is>
          <t>계획관리지역</t>
        </is>
      </c>
      <c r="I4498" s="3" t="inlineStr">
        <is>
          <t>도로</t>
        </is>
      </c>
      <c r="J4498" s="3" t="inlineStr">
        <is>
          <t>강내면</t>
        </is>
      </c>
    </row>
    <row r="4499">
      <c r="A4499" s="3" t="n">
        <v>2022</v>
      </c>
      <c r="B4499" s="4" t="n">
        <v>12000</v>
      </c>
      <c r="C4499" s="4" t="n">
        <v>493</v>
      </c>
      <c r="D4499" s="4" t="n">
        <v>149.1325</v>
      </c>
      <c r="E4499" s="5" t="n">
        <v>80.5</v>
      </c>
      <c r="F4499" s="3" t="inlineStr">
        <is>
          <t>강내면</t>
        </is>
      </c>
      <c r="G4499" s="3" t="inlineStr">
        <is>
          <t>궁현리</t>
        </is>
      </c>
      <c r="H4499" s="3" t="inlineStr">
        <is>
          <t>계획관리지역</t>
        </is>
      </c>
      <c r="I4499" s="3" t="inlineStr">
        <is>
          <t>대</t>
        </is>
      </c>
      <c r="J4499" s="3" t="inlineStr">
        <is>
          <t>강내면</t>
        </is>
      </c>
    </row>
    <row r="4500">
      <c r="A4500" s="3" t="n">
        <v>2022</v>
      </c>
      <c r="B4500" s="4" t="n">
        <v>12662</v>
      </c>
      <c r="C4500" s="4" t="n">
        <v>2123</v>
      </c>
      <c r="D4500" s="4" t="n">
        <v>642.2075</v>
      </c>
      <c r="E4500" s="5" t="n">
        <v>19.7</v>
      </c>
      <c r="F4500" s="3" t="inlineStr">
        <is>
          <t>강내면</t>
        </is>
      </c>
      <c r="G4500" s="3" t="inlineStr">
        <is>
          <t>사곡리</t>
        </is>
      </c>
      <c r="H4500" s="3" t="inlineStr">
        <is>
          <t>농림지역</t>
        </is>
      </c>
      <c r="I4500" s="3" t="inlineStr">
        <is>
          <t>답</t>
        </is>
      </c>
      <c r="J4500" s="3" t="inlineStr">
        <is>
          <t>강내면</t>
        </is>
      </c>
    </row>
    <row r="4501">
      <c r="A4501" s="3" t="n">
        <v>2022</v>
      </c>
      <c r="B4501" s="4" t="n">
        <v>2742</v>
      </c>
      <c r="C4501" s="4" t="n">
        <v>298</v>
      </c>
      <c r="D4501" s="4" t="n">
        <v>90.145</v>
      </c>
      <c r="E4501" s="5" t="n">
        <v>30.4</v>
      </c>
      <c r="F4501" s="3" t="inlineStr">
        <is>
          <t>강내면</t>
        </is>
      </c>
      <c r="G4501" s="3" t="inlineStr">
        <is>
          <t>학천리</t>
        </is>
      </c>
      <c r="H4501" s="3" t="inlineStr">
        <is>
          <t>자연녹지지역</t>
        </is>
      </c>
      <c r="I4501" s="3" t="inlineStr">
        <is>
          <t>공장용지</t>
        </is>
      </c>
      <c r="J4501" s="3" t="inlineStr">
        <is>
          <t>강내면</t>
        </is>
      </c>
    </row>
    <row r="4502">
      <c r="A4502" s="3" t="n">
        <v>2022</v>
      </c>
      <c r="B4502" s="4" t="n">
        <v>30000</v>
      </c>
      <c r="C4502" s="4" t="n">
        <v>287.2</v>
      </c>
      <c r="D4502" s="4" t="n">
        <v>86.878</v>
      </c>
      <c r="E4502" s="5" t="n">
        <v>345.3</v>
      </c>
      <c r="F4502" s="3" t="inlineStr">
        <is>
          <t>오송읍</t>
        </is>
      </c>
      <c r="G4502" s="3" t="inlineStr">
        <is>
          <t>봉산리</t>
        </is>
      </c>
      <c r="H4502" s="3" t="inlineStr">
        <is>
          <t>제1종일반주거지역</t>
        </is>
      </c>
      <c r="I4502" s="3" t="inlineStr">
        <is>
          <t>대</t>
        </is>
      </c>
      <c r="J4502" s="3" t="inlineStr">
        <is>
          <t>오송읍</t>
        </is>
      </c>
    </row>
    <row r="4503">
      <c r="A4503" s="3" t="n">
        <v>2022</v>
      </c>
      <c r="B4503" s="4" t="n">
        <v>43900</v>
      </c>
      <c r="C4503" s="4" t="n">
        <v>4651</v>
      </c>
      <c r="D4503" s="4" t="n">
        <v>1406.9275</v>
      </c>
      <c r="E4503" s="5" t="n">
        <v>31.2</v>
      </c>
      <c r="F4503" s="3" t="inlineStr">
        <is>
          <t>강내면</t>
        </is>
      </c>
      <c r="G4503" s="3" t="inlineStr">
        <is>
          <t>저산리</t>
        </is>
      </c>
      <c r="H4503" s="3" t="inlineStr">
        <is>
          <t>보전관리지역</t>
        </is>
      </c>
      <c r="I4503" s="3" t="inlineStr">
        <is>
          <t>임야</t>
        </is>
      </c>
      <c r="J4503" s="3" t="inlineStr">
        <is>
          <t>강내면</t>
        </is>
      </c>
    </row>
    <row r="4504">
      <c r="A4504" s="3" t="n">
        <v>2022</v>
      </c>
      <c r="B4504" s="4" t="n">
        <v>2900</v>
      </c>
      <c r="C4504" s="4" t="n">
        <v>309</v>
      </c>
      <c r="D4504" s="4" t="n">
        <v>93.4725</v>
      </c>
      <c r="E4504" s="5" t="n">
        <v>31</v>
      </c>
      <c r="F4504" s="3" t="inlineStr">
        <is>
          <t>강내면</t>
        </is>
      </c>
      <c r="G4504" s="3" t="inlineStr">
        <is>
          <t>저산리</t>
        </is>
      </c>
      <c r="H4504" s="3" t="inlineStr">
        <is>
          <t>보전관리지역</t>
        </is>
      </c>
      <c r="I4504" s="3" t="inlineStr">
        <is>
          <t>임야</t>
        </is>
      </c>
      <c r="J4504" s="3" t="inlineStr">
        <is>
          <t>강내면</t>
        </is>
      </c>
    </row>
    <row r="4505">
      <c r="A4505" s="3" t="n">
        <v>2022</v>
      </c>
      <c r="B4505" s="4" t="n">
        <v>1200</v>
      </c>
      <c r="C4505" s="4" t="n">
        <v>616</v>
      </c>
      <c r="D4505" s="4" t="n">
        <v>186.34</v>
      </c>
      <c r="E4505" s="5" t="n">
        <v>6.4</v>
      </c>
      <c r="F4505" s="3" t="inlineStr">
        <is>
          <t>강내면</t>
        </is>
      </c>
      <c r="G4505" s="3" t="inlineStr">
        <is>
          <t>저산리</t>
        </is>
      </c>
      <c r="H4505" s="3" t="inlineStr">
        <is>
          <t>보전관리지역</t>
        </is>
      </c>
      <c r="I4505" s="3" t="inlineStr">
        <is>
          <t>임야</t>
        </is>
      </c>
      <c r="J4505" s="3" t="inlineStr">
        <is>
          <t>강내면</t>
        </is>
      </c>
    </row>
    <row r="4506">
      <c r="A4506" s="3" t="n">
        <v>2024</v>
      </c>
      <c r="B4506" s="4" t="n">
        <v>20000</v>
      </c>
      <c r="C4506" s="4" t="n">
        <v>455</v>
      </c>
      <c r="D4506" s="4" t="n">
        <v>137.6375</v>
      </c>
      <c r="E4506" s="5" t="n">
        <v>145.3</v>
      </c>
      <c r="F4506" s="3" t="inlineStr">
        <is>
          <t>강내면</t>
        </is>
      </c>
      <c r="G4506" s="3" t="inlineStr">
        <is>
          <t>저산리</t>
        </is>
      </c>
      <c r="H4506" s="3" t="inlineStr">
        <is>
          <t>계획관리지역</t>
        </is>
      </c>
      <c r="I4506" s="3" t="inlineStr">
        <is>
          <t>전</t>
        </is>
      </c>
      <c r="J4506" s="3" t="inlineStr">
        <is>
          <t>강내면</t>
        </is>
      </c>
    </row>
    <row r="4507">
      <c r="A4507" s="3" t="n">
        <v>2024</v>
      </c>
      <c r="B4507" s="4" t="n">
        <v>19000</v>
      </c>
      <c r="C4507" s="4" t="n">
        <v>575</v>
      </c>
      <c r="D4507" s="4" t="n">
        <v>173.9375</v>
      </c>
      <c r="E4507" s="5" t="n">
        <v>109.2</v>
      </c>
      <c r="F4507" s="3" t="inlineStr">
        <is>
          <t>오송읍</t>
        </is>
      </c>
      <c r="G4507" s="3" t="inlineStr">
        <is>
          <t>쌍청리</t>
        </is>
      </c>
      <c r="H4507" s="3" t="inlineStr">
        <is>
          <t>계획관리지역</t>
        </is>
      </c>
      <c r="I4507" s="3" t="inlineStr">
        <is>
          <t>대</t>
        </is>
      </c>
      <c r="J4507" s="3" t="inlineStr">
        <is>
          <t>오송읍</t>
        </is>
      </c>
    </row>
    <row r="4508">
      <c r="A4508" s="3" t="n">
        <v>2024</v>
      </c>
      <c r="B4508" s="4" t="n">
        <v>9000</v>
      </c>
      <c r="C4508" s="4" t="n">
        <v>460</v>
      </c>
      <c r="D4508" s="4" t="n">
        <v>139.15</v>
      </c>
      <c r="E4508" s="5" t="n">
        <v>64.7</v>
      </c>
      <c r="F4508" s="3" t="inlineStr">
        <is>
          <t>오송읍</t>
        </is>
      </c>
      <c r="G4508" s="3" t="inlineStr">
        <is>
          <t>쌍청리</t>
        </is>
      </c>
      <c r="H4508" s="3" t="inlineStr">
        <is>
          <t>계획관리지역</t>
        </is>
      </c>
      <c r="I4508" s="3" t="inlineStr">
        <is>
          <t>임야</t>
        </is>
      </c>
      <c r="J4508" s="3" t="inlineStr">
        <is>
          <t>오송읍</t>
        </is>
      </c>
    </row>
    <row r="4509">
      <c r="A4509" s="3" t="n">
        <v>2024</v>
      </c>
      <c r="B4509" s="4" t="n">
        <v>2900</v>
      </c>
      <c r="C4509" s="4" t="n">
        <v>184</v>
      </c>
      <c r="D4509" s="4" t="n">
        <v>55.66</v>
      </c>
      <c r="E4509" s="5" t="n">
        <v>52.1</v>
      </c>
      <c r="F4509" s="3" t="inlineStr">
        <is>
          <t>오송읍</t>
        </is>
      </c>
      <c r="G4509" s="3" t="inlineStr">
        <is>
          <t>쌍청리</t>
        </is>
      </c>
      <c r="H4509" s="3" t="inlineStr">
        <is>
          <t>계획관리지역</t>
        </is>
      </c>
      <c r="I4509" s="3" t="inlineStr">
        <is>
          <t>임야</t>
        </is>
      </c>
      <c r="J4509" s="3" t="inlineStr">
        <is>
          <t>오송읍</t>
        </is>
      </c>
    </row>
    <row r="4510">
      <c r="A4510" s="3" t="n">
        <v>2024</v>
      </c>
      <c r="B4510" s="4" t="n">
        <v>1000</v>
      </c>
      <c r="C4510" s="4" t="n">
        <v>70</v>
      </c>
      <c r="D4510" s="4" t="n">
        <v>21.175</v>
      </c>
      <c r="E4510" s="5" t="n">
        <v>47.2</v>
      </c>
      <c r="F4510" s="3" t="inlineStr">
        <is>
          <t>오송읍</t>
        </is>
      </c>
      <c r="G4510" s="3" t="inlineStr">
        <is>
          <t>쌍청리</t>
        </is>
      </c>
      <c r="H4510" s="3" t="inlineStr">
        <is>
          <t>계획관리지역</t>
        </is>
      </c>
      <c r="I4510" s="3" t="inlineStr">
        <is>
          <t>임야</t>
        </is>
      </c>
      <c r="J4510" s="3" t="inlineStr">
        <is>
          <t>오송읍</t>
        </is>
      </c>
    </row>
    <row r="4511">
      <c r="A4511" s="3" t="n">
        <v>2024</v>
      </c>
      <c r="B4511" s="4" t="n">
        <v>16100</v>
      </c>
      <c r="C4511" s="4" t="n">
        <v>580</v>
      </c>
      <c r="D4511" s="4" t="n">
        <v>175.45</v>
      </c>
      <c r="E4511" s="5" t="n">
        <v>91.8</v>
      </c>
      <c r="F4511" s="3" t="inlineStr">
        <is>
          <t>강내면</t>
        </is>
      </c>
      <c r="G4511" s="3" t="inlineStr">
        <is>
          <t>태성리</t>
        </is>
      </c>
      <c r="H4511" s="3" t="inlineStr">
        <is>
          <t>계획관리지역</t>
        </is>
      </c>
      <c r="I4511" s="3" t="inlineStr">
        <is>
          <t>대</t>
        </is>
      </c>
      <c r="J4511" s="3" t="inlineStr">
        <is>
          <t>강내면</t>
        </is>
      </c>
    </row>
    <row r="4512">
      <c r="A4512" s="3" t="n">
        <v>2024</v>
      </c>
      <c r="B4512" s="4" t="n">
        <v>26100</v>
      </c>
      <c r="C4512" s="4" t="n">
        <v>864</v>
      </c>
      <c r="D4512" s="4" t="n">
        <v>261.36</v>
      </c>
      <c r="E4512" s="5" t="n">
        <v>99.90000000000001</v>
      </c>
      <c r="F4512" s="3" t="inlineStr">
        <is>
          <t>오송읍</t>
        </is>
      </c>
      <c r="G4512" s="3" t="inlineStr">
        <is>
          <t>쌍청리</t>
        </is>
      </c>
      <c r="H4512" s="3" t="inlineStr">
        <is>
          <t>기타</t>
        </is>
      </c>
      <c r="I4512" s="3" t="inlineStr">
        <is>
          <t>답</t>
        </is>
      </c>
      <c r="J4512" s="3" t="inlineStr">
        <is>
          <t>오송읍</t>
        </is>
      </c>
    </row>
    <row r="4513">
      <c r="A4513" s="3" t="n">
        <v>2024</v>
      </c>
      <c r="B4513" s="4" t="n">
        <v>6900</v>
      </c>
      <c r="C4513" s="4" t="n">
        <v>456</v>
      </c>
      <c r="D4513" s="4" t="n">
        <v>137.94</v>
      </c>
      <c r="E4513" s="5" t="n">
        <v>50</v>
      </c>
      <c r="F4513" s="3" t="inlineStr">
        <is>
          <t>강내면</t>
        </is>
      </c>
      <c r="G4513" s="3" t="inlineStr">
        <is>
          <t>황탄리</t>
        </is>
      </c>
      <c r="H4513" s="3" t="inlineStr">
        <is>
          <t>계획관리지역</t>
        </is>
      </c>
      <c r="I4513" s="3" t="inlineStr">
        <is>
          <t>전</t>
        </is>
      </c>
      <c r="J4513" s="3" t="inlineStr">
        <is>
          <t>강내면</t>
        </is>
      </c>
    </row>
    <row r="4514">
      <c r="A4514" s="3" t="n">
        <v>2024</v>
      </c>
      <c r="B4514" s="4" t="n">
        <v>20000</v>
      </c>
      <c r="C4514" s="4" t="n">
        <v>449</v>
      </c>
      <c r="D4514" s="4" t="n">
        <v>135.8225</v>
      </c>
      <c r="E4514" s="5" t="n">
        <v>147.3</v>
      </c>
      <c r="F4514" s="3" t="inlineStr">
        <is>
          <t>강내면</t>
        </is>
      </c>
      <c r="G4514" s="3" t="inlineStr">
        <is>
          <t>월탄리</t>
        </is>
      </c>
      <c r="H4514" s="3" t="inlineStr">
        <is>
          <t>계획관리지역</t>
        </is>
      </c>
      <c r="I4514" s="3" t="inlineStr">
        <is>
          <t>대</t>
        </is>
      </c>
      <c r="J4514" s="3" t="inlineStr">
        <is>
          <t>강내면</t>
        </is>
      </c>
    </row>
    <row r="4515">
      <c r="A4515" s="3" t="n">
        <v>2024</v>
      </c>
      <c r="B4515" s="4" t="n">
        <v>35453</v>
      </c>
      <c r="C4515" s="4" t="n">
        <v>293</v>
      </c>
      <c r="D4515" s="4" t="n">
        <v>88.63249999999999</v>
      </c>
      <c r="E4515" s="5" t="n">
        <v>400</v>
      </c>
      <c r="F4515" s="3" t="inlineStr">
        <is>
          <t>오송읍</t>
        </is>
      </c>
      <c r="G4515" s="3" t="inlineStr">
        <is>
          <t>궁평리</t>
        </is>
      </c>
      <c r="H4515" s="3" t="inlineStr">
        <is>
          <t>계획관리지역</t>
        </is>
      </c>
      <c r="I4515" s="3" t="inlineStr">
        <is>
          <t>잡종지</t>
        </is>
      </c>
      <c r="J4515" s="3" t="inlineStr">
        <is>
          <t>오송읍</t>
        </is>
      </c>
    </row>
    <row r="4516">
      <c r="A4516" s="3" t="n">
        <v>2025</v>
      </c>
      <c r="B4516" s="4" t="n">
        <v>12000</v>
      </c>
      <c r="C4516" s="4" t="n">
        <v>145</v>
      </c>
      <c r="D4516" s="4" t="n">
        <v>43.8625</v>
      </c>
      <c r="E4516" s="5" t="n">
        <v>273.6</v>
      </c>
      <c r="F4516" s="3" t="inlineStr">
        <is>
          <t>조치원읍</t>
        </is>
      </c>
      <c r="G4516" s="3" t="inlineStr">
        <is>
          <t>번암리</t>
        </is>
      </c>
      <c r="H4516" s="3" t="inlineStr">
        <is>
          <t>제2종일반주거지역</t>
        </is>
      </c>
      <c r="I4516" s="3" t="inlineStr">
        <is>
          <t>대</t>
        </is>
      </c>
      <c r="J4516" s="3" t="inlineStr">
        <is>
          <t>조치원읍</t>
        </is>
      </c>
    </row>
    <row r="4517">
      <c r="A4517" s="3" t="n">
        <v>2025</v>
      </c>
      <c r="B4517" s="4" t="n">
        <v>200</v>
      </c>
      <c r="C4517" s="4" t="n">
        <v>2</v>
      </c>
      <c r="D4517" s="4" t="n">
        <v>0.605</v>
      </c>
      <c r="E4517" s="5" t="n">
        <v>330.6</v>
      </c>
      <c r="F4517" s="3" t="inlineStr">
        <is>
          <t>부강면</t>
        </is>
      </c>
      <c r="G4517" s="3" t="inlineStr">
        <is>
          <t>부강리</t>
        </is>
      </c>
      <c r="H4517" s="3" t="inlineStr">
        <is>
          <t>제2종일반주거지역</t>
        </is>
      </c>
      <c r="I4517" s="3" t="inlineStr">
        <is>
          <t>대</t>
        </is>
      </c>
      <c r="J4517" s="3" t="inlineStr">
        <is>
          <t>부강면</t>
        </is>
      </c>
    </row>
    <row r="4518">
      <c r="A4518" s="3" t="n">
        <v>2024</v>
      </c>
      <c r="B4518" s="4" t="n">
        <v>13671</v>
      </c>
      <c r="C4518" s="4" t="n">
        <v>1653</v>
      </c>
      <c r="D4518" s="4" t="n">
        <v>500.0325</v>
      </c>
      <c r="E4518" s="5" t="n">
        <v>27.3</v>
      </c>
      <c r="F4518" s="3" t="inlineStr">
        <is>
          <t>연서면</t>
        </is>
      </c>
      <c r="G4518" s="3" t="inlineStr">
        <is>
          <t>기룡리</t>
        </is>
      </c>
      <c r="H4518" s="3" t="inlineStr">
        <is>
          <t>농림지역</t>
        </is>
      </c>
      <c r="I4518" s="3" t="inlineStr">
        <is>
          <t>임야</t>
        </is>
      </c>
      <c r="J4518" s="3" t="inlineStr">
        <is>
          <t>연서면</t>
        </is>
      </c>
    </row>
    <row r="4519">
      <c r="A4519" s="3" t="n">
        <v>2024</v>
      </c>
      <c r="B4519" s="4" t="n">
        <v>27342</v>
      </c>
      <c r="C4519" s="4" t="n">
        <v>3306</v>
      </c>
      <c r="D4519" s="4" t="n">
        <v>1000.065</v>
      </c>
      <c r="E4519" s="5" t="n">
        <v>27.3</v>
      </c>
      <c r="F4519" s="3" t="inlineStr">
        <is>
          <t>연서면</t>
        </is>
      </c>
      <c r="G4519" s="3" t="inlineStr">
        <is>
          <t>기룡리</t>
        </is>
      </c>
      <c r="H4519" s="3" t="inlineStr">
        <is>
          <t>농림지역</t>
        </is>
      </c>
      <c r="I4519" s="3" t="inlineStr">
        <is>
          <t>임야</t>
        </is>
      </c>
      <c r="J4519" s="3" t="inlineStr">
        <is>
          <t>연서면</t>
        </is>
      </c>
    </row>
    <row r="4520">
      <c r="A4520" s="3" t="n">
        <v>2025</v>
      </c>
      <c r="B4520" s="4" t="n">
        <v>18000</v>
      </c>
      <c r="C4520" s="4" t="n">
        <v>294</v>
      </c>
      <c r="D4520" s="4" t="n">
        <v>88.935</v>
      </c>
      <c r="E4520" s="5" t="n">
        <v>202.4</v>
      </c>
      <c r="F4520" s="3" t="inlineStr">
        <is>
          <t>연서면</t>
        </is>
      </c>
      <c r="G4520" s="3" t="inlineStr">
        <is>
          <t>월하리</t>
        </is>
      </c>
      <c r="H4520" s="3" t="inlineStr">
        <is>
          <t>자연녹지지역</t>
        </is>
      </c>
      <c r="I4520" s="3" t="inlineStr">
        <is>
          <t>대</t>
        </is>
      </c>
      <c r="J4520" s="3" t="inlineStr">
        <is>
          <t>연서면</t>
        </is>
      </c>
    </row>
    <row r="4521">
      <c r="A4521" s="3" t="n">
        <v>2025</v>
      </c>
      <c r="B4521" s="4" t="n">
        <v>2400</v>
      </c>
      <c r="C4521" s="4" t="n">
        <v>53</v>
      </c>
      <c r="D4521" s="4" t="n">
        <v>16.0325</v>
      </c>
      <c r="E4521" s="5" t="n">
        <v>149.7</v>
      </c>
      <c r="F4521" s="3" t="inlineStr">
        <is>
          <t>연서면</t>
        </is>
      </c>
      <c r="G4521" s="3" t="inlineStr">
        <is>
          <t>와촌리</t>
        </is>
      </c>
      <c r="H4521" s="3" t="inlineStr">
        <is>
          <t>계획관리지역</t>
        </is>
      </c>
      <c r="I4521" s="3" t="inlineStr">
        <is>
          <t>대</t>
        </is>
      </c>
      <c r="J4521" s="3" t="inlineStr">
        <is>
          <t>연서면</t>
        </is>
      </c>
    </row>
    <row r="4522">
      <c r="A4522" s="3" t="n">
        <v>2025</v>
      </c>
      <c r="B4522" s="4" t="n">
        <v>90000</v>
      </c>
      <c r="C4522" s="4" t="n">
        <v>1914</v>
      </c>
      <c r="D4522" s="4" t="n">
        <v>578.985</v>
      </c>
      <c r="E4522" s="5" t="n">
        <v>155.4</v>
      </c>
      <c r="F4522" s="3" t="inlineStr">
        <is>
          <t>연서면</t>
        </is>
      </c>
      <c r="G4522" s="3" t="inlineStr">
        <is>
          <t>월하리</t>
        </is>
      </c>
      <c r="H4522" s="3" t="inlineStr">
        <is>
          <t>자연녹지지역</t>
        </is>
      </c>
      <c r="I4522" s="3" t="inlineStr">
        <is>
          <t>전</t>
        </is>
      </c>
      <c r="J4522" s="3" t="inlineStr">
        <is>
          <t>연서면</t>
        </is>
      </c>
    </row>
    <row r="4523">
      <c r="A4523" s="3" t="n">
        <v>2024</v>
      </c>
      <c r="B4523" s="4" t="n">
        <v>5700</v>
      </c>
      <c r="C4523" s="4" t="n">
        <v>156</v>
      </c>
      <c r="D4523" s="4" t="n">
        <v>47.19</v>
      </c>
      <c r="E4523" s="5" t="n">
        <v>120.8</v>
      </c>
      <c r="F4523" s="3" t="inlineStr">
        <is>
          <t>조치원읍</t>
        </is>
      </c>
      <c r="G4523" s="3" t="inlineStr">
        <is>
          <t>서창리</t>
        </is>
      </c>
      <c r="H4523" s="3" t="inlineStr">
        <is>
          <t>제1종일반주거지역</t>
        </is>
      </c>
      <c r="I4523" s="3" t="inlineStr">
        <is>
          <t>대</t>
        </is>
      </c>
      <c r="J4523" s="3" t="inlineStr">
        <is>
          <t>조치원읍</t>
        </is>
      </c>
    </row>
    <row r="4524">
      <c r="A4524" s="3" t="n">
        <v>2024</v>
      </c>
      <c r="B4524" s="4" t="n">
        <v>3500</v>
      </c>
      <c r="C4524" s="4" t="n">
        <v>205</v>
      </c>
      <c r="D4524" s="4" t="n">
        <v>62.0125</v>
      </c>
      <c r="E4524" s="5" t="n">
        <v>56.4</v>
      </c>
      <c r="F4524" s="3" t="inlineStr">
        <is>
          <t>부강면</t>
        </is>
      </c>
      <c r="G4524" s="3" t="inlineStr">
        <is>
          <t>산수리</t>
        </is>
      </c>
      <c r="H4524" s="3" t="inlineStr">
        <is>
          <t>계획관리지역</t>
        </is>
      </c>
      <c r="I4524" s="3" t="inlineStr">
        <is>
          <t>목장용지</t>
        </is>
      </c>
      <c r="J4524" s="3" t="inlineStr">
        <is>
          <t>부강면</t>
        </is>
      </c>
    </row>
    <row r="4525">
      <c r="A4525" s="3" t="n">
        <v>2024</v>
      </c>
      <c r="B4525" s="4" t="n">
        <v>5000</v>
      </c>
      <c r="C4525" s="4" t="n">
        <v>61</v>
      </c>
      <c r="D4525" s="4" t="n">
        <v>18.4525</v>
      </c>
      <c r="E4525" s="5" t="n">
        <v>271</v>
      </c>
      <c r="F4525" s="3" t="inlineStr">
        <is>
          <t>조치원읍</t>
        </is>
      </c>
      <c r="G4525" s="3" t="inlineStr">
        <is>
          <t>신안리</t>
        </is>
      </c>
      <c r="H4525" s="3" t="inlineStr">
        <is>
          <t>제1종일반주거지역</t>
        </is>
      </c>
      <c r="I4525" s="3" t="inlineStr">
        <is>
          <t>도로</t>
        </is>
      </c>
      <c r="J4525" s="3" t="inlineStr">
        <is>
          <t>조치원읍</t>
        </is>
      </c>
    </row>
    <row r="4526">
      <c r="A4526" s="3" t="n">
        <v>2024</v>
      </c>
      <c r="B4526" s="4" t="n">
        <v>25000</v>
      </c>
      <c r="C4526" s="4" t="n">
        <v>286</v>
      </c>
      <c r="D4526" s="4" t="n">
        <v>86.515</v>
      </c>
      <c r="E4526" s="5" t="n">
        <v>289</v>
      </c>
      <c r="F4526" s="3" t="inlineStr">
        <is>
          <t>조치원읍</t>
        </is>
      </c>
      <c r="G4526" s="3" t="inlineStr">
        <is>
          <t>신안리</t>
        </is>
      </c>
      <c r="H4526" s="3" t="inlineStr">
        <is>
          <t>제1종일반주거지역</t>
        </is>
      </c>
      <c r="I4526" s="3" t="inlineStr">
        <is>
          <t>대</t>
        </is>
      </c>
      <c r="J4526" s="3" t="inlineStr">
        <is>
          <t>조치원읍</t>
        </is>
      </c>
    </row>
    <row r="4527">
      <c r="A4527" s="3" t="n">
        <v>2023</v>
      </c>
      <c r="B4527" s="4" t="n">
        <v>53000</v>
      </c>
      <c r="C4527" s="4" t="n">
        <v>337.9</v>
      </c>
      <c r="D4527" s="4" t="n">
        <v>102.21475</v>
      </c>
      <c r="E4527" s="5" t="n">
        <v>518.5</v>
      </c>
      <c r="F4527" s="3" t="inlineStr">
        <is>
          <t>아름동</t>
        </is>
      </c>
      <c r="G4527" s="3" t="inlineStr"/>
      <c r="H4527" s="3" t="inlineStr">
        <is>
          <t>제1종전용주거지역</t>
        </is>
      </c>
      <c r="I4527" s="3" t="inlineStr">
        <is>
          <t>대</t>
        </is>
      </c>
      <c r="J4527" s="3" t="inlineStr">
        <is>
          <t>아름동</t>
        </is>
      </c>
    </row>
    <row r="4528">
      <c r="A4528" s="3" t="n">
        <v>2023</v>
      </c>
      <c r="B4528" s="4" t="n">
        <v>100000</v>
      </c>
      <c r="C4528" s="4" t="n">
        <v>11901</v>
      </c>
      <c r="D4528" s="4" t="n">
        <v>3600.0525</v>
      </c>
      <c r="E4528" s="5" t="n">
        <v>27.8</v>
      </c>
      <c r="F4528" s="3" t="inlineStr">
        <is>
          <t>연서면</t>
        </is>
      </c>
      <c r="G4528" s="3" t="inlineStr">
        <is>
          <t>와촌리</t>
        </is>
      </c>
      <c r="H4528" s="3" t="inlineStr">
        <is>
          <t>농림지역</t>
        </is>
      </c>
      <c r="I4528" s="3" t="inlineStr">
        <is>
          <t>임야</t>
        </is>
      </c>
      <c r="J4528" s="3" t="inlineStr">
        <is>
          <t>연서면</t>
        </is>
      </c>
    </row>
    <row r="4529">
      <c r="A4529" s="3" t="n">
        <v>2023</v>
      </c>
      <c r="B4529" s="4" t="n">
        <v>3000</v>
      </c>
      <c r="C4529" s="4" t="n">
        <v>290</v>
      </c>
      <c r="D4529" s="4" t="n">
        <v>87.72499999999999</v>
      </c>
      <c r="E4529" s="5" t="n">
        <v>34.2</v>
      </c>
      <c r="F4529" s="3" t="inlineStr">
        <is>
          <t>연서면</t>
        </is>
      </c>
      <c r="G4529" s="3" t="inlineStr">
        <is>
          <t>용암리</t>
        </is>
      </c>
      <c r="H4529" s="3" t="inlineStr">
        <is>
          <t>자연환경보전</t>
        </is>
      </c>
      <c r="I4529" s="3" t="inlineStr">
        <is>
          <t>임야</t>
        </is>
      </c>
      <c r="J4529" s="3" t="inlineStr">
        <is>
          <t>연서면</t>
        </is>
      </c>
    </row>
    <row r="4530">
      <c r="A4530" s="3" t="n">
        <v>2023</v>
      </c>
      <c r="B4530" s="4" t="n">
        <v>12000</v>
      </c>
      <c r="C4530" s="4" t="n">
        <v>42446</v>
      </c>
      <c r="D4530" s="4" t="n">
        <v>12839.915</v>
      </c>
      <c r="E4530" s="5" t="n">
        <v>0.9</v>
      </c>
      <c r="F4530" s="3" t="inlineStr">
        <is>
          <t>남이면</t>
        </is>
      </c>
      <c r="G4530" s="3" t="inlineStr">
        <is>
          <t>외천리</t>
        </is>
      </c>
      <c r="H4530" s="3" t="inlineStr">
        <is>
          <t>농림지역</t>
        </is>
      </c>
      <c r="I4530" s="3" t="inlineStr">
        <is>
          <t>임야</t>
        </is>
      </c>
      <c r="J4530" s="3" t="inlineStr">
        <is>
          <t>남이면</t>
        </is>
      </c>
    </row>
    <row r="4531">
      <c r="A4531" s="3" t="n">
        <v>2023</v>
      </c>
      <c r="B4531" s="4" t="n">
        <v>60000</v>
      </c>
      <c r="C4531" s="4" t="n">
        <v>1679</v>
      </c>
      <c r="D4531" s="4" t="n">
        <v>507.8975</v>
      </c>
      <c r="E4531" s="5" t="n">
        <v>118.1</v>
      </c>
      <c r="F4531" s="3" t="inlineStr">
        <is>
          <t>남이면</t>
        </is>
      </c>
      <c r="G4531" s="3" t="inlineStr">
        <is>
          <t>가좌리</t>
        </is>
      </c>
      <c r="H4531" s="3" t="inlineStr">
        <is>
          <t>자연녹지지역</t>
        </is>
      </c>
      <c r="I4531" s="3" t="inlineStr">
        <is>
          <t>전</t>
        </is>
      </c>
      <c r="J4531" s="3" t="inlineStr">
        <is>
          <t>남이면</t>
        </is>
      </c>
    </row>
    <row r="4532">
      <c r="A4532" s="3" t="n">
        <v>2023</v>
      </c>
      <c r="B4532" s="4" t="n">
        <v>3500</v>
      </c>
      <c r="C4532" s="4" t="n">
        <v>302</v>
      </c>
      <c r="D4532" s="4" t="n">
        <v>91.355</v>
      </c>
      <c r="E4532" s="5" t="n">
        <v>38.3</v>
      </c>
      <c r="F4532" s="3" t="inlineStr">
        <is>
          <t>남이면</t>
        </is>
      </c>
      <c r="G4532" s="3" t="inlineStr">
        <is>
          <t>가좌리</t>
        </is>
      </c>
      <c r="H4532" s="3" t="inlineStr">
        <is>
          <t>자연녹지지역</t>
        </is>
      </c>
      <c r="I4532" s="3" t="inlineStr">
        <is>
          <t>전</t>
        </is>
      </c>
      <c r="J4532" s="3" t="inlineStr">
        <is>
          <t>남이면</t>
        </is>
      </c>
    </row>
    <row r="4533">
      <c r="A4533" s="3" t="n">
        <v>2023</v>
      </c>
      <c r="B4533" s="4" t="n">
        <v>23800</v>
      </c>
      <c r="C4533" s="4" t="n">
        <v>2073</v>
      </c>
      <c r="D4533" s="4" t="n">
        <v>627.0825</v>
      </c>
      <c r="E4533" s="5" t="n">
        <v>38</v>
      </c>
      <c r="F4533" s="3" t="inlineStr">
        <is>
          <t>남이면</t>
        </is>
      </c>
      <c r="G4533" s="3" t="inlineStr">
        <is>
          <t>척산리</t>
        </is>
      </c>
      <c r="H4533" s="3" t="inlineStr">
        <is>
          <t>자연녹지지역</t>
        </is>
      </c>
      <c r="I4533" s="3" t="inlineStr">
        <is>
          <t>답</t>
        </is>
      </c>
      <c r="J4533" s="3" t="inlineStr">
        <is>
          <t>남이면</t>
        </is>
      </c>
    </row>
    <row r="4534">
      <c r="A4534" s="3" t="n">
        <v>2023</v>
      </c>
      <c r="B4534" s="4" t="n">
        <v>1762</v>
      </c>
      <c r="C4534" s="4" t="n">
        <v>135</v>
      </c>
      <c r="D4534" s="4" t="n">
        <v>40.8375</v>
      </c>
      <c r="E4534" s="5" t="n">
        <v>43.1</v>
      </c>
      <c r="F4534" s="3" t="inlineStr">
        <is>
          <t>남이면</t>
        </is>
      </c>
      <c r="G4534" s="3" t="inlineStr">
        <is>
          <t>문동리</t>
        </is>
      </c>
      <c r="H4534" s="3" t="inlineStr">
        <is>
          <t>자연환경보전</t>
        </is>
      </c>
      <c r="I4534" s="3" t="inlineStr">
        <is>
          <t>대</t>
        </is>
      </c>
      <c r="J4534" s="3" t="inlineStr">
        <is>
          <t>남이면</t>
        </is>
      </c>
    </row>
    <row r="4535">
      <c r="A4535" s="3" t="n">
        <v>2023</v>
      </c>
      <c r="B4535" s="4" t="n">
        <v>21660</v>
      </c>
      <c r="C4535" s="4" t="n">
        <v>3758</v>
      </c>
      <c r="D4535" s="4" t="n">
        <v>1136.795</v>
      </c>
      <c r="E4535" s="5" t="n">
        <v>19.1</v>
      </c>
      <c r="F4535" s="3" t="inlineStr">
        <is>
          <t>남이면</t>
        </is>
      </c>
      <c r="G4535" s="3" t="inlineStr">
        <is>
          <t>문동리</t>
        </is>
      </c>
      <c r="H4535" s="3" t="inlineStr">
        <is>
          <t>보전녹지지역</t>
        </is>
      </c>
      <c r="I4535" s="3" t="inlineStr">
        <is>
          <t>임야</t>
        </is>
      </c>
      <c r="J4535" s="3" t="inlineStr">
        <is>
          <t>남이면</t>
        </is>
      </c>
    </row>
    <row r="4536">
      <c r="A4536" s="3" t="n">
        <v>2022</v>
      </c>
      <c r="B4536" s="4" t="n">
        <v>11500</v>
      </c>
      <c r="C4536" s="4" t="n">
        <v>403</v>
      </c>
      <c r="D4536" s="4" t="n">
        <v>121.9075</v>
      </c>
      <c r="E4536" s="5" t="n">
        <v>94.3</v>
      </c>
      <c r="F4536" s="3" t="inlineStr">
        <is>
          <t>오송읍</t>
        </is>
      </c>
      <c r="G4536" s="3" t="inlineStr">
        <is>
          <t>동평리</t>
        </is>
      </c>
      <c r="H4536" s="3" t="inlineStr">
        <is>
          <t>농림지역</t>
        </is>
      </c>
      <c r="I4536" s="3" t="inlineStr">
        <is>
          <t>전</t>
        </is>
      </c>
      <c r="J4536" s="3" t="inlineStr">
        <is>
          <t>오송읍</t>
        </is>
      </c>
    </row>
    <row r="4537">
      <c r="A4537" s="3" t="n">
        <v>2022</v>
      </c>
      <c r="B4537" s="4" t="n">
        <v>21500</v>
      </c>
      <c r="C4537" s="4" t="n">
        <v>783</v>
      </c>
      <c r="D4537" s="4" t="n">
        <v>236.8575</v>
      </c>
      <c r="E4537" s="5" t="n">
        <v>90.8</v>
      </c>
      <c r="F4537" s="3" t="inlineStr">
        <is>
          <t>오송읍</t>
        </is>
      </c>
      <c r="G4537" s="3" t="inlineStr">
        <is>
          <t>연제리</t>
        </is>
      </c>
      <c r="H4537" s="3" t="inlineStr">
        <is>
          <t>계획관리지역</t>
        </is>
      </c>
      <c r="I4537" s="3" t="inlineStr">
        <is>
          <t>전</t>
        </is>
      </c>
      <c r="J4537" s="3" t="inlineStr">
        <is>
          <t>오송읍</t>
        </is>
      </c>
    </row>
    <row r="4538">
      <c r="A4538" s="3" t="n">
        <v>2022</v>
      </c>
      <c r="B4538" s="4" t="n">
        <v>26875</v>
      </c>
      <c r="C4538" s="4" t="n">
        <v>414</v>
      </c>
      <c r="D4538" s="4" t="n">
        <v>125.235</v>
      </c>
      <c r="E4538" s="5" t="n">
        <v>214.6</v>
      </c>
      <c r="F4538" s="3" t="inlineStr">
        <is>
          <t>강내면</t>
        </is>
      </c>
      <c r="G4538" s="3" t="inlineStr">
        <is>
          <t>월곡리</t>
        </is>
      </c>
      <c r="H4538" s="3" t="inlineStr">
        <is>
          <t>제1종일반주거지역</t>
        </is>
      </c>
      <c r="I4538" s="3" t="inlineStr">
        <is>
          <t>대</t>
        </is>
      </c>
      <c r="J4538" s="3" t="inlineStr">
        <is>
          <t>강내면</t>
        </is>
      </c>
    </row>
    <row r="4539">
      <c r="A4539" s="3" t="n">
        <v>2022</v>
      </c>
      <c r="B4539" s="4" t="n">
        <v>8500</v>
      </c>
      <c r="C4539" s="4" t="n">
        <v>60</v>
      </c>
      <c r="D4539" s="4" t="n">
        <v>18.15</v>
      </c>
      <c r="E4539" s="5" t="n">
        <v>468.3</v>
      </c>
      <c r="F4539" s="3" t="inlineStr">
        <is>
          <t>오송읍</t>
        </is>
      </c>
      <c r="G4539" s="3" t="inlineStr">
        <is>
          <t>오송리</t>
        </is>
      </c>
      <c r="H4539" s="3" t="inlineStr">
        <is>
          <t>계획관리지역</t>
        </is>
      </c>
      <c r="I4539" s="3" t="inlineStr">
        <is>
          <t>대</t>
        </is>
      </c>
      <c r="J4539" s="3" t="inlineStr">
        <is>
          <t>오송읍</t>
        </is>
      </c>
    </row>
    <row r="4540">
      <c r="A4540" s="3" t="n">
        <v>2022</v>
      </c>
      <c r="B4540" s="4" t="n">
        <v>10940</v>
      </c>
      <c r="C4540" s="4" t="n">
        <v>282</v>
      </c>
      <c r="D4540" s="4" t="n">
        <v>85.30499999999999</v>
      </c>
      <c r="E4540" s="5" t="n">
        <v>128.2</v>
      </c>
      <c r="F4540" s="3" t="inlineStr">
        <is>
          <t>오송읍</t>
        </is>
      </c>
      <c r="G4540" s="3" t="inlineStr">
        <is>
          <t>연제리</t>
        </is>
      </c>
      <c r="H4540" s="3" t="inlineStr">
        <is>
          <t>농림지역</t>
        </is>
      </c>
      <c r="I4540" s="3" t="inlineStr">
        <is>
          <t>전</t>
        </is>
      </c>
      <c r="J4540" s="3" t="inlineStr">
        <is>
          <t>오송읍</t>
        </is>
      </c>
    </row>
    <row r="4541">
      <c r="A4541" s="3" t="n">
        <v>2022</v>
      </c>
      <c r="B4541" s="4" t="n">
        <v>250000</v>
      </c>
      <c r="C4541" s="4" t="n">
        <v>3307</v>
      </c>
      <c r="D4541" s="4" t="n">
        <v>1000.3675</v>
      </c>
      <c r="E4541" s="5" t="n">
        <v>249.9</v>
      </c>
      <c r="F4541" s="3" t="inlineStr">
        <is>
          <t>오송읍</t>
        </is>
      </c>
      <c r="G4541" s="3" t="inlineStr">
        <is>
          <t>궁평리</t>
        </is>
      </c>
      <c r="H4541" s="3" t="inlineStr">
        <is>
          <t>농림지역</t>
        </is>
      </c>
      <c r="I4541" s="3" t="inlineStr">
        <is>
          <t>과수원</t>
        </is>
      </c>
      <c r="J4541" s="3" t="inlineStr">
        <is>
          <t>오송읍</t>
        </is>
      </c>
    </row>
    <row r="4542">
      <c r="A4542" s="3" t="n">
        <v>2022</v>
      </c>
      <c r="B4542" s="4" t="n">
        <v>9000</v>
      </c>
      <c r="C4542" s="4" t="n">
        <v>232</v>
      </c>
      <c r="D4542" s="4" t="n">
        <v>70.17999999999999</v>
      </c>
      <c r="E4542" s="5" t="n">
        <v>128.2</v>
      </c>
      <c r="F4542" s="3" t="inlineStr">
        <is>
          <t>오송읍</t>
        </is>
      </c>
      <c r="G4542" s="3" t="inlineStr">
        <is>
          <t>연제리</t>
        </is>
      </c>
      <c r="H4542" s="3" t="inlineStr">
        <is>
          <t>농림지역</t>
        </is>
      </c>
      <c r="I4542" s="3" t="inlineStr">
        <is>
          <t>전</t>
        </is>
      </c>
      <c r="J4542" s="3" t="inlineStr">
        <is>
          <t>오송읍</t>
        </is>
      </c>
    </row>
    <row r="4543">
      <c r="A4543" s="3" t="n">
        <v>2022</v>
      </c>
      <c r="B4543" s="4" t="n">
        <v>5980</v>
      </c>
      <c r="C4543" s="4" t="n">
        <v>154</v>
      </c>
      <c r="D4543" s="4" t="n">
        <v>46.585</v>
      </c>
      <c r="E4543" s="5" t="n">
        <v>128.4</v>
      </c>
      <c r="F4543" s="3" t="inlineStr">
        <is>
          <t>오송읍</t>
        </is>
      </c>
      <c r="G4543" s="3" t="inlineStr">
        <is>
          <t>연제리</t>
        </is>
      </c>
      <c r="H4543" s="3" t="inlineStr">
        <is>
          <t>농림지역</t>
        </is>
      </c>
      <c r="I4543" s="3" t="inlineStr">
        <is>
          <t>전</t>
        </is>
      </c>
      <c r="J4543" s="3" t="inlineStr">
        <is>
          <t>오송읍</t>
        </is>
      </c>
    </row>
    <row r="4544">
      <c r="A4544" s="3" t="n">
        <v>2022</v>
      </c>
      <c r="B4544" s="4" t="n">
        <v>10000</v>
      </c>
      <c r="C4544" s="4" t="n">
        <v>410</v>
      </c>
      <c r="D4544" s="4" t="n">
        <v>124.025</v>
      </c>
      <c r="E4544" s="5" t="n">
        <v>80.59999999999999</v>
      </c>
      <c r="F4544" s="3" t="inlineStr">
        <is>
          <t>강내면</t>
        </is>
      </c>
      <c r="G4544" s="3" t="inlineStr">
        <is>
          <t>궁현리</t>
        </is>
      </c>
      <c r="H4544" s="3" t="inlineStr">
        <is>
          <t>계획관리지역</t>
        </is>
      </c>
      <c r="I4544" s="3" t="inlineStr">
        <is>
          <t>전</t>
        </is>
      </c>
      <c r="J4544" s="3" t="inlineStr">
        <is>
          <t>강내면</t>
        </is>
      </c>
    </row>
    <row r="4545">
      <c r="A4545" s="3" t="n">
        <v>2022</v>
      </c>
      <c r="B4545" s="4" t="n">
        <v>1650</v>
      </c>
      <c r="C4545" s="4" t="n">
        <v>95</v>
      </c>
      <c r="D4545" s="4" t="n">
        <v>28.7375</v>
      </c>
      <c r="E4545" s="5" t="n">
        <v>57.4</v>
      </c>
      <c r="F4545" s="3" t="inlineStr">
        <is>
          <t>강내면</t>
        </is>
      </c>
      <c r="G4545" s="3" t="inlineStr">
        <is>
          <t>궁현리</t>
        </is>
      </c>
      <c r="H4545" s="3" t="inlineStr">
        <is>
          <t>계획관리지역</t>
        </is>
      </c>
      <c r="I4545" s="3" t="inlineStr">
        <is>
          <t>묘지</t>
        </is>
      </c>
      <c r="J4545" s="3" t="inlineStr">
        <is>
          <t>강내면</t>
        </is>
      </c>
    </row>
    <row r="4546">
      <c r="A4546" s="3" t="n">
        <v>2022</v>
      </c>
      <c r="B4546" s="4" t="n">
        <v>2115</v>
      </c>
      <c r="C4546" s="4" t="n">
        <v>26</v>
      </c>
      <c r="D4546" s="4" t="n">
        <v>7.865</v>
      </c>
      <c r="E4546" s="5" t="n">
        <v>268.9</v>
      </c>
      <c r="F4546" s="3" t="inlineStr">
        <is>
          <t>강내면</t>
        </is>
      </c>
      <c r="G4546" s="3" t="inlineStr">
        <is>
          <t>탑연리</t>
        </is>
      </c>
      <c r="H4546" s="3" t="inlineStr">
        <is>
          <t>계획관리지역</t>
        </is>
      </c>
      <c r="I4546" s="3" t="inlineStr">
        <is>
          <t>잡종지</t>
        </is>
      </c>
      <c r="J4546" s="3" t="inlineStr">
        <is>
          <t>강내면</t>
        </is>
      </c>
    </row>
    <row r="4547">
      <c r="A4547" s="3" t="n">
        <v>2022</v>
      </c>
      <c r="B4547" s="4" t="n">
        <v>10814</v>
      </c>
      <c r="C4547" s="4" t="n">
        <v>127</v>
      </c>
      <c r="D4547" s="4" t="n">
        <v>38.4175</v>
      </c>
      <c r="E4547" s="5" t="n">
        <v>281.5</v>
      </c>
      <c r="F4547" s="3" t="inlineStr">
        <is>
          <t>강내면</t>
        </is>
      </c>
      <c r="G4547" s="3" t="inlineStr">
        <is>
          <t>탑연리</t>
        </is>
      </c>
      <c r="H4547" s="3" t="inlineStr">
        <is>
          <t>계획관리지역</t>
        </is>
      </c>
      <c r="I4547" s="3" t="inlineStr">
        <is>
          <t>도로</t>
        </is>
      </c>
      <c r="J4547" s="3" t="inlineStr">
        <is>
          <t>강내면</t>
        </is>
      </c>
    </row>
    <row r="4548">
      <c r="A4548" s="3" t="n">
        <v>2022</v>
      </c>
      <c r="B4548" s="4" t="n">
        <v>164500</v>
      </c>
      <c r="C4548" s="4" t="n">
        <v>2315</v>
      </c>
      <c r="D4548" s="4" t="n">
        <v>700.2875</v>
      </c>
      <c r="E4548" s="5" t="n">
        <v>234.9</v>
      </c>
      <c r="F4548" s="3" t="inlineStr">
        <is>
          <t>오송읍</t>
        </is>
      </c>
      <c r="G4548" s="3" t="inlineStr">
        <is>
          <t>궁평리</t>
        </is>
      </c>
      <c r="H4548" s="3" t="inlineStr">
        <is>
          <t>농림지역</t>
        </is>
      </c>
      <c r="I4548" s="3" t="inlineStr">
        <is>
          <t>전</t>
        </is>
      </c>
      <c r="J4548" s="3" t="inlineStr">
        <is>
          <t>오송읍</t>
        </is>
      </c>
    </row>
    <row r="4549">
      <c r="A4549" s="3" t="n">
        <v>2024</v>
      </c>
      <c r="B4549" s="4" t="n">
        <v>10500</v>
      </c>
      <c r="C4549" s="4" t="n">
        <v>281.6</v>
      </c>
      <c r="D4549" s="4" t="n">
        <v>85.184</v>
      </c>
      <c r="E4549" s="5" t="n">
        <v>123.3</v>
      </c>
      <c r="F4549" s="3" t="inlineStr">
        <is>
          <t>오송읍</t>
        </is>
      </c>
      <c r="G4549" s="3" t="inlineStr">
        <is>
          <t>봉산리</t>
        </is>
      </c>
      <c r="H4549" s="3" t="inlineStr">
        <is>
          <t>제1종일반주거지역</t>
        </is>
      </c>
      <c r="I4549" s="3" t="inlineStr">
        <is>
          <t>대</t>
        </is>
      </c>
      <c r="J4549" s="3" t="inlineStr">
        <is>
          <t>오송읍</t>
        </is>
      </c>
    </row>
    <row r="4550">
      <c r="A4550" s="3" t="n">
        <v>2024</v>
      </c>
      <c r="B4550" s="4" t="n">
        <v>9000</v>
      </c>
      <c r="C4550" s="4" t="n">
        <v>247.5</v>
      </c>
      <c r="D4550" s="4" t="n">
        <v>74.86874999999999</v>
      </c>
      <c r="E4550" s="5" t="n">
        <v>120.2</v>
      </c>
      <c r="F4550" s="3" t="inlineStr">
        <is>
          <t>오송읍</t>
        </is>
      </c>
      <c r="G4550" s="3" t="inlineStr">
        <is>
          <t>봉산리</t>
        </is>
      </c>
      <c r="H4550" s="3" t="inlineStr">
        <is>
          <t>제1종일반주거지역</t>
        </is>
      </c>
      <c r="I4550" s="3" t="inlineStr">
        <is>
          <t>대</t>
        </is>
      </c>
      <c r="J4550" s="3" t="inlineStr">
        <is>
          <t>오송읍</t>
        </is>
      </c>
    </row>
    <row r="4551">
      <c r="A4551" s="3" t="n">
        <v>2024</v>
      </c>
      <c r="B4551" s="4" t="n">
        <v>71400</v>
      </c>
      <c r="C4551" s="4" t="n">
        <v>2101</v>
      </c>
      <c r="D4551" s="4" t="n">
        <v>635.5525</v>
      </c>
      <c r="E4551" s="5" t="n">
        <v>112.3</v>
      </c>
      <c r="F4551" s="3" t="inlineStr">
        <is>
          <t>강내면</t>
        </is>
      </c>
      <c r="G4551" s="3" t="inlineStr">
        <is>
          <t>산단리</t>
        </is>
      </c>
      <c r="H4551" s="3" t="inlineStr">
        <is>
          <t>계획관리지역</t>
        </is>
      </c>
      <c r="I4551" s="3" t="inlineStr">
        <is>
          <t>임야</t>
        </is>
      </c>
      <c r="J4551" s="3" t="inlineStr">
        <is>
          <t>강내면</t>
        </is>
      </c>
    </row>
    <row r="4552">
      <c r="A4552" s="3" t="n">
        <v>2024</v>
      </c>
      <c r="B4552" s="4" t="n">
        <v>750</v>
      </c>
      <c r="C4552" s="4" t="n">
        <v>11</v>
      </c>
      <c r="D4552" s="4" t="n">
        <v>3.3275</v>
      </c>
      <c r="E4552" s="5" t="n">
        <v>225.4</v>
      </c>
      <c r="F4552" s="3" t="inlineStr">
        <is>
          <t>오송읍</t>
        </is>
      </c>
      <c r="G4552" s="3" t="inlineStr">
        <is>
          <t>오송리</t>
        </is>
      </c>
      <c r="H4552" s="3" t="inlineStr">
        <is>
          <t>제1종일반주거지역</t>
        </is>
      </c>
      <c r="I4552" s="3" t="inlineStr">
        <is>
          <t>답</t>
        </is>
      </c>
      <c r="J4552" s="3" t="inlineStr">
        <is>
          <t>오송읍</t>
        </is>
      </c>
    </row>
    <row r="4553">
      <c r="A4553" s="3" t="n">
        <v>2024</v>
      </c>
      <c r="B4553" s="4" t="n">
        <v>3900</v>
      </c>
      <c r="C4553" s="4" t="n">
        <v>185</v>
      </c>
      <c r="D4553" s="4" t="n">
        <v>55.9625</v>
      </c>
      <c r="E4553" s="5" t="n">
        <v>69.7</v>
      </c>
      <c r="F4553" s="3" t="inlineStr">
        <is>
          <t>강내면</t>
        </is>
      </c>
      <c r="G4553" s="3" t="inlineStr">
        <is>
          <t>저산리</t>
        </is>
      </c>
      <c r="H4553" s="3" t="inlineStr">
        <is>
          <t>계획관리지역</t>
        </is>
      </c>
      <c r="I4553" s="3" t="inlineStr">
        <is>
          <t>대</t>
        </is>
      </c>
      <c r="J4553" s="3" t="inlineStr">
        <is>
          <t>강내면</t>
        </is>
      </c>
    </row>
    <row r="4554">
      <c r="A4554" s="3" t="n">
        <v>2024</v>
      </c>
      <c r="B4554" s="4" t="n">
        <v>3470</v>
      </c>
      <c r="C4554" s="4" t="n">
        <v>166</v>
      </c>
      <c r="D4554" s="4" t="n">
        <v>50.215</v>
      </c>
      <c r="E4554" s="5" t="n">
        <v>69.09999999999999</v>
      </c>
      <c r="F4554" s="3" t="inlineStr">
        <is>
          <t>강내면</t>
        </is>
      </c>
      <c r="G4554" s="3" t="inlineStr">
        <is>
          <t>저산리</t>
        </is>
      </c>
      <c r="H4554" s="3" t="inlineStr">
        <is>
          <t>계획관리지역</t>
        </is>
      </c>
      <c r="I4554" s="3" t="inlineStr">
        <is>
          <t>임야</t>
        </is>
      </c>
      <c r="J4554" s="3" t="inlineStr">
        <is>
          <t>강내면</t>
        </is>
      </c>
    </row>
    <row r="4555">
      <c r="A4555" s="3" t="n">
        <v>2024</v>
      </c>
      <c r="B4555" s="4" t="n">
        <v>1230</v>
      </c>
      <c r="C4555" s="4" t="n">
        <v>59.6</v>
      </c>
      <c r="D4555" s="4" t="n">
        <v>18.029</v>
      </c>
      <c r="E4555" s="5" t="n">
        <v>68.2</v>
      </c>
      <c r="F4555" s="3" t="inlineStr">
        <is>
          <t>강내면</t>
        </is>
      </c>
      <c r="G4555" s="3" t="inlineStr">
        <is>
          <t>저산리</t>
        </is>
      </c>
      <c r="H4555" s="3" t="inlineStr">
        <is>
          <t>계획관리지역</t>
        </is>
      </c>
      <c r="I4555" s="3" t="inlineStr">
        <is>
          <t>도로</t>
        </is>
      </c>
      <c r="J4555" s="3" t="inlineStr">
        <is>
          <t>강내면</t>
        </is>
      </c>
    </row>
    <row r="4556">
      <c r="A4556" s="3" t="n">
        <v>2024</v>
      </c>
      <c r="B4556" s="4" t="n">
        <v>12000</v>
      </c>
      <c r="C4556" s="4" t="n">
        <v>1964</v>
      </c>
      <c r="D4556" s="4" t="n">
        <v>594.11</v>
      </c>
      <c r="E4556" s="5" t="n">
        <v>20.2</v>
      </c>
      <c r="F4556" s="3" t="inlineStr">
        <is>
          <t>강내면</t>
        </is>
      </c>
      <c r="G4556" s="3" t="inlineStr">
        <is>
          <t>학천리</t>
        </is>
      </c>
      <c r="H4556" s="3" t="inlineStr">
        <is>
          <t>생산녹지지역</t>
        </is>
      </c>
      <c r="I4556" s="3" t="inlineStr">
        <is>
          <t>답</t>
        </is>
      </c>
      <c r="J4556" s="3" t="inlineStr">
        <is>
          <t>강내면</t>
        </is>
      </c>
    </row>
    <row r="4557">
      <c r="A4557" s="3" t="n">
        <v>2024</v>
      </c>
      <c r="B4557" s="4" t="n">
        <v>21720</v>
      </c>
      <c r="C4557" s="4" t="n">
        <v>359</v>
      </c>
      <c r="D4557" s="4" t="n">
        <v>108.5975</v>
      </c>
      <c r="E4557" s="5" t="n">
        <v>200</v>
      </c>
      <c r="F4557" s="3" t="inlineStr">
        <is>
          <t>오송읍</t>
        </is>
      </c>
      <c r="G4557" s="3" t="inlineStr">
        <is>
          <t>궁평리</t>
        </is>
      </c>
      <c r="H4557" s="3" t="inlineStr">
        <is>
          <t>농림지역</t>
        </is>
      </c>
      <c r="I4557" s="3" t="inlineStr">
        <is>
          <t>답</t>
        </is>
      </c>
      <c r="J4557" s="3" t="inlineStr">
        <is>
          <t>오송읍</t>
        </is>
      </c>
    </row>
    <row r="4558">
      <c r="A4558" s="3" t="n">
        <v>2024</v>
      </c>
      <c r="B4558" s="4" t="n">
        <v>10043</v>
      </c>
      <c r="C4558" s="4" t="n">
        <v>166</v>
      </c>
      <c r="D4558" s="4" t="n">
        <v>50.215</v>
      </c>
      <c r="E4558" s="5" t="n">
        <v>200</v>
      </c>
      <c r="F4558" s="3" t="inlineStr">
        <is>
          <t>오송읍</t>
        </is>
      </c>
      <c r="G4558" s="3" t="inlineStr">
        <is>
          <t>궁평리</t>
        </is>
      </c>
      <c r="H4558" s="3" t="inlineStr">
        <is>
          <t>농림지역</t>
        </is>
      </c>
      <c r="I4558" s="3" t="inlineStr">
        <is>
          <t>답</t>
        </is>
      </c>
      <c r="J4558" s="3" t="inlineStr">
        <is>
          <t>오송읍</t>
        </is>
      </c>
    </row>
    <row r="4559">
      <c r="A4559" s="3" t="n">
        <v>2024</v>
      </c>
      <c r="B4559" s="4" t="n">
        <v>99000</v>
      </c>
      <c r="C4559" s="4" t="n">
        <v>3808</v>
      </c>
      <c r="D4559" s="4" t="n">
        <v>1151.92</v>
      </c>
      <c r="E4559" s="5" t="n">
        <v>85.90000000000001</v>
      </c>
      <c r="F4559" s="3" t="inlineStr">
        <is>
          <t>오송읍</t>
        </is>
      </c>
      <c r="G4559" s="3" t="inlineStr">
        <is>
          <t>서평리</t>
        </is>
      </c>
      <c r="H4559" s="3" t="inlineStr">
        <is>
          <t>농림지역</t>
        </is>
      </c>
      <c r="I4559" s="3" t="inlineStr">
        <is>
          <t>답</t>
        </is>
      </c>
      <c r="J4559" s="3" t="inlineStr">
        <is>
          <t>오송읍</t>
        </is>
      </c>
    </row>
    <row r="4560">
      <c r="A4560" s="3" t="n">
        <v>2024</v>
      </c>
      <c r="B4560" s="4" t="n">
        <v>25000</v>
      </c>
      <c r="C4560" s="4" t="n">
        <v>1035</v>
      </c>
      <c r="D4560" s="4" t="n">
        <v>313.0875</v>
      </c>
      <c r="E4560" s="5" t="n">
        <v>79.8</v>
      </c>
      <c r="F4560" s="3" t="inlineStr">
        <is>
          <t>강내면</t>
        </is>
      </c>
      <c r="G4560" s="3" t="inlineStr">
        <is>
          <t>황탄리</t>
        </is>
      </c>
      <c r="H4560" s="3" t="inlineStr">
        <is>
          <t>기타</t>
        </is>
      </c>
      <c r="I4560" s="3" t="inlineStr">
        <is>
          <t>전</t>
        </is>
      </c>
      <c r="J4560" s="3" t="inlineStr">
        <is>
          <t>강내면</t>
        </is>
      </c>
    </row>
    <row r="4561">
      <c r="A4561" s="3" t="n">
        <v>2024</v>
      </c>
      <c r="B4561" s="4" t="n">
        <v>10000</v>
      </c>
      <c r="C4561" s="4" t="n">
        <v>102</v>
      </c>
      <c r="D4561" s="4" t="n">
        <v>30.855</v>
      </c>
      <c r="E4561" s="5" t="n">
        <v>324.1</v>
      </c>
      <c r="F4561" s="3" t="inlineStr">
        <is>
          <t>오송읍</t>
        </is>
      </c>
      <c r="G4561" s="3" t="inlineStr">
        <is>
          <t>오송리</t>
        </is>
      </c>
      <c r="H4561" s="3" t="inlineStr">
        <is>
          <t>계획관리지역</t>
        </is>
      </c>
      <c r="I4561" s="3" t="inlineStr">
        <is>
          <t>대</t>
        </is>
      </c>
      <c r="J4561" s="3" t="inlineStr">
        <is>
          <t>오송읍</t>
        </is>
      </c>
    </row>
    <row r="4562">
      <c r="A4562" s="3" t="n">
        <v>2024</v>
      </c>
      <c r="B4562" s="4" t="n">
        <v>1003</v>
      </c>
      <c r="C4562" s="4" t="n">
        <v>109</v>
      </c>
      <c r="D4562" s="4" t="n">
        <v>32.9725</v>
      </c>
      <c r="E4562" s="5" t="n">
        <v>30.4</v>
      </c>
      <c r="F4562" s="3" t="inlineStr">
        <is>
          <t>오송읍</t>
        </is>
      </c>
      <c r="G4562" s="3" t="inlineStr">
        <is>
          <t>쌍청리</t>
        </is>
      </c>
      <c r="H4562" s="3" t="inlineStr">
        <is>
          <t>농림지역</t>
        </is>
      </c>
      <c r="I4562" s="3" t="inlineStr">
        <is>
          <t>도로</t>
        </is>
      </c>
      <c r="J4562" s="3" t="inlineStr">
        <is>
          <t>오송읍</t>
        </is>
      </c>
    </row>
    <row r="4563">
      <c r="A4563" s="3" t="n">
        <v>2024</v>
      </c>
      <c r="B4563" s="4" t="n">
        <v>190000</v>
      </c>
      <c r="C4563" s="4" t="n">
        <v>12082</v>
      </c>
      <c r="D4563" s="4" t="n">
        <v>3654.805</v>
      </c>
      <c r="E4563" s="5" t="n">
        <v>52</v>
      </c>
      <c r="F4563" s="3" t="inlineStr">
        <is>
          <t>강내면</t>
        </is>
      </c>
      <c r="G4563" s="3" t="inlineStr">
        <is>
          <t>산단리</t>
        </is>
      </c>
      <c r="H4563" s="3" t="inlineStr">
        <is>
          <t>계획관리지역</t>
        </is>
      </c>
      <c r="I4563" s="3" t="inlineStr">
        <is>
          <t>임야</t>
        </is>
      </c>
      <c r="J4563" s="3" t="inlineStr">
        <is>
          <t>강내면</t>
        </is>
      </c>
    </row>
    <row r="4564">
      <c r="A4564" s="3" t="n">
        <v>2026</v>
      </c>
      <c r="B4564" s="4" t="n">
        <v>22700</v>
      </c>
      <c r="C4564" s="4" t="n">
        <v>2040</v>
      </c>
      <c r="D4564" s="4" t="n">
        <v>617.1</v>
      </c>
      <c r="E4564" s="5" t="n">
        <v>36.8</v>
      </c>
      <c r="F4564" s="3" t="inlineStr">
        <is>
          <t>강내면</t>
        </is>
      </c>
      <c r="G4564" s="3" t="inlineStr">
        <is>
          <t>학천리</t>
        </is>
      </c>
      <c r="H4564" s="3" t="inlineStr">
        <is>
          <t>생산녹지지역</t>
        </is>
      </c>
      <c r="I4564" s="3" t="inlineStr">
        <is>
          <t>답</t>
        </is>
      </c>
      <c r="J4564" s="3" t="inlineStr">
        <is>
          <t>강내면</t>
        </is>
      </c>
    </row>
    <row r="4565">
      <c r="A4565" s="3" t="n">
        <v>2023</v>
      </c>
      <c r="B4565" s="4" t="n">
        <v>10685</v>
      </c>
      <c r="C4565" s="4" t="n">
        <v>1802</v>
      </c>
      <c r="D4565" s="4" t="n">
        <v>545.105</v>
      </c>
      <c r="E4565" s="5" t="n">
        <v>19.6</v>
      </c>
      <c r="F4565" s="3" t="inlineStr">
        <is>
          <t>부강면</t>
        </is>
      </c>
      <c r="G4565" s="3" t="inlineStr">
        <is>
          <t>노호리</t>
        </is>
      </c>
      <c r="H4565" s="3" t="inlineStr">
        <is>
          <t>계획관리지역</t>
        </is>
      </c>
      <c r="I4565" s="3" t="inlineStr">
        <is>
          <t>답</t>
        </is>
      </c>
      <c r="J4565" s="3" t="inlineStr">
        <is>
          <t>부강면</t>
        </is>
      </c>
    </row>
    <row r="4566">
      <c r="A4566" s="3" t="n">
        <v>2023</v>
      </c>
      <c r="B4566" s="4" t="n">
        <v>2235</v>
      </c>
      <c r="C4566" s="4" t="n">
        <v>377</v>
      </c>
      <c r="D4566" s="4" t="n">
        <v>114.0425</v>
      </c>
      <c r="E4566" s="5" t="n">
        <v>19.6</v>
      </c>
      <c r="F4566" s="3" t="inlineStr">
        <is>
          <t>부강면</t>
        </is>
      </c>
      <c r="G4566" s="3" t="inlineStr">
        <is>
          <t>노호리</t>
        </is>
      </c>
      <c r="H4566" s="3" t="inlineStr">
        <is>
          <t>계획관리지역</t>
        </is>
      </c>
      <c r="I4566" s="3" t="inlineStr">
        <is>
          <t>답</t>
        </is>
      </c>
      <c r="J4566" s="3" t="inlineStr">
        <is>
          <t>부강면</t>
        </is>
      </c>
    </row>
    <row r="4567">
      <c r="A4567" s="3" t="n">
        <v>2023</v>
      </c>
      <c r="B4567" s="4" t="n">
        <v>10080</v>
      </c>
      <c r="C4567" s="4" t="n">
        <v>417</v>
      </c>
      <c r="D4567" s="4" t="n">
        <v>126.1425</v>
      </c>
      <c r="E4567" s="5" t="n">
        <v>79.90000000000001</v>
      </c>
      <c r="F4567" s="3" t="inlineStr">
        <is>
          <t>부강면</t>
        </is>
      </c>
      <c r="G4567" s="3" t="inlineStr">
        <is>
          <t>노호리</t>
        </is>
      </c>
      <c r="H4567" s="3" t="inlineStr">
        <is>
          <t>계획관리지역</t>
        </is>
      </c>
      <c r="I4567" s="3" t="inlineStr">
        <is>
          <t>전</t>
        </is>
      </c>
      <c r="J4567" s="3" t="inlineStr">
        <is>
          <t>부강면</t>
        </is>
      </c>
    </row>
    <row r="4568">
      <c r="A4568" s="3" t="n">
        <v>2023</v>
      </c>
      <c r="B4568" s="4" t="n">
        <v>69000</v>
      </c>
      <c r="C4568" s="4" t="n">
        <v>370.6</v>
      </c>
      <c r="D4568" s="4" t="n">
        <v>112.1065</v>
      </c>
      <c r="E4568" s="5" t="n">
        <v>615.5</v>
      </c>
      <c r="F4568" s="3" t="inlineStr">
        <is>
          <t>고운동</t>
        </is>
      </c>
      <c r="G4568" s="3" t="inlineStr"/>
      <c r="H4568" s="3" t="inlineStr">
        <is>
          <t>제1종전용주거지역</t>
        </is>
      </c>
      <c r="I4568" s="3" t="inlineStr">
        <is>
          <t>대</t>
        </is>
      </c>
      <c r="J4568" s="3" t="inlineStr">
        <is>
          <t>고운동</t>
        </is>
      </c>
    </row>
    <row r="4569">
      <c r="A4569" s="3" t="n">
        <v>2023</v>
      </c>
      <c r="B4569" s="4" t="n">
        <v>48000</v>
      </c>
      <c r="C4569" s="4" t="n">
        <v>1112</v>
      </c>
      <c r="D4569" s="4" t="n">
        <v>336.38</v>
      </c>
      <c r="E4569" s="5" t="n">
        <v>142.7</v>
      </c>
      <c r="F4569" s="3" t="inlineStr">
        <is>
          <t>연서면</t>
        </is>
      </c>
      <c r="G4569" s="3" t="inlineStr">
        <is>
          <t>와촌리</t>
        </is>
      </c>
      <c r="H4569" s="3" t="inlineStr">
        <is>
          <t>농림지역</t>
        </is>
      </c>
      <c r="I4569" s="3" t="inlineStr">
        <is>
          <t>과수원</t>
        </is>
      </c>
      <c r="J4569" s="3" t="inlineStr">
        <is>
          <t>연서면</t>
        </is>
      </c>
    </row>
    <row r="4570">
      <c r="A4570" s="3" t="n">
        <v>2023</v>
      </c>
      <c r="B4570" s="4" t="n">
        <v>183</v>
      </c>
      <c r="C4570" s="4" t="n">
        <v>12</v>
      </c>
      <c r="D4570" s="4" t="n">
        <v>3.63</v>
      </c>
      <c r="E4570" s="5" t="n">
        <v>50.4</v>
      </c>
      <c r="F4570" s="3" t="inlineStr">
        <is>
          <t>부강면</t>
        </is>
      </c>
      <c r="G4570" s="3" t="inlineStr">
        <is>
          <t>등곡리</t>
        </is>
      </c>
      <c r="H4570" s="3" t="inlineStr">
        <is>
          <t>제1종일반주거지역</t>
        </is>
      </c>
      <c r="I4570" s="3" t="inlineStr">
        <is>
          <t>임야</t>
        </is>
      </c>
      <c r="J4570" s="3" t="inlineStr">
        <is>
          <t>부강면</t>
        </is>
      </c>
    </row>
    <row r="4571">
      <c r="A4571" s="3" t="n">
        <v>2022</v>
      </c>
      <c r="B4571" s="4" t="n">
        <v>880</v>
      </c>
      <c r="C4571" s="4" t="n">
        <v>8</v>
      </c>
      <c r="D4571" s="4" t="n">
        <v>2.42</v>
      </c>
      <c r="E4571" s="5" t="n">
        <v>363.6</v>
      </c>
      <c r="F4571" s="3" t="inlineStr">
        <is>
          <t>연서면</t>
        </is>
      </c>
      <c r="G4571" s="3" t="inlineStr">
        <is>
          <t>봉암리</t>
        </is>
      </c>
      <c r="H4571" s="3" t="inlineStr">
        <is>
          <t>계획관리지역</t>
        </is>
      </c>
      <c r="I4571" s="3" t="inlineStr">
        <is>
          <t>답</t>
        </is>
      </c>
      <c r="J4571" s="3" t="inlineStr">
        <is>
          <t>연서면</t>
        </is>
      </c>
    </row>
    <row r="4572">
      <c r="A4572" s="3" t="n">
        <v>2022</v>
      </c>
      <c r="B4572" s="4" t="n">
        <v>93</v>
      </c>
      <c r="C4572" s="4" t="n">
        <v>1</v>
      </c>
      <c r="D4572" s="4" t="n">
        <v>0.3025</v>
      </c>
      <c r="E4572" s="5" t="n">
        <v>307.4</v>
      </c>
      <c r="F4572" s="3" t="inlineStr">
        <is>
          <t>연서면</t>
        </is>
      </c>
      <c r="G4572" s="3" t="inlineStr">
        <is>
          <t>봉암리</t>
        </is>
      </c>
      <c r="H4572" s="3" t="inlineStr">
        <is>
          <t>계획관리지역</t>
        </is>
      </c>
      <c r="I4572" s="3" t="inlineStr">
        <is>
          <t>답</t>
        </is>
      </c>
      <c r="J4572" s="3" t="inlineStr">
        <is>
          <t>연서면</t>
        </is>
      </c>
    </row>
    <row r="4573">
      <c r="A4573" s="3" t="n">
        <v>2022</v>
      </c>
      <c r="B4573" s="4" t="n">
        <v>1500</v>
      </c>
      <c r="C4573" s="4" t="n">
        <v>504</v>
      </c>
      <c r="D4573" s="4" t="n">
        <v>152.46</v>
      </c>
      <c r="E4573" s="5" t="n">
        <v>9.800000000000001</v>
      </c>
      <c r="F4573" s="3" t="inlineStr">
        <is>
          <t>연서면</t>
        </is>
      </c>
      <c r="G4573" s="3" t="inlineStr">
        <is>
          <t>쌍류리</t>
        </is>
      </c>
      <c r="H4573" s="3" t="inlineStr">
        <is>
          <t>보전관리지역</t>
        </is>
      </c>
      <c r="I4573" s="3" t="inlineStr">
        <is>
          <t>전</t>
        </is>
      </c>
      <c r="J4573" s="3" t="inlineStr">
        <is>
          <t>연서면</t>
        </is>
      </c>
    </row>
    <row r="4574">
      <c r="A4574" s="3" t="n">
        <v>2022</v>
      </c>
      <c r="B4574" s="4" t="n">
        <v>580</v>
      </c>
      <c r="C4574" s="4" t="n">
        <v>90</v>
      </c>
      <c r="D4574" s="4" t="n">
        <v>27.225</v>
      </c>
      <c r="E4574" s="5" t="n">
        <v>21.3</v>
      </c>
      <c r="F4574" s="3" t="inlineStr">
        <is>
          <t>부강면</t>
        </is>
      </c>
      <c r="G4574" s="3" t="inlineStr">
        <is>
          <t>문곡리</t>
        </is>
      </c>
      <c r="H4574" s="3" t="inlineStr">
        <is>
          <t>계획관리지역</t>
        </is>
      </c>
      <c r="I4574" s="3" t="inlineStr">
        <is>
          <t>전</t>
        </is>
      </c>
      <c r="J4574" s="3" t="inlineStr">
        <is>
          <t>부강면</t>
        </is>
      </c>
    </row>
    <row r="4575">
      <c r="A4575" s="3" t="n">
        <v>2022</v>
      </c>
      <c r="B4575" s="4" t="n">
        <v>1920</v>
      </c>
      <c r="C4575" s="4" t="n">
        <v>55</v>
      </c>
      <c r="D4575" s="4" t="n">
        <v>16.6375</v>
      </c>
      <c r="E4575" s="5" t="n">
        <v>115.4</v>
      </c>
      <c r="F4575" s="3" t="inlineStr">
        <is>
          <t>부강면</t>
        </is>
      </c>
      <c r="G4575" s="3" t="inlineStr">
        <is>
          <t>문곡리</t>
        </is>
      </c>
      <c r="H4575" s="3" t="inlineStr">
        <is>
          <t>계획관리지역</t>
        </is>
      </c>
      <c r="I4575" s="3" t="inlineStr">
        <is>
          <t>대</t>
        </is>
      </c>
      <c r="J4575" s="3" t="inlineStr">
        <is>
          <t>부강면</t>
        </is>
      </c>
    </row>
    <row r="4576">
      <c r="A4576" s="3" t="n">
        <v>2023</v>
      </c>
      <c r="B4576" s="4" t="n">
        <v>212</v>
      </c>
      <c r="C4576" s="4" t="n">
        <v>14</v>
      </c>
      <c r="D4576" s="4" t="n">
        <v>4.234999999999999</v>
      </c>
      <c r="E4576" s="5" t="n">
        <v>50.1</v>
      </c>
      <c r="F4576" s="3" t="inlineStr">
        <is>
          <t>부강면</t>
        </is>
      </c>
      <c r="G4576" s="3" t="inlineStr">
        <is>
          <t>등곡리</t>
        </is>
      </c>
      <c r="H4576" s="3" t="inlineStr">
        <is>
          <t>제1종일반주거지역</t>
        </is>
      </c>
      <c r="I4576" s="3" t="inlineStr">
        <is>
          <t>임야</t>
        </is>
      </c>
      <c r="J4576" s="3" t="inlineStr">
        <is>
          <t>부강면</t>
        </is>
      </c>
    </row>
    <row r="4577">
      <c r="A4577" s="3" t="n">
        <v>2022</v>
      </c>
      <c r="B4577" s="4" t="n">
        <v>19000</v>
      </c>
      <c r="C4577" s="4" t="n">
        <v>530</v>
      </c>
      <c r="D4577" s="4" t="n">
        <v>160.325</v>
      </c>
      <c r="E4577" s="5" t="n">
        <v>118.5</v>
      </c>
      <c r="F4577" s="3" t="inlineStr">
        <is>
          <t>강내면</t>
        </is>
      </c>
      <c r="G4577" s="3" t="inlineStr">
        <is>
          <t>석화리</t>
        </is>
      </c>
      <c r="H4577" s="3" t="inlineStr">
        <is>
          <t>자연녹지지역</t>
        </is>
      </c>
      <c r="I4577" s="3" t="inlineStr">
        <is>
          <t>대</t>
        </is>
      </c>
      <c r="J4577" s="3" t="inlineStr">
        <is>
          <t>강내면</t>
        </is>
      </c>
    </row>
    <row r="4578">
      <c r="A4578" s="3" t="n">
        <v>2022</v>
      </c>
      <c r="B4578" s="4" t="n">
        <v>20000</v>
      </c>
      <c r="C4578" s="4" t="n">
        <v>575</v>
      </c>
      <c r="D4578" s="4" t="n">
        <v>173.9375</v>
      </c>
      <c r="E4578" s="5" t="n">
        <v>115</v>
      </c>
      <c r="F4578" s="3" t="inlineStr">
        <is>
          <t>강내면</t>
        </is>
      </c>
      <c r="G4578" s="3" t="inlineStr">
        <is>
          <t>석화리</t>
        </is>
      </c>
      <c r="H4578" s="3" t="inlineStr">
        <is>
          <t>자연녹지지역</t>
        </is>
      </c>
      <c r="I4578" s="3" t="inlineStr">
        <is>
          <t>답</t>
        </is>
      </c>
      <c r="J4578" s="3" t="inlineStr">
        <is>
          <t>강내면</t>
        </is>
      </c>
    </row>
    <row r="4579">
      <c r="A4579" s="3" t="n">
        <v>2022</v>
      </c>
      <c r="B4579" s="4" t="n">
        <v>49000</v>
      </c>
      <c r="C4579" s="4" t="n">
        <v>1402</v>
      </c>
      <c r="D4579" s="4" t="n">
        <v>424.105</v>
      </c>
      <c r="E4579" s="5" t="n">
        <v>115.5</v>
      </c>
      <c r="F4579" s="3" t="inlineStr">
        <is>
          <t>강내면</t>
        </is>
      </c>
      <c r="G4579" s="3" t="inlineStr">
        <is>
          <t>석화리</t>
        </is>
      </c>
      <c r="H4579" s="3" t="inlineStr">
        <is>
          <t>자연녹지지역</t>
        </is>
      </c>
      <c r="I4579" s="3" t="inlineStr">
        <is>
          <t>답</t>
        </is>
      </c>
      <c r="J4579" s="3" t="inlineStr">
        <is>
          <t>강내면</t>
        </is>
      </c>
    </row>
    <row r="4580">
      <c r="A4580" s="3" t="n">
        <v>2022</v>
      </c>
      <c r="B4580" s="4" t="n">
        <v>7000</v>
      </c>
      <c r="C4580" s="4" t="n">
        <v>202</v>
      </c>
      <c r="D4580" s="4" t="n">
        <v>61.105</v>
      </c>
      <c r="E4580" s="5" t="n">
        <v>114.6</v>
      </c>
      <c r="F4580" s="3" t="inlineStr">
        <is>
          <t>강내면</t>
        </is>
      </c>
      <c r="G4580" s="3" t="inlineStr">
        <is>
          <t>석화리</t>
        </is>
      </c>
      <c r="H4580" s="3" t="inlineStr">
        <is>
          <t>자연녹지지역</t>
        </is>
      </c>
      <c r="I4580" s="3" t="inlineStr">
        <is>
          <t>답</t>
        </is>
      </c>
      <c r="J4580" s="3" t="inlineStr">
        <is>
          <t>강내면</t>
        </is>
      </c>
    </row>
    <row r="4581">
      <c r="A4581" s="3" t="n">
        <v>2022</v>
      </c>
      <c r="B4581" s="4" t="n">
        <v>800</v>
      </c>
      <c r="C4581" s="4" t="n">
        <v>3</v>
      </c>
      <c r="D4581" s="4" t="n">
        <v>0.9075</v>
      </c>
      <c r="E4581" s="5" t="n">
        <v>881.5</v>
      </c>
      <c r="F4581" s="3" t="inlineStr">
        <is>
          <t>오송읍</t>
        </is>
      </c>
      <c r="G4581" s="3" t="inlineStr">
        <is>
          <t>궁평리</t>
        </is>
      </c>
      <c r="H4581" s="3" t="inlineStr">
        <is>
          <t>일반상업지역</t>
        </is>
      </c>
      <c r="I4581" s="3" t="inlineStr">
        <is>
          <t>전</t>
        </is>
      </c>
      <c r="J4581" s="3" t="inlineStr">
        <is>
          <t>오송읍</t>
        </is>
      </c>
    </row>
    <row r="4582">
      <c r="A4582" s="3" t="n">
        <v>2022</v>
      </c>
      <c r="B4582" s="4" t="n">
        <v>80009</v>
      </c>
      <c r="C4582" s="4" t="n">
        <v>1392</v>
      </c>
      <c r="D4582" s="4" t="n">
        <v>421.08</v>
      </c>
      <c r="E4582" s="5" t="n">
        <v>190</v>
      </c>
      <c r="F4582" s="3" t="inlineStr">
        <is>
          <t>오송읍</t>
        </is>
      </c>
      <c r="G4582" s="3" t="inlineStr">
        <is>
          <t>궁평리</t>
        </is>
      </c>
      <c r="H4582" s="3" t="inlineStr">
        <is>
          <t>농림지역</t>
        </is>
      </c>
      <c r="I4582" s="3" t="inlineStr">
        <is>
          <t>답</t>
        </is>
      </c>
      <c r="J4582" s="3" t="inlineStr">
        <is>
          <t>오송읍</t>
        </is>
      </c>
    </row>
    <row r="4583">
      <c r="A4583" s="3" t="n">
        <v>2022</v>
      </c>
      <c r="B4583" s="4" t="n">
        <v>990</v>
      </c>
      <c r="C4583" s="4" t="n">
        <v>19</v>
      </c>
      <c r="D4583" s="4" t="n">
        <v>5.7475</v>
      </c>
      <c r="E4583" s="5" t="n">
        <v>172.2</v>
      </c>
      <c r="F4583" s="3" t="inlineStr">
        <is>
          <t>강내면</t>
        </is>
      </c>
      <c r="G4583" s="3" t="inlineStr">
        <is>
          <t>저산리</t>
        </is>
      </c>
      <c r="H4583" s="3" t="inlineStr">
        <is>
          <t>계획관리지역</t>
        </is>
      </c>
      <c r="I4583" s="3" t="inlineStr">
        <is>
          <t>전</t>
        </is>
      </c>
      <c r="J4583" s="3" t="inlineStr">
        <is>
          <t>강내면</t>
        </is>
      </c>
    </row>
    <row r="4584">
      <c r="A4584" s="3" t="n">
        <v>2022</v>
      </c>
      <c r="B4584" s="4" t="n">
        <v>2700</v>
      </c>
      <c r="C4584" s="4" t="n">
        <v>66</v>
      </c>
      <c r="D4584" s="4" t="n">
        <v>19.965</v>
      </c>
      <c r="E4584" s="5" t="n">
        <v>135.2</v>
      </c>
      <c r="F4584" s="3" t="inlineStr">
        <is>
          <t>강내면</t>
        </is>
      </c>
      <c r="G4584" s="3" t="inlineStr">
        <is>
          <t>저산리</t>
        </is>
      </c>
      <c r="H4584" s="3" t="inlineStr">
        <is>
          <t>보전관리지역</t>
        </is>
      </c>
      <c r="I4584" s="3" t="inlineStr">
        <is>
          <t>임야</t>
        </is>
      </c>
      <c r="J4584" s="3" t="inlineStr">
        <is>
          <t>강내면</t>
        </is>
      </c>
    </row>
    <row r="4585">
      <c r="A4585" s="3" t="n">
        <v>2022</v>
      </c>
      <c r="B4585" s="4" t="n">
        <v>17000</v>
      </c>
      <c r="C4585" s="4" t="n">
        <v>405</v>
      </c>
      <c r="D4585" s="4" t="n">
        <v>122.5125</v>
      </c>
      <c r="E4585" s="5" t="n">
        <v>138.8</v>
      </c>
      <c r="F4585" s="3" t="inlineStr">
        <is>
          <t>강내면</t>
        </is>
      </c>
      <c r="G4585" s="3" t="inlineStr">
        <is>
          <t>저산리</t>
        </is>
      </c>
      <c r="H4585" s="3" t="inlineStr">
        <is>
          <t>보전관리지역</t>
        </is>
      </c>
      <c r="I4585" s="3" t="inlineStr">
        <is>
          <t>임야</t>
        </is>
      </c>
      <c r="J4585" s="3" t="inlineStr">
        <is>
          <t>강내면</t>
        </is>
      </c>
    </row>
    <row r="4586">
      <c r="A4586" s="3" t="n">
        <v>2022</v>
      </c>
      <c r="B4586" s="4" t="n">
        <v>19800</v>
      </c>
      <c r="C4586" s="4" t="n">
        <v>469</v>
      </c>
      <c r="D4586" s="4" t="n">
        <v>141.8725</v>
      </c>
      <c r="E4586" s="5" t="n">
        <v>139.6</v>
      </c>
      <c r="F4586" s="3" t="inlineStr">
        <is>
          <t>강내면</t>
        </is>
      </c>
      <c r="G4586" s="3" t="inlineStr">
        <is>
          <t>저산리</t>
        </is>
      </c>
      <c r="H4586" s="3" t="inlineStr">
        <is>
          <t>보전관리지역</t>
        </is>
      </c>
      <c r="I4586" s="3" t="inlineStr">
        <is>
          <t>임야</t>
        </is>
      </c>
      <c r="J4586" s="3" t="inlineStr">
        <is>
          <t>강내면</t>
        </is>
      </c>
    </row>
    <row r="4587">
      <c r="A4587" s="3" t="n">
        <v>2022</v>
      </c>
      <c r="B4587" s="4" t="n">
        <v>875</v>
      </c>
      <c r="C4587" s="4" t="n">
        <v>20</v>
      </c>
      <c r="D4587" s="4" t="n">
        <v>6.05</v>
      </c>
      <c r="E4587" s="5" t="n">
        <v>144.6</v>
      </c>
      <c r="F4587" s="3" t="inlineStr">
        <is>
          <t>강내면</t>
        </is>
      </c>
      <c r="G4587" s="3" t="inlineStr">
        <is>
          <t>저산리</t>
        </is>
      </c>
      <c r="H4587" s="3" t="inlineStr">
        <is>
          <t>계획관리지역</t>
        </is>
      </c>
      <c r="I4587" s="3" t="inlineStr">
        <is>
          <t>전</t>
        </is>
      </c>
      <c r="J4587" s="3" t="inlineStr">
        <is>
          <t>강내면</t>
        </is>
      </c>
    </row>
    <row r="4588">
      <c r="A4588" s="3" t="n">
        <v>2022</v>
      </c>
      <c r="B4588" s="4" t="n">
        <v>20500</v>
      </c>
      <c r="C4588" s="4" t="n">
        <v>194</v>
      </c>
      <c r="D4588" s="4" t="n">
        <v>58.685</v>
      </c>
      <c r="E4588" s="5" t="n">
        <v>349.3</v>
      </c>
      <c r="F4588" s="3" t="inlineStr">
        <is>
          <t>강내면</t>
        </is>
      </c>
      <c r="G4588" s="3" t="inlineStr">
        <is>
          <t>탑연리</t>
        </is>
      </c>
      <c r="H4588" s="3" t="inlineStr">
        <is>
          <t>일반상업지역</t>
        </is>
      </c>
      <c r="I4588" s="3" t="inlineStr">
        <is>
          <t>전</t>
        </is>
      </c>
      <c r="J4588" s="3" t="inlineStr">
        <is>
          <t>강내면</t>
        </is>
      </c>
    </row>
    <row r="4589">
      <c r="A4589" s="3" t="n">
        <v>2022</v>
      </c>
      <c r="B4589" s="4" t="n">
        <v>52760</v>
      </c>
      <c r="C4589" s="4" t="n">
        <v>790</v>
      </c>
      <c r="D4589" s="4" t="n">
        <v>238.975</v>
      </c>
      <c r="E4589" s="5" t="n">
        <v>220.8</v>
      </c>
      <c r="F4589" s="3" t="inlineStr">
        <is>
          <t>강내면</t>
        </is>
      </c>
      <c r="G4589" s="3" t="inlineStr">
        <is>
          <t>사인리</t>
        </is>
      </c>
      <c r="H4589" s="3" t="inlineStr">
        <is>
          <t>자연녹지지역</t>
        </is>
      </c>
      <c r="I4589" s="3" t="inlineStr">
        <is>
          <t>전</t>
        </is>
      </c>
      <c r="J4589" s="3" t="inlineStr">
        <is>
          <t>강내면</t>
        </is>
      </c>
    </row>
    <row r="4590">
      <c r="A4590" s="3" t="n">
        <v>2022</v>
      </c>
      <c r="B4590" s="4" t="n">
        <v>4818</v>
      </c>
      <c r="C4590" s="4" t="n">
        <v>97</v>
      </c>
      <c r="D4590" s="4" t="n">
        <v>29.3425</v>
      </c>
      <c r="E4590" s="5" t="n">
        <v>164.2</v>
      </c>
      <c r="F4590" s="3" t="inlineStr">
        <is>
          <t>강내면</t>
        </is>
      </c>
      <c r="G4590" s="3" t="inlineStr">
        <is>
          <t>사인리</t>
        </is>
      </c>
      <c r="H4590" s="3" t="inlineStr">
        <is>
          <t>자연녹지지역</t>
        </is>
      </c>
      <c r="I4590" s="3" t="inlineStr">
        <is>
          <t>전</t>
        </is>
      </c>
      <c r="J4590" s="3" t="inlineStr">
        <is>
          <t>강내면</t>
        </is>
      </c>
    </row>
    <row r="4591">
      <c r="A4591" s="3" t="n">
        <v>2022</v>
      </c>
      <c r="B4591" s="4" t="n">
        <v>4884</v>
      </c>
      <c r="C4591" s="4" t="n">
        <v>266</v>
      </c>
      <c r="D4591" s="4" t="n">
        <v>80.465</v>
      </c>
      <c r="E4591" s="5" t="n">
        <v>60.7</v>
      </c>
      <c r="F4591" s="3" t="inlineStr">
        <is>
          <t>강내면</t>
        </is>
      </c>
      <c r="G4591" s="3" t="inlineStr">
        <is>
          <t>사인리</t>
        </is>
      </c>
      <c r="H4591" s="3" t="inlineStr">
        <is>
          <t>자연녹지지역</t>
        </is>
      </c>
      <c r="I4591" s="3" t="inlineStr">
        <is>
          <t>임야</t>
        </is>
      </c>
      <c r="J4591" s="3" t="inlineStr">
        <is>
          <t>강내면</t>
        </is>
      </c>
    </row>
    <row r="4592">
      <c r="A4592" s="3" t="n">
        <v>2022</v>
      </c>
      <c r="B4592" s="4" t="n">
        <v>15000</v>
      </c>
      <c r="C4592" s="4" t="n">
        <v>1111</v>
      </c>
      <c r="D4592" s="4" t="n">
        <v>336.0775</v>
      </c>
      <c r="E4592" s="5" t="n">
        <v>44.6</v>
      </c>
      <c r="F4592" s="3" t="inlineStr">
        <is>
          <t>강내면</t>
        </is>
      </c>
      <c r="G4592" s="3" t="inlineStr">
        <is>
          <t>학천리</t>
        </is>
      </c>
      <c r="H4592" s="3" t="inlineStr">
        <is>
          <t>자연녹지지역</t>
        </is>
      </c>
      <c r="I4592" s="3" t="inlineStr">
        <is>
          <t>임야</t>
        </is>
      </c>
      <c r="J4592" s="3" t="inlineStr">
        <is>
          <t>강내면</t>
        </is>
      </c>
    </row>
    <row r="4593">
      <c r="A4593" s="3" t="n">
        <v>2022</v>
      </c>
      <c r="B4593" s="4" t="n">
        <v>36000</v>
      </c>
      <c r="C4593" s="4" t="n">
        <v>240.9</v>
      </c>
      <c r="D4593" s="4" t="n">
        <v>72.87224999999999</v>
      </c>
      <c r="E4593" s="5" t="n">
        <v>494</v>
      </c>
      <c r="F4593" s="3" t="inlineStr">
        <is>
          <t>오송읍</t>
        </is>
      </c>
      <c r="G4593" s="3" t="inlineStr">
        <is>
          <t>봉산리</t>
        </is>
      </c>
      <c r="H4593" s="3" t="inlineStr">
        <is>
          <t>제1종일반주거지역</t>
        </is>
      </c>
      <c r="I4593" s="3" t="inlineStr">
        <is>
          <t>대</t>
        </is>
      </c>
      <c r="J4593" s="3" t="inlineStr">
        <is>
          <t>오송읍</t>
        </is>
      </c>
    </row>
    <row r="4594">
      <c r="A4594" s="3" t="n">
        <v>2022</v>
      </c>
      <c r="B4594" s="4" t="n">
        <v>48000</v>
      </c>
      <c r="C4594" s="4" t="n">
        <v>1083</v>
      </c>
      <c r="D4594" s="4" t="n">
        <v>327.6075</v>
      </c>
      <c r="E4594" s="5" t="n">
        <v>146.5</v>
      </c>
      <c r="F4594" s="3" t="inlineStr">
        <is>
          <t>오송읍</t>
        </is>
      </c>
      <c r="G4594" s="3" t="inlineStr">
        <is>
          <t>오송리</t>
        </is>
      </c>
      <c r="H4594" s="3" t="inlineStr">
        <is>
          <t>일반상업지역</t>
        </is>
      </c>
      <c r="I4594" s="3" t="inlineStr">
        <is>
          <t>답</t>
        </is>
      </c>
      <c r="J4594" s="3" t="inlineStr">
        <is>
          <t>오송읍</t>
        </is>
      </c>
    </row>
    <row r="4595">
      <c r="A4595" s="3" t="n">
        <v>2022</v>
      </c>
      <c r="B4595" s="4" t="n">
        <v>32680</v>
      </c>
      <c r="C4595" s="4" t="n">
        <v>785</v>
      </c>
      <c r="D4595" s="4" t="n">
        <v>237.4625</v>
      </c>
      <c r="E4595" s="5" t="n">
        <v>137.6</v>
      </c>
      <c r="F4595" s="3" t="inlineStr">
        <is>
          <t>부강면</t>
        </is>
      </c>
      <c r="G4595" s="3" t="inlineStr">
        <is>
          <t>부강리</t>
        </is>
      </c>
      <c r="H4595" s="3" t="inlineStr">
        <is>
          <t>계획관리지역</t>
        </is>
      </c>
      <c r="I4595" s="3" t="inlineStr">
        <is>
          <t>답</t>
        </is>
      </c>
      <c r="J4595" s="3" t="inlineStr">
        <is>
          <t>부강면</t>
        </is>
      </c>
    </row>
    <row r="4596">
      <c r="A4596" s="3" t="n">
        <v>2022</v>
      </c>
      <c r="B4596" s="4" t="n">
        <v>4260</v>
      </c>
      <c r="C4596" s="4" t="n">
        <v>113</v>
      </c>
      <c r="D4596" s="4" t="n">
        <v>34.1825</v>
      </c>
      <c r="E4596" s="5" t="n">
        <v>124.6</v>
      </c>
      <c r="F4596" s="3" t="inlineStr">
        <is>
          <t>부강면</t>
        </is>
      </c>
      <c r="G4596" s="3" t="inlineStr">
        <is>
          <t>부강리</t>
        </is>
      </c>
      <c r="H4596" s="3" t="inlineStr">
        <is>
          <t>계획관리지역</t>
        </is>
      </c>
      <c r="I4596" s="3" t="inlineStr">
        <is>
          <t>답</t>
        </is>
      </c>
      <c r="J4596" s="3" t="inlineStr">
        <is>
          <t>부강면</t>
        </is>
      </c>
    </row>
    <row r="4597">
      <c r="A4597" s="3" t="n">
        <v>2023</v>
      </c>
      <c r="B4597" s="4" t="n">
        <v>2670</v>
      </c>
      <c r="C4597" s="4" t="n">
        <v>793</v>
      </c>
      <c r="D4597" s="4" t="n">
        <v>239.8825</v>
      </c>
      <c r="E4597" s="5" t="n">
        <v>11.1</v>
      </c>
      <c r="F4597" s="3" t="inlineStr">
        <is>
          <t>연동면</t>
        </is>
      </c>
      <c r="G4597" s="3" t="inlineStr">
        <is>
          <t>명학리</t>
        </is>
      </c>
      <c r="H4597" s="3" t="inlineStr">
        <is>
          <t>보전관리지역</t>
        </is>
      </c>
      <c r="I4597" s="3" t="inlineStr">
        <is>
          <t>임야</t>
        </is>
      </c>
      <c r="J4597" s="3" t="inlineStr">
        <is>
          <t>연동면</t>
        </is>
      </c>
    </row>
    <row r="4598">
      <c r="A4598" s="3" t="n">
        <v>2023</v>
      </c>
      <c r="B4598" s="4" t="n">
        <v>2000</v>
      </c>
      <c r="C4598" s="4" t="n">
        <v>595</v>
      </c>
      <c r="D4598" s="4" t="n">
        <v>179.9875</v>
      </c>
      <c r="E4598" s="5" t="n">
        <v>11.1</v>
      </c>
      <c r="F4598" s="3" t="inlineStr">
        <is>
          <t>연동면</t>
        </is>
      </c>
      <c r="G4598" s="3" t="inlineStr">
        <is>
          <t>명학리</t>
        </is>
      </c>
      <c r="H4598" s="3" t="inlineStr">
        <is>
          <t>보전관리지역</t>
        </is>
      </c>
      <c r="I4598" s="3" t="inlineStr">
        <is>
          <t>임야</t>
        </is>
      </c>
      <c r="J4598" s="3" t="inlineStr">
        <is>
          <t>연동면</t>
        </is>
      </c>
    </row>
    <row r="4599">
      <c r="A4599" s="3" t="n">
        <v>2023</v>
      </c>
      <c r="B4599" s="4" t="n">
        <v>1000</v>
      </c>
      <c r="C4599" s="4" t="n">
        <v>298</v>
      </c>
      <c r="D4599" s="4" t="n">
        <v>90.145</v>
      </c>
      <c r="E4599" s="5" t="n">
        <v>11.1</v>
      </c>
      <c r="F4599" s="3" t="inlineStr">
        <is>
          <t>연동면</t>
        </is>
      </c>
      <c r="G4599" s="3" t="inlineStr">
        <is>
          <t>명학리</t>
        </is>
      </c>
      <c r="H4599" s="3" t="inlineStr">
        <is>
          <t>보전관리지역</t>
        </is>
      </c>
      <c r="I4599" s="3" t="inlineStr">
        <is>
          <t>임야</t>
        </is>
      </c>
      <c r="J4599" s="3" t="inlineStr">
        <is>
          <t>연동면</t>
        </is>
      </c>
    </row>
    <row r="4600">
      <c r="A4600" s="3" t="n">
        <v>2023</v>
      </c>
      <c r="B4600" s="4" t="n">
        <v>4330</v>
      </c>
      <c r="C4600" s="4" t="n">
        <v>1289</v>
      </c>
      <c r="D4600" s="4" t="n">
        <v>389.9225</v>
      </c>
      <c r="E4600" s="5" t="n">
        <v>11.1</v>
      </c>
      <c r="F4600" s="3" t="inlineStr">
        <is>
          <t>연동면</t>
        </is>
      </c>
      <c r="G4600" s="3" t="inlineStr">
        <is>
          <t>명학리</t>
        </is>
      </c>
      <c r="H4600" s="3" t="inlineStr">
        <is>
          <t>보전관리지역</t>
        </is>
      </c>
      <c r="I4600" s="3" t="inlineStr">
        <is>
          <t>임야</t>
        </is>
      </c>
      <c r="J4600" s="3" t="inlineStr">
        <is>
          <t>연동면</t>
        </is>
      </c>
    </row>
    <row r="4601">
      <c r="A4601" s="3" t="n">
        <v>2023</v>
      </c>
      <c r="B4601" s="4" t="n">
        <v>128000</v>
      </c>
      <c r="C4601" s="4" t="n">
        <v>292</v>
      </c>
      <c r="D4601" s="4" t="n">
        <v>88.33</v>
      </c>
      <c r="E4601" s="5" t="n">
        <v>1449.1</v>
      </c>
      <c r="F4601" s="3" t="inlineStr">
        <is>
          <t>부강면</t>
        </is>
      </c>
      <c r="G4601" s="3" t="inlineStr">
        <is>
          <t>부강리</t>
        </is>
      </c>
      <c r="H4601" s="3" t="inlineStr">
        <is>
          <t>일반상업지역</t>
        </is>
      </c>
      <c r="I4601" s="3" t="inlineStr">
        <is>
          <t>대</t>
        </is>
      </c>
      <c r="J4601" s="3" t="inlineStr">
        <is>
          <t>부강면</t>
        </is>
      </c>
    </row>
    <row r="4602">
      <c r="A4602" s="3" t="n">
        <v>2023</v>
      </c>
      <c r="B4602" s="4" t="n">
        <v>600</v>
      </c>
      <c r="C4602" s="4" t="n">
        <v>20</v>
      </c>
      <c r="D4602" s="4" t="n">
        <v>6.05</v>
      </c>
      <c r="E4602" s="5" t="n">
        <v>99.2</v>
      </c>
      <c r="F4602" s="3" t="inlineStr">
        <is>
          <t>연서면</t>
        </is>
      </c>
      <c r="G4602" s="3" t="inlineStr">
        <is>
          <t>쌍전리</t>
        </is>
      </c>
      <c r="H4602" s="3" t="inlineStr">
        <is>
          <t>자연녹지지역</t>
        </is>
      </c>
      <c r="I4602" s="3" t="inlineStr">
        <is>
          <t>도로</t>
        </is>
      </c>
      <c r="J4602" s="3" t="inlineStr">
        <is>
          <t>연서면</t>
        </is>
      </c>
    </row>
    <row r="4603">
      <c r="A4603" s="3" t="n">
        <v>2023</v>
      </c>
      <c r="B4603" s="4" t="n">
        <v>700</v>
      </c>
      <c r="C4603" s="4" t="n">
        <v>12.8</v>
      </c>
      <c r="D4603" s="4" t="n">
        <v>3.872</v>
      </c>
      <c r="E4603" s="5" t="n">
        <v>180.8</v>
      </c>
      <c r="F4603" s="3" t="inlineStr">
        <is>
          <t>고운동</t>
        </is>
      </c>
      <c r="G4603" s="3" t="inlineStr"/>
      <c r="H4603" s="3" t="inlineStr">
        <is>
          <t>제1종전용주거지역</t>
        </is>
      </c>
      <c r="I4603" s="3" t="inlineStr">
        <is>
          <t>주차장</t>
        </is>
      </c>
      <c r="J4603" s="3" t="inlineStr">
        <is>
          <t>고운동</t>
        </is>
      </c>
    </row>
    <row r="4604">
      <c r="A4604" s="3" t="n">
        <v>2023</v>
      </c>
      <c r="B4604" s="4" t="n">
        <v>300</v>
      </c>
      <c r="C4604" s="4" t="n">
        <v>20</v>
      </c>
      <c r="D4604" s="4" t="n">
        <v>6.05</v>
      </c>
      <c r="E4604" s="5" t="n">
        <v>49.6</v>
      </c>
      <c r="F4604" s="3" t="inlineStr">
        <is>
          <t>연서면</t>
        </is>
      </c>
      <c r="G4604" s="3" t="inlineStr">
        <is>
          <t>쌍전리</t>
        </is>
      </c>
      <c r="H4604" s="3" t="inlineStr">
        <is>
          <t>자연녹지지역</t>
        </is>
      </c>
      <c r="I4604" s="3" t="inlineStr">
        <is>
          <t>임야</t>
        </is>
      </c>
      <c r="J4604" s="3" t="inlineStr">
        <is>
          <t>연서면</t>
        </is>
      </c>
    </row>
    <row r="4605">
      <c r="A4605" s="3" t="n">
        <v>2022</v>
      </c>
      <c r="B4605" s="4" t="n">
        <v>12000</v>
      </c>
      <c r="C4605" s="4" t="n">
        <v>568</v>
      </c>
      <c r="D4605" s="4" t="n">
        <v>171.82</v>
      </c>
      <c r="E4605" s="5" t="n">
        <v>69.8</v>
      </c>
      <c r="F4605" s="3" t="inlineStr">
        <is>
          <t>강내면</t>
        </is>
      </c>
      <c r="G4605" s="3" t="inlineStr">
        <is>
          <t>학천리</t>
        </is>
      </c>
      <c r="H4605" s="3" t="inlineStr">
        <is>
          <t>생산녹지지역</t>
        </is>
      </c>
      <c r="I4605" s="3" t="inlineStr">
        <is>
          <t>전</t>
        </is>
      </c>
      <c r="J4605" s="3" t="inlineStr">
        <is>
          <t>강내면</t>
        </is>
      </c>
    </row>
    <row r="4606">
      <c r="A4606" s="3" t="n">
        <v>2024</v>
      </c>
      <c r="B4606" s="4" t="n">
        <v>3048</v>
      </c>
      <c r="C4606" s="4" t="n">
        <v>76</v>
      </c>
      <c r="D4606" s="4" t="n">
        <v>22.99</v>
      </c>
      <c r="E4606" s="5" t="n">
        <v>132.6</v>
      </c>
      <c r="F4606" s="3" t="inlineStr">
        <is>
          <t>강내면</t>
        </is>
      </c>
      <c r="G4606" s="3" t="inlineStr">
        <is>
          <t>다락리</t>
        </is>
      </c>
      <c r="H4606" s="3" t="inlineStr">
        <is>
          <t>계획관리지역</t>
        </is>
      </c>
      <c r="I4606" s="3" t="inlineStr">
        <is>
          <t>대</t>
        </is>
      </c>
      <c r="J4606" s="3" t="inlineStr">
        <is>
          <t>강내면</t>
        </is>
      </c>
    </row>
    <row r="4607">
      <c r="A4607" s="3" t="n">
        <v>2024</v>
      </c>
      <c r="B4607" s="4" t="n">
        <v>36000</v>
      </c>
      <c r="C4607" s="4" t="n">
        <v>1489</v>
      </c>
      <c r="D4607" s="4" t="n">
        <v>450.4225</v>
      </c>
      <c r="E4607" s="5" t="n">
        <v>79.90000000000001</v>
      </c>
      <c r="F4607" s="3" t="inlineStr">
        <is>
          <t>오송읍</t>
        </is>
      </c>
      <c r="G4607" s="3" t="inlineStr">
        <is>
          <t>호계리</t>
        </is>
      </c>
      <c r="H4607" s="3" t="inlineStr">
        <is>
          <t>농림지역</t>
        </is>
      </c>
      <c r="I4607" s="3" t="inlineStr">
        <is>
          <t>답</t>
        </is>
      </c>
      <c r="J4607" s="3" t="inlineStr">
        <is>
          <t>오송읍</t>
        </is>
      </c>
    </row>
    <row r="4608">
      <c r="A4608" s="3" t="n">
        <v>2024</v>
      </c>
      <c r="B4608" s="4" t="n">
        <v>20000</v>
      </c>
      <c r="C4608" s="4" t="n">
        <v>1578</v>
      </c>
      <c r="D4608" s="4" t="n">
        <v>477.345</v>
      </c>
      <c r="E4608" s="5" t="n">
        <v>41.9</v>
      </c>
      <c r="F4608" s="3" t="inlineStr">
        <is>
          <t>오송읍</t>
        </is>
      </c>
      <c r="G4608" s="3" t="inlineStr">
        <is>
          <t>상봉리</t>
        </is>
      </c>
      <c r="H4608" s="3" t="inlineStr">
        <is>
          <t>농림지역</t>
        </is>
      </c>
      <c r="I4608" s="3" t="inlineStr">
        <is>
          <t>답</t>
        </is>
      </c>
      <c r="J4608" s="3" t="inlineStr">
        <is>
          <t>오송읍</t>
        </is>
      </c>
    </row>
    <row r="4609">
      <c r="A4609" s="3" t="n">
        <v>2024</v>
      </c>
      <c r="B4609" s="4" t="n">
        <v>23000</v>
      </c>
      <c r="C4609" s="4" t="n">
        <v>493</v>
      </c>
      <c r="D4609" s="4" t="n">
        <v>149.1325</v>
      </c>
      <c r="E4609" s="5" t="n">
        <v>154.2</v>
      </c>
      <c r="F4609" s="3" t="inlineStr">
        <is>
          <t>오송읍</t>
        </is>
      </c>
      <c r="G4609" s="3" t="inlineStr">
        <is>
          <t>궁평리</t>
        </is>
      </c>
      <c r="H4609" s="3" t="inlineStr">
        <is>
          <t>농림지역</t>
        </is>
      </c>
      <c r="I4609" s="3" t="inlineStr">
        <is>
          <t>대</t>
        </is>
      </c>
      <c r="J4609" s="3" t="inlineStr">
        <is>
          <t>오송읍</t>
        </is>
      </c>
    </row>
    <row r="4610">
      <c r="A4610" s="3" t="n">
        <v>2024</v>
      </c>
      <c r="B4610" s="4" t="n">
        <v>2850</v>
      </c>
      <c r="C4610" s="4" t="n">
        <v>94</v>
      </c>
      <c r="D4610" s="4" t="n">
        <v>28.435</v>
      </c>
      <c r="E4610" s="5" t="n">
        <v>100.2</v>
      </c>
      <c r="F4610" s="3" t="inlineStr">
        <is>
          <t>강내면</t>
        </is>
      </c>
      <c r="G4610" s="3" t="inlineStr">
        <is>
          <t>산단리</t>
        </is>
      </c>
      <c r="H4610" s="3" t="inlineStr">
        <is>
          <t>기타</t>
        </is>
      </c>
      <c r="I4610" s="3" t="inlineStr">
        <is>
          <t>답</t>
        </is>
      </c>
      <c r="J4610" s="3" t="inlineStr">
        <is>
          <t>강내면</t>
        </is>
      </c>
    </row>
    <row r="4611">
      <c r="A4611" s="3" t="n">
        <v>2024</v>
      </c>
      <c r="B4611" s="4" t="n">
        <v>39930</v>
      </c>
      <c r="C4611" s="4" t="n">
        <v>660</v>
      </c>
      <c r="D4611" s="4" t="n">
        <v>199.65</v>
      </c>
      <c r="E4611" s="5" t="n">
        <v>200</v>
      </c>
      <c r="F4611" s="3" t="inlineStr">
        <is>
          <t>오송읍</t>
        </is>
      </c>
      <c r="G4611" s="3" t="inlineStr">
        <is>
          <t>궁평리</t>
        </is>
      </c>
      <c r="H4611" s="3" t="inlineStr">
        <is>
          <t>농림지역</t>
        </is>
      </c>
      <c r="I4611" s="3" t="inlineStr">
        <is>
          <t>답</t>
        </is>
      </c>
      <c r="J4611" s="3" t="inlineStr">
        <is>
          <t>오송읍</t>
        </is>
      </c>
    </row>
    <row r="4612">
      <c r="A4612" s="3" t="n">
        <v>2024</v>
      </c>
      <c r="B4612" s="4" t="n">
        <v>8712</v>
      </c>
      <c r="C4612" s="4" t="n">
        <v>144</v>
      </c>
      <c r="D4612" s="4" t="n">
        <v>43.56</v>
      </c>
      <c r="E4612" s="5" t="n">
        <v>200</v>
      </c>
      <c r="F4612" s="3" t="inlineStr">
        <is>
          <t>오송읍</t>
        </is>
      </c>
      <c r="G4612" s="3" t="inlineStr">
        <is>
          <t>궁평리</t>
        </is>
      </c>
      <c r="H4612" s="3" t="inlineStr">
        <is>
          <t>농림지역</t>
        </is>
      </c>
      <c r="I4612" s="3" t="inlineStr">
        <is>
          <t>답</t>
        </is>
      </c>
      <c r="J4612" s="3" t="inlineStr">
        <is>
          <t>오송읍</t>
        </is>
      </c>
    </row>
    <row r="4613">
      <c r="A4613" s="3" t="n">
        <v>2024</v>
      </c>
      <c r="B4613" s="4" t="n">
        <v>24321</v>
      </c>
      <c r="C4613" s="4" t="n">
        <v>402</v>
      </c>
      <c r="D4613" s="4" t="n">
        <v>121.605</v>
      </c>
      <c r="E4613" s="5" t="n">
        <v>200</v>
      </c>
      <c r="F4613" s="3" t="inlineStr">
        <is>
          <t>오송읍</t>
        </is>
      </c>
      <c r="G4613" s="3" t="inlineStr">
        <is>
          <t>궁평리</t>
        </is>
      </c>
      <c r="H4613" s="3" t="inlineStr">
        <is>
          <t>농림지역</t>
        </is>
      </c>
      <c r="I4613" s="3" t="inlineStr">
        <is>
          <t>답</t>
        </is>
      </c>
      <c r="J4613" s="3" t="inlineStr">
        <is>
          <t>오송읍</t>
        </is>
      </c>
    </row>
    <row r="4614">
      <c r="A4614" s="3" t="n">
        <v>2024</v>
      </c>
      <c r="B4614" s="4" t="n">
        <v>9800</v>
      </c>
      <c r="C4614" s="4" t="n">
        <v>429</v>
      </c>
      <c r="D4614" s="4" t="n">
        <v>129.7725</v>
      </c>
      <c r="E4614" s="5" t="n">
        <v>75.5</v>
      </c>
      <c r="F4614" s="3" t="inlineStr">
        <is>
          <t>오송읍</t>
        </is>
      </c>
      <c r="G4614" s="3" t="inlineStr">
        <is>
          <t>상정리</t>
        </is>
      </c>
      <c r="H4614" s="3" t="inlineStr">
        <is>
          <t>농림지역</t>
        </is>
      </c>
      <c r="I4614" s="3" t="inlineStr">
        <is>
          <t>답</t>
        </is>
      </c>
      <c r="J4614" s="3" t="inlineStr">
        <is>
          <t>오송읍</t>
        </is>
      </c>
    </row>
    <row r="4615">
      <c r="A4615" s="3" t="n">
        <v>2024</v>
      </c>
      <c r="B4615" s="4" t="n">
        <v>20000</v>
      </c>
      <c r="C4615" s="4" t="n">
        <v>2688</v>
      </c>
      <c r="D4615" s="4" t="n">
        <v>813.12</v>
      </c>
      <c r="E4615" s="5" t="n">
        <v>24.6</v>
      </c>
      <c r="F4615" s="3" t="inlineStr">
        <is>
          <t>강내면</t>
        </is>
      </c>
      <c r="G4615" s="3" t="inlineStr">
        <is>
          <t>학천리</t>
        </is>
      </c>
      <c r="H4615" s="3" t="inlineStr">
        <is>
          <t>자연녹지지역</t>
        </is>
      </c>
      <c r="I4615" s="3" t="inlineStr">
        <is>
          <t>답</t>
        </is>
      </c>
      <c r="J4615" s="3" t="inlineStr">
        <is>
          <t>강내면</t>
        </is>
      </c>
    </row>
    <row r="4616">
      <c r="A4616" s="3" t="n">
        <v>2024</v>
      </c>
      <c r="B4616" s="4" t="n">
        <v>32000</v>
      </c>
      <c r="C4616" s="4" t="n">
        <v>234.7</v>
      </c>
      <c r="D4616" s="4" t="n">
        <v>70.99674999999999</v>
      </c>
      <c r="E4616" s="5" t="n">
        <v>450.7</v>
      </c>
      <c r="F4616" s="3" t="inlineStr">
        <is>
          <t>오송읍</t>
        </is>
      </c>
      <c r="G4616" s="3" t="inlineStr">
        <is>
          <t>봉산리</t>
        </is>
      </c>
      <c r="H4616" s="3" t="inlineStr">
        <is>
          <t>제1종일반주거지역</t>
        </is>
      </c>
      <c r="I4616" s="3" t="inlineStr">
        <is>
          <t>대</t>
        </is>
      </c>
      <c r="J4616" s="3" t="inlineStr">
        <is>
          <t>오송읍</t>
        </is>
      </c>
    </row>
    <row r="4617">
      <c r="A4617" s="3" t="n">
        <v>2024</v>
      </c>
      <c r="B4617" s="4" t="n">
        <v>210300</v>
      </c>
      <c r="C4617" s="4" t="n">
        <v>3717</v>
      </c>
      <c r="D4617" s="4" t="n">
        <v>1124.3925</v>
      </c>
      <c r="E4617" s="5" t="n">
        <v>187</v>
      </c>
      <c r="F4617" s="3" t="inlineStr">
        <is>
          <t>오송읍</t>
        </is>
      </c>
      <c r="G4617" s="3" t="inlineStr">
        <is>
          <t>궁평리</t>
        </is>
      </c>
      <c r="H4617" s="3" t="inlineStr">
        <is>
          <t>농림지역</t>
        </is>
      </c>
      <c r="I4617" s="3" t="inlineStr">
        <is>
          <t>답</t>
        </is>
      </c>
      <c r="J4617" s="3" t="inlineStr">
        <is>
          <t>오송읍</t>
        </is>
      </c>
    </row>
    <row r="4618">
      <c r="A4618" s="3" t="n">
        <v>2024</v>
      </c>
      <c r="B4618" s="4" t="n">
        <v>8000</v>
      </c>
      <c r="C4618" s="4" t="n">
        <v>177</v>
      </c>
      <c r="D4618" s="4" t="n">
        <v>53.5425</v>
      </c>
      <c r="E4618" s="5" t="n">
        <v>149.4</v>
      </c>
      <c r="F4618" s="3" t="inlineStr">
        <is>
          <t>오송읍</t>
        </is>
      </c>
      <c r="G4618" s="3" t="inlineStr">
        <is>
          <t>궁평리</t>
        </is>
      </c>
      <c r="H4618" s="3" t="inlineStr">
        <is>
          <t>농림지역</t>
        </is>
      </c>
      <c r="I4618" s="3" t="inlineStr">
        <is>
          <t>도로</t>
        </is>
      </c>
      <c r="J4618" s="3" t="inlineStr">
        <is>
          <t>오송읍</t>
        </is>
      </c>
    </row>
    <row r="4619">
      <c r="A4619" s="3" t="n">
        <v>2024</v>
      </c>
      <c r="B4619" s="4" t="n">
        <v>3474</v>
      </c>
      <c r="C4619" s="4" t="n">
        <v>172</v>
      </c>
      <c r="D4619" s="4" t="n">
        <v>52.03</v>
      </c>
      <c r="E4619" s="5" t="n">
        <v>66.8</v>
      </c>
      <c r="F4619" s="3" t="inlineStr">
        <is>
          <t>강내면</t>
        </is>
      </c>
      <c r="G4619" s="3" t="inlineStr">
        <is>
          <t>다락리</t>
        </is>
      </c>
      <c r="H4619" s="3" t="inlineStr">
        <is>
          <t>자연녹지지역</t>
        </is>
      </c>
      <c r="I4619" s="3" t="inlineStr">
        <is>
          <t>답</t>
        </is>
      </c>
      <c r="J4619" s="3" t="inlineStr">
        <is>
          <t>강내면</t>
        </is>
      </c>
    </row>
    <row r="4620">
      <c r="A4620" s="3" t="n">
        <v>2024</v>
      </c>
      <c r="B4620" s="4" t="n">
        <v>50000</v>
      </c>
      <c r="C4620" s="4" t="n">
        <v>247.2</v>
      </c>
      <c r="D4620" s="4" t="n">
        <v>74.77799999999999</v>
      </c>
      <c r="E4620" s="5" t="n">
        <v>668.6</v>
      </c>
      <c r="F4620" s="3" t="inlineStr">
        <is>
          <t>오송읍</t>
        </is>
      </c>
      <c r="G4620" s="3" t="inlineStr">
        <is>
          <t>봉산리</t>
        </is>
      </c>
      <c r="H4620" s="3" t="inlineStr">
        <is>
          <t>제1종일반주거지역</t>
        </is>
      </c>
      <c r="I4620" s="3" t="inlineStr">
        <is>
          <t>대</t>
        </is>
      </c>
      <c r="J4620" s="3" t="inlineStr">
        <is>
          <t>오송읍</t>
        </is>
      </c>
    </row>
    <row r="4621">
      <c r="A4621" s="3" t="n">
        <v>2024</v>
      </c>
      <c r="B4621" s="4" t="n">
        <v>1266</v>
      </c>
      <c r="C4621" s="4" t="n">
        <v>16</v>
      </c>
      <c r="D4621" s="4" t="n">
        <v>4.84</v>
      </c>
      <c r="E4621" s="5" t="n">
        <v>261.6</v>
      </c>
      <c r="F4621" s="3" t="inlineStr">
        <is>
          <t>오송읍</t>
        </is>
      </c>
      <c r="G4621" s="3" t="inlineStr">
        <is>
          <t>오송리</t>
        </is>
      </c>
      <c r="H4621" s="3" t="inlineStr">
        <is>
          <t>계획관리지역</t>
        </is>
      </c>
      <c r="I4621" s="3" t="inlineStr">
        <is>
          <t>잡종지</t>
        </is>
      </c>
      <c r="J4621" s="3" t="inlineStr">
        <is>
          <t>오송읍</t>
        </is>
      </c>
    </row>
    <row r="4622">
      <c r="A4622" s="3" t="n">
        <v>2024</v>
      </c>
      <c r="B4622" s="4" t="n">
        <v>23150</v>
      </c>
      <c r="C4622" s="4" t="n">
        <v>439</v>
      </c>
      <c r="D4622" s="4" t="n">
        <v>132.7975</v>
      </c>
      <c r="E4622" s="5" t="n">
        <v>174.3</v>
      </c>
      <c r="F4622" s="3" t="inlineStr">
        <is>
          <t>오송읍</t>
        </is>
      </c>
      <c r="G4622" s="3" t="inlineStr">
        <is>
          <t>궁평리</t>
        </is>
      </c>
      <c r="H4622" s="3" t="inlineStr">
        <is>
          <t>농림지역</t>
        </is>
      </c>
      <c r="I4622" s="3" t="inlineStr">
        <is>
          <t>창고용지</t>
        </is>
      </c>
      <c r="J4622" s="3" t="inlineStr">
        <is>
          <t>오송읍</t>
        </is>
      </c>
    </row>
    <row r="4623">
      <c r="A4623" s="3" t="n">
        <v>2024</v>
      </c>
      <c r="B4623" s="4" t="n">
        <v>22250</v>
      </c>
      <c r="C4623" s="4" t="n">
        <v>439</v>
      </c>
      <c r="D4623" s="4" t="n">
        <v>132.7975</v>
      </c>
      <c r="E4623" s="5" t="n">
        <v>167.5</v>
      </c>
      <c r="F4623" s="3" t="inlineStr">
        <is>
          <t>오송읍</t>
        </is>
      </c>
      <c r="G4623" s="3" t="inlineStr">
        <is>
          <t>궁평리</t>
        </is>
      </c>
      <c r="H4623" s="3" t="inlineStr">
        <is>
          <t>농림지역</t>
        </is>
      </c>
      <c r="I4623" s="3" t="inlineStr">
        <is>
          <t>창고용지</t>
        </is>
      </c>
      <c r="J4623" s="3" t="inlineStr">
        <is>
          <t>오송읍</t>
        </is>
      </c>
    </row>
    <row r="4624">
      <c r="A4624" s="3" t="n">
        <v>2024</v>
      </c>
      <c r="B4624" s="4" t="n">
        <v>4969</v>
      </c>
      <c r="C4624" s="4" t="n">
        <v>251</v>
      </c>
      <c r="D4624" s="4" t="n">
        <v>75.92749999999999</v>
      </c>
      <c r="E4624" s="5" t="n">
        <v>65.40000000000001</v>
      </c>
      <c r="F4624" s="3" t="inlineStr">
        <is>
          <t>강내면</t>
        </is>
      </c>
      <c r="G4624" s="3" t="inlineStr">
        <is>
          <t>당곡리</t>
        </is>
      </c>
      <c r="H4624" s="3" t="inlineStr">
        <is>
          <t>계획관리지역</t>
        </is>
      </c>
      <c r="I4624" s="3" t="inlineStr">
        <is>
          <t>전</t>
        </is>
      </c>
      <c r="J4624" s="3" t="inlineStr">
        <is>
          <t>강내면</t>
        </is>
      </c>
    </row>
    <row r="4625">
      <c r="A4625" s="3" t="n">
        <v>2022</v>
      </c>
      <c r="B4625" s="4" t="n">
        <v>360</v>
      </c>
      <c r="C4625" s="4" t="n">
        <v>17</v>
      </c>
      <c r="D4625" s="4" t="n">
        <v>5.1425</v>
      </c>
      <c r="E4625" s="5" t="n">
        <v>70</v>
      </c>
      <c r="F4625" s="3" t="inlineStr">
        <is>
          <t>강내면</t>
        </is>
      </c>
      <c r="G4625" s="3" t="inlineStr">
        <is>
          <t>다락리</t>
        </is>
      </c>
      <c r="H4625" s="3" t="inlineStr">
        <is>
          <t>계획관리지역</t>
        </is>
      </c>
      <c r="I4625" s="3" t="inlineStr">
        <is>
          <t>대</t>
        </is>
      </c>
      <c r="J4625" s="3" t="inlineStr">
        <is>
          <t>강내면</t>
        </is>
      </c>
    </row>
    <row r="4626">
      <c r="A4626" s="3" t="n">
        <v>2022</v>
      </c>
      <c r="B4626" s="4" t="n">
        <v>12300</v>
      </c>
      <c r="C4626" s="4" t="n">
        <v>1597</v>
      </c>
      <c r="D4626" s="4" t="n">
        <v>483.0925</v>
      </c>
      <c r="E4626" s="5" t="n">
        <v>25.5</v>
      </c>
      <c r="F4626" s="3" t="inlineStr">
        <is>
          <t>강내면</t>
        </is>
      </c>
      <c r="G4626" s="3" t="inlineStr">
        <is>
          <t>황탄리</t>
        </is>
      </c>
      <c r="H4626" s="3" t="inlineStr">
        <is>
          <t>농림지역</t>
        </is>
      </c>
      <c r="I4626" s="3" t="inlineStr">
        <is>
          <t>답</t>
        </is>
      </c>
      <c r="J4626" s="3" t="inlineStr">
        <is>
          <t>강내면</t>
        </is>
      </c>
    </row>
    <row r="4627">
      <c r="A4627" s="3" t="n">
        <v>2022</v>
      </c>
      <c r="B4627" s="4" t="n">
        <v>4700</v>
      </c>
      <c r="C4627" s="4" t="n">
        <v>605</v>
      </c>
      <c r="D4627" s="4" t="n">
        <v>183.0125</v>
      </c>
      <c r="E4627" s="5" t="n">
        <v>25.7</v>
      </c>
      <c r="F4627" s="3" t="inlineStr">
        <is>
          <t>강내면</t>
        </is>
      </c>
      <c r="G4627" s="3" t="inlineStr">
        <is>
          <t>황탄리</t>
        </is>
      </c>
      <c r="H4627" s="3" t="inlineStr">
        <is>
          <t>농림지역</t>
        </is>
      </c>
      <c r="I4627" s="3" t="inlineStr">
        <is>
          <t>전</t>
        </is>
      </c>
      <c r="J4627" s="3" t="inlineStr">
        <is>
          <t>강내면</t>
        </is>
      </c>
    </row>
    <row r="4628">
      <c r="A4628" s="3" t="n">
        <v>2022</v>
      </c>
      <c r="B4628" s="4" t="n">
        <v>150</v>
      </c>
      <c r="C4628" s="4" t="n">
        <v>7</v>
      </c>
      <c r="D4628" s="4" t="n">
        <v>2.1175</v>
      </c>
      <c r="E4628" s="5" t="n">
        <v>70.8</v>
      </c>
      <c r="F4628" s="3" t="inlineStr">
        <is>
          <t>강내면</t>
        </is>
      </c>
      <c r="G4628" s="3" t="inlineStr">
        <is>
          <t>다락리</t>
        </is>
      </c>
      <c r="H4628" s="3" t="inlineStr">
        <is>
          <t>-</t>
        </is>
      </c>
      <c r="I4628" s="3" t="inlineStr">
        <is>
          <t>대</t>
        </is>
      </c>
      <c r="J4628" s="3" t="inlineStr">
        <is>
          <t>강내면</t>
        </is>
      </c>
    </row>
    <row r="4629">
      <c r="A4629" s="3" t="n">
        <v>2022</v>
      </c>
      <c r="B4629" s="4" t="n">
        <v>210</v>
      </c>
      <c r="C4629" s="4" t="n">
        <v>10</v>
      </c>
      <c r="D4629" s="4" t="n">
        <v>3.025</v>
      </c>
      <c r="E4629" s="5" t="n">
        <v>69.40000000000001</v>
      </c>
      <c r="F4629" s="3" t="inlineStr">
        <is>
          <t>강내면</t>
        </is>
      </c>
      <c r="G4629" s="3" t="inlineStr">
        <is>
          <t>다락리</t>
        </is>
      </c>
      <c r="H4629" s="3" t="inlineStr">
        <is>
          <t>-</t>
        </is>
      </c>
      <c r="I4629" s="3" t="inlineStr">
        <is>
          <t>대</t>
        </is>
      </c>
      <c r="J4629" s="3" t="inlineStr">
        <is>
          <t>강내면</t>
        </is>
      </c>
    </row>
    <row r="4630">
      <c r="A4630" s="3" t="n">
        <v>2022</v>
      </c>
      <c r="B4630" s="4" t="n">
        <v>1700</v>
      </c>
      <c r="C4630" s="4" t="n">
        <v>132</v>
      </c>
      <c r="D4630" s="4" t="n">
        <v>39.93</v>
      </c>
      <c r="E4630" s="5" t="n">
        <v>42.6</v>
      </c>
      <c r="F4630" s="3" t="inlineStr">
        <is>
          <t>오송읍</t>
        </is>
      </c>
      <c r="G4630" s="3" t="inlineStr">
        <is>
          <t>연제리</t>
        </is>
      </c>
      <c r="H4630" s="3" t="inlineStr">
        <is>
          <t>계획관리지역</t>
        </is>
      </c>
      <c r="I4630" s="3" t="inlineStr">
        <is>
          <t>임야</t>
        </is>
      </c>
      <c r="J4630" s="3" t="inlineStr">
        <is>
          <t>오송읍</t>
        </is>
      </c>
    </row>
    <row r="4631">
      <c r="A4631" s="3" t="n">
        <v>2022</v>
      </c>
      <c r="B4631" s="4" t="n">
        <v>76000</v>
      </c>
      <c r="C4631" s="4" t="n">
        <v>2638</v>
      </c>
      <c r="D4631" s="4" t="n">
        <v>797.995</v>
      </c>
      <c r="E4631" s="5" t="n">
        <v>95.2</v>
      </c>
      <c r="F4631" s="3" t="inlineStr">
        <is>
          <t>강내면</t>
        </is>
      </c>
      <c r="G4631" s="3" t="inlineStr">
        <is>
          <t>석화리</t>
        </is>
      </c>
      <c r="H4631" s="3" t="inlineStr">
        <is>
          <t>생산녹지지역</t>
        </is>
      </c>
      <c r="I4631" s="3" t="inlineStr">
        <is>
          <t>답</t>
        </is>
      </c>
      <c r="J4631" s="3" t="inlineStr">
        <is>
          <t>강내면</t>
        </is>
      </c>
    </row>
    <row r="4632">
      <c r="A4632" s="3" t="n">
        <v>2022</v>
      </c>
      <c r="B4632" s="4" t="n">
        <v>18000</v>
      </c>
      <c r="C4632" s="4" t="n">
        <v>407</v>
      </c>
      <c r="D4632" s="4" t="n">
        <v>123.1175</v>
      </c>
      <c r="E4632" s="5" t="n">
        <v>146.2</v>
      </c>
      <c r="F4632" s="3" t="inlineStr">
        <is>
          <t>강내면</t>
        </is>
      </c>
      <c r="G4632" s="3" t="inlineStr">
        <is>
          <t>사인리</t>
        </is>
      </c>
      <c r="H4632" s="3" t="inlineStr">
        <is>
          <t>자연녹지지역</t>
        </is>
      </c>
      <c r="I4632" s="3" t="inlineStr">
        <is>
          <t>임야</t>
        </is>
      </c>
      <c r="J4632" s="3" t="inlineStr">
        <is>
          <t>강내면</t>
        </is>
      </c>
    </row>
    <row r="4633">
      <c r="A4633" s="3" t="n">
        <v>2022</v>
      </c>
      <c r="B4633" s="4" t="n">
        <v>6012</v>
      </c>
      <c r="C4633" s="4" t="n">
        <v>755</v>
      </c>
      <c r="D4633" s="4" t="n">
        <v>228.3875</v>
      </c>
      <c r="E4633" s="5" t="n">
        <v>26.3</v>
      </c>
      <c r="F4633" s="3" t="inlineStr">
        <is>
          <t>강내면</t>
        </is>
      </c>
      <c r="G4633" s="3" t="inlineStr">
        <is>
          <t>태성리</t>
        </is>
      </c>
      <c r="H4633" s="3" t="inlineStr">
        <is>
          <t>계획관리지역</t>
        </is>
      </c>
      <c r="I4633" s="3" t="inlineStr">
        <is>
          <t>임야</t>
        </is>
      </c>
      <c r="J4633" s="3" t="inlineStr">
        <is>
          <t>강내면</t>
        </is>
      </c>
    </row>
    <row r="4634">
      <c r="A4634" s="3" t="n">
        <v>2022</v>
      </c>
      <c r="B4634" s="4" t="n">
        <v>14147</v>
      </c>
      <c r="C4634" s="4" t="n">
        <v>177</v>
      </c>
      <c r="D4634" s="4" t="n">
        <v>53.5425</v>
      </c>
      <c r="E4634" s="5" t="n">
        <v>264.2</v>
      </c>
      <c r="F4634" s="3" t="inlineStr">
        <is>
          <t>강내면</t>
        </is>
      </c>
      <c r="G4634" s="3" t="inlineStr">
        <is>
          <t>월곡리</t>
        </is>
      </c>
      <c r="H4634" s="3" t="inlineStr">
        <is>
          <t>제2종일반주거지역</t>
        </is>
      </c>
      <c r="I4634" s="3" t="inlineStr">
        <is>
          <t>답</t>
        </is>
      </c>
      <c r="J4634" s="3" t="inlineStr">
        <is>
          <t>강내면</t>
        </is>
      </c>
    </row>
    <row r="4635">
      <c r="A4635" s="3" t="n">
        <v>2022</v>
      </c>
      <c r="B4635" s="4" t="n">
        <v>10231</v>
      </c>
      <c r="C4635" s="4" t="n">
        <v>128</v>
      </c>
      <c r="D4635" s="4" t="n">
        <v>38.72</v>
      </c>
      <c r="E4635" s="5" t="n">
        <v>264.2</v>
      </c>
      <c r="F4635" s="3" t="inlineStr">
        <is>
          <t>강내면</t>
        </is>
      </c>
      <c r="G4635" s="3" t="inlineStr">
        <is>
          <t>월곡리</t>
        </is>
      </c>
      <c r="H4635" s="3" t="inlineStr">
        <is>
          <t>제2종일반주거지역</t>
        </is>
      </c>
      <c r="I4635" s="3" t="inlineStr">
        <is>
          <t>답</t>
        </is>
      </c>
      <c r="J4635" s="3" t="inlineStr">
        <is>
          <t>강내면</t>
        </is>
      </c>
    </row>
    <row r="4636">
      <c r="A4636" s="3" t="n">
        <v>2022</v>
      </c>
      <c r="B4636" s="4" t="n">
        <v>3436</v>
      </c>
      <c r="C4636" s="4" t="n">
        <v>43</v>
      </c>
      <c r="D4636" s="4" t="n">
        <v>13.0075</v>
      </c>
      <c r="E4636" s="5" t="n">
        <v>264.2</v>
      </c>
      <c r="F4636" s="3" t="inlineStr">
        <is>
          <t>강내면</t>
        </is>
      </c>
      <c r="G4636" s="3" t="inlineStr">
        <is>
          <t>월곡리</t>
        </is>
      </c>
      <c r="H4636" s="3" t="inlineStr">
        <is>
          <t>제2종일반주거지역</t>
        </is>
      </c>
      <c r="I4636" s="3" t="inlineStr">
        <is>
          <t>전</t>
        </is>
      </c>
      <c r="J4636" s="3" t="inlineStr">
        <is>
          <t>강내면</t>
        </is>
      </c>
    </row>
    <row r="4637">
      <c r="A4637" s="3" t="n">
        <v>2022</v>
      </c>
      <c r="B4637" s="4" t="n">
        <v>100569</v>
      </c>
      <c r="C4637" s="4" t="n">
        <v>4821.6</v>
      </c>
      <c r="D4637" s="4" t="n">
        <v>1458.534</v>
      </c>
      <c r="E4637" s="5" t="n">
        <v>69</v>
      </c>
      <c r="F4637" s="3" t="inlineStr">
        <is>
          <t>오송읍</t>
        </is>
      </c>
      <c r="G4637" s="3" t="inlineStr">
        <is>
          <t>연제리</t>
        </is>
      </c>
      <c r="H4637" s="3" t="inlineStr">
        <is>
          <t>준공업지역</t>
        </is>
      </c>
      <c r="I4637" s="3" t="inlineStr">
        <is>
          <t>대</t>
        </is>
      </c>
      <c r="J4637" s="3" t="inlineStr">
        <is>
          <t>오송읍</t>
        </is>
      </c>
    </row>
    <row r="4638">
      <c r="A4638" s="3" t="n">
        <v>2024</v>
      </c>
      <c r="B4638" s="4" t="n">
        <v>5800</v>
      </c>
      <c r="C4638" s="4" t="n">
        <v>293</v>
      </c>
      <c r="D4638" s="4" t="n">
        <v>88.63249999999999</v>
      </c>
      <c r="E4638" s="5" t="n">
        <v>65.40000000000001</v>
      </c>
      <c r="F4638" s="3" t="inlineStr">
        <is>
          <t>강내면</t>
        </is>
      </c>
      <c r="G4638" s="3" t="inlineStr">
        <is>
          <t>당곡리</t>
        </is>
      </c>
      <c r="H4638" s="3" t="inlineStr">
        <is>
          <t>계획관리지역</t>
        </is>
      </c>
      <c r="I4638" s="3" t="inlineStr">
        <is>
          <t>임야</t>
        </is>
      </c>
      <c r="J4638" s="3" t="inlineStr">
        <is>
          <t>강내면</t>
        </is>
      </c>
    </row>
    <row r="4639">
      <c r="A4639" s="3" t="n">
        <v>2024</v>
      </c>
      <c r="B4639" s="4" t="n">
        <v>145000</v>
      </c>
      <c r="C4639" s="4" t="n">
        <v>456.3</v>
      </c>
      <c r="D4639" s="4" t="n">
        <v>138.03075</v>
      </c>
      <c r="E4639" s="5" t="n">
        <v>1050.5</v>
      </c>
      <c r="F4639" s="3" t="inlineStr">
        <is>
          <t>오송읍</t>
        </is>
      </c>
      <c r="G4639" s="3" t="inlineStr">
        <is>
          <t>봉산리</t>
        </is>
      </c>
      <c r="H4639" s="3" t="inlineStr">
        <is>
          <t>준주거지역</t>
        </is>
      </c>
      <c r="I4639" s="3" t="inlineStr">
        <is>
          <t>대</t>
        </is>
      </c>
      <c r="J4639" s="3" t="inlineStr">
        <is>
          <t>오송읍</t>
        </is>
      </c>
    </row>
    <row r="4640">
      <c r="A4640" s="3" t="n">
        <v>2024</v>
      </c>
      <c r="B4640" s="4" t="n">
        <v>19288</v>
      </c>
      <c r="C4640" s="4" t="n">
        <v>419</v>
      </c>
      <c r="D4640" s="4" t="n">
        <v>126.7475</v>
      </c>
      <c r="E4640" s="5" t="n">
        <v>152.2</v>
      </c>
      <c r="F4640" s="3" t="inlineStr">
        <is>
          <t>오송읍</t>
        </is>
      </c>
      <c r="G4640" s="3" t="inlineStr">
        <is>
          <t>공북리</t>
        </is>
      </c>
      <c r="H4640" s="3" t="inlineStr">
        <is>
          <t>계획관리지역</t>
        </is>
      </c>
      <c r="I4640" s="3" t="inlineStr">
        <is>
          <t>답</t>
        </is>
      </c>
      <c r="J4640" s="3" t="inlineStr">
        <is>
          <t>오송읍</t>
        </is>
      </c>
    </row>
    <row r="4641">
      <c r="A4641" s="3" t="n">
        <v>2024</v>
      </c>
      <c r="B4641" s="4" t="n">
        <v>19000</v>
      </c>
      <c r="C4641" s="4" t="n">
        <v>595</v>
      </c>
      <c r="D4641" s="4" t="n">
        <v>179.9875</v>
      </c>
      <c r="E4641" s="5" t="n">
        <v>105.6</v>
      </c>
      <c r="F4641" s="3" t="inlineStr">
        <is>
          <t>강내면</t>
        </is>
      </c>
      <c r="G4641" s="3" t="inlineStr">
        <is>
          <t>석화리</t>
        </is>
      </c>
      <c r="H4641" s="3" t="inlineStr">
        <is>
          <t>자연녹지지역</t>
        </is>
      </c>
      <c r="I4641" s="3" t="inlineStr">
        <is>
          <t>전</t>
        </is>
      </c>
      <c r="J4641" s="3" t="inlineStr">
        <is>
          <t>강내면</t>
        </is>
      </c>
    </row>
    <row r="4642">
      <c r="A4642" s="3" t="n">
        <v>2024</v>
      </c>
      <c r="B4642" s="4" t="n">
        <v>10872</v>
      </c>
      <c r="C4642" s="4" t="n">
        <v>1894</v>
      </c>
      <c r="D4642" s="4" t="n">
        <v>572.9349999999999</v>
      </c>
      <c r="E4642" s="5" t="n">
        <v>19</v>
      </c>
      <c r="F4642" s="3" t="inlineStr">
        <is>
          <t>오송읍</t>
        </is>
      </c>
      <c r="G4642" s="3" t="inlineStr">
        <is>
          <t>쌍청리</t>
        </is>
      </c>
      <c r="H4642" s="3" t="inlineStr">
        <is>
          <t>농림지역</t>
        </is>
      </c>
      <c r="I4642" s="3" t="inlineStr">
        <is>
          <t>전</t>
        </is>
      </c>
      <c r="J4642" s="3" t="inlineStr">
        <is>
          <t>오송읍</t>
        </is>
      </c>
    </row>
    <row r="4643">
      <c r="A4643" s="3" t="n">
        <v>2024</v>
      </c>
      <c r="B4643" s="4" t="n">
        <v>4078</v>
      </c>
      <c r="C4643" s="4" t="n">
        <v>711</v>
      </c>
      <c r="D4643" s="4" t="n">
        <v>215.0775</v>
      </c>
      <c r="E4643" s="5" t="n">
        <v>19</v>
      </c>
      <c r="F4643" s="3" t="inlineStr">
        <is>
          <t>오송읍</t>
        </is>
      </c>
      <c r="G4643" s="3" t="inlineStr">
        <is>
          <t>쌍청리</t>
        </is>
      </c>
      <c r="H4643" s="3" t="inlineStr">
        <is>
          <t>농림지역</t>
        </is>
      </c>
      <c r="I4643" s="3" t="inlineStr">
        <is>
          <t>전</t>
        </is>
      </c>
      <c r="J4643" s="3" t="inlineStr">
        <is>
          <t>오송읍</t>
        </is>
      </c>
    </row>
    <row r="4644">
      <c r="A4644" s="3" t="n">
        <v>2024</v>
      </c>
      <c r="B4644" s="4" t="n">
        <v>763</v>
      </c>
      <c r="C4644" s="4" t="n">
        <v>9</v>
      </c>
      <c r="D4644" s="4" t="n">
        <v>2.7225</v>
      </c>
      <c r="E4644" s="5" t="n">
        <v>280.3</v>
      </c>
      <c r="F4644" s="3" t="inlineStr">
        <is>
          <t>강내면</t>
        </is>
      </c>
      <c r="G4644" s="3" t="inlineStr">
        <is>
          <t>월곡리</t>
        </is>
      </c>
      <c r="H4644" s="3" t="inlineStr">
        <is>
          <t>제2종일반주거지역</t>
        </is>
      </c>
      <c r="I4644" s="3" t="inlineStr">
        <is>
          <t>전</t>
        </is>
      </c>
      <c r="J4644" s="3" t="inlineStr">
        <is>
          <t>강내면</t>
        </is>
      </c>
    </row>
    <row r="4645">
      <c r="A4645" s="3" t="n">
        <v>2024</v>
      </c>
      <c r="B4645" s="4" t="n">
        <v>6270</v>
      </c>
      <c r="C4645" s="4" t="n">
        <v>75</v>
      </c>
      <c r="D4645" s="4" t="n">
        <v>22.6875</v>
      </c>
      <c r="E4645" s="5" t="n">
        <v>276.4</v>
      </c>
      <c r="F4645" s="3" t="inlineStr">
        <is>
          <t>강내면</t>
        </is>
      </c>
      <c r="G4645" s="3" t="inlineStr">
        <is>
          <t>월곡리</t>
        </is>
      </c>
      <c r="H4645" s="3" t="inlineStr">
        <is>
          <t>제2종일반주거지역</t>
        </is>
      </c>
      <c r="I4645" s="3" t="inlineStr">
        <is>
          <t>임야</t>
        </is>
      </c>
      <c r="J4645" s="3" t="inlineStr">
        <is>
          <t>강내면</t>
        </is>
      </c>
    </row>
    <row r="4646">
      <c r="A4646" s="3" t="n">
        <v>2024</v>
      </c>
      <c r="B4646" s="4" t="n">
        <v>1081</v>
      </c>
      <c r="C4646" s="4" t="n">
        <v>14</v>
      </c>
      <c r="D4646" s="4" t="n">
        <v>4.234999999999999</v>
      </c>
      <c r="E4646" s="5" t="n">
        <v>255.3</v>
      </c>
      <c r="F4646" s="3" t="inlineStr">
        <is>
          <t>강내면</t>
        </is>
      </c>
      <c r="G4646" s="3" t="inlineStr">
        <is>
          <t>월곡리</t>
        </is>
      </c>
      <c r="H4646" s="3" t="inlineStr">
        <is>
          <t>제2종일반주거지역</t>
        </is>
      </c>
      <c r="I4646" s="3" t="inlineStr">
        <is>
          <t>전</t>
        </is>
      </c>
      <c r="J4646" s="3" t="inlineStr">
        <is>
          <t>강내면</t>
        </is>
      </c>
    </row>
    <row r="4647">
      <c r="A4647" s="3" t="n">
        <v>2024</v>
      </c>
      <c r="B4647" s="4" t="n">
        <v>2394</v>
      </c>
      <c r="C4647" s="4" t="n">
        <v>32</v>
      </c>
      <c r="D4647" s="4" t="n">
        <v>9.68</v>
      </c>
      <c r="E4647" s="5" t="n">
        <v>247.3</v>
      </c>
      <c r="F4647" s="3" t="inlineStr">
        <is>
          <t>강내면</t>
        </is>
      </c>
      <c r="G4647" s="3" t="inlineStr">
        <is>
          <t>월곡리</t>
        </is>
      </c>
      <c r="H4647" s="3" t="inlineStr">
        <is>
          <t>제2종일반주거지역</t>
        </is>
      </c>
      <c r="I4647" s="3" t="inlineStr">
        <is>
          <t>답</t>
        </is>
      </c>
      <c r="J4647" s="3" t="inlineStr">
        <is>
          <t>강내면</t>
        </is>
      </c>
    </row>
    <row r="4648">
      <c r="A4648" s="3" t="n">
        <v>2024</v>
      </c>
      <c r="B4648" s="4" t="n">
        <v>1047</v>
      </c>
      <c r="C4648" s="4" t="n">
        <v>14</v>
      </c>
      <c r="D4648" s="4" t="n">
        <v>4.234999999999999</v>
      </c>
      <c r="E4648" s="5" t="n">
        <v>247.2</v>
      </c>
      <c r="F4648" s="3" t="inlineStr">
        <is>
          <t>강내면</t>
        </is>
      </c>
      <c r="G4648" s="3" t="inlineStr">
        <is>
          <t>월곡리</t>
        </is>
      </c>
      <c r="H4648" s="3" t="inlineStr">
        <is>
          <t>제2종일반주거지역</t>
        </is>
      </c>
      <c r="I4648" s="3" t="inlineStr">
        <is>
          <t>답</t>
        </is>
      </c>
      <c r="J4648" s="3" t="inlineStr">
        <is>
          <t>강내면</t>
        </is>
      </c>
    </row>
    <row r="4649">
      <c r="A4649" s="3" t="n">
        <v>2024</v>
      </c>
      <c r="B4649" s="4" t="n">
        <v>449</v>
      </c>
      <c r="C4649" s="4" t="n">
        <v>6</v>
      </c>
      <c r="D4649" s="4" t="n">
        <v>1.815</v>
      </c>
      <c r="E4649" s="5" t="n">
        <v>247.4</v>
      </c>
      <c r="F4649" s="3" t="inlineStr">
        <is>
          <t>강내면</t>
        </is>
      </c>
      <c r="G4649" s="3" t="inlineStr">
        <is>
          <t>월곡리</t>
        </is>
      </c>
      <c r="H4649" s="3" t="inlineStr">
        <is>
          <t>제2종일반주거지역</t>
        </is>
      </c>
      <c r="I4649" s="3" t="inlineStr">
        <is>
          <t>답</t>
        </is>
      </c>
      <c r="J4649" s="3" t="inlineStr">
        <is>
          <t>강내면</t>
        </is>
      </c>
    </row>
    <row r="4650">
      <c r="A4650" s="3" t="n">
        <v>2024</v>
      </c>
      <c r="B4650" s="4" t="n">
        <v>2917</v>
      </c>
      <c r="C4650" s="4" t="n">
        <v>39</v>
      </c>
      <c r="D4650" s="4" t="n">
        <v>11.7975</v>
      </c>
      <c r="E4650" s="5" t="n">
        <v>247.3</v>
      </c>
      <c r="F4650" s="3" t="inlineStr">
        <is>
          <t>강내면</t>
        </is>
      </c>
      <c r="G4650" s="3" t="inlineStr">
        <is>
          <t>월곡리</t>
        </is>
      </c>
      <c r="H4650" s="3" t="inlineStr">
        <is>
          <t>제2종일반주거지역</t>
        </is>
      </c>
      <c r="I4650" s="3" t="inlineStr">
        <is>
          <t>답</t>
        </is>
      </c>
      <c r="J4650" s="3" t="inlineStr">
        <is>
          <t>강내면</t>
        </is>
      </c>
    </row>
    <row r="4651">
      <c r="A4651" s="3" t="n">
        <v>2024</v>
      </c>
      <c r="B4651" s="4" t="n">
        <v>37600</v>
      </c>
      <c r="C4651" s="4" t="n">
        <v>1907</v>
      </c>
      <c r="D4651" s="4" t="n">
        <v>576.8674999999999</v>
      </c>
      <c r="E4651" s="5" t="n">
        <v>65.2</v>
      </c>
      <c r="F4651" s="3" t="inlineStr">
        <is>
          <t>오송읍</t>
        </is>
      </c>
      <c r="G4651" s="3" t="inlineStr">
        <is>
          <t>궁평리</t>
        </is>
      </c>
      <c r="H4651" s="3" t="inlineStr">
        <is>
          <t>농림지역</t>
        </is>
      </c>
      <c r="I4651" s="3" t="inlineStr">
        <is>
          <t>답</t>
        </is>
      </c>
      <c r="J4651" s="3" t="inlineStr">
        <is>
          <t>오송읍</t>
        </is>
      </c>
    </row>
    <row r="4652">
      <c r="A4652" s="3" t="n">
        <v>2024</v>
      </c>
      <c r="B4652" s="4" t="n">
        <v>12000</v>
      </c>
      <c r="C4652" s="4" t="n">
        <v>435</v>
      </c>
      <c r="D4652" s="4" t="n">
        <v>131.5875</v>
      </c>
      <c r="E4652" s="5" t="n">
        <v>91.2</v>
      </c>
      <c r="F4652" s="3" t="inlineStr">
        <is>
          <t>강내면</t>
        </is>
      </c>
      <c r="G4652" s="3" t="inlineStr">
        <is>
          <t>저산리</t>
        </is>
      </c>
      <c r="H4652" s="3" t="inlineStr">
        <is>
          <t>계획관리지역</t>
        </is>
      </c>
      <c r="I4652" s="3" t="inlineStr">
        <is>
          <t>임야</t>
        </is>
      </c>
      <c r="J4652" s="3" t="inlineStr">
        <is>
          <t>강내면</t>
        </is>
      </c>
    </row>
    <row r="4653">
      <c r="A4653" s="3" t="n">
        <v>2024</v>
      </c>
      <c r="B4653" s="4" t="n">
        <v>12480</v>
      </c>
      <c r="C4653" s="4" t="n">
        <v>347</v>
      </c>
      <c r="D4653" s="4" t="n">
        <v>104.9675</v>
      </c>
      <c r="E4653" s="5" t="n">
        <v>118.9</v>
      </c>
      <c r="F4653" s="3" t="inlineStr">
        <is>
          <t>강내면</t>
        </is>
      </c>
      <c r="G4653" s="3" t="inlineStr">
        <is>
          <t>태성리</t>
        </is>
      </c>
      <c r="H4653" s="3" t="inlineStr">
        <is>
          <t>계획관리지역</t>
        </is>
      </c>
      <c r="I4653" s="3" t="inlineStr">
        <is>
          <t>대</t>
        </is>
      </c>
      <c r="J4653" s="3" t="inlineStr">
        <is>
          <t>강내면</t>
        </is>
      </c>
    </row>
    <row r="4654">
      <c r="A4654" s="3" t="n">
        <v>2024</v>
      </c>
      <c r="B4654" s="4" t="n">
        <v>47100</v>
      </c>
      <c r="C4654" s="4" t="n">
        <v>622</v>
      </c>
      <c r="D4654" s="4" t="n">
        <v>188.155</v>
      </c>
      <c r="E4654" s="5" t="n">
        <v>250.3</v>
      </c>
      <c r="F4654" s="3" t="inlineStr">
        <is>
          <t>오송읍</t>
        </is>
      </c>
      <c r="G4654" s="3" t="inlineStr">
        <is>
          <t>궁평리</t>
        </is>
      </c>
      <c r="H4654" s="3" t="inlineStr">
        <is>
          <t>농림지역</t>
        </is>
      </c>
      <c r="I4654" s="3" t="inlineStr">
        <is>
          <t>대</t>
        </is>
      </c>
      <c r="J4654" s="3" t="inlineStr">
        <is>
          <t>오송읍</t>
        </is>
      </c>
    </row>
    <row r="4655">
      <c r="A4655" s="3" t="n">
        <v>2024</v>
      </c>
      <c r="B4655" s="4" t="n">
        <v>1377</v>
      </c>
      <c r="C4655" s="4" t="n">
        <v>36</v>
      </c>
      <c r="D4655" s="4" t="n">
        <v>10.89</v>
      </c>
      <c r="E4655" s="5" t="n">
        <v>126.4</v>
      </c>
      <c r="F4655" s="3" t="inlineStr">
        <is>
          <t>강내면</t>
        </is>
      </c>
      <c r="G4655" s="3" t="inlineStr">
        <is>
          <t>월곡리</t>
        </is>
      </c>
      <c r="H4655" s="3" t="inlineStr">
        <is>
          <t>제2종일반주거지역</t>
        </is>
      </c>
      <c r="I4655" s="3" t="inlineStr">
        <is>
          <t>대</t>
        </is>
      </c>
      <c r="J4655" s="3" t="inlineStr">
        <is>
          <t>강내면</t>
        </is>
      </c>
    </row>
    <row r="4656">
      <c r="A4656" s="3" t="n">
        <v>2024</v>
      </c>
      <c r="B4656" s="4" t="n">
        <v>5508</v>
      </c>
      <c r="C4656" s="4" t="n">
        <v>9</v>
      </c>
      <c r="D4656" s="4" t="n">
        <v>2.7225</v>
      </c>
      <c r="E4656" s="5" t="n">
        <v>2023.1</v>
      </c>
      <c r="F4656" s="3" t="inlineStr">
        <is>
          <t>강내면</t>
        </is>
      </c>
      <c r="G4656" s="3" t="inlineStr">
        <is>
          <t>월곡리</t>
        </is>
      </c>
      <c r="H4656" s="3" t="inlineStr">
        <is>
          <t>제2종일반주거지역</t>
        </is>
      </c>
      <c r="I4656" s="3" t="inlineStr">
        <is>
          <t>구거</t>
        </is>
      </c>
      <c r="J4656" s="3" t="inlineStr">
        <is>
          <t>강내면</t>
        </is>
      </c>
    </row>
    <row r="4657">
      <c r="A4657" s="3" t="n">
        <v>2025</v>
      </c>
      <c r="B4657" s="4" t="n">
        <v>5062</v>
      </c>
      <c r="C4657" s="4" t="n">
        <v>132</v>
      </c>
      <c r="D4657" s="4" t="n">
        <v>39.93</v>
      </c>
      <c r="E4657" s="5" t="n">
        <v>126.8</v>
      </c>
      <c r="F4657" s="3" t="inlineStr">
        <is>
          <t>강내면</t>
        </is>
      </c>
      <c r="G4657" s="3" t="inlineStr">
        <is>
          <t>다락리</t>
        </is>
      </c>
      <c r="H4657" s="3" t="inlineStr">
        <is>
          <t>일반공업지역</t>
        </is>
      </c>
      <c r="I4657" s="3" t="inlineStr">
        <is>
          <t>공장용지</t>
        </is>
      </c>
      <c r="J4657" s="3" t="inlineStr">
        <is>
          <t>강내면</t>
        </is>
      </c>
    </row>
    <row r="4658">
      <c r="A4658" s="3" t="n">
        <v>2025</v>
      </c>
      <c r="B4658" s="4" t="n">
        <v>28500</v>
      </c>
      <c r="C4658" s="4" t="n">
        <v>1922</v>
      </c>
      <c r="D4658" s="4" t="n">
        <v>581.405</v>
      </c>
      <c r="E4658" s="5" t="n">
        <v>49</v>
      </c>
      <c r="F4658" s="3" t="inlineStr">
        <is>
          <t>강내면</t>
        </is>
      </c>
      <c r="G4658" s="3" t="inlineStr">
        <is>
          <t>태성리</t>
        </is>
      </c>
      <c r="H4658" s="3" t="inlineStr">
        <is>
          <t>계획관리지역</t>
        </is>
      </c>
      <c r="I4658" s="3" t="inlineStr">
        <is>
          <t>임야</t>
        </is>
      </c>
      <c r="J4658" s="3" t="inlineStr">
        <is>
          <t>강내면</t>
        </is>
      </c>
    </row>
    <row r="4659">
      <c r="A4659" s="3" t="n">
        <v>2025</v>
      </c>
      <c r="B4659" s="4" t="n">
        <v>18000</v>
      </c>
      <c r="C4659" s="4" t="n">
        <v>833</v>
      </c>
      <c r="D4659" s="4" t="n">
        <v>251.9825</v>
      </c>
      <c r="E4659" s="5" t="n">
        <v>71.40000000000001</v>
      </c>
      <c r="F4659" s="3" t="inlineStr">
        <is>
          <t>강내면</t>
        </is>
      </c>
      <c r="G4659" s="3" t="inlineStr">
        <is>
          <t>태성리</t>
        </is>
      </c>
      <c r="H4659" s="3" t="inlineStr">
        <is>
          <t>계획관리지역</t>
        </is>
      </c>
      <c r="I4659" s="3" t="inlineStr">
        <is>
          <t>답</t>
        </is>
      </c>
      <c r="J4659" s="3" t="inlineStr">
        <is>
          <t>강내면</t>
        </is>
      </c>
    </row>
    <row r="4660">
      <c r="A4660" s="3" t="n">
        <v>2025</v>
      </c>
      <c r="B4660" s="4" t="n">
        <v>22000</v>
      </c>
      <c r="C4660" s="4" t="n">
        <v>1359</v>
      </c>
      <c r="D4660" s="4" t="n">
        <v>411.0975</v>
      </c>
      <c r="E4660" s="5" t="n">
        <v>53.5</v>
      </c>
      <c r="F4660" s="3" t="inlineStr">
        <is>
          <t>오송읍</t>
        </is>
      </c>
      <c r="G4660" s="3" t="inlineStr">
        <is>
          <t>동평리</t>
        </is>
      </c>
      <c r="H4660" s="3" t="inlineStr">
        <is>
          <t>농림지역</t>
        </is>
      </c>
      <c r="I4660" s="3" t="inlineStr">
        <is>
          <t>임야</t>
        </is>
      </c>
      <c r="J4660" s="3" t="inlineStr">
        <is>
          <t>오송읍</t>
        </is>
      </c>
    </row>
    <row r="4661">
      <c r="A4661" s="3" t="n">
        <v>2025</v>
      </c>
      <c r="B4661" s="4" t="n">
        <v>8150</v>
      </c>
      <c r="C4661" s="4" t="n">
        <v>539</v>
      </c>
      <c r="D4661" s="4" t="n">
        <v>163.0475</v>
      </c>
      <c r="E4661" s="5" t="n">
        <v>50</v>
      </c>
      <c r="F4661" s="3" t="inlineStr">
        <is>
          <t>강내면</t>
        </is>
      </c>
      <c r="G4661" s="3" t="inlineStr">
        <is>
          <t>다락리</t>
        </is>
      </c>
      <c r="H4661" s="3" t="inlineStr">
        <is>
          <t>계획관리지역</t>
        </is>
      </c>
      <c r="I4661" s="3" t="inlineStr">
        <is>
          <t>전</t>
        </is>
      </c>
      <c r="J4661" s="3" t="inlineStr">
        <is>
          <t>강내면</t>
        </is>
      </c>
    </row>
    <row r="4662">
      <c r="A4662" s="3" t="n">
        <v>2025</v>
      </c>
      <c r="B4662" s="4" t="n">
        <v>9000</v>
      </c>
      <c r="C4662" s="4" t="n">
        <v>258</v>
      </c>
      <c r="D4662" s="4" t="n">
        <v>78.045</v>
      </c>
      <c r="E4662" s="5" t="n">
        <v>115.3</v>
      </c>
      <c r="F4662" s="3" t="inlineStr">
        <is>
          <t>강내면</t>
        </is>
      </c>
      <c r="G4662" s="3" t="inlineStr">
        <is>
          <t>학천리</t>
        </is>
      </c>
      <c r="H4662" s="3" t="inlineStr">
        <is>
          <t>자연녹지지역</t>
        </is>
      </c>
      <c r="I4662" s="3" t="inlineStr">
        <is>
          <t>전</t>
        </is>
      </c>
      <c r="J4662" s="3" t="inlineStr">
        <is>
          <t>강내면</t>
        </is>
      </c>
    </row>
    <row r="4663">
      <c r="A4663" s="3" t="n">
        <v>2025</v>
      </c>
      <c r="B4663" s="4" t="n">
        <v>14504</v>
      </c>
      <c r="C4663" s="4" t="n">
        <v>1922</v>
      </c>
      <c r="D4663" s="4" t="n">
        <v>581.405</v>
      </c>
      <c r="E4663" s="5" t="n">
        <v>24.9</v>
      </c>
      <c r="F4663" s="3" t="inlineStr">
        <is>
          <t>강내면</t>
        </is>
      </c>
      <c r="G4663" s="3" t="inlineStr">
        <is>
          <t>태성리</t>
        </is>
      </c>
      <c r="H4663" s="3" t="inlineStr">
        <is>
          <t>계획관리지역</t>
        </is>
      </c>
      <c r="I4663" s="3" t="inlineStr">
        <is>
          <t>임야</t>
        </is>
      </c>
      <c r="J4663" s="3" t="inlineStr">
        <is>
          <t>강내면</t>
        </is>
      </c>
    </row>
    <row r="4664">
      <c r="A4664" s="3" t="n">
        <v>2025</v>
      </c>
      <c r="B4664" s="4" t="n">
        <v>12096</v>
      </c>
      <c r="C4664" s="4" t="n">
        <v>1603</v>
      </c>
      <c r="D4664" s="4" t="n">
        <v>484.9075</v>
      </c>
      <c r="E4664" s="5" t="n">
        <v>24.9</v>
      </c>
      <c r="F4664" s="3" t="inlineStr">
        <is>
          <t>강내면</t>
        </is>
      </c>
      <c r="G4664" s="3" t="inlineStr">
        <is>
          <t>태성리</t>
        </is>
      </c>
      <c r="H4664" s="3" t="inlineStr">
        <is>
          <t>계획관리지역</t>
        </is>
      </c>
      <c r="I4664" s="3" t="inlineStr">
        <is>
          <t>임야</t>
        </is>
      </c>
      <c r="J4664" s="3" t="inlineStr">
        <is>
          <t>강내면</t>
        </is>
      </c>
    </row>
    <row r="4665">
      <c r="A4665" s="3" t="n">
        <v>2025</v>
      </c>
      <c r="B4665" s="4" t="n">
        <v>14300</v>
      </c>
      <c r="C4665" s="4" t="n">
        <v>630</v>
      </c>
      <c r="D4665" s="4" t="n">
        <v>190.575</v>
      </c>
      <c r="E4665" s="5" t="n">
        <v>75</v>
      </c>
      <c r="F4665" s="3" t="inlineStr">
        <is>
          <t>강내면</t>
        </is>
      </c>
      <c r="G4665" s="3" t="inlineStr">
        <is>
          <t>다락리</t>
        </is>
      </c>
      <c r="H4665" s="3" t="inlineStr">
        <is>
          <t>농림지역</t>
        </is>
      </c>
      <c r="I4665" s="3" t="inlineStr">
        <is>
          <t>전</t>
        </is>
      </c>
      <c r="J4665" s="3" t="inlineStr">
        <is>
          <t>강내면</t>
        </is>
      </c>
    </row>
    <row r="4666">
      <c r="A4666" s="3" t="n">
        <v>2026</v>
      </c>
      <c r="B4666" s="4" t="n">
        <v>12000</v>
      </c>
      <c r="C4666" s="4" t="n">
        <v>330</v>
      </c>
      <c r="D4666" s="4" t="n">
        <v>99.825</v>
      </c>
      <c r="E4666" s="5" t="n">
        <v>120.2</v>
      </c>
      <c r="F4666" s="3" t="inlineStr">
        <is>
          <t>오송읍</t>
        </is>
      </c>
      <c r="G4666" s="3" t="inlineStr">
        <is>
          <t>동평리</t>
        </is>
      </c>
      <c r="H4666" s="3" t="inlineStr">
        <is>
          <t>계획관리지역</t>
        </is>
      </c>
      <c r="I4666" s="3" t="inlineStr">
        <is>
          <t>잡종지</t>
        </is>
      </c>
      <c r="J4666" s="3" t="inlineStr">
        <is>
          <t>오송읍</t>
        </is>
      </c>
    </row>
    <row r="4667">
      <c r="A4667" s="3" t="n">
        <v>2026</v>
      </c>
      <c r="B4667" s="4" t="n">
        <v>12000</v>
      </c>
      <c r="C4667" s="4" t="n">
        <v>339</v>
      </c>
      <c r="D4667" s="4" t="n">
        <v>102.5475</v>
      </c>
      <c r="E4667" s="5" t="n">
        <v>117</v>
      </c>
      <c r="F4667" s="3" t="inlineStr">
        <is>
          <t>오송읍</t>
        </is>
      </c>
      <c r="G4667" s="3" t="inlineStr">
        <is>
          <t>동평리</t>
        </is>
      </c>
      <c r="H4667" s="3" t="inlineStr">
        <is>
          <t>계획관리지역</t>
        </is>
      </c>
      <c r="I4667" s="3" t="inlineStr">
        <is>
          <t>대</t>
        </is>
      </c>
      <c r="J4667" s="3" t="inlineStr">
        <is>
          <t>오송읍</t>
        </is>
      </c>
    </row>
    <row r="4668">
      <c r="A4668" s="3" t="n">
        <v>2026</v>
      </c>
      <c r="B4668" s="4" t="n">
        <v>5000</v>
      </c>
      <c r="C4668" s="4" t="n">
        <v>1153</v>
      </c>
      <c r="D4668" s="4" t="n">
        <v>348.7825</v>
      </c>
      <c r="E4668" s="5" t="n">
        <v>14.3</v>
      </c>
      <c r="F4668" s="3" t="inlineStr">
        <is>
          <t>강내면</t>
        </is>
      </c>
      <c r="G4668" s="3" t="inlineStr">
        <is>
          <t>궁현리</t>
        </is>
      </c>
      <c r="H4668" s="3" t="inlineStr">
        <is>
          <t>보전관리지역</t>
        </is>
      </c>
      <c r="I4668" s="3" t="inlineStr">
        <is>
          <t>임야</t>
        </is>
      </c>
      <c r="J4668" s="3" t="inlineStr">
        <is>
          <t>강내면</t>
        </is>
      </c>
    </row>
    <row r="4669">
      <c r="A4669" s="3" t="n">
        <v>2026</v>
      </c>
      <c r="B4669" s="4" t="n">
        <v>19808</v>
      </c>
      <c r="C4669" s="4" t="n">
        <v>7171</v>
      </c>
      <c r="D4669" s="4" t="n">
        <v>2169.2275</v>
      </c>
      <c r="E4669" s="5" t="n">
        <v>9.1</v>
      </c>
      <c r="F4669" s="3" t="inlineStr">
        <is>
          <t>강내면</t>
        </is>
      </c>
      <c r="G4669" s="3" t="inlineStr">
        <is>
          <t>궁현리</t>
        </is>
      </c>
      <c r="H4669" s="3" t="inlineStr">
        <is>
          <t>계획관리지역</t>
        </is>
      </c>
      <c r="I4669" s="3" t="inlineStr">
        <is>
          <t>임야</t>
        </is>
      </c>
      <c r="J4669" s="3" t="inlineStr">
        <is>
          <t>강내면</t>
        </is>
      </c>
    </row>
    <row r="4670">
      <c r="A4670" s="3" t="n">
        <v>2026</v>
      </c>
      <c r="B4670" s="4" t="n">
        <v>16720</v>
      </c>
      <c r="C4670" s="4" t="n">
        <v>493</v>
      </c>
      <c r="D4670" s="4" t="n">
        <v>149.1325</v>
      </c>
      <c r="E4670" s="5" t="n">
        <v>112.1</v>
      </c>
      <c r="F4670" s="3" t="inlineStr">
        <is>
          <t>오송읍</t>
        </is>
      </c>
      <c r="G4670" s="3" t="inlineStr">
        <is>
          <t>상정리</t>
        </is>
      </c>
      <c r="H4670" s="3" t="inlineStr">
        <is>
          <t>생산관리지역</t>
        </is>
      </c>
      <c r="I4670" s="3" t="inlineStr">
        <is>
          <t>대</t>
        </is>
      </c>
      <c r="J4670" s="3" t="inlineStr">
        <is>
          <t>오송읍</t>
        </is>
      </c>
    </row>
    <row r="4671">
      <c r="A4671" s="3" t="n">
        <v>2026</v>
      </c>
      <c r="B4671" s="4" t="n">
        <v>25000</v>
      </c>
      <c r="C4671" s="4" t="n">
        <v>856</v>
      </c>
      <c r="D4671" s="4" t="n">
        <v>258.94</v>
      </c>
      <c r="E4671" s="5" t="n">
        <v>96.5</v>
      </c>
      <c r="F4671" s="3" t="inlineStr">
        <is>
          <t>오송읍</t>
        </is>
      </c>
      <c r="G4671" s="3" t="inlineStr">
        <is>
          <t>서평리</t>
        </is>
      </c>
      <c r="H4671" s="3" t="inlineStr">
        <is>
          <t>농림지역</t>
        </is>
      </c>
      <c r="I4671" s="3" t="inlineStr">
        <is>
          <t>답</t>
        </is>
      </c>
      <c r="J4671" s="3" t="inlineStr">
        <is>
          <t>오송읍</t>
        </is>
      </c>
    </row>
    <row r="4672">
      <c r="A4672" s="3" t="n">
        <v>2026</v>
      </c>
      <c r="B4672" s="4" t="n">
        <v>60000</v>
      </c>
      <c r="C4672" s="4" t="n">
        <v>3073</v>
      </c>
      <c r="D4672" s="4" t="n">
        <v>929.5825</v>
      </c>
      <c r="E4672" s="5" t="n">
        <v>64.5</v>
      </c>
      <c r="F4672" s="3" t="inlineStr">
        <is>
          <t>오송읍</t>
        </is>
      </c>
      <c r="G4672" s="3" t="inlineStr">
        <is>
          <t>궁평리</t>
        </is>
      </c>
      <c r="H4672" s="3" t="inlineStr">
        <is>
          <t>농림지역</t>
        </is>
      </c>
      <c r="I4672" s="3" t="inlineStr">
        <is>
          <t>전</t>
        </is>
      </c>
      <c r="J4672" s="3" t="inlineStr">
        <is>
          <t>오송읍</t>
        </is>
      </c>
    </row>
    <row r="4673">
      <c r="A4673" s="3" t="n">
        <v>2026</v>
      </c>
      <c r="B4673" s="4" t="n">
        <v>21250</v>
      </c>
      <c r="C4673" s="4" t="n">
        <v>939</v>
      </c>
      <c r="D4673" s="4" t="n">
        <v>284.0475</v>
      </c>
      <c r="E4673" s="5" t="n">
        <v>74.8</v>
      </c>
      <c r="F4673" s="3" t="inlineStr">
        <is>
          <t>오송읍</t>
        </is>
      </c>
      <c r="G4673" s="3" t="inlineStr">
        <is>
          <t>쌍청리</t>
        </is>
      </c>
      <c r="H4673" s="3" t="inlineStr">
        <is>
          <t>계획관리지역</t>
        </is>
      </c>
      <c r="I4673" s="3" t="inlineStr">
        <is>
          <t>답</t>
        </is>
      </c>
      <c r="J4673" s="3" t="inlineStr">
        <is>
          <t>오송읍</t>
        </is>
      </c>
    </row>
    <row r="4674">
      <c r="A4674" s="3" t="n">
        <v>2026</v>
      </c>
      <c r="B4674" s="4" t="n">
        <v>4651</v>
      </c>
      <c r="C4674" s="4" t="n">
        <v>323.6</v>
      </c>
      <c r="D4674" s="4" t="n">
        <v>97.88900000000001</v>
      </c>
      <c r="E4674" s="5" t="n">
        <v>47.5</v>
      </c>
      <c r="F4674" s="3" t="inlineStr">
        <is>
          <t>오송읍</t>
        </is>
      </c>
      <c r="G4674" s="3" t="inlineStr">
        <is>
          <t>상봉리</t>
        </is>
      </c>
      <c r="H4674" s="3" t="inlineStr">
        <is>
          <t>생산관리지역</t>
        </is>
      </c>
      <c r="I4674" s="3" t="inlineStr">
        <is>
          <t>전</t>
        </is>
      </c>
      <c r="J4674" s="3" t="inlineStr">
        <is>
          <t>오송읍</t>
        </is>
      </c>
    </row>
    <row r="4675">
      <c r="A4675" s="3" t="n">
        <v>2026</v>
      </c>
      <c r="B4675" s="4" t="n">
        <v>1202</v>
      </c>
      <c r="C4675" s="4" t="n">
        <v>34</v>
      </c>
      <c r="D4675" s="4" t="n">
        <v>10.285</v>
      </c>
      <c r="E4675" s="5" t="n">
        <v>116.9</v>
      </c>
      <c r="F4675" s="3" t="inlineStr">
        <is>
          <t>강내면</t>
        </is>
      </c>
      <c r="G4675" s="3" t="inlineStr">
        <is>
          <t>석화리</t>
        </is>
      </c>
      <c r="H4675" s="3" t="inlineStr">
        <is>
          <t>자연녹지지역</t>
        </is>
      </c>
      <c r="I4675" s="3" t="inlineStr">
        <is>
          <t>답</t>
        </is>
      </c>
      <c r="J4675" s="3" t="inlineStr">
        <is>
          <t>강내면</t>
        </is>
      </c>
    </row>
    <row r="4676">
      <c r="A4676" s="3" t="n">
        <v>2026</v>
      </c>
      <c r="B4676" s="4" t="n">
        <v>14000</v>
      </c>
      <c r="C4676" s="4" t="n">
        <v>466</v>
      </c>
      <c r="D4676" s="4" t="n">
        <v>140.965</v>
      </c>
      <c r="E4676" s="5" t="n">
        <v>99.3</v>
      </c>
      <c r="F4676" s="3" t="inlineStr">
        <is>
          <t>강내면</t>
        </is>
      </c>
      <c r="G4676" s="3" t="inlineStr">
        <is>
          <t>다락리</t>
        </is>
      </c>
      <c r="H4676" s="3" t="inlineStr">
        <is>
          <t>계획관리지역</t>
        </is>
      </c>
      <c r="I4676" s="3" t="inlineStr">
        <is>
          <t>대</t>
        </is>
      </c>
      <c r="J4676" s="3" t="inlineStr">
        <is>
          <t>강내면</t>
        </is>
      </c>
    </row>
    <row r="4677">
      <c r="A4677" s="3" t="n">
        <v>2026</v>
      </c>
      <c r="B4677" s="4" t="n">
        <v>30000</v>
      </c>
      <c r="C4677" s="4" t="n">
        <v>427</v>
      </c>
      <c r="D4677" s="4" t="n">
        <v>129.1675</v>
      </c>
      <c r="E4677" s="5" t="n">
        <v>232.3</v>
      </c>
      <c r="F4677" s="3" t="inlineStr">
        <is>
          <t>오송읍</t>
        </is>
      </c>
      <c r="G4677" s="3" t="inlineStr">
        <is>
          <t>정중리</t>
        </is>
      </c>
      <c r="H4677" s="3" t="inlineStr">
        <is>
          <t>생산관리지역</t>
        </is>
      </c>
      <c r="I4677" s="3" t="inlineStr">
        <is>
          <t>유지</t>
        </is>
      </c>
      <c r="J4677" s="3" t="inlineStr">
        <is>
          <t>오송읍</t>
        </is>
      </c>
    </row>
    <row r="4678">
      <c r="A4678" s="3" t="n">
        <v>2026</v>
      </c>
      <c r="B4678" s="4" t="n">
        <v>5000</v>
      </c>
      <c r="C4678" s="4" t="n">
        <v>86</v>
      </c>
      <c r="D4678" s="4" t="n">
        <v>26.015</v>
      </c>
      <c r="E4678" s="5" t="n">
        <v>192.2</v>
      </c>
      <c r="F4678" s="3" t="inlineStr">
        <is>
          <t>오송읍</t>
        </is>
      </c>
      <c r="G4678" s="3" t="inlineStr">
        <is>
          <t>정중리</t>
        </is>
      </c>
      <c r="H4678" s="3" t="inlineStr">
        <is>
          <t>생산관리지역</t>
        </is>
      </c>
      <c r="I4678" s="3" t="inlineStr">
        <is>
          <t>전</t>
        </is>
      </c>
      <c r="J4678" s="3" t="inlineStr">
        <is>
          <t>오송읍</t>
        </is>
      </c>
    </row>
    <row r="4679">
      <c r="A4679" s="3" t="n">
        <v>2022</v>
      </c>
      <c r="B4679" s="4" t="n">
        <v>8370</v>
      </c>
      <c r="C4679" s="4" t="n">
        <v>209</v>
      </c>
      <c r="D4679" s="4" t="n">
        <v>63.2225</v>
      </c>
      <c r="E4679" s="5" t="n">
        <v>132.4</v>
      </c>
      <c r="F4679" s="3" t="inlineStr">
        <is>
          <t>오송읍</t>
        </is>
      </c>
      <c r="G4679" s="3" t="inlineStr">
        <is>
          <t>연제리</t>
        </is>
      </c>
      <c r="H4679" s="3" t="inlineStr">
        <is>
          <t>농림지역</t>
        </is>
      </c>
      <c r="I4679" s="3" t="inlineStr">
        <is>
          <t>답</t>
        </is>
      </c>
      <c r="J4679" s="3" t="inlineStr">
        <is>
          <t>오송읍</t>
        </is>
      </c>
    </row>
    <row r="4680">
      <c r="A4680" s="3" t="n">
        <v>2022</v>
      </c>
      <c r="B4680" s="4" t="n">
        <v>58684</v>
      </c>
      <c r="C4680" s="4" t="n">
        <v>2917</v>
      </c>
      <c r="D4680" s="4" t="n">
        <v>882.3924999999999</v>
      </c>
      <c r="E4680" s="5" t="n">
        <v>66.5</v>
      </c>
      <c r="F4680" s="3" t="inlineStr">
        <is>
          <t>강내면</t>
        </is>
      </c>
      <c r="G4680" s="3" t="inlineStr">
        <is>
          <t>월탄리</t>
        </is>
      </c>
      <c r="H4680" s="3" t="inlineStr">
        <is>
          <t>농림지역</t>
        </is>
      </c>
      <c r="I4680" s="3" t="inlineStr">
        <is>
          <t>답</t>
        </is>
      </c>
      <c r="J4680" s="3" t="inlineStr">
        <is>
          <t>강내면</t>
        </is>
      </c>
    </row>
    <row r="4681">
      <c r="A4681" s="3" t="n">
        <v>2022</v>
      </c>
      <c r="B4681" s="4" t="n">
        <v>26000</v>
      </c>
      <c r="C4681" s="4" t="n">
        <v>215</v>
      </c>
      <c r="D4681" s="4" t="n">
        <v>65.03749999999999</v>
      </c>
      <c r="E4681" s="5" t="n">
        <v>399.8</v>
      </c>
      <c r="F4681" s="3" t="inlineStr">
        <is>
          <t>오송읍</t>
        </is>
      </c>
      <c r="G4681" s="3" t="inlineStr">
        <is>
          <t>오송리</t>
        </is>
      </c>
      <c r="H4681" s="3" t="inlineStr">
        <is>
          <t>계획관리지역</t>
        </is>
      </c>
      <c r="I4681" s="3" t="inlineStr">
        <is>
          <t>대</t>
        </is>
      </c>
      <c r="J4681" s="3" t="inlineStr">
        <is>
          <t>오송읍</t>
        </is>
      </c>
    </row>
    <row r="4682">
      <c r="A4682" s="3" t="n">
        <v>2022</v>
      </c>
      <c r="B4682" s="4" t="n">
        <v>15000</v>
      </c>
      <c r="C4682" s="4" t="n">
        <v>693</v>
      </c>
      <c r="D4682" s="4" t="n">
        <v>209.6325</v>
      </c>
      <c r="E4682" s="5" t="n">
        <v>71.59999999999999</v>
      </c>
      <c r="F4682" s="3" t="inlineStr">
        <is>
          <t>강내면</t>
        </is>
      </c>
      <c r="G4682" s="3" t="inlineStr">
        <is>
          <t>사곡리</t>
        </is>
      </c>
      <c r="H4682" s="3" t="inlineStr">
        <is>
          <t>농림지역</t>
        </is>
      </c>
      <c r="I4682" s="3" t="inlineStr">
        <is>
          <t>답</t>
        </is>
      </c>
      <c r="J4682" s="3" t="inlineStr">
        <is>
          <t>강내면</t>
        </is>
      </c>
    </row>
    <row r="4683">
      <c r="A4683" s="3" t="n">
        <v>2022</v>
      </c>
      <c r="B4683" s="4" t="n">
        <v>8500</v>
      </c>
      <c r="C4683" s="4" t="n">
        <v>60</v>
      </c>
      <c r="D4683" s="4" t="n">
        <v>18.15</v>
      </c>
      <c r="E4683" s="5" t="n">
        <v>468.3</v>
      </c>
      <c r="F4683" s="3" t="inlineStr">
        <is>
          <t>오송읍</t>
        </is>
      </c>
      <c r="G4683" s="3" t="inlineStr">
        <is>
          <t>오송리</t>
        </is>
      </c>
      <c r="H4683" s="3" t="inlineStr">
        <is>
          <t>계획관리지역</t>
        </is>
      </c>
      <c r="I4683" s="3" t="inlineStr">
        <is>
          <t>대</t>
        </is>
      </c>
      <c r="J4683" s="3" t="inlineStr">
        <is>
          <t>오송읍</t>
        </is>
      </c>
    </row>
    <row r="4684">
      <c r="A4684" s="3" t="n">
        <v>2022</v>
      </c>
      <c r="B4684" s="4" t="n">
        <v>54000</v>
      </c>
      <c r="C4684" s="4" t="n">
        <v>506</v>
      </c>
      <c r="D4684" s="4" t="n">
        <v>153.065</v>
      </c>
      <c r="E4684" s="5" t="n">
        <v>352.8</v>
      </c>
      <c r="F4684" s="3" t="inlineStr">
        <is>
          <t>오송읍</t>
        </is>
      </c>
      <c r="G4684" s="3" t="inlineStr">
        <is>
          <t>연제리</t>
        </is>
      </c>
      <c r="H4684" s="3" t="inlineStr">
        <is>
          <t>계획관리지역</t>
        </is>
      </c>
      <c r="I4684" s="3" t="inlineStr">
        <is>
          <t>공장용지</t>
        </is>
      </c>
      <c r="J4684" s="3" t="inlineStr">
        <is>
          <t>오송읍</t>
        </is>
      </c>
    </row>
    <row r="4685">
      <c r="A4685" s="3" t="n">
        <v>2022</v>
      </c>
      <c r="B4685" s="4" t="n">
        <v>586588</v>
      </c>
      <c r="C4685" s="4" t="n">
        <v>16496.2</v>
      </c>
      <c r="D4685" s="4" t="n">
        <v>4990.1005</v>
      </c>
      <c r="E4685" s="5" t="n">
        <v>117.6</v>
      </c>
      <c r="F4685" s="3" t="inlineStr">
        <is>
          <t>오송읍</t>
        </is>
      </c>
      <c r="G4685" s="3" t="inlineStr">
        <is>
          <t>정중리</t>
        </is>
      </c>
      <c r="H4685" s="3" t="inlineStr">
        <is>
          <t>일반공업지역</t>
        </is>
      </c>
      <c r="I4685" s="3" t="inlineStr">
        <is>
          <t>공장용지</t>
        </is>
      </c>
      <c r="J4685" s="3" t="inlineStr">
        <is>
          <t>오송읍</t>
        </is>
      </c>
    </row>
    <row r="4686">
      <c r="A4686" s="3" t="n">
        <v>2022</v>
      </c>
      <c r="B4686" s="4" t="n">
        <v>162000</v>
      </c>
      <c r="C4686" s="4" t="n">
        <v>584.2</v>
      </c>
      <c r="D4686" s="4" t="n">
        <v>176.7205</v>
      </c>
      <c r="E4686" s="5" t="n">
        <v>916.7</v>
      </c>
      <c r="F4686" s="3" t="inlineStr">
        <is>
          <t>오송읍</t>
        </is>
      </c>
      <c r="G4686" s="3" t="inlineStr">
        <is>
          <t>정중리</t>
        </is>
      </c>
      <c r="H4686" s="3" t="inlineStr">
        <is>
          <t>준공업지역</t>
        </is>
      </c>
      <c r="I4686" s="3" t="inlineStr">
        <is>
          <t>대</t>
        </is>
      </c>
      <c r="J4686" s="3" t="inlineStr">
        <is>
          <t>오송읍</t>
        </is>
      </c>
    </row>
    <row r="4687">
      <c r="A4687" s="3" t="n">
        <v>2022</v>
      </c>
      <c r="B4687" s="4" t="n">
        <v>800000</v>
      </c>
      <c r="C4687" s="4" t="n">
        <v>2187.4</v>
      </c>
      <c r="D4687" s="4" t="n">
        <v>661.6885</v>
      </c>
      <c r="E4687" s="5" t="n">
        <v>1209</v>
      </c>
      <c r="F4687" s="3" t="inlineStr">
        <is>
          <t>오송읍</t>
        </is>
      </c>
      <c r="G4687" s="3" t="inlineStr">
        <is>
          <t>봉산리</t>
        </is>
      </c>
      <c r="H4687" s="3" t="inlineStr">
        <is>
          <t>일반상업지역</t>
        </is>
      </c>
      <c r="I4687" s="3" t="inlineStr">
        <is>
          <t>주차장</t>
        </is>
      </c>
      <c r="J4687" s="3" t="inlineStr">
        <is>
          <t>오송읍</t>
        </is>
      </c>
    </row>
    <row r="4688">
      <c r="A4688" s="3" t="n">
        <v>2022</v>
      </c>
      <c r="B4688" s="4" t="n">
        <v>36000</v>
      </c>
      <c r="C4688" s="4" t="n">
        <v>264.8</v>
      </c>
      <c r="D4688" s="4" t="n">
        <v>80.102</v>
      </c>
      <c r="E4688" s="5" t="n">
        <v>449.4</v>
      </c>
      <c r="F4688" s="3" t="inlineStr">
        <is>
          <t>오송읍</t>
        </is>
      </c>
      <c r="G4688" s="3" t="inlineStr">
        <is>
          <t>봉산리</t>
        </is>
      </c>
      <c r="H4688" s="3" t="inlineStr">
        <is>
          <t>제1종일반주거지역</t>
        </is>
      </c>
      <c r="I4688" s="3" t="inlineStr">
        <is>
          <t>대</t>
        </is>
      </c>
      <c r="J4688" s="3" t="inlineStr">
        <is>
          <t>오송읍</t>
        </is>
      </c>
    </row>
    <row r="4689">
      <c r="A4689" s="3" t="n">
        <v>2022</v>
      </c>
      <c r="B4689" s="4" t="n">
        <v>214400</v>
      </c>
      <c r="C4689" s="4" t="n">
        <v>584</v>
      </c>
      <c r="D4689" s="4" t="n">
        <v>176.66</v>
      </c>
      <c r="E4689" s="5" t="n">
        <v>1213.6</v>
      </c>
      <c r="F4689" s="3" t="inlineStr">
        <is>
          <t>오송읍</t>
        </is>
      </c>
      <c r="G4689" s="3" t="inlineStr">
        <is>
          <t>정중리</t>
        </is>
      </c>
      <c r="H4689" s="3" t="inlineStr">
        <is>
          <t>준공업지역</t>
        </is>
      </c>
      <c r="I4689" s="3" t="inlineStr">
        <is>
          <t>대</t>
        </is>
      </c>
      <c r="J4689" s="3" t="inlineStr">
        <is>
          <t>오송읍</t>
        </is>
      </c>
    </row>
    <row r="4690">
      <c r="A4690" s="3" t="n">
        <v>2022</v>
      </c>
      <c r="B4690" s="4" t="n">
        <v>235000</v>
      </c>
      <c r="C4690" s="4" t="n">
        <v>559</v>
      </c>
      <c r="D4690" s="4" t="n">
        <v>169.0975</v>
      </c>
      <c r="E4690" s="5" t="n">
        <v>1389.7</v>
      </c>
      <c r="F4690" s="3" t="inlineStr">
        <is>
          <t>오송읍</t>
        </is>
      </c>
      <c r="G4690" s="3" t="inlineStr">
        <is>
          <t>정중리</t>
        </is>
      </c>
      <c r="H4690" s="3" t="inlineStr">
        <is>
          <t>준공업지역</t>
        </is>
      </c>
      <c r="I4690" s="3" t="inlineStr">
        <is>
          <t>대</t>
        </is>
      </c>
      <c r="J4690" s="3" t="inlineStr">
        <is>
          <t>오송읍</t>
        </is>
      </c>
    </row>
    <row r="4691">
      <c r="A4691" s="3" t="n">
        <v>2022</v>
      </c>
      <c r="B4691" s="4" t="n">
        <v>12850</v>
      </c>
      <c r="C4691" s="4" t="n">
        <v>531</v>
      </c>
      <c r="D4691" s="4" t="n">
        <v>160.6275</v>
      </c>
      <c r="E4691" s="5" t="n">
        <v>80</v>
      </c>
      <c r="F4691" s="3" t="inlineStr">
        <is>
          <t>강내면</t>
        </is>
      </c>
      <c r="G4691" s="3" t="inlineStr">
        <is>
          <t>저산리</t>
        </is>
      </c>
      <c r="H4691" s="3" t="inlineStr">
        <is>
          <t>보전관리지역</t>
        </is>
      </c>
      <c r="I4691" s="3" t="inlineStr">
        <is>
          <t>임야</t>
        </is>
      </c>
      <c r="J4691" s="3" t="inlineStr">
        <is>
          <t>강내면</t>
        </is>
      </c>
    </row>
    <row r="4692">
      <c r="A4692" s="3" t="n">
        <v>2022</v>
      </c>
      <c r="B4692" s="4" t="n">
        <v>7880</v>
      </c>
      <c r="C4692" s="4" t="n">
        <v>326</v>
      </c>
      <c r="D4692" s="4" t="n">
        <v>98.61499999999999</v>
      </c>
      <c r="E4692" s="5" t="n">
        <v>79.90000000000001</v>
      </c>
      <c r="F4692" s="3" t="inlineStr">
        <is>
          <t>강내면</t>
        </is>
      </c>
      <c r="G4692" s="3" t="inlineStr">
        <is>
          <t>저산리</t>
        </is>
      </c>
      <c r="H4692" s="3" t="inlineStr">
        <is>
          <t>보전관리지역</t>
        </is>
      </c>
      <c r="I4692" s="3" t="inlineStr">
        <is>
          <t>임야</t>
        </is>
      </c>
      <c r="J4692" s="3" t="inlineStr">
        <is>
          <t>강내면</t>
        </is>
      </c>
    </row>
    <row r="4693">
      <c r="A4693" s="3" t="n">
        <v>2022</v>
      </c>
      <c r="B4693" s="4" t="n">
        <v>5470</v>
      </c>
      <c r="C4693" s="4" t="n">
        <v>226</v>
      </c>
      <c r="D4693" s="4" t="n">
        <v>68.36499999999999</v>
      </c>
      <c r="E4693" s="5" t="n">
        <v>80</v>
      </c>
      <c r="F4693" s="3" t="inlineStr">
        <is>
          <t>강내면</t>
        </is>
      </c>
      <c r="G4693" s="3" t="inlineStr">
        <is>
          <t>저산리</t>
        </is>
      </c>
      <c r="H4693" s="3" t="inlineStr">
        <is>
          <t>보전관리지역</t>
        </is>
      </c>
      <c r="I4693" s="3" t="inlineStr">
        <is>
          <t>임야</t>
        </is>
      </c>
      <c r="J4693" s="3" t="inlineStr">
        <is>
          <t>강내면</t>
        </is>
      </c>
    </row>
    <row r="4694">
      <c r="A4694" s="3" t="n">
        <v>2022</v>
      </c>
      <c r="B4694" s="4" t="n">
        <v>11280</v>
      </c>
      <c r="C4694" s="4" t="n">
        <v>466</v>
      </c>
      <c r="D4694" s="4" t="n">
        <v>140.965</v>
      </c>
      <c r="E4694" s="5" t="n">
        <v>80</v>
      </c>
      <c r="F4694" s="3" t="inlineStr">
        <is>
          <t>강내면</t>
        </is>
      </c>
      <c r="G4694" s="3" t="inlineStr">
        <is>
          <t>저산리</t>
        </is>
      </c>
      <c r="H4694" s="3" t="inlineStr">
        <is>
          <t>보전관리지역</t>
        </is>
      </c>
      <c r="I4694" s="3" t="inlineStr">
        <is>
          <t>임야</t>
        </is>
      </c>
      <c r="J4694" s="3" t="inlineStr">
        <is>
          <t>강내면</t>
        </is>
      </c>
    </row>
    <row r="4695">
      <c r="A4695" s="3" t="n">
        <v>2022</v>
      </c>
      <c r="B4695" s="4" t="n">
        <v>3000</v>
      </c>
      <c r="C4695" s="4" t="n">
        <v>25</v>
      </c>
      <c r="D4695" s="4" t="n">
        <v>7.5625</v>
      </c>
      <c r="E4695" s="5" t="n">
        <v>396.7</v>
      </c>
      <c r="F4695" s="3" t="inlineStr">
        <is>
          <t>오송읍</t>
        </is>
      </c>
      <c r="G4695" s="3" t="inlineStr">
        <is>
          <t>봉산리</t>
        </is>
      </c>
      <c r="H4695" s="3" t="inlineStr">
        <is>
          <t>계획관리지역</t>
        </is>
      </c>
      <c r="I4695" s="3" t="inlineStr">
        <is>
          <t>도로</t>
        </is>
      </c>
      <c r="J4695" s="3" t="inlineStr">
        <is>
          <t>오송읍</t>
        </is>
      </c>
    </row>
    <row r="4696">
      <c r="A4696" s="3" t="n">
        <v>2022</v>
      </c>
      <c r="B4696" s="4" t="n">
        <v>6500</v>
      </c>
      <c r="C4696" s="4" t="n">
        <v>54</v>
      </c>
      <c r="D4696" s="4" t="n">
        <v>16.335</v>
      </c>
      <c r="E4696" s="5" t="n">
        <v>397.9</v>
      </c>
      <c r="F4696" s="3" t="inlineStr">
        <is>
          <t>오송읍</t>
        </is>
      </c>
      <c r="G4696" s="3" t="inlineStr">
        <is>
          <t>봉산리</t>
        </is>
      </c>
      <c r="H4696" s="3" t="inlineStr">
        <is>
          <t>계획관리지역</t>
        </is>
      </c>
      <c r="I4696" s="3" t="inlineStr">
        <is>
          <t>도로</t>
        </is>
      </c>
      <c r="J4696" s="3" t="inlineStr">
        <is>
          <t>오송읍</t>
        </is>
      </c>
    </row>
    <row r="4697">
      <c r="A4697" s="3" t="n">
        <v>2022</v>
      </c>
      <c r="B4697" s="4" t="n">
        <v>18600</v>
      </c>
      <c r="C4697" s="4" t="n">
        <v>560</v>
      </c>
      <c r="D4697" s="4" t="n">
        <v>169.4</v>
      </c>
      <c r="E4697" s="5" t="n">
        <v>109.8</v>
      </c>
      <c r="F4697" s="3" t="inlineStr">
        <is>
          <t>강내면</t>
        </is>
      </c>
      <c r="G4697" s="3" t="inlineStr">
        <is>
          <t>궁현리</t>
        </is>
      </c>
      <c r="H4697" s="3" t="inlineStr">
        <is>
          <t>계획관리지역</t>
        </is>
      </c>
      <c r="I4697" s="3" t="inlineStr">
        <is>
          <t>임야</t>
        </is>
      </c>
      <c r="J4697" s="3" t="inlineStr">
        <is>
          <t>강내면</t>
        </is>
      </c>
    </row>
    <row r="4698">
      <c r="A4698" s="3" t="n">
        <v>2022</v>
      </c>
      <c r="B4698" s="4" t="n">
        <v>219000</v>
      </c>
      <c r="C4698" s="4" t="n">
        <v>558.8</v>
      </c>
      <c r="D4698" s="4" t="n">
        <v>169.037</v>
      </c>
      <c r="E4698" s="5" t="n">
        <v>1295.6</v>
      </c>
      <c r="F4698" s="3" t="inlineStr">
        <is>
          <t>오송읍</t>
        </is>
      </c>
      <c r="G4698" s="3" t="inlineStr">
        <is>
          <t>정중리</t>
        </is>
      </c>
      <c r="H4698" s="3" t="inlineStr">
        <is>
          <t>준공업지역</t>
        </is>
      </c>
      <c r="I4698" s="3" t="inlineStr">
        <is>
          <t>대</t>
        </is>
      </c>
      <c r="J4698" s="3" t="inlineStr">
        <is>
          <t>오송읍</t>
        </is>
      </c>
    </row>
    <row r="4699">
      <c r="A4699" s="3" t="n">
        <v>2022</v>
      </c>
      <c r="B4699" s="4" t="n">
        <v>500</v>
      </c>
      <c r="C4699" s="4" t="n">
        <v>46</v>
      </c>
      <c r="D4699" s="4" t="n">
        <v>13.915</v>
      </c>
      <c r="E4699" s="5" t="n">
        <v>35.9</v>
      </c>
      <c r="F4699" s="3" t="inlineStr">
        <is>
          <t>오송읍</t>
        </is>
      </c>
      <c r="G4699" s="3" t="inlineStr">
        <is>
          <t>쌍청리</t>
        </is>
      </c>
      <c r="H4699" s="3" t="inlineStr">
        <is>
          <t>보전관리지역</t>
        </is>
      </c>
      <c r="I4699" s="3" t="inlineStr">
        <is>
          <t>임야</t>
        </is>
      </c>
      <c r="J4699" s="3" t="inlineStr">
        <is>
          <t>오송읍</t>
        </is>
      </c>
    </row>
    <row r="4700">
      <c r="A4700" s="3" t="n">
        <v>2022</v>
      </c>
      <c r="B4700" s="4" t="n">
        <v>139590</v>
      </c>
      <c r="C4700" s="4" t="n">
        <v>2620</v>
      </c>
      <c r="D4700" s="4" t="n">
        <v>792.55</v>
      </c>
      <c r="E4700" s="5" t="n">
        <v>176.1</v>
      </c>
      <c r="F4700" s="3" t="inlineStr">
        <is>
          <t>강내면</t>
        </is>
      </c>
      <c r="G4700" s="3" t="inlineStr">
        <is>
          <t>월곡리</t>
        </is>
      </c>
      <c r="H4700" s="3" t="inlineStr">
        <is>
          <t>자연녹지지역</t>
        </is>
      </c>
      <c r="I4700" s="3" t="inlineStr">
        <is>
          <t>임야</t>
        </is>
      </c>
      <c r="J4700" s="3" t="inlineStr">
        <is>
          <t>강내면</t>
        </is>
      </c>
    </row>
    <row r="4701">
      <c r="A4701" s="3" t="n">
        <v>2022</v>
      </c>
      <c r="B4701" s="4" t="n">
        <v>10110</v>
      </c>
      <c r="C4701" s="4" t="n">
        <v>190</v>
      </c>
      <c r="D4701" s="4" t="n">
        <v>57.475</v>
      </c>
      <c r="E4701" s="5" t="n">
        <v>175.9</v>
      </c>
      <c r="F4701" s="3" t="inlineStr">
        <is>
          <t>강내면</t>
        </is>
      </c>
      <c r="G4701" s="3" t="inlineStr">
        <is>
          <t>월곡리</t>
        </is>
      </c>
      <c r="H4701" s="3" t="inlineStr">
        <is>
          <t>자연녹지지역</t>
        </is>
      </c>
      <c r="I4701" s="3" t="inlineStr">
        <is>
          <t>임야</t>
        </is>
      </c>
      <c r="J4701" s="3" t="inlineStr">
        <is>
          <t>강내면</t>
        </is>
      </c>
    </row>
    <row r="4702">
      <c r="A4702" s="3" t="n">
        <v>2022</v>
      </c>
      <c r="B4702" s="4" t="n">
        <v>198000</v>
      </c>
      <c r="C4702" s="4" t="n">
        <v>31679</v>
      </c>
      <c r="D4702" s="4" t="n">
        <v>9582.897499999999</v>
      </c>
      <c r="E4702" s="5" t="n">
        <v>20.7</v>
      </c>
      <c r="F4702" s="3" t="inlineStr">
        <is>
          <t>강내면</t>
        </is>
      </c>
      <c r="G4702" s="3" t="inlineStr">
        <is>
          <t>저산리</t>
        </is>
      </c>
      <c r="H4702" s="3" t="inlineStr">
        <is>
          <t>보전관리지역</t>
        </is>
      </c>
      <c r="I4702" s="3" t="inlineStr">
        <is>
          <t>임야</t>
        </is>
      </c>
      <c r="J4702" s="3" t="inlineStr">
        <is>
          <t>강내면</t>
        </is>
      </c>
    </row>
    <row r="4703">
      <c r="A4703" s="3" t="n">
        <v>2022</v>
      </c>
      <c r="B4703" s="4" t="n">
        <v>4900</v>
      </c>
      <c r="C4703" s="4" t="n">
        <v>453</v>
      </c>
      <c r="D4703" s="4" t="n">
        <v>137.0325</v>
      </c>
      <c r="E4703" s="5" t="n">
        <v>35.8</v>
      </c>
      <c r="F4703" s="3" t="inlineStr">
        <is>
          <t>강내면</t>
        </is>
      </c>
      <c r="G4703" s="3" t="inlineStr">
        <is>
          <t>저산리</t>
        </is>
      </c>
      <c r="H4703" s="3" t="inlineStr">
        <is>
          <t>농림지역</t>
        </is>
      </c>
      <c r="I4703" s="3" t="inlineStr">
        <is>
          <t>전</t>
        </is>
      </c>
      <c r="J4703" s="3" t="inlineStr">
        <is>
          <t>강내면</t>
        </is>
      </c>
    </row>
    <row r="4704">
      <c r="A4704" s="3" t="n">
        <v>2022</v>
      </c>
      <c r="B4704" s="4" t="n">
        <v>50</v>
      </c>
      <c r="C4704" s="4" t="n">
        <v>3</v>
      </c>
      <c r="D4704" s="4" t="n">
        <v>0.9075</v>
      </c>
      <c r="E4704" s="5" t="n">
        <v>55.1</v>
      </c>
      <c r="F4704" s="3" t="inlineStr">
        <is>
          <t>강내면</t>
        </is>
      </c>
      <c r="G4704" s="3" t="inlineStr">
        <is>
          <t>사인리</t>
        </is>
      </c>
      <c r="H4704" s="3" t="inlineStr">
        <is>
          <t>자연녹지지역</t>
        </is>
      </c>
      <c r="I4704" s="3" t="inlineStr">
        <is>
          <t>대</t>
        </is>
      </c>
      <c r="J4704" s="3" t="inlineStr">
        <is>
          <t>강내면</t>
        </is>
      </c>
    </row>
    <row r="4705">
      <c r="A4705" s="3" t="n">
        <v>2022</v>
      </c>
      <c r="B4705" s="4" t="n">
        <v>270</v>
      </c>
      <c r="C4705" s="4" t="n">
        <v>17</v>
      </c>
      <c r="D4705" s="4" t="n">
        <v>5.1425</v>
      </c>
      <c r="E4705" s="5" t="n">
        <v>52.5</v>
      </c>
      <c r="F4705" s="3" t="inlineStr">
        <is>
          <t>강내면</t>
        </is>
      </c>
      <c r="G4705" s="3" t="inlineStr">
        <is>
          <t>사인리</t>
        </is>
      </c>
      <c r="H4705" s="3" t="inlineStr">
        <is>
          <t>자연녹지지역</t>
        </is>
      </c>
      <c r="I4705" s="3" t="inlineStr">
        <is>
          <t>대</t>
        </is>
      </c>
      <c r="J4705" s="3" t="inlineStr">
        <is>
          <t>강내면</t>
        </is>
      </c>
    </row>
    <row r="4706">
      <c r="A4706" s="3" t="n">
        <v>2022</v>
      </c>
      <c r="B4706" s="4" t="n">
        <v>160</v>
      </c>
      <c r="C4706" s="4" t="n">
        <v>25</v>
      </c>
      <c r="D4706" s="4" t="n">
        <v>7.5625</v>
      </c>
      <c r="E4706" s="5" t="n">
        <v>21.2</v>
      </c>
      <c r="F4706" s="3" t="inlineStr">
        <is>
          <t>강내면</t>
        </is>
      </c>
      <c r="G4706" s="3" t="inlineStr">
        <is>
          <t>사인리</t>
        </is>
      </c>
      <c r="H4706" s="3" t="inlineStr">
        <is>
          <t>자연녹지지역</t>
        </is>
      </c>
      <c r="I4706" s="3" t="inlineStr">
        <is>
          <t>대</t>
        </is>
      </c>
      <c r="J4706" s="3" t="inlineStr">
        <is>
          <t>강내면</t>
        </is>
      </c>
    </row>
    <row r="4707">
      <c r="A4707" s="3" t="n">
        <v>2024</v>
      </c>
      <c r="B4707" s="4" t="n">
        <v>153000</v>
      </c>
      <c r="C4707" s="4" t="n">
        <v>507</v>
      </c>
      <c r="D4707" s="4" t="n">
        <v>153.3675</v>
      </c>
      <c r="E4707" s="5" t="n">
        <v>997.6</v>
      </c>
      <c r="F4707" s="3" t="inlineStr">
        <is>
          <t>강내면</t>
        </is>
      </c>
      <c r="G4707" s="3" t="inlineStr">
        <is>
          <t>탑연리</t>
        </is>
      </c>
      <c r="H4707" s="3" t="inlineStr">
        <is>
          <t>일반상업지역</t>
        </is>
      </c>
      <c r="I4707" s="3" t="inlineStr">
        <is>
          <t>전</t>
        </is>
      </c>
      <c r="J4707" s="3" t="inlineStr">
        <is>
          <t>강내면</t>
        </is>
      </c>
    </row>
    <row r="4708">
      <c r="A4708" s="3" t="n">
        <v>2024</v>
      </c>
      <c r="B4708" s="4" t="n">
        <v>4000</v>
      </c>
      <c r="C4708" s="4" t="n">
        <v>13</v>
      </c>
      <c r="D4708" s="4" t="n">
        <v>3.9325</v>
      </c>
      <c r="E4708" s="5" t="n">
        <v>1017.2</v>
      </c>
      <c r="F4708" s="3" t="inlineStr">
        <is>
          <t>강내면</t>
        </is>
      </c>
      <c r="G4708" s="3" t="inlineStr">
        <is>
          <t>탑연리</t>
        </is>
      </c>
      <c r="H4708" s="3" t="inlineStr">
        <is>
          <t>일반상업지역</t>
        </is>
      </c>
      <c r="I4708" s="3" t="inlineStr">
        <is>
          <t>임야</t>
        </is>
      </c>
      <c r="J4708" s="3" t="inlineStr">
        <is>
          <t>강내면</t>
        </is>
      </c>
    </row>
    <row r="4709">
      <c r="A4709" s="3" t="n">
        <v>2024</v>
      </c>
      <c r="B4709" s="4" t="n">
        <v>450</v>
      </c>
      <c r="C4709" s="4" t="n">
        <v>15</v>
      </c>
      <c r="D4709" s="4" t="n">
        <v>4.5375</v>
      </c>
      <c r="E4709" s="5" t="n">
        <v>99.2</v>
      </c>
      <c r="F4709" s="3" t="inlineStr">
        <is>
          <t>강내면</t>
        </is>
      </c>
      <c r="G4709" s="3" t="inlineStr">
        <is>
          <t>저산리</t>
        </is>
      </c>
      <c r="H4709" s="3" t="inlineStr">
        <is>
          <t>보전관리지역</t>
        </is>
      </c>
      <c r="I4709" s="3" t="inlineStr">
        <is>
          <t>대</t>
        </is>
      </c>
      <c r="J4709" s="3" t="inlineStr">
        <is>
          <t>강내면</t>
        </is>
      </c>
    </row>
    <row r="4710">
      <c r="A4710" s="3" t="n">
        <v>2024</v>
      </c>
      <c r="B4710" s="4" t="n">
        <v>21120</v>
      </c>
      <c r="C4710" s="4" t="n">
        <v>583</v>
      </c>
      <c r="D4710" s="4" t="n">
        <v>176.3575</v>
      </c>
      <c r="E4710" s="5" t="n">
        <v>119.8</v>
      </c>
      <c r="F4710" s="3" t="inlineStr">
        <is>
          <t>강내면</t>
        </is>
      </c>
      <c r="G4710" s="3" t="inlineStr">
        <is>
          <t>저산리</t>
        </is>
      </c>
      <c r="H4710" s="3" t="inlineStr">
        <is>
          <t>보전관리지역</t>
        </is>
      </c>
      <c r="I4710" s="3" t="inlineStr">
        <is>
          <t>대</t>
        </is>
      </c>
      <c r="J4710" s="3" t="inlineStr">
        <is>
          <t>강내면</t>
        </is>
      </c>
    </row>
    <row r="4711">
      <c r="A4711" s="3" t="n">
        <v>2024</v>
      </c>
      <c r="B4711" s="4" t="n">
        <v>18400</v>
      </c>
      <c r="C4711" s="4" t="n">
        <v>612</v>
      </c>
      <c r="D4711" s="4" t="n">
        <v>185.13</v>
      </c>
      <c r="E4711" s="5" t="n">
        <v>99.40000000000001</v>
      </c>
      <c r="F4711" s="3" t="inlineStr">
        <is>
          <t>강내면</t>
        </is>
      </c>
      <c r="G4711" s="3" t="inlineStr">
        <is>
          <t>저산리</t>
        </is>
      </c>
      <c r="H4711" s="3" t="inlineStr">
        <is>
          <t>계획관리지역</t>
        </is>
      </c>
      <c r="I4711" s="3" t="inlineStr">
        <is>
          <t>대</t>
        </is>
      </c>
      <c r="J4711" s="3" t="inlineStr">
        <is>
          <t>강내면</t>
        </is>
      </c>
    </row>
    <row r="4712">
      <c r="A4712" s="3" t="n">
        <v>2024</v>
      </c>
      <c r="B4712" s="4" t="n">
        <v>880000</v>
      </c>
      <c r="C4712" s="4" t="n">
        <v>2868</v>
      </c>
      <c r="D4712" s="4" t="n">
        <v>867.5699999999999</v>
      </c>
      <c r="E4712" s="5" t="n">
        <v>1014.3</v>
      </c>
      <c r="F4712" s="3" t="inlineStr">
        <is>
          <t>강내면</t>
        </is>
      </c>
      <c r="G4712" s="3" t="inlineStr">
        <is>
          <t>탑연리</t>
        </is>
      </c>
      <c r="H4712" s="3" t="inlineStr">
        <is>
          <t>일반상업지역</t>
        </is>
      </c>
      <c r="I4712" s="3" t="inlineStr">
        <is>
          <t>대</t>
        </is>
      </c>
      <c r="J4712" s="3" t="inlineStr">
        <is>
          <t>강내면</t>
        </is>
      </c>
    </row>
    <row r="4713">
      <c r="A4713" s="3" t="n">
        <v>2024</v>
      </c>
      <c r="B4713" s="4" t="n">
        <v>55000</v>
      </c>
      <c r="C4713" s="4" t="n">
        <v>2387</v>
      </c>
      <c r="D4713" s="4" t="n">
        <v>722.0675</v>
      </c>
      <c r="E4713" s="5" t="n">
        <v>76.2</v>
      </c>
      <c r="F4713" s="3" t="inlineStr">
        <is>
          <t>강내면</t>
        </is>
      </c>
      <c r="G4713" s="3" t="inlineStr">
        <is>
          <t>다락리</t>
        </is>
      </c>
      <c r="H4713" s="3" t="inlineStr">
        <is>
          <t>계획관리지역</t>
        </is>
      </c>
      <c r="I4713" s="3" t="inlineStr">
        <is>
          <t>전</t>
        </is>
      </c>
      <c r="J4713" s="3" t="inlineStr">
        <is>
          <t>강내면</t>
        </is>
      </c>
    </row>
    <row r="4714">
      <c r="A4714" s="3" t="n">
        <v>2024</v>
      </c>
      <c r="B4714" s="4" t="n">
        <v>64000</v>
      </c>
      <c r="C4714" s="4" t="n">
        <v>3025</v>
      </c>
      <c r="D4714" s="4" t="n">
        <v>915.0625</v>
      </c>
      <c r="E4714" s="5" t="n">
        <v>69.90000000000001</v>
      </c>
      <c r="F4714" s="3" t="inlineStr">
        <is>
          <t>오송읍</t>
        </is>
      </c>
      <c r="G4714" s="3" t="inlineStr">
        <is>
          <t>서평리</t>
        </is>
      </c>
      <c r="H4714" s="3" t="inlineStr">
        <is>
          <t>농림지역</t>
        </is>
      </c>
      <c r="I4714" s="3" t="inlineStr">
        <is>
          <t>답</t>
        </is>
      </c>
      <c r="J4714" s="3" t="inlineStr">
        <is>
          <t>오송읍</t>
        </is>
      </c>
    </row>
    <row r="4715">
      <c r="A4715" s="3" t="n">
        <v>2024</v>
      </c>
      <c r="B4715" s="4" t="n">
        <v>1658</v>
      </c>
      <c r="C4715" s="4" t="n">
        <v>24</v>
      </c>
      <c r="D4715" s="4" t="n">
        <v>7.26</v>
      </c>
      <c r="E4715" s="5" t="n">
        <v>228.4</v>
      </c>
      <c r="F4715" s="3" t="inlineStr">
        <is>
          <t>오송읍</t>
        </is>
      </c>
      <c r="G4715" s="3" t="inlineStr">
        <is>
          <t>궁평리</t>
        </is>
      </c>
      <c r="H4715" s="3" t="inlineStr">
        <is>
          <t>계획관리지역</t>
        </is>
      </c>
      <c r="I4715" s="3" t="inlineStr">
        <is>
          <t>도로</t>
        </is>
      </c>
      <c r="J4715" s="3" t="inlineStr">
        <is>
          <t>오송읍</t>
        </is>
      </c>
    </row>
    <row r="4716">
      <c r="A4716" s="3" t="n">
        <v>2024</v>
      </c>
      <c r="B4716" s="4" t="n">
        <v>34600</v>
      </c>
      <c r="C4716" s="4" t="n">
        <v>2084</v>
      </c>
      <c r="D4716" s="4" t="n">
        <v>630.41</v>
      </c>
      <c r="E4716" s="5" t="n">
        <v>54.9</v>
      </c>
      <c r="F4716" s="3" t="inlineStr">
        <is>
          <t>오송읍</t>
        </is>
      </c>
      <c r="G4716" s="3" t="inlineStr">
        <is>
          <t>공북리</t>
        </is>
      </c>
      <c r="H4716" s="3" t="inlineStr">
        <is>
          <t>농림지역</t>
        </is>
      </c>
      <c r="I4716" s="3" t="inlineStr">
        <is>
          <t>답</t>
        </is>
      </c>
      <c r="J4716" s="3" t="inlineStr">
        <is>
          <t>오송읍</t>
        </is>
      </c>
    </row>
    <row r="4717">
      <c r="A4717" s="3" t="n">
        <v>2024</v>
      </c>
      <c r="B4717" s="4" t="n">
        <v>1200</v>
      </c>
      <c r="C4717" s="4" t="n">
        <v>15</v>
      </c>
      <c r="D4717" s="4" t="n">
        <v>4.5375</v>
      </c>
      <c r="E4717" s="5" t="n">
        <v>264.5</v>
      </c>
      <c r="F4717" s="3" t="inlineStr">
        <is>
          <t>오송읍</t>
        </is>
      </c>
      <c r="G4717" s="3" t="inlineStr">
        <is>
          <t>오송리</t>
        </is>
      </c>
      <c r="H4717" s="3" t="inlineStr">
        <is>
          <t>계획관리지역</t>
        </is>
      </c>
      <c r="I4717" s="3" t="inlineStr">
        <is>
          <t>대</t>
        </is>
      </c>
      <c r="J4717" s="3" t="inlineStr">
        <is>
          <t>오송읍</t>
        </is>
      </c>
    </row>
    <row r="4718">
      <c r="A4718" s="3" t="n">
        <v>2024</v>
      </c>
      <c r="B4718" s="4" t="n">
        <v>19600</v>
      </c>
      <c r="C4718" s="4" t="n">
        <v>1617</v>
      </c>
      <c r="D4718" s="4" t="n">
        <v>489.1425</v>
      </c>
      <c r="E4718" s="5" t="n">
        <v>40.1</v>
      </c>
      <c r="F4718" s="3" t="inlineStr">
        <is>
          <t>오송읍</t>
        </is>
      </c>
      <c r="G4718" s="3" t="inlineStr">
        <is>
          <t>호계리</t>
        </is>
      </c>
      <c r="H4718" s="3" t="inlineStr">
        <is>
          <t>농림지역</t>
        </is>
      </c>
      <c r="I4718" s="3" t="inlineStr">
        <is>
          <t>답</t>
        </is>
      </c>
      <c r="J4718" s="3" t="inlineStr">
        <is>
          <t>오송읍</t>
        </is>
      </c>
    </row>
    <row r="4719">
      <c r="A4719" s="3" t="n">
        <v>2024</v>
      </c>
      <c r="B4719" s="4" t="n">
        <v>4520</v>
      </c>
      <c r="C4719" s="4" t="n">
        <v>377</v>
      </c>
      <c r="D4719" s="4" t="n">
        <v>114.0425</v>
      </c>
      <c r="E4719" s="5" t="n">
        <v>39.6</v>
      </c>
      <c r="F4719" s="3" t="inlineStr">
        <is>
          <t>오송읍</t>
        </is>
      </c>
      <c r="G4719" s="3" t="inlineStr">
        <is>
          <t>호계리</t>
        </is>
      </c>
      <c r="H4719" s="3" t="inlineStr">
        <is>
          <t>농림지역</t>
        </is>
      </c>
      <c r="I4719" s="3" t="inlineStr">
        <is>
          <t>답</t>
        </is>
      </c>
      <c r="J4719" s="3" t="inlineStr">
        <is>
          <t>오송읍</t>
        </is>
      </c>
    </row>
    <row r="4720">
      <c r="A4720" s="3" t="n">
        <v>2025</v>
      </c>
      <c r="B4720" s="4" t="n">
        <v>35000</v>
      </c>
      <c r="C4720" s="4" t="n">
        <v>240.5</v>
      </c>
      <c r="D4720" s="4" t="n">
        <v>72.75125</v>
      </c>
      <c r="E4720" s="5" t="n">
        <v>481.1</v>
      </c>
      <c r="F4720" s="3" t="inlineStr">
        <is>
          <t>오송읍</t>
        </is>
      </c>
      <c r="G4720" s="3" t="inlineStr">
        <is>
          <t>봉산리</t>
        </is>
      </c>
      <c r="H4720" s="3" t="inlineStr">
        <is>
          <t>제1종일반주거지역</t>
        </is>
      </c>
      <c r="I4720" s="3" t="inlineStr">
        <is>
          <t>대</t>
        </is>
      </c>
      <c r="J4720" s="3" t="inlineStr">
        <is>
          <t>오송읍</t>
        </is>
      </c>
    </row>
    <row r="4721">
      <c r="A4721" s="3" t="n">
        <v>2025</v>
      </c>
      <c r="B4721" s="4" t="n">
        <v>55000</v>
      </c>
      <c r="C4721" s="4" t="n">
        <v>290.8</v>
      </c>
      <c r="D4721" s="4" t="n">
        <v>87.967</v>
      </c>
      <c r="E4721" s="5" t="n">
        <v>625.2</v>
      </c>
      <c r="F4721" s="3" t="inlineStr">
        <is>
          <t>오송읍</t>
        </is>
      </c>
      <c r="G4721" s="3" t="inlineStr">
        <is>
          <t>봉산리</t>
        </is>
      </c>
      <c r="H4721" s="3" t="inlineStr">
        <is>
          <t>제1종일반주거지역</t>
        </is>
      </c>
      <c r="I4721" s="3" t="inlineStr">
        <is>
          <t>대</t>
        </is>
      </c>
      <c r="J4721" s="3" t="inlineStr">
        <is>
          <t>오송읍</t>
        </is>
      </c>
    </row>
    <row r="4722">
      <c r="A4722" s="3" t="n">
        <v>2025</v>
      </c>
      <c r="B4722" s="4" t="n">
        <v>35000</v>
      </c>
      <c r="C4722" s="4" t="n">
        <v>267.6</v>
      </c>
      <c r="D4722" s="4" t="n">
        <v>80.949</v>
      </c>
      <c r="E4722" s="5" t="n">
        <v>432.4</v>
      </c>
      <c r="F4722" s="3" t="inlineStr">
        <is>
          <t>오송읍</t>
        </is>
      </c>
      <c r="G4722" s="3" t="inlineStr">
        <is>
          <t>봉산리</t>
        </is>
      </c>
      <c r="H4722" s="3" t="inlineStr">
        <is>
          <t>제1종일반주거지역</t>
        </is>
      </c>
      <c r="I4722" s="3" t="inlineStr">
        <is>
          <t>대</t>
        </is>
      </c>
      <c r="J4722" s="3" t="inlineStr">
        <is>
          <t>오송읍</t>
        </is>
      </c>
    </row>
    <row r="4723">
      <c r="A4723" s="3" t="n">
        <v>2025</v>
      </c>
      <c r="B4723" s="4" t="n">
        <v>32427</v>
      </c>
      <c r="C4723" s="4" t="n">
        <v>573</v>
      </c>
      <c r="D4723" s="4" t="n">
        <v>173.3325</v>
      </c>
      <c r="E4723" s="5" t="n">
        <v>187.1</v>
      </c>
      <c r="F4723" s="3" t="inlineStr">
        <is>
          <t>강내면</t>
        </is>
      </c>
      <c r="G4723" s="3" t="inlineStr">
        <is>
          <t>다락리</t>
        </is>
      </c>
      <c r="H4723" s="3" t="inlineStr">
        <is>
          <t>계획관리지역</t>
        </is>
      </c>
      <c r="I4723" s="3" t="inlineStr">
        <is>
          <t>대</t>
        </is>
      </c>
      <c r="J4723" s="3" t="inlineStr">
        <is>
          <t>강내면</t>
        </is>
      </c>
    </row>
    <row r="4724">
      <c r="A4724" s="3" t="n">
        <v>2025</v>
      </c>
      <c r="B4724" s="4" t="n">
        <v>16000</v>
      </c>
      <c r="C4724" s="4" t="n">
        <v>754</v>
      </c>
      <c r="D4724" s="4" t="n">
        <v>228.085</v>
      </c>
      <c r="E4724" s="5" t="n">
        <v>70.09999999999999</v>
      </c>
      <c r="F4724" s="3" t="inlineStr">
        <is>
          <t>오송읍</t>
        </is>
      </c>
      <c r="G4724" s="3" t="inlineStr">
        <is>
          <t>정중리</t>
        </is>
      </c>
      <c r="H4724" s="3" t="inlineStr">
        <is>
          <t>생산관리지역</t>
        </is>
      </c>
      <c r="I4724" s="3" t="inlineStr">
        <is>
          <t>전</t>
        </is>
      </c>
      <c r="J4724" s="3" t="inlineStr">
        <is>
          <t>오송읍</t>
        </is>
      </c>
    </row>
    <row r="4725">
      <c r="A4725" s="3" t="n">
        <v>2025</v>
      </c>
      <c r="B4725" s="4" t="n">
        <v>18600</v>
      </c>
      <c r="C4725" s="4" t="n">
        <v>879</v>
      </c>
      <c r="D4725" s="4" t="n">
        <v>265.8975</v>
      </c>
      <c r="E4725" s="5" t="n">
        <v>70</v>
      </c>
      <c r="F4725" s="3" t="inlineStr">
        <is>
          <t>오송읍</t>
        </is>
      </c>
      <c r="G4725" s="3" t="inlineStr">
        <is>
          <t>정중리</t>
        </is>
      </c>
      <c r="H4725" s="3" t="inlineStr">
        <is>
          <t>생산관리지역</t>
        </is>
      </c>
      <c r="I4725" s="3" t="inlineStr">
        <is>
          <t>전</t>
        </is>
      </c>
      <c r="J4725" s="3" t="inlineStr">
        <is>
          <t>오송읍</t>
        </is>
      </c>
    </row>
    <row r="4726">
      <c r="A4726" s="3" t="n">
        <v>2025</v>
      </c>
      <c r="B4726" s="4" t="n">
        <v>1300</v>
      </c>
      <c r="C4726" s="4" t="n">
        <v>60</v>
      </c>
      <c r="D4726" s="4" t="n">
        <v>18.15</v>
      </c>
      <c r="E4726" s="5" t="n">
        <v>71.59999999999999</v>
      </c>
      <c r="F4726" s="3" t="inlineStr">
        <is>
          <t>오송읍</t>
        </is>
      </c>
      <c r="G4726" s="3" t="inlineStr">
        <is>
          <t>정중리</t>
        </is>
      </c>
      <c r="H4726" s="3" t="inlineStr">
        <is>
          <t>생산관리지역</t>
        </is>
      </c>
      <c r="I4726" s="3" t="inlineStr">
        <is>
          <t>전</t>
        </is>
      </c>
      <c r="J4726" s="3" t="inlineStr">
        <is>
          <t>오송읍</t>
        </is>
      </c>
    </row>
    <row r="4727">
      <c r="A4727" s="3" t="n">
        <v>2025</v>
      </c>
      <c r="B4727" s="4" t="n">
        <v>11100</v>
      </c>
      <c r="C4727" s="4" t="n">
        <v>529</v>
      </c>
      <c r="D4727" s="4" t="n">
        <v>160.0225</v>
      </c>
      <c r="E4727" s="5" t="n">
        <v>69.40000000000001</v>
      </c>
      <c r="F4727" s="3" t="inlineStr">
        <is>
          <t>오송읍</t>
        </is>
      </c>
      <c r="G4727" s="3" t="inlineStr">
        <is>
          <t>정중리</t>
        </is>
      </c>
      <c r="H4727" s="3" t="inlineStr">
        <is>
          <t>생산관리지역</t>
        </is>
      </c>
      <c r="I4727" s="3" t="inlineStr">
        <is>
          <t>전</t>
        </is>
      </c>
      <c r="J4727" s="3" t="inlineStr">
        <is>
          <t>오송읍</t>
        </is>
      </c>
    </row>
    <row r="4728">
      <c r="A4728" s="3" t="n">
        <v>2025</v>
      </c>
      <c r="B4728" s="4" t="n">
        <v>5000</v>
      </c>
      <c r="C4728" s="4" t="n">
        <v>340</v>
      </c>
      <c r="D4728" s="4" t="n">
        <v>102.85</v>
      </c>
      <c r="E4728" s="5" t="n">
        <v>48.6</v>
      </c>
      <c r="F4728" s="3" t="inlineStr">
        <is>
          <t>오송읍</t>
        </is>
      </c>
      <c r="G4728" s="3" t="inlineStr">
        <is>
          <t>쌍청리</t>
        </is>
      </c>
      <c r="H4728" s="3" t="inlineStr">
        <is>
          <t>계획관리지역</t>
        </is>
      </c>
      <c r="I4728" s="3" t="inlineStr">
        <is>
          <t>전</t>
        </is>
      </c>
      <c r="J4728" s="3" t="inlineStr">
        <is>
          <t>오송읍</t>
        </is>
      </c>
    </row>
    <row r="4729">
      <c r="A4729" s="3" t="n">
        <v>2025</v>
      </c>
      <c r="B4729" s="4" t="n">
        <v>16000</v>
      </c>
      <c r="C4729" s="4" t="n">
        <v>754</v>
      </c>
      <c r="D4729" s="4" t="n">
        <v>228.085</v>
      </c>
      <c r="E4729" s="5" t="n">
        <v>70.09999999999999</v>
      </c>
      <c r="F4729" s="3" t="inlineStr">
        <is>
          <t>오송읍</t>
        </is>
      </c>
      <c r="G4729" s="3" t="inlineStr">
        <is>
          <t>정중리</t>
        </is>
      </c>
      <c r="H4729" s="3" t="inlineStr">
        <is>
          <t>생산관리지역</t>
        </is>
      </c>
      <c r="I4729" s="3" t="inlineStr">
        <is>
          <t>전</t>
        </is>
      </c>
      <c r="J4729" s="3" t="inlineStr">
        <is>
          <t>오송읍</t>
        </is>
      </c>
    </row>
    <row r="4730">
      <c r="A4730" s="3" t="n">
        <v>2025</v>
      </c>
      <c r="B4730" s="4" t="n">
        <v>18600</v>
      </c>
      <c r="C4730" s="4" t="n">
        <v>879</v>
      </c>
      <c r="D4730" s="4" t="n">
        <v>265.8975</v>
      </c>
      <c r="E4730" s="5" t="n">
        <v>70</v>
      </c>
      <c r="F4730" s="3" t="inlineStr">
        <is>
          <t>오송읍</t>
        </is>
      </c>
      <c r="G4730" s="3" t="inlineStr">
        <is>
          <t>정중리</t>
        </is>
      </c>
      <c r="H4730" s="3" t="inlineStr">
        <is>
          <t>생산관리지역</t>
        </is>
      </c>
      <c r="I4730" s="3" t="inlineStr">
        <is>
          <t>전</t>
        </is>
      </c>
      <c r="J4730" s="3" t="inlineStr">
        <is>
          <t>오송읍</t>
        </is>
      </c>
    </row>
    <row r="4731">
      <c r="A4731" s="3" t="n">
        <v>2025</v>
      </c>
      <c r="B4731" s="4" t="n">
        <v>1300</v>
      </c>
      <c r="C4731" s="4" t="n">
        <v>60</v>
      </c>
      <c r="D4731" s="4" t="n">
        <v>18.15</v>
      </c>
      <c r="E4731" s="5" t="n">
        <v>71.59999999999999</v>
      </c>
      <c r="F4731" s="3" t="inlineStr">
        <is>
          <t>오송읍</t>
        </is>
      </c>
      <c r="G4731" s="3" t="inlineStr">
        <is>
          <t>정중리</t>
        </is>
      </c>
      <c r="H4731" s="3" t="inlineStr">
        <is>
          <t>생산관리지역</t>
        </is>
      </c>
      <c r="I4731" s="3" t="inlineStr">
        <is>
          <t>전</t>
        </is>
      </c>
      <c r="J4731" s="3" t="inlineStr">
        <is>
          <t>오송읍</t>
        </is>
      </c>
    </row>
    <row r="4732">
      <c r="A4732" s="3" t="n">
        <v>2025</v>
      </c>
      <c r="B4732" s="4" t="n">
        <v>11100</v>
      </c>
      <c r="C4732" s="4" t="n">
        <v>529</v>
      </c>
      <c r="D4732" s="4" t="n">
        <v>160.0225</v>
      </c>
      <c r="E4732" s="5" t="n">
        <v>69.40000000000001</v>
      </c>
      <c r="F4732" s="3" t="inlineStr">
        <is>
          <t>오송읍</t>
        </is>
      </c>
      <c r="G4732" s="3" t="inlineStr">
        <is>
          <t>정중리</t>
        </is>
      </c>
      <c r="H4732" s="3" t="inlineStr">
        <is>
          <t>생산관리지역</t>
        </is>
      </c>
      <c r="I4732" s="3" t="inlineStr">
        <is>
          <t>전</t>
        </is>
      </c>
      <c r="J4732" s="3" t="inlineStr">
        <is>
          <t>오송읍</t>
        </is>
      </c>
    </row>
    <row r="4733">
      <c r="A4733" s="3" t="n">
        <v>2026</v>
      </c>
      <c r="B4733" s="4" t="n">
        <v>8500</v>
      </c>
      <c r="C4733" s="4" t="n">
        <v>1140</v>
      </c>
      <c r="D4733" s="4" t="n">
        <v>344.85</v>
      </c>
      <c r="E4733" s="5" t="n">
        <v>24.6</v>
      </c>
      <c r="F4733" s="3" t="inlineStr">
        <is>
          <t>강내면</t>
        </is>
      </c>
      <c r="G4733" s="3" t="inlineStr">
        <is>
          <t>사인리</t>
        </is>
      </c>
      <c r="H4733" s="3" t="inlineStr">
        <is>
          <t>생산녹지지역</t>
        </is>
      </c>
      <c r="I4733" s="3" t="inlineStr">
        <is>
          <t>답</t>
        </is>
      </c>
      <c r="J4733" s="3" t="inlineStr">
        <is>
          <t>강내면</t>
        </is>
      </c>
    </row>
    <row r="4734">
      <c r="A4734" s="3" t="n">
        <v>2026</v>
      </c>
      <c r="B4734" s="4" t="n">
        <v>495</v>
      </c>
      <c r="C4734" s="4" t="n">
        <v>71</v>
      </c>
      <c r="D4734" s="4" t="n">
        <v>21.4775</v>
      </c>
      <c r="E4734" s="5" t="n">
        <v>23</v>
      </c>
      <c r="F4734" s="3" t="inlineStr">
        <is>
          <t>강내면</t>
        </is>
      </c>
      <c r="G4734" s="3" t="inlineStr">
        <is>
          <t>학천리</t>
        </is>
      </c>
      <c r="H4734" s="3" t="inlineStr">
        <is>
          <t>생산녹지지역</t>
        </is>
      </c>
      <c r="I4734" s="3" t="inlineStr">
        <is>
          <t>답</t>
        </is>
      </c>
      <c r="J4734" s="3" t="inlineStr">
        <is>
          <t>강내면</t>
        </is>
      </c>
    </row>
    <row r="4735">
      <c r="A4735" s="3" t="n">
        <v>2026</v>
      </c>
      <c r="B4735" s="4" t="n">
        <v>30000</v>
      </c>
      <c r="C4735" s="4" t="n">
        <v>314</v>
      </c>
      <c r="D4735" s="4" t="n">
        <v>94.985</v>
      </c>
      <c r="E4735" s="5" t="n">
        <v>315.8</v>
      </c>
      <c r="F4735" s="3" t="inlineStr">
        <is>
          <t>오송읍</t>
        </is>
      </c>
      <c r="G4735" s="3" t="inlineStr">
        <is>
          <t>봉산리</t>
        </is>
      </c>
      <c r="H4735" s="3" t="inlineStr">
        <is>
          <t>제1종일반주거지역</t>
        </is>
      </c>
      <c r="I4735" s="3" t="inlineStr">
        <is>
          <t>대</t>
        </is>
      </c>
      <c r="J4735" s="3" t="inlineStr">
        <is>
          <t>오송읍</t>
        </is>
      </c>
    </row>
    <row r="4736">
      <c r="A4736" s="3" t="n">
        <v>2026</v>
      </c>
      <c r="B4736" s="4" t="n">
        <v>35000</v>
      </c>
      <c r="C4736" s="4" t="n">
        <v>330</v>
      </c>
      <c r="D4736" s="4" t="n">
        <v>99.825</v>
      </c>
      <c r="E4736" s="5" t="n">
        <v>350.6</v>
      </c>
      <c r="F4736" s="3" t="inlineStr">
        <is>
          <t>강내면</t>
        </is>
      </c>
      <c r="G4736" s="3" t="inlineStr">
        <is>
          <t>월탄리</t>
        </is>
      </c>
      <c r="H4736" s="3" t="inlineStr">
        <is>
          <t>계획관리지역</t>
        </is>
      </c>
      <c r="I4736" s="3" t="inlineStr">
        <is>
          <t>도로</t>
        </is>
      </c>
      <c r="J4736" s="3" t="inlineStr">
        <is>
          <t>강내면</t>
        </is>
      </c>
    </row>
    <row r="4737">
      <c r="A4737" s="3" t="n">
        <v>2026</v>
      </c>
      <c r="B4737" s="4" t="n">
        <v>15500</v>
      </c>
      <c r="C4737" s="4" t="n">
        <v>2066</v>
      </c>
      <c r="D4737" s="4" t="n">
        <v>624.965</v>
      </c>
      <c r="E4737" s="5" t="n">
        <v>24.8</v>
      </c>
      <c r="F4737" s="3" t="inlineStr">
        <is>
          <t>강내면</t>
        </is>
      </c>
      <c r="G4737" s="3" t="inlineStr">
        <is>
          <t>학천리</t>
        </is>
      </c>
      <c r="H4737" s="3" t="inlineStr">
        <is>
          <t>생산녹지지역</t>
        </is>
      </c>
      <c r="I4737" s="3" t="inlineStr">
        <is>
          <t>답</t>
        </is>
      </c>
      <c r="J4737" s="3" t="inlineStr">
        <is>
          <t>강내면</t>
        </is>
      </c>
    </row>
    <row r="4738">
      <c r="A4738" s="3" t="n">
        <v>2026</v>
      </c>
      <c r="B4738" s="4" t="n">
        <v>40000</v>
      </c>
      <c r="C4738" s="4" t="n">
        <v>2382</v>
      </c>
      <c r="D4738" s="4" t="n">
        <v>720.5549999999999</v>
      </c>
      <c r="E4738" s="5" t="n">
        <v>55.5</v>
      </c>
      <c r="F4738" s="3" t="inlineStr">
        <is>
          <t>오송읍</t>
        </is>
      </c>
      <c r="G4738" s="3" t="inlineStr">
        <is>
          <t>궁평리</t>
        </is>
      </c>
      <c r="H4738" s="3" t="inlineStr">
        <is>
          <t>농림지역</t>
        </is>
      </c>
      <c r="I4738" s="3" t="inlineStr">
        <is>
          <t>답</t>
        </is>
      </c>
      <c r="J4738" s="3" t="inlineStr">
        <is>
          <t>오송읍</t>
        </is>
      </c>
    </row>
    <row r="4739">
      <c r="A4739" s="3" t="n">
        <v>2026</v>
      </c>
      <c r="B4739" s="4" t="n">
        <v>17000</v>
      </c>
      <c r="C4739" s="4" t="n">
        <v>2083</v>
      </c>
      <c r="D4739" s="4" t="n">
        <v>630.1075</v>
      </c>
      <c r="E4739" s="5" t="n">
        <v>27</v>
      </c>
      <c r="F4739" s="3" t="inlineStr">
        <is>
          <t>오송읍</t>
        </is>
      </c>
      <c r="G4739" s="3" t="inlineStr">
        <is>
          <t>호계리</t>
        </is>
      </c>
      <c r="H4739" s="3" t="inlineStr">
        <is>
          <t>농림지역</t>
        </is>
      </c>
      <c r="I4739" s="3" t="inlineStr">
        <is>
          <t>답</t>
        </is>
      </c>
      <c r="J4739" s="3" t="inlineStr">
        <is>
          <t>오송읍</t>
        </is>
      </c>
    </row>
    <row r="4740">
      <c r="A4740" s="3" t="n">
        <v>2026</v>
      </c>
      <c r="B4740" s="4" t="n">
        <v>28000</v>
      </c>
      <c r="C4740" s="4" t="n">
        <v>283.7</v>
      </c>
      <c r="D4740" s="4" t="n">
        <v>85.81925</v>
      </c>
      <c r="E4740" s="5" t="n">
        <v>326.3</v>
      </c>
      <c r="F4740" s="3" t="inlineStr">
        <is>
          <t>오송읍</t>
        </is>
      </c>
      <c r="G4740" s="3" t="inlineStr">
        <is>
          <t>봉산리</t>
        </is>
      </c>
      <c r="H4740" s="3" t="inlineStr">
        <is>
          <t>제1종일반주거지역</t>
        </is>
      </c>
      <c r="I4740" s="3" t="inlineStr">
        <is>
          <t>대</t>
        </is>
      </c>
      <c r="J4740" s="3" t="inlineStr">
        <is>
          <t>오송읍</t>
        </is>
      </c>
    </row>
    <row r="4741">
      <c r="A4741" s="3" t="n">
        <v>2026</v>
      </c>
      <c r="B4741" s="4" t="n">
        <v>2136</v>
      </c>
      <c r="C4741" s="4" t="n">
        <v>178</v>
      </c>
      <c r="D4741" s="4" t="n">
        <v>53.845</v>
      </c>
      <c r="E4741" s="5" t="n">
        <v>39.7</v>
      </c>
      <c r="F4741" s="3" t="inlineStr">
        <is>
          <t>강내면</t>
        </is>
      </c>
      <c r="G4741" s="3" t="inlineStr">
        <is>
          <t>궁현리</t>
        </is>
      </c>
      <c r="H4741" s="3" t="inlineStr">
        <is>
          <t>농림지역</t>
        </is>
      </c>
      <c r="I4741" s="3" t="inlineStr">
        <is>
          <t>답</t>
        </is>
      </c>
      <c r="J4741" s="3" t="inlineStr">
        <is>
          <t>강내면</t>
        </is>
      </c>
    </row>
    <row r="4742">
      <c r="A4742" s="3" t="n">
        <v>2026</v>
      </c>
      <c r="B4742" s="4" t="n">
        <v>24000</v>
      </c>
      <c r="C4742" s="4" t="n">
        <v>1111</v>
      </c>
      <c r="D4742" s="4" t="n">
        <v>336.0775</v>
      </c>
      <c r="E4742" s="5" t="n">
        <v>71.40000000000001</v>
      </c>
      <c r="F4742" s="3" t="inlineStr">
        <is>
          <t>강내면</t>
        </is>
      </c>
      <c r="G4742" s="3" t="inlineStr">
        <is>
          <t>월탄리</t>
        </is>
      </c>
      <c r="H4742" s="3" t="inlineStr">
        <is>
          <t>자연녹지지역</t>
        </is>
      </c>
      <c r="I4742" s="3" t="inlineStr">
        <is>
          <t>답</t>
        </is>
      </c>
      <c r="J4742" s="3" t="inlineStr">
        <is>
          <t>강내면</t>
        </is>
      </c>
    </row>
    <row r="4743">
      <c r="A4743" s="3" t="n">
        <v>2025</v>
      </c>
      <c r="B4743" s="4" t="n">
        <v>70700</v>
      </c>
      <c r="C4743" s="4" t="n">
        <v>3977</v>
      </c>
      <c r="D4743" s="4" t="n">
        <v>1203.0425</v>
      </c>
      <c r="E4743" s="5" t="n">
        <v>58.8</v>
      </c>
      <c r="F4743" s="3" t="inlineStr">
        <is>
          <t>남이면</t>
        </is>
      </c>
      <c r="G4743" s="3" t="inlineStr">
        <is>
          <t>구암리</t>
        </is>
      </c>
      <c r="H4743" s="3" t="inlineStr">
        <is>
          <t>자연녹지지역</t>
        </is>
      </c>
      <c r="I4743" s="3" t="inlineStr">
        <is>
          <t>공장용지</t>
        </is>
      </c>
      <c r="J4743" s="3" t="inlineStr">
        <is>
          <t>남이면</t>
        </is>
      </c>
    </row>
    <row r="4744">
      <c r="A4744" s="3" t="n">
        <v>2025</v>
      </c>
      <c r="B4744" s="4" t="n">
        <v>3500</v>
      </c>
      <c r="C4744" s="4" t="n">
        <v>396</v>
      </c>
      <c r="D4744" s="4" t="n">
        <v>119.79</v>
      </c>
      <c r="E4744" s="5" t="n">
        <v>29.2</v>
      </c>
      <c r="F4744" s="3" t="inlineStr">
        <is>
          <t>남이면</t>
        </is>
      </c>
      <c r="G4744" s="3" t="inlineStr">
        <is>
          <t>구암리</t>
        </is>
      </c>
      <c r="H4744" s="3" t="inlineStr">
        <is>
          <t>자연녹지지역</t>
        </is>
      </c>
      <c r="I4744" s="3" t="inlineStr">
        <is>
          <t>답</t>
        </is>
      </c>
      <c r="J4744" s="3" t="inlineStr">
        <is>
          <t>남이면</t>
        </is>
      </c>
    </row>
    <row r="4745">
      <c r="A4745" s="3" t="n">
        <v>2025</v>
      </c>
      <c r="B4745" s="4" t="n">
        <v>1000</v>
      </c>
      <c r="C4745" s="4" t="n">
        <v>50</v>
      </c>
      <c r="D4745" s="4" t="n">
        <v>15.125</v>
      </c>
      <c r="E4745" s="5" t="n">
        <v>66.09999999999999</v>
      </c>
      <c r="F4745" s="3" t="inlineStr">
        <is>
          <t>남이면</t>
        </is>
      </c>
      <c r="G4745" s="3" t="inlineStr">
        <is>
          <t>팔봉리</t>
        </is>
      </c>
      <c r="H4745" s="3" t="inlineStr">
        <is>
          <t>자연녹지지역</t>
        </is>
      </c>
      <c r="I4745" s="3" t="inlineStr">
        <is>
          <t>답</t>
        </is>
      </c>
      <c r="J4745" s="3" t="inlineStr">
        <is>
          <t>남이면</t>
        </is>
      </c>
    </row>
    <row r="4746">
      <c r="A4746" s="3" t="n">
        <v>2025</v>
      </c>
      <c r="B4746" s="4" t="n">
        <v>1452</v>
      </c>
      <c r="C4746" s="4" t="n">
        <v>103</v>
      </c>
      <c r="D4746" s="4" t="n">
        <v>31.1575</v>
      </c>
      <c r="E4746" s="5" t="n">
        <v>46.6</v>
      </c>
      <c r="F4746" s="3" t="inlineStr">
        <is>
          <t>남이면</t>
        </is>
      </c>
      <c r="G4746" s="3" t="inlineStr">
        <is>
          <t>구암리</t>
        </is>
      </c>
      <c r="H4746" s="3" t="inlineStr">
        <is>
          <t>보전녹지지역</t>
        </is>
      </c>
      <c r="I4746" s="3" t="inlineStr">
        <is>
          <t>임야</t>
        </is>
      </c>
      <c r="J4746" s="3" t="inlineStr">
        <is>
          <t>남이면</t>
        </is>
      </c>
    </row>
    <row r="4747">
      <c r="A4747" s="3" t="n">
        <v>2025</v>
      </c>
      <c r="B4747" s="4" t="n">
        <v>9600</v>
      </c>
      <c r="C4747" s="4" t="n">
        <v>1379</v>
      </c>
      <c r="D4747" s="4" t="n">
        <v>417.1475</v>
      </c>
      <c r="E4747" s="5" t="n">
        <v>23</v>
      </c>
      <c r="F4747" s="3" t="inlineStr">
        <is>
          <t>남이면</t>
        </is>
      </c>
      <c r="G4747" s="3" t="inlineStr">
        <is>
          <t>부용외천리</t>
        </is>
      </c>
      <c r="H4747" s="3" t="inlineStr">
        <is>
          <t>보전관리지역</t>
        </is>
      </c>
      <c r="I4747" s="3" t="inlineStr">
        <is>
          <t>전</t>
        </is>
      </c>
      <c r="J4747" s="3" t="inlineStr">
        <is>
          <t>남이면</t>
        </is>
      </c>
    </row>
    <row r="4748">
      <c r="A4748" s="3" t="n">
        <v>2025</v>
      </c>
      <c r="B4748" s="4" t="n">
        <v>3000</v>
      </c>
      <c r="C4748" s="4" t="n">
        <v>435</v>
      </c>
      <c r="D4748" s="4" t="n">
        <v>131.5875</v>
      </c>
      <c r="E4748" s="5" t="n">
        <v>22.8</v>
      </c>
      <c r="F4748" s="3" t="inlineStr">
        <is>
          <t>남이면</t>
        </is>
      </c>
      <c r="G4748" s="3" t="inlineStr">
        <is>
          <t>팔봉리</t>
        </is>
      </c>
      <c r="H4748" s="3" t="inlineStr">
        <is>
          <t>자연녹지지역</t>
        </is>
      </c>
      <c r="I4748" s="3" t="inlineStr">
        <is>
          <t>묘지</t>
        </is>
      </c>
      <c r="J4748" s="3" t="inlineStr">
        <is>
          <t>남이면</t>
        </is>
      </c>
    </row>
    <row r="4749">
      <c r="A4749" s="3" t="n">
        <v>2025</v>
      </c>
      <c r="B4749" s="4" t="n">
        <v>5700</v>
      </c>
      <c r="C4749" s="4" t="n">
        <v>656</v>
      </c>
      <c r="D4749" s="4" t="n">
        <v>198.44</v>
      </c>
      <c r="E4749" s="5" t="n">
        <v>28.7</v>
      </c>
      <c r="F4749" s="3" t="inlineStr">
        <is>
          <t>남이면</t>
        </is>
      </c>
      <c r="G4749" s="3" t="inlineStr">
        <is>
          <t>팔봉리</t>
        </is>
      </c>
      <c r="H4749" s="3" t="inlineStr">
        <is>
          <t>자연녹지지역</t>
        </is>
      </c>
      <c r="I4749" s="3" t="inlineStr">
        <is>
          <t>전</t>
        </is>
      </c>
      <c r="J4749" s="3" t="inlineStr">
        <is>
          <t>남이면</t>
        </is>
      </c>
    </row>
    <row r="4750">
      <c r="A4750" s="3" t="n">
        <v>2023</v>
      </c>
      <c r="B4750" s="4" t="n">
        <v>7197</v>
      </c>
      <c r="C4750" s="4" t="n">
        <v>185</v>
      </c>
      <c r="D4750" s="4" t="n">
        <v>55.9625</v>
      </c>
      <c r="E4750" s="5" t="n">
        <v>128.6</v>
      </c>
      <c r="F4750" s="3" t="inlineStr">
        <is>
          <t>남이면</t>
        </is>
      </c>
      <c r="G4750" s="3" t="inlineStr">
        <is>
          <t>가마리</t>
        </is>
      </c>
      <c r="H4750" s="3" t="inlineStr">
        <is>
          <t>자연녹지지역</t>
        </is>
      </c>
      <c r="I4750" s="3" t="inlineStr">
        <is>
          <t>도로</t>
        </is>
      </c>
      <c r="J4750" s="3" t="inlineStr">
        <is>
          <t>남이면</t>
        </is>
      </c>
    </row>
    <row r="4751">
      <c r="A4751" s="3" t="n">
        <v>2023</v>
      </c>
      <c r="B4751" s="4" t="n">
        <v>61470</v>
      </c>
      <c r="C4751" s="4" t="n">
        <v>2255</v>
      </c>
      <c r="D4751" s="4" t="n">
        <v>682.1374999999999</v>
      </c>
      <c r="E4751" s="5" t="n">
        <v>90.09999999999999</v>
      </c>
      <c r="F4751" s="3" t="inlineStr">
        <is>
          <t>남이면</t>
        </is>
      </c>
      <c r="G4751" s="3" t="inlineStr">
        <is>
          <t>수대리</t>
        </is>
      </c>
      <c r="H4751" s="3" t="inlineStr">
        <is>
          <t>자연녹지지역</t>
        </is>
      </c>
      <c r="I4751" s="3" t="inlineStr">
        <is>
          <t>답</t>
        </is>
      </c>
      <c r="J4751" s="3" t="inlineStr">
        <is>
          <t>남이면</t>
        </is>
      </c>
    </row>
    <row r="4752">
      <c r="A4752" s="3" t="n">
        <v>2023</v>
      </c>
      <c r="B4752" s="4" t="n">
        <v>15000</v>
      </c>
      <c r="C4752" s="4" t="n">
        <v>572</v>
      </c>
      <c r="D4752" s="4" t="n">
        <v>173.03</v>
      </c>
      <c r="E4752" s="5" t="n">
        <v>86.7</v>
      </c>
      <c r="F4752" s="3" t="inlineStr">
        <is>
          <t>남이면</t>
        </is>
      </c>
      <c r="G4752" s="3" t="inlineStr">
        <is>
          <t>수대리</t>
        </is>
      </c>
      <c r="H4752" s="3" t="inlineStr">
        <is>
          <t>자연녹지지역</t>
        </is>
      </c>
      <c r="I4752" s="3" t="inlineStr">
        <is>
          <t>답</t>
        </is>
      </c>
      <c r="J4752" s="3" t="inlineStr">
        <is>
          <t>남이면</t>
        </is>
      </c>
    </row>
    <row r="4753">
      <c r="A4753" s="3" t="n">
        <v>2023</v>
      </c>
      <c r="B4753" s="4" t="n">
        <v>7448</v>
      </c>
      <c r="C4753" s="4" t="n">
        <v>243</v>
      </c>
      <c r="D4753" s="4" t="n">
        <v>73.50749999999999</v>
      </c>
      <c r="E4753" s="5" t="n">
        <v>101.3</v>
      </c>
      <c r="F4753" s="3" t="inlineStr">
        <is>
          <t>남이면</t>
        </is>
      </c>
      <c r="G4753" s="3" t="inlineStr">
        <is>
          <t>척산리</t>
        </is>
      </c>
      <c r="H4753" s="3" t="inlineStr">
        <is>
          <t>보전관리지역</t>
        </is>
      </c>
      <c r="I4753" s="3" t="inlineStr">
        <is>
          <t>하천</t>
        </is>
      </c>
      <c r="J4753" s="3" t="inlineStr">
        <is>
          <t>남이면</t>
        </is>
      </c>
    </row>
    <row r="4754">
      <c r="A4754" s="3" t="n">
        <v>2023</v>
      </c>
      <c r="B4754" s="4" t="n">
        <v>17000</v>
      </c>
      <c r="C4754" s="4" t="n">
        <v>512</v>
      </c>
      <c r="D4754" s="4" t="n">
        <v>154.88</v>
      </c>
      <c r="E4754" s="5" t="n">
        <v>109.8</v>
      </c>
      <c r="F4754" s="3" t="inlineStr">
        <is>
          <t>남이면</t>
        </is>
      </c>
      <c r="G4754" s="3" t="inlineStr">
        <is>
          <t>양촌리</t>
        </is>
      </c>
      <c r="H4754" s="3" t="inlineStr">
        <is>
          <t>자연녹지지역</t>
        </is>
      </c>
      <c r="I4754" s="3" t="inlineStr">
        <is>
          <t>임야</t>
        </is>
      </c>
      <c r="J4754" s="3" t="inlineStr">
        <is>
          <t>남이면</t>
        </is>
      </c>
    </row>
    <row r="4755">
      <c r="A4755" s="3" t="n">
        <v>2023</v>
      </c>
      <c r="B4755" s="4" t="n">
        <v>5800</v>
      </c>
      <c r="C4755" s="4" t="n">
        <v>215</v>
      </c>
      <c r="D4755" s="4" t="n">
        <v>65.03749999999999</v>
      </c>
      <c r="E4755" s="5" t="n">
        <v>89.2</v>
      </c>
      <c r="F4755" s="3" t="inlineStr">
        <is>
          <t>남이면</t>
        </is>
      </c>
      <c r="G4755" s="3" t="inlineStr">
        <is>
          <t>비룡리</t>
        </is>
      </c>
      <c r="H4755" s="3" t="inlineStr">
        <is>
          <t>계획관리지역</t>
        </is>
      </c>
      <c r="I4755" s="3" t="inlineStr">
        <is>
          <t>대</t>
        </is>
      </c>
      <c r="J4755" s="3" t="inlineStr">
        <is>
          <t>남이면</t>
        </is>
      </c>
    </row>
    <row r="4756">
      <c r="A4756" s="3" t="n">
        <v>2023</v>
      </c>
      <c r="B4756" s="4" t="n">
        <v>1200</v>
      </c>
      <c r="C4756" s="4" t="n">
        <v>46</v>
      </c>
      <c r="D4756" s="4" t="n">
        <v>13.915</v>
      </c>
      <c r="E4756" s="5" t="n">
        <v>86.2</v>
      </c>
      <c r="F4756" s="3" t="inlineStr">
        <is>
          <t>남이면</t>
        </is>
      </c>
      <c r="G4756" s="3" t="inlineStr">
        <is>
          <t>비룡리</t>
        </is>
      </c>
      <c r="H4756" s="3" t="inlineStr">
        <is>
          <t>계획관리지역</t>
        </is>
      </c>
      <c r="I4756" s="3" t="inlineStr">
        <is>
          <t>대</t>
        </is>
      </c>
      <c r="J4756" s="3" t="inlineStr">
        <is>
          <t>남이면</t>
        </is>
      </c>
    </row>
    <row r="4757">
      <c r="A4757" s="3" t="n">
        <v>2023</v>
      </c>
      <c r="B4757" s="4" t="n">
        <v>26000</v>
      </c>
      <c r="C4757" s="4" t="n">
        <v>2480</v>
      </c>
      <c r="D4757" s="4" t="n">
        <v>750.1999999999999</v>
      </c>
      <c r="E4757" s="5" t="n">
        <v>34.7</v>
      </c>
      <c r="F4757" s="3" t="inlineStr">
        <is>
          <t>남이면</t>
        </is>
      </c>
      <c r="G4757" s="3" t="inlineStr">
        <is>
          <t>가마리</t>
        </is>
      </c>
      <c r="H4757" s="3" t="inlineStr">
        <is>
          <t>보전녹지지역</t>
        </is>
      </c>
      <c r="I4757" s="3" t="inlineStr">
        <is>
          <t>임야</t>
        </is>
      </c>
      <c r="J4757" s="3" t="inlineStr">
        <is>
          <t>남이면</t>
        </is>
      </c>
    </row>
    <row r="4758">
      <c r="A4758" s="3" t="n">
        <v>2023</v>
      </c>
      <c r="B4758" s="4" t="n">
        <v>2000</v>
      </c>
      <c r="C4758" s="4" t="n">
        <v>185</v>
      </c>
      <c r="D4758" s="4" t="n">
        <v>55.9625</v>
      </c>
      <c r="E4758" s="5" t="n">
        <v>35.7</v>
      </c>
      <c r="F4758" s="3" t="inlineStr">
        <is>
          <t>남이면</t>
        </is>
      </c>
      <c r="G4758" s="3" t="inlineStr">
        <is>
          <t>외천리</t>
        </is>
      </c>
      <c r="H4758" s="3" t="inlineStr">
        <is>
          <t>계획관리지역</t>
        </is>
      </c>
      <c r="I4758" s="3" t="inlineStr">
        <is>
          <t>임야</t>
        </is>
      </c>
      <c r="J4758" s="3" t="inlineStr">
        <is>
          <t>남이면</t>
        </is>
      </c>
    </row>
    <row r="4759">
      <c r="A4759" s="3" t="n">
        <v>2023</v>
      </c>
      <c r="B4759" s="4" t="n">
        <v>8459</v>
      </c>
      <c r="C4759" s="4" t="n">
        <v>11603</v>
      </c>
      <c r="D4759" s="4" t="n">
        <v>3509.9075</v>
      </c>
      <c r="E4759" s="5" t="n">
        <v>2.4</v>
      </c>
      <c r="F4759" s="3" t="inlineStr">
        <is>
          <t>남이면</t>
        </is>
      </c>
      <c r="G4759" s="3" t="inlineStr">
        <is>
          <t>부용외천리</t>
        </is>
      </c>
      <c r="H4759" s="3" t="inlineStr">
        <is>
          <t>농림지역</t>
        </is>
      </c>
      <c r="I4759" s="3" t="inlineStr">
        <is>
          <t>임야</t>
        </is>
      </c>
      <c r="J4759" s="3" t="inlineStr">
        <is>
          <t>남이면</t>
        </is>
      </c>
    </row>
    <row r="4760">
      <c r="A4760" s="3" t="n">
        <v>2023</v>
      </c>
      <c r="B4760" s="4" t="n">
        <v>1041</v>
      </c>
      <c r="C4760" s="4" t="n">
        <v>1388</v>
      </c>
      <c r="D4760" s="4" t="n">
        <v>419.87</v>
      </c>
      <c r="E4760" s="5" t="n">
        <v>2.5</v>
      </c>
      <c r="F4760" s="3" t="inlineStr">
        <is>
          <t>남이면</t>
        </is>
      </c>
      <c r="G4760" s="3" t="inlineStr">
        <is>
          <t>부용외천리</t>
        </is>
      </c>
      <c r="H4760" s="3" t="inlineStr">
        <is>
          <t>농림지역</t>
        </is>
      </c>
      <c r="I4760" s="3" t="inlineStr">
        <is>
          <t>임야</t>
        </is>
      </c>
      <c r="J4760" s="3" t="inlineStr">
        <is>
          <t>남이면</t>
        </is>
      </c>
    </row>
    <row r="4761">
      <c r="A4761" s="3" t="n">
        <v>2023</v>
      </c>
      <c r="B4761" s="4" t="n">
        <v>7883</v>
      </c>
      <c r="C4761" s="4" t="n">
        <v>11405</v>
      </c>
      <c r="D4761" s="4" t="n">
        <v>3450.0125</v>
      </c>
      <c r="E4761" s="5" t="n">
        <v>2.3</v>
      </c>
      <c r="F4761" s="3" t="inlineStr">
        <is>
          <t>남이면</t>
        </is>
      </c>
      <c r="G4761" s="3" t="inlineStr">
        <is>
          <t>부용외천리</t>
        </is>
      </c>
      <c r="H4761" s="3" t="inlineStr">
        <is>
          <t>농림지역</t>
        </is>
      </c>
      <c r="I4761" s="3" t="inlineStr">
        <is>
          <t>임야</t>
        </is>
      </c>
      <c r="J4761" s="3" t="inlineStr">
        <is>
          <t>남이면</t>
        </is>
      </c>
    </row>
    <row r="4762">
      <c r="A4762" s="3" t="n">
        <v>2023</v>
      </c>
      <c r="B4762" s="4" t="n">
        <v>117</v>
      </c>
      <c r="C4762" s="4" t="n">
        <v>99</v>
      </c>
      <c r="D4762" s="4" t="n">
        <v>29.9475</v>
      </c>
      <c r="E4762" s="5" t="n">
        <v>3.9</v>
      </c>
      <c r="F4762" s="3" t="inlineStr">
        <is>
          <t>남이면</t>
        </is>
      </c>
      <c r="G4762" s="3" t="inlineStr">
        <is>
          <t>부용외천리</t>
        </is>
      </c>
      <c r="H4762" s="3" t="inlineStr">
        <is>
          <t>보전관리지역</t>
        </is>
      </c>
      <c r="I4762" s="3" t="inlineStr">
        <is>
          <t>임야</t>
        </is>
      </c>
      <c r="J4762" s="3" t="inlineStr">
        <is>
          <t>남이면</t>
        </is>
      </c>
    </row>
    <row r="4763">
      <c r="A4763" s="3" t="n">
        <v>2023</v>
      </c>
      <c r="B4763" s="4" t="n">
        <v>10000</v>
      </c>
      <c r="C4763" s="4" t="n">
        <v>199</v>
      </c>
      <c r="D4763" s="4" t="n">
        <v>60.1975</v>
      </c>
      <c r="E4763" s="5" t="n">
        <v>166.1</v>
      </c>
      <c r="F4763" s="3" t="inlineStr">
        <is>
          <t>남이면</t>
        </is>
      </c>
      <c r="G4763" s="3" t="inlineStr">
        <is>
          <t>구미리</t>
        </is>
      </c>
      <c r="H4763" s="3" t="inlineStr">
        <is>
          <t>계획관리지역</t>
        </is>
      </c>
      <c r="I4763" s="3" t="inlineStr">
        <is>
          <t>전</t>
        </is>
      </c>
      <c r="J4763" s="3" t="inlineStr">
        <is>
          <t>남이면</t>
        </is>
      </c>
    </row>
    <row r="4764">
      <c r="A4764" s="3" t="n">
        <v>2023</v>
      </c>
      <c r="B4764" s="4" t="n">
        <v>6820</v>
      </c>
      <c r="C4764" s="4" t="n">
        <v>73</v>
      </c>
      <c r="D4764" s="4" t="n">
        <v>22.0825</v>
      </c>
      <c r="E4764" s="5" t="n">
        <v>308.8</v>
      </c>
      <c r="F4764" s="3" t="inlineStr">
        <is>
          <t>남이면</t>
        </is>
      </c>
      <c r="G4764" s="3" t="inlineStr">
        <is>
          <t>부용외천리</t>
        </is>
      </c>
      <c r="H4764" s="3" t="inlineStr">
        <is>
          <t>계획관리지역</t>
        </is>
      </c>
      <c r="I4764" s="3" t="inlineStr">
        <is>
          <t>도로</t>
        </is>
      </c>
      <c r="J4764" s="3" t="inlineStr">
        <is>
          <t>남이면</t>
        </is>
      </c>
    </row>
    <row r="4765">
      <c r="A4765" s="3" t="n">
        <v>2023</v>
      </c>
      <c r="B4765" s="4" t="n">
        <v>930</v>
      </c>
      <c r="C4765" s="4" t="n">
        <v>11</v>
      </c>
      <c r="D4765" s="4" t="n">
        <v>3.3275</v>
      </c>
      <c r="E4765" s="5" t="n">
        <v>279.5</v>
      </c>
      <c r="F4765" s="3" t="inlineStr">
        <is>
          <t>남이면</t>
        </is>
      </c>
      <c r="G4765" s="3" t="inlineStr">
        <is>
          <t>부용외천리</t>
        </is>
      </c>
      <c r="H4765" s="3" t="inlineStr">
        <is>
          <t>계획관리지역</t>
        </is>
      </c>
      <c r="I4765" s="3" t="inlineStr">
        <is>
          <t>도로</t>
        </is>
      </c>
      <c r="J4765" s="3" t="inlineStr">
        <is>
          <t>남이면</t>
        </is>
      </c>
    </row>
    <row r="4766">
      <c r="A4766" s="3" t="n">
        <v>2023</v>
      </c>
      <c r="B4766" s="4" t="n">
        <v>13050</v>
      </c>
      <c r="C4766" s="4" t="n">
        <v>863</v>
      </c>
      <c r="D4766" s="4" t="n">
        <v>261.0575</v>
      </c>
      <c r="E4766" s="5" t="n">
        <v>50</v>
      </c>
      <c r="F4766" s="3" t="inlineStr">
        <is>
          <t>남이면</t>
        </is>
      </c>
      <c r="G4766" s="3" t="inlineStr">
        <is>
          <t>산막리</t>
        </is>
      </c>
      <c r="H4766" s="3" t="inlineStr">
        <is>
          <t>생산관리지역</t>
        </is>
      </c>
      <c r="I4766" s="3" t="inlineStr">
        <is>
          <t>답</t>
        </is>
      </c>
      <c r="J4766" s="3" t="inlineStr">
        <is>
          <t>남이면</t>
        </is>
      </c>
    </row>
    <row r="4767">
      <c r="A4767" s="3" t="n">
        <v>2024</v>
      </c>
      <c r="B4767" s="4" t="n">
        <v>8006</v>
      </c>
      <c r="C4767" s="4" t="n">
        <v>1063.4</v>
      </c>
      <c r="D4767" s="4" t="n">
        <v>321.6785</v>
      </c>
      <c r="E4767" s="5" t="n">
        <v>24.9</v>
      </c>
      <c r="F4767" s="3" t="inlineStr">
        <is>
          <t>남이면</t>
        </is>
      </c>
      <c r="G4767" s="3" t="inlineStr">
        <is>
          <t>갈원리</t>
        </is>
      </c>
      <c r="H4767" s="3" t="inlineStr">
        <is>
          <t>농림지역</t>
        </is>
      </c>
      <c r="I4767" s="3" t="inlineStr">
        <is>
          <t>답</t>
        </is>
      </c>
      <c r="J4767" s="3" t="inlineStr">
        <is>
          <t>남이면</t>
        </is>
      </c>
    </row>
    <row r="4768">
      <c r="A4768" s="3" t="n">
        <v>2024</v>
      </c>
      <c r="B4768" s="4" t="n">
        <v>1000</v>
      </c>
      <c r="C4768" s="4" t="n">
        <v>50</v>
      </c>
      <c r="D4768" s="4" t="n">
        <v>15.125</v>
      </c>
      <c r="E4768" s="5" t="n">
        <v>66.09999999999999</v>
      </c>
      <c r="F4768" s="3" t="inlineStr">
        <is>
          <t>남이면</t>
        </is>
      </c>
      <c r="G4768" s="3" t="inlineStr">
        <is>
          <t>가좌리</t>
        </is>
      </c>
      <c r="H4768" s="3" t="inlineStr">
        <is>
          <t>보전녹지지역</t>
        </is>
      </c>
      <c r="I4768" s="3" t="inlineStr">
        <is>
          <t>임야</t>
        </is>
      </c>
      <c r="J4768" s="3" t="inlineStr">
        <is>
          <t>남이면</t>
        </is>
      </c>
    </row>
    <row r="4769">
      <c r="A4769" s="3" t="n">
        <v>2024</v>
      </c>
      <c r="B4769" s="4" t="n">
        <v>17000</v>
      </c>
      <c r="C4769" s="4" t="n">
        <v>873</v>
      </c>
      <c r="D4769" s="4" t="n">
        <v>264.0825</v>
      </c>
      <c r="E4769" s="5" t="n">
        <v>64.40000000000001</v>
      </c>
      <c r="F4769" s="3" t="inlineStr">
        <is>
          <t>남이면</t>
        </is>
      </c>
      <c r="G4769" s="3" t="inlineStr">
        <is>
          <t>가좌리</t>
        </is>
      </c>
      <c r="H4769" s="3" t="inlineStr">
        <is>
          <t>보전녹지지역</t>
        </is>
      </c>
      <c r="I4769" s="3" t="inlineStr">
        <is>
          <t>임야</t>
        </is>
      </c>
      <c r="J4769" s="3" t="inlineStr">
        <is>
          <t>남이면</t>
        </is>
      </c>
    </row>
    <row r="4770">
      <c r="A4770" s="3" t="n">
        <v>2025</v>
      </c>
      <c r="B4770" s="4" t="n">
        <v>13200</v>
      </c>
      <c r="C4770" s="4" t="n">
        <v>699</v>
      </c>
      <c r="D4770" s="4" t="n">
        <v>211.4475</v>
      </c>
      <c r="E4770" s="5" t="n">
        <v>62.4</v>
      </c>
      <c r="F4770" s="3" t="inlineStr">
        <is>
          <t>남이면</t>
        </is>
      </c>
      <c r="G4770" s="3" t="inlineStr">
        <is>
          <t>문동리</t>
        </is>
      </c>
      <c r="H4770" s="3" t="inlineStr">
        <is>
          <t>보전녹지지역</t>
        </is>
      </c>
      <c r="I4770" s="3" t="inlineStr">
        <is>
          <t>임야</t>
        </is>
      </c>
      <c r="J4770" s="3" t="inlineStr">
        <is>
          <t>남이면</t>
        </is>
      </c>
    </row>
    <row r="4771">
      <c r="A4771" s="3" t="n">
        <v>2025</v>
      </c>
      <c r="B4771" s="4" t="n">
        <v>8190</v>
      </c>
      <c r="C4771" s="4" t="n">
        <v>512</v>
      </c>
      <c r="D4771" s="4" t="n">
        <v>154.88</v>
      </c>
      <c r="E4771" s="5" t="n">
        <v>52.9</v>
      </c>
      <c r="F4771" s="3" t="inlineStr">
        <is>
          <t>남이면</t>
        </is>
      </c>
      <c r="G4771" s="3" t="inlineStr">
        <is>
          <t>문동리</t>
        </is>
      </c>
      <c r="H4771" s="3" t="inlineStr">
        <is>
          <t>보전녹지지역</t>
        </is>
      </c>
      <c r="I4771" s="3" t="inlineStr">
        <is>
          <t>임야</t>
        </is>
      </c>
      <c r="J4771" s="3" t="inlineStr">
        <is>
          <t>남이면</t>
        </is>
      </c>
    </row>
    <row r="4772">
      <c r="A4772" s="3" t="n">
        <v>2025</v>
      </c>
      <c r="B4772" s="4" t="n">
        <v>10700</v>
      </c>
      <c r="C4772" s="4" t="n">
        <v>553</v>
      </c>
      <c r="D4772" s="4" t="n">
        <v>167.2825</v>
      </c>
      <c r="E4772" s="5" t="n">
        <v>64</v>
      </c>
      <c r="F4772" s="3" t="inlineStr">
        <is>
          <t>남이면</t>
        </is>
      </c>
      <c r="G4772" s="3" t="inlineStr">
        <is>
          <t>문동리</t>
        </is>
      </c>
      <c r="H4772" s="3" t="inlineStr">
        <is>
          <t>보전녹지지역</t>
        </is>
      </c>
      <c r="I4772" s="3" t="inlineStr">
        <is>
          <t>임야</t>
        </is>
      </c>
      <c r="J4772" s="3" t="inlineStr">
        <is>
          <t>남이면</t>
        </is>
      </c>
    </row>
    <row r="4773">
      <c r="A4773" s="3" t="n">
        <v>2025</v>
      </c>
      <c r="B4773" s="4" t="n">
        <v>17000</v>
      </c>
      <c r="C4773" s="4" t="n">
        <v>7075</v>
      </c>
      <c r="D4773" s="4" t="n">
        <v>2140.1875</v>
      </c>
      <c r="E4773" s="5" t="n">
        <v>7.9</v>
      </c>
      <c r="F4773" s="3" t="inlineStr">
        <is>
          <t>남이면</t>
        </is>
      </c>
      <c r="G4773" s="3" t="inlineStr">
        <is>
          <t>양촌리</t>
        </is>
      </c>
      <c r="H4773" s="3" t="inlineStr">
        <is>
          <t>보전녹지지역</t>
        </is>
      </c>
      <c r="I4773" s="3" t="inlineStr">
        <is>
          <t>임야</t>
        </is>
      </c>
      <c r="J4773" s="3" t="inlineStr">
        <is>
          <t>남이면</t>
        </is>
      </c>
    </row>
    <row r="4774">
      <c r="A4774" s="3" t="n">
        <v>2025</v>
      </c>
      <c r="B4774" s="4" t="n">
        <v>6500</v>
      </c>
      <c r="C4774" s="4" t="n">
        <v>1799</v>
      </c>
      <c r="D4774" s="4" t="n">
        <v>544.1975</v>
      </c>
      <c r="E4774" s="5" t="n">
        <v>11.9</v>
      </c>
      <c r="F4774" s="3" t="inlineStr">
        <is>
          <t>남이면</t>
        </is>
      </c>
      <c r="G4774" s="3" t="inlineStr">
        <is>
          <t>문동리</t>
        </is>
      </c>
      <c r="H4774" s="3" t="inlineStr">
        <is>
          <t>농림지역</t>
        </is>
      </c>
      <c r="I4774" s="3" t="inlineStr">
        <is>
          <t>답</t>
        </is>
      </c>
      <c r="J4774" s="3" t="inlineStr">
        <is>
          <t>남이면</t>
        </is>
      </c>
    </row>
    <row r="4775">
      <c r="A4775" s="3" t="n">
        <v>2025</v>
      </c>
      <c r="B4775" s="4" t="n">
        <v>35200</v>
      </c>
      <c r="C4775" s="4" t="n">
        <v>1375</v>
      </c>
      <c r="D4775" s="4" t="n">
        <v>415.9375</v>
      </c>
      <c r="E4775" s="5" t="n">
        <v>84.59999999999999</v>
      </c>
      <c r="F4775" s="3" t="inlineStr">
        <is>
          <t>남이면</t>
        </is>
      </c>
      <c r="G4775" s="3" t="inlineStr">
        <is>
          <t>팔봉리</t>
        </is>
      </c>
      <c r="H4775" s="3" t="inlineStr">
        <is>
          <t>자연녹지지역</t>
        </is>
      </c>
      <c r="I4775" s="3" t="inlineStr">
        <is>
          <t>답</t>
        </is>
      </c>
      <c r="J4775" s="3" t="inlineStr">
        <is>
          <t>남이면</t>
        </is>
      </c>
    </row>
    <row r="4776">
      <c r="A4776" s="3" t="n">
        <v>2025</v>
      </c>
      <c r="B4776" s="4" t="n">
        <v>65485</v>
      </c>
      <c r="C4776" s="4" t="n">
        <v>3608</v>
      </c>
      <c r="D4776" s="4" t="n">
        <v>1091.42</v>
      </c>
      <c r="E4776" s="5" t="n">
        <v>60</v>
      </c>
      <c r="F4776" s="3" t="inlineStr">
        <is>
          <t>남이면</t>
        </is>
      </c>
      <c r="G4776" s="3" t="inlineStr">
        <is>
          <t>가좌리</t>
        </is>
      </c>
      <c r="H4776" s="3" t="inlineStr">
        <is>
          <t>보전녹지지역</t>
        </is>
      </c>
      <c r="I4776" s="3" t="inlineStr">
        <is>
          <t>답</t>
        </is>
      </c>
      <c r="J4776" s="3" t="inlineStr">
        <is>
          <t>남이면</t>
        </is>
      </c>
    </row>
    <row r="4777">
      <c r="A4777" s="3" t="n">
        <v>2025</v>
      </c>
      <c r="B4777" s="4" t="n">
        <v>29022</v>
      </c>
      <c r="C4777" s="4" t="n">
        <v>1599</v>
      </c>
      <c r="D4777" s="4" t="n">
        <v>483.6975</v>
      </c>
      <c r="E4777" s="5" t="n">
        <v>60</v>
      </c>
      <c r="F4777" s="3" t="inlineStr">
        <is>
          <t>남이면</t>
        </is>
      </c>
      <c r="G4777" s="3" t="inlineStr">
        <is>
          <t>가좌리</t>
        </is>
      </c>
      <c r="H4777" s="3" t="inlineStr">
        <is>
          <t>자연녹지지역</t>
        </is>
      </c>
      <c r="I4777" s="3" t="inlineStr">
        <is>
          <t>답</t>
        </is>
      </c>
      <c r="J4777" s="3" t="inlineStr">
        <is>
          <t>남이면</t>
        </is>
      </c>
    </row>
    <row r="4778">
      <c r="A4778" s="3" t="n">
        <v>2025</v>
      </c>
      <c r="B4778" s="4" t="n">
        <v>15536</v>
      </c>
      <c r="C4778" s="4" t="n">
        <v>856</v>
      </c>
      <c r="D4778" s="4" t="n">
        <v>258.94</v>
      </c>
      <c r="E4778" s="5" t="n">
        <v>60</v>
      </c>
      <c r="F4778" s="3" t="inlineStr">
        <is>
          <t>남이면</t>
        </is>
      </c>
      <c r="G4778" s="3" t="inlineStr">
        <is>
          <t>가좌리</t>
        </is>
      </c>
      <c r="H4778" s="3" t="inlineStr">
        <is>
          <t>자연녹지지역</t>
        </is>
      </c>
      <c r="I4778" s="3" t="inlineStr">
        <is>
          <t>전</t>
        </is>
      </c>
      <c r="J4778" s="3" t="inlineStr">
        <is>
          <t>남이면</t>
        </is>
      </c>
    </row>
    <row r="4779">
      <c r="A4779" s="3" t="n">
        <v>2025</v>
      </c>
      <c r="B4779" s="4" t="n">
        <v>8258</v>
      </c>
      <c r="C4779" s="4" t="n">
        <v>455</v>
      </c>
      <c r="D4779" s="4" t="n">
        <v>137.6375</v>
      </c>
      <c r="E4779" s="5" t="n">
        <v>60</v>
      </c>
      <c r="F4779" s="3" t="inlineStr">
        <is>
          <t>남이면</t>
        </is>
      </c>
      <c r="G4779" s="3" t="inlineStr">
        <is>
          <t>가좌리</t>
        </is>
      </c>
      <c r="H4779" s="3" t="inlineStr">
        <is>
          <t>보전녹지지역</t>
        </is>
      </c>
      <c r="I4779" s="3" t="inlineStr">
        <is>
          <t>임야</t>
        </is>
      </c>
      <c r="J4779" s="3" t="inlineStr">
        <is>
          <t>남이면</t>
        </is>
      </c>
    </row>
    <row r="4780">
      <c r="A4780" s="3" t="n">
        <v>2025</v>
      </c>
      <c r="B4780" s="4" t="n">
        <v>575</v>
      </c>
      <c r="C4780" s="4" t="n">
        <v>16</v>
      </c>
      <c r="D4780" s="4" t="n">
        <v>4.84</v>
      </c>
      <c r="E4780" s="5" t="n">
        <v>118.8</v>
      </c>
      <c r="F4780" s="3" t="inlineStr">
        <is>
          <t>남이면</t>
        </is>
      </c>
      <c r="G4780" s="3" t="inlineStr">
        <is>
          <t>양촌리</t>
        </is>
      </c>
      <c r="H4780" s="3" t="inlineStr">
        <is>
          <t>자연녹지지역</t>
        </is>
      </c>
      <c r="I4780" s="3" t="inlineStr">
        <is>
          <t>전</t>
        </is>
      </c>
      <c r="J4780" s="3" t="inlineStr">
        <is>
          <t>남이면</t>
        </is>
      </c>
    </row>
    <row r="4781">
      <c r="A4781" s="3" t="n">
        <v>2025</v>
      </c>
      <c r="B4781" s="4" t="n">
        <v>46909</v>
      </c>
      <c r="C4781" s="4" t="n">
        <v>1306</v>
      </c>
      <c r="D4781" s="4" t="n">
        <v>395.065</v>
      </c>
      <c r="E4781" s="5" t="n">
        <v>118.7</v>
      </c>
      <c r="F4781" s="3" t="inlineStr">
        <is>
          <t>남이면</t>
        </is>
      </c>
      <c r="G4781" s="3" t="inlineStr">
        <is>
          <t>양촌리</t>
        </is>
      </c>
      <c r="H4781" s="3" t="inlineStr">
        <is>
          <t>자연녹지지역</t>
        </is>
      </c>
      <c r="I4781" s="3" t="inlineStr">
        <is>
          <t>전</t>
        </is>
      </c>
      <c r="J4781" s="3" t="inlineStr">
        <is>
          <t>남이면</t>
        </is>
      </c>
    </row>
    <row r="4782">
      <c r="A4782" s="3" t="n">
        <v>2025</v>
      </c>
      <c r="B4782" s="4" t="n">
        <v>42563</v>
      </c>
      <c r="C4782" s="4" t="n">
        <v>1185</v>
      </c>
      <c r="D4782" s="4" t="n">
        <v>358.4625</v>
      </c>
      <c r="E4782" s="5" t="n">
        <v>118.7</v>
      </c>
      <c r="F4782" s="3" t="inlineStr">
        <is>
          <t>남이면</t>
        </is>
      </c>
      <c r="G4782" s="3" t="inlineStr">
        <is>
          <t>양촌리</t>
        </is>
      </c>
      <c r="H4782" s="3" t="inlineStr">
        <is>
          <t>자연녹지지역</t>
        </is>
      </c>
      <c r="I4782" s="3" t="inlineStr">
        <is>
          <t>전</t>
        </is>
      </c>
      <c r="J4782" s="3" t="inlineStr">
        <is>
          <t>남이면</t>
        </is>
      </c>
    </row>
    <row r="4783">
      <c r="A4783" s="3" t="n">
        <v>2025</v>
      </c>
      <c r="B4783" s="4" t="n">
        <v>32631</v>
      </c>
      <c r="C4783" s="4" t="n">
        <v>846</v>
      </c>
      <c r="D4783" s="4" t="n">
        <v>255.915</v>
      </c>
      <c r="E4783" s="5" t="n">
        <v>127.5</v>
      </c>
      <c r="F4783" s="3" t="inlineStr">
        <is>
          <t>남이면</t>
        </is>
      </c>
      <c r="G4783" s="3" t="inlineStr">
        <is>
          <t>양촌리</t>
        </is>
      </c>
      <c r="H4783" s="3" t="inlineStr">
        <is>
          <t>자연녹지지역</t>
        </is>
      </c>
      <c r="I4783" s="3" t="inlineStr">
        <is>
          <t>전</t>
        </is>
      </c>
      <c r="J4783" s="3" t="inlineStr">
        <is>
          <t>남이면</t>
        </is>
      </c>
    </row>
    <row r="4784">
      <c r="A4784" s="3" t="n">
        <v>2026</v>
      </c>
      <c r="B4784" s="4" t="n">
        <v>7500</v>
      </c>
      <c r="C4784" s="4" t="n">
        <v>605</v>
      </c>
      <c r="D4784" s="4" t="n">
        <v>183.0125</v>
      </c>
      <c r="E4784" s="5" t="n">
        <v>41</v>
      </c>
      <c r="F4784" s="3" t="inlineStr">
        <is>
          <t>남이면</t>
        </is>
      </c>
      <c r="G4784" s="3" t="inlineStr">
        <is>
          <t>팔봉리</t>
        </is>
      </c>
      <c r="H4784" s="3" t="inlineStr">
        <is>
          <t>보전관리지역</t>
        </is>
      </c>
      <c r="I4784" s="3" t="inlineStr">
        <is>
          <t>대</t>
        </is>
      </c>
      <c r="J4784" s="3" t="inlineStr">
        <is>
          <t>남이면</t>
        </is>
      </c>
    </row>
    <row r="4785">
      <c r="A4785" s="3" t="n">
        <v>2026</v>
      </c>
      <c r="B4785" s="4" t="n">
        <v>28567</v>
      </c>
      <c r="C4785" s="4" t="n">
        <v>2826</v>
      </c>
      <c r="D4785" s="4" t="n">
        <v>854.865</v>
      </c>
      <c r="E4785" s="5" t="n">
        <v>33.4</v>
      </c>
      <c r="F4785" s="3" t="inlineStr">
        <is>
          <t>남이면</t>
        </is>
      </c>
      <c r="G4785" s="3" t="inlineStr">
        <is>
          <t>척산리</t>
        </is>
      </c>
      <c r="H4785" s="3" t="inlineStr">
        <is>
          <t>자연녹지지역</t>
        </is>
      </c>
      <c r="I4785" s="3" t="inlineStr">
        <is>
          <t>임야</t>
        </is>
      </c>
      <c r="J4785" s="3" t="inlineStr">
        <is>
          <t>남이면</t>
        </is>
      </c>
    </row>
    <row r="4786">
      <c r="A4786" s="3" t="n">
        <v>2026</v>
      </c>
      <c r="B4786" s="4" t="n">
        <v>18500</v>
      </c>
      <c r="C4786" s="4" t="n">
        <v>495</v>
      </c>
      <c r="D4786" s="4" t="n">
        <v>149.7375</v>
      </c>
      <c r="E4786" s="5" t="n">
        <v>123.5</v>
      </c>
      <c r="F4786" s="3" t="inlineStr">
        <is>
          <t>남이면</t>
        </is>
      </c>
      <c r="G4786" s="3" t="inlineStr">
        <is>
          <t>구암리</t>
        </is>
      </c>
      <c r="H4786" s="3" t="inlineStr">
        <is>
          <t>자연녹지지역</t>
        </is>
      </c>
      <c r="I4786" s="3" t="inlineStr">
        <is>
          <t>대</t>
        </is>
      </c>
      <c r="J4786" s="3" t="inlineStr">
        <is>
          <t>남이면</t>
        </is>
      </c>
    </row>
    <row r="4787">
      <c r="A4787" s="3" t="n">
        <v>2026</v>
      </c>
      <c r="B4787" s="4" t="n">
        <v>49725</v>
      </c>
      <c r="C4787" s="4" t="n">
        <v>863</v>
      </c>
      <c r="D4787" s="4" t="n">
        <v>261.0575</v>
      </c>
      <c r="E4787" s="5" t="n">
        <v>190.5</v>
      </c>
      <c r="F4787" s="3" t="inlineStr">
        <is>
          <t>남이면</t>
        </is>
      </c>
      <c r="G4787" s="3" t="inlineStr">
        <is>
          <t>부용외천리</t>
        </is>
      </c>
      <c r="H4787" s="3" t="inlineStr">
        <is>
          <t>계획관리지역</t>
        </is>
      </c>
      <c r="I4787" s="3" t="inlineStr">
        <is>
          <t>공장용지</t>
        </is>
      </c>
      <c r="J4787" s="3" t="inlineStr">
        <is>
          <t>남이면</t>
        </is>
      </c>
    </row>
    <row r="4788">
      <c r="A4788" s="3" t="n">
        <v>2026</v>
      </c>
      <c r="B4788" s="4" t="n">
        <v>34094</v>
      </c>
      <c r="C4788" s="4" t="n">
        <v>1755</v>
      </c>
      <c r="D4788" s="4" t="n">
        <v>530.8874999999999</v>
      </c>
      <c r="E4788" s="5" t="n">
        <v>64.2</v>
      </c>
      <c r="F4788" s="3" t="inlineStr">
        <is>
          <t>남이면</t>
        </is>
      </c>
      <c r="G4788" s="3" t="inlineStr">
        <is>
          <t>부용외천리</t>
        </is>
      </c>
      <c r="H4788" s="3" t="inlineStr">
        <is>
          <t>보전관리지역</t>
        </is>
      </c>
      <c r="I4788" s="3" t="inlineStr">
        <is>
          <t>전</t>
        </is>
      </c>
      <c r="J4788" s="3" t="inlineStr">
        <is>
          <t>남이면</t>
        </is>
      </c>
    </row>
    <row r="4789">
      <c r="A4789" s="3" t="n">
        <v>2025</v>
      </c>
      <c r="B4789" s="4" t="n">
        <v>10000</v>
      </c>
      <c r="C4789" s="4" t="n">
        <v>1329</v>
      </c>
      <c r="D4789" s="4" t="n">
        <v>402.0225</v>
      </c>
      <c r="E4789" s="5" t="n">
        <v>24.9</v>
      </c>
      <c r="F4789" s="3" t="inlineStr">
        <is>
          <t>강내면</t>
        </is>
      </c>
      <c r="G4789" s="3" t="inlineStr">
        <is>
          <t>태성리</t>
        </is>
      </c>
      <c r="H4789" s="3" t="inlineStr">
        <is>
          <t>계획관리지역</t>
        </is>
      </c>
      <c r="I4789" s="3" t="inlineStr">
        <is>
          <t>전</t>
        </is>
      </c>
      <c r="J4789" s="3" t="inlineStr">
        <is>
          <t>강내면</t>
        </is>
      </c>
    </row>
    <row r="4790">
      <c r="A4790" s="3" t="n">
        <v>2025</v>
      </c>
      <c r="B4790" s="4" t="n">
        <v>10700</v>
      </c>
      <c r="C4790" s="4" t="n">
        <v>276</v>
      </c>
      <c r="D4790" s="4" t="n">
        <v>83.48999999999999</v>
      </c>
      <c r="E4790" s="5" t="n">
        <v>128.2</v>
      </c>
      <c r="F4790" s="3" t="inlineStr">
        <is>
          <t>강내면</t>
        </is>
      </c>
      <c r="G4790" s="3" t="inlineStr">
        <is>
          <t>월곡리</t>
        </is>
      </c>
      <c r="H4790" s="3" t="inlineStr">
        <is>
          <t>자연녹지지역</t>
        </is>
      </c>
      <c r="I4790" s="3" t="inlineStr">
        <is>
          <t>전</t>
        </is>
      </c>
      <c r="J4790" s="3" t="inlineStr">
        <is>
          <t>강내면</t>
        </is>
      </c>
    </row>
    <row r="4791">
      <c r="A4791" s="3" t="n">
        <v>2025</v>
      </c>
      <c r="B4791" s="4" t="n">
        <v>40000</v>
      </c>
      <c r="C4791" s="4" t="n">
        <v>1087</v>
      </c>
      <c r="D4791" s="4" t="n">
        <v>328.8175</v>
      </c>
      <c r="E4791" s="5" t="n">
        <v>121.6</v>
      </c>
      <c r="F4791" s="3" t="inlineStr">
        <is>
          <t>강내면</t>
        </is>
      </c>
      <c r="G4791" s="3" t="inlineStr">
        <is>
          <t>연정리</t>
        </is>
      </c>
      <c r="H4791" s="3" t="inlineStr">
        <is>
          <t>계획관리지역</t>
        </is>
      </c>
      <c r="I4791" s="3" t="inlineStr">
        <is>
          <t>전</t>
        </is>
      </c>
      <c r="J4791" s="3" t="inlineStr">
        <is>
          <t>강내면</t>
        </is>
      </c>
    </row>
    <row r="4792">
      <c r="A4792" s="3" t="n">
        <v>2025</v>
      </c>
      <c r="B4792" s="4" t="n">
        <v>5000</v>
      </c>
      <c r="C4792" s="4" t="n">
        <v>1051</v>
      </c>
      <c r="D4792" s="4" t="n">
        <v>317.9275</v>
      </c>
      <c r="E4792" s="5" t="n">
        <v>15.7</v>
      </c>
      <c r="F4792" s="3" t="inlineStr">
        <is>
          <t>강내면</t>
        </is>
      </c>
      <c r="G4792" s="3" t="inlineStr">
        <is>
          <t>황탄리</t>
        </is>
      </c>
      <c r="H4792" s="3" t="inlineStr">
        <is>
          <t>보전관리지역</t>
        </is>
      </c>
      <c r="I4792" s="3" t="inlineStr">
        <is>
          <t>전</t>
        </is>
      </c>
      <c r="J4792" s="3" t="inlineStr">
        <is>
          <t>강내면</t>
        </is>
      </c>
    </row>
    <row r="4793">
      <c r="A4793" s="3" t="n">
        <v>2025</v>
      </c>
      <c r="B4793" s="4" t="n">
        <v>12700</v>
      </c>
      <c r="C4793" s="4" t="n">
        <v>635</v>
      </c>
      <c r="D4793" s="4" t="n">
        <v>192.0875</v>
      </c>
      <c r="E4793" s="5" t="n">
        <v>66.09999999999999</v>
      </c>
      <c r="F4793" s="3" t="inlineStr">
        <is>
          <t>오송읍</t>
        </is>
      </c>
      <c r="G4793" s="3" t="inlineStr">
        <is>
          <t>서평리</t>
        </is>
      </c>
      <c r="H4793" s="3" t="inlineStr">
        <is>
          <t>농림지역</t>
        </is>
      </c>
      <c r="I4793" s="3" t="inlineStr">
        <is>
          <t>답</t>
        </is>
      </c>
      <c r="J4793" s="3" t="inlineStr">
        <is>
          <t>오송읍</t>
        </is>
      </c>
    </row>
    <row r="4794">
      <c r="A4794" s="3" t="n">
        <v>2025</v>
      </c>
      <c r="B4794" s="4" t="n">
        <v>85300</v>
      </c>
      <c r="C4794" s="4" t="n">
        <v>4245</v>
      </c>
      <c r="D4794" s="4" t="n">
        <v>1284.1125</v>
      </c>
      <c r="E4794" s="5" t="n">
        <v>66.40000000000001</v>
      </c>
      <c r="F4794" s="3" t="inlineStr">
        <is>
          <t>오송읍</t>
        </is>
      </c>
      <c r="G4794" s="3" t="inlineStr">
        <is>
          <t>서평리</t>
        </is>
      </c>
      <c r="H4794" s="3" t="inlineStr">
        <is>
          <t>농림지역</t>
        </is>
      </c>
      <c r="I4794" s="3" t="inlineStr">
        <is>
          <t>답</t>
        </is>
      </c>
      <c r="J4794" s="3" t="inlineStr">
        <is>
          <t>오송읍</t>
        </is>
      </c>
    </row>
    <row r="4795">
      <c r="A4795" s="3" t="n">
        <v>2025</v>
      </c>
      <c r="B4795" s="4" t="n">
        <v>93844</v>
      </c>
      <c r="C4795" s="4" t="n">
        <v>1183</v>
      </c>
      <c r="D4795" s="4" t="n">
        <v>357.8575</v>
      </c>
      <c r="E4795" s="5" t="n">
        <v>262.2</v>
      </c>
      <c r="F4795" s="3" t="inlineStr">
        <is>
          <t>남이면</t>
        </is>
      </c>
      <c r="G4795" s="3" t="inlineStr">
        <is>
          <t>양촌리</t>
        </is>
      </c>
      <c r="H4795" s="3" t="inlineStr">
        <is>
          <t>자연녹지지역</t>
        </is>
      </c>
      <c r="I4795" s="3" t="inlineStr">
        <is>
          <t>답</t>
        </is>
      </c>
      <c r="J4795" s="3" t="inlineStr">
        <is>
          <t>남이면</t>
        </is>
      </c>
    </row>
    <row r="4796">
      <c r="A4796" s="3" t="n">
        <v>2025</v>
      </c>
      <c r="B4796" s="4" t="n">
        <v>101514</v>
      </c>
      <c r="C4796" s="4" t="n">
        <v>1663</v>
      </c>
      <c r="D4796" s="4" t="n">
        <v>503.0575</v>
      </c>
      <c r="E4796" s="5" t="n">
        <v>201.8</v>
      </c>
      <c r="F4796" s="3" t="inlineStr">
        <is>
          <t>남이면</t>
        </is>
      </c>
      <c r="G4796" s="3" t="inlineStr">
        <is>
          <t>양촌리</t>
        </is>
      </c>
      <c r="H4796" s="3" t="inlineStr">
        <is>
          <t>자연녹지지역</t>
        </is>
      </c>
      <c r="I4796" s="3" t="inlineStr">
        <is>
          <t>답</t>
        </is>
      </c>
      <c r="J4796" s="3" t="inlineStr">
        <is>
          <t>남이면</t>
        </is>
      </c>
    </row>
    <row r="4797">
      <c r="A4797" s="3" t="n">
        <v>2025</v>
      </c>
      <c r="B4797" s="4" t="n">
        <v>26294</v>
      </c>
      <c r="C4797" s="4" t="n">
        <v>255</v>
      </c>
      <c r="D4797" s="4" t="n">
        <v>77.1375</v>
      </c>
      <c r="E4797" s="5" t="n">
        <v>340.9</v>
      </c>
      <c r="F4797" s="3" t="inlineStr">
        <is>
          <t>남이면</t>
        </is>
      </c>
      <c r="G4797" s="3" t="inlineStr">
        <is>
          <t>양촌리</t>
        </is>
      </c>
      <c r="H4797" s="3" t="inlineStr">
        <is>
          <t>자연녹지지역</t>
        </is>
      </c>
      <c r="I4797" s="3" t="inlineStr">
        <is>
          <t>전</t>
        </is>
      </c>
      <c r="J4797" s="3" t="inlineStr">
        <is>
          <t>남이면</t>
        </is>
      </c>
    </row>
    <row r="4798">
      <c r="A4798" s="3" t="n">
        <v>2025</v>
      </c>
      <c r="B4798" s="4" t="n">
        <v>71795</v>
      </c>
      <c r="C4798" s="4" t="n">
        <v>2421</v>
      </c>
      <c r="D4798" s="4" t="n">
        <v>732.3525</v>
      </c>
      <c r="E4798" s="5" t="n">
        <v>98</v>
      </c>
      <c r="F4798" s="3" t="inlineStr">
        <is>
          <t>남이면</t>
        </is>
      </c>
      <c r="G4798" s="3" t="inlineStr">
        <is>
          <t>수대리</t>
        </is>
      </c>
      <c r="H4798" s="3" t="inlineStr">
        <is>
          <t>자연녹지지역</t>
        </is>
      </c>
      <c r="I4798" s="3" t="inlineStr">
        <is>
          <t>창고용지</t>
        </is>
      </c>
      <c r="J4798" s="3" t="inlineStr">
        <is>
          <t>남이면</t>
        </is>
      </c>
    </row>
    <row r="4799">
      <c r="A4799" s="3" t="n">
        <v>2025</v>
      </c>
      <c r="B4799" s="4" t="n">
        <v>30000</v>
      </c>
      <c r="C4799" s="4" t="n">
        <v>321.9</v>
      </c>
      <c r="D4799" s="4" t="n">
        <v>97.37474999999999</v>
      </c>
      <c r="E4799" s="5" t="n">
        <v>308.1</v>
      </c>
      <c r="F4799" s="3" t="inlineStr">
        <is>
          <t>오송읍</t>
        </is>
      </c>
      <c r="G4799" s="3" t="inlineStr">
        <is>
          <t>봉산리</t>
        </is>
      </c>
      <c r="H4799" s="3" t="inlineStr">
        <is>
          <t>제1종일반주거지역</t>
        </is>
      </c>
      <c r="I4799" s="3" t="inlineStr">
        <is>
          <t>대</t>
        </is>
      </c>
      <c r="J4799" s="3" t="inlineStr">
        <is>
          <t>오송읍</t>
        </is>
      </c>
    </row>
    <row r="4800">
      <c r="A4800" s="3" t="n">
        <v>2025</v>
      </c>
      <c r="B4800" s="4" t="n">
        <v>8250</v>
      </c>
      <c r="C4800" s="4" t="n">
        <v>270.2</v>
      </c>
      <c r="D4800" s="4" t="n">
        <v>81.73549999999999</v>
      </c>
      <c r="E4800" s="5" t="n">
        <v>100.9</v>
      </c>
      <c r="F4800" s="3" t="inlineStr">
        <is>
          <t>오송읍</t>
        </is>
      </c>
      <c r="G4800" s="3" t="inlineStr">
        <is>
          <t>상정리</t>
        </is>
      </c>
      <c r="H4800" s="3" t="inlineStr">
        <is>
          <t>계획관리지역</t>
        </is>
      </c>
      <c r="I4800" s="3" t="inlineStr">
        <is>
          <t>대</t>
        </is>
      </c>
      <c r="J4800" s="3" t="inlineStr">
        <is>
          <t>오송읍</t>
        </is>
      </c>
    </row>
    <row r="4801">
      <c r="A4801" s="3" t="n">
        <v>2025</v>
      </c>
      <c r="B4801" s="4" t="n">
        <v>30000</v>
      </c>
      <c r="C4801" s="4" t="n">
        <v>2859</v>
      </c>
      <c r="D4801" s="4" t="n">
        <v>864.8475</v>
      </c>
      <c r="E4801" s="5" t="n">
        <v>34.7</v>
      </c>
      <c r="F4801" s="3" t="inlineStr">
        <is>
          <t>오송읍</t>
        </is>
      </c>
      <c r="G4801" s="3" t="inlineStr">
        <is>
          <t>정중리</t>
        </is>
      </c>
      <c r="H4801" s="3" t="inlineStr">
        <is>
          <t>생산관리지역</t>
        </is>
      </c>
      <c r="I4801" s="3" t="inlineStr">
        <is>
          <t>임야</t>
        </is>
      </c>
      <c r="J4801" s="3" t="inlineStr">
        <is>
          <t>오송읍</t>
        </is>
      </c>
    </row>
    <row r="4802">
      <c r="A4802" s="3" t="n">
        <v>2025</v>
      </c>
      <c r="B4802" s="4" t="n">
        <v>35053</v>
      </c>
      <c r="C4802" s="4" t="n">
        <v>469</v>
      </c>
      <c r="D4802" s="4" t="n">
        <v>141.8725</v>
      </c>
      <c r="E4802" s="5" t="n">
        <v>247.1</v>
      </c>
      <c r="F4802" s="3" t="inlineStr">
        <is>
          <t>오송읍</t>
        </is>
      </c>
      <c r="G4802" s="3" t="inlineStr">
        <is>
          <t>오송리</t>
        </is>
      </c>
      <c r="H4802" s="3" t="inlineStr">
        <is>
          <t>계획관리지역</t>
        </is>
      </c>
      <c r="I4802" s="3" t="inlineStr">
        <is>
          <t>답</t>
        </is>
      </c>
      <c r="J4802" s="3" t="inlineStr">
        <is>
          <t>오송읍</t>
        </is>
      </c>
    </row>
    <row r="4803">
      <c r="A4803" s="3" t="n">
        <v>2025</v>
      </c>
      <c r="B4803" s="4" t="n">
        <v>12332</v>
      </c>
      <c r="C4803" s="4" t="n">
        <v>165</v>
      </c>
      <c r="D4803" s="4" t="n">
        <v>49.9125</v>
      </c>
      <c r="E4803" s="5" t="n">
        <v>247.1</v>
      </c>
      <c r="F4803" s="3" t="inlineStr">
        <is>
          <t>오송읍</t>
        </is>
      </c>
      <c r="G4803" s="3" t="inlineStr">
        <is>
          <t>오송리</t>
        </is>
      </c>
      <c r="H4803" s="3" t="inlineStr">
        <is>
          <t>계획관리지역</t>
        </is>
      </c>
      <c r="I4803" s="3" t="inlineStr">
        <is>
          <t>답</t>
        </is>
      </c>
      <c r="J4803" s="3" t="inlineStr">
        <is>
          <t>오송읍</t>
        </is>
      </c>
    </row>
    <row r="4804">
      <c r="A4804" s="3" t="n">
        <v>2025</v>
      </c>
      <c r="B4804" s="4" t="n">
        <v>45375</v>
      </c>
      <c r="C4804" s="4" t="n">
        <v>2000</v>
      </c>
      <c r="D4804" s="4" t="n">
        <v>605</v>
      </c>
      <c r="E4804" s="5" t="n">
        <v>75</v>
      </c>
      <c r="F4804" s="3" t="inlineStr">
        <is>
          <t>오송읍</t>
        </is>
      </c>
      <c r="G4804" s="3" t="inlineStr">
        <is>
          <t>서평리</t>
        </is>
      </c>
      <c r="H4804" s="3" t="inlineStr">
        <is>
          <t>생산관리지역</t>
        </is>
      </c>
      <c r="I4804" s="3" t="inlineStr">
        <is>
          <t>전</t>
        </is>
      </c>
      <c r="J4804" s="3" t="inlineStr">
        <is>
          <t>오송읍</t>
        </is>
      </c>
    </row>
    <row r="4805">
      <c r="A4805" s="3" t="n">
        <v>2025</v>
      </c>
      <c r="B4805" s="4" t="n">
        <v>160000</v>
      </c>
      <c r="C4805" s="4" t="n">
        <v>34909</v>
      </c>
      <c r="D4805" s="4" t="n">
        <v>10559.9725</v>
      </c>
      <c r="E4805" s="5" t="n">
        <v>15.2</v>
      </c>
      <c r="F4805" s="3" t="inlineStr">
        <is>
          <t>오송읍</t>
        </is>
      </c>
      <c r="G4805" s="3" t="inlineStr">
        <is>
          <t>공북리</t>
        </is>
      </c>
      <c r="H4805" s="3" t="inlineStr">
        <is>
          <t>보전관리지역</t>
        </is>
      </c>
      <c r="I4805" s="3" t="inlineStr">
        <is>
          <t>임야</t>
        </is>
      </c>
      <c r="J4805" s="3" t="inlineStr">
        <is>
          <t>오송읍</t>
        </is>
      </c>
    </row>
    <row r="4806">
      <c r="A4806" s="3" t="n">
        <v>2025</v>
      </c>
      <c r="B4806" s="4" t="n">
        <v>20500</v>
      </c>
      <c r="C4806" s="4" t="n">
        <v>271.1</v>
      </c>
      <c r="D4806" s="4" t="n">
        <v>82.00775</v>
      </c>
      <c r="E4806" s="5" t="n">
        <v>250</v>
      </c>
      <c r="F4806" s="3" t="inlineStr">
        <is>
          <t>오송읍</t>
        </is>
      </c>
      <c r="G4806" s="3" t="inlineStr">
        <is>
          <t>봉산리</t>
        </is>
      </c>
      <c r="H4806" s="3" t="inlineStr">
        <is>
          <t>제1종일반주거지역</t>
        </is>
      </c>
      <c r="I4806" s="3" t="inlineStr">
        <is>
          <t>대</t>
        </is>
      </c>
      <c r="J4806" s="3" t="inlineStr">
        <is>
          <t>오송읍</t>
        </is>
      </c>
    </row>
    <row r="4807">
      <c r="A4807" s="3" t="n">
        <v>2025</v>
      </c>
      <c r="B4807" s="4" t="n">
        <v>2000</v>
      </c>
      <c r="C4807" s="4" t="n">
        <v>106</v>
      </c>
      <c r="D4807" s="4" t="n">
        <v>32.065</v>
      </c>
      <c r="E4807" s="5" t="n">
        <v>62.4</v>
      </c>
      <c r="F4807" s="3" t="inlineStr">
        <is>
          <t>오송읍</t>
        </is>
      </c>
      <c r="G4807" s="3" t="inlineStr">
        <is>
          <t>정중리</t>
        </is>
      </c>
      <c r="H4807" s="3" t="inlineStr">
        <is>
          <t>생산관리지역</t>
        </is>
      </c>
      <c r="I4807" s="3" t="inlineStr">
        <is>
          <t>전</t>
        </is>
      </c>
      <c r="J4807" s="3" t="inlineStr">
        <is>
          <t>오송읍</t>
        </is>
      </c>
    </row>
    <row r="4808">
      <c r="A4808" s="3" t="n">
        <v>2025</v>
      </c>
      <c r="B4808" s="4" t="n">
        <v>24846</v>
      </c>
      <c r="C4808" s="4" t="n">
        <v>2000</v>
      </c>
      <c r="D4808" s="4" t="n">
        <v>605</v>
      </c>
      <c r="E4808" s="5" t="n">
        <v>41.1</v>
      </c>
      <c r="F4808" s="3" t="inlineStr">
        <is>
          <t>오송읍</t>
        </is>
      </c>
      <c r="G4808" s="3" t="inlineStr">
        <is>
          <t>호계리</t>
        </is>
      </c>
      <c r="H4808" s="3" t="inlineStr">
        <is>
          <t>농림지역</t>
        </is>
      </c>
      <c r="I4808" s="3" t="inlineStr">
        <is>
          <t>답</t>
        </is>
      </c>
      <c r="J4808" s="3" t="inlineStr">
        <is>
          <t>오송읍</t>
        </is>
      </c>
    </row>
    <row r="4809">
      <c r="A4809" s="3" t="n">
        <v>2024</v>
      </c>
      <c r="B4809" s="4" t="n">
        <v>960</v>
      </c>
      <c r="C4809" s="4" t="n">
        <v>318</v>
      </c>
      <c r="D4809" s="4" t="n">
        <v>96.19499999999999</v>
      </c>
      <c r="E4809" s="5" t="n">
        <v>10</v>
      </c>
      <c r="F4809" s="3" t="inlineStr">
        <is>
          <t>남이면</t>
        </is>
      </c>
      <c r="G4809" s="3" t="inlineStr">
        <is>
          <t>부용외천리</t>
        </is>
      </c>
      <c r="H4809" s="3" t="inlineStr">
        <is>
          <t>계획관리지역</t>
        </is>
      </c>
      <c r="I4809" s="3" t="inlineStr">
        <is>
          <t>임야</t>
        </is>
      </c>
      <c r="J4809" s="3" t="inlineStr">
        <is>
          <t>남이면</t>
        </is>
      </c>
    </row>
    <row r="4810">
      <c r="A4810" s="3" t="n">
        <v>2024</v>
      </c>
      <c r="B4810" s="4" t="n">
        <v>19820</v>
      </c>
      <c r="C4810" s="4" t="n">
        <v>474</v>
      </c>
      <c r="D4810" s="4" t="n">
        <v>143.385</v>
      </c>
      <c r="E4810" s="5" t="n">
        <v>138.2</v>
      </c>
      <c r="F4810" s="3" t="inlineStr">
        <is>
          <t>남이면</t>
        </is>
      </c>
      <c r="G4810" s="3" t="inlineStr">
        <is>
          <t>양촌리</t>
        </is>
      </c>
      <c r="H4810" s="3" t="inlineStr">
        <is>
          <t>자연녹지지역</t>
        </is>
      </c>
      <c r="I4810" s="3" t="inlineStr">
        <is>
          <t>전</t>
        </is>
      </c>
      <c r="J4810" s="3" t="inlineStr">
        <is>
          <t>남이면</t>
        </is>
      </c>
    </row>
    <row r="4811">
      <c r="A4811" s="3" t="n">
        <v>2024</v>
      </c>
      <c r="B4811" s="4" t="n">
        <v>17522</v>
      </c>
      <c r="C4811" s="4" t="n">
        <v>420</v>
      </c>
      <c r="D4811" s="4" t="n">
        <v>127.05</v>
      </c>
      <c r="E4811" s="5" t="n">
        <v>137.9</v>
      </c>
      <c r="F4811" s="3" t="inlineStr">
        <is>
          <t>남이면</t>
        </is>
      </c>
      <c r="G4811" s="3" t="inlineStr">
        <is>
          <t>양촌리</t>
        </is>
      </c>
      <c r="H4811" s="3" t="inlineStr">
        <is>
          <t>자연녹지지역</t>
        </is>
      </c>
      <c r="I4811" s="3" t="inlineStr">
        <is>
          <t>전</t>
        </is>
      </c>
      <c r="J4811" s="3" t="inlineStr">
        <is>
          <t>남이면</t>
        </is>
      </c>
    </row>
    <row r="4812">
      <c r="A4812" s="3" t="n">
        <v>2024</v>
      </c>
      <c r="B4812" s="4" t="n">
        <v>13392</v>
      </c>
      <c r="C4812" s="4" t="n">
        <v>321</v>
      </c>
      <c r="D4812" s="4" t="n">
        <v>97.10249999999999</v>
      </c>
      <c r="E4812" s="5" t="n">
        <v>137.9</v>
      </c>
      <c r="F4812" s="3" t="inlineStr">
        <is>
          <t>남이면</t>
        </is>
      </c>
      <c r="G4812" s="3" t="inlineStr">
        <is>
          <t>양촌리</t>
        </is>
      </c>
      <c r="H4812" s="3" t="inlineStr">
        <is>
          <t>자연녹지지역</t>
        </is>
      </c>
      <c r="I4812" s="3" t="inlineStr">
        <is>
          <t>전</t>
        </is>
      </c>
      <c r="J4812" s="3" t="inlineStr">
        <is>
          <t>남이면</t>
        </is>
      </c>
    </row>
    <row r="4813">
      <c r="A4813" s="3" t="n">
        <v>2024</v>
      </c>
      <c r="B4813" s="4" t="n">
        <v>23000</v>
      </c>
      <c r="C4813" s="4" t="n">
        <v>460</v>
      </c>
      <c r="D4813" s="4" t="n">
        <v>139.15</v>
      </c>
      <c r="E4813" s="5" t="n">
        <v>165.3</v>
      </c>
      <c r="F4813" s="3" t="inlineStr">
        <is>
          <t>강내면</t>
        </is>
      </c>
      <c r="G4813" s="3" t="inlineStr">
        <is>
          <t>사곡리</t>
        </is>
      </c>
      <c r="H4813" s="3" t="inlineStr">
        <is>
          <t>계획관리지역</t>
        </is>
      </c>
      <c r="I4813" s="3" t="inlineStr">
        <is>
          <t>대</t>
        </is>
      </c>
      <c r="J4813" s="3" t="inlineStr">
        <is>
          <t>강내면</t>
        </is>
      </c>
    </row>
    <row r="4814">
      <c r="A4814" s="3" t="n">
        <v>2024</v>
      </c>
      <c r="B4814" s="4" t="n">
        <v>55000</v>
      </c>
      <c r="C4814" s="4" t="n">
        <v>257</v>
      </c>
      <c r="D4814" s="4" t="n">
        <v>77.74249999999999</v>
      </c>
      <c r="E4814" s="5" t="n">
        <v>707.5</v>
      </c>
      <c r="F4814" s="3" t="inlineStr">
        <is>
          <t>강내면</t>
        </is>
      </c>
      <c r="G4814" s="3" t="inlineStr">
        <is>
          <t>월곡리</t>
        </is>
      </c>
      <c r="H4814" s="3" t="inlineStr">
        <is>
          <t>제2종일반주거지역</t>
        </is>
      </c>
      <c r="I4814" s="3" t="inlineStr">
        <is>
          <t>답</t>
        </is>
      </c>
      <c r="J4814" s="3" t="inlineStr">
        <is>
          <t>강내면</t>
        </is>
      </c>
    </row>
    <row r="4815">
      <c r="A4815" s="3" t="n">
        <v>2024</v>
      </c>
      <c r="B4815" s="4" t="n">
        <v>316</v>
      </c>
      <c r="C4815" s="4" t="n">
        <v>10</v>
      </c>
      <c r="D4815" s="4" t="n">
        <v>3.025</v>
      </c>
      <c r="E4815" s="5" t="n">
        <v>104.5</v>
      </c>
      <c r="F4815" s="3" t="inlineStr">
        <is>
          <t>오송읍</t>
        </is>
      </c>
      <c r="G4815" s="3" t="inlineStr">
        <is>
          <t>상정리</t>
        </is>
      </c>
      <c r="H4815" s="3" t="inlineStr">
        <is>
          <t>보전관리지역</t>
        </is>
      </c>
      <c r="I4815" s="3" t="inlineStr">
        <is>
          <t>대</t>
        </is>
      </c>
      <c r="J4815" s="3" t="inlineStr">
        <is>
          <t>오송읍</t>
        </is>
      </c>
    </row>
    <row r="4816">
      <c r="A4816" s="3" t="n">
        <v>2024</v>
      </c>
      <c r="B4816" s="4" t="n">
        <v>37296</v>
      </c>
      <c r="C4816" s="4" t="n">
        <v>1102</v>
      </c>
      <c r="D4816" s="4" t="n">
        <v>333.355</v>
      </c>
      <c r="E4816" s="5" t="n">
        <v>111.9</v>
      </c>
      <c r="F4816" s="3" t="inlineStr">
        <is>
          <t>오송읍</t>
        </is>
      </c>
      <c r="G4816" s="3" t="inlineStr">
        <is>
          <t>쌍청리</t>
        </is>
      </c>
      <c r="H4816" s="3" t="inlineStr">
        <is>
          <t>생산관리지역</t>
        </is>
      </c>
      <c r="I4816" s="3" t="inlineStr">
        <is>
          <t>답</t>
        </is>
      </c>
      <c r="J4816" s="3" t="inlineStr">
        <is>
          <t>오송읍</t>
        </is>
      </c>
    </row>
    <row r="4817">
      <c r="A4817" s="3" t="n">
        <v>2024</v>
      </c>
      <c r="B4817" s="4" t="n">
        <v>12849</v>
      </c>
      <c r="C4817" s="4" t="n">
        <v>390</v>
      </c>
      <c r="D4817" s="4" t="n">
        <v>117.975</v>
      </c>
      <c r="E4817" s="5" t="n">
        <v>108.9</v>
      </c>
      <c r="F4817" s="3" t="inlineStr">
        <is>
          <t>강내면</t>
        </is>
      </c>
      <c r="G4817" s="3" t="inlineStr">
        <is>
          <t>저산리</t>
        </is>
      </c>
      <c r="H4817" s="3" t="inlineStr">
        <is>
          <t>계획관리지역</t>
        </is>
      </c>
      <c r="I4817" s="3" t="inlineStr">
        <is>
          <t>임야</t>
        </is>
      </c>
      <c r="J4817" s="3" t="inlineStr">
        <is>
          <t>강내면</t>
        </is>
      </c>
    </row>
    <row r="4818">
      <c r="A4818" s="3" t="n">
        <v>2024</v>
      </c>
      <c r="B4818" s="4" t="n">
        <v>320</v>
      </c>
      <c r="C4818" s="4" t="n">
        <v>37</v>
      </c>
      <c r="D4818" s="4" t="n">
        <v>11.1925</v>
      </c>
      <c r="E4818" s="5" t="n">
        <v>28.6</v>
      </c>
      <c r="F4818" s="3" t="inlineStr">
        <is>
          <t>강내면</t>
        </is>
      </c>
      <c r="G4818" s="3" t="inlineStr">
        <is>
          <t>당곡리</t>
        </is>
      </c>
      <c r="H4818" s="3" t="inlineStr">
        <is>
          <t>계획관리지역</t>
        </is>
      </c>
      <c r="I4818" s="3" t="inlineStr">
        <is>
          <t>도로</t>
        </is>
      </c>
      <c r="J4818" s="3" t="inlineStr">
        <is>
          <t>강내면</t>
        </is>
      </c>
    </row>
    <row r="4819">
      <c r="A4819" s="3" t="n">
        <v>2024</v>
      </c>
      <c r="B4819" s="4" t="n">
        <v>63300</v>
      </c>
      <c r="C4819" s="4" t="n">
        <v>3270.3</v>
      </c>
      <c r="D4819" s="4" t="n">
        <v>989.26575</v>
      </c>
      <c r="E4819" s="5" t="n">
        <v>64</v>
      </c>
      <c r="F4819" s="3" t="inlineStr">
        <is>
          <t>오송읍</t>
        </is>
      </c>
      <c r="G4819" s="3" t="inlineStr">
        <is>
          <t>공북리</t>
        </is>
      </c>
      <c r="H4819" s="3" t="inlineStr">
        <is>
          <t>농림지역</t>
        </is>
      </c>
      <c r="I4819" s="3" t="inlineStr">
        <is>
          <t>답</t>
        </is>
      </c>
      <c r="J4819" s="3" t="inlineStr">
        <is>
          <t>오송읍</t>
        </is>
      </c>
    </row>
    <row r="4820">
      <c r="A4820" s="3" t="n">
        <v>2024</v>
      </c>
      <c r="B4820" s="4" t="n">
        <v>15800</v>
      </c>
      <c r="C4820" s="4" t="n">
        <v>1954</v>
      </c>
      <c r="D4820" s="4" t="n">
        <v>591.085</v>
      </c>
      <c r="E4820" s="5" t="n">
        <v>26.7</v>
      </c>
      <c r="F4820" s="3" t="inlineStr">
        <is>
          <t>강내면</t>
        </is>
      </c>
      <c r="G4820" s="3" t="inlineStr">
        <is>
          <t>학천리</t>
        </is>
      </c>
      <c r="H4820" s="3" t="inlineStr">
        <is>
          <t>생산녹지지역</t>
        </is>
      </c>
      <c r="I4820" s="3" t="inlineStr">
        <is>
          <t>답</t>
        </is>
      </c>
      <c r="J4820" s="3" t="inlineStr">
        <is>
          <t>강내면</t>
        </is>
      </c>
    </row>
    <row r="4821">
      <c r="A4821" s="3" t="n">
        <v>2023</v>
      </c>
      <c r="B4821" s="4" t="n">
        <v>5500</v>
      </c>
      <c r="C4821" s="4" t="n">
        <v>330</v>
      </c>
      <c r="D4821" s="4" t="n">
        <v>99.825</v>
      </c>
      <c r="E4821" s="5" t="n">
        <v>55.1</v>
      </c>
      <c r="F4821" s="3" t="inlineStr">
        <is>
          <t>남이면</t>
        </is>
      </c>
      <c r="G4821" s="3" t="inlineStr">
        <is>
          <t>산막리</t>
        </is>
      </c>
      <c r="H4821" s="3" t="inlineStr">
        <is>
          <t>계획관리지역</t>
        </is>
      </c>
      <c r="I4821" s="3" t="inlineStr">
        <is>
          <t>대</t>
        </is>
      </c>
      <c r="J4821" s="3" t="inlineStr">
        <is>
          <t>남이면</t>
        </is>
      </c>
    </row>
    <row r="4822">
      <c r="A4822" s="3" t="n">
        <v>2023</v>
      </c>
      <c r="B4822" s="4" t="n">
        <v>1421</v>
      </c>
      <c r="C4822" s="4" t="n">
        <v>94</v>
      </c>
      <c r="D4822" s="4" t="n">
        <v>28.435</v>
      </c>
      <c r="E4822" s="5" t="n">
        <v>50</v>
      </c>
      <c r="F4822" s="3" t="inlineStr">
        <is>
          <t>남이면</t>
        </is>
      </c>
      <c r="G4822" s="3" t="inlineStr">
        <is>
          <t>가좌리</t>
        </is>
      </c>
      <c r="H4822" s="3" t="inlineStr">
        <is>
          <t>자연녹지지역</t>
        </is>
      </c>
      <c r="I4822" s="3" t="inlineStr">
        <is>
          <t>답</t>
        </is>
      </c>
      <c r="J4822" s="3" t="inlineStr">
        <is>
          <t>남이면</t>
        </is>
      </c>
    </row>
    <row r="4823">
      <c r="A4823" s="3" t="n">
        <v>2023</v>
      </c>
      <c r="B4823" s="4" t="n">
        <v>574</v>
      </c>
      <c r="C4823" s="4" t="n">
        <v>38</v>
      </c>
      <c r="D4823" s="4" t="n">
        <v>11.495</v>
      </c>
      <c r="E4823" s="5" t="n">
        <v>49.9</v>
      </c>
      <c r="F4823" s="3" t="inlineStr">
        <is>
          <t>남이면</t>
        </is>
      </c>
      <c r="G4823" s="3" t="inlineStr">
        <is>
          <t>가좌리</t>
        </is>
      </c>
      <c r="H4823" s="3" t="inlineStr">
        <is>
          <t>자연녹지지역</t>
        </is>
      </c>
      <c r="I4823" s="3" t="inlineStr">
        <is>
          <t>답</t>
        </is>
      </c>
      <c r="J4823" s="3" t="inlineStr">
        <is>
          <t>남이면</t>
        </is>
      </c>
    </row>
    <row r="4824">
      <c r="A4824" s="3" t="n">
        <v>2023</v>
      </c>
      <c r="B4824" s="4" t="n">
        <v>25878</v>
      </c>
      <c r="C4824" s="4" t="n">
        <v>1711</v>
      </c>
      <c r="D4824" s="4" t="n">
        <v>517.5775</v>
      </c>
      <c r="E4824" s="5" t="n">
        <v>50</v>
      </c>
      <c r="F4824" s="3" t="inlineStr">
        <is>
          <t>남이면</t>
        </is>
      </c>
      <c r="G4824" s="3" t="inlineStr">
        <is>
          <t>가좌리</t>
        </is>
      </c>
      <c r="H4824" s="3" t="inlineStr">
        <is>
          <t>자연녹지지역</t>
        </is>
      </c>
      <c r="I4824" s="3" t="inlineStr">
        <is>
          <t>답</t>
        </is>
      </c>
      <c r="J4824" s="3" t="inlineStr">
        <is>
          <t>남이면</t>
        </is>
      </c>
    </row>
    <row r="4825">
      <c r="A4825" s="3" t="n">
        <v>2023</v>
      </c>
      <c r="B4825" s="4" t="n">
        <v>21595</v>
      </c>
      <c r="C4825" s="4" t="n">
        <v>1298</v>
      </c>
      <c r="D4825" s="4" t="n">
        <v>392.645</v>
      </c>
      <c r="E4825" s="5" t="n">
        <v>55</v>
      </c>
      <c r="F4825" s="3" t="inlineStr">
        <is>
          <t>남이면</t>
        </is>
      </c>
      <c r="G4825" s="3" t="inlineStr">
        <is>
          <t>가좌리</t>
        </is>
      </c>
      <c r="H4825" s="3" t="inlineStr">
        <is>
          <t>자연녹지지역</t>
        </is>
      </c>
      <c r="I4825" s="3" t="inlineStr">
        <is>
          <t>답</t>
        </is>
      </c>
      <c r="J4825" s="3" t="inlineStr">
        <is>
          <t>남이면</t>
        </is>
      </c>
    </row>
    <row r="4826">
      <c r="A4826" s="3" t="n">
        <v>2023</v>
      </c>
      <c r="B4826" s="4" t="n">
        <v>25450</v>
      </c>
      <c r="C4826" s="4" t="n">
        <v>1683</v>
      </c>
      <c r="D4826" s="4" t="n">
        <v>509.1075</v>
      </c>
      <c r="E4826" s="5" t="n">
        <v>50</v>
      </c>
      <c r="F4826" s="3" t="inlineStr">
        <is>
          <t>남이면</t>
        </is>
      </c>
      <c r="G4826" s="3" t="inlineStr">
        <is>
          <t>가좌리</t>
        </is>
      </c>
      <c r="H4826" s="3" t="inlineStr">
        <is>
          <t>자연녹지지역</t>
        </is>
      </c>
      <c r="I4826" s="3" t="inlineStr">
        <is>
          <t>답</t>
        </is>
      </c>
      <c r="J4826" s="3" t="inlineStr">
        <is>
          <t>남이면</t>
        </is>
      </c>
    </row>
    <row r="4827">
      <c r="A4827" s="3" t="n">
        <v>2022</v>
      </c>
      <c r="B4827" s="4" t="n">
        <v>71800</v>
      </c>
      <c r="C4827" s="4" t="n">
        <v>3570</v>
      </c>
      <c r="D4827" s="4" t="n">
        <v>1079.925</v>
      </c>
      <c r="E4827" s="5" t="n">
        <v>66.5</v>
      </c>
      <c r="F4827" s="3" t="inlineStr">
        <is>
          <t>강내면</t>
        </is>
      </c>
      <c r="G4827" s="3" t="inlineStr">
        <is>
          <t>월탄리</t>
        </is>
      </c>
      <c r="H4827" s="3" t="inlineStr">
        <is>
          <t>농림지역</t>
        </is>
      </c>
      <c r="I4827" s="3" t="inlineStr">
        <is>
          <t>답</t>
        </is>
      </c>
      <c r="J4827" s="3" t="inlineStr">
        <is>
          <t>강내면</t>
        </is>
      </c>
    </row>
    <row r="4828">
      <c r="A4828" s="3" t="n">
        <v>2022</v>
      </c>
      <c r="B4828" s="4" t="n">
        <v>29920</v>
      </c>
      <c r="C4828" s="4" t="n">
        <v>638</v>
      </c>
      <c r="D4828" s="4" t="n">
        <v>192.995</v>
      </c>
      <c r="E4828" s="5" t="n">
        <v>155</v>
      </c>
      <c r="F4828" s="3" t="inlineStr">
        <is>
          <t>강내면</t>
        </is>
      </c>
      <c r="G4828" s="3" t="inlineStr">
        <is>
          <t>사인리</t>
        </is>
      </c>
      <c r="H4828" s="3" t="inlineStr">
        <is>
          <t>자연녹지지역</t>
        </is>
      </c>
      <c r="I4828" s="3" t="inlineStr">
        <is>
          <t>대</t>
        </is>
      </c>
      <c r="J4828" s="3" t="inlineStr">
        <is>
          <t>강내면</t>
        </is>
      </c>
    </row>
    <row r="4829">
      <c r="A4829" s="3" t="n">
        <v>2022</v>
      </c>
      <c r="B4829" s="4" t="n">
        <v>10080</v>
      </c>
      <c r="C4829" s="4" t="n">
        <v>215</v>
      </c>
      <c r="D4829" s="4" t="n">
        <v>65.03749999999999</v>
      </c>
      <c r="E4829" s="5" t="n">
        <v>155</v>
      </c>
      <c r="F4829" s="3" t="inlineStr">
        <is>
          <t>강내면</t>
        </is>
      </c>
      <c r="G4829" s="3" t="inlineStr">
        <is>
          <t>사인리</t>
        </is>
      </c>
      <c r="H4829" s="3" t="inlineStr">
        <is>
          <t>자연녹지지역</t>
        </is>
      </c>
      <c r="I4829" s="3" t="inlineStr">
        <is>
          <t>대</t>
        </is>
      </c>
      <c r="J4829" s="3" t="inlineStr">
        <is>
          <t>강내면</t>
        </is>
      </c>
    </row>
    <row r="4830">
      <c r="A4830" s="3" t="n">
        <v>2022</v>
      </c>
      <c r="B4830" s="4" t="n">
        <v>40000</v>
      </c>
      <c r="C4830" s="4" t="n">
        <v>702</v>
      </c>
      <c r="D4830" s="4" t="n">
        <v>212.355</v>
      </c>
      <c r="E4830" s="5" t="n">
        <v>188.4</v>
      </c>
      <c r="F4830" s="3" t="inlineStr">
        <is>
          <t>강내면</t>
        </is>
      </c>
      <c r="G4830" s="3" t="inlineStr">
        <is>
          <t>탑연리</t>
        </is>
      </c>
      <c r="H4830" s="3" t="inlineStr">
        <is>
          <t>자연녹지지역</t>
        </is>
      </c>
      <c r="I4830" s="3" t="inlineStr">
        <is>
          <t>임야</t>
        </is>
      </c>
      <c r="J4830" s="3" t="inlineStr">
        <is>
          <t>강내면</t>
        </is>
      </c>
    </row>
    <row r="4831">
      <c r="A4831" s="3" t="n">
        <v>2022</v>
      </c>
      <c r="B4831" s="4" t="n">
        <v>32400</v>
      </c>
      <c r="C4831" s="4" t="n">
        <v>568</v>
      </c>
      <c r="D4831" s="4" t="n">
        <v>171.82</v>
      </c>
      <c r="E4831" s="5" t="n">
        <v>188.6</v>
      </c>
      <c r="F4831" s="3" t="inlineStr">
        <is>
          <t>강내면</t>
        </is>
      </c>
      <c r="G4831" s="3" t="inlineStr">
        <is>
          <t>저산리</t>
        </is>
      </c>
      <c r="H4831" s="3" t="inlineStr">
        <is>
          <t>보전관리지역</t>
        </is>
      </c>
      <c r="I4831" s="3" t="inlineStr">
        <is>
          <t>임야</t>
        </is>
      </c>
      <c r="J4831" s="3" t="inlineStr">
        <is>
          <t>강내면</t>
        </is>
      </c>
    </row>
    <row r="4832">
      <c r="A4832" s="3" t="n">
        <v>2022</v>
      </c>
      <c r="B4832" s="4" t="n">
        <v>4300</v>
      </c>
      <c r="C4832" s="4" t="n">
        <v>72</v>
      </c>
      <c r="D4832" s="4" t="n">
        <v>21.78</v>
      </c>
      <c r="E4832" s="5" t="n">
        <v>197.4</v>
      </c>
      <c r="F4832" s="3" t="inlineStr">
        <is>
          <t>오송읍</t>
        </is>
      </c>
      <c r="G4832" s="3" t="inlineStr">
        <is>
          <t>정중리</t>
        </is>
      </c>
      <c r="H4832" s="3" t="inlineStr">
        <is>
          <t>계획관리지역</t>
        </is>
      </c>
      <c r="I4832" s="3" t="inlineStr">
        <is>
          <t>대</t>
        </is>
      </c>
      <c r="J4832" s="3" t="inlineStr">
        <is>
          <t>오송읍</t>
        </is>
      </c>
    </row>
    <row r="4833">
      <c r="A4833" s="3" t="n">
        <v>2022</v>
      </c>
      <c r="B4833" s="4" t="n">
        <v>394000</v>
      </c>
      <c r="C4833" s="4" t="n">
        <v>2435.1</v>
      </c>
      <c r="D4833" s="4" t="n">
        <v>736.61775</v>
      </c>
      <c r="E4833" s="5" t="n">
        <v>534.9</v>
      </c>
      <c r="F4833" s="3" t="inlineStr">
        <is>
          <t>오송읍</t>
        </is>
      </c>
      <c r="G4833" s="3" t="inlineStr">
        <is>
          <t>봉산리</t>
        </is>
      </c>
      <c r="H4833" s="3" t="inlineStr">
        <is>
          <t>일반상업지역</t>
        </is>
      </c>
      <c r="I4833" s="3" t="inlineStr">
        <is>
          <t>주차장</t>
        </is>
      </c>
      <c r="J4833" s="3" t="inlineStr">
        <is>
          <t>오송읍</t>
        </is>
      </c>
    </row>
    <row r="4834">
      <c r="A4834" s="3" t="n">
        <v>2022</v>
      </c>
      <c r="B4834" s="4" t="n">
        <v>12000</v>
      </c>
      <c r="C4834" s="4" t="n">
        <v>896</v>
      </c>
      <c r="D4834" s="4" t="n">
        <v>271.04</v>
      </c>
      <c r="E4834" s="5" t="n">
        <v>44.3</v>
      </c>
      <c r="F4834" s="3" t="inlineStr">
        <is>
          <t>강내면</t>
        </is>
      </c>
      <c r="G4834" s="3" t="inlineStr">
        <is>
          <t>탑연리</t>
        </is>
      </c>
      <c r="H4834" s="3" t="inlineStr">
        <is>
          <t>자연녹지지역</t>
        </is>
      </c>
      <c r="I4834" s="3" t="inlineStr">
        <is>
          <t>답</t>
        </is>
      </c>
      <c r="J4834" s="3" t="inlineStr">
        <is>
          <t>강내면</t>
        </is>
      </c>
    </row>
    <row r="4835">
      <c r="A4835" s="3" t="n">
        <v>2024</v>
      </c>
      <c r="B4835" s="4" t="n">
        <v>11514</v>
      </c>
      <c r="C4835" s="4" t="n">
        <v>276</v>
      </c>
      <c r="D4835" s="4" t="n">
        <v>83.48999999999999</v>
      </c>
      <c r="E4835" s="5" t="n">
        <v>137.9</v>
      </c>
      <c r="F4835" s="3" t="inlineStr">
        <is>
          <t>남이면</t>
        </is>
      </c>
      <c r="G4835" s="3" t="inlineStr">
        <is>
          <t>양촌리</t>
        </is>
      </c>
      <c r="H4835" s="3" t="inlineStr">
        <is>
          <t>자연녹지지역</t>
        </is>
      </c>
      <c r="I4835" s="3" t="inlineStr">
        <is>
          <t>전</t>
        </is>
      </c>
      <c r="J4835" s="3" t="inlineStr">
        <is>
          <t>남이면</t>
        </is>
      </c>
    </row>
    <row r="4836">
      <c r="A4836" s="3" t="n">
        <v>2025</v>
      </c>
      <c r="B4836" s="4" t="n">
        <v>12700</v>
      </c>
      <c r="C4836" s="4" t="n">
        <v>635</v>
      </c>
      <c r="D4836" s="4" t="n">
        <v>192.0875</v>
      </c>
      <c r="E4836" s="5" t="n">
        <v>66.09999999999999</v>
      </c>
      <c r="F4836" s="3" t="inlineStr">
        <is>
          <t>오송읍</t>
        </is>
      </c>
      <c r="G4836" s="3" t="inlineStr">
        <is>
          <t>서평리</t>
        </is>
      </c>
      <c r="H4836" s="3" t="inlineStr">
        <is>
          <t>농림지역</t>
        </is>
      </c>
      <c r="I4836" s="3" t="inlineStr">
        <is>
          <t>답</t>
        </is>
      </c>
      <c r="J4836" s="3" t="inlineStr">
        <is>
          <t>오송읍</t>
        </is>
      </c>
    </row>
    <row r="4837">
      <c r="A4837" s="3" t="n">
        <v>2025</v>
      </c>
      <c r="B4837" s="4" t="n">
        <v>65000</v>
      </c>
      <c r="C4837" s="4" t="n">
        <v>3233</v>
      </c>
      <c r="D4837" s="4" t="n">
        <v>977.9825</v>
      </c>
      <c r="E4837" s="5" t="n">
        <v>66.5</v>
      </c>
      <c r="F4837" s="3" t="inlineStr">
        <is>
          <t>오송읍</t>
        </is>
      </c>
      <c r="G4837" s="3" t="inlineStr">
        <is>
          <t>서평리</t>
        </is>
      </c>
      <c r="H4837" s="3" t="inlineStr">
        <is>
          <t>농림지역</t>
        </is>
      </c>
      <c r="I4837" s="3" t="inlineStr">
        <is>
          <t>답</t>
        </is>
      </c>
      <c r="J4837" s="3" t="inlineStr">
        <is>
          <t>오송읍</t>
        </is>
      </c>
    </row>
    <row r="4838">
      <c r="A4838" s="3" t="n">
        <v>2025</v>
      </c>
      <c r="B4838" s="4" t="n">
        <v>20300</v>
      </c>
      <c r="C4838" s="4" t="n">
        <v>1012</v>
      </c>
      <c r="D4838" s="4" t="n">
        <v>306.13</v>
      </c>
      <c r="E4838" s="5" t="n">
        <v>66.3</v>
      </c>
      <c r="F4838" s="3" t="inlineStr">
        <is>
          <t>오송읍</t>
        </is>
      </c>
      <c r="G4838" s="3" t="inlineStr">
        <is>
          <t>서평리</t>
        </is>
      </c>
      <c r="H4838" s="3" t="inlineStr">
        <is>
          <t>농림지역</t>
        </is>
      </c>
      <c r="I4838" s="3" t="inlineStr">
        <is>
          <t>답</t>
        </is>
      </c>
      <c r="J4838" s="3" t="inlineStr">
        <is>
          <t>오송읍</t>
        </is>
      </c>
    </row>
    <row r="4839">
      <c r="A4839" s="3" t="n">
        <v>2025</v>
      </c>
      <c r="B4839" s="4" t="n">
        <v>25456</v>
      </c>
      <c r="C4839" s="4" t="n">
        <v>2274</v>
      </c>
      <c r="D4839" s="4" t="n">
        <v>687.885</v>
      </c>
      <c r="E4839" s="5" t="n">
        <v>37</v>
      </c>
      <c r="F4839" s="3" t="inlineStr">
        <is>
          <t>강내면</t>
        </is>
      </c>
      <c r="G4839" s="3" t="inlineStr">
        <is>
          <t>석화리</t>
        </is>
      </c>
      <c r="H4839" s="3" t="inlineStr">
        <is>
          <t>생산녹지지역</t>
        </is>
      </c>
      <c r="I4839" s="3" t="inlineStr">
        <is>
          <t>전</t>
        </is>
      </c>
      <c r="J4839" s="3" t="inlineStr">
        <is>
          <t>강내면</t>
        </is>
      </c>
    </row>
    <row r="4840">
      <c r="A4840" s="3" t="n">
        <v>2025</v>
      </c>
      <c r="B4840" s="4" t="n">
        <v>11729</v>
      </c>
      <c r="C4840" s="4" t="n">
        <v>1048</v>
      </c>
      <c r="D4840" s="4" t="n">
        <v>317.02</v>
      </c>
      <c r="E4840" s="5" t="n">
        <v>37</v>
      </c>
      <c r="F4840" s="3" t="inlineStr">
        <is>
          <t>강내면</t>
        </is>
      </c>
      <c r="G4840" s="3" t="inlineStr">
        <is>
          <t>석화리</t>
        </is>
      </c>
      <c r="H4840" s="3" t="inlineStr">
        <is>
          <t>자연녹지지역</t>
        </is>
      </c>
      <c r="I4840" s="3" t="inlineStr">
        <is>
          <t>답</t>
        </is>
      </c>
      <c r="J4840" s="3" t="inlineStr">
        <is>
          <t>강내면</t>
        </is>
      </c>
    </row>
    <row r="4841">
      <c r="A4841" s="3" t="n">
        <v>2025</v>
      </c>
      <c r="B4841" s="4" t="n">
        <v>20000</v>
      </c>
      <c r="C4841" s="4" t="n">
        <v>367</v>
      </c>
      <c r="D4841" s="4" t="n">
        <v>111.0175</v>
      </c>
      <c r="E4841" s="5" t="n">
        <v>180.2</v>
      </c>
      <c r="F4841" s="3" t="inlineStr">
        <is>
          <t>오송읍</t>
        </is>
      </c>
      <c r="G4841" s="3" t="inlineStr">
        <is>
          <t>봉산리</t>
        </is>
      </c>
      <c r="H4841" s="3" t="inlineStr">
        <is>
          <t>계획관리지역</t>
        </is>
      </c>
      <c r="I4841" s="3" t="inlineStr">
        <is>
          <t>답</t>
        </is>
      </c>
      <c r="J4841" s="3" t="inlineStr">
        <is>
          <t>오송읍</t>
        </is>
      </c>
    </row>
    <row r="4842">
      <c r="A4842" s="3" t="n">
        <v>2025</v>
      </c>
      <c r="B4842" s="4" t="n">
        <v>134000</v>
      </c>
      <c r="C4842" s="4" t="n">
        <v>2202</v>
      </c>
      <c r="D4842" s="4" t="n">
        <v>666.105</v>
      </c>
      <c r="E4842" s="5" t="n">
        <v>201.2</v>
      </c>
      <c r="F4842" s="3" t="inlineStr">
        <is>
          <t>오송읍</t>
        </is>
      </c>
      <c r="G4842" s="3" t="inlineStr">
        <is>
          <t>봉산리</t>
        </is>
      </c>
      <c r="H4842" s="3" t="inlineStr">
        <is>
          <t>계획관리지역</t>
        </is>
      </c>
      <c r="I4842" s="3" t="inlineStr">
        <is>
          <t>답</t>
        </is>
      </c>
      <c r="J4842" s="3" t="inlineStr">
        <is>
          <t>오송읍</t>
        </is>
      </c>
    </row>
    <row r="4843">
      <c r="A4843" s="3" t="n">
        <v>2025</v>
      </c>
      <c r="B4843" s="4" t="n">
        <v>63500</v>
      </c>
      <c r="C4843" s="4" t="n">
        <v>1750</v>
      </c>
      <c r="D4843" s="4" t="n">
        <v>529.375</v>
      </c>
      <c r="E4843" s="5" t="n">
        <v>120</v>
      </c>
      <c r="F4843" s="3" t="inlineStr">
        <is>
          <t>오송읍</t>
        </is>
      </c>
      <c r="G4843" s="3" t="inlineStr">
        <is>
          <t>서평리</t>
        </is>
      </c>
      <c r="H4843" s="3" t="inlineStr">
        <is>
          <t>농림지역</t>
        </is>
      </c>
      <c r="I4843" s="3" t="inlineStr">
        <is>
          <t>전</t>
        </is>
      </c>
      <c r="J4843" s="3" t="inlineStr">
        <is>
          <t>오송읍</t>
        </is>
      </c>
    </row>
    <row r="4844">
      <c r="A4844" s="3" t="n">
        <v>2025</v>
      </c>
      <c r="B4844" s="4" t="n">
        <v>12700</v>
      </c>
      <c r="C4844" s="4" t="n">
        <v>635</v>
      </c>
      <c r="D4844" s="4" t="n">
        <v>192.0875</v>
      </c>
      <c r="E4844" s="5" t="n">
        <v>66.09999999999999</v>
      </c>
      <c r="F4844" s="3" t="inlineStr">
        <is>
          <t>오송읍</t>
        </is>
      </c>
      <c r="G4844" s="3" t="inlineStr">
        <is>
          <t>서평리</t>
        </is>
      </c>
      <c r="H4844" s="3" t="inlineStr">
        <is>
          <t>농림지역</t>
        </is>
      </c>
      <c r="I4844" s="3" t="inlineStr">
        <is>
          <t>답</t>
        </is>
      </c>
      <c r="J4844" s="3" t="inlineStr">
        <is>
          <t>오송읍</t>
        </is>
      </c>
    </row>
    <row r="4845">
      <c r="A4845" s="3" t="n">
        <v>2025</v>
      </c>
      <c r="B4845" s="4" t="n">
        <v>65000</v>
      </c>
      <c r="C4845" s="4" t="n">
        <v>3233</v>
      </c>
      <c r="D4845" s="4" t="n">
        <v>977.9825</v>
      </c>
      <c r="E4845" s="5" t="n">
        <v>66.5</v>
      </c>
      <c r="F4845" s="3" t="inlineStr">
        <is>
          <t>오송읍</t>
        </is>
      </c>
      <c r="G4845" s="3" t="inlineStr">
        <is>
          <t>서평리</t>
        </is>
      </c>
      <c r="H4845" s="3" t="inlineStr">
        <is>
          <t>농림지역</t>
        </is>
      </c>
      <c r="I4845" s="3" t="inlineStr">
        <is>
          <t>답</t>
        </is>
      </c>
      <c r="J4845" s="3" t="inlineStr">
        <is>
          <t>오송읍</t>
        </is>
      </c>
    </row>
    <row r="4846">
      <c r="A4846" s="3" t="n">
        <v>2025</v>
      </c>
      <c r="B4846" s="4" t="n">
        <v>20300</v>
      </c>
      <c r="C4846" s="4" t="n">
        <v>1012</v>
      </c>
      <c r="D4846" s="4" t="n">
        <v>306.13</v>
      </c>
      <c r="E4846" s="5" t="n">
        <v>66.3</v>
      </c>
      <c r="F4846" s="3" t="inlineStr">
        <is>
          <t>오송읍</t>
        </is>
      </c>
      <c r="G4846" s="3" t="inlineStr">
        <is>
          <t>서평리</t>
        </is>
      </c>
      <c r="H4846" s="3" t="inlineStr">
        <is>
          <t>농림지역</t>
        </is>
      </c>
      <c r="I4846" s="3" t="inlineStr">
        <is>
          <t>답</t>
        </is>
      </c>
      <c r="J4846" s="3" t="inlineStr">
        <is>
          <t>오송읍</t>
        </is>
      </c>
    </row>
    <row r="4847">
      <c r="A4847" s="3" t="n">
        <v>2025</v>
      </c>
      <c r="B4847" s="4" t="n">
        <v>4803</v>
      </c>
      <c r="C4847" s="4" t="n">
        <v>635</v>
      </c>
      <c r="D4847" s="4" t="n">
        <v>192.0875</v>
      </c>
      <c r="E4847" s="5" t="n">
        <v>25</v>
      </c>
      <c r="F4847" s="3" t="inlineStr">
        <is>
          <t>오송읍</t>
        </is>
      </c>
      <c r="G4847" s="3" t="inlineStr">
        <is>
          <t>쌍청리</t>
        </is>
      </c>
      <c r="H4847" s="3" t="inlineStr">
        <is>
          <t>농림지역</t>
        </is>
      </c>
      <c r="I4847" s="3" t="inlineStr">
        <is>
          <t>전</t>
        </is>
      </c>
      <c r="J4847" s="3" t="inlineStr">
        <is>
          <t>오송읍</t>
        </is>
      </c>
    </row>
    <row r="4848">
      <c r="A4848" s="3" t="n">
        <v>2025</v>
      </c>
      <c r="B4848" s="4" t="n">
        <v>197</v>
      </c>
      <c r="C4848" s="4" t="n">
        <v>26</v>
      </c>
      <c r="D4848" s="4" t="n">
        <v>7.865</v>
      </c>
      <c r="E4848" s="5" t="n">
        <v>25</v>
      </c>
      <c r="F4848" s="3" t="inlineStr">
        <is>
          <t>오송읍</t>
        </is>
      </c>
      <c r="G4848" s="3" t="inlineStr">
        <is>
          <t>쌍청리</t>
        </is>
      </c>
      <c r="H4848" s="3" t="inlineStr">
        <is>
          <t>농림지역</t>
        </is>
      </c>
      <c r="I4848" s="3" t="inlineStr">
        <is>
          <t>전</t>
        </is>
      </c>
      <c r="J4848" s="3" t="inlineStr">
        <is>
          <t>오송읍</t>
        </is>
      </c>
    </row>
    <row r="4849">
      <c r="A4849" s="3" t="n">
        <v>2025</v>
      </c>
      <c r="B4849" s="4" t="n">
        <v>1200</v>
      </c>
      <c r="C4849" s="4" t="n">
        <v>15</v>
      </c>
      <c r="D4849" s="4" t="n">
        <v>4.5375</v>
      </c>
      <c r="E4849" s="5" t="n">
        <v>264.5</v>
      </c>
      <c r="F4849" s="3" t="inlineStr">
        <is>
          <t>오송읍</t>
        </is>
      </c>
      <c r="G4849" s="3" t="inlineStr">
        <is>
          <t>오송리</t>
        </is>
      </c>
      <c r="H4849" s="3" t="inlineStr">
        <is>
          <t>계획관리지역</t>
        </is>
      </c>
      <c r="I4849" s="3" t="inlineStr">
        <is>
          <t>대</t>
        </is>
      </c>
      <c r="J4849" s="3" t="inlineStr">
        <is>
          <t>오송읍</t>
        </is>
      </c>
    </row>
    <row r="4850">
      <c r="A4850" s="3" t="n">
        <v>2022</v>
      </c>
      <c r="B4850" s="4" t="n">
        <v>20958</v>
      </c>
      <c r="C4850" s="4" t="n">
        <v>495</v>
      </c>
      <c r="D4850" s="4" t="n">
        <v>149.7375</v>
      </c>
      <c r="E4850" s="5" t="n">
        <v>140</v>
      </c>
      <c r="F4850" s="3" t="inlineStr">
        <is>
          <t>오송읍</t>
        </is>
      </c>
      <c r="G4850" s="3" t="inlineStr">
        <is>
          <t>정중리</t>
        </is>
      </c>
      <c r="H4850" s="3" t="inlineStr">
        <is>
          <t>생산관리지역</t>
        </is>
      </c>
      <c r="I4850" s="3" t="inlineStr">
        <is>
          <t>전</t>
        </is>
      </c>
      <c r="J4850" s="3" t="inlineStr">
        <is>
          <t>오송읍</t>
        </is>
      </c>
    </row>
    <row r="4851">
      <c r="A4851" s="3" t="n">
        <v>2022</v>
      </c>
      <c r="B4851" s="4" t="n">
        <v>22660</v>
      </c>
      <c r="C4851" s="4" t="n">
        <v>556</v>
      </c>
      <c r="D4851" s="4" t="n">
        <v>168.19</v>
      </c>
      <c r="E4851" s="5" t="n">
        <v>134.7</v>
      </c>
      <c r="F4851" s="3" t="inlineStr">
        <is>
          <t>오송읍</t>
        </is>
      </c>
      <c r="G4851" s="3" t="inlineStr">
        <is>
          <t>정중리</t>
        </is>
      </c>
      <c r="H4851" s="3" t="inlineStr">
        <is>
          <t>생산관리지역</t>
        </is>
      </c>
      <c r="I4851" s="3" t="inlineStr">
        <is>
          <t>전</t>
        </is>
      </c>
      <c r="J4851" s="3" t="inlineStr">
        <is>
          <t>오송읍</t>
        </is>
      </c>
    </row>
    <row r="4852">
      <c r="A4852" s="3" t="n">
        <v>2022</v>
      </c>
      <c r="B4852" s="4" t="n">
        <v>440</v>
      </c>
      <c r="C4852" s="4" t="n">
        <v>11</v>
      </c>
      <c r="D4852" s="4" t="n">
        <v>3.3275</v>
      </c>
      <c r="E4852" s="5" t="n">
        <v>132.2</v>
      </c>
      <c r="F4852" s="3" t="inlineStr">
        <is>
          <t>오송읍</t>
        </is>
      </c>
      <c r="G4852" s="3" t="inlineStr">
        <is>
          <t>정중리</t>
        </is>
      </c>
      <c r="H4852" s="3" t="inlineStr">
        <is>
          <t>용도미지정</t>
        </is>
      </c>
      <c r="I4852" s="3" t="inlineStr">
        <is>
          <t>전</t>
        </is>
      </c>
      <c r="J4852" s="3" t="inlineStr">
        <is>
          <t>오송읍</t>
        </is>
      </c>
    </row>
    <row r="4853">
      <c r="A4853" s="3" t="n">
        <v>2022</v>
      </c>
      <c r="B4853" s="4" t="n">
        <v>10000</v>
      </c>
      <c r="C4853" s="4" t="n">
        <v>114</v>
      </c>
      <c r="D4853" s="4" t="n">
        <v>34.485</v>
      </c>
      <c r="E4853" s="5" t="n">
        <v>290</v>
      </c>
      <c r="F4853" s="3" t="inlineStr">
        <is>
          <t>강내면</t>
        </is>
      </c>
      <c r="G4853" s="3" t="inlineStr">
        <is>
          <t>월곡리</t>
        </is>
      </c>
      <c r="H4853" s="3" t="inlineStr">
        <is>
          <t>제2종일반주거지역</t>
        </is>
      </c>
      <c r="I4853" s="3" t="inlineStr">
        <is>
          <t>전</t>
        </is>
      </c>
      <c r="J4853" s="3" t="inlineStr">
        <is>
          <t>강내면</t>
        </is>
      </c>
    </row>
    <row r="4854">
      <c r="A4854" s="3" t="n">
        <v>2022</v>
      </c>
      <c r="B4854" s="4" t="n">
        <v>18383</v>
      </c>
      <c r="C4854" s="4" t="n">
        <v>340</v>
      </c>
      <c r="D4854" s="4" t="n">
        <v>102.85</v>
      </c>
      <c r="E4854" s="5" t="n">
        <v>178.7</v>
      </c>
      <c r="F4854" s="3" t="inlineStr">
        <is>
          <t>강내면</t>
        </is>
      </c>
      <c r="G4854" s="3" t="inlineStr">
        <is>
          <t>월곡리</t>
        </is>
      </c>
      <c r="H4854" s="3" t="inlineStr">
        <is>
          <t>제2종일반주거지역</t>
        </is>
      </c>
      <c r="I4854" s="3" t="inlineStr">
        <is>
          <t>답</t>
        </is>
      </c>
      <c r="J4854" s="3" t="inlineStr">
        <is>
          <t>강내면</t>
        </is>
      </c>
    </row>
    <row r="4855">
      <c r="A4855" s="3" t="n">
        <v>2022</v>
      </c>
      <c r="B4855" s="4" t="n">
        <v>40388</v>
      </c>
      <c r="C4855" s="4" t="n">
        <v>747</v>
      </c>
      <c r="D4855" s="4" t="n">
        <v>225.9675</v>
      </c>
      <c r="E4855" s="5" t="n">
        <v>178.7</v>
      </c>
      <c r="F4855" s="3" t="inlineStr">
        <is>
          <t>강내면</t>
        </is>
      </c>
      <c r="G4855" s="3" t="inlineStr">
        <is>
          <t>월곡리</t>
        </is>
      </c>
      <c r="H4855" s="3" t="inlineStr">
        <is>
          <t>제2종일반주거지역</t>
        </is>
      </c>
      <c r="I4855" s="3" t="inlineStr">
        <is>
          <t>답</t>
        </is>
      </c>
      <c r="J4855" s="3" t="inlineStr">
        <is>
          <t>강내면</t>
        </is>
      </c>
    </row>
    <row r="4856">
      <c r="A4856" s="3" t="n">
        <v>2022</v>
      </c>
      <c r="B4856" s="4" t="n">
        <v>2000</v>
      </c>
      <c r="C4856" s="4" t="n">
        <v>37</v>
      </c>
      <c r="D4856" s="4" t="n">
        <v>11.1925</v>
      </c>
      <c r="E4856" s="5" t="n">
        <v>178.7</v>
      </c>
      <c r="F4856" s="3" t="inlineStr">
        <is>
          <t>강내면</t>
        </is>
      </c>
      <c r="G4856" s="3" t="inlineStr">
        <is>
          <t>월곡리</t>
        </is>
      </c>
      <c r="H4856" s="3" t="inlineStr">
        <is>
          <t>제2종일반주거지역</t>
        </is>
      </c>
      <c r="I4856" s="3" t="inlineStr">
        <is>
          <t>답</t>
        </is>
      </c>
      <c r="J4856" s="3" t="inlineStr">
        <is>
          <t>강내면</t>
        </is>
      </c>
    </row>
    <row r="4857">
      <c r="A4857" s="3" t="n">
        <v>2022</v>
      </c>
      <c r="B4857" s="4" t="n">
        <v>1244</v>
      </c>
      <c r="C4857" s="4" t="n">
        <v>23</v>
      </c>
      <c r="D4857" s="4" t="n">
        <v>6.9575</v>
      </c>
      <c r="E4857" s="5" t="n">
        <v>178.8</v>
      </c>
      <c r="F4857" s="3" t="inlineStr">
        <is>
          <t>강내면</t>
        </is>
      </c>
      <c r="G4857" s="3" t="inlineStr">
        <is>
          <t>월곡리</t>
        </is>
      </c>
      <c r="H4857" s="3" t="inlineStr">
        <is>
          <t>제2종일반주거지역</t>
        </is>
      </c>
      <c r="I4857" s="3" t="inlineStr">
        <is>
          <t>전</t>
        </is>
      </c>
      <c r="J4857" s="3" t="inlineStr">
        <is>
          <t>강내면</t>
        </is>
      </c>
    </row>
    <row r="4858">
      <c r="A4858" s="3" t="n">
        <v>2022</v>
      </c>
      <c r="B4858" s="4" t="n">
        <v>81804</v>
      </c>
      <c r="C4858" s="4" t="n">
        <v>1513</v>
      </c>
      <c r="D4858" s="4" t="n">
        <v>457.6825</v>
      </c>
      <c r="E4858" s="5" t="n">
        <v>178.7</v>
      </c>
      <c r="F4858" s="3" t="inlineStr">
        <is>
          <t>강내면</t>
        </is>
      </c>
      <c r="G4858" s="3" t="inlineStr">
        <is>
          <t>월곡리</t>
        </is>
      </c>
      <c r="H4858" s="3" t="inlineStr">
        <is>
          <t>제2종일반주거지역</t>
        </is>
      </c>
      <c r="I4858" s="3" t="inlineStr">
        <is>
          <t>임야</t>
        </is>
      </c>
      <c r="J4858" s="3" t="inlineStr">
        <is>
          <t>강내면</t>
        </is>
      </c>
    </row>
    <row r="4859">
      <c r="A4859" s="3" t="n">
        <v>2022</v>
      </c>
      <c r="B4859" s="4" t="n">
        <v>59312</v>
      </c>
      <c r="C4859" s="4" t="n">
        <v>1097</v>
      </c>
      <c r="D4859" s="4" t="n">
        <v>331.8425</v>
      </c>
      <c r="E4859" s="5" t="n">
        <v>178.7</v>
      </c>
      <c r="F4859" s="3" t="inlineStr">
        <is>
          <t>강내면</t>
        </is>
      </c>
      <c r="G4859" s="3" t="inlineStr">
        <is>
          <t>월곡리</t>
        </is>
      </c>
      <c r="H4859" s="3" t="inlineStr">
        <is>
          <t>제2종일반주거지역</t>
        </is>
      </c>
      <c r="I4859" s="3" t="inlineStr">
        <is>
          <t>답</t>
        </is>
      </c>
      <c r="J4859" s="3" t="inlineStr">
        <is>
          <t>강내면</t>
        </is>
      </c>
    </row>
    <row r="4860">
      <c r="A4860" s="3" t="n">
        <v>2022</v>
      </c>
      <c r="B4860" s="4" t="n">
        <v>1784</v>
      </c>
      <c r="C4860" s="4" t="n">
        <v>33</v>
      </c>
      <c r="D4860" s="4" t="n">
        <v>9.9825</v>
      </c>
      <c r="E4860" s="5" t="n">
        <v>178.7</v>
      </c>
      <c r="F4860" s="3" t="inlineStr">
        <is>
          <t>강내면</t>
        </is>
      </c>
      <c r="G4860" s="3" t="inlineStr">
        <is>
          <t>월곡리</t>
        </is>
      </c>
      <c r="H4860" s="3" t="inlineStr">
        <is>
          <t>제2종일반주거지역</t>
        </is>
      </c>
      <c r="I4860" s="3" t="inlineStr">
        <is>
          <t>답</t>
        </is>
      </c>
      <c r="J4860" s="3" t="inlineStr">
        <is>
          <t>강내면</t>
        </is>
      </c>
    </row>
    <row r="4861">
      <c r="A4861" s="3" t="n">
        <v>2022</v>
      </c>
      <c r="B4861" s="4" t="n">
        <v>15085</v>
      </c>
      <c r="C4861" s="4" t="n">
        <v>279</v>
      </c>
      <c r="D4861" s="4" t="n">
        <v>84.39749999999999</v>
      </c>
      <c r="E4861" s="5" t="n">
        <v>178.7</v>
      </c>
      <c r="F4861" s="3" t="inlineStr">
        <is>
          <t>강내면</t>
        </is>
      </c>
      <c r="G4861" s="3" t="inlineStr">
        <is>
          <t>월곡리</t>
        </is>
      </c>
      <c r="H4861" s="3" t="inlineStr">
        <is>
          <t>제2종일반주거지역</t>
        </is>
      </c>
      <c r="I4861" s="3" t="inlineStr">
        <is>
          <t>답</t>
        </is>
      </c>
      <c r="J4861" s="3" t="inlineStr">
        <is>
          <t>강내면</t>
        </is>
      </c>
    </row>
    <row r="4862">
      <c r="A4862" s="3" t="n">
        <v>2022</v>
      </c>
      <c r="B4862" s="4" t="n">
        <v>45000</v>
      </c>
      <c r="C4862" s="4" t="n">
        <v>249.8</v>
      </c>
      <c r="D4862" s="4" t="n">
        <v>75.5645</v>
      </c>
      <c r="E4862" s="5" t="n">
        <v>595.5</v>
      </c>
      <c r="F4862" s="3" t="inlineStr">
        <is>
          <t>오송읍</t>
        </is>
      </c>
      <c r="G4862" s="3" t="inlineStr">
        <is>
          <t>봉산리</t>
        </is>
      </c>
      <c r="H4862" s="3" t="inlineStr">
        <is>
          <t>제1종일반주거지역</t>
        </is>
      </c>
      <c r="I4862" s="3" t="inlineStr">
        <is>
          <t>대</t>
        </is>
      </c>
      <c r="J4862" s="3" t="inlineStr">
        <is>
          <t>오송읍</t>
        </is>
      </c>
    </row>
    <row r="4863">
      <c r="A4863" s="3" t="n">
        <v>2022</v>
      </c>
      <c r="B4863" s="4" t="n">
        <v>20700</v>
      </c>
      <c r="C4863" s="4" t="n">
        <v>1368</v>
      </c>
      <c r="D4863" s="4" t="n">
        <v>413.82</v>
      </c>
      <c r="E4863" s="5" t="n">
        <v>50</v>
      </c>
      <c r="F4863" s="3" t="inlineStr">
        <is>
          <t>강내면</t>
        </is>
      </c>
      <c r="G4863" s="3" t="inlineStr">
        <is>
          <t>탑연리</t>
        </is>
      </c>
      <c r="H4863" s="3" t="inlineStr">
        <is>
          <t>생산녹지지역</t>
        </is>
      </c>
      <c r="I4863" s="3" t="inlineStr">
        <is>
          <t>답</t>
        </is>
      </c>
      <c r="J4863" s="3" t="inlineStr">
        <is>
          <t>강내면</t>
        </is>
      </c>
    </row>
    <row r="4864">
      <c r="A4864" s="3" t="n">
        <v>2022</v>
      </c>
      <c r="B4864" s="4" t="n">
        <v>50000</v>
      </c>
      <c r="C4864" s="4" t="n">
        <v>4215</v>
      </c>
      <c r="D4864" s="4" t="n">
        <v>1275.0375</v>
      </c>
      <c r="E4864" s="5" t="n">
        <v>39.2</v>
      </c>
      <c r="F4864" s="3" t="inlineStr">
        <is>
          <t>오송읍</t>
        </is>
      </c>
      <c r="G4864" s="3" t="inlineStr">
        <is>
          <t>공북리</t>
        </is>
      </c>
      <c r="H4864" s="3" t="inlineStr">
        <is>
          <t>농림지역</t>
        </is>
      </c>
      <c r="I4864" s="3" t="inlineStr">
        <is>
          <t>답</t>
        </is>
      </c>
      <c r="J4864" s="3" t="inlineStr">
        <is>
          <t>오송읍</t>
        </is>
      </c>
    </row>
    <row r="4865">
      <c r="A4865" s="3" t="n">
        <v>2022</v>
      </c>
      <c r="B4865" s="4" t="n">
        <v>155000</v>
      </c>
      <c r="C4865" s="4" t="n">
        <v>1088</v>
      </c>
      <c r="D4865" s="4" t="n">
        <v>329.12</v>
      </c>
      <c r="E4865" s="5" t="n">
        <v>471</v>
      </c>
      <c r="F4865" s="3" t="inlineStr">
        <is>
          <t>오송읍</t>
        </is>
      </c>
      <c r="G4865" s="3" t="inlineStr">
        <is>
          <t>정중리</t>
        </is>
      </c>
      <c r="H4865" s="3" t="inlineStr">
        <is>
          <t>준공업지역</t>
        </is>
      </c>
      <c r="I4865" s="3" t="inlineStr">
        <is>
          <t>대</t>
        </is>
      </c>
      <c r="J4865" s="3" t="inlineStr">
        <is>
          <t>오송읍</t>
        </is>
      </c>
    </row>
    <row r="4866">
      <c r="A4866" s="3" t="n">
        <v>2022</v>
      </c>
      <c r="B4866" s="4" t="n">
        <v>36000</v>
      </c>
      <c r="C4866" s="4" t="n">
        <v>2000</v>
      </c>
      <c r="D4866" s="4" t="n">
        <v>605</v>
      </c>
      <c r="E4866" s="5" t="n">
        <v>59.5</v>
      </c>
      <c r="F4866" s="3" t="inlineStr">
        <is>
          <t>오송읍</t>
        </is>
      </c>
      <c r="G4866" s="3" t="inlineStr">
        <is>
          <t>상정리</t>
        </is>
      </c>
      <c r="H4866" s="3" t="inlineStr">
        <is>
          <t>농림지역</t>
        </is>
      </c>
      <c r="I4866" s="3" t="inlineStr">
        <is>
          <t>답</t>
        </is>
      </c>
      <c r="J4866" s="3" t="inlineStr">
        <is>
          <t>오송읍</t>
        </is>
      </c>
    </row>
    <row r="4867">
      <c r="A4867" s="3" t="n">
        <v>2024</v>
      </c>
      <c r="B4867" s="4" t="n">
        <v>50400</v>
      </c>
      <c r="C4867" s="4" t="n">
        <v>1111</v>
      </c>
      <c r="D4867" s="4" t="n">
        <v>336.0775</v>
      </c>
      <c r="E4867" s="5" t="n">
        <v>150</v>
      </c>
      <c r="F4867" s="3" t="inlineStr">
        <is>
          <t>강내면</t>
        </is>
      </c>
      <c r="G4867" s="3" t="inlineStr">
        <is>
          <t>궁현리</t>
        </is>
      </c>
      <c r="H4867" s="3" t="inlineStr">
        <is>
          <t>계획관리지역</t>
        </is>
      </c>
      <c r="I4867" s="3" t="inlineStr">
        <is>
          <t>전</t>
        </is>
      </c>
      <c r="J4867" s="3" t="inlineStr">
        <is>
          <t>강내면</t>
        </is>
      </c>
    </row>
    <row r="4868">
      <c r="A4868" s="3" t="n">
        <v>2024</v>
      </c>
      <c r="B4868" s="4" t="n">
        <v>4070</v>
      </c>
      <c r="C4868" s="4" t="n">
        <v>275</v>
      </c>
      <c r="D4868" s="4" t="n">
        <v>83.1875</v>
      </c>
      <c r="E4868" s="5" t="n">
        <v>48.9</v>
      </c>
      <c r="F4868" s="3" t="inlineStr">
        <is>
          <t>오송읍</t>
        </is>
      </c>
      <c r="G4868" s="3" t="inlineStr">
        <is>
          <t>정중리</t>
        </is>
      </c>
      <c r="H4868" s="3" t="inlineStr">
        <is>
          <t>농림지역</t>
        </is>
      </c>
      <c r="I4868" s="3" t="inlineStr">
        <is>
          <t>목장용지</t>
        </is>
      </c>
      <c r="J4868" s="3" t="inlineStr">
        <is>
          <t>오송읍</t>
        </is>
      </c>
    </row>
    <row r="4869">
      <c r="A4869" s="3" t="n">
        <v>2024</v>
      </c>
      <c r="B4869" s="4" t="n">
        <v>2192</v>
      </c>
      <c r="C4869" s="4" t="n">
        <v>189</v>
      </c>
      <c r="D4869" s="4" t="n">
        <v>57.1725</v>
      </c>
      <c r="E4869" s="5" t="n">
        <v>38.3</v>
      </c>
      <c r="F4869" s="3" t="inlineStr">
        <is>
          <t>강내면</t>
        </is>
      </c>
      <c r="G4869" s="3" t="inlineStr">
        <is>
          <t>저산리</t>
        </is>
      </c>
      <c r="H4869" s="3" t="inlineStr">
        <is>
          <t>농림지역</t>
        </is>
      </c>
      <c r="I4869" s="3" t="inlineStr">
        <is>
          <t>전</t>
        </is>
      </c>
      <c r="J4869" s="3" t="inlineStr">
        <is>
          <t>강내면</t>
        </is>
      </c>
    </row>
    <row r="4870">
      <c r="A4870" s="3" t="n">
        <v>2024</v>
      </c>
      <c r="B4870" s="4" t="n">
        <v>20000</v>
      </c>
      <c r="C4870" s="4" t="n">
        <v>2688</v>
      </c>
      <c r="D4870" s="4" t="n">
        <v>813.12</v>
      </c>
      <c r="E4870" s="5" t="n">
        <v>24.6</v>
      </c>
      <c r="F4870" s="3" t="inlineStr">
        <is>
          <t>강내면</t>
        </is>
      </c>
      <c r="G4870" s="3" t="inlineStr">
        <is>
          <t>학천리</t>
        </is>
      </c>
      <c r="H4870" s="3" t="inlineStr">
        <is>
          <t>자연녹지지역</t>
        </is>
      </c>
      <c r="I4870" s="3" t="inlineStr">
        <is>
          <t>답</t>
        </is>
      </c>
      <c r="J4870" s="3" t="inlineStr">
        <is>
          <t>강내면</t>
        </is>
      </c>
    </row>
    <row r="4871">
      <c r="A4871" s="3" t="n">
        <v>2024</v>
      </c>
      <c r="B4871" s="4" t="n">
        <v>32600</v>
      </c>
      <c r="C4871" s="4" t="n">
        <v>980</v>
      </c>
      <c r="D4871" s="4" t="n">
        <v>296.45</v>
      </c>
      <c r="E4871" s="5" t="n">
        <v>110</v>
      </c>
      <c r="F4871" s="3" t="inlineStr">
        <is>
          <t>오송읍</t>
        </is>
      </c>
      <c r="G4871" s="3" t="inlineStr">
        <is>
          <t>쌍청리</t>
        </is>
      </c>
      <c r="H4871" s="3" t="inlineStr">
        <is>
          <t>생산관리지역</t>
        </is>
      </c>
      <c r="I4871" s="3" t="inlineStr">
        <is>
          <t>답</t>
        </is>
      </c>
      <c r="J4871" s="3" t="inlineStr">
        <is>
          <t>오송읍</t>
        </is>
      </c>
    </row>
    <row r="4872">
      <c r="A4872" s="3" t="n">
        <v>2024</v>
      </c>
      <c r="B4872" s="4" t="n">
        <v>145062</v>
      </c>
      <c r="C4872" s="4" t="n">
        <v>7495</v>
      </c>
      <c r="D4872" s="4" t="n">
        <v>2267.2375</v>
      </c>
      <c r="E4872" s="5" t="n">
        <v>64</v>
      </c>
      <c r="F4872" s="3" t="inlineStr">
        <is>
          <t>오송읍</t>
        </is>
      </c>
      <c r="G4872" s="3" t="inlineStr">
        <is>
          <t>연제리</t>
        </is>
      </c>
      <c r="H4872" s="3" t="inlineStr">
        <is>
          <t>준공업지역</t>
        </is>
      </c>
      <c r="I4872" s="3" t="inlineStr">
        <is>
          <t>대</t>
        </is>
      </c>
      <c r="J4872" s="3" t="inlineStr">
        <is>
          <t>오송읍</t>
        </is>
      </c>
    </row>
    <row r="4873">
      <c r="A4873" s="3" t="n">
        <v>2024</v>
      </c>
      <c r="B4873" s="4" t="n">
        <v>71200</v>
      </c>
      <c r="C4873" s="4" t="n">
        <v>4076</v>
      </c>
      <c r="D4873" s="4" t="n">
        <v>1232.99</v>
      </c>
      <c r="E4873" s="5" t="n">
        <v>57.7</v>
      </c>
      <c r="F4873" s="3" t="inlineStr">
        <is>
          <t>오송읍</t>
        </is>
      </c>
      <c r="G4873" s="3" t="inlineStr">
        <is>
          <t>서평리</t>
        </is>
      </c>
      <c r="H4873" s="3" t="inlineStr">
        <is>
          <t>농림지역</t>
        </is>
      </c>
      <c r="I4873" s="3" t="inlineStr">
        <is>
          <t>답</t>
        </is>
      </c>
      <c r="J4873" s="3" t="inlineStr">
        <is>
          <t>오송읍</t>
        </is>
      </c>
    </row>
    <row r="4874">
      <c r="A4874" s="3" t="n">
        <v>2024</v>
      </c>
      <c r="B4874" s="4" t="n">
        <v>22800</v>
      </c>
      <c r="C4874" s="4" t="n">
        <v>1299</v>
      </c>
      <c r="D4874" s="4" t="n">
        <v>392.9475</v>
      </c>
      <c r="E4874" s="5" t="n">
        <v>58</v>
      </c>
      <c r="F4874" s="3" t="inlineStr">
        <is>
          <t>오송읍</t>
        </is>
      </c>
      <c r="G4874" s="3" t="inlineStr">
        <is>
          <t>서평리</t>
        </is>
      </c>
      <c r="H4874" s="3" t="inlineStr">
        <is>
          <t>농림지역</t>
        </is>
      </c>
      <c r="I4874" s="3" t="inlineStr">
        <is>
          <t>답</t>
        </is>
      </c>
      <c r="J4874" s="3" t="inlineStr">
        <is>
          <t>오송읍</t>
        </is>
      </c>
    </row>
    <row r="4875">
      <c r="A4875" s="3" t="n">
        <v>2024</v>
      </c>
      <c r="B4875" s="4" t="n">
        <v>2380</v>
      </c>
      <c r="C4875" s="4" t="n">
        <v>704</v>
      </c>
      <c r="D4875" s="4" t="n">
        <v>212.96</v>
      </c>
      <c r="E4875" s="5" t="n">
        <v>11.2</v>
      </c>
      <c r="F4875" s="3" t="inlineStr">
        <is>
          <t>오송읍</t>
        </is>
      </c>
      <c r="G4875" s="3" t="inlineStr">
        <is>
          <t>상봉리</t>
        </is>
      </c>
      <c r="H4875" s="3" t="inlineStr">
        <is>
          <t>계획관리지역</t>
        </is>
      </c>
      <c r="I4875" s="3" t="inlineStr">
        <is>
          <t>도로</t>
        </is>
      </c>
      <c r="J4875" s="3" t="inlineStr">
        <is>
          <t>오송읍</t>
        </is>
      </c>
    </row>
    <row r="4876">
      <c r="A4876" s="3" t="n">
        <v>2024</v>
      </c>
      <c r="B4876" s="4" t="n">
        <v>53500</v>
      </c>
      <c r="C4876" s="4" t="n">
        <v>3216.4</v>
      </c>
      <c r="D4876" s="4" t="n">
        <v>972.961</v>
      </c>
      <c r="E4876" s="5" t="n">
        <v>55</v>
      </c>
      <c r="F4876" s="3" t="inlineStr">
        <is>
          <t>오송읍</t>
        </is>
      </c>
      <c r="G4876" s="3" t="inlineStr">
        <is>
          <t>공북리</t>
        </is>
      </c>
      <c r="H4876" s="3" t="inlineStr">
        <is>
          <t>농림지역</t>
        </is>
      </c>
      <c r="I4876" s="3" t="inlineStr">
        <is>
          <t>답</t>
        </is>
      </c>
      <c r="J4876" s="3" t="inlineStr">
        <is>
          <t>오송읍</t>
        </is>
      </c>
    </row>
    <row r="4877">
      <c r="A4877" s="3" t="n">
        <v>2024</v>
      </c>
      <c r="B4877" s="4" t="n">
        <v>23350</v>
      </c>
      <c r="C4877" s="4" t="n">
        <v>1838</v>
      </c>
      <c r="D4877" s="4" t="n">
        <v>555.995</v>
      </c>
      <c r="E4877" s="5" t="n">
        <v>42</v>
      </c>
      <c r="F4877" s="3" t="inlineStr">
        <is>
          <t>오송읍</t>
        </is>
      </c>
      <c r="G4877" s="3" t="inlineStr">
        <is>
          <t>상봉리</t>
        </is>
      </c>
      <c r="H4877" s="3" t="inlineStr">
        <is>
          <t>농림지역</t>
        </is>
      </c>
      <c r="I4877" s="3" t="inlineStr">
        <is>
          <t>답</t>
        </is>
      </c>
      <c r="J4877" s="3" t="inlineStr">
        <is>
          <t>오송읍</t>
        </is>
      </c>
    </row>
    <row r="4878">
      <c r="A4878" s="3" t="n">
        <v>2025</v>
      </c>
      <c r="B4878" s="4" t="n">
        <v>2100</v>
      </c>
      <c r="C4878" s="4" t="n">
        <v>45</v>
      </c>
      <c r="D4878" s="4" t="n">
        <v>13.6125</v>
      </c>
      <c r="E4878" s="5" t="n">
        <v>154.3</v>
      </c>
      <c r="F4878" s="3" t="inlineStr">
        <is>
          <t>오송읍</t>
        </is>
      </c>
      <c r="G4878" s="3" t="inlineStr">
        <is>
          <t>궁평리</t>
        </is>
      </c>
      <c r="H4878" s="3" t="inlineStr">
        <is>
          <t>제1종일반주거지역</t>
        </is>
      </c>
      <c r="I4878" s="3" t="inlineStr">
        <is>
          <t>과수원</t>
        </is>
      </c>
      <c r="J4878" s="3" t="inlineStr">
        <is>
          <t>오송읍</t>
        </is>
      </c>
    </row>
    <row r="4879">
      <c r="A4879" s="3" t="n">
        <v>2025</v>
      </c>
      <c r="B4879" s="4" t="n">
        <v>30000</v>
      </c>
      <c r="C4879" s="4" t="n">
        <v>265.3</v>
      </c>
      <c r="D4879" s="4" t="n">
        <v>80.25324999999999</v>
      </c>
      <c r="E4879" s="5" t="n">
        <v>373.8</v>
      </c>
      <c r="F4879" s="3" t="inlineStr">
        <is>
          <t>오송읍</t>
        </is>
      </c>
      <c r="G4879" s="3" t="inlineStr">
        <is>
          <t>봉산리</t>
        </is>
      </c>
      <c r="H4879" s="3" t="inlineStr">
        <is>
          <t>제1종일반주거지역</t>
        </is>
      </c>
      <c r="I4879" s="3" t="inlineStr">
        <is>
          <t>대</t>
        </is>
      </c>
      <c r="J4879" s="3" t="inlineStr">
        <is>
          <t>오송읍</t>
        </is>
      </c>
    </row>
    <row r="4880">
      <c r="A4880" s="3" t="n">
        <v>2025</v>
      </c>
      <c r="B4880" s="4" t="n">
        <v>17257</v>
      </c>
      <c r="C4880" s="4" t="n">
        <v>454.8</v>
      </c>
      <c r="D4880" s="4" t="n">
        <v>137.577</v>
      </c>
      <c r="E4880" s="5" t="n">
        <v>125.4</v>
      </c>
      <c r="F4880" s="3" t="inlineStr">
        <is>
          <t>강내면</t>
        </is>
      </c>
      <c r="G4880" s="3" t="inlineStr">
        <is>
          <t>사곡리</t>
        </is>
      </c>
      <c r="H4880" s="3" t="inlineStr">
        <is>
          <t>보전관리지역</t>
        </is>
      </c>
      <c r="I4880" s="3" t="inlineStr">
        <is>
          <t>대</t>
        </is>
      </c>
      <c r="J4880" s="3" t="inlineStr">
        <is>
          <t>강내면</t>
        </is>
      </c>
    </row>
    <row r="4881">
      <c r="A4881" s="3" t="n">
        <v>2025</v>
      </c>
      <c r="B4881" s="4" t="n">
        <v>17203</v>
      </c>
      <c r="C4881" s="4" t="n">
        <v>460</v>
      </c>
      <c r="D4881" s="4" t="n">
        <v>139.15</v>
      </c>
      <c r="E4881" s="5" t="n">
        <v>123.6</v>
      </c>
      <c r="F4881" s="3" t="inlineStr">
        <is>
          <t>강내면</t>
        </is>
      </c>
      <c r="G4881" s="3" t="inlineStr">
        <is>
          <t>사곡리</t>
        </is>
      </c>
      <c r="H4881" s="3" t="inlineStr">
        <is>
          <t>보전관리지역</t>
        </is>
      </c>
      <c r="I4881" s="3" t="inlineStr">
        <is>
          <t>대</t>
        </is>
      </c>
      <c r="J4881" s="3" t="inlineStr">
        <is>
          <t>강내면</t>
        </is>
      </c>
    </row>
    <row r="4882">
      <c r="A4882" s="3" t="n">
        <v>2025</v>
      </c>
      <c r="B4882" s="4" t="n">
        <v>23503</v>
      </c>
      <c r="C4882" s="4" t="n">
        <v>545.2</v>
      </c>
      <c r="D4882" s="4" t="n">
        <v>164.923</v>
      </c>
      <c r="E4882" s="5" t="n">
        <v>142.5</v>
      </c>
      <c r="F4882" s="3" t="inlineStr">
        <is>
          <t>강내면</t>
        </is>
      </c>
      <c r="G4882" s="3" t="inlineStr">
        <is>
          <t>사곡리</t>
        </is>
      </c>
      <c r="H4882" s="3" t="inlineStr">
        <is>
          <t>보전관리지역</t>
        </is>
      </c>
      <c r="I4882" s="3" t="inlineStr">
        <is>
          <t>대</t>
        </is>
      </c>
      <c r="J4882" s="3" t="inlineStr">
        <is>
          <t>강내면</t>
        </is>
      </c>
    </row>
    <row r="4883">
      <c r="A4883" s="3" t="n">
        <v>2025</v>
      </c>
      <c r="B4883" s="4" t="n">
        <v>26800</v>
      </c>
      <c r="C4883" s="4" t="n">
        <v>686</v>
      </c>
      <c r="D4883" s="4" t="n">
        <v>207.515</v>
      </c>
      <c r="E4883" s="5" t="n">
        <v>129.1</v>
      </c>
      <c r="F4883" s="3" t="inlineStr">
        <is>
          <t>오송읍</t>
        </is>
      </c>
      <c r="G4883" s="3" t="inlineStr">
        <is>
          <t>정중리</t>
        </is>
      </c>
      <c r="H4883" s="3" t="inlineStr">
        <is>
          <t>보전관리지역</t>
        </is>
      </c>
      <c r="I4883" s="3" t="inlineStr">
        <is>
          <t>전</t>
        </is>
      </c>
      <c r="J4883" s="3" t="inlineStr">
        <is>
          <t>오송읍</t>
        </is>
      </c>
    </row>
    <row r="4884">
      <c r="A4884" s="3" t="n">
        <v>2026</v>
      </c>
      <c r="B4884" s="4" t="n">
        <v>18000</v>
      </c>
      <c r="C4884" s="4" t="n">
        <v>2460</v>
      </c>
      <c r="D4884" s="4" t="n">
        <v>744.15</v>
      </c>
      <c r="E4884" s="5" t="n">
        <v>24.2</v>
      </c>
      <c r="F4884" s="3" t="inlineStr">
        <is>
          <t>강내면</t>
        </is>
      </c>
      <c r="G4884" s="3" t="inlineStr">
        <is>
          <t>사곡리</t>
        </is>
      </c>
      <c r="H4884" s="3" t="inlineStr">
        <is>
          <t>보전관리지역</t>
        </is>
      </c>
      <c r="I4884" s="3" t="inlineStr">
        <is>
          <t>임야</t>
        </is>
      </c>
      <c r="J4884" s="3" t="inlineStr">
        <is>
          <t>강내면</t>
        </is>
      </c>
    </row>
    <row r="4885">
      <c r="A4885" s="3" t="n">
        <v>2026</v>
      </c>
      <c r="B4885" s="4" t="n">
        <v>15972</v>
      </c>
      <c r="C4885" s="4" t="n">
        <v>264</v>
      </c>
      <c r="D4885" s="4" t="n">
        <v>79.86</v>
      </c>
      <c r="E4885" s="5" t="n">
        <v>200</v>
      </c>
      <c r="F4885" s="3" t="inlineStr">
        <is>
          <t>오송읍</t>
        </is>
      </c>
      <c r="G4885" s="3" t="inlineStr">
        <is>
          <t>궁평리</t>
        </is>
      </c>
      <c r="H4885" s="3" t="inlineStr">
        <is>
          <t>용도미지정</t>
        </is>
      </c>
      <c r="I4885" s="3" t="inlineStr">
        <is>
          <t>대</t>
        </is>
      </c>
      <c r="J4885" s="3" t="inlineStr">
        <is>
          <t>오송읍</t>
        </is>
      </c>
    </row>
    <row r="4886">
      <c r="A4886" s="3" t="n">
        <v>2026</v>
      </c>
      <c r="B4886" s="4" t="n">
        <v>2760</v>
      </c>
      <c r="C4886" s="4" t="n">
        <v>76</v>
      </c>
      <c r="D4886" s="4" t="n">
        <v>22.99</v>
      </c>
      <c r="E4886" s="5" t="n">
        <v>120.1</v>
      </c>
      <c r="F4886" s="3" t="inlineStr">
        <is>
          <t>강내면</t>
        </is>
      </c>
      <c r="G4886" s="3" t="inlineStr">
        <is>
          <t>태성리</t>
        </is>
      </c>
      <c r="H4886" s="3" t="inlineStr">
        <is>
          <t>계획관리지역</t>
        </is>
      </c>
      <c r="I4886" s="3" t="inlineStr">
        <is>
          <t>답</t>
        </is>
      </c>
      <c r="J4886" s="3" t="inlineStr">
        <is>
          <t>강내면</t>
        </is>
      </c>
    </row>
    <row r="4887">
      <c r="A4887" s="3" t="n">
        <v>2026</v>
      </c>
      <c r="B4887" s="4" t="n">
        <v>141000</v>
      </c>
      <c r="C4887" s="4" t="n">
        <v>8525</v>
      </c>
      <c r="D4887" s="4" t="n">
        <v>2578.8125</v>
      </c>
      <c r="E4887" s="5" t="n">
        <v>54.7</v>
      </c>
      <c r="F4887" s="3" t="inlineStr">
        <is>
          <t>강내면</t>
        </is>
      </c>
      <c r="G4887" s="3" t="inlineStr">
        <is>
          <t>태성리</t>
        </is>
      </c>
      <c r="H4887" s="3" t="inlineStr">
        <is>
          <t>계획관리지역</t>
        </is>
      </c>
      <c r="I4887" s="3" t="inlineStr">
        <is>
          <t>답</t>
        </is>
      </c>
      <c r="J4887" s="3" t="inlineStr">
        <is>
          <t>강내면</t>
        </is>
      </c>
    </row>
    <row r="4888">
      <c r="A4888" s="3" t="n">
        <v>2026</v>
      </c>
      <c r="B4888" s="4" t="n">
        <v>9900</v>
      </c>
      <c r="C4888" s="4" t="n">
        <v>353</v>
      </c>
      <c r="D4888" s="4" t="n">
        <v>106.7825</v>
      </c>
      <c r="E4888" s="5" t="n">
        <v>92.7</v>
      </c>
      <c r="F4888" s="3" t="inlineStr">
        <is>
          <t>강내면</t>
        </is>
      </c>
      <c r="G4888" s="3" t="inlineStr">
        <is>
          <t>태성리</t>
        </is>
      </c>
      <c r="H4888" s="3" t="inlineStr">
        <is>
          <t>계획관리지역</t>
        </is>
      </c>
      <c r="I4888" s="3" t="inlineStr">
        <is>
          <t>임야</t>
        </is>
      </c>
      <c r="J4888" s="3" t="inlineStr">
        <is>
          <t>강내면</t>
        </is>
      </c>
    </row>
    <row r="4889">
      <c r="A4889" s="3" t="n">
        <v>2026</v>
      </c>
      <c r="B4889" s="4" t="n">
        <v>2000</v>
      </c>
      <c r="C4889" s="4" t="n">
        <v>201</v>
      </c>
      <c r="D4889" s="4" t="n">
        <v>60.80249999999999</v>
      </c>
      <c r="E4889" s="5" t="n">
        <v>32.9</v>
      </c>
      <c r="F4889" s="3" t="inlineStr">
        <is>
          <t>오송읍</t>
        </is>
      </c>
      <c r="G4889" s="3" t="inlineStr">
        <is>
          <t>서평리</t>
        </is>
      </c>
      <c r="H4889" s="3" t="inlineStr">
        <is>
          <t>농림지역</t>
        </is>
      </c>
      <c r="I4889" s="3" t="inlineStr">
        <is>
          <t>전</t>
        </is>
      </c>
      <c r="J4889" s="3" t="inlineStr">
        <is>
          <t>오송읍</t>
        </is>
      </c>
    </row>
    <row r="4890">
      <c r="A4890" s="3" t="n">
        <v>2026</v>
      </c>
      <c r="B4890" s="4" t="n">
        <v>646012</v>
      </c>
      <c r="C4890" s="4" t="n">
        <v>17499</v>
      </c>
      <c r="D4890" s="4" t="n">
        <v>5293.4475</v>
      </c>
      <c r="E4890" s="5" t="n">
        <v>122</v>
      </c>
      <c r="F4890" s="3" t="inlineStr">
        <is>
          <t>오송읍</t>
        </is>
      </c>
      <c r="G4890" s="3" t="inlineStr">
        <is>
          <t>정중리</t>
        </is>
      </c>
      <c r="H4890" s="3" t="inlineStr">
        <is>
          <t>일반공업지역</t>
        </is>
      </c>
      <c r="I4890" s="3" t="inlineStr">
        <is>
          <t>공장용지</t>
        </is>
      </c>
      <c r="J4890" s="3" t="inlineStr">
        <is>
          <t>오송읍</t>
        </is>
      </c>
    </row>
    <row r="4891">
      <c r="A4891" s="3" t="n">
        <v>2026</v>
      </c>
      <c r="B4891" s="4" t="n">
        <v>7187</v>
      </c>
      <c r="C4891" s="4" t="n">
        <v>144</v>
      </c>
      <c r="D4891" s="4" t="n">
        <v>43.56</v>
      </c>
      <c r="E4891" s="5" t="n">
        <v>165</v>
      </c>
      <c r="F4891" s="3" t="inlineStr">
        <is>
          <t>강내면</t>
        </is>
      </c>
      <c r="G4891" s="3" t="inlineStr">
        <is>
          <t>다락리</t>
        </is>
      </c>
      <c r="H4891" s="3" t="inlineStr">
        <is>
          <t>일반공업지역</t>
        </is>
      </c>
      <c r="I4891" s="3" t="inlineStr">
        <is>
          <t>과수원</t>
        </is>
      </c>
      <c r="J4891" s="3" t="inlineStr">
        <is>
          <t>강내면</t>
        </is>
      </c>
    </row>
    <row r="4892">
      <c r="A4892" s="3" t="n">
        <v>2026</v>
      </c>
      <c r="B4892" s="4" t="n">
        <v>14624</v>
      </c>
      <c r="C4892" s="4" t="n">
        <v>293</v>
      </c>
      <c r="D4892" s="4" t="n">
        <v>88.63249999999999</v>
      </c>
      <c r="E4892" s="5" t="n">
        <v>165</v>
      </c>
      <c r="F4892" s="3" t="inlineStr">
        <is>
          <t>강내면</t>
        </is>
      </c>
      <c r="G4892" s="3" t="inlineStr">
        <is>
          <t>다락리</t>
        </is>
      </c>
      <c r="H4892" s="3" t="inlineStr">
        <is>
          <t>일반공업지역</t>
        </is>
      </c>
      <c r="I4892" s="3" t="inlineStr">
        <is>
          <t>임야</t>
        </is>
      </c>
      <c r="J4892" s="3" t="inlineStr">
        <is>
          <t>강내면</t>
        </is>
      </c>
    </row>
    <row r="4893">
      <c r="A4893" s="3" t="n">
        <v>2026</v>
      </c>
      <c r="B4893" s="4" t="n">
        <v>5000</v>
      </c>
      <c r="C4893" s="4" t="n">
        <v>4317</v>
      </c>
      <c r="D4893" s="4" t="n">
        <v>1305.8925</v>
      </c>
      <c r="E4893" s="5" t="n">
        <v>3.8</v>
      </c>
      <c r="F4893" s="3" t="inlineStr">
        <is>
          <t>오송읍</t>
        </is>
      </c>
      <c r="G4893" s="3" t="inlineStr">
        <is>
          <t>상봉리</t>
        </is>
      </c>
      <c r="H4893" s="3" t="inlineStr">
        <is>
          <t>보전관리지역</t>
        </is>
      </c>
      <c r="I4893" s="3" t="inlineStr">
        <is>
          <t>임야</t>
        </is>
      </c>
      <c r="J4893" s="3" t="inlineStr">
        <is>
          <t>오송읍</t>
        </is>
      </c>
    </row>
    <row r="4894">
      <c r="A4894" s="3" t="n">
        <v>2026</v>
      </c>
      <c r="B4894" s="4" t="n">
        <v>23674</v>
      </c>
      <c r="C4894" s="4" t="n">
        <v>543.5</v>
      </c>
      <c r="D4894" s="4" t="n">
        <v>164.40875</v>
      </c>
      <c r="E4894" s="5" t="n">
        <v>144</v>
      </c>
      <c r="F4894" s="3" t="inlineStr">
        <is>
          <t>강내면</t>
        </is>
      </c>
      <c r="G4894" s="3" t="inlineStr">
        <is>
          <t>사곡리</t>
        </is>
      </c>
      <c r="H4894" s="3" t="inlineStr">
        <is>
          <t>보전관리지역</t>
        </is>
      </c>
      <c r="I4894" s="3" t="inlineStr">
        <is>
          <t>대</t>
        </is>
      </c>
      <c r="J4894" s="3" t="inlineStr">
        <is>
          <t>강내면</t>
        </is>
      </c>
    </row>
    <row r="4895">
      <c r="A4895" s="3" t="n">
        <v>2026</v>
      </c>
      <c r="B4895" s="4" t="n">
        <v>92000</v>
      </c>
      <c r="C4895" s="4" t="n">
        <v>580.4</v>
      </c>
      <c r="D4895" s="4" t="n">
        <v>175.571</v>
      </c>
      <c r="E4895" s="5" t="n">
        <v>524</v>
      </c>
      <c r="F4895" s="3" t="inlineStr">
        <is>
          <t>오송읍</t>
        </is>
      </c>
      <c r="G4895" s="3" t="inlineStr">
        <is>
          <t>정중리</t>
        </is>
      </c>
      <c r="H4895" s="3" t="inlineStr">
        <is>
          <t>준공업지역</t>
        </is>
      </c>
      <c r="I4895" s="3" t="inlineStr">
        <is>
          <t>대</t>
        </is>
      </c>
      <c r="J4895" s="3" t="inlineStr">
        <is>
          <t>오송읍</t>
        </is>
      </c>
    </row>
    <row r="4896">
      <c r="A4896" s="3" t="n">
        <v>2026</v>
      </c>
      <c r="B4896" s="4" t="n">
        <v>155</v>
      </c>
      <c r="C4896" s="4" t="n">
        <v>23</v>
      </c>
      <c r="D4896" s="4" t="n">
        <v>6.9575</v>
      </c>
      <c r="E4896" s="5" t="n">
        <v>22.3</v>
      </c>
      <c r="F4896" s="3" t="inlineStr">
        <is>
          <t>강내면</t>
        </is>
      </c>
      <c r="G4896" s="3" t="inlineStr">
        <is>
          <t>학천리</t>
        </is>
      </c>
      <c r="H4896" s="3" t="inlineStr">
        <is>
          <t>생산녹지지역</t>
        </is>
      </c>
      <c r="I4896" s="3" t="inlineStr">
        <is>
          <t>답</t>
        </is>
      </c>
      <c r="J4896" s="3" t="inlineStr">
        <is>
          <t>강내면</t>
        </is>
      </c>
    </row>
    <row r="4897">
      <c r="A4897" s="3" t="n">
        <v>2026</v>
      </c>
      <c r="B4897" s="4" t="n">
        <v>45000</v>
      </c>
      <c r="C4897" s="4" t="n">
        <v>2003</v>
      </c>
      <c r="D4897" s="4" t="n">
        <v>605.9075</v>
      </c>
      <c r="E4897" s="5" t="n">
        <v>74.3</v>
      </c>
      <c r="F4897" s="3" t="inlineStr">
        <is>
          <t>오송읍</t>
        </is>
      </c>
      <c r="G4897" s="3" t="inlineStr">
        <is>
          <t>궁평리</t>
        </is>
      </c>
      <c r="H4897" s="3" t="inlineStr">
        <is>
          <t>농림지역</t>
        </is>
      </c>
      <c r="I4897" s="3" t="inlineStr">
        <is>
          <t>답</t>
        </is>
      </c>
      <c r="J4897" s="3" t="inlineStr">
        <is>
          <t>오송읍</t>
        </is>
      </c>
    </row>
    <row r="4898">
      <c r="A4898" s="3" t="n">
        <v>2026</v>
      </c>
      <c r="B4898" s="4" t="n">
        <v>2750</v>
      </c>
      <c r="C4898" s="4" t="n">
        <v>164</v>
      </c>
      <c r="D4898" s="4" t="n">
        <v>49.61</v>
      </c>
      <c r="E4898" s="5" t="n">
        <v>55.4</v>
      </c>
      <c r="F4898" s="3" t="inlineStr">
        <is>
          <t>남이면</t>
        </is>
      </c>
      <c r="G4898" s="3" t="inlineStr">
        <is>
          <t>팔봉리</t>
        </is>
      </c>
      <c r="H4898" s="3" t="inlineStr">
        <is>
          <t>자연녹지지역</t>
        </is>
      </c>
      <c r="I4898" s="3" t="inlineStr">
        <is>
          <t>임야</t>
        </is>
      </c>
      <c r="J4898" s="3" t="inlineStr">
        <is>
          <t>남이면</t>
        </is>
      </c>
    </row>
    <row r="4899">
      <c r="A4899" s="3" t="n">
        <v>2025</v>
      </c>
      <c r="B4899" s="4" t="n">
        <v>64724</v>
      </c>
      <c r="C4899" s="4" t="n">
        <v>2647</v>
      </c>
      <c r="D4899" s="4" t="n">
        <v>800.7175</v>
      </c>
      <c r="E4899" s="5" t="n">
        <v>80.8</v>
      </c>
      <c r="F4899" s="3" t="inlineStr">
        <is>
          <t>오송읍</t>
        </is>
      </c>
      <c r="G4899" s="3" t="inlineStr">
        <is>
          <t>궁평리</t>
        </is>
      </c>
      <c r="H4899" s="3" t="inlineStr">
        <is>
          <t>농림지역</t>
        </is>
      </c>
      <c r="I4899" s="3" t="inlineStr">
        <is>
          <t>전</t>
        </is>
      </c>
      <c r="J4899" s="3" t="inlineStr">
        <is>
          <t>오송읍</t>
        </is>
      </c>
    </row>
    <row r="4900">
      <c r="A4900" s="3" t="n">
        <v>2025</v>
      </c>
      <c r="B4900" s="4" t="n">
        <v>16138</v>
      </c>
      <c r="C4900" s="4" t="n">
        <v>660</v>
      </c>
      <c r="D4900" s="4" t="n">
        <v>199.65</v>
      </c>
      <c r="E4900" s="5" t="n">
        <v>80.8</v>
      </c>
      <c r="F4900" s="3" t="inlineStr">
        <is>
          <t>오송읍</t>
        </is>
      </c>
      <c r="G4900" s="3" t="inlineStr">
        <is>
          <t>궁평리</t>
        </is>
      </c>
      <c r="H4900" s="3" t="inlineStr">
        <is>
          <t>농림지역</t>
        </is>
      </c>
      <c r="I4900" s="3" t="inlineStr">
        <is>
          <t>전</t>
        </is>
      </c>
      <c r="J4900" s="3" t="inlineStr">
        <is>
          <t>오송읍</t>
        </is>
      </c>
    </row>
    <row r="4901">
      <c r="A4901" s="3" t="n">
        <v>2025</v>
      </c>
      <c r="B4901" s="4" t="n">
        <v>16138</v>
      </c>
      <c r="C4901" s="4" t="n">
        <v>660</v>
      </c>
      <c r="D4901" s="4" t="n">
        <v>199.65</v>
      </c>
      <c r="E4901" s="5" t="n">
        <v>80.8</v>
      </c>
      <c r="F4901" s="3" t="inlineStr">
        <is>
          <t>오송읍</t>
        </is>
      </c>
      <c r="G4901" s="3" t="inlineStr">
        <is>
          <t>궁평리</t>
        </is>
      </c>
      <c r="H4901" s="3" t="inlineStr">
        <is>
          <t>농림지역</t>
        </is>
      </c>
      <c r="I4901" s="3" t="inlineStr">
        <is>
          <t>창고용지</t>
        </is>
      </c>
      <c r="J4901" s="3" t="inlineStr">
        <is>
          <t>오송읍</t>
        </is>
      </c>
    </row>
    <row r="4902">
      <c r="A4902" s="3" t="n">
        <v>2025</v>
      </c>
      <c r="B4902" s="4" t="n">
        <v>22000</v>
      </c>
      <c r="C4902" s="4" t="n">
        <v>2803</v>
      </c>
      <c r="D4902" s="4" t="n">
        <v>847.9075</v>
      </c>
      <c r="E4902" s="5" t="n">
        <v>25.9</v>
      </c>
      <c r="F4902" s="3" t="inlineStr">
        <is>
          <t>강내면</t>
        </is>
      </c>
      <c r="G4902" s="3" t="inlineStr">
        <is>
          <t>산단리</t>
        </is>
      </c>
      <c r="H4902" s="3" t="inlineStr">
        <is>
          <t>농림지역</t>
        </is>
      </c>
      <c r="I4902" s="3" t="inlineStr">
        <is>
          <t>답</t>
        </is>
      </c>
      <c r="J4902" s="3" t="inlineStr">
        <is>
          <t>강내면</t>
        </is>
      </c>
    </row>
    <row r="4903">
      <c r="A4903" s="3" t="n">
        <v>2025</v>
      </c>
      <c r="B4903" s="4" t="n">
        <v>12700</v>
      </c>
      <c r="C4903" s="4" t="n">
        <v>635</v>
      </c>
      <c r="D4903" s="4" t="n">
        <v>192.0875</v>
      </c>
      <c r="E4903" s="5" t="n">
        <v>66.09999999999999</v>
      </c>
      <c r="F4903" s="3" t="inlineStr">
        <is>
          <t>오송읍</t>
        </is>
      </c>
      <c r="G4903" s="3" t="inlineStr">
        <is>
          <t>서평리</t>
        </is>
      </c>
      <c r="H4903" s="3" t="inlineStr">
        <is>
          <t>농림지역</t>
        </is>
      </c>
      <c r="I4903" s="3" t="inlineStr">
        <is>
          <t>답</t>
        </is>
      </c>
      <c r="J4903" s="3" t="inlineStr">
        <is>
          <t>오송읍</t>
        </is>
      </c>
    </row>
    <row r="4904">
      <c r="A4904" s="3" t="n">
        <v>2025</v>
      </c>
      <c r="B4904" s="4" t="n">
        <v>65000</v>
      </c>
      <c r="C4904" s="4" t="n">
        <v>3233</v>
      </c>
      <c r="D4904" s="4" t="n">
        <v>977.9825</v>
      </c>
      <c r="E4904" s="5" t="n">
        <v>66.5</v>
      </c>
      <c r="F4904" s="3" t="inlineStr">
        <is>
          <t>오송읍</t>
        </is>
      </c>
      <c r="G4904" s="3" t="inlineStr">
        <is>
          <t>서평리</t>
        </is>
      </c>
      <c r="H4904" s="3" t="inlineStr">
        <is>
          <t>농림지역</t>
        </is>
      </c>
      <c r="I4904" s="3" t="inlineStr">
        <is>
          <t>답</t>
        </is>
      </c>
      <c r="J4904" s="3" t="inlineStr">
        <is>
          <t>오송읍</t>
        </is>
      </c>
    </row>
    <row r="4905">
      <c r="A4905" s="3" t="n">
        <v>2025</v>
      </c>
      <c r="B4905" s="4" t="n">
        <v>20300</v>
      </c>
      <c r="C4905" s="4" t="n">
        <v>1012</v>
      </c>
      <c r="D4905" s="4" t="n">
        <v>306.13</v>
      </c>
      <c r="E4905" s="5" t="n">
        <v>66.3</v>
      </c>
      <c r="F4905" s="3" t="inlineStr">
        <is>
          <t>오송읍</t>
        </is>
      </c>
      <c r="G4905" s="3" t="inlineStr">
        <is>
          <t>서평리</t>
        </is>
      </c>
      <c r="H4905" s="3" t="inlineStr">
        <is>
          <t>농림지역</t>
        </is>
      </c>
      <c r="I4905" s="3" t="inlineStr">
        <is>
          <t>답</t>
        </is>
      </c>
      <c r="J4905" s="3" t="inlineStr">
        <is>
          <t>오송읍</t>
        </is>
      </c>
    </row>
    <row r="4906">
      <c r="A4906" s="3" t="n">
        <v>2025</v>
      </c>
      <c r="B4906" s="4" t="n">
        <v>16000</v>
      </c>
      <c r="C4906" s="4" t="n">
        <v>660</v>
      </c>
      <c r="D4906" s="4" t="n">
        <v>199.65</v>
      </c>
      <c r="E4906" s="5" t="n">
        <v>80.09999999999999</v>
      </c>
      <c r="F4906" s="3" t="inlineStr">
        <is>
          <t>강내면</t>
        </is>
      </c>
      <c r="G4906" s="3" t="inlineStr">
        <is>
          <t>저산리</t>
        </is>
      </c>
      <c r="H4906" s="3" t="inlineStr">
        <is>
          <t>계획관리지역</t>
        </is>
      </c>
      <c r="I4906" s="3" t="inlineStr">
        <is>
          <t>전</t>
        </is>
      </c>
      <c r="J4906" s="3" t="inlineStr">
        <is>
          <t>강내면</t>
        </is>
      </c>
    </row>
    <row r="4907">
      <c r="A4907" s="3" t="n">
        <v>2025</v>
      </c>
      <c r="B4907" s="4" t="n">
        <v>3000</v>
      </c>
      <c r="C4907" s="4" t="n">
        <v>370</v>
      </c>
      <c r="D4907" s="4" t="n">
        <v>111.925</v>
      </c>
      <c r="E4907" s="5" t="n">
        <v>26.8</v>
      </c>
      <c r="F4907" s="3" t="inlineStr">
        <is>
          <t>오송읍</t>
        </is>
      </c>
      <c r="G4907" s="3" t="inlineStr">
        <is>
          <t>쌍청리</t>
        </is>
      </c>
      <c r="H4907" s="3" t="inlineStr">
        <is>
          <t>농림지역</t>
        </is>
      </c>
      <c r="I4907" s="3" t="inlineStr">
        <is>
          <t>답</t>
        </is>
      </c>
      <c r="J4907" s="3" t="inlineStr">
        <is>
          <t>오송읍</t>
        </is>
      </c>
    </row>
    <row r="4908">
      <c r="A4908" s="3" t="n">
        <v>2026</v>
      </c>
      <c r="B4908" s="4" t="n">
        <v>53453</v>
      </c>
      <c r="C4908" s="4" t="n">
        <v>3962</v>
      </c>
      <c r="D4908" s="4" t="n">
        <v>1198.505</v>
      </c>
      <c r="E4908" s="5" t="n">
        <v>44.6</v>
      </c>
      <c r="F4908" s="3" t="inlineStr">
        <is>
          <t>남이면</t>
        </is>
      </c>
      <c r="G4908" s="3" t="inlineStr">
        <is>
          <t>척산리</t>
        </is>
      </c>
      <c r="H4908" s="3" t="inlineStr">
        <is>
          <t>계획관리지역</t>
        </is>
      </c>
      <c r="I4908" s="3" t="inlineStr">
        <is>
          <t>임야</t>
        </is>
      </c>
      <c r="J4908" s="3" t="inlineStr">
        <is>
          <t>남이면</t>
        </is>
      </c>
    </row>
    <row r="4909">
      <c r="A4909" s="3" t="n">
        <v>2026</v>
      </c>
      <c r="B4909" s="4" t="n">
        <v>1889</v>
      </c>
      <c r="C4909" s="4" t="n">
        <v>140</v>
      </c>
      <c r="D4909" s="4" t="n">
        <v>42.35</v>
      </c>
      <c r="E4909" s="5" t="n">
        <v>44.6</v>
      </c>
      <c r="F4909" s="3" t="inlineStr">
        <is>
          <t>남이면</t>
        </is>
      </c>
      <c r="G4909" s="3" t="inlineStr">
        <is>
          <t>척산리</t>
        </is>
      </c>
      <c r="H4909" s="3" t="inlineStr">
        <is>
          <t>계획관리지역</t>
        </is>
      </c>
      <c r="I4909" s="3" t="inlineStr">
        <is>
          <t>임야</t>
        </is>
      </c>
      <c r="J4909" s="3" t="inlineStr">
        <is>
          <t>남이면</t>
        </is>
      </c>
    </row>
    <row r="4910">
      <c r="A4910" s="3" t="n">
        <v>2026</v>
      </c>
      <c r="B4910" s="4" t="n">
        <v>5397</v>
      </c>
      <c r="C4910" s="4" t="n">
        <v>400</v>
      </c>
      <c r="D4910" s="4" t="n">
        <v>121</v>
      </c>
      <c r="E4910" s="5" t="n">
        <v>44.6</v>
      </c>
      <c r="F4910" s="3" t="inlineStr">
        <is>
          <t>남이면</t>
        </is>
      </c>
      <c r="G4910" s="3" t="inlineStr">
        <is>
          <t>척산리</t>
        </is>
      </c>
      <c r="H4910" s="3" t="inlineStr">
        <is>
          <t>계획관리지역</t>
        </is>
      </c>
      <c r="I4910" s="3" t="inlineStr">
        <is>
          <t>임야</t>
        </is>
      </c>
      <c r="J4910" s="3" t="inlineStr">
        <is>
          <t>남이면</t>
        </is>
      </c>
    </row>
    <row r="4911">
      <c r="A4911" s="3" t="n">
        <v>2024</v>
      </c>
      <c r="B4911" s="4" t="n">
        <v>5373</v>
      </c>
      <c r="C4911" s="4" t="n">
        <v>162</v>
      </c>
      <c r="D4911" s="4" t="n">
        <v>49.005</v>
      </c>
      <c r="E4911" s="5" t="n">
        <v>109.6</v>
      </c>
      <c r="F4911" s="3" t="inlineStr">
        <is>
          <t>강내면</t>
        </is>
      </c>
      <c r="G4911" s="3" t="inlineStr">
        <is>
          <t>저산리</t>
        </is>
      </c>
      <c r="H4911" s="3" t="inlineStr">
        <is>
          <t>계획관리지역</t>
        </is>
      </c>
      <c r="I4911" s="3" t="inlineStr">
        <is>
          <t>대</t>
        </is>
      </c>
      <c r="J4911" s="3" t="inlineStr">
        <is>
          <t>강내면</t>
        </is>
      </c>
    </row>
    <row r="4912">
      <c r="A4912" s="3" t="n">
        <v>2024</v>
      </c>
      <c r="B4912" s="4" t="n">
        <v>662</v>
      </c>
      <c r="C4912" s="4" t="n">
        <v>20</v>
      </c>
      <c r="D4912" s="4" t="n">
        <v>6.05</v>
      </c>
      <c r="E4912" s="5" t="n">
        <v>109.4</v>
      </c>
      <c r="F4912" s="3" t="inlineStr">
        <is>
          <t>강내면</t>
        </is>
      </c>
      <c r="G4912" s="3" t="inlineStr">
        <is>
          <t>저산리</t>
        </is>
      </c>
      <c r="H4912" s="3" t="inlineStr">
        <is>
          <t>계획관리지역</t>
        </is>
      </c>
      <c r="I4912" s="3" t="inlineStr">
        <is>
          <t>대</t>
        </is>
      </c>
      <c r="J4912" s="3" t="inlineStr">
        <is>
          <t>강내면</t>
        </is>
      </c>
    </row>
    <row r="4913">
      <c r="A4913" s="3" t="n">
        <v>2024</v>
      </c>
      <c r="B4913" s="4" t="n">
        <v>133</v>
      </c>
      <c r="C4913" s="4" t="n">
        <v>4</v>
      </c>
      <c r="D4913" s="4" t="n">
        <v>1.21</v>
      </c>
      <c r="E4913" s="5" t="n">
        <v>109.9</v>
      </c>
      <c r="F4913" s="3" t="inlineStr">
        <is>
          <t>강내면</t>
        </is>
      </c>
      <c r="G4913" s="3" t="inlineStr">
        <is>
          <t>저산리</t>
        </is>
      </c>
      <c r="H4913" s="3" t="inlineStr">
        <is>
          <t>계획관리지역</t>
        </is>
      </c>
      <c r="I4913" s="3" t="inlineStr">
        <is>
          <t>대</t>
        </is>
      </c>
      <c r="J4913" s="3" t="inlineStr">
        <is>
          <t>강내면</t>
        </is>
      </c>
    </row>
    <row r="4914">
      <c r="A4914" s="3" t="n">
        <v>2024</v>
      </c>
      <c r="B4914" s="4" t="n">
        <v>9344</v>
      </c>
      <c r="C4914" s="4" t="n">
        <v>282</v>
      </c>
      <c r="D4914" s="4" t="n">
        <v>85.30499999999999</v>
      </c>
      <c r="E4914" s="5" t="n">
        <v>109.5</v>
      </c>
      <c r="F4914" s="3" t="inlineStr">
        <is>
          <t>강내면</t>
        </is>
      </c>
      <c r="G4914" s="3" t="inlineStr">
        <is>
          <t>저산리</t>
        </is>
      </c>
      <c r="H4914" s="3" t="inlineStr">
        <is>
          <t>계획관리지역</t>
        </is>
      </c>
      <c r="I4914" s="3" t="inlineStr">
        <is>
          <t>대</t>
        </is>
      </c>
      <c r="J4914" s="3" t="inlineStr">
        <is>
          <t>강내면</t>
        </is>
      </c>
    </row>
    <row r="4915">
      <c r="A4915" s="3" t="n">
        <v>2024</v>
      </c>
      <c r="B4915" s="4" t="n">
        <v>3745</v>
      </c>
      <c r="C4915" s="4" t="n">
        <v>113</v>
      </c>
      <c r="D4915" s="4" t="n">
        <v>34.1825</v>
      </c>
      <c r="E4915" s="5" t="n">
        <v>109.6</v>
      </c>
      <c r="F4915" s="3" t="inlineStr">
        <is>
          <t>강내면</t>
        </is>
      </c>
      <c r="G4915" s="3" t="inlineStr">
        <is>
          <t>저산리</t>
        </is>
      </c>
      <c r="H4915" s="3" t="inlineStr">
        <is>
          <t>계획관리지역</t>
        </is>
      </c>
      <c r="I4915" s="3" t="inlineStr">
        <is>
          <t>대</t>
        </is>
      </c>
      <c r="J4915" s="3" t="inlineStr">
        <is>
          <t>강내면</t>
        </is>
      </c>
    </row>
    <row r="4916">
      <c r="A4916" s="3" t="n">
        <v>2024</v>
      </c>
      <c r="B4916" s="4" t="n">
        <v>9000</v>
      </c>
      <c r="C4916" s="4" t="n">
        <v>545</v>
      </c>
      <c r="D4916" s="4" t="n">
        <v>164.8625</v>
      </c>
      <c r="E4916" s="5" t="n">
        <v>54.6</v>
      </c>
      <c r="F4916" s="3" t="inlineStr">
        <is>
          <t>오송읍</t>
        </is>
      </c>
      <c r="G4916" s="3" t="inlineStr">
        <is>
          <t>공북리</t>
        </is>
      </c>
      <c r="H4916" s="3" t="inlineStr">
        <is>
          <t>농림지역</t>
        </is>
      </c>
      <c r="I4916" s="3" t="inlineStr">
        <is>
          <t>답</t>
        </is>
      </c>
      <c r="J4916" s="3" t="inlineStr">
        <is>
          <t>오송읍</t>
        </is>
      </c>
    </row>
    <row r="4917">
      <c r="A4917" s="3" t="n">
        <v>2024</v>
      </c>
      <c r="B4917" s="4" t="n">
        <v>466736</v>
      </c>
      <c r="C4917" s="4" t="n">
        <v>55116</v>
      </c>
      <c r="D4917" s="4" t="n">
        <v>16672.59</v>
      </c>
      <c r="E4917" s="5" t="n">
        <v>28</v>
      </c>
      <c r="F4917" s="3" t="inlineStr">
        <is>
          <t>오송읍</t>
        </is>
      </c>
      <c r="G4917" s="3" t="inlineStr">
        <is>
          <t>정중리</t>
        </is>
      </c>
      <c r="H4917" s="3" t="inlineStr">
        <is>
          <t>농림지역</t>
        </is>
      </c>
      <c r="I4917" s="3" t="inlineStr">
        <is>
          <t>전</t>
        </is>
      </c>
      <c r="J4917" s="3" t="inlineStr">
        <is>
          <t>오송읍</t>
        </is>
      </c>
    </row>
    <row r="4918">
      <c r="A4918" s="3" t="n">
        <v>2024</v>
      </c>
      <c r="B4918" s="4" t="n">
        <v>5101</v>
      </c>
      <c r="C4918" s="4" t="n">
        <v>326</v>
      </c>
      <c r="D4918" s="4" t="n">
        <v>98.61499999999999</v>
      </c>
      <c r="E4918" s="5" t="n">
        <v>51.7</v>
      </c>
      <c r="F4918" s="3" t="inlineStr">
        <is>
          <t>오송읍</t>
        </is>
      </c>
      <c r="G4918" s="3" t="inlineStr">
        <is>
          <t>정중리</t>
        </is>
      </c>
      <c r="H4918" s="3" t="inlineStr">
        <is>
          <t>생산관리지역</t>
        </is>
      </c>
      <c r="I4918" s="3" t="inlineStr">
        <is>
          <t>전</t>
        </is>
      </c>
      <c r="J4918" s="3" t="inlineStr">
        <is>
          <t>오송읍</t>
        </is>
      </c>
    </row>
    <row r="4919">
      <c r="A4919" s="3" t="n">
        <v>2024</v>
      </c>
      <c r="B4919" s="4" t="n">
        <v>115380</v>
      </c>
      <c r="C4919" s="4" t="n">
        <v>8022</v>
      </c>
      <c r="D4919" s="4" t="n">
        <v>2426.655</v>
      </c>
      <c r="E4919" s="5" t="n">
        <v>47.5</v>
      </c>
      <c r="F4919" s="3" t="inlineStr">
        <is>
          <t>오송읍</t>
        </is>
      </c>
      <c r="G4919" s="3" t="inlineStr">
        <is>
          <t>정중리</t>
        </is>
      </c>
      <c r="H4919" s="3" t="inlineStr">
        <is>
          <t>생산관리지역</t>
        </is>
      </c>
      <c r="I4919" s="3" t="inlineStr">
        <is>
          <t>답</t>
        </is>
      </c>
      <c r="J4919" s="3" t="inlineStr">
        <is>
          <t>오송읍</t>
        </is>
      </c>
    </row>
    <row r="4920">
      <c r="A4920" s="3" t="n">
        <v>2024</v>
      </c>
      <c r="B4920" s="4" t="n">
        <v>13361</v>
      </c>
      <c r="C4920" s="4" t="n">
        <v>1038</v>
      </c>
      <c r="D4920" s="4" t="n">
        <v>313.995</v>
      </c>
      <c r="E4920" s="5" t="n">
        <v>42.6</v>
      </c>
      <c r="F4920" s="3" t="inlineStr">
        <is>
          <t>오송읍</t>
        </is>
      </c>
      <c r="G4920" s="3" t="inlineStr">
        <is>
          <t>정중리</t>
        </is>
      </c>
      <c r="H4920" s="3" t="inlineStr">
        <is>
          <t>생산관리지역</t>
        </is>
      </c>
      <c r="I4920" s="3" t="inlineStr">
        <is>
          <t>답</t>
        </is>
      </c>
      <c r="J4920" s="3" t="inlineStr">
        <is>
          <t>오송읍</t>
        </is>
      </c>
    </row>
    <row r="4921">
      <c r="A4921" s="3" t="n">
        <v>2024</v>
      </c>
      <c r="B4921" s="4" t="n">
        <v>8069</v>
      </c>
      <c r="C4921" s="4" t="n">
        <v>661</v>
      </c>
      <c r="D4921" s="4" t="n">
        <v>199.9525</v>
      </c>
      <c r="E4921" s="5" t="n">
        <v>40.4</v>
      </c>
      <c r="F4921" s="3" t="inlineStr">
        <is>
          <t>오송읍</t>
        </is>
      </c>
      <c r="G4921" s="3" t="inlineStr">
        <is>
          <t>정중리</t>
        </is>
      </c>
      <c r="H4921" s="3" t="inlineStr">
        <is>
          <t>생산관리지역</t>
        </is>
      </c>
      <c r="I4921" s="3" t="inlineStr">
        <is>
          <t>답</t>
        </is>
      </c>
      <c r="J4921" s="3" t="inlineStr">
        <is>
          <t>오송읍</t>
        </is>
      </c>
    </row>
    <row r="4922">
      <c r="A4922" s="3" t="n">
        <v>2024</v>
      </c>
      <c r="B4922" s="4" t="n">
        <v>86</v>
      </c>
      <c r="C4922" s="4" t="n">
        <v>7</v>
      </c>
      <c r="D4922" s="4" t="n">
        <v>2.1175</v>
      </c>
      <c r="E4922" s="5" t="n">
        <v>40.6</v>
      </c>
      <c r="F4922" s="3" t="inlineStr">
        <is>
          <t>오송읍</t>
        </is>
      </c>
      <c r="G4922" s="3" t="inlineStr">
        <is>
          <t>정중리</t>
        </is>
      </c>
      <c r="H4922" s="3" t="inlineStr">
        <is>
          <t>생산관리지역</t>
        </is>
      </c>
      <c r="I4922" s="3" t="inlineStr">
        <is>
          <t>답</t>
        </is>
      </c>
      <c r="J4922" s="3" t="inlineStr">
        <is>
          <t>오송읍</t>
        </is>
      </c>
    </row>
    <row r="4923">
      <c r="A4923" s="3" t="n">
        <v>2024</v>
      </c>
      <c r="B4923" s="4" t="n">
        <v>9</v>
      </c>
      <c r="C4923" s="4" t="n">
        <v>2</v>
      </c>
      <c r="D4923" s="4" t="n">
        <v>0.605</v>
      </c>
      <c r="E4923" s="5" t="n">
        <v>14.9</v>
      </c>
      <c r="F4923" s="3" t="inlineStr">
        <is>
          <t>오송읍</t>
        </is>
      </c>
      <c r="G4923" s="3" t="inlineStr">
        <is>
          <t>정중리</t>
        </is>
      </c>
      <c r="H4923" s="3" t="inlineStr">
        <is>
          <t>생산관리지역</t>
        </is>
      </c>
      <c r="I4923" s="3" t="inlineStr">
        <is>
          <t>제방</t>
        </is>
      </c>
      <c r="J4923" s="3" t="inlineStr">
        <is>
          <t>오송읍</t>
        </is>
      </c>
    </row>
    <row r="4924">
      <c r="A4924" s="3" t="n">
        <v>2024</v>
      </c>
      <c r="B4924" s="4" t="n">
        <v>189</v>
      </c>
      <c r="C4924" s="4" t="n">
        <v>40</v>
      </c>
      <c r="D4924" s="4" t="n">
        <v>12.1</v>
      </c>
      <c r="E4924" s="5" t="n">
        <v>15.6</v>
      </c>
      <c r="F4924" s="3" t="inlineStr">
        <is>
          <t>오송읍</t>
        </is>
      </c>
      <c r="G4924" s="3" t="inlineStr">
        <is>
          <t>정중리</t>
        </is>
      </c>
      <c r="H4924" s="3" t="inlineStr">
        <is>
          <t>생산관리지역</t>
        </is>
      </c>
      <c r="I4924" s="3" t="inlineStr">
        <is>
          <t>답</t>
        </is>
      </c>
      <c r="J4924" s="3" t="inlineStr">
        <is>
          <t>오송읍</t>
        </is>
      </c>
    </row>
    <row r="4925">
      <c r="A4925" s="3" t="n">
        <v>2024</v>
      </c>
      <c r="B4925" s="4" t="n">
        <v>924</v>
      </c>
      <c r="C4925" s="4" t="n">
        <v>196</v>
      </c>
      <c r="D4925" s="4" t="n">
        <v>59.29</v>
      </c>
      <c r="E4925" s="5" t="n">
        <v>15.6</v>
      </c>
      <c r="F4925" s="3" t="inlineStr">
        <is>
          <t>오송읍</t>
        </is>
      </c>
      <c r="G4925" s="3" t="inlineStr">
        <is>
          <t>정중리</t>
        </is>
      </c>
      <c r="H4925" s="3" t="inlineStr">
        <is>
          <t>생산관리지역</t>
        </is>
      </c>
      <c r="I4925" s="3" t="inlineStr">
        <is>
          <t>답</t>
        </is>
      </c>
      <c r="J4925" s="3" t="inlineStr">
        <is>
          <t>오송읍</t>
        </is>
      </c>
    </row>
    <row r="4926">
      <c r="A4926" s="3" t="n">
        <v>2024</v>
      </c>
      <c r="B4926" s="4" t="n">
        <v>4739</v>
      </c>
      <c r="C4926" s="4" t="n">
        <v>411</v>
      </c>
      <c r="D4926" s="4" t="n">
        <v>124.3275</v>
      </c>
      <c r="E4926" s="5" t="n">
        <v>38.1</v>
      </c>
      <c r="F4926" s="3" t="inlineStr">
        <is>
          <t>오송읍</t>
        </is>
      </c>
      <c r="G4926" s="3" t="inlineStr">
        <is>
          <t>정중리</t>
        </is>
      </c>
      <c r="H4926" s="3" t="inlineStr">
        <is>
          <t>생산관리지역</t>
        </is>
      </c>
      <c r="I4926" s="3" t="inlineStr">
        <is>
          <t>전</t>
        </is>
      </c>
      <c r="J4926" s="3" t="inlineStr">
        <is>
          <t>오송읍</t>
        </is>
      </c>
    </row>
    <row r="4927">
      <c r="A4927" s="3" t="n">
        <v>2024</v>
      </c>
      <c r="B4927" s="4" t="n">
        <v>427</v>
      </c>
      <c r="C4927" s="4" t="n">
        <v>37</v>
      </c>
      <c r="D4927" s="4" t="n">
        <v>11.1925</v>
      </c>
      <c r="E4927" s="5" t="n">
        <v>38.2</v>
      </c>
      <c r="F4927" s="3" t="inlineStr">
        <is>
          <t>오송읍</t>
        </is>
      </c>
      <c r="G4927" s="3" t="inlineStr">
        <is>
          <t>정중리</t>
        </is>
      </c>
      <c r="H4927" s="3" t="inlineStr">
        <is>
          <t>생산관리지역</t>
        </is>
      </c>
      <c r="I4927" s="3" t="inlineStr">
        <is>
          <t>전</t>
        </is>
      </c>
      <c r="J4927" s="3" t="inlineStr">
        <is>
          <t>오송읍</t>
        </is>
      </c>
    </row>
    <row r="4928">
      <c r="A4928" s="3" t="n">
        <v>2024</v>
      </c>
      <c r="B4928" s="4" t="n">
        <v>2652</v>
      </c>
      <c r="C4928" s="4" t="n">
        <v>230</v>
      </c>
      <c r="D4928" s="4" t="n">
        <v>69.575</v>
      </c>
      <c r="E4928" s="5" t="n">
        <v>38.1</v>
      </c>
      <c r="F4928" s="3" t="inlineStr">
        <is>
          <t>오송읍</t>
        </is>
      </c>
      <c r="G4928" s="3" t="inlineStr">
        <is>
          <t>정중리</t>
        </is>
      </c>
      <c r="H4928" s="3" t="inlineStr">
        <is>
          <t>생산관리지역</t>
        </is>
      </c>
      <c r="I4928" s="3" t="inlineStr">
        <is>
          <t>답</t>
        </is>
      </c>
      <c r="J4928" s="3" t="inlineStr">
        <is>
          <t>오송읍</t>
        </is>
      </c>
    </row>
    <row r="4929">
      <c r="A4929" s="3" t="n">
        <v>2024</v>
      </c>
      <c r="B4929" s="4" t="n">
        <v>484</v>
      </c>
      <c r="C4929" s="4" t="n">
        <v>42</v>
      </c>
      <c r="D4929" s="4" t="n">
        <v>12.705</v>
      </c>
      <c r="E4929" s="5" t="n">
        <v>38.1</v>
      </c>
      <c r="F4929" s="3" t="inlineStr">
        <is>
          <t>오송읍</t>
        </is>
      </c>
      <c r="G4929" s="3" t="inlineStr">
        <is>
          <t>정중리</t>
        </is>
      </c>
      <c r="H4929" s="3" t="inlineStr">
        <is>
          <t>생산관리지역</t>
        </is>
      </c>
      <c r="I4929" s="3" t="inlineStr">
        <is>
          <t>답</t>
        </is>
      </c>
      <c r="J4929" s="3" t="inlineStr">
        <is>
          <t>오송읍</t>
        </is>
      </c>
    </row>
    <row r="4930">
      <c r="A4930" s="3" t="n">
        <v>2024</v>
      </c>
      <c r="B4930" s="4" t="n">
        <v>5233</v>
      </c>
      <c r="C4930" s="4" t="n">
        <v>431</v>
      </c>
      <c r="D4930" s="4" t="n">
        <v>130.3775</v>
      </c>
      <c r="E4930" s="5" t="n">
        <v>40.1</v>
      </c>
      <c r="F4930" s="3" t="inlineStr">
        <is>
          <t>오송읍</t>
        </is>
      </c>
      <c r="G4930" s="3" t="inlineStr">
        <is>
          <t>정중리</t>
        </is>
      </c>
      <c r="H4930" s="3" t="inlineStr">
        <is>
          <t>생산관리지역</t>
        </is>
      </c>
      <c r="I4930" s="3" t="inlineStr">
        <is>
          <t>전</t>
        </is>
      </c>
      <c r="J4930" s="3" t="inlineStr">
        <is>
          <t>오송읍</t>
        </is>
      </c>
    </row>
    <row r="4931">
      <c r="A4931" s="3" t="n">
        <v>2024</v>
      </c>
      <c r="B4931" s="4" t="n">
        <v>2779</v>
      </c>
      <c r="C4931" s="4" t="n">
        <v>241</v>
      </c>
      <c r="D4931" s="4" t="n">
        <v>72.9025</v>
      </c>
      <c r="E4931" s="5" t="n">
        <v>38.1</v>
      </c>
      <c r="F4931" s="3" t="inlineStr">
        <is>
          <t>오송읍</t>
        </is>
      </c>
      <c r="G4931" s="3" t="inlineStr">
        <is>
          <t>정중리</t>
        </is>
      </c>
      <c r="H4931" s="3" t="inlineStr">
        <is>
          <t>생산관리지역</t>
        </is>
      </c>
      <c r="I4931" s="3" t="inlineStr">
        <is>
          <t>전</t>
        </is>
      </c>
      <c r="J4931" s="3" t="inlineStr">
        <is>
          <t>오송읍</t>
        </is>
      </c>
    </row>
    <row r="4932">
      <c r="A4932" s="3" t="n">
        <v>2024</v>
      </c>
      <c r="B4932" s="4" t="n">
        <v>1535</v>
      </c>
      <c r="C4932" s="4" t="n">
        <v>112</v>
      </c>
      <c r="D4932" s="4" t="n">
        <v>33.88</v>
      </c>
      <c r="E4932" s="5" t="n">
        <v>45.3</v>
      </c>
      <c r="F4932" s="3" t="inlineStr">
        <is>
          <t>오송읍</t>
        </is>
      </c>
      <c r="G4932" s="3" t="inlineStr">
        <is>
          <t>정중리</t>
        </is>
      </c>
      <c r="H4932" s="3" t="inlineStr">
        <is>
          <t>생산관리지역</t>
        </is>
      </c>
      <c r="I4932" s="3" t="inlineStr">
        <is>
          <t>임야</t>
        </is>
      </c>
      <c r="J4932" s="3" t="inlineStr">
        <is>
          <t>오송읍</t>
        </is>
      </c>
    </row>
    <row r="4933">
      <c r="A4933" s="3" t="n">
        <v>2024</v>
      </c>
      <c r="B4933" s="4" t="n">
        <v>415</v>
      </c>
      <c r="C4933" s="4" t="n">
        <v>88</v>
      </c>
      <c r="D4933" s="4" t="n">
        <v>26.62</v>
      </c>
      <c r="E4933" s="5" t="n">
        <v>15.6</v>
      </c>
      <c r="F4933" s="3" t="inlineStr">
        <is>
          <t>오송읍</t>
        </is>
      </c>
      <c r="G4933" s="3" t="inlineStr">
        <is>
          <t>정중리</t>
        </is>
      </c>
      <c r="H4933" s="3" t="inlineStr">
        <is>
          <t>생산관리지역</t>
        </is>
      </c>
      <c r="I4933" s="3" t="inlineStr">
        <is>
          <t>구거</t>
        </is>
      </c>
      <c r="J4933" s="3" t="inlineStr">
        <is>
          <t>오송읍</t>
        </is>
      </c>
    </row>
    <row r="4934">
      <c r="A4934" s="3" t="n">
        <v>2024</v>
      </c>
      <c r="B4934" s="4" t="n">
        <v>5495</v>
      </c>
      <c r="C4934" s="4" t="n">
        <v>363</v>
      </c>
      <c r="D4934" s="4" t="n">
        <v>109.8075</v>
      </c>
      <c r="E4934" s="5" t="n">
        <v>50</v>
      </c>
      <c r="F4934" s="3" t="inlineStr">
        <is>
          <t>오송읍</t>
        </is>
      </c>
      <c r="G4934" s="3" t="inlineStr">
        <is>
          <t>정중리</t>
        </is>
      </c>
      <c r="H4934" s="3" t="inlineStr">
        <is>
          <t>생산관리지역</t>
        </is>
      </c>
      <c r="I4934" s="3" t="inlineStr">
        <is>
          <t>답</t>
        </is>
      </c>
      <c r="J4934" s="3" t="inlineStr">
        <is>
          <t>오송읍</t>
        </is>
      </c>
    </row>
    <row r="4935">
      <c r="A4935" s="3" t="n">
        <v>2024</v>
      </c>
      <c r="B4935" s="4" t="n">
        <v>344</v>
      </c>
      <c r="C4935" s="4" t="n">
        <v>73</v>
      </c>
      <c r="D4935" s="4" t="n">
        <v>22.0825</v>
      </c>
      <c r="E4935" s="5" t="n">
        <v>15.6</v>
      </c>
      <c r="F4935" s="3" t="inlineStr">
        <is>
          <t>오송읍</t>
        </is>
      </c>
      <c r="G4935" s="3" t="inlineStr">
        <is>
          <t>정중리</t>
        </is>
      </c>
      <c r="H4935" s="3" t="inlineStr">
        <is>
          <t>생산관리지역</t>
        </is>
      </c>
      <c r="I4935" s="3" t="inlineStr">
        <is>
          <t>제방</t>
        </is>
      </c>
      <c r="J4935" s="3" t="inlineStr">
        <is>
          <t>오송읍</t>
        </is>
      </c>
    </row>
    <row r="4936">
      <c r="A4936" s="3" t="n">
        <v>2024</v>
      </c>
      <c r="B4936" s="4" t="n">
        <v>57</v>
      </c>
      <c r="C4936" s="4" t="n">
        <v>12</v>
      </c>
      <c r="D4936" s="4" t="n">
        <v>3.63</v>
      </c>
      <c r="E4936" s="5" t="n">
        <v>15.7</v>
      </c>
      <c r="F4936" s="3" t="inlineStr">
        <is>
          <t>오송읍</t>
        </is>
      </c>
      <c r="G4936" s="3" t="inlineStr">
        <is>
          <t>정중리</t>
        </is>
      </c>
      <c r="H4936" s="3" t="inlineStr">
        <is>
          <t>생산관리지역</t>
        </is>
      </c>
      <c r="I4936" s="3" t="inlineStr">
        <is>
          <t>제방</t>
        </is>
      </c>
      <c r="J4936" s="3" t="inlineStr">
        <is>
          <t>오송읍</t>
        </is>
      </c>
    </row>
    <row r="4937">
      <c r="A4937" s="3" t="n">
        <v>2024</v>
      </c>
      <c r="B4937" s="4" t="n">
        <v>19705</v>
      </c>
      <c r="C4937" s="4" t="n">
        <v>1370</v>
      </c>
      <c r="D4937" s="4" t="n">
        <v>414.425</v>
      </c>
      <c r="E4937" s="5" t="n">
        <v>47.5</v>
      </c>
      <c r="F4937" s="3" t="inlineStr">
        <is>
          <t>오송읍</t>
        </is>
      </c>
      <c r="G4937" s="3" t="inlineStr">
        <is>
          <t>정중리</t>
        </is>
      </c>
      <c r="H4937" s="3" t="inlineStr">
        <is>
          <t>생산관리지역</t>
        </is>
      </c>
      <c r="I4937" s="3" t="inlineStr">
        <is>
          <t>전</t>
        </is>
      </c>
      <c r="J4937" s="3" t="inlineStr">
        <is>
          <t>오송읍</t>
        </is>
      </c>
    </row>
    <row r="4938">
      <c r="A4938" s="3" t="n">
        <v>2024</v>
      </c>
      <c r="B4938" s="4" t="n">
        <v>62090</v>
      </c>
      <c r="C4938" s="4" t="n">
        <v>3881</v>
      </c>
      <c r="D4938" s="4" t="n">
        <v>1174.0025</v>
      </c>
      <c r="E4938" s="5" t="n">
        <v>52.9</v>
      </c>
      <c r="F4938" s="3" t="inlineStr">
        <is>
          <t>오송읍</t>
        </is>
      </c>
      <c r="G4938" s="3" t="inlineStr">
        <is>
          <t>정중리</t>
        </is>
      </c>
      <c r="H4938" s="3" t="inlineStr">
        <is>
          <t>생산관리지역</t>
        </is>
      </c>
      <c r="I4938" s="3" t="inlineStr">
        <is>
          <t>전</t>
        </is>
      </c>
      <c r="J4938" s="3" t="inlineStr">
        <is>
          <t>오송읍</t>
        </is>
      </c>
    </row>
    <row r="4939">
      <c r="A4939" s="3" t="n">
        <v>2024</v>
      </c>
      <c r="B4939" s="4" t="n">
        <v>3674</v>
      </c>
      <c r="C4939" s="4" t="n">
        <v>301</v>
      </c>
      <c r="D4939" s="4" t="n">
        <v>91.05249999999999</v>
      </c>
      <c r="E4939" s="5" t="n">
        <v>40.4</v>
      </c>
      <c r="F4939" s="3" t="inlineStr">
        <is>
          <t>오송읍</t>
        </is>
      </c>
      <c r="G4939" s="3" t="inlineStr">
        <is>
          <t>정중리</t>
        </is>
      </c>
      <c r="H4939" s="3" t="inlineStr">
        <is>
          <t>생산관리지역</t>
        </is>
      </c>
      <c r="I4939" s="3" t="inlineStr">
        <is>
          <t>전</t>
        </is>
      </c>
      <c r="J4939" s="3" t="inlineStr">
        <is>
          <t>오송읍</t>
        </is>
      </c>
    </row>
    <row r="4940">
      <c r="A4940" s="3" t="n">
        <v>2024</v>
      </c>
      <c r="B4940" s="4" t="n">
        <v>1892</v>
      </c>
      <c r="C4940" s="4" t="n">
        <v>155</v>
      </c>
      <c r="D4940" s="4" t="n">
        <v>46.8875</v>
      </c>
      <c r="E4940" s="5" t="n">
        <v>40.4</v>
      </c>
      <c r="F4940" s="3" t="inlineStr">
        <is>
          <t>오송읍</t>
        </is>
      </c>
      <c r="G4940" s="3" t="inlineStr">
        <is>
          <t>정중리</t>
        </is>
      </c>
      <c r="H4940" s="3" t="inlineStr">
        <is>
          <t>생산관리지역</t>
        </is>
      </c>
      <c r="I4940" s="3" t="inlineStr">
        <is>
          <t>전</t>
        </is>
      </c>
      <c r="J4940" s="3" t="inlineStr">
        <is>
          <t>오송읍</t>
        </is>
      </c>
    </row>
    <row r="4941">
      <c r="A4941" s="3" t="n">
        <v>2024</v>
      </c>
      <c r="B4941" s="4" t="n">
        <v>3855</v>
      </c>
      <c r="C4941" s="4" t="n">
        <v>268</v>
      </c>
      <c r="D4941" s="4" t="n">
        <v>81.06999999999999</v>
      </c>
      <c r="E4941" s="5" t="n">
        <v>47.6</v>
      </c>
      <c r="F4941" s="3" t="inlineStr">
        <is>
          <t>오송읍</t>
        </is>
      </c>
      <c r="G4941" s="3" t="inlineStr">
        <is>
          <t>정중리</t>
        </is>
      </c>
      <c r="H4941" s="3" t="inlineStr">
        <is>
          <t>생산관리지역</t>
        </is>
      </c>
      <c r="I4941" s="3" t="inlineStr">
        <is>
          <t>전</t>
        </is>
      </c>
      <c r="J4941" s="3" t="inlineStr">
        <is>
          <t>오송읍</t>
        </is>
      </c>
    </row>
    <row r="4942">
      <c r="A4942" s="3" t="n">
        <v>2024</v>
      </c>
      <c r="B4942" s="4" t="n">
        <v>1537</v>
      </c>
      <c r="C4942" s="4" t="n">
        <v>122</v>
      </c>
      <c r="D4942" s="4" t="n">
        <v>36.905</v>
      </c>
      <c r="E4942" s="5" t="n">
        <v>41.6</v>
      </c>
      <c r="F4942" s="3" t="inlineStr">
        <is>
          <t>오송읍</t>
        </is>
      </c>
      <c r="G4942" s="3" t="inlineStr">
        <is>
          <t>쌍청리</t>
        </is>
      </c>
      <c r="H4942" s="3" t="inlineStr">
        <is>
          <t>농림지역</t>
        </is>
      </c>
      <c r="I4942" s="3" t="inlineStr">
        <is>
          <t>목장용지</t>
        </is>
      </c>
      <c r="J4942" s="3" t="inlineStr">
        <is>
          <t>오송읍</t>
        </is>
      </c>
    </row>
    <row r="4943">
      <c r="A4943" s="3" t="n">
        <v>2024</v>
      </c>
      <c r="B4943" s="4" t="n">
        <v>52000</v>
      </c>
      <c r="C4943" s="4" t="n">
        <v>1646</v>
      </c>
      <c r="D4943" s="4" t="n">
        <v>497.915</v>
      </c>
      <c r="E4943" s="5" t="n">
        <v>104.4</v>
      </c>
      <c r="F4943" s="3" t="inlineStr">
        <is>
          <t>강내면</t>
        </is>
      </c>
      <c r="G4943" s="3" t="inlineStr">
        <is>
          <t>사인리</t>
        </is>
      </c>
      <c r="H4943" s="3" t="inlineStr">
        <is>
          <t>생산녹지지역</t>
        </is>
      </c>
      <c r="I4943" s="3" t="inlineStr">
        <is>
          <t>답</t>
        </is>
      </c>
      <c r="J4943" s="3" t="inlineStr">
        <is>
          <t>강내면</t>
        </is>
      </c>
    </row>
    <row r="4944">
      <c r="A4944" s="3" t="n">
        <v>2024</v>
      </c>
      <c r="B4944" s="4" t="n">
        <v>21360</v>
      </c>
      <c r="C4944" s="4" t="n">
        <v>1177</v>
      </c>
      <c r="D4944" s="4" t="n">
        <v>356.0425</v>
      </c>
      <c r="E4944" s="5" t="n">
        <v>60</v>
      </c>
      <c r="F4944" s="3" t="inlineStr">
        <is>
          <t>강내면</t>
        </is>
      </c>
      <c r="G4944" s="3" t="inlineStr">
        <is>
          <t>다락리</t>
        </is>
      </c>
      <c r="H4944" s="3" t="inlineStr">
        <is>
          <t>농림지역</t>
        </is>
      </c>
      <c r="I4944" s="3" t="inlineStr">
        <is>
          <t>전</t>
        </is>
      </c>
      <c r="J4944" s="3" t="inlineStr">
        <is>
          <t>강내면</t>
        </is>
      </c>
    </row>
    <row r="4945">
      <c r="A4945" s="3" t="n">
        <v>2022</v>
      </c>
      <c r="B4945" s="4" t="n">
        <v>2200</v>
      </c>
      <c r="C4945" s="4" t="n">
        <v>268</v>
      </c>
      <c r="D4945" s="4" t="n">
        <v>81.06999999999999</v>
      </c>
      <c r="E4945" s="5" t="n">
        <v>27.1</v>
      </c>
      <c r="F4945" s="3" t="inlineStr">
        <is>
          <t>강내면</t>
        </is>
      </c>
      <c r="G4945" s="3" t="inlineStr">
        <is>
          <t>석화리</t>
        </is>
      </c>
      <c r="H4945" s="3" t="inlineStr">
        <is>
          <t>자연녹지지역</t>
        </is>
      </c>
      <c r="I4945" s="3" t="inlineStr">
        <is>
          <t>전</t>
        </is>
      </c>
      <c r="J4945" s="3" t="inlineStr">
        <is>
          <t>강내면</t>
        </is>
      </c>
    </row>
    <row r="4946">
      <c r="A4946" s="3" t="n">
        <v>2022</v>
      </c>
      <c r="B4946" s="4" t="n">
        <v>36450</v>
      </c>
      <c r="C4946" s="4" t="n">
        <v>4465</v>
      </c>
      <c r="D4946" s="4" t="n">
        <v>1350.6625</v>
      </c>
      <c r="E4946" s="5" t="n">
        <v>27</v>
      </c>
      <c r="F4946" s="3" t="inlineStr">
        <is>
          <t>강내면</t>
        </is>
      </c>
      <c r="G4946" s="3" t="inlineStr">
        <is>
          <t>석화리</t>
        </is>
      </c>
      <c r="H4946" s="3" t="inlineStr">
        <is>
          <t>자연녹지지역</t>
        </is>
      </c>
      <c r="I4946" s="3" t="inlineStr">
        <is>
          <t>임야</t>
        </is>
      </c>
      <c r="J4946" s="3" t="inlineStr">
        <is>
          <t>강내면</t>
        </is>
      </c>
    </row>
    <row r="4947">
      <c r="A4947" s="3" t="n">
        <v>2022</v>
      </c>
      <c r="B4947" s="4" t="n">
        <v>23100</v>
      </c>
      <c r="C4947" s="4" t="n">
        <v>567</v>
      </c>
      <c r="D4947" s="4" t="n">
        <v>171.5175</v>
      </c>
      <c r="E4947" s="5" t="n">
        <v>134.7</v>
      </c>
      <c r="F4947" s="3" t="inlineStr">
        <is>
          <t>오송읍</t>
        </is>
      </c>
      <c r="G4947" s="3" t="inlineStr">
        <is>
          <t>정중리</t>
        </is>
      </c>
      <c r="H4947" s="3" t="inlineStr">
        <is>
          <t>생산관리지역</t>
        </is>
      </c>
      <c r="I4947" s="3" t="inlineStr">
        <is>
          <t>전</t>
        </is>
      </c>
      <c r="J4947" s="3" t="inlineStr">
        <is>
          <t>오송읍</t>
        </is>
      </c>
    </row>
    <row r="4948">
      <c r="A4948" s="3" t="n">
        <v>2022</v>
      </c>
      <c r="B4948" s="4" t="n">
        <v>30500</v>
      </c>
      <c r="C4948" s="4" t="n">
        <v>240.5</v>
      </c>
      <c r="D4948" s="4" t="n">
        <v>72.75125</v>
      </c>
      <c r="E4948" s="5" t="n">
        <v>419.2</v>
      </c>
      <c r="F4948" s="3" t="inlineStr">
        <is>
          <t>오송읍</t>
        </is>
      </c>
      <c r="G4948" s="3" t="inlineStr">
        <is>
          <t>봉산리</t>
        </is>
      </c>
      <c r="H4948" s="3" t="inlineStr">
        <is>
          <t>제1종일반주거지역</t>
        </is>
      </c>
      <c r="I4948" s="3" t="inlineStr">
        <is>
          <t>대</t>
        </is>
      </c>
      <c r="J4948" s="3" t="inlineStr">
        <is>
          <t>오송읍</t>
        </is>
      </c>
    </row>
    <row r="4949">
      <c r="A4949" s="3" t="n">
        <v>2023</v>
      </c>
      <c r="B4949" s="4" t="n">
        <v>11680</v>
      </c>
      <c r="C4949" s="4" t="n">
        <v>486</v>
      </c>
      <c r="D4949" s="4" t="n">
        <v>147.015</v>
      </c>
      <c r="E4949" s="5" t="n">
        <v>79.40000000000001</v>
      </c>
      <c r="F4949" s="3" t="inlineStr">
        <is>
          <t>남이면</t>
        </is>
      </c>
      <c r="G4949" s="3" t="inlineStr">
        <is>
          <t>구암리</t>
        </is>
      </c>
      <c r="H4949" s="3" t="inlineStr">
        <is>
          <t>자연녹지지역</t>
        </is>
      </c>
      <c r="I4949" s="3" t="inlineStr">
        <is>
          <t>답</t>
        </is>
      </c>
      <c r="J4949" s="3" t="inlineStr">
        <is>
          <t>남이면</t>
        </is>
      </c>
    </row>
    <row r="4950">
      <c r="A4950" s="3" t="n">
        <v>2023</v>
      </c>
      <c r="B4950" s="4" t="n">
        <v>700</v>
      </c>
      <c r="C4950" s="4" t="n">
        <v>32.3</v>
      </c>
      <c r="D4950" s="4" t="n">
        <v>9.77075</v>
      </c>
      <c r="E4950" s="5" t="n">
        <v>71.59999999999999</v>
      </c>
      <c r="F4950" s="3" t="inlineStr">
        <is>
          <t>남이면</t>
        </is>
      </c>
      <c r="G4950" s="3" t="inlineStr">
        <is>
          <t>구암리</t>
        </is>
      </c>
      <c r="H4950" s="3" t="inlineStr">
        <is>
          <t>자연녹지지역</t>
        </is>
      </c>
      <c r="I4950" s="3" t="inlineStr">
        <is>
          <t>답</t>
        </is>
      </c>
      <c r="J4950" s="3" t="inlineStr">
        <is>
          <t>남이면</t>
        </is>
      </c>
    </row>
    <row r="4951">
      <c r="A4951" s="3" t="n">
        <v>2023</v>
      </c>
      <c r="B4951" s="4" t="n">
        <v>4805</v>
      </c>
      <c r="C4951" s="4" t="n">
        <v>143</v>
      </c>
      <c r="D4951" s="4" t="n">
        <v>43.2575</v>
      </c>
      <c r="E4951" s="5" t="n">
        <v>111.1</v>
      </c>
      <c r="F4951" s="3" t="inlineStr">
        <is>
          <t>남이면</t>
        </is>
      </c>
      <c r="G4951" s="3" t="inlineStr">
        <is>
          <t>석판리</t>
        </is>
      </c>
      <c r="H4951" s="3" t="inlineStr">
        <is>
          <t>자연녹지지역</t>
        </is>
      </c>
      <c r="I4951" s="3" t="inlineStr">
        <is>
          <t>전</t>
        </is>
      </c>
      <c r="J4951" s="3" t="inlineStr">
        <is>
          <t>남이면</t>
        </is>
      </c>
    </row>
    <row r="4952">
      <c r="A4952" s="3" t="n">
        <v>2023</v>
      </c>
      <c r="B4952" s="4" t="n">
        <v>73986</v>
      </c>
      <c r="C4952" s="4" t="n">
        <v>3524</v>
      </c>
      <c r="D4952" s="4" t="n">
        <v>1066.01</v>
      </c>
      <c r="E4952" s="5" t="n">
        <v>69.40000000000001</v>
      </c>
      <c r="F4952" s="3" t="inlineStr">
        <is>
          <t>남이면</t>
        </is>
      </c>
      <c r="G4952" s="3" t="inlineStr">
        <is>
          <t>석판리</t>
        </is>
      </c>
      <c r="H4952" s="3" t="inlineStr">
        <is>
          <t>자연녹지지역</t>
        </is>
      </c>
      <c r="I4952" s="3" t="inlineStr">
        <is>
          <t>전</t>
        </is>
      </c>
      <c r="J4952" s="3" t="inlineStr">
        <is>
          <t>남이면</t>
        </is>
      </c>
    </row>
    <row r="4953">
      <c r="A4953" s="3" t="n">
        <v>2023</v>
      </c>
      <c r="B4953" s="4" t="n">
        <v>4724</v>
      </c>
      <c r="C4953" s="4" t="n">
        <v>225</v>
      </c>
      <c r="D4953" s="4" t="n">
        <v>68.0625</v>
      </c>
      <c r="E4953" s="5" t="n">
        <v>69.40000000000001</v>
      </c>
      <c r="F4953" s="3" t="inlineStr">
        <is>
          <t>남이면</t>
        </is>
      </c>
      <c r="G4953" s="3" t="inlineStr">
        <is>
          <t>석판리</t>
        </is>
      </c>
      <c r="H4953" s="3" t="inlineStr">
        <is>
          <t>자연녹지지역</t>
        </is>
      </c>
      <c r="I4953" s="3" t="inlineStr">
        <is>
          <t>전</t>
        </is>
      </c>
      <c r="J4953" s="3" t="inlineStr">
        <is>
          <t>남이면</t>
        </is>
      </c>
    </row>
    <row r="4954">
      <c r="A4954" s="3" t="n">
        <v>2023</v>
      </c>
      <c r="B4954" s="4" t="n">
        <v>20160</v>
      </c>
      <c r="C4954" s="4" t="n">
        <v>1388</v>
      </c>
      <c r="D4954" s="4" t="n">
        <v>419.87</v>
      </c>
      <c r="E4954" s="5" t="n">
        <v>48</v>
      </c>
      <c r="F4954" s="3" t="inlineStr">
        <is>
          <t>남이면</t>
        </is>
      </c>
      <c r="G4954" s="3" t="inlineStr">
        <is>
          <t>석판리</t>
        </is>
      </c>
      <c r="H4954" s="3" t="inlineStr">
        <is>
          <t>자연녹지지역</t>
        </is>
      </c>
      <c r="I4954" s="3" t="inlineStr">
        <is>
          <t>임야</t>
        </is>
      </c>
      <c r="J4954" s="3" t="inlineStr">
        <is>
          <t>남이면</t>
        </is>
      </c>
    </row>
    <row r="4955">
      <c r="A4955" s="3" t="n">
        <v>2023</v>
      </c>
      <c r="B4955" s="4" t="n">
        <v>1131</v>
      </c>
      <c r="C4955" s="4" t="n">
        <v>298</v>
      </c>
      <c r="D4955" s="4" t="n">
        <v>90.145</v>
      </c>
      <c r="E4955" s="5" t="n">
        <v>12.5</v>
      </c>
      <c r="F4955" s="3" t="inlineStr">
        <is>
          <t>남이면</t>
        </is>
      </c>
      <c r="G4955" s="3" t="inlineStr">
        <is>
          <t>석판리</t>
        </is>
      </c>
      <c r="H4955" s="3" t="inlineStr">
        <is>
          <t>보전녹지지역</t>
        </is>
      </c>
      <c r="I4955" s="3" t="inlineStr">
        <is>
          <t>임야</t>
        </is>
      </c>
      <c r="J4955" s="3" t="inlineStr">
        <is>
          <t>남이면</t>
        </is>
      </c>
    </row>
    <row r="4956">
      <c r="A4956" s="3" t="n">
        <v>2023</v>
      </c>
      <c r="B4956" s="4" t="n">
        <v>1114</v>
      </c>
      <c r="C4956" s="4" t="n">
        <v>62</v>
      </c>
      <c r="D4956" s="4" t="n">
        <v>18.755</v>
      </c>
      <c r="E4956" s="5" t="n">
        <v>59.4</v>
      </c>
      <c r="F4956" s="3" t="inlineStr">
        <is>
          <t>남이면</t>
        </is>
      </c>
      <c r="G4956" s="3" t="inlineStr">
        <is>
          <t>양촌리</t>
        </is>
      </c>
      <c r="H4956" s="3" t="inlineStr">
        <is>
          <t>자연녹지지역</t>
        </is>
      </c>
      <c r="I4956" s="3" t="inlineStr">
        <is>
          <t>전</t>
        </is>
      </c>
      <c r="J4956" s="3" t="inlineStr">
        <is>
          <t>남이면</t>
        </is>
      </c>
    </row>
    <row r="4957">
      <c r="A4957" s="3" t="n">
        <v>2023</v>
      </c>
      <c r="B4957" s="4" t="n">
        <v>4386</v>
      </c>
      <c r="C4957" s="4" t="n">
        <v>244</v>
      </c>
      <c r="D4957" s="4" t="n">
        <v>73.81</v>
      </c>
      <c r="E4957" s="5" t="n">
        <v>59.4</v>
      </c>
      <c r="F4957" s="3" t="inlineStr">
        <is>
          <t>남이면</t>
        </is>
      </c>
      <c r="G4957" s="3" t="inlineStr">
        <is>
          <t>양촌리</t>
        </is>
      </c>
      <c r="H4957" s="3" t="inlineStr">
        <is>
          <t>자연녹지지역</t>
        </is>
      </c>
      <c r="I4957" s="3" t="inlineStr">
        <is>
          <t>전</t>
        </is>
      </c>
      <c r="J4957" s="3" t="inlineStr">
        <is>
          <t>남이면</t>
        </is>
      </c>
    </row>
    <row r="4958">
      <c r="A4958" s="3" t="n">
        <v>2023</v>
      </c>
      <c r="B4958" s="4" t="n">
        <v>67000</v>
      </c>
      <c r="C4958" s="4" t="n">
        <v>26916</v>
      </c>
      <c r="D4958" s="4" t="n">
        <v>8142.09</v>
      </c>
      <c r="E4958" s="5" t="n">
        <v>8.199999999999999</v>
      </c>
      <c r="F4958" s="3" t="inlineStr">
        <is>
          <t>남이면</t>
        </is>
      </c>
      <c r="G4958" s="3" t="inlineStr">
        <is>
          <t>석실리</t>
        </is>
      </c>
      <c r="H4958" s="3" t="inlineStr">
        <is>
          <t>보전녹지지역</t>
        </is>
      </c>
      <c r="I4958" s="3" t="inlineStr">
        <is>
          <t>임야</t>
        </is>
      </c>
      <c r="J4958" s="3" t="inlineStr">
        <is>
          <t>남이면</t>
        </is>
      </c>
    </row>
    <row r="4959">
      <c r="A4959" s="3" t="n">
        <v>2023</v>
      </c>
      <c r="B4959" s="4" t="n">
        <v>6473</v>
      </c>
      <c r="C4959" s="4" t="n">
        <v>899</v>
      </c>
      <c r="D4959" s="4" t="n">
        <v>271.9475</v>
      </c>
      <c r="E4959" s="5" t="n">
        <v>23.8</v>
      </c>
      <c r="F4959" s="3" t="inlineStr">
        <is>
          <t>남이면</t>
        </is>
      </c>
      <c r="G4959" s="3" t="inlineStr">
        <is>
          <t>척산리</t>
        </is>
      </c>
      <c r="H4959" s="3" t="inlineStr">
        <is>
          <t>보전관리지역</t>
        </is>
      </c>
      <c r="I4959" s="3" t="inlineStr">
        <is>
          <t>잡종지</t>
        </is>
      </c>
      <c r="J4959" s="3" t="inlineStr">
        <is>
          <t>남이면</t>
        </is>
      </c>
    </row>
    <row r="4960">
      <c r="A4960" s="3" t="n">
        <v>2025</v>
      </c>
      <c r="B4960" s="4" t="n">
        <v>38800</v>
      </c>
      <c r="C4960" s="4" t="n">
        <v>1973.5</v>
      </c>
      <c r="D4960" s="4" t="n">
        <v>596.98375</v>
      </c>
      <c r="E4960" s="5" t="n">
        <v>65</v>
      </c>
      <c r="F4960" s="3" t="inlineStr">
        <is>
          <t>남이면</t>
        </is>
      </c>
      <c r="G4960" s="3" t="inlineStr">
        <is>
          <t>가좌리</t>
        </is>
      </c>
      <c r="H4960" s="3" t="inlineStr">
        <is>
          <t>자연녹지지역</t>
        </is>
      </c>
      <c r="I4960" s="3" t="inlineStr">
        <is>
          <t>답</t>
        </is>
      </c>
      <c r="J4960" s="3" t="inlineStr">
        <is>
          <t>남이면</t>
        </is>
      </c>
    </row>
    <row r="4961">
      <c r="A4961" s="3" t="n">
        <v>2022</v>
      </c>
      <c r="B4961" s="4" t="n">
        <v>25560</v>
      </c>
      <c r="C4961" s="4" t="n">
        <v>995</v>
      </c>
      <c r="D4961" s="4" t="n">
        <v>300.9875</v>
      </c>
      <c r="E4961" s="5" t="n">
        <v>84.90000000000001</v>
      </c>
      <c r="F4961" s="3" t="inlineStr">
        <is>
          <t>남이면</t>
        </is>
      </c>
      <c r="G4961" s="3" t="inlineStr">
        <is>
          <t>외천리</t>
        </is>
      </c>
      <c r="H4961" s="3" t="inlineStr">
        <is>
          <t>생산관리지역</t>
        </is>
      </c>
      <c r="I4961" s="3" t="inlineStr">
        <is>
          <t>답</t>
        </is>
      </c>
      <c r="J4961" s="3" t="inlineStr">
        <is>
          <t>남이면</t>
        </is>
      </c>
    </row>
    <row r="4962">
      <c r="A4962" s="3" t="n">
        <v>2022</v>
      </c>
      <c r="B4962" s="4" t="n">
        <v>5200</v>
      </c>
      <c r="C4962" s="4" t="n">
        <v>203</v>
      </c>
      <c r="D4962" s="4" t="n">
        <v>61.4075</v>
      </c>
      <c r="E4962" s="5" t="n">
        <v>84.7</v>
      </c>
      <c r="F4962" s="3" t="inlineStr">
        <is>
          <t>남이면</t>
        </is>
      </c>
      <c r="G4962" s="3" t="inlineStr">
        <is>
          <t>외천리</t>
        </is>
      </c>
      <c r="H4962" s="3" t="inlineStr">
        <is>
          <t>생산관리지역</t>
        </is>
      </c>
      <c r="I4962" s="3" t="inlineStr">
        <is>
          <t>답</t>
        </is>
      </c>
      <c r="J4962" s="3" t="inlineStr">
        <is>
          <t>남이면</t>
        </is>
      </c>
    </row>
    <row r="4963">
      <c r="A4963" s="3" t="n">
        <v>2022</v>
      </c>
      <c r="B4963" s="4" t="n">
        <v>110</v>
      </c>
      <c r="C4963" s="4" t="n">
        <v>4</v>
      </c>
      <c r="D4963" s="4" t="n">
        <v>1.21</v>
      </c>
      <c r="E4963" s="5" t="n">
        <v>90.90000000000001</v>
      </c>
      <c r="F4963" s="3" t="inlineStr">
        <is>
          <t>남이면</t>
        </is>
      </c>
      <c r="G4963" s="3" t="inlineStr">
        <is>
          <t>외천리</t>
        </is>
      </c>
      <c r="H4963" s="3" t="inlineStr">
        <is>
          <t>생산관리지역</t>
        </is>
      </c>
      <c r="I4963" s="3" t="inlineStr">
        <is>
          <t>답</t>
        </is>
      </c>
      <c r="J4963" s="3" t="inlineStr">
        <is>
          <t>남이면</t>
        </is>
      </c>
    </row>
    <row r="4964">
      <c r="A4964" s="3" t="n">
        <v>2022</v>
      </c>
      <c r="B4964" s="4" t="n">
        <v>33530</v>
      </c>
      <c r="C4964" s="4" t="n">
        <v>1305</v>
      </c>
      <c r="D4964" s="4" t="n">
        <v>394.7625</v>
      </c>
      <c r="E4964" s="5" t="n">
        <v>84.90000000000001</v>
      </c>
      <c r="F4964" s="3" t="inlineStr">
        <is>
          <t>남이면</t>
        </is>
      </c>
      <c r="G4964" s="3" t="inlineStr">
        <is>
          <t>외천리</t>
        </is>
      </c>
      <c r="H4964" s="3" t="inlineStr">
        <is>
          <t>생산관리지역</t>
        </is>
      </c>
      <c r="I4964" s="3" t="inlineStr">
        <is>
          <t>답</t>
        </is>
      </c>
      <c r="J4964" s="3" t="inlineStr">
        <is>
          <t>남이면</t>
        </is>
      </c>
    </row>
    <row r="4965">
      <c r="A4965" s="3" t="n">
        <v>2022</v>
      </c>
      <c r="B4965" s="4" t="n">
        <v>3720</v>
      </c>
      <c r="C4965" s="4" t="n">
        <v>80</v>
      </c>
      <c r="D4965" s="4" t="n">
        <v>24.2</v>
      </c>
      <c r="E4965" s="5" t="n">
        <v>153.7</v>
      </c>
      <c r="F4965" s="3" t="inlineStr">
        <is>
          <t>남이면</t>
        </is>
      </c>
      <c r="G4965" s="3" t="inlineStr">
        <is>
          <t>석실리</t>
        </is>
      </c>
      <c r="H4965" s="3" t="inlineStr">
        <is>
          <t>자연녹지지역</t>
        </is>
      </c>
      <c r="I4965" s="3" t="inlineStr">
        <is>
          <t>공장용지</t>
        </is>
      </c>
      <c r="J4965" s="3" t="inlineStr">
        <is>
          <t>남이면</t>
        </is>
      </c>
    </row>
    <row r="4966">
      <c r="A4966" s="3" t="n">
        <v>2022</v>
      </c>
      <c r="B4966" s="4" t="n">
        <v>8243</v>
      </c>
      <c r="C4966" s="4" t="n">
        <v>594</v>
      </c>
      <c r="D4966" s="4" t="n">
        <v>179.685</v>
      </c>
      <c r="E4966" s="5" t="n">
        <v>45.9</v>
      </c>
      <c r="F4966" s="3" t="inlineStr">
        <is>
          <t>남이면</t>
        </is>
      </c>
      <c r="G4966" s="3" t="inlineStr">
        <is>
          <t>석실리</t>
        </is>
      </c>
      <c r="H4966" s="3" t="inlineStr">
        <is>
          <t>자연녹지지역</t>
        </is>
      </c>
      <c r="I4966" s="3" t="inlineStr">
        <is>
          <t>답</t>
        </is>
      </c>
      <c r="J4966" s="3" t="inlineStr">
        <is>
          <t>남이면</t>
        </is>
      </c>
    </row>
    <row r="4967">
      <c r="A4967" s="3" t="n">
        <v>2022</v>
      </c>
      <c r="B4967" s="4" t="n">
        <v>39700</v>
      </c>
      <c r="C4967" s="4" t="n">
        <v>1544</v>
      </c>
      <c r="D4967" s="4" t="n">
        <v>467.06</v>
      </c>
      <c r="E4967" s="5" t="n">
        <v>85</v>
      </c>
      <c r="F4967" s="3" t="inlineStr">
        <is>
          <t>남이면</t>
        </is>
      </c>
      <c r="G4967" s="3" t="inlineStr">
        <is>
          <t>팔봉리</t>
        </is>
      </c>
      <c r="H4967" s="3" t="inlineStr">
        <is>
          <t>자연녹지지역</t>
        </is>
      </c>
      <c r="I4967" s="3" t="inlineStr">
        <is>
          <t>전</t>
        </is>
      </c>
      <c r="J4967" s="3" t="inlineStr">
        <is>
          <t>남이면</t>
        </is>
      </c>
    </row>
    <row r="4968">
      <c r="A4968" s="3" t="n">
        <v>2022</v>
      </c>
      <c r="B4968" s="4" t="n">
        <v>39700</v>
      </c>
      <c r="C4968" s="4" t="n">
        <v>1544</v>
      </c>
      <c r="D4968" s="4" t="n">
        <v>467.06</v>
      </c>
      <c r="E4968" s="5" t="n">
        <v>85</v>
      </c>
      <c r="F4968" s="3" t="inlineStr">
        <is>
          <t>남이면</t>
        </is>
      </c>
      <c r="G4968" s="3" t="inlineStr">
        <is>
          <t>팔봉리</t>
        </is>
      </c>
      <c r="H4968" s="3" t="inlineStr">
        <is>
          <t>자연녹지지역</t>
        </is>
      </c>
      <c r="I4968" s="3" t="inlineStr">
        <is>
          <t>전</t>
        </is>
      </c>
      <c r="J4968" s="3" t="inlineStr">
        <is>
          <t>남이면</t>
        </is>
      </c>
    </row>
    <row r="4969">
      <c r="A4969" s="3" t="n">
        <v>2022</v>
      </c>
      <c r="B4969" s="4" t="n">
        <v>9670</v>
      </c>
      <c r="C4969" s="4" t="n">
        <v>213</v>
      </c>
      <c r="D4969" s="4" t="n">
        <v>64.4325</v>
      </c>
      <c r="E4969" s="5" t="n">
        <v>150.1</v>
      </c>
      <c r="F4969" s="3" t="inlineStr">
        <is>
          <t>남이면</t>
        </is>
      </c>
      <c r="G4969" s="3" t="inlineStr">
        <is>
          <t>가마리</t>
        </is>
      </c>
      <c r="H4969" s="3" t="inlineStr">
        <is>
          <t>자연녹지지역</t>
        </is>
      </c>
      <c r="I4969" s="3" t="inlineStr">
        <is>
          <t>전</t>
        </is>
      </c>
      <c r="J4969" s="3" t="inlineStr">
        <is>
          <t>남이면</t>
        </is>
      </c>
    </row>
    <row r="4970">
      <c r="A4970" s="3" t="n">
        <v>2022</v>
      </c>
      <c r="B4970" s="4" t="n">
        <v>113200</v>
      </c>
      <c r="C4970" s="4" t="n">
        <v>2495</v>
      </c>
      <c r="D4970" s="4" t="n">
        <v>754.7375</v>
      </c>
      <c r="E4970" s="5" t="n">
        <v>150</v>
      </c>
      <c r="F4970" s="3" t="inlineStr">
        <is>
          <t>남이면</t>
        </is>
      </c>
      <c r="G4970" s="3" t="inlineStr">
        <is>
          <t>가마리</t>
        </is>
      </c>
      <c r="H4970" s="3" t="inlineStr">
        <is>
          <t>자연녹지지역</t>
        </is>
      </c>
      <c r="I4970" s="3" t="inlineStr">
        <is>
          <t>전</t>
        </is>
      </c>
      <c r="J4970" s="3" t="inlineStr">
        <is>
          <t>남이면</t>
        </is>
      </c>
    </row>
    <row r="4971">
      <c r="A4971" s="3" t="n">
        <v>2024</v>
      </c>
      <c r="B4971" s="4" t="n">
        <v>417</v>
      </c>
      <c r="C4971" s="4" t="n">
        <v>10</v>
      </c>
      <c r="D4971" s="4" t="n">
        <v>3.025</v>
      </c>
      <c r="E4971" s="5" t="n">
        <v>137.9</v>
      </c>
      <c r="F4971" s="3" t="inlineStr">
        <is>
          <t>남이면</t>
        </is>
      </c>
      <c r="G4971" s="3" t="inlineStr">
        <is>
          <t>양촌리</t>
        </is>
      </c>
      <c r="H4971" s="3" t="inlineStr">
        <is>
          <t>자연녹지지역</t>
        </is>
      </c>
      <c r="I4971" s="3" t="inlineStr">
        <is>
          <t>임야</t>
        </is>
      </c>
      <c r="J4971" s="3" t="inlineStr">
        <is>
          <t>남이면</t>
        </is>
      </c>
    </row>
    <row r="4972">
      <c r="A4972" s="3" t="n">
        <v>2024</v>
      </c>
      <c r="B4972" s="4" t="n">
        <v>42000</v>
      </c>
      <c r="C4972" s="4" t="n">
        <v>2062</v>
      </c>
      <c r="D4972" s="4" t="n">
        <v>623.755</v>
      </c>
      <c r="E4972" s="5" t="n">
        <v>67.3</v>
      </c>
      <c r="F4972" s="3" t="inlineStr">
        <is>
          <t>남이면</t>
        </is>
      </c>
      <c r="G4972" s="3" t="inlineStr">
        <is>
          <t>상발리</t>
        </is>
      </c>
      <c r="H4972" s="3" t="inlineStr">
        <is>
          <t>자연녹지지역</t>
        </is>
      </c>
      <c r="I4972" s="3" t="inlineStr">
        <is>
          <t>답</t>
        </is>
      </c>
      <c r="J4972" s="3" t="inlineStr">
        <is>
          <t>남이면</t>
        </is>
      </c>
    </row>
    <row r="4973">
      <c r="A4973" s="3" t="n">
        <v>2024</v>
      </c>
      <c r="B4973" s="4" t="n">
        <v>72000</v>
      </c>
      <c r="C4973" s="4" t="n">
        <v>2025.1</v>
      </c>
      <c r="D4973" s="4" t="n">
        <v>612.5927499999999</v>
      </c>
      <c r="E4973" s="5" t="n">
        <v>117.5</v>
      </c>
      <c r="F4973" s="3" t="inlineStr">
        <is>
          <t>남이면</t>
        </is>
      </c>
      <c r="G4973" s="3" t="inlineStr">
        <is>
          <t>가좌리</t>
        </is>
      </c>
      <c r="H4973" s="3" t="inlineStr">
        <is>
          <t>자연녹지지역</t>
        </is>
      </c>
      <c r="I4973" s="3" t="inlineStr">
        <is>
          <t>답</t>
        </is>
      </c>
      <c r="J4973" s="3" t="inlineStr">
        <is>
          <t>남이면</t>
        </is>
      </c>
    </row>
    <row r="4974">
      <c r="A4974" s="3" t="n">
        <v>2024</v>
      </c>
      <c r="B4974" s="4" t="n">
        <v>36000</v>
      </c>
      <c r="C4974" s="4" t="n">
        <v>1041</v>
      </c>
      <c r="D4974" s="4" t="n">
        <v>314.9025</v>
      </c>
      <c r="E4974" s="5" t="n">
        <v>114.3</v>
      </c>
      <c r="F4974" s="3" t="inlineStr">
        <is>
          <t>남이면</t>
        </is>
      </c>
      <c r="G4974" s="3" t="inlineStr">
        <is>
          <t>가좌리</t>
        </is>
      </c>
      <c r="H4974" s="3" t="inlineStr">
        <is>
          <t>자연녹지지역</t>
        </is>
      </c>
      <c r="I4974" s="3" t="inlineStr">
        <is>
          <t>답</t>
        </is>
      </c>
      <c r="J4974" s="3" t="inlineStr">
        <is>
          <t>남이면</t>
        </is>
      </c>
    </row>
    <row r="4975">
      <c r="A4975" s="3" t="n">
        <v>2024</v>
      </c>
      <c r="B4975" s="4" t="n">
        <v>4592</v>
      </c>
      <c r="C4975" s="4" t="n">
        <v>251</v>
      </c>
      <c r="D4975" s="4" t="n">
        <v>75.92749999999999</v>
      </c>
      <c r="E4975" s="5" t="n">
        <v>60.5</v>
      </c>
      <c r="F4975" s="3" t="inlineStr">
        <is>
          <t>남이면</t>
        </is>
      </c>
      <c r="G4975" s="3" t="inlineStr">
        <is>
          <t>양촌리</t>
        </is>
      </c>
      <c r="H4975" s="3" t="inlineStr">
        <is>
          <t>자연녹지지역</t>
        </is>
      </c>
      <c r="I4975" s="3" t="inlineStr">
        <is>
          <t>대</t>
        </is>
      </c>
      <c r="J4975" s="3" t="inlineStr">
        <is>
          <t>남이면</t>
        </is>
      </c>
    </row>
    <row r="4976">
      <c r="A4976" s="3" t="n">
        <v>2026</v>
      </c>
      <c r="B4976" s="4" t="n">
        <v>10000</v>
      </c>
      <c r="C4976" s="4" t="n">
        <v>351</v>
      </c>
      <c r="D4976" s="4" t="n">
        <v>106.1775</v>
      </c>
      <c r="E4976" s="5" t="n">
        <v>94.2</v>
      </c>
      <c r="F4976" s="3" t="inlineStr">
        <is>
          <t>강내면</t>
        </is>
      </c>
      <c r="G4976" s="3" t="inlineStr">
        <is>
          <t>사인리</t>
        </is>
      </c>
      <c r="H4976" s="3" t="inlineStr">
        <is>
          <t>자연녹지지역</t>
        </is>
      </c>
      <c r="I4976" s="3" t="inlineStr">
        <is>
          <t>대</t>
        </is>
      </c>
      <c r="J4976" s="3" t="inlineStr">
        <is>
          <t>강내면</t>
        </is>
      </c>
    </row>
    <row r="4977">
      <c r="A4977" s="3" t="n">
        <v>2026</v>
      </c>
      <c r="B4977" s="4" t="n">
        <v>45000</v>
      </c>
      <c r="C4977" s="4" t="n">
        <v>2004</v>
      </c>
      <c r="D4977" s="4" t="n">
        <v>606.21</v>
      </c>
      <c r="E4977" s="5" t="n">
        <v>74.2</v>
      </c>
      <c r="F4977" s="3" t="inlineStr">
        <is>
          <t>오송읍</t>
        </is>
      </c>
      <c r="G4977" s="3" t="inlineStr">
        <is>
          <t>궁평리</t>
        </is>
      </c>
      <c r="H4977" s="3" t="inlineStr">
        <is>
          <t>농림지역</t>
        </is>
      </c>
      <c r="I4977" s="3" t="inlineStr">
        <is>
          <t>답</t>
        </is>
      </c>
      <c r="J4977" s="3" t="inlineStr">
        <is>
          <t>오송읍</t>
        </is>
      </c>
    </row>
    <row r="4978">
      <c r="A4978" s="3" t="n">
        <v>2022</v>
      </c>
      <c r="B4978" s="4" t="n">
        <v>5750</v>
      </c>
      <c r="C4978" s="4" t="n">
        <v>179</v>
      </c>
      <c r="D4978" s="4" t="n">
        <v>54.1475</v>
      </c>
      <c r="E4978" s="5" t="n">
        <v>106.2</v>
      </c>
      <c r="F4978" s="3" t="inlineStr">
        <is>
          <t>남이면</t>
        </is>
      </c>
      <c r="G4978" s="3" t="inlineStr">
        <is>
          <t>부용외천리</t>
        </is>
      </c>
      <c r="H4978" s="3" t="inlineStr">
        <is>
          <t>계획관리지역</t>
        </is>
      </c>
      <c r="I4978" s="3" t="inlineStr">
        <is>
          <t>답</t>
        </is>
      </c>
      <c r="J4978" s="3" t="inlineStr">
        <is>
          <t>남이면</t>
        </is>
      </c>
    </row>
    <row r="4979">
      <c r="A4979" s="3" t="n">
        <v>2022</v>
      </c>
      <c r="B4979" s="4" t="n">
        <v>942396</v>
      </c>
      <c r="C4979" s="4" t="n">
        <v>28376</v>
      </c>
      <c r="D4979" s="4" t="n">
        <v>8583.74</v>
      </c>
      <c r="E4979" s="5" t="n">
        <v>109.8</v>
      </c>
      <c r="F4979" s="3" t="inlineStr">
        <is>
          <t>남이면</t>
        </is>
      </c>
      <c r="G4979" s="3" t="inlineStr">
        <is>
          <t>부용외천리</t>
        </is>
      </c>
      <c r="H4979" s="3" t="inlineStr">
        <is>
          <t>계획관리지역</t>
        </is>
      </c>
      <c r="I4979" s="3" t="inlineStr">
        <is>
          <t>창고용지</t>
        </is>
      </c>
      <c r="J4979" s="3" t="inlineStr">
        <is>
          <t>남이면</t>
        </is>
      </c>
    </row>
    <row r="4980">
      <c r="A4980" s="3" t="n">
        <v>2022</v>
      </c>
      <c r="B4980" s="4" t="n">
        <v>299218</v>
      </c>
      <c r="C4980" s="4" t="n">
        <v>8747</v>
      </c>
      <c r="D4980" s="4" t="n">
        <v>2645.9675</v>
      </c>
      <c r="E4980" s="5" t="n">
        <v>113.1</v>
      </c>
      <c r="F4980" s="3" t="inlineStr">
        <is>
          <t>남이면</t>
        </is>
      </c>
      <c r="G4980" s="3" t="inlineStr">
        <is>
          <t>부용외천리</t>
        </is>
      </c>
      <c r="H4980" s="3" t="inlineStr">
        <is>
          <t>계획관리지역</t>
        </is>
      </c>
      <c r="I4980" s="3" t="inlineStr">
        <is>
          <t>창고용지</t>
        </is>
      </c>
      <c r="J4980" s="3" t="inlineStr">
        <is>
          <t>남이면</t>
        </is>
      </c>
    </row>
    <row r="4981">
      <c r="A4981" s="3" t="n">
        <v>2022</v>
      </c>
      <c r="B4981" s="4" t="n">
        <v>124654</v>
      </c>
      <c r="C4981" s="4" t="n">
        <v>3644</v>
      </c>
      <c r="D4981" s="4" t="n">
        <v>1102.31</v>
      </c>
      <c r="E4981" s="5" t="n">
        <v>113.1</v>
      </c>
      <c r="F4981" s="3" t="inlineStr">
        <is>
          <t>남이면</t>
        </is>
      </c>
      <c r="G4981" s="3" t="inlineStr">
        <is>
          <t>부용외천리</t>
        </is>
      </c>
      <c r="H4981" s="3" t="inlineStr">
        <is>
          <t>계획관리지역</t>
        </is>
      </c>
      <c r="I4981" s="3" t="inlineStr">
        <is>
          <t>창고용지</t>
        </is>
      </c>
      <c r="J4981" s="3" t="inlineStr">
        <is>
          <t>남이면</t>
        </is>
      </c>
    </row>
    <row r="4982">
      <c r="A4982" s="3" t="n">
        <v>2022</v>
      </c>
      <c r="B4982" s="4" t="n">
        <v>236617</v>
      </c>
      <c r="C4982" s="4" t="n">
        <v>6917</v>
      </c>
      <c r="D4982" s="4" t="n">
        <v>2092.3925</v>
      </c>
      <c r="E4982" s="5" t="n">
        <v>113.1</v>
      </c>
      <c r="F4982" s="3" t="inlineStr">
        <is>
          <t>남이면</t>
        </is>
      </c>
      <c r="G4982" s="3" t="inlineStr">
        <is>
          <t>부용외천리</t>
        </is>
      </c>
      <c r="H4982" s="3" t="inlineStr">
        <is>
          <t>계획관리지역</t>
        </is>
      </c>
      <c r="I4982" s="3" t="inlineStr">
        <is>
          <t>창고용지</t>
        </is>
      </c>
      <c r="J4982" s="3" t="inlineStr">
        <is>
          <t>남이면</t>
        </is>
      </c>
    </row>
    <row r="4983">
      <c r="A4983" s="3" t="n">
        <v>2022</v>
      </c>
      <c r="B4983" s="4" t="n">
        <v>88257</v>
      </c>
      <c r="C4983" s="4" t="n">
        <v>2580</v>
      </c>
      <c r="D4983" s="4" t="n">
        <v>780.4499999999999</v>
      </c>
      <c r="E4983" s="5" t="n">
        <v>113.1</v>
      </c>
      <c r="F4983" s="3" t="inlineStr">
        <is>
          <t>남이면</t>
        </is>
      </c>
      <c r="G4983" s="3" t="inlineStr">
        <is>
          <t>부용외천리</t>
        </is>
      </c>
      <c r="H4983" s="3" t="inlineStr">
        <is>
          <t>계획관리지역</t>
        </is>
      </c>
      <c r="I4983" s="3" t="inlineStr">
        <is>
          <t>창고용지</t>
        </is>
      </c>
      <c r="J4983" s="3" t="inlineStr">
        <is>
          <t>남이면</t>
        </is>
      </c>
    </row>
    <row r="4984">
      <c r="A4984" s="3" t="n">
        <v>2022</v>
      </c>
      <c r="B4984" s="4" t="n">
        <v>185218</v>
      </c>
      <c r="C4984" s="4" t="n">
        <v>5577</v>
      </c>
      <c r="D4984" s="4" t="n">
        <v>1687.0425</v>
      </c>
      <c r="E4984" s="5" t="n">
        <v>109.8</v>
      </c>
      <c r="F4984" s="3" t="inlineStr">
        <is>
          <t>남이면</t>
        </is>
      </c>
      <c r="G4984" s="3" t="inlineStr">
        <is>
          <t>부용외천리</t>
        </is>
      </c>
      <c r="H4984" s="3" t="inlineStr">
        <is>
          <t>계획관리지역</t>
        </is>
      </c>
      <c r="I4984" s="3" t="inlineStr">
        <is>
          <t>창고용지</t>
        </is>
      </c>
      <c r="J4984" s="3" t="inlineStr">
        <is>
          <t>남이면</t>
        </is>
      </c>
    </row>
    <row r="4985">
      <c r="A4985" s="3" t="n">
        <v>2022</v>
      </c>
      <c r="B4985" s="4" t="n">
        <v>165430</v>
      </c>
      <c r="C4985" s="4" t="n">
        <v>4836</v>
      </c>
      <c r="D4985" s="4" t="n">
        <v>1462.89</v>
      </c>
      <c r="E4985" s="5" t="n">
        <v>113.1</v>
      </c>
      <c r="F4985" s="3" t="inlineStr">
        <is>
          <t>남이면</t>
        </is>
      </c>
      <c r="G4985" s="3" t="inlineStr">
        <is>
          <t>부용외천리</t>
        </is>
      </c>
      <c r="H4985" s="3" t="inlineStr">
        <is>
          <t>계획관리지역</t>
        </is>
      </c>
      <c r="I4985" s="3" t="inlineStr">
        <is>
          <t>창고용지</t>
        </is>
      </c>
      <c r="J4985" s="3" t="inlineStr">
        <is>
          <t>남이면</t>
        </is>
      </c>
    </row>
    <row r="4986">
      <c r="A4986" s="3" t="n">
        <v>2022</v>
      </c>
      <c r="B4986" s="4" t="n">
        <v>437521</v>
      </c>
      <c r="C4986" s="4" t="n">
        <v>12790</v>
      </c>
      <c r="D4986" s="4" t="n">
        <v>3868.975</v>
      </c>
      <c r="E4986" s="5" t="n">
        <v>113.1</v>
      </c>
      <c r="F4986" s="3" t="inlineStr">
        <is>
          <t>남이면</t>
        </is>
      </c>
      <c r="G4986" s="3" t="inlineStr">
        <is>
          <t>부용외천리</t>
        </is>
      </c>
      <c r="H4986" s="3" t="inlineStr">
        <is>
          <t>계획관리지역</t>
        </is>
      </c>
      <c r="I4986" s="3" t="inlineStr">
        <is>
          <t>창고용지</t>
        </is>
      </c>
      <c r="J4986" s="3" t="inlineStr">
        <is>
          <t>남이면</t>
        </is>
      </c>
    </row>
    <row r="4987">
      <c r="A4987" s="3" t="n">
        <v>2022</v>
      </c>
      <c r="B4987" s="4" t="n">
        <v>186468</v>
      </c>
      <c r="C4987" s="4" t="n">
        <v>5451</v>
      </c>
      <c r="D4987" s="4" t="n">
        <v>1648.9275</v>
      </c>
      <c r="E4987" s="5" t="n">
        <v>113.1</v>
      </c>
      <c r="F4987" s="3" t="inlineStr">
        <is>
          <t>남이면</t>
        </is>
      </c>
      <c r="G4987" s="3" t="inlineStr">
        <is>
          <t>부용외천리</t>
        </is>
      </c>
      <c r="H4987" s="3" t="inlineStr">
        <is>
          <t>계획관리지역</t>
        </is>
      </c>
      <c r="I4987" s="3" t="inlineStr">
        <is>
          <t>창고용지</t>
        </is>
      </c>
      <c r="J4987" s="3" t="inlineStr">
        <is>
          <t>남이면</t>
        </is>
      </c>
    </row>
    <row r="4988">
      <c r="A4988" s="3" t="n">
        <v>2022</v>
      </c>
      <c r="B4988" s="4" t="n">
        <v>2442</v>
      </c>
      <c r="C4988" s="4" t="n">
        <v>76</v>
      </c>
      <c r="D4988" s="4" t="n">
        <v>22.99</v>
      </c>
      <c r="E4988" s="5" t="n">
        <v>106.2</v>
      </c>
      <c r="F4988" s="3" t="inlineStr">
        <is>
          <t>남이면</t>
        </is>
      </c>
      <c r="G4988" s="3" t="inlineStr">
        <is>
          <t>부용외천리</t>
        </is>
      </c>
      <c r="H4988" s="3" t="inlineStr">
        <is>
          <t>계획관리지역</t>
        </is>
      </c>
      <c r="I4988" s="3" t="inlineStr">
        <is>
          <t>답</t>
        </is>
      </c>
      <c r="J4988" s="3" t="inlineStr">
        <is>
          <t>남이면</t>
        </is>
      </c>
    </row>
    <row r="4989">
      <c r="A4989" s="3" t="n">
        <v>2022</v>
      </c>
      <c r="B4989" s="4" t="n">
        <v>39700</v>
      </c>
      <c r="C4989" s="4" t="n">
        <v>5058</v>
      </c>
      <c r="D4989" s="4" t="n">
        <v>1530.045</v>
      </c>
      <c r="E4989" s="5" t="n">
        <v>25.9</v>
      </c>
      <c r="F4989" s="3" t="inlineStr">
        <is>
          <t>남이면</t>
        </is>
      </c>
      <c r="G4989" s="3" t="inlineStr">
        <is>
          <t>구미리</t>
        </is>
      </c>
      <c r="H4989" s="3" t="inlineStr">
        <is>
          <t>농림지역</t>
        </is>
      </c>
      <c r="I4989" s="3" t="inlineStr">
        <is>
          <t>답</t>
        </is>
      </c>
      <c r="J4989" s="3" t="inlineStr">
        <is>
          <t>남이면</t>
        </is>
      </c>
    </row>
    <row r="4990">
      <c r="A4990" s="3" t="n">
        <v>2022</v>
      </c>
      <c r="B4990" s="4" t="n">
        <v>1105</v>
      </c>
      <c r="C4990" s="4" t="n">
        <v>83.95</v>
      </c>
      <c r="D4990" s="4" t="n">
        <v>25.394875</v>
      </c>
      <c r="E4990" s="5" t="n">
        <v>43.5</v>
      </c>
      <c r="F4990" s="3" t="inlineStr">
        <is>
          <t>남이면</t>
        </is>
      </c>
      <c r="G4990" s="3" t="inlineStr">
        <is>
          <t>구미리</t>
        </is>
      </c>
      <c r="H4990" s="3" t="inlineStr">
        <is>
          <t>계획관리지역</t>
        </is>
      </c>
      <c r="I4990" s="3" t="inlineStr">
        <is>
          <t>도로</t>
        </is>
      </c>
      <c r="J4990" s="3" t="inlineStr">
        <is>
          <t>남이면</t>
        </is>
      </c>
    </row>
    <row r="4991">
      <c r="A4991" s="3" t="n">
        <v>2022</v>
      </c>
      <c r="B4991" s="4" t="n">
        <v>159</v>
      </c>
      <c r="C4991" s="4" t="n">
        <v>12.1</v>
      </c>
      <c r="D4991" s="4" t="n">
        <v>3.66025</v>
      </c>
      <c r="E4991" s="5" t="n">
        <v>43.4</v>
      </c>
      <c r="F4991" s="3" t="inlineStr">
        <is>
          <t>남이면</t>
        </is>
      </c>
      <c r="G4991" s="3" t="inlineStr">
        <is>
          <t>구미리</t>
        </is>
      </c>
      <c r="H4991" s="3" t="inlineStr">
        <is>
          <t>계획관리지역</t>
        </is>
      </c>
      <c r="I4991" s="3" t="inlineStr">
        <is>
          <t>도로</t>
        </is>
      </c>
      <c r="J4991" s="3" t="inlineStr">
        <is>
          <t>남이면</t>
        </is>
      </c>
    </row>
    <row r="4992">
      <c r="A4992" s="3" t="n">
        <v>2022</v>
      </c>
      <c r="B4992" s="4" t="n">
        <v>166</v>
      </c>
      <c r="C4992" s="4" t="n">
        <v>12.58</v>
      </c>
      <c r="D4992" s="4" t="n">
        <v>3.80545</v>
      </c>
      <c r="E4992" s="5" t="n">
        <v>43.6</v>
      </c>
      <c r="F4992" s="3" t="inlineStr">
        <is>
          <t>남이면</t>
        </is>
      </c>
      <c r="G4992" s="3" t="inlineStr">
        <is>
          <t>구미리</t>
        </is>
      </c>
      <c r="H4992" s="3" t="inlineStr">
        <is>
          <t>계획관리지역</t>
        </is>
      </c>
      <c r="I4992" s="3" t="inlineStr">
        <is>
          <t>도로</t>
        </is>
      </c>
      <c r="J4992" s="3" t="inlineStr">
        <is>
          <t>남이면</t>
        </is>
      </c>
    </row>
    <row r="4993">
      <c r="A4993" s="3" t="n">
        <v>2022</v>
      </c>
      <c r="B4993" s="4" t="n">
        <v>1124</v>
      </c>
      <c r="C4993" s="4" t="n">
        <v>85</v>
      </c>
      <c r="D4993" s="4" t="n">
        <v>25.7125</v>
      </c>
      <c r="E4993" s="5" t="n">
        <v>43.7</v>
      </c>
      <c r="F4993" s="3" t="inlineStr">
        <is>
          <t>남이면</t>
        </is>
      </c>
      <c r="G4993" s="3" t="inlineStr">
        <is>
          <t>구미리</t>
        </is>
      </c>
      <c r="H4993" s="3" t="inlineStr">
        <is>
          <t>계획관리지역</t>
        </is>
      </c>
      <c r="I4993" s="3" t="inlineStr">
        <is>
          <t>임야</t>
        </is>
      </c>
      <c r="J4993" s="3" t="inlineStr">
        <is>
          <t>남이면</t>
        </is>
      </c>
    </row>
    <row r="4994">
      <c r="A4994" s="3" t="n">
        <v>2022</v>
      </c>
      <c r="B4994" s="4" t="n">
        <v>350</v>
      </c>
      <c r="C4994" s="4" t="n">
        <v>81.58</v>
      </c>
      <c r="D4994" s="4" t="n">
        <v>24.67795</v>
      </c>
      <c r="E4994" s="5" t="n">
        <v>14.2</v>
      </c>
      <c r="F4994" s="3" t="inlineStr">
        <is>
          <t>남이면</t>
        </is>
      </c>
      <c r="G4994" s="3" t="inlineStr">
        <is>
          <t>구미리</t>
        </is>
      </c>
      <c r="H4994" s="3" t="inlineStr">
        <is>
          <t>계획관리지역</t>
        </is>
      </c>
      <c r="I4994" s="3" t="inlineStr">
        <is>
          <t>도로</t>
        </is>
      </c>
      <c r="J4994" s="3" t="inlineStr">
        <is>
          <t>남이면</t>
        </is>
      </c>
    </row>
    <row r="4995">
      <c r="A4995" s="3" t="n">
        <v>2022</v>
      </c>
      <c r="B4995" s="4" t="n">
        <v>50</v>
      </c>
      <c r="C4995" s="4" t="n">
        <v>11.76</v>
      </c>
      <c r="D4995" s="4" t="n">
        <v>3.5574</v>
      </c>
      <c r="E4995" s="5" t="n">
        <v>14.1</v>
      </c>
      <c r="F4995" s="3" t="inlineStr">
        <is>
          <t>남이면</t>
        </is>
      </c>
      <c r="G4995" s="3" t="inlineStr">
        <is>
          <t>구미리</t>
        </is>
      </c>
      <c r="H4995" s="3" t="inlineStr">
        <is>
          <t>계획관리지역</t>
        </is>
      </c>
      <c r="I4995" s="3" t="inlineStr">
        <is>
          <t>도로</t>
        </is>
      </c>
      <c r="J4995" s="3" t="inlineStr">
        <is>
          <t>남이면</t>
        </is>
      </c>
    </row>
    <row r="4996">
      <c r="A4996" s="3" t="n">
        <v>2022</v>
      </c>
      <c r="B4996" s="4" t="n">
        <v>52</v>
      </c>
      <c r="C4996" s="4" t="n">
        <v>12.22</v>
      </c>
      <c r="D4996" s="4" t="n">
        <v>3.69655</v>
      </c>
      <c r="E4996" s="5" t="n">
        <v>14.1</v>
      </c>
      <c r="F4996" s="3" t="inlineStr">
        <is>
          <t>남이면</t>
        </is>
      </c>
      <c r="G4996" s="3" t="inlineStr">
        <is>
          <t>구미리</t>
        </is>
      </c>
      <c r="H4996" s="3" t="inlineStr">
        <is>
          <t>계획관리지역</t>
        </is>
      </c>
      <c r="I4996" s="3" t="inlineStr">
        <is>
          <t>도로</t>
        </is>
      </c>
      <c r="J4996" s="3" t="inlineStr">
        <is>
          <t>남이면</t>
        </is>
      </c>
    </row>
    <row r="4997">
      <c r="A4997" s="3" t="n">
        <v>2022</v>
      </c>
      <c r="B4997" s="4" t="n">
        <v>930</v>
      </c>
      <c r="C4997" s="4" t="n">
        <v>251.38</v>
      </c>
      <c r="D4997" s="4" t="n">
        <v>76.04245</v>
      </c>
      <c r="E4997" s="5" t="n">
        <v>12.2</v>
      </c>
      <c r="F4997" s="3" t="inlineStr">
        <is>
          <t>남이면</t>
        </is>
      </c>
      <c r="G4997" s="3" t="inlineStr">
        <is>
          <t>구미리</t>
        </is>
      </c>
      <c r="H4997" s="3" t="inlineStr">
        <is>
          <t>계획관리지역</t>
        </is>
      </c>
      <c r="I4997" s="3" t="inlineStr">
        <is>
          <t>도로</t>
        </is>
      </c>
      <c r="J4997" s="3" t="inlineStr">
        <is>
          <t>남이면</t>
        </is>
      </c>
    </row>
    <row r="4998">
      <c r="A4998" s="3" t="n">
        <v>2022</v>
      </c>
      <c r="B4998" s="4" t="n">
        <v>344</v>
      </c>
      <c r="C4998" s="4" t="n">
        <v>80.62</v>
      </c>
      <c r="D4998" s="4" t="n">
        <v>24.38755</v>
      </c>
      <c r="E4998" s="5" t="n">
        <v>14.1</v>
      </c>
      <c r="F4998" s="3" t="inlineStr">
        <is>
          <t>남이면</t>
        </is>
      </c>
      <c r="G4998" s="3" t="inlineStr">
        <is>
          <t>구미리</t>
        </is>
      </c>
      <c r="H4998" s="3" t="inlineStr">
        <is>
          <t>계획관리지역</t>
        </is>
      </c>
      <c r="I4998" s="3" t="inlineStr">
        <is>
          <t>도로</t>
        </is>
      </c>
      <c r="J4998" s="3" t="inlineStr">
        <is>
          <t>남이면</t>
        </is>
      </c>
    </row>
    <row r="4999">
      <c r="A4999" s="3" t="n">
        <v>2022</v>
      </c>
      <c r="B4999" s="4" t="n">
        <v>23000</v>
      </c>
      <c r="C4999" s="4" t="n">
        <v>492</v>
      </c>
      <c r="D4999" s="4" t="n">
        <v>148.83</v>
      </c>
      <c r="E4999" s="5" t="n">
        <v>154.5</v>
      </c>
      <c r="F4999" s="3" t="inlineStr">
        <is>
          <t>남이면</t>
        </is>
      </c>
      <c r="G4999" s="3" t="inlineStr">
        <is>
          <t>석판리</t>
        </is>
      </c>
      <c r="H4999" s="3" t="inlineStr">
        <is>
          <t>자연녹지지역</t>
        </is>
      </c>
      <c r="I4999" s="3" t="inlineStr">
        <is>
          <t>임야</t>
        </is>
      </c>
      <c r="J4999" s="3" t="inlineStr">
        <is>
          <t>남이면</t>
        </is>
      </c>
    </row>
    <row r="5000">
      <c r="A5000" s="3" t="n">
        <v>2022</v>
      </c>
      <c r="B5000" s="4" t="n">
        <v>9370</v>
      </c>
      <c r="C5000" s="4" t="n">
        <v>2037</v>
      </c>
      <c r="D5000" s="4" t="n">
        <v>616.1925</v>
      </c>
      <c r="E5000" s="5" t="n">
        <v>15.2</v>
      </c>
      <c r="F5000" s="3" t="inlineStr">
        <is>
          <t>남이면</t>
        </is>
      </c>
      <c r="G5000" s="3" t="inlineStr">
        <is>
          <t>산막리</t>
        </is>
      </c>
      <c r="H5000" s="3" t="inlineStr">
        <is>
          <t>생산관리지역</t>
        </is>
      </c>
      <c r="I5000" s="3" t="inlineStr">
        <is>
          <t>임야</t>
        </is>
      </c>
      <c r="J5000" s="3" t="inlineStr">
        <is>
          <t>남이면</t>
        </is>
      </c>
    </row>
    <row r="5001">
      <c r="A5001" s="3" t="n">
        <v>2022</v>
      </c>
      <c r="B5001" s="4" t="n">
        <v>9062</v>
      </c>
      <c r="C5001" s="4" t="n">
        <v>1888</v>
      </c>
      <c r="D5001" s="4" t="n">
        <v>571.12</v>
      </c>
      <c r="E5001" s="5" t="n">
        <v>15.9</v>
      </c>
      <c r="F5001" s="3" t="inlineStr">
        <is>
          <t>남이면</t>
        </is>
      </c>
      <c r="G5001" s="3" t="inlineStr">
        <is>
          <t>산막리</t>
        </is>
      </c>
      <c r="H5001" s="3" t="inlineStr">
        <is>
          <t>생산관리지역</t>
        </is>
      </c>
      <c r="I5001" s="3" t="inlineStr">
        <is>
          <t>임야</t>
        </is>
      </c>
      <c r="J5001" s="3" t="inlineStr">
        <is>
          <t>남이면</t>
        </is>
      </c>
    </row>
    <row r="5002">
      <c r="A5002" s="3" t="n">
        <v>2022</v>
      </c>
      <c r="B5002" s="4" t="n">
        <v>6606</v>
      </c>
      <c r="C5002" s="4" t="n">
        <v>1436</v>
      </c>
      <c r="D5002" s="4" t="n">
        <v>434.39</v>
      </c>
      <c r="E5002" s="5" t="n">
        <v>15.2</v>
      </c>
      <c r="F5002" s="3" t="inlineStr">
        <is>
          <t>남이면</t>
        </is>
      </c>
      <c r="G5002" s="3" t="inlineStr">
        <is>
          <t>산막리</t>
        </is>
      </c>
      <c r="H5002" s="3" t="inlineStr">
        <is>
          <t>생산관리지역</t>
        </is>
      </c>
      <c r="I5002" s="3" t="inlineStr">
        <is>
          <t>임야</t>
        </is>
      </c>
      <c r="J5002" s="3" t="inlineStr">
        <is>
          <t>남이면</t>
        </is>
      </c>
    </row>
    <row r="5003">
      <c r="A5003" s="3" t="n">
        <v>2022</v>
      </c>
      <c r="B5003" s="4" t="n">
        <v>12162</v>
      </c>
      <c r="C5003" s="4" t="n">
        <v>2638</v>
      </c>
      <c r="D5003" s="4" t="n">
        <v>797.995</v>
      </c>
      <c r="E5003" s="5" t="n">
        <v>15.2</v>
      </c>
      <c r="F5003" s="3" t="inlineStr">
        <is>
          <t>남이면</t>
        </is>
      </c>
      <c r="G5003" s="3" t="inlineStr">
        <is>
          <t>산막리</t>
        </is>
      </c>
      <c r="H5003" s="3" t="inlineStr">
        <is>
          <t>생산관리지역</t>
        </is>
      </c>
      <c r="I5003" s="3" t="inlineStr">
        <is>
          <t>임야</t>
        </is>
      </c>
      <c r="J5003" s="3" t="inlineStr">
        <is>
          <t>남이면</t>
        </is>
      </c>
    </row>
    <row r="5004">
      <c r="A5004" s="3" t="n">
        <v>2022</v>
      </c>
      <c r="B5004" s="4" t="n">
        <v>51900</v>
      </c>
      <c r="C5004" s="4" t="n">
        <v>2697</v>
      </c>
      <c r="D5004" s="4" t="n">
        <v>815.8425</v>
      </c>
      <c r="E5004" s="5" t="n">
        <v>63.6</v>
      </c>
      <c r="F5004" s="3" t="inlineStr">
        <is>
          <t>남이면</t>
        </is>
      </c>
      <c r="G5004" s="3" t="inlineStr">
        <is>
          <t>대련리</t>
        </is>
      </c>
      <c r="H5004" s="3" t="inlineStr">
        <is>
          <t>자연녹지지역</t>
        </is>
      </c>
      <c r="I5004" s="3" t="inlineStr">
        <is>
          <t>답</t>
        </is>
      </c>
      <c r="J5004" s="3" t="inlineStr">
        <is>
          <t>남이면</t>
        </is>
      </c>
    </row>
    <row r="5005">
      <c r="A5005" s="3" t="n">
        <v>2022</v>
      </c>
      <c r="B5005" s="4" t="n">
        <v>42000</v>
      </c>
      <c r="C5005" s="4" t="n">
        <v>2479</v>
      </c>
      <c r="D5005" s="4" t="n">
        <v>749.8974999999999</v>
      </c>
      <c r="E5005" s="5" t="n">
        <v>56</v>
      </c>
      <c r="F5005" s="3" t="inlineStr">
        <is>
          <t>남이면</t>
        </is>
      </c>
      <c r="G5005" s="3" t="inlineStr">
        <is>
          <t>가좌리</t>
        </is>
      </c>
      <c r="H5005" s="3" t="inlineStr">
        <is>
          <t>자연녹지지역</t>
        </is>
      </c>
      <c r="I5005" s="3" t="inlineStr">
        <is>
          <t>답</t>
        </is>
      </c>
      <c r="J5005" s="3" t="inlineStr">
        <is>
          <t>남이면</t>
        </is>
      </c>
    </row>
    <row r="5006">
      <c r="A5006" s="3" t="n">
        <v>2022</v>
      </c>
      <c r="B5006" s="4" t="n">
        <v>24000</v>
      </c>
      <c r="C5006" s="4" t="n">
        <v>1415</v>
      </c>
      <c r="D5006" s="4" t="n">
        <v>428.0375</v>
      </c>
      <c r="E5006" s="5" t="n">
        <v>56.1</v>
      </c>
      <c r="F5006" s="3" t="inlineStr">
        <is>
          <t>남이면</t>
        </is>
      </c>
      <c r="G5006" s="3" t="inlineStr">
        <is>
          <t>가좌리</t>
        </is>
      </c>
      <c r="H5006" s="3" t="inlineStr">
        <is>
          <t>자연녹지지역</t>
        </is>
      </c>
      <c r="I5006" s="3" t="inlineStr">
        <is>
          <t>답</t>
        </is>
      </c>
      <c r="J5006" s="3" t="inlineStr">
        <is>
          <t>남이면</t>
        </is>
      </c>
    </row>
    <row r="5007">
      <c r="A5007" s="3" t="n">
        <v>2022</v>
      </c>
      <c r="B5007" s="4" t="n">
        <v>24000</v>
      </c>
      <c r="C5007" s="4" t="n">
        <v>1405</v>
      </c>
      <c r="D5007" s="4" t="n">
        <v>425.0125</v>
      </c>
      <c r="E5007" s="5" t="n">
        <v>56.5</v>
      </c>
      <c r="F5007" s="3" t="inlineStr">
        <is>
          <t>남이면</t>
        </is>
      </c>
      <c r="G5007" s="3" t="inlineStr">
        <is>
          <t>가좌리</t>
        </is>
      </c>
      <c r="H5007" s="3" t="inlineStr">
        <is>
          <t>자연녹지지역</t>
        </is>
      </c>
      <c r="I5007" s="3" t="inlineStr">
        <is>
          <t>답</t>
        </is>
      </c>
      <c r="J5007" s="3" t="inlineStr">
        <is>
          <t>남이면</t>
        </is>
      </c>
    </row>
    <row r="5008">
      <c r="A5008" s="3" t="n">
        <v>2022</v>
      </c>
      <c r="B5008" s="4" t="n">
        <v>44000</v>
      </c>
      <c r="C5008" s="4" t="n">
        <v>2648</v>
      </c>
      <c r="D5008" s="4" t="n">
        <v>801.02</v>
      </c>
      <c r="E5008" s="5" t="n">
        <v>54.9</v>
      </c>
      <c r="F5008" s="3" t="inlineStr">
        <is>
          <t>남이면</t>
        </is>
      </c>
      <c r="G5008" s="3" t="inlineStr">
        <is>
          <t>가좌리</t>
        </is>
      </c>
      <c r="H5008" s="3" t="inlineStr">
        <is>
          <t>자연녹지지역</t>
        </is>
      </c>
      <c r="I5008" s="3" t="inlineStr">
        <is>
          <t>답</t>
        </is>
      </c>
      <c r="J5008" s="3" t="inlineStr">
        <is>
          <t>남이면</t>
        </is>
      </c>
    </row>
    <row r="5009">
      <c r="A5009" s="3" t="n">
        <v>2022</v>
      </c>
      <c r="B5009" s="4" t="n">
        <v>12673</v>
      </c>
      <c r="C5009" s="4" t="n">
        <v>3091</v>
      </c>
      <c r="D5009" s="4" t="n">
        <v>935.0274999999999</v>
      </c>
      <c r="E5009" s="5" t="n">
        <v>13.6</v>
      </c>
      <c r="F5009" s="3" t="inlineStr">
        <is>
          <t>남이면</t>
        </is>
      </c>
      <c r="G5009" s="3" t="inlineStr">
        <is>
          <t>산막리</t>
        </is>
      </c>
      <c r="H5009" s="3" t="inlineStr">
        <is>
          <t>보전관리지역</t>
        </is>
      </c>
      <c r="I5009" s="3" t="inlineStr">
        <is>
          <t>임야</t>
        </is>
      </c>
      <c r="J5009" s="3" t="inlineStr">
        <is>
          <t>남이면</t>
        </is>
      </c>
    </row>
    <row r="5010">
      <c r="A5010" s="3" t="n">
        <v>2023</v>
      </c>
      <c r="B5010" s="4" t="n">
        <v>8100</v>
      </c>
      <c r="C5010" s="4" t="n">
        <v>1350.8</v>
      </c>
      <c r="D5010" s="4" t="n">
        <v>408.617</v>
      </c>
      <c r="E5010" s="5" t="n">
        <v>19.8</v>
      </c>
      <c r="F5010" s="3" t="inlineStr">
        <is>
          <t>남이면</t>
        </is>
      </c>
      <c r="G5010" s="3" t="inlineStr">
        <is>
          <t>구미리</t>
        </is>
      </c>
      <c r="H5010" s="3" t="inlineStr">
        <is>
          <t>농림지역</t>
        </is>
      </c>
      <c r="I5010" s="3" t="inlineStr">
        <is>
          <t>답</t>
        </is>
      </c>
      <c r="J5010" s="3" t="inlineStr">
        <is>
          <t>남이면</t>
        </is>
      </c>
    </row>
    <row r="5011">
      <c r="A5011" s="3" t="n">
        <v>2023</v>
      </c>
      <c r="B5011" s="4" t="n">
        <v>60500</v>
      </c>
      <c r="C5011" s="4" t="n">
        <v>1448</v>
      </c>
      <c r="D5011" s="4" t="n">
        <v>438.02</v>
      </c>
      <c r="E5011" s="5" t="n">
        <v>138.1</v>
      </c>
      <c r="F5011" s="3" t="inlineStr">
        <is>
          <t>남이면</t>
        </is>
      </c>
      <c r="G5011" s="3" t="inlineStr">
        <is>
          <t>가좌리</t>
        </is>
      </c>
      <c r="H5011" s="3" t="inlineStr">
        <is>
          <t>자연녹지지역</t>
        </is>
      </c>
      <c r="I5011" s="3" t="inlineStr">
        <is>
          <t>임야</t>
        </is>
      </c>
      <c r="J5011" s="3" t="inlineStr">
        <is>
          <t>남이면</t>
        </is>
      </c>
    </row>
    <row r="5012">
      <c r="A5012" s="3" t="n">
        <v>2023</v>
      </c>
      <c r="B5012" s="4" t="n">
        <v>1450</v>
      </c>
      <c r="C5012" s="4" t="n">
        <v>36.8</v>
      </c>
      <c r="D5012" s="4" t="n">
        <v>11.132</v>
      </c>
      <c r="E5012" s="5" t="n">
        <v>130.3</v>
      </c>
      <c r="F5012" s="3" t="inlineStr">
        <is>
          <t>남이면</t>
        </is>
      </c>
      <c r="G5012" s="3" t="inlineStr">
        <is>
          <t>가좌리</t>
        </is>
      </c>
      <c r="H5012" s="3" t="inlineStr">
        <is>
          <t>자연녹지지역</t>
        </is>
      </c>
      <c r="I5012" s="3" t="inlineStr">
        <is>
          <t>임야</t>
        </is>
      </c>
      <c r="J5012" s="3" t="inlineStr">
        <is>
          <t>남이면</t>
        </is>
      </c>
    </row>
    <row r="5013">
      <c r="A5013" s="3" t="n">
        <v>2023</v>
      </c>
      <c r="B5013" s="4" t="n">
        <v>10000</v>
      </c>
      <c r="C5013" s="4" t="n">
        <v>959</v>
      </c>
      <c r="D5013" s="4" t="n">
        <v>290.0975</v>
      </c>
      <c r="E5013" s="5" t="n">
        <v>34.5</v>
      </c>
      <c r="F5013" s="3" t="inlineStr">
        <is>
          <t>남이면</t>
        </is>
      </c>
      <c r="G5013" s="3" t="inlineStr">
        <is>
          <t>부용외천리</t>
        </is>
      </c>
      <c r="H5013" s="3" t="inlineStr">
        <is>
          <t>계획관리지역</t>
        </is>
      </c>
      <c r="I5013" s="3" t="inlineStr">
        <is>
          <t>전</t>
        </is>
      </c>
      <c r="J5013" s="3" t="inlineStr">
        <is>
          <t>남이면</t>
        </is>
      </c>
    </row>
    <row r="5014">
      <c r="A5014" s="3" t="n">
        <v>2023</v>
      </c>
      <c r="B5014" s="4" t="n">
        <v>11000</v>
      </c>
      <c r="C5014" s="4" t="n">
        <v>1147</v>
      </c>
      <c r="D5014" s="4" t="n">
        <v>346.9675</v>
      </c>
      <c r="E5014" s="5" t="n">
        <v>31.7</v>
      </c>
      <c r="F5014" s="3" t="inlineStr">
        <is>
          <t>남이면</t>
        </is>
      </c>
      <c r="G5014" s="3" t="inlineStr">
        <is>
          <t>부용외천리</t>
        </is>
      </c>
      <c r="H5014" s="3" t="inlineStr">
        <is>
          <t>계획관리지역</t>
        </is>
      </c>
      <c r="I5014" s="3" t="inlineStr">
        <is>
          <t>답</t>
        </is>
      </c>
      <c r="J5014" s="3" t="inlineStr">
        <is>
          <t>남이면</t>
        </is>
      </c>
    </row>
    <row r="5015">
      <c r="A5015" s="3" t="n">
        <v>2023</v>
      </c>
      <c r="B5015" s="4" t="n">
        <v>436</v>
      </c>
      <c r="C5015" s="4" t="n">
        <v>9</v>
      </c>
      <c r="D5015" s="4" t="n">
        <v>2.7225</v>
      </c>
      <c r="E5015" s="5" t="n">
        <v>160.1</v>
      </c>
      <c r="F5015" s="3" t="inlineStr">
        <is>
          <t>남이면</t>
        </is>
      </c>
      <c r="G5015" s="3" t="inlineStr">
        <is>
          <t>양촌리</t>
        </is>
      </c>
      <c r="H5015" s="3" t="inlineStr">
        <is>
          <t>자연녹지지역</t>
        </is>
      </c>
      <c r="I5015" s="3" t="inlineStr">
        <is>
          <t>임야</t>
        </is>
      </c>
      <c r="J5015" s="3" t="inlineStr">
        <is>
          <t>남이면</t>
        </is>
      </c>
    </row>
    <row r="5016">
      <c r="A5016" s="3" t="n">
        <v>2023</v>
      </c>
      <c r="B5016" s="4" t="n">
        <v>532</v>
      </c>
      <c r="C5016" s="4" t="n">
        <v>11</v>
      </c>
      <c r="D5016" s="4" t="n">
        <v>3.3275</v>
      </c>
      <c r="E5016" s="5" t="n">
        <v>159.9</v>
      </c>
      <c r="F5016" s="3" t="inlineStr">
        <is>
          <t>남이면</t>
        </is>
      </c>
      <c r="G5016" s="3" t="inlineStr">
        <is>
          <t>양촌리</t>
        </is>
      </c>
      <c r="H5016" s="3" t="inlineStr">
        <is>
          <t>자연녹지지역</t>
        </is>
      </c>
      <c r="I5016" s="3" t="inlineStr">
        <is>
          <t>전</t>
        </is>
      </c>
      <c r="J5016" s="3" t="inlineStr">
        <is>
          <t>남이면</t>
        </is>
      </c>
    </row>
    <row r="5017">
      <c r="A5017" s="3" t="n">
        <v>2023</v>
      </c>
      <c r="B5017" s="4" t="n">
        <v>33640</v>
      </c>
      <c r="C5017" s="4" t="n">
        <v>1236</v>
      </c>
      <c r="D5017" s="4" t="n">
        <v>373.89</v>
      </c>
      <c r="E5017" s="5" t="n">
        <v>90</v>
      </c>
      <c r="F5017" s="3" t="inlineStr">
        <is>
          <t>남이면</t>
        </is>
      </c>
      <c r="G5017" s="3" t="inlineStr">
        <is>
          <t>구암리</t>
        </is>
      </c>
      <c r="H5017" s="3" t="inlineStr">
        <is>
          <t>자연녹지지역</t>
        </is>
      </c>
      <c r="I5017" s="3" t="inlineStr">
        <is>
          <t>임야</t>
        </is>
      </c>
      <c r="J5017" s="3" t="inlineStr">
        <is>
          <t>남이면</t>
        </is>
      </c>
    </row>
    <row r="5018">
      <c r="A5018" s="3" t="n">
        <v>2023</v>
      </c>
      <c r="B5018" s="4" t="n">
        <v>34376</v>
      </c>
      <c r="C5018" s="4" t="n">
        <v>1263</v>
      </c>
      <c r="D5018" s="4" t="n">
        <v>382.0575</v>
      </c>
      <c r="E5018" s="5" t="n">
        <v>90</v>
      </c>
      <c r="F5018" s="3" t="inlineStr">
        <is>
          <t>남이면</t>
        </is>
      </c>
      <c r="G5018" s="3" t="inlineStr">
        <is>
          <t>구암리</t>
        </is>
      </c>
      <c r="H5018" s="3" t="inlineStr">
        <is>
          <t>보전녹지지역</t>
        </is>
      </c>
      <c r="I5018" s="3" t="inlineStr">
        <is>
          <t>전</t>
        </is>
      </c>
      <c r="J5018" s="3" t="inlineStr">
        <is>
          <t>남이면</t>
        </is>
      </c>
    </row>
    <row r="5019">
      <c r="A5019" s="3" t="n">
        <v>2023</v>
      </c>
      <c r="B5019" s="4" t="n">
        <v>3130</v>
      </c>
      <c r="C5019" s="4" t="n">
        <v>115</v>
      </c>
      <c r="D5019" s="4" t="n">
        <v>34.7875</v>
      </c>
      <c r="E5019" s="5" t="n">
        <v>90</v>
      </c>
      <c r="F5019" s="3" t="inlineStr">
        <is>
          <t>남이면</t>
        </is>
      </c>
      <c r="G5019" s="3" t="inlineStr">
        <is>
          <t>구암리</t>
        </is>
      </c>
      <c r="H5019" s="3" t="inlineStr">
        <is>
          <t>보전녹지지역</t>
        </is>
      </c>
      <c r="I5019" s="3" t="inlineStr">
        <is>
          <t>임야</t>
        </is>
      </c>
      <c r="J5019" s="3" t="inlineStr">
        <is>
          <t>남이면</t>
        </is>
      </c>
    </row>
    <row r="5020">
      <c r="A5020" s="3" t="n">
        <v>2023</v>
      </c>
      <c r="B5020" s="4" t="n">
        <v>41000</v>
      </c>
      <c r="C5020" s="4" t="n">
        <v>4853</v>
      </c>
      <c r="D5020" s="4" t="n">
        <v>1468.0325</v>
      </c>
      <c r="E5020" s="5" t="n">
        <v>27.9</v>
      </c>
      <c r="F5020" s="3" t="inlineStr">
        <is>
          <t>남이면</t>
        </is>
      </c>
      <c r="G5020" s="3" t="inlineStr">
        <is>
          <t>상발리</t>
        </is>
      </c>
      <c r="H5020" s="3" t="inlineStr">
        <is>
          <t>자연녹지지역</t>
        </is>
      </c>
      <c r="I5020" s="3" t="inlineStr">
        <is>
          <t>전</t>
        </is>
      </c>
      <c r="J5020" s="3" t="inlineStr">
        <is>
          <t>남이면</t>
        </is>
      </c>
    </row>
    <row r="5021">
      <c r="A5021" s="3" t="n">
        <v>2023</v>
      </c>
      <c r="B5021" s="4" t="n">
        <v>6685</v>
      </c>
      <c r="C5021" s="4" t="n">
        <v>1105</v>
      </c>
      <c r="D5021" s="4" t="n">
        <v>334.2625</v>
      </c>
      <c r="E5021" s="5" t="n">
        <v>20</v>
      </c>
      <c r="F5021" s="3" t="inlineStr">
        <is>
          <t>남이면</t>
        </is>
      </c>
      <c r="G5021" s="3" t="inlineStr">
        <is>
          <t>문동리</t>
        </is>
      </c>
      <c r="H5021" s="3" t="inlineStr">
        <is>
          <t>농림지역</t>
        </is>
      </c>
      <c r="I5021" s="3" t="inlineStr">
        <is>
          <t>답</t>
        </is>
      </c>
      <c r="J5021" s="3" t="inlineStr">
        <is>
          <t>남이면</t>
        </is>
      </c>
    </row>
    <row r="5022">
      <c r="A5022" s="3" t="n">
        <v>2023</v>
      </c>
      <c r="B5022" s="4" t="n">
        <v>10642</v>
      </c>
      <c r="C5022" s="4" t="n">
        <v>1759</v>
      </c>
      <c r="D5022" s="4" t="n">
        <v>532.0975</v>
      </c>
      <c r="E5022" s="5" t="n">
        <v>20</v>
      </c>
      <c r="F5022" s="3" t="inlineStr">
        <is>
          <t>남이면</t>
        </is>
      </c>
      <c r="G5022" s="3" t="inlineStr">
        <is>
          <t>문동리</t>
        </is>
      </c>
      <c r="H5022" s="3" t="inlineStr">
        <is>
          <t>농림지역</t>
        </is>
      </c>
      <c r="I5022" s="3" t="inlineStr">
        <is>
          <t>답</t>
        </is>
      </c>
      <c r="J5022" s="3" t="inlineStr">
        <is>
          <t>남이면</t>
        </is>
      </c>
    </row>
    <row r="5023">
      <c r="A5023" s="3" t="n">
        <v>2023</v>
      </c>
      <c r="B5023" s="4" t="n">
        <v>16968</v>
      </c>
      <c r="C5023" s="4" t="n">
        <v>935</v>
      </c>
      <c r="D5023" s="4" t="n">
        <v>282.8375</v>
      </c>
      <c r="E5023" s="5" t="n">
        <v>60</v>
      </c>
      <c r="F5023" s="3" t="inlineStr">
        <is>
          <t>남이면</t>
        </is>
      </c>
      <c r="G5023" s="3" t="inlineStr">
        <is>
          <t>양촌리</t>
        </is>
      </c>
      <c r="H5023" s="3" t="inlineStr">
        <is>
          <t>보전관리지역</t>
        </is>
      </c>
      <c r="I5023" s="3" t="inlineStr">
        <is>
          <t>임야</t>
        </is>
      </c>
      <c r="J5023" s="3" t="inlineStr">
        <is>
          <t>남이면</t>
        </is>
      </c>
    </row>
    <row r="5024">
      <c r="A5024" s="3" t="n">
        <v>2023</v>
      </c>
      <c r="B5024" s="4" t="n">
        <v>36200</v>
      </c>
      <c r="C5024" s="4" t="n">
        <v>861</v>
      </c>
      <c r="D5024" s="4" t="n">
        <v>260.4525</v>
      </c>
      <c r="E5024" s="5" t="n">
        <v>139</v>
      </c>
      <c r="F5024" s="3" t="inlineStr">
        <is>
          <t>남이면</t>
        </is>
      </c>
      <c r="G5024" s="3" t="inlineStr">
        <is>
          <t>구암리</t>
        </is>
      </c>
      <c r="H5024" s="3" t="inlineStr">
        <is>
          <t>자연녹지지역</t>
        </is>
      </c>
      <c r="I5024" s="3" t="inlineStr">
        <is>
          <t>임야</t>
        </is>
      </c>
      <c r="J5024" s="3" t="inlineStr">
        <is>
          <t>남이면</t>
        </is>
      </c>
    </row>
    <row r="5025">
      <c r="A5025" s="3" t="n">
        <v>2023</v>
      </c>
      <c r="B5025" s="4" t="n">
        <v>30000</v>
      </c>
      <c r="C5025" s="4" t="n">
        <v>1217</v>
      </c>
      <c r="D5025" s="4" t="n">
        <v>368.1425</v>
      </c>
      <c r="E5025" s="5" t="n">
        <v>81.5</v>
      </c>
      <c r="F5025" s="3" t="inlineStr">
        <is>
          <t>남이면</t>
        </is>
      </c>
      <c r="G5025" s="3" t="inlineStr">
        <is>
          <t>외천리</t>
        </is>
      </c>
      <c r="H5025" s="3" t="inlineStr">
        <is>
          <t>계획관리지역</t>
        </is>
      </c>
      <c r="I5025" s="3" t="inlineStr">
        <is>
          <t>전</t>
        </is>
      </c>
      <c r="J5025" s="3" t="inlineStr">
        <is>
          <t>남이면</t>
        </is>
      </c>
    </row>
    <row r="5026">
      <c r="A5026" s="3" t="n">
        <v>2023</v>
      </c>
      <c r="B5026" s="4" t="n">
        <v>56760</v>
      </c>
      <c r="C5026" s="4" t="n">
        <v>1564</v>
      </c>
      <c r="D5026" s="4" t="n">
        <v>473.11</v>
      </c>
      <c r="E5026" s="5" t="n">
        <v>120</v>
      </c>
      <c r="F5026" s="3" t="inlineStr">
        <is>
          <t>남이면</t>
        </is>
      </c>
      <c r="G5026" s="3" t="inlineStr">
        <is>
          <t>석판리</t>
        </is>
      </c>
      <c r="H5026" s="3" t="inlineStr">
        <is>
          <t>자연녹지지역</t>
        </is>
      </c>
      <c r="I5026" s="3" t="inlineStr">
        <is>
          <t>임야</t>
        </is>
      </c>
      <c r="J5026" s="3" t="inlineStr">
        <is>
          <t>남이면</t>
        </is>
      </c>
    </row>
    <row r="5027">
      <c r="A5027" s="3" t="n">
        <v>2023</v>
      </c>
      <c r="B5027" s="4" t="n">
        <v>10000</v>
      </c>
      <c r="C5027" s="4" t="n">
        <v>990</v>
      </c>
      <c r="D5027" s="4" t="n">
        <v>299.475</v>
      </c>
      <c r="E5027" s="5" t="n">
        <v>33.4</v>
      </c>
      <c r="F5027" s="3" t="inlineStr">
        <is>
          <t>남이면</t>
        </is>
      </c>
      <c r="G5027" s="3" t="inlineStr">
        <is>
          <t>가좌리</t>
        </is>
      </c>
      <c r="H5027" s="3" t="inlineStr">
        <is>
          <t>보전녹지지역</t>
        </is>
      </c>
      <c r="I5027" s="3" t="inlineStr">
        <is>
          <t>임야</t>
        </is>
      </c>
      <c r="J5027" s="3" t="inlineStr">
        <is>
          <t>남이면</t>
        </is>
      </c>
    </row>
    <row r="5028">
      <c r="A5028" s="3" t="n">
        <v>2023</v>
      </c>
      <c r="B5028" s="4" t="n">
        <v>13000</v>
      </c>
      <c r="C5028" s="4" t="n">
        <v>1510.5</v>
      </c>
      <c r="D5028" s="4" t="n">
        <v>456.92625</v>
      </c>
      <c r="E5028" s="5" t="n">
        <v>28.5</v>
      </c>
      <c r="F5028" s="3" t="inlineStr">
        <is>
          <t>남이면</t>
        </is>
      </c>
      <c r="G5028" s="3" t="inlineStr">
        <is>
          <t>대련리</t>
        </is>
      </c>
      <c r="H5028" s="3" t="inlineStr">
        <is>
          <t>자연녹지지역</t>
        </is>
      </c>
      <c r="I5028" s="3" t="inlineStr">
        <is>
          <t>전</t>
        </is>
      </c>
      <c r="J5028" s="3" t="inlineStr">
        <is>
          <t>남이면</t>
        </is>
      </c>
    </row>
    <row r="5029">
      <c r="A5029" s="3" t="n">
        <v>2023</v>
      </c>
      <c r="B5029" s="4" t="n">
        <v>19816</v>
      </c>
      <c r="C5029" s="4" t="n">
        <v>729</v>
      </c>
      <c r="D5029" s="4" t="n">
        <v>220.5225</v>
      </c>
      <c r="E5029" s="5" t="n">
        <v>89.90000000000001</v>
      </c>
      <c r="F5029" s="3" t="inlineStr">
        <is>
          <t>남이면</t>
        </is>
      </c>
      <c r="G5029" s="3" t="inlineStr">
        <is>
          <t>구암리</t>
        </is>
      </c>
      <c r="H5029" s="3" t="inlineStr">
        <is>
          <t>보전녹지지역</t>
        </is>
      </c>
      <c r="I5029" s="3" t="inlineStr">
        <is>
          <t>전</t>
        </is>
      </c>
      <c r="J5029" s="3" t="inlineStr">
        <is>
          <t>남이면</t>
        </is>
      </c>
    </row>
    <row r="5030">
      <c r="A5030" s="3" t="n">
        <v>2023</v>
      </c>
      <c r="B5030" s="4" t="n">
        <v>33834</v>
      </c>
      <c r="C5030" s="4" t="n">
        <v>1243</v>
      </c>
      <c r="D5030" s="4" t="n">
        <v>376.0075</v>
      </c>
      <c r="E5030" s="5" t="n">
        <v>90</v>
      </c>
      <c r="F5030" s="3" t="inlineStr">
        <is>
          <t>남이면</t>
        </is>
      </c>
      <c r="G5030" s="3" t="inlineStr">
        <is>
          <t>구암리</t>
        </is>
      </c>
      <c r="H5030" s="3" t="inlineStr">
        <is>
          <t>보전녹지지역</t>
        </is>
      </c>
      <c r="I5030" s="3" t="inlineStr">
        <is>
          <t>임야</t>
        </is>
      </c>
      <c r="J5030" s="3" t="inlineStr">
        <is>
          <t>남이면</t>
        </is>
      </c>
    </row>
    <row r="5031">
      <c r="A5031" s="3" t="n">
        <v>2023</v>
      </c>
      <c r="B5031" s="4" t="n">
        <v>37000</v>
      </c>
      <c r="C5031" s="4" t="n">
        <v>457</v>
      </c>
      <c r="D5031" s="4" t="n">
        <v>138.2425</v>
      </c>
      <c r="E5031" s="5" t="n">
        <v>267.6</v>
      </c>
      <c r="F5031" s="3" t="inlineStr">
        <is>
          <t>남이면</t>
        </is>
      </c>
      <c r="G5031" s="3" t="inlineStr">
        <is>
          <t>외천리</t>
        </is>
      </c>
      <c r="H5031" s="3" t="inlineStr">
        <is>
          <t>계획관리지역</t>
        </is>
      </c>
      <c r="I5031" s="3" t="inlineStr">
        <is>
          <t>잡종지</t>
        </is>
      </c>
      <c r="J5031" s="3" t="inlineStr">
        <is>
          <t>남이면</t>
        </is>
      </c>
    </row>
    <row r="5032">
      <c r="A5032" s="3" t="n">
        <v>2023</v>
      </c>
      <c r="B5032" s="4" t="n">
        <v>2000</v>
      </c>
      <c r="C5032" s="4" t="n">
        <v>265.7</v>
      </c>
      <c r="D5032" s="4" t="n">
        <v>80.37424999999999</v>
      </c>
      <c r="E5032" s="5" t="n">
        <v>24.9</v>
      </c>
      <c r="F5032" s="3" t="inlineStr">
        <is>
          <t>남이면</t>
        </is>
      </c>
      <c r="G5032" s="3" t="inlineStr">
        <is>
          <t>대련리</t>
        </is>
      </c>
      <c r="H5032" s="3" t="inlineStr">
        <is>
          <t>자연녹지지역</t>
        </is>
      </c>
      <c r="I5032" s="3" t="inlineStr">
        <is>
          <t>전</t>
        </is>
      </c>
      <c r="J5032" s="3" t="inlineStr">
        <is>
          <t>남이면</t>
        </is>
      </c>
    </row>
    <row r="5033">
      <c r="A5033" s="3" t="n">
        <v>2023</v>
      </c>
      <c r="B5033" s="4" t="n">
        <v>54000</v>
      </c>
      <c r="C5033" s="4" t="n">
        <v>3818</v>
      </c>
      <c r="D5033" s="4" t="n">
        <v>1154.945</v>
      </c>
      <c r="E5033" s="5" t="n">
        <v>46.8</v>
      </c>
      <c r="F5033" s="3" t="inlineStr">
        <is>
          <t>남이면</t>
        </is>
      </c>
      <c r="G5033" s="3" t="inlineStr">
        <is>
          <t>석실리</t>
        </is>
      </c>
      <c r="H5033" s="3" t="inlineStr">
        <is>
          <t>자연녹지지역</t>
        </is>
      </c>
      <c r="I5033" s="3" t="inlineStr">
        <is>
          <t>전</t>
        </is>
      </c>
      <c r="J5033" s="3" t="inlineStr">
        <is>
          <t>남이면</t>
        </is>
      </c>
    </row>
    <row r="5034">
      <c r="A5034" s="3" t="n">
        <v>2023</v>
      </c>
      <c r="B5034" s="4" t="n">
        <v>3600</v>
      </c>
      <c r="C5034" s="4" t="n">
        <v>133</v>
      </c>
      <c r="D5034" s="4" t="n">
        <v>40.2325</v>
      </c>
      <c r="E5034" s="5" t="n">
        <v>89.5</v>
      </c>
      <c r="F5034" s="3" t="inlineStr">
        <is>
          <t>남이면</t>
        </is>
      </c>
      <c r="G5034" s="3" t="inlineStr">
        <is>
          <t>팔봉리</t>
        </is>
      </c>
      <c r="H5034" s="3" t="inlineStr">
        <is>
          <t>자연녹지지역</t>
        </is>
      </c>
      <c r="I5034" s="3" t="inlineStr">
        <is>
          <t>도로</t>
        </is>
      </c>
      <c r="J5034" s="3" t="inlineStr">
        <is>
          <t>남이면</t>
        </is>
      </c>
    </row>
    <row r="5035">
      <c r="A5035" s="3" t="n">
        <v>2023</v>
      </c>
      <c r="B5035" s="4" t="n">
        <v>9500</v>
      </c>
      <c r="C5035" s="4" t="n">
        <v>1098</v>
      </c>
      <c r="D5035" s="4" t="n">
        <v>332.145</v>
      </c>
      <c r="E5035" s="5" t="n">
        <v>28.6</v>
      </c>
      <c r="F5035" s="3" t="inlineStr">
        <is>
          <t>남이면</t>
        </is>
      </c>
      <c r="G5035" s="3" t="inlineStr">
        <is>
          <t>구암리</t>
        </is>
      </c>
      <c r="H5035" s="3" t="inlineStr">
        <is>
          <t>자연녹지지역</t>
        </is>
      </c>
      <c r="I5035" s="3" t="inlineStr">
        <is>
          <t>답</t>
        </is>
      </c>
      <c r="J5035" s="3" t="inlineStr">
        <is>
          <t>남이면</t>
        </is>
      </c>
    </row>
    <row r="5036">
      <c r="A5036" s="3" t="n">
        <v>2023</v>
      </c>
      <c r="B5036" s="4" t="n">
        <v>69500</v>
      </c>
      <c r="C5036" s="4" t="n">
        <v>1210</v>
      </c>
      <c r="D5036" s="4" t="n">
        <v>366.025</v>
      </c>
      <c r="E5036" s="5" t="n">
        <v>189.9</v>
      </c>
      <c r="F5036" s="3" t="inlineStr">
        <is>
          <t>남이면</t>
        </is>
      </c>
      <c r="G5036" s="3" t="inlineStr">
        <is>
          <t>외천리</t>
        </is>
      </c>
      <c r="H5036" s="3" t="inlineStr">
        <is>
          <t>계획관리지역</t>
        </is>
      </c>
      <c r="I5036" s="3" t="inlineStr">
        <is>
          <t>답</t>
        </is>
      </c>
      <c r="J5036" s="3" t="inlineStr">
        <is>
          <t>남이면</t>
        </is>
      </c>
    </row>
    <row r="5037">
      <c r="A5037" s="3" t="n">
        <v>2025</v>
      </c>
      <c r="B5037" s="4" t="n">
        <v>27000</v>
      </c>
      <c r="C5037" s="4" t="n">
        <v>660</v>
      </c>
      <c r="D5037" s="4" t="n">
        <v>199.65</v>
      </c>
      <c r="E5037" s="5" t="n">
        <v>135.2</v>
      </c>
      <c r="F5037" s="3" t="inlineStr">
        <is>
          <t>오송읍</t>
        </is>
      </c>
      <c r="G5037" s="3" t="inlineStr">
        <is>
          <t>궁평리</t>
        </is>
      </c>
      <c r="H5037" s="3" t="inlineStr">
        <is>
          <t>농림지역</t>
        </is>
      </c>
      <c r="I5037" s="3" t="inlineStr">
        <is>
          <t>대</t>
        </is>
      </c>
      <c r="J5037" s="3" t="inlineStr">
        <is>
          <t>오송읍</t>
        </is>
      </c>
    </row>
    <row r="5038">
      <c r="A5038" s="3" t="n">
        <v>2025</v>
      </c>
      <c r="B5038" s="4" t="n">
        <v>29600</v>
      </c>
      <c r="C5038" s="4" t="n">
        <v>727</v>
      </c>
      <c r="D5038" s="4" t="n">
        <v>219.9175</v>
      </c>
      <c r="E5038" s="5" t="n">
        <v>134.6</v>
      </c>
      <c r="F5038" s="3" t="inlineStr">
        <is>
          <t>오송읍</t>
        </is>
      </c>
      <c r="G5038" s="3" t="inlineStr">
        <is>
          <t>궁평리</t>
        </is>
      </c>
      <c r="H5038" s="3" t="inlineStr">
        <is>
          <t>농림지역</t>
        </is>
      </c>
      <c r="I5038" s="3" t="inlineStr">
        <is>
          <t>대</t>
        </is>
      </c>
      <c r="J5038" s="3" t="inlineStr">
        <is>
          <t>오송읍</t>
        </is>
      </c>
    </row>
    <row r="5039">
      <c r="A5039" s="3" t="n">
        <v>2025</v>
      </c>
      <c r="B5039" s="4" t="n">
        <v>17726</v>
      </c>
      <c r="C5039" s="4" t="n">
        <v>1172</v>
      </c>
      <c r="D5039" s="4" t="n">
        <v>354.53</v>
      </c>
      <c r="E5039" s="5" t="n">
        <v>50</v>
      </c>
      <c r="F5039" s="3" t="inlineStr">
        <is>
          <t>강내면</t>
        </is>
      </c>
      <c r="G5039" s="3" t="inlineStr">
        <is>
          <t>당곡리</t>
        </is>
      </c>
      <c r="H5039" s="3" t="inlineStr">
        <is>
          <t>보전관리지역</t>
        </is>
      </c>
      <c r="I5039" s="3" t="inlineStr">
        <is>
          <t>전</t>
        </is>
      </c>
      <c r="J5039" s="3" t="inlineStr">
        <is>
          <t>강내면</t>
        </is>
      </c>
    </row>
    <row r="5040">
      <c r="A5040" s="3" t="n">
        <v>2025</v>
      </c>
      <c r="B5040" s="4" t="n">
        <v>17590</v>
      </c>
      <c r="C5040" s="4" t="n">
        <v>1163</v>
      </c>
      <c r="D5040" s="4" t="n">
        <v>351.8075</v>
      </c>
      <c r="E5040" s="5" t="n">
        <v>50</v>
      </c>
      <c r="F5040" s="3" t="inlineStr">
        <is>
          <t>강내면</t>
        </is>
      </c>
      <c r="G5040" s="3" t="inlineStr">
        <is>
          <t>당곡리</t>
        </is>
      </c>
      <c r="H5040" s="3" t="inlineStr">
        <is>
          <t>보전관리지역</t>
        </is>
      </c>
      <c r="I5040" s="3" t="inlineStr">
        <is>
          <t>전</t>
        </is>
      </c>
      <c r="J5040" s="3" t="inlineStr">
        <is>
          <t>강내면</t>
        </is>
      </c>
    </row>
    <row r="5041">
      <c r="A5041" s="3" t="n">
        <v>2025</v>
      </c>
      <c r="B5041" s="4" t="n">
        <v>15000</v>
      </c>
      <c r="C5041" s="4" t="n">
        <v>374</v>
      </c>
      <c r="D5041" s="4" t="n">
        <v>113.135</v>
      </c>
      <c r="E5041" s="5" t="n">
        <v>132.6</v>
      </c>
      <c r="F5041" s="3" t="inlineStr">
        <is>
          <t>오송읍</t>
        </is>
      </c>
      <c r="G5041" s="3" t="inlineStr">
        <is>
          <t>궁평리</t>
        </is>
      </c>
      <c r="H5041" s="3" t="inlineStr">
        <is>
          <t>계획관리지역</t>
        </is>
      </c>
      <c r="I5041" s="3" t="inlineStr">
        <is>
          <t>전</t>
        </is>
      </c>
      <c r="J5041" s="3" t="inlineStr">
        <is>
          <t>오송읍</t>
        </is>
      </c>
    </row>
    <row r="5042">
      <c r="A5042" s="3" t="n">
        <v>2025</v>
      </c>
      <c r="B5042" s="4" t="n">
        <v>2000</v>
      </c>
      <c r="C5042" s="4" t="n">
        <v>307</v>
      </c>
      <c r="D5042" s="4" t="n">
        <v>92.86749999999999</v>
      </c>
      <c r="E5042" s="5" t="n">
        <v>21.5</v>
      </c>
      <c r="F5042" s="3" t="inlineStr">
        <is>
          <t>강내면</t>
        </is>
      </c>
      <c r="G5042" s="3" t="inlineStr">
        <is>
          <t>다락리</t>
        </is>
      </c>
      <c r="H5042" s="3" t="inlineStr">
        <is>
          <t>농림지역</t>
        </is>
      </c>
      <c r="I5042" s="3" t="inlineStr">
        <is>
          <t>전</t>
        </is>
      </c>
      <c r="J5042" s="3" t="inlineStr">
        <is>
          <t>강내면</t>
        </is>
      </c>
    </row>
    <row r="5043">
      <c r="A5043" s="3" t="n">
        <v>2025</v>
      </c>
      <c r="B5043" s="4" t="n">
        <v>14000</v>
      </c>
      <c r="C5043" s="4" t="n">
        <v>819</v>
      </c>
      <c r="D5043" s="4" t="n">
        <v>247.7475</v>
      </c>
      <c r="E5043" s="5" t="n">
        <v>56.5</v>
      </c>
      <c r="F5043" s="3" t="inlineStr">
        <is>
          <t>강내면</t>
        </is>
      </c>
      <c r="G5043" s="3" t="inlineStr">
        <is>
          <t>저산리</t>
        </is>
      </c>
      <c r="H5043" s="3" t="inlineStr">
        <is>
          <t>농림지역</t>
        </is>
      </c>
      <c r="I5043" s="3" t="inlineStr">
        <is>
          <t>답</t>
        </is>
      </c>
      <c r="J5043" s="3" t="inlineStr">
        <is>
          <t>강내면</t>
        </is>
      </c>
    </row>
    <row r="5044">
      <c r="A5044" s="3" t="n">
        <v>2025</v>
      </c>
      <c r="B5044" s="4" t="n">
        <v>25500</v>
      </c>
      <c r="C5044" s="4" t="n">
        <v>282.8</v>
      </c>
      <c r="D5044" s="4" t="n">
        <v>85.547</v>
      </c>
      <c r="E5044" s="5" t="n">
        <v>298.1</v>
      </c>
      <c r="F5044" s="3" t="inlineStr">
        <is>
          <t>오송읍</t>
        </is>
      </c>
      <c r="G5044" s="3" t="inlineStr">
        <is>
          <t>만수리</t>
        </is>
      </c>
      <c r="H5044" s="3" t="inlineStr">
        <is>
          <t>제1종일반주거지역</t>
        </is>
      </c>
      <c r="I5044" s="3" t="inlineStr">
        <is>
          <t>대</t>
        </is>
      </c>
      <c r="J5044" s="3" t="inlineStr">
        <is>
          <t>오송읍</t>
        </is>
      </c>
    </row>
    <row r="5045">
      <c r="A5045" s="3" t="n">
        <v>2025</v>
      </c>
      <c r="B5045" s="4" t="n">
        <v>4500</v>
      </c>
      <c r="C5045" s="4" t="n">
        <v>185</v>
      </c>
      <c r="D5045" s="4" t="n">
        <v>55.9625</v>
      </c>
      <c r="E5045" s="5" t="n">
        <v>80.40000000000001</v>
      </c>
      <c r="F5045" s="3" t="inlineStr">
        <is>
          <t>오송읍</t>
        </is>
      </c>
      <c r="G5045" s="3" t="inlineStr">
        <is>
          <t>서평리</t>
        </is>
      </c>
      <c r="H5045" s="3" t="inlineStr">
        <is>
          <t>생산관리지역</t>
        </is>
      </c>
      <c r="I5045" s="3" t="inlineStr">
        <is>
          <t>전</t>
        </is>
      </c>
      <c r="J5045" s="3" t="inlineStr">
        <is>
          <t>오송읍</t>
        </is>
      </c>
    </row>
    <row r="5046">
      <c r="A5046" s="3" t="n">
        <v>2025</v>
      </c>
      <c r="B5046" s="4" t="n">
        <v>1750</v>
      </c>
      <c r="C5046" s="4" t="n">
        <v>173</v>
      </c>
      <c r="D5046" s="4" t="n">
        <v>52.3325</v>
      </c>
      <c r="E5046" s="5" t="n">
        <v>33.4</v>
      </c>
      <c r="F5046" s="3" t="inlineStr">
        <is>
          <t>강내면</t>
        </is>
      </c>
      <c r="G5046" s="3" t="inlineStr">
        <is>
          <t>월탄리</t>
        </is>
      </c>
      <c r="H5046" s="3" t="inlineStr">
        <is>
          <t>계획관리지역</t>
        </is>
      </c>
      <c r="I5046" s="3" t="inlineStr">
        <is>
          <t>임야</t>
        </is>
      </c>
      <c r="J5046" s="3" t="inlineStr">
        <is>
          <t>강내면</t>
        </is>
      </c>
    </row>
    <row r="5047">
      <c r="A5047" s="3" t="n">
        <v>2025</v>
      </c>
      <c r="B5047" s="4" t="n">
        <v>5250</v>
      </c>
      <c r="C5047" s="4" t="n">
        <v>521</v>
      </c>
      <c r="D5047" s="4" t="n">
        <v>157.6025</v>
      </c>
      <c r="E5047" s="5" t="n">
        <v>33.3</v>
      </c>
      <c r="F5047" s="3" t="inlineStr">
        <is>
          <t>강내면</t>
        </is>
      </c>
      <c r="G5047" s="3" t="inlineStr">
        <is>
          <t>월탄리</t>
        </is>
      </c>
      <c r="H5047" s="3" t="inlineStr">
        <is>
          <t>계획관리지역</t>
        </is>
      </c>
      <c r="I5047" s="3" t="inlineStr">
        <is>
          <t>임야</t>
        </is>
      </c>
      <c r="J5047" s="3" t="inlineStr">
        <is>
          <t>강내면</t>
        </is>
      </c>
    </row>
    <row r="5048">
      <c r="A5048" s="3" t="n">
        <v>2025</v>
      </c>
      <c r="B5048" s="4" t="n">
        <v>87800</v>
      </c>
      <c r="C5048" s="4" t="n">
        <v>1451</v>
      </c>
      <c r="D5048" s="4" t="n">
        <v>438.9275</v>
      </c>
      <c r="E5048" s="5" t="n">
        <v>200</v>
      </c>
      <c r="F5048" s="3" t="inlineStr">
        <is>
          <t>오송읍</t>
        </is>
      </c>
      <c r="G5048" s="3" t="inlineStr">
        <is>
          <t>봉산리</t>
        </is>
      </c>
      <c r="H5048" s="3" t="inlineStr">
        <is>
          <t>계획관리지역</t>
        </is>
      </c>
      <c r="I5048" s="3" t="inlineStr">
        <is>
          <t>답</t>
        </is>
      </c>
      <c r="J5048" s="3" t="inlineStr">
        <is>
          <t>오송읍</t>
        </is>
      </c>
    </row>
    <row r="5049">
      <c r="A5049" s="3" t="n">
        <v>2025</v>
      </c>
      <c r="B5049" s="4" t="n">
        <v>11000</v>
      </c>
      <c r="C5049" s="4" t="n">
        <v>1236</v>
      </c>
      <c r="D5049" s="4" t="n">
        <v>373.89</v>
      </c>
      <c r="E5049" s="5" t="n">
        <v>29.4</v>
      </c>
      <c r="F5049" s="3" t="inlineStr">
        <is>
          <t>강내면</t>
        </is>
      </c>
      <c r="G5049" s="3" t="inlineStr">
        <is>
          <t>학천리</t>
        </is>
      </c>
      <c r="H5049" s="3" t="inlineStr">
        <is>
          <t>생산녹지지역</t>
        </is>
      </c>
      <c r="I5049" s="3" t="inlineStr">
        <is>
          <t>답</t>
        </is>
      </c>
      <c r="J5049" s="3" t="inlineStr">
        <is>
          <t>강내면</t>
        </is>
      </c>
    </row>
    <row r="5050">
      <c r="A5050" s="3" t="n">
        <v>2025</v>
      </c>
      <c r="B5050" s="4" t="n">
        <v>1755</v>
      </c>
      <c r="C5050" s="4" t="n">
        <v>354</v>
      </c>
      <c r="D5050" s="4" t="n">
        <v>107.085</v>
      </c>
      <c r="E5050" s="5" t="n">
        <v>16.4</v>
      </c>
      <c r="F5050" s="3" t="inlineStr">
        <is>
          <t>강내면</t>
        </is>
      </c>
      <c r="G5050" s="3" t="inlineStr">
        <is>
          <t>학천리</t>
        </is>
      </c>
      <c r="H5050" s="3" t="inlineStr">
        <is>
          <t>생산녹지지역</t>
        </is>
      </c>
      <c r="I5050" s="3" t="inlineStr">
        <is>
          <t>답</t>
        </is>
      </c>
      <c r="J5050" s="3" t="inlineStr">
        <is>
          <t>강내면</t>
        </is>
      </c>
    </row>
    <row r="5051">
      <c r="A5051" s="3" t="n">
        <v>2025</v>
      </c>
      <c r="B5051" s="4" t="n">
        <v>2245</v>
      </c>
      <c r="C5051" s="4" t="n">
        <v>453</v>
      </c>
      <c r="D5051" s="4" t="n">
        <v>137.0325</v>
      </c>
      <c r="E5051" s="5" t="n">
        <v>16.4</v>
      </c>
      <c r="F5051" s="3" t="inlineStr">
        <is>
          <t>강내면</t>
        </is>
      </c>
      <c r="G5051" s="3" t="inlineStr">
        <is>
          <t>학천리</t>
        </is>
      </c>
      <c r="H5051" s="3" t="inlineStr">
        <is>
          <t>생산녹지지역</t>
        </is>
      </c>
      <c r="I5051" s="3" t="inlineStr">
        <is>
          <t>답</t>
        </is>
      </c>
      <c r="J5051" s="3" t="inlineStr">
        <is>
          <t>강내면</t>
        </is>
      </c>
    </row>
    <row r="5052">
      <c r="A5052" s="3" t="n">
        <v>2025</v>
      </c>
      <c r="B5052" s="4" t="n">
        <v>2000</v>
      </c>
      <c r="C5052" s="4" t="n">
        <v>344</v>
      </c>
      <c r="D5052" s="4" t="n">
        <v>104.06</v>
      </c>
      <c r="E5052" s="5" t="n">
        <v>19.2</v>
      </c>
      <c r="F5052" s="3" t="inlineStr">
        <is>
          <t>강내면</t>
        </is>
      </c>
      <c r="G5052" s="3" t="inlineStr">
        <is>
          <t>학천리</t>
        </is>
      </c>
      <c r="H5052" s="3" t="inlineStr">
        <is>
          <t>생산녹지지역</t>
        </is>
      </c>
      <c r="I5052" s="3" t="inlineStr">
        <is>
          <t>답</t>
        </is>
      </c>
      <c r="J5052" s="3" t="inlineStr">
        <is>
          <t>강내면</t>
        </is>
      </c>
    </row>
    <row r="5053">
      <c r="A5053" s="3" t="n">
        <v>2025</v>
      </c>
      <c r="B5053" s="4" t="n">
        <v>26900</v>
      </c>
      <c r="C5053" s="4" t="n">
        <v>1537</v>
      </c>
      <c r="D5053" s="4" t="n">
        <v>464.9425</v>
      </c>
      <c r="E5053" s="5" t="n">
        <v>57.9</v>
      </c>
      <c r="F5053" s="3" t="inlineStr">
        <is>
          <t>오송읍</t>
        </is>
      </c>
      <c r="G5053" s="3" t="inlineStr">
        <is>
          <t>서평리</t>
        </is>
      </c>
      <c r="H5053" s="3" t="inlineStr">
        <is>
          <t>농림지역</t>
        </is>
      </c>
      <c r="I5053" s="3" t="inlineStr">
        <is>
          <t>답</t>
        </is>
      </c>
      <c r="J5053" s="3" t="inlineStr">
        <is>
          <t>오송읍</t>
        </is>
      </c>
    </row>
    <row r="5054">
      <c r="A5054" s="3" t="n">
        <v>2024</v>
      </c>
      <c r="B5054" s="4" t="n">
        <v>10408</v>
      </c>
      <c r="C5054" s="4" t="n">
        <v>569</v>
      </c>
      <c r="D5054" s="4" t="n">
        <v>172.1225</v>
      </c>
      <c r="E5054" s="5" t="n">
        <v>60.5</v>
      </c>
      <c r="F5054" s="3" t="inlineStr">
        <is>
          <t>남이면</t>
        </is>
      </c>
      <c r="G5054" s="3" t="inlineStr">
        <is>
          <t>양촌리</t>
        </is>
      </c>
      <c r="H5054" s="3" t="inlineStr">
        <is>
          <t>자연녹지지역</t>
        </is>
      </c>
      <c r="I5054" s="3" t="inlineStr">
        <is>
          <t>대</t>
        </is>
      </c>
      <c r="J5054" s="3" t="inlineStr">
        <is>
          <t>남이면</t>
        </is>
      </c>
    </row>
    <row r="5055">
      <c r="A5055" s="3" t="n">
        <v>2025</v>
      </c>
      <c r="B5055" s="4" t="n">
        <v>63500</v>
      </c>
      <c r="C5055" s="4" t="n">
        <v>3620</v>
      </c>
      <c r="D5055" s="4" t="n">
        <v>1095.05</v>
      </c>
      <c r="E5055" s="5" t="n">
        <v>58</v>
      </c>
      <c r="F5055" s="3" t="inlineStr">
        <is>
          <t>오송읍</t>
        </is>
      </c>
      <c r="G5055" s="3" t="inlineStr">
        <is>
          <t>서평리</t>
        </is>
      </c>
      <c r="H5055" s="3" t="inlineStr">
        <is>
          <t>농림지역</t>
        </is>
      </c>
      <c r="I5055" s="3" t="inlineStr">
        <is>
          <t>답</t>
        </is>
      </c>
      <c r="J5055" s="3" t="inlineStr">
        <is>
          <t>오송읍</t>
        </is>
      </c>
    </row>
    <row r="5056">
      <c r="A5056" s="3" t="n">
        <v>2025</v>
      </c>
      <c r="B5056" s="4" t="n">
        <v>2674</v>
      </c>
      <c r="C5056" s="4" t="n">
        <v>191</v>
      </c>
      <c r="D5056" s="4" t="n">
        <v>57.7775</v>
      </c>
      <c r="E5056" s="5" t="n">
        <v>46.3</v>
      </c>
      <c r="F5056" s="3" t="inlineStr">
        <is>
          <t>강내면</t>
        </is>
      </c>
      <c r="G5056" s="3" t="inlineStr">
        <is>
          <t>태성리</t>
        </is>
      </c>
      <c r="H5056" s="3" t="inlineStr">
        <is>
          <t>계획관리지역</t>
        </is>
      </c>
      <c r="I5056" s="3" t="inlineStr">
        <is>
          <t>대</t>
        </is>
      </c>
      <c r="J5056" s="3" t="inlineStr">
        <is>
          <t>강내면</t>
        </is>
      </c>
    </row>
    <row r="5057">
      <c r="A5057" s="3" t="n">
        <v>2025</v>
      </c>
      <c r="B5057" s="4" t="n">
        <v>11000</v>
      </c>
      <c r="C5057" s="4" t="n">
        <v>1268</v>
      </c>
      <c r="D5057" s="4" t="n">
        <v>383.57</v>
      </c>
      <c r="E5057" s="5" t="n">
        <v>28.7</v>
      </c>
      <c r="F5057" s="3" t="inlineStr">
        <is>
          <t>강내면</t>
        </is>
      </c>
      <c r="G5057" s="3" t="inlineStr">
        <is>
          <t>저산리</t>
        </is>
      </c>
      <c r="H5057" s="3" t="inlineStr">
        <is>
          <t>농림지역</t>
        </is>
      </c>
      <c r="I5057" s="3" t="inlineStr">
        <is>
          <t>전</t>
        </is>
      </c>
      <c r="J5057" s="3" t="inlineStr">
        <is>
          <t>강내면</t>
        </is>
      </c>
    </row>
    <row r="5058">
      <c r="A5058" s="3" t="n">
        <v>2025</v>
      </c>
      <c r="B5058" s="4" t="n">
        <v>4000</v>
      </c>
      <c r="C5058" s="4" t="n">
        <v>564</v>
      </c>
      <c r="D5058" s="4" t="n">
        <v>170.61</v>
      </c>
      <c r="E5058" s="5" t="n">
        <v>23.4</v>
      </c>
      <c r="F5058" s="3" t="inlineStr">
        <is>
          <t>강내면</t>
        </is>
      </c>
      <c r="G5058" s="3" t="inlineStr">
        <is>
          <t>저산리</t>
        </is>
      </c>
      <c r="H5058" s="3" t="inlineStr">
        <is>
          <t>보전관리지역</t>
        </is>
      </c>
      <c r="I5058" s="3" t="inlineStr">
        <is>
          <t>임야</t>
        </is>
      </c>
      <c r="J5058" s="3" t="inlineStr">
        <is>
          <t>강내면</t>
        </is>
      </c>
    </row>
    <row r="5059">
      <c r="A5059" s="3" t="n">
        <v>2026</v>
      </c>
      <c r="B5059" s="4" t="n">
        <v>9864</v>
      </c>
      <c r="C5059" s="4" t="n">
        <v>331</v>
      </c>
      <c r="D5059" s="4" t="n">
        <v>100.1275</v>
      </c>
      <c r="E5059" s="5" t="n">
        <v>98.5</v>
      </c>
      <c r="F5059" s="3" t="inlineStr">
        <is>
          <t>오송읍</t>
        </is>
      </c>
      <c r="G5059" s="3" t="inlineStr">
        <is>
          <t>서평리</t>
        </is>
      </c>
      <c r="H5059" s="3" t="inlineStr">
        <is>
          <t>생산관리지역</t>
        </is>
      </c>
      <c r="I5059" s="3" t="inlineStr">
        <is>
          <t>전</t>
        </is>
      </c>
      <c r="J5059" s="3" t="inlineStr">
        <is>
          <t>오송읍</t>
        </is>
      </c>
    </row>
    <row r="5060">
      <c r="A5060" s="3" t="n">
        <v>2026</v>
      </c>
      <c r="B5060" s="4" t="n">
        <v>3636</v>
      </c>
      <c r="C5060" s="4" t="n">
        <v>122</v>
      </c>
      <c r="D5060" s="4" t="n">
        <v>36.905</v>
      </c>
      <c r="E5060" s="5" t="n">
        <v>98.5</v>
      </c>
      <c r="F5060" s="3" t="inlineStr">
        <is>
          <t>오송읍</t>
        </is>
      </c>
      <c r="G5060" s="3" t="inlineStr">
        <is>
          <t>서평리</t>
        </is>
      </c>
      <c r="H5060" s="3" t="inlineStr">
        <is>
          <t>생산관리지역</t>
        </is>
      </c>
      <c r="I5060" s="3" t="inlineStr">
        <is>
          <t>답</t>
        </is>
      </c>
      <c r="J5060" s="3" t="inlineStr">
        <is>
          <t>오송읍</t>
        </is>
      </c>
    </row>
    <row r="5061">
      <c r="A5061" s="3" t="n">
        <v>2026</v>
      </c>
      <c r="B5061" s="4" t="n">
        <v>21000</v>
      </c>
      <c r="C5061" s="4" t="n">
        <v>1001</v>
      </c>
      <c r="D5061" s="4" t="n">
        <v>302.8025</v>
      </c>
      <c r="E5061" s="5" t="n">
        <v>69.40000000000001</v>
      </c>
      <c r="F5061" s="3" t="inlineStr">
        <is>
          <t>오송읍</t>
        </is>
      </c>
      <c r="G5061" s="3" t="inlineStr">
        <is>
          <t>서평리</t>
        </is>
      </c>
      <c r="H5061" s="3" t="inlineStr">
        <is>
          <t>농림지역</t>
        </is>
      </c>
      <c r="I5061" s="3" t="inlineStr">
        <is>
          <t>전</t>
        </is>
      </c>
      <c r="J5061" s="3" t="inlineStr">
        <is>
          <t>오송읍</t>
        </is>
      </c>
    </row>
    <row r="5062">
      <c r="A5062" s="3" t="n">
        <v>2026</v>
      </c>
      <c r="B5062" s="4" t="n">
        <v>32000</v>
      </c>
      <c r="C5062" s="4" t="n">
        <v>267.9</v>
      </c>
      <c r="D5062" s="4" t="n">
        <v>81.03974999999998</v>
      </c>
      <c r="E5062" s="5" t="n">
        <v>394.9</v>
      </c>
      <c r="F5062" s="3" t="inlineStr">
        <is>
          <t>오송읍</t>
        </is>
      </c>
      <c r="G5062" s="3" t="inlineStr">
        <is>
          <t>봉산리</t>
        </is>
      </c>
      <c r="H5062" s="3" t="inlineStr">
        <is>
          <t>제1종일반주거지역</t>
        </is>
      </c>
      <c r="I5062" s="3" t="inlineStr">
        <is>
          <t>대</t>
        </is>
      </c>
      <c r="J5062" s="3" t="inlineStr">
        <is>
          <t>오송읍</t>
        </is>
      </c>
    </row>
    <row r="5063">
      <c r="A5063" s="3" t="n">
        <v>2026</v>
      </c>
      <c r="B5063" s="4" t="n">
        <v>35900</v>
      </c>
      <c r="C5063" s="4" t="n">
        <v>2081</v>
      </c>
      <c r="D5063" s="4" t="n">
        <v>629.5024999999999</v>
      </c>
      <c r="E5063" s="5" t="n">
        <v>57</v>
      </c>
      <c r="F5063" s="3" t="inlineStr">
        <is>
          <t>강내면</t>
        </is>
      </c>
      <c r="G5063" s="3" t="inlineStr">
        <is>
          <t>사곡리</t>
        </is>
      </c>
      <c r="H5063" s="3" t="inlineStr">
        <is>
          <t>계획관리지역</t>
        </is>
      </c>
      <c r="I5063" s="3" t="inlineStr">
        <is>
          <t>전</t>
        </is>
      </c>
      <c r="J5063" s="3" t="inlineStr">
        <is>
          <t>강내면</t>
        </is>
      </c>
    </row>
    <row r="5064">
      <c r="A5064" s="3" t="n">
        <v>2026</v>
      </c>
      <c r="B5064" s="4" t="n">
        <v>6466</v>
      </c>
      <c r="C5064" s="4" t="n">
        <v>375</v>
      </c>
      <c r="D5064" s="4" t="n">
        <v>113.4375</v>
      </c>
      <c r="E5064" s="5" t="n">
        <v>57</v>
      </c>
      <c r="F5064" s="3" t="inlineStr">
        <is>
          <t>오송읍</t>
        </is>
      </c>
      <c r="G5064" s="3" t="inlineStr">
        <is>
          <t>공북리</t>
        </is>
      </c>
      <c r="H5064" s="3" t="inlineStr">
        <is>
          <t>농림지역</t>
        </is>
      </c>
      <c r="I5064" s="3" t="inlineStr">
        <is>
          <t>임야</t>
        </is>
      </c>
      <c r="J5064" s="3" t="inlineStr">
        <is>
          <t>오송읍</t>
        </is>
      </c>
    </row>
    <row r="5065">
      <c r="A5065" s="3" t="n">
        <v>2026</v>
      </c>
      <c r="B5065" s="4" t="n">
        <v>6466</v>
      </c>
      <c r="C5065" s="4" t="n">
        <v>375</v>
      </c>
      <c r="D5065" s="4" t="n">
        <v>113.4375</v>
      </c>
      <c r="E5065" s="5" t="n">
        <v>57</v>
      </c>
      <c r="F5065" s="3" t="inlineStr">
        <is>
          <t>오송읍</t>
        </is>
      </c>
      <c r="G5065" s="3" t="inlineStr">
        <is>
          <t>공북리</t>
        </is>
      </c>
      <c r="H5065" s="3" t="inlineStr">
        <is>
          <t>농림지역</t>
        </is>
      </c>
      <c r="I5065" s="3" t="inlineStr">
        <is>
          <t>임야</t>
        </is>
      </c>
      <c r="J5065" s="3" t="inlineStr">
        <is>
          <t>오송읍</t>
        </is>
      </c>
    </row>
    <row r="5066">
      <c r="A5066" s="3" t="n">
        <v>2026</v>
      </c>
      <c r="B5066" s="4" t="n">
        <v>34056</v>
      </c>
      <c r="C5066" s="4" t="n">
        <v>4691</v>
      </c>
      <c r="D5066" s="4" t="n">
        <v>1419.0275</v>
      </c>
      <c r="E5066" s="5" t="n">
        <v>24</v>
      </c>
      <c r="F5066" s="3" t="inlineStr">
        <is>
          <t>강내면</t>
        </is>
      </c>
      <c r="G5066" s="3" t="inlineStr">
        <is>
          <t>사곡리</t>
        </is>
      </c>
      <c r="H5066" s="3" t="inlineStr">
        <is>
          <t>계획관리지역</t>
        </is>
      </c>
      <c r="I5066" s="3" t="inlineStr">
        <is>
          <t>전</t>
        </is>
      </c>
      <c r="J5066" s="3" t="inlineStr">
        <is>
          <t>강내면</t>
        </is>
      </c>
    </row>
    <row r="5067">
      <c r="A5067" s="3" t="n">
        <v>2026</v>
      </c>
      <c r="B5067" s="4" t="n">
        <v>17633</v>
      </c>
      <c r="C5067" s="4" t="n">
        <v>948</v>
      </c>
      <c r="D5067" s="4" t="n">
        <v>286.77</v>
      </c>
      <c r="E5067" s="5" t="n">
        <v>61.5</v>
      </c>
      <c r="F5067" s="3" t="inlineStr">
        <is>
          <t>오송읍</t>
        </is>
      </c>
      <c r="G5067" s="3" t="inlineStr">
        <is>
          <t>공북리</t>
        </is>
      </c>
      <c r="H5067" s="3" t="inlineStr">
        <is>
          <t>농림지역</t>
        </is>
      </c>
      <c r="I5067" s="3" t="inlineStr">
        <is>
          <t>전</t>
        </is>
      </c>
      <c r="J5067" s="3" t="inlineStr">
        <is>
          <t>오송읍</t>
        </is>
      </c>
    </row>
    <row r="5068">
      <c r="A5068" s="3" t="n">
        <v>2022</v>
      </c>
      <c r="B5068" s="4" t="n">
        <v>13594</v>
      </c>
      <c r="C5068" s="4" t="n">
        <v>1021</v>
      </c>
      <c r="D5068" s="4" t="n">
        <v>308.8525</v>
      </c>
      <c r="E5068" s="5" t="n">
        <v>44</v>
      </c>
      <c r="F5068" s="3" t="inlineStr">
        <is>
          <t>남이면</t>
        </is>
      </c>
      <c r="G5068" s="3" t="inlineStr">
        <is>
          <t>구암리</t>
        </is>
      </c>
      <c r="H5068" s="3" t="inlineStr">
        <is>
          <t>자연녹지지역</t>
        </is>
      </c>
      <c r="I5068" s="3" t="inlineStr">
        <is>
          <t>전</t>
        </is>
      </c>
      <c r="J5068" s="3" t="inlineStr">
        <is>
          <t>남이면</t>
        </is>
      </c>
    </row>
    <row r="5069">
      <c r="A5069" s="3" t="n">
        <v>2022</v>
      </c>
      <c r="B5069" s="4" t="n">
        <v>8361</v>
      </c>
      <c r="C5069" s="4" t="n">
        <v>628</v>
      </c>
      <c r="D5069" s="4" t="n">
        <v>189.97</v>
      </c>
      <c r="E5069" s="5" t="n">
        <v>44</v>
      </c>
      <c r="F5069" s="3" t="inlineStr">
        <is>
          <t>남이면</t>
        </is>
      </c>
      <c r="G5069" s="3" t="inlineStr">
        <is>
          <t>구암리</t>
        </is>
      </c>
      <c r="H5069" s="3" t="inlineStr">
        <is>
          <t>자연녹지지역</t>
        </is>
      </c>
      <c r="I5069" s="3" t="inlineStr">
        <is>
          <t>전</t>
        </is>
      </c>
      <c r="J5069" s="3" t="inlineStr">
        <is>
          <t>남이면</t>
        </is>
      </c>
    </row>
    <row r="5070">
      <c r="A5070" s="3" t="n">
        <v>2022</v>
      </c>
      <c r="B5070" s="4" t="n">
        <v>20197</v>
      </c>
      <c r="C5070" s="4" t="n">
        <v>1517</v>
      </c>
      <c r="D5070" s="4" t="n">
        <v>458.8925</v>
      </c>
      <c r="E5070" s="5" t="n">
        <v>44</v>
      </c>
      <c r="F5070" s="3" t="inlineStr">
        <is>
          <t>남이면</t>
        </is>
      </c>
      <c r="G5070" s="3" t="inlineStr">
        <is>
          <t>구암리</t>
        </is>
      </c>
      <c r="H5070" s="3" t="inlineStr">
        <is>
          <t>자연녹지지역</t>
        </is>
      </c>
      <c r="I5070" s="3" t="inlineStr">
        <is>
          <t>전</t>
        </is>
      </c>
      <c r="J5070" s="3" t="inlineStr">
        <is>
          <t>남이면</t>
        </is>
      </c>
    </row>
    <row r="5071">
      <c r="A5071" s="3" t="n">
        <v>2022</v>
      </c>
      <c r="B5071" s="4" t="n">
        <v>3000</v>
      </c>
      <c r="C5071" s="4" t="n">
        <v>20</v>
      </c>
      <c r="D5071" s="4" t="n">
        <v>6.05</v>
      </c>
      <c r="E5071" s="5" t="n">
        <v>495.9</v>
      </c>
      <c r="F5071" s="3" t="inlineStr">
        <is>
          <t>남이면</t>
        </is>
      </c>
      <c r="G5071" s="3" t="inlineStr">
        <is>
          <t>양촌리</t>
        </is>
      </c>
      <c r="H5071" s="3" t="inlineStr">
        <is>
          <t>자연녹지지역</t>
        </is>
      </c>
      <c r="I5071" s="3" t="inlineStr">
        <is>
          <t>답</t>
        </is>
      </c>
      <c r="J5071" s="3" t="inlineStr">
        <is>
          <t>남이면</t>
        </is>
      </c>
    </row>
    <row r="5072">
      <c r="A5072" s="3" t="n">
        <v>2022</v>
      </c>
      <c r="B5072" s="4" t="n">
        <v>60924</v>
      </c>
      <c r="C5072" s="4" t="n">
        <v>8056</v>
      </c>
      <c r="D5072" s="4" t="n">
        <v>2436.94</v>
      </c>
      <c r="E5072" s="5" t="n">
        <v>25</v>
      </c>
      <c r="F5072" s="3" t="inlineStr">
        <is>
          <t>남이면</t>
        </is>
      </c>
      <c r="G5072" s="3" t="inlineStr">
        <is>
          <t>비룡리</t>
        </is>
      </c>
      <c r="H5072" s="3" t="inlineStr">
        <is>
          <t>생산관리지역</t>
        </is>
      </c>
      <c r="I5072" s="3" t="inlineStr">
        <is>
          <t>답</t>
        </is>
      </c>
      <c r="J5072" s="3" t="inlineStr">
        <is>
          <t>남이면</t>
        </is>
      </c>
    </row>
    <row r="5073">
      <c r="A5073" s="3" t="n">
        <v>2022</v>
      </c>
      <c r="B5073" s="4" t="n">
        <v>18550</v>
      </c>
      <c r="C5073" s="4" t="n">
        <v>472</v>
      </c>
      <c r="D5073" s="4" t="n">
        <v>142.78</v>
      </c>
      <c r="E5073" s="5" t="n">
        <v>129.9</v>
      </c>
      <c r="F5073" s="3" t="inlineStr">
        <is>
          <t>남이면</t>
        </is>
      </c>
      <c r="G5073" s="3" t="inlineStr">
        <is>
          <t>석판리</t>
        </is>
      </c>
      <c r="H5073" s="3" t="inlineStr">
        <is>
          <t>자연녹지지역</t>
        </is>
      </c>
      <c r="I5073" s="3" t="inlineStr">
        <is>
          <t>전</t>
        </is>
      </c>
      <c r="J5073" s="3" t="inlineStr">
        <is>
          <t>남이면</t>
        </is>
      </c>
    </row>
    <row r="5074">
      <c r="A5074" s="3" t="n">
        <v>2022</v>
      </c>
      <c r="B5074" s="4" t="n">
        <v>354</v>
      </c>
      <c r="C5074" s="4" t="n">
        <v>9</v>
      </c>
      <c r="D5074" s="4" t="n">
        <v>2.7225</v>
      </c>
      <c r="E5074" s="5" t="n">
        <v>130</v>
      </c>
      <c r="F5074" s="3" t="inlineStr">
        <is>
          <t>남이면</t>
        </is>
      </c>
      <c r="G5074" s="3" t="inlineStr">
        <is>
          <t>석판리</t>
        </is>
      </c>
      <c r="H5074" s="3" t="inlineStr">
        <is>
          <t>자연녹지지역</t>
        </is>
      </c>
      <c r="I5074" s="3" t="inlineStr">
        <is>
          <t>전</t>
        </is>
      </c>
      <c r="J5074" s="3" t="inlineStr">
        <is>
          <t>남이면</t>
        </is>
      </c>
    </row>
    <row r="5075">
      <c r="A5075" s="3" t="n">
        <v>2022</v>
      </c>
      <c r="B5075" s="4" t="n">
        <v>6209</v>
      </c>
      <c r="C5075" s="4" t="n">
        <v>158</v>
      </c>
      <c r="D5075" s="4" t="n">
        <v>47.795</v>
      </c>
      <c r="E5075" s="5" t="n">
        <v>129.9</v>
      </c>
      <c r="F5075" s="3" t="inlineStr">
        <is>
          <t>남이면</t>
        </is>
      </c>
      <c r="G5075" s="3" t="inlineStr">
        <is>
          <t>석판리</t>
        </is>
      </c>
      <c r="H5075" s="3" t="inlineStr">
        <is>
          <t>자연녹지지역</t>
        </is>
      </c>
      <c r="I5075" s="3" t="inlineStr">
        <is>
          <t>전</t>
        </is>
      </c>
      <c r="J5075" s="3" t="inlineStr">
        <is>
          <t>남이면</t>
        </is>
      </c>
    </row>
    <row r="5076">
      <c r="A5076" s="3" t="n">
        <v>2022</v>
      </c>
      <c r="B5076" s="4" t="n">
        <v>22080</v>
      </c>
      <c r="C5076" s="4" t="n">
        <v>1217</v>
      </c>
      <c r="D5076" s="4" t="n">
        <v>368.1425</v>
      </c>
      <c r="E5076" s="5" t="n">
        <v>60</v>
      </c>
      <c r="F5076" s="3" t="inlineStr">
        <is>
          <t>남이면</t>
        </is>
      </c>
      <c r="G5076" s="3" t="inlineStr">
        <is>
          <t>부용외천리</t>
        </is>
      </c>
      <c r="H5076" s="3" t="inlineStr">
        <is>
          <t>계획관리지역</t>
        </is>
      </c>
      <c r="I5076" s="3" t="inlineStr">
        <is>
          <t>답</t>
        </is>
      </c>
      <c r="J5076" s="3" t="inlineStr">
        <is>
          <t>남이면</t>
        </is>
      </c>
    </row>
    <row r="5077">
      <c r="A5077" s="3" t="n">
        <v>2022</v>
      </c>
      <c r="B5077" s="4" t="n">
        <v>2400</v>
      </c>
      <c r="C5077" s="4" t="n">
        <v>192</v>
      </c>
      <c r="D5077" s="4" t="n">
        <v>58.08</v>
      </c>
      <c r="E5077" s="5" t="n">
        <v>41.3</v>
      </c>
      <c r="F5077" s="3" t="inlineStr">
        <is>
          <t>남이면</t>
        </is>
      </c>
      <c r="G5077" s="3" t="inlineStr">
        <is>
          <t>갈원리</t>
        </is>
      </c>
      <c r="H5077" s="3" t="inlineStr">
        <is>
          <t>계획관리지역</t>
        </is>
      </c>
      <c r="I5077" s="3" t="inlineStr">
        <is>
          <t>대</t>
        </is>
      </c>
      <c r="J5077" s="3" t="inlineStr">
        <is>
          <t>남이면</t>
        </is>
      </c>
    </row>
    <row r="5078">
      <c r="A5078" s="3" t="n">
        <v>2022</v>
      </c>
      <c r="B5078" s="4" t="n">
        <v>90700</v>
      </c>
      <c r="C5078" s="4" t="n">
        <v>955</v>
      </c>
      <c r="D5078" s="4" t="n">
        <v>288.8875</v>
      </c>
      <c r="E5078" s="5" t="n">
        <v>314</v>
      </c>
      <c r="F5078" s="3" t="inlineStr">
        <is>
          <t>남이면</t>
        </is>
      </c>
      <c r="G5078" s="3" t="inlineStr">
        <is>
          <t>석판리</t>
        </is>
      </c>
      <c r="H5078" s="3" t="inlineStr">
        <is>
          <t>자연녹지지역</t>
        </is>
      </c>
      <c r="I5078" s="3" t="inlineStr">
        <is>
          <t>전</t>
        </is>
      </c>
      <c r="J5078" s="3" t="inlineStr">
        <is>
          <t>남이면</t>
        </is>
      </c>
    </row>
    <row r="5079">
      <c r="A5079" s="3" t="n">
        <v>2022</v>
      </c>
      <c r="B5079" s="4" t="n">
        <v>11300</v>
      </c>
      <c r="C5079" s="4" t="n">
        <v>120</v>
      </c>
      <c r="D5079" s="4" t="n">
        <v>36.3</v>
      </c>
      <c r="E5079" s="5" t="n">
        <v>311.3</v>
      </c>
      <c r="F5079" s="3" t="inlineStr">
        <is>
          <t>남이면</t>
        </is>
      </c>
      <c r="G5079" s="3" t="inlineStr">
        <is>
          <t>석판리</t>
        </is>
      </c>
      <c r="H5079" s="3" t="inlineStr">
        <is>
          <t>자연녹지지역</t>
        </is>
      </c>
      <c r="I5079" s="3" t="inlineStr">
        <is>
          <t>임야</t>
        </is>
      </c>
      <c r="J5079" s="3" t="inlineStr">
        <is>
          <t>남이면</t>
        </is>
      </c>
    </row>
    <row r="5080">
      <c r="A5080" s="3" t="n">
        <v>2022</v>
      </c>
      <c r="B5080" s="4" t="n">
        <v>88330</v>
      </c>
      <c r="C5080" s="4" t="n">
        <v>24955</v>
      </c>
      <c r="D5080" s="4" t="n">
        <v>7548.8875</v>
      </c>
      <c r="E5080" s="5" t="n">
        <v>11.7</v>
      </c>
      <c r="F5080" s="3" t="inlineStr">
        <is>
          <t>남이면</t>
        </is>
      </c>
      <c r="G5080" s="3" t="inlineStr">
        <is>
          <t>산막리</t>
        </is>
      </c>
      <c r="H5080" s="3" t="inlineStr">
        <is>
          <t>보전관리지역</t>
        </is>
      </c>
      <c r="I5080" s="3" t="inlineStr">
        <is>
          <t>임야</t>
        </is>
      </c>
      <c r="J5080" s="3" t="inlineStr">
        <is>
          <t>남이면</t>
        </is>
      </c>
    </row>
    <row r="5081">
      <c r="A5081" s="3" t="n">
        <v>2022</v>
      </c>
      <c r="B5081" s="4" t="n">
        <v>10928</v>
      </c>
      <c r="C5081" s="4" t="n">
        <v>3570</v>
      </c>
      <c r="D5081" s="4" t="n">
        <v>1079.925</v>
      </c>
      <c r="E5081" s="5" t="n">
        <v>10.1</v>
      </c>
      <c r="F5081" s="3" t="inlineStr">
        <is>
          <t>남이면</t>
        </is>
      </c>
      <c r="G5081" s="3" t="inlineStr">
        <is>
          <t>산막리</t>
        </is>
      </c>
      <c r="H5081" s="3" t="inlineStr">
        <is>
          <t>보전관리지역</t>
        </is>
      </c>
      <c r="I5081" s="3" t="inlineStr">
        <is>
          <t>임야</t>
        </is>
      </c>
      <c r="J5081" s="3" t="inlineStr">
        <is>
          <t>남이면</t>
        </is>
      </c>
    </row>
    <row r="5082">
      <c r="A5082" s="3" t="n">
        <v>2024</v>
      </c>
      <c r="B5082" s="4" t="n">
        <v>2890</v>
      </c>
      <c r="C5082" s="4" t="n">
        <v>648</v>
      </c>
      <c r="D5082" s="4" t="n">
        <v>196.02</v>
      </c>
      <c r="E5082" s="5" t="n">
        <v>14.7</v>
      </c>
      <c r="F5082" s="3" t="inlineStr">
        <is>
          <t>남이면</t>
        </is>
      </c>
      <c r="G5082" s="3" t="inlineStr">
        <is>
          <t>사동리</t>
        </is>
      </c>
      <c r="H5082" s="3" t="inlineStr">
        <is>
          <t>보전관리지역</t>
        </is>
      </c>
      <c r="I5082" s="3" t="inlineStr">
        <is>
          <t>전</t>
        </is>
      </c>
      <c r="J5082" s="3" t="inlineStr">
        <is>
          <t>남이면</t>
        </is>
      </c>
    </row>
    <row r="5083">
      <c r="A5083" s="3" t="n">
        <v>2024</v>
      </c>
      <c r="B5083" s="4" t="n">
        <v>110</v>
      </c>
      <c r="C5083" s="4" t="n">
        <v>99</v>
      </c>
      <c r="D5083" s="4" t="n">
        <v>29.9475</v>
      </c>
      <c r="E5083" s="5" t="n">
        <v>3.7</v>
      </c>
      <c r="F5083" s="3" t="inlineStr">
        <is>
          <t>남이면</t>
        </is>
      </c>
      <c r="G5083" s="3" t="inlineStr">
        <is>
          <t>사동리</t>
        </is>
      </c>
      <c r="H5083" s="3" t="inlineStr">
        <is>
          <t>보전관리지역</t>
        </is>
      </c>
      <c r="I5083" s="3" t="inlineStr">
        <is>
          <t>임야</t>
        </is>
      </c>
      <c r="J5083" s="3" t="inlineStr">
        <is>
          <t>남이면</t>
        </is>
      </c>
    </row>
    <row r="5084">
      <c r="A5084" s="3" t="n">
        <v>2024</v>
      </c>
      <c r="B5084" s="4" t="n">
        <v>62000</v>
      </c>
      <c r="C5084" s="4" t="n">
        <v>1589</v>
      </c>
      <c r="D5084" s="4" t="n">
        <v>480.6725</v>
      </c>
      <c r="E5084" s="5" t="n">
        <v>129</v>
      </c>
      <c r="F5084" s="3" t="inlineStr">
        <is>
          <t>남이면</t>
        </is>
      </c>
      <c r="G5084" s="3" t="inlineStr">
        <is>
          <t>가좌리</t>
        </is>
      </c>
      <c r="H5084" s="3" t="inlineStr">
        <is>
          <t>자연녹지지역</t>
        </is>
      </c>
      <c r="I5084" s="3" t="inlineStr">
        <is>
          <t>답</t>
        </is>
      </c>
      <c r="J5084" s="3" t="inlineStr">
        <is>
          <t>남이면</t>
        </is>
      </c>
    </row>
    <row r="5085">
      <c r="A5085" s="3" t="n">
        <v>2024</v>
      </c>
      <c r="B5085" s="4" t="n">
        <v>12000</v>
      </c>
      <c r="C5085" s="4" t="n">
        <v>920</v>
      </c>
      <c r="D5085" s="4" t="n">
        <v>278.3</v>
      </c>
      <c r="E5085" s="5" t="n">
        <v>43.1</v>
      </c>
      <c r="F5085" s="3" t="inlineStr">
        <is>
          <t>남이면</t>
        </is>
      </c>
      <c r="G5085" s="3" t="inlineStr">
        <is>
          <t>문동리</t>
        </is>
      </c>
      <c r="H5085" s="3" t="inlineStr">
        <is>
          <t>자연녹지지역</t>
        </is>
      </c>
      <c r="I5085" s="3" t="inlineStr">
        <is>
          <t>전</t>
        </is>
      </c>
      <c r="J5085" s="3" t="inlineStr">
        <is>
          <t>남이면</t>
        </is>
      </c>
    </row>
    <row r="5086">
      <c r="A5086" s="3" t="n">
        <v>2026</v>
      </c>
      <c r="B5086" s="4" t="n">
        <v>24000</v>
      </c>
      <c r="C5086" s="4" t="n">
        <v>854</v>
      </c>
      <c r="D5086" s="4" t="n">
        <v>258.335</v>
      </c>
      <c r="E5086" s="5" t="n">
        <v>92.90000000000001</v>
      </c>
      <c r="F5086" s="3" t="inlineStr">
        <is>
          <t>오송읍</t>
        </is>
      </c>
      <c r="G5086" s="3" t="inlineStr">
        <is>
          <t>서평리</t>
        </is>
      </c>
      <c r="H5086" s="3" t="inlineStr">
        <is>
          <t>농림지역</t>
        </is>
      </c>
      <c r="I5086" s="3" t="inlineStr">
        <is>
          <t>답</t>
        </is>
      </c>
      <c r="J5086" s="3" t="inlineStr">
        <is>
          <t>오송읍</t>
        </is>
      </c>
    </row>
    <row r="5087">
      <c r="A5087" s="3" t="n">
        <v>2026</v>
      </c>
      <c r="B5087" s="4" t="n">
        <v>11200</v>
      </c>
      <c r="C5087" s="4" t="n">
        <v>2786</v>
      </c>
      <c r="D5087" s="4" t="n">
        <v>842.765</v>
      </c>
      <c r="E5087" s="5" t="n">
        <v>13.3</v>
      </c>
      <c r="F5087" s="3" t="inlineStr">
        <is>
          <t>강내면</t>
        </is>
      </c>
      <c r="G5087" s="3" t="inlineStr">
        <is>
          <t>태성리</t>
        </is>
      </c>
      <c r="H5087" s="3" t="inlineStr">
        <is>
          <t>계획관리지역</t>
        </is>
      </c>
      <c r="I5087" s="3" t="inlineStr">
        <is>
          <t>임야</t>
        </is>
      </c>
      <c r="J5087" s="3" t="inlineStr">
        <is>
          <t>강내면</t>
        </is>
      </c>
    </row>
    <row r="5088">
      <c r="A5088" s="3" t="n">
        <v>2026</v>
      </c>
      <c r="B5088" s="4" t="n">
        <v>35000</v>
      </c>
      <c r="C5088" s="4" t="n">
        <v>269.8</v>
      </c>
      <c r="D5088" s="4" t="n">
        <v>81.61450000000001</v>
      </c>
      <c r="E5088" s="5" t="n">
        <v>428.8</v>
      </c>
      <c r="F5088" s="3" t="inlineStr">
        <is>
          <t>오송읍</t>
        </is>
      </c>
      <c r="G5088" s="3" t="inlineStr">
        <is>
          <t>봉산리</t>
        </is>
      </c>
      <c r="H5088" s="3" t="inlineStr">
        <is>
          <t>제1종일반주거지역</t>
        </is>
      </c>
      <c r="I5088" s="3" t="inlineStr">
        <is>
          <t>대</t>
        </is>
      </c>
      <c r="J5088" s="3" t="inlineStr">
        <is>
          <t>오송읍</t>
        </is>
      </c>
    </row>
    <row r="5089">
      <c r="A5089" s="3" t="n">
        <v>2026</v>
      </c>
      <c r="B5089" s="4" t="n">
        <v>12990</v>
      </c>
      <c r="C5089" s="4" t="n">
        <v>1431</v>
      </c>
      <c r="D5089" s="4" t="n">
        <v>432.8775</v>
      </c>
      <c r="E5089" s="5" t="n">
        <v>30</v>
      </c>
      <c r="F5089" s="3" t="inlineStr">
        <is>
          <t>오송읍</t>
        </is>
      </c>
      <c r="G5089" s="3" t="inlineStr">
        <is>
          <t>정중리</t>
        </is>
      </c>
      <c r="H5089" s="3" t="inlineStr">
        <is>
          <t>농림지역</t>
        </is>
      </c>
      <c r="I5089" s="3" t="inlineStr">
        <is>
          <t>과수원</t>
        </is>
      </c>
      <c r="J5089" s="3" t="inlineStr">
        <is>
          <t>오송읍</t>
        </is>
      </c>
    </row>
    <row r="5090">
      <c r="A5090" s="3" t="n">
        <v>2026</v>
      </c>
      <c r="B5090" s="4" t="n">
        <v>4100</v>
      </c>
      <c r="C5090" s="4" t="n">
        <v>893</v>
      </c>
      <c r="D5090" s="4" t="n">
        <v>270.1325</v>
      </c>
      <c r="E5090" s="5" t="n">
        <v>15.2</v>
      </c>
      <c r="F5090" s="3" t="inlineStr">
        <is>
          <t>강내면</t>
        </is>
      </c>
      <c r="G5090" s="3" t="inlineStr">
        <is>
          <t>사곡리</t>
        </is>
      </c>
      <c r="H5090" s="3" t="inlineStr">
        <is>
          <t>계획관리지역</t>
        </is>
      </c>
      <c r="I5090" s="3" t="inlineStr">
        <is>
          <t>임야</t>
        </is>
      </c>
      <c r="J5090" s="3" t="inlineStr">
        <is>
          <t>강내면</t>
        </is>
      </c>
    </row>
    <row r="5091">
      <c r="A5091" s="3" t="n">
        <v>2026</v>
      </c>
      <c r="B5091" s="4" t="n">
        <v>32000</v>
      </c>
      <c r="C5091" s="4" t="n">
        <v>267.6</v>
      </c>
      <c r="D5091" s="4" t="n">
        <v>80.949</v>
      </c>
      <c r="E5091" s="5" t="n">
        <v>395.3</v>
      </c>
      <c r="F5091" s="3" t="inlineStr">
        <is>
          <t>오송읍</t>
        </is>
      </c>
      <c r="G5091" s="3" t="inlineStr">
        <is>
          <t>봉산리</t>
        </is>
      </c>
      <c r="H5091" s="3" t="inlineStr">
        <is>
          <t>제1종일반주거지역</t>
        </is>
      </c>
      <c r="I5091" s="3" t="inlineStr">
        <is>
          <t>대</t>
        </is>
      </c>
      <c r="J5091" s="3" t="inlineStr">
        <is>
          <t>오송읍</t>
        </is>
      </c>
    </row>
    <row r="5092">
      <c r="A5092" s="3" t="n">
        <v>2026</v>
      </c>
      <c r="B5092" s="4" t="n">
        <v>62000</v>
      </c>
      <c r="C5092" s="4" t="n">
        <v>2061</v>
      </c>
      <c r="D5092" s="4" t="n">
        <v>623.4525</v>
      </c>
      <c r="E5092" s="5" t="n">
        <v>99.40000000000001</v>
      </c>
      <c r="F5092" s="3" t="inlineStr">
        <is>
          <t>오송읍</t>
        </is>
      </c>
      <c r="G5092" s="3" t="inlineStr">
        <is>
          <t>서평리</t>
        </is>
      </c>
      <c r="H5092" s="3" t="inlineStr">
        <is>
          <t>농림지역</t>
        </is>
      </c>
      <c r="I5092" s="3" t="inlineStr">
        <is>
          <t>답</t>
        </is>
      </c>
      <c r="J5092" s="3" t="inlineStr">
        <is>
          <t>오송읍</t>
        </is>
      </c>
    </row>
    <row r="5093">
      <c r="A5093" s="3" t="n">
        <v>2026</v>
      </c>
      <c r="B5093" s="4" t="n">
        <v>59600</v>
      </c>
      <c r="C5093" s="4" t="n">
        <v>490</v>
      </c>
      <c r="D5093" s="4" t="n">
        <v>148.225</v>
      </c>
      <c r="E5093" s="5" t="n">
        <v>402.1</v>
      </c>
      <c r="F5093" s="3" t="inlineStr">
        <is>
          <t>오송읍</t>
        </is>
      </c>
      <c r="G5093" s="3" t="inlineStr">
        <is>
          <t>연제리</t>
        </is>
      </c>
      <c r="H5093" s="3" t="inlineStr">
        <is>
          <t>계획관리지역</t>
        </is>
      </c>
      <c r="I5093" s="3" t="inlineStr">
        <is>
          <t>공장용지</t>
        </is>
      </c>
      <c r="J5093" s="3" t="inlineStr">
        <is>
          <t>오송읍</t>
        </is>
      </c>
    </row>
    <row r="5094">
      <c r="A5094" s="3" t="n">
        <v>2026</v>
      </c>
      <c r="B5094" s="4" t="n">
        <v>72000</v>
      </c>
      <c r="C5094" s="4" t="n">
        <v>2235</v>
      </c>
      <c r="D5094" s="4" t="n">
        <v>676.0875</v>
      </c>
      <c r="E5094" s="5" t="n">
        <v>106.5</v>
      </c>
      <c r="F5094" s="3" t="inlineStr">
        <is>
          <t>오송읍</t>
        </is>
      </c>
      <c r="G5094" s="3" t="inlineStr">
        <is>
          <t>서평리</t>
        </is>
      </c>
      <c r="H5094" s="3" t="inlineStr">
        <is>
          <t>농림지역</t>
        </is>
      </c>
      <c r="I5094" s="3" t="inlineStr">
        <is>
          <t>답</t>
        </is>
      </c>
      <c r="J5094" s="3" t="inlineStr">
        <is>
          <t>오송읍</t>
        </is>
      </c>
    </row>
    <row r="5095">
      <c r="A5095" s="3" t="n">
        <v>2026</v>
      </c>
      <c r="B5095" s="4" t="n">
        <v>24938</v>
      </c>
      <c r="C5095" s="4" t="n">
        <v>465</v>
      </c>
      <c r="D5095" s="4" t="n">
        <v>140.6625</v>
      </c>
      <c r="E5095" s="5" t="n">
        <v>177.3</v>
      </c>
      <c r="F5095" s="3" t="inlineStr">
        <is>
          <t>강내면</t>
        </is>
      </c>
      <c r="G5095" s="3" t="inlineStr">
        <is>
          <t>사곡리</t>
        </is>
      </c>
      <c r="H5095" s="3" t="inlineStr">
        <is>
          <t>보전관리지역</t>
        </is>
      </c>
      <c r="I5095" s="3" t="inlineStr">
        <is>
          <t>대</t>
        </is>
      </c>
      <c r="J5095" s="3" t="inlineStr">
        <is>
          <t>강내면</t>
        </is>
      </c>
    </row>
    <row r="5096">
      <c r="A5096" s="3" t="n">
        <v>2022</v>
      </c>
      <c r="B5096" s="4" t="n">
        <v>42500</v>
      </c>
      <c r="C5096" s="4" t="n">
        <v>3094</v>
      </c>
      <c r="D5096" s="4" t="n">
        <v>935.9349999999999</v>
      </c>
      <c r="E5096" s="5" t="n">
        <v>45.4</v>
      </c>
      <c r="F5096" s="3" t="inlineStr">
        <is>
          <t>강내면</t>
        </is>
      </c>
      <c r="G5096" s="3" t="inlineStr">
        <is>
          <t>다락리</t>
        </is>
      </c>
      <c r="H5096" s="3" t="inlineStr">
        <is>
          <t>농림지역</t>
        </is>
      </c>
      <c r="I5096" s="3" t="inlineStr">
        <is>
          <t>답</t>
        </is>
      </c>
      <c r="J5096" s="3" t="inlineStr">
        <is>
          <t>강내면</t>
        </is>
      </c>
    </row>
    <row r="5097">
      <c r="A5097" s="3" t="n">
        <v>2022</v>
      </c>
      <c r="B5097" s="4" t="n">
        <v>4000</v>
      </c>
      <c r="C5097" s="4" t="n">
        <v>456</v>
      </c>
      <c r="D5097" s="4" t="n">
        <v>137.94</v>
      </c>
      <c r="E5097" s="5" t="n">
        <v>29</v>
      </c>
      <c r="F5097" s="3" t="inlineStr">
        <is>
          <t>강내면</t>
        </is>
      </c>
      <c r="G5097" s="3" t="inlineStr">
        <is>
          <t>다락리</t>
        </is>
      </c>
      <c r="H5097" s="3" t="inlineStr">
        <is>
          <t>농림지역</t>
        </is>
      </c>
      <c r="I5097" s="3" t="inlineStr">
        <is>
          <t>답</t>
        </is>
      </c>
      <c r="J5097" s="3" t="inlineStr">
        <is>
          <t>강내면</t>
        </is>
      </c>
    </row>
    <row r="5098">
      <c r="A5098" s="3" t="n">
        <v>2022</v>
      </c>
      <c r="B5098" s="4" t="n">
        <v>34331</v>
      </c>
      <c r="C5098" s="4" t="n">
        <v>371</v>
      </c>
      <c r="D5098" s="4" t="n">
        <v>112.2275</v>
      </c>
      <c r="E5098" s="5" t="n">
        <v>305.9</v>
      </c>
      <c r="F5098" s="3" t="inlineStr">
        <is>
          <t>오송읍</t>
        </is>
      </c>
      <c r="G5098" s="3" t="inlineStr">
        <is>
          <t>오송리</t>
        </is>
      </c>
      <c r="H5098" s="3" t="inlineStr">
        <is>
          <t>계획관리지역</t>
        </is>
      </c>
      <c r="I5098" s="3" t="inlineStr">
        <is>
          <t>대</t>
        </is>
      </c>
      <c r="J5098" s="3" t="inlineStr">
        <is>
          <t>오송읍</t>
        </is>
      </c>
    </row>
    <row r="5099">
      <c r="A5099" s="3" t="n">
        <v>2022</v>
      </c>
      <c r="B5099" s="4" t="n">
        <v>51989</v>
      </c>
      <c r="C5099" s="4" t="n">
        <v>522</v>
      </c>
      <c r="D5099" s="4" t="n">
        <v>157.905</v>
      </c>
      <c r="E5099" s="5" t="n">
        <v>329.2</v>
      </c>
      <c r="F5099" s="3" t="inlineStr">
        <is>
          <t>오송읍</t>
        </is>
      </c>
      <c r="G5099" s="3" t="inlineStr">
        <is>
          <t>오송리</t>
        </is>
      </c>
      <c r="H5099" s="3" t="inlineStr">
        <is>
          <t>계획관리지역</t>
        </is>
      </c>
      <c r="I5099" s="3" t="inlineStr">
        <is>
          <t>답</t>
        </is>
      </c>
      <c r="J5099" s="3" t="inlineStr">
        <is>
          <t>오송읍</t>
        </is>
      </c>
    </row>
    <row r="5100">
      <c r="A5100" s="3" t="n">
        <v>2022</v>
      </c>
      <c r="B5100" s="4" t="n">
        <v>1500</v>
      </c>
      <c r="C5100" s="4" t="n">
        <v>124</v>
      </c>
      <c r="D5100" s="4" t="n">
        <v>37.51</v>
      </c>
      <c r="E5100" s="5" t="n">
        <v>40</v>
      </c>
      <c r="F5100" s="3" t="inlineStr">
        <is>
          <t>오송읍</t>
        </is>
      </c>
      <c r="G5100" s="3" t="inlineStr">
        <is>
          <t>상봉리</t>
        </is>
      </c>
      <c r="H5100" s="3" t="inlineStr">
        <is>
          <t>생산관리지역</t>
        </is>
      </c>
      <c r="I5100" s="3" t="inlineStr">
        <is>
          <t>전</t>
        </is>
      </c>
      <c r="J5100" s="3" t="inlineStr">
        <is>
          <t>오송읍</t>
        </is>
      </c>
    </row>
    <row r="5101">
      <c r="A5101" s="3" t="n">
        <v>2022</v>
      </c>
      <c r="B5101" s="4" t="n">
        <v>6700</v>
      </c>
      <c r="C5101" s="4" t="n">
        <v>555</v>
      </c>
      <c r="D5101" s="4" t="n">
        <v>167.8875</v>
      </c>
      <c r="E5101" s="5" t="n">
        <v>39.9</v>
      </c>
      <c r="F5101" s="3" t="inlineStr">
        <is>
          <t>강내면</t>
        </is>
      </c>
      <c r="G5101" s="3" t="inlineStr">
        <is>
          <t>궁현리</t>
        </is>
      </c>
      <c r="H5101" s="3" t="inlineStr">
        <is>
          <t>계획관리지역</t>
        </is>
      </c>
      <c r="I5101" s="3" t="inlineStr">
        <is>
          <t>임야</t>
        </is>
      </c>
      <c r="J5101" s="3" t="inlineStr">
        <is>
          <t>강내면</t>
        </is>
      </c>
    </row>
    <row r="5102">
      <c r="A5102" s="3" t="n">
        <v>2022</v>
      </c>
      <c r="B5102" s="4" t="n">
        <v>3406</v>
      </c>
      <c r="C5102" s="4" t="n">
        <v>563</v>
      </c>
      <c r="D5102" s="4" t="n">
        <v>170.3075</v>
      </c>
      <c r="E5102" s="5" t="n">
        <v>20</v>
      </c>
      <c r="F5102" s="3" t="inlineStr">
        <is>
          <t>강내면</t>
        </is>
      </c>
      <c r="G5102" s="3" t="inlineStr">
        <is>
          <t>저산리</t>
        </is>
      </c>
      <c r="H5102" s="3" t="inlineStr">
        <is>
          <t>계획관리지역</t>
        </is>
      </c>
      <c r="I5102" s="3" t="inlineStr">
        <is>
          <t>도로</t>
        </is>
      </c>
      <c r="J5102" s="3" t="inlineStr">
        <is>
          <t>강내면</t>
        </is>
      </c>
    </row>
    <row r="5103">
      <c r="A5103" s="3" t="n">
        <v>2022</v>
      </c>
      <c r="B5103" s="4" t="n">
        <v>116000</v>
      </c>
      <c r="C5103" s="4" t="n">
        <v>2186</v>
      </c>
      <c r="D5103" s="4" t="n">
        <v>661.265</v>
      </c>
      <c r="E5103" s="5" t="n">
        <v>175.4</v>
      </c>
      <c r="F5103" s="3" t="inlineStr">
        <is>
          <t>오송읍</t>
        </is>
      </c>
      <c r="G5103" s="3" t="inlineStr">
        <is>
          <t>오송리</t>
        </is>
      </c>
      <c r="H5103" s="3" t="inlineStr">
        <is>
          <t>계획관리지역</t>
        </is>
      </c>
      <c r="I5103" s="3" t="inlineStr">
        <is>
          <t>답</t>
        </is>
      </c>
      <c r="J5103" s="3" t="inlineStr">
        <is>
          <t>오송읍</t>
        </is>
      </c>
    </row>
    <row r="5104">
      <c r="A5104" s="3" t="n">
        <v>2022</v>
      </c>
      <c r="B5104" s="4" t="n">
        <v>30000</v>
      </c>
      <c r="C5104" s="4" t="n">
        <v>350</v>
      </c>
      <c r="D5104" s="4" t="n">
        <v>105.875</v>
      </c>
      <c r="E5104" s="5" t="n">
        <v>283.4</v>
      </c>
      <c r="F5104" s="3" t="inlineStr">
        <is>
          <t>강내면</t>
        </is>
      </c>
      <c r="G5104" s="3" t="inlineStr">
        <is>
          <t>탑연리</t>
        </is>
      </c>
      <c r="H5104" s="3" t="inlineStr">
        <is>
          <t>자연녹지지역</t>
        </is>
      </c>
      <c r="I5104" s="3" t="inlineStr">
        <is>
          <t>대</t>
        </is>
      </c>
      <c r="J5104" s="3" t="inlineStr">
        <is>
          <t>강내면</t>
        </is>
      </c>
    </row>
    <row r="5105">
      <c r="A5105" s="3" t="n">
        <v>2022</v>
      </c>
      <c r="B5105" s="4" t="n">
        <v>21900</v>
      </c>
      <c r="C5105" s="4" t="n">
        <v>241</v>
      </c>
      <c r="D5105" s="4" t="n">
        <v>72.9025</v>
      </c>
      <c r="E5105" s="5" t="n">
        <v>300.4</v>
      </c>
      <c r="F5105" s="3" t="inlineStr">
        <is>
          <t>오송읍</t>
        </is>
      </c>
      <c r="G5105" s="3" t="inlineStr">
        <is>
          <t>동평리</t>
        </is>
      </c>
      <c r="H5105" s="3" t="inlineStr">
        <is>
          <t>계획관리지역</t>
        </is>
      </c>
      <c r="I5105" s="3" t="inlineStr">
        <is>
          <t>답</t>
        </is>
      </c>
      <c r="J5105" s="3" t="inlineStr">
        <is>
          <t>오송읍</t>
        </is>
      </c>
    </row>
    <row r="5106">
      <c r="A5106" s="3" t="n">
        <v>2024</v>
      </c>
      <c r="B5106" s="4" t="n">
        <v>40000</v>
      </c>
      <c r="C5106" s="4" t="n">
        <v>2684</v>
      </c>
      <c r="D5106" s="4" t="n">
        <v>811.91</v>
      </c>
      <c r="E5106" s="5" t="n">
        <v>49.3</v>
      </c>
      <c r="F5106" s="3" t="inlineStr">
        <is>
          <t>오송읍</t>
        </is>
      </c>
      <c r="G5106" s="3" t="inlineStr">
        <is>
          <t>동평리</t>
        </is>
      </c>
      <c r="H5106" s="3" t="inlineStr">
        <is>
          <t>농림지역</t>
        </is>
      </c>
      <c r="I5106" s="3" t="inlineStr">
        <is>
          <t>전</t>
        </is>
      </c>
      <c r="J5106" s="3" t="inlineStr">
        <is>
          <t>오송읍</t>
        </is>
      </c>
    </row>
    <row r="5107">
      <c r="A5107" s="3" t="n">
        <v>2024</v>
      </c>
      <c r="B5107" s="4" t="n">
        <v>3000</v>
      </c>
      <c r="C5107" s="4" t="n">
        <v>201</v>
      </c>
      <c r="D5107" s="4" t="n">
        <v>60.80249999999999</v>
      </c>
      <c r="E5107" s="5" t="n">
        <v>49.3</v>
      </c>
      <c r="F5107" s="3" t="inlineStr">
        <is>
          <t>오송읍</t>
        </is>
      </c>
      <c r="G5107" s="3" t="inlineStr">
        <is>
          <t>동평리</t>
        </is>
      </c>
      <c r="H5107" s="3" t="inlineStr">
        <is>
          <t>농림지역</t>
        </is>
      </c>
      <c r="I5107" s="3" t="inlineStr">
        <is>
          <t>전</t>
        </is>
      </c>
      <c r="J5107" s="3" t="inlineStr">
        <is>
          <t>오송읍</t>
        </is>
      </c>
    </row>
    <row r="5108">
      <c r="A5108" s="3" t="n">
        <v>2024</v>
      </c>
      <c r="B5108" s="4" t="n">
        <v>9072</v>
      </c>
      <c r="C5108" s="4" t="n">
        <v>250</v>
      </c>
      <c r="D5108" s="4" t="n">
        <v>75.625</v>
      </c>
      <c r="E5108" s="5" t="n">
        <v>120</v>
      </c>
      <c r="F5108" s="3" t="inlineStr">
        <is>
          <t>강내면</t>
        </is>
      </c>
      <c r="G5108" s="3" t="inlineStr">
        <is>
          <t>다락리</t>
        </is>
      </c>
      <c r="H5108" s="3" t="inlineStr">
        <is>
          <t>계획관리지역</t>
        </is>
      </c>
      <c r="I5108" s="3" t="inlineStr">
        <is>
          <t>대</t>
        </is>
      </c>
      <c r="J5108" s="3" t="inlineStr">
        <is>
          <t>강내면</t>
        </is>
      </c>
    </row>
    <row r="5109">
      <c r="A5109" s="3" t="n">
        <v>2024</v>
      </c>
      <c r="B5109" s="4" t="n">
        <v>3000</v>
      </c>
      <c r="C5109" s="4" t="n">
        <v>168</v>
      </c>
      <c r="D5109" s="4" t="n">
        <v>50.82</v>
      </c>
      <c r="E5109" s="5" t="n">
        <v>59</v>
      </c>
      <c r="F5109" s="3" t="inlineStr">
        <is>
          <t>강내면</t>
        </is>
      </c>
      <c r="G5109" s="3" t="inlineStr">
        <is>
          <t>궁현리</t>
        </is>
      </c>
      <c r="H5109" s="3" t="inlineStr">
        <is>
          <t>계획관리지역</t>
        </is>
      </c>
      <c r="I5109" s="3" t="inlineStr">
        <is>
          <t>임야</t>
        </is>
      </c>
      <c r="J5109" s="3" t="inlineStr">
        <is>
          <t>강내면</t>
        </is>
      </c>
    </row>
    <row r="5110">
      <c r="A5110" s="3" t="n">
        <v>2024</v>
      </c>
      <c r="B5110" s="4" t="n">
        <v>1500</v>
      </c>
      <c r="C5110" s="4" t="n">
        <v>16</v>
      </c>
      <c r="D5110" s="4" t="n">
        <v>4.84</v>
      </c>
      <c r="E5110" s="5" t="n">
        <v>309.9</v>
      </c>
      <c r="F5110" s="3" t="inlineStr">
        <is>
          <t>오송읍</t>
        </is>
      </c>
      <c r="G5110" s="3" t="inlineStr">
        <is>
          <t>오송리</t>
        </is>
      </c>
      <c r="H5110" s="3" t="inlineStr">
        <is>
          <t>농림지역</t>
        </is>
      </c>
      <c r="I5110" s="3" t="inlineStr">
        <is>
          <t>도로</t>
        </is>
      </c>
      <c r="J5110" s="3" t="inlineStr">
        <is>
          <t>오송읍</t>
        </is>
      </c>
    </row>
    <row r="5111">
      <c r="A5111" s="3" t="n">
        <v>2024</v>
      </c>
      <c r="B5111" s="4" t="n">
        <v>150000</v>
      </c>
      <c r="C5111" s="4" t="n">
        <v>819.4</v>
      </c>
      <c r="D5111" s="4" t="n">
        <v>247.8685</v>
      </c>
      <c r="E5111" s="5" t="n">
        <v>605.2</v>
      </c>
      <c r="F5111" s="3" t="inlineStr">
        <is>
          <t>오송읍</t>
        </is>
      </c>
      <c r="G5111" s="3" t="inlineStr">
        <is>
          <t>연제리</t>
        </is>
      </c>
      <c r="H5111" s="3" t="inlineStr">
        <is>
          <t>일반상업지역</t>
        </is>
      </c>
      <c r="I5111" s="3" t="inlineStr">
        <is>
          <t>대</t>
        </is>
      </c>
      <c r="J5111" s="3" t="inlineStr">
        <is>
          <t>오송읍</t>
        </is>
      </c>
    </row>
    <row r="5112">
      <c r="A5112" s="3" t="n">
        <v>2025</v>
      </c>
      <c r="B5112" s="4" t="n">
        <v>25155</v>
      </c>
      <c r="C5112" s="4" t="n">
        <v>774</v>
      </c>
      <c r="D5112" s="4" t="n">
        <v>234.135</v>
      </c>
      <c r="E5112" s="5" t="n">
        <v>107.4</v>
      </c>
      <c r="F5112" s="3" t="inlineStr">
        <is>
          <t>오송읍</t>
        </is>
      </c>
      <c r="G5112" s="3" t="inlineStr">
        <is>
          <t>정중리</t>
        </is>
      </c>
      <c r="H5112" s="3" t="inlineStr">
        <is>
          <t>생산관리지역</t>
        </is>
      </c>
      <c r="I5112" s="3" t="inlineStr">
        <is>
          <t>답</t>
        </is>
      </c>
      <c r="J5112" s="3" t="inlineStr">
        <is>
          <t>오송읍</t>
        </is>
      </c>
    </row>
    <row r="5113">
      <c r="A5113" s="3" t="n">
        <v>2025</v>
      </c>
      <c r="B5113" s="4" t="n">
        <v>47635</v>
      </c>
      <c r="C5113" s="4" t="n">
        <v>1392</v>
      </c>
      <c r="D5113" s="4" t="n">
        <v>421.08</v>
      </c>
      <c r="E5113" s="5" t="n">
        <v>113.1</v>
      </c>
      <c r="F5113" s="3" t="inlineStr">
        <is>
          <t>오송읍</t>
        </is>
      </c>
      <c r="G5113" s="3" t="inlineStr">
        <is>
          <t>정중리</t>
        </is>
      </c>
      <c r="H5113" s="3" t="inlineStr">
        <is>
          <t>생산관리지역</t>
        </is>
      </c>
      <c r="I5113" s="3" t="inlineStr">
        <is>
          <t>답</t>
        </is>
      </c>
      <c r="J5113" s="3" t="inlineStr">
        <is>
          <t>오송읍</t>
        </is>
      </c>
    </row>
    <row r="5114">
      <c r="A5114" s="3" t="n">
        <v>2025</v>
      </c>
      <c r="B5114" s="4" t="n">
        <v>27918</v>
      </c>
      <c r="C5114" s="4" t="n">
        <v>859</v>
      </c>
      <c r="D5114" s="4" t="n">
        <v>259.8475</v>
      </c>
      <c r="E5114" s="5" t="n">
        <v>107.4</v>
      </c>
      <c r="F5114" s="3" t="inlineStr">
        <is>
          <t>오송읍</t>
        </is>
      </c>
      <c r="G5114" s="3" t="inlineStr">
        <is>
          <t>정중리</t>
        </is>
      </c>
      <c r="H5114" s="3" t="inlineStr">
        <is>
          <t>생산관리지역</t>
        </is>
      </c>
      <c r="I5114" s="3" t="inlineStr">
        <is>
          <t>답</t>
        </is>
      </c>
      <c r="J5114" s="3" t="inlineStr">
        <is>
          <t>오송읍</t>
        </is>
      </c>
    </row>
    <row r="5115">
      <c r="A5115" s="3" t="n">
        <v>2025</v>
      </c>
      <c r="B5115" s="4" t="n">
        <v>4453</v>
      </c>
      <c r="C5115" s="4" t="n">
        <v>137</v>
      </c>
      <c r="D5115" s="4" t="n">
        <v>41.4425</v>
      </c>
      <c r="E5115" s="5" t="n">
        <v>107.5</v>
      </c>
      <c r="F5115" s="3" t="inlineStr">
        <is>
          <t>오송읍</t>
        </is>
      </c>
      <c r="G5115" s="3" t="inlineStr">
        <is>
          <t>정중리</t>
        </is>
      </c>
      <c r="H5115" s="3" t="inlineStr">
        <is>
          <t>생산관리지역</t>
        </is>
      </c>
      <c r="I5115" s="3" t="inlineStr">
        <is>
          <t>답</t>
        </is>
      </c>
      <c r="J5115" s="3" t="inlineStr">
        <is>
          <t>오송읍</t>
        </is>
      </c>
    </row>
    <row r="5116">
      <c r="A5116" s="3" t="n">
        <v>2025</v>
      </c>
      <c r="B5116" s="4" t="n">
        <v>25300</v>
      </c>
      <c r="C5116" s="4" t="n">
        <v>342</v>
      </c>
      <c r="D5116" s="4" t="n">
        <v>103.455</v>
      </c>
      <c r="E5116" s="5" t="n">
        <v>244.6</v>
      </c>
      <c r="F5116" s="3" t="inlineStr">
        <is>
          <t>강내면</t>
        </is>
      </c>
      <c r="G5116" s="3" t="inlineStr">
        <is>
          <t>월곡리</t>
        </is>
      </c>
      <c r="H5116" s="3" t="inlineStr">
        <is>
          <t>제2종일반주거지역</t>
        </is>
      </c>
      <c r="I5116" s="3" t="inlineStr">
        <is>
          <t>대</t>
        </is>
      </c>
      <c r="J5116" s="3" t="inlineStr">
        <is>
          <t>강내면</t>
        </is>
      </c>
    </row>
    <row r="5117">
      <c r="A5117" s="3" t="n">
        <v>2025</v>
      </c>
      <c r="B5117" s="4" t="n">
        <v>11000</v>
      </c>
      <c r="C5117" s="4" t="n">
        <v>1002</v>
      </c>
      <c r="D5117" s="4" t="n">
        <v>303.105</v>
      </c>
      <c r="E5117" s="5" t="n">
        <v>36.3</v>
      </c>
      <c r="F5117" s="3" t="inlineStr">
        <is>
          <t>강내면</t>
        </is>
      </c>
      <c r="G5117" s="3" t="inlineStr">
        <is>
          <t>월곡리</t>
        </is>
      </c>
      <c r="H5117" s="3" t="inlineStr">
        <is>
          <t>자연녹지지역</t>
        </is>
      </c>
      <c r="I5117" s="3" t="inlineStr">
        <is>
          <t>답</t>
        </is>
      </c>
      <c r="J5117" s="3" t="inlineStr">
        <is>
          <t>강내면</t>
        </is>
      </c>
    </row>
    <row r="5118">
      <c r="A5118" s="3" t="n">
        <v>2025</v>
      </c>
      <c r="B5118" s="4" t="n">
        <v>1450</v>
      </c>
      <c r="C5118" s="4" t="n">
        <v>145</v>
      </c>
      <c r="D5118" s="4" t="n">
        <v>43.8625</v>
      </c>
      <c r="E5118" s="5" t="n">
        <v>33.1</v>
      </c>
      <c r="F5118" s="3" t="inlineStr">
        <is>
          <t>강내면</t>
        </is>
      </c>
      <c r="G5118" s="3" t="inlineStr">
        <is>
          <t>월곡리</t>
        </is>
      </c>
      <c r="H5118" s="3" t="inlineStr">
        <is>
          <t>자연녹지지역</t>
        </is>
      </c>
      <c r="I5118" s="3" t="inlineStr">
        <is>
          <t>답</t>
        </is>
      </c>
      <c r="J5118" s="3" t="inlineStr">
        <is>
          <t>강내면</t>
        </is>
      </c>
    </row>
    <row r="5119">
      <c r="A5119" s="3" t="n">
        <v>2025</v>
      </c>
      <c r="B5119" s="4" t="n">
        <v>150</v>
      </c>
      <c r="C5119" s="4" t="n">
        <v>20</v>
      </c>
      <c r="D5119" s="4" t="n">
        <v>6.05</v>
      </c>
      <c r="E5119" s="5" t="n">
        <v>24.8</v>
      </c>
      <c r="F5119" s="3" t="inlineStr">
        <is>
          <t>강내면</t>
        </is>
      </c>
      <c r="G5119" s="3" t="inlineStr">
        <is>
          <t>월곡리</t>
        </is>
      </c>
      <c r="H5119" s="3" t="inlineStr">
        <is>
          <t>자연녹지지역</t>
        </is>
      </c>
      <c r="I5119" s="3" t="inlineStr">
        <is>
          <t>답</t>
        </is>
      </c>
      <c r="J5119" s="3" t="inlineStr">
        <is>
          <t>강내면</t>
        </is>
      </c>
    </row>
    <row r="5120">
      <c r="A5120" s="3" t="n">
        <v>2025</v>
      </c>
      <c r="B5120" s="4" t="n">
        <v>52000</v>
      </c>
      <c r="C5120" s="4" t="n">
        <v>2942</v>
      </c>
      <c r="D5120" s="4" t="n">
        <v>889.9549999999999</v>
      </c>
      <c r="E5120" s="5" t="n">
        <v>58.4</v>
      </c>
      <c r="F5120" s="3" t="inlineStr">
        <is>
          <t>오송읍</t>
        </is>
      </c>
      <c r="G5120" s="3" t="inlineStr">
        <is>
          <t>쌍청리</t>
        </is>
      </c>
      <c r="H5120" s="3" t="inlineStr">
        <is>
          <t>농림지역</t>
        </is>
      </c>
      <c r="I5120" s="3" t="inlineStr">
        <is>
          <t>답</t>
        </is>
      </c>
      <c r="J5120" s="3" t="inlineStr">
        <is>
          <t>오송읍</t>
        </is>
      </c>
    </row>
    <row r="5121">
      <c r="A5121" s="3" t="n">
        <v>2025</v>
      </c>
      <c r="B5121" s="4" t="n">
        <v>1700</v>
      </c>
      <c r="C5121" s="4" t="n">
        <v>56</v>
      </c>
      <c r="D5121" s="4" t="n">
        <v>16.94</v>
      </c>
      <c r="E5121" s="5" t="n">
        <v>100.4</v>
      </c>
      <c r="F5121" s="3" t="inlineStr">
        <is>
          <t>강내면</t>
        </is>
      </c>
      <c r="G5121" s="3" t="inlineStr">
        <is>
          <t>태성리</t>
        </is>
      </c>
      <c r="H5121" s="3" t="inlineStr">
        <is>
          <t>계획관리지역</t>
        </is>
      </c>
      <c r="I5121" s="3" t="inlineStr">
        <is>
          <t>전</t>
        </is>
      </c>
      <c r="J5121" s="3" t="inlineStr">
        <is>
          <t>강내면</t>
        </is>
      </c>
    </row>
    <row r="5122">
      <c r="A5122" s="3" t="n">
        <v>2025</v>
      </c>
      <c r="B5122" s="4" t="n">
        <v>40000</v>
      </c>
      <c r="C5122" s="4" t="n">
        <v>2033</v>
      </c>
      <c r="D5122" s="4" t="n">
        <v>614.9825</v>
      </c>
      <c r="E5122" s="5" t="n">
        <v>65</v>
      </c>
      <c r="F5122" s="3" t="inlineStr">
        <is>
          <t>강내면</t>
        </is>
      </c>
      <c r="G5122" s="3" t="inlineStr">
        <is>
          <t>사인리</t>
        </is>
      </c>
      <c r="H5122" s="3" t="inlineStr">
        <is>
          <t>생산녹지지역</t>
        </is>
      </c>
      <c r="I5122" s="3" t="inlineStr">
        <is>
          <t>답</t>
        </is>
      </c>
      <c r="J5122" s="3" t="inlineStr">
        <is>
          <t>강내면</t>
        </is>
      </c>
    </row>
    <row r="5123">
      <c r="A5123" s="3" t="n">
        <v>2025</v>
      </c>
      <c r="B5123" s="4" t="n">
        <v>10000</v>
      </c>
      <c r="C5123" s="4" t="n">
        <v>992</v>
      </c>
      <c r="D5123" s="4" t="n">
        <v>300.08</v>
      </c>
      <c r="E5123" s="5" t="n">
        <v>33.3</v>
      </c>
      <c r="F5123" s="3" t="inlineStr">
        <is>
          <t>강내면</t>
        </is>
      </c>
      <c r="G5123" s="3" t="inlineStr">
        <is>
          <t>월탄리</t>
        </is>
      </c>
      <c r="H5123" s="3" t="inlineStr">
        <is>
          <t>계획관리지역</t>
        </is>
      </c>
      <c r="I5123" s="3" t="inlineStr">
        <is>
          <t>임야</t>
        </is>
      </c>
      <c r="J5123" s="3" t="inlineStr">
        <is>
          <t>강내면</t>
        </is>
      </c>
    </row>
    <row r="5124">
      <c r="A5124" s="3" t="n">
        <v>2022</v>
      </c>
      <c r="B5124" s="4" t="n">
        <v>13717</v>
      </c>
      <c r="C5124" s="4" t="n">
        <v>667</v>
      </c>
      <c r="D5124" s="4" t="n">
        <v>201.7675</v>
      </c>
      <c r="E5124" s="5" t="n">
        <v>68</v>
      </c>
      <c r="F5124" s="3" t="inlineStr">
        <is>
          <t>오송읍</t>
        </is>
      </c>
      <c r="G5124" s="3" t="inlineStr">
        <is>
          <t>공북리</t>
        </is>
      </c>
      <c r="H5124" s="3" t="inlineStr">
        <is>
          <t>농림지역</t>
        </is>
      </c>
      <c r="I5124" s="3" t="inlineStr">
        <is>
          <t>답</t>
        </is>
      </c>
      <c r="J5124" s="3" t="inlineStr">
        <is>
          <t>오송읍</t>
        </is>
      </c>
    </row>
    <row r="5125">
      <c r="A5125" s="3" t="n">
        <v>2022</v>
      </c>
      <c r="B5125" s="4" t="n">
        <v>17418</v>
      </c>
      <c r="C5125" s="4" t="n">
        <v>847</v>
      </c>
      <c r="D5125" s="4" t="n">
        <v>256.2175</v>
      </c>
      <c r="E5125" s="5" t="n">
        <v>68</v>
      </c>
      <c r="F5125" s="3" t="inlineStr">
        <is>
          <t>오송읍</t>
        </is>
      </c>
      <c r="G5125" s="3" t="inlineStr">
        <is>
          <t>공북리</t>
        </is>
      </c>
      <c r="H5125" s="3" t="inlineStr">
        <is>
          <t>농림지역</t>
        </is>
      </c>
      <c r="I5125" s="3" t="inlineStr">
        <is>
          <t>답</t>
        </is>
      </c>
      <c r="J5125" s="3" t="inlineStr">
        <is>
          <t>오송읍</t>
        </is>
      </c>
    </row>
    <row r="5126">
      <c r="A5126" s="3" t="n">
        <v>2022</v>
      </c>
      <c r="B5126" s="4" t="n">
        <v>27865</v>
      </c>
      <c r="C5126" s="4" t="n">
        <v>1355</v>
      </c>
      <c r="D5126" s="4" t="n">
        <v>409.8875</v>
      </c>
      <c r="E5126" s="5" t="n">
        <v>68</v>
      </c>
      <c r="F5126" s="3" t="inlineStr">
        <is>
          <t>오송읍</t>
        </is>
      </c>
      <c r="G5126" s="3" t="inlineStr">
        <is>
          <t>공북리</t>
        </is>
      </c>
      <c r="H5126" s="3" t="inlineStr">
        <is>
          <t>농림지역</t>
        </is>
      </c>
      <c r="I5126" s="3" t="inlineStr">
        <is>
          <t>답</t>
        </is>
      </c>
      <c r="J5126" s="3" t="inlineStr">
        <is>
          <t>오송읍</t>
        </is>
      </c>
    </row>
    <row r="5127">
      <c r="A5127" s="3" t="n">
        <v>2022</v>
      </c>
      <c r="B5127" s="4" t="n">
        <v>30000</v>
      </c>
      <c r="C5127" s="4" t="n">
        <v>286.8</v>
      </c>
      <c r="D5127" s="4" t="n">
        <v>86.75700000000001</v>
      </c>
      <c r="E5127" s="5" t="n">
        <v>345.8</v>
      </c>
      <c r="F5127" s="3" t="inlineStr">
        <is>
          <t>오송읍</t>
        </is>
      </c>
      <c r="G5127" s="3" t="inlineStr">
        <is>
          <t>봉산리</t>
        </is>
      </c>
      <c r="H5127" s="3" t="inlineStr">
        <is>
          <t>제1종일반주거지역</t>
        </is>
      </c>
      <c r="I5127" s="3" t="inlineStr">
        <is>
          <t>대</t>
        </is>
      </c>
      <c r="J5127" s="3" t="inlineStr">
        <is>
          <t>오송읍</t>
        </is>
      </c>
    </row>
    <row r="5128">
      <c r="A5128" s="3" t="n">
        <v>2022</v>
      </c>
      <c r="B5128" s="4" t="n">
        <v>21300</v>
      </c>
      <c r="C5128" s="4" t="n">
        <v>534</v>
      </c>
      <c r="D5128" s="4" t="n">
        <v>161.535</v>
      </c>
      <c r="E5128" s="5" t="n">
        <v>131.9</v>
      </c>
      <c r="F5128" s="3" t="inlineStr">
        <is>
          <t>강내면</t>
        </is>
      </c>
      <c r="G5128" s="3" t="inlineStr">
        <is>
          <t>학천리</t>
        </is>
      </c>
      <c r="H5128" s="3" t="inlineStr">
        <is>
          <t>자연녹지지역</t>
        </is>
      </c>
      <c r="I5128" s="3" t="inlineStr">
        <is>
          <t>임야</t>
        </is>
      </c>
      <c r="J5128" s="3" t="inlineStr">
        <is>
          <t>강내면</t>
        </is>
      </c>
    </row>
    <row r="5129">
      <c r="A5129" s="3" t="n">
        <v>2022</v>
      </c>
      <c r="B5129" s="4" t="n">
        <v>20600</v>
      </c>
      <c r="C5129" s="4" t="n">
        <v>514</v>
      </c>
      <c r="D5129" s="4" t="n">
        <v>155.485</v>
      </c>
      <c r="E5129" s="5" t="n">
        <v>132.5</v>
      </c>
      <c r="F5129" s="3" t="inlineStr">
        <is>
          <t>강내면</t>
        </is>
      </c>
      <c r="G5129" s="3" t="inlineStr">
        <is>
          <t>학천리</t>
        </is>
      </c>
      <c r="H5129" s="3" t="inlineStr">
        <is>
          <t>자연녹지지역</t>
        </is>
      </c>
      <c r="I5129" s="3" t="inlineStr">
        <is>
          <t>임야</t>
        </is>
      </c>
      <c r="J5129" s="3" t="inlineStr">
        <is>
          <t>강내면</t>
        </is>
      </c>
    </row>
    <row r="5130">
      <c r="A5130" s="3" t="n">
        <v>2022</v>
      </c>
      <c r="B5130" s="4" t="n">
        <v>30000</v>
      </c>
      <c r="C5130" s="4" t="n">
        <v>267.6</v>
      </c>
      <c r="D5130" s="4" t="n">
        <v>80.949</v>
      </c>
      <c r="E5130" s="5" t="n">
        <v>370.6</v>
      </c>
      <c r="F5130" s="3" t="inlineStr">
        <is>
          <t>오송읍</t>
        </is>
      </c>
      <c r="G5130" s="3" t="inlineStr">
        <is>
          <t>봉산리</t>
        </is>
      </c>
      <c r="H5130" s="3" t="inlineStr">
        <is>
          <t>제1종일반주거지역</t>
        </is>
      </c>
      <c r="I5130" s="3" t="inlineStr">
        <is>
          <t>대</t>
        </is>
      </c>
      <c r="J5130" s="3" t="inlineStr">
        <is>
          <t>오송읍</t>
        </is>
      </c>
    </row>
    <row r="5131">
      <c r="A5131" s="3" t="n">
        <v>2022</v>
      </c>
      <c r="B5131" s="4" t="n">
        <v>80000</v>
      </c>
      <c r="C5131" s="4" t="n">
        <v>815.7</v>
      </c>
      <c r="D5131" s="4" t="n">
        <v>246.74925</v>
      </c>
      <c r="E5131" s="5" t="n">
        <v>324.2</v>
      </c>
      <c r="F5131" s="3" t="inlineStr">
        <is>
          <t>오송읍</t>
        </is>
      </c>
      <c r="G5131" s="3" t="inlineStr">
        <is>
          <t>오송리</t>
        </is>
      </c>
      <c r="H5131" s="3" t="inlineStr">
        <is>
          <t>농림지역</t>
        </is>
      </c>
      <c r="I5131" s="3" t="inlineStr">
        <is>
          <t>답</t>
        </is>
      </c>
      <c r="J5131" s="3" t="inlineStr">
        <is>
          <t>오송읍</t>
        </is>
      </c>
    </row>
    <row r="5132">
      <c r="A5132" s="3" t="n">
        <v>2022</v>
      </c>
      <c r="B5132" s="4" t="n">
        <v>11000</v>
      </c>
      <c r="C5132" s="4" t="n">
        <v>182</v>
      </c>
      <c r="D5132" s="4" t="n">
        <v>55.055</v>
      </c>
      <c r="E5132" s="5" t="n">
        <v>199.8</v>
      </c>
      <c r="F5132" s="3" t="inlineStr">
        <is>
          <t>오송읍</t>
        </is>
      </c>
      <c r="G5132" s="3" t="inlineStr">
        <is>
          <t>오송리</t>
        </is>
      </c>
      <c r="H5132" s="3" t="inlineStr">
        <is>
          <t>계획관리지역</t>
        </is>
      </c>
      <c r="I5132" s="3" t="inlineStr">
        <is>
          <t>대</t>
        </is>
      </c>
      <c r="J5132" s="3" t="inlineStr">
        <is>
          <t>오송읍</t>
        </is>
      </c>
    </row>
    <row r="5133">
      <c r="A5133" s="3" t="n">
        <v>2022</v>
      </c>
      <c r="B5133" s="4" t="n">
        <v>55000</v>
      </c>
      <c r="C5133" s="4" t="n">
        <v>275.5</v>
      </c>
      <c r="D5133" s="4" t="n">
        <v>83.33875</v>
      </c>
      <c r="E5133" s="5" t="n">
        <v>660</v>
      </c>
      <c r="F5133" s="3" t="inlineStr">
        <is>
          <t>오송읍</t>
        </is>
      </c>
      <c r="G5133" s="3" t="inlineStr">
        <is>
          <t>봉산리</t>
        </is>
      </c>
      <c r="H5133" s="3" t="inlineStr">
        <is>
          <t>제1종일반주거지역</t>
        </is>
      </c>
      <c r="I5133" s="3" t="inlineStr">
        <is>
          <t>대</t>
        </is>
      </c>
      <c r="J5133" s="3" t="inlineStr">
        <is>
          <t>오송읍</t>
        </is>
      </c>
    </row>
    <row r="5134">
      <c r="A5134" s="3" t="n">
        <v>2022</v>
      </c>
      <c r="B5134" s="4" t="n">
        <v>2632</v>
      </c>
      <c r="C5134" s="4" t="n">
        <v>29</v>
      </c>
      <c r="D5134" s="4" t="n">
        <v>8.772499999999999</v>
      </c>
      <c r="E5134" s="5" t="n">
        <v>300</v>
      </c>
      <c r="F5134" s="3" t="inlineStr">
        <is>
          <t>오송읍</t>
        </is>
      </c>
      <c r="G5134" s="3" t="inlineStr">
        <is>
          <t>봉산리</t>
        </is>
      </c>
      <c r="H5134" s="3" t="inlineStr">
        <is>
          <t>계획관리지역</t>
        </is>
      </c>
      <c r="I5134" s="3" t="inlineStr">
        <is>
          <t>전</t>
        </is>
      </c>
      <c r="J5134" s="3" t="inlineStr">
        <is>
          <t>오송읍</t>
        </is>
      </c>
    </row>
    <row r="5135">
      <c r="A5135" s="3" t="n">
        <v>2024</v>
      </c>
      <c r="B5135" s="4" t="n">
        <v>206000</v>
      </c>
      <c r="C5135" s="4" t="n">
        <v>3220</v>
      </c>
      <c r="D5135" s="4" t="n">
        <v>974.05</v>
      </c>
      <c r="E5135" s="5" t="n">
        <v>211.5</v>
      </c>
      <c r="F5135" s="3" t="inlineStr">
        <is>
          <t>오송읍</t>
        </is>
      </c>
      <c r="G5135" s="3" t="inlineStr">
        <is>
          <t>궁평리</t>
        </is>
      </c>
      <c r="H5135" s="3" t="inlineStr">
        <is>
          <t>농림지역</t>
        </is>
      </c>
      <c r="I5135" s="3" t="inlineStr">
        <is>
          <t>답</t>
        </is>
      </c>
      <c r="J5135" s="3" t="inlineStr">
        <is>
          <t>오송읍</t>
        </is>
      </c>
    </row>
    <row r="5136">
      <c r="A5136" s="3" t="n">
        <v>2024</v>
      </c>
      <c r="B5136" s="4" t="n">
        <v>2000</v>
      </c>
      <c r="C5136" s="4" t="n">
        <v>24</v>
      </c>
      <c r="D5136" s="4" t="n">
        <v>7.26</v>
      </c>
      <c r="E5136" s="5" t="n">
        <v>275.5</v>
      </c>
      <c r="F5136" s="3" t="inlineStr">
        <is>
          <t>오송읍</t>
        </is>
      </c>
      <c r="G5136" s="3" t="inlineStr">
        <is>
          <t>오송리</t>
        </is>
      </c>
      <c r="H5136" s="3" t="inlineStr">
        <is>
          <t>농림지역</t>
        </is>
      </c>
      <c r="I5136" s="3" t="inlineStr">
        <is>
          <t>제방</t>
        </is>
      </c>
      <c r="J5136" s="3" t="inlineStr">
        <is>
          <t>오송읍</t>
        </is>
      </c>
    </row>
    <row r="5137">
      <c r="A5137" s="3" t="n">
        <v>2024</v>
      </c>
      <c r="B5137" s="4" t="n">
        <v>15000</v>
      </c>
      <c r="C5137" s="4" t="n">
        <v>581</v>
      </c>
      <c r="D5137" s="4" t="n">
        <v>175.7525</v>
      </c>
      <c r="E5137" s="5" t="n">
        <v>85.3</v>
      </c>
      <c r="F5137" s="3" t="inlineStr">
        <is>
          <t>강내면</t>
        </is>
      </c>
      <c r="G5137" s="3" t="inlineStr">
        <is>
          <t>석화리</t>
        </is>
      </c>
      <c r="H5137" s="3" t="inlineStr">
        <is>
          <t>자연녹지지역</t>
        </is>
      </c>
      <c r="I5137" s="3" t="inlineStr">
        <is>
          <t>대</t>
        </is>
      </c>
      <c r="J5137" s="3" t="inlineStr">
        <is>
          <t>강내면</t>
        </is>
      </c>
    </row>
    <row r="5138">
      <c r="A5138" s="3" t="n">
        <v>2024</v>
      </c>
      <c r="B5138" s="4" t="n">
        <v>980</v>
      </c>
      <c r="C5138" s="4" t="n">
        <v>46</v>
      </c>
      <c r="D5138" s="4" t="n">
        <v>13.915</v>
      </c>
      <c r="E5138" s="5" t="n">
        <v>70.40000000000001</v>
      </c>
      <c r="F5138" s="3" t="inlineStr">
        <is>
          <t>강내면</t>
        </is>
      </c>
      <c r="G5138" s="3" t="inlineStr">
        <is>
          <t>연정리</t>
        </is>
      </c>
      <c r="H5138" s="3" t="inlineStr">
        <is>
          <t>계획관리지역</t>
        </is>
      </c>
      <c r="I5138" s="3" t="inlineStr">
        <is>
          <t>임야</t>
        </is>
      </c>
      <c r="J5138" s="3" t="inlineStr">
        <is>
          <t>강내면</t>
        </is>
      </c>
    </row>
    <row r="5139">
      <c r="A5139" s="3" t="n">
        <v>2022</v>
      </c>
      <c r="B5139" s="4" t="n">
        <v>180000</v>
      </c>
      <c r="C5139" s="4" t="n">
        <v>1983</v>
      </c>
      <c r="D5139" s="4" t="n">
        <v>599.8575</v>
      </c>
      <c r="E5139" s="5" t="n">
        <v>300.1</v>
      </c>
      <c r="F5139" s="3" t="inlineStr">
        <is>
          <t>강내면</t>
        </is>
      </c>
      <c r="G5139" s="3" t="inlineStr">
        <is>
          <t>다락리</t>
        </is>
      </c>
      <c r="H5139" s="3" t="inlineStr">
        <is>
          <t>계획관리지역</t>
        </is>
      </c>
      <c r="I5139" s="3" t="inlineStr">
        <is>
          <t>답</t>
        </is>
      </c>
      <c r="J5139" s="3" t="inlineStr">
        <is>
          <t>강내면</t>
        </is>
      </c>
    </row>
    <row r="5140">
      <c r="A5140" s="3" t="n">
        <v>2022</v>
      </c>
      <c r="B5140" s="4" t="n">
        <v>34600</v>
      </c>
      <c r="C5140" s="4" t="n">
        <v>1907</v>
      </c>
      <c r="D5140" s="4" t="n">
        <v>576.8674999999999</v>
      </c>
      <c r="E5140" s="5" t="n">
        <v>60</v>
      </c>
      <c r="F5140" s="3" t="inlineStr">
        <is>
          <t>오송읍</t>
        </is>
      </c>
      <c r="G5140" s="3" t="inlineStr">
        <is>
          <t>궁평리</t>
        </is>
      </c>
      <c r="H5140" s="3" t="inlineStr">
        <is>
          <t>농림지역</t>
        </is>
      </c>
      <c r="I5140" s="3" t="inlineStr">
        <is>
          <t>답</t>
        </is>
      </c>
      <c r="J5140" s="3" t="inlineStr">
        <is>
          <t>오송읍</t>
        </is>
      </c>
    </row>
    <row r="5141">
      <c r="A5141" s="3" t="n">
        <v>2022</v>
      </c>
      <c r="B5141" s="4" t="n">
        <v>39000</v>
      </c>
      <c r="C5141" s="4" t="n">
        <v>261.9</v>
      </c>
      <c r="D5141" s="4" t="n">
        <v>79.22474999999999</v>
      </c>
      <c r="E5141" s="5" t="n">
        <v>492.3</v>
      </c>
      <c r="F5141" s="3" t="inlineStr">
        <is>
          <t>오송읍</t>
        </is>
      </c>
      <c r="G5141" s="3" t="inlineStr">
        <is>
          <t>봉산리</t>
        </is>
      </c>
      <c r="H5141" s="3" t="inlineStr">
        <is>
          <t>제1종일반주거지역</t>
        </is>
      </c>
      <c r="I5141" s="3" t="inlineStr">
        <is>
          <t>대</t>
        </is>
      </c>
      <c r="J5141" s="3" t="inlineStr">
        <is>
          <t>오송읍</t>
        </is>
      </c>
    </row>
    <row r="5142">
      <c r="A5142" s="3" t="n">
        <v>2022</v>
      </c>
      <c r="B5142" s="4" t="n">
        <v>130000</v>
      </c>
      <c r="C5142" s="4" t="n">
        <v>2988</v>
      </c>
      <c r="D5142" s="4" t="n">
        <v>903.87</v>
      </c>
      <c r="E5142" s="5" t="n">
        <v>143.8</v>
      </c>
      <c r="F5142" s="3" t="inlineStr">
        <is>
          <t>강내면</t>
        </is>
      </c>
      <c r="G5142" s="3" t="inlineStr">
        <is>
          <t>태성리</t>
        </is>
      </c>
      <c r="H5142" s="3" t="inlineStr">
        <is>
          <t>계획관리지역</t>
        </is>
      </c>
      <c r="I5142" s="3" t="inlineStr">
        <is>
          <t>답</t>
        </is>
      </c>
      <c r="J5142" s="3" t="inlineStr">
        <is>
          <t>강내면</t>
        </is>
      </c>
    </row>
    <row r="5143">
      <c r="A5143" s="3" t="n">
        <v>2022</v>
      </c>
      <c r="B5143" s="4" t="n">
        <v>130000</v>
      </c>
      <c r="C5143" s="4" t="n">
        <v>2988</v>
      </c>
      <c r="D5143" s="4" t="n">
        <v>903.87</v>
      </c>
      <c r="E5143" s="5" t="n">
        <v>143.8</v>
      </c>
      <c r="F5143" s="3" t="inlineStr">
        <is>
          <t>강내면</t>
        </is>
      </c>
      <c r="G5143" s="3" t="inlineStr">
        <is>
          <t>태성리</t>
        </is>
      </c>
      <c r="H5143" s="3" t="inlineStr">
        <is>
          <t>계획관리지역</t>
        </is>
      </c>
      <c r="I5143" s="3" t="inlineStr">
        <is>
          <t>답</t>
        </is>
      </c>
      <c r="J5143" s="3" t="inlineStr">
        <is>
          <t>강내면</t>
        </is>
      </c>
    </row>
    <row r="5144">
      <c r="A5144" s="3" t="n">
        <v>2022</v>
      </c>
      <c r="B5144" s="4" t="n">
        <v>110000</v>
      </c>
      <c r="C5144" s="4" t="n">
        <v>575</v>
      </c>
      <c r="D5144" s="4" t="n">
        <v>173.9375</v>
      </c>
      <c r="E5144" s="5" t="n">
        <v>632.4</v>
      </c>
      <c r="F5144" s="3" t="inlineStr">
        <is>
          <t>오송읍</t>
        </is>
      </c>
      <c r="G5144" s="3" t="inlineStr">
        <is>
          <t>만수리</t>
        </is>
      </c>
      <c r="H5144" s="3" t="inlineStr">
        <is>
          <t>일반상업지역</t>
        </is>
      </c>
      <c r="I5144" s="3" t="inlineStr">
        <is>
          <t>대</t>
        </is>
      </c>
      <c r="J5144" s="3" t="inlineStr">
        <is>
          <t>오송읍</t>
        </is>
      </c>
    </row>
    <row r="5145">
      <c r="A5145" s="3" t="n">
        <v>2022</v>
      </c>
      <c r="B5145" s="4" t="n">
        <v>2200</v>
      </c>
      <c r="C5145" s="4" t="n">
        <v>302</v>
      </c>
      <c r="D5145" s="4" t="n">
        <v>91.355</v>
      </c>
      <c r="E5145" s="5" t="n">
        <v>24.1</v>
      </c>
      <c r="F5145" s="3" t="inlineStr">
        <is>
          <t>강내면</t>
        </is>
      </c>
      <c r="G5145" s="3" t="inlineStr">
        <is>
          <t>황탄리</t>
        </is>
      </c>
      <c r="H5145" s="3" t="inlineStr">
        <is>
          <t>농림지역</t>
        </is>
      </c>
      <c r="I5145" s="3" t="inlineStr">
        <is>
          <t>전</t>
        </is>
      </c>
      <c r="J5145" s="3" t="inlineStr">
        <is>
          <t>강내면</t>
        </is>
      </c>
    </row>
    <row r="5146">
      <c r="A5146" s="3" t="n">
        <v>2022</v>
      </c>
      <c r="B5146" s="4" t="n">
        <v>2566</v>
      </c>
      <c r="C5146" s="4" t="n">
        <v>536</v>
      </c>
      <c r="D5146" s="4" t="n">
        <v>162.14</v>
      </c>
      <c r="E5146" s="5" t="n">
        <v>15.8</v>
      </c>
      <c r="F5146" s="3" t="inlineStr">
        <is>
          <t>강내면</t>
        </is>
      </c>
      <c r="G5146" s="3" t="inlineStr">
        <is>
          <t>학천리</t>
        </is>
      </c>
      <c r="H5146" s="3" t="inlineStr">
        <is>
          <t>생산녹지지역</t>
        </is>
      </c>
      <c r="I5146" s="3" t="inlineStr">
        <is>
          <t>임야</t>
        </is>
      </c>
      <c r="J5146" s="3" t="inlineStr">
        <is>
          <t>강내면</t>
        </is>
      </c>
    </row>
    <row r="5147">
      <c r="A5147" s="3" t="n">
        <v>2022</v>
      </c>
      <c r="B5147" s="4" t="n">
        <v>364</v>
      </c>
      <c r="C5147" s="4" t="n">
        <v>76</v>
      </c>
      <c r="D5147" s="4" t="n">
        <v>22.99</v>
      </c>
      <c r="E5147" s="5" t="n">
        <v>15.8</v>
      </c>
      <c r="F5147" s="3" t="inlineStr">
        <is>
          <t>강내면</t>
        </is>
      </c>
      <c r="G5147" s="3" t="inlineStr">
        <is>
          <t>학천리</t>
        </is>
      </c>
      <c r="H5147" s="3" t="inlineStr">
        <is>
          <t>생산녹지지역</t>
        </is>
      </c>
      <c r="I5147" s="3" t="inlineStr">
        <is>
          <t>전</t>
        </is>
      </c>
      <c r="J5147" s="3" t="inlineStr">
        <is>
          <t>강내면</t>
        </is>
      </c>
    </row>
    <row r="5148">
      <c r="A5148" s="3" t="n">
        <v>2022</v>
      </c>
      <c r="B5148" s="4" t="n">
        <v>38000</v>
      </c>
      <c r="C5148" s="4" t="n">
        <v>331</v>
      </c>
      <c r="D5148" s="4" t="n">
        <v>100.1275</v>
      </c>
      <c r="E5148" s="5" t="n">
        <v>379.5</v>
      </c>
      <c r="F5148" s="3" t="inlineStr">
        <is>
          <t>강내면</t>
        </is>
      </c>
      <c r="G5148" s="3" t="inlineStr">
        <is>
          <t>월곡리</t>
        </is>
      </c>
      <c r="H5148" s="3" t="inlineStr">
        <is>
          <t>제2종일반주거지역</t>
        </is>
      </c>
      <c r="I5148" s="3" t="inlineStr">
        <is>
          <t>전</t>
        </is>
      </c>
      <c r="J5148" s="3" t="inlineStr">
        <is>
          <t>강내면</t>
        </is>
      </c>
    </row>
    <row r="5149">
      <c r="A5149" s="3" t="n">
        <v>2022</v>
      </c>
      <c r="B5149" s="4" t="n">
        <v>44400</v>
      </c>
      <c r="C5149" s="4" t="n">
        <v>4214</v>
      </c>
      <c r="D5149" s="4" t="n">
        <v>1274.735</v>
      </c>
      <c r="E5149" s="5" t="n">
        <v>34.8</v>
      </c>
      <c r="F5149" s="3" t="inlineStr">
        <is>
          <t>강내면</t>
        </is>
      </c>
      <c r="G5149" s="3" t="inlineStr">
        <is>
          <t>탑연리</t>
        </is>
      </c>
      <c r="H5149" s="3" t="inlineStr">
        <is>
          <t>자연녹지지역</t>
        </is>
      </c>
      <c r="I5149" s="3" t="inlineStr">
        <is>
          <t>전</t>
        </is>
      </c>
      <c r="J5149" s="3" t="inlineStr">
        <is>
          <t>강내면</t>
        </is>
      </c>
    </row>
    <row r="5150">
      <c r="A5150" s="3" t="n">
        <v>2022</v>
      </c>
      <c r="B5150" s="4" t="n">
        <v>6600</v>
      </c>
      <c r="C5150" s="4" t="n">
        <v>628</v>
      </c>
      <c r="D5150" s="4" t="n">
        <v>189.97</v>
      </c>
      <c r="E5150" s="5" t="n">
        <v>34.7</v>
      </c>
      <c r="F5150" s="3" t="inlineStr">
        <is>
          <t>강내면</t>
        </is>
      </c>
      <c r="G5150" s="3" t="inlineStr">
        <is>
          <t>탑연리</t>
        </is>
      </c>
      <c r="H5150" s="3" t="inlineStr">
        <is>
          <t>자연녹지지역</t>
        </is>
      </c>
      <c r="I5150" s="3" t="inlineStr">
        <is>
          <t>전</t>
        </is>
      </c>
      <c r="J5150" s="3" t="inlineStr">
        <is>
          <t>강내면</t>
        </is>
      </c>
    </row>
    <row r="5151">
      <c r="A5151" s="3" t="n">
        <v>2022</v>
      </c>
      <c r="B5151" s="4" t="n">
        <v>1500</v>
      </c>
      <c r="C5151" s="4" t="n">
        <v>15</v>
      </c>
      <c r="D5151" s="4" t="n">
        <v>4.5375</v>
      </c>
      <c r="E5151" s="5" t="n">
        <v>330.6</v>
      </c>
      <c r="F5151" s="3" t="inlineStr">
        <is>
          <t>오송읍</t>
        </is>
      </c>
      <c r="G5151" s="3" t="inlineStr">
        <is>
          <t>오송리</t>
        </is>
      </c>
      <c r="H5151" s="3" t="inlineStr">
        <is>
          <t>계획관리지역</t>
        </is>
      </c>
      <c r="I5151" s="3" t="inlineStr">
        <is>
          <t>대</t>
        </is>
      </c>
      <c r="J5151" s="3" t="inlineStr">
        <is>
          <t>오송읍</t>
        </is>
      </c>
    </row>
    <row r="5152">
      <c r="A5152" s="3" t="n">
        <v>2022</v>
      </c>
      <c r="B5152" s="4" t="n">
        <v>53000</v>
      </c>
      <c r="C5152" s="4" t="n">
        <v>3309</v>
      </c>
      <c r="D5152" s="4" t="n">
        <v>1000.9725</v>
      </c>
      <c r="E5152" s="5" t="n">
        <v>52.9</v>
      </c>
      <c r="F5152" s="3" t="inlineStr">
        <is>
          <t>강내면</t>
        </is>
      </c>
      <c r="G5152" s="3" t="inlineStr">
        <is>
          <t>월곡리</t>
        </is>
      </c>
      <c r="H5152" s="3" t="inlineStr">
        <is>
          <t>자연녹지지역</t>
        </is>
      </c>
      <c r="I5152" s="3" t="inlineStr">
        <is>
          <t>답</t>
        </is>
      </c>
      <c r="J5152" s="3" t="inlineStr">
        <is>
          <t>강내면</t>
        </is>
      </c>
    </row>
    <row r="5153">
      <c r="A5153" s="3" t="n">
        <v>2022</v>
      </c>
      <c r="B5153" s="4" t="n">
        <v>100</v>
      </c>
      <c r="C5153" s="4" t="n">
        <v>7</v>
      </c>
      <c r="D5153" s="4" t="n">
        <v>2.1175</v>
      </c>
      <c r="E5153" s="5" t="n">
        <v>47.2</v>
      </c>
      <c r="F5153" s="3" t="inlineStr">
        <is>
          <t>강내면</t>
        </is>
      </c>
      <c r="G5153" s="3" t="inlineStr">
        <is>
          <t>산단리</t>
        </is>
      </c>
      <c r="H5153" s="3" t="inlineStr">
        <is>
          <t>계획관리지역</t>
        </is>
      </c>
      <c r="I5153" s="3" t="inlineStr">
        <is>
          <t>대</t>
        </is>
      </c>
      <c r="J5153" s="3" t="inlineStr">
        <is>
          <t>강내면</t>
        </is>
      </c>
    </row>
    <row r="5154">
      <c r="A5154" s="3" t="n">
        <v>2022</v>
      </c>
      <c r="B5154" s="4" t="n">
        <v>235000</v>
      </c>
      <c r="C5154" s="4" t="n">
        <v>4099</v>
      </c>
      <c r="D5154" s="4" t="n">
        <v>1239.9475</v>
      </c>
      <c r="E5154" s="5" t="n">
        <v>189.5</v>
      </c>
      <c r="F5154" s="3" t="inlineStr">
        <is>
          <t>오송읍</t>
        </is>
      </c>
      <c r="G5154" s="3" t="inlineStr">
        <is>
          <t>궁평리</t>
        </is>
      </c>
      <c r="H5154" s="3" t="inlineStr">
        <is>
          <t>농림지역</t>
        </is>
      </c>
      <c r="I5154" s="3" t="inlineStr">
        <is>
          <t>답</t>
        </is>
      </c>
      <c r="J5154" s="3" t="inlineStr">
        <is>
          <t>오송읍</t>
        </is>
      </c>
    </row>
    <row r="5155">
      <c r="A5155" s="3" t="n">
        <v>2022</v>
      </c>
      <c r="B5155" s="4" t="n">
        <v>800</v>
      </c>
      <c r="C5155" s="4" t="n">
        <v>30</v>
      </c>
      <c r="D5155" s="4" t="n">
        <v>9.074999999999999</v>
      </c>
      <c r="E5155" s="5" t="n">
        <v>88.2</v>
      </c>
      <c r="F5155" s="3" t="inlineStr">
        <is>
          <t>강내면</t>
        </is>
      </c>
      <c r="G5155" s="3" t="inlineStr">
        <is>
          <t>산단리</t>
        </is>
      </c>
      <c r="H5155" s="3" t="inlineStr">
        <is>
          <t>계획관리지역</t>
        </is>
      </c>
      <c r="I5155" s="3" t="inlineStr">
        <is>
          <t>대</t>
        </is>
      </c>
      <c r="J5155" s="3" t="inlineStr">
        <is>
          <t>강내면</t>
        </is>
      </c>
    </row>
    <row r="5156">
      <c r="A5156" s="3" t="n">
        <v>2022</v>
      </c>
      <c r="B5156" s="4" t="n">
        <v>45000</v>
      </c>
      <c r="C5156" s="4" t="n">
        <v>3557</v>
      </c>
      <c r="D5156" s="4" t="n">
        <v>1075.9925</v>
      </c>
      <c r="E5156" s="5" t="n">
        <v>41.8</v>
      </c>
      <c r="F5156" s="3" t="inlineStr">
        <is>
          <t>강내면</t>
        </is>
      </c>
      <c r="G5156" s="3" t="inlineStr">
        <is>
          <t>궁현리</t>
        </is>
      </c>
      <c r="H5156" s="3" t="inlineStr">
        <is>
          <t>농림지역</t>
        </is>
      </c>
      <c r="I5156" s="3" t="inlineStr">
        <is>
          <t>답</t>
        </is>
      </c>
      <c r="J5156" s="3" t="inlineStr">
        <is>
          <t>강내면</t>
        </is>
      </c>
    </row>
    <row r="5157">
      <c r="A5157" s="3" t="n">
        <v>2022</v>
      </c>
      <c r="B5157" s="4" t="n">
        <v>14340</v>
      </c>
      <c r="C5157" s="4" t="n">
        <v>595</v>
      </c>
      <c r="D5157" s="4" t="n">
        <v>179.9875</v>
      </c>
      <c r="E5157" s="5" t="n">
        <v>79.7</v>
      </c>
      <c r="F5157" s="3" t="inlineStr">
        <is>
          <t>강내면</t>
        </is>
      </c>
      <c r="G5157" s="3" t="inlineStr">
        <is>
          <t>사인리</t>
        </is>
      </c>
      <c r="H5157" s="3" t="inlineStr">
        <is>
          <t>생산녹지지역</t>
        </is>
      </c>
      <c r="I5157" s="3" t="inlineStr">
        <is>
          <t>전</t>
        </is>
      </c>
      <c r="J5157" s="3" t="inlineStr">
        <is>
          <t>강내면</t>
        </is>
      </c>
    </row>
    <row r="5158">
      <c r="A5158" s="3" t="n">
        <v>2022</v>
      </c>
      <c r="B5158" s="4" t="n">
        <v>14380</v>
      </c>
      <c r="C5158" s="4" t="n">
        <v>672</v>
      </c>
      <c r="D5158" s="4" t="n">
        <v>203.28</v>
      </c>
      <c r="E5158" s="5" t="n">
        <v>70.7</v>
      </c>
      <c r="F5158" s="3" t="inlineStr">
        <is>
          <t>강내면</t>
        </is>
      </c>
      <c r="G5158" s="3" t="inlineStr">
        <is>
          <t>사인리</t>
        </is>
      </c>
      <c r="H5158" s="3" t="inlineStr">
        <is>
          <t>생산녹지지역</t>
        </is>
      </c>
      <c r="I5158" s="3" t="inlineStr">
        <is>
          <t>전</t>
        </is>
      </c>
      <c r="J5158" s="3" t="inlineStr">
        <is>
          <t>강내면</t>
        </is>
      </c>
    </row>
    <row r="5159">
      <c r="A5159" s="3" t="n">
        <v>2022</v>
      </c>
      <c r="B5159" s="4" t="n">
        <v>980</v>
      </c>
      <c r="C5159" s="4" t="n">
        <v>46</v>
      </c>
      <c r="D5159" s="4" t="n">
        <v>13.915</v>
      </c>
      <c r="E5159" s="5" t="n">
        <v>70.40000000000001</v>
      </c>
      <c r="F5159" s="3" t="inlineStr">
        <is>
          <t>강내면</t>
        </is>
      </c>
      <c r="G5159" s="3" t="inlineStr">
        <is>
          <t>사인리</t>
        </is>
      </c>
      <c r="H5159" s="3" t="inlineStr">
        <is>
          <t>생산녹지지역</t>
        </is>
      </c>
      <c r="I5159" s="3" t="inlineStr">
        <is>
          <t>전</t>
        </is>
      </c>
      <c r="J5159" s="3" t="inlineStr">
        <is>
          <t>강내면</t>
        </is>
      </c>
    </row>
    <row r="5160">
      <c r="A5160" s="3" t="n">
        <v>2022</v>
      </c>
      <c r="B5160" s="4" t="n">
        <v>1500</v>
      </c>
      <c r="C5160" s="4" t="n">
        <v>172</v>
      </c>
      <c r="D5160" s="4" t="n">
        <v>52.03</v>
      </c>
      <c r="E5160" s="5" t="n">
        <v>28.8</v>
      </c>
      <c r="F5160" s="3" t="inlineStr">
        <is>
          <t>강내면</t>
        </is>
      </c>
      <c r="G5160" s="3" t="inlineStr">
        <is>
          <t>사인리</t>
        </is>
      </c>
      <c r="H5160" s="3" t="inlineStr">
        <is>
          <t>생산녹지지역</t>
        </is>
      </c>
      <c r="I5160" s="3" t="inlineStr">
        <is>
          <t>전</t>
        </is>
      </c>
      <c r="J5160" s="3" t="inlineStr">
        <is>
          <t>강내면</t>
        </is>
      </c>
    </row>
    <row r="5161">
      <c r="A5161" s="3" t="n">
        <v>2022</v>
      </c>
      <c r="B5161" s="4" t="n">
        <v>4500</v>
      </c>
      <c r="C5161" s="4" t="n">
        <v>380</v>
      </c>
      <c r="D5161" s="4" t="n">
        <v>114.95</v>
      </c>
      <c r="E5161" s="5" t="n">
        <v>39.1</v>
      </c>
      <c r="F5161" s="3" t="inlineStr">
        <is>
          <t>강내면</t>
        </is>
      </c>
      <c r="G5161" s="3" t="inlineStr">
        <is>
          <t>태성리</t>
        </is>
      </c>
      <c r="H5161" s="3" t="inlineStr">
        <is>
          <t>계획관리지역</t>
        </is>
      </c>
      <c r="I5161" s="3" t="inlineStr">
        <is>
          <t>답</t>
        </is>
      </c>
      <c r="J5161" s="3" t="inlineStr">
        <is>
          <t>강내면</t>
        </is>
      </c>
    </row>
    <row r="5162">
      <c r="A5162" s="3" t="n">
        <v>2026</v>
      </c>
      <c r="B5162" s="4" t="n">
        <v>11250</v>
      </c>
      <c r="C5162" s="4" t="n">
        <v>126</v>
      </c>
      <c r="D5162" s="4" t="n">
        <v>38.115</v>
      </c>
      <c r="E5162" s="5" t="n">
        <v>295.2</v>
      </c>
      <c r="F5162" s="3" t="inlineStr">
        <is>
          <t>오송읍</t>
        </is>
      </c>
      <c r="G5162" s="3" t="inlineStr">
        <is>
          <t>동평리</t>
        </is>
      </c>
      <c r="H5162" s="3" t="inlineStr">
        <is>
          <t>계획관리지역</t>
        </is>
      </c>
      <c r="I5162" s="3" t="inlineStr">
        <is>
          <t>대</t>
        </is>
      </c>
      <c r="J5162" s="3" t="inlineStr">
        <is>
          <t>오송읍</t>
        </is>
      </c>
    </row>
    <row r="5163">
      <c r="A5163" s="3" t="n">
        <v>2026</v>
      </c>
      <c r="B5163" s="4" t="n">
        <v>25000</v>
      </c>
      <c r="C5163" s="4" t="n">
        <v>4241</v>
      </c>
      <c r="D5163" s="4" t="n">
        <v>1282.9025</v>
      </c>
      <c r="E5163" s="5" t="n">
        <v>19.5</v>
      </c>
      <c r="F5163" s="3" t="inlineStr">
        <is>
          <t>강내면</t>
        </is>
      </c>
      <c r="G5163" s="3" t="inlineStr">
        <is>
          <t>사인리</t>
        </is>
      </c>
      <c r="H5163" s="3" t="inlineStr">
        <is>
          <t>생산녹지지역</t>
        </is>
      </c>
      <c r="I5163" s="3" t="inlineStr">
        <is>
          <t>답</t>
        </is>
      </c>
      <c r="J5163" s="3" t="inlineStr">
        <is>
          <t>강내면</t>
        </is>
      </c>
    </row>
    <row r="5164">
      <c r="A5164" s="3" t="n">
        <v>2026</v>
      </c>
      <c r="B5164" s="4" t="n">
        <v>10600</v>
      </c>
      <c r="C5164" s="4" t="n">
        <v>701</v>
      </c>
      <c r="D5164" s="4" t="n">
        <v>212.0525</v>
      </c>
      <c r="E5164" s="5" t="n">
        <v>50</v>
      </c>
      <c r="F5164" s="3" t="inlineStr">
        <is>
          <t>오송읍</t>
        </is>
      </c>
      <c r="G5164" s="3" t="inlineStr">
        <is>
          <t>정중리</t>
        </is>
      </c>
      <c r="H5164" s="3" t="inlineStr">
        <is>
          <t>생산관리지역</t>
        </is>
      </c>
      <c r="I5164" s="3" t="inlineStr">
        <is>
          <t>과수원</t>
        </is>
      </c>
      <c r="J5164" s="3" t="inlineStr">
        <is>
          <t>오송읍</t>
        </is>
      </c>
    </row>
    <row r="5165">
      <c r="A5165" s="3" t="n">
        <v>2022</v>
      </c>
      <c r="B5165" s="4" t="n">
        <v>83700</v>
      </c>
      <c r="C5165" s="4" t="n">
        <v>1846.5</v>
      </c>
      <c r="D5165" s="4" t="n">
        <v>558.56625</v>
      </c>
      <c r="E5165" s="5" t="n">
        <v>149.8</v>
      </c>
      <c r="F5165" s="3" t="inlineStr">
        <is>
          <t>강내면</t>
        </is>
      </c>
      <c r="G5165" s="3" t="inlineStr">
        <is>
          <t>사곡리</t>
        </is>
      </c>
      <c r="H5165" s="3" t="inlineStr">
        <is>
          <t>계획관리지역</t>
        </is>
      </c>
      <c r="I5165" s="3" t="inlineStr">
        <is>
          <t>전</t>
        </is>
      </c>
      <c r="J5165" s="3" t="inlineStr">
        <is>
          <t>강내면</t>
        </is>
      </c>
    </row>
    <row r="5166">
      <c r="A5166" s="3" t="n">
        <v>2022</v>
      </c>
      <c r="B5166" s="4" t="n">
        <v>16500</v>
      </c>
      <c r="C5166" s="4" t="n">
        <v>400</v>
      </c>
      <c r="D5166" s="4" t="n">
        <v>121</v>
      </c>
      <c r="E5166" s="5" t="n">
        <v>136.4</v>
      </c>
      <c r="F5166" s="3" t="inlineStr">
        <is>
          <t>강내면</t>
        </is>
      </c>
      <c r="G5166" s="3" t="inlineStr">
        <is>
          <t>사곡리</t>
        </is>
      </c>
      <c r="H5166" s="3" t="inlineStr">
        <is>
          <t>계획관리지역</t>
        </is>
      </c>
      <c r="I5166" s="3" t="inlineStr">
        <is>
          <t>답</t>
        </is>
      </c>
      <c r="J5166" s="3" t="inlineStr">
        <is>
          <t>강내면</t>
        </is>
      </c>
    </row>
    <row r="5167">
      <c r="A5167" s="3" t="n">
        <v>2022</v>
      </c>
      <c r="B5167" s="4" t="n">
        <v>12800</v>
      </c>
      <c r="C5167" s="4" t="n">
        <v>308.5</v>
      </c>
      <c r="D5167" s="4" t="n">
        <v>93.32124999999999</v>
      </c>
      <c r="E5167" s="5" t="n">
        <v>137.2</v>
      </c>
      <c r="F5167" s="3" t="inlineStr">
        <is>
          <t>강내면</t>
        </is>
      </c>
      <c r="G5167" s="3" t="inlineStr">
        <is>
          <t>사곡리</t>
        </is>
      </c>
      <c r="H5167" s="3" t="inlineStr">
        <is>
          <t>계획관리지역</t>
        </is>
      </c>
      <c r="I5167" s="3" t="inlineStr">
        <is>
          <t>전</t>
        </is>
      </c>
      <c r="J5167" s="3" t="inlineStr">
        <is>
          <t>강내면</t>
        </is>
      </c>
    </row>
    <row r="5168">
      <c r="A5168" s="3" t="n">
        <v>2022</v>
      </c>
      <c r="B5168" s="4" t="n">
        <v>4100</v>
      </c>
      <c r="C5168" s="4" t="n">
        <v>893</v>
      </c>
      <c r="D5168" s="4" t="n">
        <v>270.1325</v>
      </c>
      <c r="E5168" s="5" t="n">
        <v>15.2</v>
      </c>
      <c r="F5168" s="3" t="inlineStr">
        <is>
          <t>강내면</t>
        </is>
      </c>
      <c r="G5168" s="3" t="inlineStr">
        <is>
          <t>사곡리</t>
        </is>
      </c>
      <c r="H5168" s="3" t="inlineStr">
        <is>
          <t>계획관리지역</t>
        </is>
      </c>
      <c r="I5168" s="3" t="inlineStr">
        <is>
          <t>임야</t>
        </is>
      </c>
      <c r="J5168" s="3" t="inlineStr">
        <is>
          <t>강내면</t>
        </is>
      </c>
    </row>
    <row r="5169">
      <c r="A5169" s="3" t="n">
        <v>2022</v>
      </c>
      <c r="B5169" s="4" t="n">
        <v>4700</v>
      </c>
      <c r="C5169" s="4" t="n">
        <v>314</v>
      </c>
      <c r="D5169" s="4" t="n">
        <v>94.985</v>
      </c>
      <c r="E5169" s="5" t="n">
        <v>49.5</v>
      </c>
      <c r="F5169" s="3" t="inlineStr">
        <is>
          <t>오송읍</t>
        </is>
      </c>
      <c r="G5169" s="3" t="inlineStr">
        <is>
          <t>쌍청리</t>
        </is>
      </c>
      <c r="H5169" s="3" t="inlineStr">
        <is>
          <t>농림지역</t>
        </is>
      </c>
      <c r="I5169" s="3" t="inlineStr">
        <is>
          <t>전</t>
        </is>
      </c>
      <c r="J5169" s="3" t="inlineStr">
        <is>
          <t>오송읍</t>
        </is>
      </c>
    </row>
    <row r="5170">
      <c r="A5170" s="3" t="n">
        <v>2022</v>
      </c>
      <c r="B5170" s="4" t="n">
        <v>25500</v>
      </c>
      <c r="C5170" s="4" t="n">
        <v>1042</v>
      </c>
      <c r="D5170" s="4" t="n">
        <v>315.205</v>
      </c>
      <c r="E5170" s="5" t="n">
        <v>80.90000000000001</v>
      </c>
      <c r="F5170" s="3" t="inlineStr">
        <is>
          <t>강내면</t>
        </is>
      </c>
      <c r="G5170" s="3" t="inlineStr">
        <is>
          <t>산단리</t>
        </is>
      </c>
      <c r="H5170" s="3" t="inlineStr">
        <is>
          <t>계획관리지역</t>
        </is>
      </c>
      <c r="I5170" s="3" t="inlineStr">
        <is>
          <t>전</t>
        </is>
      </c>
      <c r="J5170" s="3" t="inlineStr">
        <is>
          <t>강내면</t>
        </is>
      </c>
    </row>
    <row r="5171">
      <c r="A5171" s="3" t="n">
        <v>2022</v>
      </c>
      <c r="B5171" s="4" t="n">
        <v>36000</v>
      </c>
      <c r="C5171" s="4" t="n">
        <v>660</v>
      </c>
      <c r="D5171" s="4" t="n">
        <v>199.65</v>
      </c>
      <c r="E5171" s="5" t="n">
        <v>180.3</v>
      </c>
      <c r="F5171" s="3" t="inlineStr">
        <is>
          <t>오송읍</t>
        </is>
      </c>
      <c r="G5171" s="3" t="inlineStr">
        <is>
          <t>궁평리</t>
        </is>
      </c>
      <c r="H5171" s="3" t="inlineStr">
        <is>
          <t>농림지역</t>
        </is>
      </c>
      <c r="I5171" s="3" t="inlineStr">
        <is>
          <t>창고용지</t>
        </is>
      </c>
      <c r="J5171" s="3" t="inlineStr">
        <is>
          <t>오송읍</t>
        </is>
      </c>
    </row>
    <row r="5172">
      <c r="A5172" s="3" t="n">
        <v>2022</v>
      </c>
      <c r="B5172" s="4" t="n">
        <v>40000</v>
      </c>
      <c r="C5172" s="4" t="n">
        <v>272.7</v>
      </c>
      <c r="D5172" s="4" t="n">
        <v>82.49175</v>
      </c>
      <c r="E5172" s="5" t="n">
        <v>484.9</v>
      </c>
      <c r="F5172" s="3" t="inlineStr">
        <is>
          <t>오송읍</t>
        </is>
      </c>
      <c r="G5172" s="3" t="inlineStr">
        <is>
          <t>봉산리</t>
        </is>
      </c>
      <c r="H5172" s="3" t="inlineStr">
        <is>
          <t>제1종일반주거지역</t>
        </is>
      </c>
      <c r="I5172" s="3" t="inlineStr">
        <is>
          <t>대</t>
        </is>
      </c>
      <c r="J5172" s="3" t="inlineStr">
        <is>
          <t>오송읍</t>
        </is>
      </c>
    </row>
    <row r="5173">
      <c r="A5173" s="3" t="n">
        <v>2022</v>
      </c>
      <c r="B5173" s="4" t="n">
        <v>9000</v>
      </c>
      <c r="C5173" s="4" t="n">
        <v>1001</v>
      </c>
      <c r="D5173" s="4" t="n">
        <v>302.8025</v>
      </c>
      <c r="E5173" s="5" t="n">
        <v>29.7</v>
      </c>
      <c r="F5173" s="3" t="inlineStr">
        <is>
          <t>강내면</t>
        </is>
      </c>
      <c r="G5173" s="3" t="inlineStr">
        <is>
          <t>저산리</t>
        </is>
      </c>
      <c r="H5173" s="3" t="inlineStr">
        <is>
          <t>계획관리지역</t>
        </is>
      </c>
      <c r="I5173" s="3" t="inlineStr">
        <is>
          <t>임야</t>
        </is>
      </c>
      <c r="J5173" s="3" t="inlineStr">
        <is>
          <t>강내면</t>
        </is>
      </c>
    </row>
    <row r="5174">
      <c r="A5174" s="3" t="n">
        <v>2022</v>
      </c>
      <c r="B5174" s="4" t="n">
        <v>77717</v>
      </c>
      <c r="C5174" s="4" t="n">
        <v>6626.3</v>
      </c>
      <c r="D5174" s="4" t="n">
        <v>2004.45575</v>
      </c>
      <c r="E5174" s="5" t="n">
        <v>38.8</v>
      </c>
      <c r="F5174" s="3" t="inlineStr">
        <is>
          <t>오송읍</t>
        </is>
      </c>
      <c r="G5174" s="3" t="inlineStr">
        <is>
          <t>연제리</t>
        </is>
      </c>
      <c r="H5174" s="3" t="inlineStr">
        <is>
          <t>준공업지역</t>
        </is>
      </c>
      <c r="I5174" s="3" t="inlineStr">
        <is>
          <t>대</t>
        </is>
      </c>
      <c r="J5174" s="3" t="inlineStr">
        <is>
          <t>오송읍</t>
        </is>
      </c>
    </row>
    <row r="5175">
      <c r="A5175" s="3" t="n">
        <v>2022</v>
      </c>
      <c r="B5175" s="4" t="n">
        <v>20000</v>
      </c>
      <c r="C5175" s="4" t="n">
        <v>1368</v>
      </c>
      <c r="D5175" s="4" t="n">
        <v>413.82</v>
      </c>
      <c r="E5175" s="5" t="n">
        <v>48.3</v>
      </c>
      <c r="F5175" s="3" t="inlineStr">
        <is>
          <t>강내면</t>
        </is>
      </c>
      <c r="G5175" s="3" t="inlineStr">
        <is>
          <t>탑연리</t>
        </is>
      </c>
      <c r="H5175" s="3" t="inlineStr">
        <is>
          <t>생산녹지지역</t>
        </is>
      </c>
      <c r="I5175" s="3" t="inlineStr">
        <is>
          <t>답</t>
        </is>
      </c>
      <c r="J5175" s="3" t="inlineStr">
        <is>
          <t>강내면</t>
        </is>
      </c>
    </row>
    <row r="5176">
      <c r="A5176" s="3" t="n">
        <v>2022</v>
      </c>
      <c r="B5176" s="4" t="n">
        <v>12000</v>
      </c>
      <c r="C5176" s="4" t="n">
        <v>485</v>
      </c>
      <c r="D5176" s="4" t="n">
        <v>146.7125</v>
      </c>
      <c r="E5176" s="5" t="n">
        <v>81.8</v>
      </c>
      <c r="F5176" s="3" t="inlineStr">
        <is>
          <t>오송읍</t>
        </is>
      </c>
      <c r="G5176" s="3" t="inlineStr">
        <is>
          <t>상봉리</t>
        </is>
      </c>
      <c r="H5176" s="3" t="inlineStr">
        <is>
          <t>계획관리지역</t>
        </is>
      </c>
      <c r="I5176" s="3" t="inlineStr">
        <is>
          <t>대</t>
        </is>
      </c>
      <c r="J5176" s="3" t="inlineStr">
        <is>
          <t>오송읍</t>
        </is>
      </c>
    </row>
    <row r="5177">
      <c r="A5177" s="3" t="n">
        <v>2022</v>
      </c>
      <c r="B5177" s="4" t="n">
        <v>1550</v>
      </c>
      <c r="C5177" s="4" t="n">
        <v>17</v>
      </c>
      <c r="D5177" s="4" t="n">
        <v>5.1425</v>
      </c>
      <c r="E5177" s="5" t="n">
        <v>301.4</v>
      </c>
      <c r="F5177" s="3" t="inlineStr">
        <is>
          <t>오송읍</t>
        </is>
      </c>
      <c r="G5177" s="3" t="inlineStr">
        <is>
          <t>궁평리</t>
        </is>
      </c>
      <c r="H5177" s="3" t="inlineStr">
        <is>
          <t>준주거지역</t>
        </is>
      </c>
      <c r="I5177" s="3" t="inlineStr">
        <is>
          <t>답</t>
        </is>
      </c>
      <c r="J5177" s="3" t="inlineStr">
        <is>
          <t>오송읍</t>
        </is>
      </c>
    </row>
    <row r="5178">
      <c r="A5178" s="3" t="n">
        <v>2022</v>
      </c>
      <c r="B5178" s="4" t="n">
        <v>487996</v>
      </c>
      <c r="C5178" s="4" t="n">
        <v>14266.6</v>
      </c>
      <c r="D5178" s="4" t="n">
        <v>4315.6465</v>
      </c>
      <c r="E5178" s="5" t="n">
        <v>113.1</v>
      </c>
      <c r="F5178" s="3" t="inlineStr">
        <is>
          <t>오송읍</t>
        </is>
      </c>
      <c r="G5178" s="3" t="inlineStr">
        <is>
          <t>정중리</t>
        </is>
      </c>
      <c r="H5178" s="3" t="inlineStr">
        <is>
          <t>일반공업지역</t>
        </is>
      </c>
      <c r="I5178" s="3" t="inlineStr">
        <is>
          <t>대</t>
        </is>
      </c>
      <c r="J5178" s="3" t="inlineStr">
        <is>
          <t>오송읍</t>
        </is>
      </c>
    </row>
    <row r="5179">
      <c r="A5179" s="3" t="n">
        <v>2024</v>
      </c>
      <c r="B5179" s="4" t="n">
        <v>42121</v>
      </c>
      <c r="C5179" s="4" t="n">
        <v>2162</v>
      </c>
      <c r="D5179" s="4" t="n">
        <v>654.005</v>
      </c>
      <c r="E5179" s="5" t="n">
        <v>64.40000000000001</v>
      </c>
      <c r="F5179" s="3" t="inlineStr">
        <is>
          <t>오송읍</t>
        </is>
      </c>
      <c r="G5179" s="3" t="inlineStr">
        <is>
          <t>서평리</t>
        </is>
      </c>
      <c r="H5179" s="3" t="inlineStr">
        <is>
          <t>농림지역</t>
        </is>
      </c>
      <c r="I5179" s="3" t="inlineStr">
        <is>
          <t>답</t>
        </is>
      </c>
      <c r="J5179" s="3" t="inlineStr">
        <is>
          <t>오송읍</t>
        </is>
      </c>
    </row>
    <row r="5180">
      <c r="A5180" s="3" t="n">
        <v>2024</v>
      </c>
      <c r="B5180" s="4" t="n">
        <v>88879</v>
      </c>
      <c r="C5180" s="4" t="n">
        <v>4562</v>
      </c>
      <c r="D5180" s="4" t="n">
        <v>1380.005</v>
      </c>
      <c r="E5180" s="5" t="n">
        <v>64.40000000000001</v>
      </c>
      <c r="F5180" s="3" t="inlineStr">
        <is>
          <t>오송읍</t>
        </is>
      </c>
      <c r="G5180" s="3" t="inlineStr">
        <is>
          <t>서평리</t>
        </is>
      </c>
      <c r="H5180" s="3" t="inlineStr">
        <is>
          <t>농림지역</t>
        </is>
      </c>
      <c r="I5180" s="3" t="inlineStr">
        <is>
          <t>답</t>
        </is>
      </c>
      <c r="J5180" s="3" t="inlineStr">
        <is>
          <t>오송읍</t>
        </is>
      </c>
    </row>
    <row r="5181">
      <c r="A5181" s="3" t="n">
        <v>2024</v>
      </c>
      <c r="B5181" s="4" t="n">
        <v>7900</v>
      </c>
      <c r="C5181" s="4" t="n">
        <v>375</v>
      </c>
      <c r="D5181" s="4" t="n">
        <v>113.4375</v>
      </c>
      <c r="E5181" s="5" t="n">
        <v>69.59999999999999</v>
      </c>
      <c r="F5181" s="3" t="inlineStr">
        <is>
          <t>강내면</t>
        </is>
      </c>
      <c r="G5181" s="3" t="inlineStr">
        <is>
          <t>태성리</t>
        </is>
      </c>
      <c r="H5181" s="3" t="inlineStr">
        <is>
          <t>계획관리지역</t>
        </is>
      </c>
      <c r="I5181" s="3" t="inlineStr">
        <is>
          <t>답</t>
        </is>
      </c>
      <c r="J5181" s="3" t="inlineStr">
        <is>
          <t>강내면</t>
        </is>
      </c>
    </row>
    <row r="5182">
      <c r="A5182" s="3" t="n">
        <v>2024</v>
      </c>
      <c r="B5182" s="4" t="n">
        <v>25000</v>
      </c>
      <c r="C5182" s="4" t="n">
        <v>241.4</v>
      </c>
      <c r="D5182" s="4" t="n">
        <v>73.0235</v>
      </c>
      <c r="E5182" s="5" t="n">
        <v>342.4</v>
      </c>
      <c r="F5182" s="3" t="inlineStr">
        <is>
          <t>오송읍</t>
        </is>
      </c>
      <c r="G5182" s="3" t="inlineStr">
        <is>
          <t>봉산리</t>
        </is>
      </c>
      <c r="H5182" s="3" t="inlineStr">
        <is>
          <t>제1종일반주거지역</t>
        </is>
      </c>
      <c r="I5182" s="3" t="inlineStr">
        <is>
          <t>대</t>
        </is>
      </c>
      <c r="J5182" s="3" t="inlineStr">
        <is>
          <t>오송읍</t>
        </is>
      </c>
    </row>
    <row r="5183">
      <c r="A5183" s="3" t="n">
        <v>2024</v>
      </c>
      <c r="B5183" s="4" t="n">
        <v>2443</v>
      </c>
      <c r="C5183" s="4" t="n">
        <v>112</v>
      </c>
      <c r="D5183" s="4" t="n">
        <v>33.88</v>
      </c>
      <c r="E5183" s="5" t="n">
        <v>72.09999999999999</v>
      </c>
      <c r="F5183" s="3" t="inlineStr">
        <is>
          <t>오송읍</t>
        </is>
      </c>
      <c r="G5183" s="3" t="inlineStr">
        <is>
          <t>상봉리</t>
        </is>
      </c>
      <c r="H5183" s="3" t="inlineStr">
        <is>
          <t>생산관리지역</t>
        </is>
      </c>
      <c r="I5183" s="3" t="inlineStr">
        <is>
          <t>임야</t>
        </is>
      </c>
      <c r="J5183" s="3" t="inlineStr">
        <is>
          <t>오송읍</t>
        </is>
      </c>
    </row>
    <row r="5184">
      <c r="A5184" s="3" t="n">
        <v>2024</v>
      </c>
      <c r="B5184" s="4" t="n">
        <v>50489</v>
      </c>
      <c r="C5184" s="4" t="n">
        <v>2314</v>
      </c>
      <c r="D5184" s="4" t="n">
        <v>699.985</v>
      </c>
      <c r="E5184" s="5" t="n">
        <v>72.09999999999999</v>
      </c>
      <c r="F5184" s="3" t="inlineStr">
        <is>
          <t>오송읍</t>
        </is>
      </c>
      <c r="G5184" s="3" t="inlineStr">
        <is>
          <t>상봉리</t>
        </is>
      </c>
      <c r="H5184" s="3" t="inlineStr">
        <is>
          <t>생산관리지역</t>
        </is>
      </c>
      <c r="I5184" s="3" t="inlineStr">
        <is>
          <t>전</t>
        </is>
      </c>
      <c r="J5184" s="3" t="inlineStr">
        <is>
          <t>오송읍</t>
        </is>
      </c>
    </row>
    <row r="5185">
      <c r="A5185" s="3" t="n">
        <v>2024</v>
      </c>
      <c r="B5185" s="4" t="n">
        <v>20291</v>
      </c>
      <c r="C5185" s="4" t="n">
        <v>559</v>
      </c>
      <c r="D5185" s="4" t="n">
        <v>169.0975</v>
      </c>
      <c r="E5185" s="5" t="n">
        <v>120</v>
      </c>
      <c r="F5185" s="3" t="inlineStr">
        <is>
          <t>강내면</t>
        </is>
      </c>
      <c r="G5185" s="3" t="inlineStr">
        <is>
          <t>다락리</t>
        </is>
      </c>
      <c r="H5185" s="3" t="inlineStr">
        <is>
          <t>계획관리지역</t>
        </is>
      </c>
      <c r="I5185" s="3" t="inlineStr">
        <is>
          <t>대</t>
        </is>
      </c>
      <c r="J5185" s="3" t="inlineStr">
        <is>
          <t>강내면</t>
        </is>
      </c>
    </row>
    <row r="5186">
      <c r="A5186" s="3" t="n">
        <v>2024</v>
      </c>
      <c r="B5186" s="4" t="n">
        <v>2500</v>
      </c>
      <c r="C5186" s="4" t="n">
        <v>112</v>
      </c>
      <c r="D5186" s="4" t="n">
        <v>33.88</v>
      </c>
      <c r="E5186" s="5" t="n">
        <v>73.8</v>
      </c>
      <c r="F5186" s="3" t="inlineStr">
        <is>
          <t>강내면</t>
        </is>
      </c>
      <c r="G5186" s="3" t="inlineStr">
        <is>
          <t>저산리</t>
        </is>
      </c>
      <c r="H5186" s="3" t="inlineStr">
        <is>
          <t>계획관리지역</t>
        </is>
      </c>
      <c r="I5186" s="3" t="inlineStr">
        <is>
          <t>대</t>
        </is>
      </c>
      <c r="J5186" s="3" t="inlineStr">
        <is>
          <t>강내면</t>
        </is>
      </c>
    </row>
    <row r="5187">
      <c r="A5187" s="3" t="n">
        <v>2024</v>
      </c>
      <c r="B5187" s="4" t="n">
        <v>81340</v>
      </c>
      <c r="C5187" s="4" t="n">
        <v>3729</v>
      </c>
      <c r="D5187" s="4" t="n">
        <v>1128.0225</v>
      </c>
      <c r="E5187" s="5" t="n">
        <v>72.09999999999999</v>
      </c>
      <c r="F5187" s="3" t="inlineStr">
        <is>
          <t>오송읍</t>
        </is>
      </c>
      <c r="G5187" s="3" t="inlineStr">
        <is>
          <t>상봉리</t>
        </is>
      </c>
      <c r="H5187" s="3" t="inlineStr">
        <is>
          <t>생산관리지역</t>
        </is>
      </c>
      <c r="I5187" s="3" t="inlineStr">
        <is>
          <t>전</t>
        </is>
      </c>
      <c r="J5187" s="3" t="inlineStr">
        <is>
          <t>오송읍</t>
        </is>
      </c>
    </row>
    <row r="5188">
      <c r="A5188" s="3" t="n">
        <v>2024</v>
      </c>
      <c r="B5188" s="4" t="n">
        <v>18000</v>
      </c>
      <c r="C5188" s="4" t="n">
        <v>2394.9</v>
      </c>
      <c r="D5188" s="4" t="n">
        <v>724.45725</v>
      </c>
      <c r="E5188" s="5" t="n">
        <v>24.8</v>
      </c>
      <c r="F5188" s="3" t="inlineStr">
        <is>
          <t>강내면</t>
        </is>
      </c>
      <c r="G5188" s="3" t="inlineStr">
        <is>
          <t>황탄리</t>
        </is>
      </c>
      <c r="H5188" s="3" t="inlineStr">
        <is>
          <t>농림지역</t>
        </is>
      </c>
      <c r="I5188" s="3" t="inlineStr">
        <is>
          <t>답</t>
        </is>
      </c>
      <c r="J5188" s="3" t="inlineStr">
        <is>
          <t>강내면</t>
        </is>
      </c>
    </row>
    <row r="5189">
      <c r="A5189" s="3" t="n">
        <v>2024</v>
      </c>
      <c r="B5189" s="4" t="n">
        <v>80000</v>
      </c>
      <c r="C5189" s="4" t="n">
        <v>2119</v>
      </c>
      <c r="D5189" s="4" t="n">
        <v>640.9974999999999</v>
      </c>
      <c r="E5189" s="5" t="n">
        <v>124.8</v>
      </c>
      <c r="F5189" s="3" t="inlineStr">
        <is>
          <t>강내면</t>
        </is>
      </c>
      <c r="G5189" s="3" t="inlineStr">
        <is>
          <t>월곡리</t>
        </is>
      </c>
      <c r="H5189" s="3" t="inlineStr">
        <is>
          <t>자연녹지지역</t>
        </is>
      </c>
      <c r="I5189" s="3" t="inlineStr">
        <is>
          <t>답</t>
        </is>
      </c>
      <c r="J5189" s="3" t="inlineStr">
        <is>
          <t>강내면</t>
        </is>
      </c>
    </row>
    <row r="5190">
      <c r="A5190" s="3" t="n">
        <v>2024</v>
      </c>
      <c r="B5190" s="4" t="n">
        <v>9500</v>
      </c>
      <c r="C5190" s="4" t="n">
        <v>274</v>
      </c>
      <c r="D5190" s="4" t="n">
        <v>82.88499999999999</v>
      </c>
      <c r="E5190" s="5" t="n">
        <v>114.6</v>
      </c>
      <c r="F5190" s="3" t="inlineStr">
        <is>
          <t>오송읍</t>
        </is>
      </c>
      <c r="G5190" s="3" t="inlineStr">
        <is>
          <t>쌍청리</t>
        </is>
      </c>
      <c r="H5190" s="3" t="inlineStr">
        <is>
          <t>계획관리지역</t>
        </is>
      </c>
      <c r="I5190" s="3" t="inlineStr">
        <is>
          <t>대</t>
        </is>
      </c>
      <c r="J5190" s="3" t="inlineStr">
        <is>
          <t>오송읍</t>
        </is>
      </c>
    </row>
    <row r="5191">
      <c r="A5191" s="3" t="n">
        <v>2024</v>
      </c>
      <c r="B5191" s="4" t="n">
        <v>38800</v>
      </c>
      <c r="C5191" s="4" t="n">
        <v>300</v>
      </c>
      <c r="D5191" s="4" t="n">
        <v>90.75</v>
      </c>
      <c r="E5191" s="5" t="n">
        <v>427.5</v>
      </c>
      <c r="F5191" s="3" t="inlineStr">
        <is>
          <t>오송읍</t>
        </is>
      </c>
      <c r="G5191" s="3" t="inlineStr">
        <is>
          <t>오송리</t>
        </is>
      </c>
      <c r="H5191" s="3" t="inlineStr">
        <is>
          <t>제1종일반주거지역</t>
        </is>
      </c>
      <c r="I5191" s="3" t="inlineStr">
        <is>
          <t>대</t>
        </is>
      </c>
      <c r="J5191" s="3" t="inlineStr">
        <is>
          <t>오송읍</t>
        </is>
      </c>
    </row>
    <row r="5192">
      <c r="A5192" s="3" t="n">
        <v>2024</v>
      </c>
      <c r="B5192" s="4" t="n">
        <v>8000</v>
      </c>
      <c r="C5192" s="4" t="n">
        <v>380</v>
      </c>
      <c r="D5192" s="4" t="n">
        <v>114.95</v>
      </c>
      <c r="E5192" s="5" t="n">
        <v>69.59999999999999</v>
      </c>
      <c r="F5192" s="3" t="inlineStr">
        <is>
          <t>강내면</t>
        </is>
      </c>
      <c r="G5192" s="3" t="inlineStr">
        <is>
          <t>태성리</t>
        </is>
      </c>
      <c r="H5192" s="3" t="inlineStr">
        <is>
          <t>계획관리지역</t>
        </is>
      </c>
      <c r="I5192" s="3" t="inlineStr">
        <is>
          <t>답</t>
        </is>
      </c>
      <c r="J5192" s="3" t="inlineStr">
        <is>
          <t>강내면</t>
        </is>
      </c>
    </row>
    <row r="5193">
      <c r="A5193" s="3" t="n">
        <v>2024</v>
      </c>
      <c r="B5193" s="4" t="n">
        <v>9223</v>
      </c>
      <c r="C5193" s="4" t="n">
        <v>504</v>
      </c>
      <c r="D5193" s="4" t="n">
        <v>152.46</v>
      </c>
      <c r="E5193" s="5" t="n">
        <v>60.5</v>
      </c>
      <c r="F5193" s="3" t="inlineStr">
        <is>
          <t>오송읍</t>
        </is>
      </c>
      <c r="G5193" s="3" t="inlineStr">
        <is>
          <t>공북리</t>
        </is>
      </c>
      <c r="H5193" s="3" t="inlineStr">
        <is>
          <t>농림지역</t>
        </is>
      </c>
      <c r="I5193" s="3" t="inlineStr">
        <is>
          <t>전</t>
        </is>
      </c>
      <c r="J5193" s="3" t="inlineStr">
        <is>
          <t>오송읍</t>
        </is>
      </c>
    </row>
    <row r="5194">
      <c r="A5194" s="3" t="n">
        <v>2024</v>
      </c>
      <c r="B5194" s="4" t="n">
        <v>2949</v>
      </c>
      <c r="C5194" s="4" t="n">
        <v>240</v>
      </c>
      <c r="D5194" s="4" t="n">
        <v>72.59999999999999</v>
      </c>
      <c r="E5194" s="5" t="n">
        <v>40.6</v>
      </c>
      <c r="F5194" s="3" t="inlineStr">
        <is>
          <t>오송읍</t>
        </is>
      </c>
      <c r="G5194" s="3" t="inlineStr">
        <is>
          <t>정중리</t>
        </is>
      </c>
      <c r="H5194" s="3" t="inlineStr">
        <is>
          <t>생산관리지역</t>
        </is>
      </c>
      <c r="I5194" s="3" t="inlineStr">
        <is>
          <t>전</t>
        </is>
      </c>
      <c r="J5194" s="3" t="inlineStr">
        <is>
          <t>오송읍</t>
        </is>
      </c>
    </row>
    <row r="5195">
      <c r="A5195" s="3" t="n">
        <v>2024</v>
      </c>
      <c r="B5195" s="4" t="n">
        <v>65000</v>
      </c>
      <c r="C5195" s="4" t="n">
        <v>1653</v>
      </c>
      <c r="D5195" s="4" t="n">
        <v>500.0325</v>
      </c>
      <c r="E5195" s="5" t="n">
        <v>130</v>
      </c>
      <c r="F5195" s="3" t="inlineStr">
        <is>
          <t>강내면</t>
        </is>
      </c>
      <c r="G5195" s="3" t="inlineStr">
        <is>
          <t>월곡리</t>
        </is>
      </c>
      <c r="H5195" s="3" t="inlineStr">
        <is>
          <t>자연녹지지역</t>
        </is>
      </c>
      <c r="I5195" s="3" t="inlineStr">
        <is>
          <t>답</t>
        </is>
      </c>
      <c r="J5195" s="3" t="inlineStr">
        <is>
          <t>강내면</t>
        </is>
      </c>
    </row>
    <row r="5196">
      <c r="A5196" s="3" t="n">
        <v>2024</v>
      </c>
      <c r="B5196" s="4" t="n">
        <v>5000</v>
      </c>
      <c r="C5196" s="4" t="n">
        <v>344</v>
      </c>
      <c r="D5196" s="4" t="n">
        <v>104.06</v>
      </c>
      <c r="E5196" s="5" t="n">
        <v>48</v>
      </c>
      <c r="F5196" s="3" t="inlineStr">
        <is>
          <t>오송읍</t>
        </is>
      </c>
      <c r="G5196" s="3" t="inlineStr">
        <is>
          <t>상봉리</t>
        </is>
      </c>
      <c r="H5196" s="3" t="inlineStr">
        <is>
          <t>계획관리지역</t>
        </is>
      </c>
      <c r="I5196" s="3" t="inlineStr">
        <is>
          <t>대</t>
        </is>
      </c>
      <c r="J5196" s="3" t="inlineStr">
        <is>
          <t>오송읍</t>
        </is>
      </c>
    </row>
    <row r="5197">
      <c r="A5197" s="3" t="n">
        <v>2024</v>
      </c>
      <c r="B5197" s="4" t="n">
        <v>15388</v>
      </c>
      <c r="C5197" s="4" t="n">
        <v>443</v>
      </c>
      <c r="D5197" s="4" t="n">
        <v>134.0075</v>
      </c>
      <c r="E5197" s="5" t="n">
        <v>114.8</v>
      </c>
      <c r="F5197" s="3" t="inlineStr">
        <is>
          <t>강내면</t>
        </is>
      </c>
      <c r="G5197" s="3" t="inlineStr">
        <is>
          <t>다락리</t>
        </is>
      </c>
      <c r="H5197" s="3" t="inlineStr">
        <is>
          <t>계획관리지역</t>
        </is>
      </c>
      <c r="I5197" s="3" t="inlineStr">
        <is>
          <t>대</t>
        </is>
      </c>
      <c r="J5197" s="3" t="inlineStr">
        <is>
          <t>강내면</t>
        </is>
      </c>
    </row>
    <row r="5198">
      <c r="A5198" s="3" t="n">
        <v>2024</v>
      </c>
      <c r="B5198" s="4" t="n">
        <v>450</v>
      </c>
      <c r="C5198" s="4" t="n">
        <v>36</v>
      </c>
      <c r="D5198" s="4" t="n">
        <v>10.89</v>
      </c>
      <c r="E5198" s="5" t="n">
        <v>41.3</v>
      </c>
      <c r="F5198" s="3" t="inlineStr">
        <is>
          <t>강내면</t>
        </is>
      </c>
      <c r="G5198" s="3" t="inlineStr">
        <is>
          <t>연정리</t>
        </is>
      </c>
      <c r="H5198" s="3" t="inlineStr">
        <is>
          <t>계획관리지역</t>
        </is>
      </c>
      <c r="I5198" s="3" t="inlineStr">
        <is>
          <t>전</t>
        </is>
      </c>
      <c r="J5198" s="3" t="inlineStr">
        <is>
          <t>강내면</t>
        </is>
      </c>
    </row>
    <row r="5199">
      <c r="A5199" s="3" t="n">
        <v>2026</v>
      </c>
      <c r="B5199" s="4" t="n">
        <v>43000</v>
      </c>
      <c r="C5199" s="4" t="n">
        <v>505</v>
      </c>
      <c r="D5199" s="4" t="n">
        <v>152.7625</v>
      </c>
      <c r="E5199" s="5" t="n">
        <v>281.5</v>
      </c>
      <c r="F5199" s="3" t="inlineStr">
        <is>
          <t>강내면</t>
        </is>
      </c>
      <c r="G5199" s="3" t="inlineStr">
        <is>
          <t>탑연리</t>
        </is>
      </c>
      <c r="H5199" s="3" t="inlineStr">
        <is>
          <t>제2종일반주거지역</t>
        </is>
      </c>
      <c r="I5199" s="3" t="inlineStr">
        <is>
          <t>전</t>
        </is>
      </c>
      <c r="J5199" s="3" t="inlineStr">
        <is>
          <t>강내면</t>
        </is>
      </c>
    </row>
    <row r="5200">
      <c r="A5200" s="3" t="n">
        <v>2022</v>
      </c>
      <c r="B5200" s="4" t="n">
        <v>11600</v>
      </c>
      <c r="C5200" s="4" t="n">
        <v>1283</v>
      </c>
      <c r="D5200" s="4" t="n">
        <v>388.1075</v>
      </c>
      <c r="E5200" s="5" t="n">
        <v>29.9</v>
      </c>
      <c r="F5200" s="3" t="inlineStr">
        <is>
          <t>오송읍</t>
        </is>
      </c>
      <c r="G5200" s="3" t="inlineStr">
        <is>
          <t>쌍청리</t>
        </is>
      </c>
      <c r="H5200" s="3" t="inlineStr">
        <is>
          <t>농림지역</t>
        </is>
      </c>
      <c r="I5200" s="3" t="inlineStr">
        <is>
          <t>전</t>
        </is>
      </c>
      <c r="J5200" s="3" t="inlineStr">
        <is>
          <t>오송읍</t>
        </is>
      </c>
    </row>
    <row r="5201">
      <c r="A5201" s="3" t="n">
        <v>2022</v>
      </c>
      <c r="B5201" s="4" t="n">
        <v>75</v>
      </c>
      <c r="C5201" s="4" t="n">
        <v>3</v>
      </c>
      <c r="D5201" s="4" t="n">
        <v>0.9075</v>
      </c>
      <c r="E5201" s="5" t="n">
        <v>82.59999999999999</v>
      </c>
      <c r="F5201" s="3" t="inlineStr">
        <is>
          <t>오송읍</t>
        </is>
      </c>
      <c r="G5201" s="3" t="inlineStr">
        <is>
          <t>연제리</t>
        </is>
      </c>
      <c r="H5201" s="3" t="inlineStr">
        <is>
          <t>농림지역</t>
        </is>
      </c>
      <c r="I5201" s="3" t="inlineStr">
        <is>
          <t>도로</t>
        </is>
      </c>
      <c r="J5201" s="3" t="inlineStr">
        <is>
          <t>오송읍</t>
        </is>
      </c>
    </row>
    <row r="5202">
      <c r="A5202" s="3" t="n">
        <v>2022</v>
      </c>
      <c r="B5202" s="4" t="n">
        <v>31500</v>
      </c>
      <c r="C5202" s="4" t="n">
        <v>287.2</v>
      </c>
      <c r="D5202" s="4" t="n">
        <v>86.878</v>
      </c>
      <c r="E5202" s="5" t="n">
        <v>362.6</v>
      </c>
      <c r="F5202" s="3" t="inlineStr">
        <is>
          <t>오송읍</t>
        </is>
      </c>
      <c r="G5202" s="3" t="inlineStr">
        <is>
          <t>봉산리</t>
        </is>
      </c>
      <c r="H5202" s="3" t="inlineStr">
        <is>
          <t>제1종일반주거지역</t>
        </is>
      </c>
      <c r="I5202" s="3" t="inlineStr">
        <is>
          <t>대</t>
        </is>
      </c>
      <c r="J5202" s="3" t="inlineStr">
        <is>
          <t>오송읍</t>
        </is>
      </c>
    </row>
    <row r="5203">
      <c r="A5203" s="3" t="n">
        <v>2022</v>
      </c>
      <c r="B5203" s="4" t="n">
        <v>462</v>
      </c>
      <c r="C5203" s="4" t="n">
        <v>6</v>
      </c>
      <c r="D5203" s="4" t="n">
        <v>1.815</v>
      </c>
      <c r="E5203" s="5" t="n">
        <v>254.5</v>
      </c>
      <c r="F5203" s="3" t="inlineStr">
        <is>
          <t>강내면</t>
        </is>
      </c>
      <c r="G5203" s="3" t="inlineStr">
        <is>
          <t>월곡리</t>
        </is>
      </c>
      <c r="H5203" s="3" t="inlineStr">
        <is>
          <t>제2종일반주거지역</t>
        </is>
      </c>
      <c r="I5203" s="3" t="inlineStr">
        <is>
          <t>대</t>
        </is>
      </c>
      <c r="J5203" s="3" t="inlineStr">
        <is>
          <t>강내면</t>
        </is>
      </c>
    </row>
    <row r="5204">
      <c r="A5204" s="3" t="n">
        <v>2022</v>
      </c>
      <c r="B5204" s="4" t="n">
        <v>30000</v>
      </c>
      <c r="C5204" s="4" t="n">
        <v>271.4</v>
      </c>
      <c r="D5204" s="4" t="n">
        <v>82.09849999999999</v>
      </c>
      <c r="E5204" s="5" t="n">
        <v>365.4</v>
      </c>
      <c r="F5204" s="3" t="inlineStr">
        <is>
          <t>오송읍</t>
        </is>
      </c>
      <c r="G5204" s="3" t="inlineStr">
        <is>
          <t>봉산리</t>
        </is>
      </c>
      <c r="H5204" s="3" t="inlineStr">
        <is>
          <t>제1종일반주거지역</t>
        </is>
      </c>
      <c r="I5204" s="3" t="inlineStr">
        <is>
          <t>대</t>
        </is>
      </c>
      <c r="J5204" s="3" t="inlineStr">
        <is>
          <t>오송읍</t>
        </is>
      </c>
    </row>
    <row r="5205">
      <c r="A5205" s="3" t="n">
        <v>2022</v>
      </c>
      <c r="B5205" s="4" t="n">
        <v>200</v>
      </c>
      <c r="C5205" s="4" t="n">
        <v>34</v>
      </c>
      <c r="D5205" s="4" t="n">
        <v>10.285</v>
      </c>
      <c r="E5205" s="5" t="n">
        <v>19.4</v>
      </c>
      <c r="F5205" s="3" t="inlineStr">
        <is>
          <t>오송읍</t>
        </is>
      </c>
      <c r="G5205" s="3" t="inlineStr">
        <is>
          <t>상봉리</t>
        </is>
      </c>
      <c r="H5205" s="3" t="inlineStr">
        <is>
          <t>생산관리지역</t>
        </is>
      </c>
      <c r="I5205" s="3" t="inlineStr">
        <is>
          <t>답</t>
        </is>
      </c>
      <c r="J5205" s="3" t="inlineStr">
        <is>
          <t>오송읍</t>
        </is>
      </c>
    </row>
    <row r="5206">
      <c r="A5206" s="3" t="n">
        <v>2022</v>
      </c>
      <c r="B5206" s="4" t="n">
        <v>3800</v>
      </c>
      <c r="C5206" s="4" t="n">
        <v>424</v>
      </c>
      <c r="D5206" s="4" t="n">
        <v>128.26</v>
      </c>
      <c r="E5206" s="5" t="n">
        <v>29.6</v>
      </c>
      <c r="F5206" s="3" t="inlineStr">
        <is>
          <t>오송읍</t>
        </is>
      </c>
      <c r="G5206" s="3" t="inlineStr">
        <is>
          <t>상봉리</t>
        </is>
      </c>
      <c r="H5206" s="3" t="inlineStr">
        <is>
          <t>생산관리지역</t>
        </is>
      </c>
      <c r="I5206" s="3" t="inlineStr">
        <is>
          <t>답</t>
        </is>
      </c>
      <c r="J5206" s="3" t="inlineStr">
        <is>
          <t>오송읍</t>
        </is>
      </c>
    </row>
    <row r="5207">
      <c r="A5207" s="3" t="n">
        <v>2022</v>
      </c>
      <c r="B5207" s="4" t="n">
        <v>26500</v>
      </c>
      <c r="C5207" s="4" t="n">
        <v>1819</v>
      </c>
      <c r="D5207" s="4" t="n">
        <v>550.2474999999999</v>
      </c>
      <c r="E5207" s="5" t="n">
        <v>48.2</v>
      </c>
      <c r="F5207" s="3" t="inlineStr">
        <is>
          <t>강내면</t>
        </is>
      </c>
      <c r="G5207" s="3" t="inlineStr">
        <is>
          <t>당곡리</t>
        </is>
      </c>
      <c r="H5207" s="3" t="inlineStr">
        <is>
          <t>농림지역</t>
        </is>
      </c>
      <c r="I5207" s="3" t="inlineStr">
        <is>
          <t>답</t>
        </is>
      </c>
      <c r="J5207" s="3" t="inlineStr">
        <is>
          <t>강내면</t>
        </is>
      </c>
    </row>
    <row r="5208">
      <c r="A5208" s="3" t="n">
        <v>2022</v>
      </c>
      <c r="B5208" s="4" t="n">
        <v>10300</v>
      </c>
      <c r="C5208" s="4" t="n">
        <v>576</v>
      </c>
      <c r="D5208" s="4" t="n">
        <v>174.24</v>
      </c>
      <c r="E5208" s="5" t="n">
        <v>59.1</v>
      </c>
      <c r="F5208" s="3" t="inlineStr">
        <is>
          <t>강내면</t>
        </is>
      </c>
      <c r="G5208" s="3" t="inlineStr">
        <is>
          <t>연정리</t>
        </is>
      </c>
      <c r="H5208" s="3" t="inlineStr">
        <is>
          <t>보전관리지역</t>
        </is>
      </c>
      <c r="I5208" s="3" t="inlineStr">
        <is>
          <t>대</t>
        </is>
      </c>
      <c r="J5208" s="3" t="inlineStr">
        <is>
          <t>강내면</t>
        </is>
      </c>
    </row>
    <row r="5209">
      <c r="A5209" s="3" t="n">
        <v>2022</v>
      </c>
      <c r="B5209" s="4" t="n">
        <v>1030</v>
      </c>
      <c r="C5209" s="4" t="n">
        <v>99</v>
      </c>
      <c r="D5209" s="4" t="n">
        <v>29.9475</v>
      </c>
      <c r="E5209" s="5" t="n">
        <v>34.4</v>
      </c>
      <c r="F5209" s="3" t="inlineStr">
        <is>
          <t>강내면</t>
        </is>
      </c>
      <c r="G5209" s="3" t="inlineStr">
        <is>
          <t>학천리</t>
        </is>
      </c>
      <c r="H5209" s="3" t="inlineStr">
        <is>
          <t>생산녹지지역</t>
        </is>
      </c>
      <c r="I5209" s="3" t="inlineStr">
        <is>
          <t>철도용지</t>
        </is>
      </c>
      <c r="J5209" s="3" t="inlineStr">
        <is>
          <t>강내면</t>
        </is>
      </c>
    </row>
    <row r="5210">
      <c r="A5210" s="3" t="n">
        <v>2022</v>
      </c>
      <c r="B5210" s="4" t="n">
        <v>40662</v>
      </c>
      <c r="C5210" s="4" t="n">
        <v>572</v>
      </c>
      <c r="D5210" s="4" t="n">
        <v>173.03</v>
      </c>
      <c r="E5210" s="5" t="n">
        <v>235</v>
      </c>
      <c r="F5210" s="3" t="inlineStr">
        <is>
          <t>오송읍</t>
        </is>
      </c>
      <c r="G5210" s="3" t="inlineStr">
        <is>
          <t>정중리</t>
        </is>
      </c>
      <c r="H5210" s="3" t="inlineStr">
        <is>
          <t>용도미지정</t>
        </is>
      </c>
      <c r="I5210" s="3" t="inlineStr">
        <is>
          <t>대</t>
        </is>
      </c>
      <c r="J5210" s="3" t="inlineStr">
        <is>
          <t>오송읍</t>
        </is>
      </c>
    </row>
    <row r="5211">
      <c r="A5211" s="3" t="n">
        <v>2022</v>
      </c>
      <c r="B5211" s="4" t="n">
        <v>36810</v>
      </c>
      <c r="C5211" s="4" t="n">
        <v>566</v>
      </c>
      <c r="D5211" s="4" t="n">
        <v>171.215</v>
      </c>
      <c r="E5211" s="5" t="n">
        <v>215</v>
      </c>
      <c r="F5211" s="3" t="inlineStr">
        <is>
          <t>오송읍</t>
        </is>
      </c>
      <c r="G5211" s="3" t="inlineStr">
        <is>
          <t>정중리</t>
        </is>
      </c>
      <c r="H5211" s="3" t="inlineStr">
        <is>
          <t>용도미지정</t>
        </is>
      </c>
      <c r="I5211" s="3" t="inlineStr">
        <is>
          <t>대</t>
        </is>
      </c>
      <c r="J5211" s="3" t="inlineStr">
        <is>
          <t>오송읍</t>
        </is>
      </c>
    </row>
    <row r="5212">
      <c r="A5212" s="3" t="n">
        <v>2022</v>
      </c>
      <c r="B5212" s="4" t="n">
        <v>27620</v>
      </c>
      <c r="C5212" s="4" t="n">
        <v>397</v>
      </c>
      <c r="D5212" s="4" t="n">
        <v>120.0925</v>
      </c>
      <c r="E5212" s="5" t="n">
        <v>230</v>
      </c>
      <c r="F5212" s="3" t="inlineStr">
        <is>
          <t>오송읍</t>
        </is>
      </c>
      <c r="G5212" s="3" t="inlineStr">
        <is>
          <t>정중리</t>
        </is>
      </c>
      <c r="H5212" s="3" t="inlineStr">
        <is>
          <t>용도미지정</t>
        </is>
      </c>
      <c r="I5212" s="3" t="inlineStr">
        <is>
          <t>대</t>
        </is>
      </c>
      <c r="J5212" s="3" t="inlineStr">
        <is>
          <t>오송읍</t>
        </is>
      </c>
    </row>
    <row r="5213">
      <c r="A5213" s="3" t="n">
        <v>2022</v>
      </c>
      <c r="B5213" s="4" t="n">
        <v>24500</v>
      </c>
      <c r="C5213" s="4" t="n">
        <v>360</v>
      </c>
      <c r="D5213" s="4" t="n">
        <v>108.9</v>
      </c>
      <c r="E5213" s="5" t="n">
        <v>225</v>
      </c>
      <c r="F5213" s="3" t="inlineStr">
        <is>
          <t>오송읍</t>
        </is>
      </c>
      <c r="G5213" s="3" t="inlineStr">
        <is>
          <t>정중리</t>
        </is>
      </c>
      <c r="H5213" s="3" t="inlineStr">
        <is>
          <t>용도미지정</t>
        </is>
      </c>
      <c r="I5213" s="3" t="inlineStr">
        <is>
          <t>대</t>
        </is>
      </c>
      <c r="J5213" s="3" t="inlineStr">
        <is>
          <t>오송읍</t>
        </is>
      </c>
    </row>
    <row r="5214">
      <c r="A5214" s="3" t="n">
        <v>2022</v>
      </c>
      <c r="B5214" s="4" t="n">
        <v>42650</v>
      </c>
      <c r="C5214" s="4" t="n">
        <v>600</v>
      </c>
      <c r="D5214" s="4" t="n">
        <v>181.5</v>
      </c>
      <c r="E5214" s="5" t="n">
        <v>235</v>
      </c>
      <c r="F5214" s="3" t="inlineStr">
        <is>
          <t>오송읍</t>
        </is>
      </c>
      <c r="G5214" s="3" t="inlineStr">
        <is>
          <t>정중리</t>
        </is>
      </c>
      <c r="H5214" s="3" t="inlineStr">
        <is>
          <t>용도미지정</t>
        </is>
      </c>
      <c r="I5214" s="3" t="inlineStr">
        <is>
          <t>대</t>
        </is>
      </c>
      <c r="J5214" s="3" t="inlineStr">
        <is>
          <t>오송읍</t>
        </is>
      </c>
    </row>
    <row r="5215">
      <c r="A5215" s="3" t="n">
        <v>2022</v>
      </c>
      <c r="B5215" s="4" t="n">
        <v>24500</v>
      </c>
      <c r="C5215" s="4" t="n">
        <v>360</v>
      </c>
      <c r="D5215" s="4" t="n">
        <v>108.9</v>
      </c>
      <c r="E5215" s="5" t="n">
        <v>225</v>
      </c>
      <c r="F5215" s="3" t="inlineStr">
        <is>
          <t>오송읍</t>
        </is>
      </c>
      <c r="G5215" s="3" t="inlineStr">
        <is>
          <t>정중리</t>
        </is>
      </c>
      <c r="H5215" s="3" t="inlineStr">
        <is>
          <t>용도미지정</t>
        </is>
      </c>
      <c r="I5215" s="3" t="inlineStr">
        <is>
          <t>대</t>
        </is>
      </c>
      <c r="J5215" s="3" t="inlineStr">
        <is>
          <t>오송읍</t>
        </is>
      </c>
    </row>
    <row r="5216">
      <c r="A5216" s="3" t="n">
        <v>2022</v>
      </c>
      <c r="B5216" s="4" t="n">
        <v>33420</v>
      </c>
      <c r="C5216" s="4" t="n">
        <v>514</v>
      </c>
      <c r="D5216" s="4" t="n">
        <v>155.485</v>
      </c>
      <c r="E5216" s="5" t="n">
        <v>214.9</v>
      </c>
      <c r="F5216" s="3" t="inlineStr">
        <is>
          <t>오송읍</t>
        </is>
      </c>
      <c r="G5216" s="3" t="inlineStr">
        <is>
          <t>정중리</t>
        </is>
      </c>
      <c r="H5216" s="3" t="inlineStr">
        <is>
          <t>용도미지정</t>
        </is>
      </c>
      <c r="I5216" s="3" t="inlineStr">
        <is>
          <t>대</t>
        </is>
      </c>
      <c r="J5216" s="3" t="inlineStr">
        <is>
          <t>오송읍</t>
        </is>
      </c>
    </row>
    <row r="5217">
      <c r="A5217" s="3" t="n">
        <v>2024</v>
      </c>
      <c r="B5217" s="4" t="n">
        <v>55000</v>
      </c>
      <c r="C5217" s="4" t="n">
        <v>3045</v>
      </c>
      <c r="D5217" s="4" t="n">
        <v>921.1125</v>
      </c>
      <c r="E5217" s="5" t="n">
        <v>59.7</v>
      </c>
      <c r="F5217" s="3" t="inlineStr">
        <is>
          <t>오송읍</t>
        </is>
      </c>
      <c r="G5217" s="3" t="inlineStr">
        <is>
          <t>서평리</t>
        </is>
      </c>
      <c r="H5217" s="3" t="inlineStr">
        <is>
          <t>농림지역</t>
        </is>
      </c>
      <c r="I5217" s="3" t="inlineStr">
        <is>
          <t>답</t>
        </is>
      </c>
      <c r="J5217" s="3" t="inlineStr">
        <is>
          <t>오송읍</t>
        </is>
      </c>
    </row>
    <row r="5218">
      <c r="A5218" s="3" t="n">
        <v>2024</v>
      </c>
      <c r="B5218" s="4" t="n">
        <v>4943</v>
      </c>
      <c r="C5218" s="4" t="n">
        <v>397</v>
      </c>
      <c r="D5218" s="4" t="n">
        <v>120.0925</v>
      </c>
      <c r="E5218" s="5" t="n">
        <v>41.2</v>
      </c>
      <c r="F5218" s="3" t="inlineStr">
        <is>
          <t>강내면</t>
        </is>
      </c>
      <c r="G5218" s="3" t="inlineStr">
        <is>
          <t>석화리</t>
        </is>
      </c>
      <c r="H5218" s="3" t="inlineStr">
        <is>
          <t>자연녹지지역</t>
        </is>
      </c>
      <c r="I5218" s="3" t="inlineStr">
        <is>
          <t>답</t>
        </is>
      </c>
      <c r="J5218" s="3" t="inlineStr">
        <is>
          <t>강내면</t>
        </is>
      </c>
    </row>
    <row r="5219">
      <c r="A5219" s="3" t="n">
        <v>2024</v>
      </c>
      <c r="B5219" s="4" t="n">
        <v>4320</v>
      </c>
      <c r="C5219" s="4" t="n">
        <v>347</v>
      </c>
      <c r="D5219" s="4" t="n">
        <v>104.9675</v>
      </c>
      <c r="E5219" s="5" t="n">
        <v>41.2</v>
      </c>
      <c r="F5219" s="3" t="inlineStr">
        <is>
          <t>강내면</t>
        </is>
      </c>
      <c r="G5219" s="3" t="inlineStr">
        <is>
          <t>석화리</t>
        </is>
      </c>
      <c r="H5219" s="3" t="inlineStr">
        <is>
          <t>자연녹지지역</t>
        </is>
      </c>
      <c r="I5219" s="3" t="inlineStr">
        <is>
          <t>답</t>
        </is>
      </c>
      <c r="J5219" s="3" t="inlineStr">
        <is>
          <t>강내면</t>
        </is>
      </c>
    </row>
    <row r="5220">
      <c r="A5220" s="3" t="n">
        <v>2024</v>
      </c>
      <c r="B5220" s="4" t="n">
        <v>693</v>
      </c>
      <c r="C5220" s="4" t="n">
        <v>50</v>
      </c>
      <c r="D5220" s="4" t="n">
        <v>15.125</v>
      </c>
      <c r="E5220" s="5" t="n">
        <v>45.8</v>
      </c>
      <c r="F5220" s="3" t="inlineStr">
        <is>
          <t>강내면</t>
        </is>
      </c>
      <c r="G5220" s="3" t="inlineStr">
        <is>
          <t>석화리</t>
        </is>
      </c>
      <c r="H5220" s="3" t="inlineStr">
        <is>
          <t>자연녹지지역</t>
        </is>
      </c>
      <c r="I5220" s="3" t="inlineStr">
        <is>
          <t>답</t>
        </is>
      </c>
      <c r="J5220" s="3" t="inlineStr">
        <is>
          <t>강내면</t>
        </is>
      </c>
    </row>
    <row r="5221">
      <c r="A5221" s="3" t="n">
        <v>2024</v>
      </c>
      <c r="B5221" s="4" t="n">
        <v>1820</v>
      </c>
      <c r="C5221" s="4" t="n">
        <v>615</v>
      </c>
      <c r="D5221" s="4" t="n">
        <v>186.0375</v>
      </c>
      <c r="E5221" s="5" t="n">
        <v>9.800000000000001</v>
      </c>
      <c r="F5221" s="3" t="inlineStr">
        <is>
          <t>강내면</t>
        </is>
      </c>
      <c r="G5221" s="3" t="inlineStr">
        <is>
          <t>사인리</t>
        </is>
      </c>
      <c r="H5221" s="3" t="inlineStr">
        <is>
          <t>자연녹지지역</t>
        </is>
      </c>
      <c r="I5221" s="3" t="inlineStr">
        <is>
          <t>전</t>
        </is>
      </c>
      <c r="J5221" s="3" t="inlineStr">
        <is>
          <t>강내면</t>
        </is>
      </c>
    </row>
    <row r="5222">
      <c r="A5222" s="3" t="n">
        <v>2024</v>
      </c>
      <c r="B5222" s="4" t="n">
        <v>500</v>
      </c>
      <c r="C5222" s="4" t="n">
        <v>40</v>
      </c>
      <c r="D5222" s="4" t="n">
        <v>12.1</v>
      </c>
      <c r="E5222" s="5" t="n">
        <v>41.3</v>
      </c>
      <c r="F5222" s="3" t="inlineStr">
        <is>
          <t>오송읍</t>
        </is>
      </c>
      <c r="G5222" s="3" t="inlineStr">
        <is>
          <t>서평리</t>
        </is>
      </c>
      <c r="H5222" s="3" t="inlineStr">
        <is>
          <t>생산관리지역</t>
        </is>
      </c>
      <c r="I5222" s="3" t="inlineStr">
        <is>
          <t>전</t>
        </is>
      </c>
      <c r="J5222" s="3" t="inlineStr">
        <is>
          <t>오송읍</t>
        </is>
      </c>
    </row>
    <row r="5223">
      <c r="A5223" s="3" t="n">
        <v>2024</v>
      </c>
      <c r="B5223" s="4" t="n">
        <v>860452</v>
      </c>
      <c r="C5223" s="4" t="n">
        <v>4958.7</v>
      </c>
      <c r="D5223" s="4" t="n">
        <v>1500.00675</v>
      </c>
      <c r="E5223" s="5" t="n">
        <v>573.6</v>
      </c>
      <c r="F5223" s="3" t="inlineStr">
        <is>
          <t>오송읍</t>
        </is>
      </c>
      <c r="G5223" s="3" t="inlineStr">
        <is>
          <t>연제리</t>
        </is>
      </c>
      <c r="H5223" s="3" t="inlineStr">
        <is>
          <t>준공업지역</t>
        </is>
      </c>
      <c r="I5223" s="3" t="inlineStr">
        <is>
          <t>대</t>
        </is>
      </c>
      <c r="J5223" s="3" t="inlineStr">
        <is>
          <t>오송읍</t>
        </is>
      </c>
    </row>
    <row r="5224">
      <c r="A5224" s="3" t="n">
        <v>2024</v>
      </c>
      <c r="B5224" s="4" t="n">
        <v>869548</v>
      </c>
      <c r="C5224" s="4" t="n">
        <v>4958.7</v>
      </c>
      <c r="D5224" s="4" t="n">
        <v>1500.00675</v>
      </c>
      <c r="E5224" s="5" t="n">
        <v>579.7</v>
      </c>
      <c r="F5224" s="3" t="inlineStr">
        <is>
          <t>오송읍</t>
        </is>
      </c>
      <c r="G5224" s="3" t="inlineStr">
        <is>
          <t>연제리</t>
        </is>
      </c>
      <c r="H5224" s="3" t="inlineStr">
        <is>
          <t>준공업지역</t>
        </is>
      </c>
      <c r="I5224" s="3" t="inlineStr">
        <is>
          <t>대</t>
        </is>
      </c>
      <c r="J5224" s="3" t="inlineStr">
        <is>
          <t>오송읍</t>
        </is>
      </c>
    </row>
    <row r="5225">
      <c r="A5225" s="3" t="n">
        <v>2024</v>
      </c>
      <c r="B5225" s="4" t="n">
        <v>18000</v>
      </c>
      <c r="C5225" s="4" t="n">
        <v>192</v>
      </c>
      <c r="D5225" s="4" t="n">
        <v>58.08</v>
      </c>
      <c r="E5225" s="5" t="n">
        <v>309.9</v>
      </c>
      <c r="F5225" s="3" t="inlineStr">
        <is>
          <t>오송읍</t>
        </is>
      </c>
      <c r="G5225" s="3" t="inlineStr">
        <is>
          <t>오송리</t>
        </is>
      </c>
      <c r="H5225" s="3" t="inlineStr">
        <is>
          <t>농림지역</t>
        </is>
      </c>
      <c r="I5225" s="3" t="inlineStr">
        <is>
          <t>대</t>
        </is>
      </c>
      <c r="J5225" s="3" t="inlineStr">
        <is>
          <t>오송읍</t>
        </is>
      </c>
    </row>
    <row r="5226">
      <c r="A5226" s="3" t="n">
        <v>2024</v>
      </c>
      <c r="B5226" s="4" t="n">
        <v>314000</v>
      </c>
      <c r="C5226" s="4" t="n">
        <v>799.6</v>
      </c>
      <c r="D5226" s="4" t="n">
        <v>241.879</v>
      </c>
      <c r="E5226" s="5" t="n">
        <v>1298.2</v>
      </c>
      <c r="F5226" s="3" t="inlineStr">
        <is>
          <t>오송읍</t>
        </is>
      </c>
      <c r="G5226" s="3" t="inlineStr">
        <is>
          <t>연제리</t>
        </is>
      </c>
      <c r="H5226" s="3" t="inlineStr">
        <is>
          <t>일반상업지역</t>
        </is>
      </c>
      <c r="I5226" s="3" t="inlineStr">
        <is>
          <t>대</t>
        </is>
      </c>
      <c r="J5226" s="3" t="inlineStr">
        <is>
          <t>오송읍</t>
        </is>
      </c>
    </row>
    <row r="5227">
      <c r="A5227" s="3" t="n">
        <v>2024</v>
      </c>
      <c r="B5227" s="4" t="n">
        <v>43730</v>
      </c>
      <c r="C5227" s="4" t="n">
        <v>2628</v>
      </c>
      <c r="D5227" s="4" t="n">
        <v>794.97</v>
      </c>
      <c r="E5227" s="5" t="n">
        <v>55</v>
      </c>
      <c r="F5227" s="3" t="inlineStr">
        <is>
          <t>오송읍</t>
        </is>
      </c>
      <c r="G5227" s="3" t="inlineStr">
        <is>
          <t>동평리</t>
        </is>
      </c>
      <c r="H5227" s="3" t="inlineStr">
        <is>
          <t>농림지역</t>
        </is>
      </c>
      <c r="I5227" s="3" t="inlineStr">
        <is>
          <t>답</t>
        </is>
      </c>
      <c r="J5227" s="3" t="inlineStr">
        <is>
          <t>오송읍</t>
        </is>
      </c>
    </row>
    <row r="5228">
      <c r="A5228" s="3" t="n">
        <v>2024</v>
      </c>
      <c r="B5228" s="4" t="n">
        <v>5770</v>
      </c>
      <c r="C5228" s="4" t="n">
        <v>347</v>
      </c>
      <c r="D5228" s="4" t="n">
        <v>104.9675</v>
      </c>
      <c r="E5228" s="5" t="n">
        <v>55</v>
      </c>
      <c r="F5228" s="3" t="inlineStr">
        <is>
          <t>오송읍</t>
        </is>
      </c>
      <c r="G5228" s="3" t="inlineStr">
        <is>
          <t>동평리</t>
        </is>
      </c>
      <c r="H5228" s="3" t="inlineStr">
        <is>
          <t>농림지역</t>
        </is>
      </c>
      <c r="I5228" s="3" t="inlineStr">
        <is>
          <t>전</t>
        </is>
      </c>
      <c r="J5228" s="3" t="inlineStr">
        <is>
          <t>오송읍</t>
        </is>
      </c>
    </row>
    <row r="5229">
      <c r="A5229" s="3" t="n">
        <v>2022</v>
      </c>
      <c r="B5229" s="4" t="n">
        <v>37820</v>
      </c>
      <c r="C5229" s="4" t="n">
        <v>532</v>
      </c>
      <c r="D5229" s="4" t="n">
        <v>160.93</v>
      </c>
      <c r="E5229" s="5" t="n">
        <v>235</v>
      </c>
      <c r="F5229" s="3" t="inlineStr">
        <is>
          <t>오송읍</t>
        </is>
      </c>
      <c r="G5229" s="3" t="inlineStr">
        <is>
          <t>정중리</t>
        </is>
      </c>
      <c r="H5229" s="3" t="inlineStr">
        <is>
          <t>용도미지정</t>
        </is>
      </c>
      <c r="I5229" s="3" t="inlineStr">
        <is>
          <t>대</t>
        </is>
      </c>
      <c r="J5229" s="3" t="inlineStr">
        <is>
          <t>오송읍</t>
        </is>
      </c>
    </row>
    <row r="5230">
      <c r="A5230" s="3" t="n">
        <v>2022</v>
      </c>
      <c r="B5230" s="4" t="n">
        <v>33328</v>
      </c>
      <c r="C5230" s="4" t="n">
        <v>339</v>
      </c>
      <c r="D5230" s="4" t="n">
        <v>102.5475</v>
      </c>
      <c r="E5230" s="5" t="n">
        <v>325</v>
      </c>
      <c r="F5230" s="3" t="inlineStr">
        <is>
          <t>오송읍</t>
        </is>
      </c>
      <c r="G5230" s="3" t="inlineStr">
        <is>
          <t>정중리</t>
        </is>
      </c>
      <c r="H5230" s="3" t="inlineStr">
        <is>
          <t>용도미지정</t>
        </is>
      </c>
      <c r="I5230" s="3" t="inlineStr">
        <is>
          <t>대</t>
        </is>
      </c>
      <c r="J5230" s="3" t="inlineStr">
        <is>
          <t>오송읍</t>
        </is>
      </c>
    </row>
    <row r="5231">
      <c r="A5231" s="3" t="n">
        <v>2022</v>
      </c>
      <c r="B5231" s="4" t="n">
        <v>33544</v>
      </c>
      <c r="C5231" s="4" t="n">
        <v>331</v>
      </c>
      <c r="D5231" s="4" t="n">
        <v>100.1275</v>
      </c>
      <c r="E5231" s="5" t="n">
        <v>335</v>
      </c>
      <c r="F5231" s="3" t="inlineStr">
        <is>
          <t>오송읍</t>
        </is>
      </c>
      <c r="G5231" s="3" t="inlineStr">
        <is>
          <t>정중리</t>
        </is>
      </c>
      <c r="H5231" s="3" t="inlineStr">
        <is>
          <t>용도미지정</t>
        </is>
      </c>
      <c r="I5231" s="3" t="inlineStr">
        <is>
          <t>대</t>
        </is>
      </c>
      <c r="J5231" s="3" t="inlineStr">
        <is>
          <t>오송읍</t>
        </is>
      </c>
    </row>
    <row r="5232">
      <c r="A5232" s="3" t="n">
        <v>2022</v>
      </c>
      <c r="B5232" s="4" t="n">
        <v>32760</v>
      </c>
      <c r="C5232" s="4" t="n">
        <v>361</v>
      </c>
      <c r="D5232" s="4" t="n">
        <v>109.2025</v>
      </c>
      <c r="E5232" s="5" t="n">
        <v>300</v>
      </c>
      <c r="F5232" s="3" t="inlineStr">
        <is>
          <t>오송읍</t>
        </is>
      </c>
      <c r="G5232" s="3" t="inlineStr">
        <is>
          <t>정중리</t>
        </is>
      </c>
      <c r="H5232" s="3" t="inlineStr">
        <is>
          <t>용도미지정</t>
        </is>
      </c>
      <c r="I5232" s="3" t="inlineStr">
        <is>
          <t>대</t>
        </is>
      </c>
      <c r="J5232" s="3" t="inlineStr">
        <is>
          <t>오송읍</t>
        </is>
      </c>
    </row>
    <row r="5233">
      <c r="A5233" s="3" t="n">
        <v>2022</v>
      </c>
      <c r="B5233" s="4" t="n">
        <v>32620</v>
      </c>
      <c r="C5233" s="4" t="n">
        <v>459</v>
      </c>
      <c r="D5233" s="4" t="n">
        <v>138.8475</v>
      </c>
      <c r="E5233" s="5" t="n">
        <v>234.9</v>
      </c>
      <c r="F5233" s="3" t="inlineStr">
        <is>
          <t>오송읍</t>
        </is>
      </c>
      <c r="G5233" s="3" t="inlineStr">
        <is>
          <t>정중리</t>
        </is>
      </c>
      <c r="H5233" s="3" t="inlineStr">
        <is>
          <t>용도미지정</t>
        </is>
      </c>
      <c r="I5233" s="3" t="inlineStr">
        <is>
          <t>대</t>
        </is>
      </c>
      <c r="J5233" s="3" t="inlineStr">
        <is>
          <t>오송읍</t>
        </is>
      </c>
    </row>
    <row r="5234">
      <c r="A5234" s="3" t="n">
        <v>2022</v>
      </c>
      <c r="B5234" s="4" t="n">
        <v>35440</v>
      </c>
      <c r="C5234" s="4" t="n">
        <v>404</v>
      </c>
      <c r="D5234" s="4" t="n">
        <v>122.21</v>
      </c>
      <c r="E5234" s="5" t="n">
        <v>290</v>
      </c>
      <c r="F5234" s="3" t="inlineStr">
        <is>
          <t>오송읍</t>
        </is>
      </c>
      <c r="G5234" s="3" t="inlineStr">
        <is>
          <t>정중리</t>
        </is>
      </c>
      <c r="H5234" s="3" t="inlineStr">
        <is>
          <t>용도미지정</t>
        </is>
      </c>
      <c r="I5234" s="3" t="inlineStr">
        <is>
          <t>대</t>
        </is>
      </c>
      <c r="J5234" s="3" t="inlineStr">
        <is>
          <t>오송읍</t>
        </is>
      </c>
    </row>
    <row r="5235">
      <c r="A5235" s="3" t="n">
        <v>2022</v>
      </c>
      <c r="B5235" s="4" t="n">
        <v>35480</v>
      </c>
      <c r="C5235" s="4" t="n">
        <v>519</v>
      </c>
      <c r="D5235" s="4" t="n">
        <v>156.9975</v>
      </c>
      <c r="E5235" s="5" t="n">
        <v>226</v>
      </c>
      <c r="F5235" s="3" t="inlineStr">
        <is>
          <t>오송읍</t>
        </is>
      </c>
      <c r="G5235" s="3" t="inlineStr">
        <is>
          <t>정중리</t>
        </is>
      </c>
      <c r="H5235" s="3" t="inlineStr">
        <is>
          <t>용도미지정</t>
        </is>
      </c>
      <c r="I5235" s="3" t="inlineStr">
        <is>
          <t>대</t>
        </is>
      </c>
      <c r="J5235" s="3" t="inlineStr">
        <is>
          <t>오송읍</t>
        </is>
      </c>
    </row>
    <row r="5236">
      <c r="A5236" s="3" t="n">
        <v>2022</v>
      </c>
      <c r="B5236" s="4" t="n">
        <v>30870</v>
      </c>
      <c r="C5236" s="4" t="n">
        <v>324</v>
      </c>
      <c r="D5236" s="4" t="n">
        <v>98.00999999999999</v>
      </c>
      <c r="E5236" s="5" t="n">
        <v>315</v>
      </c>
      <c r="F5236" s="3" t="inlineStr">
        <is>
          <t>오송읍</t>
        </is>
      </c>
      <c r="G5236" s="3" t="inlineStr">
        <is>
          <t>정중리</t>
        </is>
      </c>
      <c r="H5236" s="3" t="inlineStr">
        <is>
          <t>용도미지정</t>
        </is>
      </c>
      <c r="I5236" s="3" t="inlineStr">
        <is>
          <t>대</t>
        </is>
      </c>
      <c r="J5236" s="3" t="inlineStr">
        <is>
          <t>오송읍</t>
        </is>
      </c>
    </row>
    <row r="5237">
      <c r="A5237" s="3" t="n">
        <v>2022</v>
      </c>
      <c r="B5237" s="4" t="n">
        <v>3300</v>
      </c>
      <c r="C5237" s="4" t="n">
        <v>360</v>
      </c>
      <c r="D5237" s="4" t="n">
        <v>108.9</v>
      </c>
      <c r="E5237" s="5" t="n">
        <v>30.3</v>
      </c>
      <c r="F5237" s="3" t="inlineStr">
        <is>
          <t>오송읍</t>
        </is>
      </c>
      <c r="G5237" s="3" t="inlineStr">
        <is>
          <t>상봉리</t>
        </is>
      </c>
      <c r="H5237" s="3" t="inlineStr">
        <is>
          <t>생산관리지역</t>
        </is>
      </c>
      <c r="I5237" s="3" t="inlineStr">
        <is>
          <t>전</t>
        </is>
      </c>
      <c r="J5237" s="3" t="inlineStr">
        <is>
          <t>오송읍</t>
        </is>
      </c>
    </row>
    <row r="5238">
      <c r="A5238" s="3" t="n">
        <v>2022</v>
      </c>
      <c r="B5238" s="4" t="n">
        <v>31300</v>
      </c>
      <c r="C5238" s="4" t="n">
        <v>1759</v>
      </c>
      <c r="D5238" s="4" t="n">
        <v>532.0975</v>
      </c>
      <c r="E5238" s="5" t="n">
        <v>58.8</v>
      </c>
      <c r="F5238" s="3" t="inlineStr">
        <is>
          <t>강내면</t>
        </is>
      </c>
      <c r="G5238" s="3" t="inlineStr">
        <is>
          <t>월곡리</t>
        </is>
      </c>
      <c r="H5238" s="3" t="inlineStr">
        <is>
          <t>생산녹지지역</t>
        </is>
      </c>
      <c r="I5238" s="3" t="inlineStr">
        <is>
          <t>답</t>
        </is>
      </c>
      <c r="J5238" s="3" t="inlineStr">
        <is>
          <t>강내면</t>
        </is>
      </c>
    </row>
    <row r="5239">
      <c r="A5239" s="3" t="n">
        <v>2022</v>
      </c>
      <c r="B5239" s="4" t="n">
        <v>2400</v>
      </c>
      <c r="C5239" s="4" t="n">
        <v>24</v>
      </c>
      <c r="D5239" s="4" t="n">
        <v>7.26</v>
      </c>
      <c r="E5239" s="5" t="n">
        <v>330.6</v>
      </c>
      <c r="F5239" s="3" t="inlineStr">
        <is>
          <t>오송읍</t>
        </is>
      </c>
      <c r="G5239" s="3" t="inlineStr">
        <is>
          <t>오송리</t>
        </is>
      </c>
      <c r="H5239" s="3" t="inlineStr">
        <is>
          <t>농림지역</t>
        </is>
      </c>
      <c r="I5239" s="3" t="inlineStr">
        <is>
          <t>도로</t>
        </is>
      </c>
      <c r="J5239" s="3" t="inlineStr">
        <is>
          <t>오송읍</t>
        </is>
      </c>
    </row>
    <row r="5240">
      <c r="A5240" s="3" t="n">
        <v>2022</v>
      </c>
      <c r="B5240" s="4" t="n">
        <v>175000</v>
      </c>
      <c r="C5240" s="4" t="n">
        <v>3421</v>
      </c>
      <c r="D5240" s="4" t="n">
        <v>1034.8525</v>
      </c>
      <c r="E5240" s="5" t="n">
        <v>169.1</v>
      </c>
      <c r="F5240" s="3" t="inlineStr">
        <is>
          <t>오송읍</t>
        </is>
      </c>
      <c r="G5240" s="3" t="inlineStr">
        <is>
          <t>궁평리</t>
        </is>
      </c>
      <c r="H5240" s="3" t="inlineStr">
        <is>
          <t>준주거지역</t>
        </is>
      </c>
      <c r="I5240" s="3" t="inlineStr">
        <is>
          <t>과수원</t>
        </is>
      </c>
      <c r="J5240" s="3" t="inlineStr">
        <is>
          <t>오송읍</t>
        </is>
      </c>
    </row>
    <row r="5241">
      <c r="A5241" s="3" t="n">
        <v>2022</v>
      </c>
      <c r="B5241" s="4" t="n">
        <v>22000</v>
      </c>
      <c r="C5241" s="4" t="n">
        <v>233</v>
      </c>
      <c r="D5241" s="4" t="n">
        <v>70.4825</v>
      </c>
      <c r="E5241" s="5" t="n">
        <v>312.1</v>
      </c>
      <c r="F5241" s="3" t="inlineStr">
        <is>
          <t>오송읍</t>
        </is>
      </c>
      <c r="G5241" s="3" t="inlineStr">
        <is>
          <t>봉산리</t>
        </is>
      </c>
      <c r="H5241" s="3" t="inlineStr">
        <is>
          <t>제1종일반주거지역</t>
        </is>
      </c>
      <c r="I5241" s="3" t="inlineStr">
        <is>
          <t>대</t>
        </is>
      </c>
      <c r="J5241" s="3" t="inlineStr">
        <is>
          <t>오송읍</t>
        </is>
      </c>
    </row>
    <row r="5242">
      <c r="A5242" s="3" t="n">
        <v>2022</v>
      </c>
      <c r="B5242" s="4" t="n">
        <v>100</v>
      </c>
      <c r="C5242" s="4" t="n">
        <v>16</v>
      </c>
      <c r="D5242" s="4" t="n">
        <v>4.84</v>
      </c>
      <c r="E5242" s="5" t="n">
        <v>20.7</v>
      </c>
      <c r="F5242" s="3" t="inlineStr">
        <is>
          <t>오송읍</t>
        </is>
      </c>
      <c r="G5242" s="3" t="inlineStr">
        <is>
          <t>오송리</t>
        </is>
      </c>
      <c r="H5242" s="3" t="inlineStr">
        <is>
          <t>계획관리지역</t>
        </is>
      </c>
      <c r="I5242" s="3" t="inlineStr">
        <is>
          <t>답</t>
        </is>
      </c>
      <c r="J5242" s="3" t="inlineStr">
        <is>
          <t>오송읍</t>
        </is>
      </c>
    </row>
    <row r="5243">
      <c r="A5243" s="3" t="n">
        <v>2022</v>
      </c>
      <c r="B5243" s="4" t="n">
        <v>30000</v>
      </c>
      <c r="C5243" s="4" t="n">
        <v>257</v>
      </c>
      <c r="D5243" s="4" t="n">
        <v>77.74249999999999</v>
      </c>
      <c r="E5243" s="5" t="n">
        <v>385.9</v>
      </c>
      <c r="F5243" s="3" t="inlineStr">
        <is>
          <t>오송읍</t>
        </is>
      </c>
      <c r="G5243" s="3" t="inlineStr">
        <is>
          <t>봉산리</t>
        </is>
      </c>
      <c r="H5243" s="3" t="inlineStr">
        <is>
          <t>제1종일반주거지역</t>
        </is>
      </c>
      <c r="I5243" s="3" t="inlineStr">
        <is>
          <t>대</t>
        </is>
      </c>
      <c r="J5243" s="3" t="inlineStr">
        <is>
          <t>오송읍</t>
        </is>
      </c>
    </row>
    <row r="5244">
      <c r="A5244" s="3" t="n">
        <v>2022</v>
      </c>
      <c r="B5244" s="4" t="n">
        <v>46000</v>
      </c>
      <c r="C5244" s="4" t="n">
        <v>287</v>
      </c>
      <c r="D5244" s="4" t="n">
        <v>86.8175</v>
      </c>
      <c r="E5244" s="5" t="n">
        <v>529.8</v>
      </c>
      <c r="F5244" s="3" t="inlineStr">
        <is>
          <t>오송읍</t>
        </is>
      </c>
      <c r="G5244" s="3" t="inlineStr">
        <is>
          <t>봉산리</t>
        </is>
      </c>
      <c r="H5244" s="3" t="inlineStr">
        <is>
          <t>제1종일반주거지역</t>
        </is>
      </c>
      <c r="I5244" s="3" t="inlineStr">
        <is>
          <t>대</t>
        </is>
      </c>
      <c r="J5244" s="3" t="inlineStr">
        <is>
          <t>오송읍</t>
        </is>
      </c>
    </row>
    <row r="5245">
      <c r="A5245" s="3" t="n">
        <v>2022</v>
      </c>
      <c r="B5245" s="4" t="n">
        <v>3300</v>
      </c>
      <c r="C5245" s="4" t="n">
        <v>360</v>
      </c>
      <c r="D5245" s="4" t="n">
        <v>108.9</v>
      </c>
      <c r="E5245" s="5" t="n">
        <v>30.3</v>
      </c>
      <c r="F5245" s="3" t="inlineStr">
        <is>
          <t>오송읍</t>
        </is>
      </c>
      <c r="G5245" s="3" t="inlineStr">
        <is>
          <t>상봉리</t>
        </is>
      </c>
      <c r="H5245" s="3" t="inlineStr">
        <is>
          <t>생산관리지역</t>
        </is>
      </c>
      <c r="I5245" s="3" t="inlineStr">
        <is>
          <t>전</t>
        </is>
      </c>
      <c r="J5245" s="3" t="inlineStr">
        <is>
          <t>오송읍</t>
        </is>
      </c>
    </row>
    <row r="5246">
      <c r="A5246" s="3" t="n">
        <v>2022</v>
      </c>
      <c r="B5246" s="4" t="n">
        <v>17500</v>
      </c>
      <c r="C5246" s="4" t="n">
        <v>1078</v>
      </c>
      <c r="D5246" s="4" t="n">
        <v>326.095</v>
      </c>
      <c r="E5246" s="5" t="n">
        <v>53.7</v>
      </c>
      <c r="F5246" s="3" t="inlineStr">
        <is>
          <t>강내면</t>
        </is>
      </c>
      <c r="G5246" s="3" t="inlineStr">
        <is>
          <t>탑연리</t>
        </is>
      </c>
      <c r="H5246" s="3" t="inlineStr">
        <is>
          <t>자연녹지지역</t>
        </is>
      </c>
      <c r="I5246" s="3" t="inlineStr">
        <is>
          <t>임야</t>
        </is>
      </c>
      <c r="J5246" s="3" t="inlineStr">
        <is>
          <t>강내면</t>
        </is>
      </c>
    </row>
    <row r="5247">
      <c r="A5247" s="3" t="n">
        <v>2022</v>
      </c>
      <c r="B5247" s="4" t="n">
        <v>4400</v>
      </c>
      <c r="C5247" s="4" t="n">
        <v>150</v>
      </c>
      <c r="D5247" s="4" t="n">
        <v>45.375</v>
      </c>
      <c r="E5247" s="5" t="n">
        <v>97</v>
      </c>
      <c r="F5247" s="3" t="inlineStr">
        <is>
          <t>오송읍</t>
        </is>
      </c>
      <c r="G5247" s="3" t="inlineStr">
        <is>
          <t>정중리</t>
        </is>
      </c>
      <c r="H5247" s="3" t="inlineStr">
        <is>
          <t>보전관리지역</t>
        </is>
      </c>
      <c r="I5247" s="3" t="inlineStr">
        <is>
          <t>임야</t>
        </is>
      </c>
      <c r="J5247" s="3" t="inlineStr">
        <is>
          <t>오송읍</t>
        </is>
      </c>
    </row>
    <row r="5248">
      <c r="A5248" s="3" t="n">
        <v>2022</v>
      </c>
      <c r="B5248" s="4" t="n">
        <v>4400</v>
      </c>
      <c r="C5248" s="4" t="n">
        <v>150</v>
      </c>
      <c r="D5248" s="4" t="n">
        <v>45.375</v>
      </c>
      <c r="E5248" s="5" t="n">
        <v>97</v>
      </c>
      <c r="F5248" s="3" t="inlineStr">
        <is>
          <t>오송읍</t>
        </is>
      </c>
      <c r="G5248" s="3" t="inlineStr">
        <is>
          <t>정중리</t>
        </is>
      </c>
      <c r="H5248" s="3" t="inlineStr">
        <is>
          <t>보전관리지역</t>
        </is>
      </c>
      <c r="I5248" s="3" t="inlineStr">
        <is>
          <t>임야</t>
        </is>
      </c>
      <c r="J5248" s="3" t="inlineStr">
        <is>
          <t>오송읍</t>
        </is>
      </c>
    </row>
    <row r="5249">
      <c r="A5249" s="3" t="n">
        <v>2025</v>
      </c>
      <c r="B5249" s="4" t="n">
        <v>5200</v>
      </c>
      <c r="C5249" s="4" t="n">
        <v>245</v>
      </c>
      <c r="D5249" s="4" t="n">
        <v>74.1125</v>
      </c>
      <c r="E5249" s="5" t="n">
        <v>70.2</v>
      </c>
      <c r="F5249" s="3" t="inlineStr">
        <is>
          <t>강내면</t>
        </is>
      </c>
      <c r="G5249" s="3" t="inlineStr">
        <is>
          <t>저산리</t>
        </is>
      </c>
      <c r="H5249" s="3" t="inlineStr">
        <is>
          <t>계획관리지역</t>
        </is>
      </c>
      <c r="I5249" s="3" t="inlineStr">
        <is>
          <t>답</t>
        </is>
      </c>
      <c r="J5249" s="3" t="inlineStr">
        <is>
          <t>강내면</t>
        </is>
      </c>
    </row>
    <row r="5250">
      <c r="A5250" s="3" t="n">
        <v>2025</v>
      </c>
      <c r="B5250" s="4" t="n">
        <v>500</v>
      </c>
      <c r="C5250" s="4" t="n">
        <v>25</v>
      </c>
      <c r="D5250" s="4" t="n">
        <v>7.5625</v>
      </c>
      <c r="E5250" s="5" t="n">
        <v>66.09999999999999</v>
      </c>
      <c r="F5250" s="3" t="inlineStr">
        <is>
          <t>강내면</t>
        </is>
      </c>
      <c r="G5250" s="3" t="inlineStr">
        <is>
          <t>저산리</t>
        </is>
      </c>
      <c r="H5250" s="3" t="inlineStr">
        <is>
          <t>계획관리지역</t>
        </is>
      </c>
      <c r="I5250" s="3" t="inlineStr">
        <is>
          <t>임야</t>
        </is>
      </c>
      <c r="J5250" s="3" t="inlineStr">
        <is>
          <t>강내면</t>
        </is>
      </c>
    </row>
    <row r="5251">
      <c r="A5251" s="3" t="n">
        <v>2025</v>
      </c>
      <c r="B5251" s="4" t="n">
        <v>13800</v>
      </c>
      <c r="C5251" s="4" t="n">
        <v>456</v>
      </c>
      <c r="D5251" s="4" t="n">
        <v>137.94</v>
      </c>
      <c r="E5251" s="5" t="n">
        <v>100</v>
      </c>
      <c r="F5251" s="3" t="inlineStr">
        <is>
          <t>강내면</t>
        </is>
      </c>
      <c r="G5251" s="3" t="inlineStr">
        <is>
          <t>저산리</t>
        </is>
      </c>
      <c r="H5251" s="3" t="inlineStr">
        <is>
          <t>계획관리지역</t>
        </is>
      </c>
      <c r="I5251" s="3" t="inlineStr">
        <is>
          <t>답</t>
        </is>
      </c>
      <c r="J5251" s="3" t="inlineStr">
        <is>
          <t>강내면</t>
        </is>
      </c>
    </row>
    <row r="5252">
      <c r="A5252" s="3" t="n">
        <v>2025</v>
      </c>
      <c r="B5252" s="4" t="n">
        <v>4000</v>
      </c>
      <c r="C5252" s="4" t="n">
        <v>132</v>
      </c>
      <c r="D5252" s="4" t="n">
        <v>39.93</v>
      </c>
      <c r="E5252" s="5" t="n">
        <v>100.2</v>
      </c>
      <c r="F5252" s="3" t="inlineStr">
        <is>
          <t>강내면</t>
        </is>
      </c>
      <c r="G5252" s="3" t="inlineStr">
        <is>
          <t>저산리</t>
        </is>
      </c>
      <c r="H5252" s="3" t="inlineStr">
        <is>
          <t>계획관리지역</t>
        </is>
      </c>
      <c r="I5252" s="3" t="inlineStr">
        <is>
          <t>전</t>
        </is>
      </c>
      <c r="J5252" s="3" t="inlineStr">
        <is>
          <t>강내면</t>
        </is>
      </c>
    </row>
    <row r="5253">
      <c r="A5253" s="3" t="n">
        <v>2025</v>
      </c>
      <c r="B5253" s="4" t="n">
        <v>4600</v>
      </c>
      <c r="C5253" s="4" t="n">
        <v>238</v>
      </c>
      <c r="D5253" s="4" t="n">
        <v>71.995</v>
      </c>
      <c r="E5253" s="5" t="n">
        <v>63.9</v>
      </c>
      <c r="F5253" s="3" t="inlineStr">
        <is>
          <t>오송읍</t>
        </is>
      </c>
      <c r="G5253" s="3" t="inlineStr">
        <is>
          <t>서평리</t>
        </is>
      </c>
      <c r="H5253" s="3" t="inlineStr">
        <is>
          <t>생산관리지역</t>
        </is>
      </c>
      <c r="I5253" s="3" t="inlineStr">
        <is>
          <t>전</t>
        </is>
      </c>
      <c r="J5253" s="3" t="inlineStr">
        <is>
          <t>오송읍</t>
        </is>
      </c>
    </row>
    <row r="5254">
      <c r="A5254" s="3" t="n">
        <v>2025</v>
      </c>
      <c r="B5254" s="4" t="n">
        <v>42400</v>
      </c>
      <c r="C5254" s="4" t="n">
        <v>2299</v>
      </c>
      <c r="D5254" s="4" t="n">
        <v>695.4475</v>
      </c>
      <c r="E5254" s="5" t="n">
        <v>61</v>
      </c>
      <c r="F5254" s="3" t="inlineStr">
        <is>
          <t>오송읍</t>
        </is>
      </c>
      <c r="G5254" s="3" t="inlineStr">
        <is>
          <t>서평리</t>
        </is>
      </c>
      <c r="H5254" s="3" t="inlineStr">
        <is>
          <t>생산관리지역</t>
        </is>
      </c>
      <c r="I5254" s="3" t="inlineStr">
        <is>
          <t>전</t>
        </is>
      </c>
      <c r="J5254" s="3" t="inlineStr">
        <is>
          <t>오송읍</t>
        </is>
      </c>
    </row>
    <row r="5255">
      <c r="A5255" s="3" t="n">
        <v>2025</v>
      </c>
      <c r="B5255" s="4" t="n">
        <v>74400</v>
      </c>
      <c r="C5255" s="4" t="n">
        <v>4235</v>
      </c>
      <c r="D5255" s="4" t="n">
        <v>1281.0875</v>
      </c>
      <c r="E5255" s="5" t="n">
        <v>58.1</v>
      </c>
      <c r="F5255" s="3" t="inlineStr">
        <is>
          <t>오송읍</t>
        </is>
      </c>
      <c r="G5255" s="3" t="inlineStr">
        <is>
          <t>서평리</t>
        </is>
      </c>
      <c r="H5255" s="3" t="inlineStr">
        <is>
          <t>농림지역</t>
        </is>
      </c>
      <c r="I5255" s="3" t="inlineStr">
        <is>
          <t>전</t>
        </is>
      </c>
      <c r="J5255" s="3" t="inlineStr">
        <is>
          <t>오송읍</t>
        </is>
      </c>
    </row>
    <row r="5256">
      <c r="A5256" s="3" t="n">
        <v>2025</v>
      </c>
      <c r="B5256" s="4" t="n">
        <v>7200</v>
      </c>
      <c r="C5256" s="4" t="n">
        <v>111</v>
      </c>
      <c r="D5256" s="4" t="n">
        <v>33.5775</v>
      </c>
      <c r="E5256" s="5" t="n">
        <v>214.4</v>
      </c>
      <c r="F5256" s="3" t="inlineStr">
        <is>
          <t>오송읍</t>
        </is>
      </c>
      <c r="G5256" s="3" t="inlineStr">
        <is>
          <t>오송리</t>
        </is>
      </c>
      <c r="H5256" s="3" t="inlineStr">
        <is>
          <t>준주거지역</t>
        </is>
      </c>
      <c r="I5256" s="3" t="inlineStr">
        <is>
          <t>답</t>
        </is>
      </c>
      <c r="J5256" s="3" t="inlineStr">
        <is>
          <t>오송읍</t>
        </is>
      </c>
    </row>
    <row r="5257">
      <c r="A5257" s="3" t="n">
        <v>2025</v>
      </c>
      <c r="B5257" s="4" t="n">
        <v>10700</v>
      </c>
      <c r="C5257" s="4" t="n">
        <v>332</v>
      </c>
      <c r="D5257" s="4" t="n">
        <v>100.43</v>
      </c>
      <c r="E5257" s="5" t="n">
        <v>106.5</v>
      </c>
      <c r="F5257" s="3" t="inlineStr">
        <is>
          <t>강내면</t>
        </is>
      </c>
      <c r="G5257" s="3" t="inlineStr">
        <is>
          <t>저산리</t>
        </is>
      </c>
      <c r="H5257" s="3" t="inlineStr">
        <is>
          <t>계획관리지역</t>
        </is>
      </c>
      <c r="I5257" s="3" t="inlineStr">
        <is>
          <t>임야</t>
        </is>
      </c>
      <c r="J5257" s="3" t="inlineStr">
        <is>
          <t>강내면</t>
        </is>
      </c>
    </row>
    <row r="5258">
      <c r="A5258" s="3" t="n">
        <v>2025</v>
      </c>
      <c r="B5258" s="4" t="n">
        <v>2580</v>
      </c>
      <c r="C5258" s="4" t="n">
        <v>78</v>
      </c>
      <c r="D5258" s="4" t="n">
        <v>23.595</v>
      </c>
      <c r="E5258" s="5" t="n">
        <v>109.3</v>
      </c>
      <c r="F5258" s="3" t="inlineStr">
        <is>
          <t>강내면</t>
        </is>
      </c>
      <c r="G5258" s="3" t="inlineStr">
        <is>
          <t>저산리</t>
        </is>
      </c>
      <c r="H5258" s="3" t="inlineStr">
        <is>
          <t>계획관리지역</t>
        </is>
      </c>
      <c r="I5258" s="3" t="inlineStr">
        <is>
          <t>답</t>
        </is>
      </c>
      <c r="J5258" s="3" t="inlineStr">
        <is>
          <t>강내면</t>
        </is>
      </c>
    </row>
    <row r="5259">
      <c r="A5259" s="3" t="n">
        <v>2025</v>
      </c>
      <c r="B5259" s="4" t="n">
        <v>3500</v>
      </c>
      <c r="C5259" s="4" t="n">
        <v>793</v>
      </c>
      <c r="D5259" s="4" t="n">
        <v>239.8825</v>
      </c>
      <c r="E5259" s="5" t="n">
        <v>14.6</v>
      </c>
      <c r="F5259" s="3" t="inlineStr">
        <is>
          <t>강내면</t>
        </is>
      </c>
      <c r="G5259" s="3" t="inlineStr">
        <is>
          <t>저산리</t>
        </is>
      </c>
      <c r="H5259" s="3" t="inlineStr">
        <is>
          <t>계획관리지역</t>
        </is>
      </c>
      <c r="I5259" s="3" t="inlineStr">
        <is>
          <t>임야</t>
        </is>
      </c>
      <c r="J5259" s="3" t="inlineStr">
        <is>
          <t>강내면</t>
        </is>
      </c>
    </row>
    <row r="5260">
      <c r="A5260" s="3" t="n">
        <v>2025</v>
      </c>
      <c r="B5260" s="4" t="n">
        <v>16280</v>
      </c>
      <c r="C5260" s="4" t="n">
        <v>224</v>
      </c>
      <c r="D5260" s="4" t="n">
        <v>67.75999999999999</v>
      </c>
      <c r="E5260" s="5" t="n">
        <v>240.3</v>
      </c>
      <c r="F5260" s="3" t="inlineStr">
        <is>
          <t>오송읍</t>
        </is>
      </c>
      <c r="G5260" s="3" t="inlineStr">
        <is>
          <t>궁평리</t>
        </is>
      </c>
      <c r="H5260" s="3" t="inlineStr">
        <is>
          <t>농림지역</t>
        </is>
      </c>
      <c r="I5260" s="3" t="inlineStr">
        <is>
          <t>대</t>
        </is>
      </c>
      <c r="J5260" s="3" t="inlineStr">
        <is>
          <t>오송읍</t>
        </is>
      </c>
    </row>
    <row r="5261">
      <c r="A5261" s="3" t="n">
        <v>2025</v>
      </c>
      <c r="B5261" s="4" t="n">
        <v>60</v>
      </c>
      <c r="C5261" s="4" t="n">
        <v>7</v>
      </c>
      <c r="D5261" s="4" t="n">
        <v>2.1175</v>
      </c>
      <c r="E5261" s="5" t="n">
        <v>28.3</v>
      </c>
      <c r="F5261" s="3" t="inlineStr">
        <is>
          <t>강내면</t>
        </is>
      </c>
      <c r="G5261" s="3" t="inlineStr">
        <is>
          <t>다락리</t>
        </is>
      </c>
      <c r="H5261" s="3" t="inlineStr">
        <is>
          <t>보전녹지지역</t>
        </is>
      </c>
      <c r="I5261" s="3" t="inlineStr">
        <is>
          <t>전</t>
        </is>
      </c>
      <c r="J5261" s="3" t="inlineStr">
        <is>
          <t>강내면</t>
        </is>
      </c>
    </row>
    <row r="5262">
      <c r="A5262" s="3" t="n">
        <v>2025</v>
      </c>
      <c r="B5262" s="4" t="n">
        <v>26000</v>
      </c>
      <c r="C5262" s="4" t="n">
        <v>628</v>
      </c>
      <c r="D5262" s="4" t="n">
        <v>189.97</v>
      </c>
      <c r="E5262" s="5" t="n">
        <v>136.9</v>
      </c>
      <c r="F5262" s="3" t="inlineStr">
        <is>
          <t>오송읍</t>
        </is>
      </c>
      <c r="G5262" s="3" t="inlineStr">
        <is>
          <t>서평리</t>
        </is>
      </c>
      <c r="H5262" s="3" t="inlineStr">
        <is>
          <t>계획관리지역</t>
        </is>
      </c>
      <c r="I5262" s="3" t="inlineStr">
        <is>
          <t>대</t>
        </is>
      </c>
      <c r="J5262" s="3" t="inlineStr">
        <is>
          <t>오송읍</t>
        </is>
      </c>
    </row>
    <row r="5263">
      <c r="A5263" s="3" t="n">
        <v>2025</v>
      </c>
      <c r="B5263" s="4" t="n">
        <v>15400</v>
      </c>
      <c r="C5263" s="4" t="n">
        <v>84</v>
      </c>
      <c r="D5263" s="4" t="n">
        <v>25.41</v>
      </c>
      <c r="E5263" s="5" t="n">
        <v>606.1</v>
      </c>
      <c r="F5263" s="3" t="inlineStr">
        <is>
          <t>오송읍</t>
        </is>
      </c>
      <c r="G5263" s="3" t="inlineStr">
        <is>
          <t>오송리</t>
        </is>
      </c>
      <c r="H5263" s="3" t="inlineStr">
        <is>
          <t>계획관리지역</t>
        </is>
      </c>
      <c r="I5263" s="3" t="inlineStr">
        <is>
          <t>대</t>
        </is>
      </c>
      <c r="J5263" s="3" t="inlineStr">
        <is>
          <t>오송읍</t>
        </is>
      </c>
    </row>
    <row r="5264">
      <c r="A5264" s="3" t="n">
        <v>2025</v>
      </c>
      <c r="B5264" s="4" t="n">
        <v>590000</v>
      </c>
      <c r="C5264" s="4" t="n">
        <v>1436.7</v>
      </c>
      <c r="D5264" s="4" t="n">
        <v>434.60175</v>
      </c>
      <c r="E5264" s="5" t="n">
        <v>1357.6</v>
      </c>
      <c r="F5264" s="3" t="inlineStr">
        <is>
          <t>오송읍</t>
        </is>
      </c>
      <c r="G5264" s="3" t="inlineStr">
        <is>
          <t>봉산리</t>
        </is>
      </c>
      <c r="H5264" s="3" t="inlineStr">
        <is>
          <t>일반상업지역</t>
        </is>
      </c>
      <c r="I5264" s="3" t="inlineStr">
        <is>
          <t>대</t>
        </is>
      </c>
      <c r="J5264" s="3" t="inlineStr">
        <is>
          <t>오송읍</t>
        </is>
      </c>
    </row>
    <row r="5265">
      <c r="A5265" s="3" t="n">
        <v>2022</v>
      </c>
      <c r="B5265" s="4" t="n">
        <v>900</v>
      </c>
      <c r="C5265" s="4" t="n">
        <v>9</v>
      </c>
      <c r="D5265" s="4" t="n">
        <v>2.7225</v>
      </c>
      <c r="E5265" s="5" t="n">
        <v>330.6</v>
      </c>
      <c r="F5265" s="3" t="inlineStr">
        <is>
          <t>오송읍</t>
        </is>
      </c>
      <c r="G5265" s="3" t="inlineStr">
        <is>
          <t>오송리</t>
        </is>
      </c>
      <c r="H5265" s="3" t="inlineStr">
        <is>
          <t>계획관리지역</t>
        </is>
      </c>
      <c r="I5265" s="3" t="inlineStr">
        <is>
          <t>대</t>
        </is>
      </c>
      <c r="J5265" s="3" t="inlineStr">
        <is>
          <t>오송읍</t>
        </is>
      </c>
    </row>
    <row r="5266">
      <c r="A5266" s="3" t="n">
        <v>2022</v>
      </c>
      <c r="B5266" s="4" t="n">
        <v>6537</v>
      </c>
      <c r="C5266" s="4" t="n">
        <v>554</v>
      </c>
      <c r="D5266" s="4" t="n">
        <v>167.585</v>
      </c>
      <c r="E5266" s="5" t="n">
        <v>39</v>
      </c>
      <c r="F5266" s="3" t="inlineStr">
        <is>
          <t>오송읍</t>
        </is>
      </c>
      <c r="G5266" s="3" t="inlineStr">
        <is>
          <t>공북리</t>
        </is>
      </c>
      <c r="H5266" s="3" t="inlineStr">
        <is>
          <t>농림지역</t>
        </is>
      </c>
      <c r="I5266" s="3" t="inlineStr">
        <is>
          <t>전</t>
        </is>
      </c>
      <c r="J5266" s="3" t="inlineStr">
        <is>
          <t>오송읍</t>
        </is>
      </c>
    </row>
    <row r="5267">
      <c r="A5267" s="3" t="n">
        <v>2022</v>
      </c>
      <c r="B5267" s="4" t="n">
        <v>11600</v>
      </c>
      <c r="C5267" s="4" t="n">
        <v>1283</v>
      </c>
      <c r="D5267" s="4" t="n">
        <v>388.1075</v>
      </c>
      <c r="E5267" s="5" t="n">
        <v>29.9</v>
      </c>
      <c r="F5267" s="3" t="inlineStr">
        <is>
          <t>오송읍</t>
        </is>
      </c>
      <c r="G5267" s="3" t="inlineStr">
        <is>
          <t>쌍청리</t>
        </is>
      </c>
      <c r="H5267" s="3" t="inlineStr">
        <is>
          <t>농림지역</t>
        </is>
      </c>
      <c r="I5267" s="3" t="inlineStr">
        <is>
          <t>전</t>
        </is>
      </c>
      <c r="J5267" s="3" t="inlineStr">
        <is>
          <t>오송읍</t>
        </is>
      </c>
    </row>
    <row r="5268">
      <c r="A5268" s="3" t="n">
        <v>2022</v>
      </c>
      <c r="B5268" s="4" t="n">
        <v>8000</v>
      </c>
      <c r="C5268" s="4" t="n">
        <v>361</v>
      </c>
      <c r="D5268" s="4" t="n">
        <v>109.2025</v>
      </c>
      <c r="E5268" s="5" t="n">
        <v>73.3</v>
      </c>
      <c r="F5268" s="3" t="inlineStr">
        <is>
          <t>강내면</t>
        </is>
      </c>
      <c r="G5268" s="3" t="inlineStr">
        <is>
          <t>태성리</t>
        </is>
      </c>
      <c r="H5268" s="3" t="inlineStr">
        <is>
          <t>농림지역</t>
        </is>
      </c>
      <c r="I5268" s="3" t="inlineStr">
        <is>
          <t>답</t>
        </is>
      </c>
      <c r="J5268" s="3" t="inlineStr">
        <is>
          <t>강내면</t>
        </is>
      </c>
    </row>
    <row r="5269">
      <c r="A5269" s="3" t="n">
        <v>2022</v>
      </c>
      <c r="B5269" s="4" t="n">
        <v>6000</v>
      </c>
      <c r="C5269" s="4" t="n">
        <v>481</v>
      </c>
      <c r="D5269" s="4" t="n">
        <v>145.5025</v>
      </c>
      <c r="E5269" s="5" t="n">
        <v>41.2</v>
      </c>
      <c r="F5269" s="3" t="inlineStr">
        <is>
          <t>강내면</t>
        </is>
      </c>
      <c r="G5269" s="3" t="inlineStr">
        <is>
          <t>태성리</t>
        </is>
      </c>
      <c r="H5269" s="3" t="inlineStr">
        <is>
          <t>농림지역</t>
        </is>
      </c>
      <c r="I5269" s="3" t="inlineStr">
        <is>
          <t>답</t>
        </is>
      </c>
      <c r="J5269" s="3" t="inlineStr">
        <is>
          <t>강내면</t>
        </is>
      </c>
    </row>
    <row r="5270">
      <c r="A5270" s="3" t="n">
        <v>2022</v>
      </c>
      <c r="B5270" s="4" t="n">
        <v>4360</v>
      </c>
      <c r="C5270" s="4" t="n">
        <v>347</v>
      </c>
      <c r="D5270" s="4" t="n">
        <v>104.9675</v>
      </c>
      <c r="E5270" s="5" t="n">
        <v>41.5</v>
      </c>
      <c r="F5270" s="3" t="inlineStr">
        <is>
          <t>강내면</t>
        </is>
      </c>
      <c r="G5270" s="3" t="inlineStr">
        <is>
          <t>태성리</t>
        </is>
      </c>
      <c r="H5270" s="3" t="inlineStr">
        <is>
          <t>계획관리지역</t>
        </is>
      </c>
      <c r="I5270" s="3" t="inlineStr">
        <is>
          <t>전</t>
        </is>
      </c>
      <c r="J5270" s="3" t="inlineStr">
        <is>
          <t>강내면</t>
        </is>
      </c>
    </row>
    <row r="5271">
      <c r="A5271" s="3" t="n">
        <v>2022</v>
      </c>
      <c r="B5271" s="4" t="n">
        <v>177308</v>
      </c>
      <c r="C5271" s="4" t="n">
        <v>5044.4</v>
      </c>
      <c r="D5271" s="4" t="n">
        <v>1525.931</v>
      </c>
      <c r="E5271" s="5" t="n">
        <v>116.2</v>
      </c>
      <c r="F5271" s="3" t="inlineStr">
        <is>
          <t>오송읍</t>
        </is>
      </c>
      <c r="G5271" s="3" t="inlineStr">
        <is>
          <t>정중리</t>
        </is>
      </c>
      <c r="H5271" s="3" t="inlineStr">
        <is>
          <t>일반공업지역</t>
        </is>
      </c>
      <c r="I5271" s="3" t="inlineStr">
        <is>
          <t>대</t>
        </is>
      </c>
      <c r="J5271" s="3" t="inlineStr">
        <is>
          <t>오송읍</t>
        </is>
      </c>
    </row>
    <row r="5272">
      <c r="A5272" s="3" t="n">
        <v>2022</v>
      </c>
      <c r="B5272" s="4" t="n">
        <v>77102</v>
      </c>
      <c r="C5272" s="4" t="n">
        <v>4288.1</v>
      </c>
      <c r="D5272" s="4" t="n">
        <v>1297.15025</v>
      </c>
      <c r="E5272" s="5" t="n">
        <v>59.4</v>
      </c>
      <c r="F5272" s="3" t="inlineStr">
        <is>
          <t>오송읍</t>
        </is>
      </c>
      <c r="G5272" s="3" t="inlineStr">
        <is>
          <t>연제리</t>
        </is>
      </c>
      <c r="H5272" s="3" t="inlineStr">
        <is>
          <t>준공업지역</t>
        </is>
      </c>
      <c r="I5272" s="3" t="inlineStr">
        <is>
          <t>대</t>
        </is>
      </c>
      <c r="J5272" s="3" t="inlineStr">
        <is>
          <t>오송읍</t>
        </is>
      </c>
    </row>
    <row r="5273">
      <c r="A5273" s="3" t="n">
        <v>2022</v>
      </c>
      <c r="B5273" s="4" t="n">
        <v>77210</v>
      </c>
      <c r="C5273" s="4" t="n">
        <v>4294.1</v>
      </c>
      <c r="D5273" s="4" t="n">
        <v>1298.96525</v>
      </c>
      <c r="E5273" s="5" t="n">
        <v>59.4</v>
      </c>
      <c r="F5273" s="3" t="inlineStr">
        <is>
          <t>오송읍</t>
        </is>
      </c>
      <c r="G5273" s="3" t="inlineStr">
        <is>
          <t>연제리</t>
        </is>
      </c>
      <c r="H5273" s="3" t="inlineStr">
        <is>
          <t>준공업지역</t>
        </is>
      </c>
      <c r="I5273" s="3" t="inlineStr">
        <is>
          <t>대</t>
        </is>
      </c>
      <c r="J5273" s="3" t="inlineStr">
        <is>
          <t>오송읍</t>
        </is>
      </c>
    </row>
    <row r="5274">
      <c r="A5274" s="3" t="n">
        <v>2023</v>
      </c>
      <c r="B5274" s="4" t="n">
        <v>25200</v>
      </c>
      <c r="C5274" s="4" t="n">
        <v>704</v>
      </c>
      <c r="D5274" s="4" t="n">
        <v>212.96</v>
      </c>
      <c r="E5274" s="5" t="n">
        <v>118.3</v>
      </c>
      <c r="F5274" s="3" t="inlineStr">
        <is>
          <t>강내면</t>
        </is>
      </c>
      <c r="G5274" s="3" t="inlineStr">
        <is>
          <t>연정리</t>
        </is>
      </c>
      <c r="H5274" s="3" t="inlineStr">
        <is>
          <t>계획관리지역</t>
        </is>
      </c>
      <c r="I5274" s="3" t="inlineStr">
        <is>
          <t>전</t>
        </is>
      </c>
      <c r="J5274" s="3" t="inlineStr">
        <is>
          <t>강내면</t>
        </is>
      </c>
    </row>
    <row r="5275">
      <c r="A5275" s="3" t="n">
        <v>2023</v>
      </c>
      <c r="B5275" s="4" t="n">
        <v>20400</v>
      </c>
      <c r="C5275" s="4" t="n">
        <v>550</v>
      </c>
      <c r="D5275" s="4" t="n">
        <v>166.375</v>
      </c>
      <c r="E5275" s="5" t="n">
        <v>122.6</v>
      </c>
      <c r="F5275" s="3" t="inlineStr">
        <is>
          <t>강내면</t>
        </is>
      </c>
      <c r="G5275" s="3" t="inlineStr">
        <is>
          <t>연정리</t>
        </is>
      </c>
      <c r="H5275" s="3" t="inlineStr">
        <is>
          <t>계획관리지역</t>
        </is>
      </c>
      <c r="I5275" s="3" t="inlineStr">
        <is>
          <t>답</t>
        </is>
      </c>
      <c r="J5275" s="3" t="inlineStr">
        <is>
          <t>강내면</t>
        </is>
      </c>
    </row>
    <row r="5276">
      <c r="A5276" s="3" t="n">
        <v>2023</v>
      </c>
      <c r="B5276" s="4" t="n">
        <v>1200</v>
      </c>
      <c r="C5276" s="4" t="n">
        <v>36</v>
      </c>
      <c r="D5276" s="4" t="n">
        <v>10.89</v>
      </c>
      <c r="E5276" s="5" t="n">
        <v>110.2</v>
      </c>
      <c r="F5276" s="3" t="inlineStr">
        <is>
          <t>강내면</t>
        </is>
      </c>
      <c r="G5276" s="3" t="inlineStr">
        <is>
          <t>연정리</t>
        </is>
      </c>
      <c r="H5276" s="3" t="inlineStr">
        <is>
          <t>계획관리지역</t>
        </is>
      </c>
      <c r="I5276" s="3" t="inlineStr">
        <is>
          <t>전</t>
        </is>
      </c>
      <c r="J5276" s="3" t="inlineStr">
        <is>
          <t>강내면</t>
        </is>
      </c>
    </row>
    <row r="5277">
      <c r="A5277" s="3" t="n">
        <v>2023</v>
      </c>
      <c r="B5277" s="4" t="n">
        <v>24000</v>
      </c>
      <c r="C5277" s="4" t="n">
        <v>661</v>
      </c>
      <c r="D5277" s="4" t="n">
        <v>199.9525</v>
      </c>
      <c r="E5277" s="5" t="n">
        <v>120</v>
      </c>
      <c r="F5277" s="3" t="inlineStr">
        <is>
          <t>강내면</t>
        </is>
      </c>
      <c r="G5277" s="3" t="inlineStr">
        <is>
          <t>연정리</t>
        </is>
      </c>
      <c r="H5277" s="3" t="inlineStr">
        <is>
          <t>계획관리지역</t>
        </is>
      </c>
      <c r="I5277" s="3" t="inlineStr">
        <is>
          <t>답</t>
        </is>
      </c>
      <c r="J5277" s="3" t="inlineStr">
        <is>
          <t>강내면</t>
        </is>
      </c>
    </row>
    <row r="5278">
      <c r="A5278" s="3" t="n">
        <v>2023</v>
      </c>
      <c r="B5278" s="4" t="n">
        <v>31440</v>
      </c>
      <c r="C5278" s="4" t="n">
        <v>867</v>
      </c>
      <c r="D5278" s="4" t="n">
        <v>262.2675</v>
      </c>
      <c r="E5278" s="5" t="n">
        <v>119.9</v>
      </c>
      <c r="F5278" s="3" t="inlineStr">
        <is>
          <t>강내면</t>
        </is>
      </c>
      <c r="G5278" s="3" t="inlineStr">
        <is>
          <t>연정리</t>
        </is>
      </c>
      <c r="H5278" s="3" t="inlineStr">
        <is>
          <t>계획관리지역</t>
        </is>
      </c>
      <c r="I5278" s="3" t="inlineStr">
        <is>
          <t>전</t>
        </is>
      </c>
      <c r="J5278" s="3" t="inlineStr">
        <is>
          <t>강내면</t>
        </is>
      </c>
    </row>
    <row r="5279">
      <c r="A5279" s="3" t="n">
        <v>2023</v>
      </c>
      <c r="B5279" s="4" t="n">
        <v>1200</v>
      </c>
      <c r="C5279" s="4" t="n">
        <v>32</v>
      </c>
      <c r="D5279" s="4" t="n">
        <v>9.68</v>
      </c>
      <c r="E5279" s="5" t="n">
        <v>124</v>
      </c>
      <c r="F5279" s="3" t="inlineStr">
        <is>
          <t>강내면</t>
        </is>
      </c>
      <c r="G5279" s="3" t="inlineStr">
        <is>
          <t>연정리</t>
        </is>
      </c>
      <c r="H5279" s="3" t="inlineStr">
        <is>
          <t>계획관리지역</t>
        </is>
      </c>
      <c r="I5279" s="3" t="inlineStr">
        <is>
          <t>답</t>
        </is>
      </c>
      <c r="J5279" s="3" t="inlineStr">
        <is>
          <t>강내면</t>
        </is>
      </c>
    </row>
    <row r="5280">
      <c r="A5280" s="3" t="n">
        <v>2023</v>
      </c>
      <c r="B5280" s="4" t="n">
        <v>11500</v>
      </c>
      <c r="C5280" s="4" t="n">
        <v>1293</v>
      </c>
      <c r="D5280" s="4" t="n">
        <v>391.1325</v>
      </c>
      <c r="E5280" s="5" t="n">
        <v>29.4</v>
      </c>
      <c r="F5280" s="3" t="inlineStr">
        <is>
          <t>강내면</t>
        </is>
      </c>
      <c r="G5280" s="3" t="inlineStr">
        <is>
          <t>탑연리</t>
        </is>
      </c>
      <c r="H5280" s="3" t="inlineStr">
        <is>
          <t>자연녹지지역</t>
        </is>
      </c>
      <c r="I5280" s="3" t="inlineStr">
        <is>
          <t>답</t>
        </is>
      </c>
      <c r="J5280" s="3" t="inlineStr">
        <is>
          <t>강내면</t>
        </is>
      </c>
    </row>
    <row r="5281">
      <c r="A5281" s="3" t="n">
        <v>2023</v>
      </c>
      <c r="B5281" s="4" t="n">
        <v>25200</v>
      </c>
      <c r="C5281" s="4" t="n">
        <v>704</v>
      </c>
      <c r="D5281" s="4" t="n">
        <v>212.96</v>
      </c>
      <c r="E5281" s="5" t="n">
        <v>118.3</v>
      </c>
      <c r="F5281" s="3" t="inlineStr">
        <is>
          <t>강내면</t>
        </is>
      </c>
      <c r="G5281" s="3" t="inlineStr">
        <is>
          <t>연정리</t>
        </is>
      </c>
      <c r="H5281" s="3" t="inlineStr">
        <is>
          <t>계획관리지역</t>
        </is>
      </c>
      <c r="I5281" s="3" t="inlineStr">
        <is>
          <t>전</t>
        </is>
      </c>
      <c r="J5281" s="3" t="inlineStr">
        <is>
          <t>강내면</t>
        </is>
      </c>
    </row>
    <row r="5282">
      <c r="A5282" s="3" t="n">
        <v>2023</v>
      </c>
      <c r="B5282" s="4" t="n">
        <v>20400</v>
      </c>
      <c r="C5282" s="4" t="n">
        <v>550</v>
      </c>
      <c r="D5282" s="4" t="n">
        <v>166.375</v>
      </c>
      <c r="E5282" s="5" t="n">
        <v>122.6</v>
      </c>
      <c r="F5282" s="3" t="inlineStr">
        <is>
          <t>강내면</t>
        </is>
      </c>
      <c r="G5282" s="3" t="inlineStr">
        <is>
          <t>연정리</t>
        </is>
      </c>
      <c r="H5282" s="3" t="inlineStr">
        <is>
          <t>계획관리지역</t>
        </is>
      </c>
      <c r="I5282" s="3" t="inlineStr">
        <is>
          <t>답</t>
        </is>
      </c>
      <c r="J5282" s="3" t="inlineStr">
        <is>
          <t>강내면</t>
        </is>
      </c>
    </row>
    <row r="5283">
      <c r="A5283" s="3" t="n">
        <v>2023</v>
      </c>
      <c r="B5283" s="4" t="n">
        <v>1200</v>
      </c>
      <c r="C5283" s="4" t="n">
        <v>36</v>
      </c>
      <c r="D5283" s="4" t="n">
        <v>10.89</v>
      </c>
      <c r="E5283" s="5" t="n">
        <v>110.2</v>
      </c>
      <c r="F5283" s="3" t="inlineStr">
        <is>
          <t>강내면</t>
        </is>
      </c>
      <c r="G5283" s="3" t="inlineStr">
        <is>
          <t>연정리</t>
        </is>
      </c>
      <c r="H5283" s="3" t="inlineStr">
        <is>
          <t>계획관리지역</t>
        </is>
      </c>
      <c r="I5283" s="3" t="inlineStr">
        <is>
          <t>전</t>
        </is>
      </c>
      <c r="J5283" s="3" t="inlineStr">
        <is>
          <t>강내면</t>
        </is>
      </c>
    </row>
    <row r="5284">
      <c r="A5284" s="3" t="n">
        <v>2023</v>
      </c>
      <c r="B5284" s="4" t="n">
        <v>24000</v>
      </c>
      <c r="C5284" s="4" t="n">
        <v>661</v>
      </c>
      <c r="D5284" s="4" t="n">
        <v>199.9525</v>
      </c>
      <c r="E5284" s="5" t="n">
        <v>120</v>
      </c>
      <c r="F5284" s="3" t="inlineStr">
        <is>
          <t>강내면</t>
        </is>
      </c>
      <c r="G5284" s="3" t="inlineStr">
        <is>
          <t>연정리</t>
        </is>
      </c>
      <c r="H5284" s="3" t="inlineStr">
        <is>
          <t>계획관리지역</t>
        </is>
      </c>
      <c r="I5284" s="3" t="inlineStr">
        <is>
          <t>답</t>
        </is>
      </c>
      <c r="J5284" s="3" t="inlineStr">
        <is>
          <t>강내면</t>
        </is>
      </c>
    </row>
    <row r="5285">
      <c r="A5285" s="3" t="n">
        <v>2023</v>
      </c>
      <c r="B5285" s="4" t="n">
        <v>31440</v>
      </c>
      <c r="C5285" s="4" t="n">
        <v>867</v>
      </c>
      <c r="D5285" s="4" t="n">
        <v>262.2675</v>
      </c>
      <c r="E5285" s="5" t="n">
        <v>119.9</v>
      </c>
      <c r="F5285" s="3" t="inlineStr">
        <is>
          <t>강내면</t>
        </is>
      </c>
      <c r="G5285" s="3" t="inlineStr">
        <is>
          <t>연정리</t>
        </is>
      </c>
      <c r="H5285" s="3" t="inlineStr">
        <is>
          <t>계획관리지역</t>
        </is>
      </c>
      <c r="I5285" s="3" t="inlineStr">
        <is>
          <t>전</t>
        </is>
      </c>
      <c r="J5285" s="3" t="inlineStr">
        <is>
          <t>강내면</t>
        </is>
      </c>
    </row>
    <row r="5286">
      <c r="A5286" s="3" t="n">
        <v>2023</v>
      </c>
      <c r="B5286" s="4" t="n">
        <v>1200</v>
      </c>
      <c r="C5286" s="4" t="n">
        <v>32</v>
      </c>
      <c r="D5286" s="4" t="n">
        <v>9.68</v>
      </c>
      <c r="E5286" s="5" t="n">
        <v>124</v>
      </c>
      <c r="F5286" s="3" t="inlineStr">
        <is>
          <t>강내면</t>
        </is>
      </c>
      <c r="G5286" s="3" t="inlineStr">
        <is>
          <t>연정리</t>
        </is>
      </c>
      <c r="H5286" s="3" t="inlineStr">
        <is>
          <t>계획관리지역</t>
        </is>
      </c>
      <c r="I5286" s="3" t="inlineStr">
        <is>
          <t>답</t>
        </is>
      </c>
      <c r="J5286" s="3" t="inlineStr">
        <is>
          <t>강내면</t>
        </is>
      </c>
    </row>
    <row r="5287">
      <c r="A5287" s="3" t="n">
        <v>2023</v>
      </c>
      <c r="B5287" s="4" t="n">
        <v>47000</v>
      </c>
      <c r="C5287" s="4" t="n">
        <v>5125</v>
      </c>
      <c r="D5287" s="4" t="n">
        <v>1550.3125</v>
      </c>
      <c r="E5287" s="5" t="n">
        <v>30.3</v>
      </c>
      <c r="F5287" s="3" t="inlineStr">
        <is>
          <t>강내면</t>
        </is>
      </c>
      <c r="G5287" s="3" t="inlineStr">
        <is>
          <t>다락리</t>
        </is>
      </c>
      <c r="H5287" s="3" t="inlineStr">
        <is>
          <t>보전녹지지역</t>
        </is>
      </c>
      <c r="I5287" s="3" t="inlineStr">
        <is>
          <t>임야</t>
        </is>
      </c>
      <c r="J5287" s="3" t="inlineStr">
        <is>
          <t>강내면</t>
        </is>
      </c>
    </row>
    <row r="5288">
      <c r="A5288" s="3" t="n">
        <v>2023</v>
      </c>
      <c r="B5288" s="4" t="n">
        <v>7800</v>
      </c>
      <c r="C5288" s="4" t="n">
        <v>258</v>
      </c>
      <c r="D5288" s="4" t="n">
        <v>78.045</v>
      </c>
      <c r="E5288" s="5" t="n">
        <v>99.90000000000001</v>
      </c>
      <c r="F5288" s="3" t="inlineStr">
        <is>
          <t>오송읍</t>
        </is>
      </c>
      <c r="G5288" s="3" t="inlineStr">
        <is>
          <t>호계리</t>
        </is>
      </c>
      <c r="H5288" s="3" t="inlineStr">
        <is>
          <t>계획관리지역</t>
        </is>
      </c>
      <c r="I5288" s="3" t="inlineStr">
        <is>
          <t>대</t>
        </is>
      </c>
      <c r="J5288" s="3" t="inlineStr">
        <is>
          <t>오송읍</t>
        </is>
      </c>
    </row>
    <row r="5289">
      <c r="A5289" s="3" t="n">
        <v>2023</v>
      </c>
      <c r="B5289" s="4" t="n">
        <v>4000</v>
      </c>
      <c r="C5289" s="4" t="n">
        <v>250</v>
      </c>
      <c r="D5289" s="4" t="n">
        <v>75.625</v>
      </c>
      <c r="E5289" s="5" t="n">
        <v>52.9</v>
      </c>
      <c r="F5289" s="3" t="inlineStr">
        <is>
          <t>강내면</t>
        </is>
      </c>
      <c r="G5289" s="3" t="inlineStr">
        <is>
          <t>다락리</t>
        </is>
      </c>
      <c r="H5289" s="3" t="inlineStr">
        <is>
          <t>자연녹지지역</t>
        </is>
      </c>
      <c r="I5289" s="3" t="inlineStr">
        <is>
          <t>전</t>
        </is>
      </c>
      <c r="J5289" s="3" t="inlineStr">
        <is>
          <t>강내면</t>
        </is>
      </c>
    </row>
    <row r="5290">
      <c r="A5290" s="3" t="n">
        <v>2023</v>
      </c>
      <c r="B5290" s="4" t="n">
        <v>7800</v>
      </c>
      <c r="C5290" s="4" t="n">
        <v>258</v>
      </c>
      <c r="D5290" s="4" t="n">
        <v>78.045</v>
      </c>
      <c r="E5290" s="5" t="n">
        <v>99.90000000000001</v>
      </c>
      <c r="F5290" s="3" t="inlineStr">
        <is>
          <t>오송읍</t>
        </is>
      </c>
      <c r="G5290" s="3" t="inlineStr">
        <is>
          <t>호계리</t>
        </is>
      </c>
      <c r="H5290" s="3" t="inlineStr">
        <is>
          <t>계획관리지역</t>
        </is>
      </c>
      <c r="I5290" s="3" t="inlineStr">
        <is>
          <t>대</t>
        </is>
      </c>
      <c r="J5290" s="3" t="inlineStr">
        <is>
          <t>오송읍</t>
        </is>
      </c>
    </row>
    <row r="5291">
      <c r="A5291" s="3" t="n">
        <v>2024</v>
      </c>
      <c r="B5291" s="4" t="n">
        <v>69000</v>
      </c>
      <c r="C5291" s="4" t="n">
        <v>2281</v>
      </c>
      <c r="D5291" s="4" t="n">
        <v>690.0024999999999</v>
      </c>
      <c r="E5291" s="5" t="n">
        <v>100</v>
      </c>
      <c r="F5291" s="3" t="inlineStr">
        <is>
          <t>강내면</t>
        </is>
      </c>
      <c r="G5291" s="3" t="inlineStr">
        <is>
          <t>학천리</t>
        </is>
      </c>
      <c r="H5291" s="3" t="inlineStr">
        <is>
          <t>자연녹지지역</t>
        </is>
      </c>
      <c r="I5291" s="3" t="inlineStr">
        <is>
          <t>임야</t>
        </is>
      </c>
      <c r="J5291" s="3" t="inlineStr">
        <is>
          <t>강내면</t>
        </is>
      </c>
    </row>
    <row r="5292">
      <c r="A5292" s="3" t="n">
        <v>2024</v>
      </c>
      <c r="B5292" s="4" t="n">
        <v>69000</v>
      </c>
      <c r="C5292" s="4" t="n">
        <v>2281</v>
      </c>
      <c r="D5292" s="4" t="n">
        <v>690.0024999999999</v>
      </c>
      <c r="E5292" s="5" t="n">
        <v>100</v>
      </c>
      <c r="F5292" s="3" t="inlineStr">
        <is>
          <t>강내면</t>
        </is>
      </c>
      <c r="G5292" s="3" t="inlineStr">
        <is>
          <t>학천리</t>
        </is>
      </c>
      <c r="H5292" s="3" t="inlineStr">
        <is>
          <t>보전녹지지역</t>
        </is>
      </c>
      <c r="I5292" s="3" t="inlineStr">
        <is>
          <t>임야</t>
        </is>
      </c>
      <c r="J5292" s="3" t="inlineStr">
        <is>
          <t>강내면</t>
        </is>
      </c>
    </row>
    <row r="5293">
      <c r="A5293" s="3" t="n">
        <v>2024</v>
      </c>
      <c r="B5293" s="4" t="n">
        <v>40000</v>
      </c>
      <c r="C5293" s="4" t="n">
        <v>2030</v>
      </c>
      <c r="D5293" s="4" t="n">
        <v>614.0749999999999</v>
      </c>
      <c r="E5293" s="5" t="n">
        <v>65.09999999999999</v>
      </c>
      <c r="F5293" s="3" t="inlineStr">
        <is>
          <t>오송읍</t>
        </is>
      </c>
      <c r="G5293" s="3" t="inlineStr">
        <is>
          <t>동평리</t>
        </is>
      </c>
      <c r="H5293" s="3" t="inlineStr">
        <is>
          <t>농림지역</t>
        </is>
      </c>
      <c r="I5293" s="3" t="inlineStr">
        <is>
          <t>답</t>
        </is>
      </c>
      <c r="J5293" s="3" t="inlineStr">
        <is>
          <t>오송읍</t>
        </is>
      </c>
    </row>
    <row r="5294">
      <c r="A5294" s="3" t="n">
        <v>2024</v>
      </c>
      <c r="B5294" s="4" t="n">
        <v>41000</v>
      </c>
      <c r="C5294" s="4" t="n">
        <v>2073</v>
      </c>
      <c r="D5294" s="4" t="n">
        <v>627.0825</v>
      </c>
      <c r="E5294" s="5" t="n">
        <v>65.40000000000001</v>
      </c>
      <c r="F5294" s="3" t="inlineStr">
        <is>
          <t>오송읍</t>
        </is>
      </c>
      <c r="G5294" s="3" t="inlineStr">
        <is>
          <t>동평리</t>
        </is>
      </c>
      <c r="H5294" s="3" t="inlineStr">
        <is>
          <t>농림지역</t>
        </is>
      </c>
      <c r="I5294" s="3" t="inlineStr">
        <is>
          <t>답</t>
        </is>
      </c>
      <c r="J5294" s="3" t="inlineStr">
        <is>
          <t>오송읍</t>
        </is>
      </c>
    </row>
    <row r="5295">
      <c r="A5295" s="3" t="n">
        <v>2023</v>
      </c>
      <c r="B5295" s="4" t="n">
        <v>120000</v>
      </c>
      <c r="C5295" s="4" t="n">
        <v>2641</v>
      </c>
      <c r="D5295" s="4" t="n">
        <v>798.9025</v>
      </c>
      <c r="E5295" s="5" t="n">
        <v>150.2</v>
      </c>
      <c r="F5295" s="3" t="inlineStr">
        <is>
          <t>오송읍</t>
        </is>
      </c>
      <c r="G5295" s="3" t="inlineStr">
        <is>
          <t>연제리</t>
        </is>
      </c>
      <c r="H5295" s="3" t="inlineStr">
        <is>
          <t>계획관리지역</t>
        </is>
      </c>
      <c r="I5295" s="3" t="inlineStr">
        <is>
          <t>답</t>
        </is>
      </c>
      <c r="J5295" s="3" t="inlineStr">
        <is>
          <t>오송읍</t>
        </is>
      </c>
    </row>
    <row r="5296">
      <c r="A5296" s="3" t="n">
        <v>2023</v>
      </c>
      <c r="B5296" s="4" t="n">
        <v>15372</v>
      </c>
      <c r="C5296" s="4" t="n">
        <v>528</v>
      </c>
      <c r="D5296" s="4" t="n">
        <v>159.72</v>
      </c>
      <c r="E5296" s="5" t="n">
        <v>96.2</v>
      </c>
      <c r="F5296" s="3" t="inlineStr">
        <is>
          <t>오송읍</t>
        </is>
      </c>
      <c r="G5296" s="3" t="inlineStr">
        <is>
          <t>상정리</t>
        </is>
      </c>
      <c r="H5296" s="3" t="inlineStr">
        <is>
          <t>계획관리지역</t>
        </is>
      </c>
      <c r="I5296" s="3" t="inlineStr">
        <is>
          <t>대</t>
        </is>
      </c>
      <c r="J5296" s="3" t="inlineStr">
        <is>
          <t>오송읍</t>
        </is>
      </c>
    </row>
    <row r="5297">
      <c r="A5297" s="3" t="n">
        <v>2023</v>
      </c>
      <c r="B5297" s="4" t="n">
        <v>32000</v>
      </c>
      <c r="C5297" s="4" t="n">
        <v>251.5</v>
      </c>
      <c r="D5297" s="4" t="n">
        <v>76.07875</v>
      </c>
      <c r="E5297" s="5" t="n">
        <v>420.6</v>
      </c>
      <c r="F5297" s="3" t="inlineStr">
        <is>
          <t>오송읍</t>
        </is>
      </c>
      <c r="G5297" s="3" t="inlineStr">
        <is>
          <t>봉산리</t>
        </is>
      </c>
      <c r="H5297" s="3" t="inlineStr">
        <is>
          <t>제1종일반주거지역</t>
        </is>
      </c>
      <c r="I5297" s="3" t="inlineStr">
        <is>
          <t>대</t>
        </is>
      </c>
      <c r="J5297" s="3" t="inlineStr">
        <is>
          <t>오송읍</t>
        </is>
      </c>
    </row>
    <row r="5298">
      <c r="A5298" s="3" t="n">
        <v>2023</v>
      </c>
      <c r="B5298" s="4" t="n">
        <v>35000</v>
      </c>
      <c r="C5298" s="4" t="n">
        <v>330</v>
      </c>
      <c r="D5298" s="4" t="n">
        <v>99.825</v>
      </c>
      <c r="E5298" s="5" t="n">
        <v>350.6</v>
      </c>
      <c r="F5298" s="3" t="inlineStr">
        <is>
          <t>강내면</t>
        </is>
      </c>
      <c r="G5298" s="3" t="inlineStr">
        <is>
          <t>월탄리</t>
        </is>
      </c>
      <c r="H5298" s="3" t="inlineStr">
        <is>
          <t>계획관리지역</t>
        </is>
      </c>
      <c r="I5298" s="3" t="inlineStr">
        <is>
          <t>대</t>
        </is>
      </c>
      <c r="J5298" s="3" t="inlineStr">
        <is>
          <t>강내면</t>
        </is>
      </c>
    </row>
    <row r="5299">
      <c r="A5299" s="3" t="n">
        <v>2023</v>
      </c>
      <c r="B5299" s="4" t="n">
        <v>42000</v>
      </c>
      <c r="C5299" s="4" t="n">
        <v>2529</v>
      </c>
      <c r="D5299" s="4" t="n">
        <v>765.0224999999999</v>
      </c>
      <c r="E5299" s="5" t="n">
        <v>54.9</v>
      </c>
      <c r="F5299" s="3" t="inlineStr">
        <is>
          <t>강내면</t>
        </is>
      </c>
      <c r="G5299" s="3" t="inlineStr">
        <is>
          <t>궁현리</t>
        </is>
      </c>
      <c r="H5299" s="3" t="inlineStr">
        <is>
          <t>농림지역</t>
        </is>
      </c>
      <c r="I5299" s="3" t="inlineStr">
        <is>
          <t>답</t>
        </is>
      </c>
      <c r="J5299" s="3" t="inlineStr">
        <is>
          <t>강내면</t>
        </is>
      </c>
    </row>
    <row r="5300">
      <c r="A5300" s="3" t="n">
        <v>2023</v>
      </c>
      <c r="B5300" s="4" t="n">
        <v>22400</v>
      </c>
      <c r="C5300" s="4" t="n">
        <v>655</v>
      </c>
      <c r="D5300" s="4" t="n">
        <v>198.1375</v>
      </c>
      <c r="E5300" s="5" t="n">
        <v>113.1</v>
      </c>
      <c r="F5300" s="3" t="inlineStr">
        <is>
          <t>오송읍</t>
        </is>
      </c>
      <c r="G5300" s="3" t="inlineStr">
        <is>
          <t>연제리</t>
        </is>
      </c>
      <c r="H5300" s="3" t="inlineStr">
        <is>
          <t>계획관리지역</t>
        </is>
      </c>
      <c r="I5300" s="3" t="inlineStr">
        <is>
          <t>답</t>
        </is>
      </c>
      <c r="J5300" s="3" t="inlineStr">
        <is>
          <t>오송읍</t>
        </is>
      </c>
    </row>
    <row r="5301">
      <c r="A5301" s="3" t="n">
        <v>2023</v>
      </c>
      <c r="B5301" s="4" t="n">
        <v>4500</v>
      </c>
      <c r="C5301" s="4" t="n">
        <v>150</v>
      </c>
      <c r="D5301" s="4" t="n">
        <v>45.375</v>
      </c>
      <c r="E5301" s="5" t="n">
        <v>99.2</v>
      </c>
      <c r="F5301" s="3" t="inlineStr">
        <is>
          <t>오송읍</t>
        </is>
      </c>
      <c r="G5301" s="3" t="inlineStr">
        <is>
          <t>정중리</t>
        </is>
      </c>
      <c r="H5301" s="3" t="inlineStr">
        <is>
          <t>보전관리지역</t>
        </is>
      </c>
      <c r="I5301" s="3" t="inlineStr">
        <is>
          <t>임야</t>
        </is>
      </c>
      <c r="J5301" s="3" t="inlineStr">
        <is>
          <t>오송읍</t>
        </is>
      </c>
    </row>
    <row r="5302">
      <c r="A5302" s="3" t="n">
        <v>2023</v>
      </c>
      <c r="B5302" s="4" t="n">
        <v>432</v>
      </c>
      <c r="C5302" s="4" t="n">
        <v>36</v>
      </c>
      <c r="D5302" s="4" t="n">
        <v>10.89</v>
      </c>
      <c r="E5302" s="5" t="n">
        <v>39.7</v>
      </c>
      <c r="F5302" s="3" t="inlineStr">
        <is>
          <t>강내면</t>
        </is>
      </c>
      <c r="G5302" s="3" t="inlineStr">
        <is>
          <t>연정리</t>
        </is>
      </c>
      <c r="H5302" s="3" t="inlineStr">
        <is>
          <t>계획관리지역</t>
        </is>
      </c>
      <c r="I5302" s="3" t="inlineStr">
        <is>
          <t>전</t>
        </is>
      </c>
      <c r="J5302" s="3" t="inlineStr">
        <is>
          <t>강내면</t>
        </is>
      </c>
    </row>
    <row r="5303">
      <c r="A5303" s="3" t="n">
        <v>2023</v>
      </c>
      <c r="B5303" s="4" t="n">
        <v>26884</v>
      </c>
      <c r="C5303" s="4" t="n">
        <v>1891</v>
      </c>
      <c r="D5303" s="4" t="n">
        <v>572.0275</v>
      </c>
      <c r="E5303" s="5" t="n">
        <v>47</v>
      </c>
      <c r="F5303" s="3" t="inlineStr">
        <is>
          <t>강내면</t>
        </is>
      </c>
      <c r="G5303" s="3" t="inlineStr">
        <is>
          <t>다락리</t>
        </is>
      </c>
      <c r="H5303" s="3" t="inlineStr">
        <is>
          <t>농림지역</t>
        </is>
      </c>
      <c r="I5303" s="3" t="inlineStr">
        <is>
          <t>답</t>
        </is>
      </c>
      <c r="J5303" s="3" t="inlineStr">
        <is>
          <t>강내면</t>
        </is>
      </c>
    </row>
    <row r="5304">
      <c r="A5304" s="3" t="n">
        <v>2023</v>
      </c>
      <c r="B5304" s="4" t="n">
        <v>480</v>
      </c>
      <c r="C5304" s="4" t="n">
        <v>40</v>
      </c>
      <c r="D5304" s="4" t="n">
        <v>12.1</v>
      </c>
      <c r="E5304" s="5" t="n">
        <v>39.7</v>
      </c>
      <c r="F5304" s="3" t="inlineStr">
        <is>
          <t>강내면</t>
        </is>
      </c>
      <c r="G5304" s="3" t="inlineStr">
        <is>
          <t>연정리</t>
        </is>
      </c>
      <c r="H5304" s="3" t="inlineStr">
        <is>
          <t>계획관리지역</t>
        </is>
      </c>
      <c r="I5304" s="3" t="inlineStr">
        <is>
          <t>답</t>
        </is>
      </c>
      <c r="J5304" s="3" t="inlineStr">
        <is>
          <t>강내면</t>
        </is>
      </c>
    </row>
    <row r="5305">
      <c r="A5305" s="3" t="n">
        <v>2023</v>
      </c>
      <c r="B5305" s="4" t="n">
        <v>312</v>
      </c>
      <c r="C5305" s="4" t="n">
        <v>26</v>
      </c>
      <c r="D5305" s="4" t="n">
        <v>7.865</v>
      </c>
      <c r="E5305" s="5" t="n">
        <v>39.7</v>
      </c>
      <c r="F5305" s="3" t="inlineStr">
        <is>
          <t>강내면</t>
        </is>
      </c>
      <c r="G5305" s="3" t="inlineStr">
        <is>
          <t>연정리</t>
        </is>
      </c>
      <c r="H5305" s="3" t="inlineStr">
        <is>
          <t>계획관리지역</t>
        </is>
      </c>
      <c r="I5305" s="3" t="inlineStr">
        <is>
          <t>전</t>
        </is>
      </c>
      <c r="J5305" s="3" t="inlineStr">
        <is>
          <t>강내면</t>
        </is>
      </c>
    </row>
    <row r="5306">
      <c r="A5306" s="3" t="n">
        <v>2024</v>
      </c>
      <c r="B5306" s="4" t="n">
        <v>2239</v>
      </c>
      <c r="C5306" s="4" t="n">
        <v>202</v>
      </c>
      <c r="D5306" s="4" t="n">
        <v>61.105</v>
      </c>
      <c r="E5306" s="5" t="n">
        <v>36.6</v>
      </c>
      <c r="F5306" s="3" t="inlineStr">
        <is>
          <t>강내면</t>
        </is>
      </c>
      <c r="G5306" s="3" t="inlineStr">
        <is>
          <t>학천리</t>
        </is>
      </c>
      <c r="H5306" s="3" t="inlineStr">
        <is>
          <t>생산녹지지역</t>
        </is>
      </c>
      <c r="I5306" s="3" t="inlineStr">
        <is>
          <t>도로</t>
        </is>
      </c>
      <c r="J5306" s="3" t="inlineStr">
        <is>
          <t>강내면</t>
        </is>
      </c>
    </row>
    <row r="5307">
      <c r="A5307" s="3" t="n">
        <v>2024</v>
      </c>
      <c r="B5307" s="4" t="n">
        <v>11250</v>
      </c>
      <c r="C5307" s="4" t="n">
        <v>1015</v>
      </c>
      <c r="D5307" s="4" t="n">
        <v>307.0375</v>
      </c>
      <c r="E5307" s="5" t="n">
        <v>36.6</v>
      </c>
      <c r="F5307" s="3" t="inlineStr">
        <is>
          <t>강내면</t>
        </is>
      </c>
      <c r="G5307" s="3" t="inlineStr">
        <is>
          <t>학천리</t>
        </is>
      </c>
      <c r="H5307" s="3" t="inlineStr">
        <is>
          <t>생산녹지지역</t>
        </is>
      </c>
      <c r="I5307" s="3" t="inlineStr">
        <is>
          <t>답</t>
        </is>
      </c>
      <c r="J5307" s="3" t="inlineStr">
        <is>
          <t>강내면</t>
        </is>
      </c>
    </row>
    <row r="5308">
      <c r="A5308" s="3" t="n">
        <v>2024</v>
      </c>
      <c r="B5308" s="4" t="n">
        <v>7215</v>
      </c>
      <c r="C5308" s="4" t="n">
        <v>651</v>
      </c>
      <c r="D5308" s="4" t="n">
        <v>196.9275</v>
      </c>
      <c r="E5308" s="5" t="n">
        <v>36.6</v>
      </c>
      <c r="F5308" s="3" t="inlineStr">
        <is>
          <t>강내면</t>
        </is>
      </c>
      <c r="G5308" s="3" t="inlineStr">
        <is>
          <t>학천리</t>
        </is>
      </c>
      <c r="H5308" s="3" t="inlineStr">
        <is>
          <t>생산녹지지역</t>
        </is>
      </c>
      <c r="I5308" s="3" t="inlineStr">
        <is>
          <t>전</t>
        </is>
      </c>
      <c r="J5308" s="3" t="inlineStr">
        <is>
          <t>강내면</t>
        </is>
      </c>
    </row>
    <row r="5309">
      <c r="A5309" s="3" t="n">
        <v>2024</v>
      </c>
      <c r="B5309" s="4" t="n">
        <v>8407</v>
      </c>
      <c r="C5309" s="4" t="n">
        <v>800</v>
      </c>
      <c r="D5309" s="4" t="n">
        <v>242</v>
      </c>
      <c r="E5309" s="5" t="n">
        <v>34.7</v>
      </c>
      <c r="F5309" s="3" t="inlineStr">
        <is>
          <t>강내면</t>
        </is>
      </c>
      <c r="G5309" s="3" t="inlineStr">
        <is>
          <t>학천리</t>
        </is>
      </c>
      <c r="H5309" s="3" t="inlineStr">
        <is>
          <t>생산녹지지역</t>
        </is>
      </c>
      <c r="I5309" s="3" t="inlineStr">
        <is>
          <t>답</t>
        </is>
      </c>
      <c r="J5309" s="3" t="inlineStr">
        <is>
          <t>강내면</t>
        </is>
      </c>
    </row>
    <row r="5310">
      <c r="A5310" s="3" t="n">
        <v>2024</v>
      </c>
      <c r="B5310" s="4" t="n">
        <v>4067</v>
      </c>
      <c r="C5310" s="4" t="n">
        <v>387</v>
      </c>
      <c r="D5310" s="4" t="n">
        <v>117.0675</v>
      </c>
      <c r="E5310" s="5" t="n">
        <v>34.7</v>
      </c>
      <c r="F5310" s="3" t="inlineStr">
        <is>
          <t>강내면</t>
        </is>
      </c>
      <c r="G5310" s="3" t="inlineStr">
        <is>
          <t>학천리</t>
        </is>
      </c>
      <c r="H5310" s="3" t="inlineStr">
        <is>
          <t>생산녹지지역</t>
        </is>
      </c>
      <c r="I5310" s="3" t="inlineStr">
        <is>
          <t>답</t>
        </is>
      </c>
      <c r="J5310" s="3" t="inlineStr">
        <is>
          <t>강내면</t>
        </is>
      </c>
    </row>
    <row r="5311">
      <c r="A5311" s="3" t="n">
        <v>2024</v>
      </c>
      <c r="B5311" s="4" t="n">
        <v>725</v>
      </c>
      <c r="C5311" s="4" t="n">
        <v>69</v>
      </c>
      <c r="D5311" s="4" t="n">
        <v>20.8725</v>
      </c>
      <c r="E5311" s="5" t="n">
        <v>34.7</v>
      </c>
      <c r="F5311" s="3" t="inlineStr">
        <is>
          <t>강내면</t>
        </is>
      </c>
      <c r="G5311" s="3" t="inlineStr">
        <is>
          <t>학천리</t>
        </is>
      </c>
      <c r="H5311" s="3" t="inlineStr">
        <is>
          <t>생산녹지지역</t>
        </is>
      </c>
      <c r="I5311" s="3" t="inlineStr">
        <is>
          <t>전</t>
        </is>
      </c>
      <c r="J5311" s="3" t="inlineStr">
        <is>
          <t>강내면</t>
        </is>
      </c>
    </row>
    <row r="5312">
      <c r="A5312" s="3" t="n">
        <v>2024</v>
      </c>
      <c r="B5312" s="4" t="n">
        <v>5938</v>
      </c>
      <c r="C5312" s="4" t="n">
        <v>565</v>
      </c>
      <c r="D5312" s="4" t="n">
        <v>170.9125</v>
      </c>
      <c r="E5312" s="5" t="n">
        <v>34.7</v>
      </c>
      <c r="F5312" s="3" t="inlineStr">
        <is>
          <t>강내면</t>
        </is>
      </c>
      <c r="G5312" s="3" t="inlineStr">
        <is>
          <t>학천리</t>
        </is>
      </c>
      <c r="H5312" s="3" t="inlineStr">
        <is>
          <t>생산녹지지역</t>
        </is>
      </c>
      <c r="I5312" s="3" t="inlineStr">
        <is>
          <t>전</t>
        </is>
      </c>
      <c r="J5312" s="3" t="inlineStr">
        <is>
          <t>강내면</t>
        </is>
      </c>
    </row>
    <row r="5313">
      <c r="A5313" s="3" t="n">
        <v>2024</v>
      </c>
      <c r="B5313" s="4" t="n">
        <v>15827</v>
      </c>
      <c r="C5313" s="4" t="n">
        <v>436</v>
      </c>
      <c r="D5313" s="4" t="n">
        <v>131.89</v>
      </c>
      <c r="E5313" s="5" t="n">
        <v>120</v>
      </c>
      <c r="F5313" s="3" t="inlineStr">
        <is>
          <t>강내면</t>
        </is>
      </c>
      <c r="G5313" s="3" t="inlineStr">
        <is>
          <t>다락리</t>
        </is>
      </c>
      <c r="H5313" s="3" t="inlineStr">
        <is>
          <t>계획관리지역</t>
        </is>
      </c>
      <c r="I5313" s="3" t="inlineStr">
        <is>
          <t>대</t>
        </is>
      </c>
      <c r="J5313" s="3" t="inlineStr">
        <is>
          <t>강내면</t>
        </is>
      </c>
    </row>
    <row r="5314">
      <c r="A5314" s="3" t="n">
        <v>2024</v>
      </c>
      <c r="B5314" s="4" t="n">
        <v>62400</v>
      </c>
      <c r="C5314" s="4" t="n">
        <v>1653</v>
      </c>
      <c r="D5314" s="4" t="n">
        <v>500.0325</v>
      </c>
      <c r="E5314" s="5" t="n">
        <v>124.8</v>
      </c>
      <c r="F5314" s="3" t="inlineStr">
        <is>
          <t>강내면</t>
        </is>
      </c>
      <c r="G5314" s="3" t="inlineStr">
        <is>
          <t>궁현리</t>
        </is>
      </c>
      <c r="H5314" s="3" t="inlineStr">
        <is>
          <t>계획관리지역</t>
        </is>
      </c>
      <c r="I5314" s="3" t="inlineStr">
        <is>
          <t>전</t>
        </is>
      </c>
      <c r="J5314" s="3" t="inlineStr">
        <is>
          <t>강내면</t>
        </is>
      </c>
    </row>
    <row r="5315">
      <c r="A5315" s="3" t="n">
        <v>2024</v>
      </c>
      <c r="B5315" s="4" t="n">
        <v>13000</v>
      </c>
      <c r="C5315" s="4" t="n">
        <v>783</v>
      </c>
      <c r="D5315" s="4" t="n">
        <v>236.8575</v>
      </c>
      <c r="E5315" s="5" t="n">
        <v>54.9</v>
      </c>
      <c r="F5315" s="3" t="inlineStr">
        <is>
          <t>오송읍</t>
        </is>
      </c>
      <c r="G5315" s="3" t="inlineStr">
        <is>
          <t>정중리</t>
        </is>
      </c>
      <c r="H5315" s="3" t="inlineStr">
        <is>
          <t>계획관리지역</t>
        </is>
      </c>
      <c r="I5315" s="3" t="inlineStr">
        <is>
          <t>임야</t>
        </is>
      </c>
      <c r="J5315" s="3" t="inlineStr">
        <is>
          <t>오송읍</t>
        </is>
      </c>
    </row>
    <row r="5316">
      <c r="A5316" s="3" t="n">
        <v>2024</v>
      </c>
      <c r="B5316" s="4" t="n">
        <v>1500</v>
      </c>
      <c r="C5316" s="4" t="n">
        <v>50</v>
      </c>
      <c r="D5316" s="4" t="n">
        <v>15.125</v>
      </c>
      <c r="E5316" s="5" t="n">
        <v>99.2</v>
      </c>
      <c r="F5316" s="3" t="inlineStr">
        <is>
          <t>강내면</t>
        </is>
      </c>
      <c r="G5316" s="3" t="inlineStr">
        <is>
          <t>사곡리</t>
        </is>
      </c>
      <c r="H5316" s="3" t="inlineStr">
        <is>
          <t>계획관리지역</t>
        </is>
      </c>
      <c r="I5316" s="3" t="inlineStr">
        <is>
          <t>전</t>
        </is>
      </c>
      <c r="J5316" s="3" t="inlineStr">
        <is>
          <t>강내면</t>
        </is>
      </c>
    </row>
    <row r="5317">
      <c r="A5317" s="3" t="n">
        <v>2024</v>
      </c>
      <c r="B5317" s="4" t="n">
        <v>1830</v>
      </c>
      <c r="C5317" s="4" t="n">
        <v>67</v>
      </c>
      <c r="D5317" s="4" t="n">
        <v>20.2675</v>
      </c>
      <c r="E5317" s="5" t="n">
        <v>90.3</v>
      </c>
      <c r="F5317" s="3" t="inlineStr">
        <is>
          <t>강내면</t>
        </is>
      </c>
      <c r="G5317" s="3" t="inlineStr">
        <is>
          <t>다락리</t>
        </is>
      </c>
      <c r="H5317" s="3" t="inlineStr">
        <is>
          <t>용도미지정</t>
        </is>
      </c>
      <c r="I5317" s="3" t="inlineStr">
        <is>
          <t>전</t>
        </is>
      </c>
      <c r="J5317" s="3" t="inlineStr">
        <is>
          <t>강내면</t>
        </is>
      </c>
    </row>
    <row r="5318">
      <c r="A5318" s="3" t="n">
        <v>2024</v>
      </c>
      <c r="B5318" s="4" t="n">
        <v>95596</v>
      </c>
      <c r="C5318" s="4" t="n">
        <v>4887.8</v>
      </c>
      <c r="D5318" s="4" t="n">
        <v>1478.5595</v>
      </c>
      <c r="E5318" s="5" t="n">
        <v>64.7</v>
      </c>
      <c r="F5318" s="3" t="inlineStr">
        <is>
          <t>오송읍</t>
        </is>
      </c>
      <c r="G5318" s="3" t="inlineStr">
        <is>
          <t>연제리</t>
        </is>
      </c>
      <c r="H5318" s="3" t="inlineStr">
        <is>
          <t>준공업지역</t>
        </is>
      </c>
      <c r="I5318" s="3" t="inlineStr">
        <is>
          <t>대</t>
        </is>
      </c>
      <c r="J5318" s="3" t="inlineStr">
        <is>
          <t>오송읍</t>
        </is>
      </c>
    </row>
    <row r="5319">
      <c r="A5319" s="3" t="n">
        <v>2024</v>
      </c>
      <c r="B5319" s="4" t="n">
        <v>3000</v>
      </c>
      <c r="C5319" s="4" t="n">
        <v>118</v>
      </c>
      <c r="D5319" s="4" t="n">
        <v>35.695</v>
      </c>
      <c r="E5319" s="5" t="n">
        <v>84</v>
      </c>
      <c r="F5319" s="3" t="inlineStr">
        <is>
          <t>강내면</t>
        </is>
      </c>
      <c r="G5319" s="3" t="inlineStr">
        <is>
          <t>다락리</t>
        </is>
      </c>
      <c r="H5319" s="3" t="inlineStr">
        <is>
          <t>계획관리지역</t>
        </is>
      </c>
      <c r="I5319" s="3" t="inlineStr">
        <is>
          <t>대</t>
        </is>
      </c>
      <c r="J5319" s="3" t="inlineStr">
        <is>
          <t>강내면</t>
        </is>
      </c>
    </row>
    <row r="5320">
      <c r="A5320" s="3" t="n">
        <v>2024</v>
      </c>
      <c r="B5320" s="4" t="n">
        <v>28000</v>
      </c>
      <c r="C5320" s="4" t="n">
        <v>267.5</v>
      </c>
      <c r="D5320" s="4" t="n">
        <v>80.91875</v>
      </c>
      <c r="E5320" s="5" t="n">
        <v>346</v>
      </c>
      <c r="F5320" s="3" t="inlineStr">
        <is>
          <t>오송읍</t>
        </is>
      </c>
      <c r="G5320" s="3" t="inlineStr">
        <is>
          <t>봉산리</t>
        </is>
      </c>
      <c r="H5320" s="3" t="inlineStr">
        <is>
          <t>제1종일반주거지역</t>
        </is>
      </c>
      <c r="I5320" s="3" t="inlineStr">
        <is>
          <t>대</t>
        </is>
      </c>
      <c r="J5320" s="3" t="inlineStr">
        <is>
          <t>오송읍</t>
        </is>
      </c>
    </row>
    <row r="5321">
      <c r="A5321" s="3" t="n">
        <v>2024</v>
      </c>
      <c r="B5321" s="4" t="n">
        <v>4227</v>
      </c>
      <c r="C5321" s="4" t="n">
        <v>61</v>
      </c>
      <c r="D5321" s="4" t="n">
        <v>18.4525</v>
      </c>
      <c r="E5321" s="5" t="n">
        <v>229.1</v>
      </c>
      <c r="F5321" s="3" t="inlineStr">
        <is>
          <t>오송읍</t>
        </is>
      </c>
      <c r="G5321" s="3" t="inlineStr">
        <is>
          <t>동평리</t>
        </is>
      </c>
      <c r="H5321" s="3" t="inlineStr">
        <is>
          <t>계획관리지역</t>
        </is>
      </c>
      <c r="I5321" s="3" t="inlineStr">
        <is>
          <t>대</t>
        </is>
      </c>
      <c r="J5321" s="3" t="inlineStr">
        <is>
          <t>오송읍</t>
        </is>
      </c>
    </row>
    <row r="5322">
      <c r="A5322" s="3" t="n">
        <v>2024</v>
      </c>
      <c r="B5322" s="4" t="n">
        <v>762</v>
      </c>
      <c r="C5322" s="4" t="n">
        <v>11</v>
      </c>
      <c r="D5322" s="4" t="n">
        <v>3.3275</v>
      </c>
      <c r="E5322" s="5" t="n">
        <v>229</v>
      </c>
      <c r="F5322" s="3" t="inlineStr">
        <is>
          <t>오송읍</t>
        </is>
      </c>
      <c r="G5322" s="3" t="inlineStr">
        <is>
          <t>오송리</t>
        </is>
      </c>
      <c r="H5322" s="3" t="inlineStr">
        <is>
          <t>계획관리지역</t>
        </is>
      </c>
      <c r="I5322" s="3" t="inlineStr">
        <is>
          <t>대</t>
        </is>
      </c>
      <c r="J5322" s="3" t="inlineStr">
        <is>
          <t>오송읍</t>
        </is>
      </c>
    </row>
    <row r="5323">
      <c r="A5323" s="3" t="n">
        <v>2024</v>
      </c>
      <c r="B5323" s="4" t="n">
        <v>11500</v>
      </c>
      <c r="C5323" s="4" t="n">
        <v>276.5</v>
      </c>
      <c r="D5323" s="4" t="n">
        <v>83.64125</v>
      </c>
      <c r="E5323" s="5" t="n">
        <v>137.5</v>
      </c>
      <c r="F5323" s="3" t="inlineStr">
        <is>
          <t>오송읍</t>
        </is>
      </c>
      <c r="G5323" s="3" t="inlineStr">
        <is>
          <t>봉산리</t>
        </is>
      </c>
      <c r="H5323" s="3" t="inlineStr">
        <is>
          <t>제1종일반주거지역</t>
        </is>
      </c>
      <c r="I5323" s="3" t="inlineStr">
        <is>
          <t>대</t>
        </is>
      </c>
      <c r="J5323" s="3" t="inlineStr">
        <is>
          <t>오송읍</t>
        </is>
      </c>
    </row>
    <row r="5324">
      <c r="A5324" s="3" t="n">
        <v>2024</v>
      </c>
      <c r="B5324" s="4" t="n">
        <v>127000</v>
      </c>
      <c r="C5324" s="4" t="n">
        <v>2932</v>
      </c>
      <c r="D5324" s="4" t="n">
        <v>886.9299999999999</v>
      </c>
      <c r="E5324" s="5" t="n">
        <v>143.2</v>
      </c>
      <c r="F5324" s="3" t="inlineStr">
        <is>
          <t>오송읍</t>
        </is>
      </c>
      <c r="G5324" s="3" t="inlineStr">
        <is>
          <t>궁평리</t>
        </is>
      </c>
      <c r="H5324" s="3" t="inlineStr">
        <is>
          <t>농림지역</t>
        </is>
      </c>
      <c r="I5324" s="3" t="inlineStr">
        <is>
          <t>답</t>
        </is>
      </c>
      <c r="J5324" s="3" t="inlineStr">
        <is>
          <t>오송읍</t>
        </is>
      </c>
    </row>
    <row r="5325">
      <c r="A5325" s="3" t="n">
        <v>2024</v>
      </c>
      <c r="B5325" s="4" t="n">
        <v>720</v>
      </c>
      <c r="C5325" s="4" t="n">
        <v>119</v>
      </c>
      <c r="D5325" s="4" t="n">
        <v>35.9975</v>
      </c>
      <c r="E5325" s="5" t="n">
        <v>20</v>
      </c>
      <c r="F5325" s="3" t="inlineStr">
        <is>
          <t>오송읍</t>
        </is>
      </c>
      <c r="G5325" s="3" t="inlineStr">
        <is>
          <t>쌍청리</t>
        </is>
      </c>
      <c r="H5325" s="3" t="inlineStr">
        <is>
          <t>계획관리지역</t>
        </is>
      </c>
      <c r="I5325" s="3" t="inlineStr">
        <is>
          <t>전</t>
        </is>
      </c>
      <c r="J5325" s="3" t="inlineStr">
        <is>
          <t>오송읍</t>
        </is>
      </c>
    </row>
    <row r="5326">
      <c r="A5326" s="3" t="n">
        <v>2024</v>
      </c>
      <c r="B5326" s="4" t="n">
        <v>660</v>
      </c>
      <c r="C5326" s="4" t="n">
        <v>73</v>
      </c>
      <c r="D5326" s="4" t="n">
        <v>22.0825</v>
      </c>
      <c r="E5326" s="5" t="n">
        <v>29.9</v>
      </c>
      <c r="F5326" s="3" t="inlineStr">
        <is>
          <t>오송읍</t>
        </is>
      </c>
      <c r="G5326" s="3" t="inlineStr">
        <is>
          <t>쌍청리</t>
        </is>
      </c>
      <c r="H5326" s="3" t="inlineStr">
        <is>
          <t>계획관리지역</t>
        </is>
      </c>
      <c r="I5326" s="3" t="inlineStr">
        <is>
          <t>전</t>
        </is>
      </c>
      <c r="J5326" s="3" t="inlineStr">
        <is>
          <t>오송읍</t>
        </is>
      </c>
    </row>
    <row r="5327">
      <c r="A5327" s="3" t="n">
        <v>2024</v>
      </c>
      <c r="B5327" s="4" t="n">
        <v>1100</v>
      </c>
      <c r="C5327" s="4" t="n">
        <v>38</v>
      </c>
      <c r="D5327" s="4" t="n">
        <v>11.495</v>
      </c>
      <c r="E5327" s="5" t="n">
        <v>95.7</v>
      </c>
      <c r="F5327" s="3" t="inlineStr">
        <is>
          <t>오송읍</t>
        </is>
      </c>
      <c r="G5327" s="3" t="inlineStr">
        <is>
          <t>쌍청리</t>
        </is>
      </c>
      <c r="H5327" s="3" t="inlineStr">
        <is>
          <t>계획관리지역</t>
        </is>
      </c>
      <c r="I5327" s="3" t="inlineStr">
        <is>
          <t>임야</t>
        </is>
      </c>
      <c r="J5327" s="3" t="inlineStr">
        <is>
          <t>오송읍</t>
        </is>
      </c>
    </row>
    <row r="5328">
      <c r="A5328" s="3" t="n">
        <v>2024</v>
      </c>
      <c r="B5328" s="4" t="n">
        <v>266904</v>
      </c>
      <c r="C5328" s="4" t="n">
        <v>26442</v>
      </c>
      <c r="D5328" s="4" t="n">
        <v>7998.705</v>
      </c>
      <c r="E5328" s="5" t="n">
        <v>33.4</v>
      </c>
      <c r="F5328" s="3" t="inlineStr">
        <is>
          <t>오송읍</t>
        </is>
      </c>
      <c r="G5328" s="3" t="inlineStr">
        <is>
          <t>상정리</t>
        </is>
      </c>
      <c r="H5328" s="3" t="inlineStr">
        <is>
          <t>계획관리지역</t>
        </is>
      </c>
      <c r="I5328" s="3" t="inlineStr">
        <is>
          <t>임야</t>
        </is>
      </c>
      <c r="J5328" s="3" t="inlineStr">
        <is>
          <t>오송읍</t>
        </is>
      </c>
    </row>
    <row r="5329">
      <c r="A5329" s="3" t="n">
        <v>2023</v>
      </c>
      <c r="B5329" s="4" t="n">
        <v>158</v>
      </c>
      <c r="C5329" s="4" t="n">
        <v>2.97</v>
      </c>
      <c r="D5329" s="4" t="n">
        <v>0.898425</v>
      </c>
      <c r="E5329" s="5" t="n">
        <v>175.9</v>
      </c>
      <c r="F5329" s="3" t="inlineStr">
        <is>
          <t>오송읍</t>
        </is>
      </c>
      <c r="G5329" s="3" t="inlineStr">
        <is>
          <t>쌍청리</t>
        </is>
      </c>
      <c r="H5329" s="3" t="inlineStr">
        <is>
          <t>계획관리지역</t>
        </is>
      </c>
      <c r="I5329" s="3" t="inlineStr">
        <is>
          <t>도로</t>
        </is>
      </c>
      <c r="J5329" s="3" t="inlineStr">
        <is>
          <t>오송읍</t>
        </is>
      </c>
    </row>
    <row r="5330">
      <c r="A5330" s="3" t="n">
        <v>2023</v>
      </c>
      <c r="B5330" s="4" t="n">
        <v>3900</v>
      </c>
      <c r="C5330" s="4" t="n">
        <v>179</v>
      </c>
      <c r="D5330" s="4" t="n">
        <v>54.1475</v>
      </c>
      <c r="E5330" s="5" t="n">
        <v>72</v>
      </c>
      <c r="F5330" s="3" t="inlineStr">
        <is>
          <t>오송읍</t>
        </is>
      </c>
      <c r="G5330" s="3" t="inlineStr">
        <is>
          <t>호계리</t>
        </is>
      </c>
      <c r="H5330" s="3" t="inlineStr">
        <is>
          <t>계획관리지역</t>
        </is>
      </c>
      <c r="I5330" s="3" t="inlineStr">
        <is>
          <t>제방</t>
        </is>
      </c>
      <c r="J5330" s="3" t="inlineStr">
        <is>
          <t>오송읍</t>
        </is>
      </c>
    </row>
    <row r="5331">
      <c r="A5331" s="3" t="n">
        <v>2023</v>
      </c>
      <c r="B5331" s="4" t="n">
        <v>6100</v>
      </c>
      <c r="C5331" s="4" t="n">
        <v>281</v>
      </c>
      <c r="D5331" s="4" t="n">
        <v>85.0025</v>
      </c>
      <c r="E5331" s="5" t="n">
        <v>71.8</v>
      </c>
      <c r="F5331" s="3" t="inlineStr">
        <is>
          <t>오송읍</t>
        </is>
      </c>
      <c r="G5331" s="3" t="inlineStr">
        <is>
          <t>호계리</t>
        </is>
      </c>
      <c r="H5331" s="3" t="inlineStr">
        <is>
          <t>계획관리지역</t>
        </is>
      </c>
      <c r="I5331" s="3" t="inlineStr">
        <is>
          <t>하천</t>
        </is>
      </c>
      <c r="J5331" s="3" t="inlineStr">
        <is>
          <t>오송읍</t>
        </is>
      </c>
    </row>
    <row r="5332">
      <c r="A5332" s="3" t="n">
        <v>2023</v>
      </c>
      <c r="B5332" s="4" t="n">
        <v>323000</v>
      </c>
      <c r="C5332" s="4" t="n">
        <v>1195.9</v>
      </c>
      <c r="D5332" s="4" t="n">
        <v>361.75975</v>
      </c>
      <c r="E5332" s="5" t="n">
        <v>892.9</v>
      </c>
      <c r="F5332" s="3" t="inlineStr">
        <is>
          <t>오송읍</t>
        </is>
      </c>
      <c r="G5332" s="3" t="inlineStr">
        <is>
          <t>봉산리</t>
        </is>
      </c>
      <c r="H5332" s="3" t="inlineStr">
        <is>
          <t>일반상업지역</t>
        </is>
      </c>
      <c r="I5332" s="3" t="inlineStr">
        <is>
          <t>대</t>
        </is>
      </c>
      <c r="J5332" s="3" t="inlineStr">
        <is>
          <t>오송읍</t>
        </is>
      </c>
    </row>
    <row r="5333">
      <c r="A5333" s="3" t="n">
        <v>2023</v>
      </c>
      <c r="B5333" s="4" t="n">
        <v>58617</v>
      </c>
      <c r="C5333" s="4" t="n">
        <v>2856.1</v>
      </c>
      <c r="D5333" s="4" t="n">
        <v>863.97025</v>
      </c>
      <c r="E5333" s="5" t="n">
        <v>67.8</v>
      </c>
      <c r="F5333" s="3" t="inlineStr">
        <is>
          <t>오송읍</t>
        </is>
      </c>
      <c r="G5333" s="3" t="inlineStr">
        <is>
          <t>연제리</t>
        </is>
      </c>
      <c r="H5333" s="3" t="inlineStr">
        <is>
          <t>준공업지역</t>
        </is>
      </c>
      <c r="I5333" s="3" t="inlineStr">
        <is>
          <t>대</t>
        </is>
      </c>
      <c r="J5333" s="3" t="inlineStr">
        <is>
          <t>오송읍</t>
        </is>
      </c>
    </row>
    <row r="5334">
      <c r="A5334" s="3" t="n">
        <v>2023</v>
      </c>
      <c r="B5334" s="4" t="n">
        <v>122700</v>
      </c>
      <c r="C5334" s="4" t="n">
        <v>1022.2</v>
      </c>
      <c r="D5334" s="4" t="n">
        <v>309.2155</v>
      </c>
      <c r="E5334" s="5" t="n">
        <v>396.8</v>
      </c>
      <c r="F5334" s="3" t="inlineStr">
        <is>
          <t>오송읍</t>
        </is>
      </c>
      <c r="G5334" s="3" t="inlineStr">
        <is>
          <t>봉산리</t>
        </is>
      </c>
      <c r="H5334" s="3" t="inlineStr">
        <is>
          <t>일반상업지역</t>
        </is>
      </c>
      <c r="I5334" s="3" t="inlineStr">
        <is>
          <t>주차장</t>
        </is>
      </c>
      <c r="J5334" s="3" t="inlineStr">
        <is>
          <t>오송읍</t>
        </is>
      </c>
    </row>
    <row r="5335">
      <c r="A5335" s="3" t="n">
        <v>2023</v>
      </c>
      <c r="B5335" s="4" t="n">
        <v>460</v>
      </c>
      <c r="C5335" s="4" t="n">
        <v>87</v>
      </c>
      <c r="D5335" s="4" t="n">
        <v>26.3175</v>
      </c>
      <c r="E5335" s="5" t="n">
        <v>17.5</v>
      </c>
      <c r="F5335" s="3" t="inlineStr">
        <is>
          <t>강내면</t>
        </is>
      </c>
      <c r="G5335" s="3" t="inlineStr">
        <is>
          <t>월탄리</t>
        </is>
      </c>
      <c r="H5335" s="3" t="inlineStr">
        <is>
          <t>계획관리지역</t>
        </is>
      </c>
      <c r="I5335" s="3" t="inlineStr">
        <is>
          <t>도로</t>
        </is>
      </c>
      <c r="J5335" s="3" t="inlineStr">
        <is>
          <t>강내면</t>
        </is>
      </c>
    </row>
    <row r="5336">
      <c r="A5336" s="3" t="n">
        <v>2023</v>
      </c>
      <c r="B5336" s="4" t="n">
        <v>440</v>
      </c>
      <c r="C5336" s="4" t="n">
        <v>83</v>
      </c>
      <c r="D5336" s="4" t="n">
        <v>25.1075</v>
      </c>
      <c r="E5336" s="5" t="n">
        <v>17.5</v>
      </c>
      <c r="F5336" s="3" t="inlineStr">
        <is>
          <t>강내면</t>
        </is>
      </c>
      <c r="G5336" s="3" t="inlineStr">
        <is>
          <t>월탄리</t>
        </is>
      </c>
      <c r="H5336" s="3" t="inlineStr">
        <is>
          <t>계획관리지역</t>
        </is>
      </c>
      <c r="I5336" s="3" t="inlineStr">
        <is>
          <t>도로</t>
        </is>
      </c>
      <c r="J5336" s="3" t="inlineStr">
        <is>
          <t>강내면</t>
        </is>
      </c>
    </row>
    <row r="5337">
      <c r="A5337" s="3" t="n">
        <v>2023</v>
      </c>
      <c r="B5337" s="4" t="n">
        <v>3800</v>
      </c>
      <c r="C5337" s="4" t="n">
        <v>64</v>
      </c>
      <c r="D5337" s="4" t="n">
        <v>19.36</v>
      </c>
      <c r="E5337" s="5" t="n">
        <v>196.3</v>
      </c>
      <c r="F5337" s="3" t="inlineStr">
        <is>
          <t>오송읍</t>
        </is>
      </c>
      <c r="G5337" s="3" t="inlineStr">
        <is>
          <t>오송리</t>
        </is>
      </c>
      <c r="H5337" s="3" t="inlineStr">
        <is>
          <t>계획관리지역</t>
        </is>
      </c>
      <c r="I5337" s="3" t="inlineStr">
        <is>
          <t>전</t>
        </is>
      </c>
      <c r="J5337" s="3" t="inlineStr">
        <is>
          <t>오송읍</t>
        </is>
      </c>
    </row>
    <row r="5338">
      <c r="A5338" s="3" t="n">
        <v>2026</v>
      </c>
      <c r="B5338" s="4" t="n">
        <v>59944</v>
      </c>
      <c r="C5338" s="4" t="n">
        <v>1649.9</v>
      </c>
      <c r="D5338" s="4" t="n">
        <v>499.09475</v>
      </c>
      <c r="E5338" s="5" t="n">
        <v>120.1</v>
      </c>
      <c r="F5338" s="3" t="inlineStr">
        <is>
          <t>오송읍</t>
        </is>
      </c>
      <c r="G5338" s="3" t="inlineStr">
        <is>
          <t>정중리</t>
        </is>
      </c>
      <c r="H5338" s="3" t="inlineStr">
        <is>
          <t>일반공업지역</t>
        </is>
      </c>
      <c r="I5338" s="3" t="inlineStr">
        <is>
          <t>공장용지</t>
        </is>
      </c>
      <c r="J5338" s="3" t="inlineStr">
        <is>
          <t>오송읍</t>
        </is>
      </c>
    </row>
    <row r="5339">
      <c r="A5339" s="3" t="n">
        <v>2023</v>
      </c>
      <c r="B5339" s="4" t="n">
        <v>19200</v>
      </c>
      <c r="C5339" s="4" t="n">
        <v>318</v>
      </c>
      <c r="D5339" s="4" t="n">
        <v>96.19499999999999</v>
      </c>
      <c r="E5339" s="5" t="n">
        <v>199.6</v>
      </c>
      <c r="F5339" s="3" t="inlineStr">
        <is>
          <t>오송읍</t>
        </is>
      </c>
      <c r="G5339" s="3" t="inlineStr">
        <is>
          <t>오송리</t>
        </is>
      </c>
      <c r="H5339" s="3" t="inlineStr">
        <is>
          <t>계획관리지역</t>
        </is>
      </c>
      <c r="I5339" s="3" t="inlineStr">
        <is>
          <t>전</t>
        </is>
      </c>
      <c r="J5339" s="3" t="inlineStr">
        <is>
          <t>오송읍</t>
        </is>
      </c>
    </row>
    <row r="5340">
      <c r="A5340" s="3" t="n">
        <v>2023</v>
      </c>
      <c r="B5340" s="4" t="n">
        <v>200</v>
      </c>
      <c r="C5340" s="4" t="n">
        <v>5</v>
      </c>
      <c r="D5340" s="4" t="n">
        <v>1.5125</v>
      </c>
      <c r="E5340" s="5" t="n">
        <v>132.2</v>
      </c>
      <c r="F5340" s="3" t="inlineStr">
        <is>
          <t>오송읍</t>
        </is>
      </c>
      <c r="G5340" s="3" t="inlineStr">
        <is>
          <t>오송리</t>
        </is>
      </c>
      <c r="H5340" s="3" t="inlineStr">
        <is>
          <t>계획관리지역</t>
        </is>
      </c>
      <c r="I5340" s="3" t="inlineStr">
        <is>
          <t>대</t>
        </is>
      </c>
      <c r="J5340" s="3" t="inlineStr">
        <is>
          <t>오송읍</t>
        </is>
      </c>
    </row>
    <row r="5341">
      <c r="A5341" s="3" t="n">
        <v>2023</v>
      </c>
      <c r="B5341" s="4" t="n">
        <v>60100</v>
      </c>
      <c r="C5341" s="4" t="n">
        <v>783</v>
      </c>
      <c r="D5341" s="4" t="n">
        <v>236.8575</v>
      </c>
      <c r="E5341" s="5" t="n">
        <v>253.7</v>
      </c>
      <c r="F5341" s="3" t="inlineStr">
        <is>
          <t>오송읍</t>
        </is>
      </c>
      <c r="G5341" s="3" t="inlineStr">
        <is>
          <t>오송리</t>
        </is>
      </c>
      <c r="H5341" s="3" t="inlineStr">
        <is>
          <t>계획관리지역</t>
        </is>
      </c>
      <c r="I5341" s="3" t="inlineStr">
        <is>
          <t>전</t>
        </is>
      </c>
      <c r="J5341" s="3" t="inlineStr">
        <is>
          <t>오송읍</t>
        </is>
      </c>
    </row>
    <row r="5342">
      <c r="A5342" s="3" t="n">
        <v>2023</v>
      </c>
      <c r="B5342" s="4" t="n">
        <v>10200</v>
      </c>
      <c r="C5342" s="4" t="n">
        <v>225</v>
      </c>
      <c r="D5342" s="4" t="n">
        <v>68.0625</v>
      </c>
      <c r="E5342" s="5" t="n">
        <v>149.9</v>
      </c>
      <c r="F5342" s="3" t="inlineStr">
        <is>
          <t>오송읍</t>
        </is>
      </c>
      <c r="G5342" s="3" t="inlineStr">
        <is>
          <t>동평리</t>
        </is>
      </c>
      <c r="H5342" s="3" t="inlineStr">
        <is>
          <t>계획관리지역</t>
        </is>
      </c>
      <c r="I5342" s="3" t="inlineStr">
        <is>
          <t>대</t>
        </is>
      </c>
      <c r="J5342" s="3" t="inlineStr">
        <is>
          <t>오송읍</t>
        </is>
      </c>
    </row>
    <row r="5343">
      <c r="A5343" s="3" t="n">
        <v>2023</v>
      </c>
      <c r="B5343" s="4" t="n">
        <v>9000</v>
      </c>
      <c r="C5343" s="4" t="n">
        <v>893</v>
      </c>
      <c r="D5343" s="4" t="n">
        <v>270.1325</v>
      </c>
      <c r="E5343" s="5" t="n">
        <v>33.3</v>
      </c>
      <c r="F5343" s="3" t="inlineStr">
        <is>
          <t>강내면</t>
        </is>
      </c>
      <c r="G5343" s="3" t="inlineStr">
        <is>
          <t>저산리</t>
        </is>
      </c>
      <c r="H5343" s="3" t="inlineStr">
        <is>
          <t>계획관리지역</t>
        </is>
      </c>
      <c r="I5343" s="3" t="inlineStr">
        <is>
          <t>임야</t>
        </is>
      </c>
      <c r="J5343" s="3" t="inlineStr">
        <is>
          <t>강내면</t>
        </is>
      </c>
    </row>
    <row r="5344">
      <c r="A5344" s="3" t="n">
        <v>2023</v>
      </c>
      <c r="B5344" s="4" t="n">
        <v>3000</v>
      </c>
      <c r="C5344" s="4" t="n">
        <v>308</v>
      </c>
      <c r="D5344" s="4" t="n">
        <v>93.17</v>
      </c>
      <c r="E5344" s="5" t="n">
        <v>32.2</v>
      </c>
      <c r="F5344" s="3" t="inlineStr">
        <is>
          <t>강내면</t>
        </is>
      </c>
      <c r="G5344" s="3" t="inlineStr">
        <is>
          <t>궁현리</t>
        </is>
      </c>
      <c r="H5344" s="3" t="inlineStr">
        <is>
          <t>계획관리지역</t>
        </is>
      </c>
      <c r="I5344" s="3" t="inlineStr">
        <is>
          <t>임야</t>
        </is>
      </c>
      <c r="J5344" s="3" t="inlineStr">
        <is>
          <t>강내면</t>
        </is>
      </c>
    </row>
    <row r="5345">
      <c r="A5345" s="3" t="n">
        <v>2023</v>
      </c>
      <c r="B5345" s="4" t="n">
        <v>4000</v>
      </c>
      <c r="C5345" s="4" t="n">
        <v>250</v>
      </c>
      <c r="D5345" s="4" t="n">
        <v>75.625</v>
      </c>
      <c r="E5345" s="5" t="n">
        <v>52.9</v>
      </c>
      <c r="F5345" s="3" t="inlineStr">
        <is>
          <t>강내면</t>
        </is>
      </c>
      <c r="G5345" s="3" t="inlineStr">
        <is>
          <t>다락리</t>
        </is>
      </c>
      <c r="H5345" s="3" t="inlineStr">
        <is>
          <t>자연녹지지역</t>
        </is>
      </c>
      <c r="I5345" s="3" t="inlineStr">
        <is>
          <t>전</t>
        </is>
      </c>
      <c r="J5345" s="3" t="inlineStr">
        <is>
          <t>강내면</t>
        </is>
      </c>
    </row>
    <row r="5346">
      <c r="A5346" s="3" t="n">
        <v>2023</v>
      </c>
      <c r="B5346" s="4" t="n">
        <v>240000</v>
      </c>
      <c r="C5346" s="4" t="n">
        <v>17005</v>
      </c>
      <c r="D5346" s="4" t="n">
        <v>5144.0125</v>
      </c>
      <c r="E5346" s="5" t="n">
        <v>46.7</v>
      </c>
      <c r="F5346" s="3" t="inlineStr">
        <is>
          <t>강내면</t>
        </is>
      </c>
      <c r="G5346" s="3" t="inlineStr">
        <is>
          <t>황탄리</t>
        </is>
      </c>
      <c r="H5346" s="3" t="inlineStr">
        <is>
          <t>보전관리지역</t>
        </is>
      </c>
      <c r="I5346" s="3" t="inlineStr">
        <is>
          <t>임야</t>
        </is>
      </c>
      <c r="J5346" s="3" t="inlineStr">
        <is>
          <t>강내면</t>
        </is>
      </c>
    </row>
    <row r="5347">
      <c r="A5347" s="3" t="n">
        <v>2023</v>
      </c>
      <c r="B5347" s="4" t="n">
        <v>19000</v>
      </c>
      <c r="C5347" s="4" t="n">
        <v>2083</v>
      </c>
      <c r="D5347" s="4" t="n">
        <v>630.1075</v>
      </c>
      <c r="E5347" s="5" t="n">
        <v>30.2</v>
      </c>
      <c r="F5347" s="3" t="inlineStr">
        <is>
          <t>강내면</t>
        </is>
      </c>
      <c r="G5347" s="3" t="inlineStr">
        <is>
          <t>저산리</t>
        </is>
      </c>
      <c r="H5347" s="3" t="inlineStr">
        <is>
          <t>계획관리지역</t>
        </is>
      </c>
      <c r="I5347" s="3" t="inlineStr">
        <is>
          <t>임야</t>
        </is>
      </c>
      <c r="J5347" s="3" t="inlineStr">
        <is>
          <t>강내면</t>
        </is>
      </c>
    </row>
    <row r="5348">
      <c r="A5348" s="3" t="n">
        <v>2023</v>
      </c>
      <c r="B5348" s="4" t="n">
        <v>19200</v>
      </c>
      <c r="C5348" s="4" t="n">
        <v>1322</v>
      </c>
      <c r="D5348" s="4" t="n">
        <v>399.905</v>
      </c>
      <c r="E5348" s="5" t="n">
        <v>48</v>
      </c>
      <c r="F5348" s="3" t="inlineStr">
        <is>
          <t>강내면</t>
        </is>
      </c>
      <c r="G5348" s="3" t="inlineStr">
        <is>
          <t>궁현리</t>
        </is>
      </c>
      <c r="H5348" s="3" t="inlineStr">
        <is>
          <t>농림지역</t>
        </is>
      </c>
      <c r="I5348" s="3" t="inlineStr">
        <is>
          <t>전</t>
        </is>
      </c>
      <c r="J5348" s="3" t="inlineStr">
        <is>
          <t>강내면</t>
        </is>
      </c>
    </row>
    <row r="5349">
      <c r="A5349" s="3" t="n">
        <v>2023</v>
      </c>
      <c r="B5349" s="4" t="n">
        <v>31644</v>
      </c>
      <c r="C5349" s="4" t="n">
        <v>758</v>
      </c>
      <c r="D5349" s="4" t="n">
        <v>229.295</v>
      </c>
      <c r="E5349" s="5" t="n">
        <v>138</v>
      </c>
      <c r="F5349" s="3" t="inlineStr">
        <is>
          <t>오송읍</t>
        </is>
      </c>
      <c r="G5349" s="3" t="inlineStr">
        <is>
          <t>정중리</t>
        </is>
      </c>
      <c r="H5349" s="3" t="inlineStr">
        <is>
          <t>생산관리지역</t>
        </is>
      </c>
      <c r="I5349" s="3" t="inlineStr">
        <is>
          <t>전</t>
        </is>
      </c>
      <c r="J5349" s="3" t="inlineStr">
        <is>
          <t>오송읍</t>
        </is>
      </c>
    </row>
    <row r="5350">
      <c r="A5350" s="3" t="n">
        <v>2023</v>
      </c>
      <c r="B5350" s="4" t="n">
        <v>5162</v>
      </c>
      <c r="C5350" s="4" t="n">
        <v>99</v>
      </c>
      <c r="D5350" s="4" t="n">
        <v>29.9475</v>
      </c>
      <c r="E5350" s="5" t="n">
        <v>172.4</v>
      </c>
      <c r="F5350" s="3" t="inlineStr">
        <is>
          <t>오송읍</t>
        </is>
      </c>
      <c r="G5350" s="3" t="inlineStr">
        <is>
          <t>정중리</t>
        </is>
      </c>
      <c r="H5350" s="3" t="inlineStr">
        <is>
          <t>생산관리지역</t>
        </is>
      </c>
      <c r="I5350" s="3" t="inlineStr">
        <is>
          <t>대</t>
        </is>
      </c>
      <c r="J5350" s="3" t="inlineStr">
        <is>
          <t>오송읍</t>
        </is>
      </c>
    </row>
    <row r="5351">
      <c r="A5351" s="3" t="n">
        <v>2023</v>
      </c>
      <c r="B5351" s="4" t="n">
        <v>3442</v>
      </c>
      <c r="C5351" s="4" t="n">
        <v>66</v>
      </c>
      <c r="D5351" s="4" t="n">
        <v>19.965</v>
      </c>
      <c r="E5351" s="5" t="n">
        <v>172.4</v>
      </c>
      <c r="F5351" s="3" t="inlineStr">
        <is>
          <t>오송읍</t>
        </is>
      </c>
      <c r="G5351" s="3" t="inlineStr">
        <is>
          <t>정중리</t>
        </is>
      </c>
      <c r="H5351" s="3" t="inlineStr">
        <is>
          <t>생산관리지역</t>
        </is>
      </c>
      <c r="I5351" s="3" t="inlineStr">
        <is>
          <t>대</t>
        </is>
      </c>
      <c r="J5351" s="3" t="inlineStr">
        <is>
          <t>오송읍</t>
        </is>
      </c>
    </row>
    <row r="5352">
      <c r="A5352" s="3" t="n">
        <v>2025</v>
      </c>
      <c r="B5352" s="4" t="n">
        <v>8220</v>
      </c>
      <c r="C5352" s="4" t="n">
        <v>143</v>
      </c>
      <c r="D5352" s="4" t="n">
        <v>43.2575</v>
      </c>
      <c r="E5352" s="5" t="n">
        <v>190</v>
      </c>
      <c r="F5352" s="3" t="inlineStr">
        <is>
          <t>오송읍</t>
        </is>
      </c>
      <c r="G5352" s="3" t="inlineStr">
        <is>
          <t>궁평리</t>
        </is>
      </c>
      <c r="H5352" s="3" t="inlineStr">
        <is>
          <t>농림지역</t>
        </is>
      </c>
      <c r="I5352" s="3" t="inlineStr">
        <is>
          <t>답</t>
        </is>
      </c>
      <c r="J5352" s="3" t="inlineStr">
        <is>
          <t>오송읍</t>
        </is>
      </c>
    </row>
    <row r="5353">
      <c r="A5353" s="3" t="n">
        <v>2025</v>
      </c>
      <c r="B5353" s="4" t="n">
        <v>4140</v>
      </c>
      <c r="C5353" s="4" t="n">
        <v>72</v>
      </c>
      <c r="D5353" s="4" t="n">
        <v>21.78</v>
      </c>
      <c r="E5353" s="5" t="n">
        <v>190.1</v>
      </c>
      <c r="F5353" s="3" t="inlineStr">
        <is>
          <t>오송읍</t>
        </is>
      </c>
      <c r="G5353" s="3" t="inlineStr">
        <is>
          <t>궁평리</t>
        </is>
      </c>
      <c r="H5353" s="3" t="inlineStr">
        <is>
          <t>농림지역</t>
        </is>
      </c>
      <c r="I5353" s="3" t="inlineStr">
        <is>
          <t>답</t>
        </is>
      </c>
      <c r="J5353" s="3" t="inlineStr">
        <is>
          <t>오송읍</t>
        </is>
      </c>
    </row>
    <row r="5354">
      <c r="A5354" s="3" t="n">
        <v>2025</v>
      </c>
      <c r="B5354" s="4" t="n">
        <v>30500</v>
      </c>
      <c r="C5354" s="4" t="n">
        <v>273.4</v>
      </c>
      <c r="D5354" s="4" t="n">
        <v>82.70349999999999</v>
      </c>
      <c r="E5354" s="5" t="n">
        <v>368.8</v>
      </c>
      <c r="F5354" s="3" t="inlineStr">
        <is>
          <t>오송읍</t>
        </is>
      </c>
      <c r="G5354" s="3" t="inlineStr">
        <is>
          <t>봉산리</t>
        </is>
      </c>
      <c r="H5354" s="3" t="inlineStr">
        <is>
          <t>제1종일반주거지역</t>
        </is>
      </c>
      <c r="I5354" s="3" t="inlineStr">
        <is>
          <t>대</t>
        </is>
      </c>
      <c r="J5354" s="3" t="inlineStr">
        <is>
          <t>오송읍</t>
        </is>
      </c>
    </row>
    <row r="5355">
      <c r="A5355" s="3" t="n">
        <v>2025</v>
      </c>
      <c r="B5355" s="4" t="n">
        <v>500</v>
      </c>
      <c r="C5355" s="4" t="n">
        <v>134</v>
      </c>
      <c r="D5355" s="4" t="n">
        <v>40.535</v>
      </c>
      <c r="E5355" s="5" t="n">
        <v>12.3</v>
      </c>
      <c r="F5355" s="3" t="inlineStr">
        <is>
          <t>강내면</t>
        </is>
      </c>
      <c r="G5355" s="3" t="inlineStr">
        <is>
          <t>사인리</t>
        </is>
      </c>
      <c r="H5355" s="3" t="inlineStr">
        <is>
          <t>자연녹지지역</t>
        </is>
      </c>
      <c r="I5355" s="3" t="inlineStr">
        <is>
          <t>대</t>
        </is>
      </c>
      <c r="J5355" s="3" t="inlineStr">
        <is>
          <t>강내면</t>
        </is>
      </c>
    </row>
    <row r="5356">
      <c r="A5356" s="3" t="n">
        <v>2025</v>
      </c>
      <c r="B5356" s="4" t="n">
        <v>663</v>
      </c>
      <c r="C5356" s="4" t="n">
        <v>16</v>
      </c>
      <c r="D5356" s="4" t="n">
        <v>4.84</v>
      </c>
      <c r="E5356" s="5" t="n">
        <v>137</v>
      </c>
      <c r="F5356" s="3" t="inlineStr">
        <is>
          <t>강내면</t>
        </is>
      </c>
      <c r="G5356" s="3" t="inlineStr">
        <is>
          <t>다락리</t>
        </is>
      </c>
      <c r="H5356" s="3" t="inlineStr">
        <is>
          <t>계획관리지역</t>
        </is>
      </c>
      <c r="I5356" s="3" t="inlineStr">
        <is>
          <t>대</t>
        </is>
      </c>
      <c r="J5356" s="3" t="inlineStr">
        <is>
          <t>강내면</t>
        </is>
      </c>
    </row>
    <row r="5357">
      <c r="A5357" s="3" t="n">
        <v>2025</v>
      </c>
      <c r="B5357" s="4" t="n">
        <v>8000</v>
      </c>
      <c r="C5357" s="4" t="n">
        <v>585</v>
      </c>
      <c r="D5357" s="4" t="n">
        <v>176.9625</v>
      </c>
      <c r="E5357" s="5" t="n">
        <v>45.2</v>
      </c>
      <c r="F5357" s="3" t="inlineStr">
        <is>
          <t>오송읍</t>
        </is>
      </c>
      <c r="G5357" s="3" t="inlineStr">
        <is>
          <t>쌍청리</t>
        </is>
      </c>
      <c r="H5357" s="3" t="inlineStr">
        <is>
          <t>계획관리지역</t>
        </is>
      </c>
      <c r="I5357" s="3" t="inlineStr">
        <is>
          <t>대</t>
        </is>
      </c>
      <c r="J5357" s="3" t="inlineStr">
        <is>
          <t>오송읍</t>
        </is>
      </c>
    </row>
    <row r="5358">
      <c r="A5358" s="3" t="n">
        <v>2025</v>
      </c>
      <c r="B5358" s="4" t="n">
        <v>1500</v>
      </c>
      <c r="C5358" s="4" t="n">
        <v>96</v>
      </c>
      <c r="D5358" s="4" t="n">
        <v>29.04</v>
      </c>
      <c r="E5358" s="5" t="n">
        <v>51.7</v>
      </c>
      <c r="F5358" s="3" t="inlineStr">
        <is>
          <t>오송읍</t>
        </is>
      </c>
      <c r="G5358" s="3" t="inlineStr">
        <is>
          <t>쌍청리</t>
        </is>
      </c>
      <c r="H5358" s="3" t="inlineStr">
        <is>
          <t>계획관리지역</t>
        </is>
      </c>
      <c r="I5358" s="3" t="inlineStr">
        <is>
          <t>전</t>
        </is>
      </c>
      <c r="J5358" s="3" t="inlineStr">
        <is>
          <t>오송읍</t>
        </is>
      </c>
    </row>
    <row r="5359">
      <c r="A5359" s="3" t="n">
        <v>2025</v>
      </c>
      <c r="B5359" s="4" t="n">
        <v>1000</v>
      </c>
      <c r="C5359" s="4" t="n">
        <v>149</v>
      </c>
      <c r="D5359" s="4" t="n">
        <v>45.0725</v>
      </c>
      <c r="E5359" s="5" t="n">
        <v>22.2</v>
      </c>
      <c r="F5359" s="3" t="inlineStr">
        <is>
          <t>강내면</t>
        </is>
      </c>
      <c r="G5359" s="3" t="inlineStr">
        <is>
          <t>학천리</t>
        </is>
      </c>
      <c r="H5359" s="3" t="inlineStr">
        <is>
          <t>생산녹지지역</t>
        </is>
      </c>
      <c r="I5359" s="3" t="inlineStr">
        <is>
          <t>답</t>
        </is>
      </c>
      <c r="J5359" s="3" t="inlineStr">
        <is>
          <t>강내면</t>
        </is>
      </c>
    </row>
    <row r="5360">
      <c r="A5360" s="3" t="n">
        <v>2025</v>
      </c>
      <c r="B5360" s="4" t="n">
        <v>5000</v>
      </c>
      <c r="C5360" s="4" t="n">
        <v>814</v>
      </c>
      <c r="D5360" s="4" t="n">
        <v>246.235</v>
      </c>
      <c r="E5360" s="5" t="n">
        <v>20.3</v>
      </c>
      <c r="F5360" s="3" t="inlineStr">
        <is>
          <t>오송읍</t>
        </is>
      </c>
      <c r="G5360" s="3" t="inlineStr">
        <is>
          <t>쌍청리</t>
        </is>
      </c>
      <c r="H5360" s="3" t="inlineStr">
        <is>
          <t>농림지역</t>
        </is>
      </c>
      <c r="I5360" s="3" t="inlineStr">
        <is>
          <t>답</t>
        </is>
      </c>
      <c r="J5360" s="3" t="inlineStr">
        <is>
          <t>오송읍</t>
        </is>
      </c>
    </row>
    <row r="5361">
      <c r="A5361" s="3" t="n">
        <v>2025</v>
      </c>
      <c r="B5361" s="4" t="n">
        <v>15000</v>
      </c>
      <c r="C5361" s="4" t="n">
        <v>1792</v>
      </c>
      <c r="D5361" s="4" t="n">
        <v>542.0799999999999</v>
      </c>
      <c r="E5361" s="5" t="n">
        <v>27.7</v>
      </c>
      <c r="F5361" s="3" t="inlineStr">
        <is>
          <t>오송읍</t>
        </is>
      </c>
      <c r="G5361" s="3" t="inlineStr">
        <is>
          <t>상정리</t>
        </is>
      </c>
      <c r="H5361" s="3" t="inlineStr">
        <is>
          <t>생산관리지역</t>
        </is>
      </c>
      <c r="I5361" s="3" t="inlineStr">
        <is>
          <t>답</t>
        </is>
      </c>
      <c r="J5361" s="3" t="inlineStr">
        <is>
          <t>오송읍</t>
        </is>
      </c>
    </row>
    <row r="5362">
      <c r="A5362" s="3" t="n">
        <v>2025</v>
      </c>
      <c r="B5362" s="4" t="n">
        <v>18000</v>
      </c>
      <c r="C5362" s="4" t="n">
        <v>1983</v>
      </c>
      <c r="D5362" s="4" t="n">
        <v>599.8575</v>
      </c>
      <c r="E5362" s="5" t="n">
        <v>30</v>
      </c>
      <c r="F5362" s="3" t="inlineStr">
        <is>
          <t>강내면</t>
        </is>
      </c>
      <c r="G5362" s="3" t="inlineStr">
        <is>
          <t>학천리</t>
        </is>
      </c>
      <c r="H5362" s="3" t="inlineStr">
        <is>
          <t>보전녹지지역</t>
        </is>
      </c>
      <c r="I5362" s="3" t="inlineStr">
        <is>
          <t>임야</t>
        </is>
      </c>
      <c r="J5362" s="3" t="inlineStr">
        <is>
          <t>강내면</t>
        </is>
      </c>
    </row>
    <row r="5363">
      <c r="A5363" s="3" t="n">
        <v>2024</v>
      </c>
      <c r="B5363" s="4" t="n">
        <v>26169</v>
      </c>
      <c r="C5363" s="4" t="n">
        <v>13650</v>
      </c>
      <c r="D5363" s="4" t="n">
        <v>4129.125</v>
      </c>
      <c r="E5363" s="5" t="n">
        <v>6.3</v>
      </c>
      <c r="F5363" s="3" t="inlineStr">
        <is>
          <t>오송읍</t>
        </is>
      </c>
      <c r="G5363" s="3" t="inlineStr">
        <is>
          <t>공북리</t>
        </is>
      </c>
      <c r="H5363" s="3" t="inlineStr">
        <is>
          <t>보전관리지역</t>
        </is>
      </c>
      <c r="I5363" s="3" t="inlineStr">
        <is>
          <t>임야</t>
        </is>
      </c>
      <c r="J5363" s="3" t="inlineStr">
        <is>
          <t>오송읍</t>
        </is>
      </c>
    </row>
    <row r="5364">
      <c r="A5364" s="3" t="n">
        <v>2024</v>
      </c>
      <c r="B5364" s="4" t="n">
        <v>143548</v>
      </c>
      <c r="C5364" s="4" t="n">
        <v>56882</v>
      </c>
      <c r="D5364" s="4" t="n">
        <v>17206.805</v>
      </c>
      <c r="E5364" s="5" t="n">
        <v>8.300000000000001</v>
      </c>
      <c r="F5364" s="3" t="inlineStr">
        <is>
          <t>오송읍</t>
        </is>
      </c>
      <c r="G5364" s="3" t="inlineStr">
        <is>
          <t>공북리</t>
        </is>
      </c>
      <c r="H5364" s="3" t="inlineStr">
        <is>
          <t>보전관리지역</t>
        </is>
      </c>
      <c r="I5364" s="3" t="inlineStr">
        <is>
          <t>임야</t>
        </is>
      </c>
      <c r="J5364" s="3" t="inlineStr">
        <is>
          <t>오송읍</t>
        </is>
      </c>
    </row>
    <row r="5365">
      <c r="A5365" s="3" t="n">
        <v>2024</v>
      </c>
      <c r="B5365" s="4" t="n">
        <v>11830</v>
      </c>
      <c r="C5365" s="4" t="n">
        <v>7619</v>
      </c>
      <c r="D5365" s="4" t="n">
        <v>2304.7475</v>
      </c>
      <c r="E5365" s="5" t="n">
        <v>5.1</v>
      </c>
      <c r="F5365" s="3" t="inlineStr">
        <is>
          <t>오송읍</t>
        </is>
      </c>
      <c r="G5365" s="3" t="inlineStr">
        <is>
          <t>공북리</t>
        </is>
      </c>
      <c r="H5365" s="3" t="inlineStr">
        <is>
          <t>계획관리지역</t>
        </is>
      </c>
      <c r="I5365" s="3" t="inlineStr">
        <is>
          <t>임야</t>
        </is>
      </c>
      <c r="J5365" s="3" t="inlineStr">
        <is>
          <t>오송읍</t>
        </is>
      </c>
    </row>
    <row r="5366">
      <c r="A5366" s="3" t="n">
        <v>2024</v>
      </c>
      <c r="B5366" s="4" t="n">
        <v>2842</v>
      </c>
      <c r="C5366" s="4" t="n">
        <v>479</v>
      </c>
      <c r="D5366" s="4" t="n">
        <v>144.8975</v>
      </c>
      <c r="E5366" s="5" t="n">
        <v>19.6</v>
      </c>
      <c r="F5366" s="3" t="inlineStr">
        <is>
          <t>오송읍</t>
        </is>
      </c>
      <c r="G5366" s="3" t="inlineStr">
        <is>
          <t>공북리</t>
        </is>
      </c>
      <c r="H5366" s="3" t="inlineStr">
        <is>
          <t>농림지역</t>
        </is>
      </c>
      <c r="I5366" s="3" t="inlineStr">
        <is>
          <t>임야</t>
        </is>
      </c>
      <c r="J5366" s="3" t="inlineStr">
        <is>
          <t>오송읍</t>
        </is>
      </c>
    </row>
    <row r="5367">
      <c r="A5367" s="3" t="n">
        <v>2024</v>
      </c>
      <c r="B5367" s="4" t="n">
        <v>5790</v>
      </c>
      <c r="C5367" s="4" t="n">
        <v>674</v>
      </c>
      <c r="D5367" s="4" t="n">
        <v>203.885</v>
      </c>
      <c r="E5367" s="5" t="n">
        <v>28.4</v>
      </c>
      <c r="F5367" s="3" t="inlineStr">
        <is>
          <t>오송읍</t>
        </is>
      </c>
      <c r="G5367" s="3" t="inlineStr">
        <is>
          <t>공북리</t>
        </is>
      </c>
      <c r="H5367" s="3" t="inlineStr">
        <is>
          <t>계획관리지역</t>
        </is>
      </c>
      <c r="I5367" s="3" t="inlineStr">
        <is>
          <t>임야</t>
        </is>
      </c>
      <c r="J5367" s="3" t="inlineStr">
        <is>
          <t>오송읍</t>
        </is>
      </c>
    </row>
    <row r="5368">
      <c r="A5368" s="3" t="n">
        <v>2024</v>
      </c>
      <c r="B5368" s="4" t="n">
        <v>85201</v>
      </c>
      <c r="C5368" s="4" t="n">
        <v>5629</v>
      </c>
      <c r="D5368" s="4" t="n">
        <v>1702.7725</v>
      </c>
      <c r="E5368" s="5" t="n">
        <v>50</v>
      </c>
      <c r="F5368" s="3" t="inlineStr">
        <is>
          <t>오송읍</t>
        </is>
      </c>
      <c r="G5368" s="3" t="inlineStr">
        <is>
          <t>상정리</t>
        </is>
      </c>
      <c r="H5368" s="3" t="inlineStr">
        <is>
          <t>보전관리지역</t>
        </is>
      </c>
      <c r="I5368" s="3" t="inlineStr">
        <is>
          <t>임야</t>
        </is>
      </c>
      <c r="J5368" s="3" t="inlineStr">
        <is>
          <t>오송읍</t>
        </is>
      </c>
    </row>
    <row r="5369">
      <c r="A5369" s="3" t="n">
        <v>2024</v>
      </c>
      <c r="B5369" s="4" t="n">
        <v>178260</v>
      </c>
      <c r="C5369" s="4" t="n">
        <v>5052</v>
      </c>
      <c r="D5369" s="4" t="n">
        <v>1528.23</v>
      </c>
      <c r="E5369" s="5" t="n">
        <v>116.6</v>
      </c>
      <c r="F5369" s="3" t="inlineStr">
        <is>
          <t>오송읍</t>
        </is>
      </c>
      <c r="G5369" s="3" t="inlineStr">
        <is>
          <t>상정리</t>
        </is>
      </c>
      <c r="H5369" s="3" t="inlineStr">
        <is>
          <t>보전관리지역</t>
        </is>
      </c>
      <c r="I5369" s="3" t="inlineStr">
        <is>
          <t>임야</t>
        </is>
      </c>
      <c r="J5369" s="3" t="inlineStr">
        <is>
          <t>오송읍</t>
        </is>
      </c>
    </row>
    <row r="5370">
      <c r="A5370" s="3" t="n">
        <v>2024</v>
      </c>
      <c r="B5370" s="4" t="n">
        <v>113596</v>
      </c>
      <c r="C5370" s="4" t="n">
        <v>51308</v>
      </c>
      <c r="D5370" s="4" t="n">
        <v>15520.67</v>
      </c>
      <c r="E5370" s="5" t="n">
        <v>7.3</v>
      </c>
      <c r="F5370" s="3" t="inlineStr">
        <is>
          <t>오송읍</t>
        </is>
      </c>
      <c r="G5370" s="3" t="inlineStr">
        <is>
          <t>상정리</t>
        </is>
      </c>
      <c r="H5370" s="3" t="inlineStr">
        <is>
          <t>계획관리지역</t>
        </is>
      </c>
      <c r="I5370" s="3" t="inlineStr">
        <is>
          <t>임야</t>
        </is>
      </c>
      <c r="J5370" s="3" t="inlineStr">
        <is>
          <t>오송읍</t>
        </is>
      </c>
    </row>
    <row r="5371">
      <c r="A5371" s="3" t="n">
        <v>2024</v>
      </c>
      <c r="B5371" s="4" t="n">
        <v>62947</v>
      </c>
      <c r="C5371" s="4" t="n">
        <v>8726</v>
      </c>
      <c r="D5371" s="4" t="n">
        <v>2639.615</v>
      </c>
      <c r="E5371" s="5" t="n">
        <v>23.8</v>
      </c>
      <c r="F5371" s="3" t="inlineStr">
        <is>
          <t>오송읍</t>
        </is>
      </c>
      <c r="G5371" s="3" t="inlineStr">
        <is>
          <t>공북리</t>
        </is>
      </c>
      <c r="H5371" s="3" t="inlineStr">
        <is>
          <t>계획관리지역</t>
        </is>
      </c>
      <c r="I5371" s="3" t="inlineStr">
        <is>
          <t>임야</t>
        </is>
      </c>
      <c r="J5371" s="3" t="inlineStr">
        <is>
          <t>오송읍</t>
        </is>
      </c>
    </row>
    <row r="5372">
      <c r="A5372" s="3" t="n">
        <v>2024</v>
      </c>
      <c r="B5372" s="4" t="n">
        <v>25200</v>
      </c>
      <c r="C5372" s="4" t="n">
        <v>1440</v>
      </c>
      <c r="D5372" s="4" t="n">
        <v>435.6</v>
      </c>
      <c r="E5372" s="5" t="n">
        <v>57.9</v>
      </c>
      <c r="F5372" s="3" t="inlineStr">
        <is>
          <t>강내면</t>
        </is>
      </c>
      <c r="G5372" s="3" t="inlineStr">
        <is>
          <t>사곡리</t>
        </is>
      </c>
      <c r="H5372" s="3" t="inlineStr">
        <is>
          <t>보전관리지역</t>
        </is>
      </c>
      <c r="I5372" s="3" t="inlineStr">
        <is>
          <t>전</t>
        </is>
      </c>
      <c r="J5372" s="3" t="inlineStr">
        <is>
          <t>강내면</t>
        </is>
      </c>
    </row>
    <row r="5373">
      <c r="A5373" s="3" t="n">
        <v>2024</v>
      </c>
      <c r="B5373" s="4" t="n">
        <v>5000</v>
      </c>
      <c r="C5373" s="4" t="n">
        <v>570</v>
      </c>
      <c r="D5373" s="4" t="n">
        <v>172.425</v>
      </c>
      <c r="E5373" s="5" t="n">
        <v>29</v>
      </c>
      <c r="F5373" s="3" t="inlineStr">
        <is>
          <t>강내면</t>
        </is>
      </c>
      <c r="G5373" s="3" t="inlineStr">
        <is>
          <t>사곡리</t>
        </is>
      </c>
      <c r="H5373" s="3" t="inlineStr">
        <is>
          <t>농림지역</t>
        </is>
      </c>
      <c r="I5373" s="3" t="inlineStr">
        <is>
          <t>전</t>
        </is>
      </c>
      <c r="J5373" s="3" t="inlineStr">
        <is>
          <t>강내면</t>
        </is>
      </c>
    </row>
    <row r="5374">
      <c r="A5374" s="3" t="n">
        <v>2024</v>
      </c>
      <c r="B5374" s="4" t="n">
        <v>9550</v>
      </c>
      <c r="C5374" s="4" t="n">
        <v>330</v>
      </c>
      <c r="D5374" s="4" t="n">
        <v>99.825</v>
      </c>
      <c r="E5374" s="5" t="n">
        <v>95.7</v>
      </c>
      <c r="F5374" s="3" t="inlineStr">
        <is>
          <t>강내면</t>
        </is>
      </c>
      <c r="G5374" s="3" t="inlineStr">
        <is>
          <t>사곡리</t>
        </is>
      </c>
      <c r="H5374" s="3" t="inlineStr">
        <is>
          <t>보전관리지역</t>
        </is>
      </c>
      <c r="I5374" s="3" t="inlineStr">
        <is>
          <t>전</t>
        </is>
      </c>
      <c r="J5374" s="3" t="inlineStr">
        <is>
          <t>강내면</t>
        </is>
      </c>
    </row>
    <row r="5375">
      <c r="A5375" s="3" t="n">
        <v>2024</v>
      </c>
      <c r="B5375" s="4" t="n">
        <v>4000</v>
      </c>
      <c r="C5375" s="4" t="n">
        <v>66</v>
      </c>
      <c r="D5375" s="4" t="n">
        <v>19.965</v>
      </c>
      <c r="E5375" s="5" t="n">
        <v>200.4</v>
      </c>
      <c r="F5375" s="3" t="inlineStr">
        <is>
          <t>오송읍</t>
        </is>
      </c>
      <c r="G5375" s="3" t="inlineStr">
        <is>
          <t>연제리</t>
        </is>
      </c>
      <c r="H5375" s="3" t="inlineStr">
        <is>
          <t>계획관리지역</t>
        </is>
      </c>
      <c r="I5375" s="3" t="inlineStr">
        <is>
          <t>대</t>
        </is>
      </c>
      <c r="J5375" s="3" t="inlineStr">
        <is>
          <t>오송읍</t>
        </is>
      </c>
    </row>
    <row r="5376">
      <c r="A5376" s="3" t="n">
        <v>2024</v>
      </c>
      <c r="B5376" s="4" t="n">
        <v>5400</v>
      </c>
      <c r="C5376" s="4" t="n">
        <v>150</v>
      </c>
      <c r="D5376" s="4" t="n">
        <v>45.375</v>
      </c>
      <c r="E5376" s="5" t="n">
        <v>119</v>
      </c>
      <c r="F5376" s="3" t="inlineStr">
        <is>
          <t>강내면</t>
        </is>
      </c>
      <c r="G5376" s="3" t="inlineStr">
        <is>
          <t>산단리</t>
        </is>
      </c>
      <c r="H5376" s="3" t="inlineStr">
        <is>
          <t>용도미지정</t>
        </is>
      </c>
      <c r="I5376" s="3" t="inlineStr">
        <is>
          <t>대</t>
        </is>
      </c>
      <c r="J5376" s="3" t="inlineStr">
        <is>
          <t>강내면</t>
        </is>
      </c>
    </row>
    <row r="5377">
      <c r="A5377" s="3" t="n">
        <v>2024</v>
      </c>
      <c r="B5377" s="4" t="n">
        <v>5000</v>
      </c>
      <c r="C5377" s="4" t="n">
        <v>200</v>
      </c>
      <c r="D5377" s="4" t="n">
        <v>60.5</v>
      </c>
      <c r="E5377" s="5" t="n">
        <v>82.59999999999999</v>
      </c>
      <c r="F5377" s="3" t="inlineStr">
        <is>
          <t>강내면</t>
        </is>
      </c>
      <c r="G5377" s="3" t="inlineStr">
        <is>
          <t>학천리</t>
        </is>
      </c>
      <c r="H5377" s="3" t="inlineStr">
        <is>
          <t>자연녹지지역</t>
        </is>
      </c>
      <c r="I5377" s="3" t="inlineStr">
        <is>
          <t>임야</t>
        </is>
      </c>
      <c r="J5377" s="3" t="inlineStr">
        <is>
          <t>강내면</t>
        </is>
      </c>
    </row>
    <row r="5378">
      <c r="A5378" s="3" t="n">
        <v>2024</v>
      </c>
      <c r="B5378" s="4" t="n">
        <v>18000</v>
      </c>
      <c r="C5378" s="4" t="n">
        <v>192</v>
      </c>
      <c r="D5378" s="4" t="n">
        <v>58.08</v>
      </c>
      <c r="E5378" s="5" t="n">
        <v>309.9</v>
      </c>
      <c r="F5378" s="3" t="inlineStr">
        <is>
          <t>오송읍</t>
        </is>
      </c>
      <c r="G5378" s="3" t="inlineStr">
        <is>
          <t>오송리</t>
        </is>
      </c>
      <c r="H5378" s="3" t="inlineStr">
        <is>
          <t>농림지역</t>
        </is>
      </c>
      <c r="I5378" s="3" t="inlineStr">
        <is>
          <t>대</t>
        </is>
      </c>
      <c r="J5378" s="3" t="inlineStr">
        <is>
          <t>오송읍</t>
        </is>
      </c>
    </row>
    <row r="5379">
      <c r="A5379" s="3" t="n">
        <v>2024</v>
      </c>
      <c r="B5379" s="4" t="n">
        <v>62500</v>
      </c>
      <c r="C5379" s="4" t="n">
        <v>3059</v>
      </c>
      <c r="D5379" s="4" t="n">
        <v>925.3475</v>
      </c>
      <c r="E5379" s="5" t="n">
        <v>67.5</v>
      </c>
      <c r="F5379" s="3" t="inlineStr">
        <is>
          <t>강내면</t>
        </is>
      </c>
      <c r="G5379" s="3" t="inlineStr">
        <is>
          <t>저산리</t>
        </is>
      </c>
      <c r="H5379" s="3" t="inlineStr">
        <is>
          <t>계획관리지역</t>
        </is>
      </c>
      <c r="I5379" s="3" t="inlineStr">
        <is>
          <t>임야</t>
        </is>
      </c>
      <c r="J5379" s="3" t="inlineStr">
        <is>
          <t>강내면</t>
        </is>
      </c>
    </row>
    <row r="5380">
      <c r="A5380" s="3" t="n">
        <v>2024</v>
      </c>
      <c r="B5380" s="4" t="n">
        <v>125000</v>
      </c>
      <c r="C5380" s="4" t="n">
        <v>4172</v>
      </c>
      <c r="D5380" s="4" t="n">
        <v>1262.03</v>
      </c>
      <c r="E5380" s="5" t="n">
        <v>99</v>
      </c>
      <c r="F5380" s="3" t="inlineStr">
        <is>
          <t>강내면</t>
        </is>
      </c>
      <c r="G5380" s="3" t="inlineStr">
        <is>
          <t>산단리</t>
        </is>
      </c>
      <c r="H5380" s="3" t="inlineStr">
        <is>
          <t>계획관리지역</t>
        </is>
      </c>
      <c r="I5380" s="3" t="inlineStr">
        <is>
          <t>전</t>
        </is>
      </c>
      <c r="J5380" s="3" t="inlineStr">
        <is>
          <t>강내면</t>
        </is>
      </c>
    </row>
    <row r="5381">
      <c r="A5381" s="3" t="n">
        <v>2024</v>
      </c>
      <c r="B5381" s="4" t="n">
        <v>350</v>
      </c>
      <c r="C5381" s="4" t="n">
        <v>33</v>
      </c>
      <c r="D5381" s="4" t="n">
        <v>9.9825</v>
      </c>
      <c r="E5381" s="5" t="n">
        <v>35.1</v>
      </c>
      <c r="F5381" s="3" t="inlineStr">
        <is>
          <t>오송읍</t>
        </is>
      </c>
      <c r="G5381" s="3" t="inlineStr">
        <is>
          <t>정중리</t>
        </is>
      </c>
      <c r="H5381" s="3" t="inlineStr">
        <is>
          <t>계획관리지역</t>
        </is>
      </c>
      <c r="I5381" s="3" t="inlineStr">
        <is>
          <t>구거</t>
        </is>
      </c>
      <c r="J5381" s="3" t="inlineStr">
        <is>
          <t>오송읍</t>
        </is>
      </c>
    </row>
    <row r="5382">
      <c r="A5382" s="3" t="n">
        <v>2023</v>
      </c>
      <c r="B5382" s="4" t="n">
        <v>8640</v>
      </c>
      <c r="C5382" s="4" t="n">
        <v>714</v>
      </c>
      <c r="D5382" s="4" t="n">
        <v>215.985</v>
      </c>
      <c r="E5382" s="5" t="n">
        <v>40</v>
      </c>
      <c r="F5382" s="3" t="inlineStr">
        <is>
          <t>강내면</t>
        </is>
      </c>
      <c r="G5382" s="3" t="inlineStr">
        <is>
          <t>월곡리</t>
        </is>
      </c>
      <c r="H5382" s="3" t="inlineStr">
        <is>
          <t>자연녹지지역</t>
        </is>
      </c>
      <c r="I5382" s="3" t="inlineStr">
        <is>
          <t>전</t>
        </is>
      </c>
      <c r="J5382" s="3" t="inlineStr">
        <is>
          <t>강내면</t>
        </is>
      </c>
    </row>
    <row r="5383">
      <c r="A5383" s="3" t="n">
        <v>2023</v>
      </c>
      <c r="B5383" s="4" t="n">
        <v>3500</v>
      </c>
      <c r="C5383" s="4" t="n">
        <v>374</v>
      </c>
      <c r="D5383" s="4" t="n">
        <v>113.135</v>
      </c>
      <c r="E5383" s="5" t="n">
        <v>30.9</v>
      </c>
      <c r="F5383" s="3" t="inlineStr">
        <is>
          <t>강내면</t>
        </is>
      </c>
      <c r="G5383" s="3" t="inlineStr">
        <is>
          <t>다락리</t>
        </is>
      </c>
      <c r="H5383" s="3" t="inlineStr">
        <is>
          <t>계획관리지역</t>
        </is>
      </c>
      <c r="I5383" s="3" t="inlineStr">
        <is>
          <t>전</t>
        </is>
      </c>
      <c r="J5383" s="3" t="inlineStr">
        <is>
          <t>강내면</t>
        </is>
      </c>
    </row>
    <row r="5384">
      <c r="A5384" s="3" t="n">
        <v>2023</v>
      </c>
      <c r="B5384" s="4" t="n">
        <v>12056</v>
      </c>
      <c r="C5384" s="4" t="n">
        <v>848</v>
      </c>
      <c r="D5384" s="4" t="n">
        <v>256.52</v>
      </c>
      <c r="E5384" s="5" t="n">
        <v>47</v>
      </c>
      <c r="F5384" s="3" t="inlineStr">
        <is>
          <t>오송읍</t>
        </is>
      </c>
      <c r="G5384" s="3" t="inlineStr">
        <is>
          <t>정중리</t>
        </is>
      </c>
      <c r="H5384" s="3" t="inlineStr">
        <is>
          <t>보전관리지역</t>
        </is>
      </c>
      <c r="I5384" s="3" t="inlineStr">
        <is>
          <t>임야</t>
        </is>
      </c>
      <c r="J5384" s="3" t="inlineStr">
        <is>
          <t>오송읍</t>
        </is>
      </c>
    </row>
    <row r="5385">
      <c r="A5385" s="3" t="n">
        <v>2024</v>
      </c>
      <c r="B5385" s="4" t="n">
        <v>57598</v>
      </c>
      <c r="C5385" s="4" t="n">
        <v>267.7</v>
      </c>
      <c r="D5385" s="4" t="n">
        <v>80.97924999999999</v>
      </c>
      <c r="E5385" s="5" t="n">
        <v>711.3</v>
      </c>
      <c r="F5385" s="3" t="inlineStr">
        <is>
          <t>오송읍</t>
        </is>
      </c>
      <c r="G5385" s="3" t="inlineStr">
        <is>
          <t>봉산리</t>
        </is>
      </c>
      <c r="H5385" s="3" t="inlineStr">
        <is>
          <t>제1종일반주거지역</t>
        </is>
      </c>
      <c r="I5385" s="3" t="inlineStr">
        <is>
          <t>대</t>
        </is>
      </c>
      <c r="J5385" s="3" t="inlineStr">
        <is>
          <t>오송읍</t>
        </is>
      </c>
    </row>
    <row r="5386">
      <c r="A5386" s="3" t="n">
        <v>2024</v>
      </c>
      <c r="B5386" s="4" t="n">
        <v>43000</v>
      </c>
      <c r="C5386" s="4" t="n">
        <v>272.7</v>
      </c>
      <c r="D5386" s="4" t="n">
        <v>82.49175</v>
      </c>
      <c r="E5386" s="5" t="n">
        <v>521.3</v>
      </c>
      <c r="F5386" s="3" t="inlineStr">
        <is>
          <t>오송읍</t>
        </is>
      </c>
      <c r="G5386" s="3" t="inlineStr">
        <is>
          <t>봉산리</t>
        </is>
      </c>
      <c r="H5386" s="3" t="inlineStr">
        <is>
          <t>제1종일반주거지역</t>
        </is>
      </c>
      <c r="I5386" s="3" t="inlineStr">
        <is>
          <t>대</t>
        </is>
      </c>
      <c r="J5386" s="3" t="inlineStr">
        <is>
          <t>오송읍</t>
        </is>
      </c>
    </row>
    <row r="5387">
      <c r="A5387" s="3" t="n">
        <v>2024</v>
      </c>
      <c r="B5387" s="4" t="n">
        <v>26342</v>
      </c>
      <c r="C5387" s="4" t="n">
        <v>2802.3</v>
      </c>
      <c r="D5387" s="4" t="n">
        <v>847.69575</v>
      </c>
      <c r="E5387" s="5" t="n">
        <v>31.1</v>
      </c>
      <c r="F5387" s="3" t="inlineStr">
        <is>
          <t>강내면</t>
        </is>
      </c>
      <c r="G5387" s="3" t="inlineStr">
        <is>
          <t>월탄리</t>
        </is>
      </c>
      <c r="H5387" s="3" t="inlineStr">
        <is>
          <t>농림지역</t>
        </is>
      </c>
      <c r="I5387" s="3" t="inlineStr">
        <is>
          <t>답</t>
        </is>
      </c>
      <c r="J5387" s="3" t="inlineStr">
        <is>
          <t>강내면</t>
        </is>
      </c>
    </row>
    <row r="5388">
      <c r="A5388" s="3" t="n">
        <v>2024</v>
      </c>
      <c r="B5388" s="4" t="n">
        <v>69000</v>
      </c>
      <c r="C5388" s="4" t="n">
        <v>1548</v>
      </c>
      <c r="D5388" s="4" t="n">
        <v>468.27</v>
      </c>
      <c r="E5388" s="5" t="n">
        <v>147.4</v>
      </c>
      <c r="F5388" s="3" t="inlineStr">
        <is>
          <t>강내면</t>
        </is>
      </c>
      <c r="G5388" s="3" t="inlineStr">
        <is>
          <t>연정리</t>
        </is>
      </c>
      <c r="H5388" s="3" t="inlineStr">
        <is>
          <t>계획관리지역</t>
        </is>
      </c>
      <c r="I5388" s="3" t="inlineStr">
        <is>
          <t>임야</t>
        </is>
      </c>
      <c r="J5388" s="3" t="inlineStr">
        <is>
          <t>강내면</t>
        </is>
      </c>
    </row>
    <row r="5389">
      <c r="A5389" s="3" t="n">
        <v>2023</v>
      </c>
      <c r="B5389" s="4" t="n">
        <v>2000</v>
      </c>
      <c r="C5389" s="4" t="n">
        <v>24</v>
      </c>
      <c r="D5389" s="4" t="n">
        <v>7.26</v>
      </c>
      <c r="E5389" s="5" t="n">
        <v>275.5</v>
      </c>
      <c r="F5389" s="3" t="inlineStr">
        <is>
          <t>오송읍</t>
        </is>
      </c>
      <c r="G5389" s="3" t="inlineStr">
        <is>
          <t>오송리</t>
        </is>
      </c>
      <c r="H5389" s="3" t="inlineStr">
        <is>
          <t>농림지역</t>
        </is>
      </c>
      <c r="I5389" s="3" t="inlineStr">
        <is>
          <t>도로</t>
        </is>
      </c>
      <c r="J5389" s="3" t="inlineStr">
        <is>
          <t>오송읍</t>
        </is>
      </c>
    </row>
    <row r="5390">
      <c r="A5390" s="3" t="n">
        <v>2023</v>
      </c>
      <c r="B5390" s="4" t="n">
        <v>42500</v>
      </c>
      <c r="C5390" s="4" t="n">
        <v>1653</v>
      </c>
      <c r="D5390" s="4" t="n">
        <v>500.0325</v>
      </c>
      <c r="E5390" s="5" t="n">
        <v>85</v>
      </c>
      <c r="F5390" s="3" t="inlineStr">
        <is>
          <t>강내면</t>
        </is>
      </c>
      <c r="G5390" s="3" t="inlineStr">
        <is>
          <t>궁현리</t>
        </is>
      </c>
      <c r="H5390" s="3" t="inlineStr">
        <is>
          <t>계획관리지역</t>
        </is>
      </c>
      <c r="I5390" s="3" t="inlineStr">
        <is>
          <t>임야</t>
        </is>
      </c>
      <c r="J5390" s="3" t="inlineStr">
        <is>
          <t>강내면</t>
        </is>
      </c>
    </row>
    <row r="5391">
      <c r="A5391" s="3" t="n">
        <v>2023</v>
      </c>
      <c r="B5391" s="4" t="n">
        <v>7020</v>
      </c>
      <c r="C5391" s="4" t="n">
        <v>143</v>
      </c>
      <c r="D5391" s="4" t="n">
        <v>43.2575</v>
      </c>
      <c r="E5391" s="5" t="n">
        <v>162.3</v>
      </c>
      <c r="F5391" s="3" t="inlineStr">
        <is>
          <t>오송읍</t>
        </is>
      </c>
      <c r="G5391" s="3" t="inlineStr">
        <is>
          <t>연제리</t>
        </is>
      </c>
      <c r="H5391" s="3" t="inlineStr">
        <is>
          <t>계획관리지역</t>
        </is>
      </c>
      <c r="I5391" s="3" t="inlineStr">
        <is>
          <t>답</t>
        </is>
      </c>
      <c r="J5391" s="3" t="inlineStr">
        <is>
          <t>오송읍</t>
        </is>
      </c>
    </row>
    <row r="5392">
      <c r="A5392" s="3" t="n">
        <v>2023</v>
      </c>
      <c r="B5392" s="4" t="n">
        <v>23000</v>
      </c>
      <c r="C5392" s="4" t="n">
        <v>263</v>
      </c>
      <c r="D5392" s="4" t="n">
        <v>79.5575</v>
      </c>
      <c r="E5392" s="5" t="n">
        <v>289.1</v>
      </c>
      <c r="F5392" s="3" t="inlineStr">
        <is>
          <t>오송읍</t>
        </is>
      </c>
      <c r="G5392" s="3" t="inlineStr">
        <is>
          <t>서평리</t>
        </is>
      </c>
      <c r="H5392" s="3" t="inlineStr">
        <is>
          <t>계획관리지역</t>
        </is>
      </c>
      <c r="I5392" s="3" t="inlineStr">
        <is>
          <t>답</t>
        </is>
      </c>
      <c r="J5392" s="3" t="inlineStr">
        <is>
          <t>오송읍</t>
        </is>
      </c>
    </row>
    <row r="5393">
      <c r="A5393" s="3" t="n">
        <v>2023</v>
      </c>
      <c r="B5393" s="4" t="n">
        <v>7000</v>
      </c>
      <c r="C5393" s="4" t="n">
        <v>66</v>
      </c>
      <c r="D5393" s="4" t="n">
        <v>19.965</v>
      </c>
      <c r="E5393" s="5" t="n">
        <v>350.6</v>
      </c>
      <c r="F5393" s="3" t="inlineStr">
        <is>
          <t>오송읍</t>
        </is>
      </c>
      <c r="G5393" s="3" t="inlineStr">
        <is>
          <t>서평리</t>
        </is>
      </c>
      <c r="H5393" s="3" t="inlineStr">
        <is>
          <t>계획관리지역</t>
        </is>
      </c>
      <c r="I5393" s="3" t="inlineStr">
        <is>
          <t>답</t>
        </is>
      </c>
      <c r="J5393" s="3" t="inlineStr">
        <is>
          <t>오송읍</t>
        </is>
      </c>
    </row>
    <row r="5394">
      <c r="A5394" s="3" t="n">
        <v>2023</v>
      </c>
      <c r="B5394" s="4" t="n">
        <v>38000</v>
      </c>
      <c r="C5394" s="4" t="n">
        <v>938</v>
      </c>
      <c r="D5394" s="4" t="n">
        <v>283.745</v>
      </c>
      <c r="E5394" s="5" t="n">
        <v>133.9</v>
      </c>
      <c r="F5394" s="3" t="inlineStr">
        <is>
          <t>강내면</t>
        </is>
      </c>
      <c r="G5394" s="3" t="inlineStr">
        <is>
          <t>탑연리</t>
        </is>
      </c>
      <c r="H5394" s="3" t="inlineStr">
        <is>
          <t>자연녹지지역</t>
        </is>
      </c>
      <c r="I5394" s="3" t="inlineStr">
        <is>
          <t>답</t>
        </is>
      </c>
      <c r="J5394" s="3" t="inlineStr">
        <is>
          <t>강내면</t>
        </is>
      </c>
    </row>
    <row r="5395">
      <c r="A5395" s="3" t="n">
        <v>2023</v>
      </c>
      <c r="B5395" s="4" t="n">
        <v>64100</v>
      </c>
      <c r="C5395" s="4" t="n">
        <v>3363.9</v>
      </c>
      <c r="D5395" s="4" t="n">
        <v>1017.57975</v>
      </c>
      <c r="E5395" s="5" t="n">
        <v>63</v>
      </c>
      <c r="F5395" s="3" t="inlineStr">
        <is>
          <t>오송읍</t>
        </is>
      </c>
      <c r="G5395" s="3" t="inlineStr">
        <is>
          <t>공북리</t>
        </is>
      </c>
      <c r="H5395" s="3" t="inlineStr">
        <is>
          <t>농림지역</t>
        </is>
      </c>
      <c r="I5395" s="3" t="inlineStr">
        <is>
          <t>답</t>
        </is>
      </c>
      <c r="J5395" s="3" t="inlineStr">
        <is>
          <t>오송읍</t>
        </is>
      </c>
    </row>
    <row r="5396">
      <c r="A5396" s="3" t="n">
        <v>2023</v>
      </c>
      <c r="B5396" s="4" t="n">
        <v>38000</v>
      </c>
      <c r="C5396" s="4" t="n">
        <v>3589.2</v>
      </c>
      <c r="D5396" s="4" t="n">
        <v>1085.733</v>
      </c>
      <c r="E5396" s="5" t="n">
        <v>35</v>
      </c>
      <c r="F5396" s="3" t="inlineStr">
        <is>
          <t>강내면</t>
        </is>
      </c>
      <c r="G5396" s="3" t="inlineStr">
        <is>
          <t>저산리</t>
        </is>
      </c>
      <c r="H5396" s="3" t="inlineStr">
        <is>
          <t>농림지역</t>
        </is>
      </c>
      <c r="I5396" s="3" t="inlineStr">
        <is>
          <t>답</t>
        </is>
      </c>
      <c r="J5396" s="3" t="inlineStr">
        <is>
          <t>강내면</t>
        </is>
      </c>
    </row>
    <row r="5397">
      <c r="A5397" s="3" t="n">
        <v>2023</v>
      </c>
      <c r="B5397" s="4" t="n">
        <v>7020</v>
      </c>
      <c r="C5397" s="4" t="n">
        <v>143</v>
      </c>
      <c r="D5397" s="4" t="n">
        <v>43.2575</v>
      </c>
      <c r="E5397" s="5" t="n">
        <v>162.3</v>
      </c>
      <c r="F5397" s="3" t="inlineStr">
        <is>
          <t>오송읍</t>
        </is>
      </c>
      <c r="G5397" s="3" t="inlineStr">
        <is>
          <t>연제리</t>
        </is>
      </c>
      <c r="H5397" s="3" t="inlineStr">
        <is>
          <t>계획관리지역</t>
        </is>
      </c>
      <c r="I5397" s="3" t="inlineStr">
        <is>
          <t>답</t>
        </is>
      </c>
      <c r="J5397" s="3" t="inlineStr">
        <is>
          <t>오송읍</t>
        </is>
      </c>
    </row>
    <row r="5398">
      <c r="A5398" s="3" t="n">
        <v>2023</v>
      </c>
      <c r="B5398" s="4" t="n">
        <v>7020</v>
      </c>
      <c r="C5398" s="4" t="n">
        <v>143</v>
      </c>
      <c r="D5398" s="4" t="n">
        <v>43.2575</v>
      </c>
      <c r="E5398" s="5" t="n">
        <v>162.3</v>
      </c>
      <c r="F5398" s="3" t="inlineStr">
        <is>
          <t>오송읍</t>
        </is>
      </c>
      <c r="G5398" s="3" t="inlineStr">
        <is>
          <t>연제리</t>
        </is>
      </c>
      <c r="H5398" s="3" t="inlineStr">
        <is>
          <t>계획관리지역</t>
        </is>
      </c>
      <c r="I5398" s="3" t="inlineStr">
        <is>
          <t>답</t>
        </is>
      </c>
      <c r="J5398" s="3" t="inlineStr">
        <is>
          <t>오송읍</t>
        </is>
      </c>
    </row>
    <row r="5399">
      <c r="A5399" s="3" t="n">
        <v>2023</v>
      </c>
      <c r="B5399" s="4" t="n">
        <v>21000</v>
      </c>
      <c r="C5399" s="4" t="n">
        <v>356</v>
      </c>
      <c r="D5399" s="4" t="n">
        <v>107.69</v>
      </c>
      <c r="E5399" s="5" t="n">
        <v>195</v>
      </c>
      <c r="F5399" s="3" t="inlineStr">
        <is>
          <t>오송읍</t>
        </is>
      </c>
      <c r="G5399" s="3" t="inlineStr">
        <is>
          <t>오송리</t>
        </is>
      </c>
      <c r="H5399" s="3" t="inlineStr">
        <is>
          <t>계획관리지역</t>
        </is>
      </c>
      <c r="I5399" s="3" t="inlineStr">
        <is>
          <t>전</t>
        </is>
      </c>
      <c r="J5399" s="3" t="inlineStr">
        <is>
          <t>오송읍</t>
        </is>
      </c>
    </row>
    <row r="5400">
      <c r="A5400" s="3" t="n">
        <v>2023</v>
      </c>
      <c r="B5400" s="4" t="n">
        <v>12000</v>
      </c>
      <c r="C5400" s="4" t="n">
        <v>182</v>
      </c>
      <c r="D5400" s="4" t="n">
        <v>55.055</v>
      </c>
      <c r="E5400" s="5" t="n">
        <v>218</v>
      </c>
      <c r="F5400" s="3" t="inlineStr">
        <is>
          <t>오송읍</t>
        </is>
      </c>
      <c r="G5400" s="3" t="inlineStr">
        <is>
          <t>오송리</t>
        </is>
      </c>
      <c r="H5400" s="3" t="inlineStr">
        <is>
          <t>계획관리지역</t>
        </is>
      </c>
      <c r="I5400" s="3" t="inlineStr">
        <is>
          <t>대</t>
        </is>
      </c>
      <c r="J5400" s="3" t="inlineStr">
        <is>
          <t>오송읍</t>
        </is>
      </c>
    </row>
    <row r="5401">
      <c r="A5401" s="3" t="n">
        <v>2022</v>
      </c>
      <c r="B5401" s="4" t="n">
        <v>23822</v>
      </c>
      <c r="C5401" s="4" t="n">
        <v>525</v>
      </c>
      <c r="D5401" s="4" t="n">
        <v>158.8125</v>
      </c>
      <c r="E5401" s="5" t="n">
        <v>150</v>
      </c>
      <c r="F5401" s="3" t="inlineStr">
        <is>
          <t>연서면</t>
        </is>
      </c>
      <c r="G5401" s="3" t="inlineStr">
        <is>
          <t>쌍류리</t>
        </is>
      </c>
      <c r="H5401" s="3" t="inlineStr">
        <is>
          <t>농림지역</t>
        </is>
      </c>
      <c r="I5401" s="3" t="inlineStr">
        <is>
          <t>전</t>
        </is>
      </c>
      <c r="J5401" s="3" t="inlineStr">
        <is>
          <t>연서면</t>
        </is>
      </c>
    </row>
    <row r="5402">
      <c r="A5402" s="3" t="n">
        <v>2022</v>
      </c>
      <c r="B5402" s="4" t="n">
        <v>25727</v>
      </c>
      <c r="C5402" s="4" t="n">
        <v>608</v>
      </c>
      <c r="D5402" s="4" t="n">
        <v>183.92</v>
      </c>
      <c r="E5402" s="5" t="n">
        <v>139.9</v>
      </c>
      <c r="F5402" s="3" t="inlineStr">
        <is>
          <t>연서면</t>
        </is>
      </c>
      <c r="G5402" s="3" t="inlineStr">
        <is>
          <t>쌍류리</t>
        </is>
      </c>
      <c r="H5402" s="3" t="inlineStr">
        <is>
          <t>생산관리지역</t>
        </is>
      </c>
      <c r="I5402" s="3" t="inlineStr">
        <is>
          <t>전</t>
        </is>
      </c>
      <c r="J5402" s="3" t="inlineStr">
        <is>
          <t>연서면</t>
        </is>
      </c>
    </row>
    <row r="5403">
      <c r="A5403" s="3" t="n">
        <v>2022</v>
      </c>
      <c r="B5403" s="4" t="n">
        <v>216050</v>
      </c>
      <c r="C5403" s="4" t="n">
        <v>2397</v>
      </c>
      <c r="D5403" s="4" t="n">
        <v>725.0925</v>
      </c>
      <c r="E5403" s="5" t="n">
        <v>298</v>
      </c>
      <c r="F5403" s="3" t="inlineStr">
        <is>
          <t>부강면</t>
        </is>
      </c>
      <c r="G5403" s="3" t="inlineStr">
        <is>
          <t>부강리</t>
        </is>
      </c>
      <c r="H5403" s="3" t="inlineStr">
        <is>
          <t>생산녹지지역</t>
        </is>
      </c>
      <c r="I5403" s="3" t="inlineStr">
        <is>
          <t>답</t>
        </is>
      </c>
      <c r="J5403" s="3" t="inlineStr">
        <is>
          <t>부강면</t>
        </is>
      </c>
    </row>
    <row r="5404">
      <c r="A5404" s="3" t="n">
        <v>2022</v>
      </c>
      <c r="B5404" s="4" t="n">
        <v>100</v>
      </c>
      <c r="C5404" s="4" t="n">
        <v>53</v>
      </c>
      <c r="D5404" s="4" t="n">
        <v>16.0325</v>
      </c>
      <c r="E5404" s="5" t="n">
        <v>6.2</v>
      </c>
      <c r="F5404" s="3" t="inlineStr">
        <is>
          <t>부강면</t>
        </is>
      </c>
      <c r="G5404" s="3" t="inlineStr">
        <is>
          <t>등곡리</t>
        </is>
      </c>
      <c r="H5404" s="3" t="inlineStr">
        <is>
          <t>보전관리지역</t>
        </is>
      </c>
      <c r="I5404" s="3" t="inlineStr">
        <is>
          <t>공장용지</t>
        </is>
      </c>
      <c r="J5404" s="3" t="inlineStr">
        <is>
          <t>부강면</t>
        </is>
      </c>
    </row>
    <row r="5405">
      <c r="A5405" s="3" t="n">
        <v>2022</v>
      </c>
      <c r="B5405" s="4" t="n">
        <v>500</v>
      </c>
      <c r="C5405" s="4" t="n">
        <v>274</v>
      </c>
      <c r="D5405" s="4" t="n">
        <v>82.88499999999999</v>
      </c>
      <c r="E5405" s="5" t="n">
        <v>6</v>
      </c>
      <c r="F5405" s="3" t="inlineStr">
        <is>
          <t>부강면</t>
        </is>
      </c>
      <c r="G5405" s="3" t="inlineStr">
        <is>
          <t>등곡리</t>
        </is>
      </c>
      <c r="H5405" s="3" t="inlineStr">
        <is>
          <t>보전관리지역</t>
        </is>
      </c>
      <c r="I5405" s="3" t="inlineStr">
        <is>
          <t>공장용지</t>
        </is>
      </c>
      <c r="J5405" s="3" t="inlineStr">
        <is>
          <t>부강면</t>
        </is>
      </c>
    </row>
    <row r="5406">
      <c r="A5406" s="3" t="n">
        <v>2022</v>
      </c>
      <c r="B5406" s="4" t="n">
        <v>150</v>
      </c>
      <c r="C5406" s="4" t="n">
        <v>55</v>
      </c>
      <c r="D5406" s="4" t="n">
        <v>16.6375</v>
      </c>
      <c r="E5406" s="5" t="n">
        <v>9</v>
      </c>
      <c r="F5406" s="3" t="inlineStr">
        <is>
          <t>부강면</t>
        </is>
      </c>
      <c r="G5406" s="3" t="inlineStr">
        <is>
          <t>등곡리</t>
        </is>
      </c>
      <c r="H5406" s="3" t="inlineStr">
        <is>
          <t>농림지역</t>
        </is>
      </c>
      <c r="I5406" s="3" t="inlineStr">
        <is>
          <t>공장용지</t>
        </is>
      </c>
      <c r="J5406" s="3" t="inlineStr">
        <is>
          <t>부강면</t>
        </is>
      </c>
    </row>
    <row r="5407">
      <c r="A5407" s="3" t="n">
        <v>2022</v>
      </c>
      <c r="B5407" s="4" t="n">
        <v>86000</v>
      </c>
      <c r="C5407" s="4" t="n">
        <v>352</v>
      </c>
      <c r="D5407" s="4" t="n">
        <v>106.48</v>
      </c>
      <c r="E5407" s="5" t="n">
        <v>807.7</v>
      </c>
      <c r="F5407" s="3" t="inlineStr">
        <is>
          <t>고운동</t>
        </is>
      </c>
      <c r="G5407" s="3" t="inlineStr"/>
      <c r="H5407" s="3" t="inlineStr">
        <is>
          <t>제1종전용주거지역</t>
        </is>
      </c>
      <c r="I5407" s="3" t="inlineStr">
        <is>
          <t>대</t>
        </is>
      </c>
      <c r="J5407" s="3" t="inlineStr">
        <is>
          <t>고운동</t>
        </is>
      </c>
    </row>
    <row r="5408">
      <c r="A5408" s="3" t="n">
        <v>2023</v>
      </c>
      <c r="B5408" s="4" t="n">
        <v>120061</v>
      </c>
      <c r="C5408" s="4" t="n">
        <v>6101</v>
      </c>
      <c r="D5408" s="4" t="n">
        <v>1845.5525</v>
      </c>
      <c r="E5408" s="5" t="n">
        <v>65.09999999999999</v>
      </c>
      <c r="F5408" s="3" t="inlineStr">
        <is>
          <t>부강면</t>
        </is>
      </c>
      <c r="G5408" s="3" t="inlineStr">
        <is>
          <t>산수리</t>
        </is>
      </c>
      <c r="H5408" s="3" t="inlineStr">
        <is>
          <t>보전관리지역</t>
        </is>
      </c>
      <c r="I5408" s="3" t="inlineStr">
        <is>
          <t>임야</t>
        </is>
      </c>
      <c r="J5408" s="3" t="inlineStr">
        <is>
          <t>부강면</t>
        </is>
      </c>
    </row>
    <row r="5409">
      <c r="A5409" s="3" t="n">
        <v>2023</v>
      </c>
      <c r="B5409" s="4" t="n">
        <v>42939</v>
      </c>
      <c r="C5409" s="4" t="n">
        <v>2182</v>
      </c>
      <c r="D5409" s="4" t="n">
        <v>660.0549999999999</v>
      </c>
      <c r="E5409" s="5" t="n">
        <v>65.09999999999999</v>
      </c>
      <c r="F5409" s="3" t="inlineStr">
        <is>
          <t>부강면</t>
        </is>
      </c>
      <c r="G5409" s="3" t="inlineStr">
        <is>
          <t>산수리</t>
        </is>
      </c>
      <c r="H5409" s="3" t="inlineStr">
        <is>
          <t>계획관리지역</t>
        </is>
      </c>
      <c r="I5409" s="3" t="inlineStr">
        <is>
          <t>임야</t>
        </is>
      </c>
      <c r="J5409" s="3" t="inlineStr">
        <is>
          <t>부강면</t>
        </is>
      </c>
    </row>
    <row r="5410">
      <c r="A5410" s="3" t="n">
        <v>2023</v>
      </c>
      <c r="B5410" s="4" t="n">
        <v>90000</v>
      </c>
      <c r="C5410" s="4" t="n">
        <v>323.7</v>
      </c>
      <c r="D5410" s="4" t="n">
        <v>97.91924999999999</v>
      </c>
      <c r="E5410" s="5" t="n">
        <v>919.1</v>
      </c>
      <c r="F5410" s="3" t="inlineStr">
        <is>
          <t>도담동</t>
        </is>
      </c>
      <c r="G5410" s="3" t="inlineStr"/>
      <c r="H5410" s="3" t="inlineStr">
        <is>
          <t>제1종전용주거지역</t>
        </is>
      </c>
      <c r="I5410" s="3" t="inlineStr">
        <is>
          <t>대</t>
        </is>
      </c>
      <c r="J5410" s="3" t="inlineStr">
        <is>
          <t>도담동</t>
        </is>
      </c>
    </row>
    <row r="5411">
      <c r="A5411" s="3" t="n">
        <v>2023</v>
      </c>
      <c r="B5411" s="4" t="n">
        <v>382400</v>
      </c>
      <c r="C5411" s="4" t="n">
        <v>872</v>
      </c>
      <c r="D5411" s="4" t="n">
        <v>263.78</v>
      </c>
      <c r="E5411" s="5" t="n">
        <v>1449.7</v>
      </c>
      <c r="F5411" s="3" t="inlineStr">
        <is>
          <t>부강면</t>
        </is>
      </c>
      <c r="G5411" s="3" t="inlineStr">
        <is>
          <t>부강리</t>
        </is>
      </c>
      <c r="H5411" s="3" t="inlineStr">
        <is>
          <t>일반상업지역</t>
        </is>
      </c>
      <c r="I5411" s="3" t="inlineStr">
        <is>
          <t>대</t>
        </is>
      </c>
      <c r="J5411" s="3" t="inlineStr">
        <is>
          <t>부강면</t>
        </is>
      </c>
    </row>
    <row r="5412">
      <c r="A5412" s="3" t="n">
        <v>2023</v>
      </c>
      <c r="B5412" s="4" t="n">
        <v>115000</v>
      </c>
      <c r="C5412" s="4" t="n">
        <v>293</v>
      </c>
      <c r="D5412" s="4" t="n">
        <v>88.63249999999999</v>
      </c>
      <c r="E5412" s="5" t="n">
        <v>1297.5</v>
      </c>
      <c r="F5412" s="3" t="inlineStr">
        <is>
          <t>부강면</t>
        </is>
      </c>
      <c r="G5412" s="3" t="inlineStr">
        <is>
          <t>부강리</t>
        </is>
      </c>
      <c r="H5412" s="3" t="inlineStr">
        <is>
          <t>일반상업지역</t>
        </is>
      </c>
      <c r="I5412" s="3" t="inlineStr">
        <is>
          <t>답</t>
        </is>
      </c>
      <c r="J5412" s="3" t="inlineStr">
        <is>
          <t>부강면</t>
        </is>
      </c>
    </row>
    <row r="5413">
      <c r="A5413" s="3" t="n">
        <v>2023</v>
      </c>
      <c r="B5413" s="4" t="n">
        <v>61500</v>
      </c>
      <c r="C5413" s="4" t="n">
        <v>292</v>
      </c>
      <c r="D5413" s="4" t="n">
        <v>88.33</v>
      </c>
      <c r="E5413" s="5" t="n">
        <v>696.3</v>
      </c>
      <c r="F5413" s="3" t="inlineStr">
        <is>
          <t>부강면</t>
        </is>
      </c>
      <c r="G5413" s="3" t="inlineStr">
        <is>
          <t>부강리</t>
        </is>
      </c>
      <c r="H5413" s="3" t="inlineStr">
        <is>
          <t>일반상업지역</t>
        </is>
      </c>
      <c r="I5413" s="3" t="inlineStr">
        <is>
          <t>대</t>
        </is>
      </c>
      <c r="J5413" s="3" t="inlineStr">
        <is>
          <t>부강면</t>
        </is>
      </c>
    </row>
    <row r="5414">
      <c r="A5414" s="3" t="n">
        <v>2023</v>
      </c>
      <c r="B5414" s="4" t="n">
        <v>2700</v>
      </c>
      <c r="C5414" s="4" t="n">
        <v>96</v>
      </c>
      <c r="D5414" s="4" t="n">
        <v>29.04</v>
      </c>
      <c r="E5414" s="5" t="n">
        <v>93</v>
      </c>
      <c r="F5414" s="3" t="inlineStr">
        <is>
          <t>연동면</t>
        </is>
      </c>
      <c r="G5414" s="3" t="inlineStr">
        <is>
          <t>송용리</t>
        </is>
      </c>
      <c r="H5414" s="3" t="inlineStr">
        <is>
          <t>계획관리지역</t>
        </is>
      </c>
      <c r="I5414" s="3" t="inlineStr">
        <is>
          <t>도로</t>
        </is>
      </c>
      <c r="J5414" s="3" t="inlineStr">
        <is>
          <t>연동면</t>
        </is>
      </c>
    </row>
    <row r="5415">
      <c r="A5415" s="3" t="n">
        <v>2023</v>
      </c>
      <c r="B5415" s="4" t="n">
        <v>800</v>
      </c>
      <c r="C5415" s="4" t="n">
        <v>33</v>
      </c>
      <c r="D5415" s="4" t="n">
        <v>9.9825</v>
      </c>
      <c r="E5415" s="5" t="n">
        <v>80.09999999999999</v>
      </c>
      <c r="F5415" s="3" t="inlineStr">
        <is>
          <t>연동면</t>
        </is>
      </c>
      <c r="G5415" s="3" t="inlineStr">
        <is>
          <t>송용리</t>
        </is>
      </c>
      <c r="H5415" s="3" t="inlineStr">
        <is>
          <t>계획관리지역</t>
        </is>
      </c>
      <c r="I5415" s="3" t="inlineStr">
        <is>
          <t>도로</t>
        </is>
      </c>
      <c r="J5415" s="3" t="inlineStr">
        <is>
          <t>연동면</t>
        </is>
      </c>
    </row>
    <row r="5416">
      <c r="A5416" s="3" t="n">
        <v>2023</v>
      </c>
      <c r="B5416" s="4" t="n">
        <v>950</v>
      </c>
      <c r="C5416" s="4" t="n">
        <v>18</v>
      </c>
      <c r="D5416" s="4" t="n">
        <v>5.445</v>
      </c>
      <c r="E5416" s="5" t="n">
        <v>174.5</v>
      </c>
      <c r="F5416" s="3" t="inlineStr">
        <is>
          <t>조치원읍</t>
        </is>
      </c>
      <c r="G5416" s="3" t="inlineStr">
        <is>
          <t>신안리</t>
        </is>
      </c>
      <c r="H5416" s="3" t="inlineStr">
        <is>
          <t>제1종일반주거지역</t>
        </is>
      </c>
      <c r="I5416" s="3" t="inlineStr">
        <is>
          <t>대</t>
        </is>
      </c>
      <c r="J5416" s="3" t="inlineStr">
        <is>
          <t>조치원읍</t>
        </is>
      </c>
    </row>
    <row r="5417">
      <c r="A5417" s="3" t="n">
        <v>2026</v>
      </c>
      <c r="B5417" s="4" t="n">
        <v>36316</v>
      </c>
      <c r="C5417" s="4" t="n">
        <v>2760.7</v>
      </c>
      <c r="D5417" s="4" t="n">
        <v>835.1117499999999</v>
      </c>
      <c r="E5417" s="5" t="n">
        <v>43.5</v>
      </c>
      <c r="F5417" s="3" t="inlineStr">
        <is>
          <t>연동면</t>
        </is>
      </c>
      <c r="G5417" s="3" t="inlineStr">
        <is>
          <t>송용리</t>
        </is>
      </c>
      <c r="H5417" s="3" t="inlineStr">
        <is>
          <t>농림지역</t>
        </is>
      </c>
      <c r="I5417" s="3" t="inlineStr">
        <is>
          <t>답</t>
        </is>
      </c>
      <c r="J5417" s="3" t="inlineStr">
        <is>
          <t>연동면</t>
        </is>
      </c>
    </row>
    <row r="5418">
      <c r="A5418" s="3" t="n">
        <v>2026</v>
      </c>
      <c r="B5418" s="4" t="n">
        <v>36111</v>
      </c>
      <c r="C5418" s="4" t="n">
        <v>2743.5</v>
      </c>
      <c r="D5418" s="4" t="n">
        <v>829.9087499999999</v>
      </c>
      <c r="E5418" s="5" t="n">
        <v>43.5</v>
      </c>
      <c r="F5418" s="3" t="inlineStr">
        <is>
          <t>연동면</t>
        </is>
      </c>
      <c r="G5418" s="3" t="inlineStr">
        <is>
          <t>송용리</t>
        </is>
      </c>
      <c r="H5418" s="3" t="inlineStr">
        <is>
          <t>농림지역</t>
        </is>
      </c>
      <c r="I5418" s="3" t="inlineStr">
        <is>
          <t>답</t>
        </is>
      </c>
      <c r="J5418" s="3" t="inlineStr">
        <is>
          <t>연동면</t>
        </is>
      </c>
    </row>
    <row r="5419">
      <c r="A5419" s="3" t="n">
        <v>2026</v>
      </c>
      <c r="B5419" s="4" t="n">
        <v>48500</v>
      </c>
      <c r="C5419" s="4" t="n">
        <v>300.9</v>
      </c>
      <c r="D5419" s="4" t="n">
        <v>91.02224999999999</v>
      </c>
      <c r="E5419" s="5" t="n">
        <v>532.8</v>
      </c>
      <c r="F5419" s="3" t="inlineStr">
        <is>
          <t>해밀동</t>
        </is>
      </c>
      <c r="G5419" s="3" t="inlineStr"/>
      <c r="H5419" s="3" t="inlineStr">
        <is>
          <t>제1종전용주거지역</t>
        </is>
      </c>
      <c r="I5419" s="3" t="inlineStr">
        <is>
          <t>대</t>
        </is>
      </c>
      <c r="J5419" s="3" t="inlineStr">
        <is>
          <t>해밀동</t>
        </is>
      </c>
    </row>
    <row r="5420">
      <c r="A5420" s="3" t="n">
        <v>2026</v>
      </c>
      <c r="B5420" s="4" t="n">
        <v>6000</v>
      </c>
      <c r="C5420" s="4" t="n">
        <v>67</v>
      </c>
      <c r="D5420" s="4" t="n">
        <v>20.2675</v>
      </c>
      <c r="E5420" s="5" t="n">
        <v>296</v>
      </c>
      <c r="F5420" s="3" t="inlineStr">
        <is>
          <t>연서면</t>
        </is>
      </c>
      <c r="G5420" s="3" t="inlineStr">
        <is>
          <t>국촌리</t>
        </is>
      </c>
      <c r="H5420" s="3" t="inlineStr">
        <is>
          <t>계획관리지역</t>
        </is>
      </c>
      <c r="I5420" s="3" t="inlineStr">
        <is>
          <t>과수원</t>
        </is>
      </c>
      <c r="J5420" s="3" t="inlineStr">
        <is>
          <t>연서면</t>
        </is>
      </c>
    </row>
    <row r="5421">
      <c r="A5421" s="3" t="n">
        <v>2026</v>
      </c>
      <c r="B5421" s="4" t="n">
        <v>3950</v>
      </c>
      <c r="C5421" s="4" t="n">
        <v>238</v>
      </c>
      <c r="D5421" s="4" t="n">
        <v>71.995</v>
      </c>
      <c r="E5421" s="5" t="n">
        <v>54.9</v>
      </c>
      <c r="F5421" s="3" t="inlineStr">
        <is>
          <t>부강면</t>
        </is>
      </c>
      <c r="G5421" s="3" t="inlineStr">
        <is>
          <t>문곡리</t>
        </is>
      </c>
      <c r="H5421" s="3" t="inlineStr">
        <is>
          <t>계획관리지역</t>
        </is>
      </c>
      <c r="I5421" s="3" t="inlineStr">
        <is>
          <t>답</t>
        </is>
      </c>
      <c r="J5421" s="3" t="inlineStr">
        <is>
          <t>부강면</t>
        </is>
      </c>
    </row>
    <row r="5422">
      <c r="A5422" s="3" t="n">
        <v>2026</v>
      </c>
      <c r="B5422" s="4" t="n">
        <v>5800</v>
      </c>
      <c r="C5422" s="4" t="n">
        <v>66</v>
      </c>
      <c r="D5422" s="4" t="n">
        <v>19.965</v>
      </c>
      <c r="E5422" s="5" t="n">
        <v>290.5</v>
      </c>
      <c r="F5422" s="3" t="inlineStr">
        <is>
          <t>부강면</t>
        </is>
      </c>
      <c r="G5422" s="3" t="inlineStr">
        <is>
          <t>부강리</t>
        </is>
      </c>
      <c r="H5422" s="3" t="inlineStr">
        <is>
          <t>제2종일반주거지역</t>
        </is>
      </c>
      <c r="I5422" s="3" t="inlineStr">
        <is>
          <t>대</t>
        </is>
      </c>
      <c r="J5422" s="3" t="inlineStr">
        <is>
          <t>부강면</t>
        </is>
      </c>
    </row>
    <row r="5423">
      <c r="A5423" s="3" t="n">
        <v>2026</v>
      </c>
      <c r="B5423" s="4" t="n">
        <v>14562</v>
      </c>
      <c r="C5423" s="4" t="n">
        <v>192</v>
      </c>
      <c r="D5423" s="4" t="n">
        <v>58.08</v>
      </c>
      <c r="E5423" s="5" t="n">
        <v>250.7</v>
      </c>
      <c r="F5423" s="3" t="inlineStr">
        <is>
          <t>부강면</t>
        </is>
      </c>
      <c r="G5423" s="3" t="inlineStr">
        <is>
          <t>금호리</t>
        </is>
      </c>
      <c r="H5423" s="3" t="inlineStr">
        <is>
          <t>생산관리지역</t>
        </is>
      </c>
      <c r="I5423" s="3" t="inlineStr">
        <is>
          <t>공장용지</t>
        </is>
      </c>
      <c r="J5423" s="3" t="inlineStr">
        <is>
          <t>부강면</t>
        </is>
      </c>
    </row>
    <row r="5424">
      <c r="A5424" s="3" t="n">
        <v>2026</v>
      </c>
      <c r="B5424" s="4" t="n">
        <v>275</v>
      </c>
      <c r="C5424" s="4" t="n">
        <v>7</v>
      </c>
      <c r="D5424" s="4" t="n">
        <v>2.1175</v>
      </c>
      <c r="E5424" s="5" t="n">
        <v>129.9</v>
      </c>
      <c r="F5424" s="3" t="inlineStr">
        <is>
          <t>부강면</t>
        </is>
      </c>
      <c r="G5424" s="3" t="inlineStr">
        <is>
          <t>금호리</t>
        </is>
      </c>
      <c r="H5424" s="3" t="inlineStr">
        <is>
          <t>계획관리지역</t>
        </is>
      </c>
      <c r="I5424" s="3" t="inlineStr">
        <is>
          <t>도로</t>
        </is>
      </c>
      <c r="J5424" s="3" t="inlineStr">
        <is>
          <t>부강면</t>
        </is>
      </c>
    </row>
    <row r="5425">
      <c r="A5425" s="3" t="n">
        <v>2026</v>
      </c>
      <c r="B5425" s="4" t="n">
        <v>6000</v>
      </c>
      <c r="C5425" s="4" t="n">
        <v>331</v>
      </c>
      <c r="D5425" s="4" t="n">
        <v>100.1275</v>
      </c>
      <c r="E5425" s="5" t="n">
        <v>59.9</v>
      </c>
      <c r="F5425" s="3" t="inlineStr">
        <is>
          <t>연서면</t>
        </is>
      </c>
      <c r="G5425" s="3" t="inlineStr">
        <is>
          <t>쌍류리</t>
        </is>
      </c>
      <c r="H5425" s="3" t="inlineStr">
        <is>
          <t>생산관리지역</t>
        </is>
      </c>
      <c r="I5425" s="3" t="inlineStr">
        <is>
          <t>답</t>
        </is>
      </c>
      <c r="J5425" s="3" t="inlineStr">
        <is>
          <t>연서면</t>
        </is>
      </c>
    </row>
    <row r="5426">
      <c r="A5426" s="3" t="n">
        <v>2026</v>
      </c>
      <c r="B5426" s="4" t="n">
        <v>4311</v>
      </c>
      <c r="C5426" s="4" t="n">
        <v>233</v>
      </c>
      <c r="D5426" s="4" t="n">
        <v>70.4825</v>
      </c>
      <c r="E5426" s="5" t="n">
        <v>61.2</v>
      </c>
      <c r="F5426" s="3" t="inlineStr">
        <is>
          <t>부강면</t>
        </is>
      </c>
      <c r="G5426" s="3" t="inlineStr">
        <is>
          <t>문곡리</t>
        </is>
      </c>
      <c r="H5426" s="3" t="inlineStr">
        <is>
          <t>계획관리지역</t>
        </is>
      </c>
      <c r="I5426" s="3" t="inlineStr">
        <is>
          <t>전</t>
        </is>
      </c>
      <c r="J5426" s="3" t="inlineStr">
        <is>
          <t>부강면</t>
        </is>
      </c>
    </row>
    <row r="5427">
      <c r="A5427" s="3" t="n">
        <v>2022</v>
      </c>
      <c r="B5427" s="4" t="n">
        <v>5874</v>
      </c>
      <c r="C5427" s="4" t="n">
        <v>1767</v>
      </c>
      <c r="D5427" s="4" t="n">
        <v>534.5175</v>
      </c>
      <c r="E5427" s="5" t="n">
        <v>11</v>
      </c>
      <c r="F5427" s="3" t="inlineStr">
        <is>
          <t>연서면</t>
        </is>
      </c>
      <c r="G5427" s="3" t="inlineStr">
        <is>
          <t>기룡리</t>
        </is>
      </c>
      <c r="H5427" s="3" t="inlineStr">
        <is>
          <t>농림지역</t>
        </is>
      </c>
      <c r="I5427" s="3" t="inlineStr">
        <is>
          <t>임야</t>
        </is>
      </c>
      <c r="J5427" s="3" t="inlineStr">
        <is>
          <t>연서면</t>
        </is>
      </c>
    </row>
    <row r="5428">
      <c r="A5428" s="3" t="n">
        <v>2022</v>
      </c>
      <c r="B5428" s="4" t="n">
        <v>16500</v>
      </c>
      <c r="C5428" s="4" t="n">
        <v>4965</v>
      </c>
      <c r="D5428" s="4" t="n">
        <v>1501.9125</v>
      </c>
      <c r="E5428" s="5" t="n">
        <v>11</v>
      </c>
      <c r="F5428" s="3" t="inlineStr">
        <is>
          <t>연서면</t>
        </is>
      </c>
      <c r="G5428" s="3" t="inlineStr">
        <is>
          <t>기룡리</t>
        </is>
      </c>
      <c r="H5428" s="3" t="inlineStr">
        <is>
          <t>농림지역</t>
        </is>
      </c>
      <c r="I5428" s="3" t="inlineStr">
        <is>
          <t>임야</t>
        </is>
      </c>
      <c r="J5428" s="3" t="inlineStr">
        <is>
          <t>연서면</t>
        </is>
      </c>
    </row>
    <row r="5429">
      <c r="A5429" s="3" t="n">
        <v>2022</v>
      </c>
      <c r="B5429" s="4" t="n">
        <v>5700</v>
      </c>
      <c r="C5429" s="4" t="n">
        <v>79</v>
      </c>
      <c r="D5429" s="4" t="n">
        <v>23.8975</v>
      </c>
      <c r="E5429" s="5" t="n">
        <v>238.5</v>
      </c>
      <c r="F5429" s="3" t="inlineStr">
        <is>
          <t>연서면</t>
        </is>
      </c>
      <c r="G5429" s="3" t="inlineStr">
        <is>
          <t>와촌리</t>
        </is>
      </c>
      <c r="H5429" s="3" t="inlineStr">
        <is>
          <t>계획관리지역</t>
        </is>
      </c>
      <c r="I5429" s="3" t="inlineStr">
        <is>
          <t>도로</t>
        </is>
      </c>
      <c r="J5429" s="3" t="inlineStr">
        <is>
          <t>연서면</t>
        </is>
      </c>
    </row>
    <row r="5430">
      <c r="A5430" s="3" t="n">
        <v>2025</v>
      </c>
      <c r="B5430" s="4" t="n">
        <v>35000</v>
      </c>
      <c r="C5430" s="4" t="n">
        <v>2007</v>
      </c>
      <c r="D5430" s="4" t="n">
        <v>607.1174999999999</v>
      </c>
      <c r="E5430" s="5" t="n">
        <v>57.6</v>
      </c>
      <c r="F5430" s="3" t="inlineStr">
        <is>
          <t>연동면</t>
        </is>
      </c>
      <c r="G5430" s="3" t="inlineStr">
        <is>
          <t>송용리</t>
        </is>
      </c>
      <c r="H5430" s="3" t="inlineStr">
        <is>
          <t>농림지역</t>
        </is>
      </c>
      <c r="I5430" s="3" t="inlineStr">
        <is>
          <t>답</t>
        </is>
      </c>
      <c r="J5430" s="3" t="inlineStr">
        <is>
          <t>연동면</t>
        </is>
      </c>
    </row>
    <row r="5431">
      <c r="A5431" s="3" t="n">
        <v>2025</v>
      </c>
      <c r="B5431" s="4" t="n">
        <v>71750</v>
      </c>
      <c r="C5431" s="4" t="n">
        <v>6778</v>
      </c>
      <c r="D5431" s="4" t="n">
        <v>2050.345</v>
      </c>
      <c r="E5431" s="5" t="n">
        <v>35</v>
      </c>
      <c r="F5431" s="3" t="inlineStr">
        <is>
          <t>부강면</t>
        </is>
      </c>
      <c r="G5431" s="3" t="inlineStr">
        <is>
          <t>갈산리</t>
        </is>
      </c>
      <c r="H5431" s="3" t="inlineStr">
        <is>
          <t>계획관리지역</t>
        </is>
      </c>
      <c r="I5431" s="3" t="inlineStr">
        <is>
          <t>임야</t>
        </is>
      </c>
      <c r="J5431" s="3" t="inlineStr">
        <is>
          <t>부강면</t>
        </is>
      </c>
    </row>
    <row r="5432">
      <c r="A5432" s="3" t="n">
        <v>2025</v>
      </c>
      <c r="B5432" s="4" t="n">
        <v>66500</v>
      </c>
      <c r="C5432" s="4" t="n">
        <v>348</v>
      </c>
      <c r="D5432" s="4" t="n">
        <v>105.27</v>
      </c>
      <c r="E5432" s="5" t="n">
        <v>631.7</v>
      </c>
      <c r="F5432" s="3" t="inlineStr">
        <is>
          <t>반곡동</t>
        </is>
      </c>
      <c r="G5432" s="3" t="inlineStr"/>
      <c r="H5432" s="3" t="inlineStr">
        <is>
          <t>제1종전용주거지역</t>
        </is>
      </c>
      <c r="I5432" s="3" t="inlineStr">
        <is>
          <t>대</t>
        </is>
      </c>
      <c r="J5432" s="3" t="inlineStr">
        <is>
          <t>반곡동</t>
        </is>
      </c>
    </row>
    <row r="5433">
      <c r="A5433" s="3" t="n">
        <v>2024</v>
      </c>
      <c r="B5433" s="4" t="n">
        <v>6600</v>
      </c>
      <c r="C5433" s="4" t="n">
        <v>559</v>
      </c>
      <c r="D5433" s="4" t="n">
        <v>169.0975</v>
      </c>
      <c r="E5433" s="5" t="n">
        <v>39</v>
      </c>
      <c r="F5433" s="3" t="inlineStr">
        <is>
          <t>부강면</t>
        </is>
      </c>
      <c r="G5433" s="3" t="inlineStr">
        <is>
          <t>금호리</t>
        </is>
      </c>
      <c r="H5433" s="3" t="inlineStr">
        <is>
          <t>생산관리지역</t>
        </is>
      </c>
      <c r="I5433" s="3" t="inlineStr">
        <is>
          <t>전</t>
        </is>
      </c>
      <c r="J5433" s="3" t="inlineStr">
        <is>
          <t>부강면</t>
        </is>
      </c>
    </row>
    <row r="5434">
      <c r="A5434" s="3" t="n">
        <v>2022</v>
      </c>
      <c r="B5434" s="4" t="n">
        <v>29100</v>
      </c>
      <c r="C5434" s="4" t="n">
        <v>962</v>
      </c>
      <c r="D5434" s="4" t="n">
        <v>291.005</v>
      </c>
      <c r="E5434" s="5" t="n">
        <v>100</v>
      </c>
      <c r="F5434" s="3" t="inlineStr">
        <is>
          <t>부강면</t>
        </is>
      </c>
      <c r="G5434" s="3" t="inlineStr">
        <is>
          <t>노호리</t>
        </is>
      </c>
      <c r="H5434" s="3" t="inlineStr">
        <is>
          <t>계획관리지역</t>
        </is>
      </c>
      <c r="I5434" s="3" t="inlineStr">
        <is>
          <t>답</t>
        </is>
      </c>
      <c r="J5434" s="3" t="inlineStr">
        <is>
          <t>부강면</t>
        </is>
      </c>
    </row>
    <row r="5435">
      <c r="A5435" s="3" t="n">
        <v>2022</v>
      </c>
      <c r="B5435" s="4" t="n">
        <v>28600</v>
      </c>
      <c r="C5435" s="4" t="n">
        <v>945</v>
      </c>
      <c r="D5435" s="4" t="n">
        <v>285.8625</v>
      </c>
      <c r="E5435" s="5" t="n">
        <v>100</v>
      </c>
      <c r="F5435" s="3" t="inlineStr">
        <is>
          <t>부강면</t>
        </is>
      </c>
      <c r="G5435" s="3" t="inlineStr">
        <is>
          <t>노호리</t>
        </is>
      </c>
      <c r="H5435" s="3" t="inlineStr">
        <is>
          <t>계획관리지역</t>
        </is>
      </c>
      <c r="I5435" s="3" t="inlineStr">
        <is>
          <t>답</t>
        </is>
      </c>
      <c r="J5435" s="3" t="inlineStr">
        <is>
          <t>부강면</t>
        </is>
      </c>
    </row>
    <row r="5436">
      <c r="A5436" s="3" t="n">
        <v>2022</v>
      </c>
      <c r="B5436" s="4" t="n">
        <v>43300</v>
      </c>
      <c r="C5436" s="4" t="n">
        <v>1431</v>
      </c>
      <c r="D5436" s="4" t="n">
        <v>432.8775</v>
      </c>
      <c r="E5436" s="5" t="n">
        <v>100</v>
      </c>
      <c r="F5436" s="3" t="inlineStr">
        <is>
          <t>부강면</t>
        </is>
      </c>
      <c r="G5436" s="3" t="inlineStr">
        <is>
          <t>노호리</t>
        </is>
      </c>
      <c r="H5436" s="3" t="inlineStr">
        <is>
          <t>계획관리지역</t>
        </is>
      </c>
      <c r="I5436" s="3" t="inlineStr">
        <is>
          <t>답</t>
        </is>
      </c>
      <c r="J5436" s="3" t="inlineStr">
        <is>
          <t>부강면</t>
        </is>
      </c>
    </row>
    <row r="5437">
      <c r="A5437" s="3" t="n">
        <v>2022</v>
      </c>
      <c r="B5437" s="4" t="n">
        <v>50600</v>
      </c>
      <c r="C5437" s="4" t="n">
        <v>1676</v>
      </c>
      <c r="D5437" s="4" t="n">
        <v>506.99</v>
      </c>
      <c r="E5437" s="5" t="n">
        <v>99.8</v>
      </c>
      <c r="F5437" s="3" t="inlineStr">
        <is>
          <t>부강면</t>
        </is>
      </c>
      <c r="G5437" s="3" t="inlineStr">
        <is>
          <t>노호리</t>
        </is>
      </c>
      <c r="H5437" s="3" t="inlineStr">
        <is>
          <t>계획관리지역</t>
        </is>
      </c>
      <c r="I5437" s="3" t="inlineStr">
        <is>
          <t>답</t>
        </is>
      </c>
      <c r="J5437" s="3" t="inlineStr">
        <is>
          <t>부강면</t>
        </is>
      </c>
    </row>
    <row r="5438">
      <c r="A5438" s="3" t="n">
        <v>2022</v>
      </c>
      <c r="B5438" s="4" t="n">
        <v>2700</v>
      </c>
      <c r="C5438" s="4" t="n">
        <v>157</v>
      </c>
      <c r="D5438" s="4" t="n">
        <v>47.4925</v>
      </c>
      <c r="E5438" s="5" t="n">
        <v>56.9</v>
      </c>
      <c r="F5438" s="3" t="inlineStr">
        <is>
          <t>부강면</t>
        </is>
      </c>
      <c r="G5438" s="3" t="inlineStr">
        <is>
          <t>등곡리</t>
        </is>
      </c>
      <c r="H5438" s="3" t="inlineStr">
        <is>
          <t>계획관리지역</t>
        </is>
      </c>
      <c r="I5438" s="3" t="inlineStr">
        <is>
          <t>전</t>
        </is>
      </c>
      <c r="J5438" s="3" t="inlineStr">
        <is>
          <t>부강면</t>
        </is>
      </c>
    </row>
    <row r="5439">
      <c r="A5439" s="3" t="n">
        <v>2022</v>
      </c>
      <c r="B5439" s="4" t="n">
        <v>300</v>
      </c>
      <c r="C5439" s="4" t="n">
        <v>26</v>
      </c>
      <c r="D5439" s="4" t="n">
        <v>7.865</v>
      </c>
      <c r="E5439" s="5" t="n">
        <v>38.1</v>
      </c>
      <c r="F5439" s="3" t="inlineStr">
        <is>
          <t>부강면</t>
        </is>
      </c>
      <c r="G5439" s="3" t="inlineStr">
        <is>
          <t>등곡리</t>
        </is>
      </c>
      <c r="H5439" s="3" t="inlineStr">
        <is>
          <t>계획관리지역</t>
        </is>
      </c>
      <c r="I5439" s="3" t="inlineStr">
        <is>
          <t>전</t>
        </is>
      </c>
      <c r="J5439" s="3" t="inlineStr">
        <is>
          <t>부강면</t>
        </is>
      </c>
    </row>
    <row r="5440">
      <c r="A5440" s="3" t="n">
        <v>2022</v>
      </c>
      <c r="B5440" s="4" t="n">
        <v>5500</v>
      </c>
      <c r="C5440" s="4" t="n">
        <v>133</v>
      </c>
      <c r="D5440" s="4" t="n">
        <v>40.2325</v>
      </c>
      <c r="E5440" s="5" t="n">
        <v>136.7</v>
      </c>
      <c r="F5440" s="3" t="inlineStr">
        <is>
          <t>연동면</t>
        </is>
      </c>
      <c r="G5440" s="3" t="inlineStr">
        <is>
          <t>응암리</t>
        </is>
      </c>
      <c r="H5440" s="3" t="inlineStr">
        <is>
          <t>계획관리지역</t>
        </is>
      </c>
      <c r="I5440" s="3" t="inlineStr">
        <is>
          <t>답</t>
        </is>
      </c>
      <c r="J5440" s="3" t="inlineStr">
        <is>
          <t>연동면</t>
        </is>
      </c>
    </row>
    <row r="5441">
      <c r="A5441" s="3" t="n">
        <v>2022</v>
      </c>
      <c r="B5441" s="4" t="n">
        <v>15400</v>
      </c>
      <c r="C5441" s="4" t="n">
        <v>533</v>
      </c>
      <c r="D5441" s="4" t="n">
        <v>161.2325</v>
      </c>
      <c r="E5441" s="5" t="n">
        <v>95.5</v>
      </c>
      <c r="F5441" s="3" t="inlineStr">
        <is>
          <t>연동면</t>
        </is>
      </c>
      <c r="G5441" s="3" t="inlineStr">
        <is>
          <t>응암리</t>
        </is>
      </c>
      <c r="H5441" s="3" t="inlineStr">
        <is>
          <t>계획관리지역</t>
        </is>
      </c>
      <c r="I5441" s="3" t="inlineStr">
        <is>
          <t>전</t>
        </is>
      </c>
      <c r="J5441" s="3" t="inlineStr">
        <is>
          <t>연동면</t>
        </is>
      </c>
    </row>
    <row r="5442">
      <c r="A5442" s="3" t="n">
        <v>2022</v>
      </c>
      <c r="B5442" s="4" t="n">
        <v>28490</v>
      </c>
      <c r="C5442" s="4" t="n">
        <v>856</v>
      </c>
      <c r="D5442" s="4" t="n">
        <v>258.94</v>
      </c>
      <c r="E5442" s="5" t="n">
        <v>110</v>
      </c>
      <c r="F5442" s="3" t="inlineStr">
        <is>
          <t>부강면</t>
        </is>
      </c>
      <c r="G5442" s="3" t="inlineStr">
        <is>
          <t>노호리</t>
        </is>
      </c>
      <c r="H5442" s="3" t="inlineStr">
        <is>
          <t>계획관리지역</t>
        </is>
      </c>
      <c r="I5442" s="3" t="inlineStr">
        <is>
          <t>답</t>
        </is>
      </c>
      <c r="J5442" s="3" t="inlineStr">
        <is>
          <t>부강면</t>
        </is>
      </c>
    </row>
    <row r="5443">
      <c r="A5443" s="3" t="n">
        <v>2022</v>
      </c>
      <c r="B5443" s="4" t="n">
        <v>11690</v>
      </c>
      <c r="C5443" s="4" t="n">
        <v>466</v>
      </c>
      <c r="D5443" s="4" t="n">
        <v>140.965</v>
      </c>
      <c r="E5443" s="5" t="n">
        <v>82.90000000000001</v>
      </c>
      <c r="F5443" s="3" t="inlineStr">
        <is>
          <t>연동면</t>
        </is>
      </c>
      <c r="G5443" s="3" t="inlineStr">
        <is>
          <t>응암리</t>
        </is>
      </c>
      <c r="H5443" s="3" t="inlineStr">
        <is>
          <t>계획관리지역</t>
        </is>
      </c>
      <c r="I5443" s="3" t="inlineStr">
        <is>
          <t>전</t>
        </is>
      </c>
      <c r="J5443" s="3" t="inlineStr">
        <is>
          <t>연동면</t>
        </is>
      </c>
    </row>
    <row r="5444">
      <c r="A5444" s="3" t="n">
        <v>2022</v>
      </c>
      <c r="B5444" s="4" t="n">
        <v>35400</v>
      </c>
      <c r="C5444" s="4" t="n">
        <v>2344</v>
      </c>
      <c r="D5444" s="4" t="n">
        <v>709.0599999999999</v>
      </c>
      <c r="E5444" s="5" t="n">
        <v>49.9</v>
      </c>
      <c r="F5444" s="3" t="inlineStr">
        <is>
          <t>연동면</t>
        </is>
      </c>
      <c r="G5444" s="3" t="inlineStr">
        <is>
          <t>응암리</t>
        </is>
      </c>
      <c r="H5444" s="3" t="inlineStr">
        <is>
          <t>계획관리지역</t>
        </is>
      </c>
      <c r="I5444" s="3" t="inlineStr">
        <is>
          <t>답</t>
        </is>
      </c>
      <c r="J5444" s="3" t="inlineStr">
        <is>
          <t>연동면</t>
        </is>
      </c>
    </row>
    <row r="5445">
      <c r="A5445" s="3" t="n">
        <v>2022</v>
      </c>
      <c r="B5445" s="4" t="n">
        <v>10000</v>
      </c>
      <c r="C5445" s="4" t="n">
        <v>1002</v>
      </c>
      <c r="D5445" s="4" t="n">
        <v>303.105</v>
      </c>
      <c r="E5445" s="5" t="n">
        <v>33</v>
      </c>
      <c r="F5445" s="3" t="inlineStr">
        <is>
          <t>부강면</t>
        </is>
      </c>
      <c r="G5445" s="3" t="inlineStr">
        <is>
          <t>금호리</t>
        </is>
      </c>
      <c r="H5445" s="3" t="inlineStr">
        <is>
          <t>생산관리지역</t>
        </is>
      </c>
      <c r="I5445" s="3" t="inlineStr">
        <is>
          <t>답</t>
        </is>
      </c>
      <c r="J5445" s="3" t="inlineStr">
        <is>
          <t>부강면</t>
        </is>
      </c>
    </row>
    <row r="5446">
      <c r="A5446" s="3" t="n">
        <v>2022</v>
      </c>
      <c r="B5446" s="4" t="n">
        <v>44000</v>
      </c>
      <c r="C5446" s="4" t="n">
        <v>496</v>
      </c>
      <c r="D5446" s="4" t="n">
        <v>150.04</v>
      </c>
      <c r="E5446" s="5" t="n">
        <v>293.3</v>
      </c>
      <c r="F5446" s="3" t="inlineStr">
        <is>
          <t>연동면</t>
        </is>
      </c>
      <c r="G5446" s="3" t="inlineStr">
        <is>
          <t>내판리</t>
        </is>
      </c>
      <c r="H5446" s="3" t="inlineStr">
        <is>
          <t>계획관리지역</t>
        </is>
      </c>
      <c r="I5446" s="3" t="inlineStr">
        <is>
          <t>임야</t>
        </is>
      </c>
      <c r="J5446" s="3" t="inlineStr">
        <is>
          <t>연동면</t>
        </is>
      </c>
    </row>
    <row r="5447">
      <c r="A5447" s="3" t="n">
        <v>2022</v>
      </c>
      <c r="B5447" s="4" t="n">
        <v>41008</v>
      </c>
      <c r="C5447" s="4" t="n">
        <v>770</v>
      </c>
      <c r="D5447" s="4" t="n">
        <v>232.925</v>
      </c>
      <c r="E5447" s="5" t="n">
        <v>176.1</v>
      </c>
      <c r="F5447" s="3" t="inlineStr">
        <is>
          <t>연서면</t>
        </is>
      </c>
      <c r="G5447" s="3" t="inlineStr">
        <is>
          <t>와촌리</t>
        </is>
      </c>
      <c r="H5447" s="3" t="inlineStr">
        <is>
          <t>계획관리지역</t>
        </is>
      </c>
      <c r="I5447" s="3" t="inlineStr">
        <is>
          <t>답</t>
        </is>
      </c>
      <c r="J5447" s="3" t="inlineStr">
        <is>
          <t>연서면</t>
        </is>
      </c>
    </row>
    <row r="5448">
      <c r="A5448" s="3" t="n">
        <v>2026</v>
      </c>
      <c r="B5448" s="4" t="n">
        <v>83000</v>
      </c>
      <c r="C5448" s="4" t="n">
        <v>808</v>
      </c>
      <c r="D5448" s="4" t="n">
        <v>244.42</v>
      </c>
      <c r="E5448" s="5" t="n">
        <v>339.6</v>
      </c>
      <c r="F5448" s="3" t="inlineStr">
        <is>
          <t>연동면</t>
        </is>
      </c>
      <c r="G5448" s="3" t="inlineStr">
        <is>
          <t>내판리</t>
        </is>
      </c>
      <c r="H5448" s="3" t="inlineStr">
        <is>
          <t>계획관리지역</t>
        </is>
      </c>
      <c r="I5448" s="3" t="inlineStr">
        <is>
          <t>철도용지</t>
        </is>
      </c>
      <c r="J5448" s="3" t="inlineStr">
        <is>
          <t>연동면</t>
        </is>
      </c>
    </row>
    <row r="5449">
      <c r="A5449" s="3" t="n">
        <v>2024</v>
      </c>
      <c r="B5449" s="4" t="n">
        <v>13671</v>
      </c>
      <c r="C5449" s="4" t="n">
        <v>1653</v>
      </c>
      <c r="D5449" s="4" t="n">
        <v>500.0325</v>
      </c>
      <c r="E5449" s="5" t="n">
        <v>27.3</v>
      </c>
      <c r="F5449" s="3" t="inlineStr">
        <is>
          <t>연서면</t>
        </is>
      </c>
      <c r="G5449" s="3" t="inlineStr">
        <is>
          <t>기룡리</t>
        </is>
      </c>
      <c r="H5449" s="3" t="inlineStr">
        <is>
          <t>보전관리지역</t>
        </is>
      </c>
      <c r="I5449" s="3" t="inlineStr">
        <is>
          <t>임야</t>
        </is>
      </c>
      <c r="J5449" s="3" t="inlineStr">
        <is>
          <t>연서면</t>
        </is>
      </c>
    </row>
    <row r="5450">
      <c r="A5450" s="3" t="n">
        <v>2022</v>
      </c>
      <c r="B5450" s="4" t="n">
        <v>30000</v>
      </c>
      <c r="C5450" s="4" t="n">
        <v>1144</v>
      </c>
      <c r="D5450" s="4" t="n">
        <v>346.06</v>
      </c>
      <c r="E5450" s="5" t="n">
        <v>86.7</v>
      </c>
      <c r="F5450" s="3" t="inlineStr">
        <is>
          <t>부강면</t>
        </is>
      </c>
      <c r="G5450" s="3" t="inlineStr">
        <is>
          <t>등곡리</t>
        </is>
      </c>
      <c r="H5450" s="3" t="inlineStr">
        <is>
          <t>계획관리지역</t>
        </is>
      </c>
      <c r="I5450" s="3" t="inlineStr">
        <is>
          <t>전</t>
        </is>
      </c>
      <c r="J5450" s="3" t="inlineStr">
        <is>
          <t>부강면</t>
        </is>
      </c>
    </row>
    <row r="5451">
      <c r="A5451" s="3" t="n">
        <v>2022</v>
      </c>
      <c r="B5451" s="4" t="n">
        <v>12000</v>
      </c>
      <c r="C5451" s="4" t="n">
        <v>992</v>
      </c>
      <c r="D5451" s="4" t="n">
        <v>300.08</v>
      </c>
      <c r="E5451" s="5" t="n">
        <v>40</v>
      </c>
      <c r="F5451" s="3" t="inlineStr">
        <is>
          <t>연동면</t>
        </is>
      </c>
      <c r="G5451" s="3" t="inlineStr">
        <is>
          <t>명학리</t>
        </is>
      </c>
      <c r="H5451" s="3" t="inlineStr">
        <is>
          <t>계획관리지역</t>
        </is>
      </c>
      <c r="I5451" s="3" t="inlineStr">
        <is>
          <t>임야</t>
        </is>
      </c>
      <c r="J5451" s="3" t="inlineStr">
        <is>
          <t>연동면</t>
        </is>
      </c>
    </row>
    <row r="5452">
      <c r="A5452" s="3" t="n">
        <v>2022</v>
      </c>
      <c r="B5452" s="4" t="n">
        <v>20320</v>
      </c>
      <c r="C5452" s="4" t="n">
        <v>498</v>
      </c>
      <c r="D5452" s="4" t="n">
        <v>150.645</v>
      </c>
      <c r="E5452" s="5" t="n">
        <v>134.9</v>
      </c>
      <c r="F5452" s="3" t="inlineStr">
        <is>
          <t>연서면</t>
        </is>
      </c>
      <c r="G5452" s="3" t="inlineStr">
        <is>
          <t>쌍류리</t>
        </is>
      </c>
      <c r="H5452" s="3" t="inlineStr">
        <is>
          <t>생산관리지역</t>
        </is>
      </c>
      <c r="I5452" s="3" t="inlineStr">
        <is>
          <t>과수원</t>
        </is>
      </c>
      <c r="J5452" s="3" t="inlineStr">
        <is>
          <t>연서면</t>
        </is>
      </c>
    </row>
    <row r="5453">
      <c r="A5453" s="3" t="n">
        <v>2022</v>
      </c>
      <c r="B5453" s="4" t="n">
        <v>4240</v>
      </c>
      <c r="C5453" s="4" t="n">
        <v>104</v>
      </c>
      <c r="D5453" s="4" t="n">
        <v>31.46</v>
      </c>
      <c r="E5453" s="5" t="n">
        <v>134.8</v>
      </c>
      <c r="F5453" s="3" t="inlineStr">
        <is>
          <t>연서면</t>
        </is>
      </c>
      <c r="G5453" s="3" t="inlineStr">
        <is>
          <t>쌍류리</t>
        </is>
      </c>
      <c r="H5453" s="3" t="inlineStr">
        <is>
          <t>생산관리지역</t>
        </is>
      </c>
      <c r="I5453" s="3" t="inlineStr">
        <is>
          <t>답</t>
        </is>
      </c>
      <c r="J5453" s="3" t="inlineStr">
        <is>
          <t>연서면</t>
        </is>
      </c>
    </row>
    <row r="5454">
      <c r="A5454" s="3" t="n">
        <v>2022</v>
      </c>
      <c r="B5454" s="4" t="n">
        <v>13000</v>
      </c>
      <c r="C5454" s="4" t="n">
        <v>861</v>
      </c>
      <c r="D5454" s="4" t="n">
        <v>260.4525</v>
      </c>
      <c r="E5454" s="5" t="n">
        <v>49.9</v>
      </c>
      <c r="F5454" s="3" t="inlineStr">
        <is>
          <t>조치원읍</t>
        </is>
      </c>
      <c r="G5454" s="3" t="inlineStr">
        <is>
          <t>봉산리</t>
        </is>
      </c>
      <c r="H5454" s="3" t="inlineStr">
        <is>
          <t>계획관리지역</t>
        </is>
      </c>
      <c r="I5454" s="3" t="inlineStr">
        <is>
          <t>답</t>
        </is>
      </c>
      <c r="J5454" s="3" t="inlineStr">
        <is>
          <t>조치원읍</t>
        </is>
      </c>
    </row>
    <row r="5455">
      <c r="A5455" s="3" t="n">
        <v>2022</v>
      </c>
      <c r="B5455" s="4" t="n">
        <v>4000</v>
      </c>
      <c r="C5455" s="4" t="n">
        <v>327</v>
      </c>
      <c r="D5455" s="4" t="n">
        <v>98.9175</v>
      </c>
      <c r="E5455" s="5" t="n">
        <v>40.4</v>
      </c>
      <c r="F5455" s="3" t="inlineStr">
        <is>
          <t>연서면</t>
        </is>
      </c>
      <c r="G5455" s="3" t="inlineStr">
        <is>
          <t>청라리</t>
        </is>
      </c>
      <c r="H5455" s="3" t="inlineStr">
        <is>
          <t>생산관리지역</t>
        </is>
      </c>
      <c r="I5455" s="3" t="inlineStr">
        <is>
          <t>전</t>
        </is>
      </c>
      <c r="J5455" s="3" t="inlineStr">
        <is>
          <t>연서면</t>
        </is>
      </c>
    </row>
    <row r="5456">
      <c r="A5456" s="3" t="n">
        <v>2024</v>
      </c>
      <c r="B5456" s="4" t="n">
        <v>6600</v>
      </c>
      <c r="C5456" s="4" t="n">
        <v>559</v>
      </c>
      <c r="D5456" s="4" t="n">
        <v>169.0975</v>
      </c>
      <c r="E5456" s="5" t="n">
        <v>39</v>
      </c>
      <c r="F5456" s="3" t="inlineStr">
        <is>
          <t>부강면</t>
        </is>
      </c>
      <c r="G5456" s="3" t="inlineStr">
        <is>
          <t>금호리</t>
        </is>
      </c>
      <c r="H5456" s="3" t="inlineStr">
        <is>
          <t>생산관리지역</t>
        </is>
      </c>
      <c r="I5456" s="3" t="inlineStr">
        <is>
          <t>전</t>
        </is>
      </c>
      <c r="J5456" s="3" t="inlineStr">
        <is>
          <t>부강면</t>
        </is>
      </c>
    </row>
    <row r="5457">
      <c r="A5457" s="3" t="n">
        <v>2024</v>
      </c>
      <c r="B5457" s="4" t="n">
        <v>400000</v>
      </c>
      <c r="C5457" s="4" t="n">
        <v>943</v>
      </c>
      <c r="D5457" s="4" t="n">
        <v>285.2575</v>
      </c>
      <c r="E5457" s="5" t="n">
        <v>1402.2</v>
      </c>
      <c r="F5457" s="3" t="inlineStr">
        <is>
          <t>부강면</t>
        </is>
      </c>
      <c r="G5457" s="3" t="inlineStr">
        <is>
          <t>부강리</t>
        </is>
      </c>
      <c r="H5457" s="3" t="inlineStr">
        <is>
          <t>일반상업지역</t>
        </is>
      </c>
      <c r="I5457" s="3" t="inlineStr">
        <is>
          <t>대</t>
        </is>
      </c>
      <c r="J5457" s="3" t="inlineStr">
        <is>
          <t>부강면</t>
        </is>
      </c>
    </row>
    <row r="5458">
      <c r="A5458" s="3" t="n">
        <v>2024</v>
      </c>
      <c r="B5458" s="4" t="n">
        <v>1000</v>
      </c>
      <c r="C5458" s="4" t="n">
        <v>200</v>
      </c>
      <c r="D5458" s="4" t="n">
        <v>60.5</v>
      </c>
      <c r="E5458" s="5" t="n">
        <v>16.5</v>
      </c>
      <c r="F5458" s="3" t="inlineStr">
        <is>
          <t>부강면</t>
        </is>
      </c>
      <c r="G5458" s="3" t="inlineStr">
        <is>
          <t>문곡리</t>
        </is>
      </c>
      <c r="H5458" s="3" t="inlineStr">
        <is>
          <t>보전관리지역</t>
        </is>
      </c>
      <c r="I5458" s="3" t="inlineStr">
        <is>
          <t>임야</t>
        </is>
      </c>
      <c r="J5458" s="3" t="inlineStr">
        <is>
          <t>부강면</t>
        </is>
      </c>
    </row>
    <row r="5459">
      <c r="A5459" s="3" t="n">
        <v>2024</v>
      </c>
      <c r="B5459" s="4" t="n">
        <v>1530</v>
      </c>
      <c r="C5459" s="4" t="n">
        <v>12.8</v>
      </c>
      <c r="D5459" s="4" t="n">
        <v>3.872</v>
      </c>
      <c r="E5459" s="5" t="n">
        <v>395.1</v>
      </c>
      <c r="F5459" s="3" t="inlineStr">
        <is>
          <t>고운동</t>
        </is>
      </c>
      <c r="G5459" s="3" t="inlineStr"/>
      <c r="H5459" s="3" t="inlineStr">
        <is>
          <t>제1종전용주거지역</t>
        </is>
      </c>
      <c r="I5459" s="3" t="inlineStr">
        <is>
          <t>주차장</t>
        </is>
      </c>
      <c r="J5459" s="3" t="inlineStr">
        <is>
          <t>고운동</t>
        </is>
      </c>
    </row>
    <row r="5460">
      <c r="A5460" s="3" t="n">
        <v>2024</v>
      </c>
      <c r="B5460" s="4" t="n">
        <v>1530</v>
      </c>
      <c r="C5460" s="4" t="n">
        <v>12.8</v>
      </c>
      <c r="D5460" s="4" t="n">
        <v>3.872</v>
      </c>
      <c r="E5460" s="5" t="n">
        <v>395.1</v>
      </c>
      <c r="F5460" s="3" t="inlineStr">
        <is>
          <t>고운동</t>
        </is>
      </c>
      <c r="G5460" s="3" t="inlineStr"/>
      <c r="H5460" s="3" t="inlineStr">
        <is>
          <t>제1종전용주거지역</t>
        </is>
      </c>
      <c r="I5460" s="3" t="inlineStr">
        <is>
          <t>주차장</t>
        </is>
      </c>
      <c r="J5460" s="3" t="inlineStr">
        <is>
          <t>고운동</t>
        </is>
      </c>
    </row>
    <row r="5461">
      <c r="A5461" s="3" t="n">
        <v>2024</v>
      </c>
      <c r="B5461" s="4" t="n">
        <v>25000</v>
      </c>
      <c r="C5461" s="4" t="n">
        <v>286</v>
      </c>
      <c r="D5461" s="4" t="n">
        <v>86.515</v>
      </c>
      <c r="E5461" s="5" t="n">
        <v>289</v>
      </c>
      <c r="F5461" s="3" t="inlineStr">
        <is>
          <t>조치원읍</t>
        </is>
      </c>
      <c r="G5461" s="3" t="inlineStr">
        <is>
          <t>신안리</t>
        </is>
      </c>
      <c r="H5461" s="3" t="inlineStr">
        <is>
          <t>제1종일반주거지역</t>
        </is>
      </c>
      <c r="I5461" s="3" t="inlineStr">
        <is>
          <t>대</t>
        </is>
      </c>
      <c r="J5461" s="3" t="inlineStr">
        <is>
          <t>조치원읍</t>
        </is>
      </c>
    </row>
    <row r="5462">
      <c r="A5462" s="3" t="n">
        <v>2024</v>
      </c>
      <c r="B5462" s="4" t="n">
        <v>48000</v>
      </c>
      <c r="C5462" s="4" t="n">
        <v>297</v>
      </c>
      <c r="D5462" s="4" t="n">
        <v>89.8425</v>
      </c>
      <c r="E5462" s="5" t="n">
        <v>534.3</v>
      </c>
      <c r="F5462" s="3" t="inlineStr">
        <is>
          <t>해밀동</t>
        </is>
      </c>
      <c r="G5462" s="3" t="inlineStr"/>
      <c r="H5462" s="3" t="inlineStr">
        <is>
          <t>제2종전용주거지역</t>
        </is>
      </c>
      <c r="I5462" s="3" t="inlineStr">
        <is>
          <t>대</t>
        </is>
      </c>
      <c r="J5462" s="3" t="inlineStr">
        <is>
          <t>해밀동</t>
        </is>
      </c>
    </row>
    <row r="5463">
      <c r="A5463" s="3" t="n">
        <v>2022</v>
      </c>
      <c r="B5463" s="4" t="n">
        <v>50000</v>
      </c>
      <c r="C5463" s="4" t="n">
        <v>585</v>
      </c>
      <c r="D5463" s="4" t="n">
        <v>176.9625</v>
      </c>
      <c r="E5463" s="5" t="n">
        <v>282.5</v>
      </c>
      <c r="F5463" s="3" t="inlineStr">
        <is>
          <t>연동면</t>
        </is>
      </c>
      <c r="G5463" s="3" t="inlineStr">
        <is>
          <t>문주리</t>
        </is>
      </c>
      <c r="H5463" s="3" t="inlineStr">
        <is>
          <t>계획관리지역</t>
        </is>
      </c>
      <c r="I5463" s="3" t="inlineStr">
        <is>
          <t>대</t>
        </is>
      </c>
      <c r="J5463" s="3" t="inlineStr">
        <is>
          <t>연동면</t>
        </is>
      </c>
    </row>
    <row r="5464">
      <c r="A5464" s="3" t="n">
        <v>2022</v>
      </c>
      <c r="B5464" s="4" t="n">
        <v>5127</v>
      </c>
      <c r="C5464" s="4" t="n">
        <v>113</v>
      </c>
      <c r="D5464" s="4" t="n">
        <v>34.1825</v>
      </c>
      <c r="E5464" s="5" t="n">
        <v>150</v>
      </c>
      <c r="F5464" s="3" t="inlineStr">
        <is>
          <t>연서면</t>
        </is>
      </c>
      <c r="G5464" s="3" t="inlineStr">
        <is>
          <t>쌍류리</t>
        </is>
      </c>
      <c r="H5464" s="3" t="inlineStr">
        <is>
          <t>생산관리지역</t>
        </is>
      </c>
      <c r="I5464" s="3" t="inlineStr">
        <is>
          <t>전</t>
        </is>
      </c>
      <c r="J5464" s="3" t="inlineStr">
        <is>
          <t>연서면</t>
        </is>
      </c>
    </row>
    <row r="5465">
      <c r="A5465" s="3" t="n">
        <v>2024</v>
      </c>
      <c r="B5465" s="4" t="n">
        <v>40000</v>
      </c>
      <c r="C5465" s="4" t="n">
        <v>891</v>
      </c>
      <c r="D5465" s="4" t="n">
        <v>269.5275</v>
      </c>
      <c r="E5465" s="5" t="n">
        <v>148.4</v>
      </c>
      <c r="F5465" s="3" t="inlineStr">
        <is>
          <t>부강면</t>
        </is>
      </c>
      <c r="G5465" s="3" t="inlineStr">
        <is>
          <t>행산리</t>
        </is>
      </c>
      <c r="H5465" s="3" t="inlineStr">
        <is>
          <t>계획관리지역</t>
        </is>
      </c>
      <c r="I5465" s="3" t="inlineStr">
        <is>
          <t>전</t>
        </is>
      </c>
      <c r="J5465" s="3" t="inlineStr">
        <is>
          <t>부강면</t>
        </is>
      </c>
    </row>
    <row r="5466">
      <c r="A5466" s="3" t="n">
        <v>2026</v>
      </c>
      <c r="B5466" s="4" t="n">
        <v>40000</v>
      </c>
      <c r="C5466" s="4" t="n">
        <v>277</v>
      </c>
      <c r="D5466" s="4" t="n">
        <v>83.7925</v>
      </c>
      <c r="E5466" s="5" t="n">
        <v>477.4</v>
      </c>
      <c r="F5466" s="3" t="inlineStr">
        <is>
          <t>집현동</t>
        </is>
      </c>
      <c r="G5466" s="3" t="inlineStr"/>
      <c r="H5466" s="3" t="inlineStr">
        <is>
          <t>제1종전용주거지역</t>
        </is>
      </c>
      <c r="I5466" s="3" t="inlineStr">
        <is>
          <t>대</t>
        </is>
      </c>
      <c r="J5466" s="3" t="inlineStr">
        <is>
          <t>집현동</t>
        </is>
      </c>
    </row>
    <row r="5467">
      <c r="A5467" s="3" t="n">
        <v>2026</v>
      </c>
      <c r="B5467" s="4" t="n">
        <v>14562</v>
      </c>
      <c r="C5467" s="4" t="n">
        <v>192</v>
      </c>
      <c r="D5467" s="4" t="n">
        <v>58.08</v>
      </c>
      <c r="E5467" s="5" t="n">
        <v>250.7</v>
      </c>
      <c r="F5467" s="3" t="inlineStr">
        <is>
          <t>부강면</t>
        </is>
      </c>
      <c r="G5467" s="3" t="inlineStr">
        <is>
          <t>금호리</t>
        </is>
      </c>
      <c r="H5467" s="3" t="inlineStr">
        <is>
          <t>생산관리지역</t>
        </is>
      </c>
      <c r="I5467" s="3" t="inlineStr">
        <is>
          <t>공장용지</t>
        </is>
      </c>
      <c r="J5467" s="3" t="inlineStr">
        <is>
          <t>부강면</t>
        </is>
      </c>
    </row>
    <row r="5468">
      <c r="A5468" s="3" t="n">
        <v>2026</v>
      </c>
      <c r="B5468" s="4" t="n">
        <v>275</v>
      </c>
      <c r="C5468" s="4" t="n">
        <v>7</v>
      </c>
      <c r="D5468" s="4" t="n">
        <v>2.1175</v>
      </c>
      <c r="E5468" s="5" t="n">
        <v>129.9</v>
      </c>
      <c r="F5468" s="3" t="inlineStr">
        <is>
          <t>부강면</t>
        </is>
      </c>
      <c r="G5468" s="3" t="inlineStr">
        <is>
          <t>금호리</t>
        </is>
      </c>
      <c r="H5468" s="3" t="inlineStr">
        <is>
          <t>계획관리지역</t>
        </is>
      </c>
      <c r="I5468" s="3" t="inlineStr">
        <is>
          <t>도로</t>
        </is>
      </c>
      <c r="J5468" s="3" t="inlineStr">
        <is>
          <t>부강면</t>
        </is>
      </c>
    </row>
    <row r="5469">
      <c r="A5469" s="3" t="n">
        <v>2026</v>
      </c>
      <c r="B5469" s="4" t="n">
        <v>20200</v>
      </c>
      <c r="C5469" s="4" t="n">
        <v>1668.9</v>
      </c>
      <c r="D5469" s="4" t="n">
        <v>504.84225</v>
      </c>
      <c r="E5469" s="5" t="n">
        <v>40</v>
      </c>
      <c r="F5469" s="3" t="inlineStr">
        <is>
          <t>연동면</t>
        </is>
      </c>
      <c r="G5469" s="3" t="inlineStr">
        <is>
          <t>예양리</t>
        </is>
      </c>
      <c r="H5469" s="3" t="inlineStr">
        <is>
          <t>농림지역</t>
        </is>
      </c>
      <c r="I5469" s="3" t="inlineStr">
        <is>
          <t>답</t>
        </is>
      </c>
      <c r="J5469" s="3" t="inlineStr">
        <is>
          <t>연동면</t>
        </is>
      </c>
    </row>
    <row r="5470">
      <c r="A5470" s="3" t="n">
        <v>2024</v>
      </c>
      <c r="B5470" s="4" t="n">
        <v>48000</v>
      </c>
      <c r="C5470" s="4" t="n">
        <v>793</v>
      </c>
      <c r="D5470" s="4" t="n">
        <v>239.8825</v>
      </c>
      <c r="E5470" s="5" t="n">
        <v>200.1</v>
      </c>
      <c r="F5470" s="3" t="inlineStr">
        <is>
          <t>연서면</t>
        </is>
      </c>
      <c r="G5470" s="3" t="inlineStr">
        <is>
          <t>고복리</t>
        </is>
      </c>
      <c r="H5470" s="3" t="inlineStr">
        <is>
          <t>보전관리지역</t>
        </is>
      </c>
      <c r="I5470" s="3" t="inlineStr">
        <is>
          <t>임야</t>
        </is>
      </c>
      <c r="J5470" s="3" t="inlineStr">
        <is>
          <t>연서면</t>
        </is>
      </c>
    </row>
    <row r="5471">
      <c r="A5471" s="3" t="n">
        <v>2024</v>
      </c>
      <c r="B5471" s="4" t="n">
        <v>35000</v>
      </c>
      <c r="C5471" s="4" t="n">
        <v>255</v>
      </c>
      <c r="D5471" s="4" t="n">
        <v>77.1375</v>
      </c>
      <c r="E5471" s="5" t="n">
        <v>453.7</v>
      </c>
      <c r="F5471" s="3" t="inlineStr">
        <is>
          <t>조치원읍</t>
        </is>
      </c>
      <c r="G5471" s="3" t="inlineStr">
        <is>
          <t>번암리</t>
        </is>
      </c>
      <c r="H5471" s="3" t="inlineStr">
        <is>
          <t>제2종일반주거지역</t>
        </is>
      </c>
      <c r="I5471" s="3" t="inlineStr">
        <is>
          <t>대</t>
        </is>
      </c>
      <c r="J5471" s="3" t="inlineStr">
        <is>
          <t>조치원읍</t>
        </is>
      </c>
    </row>
    <row r="5472">
      <c r="A5472" s="3" t="n">
        <v>2024</v>
      </c>
      <c r="B5472" s="4" t="n">
        <v>1000</v>
      </c>
      <c r="C5472" s="4" t="n">
        <v>17</v>
      </c>
      <c r="D5472" s="4" t="n">
        <v>5.1425</v>
      </c>
      <c r="E5472" s="5" t="n">
        <v>194.5</v>
      </c>
      <c r="F5472" s="3" t="inlineStr">
        <is>
          <t>조치원읍</t>
        </is>
      </c>
      <c r="G5472" s="3" t="inlineStr">
        <is>
          <t>서창리</t>
        </is>
      </c>
      <c r="H5472" s="3" t="inlineStr">
        <is>
          <t>제1종일반주거지역</t>
        </is>
      </c>
      <c r="I5472" s="3" t="inlineStr">
        <is>
          <t>대</t>
        </is>
      </c>
      <c r="J5472" s="3" t="inlineStr">
        <is>
          <t>조치원읍</t>
        </is>
      </c>
    </row>
    <row r="5473">
      <c r="A5473" s="3" t="n">
        <v>2024</v>
      </c>
      <c r="B5473" s="4" t="n">
        <v>31033</v>
      </c>
      <c r="C5473" s="4" t="n">
        <v>698</v>
      </c>
      <c r="D5473" s="4" t="n">
        <v>211.145</v>
      </c>
      <c r="E5473" s="5" t="n">
        <v>147</v>
      </c>
      <c r="F5473" s="3" t="inlineStr">
        <is>
          <t>연동면</t>
        </is>
      </c>
      <c r="G5473" s="3" t="inlineStr">
        <is>
          <t>노송리</t>
        </is>
      </c>
      <c r="H5473" s="3" t="inlineStr">
        <is>
          <t>계획관리지역</t>
        </is>
      </c>
      <c r="I5473" s="3" t="inlineStr">
        <is>
          <t>대</t>
        </is>
      </c>
      <c r="J5473" s="3" t="inlineStr">
        <is>
          <t>연동면</t>
        </is>
      </c>
    </row>
    <row r="5474">
      <c r="A5474" s="3" t="n">
        <v>2024</v>
      </c>
      <c r="B5474" s="4" t="n">
        <v>3512</v>
      </c>
      <c r="C5474" s="4" t="n">
        <v>79</v>
      </c>
      <c r="D5474" s="4" t="n">
        <v>23.8975</v>
      </c>
      <c r="E5474" s="5" t="n">
        <v>147</v>
      </c>
      <c r="F5474" s="3" t="inlineStr">
        <is>
          <t>연동면</t>
        </is>
      </c>
      <c r="G5474" s="3" t="inlineStr">
        <is>
          <t>노송리</t>
        </is>
      </c>
      <c r="H5474" s="3" t="inlineStr">
        <is>
          <t>계획관리지역</t>
        </is>
      </c>
      <c r="I5474" s="3" t="inlineStr">
        <is>
          <t>대</t>
        </is>
      </c>
      <c r="J5474" s="3" t="inlineStr">
        <is>
          <t>연동면</t>
        </is>
      </c>
    </row>
    <row r="5475">
      <c r="A5475" s="3" t="n">
        <v>2025</v>
      </c>
      <c r="B5475" s="4" t="n">
        <v>619365</v>
      </c>
      <c r="C5475" s="4" t="n">
        <v>5850</v>
      </c>
      <c r="D5475" s="4" t="n">
        <v>1769.625</v>
      </c>
      <c r="E5475" s="5" t="n">
        <v>350</v>
      </c>
      <c r="F5475" s="3" t="inlineStr">
        <is>
          <t>부강면</t>
        </is>
      </c>
      <c r="G5475" s="3" t="inlineStr">
        <is>
          <t>부강리</t>
        </is>
      </c>
      <c r="H5475" s="3" t="inlineStr">
        <is>
          <t>계획관리지역</t>
        </is>
      </c>
      <c r="I5475" s="3" t="inlineStr">
        <is>
          <t>공장용지</t>
        </is>
      </c>
      <c r="J5475" s="3" t="inlineStr">
        <is>
          <t>부강면</t>
        </is>
      </c>
    </row>
    <row r="5476">
      <c r="A5476" s="3" t="n">
        <v>2025</v>
      </c>
      <c r="B5476" s="4" t="n">
        <v>33807</v>
      </c>
      <c r="C5476" s="4" t="n">
        <v>1283</v>
      </c>
      <c r="D5476" s="4" t="n">
        <v>388.1075</v>
      </c>
      <c r="E5476" s="5" t="n">
        <v>87.09999999999999</v>
      </c>
      <c r="F5476" s="3" t="inlineStr">
        <is>
          <t>연동면</t>
        </is>
      </c>
      <c r="G5476" s="3" t="inlineStr">
        <is>
          <t>응암리</t>
        </is>
      </c>
      <c r="H5476" s="3" t="inlineStr">
        <is>
          <t>계획관리지역</t>
        </is>
      </c>
      <c r="I5476" s="3" t="inlineStr">
        <is>
          <t>목장용지</t>
        </is>
      </c>
      <c r="J5476" s="3" t="inlineStr">
        <is>
          <t>연동면</t>
        </is>
      </c>
    </row>
    <row r="5477">
      <c r="A5477" s="3" t="n">
        <v>2025</v>
      </c>
      <c r="B5477" s="4" t="n">
        <v>23767</v>
      </c>
      <c r="C5477" s="4" t="n">
        <v>902</v>
      </c>
      <c r="D5477" s="4" t="n">
        <v>272.855</v>
      </c>
      <c r="E5477" s="5" t="n">
        <v>87.09999999999999</v>
      </c>
      <c r="F5477" s="3" t="inlineStr">
        <is>
          <t>연동면</t>
        </is>
      </c>
      <c r="G5477" s="3" t="inlineStr">
        <is>
          <t>응암리</t>
        </is>
      </c>
      <c r="H5477" s="3" t="inlineStr">
        <is>
          <t>계획관리지역</t>
        </is>
      </c>
      <c r="I5477" s="3" t="inlineStr">
        <is>
          <t>목장용지</t>
        </is>
      </c>
      <c r="J5477" s="3" t="inlineStr">
        <is>
          <t>연동면</t>
        </is>
      </c>
    </row>
    <row r="5478">
      <c r="A5478" s="3" t="n">
        <v>2025</v>
      </c>
      <c r="B5478" s="4" t="n">
        <v>33622</v>
      </c>
      <c r="C5478" s="4" t="n">
        <v>1276</v>
      </c>
      <c r="D5478" s="4" t="n">
        <v>385.99</v>
      </c>
      <c r="E5478" s="5" t="n">
        <v>87.09999999999999</v>
      </c>
      <c r="F5478" s="3" t="inlineStr">
        <is>
          <t>연동면</t>
        </is>
      </c>
      <c r="G5478" s="3" t="inlineStr">
        <is>
          <t>응암리</t>
        </is>
      </c>
      <c r="H5478" s="3" t="inlineStr">
        <is>
          <t>계획관리지역</t>
        </is>
      </c>
      <c r="I5478" s="3" t="inlineStr">
        <is>
          <t>목장용지</t>
        </is>
      </c>
      <c r="J5478" s="3" t="inlineStr">
        <is>
          <t>연동면</t>
        </is>
      </c>
    </row>
    <row r="5479">
      <c r="A5479" s="3" t="n">
        <v>2025</v>
      </c>
      <c r="B5479" s="4" t="n">
        <v>3952</v>
      </c>
      <c r="C5479" s="4" t="n">
        <v>150</v>
      </c>
      <c r="D5479" s="4" t="n">
        <v>45.375</v>
      </c>
      <c r="E5479" s="5" t="n">
        <v>87.09999999999999</v>
      </c>
      <c r="F5479" s="3" t="inlineStr">
        <is>
          <t>연동면</t>
        </is>
      </c>
      <c r="G5479" s="3" t="inlineStr">
        <is>
          <t>응암리</t>
        </is>
      </c>
      <c r="H5479" s="3" t="inlineStr">
        <is>
          <t>계획관리지역</t>
        </is>
      </c>
      <c r="I5479" s="3" t="inlineStr">
        <is>
          <t>목장용지</t>
        </is>
      </c>
      <c r="J5479" s="3" t="inlineStr">
        <is>
          <t>연동면</t>
        </is>
      </c>
    </row>
    <row r="5480">
      <c r="A5480" s="3" t="n">
        <v>2025</v>
      </c>
      <c r="B5480" s="4" t="n">
        <v>38000</v>
      </c>
      <c r="C5480" s="4" t="n">
        <v>21604</v>
      </c>
      <c r="D5480" s="4" t="n">
        <v>6535.21</v>
      </c>
      <c r="E5480" s="5" t="n">
        <v>5.8</v>
      </c>
      <c r="F5480" s="3" t="inlineStr">
        <is>
          <t>부강면</t>
        </is>
      </c>
      <c r="G5480" s="3" t="inlineStr">
        <is>
          <t>등곡리</t>
        </is>
      </c>
      <c r="H5480" s="3" t="inlineStr">
        <is>
          <t>보전관리지역</t>
        </is>
      </c>
      <c r="I5480" s="3" t="inlineStr">
        <is>
          <t>임야</t>
        </is>
      </c>
      <c r="J5480" s="3" t="inlineStr">
        <is>
          <t>부강면</t>
        </is>
      </c>
    </row>
    <row r="5481">
      <c r="A5481" s="3" t="n">
        <v>2025</v>
      </c>
      <c r="B5481" s="4" t="n">
        <v>16500</v>
      </c>
      <c r="C5481" s="4" t="n">
        <v>9912</v>
      </c>
      <c r="D5481" s="4" t="n">
        <v>2998.38</v>
      </c>
      <c r="E5481" s="5" t="n">
        <v>5.5</v>
      </c>
      <c r="F5481" s="3" t="inlineStr">
        <is>
          <t>부강면</t>
        </is>
      </c>
      <c r="G5481" s="3" t="inlineStr">
        <is>
          <t>등곡리</t>
        </is>
      </c>
      <c r="H5481" s="3" t="inlineStr">
        <is>
          <t>계획관리지역</t>
        </is>
      </c>
      <c r="I5481" s="3" t="inlineStr">
        <is>
          <t>임야</t>
        </is>
      </c>
      <c r="J5481" s="3" t="inlineStr">
        <is>
          <t>부강면</t>
        </is>
      </c>
    </row>
    <row r="5482">
      <c r="A5482" s="3" t="n">
        <v>2025</v>
      </c>
      <c r="B5482" s="4" t="n">
        <v>2300</v>
      </c>
      <c r="C5482" s="4" t="n">
        <v>1024</v>
      </c>
      <c r="D5482" s="4" t="n">
        <v>309.76</v>
      </c>
      <c r="E5482" s="5" t="n">
        <v>7.4</v>
      </c>
      <c r="F5482" s="3" t="inlineStr">
        <is>
          <t>부강면</t>
        </is>
      </c>
      <c r="G5482" s="3" t="inlineStr">
        <is>
          <t>등곡리</t>
        </is>
      </c>
      <c r="H5482" s="3" t="inlineStr">
        <is>
          <t>계획관리지역</t>
        </is>
      </c>
      <c r="I5482" s="3" t="inlineStr">
        <is>
          <t>임야</t>
        </is>
      </c>
      <c r="J5482" s="3" t="inlineStr">
        <is>
          <t>부강면</t>
        </is>
      </c>
    </row>
    <row r="5483">
      <c r="A5483" s="3" t="n">
        <v>2025</v>
      </c>
      <c r="B5483" s="4" t="n">
        <v>9304</v>
      </c>
      <c r="C5483" s="4" t="n">
        <v>1163</v>
      </c>
      <c r="D5483" s="4" t="n">
        <v>351.8075</v>
      </c>
      <c r="E5483" s="5" t="n">
        <v>26.4</v>
      </c>
      <c r="F5483" s="3" t="inlineStr">
        <is>
          <t>부강면</t>
        </is>
      </c>
      <c r="G5483" s="3" t="inlineStr">
        <is>
          <t>등곡리</t>
        </is>
      </c>
      <c r="H5483" s="3" t="inlineStr">
        <is>
          <t>보전관리지역</t>
        </is>
      </c>
      <c r="I5483" s="3" t="inlineStr">
        <is>
          <t>임야</t>
        </is>
      </c>
      <c r="J5483" s="3" t="inlineStr">
        <is>
          <t>부강면</t>
        </is>
      </c>
    </row>
    <row r="5484">
      <c r="A5484" s="3" t="n">
        <v>2025</v>
      </c>
      <c r="B5484" s="4" t="n">
        <v>17216</v>
      </c>
      <c r="C5484" s="4" t="n">
        <v>2152</v>
      </c>
      <c r="D5484" s="4" t="n">
        <v>650.98</v>
      </c>
      <c r="E5484" s="5" t="n">
        <v>26.4</v>
      </c>
      <c r="F5484" s="3" t="inlineStr">
        <is>
          <t>부강면</t>
        </is>
      </c>
      <c r="G5484" s="3" t="inlineStr">
        <is>
          <t>등곡리</t>
        </is>
      </c>
      <c r="H5484" s="3" t="inlineStr">
        <is>
          <t>보전관리지역</t>
        </is>
      </c>
      <c r="I5484" s="3" t="inlineStr">
        <is>
          <t>임야</t>
        </is>
      </c>
      <c r="J5484" s="3" t="inlineStr">
        <is>
          <t>부강면</t>
        </is>
      </c>
    </row>
    <row r="5485">
      <c r="A5485" s="3" t="n">
        <v>2025</v>
      </c>
      <c r="B5485" s="4" t="n">
        <v>3072</v>
      </c>
      <c r="C5485" s="4" t="n">
        <v>8453</v>
      </c>
      <c r="D5485" s="4" t="n">
        <v>2557.0325</v>
      </c>
      <c r="E5485" s="5" t="n">
        <v>1.2</v>
      </c>
      <c r="F5485" s="3" t="inlineStr">
        <is>
          <t>부강면</t>
        </is>
      </c>
      <c r="G5485" s="3" t="inlineStr">
        <is>
          <t>등곡리</t>
        </is>
      </c>
      <c r="H5485" s="3" t="inlineStr">
        <is>
          <t>농림지역</t>
        </is>
      </c>
      <c r="I5485" s="3" t="inlineStr">
        <is>
          <t>임야</t>
        </is>
      </c>
      <c r="J5485" s="3" t="inlineStr">
        <is>
          <t>부강면</t>
        </is>
      </c>
    </row>
    <row r="5486">
      <c r="A5486" s="3" t="n">
        <v>2025</v>
      </c>
      <c r="B5486" s="4" t="n">
        <v>22448</v>
      </c>
      <c r="C5486" s="4" t="n">
        <v>2806</v>
      </c>
      <c r="D5486" s="4" t="n">
        <v>848.8149999999999</v>
      </c>
      <c r="E5486" s="5" t="n">
        <v>26.4</v>
      </c>
      <c r="F5486" s="3" t="inlineStr">
        <is>
          <t>부강면</t>
        </is>
      </c>
      <c r="G5486" s="3" t="inlineStr">
        <is>
          <t>등곡리</t>
        </is>
      </c>
      <c r="H5486" s="3" t="inlineStr">
        <is>
          <t>보전관리지역</t>
        </is>
      </c>
      <c r="I5486" s="3" t="inlineStr">
        <is>
          <t>임야</t>
        </is>
      </c>
      <c r="J5486" s="3" t="inlineStr">
        <is>
          <t>부강면</t>
        </is>
      </c>
    </row>
    <row r="5487">
      <c r="A5487" s="3" t="n">
        <v>2024</v>
      </c>
      <c r="B5487" s="4" t="n">
        <v>52729</v>
      </c>
      <c r="C5487" s="4" t="n">
        <v>398.2</v>
      </c>
      <c r="D5487" s="4" t="n">
        <v>120.4555</v>
      </c>
      <c r="E5487" s="5" t="n">
        <v>437.7</v>
      </c>
      <c r="F5487" s="3" t="inlineStr">
        <is>
          <t>고운동</t>
        </is>
      </c>
      <c r="G5487" s="3" t="inlineStr"/>
      <c r="H5487" s="3" t="inlineStr">
        <is>
          <t>제1종전용주거지역</t>
        </is>
      </c>
      <c r="I5487" s="3" t="inlineStr">
        <is>
          <t>대</t>
        </is>
      </c>
      <c r="J5487" s="3" t="inlineStr">
        <is>
          <t>고운동</t>
        </is>
      </c>
    </row>
    <row r="5488">
      <c r="A5488" s="3" t="n">
        <v>2024</v>
      </c>
      <c r="B5488" s="4" t="n">
        <v>19500</v>
      </c>
      <c r="C5488" s="4" t="n">
        <v>1531</v>
      </c>
      <c r="D5488" s="4" t="n">
        <v>463.1275</v>
      </c>
      <c r="E5488" s="5" t="n">
        <v>42.1</v>
      </c>
      <c r="F5488" s="3" t="inlineStr">
        <is>
          <t>부강면</t>
        </is>
      </c>
      <c r="G5488" s="3" t="inlineStr">
        <is>
          <t>문곡리</t>
        </is>
      </c>
      <c r="H5488" s="3" t="inlineStr">
        <is>
          <t>계획관리지역</t>
        </is>
      </c>
      <c r="I5488" s="3" t="inlineStr">
        <is>
          <t>답</t>
        </is>
      </c>
      <c r="J5488" s="3" t="inlineStr">
        <is>
          <t>부강면</t>
        </is>
      </c>
    </row>
    <row r="5489">
      <c r="A5489" s="3" t="n">
        <v>2022</v>
      </c>
      <c r="B5489" s="4" t="n">
        <v>1600</v>
      </c>
      <c r="C5489" s="4" t="n">
        <v>53</v>
      </c>
      <c r="D5489" s="4" t="n">
        <v>16.0325</v>
      </c>
      <c r="E5489" s="5" t="n">
        <v>99.8</v>
      </c>
      <c r="F5489" s="3" t="inlineStr">
        <is>
          <t>부강면</t>
        </is>
      </c>
      <c r="G5489" s="3" t="inlineStr">
        <is>
          <t>행산리</t>
        </is>
      </c>
      <c r="H5489" s="3" t="inlineStr">
        <is>
          <t>농림지역</t>
        </is>
      </c>
      <c r="I5489" s="3" t="inlineStr">
        <is>
          <t>전</t>
        </is>
      </c>
      <c r="J5489" s="3" t="inlineStr">
        <is>
          <t>부강면</t>
        </is>
      </c>
    </row>
    <row r="5490">
      <c r="A5490" s="3" t="n">
        <v>2022</v>
      </c>
      <c r="B5490" s="4" t="n">
        <v>520</v>
      </c>
      <c r="C5490" s="4" t="n">
        <v>55</v>
      </c>
      <c r="D5490" s="4" t="n">
        <v>16.6375</v>
      </c>
      <c r="E5490" s="5" t="n">
        <v>31.3</v>
      </c>
      <c r="F5490" s="3" t="inlineStr">
        <is>
          <t>부강면</t>
        </is>
      </c>
      <c r="G5490" s="3" t="inlineStr">
        <is>
          <t>부강리</t>
        </is>
      </c>
      <c r="H5490" s="3" t="inlineStr">
        <is>
          <t>계획관리지역</t>
        </is>
      </c>
      <c r="I5490" s="3" t="inlineStr">
        <is>
          <t>도로</t>
        </is>
      </c>
      <c r="J5490" s="3" t="inlineStr">
        <is>
          <t>부강면</t>
        </is>
      </c>
    </row>
    <row r="5491">
      <c r="A5491" s="3" t="n">
        <v>2022</v>
      </c>
      <c r="B5491" s="4" t="n">
        <v>33880</v>
      </c>
      <c r="C5491" s="4" t="n">
        <v>1600</v>
      </c>
      <c r="D5491" s="4" t="n">
        <v>484</v>
      </c>
      <c r="E5491" s="5" t="n">
        <v>70</v>
      </c>
      <c r="F5491" s="3" t="inlineStr">
        <is>
          <t>연서면</t>
        </is>
      </c>
      <c r="G5491" s="3" t="inlineStr">
        <is>
          <t>기룡리</t>
        </is>
      </c>
      <c r="H5491" s="3" t="inlineStr">
        <is>
          <t>생산관리지역</t>
        </is>
      </c>
      <c r="I5491" s="3" t="inlineStr">
        <is>
          <t>전</t>
        </is>
      </c>
      <c r="J5491" s="3" t="inlineStr">
        <is>
          <t>연서면</t>
        </is>
      </c>
    </row>
    <row r="5492">
      <c r="A5492" s="3" t="n">
        <v>2022</v>
      </c>
      <c r="B5492" s="4" t="n">
        <v>1120</v>
      </c>
      <c r="C5492" s="4" t="n">
        <v>53</v>
      </c>
      <c r="D5492" s="4" t="n">
        <v>16.0325</v>
      </c>
      <c r="E5492" s="5" t="n">
        <v>69.90000000000001</v>
      </c>
      <c r="F5492" s="3" t="inlineStr">
        <is>
          <t>연서면</t>
        </is>
      </c>
      <c r="G5492" s="3" t="inlineStr">
        <is>
          <t>기룡리</t>
        </is>
      </c>
      <c r="H5492" s="3" t="inlineStr">
        <is>
          <t>생산관리지역</t>
        </is>
      </c>
      <c r="I5492" s="3" t="inlineStr">
        <is>
          <t>도로</t>
        </is>
      </c>
      <c r="J5492" s="3" t="inlineStr">
        <is>
          <t>연서면</t>
        </is>
      </c>
    </row>
    <row r="5493">
      <c r="A5493" s="3" t="n">
        <v>2022</v>
      </c>
      <c r="B5493" s="4" t="n">
        <v>30500</v>
      </c>
      <c r="C5493" s="4" t="n">
        <v>1994</v>
      </c>
      <c r="D5493" s="4" t="n">
        <v>603.1849999999999</v>
      </c>
      <c r="E5493" s="5" t="n">
        <v>50.6</v>
      </c>
      <c r="F5493" s="3" t="inlineStr">
        <is>
          <t>부강면</t>
        </is>
      </c>
      <c r="G5493" s="3" t="inlineStr">
        <is>
          <t>노호리</t>
        </is>
      </c>
      <c r="H5493" s="3" t="inlineStr">
        <is>
          <t>생산관리지역</t>
        </is>
      </c>
      <c r="I5493" s="3" t="inlineStr">
        <is>
          <t>과수원</t>
        </is>
      </c>
      <c r="J5493" s="3" t="inlineStr">
        <is>
          <t>부강면</t>
        </is>
      </c>
    </row>
    <row r="5494">
      <c r="A5494" s="3" t="n">
        <v>2022</v>
      </c>
      <c r="B5494" s="4" t="n">
        <v>23300</v>
      </c>
      <c r="C5494" s="4" t="n">
        <v>152.1</v>
      </c>
      <c r="D5494" s="4" t="n">
        <v>46.01025</v>
      </c>
      <c r="E5494" s="5" t="n">
        <v>506.4</v>
      </c>
      <c r="F5494" s="3" t="inlineStr">
        <is>
          <t>조치원읍</t>
        </is>
      </c>
      <c r="G5494" s="3" t="inlineStr">
        <is>
          <t>교리</t>
        </is>
      </c>
      <c r="H5494" s="3" t="inlineStr">
        <is>
          <t>제2종일반주거지역</t>
        </is>
      </c>
      <c r="I5494" s="3" t="inlineStr">
        <is>
          <t>대</t>
        </is>
      </c>
      <c r="J5494" s="3" t="inlineStr">
        <is>
          <t>조치원읍</t>
        </is>
      </c>
    </row>
    <row r="5495">
      <c r="A5495" s="3" t="n">
        <v>2022</v>
      </c>
      <c r="B5495" s="4" t="n">
        <v>40000</v>
      </c>
      <c r="C5495" s="4" t="n">
        <v>3597</v>
      </c>
      <c r="D5495" s="4" t="n">
        <v>1088.0925</v>
      </c>
      <c r="E5495" s="5" t="n">
        <v>36.8</v>
      </c>
      <c r="F5495" s="3" t="inlineStr">
        <is>
          <t>연서면</t>
        </is>
      </c>
      <c r="G5495" s="3" t="inlineStr">
        <is>
          <t>청라리</t>
        </is>
      </c>
      <c r="H5495" s="3" t="inlineStr">
        <is>
          <t>생산관리지역</t>
        </is>
      </c>
      <c r="I5495" s="3" t="inlineStr">
        <is>
          <t>답</t>
        </is>
      </c>
      <c r="J5495" s="3" t="inlineStr">
        <is>
          <t>연서면</t>
        </is>
      </c>
    </row>
    <row r="5496">
      <c r="A5496" s="3" t="n">
        <v>2025</v>
      </c>
      <c r="B5496" s="4" t="n">
        <v>66000</v>
      </c>
      <c r="C5496" s="4" t="n">
        <v>4848.2</v>
      </c>
      <c r="D5496" s="4" t="n">
        <v>1466.5805</v>
      </c>
      <c r="E5496" s="5" t="n">
        <v>45</v>
      </c>
      <c r="F5496" s="3" t="inlineStr">
        <is>
          <t>연동면</t>
        </is>
      </c>
      <c r="G5496" s="3" t="inlineStr">
        <is>
          <t>송용리</t>
        </is>
      </c>
      <c r="H5496" s="3" t="inlineStr">
        <is>
          <t>농림지역</t>
        </is>
      </c>
      <c r="I5496" s="3" t="inlineStr">
        <is>
          <t>답</t>
        </is>
      </c>
      <c r="J5496" s="3" t="inlineStr">
        <is>
          <t>연동면</t>
        </is>
      </c>
    </row>
    <row r="5497">
      <c r="A5497" s="3" t="n">
        <v>2025</v>
      </c>
      <c r="B5497" s="4" t="n">
        <v>2000</v>
      </c>
      <c r="C5497" s="4" t="n">
        <v>198</v>
      </c>
      <c r="D5497" s="4" t="n">
        <v>59.895</v>
      </c>
      <c r="E5497" s="5" t="n">
        <v>33.4</v>
      </c>
      <c r="F5497" s="3" t="inlineStr">
        <is>
          <t>부강면</t>
        </is>
      </c>
      <c r="G5497" s="3" t="inlineStr">
        <is>
          <t>등곡리</t>
        </is>
      </c>
      <c r="H5497" s="3" t="inlineStr">
        <is>
          <t>계획관리지역</t>
        </is>
      </c>
      <c r="I5497" s="3" t="inlineStr">
        <is>
          <t>대</t>
        </is>
      </c>
      <c r="J5497" s="3" t="inlineStr">
        <is>
          <t>부강면</t>
        </is>
      </c>
    </row>
    <row r="5498">
      <c r="A5498" s="3" t="n">
        <v>2022</v>
      </c>
      <c r="B5498" s="4" t="n">
        <v>13572</v>
      </c>
      <c r="C5498" s="4" t="n">
        <v>466</v>
      </c>
      <c r="D5498" s="4" t="n">
        <v>140.965</v>
      </c>
      <c r="E5498" s="5" t="n">
        <v>96.3</v>
      </c>
      <c r="F5498" s="3" t="inlineStr">
        <is>
          <t>부강면</t>
        </is>
      </c>
      <c r="G5498" s="3" t="inlineStr">
        <is>
          <t>갈산리</t>
        </is>
      </c>
      <c r="H5498" s="3" t="inlineStr">
        <is>
          <t>계획관리지역</t>
        </is>
      </c>
      <c r="I5498" s="3" t="inlineStr">
        <is>
          <t>답</t>
        </is>
      </c>
      <c r="J5498" s="3" t="inlineStr">
        <is>
          <t>부강면</t>
        </is>
      </c>
    </row>
    <row r="5499">
      <c r="A5499" s="3" t="n">
        <v>2022</v>
      </c>
      <c r="B5499" s="4" t="n">
        <v>84231</v>
      </c>
      <c r="C5499" s="4" t="n">
        <v>1894</v>
      </c>
      <c r="D5499" s="4" t="n">
        <v>572.9349999999999</v>
      </c>
      <c r="E5499" s="5" t="n">
        <v>147</v>
      </c>
      <c r="F5499" s="3" t="inlineStr">
        <is>
          <t>부강면</t>
        </is>
      </c>
      <c r="G5499" s="3" t="inlineStr">
        <is>
          <t>갈산리</t>
        </is>
      </c>
      <c r="H5499" s="3" t="inlineStr">
        <is>
          <t>계획관리지역</t>
        </is>
      </c>
      <c r="I5499" s="3" t="inlineStr">
        <is>
          <t>전</t>
        </is>
      </c>
      <c r="J5499" s="3" t="inlineStr">
        <is>
          <t>부강면</t>
        </is>
      </c>
    </row>
    <row r="5500">
      <c r="A5500" s="3" t="n">
        <v>2022</v>
      </c>
      <c r="B5500" s="4" t="n">
        <v>15000</v>
      </c>
      <c r="C5500" s="4" t="n">
        <v>1738.3</v>
      </c>
      <c r="D5500" s="4" t="n">
        <v>525.83575</v>
      </c>
      <c r="E5500" s="5" t="n">
        <v>28.5</v>
      </c>
      <c r="F5500" s="3" t="inlineStr">
        <is>
          <t>부강면</t>
        </is>
      </c>
      <c r="G5500" s="3" t="inlineStr">
        <is>
          <t>행산리</t>
        </is>
      </c>
      <c r="H5500" s="3" t="inlineStr">
        <is>
          <t>농림지역</t>
        </is>
      </c>
      <c r="I5500" s="3" t="inlineStr">
        <is>
          <t>답</t>
        </is>
      </c>
      <c r="J5500" s="3" t="inlineStr">
        <is>
          <t>부강면</t>
        </is>
      </c>
    </row>
    <row r="5501">
      <c r="A5501" s="3" t="n">
        <v>2022</v>
      </c>
      <c r="B5501" s="4" t="n">
        <v>78000</v>
      </c>
      <c r="C5501" s="4" t="n">
        <v>353.4</v>
      </c>
      <c r="D5501" s="4" t="n">
        <v>106.9035</v>
      </c>
      <c r="E5501" s="5" t="n">
        <v>729.6</v>
      </c>
      <c r="F5501" s="3" t="inlineStr">
        <is>
          <t>한솔동</t>
        </is>
      </c>
      <c r="G5501" s="3" t="inlineStr"/>
      <c r="H5501" s="3" t="inlineStr">
        <is>
          <t>제1종전용주거지역</t>
        </is>
      </c>
      <c r="I5501" s="3" t="inlineStr">
        <is>
          <t>대</t>
        </is>
      </c>
      <c r="J5501" s="3" t="inlineStr">
        <is>
          <t>한솔동</t>
        </is>
      </c>
    </row>
    <row r="5502">
      <c r="A5502" s="3" t="n">
        <v>2022</v>
      </c>
      <c r="B5502" s="4" t="n">
        <v>56000</v>
      </c>
      <c r="C5502" s="4" t="n">
        <v>1289</v>
      </c>
      <c r="D5502" s="4" t="n">
        <v>389.9225</v>
      </c>
      <c r="E5502" s="5" t="n">
        <v>143.6</v>
      </c>
      <c r="F5502" s="3" t="inlineStr">
        <is>
          <t>연서면</t>
        </is>
      </c>
      <c r="G5502" s="3" t="inlineStr">
        <is>
          <t>쌍전리</t>
        </is>
      </c>
      <c r="H5502" s="3" t="inlineStr">
        <is>
          <t>자연녹지지역</t>
        </is>
      </c>
      <c r="I5502" s="3" t="inlineStr">
        <is>
          <t>과수원</t>
        </is>
      </c>
      <c r="J5502" s="3" t="inlineStr">
        <is>
          <t>연서면</t>
        </is>
      </c>
    </row>
    <row r="5503">
      <c r="A5503" s="3" t="n">
        <v>2022</v>
      </c>
      <c r="B5503" s="4" t="n">
        <v>99500</v>
      </c>
      <c r="C5503" s="4" t="n">
        <v>687</v>
      </c>
      <c r="D5503" s="4" t="n">
        <v>207.8175</v>
      </c>
      <c r="E5503" s="5" t="n">
        <v>478.8</v>
      </c>
      <c r="F5503" s="3" t="inlineStr">
        <is>
          <t>연동면</t>
        </is>
      </c>
      <c r="G5503" s="3" t="inlineStr">
        <is>
          <t>내판리</t>
        </is>
      </c>
      <c r="H5503" s="3" t="inlineStr">
        <is>
          <t>계획관리지역</t>
        </is>
      </c>
      <c r="I5503" s="3" t="inlineStr">
        <is>
          <t>과수원</t>
        </is>
      </c>
      <c r="J5503" s="3" t="inlineStr">
        <is>
          <t>연동면</t>
        </is>
      </c>
    </row>
    <row r="5504">
      <c r="A5504" s="3" t="n">
        <v>2022</v>
      </c>
      <c r="B5504" s="4" t="n">
        <v>500</v>
      </c>
      <c r="C5504" s="4" t="n">
        <v>8</v>
      </c>
      <c r="D5504" s="4" t="n">
        <v>2.42</v>
      </c>
      <c r="E5504" s="5" t="n">
        <v>206.6</v>
      </c>
      <c r="F5504" s="3" t="inlineStr">
        <is>
          <t>연동면</t>
        </is>
      </c>
      <c r="G5504" s="3" t="inlineStr">
        <is>
          <t>내판리</t>
        </is>
      </c>
      <c r="H5504" s="3" t="inlineStr">
        <is>
          <t>계획관리지역</t>
        </is>
      </c>
      <c r="I5504" s="3" t="inlineStr">
        <is>
          <t>도로</t>
        </is>
      </c>
      <c r="J5504" s="3" t="inlineStr">
        <is>
          <t>연동면</t>
        </is>
      </c>
    </row>
    <row r="5505">
      <c r="A5505" s="3" t="n">
        <v>2025</v>
      </c>
      <c r="B5505" s="4" t="n">
        <v>2928</v>
      </c>
      <c r="C5505" s="4" t="n">
        <v>366</v>
      </c>
      <c r="D5505" s="4" t="n">
        <v>110.715</v>
      </c>
      <c r="E5505" s="5" t="n">
        <v>26.4</v>
      </c>
      <c r="F5505" s="3" t="inlineStr">
        <is>
          <t>부강면</t>
        </is>
      </c>
      <c r="G5505" s="3" t="inlineStr">
        <is>
          <t>등곡리</t>
        </is>
      </c>
      <c r="H5505" s="3" t="inlineStr">
        <is>
          <t>보전관리지역</t>
        </is>
      </c>
      <c r="I5505" s="3" t="inlineStr">
        <is>
          <t>임야</t>
        </is>
      </c>
      <c r="J5505" s="3" t="inlineStr">
        <is>
          <t>부강면</t>
        </is>
      </c>
    </row>
    <row r="5506">
      <c r="A5506" s="3" t="n">
        <v>2026</v>
      </c>
      <c r="B5506" s="4" t="n">
        <v>9600</v>
      </c>
      <c r="C5506" s="4" t="n">
        <v>750</v>
      </c>
      <c r="D5506" s="4" t="n">
        <v>226.875</v>
      </c>
      <c r="E5506" s="5" t="n">
        <v>42.3</v>
      </c>
      <c r="F5506" s="3" t="inlineStr">
        <is>
          <t>부강면</t>
        </is>
      </c>
      <c r="G5506" s="3" t="inlineStr">
        <is>
          <t>문곡리</t>
        </is>
      </c>
      <c r="H5506" s="3" t="inlineStr">
        <is>
          <t>계획관리지역</t>
        </is>
      </c>
      <c r="I5506" s="3" t="inlineStr">
        <is>
          <t>전</t>
        </is>
      </c>
      <c r="J5506" s="3" t="inlineStr">
        <is>
          <t>부강면</t>
        </is>
      </c>
    </row>
    <row r="5507">
      <c r="A5507" s="3" t="n">
        <v>2026</v>
      </c>
      <c r="B5507" s="4" t="n">
        <v>15400</v>
      </c>
      <c r="C5507" s="4" t="n">
        <v>1157</v>
      </c>
      <c r="D5507" s="4" t="n">
        <v>349.9925</v>
      </c>
      <c r="E5507" s="5" t="n">
        <v>44</v>
      </c>
      <c r="F5507" s="3" t="inlineStr">
        <is>
          <t>부강면</t>
        </is>
      </c>
      <c r="G5507" s="3" t="inlineStr">
        <is>
          <t>문곡리</t>
        </is>
      </c>
      <c r="H5507" s="3" t="inlineStr">
        <is>
          <t>계획관리지역</t>
        </is>
      </c>
      <c r="I5507" s="3" t="inlineStr">
        <is>
          <t>전</t>
        </is>
      </c>
      <c r="J5507" s="3" t="inlineStr">
        <is>
          <t>부강면</t>
        </is>
      </c>
    </row>
    <row r="5508">
      <c r="A5508" s="3" t="n">
        <v>2026</v>
      </c>
      <c r="B5508" s="4" t="n">
        <v>38250</v>
      </c>
      <c r="C5508" s="4" t="n">
        <v>294.2</v>
      </c>
      <c r="D5508" s="4" t="n">
        <v>88.99549999999999</v>
      </c>
      <c r="E5508" s="5" t="n">
        <v>429.8</v>
      </c>
      <c r="F5508" s="3" t="inlineStr">
        <is>
          <t>한솔동</t>
        </is>
      </c>
      <c r="G5508" s="3" t="inlineStr"/>
      <c r="H5508" s="3" t="inlineStr">
        <is>
          <t>제1종전용주거지역</t>
        </is>
      </c>
      <c r="I5508" s="3" t="inlineStr">
        <is>
          <t>대</t>
        </is>
      </c>
      <c r="J5508" s="3" t="inlineStr">
        <is>
          <t>한솔동</t>
        </is>
      </c>
    </row>
    <row r="5509">
      <c r="A5509" s="3" t="n">
        <v>2022</v>
      </c>
      <c r="B5509" s="4" t="n">
        <v>61250</v>
      </c>
      <c r="C5509" s="4" t="n">
        <v>813</v>
      </c>
      <c r="D5509" s="4" t="n">
        <v>245.9325</v>
      </c>
      <c r="E5509" s="5" t="n">
        <v>249.1</v>
      </c>
      <c r="F5509" s="3" t="inlineStr">
        <is>
          <t>연서면</t>
        </is>
      </c>
      <c r="G5509" s="3" t="inlineStr">
        <is>
          <t>쌍전리</t>
        </is>
      </c>
      <c r="H5509" s="3" t="inlineStr">
        <is>
          <t>자연녹지지역</t>
        </is>
      </c>
      <c r="I5509" s="3" t="inlineStr">
        <is>
          <t>대</t>
        </is>
      </c>
      <c r="J5509" s="3" t="inlineStr">
        <is>
          <t>연서면</t>
        </is>
      </c>
    </row>
    <row r="5510">
      <c r="A5510" s="3" t="n">
        <v>2022</v>
      </c>
      <c r="B5510" s="4" t="n">
        <v>11076</v>
      </c>
      <c r="C5510" s="4" t="n">
        <v>813</v>
      </c>
      <c r="D5510" s="4" t="n">
        <v>245.9325</v>
      </c>
      <c r="E5510" s="5" t="n">
        <v>45</v>
      </c>
      <c r="F5510" s="3" t="inlineStr">
        <is>
          <t>연서면</t>
        </is>
      </c>
      <c r="G5510" s="3" t="inlineStr">
        <is>
          <t>쌍전리</t>
        </is>
      </c>
      <c r="H5510" s="3" t="inlineStr">
        <is>
          <t>자연녹지지역</t>
        </is>
      </c>
      <c r="I5510" s="3" t="inlineStr">
        <is>
          <t>대</t>
        </is>
      </c>
      <c r="J5510" s="3" t="inlineStr">
        <is>
          <t>연서면</t>
        </is>
      </c>
    </row>
    <row r="5511">
      <c r="A5511" s="3" t="n">
        <v>2022</v>
      </c>
      <c r="B5511" s="4" t="n">
        <v>6132</v>
      </c>
      <c r="C5511" s="4" t="n">
        <v>211</v>
      </c>
      <c r="D5511" s="4" t="n">
        <v>63.8275</v>
      </c>
      <c r="E5511" s="5" t="n">
        <v>96.09999999999999</v>
      </c>
      <c r="F5511" s="3" t="inlineStr">
        <is>
          <t>연동면</t>
        </is>
      </c>
      <c r="G5511" s="3" t="inlineStr">
        <is>
          <t>내판리</t>
        </is>
      </c>
      <c r="H5511" s="3" t="inlineStr">
        <is>
          <t>계획관리지역</t>
        </is>
      </c>
      <c r="I5511" s="3" t="inlineStr">
        <is>
          <t>전</t>
        </is>
      </c>
      <c r="J5511" s="3" t="inlineStr">
        <is>
          <t>연동면</t>
        </is>
      </c>
    </row>
    <row r="5512">
      <c r="A5512" s="3" t="n">
        <v>2022</v>
      </c>
      <c r="B5512" s="4" t="n">
        <v>16264</v>
      </c>
      <c r="C5512" s="4" t="n">
        <v>922</v>
      </c>
      <c r="D5512" s="4" t="n">
        <v>278.905</v>
      </c>
      <c r="E5512" s="5" t="n">
        <v>58.3</v>
      </c>
      <c r="F5512" s="3" t="inlineStr">
        <is>
          <t>연동면</t>
        </is>
      </c>
      <c r="G5512" s="3" t="inlineStr">
        <is>
          <t>내판리</t>
        </is>
      </c>
      <c r="H5512" s="3" t="inlineStr">
        <is>
          <t>계획관리지역</t>
        </is>
      </c>
      <c r="I5512" s="3" t="inlineStr">
        <is>
          <t>전</t>
        </is>
      </c>
      <c r="J5512" s="3" t="inlineStr">
        <is>
          <t>연동면</t>
        </is>
      </c>
    </row>
    <row r="5513">
      <c r="A5513" s="3" t="n">
        <v>2025</v>
      </c>
      <c r="B5513" s="4" t="n">
        <v>840</v>
      </c>
      <c r="C5513" s="4" t="n">
        <v>105</v>
      </c>
      <c r="D5513" s="4" t="n">
        <v>31.7625</v>
      </c>
      <c r="E5513" s="5" t="n">
        <v>26.4</v>
      </c>
      <c r="F5513" s="3" t="inlineStr">
        <is>
          <t>부강면</t>
        </is>
      </c>
      <c r="G5513" s="3" t="inlineStr">
        <is>
          <t>등곡리</t>
        </is>
      </c>
      <c r="H5513" s="3" t="inlineStr">
        <is>
          <t>계획관리지역</t>
        </is>
      </c>
      <c r="I5513" s="3" t="inlineStr">
        <is>
          <t>공장용지</t>
        </is>
      </c>
      <c r="J5513" s="3" t="inlineStr">
        <is>
          <t>부강면</t>
        </is>
      </c>
    </row>
    <row r="5514">
      <c r="A5514" s="3" t="n">
        <v>2025</v>
      </c>
      <c r="B5514" s="4" t="n">
        <v>160</v>
      </c>
      <c r="C5514" s="4" t="n">
        <v>20</v>
      </c>
      <c r="D5514" s="4" t="n">
        <v>6.05</v>
      </c>
      <c r="E5514" s="5" t="n">
        <v>26.4</v>
      </c>
      <c r="F5514" s="3" t="inlineStr">
        <is>
          <t>부강면</t>
        </is>
      </c>
      <c r="G5514" s="3" t="inlineStr">
        <is>
          <t>등곡리</t>
        </is>
      </c>
      <c r="H5514" s="3" t="inlineStr">
        <is>
          <t>계획관리지역</t>
        </is>
      </c>
      <c r="I5514" s="3" t="inlineStr">
        <is>
          <t>공장용지</t>
        </is>
      </c>
      <c r="J5514" s="3" t="inlineStr">
        <is>
          <t>부강면</t>
        </is>
      </c>
    </row>
    <row r="5515">
      <c r="A5515" s="3" t="n">
        <v>2025</v>
      </c>
      <c r="B5515" s="4" t="n">
        <v>96</v>
      </c>
      <c r="C5515" s="4" t="n">
        <v>12</v>
      </c>
      <c r="D5515" s="4" t="n">
        <v>3.63</v>
      </c>
      <c r="E5515" s="5" t="n">
        <v>26.4</v>
      </c>
      <c r="F5515" s="3" t="inlineStr">
        <is>
          <t>부강면</t>
        </is>
      </c>
      <c r="G5515" s="3" t="inlineStr">
        <is>
          <t>등곡리</t>
        </is>
      </c>
      <c r="H5515" s="3" t="inlineStr">
        <is>
          <t>보전관리지역</t>
        </is>
      </c>
      <c r="I5515" s="3" t="inlineStr">
        <is>
          <t>임야</t>
        </is>
      </c>
      <c r="J5515" s="3" t="inlineStr">
        <is>
          <t>부강면</t>
        </is>
      </c>
    </row>
    <row r="5516">
      <c r="A5516" s="3" t="n">
        <v>2025</v>
      </c>
      <c r="B5516" s="4" t="n">
        <v>112</v>
      </c>
      <c r="C5516" s="4" t="n">
        <v>14</v>
      </c>
      <c r="D5516" s="4" t="n">
        <v>4.234999999999999</v>
      </c>
      <c r="E5516" s="5" t="n">
        <v>26.4</v>
      </c>
      <c r="F5516" s="3" t="inlineStr">
        <is>
          <t>부강면</t>
        </is>
      </c>
      <c r="G5516" s="3" t="inlineStr">
        <is>
          <t>등곡리</t>
        </is>
      </c>
      <c r="H5516" s="3" t="inlineStr">
        <is>
          <t>보전관리지역</t>
        </is>
      </c>
      <c r="I5516" s="3" t="inlineStr">
        <is>
          <t>임야</t>
        </is>
      </c>
      <c r="J5516" s="3" t="inlineStr">
        <is>
          <t>부강면</t>
        </is>
      </c>
    </row>
    <row r="5517">
      <c r="A5517" s="3" t="n">
        <v>2025</v>
      </c>
      <c r="B5517" s="4" t="n">
        <v>440</v>
      </c>
      <c r="C5517" s="4" t="n">
        <v>55</v>
      </c>
      <c r="D5517" s="4" t="n">
        <v>16.6375</v>
      </c>
      <c r="E5517" s="5" t="n">
        <v>26.4</v>
      </c>
      <c r="F5517" s="3" t="inlineStr">
        <is>
          <t>부강면</t>
        </is>
      </c>
      <c r="G5517" s="3" t="inlineStr">
        <is>
          <t>등곡리</t>
        </is>
      </c>
      <c r="H5517" s="3" t="inlineStr">
        <is>
          <t>계획관리지역</t>
        </is>
      </c>
      <c r="I5517" s="3" t="inlineStr">
        <is>
          <t>임야</t>
        </is>
      </c>
      <c r="J5517" s="3" t="inlineStr">
        <is>
          <t>부강면</t>
        </is>
      </c>
    </row>
    <row r="5518">
      <c r="A5518" s="3" t="n">
        <v>2025</v>
      </c>
      <c r="B5518" s="4" t="n">
        <v>224</v>
      </c>
      <c r="C5518" s="4" t="n">
        <v>28</v>
      </c>
      <c r="D5518" s="4" t="n">
        <v>8.469999999999999</v>
      </c>
      <c r="E5518" s="5" t="n">
        <v>26.4</v>
      </c>
      <c r="F5518" s="3" t="inlineStr">
        <is>
          <t>부강면</t>
        </is>
      </c>
      <c r="G5518" s="3" t="inlineStr">
        <is>
          <t>등곡리</t>
        </is>
      </c>
      <c r="H5518" s="3" t="inlineStr">
        <is>
          <t>계획관리지역</t>
        </is>
      </c>
      <c r="I5518" s="3" t="inlineStr">
        <is>
          <t>임야</t>
        </is>
      </c>
      <c r="J5518" s="3" t="inlineStr">
        <is>
          <t>부강면</t>
        </is>
      </c>
    </row>
    <row r="5519">
      <c r="A5519" s="3" t="n">
        <v>2025</v>
      </c>
      <c r="B5519" s="4" t="n">
        <v>904</v>
      </c>
      <c r="C5519" s="4" t="n">
        <v>113</v>
      </c>
      <c r="D5519" s="4" t="n">
        <v>34.1825</v>
      </c>
      <c r="E5519" s="5" t="n">
        <v>26.4</v>
      </c>
      <c r="F5519" s="3" t="inlineStr">
        <is>
          <t>부강면</t>
        </is>
      </c>
      <c r="G5519" s="3" t="inlineStr">
        <is>
          <t>등곡리</t>
        </is>
      </c>
      <c r="H5519" s="3" t="inlineStr">
        <is>
          <t>계획관리지역</t>
        </is>
      </c>
      <c r="I5519" s="3" t="inlineStr">
        <is>
          <t>임야</t>
        </is>
      </c>
      <c r="J5519" s="3" t="inlineStr">
        <is>
          <t>부강면</t>
        </is>
      </c>
    </row>
    <row r="5520">
      <c r="A5520" s="3" t="n">
        <v>2025</v>
      </c>
      <c r="B5520" s="4" t="n">
        <v>640</v>
      </c>
      <c r="C5520" s="4" t="n">
        <v>1762</v>
      </c>
      <c r="D5520" s="4" t="n">
        <v>533.005</v>
      </c>
      <c r="E5520" s="5" t="n">
        <v>1.2</v>
      </c>
      <c r="F5520" s="3" t="inlineStr">
        <is>
          <t>부강면</t>
        </is>
      </c>
      <c r="G5520" s="3" t="inlineStr">
        <is>
          <t>등곡리</t>
        </is>
      </c>
      <c r="H5520" s="3" t="inlineStr">
        <is>
          <t>보전관리지역</t>
        </is>
      </c>
      <c r="I5520" s="3" t="inlineStr">
        <is>
          <t>임야</t>
        </is>
      </c>
      <c r="J5520" s="3" t="inlineStr">
        <is>
          <t>부강면</t>
        </is>
      </c>
    </row>
    <row r="5521">
      <c r="A5521" s="3" t="n">
        <v>2025</v>
      </c>
      <c r="B5521" s="4" t="n">
        <v>58400</v>
      </c>
      <c r="C5521" s="4" t="n">
        <v>2658</v>
      </c>
      <c r="D5521" s="4" t="n">
        <v>804.045</v>
      </c>
      <c r="E5521" s="5" t="n">
        <v>72.59999999999999</v>
      </c>
      <c r="F5521" s="3" t="inlineStr">
        <is>
          <t>부강면</t>
        </is>
      </c>
      <c r="G5521" s="3" t="inlineStr">
        <is>
          <t>부강리</t>
        </is>
      </c>
      <c r="H5521" s="3" t="inlineStr">
        <is>
          <t>농림지역</t>
        </is>
      </c>
      <c r="I5521" s="3" t="inlineStr">
        <is>
          <t>임야</t>
        </is>
      </c>
      <c r="J5521" s="3" t="inlineStr">
        <is>
          <t>부강면</t>
        </is>
      </c>
    </row>
    <row r="5522">
      <c r="A5522" s="3" t="n">
        <v>2025</v>
      </c>
      <c r="B5522" s="4" t="n">
        <v>14500</v>
      </c>
      <c r="C5522" s="4" t="n">
        <v>478</v>
      </c>
      <c r="D5522" s="4" t="n">
        <v>144.595</v>
      </c>
      <c r="E5522" s="5" t="n">
        <v>100.3</v>
      </c>
      <c r="F5522" s="3" t="inlineStr">
        <is>
          <t>연서면</t>
        </is>
      </c>
      <c r="G5522" s="3" t="inlineStr">
        <is>
          <t>고복리</t>
        </is>
      </c>
      <c r="H5522" s="3" t="inlineStr">
        <is>
          <t>농림지역</t>
        </is>
      </c>
      <c r="I5522" s="3" t="inlineStr">
        <is>
          <t>전</t>
        </is>
      </c>
      <c r="J5522" s="3" t="inlineStr">
        <is>
          <t>연서면</t>
        </is>
      </c>
    </row>
    <row r="5523">
      <c r="A5523" s="3" t="n">
        <v>2025</v>
      </c>
      <c r="B5523" s="4" t="n">
        <v>51725</v>
      </c>
      <c r="C5523" s="4" t="n">
        <v>490</v>
      </c>
      <c r="D5523" s="4" t="n">
        <v>148.225</v>
      </c>
      <c r="E5523" s="5" t="n">
        <v>349</v>
      </c>
      <c r="F5523" s="3" t="inlineStr">
        <is>
          <t>연서면</t>
        </is>
      </c>
      <c r="G5523" s="3" t="inlineStr">
        <is>
          <t>부동리</t>
        </is>
      </c>
      <c r="H5523" s="3" t="inlineStr">
        <is>
          <t>계획관리지역</t>
        </is>
      </c>
      <c r="I5523" s="3" t="inlineStr">
        <is>
          <t>임야</t>
        </is>
      </c>
      <c r="J5523" s="3" t="inlineStr">
        <is>
          <t>연서면</t>
        </is>
      </c>
    </row>
    <row r="5524">
      <c r="A5524" s="3" t="n">
        <v>2025</v>
      </c>
      <c r="B5524" s="4" t="n">
        <v>56000</v>
      </c>
      <c r="C5524" s="4" t="n">
        <v>495</v>
      </c>
      <c r="D5524" s="4" t="n">
        <v>149.7375</v>
      </c>
      <c r="E5524" s="5" t="n">
        <v>374</v>
      </c>
      <c r="F5524" s="3" t="inlineStr">
        <is>
          <t>연서면</t>
        </is>
      </c>
      <c r="G5524" s="3" t="inlineStr">
        <is>
          <t>부동리</t>
        </is>
      </c>
      <c r="H5524" s="3" t="inlineStr">
        <is>
          <t>계획관리지역</t>
        </is>
      </c>
      <c r="I5524" s="3" t="inlineStr">
        <is>
          <t>임야</t>
        </is>
      </c>
      <c r="J5524" s="3" t="inlineStr">
        <is>
          <t>연서면</t>
        </is>
      </c>
    </row>
    <row r="5525">
      <c r="A5525" s="3" t="n">
        <v>2025</v>
      </c>
      <c r="B5525" s="4" t="n">
        <v>18669</v>
      </c>
      <c r="C5525" s="4" t="n">
        <v>165</v>
      </c>
      <c r="D5525" s="4" t="n">
        <v>49.9125</v>
      </c>
      <c r="E5525" s="5" t="n">
        <v>374</v>
      </c>
      <c r="F5525" s="3" t="inlineStr">
        <is>
          <t>연서면</t>
        </is>
      </c>
      <c r="G5525" s="3" t="inlineStr">
        <is>
          <t>부동리</t>
        </is>
      </c>
      <c r="H5525" s="3" t="inlineStr">
        <is>
          <t>계획관리지역</t>
        </is>
      </c>
      <c r="I5525" s="3" t="inlineStr">
        <is>
          <t>임야</t>
        </is>
      </c>
      <c r="J5525" s="3" t="inlineStr">
        <is>
          <t>연서면</t>
        </is>
      </c>
    </row>
    <row r="5526">
      <c r="A5526" s="3" t="n">
        <v>2025</v>
      </c>
      <c r="B5526" s="4" t="n">
        <v>25950</v>
      </c>
      <c r="C5526" s="4" t="n">
        <v>495</v>
      </c>
      <c r="D5526" s="4" t="n">
        <v>149.7375</v>
      </c>
      <c r="E5526" s="5" t="n">
        <v>173.3</v>
      </c>
      <c r="F5526" s="3" t="inlineStr">
        <is>
          <t>연서면</t>
        </is>
      </c>
      <c r="G5526" s="3" t="inlineStr">
        <is>
          <t>부동리</t>
        </is>
      </c>
      <c r="H5526" s="3" t="inlineStr">
        <is>
          <t>계획관리지역</t>
        </is>
      </c>
      <c r="I5526" s="3" t="inlineStr">
        <is>
          <t>임야</t>
        </is>
      </c>
      <c r="J5526" s="3" t="inlineStr">
        <is>
          <t>연서면</t>
        </is>
      </c>
    </row>
    <row r="5527">
      <c r="A5527" s="3" t="n">
        <v>2025</v>
      </c>
      <c r="B5527" s="4" t="n">
        <v>10000</v>
      </c>
      <c r="C5527" s="4" t="n">
        <v>1223</v>
      </c>
      <c r="D5527" s="4" t="n">
        <v>369.9575</v>
      </c>
      <c r="E5527" s="5" t="n">
        <v>27</v>
      </c>
      <c r="F5527" s="3" t="inlineStr">
        <is>
          <t>부강면</t>
        </is>
      </c>
      <c r="G5527" s="3" t="inlineStr">
        <is>
          <t>행산리</t>
        </is>
      </c>
      <c r="H5527" s="3" t="inlineStr">
        <is>
          <t>계획관리지역</t>
        </is>
      </c>
      <c r="I5527" s="3" t="inlineStr">
        <is>
          <t>임야</t>
        </is>
      </c>
      <c r="J5527" s="3" t="inlineStr">
        <is>
          <t>부강면</t>
        </is>
      </c>
    </row>
    <row r="5528">
      <c r="A5528" s="3" t="n">
        <v>2025</v>
      </c>
      <c r="B5528" s="4" t="n">
        <v>9139</v>
      </c>
      <c r="C5528" s="4" t="n">
        <v>159</v>
      </c>
      <c r="D5528" s="4" t="n">
        <v>48.0975</v>
      </c>
      <c r="E5528" s="5" t="n">
        <v>190</v>
      </c>
      <c r="F5528" s="3" t="inlineStr">
        <is>
          <t>조치원읍</t>
        </is>
      </c>
      <c r="G5528" s="3" t="inlineStr">
        <is>
          <t>신안리</t>
        </is>
      </c>
      <c r="H5528" s="3" t="inlineStr">
        <is>
          <t>자연녹지지역</t>
        </is>
      </c>
      <c r="I5528" s="3" t="inlineStr">
        <is>
          <t>답</t>
        </is>
      </c>
      <c r="J5528" s="3" t="inlineStr">
        <is>
          <t>조치원읍</t>
        </is>
      </c>
    </row>
    <row r="5529">
      <c r="A5529" s="3" t="n">
        <v>2025</v>
      </c>
      <c r="B5529" s="4" t="n">
        <v>25460</v>
      </c>
      <c r="C5529" s="4" t="n">
        <v>443</v>
      </c>
      <c r="D5529" s="4" t="n">
        <v>134.0075</v>
      </c>
      <c r="E5529" s="5" t="n">
        <v>190</v>
      </c>
      <c r="F5529" s="3" t="inlineStr">
        <is>
          <t>연동면</t>
        </is>
      </c>
      <c r="G5529" s="3" t="inlineStr">
        <is>
          <t>송용리</t>
        </is>
      </c>
      <c r="H5529" s="3" t="inlineStr">
        <is>
          <t>보전관리지역</t>
        </is>
      </c>
      <c r="I5529" s="3" t="inlineStr">
        <is>
          <t>대</t>
        </is>
      </c>
      <c r="J5529" s="3" t="inlineStr">
        <is>
          <t>연동면</t>
        </is>
      </c>
    </row>
    <row r="5530">
      <c r="A5530" s="3" t="n">
        <v>2022</v>
      </c>
      <c r="B5530" s="4" t="n">
        <v>3080</v>
      </c>
      <c r="C5530" s="4" t="n">
        <v>186</v>
      </c>
      <c r="D5530" s="4" t="n">
        <v>56.265</v>
      </c>
      <c r="E5530" s="5" t="n">
        <v>54.7</v>
      </c>
      <c r="F5530" s="3" t="inlineStr">
        <is>
          <t>부강면</t>
        </is>
      </c>
      <c r="G5530" s="3" t="inlineStr">
        <is>
          <t>노호리</t>
        </is>
      </c>
      <c r="H5530" s="3" t="inlineStr">
        <is>
          <t>보전관리지역</t>
        </is>
      </c>
      <c r="I5530" s="3" t="inlineStr">
        <is>
          <t>임야</t>
        </is>
      </c>
      <c r="J5530" s="3" t="inlineStr">
        <is>
          <t>부강면</t>
        </is>
      </c>
    </row>
    <row r="5531">
      <c r="A5531" s="3" t="n">
        <v>2022</v>
      </c>
      <c r="B5531" s="4" t="n">
        <v>5490</v>
      </c>
      <c r="C5531" s="4" t="n">
        <v>202</v>
      </c>
      <c r="D5531" s="4" t="n">
        <v>61.105</v>
      </c>
      <c r="E5531" s="5" t="n">
        <v>89.8</v>
      </c>
      <c r="F5531" s="3" t="inlineStr">
        <is>
          <t>부강면</t>
        </is>
      </c>
      <c r="G5531" s="3" t="inlineStr">
        <is>
          <t>노호리</t>
        </is>
      </c>
      <c r="H5531" s="3" t="inlineStr">
        <is>
          <t>계획관리지역</t>
        </is>
      </c>
      <c r="I5531" s="3" t="inlineStr">
        <is>
          <t>대</t>
        </is>
      </c>
      <c r="J5531" s="3" t="inlineStr">
        <is>
          <t>부강면</t>
        </is>
      </c>
    </row>
    <row r="5532">
      <c r="A5532" s="3" t="n">
        <v>2026</v>
      </c>
      <c r="B5532" s="4" t="n">
        <v>42178</v>
      </c>
      <c r="C5532" s="4" t="n">
        <v>711</v>
      </c>
      <c r="D5532" s="4" t="n">
        <v>215.0775</v>
      </c>
      <c r="E5532" s="5" t="n">
        <v>196.1</v>
      </c>
      <c r="F5532" s="3" t="inlineStr">
        <is>
          <t>연서면</t>
        </is>
      </c>
      <c r="G5532" s="3" t="inlineStr">
        <is>
          <t>월하리</t>
        </is>
      </c>
      <c r="H5532" s="3" t="inlineStr">
        <is>
          <t>자연녹지지역</t>
        </is>
      </c>
      <c r="I5532" s="3" t="inlineStr">
        <is>
          <t>과수원</t>
        </is>
      </c>
      <c r="J5532" s="3" t="inlineStr">
        <is>
          <t>연서면</t>
        </is>
      </c>
    </row>
    <row r="5533">
      <c r="A5533" s="3" t="n">
        <v>2026</v>
      </c>
      <c r="B5533" s="4" t="n">
        <v>13822</v>
      </c>
      <c r="C5533" s="4" t="n">
        <v>233</v>
      </c>
      <c r="D5533" s="4" t="n">
        <v>70.4825</v>
      </c>
      <c r="E5533" s="5" t="n">
        <v>196.1</v>
      </c>
      <c r="F5533" s="3" t="inlineStr">
        <is>
          <t>연서면</t>
        </is>
      </c>
      <c r="G5533" s="3" t="inlineStr">
        <is>
          <t>월하리</t>
        </is>
      </c>
      <c r="H5533" s="3" t="inlineStr">
        <is>
          <t>자연녹지지역</t>
        </is>
      </c>
      <c r="I5533" s="3" t="inlineStr">
        <is>
          <t>전</t>
        </is>
      </c>
      <c r="J5533" s="3" t="inlineStr">
        <is>
          <t>연서면</t>
        </is>
      </c>
    </row>
    <row r="5534">
      <c r="A5534" s="3" t="n">
        <v>2026</v>
      </c>
      <c r="B5534" s="4" t="n">
        <v>28000</v>
      </c>
      <c r="C5534" s="4" t="n">
        <v>1553</v>
      </c>
      <c r="D5534" s="4" t="n">
        <v>469.7825</v>
      </c>
      <c r="E5534" s="5" t="n">
        <v>59.6</v>
      </c>
      <c r="F5534" s="3" t="inlineStr">
        <is>
          <t>부강면</t>
        </is>
      </c>
      <c r="G5534" s="3" t="inlineStr">
        <is>
          <t>행산리</t>
        </is>
      </c>
      <c r="H5534" s="3" t="inlineStr">
        <is>
          <t>계획관리지역</t>
        </is>
      </c>
      <c r="I5534" s="3" t="inlineStr">
        <is>
          <t>답</t>
        </is>
      </c>
      <c r="J5534" s="3" t="inlineStr">
        <is>
          <t>부강면</t>
        </is>
      </c>
    </row>
    <row r="5535">
      <c r="A5535" s="3" t="n">
        <v>2026</v>
      </c>
      <c r="B5535" s="4" t="n">
        <v>50500</v>
      </c>
      <c r="C5535" s="4" t="n">
        <v>427</v>
      </c>
      <c r="D5535" s="4" t="n">
        <v>129.1675</v>
      </c>
      <c r="E5535" s="5" t="n">
        <v>391</v>
      </c>
      <c r="F5535" s="3" t="inlineStr">
        <is>
          <t>다정동</t>
        </is>
      </c>
      <c r="G5535" s="3" t="inlineStr"/>
      <c r="H5535" s="3" t="inlineStr">
        <is>
          <t>제1종전용주거지역</t>
        </is>
      </c>
      <c r="I5535" s="3" t="inlineStr">
        <is>
          <t>대</t>
        </is>
      </c>
      <c r="J5535" s="3" t="inlineStr">
        <is>
          <t>다정동</t>
        </is>
      </c>
    </row>
    <row r="5536">
      <c r="A5536" s="3" t="n">
        <v>2024</v>
      </c>
      <c r="B5536" s="4" t="n">
        <v>4950</v>
      </c>
      <c r="C5536" s="4" t="n">
        <v>151</v>
      </c>
      <c r="D5536" s="4" t="n">
        <v>45.6775</v>
      </c>
      <c r="E5536" s="5" t="n">
        <v>108.4</v>
      </c>
      <c r="F5536" s="3" t="inlineStr">
        <is>
          <t>연동면</t>
        </is>
      </c>
      <c r="G5536" s="3" t="inlineStr">
        <is>
          <t>명학리</t>
        </is>
      </c>
      <c r="H5536" s="3" t="inlineStr">
        <is>
          <t>계획관리지역</t>
        </is>
      </c>
      <c r="I5536" s="3" t="inlineStr">
        <is>
          <t>전</t>
        </is>
      </c>
      <c r="J5536" s="3" t="inlineStr">
        <is>
          <t>연동면</t>
        </is>
      </c>
    </row>
    <row r="5537">
      <c r="A5537" s="3" t="n">
        <v>2024</v>
      </c>
      <c r="B5537" s="4" t="n">
        <v>68500</v>
      </c>
      <c r="C5537" s="4" t="n">
        <v>372</v>
      </c>
      <c r="D5537" s="4" t="n">
        <v>112.53</v>
      </c>
      <c r="E5537" s="5" t="n">
        <v>608.7</v>
      </c>
      <c r="F5537" s="3" t="inlineStr">
        <is>
          <t>조치원읍</t>
        </is>
      </c>
      <c r="G5537" s="3" t="inlineStr">
        <is>
          <t>죽림리</t>
        </is>
      </c>
      <c r="H5537" s="3" t="inlineStr">
        <is>
          <t>제2종일반주거지역</t>
        </is>
      </c>
      <c r="I5537" s="3" t="inlineStr">
        <is>
          <t>대</t>
        </is>
      </c>
      <c r="J5537" s="3" t="inlineStr">
        <is>
          <t>조치원읍</t>
        </is>
      </c>
    </row>
    <row r="5538">
      <c r="A5538" s="3" t="n">
        <v>2024</v>
      </c>
      <c r="B5538" s="4" t="n">
        <v>137000</v>
      </c>
      <c r="C5538" s="4" t="n">
        <v>2297</v>
      </c>
      <c r="D5538" s="4" t="n">
        <v>694.8425</v>
      </c>
      <c r="E5538" s="5" t="n">
        <v>197.2</v>
      </c>
      <c r="F5538" s="3" t="inlineStr">
        <is>
          <t>연서면</t>
        </is>
      </c>
      <c r="G5538" s="3" t="inlineStr">
        <is>
          <t>쌍전리</t>
        </is>
      </c>
      <c r="H5538" s="3" t="inlineStr">
        <is>
          <t>자연녹지지역</t>
        </is>
      </c>
      <c r="I5538" s="3" t="inlineStr">
        <is>
          <t>임야</t>
        </is>
      </c>
      <c r="J5538" s="3" t="inlineStr">
        <is>
          <t>연서면</t>
        </is>
      </c>
    </row>
    <row r="5539">
      <c r="A5539" s="3" t="n">
        <v>2024</v>
      </c>
      <c r="B5539" s="4" t="n">
        <v>13000</v>
      </c>
      <c r="C5539" s="4" t="n">
        <v>224</v>
      </c>
      <c r="D5539" s="4" t="n">
        <v>67.75999999999999</v>
      </c>
      <c r="E5539" s="5" t="n">
        <v>191.9</v>
      </c>
      <c r="F5539" s="3" t="inlineStr">
        <is>
          <t>연서면</t>
        </is>
      </c>
      <c r="G5539" s="3" t="inlineStr">
        <is>
          <t>쌍전리</t>
        </is>
      </c>
      <c r="H5539" s="3" t="inlineStr">
        <is>
          <t>자연녹지지역</t>
        </is>
      </c>
      <c r="I5539" s="3" t="inlineStr">
        <is>
          <t>임야</t>
        </is>
      </c>
      <c r="J5539" s="3" t="inlineStr">
        <is>
          <t>연서면</t>
        </is>
      </c>
    </row>
    <row r="5540">
      <c r="A5540" s="3" t="n">
        <v>2024</v>
      </c>
      <c r="B5540" s="4" t="n">
        <v>42800</v>
      </c>
      <c r="C5540" s="4" t="n">
        <v>1345</v>
      </c>
      <c r="D5540" s="4" t="n">
        <v>406.8625</v>
      </c>
      <c r="E5540" s="5" t="n">
        <v>105.2</v>
      </c>
      <c r="F5540" s="3" t="inlineStr">
        <is>
          <t>연서면</t>
        </is>
      </c>
      <c r="G5540" s="3" t="inlineStr">
        <is>
          <t>쌍전리</t>
        </is>
      </c>
      <c r="H5540" s="3" t="inlineStr">
        <is>
          <t>자연녹지지역</t>
        </is>
      </c>
      <c r="I5540" s="3" t="inlineStr">
        <is>
          <t>과수원</t>
        </is>
      </c>
      <c r="J5540" s="3" t="inlineStr">
        <is>
          <t>연서면</t>
        </is>
      </c>
    </row>
    <row r="5541">
      <c r="A5541" s="3" t="n">
        <v>2024</v>
      </c>
      <c r="B5541" s="4" t="n">
        <v>87300</v>
      </c>
      <c r="C5541" s="4" t="n">
        <v>1580</v>
      </c>
      <c r="D5541" s="4" t="n">
        <v>477.95</v>
      </c>
      <c r="E5541" s="5" t="n">
        <v>182.7</v>
      </c>
      <c r="F5541" s="3" t="inlineStr">
        <is>
          <t>연서면</t>
        </is>
      </c>
      <c r="G5541" s="3" t="inlineStr">
        <is>
          <t>쌍전리</t>
        </is>
      </c>
      <c r="H5541" s="3" t="inlineStr">
        <is>
          <t>자연녹지지역</t>
        </is>
      </c>
      <c r="I5541" s="3" t="inlineStr">
        <is>
          <t>과수원</t>
        </is>
      </c>
      <c r="J5541" s="3" t="inlineStr">
        <is>
          <t>연서면</t>
        </is>
      </c>
    </row>
    <row r="5542">
      <c r="A5542" s="3" t="n">
        <v>2024</v>
      </c>
      <c r="B5542" s="4" t="n">
        <v>1650</v>
      </c>
      <c r="C5542" s="4" t="n">
        <v>30</v>
      </c>
      <c r="D5542" s="4" t="n">
        <v>9.074999999999999</v>
      </c>
      <c r="E5542" s="5" t="n">
        <v>181.8</v>
      </c>
      <c r="F5542" s="3" t="inlineStr">
        <is>
          <t>연서면</t>
        </is>
      </c>
      <c r="G5542" s="3" t="inlineStr">
        <is>
          <t>쌍전리</t>
        </is>
      </c>
      <c r="H5542" s="3" t="inlineStr">
        <is>
          <t>자연녹지지역</t>
        </is>
      </c>
      <c r="I5542" s="3" t="inlineStr">
        <is>
          <t>전</t>
        </is>
      </c>
      <c r="J5542" s="3" t="inlineStr">
        <is>
          <t>연서면</t>
        </is>
      </c>
    </row>
    <row r="5543">
      <c r="A5543" s="3" t="n">
        <v>2024</v>
      </c>
      <c r="B5543" s="4" t="n">
        <v>11050</v>
      </c>
      <c r="C5543" s="4" t="n">
        <v>200</v>
      </c>
      <c r="D5543" s="4" t="n">
        <v>60.5</v>
      </c>
      <c r="E5543" s="5" t="n">
        <v>182.6</v>
      </c>
      <c r="F5543" s="3" t="inlineStr">
        <is>
          <t>연서면</t>
        </is>
      </c>
      <c r="G5543" s="3" t="inlineStr">
        <is>
          <t>쌍전리</t>
        </is>
      </c>
      <c r="H5543" s="3" t="inlineStr">
        <is>
          <t>자연녹지지역</t>
        </is>
      </c>
      <c r="I5543" s="3" t="inlineStr">
        <is>
          <t>전</t>
        </is>
      </c>
      <c r="J5543" s="3" t="inlineStr">
        <is>
          <t>연서면</t>
        </is>
      </c>
    </row>
    <row r="5544">
      <c r="A5544" s="3" t="n">
        <v>2024</v>
      </c>
      <c r="B5544" s="4" t="n">
        <v>2783</v>
      </c>
      <c r="C5544" s="4" t="n">
        <v>46</v>
      </c>
      <c r="D5544" s="4" t="n">
        <v>13.915</v>
      </c>
      <c r="E5544" s="5" t="n">
        <v>200</v>
      </c>
      <c r="F5544" s="3" t="inlineStr">
        <is>
          <t>연동면</t>
        </is>
      </c>
      <c r="G5544" s="3" t="inlineStr">
        <is>
          <t>송용리</t>
        </is>
      </c>
      <c r="H5544" s="3" t="inlineStr">
        <is>
          <t>보전관리지역</t>
        </is>
      </c>
      <c r="I5544" s="3" t="inlineStr">
        <is>
          <t>대</t>
        </is>
      </c>
      <c r="J5544" s="3" t="inlineStr">
        <is>
          <t>연동면</t>
        </is>
      </c>
    </row>
    <row r="5545">
      <c r="A5545" s="3" t="n">
        <v>2022</v>
      </c>
      <c r="B5545" s="4" t="n">
        <v>27289</v>
      </c>
      <c r="C5545" s="4" t="n">
        <v>3111</v>
      </c>
      <c r="D5545" s="4" t="n">
        <v>941.0775</v>
      </c>
      <c r="E5545" s="5" t="n">
        <v>29</v>
      </c>
      <c r="F5545" s="3" t="inlineStr">
        <is>
          <t>연서면</t>
        </is>
      </c>
      <c r="G5545" s="3" t="inlineStr">
        <is>
          <t>쌍류리</t>
        </is>
      </c>
      <c r="H5545" s="3" t="inlineStr">
        <is>
          <t>생산관리지역</t>
        </is>
      </c>
      <c r="I5545" s="3" t="inlineStr">
        <is>
          <t>전</t>
        </is>
      </c>
      <c r="J5545" s="3" t="inlineStr">
        <is>
          <t>연서면</t>
        </is>
      </c>
    </row>
    <row r="5546">
      <c r="A5546" s="3" t="n">
        <v>2022</v>
      </c>
      <c r="B5546" s="4" t="n">
        <v>1500</v>
      </c>
      <c r="C5546" s="4" t="n">
        <v>290</v>
      </c>
      <c r="D5546" s="4" t="n">
        <v>87.72499999999999</v>
      </c>
      <c r="E5546" s="5" t="n">
        <v>17.1</v>
      </c>
      <c r="F5546" s="3" t="inlineStr">
        <is>
          <t>연서면</t>
        </is>
      </c>
      <c r="G5546" s="3" t="inlineStr">
        <is>
          <t>용암리</t>
        </is>
      </c>
      <c r="H5546" s="3" t="inlineStr">
        <is>
          <t>자연환경보전</t>
        </is>
      </c>
      <c r="I5546" s="3" t="inlineStr">
        <is>
          <t>임야</t>
        </is>
      </c>
      <c r="J5546" s="3" t="inlineStr">
        <is>
          <t>연서면</t>
        </is>
      </c>
    </row>
    <row r="5547">
      <c r="A5547" s="3" t="n">
        <v>2022</v>
      </c>
      <c r="B5547" s="4" t="n">
        <v>144383</v>
      </c>
      <c r="C5547" s="4" t="n">
        <v>740</v>
      </c>
      <c r="D5547" s="4" t="n">
        <v>223.85</v>
      </c>
      <c r="E5547" s="5" t="n">
        <v>645</v>
      </c>
      <c r="F5547" s="3" t="inlineStr">
        <is>
          <t>연서면</t>
        </is>
      </c>
      <c r="G5547" s="3" t="inlineStr">
        <is>
          <t>봉암리</t>
        </is>
      </c>
      <c r="H5547" s="3" t="inlineStr">
        <is>
          <t>계획관리지역</t>
        </is>
      </c>
      <c r="I5547" s="3" t="inlineStr">
        <is>
          <t>답</t>
        </is>
      </c>
      <c r="J5547" s="3" t="inlineStr">
        <is>
          <t>연서면</t>
        </is>
      </c>
    </row>
    <row r="5548">
      <c r="A5548" s="3" t="n">
        <v>2022</v>
      </c>
      <c r="B5548" s="4" t="n">
        <v>44486</v>
      </c>
      <c r="C5548" s="4" t="n">
        <v>228</v>
      </c>
      <c r="D5548" s="4" t="n">
        <v>68.97</v>
      </c>
      <c r="E5548" s="5" t="n">
        <v>645</v>
      </c>
      <c r="F5548" s="3" t="inlineStr">
        <is>
          <t>연서면</t>
        </is>
      </c>
      <c r="G5548" s="3" t="inlineStr">
        <is>
          <t>봉암리</t>
        </is>
      </c>
      <c r="H5548" s="3" t="inlineStr">
        <is>
          <t>계획관리지역</t>
        </is>
      </c>
      <c r="I5548" s="3" t="inlineStr">
        <is>
          <t>답</t>
        </is>
      </c>
      <c r="J5548" s="3" t="inlineStr">
        <is>
          <t>연서면</t>
        </is>
      </c>
    </row>
    <row r="5549">
      <c r="A5549" s="3" t="n">
        <v>2022</v>
      </c>
      <c r="B5549" s="4" t="n">
        <v>78000</v>
      </c>
      <c r="C5549" s="4" t="n">
        <v>353.4</v>
      </c>
      <c r="D5549" s="4" t="n">
        <v>106.9035</v>
      </c>
      <c r="E5549" s="5" t="n">
        <v>729.6</v>
      </c>
      <c r="F5549" s="3" t="inlineStr">
        <is>
          <t>한솔동</t>
        </is>
      </c>
      <c r="G5549" s="3" t="inlineStr"/>
      <c r="H5549" s="3" t="inlineStr">
        <is>
          <t>제1종전용주거지역</t>
        </is>
      </c>
      <c r="I5549" s="3" t="inlineStr">
        <is>
          <t>대</t>
        </is>
      </c>
      <c r="J5549" s="3" t="inlineStr">
        <is>
          <t>한솔동</t>
        </is>
      </c>
    </row>
    <row r="5550">
      <c r="A5550" s="3" t="n">
        <v>2022</v>
      </c>
      <c r="B5550" s="4" t="n">
        <v>16000</v>
      </c>
      <c r="C5550" s="4" t="n">
        <v>153</v>
      </c>
      <c r="D5550" s="4" t="n">
        <v>46.2825</v>
      </c>
      <c r="E5550" s="5" t="n">
        <v>345.7</v>
      </c>
      <c r="F5550" s="3" t="inlineStr">
        <is>
          <t>반곡동</t>
        </is>
      </c>
      <c r="G5550" s="3" t="inlineStr"/>
      <c r="H5550" s="3" t="inlineStr">
        <is>
          <t>제1종전용주거지역</t>
        </is>
      </c>
      <c r="I5550" s="3" t="inlineStr">
        <is>
          <t>대</t>
        </is>
      </c>
      <c r="J5550" s="3" t="inlineStr">
        <is>
          <t>반곡동</t>
        </is>
      </c>
    </row>
    <row r="5551">
      <c r="A5551" s="3" t="n">
        <v>2022</v>
      </c>
      <c r="B5551" s="4" t="n">
        <v>300</v>
      </c>
      <c r="C5551" s="4" t="n">
        <v>26</v>
      </c>
      <c r="D5551" s="4" t="n">
        <v>7.865</v>
      </c>
      <c r="E5551" s="5" t="n">
        <v>38.1</v>
      </c>
      <c r="F5551" s="3" t="inlineStr">
        <is>
          <t>부강면</t>
        </is>
      </c>
      <c r="G5551" s="3" t="inlineStr">
        <is>
          <t>등곡리</t>
        </is>
      </c>
      <c r="H5551" s="3" t="inlineStr">
        <is>
          <t>계획관리지역</t>
        </is>
      </c>
      <c r="I5551" s="3" t="inlineStr">
        <is>
          <t>전</t>
        </is>
      </c>
      <c r="J5551" s="3" t="inlineStr">
        <is>
          <t>부강면</t>
        </is>
      </c>
    </row>
    <row r="5552">
      <c r="A5552" s="3" t="n">
        <v>2022</v>
      </c>
      <c r="B5552" s="4" t="n">
        <v>2700</v>
      </c>
      <c r="C5552" s="4" t="n">
        <v>157</v>
      </c>
      <c r="D5552" s="4" t="n">
        <v>47.4925</v>
      </c>
      <c r="E5552" s="5" t="n">
        <v>56.9</v>
      </c>
      <c r="F5552" s="3" t="inlineStr">
        <is>
          <t>부강면</t>
        </is>
      </c>
      <c r="G5552" s="3" t="inlineStr">
        <is>
          <t>등곡리</t>
        </is>
      </c>
      <c r="H5552" s="3" t="inlineStr">
        <is>
          <t>계획관리지역</t>
        </is>
      </c>
      <c r="I5552" s="3" t="inlineStr">
        <is>
          <t>전</t>
        </is>
      </c>
      <c r="J5552" s="3" t="inlineStr">
        <is>
          <t>부강면</t>
        </is>
      </c>
    </row>
    <row r="5553">
      <c r="A5553" s="3" t="n">
        <v>2022</v>
      </c>
      <c r="B5553" s="4" t="n">
        <v>31000</v>
      </c>
      <c r="C5553" s="4" t="n">
        <v>330</v>
      </c>
      <c r="D5553" s="4" t="n">
        <v>99.825</v>
      </c>
      <c r="E5553" s="5" t="n">
        <v>310.5</v>
      </c>
      <c r="F5553" s="3" t="inlineStr">
        <is>
          <t>반곡동</t>
        </is>
      </c>
      <c r="G5553" s="3" t="inlineStr"/>
      <c r="H5553" s="3" t="inlineStr">
        <is>
          <t>제1종전용주거지역</t>
        </is>
      </c>
      <c r="I5553" s="3" t="inlineStr">
        <is>
          <t>대</t>
        </is>
      </c>
      <c r="J5553" s="3" t="inlineStr">
        <is>
          <t>반곡동</t>
        </is>
      </c>
    </row>
    <row r="5554">
      <c r="A5554" s="3" t="n">
        <v>2022</v>
      </c>
      <c r="B5554" s="4" t="n">
        <v>2700</v>
      </c>
      <c r="C5554" s="4" t="n">
        <v>60</v>
      </c>
      <c r="D5554" s="4" t="n">
        <v>18.15</v>
      </c>
      <c r="E5554" s="5" t="n">
        <v>148.8</v>
      </c>
      <c r="F5554" s="3" t="inlineStr">
        <is>
          <t>연서면</t>
        </is>
      </c>
      <c r="G5554" s="3" t="inlineStr">
        <is>
          <t>쌍류리</t>
        </is>
      </c>
      <c r="H5554" s="3" t="inlineStr">
        <is>
          <t>계획관리지역</t>
        </is>
      </c>
      <c r="I5554" s="3" t="inlineStr">
        <is>
          <t>임야</t>
        </is>
      </c>
      <c r="J5554" s="3" t="inlineStr">
        <is>
          <t>연서면</t>
        </is>
      </c>
    </row>
    <row r="5555">
      <c r="A5555" s="3" t="n">
        <v>2022</v>
      </c>
      <c r="B5555" s="4" t="n">
        <v>43000</v>
      </c>
      <c r="C5555" s="4" t="n">
        <v>1215</v>
      </c>
      <c r="D5555" s="4" t="n">
        <v>367.5375</v>
      </c>
      <c r="E5555" s="5" t="n">
        <v>117</v>
      </c>
      <c r="F5555" s="3" t="inlineStr">
        <is>
          <t>부강면</t>
        </is>
      </c>
      <c r="G5555" s="3" t="inlineStr">
        <is>
          <t>문곡리</t>
        </is>
      </c>
      <c r="H5555" s="3" t="inlineStr">
        <is>
          <t>계획관리지역</t>
        </is>
      </c>
      <c r="I5555" s="3" t="inlineStr">
        <is>
          <t>전</t>
        </is>
      </c>
      <c r="J5555" s="3" t="inlineStr">
        <is>
          <t>부강면</t>
        </is>
      </c>
    </row>
    <row r="5556">
      <c r="A5556" s="3" t="n">
        <v>2022</v>
      </c>
      <c r="B5556" s="4" t="n">
        <v>900</v>
      </c>
      <c r="C5556" s="4" t="n">
        <v>30</v>
      </c>
      <c r="D5556" s="4" t="n">
        <v>9.074999999999999</v>
      </c>
      <c r="E5556" s="5" t="n">
        <v>99.2</v>
      </c>
      <c r="F5556" s="3" t="inlineStr">
        <is>
          <t>연동면</t>
        </is>
      </c>
      <c r="G5556" s="3" t="inlineStr">
        <is>
          <t>노송리</t>
        </is>
      </c>
      <c r="H5556" s="3" t="inlineStr">
        <is>
          <t>계획관리지역</t>
        </is>
      </c>
      <c r="I5556" s="3" t="inlineStr">
        <is>
          <t>대</t>
        </is>
      </c>
      <c r="J5556" s="3" t="inlineStr">
        <is>
          <t>연동면</t>
        </is>
      </c>
    </row>
    <row r="5557">
      <c r="A5557" s="3" t="n">
        <v>2022</v>
      </c>
      <c r="B5557" s="4" t="n">
        <v>15500</v>
      </c>
      <c r="C5557" s="4" t="n">
        <v>159</v>
      </c>
      <c r="D5557" s="4" t="n">
        <v>48.0975</v>
      </c>
      <c r="E5557" s="5" t="n">
        <v>322.3</v>
      </c>
      <c r="F5557" s="3" t="inlineStr">
        <is>
          <t>반곡동</t>
        </is>
      </c>
      <c r="G5557" s="3" t="inlineStr"/>
      <c r="H5557" s="3" t="inlineStr">
        <is>
          <t>제1종전용주거지역</t>
        </is>
      </c>
      <c r="I5557" s="3" t="inlineStr">
        <is>
          <t>대</t>
        </is>
      </c>
      <c r="J5557" s="3" t="inlineStr">
        <is>
          <t>반곡동</t>
        </is>
      </c>
    </row>
    <row r="5558">
      <c r="A5558" s="3" t="n">
        <v>2022</v>
      </c>
      <c r="B5558" s="4" t="n">
        <v>7460</v>
      </c>
      <c r="C5558" s="4" t="n">
        <v>883</v>
      </c>
      <c r="D5558" s="4" t="n">
        <v>267.1075</v>
      </c>
      <c r="E5558" s="5" t="n">
        <v>27.9</v>
      </c>
      <c r="F5558" s="3" t="inlineStr">
        <is>
          <t>부강면</t>
        </is>
      </c>
      <c r="G5558" s="3" t="inlineStr">
        <is>
          <t>등곡리</t>
        </is>
      </c>
      <c r="H5558" s="3" t="inlineStr">
        <is>
          <t>생산관리지역</t>
        </is>
      </c>
      <c r="I5558" s="3" t="inlineStr">
        <is>
          <t>전</t>
        </is>
      </c>
      <c r="J5558" s="3" t="inlineStr">
        <is>
          <t>부강면</t>
        </is>
      </c>
    </row>
    <row r="5559">
      <c r="A5559" s="3" t="n">
        <v>2022</v>
      </c>
      <c r="B5559" s="4" t="n">
        <v>11040</v>
      </c>
      <c r="C5559" s="4" t="n">
        <v>1306</v>
      </c>
      <c r="D5559" s="4" t="n">
        <v>395.065</v>
      </c>
      <c r="E5559" s="5" t="n">
        <v>27.9</v>
      </c>
      <c r="F5559" s="3" t="inlineStr">
        <is>
          <t>부강면</t>
        </is>
      </c>
      <c r="G5559" s="3" t="inlineStr">
        <is>
          <t>등곡리</t>
        </is>
      </c>
      <c r="H5559" s="3" t="inlineStr">
        <is>
          <t>생산관리지역</t>
        </is>
      </c>
      <c r="I5559" s="3" t="inlineStr">
        <is>
          <t>전</t>
        </is>
      </c>
      <c r="J5559" s="3" t="inlineStr">
        <is>
          <t>부강면</t>
        </is>
      </c>
    </row>
    <row r="5560">
      <c r="A5560" s="3" t="n">
        <v>2022</v>
      </c>
      <c r="B5560" s="4" t="n">
        <v>16642</v>
      </c>
      <c r="C5560" s="4" t="n">
        <v>157</v>
      </c>
      <c r="D5560" s="4" t="n">
        <v>47.4925</v>
      </c>
      <c r="E5560" s="5" t="n">
        <v>350.4</v>
      </c>
      <c r="F5560" s="3" t="inlineStr">
        <is>
          <t>조치원읍</t>
        </is>
      </c>
      <c r="G5560" s="3" t="inlineStr">
        <is>
          <t>신흥리</t>
        </is>
      </c>
      <c r="H5560" s="3" t="inlineStr">
        <is>
          <t>제2종일반주거지역</t>
        </is>
      </c>
      <c r="I5560" s="3" t="inlineStr">
        <is>
          <t>대</t>
        </is>
      </c>
      <c r="J5560" s="3" t="inlineStr">
        <is>
          <t>조치원읍</t>
        </is>
      </c>
    </row>
    <row r="5561">
      <c r="A5561" s="3" t="n">
        <v>2022</v>
      </c>
      <c r="B5561" s="4" t="n">
        <v>4220</v>
      </c>
      <c r="C5561" s="4" t="n">
        <v>93</v>
      </c>
      <c r="D5561" s="4" t="n">
        <v>28.1325</v>
      </c>
      <c r="E5561" s="5" t="n">
        <v>150</v>
      </c>
      <c r="F5561" s="3" t="inlineStr">
        <is>
          <t>연서면</t>
        </is>
      </c>
      <c r="G5561" s="3" t="inlineStr">
        <is>
          <t>쌍류리</t>
        </is>
      </c>
      <c r="H5561" s="3" t="inlineStr">
        <is>
          <t>생산관리지역</t>
        </is>
      </c>
      <c r="I5561" s="3" t="inlineStr">
        <is>
          <t>전</t>
        </is>
      </c>
      <c r="J5561" s="3" t="inlineStr">
        <is>
          <t>연서면</t>
        </is>
      </c>
    </row>
    <row r="5562">
      <c r="A5562" s="3" t="n">
        <v>2022</v>
      </c>
      <c r="B5562" s="4" t="n">
        <v>24730</v>
      </c>
      <c r="C5562" s="4" t="n">
        <v>545</v>
      </c>
      <c r="D5562" s="4" t="n">
        <v>164.8625</v>
      </c>
      <c r="E5562" s="5" t="n">
        <v>150</v>
      </c>
      <c r="F5562" s="3" t="inlineStr">
        <is>
          <t>연서면</t>
        </is>
      </c>
      <c r="G5562" s="3" t="inlineStr">
        <is>
          <t>쌍류리</t>
        </is>
      </c>
      <c r="H5562" s="3" t="inlineStr">
        <is>
          <t>생산관리지역</t>
        </is>
      </c>
      <c r="I5562" s="3" t="inlineStr">
        <is>
          <t>전</t>
        </is>
      </c>
      <c r="J5562" s="3" t="inlineStr">
        <is>
          <t>연서면</t>
        </is>
      </c>
    </row>
    <row r="5563">
      <c r="A5563" s="3" t="n">
        <v>2022</v>
      </c>
      <c r="B5563" s="4" t="n">
        <v>19647</v>
      </c>
      <c r="C5563" s="4" t="n">
        <v>433</v>
      </c>
      <c r="D5563" s="4" t="n">
        <v>130.9825</v>
      </c>
      <c r="E5563" s="5" t="n">
        <v>150</v>
      </c>
      <c r="F5563" s="3" t="inlineStr">
        <is>
          <t>연서면</t>
        </is>
      </c>
      <c r="G5563" s="3" t="inlineStr">
        <is>
          <t>쌍류리</t>
        </is>
      </c>
      <c r="H5563" s="3" t="inlineStr">
        <is>
          <t>생산관리지역</t>
        </is>
      </c>
      <c r="I5563" s="3" t="inlineStr">
        <is>
          <t>전</t>
        </is>
      </c>
      <c r="J5563" s="3" t="inlineStr">
        <is>
          <t>연서면</t>
        </is>
      </c>
    </row>
    <row r="5564">
      <c r="A5564" s="3" t="n">
        <v>2022</v>
      </c>
      <c r="B5564" s="4" t="n">
        <v>8300</v>
      </c>
      <c r="C5564" s="4" t="n">
        <v>2022</v>
      </c>
      <c r="D5564" s="4" t="n">
        <v>611.655</v>
      </c>
      <c r="E5564" s="5" t="n">
        <v>13.6</v>
      </c>
      <c r="F5564" s="3" t="inlineStr">
        <is>
          <t>연서면</t>
        </is>
      </c>
      <c r="G5564" s="3" t="inlineStr">
        <is>
          <t>고복리</t>
        </is>
      </c>
      <c r="H5564" s="3" t="inlineStr">
        <is>
          <t>보전관리지역</t>
        </is>
      </c>
      <c r="I5564" s="3" t="inlineStr">
        <is>
          <t>임야</t>
        </is>
      </c>
      <c r="J5564" s="3" t="inlineStr">
        <is>
          <t>연서면</t>
        </is>
      </c>
    </row>
    <row r="5565">
      <c r="A5565" s="3" t="n">
        <v>2022</v>
      </c>
      <c r="B5565" s="4" t="n">
        <v>22370</v>
      </c>
      <c r="C5565" s="4" t="n">
        <v>1233</v>
      </c>
      <c r="D5565" s="4" t="n">
        <v>372.9825</v>
      </c>
      <c r="E5565" s="5" t="n">
        <v>60</v>
      </c>
      <c r="F5565" s="3" t="inlineStr">
        <is>
          <t>연동면</t>
        </is>
      </c>
      <c r="G5565" s="3" t="inlineStr">
        <is>
          <t>응암리</t>
        </is>
      </c>
      <c r="H5565" s="3" t="inlineStr">
        <is>
          <t>농림지역</t>
        </is>
      </c>
      <c r="I5565" s="3" t="inlineStr">
        <is>
          <t>답</t>
        </is>
      </c>
      <c r="J5565" s="3" t="inlineStr">
        <is>
          <t>연동면</t>
        </is>
      </c>
    </row>
    <row r="5566">
      <c r="A5566" s="3" t="n">
        <v>2022</v>
      </c>
      <c r="B5566" s="4" t="n">
        <v>9760</v>
      </c>
      <c r="C5566" s="4" t="n">
        <v>542</v>
      </c>
      <c r="D5566" s="4" t="n">
        <v>163.955</v>
      </c>
      <c r="E5566" s="5" t="n">
        <v>59.5</v>
      </c>
      <c r="F5566" s="3" t="inlineStr">
        <is>
          <t>연동면</t>
        </is>
      </c>
      <c r="G5566" s="3" t="inlineStr">
        <is>
          <t>응암리</t>
        </is>
      </c>
      <c r="H5566" s="3" t="inlineStr">
        <is>
          <t>계획관리지역</t>
        </is>
      </c>
      <c r="I5566" s="3" t="inlineStr">
        <is>
          <t>전</t>
        </is>
      </c>
      <c r="J5566" s="3" t="inlineStr">
        <is>
          <t>연동면</t>
        </is>
      </c>
    </row>
    <row r="5567">
      <c r="A5567" s="3" t="n">
        <v>2026</v>
      </c>
      <c r="B5567" s="4" t="n">
        <v>49500</v>
      </c>
      <c r="C5567" s="4" t="n">
        <v>319.9</v>
      </c>
      <c r="D5567" s="4" t="n">
        <v>96.76974999999999</v>
      </c>
      <c r="E5567" s="5" t="n">
        <v>511.5</v>
      </c>
      <c r="F5567" s="3" t="inlineStr">
        <is>
          <t>한솔동</t>
        </is>
      </c>
      <c r="G5567" s="3" t="inlineStr"/>
      <c r="H5567" s="3" t="inlineStr">
        <is>
          <t>제1종전용주거지역</t>
        </is>
      </c>
      <c r="I5567" s="3" t="inlineStr">
        <is>
          <t>대</t>
        </is>
      </c>
      <c r="J5567" s="3" t="inlineStr">
        <is>
          <t>한솔동</t>
        </is>
      </c>
    </row>
    <row r="5568">
      <c r="A5568" s="3" t="n">
        <v>2026</v>
      </c>
      <c r="B5568" s="4" t="n">
        <v>45000</v>
      </c>
      <c r="C5568" s="4" t="n">
        <v>327.4</v>
      </c>
      <c r="D5568" s="4" t="n">
        <v>99.03849999999998</v>
      </c>
      <c r="E5568" s="5" t="n">
        <v>454.4</v>
      </c>
      <c r="F5568" s="3" t="inlineStr">
        <is>
          <t>아름동</t>
        </is>
      </c>
      <c r="G5568" s="3" t="inlineStr"/>
      <c r="H5568" s="3" t="inlineStr">
        <is>
          <t>제1종전용주거지역</t>
        </is>
      </c>
      <c r="I5568" s="3" t="inlineStr">
        <is>
          <t>대</t>
        </is>
      </c>
      <c r="J5568" s="3" t="inlineStr">
        <is>
          <t>아름동</t>
        </is>
      </c>
    </row>
    <row r="5569">
      <c r="A5569" s="3" t="n">
        <v>2025</v>
      </c>
      <c r="B5569" s="4" t="n">
        <v>34000</v>
      </c>
      <c r="C5569" s="4" t="n">
        <v>1405</v>
      </c>
      <c r="D5569" s="4" t="n">
        <v>425.0125</v>
      </c>
      <c r="E5569" s="5" t="n">
        <v>80</v>
      </c>
      <c r="F5569" s="3" t="inlineStr">
        <is>
          <t>연서면</t>
        </is>
      </c>
      <c r="G5569" s="3" t="inlineStr">
        <is>
          <t>국촌리</t>
        </is>
      </c>
      <c r="H5569" s="3" t="inlineStr">
        <is>
          <t>농림지역</t>
        </is>
      </c>
      <c r="I5569" s="3" t="inlineStr">
        <is>
          <t>과수원</t>
        </is>
      </c>
      <c r="J5569" s="3" t="inlineStr">
        <is>
          <t>연서면</t>
        </is>
      </c>
    </row>
    <row r="5570">
      <c r="A5570" s="3" t="n">
        <v>2023</v>
      </c>
      <c r="B5570" s="4" t="n">
        <v>25000</v>
      </c>
      <c r="C5570" s="4" t="n">
        <v>767</v>
      </c>
      <c r="D5570" s="4" t="n">
        <v>232.0175</v>
      </c>
      <c r="E5570" s="5" t="n">
        <v>107.8</v>
      </c>
      <c r="F5570" s="3" t="inlineStr">
        <is>
          <t>연서면</t>
        </is>
      </c>
      <c r="G5570" s="3" t="inlineStr">
        <is>
          <t>월하리</t>
        </is>
      </c>
      <c r="H5570" s="3" t="inlineStr">
        <is>
          <t>자연녹지지역</t>
        </is>
      </c>
      <c r="I5570" s="3" t="inlineStr">
        <is>
          <t>전</t>
        </is>
      </c>
      <c r="J5570" s="3" t="inlineStr">
        <is>
          <t>연서면</t>
        </is>
      </c>
    </row>
    <row r="5571">
      <c r="A5571" s="3" t="n">
        <v>2023</v>
      </c>
      <c r="B5571" s="4" t="n">
        <v>5570</v>
      </c>
      <c r="C5571" s="4" t="n">
        <v>466</v>
      </c>
      <c r="D5571" s="4" t="n">
        <v>140.965</v>
      </c>
      <c r="E5571" s="5" t="n">
        <v>39.5</v>
      </c>
      <c r="F5571" s="3" t="inlineStr">
        <is>
          <t>부강면</t>
        </is>
      </c>
      <c r="G5571" s="3" t="inlineStr">
        <is>
          <t>부강리</t>
        </is>
      </c>
      <c r="H5571" s="3" t="inlineStr">
        <is>
          <t>보전관리지역</t>
        </is>
      </c>
      <c r="I5571" s="3" t="inlineStr">
        <is>
          <t>전</t>
        </is>
      </c>
      <c r="J5571" s="3" t="inlineStr">
        <is>
          <t>부강면</t>
        </is>
      </c>
    </row>
    <row r="5572">
      <c r="A5572" s="3" t="n">
        <v>2023</v>
      </c>
      <c r="B5572" s="4" t="n">
        <v>716</v>
      </c>
      <c r="C5572" s="4" t="n">
        <v>60</v>
      </c>
      <c r="D5572" s="4" t="n">
        <v>18.15</v>
      </c>
      <c r="E5572" s="5" t="n">
        <v>39.4</v>
      </c>
      <c r="F5572" s="3" t="inlineStr">
        <is>
          <t>부강면</t>
        </is>
      </c>
      <c r="G5572" s="3" t="inlineStr">
        <is>
          <t>부강리</t>
        </is>
      </c>
      <c r="H5572" s="3" t="inlineStr">
        <is>
          <t>보전관리지역</t>
        </is>
      </c>
      <c r="I5572" s="3" t="inlineStr">
        <is>
          <t>전</t>
        </is>
      </c>
      <c r="J5572" s="3" t="inlineStr">
        <is>
          <t>부강면</t>
        </is>
      </c>
    </row>
    <row r="5573">
      <c r="A5573" s="3" t="n">
        <v>2023</v>
      </c>
      <c r="B5573" s="4" t="n">
        <v>20972</v>
      </c>
      <c r="C5573" s="4" t="n">
        <v>1754</v>
      </c>
      <c r="D5573" s="4" t="n">
        <v>530.585</v>
      </c>
      <c r="E5573" s="5" t="n">
        <v>39.5</v>
      </c>
      <c r="F5573" s="3" t="inlineStr">
        <is>
          <t>부강면</t>
        </is>
      </c>
      <c r="G5573" s="3" t="inlineStr">
        <is>
          <t>부강리</t>
        </is>
      </c>
      <c r="H5573" s="3" t="inlineStr">
        <is>
          <t>보전관리지역</t>
        </is>
      </c>
      <c r="I5573" s="3" t="inlineStr">
        <is>
          <t>전</t>
        </is>
      </c>
      <c r="J5573" s="3" t="inlineStr">
        <is>
          <t>부강면</t>
        </is>
      </c>
    </row>
    <row r="5574">
      <c r="A5574" s="3" t="n">
        <v>2023</v>
      </c>
      <c r="B5574" s="4" t="n">
        <v>727</v>
      </c>
      <c r="C5574" s="4" t="n">
        <v>61</v>
      </c>
      <c r="D5574" s="4" t="n">
        <v>18.4525</v>
      </c>
      <c r="E5574" s="5" t="n">
        <v>39.4</v>
      </c>
      <c r="F5574" s="3" t="inlineStr">
        <is>
          <t>부강면</t>
        </is>
      </c>
      <c r="G5574" s="3" t="inlineStr">
        <is>
          <t>부강리</t>
        </is>
      </c>
      <c r="H5574" s="3" t="inlineStr">
        <is>
          <t>보전관리지역</t>
        </is>
      </c>
      <c r="I5574" s="3" t="inlineStr">
        <is>
          <t>전</t>
        </is>
      </c>
      <c r="J5574" s="3" t="inlineStr">
        <is>
          <t>부강면</t>
        </is>
      </c>
    </row>
    <row r="5575">
      <c r="A5575" s="3" t="n">
        <v>2023</v>
      </c>
      <c r="B5575" s="4" t="n">
        <v>11631</v>
      </c>
      <c r="C5575" s="4" t="n">
        <v>973</v>
      </c>
      <c r="D5575" s="4" t="n">
        <v>294.3325</v>
      </c>
      <c r="E5575" s="5" t="n">
        <v>39.5</v>
      </c>
      <c r="F5575" s="3" t="inlineStr">
        <is>
          <t>부강면</t>
        </is>
      </c>
      <c r="G5575" s="3" t="inlineStr">
        <is>
          <t>부강리</t>
        </is>
      </c>
      <c r="H5575" s="3" t="inlineStr">
        <is>
          <t>보전관리지역</t>
        </is>
      </c>
      <c r="I5575" s="3" t="inlineStr">
        <is>
          <t>임야</t>
        </is>
      </c>
      <c r="J5575" s="3" t="inlineStr">
        <is>
          <t>부강면</t>
        </is>
      </c>
    </row>
    <row r="5576">
      <c r="A5576" s="3" t="n">
        <v>2023</v>
      </c>
      <c r="B5576" s="4" t="n">
        <v>24301</v>
      </c>
      <c r="C5576" s="4" t="n">
        <v>2033</v>
      </c>
      <c r="D5576" s="4" t="n">
        <v>614.9825</v>
      </c>
      <c r="E5576" s="5" t="n">
        <v>39.5</v>
      </c>
      <c r="F5576" s="3" t="inlineStr">
        <is>
          <t>부강면</t>
        </is>
      </c>
      <c r="G5576" s="3" t="inlineStr">
        <is>
          <t>부강리</t>
        </is>
      </c>
      <c r="H5576" s="3" t="inlineStr">
        <is>
          <t>보전관리지역</t>
        </is>
      </c>
      <c r="I5576" s="3" t="inlineStr">
        <is>
          <t>임야</t>
        </is>
      </c>
      <c r="J5576" s="3" t="inlineStr">
        <is>
          <t>부강면</t>
        </is>
      </c>
    </row>
    <row r="5577">
      <c r="A5577" s="3" t="n">
        <v>2023</v>
      </c>
      <c r="B5577" s="4" t="n">
        <v>91083</v>
      </c>
      <c r="C5577" s="4" t="n">
        <v>7619</v>
      </c>
      <c r="D5577" s="4" t="n">
        <v>2304.7475</v>
      </c>
      <c r="E5577" s="5" t="n">
        <v>39.5</v>
      </c>
      <c r="F5577" s="3" t="inlineStr">
        <is>
          <t>부강면</t>
        </is>
      </c>
      <c r="G5577" s="3" t="inlineStr">
        <is>
          <t>부강리</t>
        </is>
      </c>
      <c r="H5577" s="3" t="inlineStr">
        <is>
          <t>보전관리지역</t>
        </is>
      </c>
      <c r="I5577" s="3" t="inlineStr">
        <is>
          <t>임야</t>
        </is>
      </c>
      <c r="J5577" s="3" t="inlineStr">
        <is>
          <t>부강면</t>
        </is>
      </c>
    </row>
    <row r="5578">
      <c r="A5578" s="3" t="n">
        <v>2026</v>
      </c>
      <c r="B5578" s="4" t="n">
        <v>48000</v>
      </c>
      <c r="C5578" s="4" t="n">
        <v>342.4</v>
      </c>
      <c r="D5578" s="4" t="n">
        <v>103.576</v>
      </c>
      <c r="E5578" s="5" t="n">
        <v>463.4</v>
      </c>
      <c r="F5578" s="3" t="inlineStr">
        <is>
          <t>아름동</t>
        </is>
      </c>
      <c r="G5578" s="3" t="inlineStr"/>
      <c r="H5578" s="3" t="inlineStr">
        <is>
          <t>제1종전용주거지역</t>
        </is>
      </c>
      <c r="I5578" s="3" t="inlineStr">
        <is>
          <t>대</t>
        </is>
      </c>
      <c r="J5578" s="3" t="inlineStr">
        <is>
          <t>아름동</t>
        </is>
      </c>
    </row>
    <row r="5579">
      <c r="A5579" s="3" t="n">
        <v>2026</v>
      </c>
      <c r="B5579" s="4" t="n">
        <v>265800</v>
      </c>
      <c r="C5579" s="4" t="n">
        <v>12138</v>
      </c>
      <c r="D5579" s="4" t="n">
        <v>3671.745</v>
      </c>
      <c r="E5579" s="5" t="n">
        <v>72.40000000000001</v>
      </c>
      <c r="F5579" s="3" t="inlineStr">
        <is>
          <t>연서면</t>
        </is>
      </c>
      <c r="G5579" s="3" t="inlineStr">
        <is>
          <t>국촌리</t>
        </is>
      </c>
      <c r="H5579" s="3" t="inlineStr">
        <is>
          <t>계획관리지역</t>
        </is>
      </c>
      <c r="I5579" s="3" t="inlineStr">
        <is>
          <t>임야</t>
        </is>
      </c>
      <c r="J5579" s="3" t="inlineStr">
        <is>
          <t>연서면</t>
        </is>
      </c>
    </row>
    <row r="5580">
      <c r="A5580" s="3" t="n">
        <v>2026</v>
      </c>
      <c r="B5580" s="4" t="n">
        <v>25000</v>
      </c>
      <c r="C5580" s="4" t="n">
        <v>213</v>
      </c>
      <c r="D5580" s="4" t="n">
        <v>64.4325</v>
      </c>
      <c r="E5580" s="5" t="n">
        <v>388</v>
      </c>
      <c r="F5580" s="3" t="inlineStr">
        <is>
          <t>연서면</t>
        </is>
      </c>
      <c r="G5580" s="3" t="inlineStr">
        <is>
          <t>국촌리</t>
        </is>
      </c>
      <c r="H5580" s="3" t="inlineStr">
        <is>
          <t>계획관리지역</t>
        </is>
      </c>
      <c r="I5580" s="3" t="inlineStr">
        <is>
          <t>임야</t>
        </is>
      </c>
      <c r="J5580" s="3" t="inlineStr">
        <is>
          <t>연서면</t>
        </is>
      </c>
    </row>
    <row r="5581">
      <c r="A5581" s="3" t="n">
        <v>2026</v>
      </c>
      <c r="B5581" s="4" t="n">
        <v>15000</v>
      </c>
      <c r="C5581" s="4" t="n">
        <v>100</v>
      </c>
      <c r="D5581" s="4" t="n">
        <v>30.25</v>
      </c>
      <c r="E5581" s="5" t="n">
        <v>495.9</v>
      </c>
      <c r="F5581" s="3" t="inlineStr">
        <is>
          <t>부강면</t>
        </is>
      </c>
      <c r="G5581" s="3" t="inlineStr">
        <is>
          <t>부강리</t>
        </is>
      </c>
      <c r="H5581" s="3" t="inlineStr">
        <is>
          <t>제2종일반주거지역</t>
        </is>
      </c>
      <c r="I5581" s="3" t="inlineStr">
        <is>
          <t>답</t>
        </is>
      </c>
      <c r="J5581" s="3" t="inlineStr">
        <is>
          <t>부강면</t>
        </is>
      </c>
    </row>
    <row r="5582">
      <c r="A5582" s="3" t="n">
        <v>2023</v>
      </c>
      <c r="B5582" s="4" t="n">
        <v>33500</v>
      </c>
      <c r="C5582" s="4" t="n">
        <v>279</v>
      </c>
      <c r="D5582" s="4" t="n">
        <v>84.39749999999999</v>
      </c>
      <c r="E5582" s="5" t="n">
        <v>396.9</v>
      </c>
      <c r="F5582" s="3" t="inlineStr">
        <is>
          <t>조치원읍</t>
        </is>
      </c>
      <c r="G5582" s="3" t="inlineStr">
        <is>
          <t>죽림리</t>
        </is>
      </c>
      <c r="H5582" s="3" t="inlineStr">
        <is>
          <t>제2종일반주거지역</t>
        </is>
      </c>
      <c r="I5582" s="3" t="inlineStr">
        <is>
          <t>전</t>
        </is>
      </c>
      <c r="J5582" s="3" t="inlineStr">
        <is>
          <t>조치원읍</t>
        </is>
      </c>
    </row>
    <row r="5583">
      <c r="A5583" s="3" t="n">
        <v>2023</v>
      </c>
      <c r="B5583" s="4" t="n">
        <v>3266</v>
      </c>
      <c r="C5583" s="4" t="n">
        <v>45</v>
      </c>
      <c r="D5583" s="4" t="n">
        <v>13.6125</v>
      </c>
      <c r="E5583" s="5" t="n">
        <v>239.9</v>
      </c>
      <c r="F5583" s="3" t="inlineStr">
        <is>
          <t>연동면</t>
        </is>
      </c>
      <c r="G5583" s="3" t="inlineStr">
        <is>
          <t>송용리</t>
        </is>
      </c>
      <c r="H5583" s="3" t="inlineStr">
        <is>
          <t>계획관리지역</t>
        </is>
      </c>
      <c r="I5583" s="3" t="inlineStr">
        <is>
          <t>대</t>
        </is>
      </c>
      <c r="J5583" s="3" t="inlineStr">
        <is>
          <t>연동면</t>
        </is>
      </c>
    </row>
    <row r="5584">
      <c r="A5584" s="3" t="n">
        <v>2023</v>
      </c>
      <c r="B5584" s="4" t="n">
        <v>2684</v>
      </c>
      <c r="C5584" s="4" t="n">
        <v>37</v>
      </c>
      <c r="D5584" s="4" t="n">
        <v>11.1925</v>
      </c>
      <c r="E5584" s="5" t="n">
        <v>239.8</v>
      </c>
      <c r="F5584" s="3" t="inlineStr">
        <is>
          <t>연동면</t>
        </is>
      </c>
      <c r="G5584" s="3" t="inlineStr">
        <is>
          <t>송용리</t>
        </is>
      </c>
      <c r="H5584" s="3" t="inlineStr">
        <is>
          <t>계획관리지역</t>
        </is>
      </c>
      <c r="I5584" s="3" t="inlineStr">
        <is>
          <t>대</t>
        </is>
      </c>
      <c r="J5584" s="3" t="inlineStr">
        <is>
          <t>연동면</t>
        </is>
      </c>
    </row>
    <row r="5585">
      <c r="A5585" s="3" t="n">
        <v>2023</v>
      </c>
      <c r="B5585" s="4" t="n">
        <v>34000</v>
      </c>
      <c r="C5585" s="4" t="n">
        <v>982</v>
      </c>
      <c r="D5585" s="4" t="n">
        <v>297.055</v>
      </c>
      <c r="E5585" s="5" t="n">
        <v>114.5</v>
      </c>
      <c r="F5585" s="3" t="inlineStr">
        <is>
          <t>연서면</t>
        </is>
      </c>
      <c r="G5585" s="3" t="inlineStr">
        <is>
          <t>와촌리</t>
        </is>
      </c>
      <c r="H5585" s="3" t="inlineStr">
        <is>
          <t>생산관리지역</t>
        </is>
      </c>
      <c r="I5585" s="3" t="inlineStr">
        <is>
          <t>전</t>
        </is>
      </c>
      <c r="J5585" s="3" t="inlineStr">
        <is>
          <t>연서면</t>
        </is>
      </c>
    </row>
    <row r="5586">
      <c r="A5586" s="3" t="n">
        <v>2024</v>
      </c>
      <c r="B5586" s="4" t="n">
        <v>12922</v>
      </c>
      <c r="C5586" s="4" t="n">
        <v>521.6</v>
      </c>
      <c r="D5586" s="4" t="n">
        <v>157.784</v>
      </c>
      <c r="E5586" s="5" t="n">
        <v>81.90000000000001</v>
      </c>
      <c r="F5586" s="3" t="inlineStr">
        <is>
          <t>연동면</t>
        </is>
      </c>
      <c r="G5586" s="3" t="inlineStr">
        <is>
          <t>예양리</t>
        </is>
      </c>
      <c r="H5586" s="3" t="inlineStr">
        <is>
          <t>농림지역</t>
        </is>
      </c>
      <c r="I5586" s="3" t="inlineStr">
        <is>
          <t>전</t>
        </is>
      </c>
      <c r="J5586" s="3" t="inlineStr">
        <is>
          <t>연동면</t>
        </is>
      </c>
    </row>
    <row r="5587">
      <c r="A5587" s="3" t="n">
        <v>2024</v>
      </c>
      <c r="B5587" s="4" t="n">
        <v>2702</v>
      </c>
      <c r="C5587" s="4" t="n">
        <v>61</v>
      </c>
      <c r="D5587" s="4" t="n">
        <v>18.4525</v>
      </c>
      <c r="E5587" s="5" t="n">
        <v>146.4</v>
      </c>
      <c r="F5587" s="3" t="inlineStr">
        <is>
          <t>조치원읍</t>
        </is>
      </c>
      <c r="G5587" s="3" t="inlineStr">
        <is>
          <t>남리</t>
        </is>
      </c>
      <c r="H5587" s="3" t="inlineStr">
        <is>
          <t>자연녹지지역</t>
        </is>
      </c>
      <c r="I5587" s="3" t="inlineStr">
        <is>
          <t>전</t>
        </is>
      </c>
      <c r="J5587" s="3" t="inlineStr">
        <is>
          <t>조치원읍</t>
        </is>
      </c>
    </row>
    <row r="5588">
      <c r="A5588" s="3" t="n">
        <v>2026</v>
      </c>
      <c r="B5588" s="4" t="n">
        <v>26500</v>
      </c>
      <c r="C5588" s="4" t="n">
        <v>1246</v>
      </c>
      <c r="D5588" s="4" t="n">
        <v>376.915</v>
      </c>
      <c r="E5588" s="5" t="n">
        <v>70.3</v>
      </c>
      <c r="F5588" s="3" t="inlineStr">
        <is>
          <t>연서면</t>
        </is>
      </c>
      <c r="G5588" s="3" t="inlineStr">
        <is>
          <t>신대리</t>
        </is>
      </c>
      <c r="H5588" s="3" t="inlineStr">
        <is>
          <t>계획관리지역</t>
        </is>
      </c>
      <c r="I5588" s="3" t="inlineStr">
        <is>
          <t>전</t>
        </is>
      </c>
      <c r="J5588" s="3" t="inlineStr">
        <is>
          <t>연서면</t>
        </is>
      </c>
    </row>
    <row r="5589">
      <c r="A5589" s="3" t="n">
        <v>2026</v>
      </c>
      <c r="B5589" s="4" t="n">
        <v>34000</v>
      </c>
      <c r="C5589" s="4" t="n">
        <v>652</v>
      </c>
      <c r="D5589" s="4" t="n">
        <v>197.23</v>
      </c>
      <c r="E5589" s="5" t="n">
        <v>172.4</v>
      </c>
      <c r="F5589" s="3" t="inlineStr">
        <is>
          <t>연동면</t>
        </is>
      </c>
      <c r="G5589" s="3" t="inlineStr">
        <is>
          <t>합강리</t>
        </is>
      </c>
      <c r="H5589" s="3" t="inlineStr">
        <is>
          <t>보전관리지역</t>
        </is>
      </c>
      <c r="I5589" s="3" t="inlineStr">
        <is>
          <t>전</t>
        </is>
      </c>
      <c r="J5589" s="3" t="inlineStr">
        <is>
          <t>연동면</t>
        </is>
      </c>
    </row>
    <row r="5590">
      <c r="A5590" s="3" t="n">
        <v>2026</v>
      </c>
      <c r="B5590" s="4" t="n">
        <v>6000</v>
      </c>
      <c r="C5590" s="4" t="n">
        <v>1094</v>
      </c>
      <c r="D5590" s="4" t="n">
        <v>330.935</v>
      </c>
      <c r="E5590" s="5" t="n">
        <v>18.1</v>
      </c>
      <c r="F5590" s="3" t="inlineStr">
        <is>
          <t>부강면</t>
        </is>
      </c>
      <c r="G5590" s="3" t="inlineStr">
        <is>
          <t>문곡리</t>
        </is>
      </c>
      <c r="H5590" s="3" t="inlineStr">
        <is>
          <t>계획관리지역</t>
        </is>
      </c>
      <c r="I5590" s="3" t="inlineStr">
        <is>
          <t>답</t>
        </is>
      </c>
      <c r="J5590" s="3" t="inlineStr">
        <is>
          <t>부강면</t>
        </is>
      </c>
    </row>
    <row r="5591">
      <c r="A5591" s="3" t="n">
        <v>2026</v>
      </c>
      <c r="B5591" s="4" t="n">
        <v>1000</v>
      </c>
      <c r="C5591" s="4" t="n">
        <v>205</v>
      </c>
      <c r="D5591" s="4" t="n">
        <v>62.0125</v>
      </c>
      <c r="E5591" s="5" t="n">
        <v>16.1</v>
      </c>
      <c r="F5591" s="3" t="inlineStr">
        <is>
          <t>부강면</t>
        </is>
      </c>
      <c r="G5591" s="3" t="inlineStr">
        <is>
          <t>문곡리</t>
        </is>
      </c>
      <c r="H5591" s="3" t="inlineStr">
        <is>
          <t>계획관리지역</t>
        </is>
      </c>
      <c r="I5591" s="3" t="inlineStr">
        <is>
          <t>답</t>
        </is>
      </c>
      <c r="J5591" s="3" t="inlineStr">
        <is>
          <t>부강면</t>
        </is>
      </c>
    </row>
    <row r="5592">
      <c r="A5592" s="3" t="n">
        <v>2026</v>
      </c>
      <c r="B5592" s="4" t="n">
        <v>4000</v>
      </c>
      <c r="C5592" s="4" t="n">
        <v>3570</v>
      </c>
      <c r="D5592" s="4" t="n">
        <v>1079.925</v>
      </c>
      <c r="E5592" s="5" t="n">
        <v>3.7</v>
      </c>
      <c r="F5592" s="3" t="inlineStr">
        <is>
          <t>부강면</t>
        </is>
      </c>
      <c r="G5592" s="3" t="inlineStr">
        <is>
          <t>문곡리</t>
        </is>
      </c>
      <c r="H5592" s="3" t="inlineStr">
        <is>
          <t>보전관리지역</t>
        </is>
      </c>
      <c r="I5592" s="3" t="inlineStr">
        <is>
          <t>임야</t>
        </is>
      </c>
      <c r="J5592" s="3" t="inlineStr">
        <is>
          <t>부강면</t>
        </is>
      </c>
    </row>
    <row r="5593">
      <c r="A5593" s="3" t="n">
        <v>2026</v>
      </c>
      <c r="B5593" s="4" t="n">
        <v>62000</v>
      </c>
      <c r="C5593" s="4" t="n">
        <v>441</v>
      </c>
      <c r="D5593" s="4" t="n">
        <v>133.4025</v>
      </c>
      <c r="E5593" s="5" t="n">
        <v>464.8</v>
      </c>
      <c r="F5593" s="3" t="inlineStr">
        <is>
          <t>고운동</t>
        </is>
      </c>
      <c r="G5593" s="3" t="inlineStr"/>
      <c r="H5593" s="3" t="inlineStr">
        <is>
          <t>제1종전용주거지역</t>
        </is>
      </c>
      <c r="I5593" s="3" t="inlineStr">
        <is>
          <t>대</t>
        </is>
      </c>
      <c r="J5593" s="3" t="inlineStr">
        <is>
          <t>고운동</t>
        </is>
      </c>
    </row>
    <row r="5594">
      <c r="A5594" s="3" t="n">
        <v>2026</v>
      </c>
      <c r="B5594" s="4" t="n">
        <v>40000</v>
      </c>
      <c r="C5594" s="4" t="n">
        <v>330</v>
      </c>
      <c r="D5594" s="4" t="n">
        <v>99.825</v>
      </c>
      <c r="E5594" s="5" t="n">
        <v>400.7</v>
      </c>
      <c r="F5594" s="3" t="inlineStr">
        <is>
          <t>고운동</t>
        </is>
      </c>
      <c r="G5594" s="3" t="inlineStr"/>
      <c r="H5594" s="3" t="inlineStr">
        <is>
          <t>제1종전용주거지역</t>
        </is>
      </c>
      <c r="I5594" s="3" t="inlineStr">
        <is>
          <t>대</t>
        </is>
      </c>
      <c r="J5594" s="3" t="inlineStr">
        <is>
          <t>고운동</t>
        </is>
      </c>
    </row>
    <row r="5595">
      <c r="A5595" s="3" t="n">
        <v>2026</v>
      </c>
      <c r="B5595" s="4" t="n">
        <v>150000</v>
      </c>
      <c r="C5595" s="4" t="n">
        <v>426.8</v>
      </c>
      <c r="D5595" s="4" t="n">
        <v>129.107</v>
      </c>
      <c r="E5595" s="5" t="n">
        <v>1161.8</v>
      </c>
      <c r="F5595" s="3" t="inlineStr">
        <is>
          <t>해밀동</t>
        </is>
      </c>
      <c r="G5595" s="3" t="inlineStr"/>
      <c r="H5595" s="3" t="inlineStr">
        <is>
          <t>제2종일반주거지역</t>
        </is>
      </c>
      <c r="I5595" s="3" t="inlineStr">
        <is>
          <t>대</t>
        </is>
      </c>
      <c r="J5595" s="3" t="inlineStr">
        <is>
          <t>해밀동</t>
        </is>
      </c>
    </row>
    <row r="5596">
      <c r="A5596" s="3" t="n">
        <v>2023</v>
      </c>
      <c r="B5596" s="4" t="n">
        <v>63000</v>
      </c>
      <c r="C5596" s="4" t="n">
        <v>1323</v>
      </c>
      <c r="D5596" s="4" t="n">
        <v>400.2075</v>
      </c>
      <c r="E5596" s="5" t="n">
        <v>157.4</v>
      </c>
      <c r="F5596" s="3" t="inlineStr">
        <is>
          <t>부강면</t>
        </is>
      </c>
      <c r="G5596" s="3" t="inlineStr">
        <is>
          <t>금호리</t>
        </is>
      </c>
      <c r="H5596" s="3" t="inlineStr">
        <is>
          <t>계획관리지역</t>
        </is>
      </c>
      <c r="I5596" s="3" t="inlineStr">
        <is>
          <t>전</t>
        </is>
      </c>
      <c r="J5596" s="3" t="inlineStr">
        <is>
          <t>부강면</t>
        </is>
      </c>
    </row>
    <row r="5597">
      <c r="A5597" s="3" t="n">
        <v>2023</v>
      </c>
      <c r="B5597" s="4" t="n">
        <v>13000</v>
      </c>
      <c r="C5597" s="4" t="n">
        <v>1031</v>
      </c>
      <c r="D5597" s="4" t="n">
        <v>311.8775</v>
      </c>
      <c r="E5597" s="5" t="n">
        <v>41.7</v>
      </c>
      <c r="F5597" s="3" t="inlineStr">
        <is>
          <t>부강면</t>
        </is>
      </c>
      <c r="G5597" s="3" t="inlineStr">
        <is>
          <t>금호리</t>
        </is>
      </c>
      <c r="H5597" s="3" t="inlineStr">
        <is>
          <t>계획관리지역</t>
        </is>
      </c>
      <c r="I5597" s="3" t="inlineStr">
        <is>
          <t>임야</t>
        </is>
      </c>
      <c r="J5597" s="3" t="inlineStr">
        <is>
          <t>부강면</t>
        </is>
      </c>
    </row>
    <row r="5598">
      <c r="A5598" s="3" t="n">
        <v>2023</v>
      </c>
      <c r="B5598" s="4" t="n">
        <v>63500</v>
      </c>
      <c r="C5598" s="4" t="n">
        <v>972</v>
      </c>
      <c r="D5598" s="4" t="n">
        <v>294.03</v>
      </c>
      <c r="E5598" s="5" t="n">
        <v>216</v>
      </c>
      <c r="F5598" s="3" t="inlineStr">
        <is>
          <t>연서면</t>
        </is>
      </c>
      <c r="G5598" s="3" t="inlineStr">
        <is>
          <t>월하리</t>
        </is>
      </c>
      <c r="H5598" s="3" t="inlineStr">
        <is>
          <t>자연녹지지역</t>
        </is>
      </c>
      <c r="I5598" s="3" t="inlineStr">
        <is>
          <t>답</t>
        </is>
      </c>
      <c r="J5598" s="3" t="inlineStr">
        <is>
          <t>연서면</t>
        </is>
      </c>
    </row>
    <row r="5599">
      <c r="A5599" s="3" t="n">
        <v>2023</v>
      </c>
      <c r="B5599" s="4" t="n">
        <v>2100</v>
      </c>
      <c r="C5599" s="4" t="n">
        <v>32</v>
      </c>
      <c r="D5599" s="4" t="n">
        <v>9.68</v>
      </c>
      <c r="E5599" s="5" t="n">
        <v>216.9</v>
      </c>
      <c r="F5599" s="3" t="inlineStr">
        <is>
          <t>연서면</t>
        </is>
      </c>
      <c r="G5599" s="3" t="inlineStr">
        <is>
          <t>월하리</t>
        </is>
      </c>
      <c r="H5599" s="3" t="inlineStr">
        <is>
          <t>자연녹지지역</t>
        </is>
      </c>
      <c r="I5599" s="3" t="inlineStr">
        <is>
          <t>답</t>
        </is>
      </c>
      <c r="J5599" s="3" t="inlineStr">
        <is>
          <t>연서면</t>
        </is>
      </c>
    </row>
    <row r="5600">
      <c r="A5600" s="3" t="n">
        <v>2023</v>
      </c>
      <c r="B5600" s="4" t="n">
        <v>4900</v>
      </c>
      <c r="C5600" s="4" t="n">
        <v>164</v>
      </c>
      <c r="D5600" s="4" t="n">
        <v>49.61</v>
      </c>
      <c r="E5600" s="5" t="n">
        <v>98.8</v>
      </c>
      <c r="F5600" s="3" t="inlineStr">
        <is>
          <t>연서면</t>
        </is>
      </c>
      <c r="G5600" s="3" t="inlineStr">
        <is>
          <t>월하리</t>
        </is>
      </c>
      <c r="H5600" s="3" t="inlineStr">
        <is>
          <t>자연녹지지역</t>
        </is>
      </c>
      <c r="I5600" s="3" t="inlineStr">
        <is>
          <t>전</t>
        </is>
      </c>
      <c r="J5600" s="3" t="inlineStr">
        <is>
          <t>연서면</t>
        </is>
      </c>
    </row>
    <row r="5601">
      <c r="A5601" s="3" t="n">
        <v>2025</v>
      </c>
      <c r="B5601" s="4" t="n">
        <v>19000</v>
      </c>
      <c r="C5601" s="4" t="n">
        <v>1845</v>
      </c>
      <c r="D5601" s="4" t="n">
        <v>558.1125</v>
      </c>
      <c r="E5601" s="5" t="n">
        <v>34</v>
      </c>
      <c r="F5601" s="3" t="inlineStr">
        <is>
          <t>부강면</t>
        </is>
      </c>
      <c r="G5601" s="3" t="inlineStr">
        <is>
          <t>금호리</t>
        </is>
      </c>
      <c r="H5601" s="3" t="inlineStr">
        <is>
          <t>농림지역</t>
        </is>
      </c>
      <c r="I5601" s="3" t="inlineStr">
        <is>
          <t>답</t>
        </is>
      </c>
      <c r="J5601" s="3" t="inlineStr">
        <is>
          <t>부강면</t>
        </is>
      </c>
    </row>
    <row r="5602">
      <c r="A5602" s="3" t="n">
        <v>2025</v>
      </c>
      <c r="B5602" s="4" t="n">
        <v>53000</v>
      </c>
      <c r="C5602" s="4" t="n">
        <v>3212.3</v>
      </c>
      <c r="D5602" s="4" t="n">
        <v>971.7207500000001</v>
      </c>
      <c r="E5602" s="5" t="n">
        <v>54.5</v>
      </c>
      <c r="F5602" s="3" t="inlineStr">
        <is>
          <t>연동면</t>
        </is>
      </c>
      <c r="G5602" s="3" t="inlineStr">
        <is>
          <t>송용리</t>
        </is>
      </c>
      <c r="H5602" s="3" t="inlineStr">
        <is>
          <t>농림지역</t>
        </is>
      </c>
      <c r="I5602" s="3" t="inlineStr">
        <is>
          <t>답</t>
        </is>
      </c>
      <c r="J5602" s="3" t="inlineStr">
        <is>
          <t>연동면</t>
        </is>
      </c>
    </row>
    <row r="5603">
      <c r="A5603" s="3" t="n">
        <v>2025</v>
      </c>
      <c r="B5603" s="4" t="n">
        <v>8700</v>
      </c>
      <c r="C5603" s="4" t="n">
        <v>99</v>
      </c>
      <c r="D5603" s="4" t="n">
        <v>29.9475</v>
      </c>
      <c r="E5603" s="5" t="n">
        <v>290.5</v>
      </c>
      <c r="F5603" s="3" t="inlineStr">
        <is>
          <t>연동면</t>
        </is>
      </c>
      <c r="G5603" s="3" t="inlineStr">
        <is>
          <t>명학리</t>
        </is>
      </c>
      <c r="H5603" s="3" t="inlineStr">
        <is>
          <t>계획관리지역</t>
        </is>
      </c>
      <c r="I5603" s="3" t="inlineStr">
        <is>
          <t>임야</t>
        </is>
      </c>
      <c r="J5603" s="3" t="inlineStr">
        <is>
          <t>연동면</t>
        </is>
      </c>
    </row>
    <row r="5604">
      <c r="A5604" s="3" t="n">
        <v>2025</v>
      </c>
      <c r="B5604" s="4" t="n">
        <v>200</v>
      </c>
      <c r="C5604" s="4" t="n">
        <v>113</v>
      </c>
      <c r="D5604" s="4" t="n">
        <v>34.1825</v>
      </c>
      <c r="E5604" s="5" t="n">
        <v>5.9</v>
      </c>
      <c r="F5604" s="3" t="inlineStr">
        <is>
          <t>부강면</t>
        </is>
      </c>
      <c r="G5604" s="3" t="inlineStr">
        <is>
          <t>등곡리</t>
        </is>
      </c>
      <c r="H5604" s="3" t="inlineStr">
        <is>
          <t>계획관리지역</t>
        </is>
      </c>
      <c r="I5604" s="3" t="inlineStr">
        <is>
          <t>임야</t>
        </is>
      </c>
      <c r="J5604" s="3" t="inlineStr">
        <is>
          <t>부강면</t>
        </is>
      </c>
    </row>
    <row r="5605">
      <c r="A5605" s="3" t="n">
        <v>2025</v>
      </c>
      <c r="B5605" s="4" t="n">
        <v>30000</v>
      </c>
      <c r="C5605" s="4" t="n">
        <v>701</v>
      </c>
      <c r="D5605" s="4" t="n">
        <v>212.0525</v>
      </c>
      <c r="E5605" s="5" t="n">
        <v>141.5</v>
      </c>
      <c r="F5605" s="3" t="inlineStr">
        <is>
          <t>연동면</t>
        </is>
      </c>
      <c r="G5605" s="3" t="inlineStr">
        <is>
          <t>송용리</t>
        </is>
      </c>
      <c r="H5605" s="3" t="inlineStr">
        <is>
          <t>계획관리지역</t>
        </is>
      </c>
      <c r="I5605" s="3" t="inlineStr">
        <is>
          <t>대</t>
        </is>
      </c>
      <c r="J5605" s="3" t="inlineStr">
        <is>
          <t>연동면</t>
        </is>
      </c>
    </row>
    <row r="5606">
      <c r="A5606" s="3" t="n">
        <v>2025</v>
      </c>
      <c r="B5606" s="4" t="n">
        <v>12300</v>
      </c>
      <c r="C5606" s="4" t="n">
        <v>1289</v>
      </c>
      <c r="D5606" s="4" t="n">
        <v>389.9225</v>
      </c>
      <c r="E5606" s="5" t="n">
        <v>31.5</v>
      </c>
      <c r="F5606" s="3" t="inlineStr">
        <is>
          <t>부강면</t>
        </is>
      </c>
      <c r="G5606" s="3" t="inlineStr">
        <is>
          <t>문곡리</t>
        </is>
      </c>
      <c r="H5606" s="3" t="inlineStr">
        <is>
          <t>계획관리지역</t>
        </is>
      </c>
      <c r="I5606" s="3" t="inlineStr">
        <is>
          <t>답</t>
        </is>
      </c>
      <c r="J5606" s="3" t="inlineStr">
        <is>
          <t>부강면</t>
        </is>
      </c>
    </row>
    <row r="5607">
      <c r="A5607" s="3" t="n">
        <v>2024</v>
      </c>
      <c r="B5607" s="4" t="n">
        <v>11000</v>
      </c>
      <c r="C5607" s="4" t="n">
        <v>235</v>
      </c>
      <c r="D5607" s="4" t="n">
        <v>71.08749999999999</v>
      </c>
      <c r="E5607" s="5" t="n">
        <v>154.7</v>
      </c>
      <c r="F5607" s="3" t="inlineStr">
        <is>
          <t>연서면</t>
        </is>
      </c>
      <c r="G5607" s="3" t="inlineStr">
        <is>
          <t>신대리</t>
        </is>
      </c>
      <c r="H5607" s="3" t="inlineStr">
        <is>
          <t>계획관리지역</t>
        </is>
      </c>
      <c r="I5607" s="3" t="inlineStr">
        <is>
          <t>전</t>
        </is>
      </c>
      <c r="J5607" s="3" t="inlineStr">
        <is>
          <t>연서면</t>
        </is>
      </c>
    </row>
    <row r="5608">
      <c r="A5608" s="3" t="n">
        <v>2024</v>
      </c>
      <c r="B5608" s="4" t="n">
        <v>23667</v>
      </c>
      <c r="C5608" s="4" t="n">
        <v>483</v>
      </c>
      <c r="D5608" s="4" t="n">
        <v>146.1075</v>
      </c>
      <c r="E5608" s="5" t="n">
        <v>162</v>
      </c>
      <c r="F5608" s="3" t="inlineStr">
        <is>
          <t>부강면</t>
        </is>
      </c>
      <c r="G5608" s="3" t="inlineStr">
        <is>
          <t>등곡리</t>
        </is>
      </c>
      <c r="H5608" s="3" t="inlineStr">
        <is>
          <t>제1종일반주거지역</t>
        </is>
      </c>
      <c r="I5608" s="3" t="inlineStr">
        <is>
          <t>구거</t>
        </is>
      </c>
      <c r="J5608" s="3" t="inlineStr">
        <is>
          <t>부강면</t>
        </is>
      </c>
    </row>
    <row r="5609">
      <c r="A5609" s="3" t="n">
        <v>2024</v>
      </c>
      <c r="B5609" s="4" t="n">
        <v>53000</v>
      </c>
      <c r="C5609" s="4" t="n">
        <v>873</v>
      </c>
      <c r="D5609" s="4" t="n">
        <v>264.0825</v>
      </c>
      <c r="E5609" s="5" t="n">
        <v>200.7</v>
      </c>
      <c r="F5609" s="3" t="inlineStr">
        <is>
          <t>연동면</t>
        </is>
      </c>
      <c r="G5609" s="3" t="inlineStr">
        <is>
          <t>예양리</t>
        </is>
      </c>
      <c r="H5609" s="3" t="inlineStr">
        <is>
          <t>계획관리지역</t>
        </is>
      </c>
      <c r="I5609" s="3" t="inlineStr">
        <is>
          <t>전</t>
        </is>
      </c>
      <c r="J5609" s="3" t="inlineStr">
        <is>
          <t>연동면</t>
        </is>
      </c>
    </row>
    <row r="5610">
      <c r="A5610" s="3" t="n">
        <v>2024</v>
      </c>
      <c r="B5610" s="4" t="n">
        <v>45000</v>
      </c>
      <c r="C5610" s="4" t="n">
        <v>345.8</v>
      </c>
      <c r="D5610" s="4" t="n">
        <v>104.6045</v>
      </c>
      <c r="E5610" s="5" t="n">
        <v>430.2</v>
      </c>
      <c r="F5610" s="3" t="inlineStr">
        <is>
          <t>고운동</t>
        </is>
      </c>
      <c r="G5610" s="3" t="inlineStr"/>
      <c r="H5610" s="3" t="inlineStr">
        <is>
          <t>제1종전용주거지역</t>
        </is>
      </c>
      <c r="I5610" s="3" t="inlineStr">
        <is>
          <t>대</t>
        </is>
      </c>
      <c r="J5610" s="3" t="inlineStr">
        <is>
          <t>고운동</t>
        </is>
      </c>
    </row>
    <row r="5611">
      <c r="A5611" s="3" t="n">
        <v>2024</v>
      </c>
      <c r="B5611" s="4" t="n">
        <v>6400</v>
      </c>
      <c r="C5611" s="4" t="n">
        <v>529</v>
      </c>
      <c r="D5611" s="4" t="n">
        <v>160.0225</v>
      </c>
      <c r="E5611" s="5" t="n">
        <v>40</v>
      </c>
      <c r="F5611" s="3" t="inlineStr">
        <is>
          <t>연서면</t>
        </is>
      </c>
      <c r="G5611" s="3" t="inlineStr">
        <is>
          <t>고복리</t>
        </is>
      </c>
      <c r="H5611" s="3" t="inlineStr">
        <is>
          <t>생산관리지역</t>
        </is>
      </c>
      <c r="I5611" s="3" t="inlineStr">
        <is>
          <t>전</t>
        </is>
      </c>
      <c r="J5611" s="3" t="inlineStr">
        <is>
          <t>연서면</t>
        </is>
      </c>
    </row>
    <row r="5612">
      <c r="A5612" s="3" t="n">
        <v>2024</v>
      </c>
      <c r="B5612" s="4" t="n">
        <v>21120</v>
      </c>
      <c r="C5612" s="4" t="n">
        <v>1744</v>
      </c>
      <c r="D5612" s="4" t="n">
        <v>527.5599999999999</v>
      </c>
      <c r="E5612" s="5" t="n">
        <v>40</v>
      </c>
      <c r="F5612" s="3" t="inlineStr">
        <is>
          <t>연서면</t>
        </is>
      </c>
      <c r="G5612" s="3" t="inlineStr">
        <is>
          <t>고복리</t>
        </is>
      </c>
      <c r="H5612" s="3" t="inlineStr">
        <is>
          <t>생산관리지역</t>
        </is>
      </c>
      <c r="I5612" s="3" t="inlineStr">
        <is>
          <t>과수원</t>
        </is>
      </c>
      <c r="J5612" s="3" t="inlineStr">
        <is>
          <t>연서면</t>
        </is>
      </c>
    </row>
    <row r="5613">
      <c r="A5613" s="3" t="n">
        <v>2023</v>
      </c>
      <c r="B5613" s="4" t="n">
        <v>78000</v>
      </c>
      <c r="C5613" s="4" t="n">
        <v>1964</v>
      </c>
      <c r="D5613" s="4" t="n">
        <v>594.11</v>
      </c>
      <c r="E5613" s="5" t="n">
        <v>131.3</v>
      </c>
      <c r="F5613" s="3" t="inlineStr">
        <is>
          <t>연서면</t>
        </is>
      </c>
      <c r="G5613" s="3" t="inlineStr">
        <is>
          <t>봉암리</t>
        </is>
      </c>
      <c r="H5613" s="3" t="inlineStr">
        <is>
          <t>농림지역</t>
        </is>
      </c>
      <c r="I5613" s="3" t="inlineStr">
        <is>
          <t>답</t>
        </is>
      </c>
      <c r="J5613" s="3" t="inlineStr">
        <is>
          <t>연서면</t>
        </is>
      </c>
    </row>
    <row r="5614">
      <c r="A5614" s="3" t="n">
        <v>2023</v>
      </c>
      <c r="B5614" s="4" t="n">
        <v>60600</v>
      </c>
      <c r="C5614" s="4" t="n">
        <v>445</v>
      </c>
      <c r="D5614" s="4" t="n">
        <v>134.6125</v>
      </c>
      <c r="E5614" s="5" t="n">
        <v>450.2</v>
      </c>
      <c r="F5614" s="3" t="inlineStr">
        <is>
          <t>반곡동</t>
        </is>
      </c>
      <c r="G5614" s="3" t="inlineStr"/>
      <c r="H5614" s="3" t="inlineStr">
        <is>
          <t>제1종전용주거지역</t>
        </is>
      </c>
      <c r="I5614" s="3" t="inlineStr">
        <is>
          <t>대</t>
        </is>
      </c>
      <c r="J5614" s="3" t="inlineStr">
        <is>
          <t>반곡동</t>
        </is>
      </c>
    </row>
    <row r="5615">
      <c r="A5615" s="3" t="n">
        <v>2023</v>
      </c>
      <c r="B5615" s="4" t="n">
        <v>4690</v>
      </c>
      <c r="C5615" s="4" t="n">
        <v>100</v>
      </c>
      <c r="D5615" s="4" t="n">
        <v>30.25</v>
      </c>
      <c r="E5615" s="5" t="n">
        <v>155</v>
      </c>
      <c r="F5615" s="3" t="inlineStr">
        <is>
          <t>연서면</t>
        </is>
      </c>
      <c r="G5615" s="3" t="inlineStr">
        <is>
          <t>쌍전리</t>
        </is>
      </c>
      <c r="H5615" s="3" t="inlineStr">
        <is>
          <t>자연녹지지역</t>
        </is>
      </c>
      <c r="I5615" s="3" t="inlineStr">
        <is>
          <t>전</t>
        </is>
      </c>
      <c r="J5615" s="3" t="inlineStr">
        <is>
          <t>연서면</t>
        </is>
      </c>
    </row>
    <row r="5616">
      <c r="A5616" s="3" t="n">
        <v>2023</v>
      </c>
      <c r="B5616" s="4" t="n">
        <v>43300</v>
      </c>
      <c r="C5616" s="4" t="n">
        <v>1431</v>
      </c>
      <c r="D5616" s="4" t="n">
        <v>432.8775</v>
      </c>
      <c r="E5616" s="5" t="n">
        <v>100</v>
      </c>
      <c r="F5616" s="3" t="inlineStr">
        <is>
          <t>부강면</t>
        </is>
      </c>
      <c r="G5616" s="3" t="inlineStr">
        <is>
          <t>노호리</t>
        </is>
      </c>
      <c r="H5616" s="3" t="inlineStr">
        <is>
          <t>계획관리지역</t>
        </is>
      </c>
      <c r="I5616" s="3" t="inlineStr">
        <is>
          <t>답</t>
        </is>
      </c>
      <c r="J5616" s="3" t="inlineStr">
        <is>
          <t>부강면</t>
        </is>
      </c>
    </row>
    <row r="5617">
      <c r="A5617" s="3" t="n">
        <v>2023</v>
      </c>
      <c r="B5617" s="4" t="n">
        <v>4465</v>
      </c>
      <c r="C5617" s="4" t="n">
        <v>123</v>
      </c>
      <c r="D5617" s="4" t="n">
        <v>37.2075</v>
      </c>
      <c r="E5617" s="5" t="n">
        <v>120</v>
      </c>
      <c r="F5617" s="3" t="inlineStr">
        <is>
          <t>부강면</t>
        </is>
      </c>
      <c r="G5617" s="3" t="inlineStr">
        <is>
          <t>부강리</t>
        </is>
      </c>
      <c r="H5617" s="3" t="inlineStr">
        <is>
          <t>자연녹지지역</t>
        </is>
      </c>
      <c r="I5617" s="3" t="inlineStr">
        <is>
          <t>임야</t>
        </is>
      </c>
      <c r="J5617" s="3" t="inlineStr">
        <is>
          <t>부강면</t>
        </is>
      </c>
    </row>
    <row r="5618">
      <c r="A5618" s="3" t="n">
        <v>2023</v>
      </c>
      <c r="B5618" s="4" t="n">
        <v>334000</v>
      </c>
      <c r="C5618" s="4" t="n">
        <v>1425</v>
      </c>
      <c r="D5618" s="4" t="n">
        <v>431.0625</v>
      </c>
      <c r="E5618" s="5" t="n">
        <v>774.8</v>
      </c>
      <c r="F5618" s="3" t="inlineStr">
        <is>
          <t>조치원읍</t>
        </is>
      </c>
      <c r="G5618" s="3" t="inlineStr">
        <is>
          <t>죽림리</t>
        </is>
      </c>
      <c r="H5618" s="3" t="inlineStr">
        <is>
          <t>일반상업지역</t>
        </is>
      </c>
      <c r="I5618" s="3" t="inlineStr">
        <is>
          <t>대</t>
        </is>
      </c>
      <c r="J5618" s="3" t="inlineStr">
        <is>
          <t>조치원읍</t>
        </is>
      </c>
    </row>
    <row r="5619">
      <c r="A5619" s="3" t="n">
        <v>2024</v>
      </c>
      <c r="B5619" s="4" t="n">
        <v>39204</v>
      </c>
      <c r="C5619" s="4" t="n">
        <v>540</v>
      </c>
      <c r="D5619" s="4" t="n">
        <v>163.35</v>
      </c>
      <c r="E5619" s="5" t="n">
        <v>240</v>
      </c>
      <c r="F5619" s="3" t="inlineStr">
        <is>
          <t>연서면</t>
        </is>
      </c>
      <c r="G5619" s="3" t="inlineStr">
        <is>
          <t>신대리</t>
        </is>
      </c>
      <c r="H5619" s="3" t="inlineStr">
        <is>
          <t>계획관리지역</t>
        </is>
      </c>
      <c r="I5619" s="3" t="inlineStr">
        <is>
          <t>대</t>
        </is>
      </c>
      <c r="J5619" s="3" t="inlineStr">
        <is>
          <t>연서면</t>
        </is>
      </c>
    </row>
    <row r="5620">
      <c r="A5620" s="3" t="n">
        <v>2024</v>
      </c>
      <c r="B5620" s="4" t="n">
        <v>35638</v>
      </c>
      <c r="C5620" s="4" t="n">
        <v>561</v>
      </c>
      <c r="D5620" s="4" t="n">
        <v>169.7025</v>
      </c>
      <c r="E5620" s="5" t="n">
        <v>210</v>
      </c>
      <c r="F5620" s="3" t="inlineStr">
        <is>
          <t>연서면</t>
        </is>
      </c>
      <c r="G5620" s="3" t="inlineStr">
        <is>
          <t>신대리</t>
        </is>
      </c>
      <c r="H5620" s="3" t="inlineStr">
        <is>
          <t>계획관리지역</t>
        </is>
      </c>
      <c r="I5620" s="3" t="inlineStr">
        <is>
          <t>대</t>
        </is>
      </c>
      <c r="J5620" s="3" t="inlineStr">
        <is>
          <t>연서면</t>
        </is>
      </c>
    </row>
    <row r="5621">
      <c r="A5621" s="3" t="n">
        <v>2023</v>
      </c>
      <c r="B5621" s="4" t="n">
        <v>64000</v>
      </c>
      <c r="C5621" s="4" t="n">
        <v>661</v>
      </c>
      <c r="D5621" s="4" t="n">
        <v>199.9525</v>
      </c>
      <c r="E5621" s="5" t="n">
        <v>320.1</v>
      </c>
      <c r="F5621" s="3" t="inlineStr">
        <is>
          <t>조치원읍</t>
        </is>
      </c>
      <c r="G5621" s="3" t="inlineStr">
        <is>
          <t>침산리</t>
        </is>
      </c>
      <c r="H5621" s="3" t="inlineStr">
        <is>
          <t>제1종일반주거지역</t>
        </is>
      </c>
      <c r="I5621" s="3" t="inlineStr">
        <is>
          <t>전</t>
        </is>
      </c>
      <c r="J5621" s="3" t="inlineStr">
        <is>
          <t>조치원읍</t>
        </is>
      </c>
    </row>
    <row r="5622">
      <c r="A5622" s="3" t="n">
        <v>2023</v>
      </c>
      <c r="B5622" s="4" t="n">
        <v>13500</v>
      </c>
      <c r="C5622" s="4" t="n">
        <v>132</v>
      </c>
      <c r="D5622" s="4" t="n">
        <v>39.93</v>
      </c>
      <c r="E5622" s="5" t="n">
        <v>338.1</v>
      </c>
      <c r="F5622" s="3" t="inlineStr">
        <is>
          <t>조치원읍</t>
        </is>
      </c>
      <c r="G5622" s="3" t="inlineStr">
        <is>
          <t>서창리</t>
        </is>
      </c>
      <c r="H5622" s="3" t="inlineStr">
        <is>
          <t>제1종일반주거지역</t>
        </is>
      </c>
      <c r="I5622" s="3" t="inlineStr">
        <is>
          <t>전</t>
        </is>
      </c>
      <c r="J5622" s="3" t="inlineStr">
        <is>
          <t>조치원읍</t>
        </is>
      </c>
    </row>
    <row r="5623">
      <c r="A5623" s="3" t="n">
        <v>2023</v>
      </c>
      <c r="B5623" s="4" t="n">
        <v>13500</v>
      </c>
      <c r="C5623" s="4" t="n">
        <v>132</v>
      </c>
      <c r="D5623" s="4" t="n">
        <v>39.93</v>
      </c>
      <c r="E5623" s="5" t="n">
        <v>338.1</v>
      </c>
      <c r="F5623" s="3" t="inlineStr">
        <is>
          <t>조치원읍</t>
        </is>
      </c>
      <c r="G5623" s="3" t="inlineStr">
        <is>
          <t>서창리</t>
        </is>
      </c>
      <c r="H5623" s="3" t="inlineStr">
        <is>
          <t>제1종일반주거지역</t>
        </is>
      </c>
      <c r="I5623" s="3" t="inlineStr">
        <is>
          <t>전</t>
        </is>
      </c>
      <c r="J5623" s="3" t="inlineStr">
        <is>
          <t>조치원읍</t>
        </is>
      </c>
    </row>
    <row r="5624">
      <c r="A5624" s="3" t="n">
        <v>2023</v>
      </c>
      <c r="B5624" s="4" t="n">
        <v>44850</v>
      </c>
      <c r="C5624" s="4" t="n">
        <v>2964</v>
      </c>
      <c r="D5624" s="4" t="n">
        <v>896.61</v>
      </c>
      <c r="E5624" s="5" t="n">
        <v>50</v>
      </c>
      <c r="F5624" s="3" t="inlineStr">
        <is>
          <t>부강면</t>
        </is>
      </c>
      <c r="G5624" s="3" t="inlineStr">
        <is>
          <t>금호리</t>
        </is>
      </c>
      <c r="H5624" s="3" t="inlineStr">
        <is>
          <t>농림지역</t>
        </is>
      </c>
      <c r="I5624" s="3" t="inlineStr">
        <is>
          <t>답</t>
        </is>
      </c>
      <c r="J5624" s="3" t="inlineStr">
        <is>
          <t>부강면</t>
        </is>
      </c>
    </row>
    <row r="5625">
      <c r="A5625" s="3" t="n">
        <v>2023</v>
      </c>
      <c r="B5625" s="4" t="n">
        <v>13100</v>
      </c>
      <c r="C5625" s="4" t="n">
        <v>274</v>
      </c>
      <c r="D5625" s="4" t="n">
        <v>82.88499999999999</v>
      </c>
      <c r="E5625" s="5" t="n">
        <v>158.1</v>
      </c>
      <c r="F5625" s="3" t="inlineStr">
        <is>
          <t>연서면</t>
        </is>
      </c>
      <c r="G5625" s="3" t="inlineStr">
        <is>
          <t>와촌리</t>
        </is>
      </c>
      <c r="H5625" s="3" t="inlineStr">
        <is>
          <t>계획관리지역</t>
        </is>
      </c>
      <c r="I5625" s="3" t="inlineStr">
        <is>
          <t>대</t>
        </is>
      </c>
      <c r="J5625" s="3" t="inlineStr">
        <is>
          <t>연서면</t>
        </is>
      </c>
    </row>
    <row r="5626">
      <c r="A5626" s="3" t="n">
        <v>2022</v>
      </c>
      <c r="B5626" s="4" t="n">
        <v>13000</v>
      </c>
      <c r="C5626" s="4" t="n">
        <v>555</v>
      </c>
      <c r="D5626" s="4" t="n">
        <v>167.8875</v>
      </c>
      <c r="E5626" s="5" t="n">
        <v>77.40000000000001</v>
      </c>
      <c r="F5626" s="3" t="inlineStr">
        <is>
          <t>남이면</t>
        </is>
      </c>
      <c r="G5626" s="3" t="inlineStr">
        <is>
          <t>팔봉리</t>
        </is>
      </c>
      <c r="H5626" s="3" t="inlineStr">
        <is>
          <t>보전녹지지역</t>
        </is>
      </c>
      <c r="I5626" s="3" t="inlineStr">
        <is>
          <t>임야</t>
        </is>
      </c>
      <c r="J5626" s="3" t="inlineStr">
        <is>
          <t>남이면</t>
        </is>
      </c>
    </row>
    <row r="5627">
      <c r="A5627" s="3" t="n">
        <v>2022</v>
      </c>
      <c r="B5627" s="4" t="n">
        <v>4310</v>
      </c>
      <c r="C5627" s="4" t="n">
        <v>714</v>
      </c>
      <c r="D5627" s="4" t="n">
        <v>215.985</v>
      </c>
      <c r="E5627" s="5" t="n">
        <v>20</v>
      </c>
      <c r="F5627" s="3" t="inlineStr">
        <is>
          <t>남이면</t>
        </is>
      </c>
      <c r="G5627" s="3" t="inlineStr">
        <is>
          <t>부용외천리</t>
        </is>
      </c>
      <c r="H5627" s="3" t="inlineStr">
        <is>
          <t>보전관리지역</t>
        </is>
      </c>
      <c r="I5627" s="3" t="inlineStr">
        <is>
          <t>임야</t>
        </is>
      </c>
      <c r="J5627" s="3" t="inlineStr">
        <is>
          <t>남이면</t>
        </is>
      </c>
    </row>
    <row r="5628">
      <c r="A5628" s="3" t="n">
        <v>2022</v>
      </c>
      <c r="B5628" s="4" t="n">
        <v>60000</v>
      </c>
      <c r="C5628" s="4" t="n">
        <v>6347</v>
      </c>
      <c r="D5628" s="4" t="n">
        <v>1919.9675</v>
      </c>
      <c r="E5628" s="5" t="n">
        <v>31.3</v>
      </c>
      <c r="F5628" s="3" t="inlineStr">
        <is>
          <t>남이면</t>
        </is>
      </c>
      <c r="G5628" s="3" t="inlineStr">
        <is>
          <t>석실리</t>
        </is>
      </c>
      <c r="H5628" s="3" t="inlineStr">
        <is>
          <t>보전녹지지역</t>
        </is>
      </c>
      <c r="I5628" s="3" t="inlineStr">
        <is>
          <t>임야</t>
        </is>
      </c>
      <c r="J5628" s="3" t="inlineStr">
        <is>
          <t>남이면</t>
        </is>
      </c>
    </row>
    <row r="5629">
      <c r="A5629" s="3" t="n">
        <v>2024</v>
      </c>
      <c r="B5629" s="4" t="n">
        <v>1300</v>
      </c>
      <c r="C5629" s="4" t="n">
        <v>42</v>
      </c>
      <c r="D5629" s="4" t="n">
        <v>12.705</v>
      </c>
      <c r="E5629" s="5" t="n">
        <v>102.3</v>
      </c>
      <c r="F5629" s="3" t="inlineStr">
        <is>
          <t>연서면</t>
        </is>
      </c>
      <c r="G5629" s="3" t="inlineStr">
        <is>
          <t>국촌리</t>
        </is>
      </c>
      <c r="H5629" s="3" t="inlineStr">
        <is>
          <t>계획관리지역</t>
        </is>
      </c>
      <c r="I5629" s="3" t="inlineStr">
        <is>
          <t>임야</t>
        </is>
      </c>
      <c r="J5629" s="3" t="inlineStr">
        <is>
          <t>연서면</t>
        </is>
      </c>
    </row>
    <row r="5630">
      <c r="A5630" s="3" t="n">
        <v>2024</v>
      </c>
      <c r="B5630" s="4" t="n">
        <v>44500</v>
      </c>
      <c r="C5630" s="4" t="n">
        <v>346.5</v>
      </c>
      <c r="D5630" s="4" t="n">
        <v>104.81625</v>
      </c>
      <c r="E5630" s="5" t="n">
        <v>424.6</v>
      </c>
      <c r="F5630" s="3" t="inlineStr">
        <is>
          <t>고운동</t>
        </is>
      </c>
      <c r="G5630" s="3" t="inlineStr"/>
      <c r="H5630" s="3" t="inlineStr">
        <is>
          <t>제1종전용주거지역</t>
        </is>
      </c>
      <c r="I5630" s="3" t="inlineStr">
        <is>
          <t>대</t>
        </is>
      </c>
      <c r="J5630" s="3" t="inlineStr">
        <is>
          <t>고운동</t>
        </is>
      </c>
    </row>
    <row r="5631">
      <c r="A5631" s="3" t="n">
        <v>2024</v>
      </c>
      <c r="B5631" s="4" t="n">
        <v>10800</v>
      </c>
      <c r="C5631" s="4" t="n">
        <v>1021</v>
      </c>
      <c r="D5631" s="4" t="n">
        <v>308.8525</v>
      </c>
      <c r="E5631" s="5" t="n">
        <v>35</v>
      </c>
      <c r="F5631" s="3" t="inlineStr">
        <is>
          <t>연서면</t>
        </is>
      </c>
      <c r="G5631" s="3" t="inlineStr">
        <is>
          <t>고복리</t>
        </is>
      </c>
      <c r="H5631" s="3" t="inlineStr">
        <is>
          <t>보전관리지역</t>
        </is>
      </c>
      <c r="I5631" s="3" t="inlineStr">
        <is>
          <t>전</t>
        </is>
      </c>
      <c r="J5631" s="3" t="inlineStr">
        <is>
          <t>연서면</t>
        </is>
      </c>
    </row>
    <row r="5632">
      <c r="A5632" s="3" t="n">
        <v>2025</v>
      </c>
      <c r="B5632" s="4" t="n">
        <v>3000</v>
      </c>
      <c r="C5632" s="4" t="n">
        <v>66</v>
      </c>
      <c r="D5632" s="4" t="n">
        <v>19.965</v>
      </c>
      <c r="E5632" s="5" t="n">
        <v>150.3</v>
      </c>
      <c r="F5632" s="3" t="inlineStr">
        <is>
          <t>연서면</t>
        </is>
      </c>
      <c r="G5632" s="3" t="inlineStr">
        <is>
          <t>성제리</t>
        </is>
      </c>
      <c r="H5632" s="3" t="inlineStr">
        <is>
          <t>계획관리지역</t>
        </is>
      </c>
      <c r="I5632" s="3" t="inlineStr">
        <is>
          <t>전</t>
        </is>
      </c>
      <c r="J5632" s="3" t="inlineStr">
        <is>
          <t>연서면</t>
        </is>
      </c>
    </row>
    <row r="5633">
      <c r="A5633" s="3" t="n">
        <v>2024</v>
      </c>
      <c r="B5633" s="4" t="n">
        <v>107000</v>
      </c>
      <c r="C5633" s="4" t="n">
        <v>320.6</v>
      </c>
      <c r="D5633" s="4" t="n">
        <v>96.9815</v>
      </c>
      <c r="E5633" s="5" t="n">
        <v>1103.3</v>
      </c>
      <c r="F5633" s="3" t="inlineStr">
        <is>
          <t>도담동</t>
        </is>
      </c>
      <c r="G5633" s="3" t="inlineStr"/>
      <c r="H5633" s="3" t="inlineStr">
        <is>
          <t>제1종전용주거지역</t>
        </is>
      </c>
      <c r="I5633" s="3" t="inlineStr">
        <is>
          <t>대</t>
        </is>
      </c>
      <c r="J5633" s="3" t="inlineStr">
        <is>
          <t>도담동</t>
        </is>
      </c>
    </row>
    <row r="5634">
      <c r="A5634" s="3" t="n">
        <v>2023</v>
      </c>
      <c r="B5634" s="4" t="n">
        <v>20460</v>
      </c>
      <c r="C5634" s="4" t="n">
        <v>428</v>
      </c>
      <c r="D5634" s="4" t="n">
        <v>129.47</v>
      </c>
      <c r="E5634" s="5" t="n">
        <v>158</v>
      </c>
      <c r="F5634" s="3" t="inlineStr">
        <is>
          <t>연서면</t>
        </is>
      </c>
      <c r="G5634" s="3" t="inlineStr">
        <is>
          <t>신대리</t>
        </is>
      </c>
      <c r="H5634" s="3" t="inlineStr">
        <is>
          <t>보전관리지역</t>
        </is>
      </c>
      <c r="I5634" s="3" t="inlineStr">
        <is>
          <t>과수원</t>
        </is>
      </c>
      <c r="J5634" s="3" t="inlineStr">
        <is>
          <t>연서면</t>
        </is>
      </c>
    </row>
    <row r="5635">
      <c r="A5635" s="3" t="n">
        <v>2023</v>
      </c>
      <c r="B5635" s="4" t="n">
        <v>6490</v>
      </c>
      <c r="C5635" s="4" t="n">
        <v>200</v>
      </c>
      <c r="D5635" s="4" t="n">
        <v>60.5</v>
      </c>
      <c r="E5635" s="5" t="n">
        <v>107.3</v>
      </c>
      <c r="F5635" s="3" t="inlineStr">
        <is>
          <t>연서면</t>
        </is>
      </c>
      <c r="G5635" s="3" t="inlineStr">
        <is>
          <t>신대리</t>
        </is>
      </c>
      <c r="H5635" s="3" t="inlineStr">
        <is>
          <t>보전관리지역</t>
        </is>
      </c>
      <c r="I5635" s="3" t="inlineStr">
        <is>
          <t>과수원</t>
        </is>
      </c>
      <c r="J5635" s="3" t="inlineStr">
        <is>
          <t>연서면</t>
        </is>
      </c>
    </row>
    <row r="5636">
      <c r="A5636" s="3" t="n">
        <v>2023</v>
      </c>
      <c r="B5636" s="4" t="n">
        <v>19710</v>
      </c>
      <c r="C5636" s="4" t="n">
        <v>608</v>
      </c>
      <c r="D5636" s="4" t="n">
        <v>183.92</v>
      </c>
      <c r="E5636" s="5" t="n">
        <v>107.2</v>
      </c>
      <c r="F5636" s="3" t="inlineStr">
        <is>
          <t>연서면</t>
        </is>
      </c>
      <c r="G5636" s="3" t="inlineStr">
        <is>
          <t>신대리</t>
        </is>
      </c>
      <c r="H5636" s="3" t="inlineStr">
        <is>
          <t>보전관리지역</t>
        </is>
      </c>
      <c r="I5636" s="3" t="inlineStr">
        <is>
          <t>과수원</t>
        </is>
      </c>
      <c r="J5636" s="3" t="inlineStr">
        <is>
          <t>연서면</t>
        </is>
      </c>
    </row>
    <row r="5637">
      <c r="A5637" s="3" t="n">
        <v>2023</v>
      </c>
      <c r="B5637" s="4" t="n">
        <v>44850</v>
      </c>
      <c r="C5637" s="4" t="n">
        <v>2964</v>
      </c>
      <c r="D5637" s="4" t="n">
        <v>896.61</v>
      </c>
      <c r="E5637" s="5" t="n">
        <v>50</v>
      </c>
      <c r="F5637" s="3" t="inlineStr">
        <is>
          <t>부강면</t>
        </is>
      </c>
      <c r="G5637" s="3" t="inlineStr">
        <is>
          <t>금호리</t>
        </is>
      </c>
      <c r="H5637" s="3" t="inlineStr">
        <is>
          <t>농림지역</t>
        </is>
      </c>
      <c r="I5637" s="3" t="inlineStr">
        <is>
          <t>답</t>
        </is>
      </c>
      <c r="J5637" s="3" t="inlineStr">
        <is>
          <t>부강면</t>
        </is>
      </c>
    </row>
    <row r="5638">
      <c r="A5638" s="3" t="n">
        <v>2023</v>
      </c>
      <c r="B5638" s="4" t="n">
        <v>17843</v>
      </c>
      <c r="C5638" s="4" t="n">
        <v>407</v>
      </c>
      <c r="D5638" s="4" t="n">
        <v>123.1175</v>
      </c>
      <c r="E5638" s="5" t="n">
        <v>144.9</v>
      </c>
      <c r="F5638" s="3" t="inlineStr">
        <is>
          <t>연서면</t>
        </is>
      </c>
      <c r="G5638" s="3" t="inlineStr">
        <is>
          <t>고복리</t>
        </is>
      </c>
      <c r="H5638" s="3" t="inlineStr">
        <is>
          <t>생산관리지역</t>
        </is>
      </c>
      <c r="I5638" s="3" t="inlineStr">
        <is>
          <t>과수원</t>
        </is>
      </c>
      <c r="J5638" s="3" t="inlineStr">
        <is>
          <t>연서면</t>
        </is>
      </c>
    </row>
    <row r="5639">
      <c r="A5639" s="3" t="n">
        <v>2023</v>
      </c>
      <c r="B5639" s="4" t="n">
        <v>30732</v>
      </c>
      <c r="C5639" s="4" t="n">
        <v>701</v>
      </c>
      <c r="D5639" s="4" t="n">
        <v>212.0525</v>
      </c>
      <c r="E5639" s="5" t="n">
        <v>144.9</v>
      </c>
      <c r="F5639" s="3" t="inlineStr">
        <is>
          <t>연서면</t>
        </is>
      </c>
      <c r="G5639" s="3" t="inlineStr">
        <is>
          <t>고복리</t>
        </is>
      </c>
      <c r="H5639" s="3" t="inlineStr">
        <is>
          <t>생산관리지역</t>
        </is>
      </c>
      <c r="I5639" s="3" t="inlineStr">
        <is>
          <t>임야</t>
        </is>
      </c>
      <c r="J5639" s="3" t="inlineStr">
        <is>
          <t>연서면</t>
        </is>
      </c>
    </row>
    <row r="5640">
      <c r="A5640" s="3" t="n">
        <v>2023</v>
      </c>
      <c r="B5640" s="4" t="n">
        <v>21560</v>
      </c>
      <c r="C5640" s="4" t="n">
        <v>509</v>
      </c>
      <c r="D5640" s="4" t="n">
        <v>153.9725</v>
      </c>
      <c r="E5640" s="5" t="n">
        <v>140</v>
      </c>
      <c r="F5640" s="3" t="inlineStr">
        <is>
          <t>연서면</t>
        </is>
      </c>
      <c r="G5640" s="3" t="inlineStr">
        <is>
          <t>고복리</t>
        </is>
      </c>
      <c r="H5640" s="3" t="inlineStr">
        <is>
          <t>생산관리지역</t>
        </is>
      </c>
      <c r="I5640" s="3" t="inlineStr">
        <is>
          <t>전</t>
        </is>
      </c>
      <c r="J5640" s="3" t="inlineStr">
        <is>
          <t>연서면</t>
        </is>
      </c>
    </row>
    <row r="5641">
      <c r="A5641" s="3" t="n">
        <v>2023</v>
      </c>
      <c r="B5641" s="4" t="n">
        <v>13000</v>
      </c>
      <c r="C5641" s="4" t="n">
        <v>664</v>
      </c>
      <c r="D5641" s="4" t="n">
        <v>200.86</v>
      </c>
      <c r="E5641" s="5" t="n">
        <v>64.7</v>
      </c>
      <c r="F5641" s="3" t="inlineStr">
        <is>
          <t>연서면</t>
        </is>
      </c>
      <c r="G5641" s="3" t="inlineStr">
        <is>
          <t>쌍전리</t>
        </is>
      </c>
      <c r="H5641" s="3" t="inlineStr">
        <is>
          <t>자연녹지지역</t>
        </is>
      </c>
      <c r="I5641" s="3" t="inlineStr">
        <is>
          <t>전</t>
        </is>
      </c>
      <c r="J5641" s="3" t="inlineStr">
        <is>
          <t>연서면</t>
        </is>
      </c>
    </row>
    <row r="5642">
      <c r="A5642" s="3" t="n">
        <v>2026</v>
      </c>
      <c r="B5642" s="4" t="n">
        <v>50200</v>
      </c>
      <c r="C5642" s="4" t="n">
        <v>2397.7</v>
      </c>
      <c r="D5642" s="4" t="n">
        <v>725.3042499999999</v>
      </c>
      <c r="E5642" s="5" t="n">
        <v>69.2</v>
      </c>
      <c r="F5642" s="3" t="inlineStr">
        <is>
          <t>연서면</t>
        </is>
      </c>
      <c r="G5642" s="3" t="inlineStr">
        <is>
          <t>쌍전리</t>
        </is>
      </c>
      <c r="H5642" s="3" t="inlineStr">
        <is>
          <t>농림지역</t>
        </is>
      </c>
      <c r="I5642" s="3" t="inlineStr">
        <is>
          <t>답</t>
        </is>
      </c>
      <c r="J5642" s="3" t="inlineStr">
        <is>
          <t>연서면</t>
        </is>
      </c>
    </row>
    <row r="5643">
      <c r="A5643" s="3" t="n">
        <v>2026</v>
      </c>
      <c r="B5643" s="4" t="n">
        <v>71000</v>
      </c>
      <c r="C5643" s="4" t="n">
        <v>501.3</v>
      </c>
      <c r="D5643" s="4" t="n">
        <v>151.64325</v>
      </c>
      <c r="E5643" s="5" t="n">
        <v>468.2</v>
      </c>
      <c r="F5643" s="3" t="inlineStr">
        <is>
          <t>고운동</t>
        </is>
      </c>
      <c r="G5643" s="3" t="inlineStr"/>
      <c r="H5643" s="3" t="inlineStr">
        <is>
          <t>제1종전용주거지역</t>
        </is>
      </c>
      <c r="I5643" s="3" t="inlineStr">
        <is>
          <t>대</t>
        </is>
      </c>
      <c r="J5643" s="3" t="inlineStr">
        <is>
          <t>고운동</t>
        </is>
      </c>
    </row>
    <row r="5644">
      <c r="A5644" s="3" t="n">
        <v>2026</v>
      </c>
      <c r="B5644" s="4" t="n">
        <v>3183</v>
      </c>
      <c r="C5644" s="4" t="n">
        <v>346</v>
      </c>
      <c r="D5644" s="4" t="n">
        <v>104.665</v>
      </c>
      <c r="E5644" s="5" t="n">
        <v>30.4</v>
      </c>
      <c r="F5644" s="3" t="inlineStr">
        <is>
          <t>연서면</t>
        </is>
      </c>
      <c r="G5644" s="3" t="inlineStr">
        <is>
          <t>쌍류리</t>
        </is>
      </c>
      <c r="H5644" s="3" t="inlineStr">
        <is>
          <t>보전관리지역</t>
        </is>
      </c>
      <c r="I5644" s="3" t="inlineStr">
        <is>
          <t>전</t>
        </is>
      </c>
      <c r="J5644" s="3" t="inlineStr">
        <is>
          <t>연서면</t>
        </is>
      </c>
    </row>
    <row r="5645">
      <c r="A5645" s="3" t="n">
        <v>2026</v>
      </c>
      <c r="B5645" s="4" t="n">
        <v>36858</v>
      </c>
      <c r="C5645" s="4" t="n">
        <v>1021</v>
      </c>
      <c r="D5645" s="4" t="n">
        <v>308.8525</v>
      </c>
      <c r="E5645" s="5" t="n">
        <v>119.3</v>
      </c>
      <c r="F5645" s="3" t="inlineStr">
        <is>
          <t>연서면</t>
        </is>
      </c>
      <c r="G5645" s="3" t="inlineStr">
        <is>
          <t>쌍류리</t>
        </is>
      </c>
      <c r="H5645" s="3" t="inlineStr">
        <is>
          <t>계획관리지역</t>
        </is>
      </c>
      <c r="I5645" s="3" t="inlineStr">
        <is>
          <t>대</t>
        </is>
      </c>
      <c r="J5645" s="3" t="inlineStr">
        <is>
          <t>연서면</t>
        </is>
      </c>
    </row>
    <row r="5646">
      <c r="A5646" s="3" t="n">
        <v>2026</v>
      </c>
      <c r="B5646" s="4" t="n">
        <v>1499</v>
      </c>
      <c r="C5646" s="4" t="n">
        <v>102</v>
      </c>
      <c r="D5646" s="4" t="n">
        <v>30.855</v>
      </c>
      <c r="E5646" s="5" t="n">
        <v>48.6</v>
      </c>
      <c r="F5646" s="3" t="inlineStr">
        <is>
          <t>연서면</t>
        </is>
      </c>
      <c r="G5646" s="3" t="inlineStr">
        <is>
          <t>쌍류리</t>
        </is>
      </c>
      <c r="H5646" s="3" t="inlineStr">
        <is>
          <t>계획관리지역</t>
        </is>
      </c>
      <c r="I5646" s="3" t="inlineStr">
        <is>
          <t>임야</t>
        </is>
      </c>
      <c r="J5646" s="3" t="inlineStr">
        <is>
          <t>연서면</t>
        </is>
      </c>
    </row>
    <row r="5647">
      <c r="A5647" s="3" t="n">
        <v>2026</v>
      </c>
      <c r="B5647" s="4" t="n">
        <v>53713</v>
      </c>
      <c r="C5647" s="4" t="n">
        <v>4710</v>
      </c>
      <c r="D5647" s="4" t="n">
        <v>1424.775</v>
      </c>
      <c r="E5647" s="5" t="n">
        <v>37.7</v>
      </c>
      <c r="F5647" s="3" t="inlineStr">
        <is>
          <t>연서면</t>
        </is>
      </c>
      <c r="G5647" s="3" t="inlineStr">
        <is>
          <t>쌍류리</t>
        </is>
      </c>
      <c r="H5647" s="3" t="inlineStr">
        <is>
          <t>계획관리지역</t>
        </is>
      </c>
      <c r="I5647" s="3" t="inlineStr">
        <is>
          <t>임야</t>
        </is>
      </c>
      <c r="J5647" s="3" t="inlineStr">
        <is>
          <t>연서면</t>
        </is>
      </c>
    </row>
    <row r="5648">
      <c r="A5648" s="3" t="n">
        <v>2026</v>
      </c>
      <c r="B5648" s="4" t="n">
        <v>70000</v>
      </c>
      <c r="C5648" s="4" t="n">
        <v>1157</v>
      </c>
      <c r="D5648" s="4" t="n">
        <v>349.9925</v>
      </c>
      <c r="E5648" s="5" t="n">
        <v>200</v>
      </c>
      <c r="F5648" s="3" t="inlineStr">
        <is>
          <t>연서면</t>
        </is>
      </c>
      <c r="G5648" s="3" t="inlineStr">
        <is>
          <t>와촌리</t>
        </is>
      </c>
      <c r="H5648" s="3" t="inlineStr">
        <is>
          <t>생산관리지역</t>
        </is>
      </c>
      <c r="I5648" s="3" t="inlineStr">
        <is>
          <t>답</t>
        </is>
      </c>
      <c r="J5648" s="3" t="inlineStr">
        <is>
          <t>연서면</t>
        </is>
      </c>
    </row>
    <row r="5649">
      <c r="A5649" s="3" t="n">
        <v>2026</v>
      </c>
      <c r="B5649" s="4" t="n">
        <v>3500</v>
      </c>
      <c r="C5649" s="4" t="n">
        <v>66</v>
      </c>
      <c r="D5649" s="4" t="n">
        <v>19.965</v>
      </c>
      <c r="E5649" s="5" t="n">
        <v>175.3</v>
      </c>
      <c r="F5649" s="3" t="inlineStr">
        <is>
          <t>조치원읍</t>
        </is>
      </c>
      <c r="G5649" s="3" t="inlineStr">
        <is>
          <t>남리</t>
        </is>
      </c>
      <c r="H5649" s="3" t="inlineStr">
        <is>
          <t>제2종일반주거지역</t>
        </is>
      </c>
      <c r="I5649" s="3" t="inlineStr">
        <is>
          <t>대</t>
        </is>
      </c>
      <c r="J5649" s="3" t="inlineStr">
        <is>
          <t>조치원읍</t>
        </is>
      </c>
    </row>
    <row r="5650">
      <c r="A5650" s="3" t="n">
        <v>2026</v>
      </c>
      <c r="B5650" s="4" t="n">
        <v>55000</v>
      </c>
      <c r="C5650" s="4" t="n">
        <v>649</v>
      </c>
      <c r="D5650" s="4" t="n">
        <v>196.3225</v>
      </c>
      <c r="E5650" s="5" t="n">
        <v>280.2</v>
      </c>
      <c r="F5650" s="3" t="inlineStr">
        <is>
          <t>부강면</t>
        </is>
      </c>
      <c r="G5650" s="3" t="inlineStr">
        <is>
          <t>부강리</t>
        </is>
      </c>
      <c r="H5650" s="3" t="inlineStr">
        <is>
          <t>제2종일반주거지역</t>
        </is>
      </c>
      <c r="I5650" s="3" t="inlineStr">
        <is>
          <t>답</t>
        </is>
      </c>
      <c r="J5650" s="3" t="inlineStr">
        <is>
          <t>부강면</t>
        </is>
      </c>
    </row>
    <row r="5651">
      <c r="A5651" s="3" t="n">
        <v>2026</v>
      </c>
      <c r="B5651" s="4" t="n">
        <v>50000</v>
      </c>
      <c r="C5651" s="4" t="n">
        <v>312</v>
      </c>
      <c r="D5651" s="4" t="n">
        <v>94.38</v>
      </c>
      <c r="E5651" s="5" t="n">
        <v>529.8</v>
      </c>
      <c r="F5651" s="3" t="inlineStr">
        <is>
          <t>조치원읍</t>
        </is>
      </c>
      <c r="G5651" s="3" t="inlineStr">
        <is>
          <t>서창리</t>
        </is>
      </c>
      <c r="H5651" s="3" t="inlineStr">
        <is>
          <t>제2종일반주거지역</t>
        </is>
      </c>
      <c r="I5651" s="3" t="inlineStr">
        <is>
          <t>임야</t>
        </is>
      </c>
      <c r="J5651" s="3" t="inlineStr">
        <is>
          <t>조치원읍</t>
        </is>
      </c>
    </row>
    <row r="5652">
      <c r="A5652" s="3" t="n">
        <v>2024</v>
      </c>
      <c r="B5652" s="4" t="n">
        <v>14000</v>
      </c>
      <c r="C5652" s="4" t="n">
        <v>132</v>
      </c>
      <c r="D5652" s="4" t="n">
        <v>39.93</v>
      </c>
      <c r="E5652" s="5" t="n">
        <v>350.6</v>
      </c>
      <c r="F5652" s="3" t="inlineStr">
        <is>
          <t>연동면</t>
        </is>
      </c>
      <c r="G5652" s="3" t="inlineStr">
        <is>
          <t>노송리</t>
        </is>
      </c>
      <c r="H5652" s="3" t="inlineStr">
        <is>
          <t>제1종일반주거지역</t>
        </is>
      </c>
      <c r="I5652" s="3" t="inlineStr">
        <is>
          <t>전</t>
        </is>
      </c>
      <c r="J5652" s="3" t="inlineStr">
        <is>
          <t>연동면</t>
        </is>
      </c>
    </row>
    <row r="5653">
      <c r="A5653" s="3" t="n">
        <v>2023</v>
      </c>
      <c r="B5653" s="4" t="n">
        <v>82800</v>
      </c>
      <c r="C5653" s="4" t="n">
        <v>348</v>
      </c>
      <c r="D5653" s="4" t="n">
        <v>105.27</v>
      </c>
      <c r="E5653" s="5" t="n">
        <v>786.5</v>
      </c>
      <c r="F5653" s="3" t="inlineStr">
        <is>
          <t>도담동</t>
        </is>
      </c>
      <c r="G5653" s="3" t="inlineStr"/>
      <c r="H5653" s="3" t="inlineStr">
        <is>
          <t>제1종전용주거지역</t>
        </is>
      </c>
      <c r="I5653" s="3" t="inlineStr">
        <is>
          <t>대</t>
        </is>
      </c>
      <c r="J5653" s="3" t="inlineStr">
        <is>
          <t>도담동</t>
        </is>
      </c>
    </row>
    <row r="5654">
      <c r="A5654" s="3" t="n">
        <v>2023</v>
      </c>
      <c r="B5654" s="4" t="n">
        <v>30000</v>
      </c>
      <c r="C5654" s="4" t="n">
        <v>2185</v>
      </c>
      <c r="D5654" s="4" t="n">
        <v>660.9625</v>
      </c>
      <c r="E5654" s="5" t="n">
        <v>45.4</v>
      </c>
      <c r="F5654" s="3" t="inlineStr">
        <is>
          <t>부강면</t>
        </is>
      </c>
      <c r="G5654" s="3" t="inlineStr">
        <is>
          <t>노호리</t>
        </is>
      </c>
      <c r="H5654" s="3" t="inlineStr">
        <is>
          <t>계획관리지역</t>
        </is>
      </c>
      <c r="I5654" s="3" t="inlineStr">
        <is>
          <t>전</t>
        </is>
      </c>
      <c r="J5654" s="3" t="inlineStr">
        <is>
          <t>부강면</t>
        </is>
      </c>
    </row>
    <row r="5655">
      <c r="A5655" s="3" t="n">
        <v>2023</v>
      </c>
      <c r="B5655" s="4" t="n">
        <v>6000</v>
      </c>
      <c r="C5655" s="4" t="n">
        <v>400</v>
      </c>
      <c r="D5655" s="4" t="n">
        <v>121</v>
      </c>
      <c r="E5655" s="5" t="n">
        <v>49.6</v>
      </c>
      <c r="F5655" s="3" t="inlineStr">
        <is>
          <t>연서면</t>
        </is>
      </c>
      <c r="G5655" s="3" t="inlineStr">
        <is>
          <t>쌍전리</t>
        </is>
      </c>
      <c r="H5655" s="3" t="inlineStr">
        <is>
          <t>자연녹지지역</t>
        </is>
      </c>
      <c r="I5655" s="3" t="inlineStr">
        <is>
          <t>전</t>
        </is>
      </c>
      <c r="J5655" s="3" t="inlineStr">
        <is>
          <t>연서면</t>
        </is>
      </c>
    </row>
    <row r="5656">
      <c r="A5656" s="3" t="n">
        <v>2023</v>
      </c>
      <c r="B5656" s="4" t="n">
        <v>31000</v>
      </c>
      <c r="C5656" s="4" t="n">
        <v>405</v>
      </c>
      <c r="D5656" s="4" t="n">
        <v>122.5125</v>
      </c>
      <c r="E5656" s="5" t="n">
        <v>253</v>
      </c>
      <c r="F5656" s="3" t="inlineStr">
        <is>
          <t>연서면</t>
        </is>
      </c>
      <c r="G5656" s="3" t="inlineStr">
        <is>
          <t>와촌리</t>
        </is>
      </c>
      <c r="H5656" s="3" t="inlineStr">
        <is>
          <t>계획관리지역</t>
        </is>
      </c>
      <c r="I5656" s="3" t="inlineStr">
        <is>
          <t>전</t>
        </is>
      </c>
      <c r="J5656" s="3" t="inlineStr">
        <is>
          <t>연서면</t>
        </is>
      </c>
    </row>
    <row r="5657">
      <c r="A5657" s="3" t="n">
        <v>2023</v>
      </c>
      <c r="B5657" s="4" t="n">
        <v>56900</v>
      </c>
      <c r="C5657" s="4" t="n">
        <v>2889</v>
      </c>
      <c r="D5657" s="4" t="n">
        <v>873.9225</v>
      </c>
      <c r="E5657" s="5" t="n">
        <v>65.09999999999999</v>
      </c>
      <c r="F5657" s="3" t="inlineStr">
        <is>
          <t>연서면</t>
        </is>
      </c>
      <c r="G5657" s="3" t="inlineStr">
        <is>
          <t>신대리</t>
        </is>
      </c>
      <c r="H5657" s="3" t="inlineStr">
        <is>
          <t>생산관리지역</t>
        </is>
      </c>
      <c r="I5657" s="3" t="inlineStr">
        <is>
          <t>답</t>
        </is>
      </c>
      <c r="J5657" s="3" t="inlineStr">
        <is>
          <t>연서면</t>
        </is>
      </c>
    </row>
    <row r="5658">
      <c r="A5658" s="3" t="n">
        <v>2023</v>
      </c>
      <c r="B5658" s="4" t="n">
        <v>46000</v>
      </c>
      <c r="C5658" s="4" t="n">
        <v>295.1</v>
      </c>
      <c r="D5658" s="4" t="n">
        <v>89.26775000000001</v>
      </c>
      <c r="E5658" s="5" t="n">
        <v>515.3</v>
      </c>
      <c r="F5658" s="3" t="inlineStr">
        <is>
          <t>고운동</t>
        </is>
      </c>
      <c r="G5658" s="3" t="inlineStr"/>
      <c r="H5658" s="3" t="inlineStr">
        <is>
          <t>제1종전용주거지역</t>
        </is>
      </c>
      <c r="I5658" s="3" t="inlineStr">
        <is>
          <t>대</t>
        </is>
      </c>
      <c r="J5658" s="3" t="inlineStr">
        <is>
          <t>고운동</t>
        </is>
      </c>
    </row>
    <row r="5659">
      <c r="A5659" s="3" t="n">
        <v>2023</v>
      </c>
      <c r="B5659" s="4" t="n">
        <v>61650</v>
      </c>
      <c r="C5659" s="4" t="n">
        <v>2265</v>
      </c>
      <c r="D5659" s="4" t="n">
        <v>685.1625</v>
      </c>
      <c r="E5659" s="5" t="n">
        <v>90</v>
      </c>
      <c r="F5659" s="3" t="inlineStr">
        <is>
          <t>연서면</t>
        </is>
      </c>
      <c r="G5659" s="3" t="inlineStr">
        <is>
          <t>국촌리</t>
        </is>
      </c>
      <c r="H5659" s="3" t="inlineStr">
        <is>
          <t>농림지역</t>
        </is>
      </c>
      <c r="I5659" s="3" t="inlineStr">
        <is>
          <t>과수원</t>
        </is>
      </c>
      <c r="J5659" s="3" t="inlineStr">
        <is>
          <t>연서면</t>
        </is>
      </c>
    </row>
    <row r="5660">
      <c r="A5660" s="3" t="n">
        <v>2023</v>
      </c>
      <c r="B5660" s="4" t="n">
        <v>36000</v>
      </c>
      <c r="C5660" s="4" t="n">
        <v>1041</v>
      </c>
      <c r="D5660" s="4" t="n">
        <v>314.9025</v>
      </c>
      <c r="E5660" s="5" t="n">
        <v>114.3</v>
      </c>
      <c r="F5660" s="3" t="inlineStr">
        <is>
          <t>연서면</t>
        </is>
      </c>
      <c r="G5660" s="3" t="inlineStr">
        <is>
          <t>봉암리</t>
        </is>
      </c>
      <c r="H5660" s="3" t="inlineStr">
        <is>
          <t>농림지역</t>
        </is>
      </c>
      <c r="I5660" s="3" t="inlineStr">
        <is>
          <t>답</t>
        </is>
      </c>
      <c r="J5660" s="3" t="inlineStr">
        <is>
          <t>연서면</t>
        </is>
      </c>
    </row>
    <row r="5661">
      <c r="A5661" s="3" t="n">
        <v>2024</v>
      </c>
      <c r="B5661" s="4" t="n">
        <v>47300</v>
      </c>
      <c r="C5661" s="4" t="n">
        <v>942</v>
      </c>
      <c r="D5661" s="4" t="n">
        <v>284.955</v>
      </c>
      <c r="E5661" s="5" t="n">
        <v>166</v>
      </c>
      <c r="F5661" s="3" t="inlineStr">
        <is>
          <t>남이면</t>
        </is>
      </c>
      <c r="G5661" s="3" t="inlineStr">
        <is>
          <t>척산리</t>
        </is>
      </c>
      <c r="H5661" s="3" t="inlineStr">
        <is>
          <t>계획관리지역</t>
        </is>
      </c>
      <c r="I5661" s="3" t="inlineStr">
        <is>
          <t>공장용지</t>
        </is>
      </c>
      <c r="J5661" s="3" t="inlineStr">
        <is>
          <t>남이면</t>
        </is>
      </c>
    </row>
    <row r="5662">
      <c r="A5662" s="3" t="n">
        <v>2024</v>
      </c>
      <c r="B5662" s="4" t="n">
        <v>26421</v>
      </c>
      <c r="C5662" s="4" t="n">
        <v>1894</v>
      </c>
      <c r="D5662" s="4" t="n">
        <v>572.9349999999999</v>
      </c>
      <c r="E5662" s="5" t="n">
        <v>46.1</v>
      </c>
      <c r="F5662" s="3" t="inlineStr">
        <is>
          <t>남이면</t>
        </is>
      </c>
      <c r="G5662" s="3" t="inlineStr">
        <is>
          <t>산막리</t>
        </is>
      </c>
      <c r="H5662" s="3" t="inlineStr">
        <is>
          <t>계획관리지역</t>
        </is>
      </c>
      <c r="I5662" s="3" t="inlineStr">
        <is>
          <t>체육용지</t>
        </is>
      </c>
      <c r="J5662" s="3" t="inlineStr">
        <is>
          <t>남이면</t>
        </is>
      </c>
    </row>
    <row r="5663">
      <c r="A5663" s="3" t="n">
        <v>2024</v>
      </c>
      <c r="B5663" s="4" t="n">
        <v>22418</v>
      </c>
      <c r="C5663" s="4" t="n">
        <v>1673</v>
      </c>
      <c r="D5663" s="4" t="n">
        <v>506.0825</v>
      </c>
      <c r="E5663" s="5" t="n">
        <v>44.3</v>
      </c>
      <c r="F5663" s="3" t="inlineStr">
        <is>
          <t>남이면</t>
        </is>
      </c>
      <c r="G5663" s="3" t="inlineStr">
        <is>
          <t>산막리</t>
        </is>
      </c>
      <c r="H5663" s="3" t="inlineStr">
        <is>
          <t>계획관리지역</t>
        </is>
      </c>
      <c r="I5663" s="3" t="inlineStr">
        <is>
          <t>잡종지</t>
        </is>
      </c>
      <c r="J5663" s="3" t="inlineStr">
        <is>
          <t>남이면</t>
        </is>
      </c>
    </row>
    <row r="5664">
      <c r="A5664" s="3" t="n">
        <v>2024</v>
      </c>
      <c r="B5664" s="4" t="n">
        <v>35606</v>
      </c>
      <c r="C5664" s="4" t="n">
        <v>1521</v>
      </c>
      <c r="D5664" s="4" t="n">
        <v>460.1025</v>
      </c>
      <c r="E5664" s="5" t="n">
        <v>77.40000000000001</v>
      </c>
      <c r="F5664" s="3" t="inlineStr">
        <is>
          <t>남이면</t>
        </is>
      </c>
      <c r="G5664" s="3" t="inlineStr">
        <is>
          <t>가좌리</t>
        </is>
      </c>
      <c r="H5664" s="3" t="inlineStr">
        <is>
          <t>자연녹지지역</t>
        </is>
      </c>
      <c r="I5664" s="3" t="inlineStr">
        <is>
          <t>전</t>
        </is>
      </c>
      <c r="J5664" s="3" t="inlineStr">
        <is>
          <t>남이면</t>
        </is>
      </c>
    </row>
    <row r="5665">
      <c r="A5665" s="3" t="n">
        <v>2024</v>
      </c>
      <c r="B5665" s="4" t="n">
        <v>66952</v>
      </c>
      <c r="C5665" s="4" t="n">
        <v>2860</v>
      </c>
      <c r="D5665" s="4" t="n">
        <v>865.15</v>
      </c>
      <c r="E5665" s="5" t="n">
        <v>77.40000000000001</v>
      </c>
      <c r="F5665" s="3" t="inlineStr">
        <is>
          <t>남이면</t>
        </is>
      </c>
      <c r="G5665" s="3" t="inlineStr">
        <is>
          <t>가좌리</t>
        </is>
      </c>
      <c r="H5665" s="3" t="inlineStr">
        <is>
          <t>자연녹지지역</t>
        </is>
      </c>
      <c r="I5665" s="3" t="inlineStr">
        <is>
          <t>전</t>
        </is>
      </c>
      <c r="J5665" s="3" t="inlineStr">
        <is>
          <t>남이면</t>
        </is>
      </c>
    </row>
    <row r="5666">
      <c r="A5666" s="3" t="n">
        <v>2024</v>
      </c>
      <c r="B5666" s="4" t="n">
        <v>42442</v>
      </c>
      <c r="C5666" s="4" t="n">
        <v>1813</v>
      </c>
      <c r="D5666" s="4" t="n">
        <v>548.4325</v>
      </c>
      <c r="E5666" s="5" t="n">
        <v>77.40000000000001</v>
      </c>
      <c r="F5666" s="3" t="inlineStr">
        <is>
          <t>남이면</t>
        </is>
      </c>
      <c r="G5666" s="3" t="inlineStr">
        <is>
          <t>가좌리</t>
        </is>
      </c>
      <c r="H5666" s="3" t="inlineStr">
        <is>
          <t>자연녹지지역</t>
        </is>
      </c>
      <c r="I5666" s="3" t="inlineStr">
        <is>
          <t>전</t>
        </is>
      </c>
      <c r="J5666" s="3" t="inlineStr">
        <is>
          <t>남이면</t>
        </is>
      </c>
    </row>
    <row r="5667">
      <c r="A5667" s="3" t="n">
        <v>2024</v>
      </c>
      <c r="B5667" s="4" t="n">
        <v>20000</v>
      </c>
      <c r="C5667" s="4" t="n">
        <v>865</v>
      </c>
      <c r="D5667" s="4" t="n">
        <v>261.6625</v>
      </c>
      <c r="E5667" s="5" t="n">
        <v>76.40000000000001</v>
      </c>
      <c r="F5667" s="3" t="inlineStr">
        <is>
          <t>남이면</t>
        </is>
      </c>
      <c r="G5667" s="3" t="inlineStr">
        <is>
          <t>척산리</t>
        </is>
      </c>
      <c r="H5667" s="3" t="inlineStr">
        <is>
          <t>자연녹지지역</t>
        </is>
      </c>
      <c r="I5667" s="3" t="inlineStr">
        <is>
          <t>답</t>
        </is>
      </c>
      <c r="J5667" s="3" t="inlineStr">
        <is>
          <t>남이면</t>
        </is>
      </c>
    </row>
    <row r="5668">
      <c r="A5668" s="3" t="n">
        <v>2024</v>
      </c>
      <c r="B5668" s="4" t="n">
        <v>27265</v>
      </c>
      <c r="C5668" s="4" t="n">
        <v>1461</v>
      </c>
      <c r="D5668" s="4" t="n">
        <v>441.9525</v>
      </c>
      <c r="E5668" s="5" t="n">
        <v>61.7</v>
      </c>
      <c r="F5668" s="3" t="inlineStr">
        <is>
          <t>남이면</t>
        </is>
      </c>
      <c r="G5668" s="3" t="inlineStr">
        <is>
          <t>비룡리</t>
        </is>
      </c>
      <c r="H5668" s="3" t="inlineStr">
        <is>
          <t>계획관리지역</t>
        </is>
      </c>
      <c r="I5668" s="3" t="inlineStr">
        <is>
          <t>전</t>
        </is>
      </c>
      <c r="J5668" s="3" t="inlineStr">
        <is>
          <t>남이면</t>
        </is>
      </c>
    </row>
    <row r="5669">
      <c r="A5669" s="3" t="n">
        <v>2024</v>
      </c>
      <c r="B5669" s="4" t="n">
        <v>1250</v>
      </c>
      <c r="C5669" s="4" t="n">
        <v>67</v>
      </c>
      <c r="D5669" s="4" t="n">
        <v>20.2675</v>
      </c>
      <c r="E5669" s="5" t="n">
        <v>61.7</v>
      </c>
      <c r="F5669" s="3" t="inlineStr">
        <is>
          <t>남이면</t>
        </is>
      </c>
      <c r="G5669" s="3" t="inlineStr">
        <is>
          <t>비룡리</t>
        </is>
      </c>
      <c r="H5669" s="3" t="inlineStr">
        <is>
          <t>계획관리지역</t>
        </is>
      </c>
      <c r="I5669" s="3" t="inlineStr">
        <is>
          <t>전</t>
        </is>
      </c>
      <c r="J5669" s="3" t="inlineStr">
        <is>
          <t>남이면</t>
        </is>
      </c>
    </row>
    <row r="5670">
      <c r="A5670" s="3" t="n">
        <v>2024</v>
      </c>
      <c r="B5670" s="4" t="n">
        <v>59800</v>
      </c>
      <c r="C5670" s="4" t="n">
        <v>1330</v>
      </c>
      <c r="D5670" s="4" t="n">
        <v>402.325</v>
      </c>
      <c r="E5670" s="5" t="n">
        <v>148.6</v>
      </c>
      <c r="F5670" s="3" t="inlineStr">
        <is>
          <t>남이면</t>
        </is>
      </c>
      <c r="G5670" s="3" t="inlineStr">
        <is>
          <t>석실리</t>
        </is>
      </c>
      <c r="H5670" s="3" t="inlineStr">
        <is>
          <t>자연녹지지역</t>
        </is>
      </c>
      <c r="I5670" s="3" t="inlineStr">
        <is>
          <t>전</t>
        </is>
      </c>
      <c r="J5670" s="3" t="inlineStr">
        <is>
          <t>남이면</t>
        </is>
      </c>
    </row>
    <row r="5671">
      <c r="A5671" s="3" t="n">
        <v>2024</v>
      </c>
      <c r="B5671" s="4" t="n">
        <v>9200</v>
      </c>
      <c r="C5671" s="4" t="n">
        <v>372</v>
      </c>
      <c r="D5671" s="4" t="n">
        <v>112.53</v>
      </c>
      <c r="E5671" s="5" t="n">
        <v>81.8</v>
      </c>
      <c r="F5671" s="3" t="inlineStr">
        <is>
          <t>남이면</t>
        </is>
      </c>
      <c r="G5671" s="3" t="inlineStr">
        <is>
          <t>석실리</t>
        </is>
      </c>
      <c r="H5671" s="3" t="inlineStr">
        <is>
          <t>자연녹지지역</t>
        </is>
      </c>
      <c r="I5671" s="3" t="inlineStr">
        <is>
          <t>전</t>
        </is>
      </c>
      <c r="J5671" s="3" t="inlineStr">
        <is>
          <t>남이면</t>
        </is>
      </c>
    </row>
    <row r="5672">
      <c r="A5672" s="3" t="n">
        <v>2024</v>
      </c>
      <c r="B5672" s="4" t="n">
        <v>39319</v>
      </c>
      <c r="C5672" s="4" t="n">
        <v>790</v>
      </c>
      <c r="D5672" s="4" t="n">
        <v>238.975</v>
      </c>
      <c r="E5672" s="5" t="n">
        <v>164.5</v>
      </c>
      <c r="F5672" s="3" t="inlineStr">
        <is>
          <t>남이면</t>
        </is>
      </c>
      <c r="G5672" s="3" t="inlineStr">
        <is>
          <t>석실리</t>
        </is>
      </c>
      <c r="H5672" s="3" t="inlineStr">
        <is>
          <t>자연녹지지역</t>
        </is>
      </c>
      <c r="I5672" s="3" t="inlineStr">
        <is>
          <t>전</t>
        </is>
      </c>
      <c r="J5672" s="3" t="inlineStr">
        <is>
          <t>남이면</t>
        </is>
      </c>
    </row>
    <row r="5673">
      <c r="A5673" s="3" t="n">
        <v>2024</v>
      </c>
      <c r="B5673" s="4" t="n">
        <v>18000</v>
      </c>
      <c r="C5673" s="4" t="n">
        <v>560</v>
      </c>
      <c r="D5673" s="4" t="n">
        <v>169.4</v>
      </c>
      <c r="E5673" s="5" t="n">
        <v>106.3</v>
      </c>
      <c r="F5673" s="3" t="inlineStr">
        <is>
          <t>남이면</t>
        </is>
      </c>
      <c r="G5673" s="3" t="inlineStr">
        <is>
          <t>석실리</t>
        </is>
      </c>
      <c r="H5673" s="3" t="inlineStr">
        <is>
          <t>자연녹지지역</t>
        </is>
      </c>
      <c r="I5673" s="3" t="inlineStr">
        <is>
          <t>전</t>
        </is>
      </c>
      <c r="J5673" s="3" t="inlineStr">
        <is>
          <t>남이면</t>
        </is>
      </c>
    </row>
    <row r="5674">
      <c r="A5674" s="3" t="n">
        <v>2024</v>
      </c>
      <c r="B5674" s="4" t="n">
        <v>19820</v>
      </c>
      <c r="C5674" s="4" t="n">
        <v>539</v>
      </c>
      <c r="D5674" s="4" t="n">
        <v>163.0475</v>
      </c>
      <c r="E5674" s="5" t="n">
        <v>121.6</v>
      </c>
      <c r="F5674" s="3" t="inlineStr">
        <is>
          <t>남이면</t>
        </is>
      </c>
      <c r="G5674" s="3" t="inlineStr">
        <is>
          <t>양촌리</t>
        </is>
      </c>
      <c r="H5674" s="3" t="inlineStr">
        <is>
          <t>자연녹지지역</t>
        </is>
      </c>
      <c r="I5674" s="3" t="inlineStr">
        <is>
          <t>전</t>
        </is>
      </c>
      <c r="J5674" s="3" t="inlineStr">
        <is>
          <t>남이면</t>
        </is>
      </c>
    </row>
    <row r="5675">
      <c r="A5675" s="3" t="n">
        <v>2024</v>
      </c>
      <c r="B5675" s="4" t="n">
        <v>300</v>
      </c>
      <c r="C5675" s="4" t="n">
        <v>20</v>
      </c>
      <c r="D5675" s="4" t="n">
        <v>6.05</v>
      </c>
      <c r="E5675" s="5" t="n">
        <v>49.6</v>
      </c>
      <c r="F5675" s="3" t="inlineStr">
        <is>
          <t>남이면</t>
        </is>
      </c>
      <c r="G5675" s="3" t="inlineStr">
        <is>
          <t>양촌리</t>
        </is>
      </c>
      <c r="H5675" s="3" t="inlineStr">
        <is>
          <t>자연녹지지역</t>
        </is>
      </c>
      <c r="I5675" s="3" t="inlineStr">
        <is>
          <t>전</t>
        </is>
      </c>
      <c r="J5675" s="3" t="inlineStr">
        <is>
          <t>남이면</t>
        </is>
      </c>
    </row>
    <row r="5676">
      <c r="A5676" s="3" t="n">
        <v>2024</v>
      </c>
      <c r="B5676" s="4" t="n">
        <v>150</v>
      </c>
      <c r="C5676" s="4" t="n">
        <v>10</v>
      </c>
      <c r="D5676" s="4" t="n">
        <v>3.025</v>
      </c>
      <c r="E5676" s="5" t="n">
        <v>49.6</v>
      </c>
      <c r="F5676" s="3" t="inlineStr">
        <is>
          <t>남이면</t>
        </is>
      </c>
      <c r="G5676" s="3" t="inlineStr">
        <is>
          <t>양촌리</t>
        </is>
      </c>
      <c r="H5676" s="3" t="inlineStr">
        <is>
          <t>자연녹지지역</t>
        </is>
      </c>
      <c r="I5676" s="3" t="inlineStr">
        <is>
          <t>답</t>
        </is>
      </c>
      <c r="J5676" s="3" t="inlineStr">
        <is>
          <t>남이면</t>
        </is>
      </c>
    </row>
    <row r="5677">
      <c r="A5677" s="3" t="n">
        <v>2024</v>
      </c>
      <c r="B5677" s="4" t="n">
        <v>100</v>
      </c>
      <c r="C5677" s="4" t="n">
        <v>5</v>
      </c>
      <c r="D5677" s="4" t="n">
        <v>1.5125</v>
      </c>
      <c r="E5677" s="5" t="n">
        <v>66.09999999999999</v>
      </c>
      <c r="F5677" s="3" t="inlineStr">
        <is>
          <t>남이면</t>
        </is>
      </c>
      <c r="G5677" s="3" t="inlineStr">
        <is>
          <t>양촌리</t>
        </is>
      </c>
      <c r="H5677" s="3" t="inlineStr">
        <is>
          <t>자연녹지지역</t>
        </is>
      </c>
      <c r="I5677" s="3" t="inlineStr">
        <is>
          <t>답</t>
        </is>
      </c>
      <c r="J5677" s="3" t="inlineStr">
        <is>
          <t>남이면</t>
        </is>
      </c>
    </row>
    <row r="5678">
      <c r="A5678" s="3" t="n">
        <v>2024</v>
      </c>
      <c r="B5678" s="4" t="n">
        <v>450</v>
      </c>
      <c r="C5678" s="4" t="n">
        <v>30</v>
      </c>
      <c r="D5678" s="4" t="n">
        <v>9.074999999999999</v>
      </c>
      <c r="E5678" s="5" t="n">
        <v>49.6</v>
      </c>
      <c r="F5678" s="3" t="inlineStr">
        <is>
          <t>남이면</t>
        </is>
      </c>
      <c r="G5678" s="3" t="inlineStr">
        <is>
          <t>양촌리</t>
        </is>
      </c>
      <c r="H5678" s="3" t="inlineStr">
        <is>
          <t>자연녹지지역</t>
        </is>
      </c>
      <c r="I5678" s="3" t="inlineStr">
        <is>
          <t>전</t>
        </is>
      </c>
      <c r="J5678" s="3" t="inlineStr">
        <is>
          <t>남이면</t>
        </is>
      </c>
    </row>
    <row r="5679">
      <c r="A5679" s="3" t="n">
        <v>2024</v>
      </c>
      <c r="B5679" s="4" t="n">
        <v>17522</v>
      </c>
      <c r="C5679" s="4" t="n">
        <v>420</v>
      </c>
      <c r="D5679" s="4" t="n">
        <v>127.05</v>
      </c>
      <c r="E5679" s="5" t="n">
        <v>137.9</v>
      </c>
      <c r="F5679" s="3" t="inlineStr">
        <is>
          <t>남이면</t>
        </is>
      </c>
      <c r="G5679" s="3" t="inlineStr">
        <is>
          <t>양촌리</t>
        </is>
      </c>
      <c r="H5679" s="3" t="inlineStr">
        <is>
          <t>자연녹지지역</t>
        </is>
      </c>
      <c r="I5679" s="3" t="inlineStr">
        <is>
          <t>전</t>
        </is>
      </c>
      <c r="J5679" s="3" t="inlineStr">
        <is>
          <t>남이면</t>
        </is>
      </c>
    </row>
    <row r="5680">
      <c r="A5680" s="3" t="n">
        <v>2024</v>
      </c>
      <c r="B5680" s="4" t="n">
        <v>13392</v>
      </c>
      <c r="C5680" s="4" t="n">
        <v>321</v>
      </c>
      <c r="D5680" s="4" t="n">
        <v>97.10249999999999</v>
      </c>
      <c r="E5680" s="5" t="n">
        <v>137.9</v>
      </c>
      <c r="F5680" s="3" t="inlineStr">
        <is>
          <t>남이면</t>
        </is>
      </c>
      <c r="G5680" s="3" t="inlineStr">
        <is>
          <t>양촌리</t>
        </is>
      </c>
      <c r="H5680" s="3" t="inlineStr">
        <is>
          <t>자연녹지지역</t>
        </is>
      </c>
      <c r="I5680" s="3" t="inlineStr">
        <is>
          <t>전</t>
        </is>
      </c>
      <c r="J5680" s="3" t="inlineStr">
        <is>
          <t>남이면</t>
        </is>
      </c>
    </row>
    <row r="5681">
      <c r="A5681" s="3" t="n">
        <v>2024</v>
      </c>
      <c r="B5681" s="4" t="n">
        <v>11514</v>
      </c>
      <c r="C5681" s="4" t="n">
        <v>276</v>
      </c>
      <c r="D5681" s="4" t="n">
        <v>83.48999999999999</v>
      </c>
      <c r="E5681" s="5" t="n">
        <v>137.9</v>
      </c>
      <c r="F5681" s="3" t="inlineStr">
        <is>
          <t>남이면</t>
        </is>
      </c>
      <c r="G5681" s="3" t="inlineStr">
        <is>
          <t>양촌리</t>
        </is>
      </c>
      <c r="H5681" s="3" t="inlineStr">
        <is>
          <t>자연녹지지역</t>
        </is>
      </c>
      <c r="I5681" s="3" t="inlineStr">
        <is>
          <t>전</t>
        </is>
      </c>
      <c r="J5681" s="3" t="inlineStr">
        <is>
          <t>남이면</t>
        </is>
      </c>
    </row>
    <row r="5682">
      <c r="A5682" s="3" t="n">
        <v>2024</v>
      </c>
      <c r="B5682" s="4" t="n">
        <v>417</v>
      </c>
      <c r="C5682" s="4" t="n">
        <v>10</v>
      </c>
      <c r="D5682" s="4" t="n">
        <v>3.025</v>
      </c>
      <c r="E5682" s="5" t="n">
        <v>137.9</v>
      </c>
      <c r="F5682" s="3" t="inlineStr">
        <is>
          <t>남이면</t>
        </is>
      </c>
      <c r="G5682" s="3" t="inlineStr">
        <is>
          <t>양촌리</t>
        </is>
      </c>
      <c r="H5682" s="3" t="inlineStr">
        <is>
          <t>자연녹지지역</t>
        </is>
      </c>
      <c r="I5682" s="3" t="inlineStr">
        <is>
          <t>임야</t>
        </is>
      </c>
      <c r="J5682" s="3" t="inlineStr">
        <is>
          <t>남이면</t>
        </is>
      </c>
    </row>
    <row r="5683">
      <c r="A5683" s="3" t="n">
        <v>2024</v>
      </c>
      <c r="B5683" s="4" t="n">
        <v>50</v>
      </c>
      <c r="C5683" s="4" t="n">
        <v>1</v>
      </c>
      <c r="D5683" s="4" t="n">
        <v>0.3025</v>
      </c>
      <c r="E5683" s="5" t="n">
        <v>165.3</v>
      </c>
      <c r="F5683" s="3" t="inlineStr">
        <is>
          <t>남이면</t>
        </is>
      </c>
      <c r="G5683" s="3" t="inlineStr">
        <is>
          <t>양촌리</t>
        </is>
      </c>
      <c r="H5683" s="3" t="inlineStr">
        <is>
          <t>자연녹지지역</t>
        </is>
      </c>
      <c r="I5683" s="3" t="inlineStr">
        <is>
          <t>답</t>
        </is>
      </c>
      <c r="J5683" s="3" t="inlineStr">
        <is>
          <t>남이면</t>
        </is>
      </c>
    </row>
    <row r="5684">
      <c r="A5684" s="3" t="n">
        <v>2024</v>
      </c>
      <c r="B5684" s="4" t="n">
        <v>500</v>
      </c>
      <c r="C5684" s="4" t="n">
        <v>10</v>
      </c>
      <c r="D5684" s="4" t="n">
        <v>3.025</v>
      </c>
      <c r="E5684" s="5" t="n">
        <v>165.3</v>
      </c>
      <c r="F5684" s="3" t="inlineStr">
        <is>
          <t>남이면</t>
        </is>
      </c>
      <c r="G5684" s="3" t="inlineStr">
        <is>
          <t>양촌리</t>
        </is>
      </c>
      <c r="H5684" s="3" t="inlineStr">
        <is>
          <t>자연녹지지역</t>
        </is>
      </c>
      <c r="I5684" s="3" t="inlineStr">
        <is>
          <t>답</t>
        </is>
      </c>
      <c r="J5684" s="3" t="inlineStr">
        <is>
          <t>남이면</t>
        </is>
      </c>
    </row>
    <row r="5685">
      <c r="A5685" s="3" t="n">
        <v>2024</v>
      </c>
      <c r="B5685" s="4" t="n">
        <v>20</v>
      </c>
      <c r="C5685" s="4" t="n">
        <v>1</v>
      </c>
      <c r="D5685" s="4" t="n">
        <v>0.3025</v>
      </c>
      <c r="E5685" s="5" t="n">
        <v>66.09999999999999</v>
      </c>
      <c r="F5685" s="3" t="inlineStr">
        <is>
          <t>남이면</t>
        </is>
      </c>
      <c r="G5685" s="3" t="inlineStr">
        <is>
          <t>양촌리</t>
        </is>
      </c>
      <c r="H5685" s="3" t="inlineStr">
        <is>
          <t>자연녹지지역</t>
        </is>
      </c>
      <c r="I5685" s="3" t="inlineStr">
        <is>
          <t>답</t>
        </is>
      </c>
      <c r="J5685" s="3" t="inlineStr">
        <is>
          <t>남이면</t>
        </is>
      </c>
    </row>
    <row r="5686">
      <c r="A5686" s="3" t="n">
        <v>2024</v>
      </c>
      <c r="B5686" s="4" t="n">
        <v>80</v>
      </c>
      <c r="C5686" s="4" t="n">
        <v>5</v>
      </c>
      <c r="D5686" s="4" t="n">
        <v>1.5125</v>
      </c>
      <c r="E5686" s="5" t="n">
        <v>52.9</v>
      </c>
      <c r="F5686" s="3" t="inlineStr">
        <is>
          <t>남이면</t>
        </is>
      </c>
      <c r="G5686" s="3" t="inlineStr">
        <is>
          <t>양촌리</t>
        </is>
      </c>
      <c r="H5686" s="3" t="inlineStr">
        <is>
          <t>자연녹지지역</t>
        </is>
      </c>
      <c r="I5686" s="3" t="inlineStr">
        <is>
          <t>답</t>
        </is>
      </c>
      <c r="J5686" s="3" t="inlineStr">
        <is>
          <t>남이면</t>
        </is>
      </c>
    </row>
    <row r="5687">
      <c r="A5687" s="3" t="n">
        <v>2024</v>
      </c>
      <c r="B5687" s="4" t="n">
        <v>4400</v>
      </c>
      <c r="C5687" s="4" t="n">
        <v>638</v>
      </c>
      <c r="D5687" s="4" t="n">
        <v>192.995</v>
      </c>
      <c r="E5687" s="5" t="n">
        <v>22.8</v>
      </c>
      <c r="F5687" s="3" t="inlineStr">
        <is>
          <t>남이면</t>
        </is>
      </c>
      <c r="G5687" s="3" t="inlineStr">
        <is>
          <t>산막리</t>
        </is>
      </c>
      <c r="H5687" s="3" t="inlineStr">
        <is>
          <t>계획관리지역</t>
        </is>
      </c>
      <c r="I5687" s="3" t="inlineStr">
        <is>
          <t>묘지</t>
        </is>
      </c>
      <c r="J5687" s="3" t="inlineStr">
        <is>
          <t>남이면</t>
        </is>
      </c>
    </row>
    <row r="5688">
      <c r="A5688" s="3" t="n">
        <v>2024</v>
      </c>
      <c r="B5688" s="4" t="n">
        <v>16000</v>
      </c>
      <c r="C5688" s="4" t="n">
        <v>1522</v>
      </c>
      <c r="D5688" s="4" t="n">
        <v>460.405</v>
      </c>
      <c r="E5688" s="5" t="n">
        <v>34.8</v>
      </c>
      <c r="F5688" s="3" t="inlineStr">
        <is>
          <t>남이면</t>
        </is>
      </c>
      <c r="G5688" s="3" t="inlineStr">
        <is>
          <t>구미리</t>
        </is>
      </c>
      <c r="H5688" s="3" t="inlineStr">
        <is>
          <t>생산관리지역</t>
        </is>
      </c>
      <c r="I5688" s="3" t="inlineStr">
        <is>
          <t>답</t>
        </is>
      </c>
      <c r="J5688" s="3" t="inlineStr">
        <is>
          <t>남이면</t>
        </is>
      </c>
    </row>
    <row r="5689">
      <c r="A5689" s="3" t="n">
        <v>2024</v>
      </c>
      <c r="B5689" s="4" t="n">
        <v>14444</v>
      </c>
      <c r="C5689" s="4" t="n">
        <v>430</v>
      </c>
      <c r="D5689" s="4" t="n">
        <v>130.075</v>
      </c>
      <c r="E5689" s="5" t="n">
        <v>111</v>
      </c>
      <c r="F5689" s="3" t="inlineStr">
        <is>
          <t>남이면</t>
        </is>
      </c>
      <c r="G5689" s="3" t="inlineStr">
        <is>
          <t>석판리</t>
        </is>
      </c>
      <c r="H5689" s="3" t="inlineStr">
        <is>
          <t>자연녹지지역</t>
        </is>
      </c>
      <c r="I5689" s="3" t="inlineStr">
        <is>
          <t>답</t>
        </is>
      </c>
      <c r="J5689" s="3" t="inlineStr">
        <is>
          <t>남이면</t>
        </is>
      </c>
    </row>
    <row r="5690">
      <c r="A5690" s="3" t="n">
        <v>2023</v>
      </c>
      <c r="B5690" s="4" t="n">
        <v>150</v>
      </c>
      <c r="C5690" s="4" t="n">
        <v>118</v>
      </c>
      <c r="D5690" s="4" t="n">
        <v>35.695</v>
      </c>
      <c r="E5690" s="5" t="n">
        <v>4.2</v>
      </c>
      <c r="F5690" s="3" t="inlineStr">
        <is>
          <t>남이면</t>
        </is>
      </c>
      <c r="G5690" s="3" t="inlineStr">
        <is>
          <t>문동리</t>
        </is>
      </c>
      <c r="H5690" s="3" t="inlineStr">
        <is>
          <t>자연녹지지역</t>
        </is>
      </c>
      <c r="I5690" s="3" t="inlineStr">
        <is>
          <t>임야</t>
        </is>
      </c>
      <c r="J5690" s="3" t="inlineStr">
        <is>
          <t>남이면</t>
        </is>
      </c>
    </row>
    <row r="5691">
      <c r="A5691" s="3" t="n">
        <v>2023</v>
      </c>
      <c r="B5691" s="4" t="n">
        <v>4700</v>
      </c>
      <c r="C5691" s="4" t="n">
        <v>140</v>
      </c>
      <c r="D5691" s="4" t="n">
        <v>42.35</v>
      </c>
      <c r="E5691" s="5" t="n">
        <v>111</v>
      </c>
      <c r="F5691" s="3" t="inlineStr">
        <is>
          <t>남이면</t>
        </is>
      </c>
      <c r="G5691" s="3" t="inlineStr">
        <is>
          <t>수대리</t>
        </is>
      </c>
      <c r="H5691" s="3" t="inlineStr">
        <is>
          <t>자연녹지지역</t>
        </is>
      </c>
      <c r="I5691" s="3" t="inlineStr">
        <is>
          <t>답</t>
        </is>
      </c>
      <c r="J5691" s="3" t="inlineStr">
        <is>
          <t>남이면</t>
        </is>
      </c>
    </row>
    <row r="5692">
      <c r="A5692" s="3" t="n">
        <v>2023</v>
      </c>
      <c r="B5692" s="4" t="n">
        <v>2000</v>
      </c>
      <c r="C5692" s="4" t="n">
        <v>62</v>
      </c>
      <c r="D5692" s="4" t="n">
        <v>18.755</v>
      </c>
      <c r="E5692" s="5" t="n">
        <v>106.6</v>
      </c>
      <c r="F5692" s="3" t="inlineStr">
        <is>
          <t>남이면</t>
        </is>
      </c>
      <c r="G5692" s="3" t="inlineStr">
        <is>
          <t>수대리</t>
        </is>
      </c>
      <c r="H5692" s="3" t="inlineStr">
        <is>
          <t>자연녹지지역</t>
        </is>
      </c>
      <c r="I5692" s="3" t="inlineStr">
        <is>
          <t>답</t>
        </is>
      </c>
      <c r="J5692" s="3" t="inlineStr">
        <is>
          <t>남이면</t>
        </is>
      </c>
    </row>
    <row r="5693">
      <c r="A5693" s="3" t="n">
        <v>2023</v>
      </c>
      <c r="B5693" s="4" t="n">
        <v>73986</v>
      </c>
      <c r="C5693" s="4" t="n">
        <v>3524</v>
      </c>
      <c r="D5693" s="4" t="n">
        <v>1066.01</v>
      </c>
      <c r="E5693" s="5" t="n">
        <v>69.40000000000001</v>
      </c>
      <c r="F5693" s="3" t="inlineStr">
        <is>
          <t>남이면</t>
        </is>
      </c>
      <c r="G5693" s="3" t="inlineStr">
        <is>
          <t>석판리</t>
        </is>
      </c>
      <c r="H5693" s="3" t="inlineStr">
        <is>
          <t>자연녹지지역</t>
        </is>
      </c>
      <c r="I5693" s="3" t="inlineStr">
        <is>
          <t>전</t>
        </is>
      </c>
      <c r="J5693" s="3" t="inlineStr">
        <is>
          <t>남이면</t>
        </is>
      </c>
    </row>
    <row r="5694">
      <c r="A5694" s="3" t="n">
        <v>2023</v>
      </c>
      <c r="B5694" s="4" t="n">
        <v>4724</v>
      </c>
      <c r="C5694" s="4" t="n">
        <v>225</v>
      </c>
      <c r="D5694" s="4" t="n">
        <v>68.0625</v>
      </c>
      <c r="E5694" s="5" t="n">
        <v>69.40000000000001</v>
      </c>
      <c r="F5694" s="3" t="inlineStr">
        <is>
          <t>남이면</t>
        </is>
      </c>
      <c r="G5694" s="3" t="inlineStr">
        <is>
          <t>석판리</t>
        </is>
      </c>
      <c r="H5694" s="3" t="inlineStr">
        <is>
          <t>자연녹지지역</t>
        </is>
      </c>
      <c r="I5694" s="3" t="inlineStr">
        <is>
          <t>전</t>
        </is>
      </c>
      <c r="J5694" s="3" t="inlineStr">
        <is>
          <t>남이면</t>
        </is>
      </c>
    </row>
    <row r="5695">
      <c r="A5695" s="3" t="n">
        <v>2023</v>
      </c>
      <c r="B5695" s="4" t="n">
        <v>20160</v>
      </c>
      <c r="C5695" s="4" t="n">
        <v>1388</v>
      </c>
      <c r="D5695" s="4" t="n">
        <v>419.87</v>
      </c>
      <c r="E5695" s="5" t="n">
        <v>48</v>
      </c>
      <c r="F5695" s="3" t="inlineStr">
        <is>
          <t>남이면</t>
        </is>
      </c>
      <c r="G5695" s="3" t="inlineStr">
        <is>
          <t>석판리</t>
        </is>
      </c>
      <c r="H5695" s="3" t="inlineStr">
        <is>
          <t>자연녹지지역</t>
        </is>
      </c>
      <c r="I5695" s="3" t="inlineStr">
        <is>
          <t>임야</t>
        </is>
      </c>
      <c r="J5695" s="3" t="inlineStr">
        <is>
          <t>남이면</t>
        </is>
      </c>
    </row>
    <row r="5696">
      <c r="A5696" s="3" t="n">
        <v>2023</v>
      </c>
      <c r="B5696" s="4" t="n">
        <v>1131</v>
      </c>
      <c r="C5696" s="4" t="n">
        <v>298</v>
      </c>
      <c r="D5696" s="4" t="n">
        <v>90.145</v>
      </c>
      <c r="E5696" s="5" t="n">
        <v>12.5</v>
      </c>
      <c r="F5696" s="3" t="inlineStr">
        <is>
          <t>남이면</t>
        </is>
      </c>
      <c r="G5696" s="3" t="inlineStr">
        <is>
          <t>석판리</t>
        </is>
      </c>
      <c r="H5696" s="3" t="inlineStr">
        <is>
          <t>보전녹지지역</t>
        </is>
      </c>
      <c r="I5696" s="3" t="inlineStr">
        <is>
          <t>임야</t>
        </is>
      </c>
      <c r="J5696" s="3" t="inlineStr">
        <is>
          <t>남이면</t>
        </is>
      </c>
    </row>
    <row r="5697">
      <c r="A5697" s="3" t="n">
        <v>2023</v>
      </c>
      <c r="B5697" s="4" t="n">
        <v>5400</v>
      </c>
      <c r="C5697" s="4" t="n">
        <v>345</v>
      </c>
      <c r="D5697" s="4" t="n">
        <v>104.3625</v>
      </c>
      <c r="E5697" s="5" t="n">
        <v>51.7</v>
      </c>
      <c r="F5697" s="3" t="inlineStr">
        <is>
          <t>남이면</t>
        </is>
      </c>
      <c r="G5697" s="3" t="inlineStr">
        <is>
          <t>구미리</t>
        </is>
      </c>
      <c r="H5697" s="3" t="inlineStr">
        <is>
          <t>농림지역</t>
        </is>
      </c>
      <c r="I5697" s="3" t="inlineStr">
        <is>
          <t>답</t>
        </is>
      </c>
      <c r="J5697" s="3" t="inlineStr">
        <is>
          <t>남이면</t>
        </is>
      </c>
    </row>
    <row r="5698">
      <c r="A5698" s="3" t="n">
        <v>2023</v>
      </c>
      <c r="B5698" s="4" t="n">
        <v>5900</v>
      </c>
      <c r="C5698" s="4" t="n">
        <v>377</v>
      </c>
      <c r="D5698" s="4" t="n">
        <v>114.0425</v>
      </c>
      <c r="E5698" s="5" t="n">
        <v>51.7</v>
      </c>
      <c r="F5698" s="3" t="inlineStr">
        <is>
          <t>남이면</t>
        </is>
      </c>
      <c r="G5698" s="3" t="inlineStr">
        <is>
          <t>구미리</t>
        </is>
      </c>
      <c r="H5698" s="3" t="inlineStr">
        <is>
          <t>농림지역</t>
        </is>
      </c>
      <c r="I5698" s="3" t="inlineStr">
        <is>
          <t>답</t>
        </is>
      </c>
      <c r="J5698" s="3" t="inlineStr">
        <is>
          <t>남이면</t>
        </is>
      </c>
    </row>
    <row r="5699">
      <c r="A5699" s="3" t="n">
        <v>2023</v>
      </c>
      <c r="B5699" s="4" t="n">
        <v>3100</v>
      </c>
      <c r="C5699" s="4" t="n">
        <v>198</v>
      </c>
      <c r="D5699" s="4" t="n">
        <v>59.895</v>
      </c>
      <c r="E5699" s="5" t="n">
        <v>51.8</v>
      </c>
      <c r="F5699" s="3" t="inlineStr">
        <is>
          <t>남이면</t>
        </is>
      </c>
      <c r="G5699" s="3" t="inlineStr">
        <is>
          <t>구미리</t>
        </is>
      </c>
      <c r="H5699" s="3" t="inlineStr">
        <is>
          <t>농림지역</t>
        </is>
      </c>
      <c r="I5699" s="3" t="inlineStr">
        <is>
          <t>답</t>
        </is>
      </c>
      <c r="J5699" s="3" t="inlineStr">
        <is>
          <t>남이면</t>
        </is>
      </c>
    </row>
    <row r="5700">
      <c r="A5700" s="3" t="n">
        <v>2023</v>
      </c>
      <c r="B5700" s="4" t="n">
        <v>300</v>
      </c>
      <c r="C5700" s="4" t="n">
        <v>29</v>
      </c>
      <c r="D5700" s="4" t="n">
        <v>8.772499999999999</v>
      </c>
      <c r="E5700" s="5" t="n">
        <v>34.2</v>
      </c>
      <c r="F5700" s="3" t="inlineStr">
        <is>
          <t>남이면</t>
        </is>
      </c>
      <c r="G5700" s="3" t="inlineStr">
        <is>
          <t>구미리</t>
        </is>
      </c>
      <c r="H5700" s="3" t="inlineStr">
        <is>
          <t>농림지역</t>
        </is>
      </c>
      <c r="I5700" s="3" t="inlineStr">
        <is>
          <t>답</t>
        </is>
      </c>
      <c r="J5700" s="3" t="inlineStr">
        <is>
          <t>남이면</t>
        </is>
      </c>
    </row>
    <row r="5701">
      <c r="A5701" s="3" t="n">
        <v>2023</v>
      </c>
      <c r="B5701" s="4" t="n">
        <v>1015</v>
      </c>
      <c r="C5701" s="4" t="n">
        <v>11</v>
      </c>
      <c r="D5701" s="4" t="n">
        <v>3.3275</v>
      </c>
      <c r="E5701" s="5" t="n">
        <v>305</v>
      </c>
      <c r="F5701" s="3" t="inlineStr">
        <is>
          <t>남이면</t>
        </is>
      </c>
      <c r="G5701" s="3" t="inlineStr">
        <is>
          <t>가마리</t>
        </is>
      </c>
      <c r="H5701" s="3" t="inlineStr">
        <is>
          <t>자연녹지지역</t>
        </is>
      </c>
      <c r="I5701" s="3" t="inlineStr">
        <is>
          <t>대</t>
        </is>
      </c>
      <c r="J5701" s="3" t="inlineStr">
        <is>
          <t>남이면</t>
        </is>
      </c>
    </row>
    <row r="5702">
      <c r="A5702" s="3" t="n">
        <v>2023</v>
      </c>
      <c r="B5702" s="4" t="n">
        <v>185</v>
      </c>
      <c r="C5702" s="4" t="n">
        <v>2</v>
      </c>
      <c r="D5702" s="4" t="n">
        <v>0.605</v>
      </c>
      <c r="E5702" s="5" t="n">
        <v>305.8</v>
      </c>
      <c r="F5702" s="3" t="inlineStr">
        <is>
          <t>남이면</t>
        </is>
      </c>
      <c r="G5702" s="3" t="inlineStr">
        <is>
          <t>가마리</t>
        </is>
      </c>
      <c r="H5702" s="3" t="inlineStr">
        <is>
          <t>자연녹지지역</t>
        </is>
      </c>
      <c r="I5702" s="3" t="inlineStr">
        <is>
          <t>도로</t>
        </is>
      </c>
      <c r="J5702" s="3" t="inlineStr">
        <is>
          <t>남이면</t>
        </is>
      </c>
    </row>
    <row r="5703">
      <c r="A5703" s="3" t="n">
        <v>2023</v>
      </c>
      <c r="B5703" s="4" t="n">
        <v>58170</v>
      </c>
      <c r="C5703" s="4" t="n">
        <v>2888</v>
      </c>
      <c r="D5703" s="4" t="n">
        <v>873.62</v>
      </c>
      <c r="E5703" s="5" t="n">
        <v>66.59999999999999</v>
      </c>
      <c r="F5703" s="3" t="inlineStr">
        <is>
          <t>남이면</t>
        </is>
      </c>
      <c r="G5703" s="3" t="inlineStr">
        <is>
          <t>구미리</t>
        </is>
      </c>
      <c r="H5703" s="3" t="inlineStr">
        <is>
          <t>보전관리지역</t>
        </is>
      </c>
      <c r="I5703" s="3" t="inlineStr">
        <is>
          <t>임야</t>
        </is>
      </c>
      <c r="J5703" s="3" t="inlineStr">
        <is>
          <t>남이면</t>
        </is>
      </c>
    </row>
    <row r="5704">
      <c r="A5704" s="3" t="n">
        <v>2023</v>
      </c>
      <c r="B5704" s="4" t="n">
        <v>46506</v>
      </c>
      <c r="C5704" s="4" t="n">
        <v>2085</v>
      </c>
      <c r="D5704" s="4" t="n">
        <v>630.7125</v>
      </c>
      <c r="E5704" s="5" t="n">
        <v>73.7</v>
      </c>
      <c r="F5704" s="3" t="inlineStr">
        <is>
          <t>남이면</t>
        </is>
      </c>
      <c r="G5704" s="3" t="inlineStr">
        <is>
          <t>구미리</t>
        </is>
      </c>
      <c r="H5704" s="3" t="inlineStr">
        <is>
          <t>계획관리지역</t>
        </is>
      </c>
      <c r="I5704" s="3" t="inlineStr">
        <is>
          <t>임야</t>
        </is>
      </c>
      <c r="J5704" s="3" t="inlineStr">
        <is>
          <t>남이면</t>
        </is>
      </c>
    </row>
    <row r="5705">
      <c r="A5705" s="3" t="n">
        <v>2023</v>
      </c>
      <c r="B5705" s="4" t="n">
        <v>223</v>
      </c>
      <c r="C5705" s="4" t="n">
        <v>10</v>
      </c>
      <c r="D5705" s="4" t="n">
        <v>3.025</v>
      </c>
      <c r="E5705" s="5" t="n">
        <v>73.7</v>
      </c>
      <c r="F5705" s="3" t="inlineStr">
        <is>
          <t>남이면</t>
        </is>
      </c>
      <c r="G5705" s="3" t="inlineStr">
        <is>
          <t>구미리</t>
        </is>
      </c>
      <c r="H5705" s="3" t="inlineStr">
        <is>
          <t>계획관리지역</t>
        </is>
      </c>
      <c r="I5705" s="3" t="inlineStr">
        <is>
          <t>도로</t>
        </is>
      </c>
      <c r="J5705" s="3" t="inlineStr">
        <is>
          <t>남이면</t>
        </is>
      </c>
    </row>
    <row r="5706">
      <c r="A5706" s="3" t="n">
        <v>2022</v>
      </c>
      <c r="B5706" s="4" t="n">
        <v>36000</v>
      </c>
      <c r="C5706" s="4" t="n">
        <v>1009</v>
      </c>
      <c r="D5706" s="4" t="n">
        <v>305.2225</v>
      </c>
      <c r="E5706" s="5" t="n">
        <v>117.9</v>
      </c>
      <c r="F5706" s="3" t="inlineStr">
        <is>
          <t>남이면</t>
        </is>
      </c>
      <c r="G5706" s="3" t="inlineStr">
        <is>
          <t>비룡리</t>
        </is>
      </c>
      <c r="H5706" s="3" t="inlineStr">
        <is>
          <t>계획관리지역</t>
        </is>
      </c>
      <c r="I5706" s="3" t="inlineStr">
        <is>
          <t>답</t>
        </is>
      </c>
      <c r="J5706" s="3" t="inlineStr">
        <is>
          <t>남이면</t>
        </is>
      </c>
    </row>
    <row r="5707">
      <c r="A5707" s="3" t="n">
        <v>2022</v>
      </c>
      <c r="B5707" s="4" t="n">
        <v>3000</v>
      </c>
      <c r="C5707" s="4" t="n">
        <v>85</v>
      </c>
      <c r="D5707" s="4" t="n">
        <v>25.7125</v>
      </c>
      <c r="E5707" s="5" t="n">
        <v>116.7</v>
      </c>
      <c r="F5707" s="3" t="inlineStr">
        <is>
          <t>남이면</t>
        </is>
      </c>
      <c r="G5707" s="3" t="inlineStr">
        <is>
          <t>비룡리</t>
        </is>
      </c>
      <c r="H5707" s="3" t="inlineStr">
        <is>
          <t>계획관리지역</t>
        </is>
      </c>
      <c r="I5707" s="3" t="inlineStr">
        <is>
          <t>전</t>
        </is>
      </c>
      <c r="J5707" s="3" t="inlineStr">
        <is>
          <t>남이면</t>
        </is>
      </c>
    </row>
    <row r="5708">
      <c r="A5708" s="3" t="n">
        <v>2022</v>
      </c>
      <c r="B5708" s="4" t="n">
        <v>21737</v>
      </c>
      <c r="C5708" s="4" t="n">
        <v>660</v>
      </c>
      <c r="D5708" s="4" t="n">
        <v>199.65</v>
      </c>
      <c r="E5708" s="5" t="n">
        <v>108.9</v>
      </c>
      <c r="F5708" s="3" t="inlineStr">
        <is>
          <t>남이면</t>
        </is>
      </c>
      <c r="G5708" s="3" t="inlineStr">
        <is>
          <t>가좌리</t>
        </is>
      </c>
      <c r="H5708" s="3" t="inlineStr">
        <is>
          <t>보전녹지지역</t>
        </is>
      </c>
      <c r="I5708" s="3" t="inlineStr">
        <is>
          <t>임야</t>
        </is>
      </c>
      <c r="J5708" s="3" t="inlineStr">
        <is>
          <t>남이면</t>
        </is>
      </c>
    </row>
    <row r="5709">
      <c r="A5709" s="3" t="n">
        <v>2022</v>
      </c>
      <c r="B5709" s="4" t="n">
        <v>3063</v>
      </c>
      <c r="C5709" s="4" t="n">
        <v>93</v>
      </c>
      <c r="D5709" s="4" t="n">
        <v>28.1325</v>
      </c>
      <c r="E5709" s="5" t="n">
        <v>108.9</v>
      </c>
      <c r="F5709" s="3" t="inlineStr">
        <is>
          <t>남이면</t>
        </is>
      </c>
      <c r="G5709" s="3" t="inlineStr">
        <is>
          <t>가좌리</t>
        </is>
      </c>
      <c r="H5709" s="3" t="inlineStr">
        <is>
          <t>보전녹지지역</t>
        </is>
      </c>
      <c r="I5709" s="3" t="inlineStr">
        <is>
          <t>도로</t>
        </is>
      </c>
      <c r="J5709" s="3" t="inlineStr">
        <is>
          <t>남이면</t>
        </is>
      </c>
    </row>
    <row r="5710">
      <c r="A5710" s="3" t="n">
        <v>2022</v>
      </c>
      <c r="B5710" s="4" t="n">
        <v>9000</v>
      </c>
      <c r="C5710" s="4" t="n">
        <v>724</v>
      </c>
      <c r="D5710" s="4" t="n">
        <v>219.01</v>
      </c>
      <c r="E5710" s="5" t="n">
        <v>41.1</v>
      </c>
      <c r="F5710" s="3" t="inlineStr">
        <is>
          <t>남이면</t>
        </is>
      </c>
      <c r="G5710" s="3" t="inlineStr">
        <is>
          <t>구암리</t>
        </is>
      </c>
      <c r="H5710" s="3" t="inlineStr">
        <is>
          <t>자연녹지지역</t>
        </is>
      </c>
      <c r="I5710" s="3" t="inlineStr">
        <is>
          <t>임야</t>
        </is>
      </c>
      <c r="J5710" s="3" t="inlineStr">
        <is>
          <t>남이면</t>
        </is>
      </c>
    </row>
    <row r="5711">
      <c r="A5711" s="3" t="n">
        <v>2022</v>
      </c>
      <c r="B5711" s="4" t="n">
        <v>7443</v>
      </c>
      <c r="C5711" s="4" t="n">
        <v>594</v>
      </c>
      <c r="D5711" s="4" t="n">
        <v>179.685</v>
      </c>
      <c r="E5711" s="5" t="n">
        <v>41.4</v>
      </c>
      <c r="F5711" s="3" t="inlineStr">
        <is>
          <t>남이면</t>
        </is>
      </c>
      <c r="G5711" s="3" t="inlineStr">
        <is>
          <t>석실리</t>
        </is>
      </c>
      <c r="H5711" s="3" t="inlineStr">
        <is>
          <t>자연녹지지역</t>
        </is>
      </c>
      <c r="I5711" s="3" t="inlineStr">
        <is>
          <t>답</t>
        </is>
      </c>
      <c r="J5711" s="3" t="inlineStr">
        <is>
          <t>남이면</t>
        </is>
      </c>
    </row>
    <row r="5712">
      <c r="A5712" s="3" t="n">
        <v>2022</v>
      </c>
      <c r="B5712" s="4" t="n">
        <v>18000</v>
      </c>
      <c r="C5712" s="4" t="n">
        <v>880</v>
      </c>
      <c r="D5712" s="4" t="n">
        <v>266.2</v>
      </c>
      <c r="E5712" s="5" t="n">
        <v>67.59999999999999</v>
      </c>
      <c r="F5712" s="3" t="inlineStr">
        <is>
          <t>남이면</t>
        </is>
      </c>
      <c r="G5712" s="3" t="inlineStr">
        <is>
          <t>양촌리</t>
        </is>
      </c>
      <c r="H5712" s="3" t="inlineStr">
        <is>
          <t>자연녹지지역</t>
        </is>
      </c>
      <c r="I5712" s="3" t="inlineStr">
        <is>
          <t>답</t>
        </is>
      </c>
      <c r="J5712" s="3" t="inlineStr">
        <is>
          <t>남이면</t>
        </is>
      </c>
    </row>
    <row r="5713">
      <c r="A5713" s="3" t="n">
        <v>2022</v>
      </c>
      <c r="B5713" s="4" t="n">
        <v>3600</v>
      </c>
      <c r="C5713" s="4" t="n">
        <v>374</v>
      </c>
      <c r="D5713" s="4" t="n">
        <v>113.135</v>
      </c>
      <c r="E5713" s="5" t="n">
        <v>31.8</v>
      </c>
      <c r="F5713" s="3" t="inlineStr">
        <is>
          <t>남이면</t>
        </is>
      </c>
      <c r="G5713" s="3" t="inlineStr">
        <is>
          <t>석실리</t>
        </is>
      </c>
      <c r="H5713" s="3" t="inlineStr">
        <is>
          <t>자연녹지지역</t>
        </is>
      </c>
      <c r="I5713" s="3" t="inlineStr">
        <is>
          <t>묘지</t>
        </is>
      </c>
      <c r="J5713" s="3" t="inlineStr">
        <is>
          <t>남이면</t>
        </is>
      </c>
    </row>
    <row r="5714">
      <c r="A5714" s="3" t="n">
        <v>2022</v>
      </c>
      <c r="B5714" s="4" t="n">
        <v>11360</v>
      </c>
      <c r="C5714" s="4" t="n">
        <v>493.6</v>
      </c>
      <c r="D5714" s="4" t="n">
        <v>149.314</v>
      </c>
      <c r="E5714" s="5" t="n">
        <v>76.09999999999999</v>
      </c>
      <c r="F5714" s="3" t="inlineStr">
        <is>
          <t>남이면</t>
        </is>
      </c>
      <c r="G5714" s="3" t="inlineStr">
        <is>
          <t>가좌리</t>
        </is>
      </c>
      <c r="H5714" s="3" t="inlineStr">
        <is>
          <t>보전녹지지역</t>
        </is>
      </c>
      <c r="I5714" s="3" t="inlineStr">
        <is>
          <t>임야</t>
        </is>
      </c>
      <c r="J5714" s="3" t="inlineStr">
        <is>
          <t>남이면</t>
        </is>
      </c>
    </row>
    <row r="5715">
      <c r="A5715" s="3" t="n">
        <v>2022</v>
      </c>
      <c r="B5715" s="4" t="n">
        <v>12210</v>
      </c>
      <c r="C5715" s="4" t="n">
        <v>1302</v>
      </c>
      <c r="D5715" s="4" t="n">
        <v>393.855</v>
      </c>
      <c r="E5715" s="5" t="n">
        <v>31</v>
      </c>
      <c r="F5715" s="3" t="inlineStr">
        <is>
          <t>남이면</t>
        </is>
      </c>
      <c r="G5715" s="3" t="inlineStr">
        <is>
          <t>척북리</t>
        </is>
      </c>
      <c r="H5715" s="3" t="inlineStr">
        <is>
          <t>농림지역</t>
        </is>
      </c>
      <c r="I5715" s="3" t="inlineStr">
        <is>
          <t>답</t>
        </is>
      </c>
      <c r="J5715" s="3" t="inlineStr">
        <is>
          <t>남이면</t>
        </is>
      </c>
    </row>
    <row r="5716">
      <c r="A5716" s="3" t="n">
        <v>2022</v>
      </c>
      <c r="B5716" s="4" t="n">
        <v>12490</v>
      </c>
      <c r="C5716" s="4" t="n">
        <v>1332</v>
      </c>
      <c r="D5716" s="4" t="n">
        <v>402.93</v>
      </c>
      <c r="E5716" s="5" t="n">
        <v>31</v>
      </c>
      <c r="F5716" s="3" t="inlineStr">
        <is>
          <t>남이면</t>
        </is>
      </c>
      <c r="G5716" s="3" t="inlineStr">
        <is>
          <t>척북리</t>
        </is>
      </c>
      <c r="H5716" s="3" t="inlineStr">
        <is>
          <t>농림지역</t>
        </is>
      </c>
      <c r="I5716" s="3" t="inlineStr">
        <is>
          <t>답</t>
        </is>
      </c>
      <c r="J5716" s="3" t="inlineStr">
        <is>
          <t>남이면</t>
        </is>
      </c>
    </row>
    <row r="5717">
      <c r="A5717" s="3" t="n">
        <v>2022</v>
      </c>
      <c r="B5717" s="4" t="n">
        <v>13000</v>
      </c>
      <c r="C5717" s="4" t="n">
        <v>1696</v>
      </c>
      <c r="D5717" s="4" t="n">
        <v>513.04</v>
      </c>
      <c r="E5717" s="5" t="n">
        <v>25.3</v>
      </c>
      <c r="F5717" s="3" t="inlineStr">
        <is>
          <t>남이면</t>
        </is>
      </c>
      <c r="G5717" s="3" t="inlineStr">
        <is>
          <t>비룡리</t>
        </is>
      </c>
      <c r="H5717" s="3" t="inlineStr">
        <is>
          <t>생산관리지역</t>
        </is>
      </c>
      <c r="I5717" s="3" t="inlineStr">
        <is>
          <t>답</t>
        </is>
      </c>
      <c r="J5717" s="3" t="inlineStr">
        <is>
          <t>남이면</t>
        </is>
      </c>
    </row>
    <row r="5718">
      <c r="A5718" s="3" t="n">
        <v>2022</v>
      </c>
      <c r="B5718" s="4" t="n">
        <v>12600</v>
      </c>
      <c r="C5718" s="4" t="n">
        <v>558</v>
      </c>
      <c r="D5718" s="4" t="n">
        <v>168.795</v>
      </c>
      <c r="E5718" s="5" t="n">
        <v>74.59999999999999</v>
      </c>
      <c r="F5718" s="3" t="inlineStr">
        <is>
          <t>남이면</t>
        </is>
      </c>
      <c r="G5718" s="3" t="inlineStr">
        <is>
          <t>문동리</t>
        </is>
      </c>
      <c r="H5718" s="3" t="inlineStr">
        <is>
          <t>자연녹지지역</t>
        </is>
      </c>
      <c r="I5718" s="3" t="inlineStr">
        <is>
          <t>전</t>
        </is>
      </c>
      <c r="J5718" s="3" t="inlineStr">
        <is>
          <t>남이면</t>
        </is>
      </c>
    </row>
    <row r="5719">
      <c r="A5719" s="3" t="n">
        <v>2022</v>
      </c>
      <c r="B5719" s="4" t="n">
        <v>64000</v>
      </c>
      <c r="C5719" s="4" t="n">
        <v>1102</v>
      </c>
      <c r="D5719" s="4" t="n">
        <v>333.355</v>
      </c>
      <c r="E5719" s="5" t="n">
        <v>192</v>
      </c>
      <c r="F5719" s="3" t="inlineStr">
        <is>
          <t>남이면</t>
        </is>
      </c>
      <c r="G5719" s="3" t="inlineStr">
        <is>
          <t>가마리</t>
        </is>
      </c>
      <c r="H5719" s="3" t="inlineStr">
        <is>
          <t>자연녹지지역</t>
        </is>
      </c>
      <c r="I5719" s="3" t="inlineStr">
        <is>
          <t>답</t>
        </is>
      </c>
      <c r="J5719" s="3" t="inlineStr">
        <is>
          <t>남이면</t>
        </is>
      </c>
    </row>
    <row r="5720">
      <c r="A5720" s="3" t="n">
        <v>2022</v>
      </c>
      <c r="B5720" s="4" t="n">
        <v>5400</v>
      </c>
      <c r="C5720" s="4" t="n">
        <v>1980</v>
      </c>
      <c r="D5720" s="4" t="n">
        <v>598.9499999999999</v>
      </c>
      <c r="E5720" s="5" t="n">
        <v>9</v>
      </c>
      <c r="F5720" s="3" t="inlineStr">
        <is>
          <t>남이면</t>
        </is>
      </c>
      <c r="G5720" s="3" t="inlineStr">
        <is>
          <t>문동리</t>
        </is>
      </c>
      <c r="H5720" s="3" t="inlineStr">
        <is>
          <t>생산관리지역</t>
        </is>
      </c>
      <c r="I5720" s="3" t="inlineStr">
        <is>
          <t>전</t>
        </is>
      </c>
      <c r="J5720" s="3" t="inlineStr">
        <is>
          <t>남이면</t>
        </is>
      </c>
    </row>
    <row r="5721">
      <c r="A5721" s="3" t="n">
        <v>2022</v>
      </c>
      <c r="B5721" s="4" t="n">
        <v>4600</v>
      </c>
      <c r="C5721" s="4" t="n">
        <v>1471</v>
      </c>
      <c r="D5721" s="4" t="n">
        <v>444.9775</v>
      </c>
      <c r="E5721" s="5" t="n">
        <v>10.3</v>
      </c>
      <c r="F5721" s="3" t="inlineStr">
        <is>
          <t>남이면</t>
        </is>
      </c>
      <c r="G5721" s="3" t="inlineStr">
        <is>
          <t>문동리</t>
        </is>
      </c>
      <c r="H5721" s="3" t="inlineStr">
        <is>
          <t>생산관리지역</t>
        </is>
      </c>
      <c r="I5721" s="3" t="inlineStr">
        <is>
          <t>전</t>
        </is>
      </c>
      <c r="J5721" s="3" t="inlineStr">
        <is>
          <t>남이면</t>
        </is>
      </c>
    </row>
    <row r="5722">
      <c r="A5722" s="3" t="n">
        <v>2022</v>
      </c>
      <c r="B5722" s="4" t="n">
        <v>8890</v>
      </c>
      <c r="C5722" s="4" t="n">
        <v>980</v>
      </c>
      <c r="D5722" s="4" t="n">
        <v>296.45</v>
      </c>
      <c r="E5722" s="5" t="n">
        <v>30</v>
      </c>
      <c r="F5722" s="3" t="inlineStr">
        <is>
          <t>남이면</t>
        </is>
      </c>
      <c r="G5722" s="3" t="inlineStr">
        <is>
          <t>산막리</t>
        </is>
      </c>
      <c r="H5722" s="3" t="inlineStr">
        <is>
          <t>농림지역</t>
        </is>
      </c>
      <c r="I5722" s="3" t="inlineStr">
        <is>
          <t>전</t>
        </is>
      </c>
      <c r="J5722" s="3" t="inlineStr">
        <is>
          <t>남이면</t>
        </is>
      </c>
    </row>
    <row r="5723">
      <c r="A5723" s="3" t="n">
        <v>2022</v>
      </c>
      <c r="B5723" s="4" t="n">
        <v>14150</v>
      </c>
      <c r="C5723" s="4" t="n">
        <v>1559</v>
      </c>
      <c r="D5723" s="4" t="n">
        <v>471.5975</v>
      </c>
      <c r="E5723" s="5" t="n">
        <v>30</v>
      </c>
      <c r="F5723" s="3" t="inlineStr">
        <is>
          <t>남이면</t>
        </is>
      </c>
      <c r="G5723" s="3" t="inlineStr">
        <is>
          <t>산막리</t>
        </is>
      </c>
      <c r="H5723" s="3" t="inlineStr">
        <is>
          <t>농림지역</t>
        </is>
      </c>
      <c r="I5723" s="3" t="inlineStr">
        <is>
          <t>답</t>
        </is>
      </c>
      <c r="J5723" s="3" t="inlineStr">
        <is>
          <t>남이면</t>
        </is>
      </c>
    </row>
    <row r="5724">
      <c r="A5724" s="3" t="n">
        <v>2022</v>
      </c>
      <c r="B5724" s="4" t="n">
        <v>419</v>
      </c>
      <c r="C5724" s="4" t="n">
        <v>19</v>
      </c>
      <c r="D5724" s="4" t="n">
        <v>5.7475</v>
      </c>
      <c r="E5724" s="5" t="n">
        <v>72.90000000000001</v>
      </c>
      <c r="F5724" s="3" t="inlineStr">
        <is>
          <t>남이면</t>
        </is>
      </c>
      <c r="G5724" s="3" t="inlineStr">
        <is>
          <t>척산리</t>
        </is>
      </c>
      <c r="H5724" s="3" t="inlineStr">
        <is>
          <t>자연녹지지역</t>
        </is>
      </c>
      <c r="I5724" s="3" t="inlineStr">
        <is>
          <t>대</t>
        </is>
      </c>
      <c r="J5724" s="3" t="inlineStr">
        <is>
          <t>남이면</t>
        </is>
      </c>
    </row>
    <row r="5725">
      <c r="A5725" s="3" t="n">
        <v>2022</v>
      </c>
      <c r="B5725" s="4" t="n">
        <v>500</v>
      </c>
      <c r="C5725" s="4" t="n">
        <v>200</v>
      </c>
      <c r="D5725" s="4" t="n">
        <v>60.5</v>
      </c>
      <c r="E5725" s="5" t="n">
        <v>8.300000000000001</v>
      </c>
      <c r="F5725" s="3" t="inlineStr">
        <is>
          <t>남이면</t>
        </is>
      </c>
      <c r="G5725" s="3" t="inlineStr">
        <is>
          <t>문동리</t>
        </is>
      </c>
      <c r="H5725" s="3" t="inlineStr">
        <is>
          <t>보전녹지지역</t>
        </is>
      </c>
      <c r="I5725" s="3" t="inlineStr">
        <is>
          <t>임야</t>
        </is>
      </c>
      <c r="J5725" s="3" t="inlineStr">
        <is>
          <t>남이면</t>
        </is>
      </c>
    </row>
    <row r="5726">
      <c r="A5726" s="3" t="n">
        <v>2022</v>
      </c>
      <c r="B5726" s="4" t="n">
        <v>182000</v>
      </c>
      <c r="C5726" s="4" t="n">
        <v>3638</v>
      </c>
      <c r="D5726" s="4" t="n">
        <v>1100.495</v>
      </c>
      <c r="E5726" s="5" t="n">
        <v>165.4</v>
      </c>
      <c r="F5726" s="3" t="inlineStr">
        <is>
          <t>남이면</t>
        </is>
      </c>
      <c r="G5726" s="3" t="inlineStr">
        <is>
          <t>석판리</t>
        </is>
      </c>
      <c r="H5726" s="3" t="inlineStr">
        <is>
          <t>자연녹지지역</t>
        </is>
      </c>
      <c r="I5726" s="3" t="inlineStr">
        <is>
          <t>묘지</t>
        </is>
      </c>
      <c r="J5726" s="3" t="inlineStr">
        <is>
          <t>남이면</t>
        </is>
      </c>
    </row>
    <row r="5727">
      <c r="A5727" s="3" t="n">
        <v>2022</v>
      </c>
      <c r="B5727" s="4" t="n">
        <v>61972</v>
      </c>
      <c r="C5727" s="4" t="n">
        <v>6883</v>
      </c>
      <c r="D5727" s="4" t="n">
        <v>2082.1075</v>
      </c>
      <c r="E5727" s="5" t="n">
        <v>29.8</v>
      </c>
      <c r="F5727" s="3" t="inlineStr">
        <is>
          <t>남이면</t>
        </is>
      </c>
      <c r="G5727" s="3" t="inlineStr">
        <is>
          <t>수대리</t>
        </is>
      </c>
      <c r="H5727" s="3" t="inlineStr">
        <is>
          <t>보전녹지지역</t>
        </is>
      </c>
      <c r="I5727" s="3" t="inlineStr">
        <is>
          <t>임야</t>
        </is>
      </c>
      <c r="J5727" s="3" t="inlineStr">
        <is>
          <t>남이면</t>
        </is>
      </c>
    </row>
    <row r="5728">
      <c r="A5728" s="3" t="n">
        <v>2022</v>
      </c>
      <c r="B5728" s="4" t="n">
        <v>8084</v>
      </c>
      <c r="C5728" s="4" t="n">
        <v>678</v>
      </c>
      <c r="D5728" s="4" t="n">
        <v>205.095</v>
      </c>
      <c r="E5728" s="5" t="n">
        <v>39.4</v>
      </c>
      <c r="F5728" s="3" t="inlineStr">
        <is>
          <t>남이면</t>
        </is>
      </c>
      <c r="G5728" s="3" t="inlineStr">
        <is>
          <t>수대리</t>
        </is>
      </c>
      <c r="H5728" s="3" t="inlineStr">
        <is>
          <t>보전녹지지역</t>
        </is>
      </c>
      <c r="I5728" s="3" t="inlineStr">
        <is>
          <t>임야</t>
        </is>
      </c>
      <c r="J5728" s="3" t="inlineStr">
        <is>
          <t>남이면</t>
        </is>
      </c>
    </row>
    <row r="5729">
      <c r="A5729" s="3" t="n">
        <v>2022</v>
      </c>
      <c r="B5729" s="4" t="n">
        <v>3414</v>
      </c>
      <c r="C5729" s="4" t="n">
        <v>407</v>
      </c>
      <c r="D5729" s="4" t="n">
        <v>123.1175</v>
      </c>
      <c r="E5729" s="5" t="n">
        <v>27.7</v>
      </c>
      <c r="F5729" s="3" t="inlineStr">
        <is>
          <t>남이면</t>
        </is>
      </c>
      <c r="G5729" s="3" t="inlineStr">
        <is>
          <t>수대리</t>
        </is>
      </c>
      <c r="H5729" s="3" t="inlineStr">
        <is>
          <t>보전녹지지역</t>
        </is>
      </c>
      <c r="I5729" s="3" t="inlineStr">
        <is>
          <t>임야</t>
        </is>
      </c>
      <c r="J5729" s="3" t="inlineStr">
        <is>
          <t>남이면</t>
        </is>
      </c>
    </row>
    <row r="5730">
      <c r="A5730" s="3" t="n">
        <v>2022</v>
      </c>
      <c r="B5730" s="4" t="n">
        <v>15000</v>
      </c>
      <c r="C5730" s="4" t="n">
        <v>155</v>
      </c>
      <c r="D5730" s="4" t="n">
        <v>46.8875</v>
      </c>
      <c r="E5730" s="5" t="n">
        <v>319.9</v>
      </c>
      <c r="F5730" s="3" t="inlineStr">
        <is>
          <t>조치원읍</t>
        </is>
      </c>
      <c r="G5730" s="3" t="inlineStr">
        <is>
          <t>명리</t>
        </is>
      </c>
      <c r="H5730" s="3" t="inlineStr">
        <is>
          <t>단독다가구</t>
        </is>
      </c>
      <c r="I5730" s="3" t="inlineStr">
        <is>
          <t>단독</t>
        </is>
      </c>
      <c r="J5730" s="3" t="inlineStr">
        <is>
          <t>조치원읍</t>
        </is>
      </c>
    </row>
    <row r="5731">
      <c r="A5731" s="3" t="n">
        <v>2023</v>
      </c>
      <c r="B5731" s="4" t="n">
        <v>45000</v>
      </c>
      <c r="C5731" s="4" t="n">
        <v>344</v>
      </c>
      <c r="D5731" s="4" t="n">
        <v>104.06</v>
      </c>
      <c r="E5731" s="5" t="n">
        <v>432.4</v>
      </c>
      <c r="F5731" s="3" t="inlineStr">
        <is>
          <t>조치원읍</t>
        </is>
      </c>
      <c r="G5731" s="3" t="inlineStr">
        <is>
          <t>신안리</t>
        </is>
      </c>
      <c r="H5731" s="3" t="inlineStr">
        <is>
          <t>단독다가구</t>
        </is>
      </c>
      <c r="I5731" s="3" t="inlineStr">
        <is>
          <t>단독</t>
        </is>
      </c>
      <c r="J5731" s="3" t="inlineStr">
        <is>
          <t>조치원읍</t>
        </is>
      </c>
    </row>
    <row r="5732">
      <c r="A5732" s="3" t="n">
        <v>2023</v>
      </c>
      <c r="B5732" s="4" t="n">
        <v>111500</v>
      </c>
      <c r="C5732" s="4" t="n">
        <v>308.7</v>
      </c>
      <c r="D5732" s="4" t="n">
        <v>93.38175</v>
      </c>
      <c r="E5732" s="5" t="n">
        <v>1194</v>
      </c>
      <c r="F5732" s="3" t="inlineStr">
        <is>
          <t>다정동</t>
        </is>
      </c>
      <c r="G5732" s="3" t="inlineStr"/>
      <c r="H5732" s="3" t="inlineStr">
        <is>
          <t>단독다가구</t>
        </is>
      </c>
      <c r="I5732" s="3" t="inlineStr">
        <is>
          <t>단독</t>
        </is>
      </c>
      <c r="J5732" s="3" t="inlineStr">
        <is>
          <t>다정동</t>
        </is>
      </c>
    </row>
    <row r="5733">
      <c r="A5733" s="3" t="n">
        <v>2024</v>
      </c>
      <c r="B5733" s="4" t="n">
        <v>10000</v>
      </c>
      <c r="C5733" s="4" t="n">
        <v>429</v>
      </c>
      <c r="D5733" s="4" t="n">
        <v>129.7725</v>
      </c>
      <c r="E5733" s="5" t="n">
        <v>77.09999999999999</v>
      </c>
      <c r="F5733" s="3" t="inlineStr">
        <is>
          <t>연서면</t>
        </is>
      </c>
      <c r="G5733" s="3" t="inlineStr">
        <is>
          <t>와촌리</t>
        </is>
      </c>
      <c r="H5733" s="3" t="inlineStr">
        <is>
          <t>단독다가구</t>
        </is>
      </c>
      <c r="I5733" s="3" t="inlineStr">
        <is>
          <t>단독</t>
        </is>
      </c>
      <c r="J5733" s="3" t="inlineStr">
        <is>
          <t>연서면</t>
        </is>
      </c>
    </row>
    <row r="5734">
      <c r="A5734" s="3" t="n">
        <v>2024</v>
      </c>
      <c r="B5734" s="4" t="n">
        <v>19300</v>
      </c>
      <c r="C5734" s="4" t="n">
        <v>265</v>
      </c>
      <c r="D5734" s="4" t="n">
        <v>80.16249999999999</v>
      </c>
      <c r="E5734" s="5" t="n">
        <v>240.8</v>
      </c>
      <c r="F5734" s="3" t="inlineStr">
        <is>
          <t>부강면</t>
        </is>
      </c>
      <c r="G5734" s="3" t="inlineStr">
        <is>
          <t>문곡리</t>
        </is>
      </c>
      <c r="H5734" s="3" t="inlineStr">
        <is>
          <t>단독다가구</t>
        </is>
      </c>
      <c r="I5734" s="3" t="inlineStr">
        <is>
          <t>단독</t>
        </is>
      </c>
      <c r="J5734" s="3" t="inlineStr">
        <is>
          <t>부강면</t>
        </is>
      </c>
    </row>
    <row r="5735">
      <c r="A5735" s="3" t="n">
        <v>2024</v>
      </c>
      <c r="B5735" s="4" t="n">
        <v>23000</v>
      </c>
      <c r="C5735" s="4" t="n">
        <v>142</v>
      </c>
      <c r="D5735" s="4" t="n">
        <v>42.955</v>
      </c>
      <c r="E5735" s="5" t="n">
        <v>535.4</v>
      </c>
      <c r="F5735" s="3" t="inlineStr">
        <is>
          <t>조치원읍</t>
        </is>
      </c>
      <c r="G5735" s="3" t="inlineStr">
        <is>
          <t>남리</t>
        </is>
      </c>
      <c r="H5735" s="3" t="inlineStr">
        <is>
          <t>단독다가구</t>
        </is>
      </c>
      <c r="I5735" s="3" t="inlineStr">
        <is>
          <t>단독</t>
        </is>
      </c>
      <c r="J5735" s="3" t="inlineStr">
        <is>
          <t>조치원읍</t>
        </is>
      </c>
    </row>
    <row r="5736">
      <c r="A5736" s="3" t="n">
        <v>2024</v>
      </c>
      <c r="B5736" s="4" t="n">
        <v>31500</v>
      </c>
      <c r="C5736" s="4" t="n">
        <v>257.8</v>
      </c>
      <c r="D5736" s="4" t="n">
        <v>77.9845</v>
      </c>
      <c r="E5736" s="5" t="n">
        <v>403.9</v>
      </c>
      <c r="F5736" s="3" t="inlineStr">
        <is>
          <t>조치원읍</t>
        </is>
      </c>
      <c r="G5736" s="3" t="inlineStr">
        <is>
          <t>교리</t>
        </is>
      </c>
      <c r="H5736" s="3" t="inlineStr">
        <is>
          <t>단독다가구</t>
        </is>
      </c>
      <c r="I5736" s="3" t="inlineStr">
        <is>
          <t>단독</t>
        </is>
      </c>
      <c r="J5736" s="3" t="inlineStr">
        <is>
          <t>조치원읍</t>
        </is>
      </c>
    </row>
    <row r="5737">
      <c r="A5737" s="3" t="n">
        <v>2024</v>
      </c>
      <c r="B5737" s="4" t="n">
        <v>13000</v>
      </c>
      <c r="C5737" s="4" t="n">
        <v>461</v>
      </c>
      <c r="D5737" s="4" t="n">
        <v>139.4525</v>
      </c>
      <c r="E5737" s="5" t="n">
        <v>93.2</v>
      </c>
      <c r="F5737" s="3" t="inlineStr">
        <is>
          <t>부강면</t>
        </is>
      </c>
      <c r="G5737" s="3" t="inlineStr">
        <is>
          <t>등곡리</t>
        </is>
      </c>
      <c r="H5737" s="3" t="inlineStr">
        <is>
          <t>단독다가구</t>
        </is>
      </c>
      <c r="I5737" s="3" t="inlineStr">
        <is>
          <t>단독</t>
        </is>
      </c>
      <c r="J5737" s="3" t="inlineStr">
        <is>
          <t>부강면</t>
        </is>
      </c>
    </row>
    <row r="5738">
      <c r="A5738" s="3" t="n">
        <v>2024</v>
      </c>
      <c r="B5738" s="4" t="n">
        <v>35720</v>
      </c>
      <c r="C5738" s="4" t="n">
        <v>621</v>
      </c>
      <c r="D5738" s="4" t="n">
        <v>187.8525</v>
      </c>
      <c r="E5738" s="5" t="n">
        <v>190.1</v>
      </c>
      <c r="F5738" s="3" t="inlineStr">
        <is>
          <t>부강면</t>
        </is>
      </c>
      <c r="G5738" s="3" t="inlineStr">
        <is>
          <t>부강리</t>
        </is>
      </c>
      <c r="H5738" s="3" t="inlineStr">
        <is>
          <t>단독다가구</t>
        </is>
      </c>
      <c r="I5738" s="3" t="inlineStr">
        <is>
          <t>단독</t>
        </is>
      </c>
      <c r="J5738" s="3" t="inlineStr">
        <is>
          <t>부강면</t>
        </is>
      </c>
    </row>
    <row r="5739">
      <c r="A5739" s="3" t="n">
        <v>2024</v>
      </c>
      <c r="B5739" s="4" t="n">
        <v>15000</v>
      </c>
      <c r="C5739" s="4" t="n">
        <v>189</v>
      </c>
      <c r="D5739" s="4" t="n">
        <v>57.1725</v>
      </c>
      <c r="E5739" s="5" t="n">
        <v>262.4</v>
      </c>
      <c r="F5739" s="3" t="inlineStr">
        <is>
          <t>조치원읍</t>
        </is>
      </c>
      <c r="G5739" s="3" t="inlineStr">
        <is>
          <t>죽림리</t>
        </is>
      </c>
      <c r="H5739" s="3" t="inlineStr">
        <is>
          <t>단독다가구</t>
        </is>
      </c>
      <c r="I5739" s="3" t="inlineStr">
        <is>
          <t>단독</t>
        </is>
      </c>
      <c r="J5739" s="3" t="inlineStr">
        <is>
          <t>조치원읍</t>
        </is>
      </c>
    </row>
    <row r="5740">
      <c r="A5740" s="3" t="n">
        <v>2024</v>
      </c>
      <c r="B5740" s="4" t="n">
        <v>29000</v>
      </c>
      <c r="C5740" s="4" t="n">
        <v>638</v>
      </c>
      <c r="D5740" s="4" t="n">
        <v>192.995</v>
      </c>
      <c r="E5740" s="5" t="n">
        <v>150.3</v>
      </c>
      <c r="F5740" s="3" t="inlineStr">
        <is>
          <t>부강면</t>
        </is>
      </c>
      <c r="G5740" s="3" t="inlineStr">
        <is>
          <t>부강리</t>
        </is>
      </c>
      <c r="H5740" s="3" t="inlineStr">
        <is>
          <t>단독다가구</t>
        </is>
      </c>
      <c r="I5740" s="3" t="inlineStr">
        <is>
          <t>단독</t>
        </is>
      </c>
      <c r="J5740" s="3" t="inlineStr">
        <is>
          <t>부강면</t>
        </is>
      </c>
    </row>
    <row r="5741">
      <c r="A5741" s="3" t="n">
        <v>2024</v>
      </c>
      <c r="B5741" s="4" t="n">
        <v>39000</v>
      </c>
      <c r="C5741" s="4" t="n">
        <v>343</v>
      </c>
      <c r="D5741" s="4" t="n">
        <v>103.7575</v>
      </c>
      <c r="E5741" s="5" t="n">
        <v>375.9</v>
      </c>
      <c r="F5741" s="3" t="inlineStr">
        <is>
          <t>조치원읍</t>
        </is>
      </c>
      <c r="G5741" s="3" t="inlineStr">
        <is>
          <t>신안리</t>
        </is>
      </c>
      <c r="H5741" s="3" t="inlineStr">
        <is>
          <t>단독다가구</t>
        </is>
      </c>
      <c r="I5741" s="3" t="inlineStr">
        <is>
          <t>단독</t>
        </is>
      </c>
      <c r="J5741" s="3" t="inlineStr">
        <is>
          <t>조치원읍</t>
        </is>
      </c>
    </row>
    <row r="5742">
      <c r="A5742" s="3" t="n">
        <v>2024</v>
      </c>
      <c r="B5742" s="4" t="n">
        <v>59000</v>
      </c>
      <c r="C5742" s="4" t="n">
        <v>226.4</v>
      </c>
      <c r="D5742" s="4" t="n">
        <v>68.486</v>
      </c>
      <c r="E5742" s="5" t="n">
        <v>861.5</v>
      </c>
      <c r="F5742" s="3" t="inlineStr">
        <is>
          <t>조치원읍</t>
        </is>
      </c>
      <c r="G5742" s="3" t="inlineStr">
        <is>
          <t>침산리</t>
        </is>
      </c>
      <c r="H5742" s="3" t="inlineStr">
        <is>
          <t>단독다가구</t>
        </is>
      </c>
      <c r="I5742" s="3" t="inlineStr">
        <is>
          <t>다가구</t>
        </is>
      </c>
      <c r="J5742" s="3" t="inlineStr">
        <is>
          <t>조치원읍</t>
        </is>
      </c>
    </row>
    <row r="5743">
      <c r="A5743" s="3" t="n">
        <v>2024</v>
      </c>
      <c r="B5743" s="4" t="n">
        <v>72000</v>
      </c>
      <c r="C5743" s="4" t="n">
        <v>245.6</v>
      </c>
      <c r="D5743" s="4" t="n">
        <v>74.294</v>
      </c>
      <c r="E5743" s="5" t="n">
        <v>969.1</v>
      </c>
      <c r="F5743" s="3" t="inlineStr">
        <is>
          <t>조치원읍</t>
        </is>
      </c>
      <c r="G5743" s="3" t="inlineStr">
        <is>
          <t>침산리</t>
        </is>
      </c>
      <c r="H5743" s="3" t="inlineStr">
        <is>
          <t>단독다가구</t>
        </is>
      </c>
      <c r="I5743" s="3" t="inlineStr">
        <is>
          <t>다가구</t>
        </is>
      </c>
      <c r="J5743" s="3" t="inlineStr">
        <is>
          <t>조치원읍</t>
        </is>
      </c>
    </row>
    <row r="5744">
      <c r="A5744" s="3" t="n">
        <v>2024</v>
      </c>
      <c r="B5744" s="4" t="n">
        <v>67000</v>
      </c>
      <c r="C5744" s="4" t="n">
        <v>214.5</v>
      </c>
      <c r="D5744" s="4" t="n">
        <v>64.88625</v>
      </c>
      <c r="E5744" s="5" t="n">
        <v>1032.6</v>
      </c>
      <c r="F5744" s="3" t="inlineStr">
        <is>
          <t>조치원읍</t>
        </is>
      </c>
      <c r="G5744" s="3" t="inlineStr">
        <is>
          <t>침산리</t>
        </is>
      </c>
      <c r="H5744" s="3" t="inlineStr">
        <is>
          <t>단독다가구</t>
        </is>
      </c>
      <c r="I5744" s="3" t="inlineStr">
        <is>
          <t>다가구</t>
        </is>
      </c>
      <c r="J5744" s="3" t="inlineStr">
        <is>
          <t>조치원읍</t>
        </is>
      </c>
    </row>
    <row r="5745">
      <c r="A5745" s="3" t="n">
        <v>2024</v>
      </c>
      <c r="B5745" s="4" t="n">
        <v>10000</v>
      </c>
      <c r="C5745" s="4" t="n">
        <v>324</v>
      </c>
      <c r="D5745" s="4" t="n">
        <v>98.00999999999999</v>
      </c>
      <c r="E5745" s="5" t="n">
        <v>102</v>
      </c>
      <c r="F5745" s="3" t="inlineStr">
        <is>
          <t>연서면</t>
        </is>
      </c>
      <c r="G5745" s="3" t="inlineStr">
        <is>
          <t>기룡리</t>
        </is>
      </c>
      <c r="H5745" s="3" t="inlineStr">
        <is>
          <t>단독다가구</t>
        </is>
      </c>
      <c r="I5745" s="3" t="inlineStr">
        <is>
          <t>단독</t>
        </is>
      </c>
      <c r="J5745" s="3" t="inlineStr">
        <is>
          <t>연서면</t>
        </is>
      </c>
    </row>
    <row r="5746">
      <c r="A5746" s="3" t="n">
        <v>2024</v>
      </c>
      <c r="B5746" s="4" t="n">
        <v>8800</v>
      </c>
      <c r="C5746" s="4" t="n">
        <v>205</v>
      </c>
      <c r="D5746" s="4" t="n">
        <v>62.0125</v>
      </c>
      <c r="E5746" s="5" t="n">
        <v>141.9</v>
      </c>
      <c r="F5746" s="3" t="inlineStr">
        <is>
          <t>연서면</t>
        </is>
      </c>
      <c r="G5746" s="3" t="inlineStr">
        <is>
          <t>신대리</t>
        </is>
      </c>
      <c r="H5746" s="3" t="inlineStr">
        <is>
          <t>단독다가구</t>
        </is>
      </c>
      <c r="I5746" s="3" t="inlineStr">
        <is>
          <t>단독</t>
        </is>
      </c>
      <c r="J5746" s="3" t="inlineStr">
        <is>
          <t>연서면</t>
        </is>
      </c>
    </row>
    <row r="5747">
      <c r="A5747" s="3" t="n">
        <v>2024</v>
      </c>
      <c r="B5747" s="4" t="n">
        <v>6030</v>
      </c>
      <c r="C5747" s="4" t="n">
        <v>53</v>
      </c>
      <c r="D5747" s="4" t="n">
        <v>16.0325</v>
      </c>
      <c r="E5747" s="5" t="n">
        <v>376.1</v>
      </c>
      <c r="F5747" s="3" t="inlineStr">
        <is>
          <t>조치원읍</t>
        </is>
      </c>
      <c r="G5747" s="3" t="inlineStr">
        <is>
          <t>신흥리</t>
        </is>
      </c>
      <c r="H5747" s="3" t="inlineStr">
        <is>
          <t>단독다가구</t>
        </is>
      </c>
      <c r="I5747" s="3" t="inlineStr">
        <is>
          <t>단독</t>
        </is>
      </c>
      <c r="J5747" s="3" t="inlineStr">
        <is>
          <t>조치원읍</t>
        </is>
      </c>
    </row>
    <row r="5748">
      <c r="A5748" s="3" t="n">
        <v>2024</v>
      </c>
      <c r="B5748" s="4" t="n">
        <v>47500</v>
      </c>
      <c r="C5748" s="4" t="n">
        <v>450</v>
      </c>
      <c r="D5748" s="4" t="n">
        <v>136.125</v>
      </c>
      <c r="E5748" s="5" t="n">
        <v>348.9</v>
      </c>
      <c r="F5748" s="3" t="inlineStr">
        <is>
          <t>조치원읍</t>
        </is>
      </c>
      <c r="G5748" s="3" t="inlineStr">
        <is>
          <t>죽림리</t>
        </is>
      </c>
      <c r="H5748" s="3" t="inlineStr">
        <is>
          <t>단독다가구</t>
        </is>
      </c>
      <c r="I5748" s="3" t="inlineStr">
        <is>
          <t>단독</t>
        </is>
      </c>
      <c r="J5748" s="3" t="inlineStr">
        <is>
          <t>조치원읍</t>
        </is>
      </c>
    </row>
    <row r="5749">
      <c r="A5749" s="3" t="n">
        <v>2024</v>
      </c>
      <c r="B5749" s="4" t="n">
        <v>103000</v>
      </c>
      <c r="C5749" s="4" t="n">
        <v>313.9</v>
      </c>
      <c r="D5749" s="4" t="n">
        <v>94.95474999999999</v>
      </c>
      <c r="E5749" s="5" t="n">
        <v>1084.7</v>
      </c>
      <c r="F5749" s="3" t="inlineStr">
        <is>
          <t>조치원읍</t>
        </is>
      </c>
      <c r="G5749" s="3" t="inlineStr">
        <is>
          <t>교리</t>
        </is>
      </c>
      <c r="H5749" s="3" t="inlineStr">
        <is>
          <t>단독다가구</t>
        </is>
      </c>
      <c r="I5749" s="3" t="inlineStr">
        <is>
          <t>다가구</t>
        </is>
      </c>
      <c r="J5749" s="3" t="inlineStr">
        <is>
          <t>조치원읍</t>
        </is>
      </c>
    </row>
    <row r="5750">
      <c r="A5750" s="3" t="n">
        <v>2024</v>
      </c>
      <c r="B5750" s="4" t="n">
        <v>28400</v>
      </c>
      <c r="C5750" s="4" t="n">
        <v>214</v>
      </c>
      <c r="D5750" s="4" t="n">
        <v>64.735</v>
      </c>
      <c r="E5750" s="5" t="n">
        <v>438.7</v>
      </c>
      <c r="F5750" s="3" t="inlineStr">
        <is>
          <t>조치원읍</t>
        </is>
      </c>
      <c r="G5750" s="3" t="inlineStr">
        <is>
          <t>신안리</t>
        </is>
      </c>
      <c r="H5750" s="3" t="inlineStr">
        <is>
          <t>단독다가구</t>
        </is>
      </c>
      <c r="I5750" s="3" t="inlineStr">
        <is>
          <t>다가구</t>
        </is>
      </c>
      <c r="J5750" s="3" t="inlineStr">
        <is>
          <t>조치원읍</t>
        </is>
      </c>
    </row>
    <row r="5751">
      <c r="A5751" s="3" t="n">
        <v>2024</v>
      </c>
      <c r="B5751" s="4" t="n">
        <v>15000</v>
      </c>
      <c r="C5751" s="4" t="n">
        <v>221</v>
      </c>
      <c r="D5751" s="4" t="n">
        <v>66.85249999999999</v>
      </c>
      <c r="E5751" s="5" t="n">
        <v>224.4</v>
      </c>
      <c r="F5751" s="3" t="inlineStr">
        <is>
          <t>조치원읍</t>
        </is>
      </c>
      <c r="G5751" s="3" t="inlineStr">
        <is>
          <t>서창리</t>
        </is>
      </c>
      <c r="H5751" s="3" t="inlineStr">
        <is>
          <t>단독다가구</t>
        </is>
      </c>
      <c r="I5751" s="3" t="inlineStr">
        <is>
          <t>단독</t>
        </is>
      </c>
      <c r="J5751" s="3" t="inlineStr">
        <is>
          <t>조치원읍</t>
        </is>
      </c>
    </row>
    <row r="5752">
      <c r="A5752" s="3" t="n">
        <v>2024</v>
      </c>
      <c r="B5752" s="4" t="n">
        <v>21000</v>
      </c>
      <c r="C5752" s="4" t="n">
        <v>252</v>
      </c>
      <c r="D5752" s="4" t="n">
        <v>76.23</v>
      </c>
      <c r="E5752" s="5" t="n">
        <v>275.5</v>
      </c>
      <c r="F5752" s="3" t="inlineStr">
        <is>
          <t>조치원읍</t>
        </is>
      </c>
      <c r="G5752" s="3" t="inlineStr">
        <is>
          <t>침산리</t>
        </is>
      </c>
      <c r="H5752" s="3" t="inlineStr">
        <is>
          <t>단독다가구</t>
        </is>
      </c>
      <c r="I5752" s="3" t="inlineStr">
        <is>
          <t>단독</t>
        </is>
      </c>
      <c r="J5752" s="3" t="inlineStr">
        <is>
          <t>조치원읍</t>
        </is>
      </c>
    </row>
    <row r="5753">
      <c r="A5753" s="3" t="n">
        <v>2025</v>
      </c>
      <c r="B5753" s="4" t="n">
        <v>12885</v>
      </c>
      <c r="C5753" s="4" t="n">
        <v>393</v>
      </c>
      <c r="D5753" s="4" t="n">
        <v>118.8825</v>
      </c>
      <c r="E5753" s="5" t="n">
        <v>108.4</v>
      </c>
      <c r="F5753" s="3" t="inlineStr">
        <is>
          <t>부강면</t>
        </is>
      </c>
      <c r="G5753" s="3" t="inlineStr">
        <is>
          <t>부강리</t>
        </is>
      </c>
      <c r="H5753" s="3" t="inlineStr">
        <is>
          <t>단독다가구</t>
        </is>
      </c>
      <c r="I5753" s="3" t="inlineStr">
        <is>
          <t>단독</t>
        </is>
      </c>
      <c r="J5753" s="3" t="inlineStr">
        <is>
          <t>부강면</t>
        </is>
      </c>
    </row>
    <row r="5754">
      <c r="A5754" s="3" t="n">
        <v>2025</v>
      </c>
      <c r="B5754" s="4" t="n">
        <v>54000</v>
      </c>
      <c r="C5754" s="4" t="n">
        <v>495</v>
      </c>
      <c r="D5754" s="4" t="n">
        <v>149.7375</v>
      </c>
      <c r="E5754" s="5" t="n">
        <v>360.6</v>
      </c>
      <c r="F5754" s="3" t="inlineStr">
        <is>
          <t>조치원읍</t>
        </is>
      </c>
      <c r="G5754" s="3" t="inlineStr">
        <is>
          <t>신안리</t>
        </is>
      </c>
      <c r="H5754" s="3" t="inlineStr">
        <is>
          <t>단독다가구</t>
        </is>
      </c>
      <c r="I5754" s="3" t="inlineStr">
        <is>
          <t>단독</t>
        </is>
      </c>
      <c r="J5754" s="3" t="inlineStr">
        <is>
          <t>조치원읍</t>
        </is>
      </c>
    </row>
    <row r="5755">
      <c r="A5755" s="3" t="n">
        <v>2025</v>
      </c>
      <c r="B5755" s="4" t="n">
        <v>18500</v>
      </c>
      <c r="C5755" s="4" t="n">
        <v>139</v>
      </c>
      <c r="D5755" s="4" t="n">
        <v>42.0475</v>
      </c>
      <c r="E5755" s="5" t="n">
        <v>440</v>
      </c>
      <c r="F5755" s="3" t="inlineStr">
        <is>
          <t>부강면</t>
        </is>
      </c>
      <c r="G5755" s="3" t="inlineStr">
        <is>
          <t>부강리</t>
        </is>
      </c>
      <c r="H5755" s="3" t="inlineStr">
        <is>
          <t>단독다가구</t>
        </is>
      </c>
      <c r="I5755" s="3" t="inlineStr">
        <is>
          <t>단독</t>
        </is>
      </c>
      <c r="J5755" s="3" t="inlineStr">
        <is>
          <t>부강면</t>
        </is>
      </c>
    </row>
    <row r="5756">
      <c r="A5756" s="3" t="n">
        <v>2025</v>
      </c>
      <c r="B5756" s="4" t="n">
        <v>30000</v>
      </c>
      <c r="C5756" s="4" t="n">
        <v>343</v>
      </c>
      <c r="D5756" s="4" t="n">
        <v>103.7575</v>
      </c>
      <c r="E5756" s="5" t="n">
        <v>289.1</v>
      </c>
      <c r="F5756" s="3" t="inlineStr">
        <is>
          <t>조치원읍</t>
        </is>
      </c>
      <c r="G5756" s="3" t="inlineStr">
        <is>
          <t>신안리</t>
        </is>
      </c>
      <c r="H5756" s="3" t="inlineStr">
        <is>
          <t>단독다가구</t>
        </is>
      </c>
      <c r="I5756" s="3" t="inlineStr">
        <is>
          <t>단독</t>
        </is>
      </c>
      <c r="J5756" s="3" t="inlineStr">
        <is>
          <t>조치원읍</t>
        </is>
      </c>
    </row>
    <row r="5757">
      <c r="A5757" s="3" t="n">
        <v>2024</v>
      </c>
      <c r="B5757" s="4" t="n">
        <v>26800</v>
      </c>
      <c r="C5757" s="4" t="n">
        <v>153</v>
      </c>
      <c r="D5757" s="4" t="n">
        <v>46.2825</v>
      </c>
      <c r="E5757" s="5" t="n">
        <v>579.1</v>
      </c>
      <c r="F5757" s="3" t="inlineStr">
        <is>
          <t>조치원읍</t>
        </is>
      </c>
      <c r="G5757" s="3" t="inlineStr">
        <is>
          <t>원리</t>
        </is>
      </c>
      <c r="H5757" s="3" t="inlineStr">
        <is>
          <t>단독다가구</t>
        </is>
      </c>
      <c r="I5757" s="3" t="inlineStr">
        <is>
          <t>단독</t>
        </is>
      </c>
      <c r="J5757" s="3" t="inlineStr">
        <is>
          <t>조치원읍</t>
        </is>
      </c>
    </row>
    <row r="5758">
      <c r="A5758" s="3" t="n">
        <v>2023</v>
      </c>
      <c r="B5758" s="4" t="n">
        <v>90000</v>
      </c>
      <c r="C5758" s="4" t="n">
        <v>271.1</v>
      </c>
      <c r="D5758" s="4" t="n">
        <v>82.00775</v>
      </c>
      <c r="E5758" s="5" t="n">
        <v>1097.5</v>
      </c>
      <c r="F5758" s="3" t="inlineStr">
        <is>
          <t>조치원읍</t>
        </is>
      </c>
      <c r="G5758" s="3" t="inlineStr">
        <is>
          <t>침산리</t>
        </is>
      </c>
      <c r="H5758" s="3" t="inlineStr">
        <is>
          <t>단독다가구</t>
        </is>
      </c>
      <c r="I5758" s="3" t="inlineStr">
        <is>
          <t>다가구</t>
        </is>
      </c>
      <c r="J5758" s="3" t="inlineStr">
        <is>
          <t>조치원읍</t>
        </is>
      </c>
    </row>
    <row r="5759">
      <c r="A5759" s="3" t="n">
        <v>2023</v>
      </c>
      <c r="B5759" s="4" t="n">
        <v>21000</v>
      </c>
      <c r="C5759" s="4" t="n">
        <v>237</v>
      </c>
      <c r="D5759" s="4" t="n">
        <v>71.6925</v>
      </c>
      <c r="E5759" s="5" t="n">
        <v>292.9</v>
      </c>
      <c r="F5759" s="3" t="inlineStr">
        <is>
          <t>연서면</t>
        </is>
      </c>
      <c r="G5759" s="3" t="inlineStr">
        <is>
          <t>월하리</t>
        </is>
      </c>
      <c r="H5759" s="3" t="inlineStr">
        <is>
          <t>단독다가구</t>
        </is>
      </c>
      <c r="I5759" s="3" t="inlineStr">
        <is>
          <t>단독</t>
        </is>
      </c>
      <c r="J5759" s="3" t="inlineStr">
        <is>
          <t>연서면</t>
        </is>
      </c>
    </row>
    <row r="5760">
      <c r="A5760" s="3" t="n">
        <v>2023</v>
      </c>
      <c r="B5760" s="4" t="n">
        <v>21700</v>
      </c>
      <c r="C5760" s="4" t="n">
        <v>196</v>
      </c>
      <c r="D5760" s="4" t="n">
        <v>59.29</v>
      </c>
      <c r="E5760" s="5" t="n">
        <v>366</v>
      </c>
      <c r="F5760" s="3" t="inlineStr">
        <is>
          <t>연서면</t>
        </is>
      </c>
      <c r="G5760" s="3" t="inlineStr">
        <is>
          <t>성제리</t>
        </is>
      </c>
      <c r="H5760" s="3" t="inlineStr">
        <is>
          <t>단독다가구</t>
        </is>
      </c>
      <c r="I5760" s="3" t="inlineStr">
        <is>
          <t>단독</t>
        </is>
      </c>
      <c r="J5760" s="3" t="inlineStr">
        <is>
          <t>연서면</t>
        </is>
      </c>
    </row>
    <row r="5761">
      <c r="A5761" s="3" t="n">
        <v>2023</v>
      </c>
      <c r="B5761" s="4" t="n">
        <v>50000</v>
      </c>
      <c r="C5761" s="4" t="n">
        <v>385</v>
      </c>
      <c r="D5761" s="4" t="n">
        <v>116.4625</v>
      </c>
      <c r="E5761" s="5" t="n">
        <v>429.3</v>
      </c>
      <c r="F5761" s="3" t="inlineStr">
        <is>
          <t>조치원읍</t>
        </is>
      </c>
      <c r="G5761" s="3" t="inlineStr">
        <is>
          <t>서창리</t>
        </is>
      </c>
      <c r="H5761" s="3" t="inlineStr">
        <is>
          <t>단독다가구</t>
        </is>
      </c>
      <c r="I5761" s="3" t="inlineStr">
        <is>
          <t>다가구</t>
        </is>
      </c>
      <c r="J5761" s="3" t="inlineStr">
        <is>
          <t>조치원읍</t>
        </is>
      </c>
    </row>
    <row r="5762">
      <c r="A5762" s="3" t="n">
        <v>2023</v>
      </c>
      <c r="B5762" s="4" t="n">
        <v>134000</v>
      </c>
      <c r="C5762" s="4" t="n">
        <v>332.4</v>
      </c>
      <c r="D5762" s="4" t="n">
        <v>100.551</v>
      </c>
      <c r="E5762" s="5" t="n">
        <v>1332.7</v>
      </c>
      <c r="F5762" s="3" t="inlineStr">
        <is>
          <t>아름동</t>
        </is>
      </c>
      <c r="G5762" s="3" t="inlineStr"/>
      <c r="H5762" s="3" t="inlineStr">
        <is>
          <t>단독다가구</t>
        </is>
      </c>
      <c r="I5762" s="3" t="inlineStr">
        <is>
          <t>단독</t>
        </is>
      </c>
      <c r="J5762" s="3" t="inlineStr">
        <is>
          <t>아름동</t>
        </is>
      </c>
    </row>
    <row r="5763">
      <c r="A5763" s="3" t="n">
        <v>2023</v>
      </c>
      <c r="B5763" s="4" t="n">
        <v>73026</v>
      </c>
      <c r="C5763" s="4" t="n">
        <v>311.1</v>
      </c>
      <c r="D5763" s="4" t="n">
        <v>94.10775000000001</v>
      </c>
      <c r="E5763" s="5" t="n">
        <v>776</v>
      </c>
      <c r="F5763" s="3" t="inlineStr">
        <is>
          <t>아름동</t>
        </is>
      </c>
      <c r="G5763" s="3" t="inlineStr"/>
      <c r="H5763" s="3" t="inlineStr">
        <is>
          <t>단독다가구</t>
        </is>
      </c>
      <c r="I5763" s="3" t="inlineStr">
        <is>
          <t>단독</t>
        </is>
      </c>
      <c r="J5763" s="3" t="inlineStr">
        <is>
          <t>아름동</t>
        </is>
      </c>
    </row>
    <row r="5764">
      <c r="A5764" s="3" t="n">
        <v>2023</v>
      </c>
      <c r="B5764" s="4" t="n">
        <v>44500</v>
      </c>
      <c r="C5764" s="4" t="n">
        <v>155</v>
      </c>
      <c r="D5764" s="4" t="n">
        <v>46.8875</v>
      </c>
      <c r="E5764" s="5" t="n">
        <v>949.1</v>
      </c>
      <c r="F5764" s="3" t="inlineStr">
        <is>
          <t>조치원읍</t>
        </is>
      </c>
      <c r="G5764" s="3" t="inlineStr">
        <is>
          <t>신흥리</t>
        </is>
      </c>
      <c r="H5764" s="3" t="inlineStr">
        <is>
          <t>단독다가구</t>
        </is>
      </c>
      <c r="I5764" s="3" t="inlineStr">
        <is>
          <t>단독</t>
        </is>
      </c>
      <c r="J5764" s="3" t="inlineStr">
        <is>
          <t>조치원읍</t>
        </is>
      </c>
    </row>
    <row r="5765">
      <c r="A5765" s="3" t="n">
        <v>2023</v>
      </c>
      <c r="B5765" s="4" t="n">
        <v>10400</v>
      </c>
      <c r="C5765" s="4" t="n">
        <v>166</v>
      </c>
      <c r="D5765" s="4" t="n">
        <v>50.215</v>
      </c>
      <c r="E5765" s="5" t="n">
        <v>207.1</v>
      </c>
      <c r="F5765" s="3" t="inlineStr">
        <is>
          <t>연동면</t>
        </is>
      </c>
      <c r="G5765" s="3" t="inlineStr">
        <is>
          <t>내판리</t>
        </is>
      </c>
      <c r="H5765" s="3" t="inlineStr">
        <is>
          <t>단독다가구</t>
        </is>
      </c>
      <c r="I5765" s="3" t="inlineStr">
        <is>
          <t>단독</t>
        </is>
      </c>
      <c r="J5765" s="3" t="inlineStr">
        <is>
          <t>연동면</t>
        </is>
      </c>
    </row>
    <row r="5766">
      <c r="A5766" s="3" t="n">
        <v>2023</v>
      </c>
      <c r="B5766" s="4" t="n">
        <v>22000</v>
      </c>
      <c r="C5766" s="4" t="n">
        <v>148</v>
      </c>
      <c r="D5766" s="4" t="n">
        <v>44.77</v>
      </c>
      <c r="E5766" s="5" t="n">
        <v>491.4</v>
      </c>
      <c r="F5766" s="3" t="inlineStr">
        <is>
          <t>조치원읍</t>
        </is>
      </c>
      <c r="G5766" s="3" t="inlineStr">
        <is>
          <t>죽림리</t>
        </is>
      </c>
      <c r="H5766" s="3" t="inlineStr">
        <is>
          <t>단독다가구</t>
        </is>
      </c>
      <c r="I5766" s="3" t="inlineStr">
        <is>
          <t>단독</t>
        </is>
      </c>
      <c r="J5766" s="3" t="inlineStr">
        <is>
          <t>조치원읍</t>
        </is>
      </c>
    </row>
    <row r="5767">
      <c r="A5767" s="3" t="n">
        <v>2023</v>
      </c>
      <c r="B5767" s="4" t="n">
        <v>15500</v>
      </c>
      <c r="C5767" s="4" t="n">
        <v>139</v>
      </c>
      <c r="D5767" s="4" t="n">
        <v>42.0475</v>
      </c>
      <c r="E5767" s="5" t="n">
        <v>368.6</v>
      </c>
      <c r="F5767" s="3" t="inlineStr">
        <is>
          <t>조치원읍</t>
        </is>
      </c>
      <c r="G5767" s="3" t="inlineStr">
        <is>
          <t>신안리</t>
        </is>
      </c>
      <c r="H5767" s="3" t="inlineStr">
        <is>
          <t>단독다가구</t>
        </is>
      </c>
      <c r="I5767" s="3" t="inlineStr">
        <is>
          <t>단독</t>
        </is>
      </c>
      <c r="J5767" s="3" t="inlineStr">
        <is>
          <t>조치원읍</t>
        </is>
      </c>
    </row>
    <row r="5768">
      <c r="A5768" s="3" t="n">
        <v>2023</v>
      </c>
      <c r="B5768" s="4" t="n">
        <v>8000</v>
      </c>
      <c r="C5768" s="4" t="n">
        <v>79</v>
      </c>
      <c r="D5768" s="4" t="n">
        <v>23.8975</v>
      </c>
      <c r="E5768" s="5" t="n">
        <v>334.8</v>
      </c>
      <c r="F5768" s="3" t="inlineStr">
        <is>
          <t>조치원읍</t>
        </is>
      </c>
      <c r="G5768" s="3" t="inlineStr">
        <is>
          <t>평리</t>
        </is>
      </c>
      <c r="H5768" s="3" t="inlineStr">
        <is>
          <t>단독다가구</t>
        </is>
      </c>
      <c r="I5768" s="3" t="inlineStr">
        <is>
          <t>단독</t>
        </is>
      </c>
      <c r="J5768" s="3" t="inlineStr">
        <is>
          <t>조치원읍</t>
        </is>
      </c>
    </row>
    <row r="5769">
      <c r="A5769" s="3" t="n">
        <v>2023</v>
      </c>
      <c r="B5769" s="4" t="n">
        <v>25500</v>
      </c>
      <c r="C5769" s="4" t="n">
        <v>175</v>
      </c>
      <c r="D5769" s="4" t="n">
        <v>52.9375</v>
      </c>
      <c r="E5769" s="5" t="n">
        <v>481.7</v>
      </c>
      <c r="F5769" s="3" t="inlineStr">
        <is>
          <t>조치원읍</t>
        </is>
      </c>
      <c r="G5769" s="3" t="inlineStr">
        <is>
          <t>명리</t>
        </is>
      </c>
      <c r="H5769" s="3" t="inlineStr">
        <is>
          <t>단독다가구</t>
        </is>
      </c>
      <c r="I5769" s="3" t="inlineStr">
        <is>
          <t>단독</t>
        </is>
      </c>
      <c r="J5769" s="3" t="inlineStr">
        <is>
          <t>조치원읍</t>
        </is>
      </c>
    </row>
    <row r="5770">
      <c r="A5770" s="3" t="n">
        <v>2023</v>
      </c>
      <c r="B5770" s="4" t="n">
        <v>36000</v>
      </c>
      <c r="C5770" s="4" t="n">
        <v>188</v>
      </c>
      <c r="D5770" s="4" t="n">
        <v>56.87</v>
      </c>
      <c r="E5770" s="5" t="n">
        <v>633</v>
      </c>
      <c r="F5770" s="3" t="inlineStr">
        <is>
          <t>조치원읍</t>
        </is>
      </c>
      <c r="G5770" s="3" t="inlineStr">
        <is>
          <t>침산리</t>
        </is>
      </c>
      <c r="H5770" s="3" t="inlineStr">
        <is>
          <t>단독다가구</t>
        </is>
      </c>
      <c r="I5770" s="3" t="inlineStr">
        <is>
          <t>단독</t>
        </is>
      </c>
      <c r="J5770" s="3" t="inlineStr">
        <is>
          <t>조치원읍</t>
        </is>
      </c>
    </row>
    <row r="5771">
      <c r="A5771" s="3" t="n">
        <v>2023</v>
      </c>
      <c r="B5771" s="4" t="n">
        <v>11300</v>
      </c>
      <c r="C5771" s="4" t="n">
        <v>159</v>
      </c>
      <c r="D5771" s="4" t="n">
        <v>48.0975</v>
      </c>
      <c r="E5771" s="5" t="n">
        <v>234.9</v>
      </c>
      <c r="F5771" s="3" t="inlineStr">
        <is>
          <t>조치원읍</t>
        </is>
      </c>
      <c r="G5771" s="3" t="inlineStr">
        <is>
          <t>신흥리</t>
        </is>
      </c>
      <c r="H5771" s="3" t="inlineStr">
        <is>
          <t>단독다가구</t>
        </is>
      </c>
      <c r="I5771" s="3" t="inlineStr">
        <is>
          <t>단독</t>
        </is>
      </c>
      <c r="J5771" s="3" t="inlineStr">
        <is>
          <t>조치원읍</t>
        </is>
      </c>
    </row>
    <row r="5772">
      <c r="A5772" s="3" t="n">
        <v>2023</v>
      </c>
      <c r="B5772" s="4" t="n">
        <v>97240</v>
      </c>
      <c r="C5772" s="4" t="n">
        <v>400</v>
      </c>
      <c r="D5772" s="4" t="n">
        <v>121</v>
      </c>
      <c r="E5772" s="5" t="n">
        <v>803.6</v>
      </c>
      <c r="F5772" s="3" t="inlineStr">
        <is>
          <t>도담동</t>
        </is>
      </c>
      <c r="G5772" s="3" t="inlineStr"/>
      <c r="H5772" s="3" t="inlineStr">
        <is>
          <t>단독다가구</t>
        </is>
      </c>
      <c r="I5772" s="3" t="inlineStr">
        <is>
          <t>단독</t>
        </is>
      </c>
      <c r="J5772" s="3" t="inlineStr">
        <is>
          <t>도담동</t>
        </is>
      </c>
    </row>
    <row r="5773">
      <c r="A5773" s="3" t="n">
        <v>2023</v>
      </c>
      <c r="B5773" s="4" t="n">
        <v>36000</v>
      </c>
      <c r="C5773" s="4" t="n">
        <v>628</v>
      </c>
      <c r="D5773" s="4" t="n">
        <v>189.97</v>
      </c>
      <c r="E5773" s="5" t="n">
        <v>189.5</v>
      </c>
      <c r="F5773" s="3" t="inlineStr">
        <is>
          <t>부강면</t>
        </is>
      </c>
      <c r="G5773" s="3" t="inlineStr">
        <is>
          <t>부강리</t>
        </is>
      </c>
      <c r="H5773" s="3" t="inlineStr">
        <is>
          <t>단독다가구</t>
        </is>
      </c>
      <c r="I5773" s="3" t="inlineStr">
        <is>
          <t>단독</t>
        </is>
      </c>
      <c r="J5773" s="3" t="inlineStr">
        <is>
          <t>부강면</t>
        </is>
      </c>
    </row>
    <row r="5774">
      <c r="A5774" s="3" t="n">
        <v>2023</v>
      </c>
      <c r="B5774" s="4" t="n">
        <v>24000</v>
      </c>
      <c r="C5774" s="4" t="n">
        <v>162</v>
      </c>
      <c r="D5774" s="4" t="n">
        <v>49.005</v>
      </c>
      <c r="E5774" s="5" t="n">
        <v>489.7</v>
      </c>
      <c r="F5774" s="3" t="inlineStr">
        <is>
          <t>조치원읍</t>
        </is>
      </c>
      <c r="G5774" s="3" t="inlineStr">
        <is>
          <t>명리</t>
        </is>
      </c>
      <c r="H5774" s="3" t="inlineStr">
        <is>
          <t>단독다가구</t>
        </is>
      </c>
      <c r="I5774" s="3" t="inlineStr">
        <is>
          <t>단독</t>
        </is>
      </c>
      <c r="J5774" s="3" t="inlineStr">
        <is>
          <t>조치원읍</t>
        </is>
      </c>
    </row>
    <row r="5775">
      <c r="A5775" s="3" t="n">
        <v>2023</v>
      </c>
      <c r="B5775" s="4" t="n">
        <v>21500</v>
      </c>
      <c r="C5775" s="4" t="n">
        <v>231</v>
      </c>
      <c r="D5775" s="4" t="n">
        <v>69.8775</v>
      </c>
      <c r="E5775" s="5" t="n">
        <v>307.7</v>
      </c>
      <c r="F5775" s="3" t="inlineStr">
        <is>
          <t>조치원읍</t>
        </is>
      </c>
      <c r="G5775" s="3" t="inlineStr">
        <is>
          <t>남리</t>
        </is>
      </c>
      <c r="H5775" s="3" t="inlineStr">
        <is>
          <t>단독다가구</t>
        </is>
      </c>
      <c r="I5775" s="3" t="inlineStr">
        <is>
          <t>단독</t>
        </is>
      </c>
      <c r="J5775" s="3" t="inlineStr">
        <is>
          <t>조치원읍</t>
        </is>
      </c>
    </row>
    <row r="5776">
      <c r="A5776" s="3" t="n">
        <v>2023</v>
      </c>
      <c r="B5776" s="4" t="n">
        <v>18000</v>
      </c>
      <c r="C5776" s="4" t="n">
        <v>358</v>
      </c>
      <c r="D5776" s="4" t="n">
        <v>108.295</v>
      </c>
      <c r="E5776" s="5" t="n">
        <v>166.2</v>
      </c>
      <c r="F5776" s="3" t="inlineStr">
        <is>
          <t>연서면</t>
        </is>
      </c>
      <c r="G5776" s="3" t="inlineStr">
        <is>
          <t>고복리</t>
        </is>
      </c>
      <c r="H5776" s="3" t="inlineStr">
        <is>
          <t>단독다가구</t>
        </is>
      </c>
      <c r="I5776" s="3" t="inlineStr">
        <is>
          <t>단독</t>
        </is>
      </c>
      <c r="J5776" s="3" t="inlineStr">
        <is>
          <t>연서면</t>
        </is>
      </c>
    </row>
    <row r="5777">
      <c r="A5777" s="3" t="n">
        <v>2023</v>
      </c>
      <c r="B5777" s="4" t="n">
        <v>32000</v>
      </c>
      <c r="C5777" s="4" t="n">
        <v>257.8</v>
      </c>
      <c r="D5777" s="4" t="n">
        <v>77.9845</v>
      </c>
      <c r="E5777" s="5" t="n">
        <v>410.3</v>
      </c>
      <c r="F5777" s="3" t="inlineStr">
        <is>
          <t>조치원읍</t>
        </is>
      </c>
      <c r="G5777" s="3" t="inlineStr">
        <is>
          <t>교리</t>
        </is>
      </c>
      <c r="H5777" s="3" t="inlineStr">
        <is>
          <t>단독다가구</t>
        </is>
      </c>
      <c r="I5777" s="3" t="inlineStr">
        <is>
          <t>단독</t>
        </is>
      </c>
      <c r="J5777" s="3" t="inlineStr">
        <is>
          <t>조치원읍</t>
        </is>
      </c>
    </row>
    <row r="5778">
      <c r="A5778" s="3" t="n">
        <v>2023</v>
      </c>
      <c r="B5778" s="4" t="n">
        <v>81677</v>
      </c>
      <c r="C5778" s="4" t="n">
        <v>295</v>
      </c>
      <c r="D5778" s="4" t="n">
        <v>89.2375</v>
      </c>
      <c r="E5778" s="5" t="n">
        <v>915.3</v>
      </c>
      <c r="F5778" s="3" t="inlineStr">
        <is>
          <t>고운동</t>
        </is>
      </c>
      <c r="G5778" s="3" t="inlineStr"/>
      <c r="H5778" s="3" t="inlineStr">
        <is>
          <t>단독다가구</t>
        </is>
      </c>
      <c r="I5778" s="3" t="inlineStr">
        <is>
          <t>단독</t>
        </is>
      </c>
      <c r="J5778" s="3" t="inlineStr">
        <is>
          <t>고운동</t>
        </is>
      </c>
    </row>
    <row r="5779">
      <c r="A5779" s="3" t="n">
        <v>2022</v>
      </c>
      <c r="B5779" s="4" t="n">
        <v>153000</v>
      </c>
      <c r="C5779" s="4" t="n">
        <v>335.9</v>
      </c>
      <c r="D5779" s="4" t="n">
        <v>101.60975</v>
      </c>
      <c r="E5779" s="5" t="n">
        <v>1505.8</v>
      </c>
      <c r="F5779" s="3" t="inlineStr">
        <is>
          <t>도담동</t>
        </is>
      </c>
      <c r="G5779" s="3" t="inlineStr"/>
      <c r="H5779" s="3" t="inlineStr">
        <is>
          <t>단독다가구</t>
        </is>
      </c>
      <c r="I5779" s="3" t="inlineStr">
        <is>
          <t>단독</t>
        </is>
      </c>
      <c r="J5779" s="3" t="inlineStr">
        <is>
          <t>도담동</t>
        </is>
      </c>
    </row>
    <row r="5780">
      <c r="A5780" s="3" t="n">
        <v>2022</v>
      </c>
      <c r="B5780" s="4" t="n">
        <v>26000</v>
      </c>
      <c r="C5780" s="4" t="n">
        <v>655</v>
      </c>
      <c r="D5780" s="4" t="n">
        <v>198.1375</v>
      </c>
      <c r="E5780" s="5" t="n">
        <v>131.2</v>
      </c>
      <c r="F5780" s="3" t="inlineStr">
        <is>
          <t>연서면</t>
        </is>
      </c>
      <c r="G5780" s="3" t="inlineStr">
        <is>
          <t>쌍류리</t>
        </is>
      </c>
      <c r="H5780" s="3" t="inlineStr">
        <is>
          <t>단독다가구</t>
        </is>
      </c>
      <c r="I5780" s="3" t="inlineStr">
        <is>
          <t>단독</t>
        </is>
      </c>
      <c r="J5780" s="3" t="inlineStr">
        <is>
          <t>연서면</t>
        </is>
      </c>
    </row>
    <row r="5781">
      <c r="A5781" s="3" t="n">
        <v>2022</v>
      </c>
      <c r="B5781" s="4" t="n">
        <v>27400</v>
      </c>
      <c r="C5781" s="4" t="n">
        <v>271</v>
      </c>
      <c r="D5781" s="4" t="n">
        <v>81.97749999999999</v>
      </c>
      <c r="E5781" s="5" t="n">
        <v>334.2</v>
      </c>
      <c r="F5781" s="3" t="inlineStr">
        <is>
          <t>조치원읍</t>
        </is>
      </c>
      <c r="G5781" s="3" t="inlineStr">
        <is>
          <t>번암리</t>
        </is>
      </c>
      <c r="H5781" s="3" t="inlineStr">
        <is>
          <t>단독다가구</t>
        </is>
      </c>
      <c r="I5781" s="3" t="inlineStr">
        <is>
          <t>단독</t>
        </is>
      </c>
      <c r="J5781" s="3" t="inlineStr">
        <is>
          <t>조치원읍</t>
        </is>
      </c>
    </row>
    <row r="5782">
      <c r="A5782" s="3" t="n">
        <v>2022</v>
      </c>
      <c r="B5782" s="4" t="n">
        <v>30000</v>
      </c>
      <c r="C5782" s="4" t="n">
        <v>1041</v>
      </c>
      <c r="D5782" s="4" t="n">
        <v>314.9025</v>
      </c>
      <c r="E5782" s="5" t="n">
        <v>95.3</v>
      </c>
      <c r="F5782" s="3" t="inlineStr">
        <is>
          <t>연동면</t>
        </is>
      </c>
      <c r="G5782" s="3" t="inlineStr">
        <is>
          <t>응암리</t>
        </is>
      </c>
      <c r="H5782" s="3" t="inlineStr">
        <is>
          <t>단독다가구</t>
        </is>
      </c>
      <c r="I5782" s="3" t="inlineStr">
        <is>
          <t>단독</t>
        </is>
      </c>
      <c r="J5782" s="3" t="inlineStr">
        <is>
          <t>연동면</t>
        </is>
      </c>
    </row>
    <row r="5783">
      <c r="A5783" s="3" t="n">
        <v>2023</v>
      </c>
      <c r="B5783" s="4" t="n">
        <v>19500</v>
      </c>
      <c r="C5783" s="4" t="n">
        <v>167</v>
      </c>
      <c r="D5783" s="4" t="n">
        <v>50.5175</v>
      </c>
      <c r="E5783" s="5" t="n">
        <v>386</v>
      </c>
      <c r="F5783" s="3" t="inlineStr">
        <is>
          <t>조치원읍</t>
        </is>
      </c>
      <c r="G5783" s="3" t="inlineStr">
        <is>
          <t>평리</t>
        </is>
      </c>
      <c r="H5783" s="3" t="inlineStr">
        <is>
          <t>단독다가구</t>
        </is>
      </c>
      <c r="I5783" s="3" t="inlineStr">
        <is>
          <t>단독</t>
        </is>
      </c>
      <c r="J5783" s="3" t="inlineStr">
        <is>
          <t>조치원읍</t>
        </is>
      </c>
    </row>
    <row r="5784">
      <c r="A5784" s="3" t="n">
        <v>2023</v>
      </c>
      <c r="B5784" s="4" t="n">
        <v>60000</v>
      </c>
      <c r="C5784" s="4" t="n">
        <v>340</v>
      </c>
      <c r="D5784" s="4" t="n">
        <v>102.85</v>
      </c>
      <c r="E5784" s="5" t="n">
        <v>583.4</v>
      </c>
      <c r="F5784" s="3" t="inlineStr">
        <is>
          <t>조치원읍</t>
        </is>
      </c>
      <c r="G5784" s="3" t="inlineStr">
        <is>
          <t>신안리</t>
        </is>
      </c>
      <c r="H5784" s="3" t="inlineStr">
        <is>
          <t>단독다가구</t>
        </is>
      </c>
      <c r="I5784" s="3" t="inlineStr">
        <is>
          <t>다가구</t>
        </is>
      </c>
      <c r="J5784" s="3" t="inlineStr">
        <is>
          <t>조치원읍</t>
        </is>
      </c>
    </row>
    <row r="5785">
      <c r="A5785" s="3" t="n">
        <v>2024</v>
      </c>
      <c r="B5785" s="4" t="n">
        <v>16000</v>
      </c>
      <c r="C5785" s="4" t="n">
        <v>168</v>
      </c>
      <c r="D5785" s="4" t="n">
        <v>50.82</v>
      </c>
      <c r="E5785" s="5" t="n">
        <v>314.8</v>
      </c>
      <c r="F5785" s="3" t="inlineStr">
        <is>
          <t>조치원읍</t>
        </is>
      </c>
      <c r="G5785" s="3" t="inlineStr">
        <is>
          <t>신안리</t>
        </is>
      </c>
      <c r="H5785" s="3" t="inlineStr">
        <is>
          <t>단독다가구</t>
        </is>
      </c>
      <c r="I5785" s="3" t="inlineStr">
        <is>
          <t>단독</t>
        </is>
      </c>
      <c r="J5785" s="3" t="inlineStr">
        <is>
          <t>조치원읍</t>
        </is>
      </c>
    </row>
    <row r="5786">
      <c r="A5786" s="3" t="n">
        <v>2024</v>
      </c>
      <c r="B5786" s="4" t="n">
        <v>37000</v>
      </c>
      <c r="C5786" s="4" t="n">
        <v>423</v>
      </c>
      <c r="D5786" s="4" t="n">
        <v>127.9575</v>
      </c>
      <c r="E5786" s="5" t="n">
        <v>289.2</v>
      </c>
      <c r="F5786" s="3" t="inlineStr">
        <is>
          <t>조치원읍</t>
        </is>
      </c>
      <c r="G5786" s="3" t="inlineStr">
        <is>
          <t>신흥리</t>
        </is>
      </c>
      <c r="H5786" s="3" t="inlineStr">
        <is>
          <t>단독다가구</t>
        </is>
      </c>
      <c r="I5786" s="3" t="inlineStr">
        <is>
          <t>단독</t>
        </is>
      </c>
      <c r="J5786" s="3" t="inlineStr">
        <is>
          <t>조치원읍</t>
        </is>
      </c>
    </row>
    <row r="5787">
      <c r="A5787" s="3" t="n">
        <v>2024</v>
      </c>
      <c r="B5787" s="4" t="n">
        <v>50000</v>
      </c>
      <c r="C5787" s="4" t="n">
        <v>441</v>
      </c>
      <c r="D5787" s="4" t="n">
        <v>133.4025</v>
      </c>
      <c r="E5787" s="5" t="n">
        <v>374.8</v>
      </c>
      <c r="F5787" s="3" t="inlineStr">
        <is>
          <t>연서면</t>
        </is>
      </c>
      <c r="G5787" s="3" t="inlineStr">
        <is>
          <t>고복리</t>
        </is>
      </c>
      <c r="H5787" s="3" t="inlineStr">
        <is>
          <t>단독다가구</t>
        </is>
      </c>
      <c r="I5787" s="3" t="inlineStr">
        <is>
          <t>단독</t>
        </is>
      </c>
      <c r="J5787" s="3" t="inlineStr">
        <is>
          <t>연서면</t>
        </is>
      </c>
    </row>
    <row r="5788">
      <c r="A5788" s="3" t="n">
        <v>2024</v>
      </c>
      <c r="B5788" s="4" t="n">
        <v>45000</v>
      </c>
      <c r="C5788" s="4" t="n">
        <v>138.8</v>
      </c>
      <c r="D5788" s="4" t="n">
        <v>41.987</v>
      </c>
      <c r="E5788" s="5" t="n">
        <v>1071.8</v>
      </c>
      <c r="F5788" s="3" t="inlineStr">
        <is>
          <t>조치원읍</t>
        </is>
      </c>
      <c r="G5788" s="3" t="inlineStr">
        <is>
          <t>교리</t>
        </is>
      </c>
      <c r="H5788" s="3" t="inlineStr">
        <is>
          <t>단독다가구</t>
        </is>
      </c>
      <c r="I5788" s="3" t="inlineStr">
        <is>
          <t>단독</t>
        </is>
      </c>
      <c r="J5788" s="3" t="inlineStr">
        <is>
          <t>조치원읍</t>
        </is>
      </c>
    </row>
    <row r="5789">
      <c r="A5789" s="3" t="n">
        <v>2024</v>
      </c>
      <c r="B5789" s="4" t="n">
        <v>14000</v>
      </c>
      <c r="C5789" s="4" t="n">
        <v>122</v>
      </c>
      <c r="D5789" s="4" t="n">
        <v>36.905</v>
      </c>
      <c r="E5789" s="5" t="n">
        <v>379.4</v>
      </c>
      <c r="F5789" s="3" t="inlineStr">
        <is>
          <t>조치원읍</t>
        </is>
      </c>
      <c r="G5789" s="3" t="inlineStr">
        <is>
          <t>신흥리</t>
        </is>
      </c>
      <c r="H5789" s="3" t="inlineStr">
        <is>
          <t>단독다가구</t>
        </is>
      </c>
      <c r="I5789" s="3" t="inlineStr">
        <is>
          <t>단독</t>
        </is>
      </c>
      <c r="J5789" s="3" t="inlineStr">
        <is>
          <t>조치원읍</t>
        </is>
      </c>
    </row>
    <row r="5790">
      <c r="A5790" s="3" t="n">
        <v>2024</v>
      </c>
      <c r="B5790" s="4" t="n">
        <v>8500</v>
      </c>
      <c r="C5790" s="4" t="n">
        <v>364</v>
      </c>
      <c r="D5790" s="4" t="n">
        <v>110.11</v>
      </c>
      <c r="E5790" s="5" t="n">
        <v>77.2</v>
      </c>
      <c r="F5790" s="3" t="inlineStr">
        <is>
          <t>부강면</t>
        </is>
      </c>
      <c r="G5790" s="3" t="inlineStr">
        <is>
          <t>등곡리</t>
        </is>
      </c>
      <c r="H5790" s="3" t="inlineStr">
        <is>
          <t>단독다가구</t>
        </is>
      </c>
      <c r="I5790" s="3" t="inlineStr">
        <is>
          <t>단독</t>
        </is>
      </c>
      <c r="J5790" s="3" t="inlineStr">
        <is>
          <t>부강면</t>
        </is>
      </c>
    </row>
    <row r="5791">
      <c r="A5791" s="3" t="n">
        <v>2024</v>
      </c>
      <c r="B5791" s="4" t="n">
        <v>37000</v>
      </c>
      <c r="C5791" s="4" t="n">
        <v>423</v>
      </c>
      <c r="D5791" s="4" t="n">
        <v>127.9575</v>
      </c>
      <c r="E5791" s="5" t="n">
        <v>289.2</v>
      </c>
      <c r="F5791" s="3" t="inlineStr">
        <is>
          <t>조치원읍</t>
        </is>
      </c>
      <c r="G5791" s="3" t="inlineStr">
        <is>
          <t>신흥리</t>
        </is>
      </c>
      <c r="H5791" s="3" t="inlineStr">
        <is>
          <t>단독다가구</t>
        </is>
      </c>
      <c r="I5791" s="3" t="inlineStr">
        <is>
          <t>단독</t>
        </is>
      </c>
      <c r="J5791" s="3" t="inlineStr">
        <is>
          <t>조치원읍</t>
        </is>
      </c>
    </row>
    <row r="5792">
      <c r="A5792" s="3" t="n">
        <v>2024</v>
      </c>
      <c r="B5792" s="4" t="n">
        <v>20000</v>
      </c>
      <c r="C5792" s="4" t="n">
        <v>260</v>
      </c>
      <c r="D5792" s="4" t="n">
        <v>78.64999999999999</v>
      </c>
      <c r="E5792" s="5" t="n">
        <v>254.3</v>
      </c>
      <c r="F5792" s="3" t="inlineStr">
        <is>
          <t>연서면</t>
        </is>
      </c>
      <c r="G5792" s="3" t="inlineStr">
        <is>
          <t>봉암리</t>
        </is>
      </c>
      <c r="H5792" s="3" t="inlineStr">
        <is>
          <t>단독다가구</t>
        </is>
      </c>
      <c r="I5792" s="3" t="inlineStr">
        <is>
          <t>단독</t>
        </is>
      </c>
      <c r="J5792" s="3" t="inlineStr">
        <is>
          <t>연서면</t>
        </is>
      </c>
    </row>
    <row r="5793">
      <c r="A5793" s="3" t="n">
        <v>2024</v>
      </c>
      <c r="B5793" s="4" t="n">
        <v>10200</v>
      </c>
      <c r="C5793" s="4" t="n">
        <v>88</v>
      </c>
      <c r="D5793" s="4" t="n">
        <v>26.62</v>
      </c>
      <c r="E5793" s="5" t="n">
        <v>383.2</v>
      </c>
      <c r="F5793" s="3" t="inlineStr">
        <is>
          <t>부강면</t>
        </is>
      </c>
      <c r="G5793" s="3" t="inlineStr">
        <is>
          <t>부강리</t>
        </is>
      </c>
      <c r="H5793" s="3" t="inlineStr">
        <is>
          <t>단독다가구</t>
        </is>
      </c>
      <c r="I5793" s="3" t="inlineStr">
        <is>
          <t>단독</t>
        </is>
      </c>
      <c r="J5793" s="3" t="inlineStr">
        <is>
          <t>부강면</t>
        </is>
      </c>
    </row>
    <row r="5794">
      <c r="A5794" s="3" t="n">
        <v>2024</v>
      </c>
      <c r="B5794" s="4" t="n">
        <v>115000</v>
      </c>
      <c r="C5794" s="4" t="n">
        <v>266.9</v>
      </c>
      <c r="D5794" s="4" t="n">
        <v>80.73724999999999</v>
      </c>
      <c r="E5794" s="5" t="n">
        <v>1424.4</v>
      </c>
      <c r="F5794" s="3" t="inlineStr">
        <is>
          <t>조치원읍</t>
        </is>
      </c>
      <c r="G5794" s="3" t="inlineStr">
        <is>
          <t>침산리</t>
        </is>
      </c>
      <c r="H5794" s="3" t="inlineStr">
        <is>
          <t>단독다가구</t>
        </is>
      </c>
      <c r="I5794" s="3" t="inlineStr">
        <is>
          <t>다가구</t>
        </is>
      </c>
      <c r="J5794" s="3" t="inlineStr">
        <is>
          <t>조치원읍</t>
        </is>
      </c>
    </row>
    <row r="5795">
      <c r="A5795" s="3" t="n">
        <v>2024</v>
      </c>
      <c r="B5795" s="4" t="n">
        <v>54000</v>
      </c>
      <c r="C5795" s="4" t="n">
        <v>343</v>
      </c>
      <c r="D5795" s="4" t="n">
        <v>103.7575</v>
      </c>
      <c r="E5795" s="5" t="n">
        <v>520.4</v>
      </c>
      <c r="F5795" s="3" t="inlineStr">
        <is>
          <t>조치원읍</t>
        </is>
      </c>
      <c r="G5795" s="3" t="inlineStr">
        <is>
          <t>죽림리</t>
        </is>
      </c>
      <c r="H5795" s="3" t="inlineStr">
        <is>
          <t>단독다가구</t>
        </is>
      </c>
      <c r="I5795" s="3" t="inlineStr">
        <is>
          <t>단독</t>
        </is>
      </c>
      <c r="J5795" s="3" t="inlineStr">
        <is>
          <t>조치원읍</t>
        </is>
      </c>
    </row>
    <row r="5796">
      <c r="A5796" s="3" t="n">
        <v>2023</v>
      </c>
      <c r="B5796" s="4" t="n">
        <v>56000</v>
      </c>
      <c r="C5796" s="4" t="n">
        <v>237.8</v>
      </c>
      <c r="D5796" s="4" t="n">
        <v>71.9345</v>
      </c>
      <c r="E5796" s="5" t="n">
        <v>778.5</v>
      </c>
      <c r="F5796" s="3" t="inlineStr">
        <is>
          <t>조치원읍</t>
        </is>
      </c>
      <c r="G5796" s="3" t="inlineStr">
        <is>
          <t>서창리</t>
        </is>
      </c>
      <c r="H5796" s="3" t="inlineStr">
        <is>
          <t>단독다가구</t>
        </is>
      </c>
      <c r="I5796" s="3" t="inlineStr">
        <is>
          <t>다가구</t>
        </is>
      </c>
      <c r="J5796" s="3" t="inlineStr">
        <is>
          <t>조치원읍</t>
        </is>
      </c>
    </row>
    <row r="5797">
      <c r="A5797" s="3" t="n">
        <v>2023</v>
      </c>
      <c r="B5797" s="4" t="n">
        <v>7000</v>
      </c>
      <c r="C5797" s="4" t="n">
        <v>96</v>
      </c>
      <c r="D5797" s="4" t="n">
        <v>29.04</v>
      </c>
      <c r="E5797" s="5" t="n">
        <v>241</v>
      </c>
      <c r="F5797" s="3" t="inlineStr">
        <is>
          <t>조치원읍</t>
        </is>
      </c>
      <c r="G5797" s="3" t="inlineStr">
        <is>
          <t>서창리</t>
        </is>
      </c>
      <c r="H5797" s="3" t="inlineStr">
        <is>
          <t>단독다가구</t>
        </is>
      </c>
      <c r="I5797" s="3" t="inlineStr">
        <is>
          <t>단독</t>
        </is>
      </c>
      <c r="J5797" s="3" t="inlineStr">
        <is>
          <t>조치원읍</t>
        </is>
      </c>
    </row>
    <row r="5798">
      <c r="A5798" s="3" t="n">
        <v>2022</v>
      </c>
      <c r="B5798" s="4" t="n">
        <v>144400</v>
      </c>
      <c r="C5798" s="4" t="n">
        <v>353</v>
      </c>
      <c r="D5798" s="4" t="n">
        <v>106.7825</v>
      </c>
      <c r="E5798" s="5" t="n">
        <v>1352.3</v>
      </c>
      <c r="F5798" s="3" t="inlineStr">
        <is>
          <t>조치원읍</t>
        </is>
      </c>
      <c r="G5798" s="3" t="inlineStr">
        <is>
          <t>남리</t>
        </is>
      </c>
      <c r="H5798" s="3" t="inlineStr">
        <is>
          <t>단독다가구</t>
        </is>
      </c>
      <c r="I5798" s="3" t="inlineStr">
        <is>
          <t>다가구</t>
        </is>
      </c>
      <c r="J5798" s="3" t="inlineStr">
        <is>
          <t>조치원읍</t>
        </is>
      </c>
    </row>
    <row r="5799">
      <c r="A5799" s="3" t="n">
        <v>2022</v>
      </c>
      <c r="B5799" s="4" t="n">
        <v>27880</v>
      </c>
      <c r="C5799" s="4" t="n">
        <v>542</v>
      </c>
      <c r="D5799" s="4" t="n">
        <v>163.955</v>
      </c>
      <c r="E5799" s="5" t="n">
        <v>170</v>
      </c>
      <c r="F5799" s="3" t="inlineStr">
        <is>
          <t>연서면</t>
        </is>
      </c>
      <c r="G5799" s="3" t="inlineStr">
        <is>
          <t>와촌리</t>
        </is>
      </c>
      <c r="H5799" s="3" t="inlineStr">
        <is>
          <t>단독다가구</t>
        </is>
      </c>
      <c r="I5799" s="3" t="inlineStr">
        <is>
          <t>단독</t>
        </is>
      </c>
      <c r="J5799" s="3" t="inlineStr">
        <is>
          <t>연서면</t>
        </is>
      </c>
    </row>
    <row r="5800">
      <c r="A5800" s="3" t="n">
        <v>2022</v>
      </c>
      <c r="B5800" s="4" t="n">
        <v>54000</v>
      </c>
      <c r="C5800" s="4" t="n">
        <v>270.8</v>
      </c>
      <c r="D5800" s="4" t="n">
        <v>81.917</v>
      </c>
      <c r="E5800" s="5" t="n">
        <v>659.2</v>
      </c>
      <c r="F5800" s="3" t="inlineStr">
        <is>
          <t>조치원읍</t>
        </is>
      </c>
      <c r="G5800" s="3" t="inlineStr">
        <is>
          <t>남리</t>
        </is>
      </c>
      <c r="H5800" s="3" t="inlineStr">
        <is>
          <t>단독다가구</t>
        </is>
      </c>
      <c r="I5800" s="3" t="inlineStr">
        <is>
          <t>다가구</t>
        </is>
      </c>
      <c r="J5800" s="3" t="inlineStr">
        <is>
          <t>조치원읍</t>
        </is>
      </c>
    </row>
    <row r="5801">
      <c r="A5801" s="3" t="n">
        <v>2022</v>
      </c>
      <c r="B5801" s="4" t="n">
        <v>60000</v>
      </c>
      <c r="C5801" s="4" t="n">
        <v>224.3</v>
      </c>
      <c r="D5801" s="4" t="n">
        <v>67.85075000000001</v>
      </c>
      <c r="E5801" s="5" t="n">
        <v>884.3</v>
      </c>
      <c r="F5801" s="3" t="inlineStr">
        <is>
          <t>조치원읍</t>
        </is>
      </c>
      <c r="G5801" s="3" t="inlineStr">
        <is>
          <t>서창리</t>
        </is>
      </c>
      <c r="H5801" s="3" t="inlineStr">
        <is>
          <t>단독다가구</t>
        </is>
      </c>
      <c r="I5801" s="3" t="inlineStr">
        <is>
          <t>다가구</t>
        </is>
      </c>
      <c r="J5801" s="3" t="inlineStr">
        <is>
          <t>조치원읍</t>
        </is>
      </c>
    </row>
    <row r="5802">
      <c r="A5802" s="3" t="n">
        <v>2022</v>
      </c>
      <c r="B5802" s="4" t="n">
        <v>41000</v>
      </c>
      <c r="C5802" s="4" t="n">
        <v>233.1</v>
      </c>
      <c r="D5802" s="4" t="n">
        <v>70.51275</v>
      </c>
      <c r="E5802" s="5" t="n">
        <v>581.5</v>
      </c>
      <c r="F5802" s="3" t="inlineStr">
        <is>
          <t>조치원읍</t>
        </is>
      </c>
      <c r="G5802" s="3" t="inlineStr">
        <is>
          <t>교리</t>
        </is>
      </c>
      <c r="H5802" s="3" t="inlineStr">
        <is>
          <t>단독다가구</t>
        </is>
      </c>
      <c r="I5802" s="3" t="inlineStr">
        <is>
          <t>단독</t>
        </is>
      </c>
      <c r="J5802" s="3" t="inlineStr">
        <is>
          <t>조치원읍</t>
        </is>
      </c>
    </row>
    <row r="5803">
      <c r="A5803" s="3" t="n">
        <v>2022</v>
      </c>
      <c r="B5803" s="4" t="n">
        <v>23000</v>
      </c>
      <c r="C5803" s="4" t="n">
        <v>166</v>
      </c>
      <c r="D5803" s="4" t="n">
        <v>50.215</v>
      </c>
      <c r="E5803" s="5" t="n">
        <v>458</v>
      </c>
      <c r="F5803" s="3" t="inlineStr">
        <is>
          <t>조치원읍</t>
        </is>
      </c>
      <c r="G5803" s="3" t="inlineStr">
        <is>
          <t>신안리</t>
        </is>
      </c>
      <c r="H5803" s="3" t="inlineStr">
        <is>
          <t>단독다가구</t>
        </is>
      </c>
      <c r="I5803" s="3" t="inlineStr">
        <is>
          <t>단독</t>
        </is>
      </c>
      <c r="J5803" s="3" t="inlineStr">
        <is>
          <t>조치원읍</t>
        </is>
      </c>
    </row>
    <row r="5804">
      <c r="A5804" s="3" t="n">
        <v>2022</v>
      </c>
      <c r="B5804" s="4" t="n">
        <v>36300</v>
      </c>
      <c r="C5804" s="4" t="n">
        <v>159</v>
      </c>
      <c r="D5804" s="4" t="n">
        <v>48.0975</v>
      </c>
      <c r="E5804" s="5" t="n">
        <v>754.7</v>
      </c>
      <c r="F5804" s="3" t="inlineStr">
        <is>
          <t>조치원읍</t>
        </is>
      </c>
      <c r="G5804" s="3" t="inlineStr">
        <is>
          <t>죽림리</t>
        </is>
      </c>
      <c r="H5804" s="3" t="inlineStr">
        <is>
          <t>단독다가구</t>
        </is>
      </c>
      <c r="I5804" s="3" t="inlineStr">
        <is>
          <t>단독</t>
        </is>
      </c>
      <c r="J5804" s="3" t="inlineStr">
        <is>
          <t>조치원읍</t>
        </is>
      </c>
    </row>
    <row r="5805">
      <c r="A5805" s="3" t="n">
        <v>2022</v>
      </c>
      <c r="B5805" s="4" t="n">
        <v>25000</v>
      </c>
      <c r="C5805" s="4" t="n">
        <v>175</v>
      </c>
      <c r="D5805" s="4" t="n">
        <v>52.9375</v>
      </c>
      <c r="E5805" s="5" t="n">
        <v>472.3</v>
      </c>
      <c r="F5805" s="3" t="inlineStr">
        <is>
          <t>조치원읍</t>
        </is>
      </c>
      <c r="G5805" s="3" t="inlineStr">
        <is>
          <t>신흥리</t>
        </is>
      </c>
      <c r="H5805" s="3" t="inlineStr">
        <is>
          <t>단독다가구</t>
        </is>
      </c>
      <c r="I5805" s="3" t="inlineStr">
        <is>
          <t>단독</t>
        </is>
      </c>
      <c r="J5805" s="3" t="inlineStr">
        <is>
          <t>조치원읍</t>
        </is>
      </c>
    </row>
    <row r="5806">
      <c r="A5806" s="3" t="n">
        <v>2022</v>
      </c>
      <c r="B5806" s="4" t="n">
        <v>115000</v>
      </c>
      <c r="C5806" s="4" t="n">
        <v>354.9</v>
      </c>
      <c r="D5806" s="4" t="n">
        <v>107.35725</v>
      </c>
      <c r="E5806" s="5" t="n">
        <v>1071.2</v>
      </c>
      <c r="F5806" s="3" t="inlineStr">
        <is>
          <t>아름동</t>
        </is>
      </c>
      <c r="G5806" s="3" t="inlineStr"/>
      <c r="H5806" s="3" t="inlineStr">
        <is>
          <t>단독다가구</t>
        </is>
      </c>
      <c r="I5806" s="3" t="inlineStr">
        <is>
          <t>단독</t>
        </is>
      </c>
      <c r="J5806" s="3" t="inlineStr">
        <is>
          <t>아름동</t>
        </is>
      </c>
    </row>
    <row r="5807">
      <c r="A5807" s="3" t="n">
        <v>2022</v>
      </c>
      <c r="B5807" s="4" t="n">
        <v>18000</v>
      </c>
      <c r="C5807" s="4" t="n">
        <v>136</v>
      </c>
      <c r="D5807" s="4" t="n">
        <v>41.14</v>
      </c>
      <c r="E5807" s="5" t="n">
        <v>437.5</v>
      </c>
      <c r="F5807" s="3" t="inlineStr">
        <is>
          <t>조치원읍</t>
        </is>
      </c>
      <c r="G5807" s="3" t="inlineStr">
        <is>
          <t>봉산리</t>
        </is>
      </c>
      <c r="H5807" s="3" t="inlineStr">
        <is>
          <t>단독다가구</t>
        </is>
      </c>
      <c r="I5807" s="3" t="inlineStr">
        <is>
          <t>단독</t>
        </is>
      </c>
      <c r="J5807" s="3" t="inlineStr">
        <is>
          <t>조치원읍</t>
        </is>
      </c>
    </row>
    <row r="5808">
      <c r="A5808" s="3" t="n">
        <v>2022</v>
      </c>
      <c r="B5808" s="4" t="n">
        <v>35000</v>
      </c>
      <c r="C5808" s="4" t="n">
        <v>593</v>
      </c>
      <c r="D5808" s="4" t="n">
        <v>179.3825</v>
      </c>
      <c r="E5808" s="5" t="n">
        <v>195.1</v>
      </c>
      <c r="F5808" s="3" t="inlineStr">
        <is>
          <t>연서면</t>
        </is>
      </c>
      <c r="G5808" s="3" t="inlineStr">
        <is>
          <t>쌍류리</t>
        </is>
      </c>
      <c r="H5808" s="3" t="inlineStr">
        <is>
          <t>단독다가구</t>
        </is>
      </c>
      <c r="I5808" s="3" t="inlineStr">
        <is>
          <t>단독</t>
        </is>
      </c>
      <c r="J5808" s="3" t="inlineStr">
        <is>
          <t>연서면</t>
        </is>
      </c>
    </row>
    <row r="5809">
      <c r="A5809" s="3" t="n">
        <v>2022</v>
      </c>
      <c r="B5809" s="4" t="n">
        <v>46455</v>
      </c>
      <c r="C5809" s="4" t="n">
        <v>539</v>
      </c>
      <c r="D5809" s="4" t="n">
        <v>163.0475</v>
      </c>
      <c r="E5809" s="5" t="n">
        <v>284.9</v>
      </c>
      <c r="F5809" s="3" t="inlineStr">
        <is>
          <t>연서면</t>
        </is>
      </c>
      <c r="G5809" s="3" t="inlineStr">
        <is>
          <t>월하리</t>
        </is>
      </c>
      <c r="H5809" s="3" t="inlineStr">
        <is>
          <t>단독다가구</t>
        </is>
      </c>
      <c r="I5809" s="3" t="inlineStr">
        <is>
          <t>단독</t>
        </is>
      </c>
      <c r="J5809" s="3" t="inlineStr">
        <is>
          <t>연서면</t>
        </is>
      </c>
    </row>
    <row r="5810">
      <c r="A5810" s="3" t="n">
        <v>2022</v>
      </c>
      <c r="B5810" s="4" t="n">
        <v>86800</v>
      </c>
      <c r="C5810" s="4" t="n">
        <v>544</v>
      </c>
      <c r="D5810" s="4" t="n">
        <v>164.56</v>
      </c>
      <c r="E5810" s="5" t="n">
        <v>527.5</v>
      </c>
      <c r="F5810" s="3" t="inlineStr">
        <is>
          <t>조치원읍</t>
        </is>
      </c>
      <c r="G5810" s="3" t="inlineStr">
        <is>
          <t>신안리</t>
        </is>
      </c>
      <c r="H5810" s="3" t="inlineStr">
        <is>
          <t>단독다가구</t>
        </is>
      </c>
      <c r="I5810" s="3" t="inlineStr">
        <is>
          <t>단독</t>
        </is>
      </c>
      <c r="J5810" s="3" t="inlineStr">
        <is>
          <t>조치원읍</t>
        </is>
      </c>
    </row>
    <row r="5811">
      <c r="A5811" s="3" t="n">
        <v>2022</v>
      </c>
      <c r="B5811" s="4" t="n">
        <v>23300</v>
      </c>
      <c r="C5811" s="4" t="n">
        <v>200</v>
      </c>
      <c r="D5811" s="4" t="n">
        <v>60.5</v>
      </c>
      <c r="E5811" s="5" t="n">
        <v>385.1</v>
      </c>
      <c r="F5811" s="3" t="inlineStr">
        <is>
          <t>연서면</t>
        </is>
      </c>
      <c r="G5811" s="3" t="inlineStr">
        <is>
          <t>국촌리</t>
        </is>
      </c>
      <c r="H5811" s="3" t="inlineStr">
        <is>
          <t>단독다가구</t>
        </is>
      </c>
      <c r="I5811" s="3" t="inlineStr">
        <is>
          <t>단독</t>
        </is>
      </c>
      <c r="J5811" s="3" t="inlineStr">
        <is>
          <t>연서면</t>
        </is>
      </c>
    </row>
    <row r="5812">
      <c r="A5812" s="3" t="n">
        <v>2022</v>
      </c>
      <c r="B5812" s="4" t="n">
        <v>10000</v>
      </c>
      <c r="C5812" s="4" t="n">
        <v>347</v>
      </c>
      <c r="D5812" s="4" t="n">
        <v>104.9675</v>
      </c>
      <c r="E5812" s="5" t="n">
        <v>95.3</v>
      </c>
      <c r="F5812" s="3" t="inlineStr">
        <is>
          <t>부강면</t>
        </is>
      </c>
      <c r="G5812" s="3" t="inlineStr">
        <is>
          <t>부강리</t>
        </is>
      </c>
      <c r="H5812" s="3" t="inlineStr">
        <is>
          <t>단독다가구</t>
        </is>
      </c>
      <c r="I5812" s="3" t="inlineStr">
        <is>
          <t>단독</t>
        </is>
      </c>
      <c r="J5812" s="3" t="inlineStr">
        <is>
          <t>부강면</t>
        </is>
      </c>
    </row>
    <row r="5813">
      <c r="A5813" s="3" t="n">
        <v>2022</v>
      </c>
      <c r="B5813" s="4" t="n">
        <v>10500</v>
      </c>
      <c r="C5813" s="4" t="n">
        <v>172</v>
      </c>
      <c r="D5813" s="4" t="n">
        <v>52.03</v>
      </c>
      <c r="E5813" s="5" t="n">
        <v>201.8</v>
      </c>
      <c r="F5813" s="3" t="inlineStr">
        <is>
          <t>조치원읍</t>
        </is>
      </c>
      <c r="G5813" s="3" t="inlineStr">
        <is>
          <t>평리</t>
        </is>
      </c>
      <c r="H5813" s="3" t="inlineStr">
        <is>
          <t>단독다가구</t>
        </is>
      </c>
      <c r="I5813" s="3" t="inlineStr">
        <is>
          <t>단독</t>
        </is>
      </c>
      <c r="J5813" s="3" t="inlineStr">
        <is>
          <t>조치원읍</t>
        </is>
      </c>
    </row>
    <row r="5814">
      <c r="A5814" s="3" t="n">
        <v>2022</v>
      </c>
      <c r="B5814" s="4" t="n">
        <v>119000</v>
      </c>
      <c r="C5814" s="4" t="n">
        <v>767</v>
      </c>
      <c r="D5814" s="4" t="n">
        <v>232.0175</v>
      </c>
      <c r="E5814" s="5" t="n">
        <v>512.9</v>
      </c>
      <c r="F5814" s="3" t="inlineStr">
        <is>
          <t>연서면</t>
        </is>
      </c>
      <c r="G5814" s="3" t="inlineStr">
        <is>
          <t>봉암리</t>
        </is>
      </c>
      <c r="H5814" s="3" t="inlineStr">
        <is>
          <t>단독다가구</t>
        </is>
      </c>
      <c r="I5814" s="3" t="inlineStr">
        <is>
          <t>단독</t>
        </is>
      </c>
      <c r="J5814" s="3" t="inlineStr">
        <is>
          <t>연서면</t>
        </is>
      </c>
    </row>
    <row r="5815">
      <c r="A5815" s="3" t="n">
        <v>2022</v>
      </c>
      <c r="B5815" s="4" t="n">
        <v>23500</v>
      </c>
      <c r="C5815" s="4" t="n">
        <v>151</v>
      </c>
      <c r="D5815" s="4" t="n">
        <v>45.6775</v>
      </c>
      <c r="E5815" s="5" t="n">
        <v>514.5</v>
      </c>
      <c r="F5815" s="3" t="inlineStr">
        <is>
          <t>조치원읍</t>
        </is>
      </c>
      <c r="G5815" s="3" t="inlineStr">
        <is>
          <t>남리</t>
        </is>
      </c>
      <c r="H5815" s="3" t="inlineStr">
        <is>
          <t>단독다가구</t>
        </is>
      </c>
      <c r="I5815" s="3" t="inlineStr">
        <is>
          <t>단독</t>
        </is>
      </c>
      <c r="J5815" s="3" t="inlineStr">
        <is>
          <t>조치원읍</t>
        </is>
      </c>
    </row>
    <row r="5816">
      <c r="A5816" s="3" t="n">
        <v>2022</v>
      </c>
      <c r="B5816" s="4" t="n">
        <v>123000</v>
      </c>
      <c r="C5816" s="4" t="n">
        <v>342.5</v>
      </c>
      <c r="D5816" s="4" t="n">
        <v>103.60625</v>
      </c>
      <c r="E5816" s="5" t="n">
        <v>1187.2</v>
      </c>
      <c r="F5816" s="3" t="inlineStr">
        <is>
          <t>조치원읍</t>
        </is>
      </c>
      <c r="G5816" s="3" t="inlineStr">
        <is>
          <t>교리</t>
        </is>
      </c>
      <c r="H5816" s="3" t="inlineStr">
        <is>
          <t>단독다가구</t>
        </is>
      </c>
      <c r="I5816" s="3" t="inlineStr">
        <is>
          <t>다가구</t>
        </is>
      </c>
      <c r="J5816" s="3" t="inlineStr">
        <is>
          <t>조치원읍</t>
        </is>
      </c>
    </row>
    <row r="5817">
      <c r="A5817" s="3" t="n">
        <v>2022</v>
      </c>
      <c r="B5817" s="4" t="n">
        <v>35000</v>
      </c>
      <c r="C5817" s="4" t="n">
        <v>257</v>
      </c>
      <c r="D5817" s="4" t="n">
        <v>77.74249999999999</v>
      </c>
      <c r="E5817" s="5" t="n">
        <v>450.2</v>
      </c>
      <c r="F5817" s="3" t="inlineStr">
        <is>
          <t>조치원읍</t>
        </is>
      </c>
      <c r="G5817" s="3" t="inlineStr">
        <is>
          <t>명리</t>
        </is>
      </c>
      <c r="H5817" s="3" t="inlineStr">
        <is>
          <t>단독다가구</t>
        </is>
      </c>
      <c r="I5817" s="3" t="inlineStr">
        <is>
          <t>단독</t>
        </is>
      </c>
      <c r="J5817" s="3" t="inlineStr">
        <is>
          <t>조치원읍</t>
        </is>
      </c>
    </row>
    <row r="5818">
      <c r="A5818" s="3" t="n">
        <v>2022</v>
      </c>
      <c r="B5818" s="4" t="n">
        <v>64500</v>
      </c>
      <c r="C5818" s="4" t="n">
        <v>239</v>
      </c>
      <c r="D5818" s="4" t="n">
        <v>72.2975</v>
      </c>
      <c r="E5818" s="5" t="n">
        <v>892.1</v>
      </c>
      <c r="F5818" s="3" t="inlineStr">
        <is>
          <t>조치원읍</t>
        </is>
      </c>
      <c r="G5818" s="3" t="inlineStr">
        <is>
          <t>신안리</t>
        </is>
      </c>
      <c r="H5818" s="3" t="inlineStr">
        <is>
          <t>단독다가구</t>
        </is>
      </c>
      <c r="I5818" s="3" t="inlineStr">
        <is>
          <t>다가구</t>
        </is>
      </c>
      <c r="J5818" s="3" t="inlineStr">
        <is>
          <t>조치원읍</t>
        </is>
      </c>
    </row>
    <row r="5819">
      <c r="A5819" s="3" t="n">
        <v>2022</v>
      </c>
      <c r="B5819" s="4" t="n">
        <v>26000</v>
      </c>
      <c r="C5819" s="4" t="n">
        <v>380</v>
      </c>
      <c r="D5819" s="4" t="n">
        <v>114.95</v>
      </c>
      <c r="E5819" s="5" t="n">
        <v>226.2</v>
      </c>
      <c r="F5819" s="3" t="inlineStr">
        <is>
          <t>연서면</t>
        </is>
      </c>
      <c r="G5819" s="3" t="inlineStr">
        <is>
          <t>용암리</t>
        </is>
      </c>
      <c r="H5819" s="3" t="inlineStr">
        <is>
          <t>단독다가구</t>
        </is>
      </c>
      <c r="I5819" s="3" t="inlineStr">
        <is>
          <t>단독</t>
        </is>
      </c>
      <c r="J5819" s="3" t="inlineStr">
        <is>
          <t>연서면</t>
        </is>
      </c>
    </row>
    <row r="5820">
      <c r="A5820" s="3" t="n">
        <v>2023</v>
      </c>
      <c r="B5820" s="4" t="n">
        <v>6370</v>
      </c>
      <c r="C5820" s="4" t="n">
        <v>274</v>
      </c>
      <c r="D5820" s="4" t="n">
        <v>82.88499999999999</v>
      </c>
      <c r="E5820" s="5" t="n">
        <v>76.90000000000001</v>
      </c>
      <c r="F5820" s="3" t="inlineStr">
        <is>
          <t>연서면</t>
        </is>
      </c>
      <c r="G5820" s="3" t="inlineStr">
        <is>
          <t>와촌리</t>
        </is>
      </c>
      <c r="H5820" s="3" t="inlineStr">
        <is>
          <t>단독다가구</t>
        </is>
      </c>
      <c r="I5820" s="3" t="inlineStr">
        <is>
          <t>단독</t>
        </is>
      </c>
      <c r="J5820" s="3" t="inlineStr">
        <is>
          <t>연서면</t>
        </is>
      </c>
    </row>
    <row r="5821">
      <c r="A5821" s="3" t="n">
        <v>2023</v>
      </c>
      <c r="B5821" s="4" t="n">
        <v>53000</v>
      </c>
      <c r="C5821" s="4" t="n">
        <v>516</v>
      </c>
      <c r="D5821" s="4" t="n">
        <v>156.09</v>
      </c>
      <c r="E5821" s="5" t="n">
        <v>339.5</v>
      </c>
      <c r="F5821" s="3" t="inlineStr">
        <is>
          <t>조치원읍</t>
        </is>
      </c>
      <c r="G5821" s="3" t="inlineStr">
        <is>
          <t>평리</t>
        </is>
      </c>
      <c r="H5821" s="3" t="inlineStr">
        <is>
          <t>단독다가구</t>
        </is>
      </c>
      <c r="I5821" s="3" t="inlineStr">
        <is>
          <t>단독</t>
        </is>
      </c>
      <c r="J5821" s="3" t="inlineStr">
        <is>
          <t>조치원읍</t>
        </is>
      </c>
    </row>
    <row r="5822">
      <c r="A5822" s="3" t="n">
        <v>2023</v>
      </c>
      <c r="B5822" s="4" t="n">
        <v>12000</v>
      </c>
      <c r="C5822" s="4" t="n">
        <v>329</v>
      </c>
      <c r="D5822" s="4" t="n">
        <v>99.52249999999999</v>
      </c>
      <c r="E5822" s="5" t="n">
        <v>120.6</v>
      </c>
      <c r="F5822" s="3" t="inlineStr">
        <is>
          <t>연동면</t>
        </is>
      </c>
      <c r="G5822" s="3" t="inlineStr">
        <is>
          <t>예양리</t>
        </is>
      </c>
      <c r="H5822" s="3" t="inlineStr">
        <is>
          <t>단독다가구</t>
        </is>
      </c>
      <c r="I5822" s="3" t="inlineStr">
        <is>
          <t>단독</t>
        </is>
      </c>
      <c r="J5822" s="3" t="inlineStr">
        <is>
          <t>연동면</t>
        </is>
      </c>
    </row>
    <row r="5823">
      <c r="A5823" s="3" t="n">
        <v>2023</v>
      </c>
      <c r="B5823" s="4" t="n">
        <v>26000</v>
      </c>
      <c r="C5823" s="4" t="n">
        <v>150</v>
      </c>
      <c r="D5823" s="4" t="n">
        <v>45.375</v>
      </c>
      <c r="E5823" s="5" t="n">
        <v>573</v>
      </c>
      <c r="F5823" s="3" t="inlineStr">
        <is>
          <t>조치원읍</t>
        </is>
      </c>
      <c r="G5823" s="3" t="inlineStr">
        <is>
          <t>신안리</t>
        </is>
      </c>
      <c r="H5823" s="3" t="inlineStr">
        <is>
          <t>단독다가구</t>
        </is>
      </c>
      <c r="I5823" s="3" t="inlineStr">
        <is>
          <t>다가구</t>
        </is>
      </c>
      <c r="J5823" s="3" t="inlineStr">
        <is>
          <t>조치원읍</t>
        </is>
      </c>
    </row>
    <row r="5824">
      <c r="A5824" s="3" t="n">
        <v>2023</v>
      </c>
      <c r="B5824" s="4" t="n">
        <v>78900</v>
      </c>
      <c r="C5824" s="4" t="n">
        <v>295</v>
      </c>
      <c r="D5824" s="4" t="n">
        <v>89.2375</v>
      </c>
      <c r="E5824" s="5" t="n">
        <v>884.2</v>
      </c>
      <c r="F5824" s="3" t="inlineStr">
        <is>
          <t>고운동</t>
        </is>
      </c>
      <c r="G5824" s="3" t="inlineStr"/>
      <c r="H5824" s="3" t="inlineStr">
        <is>
          <t>단독다가구</t>
        </is>
      </c>
      <c r="I5824" s="3" t="inlineStr">
        <is>
          <t>단독</t>
        </is>
      </c>
      <c r="J5824" s="3" t="inlineStr">
        <is>
          <t>고운동</t>
        </is>
      </c>
    </row>
    <row r="5825">
      <c r="A5825" s="3" t="n">
        <v>2023</v>
      </c>
      <c r="B5825" s="4" t="n">
        <v>3500</v>
      </c>
      <c r="C5825" s="4" t="n">
        <v>89</v>
      </c>
      <c r="D5825" s="4" t="n">
        <v>26.9225</v>
      </c>
      <c r="E5825" s="5" t="n">
        <v>130</v>
      </c>
      <c r="F5825" s="3" t="inlineStr">
        <is>
          <t>조치원읍</t>
        </is>
      </c>
      <c r="G5825" s="3" t="inlineStr">
        <is>
          <t>서창리</t>
        </is>
      </c>
      <c r="H5825" s="3" t="inlineStr">
        <is>
          <t>단독다가구</t>
        </is>
      </c>
      <c r="I5825" s="3" t="inlineStr">
        <is>
          <t>단독</t>
        </is>
      </c>
      <c r="J5825" s="3" t="inlineStr">
        <is>
          <t>조치원읍</t>
        </is>
      </c>
    </row>
    <row r="5826">
      <c r="A5826" s="3" t="n">
        <v>2024</v>
      </c>
      <c r="B5826" s="4" t="n">
        <v>12000</v>
      </c>
      <c r="C5826" s="4" t="n">
        <v>155</v>
      </c>
      <c r="D5826" s="4" t="n">
        <v>46.8875</v>
      </c>
      <c r="E5826" s="5" t="n">
        <v>255.9</v>
      </c>
      <c r="F5826" s="3" t="inlineStr">
        <is>
          <t>연서면</t>
        </is>
      </c>
      <c r="G5826" s="3" t="inlineStr">
        <is>
          <t>용암리</t>
        </is>
      </c>
      <c r="H5826" s="3" t="inlineStr">
        <is>
          <t>단독다가구</t>
        </is>
      </c>
      <c r="I5826" s="3" t="inlineStr">
        <is>
          <t>단독</t>
        </is>
      </c>
      <c r="J5826" s="3" t="inlineStr">
        <is>
          <t>연서면</t>
        </is>
      </c>
    </row>
    <row r="5827">
      <c r="A5827" s="3" t="n">
        <v>2024</v>
      </c>
      <c r="B5827" s="4" t="n">
        <v>17500</v>
      </c>
      <c r="C5827" s="4" t="n">
        <v>323</v>
      </c>
      <c r="D5827" s="4" t="n">
        <v>97.7075</v>
      </c>
      <c r="E5827" s="5" t="n">
        <v>179.1</v>
      </c>
      <c r="F5827" s="3" t="inlineStr">
        <is>
          <t>부강면</t>
        </is>
      </c>
      <c r="G5827" s="3" t="inlineStr">
        <is>
          <t>문곡리</t>
        </is>
      </c>
      <c r="H5827" s="3" t="inlineStr">
        <is>
          <t>단독다가구</t>
        </is>
      </c>
      <c r="I5827" s="3" t="inlineStr">
        <is>
          <t>단독</t>
        </is>
      </c>
      <c r="J5827" s="3" t="inlineStr">
        <is>
          <t>부강면</t>
        </is>
      </c>
    </row>
    <row r="5828">
      <c r="A5828" s="3" t="n">
        <v>2024</v>
      </c>
      <c r="B5828" s="4" t="n">
        <v>19000</v>
      </c>
      <c r="C5828" s="4" t="n">
        <v>167</v>
      </c>
      <c r="D5828" s="4" t="n">
        <v>50.5175</v>
      </c>
      <c r="E5828" s="5" t="n">
        <v>376.1</v>
      </c>
      <c r="F5828" s="3" t="inlineStr">
        <is>
          <t>연서면</t>
        </is>
      </c>
      <c r="G5828" s="3" t="inlineStr">
        <is>
          <t>봉암리</t>
        </is>
      </c>
      <c r="H5828" s="3" t="inlineStr">
        <is>
          <t>단독다가구</t>
        </is>
      </c>
      <c r="I5828" s="3" t="inlineStr">
        <is>
          <t>단독</t>
        </is>
      </c>
      <c r="J5828" s="3" t="inlineStr">
        <is>
          <t>연서면</t>
        </is>
      </c>
    </row>
    <row r="5829">
      <c r="A5829" s="3" t="n">
        <v>2024</v>
      </c>
      <c r="B5829" s="4" t="n">
        <v>82450</v>
      </c>
      <c r="C5829" s="4" t="n">
        <v>309.2</v>
      </c>
      <c r="D5829" s="4" t="n">
        <v>93.53299999999999</v>
      </c>
      <c r="E5829" s="5" t="n">
        <v>881.5</v>
      </c>
      <c r="F5829" s="3" t="inlineStr">
        <is>
          <t>고운동</t>
        </is>
      </c>
      <c r="G5829" s="3" t="inlineStr"/>
      <c r="H5829" s="3" t="inlineStr">
        <is>
          <t>단독다가구</t>
        </is>
      </c>
      <c r="I5829" s="3" t="inlineStr">
        <is>
          <t>단독</t>
        </is>
      </c>
      <c r="J5829" s="3" t="inlineStr">
        <is>
          <t>고운동</t>
        </is>
      </c>
    </row>
    <row r="5830">
      <c r="A5830" s="3" t="n">
        <v>2024</v>
      </c>
      <c r="B5830" s="4" t="n">
        <v>37000</v>
      </c>
      <c r="C5830" s="4" t="n">
        <v>305</v>
      </c>
      <c r="D5830" s="4" t="n">
        <v>92.2625</v>
      </c>
      <c r="E5830" s="5" t="n">
        <v>401</v>
      </c>
      <c r="F5830" s="3" t="inlineStr">
        <is>
          <t>조치원읍</t>
        </is>
      </c>
      <c r="G5830" s="3" t="inlineStr">
        <is>
          <t>신안리</t>
        </is>
      </c>
      <c r="H5830" s="3" t="inlineStr">
        <is>
          <t>단독다가구</t>
        </is>
      </c>
      <c r="I5830" s="3" t="inlineStr">
        <is>
          <t>다가구</t>
        </is>
      </c>
      <c r="J5830" s="3" t="inlineStr">
        <is>
          <t>조치원읍</t>
        </is>
      </c>
    </row>
    <row r="5831">
      <c r="A5831" s="3" t="n">
        <v>2024</v>
      </c>
      <c r="B5831" s="4" t="n">
        <v>80000</v>
      </c>
      <c r="C5831" s="4" t="n">
        <v>294</v>
      </c>
      <c r="D5831" s="4" t="n">
        <v>88.935</v>
      </c>
      <c r="E5831" s="5" t="n">
        <v>899.5</v>
      </c>
      <c r="F5831" s="3" t="inlineStr">
        <is>
          <t>조치원읍</t>
        </is>
      </c>
      <c r="G5831" s="3" t="inlineStr">
        <is>
          <t>신안리</t>
        </is>
      </c>
      <c r="H5831" s="3" t="inlineStr">
        <is>
          <t>단독다가구</t>
        </is>
      </c>
      <c r="I5831" s="3" t="inlineStr">
        <is>
          <t>단독</t>
        </is>
      </c>
      <c r="J5831" s="3" t="inlineStr">
        <is>
          <t>조치원읍</t>
        </is>
      </c>
    </row>
    <row r="5832">
      <c r="A5832" s="3" t="n">
        <v>2024</v>
      </c>
      <c r="B5832" s="4" t="n">
        <v>60000</v>
      </c>
      <c r="C5832" s="4" t="n">
        <v>299.8</v>
      </c>
      <c r="D5832" s="4" t="n">
        <v>90.6895</v>
      </c>
      <c r="E5832" s="5" t="n">
        <v>661.6</v>
      </c>
      <c r="F5832" s="3" t="inlineStr">
        <is>
          <t>한솔동</t>
        </is>
      </c>
      <c r="G5832" s="3" t="inlineStr"/>
      <c r="H5832" s="3" t="inlineStr">
        <is>
          <t>단독다가구</t>
        </is>
      </c>
      <c r="I5832" s="3" t="inlineStr">
        <is>
          <t>단독</t>
        </is>
      </c>
      <c r="J5832" s="3" t="inlineStr">
        <is>
          <t>한솔동</t>
        </is>
      </c>
    </row>
    <row r="5833">
      <c r="A5833" s="3" t="n">
        <v>2025</v>
      </c>
      <c r="B5833" s="4" t="n">
        <v>18000</v>
      </c>
      <c r="C5833" s="4" t="n">
        <v>549</v>
      </c>
      <c r="D5833" s="4" t="n">
        <v>166.0725</v>
      </c>
      <c r="E5833" s="5" t="n">
        <v>108.4</v>
      </c>
      <c r="F5833" s="3" t="inlineStr">
        <is>
          <t>부강면</t>
        </is>
      </c>
      <c r="G5833" s="3" t="inlineStr">
        <is>
          <t>부강리</t>
        </is>
      </c>
      <c r="H5833" s="3" t="inlineStr">
        <is>
          <t>단독다가구</t>
        </is>
      </c>
      <c r="I5833" s="3" t="inlineStr">
        <is>
          <t>단독</t>
        </is>
      </c>
      <c r="J5833" s="3" t="inlineStr">
        <is>
          <t>부강면</t>
        </is>
      </c>
    </row>
    <row r="5834">
      <c r="A5834" s="3" t="n">
        <v>2025</v>
      </c>
      <c r="B5834" s="4" t="n">
        <v>40000</v>
      </c>
      <c r="C5834" s="4" t="n">
        <v>310</v>
      </c>
      <c r="D5834" s="4" t="n">
        <v>93.77499999999999</v>
      </c>
      <c r="E5834" s="5" t="n">
        <v>426.6</v>
      </c>
      <c r="F5834" s="3" t="inlineStr">
        <is>
          <t>조치원읍</t>
        </is>
      </c>
      <c r="G5834" s="3" t="inlineStr">
        <is>
          <t>서창리</t>
        </is>
      </c>
      <c r="H5834" s="3" t="inlineStr">
        <is>
          <t>단독다가구</t>
        </is>
      </c>
      <c r="I5834" s="3" t="inlineStr">
        <is>
          <t>다가구</t>
        </is>
      </c>
      <c r="J5834" s="3" t="inlineStr">
        <is>
          <t>조치원읍</t>
        </is>
      </c>
    </row>
    <row r="5835">
      <c r="A5835" s="3" t="n">
        <v>2025</v>
      </c>
      <c r="B5835" s="4" t="n">
        <v>159750</v>
      </c>
      <c r="C5835" s="4" t="n">
        <v>430.5497</v>
      </c>
      <c r="D5835" s="4" t="n">
        <v>130.24128425</v>
      </c>
      <c r="E5835" s="5" t="n">
        <v>1226.6</v>
      </c>
      <c r="F5835" s="3" t="inlineStr">
        <is>
          <t>고운동</t>
        </is>
      </c>
      <c r="G5835" s="3" t="inlineStr"/>
      <c r="H5835" s="3" t="inlineStr">
        <is>
          <t>단독다가구</t>
        </is>
      </c>
      <c r="I5835" s="3" t="inlineStr">
        <is>
          <t>단독</t>
        </is>
      </c>
      <c r="J5835" s="3" t="inlineStr">
        <is>
          <t>고운동</t>
        </is>
      </c>
    </row>
    <row r="5836">
      <c r="A5836" s="3" t="n">
        <v>2025</v>
      </c>
      <c r="B5836" s="4" t="n">
        <v>24000</v>
      </c>
      <c r="C5836" s="4" t="n">
        <v>124</v>
      </c>
      <c r="D5836" s="4" t="n">
        <v>37.51</v>
      </c>
      <c r="E5836" s="5" t="n">
        <v>639.8</v>
      </c>
      <c r="F5836" s="3" t="inlineStr">
        <is>
          <t>조치원읍</t>
        </is>
      </c>
      <c r="G5836" s="3" t="inlineStr">
        <is>
          <t>신흥리</t>
        </is>
      </c>
      <c r="H5836" s="3" t="inlineStr">
        <is>
          <t>단독다가구</t>
        </is>
      </c>
      <c r="I5836" s="3" t="inlineStr">
        <is>
          <t>단독</t>
        </is>
      </c>
      <c r="J5836" s="3" t="inlineStr">
        <is>
          <t>조치원읍</t>
        </is>
      </c>
    </row>
    <row r="5837">
      <c r="A5837" s="3" t="n">
        <v>2025</v>
      </c>
      <c r="B5837" s="4" t="n">
        <v>40000</v>
      </c>
      <c r="C5837" s="4" t="n">
        <v>469</v>
      </c>
      <c r="D5837" s="4" t="n">
        <v>141.8725</v>
      </c>
      <c r="E5837" s="5" t="n">
        <v>281.9</v>
      </c>
      <c r="F5837" s="3" t="inlineStr">
        <is>
          <t>조치원읍</t>
        </is>
      </c>
      <c r="G5837" s="3" t="inlineStr">
        <is>
          <t>서창리</t>
        </is>
      </c>
      <c r="H5837" s="3" t="inlineStr">
        <is>
          <t>단독다가구</t>
        </is>
      </c>
      <c r="I5837" s="3" t="inlineStr">
        <is>
          <t>단독</t>
        </is>
      </c>
      <c r="J5837" s="3" t="inlineStr">
        <is>
          <t>조치원읍</t>
        </is>
      </c>
    </row>
    <row r="5838">
      <c r="A5838" s="3" t="n">
        <v>2025</v>
      </c>
      <c r="B5838" s="4" t="n">
        <v>10000</v>
      </c>
      <c r="C5838" s="4" t="n">
        <v>298</v>
      </c>
      <c r="D5838" s="4" t="n">
        <v>90.145</v>
      </c>
      <c r="E5838" s="5" t="n">
        <v>110.9</v>
      </c>
      <c r="F5838" s="3" t="inlineStr">
        <is>
          <t>연서면</t>
        </is>
      </c>
      <c r="G5838" s="3" t="inlineStr">
        <is>
          <t>월하리</t>
        </is>
      </c>
      <c r="H5838" s="3" t="inlineStr">
        <is>
          <t>단독다가구</t>
        </is>
      </c>
      <c r="I5838" s="3" t="inlineStr">
        <is>
          <t>단독</t>
        </is>
      </c>
      <c r="J5838" s="3" t="inlineStr">
        <is>
          <t>연서면</t>
        </is>
      </c>
    </row>
    <row r="5839">
      <c r="A5839" s="3" t="n">
        <v>2025</v>
      </c>
      <c r="B5839" s="4" t="n">
        <v>30000</v>
      </c>
      <c r="C5839" s="4" t="n">
        <v>187.8</v>
      </c>
      <c r="D5839" s="4" t="n">
        <v>56.8095</v>
      </c>
      <c r="E5839" s="5" t="n">
        <v>528.1</v>
      </c>
      <c r="F5839" s="3" t="inlineStr">
        <is>
          <t>조치원읍</t>
        </is>
      </c>
      <c r="G5839" s="3" t="inlineStr">
        <is>
          <t>교리</t>
        </is>
      </c>
      <c r="H5839" s="3" t="inlineStr">
        <is>
          <t>단독다가구</t>
        </is>
      </c>
      <c r="I5839" s="3" t="inlineStr">
        <is>
          <t>단독</t>
        </is>
      </c>
      <c r="J5839" s="3" t="inlineStr">
        <is>
          <t>조치원읍</t>
        </is>
      </c>
    </row>
    <row r="5840">
      <c r="A5840" s="3" t="n">
        <v>2025</v>
      </c>
      <c r="B5840" s="4" t="n">
        <v>55000</v>
      </c>
      <c r="C5840" s="4" t="n">
        <v>1150</v>
      </c>
      <c r="D5840" s="4" t="n">
        <v>347.875</v>
      </c>
      <c r="E5840" s="5" t="n">
        <v>158.1</v>
      </c>
      <c r="F5840" s="3" t="inlineStr">
        <is>
          <t>연서면</t>
        </is>
      </c>
      <c r="G5840" s="3" t="inlineStr">
        <is>
          <t>성제리</t>
        </is>
      </c>
      <c r="H5840" s="3" t="inlineStr">
        <is>
          <t>단독다가구</t>
        </is>
      </c>
      <c r="I5840" s="3" t="inlineStr">
        <is>
          <t>단독</t>
        </is>
      </c>
      <c r="J5840" s="3" t="inlineStr">
        <is>
          <t>연서면</t>
        </is>
      </c>
    </row>
    <row r="5841">
      <c r="A5841" s="3" t="n">
        <v>2025</v>
      </c>
      <c r="B5841" s="4" t="n">
        <v>38000</v>
      </c>
      <c r="C5841" s="4" t="n">
        <v>820</v>
      </c>
      <c r="D5841" s="4" t="n">
        <v>248.05</v>
      </c>
      <c r="E5841" s="5" t="n">
        <v>153.2</v>
      </c>
      <c r="F5841" s="3" t="inlineStr">
        <is>
          <t>조치원읍</t>
        </is>
      </c>
      <c r="G5841" s="3" t="inlineStr">
        <is>
          <t>서창리</t>
        </is>
      </c>
      <c r="H5841" s="3" t="inlineStr">
        <is>
          <t>단독다가구</t>
        </is>
      </c>
      <c r="I5841" s="3" t="inlineStr">
        <is>
          <t>단독</t>
        </is>
      </c>
      <c r="J5841" s="3" t="inlineStr">
        <is>
          <t>조치원읍</t>
        </is>
      </c>
    </row>
    <row r="5842">
      <c r="A5842" s="3" t="n">
        <v>2025</v>
      </c>
      <c r="B5842" s="4" t="n">
        <v>78000</v>
      </c>
      <c r="C5842" s="4" t="n">
        <v>251.8</v>
      </c>
      <c r="D5842" s="4" t="n">
        <v>76.1695</v>
      </c>
      <c r="E5842" s="5" t="n">
        <v>1024</v>
      </c>
      <c r="F5842" s="3" t="inlineStr">
        <is>
          <t>조치원읍</t>
        </is>
      </c>
      <c r="G5842" s="3" t="inlineStr">
        <is>
          <t>침산리</t>
        </is>
      </c>
      <c r="H5842" s="3" t="inlineStr">
        <is>
          <t>단독다가구</t>
        </is>
      </c>
      <c r="I5842" s="3" t="inlineStr">
        <is>
          <t>다가구</t>
        </is>
      </c>
      <c r="J5842" s="3" t="inlineStr">
        <is>
          <t>조치원읍</t>
        </is>
      </c>
    </row>
    <row r="5843">
      <c r="A5843" s="3" t="n">
        <v>2025</v>
      </c>
      <c r="B5843" s="4" t="n">
        <v>12000</v>
      </c>
      <c r="C5843" s="4" t="n">
        <v>349</v>
      </c>
      <c r="D5843" s="4" t="n">
        <v>105.5725</v>
      </c>
      <c r="E5843" s="5" t="n">
        <v>113.7</v>
      </c>
      <c r="F5843" s="3" t="inlineStr">
        <is>
          <t>부강면</t>
        </is>
      </c>
      <c r="G5843" s="3" t="inlineStr">
        <is>
          <t>부강리</t>
        </is>
      </c>
      <c r="H5843" s="3" t="inlineStr">
        <is>
          <t>단독다가구</t>
        </is>
      </c>
      <c r="I5843" s="3" t="inlineStr">
        <is>
          <t>단독</t>
        </is>
      </c>
      <c r="J5843" s="3" t="inlineStr">
        <is>
          <t>부강면</t>
        </is>
      </c>
    </row>
    <row r="5844">
      <c r="A5844" s="3" t="n">
        <v>2025</v>
      </c>
      <c r="B5844" s="4" t="n">
        <v>130000</v>
      </c>
      <c r="C5844" s="4" t="n">
        <v>303.5</v>
      </c>
      <c r="D5844" s="4" t="n">
        <v>91.80875</v>
      </c>
      <c r="E5844" s="5" t="n">
        <v>1416</v>
      </c>
      <c r="F5844" s="3" t="inlineStr">
        <is>
          <t>아름동</t>
        </is>
      </c>
      <c r="G5844" s="3" t="inlineStr"/>
      <c r="H5844" s="3" t="inlineStr">
        <is>
          <t>단독다가구</t>
        </is>
      </c>
      <c r="I5844" s="3" t="inlineStr">
        <is>
          <t>단독</t>
        </is>
      </c>
      <c r="J5844" s="3" t="inlineStr">
        <is>
          <t>아름동</t>
        </is>
      </c>
    </row>
    <row r="5845">
      <c r="A5845" s="3" t="n">
        <v>2025</v>
      </c>
      <c r="B5845" s="4" t="n">
        <v>53500</v>
      </c>
      <c r="C5845" s="4" t="n">
        <v>293</v>
      </c>
      <c r="D5845" s="4" t="n">
        <v>88.63249999999999</v>
      </c>
      <c r="E5845" s="5" t="n">
        <v>603.6</v>
      </c>
      <c r="F5845" s="3" t="inlineStr">
        <is>
          <t>조치원읍</t>
        </is>
      </c>
      <c r="G5845" s="3" t="inlineStr">
        <is>
          <t>신안리</t>
        </is>
      </c>
      <c r="H5845" s="3" t="inlineStr">
        <is>
          <t>단독다가구</t>
        </is>
      </c>
      <c r="I5845" s="3" t="inlineStr">
        <is>
          <t>다가구</t>
        </is>
      </c>
      <c r="J5845" s="3" t="inlineStr">
        <is>
          <t>조치원읍</t>
        </is>
      </c>
    </row>
    <row r="5846">
      <c r="A5846" s="3" t="n">
        <v>2025</v>
      </c>
      <c r="B5846" s="4" t="n">
        <v>28000</v>
      </c>
      <c r="C5846" s="4" t="n">
        <v>251</v>
      </c>
      <c r="D5846" s="4" t="n">
        <v>75.92749999999999</v>
      </c>
      <c r="E5846" s="5" t="n">
        <v>368.8</v>
      </c>
      <c r="F5846" s="3" t="inlineStr">
        <is>
          <t>조치원읍</t>
        </is>
      </c>
      <c r="G5846" s="3" t="inlineStr">
        <is>
          <t>신흥리</t>
        </is>
      </c>
      <c r="H5846" s="3" t="inlineStr">
        <is>
          <t>단독다가구</t>
        </is>
      </c>
      <c r="I5846" s="3" t="inlineStr">
        <is>
          <t>단독</t>
        </is>
      </c>
      <c r="J5846" s="3" t="inlineStr">
        <is>
          <t>조치원읍</t>
        </is>
      </c>
    </row>
    <row r="5847">
      <c r="A5847" s="3" t="n">
        <v>2025</v>
      </c>
      <c r="B5847" s="4" t="n">
        <v>105750</v>
      </c>
      <c r="C5847" s="4" t="n">
        <v>358</v>
      </c>
      <c r="D5847" s="4" t="n">
        <v>108.295</v>
      </c>
      <c r="E5847" s="5" t="n">
        <v>976.5</v>
      </c>
      <c r="F5847" s="3" t="inlineStr">
        <is>
          <t>조치원읍</t>
        </is>
      </c>
      <c r="G5847" s="3" t="inlineStr">
        <is>
          <t>신안리</t>
        </is>
      </c>
      <c r="H5847" s="3" t="inlineStr">
        <is>
          <t>단독다가구</t>
        </is>
      </c>
      <c r="I5847" s="3" t="inlineStr">
        <is>
          <t>다가구</t>
        </is>
      </c>
      <c r="J5847" s="3" t="inlineStr">
        <is>
          <t>조치원읍</t>
        </is>
      </c>
    </row>
    <row r="5848">
      <c r="A5848" s="3" t="n">
        <v>2025</v>
      </c>
      <c r="B5848" s="4" t="n">
        <v>35000</v>
      </c>
      <c r="C5848" s="4" t="n">
        <v>401</v>
      </c>
      <c r="D5848" s="4" t="n">
        <v>121.3025</v>
      </c>
      <c r="E5848" s="5" t="n">
        <v>288.5</v>
      </c>
      <c r="F5848" s="3" t="inlineStr">
        <is>
          <t>연서면</t>
        </is>
      </c>
      <c r="G5848" s="3" t="inlineStr">
        <is>
          <t>봉암리</t>
        </is>
      </c>
      <c r="H5848" s="3" t="inlineStr">
        <is>
          <t>단독다가구</t>
        </is>
      </c>
      <c r="I5848" s="3" t="inlineStr">
        <is>
          <t>단독</t>
        </is>
      </c>
      <c r="J5848" s="3" t="inlineStr">
        <is>
          <t>연서면</t>
        </is>
      </c>
    </row>
    <row r="5849">
      <c r="A5849" s="3" t="n">
        <v>2025</v>
      </c>
      <c r="B5849" s="4" t="n">
        <v>62500</v>
      </c>
      <c r="C5849" s="4" t="n">
        <v>414</v>
      </c>
      <c r="D5849" s="4" t="n">
        <v>125.235</v>
      </c>
      <c r="E5849" s="5" t="n">
        <v>499.1</v>
      </c>
      <c r="F5849" s="3" t="inlineStr">
        <is>
          <t>연서면</t>
        </is>
      </c>
      <c r="G5849" s="3" t="inlineStr">
        <is>
          <t>부동리</t>
        </is>
      </c>
      <c r="H5849" s="3" t="inlineStr">
        <is>
          <t>단독다가구</t>
        </is>
      </c>
      <c r="I5849" s="3" t="inlineStr">
        <is>
          <t>단독</t>
        </is>
      </c>
      <c r="J5849" s="3" t="inlineStr">
        <is>
          <t>연서면</t>
        </is>
      </c>
    </row>
    <row r="5850">
      <c r="A5850" s="3" t="n">
        <v>2025</v>
      </c>
      <c r="B5850" s="4" t="n">
        <v>59000</v>
      </c>
      <c r="C5850" s="4" t="n">
        <v>885</v>
      </c>
      <c r="D5850" s="4" t="n">
        <v>267.7125</v>
      </c>
      <c r="E5850" s="5" t="n">
        <v>220.4</v>
      </c>
      <c r="F5850" s="3" t="inlineStr">
        <is>
          <t>부강면</t>
        </is>
      </c>
      <c r="G5850" s="3" t="inlineStr">
        <is>
          <t>부강리</t>
        </is>
      </c>
      <c r="H5850" s="3" t="inlineStr">
        <is>
          <t>단독다가구</t>
        </is>
      </c>
      <c r="I5850" s="3" t="inlineStr">
        <is>
          <t>단독</t>
        </is>
      </c>
      <c r="J5850" s="3" t="inlineStr">
        <is>
          <t>부강면</t>
        </is>
      </c>
    </row>
    <row r="5851">
      <c r="A5851" s="3" t="n">
        <v>2025</v>
      </c>
      <c r="B5851" s="4" t="n">
        <v>18500</v>
      </c>
      <c r="C5851" s="4" t="n">
        <v>193</v>
      </c>
      <c r="D5851" s="4" t="n">
        <v>58.3825</v>
      </c>
      <c r="E5851" s="5" t="n">
        <v>316.9</v>
      </c>
      <c r="F5851" s="3" t="inlineStr">
        <is>
          <t>조치원읍</t>
        </is>
      </c>
      <c r="G5851" s="3" t="inlineStr">
        <is>
          <t>남리</t>
        </is>
      </c>
      <c r="H5851" s="3" t="inlineStr">
        <is>
          <t>단독다가구</t>
        </is>
      </c>
      <c r="I5851" s="3" t="inlineStr">
        <is>
          <t>단독</t>
        </is>
      </c>
      <c r="J5851" s="3" t="inlineStr">
        <is>
          <t>조치원읍</t>
        </is>
      </c>
    </row>
    <row r="5852">
      <c r="A5852" s="3" t="n">
        <v>2025</v>
      </c>
      <c r="B5852" s="4" t="n">
        <v>149700</v>
      </c>
      <c r="C5852" s="4" t="n">
        <v>542</v>
      </c>
      <c r="D5852" s="4" t="n">
        <v>163.955</v>
      </c>
      <c r="E5852" s="5" t="n">
        <v>913.1</v>
      </c>
      <c r="F5852" s="3" t="inlineStr">
        <is>
          <t>부강면</t>
        </is>
      </c>
      <c r="G5852" s="3" t="inlineStr">
        <is>
          <t>부강리</t>
        </is>
      </c>
      <c r="H5852" s="3" t="inlineStr">
        <is>
          <t>단독다가구</t>
        </is>
      </c>
      <c r="I5852" s="3" t="inlineStr">
        <is>
          <t>다가구</t>
        </is>
      </c>
      <c r="J5852" s="3" t="inlineStr">
        <is>
          <t>부강면</t>
        </is>
      </c>
    </row>
    <row r="5853">
      <c r="A5853" s="3" t="n">
        <v>2025</v>
      </c>
      <c r="B5853" s="4" t="n">
        <v>81000</v>
      </c>
      <c r="C5853" s="4" t="n">
        <v>341</v>
      </c>
      <c r="D5853" s="4" t="n">
        <v>103.1525</v>
      </c>
      <c r="E5853" s="5" t="n">
        <v>785.2</v>
      </c>
      <c r="F5853" s="3" t="inlineStr">
        <is>
          <t>조치원읍</t>
        </is>
      </c>
      <c r="G5853" s="3" t="inlineStr">
        <is>
          <t>침산리</t>
        </is>
      </c>
      <c r="H5853" s="3" t="inlineStr">
        <is>
          <t>단독다가구</t>
        </is>
      </c>
      <c r="I5853" s="3" t="inlineStr">
        <is>
          <t>다가구</t>
        </is>
      </c>
      <c r="J5853" s="3" t="inlineStr">
        <is>
          <t>조치원읍</t>
        </is>
      </c>
    </row>
    <row r="5854">
      <c r="A5854" s="3" t="n">
        <v>2025</v>
      </c>
      <c r="B5854" s="4" t="n">
        <v>57000</v>
      </c>
      <c r="C5854" s="4" t="n">
        <v>309</v>
      </c>
      <c r="D5854" s="4" t="n">
        <v>93.4725</v>
      </c>
      <c r="E5854" s="5" t="n">
        <v>609.8</v>
      </c>
      <c r="F5854" s="3" t="inlineStr">
        <is>
          <t>조치원읍</t>
        </is>
      </c>
      <c r="G5854" s="3" t="inlineStr">
        <is>
          <t>신안리</t>
        </is>
      </c>
      <c r="H5854" s="3" t="inlineStr">
        <is>
          <t>단독다가구</t>
        </is>
      </c>
      <c r="I5854" s="3" t="inlineStr">
        <is>
          <t>단독</t>
        </is>
      </c>
      <c r="J5854" s="3" t="inlineStr">
        <is>
          <t>조치원읍</t>
        </is>
      </c>
    </row>
    <row r="5855">
      <c r="A5855" s="3" t="n">
        <v>2025</v>
      </c>
      <c r="B5855" s="4" t="n">
        <v>80500</v>
      </c>
      <c r="C5855" s="4" t="n">
        <v>251.1</v>
      </c>
      <c r="D5855" s="4" t="n">
        <v>75.95774999999999</v>
      </c>
      <c r="E5855" s="5" t="n">
        <v>1059.8</v>
      </c>
      <c r="F5855" s="3" t="inlineStr">
        <is>
          <t>아름동</t>
        </is>
      </c>
      <c r="G5855" s="3" t="inlineStr"/>
      <c r="H5855" s="3" t="inlineStr">
        <is>
          <t>단독다가구</t>
        </is>
      </c>
      <c r="I5855" s="3" t="inlineStr">
        <is>
          <t>단독</t>
        </is>
      </c>
      <c r="J5855" s="3" t="inlineStr">
        <is>
          <t>아름동</t>
        </is>
      </c>
    </row>
    <row r="5856">
      <c r="A5856" s="3" t="n">
        <v>2025</v>
      </c>
      <c r="B5856" s="4" t="n">
        <v>15000</v>
      </c>
      <c r="C5856" s="4" t="n">
        <v>482</v>
      </c>
      <c r="D5856" s="4" t="n">
        <v>145.805</v>
      </c>
      <c r="E5856" s="5" t="n">
        <v>102.9</v>
      </c>
      <c r="F5856" s="3" t="inlineStr">
        <is>
          <t>연서면</t>
        </is>
      </c>
      <c r="G5856" s="3" t="inlineStr">
        <is>
          <t>신대리</t>
        </is>
      </c>
      <c r="H5856" s="3" t="inlineStr">
        <is>
          <t>단독다가구</t>
        </is>
      </c>
      <c r="I5856" s="3" t="inlineStr">
        <is>
          <t>단독</t>
        </is>
      </c>
      <c r="J5856" s="3" t="inlineStr">
        <is>
          <t>연서면</t>
        </is>
      </c>
    </row>
    <row r="5857">
      <c r="A5857" s="3" t="n">
        <v>2025</v>
      </c>
      <c r="B5857" s="4" t="n">
        <v>55000</v>
      </c>
      <c r="C5857" s="4" t="n">
        <v>159</v>
      </c>
      <c r="D5857" s="4" t="n">
        <v>48.0975</v>
      </c>
      <c r="E5857" s="5" t="n">
        <v>1143.5</v>
      </c>
      <c r="F5857" s="3" t="inlineStr">
        <is>
          <t>조치원읍</t>
        </is>
      </c>
      <c r="G5857" s="3" t="inlineStr">
        <is>
          <t>정리</t>
        </is>
      </c>
      <c r="H5857" s="3" t="inlineStr">
        <is>
          <t>단독다가구</t>
        </is>
      </c>
      <c r="I5857" s="3" t="inlineStr">
        <is>
          <t>단독</t>
        </is>
      </c>
      <c r="J5857" s="3" t="inlineStr">
        <is>
          <t>조치원읍</t>
        </is>
      </c>
    </row>
    <row r="5858">
      <c r="A5858" s="3" t="n">
        <v>2025</v>
      </c>
      <c r="B5858" s="4" t="n">
        <v>129734</v>
      </c>
      <c r="C5858" s="4" t="n">
        <v>328.6258</v>
      </c>
      <c r="D5858" s="4" t="n">
        <v>99.4093045</v>
      </c>
      <c r="E5858" s="5" t="n">
        <v>1305</v>
      </c>
      <c r="F5858" s="3" t="inlineStr">
        <is>
          <t>고운동</t>
        </is>
      </c>
      <c r="G5858" s="3" t="inlineStr"/>
      <c r="H5858" s="3" t="inlineStr">
        <is>
          <t>단독다가구</t>
        </is>
      </c>
      <c r="I5858" s="3" t="inlineStr">
        <is>
          <t>단독</t>
        </is>
      </c>
      <c r="J5858" s="3" t="inlineStr">
        <is>
          <t>고운동</t>
        </is>
      </c>
    </row>
    <row r="5859">
      <c r="A5859" s="3" t="n">
        <v>2025</v>
      </c>
      <c r="B5859" s="4" t="n">
        <v>6000</v>
      </c>
      <c r="C5859" s="4" t="n">
        <v>72</v>
      </c>
      <c r="D5859" s="4" t="n">
        <v>21.78</v>
      </c>
      <c r="E5859" s="5" t="n">
        <v>275.5</v>
      </c>
      <c r="F5859" s="3" t="inlineStr">
        <is>
          <t>부강면</t>
        </is>
      </c>
      <c r="G5859" s="3" t="inlineStr">
        <is>
          <t>부강리</t>
        </is>
      </c>
      <c r="H5859" s="3" t="inlineStr">
        <is>
          <t>단독다가구</t>
        </is>
      </c>
      <c r="I5859" s="3" t="inlineStr">
        <is>
          <t>단독</t>
        </is>
      </c>
      <c r="J5859" s="3" t="inlineStr">
        <is>
          <t>부강면</t>
        </is>
      </c>
    </row>
    <row r="5860">
      <c r="A5860" s="3" t="n">
        <v>2025</v>
      </c>
      <c r="B5860" s="4" t="n">
        <v>75000</v>
      </c>
      <c r="C5860" s="4" t="n">
        <v>898</v>
      </c>
      <c r="D5860" s="4" t="n">
        <v>271.645</v>
      </c>
      <c r="E5860" s="5" t="n">
        <v>276.1</v>
      </c>
      <c r="F5860" s="3" t="inlineStr">
        <is>
          <t>조치원읍</t>
        </is>
      </c>
      <c r="G5860" s="3" t="inlineStr">
        <is>
          <t>신흥리</t>
        </is>
      </c>
      <c r="H5860" s="3" t="inlineStr">
        <is>
          <t>단독다가구</t>
        </is>
      </c>
      <c r="I5860" s="3" t="inlineStr">
        <is>
          <t>단독</t>
        </is>
      </c>
      <c r="J5860" s="3" t="inlineStr">
        <is>
          <t>조치원읍</t>
        </is>
      </c>
    </row>
    <row r="5861">
      <c r="A5861" s="3" t="n">
        <v>2025</v>
      </c>
      <c r="B5861" s="4" t="n">
        <v>94500</v>
      </c>
      <c r="C5861" s="4" t="n">
        <v>363</v>
      </c>
      <c r="D5861" s="4" t="n">
        <v>109.8075</v>
      </c>
      <c r="E5861" s="5" t="n">
        <v>860.6</v>
      </c>
      <c r="F5861" s="3" t="inlineStr">
        <is>
          <t>연서면</t>
        </is>
      </c>
      <c r="G5861" s="3" t="inlineStr">
        <is>
          <t>봉암리</t>
        </is>
      </c>
      <c r="H5861" s="3" t="inlineStr">
        <is>
          <t>단독다가구</t>
        </is>
      </c>
      <c r="I5861" s="3" t="inlineStr">
        <is>
          <t>다가구</t>
        </is>
      </c>
      <c r="J5861" s="3" t="inlineStr">
        <is>
          <t>연서면</t>
        </is>
      </c>
    </row>
    <row r="5862">
      <c r="A5862" s="3" t="n">
        <v>2025</v>
      </c>
      <c r="B5862" s="4" t="n">
        <v>39000</v>
      </c>
      <c r="C5862" s="4" t="n">
        <v>267</v>
      </c>
      <c r="D5862" s="4" t="n">
        <v>80.7675</v>
      </c>
      <c r="E5862" s="5" t="n">
        <v>482.9</v>
      </c>
      <c r="F5862" s="3" t="inlineStr">
        <is>
          <t>조치원읍</t>
        </is>
      </c>
      <c r="G5862" s="3" t="inlineStr">
        <is>
          <t>명리</t>
        </is>
      </c>
      <c r="H5862" s="3" t="inlineStr">
        <is>
          <t>단독다가구</t>
        </is>
      </c>
      <c r="I5862" s="3" t="inlineStr">
        <is>
          <t>단독</t>
        </is>
      </c>
      <c r="J5862" s="3" t="inlineStr">
        <is>
          <t>조치원읍</t>
        </is>
      </c>
    </row>
    <row r="5863">
      <c r="A5863" s="3" t="n">
        <v>2025</v>
      </c>
      <c r="B5863" s="4" t="n">
        <v>33000</v>
      </c>
      <c r="C5863" s="4" t="n">
        <v>221</v>
      </c>
      <c r="D5863" s="4" t="n">
        <v>66.85249999999999</v>
      </c>
      <c r="E5863" s="5" t="n">
        <v>493.6</v>
      </c>
      <c r="F5863" s="3" t="inlineStr">
        <is>
          <t>조치원읍</t>
        </is>
      </c>
      <c r="G5863" s="3" t="inlineStr">
        <is>
          <t>명리</t>
        </is>
      </c>
      <c r="H5863" s="3" t="inlineStr">
        <is>
          <t>단독다가구</t>
        </is>
      </c>
      <c r="I5863" s="3" t="inlineStr">
        <is>
          <t>단독</t>
        </is>
      </c>
      <c r="J5863" s="3" t="inlineStr">
        <is>
          <t>조치원읍</t>
        </is>
      </c>
    </row>
    <row r="5864">
      <c r="A5864" s="3" t="n">
        <v>2025</v>
      </c>
      <c r="B5864" s="4" t="n">
        <v>26000</v>
      </c>
      <c r="C5864" s="4" t="n">
        <v>412</v>
      </c>
      <c r="D5864" s="4" t="n">
        <v>124.63</v>
      </c>
      <c r="E5864" s="5" t="n">
        <v>208.6</v>
      </c>
      <c r="F5864" s="3" t="inlineStr">
        <is>
          <t>연동면</t>
        </is>
      </c>
      <c r="G5864" s="3" t="inlineStr">
        <is>
          <t>문주리</t>
        </is>
      </c>
      <c r="H5864" s="3" t="inlineStr">
        <is>
          <t>단독다가구</t>
        </is>
      </c>
      <c r="I5864" s="3" t="inlineStr">
        <is>
          <t>단독</t>
        </is>
      </c>
      <c r="J5864" s="3" t="inlineStr">
        <is>
          <t>연동면</t>
        </is>
      </c>
    </row>
    <row r="5865">
      <c r="A5865" s="3" t="n">
        <v>2025</v>
      </c>
      <c r="B5865" s="4" t="n">
        <v>10400</v>
      </c>
      <c r="C5865" s="4" t="n">
        <v>142</v>
      </c>
      <c r="D5865" s="4" t="n">
        <v>42.955</v>
      </c>
      <c r="E5865" s="5" t="n">
        <v>242.1</v>
      </c>
      <c r="F5865" s="3" t="inlineStr">
        <is>
          <t>조치원읍</t>
        </is>
      </c>
      <c r="G5865" s="3" t="inlineStr">
        <is>
          <t>신흥리</t>
        </is>
      </c>
      <c r="H5865" s="3" t="inlineStr">
        <is>
          <t>단독다가구</t>
        </is>
      </c>
      <c r="I5865" s="3" t="inlineStr">
        <is>
          <t>단독</t>
        </is>
      </c>
      <c r="J5865" s="3" t="inlineStr">
        <is>
          <t>조치원읍</t>
        </is>
      </c>
    </row>
    <row r="5866">
      <c r="A5866" s="3" t="n">
        <v>2025</v>
      </c>
      <c r="B5866" s="4" t="n">
        <v>100000</v>
      </c>
      <c r="C5866" s="4" t="n">
        <v>389.3</v>
      </c>
      <c r="D5866" s="4" t="n">
        <v>117.76325</v>
      </c>
      <c r="E5866" s="5" t="n">
        <v>849.2</v>
      </c>
      <c r="F5866" s="3" t="inlineStr">
        <is>
          <t>고운동</t>
        </is>
      </c>
      <c r="G5866" s="3" t="inlineStr"/>
      <c r="H5866" s="3" t="inlineStr">
        <is>
          <t>단독다가구</t>
        </is>
      </c>
      <c r="I5866" s="3" t="inlineStr">
        <is>
          <t>단독</t>
        </is>
      </c>
      <c r="J5866" s="3" t="inlineStr">
        <is>
          <t>고운동</t>
        </is>
      </c>
    </row>
    <row r="5867">
      <c r="A5867" s="3" t="n">
        <v>2022</v>
      </c>
      <c r="B5867" s="4" t="n">
        <v>82500</v>
      </c>
      <c r="C5867" s="4" t="n">
        <v>265</v>
      </c>
      <c r="D5867" s="4" t="n">
        <v>80.16249999999999</v>
      </c>
      <c r="E5867" s="5" t="n">
        <v>1029.2</v>
      </c>
      <c r="F5867" s="3" t="inlineStr">
        <is>
          <t>조치원읍</t>
        </is>
      </c>
      <c r="G5867" s="3" t="inlineStr">
        <is>
          <t>침산리</t>
        </is>
      </c>
      <c r="H5867" s="3" t="inlineStr">
        <is>
          <t>단독다가구</t>
        </is>
      </c>
      <c r="I5867" s="3" t="inlineStr">
        <is>
          <t>다가구</t>
        </is>
      </c>
      <c r="J5867" s="3" t="inlineStr">
        <is>
          <t>조치원읍</t>
        </is>
      </c>
    </row>
    <row r="5868">
      <c r="A5868" s="3" t="n">
        <v>2022</v>
      </c>
      <c r="B5868" s="4" t="n">
        <v>16000</v>
      </c>
      <c r="C5868" s="4" t="n">
        <v>370</v>
      </c>
      <c r="D5868" s="4" t="n">
        <v>111.925</v>
      </c>
      <c r="E5868" s="5" t="n">
        <v>143</v>
      </c>
      <c r="F5868" s="3" t="inlineStr">
        <is>
          <t>부강면</t>
        </is>
      </c>
      <c r="G5868" s="3" t="inlineStr">
        <is>
          <t>행산리</t>
        </is>
      </c>
      <c r="H5868" s="3" t="inlineStr">
        <is>
          <t>단독다가구</t>
        </is>
      </c>
      <c r="I5868" s="3" t="inlineStr">
        <is>
          <t>단독</t>
        </is>
      </c>
      <c r="J5868" s="3" t="inlineStr">
        <is>
          <t>부강면</t>
        </is>
      </c>
    </row>
    <row r="5869">
      <c r="A5869" s="3" t="n">
        <v>2022</v>
      </c>
      <c r="B5869" s="4" t="n">
        <v>16000</v>
      </c>
      <c r="C5869" s="4" t="n">
        <v>370</v>
      </c>
      <c r="D5869" s="4" t="n">
        <v>111.925</v>
      </c>
      <c r="E5869" s="5" t="n">
        <v>143</v>
      </c>
      <c r="F5869" s="3" t="inlineStr">
        <is>
          <t>부강면</t>
        </is>
      </c>
      <c r="G5869" s="3" t="inlineStr">
        <is>
          <t>행산리</t>
        </is>
      </c>
      <c r="H5869" s="3" t="inlineStr">
        <is>
          <t>단독다가구</t>
        </is>
      </c>
      <c r="I5869" s="3" t="inlineStr">
        <is>
          <t>단독</t>
        </is>
      </c>
      <c r="J5869" s="3" t="inlineStr">
        <is>
          <t>부강면</t>
        </is>
      </c>
    </row>
    <row r="5870">
      <c r="A5870" s="3" t="n">
        <v>2022</v>
      </c>
      <c r="B5870" s="4" t="n">
        <v>27000</v>
      </c>
      <c r="C5870" s="4" t="n">
        <v>194.2</v>
      </c>
      <c r="D5870" s="4" t="n">
        <v>58.74549999999999</v>
      </c>
      <c r="E5870" s="5" t="n">
        <v>459.6</v>
      </c>
      <c r="F5870" s="3" t="inlineStr">
        <is>
          <t>조치원읍</t>
        </is>
      </c>
      <c r="G5870" s="3" t="inlineStr">
        <is>
          <t>교리</t>
        </is>
      </c>
      <c r="H5870" s="3" t="inlineStr">
        <is>
          <t>단독다가구</t>
        </is>
      </c>
      <c r="I5870" s="3" t="inlineStr">
        <is>
          <t>단독</t>
        </is>
      </c>
      <c r="J5870" s="3" t="inlineStr">
        <is>
          <t>조치원읍</t>
        </is>
      </c>
    </row>
    <row r="5871">
      <c r="A5871" s="3" t="n">
        <v>2022</v>
      </c>
      <c r="B5871" s="4" t="n">
        <v>31500</v>
      </c>
      <c r="C5871" s="4" t="n">
        <v>188</v>
      </c>
      <c r="D5871" s="4" t="n">
        <v>56.87</v>
      </c>
      <c r="E5871" s="5" t="n">
        <v>553.9</v>
      </c>
      <c r="F5871" s="3" t="inlineStr">
        <is>
          <t>조치원읍</t>
        </is>
      </c>
      <c r="G5871" s="3" t="inlineStr">
        <is>
          <t>명리</t>
        </is>
      </c>
      <c r="H5871" s="3" t="inlineStr">
        <is>
          <t>단독다가구</t>
        </is>
      </c>
      <c r="I5871" s="3" t="inlineStr">
        <is>
          <t>단독</t>
        </is>
      </c>
      <c r="J5871" s="3" t="inlineStr">
        <is>
          <t>조치원읍</t>
        </is>
      </c>
    </row>
    <row r="5872">
      <c r="A5872" s="3" t="n">
        <v>2022</v>
      </c>
      <c r="B5872" s="4" t="n">
        <v>73800</v>
      </c>
      <c r="C5872" s="4" t="n">
        <v>436</v>
      </c>
      <c r="D5872" s="4" t="n">
        <v>131.89</v>
      </c>
      <c r="E5872" s="5" t="n">
        <v>559.6</v>
      </c>
      <c r="F5872" s="3" t="inlineStr">
        <is>
          <t>연서면</t>
        </is>
      </c>
      <c r="G5872" s="3" t="inlineStr">
        <is>
          <t>봉암리</t>
        </is>
      </c>
      <c r="H5872" s="3" t="inlineStr">
        <is>
          <t>단독다가구</t>
        </is>
      </c>
      <c r="I5872" s="3" t="inlineStr">
        <is>
          <t>다가구</t>
        </is>
      </c>
      <c r="J5872" s="3" t="inlineStr">
        <is>
          <t>연서면</t>
        </is>
      </c>
    </row>
    <row r="5873">
      <c r="A5873" s="3" t="n">
        <v>2022</v>
      </c>
      <c r="B5873" s="4" t="n">
        <v>12300</v>
      </c>
      <c r="C5873" s="4" t="n">
        <v>298</v>
      </c>
      <c r="D5873" s="4" t="n">
        <v>90.145</v>
      </c>
      <c r="E5873" s="5" t="n">
        <v>136.4</v>
      </c>
      <c r="F5873" s="3" t="inlineStr">
        <is>
          <t>부강면</t>
        </is>
      </c>
      <c r="G5873" s="3" t="inlineStr">
        <is>
          <t>문곡리</t>
        </is>
      </c>
      <c r="H5873" s="3" t="inlineStr">
        <is>
          <t>단독다가구</t>
        </is>
      </c>
      <c r="I5873" s="3" t="inlineStr">
        <is>
          <t>단독</t>
        </is>
      </c>
      <c r="J5873" s="3" t="inlineStr">
        <is>
          <t>부강면</t>
        </is>
      </c>
    </row>
    <row r="5874">
      <c r="A5874" s="3" t="n">
        <v>2022</v>
      </c>
      <c r="B5874" s="4" t="n">
        <v>5000</v>
      </c>
      <c r="C5874" s="4" t="n">
        <v>99</v>
      </c>
      <c r="D5874" s="4" t="n">
        <v>29.9475</v>
      </c>
      <c r="E5874" s="5" t="n">
        <v>167</v>
      </c>
      <c r="F5874" s="3" t="inlineStr">
        <is>
          <t>조치원읍</t>
        </is>
      </c>
      <c r="G5874" s="3" t="inlineStr">
        <is>
          <t>평리</t>
        </is>
      </c>
      <c r="H5874" s="3" t="inlineStr">
        <is>
          <t>단독다가구</t>
        </is>
      </c>
      <c r="I5874" s="3" t="inlineStr">
        <is>
          <t>단독</t>
        </is>
      </c>
      <c r="J5874" s="3" t="inlineStr">
        <is>
          <t>조치원읍</t>
        </is>
      </c>
    </row>
    <row r="5875">
      <c r="A5875" s="3" t="n">
        <v>2022</v>
      </c>
      <c r="B5875" s="4" t="n">
        <v>22000</v>
      </c>
      <c r="C5875" s="4" t="n">
        <v>166</v>
      </c>
      <c r="D5875" s="4" t="n">
        <v>50.215</v>
      </c>
      <c r="E5875" s="5" t="n">
        <v>438.1</v>
      </c>
      <c r="F5875" s="3" t="inlineStr">
        <is>
          <t>조치원읍</t>
        </is>
      </c>
      <c r="G5875" s="3" t="inlineStr">
        <is>
          <t>교리</t>
        </is>
      </c>
      <c r="H5875" s="3" t="inlineStr">
        <is>
          <t>단독다가구</t>
        </is>
      </c>
      <c r="I5875" s="3" t="inlineStr">
        <is>
          <t>단독</t>
        </is>
      </c>
      <c r="J5875" s="3" t="inlineStr">
        <is>
          <t>조치원읍</t>
        </is>
      </c>
    </row>
    <row r="5876">
      <c r="A5876" s="3" t="n">
        <v>2023</v>
      </c>
      <c r="B5876" s="4" t="n">
        <v>171000</v>
      </c>
      <c r="C5876" s="4" t="n">
        <v>335.9</v>
      </c>
      <c r="D5876" s="4" t="n">
        <v>101.60975</v>
      </c>
      <c r="E5876" s="5" t="n">
        <v>1682.9</v>
      </c>
      <c r="F5876" s="3" t="inlineStr">
        <is>
          <t>도담동</t>
        </is>
      </c>
      <c r="G5876" s="3" t="inlineStr"/>
      <c r="H5876" s="3" t="inlineStr">
        <is>
          <t>단독다가구</t>
        </is>
      </c>
      <c r="I5876" s="3" t="inlineStr">
        <is>
          <t>단독</t>
        </is>
      </c>
      <c r="J5876" s="3" t="inlineStr">
        <is>
          <t>도담동</t>
        </is>
      </c>
    </row>
    <row r="5877">
      <c r="A5877" s="3" t="n">
        <v>2023</v>
      </c>
      <c r="B5877" s="4" t="n">
        <v>10000</v>
      </c>
      <c r="C5877" s="4" t="n">
        <v>172</v>
      </c>
      <c r="D5877" s="4" t="n">
        <v>52.03</v>
      </c>
      <c r="E5877" s="5" t="n">
        <v>192.2</v>
      </c>
      <c r="F5877" s="3" t="inlineStr">
        <is>
          <t>부강면</t>
        </is>
      </c>
      <c r="G5877" s="3" t="inlineStr">
        <is>
          <t>갈산리</t>
        </is>
      </c>
      <c r="H5877" s="3" t="inlineStr">
        <is>
          <t>단독다가구</t>
        </is>
      </c>
      <c r="I5877" s="3" t="inlineStr">
        <is>
          <t>단독</t>
        </is>
      </c>
      <c r="J5877" s="3" t="inlineStr">
        <is>
          <t>부강면</t>
        </is>
      </c>
    </row>
    <row r="5878">
      <c r="A5878" s="3" t="n">
        <v>2023</v>
      </c>
      <c r="B5878" s="4" t="n">
        <v>33950</v>
      </c>
      <c r="C5878" s="4" t="n">
        <v>539</v>
      </c>
      <c r="D5878" s="4" t="n">
        <v>163.0475</v>
      </c>
      <c r="E5878" s="5" t="n">
        <v>208.2</v>
      </c>
      <c r="F5878" s="3" t="inlineStr">
        <is>
          <t>연서면</t>
        </is>
      </c>
      <c r="G5878" s="3" t="inlineStr">
        <is>
          <t>쌍류리</t>
        </is>
      </c>
      <c r="H5878" s="3" t="inlineStr">
        <is>
          <t>단독다가구</t>
        </is>
      </c>
      <c r="I5878" s="3" t="inlineStr">
        <is>
          <t>단독</t>
        </is>
      </c>
      <c r="J5878" s="3" t="inlineStr">
        <is>
          <t>연서면</t>
        </is>
      </c>
    </row>
    <row r="5879">
      <c r="A5879" s="3" t="n">
        <v>2023</v>
      </c>
      <c r="B5879" s="4" t="n">
        <v>88000</v>
      </c>
      <c r="C5879" s="4" t="n">
        <v>366</v>
      </c>
      <c r="D5879" s="4" t="n">
        <v>110.715</v>
      </c>
      <c r="E5879" s="5" t="n">
        <v>794.8</v>
      </c>
      <c r="F5879" s="3" t="inlineStr">
        <is>
          <t>조치원읍</t>
        </is>
      </c>
      <c r="G5879" s="3" t="inlineStr">
        <is>
          <t>신안리</t>
        </is>
      </c>
      <c r="H5879" s="3" t="inlineStr">
        <is>
          <t>단독다가구</t>
        </is>
      </c>
      <c r="I5879" s="3" t="inlineStr">
        <is>
          <t>다가구</t>
        </is>
      </c>
      <c r="J5879" s="3" t="inlineStr">
        <is>
          <t>조치원읍</t>
        </is>
      </c>
    </row>
    <row r="5880">
      <c r="A5880" s="3" t="n">
        <v>2022</v>
      </c>
      <c r="B5880" s="4" t="n">
        <v>23700</v>
      </c>
      <c r="C5880" s="4" t="n">
        <v>691</v>
      </c>
      <c r="D5880" s="4" t="n">
        <v>209.0275</v>
      </c>
      <c r="E5880" s="5" t="n">
        <v>113.4</v>
      </c>
      <c r="F5880" s="3" t="inlineStr">
        <is>
          <t>연동면</t>
        </is>
      </c>
      <c r="G5880" s="3" t="inlineStr">
        <is>
          <t>예양리</t>
        </is>
      </c>
      <c r="H5880" s="3" t="inlineStr">
        <is>
          <t>단독다가구</t>
        </is>
      </c>
      <c r="I5880" s="3" t="inlineStr">
        <is>
          <t>단독</t>
        </is>
      </c>
      <c r="J5880" s="3" t="inlineStr">
        <is>
          <t>연동면</t>
        </is>
      </c>
    </row>
    <row r="5881">
      <c r="A5881" s="3" t="n">
        <v>2024</v>
      </c>
      <c r="B5881" s="4" t="n">
        <v>85470</v>
      </c>
      <c r="C5881" s="4" t="n">
        <v>309.2</v>
      </c>
      <c r="D5881" s="4" t="n">
        <v>93.53299999999999</v>
      </c>
      <c r="E5881" s="5" t="n">
        <v>913.8</v>
      </c>
      <c r="F5881" s="3" t="inlineStr">
        <is>
          <t>고운동</t>
        </is>
      </c>
      <c r="G5881" s="3" t="inlineStr"/>
      <c r="H5881" s="3" t="inlineStr">
        <is>
          <t>단독다가구</t>
        </is>
      </c>
      <c r="I5881" s="3" t="inlineStr">
        <is>
          <t>단독</t>
        </is>
      </c>
      <c r="J5881" s="3" t="inlineStr">
        <is>
          <t>고운동</t>
        </is>
      </c>
    </row>
    <row r="5882">
      <c r="A5882" s="3" t="n">
        <v>2022</v>
      </c>
      <c r="B5882" s="4" t="n">
        <v>40000</v>
      </c>
      <c r="C5882" s="4" t="n">
        <v>321</v>
      </c>
      <c r="D5882" s="4" t="n">
        <v>97.10249999999999</v>
      </c>
      <c r="E5882" s="5" t="n">
        <v>411.9</v>
      </c>
      <c r="F5882" s="3" t="inlineStr">
        <is>
          <t>조치원읍</t>
        </is>
      </c>
      <c r="G5882" s="3" t="inlineStr">
        <is>
          <t>서창리</t>
        </is>
      </c>
      <c r="H5882" s="3" t="inlineStr">
        <is>
          <t>단독다가구</t>
        </is>
      </c>
      <c r="I5882" s="3" t="inlineStr">
        <is>
          <t>단독</t>
        </is>
      </c>
      <c r="J5882" s="3" t="inlineStr">
        <is>
          <t>조치원읍</t>
        </is>
      </c>
    </row>
    <row r="5883">
      <c r="A5883" s="3" t="n">
        <v>2022</v>
      </c>
      <c r="B5883" s="4" t="n">
        <v>13500</v>
      </c>
      <c r="C5883" s="4" t="n">
        <v>138</v>
      </c>
      <c r="D5883" s="4" t="n">
        <v>41.745</v>
      </c>
      <c r="E5883" s="5" t="n">
        <v>323.4</v>
      </c>
      <c r="F5883" s="3" t="inlineStr">
        <is>
          <t>조치원읍</t>
        </is>
      </c>
      <c r="G5883" s="3" t="inlineStr">
        <is>
          <t>죽림리</t>
        </is>
      </c>
      <c r="H5883" s="3" t="inlineStr">
        <is>
          <t>단독다가구</t>
        </is>
      </c>
      <c r="I5883" s="3" t="inlineStr">
        <is>
          <t>단독</t>
        </is>
      </c>
      <c r="J5883" s="3" t="inlineStr">
        <is>
          <t>조치원읍</t>
        </is>
      </c>
    </row>
    <row r="5884">
      <c r="A5884" s="3" t="n">
        <v>2022</v>
      </c>
      <c r="B5884" s="4" t="n">
        <v>12700</v>
      </c>
      <c r="C5884" s="4" t="n">
        <v>123</v>
      </c>
      <c r="D5884" s="4" t="n">
        <v>37.2075</v>
      </c>
      <c r="E5884" s="5" t="n">
        <v>341.3</v>
      </c>
      <c r="F5884" s="3" t="inlineStr">
        <is>
          <t>조치원읍</t>
        </is>
      </c>
      <c r="G5884" s="3" t="inlineStr">
        <is>
          <t>명리</t>
        </is>
      </c>
      <c r="H5884" s="3" t="inlineStr">
        <is>
          <t>단독다가구</t>
        </is>
      </c>
      <c r="I5884" s="3" t="inlineStr">
        <is>
          <t>단독</t>
        </is>
      </c>
      <c r="J5884" s="3" t="inlineStr">
        <is>
          <t>조치원읍</t>
        </is>
      </c>
    </row>
    <row r="5885">
      <c r="A5885" s="3" t="n">
        <v>2022</v>
      </c>
      <c r="B5885" s="4" t="n">
        <v>11000</v>
      </c>
      <c r="C5885" s="4" t="n">
        <v>160</v>
      </c>
      <c r="D5885" s="4" t="n">
        <v>48.4</v>
      </c>
      <c r="E5885" s="5" t="n">
        <v>227.3</v>
      </c>
      <c r="F5885" s="3" t="inlineStr">
        <is>
          <t>조치원읍</t>
        </is>
      </c>
      <c r="G5885" s="3" t="inlineStr">
        <is>
          <t>신흥리</t>
        </is>
      </c>
      <c r="H5885" s="3" t="inlineStr">
        <is>
          <t>단독다가구</t>
        </is>
      </c>
      <c r="I5885" s="3" t="inlineStr">
        <is>
          <t>단독</t>
        </is>
      </c>
      <c r="J5885" s="3" t="inlineStr">
        <is>
          <t>조치원읍</t>
        </is>
      </c>
    </row>
    <row r="5886">
      <c r="A5886" s="3" t="n">
        <v>2022</v>
      </c>
      <c r="B5886" s="4" t="n">
        <v>24500</v>
      </c>
      <c r="C5886" s="4" t="n">
        <v>176</v>
      </c>
      <c r="D5886" s="4" t="n">
        <v>53.23999999999999</v>
      </c>
      <c r="E5886" s="5" t="n">
        <v>460.2</v>
      </c>
      <c r="F5886" s="3" t="inlineStr">
        <is>
          <t>조치원읍</t>
        </is>
      </c>
      <c r="G5886" s="3" t="inlineStr">
        <is>
          <t>침산리</t>
        </is>
      </c>
      <c r="H5886" s="3" t="inlineStr">
        <is>
          <t>단독다가구</t>
        </is>
      </c>
      <c r="I5886" s="3" t="inlineStr">
        <is>
          <t>단독</t>
        </is>
      </c>
      <c r="J5886" s="3" t="inlineStr">
        <is>
          <t>조치원읍</t>
        </is>
      </c>
    </row>
    <row r="5887">
      <c r="A5887" s="3" t="n">
        <v>2023</v>
      </c>
      <c r="B5887" s="4" t="n">
        <v>39000</v>
      </c>
      <c r="C5887" s="4" t="n">
        <v>469</v>
      </c>
      <c r="D5887" s="4" t="n">
        <v>141.8725</v>
      </c>
      <c r="E5887" s="5" t="n">
        <v>274.9</v>
      </c>
      <c r="F5887" s="3" t="inlineStr">
        <is>
          <t>남이면</t>
        </is>
      </c>
      <c r="G5887" s="3" t="inlineStr">
        <is>
          <t>가좌리</t>
        </is>
      </c>
      <c r="H5887" s="3" t="inlineStr">
        <is>
          <t>단독다가구</t>
        </is>
      </c>
      <c r="I5887" s="3" t="inlineStr">
        <is>
          <t>단독</t>
        </is>
      </c>
      <c r="J5887" s="3" t="inlineStr">
        <is>
          <t>남이면</t>
        </is>
      </c>
    </row>
    <row r="5888">
      <c r="A5888" s="3" t="n">
        <v>2023</v>
      </c>
      <c r="B5888" s="4" t="n">
        <v>26200</v>
      </c>
      <c r="C5888" s="4" t="n">
        <v>440</v>
      </c>
      <c r="D5888" s="4" t="n">
        <v>133.1</v>
      </c>
      <c r="E5888" s="5" t="n">
        <v>196.8</v>
      </c>
      <c r="F5888" s="3" t="inlineStr">
        <is>
          <t>남이면</t>
        </is>
      </c>
      <c r="G5888" s="3" t="inlineStr">
        <is>
          <t>문동리</t>
        </is>
      </c>
      <c r="H5888" s="3" t="inlineStr">
        <is>
          <t>단독다가구</t>
        </is>
      </c>
      <c r="I5888" s="3" t="inlineStr">
        <is>
          <t>단독</t>
        </is>
      </c>
      <c r="J5888" s="3" t="inlineStr">
        <is>
          <t>남이면</t>
        </is>
      </c>
    </row>
    <row r="5889">
      <c r="A5889" s="3" t="n">
        <v>2023</v>
      </c>
      <c r="B5889" s="4" t="n">
        <v>70000</v>
      </c>
      <c r="C5889" s="4" t="n">
        <v>600</v>
      </c>
      <c r="D5889" s="4" t="n">
        <v>181.5</v>
      </c>
      <c r="E5889" s="5" t="n">
        <v>385.7</v>
      </c>
      <c r="F5889" s="3" t="inlineStr">
        <is>
          <t>남이면</t>
        </is>
      </c>
      <c r="G5889" s="3" t="inlineStr">
        <is>
          <t>석판리</t>
        </is>
      </c>
      <c r="H5889" s="3" t="inlineStr">
        <is>
          <t>단독다가구</t>
        </is>
      </c>
      <c r="I5889" s="3" t="inlineStr">
        <is>
          <t>단독</t>
        </is>
      </c>
      <c r="J5889" s="3" t="inlineStr">
        <is>
          <t>남이면</t>
        </is>
      </c>
    </row>
    <row r="5890">
      <c r="A5890" s="3" t="n">
        <v>2023</v>
      </c>
      <c r="B5890" s="4" t="n">
        <v>60000</v>
      </c>
      <c r="C5890" s="4" t="n">
        <v>1300</v>
      </c>
      <c r="D5890" s="4" t="n">
        <v>393.25</v>
      </c>
      <c r="E5890" s="5" t="n">
        <v>152.6</v>
      </c>
      <c r="F5890" s="3" t="inlineStr">
        <is>
          <t>남이면</t>
        </is>
      </c>
      <c r="G5890" s="3" t="inlineStr">
        <is>
          <t>척산리</t>
        </is>
      </c>
      <c r="H5890" s="3" t="inlineStr">
        <is>
          <t>단독다가구</t>
        </is>
      </c>
      <c r="I5890" s="3" t="inlineStr">
        <is>
          <t>단독</t>
        </is>
      </c>
      <c r="J5890" s="3" t="inlineStr">
        <is>
          <t>남이면</t>
        </is>
      </c>
    </row>
    <row r="5891">
      <c r="A5891" s="3" t="n">
        <v>2022</v>
      </c>
      <c r="B5891" s="4" t="n">
        <v>14000</v>
      </c>
      <c r="C5891" s="4" t="n">
        <v>175</v>
      </c>
      <c r="D5891" s="4" t="n">
        <v>52.9375</v>
      </c>
      <c r="E5891" s="5" t="n">
        <v>264.5</v>
      </c>
      <c r="F5891" s="3" t="inlineStr">
        <is>
          <t>연서면</t>
        </is>
      </c>
      <c r="G5891" s="3" t="inlineStr">
        <is>
          <t>봉암리</t>
        </is>
      </c>
      <c r="H5891" s="3" t="inlineStr">
        <is>
          <t>단독다가구</t>
        </is>
      </c>
      <c r="I5891" s="3" t="inlineStr">
        <is>
          <t>단독</t>
        </is>
      </c>
      <c r="J5891" s="3" t="inlineStr">
        <is>
          <t>연서면</t>
        </is>
      </c>
    </row>
    <row r="5892">
      <c r="A5892" s="3" t="n">
        <v>2022</v>
      </c>
      <c r="B5892" s="4" t="n">
        <v>9000</v>
      </c>
      <c r="C5892" s="4" t="n">
        <v>145</v>
      </c>
      <c r="D5892" s="4" t="n">
        <v>43.8625</v>
      </c>
      <c r="E5892" s="5" t="n">
        <v>205.2</v>
      </c>
      <c r="F5892" s="3" t="inlineStr">
        <is>
          <t>부강면</t>
        </is>
      </c>
      <c r="G5892" s="3" t="inlineStr">
        <is>
          <t>부강리</t>
        </is>
      </c>
      <c r="H5892" s="3" t="inlineStr">
        <is>
          <t>단독다가구</t>
        </is>
      </c>
      <c r="I5892" s="3" t="inlineStr">
        <is>
          <t>단독</t>
        </is>
      </c>
      <c r="J5892" s="3" t="inlineStr">
        <is>
          <t>부강면</t>
        </is>
      </c>
    </row>
    <row r="5893">
      <c r="A5893" s="3" t="n">
        <v>2022</v>
      </c>
      <c r="B5893" s="4" t="n">
        <v>37000</v>
      </c>
      <c r="C5893" s="4" t="n">
        <v>305</v>
      </c>
      <c r="D5893" s="4" t="n">
        <v>92.2625</v>
      </c>
      <c r="E5893" s="5" t="n">
        <v>401</v>
      </c>
      <c r="F5893" s="3" t="inlineStr">
        <is>
          <t>조치원읍</t>
        </is>
      </c>
      <c r="G5893" s="3" t="inlineStr">
        <is>
          <t>신안리</t>
        </is>
      </c>
      <c r="H5893" s="3" t="inlineStr">
        <is>
          <t>단독다가구</t>
        </is>
      </c>
      <c r="I5893" s="3" t="inlineStr">
        <is>
          <t>다가구</t>
        </is>
      </c>
      <c r="J5893" s="3" t="inlineStr">
        <is>
          <t>조치원읍</t>
        </is>
      </c>
    </row>
    <row r="5894">
      <c r="A5894" s="3" t="n">
        <v>2022</v>
      </c>
      <c r="B5894" s="4" t="n">
        <v>15000</v>
      </c>
      <c r="C5894" s="4" t="n">
        <v>106</v>
      </c>
      <c r="D5894" s="4" t="n">
        <v>32.065</v>
      </c>
      <c r="E5894" s="5" t="n">
        <v>467.8</v>
      </c>
      <c r="F5894" s="3" t="inlineStr">
        <is>
          <t>조치원읍</t>
        </is>
      </c>
      <c r="G5894" s="3" t="inlineStr">
        <is>
          <t>평리</t>
        </is>
      </c>
      <c r="H5894" s="3" t="inlineStr">
        <is>
          <t>단독다가구</t>
        </is>
      </c>
      <c r="I5894" s="3" t="inlineStr">
        <is>
          <t>단독</t>
        </is>
      </c>
      <c r="J5894" s="3" t="inlineStr">
        <is>
          <t>조치원읍</t>
        </is>
      </c>
    </row>
    <row r="5895">
      <c r="A5895" s="3" t="n">
        <v>2022</v>
      </c>
      <c r="B5895" s="4" t="n">
        <v>125000</v>
      </c>
      <c r="C5895" s="4" t="n">
        <v>305</v>
      </c>
      <c r="D5895" s="4" t="n">
        <v>92.2625</v>
      </c>
      <c r="E5895" s="5" t="n">
        <v>1354.8</v>
      </c>
      <c r="F5895" s="3" t="inlineStr">
        <is>
          <t>도담동</t>
        </is>
      </c>
      <c r="G5895" s="3" t="inlineStr"/>
      <c r="H5895" s="3" t="inlineStr">
        <is>
          <t>단독다가구</t>
        </is>
      </c>
      <c r="I5895" s="3" t="inlineStr">
        <is>
          <t>단독</t>
        </is>
      </c>
      <c r="J5895" s="3" t="inlineStr">
        <is>
          <t>도담동</t>
        </is>
      </c>
    </row>
    <row r="5896">
      <c r="A5896" s="3" t="n">
        <v>2022</v>
      </c>
      <c r="B5896" s="4" t="n">
        <v>43000</v>
      </c>
      <c r="C5896" s="4" t="n">
        <v>294</v>
      </c>
      <c r="D5896" s="4" t="n">
        <v>88.935</v>
      </c>
      <c r="E5896" s="5" t="n">
        <v>483.5</v>
      </c>
      <c r="F5896" s="3" t="inlineStr">
        <is>
          <t>조치원읍</t>
        </is>
      </c>
      <c r="G5896" s="3" t="inlineStr">
        <is>
          <t>신안리</t>
        </is>
      </c>
      <c r="H5896" s="3" t="inlineStr">
        <is>
          <t>단독다가구</t>
        </is>
      </c>
      <c r="I5896" s="3" t="inlineStr">
        <is>
          <t>다가구</t>
        </is>
      </c>
      <c r="J5896" s="3" t="inlineStr">
        <is>
          <t>조치원읍</t>
        </is>
      </c>
    </row>
    <row r="5897">
      <c r="A5897" s="3" t="n">
        <v>2022</v>
      </c>
      <c r="B5897" s="4" t="n">
        <v>82000</v>
      </c>
      <c r="C5897" s="4" t="n">
        <v>638</v>
      </c>
      <c r="D5897" s="4" t="n">
        <v>192.995</v>
      </c>
      <c r="E5897" s="5" t="n">
        <v>424.9</v>
      </c>
      <c r="F5897" s="3" t="inlineStr">
        <is>
          <t>조치원읍</t>
        </is>
      </c>
      <c r="G5897" s="3" t="inlineStr">
        <is>
          <t>정리</t>
        </is>
      </c>
      <c r="H5897" s="3" t="inlineStr">
        <is>
          <t>단독다가구</t>
        </is>
      </c>
      <c r="I5897" s="3" t="inlineStr">
        <is>
          <t>단독</t>
        </is>
      </c>
      <c r="J5897" s="3" t="inlineStr">
        <is>
          <t>조치원읍</t>
        </is>
      </c>
    </row>
    <row r="5898">
      <c r="A5898" s="3" t="n">
        <v>2022</v>
      </c>
      <c r="B5898" s="4" t="n">
        <v>55500</v>
      </c>
      <c r="C5898" s="4" t="n">
        <v>270.8</v>
      </c>
      <c r="D5898" s="4" t="n">
        <v>81.917</v>
      </c>
      <c r="E5898" s="5" t="n">
        <v>677.5</v>
      </c>
      <c r="F5898" s="3" t="inlineStr">
        <is>
          <t>조치원읍</t>
        </is>
      </c>
      <c r="G5898" s="3" t="inlineStr">
        <is>
          <t>남리</t>
        </is>
      </c>
      <c r="H5898" s="3" t="inlineStr">
        <is>
          <t>단독다가구</t>
        </is>
      </c>
      <c r="I5898" s="3" t="inlineStr">
        <is>
          <t>다가구</t>
        </is>
      </c>
      <c r="J5898" s="3" t="inlineStr">
        <is>
          <t>조치원읍</t>
        </is>
      </c>
    </row>
    <row r="5899">
      <c r="A5899" s="3" t="n">
        <v>2022</v>
      </c>
      <c r="B5899" s="4" t="n">
        <v>101000</v>
      </c>
      <c r="C5899" s="4" t="n">
        <v>337</v>
      </c>
      <c r="D5899" s="4" t="n">
        <v>101.9425</v>
      </c>
      <c r="E5899" s="5" t="n">
        <v>990.8</v>
      </c>
      <c r="F5899" s="3" t="inlineStr">
        <is>
          <t>조치원읍</t>
        </is>
      </c>
      <c r="G5899" s="3" t="inlineStr">
        <is>
          <t>신안리</t>
        </is>
      </c>
      <c r="H5899" s="3" t="inlineStr">
        <is>
          <t>단독다가구</t>
        </is>
      </c>
      <c r="I5899" s="3" t="inlineStr">
        <is>
          <t>다가구</t>
        </is>
      </c>
      <c r="J5899" s="3" t="inlineStr">
        <is>
          <t>조치원읍</t>
        </is>
      </c>
    </row>
    <row r="5900">
      <c r="A5900" s="3" t="n">
        <v>2022</v>
      </c>
      <c r="B5900" s="4" t="n">
        <v>95000</v>
      </c>
      <c r="C5900" s="4" t="n">
        <v>379</v>
      </c>
      <c r="D5900" s="4" t="n">
        <v>114.6475</v>
      </c>
      <c r="E5900" s="5" t="n">
        <v>828.6</v>
      </c>
      <c r="F5900" s="3" t="inlineStr">
        <is>
          <t>조치원읍</t>
        </is>
      </c>
      <c r="G5900" s="3" t="inlineStr">
        <is>
          <t>남리</t>
        </is>
      </c>
      <c r="H5900" s="3" t="inlineStr">
        <is>
          <t>단독다가구</t>
        </is>
      </c>
      <c r="I5900" s="3" t="inlineStr">
        <is>
          <t>다가구</t>
        </is>
      </c>
      <c r="J5900" s="3" t="inlineStr">
        <is>
          <t>조치원읍</t>
        </is>
      </c>
    </row>
    <row r="5901">
      <c r="A5901" s="3" t="n">
        <v>2022</v>
      </c>
      <c r="B5901" s="4" t="n">
        <v>5500</v>
      </c>
      <c r="C5901" s="4" t="n">
        <v>99</v>
      </c>
      <c r="D5901" s="4" t="n">
        <v>29.9475</v>
      </c>
      <c r="E5901" s="5" t="n">
        <v>183.7</v>
      </c>
      <c r="F5901" s="3" t="inlineStr">
        <is>
          <t>조치원읍</t>
        </is>
      </c>
      <c r="G5901" s="3" t="inlineStr">
        <is>
          <t>평리</t>
        </is>
      </c>
      <c r="H5901" s="3" t="inlineStr">
        <is>
          <t>단독다가구</t>
        </is>
      </c>
      <c r="I5901" s="3" t="inlineStr">
        <is>
          <t>단독</t>
        </is>
      </c>
      <c r="J5901" s="3" t="inlineStr">
        <is>
          <t>조치원읍</t>
        </is>
      </c>
    </row>
    <row r="5902">
      <c r="A5902" s="3" t="n">
        <v>2022</v>
      </c>
      <c r="B5902" s="4" t="n">
        <v>71000</v>
      </c>
      <c r="C5902" s="4" t="n">
        <v>159.4</v>
      </c>
      <c r="D5902" s="4" t="n">
        <v>48.2185</v>
      </c>
      <c r="E5902" s="5" t="n">
        <v>1472.5</v>
      </c>
      <c r="F5902" s="3" t="inlineStr">
        <is>
          <t>조치원읍</t>
        </is>
      </c>
      <c r="G5902" s="3" t="inlineStr">
        <is>
          <t>침산리</t>
        </is>
      </c>
      <c r="H5902" s="3" t="inlineStr">
        <is>
          <t>단독다가구</t>
        </is>
      </c>
      <c r="I5902" s="3" t="inlineStr">
        <is>
          <t>다가구</t>
        </is>
      </c>
      <c r="J5902" s="3" t="inlineStr">
        <is>
          <t>조치원읍</t>
        </is>
      </c>
    </row>
    <row r="5903">
      <c r="A5903" s="3" t="n">
        <v>2022</v>
      </c>
      <c r="B5903" s="4" t="n">
        <v>48000</v>
      </c>
      <c r="C5903" s="4" t="n">
        <v>341</v>
      </c>
      <c r="D5903" s="4" t="n">
        <v>103.1525</v>
      </c>
      <c r="E5903" s="5" t="n">
        <v>465.3</v>
      </c>
      <c r="F5903" s="3" t="inlineStr">
        <is>
          <t>조치원읍</t>
        </is>
      </c>
      <c r="G5903" s="3" t="inlineStr">
        <is>
          <t>상리</t>
        </is>
      </c>
      <c r="H5903" s="3" t="inlineStr">
        <is>
          <t>단독다가구</t>
        </is>
      </c>
      <c r="I5903" s="3" t="inlineStr">
        <is>
          <t>단독</t>
        </is>
      </c>
      <c r="J5903" s="3" t="inlineStr">
        <is>
          <t>조치원읍</t>
        </is>
      </c>
    </row>
    <row r="5904">
      <c r="A5904" s="3" t="n">
        <v>2022</v>
      </c>
      <c r="B5904" s="4" t="n">
        <v>37500</v>
      </c>
      <c r="C5904" s="4" t="n">
        <v>165</v>
      </c>
      <c r="D5904" s="4" t="n">
        <v>49.9125</v>
      </c>
      <c r="E5904" s="5" t="n">
        <v>751.3</v>
      </c>
      <c r="F5904" s="3" t="inlineStr">
        <is>
          <t>부강면</t>
        </is>
      </c>
      <c r="G5904" s="3" t="inlineStr">
        <is>
          <t>부강리</t>
        </is>
      </c>
      <c r="H5904" s="3" t="inlineStr">
        <is>
          <t>단독다가구</t>
        </is>
      </c>
      <c r="I5904" s="3" t="inlineStr">
        <is>
          <t>단독</t>
        </is>
      </c>
      <c r="J5904" s="3" t="inlineStr">
        <is>
          <t>부강면</t>
        </is>
      </c>
    </row>
    <row r="5905">
      <c r="A5905" s="3" t="n">
        <v>2022</v>
      </c>
      <c r="B5905" s="4" t="n">
        <v>120000</v>
      </c>
      <c r="C5905" s="4" t="n">
        <v>330.1</v>
      </c>
      <c r="D5905" s="4" t="n">
        <v>99.85525</v>
      </c>
      <c r="E5905" s="5" t="n">
        <v>1201.7</v>
      </c>
      <c r="F5905" s="3" t="inlineStr">
        <is>
          <t>고운동</t>
        </is>
      </c>
      <c r="G5905" s="3" t="inlineStr"/>
      <c r="H5905" s="3" t="inlineStr">
        <is>
          <t>단독다가구</t>
        </is>
      </c>
      <c r="I5905" s="3" t="inlineStr">
        <is>
          <t>단독</t>
        </is>
      </c>
      <c r="J5905" s="3" t="inlineStr">
        <is>
          <t>고운동</t>
        </is>
      </c>
    </row>
    <row r="5906">
      <c r="A5906" s="3" t="n">
        <v>2022</v>
      </c>
      <c r="B5906" s="4" t="n">
        <v>37500</v>
      </c>
      <c r="C5906" s="4" t="n">
        <v>165</v>
      </c>
      <c r="D5906" s="4" t="n">
        <v>49.9125</v>
      </c>
      <c r="E5906" s="5" t="n">
        <v>751.3</v>
      </c>
      <c r="F5906" s="3" t="inlineStr">
        <is>
          <t>부강면</t>
        </is>
      </c>
      <c r="G5906" s="3" t="inlineStr">
        <is>
          <t>부강리</t>
        </is>
      </c>
      <c r="H5906" s="3" t="inlineStr">
        <is>
          <t>단독다가구</t>
        </is>
      </c>
      <c r="I5906" s="3" t="inlineStr">
        <is>
          <t>단독</t>
        </is>
      </c>
      <c r="J5906" s="3" t="inlineStr">
        <is>
          <t>부강면</t>
        </is>
      </c>
    </row>
    <row r="5907">
      <c r="A5907" s="3" t="n">
        <v>2022</v>
      </c>
      <c r="B5907" s="4" t="n">
        <v>42000</v>
      </c>
      <c r="C5907" s="4" t="n">
        <v>376</v>
      </c>
      <c r="D5907" s="4" t="n">
        <v>113.74</v>
      </c>
      <c r="E5907" s="5" t="n">
        <v>369.3</v>
      </c>
      <c r="F5907" s="3" t="inlineStr">
        <is>
          <t>연서면</t>
        </is>
      </c>
      <c r="G5907" s="3" t="inlineStr">
        <is>
          <t>월하리</t>
        </is>
      </c>
      <c r="H5907" s="3" t="inlineStr">
        <is>
          <t>단독다가구</t>
        </is>
      </c>
      <c r="I5907" s="3" t="inlineStr">
        <is>
          <t>단독</t>
        </is>
      </c>
      <c r="J5907" s="3" t="inlineStr">
        <is>
          <t>연서면</t>
        </is>
      </c>
    </row>
    <row r="5908">
      <c r="A5908" s="3" t="n">
        <v>2022</v>
      </c>
      <c r="B5908" s="4" t="n">
        <v>15750</v>
      </c>
      <c r="C5908" s="4" t="n">
        <v>149</v>
      </c>
      <c r="D5908" s="4" t="n">
        <v>45.0725</v>
      </c>
      <c r="E5908" s="5" t="n">
        <v>349.4</v>
      </c>
      <c r="F5908" s="3" t="inlineStr">
        <is>
          <t>조치원읍</t>
        </is>
      </c>
      <c r="G5908" s="3" t="inlineStr">
        <is>
          <t>죽림리</t>
        </is>
      </c>
      <c r="H5908" s="3" t="inlineStr">
        <is>
          <t>단독다가구</t>
        </is>
      </c>
      <c r="I5908" s="3" t="inlineStr">
        <is>
          <t>단독</t>
        </is>
      </c>
      <c r="J5908" s="3" t="inlineStr">
        <is>
          <t>조치원읍</t>
        </is>
      </c>
    </row>
    <row r="5909">
      <c r="A5909" s="3" t="n">
        <v>2022</v>
      </c>
      <c r="B5909" s="4" t="n">
        <v>40000</v>
      </c>
      <c r="C5909" s="4" t="n">
        <v>321</v>
      </c>
      <c r="D5909" s="4" t="n">
        <v>97.10249999999999</v>
      </c>
      <c r="E5909" s="5" t="n">
        <v>411.9</v>
      </c>
      <c r="F5909" s="3" t="inlineStr">
        <is>
          <t>조치원읍</t>
        </is>
      </c>
      <c r="G5909" s="3" t="inlineStr">
        <is>
          <t>서창리</t>
        </is>
      </c>
      <c r="H5909" s="3" t="inlineStr">
        <is>
          <t>단독다가구</t>
        </is>
      </c>
      <c r="I5909" s="3" t="inlineStr">
        <is>
          <t>단독</t>
        </is>
      </c>
      <c r="J5909" s="3" t="inlineStr">
        <is>
          <t>조치원읍</t>
        </is>
      </c>
    </row>
    <row r="5910">
      <c r="A5910" s="3" t="n">
        <v>2022</v>
      </c>
      <c r="B5910" s="4" t="n">
        <v>24500</v>
      </c>
      <c r="C5910" s="4" t="n">
        <v>691</v>
      </c>
      <c r="D5910" s="4" t="n">
        <v>209.0275</v>
      </c>
      <c r="E5910" s="5" t="n">
        <v>117.2</v>
      </c>
      <c r="F5910" s="3" t="inlineStr">
        <is>
          <t>연동면</t>
        </is>
      </c>
      <c r="G5910" s="3" t="inlineStr">
        <is>
          <t>예양리</t>
        </is>
      </c>
      <c r="H5910" s="3" t="inlineStr">
        <is>
          <t>단독다가구</t>
        </is>
      </c>
      <c r="I5910" s="3" t="inlineStr">
        <is>
          <t>단독</t>
        </is>
      </c>
      <c r="J5910" s="3" t="inlineStr">
        <is>
          <t>연동면</t>
        </is>
      </c>
    </row>
    <row r="5911">
      <c r="A5911" s="3" t="n">
        <v>2022</v>
      </c>
      <c r="B5911" s="4" t="n">
        <v>98800</v>
      </c>
      <c r="C5911" s="4" t="n">
        <v>1646</v>
      </c>
      <c r="D5911" s="4" t="n">
        <v>497.915</v>
      </c>
      <c r="E5911" s="5" t="n">
        <v>198.4</v>
      </c>
      <c r="F5911" s="3" t="inlineStr">
        <is>
          <t>연동면</t>
        </is>
      </c>
      <c r="G5911" s="3" t="inlineStr">
        <is>
          <t>송용리</t>
        </is>
      </c>
      <c r="H5911" s="3" t="inlineStr">
        <is>
          <t>단독다가구</t>
        </is>
      </c>
      <c r="I5911" s="3" t="inlineStr">
        <is>
          <t>단독</t>
        </is>
      </c>
      <c r="J5911" s="3" t="inlineStr">
        <is>
          <t>연동면</t>
        </is>
      </c>
    </row>
    <row r="5912">
      <c r="A5912" s="3" t="n">
        <v>2022</v>
      </c>
      <c r="B5912" s="4" t="n">
        <v>82000</v>
      </c>
      <c r="C5912" s="4" t="n">
        <v>638</v>
      </c>
      <c r="D5912" s="4" t="n">
        <v>192.995</v>
      </c>
      <c r="E5912" s="5" t="n">
        <v>424.9</v>
      </c>
      <c r="F5912" s="3" t="inlineStr">
        <is>
          <t>조치원읍</t>
        </is>
      </c>
      <c r="G5912" s="3" t="inlineStr">
        <is>
          <t>정리</t>
        </is>
      </c>
      <c r="H5912" s="3" t="inlineStr">
        <is>
          <t>단독다가구</t>
        </is>
      </c>
      <c r="I5912" s="3" t="inlineStr">
        <is>
          <t>단독</t>
        </is>
      </c>
      <c r="J5912" s="3" t="inlineStr">
        <is>
          <t>조치원읍</t>
        </is>
      </c>
    </row>
    <row r="5913">
      <c r="A5913" s="3" t="n">
        <v>2024</v>
      </c>
      <c r="B5913" s="4" t="n">
        <v>30228</v>
      </c>
      <c r="C5913" s="4" t="n">
        <v>561</v>
      </c>
      <c r="D5913" s="4" t="n">
        <v>169.7025</v>
      </c>
      <c r="E5913" s="5" t="n">
        <v>178.1</v>
      </c>
      <c r="F5913" s="3" t="inlineStr">
        <is>
          <t>남이면</t>
        </is>
      </c>
      <c r="G5913" s="3" t="inlineStr">
        <is>
          <t>외천리</t>
        </is>
      </c>
      <c r="H5913" s="3" t="inlineStr">
        <is>
          <t>단독다가구</t>
        </is>
      </c>
      <c r="I5913" s="3" t="inlineStr">
        <is>
          <t>단독</t>
        </is>
      </c>
      <c r="J5913" s="3" t="inlineStr">
        <is>
          <t>남이면</t>
        </is>
      </c>
    </row>
    <row r="5914">
      <c r="A5914" s="3" t="n">
        <v>2024</v>
      </c>
      <c r="B5914" s="4" t="n">
        <v>25143</v>
      </c>
      <c r="C5914" s="4" t="n">
        <v>547</v>
      </c>
      <c r="D5914" s="4" t="n">
        <v>165.4675</v>
      </c>
      <c r="E5914" s="5" t="n">
        <v>152</v>
      </c>
      <c r="F5914" s="3" t="inlineStr">
        <is>
          <t>남이면</t>
        </is>
      </c>
      <c r="G5914" s="3" t="inlineStr">
        <is>
          <t>팔봉리</t>
        </is>
      </c>
      <c r="H5914" s="3" t="inlineStr">
        <is>
          <t>단독다가구</t>
        </is>
      </c>
      <c r="I5914" s="3" t="inlineStr">
        <is>
          <t>단독</t>
        </is>
      </c>
      <c r="J5914" s="3" t="inlineStr">
        <is>
          <t>남이면</t>
        </is>
      </c>
    </row>
    <row r="5915">
      <c r="A5915" s="3" t="n">
        <v>2024</v>
      </c>
      <c r="B5915" s="4" t="n">
        <v>59080</v>
      </c>
      <c r="C5915" s="4" t="n">
        <v>1240</v>
      </c>
      <c r="D5915" s="4" t="n">
        <v>375.1</v>
      </c>
      <c r="E5915" s="5" t="n">
        <v>157.5</v>
      </c>
      <c r="F5915" s="3" t="inlineStr">
        <is>
          <t>남이면</t>
        </is>
      </c>
      <c r="G5915" s="3" t="inlineStr">
        <is>
          <t>팔봉리</t>
        </is>
      </c>
      <c r="H5915" s="3" t="inlineStr">
        <is>
          <t>단독다가구</t>
        </is>
      </c>
      <c r="I5915" s="3" t="inlineStr">
        <is>
          <t>단독</t>
        </is>
      </c>
      <c r="J5915" s="3" t="inlineStr">
        <is>
          <t>남이면</t>
        </is>
      </c>
    </row>
    <row r="5916">
      <c r="A5916" s="3" t="n">
        <v>2024</v>
      </c>
      <c r="B5916" s="4" t="n">
        <v>60000</v>
      </c>
      <c r="C5916" s="4" t="n">
        <v>1240</v>
      </c>
      <c r="D5916" s="4" t="n">
        <v>375.1</v>
      </c>
      <c r="E5916" s="5" t="n">
        <v>160</v>
      </c>
      <c r="F5916" s="3" t="inlineStr">
        <is>
          <t>남이면</t>
        </is>
      </c>
      <c r="G5916" s="3" t="inlineStr">
        <is>
          <t>팔봉리</t>
        </is>
      </c>
      <c r="H5916" s="3" t="inlineStr">
        <is>
          <t>단독다가구</t>
        </is>
      </c>
      <c r="I5916" s="3" t="inlineStr">
        <is>
          <t>단독</t>
        </is>
      </c>
      <c r="J5916" s="3" t="inlineStr">
        <is>
          <t>남이면</t>
        </is>
      </c>
    </row>
    <row r="5917">
      <c r="A5917" s="3" t="n">
        <v>2024</v>
      </c>
      <c r="B5917" s="4" t="n">
        <v>54550</v>
      </c>
      <c r="C5917" s="4" t="n">
        <v>597</v>
      </c>
      <c r="D5917" s="4" t="n">
        <v>180.5925</v>
      </c>
      <c r="E5917" s="5" t="n">
        <v>302.1</v>
      </c>
      <c r="F5917" s="3" t="inlineStr">
        <is>
          <t>남이면</t>
        </is>
      </c>
      <c r="G5917" s="3" t="inlineStr">
        <is>
          <t>석판리</t>
        </is>
      </c>
      <c r="H5917" s="3" t="inlineStr">
        <is>
          <t>단독다가구</t>
        </is>
      </c>
      <c r="I5917" s="3" t="inlineStr">
        <is>
          <t>단독</t>
        </is>
      </c>
      <c r="J5917" s="3" t="inlineStr">
        <is>
          <t>남이면</t>
        </is>
      </c>
    </row>
    <row r="5918">
      <c r="A5918" s="3" t="n">
        <v>2024</v>
      </c>
      <c r="B5918" s="4" t="n">
        <v>57000</v>
      </c>
      <c r="C5918" s="4" t="n">
        <v>597</v>
      </c>
      <c r="D5918" s="4" t="n">
        <v>180.5925</v>
      </c>
      <c r="E5918" s="5" t="n">
        <v>315.6</v>
      </c>
      <c r="F5918" s="3" t="inlineStr">
        <is>
          <t>남이면</t>
        </is>
      </c>
      <c r="G5918" s="3" t="inlineStr">
        <is>
          <t>석판리</t>
        </is>
      </c>
      <c r="H5918" s="3" t="inlineStr">
        <is>
          <t>단독다가구</t>
        </is>
      </c>
      <c r="I5918" s="3" t="inlineStr">
        <is>
          <t>단독</t>
        </is>
      </c>
      <c r="J5918" s="3" t="inlineStr">
        <is>
          <t>남이면</t>
        </is>
      </c>
    </row>
    <row r="5919">
      <c r="A5919" s="3" t="n">
        <v>2024</v>
      </c>
      <c r="B5919" s="4" t="n">
        <v>28200</v>
      </c>
      <c r="C5919" s="4" t="n">
        <v>565</v>
      </c>
      <c r="D5919" s="4" t="n">
        <v>170.9125</v>
      </c>
      <c r="E5919" s="5" t="n">
        <v>165</v>
      </c>
      <c r="F5919" s="3" t="inlineStr">
        <is>
          <t>남이면</t>
        </is>
      </c>
      <c r="G5919" s="3" t="inlineStr">
        <is>
          <t>팔봉리</t>
        </is>
      </c>
      <c r="H5919" s="3" t="inlineStr">
        <is>
          <t>단독다가구</t>
        </is>
      </c>
      <c r="I5919" s="3" t="inlineStr">
        <is>
          <t>단독</t>
        </is>
      </c>
      <c r="J5919" s="3" t="inlineStr">
        <is>
          <t>남이면</t>
        </is>
      </c>
    </row>
    <row r="5920">
      <c r="A5920" s="3" t="n">
        <v>2024</v>
      </c>
      <c r="B5920" s="4" t="n">
        <v>28200</v>
      </c>
      <c r="C5920" s="4" t="n">
        <v>797</v>
      </c>
      <c r="D5920" s="4" t="n">
        <v>241.0925</v>
      </c>
      <c r="E5920" s="5" t="n">
        <v>117</v>
      </c>
      <c r="F5920" s="3" t="inlineStr">
        <is>
          <t>남이면</t>
        </is>
      </c>
      <c r="G5920" s="3" t="inlineStr">
        <is>
          <t>팔봉리</t>
        </is>
      </c>
      <c r="H5920" s="3" t="inlineStr">
        <is>
          <t>단독다가구</t>
        </is>
      </c>
      <c r="I5920" s="3" t="inlineStr">
        <is>
          <t>단독</t>
        </is>
      </c>
      <c r="J5920" s="3" t="inlineStr">
        <is>
          <t>남이면</t>
        </is>
      </c>
    </row>
    <row r="5921">
      <c r="A5921" s="3" t="n">
        <v>2024</v>
      </c>
      <c r="B5921" s="4" t="n">
        <v>116000</v>
      </c>
      <c r="C5921" s="4" t="n">
        <v>292.7</v>
      </c>
      <c r="D5921" s="4" t="n">
        <v>88.54174999999999</v>
      </c>
      <c r="E5921" s="5" t="n">
        <v>1310.1</v>
      </c>
      <c r="F5921" s="3" t="inlineStr">
        <is>
          <t>조치원읍</t>
        </is>
      </c>
      <c r="G5921" s="3" t="inlineStr">
        <is>
          <t>침산리</t>
        </is>
      </c>
      <c r="H5921" s="3" t="inlineStr">
        <is>
          <t>단독다가구</t>
        </is>
      </c>
      <c r="I5921" s="3" t="inlineStr">
        <is>
          <t>다가구</t>
        </is>
      </c>
      <c r="J5921" s="3" t="inlineStr">
        <is>
          <t>조치원읍</t>
        </is>
      </c>
    </row>
    <row r="5922">
      <c r="A5922" s="3" t="n">
        <v>2022</v>
      </c>
      <c r="B5922" s="4" t="n">
        <v>82000</v>
      </c>
      <c r="C5922" s="4" t="n">
        <v>638</v>
      </c>
      <c r="D5922" s="4" t="n">
        <v>192.995</v>
      </c>
      <c r="E5922" s="5" t="n">
        <v>424.9</v>
      </c>
      <c r="F5922" s="3" t="inlineStr">
        <is>
          <t>조치원읍</t>
        </is>
      </c>
      <c r="G5922" s="3" t="inlineStr">
        <is>
          <t>정리</t>
        </is>
      </c>
      <c r="H5922" s="3" t="inlineStr">
        <is>
          <t>단독다가구</t>
        </is>
      </c>
      <c r="I5922" s="3" t="inlineStr">
        <is>
          <t>단독</t>
        </is>
      </c>
      <c r="J5922" s="3" t="inlineStr">
        <is>
          <t>조치원읍</t>
        </is>
      </c>
    </row>
    <row r="5923">
      <c r="A5923" s="3" t="n">
        <v>2022</v>
      </c>
      <c r="B5923" s="4" t="n">
        <v>26550</v>
      </c>
      <c r="C5923" s="4" t="n">
        <v>269.9</v>
      </c>
      <c r="D5923" s="4" t="n">
        <v>81.64474999999999</v>
      </c>
      <c r="E5923" s="5" t="n">
        <v>325.2</v>
      </c>
      <c r="F5923" s="3" t="inlineStr">
        <is>
          <t>조치원읍</t>
        </is>
      </c>
      <c r="G5923" s="3" t="inlineStr">
        <is>
          <t>남리</t>
        </is>
      </c>
      <c r="H5923" s="3" t="inlineStr">
        <is>
          <t>단독다가구</t>
        </is>
      </c>
      <c r="I5923" s="3" t="inlineStr">
        <is>
          <t>단독</t>
        </is>
      </c>
      <c r="J5923" s="3" t="inlineStr">
        <is>
          <t>조치원읍</t>
        </is>
      </c>
    </row>
    <row r="5924">
      <c r="A5924" s="3" t="n">
        <v>2022</v>
      </c>
      <c r="B5924" s="4" t="n">
        <v>31000</v>
      </c>
      <c r="C5924" s="4" t="n">
        <v>105</v>
      </c>
      <c r="D5924" s="4" t="n">
        <v>31.7625</v>
      </c>
      <c r="E5924" s="5" t="n">
        <v>976</v>
      </c>
      <c r="F5924" s="3" t="inlineStr">
        <is>
          <t>부강면</t>
        </is>
      </c>
      <c r="G5924" s="3" t="inlineStr">
        <is>
          <t>부강리</t>
        </is>
      </c>
      <c r="H5924" s="3" t="inlineStr">
        <is>
          <t>단독다가구</t>
        </is>
      </c>
      <c r="I5924" s="3" t="inlineStr">
        <is>
          <t>단독</t>
        </is>
      </c>
      <c r="J5924" s="3" t="inlineStr">
        <is>
          <t>부강면</t>
        </is>
      </c>
    </row>
    <row r="5925">
      <c r="A5925" s="3" t="n">
        <v>2022</v>
      </c>
      <c r="B5925" s="4" t="n">
        <v>6000</v>
      </c>
      <c r="C5925" s="4" t="n">
        <v>99</v>
      </c>
      <c r="D5925" s="4" t="n">
        <v>29.9475</v>
      </c>
      <c r="E5925" s="5" t="n">
        <v>200.4</v>
      </c>
      <c r="F5925" s="3" t="inlineStr">
        <is>
          <t>조치원읍</t>
        </is>
      </c>
      <c r="G5925" s="3" t="inlineStr">
        <is>
          <t>평리</t>
        </is>
      </c>
      <c r="H5925" s="3" t="inlineStr">
        <is>
          <t>단독다가구</t>
        </is>
      </c>
      <c r="I5925" s="3" t="inlineStr">
        <is>
          <t>단독</t>
        </is>
      </c>
      <c r="J5925" s="3" t="inlineStr">
        <is>
          <t>조치원읍</t>
        </is>
      </c>
    </row>
    <row r="5926">
      <c r="A5926" s="3" t="n">
        <v>2022</v>
      </c>
      <c r="B5926" s="4" t="n">
        <v>27000</v>
      </c>
      <c r="C5926" s="4" t="n">
        <v>274.9</v>
      </c>
      <c r="D5926" s="4" t="n">
        <v>83.15724999999999</v>
      </c>
      <c r="E5926" s="5" t="n">
        <v>324.7</v>
      </c>
      <c r="F5926" s="3" t="inlineStr">
        <is>
          <t>조치원읍</t>
        </is>
      </c>
      <c r="G5926" s="3" t="inlineStr">
        <is>
          <t>남리</t>
        </is>
      </c>
      <c r="H5926" s="3" t="inlineStr">
        <is>
          <t>단독다가구</t>
        </is>
      </c>
      <c r="I5926" s="3" t="inlineStr">
        <is>
          <t>단독</t>
        </is>
      </c>
      <c r="J5926" s="3" t="inlineStr">
        <is>
          <t>조치원읍</t>
        </is>
      </c>
    </row>
    <row r="5927">
      <c r="A5927" s="3" t="n">
        <v>2022</v>
      </c>
      <c r="B5927" s="4" t="n">
        <v>16000</v>
      </c>
      <c r="C5927" s="4" t="n">
        <v>288</v>
      </c>
      <c r="D5927" s="4" t="n">
        <v>87.12</v>
      </c>
      <c r="E5927" s="5" t="n">
        <v>183.7</v>
      </c>
      <c r="F5927" s="3" t="inlineStr">
        <is>
          <t>부강면</t>
        </is>
      </c>
      <c r="G5927" s="3" t="inlineStr">
        <is>
          <t>갈산리</t>
        </is>
      </c>
      <c r="H5927" s="3" t="inlineStr">
        <is>
          <t>단독다가구</t>
        </is>
      </c>
      <c r="I5927" s="3" t="inlineStr">
        <is>
          <t>단독</t>
        </is>
      </c>
      <c r="J5927" s="3" t="inlineStr">
        <is>
          <t>부강면</t>
        </is>
      </c>
    </row>
    <row r="5928">
      <c r="A5928" s="3" t="n">
        <v>2022</v>
      </c>
      <c r="B5928" s="4" t="n">
        <v>30000</v>
      </c>
      <c r="C5928" s="4" t="n">
        <v>160.5</v>
      </c>
      <c r="D5928" s="4" t="n">
        <v>48.55125</v>
      </c>
      <c r="E5928" s="5" t="n">
        <v>617.9</v>
      </c>
      <c r="F5928" s="3" t="inlineStr">
        <is>
          <t>조치원읍</t>
        </is>
      </c>
      <c r="G5928" s="3" t="inlineStr">
        <is>
          <t>침산리</t>
        </is>
      </c>
      <c r="H5928" s="3" t="inlineStr">
        <is>
          <t>단독다가구</t>
        </is>
      </c>
      <c r="I5928" s="3" t="inlineStr">
        <is>
          <t>단독</t>
        </is>
      </c>
      <c r="J5928" s="3" t="inlineStr">
        <is>
          <t>조치원읍</t>
        </is>
      </c>
    </row>
    <row r="5929">
      <c r="A5929" s="3" t="n">
        <v>2022</v>
      </c>
      <c r="B5929" s="4" t="n">
        <v>100000</v>
      </c>
      <c r="C5929" s="4" t="n">
        <v>279.5</v>
      </c>
      <c r="D5929" s="4" t="n">
        <v>84.54875</v>
      </c>
      <c r="E5929" s="5" t="n">
        <v>1182.7</v>
      </c>
      <c r="F5929" s="3" t="inlineStr">
        <is>
          <t>조치원읍</t>
        </is>
      </c>
      <c r="G5929" s="3" t="inlineStr">
        <is>
          <t>침산리</t>
        </is>
      </c>
      <c r="H5929" s="3" t="inlineStr">
        <is>
          <t>단독다가구</t>
        </is>
      </c>
      <c r="I5929" s="3" t="inlineStr">
        <is>
          <t>다가구</t>
        </is>
      </c>
      <c r="J5929" s="3" t="inlineStr">
        <is>
          <t>조치원읍</t>
        </is>
      </c>
    </row>
    <row r="5930">
      <c r="A5930" s="3" t="n">
        <v>2022</v>
      </c>
      <c r="B5930" s="4" t="n">
        <v>20000</v>
      </c>
      <c r="C5930" s="4" t="n">
        <v>132</v>
      </c>
      <c r="D5930" s="4" t="n">
        <v>39.93</v>
      </c>
      <c r="E5930" s="5" t="n">
        <v>500.9</v>
      </c>
      <c r="F5930" s="3" t="inlineStr">
        <is>
          <t>조치원읍</t>
        </is>
      </c>
      <c r="G5930" s="3" t="inlineStr">
        <is>
          <t>명리</t>
        </is>
      </c>
      <c r="H5930" s="3" t="inlineStr">
        <is>
          <t>단독다가구</t>
        </is>
      </c>
      <c r="I5930" s="3" t="inlineStr">
        <is>
          <t>단독</t>
        </is>
      </c>
      <c r="J5930" s="3" t="inlineStr">
        <is>
          <t>조치원읍</t>
        </is>
      </c>
    </row>
    <row r="5931">
      <c r="A5931" s="3" t="n">
        <v>2022</v>
      </c>
      <c r="B5931" s="4" t="n">
        <v>30000</v>
      </c>
      <c r="C5931" s="4" t="n">
        <v>532</v>
      </c>
      <c r="D5931" s="4" t="n">
        <v>160.93</v>
      </c>
      <c r="E5931" s="5" t="n">
        <v>186.4</v>
      </c>
      <c r="F5931" s="3" t="inlineStr">
        <is>
          <t>부강면</t>
        </is>
      </c>
      <c r="G5931" s="3" t="inlineStr">
        <is>
          <t>갈산리</t>
        </is>
      </c>
      <c r="H5931" s="3" t="inlineStr">
        <is>
          <t>단독다가구</t>
        </is>
      </c>
      <c r="I5931" s="3" t="inlineStr">
        <is>
          <t>단독</t>
        </is>
      </c>
      <c r="J5931" s="3" t="inlineStr">
        <is>
          <t>부강면</t>
        </is>
      </c>
    </row>
    <row r="5932">
      <c r="A5932" s="3" t="n">
        <v>2022</v>
      </c>
      <c r="B5932" s="4" t="n">
        <v>25000</v>
      </c>
      <c r="C5932" s="4" t="n">
        <v>56</v>
      </c>
      <c r="D5932" s="4" t="n">
        <v>16.94</v>
      </c>
      <c r="E5932" s="5" t="n">
        <v>1475.8</v>
      </c>
      <c r="F5932" s="3" t="inlineStr">
        <is>
          <t>조치원읍</t>
        </is>
      </c>
      <c r="G5932" s="3" t="inlineStr">
        <is>
          <t>정리</t>
        </is>
      </c>
      <c r="H5932" s="3" t="inlineStr">
        <is>
          <t>단독다가구</t>
        </is>
      </c>
      <c r="I5932" s="3" t="inlineStr">
        <is>
          <t>단독</t>
        </is>
      </c>
      <c r="J5932" s="3" t="inlineStr">
        <is>
          <t>조치원읍</t>
        </is>
      </c>
    </row>
    <row r="5933">
      <c r="A5933" s="3" t="n">
        <v>2022</v>
      </c>
      <c r="B5933" s="4" t="n">
        <v>39000</v>
      </c>
      <c r="C5933" s="4" t="n">
        <v>350</v>
      </c>
      <c r="D5933" s="4" t="n">
        <v>105.875</v>
      </c>
      <c r="E5933" s="5" t="n">
        <v>368.4</v>
      </c>
      <c r="F5933" s="3" t="inlineStr">
        <is>
          <t>조치원읍</t>
        </is>
      </c>
      <c r="G5933" s="3" t="inlineStr">
        <is>
          <t>평리</t>
        </is>
      </c>
      <c r="H5933" s="3" t="inlineStr">
        <is>
          <t>단독다가구</t>
        </is>
      </c>
      <c r="I5933" s="3" t="inlineStr">
        <is>
          <t>단독</t>
        </is>
      </c>
      <c r="J5933" s="3" t="inlineStr">
        <is>
          <t>조치원읍</t>
        </is>
      </c>
    </row>
    <row r="5934">
      <c r="A5934" s="3" t="n">
        <v>2022</v>
      </c>
      <c r="B5934" s="4" t="n">
        <v>17000</v>
      </c>
      <c r="C5934" s="4" t="n">
        <v>176</v>
      </c>
      <c r="D5934" s="4" t="n">
        <v>53.23999999999999</v>
      </c>
      <c r="E5934" s="5" t="n">
        <v>319.3</v>
      </c>
      <c r="F5934" s="3" t="inlineStr">
        <is>
          <t>조치원읍</t>
        </is>
      </c>
      <c r="G5934" s="3" t="inlineStr">
        <is>
          <t>평리</t>
        </is>
      </c>
      <c r="H5934" s="3" t="inlineStr">
        <is>
          <t>단독다가구</t>
        </is>
      </c>
      <c r="I5934" s="3" t="inlineStr">
        <is>
          <t>단독</t>
        </is>
      </c>
      <c r="J5934" s="3" t="inlineStr">
        <is>
          <t>조치원읍</t>
        </is>
      </c>
    </row>
    <row r="5935">
      <c r="A5935" s="3" t="n">
        <v>2022</v>
      </c>
      <c r="B5935" s="4" t="n">
        <v>20000</v>
      </c>
      <c r="C5935" s="4" t="n">
        <v>140.8</v>
      </c>
      <c r="D5935" s="4" t="n">
        <v>42.592</v>
      </c>
      <c r="E5935" s="5" t="n">
        <v>469.6</v>
      </c>
      <c r="F5935" s="3" t="inlineStr">
        <is>
          <t>조치원읍</t>
        </is>
      </c>
      <c r="G5935" s="3" t="inlineStr">
        <is>
          <t>교리</t>
        </is>
      </c>
      <c r="H5935" s="3" t="inlineStr">
        <is>
          <t>단독다가구</t>
        </is>
      </c>
      <c r="I5935" s="3" t="inlineStr">
        <is>
          <t>단독</t>
        </is>
      </c>
      <c r="J5935" s="3" t="inlineStr">
        <is>
          <t>조치원읍</t>
        </is>
      </c>
    </row>
    <row r="5936">
      <c r="A5936" s="3" t="n">
        <v>2022</v>
      </c>
      <c r="B5936" s="4" t="n">
        <v>20000</v>
      </c>
      <c r="C5936" s="4" t="n">
        <v>129.3</v>
      </c>
      <c r="D5936" s="4" t="n">
        <v>39.11325</v>
      </c>
      <c r="E5936" s="5" t="n">
        <v>511.3</v>
      </c>
      <c r="F5936" s="3" t="inlineStr">
        <is>
          <t>조치원읍</t>
        </is>
      </c>
      <c r="G5936" s="3" t="inlineStr">
        <is>
          <t>교리</t>
        </is>
      </c>
      <c r="H5936" s="3" t="inlineStr">
        <is>
          <t>단독다가구</t>
        </is>
      </c>
      <c r="I5936" s="3" t="inlineStr">
        <is>
          <t>단독</t>
        </is>
      </c>
      <c r="J5936" s="3" t="inlineStr">
        <is>
          <t>조치원읍</t>
        </is>
      </c>
    </row>
    <row r="5937">
      <c r="A5937" s="3" t="n">
        <v>2022</v>
      </c>
      <c r="B5937" s="4" t="n">
        <v>24000</v>
      </c>
      <c r="C5937" s="4" t="n">
        <v>250</v>
      </c>
      <c r="D5937" s="4" t="n">
        <v>75.625</v>
      </c>
      <c r="E5937" s="5" t="n">
        <v>317.4</v>
      </c>
      <c r="F5937" s="3" t="inlineStr">
        <is>
          <t>조치원읍</t>
        </is>
      </c>
      <c r="G5937" s="3" t="inlineStr">
        <is>
          <t>봉산리</t>
        </is>
      </c>
      <c r="H5937" s="3" t="inlineStr">
        <is>
          <t>단독다가구</t>
        </is>
      </c>
      <c r="I5937" s="3" t="inlineStr">
        <is>
          <t>단독</t>
        </is>
      </c>
      <c r="J5937" s="3" t="inlineStr">
        <is>
          <t>조치원읍</t>
        </is>
      </c>
    </row>
    <row r="5938">
      <c r="A5938" s="3" t="n">
        <v>2022</v>
      </c>
      <c r="B5938" s="4" t="n">
        <v>26000</v>
      </c>
      <c r="C5938" s="4" t="n">
        <v>150</v>
      </c>
      <c r="D5938" s="4" t="n">
        <v>45.375</v>
      </c>
      <c r="E5938" s="5" t="n">
        <v>573</v>
      </c>
      <c r="F5938" s="3" t="inlineStr">
        <is>
          <t>조치원읍</t>
        </is>
      </c>
      <c r="G5938" s="3" t="inlineStr">
        <is>
          <t>신안리</t>
        </is>
      </c>
      <c r="H5938" s="3" t="inlineStr">
        <is>
          <t>단독다가구</t>
        </is>
      </c>
      <c r="I5938" s="3" t="inlineStr">
        <is>
          <t>다가구</t>
        </is>
      </c>
      <c r="J5938" s="3" t="inlineStr">
        <is>
          <t>조치원읍</t>
        </is>
      </c>
    </row>
    <row r="5939">
      <c r="A5939" s="3" t="n">
        <v>2022</v>
      </c>
      <c r="B5939" s="4" t="n">
        <v>31500</v>
      </c>
      <c r="C5939" s="4" t="n">
        <v>166</v>
      </c>
      <c r="D5939" s="4" t="n">
        <v>50.215</v>
      </c>
      <c r="E5939" s="5" t="n">
        <v>627.3</v>
      </c>
      <c r="F5939" s="3" t="inlineStr">
        <is>
          <t>조치원읍</t>
        </is>
      </c>
      <c r="G5939" s="3" t="inlineStr">
        <is>
          <t>죽림리</t>
        </is>
      </c>
      <c r="H5939" s="3" t="inlineStr">
        <is>
          <t>단독다가구</t>
        </is>
      </c>
      <c r="I5939" s="3" t="inlineStr">
        <is>
          <t>단독</t>
        </is>
      </c>
      <c r="J5939" s="3" t="inlineStr">
        <is>
          <t>조치원읍</t>
        </is>
      </c>
    </row>
    <row r="5940">
      <c r="A5940" s="3" t="n">
        <v>2023</v>
      </c>
      <c r="B5940" s="4" t="n">
        <v>105000</v>
      </c>
      <c r="C5940" s="4" t="n">
        <v>252.8</v>
      </c>
      <c r="D5940" s="4" t="n">
        <v>76.47199999999999</v>
      </c>
      <c r="E5940" s="5" t="n">
        <v>1373.1</v>
      </c>
      <c r="F5940" s="3" t="inlineStr">
        <is>
          <t>조치원읍</t>
        </is>
      </c>
      <c r="G5940" s="3" t="inlineStr">
        <is>
          <t>침산리</t>
        </is>
      </c>
      <c r="H5940" s="3" t="inlineStr">
        <is>
          <t>단독다가구</t>
        </is>
      </c>
      <c r="I5940" s="3" t="inlineStr">
        <is>
          <t>다가구</t>
        </is>
      </c>
      <c r="J5940" s="3" t="inlineStr">
        <is>
          <t>조치원읍</t>
        </is>
      </c>
    </row>
    <row r="5941">
      <c r="A5941" s="3" t="n">
        <v>2023</v>
      </c>
      <c r="B5941" s="4" t="n">
        <v>35800</v>
      </c>
      <c r="C5941" s="4" t="n">
        <v>764</v>
      </c>
      <c r="D5941" s="4" t="n">
        <v>231.11</v>
      </c>
      <c r="E5941" s="5" t="n">
        <v>154.9</v>
      </c>
      <c r="F5941" s="3" t="inlineStr">
        <is>
          <t>부강면</t>
        </is>
      </c>
      <c r="G5941" s="3" t="inlineStr">
        <is>
          <t>문곡리</t>
        </is>
      </c>
      <c r="H5941" s="3" t="inlineStr">
        <is>
          <t>단독다가구</t>
        </is>
      </c>
      <c r="I5941" s="3" t="inlineStr">
        <is>
          <t>단독</t>
        </is>
      </c>
      <c r="J5941" s="3" t="inlineStr">
        <is>
          <t>부강면</t>
        </is>
      </c>
    </row>
    <row r="5942">
      <c r="A5942" s="3" t="n">
        <v>2023</v>
      </c>
      <c r="B5942" s="4" t="n">
        <v>22300</v>
      </c>
      <c r="C5942" s="4" t="n">
        <v>212</v>
      </c>
      <c r="D5942" s="4" t="n">
        <v>64.13</v>
      </c>
      <c r="E5942" s="5" t="n">
        <v>347.7</v>
      </c>
      <c r="F5942" s="3" t="inlineStr">
        <is>
          <t>조치원읍</t>
        </is>
      </c>
      <c r="G5942" s="3" t="inlineStr">
        <is>
          <t>신흥리</t>
        </is>
      </c>
      <c r="H5942" s="3" t="inlineStr">
        <is>
          <t>단독다가구</t>
        </is>
      </c>
      <c r="I5942" s="3" t="inlineStr">
        <is>
          <t>단독</t>
        </is>
      </c>
      <c r="J5942" s="3" t="inlineStr">
        <is>
          <t>조치원읍</t>
        </is>
      </c>
    </row>
    <row r="5943">
      <c r="A5943" s="3" t="n">
        <v>2023</v>
      </c>
      <c r="B5943" s="4" t="n">
        <v>10500</v>
      </c>
      <c r="C5943" s="4" t="n">
        <v>102</v>
      </c>
      <c r="D5943" s="4" t="n">
        <v>30.855</v>
      </c>
      <c r="E5943" s="5" t="n">
        <v>340.3</v>
      </c>
      <c r="F5943" s="3" t="inlineStr">
        <is>
          <t>부강면</t>
        </is>
      </c>
      <c r="G5943" s="3" t="inlineStr">
        <is>
          <t>부강리</t>
        </is>
      </c>
      <c r="H5943" s="3" t="inlineStr">
        <is>
          <t>단독다가구</t>
        </is>
      </c>
      <c r="I5943" s="3" t="inlineStr">
        <is>
          <t>단독</t>
        </is>
      </c>
      <c r="J5943" s="3" t="inlineStr">
        <is>
          <t>부강면</t>
        </is>
      </c>
    </row>
    <row r="5944">
      <c r="A5944" s="3" t="n">
        <v>2023</v>
      </c>
      <c r="B5944" s="4" t="n">
        <v>83000</v>
      </c>
      <c r="C5944" s="4" t="n">
        <v>285.9</v>
      </c>
      <c r="D5944" s="4" t="n">
        <v>86.48474999999999</v>
      </c>
      <c r="E5944" s="5" t="n">
        <v>959.7</v>
      </c>
      <c r="F5944" s="3" t="inlineStr">
        <is>
          <t>아름동</t>
        </is>
      </c>
      <c r="G5944" s="3" t="inlineStr"/>
      <c r="H5944" s="3" t="inlineStr">
        <is>
          <t>단독다가구</t>
        </is>
      </c>
      <c r="I5944" s="3" t="inlineStr">
        <is>
          <t>단독</t>
        </is>
      </c>
      <c r="J5944" s="3" t="inlineStr">
        <is>
          <t>아름동</t>
        </is>
      </c>
    </row>
    <row r="5945">
      <c r="A5945" s="3" t="n">
        <v>2023</v>
      </c>
      <c r="B5945" s="4" t="n">
        <v>115000</v>
      </c>
      <c r="C5945" s="4" t="n">
        <v>330</v>
      </c>
      <c r="D5945" s="4" t="n">
        <v>99.825</v>
      </c>
      <c r="E5945" s="5" t="n">
        <v>1152</v>
      </c>
      <c r="F5945" s="3" t="inlineStr">
        <is>
          <t>고운동</t>
        </is>
      </c>
      <c r="G5945" s="3" t="inlineStr"/>
      <c r="H5945" s="3" t="inlineStr">
        <is>
          <t>단독다가구</t>
        </is>
      </c>
      <c r="I5945" s="3" t="inlineStr">
        <is>
          <t>단독</t>
        </is>
      </c>
      <c r="J5945" s="3" t="inlineStr">
        <is>
          <t>고운동</t>
        </is>
      </c>
    </row>
    <row r="5946">
      <c r="A5946" s="3" t="n">
        <v>2023</v>
      </c>
      <c r="B5946" s="4" t="n">
        <v>95000</v>
      </c>
      <c r="C5946" s="4" t="n">
        <v>162.4</v>
      </c>
      <c r="D5946" s="4" t="n">
        <v>49.126</v>
      </c>
      <c r="E5946" s="5" t="n">
        <v>1933.8</v>
      </c>
      <c r="F5946" s="3" t="inlineStr">
        <is>
          <t>조치원읍</t>
        </is>
      </c>
      <c r="G5946" s="3" t="inlineStr">
        <is>
          <t>침산리</t>
        </is>
      </c>
      <c r="H5946" s="3" t="inlineStr">
        <is>
          <t>단독다가구</t>
        </is>
      </c>
      <c r="I5946" s="3" t="inlineStr">
        <is>
          <t>다가구</t>
        </is>
      </c>
      <c r="J5946" s="3" t="inlineStr">
        <is>
          <t>조치원읍</t>
        </is>
      </c>
    </row>
    <row r="5947">
      <c r="A5947" s="3" t="n">
        <v>2022</v>
      </c>
      <c r="B5947" s="4" t="n">
        <v>31500</v>
      </c>
      <c r="C5947" s="4" t="n">
        <v>276</v>
      </c>
      <c r="D5947" s="4" t="n">
        <v>83.48999999999999</v>
      </c>
      <c r="E5947" s="5" t="n">
        <v>377.3</v>
      </c>
      <c r="F5947" s="3" t="inlineStr">
        <is>
          <t>조치원읍</t>
        </is>
      </c>
      <c r="G5947" s="3" t="inlineStr">
        <is>
          <t>신안리</t>
        </is>
      </c>
      <c r="H5947" s="3" t="inlineStr">
        <is>
          <t>단독다가구</t>
        </is>
      </c>
      <c r="I5947" s="3" t="inlineStr">
        <is>
          <t>단독</t>
        </is>
      </c>
      <c r="J5947" s="3" t="inlineStr">
        <is>
          <t>조치원읍</t>
        </is>
      </c>
    </row>
    <row r="5948">
      <c r="A5948" s="3" t="n">
        <v>2022</v>
      </c>
      <c r="B5948" s="4" t="n">
        <v>50200</v>
      </c>
      <c r="C5948" s="4" t="n">
        <v>251</v>
      </c>
      <c r="D5948" s="4" t="n">
        <v>75.92749999999999</v>
      </c>
      <c r="E5948" s="5" t="n">
        <v>661.2</v>
      </c>
      <c r="F5948" s="3" t="inlineStr">
        <is>
          <t>남이면</t>
        </is>
      </c>
      <c r="G5948" s="3" t="inlineStr">
        <is>
          <t>양촌리</t>
        </is>
      </c>
      <c r="H5948" s="3" t="inlineStr">
        <is>
          <t>단독다가구</t>
        </is>
      </c>
      <c r="I5948" s="3" t="inlineStr">
        <is>
          <t>단독</t>
        </is>
      </c>
      <c r="J5948" s="3" t="inlineStr">
        <is>
          <t>남이면</t>
        </is>
      </c>
    </row>
    <row r="5949">
      <c r="A5949" s="3" t="n">
        <v>2022</v>
      </c>
      <c r="B5949" s="4" t="n">
        <v>54400</v>
      </c>
      <c r="C5949" s="4" t="n">
        <v>251</v>
      </c>
      <c r="D5949" s="4" t="n">
        <v>75.92749999999999</v>
      </c>
      <c r="E5949" s="5" t="n">
        <v>716.5</v>
      </c>
      <c r="F5949" s="3" t="inlineStr">
        <is>
          <t>남이면</t>
        </is>
      </c>
      <c r="G5949" s="3" t="inlineStr">
        <is>
          <t>양촌리</t>
        </is>
      </c>
      <c r="H5949" s="3" t="inlineStr">
        <is>
          <t>단독다가구</t>
        </is>
      </c>
      <c r="I5949" s="3" t="inlineStr">
        <is>
          <t>단독</t>
        </is>
      </c>
      <c r="J5949" s="3" t="inlineStr">
        <is>
          <t>남이면</t>
        </is>
      </c>
    </row>
    <row r="5950">
      <c r="A5950" s="3" t="n">
        <v>2022</v>
      </c>
      <c r="B5950" s="4" t="n">
        <v>32830</v>
      </c>
      <c r="C5950" s="4" t="n">
        <v>347</v>
      </c>
      <c r="D5950" s="4" t="n">
        <v>104.9675</v>
      </c>
      <c r="E5950" s="5" t="n">
        <v>312.8</v>
      </c>
      <c r="F5950" s="3" t="inlineStr">
        <is>
          <t>남이면</t>
        </is>
      </c>
      <c r="G5950" s="3" t="inlineStr">
        <is>
          <t>수대리</t>
        </is>
      </c>
      <c r="H5950" s="3" t="inlineStr">
        <is>
          <t>단독다가구</t>
        </is>
      </c>
      <c r="I5950" s="3" t="inlineStr">
        <is>
          <t>단독</t>
        </is>
      </c>
      <c r="J5950" s="3" t="inlineStr">
        <is>
          <t>남이면</t>
        </is>
      </c>
    </row>
    <row r="5951">
      <c r="A5951" s="3" t="n">
        <v>2022</v>
      </c>
      <c r="B5951" s="4" t="n">
        <v>34000</v>
      </c>
      <c r="C5951" s="4" t="n">
        <v>411</v>
      </c>
      <c r="D5951" s="4" t="n">
        <v>124.3275</v>
      </c>
      <c r="E5951" s="5" t="n">
        <v>273.5</v>
      </c>
      <c r="F5951" s="3" t="inlineStr">
        <is>
          <t>남이면</t>
        </is>
      </c>
      <c r="G5951" s="3" t="inlineStr">
        <is>
          <t>석판리</t>
        </is>
      </c>
      <c r="H5951" s="3" t="inlineStr">
        <is>
          <t>단독다가구</t>
        </is>
      </c>
      <c r="I5951" s="3" t="inlineStr">
        <is>
          <t>단독</t>
        </is>
      </c>
      <c r="J5951" s="3" t="inlineStr">
        <is>
          <t>남이면</t>
        </is>
      </c>
    </row>
    <row r="5952">
      <c r="A5952" s="3" t="n">
        <v>2022</v>
      </c>
      <c r="B5952" s="4" t="n">
        <v>101142</v>
      </c>
      <c r="C5952" s="4" t="n">
        <v>261.9</v>
      </c>
      <c r="D5952" s="4" t="n">
        <v>79.22474999999999</v>
      </c>
      <c r="E5952" s="5" t="n">
        <v>1276.6</v>
      </c>
      <c r="F5952" s="3" t="inlineStr">
        <is>
          <t>남이면</t>
        </is>
      </c>
      <c r="G5952" s="3" t="inlineStr">
        <is>
          <t>가마리</t>
        </is>
      </c>
      <c r="H5952" s="3" t="inlineStr">
        <is>
          <t>단독다가구</t>
        </is>
      </c>
      <c r="I5952" s="3" t="inlineStr">
        <is>
          <t>다가구</t>
        </is>
      </c>
      <c r="J5952" s="3" t="inlineStr">
        <is>
          <t>남이면</t>
        </is>
      </c>
    </row>
    <row r="5953">
      <c r="A5953" s="3" t="n">
        <v>2022</v>
      </c>
      <c r="B5953" s="4" t="n">
        <v>32000</v>
      </c>
      <c r="C5953" s="4" t="n">
        <v>612</v>
      </c>
      <c r="D5953" s="4" t="n">
        <v>185.13</v>
      </c>
      <c r="E5953" s="5" t="n">
        <v>172.9</v>
      </c>
      <c r="F5953" s="3" t="inlineStr">
        <is>
          <t>남이면</t>
        </is>
      </c>
      <c r="G5953" s="3" t="inlineStr">
        <is>
          <t>척산리</t>
        </is>
      </c>
      <c r="H5953" s="3" t="inlineStr">
        <is>
          <t>단독다가구</t>
        </is>
      </c>
      <c r="I5953" s="3" t="inlineStr">
        <is>
          <t>단독</t>
        </is>
      </c>
      <c r="J5953" s="3" t="inlineStr">
        <is>
          <t>남이면</t>
        </is>
      </c>
    </row>
    <row r="5954">
      <c r="A5954" s="3" t="n">
        <v>2024</v>
      </c>
      <c r="B5954" s="4" t="n">
        <v>88755</v>
      </c>
      <c r="C5954" s="4" t="n">
        <v>331.6</v>
      </c>
      <c r="D5954" s="4" t="n">
        <v>100.309</v>
      </c>
      <c r="E5954" s="5" t="n">
        <v>884.8</v>
      </c>
      <c r="F5954" s="3" t="inlineStr">
        <is>
          <t>고운동</t>
        </is>
      </c>
      <c r="G5954" s="3" t="inlineStr"/>
      <c r="H5954" s="3" t="inlineStr">
        <is>
          <t>단독다가구</t>
        </is>
      </c>
      <c r="I5954" s="3" t="inlineStr">
        <is>
          <t>단독</t>
        </is>
      </c>
      <c r="J5954" s="3" t="inlineStr">
        <is>
          <t>고운동</t>
        </is>
      </c>
    </row>
    <row r="5955">
      <c r="A5955" s="3" t="n">
        <v>2024</v>
      </c>
      <c r="B5955" s="4" t="n">
        <v>6000</v>
      </c>
      <c r="C5955" s="4" t="n">
        <v>260</v>
      </c>
      <c r="D5955" s="4" t="n">
        <v>78.64999999999999</v>
      </c>
      <c r="E5955" s="5" t="n">
        <v>76.3</v>
      </c>
      <c r="F5955" s="3" t="inlineStr">
        <is>
          <t>연서면</t>
        </is>
      </c>
      <c r="G5955" s="3" t="inlineStr">
        <is>
          <t>쌍류리</t>
        </is>
      </c>
      <c r="H5955" s="3" t="inlineStr">
        <is>
          <t>단독다가구</t>
        </is>
      </c>
      <c r="I5955" s="3" t="inlineStr">
        <is>
          <t>단독</t>
        </is>
      </c>
      <c r="J5955" s="3" t="inlineStr">
        <is>
          <t>연서면</t>
        </is>
      </c>
    </row>
    <row r="5956">
      <c r="A5956" s="3" t="n">
        <v>2024</v>
      </c>
      <c r="B5956" s="4" t="n">
        <v>57500</v>
      </c>
      <c r="C5956" s="4" t="n">
        <v>237.8</v>
      </c>
      <c r="D5956" s="4" t="n">
        <v>71.9345</v>
      </c>
      <c r="E5956" s="5" t="n">
        <v>799.3</v>
      </c>
      <c r="F5956" s="3" t="inlineStr">
        <is>
          <t>조치원읍</t>
        </is>
      </c>
      <c r="G5956" s="3" t="inlineStr">
        <is>
          <t>서창리</t>
        </is>
      </c>
      <c r="H5956" s="3" t="inlineStr">
        <is>
          <t>단독다가구</t>
        </is>
      </c>
      <c r="I5956" s="3" t="inlineStr">
        <is>
          <t>다가구</t>
        </is>
      </c>
      <c r="J5956" s="3" t="inlineStr">
        <is>
          <t>조치원읍</t>
        </is>
      </c>
    </row>
    <row r="5957">
      <c r="A5957" s="3" t="n">
        <v>2024</v>
      </c>
      <c r="B5957" s="4" t="n">
        <v>25000</v>
      </c>
      <c r="C5957" s="4" t="n">
        <v>323</v>
      </c>
      <c r="D5957" s="4" t="n">
        <v>97.7075</v>
      </c>
      <c r="E5957" s="5" t="n">
        <v>255.9</v>
      </c>
      <c r="F5957" s="3" t="inlineStr">
        <is>
          <t>조치원읍</t>
        </is>
      </c>
      <c r="G5957" s="3" t="inlineStr">
        <is>
          <t>신안리</t>
        </is>
      </c>
      <c r="H5957" s="3" t="inlineStr">
        <is>
          <t>단독다가구</t>
        </is>
      </c>
      <c r="I5957" s="3" t="inlineStr">
        <is>
          <t>단독</t>
        </is>
      </c>
      <c r="J5957" s="3" t="inlineStr">
        <is>
          <t>조치원읍</t>
        </is>
      </c>
    </row>
    <row r="5958">
      <c r="A5958" s="3" t="n">
        <v>2026</v>
      </c>
      <c r="B5958" s="4" t="n">
        <v>38000</v>
      </c>
      <c r="C5958" s="4" t="n">
        <v>423</v>
      </c>
      <c r="D5958" s="4" t="n">
        <v>127.9575</v>
      </c>
      <c r="E5958" s="5" t="n">
        <v>297</v>
      </c>
      <c r="F5958" s="3" t="inlineStr">
        <is>
          <t>조치원읍</t>
        </is>
      </c>
      <c r="G5958" s="3" t="inlineStr">
        <is>
          <t>신안리</t>
        </is>
      </c>
      <c r="H5958" s="3" t="inlineStr">
        <is>
          <t>단독다가구</t>
        </is>
      </c>
      <c r="I5958" s="3" t="inlineStr">
        <is>
          <t>단독</t>
        </is>
      </c>
      <c r="J5958" s="3" t="inlineStr">
        <is>
          <t>조치원읍</t>
        </is>
      </c>
    </row>
    <row r="5959">
      <c r="A5959" s="3" t="n">
        <v>2026</v>
      </c>
      <c r="B5959" s="4" t="n">
        <v>22000</v>
      </c>
      <c r="C5959" s="4" t="n">
        <v>193</v>
      </c>
      <c r="D5959" s="4" t="n">
        <v>58.3825</v>
      </c>
      <c r="E5959" s="5" t="n">
        <v>376.8</v>
      </c>
      <c r="F5959" s="3" t="inlineStr">
        <is>
          <t>조치원읍</t>
        </is>
      </c>
      <c r="G5959" s="3" t="inlineStr">
        <is>
          <t>남리</t>
        </is>
      </c>
      <c r="H5959" s="3" t="inlineStr">
        <is>
          <t>단독다가구</t>
        </is>
      </c>
      <c r="I5959" s="3" t="inlineStr">
        <is>
          <t>단독</t>
        </is>
      </c>
      <c r="J5959" s="3" t="inlineStr">
        <is>
          <t>조치원읍</t>
        </is>
      </c>
    </row>
    <row r="5960">
      <c r="A5960" s="3" t="n">
        <v>2026</v>
      </c>
      <c r="B5960" s="4" t="n">
        <v>20000</v>
      </c>
      <c r="C5960" s="4" t="n">
        <v>358</v>
      </c>
      <c r="D5960" s="4" t="n">
        <v>108.295</v>
      </c>
      <c r="E5960" s="5" t="n">
        <v>184.7</v>
      </c>
      <c r="F5960" s="3" t="inlineStr">
        <is>
          <t>조치원읍</t>
        </is>
      </c>
      <c r="G5960" s="3" t="inlineStr">
        <is>
          <t>서창리</t>
        </is>
      </c>
      <c r="H5960" s="3" t="inlineStr">
        <is>
          <t>단독다가구</t>
        </is>
      </c>
      <c r="I5960" s="3" t="inlineStr">
        <is>
          <t>단독</t>
        </is>
      </c>
      <c r="J5960" s="3" t="inlineStr">
        <is>
          <t>조치원읍</t>
        </is>
      </c>
    </row>
    <row r="5961">
      <c r="A5961" s="3" t="n">
        <v>2026</v>
      </c>
      <c r="B5961" s="4" t="n">
        <v>12300</v>
      </c>
      <c r="C5961" s="4" t="n">
        <v>373</v>
      </c>
      <c r="D5961" s="4" t="n">
        <v>112.8325</v>
      </c>
      <c r="E5961" s="5" t="n">
        <v>109</v>
      </c>
      <c r="F5961" s="3" t="inlineStr">
        <is>
          <t>연동면</t>
        </is>
      </c>
      <c r="G5961" s="3" t="inlineStr">
        <is>
          <t>예양리</t>
        </is>
      </c>
      <c r="H5961" s="3" t="inlineStr">
        <is>
          <t>단독다가구</t>
        </is>
      </c>
      <c r="I5961" s="3" t="inlineStr">
        <is>
          <t>단독</t>
        </is>
      </c>
      <c r="J5961" s="3" t="inlineStr">
        <is>
          <t>연동면</t>
        </is>
      </c>
    </row>
    <row r="5962">
      <c r="A5962" s="3" t="n">
        <v>2026</v>
      </c>
      <c r="B5962" s="4" t="n">
        <v>45000</v>
      </c>
      <c r="C5962" s="4" t="n">
        <v>579</v>
      </c>
      <c r="D5962" s="4" t="n">
        <v>175.1475</v>
      </c>
      <c r="E5962" s="5" t="n">
        <v>256.9</v>
      </c>
      <c r="F5962" s="3" t="inlineStr">
        <is>
          <t>연서면</t>
        </is>
      </c>
      <c r="G5962" s="3" t="inlineStr">
        <is>
          <t>쌍전리</t>
        </is>
      </c>
      <c r="H5962" s="3" t="inlineStr">
        <is>
          <t>단독다가구</t>
        </is>
      </c>
      <c r="I5962" s="3" t="inlineStr">
        <is>
          <t>단독</t>
        </is>
      </c>
      <c r="J5962" s="3" t="inlineStr">
        <is>
          <t>연서면</t>
        </is>
      </c>
    </row>
    <row r="5963">
      <c r="A5963" s="3" t="n">
        <v>2026</v>
      </c>
      <c r="B5963" s="4" t="n">
        <v>51000</v>
      </c>
      <c r="C5963" s="4" t="n">
        <v>255.4</v>
      </c>
      <c r="D5963" s="4" t="n">
        <v>77.2585</v>
      </c>
      <c r="E5963" s="5" t="n">
        <v>660.1</v>
      </c>
      <c r="F5963" s="3" t="inlineStr">
        <is>
          <t>조치원읍</t>
        </is>
      </c>
      <c r="G5963" s="3" t="inlineStr">
        <is>
          <t>침산리</t>
        </is>
      </c>
      <c r="H5963" s="3" t="inlineStr">
        <is>
          <t>단독다가구</t>
        </is>
      </c>
      <c r="I5963" s="3" t="inlineStr">
        <is>
          <t>다가구</t>
        </is>
      </c>
      <c r="J5963" s="3" t="inlineStr">
        <is>
          <t>조치원읍</t>
        </is>
      </c>
    </row>
    <row r="5964">
      <c r="A5964" s="3" t="n">
        <v>2026</v>
      </c>
      <c r="B5964" s="4" t="n">
        <v>87000</v>
      </c>
      <c r="C5964" s="4" t="n">
        <v>411</v>
      </c>
      <c r="D5964" s="4" t="n">
        <v>124.3275</v>
      </c>
      <c r="E5964" s="5" t="n">
        <v>699.8</v>
      </c>
      <c r="F5964" s="3" t="inlineStr">
        <is>
          <t>조치원읍</t>
        </is>
      </c>
      <c r="G5964" s="3" t="inlineStr">
        <is>
          <t>명리</t>
        </is>
      </c>
      <c r="H5964" s="3" t="inlineStr">
        <is>
          <t>단독다가구</t>
        </is>
      </c>
      <c r="I5964" s="3" t="inlineStr">
        <is>
          <t>다가구</t>
        </is>
      </c>
      <c r="J5964" s="3" t="inlineStr">
        <is>
          <t>조치원읍</t>
        </is>
      </c>
    </row>
    <row r="5965">
      <c r="A5965" s="3" t="n">
        <v>2026</v>
      </c>
      <c r="B5965" s="4" t="n">
        <v>57000</v>
      </c>
      <c r="C5965" s="4" t="n">
        <v>243.9</v>
      </c>
      <c r="D5965" s="4" t="n">
        <v>73.77974999999999</v>
      </c>
      <c r="E5965" s="5" t="n">
        <v>772.6</v>
      </c>
      <c r="F5965" s="3" t="inlineStr">
        <is>
          <t>조치원읍</t>
        </is>
      </c>
      <c r="G5965" s="3" t="inlineStr">
        <is>
          <t>남리</t>
        </is>
      </c>
      <c r="H5965" s="3" t="inlineStr">
        <is>
          <t>단독다가구</t>
        </is>
      </c>
      <c r="I5965" s="3" t="inlineStr">
        <is>
          <t>단독</t>
        </is>
      </c>
      <c r="J5965" s="3" t="inlineStr">
        <is>
          <t>조치원읍</t>
        </is>
      </c>
    </row>
    <row r="5966">
      <c r="A5966" s="3" t="n">
        <v>2026</v>
      </c>
      <c r="B5966" s="4" t="n">
        <v>24000</v>
      </c>
      <c r="C5966" s="4" t="n">
        <v>380</v>
      </c>
      <c r="D5966" s="4" t="n">
        <v>114.95</v>
      </c>
      <c r="E5966" s="5" t="n">
        <v>208.8</v>
      </c>
      <c r="F5966" s="3" t="inlineStr">
        <is>
          <t>연서면</t>
        </is>
      </c>
      <c r="G5966" s="3" t="inlineStr">
        <is>
          <t>용암리</t>
        </is>
      </c>
      <c r="H5966" s="3" t="inlineStr">
        <is>
          <t>단독다가구</t>
        </is>
      </c>
      <c r="I5966" s="3" t="inlineStr">
        <is>
          <t>단독</t>
        </is>
      </c>
      <c r="J5966" s="3" t="inlineStr">
        <is>
          <t>연서면</t>
        </is>
      </c>
    </row>
    <row r="5967">
      <c r="A5967" s="3" t="n">
        <v>2026</v>
      </c>
      <c r="B5967" s="4" t="n">
        <v>9000</v>
      </c>
      <c r="C5967" s="4" t="n">
        <v>172</v>
      </c>
      <c r="D5967" s="4" t="n">
        <v>52.03</v>
      </c>
      <c r="E5967" s="5" t="n">
        <v>173</v>
      </c>
      <c r="F5967" s="3" t="inlineStr">
        <is>
          <t>부강면</t>
        </is>
      </c>
      <c r="G5967" s="3" t="inlineStr">
        <is>
          <t>갈산리</t>
        </is>
      </c>
      <c r="H5967" s="3" t="inlineStr">
        <is>
          <t>단독다가구</t>
        </is>
      </c>
      <c r="I5967" s="3" t="inlineStr">
        <is>
          <t>단독</t>
        </is>
      </c>
      <c r="J5967" s="3" t="inlineStr">
        <is>
          <t>부강면</t>
        </is>
      </c>
    </row>
    <row r="5968">
      <c r="A5968" s="3" t="n">
        <v>2026</v>
      </c>
      <c r="B5968" s="4" t="n">
        <v>110000</v>
      </c>
      <c r="C5968" s="4" t="n">
        <v>300.2</v>
      </c>
      <c r="D5968" s="4" t="n">
        <v>90.81049999999999</v>
      </c>
      <c r="E5968" s="5" t="n">
        <v>1211.3</v>
      </c>
      <c r="F5968" s="3" t="inlineStr">
        <is>
          <t>조치원읍</t>
        </is>
      </c>
      <c r="G5968" s="3" t="inlineStr">
        <is>
          <t>침산리</t>
        </is>
      </c>
      <c r="H5968" s="3" t="inlineStr">
        <is>
          <t>단독다가구</t>
        </is>
      </c>
      <c r="I5968" s="3" t="inlineStr">
        <is>
          <t>다가구</t>
        </is>
      </c>
      <c r="J5968" s="3" t="inlineStr">
        <is>
          <t>조치원읍</t>
        </is>
      </c>
    </row>
    <row r="5969">
      <c r="A5969" s="3" t="n">
        <v>2026</v>
      </c>
      <c r="B5969" s="4" t="n">
        <v>55000</v>
      </c>
      <c r="C5969" s="4" t="n">
        <v>159</v>
      </c>
      <c r="D5969" s="4" t="n">
        <v>48.0975</v>
      </c>
      <c r="E5969" s="5" t="n">
        <v>1143.5</v>
      </c>
      <c r="F5969" s="3" t="inlineStr">
        <is>
          <t>부강면</t>
        </is>
      </c>
      <c r="G5969" s="3" t="inlineStr">
        <is>
          <t>부강리</t>
        </is>
      </c>
      <c r="H5969" s="3" t="inlineStr">
        <is>
          <t>단독다가구</t>
        </is>
      </c>
      <c r="I5969" s="3" t="inlineStr">
        <is>
          <t>단독</t>
        </is>
      </c>
      <c r="J5969" s="3" t="inlineStr">
        <is>
          <t>부강면</t>
        </is>
      </c>
    </row>
    <row r="5970">
      <c r="A5970" s="3" t="n">
        <v>2026</v>
      </c>
      <c r="B5970" s="4" t="n">
        <v>60000</v>
      </c>
      <c r="C5970" s="4" t="n">
        <v>521</v>
      </c>
      <c r="D5970" s="4" t="n">
        <v>157.6025</v>
      </c>
      <c r="E5970" s="5" t="n">
        <v>380.7</v>
      </c>
      <c r="F5970" s="3" t="inlineStr">
        <is>
          <t>연서면</t>
        </is>
      </c>
      <c r="G5970" s="3" t="inlineStr">
        <is>
          <t>봉암리</t>
        </is>
      </c>
      <c r="H5970" s="3" t="inlineStr">
        <is>
          <t>단독다가구</t>
        </is>
      </c>
      <c r="I5970" s="3" t="inlineStr">
        <is>
          <t>다가구</t>
        </is>
      </c>
      <c r="J5970" s="3" t="inlineStr">
        <is>
          <t>연서면</t>
        </is>
      </c>
    </row>
    <row r="5971">
      <c r="A5971" s="3" t="n">
        <v>2026</v>
      </c>
      <c r="B5971" s="4" t="n">
        <v>105000</v>
      </c>
      <c r="C5971" s="4" t="n">
        <v>269</v>
      </c>
      <c r="D5971" s="4" t="n">
        <v>81.3725</v>
      </c>
      <c r="E5971" s="5" t="n">
        <v>1290.4</v>
      </c>
      <c r="F5971" s="3" t="inlineStr">
        <is>
          <t>부강면</t>
        </is>
      </c>
      <c r="G5971" s="3" t="inlineStr">
        <is>
          <t>부강리</t>
        </is>
      </c>
      <c r="H5971" s="3" t="inlineStr">
        <is>
          <t>단독다가구</t>
        </is>
      </c>
      <c r="I5971" s="3" t="inlineStr">
        <is>
          <t>다가구</t>
        </is>
      </c>
      <c r="J5971" s="3" t="inlineStr">
        <is>
          <t>부강면</t>
        </is>
      </c>
    </row>
    <row r="5972">
      <c r="A5972" s="3" t="n">
        <v>2026</v>
      </c>
      <c r="B5972" s="4" t="n">
        <v>100000</v>
      </c>
      <c r="C5972" s="4" t="n">
        <v>407.8</v>
      </c>
      <c r="D5972" s="4" t="n">
        <v>123.3595</v>
      </c>
      <c r="E5972" s="5" t="n">
        <v>810.6</v>
      </c>
      <c r="F5972" s="3" t="inlineStr">
        <is>
          <t>조치원읍</t>
        </is>
      </c>
      <c r="G5972" s="3" t="inlineStr">
        <is>
          <t>남리</t>
        </is>
      </c>
      <c r="H5972" s="3" t="inlineStr">
        <is>
          <t>단독다가구</t>
        </is>
      </c>
      <c r="I5972" s="3" t="inlineStr">
        <is>
          <t>다가구</t>
        </is>
      </c>
      <c r="J5972" s="3" t="inlineStr">
        <is>
          <t>조치원읍</t>
        </is>
      </c>
    </row>
    <row r="5973">
      <c r="A5973" s="3" t="n">
        <v>2026</v>
      </c>
      <c r="B5973" s="4" t="n">
        <v>20000</v>
      </c>
      <c r="C5973" s="4" t="n">
        <v>184</v>
      </c>
      <c r="D5973" s="4" t="n">
        <v>55.66</v>
      </c>
      <c r="E5973" s="5" t="n">
        <v>359.3</v>
      </c>
      <c r="F5973" s="3" t="inlineStr">
        <is>
          <t>부강면</t>
        </is>
      </c>
      <c r="G5973" s="3" t="inlineStr">
        <is>
          <t>부강리</t>
        </is>
      </c>
      <c r="H5973" s="3" t="inlineStr">
        <is>
          <t>단독다가구</t>
        </is>
      </c>
      <c r="I5973" s="3" t="inlineStr">
        <is>
          <t>단독</t>
        </is>
      </c>
      <c r="J5973" s="3" t="inlineStr">
        <is>
          <t>부강면</t>
        </is>
      </c>
    </row>
    <row r="5974">
      <c r="A5974" s="3" t="n">
        <v>2026</v>
      </c>
      <c r="B5974" s="4" t="n">
        <v>4300</v>
      </c>
      <c r="C5974" s="4" t="n">
        <v>93</v>
      </c>
      <c r="D5974" s="4" t="n">
        <v>28.1325</v>
      </c>
      <c r="E5974" s="5" t="n">
        <v>152.8</v>
      </c>
      <c r="F5974" s="3" t="inlineStr">
        <is>
          <t>조치원읍</t>
        </is>
      </c>
      <c r="G5974" s="3" t="inlineStr">
        <is>
          <t>평리</t>
        </is>
      </c>
      <c r="H5974" s="3" t="inlineStr">
        <is>
          <t>단독다가구</t>
        </is>
      </c>
      <c r="I5974" s="3" t="inlineStr">
        <is>
          <t>단독</t>
        </is>
      </c>
      <c r="J5974" s="3" t="inlineStr">
        <is>
          <t>조치원읍</t>
        </is>
      </c>
    </row>
    <row r="5975">
      <c r="A5975" s="3" t="n">
        <v>2026</v>
      </c>
      <c r="B5975" s="4" t="n">
        <v>138500</v>
      </c>
      <c r="C5975" s="4" t="n">
        <v>346.3</v>
      </c>
      <c r="D5975" s="4" t="n">
        <v>104.75575</v>
      </c>
      <c r="E5975" s="5" t="n">
        <v>1322.1</v>
      </c>
      <c r="F5975" s="3" t="inlineStr">
        <is>
          <t>조치원읍</t>
        </is>
      </c>
      <c r="G5975" s="3" t="inlineStr">
        <is>
          <t>남리</t>
        </is>
      </c>
      <c r="H5975" s="3" t="inlineStr">
        <is>
          <t>단독다가구</t>
        </is>
      </c>
      <c r="I5975" s="3" t="inlineStr">
        <is>
          <t>다가구</t>
        </is>
      </c>
      <c r="J5975" s="3" t="inlineStr">
        <is>
          <t>조치원읍</t>
        </is>
      </c>
    </row>
    <row r="5976">
      <c r="A5976" s="3" t="n">
        <v>2022</v>
      </c>
      <c r="B5976" s="4" t="n">
        <v>22000</v>
      </c>
      <c r="C5976" s="4" t="n">
        <v>123</v>
      </c>
      <c r="D5976" s="4" t="n">
        <v>37.2075</v>
      </c>
      <c r="E5976" s="5" t="n">
        <v>591.3</v>
      </c>
      <c r="F5976" s="3" t="inlineStr">
        <is>
          <t>조치원읍</t>
        </is>
      </c>
      <c r="G5976" s="3" t="inlineStr">
        <is>
          <t>상리</t>
        </is>
      </c>
      <c r="H5976" s="3" t="inlineStr">
        <is>
          <t>단독다가구</t>
        </is>
      </c>
      <c r="I5976" s="3" t="inlineStr">
        <is>
          <t>단독</t>
        </is>
      </c>
      <c r="J5976" s="3" t="inlineStr">
        <is>
          <t>조치원읍</t>
        </is>
      </c>
    </row>
    <row r="5977">
      <c r="A5977" s="3" t="n">
        <v>2022</v>
      </c>
      <c r="B5977" s="4" t="n">
        <v>20000</v>
      </c>
      <c r="C5977" s="4" t="n">
        <v>193</v>
      </c>
      <c r="D5977" s="4" t="n">
        <v>58.3825</v>
      </c>
      <c r="E5977" s="5" t="n">
        <v>342.6</v>
      </c>
      <c r="F5977" s="3" t="inlineStr">
        <is>
          <t>조치원읍</t>
        </is>
      </c>
      <c r="G5977" s="3" t="inlineStr">
        <is>
          <t>남리</t>
        </is>
      </c>
      <c r="H5977" s="3" t="inlineStr">
        <is>
          <t>단독다가구</t>
        </is>
      </c>
      <c r="I5977" s="3" t="inlineStr">
        <is>
          <t>단독</t>
        </is>
      </c>
      <c r="J5977" s="3" t="inlineStr">
        <is>
          <t>조치원읍</t>
        </is>
      </c>
    </row>
    <row r="5978">
      <c r="A5978" s="3" t="n">
        <v>2022</v>
      </c>
      <c r="B5978" s="4" t="n">
        <v>50000</v>
      </c>
      <c r="C5978" s="4" t="n">
        <v>827</v>
      </c>
      <c r="D5978" s="4" t="n">
        <v>250.1675</v>
      </c>
      <c r="E5978" s="5" t="n">
        <v>199.9</v>
      </c>
      <c r="F5978" s="3" t="inlineStr">
        <is>
          <t>연서면</t>
        </is>
      </c>
      <c r="G5978" s="3" t="inlineStr">
        <is>
          <t>와촌리</t>
        </is>
      </c>
      <c r="H5978" s="3" t="inlineStr">
        <is>
          <t>단독다가구</t>
        </is>
      </c>
      <c r="I5978" s="3" t="inlineStr">
        <is>
          <t>단독</t>
        </is>
      </c>
      <c r="J5978" s="3" t="inlineStr">
        <is>
          <t>연서면</t>
        </is>
      </c>
    </row>
    <row r="5979">
      <c r="A5979" s="3" t="n">
        <v>2022</v>
      </c>
      <c r="B5979" s="4" t="n">
        <v>13500</v>
      </c>
      <c r="C5979" s="4" t="n">
        <v>109</v>
      </c>
      <c r="D5979" s="4" t="n">
        <v>32.9725</v>
      </c>
      <c r="E5979" s="5" t="n">
        <v>409.4</v>
      </c>
      <c r="F5979" s="3" t="inlineStr">
        <is>
          <t>조치원읍</t>
        </is>
      </c>
      <c r="G5979" s="3" t="inlineStr">
        <is>
          <t>신흥리</t>
        </is>
      </c>
      <c r="H5979" s="3" t="inlineStr">
        <is>
          <t>단독다가구</t>
        </is>
      </c>
      <c r="I5979" s="3" t="inlineStr">
        <is>
          <t>단독</t>
        </is>
      </c>
      <c r="J5979" s="3" t="inlineStr">
        <is>
          <t>조치원읍</t>
        </is>
      </c>
    </row>
    <row r="5980">
      <c r="A5980" s="3" t="n">
        <v>2022</v>
      </c>
      <c r="B5980" s="4" t="n">
        <v>32280</v>
      </c>
      <c r="C5980" s="4" t="n">
        <v>79</v>
      </c>
      <c r="D5980" s="4" t="n">
        <v>23.8975</v>
      </c>
      <c r="E5980" s="5" t="n">
        <v>1350.8</v>
      </c>
      <c r="F5980" s="3" t="inlineStr">
        <is>
          <t>조치원읍</t>
        </is>
      </c>
      <c r="G5980" s="3" t="inlineStr">
        <is>
          <t>상리</t>
        </is>
      </c>
      <c r="H5980" s="3" t="inlineStr">
        <is>
          <t>단독다가구</t>
        </is>
      </c>
      <c r="I5980" s="3" t="inlineStr">
        <is>
          <t>단독</t>
        </is>
      </c>
      <c r="J5980" s="3" t="inlineStr">
        <is>
          <t>조치원읍</t>
        </is>
      </c>
    </row>
    <row r="5981">
      <c r="A5981" s="3" t="n">
        <v>2022</v>
      </c>
      <c r="B5981" s="4" t="n">
        <v>60000</v>
      </c>
      <c r="C5981" s="4" t="n">
        <v>173</v>
      </c>
      <c r="D5981" s="4" t="n">
        <v>52.3325</v>
      </c>
      <c r="E5981" s="5" t="n">
        <v>1146.5</v>
      </c>
      <c r="F5981" s="3" t="inlineStr">
        <is>
          <t>조치원읍</t>
        </is>
      </c>
      <c r="G5981" s="3" t="inlineStr">
        <is>
          <t>신안리</t>
        </is>
      </c>
      <c r="H5981" s="3" t="inlineStr">
        <is>
          <t>단독다가구</t>
        </is>
      </c>
      <c r="I5981" s="3" t="inlineStr">
        <is>
          <t>다가구</t>
        </is>
      </c>
      <c r="J5981" s="3" t="inlineStr">
        <is>
          <t>조치원읍</t>
        </is>
      </c>
    </row>
    <row r="5982">
      <c r="A5982" s="3" t="n">
        <v>2022</v>
      </c>
      <c r="B5982" s="4" t="n">
        <v>70000</v>
      </c>
      <c r="C5982" s="4" t="n">
        <v>289.7014</v>
      </c>
      <c r="D5982" s="4" t="n">
        <v>87.63467349999999</v>
      </c>
      <c r="E5982" s="5" t="n">
        <v>798.8</v>
      </c>
      <c r="F5982" s="3" t="inlineStr">
        <is>
          <t>고운동</t>
        </is>
      </c>
      <c r="G5982" s="3" t="inlineStr"/>
      <c r="H5982" s="3" t="inlineStr">
        <is>
          <t>단독다가구</t>
        </is>
      </c>
      <c r="I5982" s="3" t="inlineStr">
        <is>
          <t>단독</t>
        </is>
      </c>
      <c r="J5982" s="3" t="inlineStr">
        <is>
          <t>고운동</t>
        </is>
      </c>
    </row>
    <row r="5983">
      <c r="A5983" s="3" t="n">
        <v>2022</v>
      </c>
      <c r="B5983" s="4" t="n">
        <v>22000</v>
      </c>
      <c r="C5983" s="4" t="n">
        <v>298</v>
      </c>
      <c r="D5983" s="4" t="n">
        <v>90.145</v>
      </c>
      <c r="E5983" s="5" t="n">
        <v>244.1</v>
      </c>
      <c r="F5983" s="3" t="inlineStr">
        <is>
          <t>부강면</t>
        </is>
      </c>
      <c r="G5983" s="3" t="inlineStr">
        <is>
          <t>문곡리</t>
        </is>
      </c>
      <c r="H5983" s="3" t="inlineStr">
        <is>
          <t>단독다가구</t>
        </is>
      </c>
      <c r="I5983" s="3" t="inlineStr">
        <is>
          <t>단독</t>
        </is>
      </c>
      <c r="J5983" s="3" t="inlineStr">
        <is>
          <t>부강면</t>
        </is>
      </c>
    </row>
    <row r="5984">
      <c r="A5984" s="3" t="n">
        <v>2022</v>
      </c>
      <c r="B5984" s="4" t="n">
        <v>8800</v>
      </c>
      <c r="C5984" s="4" t="n">
        <v>205</v>
      </c>
      <c r="D5984" s="4" t="n">
        <v>62.0125</v>
      </c>
      <c r="E5984" s="5" t="n">
        <v>141.9</v>
      </c>
      <c r="F5984" s="3" t="inlineStr">
        <is>
          <t>연서면</t>
        </is>
      </c>
      <c r="G5984" s="3" t="inlineStr">
        <is>
          <t>신대리</t>
        </is>
      </c>
      <c r="H5984" s="3" t="inlineStr">
        <is>
          <t>단독다가구</t>
        </is>
      </c>
      <c r="I5984" s="3" t="inlineStr">
        <is>
          <t>단독</t>
        </is>
      </c>
      <c r="J5984" s="3" t="inlineStr">
        <is>
          <t>연서면</t>
        </is>
      </c>
    </row>
    <row r="5985">
      <c r="A5985" s="3" t="n">
        <v>2022</v>
      </c>
      <c r="B5985" s="4" t="n">
        <v>57671</v>
      </c>
      <c r="C5985" s="4" t="n">
        <v>393</v>
      </c>
      <c r="D5985" s="4" t="n">
        <v>118.8825</v>
      </c>
      <c r="E5985" s="5" t="n">
        <v>485.1</v>
      </c>
      <c r="F5985" s="3" t="inlineStr">
        <is>
          <t>연서면</t>
        </is>
      </c>
      <c r="G5985" s="3" t="inlineStr">
        <is>
          <t>봉암리</t>
        </is>
      </c>
      <c r="H5985" s="3" t="inlineStr">
        <is>
          <t>단독다가구</t>
        </is>
      </c>
      <c r="I5985" s="3" t="inlineStr">
        <is>
          <t>다가구</t>
        </is>
      </c>
      <c r="J5985" s="3" t="inlineStr">
        <is>
          <t>연서면</t>
        </is>
      </c>
    </row>
    <row r="5986">
      <c r="A5986" s="3" t="n">
        <v>2024</v>
      </c>
      <c r="B5986" s="4" t="n">
        <v>29880</v>
      </c>
      <c r="C5986" s="4" t="n">
        <v>142</v>
      </c>
      <c r="D5986" s="4" t="n">
        <v>42.955</v>
      </c>
      <c r="E5986" s="5" t="n">
        <v>695.6</v>
      </c>
      <c r="F5986" s="3" t="inlineStr">
        <is>
          <t>조치원읍</t>
        </is>
      </c>
      <c r="G5986" s="3" t="inlineStr">
        <is>
          <t>명리</t>
        </is>
      </c>
      <c r="H5986" s="3" t="inlineStr">
        <is>
          <t>단독다가구</t>
        </is>
      </c>
      <c r="I5986" s="3" t="inlineStr">
        <is>
          <t>단독</t>
        </is>
      </c>
      <c r="J5986" s="3" t="inlineStr">
        <is>
          <t>조치원읍</t>
        </is>
      </c>
    </row>
    <row r="5987">
      <c r="A5987" s="3" t="n">
        <v>2024</v>
      </c>
      <c r="B5987" s="4" t="n">
        <v>15300</v>
      </c>
      <c r="C5987" s="4" t="n">
        <v>134.9</v>
      </c>
      <c r="D5987" s="4" t="n">
        <v>40.80725</v>
      </c>
      <c r="E5987" s="5" t="n">
        <v>374.9</v>
      </c>
      <c r="F5987" s="3" t="inlineStr">
        <is>
          <t>조치원읍</t>
        </is>
      </c>
      <c r="G5987" s="3" t="inlineStr">
        <is>
          <t>남리</t>
        </is>
      </c>
      <c r="H5987" s="3" t="inlineStr">
        <is>
          <t>단독다가구</t>
        </is>
      </c>
      <c r="I5987" s="3" t="inlineStr">
        <is>
          <t>단독</t>
        </is>
      </c>
      <c r="J5987" s="3" t="inlineStr">
        <is>
          <t>조치원읍</t>
        </is>
      </c>
    </row>
    <row r="5988">
      <c r="A5988" s="3" t="n">
        <v>2022</v>
      </c>
      <c r="B5988" s="4" t="n">
        <v>95000</v>
      </c>
      <c r="C5988" s="4" t="n">
        <v>379</v>
      </c>
      <c r="D5988" s="4" t="n">
        <v>114.6475</v>
      </c>
      <c r="E5988" s="5" t="n">
        <v>828.6</v>
      </c>
      <c r="F5988" s="3" t="inlineStr">
        <is>
          <t>조치원읍</t>
        </is>
      </c>
      <c r="G5988" s="3" t="inlineStr">
        <is>
          <t>남리</t>
        </is>
      </c>
      <c r="H5988" s="3" t="inlineStr">
        <is>
          <t>단독다가구</t>
        </is>
      </c>
      <c r="I5988" s="3" t="inlineStr">
        <is>
          <t>다가구</t>
        </is>
      </c>
      <c r="J5988" s="3" t="inlineStr">
        <is>
          <t>조치원읍</t>
        </is>
      </c>
    </row>
    <row r="5989">
      <c r="A5989" s="3" t="n">
        <v>2022</v>
      </c>
      <c r="B5989" s="4" t="n">
        <v>95000</v>
      </c>
      <c r="C5989" s="4" t="n">
        <v>379</v>
      </c>
      <c r="D5989" s="4" t="n">
        <v>114.6475</v>
      </c>
      <c r="E5989" s="5" t="n">
        <v>828.6</v>
      </c>
      <c r="F5989" s="3" t="inlineStr">
        <is>
          <t>조치원읍</t>
        </is>
      </c>
      <c r="G5989" s="3" t="inlineStr">
        <is>
          <t>남리</t>
        </is>
      </c>
      <c r="H5989" s="3" t="inlineStr">
        <is>
          <t>단독다가구</t>
        </is>
      </c>
      <c r="I5989" s="3" t="inlineStr">
        <is>
          <t>다가구</t>
        </is>
      </c>
      <c r="J5989" s="3" t="inlineStr">
        <is>
          <t>조치원읍</t>
        </is>
      </c>
    </row>
    <row r="5990">
      <c r="A5990" s="3" t="n">
        <v>2022</v>
      </c>
      <c r="B5990" s="4" t="n">
        <v>17000</v>
      </c>
      <c r="C5990" s="4" t="n">
        <v>179</v>
      </c>
      <c r="D5990" s="4" t="n">
        <v>54.1475</v>
      </c>
      <c r="E5990" s="5" t="n">
        <v>314</v>
      </c>
      <c r="F5990" s="3" t="inlineStr">
        <is>
          <t>조치원읍</t>
        </is>
      </c>
      <c r="G5990" s="3" t="inlineStr">
        <is>
          <t>신흥리</t>
        </is>
      </c>
      <c r="H5990" s="3" t="inlineStr">
        <is>
          <t>단독다가구</t>
        </is>
      </c>
      <c r="I5990" s="3" t="inlineStr">
        <is>
          <t>단독</t>
        </is>
      </c>
      <c r="J5990" s="3" t="inlineStr">
        <is>
          <t>조치원읍</t>
        </is>
      </c>
    </row>
    <row r="5991">
      <c r="A5991" s="3" t="n">
        <v>2022</v>
      </c>
      <c r="B5991" s="4" t="n">
        <v>64000</v>
      </c>
      <c r="C5991" s="4" t="n">
        <v>588</v>
      </c>
      <c r="D5991" s="4" t="n">
        <v>177.87</v>
      </c>
      <c r="E5991" s="5" t="n">
        <v>359.8</v>
      </c>
      <c r="F5991" s="3" t="inlineStr">
        <is>
          <t>조치원읍</t>
        </is>
      </c>
      <c r="G5991" s="3" t="inlineStr">
        <is>
          <t>신안리</t>
        </is>
      </c>
      <c r="H5991" s="3" t="inlineStr">
        <is>
          <t>단독다가구</t>
        </is>
      </c>
      <c r="I5991" s="3" t="inlineStr">
        <is>
          <t>다가구</t>
        </is>
      </c>
      <c r="J5991" s="3" t="inlineStr">
        <is>
          <t>조치원읍</t>
        </is>
      </c>
    </row>
    <row r="5992">
      <c r="A5992" s="3" t="n">
        <v>2022</v>
      </c>
      <c r="B5992" s="4" t="n">
        <v>20000</v>
      </c>
      <c r="C5992" s="4" t="n">
        <v>537</v>
      </c>
      <c r="D5992" s="4" t="n">
        <v>162.4425</v>
      </c>
      <c r="E5992" s="5" t="n">
        <v>123.1</v>
      </c>
      <c r="F5992" s="3" t="inlineStr">
        <is>
          <t>연서면</t>
        </is>
      </c>
      <c r="G5992" s="3" t="inlineStr">
        <is>
          <t>성제리</t>
        </is>
      </c>
      <c r="H5992" s="3" t="inlineStr">
        <is>
          <t>단독다가구</t>
        </is>
      </c>
      <c r="I5992" s="3" t="inlineStr">
        <is>
          <t>단독</t>
        </is>
      </c>
      <c r="J5992" s="3" t="inlineStr">
        <is>
          <t>연서면</t>
        </is>
      </c>
    </row>
    <row r="5993">
      <c r="A5993" s="3" t="n">
        <v>2022</v>
      </c>
      <c r="B5993" s="4" t="n">
        <v>85000</v>
      </c>
      <c r="C5993" s="4" t="n">
        <v>1003</v>
      </c>
      <c r="D5993" s="4" t="n">
        <v>303.4075</v>
      </c>
      <c r="E5993" s="5" t="n">
        <v>280.2</v>
      </c>
      <c r="F5993" s="3" t="inlineStr">
        <is>
          <t>연서면</t>
        </is>
      </c>
      <c r="G5993" s="3" t="inlineStr">
        <is>
          <t>월하리</t>
        </is>
      </c>
      <c r="H5993" s="3" t="inlineStr">
        <is>
          <t>단독다가구</t>
        </is>
      </c>
      <c r="I5993" s="3" t="inlineStr">
        <is>
          <t>단독</t>
        </is>
      </c>
      <c r="J5993" s="3" t="inlineStr">
        <is>
          <t>연서면</t>
        </is>
      </c>
    </row>
    <row r="5994">
      <c r="A5994" s="3" t="n">
        <v>2022</v>
      </c>
      <c r="B5994" s="4" t="n">
        <v>52500</v>
      </c>
      <c r="C5994" s="4" t="n">
        <v>412</v>
      </c>
      <c r="D5994" s="4" t="n">
        <v>124.63</v>
      </c>
      <c r="E5994" s="5" t="n">
        <v>421.2</v>
      </c>
      <c r="F5994" s="3" t="inlineStr">
        <is>
          <t>연동면</t>
        </is>
      </c>
      <c r="G5994" s="3" t="inlineStr">
        <is>
          <t>문주리</t>
        </is>
      </c>
      <c r="H5994" s="3" t="inlineStr">
        <is>
          <t>단독다가구</t>
        </is>
      </c>
      <c r="I5994" s="3" t="inlineStr">
        <is>
          <t>단독</t>
        </is>
      </c>
      <c r="J5994" s="3" t="inlineStr">
        <is>
          <t>연동면</t>
        </is>
      </c>
    </row>
    <row r="5995">
      <c r="A5995" s="3" t="n">
        <v>2024</v>
      </c>
      <c r="B5995" s="4" t="n">
        <v>67000</v>
      </c>
      <c r="C5995" s="4" t="n">
        <v>214.4</v>
      </c>
      <c r="D5995" s="4" t="n">
        <v>64.85599999999999</v>
      </c>
      <c r="E5995" s="5" t="n">
        <v>1033.1</v>
      </c>
      <c r="F5995" s="3" t="inlineStr">
        <is>
          <t>조치원읍</t>
        </is>
      </c>
      <c r="G5995" s="3" t="inlineStr">
        <is>
          <t>침산리</t>
        </is>
      </c>
      <c r="H5995" s="3" t="inlineStr">
        <is>
          <t>단독다가구</t>
        </is>
      </c>
      <c r="I5995" s="3" t="inlineStr">
        <is>
          <t>다가구</t>
        </is>
      </c>
      <c r="J5995" s="3" t="inlineStr">
        <is>
          <t>조치원읍</t>
        </is>
      </c>
    </row>
    <row r="5996">
      <c r="A5996" s="3" t="n">
        <v>2024</v>
      </c>
      <c r="B5996" s="4" t="n">
        <v>15400</v>
      </c>
      <c r="C5996" s="4" t="n">
        <v>539</v>
      </c>
      <c r="D5996" s="4" t="n">
        <v>163.0475</v>
      </c>
      <c r="E5996" s="5" t="n">
        <v>94.5</v>
      </c>
      <c r="F5996" s="3" t="inlineStr">
        <is>
          <t>부강면</t>
        </is>
      </c>
      <c r="G5996" s="3" t="inlineStr">
        <is>
          <t>등곡리</t>
        </is>
      </c>
      <c r="H5996" s="3" t="inlineStr">
        <is>
          <t>단독다가구</t>
        </is>
      </c>
      <c r="I5996" s="3" t="inlineStr">
        <is>
          <t>단독</t>
        </is>
      </c>
      <c r="J5996" s="3" t="inlineStr">
        <is>
          <t>부강면</t>
        </is>
      </c>
    </row>
    <row r="5997">
      <c r="A5997" s="3" t="n">
        <v>2024</v>
      </c>
      <c r="B5997" s="4" t="n">
        <v>18000</v>
      </c>
      <c r="C5997" s="4" t="n">
        <v>116</v>
      </c>
      <c r="D5997" s="4" t="n">
        <v>35.09</v>
      </c>
      <c r="E5997" s="5" t="n">
        <v>513</v>
      </c>
      <c r="F5997" s="3" t="inlineStr">
        <is>
          <t>조치원읍</t>
        </is>
      </c>
      <c r="G5997" s="3" t="inlineStr">
        <is>
          <t>남리</t>
        </is>
      </c>
      <c r="H5997" s="3" t="inlineStr">
        <is>
          <t>단독다가구</t>
        </is>
      </c>
      <c r="I5997" s="3" t="inlineStr">
        <is>
          <t>단독</t>
        </is>
      </c>
      <c r="J5997" s="3" t="inlineStr">
        <is>
          <t>조치원읍</t>
        </is>
      </c>
    </row>
    <row r="5998">
      <c r="A5998" s="3" t="n">
        <v>2024</v>
      </c>
      <c r="B5998" s="4" t="n">
        <v>80770</v>
      </c>
      <c r="C5998" s="4" t="n">
        <v>511</v>
      </c>
      <c r="D5998" s="4" t="n">
        <v>154.5775</v>
      </c>
      <c r="E5998" s="5" t="n">
        <v>522.5</v>
      </c>
      <c r="F5998" s="3" t="inlineStr">
        <is>
          <t>조치원읍</t>
        </is>
      </c>
      <c r="G5998" s="3" t="inlineStr">
        <is>
          <t>신안리</t>
        </is>
      </c>
      <c r="H5998" s="3" t="inlineStr">
        <is>
          <t>단독다가구</t>
        </is>
      </c>
      <c r="I5998" s="3" t="inlineStr">
        <is>
          <t>다가구</t>
        </is>
      </c>
      <c r="J5998" s="3" t="inlineStr">
        <is>
          <t>조치원읍</t>
        </is>
      </c>
    </row>
    <row r="5999">
      <c r="A5999" s="3" t="n">
        <v>2024</v>
      </c>
      <c r="B5999" s="4" t="n">
        <v>15000</v>
      </c>
      <c r="C5999" s="4" t="n">
        <v>817</v>
      </c>
      <c r="D5999" s="4" t="n">
        <v>247.1425</v>
      </c>
      <c r="E5999" s="5" t="n">
        <v>60.7</v>
      </c>
      <c r="F5999" s="3" t="inlineStr">
        <is>
          <t>부강면</t>
        </is>
      </c>
      <c r="G5999" s="3" t="inlineStr">
        <is>
          <t>문곡리</t>
        </is>
      </c>
      <c r="H5999" s="3" t="inlineStr">
        <is>
          <t>단독다가구</t>
        </is>
      </c>
      <c r="I5999" s="3" t="inlineStr">
        <is>
          <t>단독</t>
        </is>
      </c>
      <c r="J5999" s="3" t="inlineStr">
        <is>
          <t>부강면</t>
        </is>
      </c>
    </row>
    <row r="6000">
      <c r="A6000" s="3" t="n">
        <v>2024</v>
      </c>
      <c r="B6000" s="4" t="n">
        <v>122134</v>
      </c>
      <c r="C6000" s="4" t="n">
        <v>347</v>
      </c>
      <c r="D6000" s="4" t="n">
        <v>104.9675</v>
      </c>
      <c r="E6000" s="5" t="n">
        <v>1163.5</v>
      </c>
      <c r="F6000" s="3" t="inlineStr">
        <is>
          <t>고운동</t>
        </is>
      </c>
      <c r="G6000" s="3" t="inlineStr"/>
      <c r="H6000" s="3" t="inlineStr">
        <is>
          <t>단독다가구</t>
        </is>
      </c>
      <c r="I6000" s="3" t="inlineStr">
        <is>
          <t>단독</t>
        </is>
      </c>
      <c r="J6000" s="3" t="inlineStr">
        <is>
          <t>고운동</t>
        </is>
      </c>
    </row>
    <row r="6001">
      <c r="A6001" s="3" t="n">
        <v>2024</v>
      </c>
      <c r="B6001" s="4" t="n">
        <v>12000</v>
      </c>
      <c r="C6001" s="4" t="n">
        <v>155</v>
      </c>
      <c r="D6001" s="4" t="n">
        <v>46.8875</v>
      </c>
      <c r="E6001" s="5" t="n">
        <v>255.9</v>
      </c>
      <c r="F6001" s="3" t="inlineStr">
        <is>
          <t>연서면</t>
        </is>
      </c>
      <c r="G6001" s="3" t="inlineStr">
        <is>
          <t>용암리</t>
        </is>
      </c>
      <c r="H6001" s="3" t="inlineStr">
        <is>
          <t>단독다가구</t>
        </is>
      </c>
      <c r="I6001" s="3" t="inlineStr">
        <is>
          <t>단독</t>
        </is>
      </c>
      <c r="J6001" s="3" t="inlineStr">
        <is>
          <t>연서면</t>
        </is>
      </c>
    </row>
    <row r="6002">
      <c r="A6002" s="3" t="n">
        <v>2024</v>
      </c>
      <c r="B6002" s="4" t="n">
        <v>15000</v>
      </c>
      <c r="C6002" s="4" t="n">
        <v>265</v>
      </c>
      <c r="D6002" s="4" t="n">
        <v>80.16249999999999</v>
      </c>
      <c r="E6002" s="5" t="n">
        <v>187.1</v>
      </c>
      <c r="F6002" s="3" t="inlineStr">
        <is>
          <t>부강면</t>
        </is>
      </c>
      <c r="G6002" s="3" t="inlineStr">
        <is>
          <t>문곡리</t>
        </is>
      </c>
      <c r="H6002" s="3" t="inlineStr">
        <is>
          <t>단독다가구</t>
        </is>
      </c>
      <c r="I6002" s="3" t="inlineStr">
        <is>
          <t>단독</t>
        </is>
      </c>
      <c r="J6002" s="3" t="inlineStr">
        <is>
          <t>부강면</t>
        </is>
      </c>
    </row>
    <row r="6003">
      <c r="A6003" s="3" t="n">
        <v>2024</v>
      </c>
      <c r="B6003" s="4" t="n">
        <v>22500</v>
      </c>
      <c r="C6003" s="4" t="n">
        <v>162</v>
      </c>
      <c r="D6003" s="4" t="n">
        <v>49.005</v>
      </c>
      <c r="E6003" s="5" t="n">
        <v>459.1</v>
      </c>
      <c r="F6003" s="3" t="inlineStr">
        <is>
          <t>조치원읍</t>
        </is>
      </c>
      <c r="G6003" s="3" t="inlineStr">
        <is>
          <t>남리</t>
        </is>
      </c>
      <c r="H6003" s="3" t="inlineStr">
        <is>
          <t>단독다가구</t>
        </is>
      </c>
      <c r="I6003" s="3" t="inlineStr">
        <is>
          <t>단독</t>
        </is>
      </c>
      <c r="J6003" s="3" t="inlineStr">
        <is>
          <t>조치원읍</t>
        </is>
      </c>
    </row>
    <row r="6004">
      <c r="A6004" s="3" t="n">
        <v>2023</v>
      </c>
      <c r="B6004" s="4" t="n">
        <v>24000</v>
      </c>
      <c r="C6004" s="4" t="n">
        <v>301</v>
      </c>
      <c r="D6004" s="4" t="n">
        <v>91.05249999999999</v>
      </c>
      <c r="E6004" s="5" t="n">
        <v>263.6</v>
      </c>
      <c r="F6004" s="3" t="inlineStr">
        <is>
          <t>연동면</t>
        </is>
      </c>
      <c r="G6004" s="3" t="inlineStr">
        <is>
          <t>예양리</t>
        </is>
      </c>
      <c r="H6004" s="3" t="inlineStr">
        <is>
          <t>단독다가구</t>
        </is>
      </c>
      <c r="I6004" s="3" t="inlineStr">
        <is>
          <t>단독</t>
        </is>
      </c>
      <c r="J6004" s="3" t="inlineStr">
        <is>
          <t>연동면</t>
        </is>
      </c>
    </row>
    <row r="6005">
      <c r="A6005" s="3" t="n">
        <v>2022</v>
      </c>
      <c r="B6005" s="4" t="n">
        <v>27000</v>
      </c>
      <c r="C6005" s="4" t="n">
        <v>172</v>
      </c>
      <c r="D6005" s="4" t="n">
        <v>52.03</v>
      </c>
      <c r="E6005" s="5" t="n">
        <v>518.9</v>
      </c>
      <c r="F6005" s="3" t="inlineStr">
        <is>
          <t>조치원읍</t>
        </is>
      </c>
      <c r="G6005" s="3" t="inlineStr">
        <is>
          <t>서창리</t>
        </is>
      </c>
      <c r="H6005" s="3" t="inlineStr">
        <is>
          <t>단독다가구</t>
        </is>
      </c>
      <c r="I6005" s="3" t="inlineStr">
        <is>
          <t>다가구</t>
        </is>
      </c>
      <c r="J6005" s="3" t="inlineStr">
        <is>
          <t>조치원읍</t>
        </is>
      </c>
    </row>
    <row r="6006">
      <c r="A6006" s="3" t="n">
        <v>2022</v>
      </c>
      <c r="B6006" s="4" t="n">
        <v>11500</v>
      </c>
      <c r="C6006" s="4" t="n">
        <v>91</v>
      </c>
      <c r="D6006" s="4" t="n">
        <v>27.5275</v>
      </c>
      <c r="E6006" s="5" t="n">
        <v>417.8</v>
      </c>
      <c r="F6006" s="3" t="inlineStr">
        <is>
          <t>조치원읍</t>
        </is>
      </c>
      <c r="G6006" s="3" t="inlineStr">
        <is>
          <t>명리</t>
        </is>
      </c>
      <c r="H6006" s="3" t="inlineStr">
        <is>
          <t>단독다가구</t>
        </is>
      </c>
      <c r="I6006" s="3" t="inlineStr">
        <is>
          <t>단독</t>
        </is>
      </c>
      <c r="J6006" s="3" t="inlineStr">
        <is>
          <t>조치원읍</t>
        </is>
      </c>
    </row>
    <row r="6007">
      <c r="A6007" s="3" t="n">
        <v>2022</v>
      </c>
      <c r="B6007" s="4" t="n">
        <v>35000</v>
      </c>
      <c r="C6007" s="4" t="n">
        <v>742</v>
      </c>
      <c r="D6007" s="4" t="n">
        <v>224.455</v>
      </c>
      <c r="E6007" s="5" t="n">
        <v>155.9</v>
      </c>
      <c r="F6007" s="3" t="inlineStr">
        <is>
          <t>연서면</t>
        </is>
      </c>
      <c r="G6007" s="3" t="inlineStr">
        <is>
          <t>쌍류리</t>
        </is>
      </c>
      <c r="H6007" s="3" t="inlineStr">
        <is>
          <t>단독다가구</t>
        </is>
      </c>
      <c r="I6007" s="3" t="inlineStr">
        <is>
          <t>단독</t>
        </is>
      </c>
      <c r="J6007" s="3" t="inlineStr">
        <is>
          <t>연서면</t>
        </is>
      </c>
    </row>
    <row r="6008">
      <c r="A6008" s="3" t="n">
        <v>2023</v>
      </c>
      <c r="B6008" s="4" t="n">
        <v>16550</v>
      </c>
      <c r="C6008" s="4" t="n">
        <v>228</v>
      </c>
      <c r="D6008" s="4" t="n">
        <v>68.97</v>
      </c>
      <c r="E6008" s="5" t="n">
        <v>240</v>
      </c>
      <c r="F6008" s="3" t="inlineStr">
        <is>
          <t>연동면</t>
        </is>
      </c>
      <c r="G6008" s="3" t="inlineStr">
        <is>
          <t>송용리</t>
        </is>
      </c>
      <c r="H6008" s="3" t="inlineStr">
        <is>
          <t>단독다가구</t>
        </is>
      </c>
      <c r="I6008" s="3" t="inlineStr">
        <is>
          <t>단독</t>
        </is>
      </c>
      <c r="J6008" s="3" t="inlineStr">
        <is>
          <t>연동면</t>
        </is>
      </c>
    </row>
    <row r="6009">
      <c r="A6009" s="3" t="n">
        <v>2023</v>
      </c>
      <c r="B6009" s="4" t="n">
        <v>22000</v>
      </c>
      <c r="C6009" s="4" t="n">
        <v>215</v>
      </c>
      <c r="D6009" s="4" t="n">
        <v>65.03749999999999</v>
      </c>
      <c r="E6009" s="5" t="n">
        <v>338.3</v>
      </c>
      <c r="F6009" s="3" t="inlineStr">
        <is>
          <t>조치원읍</t>
        </is>
      </c>
      <c r="G6009" s="3" t="inlineStr">
        <is>
          <t>평리</t>
        </is>
      </c>
      <c r="H6009" s="3" t="inlineStr">
        <is>
          <t>단독다가구</t>
        </is>
      </c>
      <c r="I6009" s="3" t="inlineStr">
        <is>
          <t>단독</t>
        </is>
      </c>
      <c r="J6009" s="3" t="inlineStr">
        <is>
          <t>조치원읍</t>
        </is>
      </c>
    </row>
    <row r="6010">
      <c r="A6010" s="3" t="n">
        <v>2023</v>
      </c>
      <c r="B6010" s="4" t="n">
        <v>110000</v>
      </c>
      <c r="C6010" s="4" t="n">
        <v>281</v>
      </c>
      <c r="D6010" s="4" t="n">
        <v>85.0025</v>
      </c>
      <c r="E6010" s="5" t="n">
        <v>1294.1</v>
      </c>
      <c r="F6010" s="3" t="inlineStr">
        <is>
          <t>부강면</t>
        </is>
      </c>
      <c r="G6010" s="3" t="inlineStr">
        <is>
          <t>부강리</t>
        </is>
      </c>
      <c r="H6010" s="3" t="inlineStr">
        <is>
          <t>단독다가구</t>
        </is>
      </c>
      <c r="I6010" s="3" t="inlineStr">
        <is>
          <t>다가구</t>
        </is>
      </c>
      <c r="J6010" s="3" t="inlineStr">
        <is>
          <t>부강면</t>
        </is>
      </c>
    </row>
    <row r="6011">
      <c r="A6011" s="3" t="n">
        <v>2023</v>
      </c>
      <c r="B6011" s="4" t="n">
        <v>114570</v>
      </c>
      <c r="C6011" s="4" t="n">
        <v>331.6</v>
      </c>
      <c r="D6011" s="4" t="n">
        <v>100.309</v>
      </c>
      <c r="E6011" s="5" t="n">
        <v>1142.2</v>
      </c>
      <c r="F6011" s="3" t="inlineStr">
        <is>
          <t>고운동</t>
        </is>
      </c>
      <c r="G6011" s="3" t="inlineStr"/>
      <c r="H6011" s="3" t="inlineStr">
        <is>
          <t>단독다가구</t>
        </is>
      </c>
      <c r="I6011" s="3" t="inlineStr">
        <is>
          <t>단독</t>
        </is>
      </c>
      <c r="J6011" s="3" t="inlineStr">
        <is>
          <t>고운동</t>
        </is>
      </c>
    </row>
    <row r="6012">
      <c r="A6012" s="3" t="n">
        <v>2022</v>
      </c>
      <c r="B6012" s="4" t="n">
        <v>16000</v>
      </c>
      <c r="C6012" s="4" t="n">
        <v>210</v>
      </c>
      <c r="D6012" s="4" t="n">
        <v>63.525</v>
      </c>
      <c r="E6012" s="5" t="n">
        <v>251.9</v>
      </c>
      <c r="F6012" s="3" t="inlineStr">
        <is>
          <t>남이면</t>
        </is>
      </c>
      <c r="G6012" s="3" t="inlineStr">
        <is>
          <t>척산리</t>
        </is>
      </c>
      <c r="H6012" s="3" t="inlineStr">
        <is>
          <t>단독다가구</t>
        </is>
      </c>
      <c r="I6012" s="3" t="inlineStr">
        <is>
          <t>단독</t>
        </is>
      </c>
      <c r="J6012" s="3" t="inlineStr">
        <is>
          <t>남이면</t>
        </is>
      </c>
    </row>
    <row r="6013">
      <c r="A6013" s="3" t="n">
        <v>2022</v>
      </c>
      <c r="B6013" s="4" t="n">
        <v>12700</v>
      </c>
      <c r="C6013" s="4" t="n">
        <v>407</v>
      </c>
      <c r="D6013" s="4" t="n">
        <v>123.1175</v>
      </c>
      <c r="E6013" s="5" t="n">
        <v>103.2</v>
      </c>
      <c r="F6013" s="3" t="inlineStr">
        <is>
          <t>남이면</t>
        </is>
      </c>
      <c r="G6013" s="3" t="inlineStr">
        <is>
          <t>부용외천리</t>
        </is>
      </c>
      <c r="H6013" s="3" t="inlineStr">
        <is>
          <t>단독다가구</t>
        </is>
      </c>
      <c r="I6013" s="3" t="inlineStr">
        <is>
          <t>단독</t>
        </is>
      </c>
      <c r="J6013" s="3" t="inlineStr">
        <is>
          <t>남이면</t>
        </is>
      </c>
    </row>
    <row r="6014">
      <c r="A6014" s="3" t="n">
        <v>2022</v>
      </c>
      <c r="B6014" s="4" t="n">
        <v>41580</v>
      </c>
      <c r="C6014" s="4" t="n">
        <v>449</v>
      </c>
      <c r="D6014" s="4" t="n">
        <v>135.8225</v>
      </c>
      <c r="E6014" s="5" t="n">
        <v>306.1</v>
      </c>
      <c r="F6014" s="3" t="inlineStr">
        <is>
          <t>남이면</t>
        </is>
      </c>
      <c r="G6014" s="3" t="inlineStr">
        <is>
          <t>수대리</t>
        </is>
      </c>
      <c r="H6014" s="3" t="inlineStr">
        <is>
          <t>단독다가구</t>
        </is>
      </c>
      <c r="I6014" s="3" t="inlineStr">
        <is>
          <t>단독</t>
        </is>
      </c>
      <c r="J6014" s="3" t="inlineStr">
        <is>
          <t>남이면</t>
        </is>
      </c>
    </row>
    <row r="6015">
      <c r="A6015" s="3" t="n">
        <v>2024</v>
      </c>
      <c r="B6015" s="4" t="n">
        <v>35000</v>
      </c>
      <c r="C6015" s="4" t="n">
        <v>742</v>
      </c>
      <c r="D6015" s="4" t="n">
        <v>224.455</v>
      </c>
      <c r="E6015" s="5" t="n">
        <v>155.9</v>
      </c>
      <c r="F6015" s="3" t="inlineStr">
        <is>
          <t>남이면</t>
        </is>
      </c>
      <c r="G6015" s="3" t="inlineStr">
        <is>
          <t>석판리</t>
        </is>
      </c>
      <c r="H6015" s="3" t="inlineStr">
        <is>
          <t>단독다가구</t>
        </is>
      </c>
      <c r="I6015" s="3" t="inlineStr">
        <is>
          <t>단독</t>
        </is>
      </c>
      <c r="J6015" s="3" t="inlineStr">
        <is>
          <t>남이면</t>
        </is>
      </c>
    </row>
    <row r="6016">
      <c r="A6016" s="3" t="n">
        <v>2024</v>
      </c>
      <c r="B6016" s="4" t="n">
        <v>19664</v>
      </c>
      <c r="C6016" s="4" t="n">
        <v>500</v>
      </c>
      <c r="D6016" s="4" t="n">
        <v>151.25</v>
      </c>
      <c r="E6016" s="5" t="n">
        <v>130</v>
      </c>
      <c r="F6016" s="3" t="inlineStr">
        <is>
          <t>남이면</t>
        </is>
      </c>
      <c r="G6016" s="3" t="inlineStr">
        <is>
          <t>척산리</t>
        </is>
      </c>
      <c r="H6016" s="3" t="inlineStr">
        <is>
          <t>단독다가구</t>
        </is>
      </c>
      <c r="I6016" s="3" t="inlineStr">
        <is>
          <t>단독</t>
        </is>
      </c>
      <c r="J6016" s="3" t="inlineStr">
        <is>
          <t>남이면</t>
        </is>
      </c>
    </row>
    <row r="6017">
      <c r="A6017" s="3" t="n">
        <v>2024</v>
      </c>
      <c r="B6017" s="4" t="n">
        <v>13600</v>
      </c>
      <c r="C6017" s="4" t="n">
        <v>433</v>
      </c>
      <c r="D6017" s="4" t="n">
        <v>130.9825</v>
      </c>
      <c r="E6017" s="5" t="n">
        <v>103.8</v>
      </c>
      <c r="F6017" s="3" t="inlineStr">
        <is>
          <t>남이면</t>
        </is>
      </c>
      <c r="G6017" s="3" t="inlineStr">
        <is>
          <t>대련리</t>
        </is>
      </c>
      <c r="H6017" s="3" t="inlineStr">
        <is>
          <t>단독다가구</t>
        </is>
      </c>
      <c r="I6017" s="3" t="inlineStr">
        <is>
          <t>단독</t>
        </is>
      </c>
      <c r="J6017" s="3" t="inlineStr">
        <is>
          <t>남이면</t>
        </is>
      </c>
    </row>
    <row r="6018">
      <c r="A6018" s="3" t="n">
        <v>2024</v>
      </c>
      <c r="B6018" s="4" t="n">
        <v>28500</v>
      </c>
      <c r="C6018" s="4" t="n">
        <v>343</v>
      </c>
      <c r="D6018" s="4" t="n">
        <v>103.7575</v>
      </c>
      <c r="E6018" s="5" t="n">
        <v>274.7</v>
      </c>
      <c r="F6018" s="3" t="inlineStr">
        <is>
          <t>남이면</t>
        </is>
      </c>
      <c r="G6018" s="3" t="inlineStr">
        <is>
          <t>석판리</t>
        </is>
      </c>
      <c r="H6018" s="3" t="inlineStr">
        <is>
          <t>단독다가구</t>
        </is>
      </c>
      <c r="I6018" s="3" t="inlineStr">
        <is>
          <t>단독</t>
        </is>
      </c>
      <c r="J6018" s="3" t="inlineStr">
        <is>
          <t>남이면</t>
        </is>
      </c>
    </row>
    <row r="6019">
      <c r="A6019" s="3" t="n">
        <v>2024</v>
      </c>
      <c r="B6019" s="4" t="n">
        <v>18090</v>
      </c>
      <c r="C6019" s="4" t="n">
        <v>443</v>
      </c>
      <c r="D6019" s="4" t="n">
        <v>134.0075</v>
      </c>
      <c r="E6019" s="5" t="n">
        <v>135</v>
      </c>
      <c r="F6019" s="3" t="inlineStr">
        <is>
          <t>남이면</t>
        </is>
      </c>
      <c r="G6019" s="3" t="inlineStr">
        <is>
          <t>부용외천리</t>
        </is>
      </c>
      <c r="H6019" s="3" t="inlineStr">
        <is>
          <t>단독다가구</t>
        </is>
      </c>
      <c r="I6019" s="3" t="inlineStr">
        <is>
          <t>단독</t>
        </is>
      </c>
      <c r="J6019" s="3" t="inlineStr">
        <is>
          <t>남이면</t>
        </is>
      </c>
    </row>
    <row r="6020">
      <c r="A6020" s="3" t="n">
        <v>2024</v>
      </c>
      <c r="B6020" s="4" t="n">
        <v>78200</v>
      </c>
      <c r="C6020" s="4" t="n">
        <v>595</v>
      </c>
      <c r="D6020" s="4" t="n">
        <v>179.9875</v>
      </c>
      <c r="E6020" s="5" t="n">
        <v>434.5</v>
      </c>
      <c r="F6020" s="3" t="inlineStr">
        <is>
          <t>남이면</t>
        </is>
      </c>
      <c r="G6020" s="3" t="inlineStr">
        <is>
          <t>석판리</t>
        </is>
      </c>
      <c r="H6020" s="3" t="inlineStr">
        <is>
          <t>단독다가구</t>
        </is>
      </c>
      <c r="I6020" s="3" t="inlineStr">
        <is>
          <t>단독</t>
        </is>
      </c>
      <c r="J6020" s="3" t="inlineStr">
        <is>
          <t>남이면</t>
        </is>
      </c>
    </row>
    <row r="6021">
      <c r="A6021" s="3" t="n">
        <v>2022</v>
      </c>
      <c r="B6021" s="4" t="n">
        <v>16600</v>
      </c>
      <c r="C6021" s="4" t="n">
        <v>582</v>
      </c>
      <c r="D6021" s="4" t="n">
        <v>176.055</v>
      </c>
      <c r="E6021" s="5" t="n">
        <v>94.3</v>
      </c>
      <c r="F6021" s="3" t="inlineStr">
        <is>
          <t>남이면</t>
        </is>
      </c>
      <c r="G6021" s="3" t="inlineStr">
        <is>
          <t>부용외천리</t>
        </is>
      </c>
      <c r="H6021" s="3" t="inlineStr">
        <is>
          <t>단독다가구</t>
        </is>
      </c>
      <c r="I6021" s="3" t="inlineStr">
        <is>
          <t>단독</t>
        </is>
      </c>
      <c r="J6021" s="3" t="inlineStr">
        <is>
          <t>남이면</t>
        </is>
      </c>
    </row>
    <row r="6022">
      <c r="A6022" s="3" t="n">
        <v>2023</v>
      </c>
      <c r="B6022" s="4" t="n">
        <v>8500</v>
      </c>
      <c r="C6022" s="4" t="n">
        <v>567</v>
      </c>
      <c r="D6022" s="4" t="n">
        <v>171.5175</v>
      </c>
      <c r="E6022" s="5" t="n">
        <v>49.6</v>
      </c>
      <c r="F6022" s="3" t="inlineStr">
        <is>
          <t>남이면</t>
        </is>
      </c>
      <c r="G6022" s="3" t="inlineStr">
        <is>
          <t>문동리</t>
        </is>
      </c>
      <c r="H6022" s="3" t="inlineStr">
        <is>
          <t>단독다가구</t>
        </is>
      </c>
      <c r="I6022" s="3" t="inlineStr">
        <is>
          <t>단독</t>
        </is>
      </c>
      <c r="J6022" s="3" t="inlineStr">
        <is>
          <t>남이면</t>
        </is>
      </c>
    </row>
    <row r="6023">
      <c r="A6023" s="3" t="n">
        <v>2023</v>
      </c>
      <c r="B6023" s="4" t="n">
        <v>55000</v>
      </c>
      <c r="C6023" s="4" t="n">
        <v>658</v>
      </c>
      <c r="D6023" s="4" t="n">
        <v>199.045</v>
      </c>
      <c r="E6023" s="5" t="n">
        <v>276.3</v>
      </c>
      <c r="F6023" s="3" t="inlineStr">
        <is>
          <t>남이면</t>
        </is>
      </c>
      <c r="G6023" s="3" t="inlineStr">
        <is>
          <t>양촌리</t>
        </is>
      </c>
      <c r="H6023" s="3" t="inlineStr">
        <is>
          <t>단독다가구</t>
        </is>
      </c>
      <c r="I6023" s="3" t="inlineStr">
        <is>
          <t>단독</t>
        </is>
      </c>
      <c r="J6023" s="3" t="inlineStr">
        <is>
          <t>남이면</t>
        </is>
      </c>
    </row>
    <row r="6024">
      <c r="A6024" s="3" t="n">
        <v>2023</v>
      </c>
      <c r="B6024" s="4" t="n">
        <v>43000</v>
      </c>
      <c r="C6024" s="4" t="n">
        <v>660</v>
      </c>
      <c r="D6024" s="4" t="n">
        <v>199.65</v>
      </c>
      <c r="E6024" s="5" t="n">
        <v>215.4</v>
      </c>
      <c r="F6024" s="3" t="inlineStr">
        <is>
          <t>남이면</t>
        </is>
      </c>
      <c r="G6024" s="3" t="inlineStr">
        <is>
          <t>양촌리</t>
        </is>
      </c>
      <c r="H6024" s="3" t="inlineStr">
        <is>
          <t>단독다가구</t>
        </is>
      </c>
      <c r="I6024" s="3" t="inlineStr">
        <is>
          <t>단독</t>
        </is>
      </c>
      <c r="J6024" s="3" t="inlineStr">
        <is>
          <t>남이면</t>
        </is>
      </c>
    </row>
    <row r="6025">
      <c r="A6025" s="3" t="n">
        <v>2023</v>
      </c>
      <c r="B6025" s="4" t="n">
        <v>7700</v>
      </c>
      <c r="C6025" s="4" t="n">
        <v>314</v>
      </c>
      <c r="D6025" s="4" t="n">
        <v>94.985</v>
      </c>
      <c r="E6025" s="5" t="n">
        <v>81.09999999999999</v>
      </c>
      <c r="F6025" s="3" t="inlineStr">
        <is>
          <t>남이면</t>
        </is>
      </c>
      <c r="G6025" s="3" t="inlineStr">
        <is>
          <t>팔봉리</t>
        </is>
      </c>
      <c r="H6025" s="3" t="inlineStr">
        <is>
          <t>단독다가구</t>
        </is>
      </c>
      <c r="I6025" s="3" t="inlineStr">
        <is>
          <t>단독</t>
        </is>
      </c>
      <c r="J6025" s="3" t="inlineStr">
        <is>
          <t>남이면</t>
        </is>
      </c>
    </row>
    <row r="6026">
      <c r="A6026" s="3" t="n">
        <v>2025</v>
      </c>
      <c r="B6026" s="4" t="n">
        <v>33000</v>
      </c>
      <c r="C6026" s="4" t="n">
        <v>532.5599999999999</v>
      </c>
      <c r="D6026" s="4" t="n">
        <v>161.0994</v>
      </c>
      <c r="E6026" s="5" t="n">
        <v>204.8</v>
      </c>
      <c r="F6026" s="3" t="inlineStr">
        <is>
          <t>남이면</t>
        </is>
      </c>
      <c r="G6026" s="3" t="inlineStr">
        <is>
          <t>가좌리</t>
        </is>
      </c>
      <c r="H6026" s="3" t="inlineStr">
        <is>
          <t>단독다가구</t>
        </is>
      </c>
      <c r="I6026" s="3" t="inlineStr">
        <is>
          <t>단독</t>
        </is>
      </c>
      <c r="J6026" s="3" t="inlineStr">
        <is>
          <t>남이면</t>
        </is>
      </c>
    </row>
    <row r="6027">
      <c r="A6027" s="3" t="n">
        <v>2025</v>
      </c>
      <c r="B6027" s="4" t="n">
        <v>25340</v>
      </c>
      <c r="C6027" s="4" t="n">
        <v>515</v>
      </c>
      <c r="D6027" s="4" t="n">
        <v>155.7875</v>
      </c>
      <c r="E6027" s="5" t="n">
        <v>162.7</v>
      </c>
      <c r="F6027" s="3" t="inlineStr">
        <is>
          <t>남이면</t>
        </is>
      </c>
      <c r="G6027" s="3" t="inlineStr">
        <is>
          <t>수대리</t>
        </is>
      </c>
      <c r="H6027" s="3" t="inlineStr">
        <is>
          <t>단독다가구</t>
        </is>
      </c>
      <c r="I6027" s="3" t="inlineStr">
        <is>
          <t>단독</t>
        </is>
      </c>
      <c r="J6027" s="3" t="inlineStr">
        <is>
          <t>남이면</t>
        </is>
      </c>
    </row>
    <row r="6028">
      <c r="A6028" s="3" t="n">
        <v>2025</v>
      </c>
      <c r="B6028" s="4" t="n">
        <v>26000</v>
      </c>
      <c r="C6028" s="4" t="n">
        <v>515</v>
      </c>
      <c r="D6028" s="4" t="n">
        <v>155.7875</v>
      </c>
      <c r="E6028" s="5" t="n">
        <v>166.9</v>
      </c>
      <c r="F6028" s="3" t="inlineStr">
        <is>
          <t>남이면</t>
        </is>
      </c>
      <c r="G6028" s="3" t="inlineStr">
        <is>
          <t>수대리</t>
        </is>
      </c>
      <c r="H6028" s="3" t="inlineStr">
        <is>
          <t>단독다가구</t>
        </is>
      </c>
      <c r="I6028" s="3" t="inlineStr">
        <is>
          <t>단독</t>
        </is>
      </c>
      <c r="J6028" s="3" t="inlineStr">
        <is>
          <t>남이면</t>
        </is>
      </c>
    </row>
    <row r="6029">
      <c r="A6029" s="3" t="n">
        <v>2025</v>
      </c>
      <c r="B6029" s="4" t="n">
        <v>33000</v>
      </c>
      <c r="C6029" s="4" t="n">
        <v>397</v>
      </c>
      <c r="D6029" s="4" t="n">
        <v>120.0925</v>
      </c>
      <c r="E6029" s="5" t="n">
        <v>274.8</v>
      </c>
      <c r="F6029" s="3" t="inlineStr">
        <is>
          <t>남이면</t>
        </is>
      </c>
      <c r="G6029" s="3" t="inlineStr">
        <is>
          <t>가좌리</t>
        </is>
      </c>
      <c r="H6029" s="3" t="inlineStr">
        <is>
          <t>단독다가구</t>
        </is>
      </c>
      <c r="I6029" s="3" t="inlineStr">
        <is>
          <t>단독</t>
        </is>
      </c>
      <c r="J6029" s="3" t="inlineStr">
        <is>
          <t>남이면</t>
        </is>
      </c>
    </row>
    <row r="6030">
      <c r="A6030" s="3" t="n">
        <v>2022</v>
      </c>
      <c r="B6030" s="4" t="n">
        <v>47600</v>
      </c>
      <c r="C6030" s="4" t="n">
        <v>396</v>
      </c>
      <c r="D6030" s="4" t="n">
        <v>119.79</v>
      </c>
      <c r="E6030" s="5" t="n">
        <v>397.4</v>
      </c>
      <c r="F6030" s="3" t="inlineStr">
        <is>
          <t>오송읍</t>
        </is>
      </c>
      <c r="G6030" s="3" t="inlineStr">
        <is>
          <t>궁평리</t>
        </is>
      </c>
      <c r="H6030" s="3" t="inlineStr">
        <is>
          <t>단독다가구</t>
        </is>
      </c>
      <c r="I6030" s="3" t="inlineStr">
        <is>
          <t>단독</t>
        </is>
      </c>
      <c r="J6030" s="3" t="inlineStr">
        <is>
          <t>오송읍</t>
        </is>
      </c>
    </row>
    <row r="6031">
      <c r="A6031" s="3" t="n">
        <v>2025</v>
      </c>
      <c r="B6031" s="4" t="n">
        <v>145000</v>
      </c>
      <c r="C6031" s="4" t="n">
        <v>270.1</v>
      </c>
      <c r="D6031" s="4" t="n">
        <v>81.70525000000001</v>
      </c>
      <c r="E6031" s="5" t="n">
        <v>1774.7</v>
      </c>
      <c r="F6031" s="3" t="inlineStr">
        <is>
          <t>오송읍</t>
        </is>
      </c>
      <c r="G6031" s="3" t="inlineStr">
        <is>
          <t>봉산리</t>
        </is>
      </c>
      <c r="H6031" s="3" t="inlineStr">
        <is>
          <t>단독다가구</t>
        </is>
      </c>
      <c r="I6031" s="3" t="inlineStr">
        <is>
          <t>단독</t>
        </is>
      </c>
      <c r="J6031" s="3" t="inlineStr">
        <is>
          <t>오송읍</t>
        </is>
      </c>
    </row>
    <row r="6032">
      <c r="A6032" s="3" t="n">
        <v>2025</v>
      </c>
      <c r="B6032" s="4" t="n">
        <v>125000</v>
      </c>
      <c r="C6032" s="4" t="n">
        <v>241</v>
      </c>
      <c r="D6032" s="4" t="n">
        <v>72.9025</v>
      </c>
      <c r="E6032" s="5" t="n">
        <v>1714.6</v>
      </c>
      <c r="F6032" s="3" t="inlineStr">
        <is>
          <t>오송읍</t>
        </is>
      </c>
      <c r="G6032" s="3" t="inlineStr">
        <is>
          <t>봉산리</t>
        </is>
      </c>
      <c r="H6032" s="3" t="inlineStr">
        <is>
          <t>단독다가구</t>
        </is>
      </c>
      <c r="I6032" s="3" t="inlineStr">
        <is>
          <t>단독</t>
        </is>
      </c>
      <c r="J6032" s="3" t="inlineStr">
        <is>
          <t>오송읍</t>
        </is>
      </c>
    </row>
    <row r="6033">
      <c r="A6033" s="3" t="n">
        <v>2025</v>
      </c>
      <c r="B6033" s="4" t="n">
        <v>53908</v>
      </c>
      <c r="C6033" s="4" t="n">
        <v>496</v>
      </c>
      <c r="D6033" s="4" t="n">
        <v>150.04</v>
      </c>
      <c r="E6033" s="5" t="n">
        <v>359.3</v>
      </c>
      <c r="F6033" s="3" t="inlineStr">
        <is>
          <t>강내면</t>
        </is>
      </c>
      <c r="G6033" s="3" t="inlineStr">
        <is>
          <t>저산리</t>
        </is>
      </c>
      <c r="H6033" s="3" t="inlineStr">
        <is>
          <t>단독다가구</t>
        </is>
      </c>
      <c r="I6033" s="3" t="inlineStr">
        <is>
          <t>단독</t>
        </is>
      </c>
      <c r="J6033" s="3" t="inlineStr">
        <is>
          <t>강내면</t>
        </is>
      </c>
    </row>
    <row r="6034">
      <c r="A6034" s="3" t="n">
        <v>2025</v>
      </c>
      <c r="B6034" s="4" t="n">
        <v>54040</v>
      </c>
      <c r="C6034" s="4" t="n">
        <v>496</v>
      </c>
      <c r="D6034" s="4" t="n">
        <v>150.04</v>
      </c>
      <c r="E6034" s="5" t="n">
        <v>360.2</v>
      </c>
      <c r="F6034" s="3" t="inlineStr">
        <is>
          <t>강내면</t>
        </is>
      </c>
      <c r="G6034" s="3" t="inlineStr">
        <is>
          <t>저산리</t>
        </is>
      </c>
      <c r="H6034" s="3" t="inlineStr">
        <is>
          <t>단독다가구</t>
        </is>
      </c>
      <c r="I6034" s="3" t="inlineStr">
        <is>
          <t>단독</t>
        </is>
      </c>
      <c r="J6034" s="3" t="inlineStr">
        <is>
          <t>강내면</t>
        </is>
      </c>
    </row>
    <row r="6035">
      <c r="A6035" s="3" t="n">
        <v>2025</v>
      </c>
      <c r="B6035" s="4" t="n">
        <v>21500</v>
      </c>
      <c r="C6035" s="4" t="n">
        <v>342</v>
      </c>
      <c r="D6035" s="4" t="n">
        <v>103.455</v>
      </c>
      <c r="E6035" s="5" t="n">
        <v>207.8</v>
      </c>
      <c r="F6035" s="3" t="inlineStr">
        <is>
          <t>오송읍</t>
        </is>
      </c>
      <c r="G6035" s="3" t="inlineStr">
        <is>
          <t>서평리</t>
        </is>
      </c>
      <c r="H6035" s="3" t="inlineStr">
        <is>
          <t>단독다가구</t>
        </is>
      </c>
      <c r="I6035" s="3" t="inlineStr">
        <is>
          <t>단독</t>
        </is>
      </c>
      <c r="J6035" s="3" t="inlineStr">
        <is>
          <t>오송읍</t>
        </is>
      </c>
    </row>
    <row r="6036">
      <c r="A6036" s="3" t="n">
        <v>2025</v>
      </c>
      <c r="B6036" s="4" t="n">
        <v>68500</v>
      </c>
      <c r="C6036" s="4" t="n">
        <v>248.1</v>
      </c>
      <c r="D6036" s="4" t="n">
        <v>75.05024999999999</v>
      </c>
      <c r="E6036" s="5" t="n">
        <v>912.7</v>
      </c>
      <c r="F6036" s="3" t="inlineStr">
        <is>
          <t>오송읍</t>
        </is>
      </c>
      <c r="G6036" s="3" t="inlineStr">
        <is>
          <t>만수리</t>
        </is>
      </c>
      <c r="H6036" s="3" t="inlineStr">
        <is>
          <t>단독다가구</t>
        </is>
      </c>
      <c r="I6036" s="3" t="inlineStr">
        <is>
          <t>다가구</t>
        </is>
      </c>
      <c r="J6036" s="3" t="inlineStr">
        <is>
          <t>오송읍</t>
        </is>
      </c>
    </row>
    <row r="6037">
      <c r="A6037" s="3" t="n">
        <v>2025</v>
      </c>
      <c r="B6037" s="4" t="n">
        <v>59500</v>
      </c>
      <c r="C6037" s="4" t="n">
        <v>258.8</v>
      </c>
      <c r="D6037" s="4" t="n">
        <v>78.28700000000001</v>
      </c>
      <c r="E6037" s="5" t="n">
        <v>760</v>
      </c>
      <c r="F6037" s="3" t="inlineStr">
        <is>
          <t>오송읍</t>
        </is>
      </c>
      <c r="G6037" s="3" t="inlineStr">
        <is>
          <t>만수리</t>
        </is>
      </c>
      <c r="H6037" s="3" t="inlineStr">
        <is>
          <t>단독다가구</t>
        </is>
      </c>
      <c r="I6037" s="3" t="inlineStr">
        <is>
          <t>다가구</t>
        </is>
      </c>
      <c r="J6037" s="3" t="inlineStr">
        <is>
          <t>오송읍</t>
        </is>
      </c>
    </row>
    <row r="6038">
      <c r="A6038" s="3" t="n">
        <v>2025</v>
      </c>
      <c r="B6038" s="4" t="n">
        <v>42000</v>
      </c>
      <c r="C6038" s="4" t="n">
        <v>624</v>
      </c>
      <c r="D6038" s="4" t="n">
        <v>188.76</v>
      </c>
      <c r="E6038" s="5" t="n">
        <v>222.5</v>
      </c>
      <c r="F6038" s="3" t="inlineStr">
        <is>
          <t>강내면</t>
        </is>
      </c>
      <c r="G6038" s="3" t="inlineStr">
        <is>
          <t>다락리</t>
        </is>
      </c>
      <c r="H6038" s="3" t="inlineStr">
        <is>
          <t>단독다가구</t>
        </is>
      </c>
      <c r="I6038" s="3" t="inlineStr">
        <is>
          <t>단독</t>
        </is>
      </c>
      <c r="J6038" s="3" t="inlineStr">
        <is>
          <t>강내면</t>
        </is>
      </c>
    </row>
    <row r="6039">
      <c r="A6039" s="3" t="n">
        <v>2025</v>
      </c>
      <c r="B6039" s="4" t="n">
        <v>62000</v>
      </c>
      <c r="C6039" s="4" t="n">
        <v>330</v>
      </c>
      <c r="D6039" s="4" t="n">
        <v>99.825</v>
      </c>
      <c r="E6039" s="5" t="n">
        <v>621.1</v>
      </c>
      <c r="F6039" s="3" t="inlineStr">
        <is>
          <t>오송읍</t>
        </is>
      </c>
      <c r="G6039" s="3" t="inlineStr">
        <is>
          <t>궁평리</t>
        </is>
      </c>
      <c r="H6039" s="3" t="inlineStr">
        <is>
          <t>단독다가구</t>
        </is>
      </c>
      <c r="I6039" s="3" t="inlineStr">
        <is>
          <t>단독</t>
        </is>
      </c>
      <c r="J6039" s="3" t="inlineStr">
        <is>
          <t>오송읍</t>
        </is>
      </c>
    </row>
    <row r="6040">
      <c r="A6040" s="3" t="n">
        <v>2025</v>
      </c>
      <c r="B6040" s="4" t="n">
        <v>35770</v>
      </c>
      <c r="C6040" s="4" t="n">
        <v>216</v>
      </c>
      <c r="D6040" s="4" t="n">
        <v>65.34</v>
      </c>
      <c r="E6040" s="5" t="n">
        <v>547.4</v>
      </c>
      <c r="F6040" s="3" t="inlineStr">
        <is>
          <t>오송읍</t>
        </is>
      </c>
      <c r="G6040" s="3" t="inlineStr">
        <is>
          <t>궁평리</t>
        </is>
      </c>
      <c r="H6040" s="3" t="inlineStr">
        <is>
          <t>단독다가구</t>
        </is>
      </c>
      <c r="I6040" s="3" t="inlineStr">
        <is>
          <t>단독</t>
        </is>
      </c>
      <c r="J6040" s="3" t="inlineStr">
        <is>
          <t>오송읍</t>
        </is>
      </c>
    </row>
    <row r="6041">
      <c r="A6041" s="3" t="n">
        <v>2025</v>
      </c>
      <c r="B6041" s="4" t="n">
        <v>41337</v>
      </c>
      <c r="C6041" s="4" t="n">
        <v>640</v>
      </c>
      <c r="D6041" s="4" t="n">
        <v>193.6</v>
      </c>
      <c r="E6041" s="5" t="n">
        <v>213.5</v>
      </c>
      <c r="F6041" s="3" t="inlineStr">
        <is>
          <t>강내면</t>
        </is>
      </c>
      <c r="G6041" s="3" t="inlineStr">
        <is>
          <t>다락리</t>
        </is>
      </c>
      <c r="H6041" s="3" t="inlineStr">
        <is>
          <t>단독다가구</t>
        </is>
      </c>
      <c r="I6041" s="3" t="inlineStr">
        <is>
          <t>단독</t>
        </is>
      </c>
      <c r="J6041" s="3" t="inlineStr">
        <is>
          <t>강내면</t>
        </is>
      </c>
    </row>
    <row r="6042">
      <c r="A6042" s="3" t="n">
        <v>2025</v>
      </c>
      <c r="B6042" s="4" t="n">
        <v>25000</v>
      </c>
      <c r="C6042" s="4" t="n">
        <v>353</v>
      </c>
      <c r="D6042" s="4" t="n">
        <v>106.7825</v>
      </c>
      <c r="E6042" s="5" t="n">
        <v>234.1</v>
      </c>
      <c r="F6042" s="3" t="inlineStr">
        <is>
          <t>오송읍</t>
        </is>
      </c>
      <c r="G6042" s="3" t="inlineStr">
        <is>
          <t>정중리</t>
        </is>
      </c>
      <c r="H6042" s="3" t="inlineStr">
        <is>
          <t>단독다가구</t>
        </is>
      </c>
      <c r="I6042" s="3" t="inlineStr">
        <is>
          <t>단독</t>
        </is>
      </c>
      <c r="J6042" s="3" t="inlineStr">
        <is>
          <t>오송읍</t>
        </is>
      </c>
    </row>
    <row r="6043">
      <c r="A6043" s="3" t="n">
        <v>2025</v>
      </c>
      <c r="B6043" s="4" t="n">
        <v>34500</v>
      </c>
      <c r="C6043" s="4" t="n">
        <v>258</v>
      </c>
      <c r="D6043" s="4" t="n">
        <v>78.045</v>
      </c>
      <c r="E6043" s="5" t="n">
        <v>442.1</v>
      </c>
      <c r="F6043" s="3" t="inlineStr">
        <is>
          <t>오송읍</t>
        </is>
      </c>
      <c r="G6043" s="3" t="inlineStr">
        <is>
          <t>오송리</t>
        </is>
      </c>
      <c r="H6043" s="3" t="inlineStr">
        <is>
          <t>단독다가구</t>
        </is>
      </c>
      <c r="I6043" s="3" t="inlineStr">
        <is>
          <t>단독</t>
        </is>
      </c>
      <c r="J6043" s="3" t="inlineStr">
        <is>
          <t>오송읍</t>
        </is>
      </c>
    </row>
    <row r="6044">
      <c r="A6044" s="3" t="n">
        <v>2022</v>
      </c>
      <c r="B6044" s="4" t="n">
        <v>58000</v>
      </c>
      <c r="C6044" s="4" t="n">
        <v>593.1</v>
      </c>
      <c r="D6044" s="4" t="n">
        <v>179.41275</v>
      </c>
      <c r="E6044" s="5" t="n">
        <v>323.3</v>
      </c>
      <c r="F6044" s="3" t="inlineStr">
        <is>
          <t>강내면</t>
        </is>
      </c>
      <c r="G6044" s="3" t="inlineStr">
        <is>
          <t>사곡리</t>
        </is>
      </c>
      <c r="H6044" s="3" t="inlineStr">
        <is>
          <t>단독다가구</t>
        </is>
      </c>
      <c r="I6044" s="3" t="inlineStr">
        <is>
          <t>단독</t>
        </is>
      </c>
      <c r="J6044" s="3" t="inlineStr">
        <is>
          <t>강내면</t>
        </is>
      </c>
    </row>
    <row r="6045">
      <c r="A6045" s="3" t="n">
        <v>2022</v>
      </c>
      <c r="B6045" s="4" t="n">
        <v>30000</v>
      </c>
      <c r="C6045" s="4" t="n">
        <v>340</v>
      </c>
      <c r="D6045" s="4" t="n">
        <v>102.85</v>
      </c>
      <c r="E6045" s="5" t="n">
        <v>291.7</v>
      </c>
      <c r="F6045" s="3" t="inlineStr">
        <is>
          <t>오송읍</t>
        </is>
      </c>
      <c r="G6045" s="3" t="inlineStr">
        <is>
          <t>쌍청리</t>
        </is>
      </c>
      <c r="H6045" s="3" t="inlineStr">
        <is>
          <t>단독다가구</t>
        </is>
      </c>
      <c r="I6045" s="3" t="inlineStr">
        <is>
          <t>단독</t>
        </is>
      </c>
      <c r="J6045" s="3" t="inlineStr">
        <is>
          <t>오송읍</t>
        </is>
      </c>
    </row>
    <row r="6046">
      <c r="A6046" s="3" t="n">
        <v>2022</v>
      </c>
      <c r="B6046" s="4" t="n">
        <v>60000</v>
      </c>
      <c r="C6046" s="4" t="n">
        <v>330</v>
      </c>
      <c r="D6046" s="4" t="n">
        <v>99.825</v>
      </c>
      <c r="E6046" s="5" t="n">
        <v>601.1</v>
      </c>
      <c r="F6046" s="3" t="inlineStr">
        <is>
          <t>오송읍</t>
        </is>
      </c>
      <c r="G6046" s="3" t="inlineStr">
        <is>
          <t>궁평리</t>
        </is>
      </c>
      <c r="H6046" s="3" t="inlineStr">
        <is>
          <t>단독다가구</t>
        </is>
      </c>
      <c r="I6046" s="3" t="inlineStr">
        <is>
          <t>단독</t>
        </is>
      </c>
      <c r="J6046" s="3" t="inlineStr">
        <is>
          <t>오송읍</t>
        </is>
      </c>
    </row>
    <row r="6047">
      <c r="A6047" s="3" t="n">
        <v>2022</v>
      </c>
      <c r="B6047" s="4" t="n">
        <v>71500</v>
      </c>
      <c r="C6047" s="4" t="n">
        <v>265</v>
      </c>
      <c r="D6047" s="4" t="n">
        <v>80.16249999999999</v>
      </c>
      <c r="E6047" s="5" t="n">
        <v>891.9</v>
      </c>
      <c r="F6047" s="3" t="inlineStr">
        <is>
          <t>오송읍</t>
        </is>
      </c>
      <c r="G6047" s="3" t="inlineStr">
        <is>
          <t>연제리</t>
        </is>
      </c>
      <c r="H6047" s="3" t="inlineStr">
        <is>
          <t>단독다가구</t>
        </is>
      </c>
      <c r="I6047" s="3" t="inlineStr">
        <is>
          <t>단독</t>
        </is>
      </c>
      <c r="J6047" s="3" t="inlineStr">
        <is>
          <t>오송읍</t>
        </is>
      </c>
    </row>
    <row r="6048">
      <c r="A6048" s="3" t="n">
        <v>2022</v>
      </c>
      <c r="B6048" s="4" t="n">
        <v>73000</v>
      </c>
      <c r="C6048" s="4" t="n">
        <v>291.1</v>
      </c>
      <c r="D6048" s="4" t="n">
        <v>88.05775</v>
      </c>
      <c r="E6048" s="5" t="n">
        <v>829</v>
      </c>
      <c r="F6048" s="3" t="inlineStr">
        <is>
          <t>오송읍</t>
        </is>
      </c>
      <c r="G6048" s="3" t="inlineStr">
        <is>
          <t>만수리</t>
        </is>
      </c>
      <c r="H6048" s="3" t="inlineStr">
        <is>
          <t>단독다가구</t>
        </is>
      </c>
      <c r="I6048" s="3" t="inlineStr">
        <is>
          <t>다가구</t>
        </is>
      </c>
      <c r="J6048" s="3" t="inlineStr">
        <is>
          <t>오송읍</t>
        </is>
      </c>
    </row>
    <row r="6049">
      <c r="A6049" s="3" t="n">
        <v>2022</v>
      </c>
      <c r="B6049" s="4" t="n">
        <v>31900</v>
      </c>
      <c r="C6049" s="4" t="n">
        <v>1055</v>
      </c>
      <c r="D6049" s="4" t="n">
        <v>319.1375</v>
      </c>
      <c r="E6049" s="5" t="n">
        <v>100</v>
      </c>
      <c r="F6049" s="3" t="inlineStr">
        <is>
          <t>강내면</t>
        </is>
      </c>
      <c r="G6049" s="3" t="inlineStr">
        <is>
          <t>산단리</t>
        </is>
      </c>
      <c r="H6049" s="3" t="inlineStr">
        <is>
          <t>단독다가구</t>
        </is>
      </c>
      <c r="I6049" s="3" t="inlineStr">
        <is>
          <t>단독</t>
        </is>
      </c>
      <c r="J6049" s="3" t="inlineStr">
        <is>
          <t>강내면</t>
        </is>
      </c>
    </row>
    <row r="6050">
      <c r="A6050" s="3" t="n">
        <v>2022</v>
      </c>
      <c r="B6050" s="4" t="n">
        <v>169500</v>
      </c>
      <c r="C6050" s="4" t="n">
        <v>275.4</v>
      </c>
      <c r="D6050" s="4" t="n">
        <v>83.3085</v>
      </c>
      <c r="E6050" s="5" t="n">
        <v>2034.6</v>
      </c>
      <c r="F6050" s="3" t="inlineStr">
        <is>
          <t>오송읍</t>
        </is>
      </c>
      <c r="G6050" s="3" t="inlineStr">
        <is>
          <t>봉산리</t>
        </is>
      </c>
      <c r="H6050" s="3" t="inlineStr">
        <is>
          <t>단독다가구</t>
        </is>
      </c>
      <c r="I6050" s="3" t="inlineStr">
        <is>
          <t>다가구</t>
        </is>
      </c>
      <c r="J6050" s="3" t="inlineStr">
        <is>
          <t>오송읍</t>
        </is>
      </c>
    </row>
    <row r="6051">
      <c r="A6051" s="3" t="n">
        <v>2022</v>
      </c>
      <c r="B6051" s="4" t="n">
        <v>60000</v>
      </c>
      <c r="C6051" s="4" t="n">
        <v>258.7</v>
      </c>
      <c r="D6051" s="4" t="n">
        <v>78.25675</v>
      </c>
      <c r="E6051" s="5" t="n">
        <v>766.7</v>
      </c>
      <c r="F6051" s="3" t="inlineStr">
        <is>
          <t>오송읍</t>
        </is>
      </c>
      <c r="G6051" s="3" t="inlineStr">
        <is>
          <t>만수리</t>
        </is>
      </c>
      <c r="H6051" s="3" t="inlineStr">
        <is>
          <t>단독다가구</t>
        </is>
      </c>
      <c r="I6051" s="3" t="inlineStr">
        <is>
          <t>다가구</t>
        </is>
      </c>
      <c r="J6051" s="3" t="inlineStr">
        <is>
          <t>오송읍</t>
        </is>
      </c>
    </row>
    <row r="6052">
      <c r="A6052" s="3" t="n">
        <v>2022</v>
      </c>
      <c r="B6052" s="4" t="n">
        <v>87100</v>
      </c>
      <c r="C6052" s="4" t="n">
        <v>1614</v>
      </c>
      <c r="D6052" s="4" t="n">
        <v>488.235</v>
      </c>
      <c r="E6052" s="5" t="n">
        <v>178.4</v>
      </c>
      <c r="F6052" s="3" t="inlineStr">
        <is>
          <t>오송읍</t>
        </is>
      </c>
      <c r="G6052" s="3" t="inlineStr">
        <is>
          <t>쌍청리</t>
        </is>
      </c>
      <c r="H6052" s="3" t="inlineStr">
        <is>
          <t>단독다가구</t>
        </is>
      </c>
      <c r="I6052" s="3" t="inlineStr">
        <is>
          <t>단독</t>
        </is>
      </c>
      <c r="J6052" s="3" t="inlineStr">
        <is>
          <t>오송읍</t>
        </is>
      </c>
    </row>
    <row r="6053">
      <c r="A6053" s="3" t="n">
        <v>2023</v>
      </c>
      <c r="B6053" s="4" t="n">
        <v>130000</v>
      </c>
      <c r="C6053" s="4" t="n">
        <v>238.1</v>
      </c>
      <c r="D6053" s="4" t="n">
        <v>72.02525</v>
      </c>
      <c r="E6053" s="5" t="n">
        <v>1804.9</v>
      </c>
      <c r="F6053" s="3" t="inlineStr">
        <is>
          <t>오송읍</t>
        </is>
      </c>
      <c r="G6053" s="3" t="inlineStr">
        <is>
          <t>봉산리</t>
        </is>
      </c>
      <c r="H6053" s="3" t="inlineStr">
        <is>
          <t>단독다가구</t>
        </is>
      </c>
      <c r="I6053" s="3" t="inlineStr">
        <is>
          <t>다가구</t>
        </is>
      </c>
      <c r="J6053" s="3" t="inlineStr">
        <is>
          <t>오송읍</t>
        </is>
      </c>
    </row>
    <row r="6054">
      <c r="A6054" s="3" t="n">
        <v>2023</v>
      </c>
      <c r="B6054" s="4" t="n">
        <v>8950</v>
      </c>
      <c r="C6054" s="4" t="n">
        <v>220</v>
      </c>
      <c r="D6054" s="4" t="n">
        <v>66.55</v>
      </c>
      <c r="E6054" s="5" t="n">
        <v>134.5</v>
      </c>
      <c r="F6054" s="3" t="inlineStr">
        <is>
          <t>강내면</t>
        </is>
      </c>
      <c r="G6054" s="3" t="inlineStr">
        <is>
          <t>다락리</t>
        </is>
      </c>
      <c r="H6054" s="3" t="inlineStr">
        <is>
          <t>단독다가구</t>
        </is>
      </c>
      <c r="I6054" s="3" t="inlineStr">
        <is>
          <t>단독</t>
        </is>
      </c>
      <c r="J6054" s="3" t="inlineStr">
        <is>
          <t>강내면</t>
        </is>
      </c>
    </row>
    <row r="6055">
      <c r="A6055" s="3" t="n">
        <v>2023</v>
      </c>
      <c r="B6055" s="4" t="n">
        <v>63500</v>
      </c>
      <c r="C6055" s="4" t="n">
        <v>240.1</v>
      </c>
      <c r="D6055" s="4" t="n">
        <v>72.63024999999999</v>
      </c>
      <c r="E6055" s="5" t="n">
        <v>874.3</v>
      </c>
      <c r="F6055" s="3" t="inlineStr">
        <is>
          <t>오송읍</t>
        </is>
      </c>
      <c r="G6055" s="3" t="inlineStr">
        <is>
          <t>만수리</t>
        </is>
      </c>
      <c r="H6055" s="3" t="inlineStr">
        <is>
          <t>단독다가구</t>
        </is>
      </c>
      <c r="I6055" s="3" t="inlineStr">
        <is>
          <t>단독</t>
        </is>
      </c>
      <c r="J6055" s="3" t="inlineStr">
        <is>
          <t>오송읍</t>
        </is>
      </c>
    </row>
    <row r="6056">
      <c r="A6056" s="3" t="n">
        <v>2023</v>
      </c>
      <c r="B6056" s="4" t="n">
        <v>28114</v>
      </c>
      <c r="C6056" s="4" t="n">
        <v>485</v>
      </c>
      <c r="D6056" s="4" t="n">
        <v>146.7125</v>
      </c>
      <c r="E6056" s="5" t="n">
        <v>191.6</v>
      </c>
      <c r="F6056" s="3" t="inlineStr">
        <is>
          <t>오송읍</t>
        </is>
      </c>
      <c r="G6056" s="3" t="inlineStr">
        <is>
          <t>상정리</t>
        </is>
      </c>
      <c r="H6056" s="3" t="inlineStr">
        <is>
          <t>단독다가구</t>
        </is>
      </c>
      <c r="I6056" s="3" t="inlineStr">
        <is>
          <t>단독</t>
        </is>
      </c>
      <c r="J6056" s="3" t="inlineStr">
        <is>
          <t>오송읍</t>
        </is>
      </c>
    </row>
    <row r="6057">
      <c r="A6057" s="3" t="n">
        <v>2023</v>
      </c>
      <c r="B6057" s="4" t="n">
        <v>9800</v>
      </c>
      <c r="C6057" s="4" t="n">
        <v>158</v>
      </c>
      <c r="D6057" s="4" t="n">
        <v>47.795</v>
      </c>
      <c r="E6057" s="5" t="n">
        <v>205</v>
      </c>
      <c r="F6057" s="3" t="inlineStr">
        <is>
          <t>오송읍</t>
        </is>
      </c>
      <c r="G6057" s="3" t="inlineStr">
        <is>
          <t>연제리</t>
        </is>
      </c>
      <c r="H6057" s="3" t="inlineStr">
        <is>
          <t>단독다가구</t>
        </is>
      </c>
      <c r="I6057" s="3" t="inlineStr">
        <is>
          <t>단독</t>
        </is>
      </c>
      <c r="J6057" s="3" t="inlineStr">
        <is>
          <t>오송읍</t>
        </is>
      </c>
    </row>
    <row r="6058">
      <c r="A6058" s="3" t="n">
        <v>2023</v>
      </c>
      <c r="B6058" s="4" t="n">
        <v>36800</v>
      </c>
      <c r="C6058" s="4" t="n">
        <v>560</v>
      </c>
      <c r="D6058" s="4" t="n">
        <v>169.4</v>
      </c>
      <c r="E6058" s="5" t="n">
        <v>217.2</v>
      </c>
      <c r="F6058" s="3" t="inlineStr">
        <is>
          <t>오송읍</t>
        </is>
      </c>
      <c r="G6058" s="3" t="inlineStr">
        <is>
          <t>상정리</t>
        </is>
      </c>
      <c r="H6058" s="3" t="inlineStr">
        <is>
          <t>단독다가구</t>
        </is>
      </c>
      <c r="I6058" s="3" t="inlineStr">
        <is>
          <t>단독</t>
        </is>
      </c>
      <c r="J6058" s="3" t="inlineStr">
        <is>
          <t>오송읍</t>
        </is>
      </c>
    </row>
    <row r="6059">
      <c r="A6059" s="3" t="n">
        <v>2023</v>
      </c>
      <c r="B6059" s="4" t="n">
        <v>80500</v>
      </c>
      <c r="C6059" s="4" t="n">
        <v>428</v>
      </c>
      <c r="D6059" s="4" t="n">
        <v>129.47</v>
      </c>
      <c r="E6059" s="5" t="n">
        <v>621.8</v>
      </c>
      <c r="F6059" s="3" t="inlineStr">
        <is>
          <t>강내면</t>
        </is>
      </c>
      <c r="G6059" s="3" t="inlineStr">
        <is>
          <t>월탄리</t>
        </is>
      </c>
      <c r="H6059" s="3" t="inlineStr">
        <is>
          <t>단독다가구</t>
        </is>
      </c>
      <c r="I6059" s="3" t="inlineStr">
        <is>
          <t>단독</t>
        </is>
      </c>
      <c r="J6059" s="3" t="inlineStr">
        <is>
          <t>강내면</t>
        </is>
      </c>
    </row>
    <row r="6060">
      <c r="A6060" s="3" t="n">
        <v>2023</v>
      </c>
      <c r="B6060" s="4" t="n">
        <v>21000</v>
      </c>
      <c r="C6060" s="4" t="n">
        <v>225</v>
      </c>
      <c r="D6060" s="4" t="n">
        <v>68.0625</v>
      </c>
      <c r="E6060" s="5" t="n">
        <v>308.5</v>
      </c>
      <c r="F6060" s="3" t="inlineStr">
        <is>
          <t>오송읍</t>
        </is>
      </c>
      <c r="G6060" s="3" t="inlineStr">
        <is>
          <t>동평리</t>
        </is>
      </c>
      <c r="H6060" s="3" t="inlineStr">
        <is>
          <t>단독다가구</t>
        </is>
      </c>
      <c r="I6060" s="3" t="inlineStr">
        <is>
          <t>단독</t>
        </is>
      </c>
      <c r="J6060" s="3" t="inlineStr">
        <is>
          <t>오송읍</t>
        </is>
      </c>
    </row>
    <row r="6061">
      <c r="A6061" s="3" t="n">
        <v>2023</v>
      </c>
      <c r="B6061" s="4" t="n">
        <v>20000</v>
      </c>
      <c r="C6061" s="4" t="n">
        <v>176</v>
      </c>
      <c r="D6061" s="4" t="n">
        <v>53.23999999999999</v>
      </c>
      <c r="E6061" s="5" t="n">
        <v>375.7</v>
      </c>
      <c r="F6061" s="3" t="inlineStr">
        <is>
          <t>오송읍</t>
        </is>
      </c>
      <c r="G6061" s="3" t="inlineStr">
        <is>
          <t>오송리</t>
        </is>
      </c>
      <c r="H6061" s="3" t="inlineStr">
        <is>
          <t>단독다가구</t>
        </is>
      </c>
      <c r="I6061" s="3" t="inlineStr">
        <is>
          <t>단독</t>
        </is>
      </c>
      <c r="J6061" s="3" t="inlineStr">
        <is>
          <t>오송읍</t>
        </is>
      </c>
    </row>
    <row r="6062">
      <c r="A6062" s="3" t="n">
        <v>2023</v>
      </c>
      <c r="B6062" s="4" t="n">
        <v>50000</v>
      </c>
      <c r="C6062" s="4" t="n">
        <v>407</v>
      </c>
      <c r="D6062" s="4" t="n">
        <v>123.1175</v>
      </c>
      <c r="E6062" s="5" t="n">
        <v>406.1</v>
      </c>
      <c r="F6062" s="3" t="inlineStr">
        <is>
          <t>오송읍</t>
        </is>
      </c>
      <c r="G6062" s="3" t="inlineStr">
        <is>
          <t>궁평리</t>
        </is>
      </c>
      <c r="H6062" s="3" t="inlineStr">
        <is>
          <t>단독다가구</t>
        </is>
      </c>
      <c r="I6062" s="3" t="inlineStr">
        <is>
          <t>단독</t>
        </is>
      </c>
      <c r="J6062" s="3" t="inlineStr">
        <is>
          <t>오송읍</t>
        </is>
      </c>
    </row>
    <row r="6063">
      <c r="A6063" s="3" t="n">
        <v>2023</v>
      </c>
      <c r="B6063" s="4" t="n">
        <v>168700</v>
      </c>
      <c r="C6063" s="4" t="n">
        <v>1566</v>
      </c>
      <c r="D6063" s="4" t="n">
        <v>473.715</v>
      </c>
      <c r="E6063" s="5" t="n">
        <v>356.1</v>
      </c>
      <c r="F6063" s="3" t="inlineStr">
        <is>
          <t>오송읍</t>
        </is>
      </c>
      <c r="G6063" s="3" t="inlineStr">
        <is>
          <t>연제리</t>
        </is>
      </c>
      <c r="H6063" s="3" t="inlineStr">
        <is>
          <t>단독다가구</t>
        </is>
      </c>
      <c r="I6063" s="3" t="inlineStr">
        <is>
          <t>단독</t>
        </is>
      </c>
      <c r="J6063" s="3" t="inlineStr">
        <is>
          <t>오송읍</t>
        </is>
      </c>
    </row>
    <row r="6064">
      <c r="A6064" s="3" t="n">
        <v>2023</v>
      </c>
      <c r="B6064" s="4" t="n">
        <v>72700</v>
      </c>
      <c r="C6064" s="4" t="n">
        <v>290.9</v>
      </c>
      <c r="D6064" s="4" t="n">
        <v>87.99724999999999</v>
      </c>
      <c r="E6064" s="5" t="n">
        <v>826.2</v>
      </c>
      <c r="F6064" s="3" t="inlineStr">
        <is>
          <t>오송읍</t>
        </is>
      </c>
      <c r="G6064" s="3" t="inlineStr">
        <is>
          <t>연제리</t>
        </is>
      </c>
      <c r="H6064" s="3" t="inlineStr">
        <is>
          <t>단독다가구</t>
        </is>
      </c>
      <c r="I6064" s="3" t="inlineStr">
        <is>
          <t>다가구</t>
        </is>
      </c>
      <c r="J6064" s="3" t="inlineStr">
        <is>
          <t>오송읍</t>
        </is>
      </c>
    </row>
    <row r="6065">
      <c r="A6065" s="3" t="n">
        <v>2023</v>
      </c>
      <c r="B6065" s="4" t="n">
        <v>38550</v>
      </c>
      <c r="C6065" s="4" t="n">
        <v>649</v>
      </c>
      <c r="D6065" s="4" t="n">
        <v>196.3225</v>
      </c>
      <c r="E6065" s="5" t="n">
        <v>196.4</v>
      </c>
      <c r="F6065" s="3" t="inlineStr">
        <is>
          <t>강내면</t>
        </is>
      </c>
      <c r="G6065" s="3" t="inlineStr">
        <is>
          <t>다락리</t>
        </is>
      </c>
      <c r="H6065" s="3" t="inlineStr">
        <is>
          <t>단독다가구</t>
        </is>
      </c>
      <c r="I6065" s="3" t="inlineStr">
        <is>
          <t>단독</t>
        </is>
      </c>
      <c r="J6065" s="3" t="inlineStr">
        <is>
          <t>강내면</t>
        </is>
      </c>
    </row>
    <row r="6066">
      <c r="A6066" s="3" t="n">
        <v>2023</v>
      </c>
      <c r="B6066" s="4" t="n">
        <v>58000</v>
      </c>
      <c r="C6066" s="4" t="n">
        <v>263.7</v>
      </c>
      <c r="D6066" s="4" t="n">
        <v>79.76925</v>
      </c>
      <c r="E6066" s="5" t="n">
        <v>727.1</v>
      </c>
      <c r="F6066" s="3" t="inlineStr">
        <is>
          <t>오송읍</t>
        </is>
      </c>
      <c r="G6066" s="3" t="inlineStr">
        <is>
          <t>만수리</t>
        </is>
      </c>
      <c r="H6066" s="3" t="inlineStr">
        <is>
          <t>단독다가구</t>
        </is>
      </c>
      <c r="I6066" s="3" t="inlineStr">
        <is>
          <t>다가구</t>
        </is>
      </c>
      <c r="J6066" s="3" t="inlineStr">
        <is>
          <t>오송읍</t>
        </is>
      </c>
    </row>
    <row r="6067">
      <c r="A6067" s="3" t="n">
        <v>2023</v>
      </c>
      <c r="B6067" s="4" t="n">
        <v>80700</v>
      </c>
      <c r="C6067" s="4" t="n">
        <v>595</v>
      </c>
      <c r="D6067" s="4" t="n">
        <v>179.9875</v>
      </c>
      <c r="E6067" s="5" t="n">
        <v>448.4</v>
      </c>
      <c r="F6067" s="3" t="inlineStr">
        <is>
          <t>남이면</t>
        </is>
      </c>
      <c r="G6067" s="3" t="inlineStr">
        <is>
          <t>석판리</t>
        </is>
      </c>
      <c r="H6067" s="3" t="inlineStr">
        <is>
          <t>단독다가구</t>
        </is>
      </c>
      <c r="I6067" s="3" t="inlineStr">
        <is>
          <t>단독</t>
        </is>
      </c>
      <c r="J6067" s="3" t="inlineStr">
        <is>
          <t>남이면</t>
        </is>
      </c>
    </row>
    <row r="6068">
      <c r="A6068" s="3" t="n">
        <v>2023</v>
      </c>
      <c r="B6068" s="4" t="n">
        <v>82500</v>
      </c>
      <c r="C6068" s="4" t="n">
        <v>595</v>
      </c>
      <c r="D6068" s="4" t="n">
        <v>179.9875</v>
      </c>
      <c r="E6068" s="5" t="n">
        <v>458.4</v>
      </c>
      <c r="F6068" s="3" t="inlineStr">
        <is>
          <t>남이면</t>
        </is>
      </c>
      <c r="G6068" s="3" t="inlineStr">
        <is>
          <t>석판리</t>
        </is>
      </c>
      <c r="H6068" s="3" t="inlineStr">
        <is>
          <t>단독다가구</t>
        </is>
      </c>
      <c r="I6068" s="3" t="inlineStr">
        <is>
          <t>단독</t>
        </is>
      </c>
      <c r="J6068" s="3" t="inlineStr">
        <is>
          <t>남이면</t>
        </is>
      </c>
    </row>
    <row r="6069">
      <c r="A6069" s="3" t="n">
        <v>2023</v>
      </c>
      <c r="B6069" s="4" t="n">
        <v>28700</v>
      </c>
      <c r="C6069" s="4" t="n">
        <v>543</v>
      </c>
      <c r="D6069" s="4" t="n">
        <v>164.2575</v>
      </c>
      <c r="E6069" s="5" t="n">
        <v>174.7</v>
      </c>
      <c r="F6069" s="3" t="inlineStr">
        <is>
          <t>남이면</t>
        </is>
      </c>
      <c r="G6069" s="3" t="inlineStr">
        <is>
          <t>팔봉리</t>
        </is>
      </c>
      <c r="H6069" s="3" t="inlineStr">
        <is>
          <t>단독다가구</t>
        </is>
      </c>
      <c r="I6069" s="3" t="inlineStr">
        <is>
          <t>단독</t>
        </is>
      </c>
      <c r="J6069" s="3" t="inlineStr">
        <is>
          <t>남이면</t>
        </is>
      </c>
    </row>
    <row r="6070">
      <c r="A6070" s="3" t="n">
        <v>2023</v>
      </c>
      <c r="B6070" s="4" t="n">
        <v>13100</v>
      </c>
      <c r="C6070" s="4" t="n">
        <v>189</v>
      </c>
      <c r="D6070" s="4" t="n">
        <v>57.1725</v>
      </c>
      <c r="E6070" s="5" t="n">
        <v>229.1</v>
      </c>
      <c r="F6070" s="3" t="inlineStr">
        <is>
          <t>남이면</t>
        </is>
      </c>
      <c r="G6070" s="3" t="inlineStr">
        <is>
          <t>대련리</t>
        </is>
      </c>
      <c r="H6070" s="3" t="inlineStr">
        <is>
          <t>단독다가구</t>
        </is>
      </c>
      <c r="I6070" s="3" t="inlineStr">
        <is>
          <t>단독</t>
        </is>
      </c>
      <c r="J6070" s="3" t="inlineStr">
        <is>
          <t>남이면</t>
        </is>
      </c>
    </row>
    <row r="6071">
      <c r="A6071" s="3" t="n">
        <v>2023</v>
      </c>
      <c r="B6071" s="4" t="n">
        <v>10535</v>
      </c>
      <c r="C6071" s="4" t="n">
        <v>532</v>
      </c>
      <c r="D6071" s="4" t="n">
        <v>160.93</v>
      </c>
      <c r="E6071" s="5" t="n">
        <v>65.5</v>
      </c>
      <c r="F6071" s="3" t="inlineStr">
        <is>
          <t>남이면</t>
        </is>
      </c>
      <c r="G6071" s="3" t="inlineStr">
        <is>
          <t>석판리</t>
        </is>
      </c>
      <c r="H6071" s="3" t="inlineStr">
        <is>
          <t>단독다가구</t>
        </is>
      </c>
      <c r="I6071" s="3" t="inlineStr">
        <is>
          <t>단독</t>
        </is>
      </c>
      <c r="J6071" s="3" t="inlineStr">
        <is>
          <t>남이면</t>
        </is>
      </c>
    </row>
    <row r="6072">
      <c r="A6072" s="3" t="n">
        <v>2023</v>
      </c>
      <c r="B6072" s="4" t="n">
        <v>36200</v>
      </c>
      <c r="C6072" s="4" t="n">
        <v>568</v>
      </c>
      <c r="D6072" s="4" t="n">
        <v>171.82</v>
      </c>
      <c r="E6072" s="5" t="n">
        <v>210.7</v>
      </c>
      <c r="F6072" s="3" t="inlineStr">
        <is>
          <t>남이면</t>
        </is>
      </c>
      <c r="G6072" s="3" t="inlineStr">
        <is>
          <t>가좌리</t>
        </is>
      </c>
      <c r="H6072" s="3" t="inlineStr">
        <is>
          <t>단독다가구</t>
        </is>
      </c>
      <c r="I6072" s="3" t="inlineStr">
        <is>
          <t>단독</t>
        </is>
      </c>
      <c r="J6072" s="3" t="inlineStr">
        <is>
          <t>남이면</t>
        </is>
      </c>
    </row>
    <row r="6073">
      <c r="A6073" s="3" t="n">
        <v>2022</v>
      </c>
      <c r="B6073" s="4" t="n">
        <v>51500</v>
      </c>
      <c r="C6073" s="4" t="n">
        <v>530</v>
      </c>
      <c r="D6073" s="4" t="n">
        <v>160.325</v>
      </c>
      <c r="E6073" s="5" t="n">
        <v>321.2</v>
      </c>
      <c r="F6073" s="3" t="inlineStr">
        <is>
          <t>남이면</t>
        </is>
      </c>
      <c r="G6073" s="3" t="inlineStr">
        <is>
          <t>상발리</t>
        </is>
      </c>
      <c r="H6073" s="3" t="inlineStr">
        <is>
          <t>단독다가구</t>
        </is>
      </c>
      <c r="I6073" s="3" t="inlineStr">
        <is>
          <t>단독</t>
        </is>
      </c>
      <c r="J6073" s="3" t="inlineStr">
        <is>
          <t>남이면</t>
        </is>
      </c>
    </row>
    <row r="6074">
      <c r="A6074" s="3" t="n">
        <v>2022</v>
      </c>
      <c r="B6074" s="4" t="n">
        <v>66500</v>
      </c>
      <c r="C6074" s="4" t="n">
        <v>665</v>
      </c>
      <c r="D6074" s="4" t="n">
        <v>201.1625</v>
      </c>
      <c r="E6074" s="5" t="n">
        <v>330.6</v>
      </c>
      <c r="F6074" s="3" t="inlineStr">
        <is>
          <t>남이면</t>
        </is>
      </c>
      <c r="G6074" s="3" t="inlineStr">
        <is>
          <t>석판리</t>
        </is>
      </c>
      <c r="H6074" s="3" t="inlineStr">
        <is>
          <t>단독다가구</t>
        </is>
      </c>
      <c r="I6074" s="3" t="inlineStr">
        <is>
          <t>단독</t>
        </is>
      </c>
      <c r="J6074" s="3" t="inlineStr">
        <is>
          <t>남이면</t>
        </is>
      </c>
    </row>
    <row r="6075">
      <c r="A6075" s="3" t="n">
        <v>2022</v>
      </c>
      <c r="B6075" s="4" t="n">
        <v>70800</v>
      </c>
      <c r="C6075" s="4" t="n">
        <v>629</v>
      </c>
      <c r="D6075" s="4" t="n">
        <v>190.2725</v>
      </c>
      <c r="E6075" s="5" t="n">
        <v>372.1</v>
      </c>
      <c r="F6075" s="3" t="inlineStr">
        <is>
          <t>남이면</t>
        </is>
      </c>
      <c r="G6075" s="3" t="inlineStr">
        <is>
          <t>석판리</t>
        </is>
      </c>
      <c r="H6075" s="3" t="inlineStr">
        <is>
          <t>단독다가구</t>
        </is>
      </c>
      <c r="I6075" s="3" t="inlineStr">
        <is>
          <t>단독</t>
        </is>
      </c>
      <c r="J6075" s="3" t="inlineStr">
        <is>
          <t>남이면</t>
        </is>
      </c>
    </row>
    <row r="6076">
      <c r="A6076" s="3" t="n">
        <v>2025</v>
      </c>
      <c r="B6076" s="4" t="n">
        <v>80000</v>
      </c>
      <c r="C6076" s="4" t="n">
        <v>695</v>
      </c>
      <c r="D6076" s="4" t="n">
        <v>210.2375</v>
      </c>
      <c r="E6076" s="5" t="n">
        <v>380.5</v>
      </c>
      <c r="F6076" s="3" t="inlineStr">
        <is>
          <t>남이면</t>
        </is>
      </c>
      <c r="G6076" s="3" t="inlineStr">
        <is>
          <t>석판리</t>
        </is>
      </c>
      <c r="H6076" s="3" t="inlineStr">
        <is>
          <t>단독다가구</t>
        </is>
      </c>
      <c r="I6076" s="3" t="inlineStr">
        <is>
          <t>단독</t>
        </is>
      </c>
      <c r="J6076" s="3" t="inlineStr">
        <is>
          <t>남이면</t>
        </is>
      </c>
    </row>
    <row r="6077">
      <c r="A6077" s="3" t="n">
        <v>2026</v>
      </c>
      <c r="B6077" s="4" t="n">
        <v>57000</v>
      </c>
      <c r="C6077" s="4" t="n">
        <v>1139</v>
      </c>
      <c r="D6077" s="4" t="n">
        <v>344.5475</v>
      </c>
      <c r="E6077" s="5" t="n">
        <v>165.4</v>
      </c>
      <c r="F6077" s="3" t="inlineStr">
        <is>
          <t>남이면</t>
        </is>
      </c>
      <c r="G6077" s="3" t="inlineStr">
        <is>
          <t>석실리</t>
        </is>
      </c>
      <c r="H6077" s="3" t="inlineStr">
        <is>
          <t>단독다가구</t>
        </is>
      </c>
      <c r="I6077" s="3" t="inlineStr">
        <is>
          <t>단독</t>
        </is>
      </c>
      <c r="J6077" s="3" t="inlineStr">
        <is>
          <t>남이면</t>
        </is>
      </c>
    </row>
    <row r="6078">
      <c r="A6078" s="3" t="n">
        <v>2026</v>
      </c>
      <c r="B6078" s="4" t="n">
        <v>48500</v>
      </c>
      <c r="C6078" s="4" t="n">
        <v>747</v>
      </c>
      <c r="D6078" s="4" t="n">
        <v>225.9675</v>
      </c>
      <c r="E6078" s="5" t="n">
        <v>214.6</v>
      </c>
      <c r="F6078" s="3" t="inlineStr">
        <is>
          <t>남이면</t>
        </is>
      </c>
      <c r="G6078" s="3" t="inlineStr">
        <is>
          <t>상발리</t>
        </is>
      </c>
      <c r="H6078" s="3" t="inlineStr">
        <is>
          <t>단독다가구</t>
        </is>
      </c>
      <c r="I6078" s="3" t="inlineStr">
        <is>
          <t>단독</t>
        </is>
      </c>
      <c r="J6078" s="3" t="inlineStr">
        <is>
          <t>남이면</t>
        </is>
      </c>
    </row>
    <row r="6079">
      <c r="A6079" s="3" t="n">
        <v>2026</v>
      </c>
      <c r="B6079" s="4" t="n">
        <v>26500</v>
      </c>
      <c r="C6079" s="4" t="n">
        <v>909</v>
      </c>
      <c r="D6079" s="4" t="n">
        <v>274.9725</v>
      </c>
      <c r="E6079" s="5" t="n">
        <v>96.40000000000001</v>
      </c>
      <c r="F6079" s="3" t="inlineStr">
        <is>
          <t>남이면</t>
        </is>
      </c>
      <c r="G6079" s="3" t="inlineStr">
        <is>
          <t>가좌리</t>
        </is>
      </c>
      <c r="H6079" s="3" t="inlineStr">
        <is>
          <t>단독다가구</t>
        </is>
      </c>
      <c r="I6079" s="3" t="inlineStr">
        <is>
          <t>단독</t>
        </is>
      </c>
      <c r="J6079" s="3" t="inlineStr">
        <is>
          <t>남이면</t>
        </is>
      </c>
    </row>
    <row r="6080">
      <c r="A6080" s="3" t="n">
        <v>2026</v>
      </c>
      <c r="B6080" s="4" t="n">
        <v>12000</v>
      </c>
      <c r="C6080" s="4" t="n">
        <v>471</v>
      </c>
      <c r="D6080" s="4" t="n">
        <v>142.4775</v>
      </c>
      <c r="E6080" s="5" t="n">
        <v>84.2</v>
      </c>
      <c r="F6080" s="3" t="inlineStr">
        <is>
          <t>남이면</t>
        </is>
      </c>
      <c r="G6080" s="3" t="inlineStr">
        <is>
          <t>부용외천리</t>
        </is>
      </c>
      <c r="H6080" s="3" t="inlineStr">
        <is>
          <t>단독다가구</t>
        </is>
      </c>
      <c r="I6080" s="3" t="inlineStr">
        <is>
          <t>단독</t>
        </is>
      </c>
      <c r="J6080" s="3" t="inlineStr">
        <is>
          <t>남이면</t>
        </is>
      </c>
    </row>
    <row r="6081">
      <c r="A6081" s="3" t="n">
        <v>2026</v>
      </c>
      <c r="B6081" s="4" t="n">
        <v>67800</v>
      </c>
      <c r="C6081" s="4" t="n">
        <v>216.4</v>
      </c>
      <c r="D6081" s="4" t="n">
        <v>65.461</v>
      </c>
      <c r="E6081" s="5" t="n">
        <v>1035.7</v>
      </c>
      <c r="F6081" s="3" t="inlineStr">
        <is>
          <t>남이면</t>
        </is>
      </c>
      <c r="G6081" s="3" t="inlineStr">
        <is>
          <t>가마리</t>
        </is>
      </c>
      <c r="H6081" s="3" t="inlineStr">
        <is>
          <t>단독다가구</t>
        </is>
      </c>
      <c r="I6081" s="3" t="inlineStr">
        <is>
          <t>다가구</t>
        </is>
      </c>
      <c r="J6081" s="3" t="inlineStr">
        <is>
          <t>남이면</t>
        </is>
      </c>
    </row>
    <row r="6082">
      <c r="A6082" s="3" t="n">
        <v>2026</v>
      </c>
      <c r="B6082" s="4" t="n">
        <v>22259</v>
      </c>
      <c r="C6082" s="4" t="n">
        <v>941</v>
      </c>
      <c r="D6082" s="4" t="n">
        <v>284.6525</v>
      </c>
      <c r="E6082" s="5" t="n">
        <v>78.2</v>
      </c>
      <c r="F6082" s="3" t="inlineStr">
        <is>
          <t>남이면</t>
        </is>
      </c>
      <c r="G6082" s="3" t="inlineStr">
        <is>
          <t>팔봉리</t>
        </is>
      </c>
      <c r="H6082" s="3" t="inlineStr">
        <is>
          <t>단독다가구</t>
        </is>
      </c>
      <c r="I6082" s="3" t="inlineStr">
        <is>
          <t>단독</t>
        </is>
      </c>
      <c r="J6082" s="3" t="inlineStr">
        <is>
          <t>남이면</t>
        </is>
      </c>
    </row>
    <row r="6083">
      <c r="A6083" s="3" t="n">
        <v>2026</v>
      </c>
      <c r="B6083" s="4" t="n">
        <v>35000</v>
      </c>
      <c r="C6083" s="4" t="n">
        <v>330</v>
      </c>
      <c r="D6083" s="4" t="n">
        <v>99.825</v>
      </c>
      <c r="E6083" s="5" t="n">
        <v>350.6</v>
      </c>
      <c r="F6083" s="3" t="inlineStr">
        <is>
          <t>남이면</t>
        </is>
      </c>
      <c r="G6083" s="3" t="inlineStr">
        <is>
          <t>가마리</t>
        </is>
      </c>
      <c r="H6083" s="3" t="inlineStr">
        <is>
          <t>단독다가구</t>
        </is>
      </c>
      <c r="I6083" s="3" t="inlineStr">
        <is>
          <t>단독</t>
        </is>
      </c>
      <c r="J6083" s="3" t="inlineStr">
        <is>
          <t>남이면</t>
        </is>
      </c>
    </row>
    <row r="6084">
      <c r="A6084" s="3" t="n">
        <v>2026</v>
      </c>
      <c r="B6084" s="4" t="n">
        <v>14978</v>
      </c>
      <c r="C6084" s="4" t="n">
        <v>724</v>
      </c>
      <c r="D6084" s="4" t="n">
        <v>219.01</v>
      </c>
      <c r="E6084" s="5" t="n">
        <v>68.40000000000001</v>
      </c>
      <c r="F6084" s="3" t="inlineStr">
        <is>
          <t>남이면</t>
        </is>
      </c>
      <c r="G6084" s="3" t="inlineStr">
        <is>
          <t>외천리</t>
        </is>
      </c>
      <c r="H6084" s="3" t="inlineStr">
        <is>
          <t>단독다가구</t>
        </is>
      </c>
      <c r="I6084" s="3" t="inlineStr">
        <is>
          <t>단독</t>
        </is>
      </c>
      <c r="J6084" s="3" t="inlineStr">
        <is>
          <t>남이면</t>
        </is>
      </c>
    </row>
    <row r="6085">
      <c r="A6085" s="3" t="n">
        <v>2026</v>
      </c>
      <c r="B6085" s="4" t="n">
        <v>18000</v>
      </c>
      <c r="C6085" s="4" t="n">
        <v>402</v>
      </c>
      <c r="D6085" s="4" t="n">
        <v>121.605</v>
      </c>
      <c r="E6085" s="5" t="n">
        <v>148</v>
      </c>
      <c r="F6085" s="3" t="inlineStr">
        <is>
          <t>남이면</t>
        </is>
      </c>
      <c r="G6085" s="3" t="inlineStr">
        <is>
          <t>석판리</t>
        </is>
      </c>
      <c r="H6085" s="3" t="inlineStr">
        <is>
          <t>단독다가구</t>
        </is>
      </c>
      <c r="I6085" s="3" t="inlineStr">
        <is>
          <t>단독</t>
        </is>
      </c>
      <c r="J6085" s="3" t="inlineStr">
        <is>
          <t>남이면</t>
        </is>
      </c>
    </row>
    <row r="6086">
      <c r="A6086" s="3" t="n">
        <v>2026</v>
      </c>
      <c r="B6086" s="4" t="n">
        <v>17000</v>
      </c>
      <c r="C6086" s="4" t="n">
        <v>350</v>
      </c>
      <c r="D6086" s="4" t="n">
        <v>105.875</v>
      </c>
      <c r="E6086" s="5" t="n">
        <v>160.6</v>
      </c>
      <c r="F6086" s="3" t="inlineStr">
        <is>
          <t>남이면</t>
        </is>
      </c>
      <c r="G6086" s="3" t="inlineStr">
        <is>
          <t>구미리</t>
        </is>
      </c>
      <c r="H6086" s="3" t="inlineStr">
        <is>
          <t>단독다가구</t>
        </is>
      </c>
      <c r="I6086" s="3" t="inlineStr">
        <is>
          <t>단독</t>
        </is>
      </c>
      <c r="J6086" s="3" t="inlineStr">
        <is>
          <t>남이면</t>
        </is>
      </c>
    </row>
    <row r="6087">
      <c r="A6087" s="3" t="n">
        <v>2024</v>
      </c>
      <c r="B6087" s="4" t="n">
        <v>17000</v>
      </c>
      <c r="C6087" s="4" t="n">
        <v>372</v>
      </c>
      <c r="D6087" s="4" t="n">
        <v>112.53</v>
      </c>
      <c r="E6087" s="5" t="n">
        <v>151.1</v>
      </c>
      <c r="F6087" s="3" t="inlineStr">
        <is>
          <t>오송읍</t>
        </is>
      </c>
      <c r="G6087" s="3" t="inlineStr">
        <is>
          <t>쌍청리</t>
        </is>
      </c>
      <c r="H6087" s="3" t="inlineStr">
        <is>
          <t>단독다가구</t>
        </is>
      </c>
      <c r="I6087" s="3" t="inlineStr">
        <is>
          <t>단독</t>
        </is>
      </c>
      <c r="J6087" s="3" t="inlineStr">
        <is>
          <t>오송읍</t>
        </is>
      </c>
    </row>
    <row r="6088">
      <c r="A6088" s="3" t="n">
        <v>2024</v>
      </c>
      <c r="B6088" s="4" t="n">
        <v>24500</v>
      </c>
      <c r="C6088" s="4" t="n">
        <v>408</v>
      </c>
      <c r="D6088" s="4" t="n">
        <v>123.42</v>
      </c>
      <c r="E6088" s="5" t="n">
        <v>198.5</v>
      </c>
      <c r="F6088" s="3" t="inlineStr">
        <is>
          <t>강내면</t>
        </is>
      </c>
      <c r="G6088" s="3" t="inlineStr">
        <is>
          <t>석화리</t>
        </is>
      </c>
      <c r="H6088" s="3" t="inlineStr">
        <is>
          <t>단독다가구</t>
        </is>
      </c>
      <c r="I6088" s="3" t="inlineStr">
        <is>
          <t>단독</t>
        </is>
      </c>
      <c r="J6088" s="3" t="inlineStr">
        <is>
          <t>강내면</t>
        </is>
      </c>
    </row>
    <row r="6089">
      <c r="A6089" s="3" t="n">
        <v>2024</v>
      </c>
      <c r="B6089" s="4" t="n">
        <v>128000</v>
      </c>
      <c r="C6089" s="4" t="n">
        <v>279.2</v>
      </c>
      <c r="D6089" s="4" t="n">
        <v>84.458</v>
      </c>
      <c r="E6089" s="5" t="n">
        <v>1515.5</v>
      </c>
      <c r="F6089" s="3" t="inlineStr">
        <is>
          <t>오송읍</t>
        </is>
      </c>
      <c r="G6089" s="3" t="inlineStr">
        <is>
          <t>봉산리</t>
        </is>
      </c>
      <c r="H6089" s="3" t="inlineStr">
        <is>
          <t>단독다가구</t>
        </is>
      </c>
      <c r="I6089" s="3" t="inlineStr">
        <is>
          <t>다가구</t>
        </is>
      </c>
      <c r="J6089" s="3" t="inlineStr">
        <is>
          <t>오송읍</t>
        </is>
      </c>
    </row>
    <row r="6090">
      <c r="A6090" s="3" t="n">
        <v>2024</v>
      </c>
      <c r="B6090" s="4" t="n">
        <v>66500</v>
      </c>
      <c r="C6090" s="4" t="n">
        <v>246.7</v>
      </c>
      <c r="D6090" s="4" t="n">
        <v>74.62675</v>
      </c>
      <c r="E6090" s="5" t="n">
        <v>891.1</v>
      </c>
      <c r="F6090" s="3" t="inlineStr">
        <is>
          <t>오송읍</t>
        </is>
      </c>
      <c r="G6090" s="3" t="inlineStr">
        <is>
          <t>연제리</t>
        </is>
      </c>
      <c r="H6090" s="3" t="inlineStr">
        <is>
          <t>단독다가구</t>
        </is>
      </c>
      <c r="I6090" s="3" t="inlineStr">
        <is>
          <t>다가구</t>
        </is>
      </c>
      <c r="J6090" s="3" t="inlineStr">
        <is>
          <t>오송읍</t>
        </is>
      </c>
    </row>
    <row r="6091">
      <c r="A6091" s="3" t="n">
        <v>2024</v>
      </c>
      <c r="B6091" s="4" t="n">
        <v>7000</v>
      </c>
      <c r="C6091" s="4" t="n">
        <v>192</v>
      </c>
      <c r="D6091" s="4" t="n">
        <v>58.08</v>
      </c>
      <c r="E6091" s="5" t="n">
        <v>120.5</v>
      </c>
      <c r="F6091" s="3" t="inlineStr">
        <is>
          <t>강내면</t>
        </is>
      </c>
      <c r="G6091" s="3" t="inlineStr">
        <is>
          <t>다락리</t>
        </is>
      </c>
      <c r="H6091" s="3" t="inlineStr">
        <is>
          <t>단독다가구</t>
        </is>
      </c>
      <c r="I6091" s="3" t="inlineStr">
        <is>
          <t>단독</t>
        </is>
      </c>
      <c r="J6091" s="3" t="inlineStr">
        <is>
          <t>강내면</t>
        </is>
      </c>
    </row>
    <row r="6092">
      <c r="A6092" s="3" t="n">
        <v>2024</v>
      </c>
      <c r="B6092" s="4" t="n">
        <v>13500</v>
      </c>
      <c r="C6092" s="4" t="n">
        <v>284</v>
      </c>
      <c r="D6092" s="4" t="n">
        <v>85.91</v>
      </c>
      <c r="E6092" s="5" t="n">
        <v>157.1</v>
      </c>
      <c r="F6092" s="3" t="inlineStr">
        <is>
          <t>강내면</t>
        </is>
      </c>
      <c r="G6092" s="3" t="inlineStr">
        <is>
          <t>사인리</t>
        </is>
      </c>
      <c r="H6092" s="3" t="inlineStr">
        <is>
          <t>단독다가구</t>
        </is>
      </c>
      <c r="I6092" s="3" t="inlineStr">
        <is>
          <t>단독</t>
        </is>
      </c>
      <c r="J6092" s="3" t="inlineStr">
        <is>
          <t>강내면</t>
        </is>
      </c>
    </row>
    <row r="6093">
      <c r="A6093" s="3" t="n">
        <v>2024</v>
      </c>
      <c r="B6093" s="4" t="n">
        <v>36500</v>
      </c>
      <c r="C6093" s="4" t="n">
        <v>276</v>
      </c>
      <c r="D6093" s="4" t="n">
        <v>83.48999999999999</v>
      </c>
      <c r="E6093" s="5" t="n">
        <v>437.2</v>
      </c>
      <c r="F6093" s="3" t="inlineStr">
        <is>
          <t>오송읍</t>
        </is>
      </c>
      <c r="G6093" s="3" t="inlineStr">
        <is>
          <t>오송리</t>
        </is>
      </c>
      <c r="H6093" s="3" t="inlineStr">
        <is>
          <t>단독다가구</t>
        </is>
      </c>
      <c r="I6093" s="3" t="inlineStr">
        <is>
          <t>단독</t>
        </is>
      </c>
      <c r="J6093" s="3" t="inlineStr">
        <is>
          <t>오송읍</t>
        </is>
      </c>
    </row>
    <row r="6094">
      <c r="A6094" s="3" t="n">
        <v>2024</v>
      </c>
      <c r="B6094" s="4" t="n">
        <v>42500</v>
      </c>
      <c r="C6094" s="4" t="n">
        <v>505.8</v>
      </c>
      <c r="D6094" s="4" t="n">
        <v>153.0045</v>
      </c>
      <c r="E6094" s="5" t="n">
        <v>277.8</v>
      </c>
      <c r="F6094" s="3" t="inlineStr">
        <is>
          <t>강내면</t>
        </is>
      </c>
      <c r="G6094" s="3" t="inlineStr">
        <is>
          <t>석화리</t>
        </is>
      </c>
      <c r="H6094" s="3" t="inlineStr">
        <is>
          <t>단독다가구</t>
        </is>
      </c>
      <c r="I6094" s="3" t="inlineStr">
        <is>
          <t>단독</t>
        </is>
      </c>
      <c r="J6094" s="3" t="inlineStr">
        <is>
          <t>강내면</t>
        </is>
      </c>
    </row>
    <row r="6095">
      <c r="A6095" s="3" t="n">
        <v>2024</v>
      </c>
      <c r="B6095" s="4" t="n">
        <v>26520</v>
      </c>
      <c r="C6095" s="4" t="n">
        <v>630</v>
      </c>
      <c r="D6095" s="4" t="n">
        <v>190.575</v>
      </c>
      <c r="E6095" s="5" t="n">
        <v>139.2</v>
      </c>
      <c r="F6095" s="3" t="inlineStr">
        <is>
          <t>오송읍</t>
        </is>
      </c>
      <c r="G6095" s="3" t="inlineStr">
        <is>
          <t>쌍청리</t>
        </is>
      </c>
      <c r="H6095" s="3" t="inlineStr">
        <is>
          <t>단독다가구</t>
        </is>
      </c>
      <c r="I6095" s="3" t="inlineStr">
        <is>
          <t>단독</t>
        </is>
      </c>
      <c r="J6095" s="3" t="inlineStr">
        <is>
          <t>오송읍</t>
        </is>
      </c>
    </row>
    <row r="6096">
      <c r="A6096" s="3" t="n">
        <v>2024</v>
      </c>
      <c r="B6096" s="4" t="n">
        <v>43000</v>
      </c>
      <c r="C6096" s="4" t="n">
        <v>505.8</v>
      </c>
      <c r="D6096" s="4" t="n">
        <v>153.0045</v>
      </c>
      <c r="E6096" s="5" t="n">
        <v>281</v>
      </c>
      <c r="F6096" s="3" t="inlineStr">
        <is>
          <t>강내면</t>
        </is>
      </c>
      <c r="G6096" s="3" t="inlineStr">
        <is>
          <t>석화리</t>
        </is>
      </c>
      <c r="H6096" s="3" t="inlineStr">
        <is>
          <t>단독다가구</t>
        </is>
      </c>
      <c r="I6096" s="3" t="inlineStr">
        <is>
          <t>단독</t>
        </is>
      </c>
      <c r="J6096" s="3" t="inlineStr">
        <is>
          <t>강내면</t>
        </is>
      </c>
    </row>
    <row r="6097">
      <c r="A6097" s="3" t="n">
        <v>2024</v>
      </c>
      <c r="B6097" s="4" t="n">
        <v>25800</v>
      </c>
      <c r="C6097" s="4" t="n">
        <v>337</v>
      </c>
      <c r="D6097" s="4" t="n">
        <v>101.9425</v>
      </c>
      <c r="E6097" s="5" t="n">
        <v>253.1</v>
      </c>
      <c r="F6097" s="3" t="inlineStr">
        <is>
          <t>강내면</t>
        </is>
      </c>
      <c r="G6097" s="3" t="inlineStr">
        <is>
          <t>태성리</t>
        </is>
      </c>
      <c r="H6097" s="3" t="inlineStr">
        <is>
          <t>단독다가구</t>
        </is>
      </c>
      <c r="I6097" s="3" t="inlineStr">
        <is>
          <t>단독</t>
        </is>
      </c>
      <c r="J6097" s="3" t="inlineStr">
        <is>
          <t>강내면</t>
        </is>
      </c>
    </row>
    <row r="6098">
      <c r="A6098" s="3" t="n">
        <v>2024</v>
      </c>
      <c r="B6098" s="4" t="n">
        <v>19473</v>
      </c>
      <c r="C6098" s="4" t="n">
        <v>491</v>
      </c>
      <c r="D6098" s="4" t="n">
        <v>148.5275</v>
      </c>
      <c r="E6098" s="5" t="n">
        <v>131.1</v>
      </c>
      <c r="F6098" s="3" t="inlineStr">
        <is>
          <t>오송읍</t>
        </is>
      </c>
      <c r="G6098" s="3" t="inlineStr">
        <is>
          <t>상정리</t>
        </is>
      </c>
      <c r="H6098" s="3" t="inlineStr">
        <is>
          <t>단독다가구</t>
        </is>
      </c>
      <c r="I6098" s="3" t="inlineStr">
        <is>
          <t>단독</t>
        </is>
      </c>
      <c r="J6098" s="3" t="inlineStr">
        <is>
          <t>오송읍</t>
        </is>
      </c>
    </row>
    <row r="6099">
      <c r="A6099" s="3" t="n">
        <v>2024</v>
      </c>
      <c r="B6099" s="4" t="n">
        <v>6500</v>
      </c>
      <c r="C6099" s="4" t="n">
        <v>155</v>
      </c>
      <c r="D6099" s="4" t="n">
        <v>46.8875</v>
      </c>
      <c r="E6099" s="5" t="n">
        <v>138.6</v>
      </c>
      <c r="F6099" s="3" t="inlineStr">
        <is>
          <t>오송읍</t>
        </is>
      </c>
      <c r="G6099" s="3" t="inlineStr">
        <is>
          <t>정중리</t>
        </is>
      </c>
      <c r="H6099" s="3" t="inlineStr">
        <is>
          <t>단독다가구</t>
        </is>
      </c>
      <c r="I6099" s="3" t="inlineStr">
        <is>
          <t>단독</t>
        </is>
      </c>
      <c r="J6099" s="3" t="inlineStr">
        <is>
          <t>오송읍</t>
        </is>
      </c>
    </row>
    <row r="6100">
      <c r="A6100" s="3" t="n">
        <v>2024</v>
      </c>
      <c r="B6100" s="4" t="n">
        <v>5500</v>
      </c>
      <c r="C6100" s="4" t="n">
        <v>346</v>
      </c>
      <c r="D6100" s="4" t="n">
        <v>104.665</v>
      </c>
      <c r="E6100" s="5" t="n">
        <v>52.5</v>
      </c>
      <c r="F6100" s="3" t="inlineStr">
        <is>
          <t>강내면</t>
        </is>
      </c>
      <c r="G6100" s="3" t="inlineStr">
        <is>
          <t>저산리</t>
        </is>
      </c>
      <c r="H6100" s="3" t="inlineStr">
        <is>
          <t>단독다가구</t>
        </is>
      </c>
      <c r="I6100" s="3" t="inlineStr">
        <is>
          <t>단독</t>
        </is>
      </c>
      <c r="J6100" s="3" t="inlineStr">
        <is>
          <t>강내면</t>
        </is>
      </c>
    </row>
    <row r="6101">
      <c r="A6101" s="3" t="n">
        <v>2024</v>
      </c>
      <c r="B6101" s="4" t="n">
        <v>40000</v>
      </c>
      <c r="C6101" s="4" t="n">
        <v>407</v>
      </c>
      <c r="D6101" s="4" t="n">
        <v>123.1175</v>
      </c>
      <c r="E6101" s="5" t="n">
        <v>324.9</v>
      </c>
      <c r="F6101" s="3" t="inlineStr">
        <is>
          <t>오송읍</t>
        </is>
      </c>
      <c r="G6101" s="3" t="inlineStr">
        <is>
          <t>궁평리</t>
        </is>
      </c>
      <c r="H6101" s="3" t="inlineStr">
        <is>
          <t>단독다가구</t>
        </is>
      </c>
      <c r="I6101" s="3" t="inlineStr">
        <is>
          <t>단독</t>
        </is>
      </c>
      <c r="J6101" s="3" t="inlineStr">
        <is>
          <t>오송읍</t>
        </is>
      </c>
    </row>
    <row r="6102">
      <c r="A6102" s="3" t="n">
        <v>2024</v>
      </c>
      <c r="B6102" s="4" t="n">
        <v>73500</v>
      </c>
      <c r="C6102" s="4" t="n">
        <v>254.7</v>
      </c>
      <c r="D6102" s="4" t="n">
        <v>77.04674999999999</v>
      </c>
      <c r="E6102" s="5" t="n">
        <v>954</v>
      </c>
      <c r="F6102" s="3" t="inlineStr">
        <is>
          <t>오송읍</t>
        </is>
      </c>
      <c r="G6102" s="3" t="inlineStr">
        <is>
          <t>만수리</t>
        </is>
      </c>
      <c r="H6102" s="3" t="inlineStr">
        <is>
          <t>단독다가구</t>
        </is>
      </c>
      <c r="I6102" s="3" t="inlineStr">
        <is>
          <t>다가구</t>
        </is>
      </c>
      <c r="J6102" s="3" t="inlineStr">
        <is>
          <t>오송읍</t>
        </is>
      </c>
    </row>
    <row r="6103">
      <c r="A6103" s="3" t="n">
        <v>2024</v>
      </c>
      <c r="B6103" s="4" t="n">
        <v>10000</v>
      </c>
      <c r="C6103" s="4" t="n">
        <v>229</v>
      </c>
      <c r="D6103" s="4" t="n">
        <v>69.27249999999999</v>
      </c>
      <c r="E6103" s="5" t="n">
        <v>144.4</v>
      </c>
      <c r="F6103" s="3" t="inlineStr">
        <is>
          <t>오송읍</t>
        </is>
      </c>
      <c r="G6103" s="3" t="inlineStr">
        <is>
          <t>쌍청리</t>
        </is>
      </c>
      <c r="H6103" s="3" t="inlineStr">
        <is>
          <t>단독다가구</t>
        </is>
      </c>
      <c r="I6103" s="3" t="inlineStr">
        <is>
          <t>단독</t>
        </is>
      </c>
      <c r="J6103" s="3" t="inlineStr">
        <is>
          <t>오송읍</t>
        </is>
      </c>
    </row>
    <row r="6104">
      <c r="A6104" s="3" t="n">
        <v>2025</v>
      </c>
      <c r="B6104" s="4" t="n">
        <v>45976</v>
      </c>
      <c r="C6104" s="4" t="n">
        <v>660</v>
      </c>
      <c r="D6104" s="4" t="n">
        <v>199.65</v>
      </c>
      <c r="E6104" s="5" t="n">
        <v>230.3</v>
      </c>
      <c r="F6104" s="3" t="inlineStr">
        <is>
          <t>남이면</t>
        </is>
      </c>
      <c r="G6104" s="3" t="inlineStr">
        <is>
          <t>양촌리</t>
        </is>
      </c>
      <c r="H6104" s="3" t="inlineStr">
        <is>
          <t>단독다가구</t>
        </is>
      </c>
      <c r="I6104" s="3" t="inlineStr">
        <is>
          <t>단독</t>
        </is>
      </c>
      <c r="J6104" s="3" t="inlineStr">
        <is>
          <t>남이면</t>
        </is>
      </c>
    </row>
    <row r="6105">
      <c r="A6105" s="3" t="n">
        <v>2025</v>
      </c>
      <c r="B6105" s="4" t="n">
        <v>27980</v>
      </c>
      <c r="C6105" s="4" t="n">
        <v>533</v>
      </c>
      <c r="D6105" s="4" t="n">
        <v>161.2325</v>
      </c>
      <c r="E6105" s="5" t="n">
        <v>173.5</v>
      </c>
      <c r="F6105" s="3" t="inlineStr">
        <is>
          <t>남이면</t>
        </is>
      </c>
      <c r="G6105" s="3" t="inlineStr">
        <is>
          <t>팔봉리</t>
        </is>
      </c>
      <c r="H6105" s="3" t="inlineStr">
        <is>
          <t>단독다가구</t>
        </is>
      </c>
      <c r="I6105" s="3" t="inlineStr">
        <is>
          <t>단독</t>
        </is>
      </c>
      <c r="J6105" s="3" t="inlineStr">
        <is>
          <t>남이면</t>
        </is>
      </c>
    </row>
    <row r="6106">
      <c r="A6106" s="3" t="n">
        <v>2025</v>
      </c>
      <c r="B6106" s="4" t="n">
        <v>30970</v>
      </c>
      <c r="C6106" s="4" t="n">
        <v>334</v>
      </c>
      <c r="D6106" s="4" t="n">
        <v>101.035</v>
      </c>
      <c r="E6106" s="5" t="n">
        <v>306.5</v>
      </c>
      <c r="F6106" s="3" t="inlineStr">
        <is>
          <t>남이면</t>
        </is>
      </c>
      <c r="G6106" s="3" t="inlineStr">
        <is>
          <t>팔봉리</t>
        </is>
      </c>
      <c r="H6106" s="3" t="inlineStr">
        <is>
          <t>단독다가구</t>
        </is>
      </c>
      <c r="I6106" s="3" t="inlineStr">
        <is>
          <t>단독</t>
        </is>
      </c>
      <c r="J6106" s="3" t="inlineStr">
        <is>
          <t>남이면</t>
        </is>
      </c>
    </row>
    <row r="6107">
      <c r="A6107" s="3" t="n">
        <v>2025</v>
      </c>
      <c r="B6107" s="4" t="n">
        <v>19900</v>
      </c>
      <c r="C6107" s="4" t="n">
        <v>459</v>
      </c>
      <c r="D6107" s="4" t="n">
        <v>138.8475</v>
      </c>
      <c r="E6107" s="5" t="n">
        <v>143.3</v>
      </c>
      <c r="F6107" s="3" t="inlineStr">
        <is>
          <t>남이면</t>
        </is>
      </c>
      <c r="G6107" s="3" t="inlineStr">
        <is>
          <t>척북리</t>
        </is>
      </c>
      <c r="H6107" s="3" t="inlineStr">
        <is>
          <t>단독다가구</t>
        </is>
      </c>
      <c r="I6107" s="3" t="inlineStr">
        <is>
          <t>단독</t>
        </is>
      </c>
      <c r="J6107" s="3" t="inlineStr">
        <is>
          <t>남이면</t>
        </is>
      </c>
    </row>
    <row r="6108">
      <c r="A6108" s="3" t="n">
        <v>2025</v>
      </c>
      <c r="B6108" s="4" t="n">
        <v>40500</v>
      </c>
      <c r="C6108" s="4" t="n">
        <v>493.6</v>
      </c>
      <c r="D6108" s="4" t="n">
        <v>149.314</v>
      </c>
      <c r="E6108" s="5" t="n">
        <v>271.2</v>
      </c>
      <c r="F6108" s="3" t="inlineStr">
        <is>
          <t>남이면</t>
        </is>
      </c>
      <c r="G6108" s="3" t="inlineStr">
        <is>
          <t>가좌리</t>
        </is>
      </c>
      <c r="H6108" s="3" t="inlineStr">
        <is>
          <t>단독다가구</t>
        </is>
      </c>
      <c r="I6108" s="3" t="inlineStr">
        <is>
          <t>단독</t>
        </is>
      </c>
      <c r="J6108" s="3" t="inlineStr">
        <is>
          <t>남이면</t>
        </is>
      </c>
    </row>
    <row r="6109">
      <c r="A6109" s="3" t="n">
        <v>2025</v>
      </c>
      <c r="B6109" s="4" t="n">
        <v>30000</v>
      </c>
      <c r="C6109" s="4" t="n">
        <v>549</v>
      </c>
      <c r="D6109" s="4" t="n">
        <v>166.0725</v>
      </c>
      <c r="E6109" s="5" t="n">
        <v>180.6</v>
      </c>
      <c r="F6109" s="3" t="inlineStr">
        <is>
          <t>남이면</t>
        </is>
      </c>
      <c r="G6109" s="3" t="inlineStr">
        <is>
          <t>척산리</t>
        </is>
      </c>
      <c r="H6109" s="3" t="inlineStr">
        <is>
          <t>단독다가구</t>
        </is>
      </c>
      <c r="I6109" s="3" t="inlineStr">
        <is>
          <t>단독</t>
        </is>
      </c>
      <c r="J6109" s="3" t="inlineStr">
        <is>
          <t>남이면</t>
        </is>
      </c>
    </row>
    <row r="6110">
      <c r="A6110" s="3" t="n">
        <v>2025</v>
      </c>
      <c r="B6110" s="4" t="n">
        <v>25000</v>
      </c>
      <c r="C6110" s="4" t="n">
        <v>402</v>
      </c>
      <c r="D6110" s="4" t="n">
        <v>121.605</v>
      </c>
      <c r="E6110" s="5" t="n">
        <v>205.6</v>
      </c>
      <c r="F6110" s="3" t="inlineStr">
        <is>
          <t>남이면</t>
        </is>
      </c>
      <c r="G6110" s="3" t="inlineStr">
        <is>
          <t>석판리</t>
        </is>
      </c>
      <c r="H6110" s="3" t="inlineStr">
        <is>
          <t>단독다가구</t>
        </is>
      </c>
      <c r="I6110" s="3" t="inlineStr">
        <is>
          <t>단독</t>
        </is>
      </c>
      <c r="J6110" s="3" t="inlineStr">
        <is>
          <t>남이면</t>
        </is>
      </c>
    </row>
    <row r="6111">
      <c r="A6111" s="3" t="n">
        <v>2025</v>
      </c>
      <c r="B6111" s="4" t="n">
        <v>62880</v>
      </c>
      <c r="C6111" s="4" t="n">
        <v>611</v>
      </c>
      <c r="D6111" s="4" t="n">
        <v>184.8275</v>
      </c>
      <c r="E6111" s="5" t="n">
        <v>340.2</v>
      </c>
      <c r="F6111" s="3" t="inlineStr">
        <is>
          <t>남이면</t>
        </is>
      </c>
      <c r="G6111" s="3" t="inlineStr">
        <is>
          <t>팔봉리</t>
        </is>
      </c>
      <c r="H6111" s="3" t="inlineStr">
        <is>
          <t>단독다가구</t>
        </is>
      </c>
      <c r="I6111" s="3" t="inlineStr">
        <is>
          <t>단독</t>
        </is>
      </c>
      <c r="J6111" s="3" t="inlineStr">
        <is>
          <t>남이면</t>
        </is>
      </c>
    </row>
    <row r="6112">
      <c r="A6112" s="3" t="n">
        <v>2025</v>
      </c>
      <c r="B6112" s="4" t="n">
        <v>23340</v>
      </c>
      <c r="C6112" s="4" t="n">
        <v>415</v>
      </c>
      <c r="D6112" s="4" t="n">
        <v>125.5375</v>
      </c>
      <c r="E6112" s="5" t="n">
        <v>185.9</v>
      </c>
      <c r="F6112" s="3" t="inlineStr">
        <is>
          <t>남이면</t>
        </is>
      </c>
      <c r="G6112" s="3" t="inlineStr">
        <is>
          <t>수대리</t>
        </is>
      </c>
      <c r="H6112" s="3" t="inlineStr">
        <is>
          <t>단독다가구</t>
        </is>
      </c>
      <c r="I6112" s="3" t="inlineStr">
        <is>
          <t>단독</t>
        </is>
      </c>
      <c r="J6112" s="3" t="inlineStr">
        <is>
          <t>남이면</t>
        </is>
      </c>
    </row>
    <row r="6113">
      <c r="A6113" s="3" t="n">
        <v>2025</v>
      </c>
      <c r="B6113" s="4" t="n">
        <v>46850</v>
      </c>
      <c r="C6113" s="4" t="n">
        <v>541</v>
      </c>
      <c r="D6113" s="4" t="n">
        <v>163.6525</v>
      </c>
      <c r="E6113" s="5" t="n">
        <v>286.3</v>
      </c>
      <c r="F6113" s="3" t="inlineStr">
        <is>
          <t>남이면</t>
        </is>
      </c>
      <c r="G6113" s="3" t="inlineStr">
        <is>
          <t>가좌리</t>
        </is>
      </c>
      <c r="H6113" s="3" t="inlineStr">
        <is>
          <t>단독다가구</t>
        </is>
      </c>
      <c r="I6113" s="3" t="inlineStr">
        <is>
          <t>단독</t>
        </is>
      </c>
      <c r="J6113" s="3" t="inlineStr">
        <is>
          <t>남이면</t>
        </is>
      </c>
    </row>
    <row r="6114">
      <c r="A6114" s="3" t="n">
        <v>2022</v>
      </c>
      <c r="B6114" s="4" t="n">
        <v>45930</v>
      </c>
      <c r="C6114" s="4" t="n">
        <v>660</v>
      </c>
      <c r="D6114" s="4" t="n">
        <v>199.65</v>
      </c>
      <c r="E6114" s="5" t="n">
        <v>230.1</v>
      </c>
      <c r="F6114" s="3" t="inlineStr">
        <is>
          <t>남이면</t>
        </is>
      </c>
      <c r="G6114" s="3" t="inlineStr">
        <is>
          <t>양촌리</t>
        </is>
      </c>
      <c r="H6114" s="3" t="inlineStr">
        <is>
          <t>단독다가구</t>
        </is>
      </c>
      <c r="I6114" s="3" t="inlineStr">
        <is>
          <t>단독</t>
        </is>
      </c>
      <c r="J6114" s="3" t="inlineStr">
        <is>
          <t>남이면</t>
        </is>
      </c>
    </row>
    <row r="6115">
      <c r="A6115" s="3" t="n">
        <v>2022</v>
      </c>
      <c r="B6115" s="4" t="n">
        <v>35500</v>
      </c>
      <c r="C6115" s="4" t="n">
        <v>854</v>
      </c>
      <c r="D6115" s="4" t="n">
        <v>258.335</v>
      </c>
      <c r="E6115" s="5" t="n">
        <v>137.4</v>
      </c>
      <c r="F6115" s="3" t="inlineStr">
        <is>
          <t>남이면</t>
        </is>
      </c>
      <c r="G6115" s="3" t="inlineStr">
        <is>
          <t>팔봉리</t>
        </is>
      </c>
      <c r="H6115" s="3" t="inlineStr">
        <is>
          <t>단독다가구</t>
        </is>
      </c>
      <c r="I6115" s="3" t="inlineStr">
        <is>
          <t>단독</t>
        </is>
      </c>
      <c r="J6115" s="3" t="inlineStr">
        <is>
          <t>남이면</t>
        </is>
      </c>
    </row>
    <row r="6116">
      <c r="A6116" s="3" t="n">
        <v>2022</v>
      </c>
      <c r="B6116" s="4" t="n">
        <v>57000</v>
      </c>
      <c r="C6116" s="4" t="n">
        <v>916</v>
      </c>
      <c r="D6116" s="4" t="n">
        <v>277.09</v>
      </c>
      <c r="E6116" s="5" t="n">
        <v>205.7</v>
      </c>
      <c r="F6116" s="3" t="inlineStr">
        <is>
          <t>남이면</t>
        </is>
      </c>
      <c r="G6116" s="3" t="inlineStr">
        <is>
          <t>가마리</t>
        </is>
      </c>
      <c r="H6116" s="3" t="inlineStr">
        <is>
          <t>단독다가구</t>
        </is>
      </c>
      <c r="I6116" s="3" t="inlineStr">
        <is>
          <t>단독</t>
        </is>
      </c>
      <c r="J6116" s="3" t="inlineStr">
        <is>
          <t>남이면</t>
        </is>
      </c>
    </row>
    <row r="6117">
      <c r="A6117" s="3" t="n">
        <v>2022</v>
      </c>
      <c r="B6117" s="4" t="n">
        <v>20000</v>
      </c>
      <c r="C6117" s="4" t="n">
        <v>280</v>
      </c>
      <c r="D6117" s="4" t="n">
        <v>84.7</v>
      </c>
      <c r="E6117" s="5" t="n">
        <v>236.1</v>
      </c>
      <c r="F6117" s="3" t="inlineStr">
        <is>
          <t>남이면</t>
        </is>
      </c>
      <c r="G6117" s="3" t="inlineStr">
        <is>
          <t>부용외천리</t>
        </is>
      </c>
      <c r="H6117" s="3" t="inlineStr">
        <is>
          <t>단독다가구</t>
        </is>
      </c>
      <c r="I6117" s="3" t="inlineStr">
        <is>
          <t>단독</t>
        </is>
      </c>
      <c r="J6117" s="3" t="inlineStr">
        <is>
          <t>남이면</t>
        </is>
      </c>
    </row>
    <row r="6118">
      <c r="A6118" s="3" t="n">
        <v>2022</v>
      </c>
      <c r="B6118" s="4" t="n">
        <v>24500</v>
      </c>
      <c r="C6118" s="4" t="n">
        <v>389</v>
      </c>
      <c r="D6118" s="4" t="n">
        <v>117.6725</v>
      </c>
      <c r="E6118" s="5" t="n">
        <v>208.2</v>
      </c>
      <c r="F6118" s="3" t="inlineStr">
        <is>
          <t>남이면</t>
        </is>
      </c>
      <c r="G6118" s="3" t="inlineStr">
        <is>
          <t>척산리</t>
        </is>
      </c>
      <c r="H6118" s="3" t="inlineStr">
        <is>
          <t>단독다가구</t>
        </is>
      </c>
      <c r="I6118" s="3" t="inlineStr">
        <is>
          <t>단독</t>
        </is>
      </c>
      <c r="J6118" s="3" t="inlineStr">
        <is>
          <t>남이면</t>
        </is>
      </c>
    </row>
    <row r="6119">
      <c r="A6119" s="3" t="n">
        <v>2022</v>
      </c>
      <c r="B6119" s="4" t="n">
        <v>39000</v>
      </c>
      <c r="C6119" s="4" t="n">
        <v>469</v>
      </c>
      <c r="D6119" s="4" t="n">
        <v>141.8725</v>
      </c>
      <c r="E6119" s="5" t="n">
        <v>274.9</v>
      </c>
      <c r="F6119" s="3" t="inlineStr">
        <is>
          <t>남이면</t>
        </is>
      </c>
      <c r="G6119" s="3" t="inlineStr">
        <is>
          <t>가좌리</t>
        </is>
      </c>
      <c r="H6119" s="3" t="inlineStr">
        <is>
          <t>단독다가구</t>
        </is>
      </c>
      <c r="I6119" s="3" t="inlineStr">
        <is>
          <t>단독</t>
        </is>
      </c>
      <c r="J6119" s="3" t="inlineStr">
        <is>
          <t>남이면</t>
        </is>
      </c>
    </row>
    <row r="6120">
      <c r="A6120" s="3" t="n">
        <v>2022</v>
      </c>
      <c r="B6120" s="4" t="n">
        <v>40000</v>
      </c>
      <c r="C6120" s="4" t="n">
        <v>469</v>
      </c>
      <c r="D6120" s="4" t="n">
        <v>141.8725</v>
      </c>
      <c r="E6120" s="5" t="n">
        <v>281.9</v>
      </c>
      <c r="F6120" s="3" t="inlineStr">
        <is>
          <t>남이면</t>
        </is>
      </c>
      <c r="G6120" s="3" t="inlineStr">
        <is>
          <t>가좌리</t>
        </is>
      </c>
      <c r="H6120" s="3" t="inlineStr">
        <is>
          <t>단독다가구</t>
        </is>
      </c>
      <c r="I6120" s="3" t="inlineStr">
        <is>
          <t>단독</t>
        </is>
      </c>
      <c r="J6120" s="3" t="inlineStr">
        <is>
          <t>남이면</t>
        </is>
      </c>
    </row>
    <row r="6121">
      <c r="A6121" s="3" t="n">
        <v>2022</v>
      </c>
      <c r="B6121" s="4" t="n">
        <v>60950</v>
      </c>
      <c r="C6121" s="4" t="n">
        <v>467</v>
      </c>
      <c r="D6121" s="4" t="n">
        <v>141.2675</v>
      </c>
      <c r="E6121" s="5" t="n">
        <v>431.5</v>
      </c>
      <c r="F6121" s="3" t="inlineStr">
        <is>
          <t>남이면</t>
        </is>
      </c>
      <c r="G6121" s="3" t="inlineStr">
        <is>
          <t>양촌리</t>
        </is>
      </c>
      <c r="H6121" s="3" t="inlineStr">
        <is>
          <t>단독다가구</t>
        </is>
      </c>
      <c r="I6121" s="3" t="inlineStr">
        <is>
          <t>단독</t>
        </is>
      </c>
      <c r="J6121" s="3" t="inlineStr">
        <is>
          <t>남이면</t>
        </is>
      </c>
    </row>
    <row r="6122">
      <c r="A6122" s="3" t="n">
        <v>2025</v>
      </c>
      <c r="B6122" s="4" t="n">
        <v>30000</v>
      </c>
      <c r="C6122" s="4" t="n">
        <v>424</v>
      </c>
      <c r="D6122" s="4" t="n">
        <v>128.26</v>
      </c>
      <c r="E6122" s="5" t="n">
        <v>233.9</v>
      </c>
      <c r="F6122" s="3" t="inlineStr">
        <is>
          <t>남이면</t>
        </is>
      </c>
      <c r="G6122" s="3" t="inlineStr">
        <is>
          <t>수대리</t>
        </is>
      </c>
      <c r="H6122" s="3" t="inlineStr">
        <is>
          <t>단독다가구</t>
        </is>
      </c>
      <c r="I6122" s="3" t="inlineStr">
        <is>
          <t>단독</t>
        </is>
      </c>
      <c r="J6122" s="3" t="inlineStr">
        <is>
          <t>남이면</t>
        </is>
      </c>
    </row>
    <row r="6123">
      <c r="A6123" s="3" t="n">
        <v>2025</v>
      </c>
      <c r="B6123" s="4" t="n">
        <v>13500</v>
      </c>
      <c r="C6123" s="4" t="n">
        <v>304</v>
      </c>
      <c r="D6123" s="4" t="n">
        <v>91.95999999999999</v>
      </c>
      <c r="E6123" s="5" t="n">
        <v>146.8</v>
      </c>
      <c r="F6123" s="3" t="inlineStr">
        <is>
          <t>남이면</t>
        </is>
      </c>
      <c r="G6123" s="3" t="inlineStr">
        <is>
          <t>문동리</t>
        </is>
      </c>
      <c r="H6123" s="3" t="inlineStr">
        <is>
          <t>단독다가구</t>
        </is>
      </c>
      <c r="I6123" s="3" t="inlineStr">
        <is>
          <t>단독</t>
        </is>
      </c>
      <c r="J6123" s="3" t="inlineStr">
        <is>
          <t>남이면</t>
        </is>
      </c>
    </row>
    <row r="6124">
      <c r="A6124" s="3" t="n">
        <v>2025</v>
      </c>
      <c r="B6124" s="4" t="n">
        <v>6700</v>
      </c>
      <c r="C6124" s="4" t="n">
        <v>254</v>
      </c>
      <c r="D6124" s="4" t="n">
        <v>76.83499999999999</v>
      </c>
      <c r="E6124" s="5" t="n">
        <v>87.2</v>
      </c>
      <c r="F6124" s="3" t="inlineStr">
        <is>
          <t>남이면</t>
        </is>
      </c>
      <c r="G6124" s="3" t="inlineStr">
        <is>
          <t>척북리</t>
        </is>
      </c>
      <c r="H6124" s="3" t="inlineStr">
        <is>
          <t>단독다가구</t>
        </is>
      </c>
      <c r="I6124" s="3" t="inlineStr">
        <is>
          <t>단독</t>
        </is>
      </c>
      <c r="J6124" s="3" t="inlineStr">
        <is>
          <t>남이면</t>
        </is>
      </c>
    </row>
    <row r="6125">
      <c r="A6125" s="3" t="n">
        <v>2025</v>
      </c>
      <c r="B6125" s="4" t="n">
        <v>6800</v>
      </c>
      <c r="C6125" s="4" t="n">
        <v>180</v>
      </c>
      <c r="D6125" s="4" t="n">
        <v>54.45</v>
      </c>
      <c r="E6125" s="5" t="n">
        <v>124.9</v>
      </c>
      <c r="F6125" s="3" t="inlineStr">
        <is>
          <t>남이면</t>
        </is>
      </c>
      <c r="G6125" s="3" t="inlineStr">
        <is>
          <t>척산리</t>
        </is>
      </c>
      <c r="H6125" s="3" t="inlineStr">
        <is>
          <t>단독다가구</t>
        </is>
      </c>
      <c r="I6125" s="3" t="inlineStr">
        <is>
          <t>단독</t>
        </is>
      </c>
      <c r="J6125" s="3" t="inlineStr">
        <is>
          <t>남이면</t>
        </is>
      </c>
    </row>
    <row r="6126">
      <c r="A6126" s="3" t="n">
        <v>2025</v>
      </c>
      <c r="B6126" s="4" t="n">
        <v>9500</v>
      </c>
      <c r="C6126" s="4" t="n">
        <v>284</v>
      </c>
      <c r="D6126" s="4" t="n">
        <v>85.91</v>
      </c>
      <c r="E6126" s="5" t="n">
        <v>110.6</v>
      </c>
      <c r="F6126" s="3" t="inlineStr">
        <is>
          <t>남이면</t>
        </is>
      </c>
      <c r="G6126" s="3" t="inlineStr">
        <is>
          <t>외천리</t>
        </is>
      </c>
      <c r="H6126" s="3" t="inlineStr">
        <is>
          <t>단독다가구</t>
        </is>
      </c>
      <c r="I6126" s="3" t="inlineStr">
        <is>
          <t>단독</t>
        </is>
      </c>
      <c r="J6126" s="3" t="inlineStr">
        <is>
          <t>남이면</t>
        </is>
      </c>
    </row>
    <row r="6127">
      <c r="A6127" s="3" t="n">
        <v>2025</v>
      </c>
      <c r="B6127" s="4" t="n">
        <v>8000</v>
      </c>
      <c r="C6127" s="4" t="n">
        <v>404</v>
      </c>
      <c r="D6127" s="4" t="n">
        <v>122.21</v>
      </c>
      <c r="E6127" s="5" t="n">
        <v>65.5</v>
      </c>
      <c r="F6127" s="3" t="inlineStr">
        <is>
          <t>남이면</t>
        </is>
      </c>
      <c r="G6127" s="3" t="inlineStr">
        <is>
          <t>구미리</t>
        </is>
      </c>
      <c r="H6127" s="3" t="inlineStr">
        <is>
          <t>단독다가구</t>
        </is>
      </c>
      <c r="I6127" s="3" t="inlineStr">
        <is>
          <t>단독</t>
        </is>
      </c>
      <c r="J6127" s="3" t="inlineStr">
        <is>
          <t>남이면</t>
        </is>
      </c>
    </row>
    <row r="6128">
      <c r="A6128" s="3" t="n">
        <v>2025</v>
      </c>
      <c r="B6128" s="4" t="n">
        <v>22340</v>
      </c>
      <c r="C6128" s="4" t="n">
        <v>415</v>
      </c>
      <c r="D6128" s="4" t="n">
        <v>125.5375</v>
      </c>
      <c r="E6128" s="5" t="n">
        <v>178</v>
      </c>
      <c r="F6128" s="3" t="inlineStr">
        <is>
          <t>남이면</t>
        </is>
      </c>
      <c r="G6128" s="3" t="inlineStr">
        <is>
          <t>수대리</t>
        </is>
      </c>
      <c r="H6128" s="3" t="inlineStr">
        <is>
          <t>단독다가구</t>
        </is>
      </c>
      <c r="I6128" s="3" t="inlineStr">
        <is>
          <t>단독</t>
        </is>
      </c>
      <c r="J6128" s="3" t="inlineStr">
        <is>
          <t>남이면</t>
        </is>
      </c>
    </row>
    <row r="6129">
      <c r="A6129" s="3" t="n">
        <v>2025</v>
      </c>
      <c r="B6129" s="4" t="n">
        <v>49100</v>
      </c>
      <c r="C6129" s="4" t="n">
        <v>650</v>
      </c>
      <c r="D6129" s="4" t="n">
        <v>196.625</v>
      </c>
      <c r="E6129" s="5" t="n">
        <v>249.7</v>
      </c>
      <c r="F6129" s="3" t="inlineStr">
        <is>
          <t>남이면</t>
        </is>
      </c>
      <c r="G6129" s="3" t="inlineStr">
        <is>
          <t>석판리</t>
        </is>
      </c>
      <c r="H6129" s="3" t="inlineStr">
        <is>
          <t>단독다가구</t>
        </is>
      </c>
      <c r="I6129" s="3" t="inlineStr">
        <is>
          <t>단독</t>
        </is>
      </c>
      <c r="J6129" s="3" t="inlineStr">
        <is>
          <t>남이면</t>
        </is>
      </c>
    </row>
    <row r="6130">
      <c r="A6130" s="3" t="n">
        <v>2025</v>
      </c>
      <c r="B6130" s="4" t="n">
        <v>26000</v>
      </c>
      <c r="C6130" s="4" t="n">
        <v>466</v>
      </c>
      <c r="D6130" s="4" t="n">
        <v>140.965</v>
      </c>
      <c r="E6130" s="5" t="n">
        <v>184.4</v>
      </c>
      <c r="F6130" s="3" t="inlineStr">
        <is>
          <t>남이면</t>
        </is>
      </c>
      <c r="G6130" s="3" t="inlineStr">
        <is>
          <t>갈원리</t>
        </is>
      </c>
      <c r="H6130" s="3" t="inlineStr">
        <is>
          <t>단독다가구</t>
        </is>
      </c>
      <c r="I6130" s="3" t="inlineStr">
        <is>
          <t>단독</t>
        </is>
      </c>
      <c r="J6130" s="3" t="inlineStr">
        <is>
          <t>남이면</t>
        </is>
      </c>
    </row>
    <row r="6131">
      <c r="A6131" s="3" t="n">
        <v>2026</v>
      </c>
      <c r="B6131" s="4" t="n">
        <v>6700</v>
      </c>
      <c r="C6131" s="4" t="n">
        <v>162</v>
      </c>
      <c r="D6131" s="4" t="n">
        <v>49.005</v>
      </c>
      <c r="E6131" s="5" t="n">
        <v>136.7</v>
      </c>
      <c r="F6131" s="3" t="inlineStr">
        <is>
          <t>남이면</t>
        </is>
      </c>
      <c r="G6131" s="3" t="inlineStr">
        <is>
          <t>척산리</t>
        </is>
      </c>
      <c r="H6131" s="3" t="inlineStr">
        <is>
          <t>단독다가구</t>
        </is>
      </c>
      <c r="I6131" s="3" t="inlineStr">
        <is>
          <t>단독</t>
        </is>
      </c>
      <c r="J6131" s="3" t="inlineStr">
        <is>
          <t>남이면</t>
        </is>
      </c>
    </row>
    <row r="6132">
      <c r="A6132" s="3" t="n">
        <v>2026</v>
      </c>
      <c r="B6132" s="4" t="n">
        <v>25500</v>
      </c>
      <c r="C6132" s="4" t="n">
        <v>440</v>
      </c>
      <c r="D6132" s="4" t="n">
        <v>133.1</v>
      </c>
      <c r="E6132" s="5" t="n">
        <v>191.6</v>
      </c>
      <c r="F6132" s="3" t="inlineStr">
        <is>
          <t>남이면</t>
        </is>
      </c>
      <c r="G6132" s="3" t="inlineStr">
        <is>
          <t>문동리</t>
        </is>
      </c>
      <c r="H6132" s="3" t="inlineStr">
        <is>
          <t>단독다가구</t>
        </is>
      </c>
      <c r="I6132" s="3" t="inlineStr">
        <is>
          <t>단독</t>
        </is>
      </c>
      <c r="J6132" s="3" t="inlineStr">
        <is>
          <t>남이면</t>
        </is>
      </c>
    </row>
    <row r="6133">
      <c r="A6133" s="3" t="n">
        <v>2022</v>
      </c>
      <c r="B6133" s="4" t="n">
        <v>67765</v>
      </c>
      <c r="C6133" s="4" t="n">
        <v>587</v>
      </c>
      <c r="D6133" s="4" t="n">
        <v>177.5675</v>
      </c>
      <c r="E6133" s="5" t="n">
        <v>381.6</v>
      </c>
      <c r="F6133" s="3" t="inlineStr">
        <is>
          <t>강내면</t>
        </is>
      </c>
      <c r="G6133" s="3" t="inlineStr">
        <is>
          <t>탑연리</t>
        </is>
      </c>
      <c r="H6133" s="3" t="inlineStr">
        <is>
          <t>단독다가구</t>
        </is>
      </c>
      <c r="I6133" s="3" t="inlineStr">
        <is>
          <t>단독</t>
        </is>
      </c>
      <c r="J6133" s="3" t="inlineStr">
        <is>
          <t>강내면</t>
        </is>
      </c>
    </row>
    <row r="6134">
      <c r="A6134" s="3" t="n">
        <v>2022</v>
      </c>
      <c r="B6134" s="4" t="n">
        <v>65000</v>
      </c>
      <c r="C6134" s="4" t="n">
        <v>281</v>
      </c>
      <c r="D6134" s="4" t="n">
        <v>85.0025</v>
      </c>
      <c r="E6134" s="5" t="n">
        <v>764.7</v>
      </c>
      <c r="F6134" s="3" t="inlineStr">
        <is>
          <t>오송읍</t>
        </is>
      </c>
      <c r="G6134" s="3" t="inlineStr">
        <is>
          <t>연제리</t>
        </is>
      </c>
      <c r="H6134" s="3" t="inlineStr">
        <is>
          <t>단독다가구</t>
        </is>
      </c>
      <c r="I6134" s="3" t="inlineStr">
        <is>
          <t>다가구</t>
        </is>
      </c>
      <c r="J6134" s="3" t="inlineStr">
        <is>
          <t>오송읍</t>
        </is>
      </c>
    </row>
    <row r="6135">
      <c r="A6135" s="3" t="n">
        <v>2022</v>
      </c>
      <c r="B6135" s="4" t="n">
        <v>104800</v>
      </c>
      <c r="C6135" s="4" t="n">
        <v>651</v>
      </c>
      <c r="D6135" s="4" t="n">
        <v>196.9275</v>
      </c>
      <c r="E6135" s="5" t="n">
        <v>532.2</v>
      </c>
      <c r="F6135" s="3" t="inlineStr">
        <is>
          <t>오송읍</t>
        </is>
      </c>
      <c r="G6135" s="3" t="inlineStr">
        <is>
          <t>궁평리</t>
        </is>
      </c>
      <c r="H6135" s="3" t="inlineStr">
        <is>
          <t>단독다가구</t>
        </is>
      </c>
      <c r="I6135" s="3" t="inlineStr">
        <is>
          <t>단독</t>
        </is>
      </c>
      <c r="J6135" s="3" t="inlineStr">
        <is>
          <t>오송읍</t>
        </is>
      </c>
    </row>
    <row r="6136">
      <c r="A6136" s="3" t="n">
        <v>2022</v>
      </c>
      <c r="B6136" s="4" t="n">
        <v>105000</v>
      </c>
      <c r="C6136" s="4" t="n">
        <v>651</v>
      </c>
      <c r="D6136" s="4" t="n">
        <v>196.9275</v>
      </c>
      <c r="E6136" s="5" t="n">
        <v>533.2</v>
      </c>
      <c r="F6136" s="3" t="inlineStr">
        <is>
          <t>오송읍</t>
        </is>
      </c>
      <c r="G6136" s="3" t="inlineStr">
        <is>
          <t>궁평리</t>
        </is>
      </c>
      <c r="H6136" s="3" t="inlineStr">
        <is>
          <t>단독다가구</t>
        </is>
      </c>
      <c r="I6136" s="3" t="inlineStr">
        <is>
          <t>단독</t>
        </is>
      </c>
      <c r="J6136" s="3" t="inlineStr">
        <is>
          <t>오송읍</t>
        </is>
      </c>
    </row>
    <row r="6137">
      <c r="A6137" s="3" t="n">
        <v>2022</v>
      </c>
      <c r="B6137" s="4" t="n">
        <v>53000</v>
      </c>
      <c r="C6137" s="4" t="n">
        <v>1058</v>
      </c>
      <c r="D6137" s="4" t="n">
        <v>320.045</v>
      </c>
      <c r="E6137" s="5" t="n">
        <v>165.6</v>
      </c>
      <c r="F6137" s="3" t="inlineStr">
        <is>
          <t>강내면</t>
        </is>
      </c>
      <c r="G6137" s="3" t="inlineStr">
        <is>
          <t>월탄리</t>
        </is>
      </c>
      <c r="H6137" s="3" t="inlineStr">
        <is>
          <t>단독다가구</t>
        </is>
      </c>
      <c r="I6137" s="3" t="inlineStr">
        <is>
          <t>단독</t>
        </is>
      </c>
      <c r="J6137" s="3" t="inlineStr">
        <is>
          <t>강내면</t>
        </is>
      </c>
    </row>
    <row r="6138">
      <c r="A6138" s="3" t="n">
        <v>2022</v>
      </c>
      <c r="B6138" s="4" t="n">
        <v>73500</v>
      </c>
      <c r="C6138" s="4" t="n">
        <v>255.4</v>
      </c>
      <c r="D6138" s="4" t="n">
        <v>77.2585</v>
      </c>
      <c r="E6138" s="5" t="n">
        <v>951.4</v>
      </c>
      <c r="F6138" s="3" t="inlineStr">
        <is>
          <t>오송읍</t>
        </is>
      </c>
      <c r="G6138" s="3" t="inlineStr">
        <is>
          <t>만수리</t>
        </is>
      </c>
      <c r="H6138" s="3" t="inlineStr">
        <is>
          <t>단독다가구</t>
        </is>
      </c>
      <c r="I6138" s="3" t="inlineStr">
        <is>
          <t>다가구</t>
        </is>
      </c>
      <c r="J6138" s="3" t="inlineStr">
        <is>
          <t>오송읍</t>
        </is>
      </c>
    </row>
    <row r="6139">
      <c r="A6139" s="3" t="n">
        <v>2022</v>
      </c>
      <c r="B6139" s="4" t="n">
        <v>9000</v>
      </c>
      <c r="C6139" s="4" t="n">
        <v>395</v>
      </c>
      <c r="D6139" s="4" t="n">
        <v>119.4875</v>
      </c>
      <c r="E6139" s="5" t="n">
        <v>75.3</v>
      </c>
      <c r="F6139" s="3" t="inlineStr">
        <is>
          <t>강내면</t>
        </is>
      </c>
      <c r="G6139" s="3" t="inlineStr">
        <is>
          <t>다락리</t>
        </is>
      </c>
      <c r="H6139" s="3" t="inlineStr">
        <is>
          <t>단독다가구</t>
        </is>
      </c>
      <c r="I6139" s="3" t="inlineStr">
        <is>
          <t>단독</t>
        </is>
      </c>
      <c r="J6139" s="3" t="inlineStr">
        <is>
          <t>강내면</t>
        </is>
      </c>
    </row>
    <row r="6140">
      <c r="A6140" s="3" t="n">
        <v>2022</v>
      </c>
      <c r="B6140" s="4" t="n">
        <v>73000</v>
      </c>
      <c r="C6140" s="4" t="n">
        <v>278.9</v>
      </c>
      <c r="D6140" s="4" t="n">
        <v>84.36724999999998</v>
      </c>
      <c r="E6140" s="5" t="n">
        <v>865.3</v>
      </c>
      <c r="F6140" s="3" t="inlineStr">
        <is>
          <t>오송읍</t>
        </is>
      </c>
      <c r="G6140" s="3" t="inlineStr">
        <is>
          <t>만수리</t>
        </is>
      </c>
      <c r="H6140" s="3" t="inlineStr">
        <is>
          <t>단독다가구</t>
        </is>
      </c>
      <c r="I6140" s="3" t="inlineStr">
        <is>
          <t>단독</t>
        </is>
      </c>
      <c r="J6140" s="3" t="inlineStr">
        <is>
          <t>오송읍</t>
        </is>
      </c>
    </row>
    <row r="6141">
      <c r="A6141" s="3" t="n">
        <v>2022</v>
      </c>
      <c r="B6141" s="4" t="n">
        <v>27000</v>
      </c>
      <c r="C6141" s="4" t="n">
        <v>424</v>
      </c>
      <c r="D6141" s="4" t="n">
        <v>128.26</v>
      </c>
      <c r="E6141" s="5" t="n">
        <v>210.5</v>
      </c>
      <c r="F6141" s="3" t="inlineStr">
        <is>
          <t>오송읍</t>
        </is>
      </c>
      <c r="G6141" s="3" t="inlineStr">
        <is>
          <t>연제리</t>
        </is>
      </c>
      <c r="H6141" s="3" t="inlineStr">
        <is>
          <t>단독다가구</t>
        </is>
      </c>
      <c r="I6141" s="3" t="inlineStr">
        <is>
          <t>단독</t>
        </is>
      </c>
      <c r="J6141" s="3" t="inlineStr">
        <is>
          <t>오송읍</t>
        </is>
      </c>
    </row>
    <row r="6142">
      <c r="A6142" s="3" t="n">
        <v>2024</v>
      </c>
      <c r="B6142" s="4" t="n">
        <v>61000</v>
      </c>
      <c r="C6142" s="4" t="n">
        <v>522</v>
      </c>
      <c r="D6142" s="4" t="n">
        <v>157.905</v>
      </c>
      <c r="E6142" s="5" t="n">
        <v>386.3</v>
      </c>
      <c r="F6142" s="3" t="inlineStr">
        <is>
          <t>남이면</t>
        </is>
      </c>
      <c r="G6142" s="3" t="inlineStr">
        <is>
          <t>석판리</t>
        </is>
      </c>
      <c r="H6142" s="3" t="inlineStr">
        <is>
          <t>단독다가구</t>
        </is>
      </c>
      <c r="I6142" s="3" t="inlineStr">
        <is>
          <t>단독</t>
        </is>
      </c>
      <c r="J6142" s="3" t="inlineStr">
        <is>
          <t>남이면</t>
        </is>
      </c>
    </row>
    <row r="6143">
      <c r="A6143" s="3" t="n">
        <v>2024</v>
      </c>
      <c r="B6143" s="4" t="n">
        <v>10100</v>
      </c>
      <c r="C6143" s="4" t="n">
        <v>290</v>
      </c>
      <c r="D6143" s="4" t="n">
        <v>87.72499999999999</v>
      </c>
      <c r="E6143" s="5" t="n">
        <v>115.1</v>
      </c>
      <c r="F6143" s="3" t="inlineStr">
        <is>
          <t>남이면</t>
        </is>
      </c>
      <c r="G6143" s="3" t="inlineStr">
        <is>
          <t>수대리</t>
        </is>
      </c>
      <c r="H6143" s="3" t="inlineStr">
        <is>
          <t>단독다가구</t>
        </is>
      </c>
      <c r="I6143" s="3" t="inlineStr">
        <is>
          <t>단독</t>
        </is>
      </c>
      <c r="J6143" s="3" t="inlineStr">
        <is>
          <t>남이면</t>
        </is>
      </c>
    </row>
    <row r="6144">
      <c r="A6144" s="3" t="n">
        <v>2025</v>
      </c>
      <c r="B6144" s="4" t="n">
        <v>29720</v>
      </c>
      <c r="C6144" s="4" t="n">
        <v>502</v>
      </c>
      <c r="D6144" s="4" t="n">
        <v>151.855</v>
      </c>
      <c r="E6144" s="5" t="n">
        <v>195.7</v>
      </c>
      <c r="F6144" s="3" t="inlineStr">
        <is>
          <t>남이면</t>
        </is>
      </c>
      <c r="G6144" s="3" t="inlineStr">
        <is>
          <t>석판리</t>
        </is>
      </c>
      <c r="H6144" s="3" t="inlineStr">
        <is>
          <t>단독다가구</t>
        </is>
      </c>
      <c r="I6144" s="3" t="inlineStr">
        <is>
          <t>단독</t>
        </is>
      </c>
      <c r="J6144" s="3" t="inlineStr">
        <is>
          <t>남이면</t>
        </is>
      </c>
    </row>
    <row r="6145">
      <c r="A6145" s="3" t="n">
        <v>2025</v>
      </c>
      <c r="B6145" s="4" t="n">
        <v>43976</v>
      </c>
      <c r="C6145" s="4" t="n">
        <v>660</v>
      </c>
      <c r="D6145" s="4" t="n">
        <v>199.65</v>
      </c>
      <c r="E6145" s="5" t="n">
        <v>220.3</v>
      </c>
      <c r="F6145" s="3" t="inlineStr">
        <is>
          <t>남이면</t>
        </is>
      </c>
      <c r="G6145" s="3" t="inlineStr">
        <is>
          <t>양촌리</t>
        </is>
      </c>
      <c r="H6145" s="3" t="inlineStr">
        <is>
          <t>단독다가구</t>
        </is>
      </c>
      <c r="I6145" s="3" t="inlineStr">
        <is>
          <t>단독</t>
        </is>
      </c>
      <c r="J6145" s="3" t="inlineStr">
        <is>
          <t>남이면</t>
        </is>
      </c>
    </row>
    <row r="6146">
      <c r="A6146" s="3" t="n">
        <v>2025</v>
      </c>
      <c r="B6146" s="4" t="n">
        <v>10700</v>
      </c>
      <c r="C6146" s="4" t="n">
        <v>290</v>
      </c>
      <c r="D6146" s="4" t="n">
        <v>87.72499999999999</v>
      </c>
      <c r="E6146" s="5" t="n">
        <v>122</v>
      </c>
      <c r="F6146" s="3" t="inlineStr">
        <is>
          <t>남이면</t>
        </is>
      </c>
      <c r="G6146" s="3" t="inlineStr">
        <is>
          <t>산막리</t>
        </is>
      </c>
      <c r="H6146" s="3" t="inlineStr">
        <is>
          <t>단독다가구</t>
        </is>
      </c>
      <c r="I6146" s="3" t="inlineStr">
        <is>
          <t>단독</t>
        </is>
      </c>
      <c r="J6146" s="3" t="inlineStr">
        <is>
          <t>남이면</t>
        </is>
      </c>
    </row>
    <row r="6147">
      <c r="A6147" s="3" t="n">
        <v>2025</v>
      </c>
      <c r="B6147" s="4" t="n">
        <v>30200</v>
      </c>
      <c r="C6147" s="4" t="n">
        <v>543</v>
      </c>
      <c r="D6147" s="4" t="n">
        <v>164.2575</v>
      </c>
      <c r="E6147" s="5" t="n">
        <v>183.9</v>
      </c>
      <c r="F6147" s="3" t="inlineStr">
        <is>
          <t>남이면</t>
        </is>
      </c>
      <c r="G6147" s="3" t="inlineStr">
        <is>
          <t>팔봉리</t>
        </is>
      </c>
      <c r="H6147" s="3" t="inlineStr">
        <is>
          <t>단독다가구</t>
        </is>
      </c>
      <c r="I6147" s="3" t="inlineStr">
        <is>
          <t>단독</t>
        </is>
      </c>
      <c r="J6147" s="3" t="inlineStr">
        <is>
          <t>남이면</t>
        </is>
      </c>
    </row>
    <row r="6148">
      <c r="A6148" s="3" t="n">
        <v>2025</v>
      </c>
      <c r="B6148" s="4" t="n">
        <v>24950</v>
      </c>
      <c r="C6148" s="4" t="n">
        <v>379</v>
      </c>
      <c r="D6148" s="4" t="n">
        <v>114.6475</v>
      </c>
      <c r="E6148" s="5" t="n">
        <v>217.6</v>
      </c>
      <c r="F6148" s="3" t="inlineStr">
        <is>
          <t>남이면</t>
        </is>
      </c>
      <c r="G6148" s="3" t="inlineStr">
        <is>
          <t>수대리</t>
        </is>
      </c>
      <c r="H6148" s="3" t="inlineStr">
        <is>
          <t>단독다가구</t>
        </is>
      </c>
      <c r="I6148" s="3" t="inlineStr">
        <is>
          <t>단독</t>
        </is>
      </c>
      <c r="J6148" s="3" t="inlineStr">
        <is>
          <t>남이면</t>
        </is>
      </c>
    </row>
    <row r="6149">
      <c r="A6149" s="3" t="n">
        <v>2024</v>
      </c>
      <c r="B6149" s="4" t="n">
        <v>28100</v>
      </c>
      <c r="C6149" s="4" t="n">
        <v>334</v>
      </c>
      <c r="D6149" s="4" t="n">
        <v>101.035</v>
      </c>
      <c r="E6149" s="5" t="n">
        <v>278.1</v>
      </c>
      <c r="F6149" s="3" t="inlineStr">
        <is>
          <t>남이면</t>
        </is>
      </c>
      <c r="G6149" s="3" t="inlineStr">
        <is>
          <t>팔봉리</t>
        </is>
      </c>
      <c r="H6149" s="3" t="inlineStr">
        <is>
          <t>단독다가구</t>
        </is>
      </c>
      <c r="I6149" s="3" t="inlineStr">
        <is>
          <t>단독</t>
        </is>
      </c>
      <c r="J6149" s="3" t="inlineStr">
        <is>
          <t>남이면</t>
        </is>
      </c>
    </row>
    <row r="6150">
      <c r="A6150" s="3" t="n">
        <v>2025</v>
      </c>
      <c r="B6150" s="4" t="n">
        <v>23300</v>
      </c>
      <c r="C6150" s="4" t="n">
        <v>650</v>
      </c>
      <c r="D6150" s="4" t="n">
        <v>196.625</v>
      </c>
      <c r="E6150" s="5" t="n">
        <v>118.5</v>
      </c>
      <c r="F6150" s="3" t="inlineStr">
        <is>
          <t>남이면</t>
        </is>
      </c>
      <c r="G6150" s="3" t="inlineStr">
        <is>
          <t>문동리</t>
        </is>
      </c>
      <c r="H6150" s="3" t="inlineStr">
        <is>
          <t>단독다가구</t>
        </is>
      </c>
      <c r="I6150" s="3" t="inlineStr">
        <is>
          <t>단독</t>
        </is>
      </c>
      <c r="J6150" s="3" t="inlineStr">
        <is>
          <t>남이면</t>
        </is>
      </c>
    </row>
    <row r="6151">
      <c r="A6151" s="3" t="n">
        <v>2025</v>
      </c>
      <c r="B6151" s="4" t="n">
        <v>22000</v>
      </c>
      <c r="C6151" s="4" t="n">
        <v>951</v>
      </c>
      <c r="D6151" s="4" t="n">
        <v>287.6775</v>
      </c>
      <c r="E6151" s="5" t="n">
        <v>76.5</v>
      </c>
      <c r="F6151" s="3" t="inlineStr">
        <is>
          <t>남이면</t>
        </is>
      </c>
      <c r="G6151" s="3" t="inlineStr">
        <is>
          <t>갈원리</t>
        </is>
      </c>
      <c r="H6151" s="3" t="inlineStr">
        <is>
          <t>단독다가구</t>
        </is>
      </c>
      <c r="I6151" s="3" t="inlineStr">
        <is>
          <t>단독</t>
        </is>
      </c>
      <c r="J6151" s="3" t="inlineStr">
        <is>
          <t>남이면</t>
        </is>
      </c>
    </row>
    <row r="6152">
      <c r="A6152" s="3" t="n">
        <v>2025</v>
      </c>
      <c r="B6152" s="4" t="n">
        <v>40000</v>
      </c>
      <c r="C6152" s="4" t="n">
        <v>507</v>
      </c>
      <c r="D6152" s="4" t="n">
        <v>153.3675</v>
      </c>
      <c r="E6152" s="5" t="n">
        <v>260.8</v>
      </c>
      <c r="F6152" s="3" t="inlineStr">
        <is>
          <t>남이면</t>
        </is>
      </c>
      <c r="G6152" s="3" t="inlineStr">
        <is>
          <t>가좌리</t>
        </is>
      </c>
      <c r="H6152" s="3" t="inlineStr">
        <is>
          <t>단독다가구</t>
        </is>
      </c>
      <c r="I6152" s="3" t="inlineStr">
        <is>
          <t>단독</t>
        </is>
      </c>
      <c r="J6152" s="3" t="inlineStr">
        <is>
          <t>남이면</t>
        </is>
      </c>
    </row>
    <row r="6153">
      <c r="A6153" s="3" t="n">
        <v>2025</v>
      </c>
      <c r="B6153" s="4" t="n">
        <v>55500</v>
      </c>
      <c r="C6153" s="4" t="n">
        <v>636</v>
      </c>
      <c r="D6153" s="4" t="n">
        <v>192.39</v>
      </c>
      <c r="E6153" s="5" t="n">
        <v>288.5</v>
      </c>
      <c r="F6153" s="3" t="inlineStr">
        <is>
          <t>남이면</t>
        </is>
      </c>
      <c r="G6153" s="3" t="inlineStr">
        <is>
          <t>양촌리</t>
        </is>
      </c>
      <c r="H6153" s="3" t="inlineStr">
        <is>
          <t>단독다가구</t>
        </is>
      </c>
      <c r="I6153" s="3" t="inlineStr">
        <is>
          <t>단독</t>
        </is>
      </c>
      <c r="J6153" s="3" t="inlineStr">
        <is>
          <t>남이면</t>
        </is>
      </c>
    </row>
    <row r="6154">
      <c r="A6154" s="3" t="n">
        <v>2025</v>
      </c>
      <c r="B6154" s="4" t="n">
        <v>46200</v>
      </c>
      <c r="C6154" s="4" t="n">
        <v>541</v>
      </c>
      <c r="D6154" s="4" t="n">
        <v>163.6525</v>
      </c>
      <c r="E6154" s="5" t="n">
        <v>282.3</v>
      </c>
      <c r="F6154" s="3" t="inlineStr">
        <is>
          <t>남이면</t>
        </is>
      </c>
      <c r="G6154" s="3" t="inlineStr">
        <is>
          <t>가좌리</t>
        </is>
      </c>
      <c r="H6154" s="3" t="inlineStr">
        <is>
          <t>단독다가구</t>
        </is>
      </c>
      <c r="I6154" s="3" t="inlineStr">
        <is>
          <t>단독</t>
        </is>
      </c>
      <c r="J6154" s="3" t="inlineStr">
        <is>
          <t>남이면</t>
        </is>
      </c>
    </row>
    <row r="6155">
      <c r="A6155" s="3" t="n">
        <v>2025</v>
      </c>
      <c r="B6155" s="4" t="n">
        <v>69000</v>
      </c>
      <c r="C6155" s="4" t="n">
        <v>930</v>
      </c>
      <c r="D6155" s="4" t="n">
        <v>281.325</v>
      </c>
      <c r="E6155" s="5" t="n">
        <v>245.3</v>
      </c>
      <c r="F6155" s="3" t="inlineStr">
        <is>
          <t>남이면</t>
        </is>
      </c>
      <c r="G6155" s="3" t="inlineStr">
        <is>
          <t>석판리</t>
        </is>
      </c>
      <c r="H6155" s="3" t="inlineStr">
        <is>
          <t>단독다가구</t>
        </is>
      </c>
      <c r="I6155" s="3" t="inlineStr">
        <is>
          <t>단독</t>
        </is>
      </c>
      <c r="J6155" s="3" t="inlineStr">
        <is>
          <t>남이면</t>
        </is>
      </c>
    </row>
    <row r="6156">
      <c r="A6156" s="3" t="n">
        <v>2025</v>
      </c>
      <c r="B6156" s="4" t="n">
        <v>13000</v>
      </c>
      <c r="C6156" s="4" t="n">
        <v>251</v>
      </c>
      <c r="D6156" s="4" t="n">
        <v>75.92749999999999</v>
      </c>
      <c r="E6156" s="5" t="n">
        <v>171.2</v>
      </c>
      <c r="F6156" s="3" t="inlineStr">
        <is>
          <t>남이면</t>
        </is>
      </c>
      <c r="G6156" s="3" t="inlineStr">
        <is>
          <t>척산리</t>
        </is>
      </c>
      <c r="H6156" s="3" t="inlineStr">
        <is>
          <t>단독다가구</t>
        </is>
      </c>
      <c r="I6156" s="3" t="inlineStr">
        <is>
          <t>단독</t>
        </is>
      </c>
      <c r="J6156" s="3" t="inlineStr">
        <is>
          <t>남이면</t>
        </is>
      </c>
    </row>
    <row r="6157">
      <c r="A6157" s="3" t="n">
        <v>2025</v>
      </c>
      <c r="B6157" s="4" t="n">
        <v>8500</v>
      </c>
      <c r="C6157" s="4" t="n">
        <v>158</v>
      </c>
      <c r="D6157" s="4" t="n">
        <v>47.795</v>
      </c>
      <c r="E6157" s="5" t="n">
        <v>177.8</v>
      </c>
      <c r="F6157" s="3" t="inlineStr">
        <is>
          <t>남이면</t>
        </is>
      </c>
      <c r="G6157" s="3" t="inlineStr">
        <is>
          <t>척산리</t>
        </is>
      </c>
      <c r="H6157" s="3" t="inlineStr">
        <is>
          <t>단독다가구</t>
        </is>
      </c>
      <c r="I6157" s="3" t="inlineStr">
        <is>
          <t>단독</t>
        </is>
      </c>
      <c r="J6157" s="3" t="inlineStr">
        <is>
          <t>남이면</t>
        </is>
      </c>
    </row>
    <row r="6158">
      <c r="A6158" s="3" t="n">
        <v>2025</v>
      </c>
      <c r="B6158" s="4" t="n">
        <v>24340</v>
      </c>
      <c r="C6158" s="4" t="n">
        <v>515</v>
      </c>
      <c r="D6158" s="4" t="n">
        <v>155.7875</v>
      </c>
      <c r="E6158" s="5" t="n">
        <v>156.2</v>
      </c>
      <c r="F6158" s="3" t="inlineStr">
        <is>
          <t>남이면</t>
        </is>
      </c>
      <c r="G6158" s="3" t="inlineStr">
        <is>
          <t>수대리</t>
        </is>
      </c>
      <c r="H6158" s="3" t="inlineStr">
        <is>
          <t>단독다가구</t>
        </is>
      </c>
      <c r="I6158" s="3" t="inlineStr">
        <is>
          <t>단독</t>
        </is>
      </c>
      <c r="J6158" s="3" t="inlineStr">
        <is>
          <t>남이면</t>
        </is>
      </c>
    </row>
    <row r="6159">
      <c r="A6159" s="3" t="n">
        <v>2025</v>
      </c>
      <c r="B6159" s="4" t="n">
        <v>52000</v>
      </c>
      <c r="C6159" s="4" t="n">
        <v>597</v>
      </c>
      <c r="D6159" s="4" t="n">
        <v>180.5925</v>
      </c>
      <c r="E6159" s="5" t="n">
        <v>287.9</v>
      </c>
      <c r="F6159" s="3" t="inlineStr">
        <is>
          <t>남이면</t>
        </is>
      </c>
      <c r="G6159" s="3" t="inlineStr">
        <is>
          <t>가좌리</t>
        </is>
      </c>
      <c r="H6159" s="3" t="inlineStr">
        <is>
          <t>단독다가구</t>
        </is>
      </c>
      <c r="I6159" s="3" t="inlineStr">
        <is>
          <t>단독</t>
        </is>
      </c>
      <c r="J6159" s="3" t="inlineStr">
        <is>
          <t>남이면</t>
        </is>
      </c>
    </row>
    <row r="6160">
      <c r="A6160" s="3" t="n">
        <v>2022</v>
      </c>
      <c r="B6160" s="4" t="n">
        <v>33500</v>
      </c>
      <c r="C6160" s="4" t="n">
        <v>639</v>
      </c>
      <c r="D6160" s="4" t="n">
        <v>193.2975</v>
      </c>
      <c r="E6160" s="5" t="n">
        <v>173.3</v>
      </c>
      <c r="F6160" s="3" t="inlineStr">
        <is>
          <t>남이면</t>
        </is>
      </c>
      <c r="G6160" s="3" t="inlineStr">
        <is>
          <t>외천리</t>
        </is>
      </c>
      <c r="H6160" s="3" t="inlineStr">
        <is>
          <t>단독다가구</t>
        </is>
      </c>
      <c r="I6160" s="3" t="inlineStr">
        <is>
          <t>단독</t>
        </is>
      </c>
      <c r="J6160" s="3" t="inlineStr">
        <is>
          <t>남이면</t>
        </is>
      </c>
    </row>
    <row r="6161">
      <c r="A6161" s="3" t="n">
        <v>2022</v>
      </c>
      <c r="B6161" s="4" t="n">
        <v>58950</v>
      </c>
      <c r="C6161" s="4" t="n">
        <v>575</v>
      </c>
      <c r="D6161" s="4" t="n">
        <v>173.9375</v>
      </c>
      <c r="E6161" s="5" t="n">
        <v>338.9</v>
      </c>
      <c r="F6161" s="3" t="inlineStr">
        <is>
          <t>남이면</t>
        </is>
      </c>
      <c r="G6161" s="3" t="inlineStr">
        <is>
          <t>양촌리</t>
        </is>
      </c>
      <c r="H6161" s="3" t="inlineStr">
        <is>
          <t>단독다가구</t>
        </is>
      </c>
      <c r="I6161" s="3" t="inlineStr">
        <is>
          <t>단독</t>
        </is>
      </c>
      <c r="J6161" s="3" t="inlineStr">
        <is>
          <t>남이면</t>
        </is>
      </c>
    </row>
    <row r="6162">
      <c r="A6162" s="3" t="n">
        <v>2022</v>
      </c>
      <c r="B6162" s="4" t="n">
        <v>25700</v>
      </c>
      <c r="C6162" s="4" t="n">
        <v>486</v>
      </c>
      <c r="D6162" s="4" t="n">
        <v>147.015</v>
      </c>
      <c r="E6162" s="5" t="n">
        <v>174.8</v>
      </c>
      <c r="F6162" s="3" t="inlineStr">
        <is>
          <t>남이면</t>
        </is>
      </c>
      <c r="G6162" s="3" t="inlineStr">
        <is>
          <t>상발리</t>
        </is>
      </c>
      <c r="H6162" s="3" t="inlineStr">
        <is>
          <t>단독다가구</t>
        </is>
      </c>
      <c r="I6162" s="3" t="inlineStr">
        <is>
          <t>단독</t>
        </is>
      </c>
      <c r="J6162" s="3" t="inlineStr">
        <is>
          <t>남이면</t>
        </is>
      </c>
    </row>
    <row r="6163">
      <c r="A6163" s="3" t="n">
        <v>2022</v>
      </c>
      <c r="B6163" s="4" t="n">
        <v>45000</v>
      </c>
      <c r="C6163" s="4" t="n">
        <v>766</v>
      </c>
      <c r="D6163" s="4" t="n">
        <v>231.715</v>
      </c>
      <c r="E6163" s="5" t="n">
        <v>194.2</v>
      </c>
      <c r="F6163" s="3" t="inlineStr">
        <is>
          <t>남이면</t>
        </is>
      </c>
      <c r="G6163" s="3" t="inlineStr">
        <is>
          <t>양촌리</t>
        </is>
      </c>
      <c r="H6163" s="3" t="inlineStr">
        <is>
          <t>단독다가구</t>
        </is>
      </c>
      <c r="I6163" s="3" t="inlineStr">
        <is>
          <t>단독</t>
        </is>
      </c>
      <c r="J6163" s="3" t="inlineStr">
        <is>
          <t>남이면</t>
        </is>
      </c>
    </row>
    <row r="6164">
      <c r="A6164" s="3" t="n">
        <v>2022</v>
      </c>
      <c r="B6164" s="4" t="n">
        <v>28830</v>
      </c>
      <c r="C6164" s="4" t="n">
        <v>414</v>
      </c>
      <c r="D6164" s="4" t="n">
        <v>125.235</v>
      </c>
      <c r="E6164" s="5" t="n">
        <v>230.2</v>
      </c>
      <c r="F6164" s="3" t="inlineStr">
        <is>
          <t>남이면</t>
        </is>
      </c>
      <c r="G6164" s="3" t="inlineStr">
        <is>
          <t>수대리</t>
        </is>
      </c>
      <c r="H6164" s="3" t="inlineStr">
        <is>
          <t>단독다가구</t>
        </is>
      </c>
      <c r="I6164" s="3" t="inlineStr">
        <is>
          <t>단독</t>
        </is>
      </c>
      <c r="J6164" s="3" t="inlineStr">
        <is>
          <t>남이면</t>
        </is>
      </c>
    </row>
    <row r="6165">
      <c r="A6165" s="3" t="n">
        <v>2022</v>
      </c>
      <c r="B6165" s="4" t="n">
        <v>39000</v>
      </c>
      <c r="C6165" s="4" t="n">
        <v>527</v>
      </c>
      <c r="D6165" s="4" t="n">
        <v>159.4175</v>
      </c>
      <c r="E6165" s="5" t="n">
        <v>244.6</v>
      </c>
      <c r="F6165" s="3" t="inlineStr">
        <is>
          <t>남이면</t>
        </is>
      </c>
      <c r="G6165" s="3" t="inlineStr">
        <is>
          <t>가좌리</t>
        </is>
      </c>
      <c r="H6165" s="3" t="inlineStr">
        <is>
          <t>단독다가구</t>
        </is>
      </c>
      <c r="I6165" s="3" t="inlineStr">
        <is>
          <t>단독</t>
        </is>
      </c>
      <c r="J6165" s="3" t="inlineStr">
        <is>
          <t>남이면</t>
        </is>
      </c>
    </row>
    <row r="6166">
      <c r="A6166" s="3" t="n">
        <v>2022</v>
      </c>
      <c r="B6166" s="4" t="n">
        <v>37700</v>
      </c>
      <c r="C6166" s="4" t="n">
        <v>669</v>
      </c>
      <c r="D6166" s="4" t="n">
        <v>202.3725</v>
      </c>
      <c r="E6166" s="5" t="n">
        <v>186.3</v>
      </c>
      <c r="F6166" s="3" t="inlineStr">
        <is>
          <t>남이면</t>
        </is>
      </c>
      <c r="G6166" s="3" t="inlineStr">
        <is>
          <t>팔봉리</t>
        </is>
      </c>
      <c r="H6166" s="3" t="inlineStr">
        <is>
          <t>단독다가구</t>
        </is>
      </c>
      <c r="I6166" s="3" t="inlineStr">
        <is>
          <t>단독</t>
        </is>
      </c>
      <c r="J6166" s="3" t="inlineStr">
        <is>
          <t>남이면</t>
        </is>
      </c>
    </row>
    <row r="6167">
      <c r="A6167" s="3" t="n">
        <v>2022</v>
      </c>
      <c r="B6167" s="4" t="n">
        <v>26875</v>
      </c>
      <c r="C6167" s="4" t="n">
        <v>651</v>
      </c>
      <c r="D6167" s="4" t="n">
        <v>196.9275</v>
      </c>
      <c r="E6167" s="5" t="n">
        <v>136.5</v>
      </c>
      <c r="F6167" s="3" t="inlineStr">
        <is>
          <t>남이면</t>
        </is>
      </c>
      <c r="G6167" s="3" t="inlineStr">
        <is>
          <t>가좌리</t>
        </is>
      </c>
      <c r="H6167" s="3" t="inlineStr">
        <is>
          <t>단독다가구</t>
        </is>
      </c>
      <c r="I6167" s="3" t="inlineStr">
        <is>
          <t>단독</t>
        </is>
      </c>
      <c r="J6167" s="3" t="inlineStr">
        <is>
          <t>남이면</t>
        </is>
      </c>
    </row>
    <row r="6168">
      <c r="A6168" s="3" t="n">
        <v>2022</v>
      </c>
      <c r="B6168" s="4" t="n">
        <v>29000</v>
      </c>
      <c r="C6168" s="4" t="n">
        <v>436.5</v>
      </c>
      <c r="D6168" s="4" t="n">
        <v>132.04125</v>
      </c>
      <c r="E6168" s="5" t="n">
        <v>219.6</v>
      </c>
      <c r="F6168" s="3" t="inlineStr">
        <is>
          <t>남이면</t>
        </is>
      </c>
      <c r="G6168" s="3" t="inlineStr">
        <is>
          <t>수대리</t>
        </is>
      </c>
      <c r="H6168" s="3" t="inlineStr">
        <is>
          <t>단독다가구</t>
        </is>
      </c>
      <c r="I6168" s="3" t="inlineStr">
        <is>
          <t>단독</t>
        </is>
      </c>
      <c r="J6168" s="3" t="inlineStr">
        <is>
          <t>남이면</t>
        </is>
      </c>
    </row>
    <row r="6169">
      <c r="A6169" s="3" t="n">
        <v>2022</v>
      </c>
      <c r="B6169" s="4" t="n">
        <v>59500</v>
      </c>
      <c r="C6169" s="4" t="n">
        <v>914</v>
      </c>
      <c r="D6169" s="4" t="n">
        <v>276.485</v>
      </c>
      <c r="E6169" s="5" t="n">
        <v>215.2</v>
      </c>
      <c r="F6169" s="3" t="inlineStr">
        <is>
          <t>남이면</t>
        </is>
      </c>
      <c r="G6169" s="3" t="inlineStr">
        <is>
          <t>양촌리</t>
        </is>
      </c>
      <c r="H6169" s="3" t="inlineStr">
        <is>
          <t>단독다가구</t>
        </is>
      </c>
      <c r="I6169" s="3" t="inlineStr">
        <is>
          <t>단독</t>
        </is>
      </c>
      <c r="J6169" s="3" t="inlineStr">
        <is>
          <t>남이면</t>
        </is>
      </c>
    </row>
    <row r="6170">
      <c r="A6170" s="3" t="n">
        <v>2024</v>
      </c>
      <c r="B6170" s="4" t="n">
        <v>21000</v>
      </c>
      <c r="C6170" s="4" t="n">
        <v>627</v>
      </c>
      <c r="D6170" s="4" t="n">
        <v>189.6675</v>
      </c>
      <c r="E6170" s="5" t="n">
        <v>110.7</v>
      </c>
      <c r="F6170" s="3" t="inlineStr">
        <is>
          <t>남이면</t>
        </is>
      </c>
      <c r="G6170" s="3" t="inlineStr">
        <is>
          <t>외천리</t>
        </is>
      </c>
      <c r="H6170" s="3" t="inlineStr">
        <is>
          <t>단독다가구</t>
        </is>
      </c>
      <c r="I6170" s="3" t="inlineStr">
        <is>
          <t>단독</t>
        </is>
      </c>
      <c r="J6170" s="3" t="inlineStr">
        <is>
          <t>남이면</t>
        </is>
      </c>
    </row>
    <row r="6171">
      <c r="A6171" s="3" t="n">
        <v>2024</v>
      </c>
      <c r="B6171" s="4" t="n">
        <v>14000</v>
      </c>
      <c r="C6171" s="4" t="n">
        <v>173</v>
      </c>
      <c r="D6171" s="4" t="n">
        <v>52.3325</v>
      </c>
      <c r="E6171" s="5" t="n">
        <v>267.5</v>
      </c>
      <c r="F6171" s="3" t="inlineStr">
        <is>
          <t>남이면</t>
        </is>
      </c>
      <c r="G6171" s="3" t="inlineStr">
        <is>
          <t>양촌리</t>
        </is>
      </c>
      <c r="H6171" s="3" t="inlineStr">
        <is>
          <t>단독다가구</t>
        </is>
      </c>
      <c r="I6171" s="3" t="inlineStr">
        <is>
          <t>단독</t>
        </is>
      </c>
      <c r="J6171" s="3" t="inlineStr">
        <is>
          <t>남이면</t>
        </is>
      </c>
    </row>
    <row r="6172">
      <c r="A6172" s="3" t="n">
        <v>2024</v>
      </c>
      <c r="B6172" s="4" t="n">
        <v>41800</v>
      </c>
      <c r="C6172" s="4" t="n">
        <v>450</v>
      </c>
      <c r="D6172" s="4" t="n">
        <v>136.125</v>
      </c>
      <c r="E6172" s="5" t="n">
        <v>307.1</v>
      </c>
      <c r="F6172" s="3" t="inlineStr">
        <is>
          <t>남이면</t>
        </is>
      </c>
      <c r="G6172" s="3" t="inlineStr">
        <is>
          <t>가좌리</t>
        </is>
      </c>
      <c r="H6172" s="3" t="inlineStr">
        <is>
          <t>단독다가구</t>
        </is>
      </c>
      <c r="I6172" s="3" t="inlineStr">
        <is>
          <t>단독</t>
        </is>
      </c>
      <c r="J6172" s="3" t="inlineStr">
        <is>
          <t>남이면</t>
        </is>
      </c>
    </row>
    <row r="6173">
      <c r="A6173" s="3" t="n">
        <v>2024</v>
      </c>
      <c r="B6173" s="4" t="n">
        <v>30707</v>
      </c>
      <c r="C6173" s="4" t="n">
        <v>561</v>
      </c>
      <c r="D6173" s="4" t="n">
        <v>169.7025</v>
      </c>
      <c r="E6173" s="5" t="n">
        <v>180.9</v>
      </c>
      <c r="F6173" s="3" t="inlineStr">
        <is>
          <t>남이면</t>
        </is>
      </c>
      <c r="G6173" s="3" t="inlineStr">
        <is>
          <t>외천리</t>
        </is>
      </c>
      <c r="H6173" s="3" t="inlineStr">
        <is>
          <t>단독다가구</t>
        </is>
      </c>
      <c r="I6173" s="3" t="inlineStr">
        <is>
          <t>단독</t>
        </is>
      </c>
      <c r="J6173" s="3" t="inlineStr">
        <is>
          <t>남이면</t>
        </is>
      </c>
    </row>
    <row r="6174">
      <c r="A6174" s="3" t="n">
        <v>2024</v>
      </c>
      <c r="B6174" s="4" t="n">
        <v>31076</v>
      </c>
      <c r="C6174" s="4" t="n">
        <v>561</v>
      </c>
      <c r="D6174" s="4" t="n">
        <v>169.7025</v>
      </c>
      <c r="E6174" s="5" t="n">
        <v>183.1</v>
      </c>
      <c r="F6174" s="3" t="inlineStr">
        <is>
          <t>남이면</t>
        </is>
      </c>
      <c r="G6174" s="3" t="inlineStr">
        <is>
          <t>외천리</t>
        </is>
      </c>
      <c r="H6174" s="3" t="inlineStr">
        <is>
          <t>단독다가구</t>
        </is>
      </c>
      <c r="I6174" s="3" t="inlineStr">
        <is>
          <t>단독</t>
        </is>
      </c>
      <c r="J6174" s="3" t="inlineStr">
        <is>
          <t>남이면</t>
        </is>
      </c>
    </row>
    <row r="6175">
      <c r="A6175" s="3" t="n">
        <v>2024</v>
      </c>
      <c r="B6175" s="4" t="n">
        <v>41650</v>
      </c>
      <c r="C6175" s="4" t="n">
        <v>521</v>
      </c>
      <c r="D6175" s="4" t="n">
        <v>157.6025</v>
      </c>
      <c r="E6175" s="5" t="n">
        <v>264.3</v>
      </c>
      <c r="F6175" s="3" t="inlineStr">
        <is>
          <t>오송읍</t>
        </is>
      </c>
      <c r="G6175" s="3" t="inlineStr">
        <is>
          <t>정중리</t>
        </is>
      </c>
      <c r="H6175" s="3" t="inlineStr">
        <is>
          <t>단독다가구</t>
        </is>
      </c>
      <c r="I6175" s="3" t="inlineStr">
        <is>
          <t>단독</t>
        </is>
      </c>
      <c r="J6175" s="3" t="inlineStr">
        <is>
          <t>오송읍</t>
        </is>
      </c>
    </row>
    <row r="6176">
      <c r="A6176" s="3" t="n">
        <v>2024</v>
      </c>
      <c r="B6176" s="4" t="n">
        <v>9500</v>
      </c>
      <c r="C6176" s="4" t="n">
        <v>228</v>
      </c>
      <c r="D6176" s="4" t="n">
        <v>68.97</v>
      </c>
      <c r="E6176" s="5" t="n">
        <v>137.7</v>
      </c>
      <c r="F6176" s="3" t="inlineStr">
        <is>
          <t>남이면</t>
        </is>
      </c>
      <c r="G6176" s="3" t="inlineStr">
        <is>
          <t>석판리</t>
        </is>
      </c>
      <c r="H6176" s="3" t="inlineStr">
        <is>
          <t>단독다가구</t>
        </is>
      </c>
      <c r="I6176" s="3" t="inlineStr">
        <is>
          <t>단독</t>
        </is>
      </c>
      <c r="J6176" s="3" t="inlineStr">
        <is>
          <t>남이면</t>
        </is>
      </c>
    </row>
    <row r="6177">
      <c r="A6177" s="3" t="n">
        <v>2024</v>
      </c>
      <c r="B6177" s="4" t="n">
        <v>19664</v>
      </c>
      <c r="C6177" s="4" t="n">
        <v>500</v>
      </c>
      <c r="D6177" s="4" t="n">
        <v>151.25</v>
      </c>
      <c r="E6177" s="5" t="n">
        <v>130</v>
      </c>
      <c r="F6177" s="3" t="inlineStr">
        <is>
          <t>남이면</t>
        </is>
      </c>
      <c r="G6177" s="3" t="inlineStr">
        <is>
          <t>척산리</t>
        </is>
      </c>
      <c r="H6177" s="3" t="inlineStr">
        <is>
          <t>단독다가구</t>
        </is>
      </c>
      <c r="I6177" s="3" t="inlineStr">
        <is>
          <t>단독</t>
        </is>
      </c>
      <c r="J6177" s="3" t="inlineStr">
        <is>
          <t>남이면</t>
        </is>
      </c>
    </row>
    <row r="6178">
      <c r="A6178" s="3" t="n">
        <v>2022</v>
      </c>
      <c r="B6178" s="4" t="n">
        <v>46300</v>
      </c>
      <c r="C6178" s="4" t="n">
        <v>526</v>
      </c>
      <c r="D6178" s="4" t="n">
        <v>159.115</v>
      </c>
      <c r="E6178" s="5" t="n">
        <v>291</v>
      </c>
      <c r="F6178" s="3" t="inlineStr">
        <is>
          <t>남이면</t>
        </is>
      </c>
      <c r="G6178" s="3" t="inlineStr">
        <is>
          <t>양촌리</t>
        </is>
      </c>
      <c r="H6178" s="3" t="inlineStr">
        <is>
          <t>단독다가구</t>
        </is>
      </c>
      <c r="I6178" s="3" t="inlineStr">
        <is>
          <t>단독</t>
        </is>
      </c>
      <c r="J6178" s="3" t="inlineStr">
        <is>
          <t>남이면</t>
        </is>
      </c>
    </row>
    <row r="6179">
      <c r="A6179" s="3" t="n">
        <v>2022</v>
      </c>
      <c r="B6179" s="4" t="n">
        <v>49100</v>
      </c>
      <c r="C6179" s="4" t="n">
        <v>655</v>
      </c>
      <c r="D6179" s="4" t="n">
        <v>198.1375</v>
      </c>
      <c r="E6179" s="5" t="n">
        <v>247.8</v>
      </c>
      <c r="F6179" s="3" t="inlineStr">
        <is>
          <t>남이면</t>
        </is>
      </c>
      <c r="G6179" s="3" t="inlineStr">
        <is>
          <t>문동리</t>
        </is>
      </c>
      <c r="H6179" s="3" t="inlineStr">
        <is>
          <t>단독다가구</t>
        </is>
      </c>
      <c r="I6179" s="3" t="inlineStr">
        <is>
          <t>단독</t>
        </is>
      </c>
      <c r="J6179" s="3" t="inlineStr">
        <is>
          <t>남이면</t>
        </is>
      </c>
    </row>
    <row r="6180">
      <c r="A6180" s="3" t="n">
        <v>2022</v>
      </c>
      <c r="B6180" s="4" t="n">
        <v>37465</v>
      </c>
      <c r="C6180" s="4" t="n">
        <v>414</v>
      </c>
      <c r="D6180" s="4" t="n">
        <v>125.235</v>
      </c>
      <c r="E6180" s="5" t="n">
        <v>299.2</v>
      </c>
      <c r="F6180" s="3" t="inlineStr">
        <is>
          <t>남이면</t>
        </is>
      </c>
      <c r="G6180" s="3" t="inlineStr">
        <is>
          <t>팔봉리</t>
        </is>
      </c>
      <c r="H6180" s="3" t="inlineStr">
        <is>
          <t>단독다가구</t>
        </is>
      </c>
      <c r="I6180" s="3" t="inlineStr">
        <is>
          <t>단독</t>
        </is>
      </c>
      <c r="J6180" s="3" t="inlineStr">
        <is>
          <t>남이면</t>
        </is>
      </c>
    </row>
    <row r="6181">
      <c r="A6181" s="3" t="n">
        <v>2022</v>
      </c>
      <c r="B6181" s="4" t="n">
        <v>36620</v>
      </c>
      <c r="C6181" s="4" t="n">
        <v>414</v>
      </c>
      <c r="D6181" s="4" t="n">
        <v>125.235</v>
      </c>
      <c r="E6181" s="5" t="n">
        <v>292.4</v>
      </c>
      <c r="F6181" s="3" t="inlineStr">
        <is>
          <t>남이면</t>
        </is>
      </c>
      <c r="G6181" s="3" t="inlineStr">
        <is>
          <t>팔봉리</t>
        </is>
      </c>
      <c r="H6181" s="3" t="inlineStr">
        <is>
          <t>단독다가구</t>
        </is>
      </c>
      <c r="I6181" s="3" t="inlineStr">
        <is>
          <t>단독</t>
        </is>
      </c>
      <c r="J6181" s="3" t="inlineStr">
        <is>
          <t>남이면</t>
        </is>
      </c>
    </row>
    <row r="6182">
      <c r="A6182" s="3" t="n">
        <v>2022</v>
      </c>
      <c r="B6182" s="4" t="n">
        <v>35000</v>
      </c>
      <c r="C6182" s="4" t="n">
        <v>250</v>
      </c>
      <c r="D6182" s="4" t="n">
        <v>75.625</v>
      </c>
      <c r="E6182" s="5" t="n">
        <v>462.8</v>
      </c>
      <c r="F6182" s="3" t="inlineStr">
        <is>
          <t>남이면</t>
        </is>
      </c>
      <c r="G6182" s="3" t="inlineStr">
        <is>
          <t>가마리</t>
        </is>
      </c>
      <c r="H6182" s="3" t="inlineStr">
        <is>
          <t>단독다가구</t>
        </is>
      </c>
      <c r="I6182" s="3" t="inlineStr">
        <is>
          <t>단독</t>
        </is>
      </c>
      <c r="J6182" s="3" t="inlineStr">
        <is>
          <t>남이면</t>
        </is>
      </c>
    </row>
    <row r="6183">
      <c r="A6183" s="3" t="n">
        <v>2022</v>
      </c>
      <c r="B6183" s="4" t="n">
        <v>37500</v>
      </c>
      <c r="C6183" s="4" t="n">
        <v>673</v>
      </c>
      <c r="D6183" s="4" t="n">
        <v>203.5825</v>
      </c>
      <c r="E6183" s="5" t="n">
        <v>184.2</v>
      </c>
      <c r="F6183" s="3" t="inlineStr">
        <is>
          <t>남이면</t>
        </is>
      </c>
      <c r="G6183" s="3" t="inlineStr">
        <is>
          <t>양촌리</t>
        </is>
      </c>
      <c r="H6183" s="3" t="inlineStr">
        <is>
          <t>단독다가구</t>
        </is>
      </c>
      <c r="I6183" s="3" t="inlineStr">
        <is>
          <t>단독</t>
        </is>
      </c>
      <c r="J6183" s="3" t="inlineStr">
        <is>
          <t>남이면</t>
        </is>
      </c>
    </row>
    <row r="6184">
      <c r="A6184" s="3" t="n">
        <v>2022</v>
      </c>
      <c r="B6184" s="4" t="n">
        <v>55000</v>
      </c>
      <c r="C6184" s="4" t="n">
        <v>732</v>
      </c>
      <c r="D6184" s="4" t="n">
        <v>221.43</v>
      </c>
      <c r="E6184" s="5" t="n">
        <v>248.4</v>
      </c>
      <c r="F6184" s="3" t="inlineStr">
        <is>
          <t>오송읍</t>
        </is>
      </c>
      <c r="G6184" s="3" t="inlineStr">
        <is>
          <t>연제리</t>
        </is>
      </c>
      <c r="H6184" s="3" t="inlineStr">
        <is>
          <t>단독다가구</t>
        </is>
      </c>
      <c r="I6184" s="3" t="inlineStr">
        <is>
          <t>단독</t>
        </is>
      </c>
      <c r="J6184" s="3" t="inlineStr">
        <is>
          <t>오송읍</t>
        </is>
      </c>
    </row>
    <row r="6185">
      <c r="A6185" s="3" t="n">
        <v>2022</v>
      </c>
      <c r="B6185" s="4" t="n">
        <v>74000</v>
      </c>
      <c r="C6185" s="4" t="n">
        <v>295.2</v>
      </c>
      <c r="D6185" s="4" t="n">
        <v>89.29799999999999</v>
      </c>
      <c r="E6185" s="5" t="n">
        <v>828.7</v>
      </c>
      <c r="F6185" s="3" t="inlineStr">
        <is>
          <t>오송읍</t>
        </is>
      </c>
      <c r="G6185" s="3" t="inlineStr">
        <is>
          <t>만수리</t>
        </is>
      </c>
      <c r="H6185" s="3" t="inlineStr">
        <is>
          <t>단독다가구</t>
        </is>
      </c>
      <c r="I6185" s="3" t="inlineStr">
        <is>
          <t>다가구</t>
        </is>
      </c>
      <c r="J6185" s="3" t="inlineStr">
        <is>
          <t>오송읍</t>
        </is>
      </c>
    </row>
    <row r="6186">
      <c r="A6186" s="3" t="n">
        <v>2022</v>
      </c>
      <c r="B6186" s="4" t="n">
        <v>29500</v>
      </c>
      <c r="C6186" s="4" t="n">
        <v>352</v>
      </c>
      <c r="D6186" s="4" t="n">
        <v>106.48</v>
      </c>
      <c r="E6186" s="5" t="n">
        <v>277</v>
      </c>
      <c r="F6186" s="3" t="inlineStr">
        <is>
          <t>강내면</t>
        </is>
      </c>
      <c r="G6186" s="3" t="inlineStr">
        <is>
          <t>석화리</t>
        </is>
      </c>
      <c r="H6186" s="3" t="inlineStr">
        <is>
          <t>단독다가구</t>
        </is>
      </c>
      <c r="I6186" s="3" t="inlineStr">
        <is>
          <t>단독</t>
        </is>
      </c>
      <c r="J6186" s="3" t="inlineStr">
        <is>
          <t>강내면</t>
        </is>
      </c>
    </row>
    <row r="6187">
      <c r="A6187" s="3" t="n">
        <v>2022</v>
      </c>
      <c r="B6187" s="4" t="n">
        <v>105000</v>
      </c>
      <c r="C6187" s="4" t="n">
        <v>348</v>
      </c>
      <c r="D6187" s="4" t="n">
        <v>105.27</v>
      </c>
      <c r="E6187" s="5" t="n">
        <v>997.4</v>
      </c>
      <c r="F6187" s="3" t="inlineStr">
        <is>
          <t>강내면</t>
        </is>
      </c>
      <c r="G6187" s="3" t="inlineStr">
        <is>
          <t>탑연리</t>
        </is>
      </c>
      <c r="H6187" s="3" t="inlineStr">
        <is>
          <t>단독다가구</t>
        </is>
      </c>
      <c r="I6187" s="3" t="inlineStr">
        <is>
          <t>단독</t>
        </is>
      </c>
      <c r="J6187" s="3" t="inlineStr">
        <is>
          <t>강내면</t>
        </is>
      </c>
    </row>
    <row r="6188">
      <c r="A6188" s="3" t="n">
        <v>2022</v>
      </c>
      <c r="B6188" s="4" t="n">
        <v>35000</v>
      </c>
      <c r="C6188" s="4" t="n">
        <v>433</v>
      </c>
      <c r="D6188" s="4" t="n">
        <v>130.9825</v>
      </c>
      <c r="E6188" s="5" t="n">
        <v>267.2</v>
      </c>
      <c r="F6188" s="3" t="inlineStr">
        <is>
          <t>강내면</t>
        </is>
      </c>
      <c r="G6188" s="3" t="inlineStr">
        <is>
          <t>월탄리</t>
        </is>
      </c>
      <c r="H6188" s="3" t="inlineStr">
        <is>
          <t>단독다가구</t>
        </is>
      </c>
      <c r="I6188" s="3" t="inlineStr">
        <is>
          <t>다가구</t>
        </is>
      </c>
      <c r="J6188" s="3" t="inlineStr">
        <is>
          <t>강내면</t>
        </is>
      </c>
    </row>
    <row r="6189">
      <c r="A6189" s="3" t="n">
        <v>2022</v>
      </c>
      <c r="B6189" s="4" t="n">
        <v>20000</v>
      </c>
      <c r="C6189" s="4" t="n">
        <v>280</v>
      </c>
      <c r="D6189" s="4" t="n">
        <v>84.7</v>
      </c>
      <c r="E6189" s="5" t="n">
        <v>236.1</v>
      </c>
      <c r="F6189" s="3" t="inlineStr">
        <is>
          <t>강내면</t>
        </is>
      </c>
      <c r="G6189" s="3" t="inlineStr">
        <is>
          <t>월탄리</t>
        </is>
      </c>
      <c r="H6189" s="3" t="inlineStr">
        <is>
          <t>단독다가구</t>
        </is>
      </c>
      <c r="I6189" s="3" t="inlineStr">
        <is>
          <t>다가구</t>
        </is>
      </c>
      <c r="J6189" s="3" t="inlineStr">
        <is>
          <t>강내면</t>
        </is>
      </c>
    </row>
    <row r="6190">
      <c r="A6190" s="3" t="n">
        <v>2022</v>
      </c>
      <c r="B6190" s="4" t="n">
        <v>60000</v>
      </c>
      <c r="C6190" s="4" t="n">
        <v>203</v>
      </c>
      <c r="D6190" s="4" t="n">
        <v>61.4075</v>
      </c>
      <c r="E6190" s="5" t="n">
        <v>977.1</v>
      </c>
      <c r="F6190" s="3" t="inlineStr">
        <is>
          <t>강내면</t>
        </is>
      </c>
      <c r="G6190" s="3" t="inlineStr">
        <is>
          <t>월곡리</t>
        </is>
      </c>
      <c r="H6190" s="3" t="inlineStr">
        <is>
          <t>단독다가구</t>
        </is>
      </c>
      <c r="I6190" s="3" t="inlineStr">
        <is>
          <t>단독</t>
        </is>
      </c>
      <c r="J6190" s="3" t="inlineStr">
        <is>
          <t>강내면</t>
        </is>
      </c>
    </row>
    <row r="6191">
      <c r="A6191" s="3" t="n">
        <v>2023</v>
      </c>
      <c r="B6191" s="4" t="n">
        <v>22000</v>
      </c>
      <c r="C6191" s="4" t="n">
        <v>453</v>
      </c>
      <c r="D6191" s="4" t="n">
        <v>137.0325</v>
      </c>
      <c r="E6191" s="5" t="n">
        <v>160.5</v>
      </c>
      <c r="F6191" s="3" t="inlineStr">
        <is>
          <t>강내면</t>
        </is>
      </c>
      <c r="G6191" s="3" t="inlineStr">
        <is>
          <t>사인리</t>
        </is>
      </c>
      <c r="H6191" s="3" t="inlineStr">
        <is>
          <t>단독다가구</t>
        </is>
      </c>
      <c r="I6191" s="3" t="inlineStr">
        <is>
          <t>단독</t>
        </is>
      </c>
      <c r="J6191" s="3" t="inlineStr">
        <is>
          <t>강내면</t>
        </is>
      </c>
    </row>
    <row r="6192">
      <c r="A6192" s="3" t="n">
        <v>2023</v>
      </c>
      <c r="B6192" s="4" t="n">
        <v>50000</v>
      </c>
      <c r="C6192" s="4" t="n">
        <v>274</v>
      </c>
      <c r="D6192" s="4" t="n">
        <v>82.88499999999999</v>
      </c>
      <c r="E6192" s="5" t="n">
        <v>603.2</v>
      </c>
      <c r="F6192" s="3" t="inlineStr">
        <is>
          <t>오송읍</t>
        </is>
      </c>
      <c r="G6192" s="3" t="inlineStr">
        <is>
          <t>만수리</t>
        </is>
      </c>
      <c r="H6192" s="3" t="inlineStr">
        <is>
          <t>단독다가구</t>
        </is>
      </c>
      <c r="I6192" s="3" t="inlineStr">
        <is>
          <t>단독</t>
        </is>
      </c>
      <c r="J6192" s="3" t="inlineStr">
        <is>
          <t>오송읍</t>
        </is>
      </c>
    </row>
    <row r="6193">
      <c r="A6193" s="3" t="n">
        <v>2023</v>
      </c>
      <c r="B6193" s="4" t="n">
        <v>72500</v>
      </c>
      <c r="C6193" s="4" t="n">
        <v>322</v>
      </c>
      <c r="D6193" s="4" t="n">
        <v>97.405</v>
      </c>
      <c r="E6193" s="5" t="n">
        <v>744.3</v>
      </c>
      <c r="F6193" s="3" t="inlineStr">
        <is>
          <t>강내면</t>
        </is>
      </c>
      <c r="G6193" s="3" t="inlineStr">
        <is>
          <t>월탄리</t>
        </is>
      </c>
      <c r="H6193" s="3" t="inlineStr">
        <is>
          <t>단독다가구</t>
        </is>
      </c>
      <c r="I6193" s="3" t="inlineStr">
        <is>
          <t>단독</t>
        </is>
      </c>
      <c r="J6193" s="3" t="inlineStr">
        <is>
          <t>강내면</t>
        </is>
      </c>
    </row>
    <row r="6194">
      <c r="A6194" s="3" t="n">
        <v>2023</v>
      </c>
      <c r="B6194" s="4" t="n">
        <v>59000</v>
      </c>
      <c r="C6194" s="4" t="n">
        <v>495</v>
      </c>
      <c r="D6194" s="4" t="n">
        <v>149.7375</v>
      </c>
      <c r="E6194" s="5" t="n">
        <v>394</v>
      </c>
      <c r="F6194" s="3" t="inlineStr">
        <is>
          <t>강내면</t>
        </is>
      </c>
      <c r="G6194" s="3" t="inlineStr">
        <is>
          <t>저산리</t>
        </is>
      </c>
      <c r="H6194" s="3" t="inlineStr">
        <is>
          <t>단독다가구</t>
        </is>
      </c>
      <c r="I6194" s="3" t="inlineStr">
        <is>
          <t>단독</t>
        </is>
      </c>
      <c r="J6194" s="3" t="inlineStr">
        <is>
          <t>강내면</t>
        </is>
      </c>
    </row>
    <row r="6195">
      <c r="A6195" s="3" t="n">
        <v>2023</v>
      </c>
      <c r="B6195" s="4" t="n">
        <v>10900</v>
      </c>
      <c r="C6195" s="4" t="n">
        <v>147</v>
      </c>
      <c r="D6195" s="4" t="n">
        <v>44.4675</v>
      </c>
      <c r="E6195" s="5" t="n">
        <v>245.1</v>
      </c>
      <c r="F6195" s="3" t="inlineStr">
        <is>
          <t>오송읍</t>
        </is>
      </c>
      <c r="G6195" s="3" t="inlineStr">
        <is>
          <t>연제리</t>
        </is>
      </c>
      <c r="H6195" s="3" t="inlineStr">
        <is>
          <t>단독다가구</t>
        </is>
      </c>
      <c r="I6195" s="3" t="inlineStr">
        <is>
          <t>단독</t>
        </is>
      </c>
      <c r="J6195" s="3" t="inlineStr">
        <is>
          <t>오송읍</t>
        </is>
      </c>
    </row>
    <row r="6196">
      <c r="A6196" s="3" t="n">
        <v>2023</v>
      </c>
      <c r="B6196" s="4" t="n">
        <v>34977</v>
      </c>
      <c r="C6196" s="4" t="n">
        <v>533</v>
      </c>
      <c r="D6196" s="4" t="n">
        <v>161.2325</v>
      </c>
      <c r="E6196" s="5" t="n">
        <v>216.9</v>
      </c>
      <c r="F6196" s="3" t="inlineStr">
        <is>
          <t>강내면</t>
        </is>
      </c>
      <c r="G6196" s="3" t="inlineStr">
        <is>
          <t>궁현리</t>
        </is>
      </c>
      <c r="H6196" s="3" t="inlineStr">
        <is>
          <t>단독다가구</t>
        </is>
      </c>
      <c r="I6196" s="3" t="inlineStr">
        <is>
          <t>단독</t>
        </is>
      </c>
      <c r="J6196" s="3" t="inlineStr">
        <is>
          <t>강내면</t>
        </is>
      </c>
    </row>
    <row r="6197">
      <c r="A6197" s="3" t="n">
        <v>2023</v>
      </c>
      <c r="B6197" s="4" t="n">
        <v>70500</v>
      </c>
      <c r="C6197" s="4" t="n">
        <v>280</v>
      </c>
      <c r="D6197" s="4" t="n">
        <v>84.7</v>
      </c>
      <c r="E6197" s="5" t="n">
        <v>832.3</v>
      </c>
      <c r="F6197" s="3" t="inlineStr">
        <is>
          <t>오송읍</t>
        </is>
      </c>
      <c r="G6197" s="3" t="inlineStr">
        <is>
          <t>만수리</t>
        </is>
      </c>
      <c r="H6197" s="3" t="inlineStr">
        <is>
          <t>단독다가구</t>
        </is>
      </c>
      <c r="I6197" s="3" t="inlineStr">
        <is>
          <t>다가구</t>
        </is>
      </c>
      <c r="J6197" s="3" t="inlineStr">
        <is>
          <t>오송읍</t>
        </is>
      </c>
    </row>
    <row r="6198">
      <c r="A6198" s="3" t="n">
        <v>2023</v>
      </c>
      <c r="B6198" s="4" t="n">
        <v>24100</v>
      </c>
      <c r="C6198" s="4" t="n">
        <v>601</v>
      </c>
      <c r="D6198" s="4" t="n">
        <v>181.8025</v>
      </c>
      <c r="E6198" s="5" t="n">
        <v>132.6</v>
      </c>
      <c r="F6198" s="3" t="inlineStr">
        <is>
          <t>오송읍</t>
        </is>
      </c>
      <c r="G6198" s="3" t="inlineStr">
        <is>
          <t>공북리</t>
        </is>
      </c>
      <c r="H6198" s="3" t="inlineStr">
        <is>
          <t>단독다가구</t>
        </is>
      </c>
      <c r="I6198" s="3" t="inlineStr">
        <is>
          <t>단독</t>
        </is>
      </c>
      <c r="J6198" s="3" t="inlineStr">
        <is>
          <t>오송읍</t>
        </is>
      </c>
    </row>
    <row r="6199">
      <c r="A6199" s="3" t="n">
        <v>2026</v>
      </c>
      <c r="B6199" s="4" t="n">
        <v>21000</v>
      </c>
      <c r="C6199" s="4" t="n">
        <v>429</v>
      </c>
      <c r="D6199" s="4" t="n">
        <v>129.7725</v>
      </c>
      <c r="E6199" s="5" t="n">
        <v>161.8</v>
      </c>
      <c r="F6199" s="3" t="inlineStr">
        <is>
          <t>강내면</t>
        </is>
      </c>
      <c r="G6199" s="3" t="inlineStr">
        <is>
          <t>태성리</t>
        </is>
      </c>
      <c r="H6199" s="3" t="inlineStr">
        <is>
          <t>단독다가구</t>
        </is>
      </c>
      <c r="I6199" s="3" t="inlineStr">
        <is>
          <t>단독</t>
        </is>
      </c>
      <c r="J6199" s="3" t="inlineStr">
        <is>
          <t>강내면</t>
        </is>
      </c>
    </row>
    <row r="6200">
      <c r="A6200" s="3" t="n">
        <v>2026</v>
      </c>
      <c r="B6200" s="4" t="n">
        <v>16000</v>
      </c>
      <c r="C6200" s="4" t="n">
        <v>329</v>
      </c>
      <c r="D6200" s="4" t="n">
        <v>99.52249999999999</v>
      </c>
      <c r="E6200" s="5" t="n">
        <v>160.8</v>
      </c>
      <c r="F6200" s="3" t="inlineStr">
        <is>
          <t>강내면</t>
        </is>
      </c>
      <c r="G6200" s="3" t="inlineStr">
        <is>
          <t>사인리</t>
        </is>
      </c>
      <c r="H6200" s="3" t="inlineStr">
        <is>
          <t>단독다가구</t>
        </is>
      </c>
      <c r="I6200" s="3" t="inlineStr">
        <is>
          <t>단독</t>
        </is>
      </c>
      <c r="J6200" s="3" t="inlineStr">
        <is>
          <t>강내면</t>
        </is>
      </c>
    </row>
    <row r="6201">
      <c r="A6201" s="3" t="n">
        <v>2026</v>
      </c>
      <c r="B6201" s="4" t="n">
        <v>71500</v>
      </c>
      <c r="C6201" s="4" t="n">
        <v>244.7</v>
      </c>
      <c r="D6201" s="4" t="n">
        <v>74.02175</v>
      </c>
      <c r="E6201" s="5" t="n">
        <v>965.9</v>
      </c>
      <c r="F6201" s="3" t="inlineStr">
        <is>
          <t>오송읍</t>
        </is>
      </c>
      <c r="G6201" s="3" t="inlineStr">
        <is>
          <t>만수리</t>
        </is>
      </c>
      <c r="H6201" s="3" t="inlineStr">
        <is>
          <t>단독다가구</t>
        </is>
      </c>
      <c r="I6201" s="3" t="inlineStr">
        <is>
          <t>다가구</t>
        </is>
      </c>
      <c r="J6201" s="3" t="inlineStr">
        <is>
          <t>오송읍</t>
        </is>
      </c>
    </row>
    <row r="6202">
      <c r="A6202" s="3" t="n">
        <v>2026</v>
      </c>
      <c r="B6202" s="4" t="n">
        <v>26519</v>
      </c>
      <c r="C6202" s="4" t="n">
        <v>654</v>
      </c>
      <c r="D6202" s="4" t="n">
        <v>197.835</v>
      </c>
      <c r="E6202" s="5" t="n">
        <v>134</v>
      </c>
      <c r="F6202" s="3" t="inlineStr">
        <is>
          <t>오송읍</t>
        </is>
      </c>
      <c r="G6202" s="3" t="inlineStr">
        <is>
          <t>상봉리</t>
        </is>
      </c>
      <c r="H6202" s="3" t="inlineStr">
        <is>
          <t>단독다가구</t>
        </is>
      </c>
      <c r="I6202" s="3" t="inlineStr">
        <is>
          <t>단독</t>
        </is>
      </c>
      <c r="J6202" s="3" t="inlineStr">
        <is>
          <t>오송읍</t>
        </is>
      </c>
    </row>
    <row r="6203">
      <c r="A6203" s="3" t="n">
        <v>2026</v>
      </c>
      <c r="B6203" s="4" t="n">
        <v>27000</v>
      </c>
      <c r="C6203" s="4" t="n">
        <v>633</v>
      </c>
      <c r="D6203" s="4" t="n">
        <v>191.4825</v>
      </c>
      <c r="E6203" s="5" t="n">
        <v>141</v>
      </c>
      <c r="F6203" s="3" t="inlineStr">
        <is>
          <t>오송읍</t>
        </is>
      </c>
      <c r="G6203" s="3" t="inlineStr">
        <is>
          <t>오송리</t>
        </is>
      </c>
      <c r="H6203" s="3" t="inlineStr">
        <is>
          <t>단독다가구</t>
        </is>
      </c>
      <c r="I6203" s="3" t="inlineStr">
        <is>
          <t>단독</t>
        </is>
      </c>
      <c r="J6203" s="3" t="inlineStr">
        <is>
          <t>오송읍</t>
        </is>
      </c>
    </row>
    <row r="6204">
      <c r="A6204" s="3" t="n">
        <v>2026</v>
      </c>
      <c r="B6204" s="4" t="n">
        <v>30000</v>
      </c>
      <c r="C6204" s="4" t="n">
        <v>719</v>
      </c>
      <c r="D6204" s="4" t="n">
        <v>217.4975</v>
      </c>
      <c r="E6204" s="5" t="n">
        <v>137.9</v>
      </c>
      <c r="F6204" s="3" t="inlineStr">
        <is>
          <t>오송읍</t>
        </is>
      </c>
      <c r="G6204" s="3" t="inlineStr">
        <is>
          <t>쌍청리</t>
        </is>
      </c>
      <c r="H6204" s="3" t="inlineStr">
        <is>
          <t>단독다가구</t>
        </is>
      </c>
      <c r="I6204" s="3" t="inlineStr">
        <is>
          <t>단독</t>
        </is>
      </c>
      <c r="J6204" s="3" t="inlineStr">
        <is>
          <t>오송읍</t>
        </is>
      </c>
    </row>
    <row r="6205">
      <c r="A6205" s="3" t="n">
        <v>2026</v>
      </c>
      <c r="B6205" s="4" t="n">
        <v>37000</v>
      </c>
      <c r="C6205" s="4" t="n">
        <v>473</v>
      </c>
      <c r="D6205" s="4" t="n">
        <v>143.0825</v>
      </c>
      <c r="E6205" s="5" t="n">
        <v>258.6</v>
      </c>
      <c r="F6205" s="3" t="inlineStr">
        <is>
          <t>강내면</t>
        </is>
      </c>
      <c r="G6205" s="3" t="inlineStr">
        <is>
          <t>연정리</t>
        </is>
      </c>
      <c r="H6205" s="3" t="inlineStr">
        <is>
          <t>단독다가구</t>
        </is>
      </c>
      <c r="I6205" s="3" t="inlineStr">
        <is>
          <t>단독</t>
        </is>
      </c>
      <c r="J6205" s="3" t="inlineStr">
        <is>
          <t>강내면</t>
        </is>
      </c>
    </row>
    <row r="6206">
      <c r="A6206" s="3" t="n">
        <v>2026</v>
      </c>
      <c r="B6206" s="4" t="n">
        <v>132000</v>
      </c>
      <c r="C6206" s="4" t="n">
        <v>269.8</v>
      </c>
      <c r="D6206" s="4" t="n">
        <v>81.61450000000001</v>
      </c>
      <c r="E6206" s="5" t="n">
        <v>1617.4</v>
      </c>
      <c r="F6206" s="3" t="inlineStr">
        <is>
          <t>오송읍</t>
        </is>
      </c>
      <c r="G6206" s="3" t="inlineStr">
        <is>
          <t>봉산리</t>
        </is>
      </c>
      <c r="H6206" s="3" t="inlineStr">
        <is>
          <t>단독다가구</t>
        </is>
      </c>
      <c r="I6206" s="3" t="inlineStr">
        <is>
          <t>다가구</t>
        </is>
      </c>
      <c r="J6206" s="3" t="inlineStr">
        <is>
          <t>오송읍</t>
        </is>
      </c>
    </row>
    <row r="6207">
      <c r="A6207" s="3" t="n">
        <v>2024</v>
      </c>
      <c r="B6207" s="4" t="n">
        <v>68405</v>
      </c>
      <c r="C6207" s="4" t="n">
        <v>633</v>
      </c>
      <c r="D6207" s="4" t="n">
        <v>191.4825</v>
      </c>
      <c r="E6207" s="5" t="n">
        <v>357.2</v>
      </c>
      <c r="F6207" s="3" t="inlineStr">
        <is>
          <t>남이면</t>
        </is>
      </c>
      <c r="G6207" s="3" t="inlineStr">
        <is>
          <t>석판리</t>
        </is>
      </c>
      <c r="H6207" s="3" t="inlineStr">
        <is>
          <t>단독다가구</t>
        </is>
      </c>
      <c r="I6207" s="3" t="inlineStr">
        <is>
          <t>단독</t>
        </is>
      </c>
      <c r="J6207" s="3" t="inlineStr">
        <is>
          <t>남이면</t>
        </is>
      </c>
    </row>
    <row r="6208">
      <c r="A6208" s="3" t="n">
        <v>2024</v>
      </c>
      <c r="B6208" s="4" t="n">
        <v>29500</v>
      </c>
      <c r="C6208" s="4" t="n">
        <v>379</v>
      </c>
      <c r="D6208" s="4" t="n">
        <v>114.6475</v>
      </c>
      <c r="E6208" s="5" t="n">
        <v>257.3</v>
      </c>
      <c r="F6208" s="3" t="inlineStr">
        <is>
          <t>남이면</t>
        </is>
      </c>
      <c r="G6208" s="3" t="inlineStr">
        <is>
          <t>상발리</t>
        </is>
      </c>
      <c r="H6208" s="3" t="inlineStr">
        <is>
          <t>단독다가구</t>
        </is>
      </c>
      <c r="I6208" s="3" t="inlineStr">
        <is>
          <t>단독</t>
        </is>
      </c>
      <c r="J6208" s="3" t="inlineStr">
        <is>
          <t>남이면</t>
        </is>
      </c>
    </row>
    <row r="6209">
      <c r="A6209" s="3" t="n">
        <v>2024</v>
      </c>
      <c r="B6209" s="4" t="n">
        <v>28700</v>
      </c>
      <c r="C6209" s="4" t="n">
        <v>379</v>
      </c>
      <c r="D6209" s="4" t="n">
        <v>114.6475</v>
      </c>
      <c r="E6209" s="5" t="n">
        <v>250.3</v>
      </c>
      <c r="F6209" s="3" t="inlineStr">
        <is>
          <t>남이면</t>
        </is>
      </c>
      <c r="G6209" s="3" t="inlineStr">
        <is>
          <t>상발리</t>
        </is>
      </c>
      <c r="H6209" s="3" t="inlineStr">
        <is>
          <t>단독다가구</t>
        </is>
      </c>
      <c r="I6209" s="3" t="inlineStr">
        <is>
          <t>단독</t>
        </is>
      </c>
      <c r="J6209" s="3" t="inlineStr">
        <is>
          <t>남이면</t>
        </is>
      </c>
    </row>
    <row r="6210">
      <c r="A6210" s="3" t="n">
        <v>2024</v>
      </c>
      <c r="B6210" s="4" t="n">
        <v>11000</v>
      </c>
      <c r="C6210" s="4" t="n">
        <v>304</v>
      </c>
      <c r="D6210" s="4" t="n">
        <v>91.95999999999999</v>
      </c>
      <c r="E6210" s="5" t="n">
        <v>119.6</v>
      </c>
      <c r="F6210" s="3" t="inlineStr">
        <is>
          <t>남이면</t>
        </is>
      </c>
      <c r="G6210" s="3" t="inlineStr">
        <is>
          <t>문동리</t>
        </is>
      </c>
      <c r="H6210" s="3" t="inlineStr">
        <is>
          <t>단독다가구</t>
        </is>
      </c>
      <c r="I6210" s="3" t="inlineStr">
        <is>
          <t>단독</t>
        </is>
      </c>
      <c r="J6210" s="3" t="inlineStr">
        <is>
          <t>남이면</t>
        </is>
      </c>
    </row>
    <row r="6211">
      <c r="A6211" s="3" t="n">
        <v>2022</v>
      </c>
      <c r="B6211" s="4" t="n">
        <v>46300</v>
      </c>
      <c r="C6211" s="4" t="n">
        <v>526</v>
      </c>
      <c r="D6211" s="4" t="n">
        <v>159.115</v>
      </c>
      <c r="E6211" s="5" t="n">
        <v>291</v>
      </c>
      <c r="F6211" s="3" t="inlineStr">
        <is>
          <t>남이면</t>
        </is>
      </c>
      <c r="G6211" s="3" t="inlineStr">
        <is>
          <t>양촌리</t>
        </is>
      </c>
      <c r="H6211" s="3" t="inlineStr">
        <is>
          <t>단독다가구</t>
        </is>
      </c>
      <c r="I6211" s="3" t="inlineStr">
        <is>
          <t>단독</t>
        </is>
      </c>
      <c r="J6211" s="3" t="inlineStr">
        <is>
          <t>남이면</t>
        </is>
      </c>
    </row>
    <row r="6212">
      <c r="A6212" s="3" t="n">
        <v>2022</v>
      </c>
      <c r="B6212" s="4" t="n">
        <v>15000</v>
      </c>
      <c r="C6212" s="4" t="n">
        <v>347</v>
      </c>
      <c r="D6212" s="4" t="n">
        <v>104.9675</v>
      </c>
      <c r="E6212" s="5" t="n">
        <v>142.9</v>
      </c>
      <c r="F6212" s="3" t="inlineStr">
        <is>
          <t>남이면</t>
        </is>
      </c>
      <c r="G6212" s="3" t="inlineStr">
        <is>
          <t>척산리</t>
        </is>
      </c>
      <c r="H6212" s="3" t="inlineStr">
        <is>
          <t>단독다가구</t>
        </is>
      </c>
      <c r="I6212" s="3" t="inlineStr">
        <is>
          <t>단독</t>
        </is>
      </c>
      <c r="J6212" s="3" t="inlineStr">
        <is>
          <t>남이면</t>
        </is>
      </c>
    </row>
    <row r="6213">
      <c r="A6213" s="3" t="n">
        <v>2022</v>
      </c>
      <c r="B6213" s="4" t="n">
        <v>8500</v>
      </c>
      <c r="C6213" s="4" t="n">
        <v>250</v>
      </c>
      <c r="D6213" s="4" t="n">
        <v>75.625</v>
      </c>
      <c r="E6213" s="5" t="n">
        <v>112.4</v>
      </c>
      <c r="F6213" s="3" t="inlineStr">
        <is>
          <t>남이면</t>
        </is>
      </c>
      <c r="G6213" s="3" t="inlineStr">
        <is>
          <t>팔봉리</t>
        </is>
      </c>
      <c r="H6213" s="3" t="inlineStr">
        <is>
          <t>단독다가구</t>
        </is>
      </c>
      <c r="I6213" s="3" t="inlineStr">
        <is>
          <t>단독</t>
        </is>
      </c>
      <c r="J6213" s="3" t="inlineStr">
        <is>
          <t>남이면</t>
        </is>
      </c>
    </row>
    <row r="6214">
      <c r="A6214" s="3" t="n">
        <v>2022</v>
      </c>
      <c r="B6214" s="4" t="n">
        <v>34400</v>
      </c>
      <c r="C6214" s="4" t="n">
        <v>345</v>
      </c>
      <c r="D6214" s="4" t="n">
        <v>104.3625</v>
      </c>
      <c r="E6214" s="5" t="n">
        <v>329.6</v>
      </c>
      <c r="F6214" s="3" t="inlineStr">
        <is>
          <t>남이면</t>
        </is>
      </c>
      <c r="G6214" s="3" t="inlineStr">
        <is>
          <t>부용외천리</t>
        </is>
      </c>
      <c r="H6214" s="3" t="inlineStr">
        <is>
          <t>단독다가구</t>
        </is>
      </c>
      <c r="I6214" s="3" t="inlineStr">
        <is>
          <t>단독</t>
        </is>
      </c>
      <c r="J6214" s="3" t="inlineStr">
        <is>
          <t>남이면</t>
        </is>
      </c>
    </row>
    <row r="6215">
      <c r="A6215" s="3" t="n">
        <v>2022</v>
      </c>
      <c r="B6215" s="4" t="n">
        <v>11000</v>
      </c>
      <c r="C6215" s="4" t="n">
        <v>615</v>
      </c>
      <c r="D6215" s="4" t="n">
        <v>186.0375</v>
      </c>
      <c r="E6215" s="5" t="n">
        <v>59.1</v>
      </c>
      <c r="F6215" s="3" t="inlineStr">
        <is>
          <t>남이면</t>
        </is>
      </c>
      <c r="G6215" s="3" t="inlineStr">
        <is>
          <t>산막리</t>
        </is>
      </c>
      <c r="H6215" s="3" t="inlineStr">
        <is>
          <t>단독다가구</t>
        </is>
      </c>
      <c r="I6215" s="3" t="inlineStr">
        <is>
          <t>단독</t>
        </is>
      </c>
      <c r="J6215" s="3" t="inlineStr">
        <is>
          <t>남이면</t>
        </is>
      </c>
    </row>
    <row r="6216">
      <c r="A6216" s="3" t="n">
        <v>2022</v>
      </c>
      <c r="B6216" s="4" t="n">
        <v>41000</v>
      </c>
      <c r="C6216" s="4" t="n">
        <v>1068</v>
      </c>
      <c r="D6216" s="4" t="n">
        <v>323.07</v>
      </c>
      <c r="E6216" s="5" t="n">
        <v>126.9</v>
      </c>
      <c r="F6216" s="3" t="inlineStr">
        <is>
          <t>남이면</t>
        </is>
      </c>
      <c r="G6216" s="3" t="inlineStr">
        <is>
          <t>척산리</t>
        </is>
      </c>
      <c r="H6216" s="3" t="inlineStr">
        <is>
          <t>단독다가구</t>
        </is>
      </c>
      <c r="I6216" s="3" t="inlineStr">
        <is>
          <t>단독</t>
        </is>
      </c>
      <c r="J6216" s="3" t="inlineStr">
        <is>
          <t>남이면</t>
        </is>
      </c>
    </row>
    <row r="6217">
      <c r="A6217" s="3" t="n">
        <v>2022</v>
      </c>
      <c r="B6217" s="4" t="n">
        <v>11400</v>
      </c>
      <c r="C6217" s="4" t="n">
        <v>291</v>
      </c>
      <c r="D6217" s="4" t="n">
        <v>88.0275</v>
      </c>
      <c r="E6217" s="5" t="n">
        <v>129.5</v>
      </c>
      <c r="F6217" s="3" t="inlineStr">
        <is>
          <t>강내면</t>
        </is>
      </c>
      <c r="G6217" s="3" t="inlineStr">
        <is>
          <t>사인리</t>
        </is>
      </c>
      <c r="H6217" s="3" t="inlineStr">
        <is>
          <t>단독다가구</t>
        </is>
      </c>
      <c r="I6217" s="3" t="inlineStr">
        <is>
          <t>단독</t>
        </is>
      </c>
      <c r="J6217" s="3" t="inlineStr">
        <is>
          <t>강내면</t>
        </is>
      </c>
    </row>
    <row r="6218">
      <c r="A6218" s="3" t="n">
        <v>2022</v>
      </c>
      <c r="B6218" s="4" t="n">
        <v>30000</v>
      </c>
      <c r="C6218" s="4" t="n">
        <v>250</v>
      </c>
      <c r="D6218" s="4" t="n">
        <v>75.625</v>
      </c>
      <c r="E6218" s="5" t="n">
        <v>396.7</v>
      </c>
      <c r="F6218" s="3" t="inlineStr">
        <is>
          <t>오송읍</t>
        </is>
      </c>
      <c r="G6218" s="3" t="inlineStr">
        <is>
          <t>연제리</t>
        </is>
      </c>
      <c r="H6218" s="3" t="inlineStr">
        <is>
          <t>단독다가구</t>
        </is>
      </c>
      <c r="I6218" s="3" t="inlineStr">
        <is>
          <t>단독</t>
        </is>
      </c>
      <c r="J6218" s="3" t="inlineStr">
        <is>
          <t>오송읍</t>
        </is>
      </c>
    </row>
    <row r="6219">
      <c r="A6219" s="3" t="n">
        <v>2022</v>
      </c>
      <c r="B6219" s="4" t="n">
        <v>77000</v>
      </c>
      <c r="C6219" s="4" t="n">
        <v>716</v>
      </c>
      <c r="D6219" s="4" t="n">
        <v>216.59</v>
      </c>
      <c r="E6219" s="5" t="n">
        <v>355.5</v>
      </c>
      <c r="F6219" s="3" t="inlineStr">
        <is>
          <t>오송읍</t>
        </is>
      </c>
      <c r="G6219" s="3" t="inlineStr">
        <is>
          <t>오송리</t>
        </is>
      </c>
      <c r="H6219" s="3" t="inlineStr">
        <is>
          <t>단독다가구</t>
        </is>
      </c>
      <c r="I6219" s="3" t="inlineStr">
        <is>
          <t>단독</t>
        </is>
      </c>
      <c r="J6219" s="3" t="inlineStr">
        <is>
          <t>오송읍</t>
        </is>
      </c>
    </row>
    <row r="6220">
      <c r="A6220" s="3" t="n">
        <v>2022</v>
      </c>
      <c r="B6220" s="4" t="n">
        <v>9000</v>
      </c>
      <c r="C6220" s="4" t="n">
        <v>133</v>
      </c>
      <c r="D6220" s="4" t="n">
        <v>40.2325</v>
      </c>
      <c r="E6220" s="5" t="n">
        <v>223.7</v>
      </c>
      <c r="F6220" s="3" t="inlineStr">
        <is>
          <t>오송읍</t>
        </is>
      </c>
      <c r="G6220" s="3" t="inlineStr">
        <is>
          <t>정중리</t>
        </is>
      </c>
      <c r="H6220" s="3" t="inlineStr">
        <is>
          <t>단독다가구</t>
        </is>
      </c>
      <c r="I6220" s="3" t="inlineStr">
        <is>
          <t>단독</t>
        </is>
      </c>
      <c r="J6220" s="3" t="inlineStr">
        <is>
          <t>오송읍</t>
        </is>
      </c>
    </row>
    <row r="6221">
      <c r="A6221" s="3" t="n">
        <v>2022</v>
      </c>
      <c r="B6221" s="4" t="n">
        <v>50500</v>
      </c>
      <c r="C6221" s="4" t="n">
        <v>611</v>
      </c>
      <c r="D6221" s="4" t="n">
        <v>184.8275</v>
      </c>
      <c r="E6221" s="5" t="n">
        <v>273.2</v>
      </c>
      <c r="F6221" s="3" t="inlineStr">
        <is>
          <t>오송읍</t>
        </is>
      </c>
      <c r="G6221" s="3" t="inlineStr">
        <is>
          <t>상정리</t>
        </is>
      </c>
      <c r="H6221" s="3" t="inlineStr">
        <is>
          <t>단독다가구</t>
        </is>
      </c>
      <c r="I6221" s="3" t="inlineStr">
        <is>
          <t>단독</t>
        </is>
      </c>
      <c r="J6221" s="3" t="inlineStr">
        <is>
          <t>오송읍</t>
        </is>
      </c>
    </row>
    <row r="6222">
      <c r="A6222" s="3" t="n">
        <v>2022</v>
      </c>
      <c r="B6222" s="4" t="n">
        <v>48410</v>
      </c>
      <c r="C6222" s="4" t="n">
        <v>611</v>
      </c>
      <c r="D6222" s="4" t="n">
        <v>184.8275</v>
      </c>
      <c r="E6222" s="5" t="n">
        <v>261.9</v>
      </c>
      <c r="F6222" s="3" t="inlineStr">
        <is>
          <t>오송읍</t>
        </is>
      </c>
      <c r="G6222" s="3" t="inlineStr">
        <is>
          <t>상정리</t>
        </is>
      </c>
      <c r="H6222" s="3" t="inlineStr">
        <is>
          <t>단독다가구</t>
        </is>
      </c>
      <c r="I6222" s="3" t="inlineStr">
        <is>
          <t>단독</t>
        </is>
      </c>
      <c r="J6222" s="3" t="inlineStr">
        <is>
          <t>오송읍</t>
        </is>
      </c>
    </row>
    <row r="6223">
      <c r="A6223" s="3" t="n">
        <v>2022</v>
      </c>
      <c r="B6223" s="4" t="n">
        <v>50500</v>
      </c>
      <c r="C6223" s="4" t="n">
        <v>611</v>
      </c>
      <c r="D6223" s="4" t="n">
        <v>184.8275</v>
      </c>
      <c r="E6223" s="5" t="n">
        <v>273.2</v>
      </c>
      <c r="F6223" s="3" t="inlineStr">
        <is>
          <t>오송읍</t>
        </is>
      </c>
      <c r="G6223" s="3" t="inlineStr">
        <is>
          <t>상정리</t>
        </is>
      </c>
      <c r="H6223" s="3" t="inlineStr">
        <is>
          <t>단독다가구</t>
        </is>
      </c>
      <c r="I6223" s="3" t="inlineStr">
        <is>
          <t>단독</t>
        </is>
      </c>
      <c r="J6223" s="3" t="inlineStr">
        <is>
          <t>오송읍</t>
        </is>
      </c>
    </row>
    <row r="6224">
      <c r="A6224" s="3" t="n">
        <v>2022</v>
      </c>
      <c r="B6224" s="4" t="n">
        <v>29500</v>
      </c>
      <c r="C6224" s="4" t="n">
        <v>295</v>
      </c>
      <c r="D6224" s="4" t="n">
        <v>89.2375</v>
      </c>
      <c r="E6224" s="5" t="n">
        <v>330.6</v>
      </c>
      <c r="F6224" s="3" t="inlineStr">
        <is>
          <t>강내면</t>
        </is>
      </c>
      <c r="G6224" s="3" t="inlineStr">
        <is>
          <t>궁현리</t>
        </is>
      </c>
      <c r="H6224" s="3" t="inlineStr">
        <is>
          <t>단독다가구</t>
        </is>
      </c>
      <c r="I6224" s="3" t="inlineStr">
        <is>
          <t>단독</t>
        </is>
      </c>
      <c r="J6224" s="3" t="inlineStr">
        <is>
          <t>강내면</t>
        </is>
      </c>
    </row>
    <row r="6225">
      <c r="A6225" s="3" t="n">
        <v>2022</v>
      </c>
      <c r="B6225" s="4" t="n">
        <v>57000</v>
      </c>
      <c r="C6225" s="4" t="n">
        <v>187</v>
      </c>
      <c r="D6225" s="4" t="n">
        <v>56.5675</v>
      </c>
      <c r="E6225" s="5" t="n">
        <v>1007.6</v>
      </c>
      <c r="F6225" s="3" t="inlineStr">
        <is>
          <t>오송읍</t>
        </is>
      </c>
      <c r="G6225" s="3" t="inlineStr">
        <is>
          <t>오송리</t>
        </is>
      </c>
      <c r="H6225" s="3" t="inlineStr">
        <is>
          <t>단독다가구</t>
        </is>
      </c>
      <c r="I6225" s="3" t="inlineStr">
        <is>
          <t>단독</t>
        </is>
      </c>
      <c r="J6225" s="3" t="inlineStr">
        <is>
          <t>오송읍</t>
        </is>
      </c>
    </row>
    <row r="6226">
      <c r="A6226" s="3" t="n">
        <v>2022</v>
      </c>
      <c r="B6226" s="4" t="n">
        <v>23000</v>
      </c>
      <c r="C6226" s="4" t="n">
        <v>460</v>
      </c>
      <c r="D6226" s="4" t="n">
        <v>139.15</v>
      </c>
      <c r="E6226" s="5" t="n">
        <v>165.3</v>
      </c>
      <c r="F6226" s="3" t="inlineStr">
        <is>
          <t>오송읍</t>
        </is>
      </c>
      <c r="G6226" s="3" t="inlineStr">
        <is>
          <t>오송리</t>
        </is>
      </c>
      <c r="H6226" s="3" t="inlineStr">
        <is>
          <t>단독다가구</t>
        </is>
      </c>
      <c r="I6226" s="3" t="inlineStr">
        <is>
          <t>단독</t>
        </is>
      </c>
      <c r="J6226" s="3" t="inlineStr">
        <is>
          <t>오송읍</t>
        </is>
      </c>
    </row>
    <row r="6227">
      <c r="A6227" s="3" t="n">
        <v>2022</v>
      </c>
      <c r="B6227" s="4" t="n">
        <v>23000</v>
      </c>
      <c r="C6227" s="4" t="n">
        <v>386.9</v>
      </c>
      <c r="D6227" s="4" t="n">
        <v>117.03725</v>
      </c>
      <c r="E6227" s="5" t="n">
        <v>196.5</v>
      </c>
      <c r="F6227" s="3" t="inlineStr">
        <is>
          <t>강내면</t>
        </is>
      </c>
      <c r="G6227" s="3" t="inlineStr">
        <is>
          <t>궁현리</t>
        </is>
      </c>
      <c r="H6227" s="3" t="inlineStr">
        <is>
          <t>단독다가구</t>
        </is>
      </c>
      <c r="I6227" s="3" t="inlineStr">
        <is>
          <t>단독</t>
        </is>
      </c>
      <c r="J6227" s="3" t="inlineStr">
        <is>
          <t>강내면</t>
        </is>
      </c>
    </row>
    <row r="6228">
      <c r="A6228" s="3" t="n">
        <v>2022</v>
      </c>
      <c r="B6228" s="4" t="n">
        <v>79000</v>
      </c>
      <c r="C6228" s="4" t="n">
        <v>352</v>
      </c>
      <c r="D6228" s="4" t="n">
        <v>106.48</v>
      </c>
      <c r="E6228" s="5" t="n">
        <v>741.9</v>
      </c>
      <c r="F6228" s="3" t="inlineStr">
        <is>
          <t>강내면</t>
        </is>
      </c>
      <c r="G6228" s="3" t="inlineStr">
        <is>
          <t>월곡리</t>
        </is>
      </c>
      <c r="H6228" s="3" t="inlineStr">
        <is>
          <t>단독다가구</t>
        </is>
      </c>
      <c r="I6228" s="3" t="inlineStr">
        <is>
          <t>다가구</t>
        </is>
      </c>
      <c r="J6228" s="3" t="inlineStr">
        <is>
          <t>강내면</t>
        </is>
      </c>
    </row>
    <row r="6229">
      <c r="A6229" s="3" t="n">
        <v>2023</v>
      </c>
      <c r="B6229" s="4" t="n">
        <v>54850</v>
      </c>
      <c r="C6229" s="4" t="n">
        <v>444</v>
      </c>
      <c r="D6229" s="4" t="n">
        <v>134.31</v>
      </c>
      <c r="E6229" s="5" t="n">
        <v>408.4</v>
      </c>
      <c r="F6229" s="3" t="inlineStr">
        <is>
          <t>오송읍</t>
        </is>
      </c>
      <c r="G6229" s="3" t="inlineStr">
        <is>
          <t>궁평리</t>
        </is>
      </c>
      <c r="H6229" s="3" t="inlineStr">
        <is>
          <t>단독다가구</t>
        </is>
      </c>
      <c r="I6229" s="3" t="inlineStr">
        <is>
          <t>단독</t>
        </is>
      </c>
      <c r="J6229" s="3" t="inlineStr">
        <is>
          <t>오송읍</t>
        </is>
      </c>
    </row>
    <row r="6230">
      <c r="A6230" s="3" t="n">
        <v>2023</v>
      </c>
      <c r="B6230" s="4" t="n">
        <v>39300</v>
      </c>
      <c r="C6230" s="4" t="n">
        <v>656</v>
      </c>
      <c r="D6230" s="4" t="n">
        <v>198.44</v>
      </c>
      <c r="E6230" s="5" t="n">
        <v>198</v>
      </c>
      <c r="F6230" s="3" t="inlineStr">
        <is>
          <t>강내면</t>
        </is>
      </c>
      <c r="G6230" s="3" t="inlineStr">
        <is>
          <t>궁현리</t>
        </is>
      </c>
      <c r="H6230" s="3" t="inlineStr">
        <is>
          <t>단독다가구</t>
        </is>
      </c>
      <c r="I6230" s="3" t="inlineStr">
        <is>
          <t>단독</t>
        </is>
      </c>
      <c r="J6230" s="3" t="inlineStr">
        <is>
          <t>강내면</t>
        </is>
      </c>
    </row>
    <row r="6231">
      <c r="A6231" s="3" t="n">
        <v>2023</v>
      </c>
      <c r="B6231" s="4" t="n">
        <v>21000</v>
      </c>
      <c r="C6231" s="4" t="n">
        <v>465</v>
      </c>
      <c r="D6231" s="4" t="n">
        <v>140.6625</v>
      </c>
      <c r="E6231" s="5" t="n">
        <v>149.3</v>
      </c>
      <c r="F6231" s="3" t="inlineStr">
        <is>
          <t>오송읍</t>
        </is>
      </c>
      <c r="G6231" s="3" t="inlineStr">
        <is>
          <t>쌍청리</t>
        </is>
      </c>
      <c r="H6231" s="3" t="inlineStr">
        <is>
          <t>단독다가구</t>
        </is>
      </c>
      <c r="I6231" s="3" t="inlineStr">
        <is>
          <t>단독</t>
        </is>
      </c>
      <c r="J6231" s="3" t="inlineStr">
        <is>
          <t>오송읍</t>
        </is>
      </c>
    </row>
    <row r="6232">
      <c r="A6232" s="3" t="n">
        <v>2023</v>
      </c>
      <c r="B6232" s="4" t="n">
        <v>11000</v>
      </c>
      <c r="C6232" s="4" t="n">
        <v>270</v>
      </c>
      <c r="D6232" s="4" t="n">
        <v>81.675</v>
      </c>
      <c r="E6232" s="5" t="n">
        <v>134.7</v>
      </c>
      <c r="F6232" s="3" t="inlineStr">
        <is>
          <t>오송읍</t>
        </is>
      </c>
      <c r="G6232" s="3" t="inlineStr">
        <is>
          <t>오송리</t>
        </is>
      </c>
      <c r="H6232" s="3" t="inlineStr">
        <is>
          <t>단독다가구</t>
        </is>
      </c>
      <c r="I6232" s="3" t="inlineStr">
        <is>
          <t>단독</t>
        </is>
      </c>
      <c r="J6232" s="3" t="inlineStr">
        <is>
          <t>오송읍</t>
        </is>
      </c>
    </row>
    <row r="6233">
      <c r="A6233" s="3" t="n">
        <v>2023</v>
      </c>
      <c r="B6233" s="4" t="n">
        <v>15600</v>
      </c>
      <c r="C6233" s="4" t="n">
        <v>344</v>
      </c>
      <c r="D6233" s="4" t="n">
        <v>104.06</v>
      </c>
      <c r="E6233" s="5" t="n">
        <v>149.9</v>
      </c>
      <c r="F6233" s="3" t="inlineStr">
        <is>
          <t>강내면</t>
        </is>
      </c>
      <c r="G6233" s="3" t="inlineStr">
        <is>
          <t>석화리</t>
        </is>
      </c>
      <c r="H6233" s="3" t="inlineStr">
        <is>
          <t>단독다가구</t>
        </is>
      </c>
      <c r="I6233" s="3" t="inlineStr">
        <is>
          <t>단독</t>
        </is>
      </c>
      <c r="J6233" s="3" t="inlineStr">
        <is>
          <t>강내면</t>
        </is>
      </c>
    </row>
    <row r="6234">
      <c r="A6234" s="3" t="n">
        <v>2023</v>
      </c>
      <c r="B6234" s="4" t="n">
        <v>37000</v>
      </c>
      <c r="C6234" s="4" t="n">
        <v>440</v>
      </c>
      <c r="D6234" s="4" t="n">
        <v>133.1</v>
      </c>
      <c r="E6234" s="5" t="n">
        <v>278</v>
      </c>
      <c r="F6234" s="3" t="inlineStr">
        <is>
          <t>남이면</t>
        </is>
      </c>
      <c r="G6234" s="3" t="inlineStr">
        <is>
          <t>문동리</t>
        </is>
      </c>
      <c r="H6234" s="3" t="inlineStr">
        <is>
          <t>단독다가구</t>
        </is>
      </c>
      <c r="I6234" s="3" t="inlineStr">
        <is>
          <t>단독</t>
        </is>
      </c>
      <c r="J6234" s="3" t="inlineStr">
        <is>
          <t>남이면</t>
        </is>
      </c>
    </row>
    <row r="6235">
      <c r="A6235" s="3" t="n">
        <v>2023</v>
      </c>
      <c r="B6235" s="4" t="n">
        <v>30400</v>
      </c>
      <c r="C6235" s="4" t="n">
        <v>774</v>
      </c>
      <c r="D6235" s="4" t="n">
        <v>234.135</v>
      </c>
      <c r="E6235" s="5" t="n">
        <v>129.8</v>
      </c>
      <c r="F6235" s="3" t="inlineStr">
        <is>
          <t>남이면</t>
        </is>
      </c>
      <c r="G6235" s="3" t="inlineStr">
        <is>
          <t>석판리</t>
        </is>
      </c>
      <c r="H6235" s="3" t="inlineStr">
        <is>
          <t>단독다가구</t>
        </is>
      </c>
      <c r="I6235" s="3" t="inlineStr">
        <is>
          <t>단독</t>
        </is>
      </c>
      <c r="J6235" s="3" t="inlineStr">
        <is>
          <t>남이면</t>
        </is>
      </c>
    </row>
    <row r="6236">
      <c r="A6236" s="3" t="n">
        <v>2023</v>
      </c>
      <c r="B6236" s="4" t="n">
        <v>58000</v>
      </c>
      <c r="C6236" s="4" t="n">
        <v>457</v>
      </c>
      <c r="D6236" s="4" t="n">
        <v>138.2425</v>
      </c>
      <c r="E6236" s="5" t="n">
        <v>419.6</v>
      </c>
      <c r="F6236" s="3" t="inlineStr">
        <is>
          <t>남이면</t>
        </is>
      </c>
      <c r="G6236" s="3" t="inlineStr">
        <is>
          <t>석판리</t>
        </is>
      </c>
      <c r="H6236" s="3" t="inlineStr">
        <is>
          <t>단독다가구</t>
        </is>
      </c>
      <c r="I6236" s="3" t="inlineStr">
        <is>
          <t>단독</t>
        </is>
      </c>
      <c r="J6236" s="3" t="inlineStr">
        <is>
          <t>남이면</t>
        </is>
      </c>
    </row>
    <row r="6237">
      <c r="A6237" s="3" t="n">
        <v>2023</v>
      </c>
      <c r="B6237" s="4" t="n">
        <v>58000</v>
      </c>
      <c r="C6237" s="4" t="n">
        <v>457</v>
      </c>
      <c r="D6237" s="4" t="n">
        <v>138.2425</v>
      </c>
      <c r="E6237" s="5" t="n">
        <v>419.6</v>
      </c>
      <c r="F6237" s="3" t="inlineStr">
        <is>
          <t>남이면</t>
        </is>
      </c>
      <c r="G6237" s="3" t="inlineStr">
        <is>
          <t>석판리</t>
        </is>
      </c>
      <c r="H6237" s="3" t="inlineStr">
        <is>
          <t>단독다가구</t>
        </is>
      </c>
      <c r="I6237" s="3" t="inlineStr">
        <is>
          <t>단독</t>
        </is>
      </c>
      <c r="J6237" s="3" t="inlineStr">
        <is>
          <t>남이면</t>
        </is>
      </c>
    </row>
    <row r="6238">
      <c r="A6238" s="3" t="n">
        <v>2023</v>
      </c>
      <c r="B6238" s="4" t="n">
        <v>45000</v>
      </c>
      <c r="C6238" s="4" t="n">
        <v>507</v>
      </c>
      <c r="D6238" s="4" t="n">
        <v>153.3675</v>
      </c>
      <c r="E6238" s="5" t="n">
        <v>293.4</v>
      </c>
      <c r="F6238" s="3" t="inlineStr">
        <is>
          <t>남이면</t>
        </is>
      </c>
      <c r="G6238" s="3" t="inlineStr">
        <is>
          <t>가좌리</t>
        </is>
      </c>
      <c r="H6238" s="3" t="inlineStr">
        <is>
          <t>단독다가구</t>
        </is>
      </c>
      <c r="I6238" s="3" t="inlineStr">
        <is>
          <t>단독</t>
        </is>
      </c>
      <c r="J6238" s="3" t="inlineStr">
        <is>
          <t>남이면</t>
        </is>
      </c>
    </row>
    <row r="6239">
      <c r="A6239" s="3" t="n">
        <v>2023</v>
      </c>
      <c r="B6239" s="4" t="n">
        <v>68900</v>
      </c>
      <c r="C6239" s="4" t="n">
        <v>600</v>
      </c>
      <c r="D6239" s="4" t="n">
        <v>181.5</v>
      </c>
      <c r="E6239" s="5" t="n">
        <v>379.6</v>
      </c>
      <c r="F6239" s="3" t="inlineStr">
        <is>
          <t>남이면</t>
        </is>
      </c>
      <c r="G6239" s="3" t="inlineStr">
        <is>
          <t>석판리</t>
        </is>
      </c>
      <c r="H6239" s="3" t="inlineStr">
        <is>
          <t>단독다가구</t>
        </is>
      </c>
      <c r="I6239" s="3" t="inlineStr">
        <is>
          <t>단독</t>
        </is>
      </c>
      <c r="J6239" s="3" t="inlineStr">
        <is>
          <t>남이면</t>
        </is>
      </c>
    </row>
    <row r="6240">
      <c r="A6240" s="3" t="n">
        <v>2023</v>
      </c>
      <c r="B6240" s="4" t="n">
        <v>19550</v>
      </c>
      <c r="C6240" s="4" t="n">
        <v>565</v>
      </c>
      <c r="D6240" s="4" t="n">
        <v>170.9125</v>
      </c>
      <c r="E6240" s="5" t="n">
        <v>114.4</v>
      </c>
      <c r="F6240" s="3" t="inlineStr">
        <is>
          <t>남이면</t>
        </is>
      </c>
      <c r="G6240" s="3" t="inlineStr">
        <is>
          <t>외천리</t>
        </is>
      </c>
      <c r="H6240" s="3" t="inlineStr">
        <is>
          <t>단독다가구</t>
        </is>
      </c>
      <c r="I6240" s="3" t="inlineStr">
        <is>
          <t>단독</t>
        </is>
      </c>
      <c r="J6240" s="3" t="inlineStr">
        <is>
          <t>남이면</t>
        </is>
      </c>
    </row>
    <row r="6241">
      <c r="A6241" s="3" t="n">
        <v>2026</v>
      </c>
      <c r="B6241" s="4" t="n">
        <v>68000</v>
      </c>
      <c r="C6241" s="4" t="n">
        <v>259.9</v>
      </c>
      <c r="D6241" s="4" t="n">
        <v>78.61975</v>
      </c>
      <c r="E6241" s="5" t="n">
        <v>864.9</v>
      </c>
      <c r="F6241" s="3" t="inlineStr">
        <is>
          <t>오송읍</t>
        </is>
      </c>
      <c r="G6241" s="3" t="inlineStr">
        <is>
          <t>만수리</t>
        </is>
      </c>
      <c r="H6241" s="3" t="inlineStr">
        <is>
          <t>단독다가구</t>
        </is>
      </c>
      <c r="I6241" s="3" t="inlineStr">
        <is>
          <t>다가구</t>
        </is>
      </c>
      <c r="J6241" s="3" t="inlineStr">
        <is>
          <t>오송읍</t>
        </is>
      </c>
    </row>
    <row r="6242">
      <c r="A6242" s="3" t="n">
        <v>2026</v>
      </c>
      <c r="B6242" s="4" t="n">
        <v>37000</v>
      </c>
      <c r="C6242" s="4" t="n">
        <v>514.4</v>
      </c>
      <c r="D6242" s="4" t="n">
        <v>155.606</v>
      </c>
      <c r="E6242" s="5" t="n">
        <v>237.8</v>
      </c>
      <c r="F6242" s="3" t="inlineStr">
        <is>
          <t>강내면</t>
        </is>
      </c>
      <c r="G6242" s="3" t="inlineStr">
        <is>
          <t>궁현리</t>
        </is>
      </c>
      <c r="H6242" s="3" t="inlineStr">
        <is>
          <t>단독다가구</t>
        </is>
      </c>
      <c r="I6242" s="3" t="inlineStr">
        <is>
          <t>단독</t>
        </is>
      </c>
      <c r="J6242" s="3" t="inlineStr">
        <is>
          <t>강내면</t>
        </is>
      </c>
    </row>
    <row r="6243">
      <c r="A6243" s="3" t="n">
        <v>2026</v>
      </c>
      <c r="B6243" s="4" t="n">
        <v>70000</v>
      </c>
      <c r="C6243" s="4" t="n">
        <v>275.8</v>
      </c>
      <c r="D6243" s="4" t="n">
        <v>83.4295</v>
      </c>
      <c r="E6243" s="5" t="n">
        <v>839</v>
      </c>
      <c r="F6243" s="3" t="inlineStr">
        <is>
          <t>오송읍</t>
        </is>
      </c>
      <c r="G6243" s="3" t="inlineStr">
        <is>
          <t>만수리</t>
        </is>
      </c>
      <c r="H6243" s="3" t="inlineStr">
        <is>
          <t>단독다가구</t>
        </is>
      </c>
      <c r="I6243" s="3" t="inlineStr">
        <is>
          <t>다가구</t>
        </is>
      </c>
      <c r="J6243" s="3" t="inlineStr">
        <is>
          <t>오송읍</t>
        </is>
      </c>
    </row>
    <row r="6244">
      <c r="A6244" s="3" t="n">
        <v>2026</v>
      </c>
      <c r="B6244" s="4" t="n">
        <v>70000</v>
      </c>
      <c r="C6244" s="4" t="n">
        <v>265.7</v>
      </c>
      <c r="D6244" s="4" t="n">
        <v>80.37424999999999</v>
      </c>
      <c r="E6244" s="5" t="n">
        <v>870.9</v>
      </c>
      <c r="F6244" s="3" t="inlineStr">
        <is>
          <t>오송읍</t>
        </is>
      </c>
      <c r="G6244" s="3" t="inlineStr">
        <is>
          <t>연제리</t>
        </is>
      </c>
      <c r="H6244" s="3" t="inlineStr">
        <is>
          <t>단독다가구</t>
        </is>
      </c>
      <c r="I6244" s="3" t="inlineStr">
        <is>
          <t>다가구</t>
        </is>
      </c>
      <c r="J6244" s="3" t="inlineStr">
        <is>
          <t>오송읍</t>
        </is>
      </c>
    </row>
    <row r="6245">
      <c r="A6245" s="3" t="n">
        <v>2026</v>
      </c>
      <c r="B6245" s="4" t="n">
        <v>148000</v>
      </c>
      <c r="C6245" s="4" t="n">
        <v>263.6</v>
      </c>
      <c r="D6245" s="4" t="n">
        <v>79.739</v>
      </c>
      <c r="E6245" s="5" t="n">
        <v>1856.1</v>
      </c>
      <c r="F6245" s="3" t="inlineStr">
        <is>
          <t>오송읍</t>
        </is>
      </c>
      <c r="G6245" s="3" t="inlineStr">
        <is>
          <t>봉산리</t>
        </is>
      </c>
      <c r="H6245" s="3" t="inlineStr">
        <is>
          <t>단독다가구</t>
        </is>
      </c>
      <c r="I6245" s="3" t="inlineStr">
        <is>
          <t>다가구</t>
        </is>
      </c>
      <c r="J6245" s="3" t="inlineStr">
        <is>
          <t>오송읍</t>
        </is>
      </c>
    </row>
    <row r="6246">
      <c r="A6246" s="3" t="n">
        <v>2026</v>
      </c>
      <c r="B6246" s="4" t="n">
        <v>73250</v>
      </c>
      <c r="C6246" s="4" t="n">
        <v>249.6</v>
      </c>
      <c r="D6246" s="4" t="n">
        <v>75.50399999999999</v>
      </c>
      <c r="E6246" s="5" t="n">
        <v>970.1</v>
      </c>
      <c r="F6246" s="3" t="inlineStr">
        <is>
          <t>오송읍</t>
        </is>
      </c>
      <c r="G6246" s="3" t="inlineStr">
        <is>
          <t>만수리</t>
        </is>
      </c>
      <c r="H6246" s="3" t="inlineStr">
        <is>
          <t>단독다가구</t>
        </is>
      </c>
      <c r="I6246" s="3" t="inlineStr">
        <is>
          <t>다가구</t>
        </is>
      </c>
      <c r="J6246" s="3" t="inlineStr">
        <is>
          <t>오송읍</t>
        </is>
      </c>
    </row>
    <row r="6247">
      <c r="A6247" s="3" t="n">
        <v>2026</v>
      </c>
      <c r="B6247" s="4" t="n">
        <v>74000</v>
      </c>
      <c r="C6247" s="4" t="n">
        <v>273.8</v>
      </c>
      <c r="D6247" s="4" t="n">
        <v>82.8245</v>
      </c>
      <c r="E6247" s="5" t="n">
        <v>893.5</v>
      </c>
      <c r="F6247" s="3" t="inlineStr">
        <is>
          <t>오송읍</t>
        </is>
      </c>
      <c r="G6247" s="3" t="inlineStr">
        <is>
          <t>연제리</t>
        </is>
      </c>
      <c r="H6247" s="3" t="inlineStr">
        <is>
          <t>단독다가구</t>
        </is>
      </c>
      <c r="I6247" s="3" t="inlineStr">
        <is>
          <t>다가구</t>
        </is>
      </c>
      <c r="J6247" s="3" t="inlineStr">
        <is>
          <t>오송읍</t>
        </is>
      </c>
    </row>
    <row r="6248">
      <c r="A6248" s="3" t="n">
        <v>2026</v>
      </c>
      <c r="B6248" s="4" t="n">
        <v>70000</v>
      </c>
      <c r="C6248" s="4" t="n">
        <v>330</v>
      </c>
      <c r="D6248" s="4" t="n">
        <v>99.825</v>
      </c>
      <c r="E6248" s="5" t="n">
        <v>701.2</v>
      </c>
      <c r="F6248" s="3" t="inlineStr">
        <is>
          <t>강내면</t>
        </is>
      </c>
      <c r="G6248" s="3" t="inlineStr">
        <is>
          <t>월곡리</t>
        </is>
      </c>
      <c r="H6248" s="3" t="inlineStr">
        <is>
          <t>단독다가구</t>
        </is>
      </c>
      <c r="I6248" s="3" t="inlineStr">
        <is>
          <t>단독</t>
        </is>
      </c>
      <c r="J6248" s="3" t="inlineStr">
        <is>
          <t>강내면</t>
        </is>
      </c>
    </row>
    <row r="6249">
      <c r="A6249" s="3" t="n">
        <v>2026</v>
      </c>
      <c r="B6249" s="4" t="n">
        <v>12000</v>
      </c>
      <c r="C6249" s="4" t="n">
        <v>146</v>
      </c>
      <c r="D6249" s="4" t="n">
        <v>44.165</v>
      </c>
      <c r="E6249" s="5" t="n">
        <v>271.7</v>
      </c>
      <c r="F6249" s="3" t="inlineStr">
        <is>
          <t>오송읍</t>
        </is>
      </c>
      <c r="G6249" s="3" t="inlineStr">
        <is>
          <t>연제리</t>
        </is>
      </c>
      <c r="H6249" s="3" t="inlineStr">
        <is>
          <t>단독다가구</t>
        </is>
      </c>
      <c r="I6249" s="3" t="inlineStr">
        <is>
          <t>단독</t>
        </is>
      </c>
      <c r="J6249" s="3" t="inlineStr">
        <is>
          <t>오송읍</t>
        </is>
      </c>
    </row>
    <row r="6250">
      <c r="A6250" s="3" t="n">
        <v>2026</v>
      </c>
      <c r="B6250" s="4" t="n">
        <v>40466</v>
      </c>
      <c r="C6250" s="4" t="n">
        <v>751</v>
      </c>
      <c r="D6250" s="4" t="n">
        <v>227.1775</v>
      </c>
      <c r="E6250" s="5" t="n">
        <v>178.1</v>
      </c>
      <c r="F6250" s="3" t="inlineStr">
        <is>
          <t>강내면</t>
        </is>
      </c>
      <c r="G6250" s="3" t="inlineStr">
        <is>
          <t>탑연리</t>
        </is>
      </c>
      <c r="H6250" s="3" t="inlineStr">
        <is>
          <t>단독다가구</t>
        </is>
      </c>
      <c r="I6250" s="3" t="inlineStr">
        <is>
          <t>단독</t>
        </is>
      </c>
      <c r="J6250" s="3" t="inlineStr">
        <is>
          <t>강내면</t>
        </is>
      </c>
    </row>
    <row r="6251">
      <c r="A6251" s="3" t="n">
        <v>2026</v>
      </c>
      <c r="B6251" s="4" t="n">
        <v>58000</v>
      </c>
      <c r="C6251" s="4" t="n">
        <v>516</v>
      </c>
      <c r="D6251" s="4" t="n">
        <v>156.09</v>
      </c>
      <c r="E6251" s="5" t="n">
        <v>371.6</v>
      </c>
      <c r="F6251" s="3" t="inlineStr">
        <is>
          <t>오송읍</t>
        </is>
      </c>
      <c r="G6251" s="3" t="inlineStr">
        <is>
          <t>만수리</t>
        </is>
      </c>
      <c r="H6251" s="3" t="inlineStr">
        <is>
          <t>단독다가구</t>
        </is>
      </c>
      <c r="I6251" s="3" t="inlineStr">
        <is>
          <t>단독</t>
        </is>
      </c>
      <c r="J6251" s="3" t="inlineStr">
        <is>
          <t>오송읍</t>
        </is>
      </c>
    </row>
    <row r="6252">
      <c r="A6252" s="3" t="n">
        <v>2026</v>
      </c>
      <c r="B6252" s="4" t="n">
        <v>38000</v>
      </c>
      <c r="C6252" s="4" t="n">
        <v>430</v>
      </c>
      <c r="D6252" s="4" t="n">
        <v>130.075</v>
      </c>
      <c r="E6252" s="5" t="n">
        <v>292.1</v>
      </c>
      <c r="F6252" s="3" t="inlineStr">
        <is>
          <t>강내면</t>
        </is>
      </c>
      <c r="G6252" s="3" t="inlineStr">
        <is>
          <t>궁현리</t>
        </is>
      </c>
      <c r="H6252" s="3" t="inlineStr">
        <is>
          <t>단독다가구</t>
        </is>
      </c>
      <c r="I6252" s="3" t="inlineStr">
        <is>
          <t>단독</t>
        </is>
      </c>
      <c r="J6252" s="3" t="inlineStr">
        <is>
          <t>강내면</t>
        </is>
      </c>
    </row>
    <row r="6253">
      <c r="A6253" s="3" t="n">
        <v>2026</v>
      </c>
      <c r="B6253" s="4" t="n">
        <v>152500</v>
      </c>
      <c r="C6253" s="4" t="n">
        <v>311.6</v>
      </c>
      <c r="D6253" s="4" t="n">
        <v>94.259</v>
      </c>
      <c r="E6253" s="5" t="n">
        <v>1617.9</v>
      </c>
      <c r="F6253" s="3" t="inlineStr">
        <is>
          <t>오송읍</t>
        </is>
      </c>
      <c r="G6253" s="3" t="inlineStr">
        <is>
          <t>봉산리</t>
        </is>
      </c>
      <c r="H6253" s="3" t="inlineStr">
        <is>
          <t>단독다가구</t>
        </is>
      </c>
      <c r="I6253" s="3" t="inlineStr">
        <is>
          <t>다가구</t>
        </is>
      </c>
      <c r="J6253" s="3" t="inlineStr">
        <is>
          <t>오송읍</t>
        </is>
      </c>
    </row>
    <row r="6254">
      <c r="A6254" s="3" t="n">
        <v>2026</v>
      </c>
      <c r="B6254" s="4" t="n">
        <v>22450</v>
      </c>
      <c r="C6254" s="4" t="n">
        <v>173</v>
      </c>
      <c r="D6254" s="4" t="n">
        <v>52.3325</v>
      </c>
      <c r="E6254" s="5" t="n">
        <v>429</v>
      </c>
      <c r="F6254" s="3" t="inlineStr">
        <is>
          <t>오송읍</t>
        </is>
      </c>
      <c r="G6254" s="3" t="inlineStr">
        <is>
          <t>동평리</t>
        </is>
      </c>
      <c r="H6254" s="3" t="inlineStr">
        <is>
          <t>단독다가구</t>
        </is>
      </c>
      <c r="I6254" s="3" t="inlineStr">
        <is>
          <t>단독</t>
        </is>
      </c>
      <c r="J6254" s="3" t="inlineStr">
        <is>
          <t>오송읍</t>
        </is>
      </c>
    </row>
    <row r="6255">
      <c r="A6255" s="3" t="n">
        <v>2026</v>
      </c>
      <c r="B6255" s="4" t="n">
        <v>24795</v>
      </c>
      <c r="C6255" s="4" t="n">
        <v>334</v>
      </c>
      <c r="D6255" s="4" t="n">
        <v>101.035</v>
      </c>
      <c r="E6255" s="5" t="n">
        <v>245.4</v>
      </c>
      <c r="F6255" s="3" t="inlineStr">
        <is>
          <t>강내면</t>
        </is>
      </c>
      <c r="G6255" s="3" t="inlineStr">
        <is>
          <t>석화리</t>
        </is>
      </c>
      <c r="H6255" s="3" t="inlineStr">
        <is>
          <t>단독다가구</t>
        </is>
      </c>
      <c r="I6255" s="3" t="inlineStr">
        <is>
          <t>단독</t>
        </is>
      </c>
      <c r="J6255" s="3" t="inlineStr">
        <is>
          <t>강내면</t>
        </is>
      </c>
    </row>
    <row r="6256">
      <c r="A6256" s="3" t="n">
        <v>2026</v>
      </c>
      <c r="B6256" s="4" t="n">
        <v>25000</v>
      </c>
      <c r="C6256" s="4" t="n">
        <v>182</v>
      </c>
      <c r="D6256" s="4" t="n">
        <v>55.055</v>
      </c>
      <c r="E6256" s="5" t="n">
        <v>454.1</v>
      </c>
      <c r="F6256" s="3" t="inlineStr">
        <is>
          <t>오송읍</t>
        </is>
      </c>
      <c r="G6256" s="3" t="inlineStr">
        <is>
          <t>오송리</t>
        </is>
      </c>
      <c r="H6256" s="3" t="inlineStr">
        <is>
          <t>단독다가구</t>
        </is>
      </c>
      <c r="I6256" s="3" t="inlineStr">
        <is>
          <t>단독</t>
        </is>
      </c>
      <c r="J6256" s="3" t="inlineStr">
        <is>
          <t>오송읍</t>
        </is>
      </c>
    </row>
    <row r="6257">
      <c r="A6257" s="3" t="n">
        <v>2026</v>
      </c>
      <c r="B6257" s="4" t="n">
        <v>68000</v>
      </c>
      <c r="C6257" s="4" t="n">
        <v>245</v>
      </c>
      <c r="D6257" s="4" t="n">
        <v>74.1125</v>
      </c>
      <c r="E6257" s="5" t="n">
        <v>917.5</v>
      </c>
      <c r="F6257" s="3" t="inlineStr">
        <is>
          <t>오송읍</t>
        </is>
      </c>
      <c r="G6257" s="3" t="inlineStr">
        <is>
          <t>만수리</t>
        </is>
      </c>
      <c r="H6257" s="3" t="inlineStr">
        <is>
          <t>단독다가구</t>
        </is>
      </c>
      <c r="I6257" s="3" t="inlineStr">
        <is>
          <t>다가구</t>
        </is>
      </c>
      <c r="J6257" s="3" t="inlineStr">
        <is>
          <t>오송읍</t>
        </is>
      </c>
    </row>
    <row r="6258">
      <c r="A6258" s="3" t="n">
        <v>2026</v>
      </c>
      <c r="B6258" s="4" t="n">
        <v>6500</v>
      </c>
      <c r="C6258" s="4" t="n">
        <v>119</v>
      </c>
      <c r="D6258" s="4" t="n">
        <v>35.9975</v>
      </c>
      <c r="E6258" s="5" t="n">
        <v>180.6</v>
      </c>
      <c r="F6258" s="3" t="inlineStr">
        <is>
          <t>오송읍</t>
        </is>
      </c>
      <c r="G6258" s="3" t="inlineStr">
        <is>
          <t>봉산리</t>
        </is>
      </c>
      <c r="H6258" s="3" t="inlineStr">
        <is>
          <t>단독다가구</t>
        </is>
      </c>
      <c r="I6258" s="3" t="inlineStr">
        <is>
          <t>단독</t>
        </is>
      </c>
      <c r="J6258" s="3" t="inlineStr">
        <is>
          <t>오송읍</t>
        </is>
      </c>
    </row>
    <row r="6259">
      <c r="A6259" s="3" t="n">
        <v>2026</v>
      </c>
      <c r="B6259" s="4" t="n">
        <v>22792</v>
      </c>
      <c r="C6259" s="4" t="n">
        <v>485</v>
      </c>
      <c r="D6259" s="4" t="n">
        <v>146.7125</v>
      </c>
      <c r="E6259" s="5" t="n">
        <v>155.4</v>
      </c>
      <c r="F6259" s="3" t="inlineStr">
        <is>
          <t>오송읍</t>
        </is>
      </c>
      <c r="G6259" s="3" t="inlineStr">
        <is>
          <t>상정리</t>
        </is>
      </c>
      <c r="H6259" s="3" t="inlineStr">
        <is>
          <t>단독다가구</t>
        </is>
      </c>
      <c r="I6259" s="3" t="inlineStr">
        <is>
          <t>단독</t>
        </is>
      </c>
      <c r="J6259" s="3" t="inlineStr">
        <is>
          <t>오송읍</t>
        </is>
      </c>
    </row>
    <row r="6260">
      <c r="A6260" s="3" t="n">
        <v>2026</v>
      </c>
      <c r="B6260" s="4" t="n">
        <v>41700</v>
      </c>
      <c r="C6260" s="4" t="n">
        <v>383</v>
      </c>
      <c r="D6260" s="4" t="n">
        <v>115.8575</v>
      </c>
      <c r="E6260" s="5" t="n">
        <v>359.9</v>
      </c>
      <c r="F6260" s="3" t="inlineStr">
        <is>
          <t>강내면</t>
        </is>
      </c>
      <c r="G6260" s="3" t="inlineStr">
        <is>
          <t>궁현리</t>
        </is>
      </c>
      <c r="H6260" s="3" t="inlineStr">
        <is>
          <t>단독다가구</t>
        </is>
      </c>
      <c r="I6260" s="3" t="inlineStr">
        <is>
          <t>단독</t>
        </is>
      </c>
      <c r="J6260" s="3" t="inlineStr">
        <is>
          <t>강내면</t>
        </is>
      </c>
    </row>
    <row r="6261">
      <c r="A6261" s="3" t="n">
        <v>2025</v>
      </c>
      <c r="B6261" s="4" t="n">
        <v>124000</v>
      </c>
      <c r="C6261" s="4" t="n">
        <v>271.1</v>
      </c>
      <c r="D6261" s="4" t="n">
        <v>82.00775</v>
      </c>
      <c r="E6261" s="5" t="n">
        <v>1512.1</v>
      </c>
      <c r="F6261" s="3" t="inlineStr">
        <is>
          <t>오송읍</t>
        </is>
      </c>
      <c r="G6261" s="3" t="inlineStr">
        <is>
          <t>봉산리</t>
        </is>
      </c>
      <c r="H6261" s="3" t="inlineStr">
        <is>
          <t>단독다가구</t>
        </is>
      </c>
      <c r="I6261" s="3" t="inlineStr">
        <is>
          <t>다가구</t>
        </is>
      </c>
      <c r="J6261" s="3" t="inlineStr">
        <is>
          <t>오송읍</t>
        </is>
      </c>
    </row>
    <row r="6262">
      <c r="A6262" s="3" t="n">
        <v>2022</v>
      </c>
      <c r="B6262" s="4" t="n">
        <v>22680</v>
      </c>
      <c r="C6262" s="4" t="n">
        <v>182</v>
      </c>
      <c r="D6262" s="4" t="n">
        <v>55.055</v>
      </c>
      <c r="E6262" s="5" t="n">
        <v>412</v>
      </c>
      <c r="F6262" s="3" t="inlineStr">
        <is>
          <t>강내면</t>
        </is>
      </c>
      <c r="G6262" s="3" t="inlineStr">
        <is>
          <t>사인리</t>
        </is>
      </c>
      <c r="H6262" s="3" t="inlineStr">
        <is>
          <t>단독다가구</t>
        </is>
      </c>
      <c r="I6262" s="3" t="inlineStr">
        <is>
          <t>단독</t>
        </is>
      </c>
      <c r="J6262" s="3" t="inlineStr">
        <is>
          <t>강내면</t>
        </is>
      </c>
    </row>
    <row r="6263">
      <c r="A6263" s="3" t="n">
        <v>2022</v>
      </c>
      <c r="B6263" s="4" t="n">
        <v>46800</v>
      </c>
      <c r="C6263" s="4" t="n">
        <v>396</v>
      </c>
      <c r="D6263" s="4" t="n">
        <v>119.79</v>
      </c>
      <c r="E6263" s="5" t="n">
        <v>390.7</v>
      </c>
      <c r="F6263" s="3" t="inlineStr">
        <is>
          <t>오송읍</t>
        </is>
      </c>
      <c r="G6263" s="3" t="inlineStr">
        <is>
          <t>궁평리</t>
        </is>
      </c>
      <c r="H6263" s="3" t="inlineStr">
        <is>
          <t>단독다가구</t>
        </is>
      </c>
      <c r="I6263" s="3" t="inlineStr">
        <is>
          <t>단독</t>
        </is>
      </c>
      <c r="J6263" s="3" t="inlineStr">
        <is>
          <t>오송읍</t>
        </is>
      </c>
    </row>
    <row r="6264">
      <c r="A6264" s="3" t="n">
        <v>2022</v>
      </c>
      <c r="B6264" s="4" t="n">
        <v>12000</v>
      </c>
      <c r="C6264" s="4" t="n">
        <v>160</v>
      </c>
      <c r="D6264" s="4" t="n">
        <v>48.4</v>
      </c>
      <c r="E6264" s="5" t="n">
        <v>247.9</v>
      </c>
      <c r="F6264" s="3" t="inlineStr">
        <is>
          <t>오송읍</t>
        </is>
      </c>
      <c r="G6264" s="3" t="inlineStr">
        <is>
          <t>오송리</t>
        </is>
      </c>
      <c r="H6264" s="3" t="inlineStr">
        <is>
          <t>단독다가구</t>
        </is>
      </c>
      <c r="I6264" s="3" t="inlineStr">
        <is>
          <t>단독</t>
        </is>
      </c>
      <c r="J6264" s="3" t="inlineStr">
        <is>
          <t>오송읍</t>
        </is>
      </c>
    </row>
    <row r="6265">
      <c r="A6265" s="3" t="n">
        <v>2022</v>
      </c>
      <c r="B6265" s="4" t="n">
        <v>36500</v>
      </c>
      <c r="C6265" s="4" t="n">
        <v>202</v>
      </c>
      <c r="D6265" s="4" t="n">
        <v>61.105</v>
      </c>
      <c r="E6265" s="5" t="n">
        <v>597.3</v>
      </c>
      <c r="F6265" s="3" t="inlineStr">
        <is>
          <t>오송읍</t>
        </is>
      </c>
      <c r="G6265" s="3" t="inlineStr">
        <is>
          <t>궁평리</t>
        </is>
      </c>
      <c r="H6265" s="3" t="inlineStr">
        <is>
          <t>단독다가구</t>
        </is>
      </c>
      <c r="I6265" s="3" t="inlineStr">
        <is>
          <t>단독</t>
        </is>
      </c>
      <c r="J6265" s="3" t="inlineStr">
        <is>
          <t>오송읍</t>
        </is>
      </c>
    </row>
    <row r="6266">
      <c r="A6266" s="3" t="n">
        <v>2022</v>
      </c>
      <c r="B6266" s="4" t="n">
        <v>27000</v>
      </c>
      <c r="C6266" s="4" t="n">
        <v>237</v>
      </c>
      <c r="D6266" s="4" t="n">
        <v>71.6925</v>
      </c>
      <c r="E6266" s="5" t="n">
        <v>376.6</v>
      </c>
      <c r="F6266" s="3" t="inlineStr">
        <is>
          <t>오송읍</t>
        </is>
      </c>
      <c r="G6266" s="3" t="inlineStr">
        <is>
          <t>오송리</t>
        </is>
      </c>
      <c r="H6266" s="3" t="inlineStr">
        <is>
          <t>단독다가구</t>
        </is>
      </c>
      <c r="I6266" s="3" t="inlineStr">
        <is>
          <t>단독</t>
        </is>
      </c>
      <c r="J6266" s="3" t="inlineStr">
        <is>
          <t>오송읍</t>
        </is>
      </c>
    </row>
    <row r="6267">
      <c r="A6267" s="3" t="n">
        <v>2022</v>
      </c>
      <c r="B6267" s="4" t="n">
        <v>6680</v>
      </c>
      <c r="C6267" s="4" t="n">
        <v>69</v>
      </c>
      <c r="D6267" s="4" t="n">
        <v>20.8725</v>
      </c>
      <c r="E6267" s="5" t="n">
        <v>320</v>
      </c>
      <c r="F6267" s="3" t="inlineStr">
        <is>
          <t>오송읍</t>
        </is>
      </c>
      <c r="G6267" s="3" t="inlineStr">
        <is>
          <t>오송리</t>
        </is>
      </c>
      <c r="H6267" s="3" t="inlineStr">
        <is>
          <t>단독다가구</t>
        </is>
      </c>
      <c r="I6267" s="3" t="inlineStr">
        <is>
          <t>단독</t>
        </is>
      </c>
      <c r="J6267" s="3" t="inlineStr">
        <is>
          <t>오송읍</t>
        </is>
      </c>
    </row>
    <row r="6268">
      <c r="A6268" s="3" t="n">
        <v>2022</v>
      </c>
      <c r="B6268" s="4" t="n">
        <v>62500</v>
      </c>
      <c r="C6268" s="4" t="n">
        <v>283.2</v>
      </c>
      <c r="D6268" s="4" t="n">
        <v>85.66799999999999</v>
      </c>
      <c r="E6268" s="5" t="n">
        <v>729.6</v>
      </c>
      <c r="F6268" s="3" t="inlineStr">
        <is>
          <t>오송읍</t>
        </is>
      </c>
      <c r="G6268" s="3" t="inlineStr">
        <is>
          <t>만수리</t>
        </is>
      </c>
      <c r="H6268" s="3" t="inlineStr">
        <is>
          <t>단독다가구</t>
        </is>
      </c>
      <c r="I6268" s="3" t="inlineStr">
        <is>
          <t>다가구</t>
        </is>
      </c>
      <c r="J6268" s="3" t="inlineStr">
        <is>
          <t>오송읍</t>
        </is>
      </c>
    </row>
    <row r="6269">
      <c r="A6269" s="3" t="n">
        <v>2022</v>
      </c>
      <c r="B6269" s="4" t="n">
        <v>37700</v>
      </c>
      <c r="C6269" s="4" t="n">
        <v>302</v>
      </c>
      <c r="D6269" s="4" t="n">
        <v>91.355</v>
      </c>
      <c r="E6269" s="5" t="n">
        <v>412.7</v>
      </c>
      <c r="F6269" s="3" t="inlineStr">
        <is>
          <t>오송읍</t>
        </is>
      </c>
      <c r="G6269" s="3" t="inlineStr">
        <is>
          <t>궁평리</t>
        </is>
      </c>
      <c r="H6269" s="3" t="inlineStr">
        <is>
          <t>단독다가구</t>
        </is>
      </c>
      <c r="I6269" s="3" t="inlineStr">
        <is>
          <t>단독</t>
        </is>
      </c>
      <c r="J6269" s="3" t="inlineStr">
        <is>
          <t>오송읍</t>
        </is>
      </c>
    </row>
    <row r="6270">
      <c r="A6270" s="3" t="n">
        <v>2022</v>
      </c>
      <c r="B6270" s="4" t="n">
        <v>72000</v>
      </c>
      <c r="C6270" s="4" t="n">
        <v>274.9</v>
      </c>
      <c r="D6270" s="4" t="n">
        <v>83.15724999999999</v>
      </c>
      <c r="E6270" s="5" t="n">
        <v>865.8</v>
      </c>
      <c r="F6270" s="3" t="inlineStr">
        <is>
          <t>오송읍</t>
        </is>
      </c>
      <c r="G6270" s="3" t="inlineStr">
        <is>
          <t>연제리</t>
        </is>
      </c>
      <c r="H6270" s="3" t="inlineStr">
        <is>
          <t>단독다가구</t>
        </is>
      </c>
      <c r="I6270" s="3" t="inlineStr">
        <is>
          <t>다가구</t>
        </is>
      </c>
      <c r="J6270" s="3" t="inlineStr">
        <is>
          <t>오송읍</t>
        </is>
      </c>
    </row>
    <row r="6271">
      <c r="A6271" s="3" t="n">
        <v>2022</v>
      </c>
      <c r="B6271" s="4" t="n">
        <v>73500</v>
      </c>
      <c r="C6271" s="4" t="n">
        <v>255.4</v>
      </c>
      <c r="D6271" s="4" t="n">
        <v>77.2585</v>
      </c>
      <c r="E6271" s="5" t="n">
        <v>951.4</v>
      </c>
      <c r="F6271" s="3" t="inlineStr">
        <is>
          <t>오송읍</t>
        </is>
      </c>
      <c r="G6271" s="3" t="inlineStr">
        <is>
          <t>만수리</t>
        </is>
      </c>
      <c r="H6271" s="3" t="inlineStr">
        <is>
          <t>단독다가구</t>
        </is>
      </c>
      <c r="I6271" s="3" t="inlineStr">
        <is>
          <t>다가구</t>
        </is>
      </c>
      <c r="J6271" s="3" t="inlineStr">
        <is>
          <t>오송읍</t>
        </is>
      </c>
    </row>
    <row r="6272">
      <c r="A6272" s="3" t="n">
        <v>2022</v>
      </c>
      <c r="B6272" s="4" t="n">
        <v>35700</v>
      </c>
      <c r="C6272" s="4" t="n">
        <v>302</v>
      </c>
      <c r="D6272" s="4" t="n">
        <v>91.355</v>
      </c>
      <c r="E6272" s="5" t="n">
        <v>390.8</v>
      </c>
      <c r="F6272" s="3" t="inlineStr">
        <is>
          <t>오송읍</t>
        </is>
      </c>
      <c r="G6272" s="3" t="inlineStr">
        <is>
          <t>궁평리</t>
        </is>
      </c>
      <c r="H6272" s="3" t="inlineStr">
        <is>
          <t>단독다가구</t>
        </is>
      </c>
      <c r="I6272" s="3" t="inlineStr">
        <is>
          <t>단독</t>
        </is>
      </c>
      <c r="J6272" s="3" t="inlineStr">
        <is>
          <t>오송읍</t>
        </is>
      </c>
    </row>
    <row r="6273">
      <c r="A6273" s="3" t="n">
        <v>2024</v>
      </c>
      <c r="B6273" s="4" t="n">
        <v>72000</v>
      </c>
      <c r="C6273" s="4" t="n">
        <v>206</v>
      </c>
      <c r="D6273" s="4" t="n">
        <v>62.315</v>
      </c>
      <c r="E6273" s="5" t="n">
        <v>1155.4</v>
      </c>
      <c r="F6273" s="3" t="inlineStr">
        <is>
          <t>오송읍</t>
        </is>
      </c>
      <c r="G6273" s="3" t="inlineStr">
        <is>
          <t>오송리</t>
        </is>
      </c>
      <c r="H6273" s="3" t="inlineStr">
        <is>
          <t>단독다가구</t>
        </is>
      </c>
      <c r="I6273" s="3" t="inlineStr">
        <is>
          <t>단독</t>
        </is>
      </c>
      <c r="J6273" s="3" t="inlineStr">
        <is>
          <t>오송읍</t>
        </is>
      </c>
    </row>
    <row r="6274">
      <c r="A6274" s="3" t="n">
        <v>2024</v>
      </c>
      <c r="B6274" s="4" t="n">
        <v>79000</v>
      </c>
      <c r="C6274" s="4" t="n">
        <v>280.4</v>
      </c>
      <c r="D6274" s="4" t="n">
        <v>84.82099999999998</v>
      </c>
      <c r="E6274" s="5" t="n">
        <v>931.4</v>
      </c>
      <c r="F6274" s="3" t="inlineStr">
        <is>
          <t>오송읍</t>
        </is>
      </c>
      <c r="G6274" s="3" t="inlineStr">
        <is>
          <t>만수리</t>
        </is>
      </c>
      <c r="H6274" s="3" t="inlineStr">
        <is>
          <t>단독다가구</t>
        </is>
      </c>
      <c r="I6274" s="3" t="inlineStr">
        <is>
          <t>다가구</t>
        </is>
      </c>
      <c r="J6274" s="3" t="inlineStr">
        <is>
          <t>오송읍</t>
        </is>
      </c>
    </row>
    <row r="6275">
      <c r="A6275" s="3" t="n">
        <v>2024</v>
      </c>
      <c r="B6275" s="4" t="n">
        <v>22382</v>
      </c>
      <c r="C6275" s="4" t="n">
        <v>1322</v>
      </c>
      <c r="D6275" s="4" t="n">
        <v>399.905</v>
      </c>
      <c r="E6275" s="5" t="n">
        <v>56</v>
      </c>
      <c r="F6275" s="3" t="inlineStr">
        <is>
          <t>강내면</t>
        </is>
      </c>
      <c r="G6275" s="3" t="inlineStr">
        <is>
          <t>산단리</t>
        </is>
      </c>
      <c r="H6275" s="3" t="inlineStr">
        <is>
          <t>단독다가구</t>
        </is>
      </c>
      <c r="I6275" s="3" t="inlineStr">
        <is>
          <t>단독</t>
        </is>
      </c>
      <c r="J6275" s="3" t="inlineStr">
        <is>
          <t>강내면</t>
        </is>
      </c>
    </row>
    <row r="6276">
      <c r="A6276" s="3" t="n">
        <v>2024</v>
      </c>
      <c r="B6276" s="4" t="n">
        <v>14850</v>
      </c>
      <c r="C6276" s="4" t="n">
        <v>162</v>
      </c>
      <c r="D6276" s="4" t="n">
        <v>49.005</v>
      </c>
      <c r="E6276" s="5" t="n">
        <v>303</v>
      </c>
      <c r="F6276" s="3" t="inlineStr">
        <is>
          <t>오송읍</t>
        </is>
      </c>
      <c r="G6276" s="3" t="inlineStr">
        <is>
          <t>오송리</t>
        </is>
      </c>
      <c r="H6276" s="3" t="inlineStr">
        <is>
          <t>단독다가구</t>
        </is>
      </c>
      <c r="I6276" s="3" t="inlineStr">
        <is>
          <t>단독</t>
        </is>
      </c>
      <c r="J6276" s="3" t="inlineStr">
        <is>
          <t>오송읍</t>
        </is>
      </c>
    </row>
    <row r="6277">
      <c r="A6277" s="3" t="n">
        <v>2024</v>
      </c>
      <c r="B6277" s="4" t="n">
        <v>62000</v>
      </c>
      <c r="C6277" s="4" t="n">
        <v>251.8</v>
      </c>
      <c r="D6277" s="4" t="n">
        <v>76.1695</v>
      </c>
      <c r="E6277" s="5" t="n">
        <v>814</v>
      </c>
      <c r="F6277" s="3" t="inlineStr">
        <is>
          <t>오송읍</t>
        </is>
      </c>
      <c r="G6277" s="3" t="inlineStr">
        <is>
          <t>연제리</t>
        </is>
      </c>
      <c r="H6277" s="3" t="inlineStr">
        <is>
          <t>단독다가구</t>
        </is>
      </c>
      <c r="I6277" s="3" t="inlineStr">
        <is>
          <t>다가구</t>
        </is>
      </c>
      <c r="J6277" s="3" t="inlineStr">
        <is>
          <t>오송읍</t>
        </is>
      </c>
    </row>
    <row r="6278">
      <c r="A6278" s="3" t="n">
        <v>2024</v>
      </c>
      <c r="B6278" s="4" t="n">
        <v>7500</v>
      </c>
      <c r="C6278" s="4" t="n">
        <v>244</v>
      </c>
      <c r="D6278" s="4" t="n">
        <v>73.81</v>
      </c>
      <c r="E6278" s="5" t="n">
        <v>101.6</v>
      </c>
      <c r="F6278" s="3" t="inlineStr">
        <is>
          <t>강내면</t>
        </is>
      </c>
      <c r="G6278" s="3" t="inlineStr">
        <is>
          <t>학천리</t>
        </is>
      </c>
      <c r="H6278" s="3" t="inlineStr">
        <is>
          <t>단독다가구</t>
        </is>
      </c>
      <c r="I6278" s="3" t="inlineStr">
        <is>
          <t>단독</t>
        </is>
      </c>
      <c r="J6278" s="3" t="inlineStr">
        <is>
          <t>강내면</t>
        </is>
      </c>
    </row>
    <row r="6279">
      <c r="A6279" s="3" t="n">
        <v>2024</v>
      </c>
      <c r="B6279" s="4" t="n">
        <v>89100</v>
      </c>
      <c r="C6279" s="4" t="n">
        <v>609</v>
      </c>
      <c r="D6279" s="4" t="n">
        <v>184.2225</v>
      </c>
      <c r="E6279" s="5" t="n">
        <v>483.7</v>
      </c>
      <c r="F6279" s="3" t="inlineStr">
        <is>
          <t>강내면</t>
        </is>
      </c>
      <c r="G6279" s="3" t="inlineStr">
        <is>
          <t>월탄리</t>
        </is>
      </c>
      <c r="H6279" s="3" t="inlineStr">
        <is>
          <t>단독다가구</t>
        </is>
      </c>
      <c r="I6279" s="3" t="inlineStr">
        <is>
          <t>단독</t>
        </is>
      </c>
      <c r="J6279" s="3" t="inlineStr">
        <is>
          <t>강내면</t>
        </is>
      </c>
    </row>
    <row r="6280">
      <c r="A6280" s="3" t="n">
        <v>2024</v>
      </c>
      <c r="B6280" s="4" t="n">
        <v>15169</v>
      </c>
      <c r="C6280" s="4" t="n">
        <v>896</v>
      </c>
      <c r="D6280" s="4" t="n">
        <v>271.04</v>
      </c>
      <c r="E6280" s="5" t="n">
        <v>56</v>
      </c>
      <c r="F6280" s="3" t="inlineStr">
        <is>
          <t>강내면</t>
        </is>
      </c>
      <c r="G6280" s="3" t="inlineStr">
        <is>
          <t>산단리</t>
        </is>
      </c>
      <c r="H6280" s="3" t="inlineStr">
        <is>
          <t>단독다가구</t>
        </is>
      </c>
      <c r="I6280" s="3" t="inlineStr">
        <is>
          <t>단독</t>
        </is>
      </c>
      <c r="J6280" s="3" t="inlineStr">
        <is>
          <t>강내면</t>
        </is>
      </c>
    </row>
    <row r="6281">
      <c r="A6281" s="3" t="n">
        <v>2024</v>
      </c>
      <c r="B6281" s="4" t="n">
        <v>30000</v>
      </c>
      <c r="C6281" s="4" t="n">
        <v>433</v>
      </c>
      <c r="D6281" s="4" t="n">
        <v>130.9825</v>
      </c>
      <c r="E6281" s="5" t="n">
        <v>229</v>
      </c>
      <c r="F6281" s="3" t="inlineStr">
        <is>
          <t>오송읍</t>
        </is>
      </c>
      <c r="G6281" s="3" t="inlineStr">
        <is>
          <t>궁평리</t>
        </is>
      </c>
      <c r="H6281" s="3" t="inlineStr">
        <is>
          <t>단독다가구</t>
        </is>
      </c>
      <c r="I6281" s="3" t="inlineStr">
        <is>
          <t>단독</t>
        </is>
      </c>
      <c r="J6281" s="3" t="inlineStr">
        <is>
          <t>오송읍</t>
        </is>
      </c>
    </row>
    <row r="6282">
      <c r="A6282" s="3" t="n">
        <v>2025</v>
      </c>
      <c r="B6282" s="4" t="n">
        <v>46000</v>
      </c>
      <c r="C6282" s="4" t="n">
        <v>565</v>
      </c>
      <c r="D6282" s="4" t="n">
        <v>170.9125</v>
      </c>
      <c r="E6282" s="5" t="n">
        <v>269.1</v>
      </c>
      <c r="F6282" s="3" t="inlineStr">
        <is>
          <t>강내면</t>
        </is>
      </c>
      <c r="G6282" s="3" t="inlineStr">
        <is>
          <t>궁현리</t>
        </is>
      </c>
      <c r="H6282" s="3" t="inlineStr">
        <is>
          <t>단독다가구</t>
        </is>
      </c>
      <c r="I6282" s="3" t="inlineStr">
        <is>
          <t>단독</t>
        </is>
      </c>
      <c r="J6282" s="3" t="inlineStr">
        <is>
          <t>강내면</t>
        </is>
      </c>
    </row>
    <row r="6283">
      <c r="A6283" s="3" t="n">
        <v>2025</v>
      </c>
      <c r="B6283" s="4" t="n">
        <v>25089</v>
      </c>
      <c r="C6283" s="4" t="n">
        <v>388</v>
      </c>
      <c r="D6283" s="4" t="n">
        <v>117.37</v>
      </c>
      <c r="E6283" s="5" t="n">
        <v>213.8</v>
      </c>
      <c r="F6283" s="3" t="inlineStr">
        <is>
          <t>강내면</t>
        </is>
      </c>
      <c r="G6283" s="3" t="inlineStr">
        <is>
          <t>석화리</t>
        </is>
      </c>
      <c r="H6283" s="3" t="inlineStr">
        <is>
          <t>단독다가구</t>
        </is>
      </c>
      <c r="I6283" s="3" t="inlineStr">
        <is>
          <t>단독</t>
        </is>
      </c>
      <c r="J6283" s="3" t="inlineStr">
        <is>
          <t>강내면</t>
        </is>
      </c>
    </row>
    <row r="6284">
      <c r="A6284" s="3" t="n">
        <v>2025</v>
      </c>
      <c r="B6284" s="4" t="n">
        <v>13000</v>
      </c>
      <c r="C6284" s="4" t="n">
        <v>284</v>
      </c>
      <c r="D6284" s="4" t="n">
        <v>85.91</v>
      </c>
      <c r="E6284" s="5" t="n">
        <v>151.3</v>
      </c>
      <c r="F6284" s="3" t="inlineStr">
        <is>
          <t>오송읍</t>
        </is>
      </c>
      <c r="G6284" s="3" t="inlineStr">
        <is>
          <t>서평리</t>
        </is>
      </c>
      <c r="H6284" s="3" t="inlineStr">
        <is>
          <t>단독다가구</t>
        </is>
      </c>
      <c r="I6284" s="3" t="inlineStr">
        <is>
          <t>단독</t>
        </is>
      </c>
      <c r="J6284" s="3" t="inlineStr">
        <is>
          <t>오송읍</t>
        </is>
      </c>
    </row>
    <row r="6285">
      <c r="A6285" s="3" t="n">
        <v>2025</v>
      </c>
      <c r="B6285" s="4" t="n">
        <v>74000</v>
      </c>
      <c r="C6285" s="4" t="n">
        <v>299.6</v>
      </c>
      <c r="D6285" s="4" t="n">
        <v>90.629</v>
      </c>
      <c r="E6285" s="5" t="n">
        <v>816.5</v>
      </c>
      <c r="F6285" s="3" t="inlineStr">
        <is>
          <t>오송읍</t>
        </is>
      </c>
      <c r="G6285" s="3" t="inlineStr">
        <is>
          <t>만수리</t>
        </is>
      </c>
      <c r="H6285" s="3" t="inlineStr">
        <is>
          <t>단독다가구</t>
        </is>
      </c>
      <c r="I6285" s="3" t="inlineStr">
        <is>
          <t>다가구</t>
        </is>
      </c>
      <c r="J6285" s="3" t="inlineStr">
        <is>
          <t>오송읍</t>
        </is>
      </c>
    </row>
    <row r="6286">
      <c r="A6286" s="3" t="n">
        <v>2025</v>
      </c>
      <c r="B6286" s="4" t="n">
        <v>33500</v>
      </c>
      <c r="C6286" s="4" t="n">
        <v>400</v>
      </c>
      <c r="D6286" s="4" t="n">
        <v>121</v>
      </c>
      <c r="E6286" s="5" t="n">
        <v>276.9</v>
      </c>
      <c r="F6286" s="3" t="inlineStr">
        <is>
          <t>오송읍</t>
        </is>
      </c>
      <c r="G6286" s="3" t="inlineStr">
        <is>
          <t>궁평리</t>
        </is>
      </c>
      <c r="H6286" s="3" t="inlineStr">
        <is>
          <t>단독다가구</t>
        </is>
      </c>
      <c r="I6286" s="3" t="inlineStr">
        <is>
          <t>단독</t>
        </is>
      </c>
      <c r="J6286" s="3" t="inlineStr">
        <is>
          <t>오송읍</t>
        </is>
      </c>
    </row>
    <row r="6287">
      <c r="A6287" s="3" t="n">
        <v>2025</v>
      </c>
      <c r="B6287" s="4" t="n">
        <v>36000</v>
      </c>
      <c r="C6287" s="4" t="n">
        <v>299</v>
      </c>
      <c r="D6287" s="4" t="n">
        <v>90.44749999999999</v>
      </c>
      <c r="E6287" s="5" t="n">
        <v>398</v>
      </c>
      <c r="F6287" s="3" t="inlineStr">
        <is>
          <t>강내면</t>
        </is>
      </c>
      <c r="G6287" s="3" t="inlineStr">
        <is>
          <t>월탄리</t>
        </is>
      </c>
      <c r="H6287" s="3" t="inlineStr">
        <is>
          <t>단독다가구</t>
        </is>
      </c>
      <c r="I6287" s="3" t="inlineStr">
        <is>
          <t>다가구</t>
        </is>
      </c>
      <c r="J6287" s="3" t="inlineStr">
        <is>
          <t>강내면</t>
        </is>
      </c>
    </row>
    <row r="6288">
      <c r="A6288" s="3" t="n">
        <v>2025</v>
      </c>
      <c r="B6288" s="4" t="n">
        <v>68700</v>
      </c>
      <c r="C6288" s="4" t="n">
        <v>260</v>
      </c>
      <c r="D6288" s="4" t="n">
        <v>78.64999999999999</v>
      </c>
      <c r="E6288" s="5" t="n">
        <v>873.5</v>
      </c>
      <c r="F6288" s="3" t="inlineStr">
        <is>
          <t>오송읍</t>
        </is>
      </c>
      <c r="G6288" s="3" t="inlineStr">
        <is>
          <t>만수리</t>
        </is>
      </c>
      <c r="H6288" s="3" t="inlineStr">
        <is>
          <t>단독다가구</t>
        </is>
      </c>
      <c r="I6288" s="3" t="inlineStr">
        <is>
          <t>다가구</t>
        </is>
      </c>
      <c r="J6288" s="3" t="inlineStr">
        <is>
          <t>오송읍</t>
        </is>
      </c>
    </row>
    <row r="6289">
      <c r="A6289" s="3" t="n">
        <v>2025</v>
      </c>
      <c r="B6289" s="4" t="n">
        <v>68700</v>
      </c>
      <c r="C6289" s="4" t="n">
        <v>260</v>
      </c>
      <c r="D6289" s="4" t="n">
        <v>78.64999999999999</v>
      </c>
      <c r="E6289" s="5" t="n">
        <v>873.5</v>
      </c>
      <c r="F6289" s="3" t="inlineStr">
        <is>
          <t>오송읍</t>
        </is>
      </c>
      <c r="G6289" s="3" t="inlineStr">
        <is>
          <t>만수리</t>
        </is>
      </c>
      <c r="H6289" s="3" t="inlineStr">
        <is>
          <t>단독다가구</t>
        </is>
      </c>
      <c r="I6289" s="3" t="inlineStr">
        <is>
          <t>다가구</t>
        </is>
      </c>
      <c r="J6289" s="3" t="inlineStr">
        <is>
          <t>오송읍</t>
        </is>
      </c>
    </row>
    <row r="6290">
      <c r="A6290" s="3" t="n">
        <v>2025</v>
      </c>
      <c r="B6290" s="4" t="n">
        <v>17519</v>
      </c>
      <c r="C6290" s="4" t="n">
        <v>155</v>
      </c>
      <c r="D6290" s="4" t="n">
        <v>46.8875</v>
      </c>
      <c r="E6290" s="5" t="n">
        <v>373.6</v>
      </c>
      <c r="F6290" s="3" t="inlineStr">
        <is>
          <t>오송읍</t>
        </is>
      </c>
      <c r="G6290" s="3" t="inlineStr">
        <is>
          <t>연제리</t>
        </is>
      </c>
      <c r="H6290" s="3" t="inlineStr">
        <is>
          <t>단독다가구</t>
        </is>
      </c>
      <c r="I6290" s="3" t="inlineStr">
        <is>
          <t>단독</t>
        </is>
      </c>
      <c r="J6290" s="3" t="inlineStr">
        <is>
          <t>오송읍</t>
        </is>
      </c>
    </row>
    <row r="6291">
      <c r="A6291" s="3" t="n">
        <v>2025</v>
      </c>
      <c r="B6291" s="4" t="n">
        <v>29000</v>
      </c>
      <c r="C6291" s="4" t="n">
        <v>465</v>
      </c>
      <c r="D6291" s="4" t="n">
        <v>140.6625</v>
      </c>
      <c r="E6291" s="5" t="n">
        <v>206.2</v>
      </c>
      <c r="F6291" s="3" t="inlineStr">
        <is>
          <t>오송읍</t>
        </is>
      </c>
      <c r="G6291" s="3" t="inlineStr">
        <is>
          <t>쌍청리</t>
        </is>
      </c>
      <c r="H6291" s="3" t="inlineStr">
        <is>
          <t>단독다가구</t>
        </is>
      </c>
      <c r="I6291" s="3" t="inlineStr">
        <is>
          <t>단독</t>
        </is>
      </c>
      <c r="J6291" s="3" t="inlineStr">
        <is>
          <t>오송읍</t>
        </is>
      </c>
    </row>
    <row r="6292">
      <c r="A6292" s="3" t="n">
        <v>2026</v>
      </c>
      <c r="B6292" s="4" t="n">
        <v>71000</v>
      </c>
      <c r="C6292" s="4" t="n">
        <v>271</v>
      </c>
      <c r="D6292" s="4" t="n">
        <v>81.97749999999999</v>
      </c>
      <c r="E6292" s="5" t="n">
        <v>866.1</v>
      </c>
      <c r="F6292" s="3" t="inlineStr">
        <is>
          <t>오송읍</t>
        </is>
      </c>
      <c r="G6292" s="3" t="inlineStr">
        <is>
          <t>만수리</t>
        </is>
      </c>
      <c r="H6292" s="3" t="inlineStr">
        <is>
          <t>단독다가구</t>
        </is>
      </c>
      <c r="I6292" s="3" t="inlineStr">
        <is>
          <t>단독</t>
        </is>
      </c>
      <c r="J6292" s="3" t="inlineStr">
        <is>
          <t>오송읍</t>
        </is>
      </c>
    </row>
    <row r="6293">
      <c r="A6293" s="3" t="n">
        <v>2026</v>
      </c>
      <c r="B6293" s="4" t="n">
        <v>73000</v>
      </c>
      <c r="C6293" s="4" t="n">
        <v>244.1</v>
      </c>
      <c r="D6293" s="4" t="n">
        <v>73.84025</v>
      </c>
      <c r="E6293" s="5" t="n">
        <v>988.6</v>
      </c>
      <c r="F6293" s="3" t="inlineStr">
        <is>
          <t>오송읍</t>
        </is>
      </c>
      <c r="G6293" s="3" t="inlineStr">
        <is>
          <t>연제리</t>
        </is>
      </c>
      <c r="H6293" s="3" t="inlineStr">
        <is>
          <t>단독다가구</t>
        </is>
      </c>
      <c r="I6293" s="3" t="inlineStr">
        <is>
          <t>다가구</t>
        </is>
      </c>
      <c r="J6293" s="3" t="inlineStr">
        <is>
          <t>오송읍</t>
        </is>
      </c>
    </row>
    <row r="6294">
      <c r="A6294" s="3" t="n">
        <v>2026</v>
      </c>
      <c r="B6294" s="4" t="n">
        <v>54500</v>
      </c>
      <c r="C6294" s="4" t="n">
        <v>480</v>
      </c>
      <c r="D6294" s="4" t="n">
        <v>145.2</v>
      </c>
      <c r="E6294" s="5" t="n">
        <v>375.3</v>
      </c>
      <c r="F6294" s="3" t="inlineStr">
        <is>
          <t>오송읍</t>
        </is>
      </c>
      <c r="G6294" s="3" t="inlineStr">
        <is>
          <t>만수리</t>
        </is>
      </c>
      <c r="H6294" s="3" t="inlineStr">
        <is>
          <t>단독다가구</t>
        </is>
      </c>
      <c r="I6294" s="3" t="inlineStr">
        <is>
          <t>단독</t>
        </is>
      </c>
      <c r="J6294" s="3" t="inlineStr">
        <is>
          <t>오송읍</t>
        </is>
      </c>
    </row>
    <row r="6295">
      <c r="A6295" s="3" t="n">
        <v>2026</v>
      </c>
      <c r="B6295" s="4" t="n">
        <v>25000</v>
      </c>
      <c r="C6295" s="4" t="n">
        <v>760</v>
      </c>
      <c r="D6295" s="4" t="n">
        <v>229.9</v>
      </c>
      <c r="E6295" s="5" t="n">
        <v>108.7</v>
      </c>
      <c r="F6295" s="3" t="inlineStr">
        <is>
          <t>강내면</t>
        </is>
      </c>
      <c r="G6295" s="3" t="inlineStr">
        <is>
          <t>태성리</t>
        </is>
      </c>
      <c r="H6295" s="3" t="inlineStr">
        <is>
          <t>단독다가구</t>
        </is>
      </c>
      <c r="I6295" s="3" t="inlineStr">
        <is>
          <t>단독</t>
        </is>
      </c>
      <c r="J6295" s="3" t="inlineStr">
        <is>
          <t>강내면</t>
        </is>
      </c>
    </row>
    <row r="6296">
      <c r="A6296" s="3" t="n">
        <v>2026</v>
      </c>
      <c r="B6296" s="4" t="n">
        <v>14000</v>
      </c>
      <c r="C6296" s="4" t="n">
        <v>380</v>
      </c>
      <c r="D6296" s="4" t="n">
        <v>114.95</v>
      </c>
      <c r="E6296" s="5" t="n">
        <v>121.8</v>
      </c>
      <c r="F6296" s="3" t="inlineStr">
        <is>
          <t>오송읍</t>
        </is>
      </c>
      <c r="G6296" s="3" t="inlineStr">
        <is>
          <t>궁평리</t>
        </is>
      </c>
      <c r="H6296" s="3" t="inlineStr">
        <is>
          <t>단독다가구</t>
        </is>
      </c>
      <c r="I6296" s="3" t="inlineStr">
        <is>
          <t>단독</t>
        </is>
      </c>
      <c r="J6296" s="3" t="inlineStr">
        <is>
          <t>오송읍</t>
        </is>
      </c>
    </row>
    <row r="6297">
      <c r="A6297" s="3" t="n">
        <v>2026</v>
      </c>
      <c r="B6297" s="4" t="n">
        <v>171000</v>
      </c>
      <c r="C6297" s="4" t="n">
        <v>272.7</v>
      </c>
      <c r="D6297" s="4" t="n">
        <v>82.49175</v>
      </c>
      <c r="E6297" s="5" t="n">
        <v>2072.9</v>
      </c>
      <c r="F6297" s="3" t="inlineStr">
        <is>
          <t>오송읍</t>
        </is>
      </c>
      <c r="G6297" s="3" t="inlineStr">
        <is>
          <t>봉산리</t>
        </is>
      </c>
      <c r="H6297" s="3" t="inlineStr">
        <is>
          <t>단독다가구</t>
        </is>
      </c>
      <c r="I6297" s="3" t="inlineStr">
        <is>
          <t>다가구</t>
        </is>
      </c>
      <c r="J6297" s="3" t="inlineStr">
        <is>
          <t>오송읍</t>
        </is>
      </c>
    </row>
    <row r="6298">
      <c r="A6298" s="3" t="n">
        <v>2026</v>
      </c>
      <c r="B6298" s="4" t="n">
        <v>64000</v>
      </c>
      <c r="C6298" s="4" t="n">
        <v>239.8</v>
      </c>
      <c r="D6298" s="4" t="n">
        <v>72.5395</v>
      </c>
      <c r="E6298" s="5" t="n">
        <v>882.3</v>
      </c>
      <c r="F6298" s="3" t="inlineStr">
        <is>
          <t>오송읍</t>
        </is>
      </c>
      <c r="G6298" s="3" t="inlineStr">
        <is>
          <t>만수리</t>
        </is>
      </c>
      <c r="H6298" s="3" t="inlineStr">
        <is>
          <t>단독다가구</t>
        </is>
      </c>
      <c r="I6298" s="3" t="inlineStr">
        <is>
          <t>다가구</t>
        </is>
      </c>
      <c r="J6298" s="3" t="inlineStr">
        <is>
          <t>오송읍</t>
        </is>
      </c>
    </row>
    <row r="6299">
      <c r="A6299" s="3" t="n">
        <v>2024</v>
      </c>
      <c r="B6299" s="4" t="n">
        <v>14000</v>
      </c>
      <c r="C6299" s="4" t="n">
        <v>109</v>
      </c>
      <c r="D6299" s="4" t="n">
        <v>32.9725</v>
      </c>
      <c r="E6299" s="5" t="n">
        <v>424.6</v>
      </c>
      <c r="F6299" s="3" t="inlineStr">
        <is>
          <t>오송읍</t>
        </is>
      </c>
      <c r="G6299" s="3" t="inlineStr">
        <is>
          <t>오송리</t>
        </is>
      </c>
      <c r="H6299" s="3" t="inlineStr">
        <is>
          <t>단독다가구</t>
        </is>
      </c>
      <c r="I6299" s="3" t="inlineStr">
        <is>
          <t>단독</t>
        </is>
      </c>
      <c r="J6299" s="3" t="inlineStr">
        <is>
          <t>오송읍</t>
        </is>
      </c>
    </row>
    <row r="6300">
      <c r="A6300" s="3" t="n">
        <v>2025</v>
      </c>
      <c r="B6300" s="4" t="n">
        <v>120000</v>
      </c>
      <c r="C6300" s="4" t="n">
        <v>240.2</v>
      </c>
      <c r="D6300" s="4" t="n">
        <v>72.6605</v>
      </c>
      <c r="E6300" s="5" t="n">
        <v>1651.5</v>
      </c>
      <c r="F6300" s="3" t="inlineStr">
        <is>
          <t>오송읍</t>
        </is>
      </c>
      <c r="G6300" s="3" t="inlineStr">
        <is>
          <t>봉산리</t>
        </is>
      </c>
      <c r="H6300" s="3" t="inlineStr">
        <is>
          <t>단독다가구</t>
        </is>
      </c>
      <c r="I6300" s="3" t="inlineStr">
        <is>
          <t>다가구</t>
        </is>
      </c>
      <c r="J6300" s="3" t="inlineStr">
        <is>
          <t>오송읍</t>
        </is>
      </c>
    </row>
    <row r="6301">
      <c r="A6301" s="3" t="n">
        <v>2025</v>
      </c>
      <c r="B6301" s="4" t="n">
        <v>53700</v>
      </c>
      <c r="C6301" s="4" t="n">
        <v>331</v>
      </c>
      <c r="D6301" s="4" t="n">
        <v>100.1275</v>
      </c>
      <c r="E6301" s="5" t="n">
        <v>536.3</v>
      </c>
      <c r="F6301" s="3" t="inlineStr">
        <is>
          <t>오송읍</t>
        </is>
      </c>
      <c r="G6301" s="3" t="inlineStr">
        <is>
          <t>오송리</t>
        </is>
      </c>
      <c r="H6301" s="3" t="inlineStr">
        <is>
          <t>단독다가구</t>
        </is>
      </c>
      <c r="I6301" s="3" t="inlineStr">
        <is>
          <t>단독</t>
        </is>
      </c>
      <c r="J6301" s="3" t="inlineStr">
        <is>
          <t>오송읍</t>
        </is>
      </c>
    </row>
    <row r="6302">
      <c r="A6302" s="3" t="n">
        <v>2025</v>
      </c>
      <c r="B6302" s="4" t="n">
        <v>134000</v>
      </c>
      <c r="C6302" s="4" t="n">
        <v>241</v>
      </c>
      <c r="D6302" s="4" t="n">
        <v>72.9025</v>
      </c>
      <c r="E6302" s="5" t="n">
        <v>1838.1</v>
      </c>
      <c r="F6302" s="3" t="inlineStr">
        <is>
          <t>오송읍</t>
        </is>
      </c>
      <c r="G6302" s="3" t="inlineStr">
        <is>
          <t>봉산리</t>
        </is>
      </c>
      <c r="H6302" s="3" t="inlineStr">
        <is>
          <t>단독다가구</t>
        </is>
      </c>
      <c r="I6302" s="3" t="inlineStr">
        <is>
          <t>단독</t>
        </is>
      </c>
      <c r="J6302" s="3" t="inlineStr">
        <is>
          <t>오송읍</t>
        </is>
      </c>
    </row>
    <row r="6303">
      <c r="A6303" s="3" t="n">
        <v>2025</v>
      </c>
      <c r="B6303" s="4" t="n">
        <v>67000</v>
      </c>
      <c r="C6303" s="4" t="n">
        <v>252.8</v>
      </c>
      <c r="D6303" s="4" t="n">
        <v>76.47199999999999</v>
      </c>
      <c r="E6303" s="5" t="n">
        <v>876.1</v>
      </c>
      <c r="F6303" s="3" t="inlineStr">
        <is>
          <t>오송읍</t>
        </is>
      </c>
      <c r="G6303" s="3" t="inlineStr">
        <is>
          <t>만수리</t>
        </is>
      </c>
      <c r="H6303" s="3" t="inlineStr">
        <is>
          <t>단독다가구</t>
        </is>
      </c>
      <c r="I6303" s="3" t="inlineStr">
        <is>
          <t>다가구</t>
        </is>
      </c>
      <c r="J6303" s="3" t="inlineStr">
        <is>
          <t>오송읍</t>
        </is>
      </c>
    </row>
    <row r="6304">
      <c r="A6304" s="3" t="n">
        <v>2022</v>
      </c>
      <c r="B6304" s="4" t="n">
        <v>28500</v>
      </c>
      <c r="C6304" s="4" t="n">
        <v>301</v>
      </c>
      <c r="D6304" s="4" t="n">
        <v>91.05249999999999</v>
      </c>
      <c r="E6304" s="5" t="n">
        <v>313</v>
      </c>
      <c r="F6304" s="3" t="inlineStr">
        <is>
          <t>오송읍</t>
        </is>
      </c>
      <c r="G6304" s="3" t="inlineStr">
        <is>
          <t>오송리</t>
        </is>
      </c>
      <c r="H6304" s="3" t="inlineStr">
        <is>
          <t>단독다가구</t>
        </is>
      </c>
      <c r="I6304" s="3" t="inlineStr">
        <is>
          <t>단독</t>
        </is>
      </c>
      <c r="J6304" s="3" t="inlineStr">
        <is>
          <t>오송읍</t>
        </is>
      </c>
    </row>
    <row r="6305">
      <c r="A6305" s="3" t="n">
        <v>2022</v>
      </c>
      <c r="B6305" s="4" t="n">
        <v>13000</v>
      </c>
      <c r="C6305" s="4" t="n">
        <v>198</v>
      </c>
      <c r="D6305" s="4" t="n">
        <v>59.895</v>
      </c>
      <c r="E6305" s="5" t="n">
        <v>217</v>
      </c>
      <c r="F6305" s="3" t="inlineStr">
        <is>
          <t>강내면</t>
        </is>
      </c>
      <c r="G6305" s="3" t="inlineStr">
        <is>
          <t>사인리</t>
        </is>
      </c>
      <c r="H6305" s="3" t="inlineStr">
        <is>
          <t>단독다가구</t>
        </is>
      </c>
      <c r="I6305" s="3" t="inlineStr">
        <is>
          <t>단독</t>
        </is>
      </c>
      <c r="J6305" s="3" t="inlineStr">
        <is>
          <t>강내면</t>
        </is>
      </c>
    </row>
    <row r="6306">
      <c r="A6306" s="3" t="n">
        <v>2022</v>
      </c>
      <c r="B6306" s="4" t="n">
        <v>13000</v>
      </c>
      <c r="C6306" s="4" t="n">
        <v>292</v>
      </c>
      <c r="D6306" s="4" t="n">
        <v>88.33</v>
      </c>
      <c r="E6306" s="5" t="n">
        <v>147.2</v>
      </c>
      <c r="F6306" s="3" t="inlineStr">
        <is>
          <t>오송읍</t>
        </is>
      </c>
      <c r="G6306" s="3" t="inlineStr">
        <is>
          <t>동평리</t>
        </is>
      </c>
      <c r="H6306" s="3" t="inlineStr">
        <is>
          <t>단독다가구</t>
        </is>
      </c>
      <c r="I6306" s="3" t="inlineStr">
        <is>
          <t>단독</t>
        </is>
      </c>
      <c r="J6306" s="3" t="inlineStr">
        <is>
          <t>오송읍</t>
        </is>
      </c>
    </row>
    <row r="6307">
      <c r="A6307" s="3" t="n">
        <v>2022</v>
      </c>
      <c r="B6307" s="4" t="n">
        <v>13000</v>
      </c>
      <c r="C6307" s="4" t="n">
        <v>292</v>
      </c>
      <c r="D6307" s="4" t="n">
        <v>88.33</v>
      </c>
      <c r="E6307" s="5" t="n">
        <v>147.2</v>
      </c>
      <c r="F6307" s="3" t="inlineStr">
        <is>
          <t>오송읍</t>
        </is>
      </c>
      <c r="G6307" s="3" t="inlineStr">
        <is>
          <t>동평리</t>
        </is>
      </c>
      <c r="H6307" s="3" t="inlineStr">
        <is>
          <t>단독다가구</t>
        </is>
      </c>
      <c r="I6307" s="3" t="inlineStr">
        <is>
          <t>단독</t>
        </is>
      </c>
      <c r="J6307" s="3" t="inlineStr">
        <is>
          <t>오송읍</t>
        </is>
      </c>
    </row>
    <row r="6308">
      <c r="A6308" s="3" t="n">
        <v>2022</v>
      </c>
      <c r="B6308" s="4" t="n">
        <v>72000</v>
      </c>
      <c r="C6308" s="4" t="n">
        <v>263.9</v>
      </c>
      <c r="D6308" s="4" t="n">
        <v>79.82974999999999</v>
      </c>
      <c r="E6308" s="5" t="n">
        <v>901.9</v>
      </c>
      <c r="F6308" s="3" t="inlineStr">
        <is>
          <t>오송읍</t>
        </is>
      </c>
      <c r="G6308" s="3" t="inlineStr">
        <is>
          <t>만수리</t>
        </is>
      </c>
      <c r="H6308" s="3" t="inlineStr">
        <is>
          <t>단독다가구</t>
        </is>
      </c>
      <c r="I6308" s="3" t="inlineStr">
        <is>
          <t>다가구</t>
        </is>
      </c>
      <c r="J6308" s="3" t="inlineStr">
        <is>
          <t>오송읍</t>
        </is>
      </c>
    </row>
    <row r="6309">
      <c r="A6309" s="3" t="n">
        <v>2022</v>
      </c>
      <c r="B6309" s="4" t="n">
        <v>27000</v>
      </c>
      <c r="C6309" s="4" t="n">
        <v>424</v>
      </c>
      <c r="D6309" s="4" t="n">
        <v>128.26</v>
      </c>
      <c r="E6309" s="5" t="n">
        <v>210.5</v>
      </c>
      <c r="F6309" s="3" t="inlineStr">
        <is>
          <t>오송읍</t>
        </is>
      </c>
      <c r="G6309" s="3" t="inlineStr">
        <is>
          <t>연제리</t>
        </is>
      </c>
      <c r="H6309" s="3" t="inlineStr">
        <is>
          <t>단독다가구</t>
        </is>
      </c>
      <c r="I6309" s="3" t="inlineStr">
        <is>
          <t>단독</t>
        </is>
      </c>
      <c r="J6309" s="3" t="inlineStr">
        <is>
          <t>오송읍</t>
        </is>
      </c>
    </row>
    <row r="6310">
      <c r="A6310" s="3" t="n">
        <v>2022</v>
      </c>
      <c r="B6310" s="4" t="n">
        <v>37500</v>
      </c>
      <c r="C6310" s="4" t="n">
        <v>202</v>
      </c>
      <c r="D6310" s="4" t="n">
        <v>61.105</v>
      </c>
      <c r="E6310" s="5" t="n">
        <v>613.7</v>
      </c>
      <c r="F6310" s="3" t="inlineStr">
        <is>
          <t>오송읍</t>
        </is>
      </c>
      <c r="G6310" s="3" t="inlineStr">
        <is>
          <t>궁평리</t>
        </is>
      </c>
      <c r="H6310" s="3" t="inlineStr">
        <is>
          <t>단독다가구</t>
        </is>
      </c>
      <c r="I6310" s="3" t="inlineStr">
        <is>
          <t>단독</t>
        </is>
      </c>
      <c r="J6310" s="3" t="inlineStr">
        <is>
          <t>오송읍</t>
        </is>
      </c>
    </row>
    <row r="6311">
      <c r="A6311" s="3" t="n">
        <v>2022</v>
      </c>
      <c r="B6311" s="4" t="n">
        <v>62300</v>
      </c>
      <c r="C6311" s="4" t="n">
        <v>298</v>
      </c>
      <c r="D6311" s="4" t="n">
        <v>90.145</v>
      </c>
      <c r="E6311" s="5" t="n">
        <v>691.1</v>
      </c>
      <c r="F6311" s="3" t="inlineStr">
        <is>
          <t>오송읍</t>
        </is>
      </c>
      <c r="G6311" s="3" t="inlineStr">
        <is>
          <t>궁평리</t>
        </is>
      </c>
      <c r="H6311" s="3" t="inlineStr">
        <is>
          <t>단독다가구</t>
        </is>
      </c>
      <c r="I6311" s="3" t="inlineStr">
        <is>
          <t>단독</t>
        </is>
      </c>
      <c r="J6311" s="3" t="inlineStr">
        <is>
          <t>오송읍</t>
        </is>
      </c>
    </row>
    <row r="6312">
      <c r="A6312" s="3" t="n">
        <v>2022</v>
      </c>
      <c r="B6312" s="4" t="n">
        <v>105500</v>
      </c>
      <c r="C6312" s="4" t="n">
        <v>247</v>
      </c>
      <c r="D6312" s="4" t="n">
        <v>74.7175</v>
      </c>
      <c r="E6312" s="5" t="n">
        <v>1412</v>
      </c>
      <c r="F6312" s="3" t="inlineStr">
        <is>
          <t>오송읍</t>
        </is>
      </c>
      <c r="G6312" s="3" t="inlineStr">
        <is>
          <t>봉산리</t>
        </is>
      </c>
      <c r="H6312" s="3" t="inlineStr">
        <is>
          <t>단독다가구</t>
        </is>
      </c>
      <c r="I6312" s="3" t="inlineStr">
        <is>
          <t>단독</t>
        </is>
      </c>
      <c r="J6312" s="3" t="inlineStr">
        <is>
          <t>오송읍</t>
        </is>
      </c>
    </row>
    <row r="6313">
      <c r="A6313" s="3" t="n">
        <v>2022</v>
      </c>
      <c r="B6313" s="4" t="n">
        <v>9995</v>
      </c>
      <c r="C6313" s="4" t="n">
        <v>349</v>
      </c>
      <c r="D6313" s="4" t="n">
        <v>105.5725</v>
      </c>
      <c r="E6313" s="5" t="n">
        <v>94.7</v>
      </c>
      <c r="F6313" s="3" t="inlineStr">
        <is>
          <t>오송읍</t>
        </is>
      </c>
      <c r="G6313" s="3" t="inlineStr">
        <is>
          <t>공북리</t>
        </is>
      </c>
      <c r="H6313" s="3" t="inlineStr">
        <is>
          <t>단독다가구</t>
        </is>
      </c>
      <c r="I6313" s="3" t="inlineStr">
        <is>
          <t>단독</t>
        </is>
      </c>
      <c r="J6313" s="3" t="inlineStr">
        <is>
          <t>오송읍</t>
        </is>
      </c>
    </row>
    <row r="6314">
      <c r="A6314" s="3" t="n">
        <v>2023</v>
      </c>
      <c r="B6314" s="4" t="n">
        <v>33000</v>
      </c>
      <c r="C6314" s="4" t="n">
        <v>237</v>
      </c>
      <c r="D6314" s="4" t="n">
        <v>71.6925</v>
      </c>
      <c r="E6314" s="5" t="n">
        <v>460.3</v>
      </c>
      <c r="F6314" s="3" t="inlineStr">
        <is>
          <t>오송읍</t>
        </is>
      </c>
      <c r="G6314" s="3" t="inlineStr">
        <is>
          <t>오송리</t>
        </is>
      </c>
      <c r="H6314" s="3" t="inlineStr">
        <is>
          <t>단독다가구</t>
        </is>
      </c>
      <c r="I6314" s="3" t="inlineStr">
        <is>
          <t>단독</t>
        </is>
      </c>
      <c r="J6314" s="3" t="inlineStr">
        <is>
          <t>오송읍</t>
        </is>
      </c>
    </row>
    <row r="6315">
      <c r="A6315" s="3" t="n">
        <v>2023</v>
      </c>
      <c r="B6315" s="4" t="n">
        <v>39000</v>
      </c>
      <c r="C6315" s="4" t="n">
        <v>114</v>
      </c>
      <c r="D6315" s="4" t="n">
        <v>34.485</v>
      </c>
      <c r="E6315" s="5" t="n">
        <v>1130.9</v>
      </c>
      <c r="F6315" s="3" t="inlineStr">
        <is>
          <t>오송읍</t>
        </is>
      </c>
      <c r="G6315" s="3" t="inlineStr">
        <is>
          <t>오송리</t>
        </is>
      </c>
      <c r="H6315" s="3" t="inlineStr">
        <is>
          <t>단독다가구</t>
        </is>
      </c>
      <c r="I6315" s="3" t="inlineStr">
        <is>
          <t>단독</t>
        </is>
      </c>
      <c r="J6315" s="3" t="inlineStr">
        <is>
          <t>오송읍</t>
        </is>
      </c>
    </row>
    <row r="6316">
      <c r="A6316" s="3" t="n">
        <v>2025</v>
      </c>
      <c r="B6316" s="4" t="n">
        <v>42000</v>
      </c>
      <c r="C6316" s="4" t="n">
        <v>484</v>
      </c>
      <c r="D6316" s="4" t="n">
        <v>146.41</v>
      </c>
      <c r="E6316" s="5" t="n">
        <v>286.9</v>
      </c>
      <c r="F6316" s="3" t="inlineStr">
        <is>
          <t>강내면</t>
        </is>
      </c>
      <c r="G6316" s="3" t="inlineStr">
        <is>
          <t>연정리</t>
        </is>
      </c>
      <c r="H6316" s="3" t="inlineStr">
        <is>
          <t>단독다가구</t>
        </is>
      </c>
      <c r="I6316" s="3" t="inlineStr">
        <is>
          <t>단독</t>
        </is>
      </c>
      <c r="J6316" s="3" t="inlineStr">
        <is>
          <t>강내면</t>
        </is>
      </c>
    </row>
    <row r="6317">
      <c r="A6317" s="3" t="n">
        <v>2025</v>
      </c>
      <c r="B6317" s="4" t="n">
        <v>69845</v>
      </c>
      <c r="C6317" s="4" t="n">
        <v>446</v>
      </c>
      <c r="D6317" s="4" t="n">
        <v>134.915</v>
      </c>
      <c r="E6317" s="5" t="n">
        <v>517.7</v>
      </c>
      <c r="F6317" s="3" t="inlineStr">
        <is>
          <t>강내면</t>
        </is>
      </c>
      <c r="G6317" s="3" t="inlineStr">
        <is>
          <t>월탄리</t>
        </is>
      </c>
      <c r="H6317" s="3" t="inlineStr">
        <is>
          <t>단독다가구</t>
        </is>
      </c>
      <c r="I6317" s="3" t="inlineStr">
        <is>
          <t>단독</t>
        </is>
      </c>
      <c r="J6317" s="3" t="inlineStr">
        <is>
          <t>강내면</t>
        </is>
      </c>
    </row>
    <row r="6318">
      <c r="A6318" s="3" t="n">
        <v>2025</v>
      </c>
      <c r="B6318" s="4" t="n">
        <v>139000</v>
      </c>
      <c r="C6318" s="4" t="n">
        <v>276.5</v>
      </c>
      <c r="D6318" s="4" t="n">
        <v>83.64125</v>
      </c>
      <c r="E6318" s="5" t="n">
        <v>1661.9</v>
      </c>
      <c r="F6318" s="3" t="inlineStr">
        <is>
          <t>오송읍</t>
        </is>
      </c>
      <c r="G6318" s="3" t="inlineStr">
        <is>
          <t>봉산리</t>
        </is>
      </c>
      <c r="H6318" s="3" t="inlineStr">
        <is>
          <t>단독다가구</t>
        </is>
      </c>
      <c r="I6318" s="3" t="inlineStr">
        <is>
          <t>다가구</t>
        </is>
      </c>
      <c r="J6318" s="3" t="inlineStr">
        <is>
          <t>오송읍</t>
        </is>
      </c>
    </row>
    <row r="6319">
      <c r="A6319" s="3" t="n">
        <v>2025</v>
      </c>
      <c r="B6319" s="4" t="n">
        <v>66000</v>
      </c>
      <c r="C6319" s="4" t="n">
        <v>260.1</v>
      </c>
      <c r="D6319" s="4" t="n">
        <v>78.68025</v>
      </c>
      <c r="E6319" s="5" t="n">
        <v>838.8</v>
      </c>
      <c r="F6319" s="3" t="inlineStr">
        <is>
          <t>오송읍</t>
        </is>
      </c>
      <c r="G6319" s="3" t="inlineStr">
        <is>
          <t>만수리</t>
        </is>
      </c>
      <c r="H6319" s="3" t="inlineStr">
        <is>
          <t>단독다가구</t>
        </is>
      </c>
      <c r="I6319" s="3" t="inlineStr">
        <is>
          <t>다가구</t>
        </is>
      </c>
      <c r="J6319" s="3" t="inlineStr">
        <is>
          <t>오송읍</t>
        </is>
      </c>
    </row>
    <row r="6320">
      <c r="A6320" s="3" t="n">
        <v>2024</v>
      </c>
      <c r="B6320" s="4" t="n">
        <v>22000</v>
      </c>
      <c r="C6320" s="4" t="n">
        <v>215</v>
      </c>
      <c r="D6320" s="4" t="n">
        <v>65.03749999999999</v>
      </c>
      <c r="E6320" s="5" t="n">
        <v>338.3</v>
      </c>
      <c r="F6320" s="3" t="inlineStr">
        <is>
          <t>오송읍</t>
        </is>
      </c>
      <c r="G6320" s="3" t="inlineStr">
        <is>
          <t>오송리</t>
        </is>
      </c>
      <c r="H6320" s="3" t="inlineStr">
        <is>
          <t>단독다가구</t>
        </is>
      </c>
      <c r="I6320" s="3" t="inlineStr">
        <is>
          <t>단독</t>
        </is>
      </c>
      <c r="J6320" s="3" t="inlineStr">
        <is>
          <t>오송읍</t>
        </is>
      </c>
    </row>
    <row r="6321">
      <c r="A6321" s="3" t="n">
        <v>2024</v>
      </c>
      <c r="B6321" s="4" t="n">
        <v>15000</v>
      </c>
      <c r="C6321" s="4" t="n">
        <v>488</v>
      </c>
      <c r="D6321" s="4" t="n">
        <v>147.62</v>
      </c>
      <c r="E6321" s="5" t="n">
        <v>101.6</v>
      </c>
      <c r="F6321" s="3" t="inlineStr">
        <is>
          <t>오송읍</t>
        </is>
      </c>
      <c r="G6321" s="3" t="inlineStr">
        <is>
          <t>상봉리</t>
        </is>
      </c>
      <c r="H6321" s="3" t="inlineStr">
        <is>
          <t>단독다가구</t>
        </is>
      </c>
      <c r="I6321" s="3" t="inlineStr">
        <is>
          <t>단독</t>
        </is>
      </c>
      <c r="J6321" s="3" t="inlineStr">
        <is>
          <t>오송읍</t>
        </is>
      </c>
    </row>
    <row r="6322">
      <c r="A6322" s="3" t="n">
        <v>2024</v>
      </c>
      <c r="B6322" s="4" t="n">
        <v>16500</v>
      </c>
      <c r="C6322" s="4" t="n">
        <v>129</v>
      </c>
      <c r="D6322" s="4" t="n">
        <v>39.0225</v>
      </c>
      <c r="E6322" s="5" t="n">
        <v>422.8</v>
      </c>
      <c r="F6322" s="3" t="inlineStr">
        <is>
          <t>오송읍</t>
        </is>
      </c>
      <c r="G6322" s="3" t="inlineStr">
        <is>
          <t>오송리</t>
        </is>
      </c>
      <c r="H6322" s="3" t="inlineStr">
        <is>
          <t>단독다가구</t>
        </is>
      </c>
      <c r="I6322" s="3" t="inlineStr">
        <is>
          <t>단독</t>
        </is>
      </c>
      <c r="J6322" s="3" t="inlineStr">
        <is>
          <t>오송읍</t>
        </is>
      </c>
    </row>
    <row r="6323">
      <c r="A6323" s="3" t="n">
        <v>2024</v>
      </c>
      <c r="B6323" s="4" t="n">
        <v>17000</v>
      </c>
      <c r="C6323" s="4" t="n">
        <v>486</v>
      </c>
      <c r="D6323" s="4" t="n">
        <v>147.015</v>
      </c>
      <c r="E6323" s="5" t="n">
        <v>115.6</v>
      </c>
      <c r="F6323" s="3" t="inlineStr">
        <is>
          <t>오송읍</t>
        </is>
      </c>
      <c r="G6323" s="3" t="inlineStr">
        <is>
          <t>상정리</t>
        </is>
      </c>
      <c r="H6323" s="3" t="inlineStr">
        <is>
          <t>단독다가구</t>
        </is>
      </c>
      <c r="I6323" s="3" t="inlineStr">
        <is>
          <t>단독</t>
        </is>
      </c>
      <c r="J6323" s="3" t="inlineStr">
        <is>
          <t>오송읍</t>
        </is>
      </c>
    </row>
    <row r="6324">
      <c r="A6324" s="3" t="n">
        <v>2024</v>
      </c>
      <c r="B6324" s="4" t="n">
        <v>22000</v>
      </c>
      <c r="C6324" s="4" t="n">
        <v>318</v>
      </c>
      <c r="D6324" s="4" t="n">
        <v>96.19499999999999</v>
      </c>
      <c r="E6324" s="5" t="n">
        <v>228.7</v>
      </c>
      <c r="F6324" s="3" t="inlineStr">
        <is>
          <t>강내면</t>
        </is>
      </c>
      <c r="G6324" s="3" t="inlineStr">
        <is>
          <t>석화리</t>
        </is>
      </c>
      <c r="H6324" s="3" t="inlineStr">
        <is>
          <t>단독다가구</t>
        </is>
      </c>
      <c r="I6324" s="3" t="inlineStr">
        <is>
          <t>단독</t>
        </is>
      </c>
      <c r="J6324" s="3" t="inlineStr">
        <is>
          <t>강내면</t>
        </is>
      </c>
    </row>
    <row r="6325">
      <c r="A6325" s="3" t="n">
        <v>2024</v>
      </c>
      <c r="B6325" s="4" t="n">
        <v>9000</v>
      </c>
      <c r="C6325" s="4" t="n">
        <v>182</v>
      </c>
      <c r="D6325" s="4" t="n">
        <v>55.055</v>
      </c>
      <c r="E6325" s="5" t="n">
        <v>163.5</v>
      </c>
      <c r="F6325" s="3" t="inlineStr">
        <is>
          <t>강내면</t>
        </is>
      </c>
      <c r="G6325" s="3" t="inlineStr">
        <is>
          <t>저산리</t>
        </is>
      </c>
      <c r="H6325" s="3" t="inlineStr">
        <is>
          <t>단독다가구</t>
        </is>
      </c>
      <c r="I6325" s="3" t="inlineStr">
        <is>
          <t>단독</t>
        </is>
      </c>
      <c r="J6325" s="3" t="inlineStr">
        <is>
          <t>강내면</t>
        </is>
      </c>
    </row>
    <row r="6326">
      <c r="A6326" s="3" t="n">
        <v>2024</v>
      </c>
      <c r="B6326" s="4" t="n">
        <v>74000</v>
      </c>
      <c r="C6326" s="4" t="n">
        <v>260.8</v>
      </c>
      <c r="D6326" s="4" t="n">
        <v>78.892</v>
      </c>
      <c r="E6326" s="5" t="n">
        <v>938</v>
      </c>
      <c r="F6326" s="3" t="inlineStr">
        <is>
          <t>오송읍</t>
        </is>
      </c>
      <c r="G6326" s="3" t="inlineStr">
        <is>
          <t>만수리</t>
        </is>
      </c>
      <c r="H6326" s="3" t="inlineStr">
        <is>
          <t>단독다가구</t>
        </is>
      </c>
      <c r="I6326" s="3" t="inlineStr">
        <is>
          <t>다가구</t>
        </is>
      </c>
      <c r="J6326" s="3" t="inlineStr">
        <is>
          <t>오송읍</t>
        </is>
      </c>
    </row>
    <row r="6327">
      <c r="A6327" s="3" t="n">
        <v>2024</v>
      </c>
      <c r="B6327" s="4" t="n">
        <v>19500</v>
      </c>
      <c r="C6327" s="4" t="n">
        <v>1072</v>
      </c>
      <c r="D6327" s="4" t="n">
        <v>324.28</v>
      </c>
      <c r="E6327" s="5" t="n">
        <v>60.1</v>
      </c>
      <c r="F6327" s="3" t="inlineStr">
        <is>
          <t>강내면</t>
        </is>
      </c>
      <c r="G6327" s="3" t="inlineStr">
        <is>
          <t>연정리</t>
        </is>
      </c>
      <c r="H6327" s="3" t="inlineStr">
        <is>
          <t>단독다가구</t>
        </is>
      </c>
      <c r="I6327" s="3" t="inlineStr">
        <is>
          <t>단독</t>
        </is>
      </c>
      <c r="J6327" s="3" t="inlineStr">
        <is>
          <t>강내면</t>
        </is>
      </c>
    </row>
    <row r="6328">
      <c r="A6328" s="3" t="n">
        <v>2024</v>
      </c>
      <c r="B6328" s="4" t="n">
        <v>160000</v>
      </c>
      <c r="C6328" s="4" t="n">
        <v>360.7</v>
      </c>
      <c r="D6328" s="4" t="n">
        <v>109.11175</v>
      </c>
      <c r="E6328" s="5" t="n">
        <v>1466.4</v>
      </c>
      <c r="F6328" s="3" t="inlineStr">
        <is>
          <t>오송읍</t>
        </is>
      </c>
      <c r="G6328" s="3" t="inlineStr">
        <is>
          <t>봉산리</t>
        </is>
      </c>
      <c r="H6328" s="3" t="inlineStr">
        <is>
          <t>단독다가구</t>
        </is>
      </c>
      <c r="I6328" s="3" t="inlineStr">
        <is>
          <t>다가구</t>
        </is>
      </c>
      <c r="J6328" s="3" t="inlineStr">
        <is>
          <t>오송읍</t>
        </is>
      </c>
    </row>
    <row r="6329">
      <c r="A6329" s="3" t="n">
        <v>2024</v>
      </c>
      <c r="B6329" s="4" t="n">
        <v>66700</v>
      </c>
      <c r="C6329" s="4" t="n">
        <v>629</v>
      </c>
      <c r="D6329" s="4" t="n">
        <v>190.2725</v>
      </c>
      <c r="E6329" s="5" t="n">
        <v>350.5</v>
      </c>
      <c r="F6329" s="3" t="inlineStr">
        <is>
          <t>강내면</t>
        </is>
      </c>
      <c r="G6329" s="3" t="inlineStr">
        <is>
          <t>저산리</t>
        </is>
      </c>
      <c r="H6329" s="3" t="inlineStr">
        <is>
          <t>단독다가구</t>
        </is>
      </c>
      <c r="I6329" s="3" t="inlineStr">
        <is>
          <t>단독</t>
        </is>
      </c>
      <c r="J6329" s="3" t="inlineStr">
        <is>
          <t>강내면</t>
        </is>
      </c>
    </row>
    <row r="6330">
      <c r="A6330" s="3" t="n">
        <v>2025</v>
      </c>
      <c r="B6330" s="4" t="n">
        <v>25000</v>
      </c>
      <c r="C6330" s="4" t="n">
        <v>618</v>
      </c>
      <c r="D6330" s="4" t="n">
        <v>186.945</v>
      </c>
      <c r="E6330" s="5" t="n">
        <v>133.7</v>
      </c>
      <c r="F6330" s="3" t="inlineStr">
        <is>
          <t>오송읍</t>
        </is>
      </c>
      <c r="G6330" s="3" t="inlineStr">
        <is>
          <t>공북리</t>
        </is>
      </c>
      <c r="H6330" s="3" t="inlineStr">
        <is>
          <t>단독다가구</t>
        </is>
      </c>
      <c r="I6330" s="3" t="inlineStr">
        <is>
          <t>단독</t>
        </is>
      </c>
      <c r="J6330" s="3" t="inlineStr">
        <is>
          <t>오송읍</t>
        </is>
      </c>
    </row>
    <row r="6331">
      <c r="A6331" s="3" t="n">
        <v>2025</v>
      </c>
      <c r="B6331" s="4" t="n">
        <v>53500</v>
      </c>
      <c r="C6331" s="4" t="n">
        <v>331</v>
      </c>
      <c r="D6331" s="4" t="n">
        <v>100.1275</v>
      </c>
      <c r="E6331" s="5" t="n">
        <v>534.3</v>
      </c>
      <c r="F6331" s="3" t="inlineStr">
        <is>
          <t>오송읍</t>
        </is>
      </c>
      <c r="G6331" s="3" t="inlineStr">
        <is>
          <t>오송리</t>
        </is>
      </c>
      <c r="H6331" s="3" t="inlineStr">
        <is>
          <t>단독다가구</t>
        </is>
      </c>
      <c r="I6331" s="3" t="inlineStr">
        <is>
          <t>단독</t>
        </is>
      </c>
      <c r="J6331" s="3" t="inlineStr">
        <is>
          <t>오송읍</t>
        </is>
      </c>
    </row>
    <row r="6332">
      <c r="A6332" s="3" t="n">
        <v>2025</v>
      </c>
      <c r="B6332" s="4" t="n">
        <v>125000</v>
      </c>
      <c r="C6332" s="4" t="n">
        <v>270.7</v>
      </c>
      <c r="D6332" s="4" t="n">
        <v>81.88674999999999</v>
      </c>
      <c r="E6332" s="5" t="n">
        <v>1526.5</v>
      </c>
      <c r="F6332" s="3" t="inlineStr">
        <is>
          <t>오송읍</t>
        </is>
      </c>
      <c r="G6332" s="3" t="inlineStr">
        <is>
          <t>봉산리</t>
        </is>
      </c>
      <c r="H6332" s="3" t="inlineStr">
        <is>
          <t>단독다가구</t>
        </is>
      </c>
      <c r="I6332" s="3" t="inlineStr">
        <is>
          <t>다가구</t>
        </is>
      </c>
      <c r="J6332" s="3" t="inlineStr">
        <is>
          <t>오송읍</t>
        </is>
      </c>
    </row>
    <row r="6333">
      <c r="A6333" s="3" t="n">
        <v>2025</v>
      </c>
      <c r="B6333" s="4" t="n">
        <v>64500</v>
      </c>
      <c r="C6333" s="4" t="n">
        <v>446</v>
      </c>
      <c r="D6333" s="4" t="n">
        <v>134.915</v>
      </c>
      <c r="E6333" s="5" t="n">
        <v>478.1</v>
      </c>
      <c r="F6333" s="3" t="inlineStr">
        <is>
          <t>강내면</t>
        </is>
      </c>
      <c r="G6333" s="3" t="inlineStr">
        <is>
          <t>월탄리</t>
        </is>
      </c>
      <c r="H6333" s="3" t="inlineStr">
        <is>
          <t>단독다가구</t>
        </is>
      </c>
      <c r="I6333" s="3" t="inlineStr">
        <is>
          <t>다가구</t>
        </is>
      </c>
      <c r="J6333" s="3" t="inlineStr">
        <is>
          <t>강내면</t>
        </is>
      </c>
    </row>
    <row r="6334">
      <c r="A6334" s="3" t="n">
        <v>2024</v>
      </c>
      <c r="B6334" s="4" t="n">
        <v>53600</v>
      </c>
      <c r="C6334" s="4" t="n">
        <v>365</v>
      </c>
      <c r="D6334" s="4" t="n">
        <v>110.4125</v>
      </c>
      <c r="E6334" s="5" t="n">
        <v>485.5</v>
      </c>
      <c r="F6334" s="3" t="inlineStr">
        <is>
          <t>오송읍</t>
        </is>
      </c>
      <c r="G6334" s="3" t="inlineStr">
        <is>
          <t>궁평리</t>
        </is>
      </c>
      <c r="H6334" s="3" t="inlineStr">
        <is>
          <t>단독다가구</t>
        </is>
      </c>
      <c r="I6334" s="3" t="inlineStr">
        <is>
          <t>단독</t>
        </is>
      </c>
      <c r="J6334" s="3" t="inlineStr">
        <is>
          <t>오송읍</t>
        </is>
      </c>
    </row>
    <row r="6335">
      <c r="A6335" s="3" t="n">
        <v>2024</v>
      </c>
      <c r="B6335" s="4" t="n">
        <v>8000</v>
      </c>
      <c r="C6335" s="4" t="n">
        <v>610</v>
      </c>
      <c r="D6335" s="4" t="n">
        <v>184.525</v>
      </c>
      <c r="E6335" s="5" t="n">
        <v>43.4</v>
      </c>
      <c r="F6335" s="3" t="inlineStr">
        <is>
          <t>강내면</t>
        </is>
      </c>
      <c r="G6335" s="3" t="inlineStr">
        <is>
          <t>다락리</t>
        </is>
      </c>
      <c r="H6335" s="3" t="inlineStr">
        <is>
          <t>단독다가구</t>
        </is>
      </c>
      <c r="I6335" s="3" t="inlineStr">
        <is>
          <t>단독</t>
        </is>
      </c>
      <c r="J6335" s="3" t="inlineStr">
        <is>
          <t>강내면</t>
        </is>
      </c>
    </row>
    <row r="6336">
      <c r="A6336" s="3" t="n">
        <v>2024</v>
      </c>
      <c r="B6336" s="4" t="n">
        <v>67500</v>
      </c>
      <c r="C6336" s="4" t="n">
        <v>254</v>
      </c>
      <c r="D6336" s="4" t="n">
        <v>76.83499999999999</v>
      </c>
      <c r="E6336" s="5" t="n">
        <v>878.5</v>
      </c>
      <c r="F6336" s="3" t="inlineStr">
        <is>
          <t>오송읍</t>
        </is>
      </c>
      <c r="G6336" s="3" t="inlineStr">
        <is>
          <t>연제리</t>
        </is>
      </c>
      <c r="H6336" s="3" t="inlineStr">
        <is>
          <t>단독다가구</t>
        </is>
      </c>
      <c r="I6336" s="3" t="inlineStr">
        <is>
          <t>다가구</t>
        </is>
      </c>
      <c r="J6336" s="3" t="inlineStr">
        <is>
          <t>오송읍</t>
        </is>
      </c>
    </row>
    <row r="6337">
      <c r="A6337" s="3" t="n">
        <v>2024</v>
      </c>
      <c r="B6337" s="4" t="n">
        <v>9600</v>
      </c>
      <c r="C6337" s="4" t="n">
        <v>151</v>
      </c>
      <c r="D6337" s="4" t="n">
        <v>45.6775</v>
      </c>
      <c r="E6337" s="5" t="n">
        <v>210.2</v>
      </c>
      <c r="F6337" s="3" t="inlineStr">
        <is>
          <t>오송읍</t>
        </is>
      </c>
      <c r="G6337" s="3" t="inlineStr">
        <is>
          <t>궁평리</t>
        </is>
      </c>
      <c r="H6337" s="3" t="inlineStr">
        <is>
          <t>단독다가구</t>
        </is>
      </c>
      <c r="I6337" s="3" t="inlineStr">
        <is>
          <t>단독</t>
        </is>
      </c>
      <c r="J6337" s="3" t="inlineStr">
        <is>
          <t>오송읍</t>
        </is>
      </c>
    </row>
    <row r="6338">
      <c r="A6338" s="3" t="n">
        <v>2025</v>
      </c>
      <c r="B6338" s="4" t="n">
        <v>23500</v>
      </c>
      <c r="C6338" s="4" t="n">
        <v>330</v>
      </c>
      <c r="D6338" s="4" t="n">
        <v>99.825</v>
      </c>
      <c r="E6338" s="5" t="n">
        <v>235.4</v>
      </c>
      <c r="F6338" s="3" t="inlineStr">
        <is>
          <t>오송읍</t>
        </is>
      </c>
      <c r="G6338" s="3" t="inlineStr">
        <is>
          <t>봉산리</t>
        </is>
      </c>
      <c r="H6338" s="3" t="inlineStr">
        <is>
          <t>단독다가구</t>
        </is>
      </c>
      <c r="I6338" s="3" t="inlineStr">
        <is>
          <t>단독</t>
        </is>
      </c>
      <c r="J6338" s="3" t="inlineStr">
        <is>
          <t>오송읍</t>
        </is>
      </c>
    </row>
    <row r="6339">
      <c r="A6339" s="3" t="n">
        <v>2025</v>
      </c>
      <c r="B6339" s="4" t="n">
        <v>63500</v>
      </c>
      <c r="C6339" s="4" t="n">
        <v>283.3</v>
      </c>
      <c r="D6339" s="4" t="n">
        <v>85.69825</v>
      </c>
      <c r="E6339" s="5" t="n">
        <v>741</v>
      </c>
      <c r="F6339" s="3" t="inlineStr">
        <is>
          <t>오송읍</t>
        </is>
      </c>
      <c r="G6339" s="3" t="inlineStr">
        <is>
          <t>만수리</t>
        </is>
      </c>
      <c r="H6339" s="3" t="inlineStr">
        <is>
          <t>단독다가구</t>
        </is>
      </c>
      <c r="I6339" s="3" t="inlineStr">
        <is>
          <t>다가구</t>
        </is>
      </c>
      <c r="J6339" s="3" t="inlineStr">
        <is>
          <t>오송읍</t>
        </is>
      </c>
    </row>
    <row r="6340">
      <c r="A6340" s="3" t="n">
        <v>2025</v>
      </c>
      <c r="B6340" s="4" t="n">
        <v>34500</v>
      </c>
      <c r="C6340" s="4" t="n">
        <v>456</v>
      </c>
      <c r="D6340" s="4" t="n">
        <v>137.94</v>
      </c>
      <c r="E6340" s="5" t="n">
        <v>250.1</v>
      </c>
      <c r="F6340" s="3" t="inlineStr">
        <is>
          <t>오송읍</t>
        </is>
      </c>
      <c r="G6340" s="3" t="inlineStr">
        <is>
          <t>정중리</t>
        </is>
      </c>
      <c r="H6340" s="3" t="inlineStr">
        <is>
          <t>단독다가구</t>
        </is>
      </c>
      <c r="I6340" s="3" t="inlineStr">
        <is>
          <t>단독</t>
        </is>
      </c>
      <c r="J6340" s="3" t="inlineStr">
        <is>
          <t>오송읍</t>
        </is>
      </c>
    </row>
    <row r="6341">
      <c r="A6341" s="3" t="n">
        <v>2025</v>
      </c>
      <c r="B6341" s="4" t="n">
        <v>66250</v>
      </c>
      <c r="C6341" s="4" t="n">
        <v>257.9</v>
      </c>
      <c r="D6341" s="4" t="n">
        <v>78.01474999999999</v>
      </c>
      <c r="E6341" s="5" t="n">
        <v>849.2</v>
      </c>
      <c r="F6341" s="3" t="inlineStr">
        <is>
          <t>오송읍</t>
        </is>
      </c>
      <c r="G6341" s="3" t="inlineStr">
        <is>
          <t>만수리</t>
        </is>
      </c>
      <c r="H6341" s="3" t="inlineStr">
        <is>
          <t>단독다가구</t>
        </is>
      </c>
      <c r="I6341" s="3" t="inlineStr">
        <is>
          <t>다가구</t>
        </is>
      </c>
      <c r="J6341" s="3" t="inlineStr">
        <is>
          <t>오송읍</t>
        </is>
      </c>
    </row>
    <row r="6342">
      <c r="A6342" s="3" t="n">
        <v>2022</v>
      </c>
      <c r="B6342" s="4" t="n">
        <v>17500</v>
      </c>
      <c r="C6342" s="4" t="n">
        <v>198</v>
      </c>
      <c r="D6342" s="4" t="n">
        <v>59.895</v>
      </c>
      <c r="E6342" s="5" t="n">
        <v>292.2</v>
      </c>
      <c r="F6342" s="3" t="inlineStr">
        <is>
          <t>오송읍</t>
        </is>
      </c>
      <c r="G6342" s="3" t="inlineStr">
        <is>
          <t>궁평리</t>
        </is>
      </c>
      <c r="H6342" s="3" t="inlineStr">
        <is>
          <t>단독다가구</t>
        </is>
      </c>
      <c r="I6342" s="3" t="inlineStr">
        <is>
          <t>단독</t>
        </is>
      </c>
      <c r="J6342" s="3" t="inlineStr">
        <is>
          <t>오송읍</t>
        </is>
      </c>
    </row>
    <row r="6343">
      <c r="A6343" s="3" t="n">
        <v>2022</v>
      </c>
      <c r="B6343" s="4" t="n">
        <v>60000</v>
      </c>
      <c r="C6343" s="4" t="n">
        <v>1187</v>
      </c>
      <c r="D6343" s="4" t="n">
        <v>359.0675</v>
      </c>
      <c r="E6343" s="5" t="n">
        <v>167.1</v>
      </c>
      <c r="F6343" s="3" t="inlineStr">
        <is>
          <t>강내면</t>
        </is>
      </c>
      <c r="G6343" s="3" t="inlineStr">
        <is>
          <t>월탄리</t>
        </is>
      </c>
      <c r="H6343" s="3" t="inlineStr">
        <is>
          <t>단독다가구</t>
        </is>
      </c>
      <c r="I6343" s="3" t="inlineStr">
        <is>
          <t>단독</t>
        </is>
      </c>
      <c r="J6343" s="3" t="inlineStr">
        <is>
          <t>강내면</t>
        </is>
      </c>
    </row>
    <row r="6344">
      <c r="A6344" s="3" t="n">
        <v>2022</v>
      </c>
      <c r="B6344" s="4" t="n">
        <v>33000</v>
      </c>
      <c r="C6344" s="4" t="n">
        <v>390</v>
      </c>
      <c r="D6344" s="4" t="n">
        <v>117.975</v>
      </c>
      <c r="E6344" s="5" t="n">
        <v>279.7</v>
      </c>
      <c r="F6344" s="3" t="inlineStr">
        <is>
          <t>오송읍</t>
        </is>
      </c>
      <c r="G6344" s="3" t="inlineStr">
        <is>
          <t>오송리</t>
        </is>
      </c>
      <c r="H6344" s="3" t="inlineStr">
        <is>
          <t>단독다가구</t>
        </is>
      </c>
      <c r="I6344" s="3" t="inlineStr">
        <is>
          <t>단독</t>
        </is>
      </c>
      <c r="J6344" s="3" t="inlineStr">
        <is>
          <t>오송읍</t>
        </is>
      </c>
    </row>
    <row r="6345">
      <c r="A6345" s="3" t="n">
        <v>2022</v>
      </c>
      <c r="B6345" s="4" t="n">
        <v>22280</v>
      </c>
      <c r="C6345" s="4" t="n">
        <v>363</v>
      </c>
      <c r="D6345" s="4" t="n">
        <v>109.8075</v>
      </c>
      <c r="E6345" s="5" t="n">
        <v>202.9</v>
      </c>
      <c r="F6345" s="3" t="inlineStr">
        <is>
          <t>강내면</t>
        </is>
      </c>
      <c r="G6345" s="3" t="inlineStr">
        <is>
          <t>월탄리</t>
        </is>
      </c>
      <c r="H6345" s="3" t="inlineStr">
        <is>
          <t>단독다가구</t>
        </is>
      </c>
      <c r="I6345" s="3" t="inlineStr">
        <is>
          <t>단독</t>
        </is>
      </c>
      <c r="J6345" s="3" t="inlineStr">
        <is>
          <t>강내면</t>
        </is>
      </c>
    </row>
    <row r="6346">
      <c r="A6346" s="3" t="n">
        <v>2022</v>
      </c>
      <c r="B6346" s="4" t="n">
        <v>155000</v>
      </c>
      <c r="C6346" s="4" t="n">
        <v>263.6</v>
      </c>
      <c r="D6346" s="4" t="n">
        <v>79.739</v>
      </c>
      <c r="E6346" s="5" t="n">
        <v>1943.8</v>
      </c>
      <c r="F6346" s="3" t="inlineStr">
        <is>
          <t>오송읍</t>
        </is>
      </c>
      <c r="G6346" s="3" t="inlineStr">
        <is>
          <t>봉산리</t>
        </is>
      </c>
      <c r="H6346" s="3" t="inlineStr">
        <is>
          <t>단독다가구</t>
        </is>
      </c>
      <c r="I6346" s="3" t="inlineStr">
        <is>
          <t>다가구</t>
        </is>
      </c>
      <c r="J6346" s="3" t="inlineStr">
        <is>
          <t>오송읍</t>
        </is>
      </c>
    </row>
    <row r="6347">
      <c r="A6347" s="3" t="n">
        <v>2023</v>
      </c>
      <c r="B6347" s="4" t="n">
        <v>55000</v>
      </c>
      <c r="C6347" s="4" t="n">
        <v>516</v>
      </c>
      <c r="D6347" s="4" t="n">
        <v>156.09</v>
      </c>
      <c r="E6347" s="5" t="n">
        <v>352.4</v>
      </c>
      <c r="F6347" s="3" t="inlineStr">
        <is>
          <t>오송읍</t>
        </is>
      </c>
      <c r="G6347" s="3" t="inlineStr">
        <is>
          <t>오송리</t>
        </is>
      </c>
      <c r="H6347" s="3" t="inlineStr">
        <is>
          <t>단독다가구</t>
        </is>
      </c>
      <c r="I6347" s="3" t="inlineStr">
        <is>
          <t>단독</t>
        </is>
      </c>
      <c r="J6347" s="3" t="inlineStr">
        <is>
          <t>오송읍</t>
        </is>
      </c>
    </row>
    <row r="6348">
      <c r="A6348" s="3" t="n">
        <v>2023</v>
      </c>
      <c r="B6348" s="4" t="n">
        <v>72100</v>
      </c>
      <c r="C6348" s="4" t="n">
        <v>676</v>
      </c>
      <c r="D6348" s="4" t="n">
        <v>204.49</v>
      </c>
      <c r="E6348" s="5" t="n">
        <v>352.6</v>
      </c>
      <c r="F6348" s="3" t="inlineStr">
        <is>
          <t>강내면</t>
        </is>
      </c>
      <c r="G6348" s="3" t="inlineStr">
        <is>
          <t>월탄리</t>
        </is>
      </c>
      <c r="H6348" s="3" t="inlineStr">
        <is>
          <t>단독다가구</t>
        </is>
      </c>
      <c r="I6348" s="3" t="inlineStr">
        <is>
          <t>다가구</t>
        </is>
      </c>
      <c r="J6348" s="3" t="inlineStr">
        <is>
          <t>강내면</t>
        </is>
      </c>
    </row>
    <row r="6349">
      <c r="A6349" s="3" t="n">
        <v>2023</v>
      </c>
      <c r="B6349" s="4" t="n">
        <v>27000</v>
      </c>
      <c r="C6349" s="4" t="n">
        <v>299</v>
      </c>
      <c r="D6349" s="4" t="n">
        <v>90.44749999999999</v>
      </c>
      <c r="E6349" s="5" t="n">
        <v>298.5</v>
      </c>
      <c r="F6349" s="3" t="inlineStr">
        <is>
          <t>오송읍</t>
        </is>
      </c>
      <c r="G6349" s="3" t="inlineStr">
        <is>
          <t>동평리</t>
        </is>
      </c>
      <c r="H6349" s="3" t="inlineStr">
        <is>
          <t>단독다가구</t>
        </is>
      </c>
      <c r="I6349" s="3" t="inlineStr">
        <is>
          <t>단독</t>
        </is>
      </c>
      <c r="J6349" s="3" t="inlineStr">
        <is>
          <t>오송읍</t>
        </is>
      </c>
    </row>
    <row r="6350">
      <c r="A6350" s="3" t="n">
        <v>2023</v>
      </c>
      <c r="B6350" s="4" t="n">
        <v>72000</v>
      </c>
      <c r="C6350" s="4" t="n">
        <v>274.9</v>
      </c>
      <c r="D6350" s="4" t="n">
        <v>83.15724999999999</v>
      </c>
      <c r="E6350" s="5" t="n">
        <v>865.8</v>
      </c>
      <c r="F6350" s="3" t="inlineStr">
        <is>
          <t>오송읍</t>
        </is>
      </c>
      <c r="G6350" s="3" t="inlineStr">
        <is>
          <t>연제리</t>
        </is>
      </c>
      <c r="H6350" s="3" t="inlineStr">
        <is>
          <t>단독다가구</t>
        </is>
      </c>
      <c r="I6350" s="3" t="inlineStr">
        <is>
          <t>다가구</t>
        </is>
      </c>
      <c r="J6350" s="3" t="inlineStr">
        <is>
          <t>오송읍</t>
        </is>
      </c>
    </row>
    <row r="6351">
      <c r="A6351" s="3" t="n">
        <v>2023</v>
      </c>
      <c r="B6351" s="4" t="n">
        <v>9700</v>
      </c>
      <c r="C6351" s="4" t="n">
        <v>185</v>
      </c>
      <c r="D6351" s="4" t="n">
        <v>55.9625</v>
      </c>
      <c r="E6351" s="5" t="n">
        <v>173.3</v>
      </c>
      <c r="F6351" s="3" t="inlineStr">
        <is>
          <t>오송읍</t>
        </is>
      </c>
      <c r="G6351" s="3" t="inlineStr">
        <is>
          <t>정중리</t>
        </is>
      </c>
      <c r="H6351" s="3" t="inlineStr">
        <is>
          <t>단독다가구</t>
        </is>
      </c>
      <c r="I6351" s="3" t="inlineStr">
        <is>
          <t>단독</t>
        </is>
      </c>
      <c r="J6351" s="3" t="inlineStr">
        <is>
          <t>오송읍</t>
        </is>
      </c>
    </row>
    <row r="6352">
      <c r="A6352" s="3" t="n">
        <v>2023</v>
      </c>
      <c r="B6352" s="4" t="n">
        <v>45000</v>
      </c>
      <c r="C6352" s="4" t="n">
        <v>371</v>
      </c>
      <c r="D6352" s="4" t="n">
        <v>112.2275</v>
      </c>
      <c r="E6352" s="5" t="n">
        <v>401</v>
      </c>
      <c r="F6352" s="3" t="inlineStr">
        <is>
          <t>오송읍</t>
        </is>
      </c>
      <c r="G6352" s="3" t="inlineStr">
        <is>
          <t>동평리</t>
        </is>
      </c>
      <c r="H6352" s="3" t="inlineStr">
        <is>
          <t>단독다가구</t>
        </is>
      </c>
      <c r="I6352" s="3" t="inlineStr">
        <is>
          <t>단독</t>
        </is>
      </c>
      <c r="J6352" s="3" t="inlineStr">
        <is>
          <t>오송읍</t>
        </is>
      </c>
    </row>
    <row r="6353">
      <c r="A6353" s="3" t="n">
        <v>2023</v>
      </c>
      <c r="B6353" s="4" t="n">
        <v>23000</v>
      </c>
      <c r="C6353" s="4" t="n">
        <v>660</v>
      </c>
      <c r="D6353" s="4" t="n">
        <v>199.65</v>
      </c>
      <c r="E6353" s="5" t="n">
        <v>115.2</v>
      </c>
      <c r="F6353" s="3" t="inlineStr">
        <is>
          <t>오송읍</t>
        </is>
      </c>
      <c r="G6353" s="3" t="inlineStr">
        <is>
          <t>공북리</t>
        </is>
      </c>
      <c r="H6353" s="3" t="inlineStr">
        <is>
          <t>단독다가구</t>
        </is>
      </c>
      <c r="I6353" s="3" t="inlineStr">
        <is>
          <t>단독</t>
        </is>
      </c>
      <c r="J6353" s="3" t="inlineStr">
        <is>
          <t>오송읍</t>
        </is>
      </c>
    </row>
    <row r="6354">
      <c r="A6354" s="3" t="n">
        <v>2024</v>
      </c>
      <c r="B6354" s="4" t="n">
        <v>134000</v>
      </c>
      <c r="C6354" s="4" t="n">
        <v>276.2</v>
      </c>
      <c r="D6354" s="4" t="n">
        <v>83.5505</v>
      </c>
      <c r="E6354" s="5" t="n">
        <v>1603.8</v>
      </c>
      <c r="F6354" s="3" t="inlineStr">
        <is>
          <t>오송읍</t>
        </is>
      </c>
      <c r="G6354" s="3" t="inlineStr">
        <is>
          <t>봉산리</t>
        </is>
      </c>
      <c r="H6354" s="3" t="inlineStr">
        <is>
          <t>단독다가구</t>
        </is>
      </c>
      <c r="I6354" s="3" t="inlineStr">
        <is>
          <t>다가구</t>
        </is>
      </c>
      <c r="J6354" s="3" t="inlineStr">
        <is>
          <t>오송읍</t>
        </is>
      </c>
    </row>
    <row r="6355">
      <c r="A6355" s="3" t="n">
        <v>2024</v>
      </c>
      <c r="B6355" s="4" t="n">
        <v>14700</v>
      </c>
      <c r="C6355" s="4" t="n">
        <v>318</v>
      </c>
      <c r="D6355" s="4" t="n">
        <v>96.19499999999999</v>
      </c>
      <c r="E6355" s="5" t="n">
        <v>152.8</v>
      </c>
      <c r="F6355" s="3" t="inlineStr">
        <is>
          <t>오송읍</t>
        </is>
      </c>
      <c r="G6355" s="3" t="inlineStr">
        <is>
          <t>상봉리</t>
        </is>
      </c>
      <c r="H6355" s="3" t="inlineStr">
        <is>
          <t>단독다가구</t>
        </is>
      </c>
      <c r="I6355" s="3" t="inlineStr">
        <is>
          <t>단독</t>
        </is>
      </c>
      <c r="J6355" s="3" t="inlineStr">
        <is>
          <t>오송읍</t>
        </is>
      </c>
    </row>
    <row r="6356">
      <c r="A6356" s="3" t="n">
        <v>2024</v>
      </c>
      <c r="B6356" s="4" t="n">
        <v>176000</v>
      </c>
      <c r="C6356" s="4" t="n">
        <v>248.7</v>
      </c>
      <c r="D6356" s="4" t="n">
        <v>75.23174999999999</v>
      </c>
      <c r="E6356" s="5" t="n">
        <v>2339.4</v>
      </c>
      <c r="F6356" s="3" t="inlineStr">
        <is>
          <t>오송읍</t>
        </is>
      </c>
      <c r="G6356" s="3" t="inlineStr">
        <is>
          <t>봉산리</t>
        </is>
      </c>
      <c r="H6356" s="3" t="inlineStr">
        <is>
          <t>단독다가구</t>
        </is>
      </c>
      <c r="I6356" s="3" t="inlineStr">
        <is>
          <t>다가구</t>
        </is>
      </c>
      <c r="J6356" s="3" t="inlineStr">
        <is>
          <t>오송읍</t>
        </is>
      </c>
    </row>
    <row r="6357">
      <c r="A6357" s="3" t="n">
        <v>2024</v>
      </c>
      <c r="B6357" s="4" t="n">
        <v>15750</v>
      </c>
      <c r="C6357" s="4" t="n">
        <v>323</v>
      </c>
      <c r="D6357" s="4" t="n">
        <v>97.7075</v>
      </c>
      <c r="E6357" s="5" t="n">
        <v>161.2</v>
      </c>
      <c r="F6357" s="3" t="inlineStr">
        <is>
          <t>강내면</t>
        </is>
      </c>
      <c r="G6357" s="3" t="inlineStr">
        <is>
          <t>사곡리</t>
        </is>
      </c>
      <c r="H6357" s="3" t="inlineStr">
        <is>
          <t>단독다가구</t>
        </is>
      </c>
      <c r="I6357" s="3" t="inlineStr">
        <is>
          <t>단독</t>
        </is>
      </c>
      <c r="J6357" s="3" t="inlineStr">
        <is>
          <t>강내면</t>
        </is>
      </c>
    </row>
    <row r="6358">
      <c r="A6358" s="3" t="n">
        <v>2024</v>
      </c>
      <c r="B6358" s="4" t="n">
        <v>35000</v>
      </c>
      <c r="C6358" s="4" t="n">
        <v>658</v>
      </c>
      <c r="D6358" s="4" t="n">
        <v>199.045</v>
      </c>
      <c r="E6358" s="5" t="n">
        <v>175.8</v>
      </c>
      <c r="F6358" s="3" t="inlineStr">
        <is>
          <t>오송읍</t>
        </is>
      </c>
      <c r="G6358" s="3" t="inlineStr">
        <is>
          <t>공북리</t>
        </is>
      </c>
      <c r="H6358" s="3" t="inlineStr">
        <is>
          <t>단독다가구</t>
        </is>
      </c>
      <c r="I6358" s="3" t="inlineStr">
        <is>
          <t>단독</t>
        </is>
      </c>
      <c r="J6358" s="3" t="inlineStr">
        <is>
          <t>오송읍</t>
        </is>
      </c>
    </row>
    <row r="6359">
      <c r="A6359" s="3" t="n">
        <v>2024</v>
      </c>
      <c r="B6359" s="4" t="n">
        <v>140000</v>
      </c>
      <c r="C6359" s="4" t="n">
        <v>476</v>
      </c>
      <c r="D6359" s="4" t="n">
        <v>143.99</v>
      </c>
      <c r="E6359" s="5" t="n">
        <v>972.3</v>
      </c>
      <c r="F6359" s="3" t="inlineStr">
        <is>
          <t>오송읍</t>
        </is>
      </c>
      <c r="G6359" s="3" t="inlineStr">
        <is>
          <t>오송리</t>
        </is>
      </c>
      <c r="H6359" s="3" t="inlineStr">
        <is>
          <t>단독다가구</t>
        </is>
      </c>
      <c r="I6359" s="3" t="inlineStr">
        <is>
          <t>단독</t>
        </is>
      </c>
      <c r="J6359" s="3" t="inlineStr">
        <is>
          <t>오송읍</t>
        </is>
      </c>
    </row>
    <row r="6360">
      <c r="A6360" s="3" t="n">
        <v>2024</v>
      </c>
      <c r="B6360" s="4" t="n">
        <v>8500</v>
      </c>
      <c r="C6360" s="4" t="n">
        <v>357</v>
      </c>
      <c r="D6360" s="4" t="n">
        <v>107.9925</v>
      </c>
      <c r="E6360" s="5" t="n">
        <v>78.7</v>
      </c>
      <c r="F6360" s="3" t="inlineStr">
        <is>
          <t>강내면</t>
        </is>
      </c>
      <c r="G6360" s="3" t="inlineStr">
        <is>
          <t>저산리</t>
        </is>
      </c>
      <c r="H6360" s="3" t="inlineStr">
        <is>
          <t>단독다가구</t>
        </is>
      </c>
      <c r="I6360" s="3" t="inlineStr">
        <is>
          <t>단독</t>
        </is>
      </c>
      <c r="J6360" s="3" t="inlineStr">
        <is>
          <t>강내면</t>
        </is>
      </c>
    </row>
    <row r="6361">
      <c r="A6361" s="3" t="n">
        <v>2024</v>
      </c>
      <c r="B6361" s="4" t="n">
        <v>24000</v>
      </c>
      <c r="C6361" s="4" t="n">
        <v>238</v>
      </c>
      <c r="D6361" s="4" t="n">
        <v>71.995</v>
      </c>
      <c r="E6361" s="5" t="n">
        <v>333.4</v>
      </c>
      <c r="F6361" s="3" t="inlineStr">
        <is>
          <t>오송읍</t>
        </is>
      </c>
      <c r="G6361" s="3" t="inlineStr">
        <is>
          <t>동평리</t>
        </is>
      </c>
      <c r="H6361" s="3" t="inlineStr">
        <is>
          <t>단독다가구</t>
        </is>
      </c>
      <c r="I6361" s="3" t="inlineStr">
        <is>
          <t>단독</t>
        </is>
      </c>
      <c r="J6361" s="3" t="inlineStr">
        <is>
          <t>오송읍</t>
        </is>
      </c>
    </row>
    <row r="6362">
      <c r="A6362" s="3" t="n">
        <v>2024</v>
      </c>
      <c r="B6362" s="4" t="n">
        <v>55000</v>
      </c>
      <c r="C6362" s="4" t="n">
        <v>1048</v>
      </c>
      <c r="D6362" s="4" t="n">
        <v>317.02</v>
      </c>
      <c r="E6362" s="5" t="n">
        <v>173.5</v>
      </c>
      <c r="F6362" s="3" t="inlineStr">
        <is>
          <t>오송읍</t>
        </is>
      </c>
      <c r="G6362" s="3" t="inlineStr">
        <is>
          <t>공북리</t>
        </is>
      </c>
      <c r="H6362" s="3" t="inlineStr">
        <is>
          <t>단독다가구</t>
        </is>
      </c>
      <c r="I6362" s="3" t="inlineStr">
        <is>
          <t>단독</t>
        </is>
      </c>
      <c r="J6362" s="3" t="inlineStr">
        <is>
          <t>오송읍</t>
        </is>
      </c>
    </row>
    <row r="6363">
      <c r="A6363" s="3" t="n">
        <v>2024</v>
      </c>
      <c r="B6363" s="4" t="n">
        <v>28000</v>
      </c>
      <c r="C6363" s="4" t="n">
        <v>347</v>
      </c>
      <c r="D6363" s="4" t="n">
        <v>104.9675</v>
      </c>
      <c r="E6363" s="5" t="n">
        <v>266.7</v>
      </c>
      <c r="F6363" s="3" t="inlineStr">
        <is>
          <t>강내면</t>
        </is>
      </c>
      <c r="G6363" s="3" t="inlineStr">
        <is>
          <t>궁현리</t>
        </is>
      </c>
      <c r="H6363" s="3" t="inlineStr">
        <is>
          <t>단독다가구</t>
        </is>
      </c>
      <c r="I6363" s="3" t="inlineStr">
        <is>
          <t>단독</t>
        </is>
      </c>
      <c r="J6363" s="3" t="inlineStr">
        <is>
          <t>강내면</t>
        </is>
      </c>
    </row>
    <row r="6364">
      <c r="A6364" s="3" t="n">
        <v>2024</v>
      </c>
      <c r="B6364" s="4" t="n">
        <v>18000</v>
      </c>
      <c r="C6364" s="4" t="n">
        <v>341</v>
      </c>
      <c r="D6364" s="4" t="n">
        <v>103.1525</v>
      </c>
      <c r="E6364" s="5" t="n">
        <v>174.5</v>
      </c>
      <c r="F6364" s="3" t="inlineStr">
        <is>
          <t>오송읍</t>
        </is>
      </c>
      <c r="G6364" s="3" t="inlineStr">
        <is>
          <t>서평리</t>
        </is>
      </c>
      <c r="H6364" s="3" t="inlineStr">
        <is>
          <t>단독다가구</t>
        </is>
      </c>
      <c r="I6364" s="3" t="inlineStr">
        <is>
          <t>단독</t>
        </is>
      </c>
      <c r="J6364" s="3" t="inlineStr">
        <is>
          <t>오송읍</t>
        </is>
      </c>
    </row>
    <row r="6365">
      <c r="A6365" s="3" t="n">
        <v>2022</v>
      </c>
      <c r="B6365" s="4" t="n">
        <v>55150</v>
      </c>
      <c r="C6365" s="4" t="n">
        <v>534.9</v>
      </c>
      <c r="D6365" s="4" t="n">
        <v>161.80725</v>
      </c>
      <c r="E6365" s="5" t="n">
        <v>340.8</v>
      </c>
      <c r="F6365" s="3" t="inlineStr">
        <is>
          <t>강내면</t>
        </is>
      </c>
      <c r="G6365" s="3" t="inlineStr">
        <is>
          <t>사곡리</t>
        </is>
      </c>
      <c r="H6365" s="3" t="inlineStr">
        <is>
          <t>단독다가구</t>
        </is>
      </c>
      <c r="I6365" s="3" t="inlineStr">
        <is>
          <t>단독</t>
        </is>
      </c>
      <c r="J6365" s="3" t="inlineStr">
        <is>
          <t>강내면</t>
        </is>
      </c>
    </row>
    <row r="6366">
      <c r="A6366" s="3" t="n">
        <v>2022</v>
      </c>
      <c r="B6366" s="4" t="n">
        <v>22900</v>
      </c>
      <c r="C6366" s="4" t="n">
        <v>601</v>
      </c>
      <c r="D6366" s="4" t="n">
        <v>181.8025</v>
      </c>
      <c r="E6366" s="5" t="n">
        <v>126</v>
      </c>
      <c r="F6366" s="3" t="inlineStr">
        <is>
          <t>강내면</t>
        </is>
      </c>
      <c r="G6366" s="3" t="inlineStr">
        <is>
          <t>당곡리</t>
        </is>
      </c>
      <c r="H6366" s="3" t="inlineStr">
        <is>
          <t>단독다가구</t>
        </is>
      </c>
      <c r="I6366" s="3" t="inlineStr">
        <is>
          <t>단독</t>
        </is>
      </c>
      <c r="J6366" s="3" t="inlineStr">
        <is>
          <t>강내면</t>
        </is>
      </c>
    </row>
    <row r="6367">
      <c r="A6367" s="3" t="n">
        <v>2023</v>
      </c>
      <c r="B6367" s="4" t="n">
        <v>49540</v>
      </c>
      <c r="C6367" s="4" t="n">
        <v>697</v>
      </c>
      <c r="D6367" s="4" t="n">
        <v>210.8425</v>
      </c>
      <c r="E6367" s="5" t="n">
        <v>235</v>
      </c>
      <c r="F6367" s="3" t="inlineStr">
        <is>
          <t>강내면</t>
        </is>
      </c>
      <c r="G6367" s="3" t="inlineStr">
        <is>
          <t>석화리</t>
        </is>
      </c>
      <c r="H6367" s="3" t="inlineStr">
        <is>
          <t>단독다가구</t>
        </is>
      </c>
      <c r="I6367" s="3" t="inlineStr">
        <is>
          <t>단독</t>
        </is>
      </c>
      <c r="J6367" s="3" t="inlineStr">
        <is>
          <t>강내면</t>
        </is>
      </c>
    </row>
    <row r="6368">
      <c r="A6368" s="3" t="n">
        <v>2023</v>
      </c>
      <c r="B6368" s="4" t="n">
        <v>24050</v>
      </c>
      <c r="C6368" s="4" t="n">
        <v>487</v>
      </c>
      <c r="D6368" s="4" t="n">
        <v>147.3175</v>
      </c>
      <c r="E6368" s="5" t="n">
        <v>163.3</v>
      </c>
      <c r="F6368" s="3" t="inlineStr">
        <is>
          <t>오송읍</t>
        </is>
      </c>
      <c r="G6368" s="3" t="inlineStr">
        <is>
          <t>상정리</t>
        </is>
      </c>
      <c r="H6368" s="3" t="inlineStr">
        <is>
          <t>단독다가구</t>
        </is>
      </c>
      <c r="I6368" s="3" t="inlineStr">
        <is>
          <t>단독</t>
        </is>
      </c>
      <c r="J6368" s="3" t="inlineStr">
        <is>
          <t>오송읍</t>
        </is>
      </c>
    </row>
    <row r="6369">
      <c r="A6369" s="3" t="n">
        <v>2023</v>
      </c>
      <c r="B6369" s="4" t="n">
        <v>64816</v>
      </c>
      <c r="C6369" s="4" t="n">
        <v>708</v>
      </c>
      <c r="D6369" s="4" t="n">
        <v>214.17</v>
      </c>
      <c r="E6369" s="5" t="n">
        <v>302.6</v>
      </c>
      <c r="F6369" s="3" t="inlineStr">
        <is>
          <t>강내면</t>
        </is>
      </c>
      <c r="G6369" s="3" t="inlineStr">
        <is>
          <t>궁현리</t>
        </is>
      </c>
      <c r="H6369" s="3" t="inlineStr">
        <is>
          <t>단독다가구</t>
        </is>
      </c>
      <c r="I6369" s="3" t="inlineStr">
        <is>
          <t>단독</t>
        </is>
      </c>
      <c r="J6369" s="3" t="inlineStr">
        <is>
          <t>강내면</t>
        </is>
      </c>
    </row>
    <row r="6370">
      <c r="A6370" s="3" t="n">
        <v>2023</v>
      </c>
      <c r="B6370" s="4" t="n">
        <v>72000</v>
      </c>
      <c r="C6370" s="4" t="n">
        <v>258.3</v>
      </c>
      <c r="D6370" s="4" t="n">
        <v>78.13575</v>
      </c>
      <c r="E6370" s="5" t="n">
        <v>921.5</v>
      </c>
      <c r="F6370" s="3" t="inlineStr">
        <is>
          <t>오송읍</t>
        </is>
      </c>
      <c r="G6370" s="3" t="inlineStr">
        <is>
          <t>만수리</t>
        </is>
      </c>
      <c r="H6370" s="3" t="inlineStr">
        <is>
          <t>단독다가구</t>
        </is>
      </c>
      <c r="I6370" s="3" t="inlineStr">
        <is>
          <t>다가구</t>
        </is>
      </c>
      <c r="J6370" s="3" t="inlineStr">
        <is>
          <t>오송읍</t>
        </is>
      </c>
    </row>
    <row r="6371">
      <c r="A6371" s="3" t="n">
        <v>2023</v>
      </c>
      <c r="B6371" s="4" t="n">
        <v>23000</v>
      </c>
      <c r="C6371" s="4" t="n">
        <v>238</v>
      </c>
      <c r="D6371" s="4" t="n">
        <v>71.995</v>
      </c>
      <c r="E6371" s="5" t="n">
        <v>319.5</v>
      </c>
      <c r="F6371" s="3" t="inlineStr">
        <is>
          <t>오송읍</t>
        </is>
      </c>
      <c r="G6371" s="3" t="inlineStr">
        <is>
          <t>동평리</t>
        </is>
      </c>
      <c r="H6371" s="3" t="inlineStr">
        <is>
          <t>단독다가구</t>
        </is>
      </c>
      <c r="I6371" s="3" t="inlineStr">
        <is>
          <t>단독</t>
        </is>
      </c>
      <c r="J6371" s="3" t="inlineStr">
        <is>
          <t>오송읍</t>
        </is>
      </c>
    </row>
    <row r="6372">
      <c r="A6372" s="3" t="n">
        <v>2023</v>
      </c>
      <c r="B6372" s="4" t="n">
        <v>27790</v>
      </c>
      <c r="C6372" s="4" t="n">
        <v>617</v>
      </c>
      <c r="D6372" s="4" t="n">
        <v>186.6425</v>
      </c>
      <c r="E6372" s="5" t="n">
        <v>148.9</v>
      </c>
      <c r="F6372" s="3" t="inlineStr">
        <is>
          <t>오송읍</t>
        </is>
      </c>
      <c r="G6372" s="3" t="inlineStr">
        <is>
          <t>상정리</t>
        </is>
      </c>
      <c r="H6372" s="3" t="inlineStr">
        <is>
          <t>단독다가구</t>
        </is>
      </c>
      <c r="I6372" s="3" t="inlineStr">
        <is>
          <t>단독</t>
        </is>
      </c>
      <c r="J6372" s="3" t="inlineStr">
        <is>
          <t>오송읍</t>
        </is>
      </c>
    </row>
    <row r="6373">
      <c r="A6373" s="3" t="n">
        <v>2023</v>
      </c>
      <c r="B6373" s="4" t="n">
        <v>69500</v>
      </c>
      <c r="C6373" s="4" t="n">
        <v>276.9</v>
      </c>
      <c r="D6373" s="4" t="n">
        <v>83.76224999999999</v>
      </c>
      <c r="E6373" s="5" t="n">
        <v>829.7</v>
      </c>
      <c r="F6373" s="3" t="inlineStr">
        <is>
          <t>오송읍</t>
        </is>
      </c>
      <c r="G6373" s="3" t="inlineStr">
        <is>
          <t>만수리</t>
        </is>
      </c>
      <c r="H6373" s="3" t="inlineStr">
        <is>
          <t>단독다가구</t>
        </is>
      </c>
      <c r="I6373" s="3" t="inlineStr">
        <is>
          <t>다가구</t>
        </is>
      </c>
      <c r="J6373" s="3" t="inlineStr">
        <is>
          <t>오송읍</t>
        </is>
      </c>
    </row>
    <row r="6374">
      <c r="A6374" s="3" t="n">
        <v>2023</v>
      </c>
      <c r="B6374" s="4" t="n">
        <v>11200</v>
      </c>
      <c r="C6374" s="4" t="n">
        <v>145</v>
      </c>
      <c r="D6374" s="4" t="n">
        <v>43.8625</v>
      </c>
      <c r="E6374" s="5" t="n">
        <v>255.3</v>
      </c>
      <c r="F6374" s="3" t="inlineStr">
        <is>
          <t>오송읍</t>
        </is>
      </c>
      <c r="G6374" s="3" t="inlineStr">
        <is>
          <t>정중리</t>
        </is>
      </c>
      <c r="H6374" s="3" t="inlineStr">
        <is>
          <t>단독다가구</t>
        </is>
      </c>
      <c r="I6374" s="3" t="inlineStr">
        <is>
          <t>단독</t>
        </is>
      </c>
      <c r="J6374" s="3" t="inlineStr">
        <is>
          <t>오송읍</t>
        </is>
      </c>
    </row>
    <row r="6375">
      <c r="A6375" s="3" t="n">
        <v>2023</v>
      </c>
      <c r="B6375" s="4" t="n">
        <v>77500</v>
      </c>
      <c r="C6375" s="4" t="n">
        <v>280.7</v>
      </c>
      <c r="D6375" s="4" t="n">
        <v>84.91175</v>
      </c>
      <c r="E6375" s="5" t="n">
        <v>912.7</v>
      </c>
      <c r="F6375" s="3" t="inlineStr">
        <is>
          <t>오송읍</t>
        </is>
      </c>
      <c r="G6375" s="3" t="inlineStr">
        <is>
          <t>만수리</t>
        </is>
      </c>
      <c r="H6375" s="3" t="inlineStr">
        <is>
          <t>단독다가구</t>
        </is>
      </c>
      <c r="I6375" s="3" t="inlineStr">
        <is>
          <t>다가구</t>
        </is>
      </c>
      <c r="J6375" s="3" t="inlineStr">
        <is>
          <t>오송읍</t>
        </is>
      </c>
    </row>
    <row r="6376">
      <c r="A6376" s="3" t="n">
        <v>2023</v>
      </c>
      <c r="B6376" s="4" t="n">
        <v>49000</v>
      </c>
      <c r="C6376" s="4" t="n">
        <v>638</v>
      </c>
      <c r="D6376" s="4" t="n">
        <v>192.995</v>
      </c>
      <c r="E6376" s="5" t="n">
        <v>253.9</v>
      </c>
      <c r="F6376" s="3" t="inlineStr">
        <is>
          <t>오송읍</t>
        </is>
      </c>
      <c r="G6376" s="3" t="inlineStr">
        <is>
          <t>정중리</t>
        </is>
      </c>
      <c r="H6376" s="3" t="inlineStr">
        <is>
          <t>단독다가구</t>
        </is>
      </c>
      <c r="I6376" s="3" t="inlineStr">
        <is>
          <t>단독</t>
        </is>
      </c>
      <c r="J6376" s="3" t="inlineStr">
        <is>
          <t>오송읍</t>
        </is>
      </c>
    </row>
    <row r="6377">
      <c r="A6377" s="3" t="n">
        <v>2023</v>
      </c>
      <c r="B6377" s="4" t="n">
        <v>74580</v>
      </c>
      <c r="C6377" s="4" t="n">
        <v>256.5</v>
      </c>
      <c r="D6377" s="4" t="n">
        <v>77.59125</v>
      </c>
      <c r="E6377" s="5" t="n">
        <v>961.2</v>
      </c>
      <c r="F6377" s="3" t="inlineStr">
        <is>
          <t>고운동</t>
        </is>
      </c>
      <c r="G6377" s="3" t="inlineStr"/>
      <c r="H6377" s="3" t="inlineStr">
        <is>
          <t>단독다가구</t>
        </is>
      </c>
      <c r="I6377" s="3" t="inlineStr">
        <is>
          <t>단독</t>
        </is>
      </c>
      <c r="J6377" s="3" t="inlineStr">
        <is>
          <t>고운동</t>
        </is>
      </c>
    </row>
    <row r="6378">
      <c r="A6378" s="3" t="n">
        <v>2023</v>
      </c>
      <c r="B6378" s="4" t="n">
        <v>110000</v>
      </c>
      <c r="C6378" s="4" t="n">
        <v>410</v>
      </c>
      <c r="D6378" s="4" t="n">
        <v>124.025</v>
      </c>
      <c r="E6378" s="5" t="n">
        <v>886.9</v>
      </c>
      <c r="F6378" s="3" t="inlineStr">
        <is>
          <t>조치원읍</t>
        </is>
      </c>
      <c r="G6378" s="3" t="inlineStr">
        <is>
          <t>신안리</t>
        </is>
      </c>
      <c r="H6378" s="3" t="inlineStr">
        <is>
          <t>단독다가구</t>
        </is>
      </c>
      <c r="I6378" s="3" t="inlineStr">
        <is>
          <t>다가구</t>
        </is>
      </c>
      <c r="J6378" s="3" t="inlineStr">
        <is>
          <t>조치원읍</t>
        </is>
      </c>
    </row>
    <row r="6379">
      <c r="A6379" s="3" t="n">
        <v>2023</v>
      </c>
      <c r="B6379" s="4" t="n">
        <v>110000</v>
      </c>
      <c r="C6379" s="4" t="n">
        <v>410</v>
      </c>
      <c r="D6379" s="4" t="n">
        <v>124.025</v>
      </c>
      <c r="E6379" s="5" t="n">
        <v>886.9</v>
      </c>
      <c r="F6379" s="3" t="inlineStr">
        <is>
          <t>조치원읍</t>
        </is>
      </c>
      <c r="G6379" s="3" t="inlineStr">
        <is>
          <t>신안리</t>
        </is>
      </c>
      <c r="H6379" s="3" t="inlineStr">
        <is>
          <t>단독다가구</t>
        </is>
      </c>
      <c r="I6379" s="3" t="inlineStr">
        <is>
          <t>다가구</t>
        </is>
      </c>
      <c r="J6379" s="3" t="inlineStr">
        <is>
          <t>조치원읍</t>
        </is>
      </c>
    </row>
    <row r="6380">
      <c r="A6380" s="3" t="n">
        <v>2023</v>
      </c>
      <c r="B6380" s="4" t="n">
        <v>52500</v>
      </c>
      <c r="C6380" s="4" t="n">
        <v>412</v>
      </c>
      <c r="D6380" s="4" t="n">
        <v>124.63</v>
      </c>
      <c r="E6380" s="5" t="n">
        <v>421.2</v>
      </c>
      <c r="F6380" s="3" t="inlineStr">
        <is>
          <t>연동면</t>
        </is>
      </c>
      <c r="G6380" s="3" t="inlineStr">
        <is>
          <t>문주리</t>
        </is>
      </c>
      <c r="H6380" s="3" t="inlineStr">
        <is>
          <t>단독다가구</t>
        </is>
      </c>
      <c r="I6380" s="3" t="inlineStr">
        <is>
          <t>단독</t>
        </is>
      </c>
      <c r="J6380" s="3" t="inlineStr">
        <is>
          <t>연동면</t>
        </is>
      </c>
    </row>
    <row r="6381">
      <c r="A6381" s="3" t="n">
        <v>2023</v>
      </c>
      <c r="B6381" s="4" t="n">
        <v>17000</v>
      </c>
      <c r="C6381" s="4" t="n">
        <v>187</v>
      </c>
      <c r="D6381" s="4" t="n">
        <v>56.5675</v>
      </c>
      <c r="E6381" s="5" t="n">
        <v>300.5</v>
      </c>
      <c r="F6381" s="3" t="inlineStr">
        <is>
          <t>조치원읍</t>
        </is>
      </c>
      <c r="G6381" s="3" t="inlineStr">
        <is>
          <t>원리</t>
        </is>
      </c>
      <c r="H6381" s="3" t="inlineStr">
        <is>
          <t>단독다가구</t>
        </is>
      </c>
      <c r="I6381" s="3" t="inlineStr">
        <is>
          <t>단독</t>
        </is>
      </c>
      <c r="J6381" s="3" t="inlineStr">
        <is>
          <t>조치원읍</t>
        </is>
      </c>
    </row>
    <row r="6382">
      <c r="A6382" s="3" t="n">
        <v>2023</v>
      </c>
      <c r="B6382" s="4" t="n">
        <v>52500</v>
      </c>
      <c r="C6382" s="4" t="n">
        <v>412</v>
      </c>
      <c r="D6382" s="4" t="n">
        <v>124.63</v>
      </c>
      <c r="E6382" s="5" t="n">
        <v>421.2</v>
      </c>
      <c r="F6382" s="3" t="inlineStr">
        <is>
          <t>연동면</t>
        </is>
      </c>
      <c r="G6382" s="3" t="inlineStr">
        <is>
          <t>문주리</t>
        </is>
      </c>
      <c r="H6382" s="3" t="inlineStr">
        <is>
          <t>단독다가구</t>
        </is>
      </c>
      <c r="I6382" s="3" t="inlineStr">
        <is>
          <t>단독</t>
        </is>
      </c>
      <c r="J6382" s="3" t="inlineStr">
        <is>
          <t>연동면</t>
        </is>
      </c>
    </row>
    <row r="6383">
      <c r="A6383" s="3" t="n">
        <v>2023</v>
      </c>
      <c r="B6383" s="4" t="n">
        <v>85000</v>
      </c>
      <c r="C6383" s="4" t="n">
        <v>367.772</v>
      </c>
      <c r="D6383" s="4" t="n">
        <v>111.25103</v>
      </c>
      <c r="E6383" s="5" t="n">
        <v>764</v>
      </c>
      <c r="F6383" s="3" t="inlineStr">
        <is>
          <t>고운동</t>
        </is>
      </c>
      <c r="G6383" s="3" t="inlineStr"/>
      <c r="H6383" s="3" t="inlineStr">
        <is>
          <t>단독다가구</t>
        </is>
      </c>
      <c r="I6383" s="3" t="inlineStr">
        <is>
          <t>단독</t>
        </is>
      </c>
      <c r="J6383" s="3" t="inlineStr">
        <is>
          <t>고운동</t>
        </is>
      </c>
    </row>
    <row r="6384">
      <c r="A6384" s="3" t="n">
        <v>2023</v>
      </c>
      <c r="B6384" s="4" t="n">
        <v>14000</v>
      </c>
      <c r="C6384" s="4" t="n">
        <v>79</v>
      </c>
      <c r="D6384" s="4" t="n">
        <v>23.8975</v>
      </c>
      <c r="E6384" s="5" t="n">
        <v>585.8</v>
      </c>
      <c r="F6384" s="3" t="inlineStr">
        <is>
          <t>조치원읍</t>
        </is>
      </c>
      <c r="G6384" s="3" t="inlineStr">
        <is>
          <t>상리</t>
        </is>
      </c>
      <c r="H6384" s="3" t="inlineStr">
        <is>
          <t>단독다가구</t>
        </is>
      </c>
      <c r="I6384" s="3" t="inlineStr">
        <is>
          <t>단독</t>
        </is>
      </c>
      <c r="J6384" s="3" t="inlineStr">
        <is>
          <t>조치원읍</t>
        </is>
      </c>
    </row>
    <row r="6385">
      <c r="A6385" s="3" t="n">
        <v>2023</v>
      </c>
      <c r="B6385" s="4" t="n">
        <v>28500</v>
      </c>
      <c r="C6385" s="4" t="n">
        <v>660</v>
      </c>
      <c r="D6385" s="4" t="n">
        <v>199.65</v>
      </c>
      <c r="E6385" s="5" t="n">
        <v>142.7</v>
      </c>
      <c r="F6385" s="3" t="inlineStr">
        <is>
          <t>연동면</t>
        </is>
      </c>
      <c r="G6385" s="3" t="inlineStr">
        <is>
          <t>내판리</t>
        </is>
      </c>
      <c r="H6385" s="3" t="inlineStr">
        <is>
          <t>단독다가구</t>
        </is>
      </c>
      <c r="I6385" s="3" t="inlineStr">
        <is>
          <t>단독</t>
        </is>
      </c>
      <c r="J6385" s="3" t="inlineStr">
        <is>
          <t>연동면</t>
        </is>
      </c>
    </row>
    <row r="6386">
      <c r="A6386" s="3" t="n">
        <v>2023</v>
      </c>
      <c r="B6386" s="4" t="n">
        <v>30000</v>
      </c>
      <c r="C6386" s="4" t="n">
        <v>532</v>
      </c>
      <c r="D6386" s="4" t="n">
        <v>160.93</v>
      </c>
      <c r="E6386" s="5" t="n">
        <v>186.4</v>
      </c>
      <c r="F6386" s="3" t="inlineStr">
        <is>
          <t>연서면</t>
        </is>
      </c>
      <c r="G6386" s="3" t="inlineStr">
        <is>
          <t>월하리</t>
        </is>
      </c>
      <c r="H6386" s="3" t="inlineStr">
        <is>
          <t>단독다가구</t>
        </is>
      </c>
      <c r="I6386" s="3" t="inlineStr">
        <is>
          <t>단독</t>
        </is>
      </c>
      <c r="J6386" s="3" t="inlineStr">
        <is>
          <t>연서면</t>
        </is>
      </c>
    </row>
    <row r="6387">
      <c r="A6387" s="3" t="n">
        <v>2023</v>
      </c>
      <c r="B6387" s="4" t="n">
        <v>24500</v>
      </c>
      <c r="C6387" s="4" t="n">
        <v>319</v>
      </c>
      <c r="D6387" s="4" t="n">
        <v>96.4975</v>
      </c>
      <c r="E6387" s="5" t="n">
        <v>253.9</v>
      </c>
      <c r="F6387" s="3" t="inlineStr">
        <is>
          <t>연동면</t>
        </is>
      </c>
      <c r="G6387" s="3" t="inlineStr">
        <is>
          <t>예양리</t>
        </is>
      </c>
      <c r="H6387" s="3" t="inlineStr">
        <is>
          <t>단독다가구</t>
        </is>
      </c>
      <c r="I6387" s="3" t="inlineStr">
        <is>
          <t>단독</t>
        </is>
      </c>
      <c r="J6387" s="3" t="inlineStr">
        <is>
          <t>연동면</t>
        </is>
      </c>
    </row>
    <row r="6388">
      <c r="A6388" s="3" t="n">
        <v>2023</v>
      </c>
      <c r="B6388" s="4" t="n">
        <v>23500</v>
      </c>
      <c r="C6388" s="4" t="n">
        <v>124</v>
      </c>
      <c r="D6388" s="4" t="n">
        <v>37.51</v>
      </c>
      <c r="E6388" s="5" t="n">
        <v>626.5</v>
      </c>
      <c r="F6388" s="3" t="inlineStr">
        <is>
          <t>조치원읍</t>
        </is>
      </c>
      <c r="G6388" s="3" t="inlineStr">
        <is>
          <t>신흥리</t>
        </is>
      </c>
      <c r="H6388" s="3" t="inlineStr">
        <is>
          <t>단독다가구</t>
        </is>
      </c>
      <c r="I6388" s="3" t="inlineStr">
        <is>
          <t>단독</t>
        </is>
      </c>
      <c r="J6388" s="3" t="inlineStr">
        <is>
          <t>조치원읍</t>
        </is>
      </c>
    </row>
    <row r="6389">
      <c r="A6389" s="3" t="n">
        <v>2024</v>
      </c>
      <c r="B6389" s="4" t="n">
        <v>19000</v>
      </c>
      <c r="C6389" s="4" t="n">
        <v>343</v>
      </c>
      <c r="D6389" s="4" t="n">
        <v>103.7575</v>
      </c>
      <c r="E6389" s="5" t="n">
        <v>183.1</v>
      </c>
      <c r="F6389" s="3" t="inlineStr">
        <is>
          <t>조치원읍</t>
        </is>
      </c>
      <c r="G6389" s="3" t="inlineStr">
        <is>
          <t>신안리</t>
        </is>
      </c>
      <c r="H6389" s="3" t="inlineStr">
        <is>
          <t>단독다가구</t>
        </is>
      </c>
      <c r="I6389" s="3" t="inlineStr">
        <is>
          <t>단독</t>
        </is>
      </c>
      <c r="J6389" s="3" t="inlineStr">
        <is>
          <t>조치원읍</t>
        </is>
      </c>
    </row>
    <row r="6390">
      <c r="A6390" s="3" t="n">
        <v>2024</v>
      </c>
      <c r="B6390" s="4" t="n">
        <v>131000</v>
      </c>
      <c r="C6390" s="4" t="n">
        <v>300.1</v>
      </c>
      <c r="D6390" s="4" t="n">
        <v>90.78025000000001</v>
      </c>
      <c r="E6390" s="5" t="n">
        <v>1443</v>
      </c>
      <c r="F6390" s="3" t="inlineStr">
        <is>
          <t>조치원읍</t>
        </is>
      </c>
      <c r="G6390" s="3" t="inlineStr">
        <is>
          <t>침산리</t>
        </is>
      </c>
      <c r="H6390" s="3" t="inlineStr">
        <is>
          <t>단독다가구</t>
        </is>
      </c>
      <c r="I6390" s="3" t="inlineStr">
        <is>
          <t>다가구</t>
        </is>
      </c>
      <c r="J6390" s="3" t="inlineStr">
        <is>
          <t>조치원읍</t>
        </is>
      </c>
    </row>
    <row r="6391">
      <c r="A6391" s="3" t="n">
        <v>2024</v>
      </c>
      <c r="B6391" s="4" t="n">
        <v>18000</v>
      </c>
      <c r="C6391" s="4" t="n">
        <v>279</v>
      </c>
      <c r="D6391" s="4" t="n">
        <v>84.39749999999999</v>
      </c>
      <c r="E6391" s="5" t="n">
        <v>213.3</v>
      </c>
      <c r="F6391" s="3" t="inlineStr">
        <is>
          <t>조치원읍</t>
        </is>
      </c>
      <c r="G6391" s="3" t="inlineStr">
        <is>
          <t>서창리</t>
        </is>
      </c>
      <c r="H6391" s="3" t="inlineStr">
        <is>
          <t>단독다가구</t>
        </is>
      </c>
      <c r="I6391" s="3" t="inlineStr">
        <is>
          <t>단독</t>
        </is>
      </c>
      <c r="J6391" s="3" t="inlineStr">
        <is>
          <t>조치원읍</t>
        </is>
      </c>
    </row>
    <row r="6392">
      <c r="A6392" s="3" t="n">
        <v>2024</v>
      </c>
      <c r="B6392" s="4" t="n">
        <v>16000</v>
      </c>
      <c r="C6392" s="4" t="n">
        <v>281</v>
      </c>
      <c r="D6392" s="4" t="n">
        <v>85.0025</v>
      </c>
      <c r="E6392" s="5" t="n">
        <v>188.2</v>
      </c>
      <c r="F6392" s="3" t="inlineStr">
        <is>
          <t>부강면</t>
        </is>
      </c>
      <c r="G6392" s="3" t="inlineStr">
        <is>
          <t>금호리</t>
        </is>
      </c>
      <c r="H6392" s="3" t="inlineStr">
        <is>
          <t>단독다가구</t>
        </is>
      </c>
      <c r="I6392" s="3" t="inlineStr">
        <is>
          <t>단독</t>
        </is>
      </c>
      <c r="J6392" s="3" t="inlineStr">
        <is>
          <t>부강면</t>
        </is>
      </c>
    </row>
    <row r="6393">
      <c r="A6393" s="3" t="n">
        <v>2025</v>
      </c>
      <c r="B6393" s="4" t="n">
        <v>12885</v>
      </c>
      <c r="C6393" s="4" t="n">
        <v>393</v>
      </c>
      <c r="D6393" s="4" t="n">
        <v>118.8825</v>
      </c>
      <c r="E6393" s="5" t="n">
        <v>108.4</v>
      </c>
      <c r="F6393" s="3" t="inlineStr">
        <is>
          <t>부강면</t>
        </is>
      </c>
      <c r="G6393" s="3" t="inlineStr">
        <is>
          <t>부강리</t>
        </is>
      </c>
      <c r="H6393" s="3" t="inlineStr">
        <is>
          <t>단독다가구</t>
        </is>
      </c>
      <c r="I6393" s="3" t="inlineStr">
        <is>
          <t>단독</t>
        </is>
      </c>
      <c r="J6393" s="3" t="inlineStr">
        <is>
          <t>부강면</t>
        </is>
      </c>
    </row>
    <row r="6394">
      <c r="A6394" s="3" t="n">
        <v>2025</v>
      </c>
      <c r="B6394" s="4" t="n">
        <v>21000</v>
      </c>
      <c r="C6394" s="4" t="n">
        <v>231</v>
      </c>
      <c r="D6394" s="4" t="n">
        <v>69.8775</v>
      </c>
      <c r="E6394" s="5" t="n">
        <v>300.5</v>
      </c>
      <c r="F6394" s="3" t="inlineStr">
        <is>
          <t>부강면</t>
        </is>
      </c>
      <c r="G6394" s="3" t="inlineStr">
        <is>
          <t>부강리</t>
        </is>
      </c>
      <c r="H6394" s="3" t="inlineStr">
        <is>
          <t>단독다가구</t>
        </is>
      </c>
      <c r="I6394" s="3" t="inlineStr">
        <is>
          <t>단독</t>
        </is>
      </c>
      <c r="J6394" s="3" t="inlineStr">
        <is>
          <t>부강면</t>
        </is>
      </c>
    </row>
    <row r="6395">
      <c r="A6395" s="3" t="n">
        <v>2025</v>
      </c>
      <c r="B6395" s="4" t="n">
        <v>55000</v>
      </c>
      <c r="C6395" s="4" t="n">
        <v>1150</v>
      </c>
      <c r="D6395" s="4" t="n">
        <v>347.875</v>
      </c>
      <c r="E6395" s="5" t="n">
        <v>158.1</v>
      </c>
      <c r="F6395" s="3" t="inlineStr">
        <is>
          <t>연서면</t>
        </is>
      </c>
      <c r="G6395" s="3" t="inlineStr">
        <is>
          <t>성제리</t>
        </is>
      </c>
      <c r="H6395" s="3" t="inlineStr">
        <is>
          <t>단독다가구</t>
        </is>
      </c>
      <c r="I6395" s="3" t="inlineStr">
        <is>
          <t>단독</t>
        </is>
      </c>
      <c r="J6395" s="3" t="inlineStr">
        <is>
          <t>연서면</t>
        </is>
      </c>
    </row>
    <row r="6396">
      <c r="A6396" s="3" t="n">
        <v>2025</v>
      </c>
      <c r="B6396" s="4" t="n">
        <v>112000</v>
      </c>
      <c r="C6396" s="4" t="n">
        <v>346.5</v>
      </c>
      <c r="D6396" s="4" t="n">
        <v>104.81625</v>
      </c>
      <c r="E6396" s="5" t="n">
        <v>1068.5</v>
      </c>
      <c r="F6396" s="3" t="inlineStr">
        <is>
          <t>아름동</t>
        </is>
      </c>
      <c r="G6396" s="3" t="inlineStr"/>
      <c r="H6396" s="3" t="inlineStr">
        <is>
          <t>단독다가구</t>
        </is>
      </c>
      <c r="I6396" s="3" t="inlineStr">
        <is>
          <t>단독</t>
        </is>
      </c>
      <c r="J6396" s="3" t="inlineStr">
        <is>
          <t>아름동</t>
        </is>
      </c>
    </row>
    <row r="6397">
      <c r="A6397" s="3" t="n">
        <v>2025</v>
      </c>
      <c r="B6397" s="4" t="n">
        <v>105300</v>
      </c>
      <c r="C6397" s="4" t="n">
        <v>333.9</v>
      </c>
      <c r="D6397" s="4" t="n">
        <v>101.00475</v>
      </c>
      <c r="E6397" s="5" t="n">
        <v>1042.5</v>
      </c>
      <c r="F6397" s="3" t="inlineStr">
        <is>
          <t>고운동</t>
        </is>
      </c>
      <c r="G6397" s="3" t="inlineStr"/>
      <c r="H6397" s="3" t="inlineStr">
        <is>
          <t>단독다가구</t>
        </is>
      </c>
      <c r="I6397" s="3" t="inlineStr">
        <is>
          <t>단독</t>
        </is>
      </c>
      <c r="J6397" s="3" t="inlineStr">
        <is>
          <t>고운동</t>
        </is>
      </c>
    </row>
    <row r="6398">
      <c r="A6398" s="3" t="n">
        <v>2025</v>
      </c>
      <c r="B6398" s="4" t="n">
        <v>102862</v>
      </c>
      <c r="C6398" s="4" t="n">
        <v>463</v>
      </c>
      <c r="D6398" s="4" t="n">
        <v>140.0575</v>
      </c>
      <c r="E6398" s="5" t="n">
        <v>734.4</v>
      </c>
      <c r="F6398" s="3" t="inlineStr">
        <is>
          <t>연서면</t>
        </is>
      </c>
      <c r="G6398" s="3" t="inlineStr">
        <is>
          <t>월하리</t>
        </is>
      </c>
      <c r="H6398" s="3" t="inlineStr">
        <is>
          <t>단독다가구</t>
        </is>
      </c>
      <c r="I6398" s="3" t="inlineStr">
        <is>
          <t>다가구</t>
        </is>
      </c>
      <c r="J6398" s="3" t="inlineStr">
        <is>
          <t>연서면</t>
        </is>
      </c>
    </row>
    <row r="6399">
      <c r="A6399" s="3" t="n">
        <v>2025</v>
      </c>
      <c r="B6399" s="4" t="n">
        <v>25000</v>
      </c>
      <c r="C6399" s="4" t="n">
        <v>254</v>
      </c>
      <c r="D6399" s="4" t="n">
        <v>76.83499999999999</v>
      </c>
      <c r="E6399" s="5" t="n">
        <v>325.4</v>
      </c>
      <c r="F6399" s="3" t="inlineStr">
        <is>
          <t>조치원읍</t>
        </is>
      </c>
      <c r="G6399" s="3" t="inlineStr">
        <is>
          <t>신안리</t>
        </is>
      </c>
      <c r="H6399" s="3" t="inlineStr">
        <is>
          <t>단독다가구</t>
        </is>
      </c>
      <c r="I6399" s="3" t="inlineStr">
        <is>
          <t>단독</t>
        </is>
      </c>
      <c r="J6399" s="3" t="inlineStr">
        <is>
          <t>조치원읍</t>
        </is>
      </c>
    </row>
    <row r="6400">
      <c r="A6400" s="3" t="n">
        <v>2025</v>
      </c>
      <c r="B6400" s="4" t="n">
        <v>15000</v>
      </c>
      <c r="C6400" s="4" t="n">
        <v>116</v>
      </c>
      <c r="D6400" s="4" t="n">
        <v>35.09</v>
      </c>
      <c r="E6400" s="5" t="n">
        <v>427.5</v>
      </c>
      <c r="F6400" s="3" t="inlineStr">
        <is>
          <t>조치원읍</t>
        </is>
      </c>
      <c r="G6400" s="3" t="inlineStr">
        <is>
          <t>정리</t>
        </is>
      </c>
      <c r="H6400" s="3" t="inlineStr">
        <is>
          <t>단독다가구</t>
        </is>
      </c>
      <c r="I6400" s="3" t="inlineStr">
        <is>
          <t>단독</t>
        </is>
      </c>
      <c r="J6400" s="3" t="inlineStr">
        <is>
          <t>조치원읍</t>
        </is>
      </c>
    </row>
    <row r="6401">
      <c r="A6401" s="3" t="n">
        <v>2025</v>
      </c>
      <c r="B6401" s="4" t="n">
        <v>100628</v>
      </c>
      <c r="C6401" s="4" t="n">
        <v>455</v>
      </c>
      <c r="D6401" s="4" t="n">
        <v>137.6375</v>
      </c>
      <c r="E6401" s="5" t="n">
        <v>731.1</v>
      </c>
      <c r="F6401" s="3" t="inlineStr">
        <is>
          <t>연서면</t>
        </is>
      </c>
      <c r="G6401" s="3" t="inlineStr">
        <is>
          <t>월하리</t>
        </is>
      </c>
      <c r="H6401" s="3" t="inlineStr">
        <is>
          <t>단독다가구</t>
        </is>
      </c>
      <c r="I6401" s="3" t="inlineStr">
        <is>
          <t>다가구</t>
        </is>
      </c>
      <c r="J6401" s="3" t="inlineStr">
        <is>
          <t>연서면</t>
        </is>
      </c>
    </row>
    <row r="6402">
      <c r="A6402" s="3" t="n">
        <v>2025</v>
      </c>
      <c r="B6402" s="4" t="n">
        <v>90000</v>
      </c>
      <c r="C6402" s="4" t="n">
        <v>333</v>
      </c>
      <c r="D6402" s="4" t="n">
        <v>100.7325</v>
      </c>
      <c r="E6402" s="5" t="n">
        <v>893.5</v>
      </c>
      <c r="F6402" s="3" t="inlineStr">
        <is>
          <t>고운동</t>
        </is>
      </c>
      <c r="G6402" s="3" t="inlineStr"/>
      <c r="H6402" s="3" t="inlineStr">
        <is>
          <t>단독다가구</t>
        </is>
      </c>
      <c r="I6402" s="3" t="inlineStr">
        <is>
          <t>단독</t>
        </is>
      </c>
      <c r="J6402" s="3" t="inlineStr">
        <is>
          <t>고운동</t>
        </is>
      </c>
    </row>
    <row r="6403">
      <c r="A6403" s="3" t="n">
        <v>2025</v>
      </c>
      <c r="B6403" s="4" t="n">
        <v>104624</v>
      </c>
      <c r="C6403" s="4" t="n">
        <v>463</v>
      </c>
      <c r="D6403" s="4" t="n">
        <v>140.0575</v>
      </c>
      <c r="E6403" s="5" t="n">
        <v>747</v>
      </c>
      <c r="F6403" s="3" t="inlineStr">
        <is>
          <t>연서면</t>
        </is>
      </c>
      <c r="G6403" s="3" t="inlineStr">
        <is>
          <t>월하리</t>
        </is>
      </c>
      <c r="H6403" s="3" t="inlineStr">
        <is>
          <t>단독다가구</t>
        </is>
      </c>
      <c r="I6403" s="3" t="inlineStr">
        <is>
          <t>다가구</t>
        </is>
      </c>
      <c r="J6403" s="3" t="inlineStr">
        <is>
          <t>연서면</t>
        </is>
      </c>
    </row>
    <row r="6404">
      <c r="A6404" s="3" t="n">
        <v>2025</v>
      </c>
      <c r="B6404" s="4" t="n">
        <v>8000</v>
      </c>
      <c r="C6404" s="4" t="n">
        <v>344</v>
      </c>
      <c r="D6404" s="4" t="n">
        <v>104.06</v>
      </c>
      <c r="E6404" s="5" t="n">
        <v>76.90000000000001</v>
      </c>
      <c r="F6404" s="3" t="inlineStr">
        <is>
          <t>부강면</t>
        </is>
      </c>
      <c r="G6404" s="3" t="inlineStr">
        <is>
          <t>등곡리</t>
        </is>
      </c>
      <c r="H6404" s="3" t="inlineStr">
        <is>
          <t>단독다가구</t>
        </is>
      </c>
      <c r="I6404" s="3" t="inlineStr">
        <is>
          <t>단독</t>
        </is>
      </c>
      <c r="J6404" s="3" t="inlineStr">
        <is>
          <t>부강면</t>
        </is>
      </c>
    </row>
    <row r="6405">
      <c r="A6405" s="3" t="n">
        <v>2025</v>
      </c>
      <c r="B6405" s="4" t="n">
        <v>83000</v>
      </c>
      <c r="C6405" s="4" t="n">
        <v>279.5</v>
      </c>
      <c r="D6405" s="4" t="n">
        <v>84.54875</v>
      </c>
      <c r="E6405" s="5" t="n">
        <v>981.7</v>
      </c>
      <c r="F6405" s="3" t="inlineStr">
        <is>
          <t>조치원읍</t>
        </is>
      </c>
      <c r="G6405" s="3" t="inlineStr">
        <is>
          <t>침산리</t>
        </is>
      </c>
      <c r="H6405" s="3" t="inlineStr">
        <is>
          <t>단독다가구</t>
        </is>
      </c>
      <c r="I6405" s="3" t="inlineStr">
        <is>
          <t>다가구</t>
        </is>
      </c>
      <c r="J6405" s="3" t="inlineStr">
        <is>
          <t>조치원읍</t>
        </is>
      </c>
    </row>
    <row r="6406">
      <c r="A6406" s="3" t="n">
        <v>2025</v>
      </c>
      <c r="B6406" s="4" t="n">
        <v>6000</v>
      </c>
      <c r="C6406" s="4" t="n">
        <v>660</v>
      </c>
      <c r="D6406" s="4" t="n">
        <v>199.65</v>
      </c>
      <c r="E6406" s="5" t="n">
        <v>30.1</v>
      </c>
      <c r="F6406" s="3" t="inlineStr">
        <is>
          <t>부강면</t>
        </is>
      </c>
      <c r="G6406" s="3" t="inlineStr">
        <is>
          <t>행산리</t>
        </is>
      </c>
      <c r="H6406" s="3" t="inlineStr">
        <is>
          <t>단독다가구</t>
        </is>
      </c>
      <c r="I6406" s="3" t="inlineStr">
        <is>
          <t>단독</t>
        </is>
      </c>
      <c r="J6406" s="3" t="inlineStr">
        <is>
          <t>부강면</t>
        </is>
      </c>
    </row>
    <row r="6407">
      <c r="A6407" s="3" t="n">
        <v>2025</v>
      </c>
      <c r="B6407" s="4" t="n">
        <v>87809</v>
      </c>
      <c r="C6407" s="4" t="n">
        <v>399</v>
      </c>
      <c r="D6407" s="4" t="n">
        <v>120.6975</v>
      </c>
      <c r="E6407" s="5" t="n">
        <v>727.5</v>
      </c>
      <c r="F6407" s="3" t="inlineStr">
        <is>
          <t>연서면</t>
        </is>
      </c>
      <c r="G6407" s="3" t="inlineStr">
        <is>
          <t>월하리</t>
        </is>
      </c>
      <c r="H6407" s="3" t="inlineStr">
        <is>
          <t>단독다가구</t>
        </is>
      </c>
      <c r="I6407" s="3" t="inlineStr">
        <is>
          <t>다가구</t>
        </is>
      </c>
      <c r="J6407" s="3" t="inlineStr">
        <is>
          <t>연서면</t>
        </is>
      </c>
    </row>
    <row r="6408">
      <c r="A6408" s="3" t="n">
        <v>2025</v>
      </c>
      <c r="B6408" s="4" t="n">
        <v>43500</v>
      </c>
      <c r="C6408" s="4" t="n">
        <v>289</v>
      </c>
      <c r="D6408" s="4" t="n">
        <v>87.4225</v>
      </c>
      <c r="E6408" s="5" t="n">
        <v>497.6</v>
      </c>
      <c r="F6408" s="3" t="inlineStr">
        <is>
          <t>조치원읍</t>
        </is>
      </c>
      <c r="G6408" s="3" t="inlineStr">
        <is>
          <t>침산리</t>
        </is>
      </c>
      <c r="H6408" s="3" t="inlineStr">
        <is>
          <t>단독다가구</t>
        </is>
      </c>
      <c r="I6408" s="3" t="inlineStr">
        <is>
          <t>단독</t>
        </is>
      </c>
      <c r="J6408" s="3" t="inlineStr">
        <is>
          <t>조치원읍</t>
        </is>
      </c>
    </row>
    <row r="6409">
      <c r="A6409" s="3" t="n">
        <v>2025</v>
      </c>
      <c r="B6409" s="4" t="n">
        <v>18000</v>
      </c>
      <c r="C6409" s="4" t="n">
        <v>319</v>
      </c>
      <c r="D6409" s="4" t="n">
        <v>96.4975</v>
      </c>
      <c r="E6409" s="5" t="n">
        <v>186.5</v>
      </c>
      <c r="F6409" s="3" t="inlineStr">
        <is>
          <t>연서면</t>
        </is>
      </c>
      <c r="G6409" s="3" t="inlineStr">
        <is>
          <t>고복리</t>
        </is>
      </c>
      <c r="H6409" s="3" t="inlineStr">
        <is>
          <t>단독다가구</t>
        </is>
      </c>
      <c r="I6409" s="3" t="inlineStr">
        <is>
          <t>단독</t>
        </is>
      </c>
      <c r="J6409" s="3" t="inlineStr">
        <is>
          <t>연서면</t>
        </is>
      </c>
    </row>
    <row r="6410">
      <c r="A6410" s="3" t="n">
        <v>2025</v>
      </c>
      <c r="B6410" s="4" t="n">
        <v>47370</v>
      </c>
      <c r="C6410" s="4" t="n">
        <v>142</v>
      </c>
      <c r="D6410" s="4" t="n">
        <v>42.955</v>
      </c>
      <c r="E6410" s="5" t="n">
        <v>1102.8</v>
      </c>
      <c r="F6410" s="3" t="inlineStr">
        <is>
          <t>연서면</t>
        </is>
      </c>
      <c r="G6410" s="3" t="inlineStr">
        <is>
          <t>봉암리</t>
        </is>
      </c>
      <c r="H6410" s="3" t="inlineStr">
        <is>
          <t>단독다가구</t>
        </is>
      </c>
      <c r="I6410" s="3" t="inlineStr">
        <is>
          <t>다가구</t>
        </is>
      </c>
      <c r="J6410" s="3" t="inlineStr">
        <is>
          <t>연서면</t>
        </is>
      </c>
    </row>
    <row r="6411">
      <c r="A6411" s="3" t="n">
        <v>2025</v>
      </c>
      <c r="B6411" s="4" t="n">
        <v>46500</v>
      </c>
      <c r="C6411" s="4" t="n">
        <v>265</v>
      </c>
      <c r="D6411" s="4" t="n">
        <v>80.16249999999999</v>
      </c>
      <c r="E6411" s="5" t="n">
        <v>580.1</v>
      </c>
      <c r="F6411" s="3" t="inlineStr">
        <is>
          <t>조치원읍</t>
        </is>
      </c>
      <c r="G6411" s="3" t="inlineStr">
        <is>
          <t>신안리</t>
        </is>
      </c>
      <c r="H6411" s="3" t="inlineStr">
        <is>
          <t>단독다가구</t>
        </is>
      </c>
      <c r="I6411" s="3" t="inlineStr">
        <is>
          <t>다가구</t>
        </is>
      </c>
      <c r="J6411" s="3" t="inlineStr">
        <is>
          <t>조치원읍</t>
        </is>
      </c>
    </row>
    <row r="6412">
      <c r="A6412" s="3" t="n">
        <v>2025</v>
      </c>
      <c r="B6412" s="4" t="n">
        <v>32875</v>
      </c>
      <c r="C6412" s="4" t="n">
        <v>472</v>
      </c>
      <c r="D6412" s="4" t="n">
        <v>142.78</v>
      </c>
      <c r="E6412" s="5" t="n">
        <v>230.2</v>
      </c>
      <c r="F6412" s="3" t="inlineStr">
        <is>
          <t>연서면</t>
        </is>
      </c>
      <c r="G6412" s="3" t="inlineStr">
        <is>
          <t>월하리</t>
        </is>
      </c>
      <c r="H6412" s="3" t="inlineStr">
        <is>
          <t>단독다가구</t>
        </is>
      </c>
      <c r="I6412" s="3" t="inlineStr">
        <is>
          <t>단독</t>
        </is>
      </c>
      <c r="J6412" s="3" t="inlineStr">
        <is>
          <t>연서면</t>
        </is>
      </c>
    </row>
    <row r="6413">
      <c r="A6413" s="3" t="n">
        <v>2025</v>
      </c>
      <c r="B6413" s="4" t="n">
        <v>28700</v>
      </c>
      <c r="C6413" s="4" t="n">
        <v>229</v>
      </c>
      <c r="D6413" s="4" t="n">
        <v>69.27249999999999</v>
      </c>
      <c r="E6413" s="5" t="n">
        <v>414.3</v>
      </c>
      <c r="F6413" s="3" t="inlineStr">
        <is>
          <t>조치원읍</t>
        </is>
      </c>
      <c r="G6413" s="3" t="inlineStr">
        <is>
          <t>남리</t>
        </is>
      </c>
      <c r="H6413" s="3" t="inlineStr">
        <is>
          <t>단독다가구</t>
        </is>
      </c>
      <c r="I6413" s="3" t="inlineStr">
        <is>
          <t>단독</t>
        </is>
      </c>
      <c r="J6413" s="3" t="inlineStr">
        <is>
          <t>조치원읍</t>
        </is>
      </c>
    </row>
    <row r="6414">
      <c r="A6414" s="3" t="n">
        <v>2025</v>
      </c>
      <c r="B6414" s="4" t="n">
        <v>32640</v>
      </c>
      <c r="C6414" s="4" t="n">
        <v>472</v>
      </c>
      <c r="D6414" s="4" t="n">
        <v>142.78</v>
      </c>
      <c r="E6414" s="5" t="n">
        <v>228.6</v>
      </c>
      <c r="F6414" s="3" t="inlineStr">
        <is>
          <t>연서면</t>
        </is>
      </c>
      <c r="G6414" s="3" t="inlineStr">
        <is>
          <t>월하리</t>
        </is>
      </c>
      <c r="H6414" s="3" t="inlineStr">
        <is>
          <t>단독다가구</t>
        </is>
      </c>
      <c r="I6414" s="3" t="inlineStr">
        <is>
          <t>단독</t>
        </is>
      </c>
      <c r="J6414" s="3" t="inlineStr">
        <is>
          <t>연서면</t>
        </is>
      </c>
    </row>
    <row r="6415">
      <c r="A6415" s="3" t="n">
        <v>2025</v>
      </c>
      <c r="B6415" s="4" t="n">
        <v>162000</v>
      </c>
      <c r="C6415" s="4" t="n">
        <v>313</v>
      </c>
      <c r="D6415" s="4" t="n">
        <v>94.68249999999999</v>
      </c>
      <c r="E6415" s="5" t="n">
        <v>1711</v>
      </c>
      <c r="F6415" s="3" t="inlineStr">
        <is>
          <t>반곡동</t>
        </is>
      </c>
      <c r="G6415" s="3" t="inlineStr"/>
      <c r="H6415" s="3" t="inlineStr">
        <is>
          <t>단독다가구</t>
        </is>
      </c>
      <c r="I6415" s="3" t="inlineStr">
        <is>
          <t>단독</t>
        </is>
      </c>
      <c r="J6415" s="3" t="inlineStr">
        <is>
          <t>반곡동</t>
        </is>
      </c>
    </row>
    <row r="6416">
      <c r="A6416" s="3" t="n">
        <v>2025</v>
      </c>
      <c r="B6416" s="4" t="n">
        <v>19000</v>
      </c>
      <c r="C6416" s="4" t="n">
        <v>200</v>
      </c>
      <c r="D6416" s="4" t="n">
        <v>60.5</v>
      </c>
      <c r="E6416" s="5" t="n">
        <v>314</v>
      </c>
      <c r="F6416" s="3" t="inlineStr">
        <is>
          <t>조치원읍</t>
        </is>
      </c>
      <c r="G6416" s="3" t="inlineStr">
        <is>
          <t>침산리</t>
        </is>
      </c>
      <c r="H6416" s="3" t="inlineStr">
        <is>
          <t>단독다가구</t>
        </is>
      </c>
      <c r="I6416" s="3" t="inlineStr">
        <is>
          <t>단독</t>
        </is>
      </c>
      <c r="J6416" s="3" t="inlineStr">
        <is>
          <t>조치원읍</t>
        </is>
      </c>
    </row>
    <row r="6417">
      <c r="A6417" s="3" t="n">
        <v>2025</v>
      </c>
      <c r="B6417" s="4" t="n">
        <v>92400</v>
      </c>
      <c r="C6417" s="4" t="n">
        <v>503.98</v>
      </c>
      <c r="D6417" s="4" t="n">
        <v>152.45395</v>
      </c>
      <c r="E6417" s="5" t="n">
        <v>606.1</v>
      </c>
      <c r="F6417" s="3" t="inlineStr">
        <is>
          <t>해밀동</t>
        </is>
      </c>
      <c r="G6417" s="3" t="inlineStr"/>
      <c r="H6417" s="3" t="inlineStr">
        <is>
          <t>단독다가구</t>
        </is>
      </c>
      <c r="I6417" s="3" t="inlineStr">
        <is>
          <t>단독</t>
        </is>
      </c>
      <c r="J6417" s="3" t="inlineStr">
        <is>
          <t>해밀동</t>
        </is>
      </c>
    </row>
    <row r="6418">
      <c r="A6418" s="3" t="n">
        <v>2026</v>
      </c>
      <c r="B6418" s="4" t="n">
        <v>58000</v>
      </c>
      <c r="C6418" s="4" t="n">
        <v>288</v>
      </c>
      <c r="D6418" s="4" t="n">
        <v>87.12</v>
      </c>
      <c r="E6418" s="5" t="n">
        <v>665.7</v>
      </c>
      <c r="F6418" s="3" t="inlineStr">
        <is>
          <t>조치원읍</t>
        </is>
      </c>
      <c r="G6418" s="3" t="inlineStr">
        <is>
          <t>서창리</t>
        </is>
      </c>
      <c r="H6418" s="3" t="inlineStr">
        <is>
          <t>단독다가구</t>
        </is>
      </c>
      <c r="I6418" s="3" t="inlineStr">
        <is>
          <t>다가구</t>
        </is>
      </c>
      <c r="J6418" s="3" t="inlineStr">
        <is>
          <t>조치원읍</t>
        </is>
      </c>
    </row>
    <row r="6419">
      <c r="A6419" s="3" t="n">
        <v>2026</v>
      </c>
      <c r="B6419" s="4" t="n">
        <v>14000</v>
      </c>
      <c r="C6419" s="4" t="n">
        <v>209</v>
      </c>
      <c r="D6419" s="4" t="n">
        <v>63.2225</v>
      </c>
      <c r="E6419" s="5" t="n">
        <v>221.4</v>
      </c>
      <c r="F6419" s="3" t="inlineStr">
        <is>
          <t>연서면</t>
        </is>
      </c>
      <c r="G6419" s="3" t="inlineStr">
        <is>
          <t>고복리</t>
        </is>
      </c>
      <c r="H6419" s="3" t="inlineStr">
        <is>
          <t>단독다가구</t>
        </is>
      </c>
      <c r="I6419" s="3" t="inlineStr">
        <is>
          <t>단독</t>
        </is>
      </c>
      <c r="J6419" s="3" t="inlineStr">
        <is>
          <t>연서면</t>
        </is>
      </c>
    </row>
    <row r="6420">
      <c r="A6420" s="3" t="n">
        <v>2026</v>
      </c>
      <c r="B6420" s="4" t="n">
        <v>36000</v>
      </c>
      <c r="C6420" s="4" t="n">
        <v>871</v>
      </c>
      <c r="D6420" s="4" t="n">
        <v>263.4775</v>
      </c>
      <c r="E6420" s="5" t="n">
        <v>136.6</v>
      </c>
      <c r="F6420" s="3" t="inlineStr">
        <is>
          <t>조치원읍</t>
        </is>
      </c>
      <c r="G6420" s="3" t="inlineStr">
        <is>
          <t>신안리</t>
        </is>
      </c>
      <c r="H6420" s="3" t="inlineStr">
        <is>
          <t>단독다가구</t>
        </is>
      </c>
      <c r="I6420" s="3" t="inlineStr">
        <is>
          <t>다가구</t>
        </is>
      </c>
      <c r="J6420" s="3" t="inlineStr">
        <is>
          <t>조치원읍</t>
        </is>
      </c>
    </row>
    <row r="6421">
      <c r="A6421" s="3" t="n">
        <v>2026</v>
      </c>
      <c r="B6421" s="4" t="n">
        <v>21000</v>
      </c>
      <c r="C6421" s="4" t="n">
        <v>155</v>
      </c>
      <c r="D6421" s="4" t="n">
        <v>46.8875</v>
      </c>
      <c r="E6421" s="5" t="n">
        <v>447.9</v>
      </c>
      <c r="F6421" s="3" t="inlineStr">
        <is>
          <t>조치원읍</t>
        </is>
      </c>
      <c r="G6421" s="3" t="inlineStr">
        <is>
          <t>상리</t>
        </is>
      </c>
      <c r="H6421" s="3" t="inlineStr">
        <is>
          <t>단독다가구</t>
        </is>
      </c>
      <c r="I6421" s="3" t="inlineStr">
        <is>
          <t>단독</t>
        </is>
      </c>
      <c r="J6421" s="3" t="inlineStr">
        <is>
          <t>조치원읍</t>
        </is>
      </c>
    </row>
    <row r="6422">
      <c r="A6422" s="3" t="n">
        <v>2026</v>
      </c>
      <c r="B6422" s="4" t="n">
        <v>21700</v>
      </c>
      <c r="C6422" s="4" t="n">
        <v>165</v>
      </c>
      <c r="D6422" s="4" t="n">
        <v>49.9125</v>
      </c>
      <c r="E6422" s="5" t="n">
        <v>434.8</v>
      </c>
      <c r="F6422" s="3" t="inlineStr">
        <is>
          <t>조치원읍</t>
        </is>
      </c>
      <c r="G6422" s="3" t="inlineStr">
        <is>
          <t>명리</t>
        </is>
      </c>
      <c r="H6422" s="3" t="inlineStr">
        <is>
          <t>단독다가구</t>
        </is>
      </c>
      <c r="I6422" s="3" t="inlineStr">
        <is>
          <t>단독</t>
        </is>
      </c>
      <c r="J6422" s="3" t="inlineStr">
        <is>
          <t>조치원읍</t>
        </is>
      </c>
    </row>
    <row r="6423">
      <c r="A6423" s="3" t="n">
        <v>2026</v>
      </c>
      <c r="B6423" s="4" t="n">
        <v>32500</v>
      </c>
      <c r="C6423" s="4" t="n">
        <v>413</v>
      </c>
      <c r="D6423" s="4" t="n">
        <v>124.9325</v>
      </c>
      <c r="E6423" s="5" t="n">
        <v>260.1</v>
      </c>
      <c r="F6423" s="3" t="inlineStr">
        <is>
          <t>연서면</t>
        </is>
      </c>
      <c r="G6423" s="3" t="inlineStr">
        <is>
          <t>국촌리</t>
        </is>
      </c>
      <c r="H6423" s="3" t="inlineStr">
        <is>
          <t>단독다가구</t>
        </is>
      </c>
      <c r="I6423" s="3" t="inlineStr">
        <is>
          <t>단독</t>
        </is>
      </c>
      <c r="J6423" s="3" t="inlineStr">
        <is>
          <t>연서면</t>
        </is>
      </c>
    </row>
    <row r="6424">
      <c r="A6424" s="3" t="n">
        <v>2026</v>
      </c>
      <c r="B6424" s="4" t="n">
        <v>16000</v>
      </c>
      <c r="C6424" s="4" t="n">
        <v>535</v>
      </c>
      <c r="D6424" s="4" t="n">
        <v>161.8375</v>
      </c>
      <c r="E6424" s="5" t="n">
        <v>98.90000000000001</v>
      </c>
      <c r="F6424" s="3" t="inlineStr">
        <is>
          <t>연서면</t>
        </is>
      </c>
      <c r="G6424" s="3" t="inlineStr">
        <is>
          <t>월하리</t>
        </is>
      </c>
      <c r="H6424" s="3" t="inlineStr">
        <is>
          <t>단독다가구</t>
        </is>
      </c>
      <c r="I6424" s="3" t="inlineStr">
        <is>
          <t>단독</t>
        </is>
      </c>
      <c r="J6424" s="3" t="inlineStr">
        <is>
          <t>연서면</t>
        </is>
      </c>
    </row>
    <row r="6425">
      <c r="A6425" s="3" t="n">
        <v>2026</v>
      </c>
      <c r="B6425" s="4" t="n">
        <v>46000</v>
      </c>
      <c r="C6425" s="4" t="n">
        <v>341</v>
      </c>
      <c r="D6425" s="4" t="n">
        <v>103.1525</v>
      </c>
      <c r="E6425" s="5" t="n">
        <v>445.9</v>
      </c>
      <c r="F6425" s="3" t="inlineStr">
        <is>
          <t>조치원읍</t>
        </is>
      </c>
      <c r="G6425" s="3" t="inlineStr">
        <is>
          <t>정리</t>
        </is>
      </c>
      <c r="H6425" s="3" t="inlineStr">
        <is>
          <t>단독다가구</t>
        </is>
      </c>
      <c r="I6425" s="3" t="inlineStr">
        <is>
          <t>단독</t>
        </is>
      </c>
      <c r="J6425" s="3" t="inlineStr">
        <is>
          <t>조치원읍</t>
        </is>
      </c>
    </row>
    <row r="6426">
      <c r="A6426" s="3" t="n">
        <v>2026</v>
      </c>
      <c r="B6426" s="4" t="n">
        <v>10000</v>
      </c>
      <c r="C6426" s="4" t="n">
        <v>305</v>
      </c>
      <c r="D6426" s="4" t="n">
        <v>92.2625</v>
      </c>
      <c r="E6426" s="5" t="n">
        <v>108.4</v>
      </c>
      <c r="F6426" s="3" t="inlineStr">
        <is>
          <t>조치원읍</t>
        </is>
      </c>
      <c r="G6426" s="3" t="inlineStr">
        <is>
          <t>신안리</t>
        </is>
      </c>
      <c r="H6426" s="3" t="inlineStr">
        <is>
          <t>단독다가구</t>
        </is>
      </c>
      <c r="I6426" s="3" t="inlineStr">
        <is>
          <t>다가구</t>
        </is>
      </c>
      <c r="J6426" s="3" t="inlineStr">
        <is>
          <t>조치원읍</t>
        </is>
      </c>
    </row>
    <row r="6427">
      <c r="A6427" s="3" t="n">
        <v>2026</v>
      </c>
      <c r="B6427" s="4" t="n">
        <v>120900</v>
      </c>
      <c r="C6427" s="4" t="n">
        <v>373.5</v>
      </c>
      <c r="D6427" s="4" t="n">
        <v>112.98375</v>
      </c>
      <c r="E6427" s="5" t="n">
        <v>1070.1</v>
      </c>
      <c r="F6427" s="3" t="inlineStr">
        <is>
          <t>고운동</t>
        </is>
      </c>
      <c r="G6427" s="3" t="inlineStr"/>
      <c r="H6427" s="3" t="inlineStr">
        <is>
          <t>단독다가구</t>
        </is>
      </c>
      <c r="I6427" s="3" t="inlineStr">
        <is>
          <t>단독</t>
        </is>
      </c>
      <c r="J6427" s="3" t="inlineStr">
        <is>
          <t>고운동</t>
        </is>
      </c>
    </row>
    <row r="6428">
      <c r="A6428" s="3" t="n">
        <v>2026</v>
      </c>
      <c r="B6428" s="4" t="n">
        <v>71000</v>
      </c>
      <c r="C6428" s="4" t="n">
        <v>354</v>
      </c>
      <c r="D6428" s="4" t="n">
        <v>107.085</v>
      </c>
      <c r="E6428" s="5" t="n">
        <v>663</v>
      </c>
      <c r="F6428" s="3" t="inlineStr">
        <is>
          <t>한솔동</t>
        </is>
      </c>
      <c r="G6428" s="3" t="inlineStr"/>
      <c r="H6428" s="3" t="inlineStr">
        <is>
          <t>단독다가구</t>
        </is>
      </c>
      <c r="I6428" s="3" t="inlineStr">
        <is>
          <t>단독</t>
        </is>
      </c>
      <c r="J6428" s="3" t="inlineStr">
        <is>
          <t>한솔동</t>
        </is>
      </c>
    </row>
    <row r="6429">
      <c r="A6429" s="3" t="n">
        <v>2026</v>
      </c>
      <c r="B6429" s="4" t="n">
        <v>15000</v>
      </c>
      <c r="C6429" s="4" t="n">
        <v>132</v>
      </c>
      <c r="D6429" s="4" t="n">
        <v>39.93</v>
      </c>
      <c r="E6429" s="5" t="n">
        <v>375.7</v>
      </c>
      <c r="F6429" s="3" t="inlineStr">
        <is>
          <t>연서면</t>
        </is>
      </c>
      <c r="G6429" s="3" t="inlineStr">
        <is>
          <t>봉암리</t>
        </is>
      </c>
      <c r="H6429" s="3" t="inlineStr">
        <is>
          <t>단독다가구</t>
        </is>
      </c>
      <c r="I6429" s="3" t="inlineStr">
        <is>
          <t>단독</t>
        </is>
      </c>
      <c r="J6429" s="3" t="inlineStr">
        <is>
          <t>연서면</t>
        </is>
      </c>
    </row>
    <row r="6430">
      <c r="A6430" s="3" t="n">
        <v>2026</v>
      </c>
      <c r="B6430" s="4" t="n">
        <v>10000</v>
      </c>
      <c r="C6430" s="4" t="n">
        <v>305</v>
      </c>
      <c r="D6430" s="4" t="n">
        <v>92.2625</v>
      </c>
      <c r="E6430" s="5" t="n">
        <v>108.4</v>
      </c>
      <c r="F6430" s="3" t="inlineStr">
        <is>
          <t>조치원읍</t>
        </is>
      </c>
      <c r="G6430" s="3" t="inlineStr">
        <is>
          <t>신안리</t>
        </is>
      </c>
      <c r="H6430" s="3" t="inlineStr">
        <is>
          <t>단독다가구</t>
        </is>
      </c>
      <c r="I6430" s="3" t="inlineStr">
        <is>
          <t>다가구</t>
        </is>
      </c>
      <c r="J6430" s="3" t="inlineStr">
        <is>
          <t>조치원읍</t>
        </is>
      </c>
    </row>
    <row r="6431">
      <c r="A6431" s="3" t="n">
        <v>2026</v>
      </c>
      <c r="B6431" s="4" t="n">
        <v>117692</v>
      </c>
      <c r="C6431" s="4" t="n">
        <v>478</v>
      </c>
      <c r="D6431" s="4" t="n">
        <v>144.595</v>
      </c>
      <c r="E6431" s="5" t="n">
        <v>813.9</v>
      </c>
      <c r="F6431" s="3" t="inlineStr">
        <is>
          <t>연서면</t>
        </is>
      </c>
      <c r="G6431" s="3" t="inlineStr">
        <is>
          <t>월하리</t>
        </is>
      </c>
      <c r="H6431" s="3" t="inlineStr">
        <is>
          <t>단독다가구</t>
        </is>
      </c>
      <c r="I6431" s="3" t="inlineStr">
        <is>
          <t>다가구</t>
        </is>
      </c>
      <c r="J6431" s="3" t="inlineStr">
        <is>
          <t>연서면</t>
        </is>
      </c>
    </row>
    <row r="6432">
      <c r="A6432" s="3" t="n">
        <v>2026</v>
      </c>
      <c r="B6432" s="4" t="n">
        <v>45000</v>
      </c>
      <c r="C6432" s="4" t="n">
        <v>500</v>
      </c>
      <c r="D6432" s="4" t="n">
        <v>151.25</v>
      </c>
      <c r="E6432" s="5" t="n">
        <v>297.5</v>
      </c>
      <c r="F6432" s="3" t="inlineStr">
        <is>
          <t>연서면</t>
        </is>
      </c>
      <c r="G6432" s="3" t="inlineStr">
        <is>
          <t>월하리</t>
        </is>
      </c>
      <c r="H6432" s="3" t="inlineStr">
        <is>
          <t>단독다가구</t>
        </is>
      </c>
      <c r="I6432" s="3" t="inlineStr">
        <is>
          <t>단독</t>
        </is>
      </c>
      <c r="J6432" s="3" t="inlineStr">
        <is>
          <t>연서면</t>
        </is>
      </c>
    </row>
    <row r="6433">
      <c r="A6433" s="3" t="n">
        <v>2026</v>
      </c>
      <c r="B6433" s="4" t="n">
        <v>100000</v>
      </c>
      <c r="C6433" s="4" t="n">
        <v>331.7</v>
      </c>
      <c r="D6433" s="4" t="n">
        <v>100.33925</v>
      </c>
      <c r="E6433" s="5" t="n">
        <v>996.6</v>
      </c>
      <c r="F6433" s="3" t="inlineStr">
        <is>
          <t>한솔동</t>
        </is>
      </c>
      <c r="G6433" s="3" t="inlineStr"/>
      <c r="H6433" s="3" t="inlineStr">
        <is>
          <t>단독다가구</t>
        </is>
      </c>
      <c r="I6433" s="3" t="inlineStr">
        <is>
          <t>단독</t>
        </is>
      </c>
      <c r="J6433" s="3" t="inlineStr">
        <is>
          <t>한솔동</t>
        </is>
      </c>
    </row>
    <row r="6434">
      <c r="A6434" s="3" t="n">
        <v>2026</v>
      </c>
      <c r="B6434" s="4" t="n">
        <v>56000</v>
      </c>
      <c r="C6434" s="4" t="n">
        <v>464</v>
      </c>
      <c r="D6434" s="4" t="n">
        <v>140.36</v>
      </c>
      <c r="E6434" s="5" t="n">
        <v>399</v>
      </c>
      <c r="F6434" s="3" t="inlineStr">
        <is>
          <t>조치원읍</t>
        </is>
      </c>
      <c r="G6434" s="3" t="inlineStr">
        <is>
          <t>신안리</t>
        </is>
      </c>
      <c r="H6434" s="3" t="inlineStr">
        <is>
          <t>단독다가구</t>
        </is>
      </c>
      <c r="I6434" s="3" t="inlineStr">
        <is>
          <t>다가구</t>
        </is>
      </c>
      <c r="J6434" s="3" t="inlineStr">
        <is>
          <t>조치원읍</t>
        </is>
      </c>
    </row>
    <row r="6435">
      <c r="A6435" s="3" t="n">
        <v>2026</v>
      </c>
      <c r="B6435" s="4" t="n">
        <v>12000</v>
      </c>
      <c r="C6435" s="4" t="n">
        <v>120</v>
      </c>
      <c r="D6435" s="4" t="n">
        <v>36.3</v>
      </c>
      <c r="E6435" s="5" t="n">
        <v>330.6</v>
      </c>
      <c r="F6435" s="3" t="inlineStr">
        <is>
          <t>조치원읍</t>
        </is>
      </c>
      <c r="G6435" s="3" t="inlineStr">
        <is>
          <t>남리</t>
        </is>
      </c>
      <c r="H6435" s="3" t="inlineStr">
        <is>
          <t>단독다가구</t>
        </is>
      </c>
      <c r="I6435" s="3" t="inlineStr">
        <is>
          <t>단독</t>
        </is>
      </c>
      <c r="J6435" s="3" t="inlineStr">
        <is>
          <t>조치원읍</t>
        </is>
      </c>
    </row>
    <row r="6436">
      <c r="A6436" s="3" t="n">
        <v>2026</v>
      </c>
      <c r="B6436" s="4" t="n">
        <v>90000</v>
      </c>
      <c r="C6436" s="4" t="n">
        <v>346</v>
      </c>
      <c r="D6436" s="4" t="n">
        <v>104.665</v>
      </c>
      <c r="E6436" s="5" t="n">
        <v>859.9</v>
      </c>
      <c r="F6436" s="3" t="inlineStr">
        <is>
          <t>고운동</t>
        </is>
      </c>
      <c r="G6436" s="3" t="inlineStr"/>
      <c r="H6436" s="3" t="inlineStr">
        <is>
          <t>단독다가구</t>
        </is>
      </c>
      <c r="I6436" s="3" t="inlineStr">
        <is>
          <t>단독</t>
        </is>
      </c>
      <c r="J6436" s="3" t="inlineStr">
        <is>
          <t>고운동</t>
        </is>
      </c>
    </row>
    <row r="6437">
      <c r="A6437" s="3" t="n">
        <v>2026</v>
      </c>
      <c r="B6437" s="4" t="n">
        <v>19000</v>
      </c>
      <c r="C6437" s="4" t="n">
        <v>350</v>
      </c>
      <c r="D6437" s="4" t="n">
        <v>105.875</v>
      </c>
      <c r="E6437" s="5" t="n">
        <v>179.5</v>
      </c>
      <c r="F6437" s="3" t="inlineStr">
        <is>
          <t>부강면</t>
        </is>
      </c>
      <c r="G6437" s="3" t="inlineStr">
        <is>
          <t>문곡리</t>
        </is>
      </c>
      <c r="H6437" s="3" t="inlineStr">
        <is>
          <t>단독다가구</t>
        </is>
      </c>
      <c r="I6437" s="3" t="inlineStr">
        <is>
          <t>단독</t>
        </is>
      </c>
      <c r="J6437" s="3" t="inlineStr">
        <is>
          <t>부강면</t>
        </is>
      </c>
    </row>
    <row r="6438">
      <c r="A6438" s="3" t="n">
        <v>2026</v>
      </c>
      <c r="B6438" s="4" t="n">
        <v>19000</v>
      </c>
      <c r="C6438" s="4" t="n">
        <v>171</v>
      </c>
      <c r="D6438" s="4" t="n">
        <v>51.7275</v>
      </c>
      <c r="E6438" s="5" t="n">
        <v>367.3</v>
      </c>
      <c r="F6438" s="3" t="inlineStr">
        <is>
          <t>조치원읍</t>
        </is>
      </c>
      <c r="G6438" s="3" t="inlineStr">
        <is>
          <t>명리</t>
        </is>
      </c>
      <c r="H6438" s="3" t="inlineStr">
        <is>
          <t>단독다가구</t>
        </is>
      </c>
      <c r="I6438" s="3" t="inlineStr">
        <is>
          <t>단독</t>
        </is>
      </c>
      <c r="J6438" s="3" t="inlineStr">
        <is>
          <t>조치원읍</t>
        </is>
      </c>
    </row>
    <row r="6439">
      <c r="A6439" s="3" t="n">
        <v>2026</v>
      </c>
      <c r="B6439" s="4" t="n">
        <v>14800</v>
      </c>
      <c r="C6439" s="4" t="n">
        <v>195</v>
      </c>
      <c r="D6439" s="4" t="n">
        <v>58.9875</v>
      </c>
      <c r="E6439" s="5" t="n">
        <v>250.9</v>
      </c>
      <c r="F6439" s="3" t="inlineStr">
        <is>
          <t>조치원읍</t>
        </is>
      </c>
      <c r="G6439" s="3" t="inlineStr">
        <is>
          <t>상리</t>
        </is>
      </c>
      <c r="H6439" s="3" t="inlineStr">
        <is>
          <t>단독다가구</t>
        </is>
      </c>
      <c r="I6439" s="3" t="inlineStr">
        <is>
          <t>단독</t>
        </is>
      </c>
      <c r="J6439" s="3" t="inlineStr">
        <is>
          <t>조치원읍</t>
        </is>
      </c>
    </row>
    <row r="6440">
      <c r="A6440" s="3" t="n">
        <v>2026</v>
      </c>
      <c r="B6440" s="4" t="n">
        <v>77000</v>
      </c>
      <c r="C6440" s="4" t="n">
        <v>335</v>
      </c>
      <c r="D6440" s="4" t="n">
        <v>101.3375</v>
      </c>
      <c r="E6440" s="5" t="n">
        <v>759.8</v>
      </c>
      <c r="F6440" s="3" t="inlineStr">
        <is>
          <t>고운동</t>
        </is>
      </c>
      <c r="G6440" s="3" t="inlineStr"/>
      <c r="H6440" s="3" t="inlineStr">
        <is>
          <t>단독다가구</t>
        </is>
      </c>
      <c r="I6440" s="3" t="inlineStr">
        <is>
          <t>단독</t>
        </is>
      </c>
      <c r="J6440" s="3" t="inlineStr">
        <is>
          <t>고운동</t>
        </is>
      </c>
    </row>
  </sheetData>
  <autoFilter ref="A1:J64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2026-10-11T23:42:41Z</dcterms:created>
  <dcterms:modified xsi:type="dcterms:W3CDTF">2026-10-11T23:42:51Z</dcterms:modified>
</cp:coreProperties>
</file>